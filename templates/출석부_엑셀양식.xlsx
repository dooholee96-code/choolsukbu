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원생" sheetId="2" state="visible" r:id="rId2"/>
    <sheet xmlns:r="http://schemas.openxmlformats.org/officeDocument/2006/relationships" name="수납" sheetId="3" state="visible" r:id="rId3"/>
    <sheet xmlns:r="http://schemas.openxmlformats.org/officeDocument/2006/relationships" name="월별 현황" sheetId="4" state="visible" r:id="rId4"/>
    <sheet xmlns:r="http://schemas.openxmlformats.org/officeDocument/2006/relationships" name="계산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;-#,##0;-"/>
  </numFmts>
  <fonts count="8">
    <font>
      <name val="Calibri"/>
      <family val="2"/>
      <color theme="1"/>
      <sz val="11"/>
      <scheme val="minor"/>
    </font>
    <font>
      <name val="맑은 고딕"/>
      <b val="1"/>
      <color rgb="004B3B53"/>
      <sz val="16"/>
    </font>
    <font>
      <name val="맑은 고딕"/>
      <color rgb="00776A7E"/>
      <sz val="10"/>
    </font>
    <font>
      <name val="맑은 고딕"/>
      <b val="1"/>
      <color rgb="004B3B53"/>
    </font>
    <font>
      <name val="맑은 고딕"/>
      <color rgb="004B3B53"/>
      <sz val="11"/>
    </font>
    <font>
      <name val="맑은 고딕"/>
      <b val="1"/>
      <color rgb="004A7585"/>
    </font>
    <font>
      <name val="맑은 고딕"/>
      <b val="1"/>
      <color rgb="00FFFFFF"/>
      <sz val="11"/>
    </font>
    <font>
      <name val="맑은 고딕"/>
      <b val="1"/>
      <color rgb="004B3B53"/>
      <sz val="13"/>
    </font>
  </fonts>
  <fills count="4">
    <fill>
      <patternFill/>
    </fill>
    <fill>
      <patternFill patternType="gray125"/>
    </fill>
    <fill>
      <patternFill patternType="solid">
        <fgColor rgb="004A7585"/>
      </patternFill>
    </fill>
    <fill>
      <patternFill patternType="solid">
        <fgColor rgb="00FBE9B7"/>
      </patternFill>
    </fill>
  </fills>
  <borders count="2">
    <border>
      <left/>
      <right/>
      <top/>
      <bottom/>
      <diagonal/>
    </border>
    <border>
      <left style="thin">
        <color rgb="00E7DEE6"/>
      </left>
      <right style="thin">
        <color rgb="00E7DEE6"/>
      </right>
      <top style="thin">
        <color rgb="00E7DEE6"/>
      </top>
      <bottom style="thin">
        <color rgb="00E7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49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3" fillId="0" borderId="0" pivotButton="0" quotePrefix="0" xfId="0"/>
    <xf numFmtId="0" fontId="7" fillId="3" borderId="1" pivotButton="0" quotePrefix="0" xfId="0"/>
    <xf numFmtId="0" fontId="6" fillId="2" borderId="1" applyAlignment="1" pivotButton="0" quotePrefix="0" xfId="0">
      <alignment horizontal="center"/>
    </xf>
    <xf numFmtId="0" fontId="4" fillId="0" borderId="1" pivotButton="0" quotePrefix="0" xfId="0"/>
    <xf numFmtId="165" fontId="4" fillId="0" borderId="1" pivotButton="0" quotePrefix="0" xfId="0"/>
    <xf numFmtId="0" fontId="6" fillId="2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6D5DA"/>
        </patternFill>
      </fill>
    </dxf>
    <dxf>
      <fill>
        <patternFill patternType="solid">
          <fgColor rgb="00D7EB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출석부</author>
  </authors>
  <commentList>
    <comment ref="A1" authorId="0" shapeId="0">
      <text>
        <t>원생 이름</t>
      </text>
    </comment>
    <comment ref="B1" authorId="0" shapeId="0">
      <text>
        <t>예: 7세, 초3, 중1</t>
      </text>
    </comment>
    <comment ref="C1" authorId="0" shapeId="0">
      <text>
        <t>예: 월,수  또는  월수금</t>
      </text>
    </comment>
    <comment ref="D1" authorId="0" shapeId="0">
      <text>
        <t>수업 시작 16:00</t>
      </text>
    </comment>
    <comment ref="E1" authorId="0" shapeId="0">
      <text>
        <t>수업 끝 17:00</t>
      </text>
    </comment>
    <comment ref="F1" authorId="0" shapeId="0">
      <text>
        <t>원</t>
      </text>
    </comment>
    <comment ref="G1" authorId="0" shapeId="0">
      <text>
        <t>동명이인일 때만: 월수반, 강북초</t>
      </text>
    </comment>
    <comment ref="H1" authorId="0" shapeId="0">
      <text>
        <t>교육비 공제 대상이면 예: 초등학교 입학 전, 2026년 납입분부터는 초1·2 예체능도</t>
      </text>
    </comment>
    <comment ref="I1" authorId="0" shapeId="0">
      <text>
        <t>그만둔 날 (비우면 재원)</t>
      </text>
    </comment>
  </commentList>
</comments>
</file>

<file path=xl/comments/comment2.xml><?xml version="1.0" encoding="utf-8"?>
<comments xmlns="http://schemas.openxmlformats.org/spreadsheetml/2006/main">
  <authors>
    <author>출석부</author>
  </authors>
  <commentList>
    <comment ref="A1" authorId="0" shapeId="0">
      <text>
        <t>돈을 받은 날</t>
      </text>
    </comment>
    <comment ref="B1" authorId="0" shapeId="0">
      <text>
        <t>어느 달 수강료인가 2026-03 (비우면 받은 달)</t>
      </text>
    </comment>
    <comment ref="C1" authorId="0" shapeId="0">
      <text>
        <t>원생 시트의 이름</t>
      </text>
    </comment>
    <comment ref="D1" authorId="0" shapeId="0">
      <text>
        <t>동명이인일 때만</t>
      </text>
    </comment>
    <comment ref="E1" authorId="0" shapeId="0">
      <text>
        <t>비우면 수강료</t>
      </text>
    </comment>
    <comment ref="F1" authorId="0" shapeId="0">
      <text>
        <t>원. 환불은 -50000</t>
      </text>
    </comment>
    <comment ref="G1" authorId="0" shapeId="0">
      <text>
        <t>카드·계좌이체·현금</t>
      </text>
    </comment>
    <comment ref="H1" authorId="0" shapeId="0">
      <text>
        <t>계좌이체·현금일 때 발급 여부</t>
      </text>
    </comment>
    <comment ref="I1" authorId="0" shapeId="0">
      <text>
        <t>원생 시트에서 자동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96" customWidth="1" min="3" max="3"/>
  </cols>
  <sheetData>
    <row r="2">
      <c r="B2" s="1" t="inlineStr">
        <is>
          <t>출석부 엑셀 양식</t>
        </is>
      </c>
    </row>
    <row r="3">
      <c r="B3" s="2" t="inlineStr">
        <is>
          <t>원생과 받은 돈을 적고, 달마다 누가 냈는지 봅니다. 나중에 출석부 앱으로 그대로 옮길 수 있습니다.</t>
        </is>
      </c>
    </row>
    <row r="5">
      <c r="B5" s="3" t="inlineStr">
        <is>
          <t>1. 원생</t>
        </is>
      </c>
      <c r="C5" s="4" t="inlineStr">
        <is>
          <t>원생 시트에 한 줄에 한 명씩 적습니다. 요일은 "월,수"처럼, 시간은 "16:00"처럼 적습니다.</t>
        </is>
      </c>
    </row>
    <row r="6">
      <c r="B6" s="3" t="inlineStr"/>
      <c r="C6" s="4" t="inlineStr">
        <is>
          <t>동명이인이 있으면 구분 칸에 "월수반"처럼 짧게 구별할 말을 적습니다.</t>
        </is>
      </c>
    </row>
    <row r="7">
      <c r="B7" s="3" t="inlineStr">
        <is>
          <t>2. 수납</t>
        </is>
      </c>
      <c r="C7" s="4" t="inlineStr">
        <is>
          <t>돈을 받을 때마다 한 줄씩 적습니다. 원생·수입구분·결제수단은 칸을 누르면 목록에서 고를 수 있습니다.</t>
        </is>
      </c>
    </row>
    <row r="8">
      <c r="B8" s="3" t="inlineStr"/>
      <c r="C8" s="4" t="inlineStr">
        <is>
          <t>수강월은 "어느 달 수강료인가"입니다. 9월 말에 받은 10월분은 2026-10 으로 적습니다.</t>
        </is>
      </c>
    </row>
    <row r="9">
      <c r="B9" s="3" t="inlineStr"/>
      <c r="C9" s="4" t="inlineStr">
        <is>
          <t>돌려준 돈은 지우지 말고 금액을 -50000 처럼 음수로 한 줄 더 적습니다.</t>
        </is>
      </c>
    </row>
    <row r="10">
      <c r="B10" s="3" t="inlineStr"/>
      <c r="C10" s="4" t="inlineStr">
        <is>
          <t>계좌이체·현금으로 한 번에 10만 원 이상 받으면 달라는 말이 없어도 받은 날부터 5일 안에 현금영수증을 발급합니다.</t>
        </is>
      </c>
    </row>
    <row r="11">
      <c r="B11" s="3" t="inlineStr"/>
      <c r="C11" s="4" t="inlineStr">
        <is>
          <t>학원은 현금영수증 의무발행업종입니다. 교습소·공부방·과외도 보통 그렇지만 사업자등록증의 업종코드로 확인하세요.</t>
        </is>
      </c>
    </row>
    <row r="12">
      <c r="B12" s="3" t="inlineStr"/>
      <c r="C12" s="4" t="inlineStr">
        <is>
          <t>미취학 칸은 교육비 공제 대상 표시입니다. 초등학교 입학 전, 그리고 2026년 납입분부터는 초1·2학년 예체능(음악·미술·무용·체육)이면 예.</t>
        </is>
      </c>
    </row>
    <row r="13">
      <c r="B13" s="3" t="inlineStr">
        <is>
          <t>3. 월별 현황</t>
        </is>
      </c>
      <c r="C13" s="4" t="inlineStr">
        <is>
          <t>위쪽 노란 칸에 연도를 적으면 원생별로 달마다 낸 수강료가 나옵니다.</t>
        </is>
      </c>
    </row>
    <row r="14">
      <c r="B14" s="3" t="inlineStr"/>
      <c r="C14" s="4" t="inlineStr">
        <is>
          <t>빨간 칸은 그 달 수강료보다 덜 받은 곳, 초록 칸은 다 받은 곳입니다.</t>
        </is>
      </c>
    </row>
    <row r="15">
      <c r="B15" s="3" t="inlineStr"/>
      <c r="C15" s="4" t="inlineStr">
        <is>
          <t>새로 온 원생은 처음 낸 달부터, 그만둔 원생은 퇴원일이 든 달까지만 빨갛게 칠합니다. 이번 달은 아직 안 냈으면 빨갛습니다.</t>
        </is>
      </c>
    </row>
    <row r="16">
      <c r="B16" s="3" t="inlineStr"/>
      <c r="C16" s="4" t="inlineStr">
        <is>
          <t>아래 표는 달마다 받은 돈을 결제수단별로 더한 것입니다(받은 날 기준).</t>
        </is>
      </c>
    </row>
    <row r="17">
      <c r="B17" s="3" t="inlineStr">
        <is>
          <t>앱으로 옮기기</t>
        </is>
      </c>
      <c r="C17" s="4" t="inlineStr">
        <is>
          <t>원생 시트를 열고 [파일 → 다른 이름으로 저장 → CSV UTF-8(쉼표로 분리)]로 저장합니다.</t>
        </is>
      </c>
    </row>
    <row r="18">
      <c r="B18" s="3" t="inlineStr"/>
      <c r="C18" s="4" t="inlineStr">
        <is>
          <t>수납 시트도 같은 방법으로 따로 저장합니다(CSV는 한 번에 한 시트만 저장됩니다).</t>
        </is>
      </c>
    </row>
    <row r="19">
      <c r="B19" s="3" t="inlineStr"/>
      <c r="C19" s="4" t="inlineStr">
        <is>
          <t>앱의 [설정 → 가져오기]에서 원생 명단을 먼저, 수납 기록을 그다음에 가져옵니다.</t>
        </is>
      </c>
    </row>
    <row r="20">
      <c r="B20" s="3" t="inlineStr"/>
      <c r="C20" s="4" t="inlineStr">
        <is>
          <t>같은 파일을 두 번 가져와도 같은 기록은 한 번만 들어갑니다.</t>
        </is>
      </c>
    </row>
    <row r="21">
      <c r="B21" s="3" t="inlineStr">
        <is>
          <t>주의</t>
        </is>
      </c>
      <c r="C21" s="4" t="inlineStr">
        <is>
          <t>원생·수납 시트의 첫 줄(머리글)은 고치지 마세요. 앱이 이 글자로 칸을 알아봅니다.</t>
        </is>
      </c>
    </row>
    <row r="22">
      <c r="B22" s="3" t="inlineStr"/>
      <c r="C22" s="4" t="inlineStr">
        <is>
          <t>열 순서를 바꾸거나 열을 더하는 것은 괜찮습니다. 앱은 머리글 이름으로 읽습니다.</t>
        </is>
      </c>
    </row>
    <row r="24">
      <c r="B24" s="5" t="inlineStr">
        <is>
          <t>앱에만 있는 것</t>
        </is>
      </c>
    </row>
    <row r="25">
      <c r="C25" s="2" t="inlineStr">
        <is>
          <t>· 아이패드로 등원·결석을 누르는 출결과 보충 관리</t>
        </is>
      </c>
    </row>
    <row r="26">
      <c r="C26" s="2" t="inlineStr">
        <is>
          <t>· 신고 일정 알림(사업장현황신고·종합소득세·중간예납)과 현금영수증 빠진 건 모아 보기</t>
        </is>
      </c>
    </row>
    <row r="27">
      <c r="C27" s="2" t="inlineStr">
        <is>
          <t>· 홈택스 신고용 숫자와 교육비 납입 증명서를 한 번에 뽑기</t>
        </is>
      </c>
    </row>
    <row r="28">
      <c r="C28" s="2" t="inlineStr">
        <is>
          <t>· 아이폰·아이패드 사이 자동 동기화와 앱 잠금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7585"/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8" customWidth="1" min="4" max="4"/>
    <col width="8" customWidth="1" min="5" max="5"/>
    <col width="12" customWidth="1" min="6" max="6"/>
    <col width="10" customWidth="1" min="7" max="7"/>
    <col width="8" customWidth="1" min="8" max="8"/>
    <col width="13" customWidth="1" min="9" max="9"/>
  </cols>
  <sheetData>
    <row r="1" ht="24" customHeight="1">
      <c r="A1" s="6" t="inlineStr">
        <is>
          <t>이름</t>
        </is>
      </c>
      <c r="B1" s="6" t="inlineStr">
        <is>
          <t>학년</t>
        </is>
      </c>
      <c r="C1" s="6" t="inlineStr">
        <is>
          <t>요일</t>
        </is>
      </c>
      <c r="D1" s="6" t="inlineStr">
        <is>
          <t>시작</t>
        </is>
      </c>
      <c r="E1" s="6" t="inlineStr">
        <is>
          <t>끝</t>
        </is>
      </c>
      <c r="F1" s="6" t="inlineStr">
        <is>
          <t>월 수강료</t>
        </is>
      </c>
      <c r="G1" s="6" t="inlineStr">
        <is>
          <t>구분</t>
        </is>
      </c>
      <c r="H1" s="6" t="inlineStr">
        <is>
          <t>미취학</t>
        </is>
      </c>
      <c r="I1" s="6" t="inlineStr">
        <is>
          <t>퇴원일</t>
        </is>
      </c>
    </row>
    <row r="2">
      <c r="A2" s="7" t="n"/>
      <c r="B2" s="7" t="n"/>
      <c r="C2" s="7" t="n"/>
      <c r="D2" s="7" t="n"/>
      <c r="E2" s="7" t="n"/>
      <c r="F2" s="8" t="n"/>
      <c r="G2" s="7" t="n"/>
      <c r="H2" s="7" t="n"/>
      <c r="I2" s="9" t="n"/>
    </row>
    <row r="3">
      <c r="A3" s="7" t="n"/>
      <c r="B3" s="7" t="n"/>
      <c r="C3" s="7" t="n"/>
      <c r="D3" s="7" t="n"/>
      <c r="E3" s="7" t="n"/>
      <c r="F3" s="8" t="n"/>
      <c r="G3" s="7" t="n"/>
      <c r="H3" s="7" t="n"/>
      <c r="I3" s="9" t="n"/>
    </row>
    <row r="4">
      <c r="A4" s="7" t="n"/>
      <c r="B4" s="7" t="n"/>
      <c r="C4" s="7" t="n"/>
      <c r="D4" s="7" t="n"/>
      <c r="E4" s="7" t="n"/>
      <c r="F4" s="8" t="n"/>
      <c r="G4" s="7" t="n"/>
      <c r="H4" s="7" t="n"/>
      <c r="I4" s="9" t="n"/>
    </row>
    <row r="5">
      <c r="A5" s="7" t="n"/>
      <c r="B5" s="7" t="n"/>
      <c r="C5" s="7" t="n"/>
      <c r="D5" s="7" t="n"/>
      <c r="E5" s="7" t="n"/>
      <c r="F5" s="8" t="n"/>
      <c r="G5" s="7" t="n"/>
      <c r="H5" s="7" t="n"/>
      <c r="I5" s="9" t="n"/>
    </row>
    <row r="6">
      <c r="A6" s="7" t="n"/>
      <c r="B6" s="7" t="n"/>
      <c r="C6" s="7" t="n"/>
      <c r="D6" s="7" t="n"/>
      <c r="E6" s="7" t="n"/>
      <c r="F6" s="8" t="n"/>
      <c r="G6" s="7" t="n"/>
      <c r="H6" s="7" t="n"/>
      <c r="I6" s="9" t="n"/>
    </row>
    <row r="7">
      <c r="A7" s="7" t="n"/>
      <c r="B7" s="7" t="n"/>
      <c r="C7" s="7" t="n"/>
      <c r="D7" s="7" t="n"/>
      <c r="E7" s="7" t="n"/>
      <c r="F7" s="8" t="n"/>
      <c r="G7" s="7" t="n"/>
      <c r="H7" s="7" t="n"/>
      <c r="I7" s="9" t="n"/>
    </row>
    <row r="8">
      <c r="A8" s="7" t="n"/>
      <c r="B8" s="7" t="n"/>
      <c r="C8" s="7" t="n"/>
      <c r="D8" s="7" t="n"/>
      <c r="E8" s="7" t="n"/>
      <c r="F8" s="8" t="n"/>
      <c r="G8" s="7" t="n"/>
      <c r="H8" s="7" t="n"/>
      <c r="I8" s="9" t="n"/>
    </row>
    <row r="9">
      <c r="A9" s="7" t="n"/>
      <c r="B9" s="7" t="n"/>
      <c r="C9" s="7" t="n"/>
      <c r="D9" s="7" t="n"/>
      <c r="E9" s="7" t="n"/>
      <c r="F9" s="8" t="n"/>
      <c r="G9" s="7" t="n"/>
      <c r="H9" s="7" t="n"/>
      <c r="I9" s="9" t="n"/>
    </row>
    <row r="10">
      <c r="A10" s="7" t="n"/>
      <c r="B10" s="7" t="n"/>
      <c r="C10" s="7" t="n"/>
      <c r="D10" s="7" t="n"/>
      <c r="E10" s="7" t="n"/>
      <c r="F10" s="8" t="n"/>
      <c r="G10" s="7" t="n"/>
      <c r="H10" s="7" t="n"/>
      <c r="I10" s="9" t="n"/>
    </row>
    <row r="11">
      <c r="A11" s="7" t="n"/>
      <c r="B11" s="7" t="n"/>
      <c r="C11" s="7" t="n"/>
      <c r="D11" s="7" t="n"/>
      <c r="E11" s="7" t="n"/>
      <c r="F11" s="8" t="n"/>
      <c r="G11" s="7" t="n"/>
      <c r="H11" s="7" t="n"/>
      <c r="I11" s="9" t="n"/>
    </row>
    <row r="12">
      <c r="A12" s="7" t="n"/>
      <c r="B12" s="7" t="n"/>
      <c r="C12" s="7" t="n"/>
      <c r="D12" s="7" t="n"/>
      <c r="E12" s="7" t="n"/>
      <c r="F12" s="8" t="n"/>
      <c r="G12" s="7" t="n"/>
      <c r="H12" s="7" t="n"/>
      <c r="I12" s="9" t="n"/>
    </row>
    <row r="13">
      <c r="A13" s="7" t="n"/>
      <c r="B13" s="7" t="n"/>
      <c r="C13" s="7" t="n"/>
      <c r="D13" s="7" t="n"/>
      <c r="E13" s="7" t="n"/>
      <c r="F13" s="8" t="n"/>
      <c r="G13" s="7" t="n"/>
      <c r="H13" s="7" t="n"/>
      <c r="I13" s="9" t="n"/>
    </row>
    <row r="14">
      <c r="A14" s="7" t="n"/>
      <c r="B14" s="7" t="n"/>
      <c r="C14" s="7" t="n"/>
      <c r="D14" s="7" t="n"/>
      <c r="E14" s="7" t="n"/>
      <c r="F14" s="8" t="n"/>
      <c r="G14" s="7" t="n"/>
      <c r="H14" s="7" t="n"/>
      <c r="I14" s="9" t="n"/>
    </row>
    <row r="15">
      <c r="A15" s="7" t="n"/>
      <c r="B15" s="7" t="n"/>
      <c r="C15" s="7" t="n"/>
      <c r="D15" s="7" t="n"/>
      <c r="E15" s="7" t="n"/>
      <c r="F15" s="8" t="n"/>
      <c r="G15" s="7" t="n"/>
      <c r="H15" s="7" t="n"/>
      <c r="I15" s="9" t="n"/>
    </row>
    <row r="16">
      <c r="A16" s="7" t="n"/>
      <c r="B16" s="7" t="n"/>
      <c r="C16" s="7" t="n"/>
      <c r="D16" s="7" t="n"/>
      <c r="E16" s="7" t="n"/>
      <c r="F16" s="8" t="n"/>
      <c r="G16" s="7" t="n"/>
      <c r="H16" s="7" t="n"/>
      <c r="I16" s="9" t="n"/>
    </row>
    <row r="17">
      <c r="A17" s="7" t="n"/>
      <c r="B17" s="7" t="n"/>
      <c r="C17" s="7" t="n"/>
      <c r="D17" s="7" t="n"/>
      <c r="E17" s="7" t="n"/>
      <c r="F17" s="8" t="n"/>
      <c r="G17" s="7" t="n"/>
      <c r="H17" s="7" t="n"/>
      <c r="I17" s="9" t="n"/>
    </row>
    <row r="18">
      <c r="A18" s="7" t="n"/>
      <c r="B18" s="7" t="n"/>
      <c r="C18" s="7" t="n"/>
      <c r="D18" s="7" t="n"/>
      <c r="E18" s="7" t="n"/>
      <c r="F18" s="8" t="n"/>
      <c r="G18" s="7" t="n"/>
      <c r="H18" s="7" t="n"/>
      <c r="I18" s="9" t="n"/>
    </row>
    <row r="19">
      <c r="A19" s="7" t="n"/>
      <c r="B19" s="7" t="n"/>
      <c r="C19" s="7" t="n"/>
      <c r="D19" s="7" t="n"/>
      <c r="E19" s="7" t="n"/>
      <c r="F19" s="8" t="n"/>
      <c r="G19" s="7" t="n"/>
      <c r="H19" s="7" t="n"/>
      <c r="I19" s="9" t="n"/>
    </row>
    <row r="20">
      <c r="A20" s="7" t="n"/>
      <c r="B20" s="7" t="n"/>
      <c r="C20" s="7" t="n"/>
      <c r="D20" s="7" t="n"/>
      <c r="E20" s="7" t="n"/>
      <c r="F20" s="8" t="n"/>
      <c r="G20" s="7" t="n"/>
      <c r="H20" s="7" t="n"/>
      <c r="I20" s="9" t="n"/>
    </row>
    <row r="21">
      <c r="A21" s="7" t="n"/>
      <c r="B21" s="7" t="n"/>
      <c r="C21" s="7" t="n"/>
      <c r="D21" s="7" t="n"/>
      <c r="E21" s="7" t="n"/>
      <c r="F21" s="8" t="n"/>
      <c r="G21" s="7" t="n"/>
      <c r="H21" s="7" t="n"/>
      <c r="I21" s="9" t="n"/>
    </row>
    <row r="22">
      <c r="A22" s="7" t="n"/>
      <c r="B22" s="7" t="n"/>
      <c r="C22" s="7" t="n"/>
      <c r="D22" s="7" t="n"/>
      <c r="E22" s="7" t="n"/>
      <c r="F22" s="8" t="n"/>
      <c r="G22" s="7" t="n"/>
      <c r="H22" s="7" t="n"/>
      <c r="I22" s="9" t="n"/>
    </row>
    <row r="23">
      <c r="A23" s="7" t="n"/>
      <c r="B23" s="7" t="n"/>
      <c r="C23" s="7" t="n"/>
      <c r="D23" s="7" t="n"/>
      <c r="E23" s="7" t="n"/>
      <c r="F23" s="8" t="n"/>
      <c r="G23" s="7" t="n"/>
      <c r="H23" s="7" t="n"/>
      <c r="I23" s="9" t="n"/>
    </row>
    <row r="24">
      <c r="A24" s="7" t="n"/>
      <c r="B24" s="7" t="n"/>
      <c r="C24" s="7" t="n"/>
      <c r="D24" s="7" t="n"/>
      <c r="E24" s="7" t="n"/>
      <c r="F24" s="8" t="n"/>
      <c r="G24" s="7" t="n"/>
      <c r="H24" s="7" t="n"/>
      <c r="I24" s="9" t="n"/>
    </row>
    <row r="25">
      <c r="A25" s="7" t="n"/>
      <c r="B25" s="7" t="n"/>
      <c r="C25" s="7" t="n"/>
      <c r="D25" s="7" t="n"/>
      <c r="E25" s="7" t="n"/>
      <c r="F25" s="8" t="n"/>
      <c r="G25" s="7" t="n"/>
      <c r="H25" s="7" t="n"/>
      <c r="I25" s="9" t="n"/>
    </row>
    <row r="26">
      <c r="A26" s="7" t="n"/>
      <c r="B26" s="7" t="n"/>
      <c r="C26" s="7" t="n"/>
      <c r="D26" s="7" t="n"/>
      <c r="E26" s="7" t="n"/>
      <c r="F26" s="8" t="n"/>
      <c r="G26" s="7" t="n"/>
      <c r="H26" s="7" t="n"/>
      <c r="I26" s="9" t="n"/>
    </row>
    <row r="27">
      <c r="A27" s="7" t="n"/>
      <c r="B27" s="7" t="n"/>
      <c r="C27" s="7" t="n"/>
      <c r="D27" s="7" t="n"/>
      <c r="E27" s="7" t="n"/>
      <c r="F27" s="8" t="n"/>
      <c r="G27" s="7" t="n"/>
      <c r="H27" s="7" t="n"/>
      <c r="I27" s="9" t="n"/>
    </row>
    <row r="28">
      <c r="A28" s="7" t="n"/>
      <c r="B28" s="7" t="n"/>
      <c r="C28" s="7" t="n"/>
      <c r="D28" s="7" t="n"/>
      <c r="E28" s="7" t="n"/>
      <c r="F28" s="8" t="n"/>
      <c r="G28" s="7" t="n"/>
      <c r="H28" s="7" t="n"/>
      <c r="I28" s="9" t="n"/>
    </row>
    <row r="29">
      <c r="A29" s="7" t="n"/>
      <c r="B29" s="7" t="n"/>
      <c r="C29" s="7" t="n"/>
      <c r="D29" s="7" t="n"/>
      <c r="E29" s="7" t="n"/>
      <c r="F29" s="8" t="n"/>
      <c r="G29" s="7" t="n"/>
      <c r="H29" s="7" t="n"/>
      <c r="I29" s="9" t="n"/>
    </row>
    <row r="30">
      <c r="A30" s="7" t="n"/>
      <c r="B30" s="7" t="n"/>
      <c r="C30" s="7" t="n"/>
      <c r="D30" s="7" t="n"/>
      <c r="E30" s="7" t="n"/>
      <c r="F30" s="8" t="n"/>
      <c r="G30" s="7" t="n"/>
      <c r="H30" s="7" t="n"/>
      <c r="I30" s="9" t="n"/>
    </row>
    <row r="31">
      <c r="A31" s="7" t="n"/>
      <c r="B31" s="7" t="n"/>
      <c r="C31" s="7" t="n"/>
      <c r="D31" s="7" t="n"/>
      <c r="E31" s="7" t="n"/>
      <c r="F31" s="8" t="n"/>
      <c r="G31" s="7" t="n"/>
      <c r="H31" s="7" t="n"/>
      <c r="I31" s="9" t="n"/>
    </row>
    <row r="32">
      <c r="A32" s="7" t="n"/>
      <c r="B32" s="7" t="n"/>
      <c r="C32" s="7" t="n"/>
      <c r="D32" s="7" t="n"/>
      <c r="E32" s="7" t="n"/>
      <c r="F32" s="8" t="n"/>
      <c r="G32" s="7" t="n"/>
      <c r="H32" s="7" t="n"/>
      <c r="I32" s="9" t="n"/>
    </row>
    <row r="33">
      <c r="A33" s="7" t="n"/>
      <c r="B33" s="7" t="n"/>
      <c r="C33" s="7" t="n"/>
      <c r="D33" s="7" t="n"/>
      <c r="E33" s="7" t="n"/>
      <c r="F33" s="8" t="n"/>
      <c r="G33" s="7" t="n"/>
      <c r="H33" s="7" t="n"/>
      <c r="I33" s="9" t="n"/>
    </row>
    <row r="34">
      <c r="A34" s="7" t="n"/>
      <c r="B34" s="7" t="n"/>
      <c r="C34" s="7" t="n"/>
      <c r="D34" s="7" t="n"/>
      <c r="E34" s="7" t="n"/>
      <c r="F34" s="8" t="n"/>
      <c r="G34" s="7" t="n"/>
      <c r="H34" s="7" t="n"/>
      <c r="I34" s="9" t="n"/>
    </row>
    <row r="35">
      <c r="A35" s="7" t="n"/>
      <c r="B35" s="7" t="n"/>
      <c r="C35" s="7" t="n"/>
      <c r="D35" s="7" t="n"/>
      <c r="E35" s="7" t="n"/>
      <c r="F35" s="8" t="n"/>
      <c r="G35" s="7" t="n"/>
      <c r="H35" s="7" t="n"/>
      <c r="I35" s="9" t="n"/>
    </row>
    <row r="36">
      <c r="A36" s="7" t="n"/>
      <c r="B36" s="7" t="n"/>
      <c r="C36" s="7" t="n"/>
      <c r="D36" s="7" t="n"/>
      <c r="E36" s="7" t="n"/>
      <c r="F36" s="8" t="n"/>
      <c r="G36" s="7" t="n"/>
      <c r="H36" s="7" t="n"/>
      <c r="I36" s="9" t="n"/>
    </row>
    <row r="37">
      <c r="A37" s="7" t="n"/>
      <c r="B37" s="7" t="n"/>
      <c r="C37" s="7" t="n"/>
      <c r="D37" s="7" t="n"/>
      <c r="E37" s="7" t="n"/>
      <c r="F37" s="8" t="n"/>
      <c r="G37" s="7" t="n"/>
      <c r="H37" s="7" t="n"/>
      <c r="I37" s="9" t="n"/>
    </row>
    <row r="38">
      <c r="A38" s="7" t="n"/>
      <c r="B38" s="7" t="n"/>
      <c r="C38" s="7" t="n"/>
      <c r="D38" s="7" t="n"/>
      <c r="E38" s="7" t="n"/>
      <c r="F38" s="8" t="n"/>
      <c r="G38" s="7" t="n"/>
      <c r="H38" s="7" t="n"/>
      <c r="I38" s="9" t="n"/>
    </row>
    <row r="39">
      <c r="A39" s="7" t="n"/>
      <c r="B39" s="7" t="n"/>
      <c r="C39" s="7" t="n"/>
      <c r="D39" s="7" t="n"/>
      <c r="E39" s="7" t="n"/>
      <c r="F39" s="8" t="n"/>
      <c r="G39" s="7" t="n"/>
      <c r="H39" s="7" t="n"/>
      <c r="I39" s="9" t="n"/>
    </row>
    <row r="40">
      <c r="A40" s="7" t="n"/>
      <c r="B40" s="7" t="n"/>
      <c r="C40" s="7" t="n"/>
      <c r="D40" s="7" t="n"/>
      <c r="E40" s="7" t="n"/>
      <c r="F40" s="8" t="n"/>
      <c r="G40" s="7" t="n"/>
      <c r="H40" s="7" t="n"/>
      <c r="I40" s="9" t="n"/>
    </row>
    <row r="41">
      <c r="A41" s="7" t="n"/>
      <c r="B41" s="7" t="n"/>
      <c r="C41" s="7" t="n"/>
      <c r="D41" s="7" t="n"/>
      <c r="E41" s="7" t="n"/>
      <c r="F41" s="8" t="n"/>
      <c r="G41" s="7" t="n"/>
      <c r="H41" s="7" t="n"/>
      <c r="I41" s="9" t="n"/>
    </row>
    <row r="42">
      <c r="A42" s="7" t="n"/>
      <c r="B42" s="7" t="n"/>
      <c r="C42" s="7" t="n"/>
      <c r="D42" s="7" t="n"/>
      <c r="E42" s="7" t="n"/>
      <c r="F42" s="8" t="n"/>
      <c r="G42" s="7" t="n"/>
      <c r="H42" s="7" t="n"/>
      <c r="I42" s="9" t="n"/>
    </row>
    <row r="43">
      <c r="A43" s="7" t="n"/>
      <c r="B43" s="7" t="n"/>
      <c r="C43" s="7" t="n"/>
      <c r="D43" s="7" t="n"/>
      <c r="E43" s="7" t="n"/>
      <c r="F43" s="8" t="n"/>
      <c r="G43" s="7" t="n"/>
      <c r="H43" s="7" t="n"/>
      <c r="I43" s="9" t="n"/>
    </row>
    <row r="44">
      <c r="A44" s="7" t="n"/>
      <c r="B44" s="7" t="n"/>
      <c r="C44" s="7" t="n"/>
      <c r="D44" s="7" t="n"/>
      <c r="E44" s="7" t="n"/>
      <c r="F44" s="8" t="n"/>
      <c r="G44" s="7" t="n"/>
      <c r="H44" s="7" t="n"/>
      <c r="I44" s="9" t="n"/>
    </row>
    <row r="45">
      <c r="A45" s="7" t="n"/>
      <c r="B45" s="7" t="n"/>
      <c r="C45" s="7" t="n"/>
      <c r="D45" s="7" t="n"/>
      <c r="E45" s="7" t="n"/>
      <c r="F45" s="8" t="n"/>
      <c r="G45" s="7" t="n"/>
      <c r="H45" s="7" t="n"/>
      <c r="I45" s="9" t="n"/>
    </row>
    <row r="46">
      <c r="A46" s="7" t="n"/>
      <c r="B46" s="7" t="n"/>
      <c r="C46" s="7" t="n"/>
      <c r="D46" s="7" t="n"/>
      <c r="E46" s="7" t="n"/>
      <c r="F46" s="8" t="n"/>
      <c r="G46" s="7" t="n"/>
      <c r="H46" s="7" t="n"/>
      <c r="I46" s="9" t="n"/>
    </row>
    <row r="47">
      <c r="A47" s="7" t="n"/>
      <c r="B47" s="7" t="n"/>
      <c r="C47" s="7" t="n"/>
      <c r="D47" s="7" t="n"/>
      <c r="E47" s="7" t="n"/>
      <c r="F47" s="8" t="n"/>
      <c r="G47" s="7" t="n"/>
      <c r="H47" s="7" t="n"/>
      <c r="I47" s="9" t="n"/>
    </row>
    <row r="48">
      <c r="A48" s="7" t="n"/>
      <c r="B48" s="7" t="n"/>
      <c r="C48" s="7" t="n"/>
      <c r="D48" s="7" t="n"/>
      <c r="E48" s="7" t="n"/>
      <c r="F48" s="8" t="n"/>
      <c r="G48" s="7" t="n"/>
      <c r="H48" s="7" t="n"/>
      <c r="I48" s="9" t="n"/>
    </row>
    <row r="49">
      <c r="A49" s="7" t="n"/>
      <c r="B49" s="7" t="n"/>
      <c r="C49" s="7" t="n"/>
      <c r="D49" s="7" t="n"/>
      <c r="E49" s="7" t="n"/>
      <c r="F49" s="8" t="n"/>
      <c r="G49" s="7" t="n"/>
      <c r="H49" s="7" t="n"/>
      <c r="I49" s="9" t="n"/>
    </row>
    <row r="50">
      <c r="A50" s="7" t="n"/>
      <c r="B50" s="7" t="n"/>
      <c r="C50" s="7" t="n"/>
      <c r="D50" s="7" t="n"/>
      <c r="E50" s="7" t="n"/>
      <c r="F50" s="8" t="n"/>
      <c r="G50" s="7" t="n"/>
      <c r="H50" s="7" t="n"/>
      <c r="I50" s="9" t="n"/>
    </row>
    <row r="51">
      <c r="A51" s="7" t="n"/>
      <c r="B51" s="7" t="n"/>
      <c r="C51" s="7" t="n"/>
      <c r="D51" s="7" t="n"/>
      <c r="E51" s="7" t="n"/>
      <c r="F51" s="8" t="n"/>
      <c r="G51" s="7" t="n"/>
      <c r="H51" s="7" t="n"/>
      <c r="I51" s="9" t="n"/>
    </row>
    <row r="52">
      <c r="A52" s="7" t="n"/>
      <c r="B52" s="7" t="n"/>
      <c r="C52" s="7" t="n"/>
      <c r="D52" s="7" t="n"/>
      <c r="E52" s="7" t="n"/>
      <c r="F52" s="8" t="n"/>
      <c r="G52" s="7" t="n"/>
      <c r="H52" s="7" t="n"/>
      <c r="I52" s="9" t="n"/>
    </row>
    <row r="53">
      <c r="A53" s="7" t="n"/>
      <c r="B53" s="7" t="n"/>
      <c r="C53" s="7" t="n"/>
      <c r="D53" s="7" t="n"/>
      <c r="E53" s="7" t="n"/>
      <c r="F53" s="8" t="n"/>
      <c r="G53" s="7" t="n"/>
      <c r="H53" s="7" t="n"/>
      <c r="I53" s="9" t="n"/>
    </row>
    <row r="54">
      <c r="A54" s="7" t="n"/>
      <c r="B54" s="7" t="n"/>
      <c r="C54" s="7" t="n"/>
      <c r="D54" s="7" t="n"/>
      <c r="E54" s="7" t="n"/>
      <c r="F54" s="8" t="n"/>
      <c r="G54" s="7" t="n"/>
      <c r="H54" s="7" t="n"/>
      <c r="I54" s="9" t="n"/>
    </row>
    <row r="55">
      <c r="A55" s="7" t="n"/>
      <c r="B55" s="7" t="n"/>
      <c r="C55" s="7" t="n"/>
      <c r="D55" s="7" t="n"/>
      <c r="E55" s="7" t="n"/>
      <c r="F55" s="8" t="n"/>
      <c r="G55" s="7" t="n"/>
      <c r="H55" s="7" t="n"/>
      <c r="I55" s="9" t="n"/>
    </row>
    <row r="56">
      <c r="A56" s="7" t="n"/>
      <c r="B56" s="7" t="n"/>
      <c r="C56" s="7" t="n"/>
      <c r="D56" s="7" t="n"/>
      <c r="E56" s="7" t="n"/>
      <c r="F56" s="8" t="n"/>
      <c r="G56" s="7" t="n"/>
      <c r="H56" s="7" t="n"/>
      <c r="I56" s="9" t="n"/>
    </row>
    <row r="57">
      <c r="A57" s="7" t="n"/>
      <c r="B57" s="7" t="n"/>
      <c r="C57" s="7" t="n"/>
      <c r="D57" s="7" t="n"/>
      <c r="E57" s="7" t="n"/>
      <c r="F57" s="8" t="n"/>
      <c r="G57" s="7" t="n"/>
      <c r="H57" s="7" t="n"/>
      <c r="I57" s="9" t="n"/>
    </row>
    <row r="58">
      <c r="A58" s="7" t="n"/>
      <c r="B58" s="7" t="n"/>
      <c r="C58" s="7" t="n"/>
      <c r="D58" s="7" t="n"/>
      <c r="E58" s="7" t="n"/>
      <c r="F58" s="8" t="n"/>
      <c r="G58" s="7" t="n"/>
      <c r="H58" s="7" t="n"/>
      <c r="I58" s="9" t="n"/>
    </row>
    <row r="59">
      <c r="A59" s="7" t="n"/>
      <c r="B59" s="7" t="n"/>
      <c r="C59" s="7" t="n"/>
      <c r="D59" s="7" t="n"/>
      <c r="E59" s="7" t="n"/>
      <c r="F59" s="8" t="n"/>
      <c r="G59" s="7" t="n"/>
      <c r="H59" s="7" t="n"/>
      <c r="I59" s="9" t="n"/>
    </row>
    <row r="60">
      <c r="A60" s="7" t="n"/>
      <c r="B60" s="7" t="n"/>
      <c r="C60" s="7" t="n"/>
      <c r="D60" s="7" t="n"/>
      <c r="E60" s="7" t="n"/>
      <c r="F60" s="8" t="n"/>
      <c r="G60" s="7" t="n"/>
      <c r="H60" s="7" t="n"/>
      <c r="I60" s="9" t="n"/>
    </row>
    <row r="61">
      <c r="A61" s="7" t="n"/>
      <c r="B61" s="7" t="n"/>
      <c r="C61" s="7" t="n"/>
      <c r="D61" s="7" t="n"/>
      <c r="E61" s="7" t="n"/>
      <c r="F61" s="8" t="n"/>
      <c r="G61" s="7" t="n"/>
      <c r="H61" s="7" t="n"/>
      <c r="I61" s="9" t="n"/>
    </row>
    <row r="62">
      <c r="A62" s="7" t="n"/>
      <c r="B62" s="7" t="n"/>
      <c r="C62" s="7" t="n"/>
      <c r="D62" s="7" t="n"/>
      <c r="E62" s="7" t="n"/>
      <c r="F62" s="8" t="n"/>
      <c r="G62" s="7" t="n"/>
      <c r="H62" s="7" t="n"/>
      <c r="I62" s="9" t="n"/>
    </row>
    <row r="63">
      <c r="A63" s="7" t="n"/>
      <c r="B63" s="7" t="n"/>
      <c r="C63" s="7" t="n"/>
      <c r="D63" s="7" t="n"/>
      <c r="E63" s="7" t="n"/>
      <c r="F63" s="8" t="n"/>
      <c r="G63" s="7" t="n"/>
      <c r="H63" s="7" t="n"/>
      <c r="I63" s="9" t="n"/>
    </row>
    <row r="64">
      <c r="A64" s="7" t="n"/>
      <c r="B64" s="7" t="n"/>
      <c r="C64" s="7" t="n"/>
      <c r="D64" s="7" t="n"/>
      <c r="E64" s="7" t="n"/>
      <c r="F64" s="8" t="n"/>
      <c r="G64" s="7" t="n"/>
      <c r="H64" s="7" t="n"/>
      <c r="I64" s="9" t="n"/>
    </row>
    <row r="65">
      <c r="A65" s="7" t="n"/>
      <c r="B65" s="7" t="n"/>
      <c r="C65" s="7" t="n"/>
      <c r="D65" s="7" t="n"/>
      <c r="E65" s="7" t="n"/>
      <c r="F65" s="8" t="n"/>
      <c r="G65" s="7" t="n"/>
      <c r="H65" s="7" t="n"/>
      <c r="I65" s="9" t="n"/>
    </row>
    <row r="66">
      <c r="A66" s="7" t="n"/>
      <c r="B66" s="7" t="n"/>
      <c r="C66" s="7" t="n"/>
      <c r="D66" s="7" t="n"/>
      <c r="E66" s="7" t="n"/>
      <c r="F66" s="8" t="n"/>
      <c r="G66" s="7" t="n"/>
      <c r="H66" s="7" t="n"/>
      <c r="I66" s="9" t="n"/>
    </row>
    <row r="67">
      <c r="A67" s="7" t="n"/>
      <c r="B67" s="7" t="n"/>
      <c r="C67" s="7" t="n"/>
      <c r="D67" s="7" t="n"/>
      <c r="E67" s="7" t="n"/>
      <c r="F67" s="8" t="n"/>
      <c r="G67" s="7" t="n"/>
      <c r="H67" s="7" t="n"/>
      <c r="I67" s="9" t="n"/>
    </row>
    <row r="68">
      <c r="A68" s="7" t="n"/>
      <c r="B68" s="7" t="n"/>
      <c r="C68" s="7" t="n"/>
      <c r="D68" s="7" t="n"/>
      <c r="E68" s="7" t="n"/>
      <c r="F68" s="8" t="n"/>
      <c r="G68" s="7" t="n"/>
      <c r="H68" s="7" t="n"/>
      <c r="I68" s="9" t="n"/>
    </row>
    <row r="69">
      <c r="A69" s="7" t="n"/>
      <c r="B69" s="7" t="n"/>
      <c r="C69" s="7" t="n"/>
      <c r="D69" s="7" t="n"/>
      <c r="E69" s="7" t="n"/>
      <c r="F69" s="8" t="n"/>
      <c r="G69" s="7" t="n"/>
      <c r="H69" s="7" t="n"/>
      <c r="I69" s="9" t="n"/>
    </row>
    <row r="70">
      <c r="A70" s="7" t="n"/>
      <c r="B70" s="7" t="n"/>
      <c r="C70" s="7" t="n"/>
      <c r="D70" s="7" t="n"/>
      <c r="E70" s="7" t="n"/>
      <c r="F70" s="8" t="n"/>
      <c r="G70" s="7" t="n"/>
      <c r="H70" s="7" t="n"/>
      <c r="I70" s="9" t="n"/>
    </row>
    <row r="71">
      <c r="A71" s="7" t="n"/>
      <c r="B71" s="7" t="n"/>
      <c r="C71" s="7" t="n"/>
      <c r="D71" s="7" t="n"/>
      <c r="E71" s="7" t="n"/>
      <c r="F71" s="8" t="n"/>
      <c r="G71" s="7" t="n"/>
      <c r="H71" s="7" t="n"/>
      <c r="I71" s="9" t="n"/>
    </row>
    <row r="72">
      <c r="A72" s="7" t="n"/>
      <c r="B72" s="7" t="n"/>
      <c r="C72" s="7" t="n"/>
      <c r="D72" s="7" t="n"/>
      <c r="E72" s="7" t="n"/>
      <c r="F72" s="8" t="n"/>
      <c r="G72" s="7" t="n"/>
      <c r="H72" s="7" t="n"/>
      <c r="I72" s="9" t="n"/>
    </row>
    <row r="73">
      <c r="A73" s="7" t="n"/>
      <c r="B73" s="7" t="n"/>
      <c r="C73" s="7" t="n"/>
      <c r="D73" s="7" t="n"/>
      <c r="E73" s="7" t="n"/>
      <c r="F73" s="8" t="n"/>
      <c r="G73" s="7" t="n"/>
      <c r="H73" s="7" t="n"/>
      <c r="I73" s="9" t="n"/>
    </row>
    <row r="74">
      <c r="A74" s="7" t="n"/>
      <c r="B74" s="7" t="n"/>
      <c r="C74" s="7" t="n"/>
      <c r="D74" s="7" t="n"/>
      <c r="E74" s="7" t="n"/>
      <c r="F74" s="8" t="n"/>
      <c r="G74" s="7" t="n"/>
      <c r="H74" s="7" t="n"/>
      <c r="I74" s="9" t="n"/>
    </row>
    <row r="75">
      <c r="A75" s="7" t="n"/>
      <c r="B75" s="7" t="n"/>
      <c r="C75" s="7" t="n"/>
      <c r="D75" s="7" t="n"/>
      <c r="E75" s="7" t="n"/>
      <c r="F75" s="8" t="n"/>
      <c r="G75" s="7" t="n"/>
      <c r="H75" s="7" t="n"/>
      <c r="I75" s="9" t="n"/>
    </row>
    <row r="76">
      <c r="A76" s="7" t="n"/>
      <c r="B76" s="7" t="n"/>
      <c r="C76" s="7" t="n"/>
      <c r="D76" s="7" t="n"/>
      <c r="E76" s="7" t="n"/>
      <c r="F76" s="8" t="n"/>
      <c r="G76" s="7" t="n"/>
      <c r="H76" s="7" t="n"/>
      <c r="I76" s="9" t="n"/>
    </row>
    <row r="77">
      <c r="A77" s="7" t="n"/>
      <c r="B77" s="7" t="n"/>
      <c r="C77" s="7" t="n"/>
      <c r="D77" s="7" t="n"/>
      <c r="E77" s="7" t="n"/>
      <c r="F77" s="8" t="n"/>
      <c r="G77" s="7" t="n"/>
      <c r="H77" s="7" t="n"/>
      <c r="I77" s="9" t="n"/>
    </row>
    <row r="78">
      <c r="A78" s="7" t="n"/>
      <c r="B78" s="7" t="n"/>
      <c r="C78" s="7" t="n"/>
      <c r="D78" s="7" t="n"/>
      <c r="E78" s="7" t="n"/>
      <c r="F78" s="8" t="n"/>
      <c r="G78" s="7" t="n"/>
      <c r="H78" s="7" t="n"/>
      <c r="I78" s="9" t="n"/>
    </row>
    <row r="79">
      <c r="A79" s="7" t="n"/>
      <c r="B79" s="7" t="n"/>
      <c r="C79" s="7" t="n"/>
      <c r="D79" s="7" t="n"/>
      <c r="E79" s="7" t="n"/>
      <c r="F79" s="8" t="n"/>
      <c r="G79" s="7" t="n"/>
      <c r="H79" s="7" t="n"/>
      <c r="I79" s="9" t="n"/>
    </row>
    <row r="80">
      <c r="A80" s="7" t="n"/>
      <c r="B80" s="7" t="n"/>
      <c r="C80" s="7" t="n"/>
      <c r="D80" s="7" t="n"/>
      <c r="E80" s="7" t="n"/>
      <c r="F80" s="8" t="n"/>
      <c r="G80" s="7" t="n"/>
      <c r="H80" s="7" t="n"/>
      <c r="I80" s="9" t="n"/>
    </row>
    <row r="81">
      <c r="A81" s="7" t="n"/>
      <c r="B81" s="7" t="n"/>
      <c r="C81" s="7" t="n"/>
      <c r="D81" s="7" t="n"/>
      <c r="E81" s="7" t="n"/>
      <c r="F81" s="8" t="n"/>
      <c r="G81" s="7" t="n"/>
      <c r="H81" s="7" t="n"/>
      <c r="I81" s="9" t="n"/>
    </row>
    <row r="82">
      <c r="A82" s="7" t="n"/>
      <c r="B82" s="7" t="n"/>
      <c r="C82" s="7" t="n"/>
      <c r="D82" s="7" t="n"/>
      <c r="E82" s="7" t="n"/>
      <c r="F82" s="8" t="n"/>
      <c r="G82" s="7" t="n"/>
      <c r="H82" s="7" t="n"/>
      <c r="I82" s="9" t="n"/>
    </row>
    <row r="83">
      <c r="A83" s="7" t="n"/>
      <c r="B83" s="7" t="n"/>
      <c r="C83" s="7" t="n"/>
      <c r="D83" s="7" t="n"/>
      <c r="E83" s="7" t="n"/>
      <c r="F83" s="8" t="n"/>
      <c r="G83" s="7" t="n"/>
      <c r="H83" s="7" t="n"/>
      <c r="I83" s="9" t="n"/>
    </row>
    <row r="84">
      <c r="A84" s="7" t="n"/>
      <c r="B84" s="7" t="n"/>
      <c r="C84" s="7" t="n"/>
      <c r="D84" s="7" t="n"/>
      <c r="E84" s="7" t="n"/>
      <c r="F84" s="8" t="n"/>
      <c r="G84" s="7" t="n"/>
      <c r="H84" s="7" t="n"/>
      <c r="I84" s="9" t="n"/>
    </row>
    <row r="85">
      <c r="A85" s="7" t="n"/>
      <c r="B85" s="7" t="n"/>
      <c r="C85" s="7" t="n"/>
      <c r="D85" s="7" t="n"/>
      <c r="E85" s="7" t="n"/>
      <c r="F85" s="8" t="n"/>
      <c r="G85" s="7" t="n"/>
      <c r="H85" s="7" t="n"/>
      <c r="I85" s="9" t="n"/>
    </row>
    <row r="86">
      <c r="A86" s="7" t="n"/>
      <c r="B86" s="7" t="n"/>
      <c r="C86" s="7" t="n"/>
      <c r="D86" s="7" t="n"/>
      <c r="E86" s="7" t="n"/>
      <c r="F86" s="8" t="n"/>
      <c r="G86" s="7" t="n"/>
      <c r="H86" s="7" t="n"/>
      <c r="I86" s="9" t="n"/>
    </row>
    <row r="87">
      <c r="A87" s="7" t="n"/>
      <c r="B87" s="7" t="n"/>
      <c r="C87" s="7" t="n"/>
      <c r="D87" s="7" t="n"/>
      <c r="E87" s="7" t="n"/>
      <c r="F87" s="8" t="n"/>
      <c r="G87" s="7" t="n"/>
      <c r="H87" s="7" t="n"/>
      <c r="I87" s="9" t="n"/>
    </row>
    <row r="88">
      <c r="A88" s="7" t="n"/>
      <c r="B88" s="7" t="n"/>
      <c r="C88" s="7" t="n"/>
      <c r="D88" s="7" t="n"/>
      <c r="E88" s="7" t="n"/>
      <c r="F88" s="8" t="n"/>
      <c r="G88" s="7" t="n"/>
      <c r="H88" s="7" t="n"/>
      <c r="I88" s="9" t="n"/>
    </row>
    <row r="89">
      <c r="A89" s="7" t="n"/>
      <c r="B89" s="7" t="n"/>
      <c r="C89" s="7" t="n"/>
      <c r="D89" s="7" t="n"/>
      <c r="E89" s="7" t="n"/>
      <c r="F89" s="8" t="n"/>
      <c r="G89" s="7" t="n"/>
      <c r="H89" s="7" t="n"/>
      <c r="I89" s="9" t="n"/>
    </row>
    <row r="90">
      <c r="A90" s="7" t="n"/>
      <c r="B90" s="7" t="n"/>
      <c r="C90" s="7" t="n"/>
      <c r="D90" s="7" t="n"/>
      <c r="E90" s="7" t="n"/>
      <c r="F90" s="8" t="n"/>
      <c r="G90" s="7" t="n"/>
      <c r="H90" s="7" t="n"/>
      <c r="I90" s="9" t="n"/>
    </row>
    <row r="91">
      <c r="A91" s="7" t="n"/>
      <c r="B91" s="7" t="n"/>
      <c r="C91" s="7" t="n"/>
      <c r="D91" s="7" t="n"/>
      <c r="E91" s="7" t="n"/>
      <c r="F91" s="8" t="n"/>
      <c r="G91" s="7" t="n"/>
      <c r="H91" s="7" t="n"/>
      <c r="I91" s="9" t="n"/>
    </row>
    <row r="92">
      <c r="A92" s="7" t="n"/>
      <c r="B92" s="7" t="n"/>
      <c r="C92" s="7" t="n"/>
      <c r="D92" s="7" t="n"/>
      <c r="E92" s="7" t="n"/>
      <c r="F92" s="8" t="n"/>
      <c r="G92" s="7" t="n"/>
      <c r="H92" s="7" t="n"/>
      <c r="I92" s="9" t="n"/>
    </row>
    <row r="93">
      <c r="A93" s="7" t="n"/>
      <c r="B93" s="7" t="n"/>
      <c r="C93" s="7" t="n"/>
      <c r="D93" s="7" t="n"/>
      <c r="E93" s="7" t="n"/>
      <c r="F93" s="8" t="n"/>
      <c r="G93" s="7" t="n"/>
      <c r="H93" s="7" t="n"/>
      <c r="I93" s="9" t="n"/>
    </row>
    <row r="94">
      <c r="A94" s="7" t="n"/>
      <c r="B94" s="7" t="n"/>
      <c r="C94" s="7" t="n"/>
      <c r="D94" s="7" t="n"/>
      <c r="E94" s="7" t="n"/>
      <c r="F94" s="8" t="n"/>
      <c r="G94" s="7" t="n"/>
      <c r="H94" s="7" t="n"/>
      <c r="I94" s="9" t="n"/>
    </row>
    <row r="95">
      <c r="A95" s="7" t="n"/>
      <c r="B95" s="7" t="n"/>
      <c r="C95" s="7" t="n"/>
      <c r="D95" s="7" t="n"/>
      <c r="E95" s="7" t="n"/>
      <c r="F95" s="8" t="n"/>
      <c r="G95" s="7" t="n"/>
      <c r="H95" s="7" t="n"/>
      <c r="I95" s="9" t="n"/>
    </row>
    <row r="96">
      <c r="A96" s="7" t="n"/>
      <c r="B96" s="7" t="n"/>
      <c r="C96" s="7" t="n"/>
      <c r="D96" s="7" t="n"/>
      <c r="E96" s="7" t="n"/>
      <c r="F96" s="8" t="n"/>
      <c r="G96" s="7" t="n"/>
      <c r="H96" s="7" t="n"/>
      <c r="I96" s="9" t="n"/>
    </row>
    <row r="97">
      <c r="A97" s="7" t="n"/>
      <c r="B97" s="7" t="n"/>
      <c r="C97" s="7" t="n"/>
      <c r="D97" s="7" t="n"/>
      <c r="E97" s="7" t="n"/>
      <c r="F97" s="8" t="n"/>
      <c r="G97" s="7" t="n"/>
      <c r="H97" s="7" t="n"/>
      <c r="I97" s="9" t="n"/>
    </row>
    <row r="98">
      <c r="A98" s="7" t="n"/>
      <c r="B98" s="7" t="n"/>
      <c r="C98" s="7" t="n"/>
      <c r="D98" s="7" t="n"/>
      <c r="E98" s="7" t="n"/>
      <c r="F98" s="8" t="n"/>
      <c r="G98" s="7" t="n"/>
      <c r="H98" s="7" t="n"/>
      <c r="I98" s="9" t="n"/>
    </row>
    <row r="99">
      <c r="A99" s="7" t="n"/>
      <c r="B99" s="7" t="n"/>
      <c r="C99" s="7" t="n"/>
      <c r="D99" s="7" t="n"/>
      <c r="E99" s="7" t="n"/>
      <c r="F99" s="8" t="n"/>
      <c r="G99" s="7" t="n"/>
      <c r="H99" s="7" t="n"/>
      <c r="I99" s="9" t="n"/>
    </row>
    <row r="100">
      <c r="A100" s="7" t="n"/>
      <c r="B100" s="7" t="n"/>
      <c r="C100" s="7" t="n"/>
      <c r="D100" s="7" t="n"/>
      <c r="E100" s="7" t="n"/>
      <c r="F100" s="8" t="n"/>
      <c r="G100" s="7" t="n"/>
      <c r="H100" s="7" t="n"/>
      <c r="I100" s="9" t="n"/>
    </row>
    <row r="101">
      <c r="A101" s="7" t="n"/>
      <c r="B101" s="7" t="n"/>
      <c r="C101" s="7" t="n"/>
      <c r="D101" s="7" t="n"/>
      <c r="E101" s="7" t="n"/>
      <c r="F101" s="8" t="n"/>
      <c r="G101" s="7" t="n"/>
      <c r="H101" s="7" t="n"/>
      <c r="I101" s="9" t="n"/>
    </row>
    <row r="102">
      <c r="A102" s="7" t="n"/>
      <c r="B102" s="7" t="n"/>
      <c r="C102" s="7" t="n"/>
      <c r="D102" s="7" t="n"/>
      <c r="E102" s="7" t="n"/>
      <c r="F102" s="8" t="n"/>
      <c r="G102" s="7" t="n"/>
      <c r="H102" s="7" t="n"/>
      <c r="I102" s="9" t="n"/>
    </row>
    <row r="103">
      <c r="A103" s="7" t="n"/>
      <c r="B103" s="7" t="n"/>
      <c r="C103" s="7" t="n"/>
      <c r="D103" s="7" t="n"/>
      <c r="E103" s="7" t="n"/>
      <c r="F103" s="8" t="n"/>
      <c r="G103" s="7" t="n"/>
      <c r="H103" s="7" t="n"/>
      <c r="I103" s="9" t="n"/>
    </row>
    <row r="104">
      <c r="A104" s="7" t="n"/>
      <c r="B104" s="7" t="n"/>
      <c r="C104" s="7" t="n"/>
      <c r="D104" s="7" t="n"/>
      <c r="E104" s="7" t="n"/>
      <c r="F104" s="8" t="n"/>
      <c r="G104" s="7" t="n"/>
      <c r="H104" s="7" t="n"/>
      <c r="I104" s="9" t="n"/>
    </row>
    <row r="105">
      <c r="A105" s="7" t="n"/>
      <c r="B105" s="7" t="n"/>
      <c r="C105" s="7" t="n"/>
      <c r="D105" s="7" t="n"/>
      <c r="E105" s="7" t="n"/>
      <c r="F105" s="8" t="n"/>
      <c r="G105" s="7" t="n"/>
      <c r="H105" s="7" t="n"/>
      <c r="I105" s="9" t="n"/>
    </row>
    <row r="106">
      <c r="A106" s="7" t="n"/>
      <c r="B106" s="7" t="n"/>
      <c r="C106" s="7" t="n"/>
      <c r="D106" s="7" t="n"/>
      <c r="E106" s="7" t="n"/>
      <c r="F106" s="8" t="n"/>
      <c r="G106" s="7" t="n"/>
      <c r="H106" s="7" t="n"/>
      <c r="I106" s="9" t="n"/>
    </row>
    <row r="107">
      <c r="A107" s="7" t="n"/>
      <c r="B107" s="7" t="n"/>
      <c r="C107" s="7" t="n"/>
      <c r="D107" s="7" t="n"/>
      <c r="E107" s="7" t="n"/>
      <c r="F107" s="8" t="n"/>
      <c r="G107" s="7" t="n"/>
      <c r="H107" s="7" t="n"/>
      <c r="I107" s="9" t="n"/>
    </row>
    <row r="108">
      <c r="A108" s="7" t="n"/>
      <c r="B108" s="7" t="n"/>
      <c r="C108" s="7" t="n"/>
      <c r="D108" s="7" t="n"/>
      <c r="E108" s="7" t="n"/>
      <c r="F108" s="8" t="n"/>
      <c r="G108" s="7" t="n"/>
      <c r="H108" s="7" t="n"/>
      <c r="I108" s="9" t="n"/>
    </row>
    <row r="109">
      <c r="A109" s="7" t="n"/>
      <c r="B109" s="7" t="n"/>
      <c r="C109" s="7" t="n"/>
      <c r="D109" s="7" t="n"/>
      <c r="E109" s="7" t="n"/>
      <c r="F109" s="8" t="n"/>
      <c r="G109" s="7" t="n"/>
      <c r="H109" s="7" t="n"/>
      <c r="I109" s="9" t="n"/>
    </row>
    <row r="110">
      <c r="A110" s="7" t="n"/>
      <c r="B110" s="7" t="n"/>
      <c r="C110" s="7" t="n"/>
      <c r="D110" s="7" t="n"/>
      <c r="E110" s="7" t="n"/>
      <c r="F110" s="8" t="n"/>
      <c r="G110" s="7" t="n"/>
      <c r="H110" s="7" t="n"/>
      <c r="I110" s="9" t="n"/>
    </row>
    <row r="111">
      <c r="A111" s="7" t="n"/>
      <c r="B111" s="7" t="n"/>
      <c r="C111" s="7" t="n"/>
      <c r="D111" s="7" t="n"/>
      <c r="E111" s="7" t="n"/>
      <c r="F111" s="8" t="n"/>
      <c r="G111" s="7" t="n"/>
      <c r="H111" s="7" t="n"/>
      <c r="I111" s="9" t="n"/>
    </row>
    <row r="112">
      <c r="A112" s="7" t="n"/>
      <c r="B112" s="7" t="n"/>
      <c r="C112" s="7" t="n"/>
      <c r="D112" s="7" t="n"/>
      <c r="E112" s="7" t="n"/>
      <c r="F112" s="8" t="n"/>
      <c r="G112" s="7" t="n"/>
      <c r="H112" s="7" t="n"/>
      <c r="I112" s="9" t="n"/>
    </row>
    <row r="113">
      <c r="A113" s="7" t="n"/>
      <c r="B113" s="7" t="n"/>
      <c r="C113" s="7" t="n"/>
      <c r="D113" s="7" t="n"/>
      <c r="E113" s="7" t="n"/>
      <c r="F113" s="8" t="n"/>
      <c r="G113" s="7" t="n"/>
      <c r="H113" s="7" t="n"/>
      <c r="I113" s="9" t="n"/>
    </row>
    <row r="114">
      <c r="A114" s="7" t="n"/>
      <c r="B114" s="7" t="n"/>
      <c r="C114" s="7" t="n"/>
      <c r="D114" s="7" t="n"/>
      <c r="E114" s="7" t="n"/>
      <c r="F114" s="8" t="n"/>
      <c r="G114" s="7" t="n"/>
      <c r="H114" s="7" t="n"/>
      <c r="I114" s="9" t="n"/>
    </row>
    <row r="115">
      <c r="A115" s="7" t="n"/>
      <c r="B115" s="7" t="n"/>
      <c r="C115" s="7" t="n"/>
      <c r="D115" s="7" t="n"/>
      <c r="E115" s="7" t="n"/>
      <c r="F115" s="8" t="n"/>
      <c r="G115" s="7" t="n"/>
      <c r="H115" s="7" t="n"/>
      <c r="I115" s="9" t="n"/>
    </row>
    <row r="116">
      <c r="A116" s="7" t="n"/>
      <c r="B116" s="7" t="n"/>
      <c r="C116" s="7" t="n"/>
      <c r="D116" s="7" t="n"/>
      <c r="E116" s="7" t="n"/>
      <c r="F116" s="8" t="n"/>
      <c r="G116" s="7" t="n"/>
      <c r="H116" s="7" t="n"/>
      <c r="I116" s="9" t="n"/>
    </row>
    <row r="117">
      <c r="A117" s="7" t="n"/>
      <c r="B117" s="7" t="n"/>
      <c r="C117" s="7" t="n"/>
      <c r="D117" s="7" t="n"/>
      <c r="E117" s="7" t="n"/>
      <c r="F117" s="8" t="n"/>
      <c r="G117" s="7" t="n"/>
      <c r="H117" s="7" t="n"/>
      <c r="I117" s="9" t="n"/>
    </row>
    <row r="118">
      <c r="A118" s="7" t="n"/>
      <c r="B118" s="7" t="n"/>
      <c r="C118" s="7" t="n"/>
      <c r="D118" s="7" t="n"/>
      <c r="E118" s="7" t="n"/>
      <c r="F118" s="8" t="n"/>
      <c r="G118" s="7" t="n"/>
      <c r="H118" s="7" t="n"/>
      <c r="I118" s="9" t="n"/>
    </row>
    <row r="119">
      <c r="A119" s="7" t="n"/>
      <c r="B119" s="7" t="n"/>
      <c r="C119" s="7" t="n"/>
      <c r="D119" s="7" t="n"/>
      <c r="E119" s="7" t="n"/>
      <c r="F119" s="8" t="n"/>
      <c r="G119" s="7" t="n"/>
      <c r="H119" s="7" t="n"/>
      <c r="I119" s="9" t="n"/>
    </row>
    <row r="120">
      <c r="A120" s="7" t="n"/>
      <c r="B120" s="7" t="n"/>
      <c r="C120" s="7" t="n"/>
      <c r="D120" s="7" t="n"/>
      <c r="E120" s="7" t="n"/>
      <c r="F120" s="8" t="n"/>
      <c r="G120" s="7" t="n"/>
      <c r="H120" s="7" t="n"/>
      <c r="I120" s="9" t="n"/>
    </row>
    <row r="121">
      <c r="A121" s="7" t="n"/>
      <c r="B121" s="7" t="n"/>
      <c r="C121" s="7" t="n"/>
      <c r="D121" s="7" t="n"/>
      <c r="E121" s="7" t="n"/>
      <c r="F121" s="8" t="n"/>
      <c r="G121" s="7" t="n"/>
      <c r="H121" s="7" t="n"/>
      <c r="I121" s="9" t="n"/>
    </row>
    <row r="122">
      <c r="A122" s="7" t="n"/>
      <c r="B122" s="7" t="n"/>
      <c r="C122" s="7" t="n"/>
      <c r="D122" s="7" t="n"/>
      <c r="E122" s="7" t="n"/>
      <c r="F122" s="8" t="n"/>
      <c r="G122" s="7" t="n"/>
      <c r="H122" s="7" t="n"/>
      <c r="I122" s="9" t="n"/>
    </row>
    <row r="123">
      <c r="A123" s="7" t="n"/>
      <c r="B123" s="7" t="n"/>
      <c r="C123" s="7" t="n"/>
      <c r="D123" s="7" t="n"/>
      <c r="E123" s="7" t="n"/>
      <c r="F123" s="8" t="n"/>
      <c r="G123" s="7" t="n"/>
      <c r="H123" s="7" t="n"/>
      <c r="I123" s="9" t="n"/>
    </row>
    <row r="124">
      <c r="A124" s="7" t="n"/>
      <c r="B124" s="7" t="n"/>
      <c r="C124" s="7" t="n"/>
      <c r="D124" s="7" t="n"/>
      <c r="E124" s="7" t="n"/>
      <c r="F124" s="8" t="n"/>
      <c r="G124" s="7" t="n"/>
      <c r="H124" s="7" t="n"/>
      <c r="I124" s="9" t="n"/>
    </row>
    <row r="125">
      <c r="A125" s="7" t="n"/>
      <c r="B125" s="7" t="n"/>
      <c r="C125" s="7" t="n"/>
      <c r="D125" s="7" t="n"/>
      <c r="E125" s="7" t="n"/>
      <c r="F125" s="8" t="n"/>
      <c r="G125" s="7" t="n"/>
      <c r="H125" s="7" t="n"/>
      <c r="I125" s="9" t="n"/>
    </row>
    <row r="126">
      <c r="A126" s="7" t="n"/>
      <c r="B126" s="7" t="n"/>
      <c r="C126" s="7" t="n"/>
      <c r="D126" s="7" t="n"/>
      <c r="E126" s="7" t="n"/>
      <c r="F126" s="8" t="n"/>
      <c r="G126" s="7" t="n"/>
      <c r="H126" s="7" t="n"/>
      <c r="I126" s="9" t="n"/>
    </row>
    <row r="127">
      <c r="A127" s="7" t="n"/>
      <c r="B127" s="7" t="n"/>
      <c r="C127" s="7" t="n"/>
      <c r="D127" s="7" t="n"/>
      <c r="E127" s="7" t="n"/>
      <c r="F127" s="8" t="n"/>
      <c r="G127" s="7" t="n"/>
      <c r="H127" s="7" t="n"/>
      <c r="I127" s="9" t="n"/>
    </row>
    <row r="128">
      <c r="A128" s="7" t="n"/>
      <c r="B128" s="7" t="n"/>
      <c r="C128" s="7" t="n"/>
      <c r="D128" s="7" t="n"/>
      <c r="E128" s="7" t="n"/>
      <c r="F128" s="8" t="n"/>
      <c r="G128" s="7" t="n"/>
      <c r="H128" s="7" t="n"/>
      <c r="I128" s="9" t="n"/>
    </row>
    <row r="129">
      <c r="A129" s="7" t="n"/>
      <c r="B129" s="7" t="n"/>
      <c r="C129" s="7" t="n"/>
      <c r="D129" s="7" t="n"/>
      <c r="E129" s="7" t="n"/>
      <c r="F129" s="8" t="n"/>
      <c r="G129" s="7" t="n"/>
      <c r="H129" s="7" t="n"/>
      <c r="I129" s="9" t="n"/>
    </row>
    <row r="130">
      <c r="A130" s="7" t="n"/>
      <c r="B130" s="7" t="n"/>
      <c r="C130" s="7" t="n"/>
      <c r="D130" s="7" t="n"/>
      <c r="E130" s="7" t="n"/>
      <c r="F130" s="8" t="n"/>
      <c r="G130" s="7" t="n"/>
      <c r="H130" s="7" t="n"/>
      <c r="I130" s="9" t="n"/>
    </row>
    <row r="131">
      <c r="A131" s="7" t="n"/>
      <c r="B131" s="7" t="n"/>
      <c r="C131" s="7" t="n"/>
      <c r="D131" s="7" t="n"/>
      <c r="E131" s="7" t="n"/>
      <c r="F131" s="8" t="n"/>
      <c r="G131" s="7" t="n"/>
      <c r="H131" s="7" t="n"/>
      <c r="I131" s="9" t="n"/>
    </row>
    <row r="132">
      <c r="A132" s="7" t="n"/>
      <c r="B132" s="7" t="n"/>
      <c r="C132" s="7" t="n"/>
      <c r="D132" s="7" t="n"/>
      <c r="E132" s="7" t="n"/>
      <c r="F132" s="8" t="n"/>
      <c r="G132" s="7" t="n"/>
      <c r="H132" s="7" t="n"/>
      <c r="I132" s="9" t="n"/>
    </row>
    <row r="133">
      <c r="A133" s="7" t="n"/>
      <c r="B133" s="7" t="n"/>
      <c r="C133" s="7" t="n"/>
      <c r="D133" s="7" t="n"/>
      <c r="E133" s="7" t="n"/>
      <c r="F133" s="8" t="n"/>
      <c r="G133" s="7" t="n"/>
      <c r="H133" s="7" t="n"/>
      <c r="I133" s="9" t="n"/>
    </row>
    <row r="134">
      <c r="A134" s="7" t="n"/>
      <c r="B134" s="7" t="n"/>
      <c r="C134" s="7" t="n"/>
      <c r="D134" s="7" t="n"/>
      <c r="E134" s="7" t="n"/>
      <c r="F134" s="8" t="n"/>
      <c r="G134" s="7" t="n"/>
      <c r="H134" s="7" t="n"/>
      <c r="I134" s="9" t="n"/>
    </row>
    <row r="135">
      <c r="A135" s="7" t="n"/>
      <c r="B135" s="7" t="n"/>
      <c r="C135" s="7" t="n"/>
      <c r="D135" s="7" t="n"/>
      <c r="E135" s="7" t="n"/>
      <c r="F135" s="8" t="n"/>
      <c r="G135" s="7" t="n"/>
      <c r="H135" s="7" t="n"/>
      <c r="I135" s="9" t="n"/>
    </row>
    <row r="136">
      <c r="A136" s="7" t="n"/>
      <c r="B136" s="7" t="n"/>
      <c r="C136" s="7" t="n"/>
      <c r="D136" s="7" t="n"/>
      <c r="E136" s="7" t="n"/>
      <c r="F136" s="8" t="n"/>
      <c r="G136" s="7" t="n"/>
      <c r="H136" s="7" t="n"/>
      <c r="I136" s="9" t="n"/>
    </row>
    <row r="137">
      <c r="A137" s="7" t="n"/>
      <c r="B137" s="7" t="n"/>
      <c r="C137" s="7" t="n"/>
      <c r="D137" s="7" t="n"/>
      <c r="E137" s="7" t="n"/>
      <c r="F137" s="8" t="n"/>
      <c r="G137" s="7" t="n"/>
      <c r="H137" s="7" t="n"/>
      <c r="I137" s="9" t="n"/>
    </row>
    <row r="138">
      <c r="A138" s="7" t="n"/>
      <c r="B138" s="7" t="n"/>
      <c r="C138" s="7" t="n"/>
      <c r="D138" s="7" t="n"/>
      <c r="E138" s="7" t="n"/>
      <c r="F138" s="8" t="n"/>
      <c r="G138" s="7" t="n"/>
      <c r="H138" s="7" t="n"/>
      <c r="I138" s="9" t="n"/>
    </row>
    <row r="139">
      <c r="A139" s="7" t="n"/>
      <c r="B139" s="7" t="n"/>
      <c r="C139" s="7" t="n"/>
      <c r="D139" s="7" t="n"/>
      <c r="E139" s="7" t="n"/>
      <c r="F139" s="8" t="n"/>
      <c r="G139" s="7" t="n"/>
      <c r="H139" s="7" t="n"/>
      <c r="I139" s="9" t="n"/>
    </row>
    <row r="140">
      <c r="A140" s="7" t="n"/>
      <c r="B140" s="7" t="n"/>
      <c r="C140" s="7" t="n"/>
      <c r="D140" s="7" t="n"/>
      <c r="E140" s="7" t="n"/>
      <c r="F140" s="8" t="n"/>
      <c r="G140" s="7" t="n"/>
      <c r="H140" s="7" t="n"/>
      <c r="I140" s="9" t="n"/>
    </row>
    <row r="141">
      <c r="A141" s="7" t="n"/>
      <c r="B141" s="7" t="n"/>
      <c r="C141" s="7" t="n"/>
      <c r="D141" s="7" t="n"/>
      <c r="E141" s="7" t="n"/>
      <c r="F141" s="8" t="n"/>
      <c r="G141" s="7" t="n"/>
      <c r="H141" s="7" t="n"/>
      <c r="I141" s="9" t="n"/>
    </row>
    <row r="142">
      <c r="A142" s="7" t="n"/>
      <c r="B142" s="7" t="n"/>
      <c r="C142" s="7" t="n"/>
      <c r="D142" s="7" t="n"/>
      <c r="E142" s="7" t="n"/>
      <c r="F142" s="8" t="n"/>
      <c r="G142" s="7" t="n"/>
      <c r="H142" s="7" t="n"/>
      <c r="I142" s="9" t="n"/>
    </row>
    <row r="143">
      <c r="A143" s="7" t="n"/>
      <c r="B143" s="7" t="n"/>
      <c r="C143" s="7" t="n"/>
      <c r="D143" s="7" t="n"/>
      <c r="E143" s="7" t="n"/>
      <c r="F143" s="8" t="n"/>
      <c r="G143" s="7" t="n"/>
      <c r="H143" s="7" t="n"/>
      <c r="I143" s="9" t="n"/>
    </row>
    <row r="144">
      <c r="A144" s="7" t="n"/>
      <c r="B144" s="7" t="n"/>
      <c r="C144" s="7" t="n"/>
      <c r="D144" s="7" t="n"/>
      <c r="E144" s="7" t="n"/>
      <c r="F144" s="8" t="n"/>
      <c r="G144" s="7" t="n"/>
      <c r="H144" s="7" t="n"/>
      <c r="I144" s="9" t="n"/>
    </row>
    <row r="145">
      <c r="A145" s="7" t="n"/>
      <c r="B145" s="7" t="n"/>
      <c r="C145" s="7" t="n"/>
      <c r="D145" s="7" t="n"/>
      <c r="E145" s="7" t="n"/>
      <c r="F145" s="8" t="n"/>
      <c r="G145" s="7" t="n"/>
      <c r="H145" s="7" t="n"/>
      <c r="I145" s="9" t="n"/>
    </row>
    <row r="146">
      <c r="A146" s="7" t="n"/>
      <c r="B146" s="7" t="n"/>
      <c r="C146" s="7" t="n"/>
      <c r="D146" s="7" t="n"/>
      <c r="E146" s="7" t="n"/>
      <c r="F146" s="8" t="n"/>
      <c r="G146" s="7" t="n"/>
      <c r="H146" s="7" t="n"/>
      <c r="I146" s="9" t="n"/>
    </row>
    <row r="147">
      <c r="A147" s="7" t="n"/>
      <c r="B147" s="7" t="n"/>
      <c r="C147" s="7" t="n"/>
      <c r="D147" s="7" t="n"/>
      <c r="E147" s="7" t="n"/>
      <c r="F147" s="8" t="n"/>
      <c r="G147" s="7" t="n"/>
      <c r="H147" s="7" t="n"/>
      <c r="I147" s="9" t="n"/>
    </row>
    <row r="148">
      <c r="A148" s="7" t="n"/>
      <c r="B148" s="7" t="n"/>
      <c r="C148" s="7" t="n"/>
      <c r="D148" s="7" t="n"/>
      <c r="E148" s="7" t="n"/>
      <c r="F148" s="8" t="n"/>
      <c r="G148" s="7" t="n"/>
      <c r="H148" s="7" t="n"/>
      <c r="I148" s="9" t="n"/>
    </row>
    <row r="149">
      <c r="A149" s="7" t="n"/>
      <c r="B149" s="7" t="n"/>
      <c r="C149" s="7" t="n"/>
      <c r="D149" s="7" t="n"/>
      <c r="E149" s="7" t="n"/>
      <c r="F149" s="8" t="n"/>
      <c r="G149" s="7" t="n"/>
      <c r="H149" s="7" t="n"/>
      <c r="I149" s="9" t="n"/>
    </row>
    <row r="150">
      <c r="A150" s="7" t="n"/>
      <c r="B150" s="7" t="n"/>
      <c r="C150" s="7" t="n"/>
      <c r="D150" s="7" t="n"/>
      <c r="E150" s="7" t="n"/>
      <c r="F150" s="8" t="n"/>
      <c r="G150" s="7" t="n"/>
      <c r="H150" s="7" t="n"/>
      <c r="I150" s="9" t="n"/>
    </row>
    <row r="151">
      <c r="A151" s="7" t="n"/>
      <c r="B151" s="7" t="n"/>
      <c r="C151" s="7" t="n"/>
      <c r="D151" s="7" t="n"/>
      <c r="E151" s="7" t="n"/>
      <c r="F151" s="8" t="n"/>
      <c r="G151" s="7" t="n"/>
      <c r="H151" s="7" t="n"/>
      <c r="I151" s="9" t="n"/>
    </row>
    <row r="152">
      <c r="A152" s="7" t="n"/>
      <c r="B152" s="7" t="n"/>
      <c r="C152" s="7" t="n"/>
      <c r="D152" s="7" t="n"/>
      <c r="E152" s="7" t="n"/>
      <c r="F152" s="8" t="n"/>
      <c r="G152" s="7" t="n"/>
      <c r="H152" s="7" t="n"/>
      <c r="I152" s="9" t="n"/>
    </row>
    <row r="153">
      <c r="A153" s="7" t="n"/>
      <c r="B153" s="7" t="n"/>
      <c r="C153" s="7" t="n"/>
      <c r="D153" s="7" t="n"/>
      <c r="E153" s="7" t="n"/>
      <c r="F153" s="8" t="n"/>
      <c r="G153" s="7" t="n"/>
      <c r="H153" s="7" t="n"/>
      <c r="I153" s="9" t="n"/>
    </row>
    <row r="154">
      <c r="A154" s="7" t="n"/>
      <c r="B154" s="7" t="n"/>
      <c r="C154" s="7" t="n"/>
      <c r="D154" s="7" t="n"/>
      <c r="E154" s="7" t="n"/>
      <c r="F154" s="8" t="n"/>
      <c r="G154" s="7" t="n"/>
      <c r="H154" s="7" t="n"/>
      <c r="I154" s="9" t="n"/>
    </row>
    <row r="155">
      <c r="A155" s="7" t="n"/>
      <c r="B155" s="7" t="n"/>
      <c r="C155" s="7" t="n"/>
      <c r="D155" s="7" t="n"/>
      <c r="E155" s="7" t="n"/>
      <c r="F155" s="8" t="n"/>
      <c r="G155" s="7" t="n"/>
      <c r="H155" s="7" t="n"/>
      <c r="I155" s="9" t="n"/>
    </row>
    <row r="156">
      <c r="A156" s="7" t="n"/>
      <c r="B156" s="7" t="n"/>
      <c r="C156" s="7" t="n"/>
      <c r="D156" s="7" t="n"/>
      <c r="E156" s="7" t="n"/>
      <c r="F156" s="8" t="n"/>
      <c r="G156" s="7" t="n"/>
      <c r="H156" s="7" t="n"/>
      <c r="I156" s="9" t="n"/>
    </row>
    <row r="157">
      <c r="A157" s="7" t="n"/>
      <c r="B157" s="7" t="n"/>
      <c r="C157" s="7" t="n"/>
      <c r="D157" s="7" t="n"/>
      <c r="E157" s="7" t="n"/>
      <c r="F157" s="8" t="n"/>
      <c r="G157" s="7" t="n"/>
      <c r="H157" s="7" t="n"/>
      <c r="I157" s="9" t="n"/>
    </row>
    <row r="158">
      <c r="A158" s="7" t="n"/>
      <c r="B158" s="7" t="n"/>
      <c r="C158" s="7" t="n"/>
      <c r="D158" s="7" t="n"/>
      <c r="E158" s="7" t="n"/>
      <c r="F158" s="8" t="n"/>
      <c r="G158" s="7" t="n"/>
      <c r="H158" s="7" t="n"/>
      <c r="I158" s="9" t="n"/>
    </row>
    <row r="159">
      <c r="A159" s="7" t="n"/>
      <c r="B159" s="7" t="n"/>
      <c r="C159" s="7" t="n"/>
      <c r="D159" s="7" t="n"/>
      <c r="E159" s="7" t="n"/>
      <c r="F159" s="8" t="n"/>
      <c r="G159" s="7" t="n"/>
      <c r="H159" s="7" t="n"/>
      <c r="I159" s="9" t="n"/>
    </row>
    <row r="160">
      <c r="A160" s="7" t="n"/>
      <c r="B160" s="7" t="n"/>
      <c r="C160" s="7" t="n"/>
      <c r="D160" s="7" t="n"/>
      <c r="E160" s="7" t="n"/>
      <c r="F160" s="8" t="n"/>
      <c r="G160" s="7" t="n"/>
      <c r="H160" s="7" t="n"/>
      <c r="I160" s="9" t="n"/>
    </row>
    <row r="161">
      <c r="A161" s="7" t="n"/>
      <c r="B161" s="7" t="n"/>
      <c r="C161" s="7" t="n"/>
      <c r="D161" s="7" t="n"/>
      <c r="E161" s="7" t="n"/>
      <c r="F161" s="8" t="n"/>
      <c r="G161" s="7" t="n"/>
      <c r="H161" s="7" t="n"/>
      <c r="I161" s="9" t="n"/>
    </row>
    <row r="162">
      <c r="A162" s="7" t="n"/>
      <c r="B162" s="7" t="n"/>
      <c r="C162" s="7" t="n"/>
      <c r="D162" s="7" t="n"/>
      <c r="E162" s="7" t="n"/>
      <c r="F162" s="8" t="n"/>
      <c r="G162" s="7" t="n"/>
      <c r="H162" s="7" t="n"/>
      <c r="I162" s="9" t="n"/>
    </row>
    <row r="163">
      <c r="A163" s="7" t="n"/>
      <c r="B163" s="7" t="n"/>
      <c r="C163" s="7" t="n"/>
      <c r="D163" s="7" t="n"/>
      <c r="E163" s="7" t="n"/>
      <c r="F163" s="8" t="n"/>
      <c r="G163" s="7" t="n"/>
      <c r="H163" s="7" t="n"/>
      <c r="I163" s="9" t="n"/>
    </row>
    <row r="164">
      <c r="A164" s="7" t="n"/>
      <c r="B164" s="7" t="n"/>
      <c r="C164" s="7" t="n"/>
      <c r="D164" s="7" t="n"/>
      <c r="E164" s="7" t="n"/>
      <c r="F164" s="8" t="n"/>
      <c r="G164" s="7" t="n"/>
      <c r="H164" s="7" t="n"/>
      <c r="I164" s="9" t="n"/>
    </row>
    <row r="165">
      <c r="A165" s="7" t="n"/>
      <c r="B165" s="7" t="n"/>
      <c r="C165" s="7" t="n"/>
      <c r="D165" s="7" t="n"/>
      <c r="E165" s="7" t="n"/>
      <c r="F165" s="8" t="n"/>
      <c r="G165" s="7" t="n"/>
      <c r="H165" s="7" t="n"/>
      <c r="I165" s="9" t="n"/>
    </row>
    <row r="166">
      <c r="A166" s="7" t="n"/>
      <c r="B166" s="7" t="n"/>
      <c r="C166" s="7" t="n"/>
      <c r="D166" s="7" t="n"/>
      <c r="E166" s="7" t="n"/>
      <c r="F166" s="8" t="n"/>
      <c r="G166" s="7" t="n"/>
      <c r="H166" s="7" t="n"/>
      <c r="I166" s="9" t="n"/>
    </row>
    <row r="167">
      <c r="A167" s="7" t="n"/>
      <c r="B167" s="7" t="n"/>
      <c r="C167" s="7" t="n"/>
      <c r="D167" s="7" t="n"/>
      <c r="E167" s="7" t="n"/>
      <c r="F167" s="8" t="n"/>
      <c r="G167" s="7" t="n"/>
      <c r="H167" s="7" t="n"/>
      <c r="I167" s="9" t="n"/>
    </row>
    <row r="168">
      <c r="A168" s="7" t="n"/>
      <c r="B168" s="7" t="n"/>
      <c r="C168" s="7" t="n"/>
      <c r="D168" s="7" t="n"/>
      <c r="E168" s="7" t="n"/>
      <c r="F168" s="8" t="n"/>
      <c r="G168" s="7" t="n"/>
      <c r="H168" s="7" t="n"/>
      <c r="I168" s="9" t="n"/>
    </row>
    <row r="169">
      <c r="A169" s="7" t="n"/>
      <c r="B169" s="7" t="n"/>
      <c r="C169" s="7" t="n"/>
      <c r="D169" s="7" t="n"/>
      <c r="E169" s="7" t="n"/>
      <c r="F169" s="8" t="n"/>
      <c r="G169" s="7" t="n"/>
      <c r="H169" s="7" t="n"/>
      <c r="I169" s="9" t="n"/>
    </row>
    <row r="170">
      <c r="A170" s="7" t="n"/>
      <c r="B170" s="7" t="n"/>
      <c r="C170" s="7" t="n"/>
      <c r="D170" s="7" t="n"/>
      <c r="E170" s="7" t="n"/>
      <c r="F170" s="8" t="n"/>
      <c r="G170" s="7" t="n"/>
      <c r="H170" s="7" t="n"/>
      <c r="I170" s="9" t="n"/>
    </row>
    <row r="171">
      <c r="A171" s="7" t="n"/>
      <c r="B171" s="7" t="n"/>
      <c r="C171" s="7" t="n"/>
      <c r="D171" s="7" t="n"/>
      <c r="E171" s="7" t="n"/>
      <c r="F171" s="8" t="n"/>
      <c r="G171" s="7" t="n"/>
      <c r="H171" s="7" t="n"/>
      <c r="I171" s="9" t="n"/>
    </row>
    <row r="172">
      <c r="A172" s="7" t="n"/>
      <c r="B172" s="7" t="n"/>
      <c r="C172" s="7" t="n"/>
      <c r="D172" s="7" t="n"/>
      <c r="E172" s="7" t="n"/>
      <c r="F172" s="8" t="n"/>
      <c r="G172" s="7" t="n"/>
      <c r="H172" s="7" t="n"/>
      <c r="I172" s="9" t="n"/>
    </row>
    <row r="173">
      <c r="A173" s="7" t="n"/>
      <c r="B173" s="7" t="n"/>
      <c r="C173" s="7" t="n"/>
      <c r="D173" s="7" t="n"/>
      <c r="E173" s="7" t="n"/>
      <c r="F173" s="8" t="n"/>
      <c r="G173" s="7" t="n"/>
      <c r="H173" s="7" t="n"/>
      <c r="I173" s="9" t="n"/>
    </row>
    <row r="174">
      <c r="A174" s="7" t="n"/>
      <c r="B174" s="7" t="n"/>
      <c r="C174" s="7" t="n"/>
      <c r="D174" s="7" t="n"/>
      <c r="E174" s="7" t="n"/>
      <c r="F174" s="8" t="n"/>
      <c r="G174" s="7" t="n"/>
      <c r="H174" s="7" t="n"/>
      <c r="I174" s="9" t="n"/>
    </row>
    <row r="175">
      <c r="A175" s="7" t="n"/>
      <c r="B175" s="7" t="n"/>
      <c r="C175" s="7" t="n"/>
      <c r="D175" s="7" t="n"/>
      <c r="E175" s="7" t="n"/>
      <c r="F175" s="8" t="n"/>
      <c r="G175" s="7" t="n"/>
      <c r="H175" s="7" t="n"/>
      <c r="I175" s="9" t="n"/>
    </row>
    <row r="176">
      <c r="A176" s="7" t="n"/>
      <c r="B176" s="7" t="n"/>
      <c r="C176" s="7" t="n"/>
      <c r="D176" s="7" t="n"/>
      <c r="E176" s="7" t="n"/>
      <c r="F176" s="8" t="n"/>
      <c r="G176" s="7" t="n"/>
      <c r="H176" s="7" t="n"/>
      <c r="I176" s="9" t="n"/>
    </row>
    <row r="177">
      <c r="A177" s="7" t="n"/>
      <c r="B177" s="7" t="n"/>
      <c r="C177" s="7" t="n"/>
      <c r="D177" s="7" t="n"/>
      <c r="E177" s="7" t="n"/>
      <c r="F177" s="8" t="n"/>
      <c r="G177" s="7" t="n"/>
      <c r="H177" s="7" t="n"/>
      <c r="I177" s="9" t="n"/>
    </row>
    <row r="178">
      <c r="A178" s="7" t="n"/>
      <c r="B178" s="7" t="n"/>
      <c r="C178" s="7" t="n"/>
      <c r="D178" s="7" t="n"/>
      <c r="E178" s="7" t="n"/>
      <c r="F178" s="8" t="n"/>
      <c r="G178" s="7" t="n"/>
      <c r="H178" s="7" t="n"/>
      <c r="I178" s="9" t="n"/>
    </row>
    <row r="179">
      <c r="A179" s="7" t="n"/>
      <c r="B179" s="7" t="n"/>
      <c r="C179" s="7" t="n"/>
      <c r="D179" s="7" t="n"/>
      <c r="E179" s="7" t="n"/>
      <c r="F179" s="8" t="n"/>
      <c r="G179" s="7" t="n"/>
      <c r="H179" s="7" t="n"/>
      <c r="I179" s="9" t="n"/>
    </row>
    <row r="180">
      <c r="A180" s="7" t="n"/>
      <c r="B180" s="7" t="n"/>
      <c r="C180" s="7" t="n"/>
      <c r="D180" s="7" t="n"/>
      <c r="E180" s="7" t="n"/>
      <c r="F180" s="8" t="n"/>
      <c r="G180" s="7" t="n"/>
      <c r="H180" s="7" t="n"/>
      <c r="I180" s="9" t="n"/>
    </row>
    <row r="181">
      <c r="A181" s="7" t="n"/>
      <c r="B181" s="7" t="n"/>
      <c r="C181" s="7" t="n"/>
      <c r="D181" s="7" t="n"/>
      <c r="E181" s="7" t="n"/>
      <c r="F181" s="8" t="n"/>
      <c r="G181" s="7" t="n"/>
      <c r="H181" s="7" t="n"/>
      <c r="I181" s="9" t="n"/>
    </row>
    <row r="182">
      <c r="A182" s="7" t="n"/>
      <c r="B182" s="7" t="n"/>
      <c r="C182" s="7" t="n"/>
      <c r="D182" s="7" t="n"/>
      <c r="E182" s="7" t="n"/>
      <c r="F182" s="8" t="n"/>
      <c r="G182" s="7" t="n"/>
      <c r="H182" s="7" t="n"/>
      <c r="I182" s="9" t="n"/>
    </row>
    <row r="183">
      <c r="A183" s="7" t="n"/>
      <c r="B183" s="7" t="n"/>
      <c r="C183" s="7" t="n"/>
      <c r="D183" s="7" t="n"/>
      <c r="E183" s="7" t="n"/>
      <c r="F183" s="8" t="n"/>
      <c r="G183" s="7" t="n"/>
      <c r="H183" s="7" t="n"/>
      <c r="I183" s="9" t="n"/>
    </row>
    <row r="184">
      <c r="A184" s="7" t="n"/>
      <c r="B184" s="7" t="n"/>
      <c r="C184" s="7" t="n"/>
      <c r="D184" s="7" t="n"/>
      <c r="E184" s="7" t="n"/>
      <c r="F184" s="8" t="n"/>
      <c r="G184" s="7" t="n"/>
      <c r="H184" s="7" t="n"/>
      <c r="I184" s="9" t="n"/>
    </row>
    <row r="185">
      <c r="A185" s="7" t="n"/>
      <c r="B185" s="7" t="n"/>
      <c r="C185" s="7" t="n"/>
      <c r="D185" s="7" t="n"/>
      <c r="E185" s="7" t="n"/>
      <c r="F185" s="8" t="n"/>
      <c r="G185" s="7" t="n"/>
      <c r="H185" s="7" t="n"/>
      <c r="I185" s="9" t="n"/>
    </row>
    <row r="186">
      <c r="A186" s="7" t="n"/>
      <c r="B186" s="7" t="n"/>
      <c r="C186" s="7" t="n"/>
      <c r="D186" s="7" t="n"/>
      <c r="E186" s="7" t="n"/>
      <c r="F186" s="8" t="n"/>
      <c r="G186" s="7" t="n"/>
      <c r="H186" s="7" t="n"/>
      <c r="I186" s="9" t="n"/>
    </row>
    <row r="187">
      <c r="A187" s="7" t="n"/>
      <c r="B187" s="7" t="n"/>
      <c r="C187" s="7" t="n"/>
      <c r="D187" s="7" t="n"/>
      <c r="E187" s="7" t="n"/>
      <c r="F187" s="8" t="n"/>
      <c r="G187" s="7" t="n"/>
      <c r="H187" s="7" t="n"/>
      <c r="I187" s="9" t="n"/>
    </row>
    <row r="188">
      <c r="A188" s="7" t="n"/>
      <c r="B188" s="7" t="n"/>
      <c r="C188" s="7" t="n"/>
      <c r="D188" s="7" t="n"/>
      <c r="E188" s="7" t="n"/>
      <c r="F188" s="8" t="n"/>
      <c r="G188" s="7" t="n"/>
      <c r="H188" s="7" t="n"/>
      <c r="I188" s="9" t="n"/>
    </row>
    <row r="189">
      <c r="A189" s="7" t="n"/>
      <c r="B189" s="7" t="n"/>
      <c r="C189" s="7" t="n"/>
      <c r="D189" s="7" t="n"/>
      <c r="E189" s="7" t="n"/>
      <c r="F189" s="8" t="n"/>
      <c r="G189" s="7" t="n"/>
      <c r="H189" s="7" t="n"/>
      <c r="I189" s="9" t="n"/>
    </row>
    <row r="190">
      <c r="A190" s="7" t="n"/>
      <c r="B190" s="7" t="n"/>
      <c r="C190" s="7" t="n"/>
      <c r="D190" s="7" t="n"/>
      <c r="E190" s="7" t="n"/>
      <c r="F190" s="8" t="n"/>
      <c r="G190" s="7" t="n"/>
      <c r="H190" s="7" t="n"/>
      <c r="I190" s="9" t="n"/>
    </row>
    <row r="191">
      <c r="A191" s="7" t="n"/>
      <c r="B191" s="7" t="n"/>
      <c r="C191" s="7" t="n"/>
      <c r="D191" s="7" t="n"/>
      <c r="E191" s="7" t="n"/>
      <c r="F191" s="8" t="n"/>
      <c r="G191" s="7" t="n"/>
      <c r="H191" s="7" t="n"/>
      <c r="I191" s="9" t="n"/>
    </row>
    <row r="192">
      <c r="A192" s="7" t="n"/>
      <c r="B192" s="7" t="n"/>
      <c r="C192" s="7" t="n"/>
      <c r="D192" s="7" t="n"/>
      <c r="E192" s="7" t="n"/>
      <c r="F192" s="8" t="n"/>
      <c r="G192" s="7" t="n"/>
      <c r="H192" s="7" t="n"/>
      <c r="I192" s="9" t="n"/>
    </row>
    <row r="193">
      <c r="A193" s="7" t="n"/>
      <c r="B193" s="7" t="n"/>
      <c r="C193" s="7" t="n"/>
      <c r="D193" s="7" t="n"/>
      <c r="E193" s="7" t="n"/>
      <c r="F193" s="8" t="n"/>
      <c r="G193" s="7" t="n"/>
      <c r="H193" s="7" t="n"/>
      <c r="I193" s="9" t="n"/>
    </row>
    <row r="194">
      <c r="A194" s="7" t="n"/>
      <c r="B194" s="7" t="n"/>
      <c r="C194" s="7" t="n"/>
      <c r="D194" s="7" t="n"/>
      <c r="E194" s="7" t="n"/>
      <c r="F194" s="8" t="n"/>
      <c r="G194" s="7" t="n"/>
      <c r="H194" s="7" t="n"/>
      <c r="I194" s="9" t="n"/>
    </row>
    <row r="195">
      <c r="A195" s="7" t="n"/>
      <c r="B195" s="7" t="n"/>
      <c r="C195" s="7" t="n"/>
      <c r="D195" s="7" t="n"/>
      <c r="E195" s="7" t="n"/>
      <c r="F195" s="8" t="n"/>
      <c r="G195" s="7" t="n"/>
      <c r="H195" s="7" t="n"/>
      <c r="I195" s="9" t="n"/>
    </row>
    <row r="196">
      <c r="A196" s="7" t="n"/>
      <c r="B196" s="7" t="n"/>
      <c r="C196" s="7" t="n"/>
      <c r="D196" s="7" t="n"/>
      <c r="E196" s="7" t="n"/>
      <c r="F196" s="8" t="n"/>
      <c r="G196" s="7" t="n"/>
      <c r="H196" s="7" t="n"/>
      <c r="I196" s="9" t="n"/>
    </row>
    <row r="197">
      <c r="A197" s="7" t="n"/>
      <c r="B197" s="7" t="n"/>
      <c r="C197" s="7" t="n"/>
      <c r="D197" s="7" t="n"/>
      <c r="E197" s="7" t="n"/>
      <c r="F197" s="8" t="n"/>
      <c r="G197" s="7" t="n"/>
      <c r="H197" s="7" t="n"/>
      <c r="I197" s="9" t="n"/>
    </row>
    <row r="198">
      <c r="A198" s="7" t="n"/>
      <c r="B198" s="7" t="n"/>
      <c r="C198" s="7" t="n"/>
      <c r="D198" s="7" t="n"/>
      <c r="E198" s="7" t="n"/>
      <c r="F198" s="8" t="n"/>
      <c r="G198" s="7" t="n"/>
      <c r="H198" s="7" t="n"/>
      <c r="I198" s="9" t="n"/>
    </row>
    <row r="199">
      <c r="A199" s="7" t="n"/>
      <c r="B199" s="7" t="n"/>
      <c r="C199" s="7" t="n"/>
      <c r="D199" s="7" t="n"/>
      <c r="E199" s="7" t="n"/>
      <c r="F199" s="8" t="n"/>
      <c r="G199" s="7" t="n"/>
      <c r="H199" s="7" t="n"/>
      <c r="I199" s="9" t="n"/>
    </row>
    <row r="200">
      <c r="A200" s="7" t="n"/>
      <c r="B200" s="7" t="n"/>
      <c r="C200" s="7" t="n"/>
      <c r="D200" s="7" t="n"/>
      <c r="E200" s="7" t="n"/>
      <c r="F200" s="8" t="n"/>
      <c r="G200" s="7" t="n"/>
      <c r="H200" s="7" t="n"/>
      <c r="I200" s="9" t="n"/>
    </row>
    <row r="201">
      <c r="A201" s="7" t="n"/>
      <c r="B201" s="7" t="n"/>
      <c r="C201" s="7" t="n"/>
      <c r="D201" s="7" t="n"/>
      <c r="E201" s="7" t="n"/>
      <c r="F201" s="8" t="n"/>
      <c r="G201" s="7" t="n"/>
      <c r="H201" s="7" t="n"/>
      <c r="I201" s="9" t="n"/>
    </row>
    <row r="202">
      <c r="A202" s="7" t="n"/>
      <c r="B202" s="7" t="n"/>
      <c r="C202" s="7" t="n"/>
      <c r="D202" s="7" t="n"/>
      <c r="E202" s="7" t="n"/>
      <c r="F202" s="8" t="n"/>
      <c r="G202" s="7" t="n"/>
      <c r="H202" s="7" t="n"/>
      <c r="I202" s="9" t="n"/>
    </row>
    <row r="203">
      <c r="A203" s="7" t="n"/>
      <c r="B203" s="7" t="n"/>
      <c r="C203" s="7" t="n"/>
      <c r="D203" s="7" t="n"/>
      <c r="E203" s="7" t="n"/>
      <c r="F203" s="8" t="n"/>
      <c r="G203" s="7" t="n"/>
      <c r="H203" s="7" t="n"/>
      <c r="I203" s="9" t="n"/>
    </row>
    <row r="204">
      <c r="A204" s="7" t="n"/>
      <c r="B204" s="7" t="n"/>
      <c r="C204" s="7" t="n"/>
      <c r="D204" s="7" t="n"/>
      <c r="E204" s="7" t="n"/>
      <c r="F204" s="8" t="n"/>
      <c r="G204" s="7" t="n"/>
      <c r="H204" s="7" t="n"/>
      <c r="I204" s="9" t="n"/>
    </row>
    <row r="205">
      <c r="A205" s="7" t="n"/>
      <c r="B205" s="7" t="n"/>
      <c r="C205" s="7" t="n"/>
      <c r="D205" s="7" t="n"/>
      <c r="E205" s="7" t="n"/>
      <c r="F205" s="8" t="n"/>
      <c r="G205" s="7" t="n"/>
      <c r="H205" s="7" t="n"/>
      <c r="I205" s="9" t="n"/>
    </row>
    <row r="206">
      <c r="A206" s="7" t="n"/>
      <c r="B206" s="7" t="n"/>
      <c r="C206" s="7" t="n"/>
      <c r="D206" s="7" t="n"/>
      <c r="E206" s="7" t="n"/>
      <c r="F206" s="8" t="n"/>
      <c r="G206" s="7" t="n"/>
      <c r="H206" s="7" t="n"/>
      <c r="I206" s="9" t="n"/>
    </row>
    <row r="207">
      <c r="A207" s="7" t="n"/>
      <c r="B207" s="7" t="n"/>
      <c r="C207" s="7" t="n"/>
      <c r="D207" s="7" t="n"/>
      <c r="E207" s="7" t="n"/>
      <c r="F207" s="8" t="n"/>
      <c r="G207" s="7" t="n"/>
      <c r="H207" s="7" t="n"/>
      <c r="I207" s="9" t="n"/>
    </row>
    <row r="208">
      <c r="A208" s="7" t="n"/>
      <c r="B208" s="7" t="n"/>
      <c r="C208" s="7" t="n"/>
      <c r="D208" s="7" t="n"/>
      <c r="E208" s="7" t="n"/>
      <c r="F208" s="8" t="n"/>
      <c r="G208" s="7" t="n"/>
      <c r="H208" s="7" t="n"/>
      <c r="I208" s="9" t="n"/>
    </row>
    <row r="209">
      <c r="A209" s="7" t="n"/>
      <c r="B209" s="7" t="n"/>
      <c r="C209" s="7" t="n"/>
      <c r="D209" s="7" t="n"/>
      <c r="E209" s="7" t="n"/>
      <c r="F209" s="8" t="n"/>
      <c r="G209" s="7" t="n"/>
      <c r="H209" s="7" t="n"/>
      <c r="I209" s="9" t="n"/>
    </row>
    <row r="210">
      <c r="A210" s="7" t="n"/>
      <c r="B210" s="7" t="n"/>
      <c r="C210" s="7" t="n"/>
      <c r="D210" s="7" t="n"/>
      <c r="E210" s="7" t="n"/>
      <c r="F210" s="8" t="n"/>
      <c r="G210" s="7" t="n"/>
      <c r="H210" s="7" t="n"/>
      <c r="I210" s="9" t="n"/>
    </row>
    <row r="211">
      <c r="A211" s="7" t="n"/>
      <c r="B211" s="7" t="n"/>
      <c r="C211" s="7" t="n"/>
      <c r="D211" s="7" t="n"/>
      <c r="E211" s="7" t="n"/>
      <c r="F211" s="8" t="n"/>
      <c r="G211" s="7" t="n"/>
      <c r="H211" s="7" t="n"/>
      <c r="I211" s="9" t="n"/>
    </row>
    <row r="212">
      <c r="A212" s="7" t="n"/>
      <c r="B212" s="7" t="n"/>
      <c r="C212" s="7" t="n"/>
      <c r="D212" s="7" t="n"/>
      <c r="E212" s="7" t="n"/>
      <c r="F212" s="8" t="n"/>
      <c r="G212" s="7" t="n"/>
      <c r="H212" s="7" t="n"/>
      <c r="I212" s="9" t="n"/>
    </row>
    <row r="213">
      <c r="A213" s="7" t="n"/>
      <c r="B213" s="7" t="n"/>
      <c r="C213" s="7" t="n"/>
      <c r="D213" s="7" t="n"/>
      <c r="E213" s="7" t="n"/>
      <c r="F213" s="8" t="n"/>
      <c r="G213" s="7" t="n"/>
      <c r="H213" s="7" t="n"/>
      <c r="I213" s="9" t="n"/>
    </row>
    <row r="214">
      <c r="A214" s="7" t="n"/>
      <c r="B214" s="7" t="n"/>
      <c r="C214" s="7" t="n"/>
      <c r="D214" s="7" t="n"/>
      <c r="E214" s="7" t="n"/>
      <c r="F214" s="8" t="n"/>
      <c r="G214" s="7" t="n"/>
      <c r="H214" s="7" t="n"/>
      <c r="I214" s="9" t="n"/>
    </row>
    <row r="215">
      <c r="A215" s="7" t="n"/>
      <c r="B215" s="7" t="n"/>
      <c r="C215" s="7" t="n"/>
      <c r="D215" s="7" t="n"/>
      <c r="E215" s="7" t="n"/>
      <c r="F215" s="8" t="n"/>
      <c r="G215" s="7" t="n"/>
      <c r="H215" s="7" t="n"/>
      <c r="I215" s="9" t="n"/>
    </row>
    <row r="216">
      <c r="A216" s="7" t="n"/>
      <c r="B216" s="7" t="n"/>
      <c r="C216" s="7" t="n"/>
      <c r="D216" s="7" t="n"/>
      <c r="E216" s="7" t="n"/>
      <c r="F216" s="8" t="n"/>
      <c r="G216" s="7" t="n"/>
      <c r="H216" s="7" t="n"/>
      <c r="I216" s="9" t="n"/>
    </row>
    <row r="217">
      <c r="A217" s="7" t="n"/>
      <c r="B217" s="7" t="n"/>
      <c r="C217" s="7" t="n"/>
      <c r="D217" s="7" t="n"/>
      <c r="E217" s="7" t="n"/>
      <c r="F217" s="8" t="n"/>
      <c r="G217" s="7" t="n"/>
      <c r="H217" s="7" t="n"/>
      <c r="I217" s="9" t="n"/>
    </row>
    <row r="218">
      <c r="A218" s="7" t="n"/>
      <c r="B218" s="7" t="n"/>
      <c r="C218" s="7" t="n"/>
      <c r="D218" s="7" t="n"/>
      <c r="E218" s="7" t="n"/>
      <c r="F218" s="8" t="n"/>
      <c r="G218" s="7" t="n"/>
      <c r="H218" s="7" t="n"/>
      <c r="I218" s="9" t="n"/>
    </row>
    <row r="219">
      <c r="A219" s="7" t="n"/>
      <c r="B219" s="7" t="n"/>
      <c r="C219" s="7" t="n"/>
      <c r="D219" s="7" t="n"/>
      <c r="E219" s="7" t="n"/>
      <c r="F219" s="8" t="n"/>
      <c r="G219" s="7" t="n"/>
      <c r="H219" s="7" t="n"/>
      <c r="I219" s="9" t="n"/>
    </row>
    <row r="220">
      <c r="A220" s="7" t="n"/>
      <c r="B220" s="7" t="n"/>
      <c r="C220" s="7" t="n"/>
      <c r="D220" s="7" t="n"/>
      <c r="E220" s="7" t="n"/>
      <c r="F220" s="8" t="n"/>
      <c r="G220" s="7" t="n"/>
      <c r="H220" s="7" t="n"/>
      <c r="I220" s="9" t="n"/>
    </row>
    <row r="221">
      <c r="A221" s="7" t="n"/>
      <c r="B221" s="7" t="n"/>
      <c r="C221" s="7" t="n"/>
      <c r="D221" s="7" t="n"/>
      <c r="E221" s="7" t="n"/>
      <c r="F221" s="8" t="n"/>
      <c r="G221" s="7" t="n"/>
      <c r="H221" s="7" t="n"/>
      <c r="I221" s="9" t="n"/>
    </row>
    <row r="222">
      <c r="A222" s="7" t="n"/>
      <c r="B222" s="7" t="n"/>
      <c r="C222" s="7" t="n"/>
      <c r="D222" s="7" t="n"/>
      <c r="E222" s="7" t="n"/>
      <c r="F222" s="8" t="n"/>
      <c r="G222" s="7" t="n"/>
      <c r="H222" s="7" t="n"/>
      <c r="I222" s="9" t="n"/>
    </row>
    <row r="223">
      <c r="A223" s="7" t="n"/>
      <c r="B223" s="7" t="n"/>
      <c r="C223" s="7" t="n"/>
      <c r="D223" s="7" t="n"/>
      <c r="E223" s="7" t="n"/>
      <c r="F223" s="8" t="n"/>
      <c r="G223" s="7" t="n"/>
      <c r="H223" s="7" t="n"/>
      <c r="I223" s="9" t="n"/>
    </row>
    <row r="224">
      <c r="A224" s="7" t="n"/>
      <c r="B224" s="7" t="n"/>
      <c r="C224" s="7" t="n"/>
      <c r="D224" s="7" t="n"/>
      <c r="E224" s="7" t="n"/>
      <c r="F224" s="8" t="n"/>
      <c r="G224" s="7" t="n"/>
      <c r="H224" s="7" t="n"/>
      <c r="I224" s="9" t="n"/>
    </row>
    <row r="225">
      <c r="A225" s="7" t="n"/>
      <c r="B225" s="7" t="n"/>
      <c r="C225" s="7" t="n"/>
      <c r="D225" s="7" t="n"/>
      <c r="E225" s="7" t="n"/>
      <c r="F225" s="8" t="n"/>
      <c r="G225" s="7" t="n"/>
      <c r="H225" s="7" t="n"/>
      <c r="I225" s="9" t="n"/>
    </row>
    <row r="226">
      <c r="A226" s="7" t="n"/>
      <c r="B226" s="7" t="n"/>
      <c r="C226" s="7" t="n"/>
      <c r="D226" s="7" t="n"/>
      <c r="E226" s="7" t="n"/>
      <c r="F226" s="8" t="n"/>
      <c r="G226" s="7" t="n"/>
      <c r="H226" s="7" t="n"/>
      <c r="I226" s="9" t="n"/>
    </row>
    <row r="227">
      <c r="A227" s="7" t="n"/>
      <c r="B227" s="7" t="n"/>
      <c r="C227" s="7" t="n"/>
      <c r="D227" s="7" t="n"/>
      <c r="E227" s="7" t="n"/>
      <c r="F227" s="8" t="n"/>
      <c r="G227" s="7" t="n"/>
      <c r="H227" s="7" t="n"/>
      <c r="I227" s="9" t="n"/>
    </row>
    <row r="228">
      <c r="A228" s="7" t="n"/>
      <c r="B228" s="7" t="n"/>
      <c r="C228" s="7" t="n"/>
      <c r="D228" s="7" t="n"/>
      <c r="E228" s="7" t="n"/>
      <c r="F228" s="8" t="n"/>
      <c r="G228" s="7" t="n"/>
      <c r="H228" s="7" t="n"/>
      <c r="I228" s="9" t="n"/>
    </row>
    <row r="229">
      <c r="A229" s="7" t="n"/>
      <c r="B229" s="7" t="n"/>
      <c r="C229" s="7" t="n"/>
      <c r="D229" s="7" t="n"/>
      <c r="E229" s="7" t="n"/>
      <c r="F229" s="8" t="n"/>
      <c r="G229" s="7" t="n"/>
      <c r="H229" s="7" t="n"/>
      <c r="I229" s="9" t="n"/>
    </row>
    <row r="230">
      <c r="A230" s="7" t="n"/>
      <c r="B230" s="7" t="n"/>
      <c r="C230" s="7" t="n"/>
      <c r="D230" s="7" t="n"/>
      <c r="E230" s="7" t="n"/>
      <c r="F230" s="8" t="n"/>
      <c r="G230" s="7" t="n"/>
      <c r="H230" s="7" t="n"/>
      <c r="I230" s="9" t="n"/>
    </row>
    <row r="231">
      <c r="A231" s="7" t="n"/>
      <c r="B231" s="7" t="n"/>
      <c r="C231" s="7" t="n"/>
      <c r="D231" s="7" t="n"/>
      <c r="E231" s="7" t="n"/>
      <c r="F231" s="8" t="n"/>
      <c r="G231" s="7" t="n"/>
      <c r="H231" s="7" t="n"/>
      <c r="I231" s="9" t="n"/>
    </row>
    <row r="232">
      <c r="A232" s="7" t="n"/>
      <c r="B232" s="7" t="n"/>
      <c r="C232" s="7" t="n"/>
      <c r="D232" s="7" t="n"/>
      <c r="E232" s="7" t="n"/>
      <c r="F232" s="8" t="n"/>
      <c r="G232" s="7" t="n"/>
      <c r="H232" s="7" t="n"/>
      <c r="I232" s="9" t="n"/>
    </row>
    <row r="233">
      <c r="A233" s="7" t="n"/>
      <c r="B233" s="7" t="n"/>
      <c r="C233" s="7" t="n"/>
      <c r="D233" s="7" t="n"/>
      <c r="E233" s="7" t="n"/>
      <c r="F233" s="8" t="n"/>
      <c r="G233" s="7" t="n"/>
      <c r="H233" s="7" t="n"/>
      <c r="I233" s="9" t="n"/>
    </row>
    <row r="234">
      <c r="A234" s="7" t="n"/>
      <c r="B234" s="7" t="n"/>
      <c r="C234" s="7" t="n"/>
      <c r="D234" s="7" t="n"/>
      <c r="E234" s="7" t="n"/>
      <c r="F234" s="8" t="n"/>
      <c r="G234" s="7" t="n"/>
      <c r="H234" s="7" t="n"/>
      <c r="I234" s="9" t="n"/>
    </row>
    <row r="235">
      <c r="A235" s="7" t="n"/>
      <c r="B235" s="7" t="n"/>
      <c r="C235" s="7" t="n"/>
      <c r="D235" s="7" t="n"/>
      <c r="E235" s="7" t="n"/>
      <c r="F235" s="8" t="n"/>
      <c r="G235" s="7" t="n"/>
      <c r="H235" s="7" t="n"/>
      <c r="I235" s="9" t="n"/>
    </row>
    <row r="236">
      <c r="A236" s="7" t="n"/>
      <c r="B236" s="7" t="n"/>
      <c r="C236" s="7" t="n"/>
      <c r="D236" s="7" t="n"/>
      <c r="E236" s="7" t="n"/>
      <c r="F236" s="8" t="n"/>
      <c r="G236" s="7" t="n"/>
      <c r="H236" s="7" t="n"/>
      <c r="I236" s="9" t="n"/>
    </row>
    <row r="237">
      <c r="A237" s="7" t="n"/>
      <c r="B237" s="7" t="n"/>
      <c r="C237" s="7" t="n"/>
      <c r="D237" s="7" t="n"/>
      <c r="E237" s="7" t="n"/>
      <c r="F237" s="8" t="n"/>
      <c r="G237" s="7" t="n"/>
      <c r="H237" s="7" t="n"/>
      <c r="I237" s="9" t="n"/>
    </row>
    <row r="238">
      <c r="A238" s="7" t="n"/>
      <c r="B238" s="7" t="n"/>
      <c r="C238" s="7" t="n"/>
      <c r="D238" s="7" t="n"/>
      <c r="E238" s="7" t="n"/>
      <c r="F238" s="8" t="n"/>
      <c r="G238" s="7" t="n"/>
      <c r="H238" s="7" t="n"/>
      <c r="I238" s="9" t="n"/>
    </row>
    <row r="239">
      <c r="A239" s="7" t="n"/>
      <c r="B239" s="7" t="n"/>
      <c r="C239" s="7" t="n"/>
      <c r="D239" s="7" t="n"/>
      <c r="E239" s="7" t="n"/>
      <c r="F239" s="8" t="n"/>
      <c r="G239" s="7" t="n"/>
      <c r="H239" s="7" t="n"/>
      <c r="I239" s="9" t="n"/>
    </row>
    <row r="240">
      <c r="A240" s="7" t="n"/>
      <c r="B240" s="7" t="n"/>
      <c r="C240" s="7" t="n"/>
      <c r="D240" s="7" t="n"/>
      <c r="E240" s="7" t="n"/>
      <c r="F240" s="8" t="n"/>
      <c r="G240" s="7" t="n"/>
      <c r="H240" s="7" t="n"/>
      <c r="I240" s="9" t="n"/>
    </row>
    <row r="241">
      <c r="A241" s="7" t="n"/>
      <c r="B241" s="7" t="n"/>
      <c r="C241" s="7" t="n"/>
      <c r="D241" s="7" t="n"/>
      <c r="E241" s="7" t="n"/>
      <c r="F241" s="8" t="n"/>
      <c r="G241" s="7" t="n"/>
      <c r="H241" s="7" t="n"/>
      <c r="I241" s="9" t="n"/>
    </row>
    <row r="242">
      <c r="A242" s="7" t="n"/>
      <c r="B242" s="7" t="n"/>
      <c r="C242" s="7" t="n"/>
      <c r="D242" s="7" t="n"/>
      <c r="E242" s="7" t="n"/>
      <c r="F242" s="8" t="n"/>
      <c r="G242" s="7" t="n"/>
      <c r="H242" s="7" t="n"/>
      <c r="I242" s="9" t="n"/>
    </row>
    <row r="243">
      <c r="A243" s="7" t="n"/>
      <c r="B243" s="7" t="n"/>
      <c r="C243" s="7" t="n"/>
      <c r="D243" s="7" t="n"/>
      <c r="E243" s="7" t="n"/>
      <c r="F243" s="8" t="n"/>
      <c r="G243" s="7" t="n"/>
      <c r="H243" s="7" t="n"/>
      <c r="I243" s="9" t="n"/>
    </row>
    <row r="244">
      <c r="A244" s="7" t="n"/>
      <c r="B244" s="7" t="n"/>
      <c r="C244" s="7" t="n"/>
      <c r="D244" s="7" t="n"/>
      <c r="E244" s="7" t="n"/>
      <c r="F244" s="8" t="n"/>
      <c r="G244" s="7" t="n"/>
      <c r="H244" s="7" t="n"/>
      <c r="I244" s="9" t="n"/>
    </row>
    <row r="245">
      <c r="A245" s="7" t="n"/>
      <c r="B245" s="7" t="n"/>
      <c r="C245" s="7" t="n"/>
      <c r="D245" s="7" t="n"/>
      <c r="E245" s="7" t="n"/>
      <c r="F245" s="8" t="n"/>
      <c r="G245" s="7" t="n"/>
      <c r="H245" s="7" t="n"/>
      <c r="I245" s="9" t="n"/>
    </row>
    <row r="246">
      <c r="A246" s="7" t="n"/>
      <c r="B246" s="7" t="n"/>
      <c r="C246" s="7" t="n"/>
      <c r="D246" s="7" t="n"/>
      <c r="E246" s="7" t="n"/>
      <c r="F246" s="8" t="n"/>
      <c r="G246" s="7" t="n"/>
      <c r="H246" s="7" t="n"/>
      <c r="I246" s="9" t="n"/>
    </row>
    <row r="247">
      <c r="A247" s="7" t="n"/>
      <c r="B247" s="7" t="n"/>
      <c r="C247" s="7" t="n"/>
      <c r="D247" s="7" t="n"/>
      <c r="E247" s="7" t="n"/>
      <c r="F247" s="8" t="n"/>
      <c r="G247" s="7" t="n"/>
      <c r="H247" s="7" t="n"/>
      <c r="I247" s="9" t="n"/>
    </row>
    <row r="248">
      <c r="A248" s="7" t="n"/>
      <c r="B248" s="7" t="n"/>
      <c r="C248" s="7" t="n"/>
      <c r="D248" s="7" t="n"/>
      <c r="E248" s="7" t="n"/>
      <c r="F248" s="8" t="n"/>
      <c r="G248" s="7" t="n"/>
      <c r="H248" s="7" t="n"/>
      <c r="I248" s="9" t="n"/>
    </row>
    <row r="249">
      <c r="A249" s="7" t="n"/>
      <c r="B249" s="7" t="n"/>
      <c r="C249" s="7" t="n"/>
      <c r="D249" s="7" t="n"/>
      <c r="E249" s="7" t="n"/>
      <c r="F249" s="8" t="n"/>
      <c r="G249" s="7" t="n"/>
      <c r="H249" s="7" t="n"/>
      <c r="I249" s="9" t="n"/>
    </row>
    <row r="250">
      <c r="A250" s="7" t="n"/>
      <c r="B250" s="7" t="n"/>
      <c r="C250" s="7" t="n"/>
      <c r="D250" s="7" t="n"/>
      <c r="E250" s="7" t="n"/>
      <c r="F250" s="8" t="n"/>
      <c r="G250" s="7" t="n"/>
      <c r="H250" s="7" t="n"/>
      <c r="I250" s="9" t="n"/>
    </row>
    <row r="251">
      <c r="A251" s="7" t="n"/>
      <c r="B251" s="7" t="n"/>
      <c r="C251" s="7" t="n"/>
      <c r="D251" s="7" t="n"/>
      <c r="E251" s="7" t="n"/>
      <c r="F251" s="8" t="n"/>
      <c r="G251" s="7" t="n"/>
      <c r="H251" s="7" t="n"/>
      <c r="I251" s="9" t="n"/>
    </row>
    <row r="252">
      <c r="A252" s="7" t="n"/>
      <c r="B252" s="7" t="n"/>
      <c r="C252" s="7" t="n"/>
      <c r="D252" s="7" t="n"/>
      <c r="E252" s="7" t="n"/>
      <c r="F252" s="8" t="n"/>
      <c r="G252" s="7" t="n"/>
      <c r="H252" s="7" t="n"/>
      <c r="I252" s="9" t="n"/>
    </row>
    <row r="253">
      <c r="A253" s="7" t="n"/>
      <c r="B253" s="7" t="n"/>
      <c r="C253" s="7" t="n"/>
      <c r="D253" s="7" t="n"/>
      <c r="E253" s="7" t="n"/>
      <c r="F253" s="8" t="n"/>
      <c r="G253" s="7" t="n"/>
      <c r="H253" s="7" t="n"/>
      <c r="I253" s="9" t="n"/>
    </row>
    <row r="254">
      <c r="A254" s="7" t="n"/>
      <c r="B254" s="7" t="n"/>
      <c r="C254" s="7" t="n"/>
      <c r="D254" s="7" t="n"/>
      <c r="E254" s="7" t="n"/>
      <c r="F254" s="8" t="n"/>
      <c r="G254" s="7" t="n"/>
      <c r="H254" s="7" t="n"/>
      <c r="I254" s="9" t="n"/>
    </row>
    <row r="255">
      <c r="A255" s="7" t="n"/>
      <c r="B255" s="7" t="n"/>
      <c r="C255" s="7" t="n"/>
      <c r="D255" s="7" t="n"/>
      <c r="E255" s="7" t="n"/>
      <c r="F255" s="8" t="n"/>
      <c r="G255" s="7" t="n"/>
      <c r="H255" s="7" t="n"/>
      <c r="I255" s="9" t="n"/>
    </row>
    <row r="256">
      <c r="A256" s="7" t="n"/>
      <c r="B256" s="7" t="n"/>
      <c r="C256" s="7" t="n"/>
      <c r="D256" s="7" t="n"/>
      <c r="E256" s="7" t="n"/>
      <c r="F256" s="8" t="n"/>
      <c r="G256" s="7" t="n"/>
      <c r="H256" s="7" t="n"/>
      <c r="I256" s="9" t="n"/>
    </row>
    <row r="257">
      <c r="A257" s="7" t="n"/>
      <c r="B257" s="7" t="n"/>
      <c r="C257" s="7" t="n"/>
      <c r="D257" s="7" t="n"/>
      <c r="E257" s="7" t="n"/>
      <c r="F257" s="8" t="n"/>
      <c r="G257" s="7" t="n"/>
      <c r="H257" s="7" t="n"/>
      <c r="I257" s="9" t="n"/>
    </row>
    <row r="258">
      <c r="A258" s="7" t="n"/>
      <c r="B258" s="7" t="n"/>
      <c r="C258" s="7" t="n"/>
      <c r="D258" s="7" t="n"/>
      <c r="E258" s="7" t="n"/>
      <c r="F258" s="8" t="n"/>
      <c r="G258" s="7" t="n"/>
      <c r="H258" s="7" t="n"/>
      <c r="I258" s="9" t="n"/>
    </row>
    <row r="259">
      <c r="A259" s="7" t="n"/>
      <c r="B259" s="7" t="n"/>
      <c r="C259" s="7" t="n"/>
      <c r="D259" s="7" t="n"/>
      <c r="E259" s="7" t="n"/>
      <c r="F259" s="8" t="n"/>
      <c r="G259" s="7" t="n"/>
      <c r="H259" s="7" t="n"/>
      <c r="I259" s="9" t="n"/>
    </row>
    <row r="260">
      <c r="A260" s="7" t="n"/>
      <c r="B260" s="7" t="n"/>
      <c r="C260" s="7" t="n"/>
      <c r="D260" s="7" t="n"/>
      <c r="E260" s="7" t="n"/>
      <c r="F260" s="8" t="n"/>
      <c r="G260" s="7" t="n"/>
      <c r="H260" s="7" t="n"/>
      <c r="I260" s="9" t="n"/>
    </row>
    <row r="261">
      <c r="A261" s="7" t="n"/>
      <c r="B261" s="7" t="n"/>
      <c r="C261" s="7" t="n"/>
      <c r="D261" s="7" t="n"/>
      <c r="E261" s="7" t="n"/>
      <c r="F261" s="8" t="n"/>
      <c r="G261" s="7" t="n"/>
      <c r="H261" s="7" t="n"/>
      <c r="I261" s="9" t="n"/>
    </row>
    <row r="262">
      <c r="A262" s="7" t="n"/>
      <c r="B262" s="7" t="n"/>
      <c r="C262" s="7" t="n"/>
      <c r="D262" s="7" t="n"/>
      <c r="E262" s="7" t="n"/>
      <c r="F262" s="8" t="n"/>
      <c r="G262" s="7" t="n"/>
      <c r="H262" s="7" t="n"/>
      <c r="I262" s="9" t="n"/>
    </row>
    <row r="263">
      <c r="A263" s="7" t="n"/>
      <c r="B263" s="7" t="n"/>
      <c r="C263" s="7" t="n"/>
      <c r="D263" s="7" t="n"/>
      <c r="E263" s="7" t="n"/>
      <c r="F263" s="8" t="n"/>
      <c r="G263" s="7" t="n"/>
      <c r="H263" s="7" t="n"/>
      <c r="I263" s="9" t="n"/>
    </row>
    <row r="264">
      <c r="A264" s="7" t="n"/>
      <c r="B264" s="7" t="n"/>
      <c r="C264" s="7" t="n"/>
      <c r="D264" s="7" t="n"/>
      <c r="E264" s="7" t="n"/>
      <c r="F264" s="8" t="n"/>
      <c r="G264" s="7" t="n"/>
      <c r="H264" s="7" t="n"/>
      <c r="I264" s="9" t="n"/>
    </row>
    <row r="265">
      <c r="A265" s="7" t="n"/>
      <c r="B265" s="7" t="n"/>
      <c r="C265" s="7" t="n"/>
      <c r="D265" s="7" t="n"/>
      <c r="E265" s="7" t="n"/>
      <c r="F265" s="8" t="n"/>
      <c r="G265" s="7" t="n"/>
      <c r="H265" s="7" t="n"/>
      <c r="I265" s="9" t="n"/>
    </row>
    <row r="266">
      <c r="A266" s="7" t="n"/>
      <c r="B266" s="7" t="n"/>
      <c r="C266" s="7" t="n"/>
      <c r="D266" s="7" t="n"/>
      <c r="E266" s="7" t="n"/>
      <c r="F266" s="8" t="n"/>
      <c r="G266" s="7" t="n"/>
      <c r="H266" s="7" t="n"/>
      <c r="I266" s="9" t="n"/>
    </row>
    <row r="267">
      <c r="A267" s="7" t="n"/>
      <c r="B267" s="7" t="n"/>
      <c r="C267" s="7" t="n"/>
      <c r="D267" s="7" t="n"/>
      <c r="E267" s="7" t="n"/>
      <c r="F267" s="8" t="n"/>
      <c r="G267" s="7" t="n"/>
      <c r="H267" s="7" t="n"/>
      <c r="I267" s="9" t="n"/>
    </row>
    <row r="268">
      <c r="A268" s="7" t="n"/>
      <c r="B268" s="7" t="n"/>
      <c r="C268" s="7" t="n"/>
      <c r="D268" s="7" t="n"/>
      <c r="E268" s="7" t="n"/>
      <c r="F268" s="8" t="n"/>
      <c r="G268" s="7" t="n"/>
      <c r="H268" s="7" t="n"/>
      <c r="I268" s="9" t="n"/>
    </row>
    <row r="269">
      <c r="A269" s="7" t="n"/>
      <c r="B269" s="7" t="n"/>
      <c r="C269" s="7" t="n"/>
      <c r="D269" s="7" t="n"/>
      <c r="E269" s="7" t="n"/>
      <c r="F269" s="8" t="n"/>
      <c r="G269" s="7" t="n"/>
      <c r="H269" s="7" t="n"/>
      <c r="I269" s="9" t="n"/>
    </row>
    <row r="270">
      <c r="A270" s="7" t="n"/>
      <c r="B270" s="7" t="n"/>
      <c r="C270" s="7" t="n"/>
      <c r="D270" s="7" t="n"/>
      <c r="E270" s="7" t="n"/>
      <c r="F270" s="8" t="n"/>
      <c r="G270" s="7" t="n"/>
      <c r="H270" s="7" t="n"/>
      <c r="I270" s="9" t="n"/>
    </row>
    <row r="271">
      <c r="A271" s="7" t="n"/>
      <c r="B271" s="7" t="n"/>
      <c r="C271" s="7" t="n"/>
      <c r="D271" s="7" t="n"/>
      <c r="E271" s="7" t="n"/>
      <c r="F271" s="8" t="n"/>
      <c r="G271" s="7" t="n"/>
      <c r="H271" s="7" t="n"/>
      <c r="I271" s="9" t="n"/>
    </row>
    <row r="272">
      <c r="A272" s="7" t="n"/>
      <c r="B272" s="7" t="n"/>
      <c r="C272" s="7" t="n"/>
      <c r="D272" s="7" t="n"/>
      <c r="E272" s="7" t="n"/>
      <c r="F272" s="8" t="n"/>
      <c r="G272" s="7" t="n"/>
      <c r="H272" s="7" t="n"/>
      <c r="I272" s="9" t="n"/>
    </row>
    <row r="273">
      <c r="A273" s="7" t="n"/>
      <c r="B273" s="7" t="n"/>
      <c r="C273" s="7" t="n"/>
      <c r="D273" s="7" t="n"/>
      <c r="E273" s="7" t="n"/>
      <c r="F273" s="8" t="n"/>
      <c r="G273" s="7" t="n"/>
      <c r="H273" s="7" t="n"/>
      <c r="I273" s="9" t="n"/>
    </row>
    <row r="274">
      <c r="A274" s="7" t="n"/>
      <c r="B274" s="7" t="n"/>
      <c r="C274" s="7" t="n"/>
      <c r="D274" s="7" t="n"/>
      <c r="E274" s="7" t="n"/>
      <c r="F274" s="8" t="n"/>
      <c r="G274" s="7" t="n"/>
      <c r="H274" s="7" t="n"/>
      <c r="I274" s="9" t="n"/>
    </row>
    <row r="275">
      <c r="A275" s="7" t="n"/>
      <c r="B275" s="7" t="n"/>
      <c r="C275" s="7" t="n"/>
      <c r="D275" s="7" t="n"/>
      <c r="E275" s="7" t="n"/>
      <c r="F275" s="8" t="n"/>
      <c r="G275" s="7" t="n"/>
      <c r="H275" s="7" t="n"/>
      <c r="I275" s="9" t="n"/>
    </row>
    <row r="276">
      <c r="A276" s="7" t="n"/>
      <c r="B276" s="7" t="n"/>
      <c r="C276" s="7" t="n"/>
      <c r="D276" s="7" t="n"/>
      <c r="E276" s="7" t="n"/>
      <c r="F276" s="8" t="n"/>
      <c r="G276" s="7" t="n"/>
      <c r="H276" s="7" t="n"/>
      <c r="I276" s="9" t="n"/>
    </row>
    <row r="277">
      <c r="A277" s="7" t="n"/>
      <c r="B277" s="7" t="n"/>
      <c r="C277" s="7" t="n"/>
      <c r="D277" s="7" t="n"/>
      <c r="E277" s="7" t="n"/>
      <c r="F277" s="8" t="n"/>
      <c r="G277" s="7" t="n"/>
      <c r="H277" s="7" t="n"/>
      <c r="I277" s="9" t="n"/>
    </row>
    <row r="278">
      <c r="A278" s="7" t="n"/>
      <c r="B278" s="7" t="n"/>
      <c r="C278" s="7" t="n"/>
      <c r="D278" s="7" t="n"/>
      <c r="E278" s="7" t="n"/>
      <c r="F278" s="8" t="n"/>
      <c r="G278" s="7" t="n"/>
      <c r="H278" s="7" t="n"/>
      <c r="I278" s="9" t="n"/>
    </row>
    <row r="279">
      <c r="A279" s="7" t="n"/>
      <c r="B279" s="7" t="n"/>
      <c r="C279" s="7" t="n"/>
      <c r="D279" s="7" t="n"/>
      <c r="E279" s="7" t="n"/>
      <c r="F279" s="8" t="n"/>
      <c r="G279" s="7" t="n"/>
      <c r="H279" s="7" t="n"/>
      <c r="I279" s="9" t="n"/>
    </row>
    <row r="280">
      <c r="A280" s="7" t="n"/>
      <c r="B280" s="7" t="n"/>
      <c r="C280" s="7" t="n"/>
      <c r="D280" s="7" t="n"/>
      <c r="E280" s="7" t="n"/>
      <c r="F280" s="8" t="n"/>
      <c r="G280" s="7" t="n"/>
      <c r="H280" s="7" t="n"/>
      <c r="I280" s="9" t="n"/>
    </row>
    <row r="281">
      <c r="A281" s="7" t="n"/>
      <c r="B281" s="7" t="n"/>
      <c r="C281" s="7" t="n"/>
      <c r="D281" s="7" t="n"/>
      <c r="E281" s="7" t="n"/>
      <c r="F281" s="8" t="n"/>
      <c r="G281" s="7" t="n"/>
      <c r="H281" s="7" t="n"/>
      <c r="I281" s="9" t="n"/>
    </row>
    <row r="282">
      <c r="A282" s="7" t="n"/>
      <c r="B282" s="7" t="n"/>
      <c r="C282" s="7" t="n"/>
      <c r="D282" s="7" t="n"/>
      <c r="E282" s="7" t="n"/>
      <c r="F282" s="8" t="n"/>
      <c r="G282" s="7" t="n"/>
      <c r="H282" s="7" t="n"/>
      <c r="I282" s="9" t="n"/>
    </row>
    <row r="283">
      <c r="A283" s="7" t="n"/>
      <c r="B283" s="7" t="n"/>
      <c r="C283" s="7" t="n"/>
      <c r="D283" s="7" t="n"/>
      <c r="E283" s="7" t="n"/>
      <c r="F283" s="8" t="n"/>
      <c r="G283" s="7" t="n"/>
      <c r="H283" s="7" t="n"/>
      <c r="I283" s="9" t="n"/>
    </row>
    <row r="284">
      <c r="A284" s="7" t="n"/>
      <c r="B284" s="7" t="n"/>
      <c r="C284" s="7" t="n"/>
      <c r="D284" s="7" t="n"/>
      <c r="E284" s="7" t="n"/>
      <c r="F284" s="8" t="n"/>
      <c r="G284" s="7" t="n"/>
      <c r="H284" s="7" t="n"/>
      <c r="I284" s="9" t="n"/>
    </row>
    <row r="285">
      <c r="A285" s="7" t="n"/>
      <c r="B285" s="7" t="n"/>
      <c r="C285" s="7" t="n"/>
      <c r="D285" s="7" t="n"/>
      <c r="E285" s="7" t="n"/>
      <c r="F285" s="8" t="n"/>
      <c r="G285" s="7" t="n"/>
      <c r="H285" s="7" t="n"/>
      <c r="I285" s="9" t="n"/>
    </row>
    <row r="286">
      <c r="A286" s="7" t="n"/>
      <c r="B286" s="7" t="n"/>
      <c r="C286" s="7" t="n"/>
      <c r="D286" s="7" t="n"/>
      <c r="E286" s="7" t="n"/>
      <c r="F286" s="8" t="n"/>
      <c r="G286" s="7" t="n"/>
      <c r="H286" s="7" t="n"/>
      <c r="I286" s="9" t="n"/>
    </row>
    <row r="287">
      <c r="A287" s="7" t="n"/>
      <c r="B287" s="7" t="n"/>
      <c r="C287" s="7" t="n"/>
      <c r="D287" s="7" t="n"/>
      <c r="E287" s="7" t="n"/>
      <c r="F287" s="8" t="n"/>
      <c r="G287" s="7" t="n"/>
      <c r="H287" s="7" t="n"/>
      <c r="I287" s="9" t="n"/>
    </row>
    <row r="288">
      <c r="A288" s="7" t="n"/>
      <c r="B288" s="7" t="n"/>
      <c r="C288" s="7" t="n"/>
      <c r="D288" s="7" t="n"/>
      <c r="E288" s="7" t="n"/>
      <c r="F288" s="8" t="n"/>
      <c r="G288" s="7" t="n"/>
      <c r="H288" s="7" t="n"/>
      <c r="I288" s="9" t="n"/>
    </row>
    <row r="289">
      <c r="A289" s="7" t="n"/>
      <c r="B289" s="7" t="n"/>
      <c r="C289" s="7" t="n"/>
      <c r="D289" s="7" t="n"/>
      <c r="E289" s="7" t="n"/>
      <c r="F289" s="8" t="n"/>
      <c r="G289" s="7" t="n"/>
      <c r="H289" s="7" t="n"/>
      <c r="I289" s="9" t="n"/>
    </row>
    <row r="290">
      <c r="A290" s="7" t="n"/>
      <c r="B290" s="7" t="n"/>
      <c r="C290" s="7" t="n"/>
      <c r="D290" s="7" t="n"/>
      <c r="E290" s="7" t="n"/>
      <c r="F290" s="8" t="n"/>
      <c r="G290" s="7" t="n"/>
      <c r="H290" s="7" t="n"/>
      <c r="I290" s="9" t="n"/>
    </row>
    <row r="291">
      <c r="A291" s="7" t="n"/>
      <c r="B291" s="7" t="n"/>
      <c r="C291" s="7" t="n"/>
      <c r="D291" s="7" t="n"/>
      <c r="E291" s="7" t="n"/>
      <c r="F291" s="8" t="n"/>
      <c r="G291" s="7" t="n"/>
      <c r="H291" s="7" t="n"/>
      <c r="I291" s="9" t="n"/>
    </row>
    <row r="292">
      <c r="A292" s="7" t="n"/>
      <c r="B292" s="7" t="n"/>
      <c r="C292" s="7" t="n"/>
      <c r="D292" s="7" t="n"/>
      <c r="E292" s="7" t="n"/>
      <c r="F292" s="8" t="n"/>
      <c r="G292" s="7" t="n"/>
      <c r="H292" s="7" t="n"/>
      <c r="I292" s="9" t="n"/>
    </row>
    <row r="293">
      <c r="A293" s="7" t="n"/>
      <c r="B293" s="7" t="n"/>
      <c r="C293" s="7" t="n"/>
      <c r="D293" s="7" t="n"/>
      <c r="E293" s="7" t="n"/>
      <c r="F293" s="8" t="n"/>
      <c r="G293" s="7" t="n"/>
      <c r="H293" s="7" t="n"/>
      <c r="I293" s="9" t="n"/>
    </row>
    <row r="294">
      <c r="A294" s="7" t="n"/>
      <c r="B294" s="7" t="n"/>
      <c r="C294" s="7" t="n"/>
      <c r="D294" s="7" t="n"/>
      <c r="E294" s="7" t="n"/>
      <c r="F294" s="8" t="n"/>
      <c r="G294" s="7" t="n"/>
      <c r="H294" s="7" t="n"/>
      <c r="I294" s="9" t="n"/>
    </row>
    <row r="295">
      <c r="A295" s="7" t="n"/>
      <c r="B295" s="7" t="n"/>
      <c r="C295" s="7" t="n"/>
      <c r="D295" s="7" t="n"/>
      <c r="E295" s="7" t="n"/>
      <c r="F295" s="8" t="n"/>
      <c r="G295" s="7" t="n"/>
      <c r="H295" s="7" t="n"/>
      <c r="I295" s="9" t="n"/>
    </row>
    <row r="296">
      <c r="A296" s="7" t="n"/>
      <c r="B296" s="7" t="n"/>
      <c r="C296" s="7" t="n"/>
      <c r="D296" s="7" t="n"/>
      <c r="E296" s="7" t="n"/>
      <c r="F296" s="8" t="n"/>
      <c r="G296" s="7" t="n"/>
      <c r="H296" s="7" t="n"/>
      <c r="I296" s="9" t="n"/>
    </row>
    <row r="297">
      <c r="A297" s="7" t="n"/>
      <c r="B297" s="7" t="n"/>
      <c r="C297" s="7" t="n"/>
      <c r="D297" s="7" t="n"/>
      <c r="E297" s="7" t="n"/>
      <c r="F297" s="8" t="n"/>
      <c r="G297" s="7" t="n"/>
      <c r="H297" s="7" t="n"/>
      <c r="I297" s="9" t="n"/>
    </row>
    <row r="298">
      <c r="A298" s="7" t="n"/>
      <c r="B298" s="7" t="n"/>
      <c r="C298" s="7" t="n"/>
      <c r="D298" s="7" t="n"/>
      <c r="E298" s="7" t="n"/>
      <c r="F298" s="8" t="n"/>
      <c r="G298" s="7" t="n"/>
      <c r="H298" s="7" t="n"/>
      <c r="I298" s="9" t="n"/>
    </row>
    <row r="299">
      <c r="A299" s="7" t="n"/>
      <c r="B299" s="7" t="n"/>
      <c r="C299" s="7" t="n"/>
      <c r="D299" s="7" t="n"/>
      <c r="E299" s="7" t="n"/>
      <c r="F299" s="8" t="n"/>
      <c r="G299" s="7" t="n"/>
      <c r="H299" s="7" t="n"/>
      <c r="I299" s="9" t="n"/>
    </row>
    <row r="300">
      <c r="A300" s="7" t="n"/>
      <c r="B300" s="7" t="n"/>
      <c r="C300" s="7" t="n"/>
      <c r="D300" s="7" t="n"/>
      <c r="E300" s="7" t="n"/>
      <c r="F300" s="8" t="n"/>
      <c r="G300" s="7" t="n"/>
      <c r="H300" s="7" t="n"/>
      <c r="I300" s="9" t="n"/>
    </row>
    <row r="301">
      <c r="A301" s="7" t="n"/>
      <c r="B301" s="7" t="n"/>
      <c r="C301" s="7" t="n"/>
      <c r="D301" s="7" t="n"/>
      <c r="E301" s="7" t="n"/>
      <c r="F301" s="8" t="n"/>
      <c r="G301" s="7" t="n"/>
      <c r="H301" s="7" t="n"/>
      <c r="I301" s="9" t="n"/>
    </row>
    <row r="302">
      <c r="A302" s="7" t="n"/>
      <c r="B302" s="7" t="n"/>
      <c r="C302" s="7" t="n"/>
      <c r="D302" s="7" t="n"/>
      <c r="E302" s="7" t="n"/>
      <c r="F302" s="8" t="n"/>
      <c r="G302" s="7" t="n"/>
      <c r="H302" s="7" t="n"/>
      <c r="I302" s="9" t="n"/>
    </row>
    <row r="303">
      <c r="A303" s="7" t="n"/>
      <c r="B303" s="7" t="n"/>
      <c r="C303" s="7" t="n"/>
      <c r="D303" s="7" t="n"/>
      <c r="E303" s="7" t="n"/>
      <c r="F303" s="8" t="n"/>
      <c r="G303" s="7" t="n"/>
      <c r="H303" s="7" t="n"/>
      <c r="I303" s="9" t="n"/>
    </row>
    <row r="304">
      <c r="A304" s="7" t="n"/>
      <c r="B304" s="7" t="n"/>
      <c r="C304" s="7" t="n"/>
      <c r="D304" s="7" t="n"/>
      <c r="E304" s="7" t="n"/>
      <c r="F304" s="8" t="n"/>
      <c r="G304" s="7" t="n"/>
      <c r="H304" s="7" t="n"/>
      <c r="I304" s="9" t="n"/>
    </row>
    <row r="305">
      <c r="A305" s="7" t="n"/>
      <c r="B305" s="7" t="n"/>
      <c r="C305" s="7" t="n"/>
      <c r="D305" s="7" t="n"/>
      <c r="E305" s="7" t="n"/>
      <c r="F305" s="8" t="n"/>
      <c r="G305" s="7" t="n"/>
      <c r="H305" s="7" t="n"/>
      <c r="I305" s="9" t="n"/>
    </row>
    <row r="306">
      <c r="A306" s="7" t="n"/>
      <c r="B306" s="7" t="n"/>
      <c r="C306" s="7" t="n"/>
      <c r="D306" s="7" t="n"/>
      <c r="E306" s="7" t="n"/>
      <c r="F306" s="8" t="n"/>
      <c r="G306" s="7" t="n"/>
      <c r="H306" s="7" t="n"/>
      <c r="I306" s="9" t="n"/>
    </row>
    <row r="307">
      <c r="A307" s="7" t="n"/>
      <c r="B307" s="7" t="n"/>
      <c r="C307" s="7" t="n"/>
      <c r="D307" s="7" t="n"/>
      <c r="E307" s="7" t="n"/>
      <c r="F307" s="8" t="n"/>
      <c r="G307" s="7" t="n"/>
      <c r="H307" s="7" t="n"/>
      <c r="I307" s="9" t="n"/>
    </row>
    <row r="308">
      <c r="A308" s="7" t="n"/>
      <c r="B308" s="7" t="n"/>
      <c r="C308" s="7" t="n"/>
      <c r="D308" s="7" t="n"/>
      <c r="E308" s="7" t="n"/>
      <c r="F308" s="8" t="n"/>
      <c r="G308" s="7" t="n"/>
      <c r="H308" s="7" t="n"/>
      <c r="I308" s="9" t="n"/>
    </row>
    <row r="309">
      <c r="A309" s="7" t="n"/>
      <c r="B309" s="7" t="n"/>
      <c r="C309" s="7" t="n"/>
      <c r="D309" s="7" t="n"/>
      <c r="E309" s="7" t="n"/>
      <c r="F309" s="8" t="n"/>
      <c r="G309" s="7" t="n"/>
      <c r="H309" s="7" t="n"/>
      <c r="I309" s="9" t="n"/>
    </row>
    <row r="310">
      <c r="A310" s="7" t="n"/>
      <c r="B310" s="7" t="n"/>
      <c r="C310" s="7" t="n"/>
      <c r="D310" s="7" t="n"/>
      <c r="E310" s="7" t="n"/>
      <c r="F310" s="8" t="n"/>
      <c r="G310" s="7" t="n"/>
      <c r="H310" s="7" t="n"/>
      <c r="I310" s="9" t="n"/>
    </row>
    <row r="311">
      <c r="A311" s="7" t="n"/>
      <c r="B311" s="7" t="n"/>
      <c r="C311" s="7" t="n"/>
      <c r="D311" s="7" t="n"/>
      <c r="E311" s="7" t="n"/>
      <c r="F311" s="8" t="n"/>
      <c r="G311" s="7" t="n"/>
      <c r="H311" s="7" t="n"/>
      <c r="I311" s="9" t="n"/>
    </row>
    <row r="312">
      <c r="A312" s="7" t="n"/>
      <c r="B312" s="7" t="n"/>
      <c r="C312" s="7" t="n"/>
      <c r="D312" s="7" t="n"/>
      <c r="E312" s="7" t="n"/>
      <c r="F312" s="8" t="n"/>
      <c r="G312" s="7" t="n"/>
      <c r="H312" s="7" t="n"/>
      <c r="I312" s="9" t="n"/>
    </row>
    <row r="313">
      <c r="A313" s="7" t="n"/>
      <c r="B313" s="7" t="n"/>
      <c r="C313" s="7" t="n"/>
      <c r="D313" s="7" t="n"/>
      <c r="E313" s="7" t="n"/>
      <c r="F313" s="8" t="n"/>
      <c r="G313" s="7" t="n"/>
      <c r="H313" s="7" t="n"/>
      <c r="I313" s="9" t="n"/>
    </row>
    <row r="314">
      <c r="A314" s="7" t="n"/>
      <c r="B314" s="7" t="n"/>
      <c r="C314" s="7" t="n"/>
      <c r="D314" s="7" t="n"/>
      <c r="E314" s="7" t="n"/>
      <c r="F314" s="8" t="n"/>
      <c r="G314" s="7" t="n"/>
      <c r="H314" s="7" t="n"/>
      <c r="I314" s="9" t="n"/>
    </row>
    <row r="315">
      <c r="A315" s="7" t="n"/>
      <c r="B315" s="7" t="n"/>
      <c r="C315" s="7" t="n"/>
      <c r="D315" s="7" t="n"/>
      <c r="E315" s="7" t="n"/>
      <c r="F315" s="8" t="n"/>
      <c r="G315" s="7" t="n"/>
      <c r="H315" s="7" t="n"/>
      <c r="I315" s="9" t="n"/>
    </row>
    <row r="316">
      <c r="A316" s="7" t="n"/>
      <c r="B316" s="7" t="n"/>
      <c r="C316" s="7" t="n"/>
      <c r="D316" s="7" t="n"/>
      <c r="E316" s="7" t="n"/>
      <c r="F316" s="8" t="n"/>
      <c r="G316" s="7" t="n"/>
      <c r="H316" s="7" t="n"/>
      <c r="I316" s="9" t="n"/>
    </row>
    <row r="317">
      <c r="A317" s="7" t="n"/>
      <c r="B317" s="7" t="n"/>
      <c r="C317" s="7" t="n"/>
      <c r="D317" s="7" t="n"/>
      <c r="E317" s="7" t="n"/>
      <c r="F317" s="8" t="n"/>
      <c r="G317" s="7" t="n"/>
      <c r="H317" s="7" t="n"/>
      <c r="I317" s="9" t="n"/>
    </row>
    <row r="318">
      <c r="A318" s="7" t="n"/>
      <c r="B318" s="7" t="n"/>
      <c r="C318" s="7" t="n"/>
      <c r="D318" s="7" t="n"/>
      <c r="E318" s="7" t="n"/>
      <c r="F318" s="8" t="n"/>
      <c r="G318" s="7" t="n"/>
      <c r="H318" s="7" t="n"/>
      <c r="I318" s="9" t="n"/>
    </row>
    <row r="319">
      <c r="A319" s="7" t="n"/>
      <c r="B319" s="7" t="n"/>
      <c r="C319" s="7" t="n"/>
      <c r="D319" s="7" t="n"/>
      <c r="E319" s="7" t="n"/>
      <c r="F319" s="8" t="n"/>
      <c r="G319" s="7" t="n"/>
      <c r="H319" s="7" t="n"/>
      <c r="I319" s="9" t="n"/>
    </row>
    <row r="320">
      <c r="A320" s="7" t="n"/>
      <c r="B320" s="7" t="n"/>
      <c r="C320" s="7" t="n"/>
      <c r="D320" s="7" t="n"/>
      <c r="E320" s="7" t="n"/>
      <c r="F320" s="8" t="n"/>
      <c r="G320" s="7" t="n"/>
      <c r="H320" s="7" t="n"/>
      <c r="I320" s="9" t="n"/>
    </row>
    <row r="321">
      <c r="A321" s="7" t="n"/>
      <c r="B321" s="7" t="n"/>
      <c r="C321" s="7" t="n"/>
      <c r="D321" s="7" t="n"/>
      <c r="E321" s="7" t="n"/>
      <c r="F321" s="8" t="n"/>
      <c r="G321" s="7" t="n"/>
      <c r="H321" s="7" t="n"/>
      <c r="I321" s="9" t="n"/>
    </row>
    <row r="322">
      <c r="A322" s="7" t="n"/>
      <c r="B322" s="7" t="n"/>
      <c r="C322" s="7" t="n"/>
      <c r="D322" s="7" t="n"/>
      <c r="E322" s="7" t="n"/>
      <c r="F322" s="8" t="n"/>
      <c r="G322" s="7" t="n"/>
      <c r="H322" s="7" t="n"/>
      <c r="I322" s="9" t="n"/>
    </row>
    <row r="323">
      <c r="A323" s="7" t="n"/>
      <c r="B323" s="7" t="n"/>
      <c r="C323" s="7" t="n"/>
      <c r="D323" s="7" t="n"/>
      <c r="E323" s="7" t="n"/>
      <c r="F323" s="8" t="n"/>
      <c r="G323" s="7" t="n"/>
      <c r="H323" s="7" t="n"/>
      <c r="I323" s="9" t="n"/>
    </row>
    <row r="324">
      <c r="A324" s="7" t="n"/>
      <c r="B324" s="7" t="n"/>
      <c r="C324" s="7" t="n"/>
      <c r="D324" s="7" t="n"/>
      <c r="E324" s="7" t="n"/>
      <c r="F324" s="8" t="n"/>
      <c r="G324" s="7" t="n"/>
      <c r="H324" s="7" t="n"/>
      <c r="I324" s="9" t="n"/>
    </row>
    <row r="325">
      <c r="A325" s="7" t="n"/>
      <c r="B325" s="7" t="n"/>
      <c r="C325" s="7" t="n"/>
      <c r="D325" s="7" t="n"/>
      <c r="E325" s="7" t="n"/>
      <c r="F325" s="8" t="n"/>
      <c r="G325" s="7" t="n"/>
      <c r="H325" s="7" t="n"/>
      <c r="I325" s="9" t="n"/>
    </row>
    <row r="326">
      <c r="A326" s="7" t="n"/>
      <c r="B326" s="7" t="n"/>
      <c r="C326" s="7" t="n"/>
      <c r="D326" s="7" t="n"/>
      <c r="E326" s="7" t="n"/>
      <c r="F326" s="8" t="n"/>
      <c r="G326" s="7" t="n"/>
      <c r="H326" s="7" t="n"/>
      <c r="I326" s="9" t="n"/>
    </row>
    <row r="327">
      <c r="A327" s="7" t="n"/>
      <c r="B327" s="7" t="n"/>
      <c r="C327" s="7" t="n"/>
      <c r="D327" s="7" t="n"/>
      <c r="E327" s="7" t="n"/>
      <c r="F327" s="8" t="n"/>
      <c r="G327" s="7" t="n"/>
      <c r="H327" s="7" t="n"/>
      <c r="I327" s="9" t="n"/>
    </row>
    <row r="328">
      <c r="A328" s="7" t="n"/>
      <c r="B328" s="7" t="n"/>
      <c r="C328" s="7" t="n"/>
      <c r="D328" s="7" t="n"/>
      <c r="E328" s="7" t="n"/>
      <c r="F328" s="8" t="n"/>
      <c r="G328" s="7" t="n"/>
      <c r="H328" s="7" t="n"/>
      <c r="I328" s="9" t="n"/>
    </row>
    <row r="329">
      <c r="A329" s="7" t="n"/>
      <c r="B329" s="7" t="n"/>
      <c r="C329" s="7" t="n"/>
      <c r="D329" s="7" t="n"/>
      <c r="E329" s="7" t="n"/>
      <c r="F329" s="8" t="n"/>
      <c r="G329" s="7" t="n"/>
      <c r="H329" s="7" t="n"/>
      <c r="I329" s="9" t="n"/>
    </row>
    <row r="330">
      <c r="A330" s="7" t="n"/>
      <c r="B330" s="7" t="n"/>
      <c r="C330" s="7" t="n"/>
      <c r="D330" s="7" t="n"/>
      <c r="E330" s="7" t="n"/>
      <c r="F330" s="8" t="n"/>
      <c r="G330" s="7" t="n"/>
      <c r="H330" s="7" t="n"/>
      <c r="I330" s="9" t="n"/>
    </row>
    <row r="331">
      <c r="A331" s="7" t="n"/>
      <c r="B331" s="7" t="n"/>
      <c r="C331" s="7" t="n"/>
      <c r="D331" s="7" t="n"/>
      <c r="E331" s="7" t="n"/>
      <c r="F331" s="8" t="n"/>
      <c r="G331" s="7" t="n"/>
      <c r="H331" s="7" t="n"/>
      <c r="I331" s="9" t="n"/>
    </row>
    <row r="332">
      <c r="A332" s="7" t="n"/>
      <c r="B332" s="7" t="n"/>
      <c r="C332" s="7" t="n"/>
      <c r="D332" s="7" t="n"/>
      <c r="E332" s="7" t="n"/>
      <c r="F332" s="8" t="n"/>
      <c r="G332" s="7" t="n"/>
      <c r="H332" s="7" t="n"/>
      <c r="I332" s="9" t="n"/>
    </row>
    <row r="333">
      <c r="A333" s="7" t="n"/>
      <c r="B333" s="7" t="n"/>
      <c r="C333" s="7" t="n"/>
      <c r="D333" s="7" t="n"/>
      <c r="E333" s="7" t="n"/>
      <c r="F333" s="8" t="n"/>
      <c r="G333" s="7" t="n"/>
      <c r="H333" s="7" t="n"/>
      <c r="I333" s="9" t="n"/>
    </row>
    <row r="334">
      <c r="A334" s="7" t="n"/>
      <c r="B334" s="7" t="n"/>
      <c r="C334" s="7" t="n"/>
      <c r="D334" s="7" t="n"/>
      <c r="E334" s="7" t="n"/>
      <c r="F334" s="8" t="n"/>
      <c r="G334" s="7" t="n"/>
      <c r="H334" s="7" t="n"/>
      <c r="I334" s="9" t="n"/>
    </row>
    <row r="335">
      <c r="A335" s="7" t="n"/>
      <c r="B335" s="7" t="n"/>
      <c r="C335" s="7" t="n"/>
      <c r="D335" s="7" t="n"/>
      <c r="E335" s="7" t="n"/>
      <c r="F335" s="8" t="n"/>
      <c r="G335" s="7" t="n"/>
      <c r="H335" s="7" t="n"/>
      <c r="I335" s="9" t="n"/>
    </row>
    <row r="336">
      <c r="A336" s="7" t="n"/>
      <c r="B336" s="7" t="n"/>
      <c r="C336" s="7" t="n"/>
      <c r="D336" s="7" t="n"/>
      <c r="E336" s="7" t="n"/>
      <c r="F336" s="8" t="n"/>
      <c r="G336" s="7" t="n"/>
      <c r="H336" s="7" t="n"/>
      <c r="I336" s="9" t="n"/>
    </row>
    <row r="337">
      <c r="A337" s="7" t="n"/>
      <c r="B337" s="7" t="n"/>
      <c r="C337" s="7" t="n"/>
      <c r="D337" s="7" t="n"/>
      <c r="E337" s="7" t="n"/>
      <c r="F337" s="8" t="n"/>
      <c r="G337" s="7" t="n"/>
      <c r="H337" s="7" t="n"/>
      <c r="I337" s="9" t="n"/>
    </row>
    <row r="338">
      <c r="A338" s="7" t="n"/>
      <c r="B338" s="7" t="n"/>
      <c r="C338" s="7" t="n"/>
      <c r="D338" s="7" t="n"/>
      <c r="E338" s="7" t="n"/>
      <c r="F338" s="8" t="n"/>
      <c r="G338" s="7" t="n"/>
      <c r="H338" s="7" t="n"/>
      <c r="I338" s="9" t="n"/>
    </row>
    <row r="339">
      <c r="A339" s="7" t="n"/>
      <c r="B339" s="7" t="n"/>
      <c r="C339" s="7" t="n"/>
      <c r="D339" s="7" t="n"/>
      <c r="E339" s="7" t="n"/>
      <c r="F339" s="8" t="n"/>
      <c r="G339" s="7" t="n"/>
      <c r="H339" s="7" t="n"/>
      <c r="I339" s="9" t="n"/>
    </row>
    <row r="340">
      <c r="A340" s="7" t="n"/>
      <c r="B340" s="7" t="n"/>
      <c r="C340" s="7" t="n"/>
      <c r="D340" s="7" t="n"/>
      <c r="E340" s="7" t="n"/>
      <c r="F340" s="8" t="n"/>
      <c r="G340" s="7" t="n"/>
      <c r="H340" s="7" t="n"/>
      <c r="I340" s="9" t="n"/>
    </row>
    <row r="341">
      <c r="A341" s="7" t="n"/>
      <c r="B341" s="7" t="n"/>
      <c r="C341" s="7" t="n"/>
      <c r="D341" s="7" t="n"/>
      <c r="E341" s="7" t="n"/>
      <c r="F341" s="8" t="n"/>
      <c r="G341" s="7" t="n"/>
      <c r="H341" s="7" t="n"/>
      <c r="I341" s="9" t="n"/>
    </row>
    <row r="342">
      <c r="A342" s="7" t="n"/>
      <c r="B342" s="7" t="n"/>
      <c r="C342" s="7" t="n"/>
      <c r="D342" s="7" t="n"/>
      <c r="E342" s="7" t="n"/>
      <c r="F342" s="8" t="n"/>
      <c r="G342" s="7" t="n"/>
      <c r="H342" s="7" t="n"/>
      <c r="I342" s="9" t="n"/>
    </row>
    <row r="343">
      <c r="A343" s="7" t="n"/>
      <c r="B343" s="7" t="n"/>
      <c r="C343" s="7" t="n"/>
      <c r="D343" s="7" t="n"/>
      <c r="E343" s="7" t="n"/>
      <c r="F343" s="8" t="n"/>
      <c r="G343" s="7" t="n"/>
      <c r="H343" s="7" t="n"/>
      <c r="I343" s="9" t="n"/>
    </row>
    <row r="344">
      <c r="A344" s="7" t="n"/>
      <c r="B344" s="7" t="n"/>
      <c r="C344" s="7" t="n"/>
      <c r="D344" s="7" t="n"/>
      <c r="E344" s="7" t="n"/>
      <c r="F344" s="8" t="n"/>
      <c r="G344" s="7" t="n"/>
      <c r="H344" s="7" t="n"/>
      <c r="I344" s="9" t="n"/>
    </row>
    <row r="345">
      <c r="A345" s="7" t="n"/>
      <c r="B345" s="7" t="n"/>
      <c r="C345" s="7" t="n"/>
      <c r="D345" s="7" t="n"/>
      <c r="E345" s="7" t="n"/>
      <c r="F345" s="8" t="n"/>
      <c r="G345" s="7" t="n"/>
      <c r="H345" s="7" t="n"/>
      <c r="I345" s="9" t="n"/>
    </row>
    <row r="346">
      <c r="A346" s="7" t="n"/>
      <c r="B346" s="7" t="n"/>
      <c r="C346" s="7" t="n"/>
      <c r="D346" s="7" t="n"/>
      <c r="E346" s="7" t="n"/>
      <c r="F346" s="8" t="n"/>
      <c r="G346" s="7" t="n"/>
      <c r="H346" s="7" t="n"/>
      <c r="I346" s="9" t="n"/>
    </row>
    <row r="347">
      <c r="A347" s="7" t="n"/>
      <c r="B347" s="7" t="n"/>
      <c r="C347" s="7" t="n"/>
      <c r="D347" s="7" t="n"/>
      <c r="E347" s="7" t="n"/>
      <c r="F347" s="8" t="n"/>
      <c r="G347" s="7" t="n"/>
      <c r="H347" s="7" t="n"/>
      <c r="I347" s="9" t="n"/>
    </row>
    <row r="348">
      <c r="A348" s="7" t="n"/>
      <c r="B348" s="7" t="n"/>
      <c r="C348" s="7" t="n"/>
      <c r="D348" s="7" t="n"/>
      <c r="E348" s="7" t="n"/>
      <c r="F348" s="8" t="n"/>
      <c r="G348" s="7" t="n"/>
      <c r="H348" s="7" t="n"/>
      <c r="I348" s="9" t="n"/>
    </row>
    <row r="349">
      <c r="A349" s="7" t="n"/>
      <c r="B349" s="7" t="n"/>
      <c r="C349" s="7" t="n"/>
      <c r="D349" s="7" t="n"/>
      <c r="E349" s="7" t="n"/>
      <c r="F349" s="8" t="n"/>
      <c r="G349" s="7" t="n"/>
      <c r="H349" s="7" t="n"/>
      <c r="I349" s="9" t="n"/>
    </row>
    <row r="350">
      <c r="A350" s="7" t="n"/>
      <c r="B350" s="7" t="n"/>
      <c r="C350" s="7" t="n"/>
      <c r="D350" s="7" t="n"/>
      <c r="E350" s="7" t="n"/>
      <c r="F350" s="8" t="n"/>
      <c r="G350" s="7" t="n"/>
      <c r="H350" s="7" t="n"/>
      <c r="I350" s="9" t="n"/>
    </row>
    <row r="351">
      <c r="A351" s="7" t="n"/>
      <c r="B351" s="7" t="n"/>
      <c r="C351" s="7" t="n"/>
      <c r="D351" s="7" t="n"/>
      <c r="E351" s="7" t="n"/>
      <c r="F351" s="8" t="n"/>
      <c r="G351" s="7" t="n"/>
      <c r="H351" s="7" t="n"/>
      <c r="I351" s="9" t="n"/>
    </row>
    <row r="352">
      <c r="A352" s="7" t="n"/>
      <c r="B352" s="7" t="n"/>
      <c r="C352" s="7" t="n"/>
      <c r="D352" s="7" t="n"/>
      <c r="E352" s="7" t="n"/>
      <c r="F352" s="8" t="n"/>
      <c r="G352" s="7" t="n"/>
      <c r="H352" s="7" t="n"/>
      <c r="I352" s="9" t="n"/>
    </row>
    <row r="353">
      <c r="A353" s="7" t="n"/>
      <c r="B353" s="7" t="n"/>
      <c r="C353" s="7" t="n"/>
      <c r="D353" s="7" t="n"/>
      <c r="E353" s="7" t="n"/>
      <c r="F353" s="8" t="n"/>
      <c r="G353" s="7" t="n"/>
      <c r="H353" s="7" t="n"/>
      <c r="I353" s="9" t="n"/>
    </row>
    <row r="354">
      <c r="A354" s="7" t="n"/>
      <c r="B354" s="7" t="n"/>
      <c r="C354" s="7" t="n"/>
      <c r="D354" s="7" t="n"/>
      <c r="E354" s="7" t="n"/>
      <c r="F354" s="8" t="n"/>
      <c r="G354" s="7" t="n"/>
      <c r="H354" s="7" t="n"/>
      <c r="I354" s="9" t="n"/>
    </row>
    <row r="355">
      <c r="A355" s="7" t="n"/>
      <c r="B355" s="7" t="n"/>
      <c r="C355" s="7" t="n"/>
      <c r="D355" s="7" t="n"/>
      <c r="E355" s="7" t="n"/>
      <c r="F355" s="8" t="n"/>
      <c r="G355" s="7" t="n"/>
      <c r="H355" s="7" t="n"/>
      <c r="I355" s="9" t="n"/>
    </row>
    <row r="356">
      <c r="A356" s="7" t="n"/>
      <c r="B356" s="7" t="n"/>
      <c r="C356" s="7" t="n"/>
      <c r="D356" s="7" t="n"/>
      <c r="E356" s="7" t="n"/>
      <c r="F356" s="8" t="n"/>
      <c r="G356" s="7" t="n"/>
      <c r="H356" s="7" t="n"/>
      <c r="I356" s="9" t="n"/>
    </row>
    <row r="357">
      <c r="A357" s="7" t="n"/>
      <c r="B357" s="7" t="n"/>
      <c r="C357" s="7" t="n"/>
      <c r="D357" s="7" t="n"/>
      <c r="E357" s="7" t="n"/>
      <c r="F357" s="8" t="n"/>
      <c r="G357" s="7" t="n"/>
      <c r="H357" s="7" t="n"/>
      <c r="I357" s="9" t="n"/>
    </row>
    <row r="358">
      <c r="A358" s="7" t="n"/>
      <c r="B358" s="7" t="n"/>
      <c r="C358" s="7" t="n"/>
      <c r="D358" s="7" t="n"/>
      <c r="E358" s="7" t="n"/>
      <c r="F358" s="8" t="n"/>
      <c r="G358" s="7" t="n"/>
      <c r="H358" s="7" t="n"/>
      <c r="I358" s="9" t="n"/>
    </row>
    <row r="359">
      <c r="A359" s="7" t="n"/>
      <c r="B359" s="7" t="n"/>
      <c r="C359" s="7" t="n"/>
      <c r="D359" s="7" t="n"/>
      <c r="E359" s="7" t="n"/>
      <c r="F359" s="8" t="n"/>
      <c r="G359" s="7" t="n"/>
      <c r="H359" s="7" t="n"/>
      <c r="I359" s="9" t="n"/>
    </row>
    <row r="360">
      <c r="A360" s="7" t="n"/>
      <c r="B360" s="7" t="n"/>
      <c r="C360" s="7" t="n"/>
      <c r="D360" s="7" t="n"/>
      <c r="E360" s="7" t="n"/>
      <c r="F360" s="8" t="n"/>
      <c r="G360" s="7" t="n"/>
      <c r="H360" s="7" t="n"/>
      <c r="I360" s="9" t="n"/>
    </row>
    <row r="361">
      <c r="A361" s="7" t="n"/>
      <c r="B361" s="7" t="n"/>
      <c r="C361" s="7" t="n"/>
      <c r="D361" s="7" t="n"/>
      <c r="E361" s="7" t="n"/>
      <c r="F361" s="8" t="n"/>
      <c r="G361" s="7" t="n"/>
      <c r="H361" s="7" t="n"/>
      <c r="I361" s="9" t="n"/>
    </row>
    <row r="362">
      <c r="A362" s="7" t="n"/>
      <c r="B362" s="7" t="n"/>
      <c r="C362" s="7" t="n"/>
      <c r="D362" s="7" t="n"/>
      <c r="E362" s="7" t="n"/>
      <c r="F362" s="8" t="n"/>
      <c r="G362" s="7" t="n"/>
      <c r="H362" s="7" t="n"/>
      <c r="I362" s="9" t="n"/>
    </row>
    <row r="363">
      <c r="A363" s="7" t="n"/>
      <c r="B363" s="7" t="n"/>
      <c r="C363" s="7" t="n"/>
      <c r="D363" s="7" t="n"/>
      <c r="E363" s="7" t="n"/>
      <c r="F363" s="8" t="n"/>
      <c r="G363" s="7" t="n"/>
      <c r="H363" s="7" t="n"/>
      <c r="I363" s="9" t="n"/>
    </row>
    <row r="364">
      <c r="A364" s="7" t="n"/>
      <c r="B364" s="7" t="n"/>
      <c r="C364" s="7" t="n"/>
      <c r="D364" s="7" t="n"/>
      <c r="E364" s="7" t="n"/>
      <c r="F364" s="8" t="n"/>
      <c r="G364" s="7" t="n"/>
      <c r="H364" s="7" t="n"/>
      <c r="I364" s="9" t="n"/>
    </row>
    <row r="365">
      <c r="A365" s="7" t="n"/>
      <c r="B365" s="7" t="n"/>
      <c r="C365" s="7" t="n"/>
      <c r="D365" s="7" t="n"/>
      <c r="E365" s="7" t="n"/>
      <c r="F365" s="8" t="n"/>
      <c r="G365" s="7" t="n"/>
      <c r="H365" s="7" t="n"/>
      <c r="I365" s="9" t="n"/>
    </row>
    <row r="366">
      <c r="A366" s="7" t="n"/>
      <c r="B366" s="7" t="n"/>
      <c r="C366" s="7" t="n"/>
      <c r="D366" s="7" t="n"/>
      <c r="E366" s="7" t="n"/>
      <c r="F366" s="8" t="n"/>
      <c r="G366" s="7" t="n"/>
      <c r="H366" s="7" t="n"/>
      <c r="I366" s="9" t="n"/>
    </row>
    <row r="367">
      <c r="A367" s="7" t="n"/>
      <c r="B367" s="7" t="n"/>
      <c r="C367" s="7" t="n"/>
      <c r="D367" s="7" t="n"/>
      <c r="E367" s="7" t="n"/>
      <c r="F367" s="8" t="n"/>
      <c r="G367" s="7" t="n"/>
      <c r="H367" s="7" t="n"/>
      <c r="I367" s="9" t="n"/>
    </row>
    <row r="368">
      <c r="A368" s="7" t="n"/>
      <c r="B368" s="7" t="n"/>
      <c r="C368" s="7" t="n"/>
      <c r="D368" s="7" t="n"/>
      <c r="E368" s="7" t="n"/>
      <c r="F368" s="8" t="n"/>
      <c r="G368" s="7" t="n"/>
      <c r="H368" s="7" t="n"/>
      <c r="I368" s="9" t="n"/>
    </row>
    <row r="369">
      <c r="A369" s="7" t="n"/>
      <c r="B369" s="7" t="n"/>
      <c r="C369" s="7" t="n"/>
      <c r="D369" s="7" t="n"/>
      <c r="E369" s="7" t="n"/>
      <c r="F369" s="8" t="n"/>
      <c r="G369" s="7" t="n"/>
      <c r="H369" s="7" t="n"/>
      <c r="I369" s="9" t="n"/>
    </row>
    <row r="370">
      <c r="A370" s="7" t="n"/>
      <c r="B370" s="7" t="n"/>
      <c r="C370" s="7" t="n"/>
      <c r="D370" s="7" t="n"/>
      <c r="E370" s="7" t="n"/>
      <c r="F370" s="8" t="n"/>
      <c r="G370" s="7" t="n"/>
      <c r="H370" s="7" t="n"/>
      <c r="I370" s="9" t="n"/>
    </row>
    <row r="371">
      <c r="A371" s="7" t="n"/>
      <c r="B371" s="7" t="n"/>
      <c r="C371" s="7" t="n"/>
      <c r="D371" s="7" t="n"/>
      <c r="E371" s="7" t="n"/>
      <c r="F371" s="8" t="n"/>
      <c r="G371" s="7" t="n"/>
      <c r="H371" s="7" t="n"/>
      <c r="I371" s="9" t="n"/>
    </row>
    <row r="372">
      <c r="A372" s="7" t="n"/>
      <c r="B372" s="7" t="n"/>
      <c r="C372" s="7" t="n"/>
      <c r="D372" s="7" t="n"/>
      <c r="E372" s="7" t="n"/>
      <c r="F372" s="8" t="n"/>
      <c r="G372" s="7" t="n"/>
      <c r="H372" s="7" t="n"/>
      <c r="I372" s="9" t="n"/>
    </row>
    <row r="373">
      <c r="A373" s="7" t="n"/>
      <c r="B373" s="7" t="n"/>
      <c r="C373" s="7" t="n"/>
      <c r="D373" s="7" t="n"/>
      <c r="E373" s="7" t="n"/>
      <c r="F373" s="8" t="n"/>
      <c r="G373" s="7" t="n"/>
      <c r="H373" s="7" t="n"/>
      <c r="I373" s="9" t="n"/>
    </row>
    <row r="374">
      <c r="A374" s="7" t="n"/>
      <c r="B374" s="7" t="n"/>
      <c r="C374" s="7" t="n"/>
      <c r="D374" s="7" t="n"/>
      <c r="E374" s="7" t="n"/>
      <c r="F374" s="8" t="n"/>
      <c r="G374" s="7" t="n"/>
      <c r="H374" s="7" t="n"/>
      <c r="I374" s="9" t="n"/>
    </row>
    <row r="375">
      <c r="A375" s="7" t="n"/>
      <c r="B375" s="7" t="n"/>
      <c r="C375" s="7" t="n"/>
      <c r="D375" s="7" t="n"/>
      <c r="E375" s="7" t="n"/>
      <c r="F375" s="8" t="n"/>
      <c r="G375" s="7" t="n"/>
      <c r="H375" s="7" t="n"/>
      <c r="I375" s="9" t="n"/>
    </row>
    <row r="376">
      <c r="A376" s="7" t="n"/>
      <c r="B376" s="7" t="n"/>
      <c r="C376" s="7" t="n"/>
      <c r="D376" s="7" t="n"/>
      <c r="E376" s="7" t="n"/>
      <c r="F376" s="8" t="n"/>
      <c r="G376" s="7" t="n"/>
      <c r="H376" s="7" t="n"/>
      <c r="I376" s="9" t="n"/>
    </row>
    <row r="377">
      <c r="A377" s="7" t="n"/>
      <c r="B377" s="7" t="n"/>
      <c r="C377" s="7" t="n"/>
      <c r="D377" s="7" t="n"/>
      <c r="E377" s="7" t="n"/>
      <c r="F377" s="8" t="n"/>
      <c r="G377" s="7" t="n"/>
      <c r="H377" s="7" t="n"/>
      <c r="I377" s="9" t="n"/>
    </row>
    <row r="378">
      <c r="A378" s="7" t="n"/>
      <c r="B378" s="7" t="n"/>
      <c r="C378" s="7" t="n"/>
      <c r="D378" s="7" t="n"/>
      <c r="E378" s="7" t="n"/>
      <c r="F378" s="8" t="n"/>
      <c r="G378" s="7" t="n"/>
      <c r="H378" s="7" t="n"/>
      <c r="I378" s="9" t="n"/>
    </row>
    <row r="379">
      <c r="A379" s="7" t="n"/>
      <c r="B379" s="7" t="n"/>
      <c r="C379" s="7" t="n"/>
      <c r="D379" s="7" t="n"/>
      <c r="E379" s="7" t="n"/>
      <c r="F379" s="8" t="n"/>
      <c r="G379" s="7" t="n"/>
      <c r="H379" s="7" t="n"/>
      <c r="I379" s="9" t="n"/>
    </row>
    <row r="380">
      <c r="A380" s="7" t="n"/>
      <c r="B380" s="7" t="n"/>
      <c r="C380" s="7" t="n"/>
      <c r="D380" s="7" t="n"/>
      <c r="E380" s="7" t="n"/>
      <c r="F380" s="8" t="n"/>
      <c r="G380" s="7" t="n"/>
      <c r="H380" s="7" t="n"/>
      <c r="I380" s="9" t="n"/>
    </row>
    <row r="381">
      <c r="A381" s="7" t="n"/>
      <c r="B381" s="7" t="n"/>
      <c r="C381" s="7" t="n"/>
      <c r="D381" s="7" t="n"/>
      <c r="E381" s="7" t="n"/>
      <c r="F381" s="8" t="n"/>
      <c r="G381" s="7" t="n"/>
      <c r="H381" s="7" t="n"/>
      <c r="I381" s="9" t="n"/>
    </row>
    <row r="382">
      <c r="A382" s="7" t="n"/>
      <c r="B382" s="7" t="n"/>
      <c r="C382" s="7" t="n"/>
      <c r="D382" s="7" t="n"/>
      <c r="E382" s="7" t="n"/>
      <c r="F382" s="8" t="n"/>
      <c r="G382" s="7" t="n"/>
      <c r="H382" s="7" t="n"/>
      <c r="I382" s="9" t="n"/>
    </row>
    <row r="383">
      <c r="A383" s="7" t="n"/>
      <c r="B383" s="7" t="n"/>
      <c r="C383" s="7" t="n"/>
      <c r="D383" s="7" t="n"/>
      <c r="E383" s="7" t="n"/>
      <c r="F383" s="8" t="n"/>
      <c r="G383" s="7" t="n"/>
      <c r="H383" s="7" t="n"/>
      <c r="I383" s="9" t="n"/>
    </row>
    <row r="384">
      <c r="A384" s="7" t="n"/>
      <c r="B384" s="7" t="n"/>
      <c r="C384" s="7" t="n"/>
      <c r="D384" s="7" t="n"/>
      <c r="E384" s="7" t="n"/>
      <c r="F384" s="8" t="n"/>
      <c r="G384" s="7" t="n"/>
      <c r="H384" s="7" t="n"/>
      <c r="I384" s="9" t="n"/>
    </row>
    <row r="385">
      <c r="A385" s="7" t="n"/>
      <c r="B385" s="7" t="n"/>
      <c r="C385" s="7" t="n"/>
      <c r="D385" s="7" t="n"/>
      <c r="E385" s="7" t="n"/>
      <c r="F385" s="8" t="n"/>
      <c r="G385" s="7" t="n"/>
      <c r="H385" s="7" t="n"/>
      <c r="I385" s="9" t="n"/>
    </row>
    <row r="386">
      <c r="A386" s="7" t="n"/>
      <c r="B386" s="7" t="n"/>
      <c r="C386" s="7" t="n"/>
      <c r="D386" s="7" t="n"/>
      <c r="E386" s="7" t="n"/>
      <c r="F386" s="8" t="n"/>
      <c r="G386" s="7" t="n"/>
      <c r="H386" s="7" t="n"/>
      <c r="I386" s="9" t="n"/>
    </row>
    <row r="387">
      <c r="A387" s="7" t="n"/>
      <c r="B387" s="7" t="n"/>
      <c r="C387" s="7" t="n"/>
      <c r="D387" s="7" t="n"/>
      <c r="E387" s="7" t="n"/>
      <c r="F387" s="8" t="n"/>
      <c r="G387" s="7" t="n"/>
      <c r="H387" s="7" t="n"/>
      <c r="I387" s="9" t="n"/>
    </row>
    <row r="388">
      <c r="A388" s="7" t="n"/>
      <c r="B388" s="7" t="n"/>
      <c r="C388" s="7" t="n"/>
      <c r="D388" s="7" t="n"/>
      <c r="E388" s="7" t="n"/>
      <c r="F388" s="8" t="n"/>
      <c r="G388" s="7" t="n"/>
      <c r="H388" s="7" t="n"/>
      <c r="I388" s="9" t="n"/>
    </row>
    <row r="389">
      <c r="A389" s="7" t="n"/>
      <c r="B389" s="7" t="n"/>
      <c r="C389" s="7" t="n"/>
      <c r="D389" s="7" t="n"/>
      <c r="E389" s="7" t="n"/>
      <c r="F389" s="8" t="n"/>
      <c r="G389" s="7" t="n"/>
      <c r="H389" s="7" t="n"/>
      <c r="I389" s="9" t="n"/>
    </row>
    <row r="390">
      <c r="A390" s="7" t="n"/>
      <c r="B390" s="7" t="n"/>
      <c r="C390" s="7" t="n"/>
      <c r="D390" s="7" t="n"/>
      <c r="E390" s="7" t="n"/>
      <c r="F390" s="8" t="n"/>
      <c r="G390" s="7" t="n"/>
      <c r="H390" s="7" t="n"/>
      <c r="I390" s="9" t="n"/>
    </row>
    <row r="391">
      <c r="A391" s="7" t="n"/>
      <c r="B391" s="7" t="n"/>
      <c r="C391" s="7" t="n"/>
      <c r="D391" s="7" t="n"/>
      <c r="E391" s="7" t="n"/>
      <c r="F391" s="8" t="n"/>
      <c r="G391" s="7" t="n"/>
      <c r="H391" s="7" t="n"/>
      <c r="I391" s="9" t="n"/>
    </row>
    <row r="392">
      <c r="A392" s="7" t="n"/>
      <c r="B392" s="7" t="n"/>
      <c r="C392" s="7" t="n"/>
      <c r="D392" s="7" t="n"/>
      <c r="E392" s="7" t="n"/>
      <c r="F392" s="8" t="n"/>
      <c r="G392" s="7" t="n"/>
      <c r="H392" s="7" t="n"/>
      <c r="I392" s="9" t="n"/>
    </row>
    <row r="393">
      <c r="A393" s="7" t="n"/>
      <c r="B393" s="7" t="n"/>
      <c r="C393" s="7" t="n"/>
      <c r="D393" s="7" t="n"/>
      <c r="E393" s="7" t="n"/>
      <c r="F393" s="8" t="n"/>
      <c r="G393" s="7" t="n"/>
      <c r="H393" s="7" t="n"/>
      <c r="I393" s="9" t="n"/>
    </row>
    <row r="394">
      <c r="A394" s="7" t="n"/>
      <c r="B394" s="7" t="n"/>
      <c r="C394" s="7" t="n"/>
      <c r="D394" s="7" t="n"/>
      <c r="E394" s="7" t="n"/>
      <c r="F394" s="8" t="n"/>
      <c r="G394" s="7" t="n"/>
      <c r="H394" s="7" t="n"/>
      <c r="I394" s="9" t="n"/>
    </row>
    <row r="395">
      <c r="A395" s="7" t="n"/>
      <c r="B395" s="7" t="n"/>
      <c r="C395" s="7" t="n"/>
      <c r="D395" s="7" t="n"/>
      <c r="E395" s="7" t="n"/>
      <c r="F395" s="8" t="n"/>
      <c r="G395" s="7" t="n"/>
      <c r="H395" s="7" t="n"/>
      <c r="I395" s="9" t="n"/>
    </row>
    <row r="396">
      <c r="A396" s="7" t="n"/>
      <c r="B396" s="7" t="n"/>
      <c r="C396" s="7" t="n"/>
      <c r="D396" s="7" t="n"/>
      <c r="E396" s="7" t="n"/>
      <c r="F396" s="8" t="n"/>
      <c r="G396" s="7" t="n"/>
      <c r="H396" s="7" t="n"/>
      <c r="I396" s="9" t="n"/>
    </row>
    <row r="397">
      <c r="A397" s="7" t="n"/>
      <c r="B397" s="7" t="n"/>
      <c r="C397" s="7" t="n"/>
      <c r="D397" s="7" t="n"/>
      <c r="E397" s="7" t="n"/>
      <c r="F397" s="8" t="n"/>
      <c r="G397" s="7" t="n"/>
      <c r="H397" s="7" t="n"/>
      <c r="I397" s="9" t="n"/>
    </row>
    <row r="398">
      <c r="A398" s="7" t="n"/>
      <c r="B398" s="7" t="n"/>
      <c r="C398" s="7" t="n"/>
      <c r="D398" s="7" t="n"/>
      <c r="E398" s="7" t="n"/>
      <c r="F398" s="8" t="n"/>
      <c r="G398" s="7" t="n"/>
      <c r="H398" s="7" t="n"/>
      <c r="I398" s="9" t="n"/>
    </row>
    <row r="399">
      <c r="A399" s="7" t="n"/>
      <c r="B399" s="7" t="n"/>
      <c r="C399" s="7" t="n"/>
      <c r="D399" s="7" t="n"/>
      <c r="E399" s="7" t="n"/>
      <c r="F399" s="8" t="n"/>
      <c r="G399" s="7" t="n"/>
      <c r="H399" s="7" t="n"/>
      <c r="I399" s="9" t="n"/>
    </row>
    <row r="400">
      <c r="A400" s="7" t="n"/>
      <c r="B400" s="7" t="n"/>
      <c r="C400" s="7" t="n"/>
      <c r="D400" s="7" t="n"/>
      <c r="E400" s="7" t="n"/>
      <c r="F400" s="8" t="n"/>
      <c r="G400" s="7" t="n"/>
      <c r="H400" s="7" t="n"/>
      <c r="I400" s="9" t="n"/>
    </row>
    <row r="401">
      <c r="A401" s="7" t="n"/>
      <c r="B401" s="7" t="n"/>
      <c r="C401" s="7" t="n"/>
      <c r="D401" s="7" t="n"/>
      <c r="E401" s="7" t="n"/>
      <c r="F401" s="8" t="n"/>
      <c r="G401" s="7" t="n"/>
      <c r="H401" s="7" t="n"/>
      <c r="I401" s="9" t="n"/>
    </row>
    <row r="402">
      <c r="A402" s="7" t="n"/>
      <c r="B402" s="7" t="n"/>
      <c r="C402" s="7" t="n"/>
      <c r="D402" s="7" t="n"/>
      <c r="E402" s="7" t="n"/>
      <c r="F402" s="8" t="n"/>
      <c r="G402" s="7" t="n"/>
      <c r="H402" s="7" t="n"/>
      <c r="I402" s="9" t="n"/>
    </row>
    <row r="403">
      <c r="A403" s="7" t="n"/>
      <c r="B403" s="7" t="n"/>
      <c r="C403" s="7" t="n"/>
      <c r="D403" s="7" t="n"/>
      <c r="E403" s="7" t="n"/>
      <c r="F403" s="8" t="n"/>
      <c r="G403" s="7" t="n"/>
      <c r="H403" s="7" t="n"/>
      <c r="I403" s="9" t="n"/>
    </row>
    <row r="404">
      <c r="A404" s="7" t="n"/>
      <c r="B404" s="7" t="n"/>
      <c r="C404" s="7" t="n"/>
      <c r="D404" s="7" t="n"/>
      <c r="E404" s="7" t="n"/>
      <c r="F404" s="8" t="n"/>
      <c r="G404" s="7" t="n"/>
      <c r="H404" s="7" t="n"/>
      <c r="I404" s="9" t="n"/>
    </row>
    <row r="405">
      <c r="A405" s="7" t="n"/>
      <c r="B405" s="7" t="n"/>
      <c r="C405" s="7" t="n"/>
      <c r="D405" s="7" t="n"/>
      <c r="E405" s="7" t="n"/>
      <c r="F405" s="8" t="n"/>
      <c r="G405" s="7" t="n"/>
      <c r="H405" s="7" t="n"/>
      <c r="I405" s="9" t="n"/>
    </row>
    <row r="406">
      <c r="A406" s="7" t="n"/>
      <c r="B406" s="7" t="n"/>
      <c r="C406" s="7" t="n"/>
      <c r="D406" s="7" t="n"/>
      <c r="E406" s="7" t="n"/>
      <c r="F406" s="8" t="n"/>
      <c r="G406" s="7" t="n"/>
      <c r="H406" s="7" t="n"/>
      <c r="I406" s="9" t="n"/>
    </row>
    <row r="407">
      <c r="A407" s="7" t="n"/>
      <c r="B407" s="7" t="n"/>
      <c r="C407" s="7" t="n"/>
      <c r="D407" s="7" t="n"/>
      <c r="E407" s="7" t="n"/>
      <c r="F407" s="8" t="n"/>
      <c r="G407" s="7" t="n"/>
      <c r="H407" s="7" t="n"/>
      <c r="I407" s="9" t="n"/>
    </row>
    <row r="408">
      <c r="A408" s="7" t="n"/>
      <c r="B408" s="7" t="n"/>
      <c r="C408" s="7" t="n"/>
      <c r="D408" s="7" t="n"/>
      <c r="E408" s="7" t="n"/>
      <c r="F408" s="8" t="n"/>
      <c r="G408" s="7" t="n"/>
      <c r="H408" s="7" t="n"/>
      <c r="I408" s="9" t="n"/>
    </row>
    <row r="409">
      <c r="A409" s="7" t="n"/>
      <c r="B409" s="7" t="n"/>
      <c r="C409" s="7" t="n"/>
      <c r="D409" s="7" t="n"/>
      <c r="E409" s="7" t="n"/>
      <c r="F409" s="8" t="n"/>
      <c r="G409" s="7" t="n"/>
      <c r="H409" s="7" t="n"/>
      <c r="I409" s="9" t="n"/>
    </row>
    <row r="410">
      <c r="A410" s="7" t="n"/>
      <c r="B410" s="7" t="n"/>
      <c r="C410" s="7" t="n"/>
      <c r="D410" s="7" t="n"/>
      <c r="E410" s="7" t="n"/>
      <c r="F410" s="8" t="n"/>
      <c r="G410" s="7" t="n"/>
      <c r="H410" s="7" t="n"/>
      <c r="I410" s="9" t="n"/>
    </row>
    <row r="411">
      <c r="A411" s="7" t="n"/>
      <c r="B411" s="7" t="n"/>
      <c r="C411" s="7" t="n"/>
      <c r="D411" s="7" t="n"/>
      <c r="E411" s="7" t="n"/>
      <c r="F411" s="8" t="n"/>
      <c r="G411" s="7" t="n"/>
      <c r="H411" s="7" t="n"/>
      <c r="I411" s="9" t="n"/>
    </row>
    <row r="412">
      <c r="A412" s="7" t="n"/>
      <c r="B412" s="7" t="n"/>
      <c r="C412" s="7" t="n"/>
      <c r="D412" s="7" t="n"/>
      <c r="E412" s="7" t="n"/>
      <c r="F412" s="8" t="n"/>
      <c r="G412" s="7" t="n"/>
      <c r="H412" s="7" t="n"/>
      <c r="I412" s="9" t="n"/>
    </row>
    <row r="413">
      <c r="A413" s="7" t="n"/>
      <c r="B413" s="7" t="n"/>
      <c r="C413" s="7" t="n"/>
      <c r="D413" s="7" t="n"/>
      <c r="E413" s="7" t="n"/>
      <c r="F413" s="8" t="n"/>
      <c r="G413" s="7" t="n"/>
      <c r="H413" s="7" t="n"/>
      <c r="I413" s="9" t="n"/>
    </row>
    <row r="414">
      <c r="A414" s="7" t="n"/>
      <c r="B414" s="7" t="n"/>
      <c r="C414" s="7" t="n"/>
      <c r="D414" s="7" t="n"/>
      <c r="E414" s="7" t="n"/>
      <c r="F414" s="8" t="n"/>
      <c r="G414" s="7" t="n"/>
      <c r="H414" s="7" t="n"/>
      <c r="I414" s="9" t="n"/>
    </row>
    <row r="415">
      <c r="A415" s="7" t="n"/>
      <c r="B415" s="7" t="n"/>
      <c r="C415" s="7" t="n"/>
      <c r="D415" s="7" t="n"/>
      <c r="E415" s="7" t="n"/>
      <c r="F415" s="8" t="n"/>
      <c r="G415" s="7" t="n"/>
      <c r="H415" s="7" t="n"/>
      <c r="I415" s="9" t="n"/>
    </row>
    <row r="416">
      <c r="A416" s="7" t="n"/>
      <c r="B416" s="7" t="n"/>
      <c r="C416" s="7" t="n"/>
      <c r="D416" s="7" t="n"/>
      <c r="E416" s="7" t="n"/>
      <c r="F416" s="8" t="n"/>
      <c r="G416" s="7" t="n"/>
      <c r="H416" s="7" t="n"/>
      <c r="I416" s="9" t="n"/>
    </row>
    <row r="417">
      <c r="A417" s="7" t="n"/>
      <c r="B417" s="7" t="n"/>
      <c r="C417" s="7" t="n"/>
      <c r="D417" s="7" t="n"/>
      <c r="E417" s="7" t="n"/>
      <c r="F417" s="8" t="n"/>
      <c r="G417" s="7" t="n"/>
      <c r="H417" s="7" t="n"/>
      <c r="I417" s="9" t="n"/>
    </row>
    <row r="418">
      <c r="A418" s="7" t="n"/>
      <c r="B418" s="7" t="n"/>
      <c r="C418" s="7" t="n"/>
      <c r="D418" s="7" t="n"/>
      <c r="E418" s="7" t="n"/>
      <c r="F418" s="8" t="n"/>
      <c r="G418" s="7" t="n"/>
      <c r="H418" s="7" t="n"/>
      <c r="I418" s="9" t="n"/>
    </row>
    <row r="419">
      <c r="A419" s="7" t="n"/>
      <c r="B419" s="7" t="n"/>
      <c r="C419" s="7" t="n"/>
      <c r="D419" s="7" t="n"/>
      <c r="E419" s="7" t="n"/>
      <c r="F419" s="8" t="n"/>
      <c r="G419" s="7" t="n"/>
      <c r="H419" s="7" t="n"/>
      <c r="I419" s="9" t="n"/>
    </row>
    <row r="420">
      <c r="A420" s="7" t="n"/>
      <c r="B420" s="7" t="n"/>
      <c r="C420" s="7" t="n"/>
      <c r="D420" s="7" t="n"/>
      <c r="E420" s="7" t="n"/>
      <c r="F420" s="8" t="n"/>
      <c r="G420" s="7" t="n"/>
      <c r="H420" s="7" t="n"/>
      <c r="I420" s="9" t="n"/>
    </row>
    <row r="421">
      <c r="A421" s="7" t="n"/>
      <c r="B421" s="7" t="n"/>
      <c r="C421" s="7" t="n"/>
      <c r="D421" s="7" t="n"/>
      <c r="E421" s="7" t="n"/>
      <c r="F421" s="8" t="n"/>
      <c r="G421" s="7" t="n"/>
      <c r="H421" s="7" t="n"/>
      <c r="I421" s="9" t="n"/>
    </row>
    <row r="422">
      <c r="A422" s="7" t="n"/>
      <c r="B422" s="7" t="n"/>
      <c r="C422" s="7" t="n"/>
      <c r="D422" s="7" t="n"/>
      <c r="E422" s="7" t="n"/>
      <c r="F422" s="8" t="n"/>
      <c r="G422" s="7" t="n"/>
      <c r="H422" s="7" t="n"/>
      <c r="I422" s="9" t="n"/>
    </row>
    <row r="423">
      <c r="A423" s="7" t="n"/>
      <c r="B423" s="7" t="n"/>
      <c r="C423" s="7" t="n"/>
      <c r="D423" s="7" t="n"/>
      <c r="E423" s="7" t="n"/>
      <c r="F423" s="8" t="n"/>
      <c r="G423" s="7" t="n"/>
      <c r="H423" s="7" t="n"/>
      <c r="I423" s="9" t="n"/>
    </row>
    <row r="424">
      <c r="A424" s="7" t="n"/>
      <c r="B424" s="7" t="n"/>
      <c r="C424" s="7" t="n"/>
      <c r="D424" s="7" t="n"/>
      <c r="E424" s="7" t="n"/>
      <c r="F424" s="8" t="n"/>
      <c r="G424" s="7" t="n"/>
      <c r="H424" s="7" t="n"/>
      <c r="I424" s="9" t="n"/>
    </row>
    <row r="425">
      <c r="A425" s="7" t="n"/>
      <c r="B425" s="7" t="n"/>
      <c r="C425" s="7" t="n"/>
      <c r="D425" s="7" t="n"/>
      <c r="E425" s="7" t="n"/>
      <c r="F425" s="8" t="n"/>
      <c r="G425" s="7" t="n"/>
      <c r="H425" s="7" t="n"/>
      <c r="I425" s="9" t="n"/>
    </row>
    <row r="426">
      <c r="A426" s="7" t="n"/>
      <c r="B426" s="7" t="n"/>
      <c r="C426" s="7" t="n"/>
      <c r="D426" s="7" t="n"/>
      <c r="E426" s="7" t="n"/>
      <c r="F426" s="8" t="n"/>
      <c r="G426" s="7" t="n"/>
      <c r="H426" s="7" t="n"/>
      <c r="I426" s="9" t="n"/>
    </row>
    <row r="427">
      <c r="A427" s="7" t="n"/>
      <c r="B427" s="7" t="n"/>
      <c r="C427" s="7" t="n"/>
      <c r="D427" s="7" t="n"/>
      <c r="E427" s="7" t="n"/>
      <c r="F427" s="8" t="n"/>
      <c r="G427" s="7" t="n"/>
      <c r="H427" s="7" t="n"/>
      <c r="I427" s="9" t="n"/>
    </row>
    <row r="428">
      <c r="A428" s="7" t="n"/>
      <c r="B428" s="7" t="n"/>
      <c r="C428" s="7" t="n"/>
      <c r="D428" s="7" t="n"/>
      <c r="E428" s="7" t="n"/>
      <c r="F428" s="8" t="n"/>
      <c r="G428" s="7" t="n"/>
      <c r="H428" s="7" t="n"/>
      <c r="I428" s="9" t="n"/>
    </row>
    <row r="429">
      <c r="A429" s="7" t="n"/>
      <c r="B429" s="7" t="n"/>
      <c r="C429" s="7" t="n"/>
      <c r="D429" s="7" t="n"/>
      <c r="E429" s="7" t="n"/>
      <c r="F429" s="8" t="n"/>
      <c r="G429" s="7" t="n"/>
      <c r="H429" s="7" t="n"/>
      <c r="I429" s="9" t="n"/>
    </row>
    <row r="430">
      <c r="A430" s="7" t="n"/>
      <c r="B430" s="7" t="n"/>
      <c r="C430" s="7" t="n"/>
      <c r="D430" s="7" t="n"/>
      <c r="E430" s="7" t="n"/>
      <c r="F430" s="8" t="n"/>
      <c r="G430" s="7" t="n"/>
      <c r="H430" s="7" t="n"/>
      <c r="I430" s="9" t="n"/>
    </row>
    <row r="431">
      <c r="A431" s="7" t="n"/>
      <c r="B431" s="7" t="n"/>
      <c r="C431" s="7" t="n"/>
      <c r="D431" s="7" t="n"/>
      <c r="E431" s="7" t="n"/>
      <c r="F431" s="8" t="n"/>
      <c r="G431" s="7" t="n"/>
      <c r="H431" s="7" t="n"/>
      <c r="I431" s="9" t="n"/>
    </row>
    <row r="432">
      <c r="A432" s="7" t="n"/>
      <c r="B432" s="7" t="n"/>
      <c r="C432" s="7" t="n"/>
      <c r="D432" s="7" t="n"/>
      <c r="E432" s="7" t="n"/>
      <c r="F432" s="8" t="n"/>
      <c r="G432" s="7" t="n"/>
      <c r="H432" s="7" t="n"/>
      <c r="I432" s="9" t="n"/>
    </row>
    <row r="433">
      <c r="A433" s="7" t="n"/>
      <c r="B433" s="7" t="n"/>
      <c r="C433" s="7" t="n"/>
      <c r="D433" s="7" t="n"/>
      <c r="E433" s="7" t="n"/>
      <c r="F433" s="8" t="n"/>
      <c r="G433" s="7" t="n"/>
      <c r="H433" s="7" t="n"/>
      <c r="I433" s="9" t="n"/>
    </row>
    <row r="434">
      <c r="A434" s="7" t="n"/>
      <c r="B434" s="7" t="n"/>
      <c r="C434" s="7" t="n"/>
      <c r="D434" s="7" t="n"/>
      <c r="E434" s="7" t="n"/>
      <c r="F434" s="8" t="n"/>
      <c r="G434" s="7" t="n"/>
      <c r="H434" s="7" t="n"/>
      <c r="I434" s="9" t="n"/>
    </row>
    <row r="435">
      <c r="A435" s="7" t="n"/>
      <c r="B435" s="7" t="n"/>
      <c r="C435" s="7" t="n"/>
      <c r="D435" s="7" t="n"/>
      <c r="E435" s="7" t="n"/>
      <c r="F435" s="8" t="n"/>
      <c r="G435" s="7" t="n"/>
      <c r="H435" s="7" t="n"/>
      <c r="I435" s="9" t="n"/>
    </row>
    <row r="436">
      <c r="A436" s="7" t="n"/>
      <c r="B436" s="7" t="n"/>
      <c r="C436" s="7" t="n"/>
      <c r="D436" s="7" t="n"/>
      <c r="E436" s="7" t="n"/>
      <c r="F436" s="8" t="n"/>
      <c r="G436" s="7" t="n"/>
      <c r="H436" s="7" t="n"/>
      <c r="I436" s="9" t="n"/>
    </row>
    <row r="437">
      <c r="A437" s="7" t="n"/>
      <c r="B437" s="7" t="n"/>
      <c r="C437" s="7" t="n"/>
      <c r="D437" s="7" t="n"/>
      <c r="E437" s="7" t="n"/>
      <c r="F437" s="8" t="n"/>
      <c r="G437" s="7" t="n"/>
      <c r="H437" s="7" t="n"/>
      <c r="I437" s="9" t="n"/>
    </row>
    <row r="438">
      <c r="A438" s="7" t="n"/>
      <c r="B438" s="7" t="n"/>
      <c r="C438" s="7" t="n"/>
      <c r="D438" s="7" t="n"/>
      <c r="E438" s="7" t="n"/>
      <c r="F438" s="8" t="n"/>
      <c r="G438" s="7" t="n"/>
      <c r="H438" s="7" t="n"/>
      <c r="I438" s="9" t="n"/>
    </row>
    <row r="439">
      <c r="A439" s="7" t="n"/>
      <c r="B439" s="7" t="n"/>
      <c r="C439" s="7" t="n"/>
      <c r="D439" s="7" t="n"/>
      <c r="E439" s="7" t="n"/>
      <c r="F439" s="8" t="n"/>
      <c r="G439" s="7" t="n"/>
      <c r="H439" s="7" t="n"/>
      <c r="I439" s="9" t="n"/>
    </row>
    <row r="440">
      <c r="A440" s="7" t="n"/>
      <c r="B440" s="7" t="n"/>
      <c r="C440" s="7" t="n"/>
      <c r="D440" s="7" t="n"/>
      <c r="E440" s="7" t="n"/>
      <c r="F440" s="8" t="n"/>
      <c r="G440" s="7" t="n"/>
      <c r="H440" s="7" t="n"/>
      <c r="I440" s="9" t="n"/>
    </row>
    <row r="441">
      <c r="A441" s="7" t="n"/>
      <c r="B441" s="7" t="n"/>
      <c r="C441" s="7" t="n"/>
      <c r="D441" s="7" t="n"/>
      <c r="E441" s="7" t="n"/>
      <c r="F441" s="8" t="n"/>
      <c r="G441" s="7" t="n"/>
      <c r="H441" s="7" t="n"/>
      <c r="I441" s="9" t="n"/>
    </row>
    <row r="442">
      <c r="A442" s="7" t="n"/>
      <c r="B442" s="7" t="n"/>
      <c r="C442" s="7" t="n"/>
      <c r="D442" s="7" t="n"/>
      <c r="E442" s="7" t="n"/>
      <c r="F442" s="8" t="n"/>
      <c r="G442" s="7" t="n"/>
      <c r="H442" s="7" t="n"/>
      <c r="I442" s="9" t="n"/>
    </row>
    <row r="443">
      <c r="A443" s="7" t="n"/>
      <c r="B443" s="7" t="n"/>
      <c r="C443" s="7" t="n"/>
      <c r="D443" s="7" t="n"/>
      <c r="E443" s="7" t="n"/>
      <c r="F443" s="8" t="n"/>
      <c r="G443" s="7" t="n"/>
      <c r="H443" s="7" t="n"/>
      <c r="I443" s="9" t="n"/>
    </row>
    <row r="444">
      <c r="A444" s="7" t="n"/>
      <c r="B444" s="7" t="n"/>
      <c r="C444" s="7" t="n"/>
      <c r="D444" s="7" t="n"/>
      <c r="E444" s="7" t="n"/>
      <c r="F444" s="8" t="n"/>
      <c r="G444" s="7" t="n"/>
      <c r="H444" s="7" t="n"/>
      <c r="I444" s="9" t="n"/>
    </row>
    <row r="445">
      <c r="A445" s="7" t="n"/>
      <c r="B445" s="7" t="n"/>
      <c r="C445" s="7" t="n"/>
      <c r="D445" s="7" t="n"/>
      <c r="E445" s="7" t="n"/>
      <c r="F445" s="8" t="n"/>
      <c r="G445" s="7" t="n"/>
      <c r="H445" s="7" t="n"/>
      <c r="I445" s="9" t="n"/>
    </row>
    <row r="446">
      <c r="A446" s="7" t="n"/>
      <c r="B446" s="7" t="n"/>
      <c r="C446" s="7" t="n"/>
      <c r="D446" s="7" t="n"/>
      <c r="E446" s="7" t="n"/>
      <c r="F446" s="8" t="n"/>
      <c r="G446" s="7" t="n"/>
      <c r="H446" s="7" t="n"/>
      <c r="I446" s="9" t="n"/>
    </row>
    <row r="447">
      <c r="A447" s="7" t="n"/>
      <c r="B447" s="7" t="n"/>
      <c r="C447" s="7" t="n"/>
      <c r="D447" s="7" t="n"/>
      <c r="E447" s="7" t="n"/>
      <c r="F447" s="8" t="n"/>
      <c r="G447" s="7" t="n"/>
      <c r="H447" s="7" t="n"/>
      <c r="I447" s="9" t="n"/>
    </row>
    <row r="448">
      <c r="A448" s="7" t="n"/>
      <c r="B448" s="7" t="n"/>
      <c r="C448" s="7" t="n"/>
      <c r="D448" s="7" t="n"/>
      <c r="E448" s="7" t="n"/>
      <c r="F448" s="8" t="n"/>
      <c r="G448" s="7" t="n"/>
      <c r="H448" s="7" t="n"/>
      <c r="I448" s="9" t="n"/>
    </row>
    <row r="449">
      <c r="A449" s="7" t="n"/>
      <c r="B449" s="7" t="n"/>
      <c r="C449" s="7" t="n"/>
      <c r="D449" s="7" t="n"/>
      <c r="E449" s="7" t="n"/>
      <c r="F449" s="8" t="n"/>
      <c r="G449" s="7" t="n"/>
      <c r="H449" s="7" t="n"/>
      <c r="I449" s="9" t="n"/>
    </row>
    <row r="450">
      <c r="A450" s="7" t="n"/>
      <c r="B450" s="7" t="n"/>
      <c r="C450" s="7" t="n"/>
      <c r="D450" s="7" t="n"/>
      <c r="E450" s="7" t="n"/>
      <c r="F450" s="8" t="n"/>
      <c r="G450" s="7" t="n"/>
      <c r="H450" s="7" t="n"/>
      <c r="I450" s="9" t="n"/>
    </row>
    <row r="451">
      <c r="A451" s="7" t="n"/>
      <c r="B451" s="7" t="n"/>
      <c r="C451" s="7" t="n"/>
      <c r="D451" s="7" t="n"/>
      <c r="E451" s="7" t="n"/>
      <c r="F451" s="8" t="n"/>
      <c r="G451" s="7" t="n"/>
      <c r="H451" s="7" t="n"/>
      <c r="I451" s="9" t="n"/>
    </row>
    <row r="452">
      <c r="A452" s="7" t="n"/>
      <c r="B452" s="7" t="n"/>
      <c r="C452" s="7" t="n"/>
      <c r="D452" s="7" t="n"/>
      <c r="E452" s="7" t="n"/>
      <c r="F452" s="8" t="n"/>
      <c r="G452" s="7" t="n"/>
      <c r="H452" s="7" t="n"/>
      <c r="I452" s="9" t="n"/>
    </row>
    <row r="453">
      <c r="A453" s="7" t="n"/>
      <c r="B453" s="7" t="n"/>
      <c r="C453" s="7" t="n"/>
      <c r="D453" s="7" t="n"/>
      <c r="E453" s="7" t="n"/>
      <c r="F453" s="8" t="n"/>
      <c r="G453" s="7" t="n"/>
      <c r="H453" s="7" t="n"/>
      <c r="I453" s="9" t="n"/>
    </row>
    <row r="454">
      <c r="A454" s="7" t="n"/>
      <c r="B454" s="7" t="n"/>
      <c r="C454" s="7" t="n"/>
      <c r="D454" s="7" t="n"/>
      <c r="E454" s="7" t="n"/>
      <c r="F454" s="8" t="n"/>
      <c r="G454" s="7" t="n"/>
      <c r="H454" s="7" t="n"/>
      <c r="I454" s="9" t="n"/>
    </row>
    <row r="455">
      <c r="A455" s="7" t="n"/>
      <c r="B455" s="7" t="n"/>
      <c r="C455" s="7" t="n"/>
      <c r="D455" s="7" t="n"/>
      <c r="E455" s="7" t="n"/>
      <c r="F455" s="8" t="n"/>
      <c r="G455" s="7" t="n"/>
      <c r="H455" s="7" t="n"/>
      <c r="I455" s="9" t="n"/>
    </row>
    <row r="456">
      <c r="A456" s="7" t="n"/>
      <c r="B456" s="7" t="n"/>
      <c r="C456" s="7" t="n"/>
      <c r="D456" s="7" t="n"/>
      <c r="E456" s="7" t="n"/>
      <c r="F456" s="8" t="n"/>
      <c r="G456" s="7" t="n"/>
      <c r="H456" s="7" t="n"/>
      <c r="I456" s="9" t="n"/>
    </row>
    <row r="457">
      <c r="A457" s="7" t="n"/>
      <c r="B457" s="7" t="n"/>
      <c r="C457" s="7" t="n"/>
      <c r="D457" s="7" t="n"/>
      <c r="E457" s="7" t="n"/>
      <c r="F457" s="8" t="n"/>
      <c r="G457" s="7" t="n"/>
      <c r="H457" s="7" t="n"/>
      <c r="I457" s="9" t="n"/>
    </row>
    <row r="458">
      <c r="A458" s="7" t="n"/>
      <c r="B458" s="7" t="n"/>
      <c r="C458" s="7" t="n"/>
      <c r="D458" s="7" t="n"/>
      <c r="E458" s="7" t="n"/>
      <c r="F458" s="8" t="n"/>
      <c r="G458" s="7" t="n"/>
      <c r="H458" s="7" t="n"/>
      <c r="I458" s="9" t="n"/>
    </row>
    <row r="459">
      <c r="A459" s="7" t="n"/>
      <c r="B459" s="7" t="n"/>
      <c r="C459" s="7" t="n"/>
      <c r="D459" s="7" t="n"/>
      <c r="E459" s="7" t="n"/>
      <c r="F459" s="8" t="n"/>
      <c r="G459" s="7" t="n"/>
      <c r="H459" s="7" t="n"/>
      <c r="I459" s="9" t="n"/>
    </row>
    <row r="460">
      <c r="A460" s="7" t="n"/>
      <c r="B460" s="7" t="n"/>
      <c r="C460" s="7" t="n"/>
      <c r="D460" s="7" t="n"/>
      <c r="E460" s="7" t="n"/>
      <c r="F460" s="8" t="n"/>
      <c r="G460" s="7" t="n"/>
      <c r="H460" s="7" t="n"/>
      <c r="I460" s="9" t="n"/>
    </row>
    <row r="461">
      <c r="A461" s="7" t="n"/>
      <c r="B461" s="7" t="n"/>
      <c r="C461" s="7" t="n"/>
      <c r="D461" s="7" t="n"/>
      <c r="E461" s="7" t="n"/>
      <c r="F461" s="8" t="n"/>
      <c r="G461" s="7" t="n"/>
      <c r="H461" s="7" t="n"/>
      <c r="I461" s="9" t="n"/>
    </row>
    <row r="462">
      <c r="A462" s="7" t="n"/>
      <c r="B462" s="7" t="n"/>
      <c r="C462" s="7" t="n"/>
      <c r="D462" s="7" t="n"/>
      <c r="E462" s="7" t="n"/>
      <c r="F462" s="8" t="n"/>
      <c r="G462" s="7" t="n"/>
      <c r="H462" s="7" t="n"/>
      <c r="I462" s="9" t="n"/>
    </row>
    <row r="463">
      <c r="A463" s="7" t="n"/>
      <c r="B463" s="7" t="n"/>
      <c r="C463" s="7" t="n"/>
      <c r="D463" s="7" t="n"/>
      <c r="E463" s="7" t="n"/>
      <c r="F463" s="8" t="n"/>
      <c r="G463" s="7" t="n"/>
      <c r="H463" s="7" t="n"/>
      <c r="I463" s="9" t="n"/>
    </row>
    <row r="464">
      <c r="A464" s="7" t="n"/>
      <c r="B464" s="7" t="n"/>
      <c r="C464" s="7" t="n"/>
      <c r="D464" s="7" t="n"/>
      <c r="E464" s="7" t="n"/>
      <c r="F464" s="8" t="n"/>
      <c r="G464" s="7" t="n"/>
      <c r="H464" s="7" t="n"/>
      <c r="I464" s="9" t="n"/>
    </row>
    <row r="465">
      <c r="A465" s="7" t="n"/>
      <c r="B465" s="7" t="n"/>
      <c r="C465" s="7" t="n"/>
      <c r="D465" s="7" t="n"/>
      <c r="E465" s="7" t="n"/>
      <c r="F465" s="8" t="n"/>
      <c r="G465" s="7" t="n"/>
      <c r="H465" s="7" t="n"/>
      <c r="I465" s="9" t="n"/>
    </row>
    <row r="466">
      <c r="A466" s="7" t="n"/>
      <c r="B466" s="7" t="n"/>
      <c r="C466" s="7" t="n"/>
      <c r="D466" s="7" t="n"/>
      <c r="E466" s="7" t="n"/>
      <c r="F466" s="8" t="n"/>
      <c r="G466" s="7" t="n"/>
      <c r="H466" s="7" t="n"/>
      <c r="I466" s="9" t="n"/>
    </row>
    <row r="467">
      <c r="A467" s="7" t="n"/>
      <c r="B467" s="7" t="n"/>
      <c r="C467" s="7" t="n"/>
      <c r="D467" s="7" t="n"/>
      <c r="E467" s="7" t="n"/>
      <c r="F467" s="8" t="n"/>
      <c r="G467" s="7" t="n"/>
      <c r="H467" s="7" t="n"/>
      <c r="I467" s="9" t="n"/>
    </row>
    <row r="468">
      <c r="A468" s="7" t="n"/>
      <c r="B468" s="7" t="n"/>
      <c r="C468" s="7" t="n"/>
      <c r="D468" s="7" t="n"/>
      <c r="E468" s="7" t="n"/>
      <c r="F468" s="8" t="n"/>
      <c r="G468" s="7" t="n"/>
      <c r="H468" s="7" t="n"/>
      <c r="I468" s="9" t="n"/>
    </row>
    <row r="469">
      <c r="A469" s="7" t="n"/>
      <c r="B469" s="7" t="n"/>
      <c r="C469" s="7" t="n"/>
      <c r="D469" s="7" t="n"/>
      <c r="E469" s="7" t="n"/>
      <c r="F469" s="8" t="n"/>
      <c r="G469" s="7" t="n"/>
      <c r="H469" s="7" t="n"/>
      <c r="I469" s="9" t="n"/>
    </row>
    <row r="470">
      <c r="A470" s="7" t="n"/>
      <c r="B470" s="7" t="n"/>
      <c r="C470" s="7" t="n"/>
      <c r="D470" s="7" t="n"/>
      <c r="E470" s="7" t="n"/>
      <c r="F470" s="8" t="n"/>
      <c r="G470" s="7" t="n"/>
      <c r="H470" s="7" t="n"/>
      <c r="I470" s="9" t="n"/>
    </row>
    <row r="471">
      <c r="A471" s="7" t="n"/>
      <c r="B471" s="7" t="n"/>
      <c r="C471" s="7" t="n"/>
      <c r="D471" s="7" t="n"/>
      <c r="E471" s="7" t="n"/>
      <c r="F471" s="8" t="n"/>
      <c r="G471" s="7" t="n"/>
      <c r="H471" s="7" t="n"/>
      <c r="I471" s="9" t="n"/>
    </row>
    <row r="472">
      <c r="A472" s="7" t="n"/>
      <c r="B472" s="7" t="n"/>
      <c r="C472" s="7" t="n"/>
      <c r="D472" s="7" t="n"/>
      <c r="E472" s="7" t="n"/>
      <c r="F472" s="8" t="n"/>
      <c r="G472" s="7" t="n"/>
      <c r="H472" s="7" t="n"/>
      <c r="I472" s="9" t="n"/>
    </row>
    <row r="473">
      <c r="A473" s="7" t="n"/>
      <c r="B473" s="7" t="n"/>
      <c r="C473" s="7" t="n"/>
      <c r="D473" s="7" t="n"/>
      <c r="E473" s="7" t="n"/>
      <c r="F473" s="8" t="n"/>
      <c r="G473" s="7" t="n"/>
      <c r="H473" s="7" t="n"/>
      <c r="I473" s="9" t="n"/>
    </row>
    <row r="474">
      <c r="A474" s="7" t="n"/>
      <c r="B474" s="7" t="n"/>
      <c r="C474" s="7" t="n"/>
      <c r="D474" s="7" t="n"/>
      <c r="E474" s="7" t="n"/>
      <c r="F474" s="8" t="n"/>
      <c r="G474" s="7" t="n"/>
      <c r="H474" s="7" t="n"/>
      <c r="I474" s="9" t="n"/>
    </row>
    <row r="475">
      <c r="A475" s="7" t="n"/>
      <c r="B475" s="7" t="n"/>
      <c r="C475" s="7" t="n"/>
      <c r="D475" s="7" t="n"/>
      <c r="E475" s="7" t="n"/>
      <c r="F475" s="8" t="n"/>
      <c r="G475" s="7" t="n"/>
      <c r="H475" s="7" t="n"/>
      <c r="I475" s="9" t="n"/>
    </row>
    <row r="476">
      <c r="A476" s="7" t="n"/>
      <c r="B476" s="7" t="n"/>
      <c r="C476" s="7" t="n"/>
      <c r="D476" s="7" t="n"/>
      <c r="E476" s="7" t="n"/>
      <c r="F476" s="8" t="n"/>
      <c r="G476" s="7" t="n"/>
      <c r="H476" s="7" t="n"/>
      <c r="I476" s="9" t="n"/>
    </row>
    <row r="477">
      <c r="A477" s="7" t="n"/>
      <c r="B477" s="7" t="n"/>
      <c r="C477" s="7" t="n"/>
      <c r="D477" s="7" t="n"/>
      <c r="E477" s="7" t="n"/>
      <c r="F477" s="8" t="n"/>
      <c r="G477" s="7" t="n"/>
      <c r="H477" s="7" t="n"/>
      <c r="I477" s="9" t="n"/>
    </row>
    <row r="478">
      <c r="A478" s="7" t="n"/>
      <c r="B478" s="7" t="n"/>
      <c r="C478" s="7" t="n"/>
      <c r="D478" s="7" t="n"/>
      <c r="E478" s="7" t="n"/>
      <c r="F478" s="8" t="n"/>
      <c r="G478" s="7" t="n"/>
      <c r="H478" s="7" t="n"/>
      <c r="I478" s="9" t="n"/>
    </row>
    <row r="479">
      <c r="A479" s="7" t="n"/>
      <c r="B479" s="7" t="n"/>
      <c r="C479" s="7" t="n"/>
      <c r="D479" s="7" t="n"/>
      <c r="E479" s="7" t="n"/>
      <c r="F479" s="8" t="n"/>
      <c r="G479" s="7" t="n"/>
      <c r="H479" s="7" t="n"/>
      <c r="I479" s="9" t="n"/>
    </row>
    <row r="480">
      <c r="A480" s="7" t="n"/>
      <c r="B480" s="7" t="n"/>
      <c r="C480" s="7" t="n"/>
      <c r="D480" s="7" t="n"/>
      <c r="E480" s="7" t="n"/>
      <c r="F480" s="8" t="n"/>
      <c r="G480" s="7" t="n"/>
      <c r="H480" s="7" t="n"/>
      <c r="I480" s="9" t="n"/>
    </row>
    <row r="481">
      <c r="A481" s="7" t="n"/>
      <c r="B481" s="7" t="n"/>
      <c r="C481" s="7" t="n"/>
      <c r="D481" s="7" t="n"/>
      <c r="E481" s="7" t="n"/>
      <c r="F481" s="8" t="n"/>
      <c r="G481" s="7" t="n"/>
      <c r="H481" s="7" t="n"/>
      <c r="I481" s="9" t="n"/>
    </row>
    <row r="482">
      <c r="A482" s="7" t="n"/>
      <c r="B482" s="7" t="n"/>
      <c r="C482" s="7" t="n"/>
      <c r="D482" s="7" t="n"/>
      <c r="E482" s="7" t="n"/>
      <c r="F482" s="8" t="n"/>
      <c r="G482" s="7" t="n"/>
      <c r="H482" s="7" t="n"/>
      <c r="I482" s="9" t="n"/>
    </row>
    <row r="483">
      <c r="A483" s="7" t="n"/>
      <c r="B483" s="7" t="n"/>
      <c r="C483" s="7" t="n"/>
      <c r="D483" s="7" t="n"/>
      <c r="E483" s="7" t="n"/>
      <c r="F483" s="8" t="n"/>
      <c r="G483" s="7" t="n"/>
      <c r="H483" s="7" t="n"/>
      <c r="I483" s="9" t="n"/>
    </row>
    <row r="484">
      <c r="A484" s="7" t="n"/>
      <c r="B484" s="7" t="n"/>
      <c r="C484" s="7" t="n"/>
      <c r="D484" s="7" t="n"/>
      <c r="E484" s="7" t="n"/>
      <c r="F484" s="8" t="n"/>
      <c r="G484" s="7" t="n"/>
      <c r="H484" s="7" t="n"/>
      <c r="I484" s="9" t="n"/>
    </row>
    <row r="485">
      <c r="A485" s="7" t="n"/>
      <c r="B485" s="7" t="n"/>
      <c r="C485" s="7" t="n"/>
      <c r="D485" s="7" t="n"/>
      <c r="E485" s="7" t="n"/>
      <c r="F485" s="8" t="n"/>
      <c r="G485" s="7" t="n"/>
      <c r="H485" s="7" t="n"/>
      <c r="I485" s="9" t="n"/>
    </row>
    <row r="486">
      <c r="A486" s="7" t="n"/>
      <c r="B486" s="7" t="n"/>
      <c r="C486" s="7" t="n"/>
      <c r="D486" s="7" t="n"/>
      <c r="E486" s="7" t="n"/>
      <c r="F486" s="8" t="n"/>
      <c r="G486" s="7" t="n"/>
      <c r="H486" s="7" t="n"/>
      <c r="I486" s="9" t="n"/>
    </row>
    <row r="487">
      <c r="A487" s="7" t="n"/>
      <c r="B487" s="7" t="n"/>
      <c r="C487" s="7" t="n"/>
      <c r="D487" s="7" t="n"/>
      <c r="E487" s="7" t="n"/>
      <c r="F487" s="8" t="n"/>
      <c r="G487" s="7" t="n"/>
      <c r="H487" s="7" t="n"/>
      <c r="I487" s="9" t="n"/>
    </row>
    <row r="488">
      <c r="A488" s="7" t="n"/>
      <c r="B488" s="7" t="n"/>
      <c r="C488" s="7" t="n"/>
      <c r="D488" s="7" t="n"/>
      <c r="E488" s="7" t="n"/>
      <c r="F488" s="8" t="n"/>
      <c r="G488" s="7" t="n"/>
      <c r="H488" s="7" t="n"/>
      <c r="I488" s="9" t="n"/>
    </row>
    <row r="489">
      <c r="A489" s="7" t="n"/>
      <c r="B489" s="7" t="n"/>
      <c r="C489" s="7" t="n"/>
      <c r="D489" s="7" t="n"/>
      <c r="E489" s="7" t="n"/>
      <c r="F489" s="8" t="n"/>
      <c r="G489" s="7" t="n"/>
      <c r="H489" s="7" t="n"/>
      <c r="I489" s="9" t="n"/>
    </row>
    <row r="490">
      <c r="A490" s="7" t="n"/>
      <c r="B490" s="7" t="n"/>
      <c r="C490" s="7" t="n"/>
      <c r="D490" s="7" t="n"/>
      <c r="E490" s="7" t="n"/>
      <c r="F490" s="8" t="n"/>
      <c r="G490" s="7" t="n"/>
      <c r="H490" s="7" t="n"/>
      <c r="I490" s="9" t="n"/>
    </row>
    <row r="491">
      <c r="A491" s="7" t="n"/>
      <c r="B491" s="7" t="n"/>
      <c r="C491" s="7" t="n"/>
      <c r="D491" s="7" t="n"/>
      <c r="E491" s="7" t="n"/>
      <c r="F491" s="8" t="n"/>
      <c r="G491" s="7" t="n"/>
      <c r="H491" s="7" t="n"/>
      <c r="I491" s="9" t="n"/>
    </row>
    <row r="492">
      <c r="A492" s="7" t="n"/>
      <c r="B492" s="7" t="n"/>
      <c r="C492" s="7" t="n"/>
      <c r="D492" s="7" t="n"/>
      <c r="E492" s="7" t="n"/>
      <c r="F492" s="8" t="n"/>
      <c r="G492" s="7" t="n"/>
      <c r="H492" s="7" t="n"/>
      <c r="I492" s="9" t="n"/>
    </row>
    <row r="493">
      <c r="A493" s="7" t="n"/>
      <c r="B493" s="7" t="n"/>
      <c r="C493" s="7" t="n"/>
      <c r="D493" s="7" t="n"/>
      <c r="E493" s="7" t="n"/>
      <c r="F493" s="8" t="n"/>
      <c r="G493" s="7" t="n"/>
      <c r="H493" s="7" t="n"/>
      <c r="I493" s="9" t="n"/>
    </row>
    <row r="494">
      <c r="A494" s="7" t="n"/>
      <c r="B494" s="7" t="n"/>
      <c r="C494" s="7" t="n"/>
      <c r="D494" s="7" t="n"/>
      <c r="E494" s="7" t="n"/>
      <c r="F494" s="8" t="n"/>
      <c r="G494" s="7" t="n"/>
      <c r="H494" s="7" t="n"/>
      <c r="I494" s="9" t="n"/>
    </row>
    <row r="495">
      <c r="A495" s="7" t="n"/>
      <c r="B495" s="7" t="n"/>
      <c r="C495" s="7" t="n"/>
      <c r="D495" s="7" t="n"/>
      <c r="E495" s="7" t="n"/>
      <c r="F495" s="8" t="n"/>
      <c r="G495" s="7" t="n"/>
      <c r="H495" s="7" t="n"/>
      <c r="I495" s="9" t="n"/>
    </row>
    <row r="496">
      <c r="A496" s="7" t="n"/>
      <c r="B496" s="7" t="n"/>
      <c r="C496" s="7" t="n"/>
      <c r="D496" s="7" t="n"/>
      <c r="E496" s="7" t="n"/>
      <c r="F496" s="8" t="n"/>
      <c r="G496" s="7" t="n"/>
      <c r="H496" s="7" t="n"/>
      <c r="I496" s="9" t="n"/>
    </row>
    <row r="497">
      <c r="A497" s="7" t="n"/>
      <c r="B497" s="7" t="n"/>
      <c r="C497" s="7" t="n"/>
      <c r="D497" s="7" t="n"/>
      <c r="E497" s="7" t="n"/>
      <c r="F497" s="8" t="n"/>
      <c r="G497" s="7" t="n"/>
      <c r="H497" s="7" t="n"/>
      <c r="I497" s="9" t="n"/>
    </row>
    <row r="498">
      <c r="A498" s="7" t="n"/>
      <c r="B498" s="7" t="n"/>
      <c r="C498" s="7" t="n"/>
      <c r="D498" s="7" t="n"/>
      <c r="E498" s="7" t="n"/>
      <c r="F498" s="8" t="n"/>
      <c r="G498" s="7" t="n"/>
      <c r="H498" s="7" t="n"/>
      <c r="I498" s="9" t="n"/>
    </row>
    <row r="499">
      <c r="A499" s="7" t="n"/>
      <c r="B499" s="7" t="n"/>
      <c r="C499" s="7" t="n"/>
      <c r="D499" s="7" t="n"/>
      <c r="E499" s="7" t="n"/>
      <c r="F499" s="8" t="n"/>
      <c r="G499" s="7" t="n"/>
      <c r="H499" s="7" t="n"/>
      <c r="I499" s="9" t="n"/>
    </row>
    <row r="500">
      <c r="A500" s="7" t="n"/>
      <c r="B500" s="7" t="n"/>
      <c r="C500" s="7" t="n"/>
      <c r="D500" s="7" t="n"/>
      <c r="E500" s="7" t="n"/>
      <c r="F500" s="8" t="n"/>
      <c r="G500" s="7" t="n"/>
      <c r="H500" s="7" t="n"/>
      <c r="I500" s="9" t="n"/>
    </row>
    <row r="501">
      <c r="A501" s="7" t="n"/>
      <c r="B501" s="7" t="n"/>
      <c r="C501" s="7" t="n"/>
      <c r="D501" s="7" t="n"/>
      <c r="E501" s="7" t="n"/>
      <c r="F501" s="8" t="n"/>
      <c r="G501" s="7" t="n"/>
      <c r="H501" s="7" t="n"/>
      <c r="I501" s="9" t="n"/>
    </row>
  </sheetData>
  <dataValidations count="1">
    <dataValidation sqref="H2:H501" showDropDown="0" showInputMessage="1" showErrorMessage="0" allowBlank="1" errorTitle="목록에 없는 값" error="목록에서 골라 주세요." promptTitle="교육비 공제 대상" prompt="입학 전, 또는 초1·2 예체능이면 예" type="list">
      <formula1>"예"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E8B27A"/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0" customWidth="1" min="4" max="4"/>
    <col width="11" customWidth="1" min="5" max="5"/>
    <col width="12" customWidth="1" min="6" max="6"/>
    <col width="10" customWidth="1" min="7" max="7"/>
    <col width="11" customWidth="1" min="8" max="8"/>
    <col width="8" customWidth="1" min="9" max="9"/>
    <col width="24" customWidth="1" min="10" max="10"/>
  </cols>
  <sheetData>
    <row r="1" ht="24" customHeight="1">
      <c r="A1" s="6" t="inlineStr">
        <is>
          <t>받은날</t>
        </is>
      </c>
      <c r="B1" s="6" t="inlineStr">
        <is>
          <t>수강월</t>
        </is>
      </c>
      <c r="C1" s="6" t="inlineStr">
        <is>
          <t>원생</t>
        </is>
      </c>
      <c r="D1" s="6" t="inlineStr">
        <is>
          <t>구분</t>
        </is>
      </c>
      <c r="E1" s="6" t="inlineStr">
        <is>
          <t>수입구분</t>
        </is>
      </c>
      <c r="F1" s="6" t="inlineStr">
        <is>
          <t>금액</t>
        </is>
      </c>
      <c r="G1" s="6" t="inlineStr">
        <is>
          <t>결제수단</t>
        </is>
      </c>
      <c r="H1" s="6" t="inlineStr">
        <is>
          <t>현금영수증</t>
        </is>
      </c>
      <c r="I1" s="6" t="inlineStr">
        <is>
          <t>미취학</t>
        </is>
      </c>
      <c r="J1" s="6" t="inlineStr">
        <is>
          <t>메모</t>
        </is>
      </c>
    </row>
    <row r="2">
      <c r="A2" s="9" t="n"/>
      <c r="B2" s="7" t="n"/>
      <c r="C2" s="7" t="n"/>
      <c r="D2" s="7" t="n"/>
      <c r="E2" s="7" t="n"/>
      <c r="F2" s="8" t="n"/>
      <c r="G2" s="7" t="n"/>
      <c r="H2" s="7" t="n"/>
      <c r="I2" s="7">
        <f>IF(C2="","",IFERROR(IF(INDEX(원생!$H$2:$H$501,MATCH(계산!$A2,계산!$E$2:$E$501,0))="예","예",""),""))</f>
        <v/>
      </c>
      <c r="J2" s="7" t="n"/>
    </row>
    <row r="3">
      <c r="A3" s="9" t="n"/>
      <c r="B3" s="7" t="n"/>
      <c r="C3" s="7" t="n"/>
      <c r="D3" s="7" t="n"/>
      <c r="E3" s="7" t="n"/>
      <c r="F3" s="8" t="n"/>
      <c r="G3" s="7" t="n"/>
      <c r="H3" s="7" t="n"/>
      <c r="I3" s="7">
        <f>IF(C3="","",IFERROR(IF(INDEX(원생!$H$2:$H$501,MATCH(계산!$A3,계산!$E$2:$E$501,0))="예","예",""),""))</f>
        <v/>
      </c>
      <c r="J3" s="7" t="n"/>
    </row>
    <row r="4">
      <c r="A4" s="9" t="n"/>
      <c r="B4" s="7" t="n"/>
      <c r="C4" s="7" t="n"/>
      <c r="D4" s="7" t="n"/>
      <c r="E4" s="7" t="n"/>
      <c r="F4" s="8" t="n"/>
      <c r="G4" s="7" t="n"/>
      <c r="H4" s="7" t="n"/>
      <c r="I4" s="7">
        <f>IF(C4="","",IFERROR(IF(INDEX(원생!$H$2:$H$501,MATCH(계산!$A4,계산!$E$2:$E$501,0))="예","예",""),""))</f>
        <v/>
      </c>
      <c r="J4" s="7" t="n"/>
    </row>
    <row r="5">
      <c r="A5" s="9" t="n"/>
      <c r="B5" s="7" t="n"/>
      <c r="C5" s="7" t="n"/>
      <c r="D5" s="7" t="n"/>
      <c r="E5" s="7" t="n"/>
      <c r="F5" s="8" t="n"/>
      <c r="G5" s="7" t="n"/>
      <c r="H5" s="7" t="n"/>
      <c r="I5" s="7">
        <f>IF(C5="","",IFERROR(IF(INDEX(원생!$H$2:$H$501,MATCH(계산!$A5,계산!$E$2:$E$501,0))="예","예",""),""))</f>
        <v/>
      </c>
      <c r="J5" s="7" t="n"/>
    </row>
    <row r="6">
      <c r="A6" s="9" t="n"/>
      <c r="B6" s="7" t="n"/>
      <c r="C6" s="7" t="n"/>
      <c r="D6" s="7" t="n"/>
      <c r="E6" s="7" t="n"/>
      <c r="F6" s="8" t="n"/>
      <c r="G6" s="7" t="n"/>
      <c r="H6" s="7" t="n"/>
      <c r="I6" s="7">
        <f>IF(C6="","",IFERROR(IF(INDEX(원생!$H$2:$H$501,MATCH(계산!$A6,계산!$E$2:$E$501,0))="예","예",""),""))</f>
        <v/>
      </c>
      <c r="J6" s="7" t="n"/>
    </row>
    <row r="7">
      <c r="A7" s="9" t="n"/>
      <c r="B7" s="7" t="n"/>
      <c r="C7" s="7" t="n"/>
      <c r="D7" s="7" t="n"/>
      <c r="E7" s="7" t="n"/>
      <c r="F7" s="8" t="n"/>
      <c r="G7" s="7" t="n"/>
      <c r="H7" s="7" t="n"/>
      <c r="I7" s="7">
        <f>IF(C7="","",IFERROR(IF(INDEX(원생!$H$2:$H$501,MATCH(계산!$A7,계산!$E$2:$E$501,0))="예","예",""),""))</f>
        <v/>
      </c>
      <c r="J7" s="7" t="n"/>
    </row>
    <row r="8">
      <c r="A8" s="9" t="n"/>
      <c r="B8" s="7" t="n"/>
      <c r="C8" s="7" t="n"/>
      <c r="D8" s="7" t="n"/>
      <c r="E8" s="7" t="n"/>
      <c r="F8" s="8" t="n"/>
      <c r="G8" s="7" t="n"/>
      <c r="H8" s="7" t="n"/>
      <c r="I8" s="7">
        <f>IF(C8="","",IFERROR(IF(INDEX(원생!$H$2:$H$501,MATCH(계산!$A8,계산!$E$2:$E$501,0))="예","예",""),""))</f>
        <v/>
      </c>
      <c r="J8" s="7" t="n"/>
    </row>
    <row r="9">
      <c r="A9" s="9" t="n"/>
      <c r="B9" s="7" t="n"/>
      <c r="C9" s="7" t="n"/>
      <c r="D9" s="7" t="n"/>
      <c r="E9" s="7" t="n"/>
      <c r="F9" s="8" t="n"/>
      <c r="G9" s="7" t="n"/>
      <c r="H9" s="7" t="n"/>
      <c r="I9" s="7">
        <f>IF(C9="","",IFERROR(IF(INDEX(원생!$H$2:$H$501,MATCH(계산!$A9,계산!$E$2:$E$501,0))="예","예",""),""))</f>
        <v/>
      </c>
      <c r="J9" s="7" t="n"/>
    </row>
    <row r="10">
      <c r="A10" s="9" t="n"/>
      <c r="B10" s="7" t="n"/>
      <c r="C10" s="7" t="n"/>
      <c r="D10" s="7" t="n"/>
      <c r="E10" s="7" t="n"/>
      <c r="F10" s="8" t="n"/>
      <c r="G10" s="7" t="n"/>
      <c r="H10" s="7" t="n"/>
      <c r="I10" s="7">
        <f>IF(C10="","",IFERROR(IF(INDEX(원생!$H$2:$H$501,MATCH(계산!$A10,계산!$E$2:$E$501,0))="예","예",""),""))</f>
        <v/>
      </c>
      <c r="J10" s="7" t="n"/>
    </row>
    <row r="11">
      <c r="A11" s="9" t="n"/>
      <c r="B11" s="7" t="n"/>
      <c r="C11" s="7" t="n"/>
      <c r="D11" s="7" t="n"/>
      <c r="E11" s="7" t="n"/>
      <c r="F11" s="8" t="n"/>
      <c r="G11" s="7" t="n"/>
      <c r="H11" s="7" t="n"/>
      <c r="I11" s="7">
        <f>IF(C11="","",IFERROR(IF(INDEX(원생!$H$2:$H$501,MATCH(계산!$A11,계산!$E$2:$E$501,0))="예","예",""),""))</f>
        <v/>
      </c>
      <c r="J11" s="7" t="n"/>
    </row>
    <row r="12">
      <c r="A12" s="9" t="n"/>
      <c r="B12" s="7" t="n"/>
      <c r="C12" s="7" t="n"/>
      <c r="D12" s="7" t="n"/>
      <c r="E12" s="7" t="n"/>
      <c r="F12" s="8" t="n"/>
      <c r="G12" s="7" t="n"/>
      <c r="H12" s="7" t="n"/>
      <c r="I12" s="7">
        <f>IF(C12="","",IFERROR(IF(INDEX(원생!$H$2:$H$501,MATCH(계산!$A12,계산!$E$2:$E$501,0))="예","예",""),""))</f>
        <v/>
      </c>
      <c r="J12" s="7" t="n"/>
    </row>
    <row r="13">
      <c r="A13" s="9" t="n"/>
      <c r="B13" s="7" t="n"/>
      <c r="C13" s="7" t="n"/>
      <c r="D13" s="7" t="n"/>
      <c r="E13" s="7" t="n"/>
      <c r="F13" s="8" t="n"/>
      <c r="G13" s="7" t="n"/>
      <c r="H13" s="7" t="n"/>
      <c r="I13" s="7">
        <f>IF(C13="","",IFERROR(IF(INDEX(원생!$H$2:$H$501,MATCH(계산!$A13,계산!$E$2:$E$501,0))="예","예",""),""))</f>
        <v/>
      </c>
      <c r="J13" s="7" t="n"/>
    </row>
    <row r="14">
      <c r="A14" s="9" t="n"/>
      <c r="B14" s="7" t="n"/>
      <c r="C14" s="7" t="n"/>
      <c r="D14" s="7" t="n"/>
      <c r="E14" s="7" t="n"/>
      <c r="F14" s="8" t="n"/>
      <c r="G14" s="7" t="n"/>
      <c r="H14" s="7" t="n"/>
      <c r="I14" s="7">
        <f>IF(C14="","",IFERROR(IF(INDEX(원생!$H$2:$H$501,MATCH(계산!$A14,계산!$E$2:$E$501,0))="예","예",""),""))</f>
        <v/>
      </c>
      <c r="J14" s="7" t="n"/>
    </row>
    <row r="15">
      <c r="A15" s="9" t="n"/>
      <c r="B15" s="7" t="n"/>
      <c r="C15" s="7" t="n"/>
      <c r="D15" s="7" t="n"/>
      <c r="E15" s="7" t="n"/>
      <c r="F15" s="8" t="n"/>
      <c r="G15" s="7" t="n"/>
      <c r="H15" s="7" t="n"/>
      <c r="I15" s="7">
        <f>IF(C15="","",IFERROR(IF(INDEX(원생!$H$2:$H$501,MATCH(계산!$A15,계산!$E$2:$E$501,0))="예","예",""),""))</f>
        <v/>
      </c>
      <c r="J15" s="7" t="n"/>
    </row>
    <row r="16">
      <c r="A16" s="9" t="n"/>
      <c r="B16" s="7" t="n"/>
      <c r="C16" s="7" t="n"/>
      <c r="D16" s="7" t="n"/>
      <c r="E16" s="7" t="n"/>
      <c r="F16" s="8" t="n"/>
      <c r="G16" s="7" t="n"/>
      <c r="H16" s="7" t="n"/>
      <c r="I16" s="7">
        <f>IF(C16="","",IFERROR(IF(INDEX(원생!$H$2:$H$501,MATCH(계산!$A16,계산!$E$2:$E$501,0))="예","예",""),""))</f>
        <v/>
      </c>
      <c r="J16" s="7" t="n"/>
    </row>
    <row r="17">
      <c r="A17" s="9" t="n"/>
      <c r="B17" s="7" t="n"/>
      <c r="C17" s="7" t="n"/>
      <c r="D17" s="7" t="n"/>
      <c r="E17" s="7" t="n"/>
      <c r="F17" s="8" t="n"/>
      <c r="G17" s="7" t="n"/>
      <c r="H17" s="7" t="n"/>
      <c r="I17" s="7">
        <f>IF(C17="","",IFERROR(IF(INDEX(원생!$H$2:$H$501,MATCH(계산!$A17,계산!$E$2:$E$501,0))="예","예",""),""))</f>
        <v/>
      </c>
      <c r="J17" s="7" t="n"/>
    </row>
    <row r="18">
      <c r="A18" s="9" t="n"/>
      <c r="B18" s="7" t="n"/>
      <c r="C18" s="7" t="n"/>
      <c r="D18" s="7" t="n"/>
      <c r="E18" s="7" t="n"/>
      <c r="F18" s="8" t="n"/>
      <c r="G18" s="7" t="n"/>
      <c r="H18" s="7" t="n"/>
      <c r="I18" s="7">
        <f>IF(C18="","",IFERROR(IF(INDEX(원생!$H$2:$H$501,MATCH(계산!$A18,계산!$E$2:$E$501,0))="예","예",""),""))</f>
        <v/>
      </c>
      <c r="J18" s="7" t="n"/>
    </row>
    <row r="19">
      <c r="A19" s="9" t="n"/>
      <c r="B19" s="7" t="n"/>
      <c r="C19" s="7" t="n"/>
      <c r="D19" s="7" t="n"/>
      <c r="E19" s="7" t="n"/>
      <c r="F19" s="8" t="n"/>
      <c r="G19" s="7" t="n"/>
      <c r="H19" s="7" t="n"/>
      <c r="I19" s="7">
        <f>IF(C19="","",IFERROR(IF(INDEX(원생!$H$2:$H$501,MATCH(계산!$A19,계산!$E$2:$E$501,0))="예","예",""),""))</f>
        <v/>
      </c>
      <c r="J19" s="7" t="n"/>
    </row>
    <row r="20">
      <c r="A20" s="9" t="n"/>
      <c r="B20" s="7" t="n"/>
      <c r="C20" s="7" t="n"/>
      <c r="D20" s="7" t="n"/>
      <c r="E20" s="7" t="n"/>
      <c r="F20" s="8" t="n"/>
      <c r="G20" s="7" t="n"/>
      <c r="H20" s="7" t="n"/>
      <c r="I20" s="7">
        <f>IF(C20="","",IFERROR(IF(INDEX(원생!$H$2:$H$501,MATCH(계산!$A20,계산!$E$2:$E$501,0))="예","예",""),""))</f>
        <v/>
      </c>
      <c r="J20" s="7" t="n"/>
    </row>
    <row r="21">
      <c r="A21" s="9" t="n"/>
      <c r="B21" s="7" t="n"/>
      <c r="C21" s="7" t="n"/>
      <c r="D21" s="7" t="n"/>
      <c r="E21" s="7" t="n"/>
      <c r="F21" s="8" t="n"/>
      <c r="G21" s="7" t="n"/>
      <c r="H21" s="7" t="n"/>
      <c r="I21" s="7">
        <f>IF(C21="","",IFERROR(IF(INDEX(원생!$H$2:$H$501,MATCH(계산!$A21,계산!$E$2:$E$501,0))="예","예",""),""))</f>
        <v/>
      </c>
      <c r="J21" s="7" t="n"/>
    </row>
    <row r="22">
      <c r="A22" s="9" t="n"/>
      <c r="B22" s="7" t="n"/>
      <c r="C22" s="7" t="n"/>
      <c r="D22" s="7" t="n"/>
      <c r="E22" s="7" t="n"/>
      <c r="F22" s="8" t="n"/>
      <c r="G22" s="7" t="n"/>
      <c r="H22" s="7" t="n"/>
      <c r="I22" s="7">
        <f>IF(C22="","",IFERROR(IF(INDEX(원생!$H$2:$H$501,MATCH(계산!$A22,계산!$E$2:$E$501,0))="예","예",""),""))</f>
        <v/>
      </c>
      <c r="J22" s="7" t="n"/>
    </row>
    <row r="23">
      <c r="A23" s="9" t="n"/>
      <c r="B23" s="7" t="n"/>
      <c r="C23" s="7" t="n"/>
      <c r="D23" s="7" t="n"/>
      <c r="E23" s="7" t="n"/>
      <c r="F23" s="8" t="n"/>
      <c r="G23" s="7" t="n"/>
      <c r="H23" s="7" t="n"/>
      <c r="I23" s="7">
        <f>IF(C23="","",IFERROR(IF(INDEX(원생!$H$2:$H$501,MATCH(계산!$A23,계산!$E$2:$E$501,0))="예","예",""),""))</f>
        <v/>
      </c>
      <c r="J23" s="7" t="n"/>
    </row>
    <row r="24">
      <c r="A24" s="9" t="n"/>
      <c r="B24" s="7" t="n"/>
      <c r="C24" s="7" t="n"/>
      <c r="D24" s="7" t="n"/>
      <c r="E24" s="7" t="n"/>
      <c r="F24" s="8" t="n"/>
      <c r="G24" s="7" t="n"/>
      <c r="H24" s="7" t="n"/>
      <c r="I24" s="7">
        <f>IF(C24="","",IFERROR(IF(INDEX(원생!$H$2:$H$501,MATCH(계산!$A24,계산!$E$2:$E$501,0))="예","예",""),""))</f>
        <v/>
      </c>
      <c r="J24" s="7" t="n"/>
    </row>
    <row r="25">
      <c r="A25" s="9" t="n"/>
      <c r="B25" s="7" t="n"/>
      <c r="C25" s="7" t="n"/>
      <c r="D25" s="7" t="n"/>
      <c r="E25" s="7" t="n"/>
      <c r="F25" s="8" t="n"/>
      <c r="G25" s="7" t="n"/>
      <c r="H25" s="7" t="n"/>
      <c r="I25" s="7">
        <f>IF(C25="","",IFERROR(IF(INDEX(원생!$H$2:$H$501,MATCH(계산!$A25,계산!$E$2:$E$501,0))="예","예",""),""))</f>
        <v/>
      </c>
      <c r="J25" s="7" t="n"/>
    </row>
    <row r="26">
      <c r="A26" s="9" t="n"/>
      <c r="B26" s="7" t="n"/>
      <c r="C26" s="7" t="n"/>
      <c r="D26" s="7" t="n"/>
      <c r="E26" s="7" t="n"/>
      <c r="F26" s="8" t="n"/>
      <c r="G26" s="7" t="n"/>
      <c r="H26" s="7" t="n"/>
      <c r="I26" s="7">
        <f>IF(C26="","",IFERROR(IF(INDEX(원생!$H$2:$H$501,MATCH(계산!$A26,계산!$E$2:$E$501,0))="예","예",""),""))</f>
        <v/>
      </c>
      <c r="J26" s="7" t="n"/>
    </row>
    <row r="27">
      <c r="A27" s="9" t="n"/>
      <c r="B27" s="7" t="n"/>
      <c r="C27" s="7" t="n"/>
      <c r="D27" s="7" t="n"/>
      <c r="E27" s="7" t="n"/>
      <c r="F27" s="8" t="n"/>
      <c r="G27" s="7" t="n"/>
      <c r="H27" s="7" t="n"/>
      <c r="I27" s="7">
        <f>IF(C27="","",IFERROR(IF(INDEX(원생!$H$2:$H$501,MATCH(계산!$A27,계산!$E$2:$E$501,0))="예","예",""),""))</f>
        <v/>
      </c>
      <c r="J27" s="7" t="n"/>
    </row>
    <row r="28">
      <c r="A28" s="9" t="n"/>
      <c r="B28" s="7" t="n"/>
      <c r="C28" s="7" t="n"/>
      <c r="D28" s="7" t="n"/>
      <c r="E28" s="7" t="n"/>
      <c r="F28" s="8" t="n"/>
      <c r="G28" s="7" t="n"/>
      <c r="H28" s="7" t="n"/>
      <c r="I28" s="7">
        <f>IF(C28="","",IFERROR(IF(INDEX(원생!$H$2:$H$501,MATCH(계산!$A28,계산!$E$2:$E$501,0))="예","예",""),""))</f>
        <v/>
      </c>
      <c r="J28" s="7" t="n"/>
    </row>
    <row r="29">
      <c r="A29" s="9" t="n"/>
      <c r="B29" s="7" t="n"/>
      <c r="C29" s="7" t="n"/>
      <c r="D29" s="7" t="n"/>
      <c r="E29" s="7" t="n"/>
      <c r="F29" s="8" t="n"/>
      <c r="G29" s="7" t="n"/>
      <c r="H29" s="7" t="n"/>
      <c r="I29" s="7">
        <f>IF(C29="","",IFERROR(IF(INDEX(원생!$H$2:$H$501,MATCH(계산!$A29,계산!$E$2:$E$501,0))="예","예",""),""))</f>
        <v/>
      </c>
      <c r="J29" s="7" t="n"/>
    </row>
    <row r="30">
      <c r="A30" s="9" t="n"/>
      <c r="B30" s="7" t="n"/>
      <c r="C30" s="7" t="n"/>
      <c r="D30" s="7" t="n"/>
      <c r="E30" s="7" t="n"/>
      <c r="F30" s="8" t="n"/>
      <c r="G30" s="7" t="n"/>
      <c r="H30" s="7" t="n"/>
      <c r="I30" s="7">
        <f>IF(C30="","",IFERROR(IF(INDEX(원생!$H$2:$H$501,MATCH(계산!$A30,계산!$E$2:$E$501,0))="예","예",""),""))</f>
        <v/>
      </c>
      <c r="J30" s="7" t="n"/>
    </row>
    <row r="31">
      <c r="A31" s="9" t="n"/>
      <c r="B31" s="7" t="n"/>
      <c r="C31" s="7" t="n"/>
      <c r="D31" s="7" t="n"/>
      <c r="E31" s="7" t="n"/>
      <c r="F31" s="8" t="n"/>
      <c r="G31" s="7" t="n"/>
      <c r="H31" s="7" t="n"/>
      <c r="I31" s="7">
        <f>IF(C31="","",IFERROR(IF(INDEX(원생!$H$2:$H$501,MATCH(계산!$A31,계산!$E$2:$E$501,0))="예","예",""),""))</f>
        <v/>
      </c>
      <c r="J31" s="7" t="n"/>
    </row>
    <row r="32">
      <c r="A32" s="9" t="n"/>
      <c r="B32" s="7" t="n"/>
      <c r="C32" s="7" t="n"/>
      <c r="D32" s="7" t="n"/>
      <c r="E32" s="7" t="n"/>
      <c r="F32" s="8" t="n"/>
      <c r="G32" s="7" t="n"/>
      <c r="H32" s="7" t="n"/>
      <c r="I32" s="7">
        <f>IF(C32="","",IFERROR(IF(INDEX(원생!$H$2:$H$501,MATCH(계산!$A32,계산!$E$2:$E$501,0))="예","예",""),""))</f>
        <v/>
      </c>
      <c r="J32" s="7" t="n"/>
    </row>
    <row r="33">
      <c r="A33" s="9" t="n"/>
      <c r="B33" s="7" t="n"/>
      <c r="C33" s="7" t="n"/>
      <c r="D33" s="7" t="n"/>
      <c r="E33" s="7" t="n"/>
      <c r="F33" s="8" t="n"/>
      <c r="G33" s="7" t="n"/>
      <c r="H33" s="7" t="n"/>
      <c r="I33" s="7">
        <f>IF(C33="","",IFERROR(IF(INDEX(원생!$H$2:$H$501,MATCH(계산!$A33,계산!$E$2:$E$501,0))="예","예",""),""))</f>
        <v/>
      </c>
      <c r="J33" s="7" t="n"/>
    </row>
    <row r="34">
      <c r="A34" s="9" t="n"/>
      <c r="B34" s="7" t="n"/>
      <c r="C34" s="7" t="n"/>
      <c r="D34" s="7" t="n"/>
      <c r="E34" s="7" t="n"/>
      <c r="F34" s="8" t="n"/>
      <c r="G34" s="7" t="n"/>
      <c r="H34" s="7" t="n"/>
      <c r="I34" s="7">
        <f>IF(C34="","",IFERROR(IF(INDEX(원생!$H$2:$H$501,MATCH(계산!$A34,계산!$E$2:$E$501,0))="예","예",""),""))</f>
        <v/>
      </c>
      <c r="J34" s="7" t="n"/>
    </row>
    <row r="35">
      <c r="A35" s="9" t="n"/>
      <c r="B35" s="7" t="n"/>
      <c r="C35" s="7" t="n"/>
      <c r="D35" s="7" t="n"/>
      <c r="E35" s="7" t="n"/>
      <c r="F35" s="8" t="n"/>
      <c r="G35" s="7" t="n"/>
      <c r="H35" s="7" t="n"/>
      <c r="I35" s="7">
        <f>IF(C35="","",IFERROR(IF(INDEX(원생!$H$2:$H$501,MATCH(계산!$A35,계산!$E$2:$E$501,0))="예","예",""),""))</f>
        <v/>
      </c>
      <c r="J35" s="7" t="n"/>
    </row>
    <row r="36">
      <c r="A36" s="9" t="n"/>
      <c r="B36" s="7" t="n"/>
      <c r="C36" s="7" t="n"/>
      <c r="D36" s="7" t="n"/>
      <c r="E36" s="7" t="n"/>
      <c r="F36" s="8" t="n"/>
      <c r="G36" s="7" t="n"/>
      <c r="H36" s="7" t="n"/>
      <c r="I36" s="7">
        <f>IF(C36="","",IFERROR(IF(INDEX(원생!$H$2:$H$501,MATCH(계산!$A36,계산!$E$2:$E$501,0))="예","예",""),""))</f>
        <v/>
      </c>
      <c r="J36" s="7" t="n"/>
    </row>
    <row r="37">
      <c r="A37" s="9" t="n"/>
      <c r="B37" s="7" t="n"/>
      <c r="C37" s="7" t="n"/>
      <c r="D37" s="7" t="n"/>
      <c r="E37" s="7" t="n"/>
      <c r="F37" s="8" t="n"/>
      <c r="G37" s="7" t="n"/>
      <c r="H37" s="7" t="n"/>
      <c r="I37" s="7">
        <f>IF(C37="","",IFERROR(IF(INDEX(원생!$H$2:$H$501,MATCH(계산!$A37,계산!$E$2:$E$501,0))="예","예",""),""))</f>
        <v/>
      </c>
      <c r="J37" s="7" t="n"/>
    </row>
    <row r="38">
      <c r="A38" s="9" t="n"/>
      <c r="B38" s="7" t="n"/>
      <c r="C38" s="7" t="n"/>
      <c r="D38" s="7" t="n"/>
      <c r="E38" s="7" t="n"/>
      <c r="F38" s="8" t="n"/>
      <c r="G38" s="7" t="n"/>
      <c r="H38" s="7" t="n"/>
      <c r="I38" s="7">
        <f>IF(C38="","",IFERROR(IF(INDEX(원생!$H$2:$H$501,MATCH(계산!$A38,계산!$E$2:$E$501,0))="예","예",""),""))</f>
        <v/>
      </c>
      <c r="J38" s="7" t="n"/>
    </row>
    <row r="39">
      <c r="A39" s="9" t="n"/>
      <c r="B39" s="7" t="n"/>
      <c r="C39" s="7" t="n"/>
      <c r="D39" s="7" t="n"/>
      <c r="E39" s="7" t="n"/>
      <c r="F39" s="8" t="n"/>
      <c r="G39" s="7" t="n"/>
      <c r="H39" s="7" t="n"/>
      <c r="I39" s="7">
        <f>IF(C39="","",IFERROR(IF(INDEX(원생!$H$2:$H$501,MATCH(계산!$A39,계산!$E$2:$E$501,0))="예","예",""),""))</f>
        <v/>
      </c>
      <c r="J39" s="7" t="n"/>
    </row>
    <row r="40">
      <c r="A40" s="9" t="n"/>
      <c r="B40" s="7" t="n"/>
      <c r="C40" s="7" t="n"/>
      <c r="D40" s="7" t="n"/>
      <c r="E40" s="7" t="n"/>
      <c r="F40" s="8" t="n"/>
      <c r="G40" s="7" t="n"/>
      <c r="H40" s="7" t="n"/>
      <c r="I40" s="7">
        <f>IF(C40="","",IFERROR(IF(INDEX(원생!$H$2:$H$501,MATCH(계산!$A40,계산!$E$2:$E$501,0))="예","예",""),""))</f>
        <v/>
      </c>
      <c r="J40" s="7" t="n"/>
    </row>
    <row r="41">
      <c r="A41" s="9" t="n"/>
      <c r="B41" s="7" t="n"/>
      <c r="C41" s="7" t="n"/>
      <c r="D41" s="7" t="n"/>
      <c r="E41" s="7" t="n"/>
      <c r="F41" s="8" t="n"/>
      <c r="G41" s="7" t="n"/>
      <c r="H41" s="7" t="n"/>
      <c r="I41" s="7">
        <f>IF(C41="","",IFERROR(IF(INDEX(원생!$H$2:$H$501,MATCH(계산!$A41,계산!$E$2:$E$501,0))="예","예",""),""))</f>
        <v/>
      </c>
      <c r="J41" s="7" t="n"/>
    </row>
    <row r="42">
      <c r="A42" s="9" t="n"/>
      <c r="B42" s="7" t="n"/>
      <c r="C42" s="7" t="n"/>
      <c r="D42" s="7" t="n"/>
      <c r="E42" s="7" t="n"/>
      <c r="F42" s="8" t="n"/>
      <c r="G42" s="7" t="n"/>
      <c r="H42" s="7" t="n"/>
      <c r="I42" s="7">
        <f>IF(C42="","",IFERROR(IF(INDEX(원생!$H$2:$H$501,MATCH(계산!$A42,계산!$E$2:$E$501,0))="예","예",""),""))</f>
        <v/>
      </c>
      <c r="J42" s="7" t="n"/>
    </row>
    <row r="43">
      <c r="A43" s="9" t="n"/>
      <c r="B43" s="7" t="n"/>
      <c r="C43" s="7" t="n"/>
      <c r="D43" s="7" t="n"/>
      <c r="E43" s="7" t="n"/>
      <c r="F43" s="8" t="n"/>
      <c r="G43" s="7" t="n"/>
      <c r="H43" s="7" t="n"/>
      <c r="I43" s="7">
        <f>IF(C43="","",IFERROR(IF(INDEX(원생!$H$2:$H$501,MATCH(계산!$A43,계산!$E$2:$E$501,0))="예","예",""),""))</f>
        <v/>
      </c>
      <c r="J43" s="7" t="n"/>
    </row>
    <row r="44">
      <c r="A44" s="9" t="n"/>
      <c r="B44" s="7" t="n"/>
      <c r="C44" s="7" t="n"/>
      <c r="D44" s="7" t="n"/>
      <c r="E44" s="7" t="n"/>
      <c r="F44" s="8" t="n"/>
      <c r="G44" s="7" t="n"/>
      <c r="H44" s="7" t="n"/>
      <c r="I44" s="7">
        <f>IF(C44="","",IFERROR(IF(INDEX(원생!$H$2:$H$501,MATCH(계산!$A44,계산!$E$2:$E$501,0))="예","예",""),""))</f>
        <v/>
      </c>
      <c r="J44" s="7" t="n"/>
    </row>
    <row r="45">
      <c r="A45" s="9" t="n"/>
      <c r="B45" s="7" t="n"/>
      <c r="C45" s="7" t="n"/>
      <c r="D45" s="7" t="n"/>
      <c r="E45" s="7" t="n"/>
      <c r="F45" s="8" t="n"/>
      <c r="G45" s="7" t="n"/>
      <c r="H45" s="7" t="n"/>
      <c r="I45" s="7">
        <f>IF(C45="","",IFERROR(IF(INDEX(원생!$H$2:$H$501,MATCH(계산!$A45,계산!$E$2:$E$501,0))="예","예",""),""))</f>
        <v/>
      </c>
      <c r="J45" s="7" t="n"/>
    </row>
    <row r="46">
      <c r="A46" s="9" t="n"/>
      <c r="B46" s="7" t="n"/>
      <c r="C46" s="7" t="n"/>
      <c r="D46" s="7" t="n"/>
      <c r="E46" s="7" t="n"/>
      <c r="F46" s="8" t="n"/>
      <c r="G46" s="7" t="n"/>
      <c r="H46" s="7" t="n"/>
      <c r="I46" s="7">
        <f>IF(C46="","",IFERROR(IF(INDEX(원생!$H$2:$H$501,MATCH(계산!$A46,계산!$E$2:$E$501,0))="예","예",""),""))</f>
        <v/>
      </c>
      <c r="J46" s="7" t="n"/>
    </row>
    <row r="47">
      <c r="A47" s="9" t="n"/>
      <c r="B47" s="7" t="n"/>
      <c r="C47" s="7" t="n"/>
      <c r="D47" s="7" t="n"/>
      <c r="E47" s="7" t="n"/>
      <c r="F47" s="8" t="n"/>
      <c r="G47" s="7" t="n"/>
      <c r="H47" s="7" t="n"/>
      <c r="I47" s="7">
        <f>IF(C47="","",IFERROR(IF(INDEX(원생!$H$2:$H$501,MATCH(계산!$A47,계산!$E$2:$E$501,0))="예","예",""),""))</f>
        <v/>
      </c>
      <c r="J47" s="7" t="n"/>
    </row>
    <row r="48">
      <c r="A48" s="9" t="n"/>
      <c r="B48" s="7" t="n"/>
      <c r="C48" s="7" t="n"/>
      <c r="D48" s="7" t="n"/>
      <c r="E48" s="7" t="n"/>
      <c r="F48" s="8" t="n"/>
      <c r="G48" s="7" t="n"/>
      <c r="H48" s="7" t="n"/>
      <c r="I48" s="7">
        <f>IF(C48="","",IFERROR(IF(INDEX(원생!$H$2:$H$501,MATCH(계산!$A48,계산!$E$2:$E$501,0))="예","예",""),""))</f>
        <v/>
      </c>
      <c r="J48" s="7" t="n"/>
    </row>
    <row r="49">
      <c r="A49" s="9" t="n"/>
      <c r="B49" s="7" t="n"/>
      <c r="C49" s="7" t="n"/>
      <c r="D49" s="7" t="n"/>
      <c r="E49" s="7" t="n"/>
      <c r="F49" s="8" t="n"/>
      <c r="G49" s="7" t="n"/>
      <c r="H49" s="7" t="n"/>
      <c r="I49" s="7">
        <f>IF(C49="","",IFERROR(IF(INDEX(원생!$H$2:$H$501,MATCH(계산!$A49,계산!$E$2:$E$501,0))="예","예",""),""))</f>
        <v/>
      </c>
      <c r="J49" s="7" t="n"/>
    </row>
    <row r="50">
      <c r="A50" s="9" t="n"/>
      <c r="B50" s="7" t="n"/>
      <c r="C50" s="7" t="n"/>
      <c r="D50" s="7" t="n"/>
      <c r="E50" s="7" t="n"/>
      <c r="F50" s="8" t="n"/>
      <c r="G50" s="7" t="n"/>
      <c r="H50" s="7" t="n"/>
      <c r="I50" s="7">
        <f>IF(C50="","",IFERROR(IF(INDEX(원생!$H$2:$H$501,MATCH(계산!$A50,계산!$E$2:$E$501,0))="예","예",""),""))</f>
        <v/>
      </c>
      <c r="J50" s="7" t="n"/>
    </row>
    <row r="51">
      <c r="A51" s="9" t="n"/>
      <c r="B51" s="7" t="n"/>
      <c r="C51" s="7" t="n"/>
      <c r="D51" s="7" t="n"/>
      <c r="E51" s="7" t="n"/>
      <c r="F51" s="8" t="n"/>
      <c r="G51" s="7" t="n"/>
      <c r="H51" s="7" t="n"/>
      <c r="I51" s="7">
        <f>IF(C51="","",IFERROR(IF(INDEX(원생!$H$2:$H$501,MATCH(계산!$A51,계산!$E$2:$E$501,0))="예","예",""),""))</f>
        <v/>
      </c>
      <c r="J51" s="7" t="n"/>
    </row>
    <row r="52">
      <c r="A52" s="9" t="n"/>
      <c r="B52" s="7" t="n"/>
      <c r="C52" s="7" t="n"/>
      <c r="D52" s="7" t="n"/>
      <c r="E52" s="7" t="n"/>
      <c r="F52" s="8" t="n"/>
      <c r="G52" s="7" t="n"/>
      <c r="H52" s="7" t="n"/>
      <c r="I52" s="7">
        <f>IF(C52="","",IFERROR(IF(INDEX(원생!$H$2:$H$501,MATCH(계산!$A52,계산!$E$2:$E$501,0))="예","예",""),""))</f>
        <v/>
      </c>
      <c r="J52" s="7" t="n"/>
    </row>
    <row r="53">
      <c r="A53" s="9" t="n"/>
      <c r="B53" s="7" t="n"/>
      <c r="C53" s="7" t="n"/>
      <c r="D53" s="7" t="n"/>
      <c r="E53" s="7" t="n"/>
      <c r="F53" s="8" t="n"/>
      <c r="G53" s="7" t="n"/>
      <c r="H53" s="7" t="n"/>
      <c r="I53" s="7">
        <f>IF(C53="","",IFERROR(IF(INDEX(원생!$H$2:$H$501,MATCH(계산!$A53,계산!$E$2:$E$501,0))="예","예",""),""))</f>
        <v/>
      </c>
      <c r="J53" s="7" t="n"/>
    </row>
    <row r="54">
      <c r="A54" s="9" t="n"/>
      <c r="B54" s="7" t="n"/>
      <c r="C54" s="7" t="n"/>
      <c r="D54" s="7" t="n"/>
      <c r="E54" s="7" t="n"/>
      <c r="F54" s="8" t="n"/>
      <c r="G54" s="7" t="n"/>
      <c r="H54" s="7" t="n"/>
      <c r="I54" s="7">
        <f>IF(C54="","",IFERROR(IF(INDEX(원생!$H$2:$H$501,MATCH(계산!$A54,계산!$E$2:$E$501,0))="예","예",""),""))</f>
        <v/>
      </c>
      <c r="J54" s="7" t="n"/>
    </row>
    <row r="55">
      <c r="A55" s="9" t="n"/>
      <c r="B55" s="7" t="n"/>
      <c r="C55" s="7" t="n"/>
      <c r="D55" s="7" t="n"/>
      <c r="E55" s="7" t="n"/>
      <c r="F55" s="8" t="n"/>
      <c r="G55" s="7" t="n"/>
      <c r="H55" s="7" t="n"/>
      <c r="I55" s="7">
        <f>IF(C55="","",IFERROR(IF(INDEX(원생!$H$2:$H$501,MATCH(계산!$A55,계산!$E$2:$E$501,0))="예","예",""),""))</f>
        <v/>
      </c>
      <c r="J55" s="7" t="n"/>
    </row>
    <row r="56">
      <c r="A56" s="9" t="n"/>
      <c r="B56" s="7" t="n"/>
      <c r="C56" s="7" t="n"/>
      <c r="D56" s="7" t="n"/>
      <c r="E56" s="7" t="n"/>
      <c r="F56" s="8" t="n"/>
      <c r="G56" s="7" t="n"/>
      <c r="H56" s="7" t="n"/>
      <c r="I56" s="7">
        <f>IF(C56="","",IFERROR(IF(INDEX(원생!$H$2:$H$501,MATCH(계산!$A56,계산!$E$2:$E$501,0))="예","예",""),""))</f>
        <v/>
      </c>
      <c r="J56" s="7" t="n"/>
    </row>
    <row r="57">
      <c r="A57" s="9" t="n"/>
      <c r="B57" s="7" t="n"/>
      <c r="C57" s="7" t="n"/>
      <c r="D57" s="7" t="n"/>
      <c r="E57" s="7" t="n"/>
      <c r="F57" s="8" t="n"/>
      <c r="G57" s="7" t="n"/>
      <c r="H57" s="7" t="n"/>
      <c r="I57" s="7">
        <f>IF(C57="","",IFERROR(IF(INDEX(원생!$H$2:$H$501,MATCH(계산!$A57,계산!$E$2:$E$501,0))="예","예",""),""))</f>
        <v/>
      </c>
      <c r="J57" s="7" t="n"/>
    </row>
    <row r="58">
      <c r="A58" s="9" t="n"/>
      <c r="B58" s="7" t="n"/>
      <c r="C58" s="7" t="n"/>
      <c r="D58" s="7" t="n"/>
      <c r="E58" s="7" t="n"/>
      <c r="F58" s="8" t="n"/>
      <c r="G58" s="7" t="n"/>
      <c r="H58" s="7" t="n"/>
      <c r="I58" s="7">
        <f>IF(C58="","",IFERROR(IF(INDEX(원생!$H$2:$H$501,MATCH(계산!$A58,계산!$E$2:$E$501,0))="예","예",""),""))</f>
        <v/>
      </c>
      <c r="J58" s="7" t="n"/>
    </row>
    <row r="59">
      <c r="A59" s="9" t="n"/>
      <c r="B59" s="7" t="n"/>
      <c r="C59" s="7" t="n"/>
      <c r="D59" s="7" t="n"/>
      <c r="E59" s="7" t="n"/>
      <c r="F59" s="8" t="n"/>
      <c r="G59" s="7" t="n"/>
      <c r="H59" s="7" t="n"/>
      <c r="I59" s="7">
        <f>IF(C59="","",IFERROR(IF(INDEX(원생!$H$2:$H$501,MATCH(계산!$A59,계산!$E$2:$E$501,0))="예","예",""),""))</f>
        <v/>
      </c>
      <c r="J59" s="7" t="n"/>
    </row>
    <row r="60">
      <c r="A60" s="9" t="n"/>
      <c r="B60" s="7" t="n"/>
      <c r="C60" s="7" t="n"/>
      <c r="D60" s="7" t="n"/>
      <c r="E60" s="7" t="n"/>
      <c r="F60" s="8" t="n"/>
      <c r="G60" s="7" t="n"/>
      <c r="H60" s="7" t="n"/>
      <c r="I60" s="7">
        <f>IF(C60="","",IFERROR(IF(INDEX(원생!$H$2:$H$501,MATCH(계산!$A60,계산!$E$2:$E$501,0))="예","예",""),""))</f>
        <v/>
      </c>
      <c r="J60" s="7" t="n"/>
    </row>
    <row r="61">
      <c r="A61" s="9" t="n"/>
      <c r="B61" s="7" t="n"/>
      <c r="C61" s="7" t="n"/>
      <c r="D61" s="7" t="n"/>
      <c r="E61" s="7" t="n"/>
      <c r="F61" s="8" t="n"/>
      <c r="G61" s="7" t="n"/>
      <c r="H61" s="7" t="n"/>
      <c r="I61" s="7">
        <f>IF(C61="","",IFERROR(IF(INDEX(원생!$H$2:$H$501,MATCH(계산!$A61,계산!$E$2:$E$501,0))="예","예",""),""))</f>
        <v/>
      </c>
      <c r="J61" s="7" t="n"/>
    </row>
    <row r="62">
      <c r="A62" s="9" t="n"/>
      <c r="B62" s="7" t="n"/>
      <c r="C62" s="7" t="n"/>
      <c r="D62" s="7" t="n"/>
      <c r="E62" s="7" t="n"/>
      <c r="F62" s="8" t="n"/>
      <c r="G62" s="7" t="n"/>
      <c r="H62" s="7" t="n"/>
      <c r="I62" s="7">
        <f>IF(C62="","",IFERROR(IF(INDEX(원생!$H$2:$H$501,MATCH(계산!$A62,계산!$E$2:$E$501,0))="예","예",""),""))</f>
        <v/>
      </c>
      <c r="J62" s="7" t="n"/>
    </row>
    <row r="63">
      <c r="A63" s="9" t="n"/>
      <c r="B63" s="7" t="n"/>
      <c r="C63" s="7" t="n"/>
      <c r="D63" s="7" t="n"/>
      <c r="E63" s="7" t="n"/>
      <c r="F63" s="8" t="n"/>
      <c r="G63" s="7" t="n"/>
      <c r="H63" s="7" t="n"/>
      <c r="I63" s="7">
        <f>IF(C63="","",IFERROR(IF(INDEX(원생!$H$2:$H$501,MATCH(계산!$A63,계산!$E$2:$E$501,0))="예","예",""),""))</f>
        <v/>
      </c>
      <c r="J63" s="7" t="n"/>
    </row>
    <row r="64">
      <c r="A64" s="9" t="n"/>
      <c r="B64" s="7" t="n"/>
      <c r="C64" s="7" t="n"/>
      <c r="D64" s="7" t="n"/>
      <c r="E64" s="7" t="n"/>
      <c r="F64" s="8" t="n"/>
      <c r="G64" s="7" t="n"/>
      <c r="H64" s="7" t="n"/>
      <c r="I64" s="7">
        <f>IF(C64="","",IFERROR(IF(INDEX(원생!$H$2:$H$501,MATCH(계산!$A64,계산!$E$2:$E$501,0))="예","예",""),""))</f>
        <v/>
      </c>
      <c r="J64" s="7" t="n"/>
    </row>
    <row r="65">
      <c r="A65" s="9" t="n"/>
      <c r="B65" s="7" t="n"/>
      <c r="C65" s="7" t="n"/>
      <c r="D65" s="7" t="n"/>
      <c r="E65" s="7" t="n"/>
      <c r="F65" s="8" t="n"/>
      <c r="G65" s="7" t="n"/>
      <c r="H65" s="7" t="n"/>
      <c r="I65" s="7">
        <f>IF(C65="","",IFERROR(IF(INDEX(원생!$H$2:$H$501,MATCH(계산!$A65,계산!$E$2:$E$501,0))="예","예",""),""))</f>
        <v/>
      </c>
      <c r="J65" s="7" t="n"/>
    </row>
    <row r="66">
      <c r="A66" s="9" t="n"/>
      <c r="B66" s="7" t="n"/>
      <c r="C66" s="7" t="n"/>
      <c r="D66" s="7" t="n"/>
      <c r="E66" s="7" t="n"/>
      <c r="F66" s="8" t="n"/>
      <c r="G66" s="7" t="n"/>
      <c r="H66" s="7" t="n"/>
      <c r="I66" s="7">
        <f>IF(C66="","",IFERROR(IF(INDEX(원생!$H$2:$H$501,MATCH(계산!$A66,계산!$E$2:$E$501,0))="예","예",""),""))</f>
        <v/>
      </c>
      <c r="J66" s="7" t="n"/>
    </row>
    <row r="67">
      <c r="A67" s="9" t="n"/>
      <c r="B67" s="7" t="n"/>
      <c r="C67" s="7" t="n"/>
      <c r="D67" s="7" t="n"/>
      <c r="E67" s="7" t="n"/>
      <c r="F67" s="8" t="n"/>
      <c r="G67" s="7" t="n"/>
      <c r="H67" s="7" t="n"/>
      <c r="I67" s="7">
        <f>IF(C67="","",IFERROR(IF(INDEX(원생!$H$2:$H$501,MATCH(계산!$A67,계산!$E$2:$E$501,0))="예","예",""),""))</f>
        <v/>
      </c>
      <c r="J67" s="7" t="n"/>
    </row>
    <row r="68">
      <c r="A68" s="9" t="n"/>
      <c r="B68" s="7" t="n"/>
      <c r="C68" s="7" t="n"/>
      <c r="D68" s="7" t="n"/>
      <c r="E68" s="7" t="n"/>
      <c r="F68" s="8" t="n"/>
      <c r="G68" s="7" t="n"/>
      <c r="H68" s="7" t="n"/>
      <c r="I68" s="7">
        <f>IF(C68="","",IFERROR(IF(INDEX(원생!$H$2:$H$501,MATCH(계산!$A68,계산!$E$2:$E$501,0))="예","예",""),""))</f>
        <v/>
      </c>
      <c r="J68" s="7" t="n"/>
    </row>
    <row r="69">
      <c r="A69" s="9" t="n"/>
      <c r="B69" s="7" t="n"/>
      <c r="C69" s="7" t="n"/>
      <c r="D69" s="7" t="n"/>
      <c r="E69" s="7" t="n"/>
      <c r="F69" s="8" t="n"/>
      <c r="G69" s="7" t="n"/>
      <c r="H69" s="7" t="n"/>
      <c r="I69" s="7">
        <f>IF(C69="","",IFERROR(IF(INDEX(원생!$H$2:$H$501,MATCH(계산!$A69,계산!$E$2:$E$501,0))="예","예",""),""))</f>
        <v/>
      </c>
      <c r="J69" s="7" t="n"/>
    </row>
    <row r="70">
      <c r="A70" s="9" t="n"/>
      <c r="B70" s="7" t="n"/>
      <c r="C70" s="7" t="n"/>
      <c r="D70" s="7" t="n"/>
      <c r="E70" s="7" t="n"/>
      <c r="F70" s="8" t="n"/>
      <c r="G70" s="7" t="n"/>
      <c r="H70" s="7" t="n"/>
      <c r="I70" s="7">
        <f>IF(C70="","",IFERROR(IF(INDEX(원생!$H$2:$H$501,MATCH(계산!$A70,계산!$E$2:$E$501,0))="예","예",""),""))</f>
        <v/>
      </c>
      <c r="J70" s="7" t="n"/>
    </row>
    <row r="71">
      <c r="A71" s="9" t="n"/>
      <c r="B71" s="7" t="n"/>
      <c r="C71" s="7" t="n"/>
      <c r="D71" s="7" t="n"/>
      <c r="E71" s="7" t="n"/>
      <c r="F71" s="8" t="n"/>
      <c r="G71" s="7" t="n"/>
      <c r="H71" s="7" t="n"/>
      <c r="I71" s="7">
        <f>IF(C71="","",IFERROR(IF(INDEX(원생!$H$2:$H$501,MATCH(계산!$A71,계산!$E$2:$E$501,0))="예","예",""),""))</f>
        <v/>
      </c>
      <c r="J71" s="7" t="n"/>
    </row>
    <row r="72">
      <c r="A72" s="9" t="n"/>
      <c r="B72" s="7" t="n"/>
      <c r="C72" s="7" t="n"/>
      <c r="D72" s="7" t="n"/>
      <c r="E72" s="7" t="n"/>
      <c r="F72" s="8" t="n"/>
      <c r="G72" s="7" t="n"/>
      <c r="H72" s="7" t="n"/>
      <c r="I72" s="7">
        <f>IF(C72="","",IFERROR(IF(INDEX(원생!$H$2:$H$501,MATCH(계산!$A72,계산!$E$2:$E$501,0))="예","예",""),""))</f>
        <v/>
      </c>
      <c r="J72" s="7" t="n"/>
    </row>
    <row r="73">
      <c r="A73" s="9" t="n"/>
      <c r="B73" s="7" t="n"/>
      <c r="C73" s="7" t="n"/>
      <c r="D73" s="7" t="n"/>
      <c r="E73" s="7" t="n"/>
      <c r="F73" s="8" t="n"/>
      <c r="G73" s="7" t="n"/>
      <c r="H73" s="7" t="n"/>
      <c r="I73" s="7">
        <f>IF(C73="","",IFERROR(IF(INDEX(원생!$H$2:$H$501,MATCH(계산!$A73,계산!$E$2:$E$501,0))="예","예",""),""))</f>
        <v/>
      </c>
      <c r="J73" s="7" t="n"/>
    </row>
    <row r="74">
      <c r="A74" s="9" t="n"/>
      <c r="B74" s="7" t="n"/>
      <c r="C74" s="7" t="n"/>
      <c r="D74" s="7" t="n"/>
      <c r="E74" s="7" t="n"/>
      <c r="F74" s="8" t="n"/>
      <c r="G74" s="7" t="n"/>
      <c r="H74" s="7" t="n"/>
      <c r="I74" s="7">
        <f>IF(C74="","",IFERROR(IF(INDEX(원생!$H$2:$H$501,MATCH(계산!$A74,계산!$E$2:$E$501,0))="예","예",""),""))</f>
        <v/>
      </c>
      <c r="J74" s="7" t="n"/>
    </row>
    <row r="75">
      <c r="A75" s="9" t="n"/>
      <c r="B75" s="7" t="n"/>
      <c r="C75" s="7" t="n"/>
      <c r="D75" s="7" t="n"/>
      <c r="E75" s="7" t="n"/>
      <c r="F75" s="8" t="n"/>
      <c r="G75" s="7" t="n"/>
      <c r="H75" s="7" t="n"/>
      <c r="I75" s="7">
        <f>IF(C75="","",IFERROR(IF(INDEX(원생!$H$2:$H$501,MATCH(계산!$A75,계산!$E$2:$E$501,0))="예","예",""),""))</f>
        <v/>
      </c>
      <c r="J75" s="7" t="n"/>
    </row>
    <row r="76">
      <c r="A76" s="9" t="n"/>
      <c r="B76" s="7" t="n"/>
      <c r="C76" s="7" t="n"/>
      <c r="D76" s="7" t="n"/>
      <c r="E76" s="7" t="n"/>
      <c r="F76" s="8" t="n"/>
      <c r="G76" s="7" t="n"/>
      <c r="H76" s="7" t="n"/>
      <c r="I76" s="7">
        <f>IF(C76="","",IFERROR(IF(INDEX(원생!$H$2:$H$501,MATCH(계산!$A76,계산!$E$2:$E$501,0))="예","예",""),""))</f>
        <v/>
      </c>
      <c r="J76" s="7" t="n"/>
    </row>
    <row r="77">
      <c r="A77" s="9" t="n"/>
      <c r="B77" s="7" t="n"/>
      <c r="C77" s="7" t="n"/>
      <c r="D77" s="7" t="n"/>
      <c r="E77" s="7" t="n"/>
      <c r="F77" s="8" t="n"/>
      <c r="G77" s="7" t="n"/>
      <c r="H77" s="7" t="n"/>
      <c r="I77" s="7">
        <f>IF(C77="","",IFERROR(IF(INDEX(원생!$H$2:$H$501,MATCH(계산!$A77,계산!$E$2:$E$501,0))="예","예",""),""))</f>
        <v/>
      </c>
      <c r="J77" s="7" t="n"/>
    </row>
    <row r="78">
      <c r="A78" s="9" t="n"/>
      <c r="B78" s="7" t="n"/>
      <c r="C78" s="7" t="n"/>
      <c r="D78" s="7" t="n"/>
      <c r="E78" s="7" t="n"/>
      <c r="F78" s="8" t="n"/>
      <c r="G78" s="7" t="n"/>
      <c r="H78" s="7" t="n"/>
      <c r="I78" s="7">
        <f>IF(C78="","",IFERROR(IF(INDEX(원생!$H$2:$H$501,MATCH(계산!$A78,계산!$E$2:$E$501,0))="예","예",""),""))</f>
        <v/>
      </c>
      <c r="J78" s="7" t="n"/>
    </row>
    <row r="79">
      <c r="A79" s="9" t="n"/>
      <c r="B79" s="7" t="n"/>
      <c r="C79" s="7" t="n"/>
      <c r="D79" s="7" t="n"/>
      <c r="E79" s="7" t="n"/>
      <c r="F79" s="8" t="n"/>
      <c r="G79" s="7" t="n"/>
      <c r="H79" s="7" t="n"/>
      <c r="I79" s="7">
        <f>IF(C79="","",IFERROR(IF(INDEX(원생!$H$2:$H$501,MATCH(계산!$A79,계산!$E$2:$E$501,0))="예","예",""),""))</f>
        <v/>
      </c>
      <c r="J79" s="7" t="n"/>
    </row>
    <row r="80">
      <c r="A80" s="9" t="n"/>
      <c r="B80" s="7" t="n"/>
      <c r="C80" s="7" t="n"/>
      <c r="D80" s="7" t="n"/>
      <c r="E80" s="7" t="n"/>
      <c r="F80" s="8" t="n"/>
      <c r="G80" s="7" t="n"/>
      <c r="H80" s="7" t="n"/>
      <c r="I80" s="7">
        <f>IF(C80="","",IFERROR(IF(INDEX(원생!$H$2:$H$501,MATCH(계산!$A80,계산!$E$2:$E$501,0))="예","예",""),""))</f>
        <v/>
      </c>
      <c r="J80" s="7" t="n"/>
    </row>
    <row r="81">
      <c r="A81" s="9" t="n"/>
      <c r="B81" s="7" t="n"/>
      <c r="C81" s="7" t="n"/>
      <c r="D81" s="7" t="n"/>
      <c r="E81" s="7" t="n"/>
      <c r="F81" s="8" t="n"/>
      <c r="G81" s="7" t="n"/>
      <c r="H81" s="7" t="n"/>
      <c r="I81" s="7">
        <f>IF(C81="","",IFERROR(IF(INDEX(원생!$H$2:$H$501,MATCH(계산!$A81,계산!$E$2:$E$501,0))="예","예",""),""))</f>
        <v/>
      </c>
      <c r="J81" s="7" t="n"/>
    </row>
    <row r="82">
      <c r="A82" s="9" t="n"/>
      <c r="B82" s="7" t="n"/>
      <c r="C82" s="7" t="n"/>
      <c r="D82" s="7" t="n"/>
      <c r="E82" s="7" t="n"/>
      <c r="F82" s="8" t="n"/>
      <c r="G82" s="7" t="n"/>
      <c r="H82" s="7" t="n"/>
      <c r="I82" s="7">
        <f>IF(C82="","",IFERROR(IF(INDEX(원생!$H$2:$H$501,MATCH(계산!$A82,계산!$E$2:$E$501,0))="예","예",""),""))</f>
        <v/>
      </c>
      <c r="J82" s="7" t="n"/>
    </row>
    <row r="83">
      <c r="A83" s="9" t="n"/>
      <c r="B83" s="7" t="n"/>
      <c r="C83" s="7" t="n"/>
      <c r="D83" s="7" t="n"/>
      <c r="E83" s="7" t="n"/>
      <c r="F83" s="8" t="n"/>
      <c r="G83" s="7" t="n"/>
      <c r="H83" s="7" t="n"/>
      <c r="I83" s="7">
        <f>IF(C83="","",IFERROR(IF(INDEX(원생!$H$2:$H$501,MATCH(계산!$A83,계산!$E$2:$E$501,0))="예","예",""),""))</f>
        <v/>
      </c>
      <c r="J83" s="7" t="n"/>
    </row>
    <row r="84">
      <c r="A84" s="9" t="n"/>
      <c r="B84" s="7" t="n"/>
      <c r="C84" s="7" t="n"/>
      <c r="D84" s="7" t="n"/>
      <c r="E84" s="7" t="n"/>
      <c r="F84" s="8" t="n"/>
      <c r="G84" s="7" t="n"/>
      <c r="H84" s="7" t="n"/>
      <c r="I84" s="7">
        <f>IF(C84="","",IFERROR(IF(INDEX(원생!$H$2:$H$501,MATCH(계산!$A84,계산!$E$2:$E$501,0))="예","예",""),""))</f>
        <v/>
      </c>
      <c r="J84" s="7" t="n"/>
    </row>
    <row r="85">
      <c r="A85" s="9" t="n"/>
      <c r="B85" s="7" t="n"/>
      <c r="C85" s="7" t="n"/>
      <c r="D85" s="7" t="n"/>
      <c r="E85" s="7" t="n"/>
      <c r="F85" s="8" t="n"/>
      <c r="G85" s="7" t="n"/>
      <c r="H85" s="7" t="n"/>
      <c r="I85" s="7">
        <f>IF(C85="","",IFERROR(IF(INDEX(원생!$H$2:$H$501,MATCH(계산!$A85,계산!$E$2:$E$501,0))="예","예",""),""))</f>
        <v/>
      </c>
      <c r="J85" s="7" t="n"/>
    </row>
    <row r="86">
      <c r="A86" s="9" t="n"/>
      <c r="B86" s="7" t="n"/>
      <c r="C86" s="7" t="n"/>
      <c r="D86" s="7" t="n"/>
      <c r="E86" s="7" t="n"/>
      <c r="F86" s="8" t="n"/>
      <c r="G86" s="7" t="n"/>
      <c r="H86" s="7" t="n"/>
      <c r="I86" s="7">
        <f>IF(C86="","",IFERROR(IF(INDEX(원생!$H$2:$H$501,MATCH(계산!$A86,계산!$E$2:$E$501,0))="예","예",""),""))</f>
        <v/>
      </c>
      <c r="J86" s="7" t="n"/>
    </row>
    <row r="87">
      <c r="A87" s="9" t="n"/>
      <c r="B87" s="7" t="n"/>
      <c r="C87" s="7" t="n"/>
      <c r="D87" s="7" t="n"/>
      <c r="E87" s="7" t="n"/>
      <c r="F87" s="8" t="n"/>
      <c r="G87" s="7" t="n"/>
      <c r="H87" s="7" t="n"/>
      <c r="I87" s="7">
        <f>IF(C87="","",IFERROR(IF(INDEX(원생!$H$2:$H$501,MATCH(계산!$A87,계산!$E$2:$E$501,0))="예","예",""),""))</f>
        <v/>
      </c>
      <c r="J87" s="7" t="n"/>
    </row>
    <row r="88">
      <c r="A88" s="9" t="n"/>
      <c r="B88" s="7" t="n"/>
      <c r="C88" s="7" t="n"/>
      <c r="D88" s="7" t="n"/>
      <c r="E88" s="7" t="n"/>
      <c r="F88" s="8" t="n"/>
      <c r="G88" s="7" t="n"/>
      <c r="H88" s="7" t="n"/>
      <c r="I88" s="7">
        <f>IF(C88="","",IFERROR(IF(INDEX(원생!$H$2:$H$501,MATCH(계산!$A88,계산!$E$2:$E$501,0))="예","예",""),""))</f>
        <v/>
      </c>
      <c r="J88" s="7" t="n"/>
    </row>
    <row r="89">
      <c r="A89" s="9" t="n"/>
      <c r="B89" s="7" t="n"/>
      <c r="C89" s="7" t="n"/>
      <c r="D89" s="7" t="n"/>
      <c r="E89" s="7" t="n"/>
      <c r="F89" s="8" t="n"/>
      <c r="G89" s="7" t="n"/>
      <c r="H89" s="7" t="n"/>
      <c r="I89" s="7">
        <f>IF(C89="","",IFERROR(IF(INDEX(원생!$H$2:$H$501,MATCH(계산!$A89,계산!$E$2:$E$501,0))="예","예",""),""))</f>
        <v/>
      </c>
      <c r="J89" s="7" t="n"/>
    </row>
    <row r="90">
      <c r="A90" s="9" t="n"/>
      <c r="B90" s="7" t="n"/>
      <c r="C90" s="7" t="n"/>
      <c r="D90" s="7" t="n"/>
      <c r="E90" s="7" t="n"/>
      <c r="F90" s="8" t="n"/>
      <c r="G90" s="7" t="n"/>
      <c r="H90" s="7" t="n"/>
      <c r="I90" s="7">
        <f>IF(C90="","",IFERROR(IF(INDEX(원생!$H$2:$H$501,MATCH(계산!$A90,계산!$E$2:$E$501,0))="예","예",""),""))</f>
        <v/>
      </c>
      <c r="J90" s="7" t="n"/>
    </row>
    <row r="91">
      <c r="A91" s="9" t="n"/>
      <c r="B91" s="7" t="n"/>
      <c r="C91" s="7" t="n"/>
      <c r="D91" s="7" t="n"/>
      <c r="E91" s="7" t="n"/>
      <c r="F91" s="8" t="n"/>
      <c r="G91" s="7" t="n"/>
      <c r="H91" s="7" t="n"/>
      <c r="I91" s="7">
        <f>IF(C91="","",IFERROR(IF(INDEX(원생!$H$2:$H$501,MATCH(계산!$A91,계산!$E$2:$E$501,0))="예","예",""),""))</f>
        <v/>
      </c>
      <c r="J91" s="7" t="n"/>
    </row>
    <row r="92">
      <c r="A92" s="9" t="n"/>
      <c r="B92" s="7" t="n"/>
      <c r="C92" s="7" t="n"/>
      <c r="D92" s="7" t="n"/>
      <c r="E92" s="7" t="n"/>
      <c r="F92" s="8" t="n"/>
      <c r="G92" s="7" t="n"/>
      <c r="H92" s="7" t="n"/>
      <c r="I92" s="7">
        <f>IF(C92="","",IFERROR(IF(INDEX(원생!$H$2:$H$501,MATCH(계산!$A92,계산!$E$2:$E$501,0))="예","예",""),""))</f>
        <v/>
      </c>
      <c r="J92" s="7" t="n"/>
    </row>
    <row r="93">
      <c r="A93" s="9" t="n"/>
      <c r="B93" s="7" t="n"/>
      <c r="C93" s="7" t="n"/>
      <c r="D93" s="7" t="n"/>
      <c r="E93" s="7" t="n"/>
      <c r="F93" s="8" t="n"/>
      <c r="G93" s="7" t="n"/>
      <c r="H93" s="7" t="n"/>
      <c r="I93" s="7">
        <f>IF(C93="","",IFERROR(IF(INDEX(원생!$H$2:$H$501,MATCH(계산!$A93,계산!$E$2:$E$501,0))="예","예",""),""))</f>
        <v/>
      </c>
      <c r="J93" s="7" t="n"/>
    </row>
    <row r="94">
      <c r="A94" s="9" t="n"/>
      <c r="B94" s="7" t="n"/>
      <c r="C94" s="7" t="n"/>
      <c r="D94" s="7" t="n"/>
      <c r="E94" s="7" t="n"/>
      <c r="F94" s="8" t="n"/>
      <c r="G94" s="7" t="n"/>
      <c r="H94" s="7" t="n"/>
      <c r="I94" s="7">
        <f>IF(C94="","",IFERROR(IF(INDEX(원생!$H$2:$H$501,MATCH(계산!$A94,계산!$E$2:$E$501,0))="예","예",""),""))</f>
        <v/>
      </c>
      <c r="J94" s="7" t="n"/>
    </row>
    <row r="95">
      <c r="A95" s="9" t="n"/>
      <c r="B95" s="7" t="n"/>
      <c r="C95" s="7" t="n"/>
      <c r="D95" s="7" t="n"/>
      <c r="E95" s="7" t="n"/>
      <c r="F95" s="8" t="n"/>
      <c r="G95" s="7" t="n"/>
      <c r="H95" s="7" t="n"/>
      <c r="I95" s="7">
        <f>IF(C95="","",IFERROR(IF(INDEX(원생!$H$2:$H$501,MATCH(계산!$A95,계산!$E$2:$E$501,0))="예","예",""),""))</f>
        <v/>
      </c>
      <c r="J95" s="7" t="n"/>
    </row>
    <row r="96">
      <c r="A96" s="9" t="n"/>
      <c r="B96" s="7" t="n"/>
      <c r="C96" s="7" t="n"/>
      <c r="D96" s="7" t="n"/>
      <c r="E96" s="7" t="n"/>
      <c r="F96" s="8" t="n"/>
      <c r="G96" s="7" t="n"/>
      <c r="H96" s="7" t="n"/>
      <c r="I96" s="7">
        <f>IF(C96="","",IFERROR(IF(INDEX(원생!$H$2:$H$501,MATCH(계산!$A96,계산!$E$2:$E$501,0))="예","예",""),""))</f>
        <v/>
      </c>
      <c r="J96" s="7" t="n"/>
    </row>
    <row r="97">
      <c r="A97" s="9" t="n"/>
      <c r="B97" s="7" t="n"/>
      <c r="C97" s="7" t="n"/>
      <c r="D97" s="7" t="n"/>
      <c r="E97" s="7" t="n"/>
      <c r="F97" s="8" t="n"/>
      <c r="G97" s="7" t="n"/>
      <c r="H97" s="7" t="n"/>
      <c r="I97" s="7">
        <f>IF(C97="","",IFERROR(IF(INDEX(원생!$H$2:$H$501,MATCH(계산!$A97,계산!$E$2:$E$501,0))="예","예",""),""))</f>
        <v/>
      </c>
      <c r="J97" s="7" t="n"/>
    </row>
    <row r="98">
      <c r="A98" s="9" t="n"/>
      <c r="B98" s="7" t="n"/>
      <c r="C98" s="7" t="n"/>
      <c r="D98" s="7" t="n"/>
      <c r="E98" s="7" t="n"/>
      <c r="F98" s="8" t="n"/>
      <c r="G98" s="7" t="n"/>
      <c r="H98" s="7" t="n"/>
      <c r="I98" s="7">
        <f>IF(C98="","",IFERROR(IF(INDEX(원생!$H$2:$H$501,MATCH(계산!$A98,계산!$E$2:$E$501,0))="예","예",""),""))</f>
        <v/>
      </c>
      <c r="J98" s="7" t="n"/>
    </row>
    <row r="99">
      <c r="A99" s="9" t="n"/>
      <c r="B99" s="7" t="n"/>
      <c r="C99" s="7" t="n"/>
      <c r="D99" s="7" t="n"/>
      <c r="E99" s="7" t="n"/>
      <c r="F99" s="8" t="n"/>
      <c r="G99" s="7" t="n"/>
      <c r="H99" s="7" t="n"/>
      <c r="I99" s="7">
        <f>IF(C99="","",IFERROR(IF(INDEX(원생!$H$2:$H$501,MATCH(계산!$A99,계산!$E$2:$E$501,0))="예","예",""),""))</f>
        <v/>
      </c>
      <c r="J99" s="7" t="n"/>
    </row>
    <row r="100">
      <c r="A100" s="9" t="n"/>
      <c r="B100" s="7" t="n"/>
      <c r="C100" s="7" t="n"/>
      <c r="D100" s="7" t="n"/>
      <c r="E100" s="7" t="n"/>
      <c r="F100" s="8" t="n"/>
      <c r="G100" s="7" t="n"/>
      <c r="H100" s="7" t="n"/>
      <c r="I100" s="7">
        <f>IF(C100="","",IFERROR(IF(INDEX(원생!$H$2:$H$501,MATCH(계산!$A100,계산!$E$2:$E$501,0))="예","예",""),""))</f>
        <v/>
      </c>
      <c r="J100" s="7" t="n"/>
    </row>
    <row r="101">
      <c r="A101" s="9" t="n"/>
      <c r="B101" s="7" t="n"/>
      <c r="C101" s="7" t="n"/>
      <c r="D101" s="7" t="n"/>
      <c r="E101" s="7" t="n"/>
      <c r="F101" s="8" t="n"/>
      <c r="G101" s="7" t="n"/>
      <c r="H101" s="7" t="n"/>
      <c r="I101" s="7">
        <f>IF(C101="","",IFERROR(IF(INDEX(원생!$H$2:$H$501,MATCH(계산!$A101,계산!$E$2:$E$501,0))="예","예",""),""))</f>
        <v/>
      </c>
      <c r="J101" s="7" t="n"/>
    </row>
    <row r="102">
      <c r="A102" s="9" t="n"/>
      <c r="B102" s="7" t="n"/>
      <c r="C102" s="7" t="n"/>
      <c r="D102" s="7" t="n"/>
      <c r="E102" s="7" t="n"/>
      <c r="F102" s="8" t="n"/>
      <c r="G102" s="7" t="n"/>
      <c r="H102" s="7" t="n"/>
      <c r="I102" s="7">
        <f>IF(C102="","",IFERROR(IF(INDEX(원생!$H$2:$H$501,MATCH(계산!$A102,계산!$E$2:$E$501,0))="예","예",""),""))</f>
        <v/>
      </c>
      <c r="J102" s="7" t="n"/>
    </row>
    <row r="103">
      <c r="A103" s="9" t="n"/>
      <c r="B103" s="7" t="n"/>
      <c r="C103" s="7" t="n"/>
      <c r="D103" s="7" t="n"/>
      <c r="E103" s="7" t="n"/>
      <c r="F103" s="8" t="n"/>
      <c r="G103" s="7" t="n"/>
      <c r="H103" s="7" t="n"/>
      <c r="I103" s="7">
        <f>IF(C103="","",IFERROR(IF(INDEX(원생!$H$2:$H$501,MATCH(계산!$A103,계산!$E$2:$E$501,0))="예","예",""),""))</f>
        <v/>
      </c>
      <c r="J103" s="7" t="n"/>
    </row>
    <row r="104">
      <c r="A104" s="9" t="n"/>
      <c r="B104" s="7" t="n"/>
      <c r="C104" s="7" t="n"/>
      <c r="D104" s="7" t="n"/>
      <c r="E104" s="7" t="n"/>
      <c r="F104" s="8" t="n"/>
      <c r="G104" s="7" t="n"/>
      <c r="H104" s="7" t="n"/>
      <c r="I104" s="7">
        <f>IF(C104="","",IFERROR(IF(INDEX(원생!$H$2:$H$501,MATCH(계산!$A104,계산!$E$2:$E$501,0))="예","예",""),""))</f>
        <v/>
      </c>
      <c r="J104" s="7" t="n"/>
    </row>
    <row r="105">
      <c r="A105" s="9" t="n"/>
      <c r="B105" s="7" t="n"/>
      <c r="C105" s="7" t="n"/>
      <c r="D105" s="7" t="n"/>
      <c r="E105" s="7" t="n"/>
      <c r="F105" s="8" t="n"/>
      <c r="G105" s="7" t="n"/>
      <c r="H105" s="7" t="n"/>
      <c r="I105" s="7">
        <f>IF(C105="","",IFERROR(IF(INDEX(원생!$H$2:$H$501,MATCH(계산!$A105,계산!$E$2:$E$501,0))="예","예",""),""))</f>
        <v/>
      </c>
      <c r="J105" s="7" t="n"/>
    </row>
    <row r="106">
      <c r="A106" s="9" t="n"/>
      <c r="B106" s="7" t="n"/>
      <c r="C106" s="7" t="n"/>
      <c r="D106" s="7" t="n"/>
      <c r="E106" s="7" t="n"/>
      <c r="F106" s="8" t="n"/>
      <c r="G106" s="7" t="n"/>
      <c r="H106" s="7" t="n"/>
      <c r="I106" s="7">
        <f>IF(C106="","",IFERROR(IF(INDEX(원생!$H$2:$H$501,MATCH(계산!$A106,계산!$E$2:$E$501,0))="예","예",""),""))</f>
        <v/>
      </c>
      <c r="J106" s="7" t="n"/>
    </row>
    <row r="107">
      <c r="A107" s="9" t="n"/>
      <c r="B107" s="7" t="n"/>
      <c r="C107" s="7" t="n"/>
      <c r="D107" s="7" t="n"/>
      <c r="E107" s="7" t="n"/>
      <c r="F107" s="8" t="n"/>
      <c r="G107" s="7" t="n"/>
      <c r="H107" s="7" t="n"/>
      <c r="I107" s="7">
        <f>IF(C107="","",IFERROR(IF(INDEX(원생!$H$2:$H$501,MATCH(계산!$A107,계산!$E$2:$E$501,0))="예","예",""),""))</f>
        <v/>
      </c>
      <c r="J107" s="7" t="n"/>
    </row>
    <row r="108">
      <c r="A108" s="9" t="n"/>
      <c r="B108" s="7" t="n"/>
      <c r="C108" s="7" t="n"/>
      <c r="D108" s="7" t="n"/>
      <c r="E108" s="7" t="n"/>
      <c r="F108" s="8" t="n"/>
      <c r="G108" s="7" t="n"/>
      <c r="H108" s="7" t="n"/>
      <c r="I108" s="7">
        <f>IF(C108="","",IFERROR(IF(INDEX(원생!$H$2:$H$501,MATCH(계산!$A108,계산!$E$2:$E$501,0))="예","예",""),""))</f>
        <v/>
      </c>
      <c r="J108" s="7" t="n"/>
    </row>
    <row r="109">
      <c r="A109" s="9" t="n"/>
      <c r="B109" s="7" t="n"/>
      <c r="C109" s="7" t="n"/>
      <c r="D109" s="7" t="n"/>
      <c r="E109" s="7" t="n"/>
      <c r="F109" s="8" t="n"/>
      <c r="G109" s="7" t="n"/>
      <c r="H109" s="7" t="n"/>
      <c r="I109" s="7">
        <f>IF(C109="","",IFERROR(IF(INDEX(원생!$H$2:$H$501,MATCH(계산!$A109,계산!$E$2:$E$501,0))="예","예",""),""))</f>
        <v/>
      </c>
      <c r="J109" s="7" t="n"/>
    </row>
    <row r="110">
      <c r="A110" s="9" t="n"/>
      <c r="B110" s="7" t="n"/>
      <c r="C110" s="7" t="n"/>
      <c r="D110" s="7" t="n"/>
      <c r="E110" s="7" t="n"/>
      <c r="F110" s="8" t="n"/>
      <c r="G110" s="7" t="n"/>
      <c r="H110" s="7" t="n"/>
      <c r="I110" s="7">
        <f>IF(C110="","",IFERROR(IF(INDEX(원생!$H$2:$H$501,MATCH(계산!$A110,계산!$E$2:$E$501,0))="예","예",""),""))</f>
        <v/>
      </c>
      <c r="J110" s="7" t="n"/>
    </row>
    <row r="111">
      <c r="A111" s="9" t="n"/>
      <c r="B111" s="7" t="n"/>
      <c r="C111" s="7" t="n"/>
      <c r="D111" s="7" t="n"/>
      <c r="E111" s="7" t="n"/>
      <c r="F111" s="8" t="n"/>
      <c r="G111" s="7" t="n"/>
      <c r="H111" s="7" t="n"/>
      <c r="I111" s="7">
        <f>IF(C111="","",IFERROR(IF(INDEX(원생!$H$2:$H$501,MATCH(계산!$A111,계산!$E$2:$E$501,0))="예","예",""),""))</f>
        <v/>
      </c>
      <c r="J111" s="7" t="n"/>
    </row>
    <row r="112">
      <c r="A112" s="9" t="n"/>
      <c r="B112" s="7" t="n"/>
      <c r="C112" s="7" t="n"/>
      <c r="D112" s="7" t="n"/>
      <c r="E112" s="7" t="n"/>
      <c r="F112" s="8" t="n"/>
      <c r="G112" s="7" t="n"/>
      <c r="H112" s="7" t="n"/>
      <c r="I112" s="7">
        <f>IF(C112="","",IFERROR(IF(INDEX(원생!$H$2:$H$501,MATCH(계산!$A112,계산!$E$2:$E$501,0))="예","예",""),""))</f>
        <v/>
      </c>
      <c r="J112" s="7" t="n"/>
    </row>
    <row r="113">
      <c r="A113" s="9" t="n"/>
      <c r="B113" s="7" t="n"/>
      <c r="C113" s="7" t="n"/>
      <c r="D113" s="7" t="n"/>
      <c r="E113" s="7" t="n"/>
      <c r="F113" s="8" t="n"/>
      <c r="G113" s="7" t="n"/>
      <c r="H113" s="7" t="n"/>
      <c r="I113" s="7">
        <f>IF(C113="","",IFERROR(IF(INDEX(원생!$H$2:$H$501,MATCH(계산!$A113,계산!$E$2:$E$501,0))="예","예",""),""))</f>
        <v/>
      </c>
      <c r="J113" s="7" t="n"/>
    </row>
    <row r="114">
      <c r="A114" s="9" t="n"/>
      <c r="B114" s="7" t="n"/>
      <c r="C114" s="7" t="n"/>
      <c r="D114" s="7" t="n"/>
      <c r="E114" s="7" t="n"/>
      <c r="F114" s="8" t="n"/>
      <c r="G114" s="7" t="n"/>
      <c r="H114" s="7" t="n"/>
      <c r="I114" s="7">
        <f>IF(C114="","",IFERROR(IF(INDEX(원생!$H$2:$H$501,MATCH(계산!$A114,계산!$E$2:$E$501,0))="예","예",""),""))</f>
        <v/>
      </c>
      <c r="J114" s="7" t="n"/>
    </row>
    <row r="115">
      <c r="A115" s="9" t="n"/>
      <c r="B115" s="7" t="n"/>
      <c r="C115" s="7" t="n"/>
      <c r="D115" s="7" t="n"/>
      <c r="E115" s="7" t="n"/>
      <c r="F115" s="8" t="n"/>
      <c r="G115" s="7" t="n"/>
      <c r="H115" s="7" t="n"/>
      <c r="I115" s="7">
        <f>IF(C115="","",IFERROR(IF(INDEX(원생!$H$2:$H$501,MATCH(계산!$A115,계산!$E$2:$E$501,0))="예","예",""),""))</f>
        <v/>
      </c>
      <c r="J115" s="7" t="n"/>
    </row>
    <row r="116">
      <c r="A116" s="9" t="n"/>
      <c r="B116" s="7" t="n"/>
      <c r="C116" s="7" t="n"/>
      <c r="D116" s="7" t="n"/>
      <c r="E116" s="7" t="n"/>
      <c r="F116" s="8" t="n"/>
      <c r="G116" s="7" t="n"/>
      <c r="H116" s="7" t="n"/>
      <c r="I116" s="7">
        <f>IF(C116="","",IFERROR(IF(INDEX(원생!$H$2:$H$501,MATCH(계산!$A116,계산!$E$2:$E$501,0))="예","예",""),""))</f>
        <v/>
      </c>
      <c r="J116" s="7" t="n"/>
    </row>
    <row r="117">
      <c r="A117" s="9" t="n"/>
      <c r="B117" s="7" t="n"/>
      <c r="C117" s="7" t="n"/>
      <c r="D117" s="7" t="n"/>
      <c r="E117" s="7" t="n"/>
      <c r="F117" s="8" t="n"/>
      <c r="G117" s="7" t="n"/>
      <c r="H117" s="7" t="n"/>
      <c r="I117" s="7">
        <f>IF(C117="","",IFERROR(IF(INDEX(원생!$H$2:$H$501,MATCH(계산!$A117,계산!$E$2:$E$501,0))="예","예",""),""))</f>
        <v/>
      </c>
      <c r="J117" s="7" t="n"/>
    </row>
    <row r="118">
      <c r="A118" s="9" t="n"/>
      <c r="B118" s="7" t="n"/>
      <c r="C118" s="7" t="n"/>
      <c r="D118" s="7" t="n"/>
      <c r="E118" s="7" t="n"/>
      <c r="F118" s="8" t="n"/>
      <c r="G118" s="7" t="n"/>
      <c r="H118" s="7" t="n"/>
      <c r="I118" s="7">
        <f>IF(C118="","",IFERROR(IF(INDEX(원생!$H$2:$H$501,MATCH(계산!$A118,계산!$E$2:$E$501,0))="예","예",""),""))</f>
        <v/>
      </c>
      <c r="J118" s="7" t="n"/>
    </row>
    <row r="119">
      <c r="A119" s="9" t="n"/>
      <c r="B119" s="7" t="n"/>
      <c r="C119" s="7" t="n"/>
      <c r="D119" s="7" t="n"/>
      <c r="E119" s="7" t="n"/>
      <c r="F119" s="8" t="n"/>
      <c r="G119" s="7" t="n"/>
      <c r="H119" s="7" t="n"/>
      <c r="I119" s="7">
        <f>IF(C119="","",IFERROR(IF(INDEX(원생!$H$2:$H$501,MATCH(계산!$A119,계산!$E$2:$E$501,0))="예","예",""),""))</f>
        <v/>
      </c>
      <c r="J119" s="7" t="n"/>
    </row>
    <row r="120">
      <c r="A120" s="9" t="n"/>
      <c r="B120" s="7" t="n"/>
      <c r="C120" s="7" t="n"/>
      <c r="D120" s="7" t="n"/>
      <c r="E120" s="7" t="n"/>
      <c r="F120" s="8" t="n"/>
      <c r="G120" s="7" t="n"/>
      <c r="H120" s="7" t="n"/>
      <c r="I120" s="7">
        <f>IF(C120="","",IFERROR(IF(INDEX(원생!$H$2:$H$501,MATCH(계산!$A120,계산!$E$2:$E$501,0))="예","예",""),""))</f>
        <v/>
      </c>
      <c r="J120" s="7" t="n"/>
    </row>
    <row r="121">
      <c r="A121" s="9" t="n"/>
      <c r="B121" s="7" t="n"/>
      <c r="C121" s="7" t="n"/>
      <c r="D121" s="7" t="n"/>
      <c r="E121" s="7" t="n"/>
      <c r="F121" s="8" t="n"/>
      <c r="G121" s="7" t="n"/>
      <c r="H121" s="7" t="n"/>
      <c r="I121" s="7">
        <f>IF(C121="","",IFERROR(IF(INDEX(원생!$H$2:$H$501,MATCH(계산!$A121,계산!$E$2:$E$501,0))="예","예",""),""))</f>
        <v/>
      </c>
      <c r="J121" s="7" t="n"/>
    </row>
    <row r="122">
      <c r="A122" s="9" t="n"/>
      <c r="B122" s="7" t="n"/>
      <c r="C122" s="7" t="n"/>
      <c r="D122" s="7" t="n"/>
      <c r="E122" s="7" t="n"/>
      <c r="F122" s="8" t="n"/>
      <c r="G122" s="7" t="n"/>
      <c r="H122" s="7" t="n"/>
      <c r="I122" s="7">
        <f>IF(C122="","",IFERROR(IF(INDEX(원생!$H$2:$H$501,MATCH(계산!$A122,계산!$E$2:$E$501,0))="예","예",""),""))</f>
        <v/>
      </c>
      <c r="J122" s="7" t="n"/>
    </row>
    <row r="123">
      <c r="A123" s="9" t="n"/>
      <c r="B123" s="7" t="n"/>
      <c r="C123" s="7" t="n"/>
      <c r="D123" s="7" t="n"/>
      <c r="E123" s="7" t="n"/>
      <c r="F123" s="8" t="n"/>
      <c r="G123" s="7" t="n"/>
      <c r="H123" s="7" t="n"/>
      <c r="I123" s="7">
        <f>IF(C123="","",IFERROR(IF(INDEX(원생!$H$2:$H$501,MATCH(계산!$A123,계산!$E$2:$E$501,0))="예","예",""),""))</f>
        <v/>
      </c>
      <c r="J123" s="7" t="n"/>
    </row>
    <row r="124">
      <c r="A124" s="9" t="n"/>
      <c r="B124" s="7" t="n"/>
      <c r="C124" s="7" t="n"/>
      <c r="D124" s="7" t="n"/>
      <c r="E124" s="7" t="n"/>
      <c r="F124" s="8" t="n"/>
      <c r="G124" s="7" t="n"/>
      <c r="H124" s="7" t="n"/>
      <c r="I124" s="7">
        <f>IF(C124="","",IFERROR(IF(INDEX(원생!$H$2:$H$501,MATCH(계산!$A124,계산!$E$2:$E$501,0))="예","예",""),""))</f>
        <v/>
      </c>
      <c r="J124" s="7" t="n"/>
    </row>
    <row r="125">
      <c r="A125" s="9" t="n"/>
      <c r="B125" s="7" t="n"/>
      <c r="C125" s="7" t="n"/>
      <c r="D125" s="7" t="n"/>
      <c r="E125" s="7" t="n"/>
      <c r="F125" s="8" t="n"/>
      <c r="G125" s="7" t="n"/>
      <c r="H125" s="7" t="n"/>
      <c r="I125" s="7">
        <f>IF(C125="","",IFERROR(IF(INDEX(원생!$H$2:$H$501,MATCH(계산!$A125,계산!$E$2:$E$501,0))="예","예",""),""))</f>
        <v/>
      </c>
      <c r="J125" s="7" t="n"/>
    </row>
    <row r="126">
      <c r="A126" s="9" t="n"/>
      <c r="B126" s="7" t="n"/>
      <c r="C126" s="7" t="n"/>
      <c r="D126" s="7" t="n"/>
      <c r="E126" s="7" t="n"/>
      <c r="F126" s="8" t="n"/>
      <c r="G126" s="7" t="n"/>
      <c r="H126" s="7" t="n"/>
      <c r="I126" s="7">
        <f>IF(C126="","",IFERROR(IF(INDEX(원생!$H$2:$H$501,MATCH(계산!$A126,계산!$E$2:$E$501,0))="예","예",""),""))</f>
        <v/>
      </c>
      <c r="J126" s="7" t="n"/>
    </row>
    <row r="127">
      <c r="A127" s="9" t="n"/>
      <c r="B127" s="7" t="n"/>
      <c r="C127" s="7" t="n"/>
      <c r="D127" s="7" t="n"/>
      <c r="E127" s="7" t="n"/>
      <c r="F127" s="8" t="n"/>
      <c r="G127" s="7" t="n"/>
      <c r="H127" s="7" t="n"/>
      <c r="I127" s="7">
        <f>IF(C127="","",IFERROR(IF(INDEX(원생!$H$2:$H$501,MATCH(계산!$A127,계산!$E$2:$E$501,0))="예","예",""),""))</f>
        <v/>
      </c>
      <c r="J127" s="7" t="n"/>
    </row>
    <row r="128">
      <c r="A128" s="9" t="n"/>
      <c r="B128" s="7" t="n"/>
      <c r="C128" s="7" t="n"/>
      <c r="D128" s="7" t="n"/>
      <c r="E128" s="7" t="n"/>
      <c r="F128" s="8" t="n"/>
      <c r="G128" s="7" t="n"/>
      <c r="H128" s="7" t="n"/>
      <c r="I128" s="7">
        <f>IF(C128="","",IFERROR(IF(INDEX(원생!$H$2:$H$501,MATCH(계산!$A128,계산!$E$2:$E$501,0))="예","예",""),""))</f>
        <v/>
      </c>
      <c r="J128" s="7" t="n"/>
    </row>
    <row r="129">
      <c r="A129" s="9" t="n"/>
      <c r="B129" s="7" t="n"/>
      <c r="C129" s="7" t="n"/>
      <c r="D129" s="7" t="n"/>
      <c r="E129" s="7" t="n"/>
      <c r="F129" s="8" t="n"/>
      <c r="G129" s="7" t="n"/>
      <c r="H129" s="7" t="n"/>
      <c r="I129" s="7">
        <f>IF(C129="","",IFERROR(IF(INDEX(원생!$H$2:$H$501,MATCH(계산!$A129,계산!$E$2:$E$501,0))="예","예",""),""))</f>
        <v/>
      </c>
      <c r="J129" s="7" t="n"/>
    </row>
    <row r="130">
      <c r="A130" s="9" t="n"/>
      <c r="B130" s="7" t="n"/>
      <c r="C130" s="7" t="n"/>
      <c r="D130" s="7" t="n"/>
      <c r="E130" s="7" t="n"/>
      <c r="F130" s="8" t="n"/>
      <c r="G130" s="7" t="n"/>
      <c r="H130" s="7" t="n"/>
      <c r="I130" s="7">
        <f>IF(C130="","",IFERROR(IF(INDEX(원생!$H$2:$H$501,MATCH(계산!$A130,계산!$E$2:$E$501,0))="예","예",""),""))</f>
        <v/>
      </c>
      <c r="J130" s="7" t="n"/>
    </row>
    <row r="131">
      <c r="A131" s="9" t="n"/>
      <c r="B131" s="7" t="n"/>
      <c r="C131" s="7" t="n"/>
      <c r="D131" s="7" t="n"/>
      <c r="E131" s="7" t="n"/>
      <c r="F131" s="8" t="n"/>
      <c r="G131" s="7" t="n"/>
      <c r="H131" s="7" t="n"/>
      <c r="I131" s="7">
        <f>IF(C131="","",IFERROR(IF(INDEX(원생!$H$2:$H$501,MATCH(계산!$A131,계산!$E$2:$E$501,0))="예","예",""),""))</f>
        <v/>
      </c>
      <c r="J131" s="7" t="n"/>
    </row>
    <row r="132">
      <c r="A132" s="9" t="n"/>
      <c r="B132" s="7" t="n"/>
      <c r="C132" s="7" t="n"/>
      <c r="D132" s="7" t="n"/>
      <c r="E132" s="7" t="n"/>
      <c r="F132" s="8" t="n"/>
      <c r="G132" s="7" t="n"/>
      <c r="H132" s="7" t="n"/>
      <c r="I132" s="7">
        <f>IF(C132="","",IFERROR(IF(INDEX(원생!$H$2:$H$501,MATCH(계산!$A132,계산!$E$2:$E$501,0))="예","예",""),""))</f>
        <v/>
      </c>
      <c r="J132" s="7" t="n"/>
    </row>
    <row r="133">
      <c r="A133" s="9" t="n"/>
      <c r="B133" s="7" t="n"/>
      <c r="C133" s="7" t="n"/>
      <c r="D133" s="7" t="n"/>
      <c r="E133" s="7" t="n"/>
      <c r="F133" s="8" t="n"/>
      <c r="G133" s="7" t="n"/>
      <c r="H133" s="7" t="n"/>
      <c r="I133" s="7">
        <f>IF(C133="","",IFERROR(IF(INDEX(원생!$H$2:$H$501,MATCH(계산!$A133,계산!$E$2:$E$501,0))="예","예",""),""))</f>
        <v/>
      </c>
      <c r="J133" s="7" t="n"/>
    </row>
    <row r="134">
      <c r="A134" s="9" t="n"/>
      <c r="B134" s="7" t="n"/>
      <c r="C134" s="7" t="n"/>
      <c r="D134" s="7" t="n"/>
      <c r="E134" s="7" t="n"/>
      <c r="F134" s="8" t="n"/>
      <c r="G134" s="7" t="n"/>
      <c r="H134" s="7" t="n"/>
      <c r="I134" s="7">
        <f>IF(C134="","",IFERROR(IF(INDEX(원생!$H$2:$H$501,MATCH(계산!$A134,계산!$E$2:$E$501,0))="예","예",""),""))</f>
        <v/>
      </c>
      <c r="J134" s="7" t="n"/>
    </row>
    <row r="135">
      <c r="A135" s="9" t="n"/>
      <c r="B135" s="7" t="n"/>
      <c r="C135" s="7" t="n"/>
      <c r="D135" s="7" t="n"/>
      <c r="E135" s="7" t="n"/>
      <c r="F135" s="8" t="n"/>
      <c r="G135" s="7" t="n"/>
      <c r="H135" s="7" t="n"/>
      <c r="I135" s="7">
        <f>IF(C135="","",IFERROR(IF(INDEX(원생!$H$2:$H$501,MATCH(계산!$A135,계산!$E$2:$E$501,0))="예","예",""),""))</f>
        <v/>
      </c>
      <c r="J135" s="7" t="n"/>
    </row>
    <row r="136">
      <c r="A136" s="9" t="n"/>
      <c r="B136" s="7" t="n"/>
      <c r="C136" s="7" t="n"/>
      <c r="D136" s="7" t="n"/>
      <c r="E136" s="7" t="n"/>
      <c r="F136" s="8" t="n"/>
      <c r="G136" s="7" t="n"/>
      <c r="H136" s="7" t="n"/>
      <c r="I136" s="7">
        <f>IF(C136="","",IFERROR(IF(INDEX(원생!$H$2:$H$501,MATCH(계산!$A136,계산!$E$2:$E$501,0))="예","예",""),""))</f>
        <v/>
      </c>
      <c r="J136" s="7" t="n"/>
    </row>
    <row r="137">
      <c r="A137" s="9" t="n"/>
      <c r="B137" s="7" t="n"/>
      <c r="C137" s="7" t="n"/>
      <c r="D137" s="7" t="n"/>
      <c r="E137" s="7" t="n"/>
      <c r="F137" s="8" t="n"/>
      <c r="G137" s="7" t="n"/>
      <c r="H137" s="7" t="n"/>
      <c r="I137" s="7">
        <f>IF(C137="","",IFERROR(IF(INDEX(원생!$H$2:$H$501,MATCH(계산!$A137,계산!$E$2:$E$501,0))="예","예",""),""))</f>
        <v/>
      </c>
      <c r="J137" s="7" t="n"/>
    </row>
    <row r="138">
      <c r="A138" s="9" t="n"/>
      <c r="B138" s="7" t="n"/>
      <c r="C138" s="7" t="n"/>
      <c r="D138" s="7" t="n"/>
      <c r="E138" s="7" t="n"/>
      <c r="F138" s="8" t="n"/>
      <c r="G138" s="7" t="n"/>
      <c r="H138" s="7" t="n"/>
      <c r="I138" s="7">
        <f>IF(C138="","",IFERROR(IF(INDEX(원생!$H$2:$H$501,MATCH(계산!$A138,계산!$E$2:$E$501,0))="예","예",""),""))</f>
        <v/>
      </c>
      <c r="J138" s="7" t="n"/>
    </row>
    <row r="139">
      <c r="A139" s="9" t="n"/>
      <c r="B139" s="7" t="n"/>
      <c r="C139" s="7" t="n"/>
      <c r="D139" s="7" t="n"/>
      <c r="E139" s="7" t="n"/>
      <c r="F139" s="8" t="n"/>
      <c r="G139" s="7" t="n"/>
      <c r="H139" s="7" t="n"/>
      <c r="I139" s="7">
        <f>IF(C139="","",IFERROR(IF(INDEX(원생!$H$2:$H$501,MATCH(계산!$A139,계산!$E$2:$E$501,0))="예","예",""),""))</f>
        <v/>
      </c>
      <c r="J139" s="7" t="n"/>
    </row>
    <row r="140">
      <c r="A140" s="9" t="n"/>
      <c r="B140" s="7" t="n"/>
      <c r="C140" s="7" t="n"/>
      <c r="D140" s="7" t="n"/>
      <c r="E140" s="7" t="n"/>
      <c r="F140" s="8" t="n"/>
      <c r="G140" s="7" t="n"/>
      <c r="H140" s="7" t="n"/>
      <c r="I140" s="7">
        <f>IF(C140="","",IFERROR(IF(INDEX(원생!$H$2:$H$501,MATCH(계산!$A140,계산!$E$2:$E$501,0))="예","예",""),""))</f>
        <v/>
      </c>
      <c r="J140" s="7" t="n"/>
    </row>
    <row r="141">
      <c r="A141" s="9" t="n"/>
      <c r="B141" s="7" t="n"/>
      <c r="C141" s="7" t="n"/>
      <c r="D141" s="7" t="n"/>
      <c r="E141" s="7" t="n"/>
      <c r="F141" s="8" t="n"/>
      <c r="G141" s="7" t="n"/>
      <c r="H141" s="7" t="n"/>
      <c r="I141" s="7">
        <f>IF(C141="","",IFERROR(IF(INDEX(원생!$H$2:$H$501,MATCH(계산!$A141,계산!$E$2:$E$501,0))="예","예",""),""))</f>
        <v/>
      </c>
      <c r="J141" s="7" t="n"/>
    </row>
    <row r="142">
      <c r="A142" s="9" t="n"/>
      <c r="B142" s="7" t="n"/>
      <c r="C142" s="7" t="n"/>
      <c r="D142" s="7" t="n"/>
      <c r="E142" s="7" t="n"/>
      <c r="F142" s="8" t="n"/>
      <c r="G142" s="7" t="n"/>
      <c r="H142" s="7" t="n"/>
      <c r="I142" s="7">
        <f>IF(C142="","",IFERROR(IF(INDEX(원생!$H$2:$H$501,MATCH(계산!$A142,계산!$E$2:$E$501,0))="예","예",""),""))</f>
        <v/>
      </c>
      <c r="J142" s="7" t="n"/>
    </row>
    <row r="143">
      <c r="A143" s="9" t="n"/>
      <c r="B143" s="7" t="n"/>
      <c r="C143" s="7" t="n"/>
      <c r="D143" s="7" t="n"/>
      <c r="E143" s="7" t="n"/>
      <c r="F143" s="8" t="n"/>
      <c r="G143" s="7" t="n"/>
      <c r="H143" s="7" t="n"/>
      <c r="I143" s="7">
        <f>IF(C143="","",IFERROR(IF(INDEX(원생!$H$2:$H$501,MATCH(계산!$A143,계산!$E$2:$E$501,0))="예","예",""),""))</f>
        <v/>
      </c>
      <c r="J143" s="7" t="n"/>
    </row>
    <row r="144">
      <c r="A144" s="9" t="n"/>
      <c r="B144" s="7" t="n"/>
      <c r="C144" s="7" t="n"/>
      <c r="D144" s="7" t="n"/>
      <c r="E144" s="7" t="n"/>
      <c r="F144" s="8" t="n"/>
      <c r="G144" s="7" t="n"/>
      <c r="H144" s="7" t="n"/>
      <c r="I144" s="7">
        <f>IF(C144="","",IFERROR(IF(INDEX(원생!$H$2:$H$501,MATCH(계산!$A144,계산!$E$2:$E$501,0))="예","예",""),""))</f>
        <v/>
      </c>
      <c r="J144" s="7" t="n"/>
    </row>
    <row r="145">
      <c r="A145" s="9" t="n"/>
      <c r="B145" s="7" t="n"/>
      <c r="C145" s="7" t="n"/>
      <c r="D145" s="7" t="n"/>
      <c r="E145" s="7" t="n"/>
      <c r="F145" s="8" t="n"/>
      <c r="G145" s="7" t="n"/>
      <c r="H145" s="7" t="n"/>
      <c r="I145" s="7">
        <f>IF(C145="","",IFERROR(IF(INDEX(원생!$H$2:$H$501,MATCH(계산!$A145,계산!$E$2:$E$501,0))="예","예",""),""))</f>
        <v/>
      </c>
      <c r="J145" s="7" t="n"/>
    </row>
    <row r="146">
      <c r="A146" s="9" t="n"/>
      <c r="B146" s="7" t="n"/>
      <c r="C146" s="7" t="n"/>
      <c r="D146" s="7" t="n"/>
      <c r="E146" s="7" t="n"/>
      <c r="F146" s="8" t="n"/>
      <c r="G146" s="7" t="n"/>
      <c r="H146" s="7" t="n"/>
      <c r="I146" s="7">
        <f>IF(C146="","",IFERROR(IF(INDEX(원생!$H$2:$H$501,MATCH(계산!$A146,계산!$E$2:$E$501,0))="예","예",""),""))</f>
        <v/>
      </c>
      <c r="J146" s="7" t="n"/>
    </row>
    <row r="147">
      <c r="A147" s="9" t="n"/>
      <c r="B147" s="7" t="n"/>
      <c r="C147" s="7" t="n"/>
      <c r="D147" s="7" t="n"/>
      <c r="E147" s="7" t="n"/>
      <c r="F147" s="8" t="n"/>
      <c r="G147" s="7" t="n"/>
      <c r="H147" s="7" t="n"/>
      <c r="I147" s="7">
        <f>IF(C147="","",IFERROR(IF(INDEX(원생!$H$2:$H$501,MATCH(계산!$A147,계산!$E$2:$E$501,0))="예","예",""),""))</f>
        <v/>
      </c>
      <c r="J147" s="7" t="n"/>
    </row>
    <row r="148">
      <c r="A148" s="9" t="n"/>
      <c r="B148" s="7" t="n"/>
      <c r="C148" s="7" t="n"/>
      <c r="D148" s="7" t="n"/>
      <c r="E148" s="7" t="n"/>
      <c r="F148" s="8" t="n"/>
      <c r="G148" s="7" t="n"/>
      <c r="H148" s="7" t="n"/>
      <c r="I148" s="7">
        <f>IF(C148="","",IFERROR(IF(INDEX(원생!$H$2:$H$501,MATCH(계산!$A148,계산!$E$2:$E$501,0))="예","예",""),""))</f>
        <v/>
      </c>
      <c r="J148" s="7" t="n"/>
    </row>
    <row r="149">
      <c r="A149" s="9" t="n"/>
      <c r="B149" s="7" t="n"/>
      <c r="C149" s="7" t="n"/>
      <c r="D149" s="7" t="n"/>
      <c r="E149" s="7" t="n"/>
      <c r="F149" s="8" t="n"/>
      <c r="G149" s="7" t="n"/>
      <c r="H149" s="7" t="n"/>
      <c r="I149" s="7">
        <f>IF(C149="","",IFERROR(IF(INDEX(원생!$H$2:$H$501,MATCH(계산!$A149,계산!$E$2:$E$501,0))="예","예",""),""))</f>
        <v/>
      </c>
      <c r="J149" s="7" t="n"/>
    </row>
    <row r="150">
      <c r="A150" s="9" t="n"/>
      <c r="B150" s="7" t="n"/>
      <c r="C150" s="7" t="n"/>
      <c r="D150" s="7" t="n"/>
      <c r="E150" s="7" t="n"/>
      <c r="F150" s="8" t="n"/>
      <c r="G150" s="7" t="n"/>
      <c r="H150" s="7" t="n"/>
      <c r="I150" s="7">
        <f>IF(C150="","",IFERROR(IF(INDEX(원생!$H$2:$H$501,MATCH(계산!$A150,계산!$E$2:$E$501,0))="예","예",""),""))</f>
        <v/>
      </c>
      <c r="J150" s="7" t="n"/>
    </row>
    <row r="151">
      <c r="A151" s="9" t="n"/>
      <c r="B151" s="7" t="n"/>
      <c r="C151" s="7" t="n"/>
      <c r="D151" s="7" t="n"/>
      <c r="E151" s="7" t="n"/>
      <c r="F151" s="8" t="n"/>
      <c r="G151" s="7" t="n"/>
      <c r="H151" s="7" t="n"/>
      <c r="I151" s="7">
        <f>IF(C151="","",IFERROR(IF(INDEX(원생!$H$2:$H$501,MATCH(계산!$A151,계산!$E$2:$E$501,0))="예","예",""),""))</f>
        <v/>
      </c>
      <c r="J151" s="7" t="n"/>
    </row>
    <row r="152">
      <c r="A152" s="9" t="n"/>
      <c r="B152" s="7" t="n"/>
      <c r="C152" s="7" t="n"/>
      <c r="D152" s="7" t="n"/>
      <c r="E152" s="7" t="n"/>
      <c r="F152" s="8" t="n"/>
      <c r="G152" s="7" t="n"/>
      <c r="H152" s="7" t="n"/>
      <c r="I152" s="7">
        <f>IF(C152="","",IFERROR(IF(INDEX(원생!$H$2:$H$501,MATCH(계산!$A152,계산!$E$2:$E$501,0))="예","예",""),""))</f>
        <v/>
      </c>
      <c r="J152" s="7" t="n"/>
    </row>
    <row r="153">
      <c r="A153" s="9" t="n"/>
      <c r="B153" s="7" t="n"/>
      <c r="C153" s="7" t="n"/>
      <c r="D153" s="7" t="n"/>
      <c r="E153" s="7" t="n"/>
      <c r="F153" s="8" t="n"/>
      <c r="G153" s="7" t="n"/>
      <c r="H153" s="7" t="n"/>
      <c r="I153" s="7">
        <f>IF(C153="","",IFERROR(IF(INDEX(원생!$H$2:$H$501,MATCH(계산!$A153,계산!$E$2:$E$501,0))="예","예",""),""))</f>
        <v/>
      </c>
      <c r="J153" s="7" t="n"/>
    </row>
    <row r="154">
      <c r="A154" s="9" t="n"/>
      <c r="B154" s="7" t="n"/>
      <c r="C154" s="7" t="n"/>
      <c r="D154" s="7" t="n"/>
      <c r="E154" s="7" t="n"/>
      <c r="F154" s="8" t="n"/>
      <c r="G154" s="7" t="n"/>
      <c r="H154" s="7" t="n"/>
      <c r="I154" s="7">
        <f>IF(C154="","",IFERROR(IF(INDEX(원생!$H$2:$H$501,MATCH(계산!$A154,계산!$E$2:$E$501,0))="예","예",""),""))</f>
        <v/>
      </c>
      <c r="J154" s="7" t="n"/>
    </row>
    <row r="155">
      <c r="A155" s="9" t="n"/>
      <c r="B155" s="7" t="n"/>
      <c r="C155" s="7" t="n"/>
      <c r="D155" s="7" t="n"/>
      <c r="E155" s="7" t="n"/>
      <c r="F155" s="8" t="n"/>
      <c r="G155" s="7" t="n"/>
      <c r="H155" s="7" t="n"/>
      <c r="I155" s="7">
        <f>IF(C155="","",IFERROR(IF(INDEX(원생!$H$2:$H$501,MATCH(계산!$A155,계산!$E$2:$E$501,0))="예","예",""),""))</f>
        <v/>
      </c>
      <c r="J155" s="7" t="n"/>
    </row>
    <row r="156">
      <c r="A156" s="9" t="n"/>
      <c r="B156" s="7" t="n"/>
      <c r="C156" s="7" t="n"/>
      <c r="D156" s="7" t="n"/>
      <c r="E156" s="7" t="n"/>
      <c r="F156" s="8" t="n"/>
      <c r="G156" s="7" t="n"/>
      <c r="H156" s="7" t="n"/>
      <c r="I156" s="7">
        <f>IF(C156="","",IFERROR(IF(INDEX(원생!$H$2:$H$501,MATCH(계산!$A156,계산!$E$2:$E$501,0))="예","예",""),""))</f>
        <v/>
      </c>
      <c r="J156" s="7" t="n"/>
    </row>
    <row r="157">
      <c r="A157" s="9" t="n"/>
      <c r="B157" s="7" t="n"/>
      <c r="C157" s="7" t="n"/>
      <c r="D157" s="7" t="n"/>
      <c r="E157" s="7" t="n"/>
      <c r="F157" s="8" t="n"/>
      <c r="G157" s="7" t="n"/>
      <c r="H157" s="7" t="n"/>
      <c r="I157" s="7">
        <f>IF(C157="","",IFERROR(IF(INDEX(원생!$H$2:$H$501,MATCH(계산!$A157,계산!$E$2:$E$501,0))="예","예",""),""))</f>
        <v/>
      </c>
      <c r="J157" s="7" t="n"/>
    </row>
    <row r="158">
      <c r="A158" s="9" t="n"/>
      <c r="B158" s="7" t="n"/>
      <c r="C158" s="7" t="n"/>
      <c r="D158" s="7" t="n"/>
      <c r="E158" s="7" t="n"/>
      <c r="F158" s="8" t="n"/>
      <c r="G158" s="7" t="n"/>
      <c r="H158" s="7" t="n"/>
      <c r="I158" s="7">
        <f>IF(C158="","",IFERROR(IF(INDEX(원생!$H$2:$H$501,MATCH(계산!$A158,계산!$E$2:$E$501,0))="예","예",""),""))</f>
        <v/>
      </c>
      <c r="J158" s="7" t="n"/>
    </row>
    <row r="159">
      <c r="A159" s="9" t="n"/>
      <c r="B159" s="7" t="n"/>
      <c r="C159" s="7" t="n"/>
      <c r="D159" s="7" t="n"/>
      <c r="E159" s="7" t="n"/>
      <c r="F159" s="8" t="n"/>
      <c r="G159" s="7" t="n"/>
      <c r="H159" s="7" t="n"/>
      <c r="I159" s="7">
        <f>IF(C159="","",IFERROR(IF(INDEX(원생!$H$2:$H$501,MATCH(계산!$A159,계산!$E$2:$E$501,0))="예","예",""),""))</f>
        <v/>
      </c>
      <c r="J159" s="7" t="n"/>
    </row>
    <row r="160">
      <c r="A160" s="9" t="n"/>
      <c r="B160" s="7" t="n"/>
      <c r="C160" s="7" t="n"/>
      <c r="D160" s="7" t="n"/>
      <c r="E160" s="7" t="n"/>
      <c r="F160" s="8" t="n"/>
      <c r="G160" s="7" t="n"/>
      <c r="H160" s="7" t="n"/>
      <c r="I160" s="7">
        <f>IF(C160="","",IFERROR(IF(INDEX(원생!$H$2:$H$501,MATCH(계산!$A160,계산!$E$2:$E$501,0))="예","예",""),""))</f>
        <v/>
      </c>
      <c r="J160" s="7" t="n"/>
    </row>
    <row r="161">
      <c r="A161" s="9" t="n"/>
      <c r="B161" s="7" t="n"/>
      <c r="C161" s="7" t="n"/>
      <c r="D161" s="7" t="n"/>
      <c r="E161" s="7" t="n"/>
      <c r="F161" s="8" t="n"/>
      <c r="G161" s="7" t="n"/>
      <c r="H161" s="7" t="n"/>
      <c r="I161" s="7">
        <f>IF(C161="","",IFERROR(IF(INDEX(원생!$H$2:$H$501,MATCH(계산!$A161,계산!$E$2:$E$501,0))="예","예",""),""))</f>
        <v/>
      </c>
      <c r="J161" s="7" t="n"/>
    </row>
    <row r="162">
      <c r="A162" s="9" t="n"/>
      <c r="B162" s="7" t="n"/>
      <c r="C162" s="7" t="n"/>
      <c r="D162" s="7" t="n"/>
      <c r="E162" s="7" t="n"/>
      <c r="F162" s="8" t="n"/>
      <c r="G162" s="7" t="n"/>
      <c r="H162" s="7" t="n"/>
      <c r="I162" s="7">
        <f>IF(C162="","",IFERROR(IF(INDEX(원생!$H$2:$H$501,MATCH(계산!$A162,계산!$E$2:$E$501,0))="예","예",""),""))</f>
        <v/>
      </c>
      <c r="J162" s="7" t="n"/>
    </row>
    <row r="163">
      <c r="A163" s="9" t="n"/>
      <c r="B163" s="7" t="n"/>
      <c r="C163" s="7" t="n"/>
      <c r="D163" s="7" t="n"/>
      <c r="E163" s="7" t="n"/>
      <c r="F163" s="8" t="n"/>
      <c r="G163" s="7" t="n"/>
      <c r="H163" s="7" t="n"/>
      <c r="I163" s="7">
        <f>IF(C163="","",IFERROR(IF(INDEX(원생!$H$2:$H$501,MATCH(계산!$A163,계산!$E$2:$E$501,0))="예","예",""),""))</f>
        <v/>
      </c>
      <c r="J163" s="7" t="n"/>
    </row>
    <row r="164">
      <c r="A164" s="9" t="n"/>
      <c r="B164" s="7" t="n"/>
      <c r="C164" s="7" t="n"/>
      <c r="D164" s="7" t="n"/>
      <c r="E164" s="7" t="n"/>
      <c r="F164" s="8" t="n"/>
      <c r="G164" s="7" t="n"/>
      <c r="H164" s="7" t="n"/>
      <c r="I164" s="7">
        <f>IF(C164="","",IFERROR(IF(INDEX(원생!$H$2:$H$501,MATCH(계산!$A164,계산!$E$2:$E$501,0))="예","예",""),""))</f>
        <v/>
      </c>
      <c r="J164" s="7" t="n"/>
    </row>
    <row r="165">
      <c r="A165" s="9" t="n"/>
      <c r="B165" s="7" t="n"/>
      <c r="C165" s="7" t="n"/>
      <c r="D165" s="7" t="n"/>
      <c r="E165" s="7" t="n"/>
      <c r="F165" s="8" t="n"/>
      <c r="G165" s="7" t="n"/>
      <c r="H165" s="7" t="n"/>
      <c r="I165" s="7">
        <f>IF(C165="","",IFERROR(IF(INDEX(원생!$H$2:$H$501,MATCH(계산!$A165,계산!$E$2:$E$501,0))="예","예",""),""))</f>
        <v/>
      </c>
      <c r="J165" s="7" t="n"/>
    </row>
    <row r="166">
      <c r="A166" s="9" t="n"/>
      <c r="B166" s="7" t="n"/>
      <c r="C166" s="7" t="n"/>
      <c r="D166" s="7" t="n"/>
      <c r="E166" s="7" t="n"/>
      <c r="F166" s="8" t="n"/>
      <c r="G166" s="7" t="n"/>
      <c r="H166" s="7" t="n"/>
      <c r="I166" s="7">
        <f>IF(C166="","",IFERROR(IF(INDEX(원생!$H$2:$H$501,MATCH(계산!$A166,계산!$E$2:$E$501,0))="예","예",""),""))</f>
        <v/>
      </c>
      <c r="J166" s="7" t="n"/>
    </row>
    <row r="167">
      <c r="A167" s="9" t="n"/>
      <c r="B167" s="7" t="n"/>
      <c r="C167" s="7" t="n"/>
      <c r="D167" s="7" t="n"/>
      <c r="E167" s="7" t="n"/>
      <c r="F167" s="8" t="n"/>
      <c r="G167" s="7" t="n"/>
      <c r="H167" s="7" t="n"/>
      <c r="I167" s="7">
        <f>IF(C167="","",IFERROR(IF(INDEX(원생!$H$2:$H$501,MATCH(계산!$A167,계산!$E$2:$E$501,0))="예","예",""),""))</f>
        <v/>
      </c>
      <c r="J167" s="7" t="n"/>
    </row>
    <row r="168">
      <c r="A168" s="9" t="n"/>
      <c r="B168" s="7" t="n"/>
      <c r="C168" s="7" t="n"/>
      <c r="D168" s="7" t="n"/>
      <c r="E168" s="7" t="n"/>
      <c r="F168" s="8" t="n"/>
      <c r="G168" s="7" t="n"/>
      <c r="H168" s="7" t="n"/>
      <c r="I168" s="7">
        <f>IF(C168="","",IFERROR(IF(INDEX(원생!$H$2:$H$501,MATCH(계산!$A168,계산!$E$2:$E$501,0))="예","예",""),""))</f>
        <v/>
      </c>
      <c r="J168" s="7" t="n"/>
    </row>
    <row r="169">
      <c r="A169" s="9" t="n"/>
      <c r="B169" s="7" t="n"/>
      <c r="C169" s="7" t="n"/>
      <c r="D169" s="7" t="n"/>
      <c r="E169" s="7" t="n"/>
      <c r="F169" s="8" t="n"/>
      <c r="G169" s="7" t="n"/>
      <c r="H169" s="7" t="n"/>
      <c r="I169" s="7">
        <f>IF(C169="","",IFERROR(IF(INDEX(원생!$H$2:$H$501,MATCH(계산!$A169,계산!$E$2:$E$501,0))="예","예",""),""))</f>
        <v/>
      </c>
      <c r="J169" s="7" t="n"/>
    </row>
    <row r="170">
      <c r="A170" s="9" t="n"/>
      <c r="B170" s="7" t="n"/>
      <c r="C170" s="7" t="n"/>
      <c r="D170" s="7" t="n"/>
      <c r="E170" s="7" t="n"/>
      <c r="F170" s="8" t="n"/>
      <c r="G170" s="7" t="n"/>
      <c r="H170" s="7" t="n"/>
      <c r="I170" s="7">
        <f>IF(C170="","",IFERROR(IF(INDEX(원생!$H$2:$H$501,MATCH(계산!$A170,계산!$E$2:$E$501,0))="예","예",""),""))</f>
        <v/>
      </c>
      <c r="J170" s="7" t="n"/>
    </row>
    <row r="171">
      <c r="A171" s="9" t="n"/>
      <c r="B171" s="7" t="n"/>
      <c r="C171" s="7" t="n"/>
      <c r="D171" s="7" t="n"/>
      <c r="E171" s="7" t="n"/>
      <c r="F171" s="8" t="n"/>
      <c r="G171" s="7" t="n"/>
      <c r="H171" s="7" t="n"/>
      <c r="I171" s="7">
        <f>IF(C171="","",IFERROR(IF(INDEX(원생!$H$2:$H$501,MATCH(계산!$A171,계산!$E$2:$E$501,0))="예","예",""),""))</f>
        <v/>
      </c>
      <c r="J171" s="7" t="n"/>
    </row>
    <row r="172">
      <c r="A172" s="9" t="n"/>
      <c r="B172" s="7" t="n"/>
      <c r="C172" s="7" t="n"/>
      <c r="D172" s="7" t="n"/>
      <c r="E172" s="7" t="n"/>
      <c r="F172" s="8" t="n"/>
      <c r="G172" s="7" t="n"/>
      <c r="H172" s="7" t="n"/>
      <c r="I172" s="7">
        <f>IF(C172="","",IFERROR(IF(INDEX(원생!$H$2:$H$501,MATCH(계산!$A172,계산!$E$2:$E$501,0))="예","예",""),""))</f>
        <v/>
      </c>
      <c r="J172" s="7" t="n"/>
    </row>
    <row r="173">
      <c r="A173" s="9" t="n"/>
      <c r="B173" s="7" t="n"/>
      <c r="C173" s="7" t="n"/>
      <c r="D173" s="7" t="n"/>
      <c r="E173" s="7" t="n"/>
      <c r="F173" s="8" t="n"/>
      <c r="G173" s="7" t="n"/>
      <c r="H173" s="7" t="n"/>
      <c r="I173" s="7">
        <f>IF(C173="","",IFERROR(IF(INDEX(원생!$H$2:$H$501,MATCH(계산!$A173,계산!$E$2:$E$501,0))="예","예",""),""))</f>
        <v/>
      </c>
      <c r="J173" s="7" t="n"/>
    </row>
    <row r="174">
      <c r="A174" s="9" t="n"/>
      <c r="B174" s="7" t="n"/>
      <c r="C174" s="7" t="n"/>
      <c r="D174" s="7" t="n"/>
      <c r="E174" s="7" t="n"/>
      <c r="F174" s="8" t="n"/>
      <c r="G174" s="7" t="n"/>
      <c r="H174" s="7" t="n"/>
      <c r="I174" s="7">
        <f>IF(C174="","",IFERROR(IF(INDEX(원생!$H$2:$H$501,MATCH(계산!$A174,계산!$E$2:$E$501,0))="예","예",""),""))</f>
        <v/>
      </c>
      <c r="J174" s="7" t="n"/>
    </row>
    <row r="175">
      <c r="A175" s="9" t="n"/>
      <c r="B175" s="7" t="n"/>
      <c r="C175" s="7" t="n"/>
      <c r="D175" s="7" t="n"/>
      <c r="E175" s="7" t="n"/>
      <c r="F175" s="8" t="n"/>
      <c r="G175" s="7" t="n"/>
      <c r="H175" s="7" t="n"/>
      <c r="I175" s="7">
        <f>IF(C175="","",IFERROR(IF(INDEX(원생!$H$2:$H$501,MATCH(계산!$A175,계산!$E$2:$E$501,0))="예","예",""),""))</f>
        <v/>
      </c>
      <c r="J175" s="7" t="n"/>
    </row>
    <row r="176">
      <c r="A176" s="9" t="n"/>
      <c r="B176" s="7" t="n"/>
      <c r="C176" s="7" t="n"/>
      <c r="D176" s="7" t="n"/>
      <c r="E176" s="7" t="n"/>
      <c r="F176" s="8" t="n"/>
      <c r="G176" s="7" t="n"/>
      <c r="H176" s="7" t="n"/>
      <c r="I176" s="7">
        <f>IF(C176="","",IFERROR(IF(INDEX(원생!$H$2:$H$501,MATCH(계산!$A176,계산!$E$2:$E$501,0))="예","예",""),""))</f>
        <v/>
      </c>
      <c r="J176" s="7" t="n"/>
    </row>
    <row r="177">
      <c r="A177" s="9" t="n"/>
      <c r="B177" s="7" t="n"/>
      <c r="C177" s="7" t="n"/>
      <c r="D177" s="7" t="n"/>
      <c r="E177" s="7" t="n"/>
      <c r="F177" s="8" t="n"/>
      <c r="G177" s="7" t="n"/>
      <c r="H177" s="7" t="n"/>
      <c r="I177" s="7">
        <f>IF(C177="","",IFERROR(IF(INDEX(원생!$H$2:$H$501,MATCH(계산!$A177,계산!$E$2:$E$501,0))="예","예",""),""))</f>
        <v/>
      </c>
      <c r="J177" s="7" t="n"/>
    </row>
    <row r="178">
      <c r="A178" s="9" t="n"/>
      <c r="B178" s="7" t="n"/>
      <c r="C178" s="7" t="n"/>
      <c r="D178" s="7" t="n"/>
      <c r="E178" s="7" t="n"/>
      <c r="F178" s="8" t="n"/>
      <c r="G178" s="7" t="n"/>
      <c r="H178" s="7" t="n"/>
      <c r="I178" s="7">
        <f>IF(C178="","",IFERROR(IF(INDEX(원생!$H$2:$H$501,MATCH(계산!$A178,계산!$E$2:$E$501,0))="예","예",""),""))</f>
        <v/>
      </c>
      <c r="J178" s="7" t="n"/>
    </row>
    <row r="179">
      <c r="A179" s="9" t="n"/>
      <c r="B179" s="7" t="n"/>
      <c r="C179" s="7" t="n"/>
      <c r="D179" s="7" t="n"/>
      <c r="E179" s="7" t="n"/>
      <c r="F179" s="8" t="n"/>
      <c r="G179" s="7" t="n"/>
      <c r="H179" s="7" t="n"/>
      <c r="I179" s="7">
        <f>IF(C179="","",IFERROR(IF(INDEX(원생!$H$2:$H$501,MATCH(계산!$A179,계산!$E$2:$E$501,0))="예","예",""),""))</f>
        <v/>
      </c>
      <c r="J179" s="7" t="n"/>
    </row>
    <row r="180">
      <c r="A180" s="9" t="n"/>
      <c r="B180" s="7" t="n"/>
      <c r="C180" s="7" t="n"/>
      <c r="D180" s="7" t="n"/>
      <c r="E180" s="7" t="n"/>
      <c r="F180" s="8" t="n"/>
      <c r="G180" s="7" t="n"/>
      <c r="H180" s="7" t="n"/>
      <c r="I180" s="7">
        <f>IF(C180="","",IFERROR(IF(INDEX(원생!$H$2:$H$501,MATCH(계산!$A180,계산!$E$2:$E$501,0))="예","예",""),""))</f>
        <v/>
      </c>
      <c r="J180" s="7" t="n"/>
    </row>
    <row r="181">
      <c r="A181" s="9" t="n"/>
      <c r="B181" s="7" t="n"/>
      <c r="C181" s="7" t="n"/>
      <c r="D181" s="7" t="n"/>
      <c r="E181" s="7" t="n"/>
      <c r="F181" s="8" t="n"/>
      <c r="G181" s="7" t="n"/>
      <c r="H181" s="7" t="n"/>
      <c r="I181" s="7">
        <f>IF(C181="","",IFERROR(IF(INDEX(원생!$H$2:$H$501,MATCH(계산!$A181,계산!$E$2:$E$501,0))="예","예",""),""))</f>
        <v/>
      </c>
      <c r="J181" s="7" t="n"/>
    </row>
    <row r="182">
      <c r="A182" s="9" t="n"/>
      <c r="B182" s="7" t="n"/>
      <c r="C182" s="7" t="n"/>
      <c r="D182" s="7" t="n"/>
      <c r="E182" s="7" t="n"/>
      <c r="F182" s="8" t="n"/>
      <c r="G182" s="7" t="n"/>
      <c r="H182" s="7" t="n"/>
      <c r="I182" s="7">
        <f>IF(C182="","",IFERROR(IF(INDEX(원생!$H$2:$H$501,MATCH(계산!$A182,계산!$E$2:$E$501,0))="예","예",""),""))</f>
        <v/>
      </c>
      <c r="J182" s="7" t="n"/>
    </row>
    <row r="183">
      <c r="A183" s="9" t="n"/>
      <c r="B183" s="7" t="n"/>
      <c r="C183" s="7" t="n"/>
      <c r="D183" s="7" t="n"/>
      <c r="E183" s="7" t="n"/>
      <c r="F183" s="8" t="n"/>
      <c r="G183" s="7" t="n"/>
      <c r="H183" s="7" t="n"/>
      <c r="I183" s="7">
        <f>IF(C183="","",IFERROR(IF(INDEX(원생!$H$2:$H$501,MATCH(계산!$A183,계산!$E$2:$E$501,0))="예","예",""),""))</f>
        <v/>
      </c>
      <c r="J183" s="7" t="n"/>
    </row>
    <row r="184">
      <c r="A184" s="9" t="n"/>
      <c r="B184" s="7" t="n"/>
      <c r="C184" s="7" t="n"/>
      <c r="D184" s="7" t="n"/>
      <c r="E184" s="7" t="n"/>
      <c r="F184" s="8" t="n"/>
      <c r="G184" s="7" t="n"/>
      <c r="H184" s="7" t="n"/>
      <c r="I184" s="7">
        <f>IF(C184="","",IFERROR(IF(INDEX(원생!$H$2:$H$501,MATCH(계산!$A184,계산!$E$2:$E$501,0))="예","예",""),""))</f>
        <v/>
      </c>
      <c r="J184" s="7" t="n"/>
    </row>
    <row r="185">
      <c r="A185" s="9" t="n"/>
      <c r="B185" s="7" t="n"/>
      <c r="C185" s="7" t="n"/>
      <c r="D185" s="7" t="n"/>
      <c r="E185" s="7" t="n"/>
      <c r="F185" s="8" t="n"/>
      <c r="G185" s="7" t="n"/>
      <c r="H185" s="7" t="n"/>
      <c r="I185" s="7">
        <f>IF(C185="","",IFERROR(IF(INDEX(원생!$H$2:$H$501,MATCH(계산!$A185,계산!$E$2:$E$501,0))="예","예",""),""))</f>
        <v/>
      </c>
      <c r="J185" s="7" t="n"/>
    </row>
    <row r="186">
      <c r="A186" s="9" t="n"/>
      <c r="B186" s="7" t="n"/>
      <c r="C186" s="7" t="n"/>
      <c r="D186" s="7" t="n"/>
      <c r="E186" s="7" t="n"/>
      <c r="F186" s="8" t="n"/>
      <c r="G186" s="7" t="n"/>
      <c r="H186" s="7" t="n"/>
      <c r="I186" s="7">
        <f>IF(C186="","",IFERROR(IF(INDEX(원생!$H$2:$H$501,MATCH(계산!$A186,계산!$E$2:$E$501,0))="예","예",""),""))</f>
        <v/>
      </c>
      <c r="J186" s="7" t="n"/>
    </row>
    <row r="187">
      <c r="A187" s="9" t="n"/>
      <c r="B187" s="7" t="n"/>
      <c r="C187" s="7" t="n"/>
      <c r="D187" s="7" t="n"/>
      <c r="E187" s="7" t="n"/>
      <c r="F187" s="8" t="n"/>
      <c r="G187" s="7" t="n"/>
      <c r="H187" s="7" t="n"/>
      <c r="I187" s="7">
        <f>IF(C187="","",IFERROR(IF(INDEX(원생!$H$2:$H$501,MATCH(계산!$A187,계산!$E$2:$E$501,0))="예","예",""),""))</f>
        <v/>
      </c>
      <c r="J187" s="7" t="n"/>
    </row>
    <row r="188">
      <c r="A188" s="9" t="n"/>
      <c r="B188" s="7" t="n"/>
      <c r="C188" s="7" t="n"/>
      <c r="D188" s="7" t="n"/>
      <c r="E188" s="7" t="n"/>
      <c r="F188" s="8" t="n"/>
      <c r="G188" s="7" t="n"/>
      <c r="H188" s="7" t="n"/>
      <c r="I188" s="7">
        <f>IF(C188="","",IFERROR(IF(INDEX(원생!$H$2:$H$501,MATCH(계산!$A188,계산!$E$2:$E$501,0))="예","예",""),""))</f>
        <v/>
      </c>
      <c r="J188" s="7" t="n"/>
    </row>
    <row r="189">
      <c r="A189" s="9" t="n"/>
      <c r="B189" s="7" t="n"/>
      <c r="C189" s="7" t="n"/>
      <c r="D189" s="7" t="n"/>
      <c r="E189" s="7" t="n"/>
      <c r="F189" s="8" t="n"/>
      <c r="G189" s="7" t="n"/>
      <c r="H189" s="7" t="n"/>
      <c r="I189" s="7">
        <f>IF(C189="","",IFERROR(IF(INDEX(원생!$H$2:$H$501,MATCH(계산!$A189,계산!$E$2:$E$501,0))="예","예",""),""))</f>
        <v/>
      </c>
      <c r="J189" s="7" t="n"/>
    </row>
    <row r="190">
      <c r="A190" s="9" t="n"/>
      <c r="B190" s="7" t="n"/>
      <c r="C190" s="7" t="n"/>
      <c r="D190" s="7" t="n"/>
      <c r="E190" s="7" t="n"/>
      <c r="F190" s="8" t="n"/>
      <c r="G190" s="7" t="n"/>
      <c r="H190" s="7" t="n"/>
      <c r="I190" s="7">
        <f>IF(C190="","",IFERROR(IF(INDEX(원생!$H$2:$H$501,MATCH(계산!$A190,계산!$E$2:$E$501,0))="예","예",""),""))</f>
        <v/>
      </c>
      <c r="J190" s="7" t="n"/>
    </row>
    <row r="191">
      <c r="A191" s="9" t="n"/>
      <c r="B191" s="7" t="n"/>
      <c r="C191" s="7" t="n"/>
      <c r="D191" s="7" t="n"/>
      <c r="E191" s="7" t="n"/>
      <c r="F191" s="8" t="n"/>
      <c r="G191" s="7" t="n"/>
      <c r="H191" s="7" t="n"/>
      <c r="I191" s="7">
        <f>IF(C191="","",IFERROR(IF(INDEX(원생!$H$2:$H$501,MATCH(계산!$A191,계산!$E$2:$E$501,0))="예","예",""),""))</f>
        <v/>
      </c>
      <c r="J191" s="7" t="n"/>
    </row>
    <row r="192">
      <c r="A192" s="9" t="n"/>
      <c r="B192" s="7" t="n"/>
      <c r="C192" s="7" t="n"/>
      <c r="D192" s="7" t="n"/>
      <c r="E192" s="7" t="n"/>
      <c r="F192" s="8" t="n"/>
      <c r="G192" s="7" t="n"/>
      <c r="H192" s="7" t="n"/>
      <c r="I192" s="7">
        <f>IF(C192="","",IFERROR(IF(INDEX(원생!$H$2:$H$501,MATCH(계산!$A192,계산!$E$2:$E$501,0))="예","예",""),""))</f>
        <v/>
      </c>
      <c r="J192" s="7" t="n"/>
    </row>
    <row r="193">
      <c r="A193" s="9" t="n"/>
      <c r="B193" s="7" t="n"/>
      <c r="C193" s="7" t="n"/>
      <c r="D193" s="7" t="n"/>
      <c r="E193" s="7" t="n"/>
      <c r="F193" s="8" t="n"/>
      <c r="G193" s="7" t="n"/>
      <c r="H193" s="7" t="n"/>
      <c r="I193" s="7">
        <f>IF(C193="","",IFERROR(IF(INDEX(원생!$H$2:$H$501,MATCH(계산!$A193,계산!$E$2:$E$501,0))="예","예",""),""))</f>
        <v/>
      </c>
      <c r="J193" s="7" t="n"/>
    </row>
    <row r="194">
      <c r="A194" s="9" t="n"/>
      <c r="B194" s="7" t="n"/>
      <c r="C194" s="7" t="n"/>
      <c r="D194" s="7" t="n"/>
      <c r="E194" s="7" t="n"/>
      <c r="F194" s="8" t="n"/>
      <c r="G194" s="7" t="n"/>
      <c r="H194" s="7" t="n"/>
      <c r="I194" s="7">
        <f>IF(C194="","",IFERROR(IF(INDEX(원생!$H$2:$H$501,MATCH(계산!$A194,계산!$E$2:$E$501,0))="예","예",""),""))</f>
        <v/>
      </c>
      <c r="J194" s="7" t="n"/>
    </row>
    <row r="195">
      <c r="A195" s="9" t="n"/>
      <c r="B195" s="7" t="n"/>
      <c r="C195" s="7" t="n"/>
      <c r="D195" s="7" t="n"/>
      <c r="E195" s="7" t="n"/>
      <c r="F195" s="8" t="n"/>
      <c r="G195" s="7" t="n"/>
      <c r="H195" s="7" t="n"/>
      <c r="I195" s="7">
        <f>IF(C195="","",IFERROR(IF(INDEX(원생!$H$2:$H$501,MATCH(계산!$A195,계산!$E$2:$E$501,0))="예","예",""),""))</f>
        <v/>
      </c>
      <c r="J195" s="7" t="n"/>
    </row>
    <row r="196">
      <c r="A196" s="9" t="n"/>
      <c r="B196" s="7" t="n"/>
      <c r="C196" s="7" t="n"/>
      <c r="D196" s="7" t="n"/>
      <c r="E196" s="7" t="n"/>
      <c r="F196" s="8" t="n"/>
      <c r="G196" s="7" t="n"/>
      <c r="H196" s="7" t="n"/>
      <c r="I196" s="7">
        <f>IF(C196="","",IFERROR(IF(INDEX(원생!$H$2:$H$501,MATCH(계산!$A196,계산!$E$2:$E$501,0))="예","예",""),""))</f>
        <v/>
      </c>
      <c r="J196" s="7" t="n"/>
    </row>
    <row r="197">
      <c r="A197" s="9" t="n"/>
      <c r="B197" s="7" t="n"/>
      <c r="C197" s="7" t="n"/>
      <c r="D197" s="7" t="n"/>
      <c r="E197" s="7" t="n"/>
      <c r="F197" s="8" t="n"/>
      <c r="G197" s="7" t="n"/>
      <c r="H197" s="7" t="n"/>
      <c r="I197" s="7">
        <f>IF(C197="","",IFERROR(IF(INDEX(원생!$H$2:$H$501,MATCH(계산!$A197,계산!$E$2:$E$501,0))="예","예",""),""))</f>
        <v/>
      </c>
      <c r="J197" s="7" t="n"/>
    </row>
    <row r="198">
      <c r="A198" s="9" t="n"/>
      <c r="B198" s="7" t="n"/>
      <c r="C198" s="7" t="n"/>
      <c r="D198" s="7" t="n"/>
      <c r="E198" s="7" t="n"/>
      <c r="F198" s="8" t="n"/>
      <c r="G198" s="7" t="n"/>
      <c r="H198" s="7" t="n"/>
      <c r="I198" s="7">
        <f>IF(C198="","",IFERROR(IF(INDEX(원생!$H$2:$H$501,MATCH(계산!$A198,계산!$E$2:$E$501,0))="예","예",""),""))</f>
        <v/>
      </c>
      <c r="J198" s="7" t="n"/>
    </row>
    <row r="199">
      <c r="A199" s="9" t="n"/>
      <c r="B199" s="7" t="n"/>
      <c r="C199" s="7" t="n"/>
      <c r="D199" s="7" t="n"/>
      <c r="E199" s="7" t="n"/>
      <c r="F199" s="8" t="n"/>
      <c r="G199" s="7" t="n"/>
      <c r="H199" s="7" t="n"/>
      <c r="I199" s="7">
        <f>IF(C199="","",IFERROR(IF(INDEX(원생!$H$2:$H$501,MATCH(계산!$A199,계산!$E$2:$E$501,0))="예","예",""),""))</f>
        <v/>
      </c>
      <c r="J199" s="7" t="n"/>
    </row>
    <row r="200">
      <c r="A200" s="9" t="n"/>
      <c r="B200" s="7" t="n"/>
      <c r="C200" s="7" t="n"/>
      <c r="D200" s="7" t="n"/>
      <c r="E200" s="7" t="n"/>
      <c r="F200" s="8" t="n"/>
      <c r="G200" s="7" t="n"/>
      <c r="H200" s="7" t="n"/>
      <c r="I200" s="7">
        <f>IF(C200="","",IFERROR(IF(INDEX(원생!$H$2:$H$501,MATCH(계산!$A200,계산!$E$2:$E$501,0))="예","예",""),""))</f>
        <v/>
      </c>
      <c r="J200" s="7" t="n"/>
    </row>
    <row r="201">
      <c r="A201" s="9" t="n"/>
      <c r="B201" s="7" t="n"/>
      <c r="C201" s="7" t="n"/>
      <c r="D201" s="7" t="n"/>
      <c r="E201" s="7" t="n"/>
      <c r="F201" s="8" t="n"/>
      <c r="G201" s="7" t="n"/>
      <c r="H201" s="7" t="n"/>
      <c r="I201" s="7">
        <f>IF(C201="","",IFERROR(IF(INDEX(원생!$H$2:$H$501,MATCH(계산!$A201,계산!$E$2:$E$501,0))="예","예",""),""))</f>
        <v/>
      </c>
      <c r="J201" s="7" t="n"/>
    </row>
    <row r="202">
      <c r="A202" s="9" t="n"/>
      <c r="B202" s="7" t="n"/>
      <c r="C202" s="7" t="n"/>
      <c r="D202" s="7" t="n"/>
      <c r="E202" s="7" t="n"/>
      <c r="F202" s="8" t="n"/>
      <c r="G202" s="7" t="n"/>
      <c r="H202" s="7" t="n"/>
      <c r="I202" s="7">
        <f>IF(C202="","",IFERROR(IF(INDEX(원생!$H$2:$H$501,MATCH(계산!$A202,계산!$E$2:$E$501,0))="예","예",""),""))</f>
        <v/>
      </c>
      <c r="J202" s="7" t="n"/>
    </row>
    <row r="203">
      <c r="A203" s="9" t="n"/>
      <c r="B203" s="7" t="n"/>
      <c r="C203" s="7" t="n"/>
      <c r="D203" s="7" t="n"/>
      <c r="E203" s="7" t="n"/>
      <c r="F203" s="8" t="n"/>
      <c r="G203" s="7" t="n"/>
      <c r="H203" s="7" t="n"/>
      <c r="I203" s="7">
        <f>IF(C203="","",IFERROR(IF(INDEX(원생!$H$2:$H$501,MATCH(계산!$A203,계산!$E$2:$E$501,0))="예","예",""),""))</f>
        <v/>
      </c>
      <c r="J203" s="7" t="n"/>
    </row>
    <row r="204">
      <c r="A204" s="9" t="n"/>
      <c r="B204" s="7" t="n"/>
      <c r="C204" s="7" t="n"/>
      <c r="D204" s="7" t="n"/>
      <c r="E204" s="7" t="n"/>
      <c r="F204" s="8" t="n"/>
      <c r="G204" s="7" t="n"/>
      <c r="H204" s="7" t="n"/>
      <c r="I204" s="7">
        <f>IF(C204="","",IFERROR(IF(INDEX(원생!$H$2:$H$501,MATCH(계산!$A204,계산!$E$2:$E$501,0))="예","예",""),""))</f>
        <v/>
      </c>
      <c r="J204" s="7" t="n"/>
    </row>
    <row r="205">
      <c r="A205" s="9" t="n"/>
      <c r="B205" s="7" t="n"/>
      <c r="C205" s="7" t="n"/>
      <c r="D205" s="7" t="n"/>
      <c r="E205" s="7" t="n"/>
      <c r="F205" s="8" t="n"/>
      <c r="G205" s="7" t="n"/>
      <c r="H205" s="7" t="n"/>
      <c r="I205" s="7">
        <f>IF(C205="","",IFERROR(IF(INDEX(원생!$H$2:$H$501,MATCH(계산!$A205,계산!$E$2:$E$501,0))="예","예",""),""))</f>
        <v/>
      </c>
      <c r="J205" s="7" t="n"/>
    </row>
    <row r="206">
      <c r="A206" s="9" t="n"/>
      <c r="B206" s="7" t="n"/>
      <c r="C206" s="7" t="n"/>
      <c r="D206" s="7" t="n"/>
      <c r="E206" s="7" t="n"/>
      <c r="F206" s="8" t="n"/>
      <c r="G206" s="7" t="n"/>
      <c r="H206" s="7" t="n"/>
      <c r="I206" s="7">
        <f>IF(C206="","",IFERROR(IF(INDEX(원생!$H$2:$H$501,MATCH(계산!$A206,계산!$E$2:$E$501,0))="예","예",""),""))</f>
        <v/>
      </c>
      <c r="J206" s="7" t="n"/>
    </row>
    <row r="207">
      <c r="A207" s="9" t="n"/>
      <c r="B207" s="7" t="n"/>
      <c r="C207" s="7" t="n"/>
      <c r="D207" s="7" t="n"/>
      <c r="E207" s="7" t="n"/>
      <c r="F207" s="8" t="n"/>
      <c r="G207" s="7" t="n"/>
      <c r="H207" s="7" t="n"/>
      <c r="I207" s="7">
        <f>IF(C207="","",IFERROR(IF(INDEX(원생!$H$2:$H$501,MATCH(계산!$A207,계산!$E$2:$E$501,0))="예","예",""),""))</f>
        <v/>
      </c>
      <c r="J207" s="7" t="n"/>
    </row>
    <row r="208">
      <c r="A208" s="9" t="n"/>
      <c r="B208" s="7" t="n"/>
      <c r="C208" s="7" t="n"/>
      <c r="D208" s="7" t="n"/>
      <c r="E208" s="7" t="n"/>
      <c r="F208" s="8" t="n"/>
      <c r="G208" s="7" t="n"/>
      <c r="H208" s="7" t="n"/>
      <c r="I208" s="7">
        <f>IF(C208="","",IFERROR(IF(INDEX(원생!$H$2:$H$501,MATCH(계산!$A208,계산!$E$2:$E$501,0))="예","예",""),""))</f>
        <v/>
      </c>
      <c r="J208" s="7" t="n"/>
    </row>
    <row r="209">
      <c r="A209" s="9" t="n"/>
      <c r="B209" s="7" t="n"/>
      <c r="C209" s="7" t="n"/>
      <c r="D209" s="7" t="n"/>
      <c r="E209" s="7" t="n"/>
      <c r="F209" s="8" t="n"/>
      <c r="G209" s="7" t="n"/>
      <c r="H209" s="7" t="n"/>
      <c r="I209" s="7">
        <f>IF(C209="","",IFERROR(IF(INDEX(원생!$H$2:$H$501,MATCH(계산!$A209,계산!$E$2:$E$501,0))="예","예",""),""))</f>
        <v/>
      </c>
      <c r="J209" s="7" t="n"/>
    </row>
    <row r="210">
      <c r="A210" s="9" t="n"/>
      <c r="B210" s="7" t="n"/>
      <c r="C210" s="7" t="n"/>
      <c r="D210" s="7" t="n"/>
      <c r="E210" s="7" t="n"/>
      <c r="F210" s="8" t="n"/>
      <c r="G210" s="7" t="n"/>
      <c r="H210" s="7" t="n"/>
      <c r="I210" s="7">
        <f>IF(C210="","",IFERROR(IF(INDEX(원생!$H$2:$H$501,MATCH(계산!$A210,계산!$E$2:$E$501,0))="예","예",""),""))</f>
        <v/>
      </c>
      <c r="J210" s="7" t="n"/>
    </row>
    <row r="211">
      <c r="A211" s="9" t="n"/>
      <c r="B211" s="7" t="n"/>
      <c r="C211" s="7" t="n"/>
      <c r="D211" s="7" t="n"/>
      <c r="E211" s="7" t="n"/>
      <c r="F211" s="8" t="n"/>
      <c r="G211" s="7" t="n"/>
      <c r="H211" s="7" t="n"/>
      <c r="I211" s="7">
        <f>IF(C211="","",IFERROR(IF(INDEX(원생!$H$2:$H$501,MATCH(계산!$A211,계산!$E$2:$E$501,0))="예","예",""),""))</f>
        <v/>
      </c>
      <c r="J211" s="7" t="n"/>
    </row>
    <row r="212">
      <c r="A212" s="9" t="n"/>
      <c r="B212" s="7" t="n"/>
      <c r="C212" s="7" t="n"/>
      <c r="D212" s="7" t="n"/>
      <c r="E212" s="7" t="n"/>
      <c r="F212" s="8" t="n"/>
      <c r="G212" s="7" t="n"/>
      <c r="H212" s="7" t="n"/>
      <c r="I212" s="7">
        <f>IF(C212="","",IFERROR(IF(INDEX(원생!$H$2:$H$501,MATCH(계산!$A212,계산!$E$2:$E$501,0))="예","예",""),""))</f>
        <v/>
      </c>
      <c r="J212" s="7" t="n"/>
    </row>
    <row r="213">
      <c r="A213" s="9" t="n"/>
      <c r="B213" s="7" t="n"/>
      <c r="C213" s="7" t="n"/>
      <c r="D213" s="7" t="n"/>
      <c r="E213" s="7" t="n"/>
      <c r="F213" s="8" t="n"/>
      <c r="G213" s="7" t="n"/>
      <c r="H213" s="7" t="n"/>
      <c r="I213" s="7">
        <f>IF(C213="","",IFERROR(IF(INDEX(원생!$H$2:$H$501,MATCH(계산!$A213,계산!$E$2:$E$501,0))="예","예",""),""))</f>
        <v/>
      </c>
      <c r="J213" s="7" t="n"/>
    </row>
    <row r="214">
      <c r="A214" s="9" t="n"/>
      <c r="B214" s="7" t="n"/>
      <c r="C214" s="7" t="n"/>
      <c r="D214" s="7" t="n"/>
      <c r="E214" s="7" t="n"/>
      <c r="F214" s="8" t="n"/>
      <c r="G214" s="7" t="n"/>
      <c r="H214" s="7" t="n"/>
      <c r="I214" s="7">
        <f>IF(C214="","",IFERROR(IF(INDEX(원생!$H$2:$H$501,MATCH(계산!$A214,계산!$E$2:$E$501,0))="예","예",""),""))</f>
        <v/>
      </c>
      <c r="J214" s="7" t="n"/>
    </row>
    <row r="215">
      <c r="A215" s="9" t="n"/>
      <c r="B215" s="7" t="n"/>
      <c r="C215" s="7" t="n"/>
      <c r="D215" s="7" t="n"/>
      <c r="E215" s="7" t="n"/>
      <c r="F215" s="8" t="n"/>
      <c r="G215" s="7" t="n"/>
      <c r="H215" s="7" t="n"/>
      <c r="I215" s="7">
        <f>IF(C215="","",IFERROR(IF(INDEX(원생!$H$2:$H$501,MATCH(계산!$A215,계산!$E$2:$E$501,0))="예","예",""),""))</f>
        <v/>
      </c>
      <c r="J215" s="7" t="n"/>
    </row>
    <row r="216">
      <c r="A216" s="9" t="n"/>
      <c r="B216" s="7" t="n"/>
      <c r="C216" s="7" t="n"/>
      <c r="D216" s="7" t="n"/>
      <c r="E216" s="7" t="n"/>
      <c r="F216" s="8" t="n"/>
      <c r="G216" s="7" t="n"/>
      <c r="H216" s="7" t="n"/>
      <c r="I216" s="7">
        <f>IF(C216="","",IFERROR(IF(INDEX(원생!$H$2:$H$501,MATCH(계산!$A216,계산!$E$2:$E$501,0))="예","예",""),""))</f>
        <v/>
      </c>
      <c r="J216" s="7" t="n"/>
    </row>
    <row r="217">
      <c r="A217" s="9" t="n"/>
      <c r="B217" s="7" t="n"/>
      <c r="C217" s="7" t="n"/>
      <c r="D217" s="7" t="n"/>
      <c r="E217" s="7" t="n"/>
      <c r="F217" s="8" t="n"/>
      <c r="G217" s="7" t="n"/>
      <c r="H217" s="7" t="n"/>
      <c r="I217" s="7">
        <f>IF(C217="","",IFERROR(IF(INDEX(원생!$H$2:$H$501,MATCH(계산!$A217,계산!$E$2:$E$501,0))="예","예",""),""))</f>
        <v/>
      </c>
      <c r="J217" s="7" t="n"/>
    </row>
    <row r="218">
      <c r="A218" s="9" t="n"/>
      <c r="B218" s="7" t="n"/>
      <c r="C218" s="7" t="n"/>
      <c r="D218" s="7" t="n"/>
      <c r="E218" s="7" t="n"/>
      <c r="F218" s="8" t="n"/>
      <c r="G218" s="7" t="n"/>
      <c r="H218" s="7" t="n"/>
      <c r="I218" s="7">
        <f>IF(C218="","",IFERROR(IF(INDEX(원생!$H$2:$H$501,MATCH(계산!$A218,계산!$E$2:$E$501,0))="예","예",""),""))</f>
        <v/>
      </c>
      <c r="J218" s="7" t="n"/>
    </row>
    <row r="219">
      <c r="A219" s="9" t="n"/>
      <c r="B219" s="7" t="n"/>
      <c r="C219" s="7" t="n"/>
      <c r="D219" s="7" t="n"/>
      <c r="E219" s="7" t="n"/>
      <c r="F219" s="8" t="n"/>
      <c r="G219" s="7" t="n"/>
      <c r="H219" s="7" t="n"/>
      <c r="I219" s="7">
        <f>IF(C219="","",IFERROR(IF(INDEX(원생!$H$2:$H$501,MATCH(계산!$A219,계산!$E$2:$E$501,0))="예","예",""),""))</f>
        <v/>
      </c>
      <c r="J219" s="7" t="n"/>
    </row>
    <row r="220">
      <c r="A220" s="9" t="n"/>
      <c r="B220" s="7" t="n"/>
      <c r="C220" s="7" t="n"/>
      <c r="D220" s="7" t="n"/>
      <c r="E220" s="7" t="n"/>
      <c r="F220" s="8" t="n"/>
      <c r="G220" s="7" t="n"/>
      <c r="H220" s="7" t="n"/>
      <c r="I220" s="7">
        <f>IF(C220="","",IFERROR(IF(INDEX(원생!$H$2:$H$501,MATCH(계산!$A220,계산!$E$2:$E$501,0))="예","예",""),""))</f>
        <v/>
      </c>
      <c r="J220" s="7" t="n"/>
    </row>
    <row r="221">
      <c r="A221" s="9" t="n"/>
      <c r="B221" s="7" t="n"/>
      <c r="C221" s="7" t="n"/>
      <c r="D221" s="7" t="n"/>
      <c r="E221" s="7" t="n"/>
      <c r="F221" s="8" t="n"/>
      <c r="G221" s="7" t="n"/>
      <c r="H221" s="7" t="n"/>
      <c r="I221" s="7">
        <f>IF(C221="","",IFERROR(IF(INDEX(원생!$H$2:$H$501,MATCH(계산!$A221,계산!$E$2:$E$501,0))="예","예",""),""))</f>
        <v/>
      </c>
      <c r="J221" s="7" t="n"/>
    </row>
    <row r="222">
      <c r="A222" s="9" t="n"/>
      <c r="B222" s="7" t="n"/>
      <c r="C222" s="7" t="n"/>
      <c r="D222" s="7" t="n"/>
      <c r="E222" s="7" t="n"/>
      <c r="F222" s="8" t="n"/>
      <c r="G222" s="7" t="n"/>
      <c r="H222" s="7" t="n"/>
      <c r="I222" s="7">
        <f>IF(C222="","",IFERROR(IF(INDEX(원생!$H$2:$H$501,MATCH(계산!$A222,계산!$E$2:$E$501,0))="예","예",""),""))</f>
        <v/>
      </c>
      <c r="J222" s="7" t="n"/>
    </row>
    <row r="223">
      <c r="A223" s="9" t="n"/>
      <c r="B223" s="7" t="n"/>
      <c r="C223" s="7" t="n"/>
      <c r="D223" s="7" t="n"/>
      <c r="E223" s="7" t="n"/>
      <c r="F223" s="8" t="n"/>
      <c r="G223" s="7" t="n"/>
      <c r="H223" s="7" t="n"/>
      <c r="I223" s="7">
        <f>IF(C223="","",IFERROR(IF(INDEX(원생!$H$2:$H$501,MATCH(계산!$A223,계산!$E$2:$E$501,0))="예","예",""),""))</f>
        <v/>
      </c>
      <c r="J223" s="7" t="n"/>
    </row>
    <row r="224">
      <c r="A224" s="9" t="n"/>
      <c r="B224" s="7" t="n"/>
      <c r="C224" s="7" t="n"/>
      <c r="D224" s="7" t="n"/>
      <c r="E224" s="7" t="n"/>
      <c r="F224" s="8" t="n"/>
      <c r="G224" s="7" t="n"/>
      <c r="H224" s="7" t="n"/>
      <c r="I224" s="7">
        <f>IF(C224="","",IFERROR(IF(INDEX(원생!$H$2:$H$501,MATCH(계산!$A224,계산!$E$2:$E$501,0))="예","예",""),""))</f>
        <v/>
      </c>
      <c r="J224" s="7" t="n"/>
    </row>
    <row r="225">
      <c r="A225" s="9" t="n"/>
      <c r="B225" s="7" t="n"/>
      <c r="C225" s="7" t="n"/>
      <c r="D225" s="7" t="n"/>
      <c r="E225" s="7" t="n"/>
      <c r="F225" s="8" t="n"/>
      <c r="G225" s="7" t="n"/>
      <c r="H225" s="7" t="n"/>
      <c r="I225" s="7">
        <f>IF(C225="","",IFERROR(IF(INDEX(원생!$H$2:$H$501,MATCH(계산!$A225,계산!$E$2:$E$501,0))="예","예",""),""))</f>
        <v/>
      </c>
      <c r="J225" s="7" t="n"/>
    </row>
    <row r="226">
      <c r="A226" s="9" t="n"/>
      <c r="B226" s="7" t="n"/>
      <c r="C226" s="7" t="n"/>
      <c r="D226" s="7" t="n"/>
      <c r="E226" s="7" t="n"/>
      <c r="F226" s="8" t="n"/>
      <c r="G226" s="7" t="n"/>
      <c r="H226" s="7" t="n"/>
      <c r="I226" s="7">
        <f>IF(C226="","",IFERROR(IF(INDEX(원생!$H$2:$H$501,MATCH(계산!$A226,계산!$E$2:$E$501,0))="예","예",""),""))</f>
        <v/>
      </c>
      <c r="J226" s="7" t="n"/>
    </row>
    <row r="227">
      <c r="A227" s="9" t="n"/>
      <c r="B227" s="7" t="n"/>
      <c r="C227" s="7" t="n"/>
      <c r="D227" s="7" t="n"/>
      <c r="E227" s="7" t="n"/>
      <c r="F227" s="8" t="n"/>
      <c r="G227" s="7" t="n"/>
      <c r="H227" s="7" t="n"/>
      <c r="I227" s="7">
        <f>IF(C227="","",IFERROR(IF(INDEX(원생!$H$2:$H$501,MATCH(계산!$A227,계산!$E$2:$E$501,0))="예","예",""),""))</f>
        <v/>
      </c>
      <c r="J227" s="7" t="n"/>
    </row>
    <row r="228">
      <c r="A228" s="9" t="n"/>
      <c r="B228" s="7" t="n"/>
      <c r="C228" s="7" t="n"/>
      <c r="D228" s="7" t="n"/>
      <c r="E228" s="7" t="n"/>
      <c r="F228" s="8" t="n"/>
      <c r="G228" s="7" t="n"/>
      <c r="H228" s="7" t="n"/>
      <c r="I228" s="7">
        <f>IF(C228="","",IFERROR(IF(INDEX(원생!$H$2:$H$501,MATCH(계산!$A228,계산!$E$2:$E$501,0))="예","예",""),""))</f>
        <v/>
      </c>
      <c r="J228" s="7" t="n"/>
    </row>
    <row r="229">
      <c r="A229" s="9" t="n"/>
      <c r="B229" s="7" t="n"/>
      <c r="C229" s="7" t="n"/>
      <c r="D229" s="7" t="n"/>
      <c r="E229" s="7" t="n"/>
      <c r="F229" s="8" t="n"/>
      <c r="G229" s="7" t="n"/>
      <c r="H229" s="7" t="n"/>
      <c r="I229" s="7">
        <f>IF(C229="","",IFERROR(IF(INDEX(원생!$H$2:$H$501,MATCH(계산!$A229,계산!$E$2:$E$501,0))="예","예",""),""))</f>
        <v/>
      </c>
      <c r="J229" s="7" t="n"/>
    </row>
    <row r="230">
      <c r="A230" s="9" t="n"/>
      <c r="B230" s="7" t="n"/>
      <c r="C230" s="7" t="n"/>
      <c r="D230" s="7" t="n"/>
      <c r="E230" s="7" t="n"/>
      <c r="F230" s="8" t="n"/>
      <c r="G230" s="7" t="n"/>
      <c r="H230" s="7" t="n"/>
      <c r="I230" s="7">
        <f>IF(C230="","",IFERROR(IF(INDEX(원생!$H$2:$H$501,MATCH(계산!$A230,계산!$E$2:$E$501,0))="예","예",""),""))</f>
        <v/>
      </c>
      <c r="J230" s="7" t="n"/>
    </row>
    <row r="231">
      <c r="A231" s="9" t="n"/>
      <c r="B231" s="7" t="n"/>
      <c r="C231" s="7" t="n"/>
      <c r="D231" s="7" t="n"/>
      <c r="E231" s="7" t="n"/>
      <c r="F231" s="8" t="n"/>
      <c r="G231" s="7" t="n"/>
      <c r="H231" s="7" t="n"/>
      <c r="I231" s="7">
        <f>IF(C231="","",IFERROR(IF(INDEX(원생!$H$2:$H$501,MATCH(계산!$A231,계산!$E$2:$E$501,0))="예","예",""),""))</f>
        <v/>
      </c>
      <c r="J231" s="7" t="n"/>
    </row>
    <row r="232">
      <c r="A232" s="9" t="n"/>
      <c r="B232" s="7" t="n"/>
      <c r="C232" s="7" t="n"/>
      <c r="D232" s="7" t="n"/>
      <c r="E232" s="7" t="n"/>
      <c r="F232" s="8" t="n"/>
      <c r="G232" s="7" t="n"/>
      <c r="H232" s="7" t="n"/>
      <c r="I232" s="7">
        <f>IF(C232="","",IFERROR(IF(INDEX(원생!$H$2:$H$501,MATCH(계산!$A232,계산!$E$2:$E$501,0))="예","예",""),""))</f>
        <v/>
      </c>
      <c r="J232" s="7" t="n"/>
    </row>
    <row r="233">
      <c r="A233" s="9" t="n"/>
      <c r="B233" s="7" t="n"/>
      <c r="C233" s="7" t="n"/>
      <c r="D233" s="7" t="n"/>
      <c r="E233" s="7" t="n"/>
      <c r="F233" s="8" t="n"/>
      <c r="G233" s="7" t="n"/>
      <c r="H233" s="7" t="n"/>
      <c r="I233" s="7">
        <f>IF(C233="","",IFERROR(IF(INDEX(원생!$H$2:$H$501,MATCH(계산!$A233,계산!$E$2:$E$501,0))="예","예",""),""))</f>
        <v/>
      </c>
      <c r="J233" s="7" t="n"/>
    </row>
    <row r="234">
      <c r="A234" s="9" t="n"/>
      <c r="B234" s="7" t="n"/>
      <c r="C234" s="7" t="n"/>
      <c r="D234" s="7" t="n"/>
      <c r="E234" s="7" t="n"/>
      <c r="F234" s="8" t="n"/>
      <c r="G234" s="7" t="n"/>
      <c r="H234" s="7" t="n"/>
      <c r="I234" s="7">
        <f>IF(C234="","",IFERROR(IF(INDEX(원생!$H$2:$H$501,MATCH(계산!$A234,계산!$E$2:$E$501,0))="예","예",""),""))</f>
        <v/>
      </c>
      <c r="J234" s="7" t="n"/>
    </row>
    <row r="235">
      <c r="A235" s="9" t="n"/>
      <c r="B235" s="7" t="n"/>
      <c r="C235" s="7" t="n"/>
      <c r="D235" s="7" t="n"/>
      <c r="E235" s="7" t="n"/>
      <c r="F235" s="8" t="n"/>
      <c r="G235" s="7" t="n"/>
      <c r="H235" s="7" t="n"/>
      <c r="I235" s="7">
        <f>IF(C235="","",IFERROR(IF(INDEX(원생!$H$2:$H$501,MATCH(계산!$A235,계산!$E$2:$E$501,0))="예","예",""),""))</f>
        <v/>
      </c>
      <c r="J235" s="7" t="n"/>
    </row>
    <row r="236">
      <c r="A236" s="9" t="n"/>
      <c r="B236" s="7" t="n"/>
      <c r="C236" s="7" t="n"/>
      <c r="D236" s="7" t="n"/>
      <c r="E236" s="7" t="n"/>
      <c r="F236" s="8" t="n"/>
      <c r="G236" s="7" t="n"/>
      <c r="H236" s="7" t="n"/>
      <c r="I236" s="7">
        <f>IF(C236="","",IFERROR(IF(INDEX(원생!$H$2:$H$501,MATCH(계산!$A236,계산!$E$2:$E$501,0))="예","예",""),""))</f>
        <v/>
      </c>
      <c r="J236" s="7" t="n"/>
    </row>
    <row r="237">
      <c r="A237" s="9" t="n"/>
      <c r="B237" s="7" t="n"/>
      <c r="C237" s="7" t="n"/>
      <c r="D237" s="7" t="n"/>
      <c r="E237" s="7" t="n"/>
      <c r="F237" s="8" t="n"/>
      <c r="G237" s="7" t="n"/>
      <c r="H237" s="7" t="n"/>
      <c r="I237" s="7">
        <f>IF(C237="","",IFERROR(IF(INDEX(원생!$H$2:$H$501,MATCH(계산!$A237,계산!$E$2:$E$501,0))="예","예",""),""))</f>
        <v/>
      </c>
      <c r="J237" s="7" t="n"/>
    </row>
    <row r="238">
      <c r="A238" s="9" t="n"/>
      <c r="B238" s="7" t="n"/>
      <c r="C238" s="7" t="n"/>
      <c r="D238" s="7" t="n"/>
      <c r="E238" s="7" t="n"/>
      <c r="F238" s="8" t="n"/>
      <c r="G238" s="7" t="n"/>
      <c r="H238" s="7" t="n"/>
      <c r="I238" s="7">
        <f>IF(C238="","",IFERROR(IF(INDEX(원생!$H$2:$H$501,MATCH(계산!$A238,계산!$E$2:$E$501,0))="예","예",""),""))</f>
        <v/>
      </c>
      <c r="J238" s="7" t="n"/>
    </row>
    <row r="239">
      <c r="A239" s="9" t="n"/>
      <c r="B239" s="7" t="n"/>
      <c r="C239" s="7" t="n"/>
      <c r="D239" s="7" t="n"/>
      <c r="E239" s="7" t="n"/>
      <c r="F239" s="8" t="n"/>
      <c r="G239" s="7" t="n"/>
      <c r="H239" s="7" t="n"/>
      <c r="I239" s="7">
        <f>IF(C239="","",IFERROR(IF(INDEX(원생!$H$2:$H$501,MATCH(계산!$A239,계산!$E$2:$E$501,0))="예","예",""),""))</f>
        <v/>
      </c>
      <c r="J239" s="7" t="n"/>
    </row>
    <row r="240">
      <c r="A240" s="9" t="n"/>
      <c r="B240" s="7" t="n"/>
      <c r="C240" s="7" t="n"/>
      <c r="D240" s="7" t="n"/>
      <c r="E240" s="7" t="n"/>
      <c r="F240" s="8" t="n"/>
      <c r="G240" s="7" t="n"/>
      <c r="H240" s="7" t="n"/>
      <c r="I240" s="7">
        <f>IF(C240="","",IFERROR(IF(INDEX(원생!$H$2:$H$501,MATCH(계산!$A240,계산!$E$2:$E$501,0))="예","예",""),""))</f>
        <v/>
      </c>
      <c r="J240" s="7" t="n"/>
    </row>
    <row r="241">
      <c r="A241" s="9" t="n"/>
      <c r="B241" s="7" t="n"/>
      <c r="C241" s="7" t="n"/>
      <c r="D241" s="7" t="n"/>
      <c r="E241" s="7" t="n"/>
      <c r="F241" s="8" t="n"/>
      <c r="G241" s="7" t="n"/>
      <c r="H241" s="7" t="n"/>
      <c r="I241" s="7">
        <f>IF(C241="","",IFERROR(IF(INDEX(원생!$H$2:$H$501,MATCH(계산!$A241,계산!$E$2:$E$501,0))="예","예",""),""))</f>
        <v/>
      </c>
      <c r="J241" s="7" t="n"/>
    </row>
    <row r="242">
      <c r="A242" s="9" t="n"/>
      <c r="B242" s="7" t="n"/>
      <c r="C242" s="7" t="n"/>
      <c r="D242" s="7" t="n"/>
      <c r="E242" s="7" t="n"/>
      <c r="F242" s="8" t="n"/>
      <c r="G242" s="7" t="n"/>
      <c r="H242" s="7" t="n"/>
      <c r="I242" s="7">
        <f>IF(C242="","",IFERROR(IF(INDEX(원생!$H$2:$H$501,MATCH(계산!$A242,계산!$E$2:$E$501,0))="예","예",""),""))</f>
        <v/>
      </c>
      <c r="J242" s="7" t="n"/>
    </row>
    <row r="243">
      <c r="A243" s="9" t="n"/>
      <c r="B243" s="7" t="n"/>
      <c r="C243" s="7" t="n"/>
      <c r="D243" s="7" t="n"/>
      <c r="E243" s="7" t="n"/>
      <c r="F243" s="8" t="n"/>
      <c r="G243" s="7" t="n"/>
      <c r="H243" s="7" t="n"/>
      <c r="I243" s="7">
        <f>IF(C243="","",IFERROR(IF(INDEX(원생!$H$2:$H$501,MATCH(계산!$A243,계산!$E$2:$E$501,0))="예","예",""),""))</f>
        <v/>
      </c>
      <c r="J243" s="7" t="n"/>
    </row>
    <row r="244">
      <c r="A244" s="9" t="n"/>
      <c r="B244" s="7" t="n"/>
      <c r="C244" s="7" t="n"/>
      <c r="D244" s="7" t="n"/>
      <c r="E244" s="7" t="n"/>
      <c r="F244" s="8" t="n"/>
      <c r="G244" s="7" t="n"/>
      <c r="H244" s="7" t="n"/>
      <c r="I244" s="7">
        <f>IF(C244="","",IFERROR(IF(INDEX(원생!$H$2:$H$501,MATCH(계산!$A244,계산!$E$2:$E$501,0))="예","예",""),""))</f>
        <v/>
      </c>
      <c r="J244" s="7" t="n"/>
    </row>
    <row r="245">
      <c r="A245" s="9" t="n"/>
      <c r="B245" s="7" t="n"/>
      <c r="C245" s="7" t="n"/>
      <c r="D245" s="7" t="n"/>
      <c r="E245" s="7" t="n"/>
      <c r="F245" s="8" t="n"/>
      <c r="G245" s="7" t="n"/>
      <c r="H245" s="7" t="n"/>
      <c r="I245" s="7">
        <f>IF(C245="","",IFERROR(IF(INDEX(원생!$H$2:$H$501,MATCH(계산!$A245,계산!$E$2:$E$501,0))="예","예",""),""))</f>
        <v/>
      </c>
      <c r="J245" s="7" t="n"/>
    </row>
    <row r="246">
      <c r="A246" s="9" t="n"/>
      <c r="B246" s="7" t="n"/>
      <c r="C246" s="7" t="n"/>
      <c r="D246" s="7" t="n"/>
      <c r="E246" s="7" t="n"/>
      <c r="F246" s="8" t="n"/>
      <c r="G246" s="7" t="n"/>
      <c r="H246" s="7" t="n"/>
      <c r="I246" s="7">
        <f>IF(C246="","",IFERROR(IF(INDEX(원생!$H$2:$H$501,MATCH(계산!$A246,계산!$E$2:$E$501,0))="예","예",""),""))</f>
        <v/>
      </c>
      <c r="J246" s="7" t="n"/>
    </row>
    <row r="247">
      <c r="A247" s="9" t="n"/>
      <c r="B247" s="7" t="n"/>
      <c r="C247" s="7" t="n"/>
      <c r="D247" s="7" t="n"/>
      <c r="E247" s="7" t="n"/>
      <c r="F247" s="8" t="n"/>
      <c r="G247" s="7" t="n"/>
      <c r="H247" s="7" t="n"/>
      <c r="I247" s="7">
        <f>IF(C247="","",IFERROR(IF(INDEX(원생!$H$2:$H$501,MATCH(계산!$A247,계산!$E$2:$E$501,0))="예","예",""),""))</f>
        <v/>
      </c>
      <c r="J247" s="7" t="n"/>
    </row>
    <row r="248">
      <c r="A248" s="9" t="n"/>
      <c r="B248" s="7" t="n"/>
      <c r="C248" s="7" t="n"/>
      <c r="D248" s="7" t="n"/>
      <c r="E248" s="7" t="n"/>
      <c r="F248" s="8" t="n"/>
      <c r="G248" s="7" t="n"/>
      <c r="H248" s="7" t="n"/>
      <c r="I248" s="7">
        <f>IF(C248="","",IFERROR(IF(INDEX(원생!$H$2:$H$501,MATCH(계산!$A248,계산!$E$2:$E$501,0))="예","예",""),""))</f>
        <v/>
      </c>
      <c r="J248" s="7" t="n"/>
    </row>
    <row r="249">
      <c r="A249" s="9" t="n"/>
      <c r="B249" s="7" t="n"/>
      <c r="C249" s="7" t="n"/>
      <c r="D249" s="7" t="n"/>
      <c r="E249" s="7" t="n"/>
      <c r="F249" s="8" t="n"/>
      <c r="G249" s="7" t="n"/>
      <c r="H249" s="7" t="n"/>
      <c r="I249" s="7">
        <f>IF(C249="","",IFERROR(IF(INDEX(원생!$H$2:$H$501,MATCH(계산!$A249,계산!$E$2:$E$501,0))="예","예",""),""))</f>
        <v/>
      </c>
      <c r="J249" s="7" t="n"/>
    </row>
    <row r="250">
      <c r="A250" s="9" t="n"/>
      <c r="B250" s="7" t="n"/>
      <c r="C250" s="7" t="n"/>
      <c r="D250" s="7" t="n"/>
      <c r="E250" s="7" t="n"/>
      <c r="F250" s="8" t="n"/>
      <c r="G250" s="7" t="n"/>
      <c r="H250" s="7" t="n"/>
      <c r="I250" s="7">
        <f>IF(C250="","",IFERROR(IF(INDEX(원생!$H$2:$H$501,MATCH(계산!$A250,계산!$E$2:$E$501,0))="예","예",""),""))</f>
        <v/>
      </c>
      <c r="J250" s="7" t="n"/>
    </row>
    <row r="251">
      <c r="A251" s="9" t="n"/>
      <c r="B251" s="7" t="n"/>
      <c r="C251" s="7" t="n"/>
      <c r="D251" s="7" t="n"/>
      <c r="E251" s="7" t="n"/>
      <c r="F251" s="8" t="n"/>
      <c r="G251" s="7" t="n"/>
      <c r="H251" s="7" t="n"/>
      <c r="I251" s="7">
        <f>IF(C251="","",IFERROR(IF(INDEX(원생!$H$2:$H$501,MATCH(계산!$A251,계산!$E$2:$E$501,0))="예","예",""),""))</f>
        <v/>
      </c>
      <c r="J251" s="7" t="n"/>
    </row>
    <row r="252">
      <c r="A252" s="9" t="n"/>
      <c r="B252" s="7" t="n"/>
      <c r="C252" s="7" t="n"/>
      <c r="D252" s="7" t="n"/>
      <c r="E252" s="7" t="n"/>
      <c r="F252" s="8" t="n"/>
      <c r="G252" s="7" t="n"/>
      <c r="H252" s="7" t="n"/>
      <c r="I252" s="7">
        <f>IF(C252="","",IFERROR(IF(INDEX(원생!$H$2:$H$501,MATCH(계산!$A252,계산!$E$2:$E$501,0))="예","예",""),""))</f>
        <v/>
      </c>
      <c r="J252" s="7" t="n"/>
    </row>
    <row r="253">
      <c r="A253" s="9" t="n"/>
      <c r="B253" s="7" t="n"/>
      <c r="C253" s="7" t="n"/>
      <c r="D253" s="7" t="n"/>
      <c r="E253" s="7" t="n"/>
      <c r="F253" s="8" t="n"/>
      <c r="G253" s="7" t="n"/>
      <c r="H253" s="7" t="n"/>
      <c r="I253" s="7">
        <f>IF(C253="","",IFERROR(IF(INDEX(원생!$H$2:$H$501,MATCH(계산!$A253,계산!$E$2:$E$501,0))="예","예",""),""))</f>
        <v/>
      </c>
      <c r="J253" s="7" t="n"/>
    </row>
    <row r="254">
      <c r="A254" s="9" t="n"/>
      <c r="B254" s="7" t="n"/>
      <c r="C254" s="7" t="n"/>
      <c r="D254" s="7" t="n"/>
      <c r="E254" s="7" t="n"/>
      <c r="F254" s="8" t="n"/>
      <c r="G254" s="7" t="n"/>
      <c r="H254" s="7" t="n"/>
      <c r="I254" s="7">
        <f>IF(C254="","",IFERROR(IF(INDEX(원생!$H$2:$H$501,MATCH(계산!$A254,계산!$E$2:$E$501,0))="예","예",""),""))</f>
        <v/>
      </c>
      <c r="J254" s="7" t="n"/>
    </row>
    <row r="255">
      <c r="A255" s="9" t="n"/>
      <c r="B255" s="7" t="n"/>
      <c r="C255" s="7" t="n"/>
      <c r="D255" s="7" t="n"/>
      <c r="E255" s="7" t="n"/>
      <c r="F255" s="8" t="n"/>
      <c r="G255" s="7" t="n"/>
      <c r="H255" s="7" t="n"/>
      <c r="I255" s="7">
        <f>IF(C255="","",IFERROR(IF(INDEX(원생!$H$2:$H$501,MATCH(계산!$A255,계산!$E$2:$E$501,0))="예","예",""),""))</f>
        <v/>
      </c>
      <c r="J255" s="7" t="n"/>
    </row>
    <row r="256">
      <c r="A256" s="9" t="n"/>
      <c r="B256" s="7" t="n"/>
      <c r="C256" s="7" t="n"/>
      <c r="D256" s="7" t="n"/>
      <c r="E256" s="7" t="n"/>
      <c r="F256" s="8" t="n"/>
      <c r="G256" s="7" t="n"/>
      <c r="H256" s="7" t="n"/>
      <c r="I256" s="7">
        <f>IF(C256="","",IFERROR(IF(INDEX(원생!$H$2:$H$501,MATCH(계산!$A256,계산!$E$2:$E$501,0))="예","예",""),""))</f>
        <v/>
      </c>
      <c r="J256" s="7" t="n"/>
    </row>
    <row r="257">
      <c r="A257" s="9" t="n"/>
      <c r="B257" s="7" t="n"/>
      <c r="C257" s="7" t="n"/>
      <c r="D257" s="7" t="n"/>
      <c r="E257" s="7" t="n"/>
      <c r="F257" s="8" t="n"/>
      <c r="G257" s="7" t="n"/>
      <c r="H257" s="7" t="n"/>
      <c r="I257" s="7">
        <f>IF(C257="","",IFERROR(IF(INDEX(원생!$H$2:$H$501,MATCH(계산!$A257,계산!$E$2:$E$501,0))="예","예",""),""))</f>
        <v/>
      </c>
      <c r="J257" s="7" t="n"/>
    </row>
    <row r="258">
      <c r="A258" s="9" t="n"/>
      <c r="B258" s="7" t="n"/>
      <c r="C258" s="7" t="n"/>
      <c r="D258" s="7" t="n"/>
      <c r="E258" s="7" t="n"/>
      <c r="F258" s="8" t="n"/>
      <c r="G258" s="7" t="n"/>
      <c r="H258" s="7" t="n"/>
      <c r="I258" s="7">
        <f>IF(C258="","",IFERROR(IF(INDEX(원생!$H$2:$H$501,MATCH(계산!$A258,계산!$E$2:$E$501,0))="예","예",""),""))</f>
        <v/>
      </c>
      <c r="J258" s="7" t="n"/>
    </row>
    <row r="259">
      <c r="A259" s="9" t="n"/>
      <c r="B259" s="7" t="n"/>
      <c r="C259" s="7" t="n"/>
      <c r="D259" s="7" t="n"/>
      <c r="E259" s="7" t="n"/>
      <c r="F259" s="8" t="n"/>
      <c r="G259" s="7" t="n"/>
      <c r="H259" s="7" t="n"/>
      <c r="I259" s="7">
        <f>IF(C259="","",IFERROR(IF(INDEX(원생!$H$2:$H$501,MATCH(계산!$A259,계산!$E$2:$E$501,0))="예","예",""),""))</f>
        <v/>
      </c>
      <c r="J259" s="7" t="n"/>
    </row>
    <row r="260">
      <c r="A260" s="9" t="n"/>
      <c r="B260" s="7" t="n"/>
      <c r="C260" s="7" t="n"/>
      <c r="D260" s="7" t="n"/>
      <c r="E260" s="7" t="n"/>
      <c r="F260" s="8" t="n"/>
      <c r="G260" s="7" t="n"/>
      <c r="H260" s="7" t="n"/>
      <c r="I260" s="7">
        <f>IF(C260="","",IFERROR(IF(INDEX(원생!$H$2:$H$501,MATCH(계산!$A260,계산!$E$2:$E$501,0))="예","예",""),""))</f>
        <v/>
      </c>
      <c r="J260" s="7" t="n"/>
    </row>
    <row r="261">
      <c r="A261" s="9" t="n"/>
      <c r="B261" s="7" t="n"/>
      <c r="C261" s="7" t="n"/>
      <c r="D261" s="7" t="n"/>
      <c r="E261" s="7" t="n"/>
      <c r="F261" s="8" t="n"/>
      <c r="G261" s="7" t="n"/>
      <c r="H261" s="7" t="n"/>
      <c r="I261" s="7">
        <f>IF(C261="","",IFERROR(IF(INDEX(원생!$H$2:$H$501,MATCH(계산!$A261,계산!$E$2:$E$501,0))="예","예",""),""))</f>
        <v/>
      </c>
      <c r="J261" s="7" t="n"/>
    </row>
    <row r="262">
      <c r="A262" s="9" t="n"/>
      <c r="B262" s="7" t="n"/>
      <c r="C262" s="7" t="n"/>
      <c r="D262" s="7" t="n"/>
      <c r="E262" s="7" t="n"/>
      <c r="F262" s="8" t="n"/>
      <c r="G262" s="7" t="n"/>
      <c r="H262" s="7" t="n"/>
      <c r="I262" s="7">
        <f>IF(C262="","",IFERROR(IF(INDEX(원생!$H$2:$H$501,MATCH(계산!$A262,계산!$E$2:$E$501,0))="예","예",""),""))</f>
        <v/>
      </c>
      <c r="J262" s="7" t="n"/>
    </row>
    <row r="263">
      <c r="A263" s="9" t="n"/>
      <c r="B263" s="7" t="n"/>
      <c r="C263" s="7" t="n"/>
      <c r="D263" s="7" t="n"/>
      <c r="E263" s="7" t="n"/>
      <c r="F263" s="8" t="n"/>
      <c r="G263" s="7" t="n"/>
      <c r="H263" s="7" t="n"/>
      <c r="I263" s="7">
        <f>IF(C263="","",IFERROR(IF(INDEX(원생!$H$2:$H$501,MATCH(계산!$A263,계산!$E$2:$E$501,0))="예","예",""),""))</f>
        <v/>
      </c>
      <c r="J263" s="7" t="n"/>
    </row>
    <row r="264">
      <c r="A264" s="9" t="n"/>
      <c r="B264" s="7" t="n"/>
      <c r="C264" s="7" t="n"/>
      <c r="D264" s="7" t="n"/>
      <c r="E264" s="7" t="n"/>
      <c r="F264" s="8" t="n"/>
      <c r="G264" s="7" t="n"/>
      <c r="H264" s="7" t="n"/>
      <c r="I264" s="7">
        <f>IF(C264="","",IFERROR(IF(INDEX(원생!$H$2:$H$501,MATCH(계산!$A264,계산!$E$2:$E$501,0))="예","예",""),""))</f>
        <v/>
      </c>
      <c r="J264" s="7" t="n"/>
    </row>
    <row r="265">
      <c r="A265" s="9" t="n"/>
      <c r="B265" s="7" t="n"/>
      <c r="C265" s="7" t="n"/>
      <c r="D265" s="7" t="n"/>
      <c r="E265" s="7" t="n"/>
      <c r="F265" s="8" t="n"/>
      <c r="G265" s="7" t="n"/>
      <c r="H265" s="7" t="n"/>
      <c r="I265" s="7">
        <f>IF(C265="","",IFERROR(IF(INDEX(원생!$H$2:$H$501,MATCH(계산!$A265,계산!$E$2:$E$501,0))="예","예",""),""))</f>
        <v/>
      </c>
      <c r="J265" s="7" t="n"/>
    </row>
    <row r="266">
      <c r="A266" s="9" t="n"/>
      <c r="B266" s="7" t="n"/>
      <c r="C266" s="7" t="n"/>
      <c r="D266" s="7" t="n"/>
      <c r="E266" s="7" t="n"/>
      <c r="F266" s="8" t="n"/>
      <c r="G266" s="7" t="n"/>
      <c r="H266" s="7" t="n"/>
      <c r="I266" s="7">
        <f>IF(C266="","",IFERROR(IF(INDEX(원생!$H$2:$H$501,MATCH(계산!$A266,계산!$E$2:$E$501,0))="예","예",""),""))</f>
        <v/>
      </c>
      <c r="J266" s="7" t="n"/>
    </row>
    <row r="267">
      <c r="A267" s="9" t="n"/>
      <c r="B267" s="7" t="n"/>
      <c r="C267" s="7" t="n"/>
      <c r="D267" s="7" t="n"/>
      <c r="E267" s="7" t="n"/>
      <c r="F267" s="8" t="n"/>
      <c r="G267" s="7" t="n"/>
      <c r="H267" s="7" t="n"/>
      <c r="I267" s="7">
        <f>IF(C267="","",IFERROR(IF(INDEX(원생!$H$2:$H$501,MATCH(계산!$A267,계산!$E$2:$E$501,0))="예","예",""),""))</f>
        <v/>
      </c>
      <c r="J267" s="7" t="n"/>
    </row>
    <row r="268">
      <c r="A268" s="9" t="n"/>
      <c r="B268" s="7" t="n"/>
      <c r="C268" s="7" t="n"/>
      <c r="D268" s="7" t="n"/>
      <c r="E268" s="7" t="n"/>
      <c r="F268" s="8" t="n"/>
      <c r="G268" s="7" t="n"/>
      <c r="H268" s="7" t="n"/>
      <c r="I268" s="7">
        <f>IF(C268="","",IFERROR(IF(INDEX(원생!$H$2:$H$501,MATCH(계산!$A268,계산!$E$2:$E$501,0))="예","예",""),""))</f>
        <v/>
      </c>
      <c r="J268" s="7" t="n"/>
    </row>
    <row r="269">
      <c r="A269" s="9" t="n"/>
      <c r="B269" s="7" t="n"/>
      <c r="C269" s="7" t="n"/>
      <c r="D269" s="7" t="n"/>
      <c r="E269" s="7" t="n"/>
      <c r="F269" s="8" t="n"/>
      <c r="G269" s="7" t="n"/>
      <c r="H269" s="7" t="n"/>
      <c r="I269" s="7">
        <f>IF(C269="","",IFERROR(IF(INDEX(원생!$H$2:$H$501,MATCH(계산!$A269,계산!$E$2:$E$501,0))="예","예",""),""))</f>
        <v/>
      </c>
      <c r="J269" s="7" t="n"/>
    </row>
    <row r="270">
      <c r="A270" s="9" t="n"/>
      <c r="B270" s="7" t="n"/>
      <c r="C270" s="7" t="n"/>
      <c r="D270" s="7" t="n"/>
      <c r="E270" s="7" t="n"/>
      <c r="F270" s="8" t="n"/>
      <c r="G270" s="7" t="n"/>
      <c r="H270" s="7" t="n"/>
      <c r="I270" s="7">
        <f>IF(C270="","",IFERROR(IF(INDEX(원생!$H$2:$H$501,MATCH(계산!$A270,계산!$E$2:$E$501,0))="예","예",""),""))</f>
        <v/>
      </c>
      <c r="J270" s="7" t="n"/>
    </row>
    <row r="271">
      <c r="A271" s="9" t="n"/>
      <c r="B271" s="7" t="n"/>
      <c r="C271" s="7" t="n"/>
      <c r="D271" s="7" t="n"/>
      <c r="E271" s="7" t="n"/>
      <c r="F271" s="8" t="n"/>
      <c r="G271" s="7" t="n"/>
      <c r="H271" s="7" t="n"/>
      <c r="I271" s="7">
        <f>IF(C271="","",IFERROR(IF(INDEX(원생!$H$2:$H$501,MATCH(계산!$A271,계산!$E$2:$E$501,0))="예","예",""),""))</f>
        <v/>
      </c>
      <c r="J271" s="7" t="n"/>
    </row>
    <row r="272">
      <c r="A272" s="9" t="n"/>
      <c r="B272" s="7" t="n"/>
      <c r="C272" s="7" t="n"/>
      <c r="D272" s="7" t="n"/>
      <c r="E272" s="7" t="n"/>
      <c r="F272" s="8" t="n"/>
      <c r="G272" s="7" t="n"/>
      <c r="H272" s="7" t="n"/>
      <c r="I272" s="7">
        <f>IF(C272="","",IFERROR(IF(INDEX(원생!$H$2:$H$501,MATCH(계산!$A272,계산!$E$2:$E$501,0))="예","예",""),""))</f>
        <v/>
      </c>
      <c r="J272" s="7" t="n"/>
    </row>
    <row r="273">
      <c r="A273" s="9" t="n"/>
      <c r="B273" s="7" t="n"/>
      <c r="C273" s="7" t="n"/>
      <c r="D273" s="7" t="n"/>
      <c r="E273" s="7" t="n"/>
      <c r="F273" s="8" t="n"/>
      <c r="G273" s="7" t="n"/>
      <c r="H273" s="7" t="n"/>
      <c r="I273" s="7">
        <f>IF(C273="","",IFERROR(IF(INDEX(원생!$H$2:$H$501,MATCH(계산!$A273,계산!$E$2:$E$501,0))="예","예",""),""))</f>
        <v/>
      </c>
      <c r="J273" s="7" t="n"/>
    </row>
    <row r="274">
      <c r="A274" s="9" t="n"/>
      <c r="B274" s="7" t="n"/>
      <c r="C274" s="7" t="n"/>
      <c r="D274" s="7" t="n"/>
      <c r="E274" s="7" t="n"/>
      <c r="F274" s="8" t="n"/>
      <c r="G274" s="7" t="n"/>
      <c r="H274" s="7" t="n"/>
      <c r="I274" s="7">
        <f>IF(C274="","",IFERROR(IF(INDEX(원생!$H$2:$H$501,MATCH(계산!$A274,계산!$E$2:$E$501,0))="예","예",""),""))</f>
        <v/>
      </c>
      <c r="J274" s="7" t="n"/>
    </row>
    <row r="275">
      <c r="A275" s="9" t="n"/>
      <c r="B275" s="7" t="n"/>
      <c r="C275" s="7" t="n"/>
      <c r="D275" s="7" t="n"/>
      <c r="E275" s="7" t="n"/>
      <c r="F275" s="8" t="n"/>
      <c r="G275" s="7" t="n"/>
      <c r="H275" s="7" t="n"/>
      <c r="I275" s="7">
        <f>IF(C275="","",IFERROR(IF(INDEX(원생!$H$2:$H$501,MATCH(계산!$A275,계산!$E$2:$E$501,0))="예","예",""),""))</f>
        <v/>
      </c>
      <c r="J275" s="7" t="n"/>
    </row>
    <row r="276">
      <c r="A276" s="9" t="n"/>
      <c r="B276" s="7" t="n"/>
      <c r="C276" s="7" t="n"/>
      <c r="D276" s="7" t="n"/>
      <c r="E276" s="7" t="n"/>
      <c r="F276" s="8" t="n"/>
      <c r="G276" s="7" t="n"/>
      <c r="H276" s="7" t="n"/>
      <c r="I276" s="7">
        <f>IF(C276="","",IFERROR(IF(INDEX(원생!$H$2:$H$501,MATCH(계산!$A276,계산!$E$2:$E$501,0))="예","예",""),""))</f>
        <v/>
      </c>
      <c r="J276" s="7" t="n"/>
    </row>
    <row r="277">
      <c r="A277" s="9" t="n"/>
      <c r="B277" s="7" t="n"/>
      <c r="C277" s="7" t="n"/>
      <c r="D277" s="7" t="n"/>
      <c r="E277" s="7" t="n"/>
      <c r="F277" s="8" t="n"/>
      <c r="G277" s="7" t="n"/>
      <c r="H277" s="7" t="n"/>
      <c r="I277" s="7">
        <f>IF(C277="","",IFERROR(IF(INDEX(원생!$H$2:$H$501,MATCH(계산!$A277,계산!$E$2:$E$501,0))="예","예",""),""))</f>
        <v/>
      </c>
      <c r="J277" s="7" t="n"/>
    </row>
    <row r="278">
      <c r="A278" s="9" t="n"/>
      <c r="B278" s="7" t="n"/>
      <c r="C278" s="7" t="n"/>
      <c r="D278" s="7" t="n"/>
      <c r="E278" s="7" t="n"/>
      <c r="F278" s="8" t="n"/>
      <c r="G278" s="7" t="n"/>
      <c r="H278" s="7" t="n"/>
      <c r="I278" s="7">
        <f>IF(C278="","",IFERROR(IF(INDEX(원생!$H$2:$H$501,MATCH(계산!$A278,계산!$E$2:$E$501,0))="예","예",""),""))</f>
        <v/>
      </c>
      <c r="J278" s="7" t="n"/>
    </row>
    <row r="279">
      <c r="A279" s="9" t="n"/>
      <c r="B279" s="7" t="n"/>
      <c r="C279" s="7" t="n"/>
      <c r="D279" s="7" t="n"/>
      <c r="E279" s="7" t="n"/>
      <c r="F279" s="8" t="n"/>
      <c r="G279" s="7" t="n"/>
      <c r="H279" s="7" t="n"/>
      <c r="I279" s="7">
        <f>IF(C279="","",IFERROR(IF(INDEX(원생!$H$2:$H$501,MATCH(계산!$A279,계산!$E$2:$E$501,0))="예","예",""),""))</f>
        <v/>
      </c>
      <c r="J279" s="7" t="n"/>
    </row>
    <row r="280">
      <c r="A280" s="9" t="n"/>
      <c r="B280" s="7" t="n"/>
      <c r="C280" s="7" t="n"/>
      <c r="D280" s="7" t="n"/>
      <c r="E280" s="7" t="n"/>
      <c r="F280" s="8" t="n"/>
      <c r="G280" s="7" t="n"/>
      <c r="H280" s="7" t="n"/>
      <c r="I280" s="7">
        <f>IF(C280="","",IFERROR(IF(INDEX(원생!$H$2:$H$501,MATCH(계산!$A280,계산!$E$2:$E$501,0))="예","예",""),""))</f>
        <v/>
      </c>
      <c r="J280" s="7" t="n"/>
    </row>
    <row r="281">
      <c r="A281" s="9" t="n"/>
      <c r="B281" s="7" t="n"/>
      <c r="C281" s="7" t="n"/>
      <c r="D281" s="7" t="n"/>
      <c r="E281" s="7" t="n"/>
      <c r="F281" s="8" t="n"/>
      <c r="G281" s="7" t="n"/>
      <c r="H281" s="7" t="n"/>
      <c r="I281" s="7">
        <f>IF(C281="","",IFERROR(IF(INDEX(원생!$H$2:$H$501,MATCH(계산!$A281,계산!$E$2:$E$501,0))="예","예",""),""))</f>
        <v/>
      </c>
      <c r="J281" s="7" t="n"/>
    </row>
    <row r="282">
      <c r="A282" s="9" t="n"/>
      <c r="B282" s="7" t="n"/>
      <c r="C282" s="7" t="n"/>
      <c r="D282" s="7" t="n"/>
      <c r="E282" s="7" t="n"/>
      <c r="F282" s="8" t="n"/>
      <c r="G282" s="7" t="n"/>
      <c r="H282" s="7" t="n"/>
      <c r="I282" s="7">
        <f>IF(C282="","",IFERROR(IF(INDEX(원생!$H$2:$H$501,MATCH(계산!$A282,계산!$E$2:$E$501,0))="예","예",""),""))</f>
        <v/>
      </c>
      <c r="J282" s="7" t="n"/>
    </row>
    <row r="283">
      <c r="A283" s="9" t="n"/>
      <c r="B283" s="7" t="n"/>
      <c r="C283" s="7" t="n"/>
      <c r="D283" s="7" t="n"/>
      <c r="E283" s="7" t="n"/>
      <c r="F283" s="8" t="n"/>
      <c r="G283" s="7" t="n"/>
      <c r="H283" s="7" t="n"/>
      <c r="I283" s="7">
        <f>IF(C283="","",IFERROR(IF(INDEX(원생!$H$2:$H$501,MATCH(계산!$A283,계산!$E$2:$E$501,0))="예","예",""),""))</f>
        <v/>
      </c>
      <c r="J283" s="7" t="n"/>
    </row>
    <row r="284">
      <c r="A284" s="9" t="n"/>
      <c r="B284" s="7" t="n"/>
      <c r="C284" s="7" t="n"/>
      <c r="D284" s="7" t="n"/>
      <c r="E284" s="7" t="n"/>
      <c r="F284" s="8" t="n"/>
      <c r="G284" s="7" t="n"/>
      <c r="H284" s="7" t="n"/>
      <c r="I284" s="7">
        <f>IF(C284="","",IFERROR(IF(INDEX(원생!$H$2:$H$501,MATCH(계산!$A284,계산!$E$2:$E$501,0))="예","예",""),""))</f>
        <v/>
      </c>
      <c r="J284" s="7" t="n"/>
    </row>
    <row r="285">
      <c r="A285" s="9" t="n"/>
      <c r="B285" s="7" t="n"/>
      <c r="C285" s="7" t="n"/>
      <c r="D285" s="7" t="n"/>
      <c r="E285" s="7" t="n"/>
      <c r="F285" s="8" t="n"/>
      <c r="G285" s="7" t="n"/>
      <c r="H285" s="7" t="n"/>
      <c r="I285" s="7">
        <f>IF(C285="","",IFERROR(IF(INDEX(원생!$H$2:$H$501,MATCH(계산!$A285,계산!$E$2:$E$501,0))="예","예",""),""))</f>
        <v/>
      </c>
      <c r="J285" s="7" t="n"/>
    </row>
    <row r="286">
      <c r="A286" s="9" t="n"/>
      <c r="B286" s="7" t="n"/>
      <c r="C286" s="7" t="n"/>
      <c r="D286" s="7" t="n"/>
      <c r="E286" s="7" t="n"/>
      <c r="F286" s="8" t="n"/>
      <c r="G286" s="7" t="n"/>
      <c r="H286" s="7" t="n"/>
      <c r="I286" s="7">
        <f>IF(C286="","",IFERROR(IF(INDEX(원생!$H$2:$H$501,MATCH(계산!$A286,계산!$E$2:$E$501,0))="예","예",""),""))</f>
        <v/>
      </c>
      <c r="J286" s="7" t="n"/>
    </row>
    <row r="287">
      <c r="A287" s="9" t="n"/>
      <c r="B287" s="7" t="n"/>
      <c r="C287" s="7" t="n"/>
      <c r="D287" s="7" t="n"/>
      <c r="E287" s="7" t="n"/>
      <c r="F287" s="8" t="n"/>
      <c r="G287" s="7" t="n"/>
      <c r="H287" s="7" t="n"/>
      <c r="I287" s="7">
        <f>IF(C287="","",IFERROR(IF(INDEX(원생!$H$2:$H$501,MATCH(계산!$A287,계산!$E$2:$E$501,0))="예","예",""),""))</f>
        <v/>
      </c>
      <c r="J287" s="7" t="n"/>
    </row>
    <row r="288">
      <c r="A288" s="9" t="n"/>
      <c r="B288" s="7" t="n"/>
      <c r="C288" s="7" t="n"/>
      <c r="D288" s="7" t="n"/>
      <c r="E288" s="7" t="n"/>
      <c r="F288" s="8" t="n"/>
      <c r="G288" s="7" t="n"/>
      <c r="H288" s="7" t="n"/>
      <c r="I288" s="7">
        <f>IF(C288="","",IFERROR(IF(INDEX(원생!$H$2:$H$501,MATCH(계산!$A288,계산!$E$2:$E$501,0))="예","예",""),""))</f>
        <v/>
      </c>
      <c r="J288" s="7" t="n"/>
    </row>
    <row r="289">
      <c r="A289" s="9" t="n"/>
      <c r="B289" s="7" t="n"/>
      <c r="C289" s="7" t="n"/>
      <c r="D289" s="7" t="n"/>
      <c r="E289" s="7" t="n"/>
      <c r="F289" s="8" t="n"/>
      <c r="G289" s="7" t="n"/>
      <c r="H289" s="7" t="n"/>
      <c r="I289" s="7">
        <f>IF(C289="","",IFERROR(IF(INDEX(원생!$H$2:$H$501,MATCH(계산!$A289,계산!$E$2:$E$501,0))="예","예",""),""))</f>
        <v/>
      </c>
      <c r="J289" s="7" t="n"/>
    </row>
    <row r="290">
      <c r="A290" s="9" t="n"/>
      <c r="B290" s="7" t="n"/>
      <c r="C290" s="7" t="n"/>
      <c r="D290" s="7" t="n"/>
      <c r="E290" s="7" t="n"/>
      <c r="F290" s="8" t="n"/>
      <c r="G290" s="7" t="n"/>
      <c r="H290" s="7" t="n"/>
      <c r="I290" s="7">
        <f>IF(C290="","",IFERROR(IF(INDEX(원생!$H$2:$H$501,MATCH(계산!$A290,계산!$E$2:$E$501,0))="예","예",""),""))</f>
        <v/>
      </c>
      <c r="J290" s="7" t="n"/>
    </row>
    <row r="291">
      <c r="A291" s="9" t="n"/>
      <c r="B291" s="7" t="n"/>
      <c r="C291" s="7" t="n"/>
      <c r="D291" s="7" t="n"/>
      <c r="E291" s="7" t="n"/>
      <c r="F291" s="8" t="n"/>
      <c r="G291" s="7" t="n"/>
      <c r="H291" s="7" t="n"/>
      <c r="I291" s="7">
        <f>IF(C291="","",IFERROR(IF(INDEX(원생!$H$2:$H$501,MATCH(계산!$A291,계산!$E$2:$E$501,0))="예","예",""),""))</f>
        <v/>
      </c>
      <c r="J291" s="7" t="n"/>
    </row>
    <row r="292">
      <c r="A292" s="9" t="n"/>
      <c r="B292" s="7" t="n"/>
      <c r="C292" s="7" t="n"/>
      <c r="D292" s="7" t="n"/>
      <c r="E292" s="7" t="n"/>
      <c r="F292" s="8" t="n"/>
      <c r="G292" s="7" t="n"/>
      <c r="H292" s="7" t="n"/>
      <c r="I292" s="7">
        <f>IF(C292="","",IFERROR(IF(INDEX(원생!$H$2:$H$501,MATCH(계산!$A292,계산!$E$2:$E$501,0))="예","예",""),""))</f>
        <v/>
      </c>
      <c r="J292" s="7" t="n"/>
    </row>
    <row r="293">
      <c r="A293" s="9" t="n"/>
      <c r="B293" s="7" t="n"/>
      <c r="C293" s="7" t="n"/>
      <c r="D293" s="7" t="n"/>
      <c r="E293" s="7" t="n"/>
      <c r="F293" s="8" t="n"/>
      <c r="G293" s="7" t="n"/>
      <c r="H293" s="7" t="n"/>
      <c r="I293" s="7">
        <f>IF(C293="","",IFERROR(IF(INDEX(원생!$H$2:$H$501,MATCH(계산!$A293,계산!$E$2:$E$501,0))="예","예",""),""))</f>
        <v/>
      </c>
      <c r="J293" s="7" t="n"/>
    </row>
    <row r="294">
      <c r="A294" s="9" t="n"/>
      <c r="B294" s="7" t="n"/>
      <c r="C294" s="7" t="n"/>
      <c r="D294" s="7" t="n"/>
      <c r="E294" s="7" t="n"/>
      <c r="F294" s="8" t="n"/>
      <c r="G294" s="7" t="n"/>
      <c r="H294" s="7" t="n"/>
      <c r="I294" s="7">
        <f>IF(C294="","",IFERROR(IF(INDEX(원생!$H$2:$H$501,MATCH(계산!$A294,계산!$E$2:$E$501,0))="예","예",""),""))</f>
        <v/>
      </c>
      <c r="J294" s="7" t="n"/>
    </row>
    <row r="295">
      <c r="A295" s="9" t="n"/>
      <c r="B295" s="7" t="n"/>
      <c r="C295" s="7" t="n"/>
      <c r="D295" s="7" t="n"/>
      <c r="E295" s="7" t="n"/>
      <c r="F295" s="8" t="n"/>
      <c r="G295" s="7" t="n"/>
      <c r="H295" s="7" t="n"/>
      <c r="I295" s="7">
        <f>IF(C295="","",IFERROR(IF(INDEX(원생!$H$2:$H$501,MATCH(계산!$A295,계산!$E$2:$E$501,0))="예","예",""),""))</f>
        <v/>
      </c>
      <c r="J295" s="7" t="n"/>
    </row>
    <row r="296">
      <c r="A296" s="9" t="n"/>
      <c r="B296" s="7" t="n"/>
      <c r="C296" s="7" t="n"/>
      <c r="D296" s="7" t="n"/>
      <c r="E296" s="7" t="n"/>
      <c r="F296" s="8" t="n"/>
      <c r="G296" s="7" t="n"/>
      <c r="H296" s="7" t="n"/>
      <c r="I296" s="7">
        <f>IF(C296="","",IFERROR(IF(INDEX(원생!$H$2:$H$501,MATCH(계산!$A296,계산!$E$2:$E$501,0))="예","예",""),""))</f>
        <v/>
      </c>
      <c r="J296" s="7" t="n"/>
    </row>
    <row r="297">
      <c r="A297" s="9" t="n"/>
      <c r="B297" s="7" t="n"/>
      <c r="C297" s="7" t="n"/>
      <c r="D297" s="7" t="n"/>
      <c r="E297" s="7" t="n"/>
      <c r="F297" s="8" t="n"/>
      <c r="G297" s="7" t="n"/>
      <c r="H297" s="7" t="n"/>
      <c r="I297" s="7">
        <f>IF(C297="","",IFERROR(IF(INDEX(원생!$H$2:$H$501,MATCH(계산!$A297,계산!$E$2:$E$501,0))="예","예",""),""))</f>
        <v/>
      </c>
      <c r="J297" s="7" t="n"/>
    </row>
    <row r="298">
      <c r="A298" s="9" t="n"/>
      <c r="B298" s="7" t="n"/>
      <c r="C298" s="7" t="n"/>
      <c r="D298" s="7" t="n"/>
      <c r="E298" s="7" t="n"/>
      <c r="F298" s="8" t="n"/>
      <c r="G298" s="7" t="n"/>
      <c r="H298" s="7" t="n"/>
      <c r="I298" s="7">
        <f>IF(C298="","",IFERROR(IF(INDEX(원생!$H$2:$H$501,MATCH(계산!$A298,계산!$E$2:$E$501,0))="예","예",""),""))</f>
        <v/>
      </c>
      <c r="J298" s="7" t="n"/>
    </row>
    <row r="299">
      <c r="A299" s="9" t="n"/>
      <c r="B299" s="7" t="n"/>
      <c r="C299" s="7" t="n"/>
      <c r="D299" s="7" t="n"/>
      <c r="E299" s="7" t="n"/>
      <c r="F299" s="8" t="n"/>
      <c r="G299" s="7" t="n"/>
      <c r="H299" s="7" t="n"/>
      <c r="I299" s="7">
        <f>IF(C299="","",IFERROR(IF(INDEX(원생!$H$2:$H$501,MATCH(계산!$A299,계산!$E$2:$E$501,0))="예","예",""),""))</f>
        <v/>
      </c>
      <c r="J299" s="7" t="n"/>
    </row>
    <row r="300">
      <c r="A300" s="9" t="n"/>
      <c r="B300" s="7" t="n"/>
      <c r="C300" s="7" t="n"/>
      <c r="D300" s="7" t="n"/>
      <c r="E300" s="7" t="n"/>
      <c r="F300" s="8" t="n"/>
      <c r="G300" s="7" t="n"/>
      <c r="H300" s="7" t="n"/>
      <c r="I300" s="7">
        <f>IF(C300="","",IFERROR(IF(INDEX(원생!$H$2:$H$501,MATCH(계산!$A300,계산!$E$2:$E$501,0))="예","예",""),""))</f>
        <v/>
      </c>
      <c r="J300" s="7" t="n"/>
    </row>
    <row r="301">
      <c r="A301" s="9" t="n"/>
      <c r="B301" s="7" t="n"/>
      <c r="C301" s="7" t="n"/>
      <c r="D301" s="7" t="n"/>
      <c r="E301" s="7" t="n"/>
      <c r="F301" s="8" t="n"/>
      <c r="G301" s="7" t="n"/>
      <c r="H301" s="7" t="n"/>
      <c r="I301" s="7">
        <f>IF(C301="","",IFERROR(IF(INDEX(원생!$H$2:$H$501,MATCH(계산!$A301,계산!$E$2:$E$501,0))="예","예",""),""))</f>
        <v/>
      </c>
      <c r="J301" s="7" t="n"/>
    </row>
    <row r="302">
      <c r="A302" s="9" t="n"/>
      <c r="B302" s="7" t="n"/>
      <c r="C302" s="7" t="n"/>
      <c r="D302" s="7" t="n"/>
      <c r="E302" s="7" t="n"/>
      <c r="F302" s="8" t="n"/>
      <c r="G302" s="7" t="n"/>
      <c r="H302" s="7" t="n"/>
      <c r="I302" s="7">
        <f>IF(C302="","",IFERROR(IF(INDEX(원생!$H$2:$H$501,MATCH(계산!$A302,계산!$E$2:$E$501,0))="예","예",""),""))</f>
        <v/>
      </c>
      <c r="J302" s="7" t="n"/>
    </row>
    <row r="303">
      <c r="A303" s="9" t="n"/>
      <c r="B303" s="7" t="n"/>
      <c r="C303" s="7" t="n"/>
      <c r="D303" s="7" t="n"/>
      <c r="E303" s="7" t="n"/>
      <c r="F303" s="8" t="n"/>
      <c r="G303" s="7" t="n"/>
      <c r="H303" s="7" t="n"/>
      <c r="I303" s="7">
        <f>IF(C303="","",IFERROR(IF(INDEX(원생!$H$2:$H$501,MATCH(계산!$A303,계산!$E$2:$E$501,0))="예","예",""),""))</f>
        <v/>
      </c>
      <c r="J303" s="7" t="n"/>
    </row>
    <row r="304">
      <c r="A304" s="9" t="n"/>
      <c r="B304" s="7" t="n"/>
      <c r="C304" s="7" t="n"/>
      <c r="D304" s="7" t="n"/>
      <c r="E304" s="7" t="n"/>
      <c r="F304" s="8" t="n"/>
      <c r="G304" s="7" t="n"/>
      <c r="H304" s="7" t="n"/>
      <c r="I304" s="7">
        <f>IF(C304="","",IFERROR(IF(INDEX(원생!$H$2:$H$501,MATCH(계산!$A304,계산!$E$2:$E$501,0))="예","예",""),""))</f>
        <v/>
      </c>
      <c r="J304" s="7" t="n"/>
    </row>
    <row r="305">
      <c r="A305" s="9" t="n"/>
      <c r="B305" s="7" t="n"/>
      <c r="C305" s="7" t="n"/>
      <c r="D305" s="7" t="n"/>
      <c r="E305" s="7" t="n"/>
      <c r="F305" s="8" t="n"/>
      <c r="G305" s="7" t="n"/>
      <c r="H305" s="7" t="n"/>
      <c r="I305" s="7">
        <f>IF(C305="","",IFERROR(IF(INDEX(원생!$H$2:$H$501,MATCH(계산!$A305,계산!$E$2:$E$501,0))="예","예",""),""))</f>
        <v/>
      </c>
      <c r="J305" s="7" t="n"/>
    </row>
    <row r="306">
      <c r="A306" s="9" t="n"/>
      <c r="B306" s="7" t="n"/>
      <c r="C306" s="7" t="n"/>
      <c r="D306" s="7" t="n"/>
      <c r="E306" s="7" t="n"/>
      <c r="F306" s="8" t="n"/>
      <c r="G306" s="7" t="n"/>
      <c r="H306" s="7" t="n"/>
      <c r="I306" s="7">
        <f>IF(C306="","",IFERROR(IF(INDEX(원생!$H$2:$H$501,MATCH(계산!$A306,계산!$E$2:$E$501,0))="예","예",""),""))</f>
        <v/>
      </c>
      <c r="J306" s="7" t="n"/>
    </row>
    <row r="307">
      <c r="A307" s="9" t="n"/>
      <c r="B307" s="7" t="n"/>
      <c r="C307" s="7" t="n"/>
      <c r="D307" s="7" t="n"/>
      <c r="E307" s="7" t="n"/>
      <c r="F307" s="8" t="n"/>
      <c r="G307" s="7" t="n"/>
      <c r="H307" s="7" t="n"/>
      <c r="I307" s="7">
        <f>IF(C307="","",IFERROR(IF(INDEX(원생!$H$2:$H$501,MATCH(계산!$A307,계산!$E$2:$E$501,0))="예","예",""),""))</f>
        <v/>
      </c>
      <c r="J307" s="7" t="n"/>
    </row>
    <row r="308">
      <c r="A308" s="9" t="n"/>
      <c r="B308" s="7" t="n"/>
      <c r="C308" s="7" t="n"/>
      <c r="D308" s="7" t="n"/>
      <c r="E308" s="7" t="n"/>
      <c r="F308" s="8" t="n"/>
      <c r="G308" s="7" t="n"/>
      <c r="H308" s="7" t="n"/>
      <c r="I308" s="7">
        <f>IF(C308="","",IFERROR(IF(INDEX(원생!$H$2:$H$501,MATCH(계산!$A308,계산!$E$2:$E$501,0))="예","예",""),""))</f>
        <v/>
      </c>
      <c r="J308" s="7" t="n"/>
    </row>
    <row r="309">
      <c r="A309" s="9" t="n"/>
      <c r="B309" s="7" t="n"/>
      <c r="C309" s="7" t="n"/>
      <c r="D309" s="7" t="n"/>
      <c r="E309" s="7" t="n"/>
      <c r="F309" s="8" t="n"/>
      <c r="G309" s="7" t="n"/>
      <c r="H309" s="7" t="n"/>
      <c r="I309" s="7">
        <f>IF(C309="","",IFERROR(IF(INDEX(원생!$H$2:$H$501,MATCH(계산!$A309,계산!$E$2:$E$501,0))="예","예",""),""))</f>
        <v/>
      </c>
      <c r="J309" s="7" t="n"/>
    </row>
    <row r="310">
      <c r="A310" s="9" t="n"/>
      <c r="B310" s="7" t="n"/>
      <c r="C310" s="7" t="n"/>
      <c r="D310" s="7" t="n"/>
      <c r="E310" s="7" t="n"/>
      <c r="F310" s="8" t="n"/>
      <c r="G310" s="7" t="n"/>
      <c r="H310" s="7" t="n"/>
      <c r="I310" s="7">
        <f>IF(C310="","",IFERROR(IF(INDEX(원생!$H$2:$H$501,MATCH(계산!$A310,계산!$E$2:$E$501,0))="예","예",""),""))</f>
        <v/>
      </c>
      <c r="J310" s="7" t="n"/>
    </row>
    <row r="311">
      <c r="A311" s="9" t="n"/>
      <c r="B311" s="7" t="n"/>
      <c r="C311" s="7" t="n"/>
      <c r="D311" s="7" t="n"/>
      <c r="E311" s="7" t="n"/>
      <c r="F311" s="8" t="n"/>
      <c r="G311" s="7" t="n"/>
      <c r="H311" s="7" t="n"/>
      <c r="I311" s="7">
        <f>IF(C311="","",IFERROR(IF(INDEX(원생!$H$2:$H$501,MATCH(계산!$A311,계산!$E$2:$E$501,0))="예","예",""),""))</f>
        <v/>
      </c>
      <c r="J311" s="7" t="n"/>
    </row>
    <row r="312">
      <c r="A312" s="9" t="n"/>
      <c r="B312" s="7" t="n"/>
      <c r="C312" s="7" t="n"/>
      <c r="D312" s="7" t="n"/>
      <c r="E312" s="7" t="n"/>
      <c r="F312" s="8" t="n"/>
      <c r="G312" s="7" t="n"/>
      <c r="H312" s="7" t="n"/>
      <c r="I312" s="7">
        <f>IF(C312="","",IFERROR(IF(INDEX(원생!$H$2:$H$501,MATCH(계산!$A312,계산!$E$2:$E$501,0))="예","예",""),""))</f>
        <v/>
      </c>
      <c r="J312" s="7" t="n"/>
    </row>
    <row r="313">
      <c r="A313" s="9" t="n"/>
      <c r="B313" s="7" t="n"/>
      <c r="C313" s="7" t="n"/>
      <c r="D313" s="7" t="n"/>
      <c r="E313" s="7" t="n"/>
      <c r="F313" s="8" t="n"/>
      <c r="G313" s="7" t="n"/>
      <c r="H313" s="7" t="n"/>
      <c r="I313" s="7">
        <f>IF(C313="","",IFERROR(IF(INDEX(원생!$H$2:$H$501,MATCH(계산!$A313,계산!$E$2:$E$501,0))="예","예",""),""))</f>
        <v/>
      </c>
      <c r="J313" s="7" t="n"/>
    </row>
    <row r="314">
      <c r="A314" s="9" t="n"/>
      <c r="B314" s="7" t="n"/>
      <c r="C314" s="7" t="n"/>
      <c r="D314" s="7" t="n"/>
      <c r="E314" s="7" t="n"/>
      <c r="F314" s="8" t="n"/>
      <c r="G314" s="7" t="n"/>
      <c r="H314" s="7" t="n"/>
      <c r="I314" s="7">
        <f>IF(C314="","",IFERROR(IF(INDEX(원생!$H$2:$H$501,MATCH(계산!$A314,계산!$E$2:$E$501,0))="예","예",""),""))</f>
        <v/>
      </c>
      <c r="J314" s="7" t="n"/>
    </row>
    <row r="315">
      <c r="A315" s="9" t="n"/>
      <c r="B315" s="7" t="n"/>
      <c r="C315" s="7" t="n"/>
      <c r="D315" s="7" t="n"/>
      <c r="E315" s="7" t="n"/>
      <c r="F315" s="8" t="n"/>
      <c r="G315" s="7" t="n"/>
      <c r="H315" s="7" t="n"/>
      <c r="I315" s="7">
        <f>IF(C315="","",IFERROR(IF(INDEX(원생!$H$2:$H$501,MATCH(계산!$A315,계산!$E$2:$E$501,0))="예","예",""),""))</f>
        <v/>
      </c>
      <c r="J315" s="7" t="n"/>
    </row>
    <row r="316">
      <c r="A316" s="9" t="n"/>
      <c r="B316" s="7" t="n"/>
      <c r="C316" s="7" t="n"/>
      <c r="D316" s="7" t="n"/>
      <c r="E316" s="7" t="n"/>
      <c r="F316" s="8" t="n"/>
      <c r="G316" s="7" t="n"/>
      <c r="H316" s="7" t="n"/>
      <c r="I316" s="7">
        <f>IF(C316="","",IFERROR(IF(INDEX(원생!$H$2:$H$501,MATCH(계산!$A316,계산!$E$2:$E$501,0))="예","예",""),""))</f>
        <v/>
      </c>
      <c r="J316" s="7" t="n"/>
    </row>
    <row r="317">
      <c r="A317" s="9" t="n"/>
      <c r="B317" s="7" t="n"/>
      <c r="C317" s="7" t="n"/>
      <c r="D317" s="7" t="n"/>
      <c r="E317" s="7" t="n"/>
      <c r="F317" s="8" t="n"/>
      <c r="G317" s="7" t="n"/>
      <c r="H317" s="7" t="n"/>
      <c r="I317" s="7">
        <f>IF(C317="","",IFERROR(IF(INDEX(원생!$H$2:$H$501,MATCH(계산!$A317,계산!$E$2:$E$501,0))="예","예",""),""))</f>
        <v/>
      </c>
      <c r="J317" s="7" t="n"/>
    </row>
    <row r="318">
      <c r="A318" s="9" t="n"/>
      <c r="B318" s="7" t="n"/>
      <c r="C318" s="7" t="n"/>
      <c r="D318" s="7" t="n"/>
      <c r="E318" s="7" t="n"/>
      <c r="F318" s="8" t="n"/>
      <c r="G318" s="7" t="n"/>
      <c r="H318" s="7" t="n"/>
      <c r="I318" s="7">
        <f>IF(C318="","",IFERROR(IF(INDEX(원생!$H$2:$H$501,MATCH(계산!$A318,계산!$E$2:$E$501,0))="예","예",""),""))</f>
        <v/>
      </c>
      <c r="J318" s="7" t="n"/>
    </row>
    <row r="319">
      <c r="A319" s="9" t="n"/>
      <c r="B319" s="7" t="n"/>
      <c r="C319" s="7" t="n"/>
      <c r="D319" s="7" t="n"/>
      <c r="E319" s="7" t="n"/>
      <c r="F319" s="8" t="n"/>
      <c r="G319" s="7" t="n"/>
      <c r="H319" s="7" t="n"/>
      <c r="I319" s="7">
        <f>IF(C319="","",IFERROR(IF(INDEX(원생!$H$2:$H$501,MATCH(계산!$A319,계산!$E$2:$E$501,0))="예","예",""),""))</f>
        <v/>
      </c>
      <c r="J319" s="7" t="n"/>
    </row>
    <row r="320">
      <c r="A320" s="9" t="n"/>
      <c r="B320" s="7" t="n"/>
      <c r="C320" s="7" t="n"/>
      <c r="D320" s="7" t="n"/>
      <c r="E320" s="7" t="n"/>
      <c r="F320" s="8" t="n"/>
      <c r="G320" s="7" t="n"/>
      <c r="H320" s="7" t="n"/>
      <c r="I320" s="7">
        <f>IF(C320="","",IFERROR(IF(INDEX(원생!$H$2:$H$501,MATCH(계산!$A320,계산!$E$2:$E$501,0))="예","예",""),""))</f>
        <v/>
      </c>
      <c r="J320" s="7" t="n"/>
    </row>
    <row r="321">
      <c r="A321" s="9" t="n"/>
      <c r="B321" s="7" t="n"/>
      <c r="C321" s="7" t="n"/>
      <c r="D321" s="7" t="n"/>
      <c r="E321" s="7" t="n"/>
      <c r="F321" s="8" t="n"/>
      <c r="G321" s="7" t="n"/>
      <c r="H321" s="7" t="n"/>
      <c r="I321" s="7">
        <f>IF(C321="","",IFERROR(IF(INDEX(원생!$H$2:$H$501,MATCH(계산!$A321,계산!$E$2:$E$501,0))="예","예",""),""))</f>
        <v/>
      </c>
      <c r="J321" s="7" t="n"/>
    </row>
    <row r="322">
      <c r="A322" s="9" t="n"/>
      <c r="B322" s="7" t="n"/>
      <c r="C322" s="7" t="n"/>
      <c r="D322" s="7" t="n"/>
      <c r="E322" s="7" t="n"/>
      <c r="F322" s="8" t="n"/>
      <c r="G322" s="7" t="n"/>
      <c r="H322" s="7" t="n"/>
      <c r="I322" s="7">
        <f>IF(C322="","",IFERROR(IF(INDEX(원생!$H$2:$H$501,MATCH(계산!$A322,계산!$E$2:$E$501,0))="예","예",""),""))</f>
        <v/>
      </c>
      <c r="J322" s="7" t="n"/>
    </row>
    <row r="323">
      <c r="A323" s="9" t="n"/>
      <c r="B323" s="7" t="n"/>
      <c r="C323" s="7" t="n"/>
      <c r="D323" s="7" t="n"/>
      <c r="E323" s="7" t="n"/>
      <c r="F323" s="8" t="n"/>
      <c r="G323" s="7" t="n"/>
      <c r="H323" s="7" t="n"/>
      <c r="I323" s="7">
        <f>IF(C323="","",IFERROR(IF(INDEX(원생!$H$2:$H$501,MATCH(계산!$A323,계산!$E$2:$E$501,0))="예","예",""),""))</f>
        <v/>
      </c>
      <c r="J323" s="7" t="n"/>
    </row>
    <row r="324">
      <c r="A324" s="9" t="n"/>
      <c r="B324" s="7" t="n"/>
      <c r="C324" s="7" t="n"/>
      <c r="D324" s="7" t="n"/>
      <c r="E324" s="7" t="n"/>
      <c r="F324" s="8" t="n"/>
      <c r="G324" s="7" t="n"/>
      <c r="H324" s="7" t="n"/>
      <c r="I324" s="7">
        <f>IF(C324="","",IFERROR(IF(INDEX(원생!$H$2:$H$501,MATCH(계산!$A324,계산!$E$2:$E$501,0))="예","예",""),""))</f>
        <v/>
      </c>
      <c r="J324" s="7" t="n"/>
    </row>
    <row r="325">
      <c r="A325" s="9" t="n"/>
      <c r="B325" s="7" t="n"/>
      <c r="C325" s="7" t="n"/>
      <c r="D325" s="7" t="n"/>
      <c r="E325" s="7" t="n"/>
      <c r="F325" s="8" t="n"/>
      <c r="G325" s="7" t="n"/>
      <c r="H325" s="7" t="n"/>
      <c r="I325" s="7">
        <f>IF(C325="","",IFERROR(IF(INDEX(원생!$H$2:$H$501,MATCH(계산!$A325,계산!$E$2:$E$501,0))="예","예",""),""))</f>
        <v/>
      </c>
      <c r="J325" s="7" t="n"/>
    </row>
    <row r="326">
      <c r="A326" s="9" t="n"/>
      <c r="B326" s="7" t="n"/>
      <c r="C326" s="7" t="n"/>
      <c r="D326" s="7" t="n"/>
      <c r="E326" s="7" t="n"/>
      <c r="F326" s="8" t="n"/>
      <c r="G326" s="7" t="n"/>
      <c r="H326" s="7" t="n"/>
      <c r="I326" s="7">
        <f>IF(C326="","",IFERROR(IF(INDEX(원생!$H$2:$H$501,MATCH(계산!$A326,계산!$E$2:$E$501,0))="예","예",""),""))</f>
        <v/>
      </c>
      <c r="J326" s="7" t="n"/>
    </row>
    <row r="327">
      <c r="A327" s="9" t="n"/>
      <c r="B327" s="7" t="n"/>
      <c r="C327" s="7" t="n"/>
      <c r="D327" s="7" t="n"/>
      <c r="E327" s="7" t="n"/>
      <c r="F327" s="8" t="n"/>
      <c r="G327" s="7" t="n"/>
      <c r="H327" s="7" t="n"/>
      <c r="I327" s="7">
        <f>IF(C327="","",IFERROR(IF(INDEX(원생!$H$2:$H$501,MATCH(계산!$A327,계산!$E$2:$E$501,0))="예","예",""),""))</f>
        <v/>
      </c>
      <c r="J327" s="7" t="n"/>
    </row>
    <row r="328">
      <c r="A328" s="9" t="n"/>
      <c r="B328" s="7" t="n"/>
      <c r="C328" s="7" t="n"/>
      <c r="D328" s="7" t="n"/>
      <c r="E328" s="7" t="n"/>
      <c r="F328" s="8" t="n"/>
      <c r="G328" s="7" t="n"/>
      <c r="H328" s="7" t="n"/>
      <c r="I328" s="7">
        <f>IF(C328="","",IFERROR(IF(INDEX(원생!$H$2:$H$501,MATCH(계산!$A328,계산!$E$2:$E$501,0))="예","예",""),""))</f>
        <v/>
      </c>
      <c r="J328" s="7" t="n"/>
    </row>
    <row r="329">
      <c r="A329" s="9" t="n"/>
      <c r="B329" s="7" t="n"/>
      <c r="C329" s="7" t="n"/>
      <c r="D329" s="7" t="n"/>
      <c r="E329" s="7" t="n"/>
      <c r="F329" s="8" t="n"/>
      <c r="G329" s="7" t="n"/>
      <c r="H329" s="7" t="n"/>
      <c r="I329" s="7">
        <f>IF(C329="","",IFERROR(IF(INDEX(원생!$H$2:$H$501,MATCH(계산!$A329,계산!$E$2:$E$501,0))="예","예",""),""))</f>
        <v/>
      </c>
      <c r="J329" s="7" t="n"/>
    </row>
    <row r="330">
      <c r="A330" s="9" t="n"/>
      <c r="B330" s="7" t="n"/>
      <c r="C330" s="7" t="n"/>
      <c r="D330" s="7" t="n"/>
      <c r="E330" s="7" t="n"/>
      <c r="F330" s="8" t="n"/>
      <c r="G330" s="7" t="n"/>
      <c r="H330" s="7" t="n"/>
      <c r="I330" s="7">
        <f>IF(C330="","",IFERROR(IF(INDEX(원생!$H$2:$H$501,MATCH(계산!$A330,계산!$E$2:$E$501,0))="예","예",""),""))</f>
        <v/>
      </c>
      <c r="J330" s="7" t="n"/>
    </row>
    <row r="331">
      <c r="A331" s="9" t="n"/>
      <c r="B331" s="7" t="n"/>
      <c r="C331" s="7" t="n"/>
      <c r="D331" s="7" t="n"/>
      <c r="E331" s="7" t="n"/>
      <c r="F331" s="8" t="n"/>
      <c r="G331" s="7" t="n"/>
      <c r="H331" s="7" t="n"/>
      <c r="I331" s="7">
        <f>IF(C331="","",IFERROR(IF(INDEX(원생!$H$2:$H$501,MATCH(계산!$A331,계산!$E$2:$E$501,0))="예","예",""),""))</f>
        <v/>
      </c>
      <c r="J331" s="7" t="n"/>
    </row>
    <row r="332">
      <c r="A332" s="9" t="n"/>
      <c r="B332" s="7" t="n"/>
      <c r="C332" s="7" t="n"/>
      <c r="D332" s="7" t="n"/>
      <c r="E332" s="7" t="n"/>
      <c r="F332" s="8" t="n"/>
      <c r="G332" s="7" t="n"/>
      <c r="H332" s="7" t="n"/>
      <c r="I332" s="7">
        <f>IF(C332="","",IFERROR(IF(INDEX(원생!$H$2:$H$501,MATCH(계산!$A332,계산!$E$2:$E$501,0))="예","예",""),""))</f>
        <v/>
      </c>
      <c r="J332" s="7" t="n"/>
    </row>
    <row r="333">
      <c r="A333" s="9" t="n"/>
      <c r="B333" s="7" t="n"/>
      <c r="C333" s="7" t="n"/>
      <c r="D333" s="7" t="n"/>
      <c r="E333" s="7" t="n"/>
      <c r="F333" s="8" t="n"/>
      <c r="G333" s="7" t="n"/>
      <c r="H333" s="7" t="n"/>
      <c r="I333" s="7">
        <f>IF(C333="","",IFERROR(IF(INDEX(원생!$H$2:$H$501,MATCH(계산!$A333,계산!$E$2:$E$501,0))="예","예",""),""))</f>
        <v/>
      </c>
      <c r="J333" s="7" t="n"/>
    </row>
    <row r="334">
      <c r="A334" s="9" t="n"/>
      <c r="B334" s="7" t="n"/>
      <c r="C334" s="7" t="n"/>
      <c r="D334" s="7" t="n"/>
      <c r="E334" s="7" t="n"/>
      <c r="F334" s="8" t="n"/>
      <c r="G334" s="7" t="n"/>
      <c r="H334" s="7" t="n"/>
      <c r="I334" s="7">
        <f>IF(C334="","",IFERROR(IF(INDEX(원생!$H$2:$H$501,MATCH(계산!$A334,계산!$E$2:$E$501,0))="예","예",""),""))</f>
        <v/>
      </c>
      <c r="J334" s="7" t="n"/>
    </row>
    <row r="335">
      <c r="A335" s="9" t="n"/>
      <c r="B335" s="7" t="n"/>
      <c r="C335" s="7" t="n"/>
      <c r="D335" s="7" t="n"/>
      <c r="E335" s="7" t="n"/>
      <c r="F335" s="8" t="n"/>
      <c r="G335" s="7" t="n"/>
      <c r="H335" s="7" t="n"/>
      <c r="I335" s="7">
        <f>IF(C335="","",IFERROR(IF(INDEX(원생!$H$2:$H$501,MATCH(계산!$A335,계산!$E$2:$E$501,0))="예","예",""),""))</f>
        <v/>
      </c>
      <c r="J335" s="7" t="n"/>
    </row>
    <row r="336">
      <c r="A336" s="9" t="n"/>
      <c r="B336" s="7" t="n"/>
      <c r="C336" s="7" t="n"/>
      <c r="D336" s="7" t="n"/>
      <c r="E336" s="7" t="n"/>
      <c r="F336" s="8" t="n"/>
      <c r="G336" s="7" t="n"/>
      <c r="H336" s="7" t="n"/>
      <c r="I336" s="7">
        <f>IF(C336="","",IFERROR(IF(INDEX(원생!$H$2:$H$501,MATCH(계산!$A336,계산!$E$2:$E$501,0))="예","예",""),""))</f>
        <v/>
      </c>
      <c r="J336" s="7" t="n"/>
    </row>
    <row r="337">
      <c r="A337" s="9" t="n"/>
      <c r="B337" s="7" t="n"/>
      <c r="C337" s="7" t="n"/>
      <c r="D337" s="7" t="n"/>
      <c r="E337" s="7" t="n"/>
      <c r="F337" s="8" t="n"/>
      <c r="G337" s="7" t="n"/>
      <c r="H337" s="7" t="n"/>
      <c r="I337" s="7">
        <f>IF(C337="","",IFERROR(IF(INDEX(원생!$H$2:$H$501,MATCH(계산!$A337,계산!$E$2:$E$501,0))="예","예",""),""))</f>
        <v/>
      </c>
      <c r="J337" s="7" t="n"/>
    </row>
    <row r="338">
      <c r="A338" s="9" t="n"/>
      <c r="B338" s="7" t="n"/>
      <c r="C338" s="7" t="n"/>
      <c r="D338" s="7" t="n"/>
      <c r="E338" s="7" t="n"/>
      <c r="F338" s="8" t="n"/>
      <c r="G338" s="7" t="n"/>
      <c r="H338" s="7" t="n"/>
      <c r="I338" s="7">
        <f>IF(C338="","",IFERROR(IF(INDEX(원생!$H$2:$H$501,MATCH(계산!$A338,계산!$E$2:$E$501,0))="예","예",""),""))</f>
        <v/>
      </c>
      <c r="J338" s="7" t="n"/>
    </row>
    <row r="339">
      <c r="A339" s="9" t="n"/>
      <c r="B339" s="7" t="n"/>
      <c r="C339" s="7" t="n"/>
      <c r="D339" s="7" t="n"/>
      <c r="E339" s="7" t="n"/>
      <c r="F339" s="8" t="n"/>
      <c r="G339" s="7" t="n"/>
      <c r="H339" s="7" t="n"/>
      <c r="I339" s="7">
        <f>IF(C339="","",IFERROR(IF(INDEX(원생!$H$2:$H$501,MATCH(계산!$A339,계산!$E$2:$E$501,0))="예","예",""),""))</f>
        <v/>
      </c>
      <c r="J339" s="7" t="n"/>
    </row>
    <row r="340">
      <c r="A340" s="9" t="n"/>
      <c r="B340" s="7" t="n"/>
      <c r="C340" s="7" t="n"/>
      <c r="D340" s="7" t="n"/>
      <c r="E340" s="7" t="n"/>
      <c r="F340" s="8" t="n"/>
      <c r="G340" s="7" t="n"/>
      <c r="H340" s="7" t="n"/>
      <c r="I340" s="7">
        <f>IF(C340="","",IFERROR(IF(INDEX(원생!$H$2:$H$501,MATCH(계산!$A340,계산!$E$2:$E$501,0))="예","예",""),""))</f>
        <v/>
      </c>
      <c r="J340" s="7" t="n"/>
    </row>
    <row r="341">
      <c r="A341" s="9" t="n"/>
      <c r="B341" s="7" t="n"/>
      <c r="C341" s="7" t="n"/>
      <c r="D341" s="7" t="n"/>
      <c r="E341" s="7" t="n"/>
      <c r="F341" s="8" t="n"/>
      <c r="G341" s="7" t="n"/>
      <c r="H341" s="7" t="n"/>
      <c r="I341" s="7">
        <f>IF(C341="","",IFERROR(IF(INDEX(원생!$H$2:$H$501,MATCH(계산!$A341,계산!$E$2:$E$501,0))="예","예",""),""))</f>
        <v/>
      </c>
      <c r="J341" s="7" t="n"/>
    </row>
    <row r="342">
      <c r="A342" s="9" t="n"/>
      <c r="B342" s="7" t="n"/>
      <c r="C342" s="7" t="n"/>
      <c r="D342" s="7" t="n"/>
      <c r="E342" s="7" t="n"/>
      <c r="F342" s="8" t="n"/>
      <c r="G342" s="7" t="n"/>
      <c r="H342" s="7" t="n"/>
      <c r="I342" s="7">
        <f>IF(C342="","",IFERROR(IF(INDEX(원생!$H$2:$H$501,MATCH(계산!$A342,계산!$E$2:$E$501,0))="예","예",""),""))</f>
        <v/>
      </c>
      <c r="J342" s="7" t="n"/>
    </row>
    <row r="343">
      <c r="A343" s="9" t="n"/>
      <c r="B343" s="7" t="n"/>
      <c r="C343" s="7" t="n"/>
      <c r="D343" s="7" t="n"/>
      <c r="E343" s="7" t="n"/>
      <c r="F343" s="8" t="n"/>
      <c r="G343" s="7" t="n"/>
      <c r="H343" s="7" t="n"/>
      <c r="I343" s="7">
        <f>IF(C343="","",IFERROR(IF(INDEX(원생!$H$2:$H$501,MATCH(계산!$A343,계산!$E$2:$E$501,0))="예","예",""),""))</f>
        <v/>
      </c>
      <c r="J343" s="7" t="n"/>
    </row>
    <row r="344">
      <c r="A344" s="9" t="n"/>
      <c r="B344" s="7" t="n"/>
      <c r="C344" s="7" t="n"/>
      <c r="D344" s="7" t="n"/>
      <c r="E344" s="7" t="n"/>
      <c r="F344" s="8" t="n"/>
      <c r="G344" s="7" t="n"/>
      <c r="H344" s="7" t="n"/>
      <c r="I344" s="7">
        <f>IF(C344="","",IFERROR(IF(INDEX(원생!$H$2:$H$501,MATCH(계산!$A344,계산!$E$2:$E$501,0))="예","예",""),""))</f>
        <v/>
      </c>
      <c r="J344" s="7" t="n"/>
    </row>
    <row r="345">
      <c r="A345" s="9" t="n"/>
      <c r="B345" s="7" t="n"/>
      <c r="C345" s="7" t="n"/>
      <c r="D345" s="7" t="n"/>
      <c r="E345" s="7" t="n"/>
      <c r="F345" s="8" t="n"/>
      <c r="G345" s="7" t="n"/>
      <c r="H345" s="7" t="n"/>
      <c r="I345" s="7">
        <f>IF(C345="","",IFERROR(IF(INDEX(원생!$H$2:$H$501,MATCH(계산!$A345,계산!$E$2:$E$501,0))="예","예",""),""))</f>
        <v/>
      </c>
      <c r="J345" s="7" t="n"/>
    </row>
    <row r="346">
      <c r="A346" s="9" t="n"/>
      <c r="B346" s="7" t="n"/>
      <c r="C346" s="7" t="n"/>
      <c r="D346" s="7" t="n"/>
      <c r="E346" s="7" t="n"/>
      <c r="F346" s="8" t="n"/>
      <c r="G346" s="7" t="n"/>
      <c r="H346" s="7" t="n"/>
      <c r="I346" s="7">
        <f>IF(C346="","",IFERROR(IF(INDEX(원생!$H$2:$H$501,MATCH(계산!$A346,계산!$E$2:$E$501,0))="예","예",""),""))</f>
        <v/>
      </c>
      <c r="J346" s="7" t="n"/>
    </row>
    <row r="347">
      <c r="A347" s="9" t="n"/>
      <c r="B347" s="7" t="n"/>
      <c r="C347" s="7" t="n"/>
      <c r="D347" s="7" t="n"/>
      <c r="E347" s="7" t="n"/>
      <c r="F347" s="8" t="n"/>
      <c r="G347" s="7" t="n"/>
      <c r="H347" s="7" t="n"/>
      <c r="I347" s="7">
        <f>IF(C347="","",IFERROR(IF(INDEX(원생!$H$2:$H$501,MATCH(계산!$A347,계산!$E$2:$E$501,0))="예","예",""),""))</f>
        <v/>
      </c>
      <c r="J347" s="7" t="n"/>
    </row>
    <row r="348">
      <c r="A348" s="9" t="n"/>
      <c r="B348" s="7" t="n"/>
      <c r="C348" s="7" t="n"/>
      <c r="D348" s="7" t="n"/>
      <c r="E348" s="7" t="n"/>
      <c r="F348" s="8" t="n"/>
      <c r="G348" s="7" t="n"/>
      <c r="H348" s="7" t="n"/>
      <c r="I348" s="7">
        <f>IF(C348="","",IFERROR(IF(INDEX(원생!$H$2:$H$501,MATCH(계산!$A348,계산!$E$2:$E$501,0))="예","예",""),""))</f>
        <v/>
      </c>
      <c r="J348" s="7" t="n"/>
    </row>
    <row r="349">
      <c r="A349" s="9" t="n"/>
      <c r="B349" s="7" t="n"/>
      <c r="C349" s="7" t="n"/>
      <c r="D349" s="7" t="n"/>
      <c r="E349" s="7" t="n"/>
      <c r="F349" s="8" t="n"/>
      <c r="G349" s="7" t="n"/>
      <c r="H349" s="7" t="n"/>
      <c r="I349" s="7">
        <f>IF(C349="","",IFERROR(IF(INDEX(원생!$H$2:$H$501,MATCH(계산!$A349,계산!$E$2:$E$501,0))="예","예",""),""))</f>
        <v/>
      </c>
      <c r="J349" s="7" t="n"/>
    </row>
    <row r="350">
      <c r="A350" s="9" t="n"/>
      <c r="B350" s="7" t="n"/>
      <c r="C350" s="7" t="n"/>
      <c r="D350" s="7" t="n"/>
      <c r="E350" s="7" t="n"/>
      <c r="F350" s="8" t="n"/>
      <c r="G350" s="7" t="n"/>
      <c r="H350" s="7" t="n"/>
      <c r="I350" s="7">
        <f>IF(C350="","",IFERROR(IF(INDEX(원생!$H$2:$H$501,MATCH(계산!$A350,계산!$E$2:$E$501,0))="예","예",""),""))</f>
        <v/>
      </c>
      <c r="J350" s="7" t="n"/>
    </row>
    <row r="351">
      <c r="A351" s="9" t="n"/>
      <c r="B351" s="7" t="n"/>
      <c r="C351" s="7" t="n"/>
      <c r="D351" s="7" t="n"/>
      <c r="E351" s="7" t="n"/>
      <c r="F351" s="8" t="n"/>
      <c r="G351" s="7" t="n"/>
      <c r="H351" s="7" t="n"/>
      <c r="I351" s="7">
        <f>IF(C351="","",IFERROR(IF(INDEX(원생!$H$2:$H$501,MATCH(계산!$A351,계산!$E$2:$E$501,0))="예","예",""),""))</f>
        <v/>
      </c>
      <c r="J351" s="7" t="n"/>
    </row>
    <row r="352">
      <c r="A352" s="9" t="n"/>
      <c r="B352" s="7" t="n"/>
      <c r="C352" s="7" t="n"/>
      <c r="D352" s="7" t="n"/>
      <c r="E352" s="7" t="n"/>
      <c r="F352" s="8" t="n"/>
      <c r="G352" s="7" t="n"/>
      <c r="H352" s="7" t="n"/>
      <c r="I352" s="7">
        <f>IF(C352="","",IFERROR(IF(INDEX(원생!$H$2:$H$501,MATCH(계산!$A352,계산!$E$2:$E$501,0))="예","예",""),""))</f>
        <v/>
      </c>
      <c r="J352" s="7" t="n"/>
    </row>
    <row r="353">
      <c r="A353" s="9" t="n"/>
      <c r="B353" s="7" t="n"/>
      <c r="C353" s="7" t="n"/>
      <c r="D353" s="7" t="n"/>
      <c r="E353" s="7" t="n"/>
      <c r="F353" s="8" t="n"/>
      <c r="G353" s="7" t="n"/>
      <c r="H353" s="7" t="n"/>
      <c r="I353" s="7">
        <f>IF(C353="","",IFERROR(IF(INDEX(원생!$H$2:$H$501,MATCH(계산!$A353,계산!$E$2:$E$501,0))="예","예",""),""))</f>
        <v/>
      </c>
      <c r="J353" s="7" t="n"/>
    </row>
    <row r="354">
      <c r="A354" s="9" t="n"/>
      <c r="B354" s="7" t="n"/>
      <c r="C354" s="7" t="n"/>
      <c r="D354" s="7" t="n"/>
      <c r="E354" s="7" t="n"/>
      <c r="F354" s="8" t="n"/>
      <c r="G354" s="7" t="n"/>
      <c r="H354" s="7" t="n"/>
      <c r="I354" s="7">
        <f>IF(C354="","",IFERROR(IF(INDEX(원생!$H$2:$H$501,MATCH(계산!$A354,계산!$E$2:$E$501,0))="예","예",""),""))</f>
        <v/>
      </c>
      <c r="J354" s="7" t="n"/>
    </row>
    <row r="355">
      <c r="A355" s="9" t="n"/>
      <c r="B355" s="7" t="n"/>
      <c r="C355" s="7" t="n"/>
      <c r="D355" s="7" t="n"/>
      <c r="E355" s="7" t="n"/>
      <c r="F355" s="8" t="n"/>
      <c r="G355" s="7" t="n"/>
      <c r="H355" s="7" t="n"/>
      <c r="I355" s="7">
        <f>IF(C355="","",IFERROR(IF(INDEX(원생!$H$2:$H$501,MATCH(계산!$A355,계산!$E$2:$E$501,0))="예","예",""),""))</f>
        <v/>
      </c>
      <c r="J355" s="7" t="n"/>
    </row>
    <row r="356">
      <c r="A356" s="9" t="n"/>
      <c r="B356" s="7" t="n"/>
      <c r="C356" s="7" t="n"/>
      <c r="D356" s="7" t="n"/>
      <c r="E356" s="7" t="n"/>
      <c r="F356" s="8" t="n"/>
      <c r="G356" s="7" t="n"/>
      <c r="H356" s="7" t="n"/>
      <c r="I356" s="7">
        <f>IF(C356="","",IFERROR(IF(INDEX(원생!$H$2:$H$501,MATCH(계산!$A356,계산!$E$2:$E$501,0))="예","예",""),""))</f>
        <v/>
      </c>
      <c r="J356" s="7" t="n"/>
    </row>
    <row r="357">
      <c r="A357" s="9" t="n"/>
      <c r="B357" s="7" t="n"/>
      <c r="C357" s="7" t="n"/>
      <c r="D357" s="7" t="n"/>
      <c r="E357" s="7" t="n"/>
      <c r="F357" s="8" t="n"/>
      <c r="G357" s="7" t="n"/>
      <c r="H357" s="7" t="n"/>
      <c r="I357" s="7">
        <f>IF(C357="","",IFERROR(IF(INDEX(원생!$H$2:$H$501,MATCH(계산!$A357,계산!$E$2:$E$501,0))="예","예",""),""))</f>
        <v/>
      </c>
      <c r="J357" s="7" t="n"/>
    </row>
    <row r="358">
      <c r="A358" s="9" t="n"/>
      <c r="B358" s="7" t="n"/>
      <c r="C358" s="7" t="n"/>
      <c r="D358" s="7" t="n"/>
      <c r="E358" s="7" t="n"/>
      <c r="F358" s="8" t="n"/>
      <c r="G358" s="7" t="n"/>
      <c r="H358" s="7" t="n"/>
      <c r="I358" s="7">
        <f>IF(C358="","",IFERROR(IF(INDEX(원생!$H$2:$H$501,MATCH(계산!$A358,계산!$E$2:$E$501,0))="예","예",""),""))</f>
        <v/>
      </c>
      <c r="J358" s="7" t="n"/>
    </row>
    <row r="359">
      <c r="A359" s="9" t="n"/>
      <c r="B359" s="7" t="n"/>
      <c r="C359" s="7" t="n"/>
      <c r="D359" s="7" t="n"/>
      <c r="E359" s="7" t="n"/>
      <c r="F359" s="8" t="n"/>
      <c r="G359" s="7" t="n"/>
      <c r="H359" s="7" t="n"/>
      <c r="I359" s="7">
        <f>IF(C359="","",IFERROR(IF(INDEX(원생!$H$2:$H$501,MATCH(계산!$A359,계산!$E$2:$E$501,0))="예","예",""),""))</f>
        <v/>
      </c>
      <c r="J359" s="7" t="n"/>
    </row>
    <row r="360">
      <c r="A360" s="9" t="n"/>
      <c r="B360" s="7" t="n"/>
      <c r="C360" s="7" t="n"/>
      <c r="D360" s="7" t="n"/>
      <c r="E360" s="7" t="n"/>
      <c r="F360" s="8" t="n"/>
      <c r="G360" s="7" t="n"/>
      <c r="H360" s="7" t="n"/>
      <c r="I360" s="7">
        <f>IF(C360="","",IFERROR(IF(INDEX(원생!$H$2:$H$501,MATCH(계산!$A360,계산!$E$2:$E$501,0))="예","예",""),""))</f>
        <v/>
      </c>
      <c r="J360" s="7" t="n"/>
    </row>
    <row r="361">
      <c r="A361" s="9" t="n"/>
      <c r="B361" s="7" t="n"/>
      <c r="C361" s="7" t="n"/>
      <c r="D361" s="7" t="n"/>
      <c r="E361" s="7" t="n"/>
      <c r="F361" s="8" t="n"/>
      <c r="G361" s="7" t="n"/>
      <c r="H361" s="7" t="n"/>
      <c r="I361" s="7">
        <f>IF(C361="","",IFERROR(IF(INDEX(원생!$H$2:$H$501,MATCH(계산!$A361,계산!$E$2:$E$501,0))="예","예",""),""))</f>
        <v/>
      </c>
      <c r="J361" s="7" t="n"/>
    </row>
    <row r="362">
      <c r="A362" s="9" t="n"/>
      <c r="B362" s="7" t="n"/>
      <c r="C362" s="7" t="n"/>
      <c r="D362" s="7" t="n"/>
      <c r="E362" s="7" t="n"/>
      <c r="F362" s="8" t="n"/>
      <c r="G362" s="7" t="n"/>
      <c r="H362" s="7" t="n"/>
      <c r="I362" s="7">
        <f>IF(C362="","",IFERROR(IF(INDEX(원생!$H$2:$H$501,MATCH(계산!$A362,계산!$E$2:$E$501,0))="예","예",""),""))</f>
        <v/>
      </c>
      <c r="J362" s="7" t="n"/>
    </row>
    <row r="363">
      <c r="A363" s="9" t="n"/>
      <c r="B363" s="7" t="n"/>
      <c r="C363" s="7" t="n"/>
      <c r="D363" s="7" t="n"/>
      <c r="E363" s="7" t="n"/>
      <c r="F363" s="8" t="n"/>
      <c r="G363" s="7" t="n"/>
      <c r="H363" s="7" t="n"/>
      <c r="I363" s="7">
        <f>IF(C363="","",IFERROR(IF(INDEX(원생!$H$2:$H$501,MATCH(계산!$A363,계산!$E$2:$E$501,0))="예","예",""),""))</f>
        <v/>
      </c>
      <c r="J363" s="7" t="n"/>
    </row>
    <row r="364">
      <c r="A364" s="9" t="n"/>
      <c r="B364" s="7" t="n"/>
      <c r="C364" s="7" t="n"/>
      <c r="D364" s="7" t="n"/>
      <c r="E364" s="7" t="n"/>
      <c r="F364" s="8" t="n"/>
      <c r="G364" s="7" t="n"/>
      <c r="H364" s="7" t="n"/>
      <c r="I364" s="7">
        <f>IF(C364="","",IFERROR(IF(INDEX(원생!$H$2:$H$501,MATCH(계산!$A364,계산!$E$2:$E$501,0))="예","예",""),""))</f>
        <v/>
      </c>
      <c r="J364" s="7" t="n"/>
    </row>
    <row r="365">
      <c r="A365" s="9" t="n"/>
      <c r="B365" s="7" t="n"/>
      <c r="C365" s="7" t="n"/>
      <c r="D365" s="7" t="n"/>
      <c r="E365" s="7" t="n"/>
      <c r="F365" s="8" t="n"/>
      <c r="G365" s="7" t="n"/>
      <c r="H365" s="7" t="n"/>
      <c r="I365" s="7">
        <f>IF(C365="","",IFERROR(IF(INDEX(원생!$H$2:$H$501,MATCH(계산!$A365,계산!$E$2:$E$501,0))="예","예",""),""))</f>
        <v/>
      </c>
      <c r="J365" s="7" t="n"/>
    </row>
    <row r="366">
      <c r="A366" s="9" t="n"/>
      <c r="B366" s="7" t="n"/>
      <c r="C366" s="7" t="n"/>
      <c r="D366" s="7" t="n"/>
      <c r="E366" s="7" t="n"/>
      <c r="F366" s="8" t="n"/>
      <c r="G366" s="7" t="n"/>
      <c r="H366" s="7" t="n"/>
      <c r="I366" s="7">
        <f>IF(C366="","",IFERROR(IF(INDEX(원생!$H$2:$H$501,MATCH(계산!$A366,계산!$E$2:$E$501,0))="예","예",""),""))</f>
        <v/>
      </c>
      <c r="J366" s="7" t="n"/>
    </row>
    <row r="367">
      <c r="A367" s="9" t="n"/>
      <c r="B367" s="7" t="n"/>
      <c r="C367" s="7" t="n"/>
      <c r="D367" s="7" t="n"/>
      <c r="E367" s="7" t="n"/>
      <c r="F367" s="8" t="n"/>
      <c r="G367" s="7" t="n"/>
      <c r="H367" s="7" t="n"/>
      <c r="I367" s="7">
        <f>IF(C367="","",IFERROR(IF(INDEX(원생!$H$2:$H$501,MATCH(계산!$A367,계산!$E$2:$E$501,0))="예","예",""),""))</f>
        <v/>
      </c>
      <c r="J367" s="7" t="n"/>
    </row>
    <row r="368">
      <c r="A368" s="9" t="n"/>
      <c r="B368" s="7" t="n"/>
      <c r="C368" s="7" t="n"/>
      <c r="D368" s="7" t="n"/>
      <c r="E368" s="7" t="n"/>
      <c r="F368" s="8" t="n"/>
      <c r="G368" s="7" t="n"/>
      <c r="H368" s="7" t="n"/>
      <c r="I368" s="7">
        <f>IF(C368="","",IFERROR(IF(INDEX(원생!$H$2:$H$501,MATCH(계산!$A368,계산!$E$2:$E$501,0))="예","예",""),""))</f>
        <v/>
      </c>
      <c r="J368" s="7" t="n"/>
    </row>
    <row r="369">
      <c r="A369" s="9" t="n"/>
      <c r="B369" s="7" t="n"/>
      <c r="C369" s="7" t="n"/>
      <c r="D369" s="7" t="n"/>
      <c r="E369" s="7" t="n"/>
      <c r="F369" s="8" t="n"/>
      <c r="G369" s="7" t="n"/>
      <c r="H369" s="7" t="n"/>
      <c r="I369" s="7">
        <f>IF(C369="","",IFERROR(IF(INDEX(원생!$H$2:$H$501,MATCH(계산!$A369,계산!$E$2:$E$501,0))="예","예",""),""))</f>
        <v/>
      </c>
      <c r="J369" s="7" t="n"/>
    </row>
    <row r="370">
      <c r="A370" s="9" t="n"/>
      <c r="B370" s="7" t="n"/>
      <c r="C370" s="7" t="n"/>
      <c r="D370" s="7" t="n"/>
      <c r="E370" s="7" t="n"/>
      <c r="F370" s="8" t="n"/>
      <c r="G370" s="7" t="n"/>
      <c r="H370" s="7" t="n"/>
      <c r="I370" s="7">
        <f>IF(C370="","",IFERROR(IF(INDEX(원생!$H$2:$H$501,MATCH(계산!$A370,계산!$E$2:$E$501,0))="예","예",""),""))</f>
        <v/>
      </c>
      <c r="J370" s="7" t="n"/>
    </row>
    <row r="371">
      <c r="A371" s="9" t="n"/>
      <c r="B371" s="7" t="n"/>
      <c r="C371" s="7" t="n"/>
      <c r="D371" s="7" t="n"/>
      <c r="E371" s="7" t="n"/>
      <c r="F371" s="8" t="n"/>
      <c r="G371" s="7" t="n"/>
      <c r="H371" s="7" t="n"/>
      <c r="I371" s="7">
        <f>IF(C371="","",IFERROR(IF(INDEX(원생!$H$2:$H$501,MATCH(계산!$A371,계산!$E$2:$E$501,0))="예","예",""),""))</f>
        <v/>
      </c>
      <c r="J371" s="7" t="n"/>
    </row>
    <row r="372">
      <c r="A372" s="9" t="n"/>
      <c r="B372" s="7" t="n"/>
      <c r="C372" s="7" t="n"/>
      <c r="D372" s="7" t="n"/>
      <c r="E372" s="7" t="n"/>
      <c r="F372" s="8" t="n"/>
      <c r="G372" s="7" t="n"/>
      <c r="H372" s="7" t="n"/>
      <c r="I372" s="7">
        <f>IF(C372="","",IFERROR(IF(INDEX(원생!$H$2:$H$501,MATCH(계산!$A372,계산!$E$2:$E$501,0))="예","예",""),""))</f>
        <v/>
      </c>
      <c r="J372" s="7" t="n"/>
    </row>
    <row r="373">
      <c r="A373" s="9" t="n"/>
      <c r="B373" s="7" t="n"/>
      <c r="C373" s="7" t="n"/>
      <c r="D373" s="7" t="n"/>
      <c r="E373" s="7" t="n"/>
      <c r="F373" s="8" t="n"/>
      <c r="G373" s="7" t="n"/>
      <c r="H373" s="7" t="n"/>
      <c r="I373" s="7">
        <f>IF(C373="","",IFERROR(IF(INDEX(원생!$H$2:$H$501,MATCH(계산!$A373,계산!$E$2:$E$501,0))="예","예",""),""))</f>
        <v/>
      </c>
      <c r="J373" s="7" t="n"/>
    </row>
    <row r="374">
      <c r="A374" s="9" t="n"/>
      <c r="B374" s="7" t="n"/>
      <c r="C374" s="7" t="n"/>
      <c r="D374" s="7" t="n"/>
      <c r="E374" s="7" t="n"/>
      <c r="F374" s="8" t="n"/>
      <c r="G374" s="7" t="n"/>
      <c r="H374" s="7" t="n"/>
      <c r="I374" s="7">
        <f>IF(C374="","",IFERROR(IF(INDEX(원생!$H$2:$H$501,MATCH(계산!$A374,계산!$E$2:$E$501,0))="예","예",""),""))</f>
        <v/>
      </c>
      <c r="J374" s="7" t="n"/>
    </row>
    <row r="375">
      <c r="A375" s="9" t="n"/>
      <c r="B375" s="7" t="n"/>
      <c r="C375" s="7" t="n"/>
      <c r="D375" s="7" t="n"/>
      <c r="E375" s="7" t="n"/>
      <c r="F375" s="8" t="n"/>
      <c r="G375" s="7" t="n"/>
      <c r="H375" s="7" t="n"/>
      <c r="I375" s="7">
        <f>IF(C375="","",IFERROR(IF(INDEX(원생!$H$2:$H$501,MATCH(계산!$A375,계산!$E$2:$E$501,0))="예","예",""),""))</f>
        <v/>
      </c>
      <c r="J375" s="7" t="n"/>
    </row>
    <row r="376">
      <c r="A376" s="9" t="n"/>
      <c r="B376" s="7" t="n"/>
      <c r="C376" s="7" t="n"/>
      <c r="D376" s="7" t="n"/>
      <c r="E376" s="7" t="n"/>
      <c r="F376" s="8" t="n"/>
      <c r="G376" s="7" t="n"/>
      <c r="H376" s="7" t="n"/>
      <c r="I376" s="7">
        <f>IF(C376="","",IFERROR(IF(INDEX(원생!$H$2:$H$501,MATCH(계산!$A376,계산!$E$2:$E$501,0))="예","예",""),""))</f>
        <v/>
      </c>
      <c r="J376" s="7" t="n"/>
    </row>
    <row r="377">
      <c r="A377" s="9" t="n"/>
      <c r="B377" s="7" t="n"/>
      <c r="C377" s="7" t="n"/>
      <c r="D377" s="7" t="n"/>
      <c r="E377" s="7" t="n"/>
      <c r="F377" s="8" t="n"/>
      <c r="G377" s="7" t="n"/>
      <c r="H377" s="7" t="n"/>
      <c r="I377" s="7">
        <f>IF(C377="","",IFERROR(IF(INDEX(원생!$H$2:$H$501,MATCH(계산!$A377,계산!$E$2:$E$501,0))="예","예",""),""))</f>
        <v/>
      </c>
      <c r="J377" s="7" t="n"/>
    </row>
    <row r="378">
      <c r="A378" s="9" t="n"/>
      <c r="B378" s="7" t="n"/>
      <c r="C378" s="7" t="n"/>
      <c r="D378" s="7" t="n"/>
      <c r="E378" s="7" t="n"/>
      <c r="F378" s="8" t="n"/>
      <c r="G378" s="7" t="n"/>
      <c r="H378" s="7" t="n"/>
      <c r="I378" s="7">
        <f>IF(C378="","",IFERROR(IF(INDEX(원생!$H$2:$H$501,MATCH(계산!$A378,계산!$E$2:$E$501,0))="예","예",""),""))</f>
        <v/>
      </c>
      <c r="J378" s="7" t="n"/>
    </row>
    <row r="379">
      <c r="A379" s="9" t="n"/>
      <c r="B379" s="7" t="n"/>
      <c r="C379" s="7" t="n"/>
      <c r="D379" s="7" t="n"/>
      <c r="E379" s="7" t="n"/>
      <c r="F379" s="8" t="n"/>
      <c r="G379" s="7" t="n"/>
      <c r="H379" s="7" t="n"/>
      <c r="I379" s="7">
        <f>IF(C379="","",IFERROR(IF(INDEX(원생!$H$2:$H$501,MATCH(계산!$A379,계산!$E$2:$E$501,0))="예","예",""),""))</f>
        <v/>
      </c>
      <c r="J379" s="7" t="n"/>
    </row>
    <row r="380">
      <c r="A380" s="9" t="n"/>
      <c r="B380" s="7" t="n"/>
      <c r="C380" s="7" t="n"/>
      <c r="D380" s="7" t="n"/>
      <c r="E380" s="7" t="n"/>
      <c r="F380" s="8" t="n"/>
      <c r="G380" s="7" t="n"/>
      <c r="H380" s="7" t="n"/>
      <c r="I380" s="7">
        <f>IF(C380="","",IFERROR(IF(INDEX(원생!$H$2:$H$501,MATCH(계산!$A380,계산!$E$2:$E$501,0))="예","예",""),""))</f>
        <v/>
      </c>
      <c r="J380" s="7" t="n"/>
    </row>
    <row r="381">
      <c r="A381" s="9" t="n"/>
      <c r="B381" s="7" t="n"/>
      <c r="C381" s="7" t="n"/>
      <c r="D381" s="7" t="n"/>
      <c r="E381" s="7" t="n"/>
      <c r="F381" s="8" t="n"/>
      <c r="G381" s="7" t="n"/>
      <c r="H381" s="7" t="n"/>
      <c r="I381" s="7">
        <f>IF(C381="","",IFERROR(IF(INDEX(원생!$H$2:$H$501,MATCH(계산!$A381,계산!$E$2:$E$501,0))="예","예",""),""))</f>
        <v/>
      </c>
      <c r="J381" s="7" t="n"/>
    </row>
    <row r="382">
      <c r="A382" s="9" t="n"/>
      <c r="B382" s="7" t="n"/>
      <c r="C382" s="7" t="n"/>
      <c r="D382" s="7" t="n"/>
      <c r="E382" s="7" t="n"/>
      <c r="F382" s="8" t="n"/>
      <c r="G382" s="7" t="n"/>
      <c r="H382" s="7" t="n"/>
      <c r="I382" s="7">
        <f>IF(C382="","",IFERROR(IF(INDEX(원생!$H$2:$H$501,MATCH(계산!$A382,계산!$E$2:$E$501,0))="예","예",""),""))</f>
        <v/>
      </c>
      <c r="J382" s="7" t="n"/>
    </row>
    <row r="383">
      <c r="A383" s="9" t="n"/>
      <c r="B383" s="7" t="n"/>
      <c r="C383" s="7" t="n"/>
      <c r="D383" s="7" t="n"/>
      <c r="E383" s="7" t="n"/>
      <c r="F383" s="8" t="n"/>
      <c r="G383" s="7" t="n"/>
      <c r="H383" s="7" t="n"/>
      <c r="I383" s="7">
        <f>IF(C383="","",IFERROR(IF(INDEX(원생!$H$2:$H$501,MATCH(계산!$A383,계산!$E$2:$E$501,0))="예","예",""),""))</f>
        <v/>
      </c>
      <c r="J383" s="7" t="n"/>
    </row>
    <row r="384">
      <c r="A384" s="9" t="n"/>
      <c r="B384" s="7" t="n"/>
      <c r="C384" s="7" t="n"/>
      <c r="D384" s="7" t="n"/>
      <c r="E384" s="7" t="n"/>
      <c r="F384" s="8" t="n"/>
      <c r="G384" s="7" t="n"/>
      <c r="H384" s="7" t="n"/>
      <c r="I384" s="7">
        <f>IF(C384="","",IFERROR(IF(INDEX(원생!$H$2:$H$501,MATCH(계산!$A384,계산!$E$2:$E$501,0))="예","예",""),""))</f>
        <v/>
      </c>
      <c r="J384" s="7" t="n"/>
    </row>
    <row r="385">
      <c r="A385" s="9" t="n"/>
      <c r="B385" s="7" t="n"/>
      <c r="C385" s="7" t="n"/>
      <c r="D385" s="7" t="n"/>
      <c r="E385" s="7" t="n"/>
      <c r="F385" s="8" t="n"/>
      <c r="G385" s="7" t="n"/>
      <c r="H385" s="7" t="n"/>
      <c r="I385" s="7">
        <f>IF(C385="","",IFERROR(IF(INDEX(원생!$H$2:$H$501,MATCH(계산!$A385,계산!$E$2:$E$501,0))="예","예",""),""))</f>
        <v/>
      </c>
      <c r="J385" s="7" t="n"/>
    </row>
    <row r="386">
      <c r="A386" s="9" t="n"/>
      <c r="B386" s="7" t="n"/>
      <c r="C386" s="7" t="n"/>
      <c r="D386" s="7" t="n"/>
      <c r="E386" s="7" t="n"/>
      <c r="F386" s="8" t="n"/>
      <c r="G386" s="7" t="n"/>
      <c r="H386" s="7" t="n"/>
      <c r="I386" s="7">
        <f>IF(C386="","",IFERROR(IF(INDEX(원생!$H$2:$H$501,MATCH(계산!$A386,계산!$E$2:$E$501,0))="예","예",""),""))</f>
        <v/>
      </c>
      <c r="J386" s="7" t="n"/>
    </row>
    <row r="387">
      <c r="A387" s="9" t="n"/>
      <c r="B387" s="7" t="n"/>
      <c r="C387" s="7" t="n"/>
      <c r="D387" s="7" t="n"/>
      <c r="E387" s="7" t="n"/>
      <c r="F387" s="8" t="n"/>
      <c r="G387" s="7" t="n"/>
      <c r="H387" s="7" t="n"/>
      <c r="I387" s="7">
        <f>IF(C387="","",IFERROR(IF(INDEX(원생!$H$2:$H$501,MATCH(계산!$A387,계산!$E$2:$E$501,0))="예","예",""),""))</f>
        <v/>
      </c>
      <c r="J387" s="7" t="n"/>
    </row>
    <row r="388">
      <c r="A388" s="9" t="n"/>
      <c r="B388" s="7" t="n"/>
      <c r="C388" s="7" t="n"/>
      <c r="D388" s="7" t="n"/>
      <c r="E388" s="7" t="n"/>
      <c r="F388" s="8" t="n"/>
      <c r="G388" s="7" t="n"/>
      <c r="H388" s="7" t="n"/>
      <c r="I388" s="7">
        <f>IF(C388="","",IFERROR(IF(INDEX(원생!$H$2:$H$501,MATCH(계산!$A388,계산!$E$2:$E$501,0))="예","예",""),""))</f>
        <v/>
      </c>
      <c r="J388" s="7" t="n"/>
    </row>
    <row r="389">
      <c r="A389" s="9" t="n"/>
      <c r="B389" s="7" t="n"/>
      <c r="C389" s="7" t="n"/>
      <c r="D389" s="7" t="n"/>
      <c r="E389" s="7" t="n"/>
      <c r="F389" s="8" t="n"/>
      <c r="G389" s="7" t="n"/>
      <c r="H389" s="7" t="n"/>
      <c r="I389" s="7">
        <f>IF(C389="","",IFERROR(IF(INDEX(원생!$H$2:$H$501,MATCH(계산!$A389,계산!$E$2:$E$501,0))="예","예",""),""))</f>
        <v/>
      </c>
      <c r="J389" s="7" t="n"/>
    </row>
    <row r="390">
      <c r="A390" s="9" t="n"/>
      <c r="B390" s="7" t="n"/>
      <c r="C390" s="7" t="n"/>
      <c r="D390" s="7" t="n"/>
      <c r="E390" s="7" t="n"/>
      <c r="F390" s="8" t="n"/>
      <c r="G390" s="7" t="n"/>
      <c r="H390" s="7" t="n"/>
      <c r="I390" s="7">
        <f>IF(C390="","",IFERROR(IF(INDEX(원생!$H$2:$H$501,MATCH(계산!$A390,계산!$E$2:$E$501,0))="예","예",""),""))</f>
        <v/>
      </c>
      <c r="J390" s="7" t="n"/>
    </row>
    <row r="391">
      <c r="A391" s="9" t="n"/>
      <c r="B391" s="7" t="n"/>
      <c r="C391" s="7" t="n"/>
      <c r="D391" s="7" t="n"/>
      <c r="E391" s="7" t="n"/>
      <c r="F391" s="8" t="n"/>
      <c r="G391" s="7" t="n"/>
      <c r="H391" s="7" t="n"/>
      <c r="I391" s="7">
        <f>IF(C391="","",IFERROR(IF(INDEX(원생!$H$2:$H$501,MATCH(계산!$A391,계산!$E$2:$E$501,0))="예","예",""),""))</f>
        <v/>
      </c>
      <c r="J391" s="7" t="n"/>
    </row>
    <row r="392">
      <c r="A392" s="9" t="n"/>
      <c r="B392" s="7" t="n"/>
      <c r="C392" s="7" t="n"/>
      <c r="D392" s="7" t="n"/>
      <c r="E392" s="7" t="n"/>
      <c r="F392" s="8" t="n"/>
      <c r="G392" s="7" t="n"/>
      <c r="H392" s="7" t="n"/>
      <c r="I392" s="7">
        <f>IF(C392="","",IFERROR(IF(INDEX(원생!$H$2:$H$501,MATCH(계산!$A392,계산!$E$2:$E$501,0))="예","예",""),""))</f>
        <v/>
      </c>
      <c r="J392" s="7" t="n"/>
    </row>
    <row r="393">
      <c r="A393" s="9" t="n"/>
      <c r="B393" s="7" t="n"/>
      <c r="C393" s="7" t="n"/>
      <c r="D393" s="7" t="n"/>
      <c r="E393" s="7" t="n"/>
      <c r="F393" s="8" t="n"/>
      <c r="G393" s="7" t="n"/>
      <c r="H393" s="7" t="n"/>
      <c r="I393" s="7">
        <f>IF(C393="","",IFERROR(IF(INDEX(원생!$H$2:$H$501,MATCH(계산!$A393,계산!$E$2:$E$501,0))="예","예",""),""))</f>
        <v/>
      </c>
      <c r="J393" s="7" t="n"/>
    </row>
    <row r="394">
      <c r="A394" s="9" t="n"/>
      <c r="B394" s="7" t="n"/>
      <c r="C394" s="7" t="n"/>
      <c r="D394" s="7" t="n"/>
      <c r="E394" s="7" t="n"/>
      <c r="F394" s="8" t="n"/>
      <c r="G394" s="7" t="n"/>
      <c r="H394" s="7" t="n"/>
      <c r="I394" s="7">
        <f>IF(C394="","",IFERROR(IF(INDEX(원생!$H$2:$H$501,MATCH(계산!$A394,계산!$E$2:$E$501,0))="예","예",""),""))</f>
        <v/>
      </c>
      <c r="J394" s="7" t="n"/>
    </row>
    <row r="395">
      <c r="A395" s="9" t="n"/>
      <c r="B395" s="7" t="n"/>
      <c r="C395" s="7" t="n"/>
      <c r="D395" s="7" t="n"/>
      <c r="E395" s="7" t="n"/>
      <c r="F395" s="8" t="n"/>
      <c r="G395" s="7" t="n"/>
      <c r="H395" s="7" t="n"/>
      <c r="I395" s="7">
        <f>IF(C395="","",IFERROR(IF(INDEX(원생!$H$2:$H$501,MATCH(계산!$A395,계산!$E$2:$E$501,0))="예","예",""),""))</f>
        <v/>
      </c>
      <c r="J395" s="7" t="n"/>
    </row>
    <row r="396">
      <c r="A396" s="9" t="n"/>
      <c r="B396" s="7" t="n"/>
      <c r="C396" s="7" t="n"/>
      <c r="D396" s="7" t="n"/>
      <c r="E396" s="7" t="n"/>
      <c r="F396" s="8" t="n"/>
      <c r="G396" s="7" t="n"/>
      <c r="H396" s="7" t="n"/>
      <c r="I396" s="7">
        <f>IF(C396="","",IFERROR(IF(INDEX(원생!$H$2:$H$501,MATCH(계산!$A396,계산!$E$2:$E$501,0))="예","예",""),""))</f>
        <v/>
      </c>
      <c r="J396" s="7" t="n"/>
    </row>
    <row r="397">
      <c r="A397" s="9" t="n"/>
      <c r="B397" s="7" t="n"/>
      <c r="C397" s="7" t="n"/>
      <c r="D397" s="7" t="n"/>
      <c r="E397" s="7" t="n"/>
      <c r="F397" s="8" t="n"/>
      <c r="G397" s="7" t="n"/>
      <c r="H397" s="7" t="n"/>
      <c r="I397" s="7">
        <f>IF(C397="","",IFERROR(IF(INDEX(원생!$H$2:$H$501,MATCH(계산!$A397,계산!$E$2:$E$501,0))="예","예",""),""))</f>
        <v/>
      </c>
      <c r="J397" s="7" t="n"/>
    </row>
    <row r="398">
      <c r="A398" s="9" t="n"/>
      <c r="B398" s="7" t="n"/>
      <c r="C398" s="7" t="n"/>
      <c r="D398" s="7" t="n"/>
      <c r="E398" s="7" t="n"/>
      <c r="F398" s="8" t="n"/>
      <c r="G398" s="7" t="n"/>
      <c r="H398" s="7" t="n"/>
      <c r="I398" s="7">
        <f>IF(C398="","",IFERROR(IF(INDEX(원생!$H$2:$H$501,MATCH(계산!$A398,계산!$E$2:$E$501,0))="예","예",""),""))</f>
        <v/>
      </c>
      <c r="J398" s="7" t="n"/>
    </row>
    <row r="399">
      <c r="A399" s="9" t="n"/>
      <c r="B399" s="7" t="n"/>
      <c r="C399" s="7" t="n"/>
      <c r="D399" s="7" t="n"/>
      <c r="E399" s="7" t="n"/>
      <c r="F399" s="8" t="n"/>
      <c r="G399" s="7" t="n"/>
      <c r="H399" s="7" t="n"/>
      <c r="I399" s="7">
        <f>IF(C399="","",IFERROR(IF(INDEX(원생!$H$2:$H$501,MATCH(계산!$A399,계산!$E$2:$E$501,0))="예","예",""),""))</f>
        <v/>
      </c>
      <c r="J399" s="7" t="n"/>
    </row>
    <row r="400">
      <c r="A400" s="9" t="n"/>
      <c r="B400" s="7" t="n"/>
      <c r="C400" s="7" t="n"/>
      <c r="D400" s="7" t="n"/>
      <c r="E400" s="7" t="n"/>
      <c r="F400" s="8" t="n"/>
      <c r="G400" s="7" t="n"/>
      <c r="H400" s="7" t="n"/>
      <c r="I400" s="7">
        <f>IF(C400="","",IFERROR(IF(INDEX(원생!$H$2:$H$501,MATCH(계산!$A400,계산!$E$2:$E$501,0))="예","예",""),""))</f>
        <v/>
      </c>
      <c r="J400" s="7" t="n"/>
    </row>
    <row r="401">
      <c r="A401" s="9" t="n"/>
      <c r="B401" s="7" t="n"/>
      <c r="C401" s="7" t="n"/>
      <c r="D401" s="7" t="n"/>
      <c r="E401" s="7" t="n"/>
      <c r="F401" s="8" t="n"/>
      <c r="G401" s="7" t="n"/>
      <c r="H401" s="7" t="n"/>
      <c r="I401" s="7">
        <f>IF(C401="","",IFERROR(IF(INDEX(원생!$H$2:$H$501,MATCH(계산!$A401,계산!$E$2:$E$501,0))="예","예",""),""))</f>
        <v/>
      </c>
      <c r="J401" s="7" t="n"/>
    </row>
    <row r="402">
      <c r="A402" s="9" t="n"/>
      <c r="B402" s="7" t="n"/>
      <c r="C402" s="7" t="n"/>
      <c r="D402" s="7" t="n"/>
      <c r="E402" s="7" t="n"/>
      <c r="F402" s="8" t="n"/>
      <c r="G402" s="7" t="n"/>
      <c r="H402" s="7" t="n"/>
      <c r="I402" s="7">
        <f>IF(C402="","",IFERROR(IF(INDEX(원생!$H$2:$H$501,MATCH(계산!$A402,계산!$E$2:$E$501,0))="예","예",""),""))</f>
        <v/>
      </c>
      <c r="J402" s="7" t="n"/>
    </row>
    <row r="403">
      <c r="A403" s="9" t="n"/>
      <c r="B403" s="7" t="n"/>
      <c r="C403" s="7" t="n"/>
      <c r="D403" s="7" t="n"/>
      <c r="E403" s="7" t="n"/>
      <c r="F403" s="8" t="n"/>
      <c r="G403" s="7" t="n"/>
      <c r="H403" s="7" t="n"/>
      <c r="I403" s="7">
        <f>IF(C403="","",IFERROR(IF(INDEX(원생!$H$2:$H$501,MATCH(계산!$A403,계산!$E$2:$E$501,0))="예","예",""),""))</f>
        <v/>
      </c>
      <c r="J403" s="7" t="n"/>
    </row>
    <row r="404">
      <c r="A404" s="9" t="n"/>
      <c r="B404" s="7" t="n"/>
      <c r="C404" s="7" t="n"/>
      <c r="D404" s="7" t="n"/>
      <c r="E404" s="7" t="n"/>
      <c r="F404" s="8" t="n"/>
      <c r="G404" s="7" t="n"/>
      <c r="H404" s="7" t="n"/>
      <c r="I404" s="7">
        <f>IF(C404="","",IFERROR(IF(INDEX(원생!$H$2:$H$501,MATCH(계산!$A404,계산!$E$2:$E$501,0))="예","예",""),""))</f>
        <v/>
      </c>
      <c r="J404" s="7" t="n"/>
    </row>
    <row r="405">
      <c r="A405" s="9" t="n"/>
      <c r="B405" s="7" t="n"/>
      <c r="C405" s="7" t="n"/>
      <c r="D405" s="7" t="n"/>
      <c r="E405" s="7" t="n"/>
      <c r="F405" s="8" t="n"/>
      <c r="G405" s="7" t="n"/>
      <c r="H405" s="7" t="n"/>
      <c r="I405" s="7">
        <f>IF(C405="","",IFERROR(IF(INDEX(원생!$H$2:$H$501,MATCH(계산!$A405,계산!$E$2:$E$501,0))="예","예",""),""))</f>
        <v/>
      </c>
      <c r="J405" s="7" t="n"/>
    </row>
    <row r="406">
      <c r="A406" s="9" t="n"/>
      <c r="B406" s="7" t="n"/>
      <c r="C406" s="7" t="n"/>
      <c r="D406" s="7" t="n"/>
      <c r="E406" s="7" t="n"/>
      <c r="F406" s="8" t="n"/>
      <c r="G406" s="7" t="n"/>
      <c r="H406" s="7" t="n"/>
      <c r="I406" s="7">
        <f>IF(C406="","",IFERROR(IF(INDEX(원생!$H$2:$H$501,MATCH(계산!$A406,계산!$E$2:$E$501,0))="예","예",""),""))</f>
        <v/>
      </c>
      <c r="J406" s="7" t="n"/>
    </row>
    <row r="407">
      <c r="A407" s="9" t="n"/>
      <c r="B407" s="7" t="n"/>
      <c r="C407" s="7" t="n"/>
      <c r="D407" s="7" t="n"/>
      <c r="E407" s="7" t="n"/>
      <c r="F407" s="8" t="n"/>
      <c r="G407" s="7" t="n"/>
      <c r="H407" s="7" t="n"/>
      <c r="I407" s="7">
        <f>IF(C407="","",IFERROR(IF(INDEX(원생!$H$2:$H$501,MATCH(계산!$A407,계산!$E$2:$E$501,0))="예","예",""),""))</f>
        <v/>
      </c>
      <c r="J407" s="7" t="n"/>
    </row>
    <row r="408">
      <c r="A408" s="9" t="n"/>
      <c r="B408" s="7" t="n"/>
      <c r="C408" s="7" t="n"/>
      <c r="D408" s="7" t="n"/>
      <c r="E408" s="7" t="n"/>
      <c r="F408" s="8" t="n"/>
      <c r="G408" s="7" t="n"/>
      <c r="H408" s="7" t="n"/>
      <c r="I408" s="7">
        <f>IF(C408="","",IFERROR(IF(INDEX(원생!$H$2:$H$501,MATCH(계산!$A408,계산!$E$2:$E$501,0))="예","예",""),""))</f>
        <v/>
      </c>
      <c r="J408" s="7" t="n"/>
    </row>
    <row r="409">
      <c r="A409" s="9" t="n"/>
      <c r="B409" s="7" t="n"/>
      <c r="C409" s="7" t="n"/>
      <c r="D409" s="7" t="n"/>
      <c r="E409" s="7" t="n"/>
      <c r="F409" s="8" t="n"/>
      <c r="G409" s="7" t="n"/>
      <c r="H409" s="7" t="n"/>
      <c r="I409" s="7">
        <f>IF(C409="","",IFERROR(IF(INDEX(원생!$H$2:$H$501,MATCH(계산!$A409,계산!$E$2:$E$501,0))="예","예",""),""))</f>
        <v/>
      </c>
      <c r="J409" s="7" t="n"/>
    </row>
    <row r="410">
      <c r="A410" s="9" t="n"/>
      <c r="B410" s="7" t="n"/>
      <c r="C410" s="7" t="n"/>
      <c r="D410" s="7" t="n"/>
      <c r="E410" s="7" t="n"/>
      <c r="F410" s="8" t="n"/>
      <c r="G410" s="7" t="n"/>
      <c r="H410" s="7" t="n"/>
      <c r="I410" s="7">
        <f>IF(C410="","",IFERROR(IF(INDEX(원생!$H$2:$H$501,MATCH(계산!$A410,계산!$E$2:$E$501,0))="예","예",""),""))</f>
        <v/>
      </c>
      <c r="J410" s="7" t="n"/>
    </row>
    <row r="411">
      <c r="A411" s="9" t="n"/>
      <c r="B411" s="7" t="n"/>
      <c r="C411" s="7" t="n"/>
      <c r="D411" s="7" t="n"/>
      <c r="E411" s="7" t="n"/>
      <c r="F411" s="8" t="n"/>
      <c r="G411" s="7" t="n"/>
      <c r="H411" s="7" t="n"/>
      <c r="I411" s="7">
        <f>IF(C411="","",IFERROR(IF(INDEX(원생!$H$2:$H$501,MATCH(계산!$A411,계산!$E$2:$E$501,0))="예","예",""),""))</f>
        <v/>
      </c>
      <c r="J411" s="7" t="n"/>
    </row>
    <row r="412">
      <c r="A412" s="9" t="n"/>
      <c r="B412" s="7" t="n"/>
      <c r="C412" s="7" t="n"/>
      <c r="D412" s="7" t="n"/>
      <c r="E412" s="7" t="n"/>
      <c r="F412" s="8" t="n"/>
      <c r="G412" s="7" t="n"/>
      <c r="H412" s="7" t="n"/>
      <c r="I412" s="7">
        <f>IF(C412="","",IFERROR(IF(INDEX(원생!$H$2:$H$501,MATCH(계산!$A412,계산!$E$2:$E$501,0))="예","예",""),""))</f>
        <v/>
      </c>
      <c r="J412" s="7" t="n"/>
    </row>
    <row r="413">
      <c r="A413" s="9" t="n"/>
      <c r="B413" s="7" t="n"/>
      <c r="C413" s="7" t="n"/>
      <c r="D413" s="7" t="n"/>
      <c r="E413" s="7" t="n"/>
      <c r="F413" s="8" t="n"/>
      <c r="G413" s="7" t="n"/>
      <c r="H413" s="7" t="n"/>
      <c r="I413" s="7">
        <f>IF(C413="","",IFERROR(IF(INDEX(원생!$H$2:$H$501,MATCH(계산!$A413,계산!$E$2:$E$501,0))="예","예",""),""))</f>
        <v/>
      </c>
      <c r="J413" s="7" t="n"/>
    </row>
    <row r="414">
      <c r="A414" s="9" t="n"/>
      <c r="B414" s="7" t="n"/>
      <c r="C414" s="7" t="n"/>
      <c r="D414" s="7" t="n"/>
      <c r="E414" s="7" t="n"/>
      <c r="F414" s="8" t="n"/>
      <c r="G414" s="7" t="n"/>
      <c r="H414" s="7" t="n"/>
      <c r="I414" s="7">
        <f>IF(C414="","",IFERROR(IF(INDEX(원생!$H$2:$H$501,MATCH(계산!$A414,계산!$E$2:$E$501,0))="예","예",""),""))</f>
        <v/>
      </c>
      <c r="J414" s="7" t="n"/>
    </row>
    <row r="415">
      <c r="A415" s="9" t="n"/>
      <c r="B415" s="7" t="n"/>
      <c r="C415" s="7" t="n"/>
      <c r="D415" s="7" t="n"/>
      <c r="E415" s="7" t="n"/>
      <c r="F415" s="8" t="n"/>
      <c r="G415" s="7" t="n"/>
      <c r="H415" s="7" t="n"/>
      <c r="I415" s="7">
        <f>IF(C415="","",IFERROR(IF(INDEX(원생!$H$2:$H$501,MATCH(계산!$A415,계산!$E$2:$E$501,0))="예","예",""),""))</f>
        <v/>
      </c>
      <c r="J415" s="7" t="n"/>
    </row>
    <row r="416">
      <c r="A416" s="9" t="n"/>
      <c r="B416" s="7" t="n"/>
      <c r="C416" s="7" t="n"/>
      <c r="D416" s="7" t="n"/>
      <c r="E416" s="7" t="n"/>
      <c r="F416" s="8" t="n"/>
      <c r="G416" s="7" t="n"/>
      <c r="H416" s="7" t="n"/>
      <c r="I416" s="7">
        <f>IF(C416="","",IFERROR(IF(INDEX(원생!$H$2:$H$501,MATCH(계산!$A416,계산!$E$2:$E$501,0))="예","예",""),""))</f>
        <v/>
      </c>
      <c r="J416" s="7" t="n"/>
    </row>
    <row r="417">
      <c r="A417" s="9" t="n"/>
      <c r="B417" s="7" t="n"/>
      <c r="C417" s="7" t="n"/>
      <c r="D417" s="7" t="n"/>
      <c r="E417" s="7" t="n"/>
      <c r="F417" s="8" t="n"/>
      <c r="G417" s="7" t="n"/>
      <c r="H417" s="7" t="n"/>
      <c r="I417" s="7">
        <f>IF(C417="","",IFERROR(IF(INDEX(원생!$H$2:$H$501,MATCH(계산!$A417,계산!$E$2:$E$501,0))="예","예",""),""))</f>
        <v/>
      </c>
      <c r="J417" s="7" t="n"/>
    </row>
    <row r="418">
      <c r="A418" s="9" t="n"/>
      <c r="B418" s="7" t="n"/>
      <c r="C418" s="7" t="n"/>
      <c r="D418" s="7" t="n"/>
      <c r="E418" s="7" t="n"/>
      <c r="F418" s="8" t="n"/>
      <c r="G418" s="7" t="n"/>
      <c r="H418" s="7" t="n"/>
      <c r="I418" s="7">
        <f>IF(C418="","",IFERROR(IF(INDEX(원생!$H$2:$H$501,MATCH(계산!$A418,계산!$E$2:$E$501,0))="예","예",""),""))</f>
        <v/>
      </c>
      <c r="J418" s="7" t="n"/>
    </row>
    <row r="419">
      <c r="A419" s="9" t="n"/>
      <c r="B419" s="7" t="n"/>
      <c r="C419" s="7" t="n"/>
      <c r="D419" s="7" t="n"/>
      <c r="E419" s="7" t="n"/>
      <c r="F419" s="8" t="n"/>
      <c r="G419" s="7" t="n"/>
      <c r="H419" s="7" t="n"/>
      <c r="I419" s="7">
        <f>IF(C419="","",IFERROR(IF(INDEX(원생!$H$2:$H$501,MATCH(계산!$A419,계산!$E$2:$E$501,0))="예","예",""),""))</f>
        <v/>
      </c>
      <c r="J419" s="7" t="n"/>
    </row>
    <row r="420">
      <c r="A420" s="9" t="n"/>
      <c r="B420" s="7" t="n"/>
      <c r="C420" s="7" t="n"/>
      <c r="D420" s="7" t="n"/>
      <c r="E420" s="7" t="n"/>
      <c r="F420" s="8" t="n"/>
      <c r="G420" s="7" t="n"/>
      <c r="H420" s="7" t="n"/>
      <c r="I420" s="7">
        <f>IF(C420="","",IFERROR(IF(INDEX(원생!$H$2:$H$501,MATCH(계산!$A420,계산!$E$2:$E$501,0))="예","예",""),""))</f>
        <v/>
      </c>
      <c r="J420" s="7" t="n"/>
    </row>
    <row r="421">
      <c r="A421" s="9" t="n"/>
      <c r="B421" s="7" t="n"/>
      <c r="C421" s="7" t="n"/>
      <c r="D421" s="7" t="n"/>
      <c r="E421" s="7" t="n"/>
      <c r="F421" s="8" t="n"/>
      <c r="G421" s="7" t="n"/>
      <c r="H421" s="7" t="n"/>
      <c r="I421" s="7">
        <f>IF(C421="","",IFERROR(IF(INDEX(원생!$H$2:$H$501,MATCH(계산!$A421,계산!$E$2:$E$501,0))="예","예",""),""))</f>
        <v/>
      </c>
      <c r="J421" s="7" t="n"/>
    </row>
    <row r="422">
      <c r="A422" s="9" t="n"/>
      <c r="B422" s="7" t="n"/>
      <c r="C422" s="7" t="n"/>
      <c r="D422" s="7" t="n"/>
      <c r="E422" s="7" t="n"/>
      <c r="F422" s="8" t="n"/>
      <c r="G422" s="7" t="n"/>
      <c r="H422" s="7" t="n"/>
      <c r="I422" s="7">
        <f>IF(C422="","",IFERROR(IF(INDEX(원생!$H$2:$H$501,MATCH(계산!$A422,계산!$E$2:$E$501,0))="예","예",""),""))</f>
        <v/>
      </c>
      <c r="J422" s="7" t="n"/>
    </row>
    <row r="423">
      <c r="A423" s="9" t="n"/>
      <c r="B423" s="7" t="n"/>
      <c r="C423" s="7" t="n"/>
      <c r="D423" s="7" t="n"/>
      <c r="E423" s="7" t="n"/>
      <c r="F423" s="8" t="n"/>
      <c r="G423" s="7" t="n"/>
      <c r="H423" s="7" t="n"/>
      <c r="I423" s="7">
        <f>IF(C423="","",IFERROR(IF(INDEX(원생!$H$2:$H$501,MATCH(계산!$A423,계산!$E$2:$E$501,0))="예","예",""),""))</f>
        <v/>
      </c>
      <c r="J423" s="7" t="n"/>
    </row>
    <row r="424">
      <c r="A424" s="9" t="n"/>
      <c r="B424" s="7" t="n"/>
      <c r="C424" s="7" t="n"/>
      <c r="D424" s="7" t="n"/>
      <c r="E424" s="7" t="n"/>
      <c r="F424" s="8" t="n"/>
      <c r="G424" s="7" t="n"/>
      <c r="H424" s="7" t="n"/>
      <c r="I424" s="7">
        <f>IF(C424="","",IFERROR(IF(INDEX(원생!$H$2:$H$501,MATCH(계산!$A424,계산!$E$2:$E$501,0))="예","예",""),""))</f>
        <v/>
      </c>
      <c r="J424" s="7" t="n"/>
    </row>
    <row r="425">
      <c r="A425" s="9" t="n"/>
      <c r="B425" s="7" t="n"/>
      <c r="C425" s="7" t="n"/>
      <c r="D425" s="7" t="n"/>
      <c r="E425" s="7" t="n"/>
      <c r="F425" s="8" t="n"/>
      <c r="G425" s="7" t="n"/>
      <c r="H425" s="7" t="n"/>
      <c r="I425" s="7">
        <f>IF(C425="","",IFERROR(IF(INDEX(원생!$H$2:$H$501,MATCH(계산!$A425,계산!$E$2:$E$501,0))="예","예",""),""))</f>
        <v/>
      </c>
      <c r="J425" s="7" t="n"/>
    </row>
    <row r="426">
      <c r="A426" s="9" t="n"/>
      <c r="B426" s="7" t="n"/>
      <c r="C426" s="7" t="n"/>
      <c r="D426" s="7" t="n"/>
      <c r="E426" s="7" t="n"/>
      <c r="F426" s="8" t="n"/>
      <c r="G426" s="7" t="n"/>
      <c r="H426" s="7" t="n"/>
      <c r="I426" s="7">
        <f>IF(C426="","",IFERROR(IF(INDEX(원생!$H$2:$H$501,MATCH(계산!$A426,계산!$E$2:$E$501,0))="예","예",""),""))</f>
        <v/>
      </c>
      <c r="J426" s="7" t="n"/>
    </row>
    <row r="427">
      <c r="A427" s="9" t="n"/>
      <c r="B427" s="7" t="n"/>
      <c r="C427" s="7" t="n"/>
      <c r="D427" s="7" t="n"/>
      <c r="E427" s="7" t="n"/>
      <c r="F427" s="8" t="n"/>
      <c r="G427" s="7" t="n"/>
      <c r="H427" s="7" t="n"/>
      <c r="I427" s="7">
        <f>IF(C427="","",IFERROR(IF(INDEX(원생!$H$2:$H$501,MATCH(계산!$A427,계산!$E$2:$E$501,0))="예","예",""),""))</f>
        <v/>
      </c>
      <c r="J427" s="7" t="n"/>
    </row>
    <row r="428">
      <c r="A428" s="9" t="n"/>
      <c r="B428" s="7" t="n"/>
      <c r="C428" s="7" t="n"/>
      <c r="D428" s="7" t="n"/>
      <c r="E428" s="7" t="n"/>
      <c r="F428" s="8" t="n"/>
      <c r="G428" s="7" t="n"/>
      <c r="H428" s="7" t="n"/>
      <c r="I428" s="7">
        <f>IF(C428="","",IFERROR(IF(INDEX(원생!$H$2:$H$501,MATCH(계산!$A428,계산!$E$2:$E$501,0))="예","예",""),""))</f>
        <v/>
      </c>
      <c r="J428" s="7" t="n"/>
    </row>
    <row r="429">
      <c r="A429" s="9" t="n"/>
      <c r="B429" s="7" t="n"/>
      <c r="C429" s="7" t="n"/>
      <c r="D429" s="7" t="n"/>
      <c r="E429" s="7" t="n"/>
      <c r="F429" s="8" t="n"/>
      <c r="G429" s="7" t="n"/>
      <c r="H429" s="7" t="n"/>
      <c r="I429" s="7">
        <f>IF(C429="","",IFERROR(IF(INDEX(원생!$H$2:$H$501,MATCH(계산!$A429,계산!$E$2:$E$501,0))="예","예",""),""))</f>
        <v/>
      </c>
      <c r="J429" s="7" t="n"/>
    </row>
    <row r="430">
      <c r="A430" s="9" t="n"/>
      <c r="B430" s="7" t="n"/>
      <c r="C430" s="7" t="n"/>
      <c r="D430" s="7" t="n"/>
      <c r="E430" s="7" t="n"/>
      <c r="F430" s="8" t="n"/>
      <c r="G430" s="7" t="n"/>
      <c r="H430" s="7" t="n"/>
      <c r="I430" s="7">
        <f>IF(C430="","",IFERROR(IF(INDEX(원생!$H$2:$H$501,MATCH(계산!$A430,계산!$E$2:$E$501,0))="예","예",""),""))</f>
        <v/>
      </c>
      <c r="J430" s="7" t="n"/>
    </row>
    <row r="431">
      <c r="A431" s="9" t="n"/>
      <c r="B431" s="7" t="n"/>
      <c r="C431" s="7" t="n"/>
      <c r="D431" s="7" t="n"/>
      <c r="E431" s="7" t="n"/>
      <c r="F431" s="8" t="n"/>
      <c r="G431" s="7" t="n"/>
      <c r="H431" s="7" t="n"/>
      <c r="I431" s="7">
        <f>IF(C431="","",IFERROR(IF(INDEX(원생!$H$2:$H$501,MATCH(계산!$A431,계산!$E$2:$E$501,0))="예","예",""),""))</f>
        <v/>
      </c>
      <c r="J431" s="7" t="n"/>
    </row>
    <row r="432">
      <c r="A432" s="9" t="n"/>
      <c r="B432" s="7" t="n"/>
      <c r="C432" s="7" t="n"/>
      <c r="D432" s="7" t="n"/>
      <c r="E432" s="7" t="n"/>
      <c r="F432" s="8" t="n"/>
      <c r="G432" s="7" t="n"/>
      <c r="H432" s="7" t="n"/>
      <c r="I432" s="7">
        <f>IF(C432="","",IFERROR(IF(INDEX(원생!$H$2:$H$501,MATCH(계산!$A432,계산!$E$2:$E$501,0))="예","예",""),""))</f>
        <v/>
      </c>
      <c r="J432" s="7" t="n"/>
    </row>
    <row r="433">
      <c r="A433" s="9" t="n"/>
      <c r="B433" s="7" t="n"/>
      <c r="C433" s="7" t="n"/>
      <c r="D433" s="7" t="n"/>
      <c r="E433" s="7" t="n"/>
      <c r="F433" s="8" t="n"/>
      <c r="G433" s="7" t="n"/>
      <c r="H433" s="7" t="n"/>
      <c r="I433" s="7">
        <f>IF(C433="","",IFERROR(IF(INDEX(원생!$H$2:$H$501,MATCH(계산!$A433,계산!$E$2:$E$501,0))="예","예",""),""))</f>
        <v/>
      </c>
      <c r="J433" s="7" t="n"/>
    </row>
    <row r="434">
      <c r="A434" s="9" t="n"/>
      <c r="B434" s="7" t="n"/>
      <c r="C434" s="7" t="n"/>
      <c r="D434" s="7" t="n"/>
      <c r="E434" s="7" t="n"/>
      <c r="F434" s="8" t="n"/>
      <c r="G434" s="7" t="n"/>
      <c r="H434" s="7" t="n"/>
      <c r="I434" s="7">
        <f>IF(C434="","",IFERROR(IF(INDEX(원생!$H$2:$H$501,MATCH(계산!$A434,계산!$E$2:$E$501,0))="예","예",""),""))</f>
        <v/>
      </c>
      <c r="J434" s="7" t="n"/>
    </row>
    <row r="435">
      <c r="A435" s="9" t="n"/>
      <c r="B435" s="7" t="n"/>
      <c r="C435" s="7" t="n"/>
      <c r="D435" s="7" t="n"/>
      <c r="E435" s="7" t="n"/>
      <c r="F435" s="8" t="n"/>
      <c r="G435" s="7" t="n"/>
      <c r="H435" s="7" t="n"/>
      <c r="I435" s="7">
        <f>IF(C435="","",IFERROR(IF(INDEX(원생!$H$2:$H$501,MATCH(계산!$A435,계산!$E$2:$E$501,0))="예","예",""),""))</f>
        <v/>
      </c>
      <c r="J435" s="7" t="n"/>
    </row>
    <row r="436">
      <c r="A436" s="9" t="n"/>
      <c r="B436" s="7" t="n"/>
      <c r="C436" s="7" t="n"/>
      <c r="D436" s="7" t="n"/>
      <c r="E436" s="7" t="n"/>
      <c r="F436" s="8" t="n"/>
      <c r="G436" s="7" t="n"/>
      <c r="H436" s="7" t="n"/>
      <c r="I436" s="7">
        <f>IF(C436="","",IFERROR(IF(INDEX(원생!$H$2:$H$501,MATCH(계산!$A436,계산!$E$2:$E$501,0))="예","예",""),""))</f>
        <v/>
      </c>
      <c r="J436" s="7" t="n"/>
    </row>
    <row r="437">
      <c r="A437" s="9" t="n"/>
      <c r="B437" s="7" t="n"/>
      <c r="C437" s="7" t="n"/>
      <c r="D437" s="7" t="n"/>
      <c r="E437" s="7" t="n"/>
      <c r="F437" s="8" t="n"/>
      <c r="G437" s="7" t="n"/>
      <c r="H437" s="7" t="n"/>
      <c r="I437" s="7">
        <f>IF(C437="","",IFERROR(IF(INDEX(원생!$H$2:$H$501,MATCH(계산!$A437,계산!$E$2:$E$501,0))="예","예",""),""))</f>
        <v/>
      </c>
      <c r="J437" s="7" t="n"/>
    </row>
    <row r="438">
      <c r="A438" s="9" t="n"/>
      <c r="B438" s="7" t="n"/>
      <c r="C438" s="7" t="n"/>
      <c r="D438" s="7" t="n"/>
      <c r="E438" s="7" t="n"/>
      <c r="F438" s="8" t="n"/>
      <c r="G438" s="7" t="n"/>
      <c r="H438" s="7" t="n"/>
      <c r="I438" s="7">
        <f>IF(C438="","",IFERROR(IF(INDEX(원생!$H$2:$H$501,MATCH(계산!$A438,계산!$E$2:$E$501,0))="예","예",""),""))</f>
        <v/>
      </c>
      <c r="J438" s="7" t="n"/>
    </row>
    <row r="439">
      <c r="A439" s="9" t="n"/>
      <c r="B439" s="7" t="n"/>
      <c r="C439" s="7" t="n"/>
      <c r="D439" s="7" t="n"/>
      <c r="E439" s="7" t="n"/>
      <c r="F439" s="8" t="n"/>
      <c r="G439" s="7" t="n"/>
      <c r="H439" s="7" t="n"/>
      <c r="I439" s="7">
        <f>IF(C439="","",IFERROR(IF(INDEX(원생!$H$2:$H$501,MATCH(계산!$A439,계산!$E$2:$E$501,0))="예","예",""),""))</f>
        <v/>
      </c>
      <c r="J439" s="7" t="n"/>
    </row>
    <row r="440">
      <c r="A440" s="9" t="n"/>
      <c r="B440" s="7" t="n"/>
      <c r="C440" s="7" t="n"/>
      <c r="D440" s="7" t="n"/>
      <c r="E440" s="7" t="n"/>
      <c r="F440" s="8" t="n"/>
      <c r="G440" s="7" t="n"/>
      <c r="H440" s="7" t="n"/>
      <c r="I440" s="7">
        <f>IF(C440="","",IFERROR(IF(INDEX(원생!$H$2:$H$501,MATCH(계산!$A440,계산!$E$2:$E$501,0))="예","예",""),""))</f>
        <v/>
      </c>
      <c r="J440" s="7" t="n"/>
    </row>
    <row r="441">
      <c r="A441" s="9" t="n"/>
      <c r="B441" s="7" t="n"/>
      <c r="C441" s="7" t="n"/>
      <c r="D441" s="7" t="n"/>
      <c r="E441" s="7" t="n"/>
      <c r="F441" s="8" t="n"/>
      <c r="G441" s="7" t="n"/>
      <c r="H441" s="7" t="n"/>
      <c r="I441" s="7">
        <f>IF(C441="","",IFERROR(IF(INDEX(원생!$H$2:$H$501,MATCH(계산!$A441,계산!$E$2:$E$501,0))="예","예",""),""))</f>
        <v/>
      </c>
      <c r="J441" s="7" t="n"/>
    </row>
    <row r="442">
      <c r="A442" s="9" t="n"/>
      <c r="B442" s="7" t="n"/>
      <c r="C442" s="7" t="n"/>
      <c r="D442" s="7" t="n"/>
      <c r="E442" s="7" t="n"/>
      <c r="F442" s="8" t="n"/>
      <c r="G442" s="7" t="n"/>
      <c r="H442" s="7" t="n"/>
      <c r="I442" s="7">
        <f>IF(C442="","",IFERROR(IF(INDEX(원생!$H$2:$H$501,MATCH(계산!$A442,계산!$E$2:$E$501,0))="예","예",""),""))</f>
        <v/>
      </c>
      <c r="J442" s="7" t="n"/>
    </row>
    <row r="443">
      <c r="A443" s="9" t="n"/>
      <c r="B443" s="7" t="n"/>
      <c r="C443" s="7" t="n"/>
      <c r="D443" s="7" t="n"/>
      <c r="E443" s="7" t="n"/>
      <c r="F443" s="8" t="n"/>
      <c r="G443" s="7" t="n"/>
      <c r="H443" s="7" t="n"/>
      <c r="I443" s="7">
        <f>IF(C443="","",IFERROR(IF(INDEX(원생!$H$2:$H$501,MATCH(계산!$A443,계산!$E$2:$E$501,0))="예","예",""),""))</f>
        <v/>
      </c>
      <c r="J443" s="7" t="n"/>
    </row>
    <row r="444">
      <c r="A444" s="9" t="n"/>
      <c r="B444" s="7" t="n"/>
      <c r="C444" s="7" t="n"/>
      <c r="D444" s="7" t="n"/>
      <c r="E444" s="7" t="n"/>
      <c r="F444" s="8" t="n"/>
      <c r="G444" s="7" t="n"/>
      <c r="H444" s="7" t="n"/>
      <c r="I444" s="7">
        <f>IF(C444="","",IFERROR(IF(INDEX(원생!$H$2:$H$501,MATCH(계산!$A444,계산!$E$2:$E$501,0))="예","예",""),""))</f>
        <v/>
      </c>
      <c r="J444" s="7" t="n"/>
    </row>
    <row r="445">
      <c r="A445" s="9" t="n"/>
      <c r="B445" s="7" t="n"/>
      <c r="C445" s="7" t="n"/>
      <c r="D445" s="7" t="n"/>
      <c r="E445" s="7" t="n"/>
      <c r="F445" s="8" t="n"/>
      <c r="G445" s="7" t="n"/>
      <c r="H445" s="7" t="n"/>
      <c r="I445" s="7">
        <f>IF(C445="","",IFERROR(IF(INDEX(원생!$H$2:$H$501,MATCH(계산!$A445,계산!$E$2:$E$501,0))="예","예",""),""))</f>
        <v/>
      </c>
      <c r="J445" s="7" t="n"/>
    </row>
    <row r="446">
      <c r="A446" s="9" t="n"/>
      <c r="B446" s="7" t="n"/>
      <c r="C446" s="7" t="n"/>
      <c r="D446" s="7" t="n"/>
      <c r="E446" s="7" t="n"/>
      <c r="F446" s="8" t="n"/>
      <c r="G446" s="7" t="n"/>
      <c r="H446" s="7" t="n"/>
      <c r="I446" s="7">
        <f>IF(C446="","",IFERROR(IF(INDEX(원생!$H$2:$H$501,MATCH(계산!$A446,계산!$E$2:$E$501,0))="예","예",""),""))</f>
        <v/>
      </c>
      <c r="J446" s="7" t="n"/>
    </row>
    <row r="447">
      <c r="A447" s="9" t="n"/>
      <c r="B447" s="7" t="n"/>
      <c r="C447" s="7" t="n"/>
      <c r="D447" s="7" t="n"/>
      <c r="E447" s="7" t="n"/>
      <c r="F447" s="8" t="n"/>
      <c r="G447" s="7" t="n"/>
      <c r="H447" s="7" t="n"/>
      <c r="I447" s="7">
        <f>IF(C447="","",IFERROR(IF(INDEX(원생!$H$2:$H$501,MATCH(계산!$A447,계산!$E$2:$E$501,0))="예","예",""),""))</f>
        <v/>
      </c>
      <c r="J447" s="7" t="n"/>
    </row>
    <row r="448">
      <c r="A448" s="9" t="n"/>
      <c r="B448" s="7" t="n"/>
      <c r="C448" s="7" t="n"/>
      <c r="D448" s="7" t="n"/>
      <c r="E448" s="7" t="n"/>
      <c r="F448" s="8" t="n"/>
      <c r="G448" s="7" t="n"/>
      <c r="H448" s="7" t="n"/>
      <c r="I448" s="7">
        <f>IF(C448="","",IFERROR(IF(INDEX(원생!$H$2:$H$501,MATCH(계산!$A448,계산!$E$2:$E$501,0))="예","예",""),""))</f>
        <v/>
      </c>
      <c r="J448" s="7" t="n"/>
    </row>
    <row r="449">
      <c r="A449" s="9" t="n"/>
      <c r="B449" s="7" t="n"/>
      <c r="C449" s="7" t="n"/>
      <c r="D449" s="7" t="n"/>
      <c r="E449" s="7" t="n"/>
      <c r="F449" s="8" t="n"/>
      <c r="G449" s="7" t="n"/>
      <c r="H449" s="7" t="n"/>
      <c r="I449" s="7">
        <f>IF(C449="","",IFERROR(IF(INDEX(원생!$H$2:$H$501,MATCH(계산!$A449,계산!$E$2:$E$501,0))="예","예",""),""))</f>
        <v/>
      </c>
      <c r="J449" s="7" t="n"/>
    </row>
    <row r="450">
      <c r="A450" s="9" t="n"/>
      <c r="B450" s="7" t="n"/>
      <c r="C450" s="7" t="n"/>
      <c r="D450" s="7" t="n"/>
      <c r="E450" s="7" t="n"/>
      <c r="F450" s="8" t="n"/>
      <c r="G450" s="7" t="n"/>
      <c r="H450" s="7" t="n"/>
      <c r="I450" s="7">
        <f>IF(C450="","",IFERROR(IF(INDEX(원생!$H$2:$H$501,MATCH(계산!$A450,계산!$E$2:$E$501,0))="예","예",""),""))</f>
        <v/>
      </c>
      <c r="J450" s="7" t="n"/>
    </row>
    <row r="451">
      <c r="A451" s="9" t="n"/>
      <c r="B451" s="7" t="n"/>
      <c r="C451" s="7" t="n"/>
      <c r="D451" s="7" t="n"/>
      <c r="E451" s="7" t="n"/>
      <c r="F451" s="8" t="n"/>
      <c r="G451" s="7" t="n"/>
      <c r="H451" s="7" t="n"/>
      <c r="I451" s="7">
        <f>IF(C451="","",IFERROR(IF(INDEX(원생!$H$2:$H$501,MATCH(계산!$A451,계산!$E$2:$E$501,0))="예","예",""),""))</f>
        <v/>
      </c>
      <c r="J451" s="7" t="n"/>
    </row>
    <row r="452">
      <c r="A452" s="9" t="n"/>
      <c r="B452" s="7" t="n"/>
      <c r="C452" s="7" t="n"/>
      <c r="D452" s="7" t="n"/>
      <c r="E452" s="7" t="n"/>
      <c r="F452" s="8" t="n"/>
      <c r="G452" s="7" t="n"/>
      <c r="H452" s="7" t="n"/>
      <c r="I452" s="7">
        <f>IF(C452="","",IFERROR(IF(INDEX(원생!$H$2:$H$501,MATCH(계산!$A452,계산!$E$2:$E$501,0))="예","예",""),""))</f>
        <v/>
      </c>
      <c r="J452" s="7" t="n"/>
    </row>
    <row r="453">
      <c r="A453" s="9" t="n"/>
      <c r="B453" s="7" t="n"/>
      <c r="C453" s="7" t="n"/>
      <c r="D453" s="7" t="n"/>
      <c r="E453" s="7" t="n"/>
      <c r="F453" s="8" t="n"/>
      <c r="G453" s="7" t="n"/>
      <c r="H453" s="7" t="n"/>
      <c r="I453" s="7">
        <f>IF(C453="","",IFERROR(IF(INDEX(원생!$H$2:$H$501,MATCH(계산!$A453,계산!$E$2:$E$501,0))="예","예",""),""))</f>
        <v/>
      </c>
      <c r="J453" s="7" t="n"/>
    </row>
    <row r="454">
      <c r="A454" s="9" t="n"/>
      <c r="B454" s="7" t="n"/>
      <c r="C454" s="7" t="n"/>
      <c r="D454" s="7" t="n"/>
      <c r="E454" s="7" t="n"/>
      <c r="F454" s="8" t="n"/>
      <c r="G454" s="7" t="n"/>
      <c r="H454" s="7" t="n"/>
      <c r="I454" s="7">
        <f>IF(C454="","",IFERROR(IF(INDEX(원생!$H$2:$H$501,MATCH(계산!$A454,계산!$E$2:$E$501,0))="예","예",""),""))</f>
        <v/>
      </c>
      <c r="J454" s="7" t="n"/>
    </row>
    <row r="455">
      <c r="A455" s="9" t="n"/>
      <c r="B455" s="7" t="n"/>
      <c r="C455" s="7" t="n"/>
      <c r="D455" s="7" t="n"/>
      <c r="E455" s="7" t="n"/>
      <c r="F455" s="8" t="n"/>
      <c r="G455" s="7" t="n"/>
      <c r="H455" s="7" t="n"/>
      <c r="I455" s="7">
        <f>IF(C455="","",IFERROR(IF(INDEX(원생!$H$2:$H$501,MATCH(계산!$A455,계산!$E$2:$E$501,0))="예","예",""),""))</f>
        <v/>
      </c>
      <c r="J455" s="7" t="n"/>
    </row>
    <row r="456">
      <c r="A456" s="9" t="n"/>
      <c r="B456" s="7" t="n"/>
      <c r="C456" s="7" t="n"/>
      <c r="D456" s="7" t="n"/>
      <c r="E456" s="7" t="n"/>
      <c r="F456" s="8" t="n"/>
      <c r="G456" s="7" t="n"/>
      <c r="H456" s="7" t="n"/>
      <c r="I456" s="7">
        <f>IF(C456="","",IFERROR(IF(INDEX(원생!$H$2:$H$501,MATCH(계산!$A456,계산!$E$2:$E$501,0))="예","예",""),""))</f>
        <v/>
      </c>
      <c r="J456" s="7" t="n"/>
    </row>
    <row r="457">
      <c r="A457" s="9" t="n"/>
      <c r="B457" s="7" t="n"/>
      <c r="C457" s="7" t="n"/>
      <c r="D457" s="7" t="n"/>
      <c r="E457" s="7" t="n"/>
      <c r="F457" s="8" t="n"/>
      <c r="G457" s="7" t="n"/>
      <c r="H457" s="7" t="n"/>
      <c r="I457" s="7">
        <f>IF(C457="","",IFERROR(IF(INDEX(원생!$H$2:$H$501,MATCH(계산!$A457,계산!$E$2:$E$501,0))="예","예",""),""))</f>
        <v/>
      </c>
      <c r="J457" s="7" t="n"/>
    </row>
    <row r="458">
      <c r="A458" s="9" t="n"/>
      <c r="B458" s="7" t="n"/>
      <c r="C458" s="7" t="n"/>
      <c r="D458" s="7" t="n"/>
      <c r="E458" s="7" t="n"/>
      <c r="F458" s="8" t="n"/>
      <c r="G458" s="7" t="n"/>
      <c r="H458" s="7" t="n"/>
      <c r="I458" s="7">
        <f>IF(C458="","",IFERROR(IF(INDEX(원생!$H$2:$H$501,MATCH(계산!$A458,계산!$E$2:$E$501,0))="예","예",""),""))</f>
        <v/>
      </c>
      <c r="J458" s="7" t="n"/>
    </row>
    <row r="459">
      <c r="A459" s="9" t="n"/>
      <c r="B459" s="7" t="n"/>
      <c r="C459" s="7" t="n"/>
      <c r="D459" s="7" t="n"/>
      <c r="E459" s="7" t="n"/>
      <c r="F459" s="8" t="n"/>
      <c r="G459" s="7" t="n"/>
      <c r="H459" s="7" t="n"/>
      <c r="I459" s="7">
        <f>IF(C459="","",IFERROR(IF(INDEX(원생!$H$2:$H$501,MATCH(계산!$A459,계산!$E$2:$E$501,0))="예","예",""),""))</f>
        <v/>
      </c>
      <c r="J459" s="7" t="n"/>
    </row>
    <row r="460">
      <c r="A460" s="9" t="n"/>
      <c r="B460" s="7" t="n"/>
      <c r="C460" s="7" t="n"/>
      <c r="D460" s="7" t="n"/>
      <c r="E460" s="7" t="n"/>
      <c r="F460" s="8" t="n"/>
      <c r="G460" s="7" t="n"/>
      <c r="H460" s="7" t="n"/>
      <c r="I460" s="7">
        <f>IF(C460="","",IFERROR(IF(INDEX(원생!$H$2:$H$501,MATCH(계산!$A460,계산!$E$2:$E$501,0))="예","예",""),""))</f>
        <v/>
      </c>
      <c r="J460" s="7" t="n"/>
    </row>
    <row r="461">
      <c r="A461" s="9" t="n"/>
      <c r="B461" s="7" t="n"/>
      <c r="C461" s="7" t="n"/>
      <c r="D461" s="7" t="n"/>
      <c r="E461" s="7" t="n"/>
      <c r="F461" s="8" t="n"/>
      <c r="G461" s="7" t="n"/>
      <c r="H461" s="7" t="n"/>
      <c r="I461" s="7">
        <f>IF(C461="","",IFERROR(IF(INDEX(원생!$H$2:$H$501,MATCH(계산!$A461,계산!$E$2:$E$501,0))="예","예",""),""))</f>
        <v/>
      </c>
      <c r="J461" s="7" t="n"/>
    </row>
    <row r="462">
      <c r="A462" s="9" t="n"/>
      <c r="B462" s="7" t="n"/>
      <c r="C462" s="7" t="n"/>
      <c r="D462" s="7" t="n"/>
      <c r="E462" s="7" t="n"/>
      <c r="F462" s="8" t="n"/>
      <c r="G462" s="7" t="n"/>
      <c r="H462" s="7" t="n"/>
      <c r="I462" s="7">
        <f>IF(C462="","",IFERROR(IF(INDEX(원생!$H$2:$H$501,MATCH(계산!$A462,계산!$E$2:$E$501,0))="예","예",""),""))</f>
        <v/>
      </c>
      <c r="J462" s="7" t="n"/>
    </row>
    <row r="463">
      <c r="A463" s="9" t="n"/>
      <c r="B463" s="7" t="n"/>
      <c r="C463" s="7" t="n"/>
      <c r="D463" s="7" t="n"/>
      <c r="E463" s="7" t="n"/>
      <c r="F463" s="8" t="n"/>
      <c r="G463" s="7" t="n"/>
      <c r="H463" s="7" t="n"/>
      <c r="I463" s="7">
        <f>IF(C463="","",IFERROR(IF(INDEX(원생!$H$2:$H$501,MATCH(계산!$A463,계산!$E$2:$E$501,0))="예","예",""),""))</f>
        <v/>
      </c>
      <c r="J463" s="7" t="n"/>
    </row>
    <row r="464">
      <c r="A464" s="9" t="n"/>
      <c r="B464" s="7" t="n"/>
      <c r="C464" s="7" t="n"/>
      <c r="D464" s="7" t="n"/>
      <c r="E464" s="7" t="n"/>
      <c r="F464" s="8" t="n"/>
      <c r="G464" s="7" t="n"/>
      <c r="H464" s="7" t="n"/>
      <c r="I464" s="7">
        <f>IF(C464="","",IFERROR(IF(INDEX(원생!$H$2:$H$501,MATCH(계산!$A464,계산!$E$2:$E$501,0))="예","예",""),""))</f>
        <v/>
      </c>
      <c r="J464" s="7" t="n"/>
    </row>
    <row r="465">
      <c r="A465" s="9" t="n"/>
      <c r="B465" s="7" t="n"/>
      <c r="C465" s="7" t="n"/>
      <c r="D465" s="7" t="n"/>
      <c r="E465" s="7" t="n"/>
      <c r="F465" s="8" t="n"/>
      <c r="G465" s="7" t="n"/>
      <c r="H465" s="7" t="n"/>
      <c r="I465" s="7">
        <f>IF(C465="","",IFERROR(IF(INDEX(원생!$H$2:$H$501,MATCH(계산!$A465,계산!$E$2:$E$501,0))="예","예",""),""))</f>
        <v/>
      </c>
      <c r="J465" s="7" t="n"/>
    </row>
    <row r="466">
      <c r="A466" s="9" t="n"/>
      <c r="B466" s="7" t="n"/>
      <c r="C466" s="7" t="n"/>
      <c r="D466" s="7" t="n"/>
      <c r="E466" s="7" t="n"/>
      <c r="F466" s="8" t="n"/>
      <c r="G466" s="7" t="n"/>
      <c r="H466" s="7" t="n"/>
      <c r="I466" s="7">
        <f>IF(C466="","",IFERROR(IF(INDEX(원생!$H$2:$H$501,MATCH(계산!$A466,계산!$E$2:$E$501,0))="예","예",""),""))</f>
        <v/>
      </c>
      <c r="J466" s="7" t="n"/>
    </row>
    <row r="467">
      <c r="A467" s="9" t="n"/>
      <c r="B467" s="7" t="n"/>
      <c r="C467" s="7" t="n"/>
      <c r="D467" s="7" t="n"/>
      <c r="E467" s="7" t="n"/>
      <c r="F467" s="8" t="n"/>
      <c r="G467" s="7" t="n"/>
      <c r="H467" s="7" t="n"/>
      <c r="I467" s="7">
        <f>IF(C467="","",IFERROR(IF(INDEX(원생!$H$2:$H$501,MATCH(계산!$A467,계산!$E$2:$E$501,0))="예","예",""),""))</f>
        <v/>
      </c>
      <c r="J467" s="7" t="n"/>
    </row>
    <row r="468">
      <c r="A468" s="9" t="n"/>
      <c r="B468" s="7" t="n"/>
      <c r="C468" s="7" t="n"/>
      <c r="D468" s="7" t="n"/>
      <c r="E468" s="7" t="n"/>
      <c r="F468" s="8" t="n"/>
      <c r="G468" s="7" t="n"/>
      <c r="H468" s="7" t="n"/>
      <c r="I468" s="7">
        <f>IF(C468="","",IFERROR(IF(INDEX(원생!$H$2:$H$501,MATCH(계산!$A468,계산!$E$2:$E$501,0))="예","예",""),""))</f>
        <v/>
      </c>
      <c r="J468" s="7" t="n"/>
    </row>
    <row r="469">
      <c r="A469" s="9" t="n"/>
      <c r="B469" s="7" t="n"/>
      <c r="C469" s="7" t="n"/>
      <c r="D469" s="7" t="n"/>
      <c r="E469" s="7" t="n"/>
      <c r="F469" s="8" t="n"/>
      <c r="G469" s="7" t="n"/>
      <c r="H469" s="7" t="n"/>
      <c r="I469" s="7">
        <f>IF(C469="","",IFERROR(IF(INDEX(원생!$H$2:$H$501,MATCH(계산!$A469,계산!$E$2:$E$501,0))="예","예",""),""))</f>
        <v/>
      </c>
      <c r="J469" s="7" t="n"/>
    </row>
    <row r="470">
      <c r="A470" s="9" t="n"/>
      <c r="B470" s="7" t="n"/>
      <c r="C470" s="7" t="n"/>
      <c r="D470" s="7" t="n"/>
      <c r="E470" s="7" t="n"/>
      <c r="F470" s="8" t="n"/>
      <c r="G470" s="7" t="n"/>
      <c r="H470" s="7" t="n"/>
      <c r="I470" s="7">
        <f>IF(C470="","",IFERROR(IF(INDEX(원생!$H$2:$H$501,MATCH(계산!$A470,계산!$E$2:$E$501,0))="예","예",""),""))</f>
        <v/>
      </c>
      <c r="J470" s="7" t="n"/>
    </row>
    <row r="471">
      <c r="A471" s="9" t="n"/>
      <c r="B471" s="7" t="n"/>
      <c r="C471" s="7" t="n"/>
      <c r="D471" s="7" t="n"/>
      <c r="E471" s="7" t="n"/>
      <c r="F471" s="8" t="n"/>
      <c r="G471" s="7" t="n"/>
      <c r="H471" s="7" t="n"/>
      <c r="I471" s="7">
        <f>IF(C471="","",IFERROR(IF(INDEX(원생!$H$2:$H$501,MATCH(계산!$A471,계산!$E$2:$E$501,0))="예","예",""),""))</f>
        <v/>
      </c>
      <c r="J471" s="7" t="n"/>
    </row>
    <row r="472">
      <c r="A472" s="9" t="n"/>
      <c r="B472" s="7" t="n"/>
      <c r="C472" s="7" t="n"/>
      <c r="D472" s="7" t="n"/>
      <c r="E472" s="7" t="n"/>
      <c r="F472" s="8" t="n"/>
      <c r="G472" s="7" t="n"/>
      <c r="H472" s="7" t="n"/>
      <c r="I472" s="7">
        <f>IF(C472="","",IFERROR(IF(INDEX(원생!$H$2:$H$501,MATCH(계산!$A472,계산!$E$2:$E$501,0))="예","예",""),""))</f>
        <v/>
      </c>
      <c r="J472" s="7" t="n"/>
    </row>
    <row r="473">
      <c r="A473" s="9" t="n"/>
      <c r="B473" s="7" t="n"/>
      <c r="C473" s="7" t="n"/>
      <c r="D473" s="7" t="n"/>
      <c r="E473" s="7" t="n"/>
      <c r="F473" s="8" t="n"/>
      <c r="G473" s="7" t="n"/>
      <c r="H473" s="7" t="n"/>
      <c r="I473" s="7">
        <f>IF(C473="","",IFERROR(IF(INDEX(원생!$H$2:$H$501,MATCH(계산!$A473,계산!$E$2:$E$501,0))="예","예",""),""))</f>
        <v/>
      </c>
      <c r="J473" s="7" t="n"/>
    </row>
    <row r="474">
      <c r="A474" s="9" t="n"/>
      <c r="B474" s="7" t="n"/>
      <c r="C474" s="7" t="n"/>
      <c r="D474" s="7" t="n"/>
      <c r="E474" s="7" t="n"/>
      <c r="F474" s="8" t="n"/>
      <c r="G474" s="7" t="n"/>
      <c r="H474" s="7" t="n"/>
      <c r="I474" s="7">
        <f>IF(C474="","",IFERROR(IF(INDEX(원생!$H$2:$H$501,MATCH(계산!$A474,계산!$E$2:$E$501,0))="예","예",""),""))</f>
        <v/>
      </c>
      <c r="J474" s="7" t="n"/>
    </row>
    <row r="475">
      <c r="A475" s="9" t="n"/>
      <c r="B475" s="7" t="n"/>
      <c r="C475" s="7" t="n"/>
      <c r="D475" s="7" t="n"/>
      <c r="E475" s="7" t="n"/>
      <c r="F475" s="8" t="n"/>
      <c r="G475" s="7" t="n"/>
      <c r="H475" s="7" t="n"/>
      <c r="I475" s="7">
        <f>IF(C475="","",IFERROR(IF(INDEX(원생!$H$2:$H$501,MATCH(계산!$A475,계산!$E$2:$E$501,0))="예","예",""),""))</f>
        <v/>
      </c>
      <c r="J475" s="7" t="n"/>
    </row>
    <row r="476">
      <c r="A476" s="9" t="n"/>
      <c r="B476" s="7" t="n"/>
      <c r="C476" s="7" t="n"/>
      <c r="D476" s="7" t="n"/>
      <c r="E476" s="7" t="n"/>
      <c r="F476" s="8" t="n"/>
      <c r="G476" s="7" t="n"/>
      <c r="H476" s="7" t="n"/>
      <c r="I476" s="7">
        <f>IF(C476="","",IFERROR(IF(INDEX(원생!$H$2:$H$501,MATCH(계산!$A476,계산!$E$2:$E$501,0))="예","예",""),""))</f>
        <v/>
      </c>
      <c r="J476" s="7" t="n"/>
    </row>
    <row r="477">
      <c r="A477" s="9" t="n"/>
      <c r="B477" s="7" t="n"/>
      <c r="C477" s="7" t="n"/>
      <c r="D477" s="7" t="n"/>
      <c r="E477" s="7" t="n"/>
      <c r="F477" s="8" t="n"/>
      <c r="G477" s="7" t="n"/>
      <c r="H477" s="7" t="n"/>
      <c r="I477" s="7">
        <f>IF(C477="","",IFERROR(IF(INDEX(원생!$H$2:$H$501,MATCH(계산!$A477,계산!$E$2:$E$501,0))="예","예",""),""))</f>
        <v/>
      </c>
      <c r="J477" s="7" t="n"/>
    </row>
    <row r="478">
      <c r="A478" s="9" t="n"/>
      <c r="B478" s="7" t="n"/>
      <c r="C478" s="7" t="n"/>
      <c r="D478" s="7" t="n"/>
      <c r="E478" s="7" t="n"/>
      <c r="F478" s="8" t="n"/>
      <c r="G478" s="7" t="n"/>
      <c r="H478" s="7" t="n"/>
      <c r="I478" s="7">
        <f>IF(C478="","",IFERROR(IF(INDEX(원생!$H$2:$H$501,MATCH(계산!$A478,계산!$E$2:$E$501,0))="예","예",""),""))</f>
        <v/>
      </c>
      <c r="J478" s="7" t="n"/>
    </row>
    <row r="479">
      <c r="A479" s="9" t="n"/>
      <c r="B479" s="7" t="n"/>
      <c r="C479" s="7" t="n"/>
      <c r="D479" s="7" t="n"/>
      <c r="E479" s="7" t="n"/>
      <c r="F479" s="8" t="n"/>
      <c r="G479" s="7" t="n"/>
      <c r="H479" s="7" t="n"/>
      <c r="I479" s="7">
        <f>IF(C479="","",IFERROR(IF(INDEX(원생!$H$2:$H$501,MATCH(계산!$A479,계산!$E$2:$E$501,0))="예","예",""),""))</f>
        <v/>
      </c>
      <c r="J479" s="7" t="n"/>
    </row>
    <row r="480">
      <c r="A480" s="9" t="n"/>
      <c r="B480" s="7" t="n"/>
      <c r="C480" s="7" t="n"/>
      <c r="D480" s="7" t="n"/>
      <c r="E480" s="7" t="n"/>
      <c r="F480" s="8" t="n"/>
      <c r="G480" s="7" t="n"/>
      <c r="H480" s="7" t="n"/>
      <c r="I480" s="7">
        <f>IF(C480="","",IFERROR(IF(INDEX(원생!$H$2:$H$501,MATCH(계산!$A480,계산!$E$2:$E$501,0))="예","예",""),""))</f>
        <v/>
      </c>
      <c r="J480" s="7" t="n"/>
    </row>
    <row r="481">
      <c r="A481" s="9" t="n"/>
      <c r="B481" s="7" t="n"/>
      <c r="C481" s="7" t="n"/>
      <c r="D481" s="7" t="n"/>
      <c r="E481" s="7" t="n"/>
      <c r="F481" s="8" t="n"/>
      <c r="G481" s="7" t="n"/>
      <c r="H481" s="7" t="n"/>
      <c r="I481" s="7">
        <f>IF(C481="","",IFERROR(IF(INDEX(원생!$H$2:$H$501,MATCH(계산!$A481,계산!$E$2:$E$501,0))="예","예",""),""))</f>
        <v/>
      </c>
      <c r="J481" s="7" t="n"/>
    </row>
    <row r="482">
      <c r="A482" s="9" t="n"/>
      <c r="B482" s="7" t="n"/>
      <c r="C482" s="7" t="n"/>
      <c r="D482" s="7" t="n"/>
      <c r="E482" s="7" t="n"/>
      <c r="F482" s="8" t="n"/>
      <c r="G482" s="7" t="n"/>
      <c r="H482" s="7" t="n"/>
      <c r="I482" s="7">
        <f>IF(C482="","",IFERROR(IF(INDEX(원생!$H$2:$H$501,MATCH(계산!$A482,계산!$E$2:$E$501,0))="예","예",""),""))</f>
        <v/>
      </c>
      <c r="J482" s="7" t="n"/>
    </row>
    <row r="483">
      <c r="A483" s="9" t="n"/>
      <c r="B483" s="7" t="n"/>
      <c r="C483" s="7" t="n"/>
      <c r="D483" s="7" t="n"/>
      <c r="E483" s="7" t="n"/>
      <c r="F483" s="8" t="n"/>
      <c r="G483" s="7" t="n"/>
      <c r="H483" s="7" t="n"/>
      <c r="I483" s="7">
        <f>IF(C483="","",IFERROR(IF(INDEX(원생!$H$2:$H$501,MATCH(계산!$A483,계산!$E$2:$E$501,0))="예","예",""),""))</f>
        <v/>
      </c>
      <c r="J483" s="7" t="n"/>
    </row>
    <row r="484">
      <c r="A484" s="9" t="n"/>
      <c r="B484" s="7" t="n"/>
      <c r="C484" s="7" t="n"/>
      <c r="D484" s="7" t="n"/>
      <c r="E484" s="7" t="n"/>
      <c r="F484" s="8" t="n"/>
      <c r="G484" s="7" t="n"/>
      <c r="H484" s="7" t="n"/>
      <c r="I484" s="7">
        <f>IF(C484="","",IFERROR(IF(INDEX(원생!$H$2:$H$501,MATCH(계산!$A484,계산!$E$2:$E$501,0))="예","예",""),""))</f>
        <v/>
      </c>
      <c r="J484" s="7" t="n"/>
    </row>
    <row r="485">
      <c r="A485" s="9" t="n"/>
      <c r="B485" s="7" t="n"/>
      <c r="C485" s="7" t="n"/>
      <c r="D485" s="7" t="n"/>
      <c r="E485" s="7" t="n"/>
      <c r="F485" s="8" t="n"/>
      <c r="G485" s="7" t="n"/>
      <c r="H485" s="7" t="n"/>
      <c r="I485" s="7">
        <f>IF(C485="","",IFERROR(IF(INDEX(원생!$H$2:$H$501,MATCH(계산!$A485,계산!$E$2:$E$501,0))="예","예",""),""))</f>
        <v/>
      </c>
      <c r="J485" s="7" t="n"/>
    </row>
    <row r="486">
      <c r="A486" s="9" t="n"/>
      <c r="B486" s="7" t="n"/>
      <c r="C486" s="7" t="n"/>
      <c r="D486" s="7" t="n"/>
      <c r="E486" s="7" t="n"/>
      <c r="F486" s="8" t="n"/>
      <c r="G486" s="7" t="n"/>
      <c r="H486" s="7" t="n"/>
      <c r="I486" s="7">
        <f>IF(C486="","",IFERROR(IF(INDEX(원생!$H$2:$H$501,MATCH(계산!$A486,계산!$E$2:$E$501,0))="예","예",""),""))</f>
        <v/>
      </c>
      <c r="J486" s="7" t="n"/>
    </row>
    <row r="487">
      <c r="A487" s="9" t="n"/>
      <c r="B487" s="7" t="n"/>
      <c r="C487" s="7" t="n"/>
      <c r="D487" s="7" t="n"/>
      <c r="E487" s="7" t="n"/>
      <c r="F487" s="8" t="n"/>
      <c r="G487" s="7" t="n"/>
      <c r="H487" s="7" t="n"/>
      <c r="I487" s="7">
        <f>IF(C487="","",IFERROR(IF(INDEX(원생!$H$2:$H$501,MATCH(계산!$A487,계산!$E$2:$E$501,0))="예","예",""),""))</f>
        <v/>
      </c>
      <c r="J487" s="7" t="n"/>
    </row>
    <row r="488">
      <c r="A488" s="9" t="n"/>
      <c r="B488" s="7" t="n"/>
      <c r="C488" s="7" t="n"/>
      <c r="D488" s="7" t="n"/>
      <c r="E488" s="7" t="n"/>
      <c r="F488" s="8" t="n"/>
      <c r="G488" s="7" t="n"/>
      <c r="H488" s="7" t="n"/>
      <c r="I488" s="7">
        <f>IF(C488="","",IFERROR(IF(INDEX(원생!$H$2:$H$501,MATCH(계산!$A488,계산!$E$2:$E$501,0))="예","예",""),""))</f>
        <v/>
      </c>
      <c r="J488" s="7" t="n"/>
    </row>
    <row r="489">
      <c r="A489" s="9" t="n"/>
      <c r="B489" s="7" t="n"/>
      <c r="C489" s="7" t="n"/>
      <c r="D489" s="7" t="n"/>
      <c r="E489" s="7" t="n"/>
      <c r="F489" s="8" t="n"/>
      <c r="G489" s="7" t="n"/>
      <c r="H489" s="7" t="n"/>
      <c r="I489" s="7">
        <f>IF(C489="","",IFERROR(IF(INDEX(원생!$H$2:$H$501,MATCH(계산!$A489,계산!$E$2:$E$501,0))="예","예",""),""))</f>
        <v/>
      </c>
      <c r="J489" s="7" t="n"/>
    </row>
    <row r="490">
      <c r="A490" s="9" t="n"/>
      <c r="B490" s="7" t="n"/>
      <c r="C490" s="7" t="n"/>
      <c r="D490" s="7" t="n"/>
      <c r="E490" s="7" t="n"/>
      <c r="F490" s="8" t="n"/>
      <c r="G490" s="7" t="n"/>
      <c r="H490" s="7" t="n"/>
      <c r="I490" s="7">
        <f>IF(C490="","",IFERROR(IF(INDEX(원생!$H$2:$H$501,MATCH(계산!$A490,계산!$E$2:$E$501,0))="예","예",""),""))</f>
        <v/>
      </c>
      <c r="J490" s="7" t="n"/>
    </row>
    <row r="491">
      <c r="A491" s="9" t="n"/>
      <c r="B491" s="7" t="n"/>
      <c r="C491" s="7" t="n"/>
      <c r="D491" s="7" t="n"/>
      <c r="E491" s="7" t="n"/>
      <c r="F491" s="8" t="n"/>
      <c r="G491" s="7" t="n"/>
      <c r="H491" s="7" t="n"/>
      <c r="I491" s="7">
        <f>IF(C491="","",IFERROR(IF(INDEX(원생!$H$2:$H$501,MATCH(계산!$A491,계산!$E$2:$E$501,0))="예","예",""),""))</f>
        <v/>
      </c>
      <c r="J491" s="7" t="n"/>
    </row>
    <row r="492">
      <c r="A492" s="9" t="n"/>
      <c r="B492" s="7" t="n"/>
      <c r="C492" s="7" t="n"/>
      <c r="D492" s="7" t="n"/>
      <c r="E492" s="7" t="n"/>
      <c r="F492" s="8" t="n"/>
      <c r="G492" s="7" t="n"/>
      <c r="H492" s="7" t="n"/>
      <c r="I492" s="7">
        <f>IF(C492="","",IFERROR(IF(INDEX(원생!$H$2:$H$501,MATCH(계산!$A492,계산!$E$2:$E$501,0))="예","예",""),""))</f>
        <v/>
      </c>
      <c r="J492" s="7" t="n"/>
    </row>
    <row r="493">
      <c r="A493" s="9" t="n"/>
      <c r="B493" s="7" t="n"/>
      <c r="C493" s="7" t="n"/>
      <c r="D493" s="7" t="n"/>
      <c r="E493" s="7" t="n"/>
      <c r="F493" s="8" t="n"/>
      <c r="G493" s="7" t="n"/>
      <c r="H493" s="7" t="n"/>
      <c r="I493" s="7">
        <f>IF(C493="","",IFERROR(IF(INDEX(원생!$H$2:$H$501,MATCH(계산!$A493,계산!$E$2:$E$501,0))="예","예",""),""))</f>
        <v/>
      </c>
      <c r="J493" s="7" t="n"/>
    </row>
    <row r="494">
      <c r="A494" s="9" t="n"/>
      <c r="B494" s="7" t="n"/>
      <c r="C494" s="7" t="n"/>
      <c r="D494" s="7" t="n"/>
      <c r="E494" s="7" t="n"/>
      <c r="F494" s="8" t="n"/>
      <c r="G494" s="7" t="n"/>
      <c r="H494" s="7" t="n"/>
      <c r="I494" s="7">
        <f>IF(C494="","",IFERROR(IF(INDEX(원생!$H$2:$H$501,MATCH(계산!$A494,계산!$E$2:$E$501,0))="예","예",""),""))</f>
        <v/>
      </c>
      <c r="J494" s="7" t="n"/>
    </row>
    <row r="495">
      <c r="A495" s="9" t="n"/>
      <c r="B495" s="7" t="n"/>
      <c r="C495" s="7" t="n"/>
      <c r="D495" s="7" t="n"/>
      <c r="E495" s="7" t="n"/>
      <c r="F495" s="8" t="n"/>
      <c r="G495" s="7" t="n"/>
      <c r="H495" s="7" t="n"/>
      <c r="I495" s="7">
        <f>IF(C495="","",IFERROR(IF(INDEX(원생!$H$2:$H$501,MATCH(계산!$A495,계산!$E$2:$E$501,0))="예","예",""),""))</f>
        <v/>
      </c>
      <c r="J495" s="7" t="n"/>
    </row>
    <row r="496">
      <c r="A496" s="9" t="n"/>
      <c r="B496" s="7" t="n"/>
      <c r="C496" s="7" t="n"/>
      <c r="D496" s="7" t="n"/>
      <c r="E496" s="7" t="n"/>
      <c r="F496" s="8" t="n"/>
      <c r="G496" s="7" t="n"/>
      <c r="H496" s="7" t="n"/>
      <c r="I496" s="7">
        <f>IF(C496="","",IFERROR(IF(INDEX(원생!$H$2:$H$501,MATCH(계산!$A496,계산!$E$2:$E$501,0))="예","예",""),""))</f>
        <v/>
      </c>
      <c r="J496" s="7" t="n"/>
    </row>
    <row r="497">
      <c r="A497" s="9" t="n"/>
      <c r="B497" s="7" t="n"/>
      <c r="C497" s="7" t="n"/>
      <c r="D497" s="7" t="n"/>
      <c r="E497" s="7" t="n"/>
      <c r="F497" s="8" t="n"/>
      <c r="G497" s="7" t="n"/>
      <c r="H497" s="7" t="n"/>
      <c r="I497" s="7">
        <f>IF(C497="","",IFERROR(IF(INDEX(원생!$H$2:$H$501,MATCH(계산!$A497,계산!$E$2:$E$501,0))="예","예",""),""))</f>
        <v/>
      </c>
      <c r="J497" s="7" t="n"/>
    </row>
    <row r="498">
      <c r="A498" s="9" t="n"/>
      <c r="B498" s="7" t="n"/>
      <c r="C498" s="7" t="n"/>
      <c r="D498" s="7" t="n"/>
      <c r="E498" s="7" t="n"/>
      <c r="F498" s="8" t="n"/>
      <c r="G498" s="7" t="n"/>
      <c r="H498" s="7" t="n"/>
      <c r="I498" s="7">
        <f>IF(C498="","",IFERROR(IF(INDEX(원생!$H$2:$H$501,MATCH(계산!$A498,계산!$E$2:$E$501,0))="예","예",""),""))</f>
        <v/>
      </c>
      <c r="J498" s="7" t="n"/>
    </row>
    <row r="499">
      <c r="A499" s="9" t="n"/>
      <c r="B499" s="7" t="n"/>
      <c r="C499" s="7" t="n"/>
      <c r="D499" s="7" t="n"/>
      <c r="E499" s="7" t="n"/>
      <c r="F499" s="8" t="n"/>
      <c r="G499" s="7" t="n"/>
      <c r="H499" s="7" t="n"/>
      <c r="I499" s="7">
        <f>IF(C499="","",IFERROR(IF(INDEX(원생!$H$2:$H$501,MATCH(계산!$A499,계산!$E$2:$E$501,0))="예","예",""),""))</f>
        <v/>
      </c>
      <c r="J499" s="7" t="n"/>
    </row>
    <row r="500">
      <c r="A500" s="9" t="n"/>
      <c r="B500" s="7" t="n"/>
      <c r="C500" s="7" t="n"/>
      <c r="D500" s="7" t="n"/>
      <c r="E500" s="7" t="n"/>
      <c r="F500" s="8" t="n"/>
      <c r="G500" s="7" t="n"/>
      <c r="H500" s="7" t="n"/>
      <c r="I500" s="7">
        <f>IF(C500="","",IFERROR(IF(INDEX(원생!$H$2:$H$501,MATCH(계산!$A500,계산!$E$2:$E$501,0))="예","예",""),""))</f>
        <v/>
      </c>
      <c r="J500" s="7" t="n"/>
    </row>
    <row r="501">
      <c r="A501" s="9" t="n"/>
      <c r="B501" s="7" t="n"/>
      <c r="C501" s="7" t="n"/>
      <c r="D501" s="7" t="n"/>
      <c r="E501" s="7" t="n"/>
      <c r="F501" s="8" t="n"/>
      <c r="G501" s="7" t="n"/>
      <c r="H501" s="7" t="n"/>
      <c r="I501" s="7">
        <f>IF(C501="","",IFERROR(IF(INDEX(원생!$H$2:$H$501,MATCH(계산!$A501,계산!$E$2:$E$501,0))="예","예",""),""))</f>
        <v/>
      </c>
      <c r="J501" s="7" t="n"/>
    </row>
    <row r="502">
      <c r="A502" s="9" t="n"/>
      <c r="B502" s="7" t="n"/>
      <c r="C502" s="7" t="n"/>
      <c r="D502" s="7" t="n"/>
      <c r="E502" s="7" t="n"/>
      <c r="F502" s="8" t="n"/>
      <c r="G502" s="7" t="n"/>
      <c r="H502" s="7" t="n"/>
      <c r="I502" s="7">
        <f>IF(C502="","",IFERROR(IF(INDEX(원생!$H$2:$H$501,MATCH(계산!$A502,계산!$E$2:$E$501,0))="예","예",""),""))</f>
        <v/>
      </c>
      <c r="J502" s="7" t="n"/>
    </row>
    <row r="503">
      <c r="A503" s="9" t="n"/>
      <c r="B503" s="7" t="n"/>
      <c r="C503" s="7" t="n"/>
      <c r="D503" s="7" t="n"/>
      <c r="E503" s="7" t="n"/>
      <c r="F503" s="8" t="n"/>
      <c r="G503" s="7" t="n"/>
      <c r="H503" s="7" t="n"/>
      <c r="I503" s="7">
        <f>IF(C503="","",IFERROR(IF(INDEX(원생!$H$2:$H$501,MATCH(계산!$A503,계산!$E$2:$E$501,0))="예","예",""),""))</f>
        <v/>
      </c>
      <c r="J503" s="7" t="n"/>
    </row>
    <row r="504">
      <c r="A504" s="9" t="n"/>
      <c r="B504" s="7" t="n"/>
      <c r="C504" s="7" t="n"/>
      <c r="D504" s="7" t="n"/>
      <c r="E504" s="7" t="n"/>
      <c r="F504" s="8" t="n"/>
      <c r="G504" s="7" t="n"/>
      <c r="H504" s="7" t="n"/>
      <c r="I504" s="7">
        <f>IF(C504="","",IFERROR(IF(INDEX(원생!$H$2:$H$501,MATCH(계산!$A504,계산!$E$2:$E$501,0))="예","예",""),""))</f>
        <v/>
      </c>
      <c r="J504" s="7" t="n"/>
    </row>
    <row r="505">
      <c r="A505" s="9" t="n"/>
      <c r="B505" s="7" t="n"/>
      <c r="C505" s="7" t="n"/>
      <c r="D505" s="7" t="n"/>
      <c r="E505" s="7" t="n"/>
      <c r="F505" s="8" t="n"/>
      <c r="G505" s="7" t="n"/>
      <c r="H505" s="7" t="n"/>
      <c r="I505" s="7">
        <f>IF(C505="","",IFERROR(IF(INDEX(원생!$H$2:$H$501,MATCH(계산!$A505,계산!$E$2:$E$501,0))="예","예",""),""))</f>
        <v/>
      </c>
      <c r="J505" s="7" t="n"/>
    </row>
    <row r="506">
      <c r="A506" s="9" t="n"/>
      <c r="B506" s="7" t="n"/>
      <c r="C506" s="7" t="n"/>
      <c r="D506" s="7" t="n"/>
      <c r="E506" s="7" t="n"/>
      <c r="F506" s="8" t="n"/>
      <c r="G506" s="7" t="n"/>
      <c r="H506" s="7" t="n"/>
      <c r="I506" s="7">
        <f>IF(C506="","",IFERROR(IF(INDEX(원생!$H$2:$H$501,MATCH(계산!$A506,계산!$E$2:$E$501,0))="예","예",""),""))</f>
        <v/>
      </c>
      <c r="J506" s="7" t="n"/>
    </row>
    <row r="507">
      <c r="A507" s="9" t="n"/>
      <c r="B507" s="7" t="n"/>
      <c r="C507" s="7" t="n"/>
      <c r="D507" s="7" t="n"/>
      <c r="E507" s="7" t="n"/>
      <c r="F507" s="8" t="n"/>
      <c r="G507" s="7" t="n"/>
      <c r="H507" s="7" t="n"/>
      <c r="I507" s="7">
        <f>IF(C507="","",IFERROR(IF(INDEX(원생!$H$2:$H$501,MATCH(계산!$A507,계산!$E$2:$E$501,0))="예","예",""),""))</f>
        <v/>
      </c>
      <c r="J507" s="7" t="n"/>
    </row>
    <row r="508">
      <c r="A508" s="9" t="n"/>
      <c r="B508" s="7" t="n"/>
      <c r="C508" s="7" t="n"/>
      <c r="D508" s="7" t="n"/>
      <c r="E508" s="7" t="n"/>
      <c r="F508" s="8" t="n"/>
      <c r="G508" s="7" t="n"/>
      <c r="H508" s="7" t="n"/>
      <c r="I508" s="7">
        <f>IF(C508="","",IFERROR(IF(INDEX(원생!$H$2:$H$501,MATCH(계산!$A508,계산!$E$2:$E$501,0))="예","예",""),""))</f>
        <v/>
      </c>
      <c r="J508" s="7" t="n"/>
    </row>
    <row r="509">
      <c r="A509" s="9" t="n"/>
      <c r="B509" s="7" t="n"/>
      <c r="C509" s="7" t="n"/>
      <c r="D509" s="7" t="n"/>
      <c r="E509" s="7" t="n"/>
      <c r="F509" s="8" t="n"/>
      <c r="G509" s="7" t="n"/>
      <c r="H509" s="7" t="n"/>
      <c r="I509" s="7">
        <f>IF(C509="","",IFERROR(IF(INDEX(원생!$H$2:$H$501,MATCH(계산!$A509,계산!$E$2:$E$501,0))="예","예",""),""))</f>
        <v/>
      </c>
      <c r="J509" s="7" t="n"/>
    </row>
    <row r="510">
      <c r="A510" s="9" t="n"/>
      <c r="B510" s="7" t="n"/>
      <c r="C510" s="7" t="n"/>
      <c r="D510" s="7" t="n"/>
      <c r="E510" s="7" t="n"/>
      <c r="F510" s="8" t="n"/>
      <c r="G510" s="7" t="n"/>
      <c r="H510" s="7" t="n"/>
      <c r="I510" s="7">
        <f>IF(C510="","",IFERROR(IF(INDEX(원생!$H$2:$H$501,MATCH(계산!$A510,계산!$E$2:$E$501,0))="예","예",""),""))</f>
        <v/>
      </c>
      <c r="J510" s="7" t="n"/>
    </row>
    <row r="511">
      <c r="A511" s="9" t="n"/>
      <c r="B511" s="7" t="n"/>
      <c r="C511" s="7" t="n"/>
      <c r="D511" s="7" t="n"/>
      <c r="E511" s="7" t="n"/>
      <c r="F511" s="8" t="n"/>
      <c r="G511" s="7" t="n"/>
      <c r="H511" s="7" t="n"/>
      <c r="I511" s="7">
        <f>IF(C511="","",IFERROR(IF(INDEX(원생!$H$2:$H$501,MATCH(계산!$A511,계산!$E$2:$E$501,0))="예","예",""),""))</f>
        <v/>
      </c>
      <c r="J511" s="7" t="n"/>
    </row>
    <row r="512">
      <c r="A512" s="9" t="n"/>
      <c r="B512" s="7" t="n"/>
      <c r="C512" s="7" t="n"/>
      <c r="D512" s="7" t="n"/>
      <c r="E512" s="7" t="n"/>
      <c r="F512" s="8" t="n"/>
      <c r="G512" s="7" t="n"/>
      <c r="H512" s="7" t="n"/>
      <c r="I512" s="7">
        <f>IF(C512="","",IFERROR(IF(INDEX(원생!$H$2:$H$501,MATCH(계산!$A512,계산!$E$2:$E$501,0))="예","예",""),""))</f>
        <v/>
      </c>
      <c r="J512" s="7" t="n"/>
    </row>
    <row r="513">
      <c r="A513" s="9" t="n"/>
      <c r="B513" s="7" t="n"/>
      <c r="C513" s="7" t="n"/>
      <c r="D513" s="7" t="n"/>
      <c r="E513" s="7" t="n"/>
      <c r="F513" s="8" t="n"/>
      <c r="G513" s="7" t="n"/>
      <c r="H513" s="7" t="n"/>
      <c r="I513" s="7">
        <f>IF(C513="","",IFERROR(IF(INDEX(원생!$H$2:$H$501,MATCH(계산!$A513,계산!$E$2:$E$501,0))="예","예",""),""))</f>
        <v/>
      </c>
      <c r="J513" s="7" t="n"/>
    </row>
    <row r="514">
      <c r="A514" s="9" t="n"/>
      <c r="B514" s="7" t="n"/>
      <c r="C514" s="7" t="n"/>
      <c r="D514" s="7" t="n"/>
      <c r="E514" s="7" t="n"/>
      <c r="F514" s="8" t="n"/>
      <c r="G514" s="7" t="n"/>
      <c r="H514" s="7" t="n"/>
      <c r="I514" s="7">
        <f>IF(C514="","",IFERROR(IF(INDEX(원생!$H$2:$H$501,MATCH(계산!$A514,계산!$E$2:$E$501,0))="예","예",""),""))</f>
        <v/>
      </c>
      <c r="J514" s="7" t="n"/>
    </row>
    <row r="515">
      <c r="A515" s="9" t="n"/>
      <c r="B515" s="7" t="n"/>
      <c r="C515" s="7" t="n"/>
      <c r="D515" s="7" t="n"/>
      <c r="E515" s="7" t="n"/>
      <c r="F515" s="8" t="n"/>
      <c r="G515" s="7" t="n"/>
      <c r="H515" s="7" t="n"/>
      <c r="I515" s="7">
        <f>IF(C515="","",IFERROR(IF(INDEX(원생!$H$2:$H$501,MATCH(계산!$A515,계산!$E$2:$E$501,0))="예","예",""),""))</f>
        <v/>
      </c>
      <c r="J515" s="7" t="n"/>
    </row>
    <row r="516">
      <c r="A516" s="9" t="n"/>
      <c r="B516" s="7" t="n"/>
      <c r="C516" s="7" t="n"/>
      <c r="D516" s="7" t="n"/>
      <c r="E516" s="7" t="n"/>
      <c r="F516" s="8" t="n"/>
      <c r="G516" s="7" t="n"/>
      <c r="H516" s="7" t="n"/>
      <c r="I516" s="7">
        <f>IF(C516="","",IFERROR(IF(INDEX(원생!$H$2:$H$501,MATCH(계산!$A516,계산!$E$2:$E$501,0))="예","예",""),""))</f>
        <v/>
      </c>
      <c r="J516" s="7" t="n"/>
    </row>
    <row r="517">
      <c r="A517" s="9" t="n"/>
      <c r="B517" s="7" t="n"/>
      <c r="C517" s="7" t="n"/>
      <c r="D517" s="7" t="n"/>
      <c r="E517" s="7" t="n"/>
      <c r="F517" s="8" t="n"/>
      <c r="G517" s="7" t="n"/>
      <c r="H517" s="7" t="n"/>
      <c r="I517" s="7">
        <f>IF(C517="","",IFERROR(IF(INDEX(원생!$H$2:$H$501,MATCH(계산!$A517,계산!$E$2:$E$501,0))="예","예",""),""))</f>
        <v/>
      </c>
      <c r="J517" s="7" t="n"/>
    </row>
    <row r="518">
      <c r="A518" s="9" t="n"/>
      <c r="B518" s="7" t="n"/>
      <c r="C518" s="7" t="n"/>
      <c r="D518" s="7" t="n"/>
      <c r="E518" s="7" t="n"/>
      <c r="F518" s="8" t="n"/>
      <c r="G518" s="7" t="n"/>
      <c r="H518" s="7" t="n"/>
      <c r="I518" s="7">
        <f>IF(C518="","",IFERROR(IF(INDEX(원생!$H$2:$H$501,MATCH(계산!$A518,계산!$E$2:$E$501,0))="예","예",""),""))</f>
        <v/>
      </c>
      <c r="J518" s="7" t="n"/>
    </row>
    <row r="519">
      <c r="A519" s="9" t="n"/>
      <c r="B519" s="7" t="n"/>
      <c r="C519" s="7" t="n"/>
      <c r="D519" s="7" t="n"/>
      <c r="E519" s="7" t="n"/>
      <c r="F519" s="8" t="n"/>
      <c r="G519" s="7" t="n"/>
      <c r="H519" s="7" t="n"/>
      <c r="I519" s="7">
        <f>IF(C519="","",IFERROR(IF(INDEX(원생!$H$2:$H$501,MATCH(계산!$A519,계산!$E$2:$E$501,0))="예","예",""),""))</f>
        <v/>
      </c>
      <c r="J519" s="7" t="n"/>
    </row>
    <row r="520">
      <c r="A520" s="9" t="n"/>
      <c r="B520" s="7" t="n"/>
      <c r="C520" s="7" t="n"/>
      <c r="D520" s="7" t="n"/>
      <c r="E520" s="7" t="n"/>
      <c r="F520" s="8" t="n"/>
      <c r="G520" s="7" t="n"/>
      <c r="H520" s="7" t="n"/>
      <c r="I520" s="7">
        <f>IF(C520="","",IFERROR(IF(INDEX(원생!$H$2:$H$501,MATCH(계산!$A520,계산!$E$2:$E$501,0))="예","예",""),""))</f>
        <v/>
      </c>
      <c r="J520" s="7" t="n"/>
    </row>
    <row r="521">
      <c r="A521" s="9" t="n"/>
      <c r="B521" s="7" t="n"/>
      <c r="C521" s="7" t="n"/>
      <c r="D521" s="7" t="n"/>
      <c r="E521" s="7" t="n"/>
      <c r="F521" s="8" t="n"/>
      <c r="G521" s="7" t="n"/>
      <c r="H521" s="7" t="n"/>
      <c r="I521" s="7">
        <f>IF(C521="","",IFERROR(IF(INDEX(원생!$H$2:$H$501,MATCH(계산!$A521,계산!$E$2:$E$501,0))="예","예",""),""))</f>
        <v/>
      </c>
      <c r="J521" s="7" t="n"/>
    </row>
    <row r="522">
      <c r="A522" s="9" t="n"/>
      <c r="B522" s="7" t="n"/>
      <c r="C522" s="7" t="n"/>
      <c r="D522" s="7" t="n"/>
      <c r="E522" s="7" t="n"/>
      <c r="F522" s="8" t="n"/>
      <c r="G522" s="7" t="n"/>
      <c r="H522" s="7" t="n"/>
      <c r="I522" s="7">
        <f>IF(C522="","",IFERROR(IF(INDEX(원생!$H$2:$H$501,MATCH(계산!$A522,계산!$E$2:$E$501,0))="예","예",""),""))</f>
        <v/>
      </c>
      <c r="J522" s="7" t="n"/>
    </row>
    <row r="523">
      <c r="A523" s="9" t="n"/>
      <c r="B523" s="7" t="n"/>
      <c r="C523" s="7" t="n"/>
      <c r="D523" s="7" t="n"/>
      <c r="E523" s="7" t="n"/>
      <c r="F523" s="8" t="n"/>
      <c r="G523" s="7" t="n"/>
      <c r="H523" s="7" t="n"/>
      <c r="I523" s="7">
        <f>IF(C523="","",IFERROR(IF(INDEX(원생!$H$2:$H$501,MATCH(계산!$A523,계산!$E$2:$E$501,0))="예","예",""),""))</f>
        <v/>
      </c>
      <c r="J523" s="7" t="n"/>
    </row>
    <row r="524">
      <c r="A524" s="9" t="n"/>
      <c r="B524" s="7" t="n"/>
      <c r="C524" s="7" t="n"/>
      <c r="D524" s="7" t="n"/>
      <c r="E524" s="7" t="n"/>
      <c r="F524" s="8" t="n"/>
      <c r="G524" s="7" t="n"/>
      <c r="H524" s="7" t="n"/>
      <c r="I524" s="7">
        <f>IF(C524="","",IFERROR(IF(INDEX(원생!$H$2:$H$501,MATCH(계산!$A524,계산!$E$2:$E$501,0))="예","예",""),""))</f>
        <v/>
      </c>
      <c r="J524" s="7" t="n"/>
    </row>
    <row r="525">
      <c r="A525" s="9" t="n"/>
      <c r="B525" s="7" t="n"/>
      <c r="C525" s="7" t="n"/>
      <c r="D525" s="7" t="n"/>
      <c r="E525" s="7" t="n"/>
      <c r="F525" s="8" t="n"/>
      <c r="G525" s="7" t="n"/>
      <c r="H525" s="7" t="n"/>
      <c r="I525" s="7">
        <f>IF(C525="","",IFERROR(IF(INDEX(원생!$H$2:$H$501,MATCH(계산!$A525,계산!$E$2:$E$501,0))="예","예",""),""))</f>
        <v/>
      </c>
      <c r="J525" s="7" t="n"/>
    </row>
    <row r="526">
      <c r="A526" s="9" t="n"/>
      <c r="B526" s="7" t="n"/>
      <c r="C526" s="7" t="n"/>
      <c r="D526" s="7" t="n"/>
      <c r="E526" s="7" t="n"/>
      <c r="F526" s="8" t="n"/>
      <c r="G526" s="7" t="n"/>
      <c r="H526" s="7" t="n"/>
      <c r="I526" s="7">
        <f>IF(C526="","",IFERROR(IF(INDEX(원생!$H$2:$H$501,MATCH(계산!$A526,계산!$E$2:$E$501,0))="예","예",""),""))</f>
        <v/>
      </c>
      <c r="J526" s="7" t="n"/>
    </row>
    <row r="527">
      <c r="A527" s="9" t="n"/>
      <c r="B527" s="7" t="n"/>
      <c r="C527" s="7" t="n"/>
      <c r="D527" s="7" t="n"/>
      <c r="E527" s="7" t="n"/>
      <c r="F527" s="8" t="n"/>
      <c r="G527" s="7" t="n"/>
      <c r="H527" s="7" t="n"/>
      <c r="I527" s="7">
        <f>IF(C527="","",IFERROR(IF(INDEX(원생!$H$2:$H$501,MATCH(계산!$A527,계산!$E$2:$E$501,0))="예","예",""),""))</f>
        <v/>
      </c>
      <c r="J527" s="7" t="n"/>
    </row>
    <row r="528">
      <c r="A528" s="9" t="n"/>
      <c r="B528" s="7" t="n"/>
      <c r="C528" s="7" t="n"/>
      <c r="D528" s="7" t="n"/>
      <c r="E528" s="7" t="n"/>
      <c r="F528" s="8" t="n"/>
      <c r="G528" s="7" t="n"/>
      <c r="H528" s="7" t="n"/>
      <c r="I528" s="7">
        <f>IF(C528="","",IFERROR(IF(INDEX(원생!$H$2:$H$501,MATCH(계산!$A528,계산!$E$2:$E$501,0))="예","예",""),""))</f>
        <v/>
      </c>
      <c r="J528" s="7" t="n"/>
    </row>
    <row r="529">
      <c r="A529" s="9" t="n"/>
      <c r="B529" s="7" t="n"/>
      <c r="C529" s="7" t="n"/>
      <c r="D529" s="7" t="n"/>
      <c r="E529" s="7" t="n"/>
      <c r="F529" s="8" t="n"/>
      <c r="G529" s="7" t="n"/>
      <c r="H529" s="7" t="n"/>
      <c r="I529" s="7">
        <f>IF(C529="","",IFERROR(IF(INDEX(원생!$H$2:$H$501,MATCH(계산!$A529,계산!$E$2:$E$501,0))="예","예",""),""))</f>
        <v/>
      </c>
      <c r="J529" s="7" t="n"/>
    </row>
    <row r="530">
      <c r="A530" s="9" t="n"/>
      <c r="B530" s="7" t="n"/>
      <c r="C530" s="7" t="n"/>
      <c r="D530" s="7" t="n"/>
      <c r="E530" s="7" t="n"/>
      <c r="F530" s="8" t="n"/>
      <c r="G530" s="7" t="n"/>
      <c r="H530" s="7" t="n"/>
      <c r="I530" s="7">
        <f>IF(C530="","",IFERROR(IF(INDEX(원생!$H$2:$H$501,MATCH(계산!$A530,계산!$E$2:$E$501,0))="예","예",""),""))</f>
        <v/>
      </c>
      <c r="J530" s="7" t="n"/>
    </row>
    <row r="531">
      <c r="A531" s="9" t="n"/>
      <c r="B531" s="7" t="n"/>
      <c r="C531" s="7" t="n"/>
      <c r="D531" s="7" t="n"/>
      <c r="E531" s="7" t="n"/>
      <c r="F531" s="8" t="n"/>
      <c r="G531" s="7" t="n"/>
      <c r="H531" s="7" t="n"/>
      <c r="I531" s="7">
        <f>IF(C531="","",IFERROR(IF(INDEX(원생!$H$2:$H$501,MATCH(계산!$A531,계산!$E$2:$E$501,0))="예","예",""),""))</f>
        <v/>
      </c>
      <c r="J531" s="7" t="n"/>
    </row>
    <row r="532">
      <c r="A532" s="9" t="n"/>
      <c r="B532" s="7" t="n"/>
      <c r="C532" s="7" t="n"/>
      <c r="D532" s="7" t="n"/>
      <c r="E532" s="7" t="n"/>
      <c r="F532" s="8" t="n"/>
      <c r="G532" s="7" t="n"/>
      <c r="H532" s="7" t="n"/>
      <c r="I532" s="7">
        <f>IF(C532="","",IFERROR(IF(INDEX(원생!$H$2:$H$501,MATCH(계산!$A532,계산!$E$2:$E$501,0))="예","예",""),""))</f>
        <v/>
      </c>
      <c r="J532" s="7" t="n"/>
    </row>
    <row r="533">
      <c r="A533" s="9" t="n"/>
      <c r="B533" s="7" t="n"/>
      <c r="C533" s="7" t="n"/>
      <c r="D533" s="7" t="n"/>
      <c r="E533" s="7" t="n"/>
      <c r="F533" s="8" t="n"/>
      <c r="G533" s="7" t="n"/>
      <c r="H533" s="7" t="n"/>
      <c r="I533" s="7">
        <f>IF(C533="","",IFERROR(IF(INDEX(원생!$H$2:$H$501,MATCH(계산!$A533,계산!$E$2:$E$501,0))="예","예",""),""))</f>
        <v/>
      </c>
      <c r="J533" s="7" t="n"/>
    </row>
    <row r="534">
      <c r="A534" s="9" t="n"/>
      <c r="B534" s="7" t="n"/>
      <c r="C534" s="7" t="n"/>
      <c r="D534" s="7" t="n"/>
      <c r="E534" s="7" t="n"/>
      <c r="F534" s="8" t="n"/>
      <c r="G534" s="7" t="n"/>
      <c r="H534" s="7" t="n"/>
      <c r="I534" s="7">
        <f>IF(C534="","",IFERROR(IF(INDEX(원생!$H$2:$H$501,MATCH(계산!$A534,계산!$E$2:$E$501,0))="예","예",""),""))</f>
        <v/>
      </c>
      <c r="J534" s="7" t="n"/>
    </row>
    <row r="535">
      <c r="A535" s="9" t="n"/>
      <c r="B535" s="7" t="n"/>
      <c r="C535" s="7" t="n"/>
      <c r="D535" s="7" t="n"/>
      <c r="E535" s="7" t="n"/>
      <c r="F535" s="8" t="n"/>
      <c r="G535" s="7" t="n"/>
      <c r="H535" s="7" t="n"/>
      <c r="I535" s="7">
        <f>IF(C535="","",IFERROR(IF(INDEX(원생!$H$2:$H$501,MATCH(계산!$A535,계산!$E$2:$E$501,0))="예","예",""),""))</f>
        <v/>
      </c>
      <c r="J535" s="7" t="n"/>
    </row>
    <row r="536">
      <c r="A536" s="9" t="n"/>
      <c r="B536" s="7" t="n"/>
      <c r="C536" s="7" t="n"/>
      <c r="D536" s="7" t="n"/>
      <c r="E536" s="7" t="n"/>
      <c r="F536" s="8" t="n"/>
      <c r="G536" s="7" t="n"/>
      <c r="H536" s="7" t="n"/>
      <c r="I536" s="7">
        <f>IF(C536="","",IFERROR(IF(INDEX(원생!$H$2:$H$501,MATCH(계산!$A536,계산!$E$2:$E$501,0))="예","예",""),""))</f>
        <v/>
      </c>
      <c r="J536" s="7" t="n"/>
    </row>
    <row r="537">
      <c r="A537" s="9" t="n"/>
      <c r="B537" s="7" t="n"/>
      <c r="C537" s="7" t="n"/>
      <c r="D537" s="7" t="n"/>
      <c r="E537" s="7" t="n"/>
      <c r="F537" s="8" t="n"/>
      <c r="G537" s="7" t="n"/>
      <c r="H537" s="7" t="n"/>
      <c r="I537" s="7">
        <f>IF(C537="","",IFERROR(IF(INDEX(원생!$H$2:$H$501,MATCH(계산!$A537,계산!$E$2:$E$501,0))="예","예",""),""))</f>
        <v/>
      </c>
      <c r="J537" s="7" t="n"/>
    </row>
    <row r="538">
      <c r="A538" s="9" t="n"/>
      <c r="B538" s="7" t="n"/>
      <c r="C538" s="7" t="n"/>
      <c r="D538" s="7" t="n"/>
      <c r="E538" s="7" t="n"/>
      <c r="F538" s="8" t="n"/>
      <c r="G538" s="7" t="n"/>
      <c r="H538" s="7" t="n"/>
      <c r="I538" s="7">
        <f>IF(C538="","",IFERROR(IF(INDEX(원생!$H$2:$H$501,MATCH(계산!$A538,계산!$E$2:$E$501,0))="예","예",""),""))</f>
        <v/>
      </c>
      <c r="J538" s="7" t="n"/>
    </row>
    <row r="539">
      <c r="A539" s="9" t="n"/>
      <c r="B539" s="7" t="n"/>
      <c r="C539" s="7" t="n"/>
      <c r="D539" s="7" t="n"/>
      <c r="E539" s="7" t="n"/>
      <c r="F539" s="8" t="n"/>
      <c r="G539" s="7" t="n"/>
      <c r="H539" s="7" t="n"/>
      <c r="I539" s="7">
        <f>IF(C539="","",IFERROR(IF(INDEX(원생!$H$2:$H$501,MATCH(계산!$A539,계산!$E$2:$E$501,0))="예","예",""),""))</f>
        <v/>
      </c>
      <c r="J539" s="7" t="n"/>
    </row>
    <row r="540">
      <c r="A540" s="9" t="n"/>
      <c r="B540" s="7" t="n"/>
      <c r="C540" s="7" t="n"/>
      <c r="D540" s="7" t="n"/>
      <c r="E540" s="7" t="n"/>
      <c r="F540" s="8" t="n"/>
      <c r="G540" s="7" t="n"/>
      <c r="H540" s="7" t="n"/>
      <c r="I540" s="7">
        <f>IF(C540="","",IFERROR(IF(INDEX(원생!$H$2:$H$501,MATCH(계산!$A540,계산!$E$2:$E$501,0))="예","예",""),""))</f>
        <v/>
      </c>
      <c r="J540" s="7" t="n"/>
    </row>
    <row r="541">
      <c r="A541" s="9" t="n"/>
      <c r="B541" s="7" t="n"/>
      <c r="C541" s="7" t="n"/>
      <c r="D541" s="7" t="n"/>
      <c r="E541" s="7" t="n"/>
      <c r="F541" s="8" t="n"/>
      <c r="G541" s="7" t="n"/>
      <c r="H541" s="7" t="n"/>
      <c r="I541" s="7">
        <f>IF(C541="","",IFERROR(IF(INDEX(원생!$H$2:$H$501,MATCH(계산!$A541,계산!$E$2:$E$501,0))="예","예",""),""))</f>
        <v/>
      </c>
      <c r="J541" s="7" t="n"/>
    </row>
    <row r="542">
      <c r="A542" s="9" t="n"/>
      <c r="B542" s="7" t="n"/>
      <c r="C542" s="7" t="n"/>
      <c r="D542" s="7" t="n"/>
      <c r="E542" s="7" t="n"/>
      <c r="F542" s="8" t="n"/>
      <c r="G542" s="7" t="n"/>
      <c r="H542" s="7" t="n"/>
      <c r="I542" s="7">
        <f>IF(C542="","",IFERROR(IF(INDEX(원생!$H$2:$H$501,MATCH(계산!$A542,계산!$E$2:$E$501,0))="예","예",""),""))</f>
        <v/>
      </c>
      <c r="J542" s="7" t="n"/>
    </row>
    <row r="543">
      <c r="A543" s="9" t="n"/>
      <c r="B543" s="7" t="n"/>
      <c r="C543" s="7" t="n"/>
      <c r="D543" s="7" t="n"/>
      <c r="E543" s="7" t="n"/>
      <c r="F543" s="8" t="n"/>
      <c r="G543" s="7" t="n"/>
      <c r="H543" s="7" t="n"/>
      <c r="I543" s="7">
        <f>IF(C543="","",IFERROR(IF(INDEX(원생!$H$2:$H$501,MATCH(계산!$A543,계산!$E$2:$E$501,0))="예","예",""),""))</f>
        <v/>
      </c>
      <c r="J543" s="7" t="n"/>
    </row>
    <row r="544">
      <c r="A544" s="9" t="n"/>
      <c r="B544" s="7" t="n"/>
      <c r="C544" s="7" t="n"/>
      <c r="D544" s="7" t="n"/>
      <c r="E544" s="7" t="n"/>
      <c r="F544" s="8" t="n"/>
      <c r="G544" s="7" t="n"/>
      <c r="H544" s="7" t="n"/>
      <c r="I544" s="7">
        <f>IF(C544="","",IFERROR(IF(INDEX(원생!$H$2:$H$501,MATCH(계산!$A544,계산!$E$2:$E$501,0))="예","예",""),""))</f>
        <v/>
      </c>
      <c r="J544" s="7" t="n"/>
    </row>
    <row r="545">
      <c r="A545" s="9" t="n"/>
      <c r="B545" s="7" t="n"/>
      <c r="C545" s="7" t="n"/>
      <c r="D545" s="7" t="n"/>
      <c r="E545" s="7" t="n"/>
      <c r="F545" s="8" t="n"/>
      <c r="G545" s="7" t="n"/>
      <c r="H545" s="7" t="n"/>
      <c r="I545" s="7">
        <f>IF(C545="","",IFERROR(IF(INDEX(원생!$H$2:$H$501,MATCH(계산!$A545,계산!$E$2:$E$501,0))="예","예",""),""))</f>
        <v/>
      </c>
      <c r="J545" s="7" t="n"/>
    </row>
    <row r="546">
      <c r="A546" s="9" t="n"/>
      <c r="B546" s="7" t="n"/>
      <c r="C546" s="7" t="n"/>
      <c r="D546" s="7" t="n"/>
      <c r="E546" s="7" t="n"/>
      <c r="F546" s="8" t="n"/>
      <c r="G546" s="7" t="n"/>
      <c r="H546" s="7" t="n"/>
      <c r="I546" s="7">
        <f>IF(C546="","",IFERROR(IF(INDEX(원생!$H$2:$H$501,MATCH(계산!$A546,계산!$E$2:$E$501,0))="예","예",""),""))</f>
        <v/>
      </c>
      <c r="J546" s="7" t="n"/>
    </row>
    <row r="547">
      <c r="A547" s="9" t="n"/>
      <c r="B547" s="7" t="n"/>
      <c r="C547" s="7" t="n"/>
      <c r="D547" s="7" t="n"/>
      <c r="E547" s="7" t="n"/>
      <c r="F547" s="8" t="n"/>
      <c r="G547" s="7" t="n"/>
      <c r="H547" s="7" t="n"/>
      <c r="I547" s="7">
        <f>IF(C547="","",IFERROR(IF(INDEX(원생!$H$2:$H$501,MATCH(계산!$A547,계산!$E$2:$E$501,0))="예","예",""),""))</f>
        <v/>
      </c>
      <c r="J547" s="7" t="n"/>
    </row>
    <row r="548">
      <c r="A548" s="9" t="n"/>
      <c r="B548" s="7" t="n"/>
      <c r="C548" s="7" t="n"/>
      <c r="D548" s="7" t="n"/>
      <c r="E548" s="7" t="n"/>
      <c r="F548" s="8" t="n"/>
      <c r="G548" s="7" t="n"/>
      <c r="H548" s="7" t="n"/>
      <c r="I548" s="7">
        <f>IF(C548="","",IFERROR(IF(INDEX(원생!$H$2:$H$501,MATCH(계산!$A548,계산!$E$2:$E$501,0))="예","예",""),""))</f>
        <v/>
      </c>
      <c r="J548" s="7" t="n"/>
    </row>
    <row r="549">
      <c r="A549" s="9" t="n"/>
      <c r="B549" s="7" t="n"/>
      <c r="C549" s="7" t="n"/>
      <c r="D549" s="7" t="n"/>
      <c r="E549" s="7" t="n"/>
      <c r="F549" s="8" t="n"/>
      <c r="G549" s="7" t="n"/>
      <c r="H549" s="7" t="n"/>
      <c r="I549" s="7">
        <f>IF(C549="","",IFERROR(IF(INDEX(원생!$H$2:$H$501,MATCH(계산!$A549,계산!$E$2:$E$501,0))="예","예",""),""))</f>
        <v/>
      </c>
      <c r="J549" s="7" t="n"/>
    </row>
    <row r="550">
      <c r="A550" s="9" t="n"/>
      <c r="B550" s="7" t="n"/>
      <c r="C550" s="7" t="n"/>
      <c r="D550" s="7" t="n"/>
      <c r="E550" s="7" t="n"/>
      <c r="F550" s="8" t="n"/>
      <c r="G550" s="7" t="n"/>
      <c r="H550" s="7" t="n"/>
      <c r="I550" s="7">
        <f>IF(C550="","",IFERROR(IF(INDEX(원생!$H$2:$H$501,MATCH(계산!$A550,계산!$E$2:$E$501,0))="예","예",""),""))</f>
        <v/>
      </c>
      <c r="J550" s="7" t="n"/>
    </row>
    <row r="551">
      <c r="A551" s="9" t="n"/>
      <c r="B551" s="7" t="n"/>
      <c r="C551" s="7" t="n"/>
      <c r="D551" s="7" t="n"/>
      <c r="E551" s="7" t="n"/>
      <c r="F551" s="8" t="n"/>
      <c r="G551" s="7" t="n"/>
      <c r="H551" s="7" t="n"/>
      <c r="I551" s="7">
        <f>IF(C551="","",IFERROR(IF(INDEX(원생!$H$2:$H$501,MATCH(계산!$A551,계산!$E$2:$E$501,0))="예","예",""),""))</f>
        <v/>
      </c>
      <c r="J551" s="7" t="n"/>
    </row>
    <row r="552">
      <c r="A552" s="9" t="n"/>
      <c r="B552" s="7" t="n"/>
      <c r="C552" s="7" t="n"/>
      <c r="D552" s="7" t="n"/>
      <c r="E552" s="7" t="n"/>
      <c r="F552" s="8" t="n"/>
      <c r="G552" s="7" t="n"/>
      <c r="H552" s="7" t="n"/>
      <c r="I552" s="7">
        <f>IF(C552="","",IFERROR(IF(INDEX(원생!$H$2:$H$501,MATCH(계산!$A552,계산!$E$2:$E$501,0))="예","예",""),""))</f>
        <v/>
      </c>
      <c r="J552" s="7" t="n"/>
    </row>
    <row r="553">
      <c r="A553" s="9" t="n"/>
      <c r="B553" s="7" t="n"/>
      <c r="C553" s="7" t="n"/>
      <c r="D553" s="7" t="n"/>
      <c r="E553" s="7" t="n"/>
      <c r="F553" s="8" t="n"/>
      <c r="G553" s="7" t="n"/>
      <c r="H553" s="7" t="n"/>
      <c r="I553" s="7">
        <f>IF(C553="","",IFERROR(IF(INDEX(원생!$H$2:$H$501,MATCH(계산!$A553,계산!$E$2:$E$501,0))="예","예",""),""))</f>
        <v/>
      </c>
      <c r="J553" s="7" t="n"/>
    </row>
    <row r="554">
      <c r="A554" s="9" t="n"/>
      <c r="B554" s="7" t="n"/>
      <c r="C554" s="7" t="n"/>
      <c r="D554" s="7" t="n"/>
      <c r="E554" s="7" t="n"/>
      <c r="F554" s="8" t="n"/>
      <c r="G554" s="7" t="n"/>
      <c r="H554" s="7" t="n"/>
      <c r="I554" s="7">
        <f>IF(C554="","",IFERROR(IF(INDEX(원생!$H$2:$H$501,MATCH(계산!$A554,계산!$E$2:$E$501,0))="예","예",""),""))</f>
        <v/>
      </c>
      <c r="J554" s="7" t="n"/>
    </row>
    <row r="555">
      <c r="A555" s="9" t="n"/>
      <c r="B555" s="7" t="n"/>
      <c r="C555" s="7" t="n"/>
      <c r="D555" s="7" t="n"/>
      <c r="E555" s="7" t="n"/>
      <c r="F555" s="8" t="n"/>
      <c r="G555" s="7" t="n"/>
      <c r="H555" s="7" t="n"/>
      <c r="I555" s="7">
        <f>IF(C555="","",IFERROR(IF(INDEX(원생!$H$2:$H$501,MATCH(계산!$A555,계산!$E$2:$E$501,0))="예","예",""),""))</f>
        <v/>
      </c>
      <c r="J555" s="7" t="n"/>
    </row>
    <row r="556">
      <c r="A556" s="9" t="n"/>
      <c r="B556" s="7" t="n"/>
      <c r="C556" s="7" t="n"/>
      <c r="D556" s="7" t="n"/>
      <c r="E556" s="7" t="n"/>
      <c r="F556" s="8" t="n"/>
      <c r="G556" s="7" t="n"/>
      <c r="H556" s="7" t="n"/>
      <c r="I556" s="7">
        <f>IF(C556="","",IFERROR(IF(INDEX(원생!$H$2:$H$501,MATCH(계산!$A556,계산!$E$2:$E$501,0))="예","예",""),""))</f>
        <v/>
      </c>
      <c r="J556" s="7" t="n"/>
    </row>
    <row r="557">
      <c r="A557" s="9" t="n"/>
      <c r="B557" s="7" t="n"/>
      <c r="C557" s="7" t="n"/>
      <c r="D557" s="7" t="n"/>
      <c r="E557" s="7" t="n"/>
      <c r="F557" s="8" t="n"/>
      <c r="G557" s="7" t="n"/>
      <c r="H557" s="7" t="n"/>
      <c r="I557" s="7">
        <f>IF(C557="","",IFERROR(IF(INDEX(원생!$H$2:$H$501,MATCH(계산!$A557,계산!$E$2:$E$501,0))="예","예",""),""))</f>
        <v/>
      </c>
      <c r="J557" s="7" t="n"/>
    </row>
    <row r="558">
      <c r="A558" s="9" t="n"/>
      <c r="B558" s="7" t="n"/>
      <c r="C558" s="7" t="n"/>
      <c r="D558" s="7" t="n"/>
      <c r="E558" s="7" t="n"/>
      <c r="F558" s="8" t="n"/>
      <c r="G558" s="7" t="n"/>
      <c r="H558" s="7" t="n"/>
      <c r="I558" s="7">
        <f>IF(C558="","",IFERROR(IF(INDEX(원생!$H$2:$H$501,MATCH(계산!$A558,계산!$E$2:$E$501,0))="예","예",""),""))</f>
        <v/>
      </c>
      <c r="J558" s="7" t="n"/>
    </row>
    <row r="559">
      <c r="A559" s="9" t="n"/>
      <c r="B559" s="7" t="n"/>
      <c r="C559" s="7" t="n"/>
      <c r="D559" s="7" t="n"/>
      <c r="E559" s="7" t="n"/>
      <c r="F559" s="8" t="n"/>
      <c r="G559" s="7" t="n"/>
      <c r="H559" s="7" t="n"/>
      <c r="I559" s="7">
        <f>IF(C559="","",IFERROR(IF(INDEX(원생!$H$2:$H$501,MATCH(계산!$A559,계산!$E$2:$E$501,0))="예","예",""),""))</f>
        <v/>
      </c>
      <c r="J559" s="7" t="n"/>
    </row>
    <row r="560">
      <c r="A560" s="9" t="n"/>
      <c r="B560" s="7" t="n"/>
      <c r="C560" s="7" t="n"/>
      <c r="D560" s="7" t="n"/>
      <c r="E560" s="7" t="n"/>
      <c r="F560" s="8" t="n"/>
      <c r="G560" s="7" t="n"/>
      <c r="H560" s="7" t="n"/>
      <c r="I560" s="7">
        <f>IF(C560="","",IFERROR(IF(INDEX(원생!$H$2:$H$501,MATCH(계산!$A560,계산!$E$2:$E$501,0))="예","예",""),""))</f>
        <v/>
      </c>
      <c r="J560" s="7" t="n"/>
    </row>
    <row r="561">
      <c r="A561" s="9" t="n"/>
      <c r="B561" s="7" t="n"/>
      <c r="C561" s="7" t="n"/>
      <c r="D561" s="7" t="n"/>
      <c r="E561" s="7" t="n"/>
      <c r="F561" s="8" t="n"/>
      <c r="G561" s="7" t="n"/>
      <c r="H561" s="7" t="n"/>
      <c r="I561" s="7">
        <f>IF(C561="","",IFERROR(IF(INDEX(원생!$H$2:$H$501,MATCH(계산!$A561,계산!$E$2:$E$501,0))="예","예",""),""))</f>
        <v/>
      </c>
      <c r="J561" s="7" t="n"/>
    </row>
    <row r="562">
      <c r="A562" s="9" t="n"/>
      <c r="B562" s="7" t="n"/>
      <c r="C562" s="7" t="n"/>
      <c r="D562" s="7" t="n"/>
      <c r="E562" s="7" t="n"/>
      <c r="F562" s="8" t="n"/>
      <c r="G562" s="7" t="n"/>
      <c r="H562" s="7" t="n"/>
      <c r="I562" s="7">
        <f>IF(C562="","",IFERROR(IF(INDEX(원생!$H$2:$H$501,MATCH(계산!$A562,계산!$E$2:$E$501,0))="예","예",""),""))</f>
        <v/>
      </c>
      <c r="J562" s="7" t="n"/>
    </row>
    <row r="563">
      <c r="A563" s="9" t="n"/>
      <c r="B563" s="7" t="n"/>
      <c r="C563" s="7" t="n"/>
      <c r="D563" s="7" t="n"/>
      <c r="E563" s="7" t="n"/>
      <c r="F563" s="8" t="n"/>
      <c r="G563" s="7" t="n"/>
      <c r="H563" s="7" t="n"/>
      <c r="I563" s="7">
        <f>IF(C563="","",IFERROR(IF(INDEX(원생!$H$2:$H$501,MATCH(계산!$A563,계산!$E$2:$E$501,0))="예","예",""),""))</f>
        <v/>
      </c>
      <c r="J563" s="7" t="n"/>
    </row>
    <row r="564">
      <c r="A564" s="9" t="n"/>
      <c r="B564" s="7" t="n"/>
      <c r="C564" s="7" t="n"/>
      <c r="D564" s="7" t="n"/>
      <c r="E564" s="7" t="n"/>
      <c r="F564" s="8" t="n"/>
      <c r="G564" s="7" t="n"/>
      <c r="H564" s="7" t="n"/>
      <c r="I564" s="7">
        <f>IF(C564="","",IFERROR(IF(INDEX(원생!$H$2:$H$501,MATCH(계산!$A564,계산!$E$2:$E$501,0))="예","예",""),""))</f>
        <v/>
      </c>
      <c r="J564" s="7" t="n"/>
    </row>
    <row r="565">
      <c r="A565" s="9" t="n"/>
      <c r="B565" s="7" t="n"/>
      <c r="C565" s="7" t="n"/>
      <c r="D565" s="7" t="n"/>
      <c r="E565" s="7" t="n"/>
      <c r="F565" s="8" t="n"/>
      <c r="G565" s="7" t="n"/>
      <c r="H565" s="7" t="n"/>
      <c r="I565" s="7">
        <f>IF(C565="","",IFERROR(IF(INDEX(원생!$H$2:$H$501,MATCH(계산!$A565,계산!$E$2:$E$501,0))="예","예",""),""))</f>
        <v/>
      </c>
      <c r="J565" s="7" t="n"/>
    </row>
    <row r="566">
      <c r="A566" s="9" t="n"/>
      <c r="B566" s="7" t="n"/>
      <c r="C566" s="7" t="n"/>
      <c r="D566" s="7" t="n"/>
      <c r="E566" s="7" t="n"/>
      <c r="F566" s="8" t="n"/>
      <c r="G566" s="7" t="n"/>
      <c r="H566" s="7" t="n"/>
      <c r="I566" s="7">
        <f>IF(C566="","",IFERROR(IF(INDEX(원생!$H$2:$H$501,MATCH(계산!$A566,계산!$E$2:$E$501,0))="예","예",""),""))</f>
        <v/>
      </c>
      <c r="J566" s="7" t="n"/>
    </row>
    <row r="567">
      <c r="A567" s="9" t="n"/>
      <c r="B567" s="7" t="n"/>
      <c r="C567" s="7" t="n"/>
      <c r="D567" s="7" t="n"/>
      <c r="E567" s="7" t="n"/>
      <c r="F567" s="8" t="n"/>
      <c r="G567" s="7" t="n"/>
      <c r="H567" s="7" t="n"/>
      <c r="I567" s="7">
        <f>IF(C567="","",IFERROR(IF(INDEX(원생!$H$2:$H$501,MATCH(계산!$A567,계산!$E$2:$E$501,0))="예","예",""),""))</f>
        <v/>
      </c>
      <c r="J567" s="7" t="n"/>
    </row>
    <row r="568">
      <c r="A568" s="9" t="n"/>
      <c r="B568" s="7" t="n"/>
      <c r="C568" s="7" t="n"/>
      <c r="D568" s="7" t="n"/>
      <c r="E568" s="7" t="n"/>
      <c r="F568" s="8" t="n"/>
      <c r="G568" s="7" t="n"/>
      <c r="H568" s="7" t="n"/>
      <c r="I568" s="7">
        <f>IF(C568="","",IFERROR(IF(INDEX(원생!$H$2:$H$501,MATCH(계산!$A568,계산!$E$2:$E$501,0))="예","예",""),""))</f>
        <v/>
      </c>
      <c r="J568" s="7" t="n"/>
    </row>
    <row r="569">
      <c r="A569" s="9" t="n"/>
      <c r="B569" s="7" t="n"/>
      <c r="C569" s="7" t="n"/>
      <c r="D569" s="7" t="n"/>
      <c r="E569" s="7" t="n"/>
      <c r="F569" s="8" t="n"/>
      <c r="G569" s="7" t="n"/>
      <c r="H569" s="7" t="n"/>
      <c r="I569" s="7">
        <f>IF(C569="","",IFERROR(IF(INDEX(원생!$H$2:$H$501,MATCH(계산!$A569,계산!$E$2:$E$501,0))="예","예",""),""))</f>
        <v/>
      </c>
      <c r="J569" s="7" t="n"/>
    </row>
    <row r="570">
      <c r="A570" s="9" t="n"/>
      <c r="B570" s="7" t="n"/>
      <c r="C570" s="7" t="n"/>
      <c r="D570" s="7" t="n"/>
      <c r="E570" s="7" t="n"/>
      <c r="F570" s="8" t="n"/>
      <c r="G570" s="7" t="n"/>
      <c r="H570" s="7" t="n"/>
      <c r="I570" s="7">
        <f>IF(C570="","",IFERROR(IF(INDEX(원생!$H$2:$H$501,MATCH(계산!$A570,계산!$E$2:$E$501,0))="예","예",""),""))</f>
        <v/>
      </c>
      <c r="J570" s="7" t="n"/>
    </row>
    <row r="571">
      <c r="A571" s="9" t="n"/>
      <c r="B571" s="7" t="n"/>
      <c r="C571" s="7" t="n"/>
      <c r="D571" s="7" t="n"/>
      <c r="E571" s="7" t="n"/>
      <c r="F571" s="8" t="n"/>
      <c r="G571" s="7" t="n"/>
      <c r="H571" s="7" t="n"/>
      <c r="I571" s="7">
        <f>IF(C571="","",IFERROR(IF(INDEX(원생!$H$2:$H$501,MATCH(계산!$A571,계산!$E$2:$E$501,0))="예","예",""),""))</f>
        <v/>
      </c>
      <c r="J571" s="7" t="n"/>
    </row>
    <row r="572">
      <c r="A572" s="9" t="n"/>
      <c r="B572" s="7" t="n"/>
      <c r="C572" s="7" t="n"/>
      <c r="D572" s="7" t="n"/>
      <c r="E572" s="7" t="n"/>
      <c r="F572" s="8" t="n"/>
      <c r="G572" s="7" t="n"/>
      <c r="H572" s="7" t="n"/>
      <c r="I572" s="7">
        <f>IF(C572="","",IFERROR(IF(INDEX(원생!$H$2:$H$501,MATCH(계산!$A572,계산!$E$2:$E$501,0))="예","예",""),""))</f>
        <v/>
      </c>
      <c r="J572" s="7" t="n"/>
    </row>
    <row r="573">
      <c r="A573" s="9" t="n"/>
      <c r="B573" s="7" t="n"/>
      <c r="C573" s="7" t="n"/>
      <c r="D573" s="7" t="n"/>
      <c r="E573" s="7" t="n"/>
      <c r="F573" s="8" t="n"/>
      <c r="G573" s="7" t="n"/>
      <c r="H573" s="7" t="n"/>
      <c r="I573" s="7">
        <f>IF(C573="","",IFERROR(IF(INDEX(원생!$H$2:$H$501,MATCH(계산!$A573,계산!$E$2:$E$501,0))="예","예",""),""))</f>
        <v/>
      </c>
      <c r="J573" s="7" t="n"/>
    </row>
    <row r="574">
      <c r="A574" s="9" t="n"/>
      <c r="B574" s="7" t="n"/>
      <c r="C574" s="7" t="n"/>
      <c r="D574" s="7" t="n"/>
      <c r="E574" s="7" t="n"/>
      <c r="F574" s="8" t="n"/>
      <c r="G574" s="7" t="n"/>
      <c r="H574" s="7" t="n"/>
      <c r="I574" s="7">
        <f>IF(C574="","",IFERROR(IF(INDEX(원생!$H$2:$H$501,MATCH(계산!$A574,계산!$E$2:$E$501,0))="예","예",""),""))</f>
        <v/>
      </c>
      <c r="J574" s="7" t="n"/>
    </row>
    <row r="575">
      <c r="A575" s="9" t="n"/>
      <c r="B575" s="7" t="n"/>
      <c r="C575" s="7" t="n"/>
      <c r="D575" s="7" t="n"/>
      <c r="E575" s="7" t="n"/>
      <c r="F575" s="8" t="n"/>
      <c r="G575" s="7" t="n"/>
      <c r="H575" s="7" t="n"/>
      <c r="I575" s="7">
        <f>IF(C575="","",IFERROR(IF(INDEX(원생!$H$2:$H$501,MATCH(계산!$A575,계산!$E$2:$E$501,0))="예","예",""),""))</f>
        <v/>
      </c>
      <c r="J575" s="7" t="n"/>
    </row>
    <row r="576">
      <c r="A576" s="9" t="n"/>
      <c r="B576" s="7" t="n"/>
      <c r="C576" s="7" t="n"/>
      <c r="D576" s="7" t="n"/>
      <c r="E576" s="7" t="n"/>
      <c r="F576" s="8" t="n"/>
      <c r="G576" s="7" t="n"/>
      <c r="H576" s="7" t="n"/>
      <c r="I576" s="7">
        <f>IF(C576="","",IFERROR(IF(INDEX(원생!$H$2:$H$501,MATCH(계산!$A576,계산!$E$2:$E$501,0))="예","예",""),""))</f>
        <v/>
      </c>
      <c r="J576" s="7" t="n"/>
    </row>
    <row r="577">
      <c r="A577" s="9" t="n"/>
      <c r="B577" s="7" t="n"/>
      <c r="C577" s="7" t="n"/>
      <c r="D577" s="7" t="n"/>
      <c r="E577" s="7" t="n"/>
      <c r="F577" s="8" t="n"/>
      <c r="G577" s="7" t="n"/>
      <c r="H577" s="7" t="n"/>
      <c r="I577" s="7">
        <f>IF(C577="","",IFERROR(IF(INDEX(원생!$H$2:$H$501,MATCH(계산!$A577,계산!$E$2:$E$501,0))="예","예",""),""))</f>
        <v/>
      </c>
      <c r="J577" s="7" t="n"/>
    </row>
    <row r="578">
      <c r="A578" s="9" t="n"/>
      <c r="B578" s="7" t="n"/>
      <c r="C578" s="7" t="n"/>
      <c r="D578" s="7" t="n"/>
      <c r="E578" s="7" t="n"/>
      <c r="F578" s="8" t="n"/>
      <c r="G578" s="7" t="n"/>
      <c r="H578" s="7" t="n"/>
      <c r="I578" s="7">
        <f>IF(C578="","",IFERROR(IF(INDEX(원생!$H$2:$H$501,MATCH(계산!$A578,계산!$E$2:$E$501,0))="예","예",""),""))</f>
        <v/>
      </c>
      <c r="J578" s="7" t="n"/>
    </row>
    <row r="579">
      <c r="A579" s="9" t="n"/>
      <c r="B579" s="7" t="n"/>
      <c r="C579" s="7" t="n"/>
      <c r="D579" s="7" t="n"/>
      <c r="E579" s="7" t="n"/>
      <c r="F579" s="8" t="n"/>
      <c r="G579" s="7" t="n"/>
      <c r="H579" s="7" t="n"/>
      <c r="I579" s="7">
        <f>IF(C579="","",IFERROR(IF(INDEX(원생!$H$2:$H$501,MATCH(계산!$A579,계산!$E$2:$E$501,0))="예","예",""),""))</f>
        <v/>
      </c>
      <c r="J579" s="7" t="n"/>
    </row>
    <row r="580">
      <c r="A580" s="9" t="n"/>
      <c r="B580" s="7" t="n"/>
      <c r="C580" s="7" t="n"/>
      <c r="D580" s="7" t="n"/>
      <c r="E580" s="7" t="n"/>
      <c r="F580" s="8" t="n"/>
      <c r="G580" s="7" t="n"/>
      <c r="H580" s="7" t="n"/>
      <c r="I580" s="7">
        <f>IF(C580="","",IFERROR(IF(INDEX(원생!$H$2:$H$501,MATCH(계산!$A580,계산!$E$2:$E$501,0))="예","예",""),""))</f>
        <v/>
      </c>
      <c r="J580" s="7" t="n"/>
    </row>
    <row r="581">
      <c r="A581" s="9" t="n"/>
      <c r="B581" s="7" t="n"/>
      <c r="C581" s="7" t="n"/>
      <c r="D581" s="7" t="n"/>
      <c r="E581" s="7" t="n"/>
      <c r="F581" s="8" t="n"/>
      <c r="G581" s="7" t="n"/>
      <c r="H581" s="7" t="n"/>
      <c r="I581" s="7">
        <f>IF(C581="","",IFERROR(IF(INDEX(원생!$H$2:$H$501,MATCH(계산!$A581,계산!$E$2:$E$501,0))="예","예",""),""))</f>
        <v/>
      </c>
      <c r="J581" s="7" t="n"/>
    </row>
    <row r="582">
      <c r="A582" s="9" t="n"/>
      <c r="B582" s="7" t="n"/>
      <c r="C582" s="7" t="n"/>
      <c r="D582" s="7" t="n"/>
      <c r="E582" s="7" t="n"/>
      <c r="F582" s="8" t="n"/>
      <c r="G582" s="7" t="n"/>
      <c r="H582" s="7" t="n"/>
      <c r="I582" s="7">
        <f>IF(C582="","",IFERROR(IF(INDEX(원생!$H$2:$H$501,MATCH(계산!$A582,계산!$E$2:$E$501,0))="예","예",""),""))</f>
        <v/>
      </c>
      <c r="J582" s="7" t="n"/>
    </row>
    <row r="583">
      <c r="A583" s="9" t="n"/>
      <c r="B583" s="7" t="n"/>
      <c r="C583" s="7" t="n"/>
      <c r="D583" s="7" t="n"/>
      <c r="E583" s="7" t="n"/>
      <c r="F583" s="8" t="n"/>
      <c r="G583" s="7" t="n"/>
      <c r="H583" s="7" t="n"/>
      <c r="I583" s="7">
        <f>IF(C583="","",IFERROR(IF(INDEX(원생!$H$2:$H$501,MATCH(계산!$A583,계산!$E$2:$E$501,0))="예","예",""),""))</f>
        <v/>
      </c>
      <c r="J583" s="7" t="n"/>
    </row>
    <row r="584">
      <c r="A584" s="9" t="n"/>
      <c r="B584" s="7" t="n"/>
      <c r="C584" s="7" t="n"/>
      <c r="D584" s="7" t="n"/>
      <c r="E584" s="7" t="n"/>
      <c r="F584" s="8" t="n"/>
      <c r="G584" s="7" t="n"/>
      <c r="H584" s="7" t="n"/>
      <c r="I584" s="7">
        <f>IF(C584="","",IFERROR(IF(INDEX(원생!$H$2:$H$501,MATCH(계산!$A584,계산!$E$2:$E$501,0))="예","예",""),""))</f>
        <v/>
      </c>
      <c r="J584" s="7" t="n"/>
    </row>
    <row r="585">
      <c r="A585" s="9" t="n"/>
      <c r="B585" s="7" t="n"/>
      <c r="C585" s="7" t="n"/>
      <c r="D585" s="7" t="n"/>
      <c r="E585" s="7" t="n"/>
      <c r="F585" s="8" t="n"/>
      <c r="G585" s="7" t="n"/>
      <c r="H585" s="7" t="n"/>
      <c r="I585" s="7">
        <f>IF(C585="","",IFERROR(IF(INDEX(원생!$H$2:$H$501,MATCH(계산!$A585,계산!$E$2:$E$501,0))="예","예",""),""))</f>
        <v/>
      </c>
      <c r="J585" s="7" t="n"/>
    </row>
    <row r="586">
      <c r="A586" s="9" t="n"/>
      <c r="B586" s="7" t="n"/>
      <c r="C586" s="7" t="n"/>
      <c r="D586" s="7" t="n"/>
      <c r="E586" s="7" t="n"/>
      <c r="F586" s="8" t="n"/>
      <c r="G586" s="7" t="n"/>
      <c r="H586" s="7" t="n"/>
      <c r="I586" s="7">
        <f>IF(C586="","",IFERROR(IF(INDEX(원생!$H$2:$H$501,MATCH(계산!$A586,계산!$E$2:$E$501,0))="예","예",""),""))</f>
        <v/>
      </c>
      <c r="J586" s="7" t="n"/>
    </row>
    <row r="587">
      <c r="A587" s="9" t="n"/>
      <c r="B587" s="7" t="n"/>
      <c r="C587" s="7" t="n"/>
      <c r="D587" s="7" t="n"/>
      <c r="E587" s="7" t="n"/>
      <c r="F587" s="8" t="n"/>
      <c r="G587" s="7" t="n"/>
      <c r="H587" s="7" t="n"/>
      <c r="I587" s="7">
        <f>IF(C587="","",IFERROR(IF(INDEX(원생!$H$2:$H$501,MATCH(계산!$A587,계산!$E$2:$E$501,0))="예","예",""),""))</f>
        <v/>
      </c>
      <c r="J587" s="7" t="n"/>
    </row>
    <row r="588">
      <c r="A588" s="9" t="n"/>
      <c r="B588" s="7" t="n"/>
      <c r="C588" s="7" t="n"/>
      <c r="D588" s="7" t="n"/>
      <c r="E588" s="7" t="n"/>
      <c r="F588" s="8" t="n"/>
      <c r="G588" s="7" t="n"/>
      <c r="H588" s="7" t="n"/>
      <c r="I588" s="7">
        <f>IF(C588="","",IFERROR(IF(INDEX(원생!$H$2:$H$501,MATCH(계산!$A588,계산!$E$2:$E$501,0))="예","예",""),""))</f>
        <v/>
      </c>
      <c r="J588" s="7" t="n"/>
    </row>
    <row r="589">
      <c r="A589" s="9" t="n"/>
      <c r="B589" s="7" t="n"/>
      <c r="C589" s="7" t="n"/>
      <c r="D589" s="7" t="n"/>
      <c r="E589" s="7" t="n"/>
      <c r="F589" s="8" t="n"/>
      <c r="G589" s="7" t="n"/>
      <c r="H589" s="7" t="n"/>
      <c r="I589" s="7">
        <f>IF(C589="","",IFERROR(IF(INDEX(원생!$H$2:$H$501,MATCH(계산!$A589,계산!$E$2:$E$501,0))="예","예",""),""))</f>
        <v/>
      </c>
      <c r="J589" s="7" t="n"/>
    </row>
    <row r="590">
      <c r="A590" s="9" t="n"/>
      <c r="B590" s="7" t="n"/>
      <c r="C590" s="7" t="n"/>
      <c r="D590" s="7" t="n"/>
      <c r="E590" s="7" t="n"/>
      <c r="F590" s="8" t="n"/>
      <c r="G590" s="7" t="n"/>
      <c r="H590" s="7" t="n"/>
      <c r="I590" s="7">
        <f>IF(C590="","",IFERROR(IF(INDEX(원생!$H$2:$H$501,MATCH(계산!$A590,계산!$E$2:$E$501,0))="예","예",""),""))</f>
        <v/>
      </c>
      <c r="J590" s="7" t="n"/>
    </row>
    <row r="591">
      <c r="A591" s="9" t="n"/>
      <c r="B591" s="7" t="n"/>
      <c r="C591" s="7" t="n"/>
      <c r="D591" s="7" t="n"/>
      <c r="E591" s="7" t="n"/>
      <c r="F591" s="8" t="n"/>
      <c r="G591" s="7" t="n"/>
      <c r="H591" s="7" t="n"/>
      <c r="I591" s="7">
        <f>IF(C591="","",IFERROR(IF(INDEX(원생!$H$2:$H$501,MATCH(계산!$A591,계산!$E$2:$E$501,0))="예","예",""),""))</f>
        <v/>
      </c>
      <c r="J591" s="7" t="n"/>
    </row>
    <row r="592">
      <c r="A592" s="9" t="n"/>
      <c r="B592" s="7" t="n"/>
      <c r="C592" s="7" t="n"/>
      <c r="D592" s="7" t="n"/>
      <c r="E592" s="7" t="n"/>
      <c r="F592" s="8" t="n"/>
      <c r="G592" s="7" t="n"/>
      <c r="H592" s="7" t="n"/>
      <c r="I592" s="7">
        <f>IF(C592="","",IFERROR(IF(INDEX(원생!$H$2:$H$501,MATCH(계산!$A592,계산!$E$2:$E$501,0))="예","예",""),""))</f>
        <v/>
      </c>
      <c r="J592" s="7" t="n"/>
    </row>
    <row r="593">
      <c r="A593" s="9" t="n"/>
      <c r="B593" s="7" t="n"/>
      <c r="C593" s="7" t="n"/>
      <c r="D593" s="7" t="n"/>
      <c r="E593" s="7" t="n"/>
      <c r="F593" s="8" t="n"/>
      <c r="G593" s="7" t="n"/>
      <c r="H593" s="7" t="n"/>
      <c r="I593" s="7">
        <f>IF(C593="","",IFERROR(IF(INDEX(원생!$H$2:$H$501,MATCH(계산!$A593,계산!$E$2:$E$501,0))="예","예",""),""))</f>
        <v/>
      </c>
      <c r="J593" s="7" t="n"/>
    </row>
    <row r="594">
      <c r="A594" s="9" t="n"/>
      <c r="B594" s="7" t="n"/>
      <c r="C594" s="7" t="n"/>
      <c r="D594" s="7" t="n"/>
      <c r="E594" s="7" t="n"/>
      <c r="F594" s="8" t="n"/>
      <c r="G594" s="7" t="n"/>
      <c r="H594" s="7" t="n"/>
      <c r="I594" s="7">
        <f>IF(C594="","",IFERROR(IF(INDEX(원생!$H$2:$H$501,MATCH(계산!$A594,계산!$E$2:$E$501,0))="예","예",""),""))</f>
        <v/>
      </c>
      <c r="J594" s="7" t="n"/>
    </row>
    <row r="595">
      <c r="A595" s="9" t="n"/>
      <c r="B595" s="7" t="n"/>
      <c r="C595" s="7" t="n"/>
      <c r="D595" s="7" t="n"/>
      <c r="E595" s="7" t="n"/>
      <c r="F595" s="8" t="n"/>
      <c r="G595" s="7" t="n"/>
      <c r="H595" s="7" t="n"/>
      <c r="I595" s="7">
        <f>IF(C595="","",IFERROR(IF(INDEX(원생!$H$2:$H$501,MATCH(계산!$A595,계산!$E$2:$E$501,0))="예","예",""),""))</f>
        <v/>
      </c>
      <c r="J595" s="7" t="n"/>
    </row>
    <row r="596">
      <c r="A596" s="9" t="n"/>
      <c r="B596" s="7" t="n"/>
      <c r="C596" s="7" t="n"/>
      <c r="D596" s="7" t="n"/>
      <c r="E596" s="7" t="n"/>
      <c r="F596" s="8" t="n"/>
      <c r="G596" s="7" t="n"/>
      <c r="H596" s="7" t="n"/>
      <c r="I596" s="7">
        <f>IF(C596="","",IFERROR(IF(INDEX(원생!$H$2:$H$501,MATCH(계산!$A596,계산!$E$2:$E$501,0))="예","예",""),""))</f>
        <v/>
      </c>
      <c r="J596" s="7" t="n"/>
    </row>
    <row r="597">
      <c r="A597" s="9" t="n"/>
      <c r="B597" s="7" t="n"/>
      <c r="C597" s="7" t="n"/>
      <c r="D597" s="7" t="n"/>
      <c r="E597" s="7" t="n"/>
      <c r="F597" s="8" t="n"/>
      <c r="G597" s="7" t="n"/>
      <c r="H597" s="7" t="n"/>
      <c r="I597" s="7">
        <f>IF(C597="","",IFERROR(IF(INDEX(원생!$H$2:$H$501,MATCH(계산!$A597,계산!$E$2:$E$501,0))="예","예",""),""))</f>
        <v/>
      </c>
      <c r="J597" s="7" t="n"/>
    </row>
    <row r="598">
      <c r="A598" s="9" t="n"/>
      <c r="B598" s="7" t="n"/>
      <c r="C598" s="7" t="n"/>
      <c r="D598" s="7" t="n"/>
      <c r="E598" s="7" t="n"/>
      <c r="F598" s="8" t="n"/>
      <c r="G598" s="7" t="n"/>
      <c r="H598" s="7" t="n"/>
      <c r="I598" s="7">
        <f>IF(C598="","",IFERROR(IF(INDEX(원생!$H$2:$H$501,MATCH(계산!$A598,계산!$E$2:$E$501,0))="예","예",""),""))</f>
        <v/>
      </c>
      <c r="J598" s="7" t="n"/>
    </row>
    <row r="599">
      <c r="A599" s="9" t="n"/>
      <c r="B599" s="7" t="n"/>
      <c r="C599" s="7" t="n"/>
      <c r="D599" s="7" t="n"/>
      <c r="E599" s="7" t="n"/>
      <c r="F599" s="8" t="n"/>
      <c r="G599" s="7" t="n"/>
      <c r="H599" s="7" t="n"/>
      <c r="I599" s="7">
        <f>IF(C599="","",IFERROR(IF(INDEX(원생!$H$2:$H$501,MATCH(계산!$A599,계산!$E$2:$E$501,0))="예","예",""),""))</f>
        <v/>
      </c>
      <c r="J599" s="7" t="n"/>
    </row>
    <row r="600">
      <c r="A600" s="9" t="n"/>
      <c r="B600" s="7" t="n"/>
      <c r="C600" s="7" t="n"/>
      <c r="D600" s="7" t="n"/>
      <c r="E600" s="7" t="n"/>
      <c r="F600" s="8" t="n"/>
      <c r="G600" s="7" t="n"/>
      <c r="H600" s="7" t="n"/>
      <c r="I600" s="7">
        <f>IF(C600="","",IFERROR(IF(INDEX(원생!$H$2:$H$501,MATCH(계산!$A600,계산!$E$2:$E$501,0))="예","예",""),""))</f>
        <v/>
      </c>
      <c r="J600" s="7" t="n"/>
    </row>
    <row r="601">
      <c r="A601" s="9" t="n"/>
      <c r="B601" s="7" t="n"/>
      <c r="C601" s="7" t="n"/>
      <c r="D601" s="7" t="n"/>
      <c r="E601" s="7" t="n"/>
      <c r="F601" s="8" t="n"/>
      <c r="G601" s="7" t="n"/>
      <c r="H601" s="7" t="n"/>
      <c r="I601" s="7">
        <f>IF(C601="","",IFERROR(IF(INDEX(원생!$H$2:$H$501,MATCH(계산!$A601,계산!$E$2:$E$501,0))="예","예",""),""))</f>
        <v/>
      </c>
      <c r="J601" s="7" t="n"/>
    </row>
    <row r="602">
      <c r="A602" s="9" t="n"/>
      <c r="B602" s="7" t="n"/>
      <c r="C602" s="7" t="n"/>
      <c r="D602" s="7" t="n"/>
      <c r="E602" s="7" t="n"/>
      <c r="F602" s="8" t="n"/>
      <c r="G602" s="7" t="n"/>
      <c r="H602" s="7" t="n"/>
      <c r="I602" s="7">
        <f>IF(C602="","",IFERROR(IF(INDEX(원생!$H$2:$H$501,MATCH(계산!$A602,계산!$E$2:$E$501,0))="예","예",""),""))</f>
        <v/>
      </c>
      <c r="J602" s="7" t="n"/>
    </row>
    <row r="603">
      <c r="A603" s="9" t="n"/>
      <c r="B603" s="7" t="n"/>
      <c r="C603" s="7" t="n"/>
      <c r="D603" s="7" t="n"/>
      <c r="E603" s="7" t="n"/>
      <c r="F603" s="8" t="n"/>
      <c r="G603" s="7" t="n"/>
      <c r="H603" s="7" t="n"/>
      <c r="I603" s="7">
        <f>IF(C603="","",IFERROR(IF(INDEX(원생!$H$2:$H$501,MATCH(계산!$A603,계산!$E$2:$E$501,0))="예","예",""),""))</f>
        <v/>
      </c>
      <c r="J603" s="7" t="n"/>
    </row>
    <row r="604">
      <c r="A604" s="9" t="n"/>
      <c r="B604" s="7" t="n"/>
      <c r="C604" s="7" t="n"/>
      <c r="D604" s="7" t="n"/>
      <c r="E604" s="7" t="n"/>
      <c r="F604" s="8" t="n"/>
      <c r="G604" s="7" t="n"/>
      <c r="H604" s="7" t="n"/>
      <c r="I604" s="7">
        <f>IF(C604="","",IFERROR(IF(INDEX(원생!$H$2:$H$501,MATCH(계산!$A604,계산!$E$2:$E$501,0))="예","예",""),""))</f>
        <v/>
      </c>
      <c r="J604" s="7" t="n"/>
    </row>
    <row r="605">
      <c r="A605" s="9" t="n"/>
      <c r="B605" s="7" t="n"/>
      <c r="C605" s="7" t="n"/>
      <c r="D605" s="7" t="n"/>
      <c r="E605" s="7" t="n"/>
      <c r="F605" s="8" t="n"/>
      <c r="G605" s="7" t="n"/>
      <c r="H605" s="7" t="n"/>
      <c r="I605" s="7">
        <f>IF(C605="","",IFERROR(IF(INDEX(원생!$H$2:$H$501,MATCH(계산!$A605,계산!$E$2:$E$501,0))="예","예",""),""))</f>
        <v/>
      </c>
      <c r="J605" s="7" t="n"/>
    </row>
    <row r="606">
      <c r="A606" s="9" t="n"/>
      <c r="B606" s="7" t="n"/>
      <c r="C606" s="7" t="n"/>
      <c r="D606" s="7" t="n"/>
      <c r="E606" s="7" t="n"/>
      <c r="F606" s="8" t="n"/>
      <c r="G606" s="7" t="n"/>
      <c r="H606" s="7" t="n"/>
      <c r="I606" s="7">
        <f>IF(C606="","",IFERROR(IF(INDEX(원생!$H$2:$H$501,MATCH(계산!$A606,계산!$E$2:$E$501,0))="예","예",""),""))</f>
        <v/>
      </c>
      <c r="J606" s="7" t="n"/>
    </row>
    <row r="607">
      <c r="A607" s="9" t="n"/>
      <c r="B607" s="7" t="n"/>
      <c r="C607" s="7" t="n"/>
      <c r="D607" s="7" t="n"/>
      <c r="E607" s="7" t="n"/>
      <c r="F607" s="8" t="n"/>
      <c r="G607" s="7" t="n"/>
      <c r="H607" s="7" t="n"/>
      <c r="I607" s="7">
        <f>IF(C607="","",IFERROR(IF(INDEX(원생!$H$2:$H$501,MATCH(계산!$A607,계산!$E$2:$E$501,0))="예","예",""),""))</f>
        <v/>
      </c>
      <c r="J607" s="7" t="n"/>
    </row>
    <row r="608">
      <c r="A608" s="9" t="n"/>
      <c r="B608" s="7" t="n"/>
      <c r="C608" s="7" t="n"/>
      <c r="D608" s="7" t="n"/>
      <c r="E608" s="7" t="n"/>
      <c r="F608" s="8" t="n"/>
      <c r="G608" s="7" t="n"/>
      <c r="H608" s="7" t="n"/>
      <c r="I608" s="7">
        <f>IF(C608="","",IFERROR(IF(INDEX(원생!$H$2:$H$501,MATCH(계산!$A608,계산!$E$2:$E$501,0))="예","예",""),""))</f>
        <v/>
      </c>
      <c r="J608" s="7" t="n"/>
    </row>
    <row r="609">
      <c r="A609" s="9" t="n"/>
      <c r="B609" s="7" t="n"/>
      <c r="C609" s="7" t="n"/>
      <c r="D609" s="7" t="n"/>
      <c r="E609" s="7" t="n"/>
      <c r="F609" s="8" t="n"/>
      <c r="G609" s="7" t="n"/>
      <c r="H609" s="7" t="n"/>
      <c r="I609" s="7">
        <f>IF(C609="","",IFERROR(IF(INDEX(원생!$H$2:$H$501,MATCH(계산!$A609,계산!$E$2:$E$501,0))="예","예",""),""))</f>
        <v/>
      </c>
      <c r="J609" s="7" t="n"/>
    </row>
    <row r="610">
      <c r="A610" s="9" t="n"/>
      <c r="B610" s="7" t="n"/>
      <c r="C610" s="7" t="n"/>
      <c r="D610" s="7" t="n"/>
      <c r="E610" s="7" t="n"/>
      <c r="F610" s="8" t="n"/>
      <c r="G610" s="7" t="n"/>
      <c r="H610" s="7" t="n"/>
      <c r="I610" s="7">
        <f>IF(C610="","",IFERROR(IF(INDEX(원생!$H$2:$H$501,MATCH(계산!$A610,계산!$E$2:$E$501,0))="예","예",""),""))</f>
        <v/>
      </c>
      <c r="J610" s="7" t="n"/>
    </row>
    <row r="611">
      <c r="A611" s="9" t="n"/>
      <c r="B611" s="7" t="n"/>
      <c r="C611" s="7" t="n"/>
      <c r="D611" s="7" t="n"/>
      <c r="E611" s="7" t="n"/>
      <c r="F611" s="8" t="n"/>
      <c r="G611" s="7" t="n"/>
      <c r="H611" s="7" t="n"/>
      <c r="I611" s="7">
        <f>IF(C611="","",IFERROR(IF(INDEX(원생!$H$2:$H$501,MATCH(계산!$A611,계산!$E$2:$E$501,0))="예","예",""),""))</f>
        <v/>
      </c>
      <c r="J611" s="7" t="n"/>
    </row>
    <row r="612">
      <c r="A612" s="9" t="n"/>
      <c r="B612" s="7" t="n"/>
      <c r="C612" s="7" t="n"/>
      <c r="D612" s="7" t="n"/>
      <c r="E612" s="7" t="n"/>
      <c r="F612" s="8" t="n"/>
      <c r="G612" s="7" t="n"/>
      <c r="H612" s="7" t="n"/>
      <c r="I612" s="7">
        <f>IF(C612="","",IFERROR(IF(INDEX(원생!$H$2:$H$501,MATCH(계산!$A612,계산!$E$2:$E$501,0))="예","예",""),""))</f>
        <v/>
      </c>
      <c r="J612" s="7" t="n"/>
    </row>
    <row r="613">
      <c r="A613" s="9" t="n"/>
      <c r="B613" s="7" t="n"/>
      <c r="C613" s="7" t="n"/>
      <c r="D613" s="7" t="n"/>
      <c r="E613" s="7" t="n"/>
      <c r="F613" s="8" t="n"/>
      <c r="G613" s="7" t="n"/>
      <c r="H613" s="7" t="n"/>
      <c r="I613" s="7">
        <f>IF(C613="","",IFERROR(IF(INDEX(원생!$H$2:$H$501,MATCH(계산!$A613,계산!$E$2:$E$501,0))="예","예",""),""))</f>
        <v/>
      </c>
      <c r="J613" s="7" t="n"/>
    </row>
    <row r="614">
      <c r="A614" s="9" t="n"/>
      <c r="B614" s="7" t="n"/>
      <c r="C614" s="7" t="n"/>
      <c r="D614" s="7" t="n"/>
      <c r="E614" s="7" t="n"/>
      <c r="F614" s="8" t="n"/>
      <c r="G614" s="7" t="n"/>
      <c r="H614" s="7" t="n"/>
      <c r="I614" s="7">
        <f>IF(C614="","",IFERROR(IF(INDEX(원생!$H$2:$H$501,MATCH(계산!$A614,계산!$E$2:$E$501,0))="예","예",""),""))</f>
        <v/>
      </c>
      <c r="J614" s="7" t="n"/>
    </row>
    <row r="615">
      <c r="A615" s="9" t="n"/>
      <c r="B615" s="7" t="n"/>
      <c r="C615" s="7" t="n"/>
      <c r="D615" s="7" t="n"/>
      <c r="E615" s="7" t="n"/>
      <c r="F615" s="8" t="n"/>
      <c r="G615" s="7" t="n"/>
      <c r="H615" s="7" t="n"/>
      <c r="I615" s="7">
        <f>IF(C615="","",IFERROR(IF(INDEX(원생!$H$2:$H$501,MATCH(계산!$A615,계산!$E$2:$E$501,0))="예","예",""),""))</f>
        <v/>
      </c>
      <c r="J615" s="7" t="n"/>
    </row>
    <row r="616">
      <c r="A616" s="9" t="n"/>
      <c r="B616" s="7" t="n"/>
      <c r="C616" s="7" t="n"/>
      <c r="D616" s="7" t="n"/>
      <c r="E616" s="7" t="n"/>
      <c r="F616" s="8" t="n"/>
      <c r="G616" s="7" t="n"/>
      <c r="H616" s="7" t="n"/>
      <c r="I616" s="7">
        <f>IF(C616="","",IFERROR(IF(INDEX(원생!$H$2:$H$501,MATCH(계산!$A616,계산!$E$2:$E$501,0))="예","예",""),""))</f>
        <v/>
      </c>
      <c r="J616" s="7" t="n"/>
    </row>
    <row r="617">
      <c r="A617" s="9" t="n"/>
      <c r="B617" s="7" t="n"/>
      <c r="C617" s="7" t="n"/>
      <c r="D617" s="7" t="n"/>
      <c r="E617" s="7" t="n"/>
      <c r="F617" s="8" t="n"/>
      <c r="G617" s="7" t="n"/>
      <c r="H617" s="7" t="n"/>
      <c r="I617" s="7">
        <f>IF(C617="","",IFERROR(IF(INDEX(원생!$H$2:$H$501,MATCH(계산!$A617,계산!$E$2:$E$501,0))="예","예",""),""))</f>
        <v/>
      </c>
      <c r="J617" s="7" t="n"/>
    </row>
    <row r="618">
      <c r="A618" s="9" t="n"/>
      <c r="B618" s="7" t="n"/>
      <c r="C618" s="7" t="n"/>
      <c r="D618" s="7" t="n"/>
      <c r="E618" s="7" t="n"/>
      <c r="F618" s="8" t="n"/>
      <c r="G618" s="7" t="n"/>
      <c r="H618" s="7" t="n"/>
      <c r="I618" s="7">
        <f>IF(C618="","",IFERROR(IF(INDEX(원생!$H$2:$H$501,MATCH(계산!$A618,계산!$E$2:$E$501,0))="예","예",""),""))</f>
        <v/>
      </c>
      <c r="J618" s="7" t="n"/>
    </row>
    <row r="619">
      <c r="A619" s="9" t="n"/>
      <c r="B619" s="7" t="n"/>
      <c r="C619" s="7" t="n"/>
      <c r="D619" s="7" t="n"/>
      <c r="E619" s="7" t="n"/>
      <c r="F619" s="8" t="n"/>
      <c r="G619" s="7" t="n"/>
      <c r="H619" s="7" t="n"/>
      <c r="I619" s="7">
        <f>IF(C619="","",IFERROR(IF(INDEX(원생!$H$2:$H$501,MATCH(계산!$A619,계산!$E$2:$E$501,0))="예","예",""),""))</f>
        <v/>
      </c>
      <c r="J619" s="7" t="n"/>
    </row>
    <row r="620">
      <c r="A620" s="9" t="n"/>
      <c r="B620" s="7" t="n"/>
      <c r="C620" s="7" t="n"/>
      <c r="D620" s="7" t="n"/>
      <c r="E620" s="7" t="n"/>
      <c r="F620" s="8" t="n"/>
      <c r="G620" s="7" t="n"/>
      <c r="H620" s="7" t="n"/>
      <c r="I620" s="7">
        <f>IF(C620="","",IFERROR(IF(INDEX(원생!$H$2:$H$501,MATCH(계산!$A620,계산!$E$2:$E$501,0))="예","예",""),""))</f>
        <v/>
      </c>
      <c r="J620" s="7" t="n"/>
    </row>
    <row r="621">
      <c r="A621" s="9" t="n"/>
      <c r="B621" s="7" t="n"/>
      <c r="C621" s="7" t="n"/>
      <c r="D621" s="7" t="n"/>
      <c r="E621" s="7" t="n"/>
      <c r="F621" s="8" t="n"/>
      <c r="G621" s="7" t="n"/>
      <c r="H621" s="7" t="n"/>
      <c r="I621" s="7">
        <f>IF(C621="","",IFERROR(IF(INDEX(원생!$H$2:$H$501,MATCH(계산!$A621,계산!$E$2:$E$501,0))="예","예",""),""))</f>
        <v/>
      </c>
      <c r="J621" s="7" t="n"/>
    </row>
    <row r="622">
      <c r="A622" s="9" t="n"/>
      <c r="B622" s="7" t="n"/>
      <c r="C622" s="7" t="n"/>
      <c r="D622" s="7" t="n"/>
      <c r="E622" s="7" t="n"/>
      <c r="F622" s="8" t="n"/>
      <c r="G622" s="7" t="n"/>
      <c r="H622" s="7" t="n"/>
      <c r="I622" s="7">
        <f>IF(C622="","",IFERROR(IF(INDEX(원생!$H$2:$H$501,MATCH(계산!$A622,계산!$E$2:$E$501,0))="예","예",""),""))</f>
        <v/>
      </c>
      <c r="J622" s="7" t="n"/>
    </row>
    <row r="623">
      <c r="A623" s="9" t="n"/>
      <c r="B623" s="7" t="n"/>
      <c r="C623" s="7" t="n"/>
      <c r="D623" s="7" t="n"/>
      <c r="E623" s="7" t="n"/>
      <c r="F623" s="8" t="n"/>
      <c r="G623" s="7" t="n"/>
      <c r="H623" s="7" t="n"/>
      <c r="I623" s="7">
        <f>IF(C623="","",IFERROR(IF(INDEX(원생!$H$2:$H$501,MATCH(계산!$A623,계산!$E$2:$E$501,0))="예","예",""),""))</f>
        <v/>
      </c>
      <c r="J623" s="7" t="n"/>
    </row>
    <row r="624">
      <c r="A624" s="9" t="n"/>
      <c r="B624" s="7" t="n"/>
      <c r="C624" s="7" t="n"/>
      <c r="D624" s="7" t="n"/>
      <c r="E624" s="7" t="n"/>
      <c r="F624" s="8" t="n"/>
      <c r="G624" s="7" t="n"/>
      <c r="H624" s="7" t="n"/>
      <c r="I624" s="7">
        <f>IF(C624="","",IFERROR(IF(INDEX(원생!$H$2:$H$501,MATCH(계산!$A624,계산!$E$2:$E$501,0))="예","예",""),""))</f>
        <v/>
      </c>
      <c r="J624" s="7" t="n"/>
    </row>
    <row r="625">
      <c r="A625" s="9" t="n"/>
      <c r="B625" s="7" t="n"/>
      <c r="C625" s="7" t="n"/>
      <c r="D625" s="7" t="n"/>
      <c r="E625" s="7" t="n"/>
      <c r="F625" s="8" t="n"/>
      <c r="G625" s="7" t="n"/>
      <c r="H625" s="7" t="n"/>
      <c r="I625" s="7">
        <f>IF(C625="","",IFERROR(IF(INDEX(원생!$H$2:$H$501,MATCH(계산!$A625,계산!$E$2:$E$501,0))="예","예",""),""))</f>
        <v/>
      </c>
      <c r="J625" s="7" t="n"/>
    </row>
    <row r="626">
      <c r="A626" s="9" t="n"/>
      <c r="B626" s="7" t="n"/>
      <c r="C626" s="7" t="n"/>
      <c r="D626" s="7" t="n"/>
      <c r="E626" s="7" t="n"/>
      <c r="F626" s="8" t="n"/>
      <c r="G626" s="7" t="n"/>
      <c r="H626" s="7" t="n"/>
      <c r="I626" s="7">
        <f>IF(C626="","",IFERROR(IF(INDEX(원생!$H$2:$H$501,MATCH(계산!$A626,계산!$E$2:$E$501,0))="예","예",""),""))</f>
        <v/>
      </c>
      <c r="J626" s="7" t="n"/>
    </row>
    <row r="627">
      <c r="A627" s="9" t="n"/>
      <c r="B627" s="7" t="n"/>
      <c r="C627" s="7" t="n"/>
      <c r="D627" s="7" t="n"/>
      <c r="E627" s="7" t="n"/>
      <c r="F627" s="8" t="n"/>
      <c r="G627" s="7" t="n"/>
      <c r="H627" s="7" t="n"/>
      <c r="I627" s="7">
        <f>IF(C627="","",IFERROR(IF(INDEX(원생!$H$2:$H$501,MATCH(계산!$A627,계산!$E$2:$E$501,0))="예","예",""),""))</f>
        <v/>
      </c>
      <c r="J627" s="7" t="n"/>
    </row>
    <row r="628">
      <c r="A628" s="9" t="n"/>
      <c r="B628" s="7" t="n"/>
      <c r="C628" s="7" t="n"/>
      <c r="D628" s="7" t="n"/>
      <c r="E628" s="7" t="n"/>
      <c r="F628" s="8" t="n"/>
      <c r="G628" s="7" t="n"/>
      <c r="H628" s="7" t="n"/>
      <c r="I628" s="7">
        <f>IF(C628="","",IFERROR(IF(INDEX(원생!$H$2:$H$501,MATCH(계산!$A628,계산!$E$2:$E$501,0))="예","예",""),""))</f>
        <v/>
      </c>
      <c r="J628" s="7" t="n"/>
    </row>
    <row r="629">
      <c r="A629" s="9" t="n"/>
      <c r="B629" s="7" t="n"/>
      <c r="C629" s="7" t="n"/>
      <c r="D629" s="7" t="n"/>
      <c r="E629" s="7" t="n"/>
      <c r="F629" s="8" t="n"/>
      <c r="G629" s="7" t="n"/>
      <c r="H629" s="7" t="n"/>
      <c r="I629" s="7">
        <f>IF(C629="","",IFERROR(IF(INDEX(원생!$H$2:$H$501,MATCH(계산!$A629,계산!$E$2:$E$501,0))="예","예",""),""))</f>
        <v/>
      </c>
      <c r="J629" s="7" t="n"/>
    </row>
    <row r="630">
      <c r="A630" s="9" t="n"/>
      <c r="B630" s="7" t="n"/>
      <c r="C630" s="7" t="n"/>
      <c r="D630" s="7" t="n"/>
      <c r="E630" s="7" t="n"/>
      <c r="F630" s="8" t="n"/>
      <c r="G630" s="7" t="n"/>
      <c r="H630" s="7" t="n"/>
      <c r="I630" s="7">
        <f>IF(C630="","",IFERROR(IF(INDEX(원생!$H$2:$H$501,MATCH(계산!$A630,계산!$E$2:$E$501,0))="예","예",""),""))</f>
        <v/>
      </c>
      <c r="J630" s="7" t="n"/>
    </row>
    <row r="631">
      <c r="A631" s="9" t="n"/>
      <c r="B631" s="7" t="n"/>
      <c r="C631" s="7" t="n"/>
      <c r="D631" s="7" t="n"/>
      <c r="E631" s="7" t="n"/>
      <c r="F631" s="8" t="n"/>
      <c r="G631" s="7" t="n"/>
      <c r="H631" s="7" t="n"/>
      <c r="I631" s="7">
        <f>IF(C631="","",IFERROR(IF(INDEX(원생!$H$2:$H$501,MATCH(계산!$A631,계산!$E$2:$E$501,0))="예","예",""),""))</f>
        <v/>
      </c>
      <c r="J631" s="7" t="n"/>
    </row>
    <row r="632">
      <c r="A632" s="9" t="n"/>
      <c r="B632" s="7" t="n"/>
      <c r="C632" s="7" t="n"/>
      <c r="D632" s="7" t="n"/>
      <c r="E632" s="7" t="n"/>
      <c r="F632" s="8" t="n"/>
      <c r="G632" s="7" t="n"/>
      <c r="H632" s="7" t="n"/>
      <c r="I632" s="7">
        <f>IF(C632="","",IFERROR(IF(INDEX(원생!$H$2:$H$501,MATCH(계산!$A632,계산!$E$2:$E$501,0))="예","예",""),""))</f>
        <v/>
      </c>
      <c r="J632" s="7" t="n"/>
    </row>
    <row r="633">
      <c r="A633" s="9" t="n"/>
      <c r="B633" s="7" t="n"/>
      <c r="C633" s="7" t="n"/>
      <c r="D633" s="7" t="n"/>
      <c r="E633" s="7" t="n"/>
      <c r="F633" s="8" t="n"/>
      <c r="G633" s="7" t="n"/>
      <c r="H633" s="7" t="n"/>
      <c r="I633" s="7">
        <f>IF(C633="","",IFERROR(IF(INDEX(원생!$H$2:$H$501,MATCH(계산!$A633,계산!$E$2:$E$501,0))="예","예",""),""))</f>
        <v/>
      </c>
      <c r="J633" s="7" t="n"/>
    </row>
    <row r="634">
      <c r="A634" s="9" t="n"/>
      <c r="B634" s="7" t="n"/>
      <c r="C634" s="7" t="n"/>
      <c r="D634" s="7" t="n"/>
      <c r="E634" s="7" t="n"/>
      <c r="F634" s="8" t="n"/>
      <c r="G634" s="7" t="n"/>
      <c r="H634" s="7" t="n"/>
      <c r="I634" s="7">
        <f>IF(C634="","",IFERROR(IF(INDEX(원생!$H$2:$H$501,MATCH(계산!$A634,계산!$E$2:$E$501,0))="예","예",""),""))</f>
        <v/>
      </c>
      <c r="J634" s="7" t="n"/>
    </row>
    <row r="635">
      <c r="A635" s="9" t="n"/>
      <c r="B635" s="7" t="n"/>
      <c r="C635" s="7" t="n"/>
      <c r="D635" s="7" t="n"/>
      <c r="E635" s="7" t="n"/>
      <c r="F635" s="8" t="n"/>
      <c r="G635" s="7" t="n"/>
      <c r="H635" s="7" t="n"/>
      <c r="I635" s="7">
        <f>IF(C635="","",IFERROR(IF(INDEX(원생!$H$2:$H$501,MATCH(계산!$A635,계산!$E$2:$E$501,0))="예","예",""),""))</f>
        <v/>
      </c>
      <c r="J635" s="7" t="n"/>
    </row>
    <row r="636">
      <c r="A636" s="9" t="n"/>
      <c r="B636" s="7" t="n"/>
      <c r="C636" s="7" t="n"/>
      <c r="D636" s="7" t="n"/>
      <c r="E636" s="7" t="n"/>
      <c r="F636" s="8" t="n"/>
      <c r="G636" s="7" t="n"/>
      <c r="H636" s="7" t="n"/>
      <c r="I636" s="7">
        <f>IF(C636="","",IFERROR(IF(INDEX(원생!$H$2:$H$501,MATCH(계산!$A636,계산!$E$2:$E$501,0))="예","예",""),""))</f>
        <v/>
      </c>
      <c r="J636" s="7" t="n"/>
    </row>
    <row r="637">
      <c r="A637" s="9" t="n"/>
      <c r="B637" s="7" t="n"/>
      <c r="C637" s="7" t="n"/>
      <c r="D637" s="7" t="n"/>
      <c r="E637" s="7" t="n"/>
      <c r="F637" s="8" t="n"/>
      <c r="G637" s="7" t="n"/>
      <c r="H637" s="7" t="n"/>
      <c r="I637" s="7">
        <f>IF(C637="","",IFERROR(IF(INDEX(원생!$H$2:$H$501,MATCH(계산!$A637,계산!$E$2:$E$501,0))="예","예",""),""))</f>
        <v/>
      </c>
      <c r="J637" s="7" t="n"/>
    </row>
    <row r="638">
      <c r="A638" s="9" t="n"/>
      <c r="B638" s="7" t="n"/>
      <c r="C638" s="7" t="n"/>
      <c r="D638" s="7" t="n"/>
      <c r="E638" s="7" t="n"/>
      <c r="F638" s="8" t="n"/>
      <c r="G638" s="7" t="n"/>
      <c r="H638" s="7" t="n"/>
      <c r="I638" s="7">
        <f>IF(C638="","",IFERROR(IF(INDEX(원생!$H$2:$H$501,MATCH(계산!$A638,계산!$E$2:$E$501,0))="예","예",""),""))</f>
        <v/>
      </c>
      <c r="J638" s="7" t="n"/>
    </row>
    <row r="639">
      <c r="A639" s="9" t="n"/>
      <c r="B639" s="7" t="n"/>
      <c r="C639" s="7" t="n"/>
      <c r="D639" s="7" t="n"/>
      <c r="E639" s="7" t="n"/>
      <c r="F639" s="8" t="n"/>
      <c r="G639" s="7" t="n"/>
      <c r="H639" s="7" t="n"/>
      <c r="I639" s="7">
        <f>IF(C639="","",IFERROR(IF(INDEX(원생!$H$2:$H$501,MATCH(계산!$A639,계산!$E$2:$E$501,0))="예","예",""),""))</f>
        <v/>
      </c>
      <c r="J639" s="7" t="n"/>
    </row>
    <row r="640">
      <c r="A640" s="9" t="n"/>
      <c r="B640" s="7" t="n"/>
      <c r="C640" s="7" t="n"/>
      <c r="D640" s="7" t="n"/>
      <c r="E640" s="7" t="n"/>
      <c r="F640" s="8" t="n"/>
      <c r="G640" s="7" t="n"/>
      <c r="H640" s="7" t="n"/>
      <c r="I640" s="7">
        <f>IF(C640="","",IFERROR(IF(INDEX(원생!$H$2:$H$501,MATCH(계산!$A640,계산!$E$2:$E$501,0))="예","예",""),""))</f>
        <v/>
      </c>
      <c r="J640" s="7" t="n"/>
    </row>
    <row r="641">
      <c r="A641" s="9" t="n"/>
      <c r="B641" s="7" t="n"/>
      <c r="C641" s="7" t="n"/>
      <c r="D641" s="7" t="n"/>
      <c r="E641" s="7" t="n"/>
      <c r="F641" s="8" t="n"/>
      <c r="G641" s="7" t="n"/>
      <c r="H641" s="7" t="n"/>
      <c r="I641" s="7">
        <f>IF(C641="","",IFERROR(IF(INDEX(원생!$H$2:$H$501,MATCH(계산!$A641,계산!$E$2:$E$501,0))="예","예",""),""))</f>
        <v/>
      </c>
      <c r="J641" s="7" t="n"/>
    </row>
    <row r="642">
      <c r="A642" s="9" t="n"/>
      <c r="B642" s="7" t="n"/>
      <c r="C642" s="7" t="n"/>
      <c r="D642" s="7" t="n"/>
      <c r="E642" s="7" t="n"/>
      <c r="F642" s="8" t="n"/>
      <c r="G642" s="7" t="n"/>
      <c r="H642" s="7" t="n"/>
      <c r="I642" s="7">
        <f>IF(C642="","",IFERROR(IF(INDEX(원생!$H$2:$H$501,MATCH(계산!$A642,계산!$E$2:$E$501,0))="예","예",""),""))</f>
        <v/>
      </c>
      <c r="J642" s="7" t="n"/>
    </row>
    <row r="643">
      <c r="A643" s="9" t="n"/>
      <c r="B643" s="7" t="n"/>
      <c r="C643" s="7" t="n"/>
      <c r="D643" s="7" t="n"/>
      <c r="E643" s="7" t="n"/>
      <c r="F643" s="8" t="n"/>
      <c r="G643" s="7" t="n"/>
      <c r="H643" s="7" t="n"/>
      <c r="I643" s="7">
        <f>IF(C643="","",IFERROR(IF(INDEX(원생!$H$2:$H$501,MATCH(계산!$A643,계산!$E$2:$E$501,0))="예","예",""),""))</f>
        <v/>
      </c>
      <c r="J643" s="7" t="n"/>
    </row>
    <row r="644">
      <c r="A644" s="9" t="n"/>
      <c r="B644" s="7" t="n"/>
      <c r="C644" s="7" t="n"/>
      <c r="D644" s="7" t="n"/>
      <c r="E644" s="7" t="n"/>
      <c r="F644" s="8" t="n"/>
      <c r="G644" s="7" t="n"/>
      <c r="H644" s="7" t="n"/>
      <c r="I644" s="7">
        <f>IF(C644="","",IFERROR(IF(INDEX(원생!$H$2:$H$501,MATCH(계산!$A644,계산!$E$2:$E$501,0))="예","예",""),""))</f>
        <v/>
      </c>
      <c r="J644" s="7" t="n"/>
    </row>
    <row r="645">
      <c r="A645" s="9" t="n"/>
      <c r="B645" s="7" t="n"/>
      <c r="C645" s="7" t="n"/>
      <c r="D645" s="7" t="n"/>
      <c r="E645" s="7" t="n"/>
      <c r="F645" s="8" t="n"/>
      <c r="G645" s="7" t="n"/>
      <c r="H645" s="7" t="n"/>
      <c r="I645" s="7">
        <f>IF(C645="","",IFERROR(IF(INDEX(원생!$H$2:$H$501,MATCH(계산!$A645,계산!$E$2:$E$501,0))="예","예",""),""))</f>
        <v/>
      </c>
      <c r="J645" s="7" t="n"/>
    </row>
    <row r="646">
      <c r="A646" s="9" t="n"/>
      <c r="B646" s="7" t="n"/>
      <c r="C646" s="7" t="n"/>
      <c r="D646" s="7" t="n"/>
      <c r="E646" s="7" t="n"/>
      <c r="F646" s="8" t="n"/>
      <c r="G646" s="7" t="n"/>
      <c r="H646" s="7" t="n"/>
      <c r="I646" s="7">
        <f>IF(C646="","",IFERROR(IF(INDEX(원생!$H$2:$H$501,MATCH(계산!$A646,계산!$E$2:$E$501,0))="예","예",""),""))</f>
        <v/>
      </c>
      <c r="J646" s="7" t="n"/>
    </row>
    <row r="647">
      <c r="A647" s="9" t="n"/>
      <c r="B647" s="7" t="n"/>
      <c r="C647" s="7" t="n"/>
      <c r="D647" s="7" t="n"/>
      <c r="E647" s="7" t="n"/>
      <c r="F647" s="8" t="n"/>
      <c r="G647" s="7" t="n"/>
      <c r="H647" s="7" t="n"/>
      <c r="I647" s="7">
        <f>IF(C647="","",IFERROR(IF(INDEX(원생!$H$2:$H$501,MATCH(계산!$A647,계산!$E$2:$E$501,0))="예","예",""),""))</f>
        <v/>
      </c>
      <c r="J647" s="7" t="n"/>
    </row>
    <row r="648">
      <c r="A648" s="9" t="n"/>
      <c r="B648" s="7" t="n"/>
      <c r="C648" s="7" t="n"/>
      <c r="D648" s="7" t="n"/>
      <c r="E648" s="7" t="n"/>
      <c r="F648" s="8" t="n"/>
      <c r="G648" s="7" t="n"/>
      <c r="H648" s="7" t="n"/>
      <c r="I648" s="7">
        <f>IF(C648="","",IFERROR(IF(INDEX(원생!$H$2:$H$501,MATCH(계산!$A648,계산!$E$2:$E$501,0))="예","예",""),""))</f>
        <v/>
      </c>
      <c r="J648" s="7" t="n"/>
    </row>
    <row r="649">
      <c r="A649" s="9" t="n"/>
      <c r="B649" s="7" t="n"/>
      <c r="C649" s="7" t="n"/>
      <c r="D649" s="7" t="n"/>
      <c r="E649" s="7" t="n"/>
      <c r="F649" s="8" t="n"/>
      <c r="G649" s="7" t="n"/>
      <c r="H649" s="7" t="n"/>
      <c r="I649" s="7">
        <f>IF(C649="","",IFERROR(IF(INDEX(원생!$H$2:$H$501,MATCH(계산!$A649,계산!$E$2:$E$501,0))="예","예",""),""))</f>
        <v/>
      </c>
      <c r="J649" s="7" t="n"/>
    </row>
    <row r="650">
      <c r="A650" s="9" t="n"/>
      <c r="B650" s="7" t="n"/>
      <c r="C650" s="7" t="n"/>
      <c r="D650" s="7" t="n"/>
      <c r="E650" s="7" t="n"/>
      <c r="F650" s="8" t="n"/>
      <c r="G650" s="7" t="n"/>
      <c r="H650" s="7" t="n"/>
      <c r="I650" s="7">
        <f>IF(C650="","",IFERROR(IF(INDEX(원생!$H$2:$H$501,MATCH(계산!$A650,계산!$E$2:$E$501,0))="예","예",""),""))</f>
        <v/>
      </c>
      <c r="J650" s="7" t="n"/>
    </row>
    <row r="651">
      <c r="A651" s="9" t="n"/>
      <c r="B651" s="7" t="n"/>
      <c r="C651" s="7" t="n"/>
      <c r="D651" s="7" t="n"/>
      <c r="E651" s="7" t="n"/>
      <c r="F651" s="8" t="n"/>
      <c r="G651" s="7" t="n"/>
      <c r="H651" s="7" t="n"/>
      <c r="I651" s="7">
        <f>IF(C651="","",IFERROR(IF(INDEX(원생!$H$2:$H$501,MATCH(계산!$A651,계산!$E$2:$E$501,0))="예","예",""),""))</f>
        <v/>
      </c>
      <c r="J651" s="7" t="n"/>
    </row>
    <row r="652">
      <c r="A652" s="9" t="n"/>
      <c r="B652" s="7" t="n"/>
      <c r="C652" s="7" t="n"/>
      <c r="D652" s="7" t="n"/>
      <c r="E652" s="7" t="n"/>
      <c r="F652" s="8" t="n"/>
      <c r="G652" s="7" t="n"/>
      <c r="H652" s="7" t="n"/>
      <c r="I652" s="7">
        <f>IF(C652="","",IFERROR(IF(INDEX(원생!$H$2:$H$501,MATCH(계산!$A652,계산!$E$2:$E$501,0))="예","예",""),""))</f>
        <v/>
      </c>
      <c r="J652" s="7" t="n"/>
    </row>
    <row r="653">
      <c r="A653" s="9" t="n"/>
      <c r="B653" s="7" t="n"/>
      <c r="C653" s="7" t="n"/>
      <c r="D653" s="7" t="n"/>
      <c r="E653" s="7" t="n"/>
      <c r="F653" s="8" t="n"/>
      <c r="G653" s="7" t="n"/>
      <c r="H653" s="7" t="n"/>
      <c r="I653" s="7">
        <f>IF(C653="","",IFERROR(IF(INDEX(원생!$H$2:$H$501,MATCH(계산!$A653,계산!$E$2:$E$501,0))="예","예",""),""))</f>
        <v/>
      </c>
      <c r="J653" s="7" t="n"/>
    </row>
    <row r="654">
      <c r="A654" s="9" t="n"/>
      <c r="B654" s="7" t="n"/>
      <c r="C654" s="7" t="n"/>
      <c r="D654" s="7" t="n"/>
      <c r="E654" s="7" t="n"/>
      <c r="F654" s="8" t="n"/>
      <c r="G654" s="7" t="n"/>
      <c r="H654" s="7" t="n"/>
      <c r="I654" s="7">
        <f>IF(C654="","",IFERROR(IF(INDEX(원생!$H$2:$H$501,MATCH(계산!$A654,계산!$E$2:$E$501,0))="예","예",""),""))</f>
        <v/>
      </c>
      <c r="J654" s="7" t="n"/>
    </row>
    <row r="655">
      <c r="A655" s="9" t="n"/>
      <c r="B655" s="7" t="n"/>
      <c r="C655" s="7" t="n"/>
      <c r="D655" s="7" t="n"/>
      <c r="E655" s="7" t="n"/>
      <c r="F655" s="8" t="n"/>
      <c r="G655" s="7" t="n"/>
      <c r="H655" s="7" t="n"/>
      <c r="I655" s="7">
        <f>IF(C655="","",IFERROR(IF(INDEX(원생!$H$2:$H$501,MATCH(계산!$A655,계산!$E$2:$E$501,0))="예","예",""),""))</f>
        <v/>
      </c>
      <c r="J655" s="7" t="n"/>
    </row>
    <row r="656">
      <c r="A656" s="9" t="n"/>
      <c r="B656" s="7" t="n"/>
      <c r="C656" s="7" t="n"/>
      <c r="D656" s="7" t="n"/>
      <c r="E656" s="7" t="n"/>
      <c r="F656" s="8" t="n"/>
      <c r="G656" s="7" t="n"/>
      <c r="H656" s="7" t="n"/>
      <c r="I656" s="7">
        <f>IF(C656="","",IFERROR(IF(INDEX(원생!$H$2:$H$501,MATCH(계산!$A656,계산!$E$2:$E$501,0))="예","예",""),""))</f>
        <v/>
      </c>
      <c r="J656" s="7" t="n"/>
    </row>
    <row r="657">
      <c r="A657" s="9" t="n"/>
      <c r="B657" s="7" t="n"/>
      <c r="C657" s="7" t="n"/>
      <c r="D657" s="7" t="n"/>
      <c r="E657" s="7" t="n"/>
      <c r="F657" s="8" t="n"/>
      <c r="G657" s="7" t="n"/>
      <c r="H657" s="7" t="n"/>
      <c r="I657" s="7">
        <f>IF(C657="","",IFERROR(IF(INDEX(원생!$H$2:$H$501,MATCH(계산!$A657,계산!$E$2:$E$501,0))="예","예",""),""))</f>
        <v/>
      </c>
      <c r="J657" s="7" t="n"/>
    </row>
    <row r="658">
      <c r="A658" s="9" t="n"/>
      <c r="B658" s="7" t="n"/>
      <c r="C658" s="7" t="n"/>
      <c r="D658" s="7" t="n"/>
      <c r="E658" s="7" t="n"/>
      <c r="F658" s="8" t="n"/>
      <c r="G658" s="7" t="n"/>
      <c r="H658" s="7" t="n"/>
      <c r="I658" s="7">
        <f>IF(C658="","",IFERROR(IF(INDEX(원생!$H$2:$H$501,MATCH(계산!$A658,계산!$E$2:$E$501,0))="예","예",""),""))</f>
        <v/>
      </c>
      <c r="J658" s="7" t="n"/>
    </row>
    <row r="659">
      <c r="A659" s="9" t="n"/>
      <c r="B659" s="7" t="n"/>
      <c r="C659" s="7" t="n"/>
      <c r="D659" s="7" t="n"/>
      <c r="E659" s="7" t="n"/>
      <c r="F659" s="8" t="n"/>
      <c r="G659" s="7" t="n"/>
      <c r="H659" s="7" t="n"/>
      <c r="I659" s="7">
        <f>IF(C659="","",IFERROR(IF(INDEX(원생!$H$2:$H$501,MATCH(계산!$A659,계산!$E$2:$E$501,0))="예","예",""),""))</f>
        <v/>
      </c>
      <c r="J659" s="7" t="n"/>
    </row>
    <row r="660">
      <c r="A660" s="9" t="n"/>
      <c r="B660" s="7" t="n"/>
      <c r="C660" s="7" t="n"/>
      <c r="D660" s="7" t="n"/>
      <c r="E660" s="7" t="n"/>
      <c r="F660" s="8" t="n"/>
      <c r="G660" s="7" t="n"/>
      <c r="H660" s="7" t="n"/>
      <c r="I660" s="7">
        <f>IF(C660="","",IFERROR(IF(INDEX(원생!$H$2:$H$501,MATCH(계산!$A660,계산!$E$2:$E$501,0))="예","예",""),""))</f>
        <v/>
      </c>
      <c r="J660" s="7" t="n"/>
    </row>
    <row r="661">
      <c r="A661" s="9" t="n"/>
      <c r="B661" s="7" t="n"/>
      <c r="C661" s="7" t="n"/>
      <c r="D661" s="7" t="n"/>
      <c r="E661" s="7" t="n"/>
      <c r="F661" s="8" t="n"/>
      <c r="G661" s="7" t="n"/>
      <c r="H661" s="7" t="n"/>
      <c r="I661" s="7">
        <f>IF(C661="","",IFERROR(IF(INDEX(원생!$H$2:$H$501,MATCH(계산!$A661,계산!$E$2:$E$501,0))="예","예",""),""))</f>
        <v/>
      </c>
      <c r="J661" s="7" t="n"/>
    </row>
    <row r="662">
      <c r="A662" s="9" t="n"/>
      <c r="B662" s="7" t="n"/>
      <c r="C662" s="7" t="n"/>
      <c r="D662" s="7" t="n"/>
      <c r="E662" s="7" t="n"/>
      <c r="F662" s="8" t="n"/>
      <c r="G662" s="7" t="n"/>
      <c r="H662" s="7" t="n"/>
      <c r="I662" s="7">
        <f>IF(C662="","",IFERROR(IF(INDEX(원생!$H$2:$H$501,MATCH(계산!$A662,계산!$E$2:$E$501,0))="예","예",""),""))</f>
        <v/>
      </c>
      <c r="J662" s="7" t="n"/>
    </row>
    <row r="663">
      <c r="A663" s="9" t="n"/>
      <c r="B663" s="7" t="n"/>
      <c r="C663" s="7" t="n"/>
      <c r="D663" s="7" t="n"/>
      <c r="E663" s="7" t="n"/>
      <c r="F663" s="8" t="n"/>
      <c r="G663" s="7" t="n"/>
      <c r="H663" s="7" t="n"/>
      <c r="I663" s="7">
        <f>IF(C663="","",IFERROR(IF(INDEX(원생!$H$2:$H$501,MATCH(계산!$A663,계산!$E$2:$E$501,0))="예","예",""),""))</f>
        <v/>
      </c>
      <c r="J663" s="7" t="n"/>
    </row>
    <row r="664">
      <c r="A664" s="9" t="n"/>
      <c r="B664" s="7" t="n"/>
      <c r="C664" s="7" t="n"/>
      <c r="D664" s="7" t="n"/>
      <c r="E664" s="7" t="n"/>
      <c r="F664" s="8" t="n"/>
      <c r="G664" s="7" t="n"/>
      <c r="H664" s="7" t="n"/>
      <c r="I664" s="7">
        <f>IF(C664="","",IFERROR(IF(INDEX(원생!$H$2:$H$501,MATCH(계산!$A664,계산!$E$2:$E$501,0))="예","예",""),""))</f>
        <v/>
      </c>
      <c r="J664" s="7" t="n"/>
    </row>
    <row r="665">
      <c r="A665" s="9" t="n"/>
      <c r="B665" s="7" t="n"/>
      <c r="C665" s="7" t="n"/>
      <c r="D665" s="7" t="n"/>
      <c r="E665" s="7" t="n"/>
      <c r="F665" s="8" t="n"/>
      <c r="G665" s="7" t="n"/>
      <c r="H665" s="7" t="n"/>
      <c r="I665" s="7">
        <f>IF(C665="","",IFERROR(IF(INDEX(원생!$H$2:$H$501,MATCH(계산!$A665,계산!$E$2:$E$501,0))="예","예",""),""))</f>
        <v/>
      </c>
      <c r="J665" s="7" t="n"/>
    </row>
    <row r="666">
      <c r="A666" s="9" t="n"/>
      <c r="B666" s="7" t="n"/>
      <c r="C666" s="7" t="n"/>
      <c r="D666" s="7" t="n"/>
      <c r="E666" s="7" t="n"/>
      <c r="F666" s="8" t="n"/>
      <c r="G666" s="7" t="n"/>
      <c r="H666" s="7" t="n"/>
      <c r="I666" s="7">
        <f>IF(C666="","",IFERROR(IF(INDEX(원생!$H$2:$H$501,MATCH(계산!$A666,계산!$E$2:$E$501,0))="예","예",""),""))</f>
        <v/>
      </c>
      <c r="J666" s="7" t="n"/>
    </row>
    <row r="667">
      <c r="A667" s="9" t="n"/>
      <c r="B667" s="7" t="n"/>
      <c r="C667" s="7" t="n"/>
      <c r="D667" s="7" t="n"/>
      <c r="E667" s="7" t="n"/>
      <c r="F667" s="8" t="n"/>
      <c r="G667" s="7" t="n"/>
      <c r="H667" s="7" t="n"/>
      <c r="I667" s="7">
        <f>IF(C667="","",IFERROR(IF(INDEX(원생!$H$2:$H$501,MATCH(계산!$A667,계산!$E$2:$E$501,0))="예","예",""),""))</f>
        <v/>
      </c>
      <c r="J667" s="7" t="n"/>
    </row>
    <row r="668">
      <c r="A668" s="9" t="n"/>
      <c r="B668" s="7" t="n"/>
      <c r="C668" s="7" t="n"/>
      <c r="D668" s="7" t="n"/>
      <c r="E668" s="7" t="n"/>
      <c r="F668" s="8" t="n"/>
      <c r="G668" s="7" t="n"/>
      <c r="H668" s="7" t="n"/>
      <c r="I668" s="7">
        <f>IF(C668="","",IFERROR(IF(INDEX(원생!$H$2:$H$501,MATCH(계산!$A668,계산!$E$2:$E$501,0))="예","예",""),""))</f>
        <v/>
      </c>
      <c r="J668" s="7" t="n"/>
    </row>
    <row r="669">
      <c r="A669" s="9" t="n"/>
      <c r="B669" s="7" t="n"/>
      <c r="C669" s="7" t="n"/>
      <c r="D669" s="7" t="n"/>
      <c r="E669" s="7" t="n"/>
      <c r="F669" s="8" t="n"/>
      <c r="G669" s="7" t="n"/>
      <c r="H669" s="7" t="n"/>
      <c r="I669" s="7">
        <f>IF(C669="","",IFERROR(IF(INDEX(원생!$H$2:$H$501,MATCH(계산!$A669,계산!$E$2:$E$501,0))="예","예",""),""))</f>
        <v/>
      </c>
      <c r="J669" s="7" t="n"/>
    </row>
    <row r="670">
      <c r="A670" s="9" t="n"/>
      <c r="B670" s="7" t="n"/>
      <c r="C670" s="7" t="n"/>
      <c r="D670" s="7" t="n"/>
      <c r="E670" s="7" t="n"/>
      <c r="F670" s="8" t="n"/>
      <c r="G670" s="7" t="n"/>
      <c r="H670" s="7" t="n"/>
      <c r="I670" s="7">
        <f>IF(C670="","",IFERROR(IF(INDEX(원생!$H$2:$H$501,MATCH(계산!$A670,계산!$E$2:$E$501,0))="예","예",""),""))</f>
        <v/>
      </c>
      <c r="J670" s="7" t="n"/>
    </row>
    <row r="671">
      <c r="A671" s="9" t="n"/>
      <c r="B671" s="7" t="n"/>
      <c r="C671" s="7" t="n"/>
      <c r="D671" s="7" t="n"/>
      <c r="E671" s="7" t="n"/>
      <c r="F671" s="8" t="n"/>
      <c r="G671" s="7" t="n"/>
      <c r="H671" s="7" t="n"/>
      <c r="I671" s="7">
        <f>IF(C671="","",IFERROR(IF(INDEX(원생!$H$2:$H$501,MATCH(계산!$A671,계산!$E$2:$E$501,0))="예","예",""),""))</f>
        <v/>
      </c>
      <c r="J671" s="7" t="n"/>
    </row>
    <row r="672">
      <c r="A672" s="9" t="n"/>
      <c r="B672" s="7" t="n"/>
      <c r="C672" s="7" t="n"/>
      <c r="D672" s="7" t="n"/>
      <c r="E672" s="7" t="n"/>
      <c r="F672" s="8" t="n"/>
      <c r="G672" s="7" t="n"/>
      <c r="H672" s="7" t="n"/>
      <c r="I672" s="7">
        <f>IF(C672="","",IFERROR(IF(INDEX(원생!$H$2:$H$501,MATCH(계산!$A672,계산!$E$2:$E$501,0))="예","예",""),""))</f>
        <v/>
      </c>
      <c r="J672" s="7" t="n"/>
    </row>
    <row r="673">
      <c r="A673" s="9" t="n"/>
      <c r="B673" s="7" t="n"/>
      <c r="C673" s="7" t="n"/>
      <c r="D673" s="7" t="n"/>
      <c r="E673" s="7" t="n"/>
      <c r="F673" s="8" t="n"/>
      <c r="G673" s="7" t="n"/>
      <c r="H673" s="7" t="n"/>
      <c r="I673" s="7">
        <f>IF(C673="","",IFERROR(IF(INDEX(원생!$H$2:$H$501,MATCH(계산!$A673,계산!$E$2:$E$501,0))="예","예",""),""))</f>
        <v/>
      </c>
      <c r="J673" s="7" t="n"/>
    </row>
    <row r="674">
      <c r="A674" s="9" t="n"/>
      <c r="B674" s="7" t="n"/>
      <c r="C674" s="7" t="n"/>
      <c r="D674" s="7" t="n"/>
      <c r="E674" s="7" t="n"/>
      <c r="F674" s="8" t="n"/>
      <c r="G674" s="7" t="n"/>
      <c r="H674" s="7" t="n"/>
      <c r="I674" s="7">
        <f>IF(C674="","",IFERROR(IF(INDEX(원생!$H$2:$H$501,MATCH(계산!$A674,계산!$E$2:$E$501,0))="예","예",""),""))</f>
        <v/>
      </c>
      <c r="J674" s="7" t="n"/>
    </row>
    <row r="675">
      <c r="A675" s="9" t="n"/>
      <c r="B675" s="7" t="n"/>
      <c r="C675" s="7" t="n"/>
      <c r="D675" s="7" t="n"/>
      <c r="E675" s="7" t="n"/>
      <c r="F675" s="8" t="n"/>
      <c r="G675" s="7" t="n"/>
      <c r="H675" s="7" t="n"/>
      <c r="I675" s="7">
        <f>IF(C675="","",IFERROR(IF(INDEX(원생!$H$2:$H$501,MATCH(계산!$A675,계산!$E$2:$E$501,0))="예","예",""),""))</f>
        <v/>
      </c>
      <c r="J675" s="7" t="n"/>
    </row>
    <row r="676">
      <c r="A676" s="9" t="n"/>
      <c r="B676" s="7" t="n"/>
      <c r="C676" s="7" t="n"/>
      <c r="D676" s="7" t="n"/>
      <c r="E676" s="7" t="n"/>
      <c r="F676" s="8" t="n"/>
      <c r="G676" s="7" t="n"/>
      <c r="H676" s="7" t="n"/>
      <c r="I676" s="7">
        <f>IF(C676="","",IFERROR(IF(INDEX(원생!$H$2:$H$501,MATCH(계산!$A676,계산!$E$2:$E$501,0))="예","예",""),""))</f>
        <v/>
      </c>
      <c r="J676" s="7" t="n"/>
    </row>
    <row r="677">
      <c r="A677" s="9" t="n"/>
      <c r="B677" s="7" t="n"/>
      <c r="C677" s="7" t="n"/>
      <c r="D677" s="7" t="n"/>
      <c r="E677" s="7" t="n"/>
      <c r="F677" s="8" t="n"/>
      <c r="G677" s="7" t="n"/>
      <c r="H677" s="7" t="n"/>
      <c r="I677" s="7">
        <f>IF(C677="","",IFERROR(IF(INDEX(원생!$H$2:$H$501,MATCH(계산!$A677,계산!$E$2:$E$501,0))="예","예",""),""))</f>
        <v/>
      </c>
      <c r="J677" s="7" t="n"/>
    </row>
    <row r="678">
      <c r="A678" s="9" t="n"/>
      <c r="B678" s="7" t="n"/>
      <c r="C678" s="7" t="n"/>
      <c r="D678" s="7" t="n"/>
      <c r="E678" s="7" t="n"/>
      <c r="F678" s="8" t="n"/>
      <c r="G678" s="7" t="n"/>
      <c r="H678" s="7" t="n"/>
      <c r="I678" s="7">
        <f>IF(C678="","",IFERROR(IF(INDEX(원생!$H$2:$H$501,MATCH(계산!$A678,계산!$E$2:$E$501,0))="예","예",""),""))</f>
        <v/>
      </c>
      <c r="J678" s="7" t="n"/>
    </row>
    <row r="679">
      <c r="A679" s="9" t="n"/>
      <c r="B679" s="7" t="n"/>
      <c r="C679" s="7" t="n"/>
      <c r="D679" s="7" t="n"/>
      <c r="E679" s="7" t="n"/>
      <c r="F679" s="8" t="n"/>
      <c r="G679" s="7" t="n"/>
      <c r="H679" s="7" t="n"/>
      <c r="I679" s="7">
        <f>IF(C679="","",IFERROR(IF(INDEX(원생!$H$2:$H$501,MATCH(계산!$A679,계산!$E$2:$E$501,0))="예","예",""),""))</f>
        <v/>
      </c>
      <c r="J679" s="7" t="n"/>
    </row>
    <row r="680">
      <c r="A680" s="9" t="n"/>
      <c r="B680" s="7" t="n"/>
      <c r="C680" s="7" t="n"/>
      <c r="D680" s="7" t="n"/>
      <c r="E680" s="7" t="n"/>
      <c r="F680" s="8" t="n"/>
      <c r="G680" s="7" t="n"/>
      <c r="H680" s="7" t="n"/>
      <c r="I680" s="7">
        <f>IF(C680="","",IFERROR(IF(INDEX(원생!$H$2:$H$501,MATCH(계산!$A680,계산!$E$2:$E$501,0))="예","예",""),""))</f>
        <v/>
      </c>
      <c r="J680" s="7" t="n"/>
    </row>
    <row r="681">
      <c r="A681" s="9" t="n"/>
      <c r="B681" s="7" t="n"/>
      <c r="C681" s="7" t="n"/>
      <c r="D681" s="7" t="n"/>
      <c r="E681" s="7" t="n"/>
      <c r="F681" s="8" t="n"/>
      <c r="G681" s="7" t="n"/>
      <c r="H681" s="7" t="n"/>
      <c r="I681" s="7">
        <f>IF(C681="","",IFERROR(IF(INDEX(원생!$H$2:$H$501,MATCH(계산!$A681,계산!$E$2:$E$501,0))="예","예",""),""))</f>
        <v/>
      </c>
      <c r="J681" s="7" t="n"/>
    </row>
    <row r="682">
      <c r="A682" s="9" t="n"/>
      <c r="B682" s="7" t="n"/>
      <c r="C682" s="7" t="n"/>
      <c r="D682" s="7" t="n"/>
      <c r="E682" s="7" t="n"/>
      <c r="F682" s="8" t="n"/>
      <c r="G682" s="7" t="n"/>
      <c r="H682" s="7" t="n"/>
      <c r="I682" s="7">
        <f>IF(C682="","",IFERROR(IF(INDEX(원생!$H$2:$H$501,MATCH(계산!$A682,계산!$E$2:$E$501,0))="예","예",""),""))</f>
        <v/>
      </c>
      <c r="J682" s="7" t="n"/>
    </row>
    <row r="683">
      <c r="A683" s="9" t="n"/>
      <c r="B683" s="7" t="n"/>
      <c r="C683" s="7" t="n"/>
      <c r="D683" s="7" t="n"/>
      <c r="E683" s="7" t="n"/>
      <c r="F683" s="8" t="n"/>
      <c r="G683" s="7" t="n"/>
      <c r="H683" s="7" t="n"/>
      <c r="I683" s="7">
        <f>IF(C683="","",IFERROR(IF(INDEX(원생!$H$2:$H$501,MATCH(계산!$A683,계산!$E$2:$E$501,0))="예","예",""),""))</f>
        <v/>
      </c>
      <c r="J683" s="7" t="n"/>
    </row>
    <row r="684">
      <c r="A684" s="9" t="n"/>
      <c r="B684" s="7" t="n"/>
      <c r="C684" s="7" t="n"/>
      <c r="D684" s="7" t="n"/>
      <c r="E684" s="7" t="n"/>
      <c r="F684" s="8" t="n"/>
      <c r="G684" s="7" t="n"/>
      <c r="H684" s="7" t="n"/>
      <c r="I684" s="7">
        <f>IF(C684="","",IFERROR(IF(INDEX(원생!$H$2:$H$501,MATCH(계산!$A684,계산!$E$2:$E$501,0))="예","예",""),""))</f>
        <v/>
      </c>
      <c r="J684" s="7" t="n"/>
    </row>
    <row r="685">
      <c r="A685" s="9" t="n"/>
      <c r="B685" s="7" t="n"/>
      <c r="C685" s="7" t="n"/>
      <c r="D685" s="7" t="n"/>
      <c r="E685" s="7" t="n"/>
      <c r="F685" s="8" t="n"/>
      <c r="G685" s="7" t="n"/>
      <c r="H685" s="7" t="n"/>
      <c r="I685" s="7">
        <f>IF(C685="","",IFERROR(IF(INDEX(원생!$H$2:$H$501,MATCH(계산!$A685,계산!$E$2:$E$501,0))="예","예",""),""))</f>
        <v/>
      </c>
      <c r="J685" s="7" t="n"/>
    </row>
    <row r="686">
      <c r="A686" s="9" t="n"/>
      <c r="B686" s="7" t="n"/>
      <c r="C686" s="7" t="n"/>
      <c r="D686" s="7" t="n"/>
      <c r="E686" s="7" t="n"/>
      <c r="F686" s="8" t="n"/>
      <c r="G686" s="7" t="n"/>
      <c r="H686" s="7" t="n"/>
      <c r="I686" s="7">
        <f>IF(C686="","",IFERROR(IF(INDEX(원생!$H$2:$H$501,MATCH(계산!$A686,계산!$E$2:$E$501,0))="예","예",""),""))</f>
        <v/>
      </c>
      <c r="J686" s="7" t="n"/>
    </row>
    <row r="687">
      <c r="A687" s="9" t="n"/>
      <c r="B687" s="7" t="n"/>
      <c r="C687" s="7" t="n"/>
      <c r="D687" s="7" t="n"/>
      <c r="E687" s="7" t="n"/>
      <c r="F687" s="8" t="n"/>
      <c r="G687" s="7" t="n"/>
      <c r="H687" s="7" t="n"/>
      <c r="I687" s="7">
        <f>IF(C687="","",IFERROR(IF(INDEX(원생!$H$2:$H$501,MATCH(계산!$A687,계산!$E$2:$E$501,0))="예","예",""),""))</f>
        <v/>
      </c>
      <c r="J687" s="7" t="n"/>
    </row>
    <row r="688">
      <c r="A688" s="9" t="n"/>
      <c r="B688" s="7" t="n"/>
      <c r="C688" s="7" t="n"/>
      <c r="D688" s="7" t="n"/>
      <c r="E688" s="7" t="n"/>
      <c r="F688" s="8" t="n"/>
      <c r="G688" s="7" t="n"/>
      <c r="H688" s="7" t="n"/>
      <c r="I688" s="7">
        <f>IF(C688="","",IFERROR(IF(INDEX(원생!$H$2:$H$501,MATCH(계산!$A688,계산!$E$2:$E$501,0))="예","예",""),""))</f>
        <v/>
      </c>
      <c r="J688" s="7" t="n"/>
    </row>
    <row r="689">
      <c r="A689" s="9" t="n"/>
      <c r="B689" s="7" t="n"/>
      <c r="C689" s="7" t="n"/>
      <c r="D689" s="7" t="n"/>
      <c r="E689" s="7" t="n"/>
      <c r="F689" s="8" t="n"/>
      <c r="G689" s="7" t="n"/>
      <c r="H689" s="7" t="n"/>
      <c r="I689" s="7">
        <f>IF(C689="","",IFERROR(IF(INDEX(원생!$H$2:$H$501,MATCH(계산!$A689,계산!$E$2:$E$501,0))="예","예",""),""))</f>
        <v/>
      </c>
      <c r="J689" s="7" t="n"/>
    </row>
    <row r="690">
      <c r="A690" s="9" t="n"/>
      <c r="B690" s="7" t="n"/>
      <c r="C690" s="7" t="n"/>
      <c r="D690" s="7" t="n"/>
      <c r="E690" s="7" t="n"/>
      <c r="F690" s="8" t="n"/>
      <c r="G690" s="7" t="n"/>
      <c r="H690" s="7" t="n"/>
      <c r="I690" s="7">
        <f>IF(C690="","",IFERROR(IF(INDEX(원생!$H$2:$H$501,MATCH(계산!$A690,계산!$E$2:$E$501,0))="예","예",""),""))</f>
        <v/>
      </c>
      <c r="J690" s="7" t="n"/>
    </row>
    <row r="691">
      <c r="A691" s="9" t="n"/>
      <c r="B691" s="7" t="n"/>
      <c r="C691" s="7" t="n"/>
      <c r="D691" s="7" t="n"/>
      <c r="E691" s="7" t="n"/>
      <c r="F691" s="8" t="n"/>
      <c r="G691" s="7" t="n"/>
      <c r="H691" s="7" t="n"/>
      <c r="I691" s="7">
        <f>IF(C691="","",IFERROR(IF(INDEX(원생!$H$2:$H$501,MATCH(계산!$A691,계산!$E$2:$E$501,0))="예","예",""),""))</f>
        <v/>
      </c>
      <c r="J691" s="7" t="n"/>
    </row>
    <row r="692">
      <c r="A692" s="9" t="n"/>
      <c r="B692" s="7" t="n"/>
      <c r="C692" s="7" t="n"/>
      <c r="D692" s="7" t="n"/>
      <c r="E692" s="7" t="n"/>
      <c r="F692" s="8" t="n"/>
      <c r="G692" s="7" t="n"/>
      <c r="H692" s="7" t="n"/>
      <c r="I692" s="7">
        <f>IF(C692="","",IFERROR(IF(INDEX(원생!$H$2:$H$501,MATCH(계산!$A692,계산!$E$2:$E$501,0))="예","예",""),""))</f>
        <v/>
      </c>
      <c r="J692" s="7" t="n"/>
    </row>
    <row r="693">
      <c r="A693" s="9" t="n"/>
      <c r="B693" s="7" t="n"/>
      <c r="C693" s="7" t="n"/>
      <c r="D693" s="7" t="n"/>
      <c r="E693" s="7" t="n"/>
      <c r="F693" s="8" t="n"/>
      <c r="G693" s="7" t="n"/>
      <c r="H693" s="7" t="n"/>
      <c r="I693" s="7">
        <f>IF(C693="","",IFERROR(IF(INDEX(원생!$H$2:$H$501,MATCH(계산!$A693,계산!$E$2:$E$501,0))="예","예",""),""))</f>
        <v/>
      </c>
      <c r="J693" s="7" t="n"/>
    </row>
    <row r="694">
      <c r="A694" s="9" t="n"/>
      <c r="B694" s="7" t="n"/>
      <c r="C694" s="7" t="n"/>
      <c r="D694" s="7" t="n"/>
      <c r="E694" s="7" t="n"/>
      <c r="F694" s="8" t="n"/>
      <c r="G694" s="7" t="n"/>
      <c r="H694" s="7" t="n"/>
      <c r="I694" s="7">
        <f>IF(C694="","",IFERROR(IF(INDEX(원생!$H$2:$H$501,MATCH(계산!$A694,계산!$E$2:$E$501,0))="예","예",""),""))</f>
        <v/>
      </c>
      <c r="J694" s="7" t="n"/>
    </row>
    <row r="695">
      <c r="A695" s="9" t="n"/>
      <c r="B695" s="7" t="n"/>
      <c r="C695" s="7" t="n"/>
      <c r="D695" s="7" t="n"/>
      <c r="E695" s="7" t="n"/>
      <c r="F695" s="8" t="n"/>
      <c r="G695" s="7" t="n"/>
      <c r="H695" s="7" t="n"/>
      <c r="I695" s="7">
        <f>IF(C695="","",IFERROR(IF(INDEX(원생!$H$2:$H$501,MATCH(계산!$A695,계산!$E$2:$E$501,0))="예","예",""),""))</f>
        <v/>
      </c>
      <c r="J695" s="7" t="n"/>
    </row>
    <row r="696">
      <c r="A696" s="9" t="n"/>
      <c r="B696" s="7" t="n"/>
      <c r="C696" s="7" t="n"/>
      <c r="D696" s="7" t="n"/>
      <c r="E696" s="7" t="n"/>
      <c r="F696" s="8" t="n"/>
      <c r="G696" s="7" t="n"/>
      <c r="H696" s="7" t="n"/>
      <c r="I696" s="7">
        <f>IF(C696="","",IFERROR(IF(INDEX(원생!$H$2:$H$501,MATCH(계산!$A696,계산!$E$2:$E$501,0))="예","예",""),""))</f>
        <v/>
      </c>
      <c r="J696" s="7" t="n"/>
    </row>
    <row r="697">
      <c r="A697" s="9" t="n"/>
      <c r="B697" s="7" t="n"/>
      <c r="C697" s="7" t="n"/>
      <c r="D697" s="7" t="n"/>
      <c r="E697" s="7" t="n"/>
      <c r="F697" s="8" t="n"/>
      <c r="G697" s="7" t="n"/>
      <c r="H697" s="7" t="n"/>
      <c r="I697" s="7">
        <f>IF(C697="","",IFERROR(IF(INDEX(원생!$H$2:$H$501,MATCH(계산!$A697,계산!$E$2:$E$501,0))="예","예",""),""))</f>
        <v/>
      </c>
      <c r="J697" s="7" t="n"/>
    </row>
    <row r="698">
      <c r="A698" s="9" t="n"/>
      <c r="B698" s="7" t="n"/>
      <c r="C698" s="7" t="n"/>
      <c r="D698" s="7" t="n"/>
      <c r="E698" s="7" t="n"/>
      <c r="F698" s="8" t="n"/>
      <c r="G698" s="7" t="n"/>
      <c r="H698" s="7" t="n"/>
      <c r="I698" s="7">
        <f>IF(C698="","",IFERROR(IF(INDEX(원생!$H$2:$H$501,MATCH(계산!$A698,계산!$E$2:$E$501,0))="예","예",""),""))</f>
        <v/>
      </c>
      <c r="J698" s="7" t="n"/>
    </row>
    <row r="699">
      <c r="A699" s="9" t="n"/>
      <c r="B699" s="7" t="n"/>
      <c r="C699" s="7" t="n"/>
      <c r="D699" s="7" t="n"/>
      <c r="E699" s="7" t="n"/>
      <c r="F699" s="8" t="n"/>
      <c r="G699" s="7" t="n"/>
      <c r="H699" s="7" t="n"/>
      <c r="I699" s="7">
        <f>IF(C699="","",IFERROR(IF(INDEX(원생!$H$2:$H$501,MATCH(계산!$A699,계산!$E$2:$E$501,0))="예","예",""),""))</f>
        <v/>
      </c>
      <c r="J699" s="7" t="n"/>
    </row>
    <row r="700">
      <c r="A700" s="9" t="n"/>
      <c r="B700" s="7" t="n"/>
      <c r="C700" s="7" t="n"/>
      <c r="D700" s="7" t="n"/>
      <c r="E700" s="7" t="n"/>
      <c r="F700" s="8" t="n"/>
      <c r="G700" s="7" t="n"/>
      <c r="H700" s="7" t="n"/>
      <c r="I700" s="7">
        <f>IF(C700="","",IFERROR(IF(INDEX(원생!$H$2:$H$501,MATCH(계산!$A700,계산!$E$2:$E$501,0))="예","예",""),""))</f>
        <v/>
      </c>
      <c r="J700" s="7" t="n"/>
    </row>
    <row r="701">
      <c r="A701" s="9" t="n"/>
      <c r="B701" s="7" t="n"/>
      <c r="C701" s="7" t="n"/>
      <c r="D701" s="7" t="n"/>
      <c r="E701" s="7" t="n"/>
      <c r="F701" s="8" t="n"/>
      <c r="G701" s="7" t="n"/>
      <c r="H701" s="7" t="n"/>
      <c r="I701" s="7">
        <f>IF(C701="","",IFERROR(IF(INDEX(원생!$H$2:$H$501,MATCH(계산!$A701,계산!$E$2:$E$501,0))="예","예",""),""))</f>
        <v/>
      </c>
      <c r="J701" s="7" t="n"/>
    </row>
    <row r="702">
      <c r="A702" s="9" t="n"/>
      <c r="B702" s="7" t="n"/>
      <c r="C702" s="7" t="n"/>
      <c r="D702" s="7" t="n"/>
      <c r="E702" s="7" t="n"/>
      <c r="F702" s="8" t="n"/>
      <c r="G702" s="7" t="n"/>
      <c r="H702" s="7" t="n"/>
      <c r="I702" s="7">
        <f>IF(C702="","",IFERROR(IF(INDEX(원생!$H$2:$H$501,MATCH(계산!$A702,계산!$E$2:$E$501,0))="예","예",""),""))</f>
        <v/>
      </c>
      <c r="J702" s="7" t="n"/>
    </row>
    <row r="703">
      <c r="A703" s="9" t="n"/>
      <c r="B703" s="7" t="n"/>
      <c r="C703" s="7" t="n"/>
      <c r="D703" s="7" t="n"/>
      <c r="E703" s="7" t="n"/>
      <c r="F703" s="8" t="n"/>
      <c r="G703" s="7" t="n"/>
      <c r="H703" s="7" t="n"/>
      <c r="I703" s="7">
        <f>IF(C703="","",IFERROR(IF(INDEX(원생!$H$2:$H$501,MATCH(계산!$A703,계산!$E$2:$E$501,0))="예","예",""),""))</f>
        <v/>
      </c>
      <c r="J703" s="7" t="n"/>
    </row>
    <row r="704">
      <c r="A704" s="9" t="n"/>
      <c r="B704" s="7" t="n"/>
      <c r="C704" s="7" t="n"/>
      <c r="D704" s="7" t="n"/>
      <c r="E704" s="7" t="n"/>
      <c r="F704" s="8" t="n"/>
      <c r="G704" s="7" t="n"/>
      <c r="H704" s="7" t="n"/>
      <c r="I704" s="7">
        <f>IF(C704="","",IFERROR(IF(INDEX(원생!$H$2:$H$501,MATCH(계산!$A704,계산!$E$2:$E$501,0))="예","예",""),""))</f>
        <v/>
      </c>
      <c r="J704" s="7" t="n"/>
    </row>
    <row r="705">
      <c r="A705" s="9" t="n"/>
      <c r="B705" s="7" t="n"/>
      <c r="C705" s="7" t="n"/>
      <c r="D705" s="7" t="n"/>
      <c r="E705" s="7" t="n"/>
      <c r="F705" s="8" t="n"/>
      <c r="G705" s="7" t="n"/>
      <c r="H705" s="7" t="n"/>
      <c r="I705" s="7">
        <f>IF(C705="","",IFERROR(IF(INDEX(원생!$H$2:$H$501,MATCH(계산!$A705,계산!$E$2:$E$501,0))="예","예",""),""))</f>
        <v/>
      </c>
      <c r="J705" s="7" t="n"/>
    </row>
    <row r="706">
      <c r="A706" s="9" t="n"/>
      <c r="B706" s="7" t="n"/>
      <c r="C706" s="7" t="n"/>
      <c r="D706" s="7" t="n"/>
      <c r="E706" s="7" t="n"/>
      <c r="F706" s="8" t="n"/>
      <c r="G706" s="7" t="n"/>
      <c r="H706" s="7" t="n"/>
      <c r="I706" s="7">
        <f>IF(C706="","",IFERROR(IF(INDEX(원생!$H$2:$H$501,MATCH(계산!$A706,계산!$E$2:$E$501,0))="예","예",""),""))</f>
        <v/>
      </c>
      <c r="J706" s="7" t="n"/>
    </row>
    <row r="707">
      <c r="A707" s="9" t="n"/>
      <c r="B707" s="7" t="n"/>
      <c r="C707" s="7" t="n"/>
      <c r="D707" s="7" t="n"/>
      <c r="E707" s="7" t="n"/>
      <c r="F707" s="8" t="n"/>
      <c r="G707" s="7" t="n"/>
      <c r="H707" s="7" t="n"/>
      <c r="I707" s="7">
        <f>IF(C707="","",IFERROR(IF(INDEX(원생!$H$2:$H$501,MATCH(계산!$A707,계산!$E$2:$E$501,0))="예","예",""),""))</f>
        <v/>
      </c>
      <c r="J707" s="7" t="n"/>
    </row>
    <row r="708">
      <c r="A708" s="9" t="n"/>
      <c r="B708" s="7" t="n"/>
      <c r="C708" s="7" t="n"/>
      <c r="D708" s="7" t="n"/>
      <c r="E708" s="7" t="n"/>
      <c r="F708" s="8" t="n"/>
      <c r="G708" s="7" t="n"/>
      <c r="H708" s="7" t="n"/>
      <c r="I708" s="7">
        <f>IF(C708="","",IFERROR(IF(INDEX(원생!$H$2:$H$501,MATCH(계산!$A708,계산!$E$2:$E$501,0))="예","예",""),""))</f>
        <v/>
      </c>
      <c r="J708" s="7" t="n"/>
    </row>
    <row r="709">
      <c r="A709" s="9" t="n"/>
      <c r="B709" s="7" t="n"/>
      <c r="C709" s="7" t="n"/>
      <c r="D709" s="7" t="n"/>
      <c r="E709" s="7" t="n"/>
      <c r="F709" s="8" t="n"/>
      <c r="G709" s="7" t="n"/>
      <c r="H709" s="7" t="n"/>
      <c r="I709" s="7">
        <f>IF(C709="","",IFERROR(IF(INDEX(원생!$H$2:$H$501,MATCH(계산!$A709,계산!$E$2:$E$501,0))="예","예",""),""))</f>
        <v/>
      </c>
      <c r="J709" s="7" t="n"/>
    </row>
    <row r="710">
      <c r="A710" s="9" t="n"/>
      <c r="B710" s="7" t="n"/>
      <c r="C710" s="7" t="n"/>
      <c r="D710" s="7" t="n"/>
      <c r="E710" s="7" t="n"/>
      <c r="F710" s="8" t="n"/>
      <c r="G710" s="7" t="n"/>
      <c r="H710" s="7" t="n"/>
      <c r="I710" s="7">
        <f>IF(C710="","",IFERROR(IF(INDEX(원생!$H$2:$H$501,MATCH(계산!$A710,계산!$E$2:$E$501,0))="예","예",""),""))</f>
        <v/>
      </c>
      <c r="J710" s="7" t="n"/>
    </row>
    <row r="711">
      <c r="A711" s="9" t="n"/>
      <c r="B711" s="7" t="n"/>
      <c r="C711" s="7" t="n"/>
      <c r="D711" s="7" t="n"/>
      <c r="E711" s="7" t="n"/>
      <c r="F711" s="8" t="n"/>
      <c r="G711" s="7" t="n"/>
      <c r="H711" s="7" t="n"/>
      <c r="I711" s="7">
        <f>IF(C711="","",IFERROR(IF(INDEX(원생!$H$2:$H$501,MATCH(계산!$A711,계산!$E$2:$E$501,0))="예","예",""),""))</f>
        <v/>
      </c>
      <c r="J711" s="7" t="n"/>
    </row>
    <row r="712">
      <c r="A712" s="9" t="n"/>
      <c r="B712" s="7" t="n"/>
      <c r="C712" s="7" t="n"/>
      <c r="D712" s="7" t="n"/>
      <c r="E712" s="7" t="n"/>
      <c r="F712" s="8" t="n"/>
      <c r="G712" s="7" t="n"/>
      <c r="H712" s="7" t="n"/>
      <c r="I712" s="7">
        <f>IF(C712="","",IFERROR(IF(INDEX(원생!$H$2:$H$501,MATCH(계산!$A712,계산!$E$2:$E$501,0))="예","예",""),""))</f>
        <v/>
      </c>
      <c r="J712" s="7" t="n"/>
    </row>
    <row r="713">
      <c r="A713" s="9" t="n"/>
      <c r="B713" s="7" t="n"/>
      <c r="C713" s="7" t="n"/>
      <c r="D713" s="7" t="n"/>
      <c r="E713" s="7" t="n"/>
      <c r="F713" s="8" t="n"/>
      <c r="G713" s="7" t="n"/>
      <c r="H713" s="7" t="n"/>
      <c r="I713" s="7">
        <f>IF(C713="","",IFERROR(IF(INDEX(원생!$H$2:$H$501,MATCH(계산!$A713,계산!$E$2:$E$501,0))="예","예",""),""))</f>
        <v/>
      </c>
      <c r="J713" s="7" t="n"/>
    </row>
    <row r="714">
      <c r="A714" s="9" t="n"/>
      <c r="B714" s="7" t="n"/>
      <c r="C714" s="7" t="n"/>
      <c r="D714" s="7" t="n"/>
      <c r="E714" s="7" t="n"/>
      <c r="F714" s="8" t="n"/>
      <c r="G714" s="7" t="n"/>
      <c r="H714" s="7" t="n"/>
      <c r="I714" s="7">
        <f>IF(C714="","",IFERROR(IF(INDEX(원생!$H$2:$H$501,MATCH(계산!$A714,계산!$E$2:$E$501,0))="예","예",""),""))</f>
        <v/>
      </c>
      <c r="J714" s="7" t="n"/>
    </row>
    <row r="715">
      <c r="A715" s="9" t="n"/>
      <c r="B715" s="7" t="n"/>
      <c r="C715" s="7" t="n"/>
      <c r="D715" s="7" t="n"/>
      <c r="E715" s="7" t="n"/>
      <c r="F715" s="8" t="n"/>
      <c r="G715" s="7" t="n"/>
      <c r="H715" s="7" t="n"/>
      <c r="I715" s="7">
        <f>IF(C715="","",IFERROR(IF(INDEX(원생!$H$2:$H$501,MATCH(계산!$A715,계산!$E$2:$E$501,0))="예","예",""),""))</f>
        <v/>
      </c>
      <c r="J715" s="7" t="n"/>
    </row>
    <row r="716">
      <c r="A716" s="9" t="n"/>
      <c r="B716" s="7" t="n"/>
      <c r="C716" s="7" t="n"/>
      <c r="D716" s="7" t="n"/>
      <c r="E716" s="7" t="n"/>
      <c r="F716" s="8" t="n"/>
      <c r="G716" s="7" t="n"/>
      <c r="H716" s="7" t="n"/>
      <c r="I716" s="7">
        <f>IF(C716="","",IFERROR(IF(INDEX(원생!$H$2:$H$501,MATCH(계산!$A716,계산!$E$2:$E$501,0))="예","예",""),""))</f>
        <v/>
      </c>
      <c r="J716" s="7" t="n"/>
    </row>
    <row r="717">
      <c r="A717" s="9" t="n"/>
      <c r="B717" s="7" t="n"/>
      <c r="C717" s="7" t="n"/>
      <c r="D717" s="7" t="n"/>
      <c r="E717" s="7" t="n"/>
      <c r="F717" s="8" t="n"/>
      <c r="G717" s="7" t="n"/>
      <c r="H717" s="7" t="n"/>
      <c r="I717" s="7">
        <f>IF(C717="","",IFERROR(IF(INDEX(원생!$H$2:$H$501,MATCH(계산!$A717,계산!$E$2:$E$501,0))="예","예",""),""))</f>
        <v/>
      </c>
      <c r="J717" s="7" t="n"/>
    </row>
    <row r="718">
      <c r="A718" s="9" t="n"/>
      <c r="B718" s="7" t="n"/>
      <c r="C718" s="7" t="n"/>
      <c r="D718" s="7" t="n"/>
      <c r="E718" s="7" t="n"/>
      <c r="F718" s="8" t="n"/>
      <c r="G718" s="7" t="n"/>
      <c r="H718" s="7" t="n"/>
      <c r="I718" s="7">
        <f>IF(C718="","",IFERROR(IF(INDEX(원생!$H$2:$H$501,MATCH(계산!$A718,계산!$E$2:$E$501,0))="예","예",""),""))</f>
        <v/>
      </c>
      <c r="J718" s="7" t="n"/>
    </row>
    <row r="719">
      <c r="A719" s="9" t="n"/>
      <c r="B719" s="7" t="n"/>
      <c r="C719" s="7" t="n"/>
      <c r="D719" s="7" t="n"/>
      <c r="E719" s="7" t="n"/>
      <c r="F719" s="8" t="n"/>
      <c r="G719" s="7" t="n"/>
      <c r="H719" s="7" t="n"/>
      <c r="I719" s="7">
        <f>IF(C719="","",IFERROR(IF(INDEX(원생!$H$2:$H$501,MATCH(계산!$A719,계산!$E$2:$E$501,0))="예","예",""),""))</f>
        <v/>
      </c>
      <c r="J719" s="7" t="n"/>
    </row>
    <row r="720">
      <c r="A720" s="9" t="n"/>
      <c r="B720" s="7" t="n"/>
      <c r="C720" s="7" t="n"/>
      <c r="D720" s="7" t="n"/>
      <c r="E720" s="7" t="n"/>
      <c r="F720" s="8" t="n"/>
      <c r="G720" s="7" t="n"/>
      <c r="H720" s="7" t="n"/>
      <c r="I720" s="7">
        <f>IF(C720="","",IFERROR(IF(INDEX(원생!$H$2:$H$501,MATCH(계산!$A720,계산!$E$2:$E$501,0))="예","예",""),""))</f>
        <v/>
      </c>
      <c r="J720" s="7" t="n"/>
    </row>
    <row r="721">
      <c r="A721" s="9" t="n"/>
      <c r="B721" s="7" t="n"/>
      <c r="C721" s="7" t="n"/>
      <c r="D721" s="7" t="n"/>
      <c r="E721" s="7" t="n"/>
      <c r="F721" s="8" t="n"/>
      <c r="G721" s="7" t="n"/>
      <c r="H721" s="7" t="n"/>
      <c r="I721" s="7">
        <f>IF(C721="","",IFERROR(IF(INDEX(원생!$H$2:$H$501,MATCH(계산!$A721,계산!$E$2:$E$501,0))="예","예",""),""))</f>
        <v/>
      </c>
      <c r="J721" s="7" t="n"/>
    </row>
    <row r="722">
      <c r="A722" s="9" t="n"/>
      <c r="B722" s="7" t="n"/>
      <c r="C722" s="7" t="n"/>
      <c r="D722" s="7" t="n"/>
      <c r="E722" s="7" t="n"/>
      <c r="F722" s="8" t="n"/>
      <c r="G722" s="7" t="n"/>
      <c r="H722" s="7" t="n"/>
      <c r="I722" s="7">
        <f>IF(C722="","",IFERROR(IF(INDEX(원생!$H$2:$H$501,MATCH(계산!$A722,계산!$E$2:$E$501,0))="예","예",""),""))</f>
        <v/>
      </c>
      <c r="J722" s="7" t="n"/>
    </row>
    <row r="723">
      <c r="A723" s="9" t="n"/>
      <c r="B723" s="7" t="n"/>
      <c r="C723" s="7" t="n"/>
      <c r="D723" s="7" t="n"/>
      <c r="E723" s="7" t="n"/>
      <c r="F723" s="8" t="n"/>
      <c r="G723" s="7" t="n"/>
      <c r="H723" s="7" t="n"/>
      <c r="I723" s="7">
        <f>IF(C723="","",IFERROR(IF(INDEX(원생!$H$2:$H$501,MATCH(계산!$A723,계산!$E$2:$E$501,0))="예","예",""),""))</f>
        <v/>
      </c>
      <c r="J723" s="7" t="n"/>
    </row>
    <row r="724">
      <c r="A724" s="9" t="n"/>
      <c r="B724" s="7" t="n"/>
      <c r="C724" s="7" t="n"/>
      <c r="D724" s="7" t="n"/>
      <c r="E724" s="7" t="n"/>
      <c r="F724" s="8" t="n"/>
      <c r="G724" s="7" t="n"/>
      <c r="H724" s="7" t="n"/>
      <c r="I724" s="7">
        <f>IF(C724="","",IFERROR(IF(INDEX(원생!$H$2:$H$501,MATCH(계산!$A724,계산!$E$2:$E$501,0))="예","예",""),""))</f>
        <v/>
      </c>
      <c r="J724" s="7" t="n"/>
    </row>
    <row r="725">
      <c r="A725" s="9" t="n"/>
      <c r="B725" s="7" t="n"/>
      <c r="C725" s="7" t="n"/>
      <c r="D725" s="7" t="n"/>
      <c r="E725" s="7" t="n"/>
      <c r="F725" s="8" t="n"/>
      <c r="G725" s="7" t="n"/>
      <c r="H725" s="7" t="n"/>
      <c r="I725" s="7">
        <f>IF(C725="","",IFERROR(IF(INDEX(원생!$H$2:$H$501,MATCH(계산!$A725,계산!$E$2:$E$501,0))="예","예",""),""))</f>
        <v/>
      </c>
      <c r="J725" s="7" t="n"/>
    </row>
    <row r="726">
      <c r="A726" s="9" t="n"/>
      <c r="B726" s="7" t="n"/>
      <c r="C726" s="7" t="n"/>
      <c r="D726" s="7" t="n"/>
      <c r="E726" s="7" t="n"/>
      <c r="F726" s="8" t="n"/>
      <c r="G726" s="7" t="n"/>
      <c r="H726" s="7" t="n"/>
      <c r="I726" s="7">
        <f>IF(C726="","",IFERROR(IF(INDEX(원생!$H$2:$H$501,MATCH(계산!$A726,계산!$E$2:$E$501,0))="예","예",""),""))</f>
        <v/>
      </c>
      <c r="J726" s="7" t="n"/>
    </row>
    <row r="727">
      <c r="A727" s="9" t="n"/>
      <c r="B727" s="7" t="n"/>
      <c r="C727" s="7" t="n"/>
      <c r="D727" s="7" t="n"/>
      <c r="E727" s="7" t="n"/>
      <c r="F727" s="8" t="n"/>
      <c r="G727" s="7" t="n"/>
      <c r="H727" s="7" t="n"/>
      <c r="I727" s="7">
        <f>IF(C727="","",IFERROR(IF(INDEX(원생!$H$2:$H$501,MATCH(계산!$A727,계산!$E$2:$E$501,0))="예","예",""),""))</f>
        <v/>
      </c>
      <c r="J727" s="7" t="n"/>
    </row>
    <row r="728">
      <c r="A728" s="9" t="n"/>
      <c r="B728" s="7" t="n"/>
      <c r="C728" s="7" t="n"/>
      <c r="D728" s="7" t="n"/>
      <c r="E728" s="7" t="n"/>
      <c r="F728" s="8" t="n"/>
      <c r="G728" s="7" t="n"/>
      <c r="H728" s="7" t="n"/>
      <c r="I728" s="7">
        <f>IF(C728="","",IFERROR(IF(INDEX(원생!$H$2:$H$501,MATCH(계산!$A728,계산!$E$2:$E$501,0))="예","예",""),""))</f>
        <v/>
      </c>
      <c r="J728" s="7" t="n"/>
    </row>
    <row r="729">
      <c r="A729" s="9" t="n"/>
      <c r="B729" s="7" t="n"/>
      <c r="C729" s="7" t="n"/>
      <c r="D729" s="7" t="n"/>
      <c r="E729" s="7" t="n"/>
      <c r="F729" s="8" t="n"/>
      <c r="G729" s="7" t="n"/>
      <c r="H729" s="7" t="n"/>
      <c r="I729" s="7">
        <f>IF(C729="","",IFERROR(IF(INDEX(원생!$H$2:$H$501,MATCH(계산!$A729,계산!$E$2:$E$501,0))="예","예",""),""))</f>
        <v/>
      </c>
      <c r="J729" s="7" t="n"/>
    </row>
    <row r="730">
      <c r="A730" s="9" t="n"/>
      <c r="B730" s="7" t="n"/>
      <c r="C730" s="7" t="n"/>
      <c r="D730" s="7" t="n"/>
      <c r="E730" s="7" t="n"/>
      <c r="F730" s="8" t="n"/>
      <c r="G730" s="7" t="n"/>
      <c r="H730" s="7" t="n"/>
      <c r="I730" s="7">
        <f>IF(C730="","",IFERROR(IF(INDEX(원생!$H$2:$H$501,MATCH(계산!$A730,계산!$E$2:$E$501,0))="예","예",""),""))</f>
        <v/>
      </c>
      <c r="J730" s="7" t="n"/>
    </row>
    <row r="731">
      <c r="A731" s="9" t="n"/>
      <c r="B731" s="7" t="n"/>
      <c r="C731" s="7" t="n"/>
      <c r="D731" s="7" t="n"/>
      <c r="E731" s="7" t="n"/>
      <c r="F731" s="8" t="n"/>
      <c r="G731" s="7" t="n"/>
      <c r="H731" s="7" t="n"/>
      <c r="I731" s="7">
        <f>IF(C731="","",IFERROR(IF(INDEX(원생!$H$2:$H$501,MATCH(계산!$A731,계산!$E$2:$E$501,0))="예","예",""),""))</f>
        <v/>
      </c>
      <c r="J731" s="7" t="n"/>
    </row>
    <row r="732">
      <c r="A732" s="9" t="n"/>
      <c r="B732" s="7" t="n"/>
      <c r="C732" s="7" t="n"/>
      <c r="D732" s="7" t="n"/>
      <c r="E732" s="7" t="n"/>
      <c r="F732" s="8" t="n"/>
      <c r="G732" s="7" t="n"/>
      <c r="H732" s="7" t="n"/>
      <c r="I732" s="7">
        <f>IF(C732="","",IFERROR(IF(INDEX(원생!$H$2:$H$501,MATCH(계산!$A732,계산!$E$2:$E$501,0))="예","예",""),""))</f>
        <v/>
      </c>
      <c r="J732" s="7" t="n"/>
    </row>
    <row r="733">
      <c r="A733" s="9" t="n"/>
      <c r="B733" s="7" t="n"/>
      <c r="C733" s="7" t="n"/>
      <c r="D733" s="7" t="n"/>
      <c r="E733" s="7" t="n"/>
      <c r="F733" s="8" t="n"/>
      <c r="G733" s="7" t="n"/>
      <c r="H733" s="7" t="n"/>
      <c r="I733" s="7">
        <f>IF(C733="","",IFERROR(IF(INDEX(원생!$H$2:$H$501,MATCH(계산!$A733,계산!$E$2:$E$501,0))="예","예",""),""))</f>
        <v/>
      </c>
      <c r="J733" s="7" t="n"/>
    </row>
    <row r="734">
      <c r="A734" s="9" t="n"/>
      <c r="B734" s="7" t="n"/>
      <c r="C734" s="7" t="n"/>
      <c r="D734" s="7" t="n"/>
      <c r="E734" s="7" t="n"/>
      <c r="F734" s="8" t="n"/>
      <c r="G734" s="7" t="n"/>
      <c r="H734" s="7" t="n"/>
      <c r="I734" s="7">
        <f>IF(C734="","",IFERROR(IF(INDEX(원생!$H$2:$H$501,MATCH(계산!$A734,계산!$E$2:$E$501,0))="예","예",""),""))</f>
        <v/>
      </c>
      <c r="J734" s="7" t="n"/>
    </row>
    <row r="735">
      <c r="A735" s="9" t="n"/>
      <c r="B735" s="7" t="n"/>
      <c r="C735" s="7" t="n"/>
      <c r="D735" s="7" t="n"/>
      <c r="E735" s="7" t="n"/>
      <c r="F735" s="8" t="n"/>
      <c r="G735" s="7" t="n"/>
      <c r="H735" s="7" t="n"/>
      <c r="I735" s="7">
        <f>IF(C735="","",IFERROR(IF(INDEX(원생!$H$2:$H$501,MATCH(계산!$A735,계산!$E$2:$E$501,0))="예","예",""),""))</f>
        <v/>
      </c>
      <c r="J735" s="7" t="n"/>
    </row>
    <row r="736">
      <c r="A736" s="9" t="n"/>
      <c r="B736" s="7" t="n"/>
      <c r="C736" s="7" t="n"/>
      <c r="D736" s="7" t="n"/>
      <c r="E736" s="7" t="n"/>
      <c r="F736" s="8" t="n"/>
      <c r="G736" s="7" t="n"/>
      <c r="H736" s="7" t="n"/>
      <c r="I736" s="7">
        <f>IF(C736="","",IFERROR(IF(INDEX(원생!$H$2:$H$501,MATCH(계산!$A736,계산!$E$2:$E$501,0))="예","예",""),""))</f>
        <v/>
      </c>
      <c r="J736" s="7" t="n"/>
    </row>
    <row r="737">
      <c r="A737" s="9" t="n"/>
      <c r="B737" s="7" t="n"/>
      <c r="C737" s="7" t="n"/>
      <c r="D737" s="7" t="n"/>
      <c r="E737" s="7" t="n"/>
      <c r="F737" s="8" t="n"/>
      <c r="G737" s="7" t="n"/>
      <c r="H737" s="7" t="n"/>
      <c r="I737" s="7">
        <f>IF(C737="","",IFERROR(IF(INDEX(원생!$H$2:$H$501,MATCH(계산!$A737,계산!$E$2:$E$501,0))="예","예",""),""))</f>
        <v/>
      </c>
      <c r="J737" s="7" t="n"/>
    </row>
    <row r="738">
      <c r="A738" s="9" t="n"/>
      <c r="B738" s="7" t="n"/>
      <c r="C738" s="7" t="n"/>
      <c r="D738" s="7" t="n"/>
      <c r="E738" s="7" t="n"/>
      <c r="F738" s="8" t="n"/>
      <c r="G738" s="7" t="n"/>
      <c r="H738" s="7" t="n"/>
      <c r="I738" s="7">
        <f>IF(C738="","",IFERROR(IF(INDEX(원생!$H$2:$H$501,MATCH(계산!$A738,계산!$E$2:$E$501,0))="예","예",""),""))</f>
        <v/>
      </c>
      <c r="J738" s="7" t="n"/>
    </row>
    <row r="739">
      <c r="A739" s="9" t="n"/>
      <c r="B739" s="7" t="n"/>
      <c r="C739" s="7" t="n"/>
      <c r="D739" s="7" t="n"/>
      <c r="E739" s="7" t="n"/>
      <c r="F739" s="8" t="n"/>
      <c r="G739" s="7" t="n"/>
      <c r="H739" s="7" t="n"/>
      <c r="I739" s="7">
        <f>IF(C739="","",IFERROR(IF(INDEX(원생!$H$2:$H$501,MATCH(계산!$A739,계산!$E$2:$E$501,0))="예","예",""),""))</f>
        <v/>
      </c>
      <c r="J739" s="7" t="n"/>
    </row>
    <row r="740">
      <c r="A740" s="9" t="n"/>
      <c r="B740" s="7" t="n"/>
      <c r="C740" s="7" t="n"/>
      <c r="D740" s="7" t="n"/>
      <c r="E740" s="7" t="n"/>
      <c r="F740" s="8" t="n"/>
      <c r="G740" s="7" t="n"/>
      <c r="H740" s="7" t="n"/>
      <c r="I740" s="7">
        <f>IF(C740="","",IFERROR(IF(INDEX(원생!$H$2:$H$501,MATCH(계산!$A740,계산!$E$2:$E$501,0))="예","예",""),""))</f>
        <v/>
      </c>
      <c r="J740" s="7" t="n"/>
    </row>
    <row r="741">
      <c r="A741" s="9" t="n"/>
      <c r="B741" s="7" t="n"/>
      <c r="C741" s="7" t="n"/>
      <c r="D741" s="7" t="n"/>
      <c r="E741" s="7" t="n"/>
      <c r="F741" s="8" t="n"/>
      <c r="G741" s="7" t="n"/>
      <c r="H741" s="7" t="n"/>
      <c r="I741" s="7">
        <f>IF(C741="","",IFERROR(IF(INDEX(원생!$H$2:$H$501,MATCH(계산!$A741,계산!$E$2:$E$501,0))="예","예",""),""))</f>
        <v/>
      </c>
      <c r="J741" s="7" t="n"/>
    </row>
    <row r="742">
      <c r="A742" s="9" t="n"/>
      <c r="B742" s="7" t="n"/>
      <c r="C742" s="7" t="n"/>
      <c r="D742" s="7" t="n"/>
      <c r="E742" s="7" t="n"/>
      <c r="F742" s="8" t="n"/>
      <c r="G742" s="7" t="n"/>
      <c r="H742" s="7" t="n"/>
      <c r="I742" s="7">
        <f>IF(C742="","",IFERROR(IF(INDEX(원생!$H$2:$H$501,MATCH(계산!$A742,계산!$E$2:$E$501,0))="예","예",""),""))</f>
        <v/>
      </c>
      <c r="J742" s="7" t="n"/>
    </row>
    <row r="743">
      <c r="A743" s="9" t="n"/>
      <c r="B743" s="7" t="n"/>
      <c r="C743" s="7" t="n"/>
      <c r="D743" s="7" t="n"/>
      <c r="E743" s="7" t="n"/>
      <c r="F743" s="8" t="n"/>
      <c r="G743" s="7" t="n"/>
      <c r="H743" s="7" t="n"/>
      <c r="I743" s="7">
        <f>IF(C743="","",IFERROR(IF(INDEX(원생!$H$2:$H$501,MATCH(계산!$A743,계산!$E$2:$E$501,0))="예","예",""),""))</f>
        <v/>
      </c>
      <c r="J743" s="7" t="n"/>
    </row>
    <row r="744">
      <c r="A744" s="9" t="n"/>
      <c r="B744" s="7" t="n"/>
      <c r="C744" s="7" t="n"/>
      <c r="D744" s="7" t="n"/>
      <c r="E744" s="7" t="n"/>
      <c r="F744" s="8" t="n"/>
      <c r="G744" s="7" t="n"/>
      <c r="H744" s="7" t="n"/>
      <c r="I744" s="7">
        <f>IF(C744="","",IFERROR(IF(INDEX(원생!$H$2:$H$501,MATCH(계산!$A744,계산!$E$2:$E$501,0))="예","예",""),""))</f>
        <v/>
      </c>
      <c r="J744" s="7" t="n"/>
    </row>
    <row r="745">
      <c r="A745" s="9" t="n"/>
      <c r="B745" s="7" t="n"/>
      <c r="C745" s="7" t="n"/>
      <c r="D745" s="7" t="n"/>
      <c r="E745" s="7" t="n"/>
      <c r="F745" s="8" t="n"/>
      <c r="G745" s="7" t="n"/>
      <c r="H745" s="7" t="n"/>
      <c r="I745" s="7">
        <f>IF(C745="","",IFERROR(IF(INDEX(원생!$H$2:$H$501,MATCH(계산!$A745,계산!$E$2:$E$501,0))="예","예",""),""))</f>
        <v/>
      </c>
      <c r="J745" s="7" t="n"/>
    </row>
    <row r="746">
      <c r="A746" s="9" t="n"/>
      <c r="B746" s="7" t="n"/>
      <c r="C746" s="7" t="n"/>
      <c r="D746" s="7" t="n"/>
      <c r="E746" s="7" t="n"/>
      <c r="F746" s="8" t="n"/>
      <c r="G746" s="7" t="n"/>
      <c r="H746" s="7" t="n"/>
      <c r="I746" s="7">
        <f>IF(C746="","",IFERROR(IF(INDEX(원생!$H$2:$H$501,MATCH(계산!$A746,계산!$E$2:$E$501,0))="예","예",""),""))</f>
        <v/>
      </c>
      <c r="J746" s="7" t="n"/>
    </row>
    <row r="747">
      <c r="A747" s="9" t="n"/>
      <c r="B747" s="7" t="n"/>
      <c r="C747" s="7" t="n"/>
      <c r="D747" s="7" t="n"/>
      <c r="E747" s="7" t="n"/>
      <c r="F747" s="8" t="n"/>
      <c r="G747" s="7" t="n"/>
      <c r="H747" s="7" t="n"/>
      <c r="I747" s="7">
        <f>IF(C747="","",IFERROR(IF(INDEX(원생!$H$2:$H$501,MATCH(계산!$A747,계산!$E$2:$E$501,0))="예","예",""),""))</f>
        <v/>
      </c>
      <c r="J747" s="7" t="n"/>
    </row>
    <row r="748">
      <c r="A748" s="9" t="n"/>
      <c r="B748" s="7" t="n"/>
      <c r="C748" s="7" t="n"/>
      <c r="D748" s="7" t="n"/>
      <c r="E748" s="7" t="n"/>
      <c r="F748" s="8" t="n"/>
      <c r="G748" s="7" t="n"/>
      <c r="H748" s="7" t="n"/>
      <c r="I748" s="7">
        <f>IF(C748="","",IFERROR(IF(INDEX(원생!$H$2:$H$501,MATCH(계산!$A748,계산!$E$2:$E$501,0))="예","예",""),""))</f>
        <v/>
      </c>
      <c r="J748" s="7" t="n"/>
    </row>
    <row r="749">
      <c r="A749" s="9" t="n"/>
      <c r="B749" s="7" t="n"/>
      <c r="C749" s="7" t="n"/>
      <c r="D749" s="7" t="n"/>
      <c r="E749" s="7" t="n"/>
      <c r="F749" s="8" t="n"/>
      <c r="G749" s="7" t="n"/>
      <c r="H749" s="7" t="n"/>
      <c r="I749" s="7">
        <f>IF(C749="","",IFERROR(IF(INDEX(원생!$H$2:$H$501,MATCH(계산!$A749,계산!$E$2:$E$501,0))="예","예",""),""))</f>
        <v/>
      </c>
      <c r="J749" s="7" t="n"/>
    </row>
    <row r="750">
      <c r="A750" s="9" t="n"/>
      <c r="B750" s="7" t="n"/>
      <c r="C750" s="7" t="n"/>
      <c r="D750" s="7" t="n"/>
      <c r="E750" s="7" t="n"/>
      <c r="F750" s="8" t="n"/>
      <c r="G750" s="7" t="n"/>
      <c r="H750" s="7" t="n"/>
      <c r="I750" s="7">
        <f>IF(C750="","",IFERROR(IF(INDEX(원생!$H$2:$H$501,MATCH(계산!$A750,계산!$E$2:$E$501,0))="예","예",""),""))</f>
        <v/>
      </c>
      <c r="J750" s="7" t="n"/>
    </row>
    <row r="751">
      <c r="A751" s="9" t="n"/>
      <c r="B751" s="7" t="n"/>
      <c r="C751" s="7" t="n"/>
      <c r="D751" s="7" t="n"/>
      <c r="E751" s="7" t="n"/>
      <c r="F751" s="8" t="n"/>
      <c r="G751" s="7" t="n"/>
      <c r="H751" s="7" t="n"/>
      <c r="I751" s="7">
        <f>IF(C751="","",IFERROR(IF(INDEX(원생!$H$2:$H$501,MATCH(계산!$A751,계산!$E$2:$E$501,0))="예","예",""),""))</f>
        <v/>
      </c>
      <c r="J751" s="7" t="n"/>
    </row>
    <row r="752">
      <c r="A752" s="9" t="n"/>
      <c r="B752" s="7" t="n"/>
      <c r="C752" s="7" t="n"/>
      <c r="D752" s="7" t="n"/>
      <c r="E752" s="7" t="n"/>
      <c r="F752" s="8" t="n"/>
      <c r="G752" s="7" t="n"/>
      <c r="H752" s="7" t="n"/>
      <c r="I752" s="7">
        <f>IF(C752="","",IFERROR(IF(INDEX(원생!$H$2:$H$501,MATCH(계산!$A752,계산!$E$2:$E$501,0))="예","예",""),""))</f>
        <v/>
      </c>
      <c r="J752" s="7" t="n"/>
    </row>
    <row r="753">
      <c r="A753" s="9" t="n"/>
      <c r="B753" s="7" t="n"/>
      <c r="C753" s="7" t="n"/>
      <c r="D753" s="7" t="n"/>
      <c r="E753" s="7" t="n"/>
      <c r="F753" s="8" t="n"/>
      <c r="G753" s="7" t="n"/>
      <c r="H753" s="7" t="n"/>
      <c r="I753" s="7">
        <f>IF(C753="","",IFERROR(IF(INDEX(원생!$H$2:$H$501,MATCH(계산!$A753,계산!$E$2:$E$501,0))="예","예",""),""))</f>
        <v/>
      </c>
      <c r="J753" s="7" t="n"/>
    </row>
    <row r="754">
      <c r="A754" s="9" t="n"/>
      <c r="B754" s="7" t="n"/>
      <c r="C754" s="7" t="n"/>
      <c r="D754" s="7" t="n"/>
      <c r="E754" s="7" t="n"/>
      <c r="F754" s="8" t="n"/>
      <c r="G754" s="7" t="n"/>
      <c r="H754" s="7" t="n"/>
      <c r="I754" s="7">
        <f>IF(C754="","",IFERROR(IF(INDEX(원생!$H$2:$H$501,MATCH(계산!$A754,계산!$E$2:$E$501,0))="예","예",""),""))</f>
        <v/>
      </c>
      <c r="J754" s="7" t="n"/>
    </row>
    <row r="755">
      <c r="A755" s="9" t="n"/>
      <c r="B755" s="7" t="n"/>
      <c r="C755" s="7" t="n"/>
      <c r="D755" s="7" t="n"/>
      <c r="E755" s="7" t="n"/>
      <c r="F755" s="8" t="n"/>
      <c r="G755" s="7" t="n"/>
      <c r="H755" s="7" t="n"/>
      <c r="I755" s="7">
        <f>IF(C755="","",IFERROR(IF(INDEX(원생!$H$2:$H$501,MATCH(계산!$A755,계산!$E$2:$E$501,0))="예","예",""),""))</f>
        <v/>
      </c>
      <c r="J755" s="7" t="n"/>
    </row>
    <row r="756">
      <c r="A756" s="9" t="n"/>
      <c r="B756" s="7" t="n"/>
      <c r="C756" s="7" t="n"/>
      <c r="D756" s="7" t="n"/>
      <c r="E756" s="7" t="n"/>
      <c r="F756" s="8" t="n"/>
      <c r="G756" s="7" t="n"/>
      <c r="H756" s="7" t="n"/>
      <c r="I756" s="7">
        <f>IF(C756="","",IFERROR(IF(INDEX(원생!$H$2:$H$501,MATCH(계산!$A756,계산!$E$2:$E$501,0))="예","예",""),""))</f>
        <v/>
      </c>
      <c r="J756" s="7" t="n"/>
    </row>
    <row r="757">
      <c r="A757" s="9" t="n"/>
      <c r="B757" s="7" t="n"/>
      <c r="C757" s="7" t="n"/>
      <c r="D757" s="7" t="n"/>
      <c r="E757" s="7" t="n"/>
      <c r="F757" s="8" t="n"/>
      <c r="G757" s="7" t="n"/>
      <c r="H757" s="7" t="n"/>
      <c r="I757" s="7">
        <f>IF(C757="","",IFERROR(IF(INDEX(원생!$H$2:$H$501,MATCH(계산!$A757,계산!$E$2:$E$501,0))="예","예",""),""))</f>
        <v/>
      </c>
      <c r="J757" s="7" t="n"/>
    </row>
    <row r="758">
      <c r="A758" s="9" t="n"/>
      <c r="B758" s="7" t="n"/>
      <c r="C758" s="7" t="n"/>
      <c r="D758" s="7" t="n"/>
      <c r="E758" s="7" t="n"/>
      <c r="F758" s="8" t="n"/>
      <c r="G758" s="7" t="n"/>
      <c r="H758" s="7" t="n"/>
      <c r="I758" s="7">
        <f>IF(C758="","",IFERROR(IF(INDEX(원생!$H$2:$H$501,MATCH(계산!$A758,계산!$E$2:$E$501,0))="예","예",""),""))</f>
        <v/>
      </c>
      <c r="J758" s="7" t="n"/>
    </row>
    <row r="759">
      <c r="A759" s="9" t="n"/>
      <c r="B759" s="7" t="n"/>
      <c r="C759" s="7" t="n"/>
      <c r="D759" s="7" t="n"/>
      <c r="E759" s="7" t="n"/>
      <c r="F759" s="8" t="n"/>
      <c r="G759" s="7" t="n"/>
      <c r="H759" s="7" t="n"/>
      <c r="I759" s="7">
        <f>IF(C759="","",IFERROR(IF(INDEX(원생!$H$2:$H$501,MATCH(계산!$A759,계산!$E$2:$E$501,0))="예","예",""),""))</f>
        <v/>
      </c>
      <c r="J759" s="7" t="n"/>
    </row>
    <row r="760">
      <c r="A760" s="9" t="n"/>
      <c r="B760" s="7" t="n"/>
      <c r="C760" s="7" t="n"/>
      <c r="D760" s="7" t="n"/>
      <c r="E760" s="7" t="n"/>
      <c r="F760" s="8" t="n"/>
      <c r="G760" s="7" t="n"/>
      <c r="H760" s="7" t="n"/>
      <c r="I760" s="7">
        <f>IF(C760="","",IFERROR(IF(INDEX(원생!$H$2:$H$501,MATCH(계산!$A760,계산!$E$2:$E$501,0))="예","예",""),""))</f>
        <v/>
      </c>
      <c r="J760" s="7" t="n"/>
    </row>
    <row r="761">
      <c r="A761" s="9" t="n"/>
      <c r="B761" s="7" t="n"/>
      <c r="C761" s="7" t="n"/>
      <c r="D761" s="7" t="n"/>
      <c r="E761" s="7" t="n"/>
      <c r="F761" s="8" t="n"/>
      <c r="G761" s="7" t="n"/>
      <c r="H761" s="7" t="n"/>
      <c r="I761" s="7">
        <f>IF(C761="","",IFERROR(IF(INDEX(원생!$H$2:$H$501,MATCH(계산!$A761,계산!$E$2:$E$501,0))="예","예",""),""))</f>
        <v/>
      </c>
      <c r="J761" s="7" t="n"/>
    </row>
    <row r="762">
      <c r="A762" s="9" t="n"/>
      <c r="B762" s="7" t="n"/>
      <c r="C762" s="7" t="n"/>
      <c r="D762" s="7" t="n"/>
      <c r="E762" s="7" t="n"/>
      <c r="F762" s="8" t="n"/>
      <c r="G762" s="7" t="n"/>
      <c r="H762" s="7" t="n"/>
      <c r="I762" s="7">
        <f>IF(C762="","",IFERROR(IF(INDEX(원생!$H$2:$H$501,MATCH(계산!$A762,계산!$E$2:$E$501,0))="예","예",""),""))</f>
        <v/>
      </c>
      <c r="J762" s="7" t="n"/>
    </row>
    <row r="763">
      <c r="A763" s="9" t="n"/>
      <c r="B763" s="7" t="n"/>
      <c r="C763" s="7" t="n"/>
      <c r="D763" s="7" t="n"/>
      <c r="E763" s="7" t="n"/>
      <c r="F763" s="8" t="n"/>
      <c r="G763" s="7" t="n"/>
      <c r="H763" s="7" t="n"/>
      <c r="I763" s="7">
        <f>IF(C763="","",IFERROR(IF(INDEX(원생!$H$2:$H$501,MATCH(계산!$A763,계산!$E$2:$E$501,0))="예","예",""),""))</f>
        <v/>
      </c>
      <c r="J763" s="7" t="n"/>
    </row>
    <row r="764">
      <c r="A764" s="9" t="n"/>
      <c r="B764" s="7" t="n"/>
      <c r="C764" s="7" t="n"/>
      <c r="D764" s="7" t="n"/>
      <c r="E764" s="7" t="n"/>
      <c r="F764" s="8" t="n"/>
      <c r="G764" s="7" t="n"/>
      <c r="H764" s="7" t="n"/>
      <c r="I764" s="7">
        <f>IF(C764="","",IFERROR(IF(INDEX(원생!$H$2:$H$501,MATCH(계산!$A764,계산!$E$2:$E$501,0))="예","예",""),""))</f>
        <v/>
      </c>
      <c r="J764" s="7" t="n"/>
    </row>
    <row r="765">
      <c r="A765" s="9" t="n"/>
      <c r="B765" s="7" t="n"/>
      <c r="C765" s="7" t="n"/>
      <c r="D765" s="7" t="n"/>
      <c r="E765" s="7" t="n"/>
      <c r="F765" s="8" t="n"/>
      <c r="G765" s="7" t="n"/>
      <c r="H765" s="7" t="n"/>
      <c r="I765" s="7">
        <f>IF(C765="","",IFERROR(IF(INDEX(원생!$H$2:$H$501,MATCH(계산!$A765,계산!$E$2:$E$501,0))="예","예",""),""))</f>
        <v/>
      </c>
      <c r="J765" s="7" t="n"/>
    </row>
    <row r="766">
      <c r="A766" s="9" t="n"/>
      <c r="B766" s="7" t="n"/>
      <c r="C766" s="7" t="n"/>
      <c r="D766" s="7" t="n"/>
      <c r="E766" s="7" t="n"/>
      <c r="F766" s="8" t="n"/>
      <c r="G766" s="7" t="n"/>
      <c r="H766" s="7" t="n"/>
      <c r="I766" s="7">
        <f>IF(C766="","",IFERROR(IF(INDEX(원생!$H$2:$H$501,MATCH(계산!$A766,계산!$E$2:$E$501,0))="예","예",""),""))</f>
        <v/>
      </c>
      <c r="J766" s="7" t="n"/>
    </row>
    <row r="767">
      <c r="A767" s="9" t="n"/>
      <c r="B767" s="7" t="n"/>
      <c r="C767" s="7" t="n"/>
      <c r="D767" s="7" t="n"/>
      <c r="E767" s="7" t="n"/>
      <c r="F767" s="8" t="n"/>
      <c r="G767" s="7" t="n"/>
      <c r="H767" s="7" t="n"/>
      <c r="I767" s="7">
        <f>IF(C767="","",IFERROR(IF(INDEX(원생!$H$2:$H$501,MATCH(계산!$A767,계산!$E$2:$E$501,0))="예","예",""),""))</f>
        <v/>
      </c>
      <c r="J767" s="7" t="n"/>
    </row>
    <row r="768">
      <c r="A768" s="9" t="n"/>
      <c r="B768" s="7" t="n"/>
      <c r="C768" s="7" t="n"/>
      <c r="D768" s="7" t="n"/>
      <c r="E768" s="7" t="n"/>
      <c r="F768" s="8" t="n"/>
      <c r="G768" s="7" t="n"/>
      <c r="H768" s="7" t="n"/>
      <c r="I768" s="7">
        <f>IF(C768="","",IFERROR(IF(INDEX(원생!$H$2:$H$501,MATCH(계산!$A768,계산!$E$2:$E$501,0))="예","예",""),""))</f>
        <v/>
      </c>
      <c r="J768" s="7" t="n"/>
    </row>
    <row r="769">
      <c r="A769" s="9" t="n"/>
      <c r="B769" s="7" t="n"/>
      <c r="C769" s="7" t="n"/>
      <c r="D769" s="7" t="n"/>
      <c r="E769" s="7" t="n"/>
      <c r="F769" s="8" t="n"/>
      <c r="G769" s="7" t="n"/>
      <c r="H769" s="7" t="n"/>
      <c r="I769" s="7">
        <f>IF(C769="","",IFERROR(IF(INDEX(원생!$H$2:$H$501,MATCH(계산!$A769,계산!$E$2:$E$501,0))="예","예",""),""))</f>
        <v/>
      </c>
      <c r="J769" s="7" t="n"/>
    </row>
    <row r="770">
      <c r="A770" s="9" t="n"/>
      <c r="B770" s="7" t="n"/>
      <c r="C770" s="7" t="n"/>
      <c r="D770" s="7" t="n"/>
      <c r="E770" s="7" t="n"/>
      <c r="F770" s="8" t="n"/>
      <c r="G770" s="7" t="n"/>
      <c r="H770" s="7" t="n"/>
      <c r="I770" s="7">
        <f>IF(C770="","",IFERROR(IF(INDEX(원생!$H$2:$H$501,MATCH(계산!$A770,계산!$E$2:$E$501,0))="예","예",""),""))</f>
        <v/>
      </c>
      <c r="J770" s="7" t="n"/>
    </row>
    <row r="771">
      <c r="A771" s="9" t="n"/>
      <c r="B771" s="7" t="n"/>
      <c r="C771" s="7" t="n"/>
      <c r="D771" s="7" t="n"/>
      <c r="E771" s="7" t="n"/>
      <c r="F771" s="8" t="n"/>
      <c r="G771" s="7" t="n"/>
      <c r="H771" s="7" t="n"/>
      <c r="I771" s="7">
        <f>IF(C771="","",IFERROR(IF(INDEX(원생!$H$2:$H$501,MATCH(계산!$A771,계산!$E$2:$E$501,0))="예","예",""),""))</f>
        <v/>
      </c>
      <c r="J771" s="7" t="n"/>
    </row>
    <row r="772">
      <c r="A772" s="9" t="n"/>
      <c r="B772" s="7" t="n"/>
      <c r="C772" s="7" t="n"/>
      <c r="D772" s="7" t="n"/>
      <c r="E772" s="7" t="n"/>
      <c r="F772" s="8" t="n"/>
      <c r="G772" s="7" t="n"/>
      <c r="H772" s="7" t="n"/>
      <c r="I772" s="7">
        <f>IF(C772="","",IFERROR(IF(INDEX(원생!$H$2:$H$501,MATCH(계산!$A772,계산!$E$2:$E$501,0))="예","예",""),""))</f>
        <v/>
      </c>
      <c r="J772" s="7" t="n"/>
    </row>
    <row r="773">
      <c r="A773" s="9" t="n"/>
      <c r="B773" s="7" t="n"/>
      <c r="C773" s="7" t="n"/>
      <c r="D773" s="7" t="n"/>
      <c r="E773" s="7" t="n"/>
      <c r="F773" s="8" t="n"/>
      <c r="G773" s="7" t="n"/>
      <c r="H773" s="7" t="n"/>
      <c r="I773" s="7">
        <f>IF(C773="","",IFERROR(IF(INDEX(원생!$H$2:$H$501,MATCH(계산!$A773,계산!$E$2:$E$501,0))="예","예",""),""))</f>
        <v/>
      </c>
      <c r="J773" s="7" t="n"/>
    </row>
    <row r="774">
      <c r="A774" s="9" t="n"/>
      <c r="B774" s="7" t="n"/>
      <c r="C774" s="7" t="n"/>
      <c r="D774" s="7" t="n"/>
      <c r="E774" s="7" t="n"/>
      <c r="F774" s="8" t="n"/>
      <c r="G774" s="7" t="n"/>
      <c r="H774" s="7" t="n"/>
      <c r="I774" s="7">
        <f>IF(C774="","",IFERROR(IF(INDEX(원생!$H$2:$H$501,MATCH(계산!$A774,계산!$E$2:$E$501,0))="예","예",""),""))</f>
        <v/>
      </c>
      <c r="J774" s="7" t="n"/>
    </row>
    <row r="775">
      <c r="A775" s="9" t="n"/>
      <c r="B775" s="7" t="n"/>
      <c r="C775" s="7" t="n"/>
      <c r="D775" s="7" t="n"/>
      <c r="E775" s="7" t="n"/>
      <c r="F775" s="8" t="n"/>
      <c r="G775" s="7" t="n"/>
      <c r="H775" s="7" t="n"/>
      <c r="I775" s="7">
        <f>IF(C775="","",IFERROR(IF(INDEX(원생!$H$2:$H$501,MATCH(계산!$A775,계산!$E$2:$E$501,0))="예","예",""),""))</f>
        <v/>
      </c>
      <c r="J775" s="7" t="n"/>
    </row>
    <row r="776">
      <c r="A776" s="9" t="n"/>
      <c r="B776" s="7" t="n"/>
      <c r="C776" s="7" t="n"/>
      <c r="D776" s="7" t="n"/>
      <c r="E776" s="7" t="n"/>
      <c r="F776" s="8" t="n"/>
      <c r="G776" s="7" t="n"/>
      <c r="H776" s="7" t="n"/>
      <c r="I776" s="7">
        <f>IF(C776="","",IFERROR(IF(INDEX(원생!$H$2:$H$501,MATCH(계산!$A776,계산!$E$2:$E$501,0))="예","예",""),""))</f>
        <v/>
      </c>
      <c r="J776" s="7" t="n"/>
    </row>
    <row r="777">
      <c r="A777" s="9" t="n"/>
      <c r="B777" s="7" t="n"/>
      <c r="C777" s="7" t="n"/>
      <c r="D777" s="7" t="n"/>
      <c r="E777" s="7" t="n"/>
      <c r="F777" s="8" t="n"/>
      <c r="G777" s="7" t="n"/>
      <c r="H777" s="7" t="n"/>
      <c r="I777" s="7">
        <f>IF(C777="","",IFERROR(IF(INDEX(원생!$H$2:$H$501,MATCH(계산!$A777,계산!$E$2:$E$501,0))="예","예",""),""))</f>
        <v/>
      </c>
      <c r="J777" s="7" t="n"/>
    </row>
    <row r="778">
      <c r="A778" s="9" t="n"/>
      <c r="B778" s="7" t="n"/>
      <c r="C778" s="7" t="n"/>
      <c r="D778" s="7" t="n"/>
      <c r="E778" s="7" t="n"/>
      <c r="F778" s="8" t="n"/>
      <c r="G778" s="7" t="n"/>
      <c r="H778" s="7" t="n"/>
      <c r="I778" s="7">
        <f>IF(C778="","",IFERROR(IF(INDEX(원생!$H$2:$H$501,MATCH(계산!$A778,계산!$E$2:$E$501,0))="예","예",""),""))</f>
        <v/>
      </c>
      <c r="J778" s="7" t="n"/>
    </row>
    <row r="779">
      <c r="A779" s="9" t="n"/>
      <c r="B779" s="7" t="n"/>
      <c r="C779" s="7" t="n"/>
      <c r="D779" s="7" t="n"/>
      <c r="E779" s="7" t="n"/>
      <c r="F779" s="8" t="n"/>
      <c r="G779" s="7" t="n"/>
      <c r="H779" s="7" t="n"/>
      <c r="I779" s="7">
        <f>IF(C779="","",IFERROR(IF(INDEX(원생!$H$2:$H$501,MATCH(계산!$A779,계산!$E$2:$E$501,0))="예","예",""),""))</f>
        <v/>
      </c>
      <c r="J779" s="7" t="n"/>
    </row>
    <row r="780">
      <c r="A780" s="9" t="n"/>
      <c r="B780" s="7" t="n"/>
      <c r="C780" s="7" t="n"/>
      <c r="D780" s="7" t="n"/>
      <c r="E780" s="7" t="n"/>
      <c r="F780" s="8" t="n"/>
      <c r="G780" s="7" t="n"/>
      <c r="H780" s="7" t="n"/>
      <c r="I780" s="7">
        <f>IF(C780="","",IFERROR(IF(INDEX(원생!$H$2:$H$501,MATCH(계산!$A780,계산!$E$2:$E$501,0))="예","예",""),""))</f>
        <v/>
      </c>
      <c r="J780" s="7" t="n"/>
    </row>
    <row r="781">
      <c r="A781" s="9" t="n"/>
      <c r="B781" s="7" t="n"/>
      <c r="C781" s="7" t="n"/>
      <c r="D781" s="7" t="n"/>
      <c r="E781" s="7" t="n"/>
      <c r="F781" s="8" t="n"/>
      <c r="G781" s="7" t="n"/>
      <c r="H781" s="7" t="n"/>
      <c r="I781" s="7">
        <f>IF(C781="","",IFERROR(IF(INDEX(원생!$H$2:$H$501,MATCH(계산!$A781,계산!$E$2:$E$501,0))="예","예",""),""))</f>
        <v/>
      </c>
      <c r="J781" s="7" t="n"/>
    </row>
    <row r="782">
      <c r="A782" s="9" t="n"/>
      <c r="B782" s="7" t="n"/>
      <c r="C782" s="7" t="n"/>
      <c r="D782" s="7" t="n"/>
      <c r="E782" s="7" t="n"/>
      <c r="F782" s="8" t="n"/>
      <c r="G782" s="7" t="n"/>
      <c r="H782" s="7" t="n"/>
      <c r="I782" s="7">
        <f>IF(C782="","",IFERROR(IF(INDEX(원생!$H$2:$H$501,MATCH(계산!$A782,계산!$E$2:$E$501,0))="예","예",""),""))</f>
        <v/>
      </c>
      <c r="J782" s="7" t="n"/>
    </row>
    <row r="783">
      <c r="A783" s="9" t="n"/>
      <c r="B783" s="7" t="n"/>
      <c r="C783" s="7" t="n"/>
      <c r="D783" s="7" t="n"/>
      <c r="E783" s="7" t="n"/>
      <c r="F783" s="8" t="n"/>
      <c r="G783" s="7" t="n"/>
      <c r="H783" s="7" t="n"/>
      <c r="I783" s="7">
        <f>IF(C783="","",IFERROR(IF(INDEX(원생!$H$2:$H$501,MATCH(계산!$A783,계산!$E$2:$E$501,0))="예","예",""),""))</f>
        <v/>
      </c>
      <c r="J783" s="7" t="n"/>
    </row>
    <row r="784">
      <c r="A784" s="9" t="n"/>
      <c r="B784" s="7" t="n"/>
      <c r="C784" s="7" t="n"/>
      <c r="D784" s="7" t="n"/>
      <c r="E784" s="7" t="n"/>
      <c r="F784" s="8" t="n"/>
      <c r="G784" s="7" t="n"/>
      <c r="H784" s="7" t="n"/>
      <c r="I784" s="7">
        <f>IF(C784="","",IFERROR(IF(INDEX(원생!$H$2:$H$501,MATCH(계산!$A784,계산!$E$2:$E$501,0))="예","예",""),""))</f>
        <v/>
      </c>
      <c r="J784" s="7" t="n"/>
    </row>
    <row r="785">
      <c r="A785" s="9" t="n"/>
      <c r="B785" s="7" t="n"/>
      <c r="C785" s="7" t="n"/>
      <c r="D785" s="7" t="n"/>
      <c r="E785" s="7" t="n"/>
      <c r="F785" s="8" t="n"/>
      <c r="G785" s="7" t="n"/>
      <c r="H785" s="7" t="n"/>
      <c r="I785" s="7">
        <f>IF(C785="","",IFERROR(IF(INDEX(원생!$H$2:$H$501,MATCH(계산!$A785,계산!$E$2:$E$501,0))="예","예",""),""))</f>
        <v/>
      </c>
      <c r="J785" s="7" t="n"/>
    </row>
    <row r="786">
      <c r="A786" s="9" t="n"/>
      <c r="B786" s="7" t="n"/>
      <c r="C786" s="7" t="n"/>
      <c r="D786" s="7" t="n"/>
      <c r="E786" s="7" t="n"/>
      <c r="F786" s="8" t="n"/>
      <c r="G786" s="7" t="n"/>
      <c r="H786" s="7" t="n"/>
      <c r="I786" s="7">
        <f>IF(C786="","",IFERROR(IF(INDEX(원생!$H$2:$H$501,MATCH(계산!$A786,계산!$E$2:$E$501,0))="예","예",""),""))</f>
        <v/>
      </c>
      <c r="J786" s="7" t="n"/>
    </row>
    <row r="787">
      <c r="A787" s="9" t="n"/>
      <c r="B787" s="7" t="n"/>
      <c r="C787" s="7" t="n"/>
      <c r="D787" s="7" t="n"/>
      <c r="E787" s="7" t="n"/>
      <c r="F787" s="8" t="n"/>
      <c r="G787" s="7" t="n"/>
      <c r="H787" s="7" t="n"/>
      <c r="I787" s="7">
        <f>IF(C787="","",IFERROR(IF(INDEX(원생!$H$2:$H$501,MATCH(계산!$A787,계산!$E$2:$E$501,0))="예","예",""),""))</f>
        <v/>
      </c>
      <c r="J787" s="7" t="n"/>
    </row>
    <row r="788">
      <c r="A788" s="9" t="n"/>
      <c r="B788" s="7" t="n"/>
      <c r="C788" s="7" t="n"/>
      <c r="D788" s="7" t="n"/>
      <c r="E788" s="7" t="n"/>
      <c r="F788" s="8" t="n"/>
      <c r="G788" s="7" t="n"/>
      <c r="H788" s="7" t="n"/>
      <c r="I788" s="7">
        <f>IF(C788="","",IFERROR(IF(INDEX(원생!$H$2:$H$501,MATCH(계산!$A788,계산!$E$2:$E$501,0))="예","예",""),""))</f>
        <v/>
      </c>
      <c r="J788" s="7" t="n"/>
    </row>
    <row r="789">
      <c r="A789" s="9" t="n"/>
      <c r="B789" s="7" t="n"/>
      <c r="C789" s="7" t="n"/>
      <c r="D789" s="7" t="n"/>
      <c r="E789" s="7" t="n"/>
      <c r="F789" s="8" t="n"/>
      <c r="G789" s="7" t="n"/>
      <c r="H789" s="7" t="n"/>
      <c r="I789" s="7">
        <f>IF(C789="","",IFERROR(IF(INDEX(원생!$H$2:$H$501,MATCH(계산!$A789,계산!$E$2:$E$501,0))="예","예",""),""))</f>
        <v/>
      </c>
      <c r="J789" s="7" t="n"/>
    </row>
    <row r="790">
      <c r="A790" s="9" t="n"/>
      <c r="B790" s="7" t="n"/>
      <c r="C790" s="7" t="n"/>
      <c r="D790" s="7" t="n"/>
      <c r="E790" s="7" t="n"/>
      <c r="F790" s="8" t="n"/>
      <c r="G790" s="7" t="n"/>
      <c r="H790" s="7" t="n"/>
      <c r="I790" s="7">
        <f>IF(C790="","",IFERROR(IF(INDEX(원생!$H$2:$H$501,MATCH(계산!$A790,계산!$E$2:$E$501,0))="예","예",""),""))</f>
        <v/>
      </c>
      <c r="J790" s="7" t="n"/>
    </row>
    <row r="791">
      <c r="A791" s="9" t="n"/>
      <c r="B791" s="7" t="n"/>
      <c r="C791" s="7" t="n"/>
      <c r="D791" s="7" t="n"/>
      <c r="E791" s="7" t="n"/>
      <c r="F791" s="8" t="n"/>
      <c r="G791" s="7" t="n"/>
      <c r="H791" s="7" t="n"/>
      <c r="I791" s="7">
        <f>IF(C791="","",IFERROR(IF(INDEX(원생!$H$2:$H$501,MATCH(계산!$A791,계산!$E$2:$E$501,0))="예","예",""),""))</f>
        <v/>
      </c>
      <c r="J791" s="7" t="n"/>
    </row>
    <row r="792">
      <c r="A792" s="9" t="n"/>
      <c r="B792" s="7" t="n"/>
      <c r="C792" s="7" t="n"/>
      <c r="D792" s="7" t="n"/>
      <c r="E792" s="7" t="n"/>
      <c r="F792" s="8" t="n"/>
      <c r="G792" s="7" t="n"/>
      <c r="H792" s="7" t="n"/>
      <c r="I792" s="7">
        <f>IF(C792="","",IFERROR(IF(INDEX(원생!$H$2:$H$501,MATCH(계산!$A792,계산!$E$2:$E$501,0))="예","예",""),""))</f>
        <v/>
      </c>
      <c r="J792" s="7" t="n"/>
    </row>
    <row r="793">
      <c r="A793" s="9" t="n"/>
      <c r="B793" s="7" t="n"/>
      <c r="C793" s="7" t="n"/>
      <c r="D793" s="7" t="n"/>
      <c r="E793" s="7" t="n"/>
      <c r="F793" s="8" t="n"/>
      <c r="G793" s="7" t="n"/>
      <c r="H793" s="7" t="n"/>
      <c r="I793" s="7">
        <f>IF(C793="","",IFERROR(IF(INDEX(원생!$H$2:$H$501,MATCH(계산!$A793,계산!$E$2:$E$501,0))="예","예",""),""))</f>
        <v/>
      </c>
      <c r="J793" s="7" t="n"/>
    </row>
    <row r="794">
      <c r="A794" s="9" t="n"/>
      <c r="B794" s="7" t="n"/>
      <c r="C794" s="7" t="n"/>
      <c r="D794" s="7" t="n"/>
      <c r="E794" s="7" t="n"/>
      <c r="F794" s="8" t="n"/>
      <c r="G794" s="7" t="n"/>
      <c r="H794" s="7" t="n"/>
      <c r="I794" s="7">
        <f>IF(C794="","",IFERROR(IF(INDEX(원생!$H$2:$H$501,MATCH(계산!$A794,계산!$E$2:$E$501,0))="예","예",""),""))</f>
        <v/>
      </c>
      <c r="J794" s="7" t="n"/>
    </row>
    <row r="795">
      <c r="A795" s="9" t="n"/>
      <c r="B795" s="7" t="n"/>
      <c r="C795" s="7" t="n"/>
      <c r="D795" s="7" t="n"/>
      <c r="E795" s="7" t="n"/>
      <c r="F795" s="8" t="n"/>
      <c r="G795" s="7" t="n"/>
      <c r="H795" s="7" t="n"/>
      <c r="I795" s="7">
        <f>IF(C795="","",IFERROR(IF(INDEX(원생!$H$2:$H$501,MATCH(계산!$A795,계산!$E$2:$E$501,0))="예","예",""),""))</f>
        <v/>
      </c>
      <c r="J795" s="7" t="n"/>
    </row>
    <row r="796">
      <c r="A796" s="9" t="n"/>
      <c r="B796" s="7" t="n"/>
      <c r="C796" s="7" t="n"/>
      <c r="D796" s="7" t="n"/>
      <c r="E796" s="7" t="n"/>
      <c r="F796" s="8" t="n"/>
      <c r="G796" s="7" t="n"/>
      <c r="H796" s="7" t="n"/>
      <c r="I796" s="7">
        <f>IF(C796="","",IFERROR(IF(INDEX(원생!$H$2:$H$501,MATCH(계산!$A796,계산!$E$2:$E$501,0))="예","예",""),""))</f>
        <v/>
      </c>
      <c r="J796" s="7" t="n"/>
    </row>
    <row r="797">
      <c r="A797" s="9" t="n"/>
      <c r="B797" s="7" t="n"/>
      <c r="C797" s="7" t="n"/>
      <c r="D797" s="7" t="n"/>
      <c r="E797" s="7" t="n"/>
      <c r="F797" s="8" t="n"/>
      <c r="G797" s="7" t="n"/>
      <c r="H797" s="7" t="n"/>
      <c r="I797" s="7">
        <f>IF(C797="","",IFERROR(IF(INDEX(원생!$H$2:$H$501,MATCH(계산!$A797,계산!$E$2:$E$501,0))="예","예",""),""))</f>
        <v/>
      </c>
      <c r="J797" s="7" t="n"/>
    </row>
    <row r="798">
      <c r="A798" s="9" t="n"/>
      <c r="B798" s="7" t="n"/>
      <c r="C798" s="7" t="n"/>
      <c r="D798" s="7" t="n"/>
      <c r="E798" s="7" t="n"/>
      <c r="F798" s="8" t="n"/>
      <c r="G798" s="7" t="n"/>
      <c r="H798" s="7" t="n"/>
      <c r="I798" s="7">
        <f>IF(C798="","",IFERROR(IF(INDEX(원생!$H$2:$H$501,MATCH(계산!$A798,계산!$E$2:$E$501,0))="예","예",""),""))</f>
        <v/>
      </c>
      <c r="J798" s="7" t="n"/>
    </row>
    <row r="799">
      <c r="A799" s="9" t="n"/>
      <c r="B799" s="7" t="n"/>
      <c r="C799" s="7" t="n"/>
      <c r="D799" s="7" t="n"/>
      <c r="E799" s="7" t="n"/>
      <c r="F799" s="8" t="n"/>
      <c r="G799" s="7" t="n"/>
      <c r="H799" s="7" t="n"/>
      <c r="I799" s="7">
        <f>IF(C799="","",IFERROR(IF(INDEX(원생!$H$2:$H$501,MATCH(계산!$A799,계산!$E$2:$E$501,0))="예","예",""),""))</f>
        <v/>
      </c>
      <c r="J799" s="7" t="n"/>
    </row>
    <row r="800">
      <c r="A800" s="9" t="n"/>
      <c r="B800" s="7" t="n"/>
      <c r="C800" s="7" t="n"/>
      <c r="D800" s="7" t="n"/>
      <c r="E800" s="7" t="n"/>
      <c r="F800" s="8" t="n"/>
      <c r="G800" s="7" t="n"/>
      <c r="H800" s="7" t="n"/>
      <c r="I800" s="7">
        <f>IF(C800="","",IFERROR(IF(INDEX(원생!$H$2:$H$501,MATCH(계산!$A800,계산!$E$2:$E$501,0))="예","예",""),""))</f>
        <v/>
      </c>
      <c r="J800" s="7" t="n"/>
    </row>
    <row r="801">
      <c r="A801" s="9" t="n"/>
      <c r="B801" s="7" t="n"/>
      <c r="C801" s="7" t="n"/>
      <c r="D801" s="7" t="n"/>
      <c r="E801" s="7" t="n"/>
      <c r="F801" s="8" t="n"/>
      <c r="G801" s="7" t="n"/>
      <c r="H801" s="7" t="n"/>
      <c r="I801" s="7">
        <f>IF(C801="","",IFERROR(IF(INDEX(원생!$H$2:$H$501,MATCH(계산!$A801,계산!$E$2:$E$501,0))="예","예",""),""))</f>
        <v/>
      </c>
      <c r="J801" s="7" t="n"/>
    </row>
    <row r="802">
      <c r="A802" s="9" t="n"/>
      <c r="B802" s="7" t="n"/>
      <c r="C802" s="7" t="n"/>
      <c r="D802" s="7" t="n"/>
      <c r="E802" s="7" t="n"/>
      <c r="F802" s="8" t="n"/>
      <c r="G802" s="7" t="n"/>
      <c r="H802" s="7" t="n"/>
      <c r="I802" s="7">
        <f>IF(C802="","",IFERROR(IF(INDEX(원생!$H$2:$H$501,MATCH(계산!$A802,계산!$E$2:$E$501,0))="예","예",""),""))</f>
        <v/>
      </c>
      <c r="J802" s="7" t="n"/>
    </row>
    <row r="803">
      <c r="A803" s="9" t="n"/>
      <c r="B803" s="7" t="n"/>
      <c r="C803" s="7" t="n"/>
      <c r="D803" s="7" t="n"/>
      <c r="E803" s="7" t="n"/>
      <c r="F803" s="8" t="n"/>
      <c r="G803" s="7" t="n"/>
      <c r="H803" s="7" t="n"/>
      <c r="I803" s="7">
        <f>IF(C803="","",IFERROR(IF(INDEX(원생!$H$2:$H$501,MATCH(계산!$A803,계산!$E$2:$E$501,0))="예","예",""),""))</f>
        <v/>
      </c>
      <c r="J803" s="7" t="n"/>
    </row>
    <row r="804">
      <c r="A804" s="9" t="n"/>
      <c r="B804" s="7" t="n"/>
      <c r="C804" s="7" t="n"/>
      <c r="D804" s="7" t="n"/>
      <c r="E804" s="7" t="n"/>
      <c r="F804" s="8" t="n"/>
      <c r="G804" s="7" t="n"/>
      <c r="H804" s="7" t="n"/>
      <c r="I804" s="7">
        <f>IF(C804="","",IFERROR(IF(INDEX(원생!$H$2:$H$501,MATCH(계산!$A804,계산!$E$2:$E$501,0))="예","예",""),""))</f>
        <v/>
      </c>
      <c r="J804" s="7" t="n"/>
    </row>
    <row r="805">
      <c r="A805" s="9" t="n"/>
      <c r="B805" s="7" t="n"/>
      <c r="C805" s="7" t="n"/>
      <c r="D805" s="7" t="n"/>
      <c r="E805" s="7" t="n"/>
      <c r="F805" s="8" t="n"/>
      <c r="G805" s="7" t="n"/>
      <c r="H805" s="7" t="n"/>
      <c r="I805" s="7">
        <f>IF(C805="","",IFERROR(IF(INDEX(원생!$H$2:$H$501,MATCH(계산!$A805,계산!$E$2:$E$501,0))="예","예",""),""))</f>
        <v/>
      </c>
      <c r="J805" s="7" t="n"/>
    </row>
    <row r="806">
      <c r="A806" s="9" t="n"/>
      <c r="B806" s="7" t="n"/>
      <c r="C806" s="7" t="n"/>
      <c r="D806" s="7" t="n"/>
      <c r="E806" s="7" t="n"/>
      <c r="F806" s="8" t="n"/>
      <c r="G806" s="7" t="n"/>
      <c r="H806" s="7" t="n"/>
      <c r="I806" s="7">
        <f>IF(C806="","",IFERROR(IF(INDEX(원생!$H$2:$H$501,MATCH(계산!$A806,계산!$E$2:$E$501,0))="예","예",""),""))</f>
        <v/>
      </c>
      <c r="J806" s="7" t="n"/>
    </row>
    <row r="807">
      <c r="A807" s="9" t="n"/>
      <c r="B807" s="7" t="n"/>
      <c r="C807" s="7" t="n"/>
      <c r="D807" s="7" t="n"/>
      <c r="E807" s="7" t="n"/>
      <c r="F807" s="8" t="n"/>
      <c r="G807" s="7" t="n"/>
      <c r="H807" s="7" t="n"/>
      <c r="I807" s="7">
        <f>IF(C807="","",IFERROR(IF(INDEX(원생!$H$2:$H$501,MATCH(계산!$A807,계산!$E$2:$E$501,0))="예","예",""),""))</f>
        <v/>
      </c>
      <c r="J807" s="7" t="n"/>
    </row>
    <row r="808">
      <c r="A808" s="9" t="n"/>
      <c r="B808" s="7" t="n"/>
      <c r="C808" s="7" t="n"/>
      <c r="D808" s="7" t="n"/>
      <c r="E808" s="7" t="n"/>
      <c r="F808" s="8" t="n"/>
      <c r="G808" s="7" t="n"/>
      <c r="H808" s="7" t="n"/>
      <c r="I808" s="7">
        <f>IF(C808="","",IFERROR(IF(INDEX(원생!$H$2:$H$501,MATCH(계산!$A808,계산!$E$2:$E$501,0))="예","예",""),""))</f>
        <v/>
      </c>
      <c r="J808" s="7" t="n"/>
    </row>
    <row r="809">
      <c r="A809" s="9" t="n"/>
      <c r="B809" s="7" t="n"/>
      <c r="C809" s="7" t="n"/>
      <c r="D809" s="7" t="n"/>
      <c r="E809" s="7" t="n"/>
      <c r="F809" s="8" t="n"/>
      <c r="G809" s="7" t="n"/>
      <c r="H809" s="7" t="n"/>
      <c r="I809" s="7">
        <f>IF(C809="","",IFERROR(IF(INDEX(원생!$H$2:$H$501,MATCH(계산!$A809,계산!$E$2:$E$501,0))="예","예",""),""))</f>
        <v/>
      </c>
      <c r="J809" s="7" t="n"/>
    </row>
    <row r="810">
      <c r="A810" s="9" t="n"/>
      <c r="B810" s="7" t="n"/>
      <c r="C810" s="7" t="n"/>
      <c r="D810" s="7" t="n"/>
      <c r="E810" s="7" t="n"/>
      <c r="F810" s="8" t="n"/>
      <c r="G810" s="7" t="n"/>
      <c r="H810" s="7" t="n"/>
      <c r="I810" s="7">
        <f>IF(C810="","",IFERROR(IF(INDEX(원생!$H$2:$H$501,MATCH(계산!$A810,계산!$E$2:$E$501,0))="예","예",""),""))</f>
        <v/>
      </c>
      <c r="J810" s="7" t="n"/>
    </row>
    <row r="811">
      <c r="A811" s="9" t="n"/>
      <c r="B811" s="7" t="n"/>
      <c r="C811" s="7" t="n"/>
      <c r="D811" s="7" t="n"/>
      <c r="E811" s="7" t="n"/>
      <c r="F811" s="8" t="n"/>
      <c r="G811" s="7" t="n"/>
      <c r="H811" s="7" t="n"/>
      <c r="I811" s="7">
        <f>IF(C811="","",IFERROR(IF(INDEX(원생!$H$2:$H$501,MATCH(계산!$A811,계산!$E$2:$E$501,0))="예","예",""),""))</f>
        <v/>
      </c>
      <c r="J811" s="7" t="n"/>
    </row>
    <row r="812">
      <c r="A812" s="9" t="n"/>
      <c r="B812" s="7" t="n"/>
      <c r="C812" s="7" t="n"/>
      <c r="D812" s="7" t="n"/>
      <c r="E812" s="7" t="n"/>
      <c r="F812" s="8" t="n"/>
      <c r="G812" s="7" t="n"/>
      <c r="H812" s="7" t="n"/>
      <c r="I812" s="7">
        <f>IF(C812="","",IFERROR(IF(INDEX(원생!$H$2:$H$501,MATCH(계산!$A812,계산!$E$2:$E$501,0))="예","예",""),""))</f>
        <v/>
      </c>
      <c r="J812" s="7" t="n"/>
    </row>
    <row r="813">
      <c r="A813" s="9" t="n"/>
      <c r="B813" s="7" t="n"/>
      <c r="C813" s="7" t="n"/>
      <c r="D813" s="7" t="n"/>
      <c r="E813" s="7" t="n"/>
      <c r="F813" s="8" t="n"/>
      <c r="G813" s="7" t="n"/>
      <c r="H813" s="7" t="n"/>
      <c r="I813" s="7">
        <f>IF(C813="","",IFERROR(IF(INDEX(원생!$H$2:$H$501,MATCH(계산!$A813,계산!$E$2:$E$501,0))="예","예",""),""))</f>
        <v/>
      </c>
      <c r="J813" s="7" t="n"/>
    </row>
    <row r="814">
      <c r="A814" s="9" t="n"/>
      <c r="B814" s="7" t="n"/>
      <c r="C814" s="7" t="n"/>
      <c r="D814" s="7" t="n"/>
      <c r="E814" s="7" t="n"/>
      <c r="F814" s="8" t="n"/>
      <c r="G814" s="7" t="n"/>
      <c r="H814" s="7" t="n"/>
      <c r="I814" s="7">
        <f>IF(C814="","",IFERROR(IF(INDEX(원생!$H$2:$H$501,MATCH(계산!$A814,계산!$E$2:$E$501,0))="예","예",""),""))</f>
        <v/>
      </c>
      <c r="J814" s="7" t="n"/>
    </row>
    <row r="815">
      <c r="A815" s="9" t="n"/>
      <c r="B815" s="7" t="n"/>
      <c r="C815" s="7" t="n"/>
      <c r="D815" s="7" t="n"/>
      <c r="E815" s="7" t="n"/>
      <c r="F815" s="8" t="n"/>
      <c r="G815" s="7" t="n"/>
      <c r="H815" s="7" t="n"/>
      <c r="I815" s="7">
        <f>IF(C815="","",IFERROR(IF(INDEX(원생!$H$2:$H$501,MATCH(계산!$A815,계산!$E$2:$E$501,0))="예","예",""),""))</f>
        <v/>
      </c>
      <c r="J815" s="7" t="n"/>
    </row>
    <row r="816">
      <c r="A816" s="9" t="n"/>
      <c r="B816" s="7" t="n"/>
      <c r="C816" s="7" t="n"/>
      <c r="D816" s="7" t="n"/>
      <c r="E816" s="7" t="n"/>
      <c r="F816" s="8" t="n"/>
      <c r="G816" s="7" t="n"/>
      <c r="H816" s="7" t="n"/>
      <c r="I816" s="7">
        <f>IF(C816="","",IFERROR(IF(INDEX(원생!$H$2:$H$501,MATCH(계산!$A816,계산!$E$2:$E$501,0))="예","예",""),""))</f>
        <v/>
      </c>
      <c r="J816" s="7" t="n"/>
    </row>
    <row r="817">
      <c r="A817" s="9" t="n"/>
      <c r="B817" s="7" t="n"/>
      <c r="C817" s="7" t="n"/>
      <c r="D817" s="7" t="n"/>
      <c r="E817" s="7" t="n"/>
      <c r="F817" s="8" t="n"/>
      <c r="G817" s="7" t="n"/>
      <c r="H817" s="7" t="n"/>
      <c r="I817" s="7">
        <f>IF(C817="","",IFERROR(IF(INDEX(원생!$H$2:$H$501,MATCH(계산!$A817,계산!$E$2:$E$501,0))="예","예",""),""))</f>
        <v/>
      </c>
      <c r="J817" s="7" t="n"/>
    </row>
    <row r="818">
      <c r="A818" s="9" t="n"/>
      <c r="B818" s="7" t="n"/>
      <c r="C818" s="7" t="n"/>
      <c r="D818" s="7" t="n"/>
      <c r="E818" s="7" t="n"/>
      <c r="F818" s="8" t="n"/>
      <c r="G818" s="7" t="n"/>
      <c r="H818" s="7" t="n"/>
      <c r="I818" s="7">
        <f>IF(C818="","",IFERROR(IF(INDEX(원생!$H$2:$H$501,MATCH(계산!$A818,계산!$E$2:$E$501,0))="예","예",""),""))</f>
        <v/>
      </c>
      <c r="J818" s="7" t="n"/>
    </row>
    <row r="819">
      <c r="A819" s="9" t="n"/>
      <c r="B819" s="7" t="n"/>
      <c r="C819" s="7" t="n"/>
      <c r="D819" s="7" t="n"/>
      <c r="E819" s="7" t="n"/>
      <c r="F819" s="8" t="n"/>
      <c r="G819" s="7" t="n"/>
      <c r="H819" s="7" t="n"/>
      <c r="I819" s="7">
        <f>IF(C819="","",IFERROR(IF(INDEX(원생!$H$2:$H$501,MATCH(계산!$A819,계산!$E$2:$E$501,0))="예","예",""),""))</f>
        <v/>
      </c>
      <c r="J819" s="7" t="n"/>
    </row>
    <row r="820">
      <c r="A820" s="9" t="n"/>
      <c r="B820" s="7" t="n"/>
      <c r="C820" s="7" t="n"/>
      <c r="D820" s="7" t="n"/>
      <c r="E820" s="7" t="n"/>
      <c r="F820" s="8" t="n"/>
      <c r="G820" s="7" t="n"/>
      <c r="H820" s="7" t="n"/>
      <c r="I820" s="7">
        <f>IF(C820="","",IFERROR(IF(INDEX(원생!$H$2:$H$501,MATCH(계산!$A820,계산!$E$2:$E$501,0))="예","예",""),""))</f>
        <v/>
      </c>
      <c r="J820" s="7" t="n"/>
    </row>
    <row r="821">
      <c r="A821" s="9" t="n"/>
      <c r="B821" s="7" t="n"/>
      <c r="C821" s="7" t="n"/>
      <c r="D821" s="7" t="n"/>
      <c r="E821" s="7" t="n"/>
      <c r="F821" s="8" t="n"/>
      <c r="G821" s="7" t="n"/>
      <c r="H821" s="7" t="n"/>
      <c r="I821" s="7">
        <f>IF(C821="","",IFERROR(IF(INDEX(원생!$H$2:$H$501,MATCH(계산!$A821,계산!$E$2:$E$501,0))="예","예",""),""))</f>
        <v/>
      </c>
      <c r="J821" s="7" t="n"/>
    </row>
    <row r="822">
      <c r="A822" s="9" t="n"/>
      <c r="B822" s="7" t="n"/>
      <c r="C822" s="7" t="n"/>
      <c r="D822" s="7" t="n"/>
      <c r="E822" s="7" t="n"/>
      <c r="F822" s="8" t="n"/>
      <c r="G822" s="7" t="n"/>
      <c r="H822" s="7" t="n"/>
      <c r="I822" s="7">
        <f>IF(C822="","",IFERROR(IF(INDEX(원생!$H$2:$H$501,MATCH(계산!$A822,계산!$E$2:$E$501,0))="예","예",""),""))</f>
        <v/>
      </c>
      <c r="J822" s="7" t="n"/>
    </row>
    <row r="823">
      <c r="A823" s="9" t="n"/>
      <c r="B823" s="7" t="n"/>
      <c r="C823" s="7" t="n"/>
      <c r="D823" s="7" t="n"/>
      <c r="E823" s="7" t="n"/>
      <c r="F823" s="8" t="n"/>
      <c r="G823" s="7" t="n"/>
      <c r="H823" s="7" t="n"/>
      <c r="I823" s="7">
        <f>IF(C823="","",IFERROR(IF(INDEX(원생!$H$2:$H$501,MATCH(계산!$A823,계산!$E$2:$E$501,0))="예","예",""),""))</f>
        <v/>
      </c>
      <c r="J823" s="7" t="n"/>
    </row>
    <row r="824">
      <c r="A824" s="9" t="n"/>
      <c r="B824" s="7" t="n"/>
      <c r="C824" s="7" t="n"/>
      <c r="D824" s="7" t="n"/>
      <c r="E824" s="7" t="n"/>
      <c r="F824" s="8" t="n"/>
      <c r="G824" s="7" t="n"/>
      <c r="H824" s="7" t="n"/>
      <c r="I824" s="7">
        <f>IF(C824="","",IFERROR(IF(INDEX(원생!$H$2:$H$501,MATCH(계산!$A824,계산!$E$2:$E$501,0))="예","예",""),""))</f>
        <v/>
      </c>
      <c r="J824" s="7" t="n"/>
    </row>
    <row r="825">
      <c r="A825" s="9" t="n"/>
      <c r="B825" s="7" t="n"/>
      <c r="C825" s="7" t="n"/>
      <c r="D825" s="7" t="n"/>
      <c r="E825" s="7" t="n"/>
      <c r="F825" s="8" t="n"/>
      <c r="G825" s="7" t="n"/>
      <c r="H825" s="7" t="n"/>
      <c r="I825" s="7">
        <f>IF(C825="","",IFERROR(IF(INDEX(원생!$H$2:$H$501,MATCH(계산!$A825,계산!$E$2:$E$501,0))="예","예",""),""))</f>
        <v/>
      </c>
      <c r="J825" s="7" t="n"/>
    </row>
    <row r="826">
      <c r="A826" s="9" t="n"/>
      <c r="B826" s="7" t="n"/>
      <c r="C826" s="7" t="n"/>
      <c r="D826" s="7" t="n"/>
      <c r="E826" s="7" t="n"/>
      <c r="F826" s="8" t="n"/>
      <c r="G826" s="7" t="n"/>
      <c r="H826" s="7" t="n"/>
      <c r="I826" s="7">
        <f>IF(C826="","",IFERROR(IF(INDEX(원생!$H$2:$H$501,MATCH(계산!$A826,계산!$E$2:$E$501,0))="예","예",""),""))</f>
        <v/>
      </c>
      <c r="J826" s="7" t="n"/>
    </row>
    <row r="827">
      <c r="A827" s="9" t="n"/>
      <c r="B827" s="7" t="n"/>
      <c r="C827" s="7" t="n"/>
      <c r="D827" s="7" t="n"/>
      <c r="E827" s="7" t="n"/>
      <c r="F827" s="8" t="n"/>
      <c r="G827" s="7" t="n"/>
      <c r="H827" s="7" t="n"/>
      <c r="I827" s="7">
        <f>IF(C827="","",IFERROR(IF(INDEX(원생!$H$2:$H$501,MATCH(계산!$A827,계산!$E$2:$E$501,0))="예","예",""),""))</f>
        <v/>
      </c>
      <c r="J827" s="7" t="n"/>
    </row>
    <row r="828">
      <c r="A828" s="9" t="n"/>
      <c r="B828" s="7" t="n"/>
      <c r="C828" s="7" t="n"/>
      <c r="D828" s="7" t="n"/>
      <c r="E828" s="7" t="n"/>
      <c r="F828" s="8" t="n"/>
      <c r="G828" s="7" t="n"/>
      <c r="H828" s="7" t="n"/>
      <c r="I828" s="7">
        <f>IF(C828="","",IFERROR(IF(INDEX(원생!$H$2:$H$501,MATCH(계산!$A828,계산!$E$2:$E$501,0))="예","예",""),""))</f>
        <v/>
      </c>
      <c r="J828" s="7" t="n"/>
    </row>
    <row r="829">
      <c r="A829" s="9" t="n"/>
      <c r="B829" s="7" t="n"/>
      <c r="C829" s="7" t="n"/>
      <c r="D829" s="7" t="n"/>
      <c r="E829" s="7" t="n"/>
      <c r="F829" s="8" t="n"/>
      <c r="G829" s="7" t="n"/>
      <c r="H829" s="7" t="n"/>
      <c r="I829" s="7">
        <f>IF(C829="","",IFERROR(IF(INDEX(원생!$H$2:$H$501,MATCH(계산!$A829,계산!$E$2:$E$501,0))="예","예",""),""))</f>
        <v/>
      </c>
      <c r="J829" s="7" t="n"/>
    </row>
    <row r="830">
      <c r="A830" s="9" t="n"/>
      <c r="B830" s="7" t="n"/>
      <c r="C830" s="7" t="n"/>
      <c r="D830" s="7" t="n"/>
      <c r="E830" s="7" t="n"/>
      <c r="F830" s="8" t="n"/>
      <c r="G830" s="7" t="n"/>
      <c r="H830" s="7" t="n"/>
      <c r="I830" s="7">
        <f>IF(C830="","",IFERROR(IF(INDEX(원생!$H$2:$H$501,MATCH(계산!$A830,계산!$E$2:$E$501,0))="예","예",""),""))</f>
        <v/>
      </c>
      <c r="J830" s="7" t="n"/>
    </row>
    <row r="831">
      <c r="A831" s="9" t="n"/>
      <c r="B831" s="7" t="n"/>
      <c r="C831" s="7" t="n"/>
      <c r="D831" s="7" t="n"/>
      <c r="E831" s="7" t="n"/>
      <c r="F831" s="8" t="n"/>
      <c r="G831" s="7" t="n"/>
      <c r="H831" s="7" t="n"/>
      <c r="I831" s="7">
        <f>IF(C831="","",IFERROR(IF(INDEX(원생!$H$2:$H$501,MATCH(계산!$A831,계산!$E$2:$E$501,0))="예","예",""),""))</f>
        <v/>
      </c>
      <c r="J831" s="7" t="n"/>
    </row>
    <row r="832">
      <c r="A832" s="9" t="n"/>
      <c r="B832" s="7" t="n"/>
      <c r="C832" s="7" t="n"/>
      <c r="D832" s="7" t="n"/>
      <c r="E832" s="7" t="n"/>
      <c r="F832" s="8" t="n"/>
      <c r="G832" s="7" t="n"/>
      <c r="H832" s="7" t="n"/>
      <c r="I832" s="7">
        <f>IF(C832="","",IFERROR(IF(INDEX(원생!$H$2:$H$501,MATCH(계산!$A832,계산!$E$2:$E$501,0))="예","예",""),""))</f>
        <v/>
      </c>
      <c r="J832" s="7" t="n"/>
    </row>
    <row r="833">
      <c r="A833" s="9" t="n"/>
      <c r="B833" s="7" t="n"/>
      <c r="C833" s="7" t="n"/>
      <c r="D833" s="7" t="n"/>
      <c r="E833" s="7" t="n"/>
      <c r="F833" s="8" t="n"/>
      <c r="G833" s="7" t="n"/>
      <c r="H833" s="7" t="n"/>
      <c r="I833" s="7">
        <f>IF(C833="","",IFERROR(IF(INDEX(원생!$H$2:$H$501,MATCH(계산!$A833,계산!$E$2:$E$501,0))="예","예",""),""))</f>
        <v/>
      </c>
      <c r="J833" s="7" t="n"/>
    </row>
    <row r="834">
      <c r="A834" s="9" t="n"/>
      <c r="B834" s="7" t="n"/>
      <c r="C834" s="7" t="n"/>
      <c r="D834" s="7" t="n"/>
      <c r="E834" s="7" t="n"/>
      <c r="F834" s="8" t="n"/>
      <c r="G834" s="7" t="n"/>
      <c r="H834" s="7" t="n"/>
      <c r="I834" s="7">
        <f>IF(C834="","",IFERROR(IF(INDEX(원생!$H$2:$H$501,MATCH(계산!$A834,계산!$E$2:$E$501,0))="예","예",""),""))</f>
        <v/>
      </c>
      <c r="J834" s="7" t="n"/>
    </row>
    <row r="835">
      <c r="A835" s="9" t="n"/>
      <c r="B835" s="7" t="n"/>
      <c r="C835" s="7" t="n"/>
      <c r="D835" s="7" t="n"/>
      <c r="E835" s="7" t="n"/>
      <c r="F835" s="8" t="n"/>
      <c r="G835" s="7" t="n"/>
      <c r="H835" s="7" t="n"/>
      <c r="I835" s="7">
        <f>IF(C835="","",IFERROR(IF(INDEX(원생!$H$2:$H$501,MATCH(계산!$A835,계산!$E$2:$E$501,0))="예","예",""),""))</f>
        <v/>
      </c>
      <c r="J835" s="7" t="n"/>
    </row>
    <row r="836">
      <c r="A836" s="9" t="n"/>
      <c r="B836" s="7" t="n"/>
      <c r="C836" s="7" t="n"/>
      <c r="D836" s="7" t="n"/>
      <c r="E836" s="7" t="n"/>
      <c r="F836" s="8" t="n"/>
      <c r="G836" s="7" t="n"/>
      <c r="H836" s="7" t="n"/>
      <c r="I836" s="7">
        <f>IF(C836="","",IFERROR(IF(INDEX(원생!$H$2:$H$501,MATCH(계산!$A836,계산!$E$2:$E$501,0))="예","예",""),""))</f>
        <v/>
      </c>
      <c r="J836" s="7" t="n"/>
    </row>
    <row r="837">
      <c r="A837" s="9" t="n"/>
      <c r="B837" s="7" t="n"/>
      <c r="C837" s="7" t="n"/>
      <c r="D837" s="7" t="n"/>
      <c r="E837" s="7" t="n"/>
      <c r="F837" s="8" t="n"/>
      <c r="G837" s="7" t="n"/>
      <c r="H837" s="7" t="n"/>
      <c r="I837" s="7">
        <f>IF(C837="","",IFERROR(IF(INDEX(원생!$H$2:$H$501,MATCH(계산!$A837,계산!$E$2:$E$501,0))="예","예",""),""))</f>
        <v/>
      </c>
      <c r="J837" s="7" t="n"/>
    </row>
    <row r="838">
      <c r="A838" s="9" t="n"/>
      <c r="B838" s="7" t="n"/>
      <c r="C838" s="7" t="n"/>
      <c r="D838" s="7" t="n"/>
      <c r="E838" s="7" t="n"/>
      <c r="F838" s="8" t="n"/>
      <c r="G838" s="7" t="n"/>
      <c r="H838" s="7" t="n"/>
      <c r="I838" s="7">
        <f>IF(C838="","",IFERROR(IF(INDEX(원생!$H$2:$H$501,MATCH(계산!$A838,계산!$E$2:$E$501,0))="예","예",""),""))</f>
        <v/>
      </c>
      <c r="J838" s="7" t="n"/>
    </row>
    <row r="839">
      <c r="A839" s="9" t="n"/>
      <c r="B839" s="7" t="n"/>
      <c r="C839" s="7" t="n"/>
      <c r="D839" s="7" t="n"/>
      <c r="E839" s="7" t="n"/>
      <c r="F839" s="8" t="n"/>
      <c r="G839" s="7" t="n"/>
      <c r="H839" s="7" t="n"/>
      <c r="I839" s="7">
        <f>IF(C839="","",IFERROR(IF(INDEX(원생!$H$2:$H$501,MATCH(계산!$A839,계산!$E$2:$E$501,0))="예","예",""),""))</f>
        <v/>
      </c>
      <c r="J839" s="7" t="n"/>
    </row>
    <row r="840">
      <c r="A840" s="9" t="n"/>
      <c r="B840" s="7" t="n"/>
      <c r="C840" s="7" t="n"/>
      <c r="D840" s="7" t="n"/>
      <c r="E840" s="7" t="n"/>
      <c r="F840" s="8" t="n"/>
      <c r="G840" s="7" t="n"/>
      <c r="H840" s="7" t="n"/>
      <c r="I840" s="7">
        <f>IF(C840="","",IFERROR(IF(INDEX(원생!$H$2:$H$501,MATCH(계산!$A840,계산!$E$2:$E$501,0))="예","예",""),""))</f>
        <v/>
      </c>
      <c r="J840" s="7" t="n"/>
    </row>
    <row r="841">
      <c r="A841" s="9" t="n"/>
      <c r="B841" s="7" t="n"/>
      <c r="C841" s="7" t="n"/>
      <c r="D841" s="7" t="n"/>
      <c r="E841" s="7" t="n"/>
      <c r="F841" s="8" t="n"/>
      <c r="G841" s="7" t="n"/>
      <c r="H841" s="7" t="n"/>
      <c r="I841" s="7">
        <f>IF(C841="","",IFERROR(IF(INDEX(원생!$H$2:$H$501,MATCH(계산!$A841,계산!$E$2:$E$501,0))="예","예",""),""))</f>
        <v/>
      </c>
      <c r="J841" s="7" t="n"/>
    </row>
    <row r="842">
      <c r="A842" s="9" t="n"/>
      <c r="B842" s="7" t="n"/>
      <c r="C842" s="7" t="n"/>
      <c r="D842" s="7" t="n"/>
      <c r="E842" s="7" t="n"/>
      <c r="F842" s="8" t="n"/>
      <c r="G842" s="7" t="n"/>
      <c r="H842" s="7" t="n"/>
      <c r="I842" s="7">
        <f>IF(C842="","",IFERROR(IF(INDEX(원생!$H$2:$H$501,MATCH(계산!$A842,계산!$E$2:$E$501,0))="예","예",""),""))</f>
        <v/>
      </c>
      <c r="J842" s="7" t="n"/>
    </row>
    <row r="843">
      <c r="A843" s="9" t="n"/>
      <c r="B843" s="7" t="n"/>
      <c r="C843" s="7" t="n"/>
      <c r="D843" s="7" t="n"/>
      <c r="E843" s="7" t="n"/>
      <c r="F843" s="8" t="n"/>
      <c r="G843" s="7" t="n"/>
      <c r="H843" s="7" t="n"/>
      <c r="I843" s="7">
        <f>IF(C843="","",IFERROR(IF(INDEX(원생!$H$2:$H$501,MATCH(계산!$A843,계산!$E$2:$E$501,0))="예","예",""),""))</f>
        <v/>
      </c>
      <c r="J843" s="7" t="n"/>
    </row>
    <row r="844">
      <c r="A844" s="9" t="n"/>
      <c r="B844" s="7" t="n"/>
      <c r="C844" s="7" t="n"/>
      <c r="D844" s="7" t="n"/>
      <c r="E844" s="7" t="n"/>
      <c r="F844" s="8" t="n"/>
      <c r="G844" s="7" t="n"/>
      <c r="H844" s="7" t="n"/>
      <c r="I844" s="7">
        <f>IF(C844="","",IFERROR(IF(INDEX(원생!$H$2:$H$501,MATCH(계산!$A844,계산!$E$2:$E$501,0))="예","예",""),""))</f>
        <v/>
      </c>
      <c r="J844" s="7" t="n"/>
    </row>
    <row r="845">
      <c r="A845" s="9" t="n"/>
      <c r="B845" s="7" t="n"/>
      <c r="C845" s="7" t="n"/>
      <c r="D845" s="7" t="n"/>
      <c r="E845" s="7" t="n"/>
      <c r="F845" s="8" t="n"/>
      <c r="G845" s="7" t="n"/>
      <c r="H845" s="7" t="n"/>
      <c r="I845" s="7">
        <f>IF(C845="","",IFERROR(IF(INDEX(원생!$H$2:$H$501,MATCH(계산!$A845,계산!$E$2:$E$501,0))="예","예",""),""))</f>
        <v/>
      </c>
      <c r="J845" s="7" t="n"/>
    </row>
    <row r="846">
      <c r="A846" s="9" t="n"/>
      <c r="B846" s="7" t="n"/>
      <c r="C846" s="7" t="n"/>
      <c r="D846" s="7" t="n"/>
      <c r="E846" s="7" t="n"/>
      <c r="F846" s="8" t="n"/>
      <c r="G846" s="7" t="n"/>
      <c r="H846" s="7" t="n"/>
      <c r="I846" s="7">
        <f>IF(C846="","",IFERROR(IF(INDEX(원생!$H$2:$H$501,MATCH(계산!$A846,계산!$E$2:$E$501,0))="예","예",""),""))</f>
        <v/>
      </c>
      <c r="J846" s="7" t="n"/>
    </row>
    <row r="847">
      <c r="A847" s="9" t="n"/>
      <c r="B847" s="7" t="n"/>
      <c r="C847" s="7" t="n"/>
      <c r="D847" s="7" t="n"/>
      <c r="E847" s="7" t="n"/>
      <c r="F847" s="8" t="n"/>
      <c r="G847" s="7" t="n"/>
      <c r="H847" s="7" t="n"/>
      <c r="I847" s="7">
        <f>IF(C847="","",IFERROR(IF(INDEX(원생!$H$2:$H$501,MATCH(계산!$A847,계산!$E$2:$E$501,0))="예","예",""),""))</f>
        <v/>
      </c>
      <c r="J847" s="7" t="n"/>
    </row>
    <row r="848">
      <c r="A848" s="9" t="n"/>
      <c r="B848" s="7" t="n"/>
      <c r="C848" s="7" t="n"/>
      <c r="D848" s="7" t="n"/>
      <c r="E848" s="7" t="n"/>
      <c r="F848" s="8" t="n"/>
      <c r="G848" s="7" t="n"/>
      <c r="H848" s="7" t="n"/>
      <c r="I848" s="7">
        <f>IF(C848="","",IFERROR(IF(INDEX(원생!$H$2:$H$501,MATCH(계산!$A848,계산!$E$2:$E$501,0))="예","예",""),""))</f>
        <v/>
      </c>
      <c r="J848" s="7" t="n"/>
    </row>
    <row r="849">
      <c r="A849" s="9" t="n"/>
      <c r="B849" s="7" t="n"/>
      <c r="C849" s="7" t="n"/>
      <c r="D849" s="7" t="n"/>
      <c r="E849" s="7" t="n"/>
      <c r="F849" s="8" t="n"/>
      <c r="G849" s="7" t="n"/>
      <c r="H849" s="7" t="n"/>
      <c r="I849" s="7">
        <f>IF(C849="","",IFERROR(IF(INDEX(원생!$H$2:$H$501,MATCH(계산!$A849,계산!$E$2:$E$501,0))="예","예",""),""))</f>
        <v/>
      </c>
      <c r="J849" s="7" t="n"/>
    </row>
    <row r="850">
      <c r="A850" s="9" t="n"/>
      <c r="B850" s="7" t="n"/>
      <c r="C850" s="7" t="n"/>
      <c r="D850" s="7" t="n"/>
      <c r="E850" s="7" t="n"/>
      <c r="F850" s="8" t="n"/>
      <c r="G850" s="7" t="n"/>
      <c r="H850" s="7" t="n"/>
      <c r="I850" s="7">
        <f>IF(C850="","",IFERROR(IF(INDEX(원생!$H$2:$H$501,MATCH(계산!$A850,계산!$E$2:$E$501,0))="예","예",""),""))</f>
        <v/>
      </c>
      <c r="J850" s="7" t="n"/>
    </row>
    <row r="851">
      <c r="A851" s="9" t="n"/>
      <c r="B851" s="7" t="n"/>
      <c r="C851" s="7" t="n"/>
      <c r="D851" s="7" t="n"/>
      <c r="E851" s="7" t="n"/>
      <c r="F851" s="8" t="n"/>
      <c r="G851" s="7" t="n"/>
      <c r="H851" s="7" t="n"/>
      <c r="I851" s="7">
        <f>IF(C851="","",IFERROR(IF(INDEX(원생!$H$2:$H$501,MATCH(계산!$A851,계산!$E$2:$E$501,0))="예","예",""),""))</f>
        <v/>
      </c>
      <c r="J851" s="7" t="n"/>
    </row>
    <row r="852">
      <c r="A852" s="9" t="n"/>
      <c r="B852" s="7" t="n"/>
      <c r="C852" s="7" t="n"/>
      <c r="D852" s="7" t="n"/>
      <c r="E852" s="7" t="n"/>
      <c r="F852" s="8" t="n"/>
      <c r="G852" s="7" t="n"/>
      <c r="H852" s="7" t="n"/>
      <c r="I852" s="7">
        <f>IF(C852="","",IFERROR(IF(INDEX(원생!$H$2:$H$501,MATCH(계산!$A852,계산!$E$2:$E$501,0))="예","예",""),""))</f>
        <v/>
      </c>
      <c r="J852" s="7" t="n"/>
    </row>
    <row r="853">
      <c r="A853" s="9" t="n"/>
      <c r="B853" s="7" t="n"/>
      <c r="C853" s="7" t="n"/>
      <c r="D853" s="7" t="n"/>
      <c r="E853" s="7" t="n"/>
      <c r="F853" s="8" t="n"/>
      <c r="G853" s="7" t="n"/>
      <c r="H853" s="7" t="n"/>
      <c r="I853" s="7">
        <f>IF(C853="","",IFERROR(IF(INDEX(원생!$H$2:$H$501,MATCH(계산!$A853,계산!$E$2:$E$501,0))="예","예",""),""))</f>
        <v/>
      </c>
      <c r="J853" s="7" t="n"/>
    </row>
    <row r="854">
      <c r="A854" s="9" t="n"/>
      <c r="B854" s="7" t="n"/>
      <c r="C854" s="7" t="n"/>
      <c r="D854" s="7" t="n"/>
      <c r="E854" s="7" t="n"/>
      <c r="F854" s="8" t="n"/>
      <c r="G854" s="7" t="n"/>
      <c r="H854" s="7" t="n"/>
      <c r="I854" s="7">
        <f>IF(C854="","",IFERROR(IF(INDEX(원생!$H$2:$H$501,MATCH(계산!$A854,계산!$E$2:$E$501,0))="예","예",""),""))</f>
        <v/>
      </c>
      <c r="J854" s="7" t="n"/>
    </row>
    <row r="855">
      <c r="A855" s="9" t="n"/>
      <c r="B855" s="7" t="n"/>
      <c r="C855" s="7" t="n"/>
      <c r="D855" s="7" t="n"/>
      <c r="E855" s="7" t="n"/>
      <c r="F855" s="8" t="n"/>
      <c r="G855" s="7" t="n"/>
      <c r="H855" s="7" t="n"/>
      <c r="I855" s="7">
        <f>IF(C855="","",IFERROR(IF(INDEX(원생!$H$2:$H$501,MATCH(계산!$A855,계산!$E$2:$E$501,0))="예","예",""),""))</f>
        <v/>
      </c>
      <c r="J855" s="7" t="n"/>
    </row>
    <row r="856">
      <c r="A856" s="9" t="n"/>
      <c r="B856" s="7" t="n"/>
      <c r="C856" s="7" t="n"/>
      <c r="D856" s="7" t="n"/>
      <c r="E856" s="7" t="n"/>
      <c r="F856" s="8" t="n"/>
      <c r="G856" s="7" t="n"/>
      <c r="H856" s="7" t="n"/>
      <c r="I856" s="7">
        <f>IF(C856="","",IFERROR(IF(INDEX(원생!$H$2:$H$501,MATCH(계산!$A856,계산!$E$2:$E$501,0))="예","예",""),""))</f>
        <v/>
      </c>
      <c r="J856" s="7" t="n"/>
    </row>
    <row r="857">
      <c r="A857" s="9" t="n"/>
      <c r="B857" s="7" t="n"/>
      <c r="C857" s="7" t="n"/>
      <c r="D857" s="7" t="n"/>
      <c r="E857" s="7" t="n"/>
      <c r="F857" s="8" t="n"/>
      <c r="G857" s="7" t="n"/>
      <c r="H857" s="7" t="n"/>
      <c r="I857" s="7">
        <f>IF(C857="","",IFERROR(IF(INDEX(원생!$H$2:$H$501,MATCH(계산!$A857,계산!$E$2:$E$501,0))="예","예",""),""))</f>
        <v/>
      </c>
      <c r="J857" s="7" t="n"/>
    </row>
    <row r="858">
      <c r="A858" s="9" t="n"/>
      <c r="B858" s="7" t="n"/>
      <c r="C858" s="7" t="n"/>
      <c r="D858" s="7" t="n"/>
      <c r="E858" s="7" t="n"/>
      <c r="F858" s="8" t="n"/>
      <c r="G858" s="7" t="n"/>
      <c r="H858" s="7" t="n"/>
      <c r="I858" s="7">
        <f>IF(C858="","",IFERROR(IF(INDEX(원생!$H$2:$H$501,MATCH(계산!$A858,계산!$E$2:$E$501,0))="예","예",""),""))</f>
        <v/>
      </c>
      <c r="J858" s="7" t="n"/>
    </row>
    <row r="859">
      <c r="A859" s="9" t="n"/>
      <c r="B859" s="7" t="n"/>
      <c r="C859" s="7" t="n"/>
      <c r="D859" s="7" t="n"/>
      <c r="E859" s="7" t="n"/>
      <c r="F859" s="8" t="n"/>
      <c r="G859" s="7" t="n"/>
      <c r="H859" s="7" t="n"/>
      <c r="I859" s="7">
        <f>IF(C859="","",IFERROR(IF(INDEX(원생!$H$2:$H$501,MATCH(계산!$A859,계산!$E$2:$E$501,0))="예","예",""),""))</f>
        <v/>
      </c>
      <c r="J859" s="7" t="n"/>
    </row>
    <row r="860">
      <c r="A860" s="9" t="n"/>
      <c r="B860" s="7" t="n"/>
      <c r="C860" s="7" t="n"/>
      <c r="D860" s="7" t="n"/>
      <c r="E860" s="7" t="n"/>
      <c r="F860" s="8" t="n"/>
      <c r="G860" s="7" t="n"/>
      <c r="H860" s="7" t="n"/>
      <c r="I860" s="7">
        <f>IF(C860="","",IFERROR(IF(INDEX(원생!$H$2:$H$501,MATCH(계산!$A860,계산!$E$2:$E$501,0))="예","예",""),""))</f>
        <v/>
      </c>
      <c r="J860" s="7" t="n"/>
    </row>
    <row r="861">
      <c r="A861" s="9" t="n"/>
      <c r="B861" s="7" t="n"/>
      <c r="C861" s="7" t="n"/>
      <c r="D861" s="7" t="n"/>
      <c r="E861" s="7" t="n"/>
      <c r="F861" s="8" t="n"/>
      <c r="G861" s="7" t="n"/>
      <c r="H861" s="7" t="n"/>
      <c r="I861" s="7">
        <f>IF(C861="","",IFERROR(IF(INDEX(원생!$H$2:$H$501,MATCH(계산!$A861,계산!$E$2:$E$501,0))="예","예",""),""))</f>
        <v/>
      </c>
      <c r="J861" s="7" t="n"/>
    </row>
    <row r="862">
      <c r="A862" s="9" t="n"/>
      <c r="B862" s="7" t="n"/>
      <c r="C862" s="7" t="n"/>
      <c r="D862" s="7" t="n"/>
      <c r="E862" s="7" t="n"/>
      <c r="F862" s="8" t="n"/>
      <c r="G862" s="7" t="n"/>
      <c r="H862" s="7" t="n"/>
      <c r="I862" s="7">
        <f>IF(C862="","",IFERROR(IF(INDEX(원생!$H$2:$H$501,MATCH(계산!$A862,계산!$E$2:$E$501,0))="예","예",""),""))</f>
        <v/>
      </c>
      <c r="J862" s="7" t="n"/>
    </row>
    <row r="863">
      <c r="A863" s="9" t="n"/>
      <c r="B863" s="7" t="n"/>
      <c r="C863" s="7" t="n"/>
      <c r="D863" s="7" t="n"/>
      <c r="E863" s="7" t="n"/>
      <c r="F863" s="8" t="n"/>
      <c r="G863" s="7" t="n"/>
      <c r="H863" s="7" t="n"/>
      <c r="I863" s="7">
        <f>IF(C863="","",IFERROR(IF(INDEX(원생!$H$2:$H$501,MATCH(계산!$A863,계산!$E$2:$E$501,0))="예","예",""),""))</f>
        <v/>
      </c>
      <c r="J863" s="7" t="n"/>
    </row>
    <row r="864">
      <c r="A864" s="9" t="n"/>
      <c r="B864" s="7" t="n"/>
      <c r="C864" s="7" t="n"/>
      <c r="D864" s="7" t="n"/>
      <c r="E864" s="7" t="n"/>
      <c r="F864" s="8" t="n"/>
      <c r="G864" s="7" t="n"/>
      <c r="H864" s="7" t="n"/>
      <c r="I864" s="7">
        <f>IF(C864="","",IFERROR(IF(INDEX(원생!$H$2:$H$501,MATCH(계산!$A864,계산!$E$2:$E$501,0))="예","예",""),""))</f>
        <v/>
      </c>
      <c r="J864" s="7" t="n"/>
    </row>
    <row r="865">
      <c r="A865" s="9" t="n"/>
      <c r="B865" s="7" t="n"/>
      <c r="C865" s="7" t="n"/>
      <c r="D865" s="7" t="n"/>
      <c r="E865" s="7" t="n"/>
      <c r="F865" s="8" t="n"/>
      <c r="G865" s="7" t="n"/>
      <c r="H865" s="7" t="n"/>
      <c r="I865" s="7">
        <f>IF(C865="","",IFERROR(IF(INDEX(원생!$H$2:$H$501,MATCH(계산!$A865,계산!$E$2:$E$501,0))="예","예",""),""))</f>
        <v/>
      </c>
      <c r="J865" s="7" t="n"/>
    </row>
    <row r="866">
      <c r="A866" s="9" t="n"/>
      <c r="B866" s="7" t="n"/>
      <c r="C866" s="7" t="n"/>
      <c r="D866" s="7" t="n"/>
      <c r="E866" s="7" t="n"/>
      <c r="F866" s="8" t="n"/>
      <c r="G866" s="7" t="n"/>
      <c r="H866" s="7" t="n"/>
      <c r="I866" s="7">
        <f>IF(C866="","",IFERROR(IF(INDEX(원생!$H$2:$H$501,MATCH(계산!$A866,계산!$E$2:$E$501,0))="예","예",""),""))</f>
        <v/>
      </c>
      <c r="J866" s="7" t="n"/>
    </row>
    <row r="867">
      <c r="A867" s="9" t="n"/>
      <c r="B867" s="7" t="n"/>
      <c r="C867" s="7" t="n"/>
      <c r="D867" s="7" t="n"/>
      <c r="E867" s="7" t="n"/>
      <c r="F867" s="8" t="n"/>
      <c r="G867" s="7" t="n"/>
      <c r="H867" s="7" t="n"/>
      <c r="I867" s="7">
        <f>IF(C867="","",IFERROR(IF(INDEX(원생!$H$2:$H$501,MATCH(계산!$A867,계산!$E$2:$E$501,0))="예","예",""),""))</f>
        <v/>
      </c>
      <c r="J867" s="7" t="n"/>
    </row>
    <row r="868">
      <c r="A868" s="9" t="n"/>
      <c r="B868" s="7" t="n"/>
      <c r="C868" s="7" t="n"/>
      <c r="D868" s="7" t="n"/>
      <c r="E868" s="7" t="n"/>
      <c r="F868" s="8" t="n"/>
      <c r="G868" s="7" t="n"/>
      <c r="H868" s="7" t="n"/>
      <c r="I868" s="7">
        <f>IF(C868="","",IFERROR(IF(INDEX(원생!$H$2:$H$501,MATCH(계산!$A868,계산!$E$2:$E$501,0))="예","예",""),""))</f>
        <v/>
      </c>
      <c r="J868" s="7" t="n"/>
    </row>
    <row r="869">
      <c r="A869" s="9" t="n"/>
      <c r="B869" s="7" t="n"/>
      <c r="C869" s="7" t="n"/>
      <c r="D869" s="7" t="n"/>
      <c r="E869" s="7" t="n"/>
      <c r="F869" s="8" t="n"/>
      <c r="G869" s="7" t="n"/>
      <c r="H869" s="7" t="n"/>
      <c r="I869" s="7">
        <f>IF(C869="","",IFERROR(IF(INDEX(원생!$H$2:$H$501,MATCH(계산!$A869,계산!$E$2:$E$501,0))="예","예",""),""))</f>
        <v/>
      </c>
      <c r="J869" s="7" t="n"/>
    </row>
    <row r="870">
      <c r="A870" s="9" t="n"/>
      <c r="B870" s="7" t="n"/>
      <c r="C870" s="7" t="n"/>
      <c r="D870" s="7" t="n"/>
      <c r="E870" s="7" t="n"/>
      <c r="F870" s="8" t="n"/>
      <c r="G870" s="7" t="n"/>
      <c r="H870" s="7" t="n"/>
      <c r="I870" s="7">
        <f>IF(C870="","",IFERROR(IF(INDEX(원생!$H$2:$H$501,MATCH(계산!$A870,계산!$E$2:$E$501,0))="예","예",""),""))</f>
        <v/>
      </c>
      <c r="J870" s="7" t="n"/>
    </row>
    <row r="871">
      <c r="A871" s="9" t="n"/>
      <c r="B871" s="7" t="n"/>
      <c r="C871" s="7" t="n"/>
      <c r="D871" s="7" t="n"/>
      <c r="E871" s="7" t="n"/>
      <c r="F871" s="8" t="n"/>
      <c r="G871" s="7" t="n"/>
      <c r="H871" s="7" t="n"/>
      <c r="I871" s="7">
        <f>IF(C871="","",IFERROR(IF(INDEX(원생!$H$2:$H$501,MATCH(계산!$A871,계산!$E$2:$E$501,0))="예","예",""),""))</f>
        <v/>
      </c>
      <c r="J871" s="7" t="n"/>
    </row>
    <row r="872">
      <c r="A872" s="9" t="n"/>
      <c r="B872" s="7" t="n"/>
      <c r="C872" s="7" t="n"/>
      <c r="D872" s="7" t="n"/>
      <c r="E872" s="7" t="n"/>
      <c r="F872" s="8" t="n"/>
      <c r="G872" s="7" t="n"/>
      <c r="H872" s="7" t="n"/>
      <c r="I872" s="7">
        <f>IF(C872="","",IFERROR(IF(INDEX(원생!$H$2:$H$501,MATCH(계산!$A872,계산!$E$2:$E$501,0))="예","예",""),""))</f>
        <v/>
      </c>
      <c r="J872" s="7" t="n"/>
    </row>
    <row r="873">
      <c r="A873" s="9" t="n"/>
      <c r="B873" s="7" t="n"/>
      <c r="C873" s="7" t="n"/>
      <c r="D873" s="7" t="n"/>
      <c r="E873" s="7" t="n"/>
      <c r="F873" s="8" t="n"/>
      <c r="G873" s="7" t="n"/>
      <c r="H873" s="7" t="n"/>
      <c r="I873" s="7">
        <f>IF(C873="","",IFERROR(IF(INDEX(원생!$H$2:$H$501,MATCH(계산!$A873,계산!$E$2:$E$501,0))="예","예",""),""))</f>
        <v/>
      </c>
      <c r="J873" s="7" t="n"/>
    </row>
    <row r="874">
      <c r="A874" s="9" t="n"/>
      <c r="B874" s="7" t="n"/>
      <c r="C874" s="7" t="n"/>
      <c r="D874" s="7" t="n"/>
      <c r="E874" s="7" t="n"/>
      <c r="F874" s="8" t="n"/>
      <c r="G874" s="7" t="n"/>
      <c r="H874" s="7" t="n"/>
      <c r="I874" s="7">
        <f>IF(C874="","",IFERROR(IF(INDEX(원생!$H$2:$H$501,MATCH(계산!$A874,계산!$E$2:$E$501,0))="예","예",""),""))</f>
        <v/>
      </c>
      <c r="J874" s="7" t="n"/>
    </row>
    <row r="875">
      <c r="A875" s="9" t="n"/>
      <c r="B875" s="7" t="n"/>
      <c r="C875" s="7" t="n"/>
      <c r="D875" s="7" t="n"/>
      <c r="E875" s="7" t="n"/>
      <c r="F875" s="8" t="n"/>
      <c r="G875" s="7" t="n"/>
      <c r="H875" s="7" t="n"/>
      <c r="I875" s="7">
        <f>IF(C875="","",IFERROR(IF(INDEX(원생!$H$2:$H$501,MATCH(계산!$A875,계산!$E$2:$E$501,0))="예","예",""),""))</f>
        <v/>
      </c>
      <c r="J875" s="7" t="n"/>
    </row>
    <row r="876">
      <c r="A876" s="9" t="n"/>
      <c r="B876" s="7" t="n"/>
      <c r="C876" s="7" t="n"/>
      <c r="D876" s="7" t="n"/>
      <c r="E876" s="7" t="n"/>
      <c r="F876" s="8" t="n"/>
      <c r="G876" s="7" t="n"/>
      <c r="H876" s="7" t="n"/>
      <c r="I876" s="7">
        <f>IF(C876="","",IFERROR(IF(INDEX(원생!$H$2:$H$501,MATCH(계산!$A876,계산!$E$2:$E$501,0))="예","예",""),""))</f>
        <v/>
      </c>
      <c r="J876" s="7" t="n"/>
    </row>
    <row r="877">
      <c r="A877" s="9" t="n"/>
      <c r="B877" s="7" t="n"/>
      <c r="C877" s="7" t="n"/>
      <c r="D877" s="7" t="n"/>
      <c r="E877" s="7" t="n"/>
      <c r="F877" s="8" t="n"/>
      <c r="G877" s="7" t="n"/>
      <c r="H877" s="7" t="n"/>
      <c r="I877" s="7">
        <f>IF(C877="","",IFERROR(IF(INDEX(원생!$H$2:$H$501,MATCH(계산!$A877,계산!$E$2:$E$501,0))="예","예",""),""))</f>
        <v/>
      </c>
      <c r="J877" s="7" t="n"/>
    </row>
    <row r="878">
      <c r="A878" s="9" t="n"/>
      <c r="B878" s="7" t="n"/>
      <c r="C878" s="7" t="n"/>
      <c r="D878" s="7" t="n"/>
      <c r="E878" s="7" t="n"/>
      <c r="F878" s="8" t="n"/>
      <c r="G878" s="7" t="n"/>
      <c r="H878" s="7" t="n"/>
      <c r="I878" s="7">
        <f>IF(C878="","",IFERROR(IF(INDEX(원생!$H$2:$H$501,MATCH(계산!$A878,계산!$E$2:$E$501,0))="예","예",""),""))</f>
        <v/>
      </c>
      <c r="J878" s="7" t="n"/>
    </row>
    <row r="879">
      <c r="A879" s="9" t="n"/>
      <c r="B879" s="7" t="n"/>
      <c r="C879" s="7" t="n"/>
      <c r="D879" s="7" t="n"/>
      <c r="E879" s="7" t="n"/>
      <c r="F879" s="8" t="n"/>
      <c r="G879" s="7" t="n"/>
      <c r="H879" s="7" t="n"/>
      <c r="I879" s="7">
        <f>IF(C879="","",IFERROR(IF(INDEX(원생!$H$2:$H$501,MATCH(계산!$A879,계산!$E$2:$E$501,0))="예","예",""),""))</f>
        <v/>
      </c>
      <c r="J879" s="7" t="n"/>
    </row>
    <row r="880">
      <c r="A880" s="9" t="n"/>
      <c r="B880" s="7" t="n"/>
      <c r="C880" s="7" t="n"/>
      <c r="D880" s="7" t="n"/>
      <c r="E880" s="7" t="n"/>
      <c r="F880" s="8" t="n"/>
      <c r="G880" s="7" t="n"/>
      <c r="H880" s="7" t="n"/>
      <c r="I880" s="7">
        <f>IF(C880="","",IFERROR(IF(INDEX(원생!$H$2:$H$501,MATCH(계산!$A880,계산!$E$2:$E$501,0))="예","예",""),""))</f>
        <v/>
      </c>
      <c r="J880" s="7" t="n"/>
    </row>
    <row r="881">
      <c r="A881" s="9" t="n"/>
      <c r="B881" s="7" t="n"/>
      <c r="C881" s="7" t="n"/>
      <c r="D881" s="7" t="n"/>
      <c r="E881" s="7" t="n"/>
      <c r="F881" s="8" t="n"/>
      <c r="G881" s="7" t="n"/>
      <c r="H881" s="7" t="n"/>
      <c r="I881" s="7">
        <f>IF(C881="","",IFERROR(IF(INDEX(원생!$H$2:$H$501,MATCH(계산!$A881,계산!$E$2:$E$501,0))="예","예",""),""))</f>
        <v/>
      </c>
      <c r="J881" s="7" t="n"/>
    </row>
    <row r="882">
      <c r="A882" s="9" t="n"/>
      <c r="B882" s="7" t="n"/>
      <c r="C882" s="7" t="n"/>
      <c r="D882" s="7" t="n"/>
      <c r="E882" s="7" t="n"/>
      <c r="F882" s="8" t="n"/>
      <c r="G882" s="7" t="n"/>
      <c r="H882" s="7" t="n"/>
      <c r="I882" s="7">
        <f>IF(C882="","",IFERROR(IF(INDEX(원생!$H$2:$H$501,MATCH(계산!$A882,계산!$E$2:$E$501,0))="예","예",""),""))</f>
        <v/>
      </c>
      <c r="J882" s="7" t="n"/>
    </row>
    <row r="883">
      <c r="A883" s="9" t="n"/>
      <c r="B883" s="7" t="n"/>
      <c r="C883" s="7" t="n"/>
      <c r="D883" s="7" t="n"/>
      <c r="E883" s="7" t="n"/>
      <c r="F883" s="8" t="n"/>
      <c r="G883" s="7" t="n"/>
      <c r="H883" s="7" t="n"/>
      <c r="I883" s="7">
        <f>IF(C883="","",IFERROR(IF(INDEX(원생!$H$2:$H$501,MATCH(계산!$A883,계산!$E$2:$E$501,0))="예","예",""),""))</f>
        <v/>
      </c>
      <c r="J883" s="7" t="n"/>
    </row>
    <row r="884">
      <c r="A884" s="9" t="n"/>
      <c r="B884" s="7" t="n"/>
      <c r="C884" s="7" t="n"/>
      <c r="D884" s="7" t="n"/>
      <c r="E884" s="7" t="n"/>
      <c r="F884" s="8" t="n"/>
      <c r="G884" s="7" t="n"/>
      <c r="H884" s="7" t="n"/>
      <c r="I884" s="7">
        <f>IF(C884="","",IFERROR(IF(INDEX(원생!$H$2:$H$501,MATCH(계산!$A884,계산!$E$2:$E$501,0))="예","예",""),""))</f>
        <v/>
      </c>
      <c r="J884" s="7" t="n"/>
    </row>
    <row r="885">
      <c r="A885" s="9" t="n"/>
      <c r="B885" s="7" t="n"/>
      <c r="C885" s="7" t="n"/>
      <c r="D885" s="7" t="n"/>
      <c r="E885" s="7" t="n"/>
      <c r="F885" s="8" t="n"/>
      <c r="G885" s="7" t="n"/>
      <c r="H885" s="7" t="n"/>
      <c r="I885" s="7">
        <f>IF(C885="","",IFERROR(IF(INDEX(원생!$H$2:$H$501,MATCH(계산!$A885,계산!$E$2:$E$501,0))="예","예",""),""))</f>
        <v/>
      </c>
      <c r="J885" s="7" t="n"/>
    </row>
    <row r="886">
      <c r="A886" s="9" t="n"/>
      <c r="B886" s="7" t="n"/>
      <c r="C886" s="7" t="n"/>
      <c r="D886" s="7" t="n"/>
      <c r="E886" s="7" t="n"/>
      <c r="F886" s="8" t="n"/>
      <c r="G886" s="7" t="n"/>
      <c r="H886" s="7" t="n"/>
      <c r="I886" s="7">
        <f>IF(C886="","",IFERROR(IF(INDEX(원생!$H$2:$H$501,MATCH(계산!$A886,계산!$E$2:$E$501,0))="예","예",""),""))</f>
        <v/>
      </c>
      <c r="J886" s="7" t="n"/>
    </row>
    <row r="887">
      <c r="A887" s="9" t="n"/>
      <c r="B887" s="7" t="n"/>
      <c r="C887" s="7" t="n"/>
      <c r="D887" s="7" t="n"/>
      <c r="E887" s="7" t="n"/>
      <c r="F887" s="8" t="n"/>
      <c r="G887" s="7" t="n"/>
      <c r="H887" s="7" t="n"/>
      <c r="I887" s="7">
        <f>IF(C887="","",IFERROR(IF(INDEX(원생!$H$2:$H$501,MATCH(계산!$A887,계산!$E$2:$E$501,0))="예","예",""),""))</f>
        <v/>
      </c>
      <c r="J887" s="7" t="n"/>
    </row>
    <row r="888">
      <c r="A888" s="9" t="n"/>
      <c r="B888" s="7" t="n"/>
      <c r="C888" s="7" t="n"/>
      <c r="D888" s="7" t="n"/>
      <c r="E888" s="7" t="n"/>
      <c r="F888" s="8" t="n"/>
      <c r="G888" s="7" t="n"/>
      <c r="H888" s="7" t="n"/>
      <c r="I888" s="7">
        <f>IF(C888="","",IFERROR(IF(INDEX(원생!$H$2:$H$501,MATCH(계산!$A888,계산!$E$2:$E$501,0))="예","예",""),""))</f>
        <v/>
      </c>
      <c r="J888" s="7" t="n"/>
    </row>
    <row r="889">
      <c r="A889" s="9" t="n"/>
      <c r="B889" s="7" t="n"/>
      <c r="C889" s="7" t="n"/>
      <c r="D889" s="7" t="n"/>
      <c r="E889" s="7" t="n"/>
      <c r="F889" s="8" t="n"/>
      <c r="G889" s="7" t="n"/>
      <c r="H889" s="7" t="n"/>
      <c r="I889" s="7">
        <f>IF(C889="","",IFERROR(IF(INDEX(원생!$H$2:$H$501,MATCH(계산!$A889,계산!$E$2:$E$501,0))="예","예",""),""))</f>
        <v/>
      </c>
      <c r="J889" s="7" t="n"/>
    </row>
    <row r="890">
      <c r="A890" s="9" t="n"/>
      <c r="B890" s="7" t="n"/>
      <c r="C890" s="7" t="n"/>
      <c r="D890" s="7" t="n"/>
      <c r="E890" s="7" t="n"/>
      <c r="F890" s="8" t="n"/>
      <c r="G890" s="7" t="n"/>
      <c r="H890" s="7" t="n"/>
      <c r="I890" s="7">
        <f>IF(C890="","",IFERROR(IF(INDEX(원생!$H$2:$H$501,MATCH(계산!$A890,계산!$E$2:$E$501,0))="예","예",""),""))</f>
        <v/>
      </c>
      <c r="J890" s="7" t="n"/>
    </row>
    <row r="891">
      <c r="A891" s="9" t="n"/>
      <c r="B891" s="7" t="n"/>
      <c r="C891" s="7" t="n"/>
      <c r="D891" s="7" t="n"/>
      <c r="E891" s="7" t="n"/>
      <c r="F891" s="8" t="n"/>
      <c r="G891" s="7" t="n"/>
      <c r="H891" s="7" t="n"/>
      <c r="I891" s="7">
        <f>IF(C891="","",IFERROR(IF(INDEX(원생!$H$2:$H$501,MATCH(계산!$A891,계산!$E$2:$E$501,0))="예","예",""),""))</f>
        <v/>
      </c>
      <c r="J891" s="7" t="n"/>
    </row>
    <row r="892">
      <c r="A892" s="9" t="n"/>
      <c r="B892" s="7" t="n"/>
      <c r="C892" s="7" t="n"/>
      <c r="D892" s="7" t="n"/>
      <c r="E892" s="7" t="n"/>
      <c r="F892" s="8" t="n"/>
      <c r="G892" s="7" t="n"/>
      <c r="H892" s="7" t="n"/>
      <c r="I892" s="7">
        <f>IF(C892="","",IFERROR(IF(INDEX(원생!$H$2:$H$501,MATCH(계산!$A892,계산!$E$2:$E$501,0))="예","예",""),""))</f>
        <v/>
      </c>
      <c r="J892" s="7" t="n"/>
    </row>
    <row r="893">
      <c r="A893" s="9" t="n"/>
      <c r="B893" s="7" t="n"/>
      <c r="C893" s="7" t="n"/>
      <c r="D893" s="7" t="n"/>
      <c r="E893" s="7" t="n"/>
      <c r="F893" s="8" t="n"/>
      <c r="G893" s="7" t="n"/>
      <c r="H893" s="7" t="n"/>
      <c r="I893" s="7">
        <f>IF(C893="","",IFERROR(IF(INDEX(원생!$H$2:$H$501,MATCH(계산!$A893,계산!$E$2:$E$501,0))="예","예",""),""))</f>
        <v/>
      </c>
      <c r="J893" s="7" t="n"/>
    </row>
    <row r="894">
      <c r="A894" s="9" t="n"/>
      <c r="B894" s="7" t="n"/>
      <c r="C894" s="7" t="n"/>
      <c r="D894" s="7" t="n"/>
      <c r="E894" s="7" t="n"/>
      <c r="F894" s="8" t="n"/>
      <c r="G894" s="7" t="n"/>
      <c r="H894" s="7" t="n"/>
      <c r="I894" s="7">
        <f>IF(C894="","",IFERROR(IF(INDEX(원생!$H$2:$H$501,MATCH(계산!$A894,계산!$E$2:$E$501,0))="예","예",""),""))</f>
        <v/>
      </c>
      <c r="J894" s="7" t="n"/>
    </row>
    <row r="895">
      <c r="A895" s="9" t="n"/>
      <c r="B895" s="7" t="n"/>
      <c r="C895" s="7" t="n"/>
      <c r="D895" s="7" t="n"/>
      <c r="E895" s="7" t="n"/>
      <c r="F895" s="8" t="n"/>
      <c r="G895" s="7" t="n"/>
      <c r="H895" s="7" t="n"/>
      <c r="I895" s="7">
        <f>IF(C895="","",IFERROR(IF(INDEX(원생!$H$2:$H$501,MATCH(계산!$A895,계산!$E$2:$E$501,0))="예","예",""),""))</f>
        <v/>
      </c>
      <c r="J895" s="7" t="n"/>
    </row>
    <row r="896">
      <c r="A896" s="9" t="n"/>
      <c r="B896" s="7" t="n"/>
      <c r="C896" s="7" t="n"/>
      <c r="D896" s="7" t="n"/>
      <c r="E896" s="7" t="n"/>
      <c r="F896" s="8" t="n"/>
      <c r="G896" s="7" t="n"/>
      <c r="H896" s="7" t="n"/>
      <c r="I896" s="7">
        <f>IF(C896="","",IFERROR(IF(INDEX(원생!$H$2:$H$501,MATCH(계산!$A896,계산!$E$2:$E$501,0))="예","예",""),""))</f>
        <v/>
      </c>
      <c r="J896" s="7" t="n"/>
    </row>
    <row r="897">
      <c r="A897" s="9" t="n"/>
      <c r="B897" s="7" t="n"/>
      <c r="C897" s="7" t="n"/>
      <c r="D897" s="7" t="n"/>
      <c r="E897" s="7" t="n"/>
      <c r="F897" s="8" t="n"/>
      <c r="G897" s="7" t="n"/>
      <c r="H897" s="7" t="n"/>
      <c r="I897" s="7">
        <f>IF(C897="","",IFERROR(IF(INDEX(원생!$H$2:$H$501,MATCH(계산!$A897,계산!$E$2:$E$501,0))="예","예",""),""))</f>
        <v/>
      </c>
      <c r="J897" s="7" t="n"/>
    </row>
    <row r="898">
      <c r="A898" s="9" t="n"/>
      <c r="B898" s="7" t="n"/>
      <c r="C898" s="7" t="n"/>
      <c r="D898" s="7" t="n"/>
      <c r="E898" s="7" t="n"/>
      <c r="F898" s="8" t="n"/>
      <c r="G898" s="7" t="n"/>
      <c r="H898" s="7" t="n"/>
      <c r="I898" s="7">
        <f>IF(C898="","",IFERROR(IF(INDEX(원생!$H$2:$H$501,MATCH(계산!$A898,계산!$E$2:$E$501,0))="예","예",""),""))</f>
        <v/>
      </c>
      <c r="J898" s="7" t="n"/>
    </row>
    <row r="899">
      <c r="A899" s="9" t="n"/>
      <c r="B899" s="7" t="n"/>
      <c r="C899" s="7" t="n"/>
      <c r="D899" s="7" t="n"/>
      <c r="E899" s="7" t="n"/>
      <c r="F899" s="8" t="n"/>
      <c r="G899" s="7" t="n"/>
      <c r="H899" s="7" t="n"/>
      <c r="I899" s="7">
        <f>IF(C899="","",IFERROR(IF(INDEX(원생!$H$2:$H$501,MATCH(계산!$A899,계산!$E$2:$E$501,0))="예","예",""),""))</f>
        <v/>
      </c>
      <c r="J899" s="7" t="n"/>
    </row>
    <row r="900">
      <c r="A900" s="9" t="n"/>
      <c r="B900" s="7" t="n"/>
      <c r="C900" s="7" t="n"/>
      <c r="D900" s="7" t="n"/>
      <c r="E900" s="7" t="n"/>
      <c r="F900" s="8" t="n"/>
      <c r="G900" s="7" t="n"/>
      <c r="H900" s="7" t="n"/>
      <c r="I900" s="7">
        <f>IF(C900="","",IFERROR(IF(INDEX(원생!$H$2:$H$501,MATCH(계산!$A900,계산!$E$2:$E$501,0))="예","예",""),""))</f>
        <v/>
      </c>
      <c r="J900" s="7" t="n"/>
    </row>
    <row r="901">
      <c r="A901" s="9" t="n"/>
      <c r="B901" s="7" t="n"/>
      <c r="C901" s="7" t="n"/>
      <c r="D901" s="7" t="n"/>
      <c r="E901" s="7" t="n"/>
      <c r="F901" s="8" t="n"/>
      <c r="G901" s="7" t="n"/>
      <c r="H901" s="7" t="n"/>
      <c r="I901" s="7">
        <f>IF(C901="","",IFERROR(IF(INDEX(원생!$H$2:$H$501,MATCH(계산!$A901,계산!$E$2:$E$501,0))="예","예",""),""))</f>
        <v/>
      </c>
      <c r="J901" s="7" t="n"/>
    </row>
    <row r="902">
      <c r="A902" s="9" t="n"/>
      <c r="B902" s="7" t="n"/>
      <c r="C902" s="7" t="n"/>
      <c r="D902" s="7" t="n"/>
      <c r="E902" s="7" t="n"/>
      <c r="F902" s="8" t="n"/>
      <c r="G902" s="7" t="n"/>
      <c r="H902" s="7" t="n"/>
      <c r="I902" s="7">
        <f>IF(C902="","",IFERROR(IF(INDEX(원생!$H$2:$H$501,MATCH(계산!$A902,계산!$E$2:$E$501,0))="예","예",""),""))</f>
        <v/>
      </c>
      <c r="J902" s="7" t="n"/>
    </row>
    <row r="903">
      <c r="A903" s="9" t="n"/>
      <c r="B903" s="7" t="n"/>
      <c r="C903" s="7" t="n"/>
      <c r="D903" s="7" t="n"/>
      <c r="E903" s="7" t="n"/>
      <c r="F903" s="8" t="n"/>
      <c r="G903" s="7" t="n"/>
      <c r="H903" s="7" t="n"/>
      <c r="I903" s="7">
        <f>IF(C903="","",IFERROR(IF(INDEX(원생!$H$2:$H$501,MATCH(계산!$A903,계산!$E$2:$E$501,0))="예","예",""),""))</f>
        <v/>
      </c>
      <c r="J903" s="7" t="n"/>
    </row>
    <row r="904">
      <c r="A904" s="9" t="n"/>
      <c r="B904" s="7" t="n"/>
      <c r="C904" s="7" t="n"/>
      <c r="D904" s="7" t="n"/>
      <c r="E904" s="7" t="n"/>
      <c r="F904" s="8" t="n"/>
      <c r="G904" s="7" t="n"/>
      <c r="H904" s="7" t="n"/>
      <c r="I904" s="7">
        <f>IF(C904="","",IFERROR(IF(INDEX(원생!$H$2:$H$501,MATCH(계산!$A904,계산!$E$2:$E$501,0))="예","예",""),""))</f>
        <v/>
      </c>
      <c r="J904" s="7" t="n"/>
    </row>
    <row r="905">
      <c r="A905" s="9" t="n"/>
      <c r="B905" s="7" t="n"/>
      <c r="C905" s="7" t="n"/>
      <c r="D905" s="7" t="n"/>
      <c r="E905" s="7" t="n"/>
      <c r="F905" s="8" t="n"/>
      <c r="G905" s="7" t="n"/>
      <c r="H905" s="7" t="n"/>
      <c r="I905" s="7">
        <f>IF(C905="","",IFERROR(IF(INDEX(원생!$H$2:$H$501,MATCH(계산!$A905,계산!$E$2:$E$501,0))="예","예",""),""))</f>
        <v/>
      </c>
      <c r="J905" s="7" t="n"/>
    </row>
    <row r="906">
      <c r="A906" s="9" t="n"/>
      <c r="B906" s="7" t="n"/>
      <c r="C906" s="7" t="n"/>
      <c r="D906" s="7" t="n"/>
      <c r="E906" s="7" t="n"/>
      <c r="F906" s="8" t="n"/>
      <c r="G906" s="7" t="n"/>
      <c r="H906" s="7" t="n"/>
      <c r="I906" s="7">
        <f>IF(C906="","",IFERROR(IF(INDEX(원생!$H$2:$H$501,MATCH(계산!$A906,계산!$E$2:$E$501,0))="예","예",""),""))</f>
        <v/>
      </c>
      <c r="J906" s="7" t="n"/>
    </row>
    <row r="907">
      <c r="A907" s="9" t="n"/>
      <c r="B907" s="7" t="n"/>
      <c r="C907" s="7" t="n"/>
      <c r="D907" s="7" t="n"/>
      <c r="E907" s="7" t="n"/>
      <c r="F907" s="8" t="n"/>
      <c r="G907" s="7" t="n"/>
      <c r="H907" s="7" t="n"/>
      <c r="I907" s="7">
        <f>IF(C907="","",IFERROR(IF(INDEX(원생!$H$2:$H$501,MATCH(계산!$A907,계산!$E$2:$E$501,0))="예","예",""),""))</f>
        <v/>
      </c>
      <c r="J907" s="7" t="n"/>
    </row>
    <row r="908">
      <c r="A908" s="9" t="n"/>
      <c r="B908" s="7" t="n"/>
      <c r="C908" s="7" t="n"/>
      <c r="D908" s="7" t="n"/>
      <c r="E908" s="7" t="n"/>
      <c r="F908" s="8" t="n"/>
      <c r="G908" s="7" t="n"/>
      <c r="H908" s="7" t="n"/>
      <c r="I908" s="7">
        <f>IF(C908="","",IFERROR(IF(INDEX(원생!$H$2:$H$501,MATCH(계산!$A908,계산!$E$2:$E$501,0))="예","예",""),""))</f>
        <v/>
      </c>
      <c r="J908" s="7" t="n"/>
    </row>
    <row r="909">
      <c r="A909" s="9" t="n"/>
      <c r="B909" s="7" t="n"/>
      <c r="C909" s="7" t="n"/>
      <c r="D909" s="7" t="n"/>
      <c r="E909" s="7" t="n"/>
      <c r="F909" s="8" t="n"/>
      <c r="G909" s="7" t="n"/>
      <c r="H909" s="7" t="n"/>
      <c r="I909" s="7">
        <f>IF(C909="","",IFERROR(IF(INDEX(원생!$H$2:$H$501,MATCH(계산!$A909,계산!$E$2:$E$501,0))="예","예",""),""))</f>
        <v/>
      </c>
      <c r="J909" s="7" t="n"/>
    </row>
    <row r="910">
      <c r="A910" s="9" t="n"/>
      <c r="B910" s="7" t="n"/>
      <c r="C910" s="7" t="n"/>
      <c r="D910" s="7" t="n"/>
      <c r="E910" s="7" t="n"/>
      <c r="F910" s="8" t="n"/>
      <c r="G910" s="7" t="n"/>
      <c r="H910" s="7" t="n"/>
      <c r="I910" s="7">
        <f>IF(C910="","",IFERROR(IF(INDEX(원생!$H$2:$H$501,MATCH(계산!$A910,계산!$E$2:$E$501,0))="예","예",""),""))</f>
        <v/>
      </c>
      <c r="J910" s="7" t="n"/>
    </row>
    <row r="911">
      <c r="A911" s="9" t="n"/>
      <c r="B911" s="7" t="n"/>
      <c r="C911" s="7" t="n"/>
      <c r="D911" s="7" t="n"/>
      <c r="E911" s="7" t="n"/>
      <c r="F911" s="8" t="n"/>
      <c r="G911" s="7" t="n"/>
      <c r="H911" s="7" t="n"/>
      <c r="I911" s="7">
        <f>IF(C911="","",IFERROR(IF(INDEX(원생!$H$2:$H$501,MATCH(계산!$A911,계산!$E$2:$E$501,0))="예","예",""),""))</f>
        <v/>
      </c>
      <c r="J911" s="7" t="n"/>
    </row>
    <row r="912">
      <c r="A912" s="9" t="n"/>
      <c r="B912" s="7" t="n"/>
      <c r="C912" s="7" t="n"/>
      <c r="D912" s="7" t="n"/>
      <c r="E912" s="7" t="n"/>
      <c r="F912" s="8" t="n"/>
      <c r="G912" s="7" t="n"/>
      <c r="H912" s="7" t="n"/>
      <c r="I912" s="7">
        <f>IF(C912="","",IFERROR(IF(INDEX(원생!$H$2:$H$501,MATCH(계산!$A912,계산!$E$2:$E$501,0))="예","예",""),""))</f>
        <v/>
      </c>
      <c r="J912" s="7" t="n"/>
    </row>
    <row r="913">
      <c r="A913" s="9" t="n"/>
      <c r="B913" s="7" t="n"/>
      <c r="C913" s="7" t="n"/>
      <c r="D913" s="7" t="n"/>
      <c r="E913" s="7" t="n"/>
      <c r="F913" s="8" t="n"/>
      <c r="G913" s="7" t="n"/>
      <c r="H913" s="7" t="n"/>
      <c r="I913" s="7">
        <f>IF(C913="","",IFERROR(IF(INDEX(원생!$H$2:$H$501,MATCH(계산!$A913,계산!$E$2:$E$501,0))="예","예",""),""))</f>
        <v/>
      </c>
      <c r="J913" s="7" t="n"/>
    </row>
    <row r="914">
      <c r="A914" s="9" t="n"/>
      <c r="B914" s="7" t="n"/>
      <c r="C914" s="7" t="n"/>
      <c r="D914" s="7" t="n"/>
      <c r="E914" s="7" t="n"/>
      <c r="F914" s="8" t="n"/>
      <c r="G914" s="7" t="n"/>
      <c r="H914" s="7" t="n"/>
      <c r="I914" s="7">
        <f>IF(C914="","",IFERROR(IF(INDEX(원생!$H$2:$H$501,MATCH(계산!$A914,계산!$E$2:$E$501,0))="예","예",""),""))</f>
        <v/>
      </c>
      <c r="J914" s="7" t="n"/>
    </row>
    <row r="915">
      <c r="A915" s="9" t="n"/>
      <c r="B915" s="7" t="n"/>
      <c r="C915" s="7" t="n"/>
      <c r="D915" s="7" t="n"/>
      <c r="E915" s="7" t="n"/>
      <c r="F915" s="8" t="n"/>
      <c r="G915" s="7" t="n"/>
      <c r="H915" s="7" t="n"/>
      <c r="I915" s="7">
        <f>IF(C915="","",IFERROR(IF(INDEX(원생!$H$2:$H$501,MATCH(계산!$A915,계산!$E$2:$E$501,0))="예","예",""),""))</f>
        <v/>
      </c>
      <c r="J915" s="7" t="n"/>
    </row>
    <row r="916">
      <c r="A916" s="9" t="n"/>
      <c r="B916" s="7" t="n"/>
      <c r="C916" s="7" t="n"/>
      <c r="D916" s="7" t="n"/>
      <c r="E916" s="7" t="n"/>
      <c r="F916" s="8" t="n"/>
      <c r="G916" s="7" t="n"/>
      <c r="H916" s="7" t="n"/>
      <c r="I916" s="7">
        <f>IF(C916="","",IFERROR(IF(INDEX(원생!$H$2:$H$501,MATCH(계산!$A916,계산!$E$2:$E$501,0))="예","예",""),""))</f>
        <v/>
      </c>
      <c r="J916" s="7" t="n"/>
    </row>
    <row r="917">
      <c r="A917" s="9" t="n"/>
      <c r="B917" s="7" t="n"/>
      <c r="C917" s="7" t="n"/>
      <c r="D917" s="7" t="n"/>
      <c r="E917" s="7" t="n"/>
      <c r="F917" s="8" t="n"/>
      <c r="G917" s="7" t="n"/>
      <c r="H917" s="7" t="n"/>
      <c r="I917" s="7">
        <f>IF(C917="","",IFERROR(IF(INDEX(원생!$H$2:$H$501,MATCH(계산!$A917,계산!$E$2:$E$501,0))="예","예",""),""))</f>
        <v/>
      </c>
      <c r="J917" s="7" t="n"/>
    </row>
    <row r="918">
      <c r="A918" s="9" t="n"/>
      <c r="B918" s="7" t="n"/>
      <c r="C918" s="7" t="n"/>
      <c r="D918" s="7" t="n"/>
      <c r="E918" s="7" t="n"/>
      <c r="F918" s="8" t="n"/>
      <c r="G918" s="7" t="n"/>
      <c r="H918" s="7" t="n"/>
      <c r="I918" s="7">
        <f>IF(C918="","",IFERROR(IF(INDEX(원생!$H$2:$H$501,MATCH(계산!$A918,계산!$E$2:$E$501,0))="예","예",""),""))</f>
        <v/>
      </c>
      <c r="J918" s="7" t="n"/>
    </row>
    <row r="919">
      <c r="A919" s="9" t="n"/>
      <c r="B919" s="7" t="n"/>
      <c r="C919" s="7" t="n"/>
      <c r="D919" s="7" t="n"/>
      <c r="E919" s="7" t="n"/>
      <c r="F919" s="8" t="n"/>
      <c r="G919" s="7" t="n"/>
      <c r="H919" s="7" t="n"/>
      <c r="I919" s="7">
        <f>IF(C919="","",IFERROR(IF(INDEX(원생!$H$2:$H$501,MATCH(계산!$A919,계산!$E$2:$E$501,0))="예","예",""),""))</f>
        <v/>
      </c>
      <c r="J919" s="7" t="n"/>
    </row>
    <row r="920">
      <c r="A920" s="9" t="n"/>
      <c r="B920" s="7" t="n"/>
      <c r="C920" s="7" t="n"/>
      <c r="D920" s="7" t="n"/>
      <c r="E920" s="7" t="n"/>
      <c r="F920" s="8" t="n"/>
      <c r="G920" s="7" t="n"/>
      <c r="H920" s="7" t="n"/>
      <c r="I920" s="7">
        <f>IF(C920="","",IFERROR(IF(INDEX(원생!$H$2:$H$501,MATCH(계산!$A920,계산!$E$2:$E$501,0))="예","예",""),""))</f>
        <v/>
      </c>
      <c r="J920" s="7" t="n"/>
    </row>
    <row r="921">
      <c r="A921" s="9" t="n"/>
      <c r="B921" s="7" t="n"/>
      <c r="C921" s="7" t="n"/>
      <c r="D921" s="7" t="n"/>
      <c r="E921" s="7" t="n"/>
      <c r="F921" s="8" t="n"/>
      <c r="G921" s="7" t="n"/>
      <c r="H921" s="7" t="n"/>
      <c r="I921" s="7">
        <f>IF(C921="","",IFERROR(IF(INDEX(원생!$H$2:$H$501,MATCH(계산!$A921,계산!$E$2:$E$501,0))="예","예",""),""))</f>
        <v/>
      </c>
      <c r="J921" s="7" t="n"/>
    </row>
    <row r="922">
      <c r="A922" s="9" t="n"/>
      <c r="B922" s="7" t="n"/>
      <c r="C922" s="7" t="n"/>
      <c r="D922" s="7" t="n"/>
      <c r="E922" s="7" t="n"/>
      <c r="F922" s="8" t="n"/>
      <c r="G922" s="7" t="n"/>
      <c r="H922" s="7" t="n"/>
      <c r="I922" s="7">
        <f>IF(C922="","",IFERROR(IF(INDEX(원생!$H$2:$H$501,MATCH(계산!$A922,계산!$E$2:$E$501,0))="예","예",""),""))</f>
        <v/>
      </c>
      <c r="J922" s="7" t="n"/>
    </row>
    <row r="923">
      <c r="A923" s="9" t="n"/>
      <c r="B923" s="7" t="n"/>
      <c r="C923" s="7" t="n"/>
      <c r="D923" s="7" t="n"/>
      <c r="E923" s="7" t="n"/>
      <c r="F923" s="8" t="n"/>
      <c r="G923" s="7" t="n"/>
      <c r="H923" s="7" t="n"/>
      <c r="I923" s="7">
        <f>IF(C923="","",IFERROR(IF(INDEX(원생!$H$2:$H$501,MATCH(계산!$A923,계산!$E$2:$E$501,0))="예","예",""),""))</f>
        <v/>
      </c>
      <c r="J923" s="7" t="n"/>
    </row>
    <row r="924">
      <c r="A924" s="9" t="n"/>
      <c r="B924" s="7" t="n"/>
      <c r="C924" s="7" t="n"/>
      <c r="D924" s="7" t="n"/>
      <c r="E924" s="7" t="n"/>
      <c r="F924" s="8" t="n"/>
      <c r="G924" s="7" t="n"/>
      <c r="H924" s="7" t="n"/>
      <c r="I924" s="7">
        <f>IF(C924="","",IFERROR(IF(INDEX(원생!$H$2:$H$501,MATCH(계산!$A924,계산!$E$2:$E$501,0))="예","예",""),""))</f>
        <v/>
      </c>
      <c r="J924" s="7" t="n"/>
    </row>
    <row r="925">
      <c r="A925" s="9" t="n"/>
      <c r="B925" s="7" t="n"/>
      <c r="C925" s="7" t="n"/>
      <c r="D925" s="7" t="n"/>
      <c r="E925" s="7" t="n"/>
      <c r="F925" s="8" t="n"/>
      <c r="G925" s="7" t="n"/>
      <c r="H925" s="7" t="n"/>
      <c r="I925" s="7">
        <f>IF(C925="","",IFERROR(IF(INDEX(원생!$H$2:$H$501,MATCH(계산!$A925,계산!$E$2:$E$501,0))="예","예",""),""))</f>
        <v/>
      </c>
      <c r="J925" s="7" t="n"/>
    </row>
    <row r="926">
      <c r="A926" s="9" t="n"/>
      <c r="B926" s="7" t="n"/>
      <c r="C926" s="7" t="n"/>
      <c r="D926" s="7" t="n"/>
      <c r="E926" s="7" t="n"/>
      <c r="F926" s="8" t="n"/>
      <c r="G926" s="7" t="n"/>
      <c r="H926" s="7" t="n"/>
      <c r="I926" s="7">
        <f>IF(C926="","",IFERROR(IF(INDEX(원생!$H$2:$H$501,MATCH(계산!$A926,계산!$E$2:$E$501,0))="예","예",""),""))</f>
        <v/>
      </c>
      <c r="J926" s="7" t="n"/>
    </row>
    <row r="927">
      <c r="A927" s="9" t="n"/>
      <c r="B927" s="7" t="n"/>
      <c r="C927" s="7" t="n"/>
      <c r="D927" s="7" t="n"/>
      <c r="E927" s="7" t="n"/>
      <c r="F927" s="8" t="n"/>
      <c r="G927" s="7" t="n"/>
      <c r="H927" s="7" t="n"/>
      <c r="I927" s="7">
        <f>IF(C927="","",IFERROR(IF(INDEX(원생!$H$2:$H$501,MATCH(계산!$A927,계산!$E$2:$E$501,0))="예","예",""),""))</f>
        <v/>
      </c>
      <c r="J927" s="7" t="n"/>
    </row>
    <row r="928">
      <c r="A928" s="9" t="n"/>
      <c r="B928" s="7" t="n"/>
      <c r="C928" s="7" t="n"/>
      <c r="D928" s="7" t="n"/>
      <c r="E928" s="7" t="n"/>
      <c r="F928" s="8" t="n"/>
      <c r="G928" s="7" t="n"/>
      <c r="H928" s="7" t="n"/>
      <c r="I928" s="7">
        <f>IF(C928="","",IFERROR(IF(INDEX(원생!$H$2:$H$501,MATCH(계산!$A928,계산!$E$2:$E$501,0))="예","예",""),""))</f>
        <v/>
      </c>
      <c r="J928" s="7" t="n"/>
    </row>
    <row r="929">
      <c r="A929" s="9" t="n"/>
      <c r="B929" s="7" t="n"/>
      <c r="C929" s="7" t="n"/>
      <c r="D929" s="7" t="n"/>
      <c r="E929" s="7" t="n"/>
      <c r="F929" s="8" t="n"/>
      <c r="G929" s="7" t="n"/>
      <c r="H929" s="7" t="n"/>
      <c r="I929" s="7">
        <f>IF(C929="","",IFERROR(IF(INDEX(원생!$H$2:$H$501,MATCH(계산!$A929,계산!$E$2:$E$501,0))="예","예",""),""))</f>
        <v/>
      </c>
      <c r="J929" s="7" t="n"/>
    </row>
    <row r="930">
      <c r="A930" s="9" t="n"/>
      <c r="B930" s="7" t="n"/>
      <c r="C930" s="7" t="n"/>
      <c r="D930" s="7" t="n"/>
      <c r="E930" s="7" t="n"/>
      <c r="F930" s="8" t="n"/>
      <c r="G930" s="7" t="n"/>
      <c r="H930" s="7" t="n"/>
      <c r="I930" s="7">
        <f>IF(C930="","",IFERROR(IF(INDEX(원생!$H$2:$H$501,MATCH(계산!$A930,계산!$E$2:$E$501,0))="예","예",""),""))</f>
        <v/>
      </c>
      <c r="J930" s="7" t="n"/>
    </row>
    <row r="931">
      <c r="A931" s="9" t="n"/>
      <c r="B931" s="7" t="n"/>
      <c r="C931" s="7" t="n"/>
      <c r="D931" s="7" t="n"/>
      <c r="E931" s="7" t="n"/>
      <c r="F931" s="8" t="n"/>
      <c r="G931" s="7" t="n"/>
      <c r="H931" s="7" t="n"/>
      <c r="I931" s="7">
        <f>IF(C931="","",IFERROR(IF(INDEX(원생!$H$2:$H$501,MATCH(계산!$A931,계산!$E$2:$E$501,0))="예","예",""),""))</f>
        <v/>
      </c>
      <c r="J931" s="7" t="n"/>
    </row>
    <row r="932">
      <c r="A932" s="9" t="n"/>
      <c r="B932" s="7" t="n"/>
      <c r="C932" s="7" t="n"/>
      <c r="D932" s="7" t="n"/>
      <c r="E932" s="7" t="n"/>
      <c r="F932" s="8" t="n"/>
      <c r="G932" s="7" t="n"/>
      <c r="H932" s="7" t="n"/>
      <c r="I932" s="7">
        <f>IF(C932="","",IFERROR(IF(INDEX(원생!$H$2:$H$501,MATCH(계산!$A932,계산!$E$2:$E$501,0))="예","예",""),""))</f>
        <v/>
      </c>
      <c r="J932" s="7" t="n"/>
    </row>
    <row r="933">
      <c r="A933" s="9" t="n"/>
      <c r="B933" s="7" t="n"/>
      <c r="C933" s="7" t="n"/>
      <c r="D933" s="7" t="n"/>
      <c r="E933" s="7" t="n"/>
      <c r="F933" s="8" t="n"/>
      <c r="G933" s="7" t="n"/>
      <c r="H933" s="7" t="n"/>
      <c r="I933" s="7">
        <f>IF(C933="","",IFERROR(IF(INDEX(원생!$H$2:$H$501,MATCH(계산!$A933,계산!$E$2:$E$501,0))="예","예",""),""))</f>
        <v/>
      </c>
      <c r="J933" s="7" t="n"/>
    </row>
    <row r="934">
      <c r="A934" s="9" t="n"/>
      <c r="B934" s="7" t="n"/>
      <c r="C934" s="7" t="n"/>
      <c r="D934" s="7" t="n"/>
      <c r="E934" s="7" t="n"/>
      <c r="F934" s="8" t="n"/>
      <c r="G934" s="7" t="n"/>
      <c r="H934" s="7" t="n"/>
      <c r="I934" s="7">
        <f>IF(C934="","",IFERROR(IF(INDEX(원생!$H$2:$H$501,MATCH(계산!$A934,계산!$E$2:$E$501,0))="예","예",""),""))</f>
        <v/>
      </c>
      <c r="J934" s="7" t="n"/>
    </row>
    <row r="935">
      <c r="A935" s="9" t="n"/>
      <c r="B935" s="7" t="n"/>
      <c r="C935" s="7" t="n"/>
      <c r="D935" s="7" t="n"/>
      <c r="E935" s="7" t="n"/>
      <c r="F935" s="8" t="n"/>
      <c r="G935" s="7" t="n"/>
      <c r="H935" s="7" t="n"/>
      <c r="I935" s="7">
        <f>IF(C935="","",IFERROR(IF(INDEX(원생!$H$2:$H$501,MATCH(계산!$A935,계산!$E$2:$E$501,0))="예","예",""),""))</f>
        <v/>
      </c>
      <c r="J935" s="7" t="n"/>
    </row>
    <row r="936">
      <c r="A936" s="9" t="n"/>
      <c r="B936" s="7" t="n"/>
      <c r="C936" s="7" t="n"/>
      <c r="D936" s="7" t="n"/>
      <c r="E936" s="7" t="n"/>
      <c r="F936" s="8" t="n"/>
      <c r="G936" s="7" t="n"/>
      <c r="H936" s="7" t="n"/>
      <c r="I936" s="7">
        <f>IF(C936="","",IFERROR(IF(INDEX(원생!$H$2:$H$501,MATCH(계산!$A936,계산!$E$2:$E$501,0))="예","예",""),""))</f>
        <v/>
      </c>
      <c r="J936" s="7" t="n"/>
    </row>
    <row r="937">
      <c r="A937" s="9" t="n"/>
      <c r="B937" s="7" t="n"/>
      <c r="C937" s="7" t="n"/>
      <c r="D937" s="7" t="n"/>
      <c r="E937" s="7" t="n"/>
      <c r="F937" s="8" t="n"/>
      <c r="G937" s="7" t="n"/>
      <c r="H937" s="7" t="n"/>
      <c r="I937" s="7">
        <f>IF(C937="","",IFERROR(IF(INDEX(원생!$H$2:$H$501,MATCH(계산!$A937,계산!$E$2:$E$501,0))="예","예",""),""))</f>
        <v/>
      </c>
      <c r="J937" s="7" t="n"/>
    </row>
    <row r="938">
      <c r="A938" s="9" t="n"/>
      <c r="B938" s="7" t="n"/>
      <c r="C938" s="7" t="n"/>
      <c r="D938" s="7" t="n"/>
      <c r="E938" s="7" t="n"/>
      <c r="F938" s="8" t="n"/>
      <c r="G938" s="7" t="n"/>
      <c r="H938" s="7" t="n"/>
      <c r="I938" s="7">
        <f>IF(C938="","",IFERROR(IF(INDEX(원생!$H$2:$H$501,MATCH(계산!$A938,계산!$E$2:$E$501,0))="예","예",""),""))</f>
        <v/>
      </c>
      <c r="J938" s="7" t="n"/>
    </row>
    <row r="939">
      <c r="A939" s="9" t="n"/>
      <c r="B939" s="7" t="n"/>
      <c r="C939" s="7" t="n"/>
      <c r="D939" s="7" t="n"/>
      <c r="E939" s="7" t="n"/>
      <c r="F939" s="8" t="n"/>
      <c r="G939" s="7" t="n"/>
      <c r="H939" s="7" t="n"/>
      <c r="I939" s="7">
        <f>IF(C939="","",IFERROR(IF(INDEX(원생!$H$2:$H$501,MATCH(계산!$A939,계산!$E$2:$E$501,0))="예","예",""),""))</f>
        <v/>
      </c>
      <c r="J939" s="7" t="n"/>
    </row>
    <row r="940">
      <c r="A940" s="9" t="n"/>
      <c r="B940" s="7" t="n"/>
      <c r="C940" s="7" t="n"/>
      <c r="D940" s="7" t="n"/>
      <c r="E940" s="7" t="n"/>
      <c r="F940" s="8" t="n"/>
      <c r="G940" s="7" t="n"/>
      <c r="H940" s="7" t="n"/>
      <c r="I940" s="7">
        <f>IF(C940="","",IFERROR(IF(INDEX(원생!$H$2:$H$501,MATCH(계산!$A940,계산!$E$2:$E$501,0))="예","예",""),""))</f>
        <v/>
      </c>
      <c r="J940" s="7" t="n"/>
    </row>
    <row r="941">
      <c r="A941" s="9" t="n"/>
      <c r="B941" s="7" t="n"/>
      <c r="C941" s="7" t="n"/>
      <c r="D941" s="7" t="n"/>
      <c r="E941" s="7" t="n"/>
      <c r="F941" s="8" t="n"/>
      <c r="G941" s="7" t="n"/>
      <c r="H941" s="7" t="n"/>
      <c r="I941" s="7">
        <f>IF(C941="","",IFERROR(IF(INDEX(원생!$H$2:$H$501,MATCH(계산!$A941,계산!$E$2:$E$501,0))="예","예",""),""))</f>
        <v/>
      </c>
      <c r="J941" s="7" t="n"/>
    </row>
    <row r="942">
      <c r="A942" s="9" t="n"/>
      <c r="B942" s="7" t="n"/>
      <c r="C942" s="7" t="n"/>
      <c r="D942" s="7" t="n"/>
      <c r="E942" s="7" t="n"/>
      <c r="F942" s="8" t="n"/>
      <c r="G942" s="7" t="n"/>
      <c r="H942" s="7" t="n"/>
      <c r="I942" s="7">
        <f>IF(C942="","",IFERROR(IF(INDEX(원생!$H$2:$H$501,MATCH(계산!$A942,계산!$E$2:$E$501,0))="예","예",""),""))</f>
        <v/>
      </c>
      <c r="J942" s="7" t="n"/>
    </row>
    <row r="943">
      <c r="A943" s="9" t="n"/>
      <c r="B943" s="7" t="n"/>
      <c r="C943" s="7" t="n"/>
      <c r="D943" s="7" t="n"/>
      <c r="E943" s="7" t="n"/>
      <c r="F943" s="8" t="n"/>
      <c r="G943" s="7" t="n"/>
      <c r="H943" s="7" t="n"/>
      <c r="I943" s="7">
        <f>IF(C943="","",IFERROR(IF(INDEX(원생!$H$2:$H$501,MATCH(계산!$A943,계산!$E$2:$E$501,0))="예","예",""),""))</f>
        <v/>
      </c>
      <c r="J943" s="7" t="n"/>
    </row>
    <row r="944">
      <c r="A944" s="9" t="n"/>
      <c r="B944" s="7" t="n"/>
      <c r="C944" s="7" t="n"/>
      <c r="D944" s="7" t="n"/>
      <c r="E944" s="7" t="n"/>
      <c r="F944" s="8" t="n"/>
      <c r="G944" s="7" t="n"/>
      <c r="H944" s="7" t="n"/>
      <c r="I944" s="7">
        <f>IF(C944="","",IFERROR(IF(INDEX(원생!$H$2:$H$501,MATCH(계산!$A944,계산!$E$2:$E$501,0))="예","예",""),""))</f>
        <v/>
      </c>
      <c r="J944" s="7" t="n"/>
    </row>
    <row r="945">
      <c r="A945" s="9" t="n"/>
      <c r="B945" s="7" t="n"/>
      <c r="C945" s="7" t="n"/>
      <c r="D945" s="7" t="n"/>
      <c r="E945" s="7" t="n"/>
      <c r="F945" s="8" t="n"/>
      <c r="G945" s="7" t="n"/>
      <c r="H945" s="7" t="n"/>
      <c r="I945" s="7">
        <f>IF(C945="","",IFERROR(IF(INDEX(원생!$H$2:$H$501,MATCH(계산!$A945,계산!$E$2:$E$501,0))="예","예",""),""))</f>
        <v/>
      </c>
      <c r="J945" s="7" t="n"/>
    </row>
    <row r="946">
      <c r="A946" s="9" t="n"/>
      <c r="B946" s="7" t="n"/>
      <c r="C946" s="7" t="n"/>
      <c r="D946" s="7" t="n"/>
      <c r="E946" s="7" t="n"/>
      <c r="F946" s="8" t="n"/>
      <c r="G946" s="7" t="n"/>
      <c r="H946" s="7" t="n"/>
      <c r="I946" s="7">
        <f>IF(C946="","",IFERROR(IF(INDEX(원생!$H$2:$H$501,MATCH(계산!$A946,계산!$E$2:$E$501,0))="예","예",""),""))</f>
        <v/>
      </c>
      <c r="J946" s="7" t="n"/>
    </row>
    <row r="947">
      <c r="A947" s="9" t="n"/>
      <c r="B947" s="7" t="n"/>
      <c r="C947" s="7" t="n"/>
      <c r="D947" s="7" t="n"/>
      <c r="E947" s="7" t="n"/>
      <c r="F947" s="8" t="n"/>
      <c r="G947" s="7" t="n"/>
      <c r="H947" s="7" t="n"/>
      <c r="I947" s="7">
        <f>IF(C947="","",IFERROR(IF(INDEX(원생!$H$2:$H$501,MATCH(계산!$A947,계산!$E$2:$E$501,0))="예","예",""),""))</f>
        <v/>
      </c>
      <c r="J947" s="7" t="n"/>
    </row>
    <row r="948">
      <c r="A948" s="9" t="n"/>
      <c r="B948" s="7" t="n"/>
      <c r="C948" s="7" t="n"/>
      <c r="D948" s="7" t="n"/>
      <c r="E948" s="7" t="n"/>
      <c r="F948" s="8" t="n"/>
      <c r="G948" s="7" t="n"/>
      <c r="H948" s="7" t="n"/>
      <c r="I948" s="7">
        <f>IF(C948="","",IFERROR(IF(INDEX(원생!$H$2:$H$501,MATCH(계산!$A948,계산!$E$2:$E$501,0))="예","예",""),""))</f>
        <v/>
      </c>
      <c r="J948" s="7" t="n"/>
    </row>
    <row r="949">
      <c r="A949" s="9" t="n"/>
      <c r="B949" s="7" t="n"/>
      <c r="C949" s="7" t="n"/>
      <c r="D949" s="7" t="n"/>
      <c r="E949" s="7" t="n"/>
      <c r="F949" s="8" t="n"/>
      <c r="G949" s="7" t="n"/>
      <c r="H949" s="7" t="n"/>
      <c r="I949" s="7">
        <f>IF(C949="","",IFERROR(IF(INDEX(원생!$H$2:$H$501,MATCH(계산!$A949,계산!$E$2:$E$501,0))="예","예",""),""))</f>
        <v/>
      </c>
      <c r="J949" s="7" t="n"/>
    </row>
    <row r="950">
      <c r="A950" s="9" t="n"/>
      <c r="B950" s="7" t="n"/>
      <c r="C950" s="7" t="n"/>
      <c r="D950" s="7" t="n"/>
      <c r="E950" s="7" t="n"/>
      <c r="F950" s="8" t="n"/>
      <c r="G950" s="7" t="n"/>
      <c r="H950" s="7" t="n"/>
      <c r="I950" s="7">
        <f>IF(C950="","",IFERROR(IF(INDEX(원생!$H$2:$H$501,MATCH(계산!$A950,계산!$E$2:$E$501,0))="예","예",""),""))</f>
        <v/>
      </c>
      <c r="J950" s="7" t="n"/>
    </row>
    <row r="951">
      <c r="A951" s="9" t="n"/>
      <c r="B951" s="7" t="n"/>
      <c r="C951" s="7" t="n"/>
      <c r="D951" s="7" t="n"/>
      <c r="E951" s="7" t="n"/>
      <c r="F951" s="8" t="n"/>
      <c r="G951" s="7" t="n"/>
      <c r="H951" s="7" t="n"/>
      <c r="I951" s="7">
        <f>IF(C951="","",IFERROR(IF(INDEX(원생!$H$2:$H$501,MATCH(계산!$A951,계산!$E$2:$E$501,0))="예","예",""),""))</f>
        <v/>
      </c>
      <c r="J951" s="7" t="n"/>
    </row>
    <row r="952">
      <c r="A952" s="9" t="n"/>
      <c r="B952" s="7" t="n"/>
      <c r="C952" s="7" t="n"/>
      <c r="D952" s="7" t="n"/>
      <c r="E952" s="7" t="n"/>
      <c r="F952" s="8" t="n"/>
      <c r="G952" s="7" t="n"/>
      <c r="H952" s="7" t="n"/>
      <c r="I952" s="7">
        <f>IF(C952="","",IFERROR(IF(INDEX(원생!$H$2:$H$501,MATCH(계산!$A952,계산!$E$2:$E$501,0))="예","예",""),""))</f>
        <v/>
      </c>
      <c r="J952" s="7" t="n"/>
    </row>
    <row r="953">
      <c r="A953" s="9" t="n"/>
      <c r="B953" s="7" t="n"/>
      <c r="C953" s="7" t="n"/>
      <c r="D953" s="7" t="n"/>
      <c r="E953" s="7" t="n"/>
      <c r="F953" s="8" t="n"/>
      <c r="G953" s="7" t="n"/>
      <c r="H953" s="7" t="n"/>
      <c r="I953" s="7">
        <f>IF(C953="","",IFERROR(IF(INDEX(원생!$H$2:$H$501,MATCH(계산!$A953,계산!$E$2:$E$501,0))="예","예",""),""))</f>
        <v/>
      </c>
      <c r="J953" s="7" t="n"/>
    </row>
    <row r="954">
      <c r="A954" s="9" t="n"/>
      <c r="B954" s="7" t="n"/>
      <c r="C954" s="7" t="n"/>
      <c r="D954" s="7" t="n"/>
      <c r="E954" s="7" t="n"/>
      <c r="F954" s="8" t="n"/>
      <c r="G954" s="7" t="n"/>
      <c r="H954" s="7" t="n"/>
      <c r="I954" s="7">
        <f>IF(C954="","",IFERROR(IF(INDEX(원생!$H$2:$H$501,MATCH(계산!$A954,계산!$E$2:$E$501,0))="예","예",""),""))</f>
        <v/>
      </c>
      <c r="J954" s="7" t="n"/>
    </row>
    <row r="955">
      <c r="A955" s="9" t="n"/>
      <c r="B955" s="7" t="n"/>
      <c r="C955" s="7" t="n"/>
      <c r="D955" s="7" t="n"/>
      <c r="E955" s="7" t="n"/>
      <c r="F955" s="8" t="n"/>
      <c r="G955" s="7" t="n"/>
      <c r="H955" s="7" t="n"/>
      <c r="I955" s="7">
        <f>IF(C955="","",IFERROR(IF(INDEX(원생!$H$2:$H$501,MATCH(계산!$A955,계산!$E$2:$E$501,0))="예","예",""),""))</f>
        <v/>
      </c>
      <c r="J955" s="7" t="n"/>
    </row>
    <row r="956">
      <c r="A956" s="9" t="n"/>
      <c r="B956" s="7" t="n"/>
      <c r="C956" s="7" t="n"/>
      <c r="D956" s="7" t="n"/>
      <c r="E956" s="7" t="n"/>
      <c r="F956" s="8" t="n"/>
      <c r="G956" s="7" t="n"/>
      <c r="H956" s="7" t="n"/>
      <c r="I956" s="7">
        <f>IF(C956="","",IFERROR(IF(INDEX(원생!$H$2:$H$501,MATCH(계산!$A956,계산!$E$2:$E$501,0))="예","예",""),""))</f>
        <v/>
      </c>
      <c r="J956" s="7" t="n"/>
    </row>
    <row r="957">
      <c r="A957" s="9" t="n"/>
      <c r="B957" s="7" t="n"/>
      <c r="C957" s="7" t="n"/>
      <c r="D957" s="7" t="n"/>
      <c r="E957" s="7" t="n"/>
      <c r="F957" s="8" t="n"/>
      <c r="G957" s="7" t="n"/>
      <c r="H957" s="7" t="n"/>
      <c r="I957" s="7">
        <f>IF(C957="","",IFERROR(IF(INDEX(원생!$H$2:$H$501,MATCH(계산!$A957,계산!$E$2:$E$501,0))="예","예",""),""))</f>
        <v/>
      </c>
      <c r="J957" s="7" t="n"/>
    </row>
    <row r="958">
      <c r="A958" s="9" t="n"/>
      <c r="B958" s="7" t="n"/>
      <c r="C958" s="7" t="n"/>
      <c r="D958" s="7" t="n"/>
      <c r="E958" s="7" t="n"/>
      <c r="F958" s="8" t="n"/>
      <c r="G958" s="7" t="n"/>
      <c r="H958" s="7" t="n"/>
      <c r="I958" s="7">
        <f>IF(C958="","",IFERROR(IF(INDEX(원생!$H$2:$H$501,MATCH(계산!$A958,계산!$E$2:$E$501,0))="예","예",""),""))</f>
        <v/>
      </c>
      <c r="J958" s="7" t="n"/>
    </row>
    <row r="959">
      <c r="A959" s="9" t="n"/>
      <c r="B959" s="7" t="n"/>
      <c r="C959" s="7" t="n"/>
      <c r="D959" s="7" t="n"/>
      <c r="E959" s="7" t="n"/>
      <c r="F959" s="8" t="n"/>
      <c r="G959" s="7" t="n"/>
      <c r="H959" s="7" t="n"/>
      <c r="I959" s="7">
        <f>IF(C959="","",IFERROR(IF(INDEX(원생!$H$2:$H$501,MATCH(계산!$A959,계산!$E$2:$E$501,0))="예","예",""),""))</f>
        <v/>
      </c>
      <c r="J959" s="7" t="n"/>
    </row>
    <row r="960">
      <c r="A960" s="9" t="n"/>
      <c r="B960" s="7" t="n"/>
      <c r="C960" s="7" t="n"/>
      <c r="D960" s="7" t="n"/>
      <c r="E960" s="7" t="n"/>
      <c r="F960" s="8" t="n"/>
      <c r="G960" s="7" t="n"/>
      <c r="H960" s="7" t="n"/>
      <c r="I960" s="7">
        <f>IF(C960="","",IFERROR(IF(INDEX(원생!$H$2:$H$501,MATCH(계산!$A960,계산!$E$2:$E$501,0))="예","예",""),""))</f>
        <v/>
      </c>
      <c r="J960" s="7" t="n"/>
    </row>
    <row r="961">
      <c r="A961" s="9" t="n"/>
      <c r="B961" s="7" t="n"/>
      <c r="C961" s="7" t="n"/>
      <c r="D961" s="7" t="n"/>
      <c r="E961" s="7" t="n"/>
      <c r="F961" s="8" t="n"/>
      <c r="G961" s="7" t="n"/>
      <c r="H961" s="7" t="n"/>
      <c r="I961" s="7">
        <f>IF(C961="","",IFERROR(IF(INDEX(원생!$H$2:$H$501,MATCH(계산!$A961,계산!$E$2:$E$501,0))="예","예",""),""))</f>
        <v/>
      </c>
      <c r="J961" s="7" t="n"/>
    </row>
    <row r="962">
      <c r="A962" s="9" t="n"/>
      <c r="B962" s="7" t="n"/>
      <c r="C962" s="7" t="n"/>
      <c r="D962" s="7" t="n"/>
      <c r="E962" s="7" t="n"/>
      <c r="F962" s="8" t="n"/>
      <c r="G962" s="7" t="n"/>
      <c r="H962" s="7" t="n"/>
      <c r="I962" s="7">
        <f>IF(C962="","",IFERROR(IF(INDEX(원생!$H$2:$H$501,MATCH(계산!$A962,계산!$E$2:$E$501,0))="예","예",""),""))</f>
        <v/>
      </c>
      <c r="J962" s="7" t="n"/>
    </row>
    <row r="963">
      <c r="A963" s="9" t="n"/>
      <c r="B963" s="7" t="n"/>
      <c r="C963" s="7" t="n"/>
      <c r="D963" s="7" t="n"/>
      <c r="E963" s="7" t="n"/>
      <c r="F963" s="8" t="n"/>
      <c r="G963" s="7" t="n"/>
      <c r="H963" s="7" t="n"/>
      <c r="I963" s="7">
        <f>IF(C963="","",IFERROR(IF(INDEX(원생!$H$2:$H$501,MATCH(계산!$A963,계산!$E$2:$E$501,0))="예","예",""),""))</f>
        <v/>
      </c>
      <c r="J963" s="7" t="n"/>
    </row>
    <row r="964">
      <c r="A964" s="9" t="n"/>
      <c r="B964" s="7" t="n"/>
      <c r="C964" s="7" t="n"/>
      <c r="D964" s="7" t="n"/>
      <c r="E964" s="7" t="n"/>
      <c r="F964" s="8" t="n"/>
      <c r="G964" s="7" t="n"/>
      <c r="H964" s="7" t="n"/>
      <c r="I964" s="7">
        <f>IF(C964="","",IFERROR(IF(INDEX(원생!$H$2:$H$501,MATCH(계산!$A964,계산!$E$2:$E$501,0))="예","예",""),""))</f>
        <v/>
      </c>
      <c r="J964" s="7" t="n"/>
    </row>
    <row r="965">
      <c r="A965" s="9" t="n"/>
      <c r="B965" s="7" t="n"/>
      <c r="C965" s="7" t="n"/>
      <c r="D965" s="7" t="n"/>
      <c r="E965" s="7" t="n"/>
      <c r="F965" s="8" t="n"/>
      <c r="G965" s="7" t="n"/>
      <c r="H965" s="7" t="n"/>
      <c r="I965" s="7">
        <f>IF(C965="","",IFERROR(IF(INDEX(원생!$H$2:$H$501,MATCH(계산!$A965,계산!$E$2:$E$501,0))="예","예",""),""))</f>
        <v/>
      </c>
      <c r="J965" s="7" t="n"/>
    </row>
    <row r="966">
      <c r="A966" s="9" t="n"/>
      <c r="B966" s="7" t="n"/>
      <c r="C966" s="7" t="n"/>
      <c r="D966" s="7" t="n"/>
      <c r="E966" s="7" t="n"/>
      <c r="F966" s="8" t="n"/>
      <c r="G966" s="7" t="n"/>
      <c r="H966" s="7" t="n"/>
      <c r="I966" s="7">
        <f>IF(C966="","",IFERROR(IF(INDEX(원생!$H$2:$H$501,MATCH(계산!$A966,계산!$E$2:$E$501,0))="예","예",""),""))</f>
        <v/>
      </c>
      <c r="J966" s="7" t="n"/>
    </row>
    <row r="967">
      <c r="A967" s="9" t="n"/>
      <c r="B967" s="7" t="n"/>
      <c r="C967" s="7" t="n"/>
      <c r="D967" s="7" t="n"/>
      <c r="E967" s="7" t="n"/>
      <c r="F967" s="8" t="n"/>
      <c r="G967" s="7" t="n"/>
      <c r="H967" s="7" t="n"/>
      <c r="I967" s="7">
        <f>IF(C967="","",IFERROR(IF(INDEX(원생!$H$2:$H$501,MATCH(계산!$A967,계산!$E$2:$E$501,0))="예","예",""),""))</f>
        <v/>
      </c>
      <c r="J967" s="7" t="n"/>
    </row>
    <row r="968">
      <c r="A968" s="9" t="n"/>
      <c r="B968" s="7" t="n"/>
      <c r="C968" s="7" t="n"/>
      <c r="D968" s="7" t="n"/>
      <c r="E968" s="7" t="n"/>
      <c r="F968" s="8" t="n"/>
      <c r="G968" s="7" t="n"/>
      <c r="H968" s="7" t="n"/>
      <c r="I968" s="7">
        <f>IF(C968="","",IFERROR(IF(INDEX(원생!$H$2:$H$501,MATCH(계산!$A968,계산!$E$2:$E$501,0))="예","예",""),""))</f>
        <v/>
      </c>
      <c r="J968" s="7" t="n"/>
    </row>
    <row r="969">
      <c r="A969" s="9" t="n"/>
      <c r="B969" s="7" t="n"/>
      <c r="C969" s="7" t="n"/>
      <c r="D969" s="7" t="n"/>
      <c r="E969" s="7" t="n"/>
      <c r="F969" s="8" t="n"/>
      <c r="G969" s="7" t="n"/>
      <c r="H969" s="7" t="n"/>
      <c r="I969" s="7">
        <f>IF(C969="","",IFERROR(IF(INDEX(원생!$H$2:$H$501,MATCH(계산!$A969,계산!$E$2:$E$501,0))="예","예",""),""))</f>
        <v/>
      </c>
      <c r="J969" s="7" t="n"/>
    </row>
    <row r="970">
      <c r="A970" s="9" t="n"/>
      <c r="B970" s="7" t="n"/>
      <c r="C970" s="7" t="n"/>
      <c r="D970" s="7" t="n"/>
      <c r="E970" s="7" t="n"/>
      <c r="F970" s="8" t="n"/>
      <c r="G970" s="7" t="n"/>
      <c r="H970" s="7" t="n"/>
      <c r="I970" s="7">
        <f>IF(C970="","",IFERROR(IF(INDEX(원생!$H$2:$H$501,MATCH(계산!$A970,계산!$E$2:$E$501,0))="예","예",""),""))</f>
        <v/>
      </c>
      <c r="J970" s="7" t="n"/>
    </row>
    <row r="971">
      <c r="A971" s="9" t="n"/>
      <c r="B971" s="7" t="n"/>
      <c r="C971" s="7" t="n"/>
      <c r="D971" s="7" t="n"/>
      <c r="E971" s="7" t="n"/>
      <c r="F971" s="8" t="n"/>
      <c r="G971" s="7" t="n"/>
      <c r="H971" s="7" t="n"/>
      <c r="I971" s="7">
        <f>IF(C971="","",IFERROR(IF(INDEX(원생!$H$2:$H$501,MATCH(계산!$A971,계산!$E$2:$E$501,0))="예","예",""),""))</f>
        <v/>
      </c>
      <c r="J971" s="7" t="n"/>
    </row>
    <row r="972">
      <c r="A972" s="9" t="n"/>
      <c r="B972" s="7" t="n"/>
      <c r="C972" s="7" t="n"/>
      <c r="D972" s="7" t="n"/>
      <c r="E972" s="7" t="n"/>
      <c r="F972" s="8" t="n"/>
      <c r="G972" s="7" t="n"/>
      <c r="H972" s="7" t="n"/>
      <c r="I972" s="7">
        <f>IF(C972="","",IFERROR(IF(INDEX(원생!$H$2:$H$501,MATCH(계산!$A972,계산!$E$2:$E$501,0))="예","예",""),""))</f>
        <v/>
      </c>
      <c r="J972" s="7" t="n"/>
    </row>
    <row r="973">
      <c r="A973" s="9" t="n"/>
      <c r="B973" s="7" t="n"/>
      <c r="C973" s="7" t="n"/>
      <c r="D973" s="7" t="n"/>
      <c r="E973" s="7" t="n"/>
      <c r="F973" s="8" t="n"/>
      <c r="G973" s="7" t="n"/>
      <c r="H973" s="7" t="n"/>
      <c r="I973" s="7">
        <f>IF(C973="","",IFERROR(IF(INDEX(원생!$H$2:$H$501,MATCH(계산!$A973,계산!$E$2:$E$501,0))="예","예",""),""))</f>
        <v/>
      </c>
      <c r="J973" s="7" t="n"/>
    </row>
    <row r="974">
      <c r="A974" s="9" t="n"/>
      <c r="B974" s="7" t="n"/>
      <c r="C974" s="7" t="n"/>
      <c r="D974" s="7" t="n"/>
      <c r="E974" s="7" t="n"/>
      <c r="F974" s="8" t="n"/>
      <c r="G974" s="7" t="n"/>
      <c r="H974" s="7" t="n"/>
      <c r="I974" s="7">
        <f>IF(C974="","",IFERROR(IF(INDEX(원생!$H$2:$H$501,MATCH(계산!$A974,계산!$E$2:$E$501,0))="예","예",""),""))</f>
        <v/>
      </c>
      <c r="J974" s="7" t="n"/>
    </row>
    <row r="975">
      <c r="A975" s="9" t="n"/>
      <c r="B975" s="7" t="n"/>
      <c r="C975" s="7" t="n"/>
      <c r="D975" s="7" t="n"/>
      <c r="E975" s="7" t="n"/>
      <c r="F975" s="8" t="n"/>
      <c r="G975" s="7" t="n"/>
      <c r="H975" s="7" t="n"/>
      <c r="I975" s="7">
        <f>IF(C975="","",IFERROR(IF(INDEX(원생!$H$2:$H$501,MATCH(계산!$A975,계산!$E$2:$E$501,0))="예","예",""),""))</f>
        <v/>
      </c>
      <c r="J975" s="7" t="n"/>
    </row>
    <row r="976">
      <c r="A976" s="9" t="n"/>
      <c r="B976" s="7" t="n"/>
      <c r="C976" s="7" t="n"/>
      <c r="D976" s="7" t="n"/>
      <c r="E976" s="7" t="n"/>
      <c r="F976" s="8" t="n"/>
      <c r="G976" s="7" t="n"/>
      <c r="H976" s="7" t="n"/>
      <c r="I976" s="7">
        <f>IF(C976="","",IFERROR(IF(INDEX(원생!$H$2:$H$501,MATCH(계산!$A976,계산!$E$2:$E$501,0))="예","예",""),""))</f>
        <v/>
      </c>
      <c r="J976" s="7" t="n"/>
    </row>
    <row r="977">
      <c r="A977" s="9" t="n"/>
      <c r="B977" s="7" t="n"/>
      <c r="C977" s="7" t="n"/>
      <c r="D977" s="7" t="n"/>
      <c r="E977" s="7" t="n"/>
      <c r="F977" s="8" t="n"/>
      <c r="G977" s="7" t="n"/>
      <c r="H977" s="7" t="n"/>
      <c r="I977" s="7">
        <f>IF(C977="","",IFERROR(IF(INDEX(원생!$H$2:$H$501,MATCH(계산!$A977,계산!$E$2:$E$501,0))="예","예",""),""))</f>
        <v/>
      </c>
      <c r="J977" s="7" t="n"/>
    </row>
    <row r="978">
      <c r="A978" s="9" t="n"/>
      <c r="B978" s="7" t="n"/>
      <c r="C978" s="7" t="n"/>
      <c r="D978" s="7" t="n"/>
      <c r="E978" s="7" t="n"/>
      <c r="F978" s="8" t="n"/>
      <c r="G978" s="7" t="n"/>
      <c r="H978" s="7" t="n"/>
      <c r="I978" s="7">
        <f>IF(C978="","",IFERROR(IF(INDEX(원생!$H$2:$H$501,MATCH(계산!$A978,계산!$E$2:$E$501,0))="예","예",""),""))</f>
        <v/>
      </c>
      <c r="J978" s="7" t="n"/>
    </row>
    <row r="979">
      <c r="A979" s="9" t="n"/>
      <c r="B979" s="7" t="n"/>
      <c r="C979" s="7" t="n"/>
      <c r="D979" s="7" t="n"/>
      <c r="E979" s="7" t="n"/>
      <c r="F979" s="8" t="n"/>
      <c r="G979" s="7" t="n"/>
      <c r="H979" s="7" t="n"/>
      <c r="I979" s="7">
        <f>IF(C979="","",IFERROR(IF(INDEX(원생!$H$2:$H$501,MATCH(계산!$A979,계산!$E$2:$E$501,0))="예","예",""),""))</f>
        <v/>
      </c>
      <c r="J979" s="7" t="n"/>
    </row>
    <row r="980">
      <c r="A980" s="9" t="n"/>
      <c r="B980" s="7" t="n"/>
      <c r="C980" s="7" t="n"/>
      <c r="D980" s="7" t="n"/>
      <c r="E980" s="7" t="n"/>
      <c r="F980" s="8" t="n"/>
      <c r="G980" s="7" t="n"/>
      <c r="H980" s="7" t="n"/>
      <c r="I980" s="7">
        <f>IF(C980="","",IFERROR(IF(INDEX(원생!$H$2:$H$501,MATCH(계산!$A980,계산!$E$2:$E$501,0))="예","예",""),""))</f>
        <v/>
      </c>
      <c r="J980" s="7" t="n"/>
    </row>
    <row r="981">
      <c r="A981" s="9" t="n"/>
      <c r="B981" s="7" t="n"/>
      <c r="C981" s="7" t="n"/>
      <c r="D981" s="7" t="n"/>
      <c r="E981" s="7" t="n"/>
      <c r="F981" s="8" t="n"/>
      <c r="G981" s="7" t="n"/>
      <c r="H981" s="7" t="n"/>
      <c r="I981" s="7">
        <f>IF(C981="","",IFERROR(IF(INDEX(원생!$H$2:$H$501,MATCH(계산!$A981,계산!$E$2:$E$501,0))="예","예",""),""))</f>
        <v/>
      </c>
      <c r="J981" s="7" t="n"/>
    </row>
    <row r="982">
      <c r="A982" s="9" t="n"/>
      <c r="B982" s="7" t="n"/>
      <c r="C982" s="7" t="n"/>
      <c r="D982" s="7" t="n"/>
      <c r="E982" s="7" t="n"/>
      <c r="F982" s="8" t="n"/>
      <c r="G982" s="7" t="n"/>
      <c r="H982" s="7" t="n"/>
      <c r="I982" s="7">
        <f>IF(C982="","",IFERROR(IF(INDEX(원생!$H$2:$H$501,MATCH(계산!$A982,계산!$E$2:$E$501,0))="예","예",""),""))</f>
        <v/>
      </c>
      <c r="J982" s="7" t="n"/>
    </row>
    <row r="983">
      <c r="A983" s="9" t="n"/>
      <c r="B983" s="7" t="n"/>
      <c r="C983" s="7" t="n"/>
      <c r="D983" s="7" t="n"/>
      <c r="E983" s="7" t="n"/>
      <c r="F983" s="8" t="n"/>
      <c r="G983" s="7" t="n"/>
      <c r="H983" s="7" t="n"/>
      <c r="I983" s="7">
        <f>IF(C983="","",IFERROR(IF(INDEX(원생!$H$2:$H$501,MATCH(계산!$A983,계산!$E$2:$E$501,0))="예","예",""),""))</f>
        <v/>
      </c>
      <c r="J983" s="7" t="n"/>
    </row>
    <row r="984">
      <c r="A984" s="9" t="n"/>
      <c r="B984" s="7" t="n"/>
      <c r="C984" s="7" t="n"/>
      <c r="D984" s="7" t="n"/>
      <c r="E984" s="7" t="n"/>
      <c r="F984" s="8" t="n"/>
      <c r="G984" s="7" t="n"/>
      <c r="H984" s="7" t="n"/>
      <c r="I984" s="7">
        <f>IF(C984="","",IFERROR(IF(INDEX(원생!$H$2:$H$501,MATCH(계산!$A984,계산!$E$2:$E$501,0))="예","예",""),""))</f>
        <v/>
      </c>
      <c r="J984" s="7" t="n"/>
    </row>
    <row r="985">
      <c r="A985" s="9" t="n"/>
      <c r="B985" s="7" t="n"/>
      <c r="C985" s="7" t="n"/>
      <c r="D985" s="7" t="n"/>
      <c r="E985" s="7" t="n"/>
      <c r="F985" s="8" t="n"/>
      <c r="G985" s="7" t="n"/>
      <c r="H985" s="7" t="n"/>
      <c r="I985" s="7">
        <f>IF(C985="","",IFERROR(IF(INDEX(원생!$H$2:$H$501,MATCH(계산!$A985,계산!$E$2:$E$501,0))="예","예",""),""))</f>
        <v/>
      </c>
      <c r="J985" s="7" t="n"/>
    </row>
    <row r="986">
      <c r="A986" s="9" t="n"/>
      <c r="B986" s="7" t="n"/>
      <c r="C986" s="7" t="n"/>
      <c r="D986" s="7" t="n"/>
      <c r="E986" s="7" t="n"/>
      <c r="F986" s="8" t="n"/>
      <c r="G986" s="7" t="n"/>
      <c r="H986" s="7" t="n"/>
      <c r="I986" s="7">
        <f>IF(C986="","",IFERROR(IF(INDEX(원생!$H$2:$H$501,MATCH(계산!$A986,계산!$E$2:$E$501,0))="예","예",""),""))</f>
        <v/>
      </c>
      <c r="J986" s="7" t="n"/>
    </row>
    <row r="987">
      <c r="A987" s="9" t="n"/>
      <c r="B987" s="7" t="n"/>
      <c r="C987" s="7" t="n"/>
      <c r="D987" s="7" t="n"/>
      <c r="E987" s="7" t="n"/>
      <c r="F987" s="8" t="n"/>
      <c r="G987" s="7" t="n"/>
      <c r="H987" s="7" t="n"/>
      <c r="I987" s="7">
        <f>IF(C987="","",IFERROR(IF(INDEX(원생!$H$2:$H$501,MATCH(계산!$A987,계산!$E$2:$E$501,0))="예","예",""),""))</f>
        <v/>
      </c>
      <c r="J987" s="7" t="n"/>
    </row>
    <row r="988">
      <c r="A988" s="9" t="n"/>
      <c r="B988" s="7" t="n"/>
      <c r="C988" s="7" t="n"/>
      <c r="D988" s="7" t="n"/>
      <c r="E988" s="7" t="n"/>
      <c r="F988" s="8" t="n"/>
      <c r="G988" s="7" t="n"/>
      <c r="H988" s="7" t="n"/>
      <c r="I988" s="7">
        <f>IF(C988="","",IFERROR(IF(INDEX(원생!$H$2:$H$501,MATCH(계산!$A988,계산!$E$2:$E$501,0))="예","예",""),""))</f>
        <v/>
      </c>
      <c r="J988" s="7" t="n"/>
    </row>
    <row r="989">
      <c r="A989" s="9" t="n"/>
      <c r="B989" s="7" t="n"/>
      <c r="C989" s="7" t="n"/>
      <c r="D989" s="7" t="n"/>
      <c r="E989" s="7" t="n"/>
      <c r="F989" s="8" t="n"/>
      <c r="G989" s="7" t="n"/>
      <c r="H989" s="7" t="n"/>
      <c r="I989" s="7">
        <f>IF(C989="","",IFERROR(IF(INDEX(원생!$H$2:$H$501,MATCH(계산!$A989,계산!$E$2:$E$501,0))="예","예",""),""))</f>
        <v/>
      </c>
      <c r="J989" s="7" t="n"/>
    </row>
    <row r="990">
      <c r="A990" s="9" t="n"/>
      <c r="B990" s="7" t="n"/>
      <c r="C990" s="7" t="n"/>
      <c r="D990" s="7" t="n"/>
      <c r="E990" s="7" t="n"/>
      <c r="F990" s="8" t="n"/>
      <c r="G990" s="7" t="n"/>
      <c r="H990" s="7" t="n"/>
      <c r="I990" s="7">
        <f>IF(C990="","",IFERROR(IF(INDEX(원생!$H$2:$H$501,MATCH(계산!$A990,계산!$E$2:$E$501,0))="예","예",""),""))</f>
        <v/>
      </c>
      <c r="J990" s="7" t="n"/>
    </row>
    <row r="991">
      <c r="A991" s="9" t="n"/>
      <c r="B991" s="7" t="n"/>
      <c r="C991" s="7" t="n"/>
      <c r="D991" s="7" t="n"/>
      <c r="E991" s="7" t="n"/>
      <c r="F991" s="8" t="n"/>
      <c r="G991" s="7" t="n"/>
      <c r="H991" s="7" t="n"/>
      <c r="I991" s="7">
        <f>IF(C991="","",IFERROR(IF(INDEX(원생!$H$2:$H$501,MATCH(계산!$A991,계산!$E$2:$E$501,0))="예","예",""),""))</f>
        <v/>
      </c>
      <c r="J991" s="7" t="n"/>
    </row>
    <row r="992">
      <c r="A992" s="9" t="n"/>
      <c r="B992" s="7" t="n"/>
      <c r="C992" s="7" t="n"/>
      <c r="D992" s="7" t="n"/>
      <c r="E992" s="7" t="n"/>
      <c r="F992" s="8" t="n"/>
      <c r="G992" s="7" t="n"/>
      <c r="H992" s="7" t="n"/>
      <c r="I992" s="7">
        <f>IF(C992="","",IFERROR(IF(INDEX(원생!$H$2:$H$501,MATCH(계산!$A992,계산!$E$2:$E$501,0))="예","예",""),""))</f>
        <v/>
      </c>
      <c r="J992" s="7" t="n"/>
    </row>
    <row r="993">
      <c r="A993" s="9" t="n"/>
      <c r="B993" s="7" t="n"/>
      <c r="C993" s="7" t="n"/>
      <c r="D993" s="7" t="n"/>
      <c r="E993" s="7" t="n"/>
      <c r="F993" s="8" t="n"/>
      <c r="G993" s="7" t="n"/>
      <c r="H993" s="7" t="n"/>
      <c r="I993" s="7">
        <f>IF(C993="","",IFERROR(IF(INDEX(원생!$H$2:$H$501,MATCH(계산!$A993,계산!$E$2:$E$501,0))="예","예",""),""))</f>
        <v/>
      </c>
      <c r="J993" s="7" t="n"/>
    </row>
    <row r="994">
      <c r="A994" s="9" t="n"/>
      <c r="B994" s="7" t="n"/>
      <c r="C994" s="7" t="n"/>
      <c r="D994" s="7" t="n"/>
      <c r="E994" s="7" t="n"/>
      <c r="F994" s="8" t="n"/>
      <c r="G994" s="7" t="n"/>
      <c r="H994" s="7" t="n"/>
      <c r="I994" s="7">
        <f>IF(C994="","",IFERROR(IF(INDEX(원생!$H$2:$H$501,MATCH(계산!$A994,계산!$E$2:$E$501,0))="예","예",""),""))</f>
        <v/>
      </c>
      <c r="J994" s="7" t="n"/>
    </row>
    <row r="995">
      <c r="A995" s="9" t="n"/>
      <c r="B995" s="7" t="n"/>
      <c r="C995" s="7" t="n"/>
      <c r="D995" s="7" t="n"/>
      <c r="E995" s="7" t="n"/>
      <c r="F995" s="8" t="n"/>
      <c r="G995" s="7" t="n"/>
      <c r="H995" s="7" t="n"/>
      <c r="I995" s="7">
        <f>IF(C995="","",IFERROR(IF(INDEX(원생!$H$2:$H$501,MATCH(계산!$A995,계산!$E$2:$E$501,0))="예","예",""),""))</f>
        <v/>
      </c>
      <c r="J995" s="7" t="n"/>
    </row>
    <row r="996">
      <c r="A996" s="9" t="n"/>
      <c r="B996" s="7" t="n"/>
      <c r="C996" s="7" t="n"/>
      <c r="D996" s="7" t="n"/>
      <c r="E996" s="7" t="n"/>
      <c r="F996" s="8" t="n"/>
      <c r="G996" s="7" t="n"/>
      <c r="H996" s="7" t="n"/>
      <c r="I996" s="7">
        <f>IF(C996="","",IFERROR(IF(INDEX(원생!$H$2:$H$501,MATCH(계산!$A996,계산!$E$2:$E$501,0))="예","예",""),""))</f>
        <v/>
      </c>
      <c r="J996" s="7" t="n"/>
    </row>
    <row r="997">
      <c r="A997" s="9" t="n"/>
      <c r="B997" s="7" t="n"/>
      <c r="C997" s="7" t="n"/>
      <c r="D997" s="7" t="n"/>
      <c r="E997" s="7" t="n"/>
      <c r="F997" s="8" t="n"/>
      <c r="G997" s="7" t="n"/>
      <c r="H997" s="7" t="n"/>
      <c r="I997" s="7">
        <f>IF(C997="","",IFERROR(IF(INDEX(원생!$H$2:$H$501,MATCH(계산!$A997,계산!$E$2:$E$501,0))="예","예",""),""))</f>
        <v/>
      </c>
      <c r="J997" s="7" t="n"/>
    </row>
    <row r="998">
      <c r="A998" s="9" t="n"/>
      <c r="B998" s="7" t="n"/>
      <c r="C998" s="7" t="n"/>
      <c r="D998" s="7" t="n"/>
      <c r="E998" s="7" t="n"/>
      <c r="F998" s="8" t="n"/>
      <c r="G998" s="7" t="n"/>
      <c r="H998" s="7" t="n"/>
      <c r="I998" s="7">
        <f>IF(C998="","",IFERROR(IF(INDEX(원생!$H$2:$H$501,MATCH(계산!$A998,계산!$E$2:$E$501,0))="예","예",""),""))</f>
        <v/>
      </c>
      <c r="J998" s="7" t="n"/>
    </row>
    <row r="999">
      <c r="A999" s="9" t="n"/>
      <c r="B999" s="7" t="n"/>
      <c r="C999" s="7" t="n"/>
      <c r="D999" s="7" t="n"/>
      <c r="E999" s="7" t="n"/>
      <c r="F999" s="8" t="n"/>
      <c r="G999" s="7" t="n"/>
      <c r="H999" s="7" t="n"/>
      <c r="I999" s="7">
        <f>IF(C999="","",IFERROR(IF(INDEX(원생!$H$2:$H$501,MATCH(계산!$A999,계산!$E$2:$E$501,0))="예","예",""),""))</f>
        <v/>
      </c>
      <c r="J999" s="7" t="n"/>
    </row>
    <row r="1000">
      <c r="A1000" s="9" t="n"/>
      <c r="B1000" s="7" t="n"/>
      <c r="C1000" s="7" t="n"/>
      <c r="D1000" s="7" t="n"/>
      <c r="E1000" s="7" t="n"/>
      <c r="F1000" s="8" t="n"/>
      <c r="G1000" s="7" t="n"/>
      <c r="H1000" s="7" t="n"/>
      <c r="I1000" s="7">
        <f>IF(C1000="","",IFERROR(IF(INDEX(원생!$H$2:$H$501,MATCH(계산!$A1000,계산!$E$2:$E$501,0))="예","예",""),""))</f>
        <v/>
      </c>
      <c r="J1000" s="7" t="n"/>
    </row>
    <row r="1001">
      <c r="A1001" s="9" t="n"/>
      <c r="B1001" s="7" t="n"/>
      <c r="C1001" s="7" t="n"/>
      <c r="D1001" s="7" t="n"/>
      <c r="E1001" s="7" t="n"/>
      <c r="F1001" s="8" t="n"/>
      <c r="G1001" s="7" t="n"/>
      <c r="H1001" s="7" t="n"/>
      <c r="I1001" s="7">
        <f>IF(C1001="","",IFERROR(IF(INDEX(원생!$H$2:$H$501,MATCH(계산!$A1001,계산!$E$2:$E$501,0))="예","예",""),""))</f>
        <v/>
      </c>
      <c r="J1001" s="7" t="n"/>
    </row>
  </sheetData>
  <dataValidations count="4">
    <dataValidation sqref="C2:C1001" showDropDown="0" showInputMessage="1" showErrorMessage="0" allowBlank="1" errorTitle="목록에 없는 값" error="목록에서 골라 주세요." promptTitle="원생" prompt="원생 시트의 이름에서 고릅니다" type="list">
      <formula1>원생!$A$2:$A$501</formula1>
    </dataValidation>
    <dataValidation sqref="E2:E1001" showDropDown="0" showInputMessage="1" showErrorMessage="0" allowBlank="1" errorTitle="목록에 없는 값" error="목록에서 골라 주세요." promptTitle="수입구분" prompt="비우면 수강료" type="list">
      <formula1>"수강료,특강비,입학금,교재대,모의고사비,기타수입"</formula1>
    </dataValidation>
    <dataValidation sqref="G2:G1001" showDropDown="0" showInputMessage="1" showErrorMessage="0" allowBlank="1" errorTitle="목록에 없는 값" error="목록에서 골라 주세요." promptTitle="결제수단" prompt="카드·계좌이체·현금" type="list">
      <formula1>"카드,계좌이체,현금"</formula1>
    </dataValidation>
    <dataValidation sqref="H2:H1001" showDropDown="0" showInputMessage="1" showErrorMessage="0" allowBlank="1" errorTitle="목록에 없는 값" error="목록에서 골라 주세요." promptTitle="현금영수증" prompt="계좌이체·현금일 때만" type="list">
      <formula1>"발급,미발급"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7FBFA1"/>
    <outlinePr summaryBelow="1" summaryRight="1"/>
    <pageSetUpPr/>
  </sheetPr>
  <dimension ref="A1:AA5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</cols>
  <sheetData>
    <row r="1">
      <c r="A1" s="10" t="inlineStr">
        <is>
          <t>연도</t>
        </is>
      </c>
      <c r="B1" s="11" t="n">
        <v>2026</v>
      </c>
      <c r="C1" s="2" t="inlineStr">
        <is>
          <t>← 연도를 바꾸면 아래가 다시 계산됩니다. 수강료(수입구분)만 셉니다.</t>
        </is>
      </c>
    </row>
    <row r="3">
      <c r="A3" s="12" t="inlineStr">
        <is>
          <t>원생</t>
        </is>
      </c>
      <c r="B3" s="12" t="inlineStr">
        <is>
          <t>월 수강료</t>
        </is>
      </c>
      <c r="C3" s="12" t="inlineStr">
        <is>
          <t>1월</t>
        </is>
      </c>
      <c r="D3" s="12" t="inlineStr">
        <is>
          <t>2월</t>
        </is>
      </c>
      <c r="E3" s="12" t="inlineStr">
        <is>
          <t>3월</t>
        </is>
      </c>
      <c r="F3" s="12" t="inlineStr">
        <is>
          <t>4월</t>
        </is>
      </c>
      <c r="G3" s="12" t="inlineStr">
        <is>
          <t>5월</t>
        </is>
      </c>
      <c r="H3" s="12" t="inlineStr">
        <is>
          <t>6월</t>
        </is>
      </c>
      <c r="I3" s="12" t="inlineStr">
        <is>
          <t>7월</t>
        </is>
      </c>
      <c r="J3" s="12" t="inlineStr">
        <is>
          <t>8월</t>
        </is>
      </c>
      <c r="K3" s="12" t="inlineStr">
        <is>
          <t>9월</t>
        </is>
      </c>
      <c r="L3" s="12" t="inlineStr">
        <is>
          <t>10월</t>
        </is>
      </c>
      <c r="M3" s="12" t="inlineStr">
        <is>
          <t>11월</t>
        </is>
      </c>
      <c r="N3" s="12" t="inlineStr">
        <is>
          <t>12월</t>
        </is>
      </c>
    </row>
    <row r="4">
      <c r="A4" s="13">
        <f>IF(원생!$A2="","",원생!$A2&amp;IF(원생!$G2="",""," ("&amp;원생!$G2&amp;")"))</f>
        <v/>
      </c>
      <c r="B4" s="8">
        <f>IF(원생!$A2="","",N(원생!$F2))</f>
        <v/>
      </c>
      <c r="C4" s="14">
        <f>IF(원생!$A2="","",SUMIFS(계산!$C:$C,계산!$A:$A,계산!$E2,계산!$B:$B,$B$1*100+1))</f>
        <v/>
      </c>
      <c r="D4" s="14">
        <f>IF(원생!$A2="","",SUMIFS(계산!$C:$C,계산!$A:$A,계산!$E2,계산!$B:$B,$B$1*100+2))</f>
        <v/>
      </c>
      <c r="E4" s="14">
        <f>IF(원생!$A2="","",SUMIFS(계산!$C:$C,계산!$A:$A,계산!$E2,계산!$B:$B,$B$1*100+3))</f>
        <v/>
      </c>
      <c r="F4" s="14">
        <f>IF(원생!$A2="","",SUMIFS(계산!$C:$C,계산!$A:$A,계산!$E2,계산!$B:$B,$B$1*100+4))</f>
        <v/>
      </c>
      <c r="G4" s="14">
        <f>IF(원생!$A2="","",SUMIFS(계산!$C:$C,계산!$A:$A,계산!$E2,계산!$B:$B,$B$1*100+5))</f>
        <v/>
      </c>
      <c r="H4" s="14">
        <f>IF(원생!$A2="","",SUMIFS(계산!$C:$C,계산!$A:$A,계산!$E2,계산!$B:$B,$B$1*100+6))</f>
        <v/>
      </c>
      <c r="I4" s="14">
        <f>IF(원생!$A2="","",SUMIFS(계산!$C:$C,계산!$A:$A,계산!$E2,계산!$B:$B,$B$1*100+7))</f>
        <v/>
      </c>
      <c r="J4" s="14">
        <f>IF(원생!$A2="","",SUMIFS(계산!$C:$C,계산!$A:$A,계산!$E2,계산!$B:$B,$B$1*100+8))</f>
        <v/>
      </c>
      <c r="K4" s="14">
        <f>IF(원생!$A2="","",SUMIFS(계산!$C:$C,계산!$A:$A,계산!$E2,계산!$B:$B,$B$1*100+9))</f>
        <v/>
      </c>
      <c r="L4" s="14">
        <f>IF(원생!$A2="","",SUMIFS(계산!$C:$C,계산!$A:$A,계산!$E2,계산!$B:$B,$B$1*100+10))</f>
        <v/>
      </c>
      <c r="M4" s="14">
        <f>IF(원생!$A2="","",SUMIFS(계산!$C:$C,계산!$A:$A,계산!$E2,계산!$B:$B,$B$1*100+11))</f>
        <v/>
      </c>
      <c r="N4" s="14">
        <f>IF(원생!$A2="","",SUMIFS(계산!$C:$C,계산!$A:$A,계산!$E2,계산!$B:$B,$B$1*100+12))</f>
        <v/>
      </c>
      <c r="O4">
        <f>IF(원생!$I2="","",원생!$I2)</f>
        <v/>
      </c>
      <c r="P4">
        <f>IF($A4="","",IF(AND($B4&gt;0,C4&lt;$B4,DATE($B$1,1,1)&lt;=TODAY(),OR($O4="",$O4&gt;=DATE($B$1,1,1)),OR(COUNTIF($C4:C4,"&gt;0")&gt;0,DATE($B$1,1,1)=DATE(YEAR(TODAY()),MONTH(TODAY()),1))),1,0))</f>
        <v/>
      </c>
      <c r="Q4">
        <f>IF($A4="","",IF(AND($B4&gt;0,D4&lt;$B4,DATE($B$1,2,1)&lt;=TODAY(),OR($O4="",$O4&gt;=DATE($B$1,2,1)),OR(COUNTIF($C4:D4,"&gt;0")&gt;0,DATE($B$1,2,1)=DATE(YEAR(TODAY()),MONTH(TODAY()),1))),1,0))</f>
        <v/>
      </c>
      <c r="R4">
        <f>IF($A4="","",IF(AND($B4&gt;0,E4&lt;$B4,DATE($B$1,3,1)&lt;=TODAY(),OR($O4="",$O4&gt;=DATE($B$1,3,1)),OR(COUNTIF($C4:E4,"&gt;0")&gt;0,DATE($B$1,3,1)=DATE(YEAR(TODAY()),MONTH(TODAY()),1))),1,0))</f>
        <v/>
      </c>
      <c r="S4">
        <f>IF($A4="","",IF(AND($B4&gt;0,F4&lt;$B4,DATE($B$1,4,1)&lt;=TODAY(),OR($O4="",$O4&gt;=DATE($B$1,4,1)),OR(COUNTIF($C4:F4,"&gt;0")&gt;0,DATE($B$1,4,1)=DATE(YEAR(TODAY()),MONTH(TODAY()),1))),1,0))</f>
        <v/>
      </c>
      <c r="T4">
        <f>IF($A4="","",IF(AND($B4&gt;0,G4&lt;$B4,DATE($B$1,5,1)&lt;=TODAY(),OR($O4="",$O4&gt;=DATE($B$1,5,1)),OR(COUNTIF($C4:G4,"&gt;0")&gt;0,DATE($B$1,5,1)=DATE(YEAR(TODAY()),MONTH(TODAY()),1))),1,0))</f>
        <v/>
      </c>
      <c r="U4">
        <f>IF($A4="","",IF(AND($B4&gt;0,H4&lt;$B4,DATE($B$1,6,1)&lt;=TODAY(),OR($O4="",$O4&gt;=DATE($B$1,6,1)),OR(COUNTIF($C4:H4,"&gt;0")&gt;0,DATE($B$1,6,1)=DATE(YEAR(TODAY()),MONTH(TODAY()),1))),1,0))</f>
        <v/>
      </c>
      <c r="V4">
        <f>IF($A4="","",IF(AND($B4&gt;0,I4&lt;$B4,DATE($B$1,7,1)&lt;=TODAY(),OR($O4="",$O4&gt;=DATE($B$1,7,1)),OR(COUNTIF($C4:I4,"&gt;0")&gt;0,DATE($B$1,7,1)=DATE(YEAR(TODAY()),MONTH(TODAY()),1))),1,0))</f>
        <v/>
      </c>
      <c r="W4">
        <f>IF($A4="","",IF(AND($B4&gt;0,J4&lt;$B4,DATE($B$1,8,1)&lt;=TODAY(),OR($O4="",$O4&gt;=DATE($B$1,8,1)),OR(COUNTIF($C4:J4,"&gt;0")&gt;0,DATE($B$1,8,1)=DATE(YEAR(TODAY()),MONTH(TODAY()),1))),1,0))</f>
        <v/>
      </c>
      <c r="X4">
        <f>IF($A4="","",IF(AND($B4&gt;0,K4&lt;$B4,DATE($B$1,9,1)&lt;=TODAY(),OR($O4="",$O4&gt;=DATE($B$1,9,1)),OR(COUNTIF($C4:K4,"&gt;0")&gt;0,DATE($B$1,9,1)=DATE(YEAR(TODAY()),MONTH(TODAY()),1))),1,0))</f>
        <v/>
      </c>
      <c r="Y4">
        <f>IF($A4="","",IF(AND($B4&gt;0,L4&lt;$B4,DATE($B$1,10,1)&lt;=TODAY(),OR($O4="",$O4&gt;=DATE($B$1,10,1)),OR(COUNTIF($C4:L4,"&gt;0")&gt;0,DATE($B$1,10,1)=DATE(YEAR(TODAY()),MONTH(TODAY()),1))),1,0))</f>
        <v/>
      </c>
      <c r="Z4">
        <f>IF($A4="","",IF(AND($B4&gt;0,M4&lt;$B4,DATE($B$1,11,1)&lt;=TODAY(),OR($O4="",$O4&gt;=DATE($B$1,11,1)),OR(COUNTIF($C4:M4,"&gt;0")&gt;0,DATE($B$1,11,1)=DATE(YEAR(TODAY()),MONTH(TODAY()),1))),1,0))</f>
        <v/>
      </c>
      <c r="AA4">
        <f>IF($A4="","",IF(AND($B4&gt;0,N4&lt;$B4,DATE($B$1,12,1)&lt;=TODAY(),OR($O4="",$O4&gt;=DATE($B$1,12,1)),OR(COUNTIF($C4:N4,"&gt;0")&gt;0,DATE($B$1,12,1)=DATE(YEAR(TODAY()),MONTH(TODAY()),1))),1,0))</f>
        <v/>
      </c>
    </row>
    <row r="5">
      <c r="A5" s="13">
        <f>IF(원생!$A3="","",원생!$A3&amp;IF(원생!$G3="",""," ("&amp;원생!$G3&amp;")"))</f>
        <v/>
      </c>
      <c r="B5" s="8">
        <f>IF(원생!$A3="","",N(원생!$F3))</f>
        <v/>
      </c>
      <c r="C5" s="14">
        <f>IF(원생!$A3="","",SUMIFS(계산!$C:$C,계산!$A:$A,계산!$E3,계산!$B:$B,$B$1*100+1))</f>
        <v/>
      </c>
      <c r="D5" s="14">
        <f>IF(원생!$A3="","",SUMIFS(계산!$C:$C,계산!$A:$A,계산!$E3,계산!$B:$B,$B$1*100+2))</f>
        <v/>
      </c>
      <c r="E5" s="14">
        <f>IF(원생!$A3="","",SUMIFS(계산!$C:$C,계산!$A:$A,계산!$E3,계산!$B:$B,$B$1*100+3))</f>
        <v/>
      </c>
      <c r="F5" s="14">
        <f>IF(원생!$A3="","",SUMIFS(계산!$C:$C,계산!$A:$A,계산!$E3,계산!$B:$B,$B$1*100+4))</f>
        <v/>
      </c>
      <c r="G5" s="14">
        <f>IF(원생!$A3="","",SUMIFS(계산!$C:$C,계산!$A:$A,계산!$E3,계산!$B:$B,$B$1*100+5))</f>
        <v/>
      </c>
      <c r="H5" s="14">
        <f>IF(원생!$A3="","",SUMIFS(계산!$C:$C,계산!$A:$A,계산!$E3,계산!$B:$B,$B$1*100+6))</f>
        <v/>
      </c>
      <c r="I5" s="14">
        <f>IF(원생!$A3="","",SUMIFS(계산!$C:$C,계산!$A:$A,계산!$E3,계산!$B:$B,$B$1*100+7))</f>
        <v/>
      </c>
      <c r="J5" s="14">
        <f>IF(원생!$A3="","",SUMIFS(계산!$C:$C,계산!$A:$A,계산!$E3,계산!$B:$B,$B$1*100+8))</f>
        <v/>
      </c>
      <c r="K5" s="14">
        <f>IF(원생!$A3="","",SUMIFS(계산!$C:$C,계산!$A:$A,계산!$E3,계산!$B:$B,$B$1*100+9))</f>
        <v/>
      </c>
      <c r="L5" s="14">
        <f>IF(원생!$A3="","",SUMIFS(계산!$C:$C,계산!$A:$A,계산!$E3,계산!$B:$B,$B$1*100+10))</f>
        <v/>
      </c>
      <c r="M5" s="14">
        <f>IF(원생!$A3="","",SUMIFS(계산!$C:$C,계산!$A:$A,계산!$E3,계산!$B:$B,$B$1*100+11))</f>
        <v/>
      </c>
      <c r="N5" s="14">
        <f>IF(원생!$A3="","",SUMIFS(계산!$C:$C,계산!$A:$A,계산!$E3,계산!$B:$B,$B$1*100+12))</f>
        <v/>
      </c>
      <c r="O5">
        <f>IF(원생!$I3="","",원생!$I3)</f>
        <v/>
      </c>
      <c r="P5">
        <f>IF($A5="","",IF(AND($B5&gt;0,C5&lt;$B5,DATE($B$1,1,1)&lt;=TODAY(),OR($O5="",$O5&gt;=DATE($B$1,1,1)),OR(COUNTIF($C5:C5,"&gt;0")&gt;0,DATE($B$1,1,1)=DATE(YEAR(TODAY()),MONTH(TODAY()),1))),1,0))</f>
        <v/>
      </c>
      <c r="Q5">
        <f>IF($A5="","",IF(AND($B5&gt;0,D5&lt;$B5,DATE($B$1,2,1)&lt;=TODAY(),OR($O5="",$O5&gt;=DATE($B$1,2,1)),OR(COUNTIF($C5:D5,"&gt;0")&gt;0,DATE($B$1,2,1)=DATE(YEAR(TODAY()),MONTH(TODAY()),1))),1,0))</f>
        <v/>
      </c>
      <c r="R5">
        <f>IF($A5="","",IF(AND($B5&gt;0,E5&lt;$B5,DATE($B$1,3,1)&lt;=TODAY(),OR($O5="",$O5&gt;=DATE($B$1,3,1)),OR(COUNTIF($C5:E5,"&gt;0")&gt;0,DATE($B$1,3,1)=DATE(YEAR(TODAY()),MONTH(TODAY()),1))),1,0))</f>
        <v/>
      </c>
      <c r="S5">
        <f>IF($A5="","",IF(AND($B5&gt;0,F5&lt;$B5,DATE($B$1,4,1)&lt;=TODAY(),OR($O5="",$O5&gt;=DATE($B$1,4,1)),OR(COUNTIF($C5:F5,"&gt;0")&gt;0,DATE($B$1,4,1)=DATE(YEAR(TODAY()),MONTH(TODAY()),1))),1,0))</f>
        <v/>
      </c>
      <c r="T5">
        <f>IF($A5="","",IF(AND($B5&gt;0,G5&lt;$B5,DATE($B$1,5,1)&lt;=TODAY(),OR($O5="",$O5&gt;=DATE($B$1,5,1)),OR(COUNTIF($C5:G5,"&gt;0")&gt;0,DATE($B$1,5,1)=DATE(YEAR(TODAY()),MONTH(TODAY()),1))),1,0))</f>
        <v/>
      </c>
      <c r="U5">
        <f>IF($A5="","",IF(AND($B5&gt;0,H5&lt;$B5,DATE($B$1,6,1)&lt;=TODAY(),OR($O5="",$O5&gt;=DATE($B$1,6,1)),OR(COUNTIF($C5:H5,"&gt;0")&gt;0,DATE($B$1,6,1)=DATE(YEAR(TODAY()),MONTH(TODAY()),1))),1,0))</f>
        <v/>
      </c>
      <c r="V5">
        <f>IF($A5="","",IF(AND($B5&gt;0,I5&lt;$B5,DATE($B$1,7,1)&lt;=TODAY(),OR($O5="",$O5&gt;=DATE($B$1,7,1)),OR(COUNTIF($C5:I5,"&gt;0")&gt;0,DATE($B$1,7,1)=DATE(YEAR(TODAY()),MONTH(TODAY()),1))),1,0))</f>
        <v/>
      </c>
      <c r="W5">
        <f>IF($A5="","",IF(AND($B5&gt;0,J5&lt;$B5,DATE($B$1,8,1)&lt;=TODAY(),OR($O5="",$O5&gt;=DATE($B$1,8,1)),OR(COUNTIF($C5:J5,"&gt;0")&gt;0,DATE($B$1,8,1)=DATE(YEAR(TODAY()),MONTH(TODAY()),1))),1,0))</f>
        <v/>
      </c>
      <c r="X5">
        <f>IF($A5="","",IF(AND($B5&gt;0,K5&lt;$B5,DATE($B$1,9,1)&lt;=TODAY(),OR($O5="",$O5&gt;=DATE($B$1,9,1)),OR(COUNTIF($C5:K5,"&gt;0")&gt;0,DATE($B$1,9,1)=DATE(YEAR(TODAY()),MONTH(TODAY()),1))),1,0))</f>
        <v/>
      </c>
      <c r="Y5">
        <f>IF($A5="","",IF(AND($B5&gt;0,L5&lt;$B5,DATE($B$1,10,1)&lt;=TODAY(),OR($O5="",$O5&gt;=DATE($B$1,10,1)),OR(COUNTIF($C5:L5,"&gt;0")&gt;0,DATE($B$1,10,1)=DATE(YEAR(TODAY()),MONTH(TODAY()),1))),1,0))</f>
        <v/>
      </c>
      <c r="Z5">
        <f>IF($A5="","",IF(AND($B5&gt;0,M5&lt;$B5,DATE($B$1,11,1)&lt;=TODAY(),OR($O5="",$O5&gt;=DATE($B$1,11,1)),OR(COUNTIF($C5:M5,"&gt;0")&gt;0,DATE($B$1,11,1)=DATE(YEAR(TODAY()),MONTH(TODAY()),1))),1,0))</f>
        <v/>
      </c>
      <c r="AA5">
        <f>IF($A5="","",IF(AND($B5&gt;0,N5&lt;$B5,DATE($B$1,12,1)&lt;=TODAY(),OR($O5="",$O5&gt;=DATE($B$1,12,1)),OR(COUNTIF($C5:N5,"&gt;0")&gt;0,DATE($B$1,12,1)=DATE(YEAR(TODAY()),MONTH(TODAY()),1))),1,0))</f>
        <v/>
      </c>
    </row>
    <row r="6">
      <c r="A6" s="13">
        <f>IF(원생!$A4="","",원생!$A4&amp;IF(원생!$G4="",""," ("&amp;원생!$G4&amp;")"))</f>
        <v/>
      </c>
      <c r="B6" s="8">
        <f>IF(원생!$A4="","",N(원생!$F4))</f>
        <v/>
      </c>
      <c r="C6" s="14">
        <f>IF(원생!$A4="","",SUMIFS(계산!$C:$C,계산!$A:$A,계산!$E4,계산!$B:$B,$B$1*100+1))</f>
        <v/>
      </c>
      <c r="D6" s="14">
        <f>IF(원생!$A4="","",SUMIFS(계산!$C:$C,계산!$A:$A,계산!$E4,계산!$B:$B,$B$1*100+2))</f>
        <v/>
      </c>
      <c r="E6" s="14">
        <f>IF(원생!$A4="","",SUMIFS(계산!$C:$C,계산!$A:$A,계산!$E4,계산!$B:$B,$B$1*100+3))</f>
        <v/>
      </c>
      <c r="F6" s="14">
        <f>IF(원생!$A4="","",SUMIFS(계산!$C:$C,계산!$A:$A,계산!$E4,계산!$B:$B,$B$1*100+4))</f>
        <v/>
      </c>
      <c r="G6" s="14">
        <f>IF(원생!$A4="","",SUMIFS(계산!$C:$C,계산!$A:$A,계산!$E4,계산!$B:$B,$B$1*100+5))</f>
        <v/>
      </c>
      <c r="H6" s="14">
        <f>IF(원생!$A4="","",SUMIFS(계산!$C:$C,계산!$A:$A,계산!$E4,계산!$B:$B,$B$1*100+6))</f>
        <v/>
      </c>
      <c r="I6" s="14">
        <f>IF(원생!$A4="","",SUMIFS(계산!$C:$C,계산!$A:$A,계산!$E4,계산!$B:$B,$B$1*100+7))</f>
        <v/>
      </c>
      <c r="J6" s="14">
        <f>IF(원생!$A4="","",SUMIFS(계산!$C:$C,계산!$A:$A,계산!$E4,계산!$B:$B,$B$1*100+8))</f>
        <v/>
      </c>
      <c r="K6" s="14">
        <f>IF(원생!$A4="","",SUMIFS(계산!$C:$C,계산!$A:$A,계산!$E4,계산!$B:$B,$B$1*100+9))</f>
        <v/>
      </c>
      <c r="L6" s="14">
        <f>IF(원생!$A4="","",SUMIFS(계산!$C:$C,계산!$A:$A,계산!$E4,계산!$B:$B,$B$1*100+10))</f>
        <v/>
      </c>
      <c r="M6" s="14">
        <f>IF(원생!$A4="","",SUMIFS(계산!$C:$C,계산!$A:$A,계산!$E4,계산!$B:$B,$B$1*100+11))</f>
        <v/>
      </c>
      <c r="N6" s="14">
        <f>IF(원생!$A4="","",SUMIFS(계산!$C:$C,계산!$A:$A,계산!$E4,계산!$B:$B,$B$1*100+12))</f>
        <v/>
      </c>
      <c r="O6">
        <f>IF(원생!$I4="","",원생!$I4)</f>
        <v/>
      </c>
      <c r="P6">
        <f>IF($A6="","",IF(AND($B6&gt;0,C6&lt;$B6,DATE($B$1,1,1)&lt;=TODAY(),OR($O6="",$O6&gt;=DATE($B$1,1,1)),OR(COUNTIF($C6:C6,"&gt;0")&gt;0,DATE($B$1,1,1)=DATE(YEAR(TODAY()),MONTH(TODAY()),1))),1,0))</f>
        <v/>
      </c>
      <c r="Q6">
        <f>IF($A6="","",IF(AND($B6&gt;0,D6&lt;$B6,DATE($B$1,2,1)&lt;=TODAY(),OR($O6="",$O6&gt;=DATE($B$1,2,1)),OR(COUNTIF($C6:D6,"&gt;0")&gt;0,DATE($B$1,2,1)=DATE(YEAR(TODAY()),MONTH(TODAY()),1))),1,0))</f>
        <v/>
      </c>
      <c r="R6">
        <f>IF($A6="","",IF(AND($B6&gt;0,E6&lt;$B6,DATE($B$1,3,1)&lt;=TODAY(),OR($O6="",$O6&gt;=DATE($B$1,3,1)),OR(COUNTIF($C6:E6,"&gt;0")&gt;0,DATE($B$1,3,1)=DATE(YEAR(TODAY()),MONTH(TODAY()),1))),1,0))</f>
        <v/>
      </c>
      <c r="S6">
        <f>IF($A6="","",IF(AND($B6&gt;0,F6&lt;$B6,DATE($B$1,4,1)&lt;=TODAY(),OR($O6="",$O6&gt;=DATE($B$1,4,1)),OR(COUNTIF($C6:F6,"&gt;0")&gt;0,DATE($B$1,4,1)=DATE(YEAR(TODAY()),MONTH(TODAY()),1))),1,0))</f>
        <v/>
      </c>
      <c r="T6">
        <f>IF($A6="","",IF(AND($B6&gt;0,G6&lt;$B6,DATE($B$1,5,1)&lt;=TODAY(),OR($O6="",$O6&gt;=DATE($B$1,5,1)),OR(COUNTIF($C6:G6,"&gt;0")&gt;0,DATE($B$1,5,1)=DATE(YEAR(TODAY()),MONTH(TODAY()),1))),1,0))</f>
        <v/>
      </c>
      <c r="U6">
        <f>IF($A6="","",IF(AND($B6&gt;0,H6&lt;$B6,DATE($B$1,6,1)&lt;=TODAY(),OR($O6="",$O6&gt;=DATE($B$1,6,1)),OR(COUNTIF($C6:H6,"&gt;0")&gt;0,DATE($B$1,6,1)=DATE(YEAR(TODAY()),MONTH(TODAY()),1))),1,0))</f>
        <v/>
      </c>
      <c r="V6">
        <f>IF($A6="","",IF(AND($B6&gt;0,I6&lt;$B6,DATE($B$1,7,1)&lt;=TODAY(),OR($O6="",$O6&gt;=DATE($B$1,7,1)),OR(COUNTIF($C6:I6,"&gt;0")&gt;0,DATE($B$1,7,1)=DATE(YEAR(TODAY()),MONTH(TODAY()),1))),1,0))</f>
        <v/>
      </c>
      <c r="W6">
        <f>IF($A6="","",IF(AND($B6&gt;0,J6&lt;$B6,DATE($B$1,8,1)&lt;=TODAY(),OR($O6="",$O6&gt;=DATE($B$1,8,1)),OR(COUNTIF($C6:J6,"&gt;0")&gt;0,DATE($B$1,8,1)=DATE(YEAR(TODAY()),MONTH(TODAY()),1))),1,0))</f>
        <v/>
      </c>
      <c r="X6">
        <f>IF($A6="","",IF(AND($B6&gt;0,K6&lt;$B6,DATE($B$1,9,1)&lt;=TODAY(),OR($O6="",$O6&gt;=DATE($B$1,9,1)),OR(COUNTIF($C6:K6,"&gt;0")&gt;0,DATE($B$1,9,1)=DATE(YEAR(TODAY()),MONTH(TODAY()),1))),1,0))</f>
        <v/>
      </c>
      <c r="Y6">
        <f>IF($A6="","",IF(AND($B6&gt;0,L6&lt;$B6,DATE($B$1,10,1)&lt;=TODAY(),OR($O6="",$O6&gt;=DATE($B$1,10,1)),OR(COUNTIF($C6:L6,"&gt;0")&gt;0,DATE($B$1,10,1)=DATE(YEAR(TODAY()),MONTH(TODAY()),1))),1,0))</f>
        <v/>
      </c>
      <c r="Z6">
        <f>IF($A6="","",IF(AND($B6&gt;0,M6&lt;$B6,DATE($B$1,11,1)&lt;=TODAY(),OR($O6="",$O6&gt;=DATE($B$1,11,1)),OR(COUNTIF($C6:M6,"&gt;0")&gt;0,DATE($B$1,11,1)=DATE(YEAR(TODAY()),MONTH(TODAY()),1))),1,0))</f>
        <v/>
      </c>
      <c r="AA6">
        <f>IF($A6="","",IF(AND($B6&gt;0,N6&lt;$B6,DATE($B$1,12,1)&lt;=TODAY(),OR($O6="",$O6&gt;=DATE($B$1,12,1)),OR(COUNTIF($C6:N6,"&gt;0")&gt;0,DATE($B$1,12,1)=DATE(YEAR(TODAY()),MONTH(TODAY()),1))),1,0))</f>
        <v/>
      </c>
    </row>
    <row r="7">
      <c r="A7" s="13">
        <f>IF(원생!$A5="","",원생!$A5&amp;IF(원생!$G5="",""," ("&amp;원생!$G5&amp;")"))</f>
        <v/>
      </c>
      <c r="B7" s="8">
        <f>IF(원생!$A5="","",N(원생!$F5))</f>
        <v/>
      </c>
      <c r="C7" s="14">
        <f>IF(원생!$A5="","",SUMIFS(계산!$C:$C,계산!$A:$A,계산!$E5,계산!$B:$B,$B$1*100+1))</f>
        <v/>
      </c>
      <c r="D7" s="14">
        <f>IF(원생!$A5="","",SUMIFS(계산!$C:$C,계산!$A:$A,계산!$E5,계산!$B:$B,$B$1*100+2))</f>
        <v/>
      </c>
      <c r="E7" s="14">
        <f>IF(원생!$A5="","",SUMIFS(계산!$C:$C,계산!$A:$A,계산!$E5,계산!$B:$B,$B$1*100+3))</f>
        <v/>
      </c>
      <c r="F7" s="14">
        <f>IF(원생!$A5="","",SUMIFS(계산!$C:$C,계산!$A:$A,계산!$E5,계산!$B:$B,$B$1*100+4))</f>
        <v/>
      </c>
      <c r="G7" s="14">
        <f>IF(원생!$A5="","",SUMIFS(계산!$C:$C,계산!$A:$A,계산!$E5,계산!$B:$B,$B$1*100+5))</f>
        <v/>
      </c>
      <c r="H7" s="14">
        <f>IF(원생!$A5="","",SUMIFS(계산!$C:$C,계산!$A:$A,계산!$E5,계산!$B:$B,$B$1*100+6))</f>
        <v/>
      </c>
      <c r="I7" s="14">
        <f>IF(원생!$A5="","",SUMIFS(계산!$C:$C,계산!$A:$A,계산!$E5,계산!$B:$B,$B$1*100+7))</f>
        <v/>
      </c>
      <c r="J7" s="14">
        <f>IF(원생!$A5="","",SUMIFS(계산!$C:$C,계산!$A:$A,계산!$E5,계산!$B:$B,$B$1*100+8))</f>
        <v/>
      </c>
      <c r="K7" s="14">
        <f>IF(원생!$A5="","",SUMIFS(계산!$C:$C,계산!$A:$A,계산!$E5,계산!$B:$B,$B$1*100+9))</f>
        <v/>
      </c>
      <c r="L7" s="14">
        <f>IF(원생!$A5="","",SUMIFS(계산!$C:$C,계산!$A:$A,계산!$E5,계산!$B:$B,$B$1*100+10))</f>
        <v/>
      </c>
      <c r="M7" s="14">
        <f>IF(원생!$A5="","",SUMIFS(계산!$C:$C,계산!$A:$A,계산!$E5,계산!$B:$B,$B$1*100+11))</f>
        <v/>
      </c>
      <c r="N7" s="14">
        <f>IF(원생!$A5="","",SUMIFS(계산!$C:$C,계산!$A:$A,계산!$E5,계산!$B:$B,$B$1*100+12))</f>
        <v/>
      </c>
      <c r="O7">
        <f>IF(원생!$I5="","",원생!$I5)</f>
        <v/>
      </c>
      <c r="P7">
        <f>IF($A7="","",IF(AND($B7&gt;0,C7&lt;$B7,DATE($B$1,1,1)&lt;=TODAY(),OR($O7="",$O7&gt;=DATE($B$1,1,1)),OR(COUNTIF($C7:C7,"&gt;0")&gt;0,DATE($B$1,1,1)=DATE(YEAR(TODAY()),MONTH(TODAY()),1))),1,0))</f>
        <v/>
      </c>
      <c r="Q7">
        <f>IF($A7="","",IF(AND($B7&gt;0,D7&lt;$B7,DATE($B$1,2,1)&lt;=TODAY(),OR($O7="",$O7&gt;=DATE($B$1,2,1)),OR(COUNTIF($C7:D7,"&gt;0")&gt;0,DATE($B$1,2,1)=DATE(YEAR(TODAY()),MONTH(TODAY()),1))),1,0))</f>
        <v/>
      </c>
      <c r="R7">
        <f>IF($A7="","",IF(AND($B7&gt;0,E7&lt;$B7,DATE($B$1,3,1)&lt;=TODAY(),OR($O7="",$O7&gt;=DATE($B$1,3,1)),OR(COUNTIF($C7:E7,"&gt;0")&gt;0,DATE($B$1,3,1)=DATE(YEAR(TODAY()),MONTH(TODAY()),1))),1,0))</f>
        <v/>
      </c>
      <c r="S7">
        <f>IF($A7="","",IF(AND($B7&gt;0,F7&lt;$B7,DATE($B$1,4,1)&lt;=TODAY(),OR($O7="",$O7&gt;=DATE($B$1,4,1)),OR(COUNTIF($C7:F7,"&gt;0")&gt;0,DATE($B$1,4,1)=DATE(YEAR(TODAY()),MONTH(TODAY()),1))),1,0))</f>
        <v/>
      </c>
      <c r="T7">
        <f>IF($A7="","",IF(AND($B7&gt;0,G7&lt;$B7,DATE($B$1,5,1)&lt;=TODAY(),OR($O7="",$O7&gt;=DATE($B$1,5,1)),OR(COUNTIF($C7:G7,"&gt;0")&gt;0,DATE($B$1,5,1)=DATE(YEAR(TODAY()),MONTH(TODAY()),1))),1,0))</f>
        <v/>
      </c>
      <c r="U7">
        <f>IF($A7="","",IF(AND($B7&gt;0,H7&lt;$B7,DATE($B$1,6,1)&lt;=TODAY(),OR($O7="",$O7&gt;=DATE($B$1,6,1)),OR(COUNTIF($C7:H7,"&gt;0")&gt;0,DATE($B$1,6,1)=DATE(YEAR(TODAY()),MONTH(TODAY()),1))),1,0))</f>
        <v/>
      </c>
      <c r="V7">
        <f>IF($A7="","",IF(AND($B7&gt;0,I7&lt;$B7,DATE($B$1,7,1)&lt;=TODAY(),OR($O7="",$O7&gt;=DATE($B$1,7,1)),OR(COUNTIF($C7:I7,"&gt;0")&gt;0,DATE($B$1,7,1)=DATE(YEAR(TODAY()),MONTH(TODAY()),1))),1,0))</f>
        <v/>
      </c>
      <c r="W7">
        <f>IF($A7="","",IF(AND($B7&gt;0,J7&lt;$B7,DATE($B$1,8,1)&lt;=TODAY(),OR($O7="",$O7&gt;=DATE($B$1,8,1)),OR(COUNTIF($C7:J7,"&gt;0")&gt;0,DATE($B$1,8,1)=DATE(YEAR(TODAY()),MONTH(TODAY()),1))),1,0))</f>
        <v/>
      </c>
      <c r="X7">
        <f>IF($A7="","",IF(AND($B7&gt;0,K7&lt;$B7,DATE($B$1,9,1)&lt;=TODAY(),OR($O7="",$O7&gt;=DATE($B$1,9,1)),OR(COUNTIF($C7:K7,"&gt;0")&gt;0,DATE($B$1,9,1)=DATE(YEAR(TODAY()),MONTH(TODAY()),1))),1,0))</f>
        <v/>
      </c>
      <c r="Y7">
        <f>IF($A7="","",IF(AND($B7&gt;0,L7&lt;$B7,DATE($B$1,10,1)&lt;=TODAY(),OR($O7="",$O7&gt;=DATE($B$1,10,1)),OR(COUNTIF($C7:L7,"&gt;0")&gt;0,DATE($B$1,10,1)=DATE(YEAR(TODAY()),MONTH(TODAY()),1))),1,0))</f>
        <v/>
      </c>
      <c r="Z7">
        <f>IF($A7="","",IF(AND($B7&gt;0,M7&lt;$B7,DATE($B$1,11,1)&lt;=TODAY(),OR($O7="",$O7&gt;=DATE($B$1,11,1)),OR(COUNTIF($C7:M7,"&gt;0")&gt;0,DATE($B$1,11,1)=DATE(YEAR(TODAY()),MONTH(TODAY()),1))),1,0))</f>
        <v/>
      </c>
      <c r="AA7">
        <f>IF($A7="","",IF(AND($B7&gt;0,N7&lt;$B7,DATE($B$1,12,1)&lt;=TODAY(),OR($O7="",$O7&gt;=DATE($B$1,12,1)),OR(COUNTIF($C7:N7,"&gt;0")&gt;0,DATE($B$1,12,1)=DATE(YEAR(TODAY()),MONTH(TODAY()),1))),1,0))</f>
        <v/>
      </c>
    </row>
    <row r="8">
      <c r="A8" s="13">
        <f>IF(원생!$A6="","",원생!$A6&amp;IF(원생!$G6="",""," ("&amp;원생!$G6&amp;")"))</f>
        <v/>
      </c>
      <c r="B8" s="8">
        <f>IF(원생!$A6="","",N(원생!$F6))</f>
        <v/>
      </c>
      <c r="C8" s="14">
        <f>IF(원생!$A6="","",SUMIFS(계산!$C:$C,계산!$A:$A,계산!$E6,계산!$B:$B,$B$1*100+1))</f>
        <v/>
      </c>
      <c r="D8" s="14">
        <f>IF(원생!$A6="","",SUMIFS(계산!$C:$C,계산!$A:$A,계산!$E6,계산!$B:$B,$B$1*100+2))</f>
        <v/>
      </c>
      <c r="E8" s="14">
        <f>IF(원생!$A6="","",SUMIFS(계산!$C:$C,계산!$A:$A,계산!$E6,계산!$B:$B,$B$1*100+3))</f>
        <v/>
      </c>
      <c r="F8" s="14">
        <f>IF(원생!$A6="","",SUMIFS(계산!$C:$C,계산!$A:$A,계산!$E6,계산!$B:$B,$B$1*100+4))</f>
        <v/>
      </c>
      <c r="G8" s="14">
        <f>IF(원생!$A6="","",SUMIFS(계산!$C:$C,계산!$A:$A,계산!$E6,계산!$B:$B,$B$1*100+5))</f>
        <v/>
      </c>
      <c r="H8" s="14">
        <f>IF(원생!$A6="","",SUMIFS(계산!$C:$C,계산!$A:$A,계산!$E6,계산!$B:$B,$B$1*100+6))</f>
        <v/>
      </c>
      <c r="I8" s="14">
        <f>IF(원생!$A6="","",SUMIFS(계산!$C:$C,계산!$A:$A,계산!$E6,계산!$B:$B,$B$1*100+7))</f>
        <v/>
      </c>
      <c r="J8" s="14">
        <f>IF(원생!$A6="","",SUMIFS(계산!$C:$C,계산!$A:$A,계산!$E6,계산!$B:$B,$B$1*100+8))</f>
        <v/>
      </c>
      <c r="K8" s="14">
        <f>IF(원생!$A6="","",SUMIFS(계산!$C:$C,계산!$A:$A,계산!$E6,계산!$B:$B,$B$1*100+9))</f>
        <v/>
      </c>
      <c r="L8" s="14">
        <f>IF(원생!$A6="","",SUMIFS(계산!$C:$C,계산!$A:$A,계산!$E6,계산!$B:$B,$B$1*100+10))</f>
        <v/>
      </c>
      <c r="M8" s="14">
        <f>IF(원생!$A6="","",SUMIFS(계산!$C:$C,계산!$A:$A,계산!$E6,계산!$B:$B,$B$1*100+11))</f>
        <v/>
      </c>
      <c r="N8" s="14">
        <f>IF(원생!$A6="","",SUMIFS(계산!$C:$C,계산!$A:$A,계산!$E6,계산!$B:$B,$B$1*100+12))</f>
        <v/>
      </c>
      <c r="O8">
        <f>IF(원생!$I6="","",원생!$I6)</f>
        <v/>
      </c>
      <c r="P8">
        <f>IF($A8="","",IF(AND($B8&gt;0,C8&lt;$B8,DATE($B$1,1,1)&lt;=TODAY(),OR($O8="",$O8&gt;=DATE($B$1,1,1)),OR(COUNTIF($C8:C8,"&gt;0")&gt;0,DATE($B$1,1,1)=DATE(YEAR(TODAY()),MONTH(TODAY()),1))),1,0))</f>
        <v/>
      </c>
      <c r="Q8">
        <f>IF($A8="","",IF(AND($B8&gt;0,D8&lt;$B8,DATE($B$1,2,1)&lt;=TODAY(),OR($O8="",$O8&gt;=DATE($B$1,2,1)),OR(COUNTIF($C8:D8,"&gt;0")&gt;0,DATE($B$1,2,1)=DATE(YEAR(TODAY()),MONTH(TODAY()),1))),1,0))</f>
        <v/>
      </c>
      <c r="R8">
        <f>IF($A8="","",IF(AND($B8&gt;0,E8&lt;$B8,DATE($B$1,3,1)&lt;=TODAY(),OR($O8="",$O8&gt;=DATE($B$1,3,1)),OR(COUNTIF($C8:E8,"&gt;0")&gt;0,DATE($B$1,3,1)=DATE(YEAR(TODAY()),MONTH(TODAY()),1))),1,0))</f>
        <v/>
      </c>
      <c r="S8">
        <f>IF($A8="","",IF(AND($B8&gt;0,F8&lt;$B8,DATE($B$1,4,1)&lt;=TODAY(),OR($O8="",$O8&gt;=DATE($B$1,4,1)),OR(COUNTIF($C8:F8,"&gt;0")&gt;0,DATE($B$1,4,1)=DATE(YEAR(TODAY()),MONTH(TODAY()),1))),1,0))</f>
        <v/>
      </c>
      <c r="T8">
        <f>IF($A8="","",IF(AND($B8&gt;0,G8&lt;$B8,DATE($B$1,5,1)&lt;=TODAY(),OR($O8="",$O8&gt;=DATE($B$1,5,1)),OR(COUNTIF($C8:G8,"&gt;0")&gt;0,DATE($B$1,5,1)=DATE(YEAR(TODAY()),MONTH(TODAY()),1))),1,0))</f>
        <v/>
      </c>
      <c r="U8">
        <f>IF($A8="","",IF(AND($B8&gt;0,H8&lt;$B8,DATE($B$1,6,1)&lt;=TODAY(),OR($O8="",$O8&gt;=DATE($B$1,6,1)),OR(COUNTIF($C8:H8,"&gt;0")&gt;0,DATE($B$1,6,1)=DATE(YEAR(TODAY()),MONTH(TODAY()),1))),1,0))</f>
        <v/>
      </c>
      <c r="V8">
        <f>IF($A8="","",IF(AND($B8&gt;0,I8&lt;$B8,DATE($B$1,7,1)&lt;=TODAY(),OR($O8="",$O8&gt;=DATE($B$1,7,1)),OR(COUNTIF($C8:I8,"&gt;0")&gt;0,DATE($B$1,7,1)=DATE(YEAR(TODAY()),MONTH(TODAY()),1))),1,0))</f>
        <v/>
      </c>
      <c r="W8">
        <f>IF($A8="","",IF(AND($B8&gt;0,J8&lt;$B8,DATE($B$1,8,1)&lt;=TODAY(),OR($O8="",$O8&gt;=DATE($B$1,8,1)),OR(COUNTIF($C8:J8,"&gt;0")&gt;0,DATE($B$1,8,1)=DATE(YEAR(TODAY()),MONTH(TODAY()),1))),1,0))</f>
        <v/>
      </c>
      <c r="X8">
        <f>IF($A8="","",IF(AND($B8&gt;0,K8&lt;$B8,DATE($B$1,9,1)&lt;=TODAY(),OR($O8="",$O8&gt;=DATE($B$1,9,1)),OR(COUNTIF($C8:K8,"&gt;0")&gt;0,DATE($B$1,9,1)=DATE(YEAR(TODAY()),MONTH(TODAY()),1))),1,0))</f>
        <v/>
      </c>
      <c r="Y8">
        <f>IF($A8="","",IF(AND($B8&gt;0,L8&lt;$B8,DATE($B$1,10,1)&lt;=TODAY(),OR($O8="",$O8&gt;=DATE($B$1,10,1)),OR(COUNTIF($C8:L8,"&gt;0")&gt;0,DATE($B$1,10,1)=DATE(YEAR(TODAY()),MONTH(TODAY()),1))),1,0))</f>
        <v/>
      </c>
      <c r="Z8">
        <f>IF($A8="","",IF(AND($B8&gt;0,M8&lt;$B8,DATE($B$1,11,1)&lt;=TODAY(),OR($O8="",$O8&gt;=DATE($B$1,11,1)),OR(COUNTIF($C8:M8,"&gt;0")&gt;0,DATE($B$1,11,1)=DATE(YEAR(TODAY()),MONTH(TODAY()),1))),1,0))</f>
        <v/>
      </c>
      <c r="AA8">
        <f>IF($A8="","",IF(AND($B8&gt;0,N8&lt;$B8,DATE($B$1,12,1)&lt;=TODAY(),OR($O8="",$O8&gt;=DATE($B$1,12,1)),OR(COUNTIF($C8:N8,"&gt;0")&gt;0,DATE($B$1,12,1)=DATE(YEAR(TODAY()),MONTH(TODAY()),1))),1,0))</f>
        <v/>
      </c>
    </row>
    <row r="9">
      <c r="A9" s="13">
        <f>IF(원생!$A7="","",원생!$A7&amp;IF(원생!$G7="",""," ("&amp;원생!$G7&amp;")"))</f>
        <v/>
      </c>
      <c r="B9" s="8">
        <f>IF(원생!$A7="","",N(원생!$F7))</f>
        <v/>
      </c>
      <c r="C9" s="14">
        <f>IF(원생!$A7="","",SUMIFS(계산!$C:$C,계산!$A:$A,계산!$E7,계산!$B:$B,$B$1*100+1))</f>
        <v/>
      </c>
      <c r="D9" s="14">
        <f>IF(원생!$A7="","",SUMIFS(계산!$C:$C,계산!$A:$A,계산!$E7,계산!$B:$B,$B$1*100+2))</f>
        <v/>
      </c>
      <c r="E9" s="14">
        <f>IF(원생!$A7="","",SUMIFS(계산!$C:$C,계산!$A:$A,계산!$E7,계산!$B:$B,$B$1*100+3))</f>
        <v/>
      </c>
      <c r="F9" s="14">
        <f>IF(원생!$A7="","",SUMIFS(계산!$C:$C,계산!$A:$A,계산!$E7,계산!$B:$B,$B$1*100+4))</f>
        <v/>
      </c>
      <c r="G9" s="14">
        <f>IF(원생!$A7="","",SUMIFS(계산!$C:$C,계산!$A:$A,계산!$E7,계산!$B:$B,$B$1*100+5))</f>
        <v/>
      </c>
      <c r="H9" s="14">
        <f>IF(원생!$A7="","",SUMIFS(계산!$C:$C,계산!$A:$A,계산!$E7,계산!$B:$B,$B$1*100+6))</f>
        <v/>
      </c>
      <c r="I9" s="14">
        <f>IF(원생!$A7="","",SUMIFS(계산!$C:$C,계산!$A:$A,계산!$E7,계산!$B:$B,$B$1*100+7))</f>
        <v/>
      </c>
      <c r="J9" s="14">
        <f>IF(원생!$A7="","",SUMIFS(계산!$C:$C,계산!$A:$A,계산!$E7,계산!$B:$B,$B$1*100+8))</f>
        <v/>
      </c>
      <c r="K9" s="14">
        <f>IF(원생!$A7="","",SUMIFS(계산!$C:$C,계산!$A:$A,계산!$E7,계산!$B:$B,$B$1*100+9))</f>
        <v/>
      </c>
      <c r="L9" s="14">
        <f>IF(원생!$A7="","",SUMIFS(계산!$C:$C,계산!$A:$A,계산!$E7,계산!$B:$B,$B$1*100+10))</f>
        <v/>
      </c>
      <c r="M9" s="14">
        <f>IF(원생!$A7="","",SUMIFS(계산!$C:$C,계산!$A:$A,계산!$E7,계산!$B:$B,$B$1*100+11))</f>
        <v/>
      </c>
      <c r="N9" s="14">
        <f>IF(원생!$A7="","",SUMIFS(계산!$C:$C,계산!$A:$A,계산!$E7,계산!$B:$B,$B$1*100+12))</f>
        <v/>
      </c>
      <c r="O9">
        <f>IF(원생!$I7="","",원생!$I7)</f>
        <v/>
      </c>
      <c r="P9">
        <f>IF($A9="","",IF(AND($B9&gt;0,C9&lt;$B9,DATE($B$1,1,1)&lt;=TODAY(),OR($O9="",$O9&gt;=DATE($B$1,1,1)),OR(COUNTIF($C9:C9,"&gt;0")&gt;0,DATE($B$1,1,1)=DATE(YEAR(TODAY()),MONTH(TODAY()),1))),1,0))</f>
        <v/>
      </c>
      <c r="Q9">
        <f>IF($A9="","",IF(AND($B9&gt;0,D9&lt;$B9,DATE($B$1,2,1)&lt;=TODAY(),OR($O9="",$O9&gt;=DATE($B$1,2,1)),OR(COUNTIF($C9:D9,"&gt;0")&gt;0,DATE($B$1,2,1)=DATE(YEAR(TODAY()),MONTH(TODAY()),1))),1,0))</f>
        <v/>
      </c>
      <c r="R9">
        <f>IF($A9="","",IF(AND($B9&gt;0,E9&lt;$B9,DATE($B$1,3,1)&lt;=TODAY(),OR($O9="",$O9&gt;=DATE($B$1,3,1)),OR(COUNTIF($C9:E9,"&gt;0")&gt;0,DATE($B$1,3,1)=DATE(YEAR(TODAY()),MONTH(TODAY()),1))),1,0))</f>
        <v/>
      </c>
      <c r="S9">
        <f>IF($A9="","",IF(AND($B9&gt;0,F9&lt;$B9,DATE($B$1,4,1)&lt;=TODAY(),OR($O9="",$O9&gt;=DATE($B$1,4,1)),OR(COUNTIF($C9:F9,"&gt;0")&gt;0,DATE($B$1,4,1)=DATE(YEAR(TODAY()),MONTH(TODAY()),1))),1,0))</f>
        <v/>
      </c>
      <c r="T9">
        <f>IF($A9="","",IF(AND($B9&gt;0,G9&lt;$B9,DATE($B$1,5,1)&lt;=TODAY(),OR($O9="",$O9&gt;=DATE($B$1,5,1)),OR(COUNTIF($C9:G9,"&gt;0")&gt;0,DATE($B$1,5,1)=DATE(YEAR(TODAY()),MONTH(TODAY()),1))),1,0))</f>
        <v/>
      </c>
      <c r="U9">
        <f>IF($A9="","",IF(AND($B9&gt;0,H9&lt;$B9,DATE($B$1,6,1)&lt;=TODAY(),OR($O9="",$O9&gt;=DATE($B$1,6,1)),OR(COUNTIF($C9:H9,"&gt;0")&gt;0,DATE($B$1,6,1)=DATE(YEAR(TODAY()),MONTH(TODAY()),1))),1,0))</f>
        <v/>
      </c>
      <c r="V9">
        <f>IF($A9="","",IF(AND($B9&gt;0,I9&lt;$B9,DATE($B$1,7,1)&lt;=TODAY(),OR($O9="",$O9&gt;=DATE($B$1,7,1)),OR(COUNTIF($C9:I9,"&gt;0")&gt;0,DATE($B$1,7,1)=DATE(YEAR(TODAY()),MONTH(TODAY()),1))),1,0))</f>
        <v/>
      </c>
      <c r="W9">
        <f>IF($A9="","",IF(AND($B9&gt;0,J9&lt;$B9,DATE($B$1,8,1)&lt;=TODAY(),OR($O9="",$O9&gt;=DATE($B$1,8,1)),OR(COUNTIF($C9:J9,"&gt;0")&gt;0,DATE($B$1,8,1)=DATE(YEAR(TODAY()),MONTH(TODAY()),1))),1,0))</f>
        <v/>
      </c>
      <c r="X9">
        <f>IF($A9="","",IF(AND($B9&gt;0,K9&lt;$B9,DATE($B$1,9,1)&lt;=TODAY(),OR($O9="",$O9&gt;=DATE($B$1,9,1)),OR(COUNTIF($C9:K9,"&gt;0")&gt;0,DATE($B$1,9,1)=DATE(YEAR(TODAY()),MONTH(TODAY()),1))),1,0))</f>
        <v/>
      </c>
      <c r="Y9">
        <f>IF($A9="","",IF(AND($B9&gt;0,L9&lt;$B9,DATE($B$1,10,1)&lt;=TODAY(),OR($O9="",$O9&gt;=DATE($B$1,10,1)),OR(COUNTIF($C9:L9,"&gt;0")&gt;0,DATE($B$1,10,1)=DATE(YEAR(TODAY()),MONTH(TODAY()),1))),1,0))</f>
        <v/>
      </c>
      <c r="Z9">
        <f>IF($A9="","",IF(AND($B9&gt;0,M9&lt;$B9,DATE($B$1,11,1)&lt;=TODAY(),OR($O9="",$O9&gt;=DATE($B$1,11,1)),OR(COUNTIF($C9:M9,"&gt;0")&gt;0,DATE($B$1,11,1)=DATE(YEAR(TODAY()),MONTH(TODAY()),1))),1,0))</f>
        <v/>
      </c>
      <c r="AA9">
        <f>IF($A9="","",IF(AND($B9&gt;0,N9&lt;$B9,DATE($B$1,12,1)&lt;=TODAY(),OR($O9="",$O9&gt;=DATE($B$1,12,1)),OR(COUNTIF($C9:N9,"&gt;0")&gt;0,DATE($B$1,12,1)=DATE(YEAR(TODAY()),MONTH(TODAY()),1))),1,0))</f>
        <v/>
      </c>
    </row>
    <row r="10">
      <c r="A10" s="13">
        <f>IF(원생!$A8="","",원생!$A8&amp;IF(원생!$G8="",""," ("&amp;원생!$G8&amp;")"))</f>
        <v/>
      </c>
      <c r="B10" s="8">
        <f>IF(원생!$A8="","",N(원생!$F8))</f>
        <v/>
      </c>
      <c r="C10" s="14">
        <f>IF(원생!$A8="","",SUMIFS(계산!$C:$C,계산!$A:$A,계산!$E8,계산!$B:$B,$B$1*100+1))</f>
        <v/>
      </c>
      <c r="D10" s="14">
        <f>IF(원생!$A8="","",SUMIFS(계산!$C:$C,계산!$A:$A,계산!$E8,계산!$B:$B,$B$1*100+2))</f>
        <v/>
      </c>
      <c r="E10" s="14">
        <f>IF(원생!$A8="","",SUMIFS(계산!$C:$C,계산!$A:$A,계산!$E8,계산!$B:$B,$B$1*100+3))</f>
        <v/>
      </c>
      <c r="F10" s="14">
        <f>IF(원생!$A8="","",SUMIFS(계산!$C:$C,계산!$A:$A,계산!$E8,계산!$B:$B,$B$1*100+4))</f>
        <v/>
      </c>
      <c r="G10" s="14">
        <f>IF(원생!$A8="","",SUMIFS(계산!$C:$C,계산!$A:$A,계산!$E8,계산!$B:$B,$B$1*100+5))</f>
        <v/>
      </c>
      <c r="H10" s="14">
        <f>IF(원생!$A8="","",SUMIFS(계산!$C:$C,계산!$A:$A,계산!$E8,계산!$B:$B,$B$1*100+6))</f>
        <v/>
      </c>
      <c r="I10" s="14">
        <f>IF(원생!$A8="","",SUMIFS(계산!$C:$C,계산!$A:$A,계산!$E8,계산!$B:$B,$B$1*100+7))</f>
        <v/>
      </c>
      <c r="J10" s="14">
        <f>IF(원생!$A8="","",SUMIFS(계산!$C:$C,계산!$A:$A,계산!$E8,계산!$B:$B,$B$1*100+8))</f>
        <v/>
      </c>
      <c r="K10" s="14">
        <f>IF(원생!$A8="","",SUMIFS(계산!$C:$C,계산!$A:$A,계산!$E8,계산!$B:$B,$B$1*100+9))</f>
        <v/>
      </c>
      <c r="L10" s="14">
        <f>IF(원생!$A8="","",SUMIFS(계산!$C:$C,계산!$A:$A,계산!$E8,계산!$B:$B,$B$1*100+10))</f>
        <v/>
      </c>
      <c r="M10" s="14">
        <f>IF(원생!$A8="","",SUMIFS(계산!$C:$C,계산!$A:$A,계산!$E8,계산!$B:$B,$B$1*100+11))</f>
        <v/>
      </c>
      <c r="N10" s="14">
        <f>IF(원생!$A8="","",SUMIFS(계산!$C:$C,계산!$A:$A,계산!$E8,계산!$B:$B,$B$1*100+12))</f>
        <v/>
      </c>
      <c r="O10">
        <f>IF(원생!$I8="","",원생!$I8)</f>
        <v/>
      </c>
      <c r="P10">
        <f>IF($A10="","",IF(AND($B10&gt;0,C10&lt;$B10,DATE($B$1,1,1)&lt;=TODAY(),OR($O10="",$O10&gt;=DATE($B$1,1,1)),OR(COUNTIF($C10:C10,"&gt;0")&gt;0,DATE($B$1,1,1)=DATE(YEAR(TODAY()),MONTH(TODAY()),1))),1,0))</f>
        <v/>
      </c>
      <c r="Q10">
        <f>IF($A10="","",IF(AND($B10&gt;0,D10&lt;$B10,DATE($B$1,2,1)&lt;=TODAY(),OR($O10="",$O10&gt;=DATE($B$1,2,1)),OR(COUNTIF($C10:D10,"&gt;0")&gt;0,DATE($B$1,2,1)=DATE(YEAR(TODAY()),MONTH(TODAY()),1))),1,0))</f>
        <v/>
      </c>
      <c r="R10">
        <f>IF($A10="","",IF(AND($B10&gt;0,E10&lt;$B10,DATE($B$1,3,1)&lt;=TODAY(),OR($O10="",$O10&gt;=DATE($B$1,3,1)),OR(COUNTIF($C10:E10,"&gt;0")&gt;0,DATE($B$1,3,1)=DATE(YEAR(TODAY()),MONTH(TODAY()),1))),1,0))</f>
        <v/>
      </c>
      <c r="S10">
        <f>IF($A10="","",IF(AND($B10&gt;0,F10&lt;$B10,DATE($B$1,4,1)&lt;=TODAY(),OR($O10="",$O10&gt;=DATE($B$1,4,1)),OR(COUNTIF($C10:F10,"&gt;0")&gt;0,DATE($B$1,4,1)=DATE(YEAR(TODAY()),MONTH(TODAY()),1))),1,0))</f>
        <v/>
      </c>
      <c r="T10">
        <f>IF($A10="","",IF(AND($B10&gt;0,G10&lt;$B10,DATE($B$1,5,1)&lt;=TODAY(),OR($O10="",$O10&gt;=DATE($B$1,5,1)),OR(COUNTIF($C10:G10,"&gt;0")&gt;0,DATE($B$1,5,1)=DATE(YEAR(TODAY()),MONTH(TODAY()),1))),1,0))</f>
        <v/>
      </c>
      <c r="U10">
        <f>IF($A10="","",IF(AND($B10&gt;0,H10&lt;$B10,DATE($B$1,6,1)&lt;=TODAY(),OR($O10="",$O10&gt;=DATE($B$1,6,1)),OR(COUNTIF($C10:H10,"&gt;0")&gt;0,DATE($B$1,6,1)=DATE(YEAR(TODAY()),MONTH(TODAY()),1))),1,0))</f>
        <v/>
      </c>
      <c r="V10">
        <f>IF($A10="","",IF(AND($B10&gt;0,I10&lt;$B10,DATE($B$1,7,1)&lt;=TODAY(),OR($O10="",$O10&gt;=DATE($B$1,7,1)),OR(COUNTIF($C10:I10,"&gt;0")&gt;0,DATE($B$1,7,1)=DATE(YEAR(TODAY()),MONTH(TODAY()),1))),1,0))</f>
        <v/>
      </c>
      <c r="W10">
        <f>IF($A10="","",IF(AND($B10&gt;0,J10&lt;$B10,DATE($B$1,8,1)&lt;=TODAY(),OR($O10="",$O10&gt;=DATE($B$1,8,1)),OR(COUNTIF($C10:J10,"&gt;0")&gt;0,DATE($B$1,8,1)=DATE(YEAR(TODAY()),MONTH(TODAY()),1))),1,0))</f>
        <v/>
      </c>
      <c r="X10">
        <f>IF($A10="","",IF(AND($B10&gt;0,K10&lt;$B10,DATE($B$1,9,1)&lt;=TODAY(),OR($O10="",$O10&gt;=DATE($B$1,9,1)),OR(COUNTIF($C10:K10,"&gt;0")&gt;0,DATE($B$1,9,1)=DATE(YEAR(TODAY()),MONTH(TODAY()),1))),1,0))</f>
        <v/>
      </c>
      <c r="Y10">
        <f>IF($A10="","",IF(AND($B10&gt;0,L10&lt;$B10,DATE($B$1,10,1)&lt;=TODAY(),OR($O10="",$O10&gt;=DATE($B$1,10,1)),OR(COUNTIF($C10:L10,"&gt;0")&gt;0,DATE($B$1,10,1)=DATE(YEAR(TODAY()),MONTH(TODAY()),1))),1,0))</f>
        <v/>
      </c>
      <c r="Z10">
        <f>IF($A10="","",IF(AND($B10&gt;0,M10&lt;$B10,DATE($B$1,11,1)&lt;=TODAY(),OR($O10="",$O10&gt;=DATE($B$1,11,1)),OR(COUNTIF($C10:M10,"&gt;0")&gt;0,DATE($B$1,11,1)=DATE(YEAR(TODAY()),MONTH(TODAY()),1))),1,0))</f>
        <v/>
      </c>
      <c r="AA10">
        <f>IF($A10="","",IF(AND($B10&gt;0,N10&lt;$B10,DATE($B$1,12,1)&lt;=TODAY(),OR($O10="",$O10&gt;=DATE($B$1,12,1)),OR(COUNTIF($C10:N10,"&gt;0")&gt;0,DATE($B$1,12,1)=DATE(YEAR(TODAY()),MONTH(TODAY()),1))),1,0))</f>
        <v/>
      </c>
    </row>
    <row r="11">
      <c r="A11" s="13">
        <f>IF(원생!$A9="","",원생!$A9&amp;IF(원생!$G9="",""," ("&amp;원생!$G9&amp;")"))</f>
        <v/>
      </c>
      <c r="B11" s="8">
        <f>IF(원생!$A9="","",N(원생!$F9))</f>
        <v/>
      </c>
      <c r="C11" s="14">
        <f>IF(원생!$A9="","",SUMIFS(계산!$C:$C,계산!$A:$A,계산!$E9,계산!$B:$B,$B$1*100+1))</f>
        <v/>
      </c>
      <c r="D11" s="14">
        <f>IF(원생!$A9="","",SUMIFS(계산!$C:$C,계산!$A:$A,계산!$E9,계산!$B:$B,$B$1*100+2))</f>
        <v/>
      </c>
      <c r="E11" s="14">
        <f>IF(원생!$A9="","",SUMIFS(계산!$C:$C,계산!$A:$A,계산!$E9,계산!$B:$B,$B$1*100+3))</f>
        <v/>
      </c>
      <c r="F11" s="14">
        <f>IF(원생!$A9="","",SUMIFS(계산!$C:$C,계산!$A:$A,계산!$E9,계산!$B:$B,$B$1*100+4))</f>
        <v/>
      </c>
      <c r="G11" s="14">
        <f>IF(원생!$A9="","",SUMIFS(계산!$C:$C,계산!$A:$A,계산!$E9,계산!$B:$B,$B$1*100+5))</f>
        <v/>
      </c>
      <c r="H11" s="14">
        <f>IF(원생!$A9="","",SUMIFS(계산!$C:$C,계산!$A:$A,계산!$E9,계산!$B:$B,$B$1*100+6))</f>
        <v/>
      </c>
      <c r="I11" s="14">
        <f>IF(원생!$A9="","",SUMIFS(계산!$C:$C,계산!$A:$A,계산!$E9,계산!$B:$B,$B$1*100+7))</f>
        <v/>
      </c>
      <c r="J11" s="14">
        <f>IF(원생!$A9="","",SUMIFS(계산!$C:$C,계산!$A:$A,계산!$E9,계산!$B:$B,$B$1*100+8))</f>
        <v/>
      </c>
      <c r="K11" s="14">
        <f>IF(원생!$A9="","",SUMIFS(계산!$C:$C,계산!$A:$A,계산!$E9,계산!$B:$B,$B$1*100+9))</f>
        <v/>
      </c>
      <c r="L11" s="14">
        <f>IF(원생!$A9="","",SUMIFS(계산!$C:$C,계산!$A:$A,계산!$E9,계산!$B:$B,$B$1*100+10))</f>
        <v/>
      </c>
      <c r="M11" s="14">
        <f>IF(원생!$A9="","",SUMIFS(계산!$C:$C,계산!$A:$A,계산!$E9,계산!$B:$B,$B$1*100+11))</f>
        <v/>
      </c>
      <c r="N11" s="14">
        <f>IF(원생!$A9="","",SUMIFS(계산!$C:$C,계산!$A:$A,계산!$E9,계산!$B:$B,$B$1*100+12))</f>
        <v/>
      </c>
      <c r="O11">
        <f>IF(원생!$I9="","",원생!$I9)</f>
        <v/>
      </c>
      <c r="P11">
        <f>IF($A11="","",IF(AND($B11&gt;0,C11&lt;$B11,DATE($B$1,1,1)&lt;=TODAY(),OR($O11="",$O11&gt;=DATE($B$1,1,1)),OR(COUNTIF($C11:C11,"&gt;0")&gt;0,DATE($B$1,1,1)=DATE(YEAR(TODAY()),MONTH(TODAY()),1))),1,0))</f>
        <v/>
      </c>
      <c r="Q11">
        <f>IF($A11="","",IF(AND($B11&gt;0,D11&lt;$B11,DATE($B$1,2,1)&lt;=TODAY(),OR($O11="",$O11&gt;=DATE($B$1,2,1)),OR(COUNTIF($C11:D11,"&gt;0")&gt;0,DATE($B$1,2,1)=DATE(YEAR(TODAY()),MONTH(TODAY()),1))),1,0))</f>
        <v/>
      </c>
      <c r="R11">
        <f>IF($A11="","",IF(AND($B11&gt;0,E11&lt;$B11,DATE($B$1,3,1)&lt;=TODAY(),OR($O11="",$O11&gt;=DATE($B$1,3,1)),OR(COUNTIF($C11:E11,"&gt;0")&gt;0,DATE($B$1,3,1)=DATE(YEAR(TODAY()),MONTH(TODAY()),1))),1,0))</f>
        <v/>
      </c>
      <c r="S11">
        <f>IF($A11="","",IF(AND($B11&gt;0,F11&lt;$B11,DATE($B$1,4,1)&lt;=TODAY(),OR($O11="",$O11&gt;=DATE($B$1,4,1)),OR(COUNTIF($C11:F11,"&gt;0")&gt;0,DATE($B$1,4,1)=DATE(YEAR(TODAY()),MONTH(TODAY()),1))),1,0))</f>
        <v/>
      </c>
      <c r="T11">
        <f>IF($A11="","",IF(AND($B11&gt;0,G11&lt;$B11,DATE($B$1,5,1)&lt;=TODAY(),OR($O11="",$O11&gt;=DATE($B$1,5,1)),OR(COUNTIF($C11:G11,"&gt;0")&gt;0,DATE($B$1,5,1)=DATE(YEAR(TODAY()),MONTH(TODAY()),1))),1,0))</f>
        <v/>
      </c>
      <c r="U11">
        <f>IF($A11="","",IF(AND($B11&gt;0,H11&lt;$B11,DATE($B$1,6,1)&lt;=TODAY(),OR($O11="",$O11&gt;=DATE($B$1,6,1)),OR(COUNTIF($C11:H11,"&gt;0")&gt;0,DATE($B$1,6,1)=DATE(YEAR(TODAY()),MONTH(TODAY()),1))),1,0))</f>
        <v/>
      </c>
      <c r="V11">
        <f>IF($A11="","",IF(AND($B11&gt;0,I11&lt;$B11,DATE($B$1,7,1)&lt;=TODAY(),OR($O11="",$O11&gt;=DATE($B$1,7,1)),OR(COUNTIF($C11:I11,"&gt;0")&gt;0,DATE($B$1,7,1)=DATE(YEAR(TODAY()),MONTH(TODAY()),1))),1,0))</f>
        <v/>
      </c>
      <c r="W11">
        <f>IF($A11="","",IF(AND($B11&gt;0,J11&lt;$B11,DATE($B$1,8,1)&lt;=TODAY(),OR($O11="",$O11&gt;=DATE($B$1,8,1)),OR(COUNTIF($C11:J11,"&gt;0")&gt;0,DATE($B$1,8,1)=DATE(YEAR(TODAY()),MONTH(TODAY()),1))),1,0))</f>
        <v/>
      </c>
      <c r="X11">
        <f>IF($A11="","",IF(AND($B11&gt;0,K11&lt;$B11,DATE($B$1,9,1)&lt;=TODAY(),OR($O11="",$O11&gt;=DATE($B$1,9,1)),OR(COUNTIF($C11:K11,"&gt;0")&gt;0,DATE($B$1,9,1)=DATE(YEAR(TODAY()),MONTH(TODAY()),1))),1,0))</f>
        <v/>
      </c>
      <c r="Y11">
        <f>IF($A11="","",IF(AND($B11&gt;0,L11&lt;$B11,DATE($B$1,10,1)&lt;=TODAY(),OR($O11="",$O11&gt;=DATE($B$1,10,1)),OR(COUNTIF($C11:L11,"&gt;0")&gt;0,DATE($B$1,10,1)=DATE(YEAR(TODAY()),MONTH(TODAY()),1))),1,0))</f>
        <v/>
      </c>
      <c r="Z11">
        <f>IF($A11="","",IF(AND($B11&gt;0,M11&lt;$B11,DATE($B$1,11,1)&lt;=TODAY(),OR($O11="",$O11&gt;=DATE($B$1,11,1)),OR(COUNTIF($C11:M11,"&gt;0")&gt;0,DATE($B$1,11,1)=DATE(YEAR(TODAY()),MONTH(TODAY()),1))),1,0))</f>
        <v/>
      </c>
      <c r="AA11">
        <f>IF($A11="","",IF(AND($B11&gt;0,N11&lt;$B11,DATE($B$1,12,1)&lt;=TODAY(),OR($O11="",$O11&gt;=DATE($B$1,12,1)),OR(COUNTIF($C11:N11,"&gt;0")&gt;0,DATE($B$1,12,1)=DATE(YEAR(TODAY()),MONTH(TODAY()),1))),1,0))</f>
        <v/>
      </c>
    </row>
    <row r="12">
      <c r="A12" s="13">
        <f>IF(원생!$A10="","",원생!$A10&amp;IF(원생!$G10="",""," ("&amp;원생!$G10&amp;")"))</f>
        <v/>
      </c>
      <c r="B12" s="8">
        <f>IF(원생!$A10="","",N(원생!$F10))</f>
        <v/>
      </c>
      <c r="C12" s="14">
        <f>IF(원생!$A10="","",SUMIFS(계산!$C:$C,계산!$A:$A,계산!$E10,계산!$B:$B,$B$1*100+1))</f>
        <v/>
      </c>
      <c r="D12" s="14">
        <f>IF(원생!$A10="","",SUMIFS(계산!$C:$C,계산!$A:$A,계산!$E10,계산!$B:$B,$B$1*100+2))</f>
        <v/>
      </c>
      <c r="E12" s="14">
        <f>IF(원생!$A10="","",SUMIFS(계산!$C:$C,계산!$A:$A,계산!$E10,계산!$B:$B,$B$1*100+3))</f>
        <v/>
      </c>
      <c r="F12" s="14">
        <f>IF(원생!$A10="","",SUMIFS(계산!$C:$C,계산!$A:$A,계산!$E10,계산!$B:$B,$B$1*100+4))</f>
        <v/>
      </c>
      <c r="G12" s="14">
        <f>IF(원생!$A10="","",SUMIFS(계산!$C:$C,계산!$A:$A,계산!$E10,계산!$B:$B,$B$1*100+5))</f>
        <v/>
      </c>
      <c r="H12" s="14">
        <f>IF(원생!$A10="","",SUMIFS(계산!$C:$C,계산!$A:$A,계산!$E10,계산!$B:$B,$B$1*100+6))</f>
        <v/>
      </c>
      <c r="I12" s="14">
        <f>IF(원생!$A10="","",SUMIFS(계산!$C:$C,계산!$A:$A,계산!$E10,계산!$B:$B,$B$1*100+7))</f>
        <v/>
      </c>
      <c r="J12" s="14">
        <f>IF(원생!$A10="","",SUMIFS(계산!$C:$C,계산!$A:$A,계산!$E10,계산!$B:$B,$B$1*100+8))</f>
        <v/>
      </c>
      <c r="K12" s="14">
        <f>IF(원생!$A10="","",SUMIFS(계산!$C:$C,계산!$A:$A,계산!$E10,계산!$B:$B,$B$1*100+9))</f>
        <v/>
      </c>
      <c r="L12" s="14">
        <f>IF(원생!$A10="","",SUMIFS(계산!$C:$C,계산!$A:$A,계산!$E10,계산!$B:$B,$B$1*100+10))</f>
        <v/>
      </c>
      <c r="M12" s="14">
        <f>IF(원생!$A10="","",SUMIFS(계산!$C:$C,계산!$A:$A,계산!$E10,계산!$B:$B,$B$1*100+11))</f>
        <v/>
      </c>
      <c r="N12" s="14">
        <f>IF(원생!$A10="","",SUMIFS(계산!$C:$C,계산!$A:$A,계산!$E10,계산!$B:$B,$B$1*100+12))</f>
        <v/>
      </c>
      <c r="O12">
        <f>IF(원생!$I10="","",원생!$I10)</f>
        <v/>
      </c>
      <c r="P12">
        <f>IF($A12="","",IF(AND($B12&gt;0,C12&lt;$B12,DATE($B$1,1,1)&lt;=TODAY(),OR($O12="",$O12&gt;=DATE($B$1,1,1)),OR(COUNTIF($C12:C12,"&gt;0")&gt;0,DATE($B$1,1,1)=DATE(YEAR(TODAY()),MONTH(TODAY()),1))),1,0))</f>
        <v/>
      </c>
      <c r="Q12">
        <f>IF($A12="","",IF(AND($B12&gt;0,D12&lt;$B12,DATE($B$1,2,1)&lt;=TODAY(),OR($O12="",$O12&gt;=DATE($B$1,2,1)),OR(COUNTIF($C12:D12,"&gt;0")&gt;0,DATE($B$1,2,1)=DATE(YEAR(TODAY()),MONTH(TODAY()),1))),1,0))</f>
        <v/>
      </c>
      <c r="R12">
        <f>IF($A12="","",IF(AND($B12&gt;0,E12&lt;$B12,DATE($B$1,3,1)&lt;=TODAY(),OR($O12="",$O12&gt;=DATE($B$1,3,1)),OR(COUNTIF($C12:E12,"&gt;0")&gt;0,DATE($B$1,3,1)=DATE(YEAR(TODAY()),MONTH(TODAY()),1))),1,0))</f>
        <v/>
      </c>
      <c r="S12">
        <f>IF($A12="","",IF(AND($B12&gt;0,F12&lt;$B12,DATE($B$1,4,1)&lt;=TODAY(),OR($O12="",$O12&gt;=DATE($B$1,4,1)),OR(COUNTIF($C12:F12,"&gt;0")&gt;0,DATE($B$1,4,1)=DATE(YEAR(TODAY()),MONTH(TODAY()),1))),1,0))</f>
        <v/>
      </c>
      <c r="T12">
        <f>IF($A12="","",IF(AND($B12&gt;0,G12&lt;$B12,DATE($B$1,5,1)&lt;=TODAY(),OR($O12="",$O12&gt;=DATE($B$1,5,1)),OR(COUNTIF($C12:G12,"&gt;0")&gt;0,DATE($B$1,5,1)=DATE(YEAR(TODAY()),MONTH(TODAY()),1))),1,0))</f>
        <v/>
      </c>
      <c r="U12">
        <f>IF($A12="","",IF(AND($B12&gt;0,H12&lt;$B12,DATE($B$1,6,1)&lt;=TODAY(),OR($O12="",$O12&gt;=DATE($B$1,6,1)),OR(COUNTIF($C12:H12,"&gt;0")&gt;0,DATE($B$1,6,1)=DATE(YEAR(TODAY()),MONTH(TODAY()),1))),1,0))</f>
        <v/>
      </c>
      <c r="V12">
        <f>IF($A12="","",IF(AND($B12&gt;0,I12&lt;$B12,DATE($B$1,7,1)&lt;=TODAY(),OR($O12="",$O12&gt;=DATE($B$1,7,1)),OR(COUNTIF($C12:I12,"&gt;0")&gt;0,DATE($B$1,7,1)=DATE(YEAR(TODAY()),MONTH(TODAY()),1))),1,0))</f>
        <v/>
      </c>
      <c r="W12">
        <f>IF($A12="","",IF(AND($B12&gt;0,J12&lt;$B12,DATE($B$1,8,1)&lt;=TODAY(),OR($O12="",$O12&gt;=DATE($B$1,8,1)),OR(COUNTIF($C12:J12,"&gt;0")&gt;0,DATE($B$1,8,1)=DATE(YEAR(TODAY()),MONTH(TODAY()),1))),1,0))</f>
        <v/>
      </c>
      <c r="X12">
        <f>IF($A12="","",IF(AND($B12&gt;0,K12&lt;$B12,DATE($B$1,9,1)&lt;=TODAY(),OR($O12="",$O12&gt;=DATE($B$1,9,1)),OR(COUNTIF($C12:K12,"&gt;0")&gt;0,DATE($B$1,9,1)=DATE(YEAR(TODAY()),MONTH(TODAY()),1))),1,0))</f>
        <v/>
      </c>
      <c r="Y12">
        <f>IF($A12="","",IF(AND($B12&gt;0,L12&lt;$B12,DATE($B$1,10,1)&lt;=TODAY(),OR($O12="",$O12&gt;=DATE($B$1,10,1)),OR(COUNTIF($C12:L12,"&gt;0")&gt;0,DATE($B$1,10,1)=DATE(YEAR(TODAY()),MONTH(TODAY()),1))),1,0))</f>
        <v/>
      </c>
      <c r="Z12">
        <f>IF($A12="","",IF(AND($B12&gt;0,M12&lt;$B12,DATE($B$1,11,1)&lt;=TODAY(),OR($O12="",$O12&gt;=DATE($B$1,11,1)),OR(COUNTIF($C12:M12,"&gt;0")&gt;0,DATE($B$1,11,1)=DATE(YEAR(TODAY()),MONTH(TODAY()),1))),1,0))</f>
        <v/>
      </c>
      <c r="AA12">
        <f>IF($A12="","",IF(AND($B12&gt;0,N12&lt;$B12,DATE($B$1,12,1)&lt;=TODAY(),OR($O12="",$O12&gt;=DATE($B$1,12,1)),OR(COUNTIF($C12:N12,"&gt;0")&gt;0,DATE($B$1,12,1)=DATE(YEAR(TODAY()),MONTH(TODAY()),1))),1,0))</f>
        <v/>
      </c>
    </row>
    <row r="13">
      <c r="A13" s="13">
        <f>IF(원생!$A11="","",원생!$A11&amp;IF(원생!$G11="",""," ("&amp;원생!$G11&amp;")"))</f>
        <v/>
      </c>
      <c r="B13" s="8">
        <f>IF(원생!$A11="","",N(원생!$F11))</f>
        <v/>
      </c>
      <c r="C13" s="14">
        <f>IF(원생!$A11="","",SUMIFS(계산!$C:$C,계산!$A:$A,계산!$E11,계산!$B:$B,$B$1*100+1))</f>
        <v/>
      </c>
      <c r="D13" s="14">
        <f>IF(원생!$A11="","",SUMIFS(계산!$C:$C,계산!$A:$A,계산!$E11,계산!$B:$B,$B$1*100+2))</f>
        <v/>
      </c>
      <c r="E13" s="14">
        <f>IF(원생!$A11="","",SUMIFS(계산!$C:$C,계산!$A:$A,계산!$E11,계산!$B:$B,$B$1*100+3))</f>
        <v/>
      </c>
      <c r="F13" s="14">
        <f>IF(원생!$A11="","",SUMIFS(계산!$C:$C,계산!$A:$A,계산!$E11,계산!$B:$B,$B$1*100+4))</f>
        <v/>
      </c>
      <c r="G13" s="14">
        <f>IF(원생!$A11="","",SUMIFS(계산!$C:$C,계산!$A:$A,계산!$E11,계산!$B:$B,$B$1*100+5))</f>
        <v/>
      </c>
      <c r="H13" s="14">
        <f>IF(원생!$A11="","",SUMIFS(계산!$C:$C,계산!$A:$A,계산!$E11,계산!$B:$B,$B$1*100+6))</f>
        <v/>
      </c>
      <c r="I13" s="14">
        <f>IF(원생!$A11="","",SUMIFS(계산!$C:$C,계산!$A:$A,계산!$E11,계산!$B:$B,$B$1*100+7))</f>
        <v/>
      </c>
      <c r="J13" s="14">
        <f>IF(원생!$A11="","",SUMIFS(계산!$C:$C,계산!$A:$A,계산!$E11,계산!$B:$B,$B$1*100+8))</f>
        <v/>
      </c>
      <c r="K13" s="14">
        <f>IF(원생!$A11="","",SUMIFS(계산!$C:$C,계산!$A:$A,계산!$E11,계산!$B:$B,$B$1*100+9))</f>
        <v/>
      </c>
      <c r="L13" s="14">
        <f>IF(원생!$A11="","",SUMIFS(계산!$C:$C,계산!$A:$A,계산!$E11,계산!$B:$B,$B$1*100+10))</f>
        <v/>
      </c>
      <c r="M13" s="14">
        <f>IF(원생!$A11="","",SUMIFS(계산!$C:$C,계산!$A:$A,계산!$E11,계산!$B:$B,$B$1*100+11))</f>
        <v/>
      </c>
      <c r="N13" s="14">
        <f>IF(원생!$A11="","",SUMIFS(계산!$C:$C,계산!$A:$A,계산!$E11,계산!$B:$B,$B$1*100+12))</f>
        <v/>
      </c>
      <c r="O13">
        <f>IF(원생!$I11="","",원생!$I11)</f>
        <v/>
      </c>
      <c r="P13">
        <f>IF($A13="","",IF(AND($B13&gt;0,C13&lt;$B13,DATE($B$1,1,1)&lt;=TODAY(),OR($O13="",$O13&gt;=DATE($B$1,1,1)),OR(COUNTIF($C13:C13,"&gt;0")&gt;0,DATE($B$1,1,1)=DATE(YEAR(TODAY()),MONTH(TODAY()),1))),1,0))</f>
        <v/>
      </c>
      <c r="Q13">
        <f>IF($A13="","",IF(AND($B13&gt;0,D13&lt;$B13,DATE($B$1,2,1)&lt;=TODAY(),OR($O13="",$O13&gt;=DATE($B$1,2,1)),OR(COUNTIF($C13:D13,"&gt;0")&gt;0,DATE($B$1,2,1)=DATE(YEAR(TODAY()),MONTH(TODAY()),1))),1,0))</f>
        <v/>
      </c>
      <c r="R13">
        <f>IF($A13="","",IF(AND($B13&gt;0,E13&lt;$B13,DATE($B$1,3,1)&lt;=TODAY(),OR($O13="",$O13&gt;=DATE($B$1,3,1)),OR(COUNTIF($C13:E13,"&gt;0")&gt;0,DATE($B$1,3,1)=DATE(YEAR(TODAY()),MONTH(TODAY()),1))),1,0))</f>
        <v/>
      </c>
      <c r="S13">
        <f>IF($A13="","",IF(AND($B13&gt;0,F13&lt;$B13,DATE($B$1,4,1)&lt;=TODAY(),OR($O13="",$O13&gt;=DATE($B$1,4,1)),OR(COUNTIF($C13:F13,"&gt;0")&gt;0,DATE($B$1,4,1)=DATE(YEAR(TODAY()),MONTH(TODAY()),1))),1,0))</f>
        <v/>
      </c>
      <c r="T13">
        <f>IF($A13="","",IF(AND($B13&gt;0,G13&lt;$B13,DATE($B$1,5,1)&lt;=TODAY(),OR($O13="",$O13&gt;=DATE($B$1,5,1)),OR(COUNTIF($C13:G13,"&gt;0")&gt;0,DATE($B$1,5,1)=DATE(YEAR(TODAY()),MONTH(TODAY()),1))),1,0))</f>
        <v/>
      </c>
      <c r="U13">
        <f>IF($A13="","",IF(AND($B13&gt;0,H13&lt;$B13,DATE($B$1,6,1)&lt;=TODAY(),OR($O13="",$O13&gt;=DATE($B$1,6,1)),OR(COUNTIF($C13:H13,"&gt;0")&gt;0,DATE($B$1,6,1)=DATE(YEAR(TODAY()),MONTH(TODAY()),1))),1,0))</f>
        <v/>
      </c>
      <c r="V13">
        <f>IF($A13="","",IF(AND($B13&gt;0,I13&lt;$B13,DATE($B$1,7,1)&lt;=TODAY(),OR($O13="",$O13&gt;=DATE($B$1,7,1)),OR(COUNTIF($C13:I13,"&gt;0")&gt;0,DATE($B$1,7,1)=DATE(YEAR(TODAY()),MONTH(TODAY()),1))),1,0))</f>
        <v/>
      </c>
      <c r="W13">
        <f>IF($A13="","",IF(AND($B13&gt;0,J13&lt;$B13,DATE($B$1,8,1)&lt;=TODAY(),OR($O13="",$O13&gt;=DATE($B$1,8,1)),OR(COUNTIF($C13:J13,"&gt;0")&gt;0,DATE($B$1,8,1)=DATE(YEAR(TODAY()),MONTH(TODAY()),1))),1,0))</f>
        <v/>
      </c>
      <c r="X13">
        <f>IF($A13="","",IF(AND($B13&gt;0,K13&lt;$B13,DATE($B$1,9,1)&lt;=TODAY(),OR($O13="",$O13&gt;=DATE($B$1,9,1)),OR(COUNTIF($C13:K13,"&gt;0")&gt;0,DATE($B$1,9,1)=DATE(YEAR(TODAY()),MONTH(TODAY()),1))),1,0))</f>
        <v/>
      </c>
      <c r="Y13">
        <f>IF($A13="","",IF(AND($B13&gt;0,L13&lt;$B13,DATE($B$1,10,1)&lt;=TODAY(),OR($O13="",$O13&gt;=DATE($B$1,10,1)),OR(COUNTIF($C13:L13,"&gt;0")&gt;0,DATE($B$1,10,1)=DATE(YEAR(TODAY()),MONTH(TODAY()),1))),1,0))</f>
        <v/>
      </c>
      <c r="Z13">
        <f>IF($A13="","",IF(AND($B13&gt;0,M13&lt;$B13,DATE($B$1,11,1)&lt;=TODAY(),OR($O13="",$O13&gt;=DATE($B$1,11,1)),OR(COUNTIF($C13:M13,"&gt;0")&gt;0,DATE($B$1,11,1)=DATE(YEAR(TODAY()),MONTH(TODAY()),1))),1,0))</f>
        <v/>
      </c>
      <c r="AA13">
        <f>IF($A13="","",IF(AND($B13&gt;0,N13&lt;$B13,DATE($B$1,12,1)&lt;=TODAY(),OR($O13="",$O13&gt;=DATE($B$1,12,1)),OR(COUNTIF($C13:N13,"&gt;0")&gt;0,DATE($B$1,12,1)=DATE(YEAR(TODAY()),MONTH(TODAY()),1))),1,0))</f>
        <v/>
      </c>
    </row>
    <row r="14">
      <c r="A14" s="13">
        <f>IF(원생!$A12="","",원생!$A12&amp;IF(원생!$G12="",""," ("&amp;원생!$G12&amp;")"))</f>
        <v/>
      </c>
      <c r="B14" s="8">
        <f>IF(원생!$A12="","",N(원생!$F12))</f>
        <v/>
      </c>
      <c r="C14" s="14">
        <f>IF(원생!$A12="","",SUMIFS(계산!$C:$C,계산!$A:$A,계산!$E12,계산!$B:$B,$B$1*100+1))</f>
        <v/>
      </c>
      <c r="D14" s="14">
        <f>IF(원생!$A12="","",SUMIFS(계산!$C:$C,계산!$A:$A,계산!$E12,계산!$B:$B,$B$1*100+2))</f>
        <v/>
      </c>
      <c r="E14" s="14">
        <f>IF(원생!$A12="","",SUMIFS(계산!$C:$C,계산!$A:$A,계산!$E12,계산!$B:$B,$B$1*100+3))</f>
        <v/>
      </c>
      <c r="F14" s="14">
        <f>IF(원생!$A12="","",SUMIFS(계산!$C:$C,계산!$A:$A,계산!$E12,계산!$B:$B,$B$1*100+4))</f>
        <v/>
      </c>
      <c r="G14" s="14">
        <f>IF(원생!$A12="","",SUMIFS(계산!$C:$C,계산!$A:$A,계산!$E12,계산!$B:$B,$B$1*100+5))</f>
        <v/>
      </c>
      <c r="H14" s="14">
        <f>IF(원생!$A12="","",SUMIFS(계산!$C:$C,계산!$A:$A,계산!$E12,계산!$B:$B,$B$1*100+6))</f>
        <v/>
      </c>
      <c r="I14" s="14">
        <f>IF(원생!$A12="","",SUMIFS(계산!$C:$C,계산!$A:$A,계산!$E12,계산!$B:$B,$B$1*100+7))</f>
        <v/>
      </c>
      <c r="J14" s="14">
        <f>IF(원생!$A12="","",SUMIFS(계산!$C:$C,계산!$A:$A,계산!$E12,계산!$B:$B,$B$1*100+8))</f>
        <v/>
      </c>
      <c r="K14" s="14">
        <f>IF(원생!$A12="","",SUMIFS(계산!$C:$C,계산!$A:$A,계산!$E12,계산!$B:$B,$B$1*100+9))</f>
        <v/>
      </c>
      <c r="L14" s="14">
        <f>IF(원생!$A12="","",SUMIFS(계산!$C:$C,계산!$A:$A,계산!$E12,계산!$B:$B,$B$1*100+10))</f>
        <v/>
      </c>
      <c r="M14" s="14">
        <f>IF(원생!$A12="","",SUMIFS(계산!$C:$C,계산!$A:$A,계산!$E12,계산!$B:$B,$B$1*100+11))</f>
        <v/>
      </c>
      <c r="N14" s="14">
        <f>IF(원생!$A12="","",SUMIFS(계산!$C:$C,계산!$A:$A,계산!$E12,계산!$B:$B,$B$1*100+12))</f>
        <v/>
      </c>
      <c r="O14">
        <f>IF(원생!$I12="","",원생!$I12)</f>
        <v/>
      </c>
      <c r="P14">
        <f>IF($A14="","",IF(AND($B14&gt;0,C14&lt;$B14,DATE($B$1,1,1)&lt;=TODAY(),OR($O14="",$O14&gt;=DATE($B$1,1,1)),OR(COUNTIF($C14:C14,"&gt;0")&gt;0,DATE($B$1,1,1)=DATE(YEAR(TODAY()),MONTH(TODAY()),1))),1,0))</f>
        <v/>
      </c>
      <c r="Q14">
        <f>IF($A14="","",IF(AND($B14&gt;0,D14&lt;$B14,DATE($B$1,2,1)&lt;=TODAY(),OR($O14="",$O14&gt;=DATE($B$1,2,1)),OR(COUNTIF($C14:D14,"&gt;0")&gt;0,DATE($B$1,2,1)=DATE(YEAR(TODAY()),MONTH(TODAY()),1))),1,0))</f>
        <v/>
      </c>
      <c r="R14">
        <f>IF($A14="","",IF(AND($B14&gt;0,E14&lt;$B14,DATE($B$1,3,1)&lt;=TODAY(),OR($O14="",$O14&gt;=DATE($B$1,3,1)),OR(COUNTIF($C14:E14,"&gt;0")&gt;0,DATE($B$1,3,1)=DATE(YEAR(TODAY()),MONTH(TODAY()),1))),1,0))</f>
        <v/>
      </c>
      <c r="S14">
        <f>IF($A14="","",IF(AND($B14&gt;0,F14&lt;$B14,DATE($B$1,4,1)&lt;=TODAY(),OR($O14="",$O14&gt;=DATE($B$1,4,1)),OR(COUNTIF($C14:F14,"&gt;0")&gt;0,DATE($B$1,4,1)=DATE(YEAR(TODAY()),MONTH(TODAY()),1))),1,0))</f>
        <v/>
      </c>
      <c r="T14">
        <f>IF($A14="","",IF(AND($B14&gt;0,G14&lt;$B14,DATE($B$1,5,1)&lt;=TODAY(),OR($O14="",$O14&gt;=DATE($B$1,5,1)),OR(COUNTIF($C14:G14,"&gt;0")&gt;0,DATE($B$1,5,1)=DATE(YEAR(TODAY()),MONTH(TODAY()),1))),1,0))</f>
        <v/>
      </c>
      <c r="U14">
        <f>IF($A14="","",IF(AND($B14&gt;0,H14&lt;$B14,DATE($B$1,6,1)&lt;=TODAY(),OR($O14="",$O14&gt;=DATE($B$1,6,1)),OR(COUNTIF($C14:H14,"&gt;0")&gt;0,DATE($B$1,6,1)=DATE(YEAR(TODAY()),MONTH(TODAY()),1))),1,0))</f>
        <v/>
      </c>
      <c r="V14">
        <f>IF($A14="","",IF(AND($B14&gt;0,I14&lt;$B14,DATE($B$1,7,1)&lt;=TODAY(),OR($O14="",$O14&gt;=DATE($B$1,7,1)),OR(COUNTIF($C14:I14,"&gt;0")&gt;0,DATE($B$1,7,1)=DATE(YEAR(TODAY()),MONTH(TODAY()),1))),1,0))</f>
        <v/>
      </c>
      <c r="W14">
        <f>IF($A14="","",IF(AND($B14&gt;0,J14&lt;$B14,DATE($B$1,8,1)&lt;=TODAY(),OR($O14="",$O14&gt;=DATE($B$1,8,1)),OR(COUNTIF($C14:J14,"&gt;0")&gt;0,DATE($B$1,8,1)=DATE(YEAR(TODAY()),MONTH(TODAY()),1))),1,0))</f>
        <v/>
      </c>
      <c r="X14">
        <f>IF($A14="","",IF(AND($B14&gt;0,K14&lt;$B14,DATE($B$1,9,1)&lt;=TODAY(),OR($O14="",$O14&gt;=DATE($B$1,9,1)),OR(COUNTIF($C14:K14,"&gt;0")&gt;0,DATE($B$1,9,1)=DATE(YEAR(TODAY()),MONTH(TODAY()),1))),1,0))</f>
        <v/>
      </c>
      <c r="Y14">
        <f>IF($A14="","",IF(AND($B14&gt;0,L14&lt;$B14,DATE($B$1,10,1)&lt;=TODAY(),OR($O14="",$O14&gt;=DATE($B$1,10,1)),OR(COUNTIF($C14:L14,"&gt;0")&gt;0,DATE($B$1,10,1)=DATE(YEAR(TODAY()),MONTH(TODAY()),1))),1,0))</f>
        <v/>
      </c>
      <c r="Z14">
        <f>IF($A14="","",IF(AND($B14&gt;0,M14&lt;$B14,DATE($B$1,11,1)&lt;=TODAY(),OR($O14="",$O14&gt;=DATE($B$1,11,1)),OR(COUNTIF($C14:M14,"&gt;0")&gt;0,DATE($B$1,11,1)=DATE(YEAR(TODAY()),MONTH(TODAY()),1))),1,0))</f>
        <v/>
      </c>
      <c r="AA14">
        <f>IF($A14="","",IF(AND($B14&gt;0,N14&lt;$B14,DATE($B$1,12,1)&lt;=TODAY(),OR($O14="",$O14&gt;=DATE($B$1,12,1)),OR(COUNTIF($C14:N14,"&gt;0")&gt;0,DATE($B$1,12,1)=DATE(YEAR(TODAY()),MONTH(TODAY()),1))),1,0))</f>
        <v/>
      </c>
    </row>
    <row r="15">
      <c r="A15" s="13">
        <f>IF(원생!$A13="","",원생!$A13&amp;IF(원생!$G13="",""," ("&amp;원생!$G13&amp;")"))</f>
        <v/>
      </c>
      <c r="B15" s="8">
        <f>IF(원생!$A13="","",N(원생!$F13))</f>
        <v/>
      </c>
      <c r="C15" s="14">
        <f>IF(원생!$A13="","",SUMIFS(계산!$C:$C,계산!$A:$A,계산!$E13,계산!$B:$B,$B$1*100+1))</f>
        <v/>
      </c>
      <c r="D15" s="14">
        <f>IF(원생!$A13="","",SUMIFS(계산!$C:$C,계산!$A:$A,계산!$E13,계산!$B:$B,$B$1*100+2))</f>
        <v/>
      </c>
      <c r="E15" s="14">
        <f>IF(원생!$A13="","",SUMIFS(계산!$C:$C,계산!$A:$A,계산!$E13,계산!$B:$B,$B$1*100+3))</f>
        <v/>
      </c>
      <c r="F15" s="14">
        <f>IF(원생!$A13="","",SUMIFS(계산!$C:$C,계산!$A:$A,계산!$E13,계산!$B:$B,$B$1*100+4))</f>
        <v/>
      </c>
      <c r="G15" s="14">
        <f>IF(원생!$A13="","",SUMIFS(계산!$C:$C,계산!$A:$A,계산!$E13,계산!$B:$B,$B$1*100+5))</f>
        <v/>
      </c>
      <c r="H15" s="14">
        <f>IF(원생!$A13="","",SUMIFS(계산!$C:$C,계산!$A:$A,계산!$E13,계산!$B:$B,$B$1*100+6))</f>
        <v/>
      </c>
      <c r="I15" s="14">
        <f>IF(원생!$A13="","",SUMIFS(계산!$C:$C,계산!$A:$A,계산!$E13,계산!$B:$B,$B$1*100+7))</f>
        <v/>
      </c>
      <c r="J15" s="14">
        <f>IF(원생!$A13="","",SUMIFS(계산!$C:$C,계산!$A:$A,계산!$E13,계산!$B:$B,$B$1*100+8))</f>
        <v/>
      </c>
      <c r="K15" s="14">
        <f>IF(원생!$A13="","",SUMIFS(계산!$C:$C,계산!$A:$A,계산!$E13,계산!$B:$B,$B$1*100+9))</f>
        <v/>
      </c>
      <c r="L15" s="14">
        <f>IF(원생!$A13="","",SUMIFS(계산!$C:$C,계산!$A:$A,계산!$E13,계산!$B:$B,$B$1*100+10))</f>
        <v/>
      </c>
      <c r="M15" s="14">
        <f>IF(원생!$A13="","",SUMIFS(계산!$C:$C,계산!$A:$A,계산!$E13,계산!$B:$B,$B$1*100+11))</f>
        <v/>
      </c>
      <c r="N15" s="14">
        <f>IF(원생!$A13="","",SUMIFS(계산!$C:$C,계산!$A:$A,계산!$E13,계산!$B:$B,$B$1*100+12))</f>
        <v/>
      </c>
      <c r="O15">
        <f>IF(원생!$I13="","",원생!$I13)</f>
        <v/>
      </c>
      <c r="P15">
        <f>IF($A15="","",IF(AND($B15&gt;0,C15&lt;$B15,DATE($B$1,1,1)&lt;=TODAY(),OR($O15="",$O15&gt;=DATE($B$1,1,1)),OR(COUNTIF($C15:C15,"&gt;0")&gt;0,DATE($B$1,1,1)=DATE(YEAR(TODAY()),MONTH(TODAY()),1))),1,0))</f>
        <v/>
      </c>
      <c r="Q15">
        <f>IF($A15="","",IF(AND($B15&gt;0,D15&lt;$B15,DATE($B$1,2,1)&lt;=TODAY(),OR($O15="",$O15&gt;=DATE($B$1,2,1)),OR(COUNTIF($C15:D15,"&gt;0")&gt;0,DATE($B$1,2,1)=DATE(YEAR(TODAY()),MONTH(TODAY()),1))),1,0))</f>
        <v/>
      </c>
      <c r="R15">
        <f>IF($A15="","",IF(AND($B15&gt;0,E15&lt;$B15,DATE($B$1,3,1)&lt;=TODAY(),OR($O15="",$O15&gt;=DATE($B$1,3,1)),OR(COUNTIF($C15:E15,"&gt;0")&gt;0,DATE($B$1,3,1)=DATE(YEAR(TODAY()),MONTH(TODAY()),1))),1,0))</f>
        <v/>
      </c>
      <c r="S15">
        <f>IF($A15="","",IF(AND($B15&gt;0,F15&lt;$B15,DATE($B$1,4,1)&lt;=TODAY(),OR($O15="",$O15&gt;=DATE($B$1,4,1)),OR(COUNTIF($C15:F15,"&gt;0")&gt;0,DATE($B$1,4,1)=DATE(YEAR(TODAY()),MONTH(TODAY()),1))),1,0))</f>
        <v/>
      </c>
      <c r="T15">
        <f>IF($A15="","",IF(AND($B15&gt;0,G15&lt;$B15,DATE($B$1,5,1)&lt;=TODAY(),OR($O15="",$O15&gt;=DATE($B$1,5,1)),OR(COUNTIF($C15:G15,"&gt;0")&gt;0,DATE($B$1,5,1)=DATE(YEAR(TODAY()),MONTH(TODAY()),1))),1,0))</f>
        <v/>
      </c>
      <c r="U15">
        <f>IF($A15="","",IF(AND($B15&gt;0,H15&lt;$B15,DATE($B$1,6,1)&lt;=TODAY(),OR($O15="",$O15&gt;=DATE($B$1,6,1)),OR(COUNTIF($C15:H15,"&gt;0")&gt;0,DATE($B$1,6,1)=DATE(YEAR(TODAY()),MONTH(TODAY()),1))),1,0))</f>
        <v/>
      </c>
      <c r="V15">
        <f>IF($A15="","",IF(AND($B15&gt;0,I15&lt;$B15,DATE($B$1,7,1)&lt;=TODAY(),OR($O15="",$O15&gt;=DATE($B$1,7,1)),OR(COUNTIF($C15:I15,"&gt;0")&gt;0,DATE($B$1,7,1)=DATE(YEAR(TODAY()),MONTH(TODAY()),1))),1,0))</f>
        <v/>
      </c>
      <c r="W15">
        <f>IF($A15="","",IF(AND($B15&gt;0,J15&lt;$B15,DATE($B$1,8,1)&lt;=TODAY(),OR($O15="",$O15&gt;=DATE($B$1,8,1)),OR(COUNTIF($C15:J15,"&gt;0")&gt;0,DATE($B$1,8,1)=DATE(YEAR(TODAY()),MONTH(TODAY()),1))),1,0))</f>
        <v/>
      </c>
      <c r="X15">
        <f>IF($A15="","",IF(AND($B15&gt;0,K15&lt;$B15,DATE($B$1,9,1)&lt;=TODAY(),OR($O15="",$O15&gt;=DATE($B$1,9,1)),OR(COUNTIF($C15:K15,"&gt;0")&gt;0,DATE($B$1,9,1)=DATE(YEAR(TODAY()),MONTH(TODAY()),1))),1,0))</f>
        <v/>
      </c>
      <c r="Y15">
        <f>IF($A15="","",IF(AND($B15&gt;0,L15&lt;$B15,DATE($B$1,10,1)&lt;=TODAY(),OR($O15="",$O15&gt;=DATE($B$1,10,1)),OR(COUNTIF($C15:L15,"&gt;0")&gt;0,DATE($B$1,10,1)=DATE(YEAR(TODAY()),MONTH(TODAY()),1))),1,0))</f>
        <v/>
      </c>
      <c r="Z15">
        <f>IF($A15="","",IF(AND($B15&gt;0,M15&lt;$B15,DATE($B$1,11,1)&lt;=TODAY(),OR($O15="",$O15&gt;=DATE($B$1,11,1)),OR(COUNTIF($C15:M15,"&gt;0")&gt;0,DATE($B$1,11,1)=DATE(YEAR(TODAY()),MONTH(TODAY()),1))),1,0))</f>
        <v/>
      </c>
      <c r="AA15">
        <f>IF($A15="","",IF(AND($B15&gt;0,N15&lt;$B15,DATE($B$1,12,1)&lt;=TODAY(),OR($O15="",$O15&gt;=DATE($B$1,12,1)),OR(COUNTIF($C15:N15,"&gt;0")&gt;0,DATE($B$1,12,1)=DATE(YEAR(TODAY()),MONTH(TODAY()),1))),1,0))</f>
        <v/>
      </c>
    </row>
    <row r="16">
      <c r="A16" s="13">
        <f>IF(원생!$A14="","",원생!$A14&amp;IF(원생!$G14="",""," ("&amp;원생!$G14&amp;")"))</f>
        <v/>
      </c>
      <c r="B16" s="8">
        <f>IF(원생!$A14="","",N(원생!$F14))</f>
        <v/>
      </c>
      <c r="C16" s="14">
        <f>IF(원생!$A14="","",SUMIFS(계산!$C:$C,계산!$A:$A,계산!$E14,계산!$B:$B,$B$1*100+1))</f>
        <v/>
      </c>
      <c r="D16" s="14">
        <f>IF(원생!$A14="","",SUMIFS(계산!$C:$C,계산!$A:$A,계산!$E14,계산!$B:$B,$B$1*100+2))</f>
        <v/>
      </c>
      <c r="E16" s="14">
        <f>IF(원생!$A14="","",SUMIFS(계산!$C:$C,계산!$A:$A,계산!$E14,계산!$B:$B,$B$1*100+3))</f>
        <v/>
      </c>
      <c r="F16" s="14">
        <f>IF(원생!$A14="","",SUMIFS(계산!$C:$C,계산!$A:$A,계산!$E14,계산!$B:$B,$B$1*100+4))</f>
        <v/>
      </c>
      <c r="G16" s="14">
        <f>IF(원생!$A14="","",SUMIFS(계산!$C:$C,계산!$A:$A,계산!$E14,계산!$B:$B,$B$1*100+5))</f>
        <v/>
      </c>
      <c r="H16" s="14">
        <f>IF(원생!$A14="","",SUMIFS(계산!$C:$C,계산!$A:$A,계산!$E14,계산!$B:$B,$B$1*100+6))</f>
        <v/>
      </c>
      <c r="I16" s="14">
        <f>IF(원생!$A14="","",SUMIFS(계산!$C:$C,계산!$A:$A,계산!$E14,계산!$B:$B,$B$1*100+7))</f>
        <v/>
      </c>
      <c r="J16" s="14">
        <f>IF(원생!$A14="","",SUMIFS(계산!$C:$C,계산!$A:$A,계산!$E14,계산!$B:$B,$B$1*100+8))</f>
        <v/>
      </c>
      <c r="K16" s="14">
        <f>IF(원생!$A14="","",SUMIFS(계산!$C:$C,계산!$A:$A,계산!$E14,계산!$B:$B,$B$1*100+9))</f>
        <v/>
      </c>
      <c r="L16" s="14">
        <f>IF(원생!$A14="","",SUMIFS(계산!$C:$C,계산!$A:$A,계산!$E14,계산!$B:$B,$B$1*100+10))</f>
        <v/>
      </c>
      <c r="M16" s="14">
        <f>IF(원생!$A14="","",SUMIFS(계산!$C:$C,계산!$A:$A,계산!$E14,계산!$B:$B,$B$1*100+11))</f>
        <v/>
      </c>
      <c r="N16" s="14">
        <f>IF(원생!$A14="","",SUMIFS(계산!$C:$C,계산!$A:$A,계산!$E14,계산!$B:$B,$B$1*100+12))</f>
        <v/>
      </c>
      <c r="O16">
        <f>IF(원생!$I14="","",원생!$I14)</f>
        <v/>
      </c>
      <c r="P16">
        <f>IF($A16="","",IF(AND($B16&gt;0,C16&lt;$B16,DATE($B$1,1,1)&lt;=TODAY(),OR($O16="",$O16&gt;=DATE($B$1,1,1)),OR(COUNTIF($C16:C16,"&gt;0")&gt;0,DATE($B$1,1,1)=DATE(YEAR(TODAY()),MONTH(TODAY()),1))),1,0))</f>
        <v/>
      </c>
      <c r="Q16">
        <f>IF($A16="","",IF(AND($B16&gt;0,D16&lt;$B16,DATE($B$1,2,1)&lt;=TODAY(),OR($O16="",$O16&gt;=DATE($B$1,2,1)),OR(COUNTIF($C16:D16,"&gt;0")&gt;0,DATE($B$1,2,1)=DATE(YEAR(TODAY()),MONTH(TODAY()),1))),1,0))</f>
        <v/>
      </c>
      <c r="R16">
        <f>IF($A16="","",IF(AND($B16&gt;0,E16&lt;$B16,DATE($B$1,3,1)&lt;=TODAY(),OR($O16="",$O16&gt;=DATE($B$1,3,1)),OR(COUNTIF($C16:E16,"&gt;0")&gt;0,DATE($B$1,3,1)=DATE(YEAR(TODAY()),MONTH(TODAY()),1))),1,0))</f>
        <v/>
      </c>
      <c r="S16">
        <f>IF($A16="","",IF(AND($B16&gt;0,F16&lt;$B16,DATE($B$1,4,1)&lt;=TODAY(),OR($O16="",$O16&gt;=DATE($B$1,4,1)),OR(COUNTIF($C16:F16,"&gt;0")&gt;0,DATE($B$1,4,1)=DATE(YEAR(TODAY()),MONTH(TODAY()),1))),1,0))</f>
        <v/>
      </c>
      <c r="T16">
        <f>IF($A16="","",IF(AND($B16&gt;0,G16&lt;$B16,DATE($B$1,5,1)&lt;=TODAY(),OR($O16="",$O16&gt;=DATE($B$1,5,1)),OR(COUNTIF($C16:G16,"&gt;0")&gt;0,DATE($B$1,5,1)=DATE(YEAR(TODAY()),MONTH(TODAY()),1))),1,0))</f>
        <v/>
      </c>
      <c r="U16">
        <f>IF($A16="","",IF(AND($B16&gt;0,H16&lt;$B16,DATE($B$1,6,1)&lt;=TODAY(),OR($O16="",$O16&gt;=DATE($B$1,6,1)),OR(COUNTIF($C16:H16,"&gt;0")&gt;0,DATE($B$1,6,1)=DATE(YEAR(TODAY()),MONTH(TODAY()),1))),1,0))</f>
        <v/>
      </c>
      <c r="V16">
        <f>IF($A16="","",IF(AND($B16&gt;0,I16&lt;$B16,DATE($B$1,7,1)&lt;=TODAY(),OR($O16="",$O16&gt;=DATE($B$1,7,1)),OR(COUNTIF($C16:I16,"&gt;0")&gt;0,DATE($B$1,7,1)=DATE(YEAR(TODAY()),MONTH(TODAY()),1))),1,0))</f>
        <v/>
      </c>
      <c r="W16">
        <f>IF($A16="","",IF(AND($B16&gt;0,J16&lt;$B16,DATE($B$1,8,1)&lt;=TODAY(),OR($O16="",$O16&gt;=DATE($B$1,8,1)),OR(COUNTIF($C16:J16,"&gt;0")&gt;0,DATE($B$1,8,1)=DATE(YEAR(TODAY()),MONTH(TODAY()),1))),1,0))</f>
        <v/>
      </c>
      <c r="X16">
        <f>IF($A16="","",IF(AND($B16&gt;0,K16&lt;$B16,DATE($B$1,9,1)&lt;=TODAY(),OR($O16="",$O16&gt;=DATE($B$1,9,1)),OR(COUNTIF($C16:K16,"&gt;0")&gt;0,DATE($B$1,9,1)=DATE(YEAR(TODAY()),MONTH(TODAY()),1))),1,0))</f>
        <v/>
      </c>
      <c r="Y16">
        <f>IF($A16="","",IF(AND($B16&gt;0,L16&lt;$B16,DATE($B$1,10,1)&lt;=TODAY(),OR($O16="",$O16&gt;=DATE($B$1,10,1)),OR(COUNTIF($C16:L16,"&gt;0")&gt;0,DATE($B$1,10,1)=DATE(YEAR(TODAY()),MONTH(TODAY()),1))),1,0))</f>
        <v/>
      </c>
      <c r="Z16">
        <f>IF($A16="","",IF(AND($B16&gt;0,M16&lt;$B16,DATE($B$1,11,1)&lt;=TODAY(),OR($O16="",$O16&gt;=DATE($B$1,11,1)),OR(COUNTIF($C16:M16,"&gt;0")&gt;0,DATE($B$1,11,1)=DATE(YEAR(TODAY()),MONTH(TODAY()),1))),1,0))</f>
        <v/>
      </c>
      <c r="AA16">
        <f>IF($A16="","",IF(AND($B16&gt;0,N16&lt;$B16,DATE($B$1,12,1)&lt;=TODAY(),OR($O16="",$O16&gt;=DATE($B$1,12,1)),OR(COUNTIF($C16:N16,"&gt;0")&gt;0,DATE($B$1,12,1)=DATE(YEAR(TODAY()),MONTH(TODAY()),1))),1,0))</f>
        <v/>
      </c>
    </row>
    <row r="17">
      <c r="A17" s="13">
        <f>IF(원생!$A15="","",원생!$A15&amp;IF(원생!$G15="",""," ("&amp;원생!$G15&amp;")"))</f>
        <v/>
      </c>
      <c r="B17" s="8">
        <f>IF(원생!$A15="","",N(원생!$F15))</f>
        <v/>
      </c>
      <c r="C17" s="14">
        <f>IF(원생!$A15="","",SUMIFS(계산!$C:$C,계산!$A:$A,계산!$E15,계산!$B:$B,$B$1*100+1))</f>
        <v/>
      </c>
      <c r="D17" s="14">
        <f>IF(원생!$A15="","",SUMIFS(계산!$C:$C,계산!$A:$A,계산!$E15,계산!$B:$B,$B$1*100+2))</f>
        <v/>
      </c>
      <c r="E17" s="14">
        <f>IF(원생!$A15="","",SUMIFS(계산!$C:$C,계산!$A:$A,계산!$E15,계산!$B:$B,$B$1*100+3))</f>
        <v/>
      </c>
      <c r="F17" s="14">
        <f>IF(원생!$A15="","",SUMIFS(계산!$C:$C,계산!$A:$A,계산!$E15,계산!$B:$B,$B$1*100+4))</f>
        <v/>
      </c>
      <c r="G17" s="14">
        <f>IF(원생!$A15="","",SUMIFS(계산!$C:$C,계산!$A:$A,계산!$E15,계산!$B:$B,$B$1*100+5))</f>
        <v/>
      </c>
      <c r="H17" s="14">
        <f>IF(원생!$A15="","",SUMIFS(계산!$C:$C,계산!$A:$A,계산!$E15,계산!$B:$B,$B$1*100+6))</f>
        <v/>
      </c>
      <c r="I17" s="14">
        <f>IF(원생!$A15="","",SUMIFS(계산!$C:$C,계산!$A:$A,계산!$E15,계산!$B:$B,$B$1*100+7))</f>
        <v/>
      </c>
      <c r="J17" s="14">
        <f>IF(원생!$A15="","",SUMIFS(계산!$C:$C,계산!$A:$A,계산!$E15,계산!$B:$B,$B$1*100+8))</f>
        <v/>
      </c>
      <c r="K17" s="14">
        <f>IF(원생!$A15="","",SUMIFS(계산!$C:$C,계산!$A:$A,계산!$E15,계산!$B:$B,$B$1*100+9))</f>
        <v/>
      </c>
      <c r="L17" s="14">
        <f>IF(원생!$A15="","",SUMIFS(계산!$C:$C,계산!$A:$A,계산!$E15,계산!$B:$B,$B$1*100+10))</f>
        <v/>
      </c>
      <c r="M17" s="14">
        <f>IF(원생!$A15="","",SUMIFS(계산!$C:$C,계산!$A:$A,계산!$E15,계산!$B:$B,$B$1*100+11))</f>
        <v/>
      </c>
      <c r="N17" s="14">
        <f>IF(원생!$A15="","",SUMIFS(계산!$C:$C,계산!$A:$A,계산!$E15,계산!$B:$B,$B$1*100+12))</f>
        <v/>
      </c>
      <c r="O17">
        <f>IF(원생!$I15="","",원생!$I15)</f>
        <v/>
      </c>
      <c r="P17">
        <f>IF($A17="","",IF(AND($B17&gt;0,C17&lt;$B17,DATE($B$1,1,1)&lt;=TODAY(),OR($O17="",$O17&gt;=DATE($B$1,1,1)),OR(COUNTIF($C17:C17,"&gt;0")&gt;0,DATE($B$1,1,1)=DATE(YEAR(TODAY()),MONTH(TODAY()),1))),1,0))</f>
        <v/>
      </c>
      <c r="Q17">
        <f>IF($A17="","",IF(AND($B17&gt;0,D17&lt;$B17,DATE($B$1,2,1)&lt;=TODAY(),OR($O17="",$O17&gt;=DATE($B$1,2,1)),OR(COUNTIF($C17:D17,"&gt;0")&gt;0,DATE($B$1,2,1)=DATE(YEAR(TODAY()),MONTH(TODAY()),1))),1,0))</f>
        <v/>
      </c>
      <c r="R17">
        <f>IF($A17="","",IF(AND($B17&gt;0,E17&lt;$B17,DATE($B$1,3,1)&lt;=TODAY(),OR($O17="",$O17&gt;=DATE($B$1,3,1)),OR(COUNTIF($C17:E17,"&gt;0")&gt;0,DATE($B$1,3,1)=DATE(YEAR(TODAY()),MONTH(TODAY()),1))),1,0))</f>
        <v/>
      </c>
      <c r="S17">
        <f>IF($A17="","",IF(AND($B17&gt;0,F17&lt;$B17,DATE($B$1,4,1)&lt;=TODAY(),OR($O17="",$O17&gt;=DATE($B$1,4,1)),OR(COUNTIF($C17:F17,"&gt;0")&gt;0,DATE($B$1,4,1)=DATE(YEAR(TODAY()),MONTH(TODAY()),1))),1,0))</f>
        <v/>
      </c>
      <c r="T17">
        <f>IF($A17="","",IF(AND($B17&gt;0,G17&lt;$B17,DATE($B$1,5,1)&lt;=TODAY(),OR($O17="",$O17&gt;=DATE($B$1,5,1)),OR(COUNTIF($C17:G17,"&gt;0")&gt;0,DATE($B$1,5,1)=DATE(YEAR(TODAY()),MONTH(TODAY()),1))),1,0))</f>
        <v/>
      </c>
      <c r="U17">
        <f>IF($A17="","",IF(AND($B17&gt;0,H17&lt;$B17,DATE($B$1,6,1)&lt;=TODAY(),OR($O17="",$O17&gt;=DATE($B$1,6,1)),OR(COUNTIF($C17:H17,"&gt;0")&gt;0,DATE($B$1,6,1)=DATE(YEAR(TODAY()),MONTH(TODAY()),1))),1,0))</f>
        <v/>
      </c>
      <c r="V17">
        <f>IF($A17="","",IF(AND($B17&gt;0,I17&lt;$B17,DATE($B$1,7,1)&lt;=TODAY(),OR($O17="",$O17&gt;=DATE($B$1,7,1)),OR(COUNTIF($C17:I17,"&gt;0")&gt;0,DATE($B$1,7,1)=DATE(YEAR(TODAY()),MONTH(TODAY()),1))),1,0))</f>
        <v/>
      </c>
      <c r="W17">
        <f>IF($A17="","",IF(AND($B17&gt;0,J17&lt;$B17,DATE($B$1,8,1)&lt;=TODAY(),OR($O17="",$O17&gt;=DATE($B$1,8,1)),OR(COUNTIF($C17:J17,"&gt;0")&gt;0,DATE($B$1,8,1)=DATE(YEAR(TODAY()),MONTH(TODAY()),1))),1,0))</f>
        <v/>
      </c>
      <c r="X17">
        <f>IF($A17="","",IF(AND($B17&gt;0,K17&lt;$B17,DATE($B$1,9,1)&lt;=TODAY(),OR($O17="",$O17&gt;=DATE($B$1,9,1)),OR(COUNTIF($C17:K17,"&gt;0")&gt;0,DATE($B$1,9,1)=DATE(YEAR(TODAY()),MONTH(TODAY()),1))),1,0))</f>
        <v/>
      </c>
      <c r="Y17">
        <f>IF($A17="","",IF(AND($B17&gt;0,L17&lt;$B17,DATE($B$1,10,1)&lt;=TODAY(),OR($O17="",$O17&gt;=DATE($B$1,10,1)),OR(COUNTIF($C17:L17,"&gt;0")&gt;0,DATE($B$1,10,1)=DATE(YEAR(TODAY()),MONTH(TODAY()),1))),1,0))</f>
        <v/>
      </c>
      <c r="Z17">
        <f>IF($A17="","",IF(AND($B17&gt;0,M17&lt;$B17,DATE($B$1,11,1)&lt;=TODAY(),OR($O17="",$O17&gt;=DATE($B$1,11,1)),OR(COUNTIF($C17:M17,"&gt;0")&gt;0,DATE($B$1,11,1)=DATE(YEAR(TODAY()),MONTH(TODAY()),1))),1,0))</f>
        <v/>
      </c>
      <c r="AA17">
        <f>IF($A17="","",IF(AND($B17&gt;0,N17&lt;$B17,DATE($B$1,12,1)&lt;=TODAY(),OR($O17="",$O17&gt;=DATE($B$1,12,1)),OR(COUNTIF($C17:N17,"&gt;0")&gt;0,DATE($B$1,12,1)=DATE(YEAR(TODAY()),MONTH(TODAY()),1))),1,0))</f>
        <v/>
      </c>
    </row>
    <row r="18">
      <c r="A18" s="13">
        <f>IF(원생!$A16="","",원생!$A16&amp;IF(원생!$G16="",""," ("&amp;원생!$G16&amp;")"))</f>
        <v/>
      </c>
      <c r="B18" s="8">
        <f>IF(원생!$A16="","",N(원생!$F16))</f>
        <v/>
      </c>
      <c r="C18" s="14">
        <f>IF(원생!$A16="","",SUMIFS(계산!$C:$C,계산!$A:$A,계산!$E16,계산!$B:$B,$B$1*100+1))</f>
        <v/>
      </c>
      <c r="D18" s="14">
        <f>IF(원생!$A16="","",SUMIFS(계산!$C:$C,계산!$A:$A,계산!$E16,계산!$B:$B,$B$1*100+2))</f>
        <v/>
      </c>
      <c r="E18" s="14">
        <f>IF(원생!$A16="","",SUMIFS(계산!$C:$C,계산!$A:$A,계산!$E16,계산!$B:$B,$B$1*100+3))</f>
        <v/>
      </c>
      <c r="F18" s="14">
        <f>IF(원생!$A16="","",SUMIFS(계산!$C:$C,계산!$A:$A,계산!$E16,계산!$B:$B,$B$1*100+4))</f>
        <v/>
      </c>
      <c r="G18" s="14">
        <f>IF(원생!$A16="","",SUMIFS(계산!$C:$C,계산!$A:$A,계산!$E16,계산!$B:$B,$B$1*100+5))</f>
        <v/>
      </c>
      <c r="H18" s="14">
        <f>IF(원생!$A16="","",SUMIFS(계산!$C:$C,계산!$A:$A,계산!$E16,계산!$B:$B,$B$1*100+6))</f>
        <v/>
      </c>
      <c r="I18" s="14">
        <f>IF(원생!$A16="","",SUMIFS(계산!$C:$C,계산!$A:$A,계산!$E16,계산!$B:$B,$B$1*100+7))</f>
        <v/>
      </c>
      <c r="J18" s="14">
        <f>IF(원생!$A16="","",SUMIFS(계산!$C:$C,계산!$A:$A,계산!$E16,계산!$B:$B,$B$1*100+8))</f>
        <v/>
      </c>
      <c r="K18" s="14">
        <f>IF(원생!$A16="","",SUMIFS(계산!$C:$C,계산!$A:$A,계산!$E16,계산!$B:$B,$B$1*100+9))</f>
        <v/>
      </c>
      <c r="L18" s="14">
        <f>IF(원생!$A16="","",SUMIFS(계산!$C:$C,계산!$A:$A,계산!$E16,계산!$B:$B,$B$1*100+10))</f>
        <v/>
      </c>
      <c r="M18" s="14">
        <f>IF(원생!$A16="","",SUMIFS(계산!$C:$C,계산!$A:$A,계산!$E16,계산!$B:$B,$B$1*100+11))</f>
        <v/>
      </c>
      <c r="N18" s="14">
        <f>IF(원생!$A16="","",SUMIFS(계산!$C:$C,계산!$A:$A,계산!$E16,계산!$B:$B,$B$1*100+12))</f>
        <v/>
      </c>
      <c r="O18">
        <f>IF(원생!$I16="","",원생!$I16)</f>
        <v/>
      </c>
      <c r="P18">
        <f>IF($A18="","",IF(AND($B18&gt;0,C18&lt;$B18,DATE($B$1,1,1)&lt;=TODAY(),OR($O18="",$O18&gt;=DATE($B$1,1,1)),OR(COUNTIF($C18:C18,"&gt;0")&gt;0,DATE($B$1,1,1)=DATE(YEAR(TODAY()),MONTH(TODAY()),1))),1,0))</f>
        <v/>
      </c>
      <c r="Q18">
        <f>IF($A18="","",IF(AND($B18&gt;0,D18&lt;$B18,DATE($B$1,2,1)&lt;=TODAY(),OR($O18="",$O18&gt;=DATE($B$1,2,1)),OR(COUNTIF($C18:D18,"&gt;0")&gt;0,DATE($B$1,2,1)=DATE(YEAR(TODAY()),MONTH(TODAY()),1))),1,0))</f>
        <v/>
      </c>
      <c r="R18">
        <f>IF($A18="","",IF(AND($B18&gt;0,E18&lt;$B18,DATE($B$1,3,1)&lt;=TODAY(),OR($O18="",$O18&gt;=DATE($B$1,3,1)),OR(COUNTIF($C18:E18,"&gt;0")&gt;0,DATE($B$1,3,1)=DATE(YEAR(TODAY()),MONTH(TODAY()),1))),1,0))</f>
        <v/>
      </c>
      <c r="S18">
        <f>IF($A18="","",IF(AND($B18&gt;0,F18&lt;$B18,DATE($B$1,4,1)&lt;=TODAY(),OR($O18="",$O18&gt;=DATE($B$1,4,1)),OR(COUNTIF($C18:F18,"&gt;0")&gt;0,DATE($B$1,4,1)=DATE(YEAR(TODAY()),MONTH(TODAY()),1))),1,0))</f>
        <v/>
      </c>
      <c r="T18">
        <f>IF($A18="","",IF(AND($B18&gt;0,G18&lt;$B18,DATE($B$1,5,1)&lt;=TODAY(),OR($O18="",$O18&gt;=DATE($B$1,5,1)),OR(COUNTIF($C18:G18,"&gt;0")&gt;0,DATE($B$1,5,1)=DATE(YEAR(TODAY()),MONTH(TODAY()),1))),1,0))</f>
        <v/>
      </c>
      <c r="U18">
        <f>IF($A18="","",IF(AND($B18&gt;0,H18&lt;$B18,DATE($B$1,6,1)&lt;=TODAY(),OR($O18="",$O18&gt;=DATE($B$1,6,1)),OR(COUNTIF($C18:H18,"&gt;0")&gt;0,DATE($B$1,6,1)=DATE(YEAR(TODAY()),MONTH(TODAY()),1))),1,0))</f>
        <v/>
      </c>
      <c r="V18">
        <f>IF($A18="","",IF(AND($B18&gt;0,I18&lt;$B18,DATE($B$1,7,1)&lt;=TODAY(),OR($O18="",$O18&gt;=DATE($B$1,7,1)),OR(COUNTIF($C18:I18,"&gt;0")&gt;0,DATE($B$1,7,1)=DATE(YEAR(TODAY()),MONTH(TODAY()),1))),1,0))</f>
        <v/>
      </c>
      <c r="W18">
        <f>IF($A18="","",IF(AND($B18&gt;0,J18&lt;$B18,DATE($B$1,8,1)&lt;=TODAY(),OR($O18="",$O18&gt;=DATE($B$1,8,1)),OR(COUNTIF($C18:J18,"&gt;0")&gt;0,DATE($B$1,8,1)=DATE(YEAR(TODAY()),MONTH(TODAY()),1))),1,0))</f>
        <v/>
      </c>
      <c r="X18">
        <f>IF($A18="","",IF(AND($B18&gt;0,K18&lt;$B18,DATE($B$1,9,1)&lt;=TODAY(),OR($O18="",$O18&gt;=DATE($B$1,9,1)),OR(COUNTIF($C18:K18,"&gt;0")&gt;0,DATE($B$1,9,1)=DATE(YEAR(TODAY()),MONTH(TODAY()),1))),1,0))</f>
        <v/>
      </c>
      <c r="Y18">
        <f>IF($A18="","",IF(AND($B18&gt;0,L18&lt;$B18,DATE($B$1,10,1)&lt;=TODAY(),OR($O18="",$O18&gt;=DATE($B$1,10,1)),OR(COUNTIF($C18:L18,"&gt;0")&gt;0,DATE($B$1,10,1)=DATE(YEAR(TODAY()),MONTH(TODAY()),1))),1,0))</f>
        <v/>
      </c>
      <c r="Z18">
        <f>IF($A18="","",IF(AND($B18&gt;0,M18&lt;$B18,DATE($B$1,11,1)&lt;=TODAY(),OR($O18="",$O18&gt;=DATE($B$1,11,1)),OR(COUNTIF($C18:M18,"&gt;0")&gt;0,DATE($B$1,11,1)=DATE(YEAR(TODAY()),MONTH(TODAY()),1))),1,0))</f>
        <v/>
      </c>
      <c r="AA18">
        <f>IF($A18="","",IF(AND($B18&gt;0,N18&lt;$B18,DATE($B$1,12,1)&lt;=TODAY(),OR($O18="",$O18&gt;=DATE($B$1,12,1)),OR(COUNTIF($C18:N18,"&gt;0")&gt;0,DATE($B$1,12,1)=DATE(YEAR(TODAY()),MONTH(TODAY()),1))),1,0))</f>
        <v/>
      </c>
    </row>
    <row r="19">
      <c r="A19" s="13">
        <f>IF(원생!$A17="","",원생!$A17&amp;IF(원생!$G17="",""," ("&amp;원생!$G17&amp;")"))</f>
        <v/>
      </c>
      <c r="B19" s="8">
        <f>IF(원생!$A17="","",N(원생!$F17))</f>
        <v/>
      </c>
      <c r="C19" s="14">
        <f>IF(원생!$A17="","",SUMIFS(계산!$C:$C,계산!$A:$A,계산!$E17,계산!$B:$B,$B$1*100+1))</f>
        <v/>
      </c>
      <c r="D19" s="14">
        <f>IF(원생!$A17="","",SUMIFS(계산!$C:$C,계산!$A:$A,계산!$E17,계산!$B:$B,$B$1*100+2))</f>
        <v/>
      </c>
      <c r="E19" s="14">
        <f>IF(원생!$A17="","",SUMIFS(계산!$C:$C,계산!$A:$A,계산!$E17,계산!$B:$B,$B$1*100+3))</f>
        <v/>
      </c>
      <c r="F19" s="14">
        <f>IF(원생!$A17="","",SUMIFS(계산!$C:$C,계산!$A:$A,계산!$E17,계산!$B:$B,$B$1*100+4))</f>
        <v/>
      </c>
      <c r="G19" s="14">
        <f>IF(원생!$A17="","",SUMIFS(계산!$C:$C,계산!$A:$A,계산!$E17,계산!$B:$B,$B$1*100+5))</f>
        <v/>
      </c>
      <c r="H19" s="14">
        <f>IF(원생!$A17="","",SUMIFS(계산!$C:$C,계산!$A:$A,계산!$E17,계산!$B:$B,$B$1*100+6))</f>
        <v/>
      </c>
      <c r="I19" s="14">
        <f>IF(원생!$A17="","",SUMIFS(계산!$C:$C,계산!$A:$A,계산!$E17,계산!$B:$B,$B$1*100+7))</f>
        <v/>
      </c>
      <c r="J19" s="14">
        <f>IF(원생!$A17="","",SUMIFS(계산!$C:$C,계산!$A:$A,계산!$E17,계산!$B:$B,$B$1*100+8))</f>
        <v/>
      </c>
      <c r="K19" s="14">
        <f>IF(원생!$A17="","",SUMIFS(계산!$C:$C,계산!$A:$A,계산!$E17,계산!$B:$B,$B$1*100+9))</f>
        <v/>
      </c>
      <c r="L19" s="14">
        <f>IF(원생!$A17="","",SUMIFS(계산!$C:$C,계산!$A:$A,계산!$E17,계산!$B:$B,$B$1*100+10))</f>
        <v/>
      </c>
      <c r="M19" s="14">
        <f>IF(원생!$A17="","",SUMIFS(계산!$C:$C,계산!$A:$A,계산!$E17,계산!$B:$B,$B$1*100+11))</f>
        <v/>
      </c>
      <c r="N19" s="14">
        <f>IF(원생!$A17="","",SUMIFS(계산!$C:$C,계산!$A:$A,계산!$E17,계산!$B:$B,$B$1*100+12))</f>
        <v/>
      </c>
      <c r="O19">
        <f>IF(원생!$I17="","",원생!$I17)</f>
        <v/>
      </c>
      <c r="P19">
        <f>IF($A19="","",IF(AND($B19&gt;0,C19&lt;$B19,DATE($B$1,1,1)&lt;=TODAY(),OR($O19="",$O19&gt;=DATE($B$1,1,1)),OR(COUNTIF($C19:C19,"&gt;0")&gt;0,DATE($B$1,1,1)=DATE(YEAR(TODAY()),MONTH(TODAY()),1))),1,0))</f>
        <v/>
      </c>
      <c r="Q19">
        <f>IF($A19="","",IF(AND($B19&gt;0,D19&lt;$B19,DATE($B$1,2,1)&lt;=TODAY(),OR($O19="",$O19&gt;=DATE($B$1,2,1)),OR(COUNTIF($C19:D19,"&gt;0")&gt;0,DATE($B$1,2,1)=DATE(YEAR(TODAY()),MONTH(TODAY()),1))),1,0))</f>
        <v/>
      </c>
      <c r="R19">
        <f>IF($A19="","",IF(AND($B19&gt;0,E19&lt;$B19,DATE($B$1,3,1)&lt;=TODAY(),OR($O19="",$O19&gt;=DATE($B$1,3,1)),OR(COUNTIF($C19:E19,"&gt;0")&gt;0,DATE($B$1,3,1)=DATE(YEAR(TODAY()),MONTH(TODAY()),1))),1,0))</f>
        <v/>
      </c>
      <c r="S19">
        <f>IF($A19="","",IF(AND($B19&gt;0,F19&lt;$B19,DATE($B$1,4,1)&lt;=TODAY(),OR($O19="",$O19&gt;=DATE($B$1,4,1)),OR(COUNTIF($C19:F19,"&gt;0")&gt;0,DATE($B$1,4,1)=DATE(YEAR(TODAY()),MONTH(TODAY()),1))),1,0))</f>
        <v/>
      </c>
      <c r="T19">
        <f>IF($A19="","",IF(AND($B19&gt;0,G19&lt;$B19,DATE($B$1,5,1)&lt;=TODAY(),OR($O19="",$O19&gt;=DATE($B$1,5,1)),OR(COUNTIF($C19:G19,"&gt;0")&gt;0,DATE($B$1,5,1)=DATE(YEAR(TODAY()),MONTH(TODAY()),1))),1,0))</f>
        <v/>
      </c>
      <c r="U19">
        <f>IF($A19="","",IF(AND($B19&gt;0,H19&lt;$B19,DATE($B$1,6,1)&lt;=TODAY(),OR($O19="",$O19&gt;=DATE($B$1,6,1)),OR(COUNTIF($C19:H19,"&gt;0")&gt;0,DATE($B$1,6,1)=DATE(YEAR(TODAY()),MONTH(TODAY()),1))),1,0))</f>
        <v/>
      </c>
      <c r="V19">
        <f>IF($A19="","",IF(AND($B19&gt;0,I19&lt;$B19,DATE($B$1,7,1)&lt;=TODAY(),OR($O19="",$O19&gt;=DATE($B$1,7,1)),OR(COUNTIF($C19:I19,"&gt;0")&gt;0,DATE($B$1,7,1)=DATE(YEAR(TODAY()),MONTH(TODAY()),1))),1,0))</f>
        <v/>
      </c>
      <c r="W19">
        <f>IF($A19="","",IF(AND($B19&gt;0,J19&lt;$B19,DATE($B$1,8,1)&lt;=TODAY(),OR($O19="",$O19&gt;=DATE($B$1,8,1)),OR(COUNTIF($C19:J19,"&gt;0")&gt;0,DATE($B$1,8,1)=DATE(YEAR(TODAY()),MONTH(TODAY()),1))),1,0))</f>
        <v/>
      </c>
      <c r="X19">
        <f>IF($A19="","",IF(AND($B19&gt;0,K19&lt;$B19,DATE($B$1,9,1)&lt;=TODAY(),OR($O19="",$O19&gt;=DATE($B$1,9,1)),OR(COUNTIF($C19:K19,"&gt;0")&gt;0,DATE($B$1,9,1)=DATE(YEAR(TODAY()),MONTH(TODAY()),1))),1,0))</f>
        <v/>
      </c>
      <c r="Y19">
        <f>IF($A19="","",IF(AND($B19&gt;0,L19&lt;$B19,DATE($B$1,10,1)&lt;=TODAY(),OR($O19="",$O19&gt;=DATE($B$1,10,1)),OR(COUNTIF($C19:L19,"&gt;0")&gt;0,DATE($B$1,10,1)=DATE(YEAR(TODAY()),MONTH(TODAY()),1))),1,0))</f>
        <v/>
      </c>
      <c r="Z19">
        <f>IF($A19="","",IF(AND($B19&gt;0,M19&lt;$B19,DATE($B$1,11,1)&lt;=TODAY(),OR($O19="",$O19&gt;=DATE($B$1,11,1)),OR(COUNTIF($C19:M19,"&gt;0")&gt;0,DATE($B$1,11,1)=DATE(YEAR(TODAY()),MONTH(TODAY()),1))),1,0))</f>
        <v/>
      </c>
      <c r="AA19">
        <f>IF($A19="","",IF(AND($B19&gt;0,N19&lt;$B19,DATE($B$1,12,1)&lt;=TODAY(),OR($O19="",$O19&gt;=DATE($B$1,12,1)),OR(COUNTIF($C19:N19,"&gt;0")&gt;0,DATE($B$1,12,1)=DATE(YEAR(TODAY()),MONTH(TODAY()),1))),1,0))</f>
        <v/>
      </c>
    </row>
    <row r="20">
      <c r="A20" s="13">
        <f>IF(원생!$A18="","",원생!$A18&amp;IF(원생!$G18="",""," ("&amp;원생!$G18&amp;")"))</f>
        <v/>
      </c>
      <c r="B20" s="8">
        <f>IF(원생!$A18="","",N(원생!$F18))</f>
        <v/>
      </c>
      <c r="C20" s="14">
        <f>IF(원생!$A18="","",SUMIFS(계산!$C:$C,계산!$A:$A,계산!$E18,계산!$B:$B,$B$1*100+1))</f>
        <v/>
      </c>
      <c r="D20" s="14">
        <f>IF(원생!$A18="","",SUMIFS(계산!$C:$C,계산!$A:$A,계산!$E18,계산!$B:$B,$B$1*100+2))</f>
        <v/>
      </c>
      <c r="E20" s="14">
        <f>IF(원생!$A18="","",SUMIFS(계산!$C:$C,계산!$A:$A,계산!$E18,계산!$B:$B,$B$1*100+3))</f>
        <v/>
      </c>
      <c r="F20" s="14">
        <f>IF(원생!$A18="","",SUMIFS(계산!$C:$C,계산!$A:$A,계산!$E18,계산!$B:$B,$B$1*100+4))</f>
        <v/>
      </c>
      <c r="G20" s="14">
        <f>IF(원생!$A18="","",SUMIFS(계산!$C:$C,계산!$A:$A,계산!$E18,계산!$B:$B,$B$1*100+5))</f>
        <v/>
      </c>
      <c r="H20" s="14">
        <f>IF(원생!$A18="","",SUMIFS(계산!$C:$C,계산!$A:$A,계산!$E18,계산!$B:$B,$B$1*100+6))</f>
        <v/>
      </c>
      <c r="I20" s="14">
        <f>IF(원생!$A18="","",SUMIFS(계산!$C:$C,계산!$A:$A,계산!$E18,계산!$B:$B,$B$1*100+7))</f>
        <v/>
      </c>
      <c r="J20" s="14">
        <f>IF(원생!$A18="","",SUMIFS(계산!$C:$C,계산!$A:$A,계산!$E18,계산!$B:$B,$B$1*100+8))</f>
        <v/>
      </c>
      <c r="K20" s="14">
        <f>IF(원생!$A18="","",SUMIFS(계산!$C:$C,계산!$A:$A,계산!$E18,계산!$B:$B,$B$1*100+9))</f>
        <v/>
      </c>
      <c r="L20" s="14">
        <f>IF(원생!$A18="","",SUMIFS(계산!$C:$C,계산!$A:$A,계산!$E18,계산!$B:$B,$B$1*100+10))</f>
        <v/>
      </c>
      <c r="M20" s="14">
        <f>IF(원생!$A18="","",SUMIFS(계산!$C:$C,계산!$A:$A,계산!$E18,계산!$B:$B,$B$1*100+11))</f>
        <v/>
      </c>
      <c r="N20" s="14">
        <f>IF(원생!$A18="","",SUMIFS(계산!$C:$C,계산!$A:$A,계산!$E18,계산!$B:$B,$B$1*100+12))</f>
        <v/>
      </c>
      <c r="O20">
        <f>IF(원생!$I18="","",원생!$I18)</f>
        <v/>
      </c>
      <c r="P20">
        <f>IF($A20="","",IF(AND($B20&gt;0,C20&lt;$B20,DATE($B$1,1,1)&lt;=TODAY(),OR($O20="",$O20&gt;=DATE($B$1,1,1)),OR(COUNTIF($C20:C20,"&gt;0")&gt;0,DATE($B$1,1,1)=DATE(YEAR(TODAY()),MONTH(TODAY()),1))),1,0))</f>
        <v/>
      </c>
      <c r="Q20">
        <f>IF($A20="","",IF(AND($B20&gt;0,D20&lt;$B20,DATE($B$1,2,1)&lt;=TODAY(),OR($O20="",$O20&gt;=DATE($B$1,2,1)),OR(COUNTIF($C20:D20,"&gt;0")&gt;0,DATE($B$1,2,1)=DATE(YEAR(TODAY()),MONTH(TODAY()),1))),1,0))</f>
        <v/>
      </c>
      <c r="R20">
        <f>IF($A20="","",IF(AND($B20&gt;0,E20&lt;$B20,DATE($B$1,3,1)&lt;=TODAY(),OR($O20="",$O20&gt;=DATE($B$1,3,1)),OR(COUNTIF($C20:E20,"&gt;0")&gt;0,DATE($B$1,3,1)=DATE(YEAR(TODAY()),MONTH(TODAY()),1))),1,0))</f>
        <v/>
      </c>
      <c r="S20">
        <f>IF($A20="","",IF(AND($B20&gt;0,F20&lt;$B20,DATE($B$1,4,1)&lt;=TODAY(),OR($O20="",$O20&gt;=DATE($B$1,4,1)),OR(COUNTIF($C20:F20,"&gt;0")&gt;0,DATE($B$1,4,1)=DATE(YEAR(TODAY()),MONTH(TODAY()),1))),1,0))</f>
        <v/>
      </c>
      <c r="T20">
        <f>IF($A20="","",IF(AND($B20&gt;0,G20&lt;$B20,DATE($B$1,5,1)&lt;=TODAY(),OR($O20="",$O20&gt;=DATE($B$1,5,1)),OR(COUNTIF($C20:G20,"&gt;0")&gt;0,DATE($B$1,5,1)=DATE(YEAR(TODAY()),MONTH(TODAY()),1))),1,0))</f>
        <v/>
      </c>
      <c r="U20">
        <f>IF($A20="","",IF(AND($B20&gt;0,H20&lt;$B20,DATE($B$1,6,1)&lt;=TODAY(),OR($O20="",$O20&gt;=DATE($B$1,6,1)),OR(COUNTIF($C20:H20,"&gt;0")&gt;0,DATE($B$1,6,1)=DATE(YEAR(TODAY()),MONTH(TODAY()),1))),1,0))</f>
        <v/>
      </c>
      <c r="V20">
        <f>IF($A20="","",IF(AND($B20&gt;0,I20&lt;$B20,DATE($B$1,7,1)&lt;=TODAY(),OR($O20="",$O20&gt;=DATE($B$1,7,1)),OR(COUNTIF($C20:I20,"&gt;0")&gt;0,DATE($B$1,7,1)=DATE(YEAR(TODAY()),MONTH(TODAY()),1))),1,0))</f>
        <v/>
      </c>
      <c r="W20">
        <f>IF($A20="","",IF(AND($B20&gt;0,J20&lt;$B20,DATE($B$1,8,1)&lt;=TODAY(),OR($O20="",$O20&gt;=DATE($B$1,8,1)),OR(COUNTIF($C20:J20,"&gt;0")&gt;0,DATE($B$1,8,1)=DATE(YEAR(TODAY()),MONTH(TODAY()),1))),1,0))</f>
        <v/>
      </c>
      <c r="X20">
        <f>IF($A20="","",IF(AND($B20&gt;0,K20&lt;$B20,DATE($B$1,9,1)&lt;=TODAY(),OR($O20="",$O20&gt;=DATE($B$1,9,1)),OR(COUNTIF($C20:K20,"&gt;0")&gt;0,DATE($B$1,9,1)=DATE(YEAR(TODAY()),MONTH(TODAY()),1))),1,0))</f>
        <v/>
      </c>
      <c r="Y20">
        <f>IF($A20="","",IF(AND($B20&gt;0,L20&lt;$B20,DATE($B$1,10,1)&lt;=TODAY(),OR($O20="",$O20&gt;=DATE($B$1,10,1)),OR(COUNTIF($C20:L20,"&gt;0")&gt;0,DATE($B$1,10,1)=DATE(YEAR(TODAY()),MONTH(TODAY()),1))),1,0))</f>
        <v/>
      </c>
      <c r="Z20">
        <f>IF($A20="","",IF(AND($B20&gt;0,M20&lt;$B20,DATE($B$1,11,1)&lt;=TODAY(),OR($O20="",$O20&gt;=DATE($B$1,11,1)),OR(COUNTIF($C20:M20,"&gt;0")&gt;0,DATE($B$1,11,1)=DATE(YEAR(TODAY()),MONTH(TODAY()),1))),1,0))</f>
        <v/>
      </c>
      <c r="AA20">
        <f>IF($A20="","",IF(AND($B20&gt;0,N20&lt;$B20,DATE($B$1,12,1)&lt;=TODAY(),OR($O20="",$O20&gt;=DATE($B$1,12,1)),OR(COUNTIF($C20:N20,"&gt;0")&gt;0,DATE($B$1,12,1)=DATE(YEAR(TODAY()),MONTH(TODAY()),1))),1,0))</f>
        <v/>
      </c>
    </row>
    <row r="21">
      <c r="A21" s="13">
        <f>IF(원생!$A19="","",원생!$A19&amp;IF(원생!$G19="",""," ("&amp;원생!$G19&amp;")"))</f>
        <v/>
      </c>
      <c r="B21" s="8">
        <f>IF(원생!$A19="","",N(원생!$F19))</f>
        <v/>
      </c>
      <c r="C21" s="14">
        <f>IF(원생!$A19="","",SUMIFS(계산!$C:$C,계산!$A:$A,계산!$E19,계산!$B:$B,$B$1*100+1))</f>
        <v/>
      </c>
      <c r="D21" s="14">
        <f>IF(원생!$A19="","",SUMIFS(계산!$C:$C,계산!$A:$A,계산!$E19,계산!$B:$B,$B$1*100+2))</f>
        <v/>
      </c>
      <c r="E21" s="14">
        <f>IF(원생!$A19="","",SUMIFS(계산!$C:$C,계산!$A:$A,계산!$E19,계산!$B:$B,$B$1*100+3))</f>
        <v/>
      </c>
      <c r="F21" s="14">
        <f>IF(원생!$A19="","",SUMIFS(계산!$C:$C,계산!$A:$A,계산!$E19,계산!$B:$B,$B$1*100+4))</f>
        <v/>
      </c>
      <c r="G21" s="14">
        <f>IF(원생!$A19="","",SUMIFS(계산!$C:$C,계산!$A:$A,계산!$E19,계산!$B:$B,$B$1*100+5))</f>
        <v/>
      </c>
      <c r="H21" s="14">
        <f>IF(원생!$A19="","",SUMIFS(계산!$C:$C,계산!$A:$A,계산!$E19,계산!$B:$B,$B$1*100+6))</f>
        <v/>
      </c>
      <c r="I21" s="14">
        <f>IF(원생!$A19="","",SUMIFS(계산!$C:$C,계산!$A:$A,계산!$E19,계산!$B:$B,$B$1*100+7))</f>
        <v/>
      </c>
      <c r="J21" s="14">
        <f>IF(원생!$A19="","",SUMIFS(계산!$C:$C,계산!$A:$A,계산!$E19,계산!$B:$B,$B$1*100+8))</f>
        <v/>
      </c>
      <c r="K21" s="14">
        <f>IF(원생!$A19="","",SUMIFS(계산!$C:$C,계산!$A:$A,계산!$E19,계산!$B:$B,$B$1*100+9))</f>
        <v/>
      </c>
      <c r="L21" s="14">
        <f>IF(원생!$A19="","",SUMIFS(계산!$C:$C,계산!$A:$A,계산!$E19,계산!$B:$B,$B$1*100+10))</f>
        <v/>
      </c>
      <c r="M21" s="14">
        <f>IF(원생!$A19="","",SUMIFS(계산!$C:$C,계산!$A:$A,계산!$E19,계산!$B:$B,$B$1*100+11))</f>
        <v/>
      </c>
      <c r="N21" s="14">
        <f>IF(원생!$A19="","",SUMIFS(계산!$C:$C,계산!$A:$A,계산!$E19,계산!$B:$B,$B$1*100+12))</f>
        <v/>
      </c>
      <c r="O21">
        <f>IF(원생!$I19="","",원생!$I19)</f>
        <v/>
      </c>
      <c r="P21">
        <f>IF($A21="","",IF(AND($B21&gt;0,C21&lt;$B21,DATE($B$1,1,1)&lt;=TODAY(),OR($O21="",$O21&gt;=DATE($B$1,1,1)),OR(COUNTIF($C21:C21,"&gt;0")&gt;0,DATE($B$1,1,1)=DATE(YEAR(TODAY()),MONTH(TODAY()),1))),1,0))</f>
        <v/>
      </c>
      <c r="Q21">
        <f>IF($A21="","",IF(AND($B21&gt;0,D21&lt;$B21,DATE($B$1,2,1)&lt;=TODAY(),OR($O21="",$O21&gt;=DATE($B$1,2,1)),OR(COUNTIF($C21:D21,"&gt;0")&gt;0,DATE($B$1,2,1)=DATE(YEAR(TODAY()),MONTH(TODAY()),1))),1,0))</f>
        <v/>
      </c>
      <c r="R21">
        <f>IF($A21="","",IF(AND($B21&gt;0,E21&lt;$B21,DATE($B$1,3,1)&lt;=TODAY(),OR($O21="",$O21&gt;=DATE($B$1,3,1)),OR(COUNTIF($C21:E21,"&gt;0")&gt;0,DATE($B$1,3,1)=DATE(YEAR(TODAY()),MONTH(TODAY()),1))),1,0))</f>
        <v/>
      </c>
      <c r="S21">
        <f>IF($A21="","",IF(AND($B21&gt;0,F21&lt;$B21,DATE($B$1,4,1)&lt;=TODAY(),OR($O21="",$O21&gt;=DATE($B$1,4,1)),OR(COUNTIF($C21:F21,"&gt;0")&gt;0,DATE($B$1,4,1)=DATE(YEAR(TODAY()),MONTH(TODAY()),1))),1,0))</f>
        <v/>
      </c>
      <c r="T21">
        <f>IF($A21="","",IF(AND($B21&gt;0,G21&lt;$B21,DATE($B$1,5,1)&lt;=TODAY(),OR($O21="",$O21&gt;=DATE($B$1,5,1)),OR(COUNTIF($C21:G21,"&gt;0")&gt;0,DATE($B$1,5,1)=DATE(YEAR(TODAY()),MONTH(TODAY()),1))),1,0))</f>
        <v/>
      </c>
      <c r="U21">
        <f>IF($A21="","",IF(AND($B21&gt;0,H21&lt;$B21,DATE($B$1,6,1)&lt;=TODAY(),OR($O21="",$O21&gt;=DATE($B$1,6,1)),OR(COUNTIF($C21:H21,"&gt;0")&gt;0,DATE($B$1,6,1)=DATE(YEAR(TODAY()),MONTH(TODAY()),1))),1,0))</f>
        <v/>
      </c>
      <c r="V21">
        <f>IF($A21="","",IF(AND($B21&gt;0,I21&lt;$B21,DATE($B$1,7,1)&lt;=TODAY(),OR($O21="",$O21&gt;=DATE($B$1,7,1)),OR(COUNTIF($C21:I21,"&gt;0")&gt;0,DATE($B$1,7,1)=DATE(YEAR(TODAY()),MONTH(TODAY()),1))),1,0))</f>
        <v/>
      </c>
      <c r="W21">
        <f>IF($A21="","",IF(AND($B21&gt;0,J21&lt;$B21,DATE($B$1,8,1)&lt;=TODAY(),OR($O21="",$O21&gt;=DATE($B$1,8,1)),OR(COUNTIF($C21:J21,"&gt;0")&gt;0,DATE($B$1,8,1)=DATE(YEAR(TODAY()),MONTH(TODAY()),1))),1,0))</f>
        <v/>
      </c>
      <c r="X21">
        <f>IF($A21="","",IF(AND($B21&gt;0,K21&lt;$B21,DATE($B$1,9,1)&lt;=TODAY(),OR($O21="",$O21&gt;=DATE($B$1,9,1)),OR(COUNTIF($C21:K21,"&gt;0")&gt;0,DATE($B$1,9,1)=DATE(YEAR(TODAY()),MONTH(TODAY()),1))),1,0))</f>
        <v/>
      </c>
      <c r="Y21">
        <f>IF($A21="","",IF(AND($B21&gt;0,L21&lt;$B21,DATE($B$1,10,1)&lt;=TODAY(),OR($O21="",$O21&gt;=DATE($B$1,10,1)),OR(COUNTIF($C21:L21,"&gt;0")&gt;0,DATE($B$1,10,1)=DATE(YEAR(TODAY()),MONTH(TODAY()),1))),1,0))</f>
        <v/>
      </c>
      <c r="Z21">
        <f>IF($A21="","",IF(AND($B21&gt;0,M21&lt;$B21,DATE($B$1,11,1)&lt;=TODAY(),OR($O21="",$O21&gt;=DATE($B$1,11,1)),OR(COUNTIF($C21:M21,"&gt;0")&gt;0,DATE($B$1,11,1)=DATE(YEAR(TODAY()),MONTH(TODAY()),1))),1,0))</f>
        <v/>
      </c>
      <c r="AA21">
        <f>IF($A21="","",IF(AND($B21&gt;0,N21&lt;$B21,DATE($B$1,12,1)&lt;=TODAY(),OR($O21="",$O21&gt;=DATE($B$1,12,1)),OR(COUNTIF($C21:N21,"&gt;0")&gt;0,DATE($B$1,12,1)=DATE(YEAR(TODAY()),MONTH(TODAY()),1))),1,0))</f>
        <v/>
      </c>
    </row>
    <row r="22">
      <c r="A22" s="13">
        <f>IF(원생!$A20="","",원생!$A20&amp;IF(원생!$G20="",""," ("&amp;원생!$G20&amp;")"))</f>
        <v/>
      </c>
      <c r="B22" s="8">
        <f>IF(원생!$A20="","",N(원생!$F20))</f>
        <v/>
      </c>
      <c r="C22" s="14">
        <f>IF(원생!$A20="","",SUMIFS(계산!$C:$C,계산!$A:$A,계산!$E20,계산!$B:$B,$B$1*100+1))</f>
        <v/>
      </c>
      <c r="D22" s="14">
        <f>IF(원생!$A20="","",SUMIFS(계산!$C:$C,계산!$A:$A,계산!$E20,계산!$B:$B,$B$1*100+2))</f>
        <v/>
      </c>
      <c r="E22" s="14">
        <f>IF(원생!$A20="","",SUMIFS(계산!$C:$C,계산!$A:$A,계산!$E20,계산!$B:$B,$B$1*100+3))</f>
        <v/>
      </c>
      <c r="F22" s="14">
        <f>IF(원생!$A20="","",SUMIFS(계산!$C:$C,계산!$A:$A,계산!$E20,계산!$B:$B,$B$1*100+4))</f>
        <v/>
      </c>
      <c r="G22" s="14">
        <f>IF(원생!$A20="","",SUMIFS(계산!$C:$C,계산!$A:$A,계산!$E20,계산!$B:$B,$B$1*100+5))</f>
        <v/>
      </c>
      <c r="H22" s="14">
        <f>IF(원생!$A20="","",SUMIFS(계산!$C:$C,계산!$A:$A,계산!$E20,계산!$B:$B,$B$1*100+6))</f>
        <v/>
      </c>
      <c r="I22" s="14">
        <f>IF(원생!$A20="","",SUMIFS(계산!$C:$C,계산!$A:$A,계산!$E20,계산!$B:$B,$B$1*100+7))</f>
        <v/>
      </c>
      <c r="J22" s="14">
        <f>IF(원생!$A20="","",SUMIFS(계산!$C:$C,계산!$A:$A,계산!$E20,계산!$B:$B,$B$1*100+8))</f>
        <v/>
      </c>
      <c r="K22" s="14">
        <f>IF(원생!$A20="","",SUMIFS(계산!$C:$C,계산!$A:$A,계산!$E20,계산!$B:$B,$B$1*100+9))</f>
        <v/>
      </c>
      <c r="L22" s="14">
        <f>IF(원생!$A20="","",SUMIFS(계산!$C:$C,계산!$A:$A,계산!$E20,계산!$B:$B,$B$1*100+10))</f>
        <v/>
      </c>
      <c r="M22" s="14">
        <f>IF(원생!$A20="","",SUMIFS(계산!$C:$C,계산!$A:$A,계산!$E20,계산!$B:$B,$B$1*100+11))</f>
        <v/>
      </c>
      <c r="N22" s="14">
        <f>IF(원생!$A20="","",SUMIFS(계산!$C:$C,계산!$A:$A,계산!$E20,계산!$B:$B,$B$1*100+12))</f>
        <v/>
      </c>
      <c r="O22">
        <f>IF(원생!$I20="","",원생!$I20)</f>
        <v/>
      </c>
      <c r="P22">
        <f>IF($A22="","",IF(AND($B22&gt;0,C22&lt;$B22,DATE($B$1,1,1)&lt;=TODAY(),OR($O22="",$O22&gt;=DATE($B$1,1,1)),OR(COUNTIF($C22:C22,"&gt;0")&gt;0,DATE($B$1,1,1)=DATE(YEAR(TODAY()),MONTH(TODAY()),1))),1,0))</f>
        <v/>
      </c>
      <c r="Q22">
        <f>IF($A22="","",IF(AND($B22&gt;0,D22&lt;$B22,DATE($B$1,2,1)&lt;=TODAY(),OR($O22="",$O22&gt;=DATE($B$1,2,1)),OR(COUNTIF($C22:D22,"&gt;0")&gt;0,DATE($B$1,2,1)=DATE(YEAR(TODAY()),MONTH(TODAY()),1))),1,0))</f>
        <v/>
      </c>
      <c r="R22">
        <f>IF($A22="","",IF(AND($B22&gt;0,E22&lt;$B22,DATE($B$1,3,1)&lt;=TODAY(),OR($O22="",$O22&gt;=DATE($B$1,3,1)),OR(COUNTIF($C22:E22,"&gt;0")&gt;0,DATE($B$1,3,1)=DATE(YEAR(TODAY()),MONTH(TODAY()),1))),1,0))</f>
        <v/>
      </c>
      <c r="S22">
        <f>IF($A22="","",IF(AND($B22&gt;0,F22&lt;$B22,DATE($B$1,4,1)&lt;=TODAY(),OR($O22="",$O22&gt;=DATE($B$1,4,1)),OR(COUNTIF($C22:F22,"&gt;0")&gt;0,DATE($B$1,4,1)=DATE(YEAR(TODAY()),MONTH(TODAY()),1))),1,0))</f>
        <v/>
      </c>
      <c r="T22">
        <f>IF($A22="","",IF(AND($B22&gt;0,G22&lt;$B22,DATE($B$1,5,1)&lt;=TODAY(),OR($O22="",$O22&gt;=DATE($B$1,5,1)),OR(COUNTIF($C22:G22,"&gt;0")&gt;0,DATE($B$1,5,1)=DATE(YEAR(TODAY()),MONTH(TODAY()),1))),1,0))</f>
        <v/>
      </c>
      <c r="U22">
        <f>IF($A22="","",IF(AND($B22&gt;0,H22&lt;$B22,DATE($B$1,6,1)&lt;=TODAY(),OR($O22="",$O22&gt;=DATE($B$1,6,1)),OR(COUNTIF($C22:H22,"&gt;0")&gt;0,DATE($B$1,6,1)=DATE(YEAR(TODAY()),MONTH(TODAY()),1))),1,0))</f>
        <v/>
      </c>
      <c r="V22">
        <f>IF($A22="","",IF(AND($B22&gt;0,I22&lt;$B22,DATE($B$1,7,1)&lt;=TODAY(),OR($O22="",$O22&gt;=DATE($B$1,7,1)),OR(COUNTIF($C22:I22,"&gt;0")&gt;0,DATE($B$1,7,1)=DATE(YEAR(TODAY()),MONTH(TODAY()),1))),1,0))</f>
        <v/>
      </c>
      <c r="W22">
        <f>IF($A22="","",IF(AND($B22&gt;0,J22&lt;$B22,DATE($B$1,8,1)&lt;=TODAY(),OR($O22="",$O22&gt;=DATE($B$1,8,1)),OR(COUNTIF($C22:J22,"&gt;0")&gt;0,DATE($B$1,8,1)=DATE(YEAR(TODAY()),MONTH(TODAY()),1))),1,0))</f>
        <v/>
      </c>
      <c r="X22">
        <f>IF($A22="","",IF(AND($B22&gt;0,K22&lt;$B22,DATE($B$1,9,1)&lt;=TODAY(),OR($O22="",$O22&gt;=DATE($B$1,9,1)),OR(COUNTIF($C22:K22,"&gt;0")&gt;0,DATE($B$1,9,1)=DATE(YEAR(TODAY()),MONTH(TODAY()),1))),1,0))</f>
        <v/>
      </c>
      <c r="Y22">
        <f>IF($A22="","",IF(AND($B22&gt;0,L22&lt;$B22,DATE($B$1,10,1)&lt;=TODAY(),OR($O22="",$O22&gt;=DATE($B$1,10,1)),OR(COUNTIF($C22:L22,"&gt;0")&gt;0,DATE($B$1,10,1)=DATE(YEAR(TODAY()),MONTH(TODAY()),1))),1,0))</f>
        <v/>
      </c>
      <c r="Z22">
        <f>IF($A22="","",IF(AND($B22&gt;0,M22&lt;$B22,DATE($B$1,11,1)&lt;=TODAY(),OR($O22="",$O22&gt;=DATE($B$1,11,1)),OR(COUNTIF($C22:M22,"&gt;0")&gt;0,DATE($B$1,11,1)=DATE(YEAR(TODAY()),MONTH(TODAY()),1))),1,0))</f>
        <v/>
      </c>
      <c r="AA22">
        <f>IF($A22="","",IF(AND($B22&gt;0,N22&lt;$B22,DATE($B$1,12,1)&lt;=TODAY(),OR($O22="",$O22&gt;=DATE($B$1,12,1)),OR(COUNTIF($C22:N22,"&gt;0")&gt;0,DATE($B$1,12,1)=DATE(YEAR(TODAY()),MONTH(TODAY()),1))),1,0))</f>
        <v/>
      </c>
    </row>
    <row r="23">
      <c r="A23" s="13">
        <f>IF(원생!$A21="","",원생!$A21&amp;IF(원생!$G21="",""," ("&amp;원생!$G21&amp;")"))</f>
        <v/>
      </c>
      <c r="B23" s="8">
        <f>IF(원생!$A21="","",N(원생!$F21))</f>
        <v/>
      </c>
      <c r="C23" s="14">
        <f>IF(원생!$A21="","",SUMIFS(계산!$C:$C,계산!$A:$A,계산!$E21,계산!$B:$B,$B$1*100+1))</f>
        <v/>
      </c>
      <c r="D23" s="14">
        <f>IF(원생!$A21="","",SUMIFS(계산!$C:$C,계산!$A:$A,계산!$E21,계산!$B:$B,$B$1*100+2))</f>
        <v/>
      </c>
      <c r="E23" s="14">
        <f>IF(원생!$A21="","",SUMIFS(계산!$C:$C,계산!$A:$A,계산!$E21,계산!$B:$B,$B$1*100+3))</f>
        <v/>
      </c>
      <c r="F23" s="14">
        <f>IF(원생!$A21="","",SUMIFS(계산!$C:$C,계산!$A:$A,계산!$E21,계산!$B:$B,$B$1*100+4))</f>
        <v/>
      </c>
      <c r="G23" s="14">
        <f>IF(원생!$A21="","",SUMIFS(계산!$C:$C,계산!$A:$A,계산!$E21,계산!$B:$B,$B$1*100+5))</f>
        <v/>
      </c>
      <c r="H23" s="14">
        <f>IF(원생!$A21="","",SUMIFS(계산!$C:$C,계산!$A:$A,계산!$E21,계산!$B:$B,$B$1*100+6))</f>
        <v/>
      </c>
      <c r="I23" s="14">
        <f>IF(원생!$A21="","",SUMIFS(계산!$C:$C,계산!$A:$A,계산!$E21,계산!$B:$B,$B$1*100+7))</f>
        <v/>
      </c>
      <c r="J23" s="14">
        <f>IF(원생!$A21="","",SUMIFS(계산!$C:$C,계산!$A:$A,계산!$E21,계산!$B:$B,$B$1*100+8))</f>
        <v/>
      </c>
      <c r="K23" s="14">
        <f>IF(원생!$A21="","",SUMIFS(계산!$C:$C,계산!$A:$A,계산!$E21,계산!$B:$B,$B$1*100+9))</f>
        <v/>
      </c>
      <c r="L23" s="14">
        <f>IF(원생!$A21="","",SUMIFS(계산!$C:$C,계산!$A:$A,계산!$E21,계산!$B:$B,$B$1*100+10))</f>
        <v/>
      </c>
      <c r="M23" s="14">
        <f>IF(원생!$A21="","",SUMIFS(계산!$C:$C,계산!$A:$A,계산!$E21,계산!$B:$B,$B$1*100+11))</f>
        <v/>
      </c>
      <c r="N23" s="14">
        <f>IF(원생!$A21="","",SUMIFS(계산!$C:$C,계산!$A:$A,계산!$E21,계산!$B:$B,$B$1*100+12))</f>
        <v/>
      </c>
      <c r="O23">
        <f>IF(원생!$I21="","",원생!$I21)</f>
        <v/>
      </c>
      <c r="P23">
        <f>IF($A23="","",IF(AND($B23&gt;0,C23&lt;$B23,DATE($B$1,1,1)&lt;=TODAY(),OR($O23="",$O23&gt;=DATE($B$1,1,1)),OR(COUNTIF($C23:C23,"&gt;0")&gt;0,DATE($B$1,1,1)=DATE(YEAR(TODAY()),MONTH(TODAY()),1))),1,0))</f>
        <v/>
      </c>
      <c r="Q23">
        <f>IF($A23="","",IF(AND($B23&gt;0,D23&lt;$B23,DATE($B$1,2,1)&lt;=TODAY(),OR($O23="",$O23&gt;=DATE($B$1,2,1)),OR(COUNTIF($C23:D23,"&gt;0")&gt;0,DATE($B$1,2,1)=DATE(YEAR(TODAY()),MONTH(TODAY()),1))),1,0))</f>
        <v/>
      </c>
      <c r="R23">
        <f>IF($A23="","",IF(AND($B23&gt;0,E23&lt;$B23,DATE($B$1,3,1)&lt;=TODAY(),OR($O23="",$O23&gt;=DATE($B$1,3,1)),OR(COUNTIF($C23:E23,"&gt;0")&gt;0,DATE($B$1,3,1)=DATE(YEAR(TODAY()),MONTH(TODAY()),1))),1,0))</f>
        <v/>
      </c>
      <c r="S23">
        <f>IF($A23="","",IF(AND($B23&gt;0,F23&lt;$B23,DATE($B$1,4,1)&lt;=TODAY(),OR($O23="",$O23&gt;=DATE($B$1,4,1)),OR(COUNTIF($C23:F23,"&gt;0")&gt;0,DATE($B$1,4,1)=DATE(YEAR(TODAY()),MONTH(TODAY()),1))),1,0))</f>
        <v/>
      </c>
      <c r="T23">
        <f>IF($A23="","",IF(AND($B23&gt;0,G23&lt;$B23,DATE($B$1,5,1)&lt;=TODAY(),OR($O23="",$O23&gt;=DATE($B$1,5,1)),OR(COUNTIF($C23:G23,"&gt;0")&gt;0,DATE($B$1,5,1)=DATE(YEAR(TODAY()),MONTH(TODAY()),1))),1,0))</f>
        <v/>
      </c>
      <c r="U23">
        <f>IF($A23="","",IF(AND($B23&gt;0,H23&lt;$B23,DATE($B$1,6,1)&lt;=TODAY(),OR($O23="",$O23&gt;=DATE($B$1,6,1)),OR(COUNTIF($C23:H23,"&gt;0")&gt;0,DATE($B$1,6,1)=DATE(YEAR(TODAY()),MONTH(TODAY()),1))),1,0))</f>
        <v/>
      </c>
      <c r="V23">
        <f>IF($A23="","",IF(AND($B23&gt;0,I23&lt;$B23,DATE($B$1,7,1)&lt;=TODAY(),OR($O23="",$O23&gt;=DATE($B$1,7,1)),OR(COUNTIF($C23:I23,"&gt;0")&gt;0,DATE($B$1,7,1)=DATE(YEAR(TODAY()),MONTH(TODAY()),1))),1,0))</f>
        <v/>
      </c>
      <c r="W23">
        <f>IF($A23="","",IF(AND($B23&gt;0,J23&lt;$B23,DATE($B$1,8,1)&lt;=TODAY(),OR($O23="",$O23&gt;=DATE($B$1,8,1)),OR(COUNTIF($C23:J23,"&gt;0")&gt;0,DATE($B$1,8,1)=DATE(YEAR(TODAY()),MONTH(TODAY()),1))),1,0))</f>
        <v/>
      </c>
      <c r="X23">
        <f>IF($A23="","",IF(AND($B23&gt;0,K23&lt;$B23,DATE($B$1,9,1)&lt;=TODAY(),OR($O23="",$O23&gt;=DATE($B$1,9,1)),OR(COUNTIF($C23:K23,"&gt;0")&gt;0,DATE($B$1,9,1)=DATE(YEAR(TODAY()),MONTH(TODAY()),1))),1,0))</f>
        <v/>
      </c>
      <c r="Y23">
        <f>IF($A23="","",IF(AND($B23&gt;0,L23&lt;$B23,DATE($B$1,10,1)&lt;=TODAY(),OR($O23="",$O23&gt;=DATE($B$1,10,1)),OR(COUNTIF($C23:L23,"&gt;0")&gt;0,DATE($B$1,10,1)=DATE(YEAR(TODAY()),MONTH(TODAY()),1))),1,0))</f>
        <v/>
      </c>
      <c r="Z23">
        <f>IF($A23="","",IF(AND($B23&gt;0,M23&lt;$B23,DATE($B$1,11,1)&lt;=TODAY(),OR($O23="",$O23&gt;=DATE($B$1,11,1)),OR(COUNTIF($C23:M23,"&gt;0")&gt;0,DATE($B$1,11,1)=DATE(YEAR(TODAY()),MONTH(TODAY()),1))),1,0))</f>
        <v/>
      </c>
      <c r="AA23">
        <f>IF($A23="","",IF(AND($B23&gt;0,N23&lt;$B23,DATE($B$1,12,1)&lt;=TODAY(),OR($O23="",$O23&gt;=DATE($B$1,12,1)),OR(COUNTIF($C23:N23,"&gt;0")&gt;0,DATE($B$1,12,1)=DATE(YEAR(TODAY()),MONTH(TODAY()),1))),1,0))</f>
        <v/>
      </c>
    </row>
    <row r="24">
      <c r="A24" s="13">
        <f>IF(원생!$A22="","",원생!$A22&amp;IF(원생!$G22="",""," ("&amp;원생!$G22&amp;")"))</f>
        <v/>
      </c>
      <c r="B24" s="8">
        <f>IF(원생!$A22="","",N(원생!$F22))</f>
        <v/>
      </c>
      <c r="C24" s="14">
        <f>IF(원생!$A22="","",SUMIFS(계산!$C:$C,계산!$A:$A,계산!$E22,계산!$B:$B,$B$1*100+1))</f>
        <v/>
      </c>
      <c r="D24" s="14">
        <f>IF(원생!$A22="","",SUMIFS(계산!$C:$C,계산!$A:$A,계산!$E22,계산!$B:$B,$B$1*100+2))</f>
        <v/>
      </c>
      <c r="E24" s="14">
        <f>IF(원생!$A22="","",SUMIFS(계산!$C:$C,계산!$A:$A,계산!$E22,계산!$B:$B,$B$1*100+3))</f>
        <v/>
      </c>
      <c r="F24" s="14">
        <f>IF(원생!$A22="","",SUMIFS(계산!$C:$C,계산!$A:$A,계산!$E22,계산!$B:$B,$B$1*100+4))</f>
        <v/>
      </c>
      <c r="G24" s="14">
        <f>IF(원생!$A22="","",SUMIFS(계산!$C:$C,계산!$A:$A,계산!$E22,계산!$B:$B,$B$1*100+5))</f>
        <v/>
      </c>
      <c r="H24" s="14">
        <f>IF(원생!$A22="","",SUMIFS(계산!$C:$C,계산!$A:$A,계산!$E22,계산!$B:$B,$B$1*100+6))</f>
        <v/>
      </c>
      <c r="I24" s="14">
        <f>IF(원생!$A22="","",SUMIFS(계산!$C:$C,계산!$A:$A,계산!$E22,계산!$B:$B,$B$1*100+7))</f>
        <v/>
      </c>
      <c r="J24" s="14">
        <f>IF(원생!$A22="","",SUMIFS(계산!$C:$C,계산!$A:$A,계산!$E22,계산!$B:$B,$B$1*100+8))</f>
        <v/>
      </c>
      <c r="K24" s="14">
        <f>IF(원생!$A22="","",SUMIFS(계산!$C:$C,계산!$A:$A,계산!$E22,계산!$B:$B,$B$1*100+9))</f>
        <v/>
      </c>
      <c r="L24" s="14">
        <f>IF(원생!$A22="","",SUMIFS(계산!$C:$C,계산!$A:$A,계산!$E22,계산!$B:$B,$B$1*100+10))</f>
        <v/>
      </c>
      <c r="M24" s="14">
        <f>IF(원생!$A22="","",SUMIFS(계산!$C:$C,계산!$A:$A,계산!$E22,계산!$B:$B,$B$1*100+11))</f>
        <v/>
      </c>
      <c r="N24" s="14">
        <f>IF(원생!$A22="","",SUMIFS(계산!$C:$C,계산!$A:$A,계산!$E22,계산!$B:$B,$B$1*100+12))</f>
        <v/>
      </c>
      <c r="O24">
        <f>IF(원생!$I22="","",원생!$I22)</f>
        <v/>
      </c>
      <c r="P24">
        <f>IF($A24="","",IF(AND($B24&gt;0,C24&lt;$B24,DATE($B$1,1,1)&lt;=TODAY(),OR($O24="",$O24&gt;=DATE($B$1,1,1)),OR(COUNTIF($C24:C24,"&gt;0")&gt;0,DATE($B$1,1,1)=DATE(YEAR(TODAY()),MONTH(TODAY()),1))),1,0))</f>
        <v/>
      </c>
      <c r="Q24">
        <f>IF($A24="","",IF(AND($B24&gt;0,D24&lt;$B24,DATE($B$1,2,1)&lt;=TODAY(),OR($O24="",$O24&gt;=DATE($B$1,2,1)),OR(COUNTIF($C24:D24,"&gt;0")&gt;0,DATE($B$1,2,1)=DATE(YEAR(TODAY()),MONTH(TODAY()),1))),1,0))</f>
        <v/>
      </c>
      <c r="R24">
        <f>IF($A24="","",IF(AND($B24&gt;0,E24&lt;$B24,DATE($B$1,3,1)&lt;=TODAY(),OR($O24="",$O24&gt;=DATE($B$1,3,1)),OR(COUNTIF($C24:E24,"&gt;0")&gt;0,DATE($B$1,3,1)=DATE(YEAR(TODAY()),MONTH(TODAY()),1))),1,0))</f>
        <v/>
      </c>
      <c r="S24">
        <f>IF($A24="","",IF(AND($B24&gt;0,F24&lt;$B24,DATE($B$1,4,1)&lt;=TODAY(),OR($O24="",$O24&gt;=DATE($B$1,4,1)),OR(COUNTIF($C24:F24,"&gt;0")&gt;0,DATE($B$1,4,1)=DATE(YEAR(TODAY()),MONTH(TODAY()),1))),1,0))</f>
        <v/>
      </c>
      <c r="T24">
        <f>IF($A24="","",IF(AND($B24&gt;0,G24&lt;$B24,DATE($B$1,5,1)&lt;=TODAY(),OR($O24="",$O24&gt;=DATE($B$1,5,1)),OR(COUNTIF($C24:G24,"&gt;0")&gt;0,DATE($B$1,5,1)=DATE(YEAR(TODAY()),MONTH(TODAY()),1))),1,0))</f>
        <v/>
      </c>
      <c r="U24">
        <f>IF($A24="","",IF(AND($B24&gt;0,H24&lt;$B24,DATE($B$1,6,1)&lt;=TODAY(),OR($O24="",$O24&gt;=DATE($B$1,6,1)),OR(COUNTIF($C24:H24,"&gt;0")&gt;0,DATE($B$1,6,1)=DATE(YEAR(TODAY()),MONTH(TODAY()),1))),1,0))</f>
        <v/>
      </c>
      <c r="V24">
        <f>IF($A24="","",IF(AND($B24&gt;0,I24&lt;$B24,DATE($B$1,7,1)&lt;=TODAY(),OR($O24="",$O24&gt;=DATE($B$1,7,1)),OR(COUNTIF($C24:I24,"&gt;0")&gt;0,DATE($B$1,7,1)=DATE(YEAR(TODAY()),MONTH(TODAY()),1))),1,0))</f>
        <v/>
      </c>
      <c r="W24">
        <f>IF($A24="","",IF(AND($B24&gt;0,J24&lt;$B24,DATE($B$1,8,1)&lt;=TODAY(),OR($O24="",$O24&gt;=DATE($B$1,8,1)),OR(COUNTIF($C24:J24,"&gt;0")&gt;0,DATE($B$1,8,1)=DATE(YEAR(TODAY()),MONTH(TODAY()),1))),1,0))</f>
        <v/>
      </c>
      <c r="X24">
        <f>IF($A24="","",IF(AND($B24&gt;0,K24&lt;$B24,DATE($B$1,9,1)&lt;=TODAY(),OR($O24="",$O24&gt;=DATE($B$1,9,1)),OR(COUNTIF($C24:K24,"&gt;0")&gt;0,DATE($B$1,9,1)=DATE(YEAR(TODAY()),MONTH(TODAY()),1))),1,0))</f>
        <v/>
      </c>
      <c r="Y24">
        <f>IF($A24="","",IF(AND($B24&gt;0,L24&lt;$B24,DATE($B$1,10,1)&lt;=TODAY(),OR($O24="",$O24&gt;=DATE($B$1,10,1)),OR(COUNTIF($C24:L24,"&gt;0")&gt;0,DATE($B$1,10,1)=DATE(YEAR(TODAY()),MONTH(TODAY()),1))),1,0))</f>
        <v/>
      </c>
      <c r="Z24">
        <f>IF($A24="","",IF(AND($B24&gt;0,M24&lt;$B24,DATE($B$1,11,1)&lt;=TODAY(),OR($O24="",$O24&gt;=DATE($B$1,11,1)),OR(COUNTIF($C24:M24,"&gt;0")&gt;0,DATE($B$1,11,1)=DATE(YEAR(TODAY()),MONTH(TODAY()),1))),1,0))</f>
        <v/>
      </c>
      <c r="AA24">
        <f>IF($A24="","",IF(AND($B24&gt;0,N24&lt;$B24,DATE($B$1,12,1)&lt;=TODAY(),OR($O24="",$O24&gt;=DATE($B$1,12,1)),OR(COUNTIF($C24:N24,"&gt;0")&gt;0,DATE($B$1,12,1)=DATE(YEAR(TODAY()),MONTH(TODAY()),1))),1,0))</f>
        <v/>
      </c>
    </row>
    <row r="25">
      <c r="A25" s="13">
        <f>IF(원생!$A23="","",원생!$A23&amp;IF(원생!$G23="",""," ("&amp;원생!$G23&amp;")"))</f>
        <v/>
      </c>
      <c r="B25" s="8">
        <f>IF(원생!$A23="","",N(원생!$F23))</f>
        <v/>
      </c>
      <c r="C25" s="14">
        <f>IF(원생!$A23="","",SUMIFS(계산!$C:$C,계산!$A:$A,계산!$E23,계산!$B:$B,$B$1*100+1))</f>
        <v/>
      </c>
      <c r="D25" s="14">
        <f>IF(원생!$A23="","",SUMIFS(계산!$C:$C,계산!$A:$A,계산!$E23,계산!$B:$B,$B$1*100+2))</f>
        <v/>
      </c>
      <c r="E25" s="14">
        <f>IF(원생!$A23="","",SUMIFS(계산!$C:$C,계산!$A:$A,계산!$E23,계산!$B:$B,$B$1*100+3))</f>
        <v/>
      </c>
      <c r="F25" s="14">
        <f>IF(원생!$A23="","",SUMIFS(계산!$C:$C,계산!$A:$A,계산!$E23,계산!$B:$B,$B$1*100+4))</f>
        <v/>
      </c>
      <c r="G25" s="14">
        <f>IF(원생!$A23="","",SUMIFS(계산!$C:$C,계산!$A:$A,계산!$E23,계산!$B:$B,$B$1*100+5))</f>
        <v/>
      </c>
      <c r="H25" s="14">
        <f>IF(원생!$A23="","",SUMIFS(계산!$C:$C,계산!$A:$A,계산!$E23,계산!$B:$B,$B$1*100+6))</f>
        <v/>
      </c>
      <c r="I25" s="14">
        <f>IF(원생!$A23="","",SUMIFS(계산!$C:$C,계산!$A:$A,계산!$E23,계산!$B:$B,$B$1*100+7))</f>
        <v/>
      </c>
      <c r="J25" s="14">
        <f>IF(원생!$A23="","",SUMIFS(계산!$C:$C,계산!$A:$A,계산!$E23,계산!$B:$B,$B$1*100+8))</f>
        <v/>
      </c>
      <c r="K25" s="14">
        <f>IF(원생!$A23="","",SUMIFS(계산!$C:$C,계산!$A:$A,계산!$E23,계산!$B:$B,$B$1*100+9))</f>
        <v/>
      </c>
      <c r="L25" s="14">
        <f>IF(원생!$A23="","",SUMIFS(계산!$C:$C,계산!$A:$A,계산!$E23,계산!$B:$B,$B$1*100+10))</f>
        <v/>
      </c>
      <c r="M25" s="14">
        <f>IF(원생!$A23="","",SUMIFS(계산!$C:$C,계산!$A:$A,계산!$E23,계산!$B:$B,$B$1*100+11))</f>
        <v/>
      </c>
      <c r="N25" s="14">
        <f>IF(원생!$A23="","",SUMIFS(계산!$C:$C,계산!$A:$A,계산!$E23,계산!$B:$B,$B$1*100+12))</f>
        <v/>
      </c>
      <c r="O25">
        <f>IF(원생!$I23="","",원생!$I23)</f>
        <v/>
      </c>
      <c r="P25">
        <f>IF($A25="","",IF(AND($B25&gt;0,C25&lt;$B25,DATE($B$1,1,1)&lt;=TODAY(),OR($O25="",$O25&gt;=DATE($B$1,1,1)),OR(COUNTIF($C25:C25,"&gt;0")&gt;0,DATE($B$1,1,1)=DATE(YEAR(TODAY()),MONTH(TODAY()),1))),1,0))</f>
        <v/>
      </c>
      <c r="Q25">
        <f>IF($A25="","",IF(AND($B25&gt;0,D25&lt;$B25,DATE($B$1,2,1)&lt;=TODAY(),OR($O25="",$O25&gt;=DATE($B$1,2,1)),OR(COUNTIF($C25:D25,"&gt;0")&gt;0,DATE($B$1,2,1)=DATE(YEAR(TODAY()),MONTH(TODAY()),1))),1,0))</f>
        <v/>
      </c>
      <c r="R25">
        <f>IF($A25="","",IF(AND($B25&gt;0,E25&lt;$B25,DATE($B$1,3,1)&lt;=TODAY(),OR($O25="",$O25&gt;=DATE($B$1,3,1)),OR(COUNTIF($C25:E25,"&gt;0")&gt;0,DATE($B$1,3,1)=DATE(YEAR(TODAY()),MONTH(TODAY()),1))),1,0))</f>
        <v/>
      </c>
      <c r="S25">
        <f>IF($A25="","",IF(AND($B25&gt;0,F25&lt;$B25,DATE($B$1,4,1)&lt;=TODAY(),OR($O25="",$O25&gt;=DATE($B$1,4,1)),OR(COUNTIF($C25:F25,"&gt;0")&gt;0,DATE($B$1,4,1)=DATE(YEAR(TODAY()),MONTH(TODAY()),1))),1,0))</f>
        <v/>
      </c>
      <c r="T25">
        <f>IF($A25="","",IF(AND($B25&gt;0,G25&lt;$B25,DATE($B$1,5,1)&lt;=TODAY(),OR($O25="",$O25&gt;=DATE($B$1,5,1)),OR(COUNTIF($C25:G25,"&gt;0")&gt;0,DATE($B$1,5,1)=DATE(YEAR(TODAY()),MONTH(TODAY()),1))),1,0))</f>
        <v/>
      </c>
      <c r="U25">
        <f>IF($A25="","",IF(AND($B25&gt;0,H25&lt;$B25,DATE($B$1,6,1)&lt;=TODAY(),OR($O25="",$O25&gt;=DATE($B$1,6,1)),OR(COUNTIF($C25:H25,"&gt;0")&gt;0,DATE($B$1,6,1)=DATE(YEAR(TODAY()),MONTH(TODAY()),1))),1,0))</f>
        <v/>
      </c>
      <c r="V25">
        <f>IF($A25="","",IF(AND($B25&gt;0,I25&lt;$B25,DATE($B$1,7,1)&lt;=TODAY(),OR($O25="",$O25&gt;=DATE($B$1,7,1)),OR(COUNTIF($C25:I25,"&gt;0")&gt;0,DATE($B$1,7,1)=DATE(YEAR(TODAY()),MONTH(TODAY()),1))),1,0))</f>
        <v/>
      </c>
      <c r="W25">
        <f>IF($A25="","",IF(AND($B25&gt;0,J25&lt;$B25,DATE($B$1,8,1)&lt;=TODAY(),OR($O25="",$O25&gt;=DATE($B$1,8,1)),OR(COUNTIF($C25:J25,"&gt;0")&gt;0,DATE($B$1,8,1)=DATE(YEAR(TODAY()),MONTH(TODAY()),1))),1,0))</f>
        <v/>
      </c>
      <c r="X25">
        <f>IF($A25="","",IF(AND($B25&gt;0,K25&lt;$B25,DATE($B$1,9,1)&lt;=TODAY(),OR($O25="",$O25&gt;=DATE($B$1,9,1)),OR(COUNTIF($C25:K25,"&gt;0")&gt;0,DATE($B$1,9,1)=DATE(YEAR(TODAY()),MONTH(TODAY()),1))),1,0))</f>
        <v/>
      </c>
      <c r="Y25">
        <f>IF($A25="","",IF(AND($B25&gt;0,L25&lt;$B25,DATE($B$1,10,1)&lt;=TODAY(),OR($O25="",$O25&gt;=DATE($B$1,10,1)),OR(COUNTIF($C25:L25,"&gt;0")&gt;0,DATE($B$1,10,1)=DATE(YEAR(TODAY()),MONTH(TODAY()),1))),1,0))</f>
        <v/>
      </c>
      <c r="Z25">
        <f>IF($A25="","",IF(AND($B25&gt;0,M25&lt;$B25,DATE($B$1,11,1)&lt;=TODAY(),OR($O25="",$O25&gt;=DATE($B$1,11,1)),OR(COUNTIF($C25:M25,"&gt;0")&gt;0,DATE($B$1,11,1)=DATE(YEAR(TODAY()),MONTH(TODAY()),1))),1,0))</f>
        <v/>
      </c>
      <c r="AA25">
        <f>IF($A25="","",IF(AND($B25&gt;0,N25&lt;$B25,DATE($B$1,12,1)&lt;=TODAY(),OR($O25="",$O25&gt;=DATE($B$1,12,1)),OR(COUNTIF($C25:N25,"&gt;0")&gt;0,DATE($B$1,12,1)=DATE(YEAR(TODAY()),MONTH(TODAY()),1))),1,0))</f>
        <v/>
      </c>
    </row>
    <row r="26">
      <c r="A26" s="13">
        <f>IF(원생!$A24="","",원생!$A24&amp;IF(원생!$G24="",""," ("&amp;원생!$G24&amp;")"))</f>
        <v/>
      </c>
      <c r="B26" s="8">
        <f>IF(원생!$A24="","",N(원생!$F24))</f>
        <v/>
      </c>
      <c r="C26" s="14">
        <f>IF(원생!$A24="","",SUMIFS(계산!$C:$C,계산!$A:$A,계산!$E24,계산!$B:$B,$B$1*100+1))</f>
        <v/>
      </c>
      <c r="D26" s="14">
        <f>IF(원생!$A24="","",SUMIFS(계산!$C:$C,계산!$A:$A,계산!$E24,계산!$B:$B,$B$1*100+2))</f>
        <v/>
      </c>
      <c r="E26" s="14">
        <f>IF(원생!$A24="","",SUMIFS(계산!$C:$C,계산!$A:$A,계산!$E24,계산!$B:$B,$B$1*100+3))</f>
        <v/>
      </c>
      <c r="F26" s="14">
        <f>IF(원생!$A24="","",SUMIFS(계산!$C:$C,계산!$A:$A,계산!$E24,계산!$B:$B,$B$1*100+4))</f>
        <v/>
      </c>
      <c r="G26" s="14">
        <f>IF(원생!$A24="","",SUMIFS(계산!$C:$C,계산!$A:$A,계산!$E24,계산!$B:$B,$B$1*100+5))</f>
        <v/>
      </c>
      <c r="H26" s="14">
        <f>IF(원생!$A24="","",SUMIFS(계산!$C:$C,계산!$A:$A,계산!$E24,계산!$B:$B,$B$1*100+6))</f>
        <v/>
      </c>
      <c r="I26" s="14">
        <f>IF(원생!$A24="","",SUMIFS(계산!$C:$C,계산!$A:$A,계산!$E24,계산!$B:$B,$B$1*100+7))</f>
        <v/>
      </c>
      <c r="J26" s="14">
        <f>IF(원생!$A24="","",SUMIFS(계산!$C:$C,계산!$A:$A,계산!$E24,계산!$B:$B,$B$1*100+8))</f>
        <v/>
      </c>
      <c r="K26" s="14">
        <f>IF(원생!$A24="","",SUMIFS(계산!$C:$C,계산!$A:$A,계산!$E24,계산!$B:$B,$B$1*100+9))</f>
        <v/>
      </c>
      <c r="L26" s="14">
        <f>IF(원생!$A24="","",SUMIFS(계산!$C:$C,계산!$A:$A,계산!$E24,계산!$B:$B,$B$1*100+10))</f>
        <v/>
      </c>
      <c r="M26" s="14">
        <f>IF(원생!$A24="","",SUMIFS(계산!$C:$C,계산!$A:$A,계산!$E24,계산!$B:$B,$B$1*100+11))</f>
        <v/>
      </c>
      <c r="N26" s="14">
        <f>IF(원생!$A24="","",SUMIFS(계산!$C:$C,계산!$A:$A,계산!$E24,계산!$B:$B,$B$1*100+12))</f>
        <v/>
      </c>
      <c r="O26">
        <f>IF(원생!$I24="","",원생!$I24)</f>
        <v/>
      </c>
      <c r="P26">
        <f>IF($A26="","",IF(AND($B26&gt;0,C26&lt;$B26,DATE($B$1,1,1)&lt;=TODAY(),OR($O26="",$O26&gt;=DATE($B$1,1,1)),OR(COUNTIF($C26:C26,"&gt;0")&gt;0,DATE($B$1,1,1)=DATE(YEAR(TODAY()),MONTH(TODAY()),1))),1,0))</f>
        <v/>
      </c>
      <c r="Q26">
        <f>IF($A26="","",IF(AND($B26&gt;0,D26&lt;$B26,DATE($B$1,2,1)&lt;=TODAY(),OR($O26="",$O26&gt;=DATE($B$1,2,1)),OR(COUNTIF($C26:D26,"&gt;0")&gt;0,DATE($B$1,2,1)=DATE(YEAR(TODAY()),MONTH(TODAY()),1))),1,0))</f>
        <v/>
      </c>
      <c r="R26">
        <f>IF($A26="","",IF(AND($B26&gt;0,E26&lt;$B26,DATE($B$1,3,1)&lt;=TODAY(),OR($O26="",$O26&gt;=DATE($B$1,3,1)),OR(COUNTIF($C26:E26,"&gt;0")&gt;0,DATE($B$1,3,1)=DATE(YEAR(TODAY()),MONTH(TODAY()),1))),1,0))</f>
        <v/>
      </c>
      <c r="S26">
        <f>IF($A26="","",IF(AND($B26&gt;0,F26&lt;$B26,DATE($B$1,4,1)&lt;=TODAY(),OR($O26="",$O26&gt;=DATE($B$1,4,1)),OR(COUNTIF($C26:F26,"&gt;0")&gt;0,DATE($B$1,4,1)=DATE(YEAR(TODAY()),MONTH(TODAY()),1))),1,0))</f>
        <v/>
      </c>
      <c r="T26">
        <f>IF($A26="","",IF(AND($B26&gt;0,G26&lt;$B26,DATE($B$1,5,1)&lt;=TODAY(),OR($O26="",$O26&gt;=DATE($B$1,5,1)),OR(COUNTIF($C26:G26,"&gt;0")&gt;0,DATE($B$1,5,1)=DATE(YEAR(TODAY()),MONTH(TODAY()),1))),1,0))</f>
        <v/>
      </c>
      <c r="U26">
        <f>IF($A26="","",IF(AND($B26&gt;0,H26&lt;$B26,DATE($B$1,6,1)&lt;=TODAY(),OR($O26="",$O26&gt;=DATE($B$1,6,1)),OR(COUNTIF($C26:H26,"&gt;0")&gt;0,DATE($B$1,6,1)=DATE(YEAR(TODAY()),MONTH(TODAY()),1))),1,0))</f>
        <v/>
      </c>
      <c r="V26">
        <f>IF($A26="","",IF(AND($B26&gt;0,I26&lt;$B26,DATE($B$1,7,1)&lt;=TODAY(),OR($O26="",$O26&gt;=DATE($B$1,7,1)),OR(COUNTIF($C26:I26,"&gt;0")&gt;0,DATE($B$1,7,1)=DATE(YEAR(TODAY()),MONTH(TODAY()),1))),1,0))</f>
        <v/>
      </c>
      <c r="W26">
        <f>IF($A26="","",IF(AND($B26&gt;0,J26&lt;$B26,DATE($B$1,8,1)&lt;=TODAY(),OR($O26="",$O26&gt;=DATE($B$1,8,1)),OR(COUNTIF($C26:J26,"&gt;0")&gt;0,DATE($B$1,8,1)=DATE(YEAR(TODAY()),MONTH(TODAY()),1))),1,0))</f>
        <v/>
      </c>
      <c r="X26">
        <f>IF($A26="","",IF(AND($B26&gt;0,K26&lt;$B26,DATE($B$1,9,1)&lt;=TODAY(),OR($O26="",$O26&gt;=DATE($B$1,9,1)),OR(COUNTIF($C26:K26,"&gt;0")&gt;0,DATE($B$1,9,1)=DATE(YEAR(TODAY()),MONTH(TODAY()),1))),1,0))</f>
        <v/>
      </c>
      <c r="Y26">
        <f>IF($A26="","",IF(AND($B26&gt;0,L26&lt;$B26,DATE($B$1,10,1)&lt;=TODAY(),OR($O26="",$O26&gt;=DATE($B$1,10,1)),OR(COUNTIF($C26:L26,"&gt;0")&gt;0,DATE($B$1,10,1)=DATE(YEAR(TODAY()),MONTH(TODAY()),1))),1,0))</f>
        <v/>
      </c>
      <c r="Z26">
        <f>IF($A26="","",IF(AND($B26&gt;0,M26&lt;$B26,DATE($B$1,11,1)&lt;=TODAY(),OR($O26="",$O26&gt;=DATE($B$1,11,1)),OR(COUNTIF($C26:M26,"&gt;0")&gt;0,DATE($B$1,11,1)=DATE(YEAR(TODAY()),MONTH(TODAY()),1))),1,0))</f>
        <v/>
      </c>
      <c r="AA26">
        <f>IF($A26="","",IF(AND($B26&gt;0,N26&lt;$B26,DATE($B$1,12,1)&lt;=TODAY(),OR($O26="",$O26&gt;=DATE($B$1,12,1)),OR(COUNTIF($C26:N26,"&gt;0")&gt;0,DATE($B$1,12,1)=DATE(YEAR(TODAY()),MONTH(TODAY()),1))),1,0))</f>
        <v/>
      </c>
    </row>
    <row r="27">
      <c r="A27" s="13">
        <f>IF(원생!$A25="","",원생!$A25&amp;IF(원생!$G25="",""," ("&amp;원생!$G25&amp;")"))</f>
        <v/>
      </c>
      <c r="B27" s="8">
        <f>IF(원생!$A25="","",N(원생!$F25))</f>
        <v/>
      </c>
      <c r="C27" s="14">
        <f>IF(원생!$A25="","",SUMIFS(계산!$C:$C,계산!$A:$A,계산!$E25,계산!$B:$B,$B$1*100+1))</f>
        <v/>
      </c>
      <c r="D27" s="14">
        <f>IF(원생!$A25="","",SUMIFS(계산!$C:$C,계산!$A:$A,계산!$E25,계산!$B:$B,$B$1*100+2))</f>
        <v/>
      </c>
      <c r="E27" s="14">
        <f>IF(원생!$A25="","",SUMIFS(계산!$C:$C,계산!$A:$A,계산!$E25,계산!$B:$B,$B$1*100+3))</f>
        <v/>
      </c>
      <c r="F27" s="14">
        <f>IF(원생!$A25="","",SUMIFS(계산!$C:$C,계산!$A:$A,계산!$E25,계산!$B:$B,$B$1*100+4))</f>
        <v/>
      </c>
      <c r="G27" s="14">
        <f>IF(원생!$A25="","",SUMIFS(계산!$C:$C,계산!$A:$A,계산!$E25,계산!$B:$B,$B$1*100+5))</f>
        <v/>
      </c>
      <c r="H27" s="14">
        <f>IF(원생!$A25="","",SUMIFS(계산!$C:$C,계산!$A:$A,계산!$E25,계산!$B:$B,$B$1*100+6))</f>
        <v/>
      </c>
      <c r="I27" s="14">
        <f>IF(원생!$A25="","",SUMIFS(계산!$C:$C,계산!$A:$A,계산!$E25,계산!$B:$B,$B$1*100+7))</f>
        <v/>
      </c>
      <c r="J27" s="14">
        <f>IF(원생!$A25="","",SUMIFS(계산!$C:$C,계산!$A:$A,계산!$E25,계산!$B:$B,$B$1*100+8))</f>
        <v/>
      </c>
      <c r="K27" s="14">
        <f>IF(원생!$A25="","",SUMIFS(계산!$C:$C,계산!$A:$A,계산!$E25,계산!$B:$B,$B$1*100+9))</f>
        <v/>
      </c>
      <c r="L27" s="14">
        <f>IF(원생!$A25="","",SUMIFS(계산!$C:$C,계산!$A:$A,계산!$E25,계산!$B:$B,$B$1*100+10))</f>
        <v/>
      </c>
      <c r="M27" s="14">
        <f>IF(원생!$A25="","",SUMIFS(계산!$C:$C,계산!$A:$A,계산!$E25,계산!$B:$B,$B$1*100+11))</f>
        <v/>
      </c>
      <c r="N27" s="14">
        <f>IF(원생!$A25="","",SUMIFS(계산!$C:$C,계산!$A:$A,계산!$E25,계산!$B:$B,$B$1*100+12))</f>
        <v/>
      </c>
      <c r="O27">
        <f>IF(원생!$I25="","",원생!$I25)</f>
        <v/>
      </c>
      <c r="P27">
        <f>IF($A27="","",IF(AND($B27&gt;0,C27&lt;$B27,DATE($B$1,1,1)&lt;=TODAY(),OR($O27="",$O27&gt;=DATE($B$1,1,1)),OR(COUNTIF($C27:C27,"&gt;0")&gt;0,DATE($B$1,1,1)=DATE(YEAR(TODAY()),MONTH(TODAY()),1))),1,0))</f>
        <v/>
      </c>
      <c r="Q27">
        <f>IF($A27="","",IF(AND($B27&gt;0,D27&lt;$B27,DATE($B$1,2,1)&lt;=TODAY(),OR($O27="",$O27&gt;=DATE($B$1,2,1)),OR(COUNTIF($C27:D27,"&gt;0")&gt;0,DATE($B$1,2,1)=DATE(YEAR(TODAY()),MONTH(TODAY()),1))),1,0))</f>
        <v/>
      </c>
      <c r="R27">
        <f>IF($A27="","",IF(AND($B27&gt;0,E27&lt;$B27,DATE($B$1,3,1)&lt;=TODAY(),OR($O27="",$O27&gt;=DATE($B$1,3,1)),OR(COUNTIF($C27:E27,"&gt;0")&gt;0,DATE($B$1,3,1)=DATE(YEAR(TODAY()),MONTH(TODAY()),1))),1,0))</f>
        <v/>
      </c>
      <c r="S27">
        <f>IF($A27="","",IF(AND($B27&gt;0,F27&lt;$B27,DATE($B$1,4,1)&lt;=TODAY(),OR($O27="",$O27&gt;=DATE($B$1,4,1)),OR(COUNTIF($C27:F27,"&gt;0")&gt;0,DATE($B$1,4,1)=DATE(YEAR(TODAY()),MONTH(TODAY()),1))),1,0))</f>
        <v/>
      </c>
      <c r="T27">
        <f>IF($A27="","",IF(AND($B27&gt;0,G27&lt;$B27,DATE($B$1,5,1)&lt;=TODAY(),OR($O27="",$O27&gt;=DATE($B$1,5,1)),OR(COUNTIF($C27:G27,"&gt;0")&gt;0,DATE($B$1,5,1)=DATE(YEAR(TODAY()),MONTH(TODAY()),1))),1,0))</f>
        <v/>
      </c>
      <c r="U27">
        <f>IF($A27="","",IF(AND($B27&gt;0,H27&lt;$B27,DATE($B$1,6,1)&lt;=TODAY(),OR($O27="",$O27&gt;=DATE($B$1,6,1)),OR(COUNTIF($C27:H27,"&gt;0")&gt;0,DATE($B$1,6,1)=DATE(YEAR(TODAY()),MONTH(TODAY()),1))),1,0))</f>
        <v/>
      </c>
      <c r="V27">
        <f>IF($A27="","",IF(AND($B27&gt;0,I27&lt;$B27,DATE($B$1,7,1)&lt;=TODAY(),OR($O27="",$O27&gt;=DATE($B$1,7,1)),OR(COUNTIF($C27:I27,"&gt;0")&gt;0,DATE($B$1,7,1)=DATE(YEAR(TODAY()),MONTH(TODAY()),1))),1,0))</f>
        <v/>
      </c>
      <c r="W27">
        <f>IF($A27="","",IF(AND($B27&gt;0,J27&lt;$B27,DATE($B$1,8,1)&lt;=TODAY(),OR($O27="",$O27&gt;=DATE($B$1,8,1)),OR(COUNTIF($C27:J27,"&gt;0")&gt;0,DATE($B$1,8,1)=DATE(YEAR(TODAY()),MONTH(TODAY()),1))),1,0))</f>
        <v/>
      </c>
      <c r="X27">
        <f>IF($A27="","",IF(AND($B27&gt;0,K27&lt;$B27,DATE($B$1,9,1)&lt;=TODAY(),OR($O27="",$O27&gt;=DATE($B$1,9,1)),OR(COUNTIF($C27:K27,"&gt;0")&gt;0,DATE($B$1,9,1)=DATE(YEAR(TODAY()),MONTH(TODAY()),1))),1,0))</f>
        <v/>
      </c>
      <c r="Y27">
        <f>IF($A27="","",IF(AND($B27&gt;0,L27&lt;$B27,DATE($B$1,10,1)&lt;=TODAY(),OR($O27="",$O27&gt;=DATE($B$1,10,1)),OR(COUNTIF($C27:L27,"&gt;0")&gt;0,DATE($B$1,10,1)=DATE(YEAR(TODAY()),MONTH(TODAY()),1))),1,0))</f>
        <v/>
      </c>
      <c r="Z27">
        <f>IF($A27="","",IF(AND($B27&gt;0,M27&lt;$B27,DATE($B$1,11,1)&lt;=TODAY(),OR($O27="",$O27&gt;=DATE($B$1,11,1)),OR(COUNTIF($C27:M27,"&gt;0")&gt;0,DATE($B$1,11,1)=DATE(YEAR(TODAY()),MONTH(TODAY()),1))),1,0))</f>
        <v/>
      </c>
      <c r="AA27">
        <f>IF($A27="","",IF(AND($B27&gt;0,N27&lt;$B27,DATE($B$1,12,1)&lt;=TODAY(),OR($O27="",$O27&gt;=DATE($B$1,12,1)),OR(COUNTIF($C27:N27,"&gt;0")&gt;0,DATE($B$1,12,1)=DATE(YEAR(TODAY()),MONTH(TODAY()),1))),1,0))</f>
        <v/>
      </c>
    </row>
    <row r="28">
      <c r="A28" s="13">
        <f>IF(원생!$A26="","",원생!$A26&amp;IF(원생!$G26="",""," ("&amp;원생!$G26&amp;")"))</f>
        <v/>
      </c>
      <c r="B28" s="8">
        <f>IF(원생!$A26="","",N(원생!$F26))</f>
        <v/>
      </c>
      <c r="C28" s="14">
        <f>IF(원생!$A26="","",SUMIFS(계산!$C:$C,계산!$A:$A,계산!$E26,계산!$B:$B,$B$1*100+1))</f>
        <v/>
      </c>
      <c r="D28" s="14">
        <f>IF(원생!$A26="","",SUMIFS(계산!$C:$C,계산!$A:$A,계산!$E26,계산!$B:$B,$B$1*100+2))</f>
        <v/>
      </c>
      <c r="E28" s="14">
        <f>IF(원생!$A26="","",SUMIFS(계산!$C:$C,계산!$A:$A,계산!$E26,계산!$B:$B,$B$1*100+3))</f>
        <v/>
      </c>
      <c r="F28" s="14">
        <f>IF(원생!$A26="","",SUMIFS(계산!$C:$C,계산!$A:$A,계산!$E26,계산!$B:$B,$B$1*100+4))</f>
        <v/>
      </c>
      <c r="G28" s="14">
        <f>IF(원생!$A26="","",SUMIFS(계산!$C:$C,계산!$A:$A,계산!$E26,계산!$B:$B,$B$1*100+5))</f>
        <v/>
      </c>
      <c r="H28" s="14">
        <f>IF(원생!$A26="","",SUMIFS(계산!$C:$C,계산!$A:$A,계산!$E26,계산!$B:$B,$B$1*100+6))</f>
        <v/>
      </c>
      <c r="I28" s="14">
        <f>IF(원생!$A26="","",SUMIFS(계산!$C:$C,계산!$A:$A,계산!$E26,계산!$B:$B,$B$1*100+7))</f>
        <v/>
      </c>
      <c r="J28" s="14">
        <f>IF(원생!$A26="","",SUMIFS(계산!$C:$C,계산!$A:$A,계산!$E26,계산!$B:$B,$B$1*100+8))</f>
        <v/>
      </c>
      <c r="K28" s="14">
        <f>IF(원생!$A26="","",SUMIFS(계산!$C:$C,계산!$A:$A,계산!$E26,계산!$B:$B,$B$1*100+9))</f>
        <v/>
      </c>
      <c r="L28" s="14">
        <f>IF(원생!$A26="","",SUMIFS(계산!$C:$C,계산!$A:$A,계산!$E26,계산!$B:$B,$B$1*100+10))</f>
        <v/>
      </c>
      <c r="M28" s="14">
        <f>IF(원생!$A26="","",SUMIFS(계산!$C:$C,계산!$A:$A,계산!$E26,계산!$B:$B,$B$1*100+11))</f>
        <v/>
      </c>
      <c r="N28" s="14">
        <f>IF(원생!$A26="","",SUMIFS(계산!$C:$C,계산!$A:$A,계산!$E26,계산!$B:$B,$B$1*100+12))</f>
        <v/>
      </c>
      <c r="O28">
        <f>IF(원생!$I26="","",원생!$I26)</f>
        <v/>
      </c>
      <c r="P28">
        <f>IF($A28="","",IF(AND($B28&gt;0,C28&lt;$B28,DATE($B$1,1,1)&lt;=TODAY(),OR($O28="",$O28&gt;=DATE($B$1,1,1)),OR(COUNTIF($C28:C28,"&gt;0")&gt;0,DATE($B$1,1,1)=DATE(YEAR(TODAY()),MONTH(TODAY()),1))),1,0))</f>
        <v/>
      </c>
      <c r="Q28">
        <f>IF($A28="","",IF(AND($B28&gt;0,D28&lt;$B28,DATE($B$1,2,1)&lt;=TODAY(),OR($O28="",$O28&gt;=DATE($B$1,2,1)),OR(COUNTIF($C28:D28,"&gt;0")&gt;0,DATE($B$1,2,1)=DATE(YEAR(TODAY()),MONTH(TODAY()),1))),1,0))</f>
        <v/>
      </c>
      <c r="R28">
        <f>IF($A28="","",IF(AND($B28&gt;0,E28&lt;$B28,DATE($B$1,3,1)&lt;=TODAY(),OR($O28="",$O28&gt;=DATE($B$1,3,1)),OR(COUNTIF($C28:E28,"&gt;0")&gt;0,DATE($B$1,3,1)=DATE(YEAR(TODAY()),MONTH(TODAY()),1))),1,0))</f>
        <v/>
      </c>
      <c r="S28">
        <f>IF($A28="","",IF(AND($B28&gt;0,F28&lt;$B28,DATE($B$1,4,1)&lt;=TODAY(),OR($O28="",$O28&gt;=DATE($B$1,4,1)),OR(COUNTIF($C28:F28,"&gt;0")&gt;0,DATE($B$1,4,1)=DATE(YEAR(TODAY()),MONTH(TODAY()),1))),1,0))</f>
        <v/>
      </c>
      <c r="T28">
        <f>IF($A28="","",IF(AND($B28&gt;0,G28&lt;$B28,DATE($B$1,5,1)&lt;=TODAY(),OR($O28="",$O28&gt;=DATE($B$1,5,1)),OR(COUNTIF($C28:G28,"&gt;0")&gt;0,DATE($B$1,5,1)=DATE(YEAR(TODAY()),MONTH(TODAY()),1))),1,0))</f>
        <v/>
      </c>
      <c r="U28">
        <f>IF($A28="","",IF(AND($B28&gt;0,H28&lt;$B28,DATE($B$1,6,1)&lt;=TODAY(),OR($O28="",$O28&gt;=DATE($B$1,6,1)),OR(COUNTIF($C28:H28,"&gt;0")&gt;0,DATE($B$1,6,1)=DATE(YEAR(TODAY()),MONTH(TODAY()),1))),1,0))</f>
        <v/>
      </c>
      <c r="V28">
        <f>IF($A28="","",IF(AND($B28&gt;0,I28&lt;$B28,DATE($B$1,7,1)&lt;=TODAY(),OR($O28="",$O28&gt;=DATE($B$1,7,1)),OR(COUNTIF($C28:I28,"&gt;0")&gt;0,DATE($B$1,7,1)=DATE(YEAR(TODAY()),MONTH(TODAY()),1))),1,0))</f>
        <v/>
      </c>
      <c r="W28">
        <f>IF($A28="","",IF(AND($B28&gt;0,J28&lt;$B28,DATE($B$1,8,1)&lt;=TODAY(),OR($O28="",$O28&gt;=DATE($B$1,8,1)),OR(COUNTIF($C28:J28,"&gt;0")&gt;0,DATE($B$1,8,1)=DATE(YEAR(TODAY()),MONTH(TODAY()),1))),1,0))</f>
        <v/>
      </c>
      <c r="X28">
        <f>IF($A28="","",IF(AND($B28&gt;0,K28&lt;$B28,DATE($B$1,9,1)&lt;=TODAY(),OR($O28="",$O28&gt;=DATE($B$1,9,1)),OR(COUNTIF($C28:K28,"&gt;0")&gt;0,DATE($B$1,9,1)=DATE(YEAR(TODAY()),MONTH(TODAY()),1))),1,0))</f>
        <v/>
      </c>
      <c r="Y28">
        <f>IF($A28="","",IF(AND($B28&gt;0,L28&lt;$B28,DATE($B$1,10,1)&lt;=TODAY(),OR($O28="",$O28&gt;=DATE($B$1,10,1)),OR(COUNTIF($C28:L28,"&gt;0")&gt;0,DATE($B$1,10,1)=DATE(YEAR(TODAY()),MONTH(TODAY()),1))),1,0))</f>
        <v/>
      </c>
      <c r="Z28">
        <f>IF($A28="","",IF(AND($B28&gt;0,M28&lt;$B28,DATE($B$1,11,1)&lt;=TODAY(),OR($O28="",$O28&gt;=DATE($B$1,11,1)),OR(COUNTIF($C28:M28,"&gt;0")&gt;0,DATE($B$1,11,1)=DATE(YEAR(TODAY()),MONTH(TODAY()),1))),1,0))</f>
        <v/>
      </c>
      <c r="AA28">
        <f>IF($A28="","",IF(AND($B28&gt;0,N28&lt;$B28,DATE($B$1,12,1)&lt;=TODAY(),OR($O28="",$O28&gt;=DATE($B$1,12,1)),OR(COUNTIF($C28:N28,"&gt;0")&gt;0,DATE($B$1,12,1)=DATE(YEAR(TODAY()),MONTH(TODAY()),1))),1,0))</f>
        <v/>
      </c>
    </row>
    <row r="29">
      <c r="A29" s="13">
        <f>IF(원생!$A27="","",원생!$A27&amp;IF(원생!$G27="",""," ("&amp;원생!$G27&amp;")"))</f>
        <v/>
      </c>
      <c r="B29" s="8">
        <f>IF(원생!$A27="","",N(원생!$F27))</f>
        <v/>
      </c>
      <c r="C29" s="14">
        <f>IF(원생!$A27="","",SUMIFS(계산!$C:$C,계산!$A:$A,계산!$E27,계산!$B:$B,$B$1*100+1))</f>
        <v/>
      </c>
      <c r="D29" s="14">
        <f>IF(원생!$A27="","",SUMIFS(계산!$C:$C,계산!$A:$A,계산!$E27,계산!$B:$B,$B$1*100+2))</f>
        <v/>
      </c>
      <c r="E29" s="14">
        <f>IF(원생!$A27="","",SUMIFS(계산!$C:$C,계산!$A:$A,계산!$E27,계산!$B:$B,$B$1*100+3))</f>
        <v/>
      </c>
      <c r="F29" s="14">
        <f>IF(원생!$A27="","",SUMIFS(계산!$C:$C,계산!$A:$A,계산!$E27,계산!$B:$B,$B$1*100+4))</f>
        <v/>
      </c>
      <c r="G29" s="14">
        <f>IF(원생!$A27="","",SUMIFS(계산!$C:$C,계산!$A:$A,계산!$E27,계산!$B:$B,$B$1*100+5))</f>
        <v/>
      </c>
      <c r="H29" s="14">
        <f>IF(원생!$A27="","",SUMIFS(계산!$C:$C,계산!$A:$A,계산!$E27,계산!$B:$B,$B$1*100+6))</f>
        <v/>
      </c>
      <c r="I29" s="14">
        <f>IF(원생!$A27="","",SUMIFS(계산!$C:$C,계산!$A:$A,계산!$E27,계산!$B:$B,$B$1*100+7))</f>
        <v/>
      </c>
      <c r="J29" s="14">
        <f>IF(원생!$A27="","",SUMIFS(계산!$C:$C,계산!$A:$A,계산!$E27,계산!$B:$B,$B$1*100+8))</f>
        <v/>
      </c>
      <c r="K29" s="14">
        <f>IF(원생!$A27="","",SUMIFS(계산!$C:$C,계산!$A:$A,계산!$E27,계산!$B:$B,$B$1*100+9))</f>
        <v/>
      </c>
      <c r="L29" s="14">
        <f>IF(원생!$A27="","",SUMIFS(계산!$C:$C,계산!$A:$A,계산!$E27,계산!$B:$B,$B$1*100+10))</f>
        <v/>
      </c>
      <c r="M29" s="14">
        <f>IF(원생!$A27="","",SUMIFS(계산!$C:$C,계산!$A:$A,계산!$E27,계산!$B:$B,$B$1*100+11))</f>
        <v/>
      </c>
      <c r="N29" s="14">
        <f>IF(원생!$A27="","",SUMIFS(계산!$C:$C,계산!$A:$A,계산!$E27,계산!$B:$B,$B$1*100+12))</f>
        <v/>
      </c>
      <c r="O29">
        <f>IF(원생!$I27="","",원생!$I27)</f>
        <v/>
      </c>
      <c r="P29">
        <f>IF($A29="","",IF(AND($B29&gt;0,C29&lt;$B29,DATE($B$1,1,1)&lt;=TODAY(),OR($O29="",$O29&gt;=DATE($B$1,1,1)),OR(COUNTIF($C29:C29,"&gt;0")&gt;0,DATE($B$1,1,1)=DATE(YEAR(TODAY()),MONTH(TODAY()),1))),1,0))</f>
        <v/>
      </c>
      <c r="Q29">
        <f>IF($A29="","",IF(AND($B29&gt;0,D29&lt;$B29,DATE($B$1,2,1)&lt;=TODAY(),OR($O29="",$O29&gt;=DATE($B$1,2,1)),OR(COUNTIF($C29:D29,"&gt;0")&gt;0,DATE($B$1,2,1)=DATE(YEAR(TODAY()),MONTH(TODAY()),1))),1,0))</f>
        <v/>
      </c>
      <c r="R29">
        <f>IF($A29="","",IF(AND($B29&gt;0,E29&lt;$B29,DATE($B$1,3,1)&lt;=TODAY(),OR($O29="",$O29&gt;=DATE($B$1,3,1)),OR(COUNTIF($C29:E29,"&gt;0")&gt;0,DATE($B$1,3,1)=DATE(YEAR(TODAY()),MONTH(TODAY()),1))),1,0))</f>
        <v/>
      </c>
      <c r="S29">
        <f>IF($A29="","",IF(AND($B29&gt;0,F29&lt;$B29,DATE($B$1,4,1)&lt;=TODAY(),OR($O29="",$O29&gt;=DATE($B$1,4,1)),OR(COUNTIF($C29:F29,"&gt;0")&gt;0,DATE($B$1,4,1)=DATE(YEAR(TODAY()),MONTH(TODAY()),1))),1,0))</f>
        <v/>
      </c>
      <c r="T29">
        <f>IF($A29="","",IF(AND($B29&gt;0,G29&lt;$B29,DATE($B$1,5,1)&lt;=TODAY(),OR($O29="",$O29&gt;=DATE($B$1,5,1)),OR(COUNTIF($C29:G29,"&gt;0")&gt;0,DATE($B$1,5,1)=DATE(YEAR(TODAY()),MONTH(TODAY()),1))),1,0))</f>
        <v/>
      </c>
      <c r="U29">
        <f>IF($A29="","",IF(AND($B29&gt;0,H29&lt;$B29,DATE($B$1,6,1)&lt;=TODAY(),OR($O29="",$O29&gt;=DATE($B$1,6,1)),OR(COUNTIF($C29:H29,"&gt;0")&gt;0,DATE($B$1,6,1)=DATE(YEAR(TODAY()),MONTH(TODAY()),1))),1,0))</f>
        <v/>
      </c>
      <c r="V29">
        <f>IF($A29="","",IF(AND($B29&gt;0,I29&lt;$B29,DATE($B$1,7,1)&lt;=TODAY(),OR($O29="",$O29&gt;=DATE($B$1,7,1)),OR(COUNTIF($C29:I29,"&gt;0")&gt;0,DATE($B$1,7,1)=DATE(YEAR(TODAY()),MONTH(TODAY()),1))),1,0))</f>
        <v/>
      </c>
      <c r="W29">
        <f>IF($A29="","",IF(AND($B29&gt;0,J29&lt;$B29,DATE($B$1,8,1)&lt;=TODAY(),OR($O29="",$O29&gt;=DATE($B$1,8,1)),OR(COUNTIF($C29:J29,"&gt;0")&gt;0,DATE($B$1,8,1)=DATE(YEAR(TODAY()),MONTH(TODAY()),1))),1,0))</f>
        <v/>
      </c>
      <c r="X29">
        <f>IF($A29="","",IF(AND($B29&gt;0,K29&lt;$B29,DATE($B$1,9,1)&lt;=TODAY(),OR($O29="",$O29&gt;=DATE($B$1,9,1)),OR(COUNTIF($C29:K29,"&gt;0")&gt;0,DATE($B$1,9,1)=DATE(YEAR(TODAY()),MONTH(TODAY()),1))),1,0))</f>
        <v/>
      </c>
      <c r="Y29">
        <f>IF($A29="","",IF(AND($B29&gt;0,L29&lt;$B29,DATE($B$1,10,1)&lt;=TODAY(),OR($O29="",$O29&gt;=DATE($B$1,10,1)),OR(COUNTIF($C29:L29,"&gt;0")&gt;0,DATE($B$1,10,1)=DATE(YEAR(TODAY()),MONTH(TODAY()),1))),1,0))</f>
        <v/>
      </c>
      <c r="Z29">
        <f>IF($A29="","",IF(AND($B29&gt;0,M29&lt;$B29,DATE($B$1,11,1)&lt;=TODAY(),OR($O29="",$O29&gt;=DATE($B$1,11,1)),OR(COUNTIF($C29:M29,"&gt;0")&gt;0,DATE($B$1,11,1)=DATE(YEAR(TODAY()),MONTH(TODAY()),1))),1,0))</f>
        <v/>
      </c>
      <c r="AA29">
        <f>IF($A29="","",IF(AND($B29&gt;0,N29&lt;$B29,DATE($B$1,12,1)&lt;=TODAY(),OR($O29="",$O29&gt;=DATE($B$1,12,1)),OR(COUNTIF($C29:N29,"&gt;0")&gt;0,DATE($B$1,12,1)=DATE(YEAR(TODAY()),MONTH(TODAY()),1))),1,0))</f>
        <v/>
      </c>
    </row>
    <row r="30">
      <c r="A30" s="13">
        <f>IF(원생!$A28="","",원생!$A28&amp;IF(원생!$G28="",""," ("&amp;원생!$G28&amp;")"))</f>
        <v/>
      </c>
      <c r="B30" s="8">
        <f>IF(원생!$A28="","",N(원생!$F28))</f>
        <v/>
      </c>
      <c r="C30" s="14">
        <f>IF(원생!$A28="","",SUMIFS(계산!$C:$C,계산!$A:$A,계산!$E28,계산!$B:$B,$B$1*100+1))</f>
        <v/>
      </c>
      <c r="D30" s="14">
        <f>IF(원생!$A28="","",SUMIFS(계산!$C:$C,계산!$A:$A,계산!$E28,계산!$B:$B,$B$1*100+2))</f>
        <v/>
      </c>
      <c r="E30" s="14">
        <f>IF(원생!$A28="","",SUMIFS(계산!$C:$C,계산!$A:$A,계산!$E28,계산!$B:$B,$B$1*100+3))</f>
        <v/>
      </c>
      <c r="F30" s="14">
        <f>IF(원생!$A28="","",SUMIFS(계산!$C:$C,계산!$A:$A,계산!$E28,계산!$B:$B,$B$1*100+4))</f>
        <v/>
      </c>
      <c r="G30" s="14">
        <f>IF(원생!$A28="","",SUMIFS(계산!$C:$C,계산!$A:$A,계산!$E28,계산!$B:$B,$B$1*100+5))</f>
        <v/>
      </c>
      <c r="H30" s="14">
        <f>IF(원생!$A28="","",SUMIFS(계산!$C:$C,계산!$A:$A,계산!$E28,계산!$B:$B,$B$1*100+6))</f>
        <v/>
      </c>
      <c r="I30" s="14">
        <f>IF(원생!$A28="","",SUMIFS(계산!$C:$C,계산!$A:$A,계산!$E28,계산!$B:$B,$B$1*100+7))</f>
        <v/>
      </c>
      <c r="J30" s="14">
        <f>IF(원생!$A28="","",SUMIFS(계산!$C:$C,계산!$A:$A,계산!$E28,계산!$B:$B,$B$1*100+8))</f>
        <v/>
      </c>
      <c r="K30" s="14">
        <f>IF(원생!$A28="","",SUMIFS(계산!$C:$C,계산!$A:$A,계산!$E28,계산!$B:$B,$B$1*100+9))</f>
        <v/>
      </c>
      <c r="L30" s="14">
        <f>IF(원생!$A28="","",SUMIFS(계산!$C:$C,계산!$A:$A,계산!$E28,계산!$B:$B,$B$1*100+10))</f>
        <v/>
      </c>
      <c r="M30" s="14">
        <f>IF(원생!$A28="","",SUMIFS(계산!$C:$C,계산!$A:$A,계산!$E28,계산!$B:$B,$B$1*100+11))</f>
        <v/>
      </c>
      <c r="N30" s="14">
        <f>IF(원생!$A28="","",SUMIFS(계산!$C:$C,계산!$A:$A,계산!$E28,계산!$B:$B,$B$1*100+12))</f>
        <v/>
      </c>
      <c r="O30">
        <f>IF(원생!$I28="","",원생!$I28)</f>
        <v/>
      </c>
      <c r="P30">
        <f>IF($A30="","",IF(AND($B30&gt;0,C30&lt;$B30,DATE($B$1,1,1)&lt;=TODAY(),OR($O30="",$O30&gt;=DATE($B$1,1,1)),OR(COUNTIF($C30:C30,"&gt;0")&gt;0,DATE($B$1,1,1)=DATE(YEAR(TODAY()),MONTH(TODAY()),1))),1,0))</f>
        <v/>
      </c>
      <c r="Q30">
        <f>IF($A30="","",IF(AND($B30&gt;0,D30&lt;$B30,DATE($B$1,2,1)&lt;=TODAY(),OR($O30="",$O30&gt;=DATE($B$1,2,1)),OR(COUNTIF($C30:D30,"&gt;0")&gt;0,DATE($B$1,2,1)=DATE(YEAR(TODAY()),MONTH(TODAY()),1))),1,0))</f>
        <v/>
      </c>
      <c r="R30">
        <f>IF($A30="","",IF(AND($B30&gt;0,E30&lt;$B30,DATE($B$1,3,1)&lt;=TODAY(),OR($O30="",$O30&gt;=DATE($B$1,3,1)),OR(COUNTIF($C30:E30,"&gt;0")&gt;0,DATE($B$1,3,1)=DATE(YEAR(TODAY()),MONTH(TODAY()),1))),1,0))</f>
        <v/>
      </c>
      <c r="S30">
        <f>IF($A30="","",IF(AND($B30&gt;0,F30&lt;$B30,DATE($B$1,4,1)&lt;=TODAY(),OR($O30="",$O30&gt;=DATE($B$1,4,1)),OR(COUNTIF($C30:F30,"&gt;0")&gt;0,DATE($B$1,4,1)=DATE(YEAR(TODAY()),MONTH(TODAY()),1))),1,0))</f>
        <v/>
      </c>
      <c r="T30">
        <f>IF($A30="","",IF(AND($B30&gt;0,G30&lt;$B30,DATE($B$1,5,1)&lt;=TODAY(),OR($O30="",$O30&gt;=DATE($B$1,5,1)),OR(COUNTIF($C30:G30,"&gt;0")&gt;0,DATE($B$1,5,1)=DATE(YEAR(TODAY()),MONTH(TODAY()),1))),1,0))</f>
        <v/>
      </c>
      <c r="U30">
        <f>IF($A30="","",IF(AND($B30&gt;0,H30&lt;$B30,DATE($B$1,6,1)&lt;=TODAY(),OR($O30="",$O30&gt;=DATE($B$1,6,1)),OR(COUNTIF($C30:H30,"&gt;0")&gt;0,DATE($B$1,6,1)=DATE(YEAR(TODAY()),MONTH(TODAY()),1))),1,0))</f>
        <v/>
      </c>
      <c r="V30">
        <f>IF($A30="","",IF(AND($B30&gt;0,I30&lt;$B30,DATE($B$1,7,1)&lt;=TODAY(),OR($O30="",$O30&gt;=DATE($B$1,7,1)),OR(COUNTIF($C30:I30,"&gt;0")&gt;0,DATE($B$1,7,1)=DATE(YEAR(TODAY()),MONTH(TODAY()),1))),1,0))</f>
        <v/>
      </c>
      <c r="W30">
        <f>IF($A30="","",IF(AND($B30&gt;0,J30&lt;$B30,DATE($B$1,8,1)&lt;=TODAY(),OR($O30="",$O30&gt;=DATE($B$1,8,1)),OR(COUNTIF($C30:J30,"&gt;0")&gt;0,DATE($B$1,8,1)=DATE(YEAR(TODAY()),MONTH(TODAY()),1))),1,0))</f>
        <v/>
      </c>
      <c r="X30">
        <f>IF($A30="","",IF(AND($B30&gt;0,K30&lt;$B30,DATE($B$1,9,1)&lt;=TODAY(),OR($O30="",$O30&gt;=DATE($B$1,9,1)),OR(COUNTIF($C30:K30,"&gt;0")&gt;0,DATE($B$1,9,1)=DATE(YEAR(TODAY()),MONTH(TODAY()),1))),1,0))</f>
        <v/>
      </c>
      <c r="Y30">
        <f>IF($A30="","",IF(AND($B30&gt;0,L30&lt;$B30,DATE($B$1,10,1)&lt;=TODAY(),OR($O30="",$O30&gt;=DATE($B$1,10,1)),OR(COUNTIF($C30:L30,"&gt;0")&gt;0,DATE($B$1,10,1)=DATE(YEAR(TODAY()),MONTH(TODAY()),1))),1,0))</f>
        <v/>
      </c>
      <c r="Z30">
        <f>IF($A30="","",IF(AND($B30&gt;0,M30&lt;$B30,DATE($B$1,11,1)&lt;=TODAY(),OR($O30="",$O30&gt;=DATE($B$1,11,1)),OR(COUNTIF($C30:M30,"&gt;0")&gt;0,DATE($B$1,11,1)=DATE(YEAR(TODAY()),MONTH(TODAY()),1))),1,0))</f>
        <v/>
      </c>
      <c r="AA30">
        <f>IF($A30="","",IF(AND($B30&gt;0,N30&lt;$B30,DATE($B$1,12,1)&lt;=TODAY(),OR($O30="",$O30&gt;=DATE($B$1,12,1)),OR(COUNTIF($C30:N30,"&gt;0")&gt;0,DATE($B$1,12,1)=DATE(YEAR(TODAY()),MONTH(TODAY()),1))),1,0))</f>
        <v/>
      </c>
    </row>
    <row r="31">
      <c r="A31" s="13">
        <f>IF(원생!$A29="","",원생!$A29&amp;IF(원생!$G29="",""," ("&amp;원생!$G29&amp;")"))</f>
        <v/>
      </c>
      <c r="B31" s="8">
        <f>IF(원생!$A29="","",N(원생!$F29))</f>
        <v/>
      </c>
      <c r="C31" s="14">
        <f>IF(원생!$A29="","",SUMIFS(계산!$C:$C,계산!$A:$A,계산!$E29,계산!$B:$B,$B$1*100+1))</f>
        <v/>
      </c>
      <c r="D31" s="14">
        <f>IF(원생!$A29="","",SUMIFS(계산!$C:$C,계산!$A:$A,계산!$E29,계산!$B:$B,$B$1*100+2))</f>
        <v/>
      </c>
      <c r="E31" s="14">
        <f>IF(원생!$A29="","",SUMIFS(계산!$C:$C,계산!$A:$A,계산!$E29,계산!$B:$B,$B$1*100+3))</f>
        <v/>
      </c>
      <c r="F31" s="14">
        <f>IF(원생!$A29="","",SUMIFS(계산!$C:$C,계산!$A:$A,계산!$E29,계산!$B:$B,$B$1*100+4))</f>
        <v/>
      </c>
      <c r="G31" s="14">
        <f>IF(원생!$A29="","",SUMIFS(계산!$C:$C,계산!$A:$A,계산!$E29,계산!$B:$B,$B$1*100+5))</f>
        <v/>
      </c>
      <c r="H31" s="14">
        <f>IF(원생!$A29="","",SUMIFS(계산!$C:$C,계산!$A:$A,계산!$E29,계산!$B:$B,$B$1*100+6))</f>
        <v/>
      </c>
      <c r="I31" s="14">
        <f>IF(원생!$A29="","",SUMIFS(계산!$C:$C,계산!$A:$A,계산!$E29,계산!$B:$B,$B$1*100+7))</f>
        <v/>
      </c>
      <c r="J31" s="14">
        <f>IF(원생!$A29="","",SUMIFS(계산!$C:$C,계산!$A:$A,계산!$E29,계산!$B:$B,$B$1*100+8))</f>
        <v/>
      </c>
      <c r="K31" s="14">
        <f>IF(원생!$A29="","",SUMIFS(계산!$C:$C,계산!$A:$A,계산!$E29,계산!$B:$B,$B$1*100+9))</f>
        <v/>
      </c>
      <c r="L31" s="14">
        <f>IF(원생!$A29="","",SUMIFS(계산!$C:$C,계산!$A:$A,계산!$E29,계산!$B:$B,$B$1*100+10))</f>
        <v/>
      </c>
      <c r="M31" s="14">
        <f>IF(원생!$A29="","",SUMIFS(계산!$C:$C,계산!$A:$A,계산!$E29,계산!$B:$B,$B$1*100+11))</f>
        <v/>
      </c>
      <c r="N31" s="14">
        <f>IF(원생!$A29="","",SUMIFS(계산!$C:$C,계산!$A:$A,계산!$E29,계산!$B:$B,$B$1*100+12))</f>
        <v/>
      </c>
      <c r="O31">
        <f>IF(원생!$I29="","",원생!$I29)</f>
        <v/>
      </c>
      <c r="P31">
        <f>IF($A31="","",IF(AND($B31&gt;0,C31&lt;$B31,DATE($B$1,1,1)&lt;=TODAY(),OR($O31="",$O31&gt;=DATE($B$1,1,1)),OR(COUNTIF($C31:C31,"&gt;0")&gt;0,DATE($B$1,1,1)=DATE(YEAR(TODAY()),MONTH(TODAY()),1))),1,0))</f>
        <v/>
      </c>
      <c r="Q31">
        <f>IF($A31="","",IF(AND($B31&gt;0,D31&lt;$B31,DATE($B$1,2,1)&lt;=TODAY(),OR($O31="",$O31&gt;=DATE($B$1,2,1)),OR(COUNTIF($C31:D31,"&gt;0")&gt;0,DATE($B$1,2,1)=DATE(YEAR(TODAY()),MONTH(TODAY()),1))),1,0))</f>
        <v/>
      </c>
      <c r="R31">
        <f>IF($A31="","",IF(AND($B31&gt;0,E31&lt;$B31,DATE($B$1,3,1)&lt;=TODAY(),OR($O31="",$O31&gt;=DATE($B$1,3,1)),OR(COUNTIF($C31:E31,"&gt;0")&gt;0,DATE($B$1,3,1)=DATE(YEAR(TODAY()),MONTH(TODAY()),1))),1,0))</f>
        <v/>
      </c>
      <c r="S31">
        <f>IF($A31="","",IF(AND($B31&gt;0,F31&lt;$B31,DATE($B$1,4,1)&lt;=TODAY(),OR($O31="",$O31&gt;=DATE($B$1,4,1)),OR(COUNTIF($C31:F31,"&gt;0")&gt;0,DATE($B$1,4,1)=DATE(YEAR(TODAY()),MONTH(TODAY()),1))),1,0))</f>
        <v/>
      </c>
      <c r="T31">
        <f>IF($A31="","",IF(AND($B31&gt;0,G31&lt;$B31,DATE($B$1,5,1)&lt;=TODAY(),OR($O31="",$O31&gt;=DATE($B$1,5,1)),OR(COUNTIF($C31:G31,"&gt;0")&gt;0,DATE($B$1,5,1)=DATE(YEAR(TODAY()),MONTH(TODAY()),1))),1,0))</f>
        <v/>
      </c>
      <c r="U31">
        <f>IF($A31="","",IF(AND($B31&gt;0,H31&lt;$B31,DATE($B$1,6,1)&lt;=TODAY(),OR($O31="",$O31&gt;=DATE($B$1,6,1)),OR(COUNTIF($C31:H31,"&gt;0")&gt;0,DATE($B$1,6,1)=DATE(YEAR(TODAY()),MONTH(TODAY()),1))),1,0))</f>
        <v/>
      </c>
      <c r="V31">
        <f>IF($A31="","",IF(AND($B31&gt;0,I31&lt;$B31,DATE($B$1,7,1)&lt;=TODAY(),OR($O31="",$O31&gt;=DATE($B$1,7,1)),OR(COUNTIF($C31:I31,"&gt;0")&gt;0,DATE($B$1,7,1)=DATE(YEAR(TODAY()),MONTH(TODAY()),1))),1,0))</f>
        <v/>
      </c>
      <c r="W31">
        <f>IF($A31="","",IF(AND($B31&gt;0,J31&lt;$B31,DATE($B$1,8,1)&lt;=TODAY(),OR($O31="",$O31&gt;=DATE($B$1,8,1)),OR(COUNTIF($C31:J31,"&gt;0")&gt;0,DATE($B$1,8,1)=DATE(YEAR(TODAY()),MONTH(TODAY()),1))),1,0))</f>
        <v/>
      </c>
      <c r="X31">
        <f>IF($A31="","",IF(AND($B31&gt;0,K31&lt;$B31,DATE($B$1,9,1)&lt;=TODAY(),OR($O31="",$O31&gt;=DATE($B$1,9,1)),OR(COUNTIF($C31:K31,"&gt;0")&gt;0,DATE($B$1,9,1)=DATE(YEAR(TODAY()),MONTH(TODAY()),1))),1,0))</f>
        <v/>
      </c>
      <c r="Y31">
        <f>IF($A31="","",IF(AND($B31&gt;0,L31&lt;$B31,DATE($B$1,10,1)&lt;=TODAY(),OR($O31="",$O31&gt;=DATE($B$1,10,1)),OR(COUNTIF($C31:L31,"&gt;0")&gt;0,DATE($B$1,10,1)=DATE(YEAR(TODAY()),MONTH(TODAY()),1))),1,0))</f>
        <v/>
      </c>
      <c r="Z31">
        <f>IF($A31="","",IF(AND($B31&gt;0,M31&lt;$B31,DATE($B$1,11,1)&lt;=TODAY(),OR($O31="",$O31&gt;=DATE($B$1,11,1)),OR(COUNTIF($C31:M31,"&gt;0")&gt;0,DATE($B$1,11,1)=DATE(YEAR(TODAY()),MONTH(TODAY()),1))),1,0))</f>
        <v/>
      </c>
      <c r="AA31">
        <f>IF($A31="","",IF(AND($B31&gt;0,N31&lt;$B31,DATE($B$1,12,1)&lt;=TODAY(),OR($O31="",$O31&gt;=DATE($B$1,12,1)),OR(COUNTIF($C31:N31,"&gt;0")&gt;0,DATE($B$1,12,1)=DATE(YEAR(TODAY()),MONTH(TODAY()),1))),1,0))</f>
        <v/>
      </c>
    </row>
    <row r="32">
      <c r="A32" s="13">
        <f>IF(원생!$A30="","",원생!$A30&amp;IF(원생!$G30="",""," ("&amp;원생!$G30&amp;")"))</f>
        <v/>
      </c>
      <c r="B32" s="8">
        <f>IF(원생!$A30="","",N(원생!$F30))</f>
        <v/>
      </c>
      <c r="C32" s="14">
        <f>IF(원생!$A30="","",SUMIFS(계산!$C:$C,계산!$A:$A,계산!$E30,계산!$B:$B,$B$1*100+1))</f>
        <v/>
      </c>
      <c r="D32" s="14">
        <f>IF(원생!$A30="","",SUMIFS(계산!$C:$C,계산!$A:$A,계산!$E30,계산!$B:$B,$B$1*100+2))</f>
        <v/>
      </c>
      <c r="E32" s="14">
        <f>IF(원생!$A30="","",SUMIFS(계산!$C:$C,계산!$A:$A,계산!$E30,계산!$B:$B,$B$1*100+3))</f>
        <v/>
      </c>
      <c r="F32" s="14">
        <f>IF(원생!$A30="","",SUMIFS(계산!$C:$C,계산!$A:$A,계산!$E30,계산!$B:$B,$B$1*100+4))</f>
        <v/>
      </c>
      <c r="G32" s="14">
        <f>IF(원생!$A30="","",SUMIFS(계산!$C:$C,계산!$A:$A,계산!$E30,계산!$B:$B,$B$1*100+5))</f>
        <v/>
      </c>
      <c r="H32" s="14">
        <f>IF(원생!$A30="","",SUMIFS(계산!$C:$C,계산!$A:$A,계산!$E30,계산!$B:$B,$B$1*100+6))</f>
        <v/>
      </c>
      <c r="I32" s="14">
        <f>IF(원생!$A30="","",SUMIFS(계산!$C:$C,계산!$A:$A,계산!$E30,계산!$B:$B,$B$1*100+7))</f>
        <v/>
      </c>
      <c r="J32" s="14">
        <f>IF(원생!$A30="","",SUMIFS(계산!$C:$C,계산!$A:$A,계산!$E30,계산!$B:$B,$B$1*100+8))</f>
        <v/>
      </c>
      <c r="K32" s="14">
        <f>IF(원생!$A30="","",SUMIFS(계산!$C:$C,계산!$A:$A,계산!$E30,계산!$B:$B,$B$1*100+9))</f>
        <v/>
      </c>
      <c r="L32" s="14">
        <f>IF(원생!$A30="","",SUMIFS(계산!$C:$C,계산!$A:$A,계산!$E30,계산!$B:$B,$B$1*100+10))</f>
        <v/>
      </c>
      <c r="M32" s="14">
        <f>IF(원생!$A30="","",SUMIFS(계산!$C:$C,계산!$A:$A,계산!$E30,계산!$B:$B,$B$1*100+11))</f>
        <v/>
      </c>
      <c r="N32" s="14">
        <f>IF(원생!$A30="","",SUMIFS(계산!$C:$C,계산!$A:$A,계산!$E30,계산!$B:$B,$B$1*100+12))</f>
        <v/>
      </c>
      <c r="O32">
        <f>IF(원생!$I30="","",원생!$I30)</f>
        <v/>
      </c>
      <c r="P32">
        <f>IF($A32="","",IF(AND($B32&gt;0,C32&lt;$B32,DATE($B$1,1,1)&lt;=TODAY(),OR($O32="",$O32&gt;=DATE($B$1,1,1)),OR(COUNTIF($C32:C32,"&gt;0")&gt;0,DATE($B$1,1,1)=DATE(YEAR(TODAY()),MONTH(TODAY()),1))),1,0))</f>
        <v/>
      </c>
      <c r="Q32">
        <f>IF($A32="","",IF(AND($B32&gt;0,D32&lt;$B32,DATE($B$1,2,1)&lt;=TODAY(),OR($O32="",$O32&gt;=DATE($B$1,2,1)),OR(COUNTIF($C32:D32,"&gt;0")&gt;0,DATE($B$1,2,1)=DATE(YEAR(TODAY()),MONTH(TODAY()),1))),1,0))</f>
        <v/>
      </c>
      <c r="R32">
        <f>IF($A32="","",IF(AND($B32&gt;0,E32&lt;$B32,DATE($B$1,3,1)&lt;=TODAY(),OR($O32="",$O32&gt;=DATE($B$1,3,1)),OR(COUNTIF($C32:E32,"&gt;0")&gt;0,DATE($B$1,3,1)=DATE(YEAR(TODAY()),MONTH(TODAY()),1))),1,0))</f>
        <v/>
      </c>
      <c r="S32">
        <f>IF($A32="","",IF(AND($B32&gt;0,F32&lt;$B32,DATE($B$1,4,1)&lt;=TODAY(),OR($O32="",$O32&gt;=DATE($B$1,4,1)),OR(COUNTIF($C32:F32,"&gt;0")&gt;0,DATE($B$1,4,1)=DATE(YEAR(TODAY()),MONTH(TODAY()),1))),1,0))</f>
        <v/>
      </c>
      <c r="T32">
        <f>IF($A32="","",IF(AND($B32&gt;0,G32&lt;$B32,DATE($B$1,5,1)&lt;=TODAY(),OR($O32="",$O32&gt;=DATE($B$1,5,1)),OR(COUNTIF($C32:G32,"&gt;0")&gt;0,DATE($B$1,5,1)=DATE(YEAR(TODAY()),MONTH(TODAY()),1))),1,0))</f>
        <v/>
      </c>
      <c r="U32">
        <f>IF($A32="","",IF(AND($B32&gt;0,H32&lt;$B32,DATE($B$1,6,1)&lt;=TODAY(),OR($O32="",$O32&gt;=DATE($B$1,6,1)),OR(COUNTIF($C32:H32,"&gt;0")&gt;0,DATE($B$1,6,1)=DATE(YEAR(TODAY()),MONTH(TODAY()),1))),1,0))</f>
        <v/>
      </c>
      <c r="V32">
        <f>IF($A32="","",IF(AND($B32&gt;0,I32&lt;$B32,DATE($B$1,7,1)&lt;=TODAY(),OR($O32="",$O32&gt;=DATE($B$1,7,1)),OR(COUNTIF($C32:I32,"&gt;0")&gt;0,DATE($B$1,7,1)=DATE(YEAR(TODAY()),MONTH(TODAY()),1))),1,0))</f>
        <v/>
      </c>
      <c r="W32">
        <f>IF($A32="","",IF(AND($B32&gt;0,J32&lt;$B32,DATE($B$1,8,1)&lt;=TODAY(),OR($O32="",$O32&gt;=DATE($B$1,8,1)),OR(COUNTIF($C32:J32,"&gt;0")&gt;0,DATE($B$1,8,1)=DATE(YEAR(TODAY()),MONTH(TODAY()),1))),1,0))</f>
        <v/>
      </c>
      <c r="X32">
        <f>IF($A32="","",IF(AND($B32&gt;0,K32&lt;$B32,DATE($B$1,9,1)&lt;=TODAY(),OR($O32="",$O32&gt;=DATE($B$1,9,1)),OR(COUNTIF($C32:K32,"&gt;0")&gt;0,DATE($B$1,9,1)=DATE(YEAR(TODAY()),MONTH(TODAY()),1))),1,0))</f>
        <v/>
      </c>
      <c r="Y32">
        <f>IF($A32="","",IF(AND($B32&gt;0,L32&lt;$B32,DATE($B$1,10,1)&lt;=TODAY(),OR($O32="",$O32&gt;=DATE($B$1,10,1)),OR(COUNTIF($C32:L32,"&gt;0")&gt;0,DATE($B$1,10,1)=DATE(YEAR(TODAY()),MONTH(TODAY()),1))),1,0))</f>
        <v/>
      </c>
      <c r="Z32">
        <f>IF($A32="","",IF(AND($B32&gt;0,M32&lt;$B32,DATE($B$1,11,1)&lt;=TODAY(),OR($O32="",$O32&gt;=DATE($B$1,11,1)),OR(COUNTIF($C32:M32,"&gt;0")&gt;0,DATE($B$1,11,1)=DATE(YEAR(TODAY()),MONTH(TODAY()),1))),1,0))</f>
        <v/>
      </c>
      <c r="AA32">
        <f>IF($A32="","",IF(AND($B32&gt;0,N32&lt;$B32,DATE($B$1,12,1)&lt;=TODAY(),OR($O32="",$O32&gt;=DATE($B$1,12,1)),OR(COUNTIF($C32:N32,"&gt;0")&gt;0,DATE($B$1,12,1)=DATE(YEAR(TODAY()),MONTH(TODAY()),1))),1,0))</f>
        <v/>
      </c>
    </row>
    <row r="33">
      <c r="A33" s="13">
        <f>IF(원생!$A31="","",원생!$A31&amp;IF(원생!$G31="",""," ("&amp;원생!$G31&amp;")"))</f>
        <v/>
      </c>
      <c r="B33" s="8">
        <f>IF(원생!$A31="","",N(원생!$F31))</f>
        <v/>
      </c>
      <c r="C33" s="14">
        <f>IF(원생!$A31="","",SUMIFS(계산!$C:$C,계산!$A:$A,계산!$E31,계산!$B:$B,$B$1*100+1))</f>
        <v/>
      </c>
      <c r="D33" s="14">
        <f>IF(원생!$A31="","",SUMIFS(계산!$C:$C,계산!$A:$A,계산!$E31,계산!$B:$B,$B$1*100+2))</f>
        <v/>
      </c>
      <c r="E33" s="14">
        <f>IF(원생!$A31="","",SUMIFS(계산!$C:$C,계산!$A:$A,계산!$E31,계산!$B:$B,$B$1*100+3))</f>
        <v/>
      </c>
      <c r="F33" s="14">
        <f>IF(원생!$A31="","",SUMIFS(계산!$C:$C,계산!$A:$A,계산!$E31,계산!$B:$B,$B$1*100+4))</f>
        <v/>
      </c>
      <c r="G33" s="14">
        <f>IF(원생!$A31="","",SUMIFS(계산!$C:$C,계산!$A:$A,계산!$E31,계산!$B:$B,$B$1*100+5))</f>
        <v/>
      </c>
      <c r="H33" s="14">
        <f>IF(원생!$A31="","",SUMIFS(계산!$C:$C,계산!$A:$A,계산!$E31,계산!$B:$B,$B$1*100+6))</f>
        <v/>
      </c>
      <c r="I33" s="14">
        <f>IF(원생!$A31="","",SUMIFS(계산!$C:$C,계산!$A:$A,계산!$E31,계산!$B:$B,$B$1*100+7))</f>
        <v/>
      </c>
      <c r="J33" s="14">
        <f>IF(원생!$A31="","",SUMIFS(계산!$C:$C,계산!$A:$A,계산!$E31,계산!$B:$B,$B$1*100+8))</f>
        <v/>
      </c>
      <c r="K33" s="14">
        <f>IF(원생!$A31="","",SUMIFS(계산!$C:$C,계산!$A:$A,계산!$E31,계산!$B:$B,$B$1*100+9))</f>
        <v/>
      </c>
      <c r="L33" s="14">
        <f>IF(원생!$A31="","",SUMIFS(계산!$C:$C,계산!$A:$A,계산!$E31,계산!$B:$B,$B$1*100+10))</f>
        <v/>
      </c>
      <c r="M33" s="14">
        <f>IF(원생!$A31="","",SUMIFS(계산!$C:$C,계산!$A:$A,계산!$E31,계산!$B:$B,$B$1*100+11))</f>
        <v/>
      </c>
      <c r="N33" s="14">
        <f>IF(원생!$A31="","",SUMIFS(계산!$C:$C,계산!$A:$A,계산!$E31,계산!$B:$B,$B$1*100+12))</f>
        <v/>
      </c>
      <c r="O33">
        <f>IF(원생!$I31="","",원생!$I31)</f>
        <v/>
      </c>
      <c r="P33">
        <f>IF($A33="","",IF(AND($B33&gt;0,C33&lt;$B33,DATE($B$1,1,1)&lt;=TODAY(),OR($O33="",$O33&gt;=DATE($B$1,1,1)),OR(COUNTIF($C33:C33,"&gt;0")&gt;0,DATE($B$1,1,1)=DATE(YEAR(TODAY()),MONTH(TODAY()),1))),1,0))</f>
        <v/>
      </c>
      <c r="Q33">
        <f>IF($A33="","",IF(AND($B33&gt;0,D33&lt;$B33,DATE($B$1,2,1)&lt;=TODAY(),OR($O33="",$O33&gt;=DATE($B$1,2,1)),OR(COUNTIF($C33:D33,"&gt;0")&gt;0,DATE($B$1,2,1)=DATE(YEAR(TODAY()),MONTH(TODAY()),1))),1,0))</f>
        <v/>
      </c>
      <c r="R33">
        <f>IF($A33="","",IF(AND($B33&gt;0,E33&lt;$B33,DATE($B$1,3,1)&lt;=TODAY(),OR($O33="",$O33&gt;=DATE($B$1,3,1)),OR(COUNTIF($C33:E33,"&gt;0")&gt;0,DATE($B$1,3,1)=DATE(YEAR(TODAY()),MONTH(TODAY()),1))),1,0))</f>
        <v/>
      </c>
      <c r="S33">
        <f>IF($A33="","",IF(AND($B33&gt;0,F33&lt;$B33,DATE($B$1,4,1)&lt;=TODAY(),OR($O33="",$O33&gt;=DATE($B$1,4,1)),OR(COUNTIF($C33:F33,"&gt;0")&gt;0,DATE($B$1,4,1)=DATE(YEAR(TODAY()),MONTH(TODAY()),1))),1,0))</f>
        <v/>
      </c>
      <c r="T33">
        <f>IF($A33="","",IF(AND($B33&gt;0,G33&lt;$B33,DATE($B$1,5,1)&lt;=TODAY(),OR($O33="",$O33&gt;=DATE($B$1,5,1)),OR(COUNTIF($C33:G33,"&gt;0")&gt;0,DATE($B$1,5,1)=DATE(YEAR(TODAY()),MONTH(TODAY()),1))),1,0))</f>
        <v/>
      </c>
      <c r="U33">
        <f>IF($A33="","",IF(AND($B33&gt;0,H33&lt;$B33,DATE($B$1,6,1)&lt;=TODAY(),OR($O33="",$O33&gt;=DATE($B$1,6,1)),OR(COUNTIF($C33:H33,"&gt;0")&gt;0,DATE($B$1,6,1)=DATE(YEAR(TODAY()),MONTH(TODAY()),1))),1,0))</f>
        <v/>
      </c>
      <c r="V33">
        <f>IF($A33="","",IF(AND($B33&gt;0,I33&lt;$B33,DATE($B$1,7,1)&lt;=TODAY(),OR($O33="",$O33&gt;=DATE($B$1,7,1)),OR(COUNTIF($C33:I33,"&gt;0")&gt;0,DATE($B$1,7,1)=DATE(YEAR(TODAY()),MONTH(TODAY()),1))),1,0))</f>
        <v/>
      </c>
      <c r="W33">
        <f>IF($A33="","",IF(AND($B33&gt;0,J33&lt;$B33,DATE($B$1,8,1)&lt;=TODAY(),OR($O33="",$O33&gt;=DATE($B$1,8,1)),OR(COUNTIF($C33:J33,"&gt;0")&gt;0,DATE($B$1,8,1)=DATE(YEAR(TODAY()),MONTH(TODAY()),1))),1,0))</f>
        <v/>
      </c>
      <c r="X33">
        <f>IF($A33="","",IF(AND($B33&gt;0,K33&lt;$B33,DATE($B$1,9,1)&lt;=TODAY(),OR($O33="",$O33&gt;=DATE($B$1,9,1)),OR(COUNTIF($C33:K33,"&gt;0")&gt;0,DATE($B$1,9,1)=DATE(YEAR(TODAY()),MONTH(TODAY()),1))),1,0))</f>
        <v/>
      </c>
      <c r="Y33">
        <f>IF($A33="","",IF(AND($B33&gt;0,L33&lt;$B33,DATE($B$1,10,1)&lt;=TODAY(),OR($O33="",$O33&gt;=DATE($B$1,10,1)),OR(COUNTIF($C33:L33,"&gt;0")&gt;0,DATE($B$1,10,1)=DATE(YEAR(TODAY()),MONTH(TODAY()),1))),1,0))</f>
        <v/>
      </c>
      <c r="Z33">
        <f>IF($A33="","",IF(AND($B33&gt;0,M33&lt;$B33,DATE($B$1,11,1)&lt;=TODAY(),OR($O33="",$O33&gt;=DATE($B$1,11,1)),OR(COUNTIF($C33:M33,"&gt;0")&gt;0,DATE($B$1,11,1)=DATE(YEAR(TODAY()),MONTH(TODAY()),1))),1,0))</f>
        <v/>
      </c>
      <c r="AA33">
        <f>IF($A33="","",IF(AND($B33&gt;0,N33&lt;$B33,DATE($B$1,12,1)&lt;=TODAY(),OR($O33="",$O33&gt;=DATE($B$1,12,1)),OR(COUNTIF($C33:N33,"&gt;0")&gt;0,DATE($B$1,12,1)=DATE(YEAR(TODAY()),MONTH(TODAY()),1))),1,0))</f>
        <v/>
      </c>
    </row>
    <row r="34">
      <c r="A34" s="13">
        <f>IF(원생!$A32="","",원생!$A32&amp;IF(원생!$G32="",""," ("&amp;원생!$G32&amp;")"))</f>
        <v/>
      </c>
      <c r="B34" s="8">
        <f>IF(원생!$A32="","",N(원생!$F32))</f>
        <v/>
      </c>
      <c r="C34" s="14">
        <f>IF(원생!$A32="","",SUMIFS(계산!$C:$C,계산!$A:$A,계산!$E32,계산!$B:$B,$B$1*100+1))</f>
        <v/>
      </c>
      <c r="D34" s="14">
        <f>IF(원생!$A32="","",SUMIFS(계산!$C:$C,계산!$A:$A,계산!$E32,계산!$B:$B,$B$1*100+2))</f>
        <v/>
      </c>
      <c r="E34" s="14">
        <f>IF(원생!$A32="","",SUMIFS(계산!$C:$C,계산!$A:$A,계산!$E32,계산!$B:$B,$B$1*100+3))</f>
        <v/>
      </c>
      <c r="F34" s="14">
        <f>IF(원생!$A32="","",SUMIFS(계산!$C:$C,계산!$A:$A,계산!$E32,계산!$B:$B,$B$1*100+4))</f>
        <v/>
      </c>
      <c r="G34" s="14">
        <f>IF(원생!$A32="","",SUMIFS(계산!$C:$C,계산!$A:$A,계산!$E32,계산!$B:$B,$B$1*100+5))</f>
        <v/>
      </c>
      <c r="H34" s="14">
        <f>IF(원생!$A32="","",SUMIFS(계산!$C:$C,계산!$A:$A,계산!$E32,계산!$B:$B,$B$1*100+6))</f>
        <v/>
      </c>
      <c r="I34" s="14">
        <f>IF(원생!$A32="","",SUMIFS(계산!$C:$C,계산!$A:$A,계산!$E32,계산!$B:$B,$B$1*100+7))</f>
        <v/>
      </c>
      <c r="J34" s="14">
        <f>IF(원생!$A32="","",SUMIFS(계산!$C:$C,계산!$A:$A,계산!$E32,계산!$B:$B,$B$1*100+8))</f>
        <v/>
      </c>
      <c r="K34" s="14">
        <f>IF(원생!$A32="","",SUMIFS(계산!$C:$C,계산!$A:$A,계산!$E32,계산!$B:$B,$B$1*100+9))</f>
        <v/>
      </c>
      <c r="L34" s="14">
        <f>IF(원생!$A32="","",SUMIFS(계산!$C:$C,계산!$A:$A,계산!$E32,계산!$B:$B,$B$1*100+10))</f>
        <v/>
      </c>
      <c r="M34" s="14">
        <f>IF(원생!$A32="","",SUMIFS(계산!$C:$C,계산!$A:$A,계산!$E32,계산!$B:$B,$B$1*100+11))</f>
        <v/>
      </c>
      <c r="N34" s="14">
        <f>IF(원생!$A32="","",SUMIFS(계산!$C:$C,계산!$A:$A,계산!$E32,계산!$B:$B,$B$1*100+12))</f>
        <v/>
      </c>
      <c r="O34">
        <f>IF(원생!$I32="","",원생!$I32)</f>
        <v/>
      </c>
      <c r="P34">
        <f>IF($A34="","",IF(AND($B34&gt;0,C34&lt;$B34,DATE($B$1,1,1)&lt;=TODAY(),OR($O34="",$O34&gt;=DATE($B$1,1,1)),OR(COUNTIF($C34:C34,"&gt;0")&gt;0,DATE($B$1,1,1)=DATE(YEAR(TODAY()),MONTH(TODAY()),1))),1,0))</f>
        <v/>
      </c>
      <c r="Q34">
        <f>IF($A34="","",IF(AND($B34&gt;0,D34&lt;$B34,DATE($B$1,2,1)&lt;=TODAY(),OR($O34="",$O34&gt;=DATE($B$1,2,1)),OR(COUNTIF($C34:D34,"&gt;0")&gt;0,DATE($B$1,2,1)=DATE(YEAR(TODAY()),MONTH(TODAY()),1))),1,0))</f>
        <v/>
      </c>
      <c r="R34">
        <f>IF($A34="","",IF(AND($B34&gt;0,E34&lt;$B34,DATE($B$1,3,1)&lt;=TODAY(),OR($O34="",$O34&gt;=DATE($B$1,3,1)),OR(COUNTIF($C34:E34,"&gt;0")&gt;0,DATE($B$1,3,1)=DATE(YEAR(TODAY()),MONTH(TODAY()),1))),1,0))</f>
        <v/>
      </c>
      <c r="S34">
        <f>IF($A34="","",IF(AND($B34&gt;0,F34&lt;$B34,DATE($B$1,4,1)&lt;=TODAY(),OR($O34="",$O34&gt;=DATE($B$1,4,1)),OR(COUNTIF($C34:F34,"&gt;0")&gt;0,DATE($B$1,4,1)=DATE(YEAR(TODAY()),MONTH(TODAY()),1))),1,0))</f>
        <v/>
      </c>
      <c r="T34">
        <f>IF($A34="","",IF(AND($B34&gt;0,G34&lt;$B34,DATE($B$1,5,1)&lt;=TODAY(),OR($O34="",$O34&gt;=DATE($B$1,5,1)),OR(COUNTIF($C34:G34,"&gt;0")&gt;0,DATE($B$1,5,1)=DATE(YEAR(TODAY()),MONTH(TODAY()),1))),1,0))</f>
        <v/>
      </c>
      <c r="U34">
        <f>IF($A34="","",IF(AND($B34&gt;0,H34&lt;$B34,DATE($B$1,6,1)&lt;=TODAY(),OR($O34="",$O34&gt;=DATE($B$1,6,1)),OR(COUNTIF($C34:H34,"&gt;0")&gt;0,DATE($B$1,6,1)=DATE(YEAR(TODAY()),MONTH(TODAY()),1))),1,0))</f>
        <v/>
      </c>
      <c r="V34">
        <f>IF($A34="","",IF(AND($B34&gt;0,I34&lt;$B34,DATE($B$1,7,1)&lt;=TODAY(),OR($O34="",$O34&gt;=DATE($B$1,7,1)),OR(COUNTIF($C34:I34,"&gt;0")&gt;0,DATE($B$1,7,1)=DATE(YEAR(TODAY()),MONTH(TODAY()),1))),1,0))</f>
        <v/>
      </c>
      <c r="W34">
        <f>IF($A34="","",IF(AND($B34&gt;0,J34&lt;$B34,DATE($B$1,8,1)&lt;=TODAY(),OR($O34="",$O34&gt;=DATE($B$1,8,1)),OR(COUNTIF($C34:J34,"&gt;0")&gt;0,DATE($B$1,8,1)=DATE(YEAR(TODAY()),MONTH(TODAY()),1))),1,0))</f>
        <v/>
      </c>
      <c r="X34">
        <f>IF($A34="","",IF(AND($B34&gt;0,K34&lt;$B34,DATE($B$1,9,1)&lt;=TODAY(),OR($O34="",$O34&gt;=DATE($B$1,9,1)),OR(COUNTIF($C34:K34,"&gt;0")&gt;0,DATE($B$1,9,1)=DATE(YEAR(TODAY()),MONTH(TODAY()),1))),1,0))</f>
        <v/>
      </c>
      <c r="Y34">
        <f>IF($A34="","",IF(AND($B34&gt;0,L34&lt;$B34,DATE($B$1,10,1)&lt;=TODAY(),OR($O34="",$O34&gt;=DATE($B$1,10,1)),OR(COUNTIF($C34:L34,"&gt;0")&gt;0,DATE($B$1,10,1)=DATE(YEAR(TODAY()),MONTH(TODAY()),1))),1,0))</f>
        <v/>
      </c>
      <c r="Z34">
        <f>IF($A34="","",IF(AND($B34&gt;0,M34&lt;$B34,DATE($B$1,11,1)&lt;=TODAY(),OR($O34="",$O34&gt;=DATE($B$1,11,1)),OR(COUNTIF($C34:M34,"&gt;0")&gt;0,DATE($B$1,11,1)=DATE(YEAR(TODAY()),MONTH(TODAY()),1))),1,0))</f>
        <v/>
      </c>
      <c r="AA34">
        <f>IF($A34="","",IF(AND($B34&gt;0,N34&lt;$B34,DATE($B$1,12,1)&lt;=TODAY(),OR($O34="",$O34&gt;=DATE($B$1,12,1)),OR(COUNTIF($C34:N34,"&gt;0")&gt;0,DATE($B$1,12,1)=DATE(YEAR(TODAY()),MONTH(TODAY()),1))),1,0))</f>
        <v/>
      </c>
    </row>
    <row r="35">
      <c r="A35" s="13">
        <f>IF(원생!$A33="","",원생!$A33&amp;IF(원생!$G33="",""," ("&amp;원생!$G33&amp;")"))</f>
        <v/>
      </c>
      <c r="B35" s="8">
        <f>IF(원생!$A33="","",N(원생!$F33))</f>
        <v/>
      </c>
      <c r="C35" s="14">
        <f>IF(원생!$A33="","",SUMIFS(계산!$C:$C,계산!$A:$A,계산!$E33,계산!$B:$B,$B$1*100+1))</f>
        <v/>
      </c>
      <c r="D35" s="14">
        <f>IF(원생!$A33="","",SUMIFS(계산!$C:$C,계산!$A:$A,계산!$E33,계산!$B:$B,$B$1*100+2))</f>
        <v/>
      </c>
      <c r="E35" s="14">
        <f>IF(원생!$A33="","",SUMIFS(계산!$C:$C,계산!$A:$A,계산!$E33,계산!$B:$B,$B$1*100+3))</f>
        <v/>
      </c>
      <c r="F35" s="14">
        <f>IF(원생!$A33="","",SUMIFS(계산!$C:$C,계산!$A:$A,계산!$E33,계산!$B:$B,$B$1*100+4))</f>
        <v/>
      </c>
      <c r="G35" s="14">
        <f>IF(원생!$A33="","",SUMIFS(계산!$C:$C,계산!$A:$A,계산!$E33,계산!$B:$B,$B$1*100+5))</f>
        <v/>
      </c>
      <c r="H35" s="14">
        <f>IF(원생!$A33="","",SUMIFS(계산!$C:$C,계산!$A:$A,계산!$E33,계산!$B:$B,$B$1*100+6))</f>
        <v/>
      </c>
      <c r="I35" s="14">
        <f>IF(원생!$A33="","",SUMIFS(계산!$C:$C,계산!$A:$A,계산!$E33,계산!$B:$B,$B$1*100+7))</f>
        <v/>
      </c>
      <c r="J35" s="14">
        <f>IF(원생!$A33="","",SUMIFS(계산!$C:$C,계산!$A:$A,계산!$E33,계산!$B:$B,$B$1*100+8))</f>
        <v/>
      </c>
      <c r="K35" s="14">
        <f>IF(원생!$A33="","",SUMIFS(계산!$C:$C,계산!$A:$A,계산!$E33,계산!$B:$B,$B$1*100+9))</f>
        <v/>
      </c>
      <c r="L35" s="14">
        <f>IF(원생!$A33="","",SUMIFS(계산!$C:$C,계산!$A:$A,계산!$E33,계산!$B:$B,$B$1*100+10))</f>
        <v/>
      </c>
      <c r="M35" s="14">
        <f>IF(원생!$A33="","",SUMIFS(계산!$C:$C,계산!$A:$A,계산!$E33,계산!$B:$B,$B$1*100+11))</f>
        <v/>
      </c>
      <c r="N35" s="14">
        <f>IF(원생!$A33="","",SUMIFS(계산!$C:$C,계산!$A:$A,계산!$E33,계산!$B:$B,$B$1*100+12))</f>
        <v/>
      </c>
      <c r="O35">
        <f>IF(원생!$I33="","",원생!$I33)</f>
        <v/>
      </c>
      <c r="P35">
        <f>IF($A35="","",IF(AND($B35&gt;0,C35&lt;$B35,DATE($B$1,1,1)&lt;=TODAY(),OR($O35="",$O35&gt;=DATE($B$1,1,1)),OR(COUNTIF($C35:C35,"&gt;0")&gt;0,DATE($B$1,1,1)=DATE(YEAR(TODAY()),MONTH(TODAY()),1))),1,0))</f>
        <v/>
      </c>
      <c r="Q35">
        <f>IF($A35="","",IF(AND($B35&gt;0,D35&lt;$B35,DATE($B$1,2,1)&lt;=TODAY(),OR($O35="",$O35&gt;=DATE($B$1,2,1)),OR(COUNTIF($C35:D35,"&gt;0")&gt;0,DATE($B$1,2,1)=DATE(YEAR(TODAY()),MONTH(TODAY()),1))),1,0))</f>
        <v/>
      </c>
      <c r="R35">
        <f>IF($A35="","",IF(AND($B35&gt;0,E35&lt;$B35,DATE($B$1,3,1)&lt;=TODAY(),OR($O35="",$O35&gt;=DATE($B$1,3,1)),OR(COUNTIF($C35:E35,"&gt;0")&gt;0,DATE($B$1,3,1)=DATE(YEAR(TODAY()),MONTH(TODAY()),1))),1,0))</f>
        <v/>
      </c>
      <c r="S35">
        <f>IF($A35="","",IF(AND($B35&gt;0,F35&lt;$B35,DATE($B$1,4,1)&lt;=TODAY(),OR($O35="",$O35&gt;=DATE($B$1,4,1)),OR(COUNTIF($C35:F35,"&gt;0")&gt;0,DATE($B$1,4,1)=DATE(YEAR(TODAY()),MONTH(TODAY()),1))),1,0))</f>
        <v/>
      </c>
      <c r="T35">
        <f>IF($A35="","",IF(AND($B35&gt;0,G35&lt;$B35,DATE($B$1,5,1)&lt;=TODAY(),OR($O35="",$O35&gt;=DATE($B$1,5,1)),OR(COUNTIF($C35:G35,"&gt;0")&gt;0,DATE($B$1,5,1)=DATE(YEAR(TODAY()),MONTH(TODAY()),1))),1,0))</f>
        <v/>
      </c>
      <c r="U35">
        <f>IF($A35="","",IF(AND($B35&gt;0,H35&lt;$B35,DATE($B$1,6,1)&lt;=TODAY(),OR($O35="",$O35&gt;=DATE($B$1,6,1)),OR(COUNTIF($C35:H35,"&gt;0")&gt;0,DATE($B$1,6,1)=DATE(YEAR(TODAY()),MONTH(TODAY()),1))),1,0))</f>
        <v/>
      </c>
      <c r="V35">
        <f>IF($A35="","",IF(AND($B35&gt;0,I35&lt;$B35,DATE($B$1,7,1)&lt;=TODAY(),OR($O35="",$O35&gt;=DATE($B$1,7,1)),OR(COUNTIF($C35:I35,"&gt;0")&gt;0,DATE($B$1,7,1)=DATE(YEAR(TODAY()),MONTH(TODAY()),1))),1,0))</f>
        <v/>
      </c>
      <c r="W35">
        <f>IF($A35="","",IF(AND($B35&gt;0,J35&lt;$B35,DATE($B$1,8,1)&lt;=TODAY(),OR($O35="",$O35&gt;=DATE($B$1,8,1)),OR(COUNTIF($C35:J35,"&gt;0")&gt;0,DATE($B$1,8,1)=DATE(YEAR(TODAY()),MONTH(TODAY()),1))),1,0))</f>
        <v/>
      </c>
      <c r="X35">
        <f>IF($A35="","",IF(AND($B35&gt;0,K35&lt;$B35,DATE($B$1,9,1)&lt;=TODAY(),OR($O35="",$O35&gt;=DATE($B$1,9,1)),OR(COUNTIF($C35:K35,"&gt;0")&gt;0,DATE($B$1,9,1)=DATE(YEAR(TODAY()),MONTH(TODAY()),1))),1,0))</f>
        <v/>
      </c>
      <c r="Y35">
        <f>IF($A35="","",IF(AND($B35&gt;0,L35&lt;$B35,DATE($B$1,10,1)&lt;=TODAY(),OR($O35="",$O35&gt;=DATE($B$1,10,1)),OR(COUNTIF($C35:L35,"&gt;0")&gt;0,DATE($B$1,10,1)=DATE(YEAR(TODAY()),MONTH(TODAY()),1))),1,0))</f>
        <v/>
      </c>
      <c r="Z35">
        <f>IF($A35="","",IF(AND($B35&gt;0,M35&lt;$B35,DATE($B$1,11,1)&lt;=TODAY(),OR($O35="",$O35&gt;=DATE($B$1,11,1)),OR(COUNTIF($C35:M35,"&gt;0")&gt;0,DATE($B$1,11,1)=DATE(YEAR(TODAY()),MONTH(TODAY()),1))),1,0))</f>
        <v/>
      </c>
      <c r="AA35">
        <f>IF($A35="","",IF(AND($B35&gt;0,N35&lt;$B35,DATE($B$1,12,1)&lt;=TODAY(),OR($O35="",$O35&gt;=DATE($B$1,12,1)),OR(COUNTIF($C35:N35,"&gt;0")&gt;0,DATE($B$1,12,1)=DATE(YEAR(TODAY()),MONTH(TODAY()),1))),1,0))</f>
        <v/>
      </c>
    </row>
    <row r="36">
      <c r="A36" s="13">
        <f>IF(원생!$A34="","",원생!$A34&amp;IF(원생!$G34="",""," ("&amp;원생!$G34&amp;")"))</f>
        <v/>
      </c>
      <c r="B36" s="8">
        <f>IF(원생!$A34="","",N(원생!$F34))</f>
        <v/>
      </c>
      <c r="C36" s="14">
        <f>IF(원생!$A34="","",SUMIFS(계산!$C:$C,계산!$A:$A,계산!$E34,계산!$B:$B,$B$1*100+1))</f>
        <v/>
      </c>
      <c r="D36" s="14">
        <f>IF(원생!$A34="","",SUMIFS(계산!$C:$C,계산!$A:$A,계산!$E34,계산!$B:$B,$B$1*100+2))</f>
        <v/>
      </c>
      <c r="E36" s="14">
        <f>IF(원생!$A34="","",SUMIFS(계산!$C:$C,계산!$A:$A,계산!$E34,계산!$B:$B,$B$1*100+3))</f>
        <v/>
      </c>
      <c r="F36" s="14">
        <f>IF(원생!$A34="","",SUMIFS(계산!$C:$C,계산!$A:$A,계산!$E34,계산!$B:$B,$B$1*100+4))</f>
        <v/>
      </c>
      <c r="G36" s="14">
        <f>IF(원생!$A34="","",SUMIFS(계산!$C:$C,계산!$A:$A,계산!$E34,계산!$B:$B,$B$1*100+5))</f>
        <v/>
      </c>
      <c r="H36" s="14">
        <f>IF(원생!$A34="","",SUMIFS(계산!$C:$C,계산!$A:$A,계산!$E34,계산!$B:$B,$B$1*100+6))</f>
        <v/>
      </c>
      <c r="I36" s="14">
        <f>IF(원생!$A34="","",SUMIFS(계산!$C:$C,계산!$A:$A,계산!$E34,계산!$B:$B,$B$1*100+7))</f>
        <v/>
      </c>
      <c r="J36" s="14">
        <f>IF(원생!$A34="","",SUMIFS(계산!$C:$C,계산!$A:$A,계산!$E34,계산!$B:$B,$B$1*100+8))</f>
        <v/>
      </c>
      <c r="K36" s="14">
        <f>IF(원생!$A34="","",SUMIFS(계산!$C:$C,계산!$A:$A,계산!$E34,계산!$B:$B,$B$1*100+9))</f>
        <v/>
      </c>
      <c r="L36" s="14">
        <f>IF(원생!$A34="","",SUMIFS(계산!$C:$C,계산!$A:$A,계산!$E34,계산!$B:$B,$B$1*100+10))</f>
        <v/>
      </c>
      <c r="M36" s="14">
        <f>IF(원생!$A34="","",SUMIFS(계산!$C:$C,계산!$A:$A,계산!$E34,계산!$B:$B,$B$1*100+11))</f>
        <v/>
      </c>
      <c r="N36" s="14">
        <f>IF(원생!$A34="","",SUMIFS(계산!$C:$C,계산!$A:$A,계산!$E34,계산!$B:$B,$B$1*100+12))</f>
        <v/>
      </c>
      <c r="O36">
        <f>IF(원생!$I34="","",원생!$I34)</f>
        <v/>
      </c>
      <c r="P36">
        <f>IF($A36="","",IF(AND($B36&gt;0,C36&lt;$B36,DATE($B$1,1,1)&lt;=TODAY(),OR($O36="",$O36&gt;=DATE($B$1,1,1)),OR(COUNTIF($C36:C36,"&gt;0")&gt;0,DATE($B$1,1,1)=DATE(YEAR(TODAY()),MONTH(TODAY()),1))),1,0))</f>
        <v/>
      </c>
      <c r="Q36">
        <f>IF($A36="","",IF(AND($B36&gt;0,D36&lt;$B36,DATE($B$1,2,1)&lt;=TODAY(),OR($O36="",$O36&gt;=DATE($B$1,2,1)),OR(COUNTIF($C36:D36,"&gt;0")&gt;0,DATE($B$1,2,1)=DATE(YEAR(TODAY()),MONTH(TODAY()),1))),1,0))</f>
        <v/>
      </c>
      <c r="R36">
        <f>IF($A36="","",IF(AND($B36&gt;0,E36&lt;$B36,DATE($B$1,3,1)&lt;=TODAY(),OR($O36="",$O36&gt;=DATE($B$1,3,1)),OR(COUNTIF($C36:E36,"&gt;0")&gt;0,DATE($B$1,3,1)=DATE(YEAR(TODAY()),MONTH(TODAY()),1))),1,0))</f>
        <v/>
      </c>
      <c r="S36">
        <f>IF($A36="","",IF(AND($B36&gt;0,F36&lt;$B36,DATE($B$1,4,1)&lt;=TODAY(),OR($O36="",$O36&gt;=DATE($B$1,4,1)),OR(COUNTIF($C36:F36,"&gt;0")&gt;0,DATE($B$1,4,1)=DATE(YEAR(TODAY()),MONTH(TODAY()),1))),1,0))</f>
        <v/>
      </c>
      <c r="T36">
        <f>IF($A36="","",IF(AND($B36&gt;0,G36&lt;$B36,DATE($B$1,5,1)&lt;=TODAY(),OR($O36="",$O36&gt;=DATE($B$1,5,1)),OR(COUNTIF($C36:G36,"&gt;0")&gt;0,DATE($B$1,5,1)=DATE(YEAR(TODAY()),MONTH(TODAY()),1))),1,0))</f>
        <v/>
      </c>
      <c r="U36">
        <f>IF($A36="","",IF(AND($B36&gt;0,H36&lt;$B36,DATE($B$1,6,1)&lt;=TODAY(),OR($O36="",$O36&gt;=DATE($B$1,6,1)),OR(COUNTIF($C36:H36,"&gt;0")&gt;0,DATE($B$1,6,1)=DATE(YEAR(TODAY()),MONTH(TODAY()),1))),1,0))</f>
        <v/>
      </c>
      <c r="V36">
        <f>IF($A36="","",IF(AND($B36&gt;0,I36&lt;$B36,DATE($B$1,7,1)&lt;=TODAY(),OR($O36="",$O36&gt;=DATE($B$1,7,1)),OR(COUNTIF($C36:I36,"&gt;0")&gt;0,DATE($B$1,7,1)=DATE(YEAR(TODAY()),MONTH(TODAY()),1))),1,0))</f>
        <v/>
      </c>
      <c r="W36">
        <f>IF($A36="","",IF(AND($B36&gt;0,J36&lt;$B36,DATE($B$1,8,1)&lt;=TODAY(),OR($O36="",$O36&gt;=DATE($B$1,8,1)),OR(COUNTIF($C36:J36,"&gt;0")&gt;0,DATE($B$1,8,1)=DATE(YEAR(TODAY()),MONTH(TODAY()),1))),1,0))</f>
        <v/>
      </c>
      <c r="X36">
        <f>IF($A36="","",IF(AND($B36&gt;0,K36&lt;$B36,DATE($B$1,9,1)&lt;=TODAY(),OR($O36="",$O36&gt;=DATE($B$1,9,1)),OR(COUNTIF($C36:K36,"&gt;0")&gt;0,DATE($B$1,9,1)=DATE(YEAR(TODAY()),MONTH(TODAY()),1))),1,0))</f>
        <v/>
      </c>
      <c r="Y36">
        <f>IF($A36="","",IF(AND($B36&gt;0,L36&lt;$B36,DATE($B$1,10,1)&lt;=TODAY(),OR($O36="",$O36&gt;=DATE($B$1,10,1)),OR(COUNTIF($C36:L36,"&gt;0")&gt;0,DATE($B$1,10,1)=DATE(YEAR(TODAY()),MONTH(TODAY()),1))),1,0))</f>
        <v/>
      </c>
      <c r="Z36">
        <f>IF($A36="","",IF(AND($B36&gt;0,M36&lt;$B36,DATE($B$1,11,1)&lt;=TODAY(),OR($O36="",$O36&gt;=DATE($B$1,11,1)),OR(COUNTIF($C36:M36,"&gt;0")&gt;0,DATE($B$1,11,1)=DATE(YEAR(TODAY()),MONTH(TODAY()),1))),1,0))</f>
        <v/>
      </c>
      <c r="AA36">
        <f>IF($A36="","",IF(AND($B36&gt;0,N36&lt;$B36,DATE($B$1,12,1)&lt;=TODAY(),OR($O36="",$O36&gt;=DATE($B$1,12,1)),OR(COUNTIF($C36:N36,"&gt;0")&gt;0,DATE($B$1,12,1)=DATE(YEAR(TODAY()),MONTH(TODAY()),1))),1,0))</f>
        <v/>
      </c>
    </row>
    <row r="37">
      <c r="A37" s="13">
        <f>IF(원생!$A35="","",원생!$A35&amp;IF(원생!$G35="",""," ("&amp;원생!$G35&amp;")"))</f>
        <v/>
      </c>
      <c r="B37" s="8">
        <f>IF(원생!$A35="","",N(원생!$F35))</f>
        <v/>
      </c>
      <c r="C37" s="14">
        <f>IF(원생!$A35="","",SUMIFS(계산!$C:$C,계산!$A:$A,계산!$E35,계산!$B:$B,$B$1*100+1))</f>
        <v/>
      </c>
      <c r="D37" s="14">
        <f>IF(원생!$A35="","",SUMIFS(계산!$C:$C,계산!$A:$A,계산!$E35,계산!$B:$B,$B$1*100+2))</f>
        <v/>
      </c>
      <c r="E37" s="14">
        <f>IF(원생!$A35="","",SUMIFS(계산!$C:$C,계산!$A:$A,계산!$E35,계산!$B:$B,$B$1*100+3))</f>
        <v/>
      </c>
      <c r="F37" s="14">
        <f>IF(원생!$A35="","",SUMIFS(계산!$C:$C,계산!$A:$A,계산!$E35,계산!$B:$B,$B$1*100+4))</f>
        <v/>
      </c>
      <c r="G37" s="14">
        <f>IF(원생!$A35="","",SUMIFS(계산!$C:$C,계산!$A:$A,계산!$E35,계산!$B:$B,$B$1*100+5))</f>
        <v/>
      </c>
      <c r="H37" s="14">
        <f>IF(원생!$A35="","",SUMIFS(계산!$C:$C,계산!$A:$A,계산!$E35,계산!$B:$B,$B$1*100+6))</f>
        <v/>
      </c>
      <c r="I37" s="14">
        <f>IF(원생!$A35="","",SUMIFS(계산!$C:$C,계산!$A:$A,계산!$E35,계산!$B:$B,$B$1*100+7))</f>
        <v/>
      </c>
      <c r="J37" s="14">
        <f>IF(원생!$A35="","",SUMIFS(계산!$C:$C,계산!$A:$A,계산!$E35,계산!$B:$B,$B$1*100+8))</f>
        <v/>
      </c>
      <c r="K37" s="14">
        <f>IF(원생!$A35="","",SUMIFS(계산!$C:$C,계산!$A:$A,계산!$E35,계산!$B:$B,$B$1*100+9))</f>
        <v/>
      </c>
      <c r="L37" s="14">
        <f>IF(원생!$A35="","",SUMIFS(계산!$C:$C,계산!$A:$A,계산!$E35,계산!$B:$B,$B$1*100+10))</f>
        <v/>
      </c>
      <c r="M37" s="14">
        <f>IF(원생!$A35="","",SUMIFS(계산!$C:$C,계산!$A:$A,계산!$E35,계산!$B:$B,$B$1*100+11))</f>
        <v/>
      </c>
      <c r="N37" s="14">
        <f>IF(원생!$A35="","",SUMIFS(계산!$C:$C,계산!$A:$A,계산!$E35,계산!$B:$B,$B$1*100+12))</f>
        <v/>
      </c>
      <c r="O37">
        <f>IF(원생!$I35="","",원생!$I35)</f>
        <v/>
      </c>
      <c r="P37">
        <f>IF($A37="","",IF(AND($B37&gt;0,C37&lt;$B37,DATE($B$1,1,1)&lt;=TODAY(),OR($O37="",$O37&gt;=DATE($B$1,1,1)),OR(COUNTIF($C37:C37,"&gt;0")&gt;0,DATE($B$1,1,1)=DATE(YEAR(TODAY()),MONTH(TODAY()),1))),1,0))</f>
        <v/>
      </c>
      <c r="Q37">
        <f>IF($A37="","",IF(AND($B37&gt;0,D37&lt;$B37,DATE($B$1,2,1)&lt;=TODAY(),OR($O37="",$O37&gt;=DATE($B$1,2,1)),OR(COUNTIF($C37:D37,"&gt;0")&gt;0,DATE($B$1,2,1)=DATE(YEAR(TODAY()),MONTH(TODAY()),1))),1,0))</f>
        <v/>
      </c>
      <c r="R37">
        <f>IF($A37="","",IF(AND($B37&gt;0,E37&lt;$B37,DATE($B$1,3,1)&lt;=TODAY(),OR($O37="",$O37&gt;=DATE($B$1,3,1)),OR(COUNTIF($C37:E37,"&gt;0")&gt;0,DATE($B$1,3,1)=DATE(YEAR(TODAY()),MONTH(TODAY()),1))),1,0))</f>
        <v/>
      </c>
      <c r="S37">
        <f>IF($A37="","",IF(AND($B37&gt;0,F37&lt;$B37,DATE($B$1,4,1)&lt;=TODAY(),OR($O37="",$O37&gt;=DATE($B$1,4,1)),OR(COUNTIF($C37:F37,"&gt;0")&gt;0,DATE($B$1,4,1)=DATE(YEAR(TODAY()),MONTH(TODAY()),1))),1,0))</f>
        <v/>
      </c>
      <c r="T37">
        <f>IF($A37="","",IF(AND($B37&gt;0,G37&lt;$B37,DATE($B$1,5,1)&lt;=TODAY(),OR($O37="",$O37&gt;=DATE($B$1,5,1)),OR(COUNTIF($C37:G37,"&gt;0")&gt;0,DATE($B$1,5,1)=DATE(YEAR(TODAY()),MONTH(TODAY()),1))),1,0))</f>
        <v/>
      </c>
      <c r="U37">
        <f>IF($A37="","",IF(AND($B37&gt;0,H37&lt;$B37,DATE($B$1,6,1)&lt;=TODAY(),OR($O37="",$O37&gt;=DATE($B$1,6,1)),OR(COUNTIF($C37:H37,"&gt;0")&gt;0,DATE($B$1,6,1)=DATE(YEAR(TODAY()),MONTH(TODAY()),1))),1,0))</f>
        <v/>
      </c>
      <c r="V37">
        <f>IF($A37="","",IF(AND($B37&gt;0,I37&lt;$B37,DATE($B$1,7,1)&lt;=TODAY(),OR($O37="",$O37&gt;=DATE($B$1,7,1)),OR(COUNTIF($C37:I37,"&gt;0")&gt;0,DATE($B$1,7,1)=DATE(YEAR(TODAY()),MONTH(TODAY()),1))),1,0))</f>
        <v/>
      </c>
      <c r="W37">
        <f>IF($A37="","",IF(AND($B37&gt;0,J37&lt;$B37,DATE($B$1,8,1)&lt;=TODAY(),OR($O37="",$O37&gt;=DATE($B$1,8,1)),OR(COUNTIF($C37:J37,"&gt;0")&gt;0,DATE($B$1,8,1)=DATE(YEAR(TODAY()),MONTH(TODAY()),1))),1,0))</f>
        <v/>
      </c>
      <c r="X37">
        <f>IF($A37="","",IF(AND($B37&gt;0,K37&lt;$B37,DATE($B$1,9,1)&lt;=TODAY(),OR($O37="",$O37&gt;=DATE($B$1,9,1)),OR(COUNTIF($C37:K37,"&gt;0")&gt;0,DATE($B$1,9,1)=DATE(YEAR(TODAY()),MONTH(TODAY()),1))),1,0))</f>
        <v/>
      </c>
      <c r="Y37">
        <f>IF($A37="","",IF(AND($B37&gt;0,L37&lt;$B37,DATE($B$1,10,1)&lt;=TODAY(),OR($O37="",$O37&gt;=DATE($B$1,10,1)),OR(COUNTIF($C37:L37,"&gt;0")&gt;0,DATE($B$1,10,1)=DATE(YEAR(TODAY()),MONTH(TODAY()),1))),1,0))</f>
        <v/>
      </c>
      <c r="Z37">
        <f>IF($A37="","",IF(AND($B37&gt;0,M37&lt;$B37,DATE($B$1,11,1)&lt;=TODAY(),OR($O37="",$O37&gt;=DATE($B$1,11,1)),OR(COUNTIF($C37:M37,"&gt;0")&gt;0,DATE($B$1,11,1)=DATE(YEAR(TODAY()),MONTH(TODAY()),1))),1,0))</f>
        <v/>
      </c>
      <c r="AA37">
        <f>IF($A37="","",IF(AND($B37&gt;0,N37&lt;$B37,DATE($B$1,12,1)&lt;=TODAY(),OR($O37="",$O37&gt;=DATE($B$1,12,1)),OR(COUNTIF($C37:N37,"&gt;0")&gt;0,DATE($B$1,12,1)=DATE(YEAR(TODAY()),MONTH(TODAY()),1))),1,0))</f>
        <v/>
      </c>
    </row>
    <row r="38">
      <c r="A38" s="13">
        <f>IF(원생!$A36="","",원생!$A36&amp;IF(원생!$G36="",""," ("&amp;원생!$G36&amp;")"))</f>
        <v/>
      </c>
      <c r="B38" s="8">
        <f>IF(원생!$A36="","",N(원생!$F36))</f>
        <v/>
      </c>
      <c r="C38" s="14">
        <f>IF(원생!$A36="","",SUMIFS(계산!$C:$C,계산!$A:$A,계산!$E36,계산!$B:$B,$B$1*100+1))</f>
        <v/>
      </c>
      <c r="D38" s="14">
        <f>IF(원생!$A36="","",SUMIFS(계산!$C:$C,계산!$A:$A,계산!$E36,계산!$B:$B,$B$1*100+2))</f>
        <v/>
      </c>
      <c r="E38" s="14">
        <f>IF(원생!$A36="","",SUMIFS(계산!$C:$C,계산!$A:$A,계산!$E36,계산!$B:$B,$B$1*100+3))</f>
        <v/>
      </c>
      <c r="F38" s="14">
        <f>IF(원생!$A36="","",SUMIFS(계산!$C:$C,계산!$A:$A,계산!$E36,계산!$B:$B,$B$1*100+4))</f>
        <v/>
      </c>
      <c r="G38" s="14">
        <f>IF(원생!$A36="","",SUMIFS(계산!$C:$C,계산!$A:$A,계산!$E36,계산!$B:$B,$B$1*100+5))</f>
        <v/>
      </c>
      <c r="H38" s="14">
        <f>IF(원생!$A36="","",SUMIFS(계산!$C:$C,계산!$A:$A,계산!$E36,계산!$B:$B,$B$1*100+6))</f>
        <v/>
      </c>
      <c r="I38" s="14">
        <f>IF(원생!$A36="","",SUMIFS(계산!$C:$C,계산!$A:$A,계산!$E36,계산!$B:$B,$B$1*100+7))</f>
        <v/>
      </c>
      <c r="J38" s="14">
        <f>IF(원생!$A36="","",SUMIFS(계산!$C:$C,계산!$A:$A,계산!$E36,계산!$B:$B,$B$1*100+8))</f>
        <v/>
      </c>
      <c r="K38" s="14">
        <f>IF(원생!$A36="","",SUMIFS(계산!$C:$C,계산!$A:$A,계산!$E36,계산!$B:$B,$B$1*100+9))</f>
        <v/>
      </c>
      <c r="L38" s="14">
        <f>IF(원생!$A36="","",SUMIFS(계산!$C:$C,계산!$A:$A,계산!$E36,계산!$B:$B,$B$1*100+10))</f>
        <v/>
      </c>
      <c r="M38" s="14">
        <f>IF(원생!$A36="","",SUMIFS(계산!$C:$C,계산!$A:$A,계산!$E36,계산!$B:$B,$B$1*100+11))</f>
        <v/>
      </c>
      <c r="N38" s="14">
        <f>IF(원생!$A36="","",SUMIFS(계산!$C:$C,계산!$A:$A,계산!$E36,계산!$B:$B,$B$1*100+12))</f>
        <v/>
      </c>
      <c r="O38">
        <f>IF(원생!$I36="","",원생!$I36)</f>
        <v/>
      </c>
      <c r="P38">
        <f>IF($A38="","",IF(AND($B38&gt;0,C38&lt;$B38,DATE($B$1,1,1)&lt;=TODAY(),OR($O38="",$O38&gt;=DATE($B$1,1,1)),OR(COUNTIF($C38:C38,"&gt;0")&gt;0,DATE($B$1,1,1)=DATE(YEAR(TODAY()),MONTH(TODAY()),1))),1,0))</f>
        <v/>
      </c>
      <c r="Q38">
        <f>IF($A38="","",IF(AND($B38&gt;0,D38&lt;$B38,DATE($B$1,2,1)&lt;=TODAY(),OR($O38="",$O38&gt;=DATE($B$1,2,1)),OR(COUNTIF($C38:D38,"&gt;0")&gt;0,DATE($B$1,2,1)=DATE(YEAR(TODAY()),MONTH(TODAY()),1))),1,0))</f>
        <v/>
      </c>
      <c r="R38">
        <f>IF($A38="","",IF(AND($B38&gt;0,E38&lt;$B38,DATE($B$1,3,1)&lt;=TODAY(),OR($O38="",$O38&gt;=DATE($B$1,3,1)),OR(COUNTIF($C38:E38,"&gt;0")&gt;0,DATE($B$1,3,1)=DATE(YEAR(TODAY()),MONTH(TODAY()),1))),1,0))</f>
        <v/>
      </c>
      <c r="S38">
        <f>IF($A38="","",IF(AND($B38&gt;0,F38&lt;$B38,DATE($B$1,4,1)&lt;=TODAY(),OR($O38="",$O38&gt;=DATE($B$1,4,1)),OR(COUNTIF($C38:F38,"&gt;0")&gt;0,DATE($B$1,4,1)=DATE(YEAR(TODAY()),MONTH(TODAY()),1))),1,0))</f>
        <v/>
      </c>
      <c r="T38">
        <f>IF($A38="","",IF(AND($B38&gt;0,G38&lt;$B38,DATE($B$1,5,1)&lt;=TODAY(),OR($O38="",$O38&gt;=DATE($B$1,5,1)),OR(COUNTIF($C38:G38,"&gt;0")&gt;0,DATE($B$1,5,1)=DATE(YEAR(TODAY()),MONTH(TODAY()),1))),1,0))</f>
        <v/>
      </c>
      <c r="U38">
        <f>IF($A38="","",IF(AND($B38&gt;0,H38&lt;$B38,DATE($B$1,6,1)&lt;=TODAY(),OR($O38="",$O38&gt;=DATE($B$1,6,1)),OR(COUNTIF($C38:H38,"&gt;0")&gt;0,DATE($B$1,6,1)=DATE(YEAR(TODAY()),MONTH(TODAY()),1))),1,0))</f>
        <v/>
      </c>
      <c r="V38">
        <f>IF($A38="","",IF(AND($B38&gt;0,I38&lt;$B38,DATE($B$1,7,1)&lt;=TODAY(),OR($O38="",$O38&gt;=DATE($B$1,7,1)),OR(COUNTIF($C38:I38,"&gt;0")&gt;0,DATE($B$1,7,1)=DATE(YEAR(TODAY()),MONTH(TODAY()),1))),1,0))</f>
        <v/>
      </c>
      <c r="W38">
        <f>IF($A38="","",IF(AND($B38&gt;0,J38&lt;$B38,DATE($B$1,8,1)&lt;=TODAY(),OR($O38="",$O38&gt;=DATE($B$1,8,1)),OR(COUNTIF($C38:J38,"&gt;0")&gt;0,DATE($B$1,8,1)=DATE(YEAR(TODAY()),MONTH(TODAY()),1))),1,0))</f>
        <v/>
      </c>
      <c r="X38">
        <f>IF($A38="","",IF(AND($B38&gt;0,K38&lt;$B38,DATE($B$1,9,1)&lt;=TODAY(),OR($O38="",$O38&gt;=DATE($B$1,9,1)),OR(COUNTIF($C38:K38,"&gt;0")&gt;0,DATE($B$1,9,1)=DATE(YEAR(TODAY()),MONTH(TODAY()),1))),1,0))</f>
        <v/>
      </c>
      <c r="Y38">
        <f>IF($A38="","",IF(AND($B38&gt;0,L38&lt;$B38,DATE($B$1,10,1)&lt;=TODAY(),OR($O38="",$O38&gt;=DATE($B$1,10,1)),OR(COUNTIF($C38:L38,"&gt;0")&gt;0,DATE($B$1,10,1)=DATE(YEAR(TODAY()),MONTH(TODAY()),1))),1,0))</f>
        <v/>
      </c>
      <c r="Z38">
        <f>IF($A38="","",IF(AND($B38&gt;0,M38&lt;$B38,DATE($B$1,11,1)&lt;=TODAY(),OR($O38="",$O38&gt;=DATE($B$1,11,1)),OR(COUNTIF($C38:M38,"&gt;0")&gt;0,DATE($B$1,11,1)=DATE(YEAR(TODAY()),MONTH(TODAY()),1))),1,0))</f>
        <v/>
      </c>
      <c r="AA38">
        <f>IF($A38="","",IF(AND($B38&gt;0,N38&lt;$B38,DATE($B$1,12,1)&lt;=TODAY(),OR($O38="",$O38&gt;=DATE($B$1,12,1)),OR(COUNTIF($C38:N38,"&gt;0")&gt;0,DATE($B$1,12,1)=DATE(YEAR(TODAY()),MONTH(TODAY()),1))),1,0))</f>
        <v/>
      </c>
    </row>
    <row r="39">
      <c r="A39" s="13">
        <f>IF(원생!$A37="","",원생!$A37&amp;IF(원생!$G37="",""," ("&amp;원생!$G37&amp;")"))</f>
        <v/>
      </c>
      <c r="B39" s="8">
        <f>IF(원생!$A37="","",N(원생!$F37))</f>
        <v/>
      </c>
      <c r="C39" s="14">
        <f>IF(원생!$A37="","",SUMIFS(계산!$C:$C,계산!$A:$A,계산!$E37,계산!$B:$B,$B$1*100+1))</f>
        <v/>
      </c>
      <c r="D39" s="14">
        <f>IF(원생!$A37="","",SUMIFS(계산!$C:$C,계산!$A:$A,계산!$E37,계산!$B:$B,$B$1*100+2))</f>
        <v/>
      </c>
      <c r="E39" s="14">
        <f>IF(원생!$A37="","",SUMIFS(계산!$C:$C,계산!$A:$A,계산!$E37,계산!$B:$B,$B$1*100+3))</f>
        <v/>
      </c>
      <c r="F39" s="14">
        <f>IF(원생!$A37="","",SUMIFS(계산!$C:$C,계산!$A:$A,계산!$E37,계산!$B:$B,$B$1*100+4))</f>
        <v/>
      </c>
      <c r="G39" s="14">
        <f>IF(원생!$A37="","",SUMIFS(계산!$C:$C,계산!$A:$A,계산!$E37,계산!$B:$B,$B$1*100+5))</f>
        <v/>
      </c>
      <c r="H39" s="14">
        <f>IF(원생!$A37="","",SUMIFS(계산!$C:$C,계산!$A:$A,계산!$E37,계산!$B:$B,$B$1*100+6))</f>
        <v/>
      </c>
      <c r="I39" s="14">
        <f>IF(원생!$A37="","",SUMIFS(계산!$C:$C,계산!$A:$A,계산!$E37,계산!$B:$B,$B$1*100+7))</f>
        <v/>
      </c>
      <c r="J39" s="14">
        <f>IF(원생!$A37="","",SUMIFS(계산!$C:$C,계산!$A:$A,계산!$E37,계산!$B:$B,$B$1*100+8))</f>
        <v/>
      </c>
      <c r="K39" s="14">
        <f>IF(원생!$A37="","",SUMIFS(계산!$C:$C,계산!$A:$A,계산!$E37,계산!$B:$B,$B$1*100+9))</f>
        <v/>
      </c>
      <c r="L39" s="14">
        <f>IF(원생!$A37="","",SUMIFS(계산!$C:$C,계산!$A:$A,계산!$E37,계산!$B:$B,$B$1*100+10))</f>
        <v/>
      </c>
      <c r="M39" s="14">
        <f>IF(원생!$A37="","",SUMIFS(계산!$C:$C,계산!$A:$A,계산!$E37,계산!$B:$B,$B$1*100+11))</f>
        <v/>
      </c>
      <c r="N39" s="14">
        <f>IF(원생!$A37="","",SUMIFS(계산!$C:$C,계산!$A:$A,계산!$E37,계산!$B:$B,$B$1*100+12))</f>
        <v/>
      </c>
      <c r="O39">
        <f>IF(원생!$I37="","",원생!$I37)</f>
        <v/>
      </c>
      <c r="P39">
        <f>IF($A39="","",IF(AND($B39&gt;0,C39&lt;$B39,DATE($B$1,1,1)&lt;=TODAY(),OR($O39="",$O39&gt;=DATE($B$1,1,1)),OR(COUNTIF($C39:C39,"&gt;0")&gt;0,DATE($B$1,1,1)=DATE(YEAR(TODAY()),MONTH(TODAY()),1))),1,0))</f>
        <v/>
      </c>
      <c r="Q39">
        <f>IF($A39="","",IF(AND($B39&gt;0,D39&lt;$B39,DATE($B$1,2,1)&lt;=TODAY(),OR($O39="",$O39&gt;=DATE($B$1,2,1)),OR(COUNTIF($C39:D39,"&gt;0")&gt;0,DATE($B$1,2,1)=DATE(YEAR(TODAY()),MONTH(TODAY()),1))),1,0))</f>
        <v/>
      </c>
      <c r="R39">
        <f>IF($A39="","",IF(AND($B39&gt;0,E39&lt;$B39,DATE($B$1,3,1)&lt;=TODAY(),OR($O39="",$O39&gt;=DATE($B$1,3,1)),OR(COUNTIF($C39:E39,"&gt;0")&gt;0,DATE($B$1,3,1)=DATE(YEAR(TODAY()),MONTH(TODAY()),1))),1,0))</f>
        <v/>
      </c>
      <c r="S39">
        <f>IF($A39="","",IF(AND($B39&gt;0,F39&lt;$B39,DATE($B$1,4,1)&lt;=TODAY(),OR($O39="",$O39&gt;=DATE($B$1,4,1)),OR(COUNTIF($C39:F39,"&gt;0")&gt;0,DATE($B$1,4,1)=DATE(YEAR(TODAY()),MONTH(TODAY()),1))),1,0))</f>
        <v/>
      </c>
      <c r="T39">
        <f>IF($A39="","",IF(AND($B39&gt;0,G39&lt;$B39,DATE($B$1,5,1)&lt;=TODAY(),OR($O39="",$O39&gt;=DATE($B$1,5,1)),OR(COUNTIF($C39:G39,"&gt;0")&gt;0,DATE($B$1,5,1)=DATE(YEAR(TODAY()),MONTH(TODAY()),1))),1,0))</f>
        <v/>
      </c>
      <c r="U39">
        <f>IF($A39="","",IF(AND($B39&gt;0,H39&lt;$B39,DATE($B$1,6,1)&lt;=TODAY(),OR($O39="",$O39&gt;=DATE($B$1,6,1)),OR(COUNTIF($C39:H39,"&gt;0")&gt;0,DATE($B$1,6,1)=DATE(YEAR(TODAY()),MONTH(TODAY()),1))),1,0))</f>
        <v/>
      </c>
      <c r="V39">
        <f>IF($A39="","",IF(AND($B39&gt;0,I39&lt;$B39,DATE($B$1,7,1)&lt;=TODAY(),OR($O39="",$O39&gt;=DATE($B$1,7,1)),OR(COUNTIF($C39:I39,"&gt;0")&gt;0,DATE($B$1,7,1)=DATE(YEAR(TODAY()),MONTH(TODAY()),1))),1,0))</f>
        <v/>
      </c>
      <c r="W39">
        <f>IF($A39="","",IF(AND($B39&gt;0,J39&lt;$B39,DATE($B$1,8,1)&lt;=TODAY(),OR($O39="",$O39&gt;=DATE($B$1,8,1)),OR(COUNTIF($C39:J39,"&gt;0")&gt;0,DATE($B$1,8,1)=DATE(YEAR(TODAY()),MONTH(TODAY()),1))),1,0))</f>
        <v/>
      </c>
      <c r="X39">
        <f>IF($A39="","",IF(AND($B39&gt;0,K39&lt;$B39,DATE($B$1,9,1)&lt;=TODAY(),OR($O39="",$O39&gt;=DATE($B$1,9,1)),OR(COUNTIF($C39:K39,"&gt;0")&gt;0,DATE($B$1,9,1)=DATE(YEAR(TODAY()),MONTH(TODAY()),1))),1,0))</f>
        <v/>
      </c>
      <c r="Y39">
        <f>IF($A39="","",IF(AND($B39&gt;0,L39&lt;$B39,DATE($B$1,10,1)&lt;=TODAY(),OR($O39="",$O39&gt;=DATE($B$1,10,1)),OR(COUNTIF($C39:L39,"&gt;0")&gt;0,DATE($B$1,10,1)=DATE(YEAR(TODAY()),MONTH(TODAY()),1))),1,0))</f>
        <v/>
      </c>
      <c r="Z39">
        <f>IF($A39="","",IF(AND($B39&gt;0,M39&lt;$B39,DATE($B$1,11,1)&lt;=TODAY(),OR($O39="",$O39&gt;=DATE($B$1,11,1)),OR(COUNTIF($C39:M39,"&gt;0")&gt;0,DATE($B$1,11,1)=DATE(YEAR(TODAY()),MONTH(TODAY()),1))),1,0))</f>
        <v/>
      </c>
      <c r="AA39">
        <f>IF($A39="","",IF(AND($B39&gt;0,N39&lt;$B39,DATE($B$1,12,1)&lt;=TODAY(),OR($O39="",$O39&gt;=DATE($B$1,12,1)),OR(COUNTIF($C39:N39,"&gt;0")&gt;0,DATE($B$1,12,1)=DATE(YEAR(TODAY()),MONTH(TODAY()),1))),1,0))</f>
        <v/>
      </c>
    </row>
    <row r="40">
      <c r="A40" s="13">
        <f>IF(원생!$A38="","",원생!$A38&amp;IF(원생!$G38="",""," ("&amp;원생!$G38&amp;")"))</f>
        <v/>
      </c>
      <c r="B40" s="8">
        <f>IF(원생!$A38="","",N(원생!$F38))</f>
        <v/>
      </c>
      <c r="C40" s="14">
        <f>IF(원생!$A38="","",SUMIFS(계산!$C:$C,계산!$A:$A,계산!$E38,계산!$B:$B,$B$1*100+1))</f>
        <v/>
      </c>
      <c r="D40" s="14">
        <f>IF(원생!$A38="","",SUMIFS(계산!$C:$C,계산!$A:$A,계산!$E38,계산!$B:$B,$B$1*100+2))</f>
        <v/>
      </c>
      <c r="E40" s="14">
        <f>IF(원생!$A38="","",SUMIFS(계산!$C:$C,계산!$A:$A,계산!$E38,계산!$B:$B,$B$1*100+3))</f>
        <v/>
      </c>
      <c r="F40" s="14">
        <f>IF(원생!$A38="","",SUMIFS(계산!$C:$C,계산!$A:$A,계산!$E38,계산!$B:$B,$B$1*100+4))</f>
        <v/>
      </c>
      <c r="G40" s="14">
        <f>IF(원생!$A38="","",SUMIFS(계산!$C:$C,계산!$A:$A,계산!$E38,계산!$B:$B,$B$1*100+5))</f>
        <v/>
      </c>
      <c r="H40" s="14">
        <f>IF(원생!$A38="","",SUMIFS(계산!$C:$C,계산!$A:$A,계산!$E38,계산!$B:$B,$B$1*100+6))</f>
        <v/>
      </c>
      <c r="I40" s="14">
        <f>IF(원생!$A38="","",SUMIFS(계산!$C:$C,계산!$A:$A,계산!$E38,계산!$B:$B,$B$1*100+7))</f>
        <v/>
      </c>
      <c r="J40" s="14">
        <f>IF(원생!$A38="","",SUMIFS(계산!$C:$C,계산!$A:$A,계산!$E38,계산!$B:$B,$B$1*100+8))</f>
        <v/>
      </c>
      <c r="K40" s="14">
        <f>IF(원생!$A38="","",SUMIFS(계산!$C:$C,계산!$A:$A,계산!$E38,계산!$B:$B,$B$1*100+9))</f>
        <v/>
      </c>
      <c r="L40" s="14">
        <f>IF(원생!$A38="","",SUMIFS(계산!$C:$C,계산!$A:$A,계산!$E38,계산!$B:$B,$B$1*100+10))</f>
        <v/>
      </c>
      <c r="M40" s="14">
        <f>IF(원생!$A38="","",SUMIFS(계산!$C:$C,계산!$A:$A,계산!$E38,계산!$B:$B,$B$1*100+11))</f>
        <v/>
      </c>
      <c r="N40" s="14">
        <f>IF(원생!$A38="","",SUMIFS(계산!$C:$C,계산!$A:$A,계산!$E38,계산!$B:$B,$B$1*100+12))</f>
        <v/>
      </c>
      <c r="O40">
        <f>IF(원생!$I38="","",원생!$I38)</f>
        <v/>
      </c>
      <c r="P40">
        <f>IF($A40="","",IF(AND($B40&gt;0,C40&lt;$B40,DATE($B$1,1,1)&lt;=TODAY(),OR($O40="",$O40&gt;=DATE($B$1,1,1)),OR(COUNTIF($C40:C40,"&gt;0")&gt;0,DATE($B$1,1,1)=DATE(YEAR(TODAY()),MONTH(TODAY()),1))),1,0))</f>
        <v/>
      </c>
      <c r="Q40">
        <f>IF($A40="","",IF(AND($B40&gt;0,D40&lt;$B40,DATE($B$1,2,1)&lt;=TODAY(),OR($O40="",$O40&gt;=DATE($B$1,2,1)),OR(COUNTIF($C40:D40,"&gt;0")&gt;0,DATE($B$1,2,1)=DATE(YEAR(TODAY()),MONTH(TODAY()),1))),1,0))</f>
        <v/>
      </c>
      <c r="R40">
        <f>IF($A40="","",IF(AND($B40&gt;0,E40&lt;$B40,DATE($B$1,3,1)&lt;=TODAY(),OR($O40="",$O40&gt;=DATE($B$1,3,1)),OR(COUNTIF($C40:E40,"&gt;0")&gt;0,DATE($B$1,3,1)=DATE(YEAR(TODAY()),MONTH(TODAY()),1))),1,0))</f>
        <v/>
      </c>
      <c r="S40">
        <f>IF($A40="","",IF(AND($B40&gt;0,F40&lt;$B40,DATE($B$1,4,1)&lt;=TODAY(),OR($O40="",$O40&gt;=DATE($B$1,4,1)),OR(COUNTIF($C40:F40,"&gt;0")&gt;0,DATE($B$1,4,1)=DATE(YEAR(TODAY()),MONTH(TODAY()),1))),1,0))</f>
        <v/>
      </c>
      <c r="T40">
        <f>IF($A40="","",IF(AND($B40&gt;0,G40&lt;$B40,DATE($B$1,5,1)&lt;=TODAY(),OR($O40="",$O40&gt;=DATE($B$1,5,1)),OR(COUNTIF($C40:G40,"&gt;0")&gt;0,DATE($B$1,5,1)=DATE(YEAR(TODAY()),MONTH(TODAY()),1))),1,0))</f>
        <v/>
      </c>
      <c r="U40">
        <f>IF($A40="","",IF(AND($B40&gt;0,H40&lt;$B40,DATE($B$1,6,1)&lt;=TODAY(),OR($O40="",$O40&gt;=DATE($B$1,6,1)),OR(COUNTIF($C40:H40,"&gt;0")&gt;0,DATE($B$1,6,1)=DATE(YEAR(TODAY()),MONTH(TODAY()),1))),1,0))</f>
        <v/>
      </c>
      <c r="V40">
        <f>IF($A40="","",IF(AND($B40&gt;0,I40&lt;$B40,DATE($B$1,7,1)&lt;=TODAY(),OR($O40="",$O40&gt;=DATE($B$1,7,1)),OR(COUNTIF($C40:I40,"&gt;0")&gt;0,DATE($B$1,7,1)=DATE(YEAR(TODAY()),MONTH(TODAY()),1))),1,0))</f>
        <v/>
      </c>
      <c r="W40">
        <f>IF($A40="","",IF(AND($B40&gt;0,J40&lt;$B40,DATE($B$1,8,1)&lt;=TODAY(),OR($O40="",$O40&gt;=DATE($B$1,8,1)),OR(COUNTIF($C40:J40,"&gt;0")&gt;0,DATE($B$1,8,1)=DATE(YEAR(TODAY()),MONTH(TODAY()),1))),1,0))</f>
        <v/>
      </c>
      <c r="X40">
        <f>IF($A40="","",IF(AND($B40&gt;0,K40&lt;$B40,DATE($B$1,9,1)&lt;=TODAY(),OR($O40="",$O40&gt;=DATE($B$1,9,1)),OR(COUNTIF($C40:K40,"&gt;0")&gt;0,DATE($B$1,9,1)=DATE(YEAR(TODAY()),MONTH(TODAY()),1))),1,0))</f>
        <v/>
      </c>
      <c r="Y40">
        <f>IF($A40="","",IF(AND($B40&gt;0,L40&lt;$B40,DATE($B$1,10,1)&lt;=TODAY(),OR($O40="",$O40&gt;=DATE($B$1,10,1)),OR(COUNTIF($C40:L40,"&gt;0")&gt;0,DATE($B$1,10,1)=DATE(YEAR(TODAY()),MONTH(TODAY()),1))),1,0))</f>
        <v/>
      </c>
      <c r="Z40">
        <f>IF($A40="","",IF(AND($B40&gt;0,M40&lt;$B40,DATE($B$1,11,1)&lt;=TODAY(),OR($O40="",$O40&gt;=DATE($B$1,11,1)),OR(COUNTIF($C40:M40,"&gt;0")&gt;0,DATE($B$1,11,1)=DATE(YEAR(TODAY()),MONTH(TODAY()),1))),1,0))</f>
        <v/>
      </c>
      <c r="AA40">
        <f>IF($A40="","",IF(AND($B40&gt;0,N40&lt;$B40,DATE($B$1,12,1)&lt;=TODAY(),OR($O40="",$O40&gt;=DATE($B$1,12,1)),OR(COUNTIF($C40:N40,"&gt;0")&gt;0,DATE($B$1,12,1)=DATE(YEAR(TODAY()),MONTH(TODAY()),1))),1,0))</f>
        <v/>
      </c>
    </row>
    <row r="41">
      <c r="A41" s="13">
        <f>IF(원생!$A39="","",원생!$A39&amp;IF(원생!$G39="",""," ("&amp;원생!$G39&amp;")"))</f>
        <v/>
      </c>
      <c r="B41" s="8">
        <f>IF(원생!$A39="","",N(원생!$F39))</f>
        <v/>
      </c>
      <c r="C41" s="14">
        <f>IF(원생!$A39="","",SUMIFS(계산!$C:$C,계산!$A:$A,계산!$E39,계산!$B:$B,$B$1*100+1))</f>
        <v/>
      </c>
      <c r="D41" s="14">
        <f>IF(원생!$A39="","",SUMIFS(계산!$C:$C,계산!$A:$A,계산!$E39,계산!$B:$B,$B$1*100+2))</f>
        <v/>
      </c>
      <c r="E41" s="14">
        <f>IF(원생!$A39="","",SUMIFS(계산!$C:$C,계산!$A:$A,계산!$E39,계산!$B:$B,$B$1*100+3))</f>
        <v/>
      </c>
      <c r="F41" s="14">
        <f>IF(원생!$A39="","",SUMIFS(계산!$C:$C,계산!$A:$A,계산!$E39,계산!$B:$B,$B$1*100+4))</f>
        <v/>
      </c>
      <c r="G41" s="14">
        <f>IF(원생!$A39="","",SUMIFS(계산!$C:$C,계산!$A:$A,계산!$E39,계산!$B:$B,$B$1*100+5))</f>
        <v/>
      </c>
      <c r="H41" s="14">
        <f>IF(원생!$A39="","",SUMIFS(계산!$C:$C,계산!$A:$A,계산!$E39,계산!$B:$B,$B$1*100+6))</f>
        <v/>
      </c>
      <c r="I41" s="14">
        <f>IF(원생!$A39="","",SUMIFS(계산!$C:$C,계산!$A:$A,계산!$E39,계산!$B:$B,$B$1*100+7))</f>
        <v/>
      </c>
      <c r="J41" s="14">
        <f>IF(원생!$A39="","",SUMIFS(계산!$C:$C,계산!$A:$A,계산!$E39,계산!$B:$B,$B$1*100+8))</f>
        <v/>
      </c>
      <c r="K41" s="14">
        <f>IF(원생!$A39="","",SUMIFS(계산!$C:$C,계산!$A:$A,계산!$E39,계산!$B:$B,$B$1*100+9))</f>
        <v/>
      </c>
      <c r="L41" s="14">
        <f>IF(원생!$A39="","",SUMIFS(계산!$C:$C,계산!$A:$A,계산!$E39,계산!$B:$B,$B$1*100+10))</f>
        <v/>
      </c>
      <c r="M41" s="14">
        <f>IF(원생!$A39="","",SUMIFS(계산!$C:$C,계산!$A:$A,계산!$E39,계산!$B:$B,$B$1*100+11))</f>
        <v/>
      </c>
      <c r="N41" s="14">
        <f>IF(원생!$A39="","",SUMIFS(계산!$C:$C,계산!$A:$A,계산!$E39,계산!$B:$B,$B$1*100+12))</f>
        <v/>
      </c>
      <c r="O41">
        <f>IF(원생!$I39="","",원생!$I39)</f>
        <v/>
      </c>
      <c r="P41">
        <f>IF($A41="","",IF(AND($B41&gt;0,C41&lt;$B41,DATE($B$1,1,1)&lt;=TODAY(),OR($O41="",$O41&gt;=DATE($B$1,1,1)),OR(COUNTIF($C41:C41,"&gt;0")&gt;0,DATE($B$1,1,1)=DATE(YEAR(TODAY()),MONTH(TODAY()),1))),1,0))</f>
        <v/>
      </c>
      <c r="Q41">
        <f>IF($A41="","",IF(AND($B41&gt;0,D41&lt;$B41,DATE($B$1,2,1)&lt;=TODAY(),OR($O41="",$O41&gt;=DATE($B$1,2,1)),OR(COUNTIF($C41:D41,"&gt;0")&gt;0,DATE($B$1,2,1)=DATE(YEAR(TODAY()),MONTH(TODAY()),1))),1,0))</f>
        <v/>
      </c>
      <c r="R41">
        <f>IF($A41="","",IF(AND($B41&gt;0,E41&lt;$B41,DATE($B$1,3,1)&lt;=TODAY(),OR($O41="",$O41&gt;=DATE($B$1,3,1)),OR(COUNTIF($C41:E41,"&gt;0")&gt;0,DATE($B$1,3,1)=DATE(YEAR(TODAY()),MONTH(TODAY()),1))),1,0))</f>
        <v/>
      </c>
      <c r="S41">
        <f>IF($A41="","",IF(AND($B41&gt;0,F41&lt;$B41,DATE($B$1,4,1)&lt;=TODAY(),OR($O41="",$O41&gt;=DATE($B$1,4,1)),OR(COUNTIF($C41:F41,"&gt;0")&gt;0,DATE($B$1,4,1)=DATE(YEAR(TODAY()),MONTH(TODAY()),1))),1,0))</f>
        <v/>
      </c>
      <c r="T41">
        <f>IF($A41="","",IF(AND($B41&gt;0,G41&lt;$B41,DATE($B$1,5,1)&lt;=TODAY(),OR($O41="",$O41&gt;=DATE($B$1,5,1)),OR(COUNTIF($C41:G41,"&gt;0")&gt;0,DATE($B$1,5,1)=DATE(YEAR(TODAY()),MONTH(TODAY()),1))),1,0))</f>
        <v/>
      </c>
      <c r="U41">
        <f>IF($A41="","",IF(AND($B41&gt;0,H41&lt;$B41,DATE($B$1,6,1)&lt;=TODAY(),OR($O41="",$O41&gt;=DATE($B$1,6,1)),OR(COUNTIF($C41:H41,"&gt;0")&gt;0,DATE($B$1,6,1)=DATE(YEAR(TODAY()),MONTH(TODAY()),1))),1,0))</f>
        <v/>
      </c>
      <c r="V41">
        <f>IF($A41="","",IF(AND($B41&gt;0,I41&lt;$B41,DATE($B$1,7,1)&lt;=TODAY(),OR($O41="",$O41&gt;=DATE($B$1,7,1)),OR(COUNTIF($C41:I41,"&gt;0")&gt;0,DATE($B$1,7,1)=DATE(YEAR(TODAY()),MONTH(TODAY()),1))),1,0))</f>
        <v/>
      </c>
      <c r="W41">
        <f>IF($A41="","",IF(AND($B41&gt;0,J41&lt;$B41,DATE($B$1,8,1)&lt;=TODAY(),OR($O41="",$O41&gt;=DATE($B$1,8,1)),OR(COUNTIF($C41:J41,"&gt;0")&gt;0,DATE($B$1,8,1)=DATE(YEAR(TODAY()),MONTH(TODAY()),1))),1,0))</f>
        <v/>
      </c>
      <c r="X41">
        <f>IF($A41="","",IF(AND($B41&gt;0,K41&lt;$B41,DATE($B$1,9,1)&lt;=TODAY(),OR($O41="",$O41&gt;=DATE($B$1,9,1)),OR(COUNTIF($C41:K41,"&gt;0")&gt;0,DATE($B$1,9,1)=DATE(YEAR(TODAY()),MONTH(TODAY()),1))),1,0))</f>
        <v/>
      </c>
      <c r="Y41">
        <f>IF($A41="","",IF(AND($B41&gt;0,L41&lt;$B41,DATE($B$1,10,1)&lt;=TODAY(),OR($O41="",$O41&gt;=DATE($B$1,10,1)),OR(COUNTIF($C41:L41,"&gt;0")&gt;0,DATE($B$1,10,1)=DATE(YEAR(TODAY()),MONTH(TODAY()),1))),1,0))</f>
        <v/>
      </c>
      <c r="Z41">
        <f>IF($A41="","",IF(AND($B41&gt;0,M41&lt;$B41,DATE($B$1,11,1)&lt;=TODAY(),OR($O41="",$O41&gt;=DATE($B$1,11,1)),OR(COUNTIF($C41:M41,"&gt;0")&gt;0,DATE($B$1,11,1)=DATE(YEAR(TODAY()),MONTH(TODAY()),1))),1,0))</f>
        <v/>
      </c>
      <c r="AA41">
        <f>IF($A41="","",IF(AND($B41&gt;0,N41&lt;$B41,DATE($B$1,12,1)&lt;=TODAY(),OR($O41="",$O41&gt;=DATE($B$1,12,1)),OR(COUNTIF($C41:N41,"&gt;0")&gt;0,DATE($B$1,12,1)=DATE(YEAR(TODAY()),MONTH(TODAY()),1))),1,0))</f>
        <v/>
      </c>
    </row>
    <row r="42">
      <c r="A42" s="13">
        <f>IF(원생!$A40="","",원생!$A40&amp;IF(원생!$G40="",""," ("&amp;원생!$G40&amp;")"))</f>
        <v/>
      </c>
      <c r="B42" s="8">
        <f>IF(원생!$A40="","",N(원생!$F40))</f>
        <v/>
      </c>
      <c r="C42" s="14">
        <f>IF(원생!$A40="","",SUMIFS(계산!$C:$C,계산!$A:$A,계산!$E40,계산!$B:$B,$B$1*100+1))</f>
        <v/>
      </c>
      <c r="D42" s="14">
        <f>IF(원생!$A40="","",SUMIFS(계산!$C:$C,계산!$A:$A,계산!$E40,계산!$B:$B,$B$1*100+2))</f>
        <v/>
      </c>
      <c r="E42" s="14">
        <f>IF(원생!$A40="","",SUMIFS(계산!$C:$C,계산!$A:$A,계산!$E40,계산!$B:$B,$B$1*100+3))</f>
        <v/>
      </c>
      <c r="F42" s="14">
        <f>IF(원생!$A40="","",SUMIFS(계산!$C:$C,계산!$A:$A,계산!$E40,계산!$B:$B,$B$1*100+4))</f>
        <v/>
      </c>
      <c r="G42" s="14">
        <f>IF(원생!$A40="","",SUMIFS(계산!$C:$C,계산!$A:$A,계산!$E40,계산!$B:$B,$B$1*100+5))</f>
        <v/>
      </c>
      <c r="H42" s="14">
        <f>IF(원생!$A40="","",SUMIFS(계산!$C:$C,계산!$A:$A,계산!$E40,계산!$B:$B,$B$1*100+6))</f>
        <v/>
      </c>
      <c r="I42" s="14">
        <f>IF(원생!$A40="","",SUMIFS(계산!$C:$C,계산!$A:$A,계산!$E40,계산!$B:$B,$B$1*100+7))</f>
        <v/>
      </c>
      <c r="J42" s="14">
        <f>IF(원생!$A40="","",SUMIFS(계산!$C:$C,계산!$A:$A,계산!$E40,계산!$B:$B,$B$1*100+8))</f>
        <v/>
      </c>
      <c r="K42" s="14">
        <f>IF(원생!$A40="","",SUMIFS(계산!$C:$C,계산!$A:$A,계산!$E40,계산!$B:$B,$B$1*100+9))</f>
        <v/>
      </c>
      <c r="L42" s="14">
        <f>IF(원생!$A40="","",SUMIFS(계산!$C:$C,계산!$A:$A,계산!$E40,계산!$B:$B,$B$1*100+10))</f>
        <v/>
      </c>
      <c r="M42" s="14">
        <f>IF(원생!$A40="","",SUMIFS(계산!$C:$C,계산!$A:$A,계산!$E40,계산!$B:$B,$B$1*100+11))</f>
        <v/>
      </c>
      <c r="N42" s="14">
        <f>IF(원생!$A40="","",SUMIFS(계산!$C:$C,계산!$A:$A,계산!$E40,계산!$B:$B,$B$1*100+12))</f>
        <v/>
      </c>
      <c r="O42">
        <f>IF(원생!$I40="","",원생!$I40)</f>
        <v/>
      </c>
      <c r="P42">
        <f>IF($A42="","",IF(AND($B42&gt;0,C42&lt;$B42,DATE($B$1,1,1)&lt;=TODAY(),OR($O42="",$O42&gt;=DATE($B$1,1,1)),OR(COUNTIF($C42:C42,"&gt;0")&gt;0,DATE($B$1,1,1)=DATE(YEAR(TODAY()),MONTH(TODAY()),1))),1,0))</f>
        <v/>
      </c>
      <c r="Q42">
        <f>IF($A42="","",IF(AND($B42&gt;0,D42&lt;$B42,DATE($B$1,2,1)&lt;=TODAY(),OR($O42="",$O42&gt;=DATE($B$1,2,1)),OR(COUNTIF($C42:D42,"&gt;0")&gt;0,DATE($B$1,2,1)=DATE(YEAR(TODAY()),MONTH(TODAY()),1))),1,0))</f>
        <v/>
      </c>
      <c r="R42">
        <f>IF($A42="","",IF(AND($B42&gt;0,E42&lt;$B42,DATE($B$1,3,1)&lt;=TODAY(),OR($O42="",$O42&gt;=DATE($B$1,3,1)),OR(COUNTIF($C42:E42,"&gt;0")&gt;0,DATE($B$1,3,1)=DATE(YEAR(TODAY()),MONTH(TODAY()),1))),1,0))</f>
        <v/>
      </c>
      <c r="S42">
        <f>IF($A42="","",IF(AND($B42&gt;0,F42&lt;$B42,DATE($B$1,4,1)&lt;=TODAY(),OR($O42="",$O42&gt;=DATE($B$1,4,1)),OR(COUNTIF($C42:F42,"&gt;0")&gt;0,DATE($B$1,4,1)=DATE(YEAR(TODAY()),MONTH(TODAY()),1))),1,0))</f>
        <v/>
      </c>
      <c r="T42">
        <f>IF($A42="","",IF(AND($B42&gt;0,G42&lt;$B42,DATE($B$1,5,1)&lt;=TODAY(),OR($O42="",$O42&gt;=DATE($B$1,5,1)),OR(COUNTIF($C42:G42,"&gt;0")&gt;0,DATE($B$1,5,1)=DATE(YEAR(TODAY()),MONTH(TODAY()),1))),1,0))</f>
        <v/>
      </c>
      <c r="U42">
        <f>IF($A42="","",IF(AND($B42&gt;0,H42&lt;$B42,DATE($B$1,6,1)&lt;=TODAY(),OR($O42="",$O42&gt;=DATE($B$1,6,1)),OR(COUNTIF($C42:H42,"&gt;0")&gt;0,DATE($B$1,6,1)=DATE(YEAR(TODAY()),MONTH(TODAY()),1))),1,0))</f>
        <v/>
      </c>
      <c r="V42">
        <f>IF($A42="","",IF(AND($B42&gt;0,I42&lt;$B42,DATE($B$1,7,1)&lt;=TODAY(),OR($O42="",$O42&gt;=DATE($B$1,7,1)),OR(COUNTIF($C42:I42,"&gt;0")&gt;0,DATE($B$1,7,1)=DATE(YEAR(TODAY()),MONTH(TODAY()),1))),1,0))</f>
        <v/>
      </c>
      <c r="W42">
        <f>IF($A42="","",IF(AND($B42&gt;0,J42&lt;$B42,DATE($B$1,8,1)&lt;=TODAY(),OR($O42="",$O42&gt;=DATE($B$1,8,1)),OR(COUNTIF($C42:J42,"&gt;0")&gt;0,DATE($B$1,8,1)=DATE(YEAR(TODAY()),MONTH(TODAY()),1))),1,0))</f>
        <v/>
      </c>
      <c r="X42">
        <f>IF($A42="","",IF(AND($B42&gt;0,K42&lt;$B42,DATE($B$1,9,1)&lt;=TODAY(),OR($O42="",$O42&gt;=DATE($B$1,9,1)),OR(COUNTIF($C42:K42,"&gt;0")&gt;0,DATE($B$1,9,1)=DATE(YEAR(TODAY()),MONTH(TODAY()),1))),1,0))</f>
        <v/>
      </c>
      <c r="Y42">
        <f>IF($A42="","",IF(AND($B42&gt;0,L42&lt;$B42,DATE($B$1,10,1)&lt;=TODAY(),OR($O42="",$O42&gt;=DATE($B$1,10,1)),OR(COUNTIF($C42:L42,"&gt;0")&gt;0,DATE($B$1,10,1)=DATE(YEAR(TODAY()),MONTH(TODAY()),1))),1,0))</f>
        <v/>
      </c>
      <c r="Z42">
        <f>IF($A42="","",IF(AND($B42&gt;0,M42&lt;$B42,DATE($B$1,11,1)&lt;=TODAY(),OR($O42="",$O42&gt;=DATE($B$1,11,1)),OR(COUNTIF($C42:M42,"&gt;0")&gt;0,DATE($B$1,11,1)=DATE(YEAR(TODAY()),MONTH(TODAY()),1))),1,0))</f>
        <v/>
      </c>
      <c r="AA42">
        <f>IF($A42="","",IF(AND($B42&gt;0,N42&lt;$B42,DATE($B$1,12,1)&lt;=TODAY(),OR($O42="",$O42&gt;=DATE($B$1,12,1)),OR(COUNTIF($C42:N42,"&gt;0")&gt;0,DATE($B$1,12,1)=DATE(YEAR(TODAY()),MONTH(TODAY()),1))),1,0))</f>
        <v/>
      </c>
    </row>
    <row r="43">
      <c r="A43" s="13">
        <f>IF(원생!$A41="","",원생!$A41&amp;IF(원생!$G41="",""," ("&amp;원생!$G41&amp;")"))</f>
        <v/>
      </c>
      <c r="B43" s="8">
        <f>IF(원생!$A41="","",N(원생!$F41))</f>
        <v/>
      </c>
      <c r="C43" s="14">
        <f>IF(원생!$A41="","",SUMIFS(계산!$C:$C,계산!$A:$A,계산!$E41,계산!$B:$B,$B$1*100+1))</f>
        <v/>
      </c>
      <c r="D43" s="14">
        <f>IF(원생!$A41="","",SUMIFS(계산!$C:$C,계산!$A:$A,계산!$E41,계산!$B:$B,$B$1*100+2))</f>
        <v/>
      </c>
      <c r="E43" s="14">
        <f>IF(원생!$A41="","",SUMIFS(계산!$C:$C,계산!$A:$A,계산!$E41,계산!$B:$B,$B$1*100+3))</f>
        <v/>
      </c>
      <c r="F43" s="14">
        <f>IF(원생!$A41="","",SUMIFS(계산!$C:$C,계산!$A:$A,계산!$E41,계산!$B:$B,$B$1*100+4))</f>
        <v/>
      </c>
      <c r="G43" s="14">
        <f>IF(원생!$A41="","",SUMIFS(계산!$C:$C,계산!$A:$A,계산!$E41,계산!$B:$B,$B$1*100+5))</f>
        <v/>
      </c>
      <c r="H43" s="14">
        <f>IF(원생!$A41="","",SUMIFS(계산!$C:$C,계산!$A:$A,계산!$E41,계산!$B:$B,$B$1*100+6))</f>
        <v/>
      </c>
      <c r="I43" s="14">
        <f>IF(원생!$A41="","",SUMIFS(계산!$C:$C,계산!$A:$A,계산!$E41,계산!$B:$B,$B$1*100+7))</f>
        <v/>
      </c>
      <c r="J43" s="14">
        <f>IF(원생!$A41="","",SUMIFS(계산!$C:$C,계산!$A:$A,계산!$E41,계산!$B:$B,$B$1*100+8))</f>
        <v/>
      </c>
      <c r="K43" s="14">
        <f>IF(원생!$A41="","",SUMIFS(계산!$C:$C,계산!$A:$A,계산!$E41,계산!$B:$B,$B$1*100+9))</f>
        <v/>
      </c>
      <c r="L43" s="14">
        <f>IF(원생!$A41="","",SUMIFS(계산!$C:$C,계산!$A:$A,계산!$E41,계산!$B:$B,$B$1*100+10))</f>
        <v/>
      </c>
      <c r="M43" s="14">
        <f>IF(원생!$A41="","",SUMIFS(계산!$C:$C,계산!$A:$A,계산!$E41,계산!$B:$B,$B$1*100+11))</f>
        <v/>
      </c>
      <c r="N43" s="14">
        <f>IF(원생!$A41="","",SUMIFS(계산!$C:$C,계산!$A:$A,계산!$E41,계산!$B:$B,$B$1*100+12))</f>
        <v/>
      </c>
      <c r="O43">
        <f>IF(원생!$I41="","",원생!$I41)</f>
        <v/>
      </c>
      <c r="P43">
        <f>IF($A43="","",IF(AND($B43&gt;0,C43&lt;$B43,DATE($B$1,1,1)&lt;=TODAY(),OR($O43="",$O43&gt;=DATE($B$1,1,1)),OR(COUNTIF($C43:C43,"&gt;0")&gt;0,DATE($B$1,1,1)=DATE(YEAR(TODAY()),MONTH(TODAY()),1))),1,0))</f>
        <v/>
      </c>
      <c r="Q43">
        <f>IF($A43="","",IF(AND($B43&gt;0,D43&lt;$B43,DATE($B$1,2,1)&lt;=TODAY(),OR($O43="",$O43&gt;=DATE($B$1,2,1)),OR(COUNTIF($C43:D43,"&gt;0")&gt;0,DATE($B$1,2,1)=DATE(YEAR(TODAY()),MONTH(TODAY()),1))),1,0))</f>
        <v/>
      </c>
      <c r="R43">
        <f>IF($A43="","",IF(AND($B43&gt;0,E43&lt;$B43,DATE($B$1,3,1)&lt;=TODAY(),OR($O43="",$O43&gt;=DATE($B$1,3,1)),OR(COUNTIF($C43:E43,"&gt;0")&gt;0,DATE($B$1,3,1)=DATE(YEAR(TODAY()),MONTH(TODAY()),1))),1,0))</f>
        <v/>
      </c>
      <c r="S43">
        <f>IF($A43="","",IF(AND($B43&gt;0,F43&lt;$B43,DATE($B$1,4,1)&lt;=TODAY(),OR($O43="",$O43&gt;=DATE($B$1,4,1)),OR(COUNTIF($C43:F43,"&gt;0")&gt;0,DATE($B$1,4,1)=DATE(YEAR(TODAY()),MONTH(TODAY()),1))),1,0))</f>
        <v/>
      </c>
      <c r="T43">
        <f>IF($A43="","",IF(AND($B43&gt;0,G43&lt;$B43,DATE($B$1,5,1)&lt;=TODAY(),OR($O43="",$O43&gt;=DATE($B$1,5,1)),OR(COUNTIF($C43:G43,"&gt;0")&gt;0,DATE($B$1,5,1)=DATE(YEAR(TODAY()),MONTH(TODAY()),1))),1,0))</f>
        <v/>
      </c>
      <c r="U43">
        <f>IF($A43="","",IF(AND($B43&gt;0,H43&lt;$B43,DATE($B$1,6,1)&lt;=TODAY(),OR($O43="",$O43&gt;=DATE($B$1,6,1)),OR(COUNTIF($C43:H43,"&gt;0")&gt;0,DATE($B$1,6,1)=DATE(YEAR(TODAY()),MONTH(TODAY()),1))),1,0))</f>
        <v/>
      </c>
      <c r="V43">
        <f>IF($A43="","",IF(AND($B43&gt;0,I43&lt;$B43,DATE($B$1,7,1)&lt;=TODAY(),OR($O43="",$O43&gt;=DATE($B$1,7,1)),OR(COUNTIF($C43:I43,"&gt;0")&gt;0,DATE($B$1,7,1)=DATE(YEAR(TODAY()),MONTH(TODAY()),1))),1,0))</f>
        <v/>
      </c>
      <c r="W43">
        <f>IF($A43="","",IF(AND($B43&gt;0,J43&lt;$B43,DATE($B$1,8,1)&lt;=TODAY(),OR($O43="",$O43&gt;=DATE($B$1,8,1)),OR(COUNTIF($C43:J43,"&gt;0")&gt;0,DATE($B$1,8,1)=DATE(YEAR(TODAY()),MONTH(TODAY()),1))),1,0))</f>
        <v/>
      </c>
      <c r="X43">
        <f>IF($A43="","",IF(AND($B43&gt;0,K43&lt;$B43,DATE($B$1,9,1)&lt;=TODAY(),OR($O43="",$O43&gt;=DATE($B$1,9,1)),OR(COUNTIF($C43:K43,"&gt;0")&gt;0,DATE($B$1,9,1)=DATE(YEAR(TODAY()),MONTH(TODAY()),1))),1,0))</f>
        <v/>
      </c>
      <c r="Y43">
        <f>IF($A43="","",IF(AND($B43&gt;0,L43&lt;$B43,DATE($B$1,10,1)&lt;=TODAY(),OR($O43="",$O43&gt;=DATE($B$1,10,1)),OR(COUNTIF($C43:L43,"&gt;0")&gt;0,DATE($B$1,10,1)=DATE(YEAR(TODAY()),MONTH(TODAY()),1))),1,0))</f>
        <v/>
      </c>
      <c r="Z43">
        <f>IF($A43="","",IF(AND($B43&gt;0,M43&lt;$B43,DATE($B$1,11,1)&lt;=TODAY(),OR($O43="",$O43&gt;=DATE($B$1,11,1)),OR(COUNTIF($C43:M43,"&gt;0")&gt;0,DATE($B$1,11,1)=DATE(YEAR(TODAY()),MONTH(TODAY()),1))),1,0))</f>
        <v/>
      </c>
      <c r="AA43">
        <f>IF($A43="","",IF(AND($B43&gt;0,N43&lt;$B43,DATE($B$1,12,1)&lt;=TODAY(),OR($O43="",$O43&gt;=DATE($B$1,12,1)),OR(COUNTIF($C43:N43,"&gt;0")&gt;0,DATE($B$1,12,1)=DATE(YEAR(TODAY()),MONTH(TODAY()),1))),1,0))</f>
        <v/>
      </c>
    </row>
    <row r="44">
      <c r="A44" s="13">
        <f>IF(원생!$A42="","",원생!$A42&amp;IF(원생!$G42="",""," ("&amp;원생!$G42&amp;")"))</f>
        <v/>
      </c>
      <c r="B44" s="8">
        <f>IF(원생!$A42="","",N(원생!$F42))</f>
        <v/>
      </c>
      <c r="C44" s="14">
        <f>IF(원생!$A42="","",SUMIFS(계산!$C:$C,계산!$A:$A,계산!$E42,계산!$B:$B,$B$1*100+1))</f>
        <v/>
      </c>
      <c r="D44" s="14">
        <f>IF(원생!$A42="","",SUMIFS(계산!$C:$C,계산!$A:$A,계산!$E42,계산!$B:$B,$B$1*100+2))</f>
        <v/>
      </c>
      <c r="E44" s="14">
        <f>IF(원생!$A42="","",SUMIFS(계산!$C:$C,계산!$A:$A,계산!$E42,계산!$B:$B,$B$1*100+3))</f>
        <v/>
      </c>
      <c r="F44" s="14">
        <f>IF(원생!$A42="","",SUMIFS(계산!$C:$C,계산!$A:$A,계산!$E42,계산!$B:$B,$B$1*100+4))</f>
        <v/>
      </c>
      <c r="G44" s="14">
        <f>IF(원생!$A42="","",SUMIFS(계산!$C:$C,계산!$A:$A,계산!$E42,계산!$B:$B,$B$1*100+5))</f>
        <v/>
      </c>
      <c r="H44" s="14">
        <f>IF(원생!$A42="","",SUMIFS(계산!$C:$C,계산!$A:$A,계산!$E42,계산!$B:$B,$B$1*100+6))</f>
        <v/>
      </c>
      <c r="I44" s="14">
        <f>IF(원생!$A42="","",SUMIFS(계산!$C:$C,계산!$A:$A,계산!$E42,계산!$B:$B,$B$1*100+7))</f>
        <v/>
      </c>
      <c r="J44" s="14">
        <f>IF(원생!$A42="","",SUMIFS(계산!$C:$C,계산!$A:$A,계산!$E42,계산!$B:$B,$B$1*100+8))</f>
        <v/>
      </c>
      <c r="K44" s="14">
        <f>IF(원생!$A42="","",SUMIFS(계산!$C:$C,계산!$A:$A,계산!$E42,계산!$B:$B,$B$1*100+9))</f>
        <v/>
      </c>
      <c r="L44" s="14">
        <f>IF(원생!$A42="","",SUMIFS(계산!$C:$C,계산!$A:$A,계산!$E42,계산!$B:$B,$B$1*100+10))</f>
        <v/>
      </c>
      <c r="M44" s="14">
        <f>IF(원생!$A42="","",SUMIFS(계산!$C:$C,계산!$A:$A,계산!$E42,계산!$B:$B,$B$1*100+11))</f>
        <v/>
      </c>
      <c r="N44" s="14">
        <f>IF(원생!$A42="","",SUMIFS(계산!$C:$C,계산!$A:$A,계산!$E42,계산!$B:$B,$B$1*100+12))</f>
        <v/>
      </c>
      <c r="O44">
        <f>IF(원생!$I42="","",원생!$I42)</f>
        <v/>
      </c>
      <c r="P44">
        <f>IF($A44="","",IF(AND($B44&gt;0,C44&lt;$B44,DATE($B$1,1,1)&lt;=TODAY(),OR($O44="",$O44&gt;=DATE($B$1,1,1)),OR(COUNTIF($C44:C44,"&gt;0")&gt;0,DATE($B$1,1,1)=DATE(YEAR(TODAY()),MONTH(TODAY()),1))),1,0))</f>
        <v/>
      </c>
      <c r="Q44">
        <f>IF($A44="","",IF(AND($B44&gt;0,D44&lt;$B44,DATE($B$1,2,1)&lt;=TODAY(),OR($O44="",$O44&gt;=DATE($B$1,2,1)),OR(COUNTIF($C44:D44,"&gt;0")&gt;0,DATE($B$1,2,1)=DATE(YEAR(TODAY()),MONTH(TODAY()),1))),1,0))</f>
        <v/>
      </c>
      <c r="R44">
        <f>IF($A44="","",IF(AND($B44&gt;0,E44&lt;$B44,DATE($B$1,3,1)&lt;=TODAY(),OR($O44="",$O44&gt;=DATE($B$1,3,1)),OR(COUNTIF($C44:E44,"&gt;0")&gt;0,DATE($B$1,3,1)=DATE(YEAR(TODAY()),MONTH(TODAY()),1))),1,0))</f>
        <v/>
      </c>
      <c r="S44">
        <f>IF($A44="","",IF(AND($B44&gt;0,F44&lt;$B44,DATE($B$1,4,1)&lt;=TODAY(),OR($O44="",$O44&gt;=DATE($B$1,4,1)),OR(COUNTIF($C44:F44,"&gt;0")&gt;0,DATE($B$1,4,1)=DATE(YEAR(TODAY()),MONTH(TODAY()),1))),1,0))</f>
        <v/>
      </c>
      <c r="T44">
        <f>IF($A44="","",IF(AND($B44&gt;0,G44&lt;$B44,DATE($B$1,5,1)&lt;=TODAY(),OR($O44="",$O44&gt;=DATE($B$1,5,1)),OR(COUNTIF($C44:G44,"&gt;0")&gt;0,DATE($B$1,5,1)=DATE(YEAR(TODAY()),MONTH(TODAY()),1))),1,0))</f>
        <v/>
      </c>
      <c r="U44">
        <f>IF($A44="","",IF(AND($B44&gt;0,H44&lt;$B44,DATE($B$1,6,1)&lt;=TODAY(),OR($O44="",$O44&gt;=DATE($B$1,6,1)),OR(COUNTIF($C44:H44,"&gt;0")&gt;0,DATE($B$1,6,1)=DATE(YEAR(TODAY()),MONTH(TODAY()),1))),1,0))</f>
        <v/>
      </c>
      <c r="V44">
        <f>IF($A44="","",IF(AND($B44&gt;0,I44&lt;$B44,DATE($B$1,7,1)&lt;=TODAY(),OR($O44="",$O44&gt;=DATE($B$1,7,1)),OR(COUNTIF($C44:I44,"&gt;0")&gt;0,DATE($B$1,7,1)=DATE(YEAR(TODAY()),MONTH(TODAY()),1))),1,0))</f>
        <v/>
      </c>
      <c r="W44">
        <f>IF($A44="","",IF(AND($B44&gt;0,J44&lt;$B44,DATE($B$1,8,1)&lt;=TODAY(),OR($O44="",$O44&gt;=DATE($B$1,8,1)),OR(COUNTIF($C44:J44,"&gt;0")&gt;0,DATE($B$1,8,1)=DATE(YEAR(TODAY()),MONTH(TODAY()),1))),1,0))</f>
        <v/>
      </c>
      <c r="X44">
        <f>IF($A44="","",IF(AND($B44&gt;0,K44&lt;$B44,DATE($B$1,9,1)&lt;=TODAY(),OR($O44="",$O44&gt;=DATE($B$1,9,1)),OR(COUNTIF($C44:K44,"&gt;0")&gt;0,DATE($B$1,9,1)=DATE(YEAR(TODAY()),MONTH(TODAY()),1))),1,0))</f>
        <v/>
      </c>
      <c r="Y44">
        <f>IF($A44="","",IF(AND($B44&gt;0,L44&lt;$B44,DATE($B$1,10,1)&lt;=TODAY(),OR($O44="",$O44&gt;=DATE($B$1,10,1)),OR(COUNTIF($C44:L44,"&gt;0")&gt;0,DATE($B$1,10,1)=DATE(YEAR(TODAY()),MONTH(TODAY()),1))),1,0))</f>
        <v/>
      </c>
      <c r="Z44">
        <f>IF($A44="","",IF(AND($B44&gt;0,M44&lt;$B44,DATE($B$1,11,1)&lt;=TODAY(),OR($O44="",$O44&gt;=DATE($B$1,11,1)),OR(COUNTIF($C44:M44,"&gt;0")&gt;0,DATE($B$1,11,1)=DATE(YEAR(TODAY()),MONTH(TODAY()),1))),1,0))</f>
        <v/>
      </c>
      <c r="AA44">
        <f>IF($A44="","",IF(AND($B44&gt;0,N44&lt;$B44,DATE($B$1,12,1)&lt;=TODAY(),OR($O44="",$O44&gt;=DATE($B$1,12,1)),OR(COUNTIF($C44:N44,"&gt;0")&gt;0,DATE($B$1,12,1)=DATE(YEAR(TODAY()),MONTH(TODAY()),1))),1,0))</f>
        <v/>
      </c>
    </row>
    <row r="45">
      <c r="A45" s="13">
        <f>IF(원생!$A43="","",원생!$A43&amp;IF(원생!$G43="",""," ("&amp;원생!$G43&amp;")"))</f>
        <v/>
      </c>
      <c r="B45" s="8">
        <f>IF(원생!$A43="","",N(원생!$F43))</f>
        <v/>
      </c>
      <c r="C45" s="14">
        <f>IF(원생!$A43="","",SUMIFS(계산!$C:$C,계산!$A:$A,계산!$E43,계산!$B:$B,$B$1*100+1))</f>
        <v/>
      </c>
      <c r="D45" s="14">
        <f>IF(원생!$A43="","",SUMIFS(계산!$C:$C,계산!$A:$A,계산!$E43,계산!$B:$B,$B$1*100+2))</f>
        <v/>
      </c>
      <c r="E45" s="14">
        <f>IF(원생!$A43="","",SUMIFS(계산!$C:$C,계산!$A:$A,계산!$E43,계산!$B:$B,$B$1*100+3))</f>
        <v/>
      </c>
      <c r="F45" s="14">
        <f>IF(원생!$A43="","",SUMIFS(계산!$C:$C,계산!$A:$A,계산!$E43,계산!$B:$B,$B$1*100+4))</f>
        <v/>
      </c>
      <c r="G45" s="14">
        <f>IF(원생!$A43="","",SUMIFS(계산!$C:$C,계산!$A:$A,계산!$E43,계산!$B:$B,$B$1*100+5))</f>
        <v/>
      </c>
      <c r="H45" s="14">
        <f>IF(원생!$A43="","",SUMIFS(계산!$C:$C,계산!$A:$A,계산!$E43,계산!$B:$B,$B$1*100+6))</f>
        <v/>
      </c>
      <c r="I45" s="14">
        <f>IF(원생!$A43="","",SUMIFS(계산!$C:$C,계산!$A:$A,계산!$E43,계산!$B:$B,$B$1*100+7))</f>
        <v/>
      </c>
      <c r="J45" s="14">
        <f>IF(원생!$A43="","",SUMIFS(계산!$C:$C,계산!$A:$A,계산!$E43,계산!$B:$B,$B$1*100+8))</f>
        <v/>
      </c>
      <c r="K45" s="14">
        <f>IF(원생!$A43="","",SUMIFS(계산!$C:$C,계산!$A:$A,계산!$E43,계산!$B:$B,$B$1*100+9))</f>
        <v/>
      </c>
      <c r="L45" s="14">
        <f>IF(원생!$A43="","",SUMIFS(계산!$C:$C,계산!$A:$A,계산!$E43,계산!$B:$B,$B$1*100+10))</f>
        <v/>
      </c>
      <c r="M45" s="14">
        <f>IF(원생!$A43="","",SUMIFS(계산!$C:$C,계산!$A:$A,계산!$E43,계산!$B:$B,$B$1*100+11))</f>
        <v/>
      </c>
      <c r="N45" s="14">
        <f>IF(원생!$A43="","",SUMIFS(계산!$C:$C,계산!$A:$A,계산!$E43,계산!$B:$B,$B$1*100+12))</f>
        <v/>
      </c>
      <c r="O45">
        <f>IF(원생!$I43="","",원생!$I43)</f>
        <v/>
      </c>
      <c r="P45">
        <f>IF($A45="","",IF(AND($B45&gt;0,C45&lt;$B45,DATE($B$1,1,1)&lt;=TODAY(),OR($O45="",$O45&gt;=DATE($B$1,1,1)),OR(COUNTIF($C45:C45,"&gt;0")&gt;0,DATE($B$1,1,1)=DATE(YEAR(TODAY()),MONTH(TODAY()),1))),1,0))</f>
        <v/>
      </c>
      <c r="Q45">
        <f>IF($A45="","",IF(AND($B45&gt;0,D45&lt;$B45,DATE($B$1,2,1)&lt;=TODAY(),OR($O45="",$O45&gt;=DATE($B$1,2,1)),OR(COUNTIF($C45:D45,"&gt;0")&gt;0,DATE($B$1,2,1)=DATE(YEAR(TODAY()),MONTH(TODAY()),1))),1,0))</f>
        <v/>
      </c>
      <c r="R45">
        <f>IF($A45="","",IF(AND($B45&gt;0,E45&lt;$B45,DATE($B$1,3,1)&lt;=TODAY(),OR($O45="",$O45&gt;=DATE($B$1,3,1)),OR(COUNTIF($C45:E45,"&gt;0")&gt;0,DATE($B$1,3,1)=DATE(YEAR(TODAY()),MONTH(TODAY()),1))),1,0))</f>
        <v/>
      </c>
      <c r="S45">
        <f>IF($A45="","",IF(AND($B45&gt;0,F45&lt;$B45,DATE($B$1,4,1)&lt;=TODAY(),OR($O45="",$O45&gt;=DATE($B$1,4,1)),OR(COUNTIF($C45:F45,"&gt;0")&gt;0,DATE($B$1,4,1)=DATE(YEAR(TODAY()),MONTH(TODAY()),1))),1,0))</f>
        <v/>
      </c>
      <c r="T45">
        <f>IF($A45="","",IF(AND($B45&gt;0,G45&lt;$B45,DATE($B$1,5,1)&lt;=TODAY(),OR($O45="",$O45&gt;=DATE($B$1,5,1)),OR(COUNTIF($C45:G45,"&gt;0")&gt;0,DATE($B$1,5,1)=DATE(YEAR(TODAY()),MONTH(TODAY()),1))),1,0))</f>
        <v/>
      </c>
      <c r="U45">
        <f>IF($A45="","",IF(AND($B45&gt;0,H45&lt;$B45,DATE($B$1,6,1)&lt;=TODAY(),OR($O45="",$O45&gt;=DATE($B$1,6,1)),OR(COUNTIF($C45:H45,"&gt;0")&gt;0,DATE($B$1,6,1)=DATE(YEAR(TODAY()),MONTH(TODAY()),1))),1,0))</f>
        <v/>
      </c>
      <c r="V45">
        <f>IF($A45="","",IF(AND($B45&gt;0,I45&lt;$B45,DATE($B$1,7,1)&lt;=TODAY(),OR($O45="",$O45&gt;=DATE($B$1,7,1)),OR(COUNTIF($C45:I45,"&gt;0")&gt;0,DATE($B$1,7,1)=DATE(YEAR(TODAY()),MONTH(TODAY()),1))),1,0))</f>
        <v/>
      </c>
      <c r="W45">
        <f>IF($A45="","",IF(AND($B45&gt;0,J45&lt;$B45,DATE($B$1,8,1)&lt;=TODAY(),OR($O45="",$O45&gt;=DATE($B$1,8,1)),OR(COUNTIF($C45:J45,"&gt;0")&gt;0,DATE($B$1,8,1)=DATE(YEAR(TODAY()),MONTH(TODAY()),1))),1,0))</f>
        <v/>
      </c>
      <c r="X45">
        <f>IF($A45="","",IF(AND($B45&gt;0,K45&lt;$B45,DATE($B$1,9,1)&lt;=TODAY(),OR($O45="",$O45&gt;=DATE($B$1,9,1)),OR(COUNTIF($C45:K45,"&gt;0")&gt;0,DATE($B$1,9,1)=DATE(YEAR(TODAY()),MONTH(TODAY()),1))),1,0))</f>
        <v/>
      </c>
      <c r="Y45">
        <f>IF($A45="","",IF(AND($B45&gt;0,L45&lt;$B45,DATE($B$1,10,1)&lt;=TODAY(),OR($O45="",$O45&gt;=DATE($B$1,10,1)),OR(COUNTIF($C45:L45,"&gt;0")&gt;0,DATE($B$1,10,1)=DATE(YEAR(TODAY()),MONTH(TODAY()),1))),1,0))</f>
        <v/>
      </c>
      <c r="Z45">
        <f>IF($A45="","",IF(AND($B45&gt;0,M45&lt;$B45,DATE($B$1,11,1)&lt;=TODAY(),OR($O45="",$O45&gt;=DATE($B$1,11,1)),OR(COUNTIF($C45:M45,"&gt;0")&gt;0,DATE($B$1,11,1)=DATE(YEAR(TODAY()),MONTH(TODAY()),1))),1,0))</f>
        <v/>
      </c>
      <c r="AA45">
        <f>IF($A45="","",IF(AND($B45&gt;0,N45&lt;$B45,DATE($B$1,12,1)&lt;=TODAY(),OR($O45="",$O45&gt;=DATE($B$1,12,1)),OR(COUNTIF($C45:N45,"&gt;0")&gt;0,DATE($B$1,12,1)=DATE(YEAR(TODAY()),MONTH(TODAY()),1))),1,0))</f>
        <v/>
      </c>
    </row>
    <row r="46">
      <c r="A46" s="13">
        <f>IF(원생!$A44="","",원생!$A44&amp;IF(원생!$G44="",""," ("&amp;원생!$G44&amp;")"))</f>
        <v/>
      </c>
      <c r="B46" s="8">
        <f>IF(원생!$A44="","",N(원생!$F44))</f>
        <v/>
      </c>
      <c r="C46" s="14">
        <f>IF(원생!$A44="","",SUMIFS(계산!$C:$C,계산!$A:$A,계산!$E44,계산!$B:$B,$B$1*100+1))</f>
        <v/>
      </c>
      <c r="D46" s="14">
        <f>IF(원생!$A44="","",SUMIFS(계산!$C:$C,계산!$A:$A,계산!$E44,계산!$B:$B,$B$1*100+2))</f>
        <v/>
      </c>
      <c r="E46" s="14">
        <f>IF(원생!$A44="","",SUMIFS(계산!$C:$C,계산!$A:$A,계산!$E44,계산!$B:$B,$B$1*100+3))</f>
        <v/>
      </c>
      <c r="F46" s="14">
        <f>IF(원생!$A44="","",SUMIFS(계산!$C:$C,계산!$A:$A,계산!$E44,계산!$B:$B,$B$1*100+4))</f>
        <v/>
      </c>
      <c r="G46" s="14">
        <f>IF(원생!$A44="","",SUMIFS(계산!$C:$C,계산!$A:$A,계산!$E44,계산!$B:$B,$B$1*100+5))</f>
        <v/>
      </c>
      <c r="H46" s="14">
        <f>IF(원생!$A44="","",SUMIFS(계산!$C:$C,계산!$A:$A,계산!$E44,계산!$B:$B,$B$1*100+6))</f>
        <v/>
      </c>
      <c r="I46" s="14">
        <f>IF(원생!$A44="","",SUMIFS(계산!$C:$C,계산!$A:$A,계산!$E44,계산!$B:$B,$B$1*100+7))</f>
        <v/>
      </c>
      <c r="J46" s="14">
        <f>IF(원생!$A44="","",SUMIFS(계산!$C:$C,계산!$A:$A,계산!$E44,계산!$B:$B,$B$1*100+8))</f>
        <v/>
      </c>
      <c r="K46" s="14">
        <f>IF(원생!$A44="","",SUMIFS(계산!$C:$C,계산!$A:$A,계산!$E44,계산!$B:$B,$B$1*100+9))</f>
        <v/>
      </c>
      <c r="L46" s="14">
        <f>IF(원생!$A44="","",SUMIFS(계산!$C:$C,계산!$A:$A,계산!$E44,계산!$B:$B,$B$1*100+10))</f>
        <v/>
      </c>
      <c r="M46" s="14">
        <f>IF(원생!$A44="","",SUMIFS(계산!$C:$C,계산!$A:$A,계산!$E44,계산!$B:$B,$B$1*100+11))</f>
        <v/>
      </c>
      <c r="N46" s="14">
        <f>IF(원생!$A44="","",SUMIFS(계산!$C:$C,계산!$A:$A,계산!$E44,계산!$B:$B,$B$1*100+12))</f>
        <v/>
      </c>
      <c r="O46">
        <f>IF(원생!$I44="","",원생!$I44)</f>
        <v/>
      </c>
      <c r="P46">
        <f>IF($A46="","",IF(AND($B46&gt;0,C46&lt;$B46,DATE($B$1,1,1)&lt;=TODAY(),OR($O46="",$O46&gt;=DATE($B$1,1,1)),OR(COUNTIF($C46:C46,"&gt;0")&gt;0,DATE($B$1,1,1)=DATE(YEAR(TODAY()),MONTH(TODAY()),1))),1,0))</f>
        <v/>
      </c>
      <c r="Q46">
        <f>IF($A46="","",IF(AND($B46&gt;0,D46&lt;$B46,DATE($B$1,2,1)&lt;=TODAY(),OR($O46="",$O46&gt;=DATE($B$1,2,1)),OR(COUNTIF($C46:D46,"&gt;0")&gt;0,DATE($B$1,2,1)=DATE(YEAR(TODAY()),MONTH(TODAY()),1))),1,0))</f>
        <v/>
      </c>
      <c r="R46">
        <f>IF($A46="","",IF(AND($B46&gt;0,E46&lt;$B46,DATE($B$1,3,1)&lt;=TODAY(),OR($O46="",$O46&gt;=DATE($B$1,3,1)),OR(COUNTIF($C46:E46,"&gt;0")&gt;0,DATE($B$1,3,1)=DATE(YEAR(TODAY()),MONTH(TODAY()),1))),1,0))</f>
        <v/>
      </c>
      <c r="S46">
        <f>IF($A46="","",IF(AND($B46&gt;0,F46&lt;$B46,DATE($B$1,4,1)&lt;=TODAY(),OR($O46="",$O46&gt;=DATE($B$1,4,1)),OR(COUNTIF($C46:F46,"&gt;0")&gt;0,DATE($B$1,4,1)=DATE(YEAR(TODAY()),MONTH(TODAY()),1))),1,0))</f>
        <v/>
      </c>
      <c r="T46">
        <f>IF($A46="","",IF(AND($B46&gt;0,G46&lt;$B46,DATE($B$1,5,1)&lt;=TODAY(),OR($O46="",$O46&gt;=DATE($B$1,5,1)),OR(COUNTIF($C46:G46,"&gt;0")&gt;0,DATE($B$1,5,1)=DATE(YEAR(TODAY()),MONTH(TODAY()),1))),1,0))</f>
        <v/>
      </c>
      <c r="U46">
        <f>IF($A46="","",IF(AND($B46&gt;0,H46&lt;$B46,DATE($B$1,6,1)&lt;=TODAY(),OR($O46="",$O46&gt;=DATE($B$1,6,1)),OR(COUNTIF($C46:H46,"&gt;0")&gt;0,DATE($B$1,6,1)=DATE(YEAR(TODAY()),MONTH(TODAY()),1))),1,0))</f>
        <v/>
      </c>
      <c r="V46">
        <f>IF($A46="","",IF(AND($B46&gt;0,I46&lt;$B46,DATE($B$1,7,1)&lt;=TODAY(),OR($O46="",$O46&gt;=DATE($B$1,7,1)),OR(COUNTIF($C46:I46,"&gt;0")&gt;0,DATE($B$1,7,1)=DATE(YEAR(TODAY()),MONTH(TODAY()),1))),1,0))</f>
        <v/>
      </c>
      <c r="W46">
        <f>IF($A46="","",IF(AND($B46&gt;0,J46&lt;$B46,DATE($B$1,8,1)&lt;=TODAY(),OR($O46="",$O46&gt;=DATE($B$1,8,1)),OR(COUNTIF($C46:J46,"&gt;0")&gt;0,DATE($B$1,8,1)=DATE(YEAR(TODAY()),MONTH(TODAY()),1))),1,0))</f>
        <v/>
      </c>
      <c r="X46">
        <f>IF($A46="","",IF(AND($B46&gt;0,K46&lt;$B46,DATE($B$1,9,1)&lt;=TODAY(),OR($O46="",$O46&gt;=DATE($B$1,9,1)),OR(COUNTIF($C46:K46,"&gt;0")&gt;0,DATE($B$1,9,1)=DATE(YEAR(TODAY()),MONTH(TODAY()),1))),1,0))</f>
        <v/>
      </c>
      <c r="Y46">
        <f>IF($A46="","",IF(AND($B46&gt;0,L46&lt;$B46,DATE($B$1,10,1)&lt;=TODAY(),OR($O46="",$O46&gt;=DATE($B$1,10,1)),OR(COUNTIF($C46:L46,"&gt;0")&gt;0,DATE($B$1,10,1)=DATE(YEAR(TODAY()),MONTH(TODAY()),1))),1,0))</f>
        <v/>
      </c>
      <c r="Z46">
        <f>IF($A46="","",IF(AND($B46&gt;0,M46&lt;$B46,DATE($B$1,11,1)&lt;=TODAY(),OR($O46="",$O46&gt;=DATE($B$1,11,1)),OR(COUNTIF($C46:M46,"&gt;0")&gt;0,DATE($B$1,11,1)=DATE(YEAR(TODAY()),MONTH(TODAY()),1))),1,0))</f>
        <v/>
      </c>
      <c r="AA46">
        <f>IF($A46="","",IF(AND($B46&gt;0,N46&lt;$B46,DATE($B$1,12,1)&lt;=TODAY(),OR($O46="",$O46&gt;=DATE($B$1,12,1)),OR(COUNTIF($C46:N46,"&gt;0")&gt;0,DATE($B$1,12,1)=DATE(YEAR(TODAY()),MONTH(TODAY()),1))),1,0))</f>
        <v/>
      </c>
    </row>
    <row r="47">
      <c r="A47" s="13">
        <f>IF(원생!$A45="","",원생!$A45&amp;IF(원생!$G45="",""," ("&amp;원생!$G45&amp;")"))</f>
        <v/>
      </c>
      <c r="B47" s="8">
        <f>IF(원생!$A45="","",N(원생!$F45))</f>
        <v/>
      </c>
      <c r="C47" s="14">
        <f>IF(원생!$A45="","",SUMIFS(계산!$C:$C,계산!$A:$A,계산!$E45,계산!$B:$B,$B$1*100+1))</f>
        <v/>
      </c>
      <c r="D47" s="14">
        <f>IF(원생!$A45="","",SUMIFS(계산!$C:$C,계산!$A:$A,계산!$E45,계산!$B:$B,$B$1*100+2))</f>
        <v/>
      </c>
      <c r="E47" s="14">
        <f>IF(원생!$A45="","",SUMIFS(계산!$C:$C,계산!$A:$A,계산!$E45,계산!$B:$B,$B$1*100+3))</f>
        <v/>
      </c>
      <c r="F47" s="14">
        <f>IF(원생!$A45="","",SUMIFS(계산!$C:$C,계산!$A:$A,계산!$E45,계산!$B:$B,$B$1*100+4))</f>
        <v/>
      </c>
      <c r="G47" s="14">
        <f>IF(원생!$A45="","",SUMIFS(계산!$C:$C,계산!$A:$A,계산!$E45,계산!$B:$B,$B$1*100+5))</f>
        <v/>
      </c>
      <c r="H47" s="14">
        <f>IF(원생!$A45="","",SUMIFS(계산!$C:$C,계산!$A:$A,계산!$E45,계산!$B:$B,$B$1*100+6))</f>
        <v/>
      </c>
      <c r="I47" s="14">
        <f>IF(원생!$A45="","",SUMIFS(계산!$C:$C,계산!$A:$A,계산!$E45,계산!$B:$B,$B$1*100+7))</f>
        <v/>
      </c>
      <c r="J47" s="14">
        <f>IF(원생!$A45="","",SUMIFS(계산!$C:$C,계산!$A:$A,계산!$E45,계산!$B:$B,$B$1*100+8))</f>
        <v/>
      </c>
      <c r="K47" s="14">
        <f>IF(원생!$A45="","",SUMIFS(계산!$C:$C,계산!$A:$A,계산!$E45,계산!$B:$B,$B$1*100+9))</f>
        <v/>
      </c>
      <c r="L47" s="14">
        <f>IF(원생!$A45="","",SUMIFS(계산!$C:$C,계산!$A:$A,계산!$E45,계산!$B:$B,$B$1*100+10))</f>
        <v/>
      </c>
      <c r="M47" s="14">
        <f>IF(원생!$A45="","",SUMIFS(계산!$C:$C,계산!$A:$A,계산!$E45,계산!$B:$B,$B$1*100+11))</f>
        <v/>
      </c>
      <c r="N47" s="14">
        <f>IF(원생!$A45="","",SUMIFS(계산!$C:$C,계산!$A:$A,계산!$E45,계산!$B:$B,$B$1*100+12))</f>
        <v/>
      </c>
      <c r="O47">
        <f>IF(원생!$I45="","",원생!$I45)</f>
        <v/>
      </c>
      <c r="P47">
        <f>IF($A47="","",IF(AND($B47&gt;0,C47&lt;$B47,DATE($B$1,1,1)&lt;=TODAY(),OR($O47="",$O47&gt;=DATE($B$1,1,1)),OR(COUNTIF($C47:C47,"&gt;0")&gt;0,DATE($B$1,1,1)=DATE(YEAR(TODAY()),MONTH(TODAY()),1))),1,0))</f>
        <v/>
      </c>
      <c r="Q47">
        <f>IF($A47="","",IF(AND($B47&gt;0,D47&lt;$B47,DATE($B$1,2,1)&lt;=TODAY(),OR($O47="",$O47&gt;=DATE($B$1,2,1)),OR(COUNTIF($C47:D47,"&gt;0")&gt;0,DATE($B$1,2,1)=DATE(YEAR(TODAY()),MONTH(TODAY()),1))),1,0))</f>
        <v/>
      </c>
      <c r="R47">
        <f>IF($A47="","",IF(AND($B47&gt;0,E47&lt;$B47,DATE($B$1,3,1)&lt;=TODAY(),OR($O47="",$O47&gt;=DATE($B$1,3,1)),OR(COUNTIF($C47:E47,"&gt;0")&gt;0,DATE($B$1,3,1)=DATE(YEAR(TODAY()),MONTH(TODAY()),1))),1,0))</f>
        <v/>
      </c>
      <c r="S47">
        <f>IF($A47="","",IF(AND($B47&gt;0,F47&lt;$B47,DATE($B$1,4,1)&lt;=TODAY(),OR($O47="",$O47&gt;=DATE($B$1,4,1)),OR(COUNTIF($C47:F47,"&gt;0")&gt;0,DATE($B$1,4,1)=DATE(YEAR(TODAY()),MONTH(TODAY()),1))),1,0))</f>
        <v/>
      </c>
      <c r="T47">
        <f>IF($A47="","",IF(AND($B47&gt;0,G47&lt;$B47,DATE($B$1,5,1)&lt;=TODAY(),OR($O47="",$O47&gt;=DATE($B$1,5,1)),OR(COUNTIF($C47:G47,"&gt;0")&gt;0,DATE($B$1,5,1)=DATE(YEAR(TODAY()),MONTH(TODAY()),1))),1,0))</f>
        <v/>
      </c>
      <c r="U47">
        <f>IF($A47="","",IF(AND($B47&gt;0,H47&lt;$B47,DATE($B$1,6,1)&lt;=TODAY(),OR($O47="",$O47&gt;=DATE($B$1,6,1)),OR(COUNTIF($C47:H47,"&gt;0")&gt;0,DATE($B$1,6,1)=DATE(YEAR(TODAY()),MONTH(TODAY()),1))),1,0))</f>
        <v/>
      </c>
      <c r="V47">
        <f>IF($A47="","",IF(AND($B47&gt;0,I47&lt;$B47,DATE($B$1,7,1)&lt;=TODAY(),OR($O47="",$O47&gt;=DATE($B$1,7,1)),OR(COUNTIF($C47:I47,"&gt;0")&gt;0,DATE($B$1,7,1)=DATE(YEAR(TODAY()),MONTH(TODAY()),1))),1,0))</f>
        <v/>
      </c>
      <c r="W47">
        <f>IF($A47="","",IF(AND($B47&gt;0,J47&lt;$B47,DATE($B$1,8,1)&lt;=TODAY(),OR($O47="",$O47&gt;=DATE($B$1,8,1)),OR(COUNTIF($C47:J47,"&gt;0")&gt;0,DATE($B$1,8,1)=DATE(YEAR(TODAY()),MONTH(TODAY()),1))),1,0))</f>
        <v/>
      </c>
      <c r="X47">
        <f>IF($A47="","",IF(AND($B47&gt;0,K47&lt;$B47,DATE($B$1,9,1)&lt;=TODAY(),OR($O47="",$O47&gt;=DATE($B$1,9,1)),OR(COUNTIF($C47:K47,"&gt;0")&gt;0,DATE($B$1,9,1)=DATE(YEAR(TODAY()),MONTH(TODAY()),1))),1,0))</f>
        <v/>
      </c>
      <c r="Y47">
        <f>IF($A47="","",IF(AND($B47&gt;0,L47&lt;$B47,DATE($B$1,10,1)&lt;=TODAY(),OR($O47="",$O47&gt;=DATE($B$1,10,1)),OR(COUNTIF($C47:L47,"&gt;0")&gt;0,DATE($B$1,10,1)=DATE(YEAR(TODAY()),MONTH(TODAY()),1))),1,0))</f>
        <v/>
      </c>
      <c r="Z47">
        <f>IF($A47="","",IF(AND($B47&gt;0,M47&lt;$B47,DATE($B$1,11,1)&lt;=TODAY(),OR($O47="",$O47&gt;=DATE($B$1,11,1)),OR(COUNTIF($C47:M47,"&gt;0")&gt;0,DATE($B$1,11,1)=DATE(YEAR(TODAY()),MONTH(TODAY()),1))),1,0))</f>
        <v/>
      </c>
      <c r="AA47">
        <f>IF($A47="","",IF(AND($B47&gt;0,N47&lt;$B47,DATE($B$1,12,1)&lt;=TODAY(),OR($O47="",$O47&gt;=DATE($B$1,12,1)),OR(COUNTIF($C47:N47,"&gt;0")&gt;0,DATE($B$1,12,1)=DATE(YEAR(TODAY()),MONTH(TODAY()),1))),1,0))</f>
        <v/>
      </c>
    </row>
    <row r="48">
      <c r="A48" s="13">
        <f>IF(원생!$A46="","",원생!$A46&amp;IF(원생!$G46="",""," ("&amp;원생!$G46&amp;")"))</f>
        <v/>
      </c>
      <c r="B48" s="8">
        <f>IF(원생!$A46="","",N(원생!$F46))</f>
        <v/>
      </c>
      <c r="C48" s="14">
        <f>IF(원생!$A46="","",SUMIFS(계산!$C:$C,계산!$A:$A,계산!$E46,계산!$B:$B,$B$1*100+1))</f>
        <v/>
      </c>
      <c r="D48" s="14">
        <f>IF(원생!$A46="","",SUMIFS(계산!$C:$C,계산!$A:$A,계산!$E46,계산!$B:$B,$B$1*100+2))</f>
        <v/>
      </c>
      <c r="E48" s="14">
        <f>IF(원생!$A46="","",SUMIFS(계산!$C:$C,계산!$A:$A,계산!$E46,계산!$B:$B,$B$1*100+3))</f>
        <v/>
      </c>
      <c r="F48" s="14">
        <f>IF(원생!$A46="","",SUMIFS(계산!$C:$C,계산!$A:$A,계산!$E46,계산!$B:$B,$B$1*100+4))</f>
        <v/>
      </c>
      <c r="G48" s="14">
        <f>IF(원생!$A46="","",SUMIFS(계산!$C:$C,계산!$A:$A,계산!$E46,계산!$B:$B,$B$1*100+5))</f>
        <v/>
      </c>
      <c r="H48" s="14">
        <f>IF(원생!$A46="","",SUMIFS(계산!$C:$C,계산!$A:$A,계산!$E46,계산!$B:$B,$B$1*100+6))</f>
        <v/>
      </c>
      <c r="I48" s="14">
        <f>IF(원생!$A46="","",SUMIFS(계산!$C:$C,계산!$A:$A,계산!$E46,계산!$B:$B,$B$1*100+7))</f>
        <v/>
      </c>
      <c r="J48" s="14">
        <f>IF(원생!$A46="","",SUMIFS(계산!$C:$C,계산!$A:$A,계산!$E46,계산!$B:$B,$B$1*100+8))</f>
        <v/>
      </c>
      <c r="K48" s="14">
        <f>IF(원생!$A46="","",SUMIFS(계산!$C:$C,계산!$A:$A,계산!$E46,계산!$B:$B,$B$1*100+9))</f>
        <v/>
      </c>
      <c r="L48" s="14">
        <f>IF(원생!$A46="","",SUMIFS(계산!$C:$C,계산!$A:$A,계산!$E46,계산!$B:$B,$B$1*100+10))</f>
        <v/>
      </c>
      <c r="M48" s="14">
        <f>IF(원생!$A46="","",SUMIFS(계산!$C:$C,계산!$A:$A,계산!$E46,계산!$B:$B,$B$1*100+11))</f>
        <v/>
      </c>
      <c r="N48" s="14">
        <f>IF(원생!$A46="","",SUMIFS(계산!$C:$C,계산!$A:$A,계산!$E46,계산!$B:$B,$B$1*100+12))</f>
        <v/>
      </c>
      <c r="O48">
        <f>IF(원생!$I46="","",원생!$I46)</f>
        <v/>
      </c>
      <c r="P48">
        <f>IF($A48="","",IF(AND($B48&gt;0,C48&lt;$B48,DATE($B$1,1,1)&lt;=TODAY(),OR($O48="",$O48&gt;=DATE($B$1,1,1)),OR(COUNTIF($C48:C48,"&gt;0")&gt;0,DATE($B$1,1,1)=DATE(YEAR(TODAY()),MONTH(TODAY()),1))),1,0))</f>
        <v/>
      </c>
      <c r="Q48">
        <f>IF($A48="","",IF(AND($B48&gt;0,D48&lt;$B48,DATE($B$1,2,1)&lt;=TODAY(),OR($O48="",$O48&gt;=DATE($B$1,2,1)),OR(COUNTIF($C48:D48,"&gt;0")&gt;0,DATE($B$1,2,1)=DATE(YEAR(TODAY()),MONTH(TODAY()),1))),1,0))</f>
        <v/>
      </c>
      <c r="R48">
        <f>IF($A48="","",IF(AND($B48&gt;0,E48&lt;$B48,DATE($B$1,3,1)&lt;=TODAY(),OR($O48="",$O48&gt;=DATE($B$1,3,1)),OR(COUNTIF($C48:E48,"&gt;0")&gt;0,DATE($B$1,3,1)=DATE(YEAR(TODAY()),MONTH(TODAY()),1))),1,0))</f>
        <v/>
      </c>
      <c r="S48">
        <f>IF($A48="","",IF(AND($B48&gt;0,F48&lt;$B48,DATE($B$1,4,1)&lt;=TODAY(),OR($O48="",$O48&gt;=DATE($B$1,4,1)),OR(COUNTIF($C48:F48,"&gt;0")&gt;0,DATE($B$1,4,1)=DATE(YEAR(TODAY()),MONTH(TODAY()),1))),1,0))</f>
        <v/>
      </c>
      <c r="T48">
        <f>IF($A48="","",IF(AND($B48&gt;0,G48&lt;$B48,DATE($B$1,5,1)&lt;=TODAY(),OR($O48="",$O48&gt;=DATE($B$1,5,1)),OR(COUNTIF($C48:G48,"&gt;0")&gt;0,DATE($B$1,5,1)=DATE(YEAR(TODAY()),MONTH(TODAY()),1))),1,0))</f>
        <v/>
      </c>
      <c r="U48">
        <f>IF($A48="","",IF(AND($B48&gt;0,H48&lt;$B48,DATE($B$1,6,1)&lt;=TODAY(),OR($O48="",$O48&gt;=DATE($B$1,6,1)),OR(COUNTIF($C48:H48,"&gt;0")&gt;0,DATE($B$1,6,1)=DATE(YEAR(TODAY()),MONTH(TODAY()),1))),1,0))</f>
        <v/>
      </c>
      <c r="V48">
        <f>IF($A48="","",IF(AND($B48&gt;0,I48&lt;$B48,DATE($B$1,7,1)&lt;=TODAY(),OR($O48="",$O48&gt;=DATE($B$1,7,1)),OR(COUNTIF($C48:I48,"&gt;0")&gt;0,DATE($B$1,7,1)=DATE(YEAR(TODAY()),MONTH(TODAY()),1))),1,0))</f>
        <v/>
      </c>
      <c r="W48">
        <f>IF($A48="","",IF(AND($B48&gt;0,J48&lt;$B48,DATE($B$1,8,1)&lt;=TODAY(),OR($O48="",$O48&gt;=DATE($B$1,8,1)),OR(COUNTIF($C48:J48,"&gt;0")&gt;0,DATE($B$1,8,1)=DATE(YEAR(TODAY()),MONTH(TODAY()),1))),1,0))</f>
        <v/>
      </c>
      <c r="X48">
        <f>IF($A48="","",IF(AND($B48&gt;0,K48&lt;$B48,DATE($B$1,9,1)&lt;=TODAY(),OR($O48="",$O48&gt;=DATE($B$1,9,1)),OR(COUNTIF($C48:K48,"&gt;0")&gt;0,DATE($B$1,9,1)=DATE(YEAR(TODAY()),MONTH(TODAY()),1))),1,0))</f>
        <v/>
      </c>
      <c r="Y48">
        <f>IF($A48="","",IF(AND($B48&gt;0,L48&lt;$B48,DATE($B$1,10,1)&lt;=TODAY(),OR($O48="",$O48&gt;=DATE($B$1,10,1)),OR(COUNTIF($C48:L48,"&gt;0")&gt;0,DATE($B$1,10,1)=DATE(YEAR(TODAY()),MONTH(TODAY()),1))),1,0))</f>
        <v/>
      </c>
      <c r="Z48">
        <f>IF($A48="","",IF(AND($B48&gt;0,M48&lt;$B48,DATE($B$1,11,1)&lt;=TODAY(),OR($O48="",$O48&gt;=DATE($B$1,11,1)),OR(COUNTIF($C48:M48,"&gt;0")&gt;0,DATE($B$1,11,1)=DATE(YEAR(TODAY()),MONTH(TODAY()),1))),1,0))</f>
        <v/>
      </c>
      <c r="AA48">
        <f>IF($A48="","",IF(AND($B48&gt;0,N48&lt;$B48,DATE($B$1,12,1)&lt;=TODAY(),OR($O48="",$O48&gt;=DATE($B$1,12,1)),OR(COUNTIF($C48:N48,"&gt;0")&gt;0,DATE($B$1,12,1)=DATE(YEAR(TODAY()),MONTH(TODAY()),1))),1,0))</f>
        <v/>
      </c>
    </row>
    <row r="49">
      <c r="A49" s="13">
        <f>IF(원생!$A47="","",원생!$A47&amp;IF(원생!$G47="",""," ("&amp;원생!$G47&amp;")"))</f>
        <v/>
      </c>
      <c r="B49" s="8">
        <f>IF(원생!$A47="","",N(원생!$F47))</f>
        <v/>
      </c>
      <c r="C49" s="14">
        <f>IF(원생!$A47="","",SUMIFS(계산!$C:$C,계산!$A:$A,계산!$E47,계산!$B:$B,$B$1*100+1))</f>
        <v/>
      </c>
      <c r="D49" s="14">
        <f>IF(원생!$A47="","",SUMIFS(계산!$C:$C,계산!$A:$A,계산!$E47,계산!$B:$B,$B$1*100+2))</f>
        <v/>
      </c>
      <c r="E49" s="14">
        <f>IF(원생!$A47="","",SUMIFS(계산!$C:$C,계산!$A:$A,계산!$E47,계산!$B:$B,$B$1*100+3))</f>
        <v/>
      </c>
      <c r="F49" s="14">
        <f>IF(원생!$A47="","",SUMIFS(계산!$C:$C,계산!$A:$A,계산!$E47,계산!$B:$B,$B$1*100+4))</f>
        <v/>
      </c>
      <c r="G49" s="14">
        <f>IF(원생!$A47="","",SUMIFS(계산!$C:$C,계산!$A:$A,계산!$E47,계산!$B:$B,$B$1*100+5))</f>
        <v/>
      </c>
      <c r="H49" s="14">
        <f>IF(원생!$A47="","",SUMIFS(계산!$C:$C,계산!$A:$A,계산!$E47,계산!$B:$B,$B$1*100+6))</f>
        <v/>
      </c>
      <c r="I49" s="14">
        <f>IF(원생!$A47="","",SUMIFS(계산!$C:$C,계산!$A:$A,계산!$E47,계산!$B:$B,$B$1*100+7))</f>
        <v/>
      </c>
      <c r="J49" s="14">
        <f>IF(원생!$A47="","",SUMIFS(계산!$C:$C,계산!$A:$A,계산!$E47,계산!$B:$B,$B$1*100+8))</f>
        <v/>
      </c>
      <c r="K49" s="14">
        <f>IF(원생!$A47="","",SUMIFS(계산!$C:$C,계산!$A:$A,계산!$E47,계산!$B:$B,$B$1*100+9))</f>
        <v/>
      </c>
      <c r="L49" s="14">
        <f>IF(원생!$A47="","",SUMIFS(계산!$C:$C,계산!$A:$A,계산!$E47,계산!$B:$B,$B$1*100+10))</f>
        <v/>
      </c>
      <c r="M49" s="14">
        <f>IF(원생!$A47="","",SUMIFS(계산!$C:$C,계산!$A:$A,계산!$E47,계산!$B:$B,$B$1*100+11))</f>
        <v/>
      </c>
      <c r="N49" s="14">
        <f>IF(원생!$A47="","",SUMIFS(계산!$C:$C,계산!$A:$A,계산!$E47,계산!$B:$B,$B$1*100+12))</f>
        <v/>
      </c>
      <c r="O49">
        <f>IF(원생!$I47="","",원생!$I47)</f>
        <v/>
      </c>
      <c r="P49">
        <f>IF($A49="","",IF(AND($B49&gt;0,C49&lt;$B49,DATE($B$1,1,1)&lt;=TODAY(),OR($O49="",$O49&gt;=DATE($B$1,1,1)),OR(COUNTIF($C49:C49,"&gt;0")&gt;0,DATE($B$1,1,1)=DATE(YEAR(TODAY()),MONTH(TODAY()),1))),1,0))</f>
        <v/>
      </c>
      <c r="Q49">
        <f>IF($A49="","",IF(AND($B49&gt;0,D49&lt;$B49,DATE($B$1,2,1)&lt;=TODAY(),OR($O49="",$O49&gt;=DATE($B$1,2,1)),OR(COUNTIF($C49:D49,"&gt;0")&gt;0,DATE($B$1,2,1)=DATE(YEAR(TODAY()),MONTH(TODAY()),1))),1,0))</f>
        <v/>
      </c>
      <c r="R49">
        <f>IF($A49="","",IF(AND($B49&gt;0,E49&lt;$B49,DATE($B$1,3,1)&lt;=TODAY(),OR($O49="",$O49&gt;=DATE($B$1,3,1)),OR(COUNTIF($C49:E49,"&gt;0")&gt;0,DATE($B$1,3,1)=DATE(YEAR(TODAY()),MONTH(TODAY()),1))),1,0))</f>
        <v/>
      </c>
      <c r="S49">
        <f>IF($A49="","",IF(AND($B49&gt;0,F49&lt;$B49,DATE($B$1,4,1)&lt;=TODAY(),OR($O49="",$O49&gt;=DATE($B$1,4,1)),OR(COUNTIF($C49:F49,"&gt;0")&gt;0,DATE($B$1,4,1)=DATE(YEAR(TODAY()),MONTH(TODAY()),1))),1,0))</f>
        <v/>
      </c>
      <c r="T49">
        <f>IF($A49="","",IF(AND($B49&gt;0,G49&lt;$B49,DATE($B$1,5,1)&lt;=TODAY(),OR($O49="",$O49&gt;=DATE($B$1,5,1)),OR(COUNTIF($C49:G49,"&gt;0")&gt;0,DATE($B$1,5,1)=DATE(YEAR(TODAY()),MONTH(TODAY()),1))),1,0))</f>
        <v/>
      </c>
      <c r="U49">
        <f>IF($A49="","",IF(AND($B49&gt;0,H49&lt;$B49,DATE($B$1,6,1)&lt;=TODAY(),OR($O49="",$O49&gt;=DATE($B$1,6,1)),OR(COUNTIF($C49:H49,"&gt;0")&gt;0,DATE($B$1,6,1)=DATE(YEAR(TODAY()),MONTH(TODAY()),1))),1,0))</f>
        <v/>
      </c>
      <c r="V49">
        <f>IF($A49="","",IF(AND($B49&gt;0,I49&lt;$B49,DATE($B$1,7,1)&lt;=TODAY(),OR($O49="",$O49&gt;=DATE($B$1,7,1)),OR(COUNTIF($C49:I49,"&gt;0")&gt;0,DATE($B$1,7,1)=DATE(YEAR(TODAY()),MONTH(TODAY()),1))),1,0))</f>
        <v/>
      </c>
      <c r="W49">
        <f>IF($A49="","",IF(AND($B49&gt;0,J49&lt;$B49,DATE($B$1,8,1)&lt;=TODAY(),OR($O49="",$O49&gt;=DATE($B$1,8,1)),OR(COUNTIF($C49:J49,"&gt;0")&gt;0,DATE($B$1,8,1)=DATE(YEAR(TODAY()),MONTH(TODAY()),1))),1,0))</f>
        <v/>
      </c>
      <c r="X49">
        <f>IF($A49="","",IF(AND($B49&gt;0,K49&lt;$B49,DATE($B$1,9,1)&lt;=TODAY(),OR($O49="",$O49&gt;=DATE($B$1,9,1)),OR(COUNTIF($C49:K49,"&gt;0")&gt;0,DATE($B$1,9,1)=DATE(YEAR(TODAY()),MONTH(TODAY()),1))),1,0))</f>
        <v/>
      </c>
      <c r="Y49">
        <f>IF($A49="","",IF(AND($B49&gt;0,L49&lt;$B49,DATE($B$1,10,1)&lt;=TODAY(),OR($O49="",$O49&gt;=DATE($B$1,10,1)),OR(COUNTIF($C49:L49,"&gt;0")&gt;0,DATE($B$1,10,1)=DATE(YEAR(TODAY()),MONTH(TODAY()),1))),1,0))</f>
        <v/>
      </c>
      <c r="Z49">
        <f>IF($A49="","",IF(AND($B49&gt;0,M49&lt;$B49,DATE($B$1,11,1)&lt;=TODAY(),OR($O49="",$O49&gt;=DATE($B$1,11,1)),OR(COUNTIF($C49:M49,"&gt;0")&gt;0,DATE($B$1,11,1)=DATE(YEAR(TODAY()),MONTH(TODAY()),1))),1,0))</f>
        <v/>
      </c>
      <c r="AA49">
        <f>IF($A49="","",IF(AND($B49&gt;0,N49&lt;$B49,DATE($B$1,12,1)&lt;=TODAY(),OR($O49="",$O49&gt;=DATE($B$1,12,1)),OR(COUNTIF($C49:N49,"&gt;0")&gt;0,DATE($B$1,12,1)=DATE(YEAR(TODAY()),MONTH(TODAY()),1))),1,0))</f>
        <v/>
      </c>
    </row>
    <row r="50">
      <c r="A50" s="13">
        <f>IF(원생!$A48="","",원생!$A48&amp;IF(원생!$G48="",""," ("&amp;원생!$G48&amp;")"))</f>
        <v/>
      </c>
      <c r="B50" s="8">
        <f>IF(원생!$A48="","",N(원생!$F48))</f>
        <v/>
      </c>
      <c r="C50" s="14">
        <f>IF(원생!$A48="","",SUMIFS(계산!$C:$C,계산!$A:$A,계산!$E48,계산!$B:$B,$B$1*100+1))</f>
        <v/>
      </c>
      <c r="D50" s="14">
        <f>IF(원생!$A48="","",SUMIFS(계산!$C:$C,계산!$A:$A,계산!$E48,계산!$B:$B,$B$1*100+2))</f>
        <v/>
      </c>
      <c r="E50" s="14">
        <f>IF(원생!$A48="","",SUMIFS(계산!$C:$C,계산!$A:$A,계산!$E48,계산!$B:$B,$B$1*100+3))</f>
        <v/>
      </c>
      <c r="F50" s="14">
        <f>IF(원생!$A48="","",SUMIFS(계산!$C:$C,계산!$A:$A,계산!$E48,계산!$B:$B,$B$1*100+4))</f>
        <v/>
      </c>
      <c r="G50" s="14">
        <f>IF(원생!$A48="","",SUMIFS(계산!$C:$C,계산!$A:$A,계산!$E48,계산!$B:$B,$B$1*100+5))</f>
        <v/>
      </c>
      <c r="H50" s="14">
        <f>IF(원생!$A48="","",SUMIFS(계산!$C:$C,계산!$A:$A,계산!$E48,계산!$B:$B,$B$1*100+6))</f>
        <v/>
      </c>
      <c r="I50" s="14">
        <f>IF(원생!$A48="","",SUMIFS(계산!$C:$C,계산!$A:$A,계산!$E48,계산!$B:$B,$B$1*100+7))</f>
        <v/>
      </c>
      <c r="J50" s="14">
        <f>IF(원생!$A48="","",SUMIFS(계산!$C:$C,계산!$A:$A,계산!$E48,계산!$B:$B,$B$1*100+8))</f>
        <v/>
      </c>
      <c r="K50" s="14">
        <f>IF(원생!$A48="","",SUMIFS(계산!$C:$C,계산!$A:$A,계산!$E48,계산!$B:$B,$B$1*100+9))</f>
        <v/>
      </c>
      <c r="L50" s="14">
        <f>IF(원생!$A48="","",SUMIFS(계산!$C:$C,계산!$A:$A,계산!$E48,계산!$B:$B,$B$1*100+10))</f>
        <v/>
      </c>
      <c r="M50" s="14">
        <f>IF(원생!$A48="","",SUMIFS(계산!$C:$C,계산!$A:$A,계산!$E48,계산!$B:$B,$B$1*100+11))</f>
        <v/>
      </c>
      <c r="N50" s="14">
        <f>IF(원생!$A48="","",SUMIFS(계산!$C:$C,계산!$A:$A,계산!$E48,계산!$B:$B,$B$1*100+12))</f>
        <v/>
      </c>
      <c r="O50">
        <f>IF(원생!$I48="","",원생!$I48)</f>
        <v/>
      </c>
      <c r="P50">
        <f>IF($A50="","",IF(AND($B50&gt;0,C50&lt;$B50,DATE($B$1,1,1)&lt;=TODAY(),OR($O50="",$O50&gt;=DATE($B$1,1,1)),OR(COUNTIF($C50:C50,"&gt;0")&gt;0,DATE($B$1,1,1)=DATE(YEAR(TODAY()),MONTH(TODAY()),1))),1,0))</f>
        <v/>
      </c>
      <c r="Q50">
        <f>IF($A50="","",IF(AND($B50&gt;0,D50&lt;$B50,DATE($B$1,2,1)&lt;=TODAY(),OR($O50="",$O50&gt;=DATE($B$1,2,1)),OR(COUNTIF($C50:D50,"&gt;0")&gt;0,DATE($B$1,2,1)=DATE(YEAR(TODAY()),MONTH(TODAY()),1))),1,0))</f>
        <v/>
      </c>
      <c r="R50">
        <f>IF($A50="","",IF(AND($B50&gt;0,E50&lt;$B50,DATE($B$1,3,1)&lt;=TODAY(),OR($O50="",$O50&gt;=DATE($B$1,3,1)),OR(COUNTIF($C50:E50,"&gt;0")&gt;0,DATE($B$1,3,1)=DATE(YEAR(TODAY()),MONTH(TODAY()),1))),1,0))</f>
        <v/>
      </c>
      <c r="S50">
        <f>IF($A50="","",IF(AND($B50&gt;0,F50&lt;$B50,DATE($B$1,4,1)&lt;=TODAY(),OR($O50="",$O50&gt;=DATE($B$1,4,1)),OR(COUNTIF($C50:F50,"&gt;0")&gt;0,DATE($B$1,4,1)=DATE(YEAR(TODAY()),MONTH(TODAY()),1))),1,0))</f>
        <v/>
      </c>
      <c r="T50">
        <f>IF($A50="","",IF(AND($B50&gt;0,G50&lt;$B50,DATE($B$1,5,1)&lt;=TODAY(),OR($O50="",$O50&gt;=DATE($B$1,5,1)),OR(COUNTIF($C50:G50,"&gt;0")&gt;0,DATE($B$1,5,1)=DATE(YEAR(TODAY()),MONTH(TODAY()),1))),1,0))</f>
        <v/>
      </c>
      <c r="U50">
        <f>IF($A50="","",IF(AND($B50&gt;0,H50&lt;$B50,DATE($B$1,6,1)&lt;=TODAY(),OR($O50="",$O50&gt;=DATE($B$1,6,1)),OR(COUNTIF($C50:H50,"&gt;0")&gt;0,DATE($B$1,6,1)=DATE(YEAR(TODAY()),MONTH(TODAY()),1))),1,0))</f>
        <v/>
      </c>
      <c r="V50">
        <f>IF($A50="","",IF(AND($B50&gt;0,I50&lt;$B50,DATE($B$1,7,1)&lt;=TODAY(),OR($O50="",$O50&gt;=DATE($B$1,7,1)),OR(COUNTIF($C50:I50,"&gt;0")&gt;0,DATE($B$1,7,1)=DATE(YEAR(TODAY()),MONTH(TODAY()),1))),1,0))</f>
        <v/>
      </c>
      <c r="W50">
        <f>IF($A50="","",IF(AND($B50&gt;0,J50&lt;$B50,DATE($B$1,8,1)&lt;=TODAY(),OR($O50="",$O50&gt;=DATE($B$1,8,1)),OR(COUNTIF($C50:J50,"&gt;0")&gt;0,DATE($B$1,8,1)=DATE(YEAR(TODAY()),MONTH(TODAY()),1))),1,0))</f>
        <v/>
      </c>
      <c r="X50">
        <f>IF($A50="","",IF(AND($B50&gt;0,K50&lt;$B50,DATE($B$1,9,1)&lt;=TODAY(),OR($O50="",$O50&gt;=DATE($B$1,9,1)),OR(COUNTIF($C50:K50,"&gt;0")&gt;0,DATE($B$1,9,1)=DATE(YEAR(TODAY()),MONTH(TODAY()),1))),1,0))</f>
        <v/>
      </c>
      <c r="Y50">
        <f>IF($A50="","",IF(AND($B50&gt;0,L50&lt;$B50,DATE($B$1,10,1)&lt;=TODAY(),OR($O50="",$O50&gt;=DATE($B$1,10,1)),OR(COUNTIF($C50:L50,"&gt;0")&gt;0,DATE($B$1,10,1)=DATE(YEAR(TODAY()),MONTH(TODAY()),1))),1,0))</f>
        <v/>
      </c>
      <c r="Z50">
        <f>IF($A50="","",IF(AND($B50&gt;0,M50&lt;$B50,DATE($B$1,11,1)&lt;=TODAY(),OR($O50="",$O50&gt;=DATE($B$1,11,1)),OR(COUNTIF($C50:M50,"&gt;0")&gt;0,DATE($B$1,11,1)=DATE(YEAR(TODAY()),MONTH(TODAY()),1))),1,0))</f>
        <v/>
      </c>
      <c r="AA50">
        <f>IF($A50="","",IF(AND($B50&gt;0,N50&lt;$B50,DATE($B$1,12,1)&lt;=TODAY(),OR($O50="",$O50&gt;=DATE($B$1,12,1)),OR(COUNTIF($C50:N50,"&gt;0")&gt;0,DATE($B$1,12,1)=DATE(YEAR(TODAY()),MONTH(TODAY()),1))),1,0))</f>
        <v/>
      </c>
    </row>
    <row r="51">
      <c r="A51" s="13">
        <f>IF(원생!$A49="","",원생!$A49&amp;IF(원생!$G49="",""," ("&amp;원생!$G49&amp;")"))</f>
        <v/>
      </c>
      <c r="B51" s="8">
        <f>IF(원생!$A49="","",N(원생!$F49))</f>
        <v/>
      </c>
      <c r="C51" s="14">
        <f>IF(원생!$A49="","",SUMIFS(계산!$C:$C,계산!$A:$A,계산!$E49,계산!$B:$B,$B$1*100+1))</f>
        <v/>
      </c>
      <c r="D51" s="14">
        <f>IF(원생!$A49="","",SUMIFS(계산!$C:$C,계산!$A:$A,계산!$E49,계산!$B:$B,$B$1*100+2))</f>
        <v/>
      </c>
      <c r="E51" s="14">
        <f>IF(원생!$A49="","",SUMIFS(계산!$C:$C,계산!$A:$A,계산!$E49,계산!$B:$B,$B$1*100+3))</f>
        <v/>
      </c>
      <c r="F51" s="14">
        <f>IF(원생!$A49="","",SUMIFS(계산!$C:$C,계산!$A:$A,계산!$E49,계산!$B:$B,$B$1*100+4))</f>
        <v/>
      </c>
      <c r="G51" s="14">
        <f>IF(원생!$A49="","",SUMIFS(계산!$C:$C,계산!$A:$A,계산!$E49,계산!$B:$B,$B$1*100+5))</f>
        <v/>
      </c>
      <c r="H51" s="14">
        <f>IF(원생!$A49="","",SUMIFS(계산!$C:$C,계산!$A:$A,계산!$E49,계산!$B:$B,$B$1*100+6))</f>
        <v/>
      </c>
      <c r="I51" s="14">
        <f>IF(원생!$A49="","",SUMIFS(계산!$C:$C,계산!$A:$A,계산!$E49,계산!$B:$B,$B$1*100+7))</f>
        <v/>
      </c>
      <c r="J51" s="14">
        <f>IF(원생!$A49="","",SUMIFS(계산!$C:$C,계산!$A:$A,계산!$E49,계산!$B:$B,$B$1*100+8))</f>
        <v/>
      </c>
      <c r="K51" s="14">
        <f>IF(원생!$A49="","",SUMIFS(계산!$C:$C,계산!$A:$A,계산!$E49,계산!$B:$B,$B$1*100+9))</f>
        <v/>
      </c>
      <c r="L51" s="14">
        <f>IF(원생!$A49="","",SUMIFS(계산!$C:$C,계산!$A:$A,계산!$E49,계산!$B:$B,$B$1*100+10))</f>
        <v/>
      </c>
      <c r="M51" s="14">
        <f>IF(원생!$A49="","",SUMIFS(계산!$C:$C,계산!$A:$A,계산!$E49,계산!$B:$B,$B$1*100+11))</f>
        <v/>
      </c>
      <c r="N51" s="14">
        <f>IF(원생!$A49="","",SUMIFS(계산!$C:$C,계산!$A:$A,계산!$E49,계산!$B:$B,$B$1*100+12))</f>
        <v/>
      </c>
      <c r="O51">
        <f>IF(원생!$I49="","",원생!$I49)</f>
        <v/>
      </c>
      <c r="P51">
        <f>IF($A51="","",IF(AND($B51&gt;0,C51&lt;$B51,DATE($B$1,1,1)&lt;=TODAY(),OR($O51="",$O51&gt;=DATE($B$1,1,1)),OR(COUNTIF($C51:C51,"&gt;0")&gt;0,DATE($B$1,1,1)=DATE(YEAR(TODAY()),MONTH(TODAY()),1))),1,0))</f>
        <v/>
      </c>
      <c r="Q51">
        <f>IF($A51="","",IF(AND($B51&gt;0,D51&lt;$B51,DATE($B$1,2,1)&lt;=TODAY(),OR($O51="",$O51&gt;=DATE($B$1,2,1)),OR(COUNTIF($C51:D51,"&gt;0")&gt;0,DATE($B$1,2,1)=DATE(YEAR(TODAY()),MONTH(TODAY()),1))),1,0))</f>
        <v/>
      </c>
      <c r="R51">
        <f>IF($A51="","",IF(AND($B51&gt;0,E51&lt;$B51,DATE($B$1,3,1)&lt;=TODAY(),OR($O51="",$O51&gt;=DATE($B$1,3,1)),OR(COUNTIF($C51:E51,"&gt;0")&gt;0,DATE($B$1,3,1)=DATE(YEAR(TODAY()),MONTH(TODAY()),1))),1,0))</f>
        <v/>
      </c>
      <c r="S51">
        <f>IF($A51="","",IF(AND($B51&gt;0,F51&lt;$B51,DATE($B$1,4,1)&lt;=TODAY(),OR($O51="",$O51&gt;=DATE($B$1,4,1)),OR(COUNTIF($C51:F51,"&gt;0")&gt;0,DATE($B$1,4,1)=DATE(YEAR(TODAY()),MONTH(TODAY()),1))),1,0))</f>
        <v/>
      </c>
      <c r="T51">
        <f>IF($A51="","",IF(AND($B51&gt;0,G51&lt;$B51,DATE($B$1,5,1)&lt;=TODAY(),OR($O51="",$O51&gt;=DATE($B$1,5,1)),OR(COUNTIF($C51:G51,"&gt;0")&gt;0,DATE($B$1,5,1)=DATE(YEAR(TODAY()),MONTH(TODAY()),1))),1,0))</f>
        <v/>
      </c>
      <c r="U51">
        <f>IF($A51="","",IF(AND($B51&gt;0,H51&lt;$B51,DATE($B$1,6,1)&lt;=TODAY(),OR($O51="",$O51&gt;=DATE($B$1,6,1)),OR(COUNTIF($C51:H51,"&gt;0")&gt;0,DATE($B$1,6,1)=DATE(YEAR(TODAY()),MONTH(TODAY()),1))),1,0))</f>
        <v/>
      </c>
      <c r="V51">
        <f>IF($A51="","",IF(AND($B51&gt;0,I51&lt;$B51,DATE($B$1,7,1)&lt;=TODAY(),OR($O51="",$O51&gt;=DATE($B$1,7,1)),OR(COUNTIF($C51:I51,"&gt;0")&gt;0,DATE($B$1,7,1)=DATE(YEAR(TODAY()),MONTH(TODAY()),1))),1,0))</f>
        <v/>
      </c>
      <c r="W51">
        <f>IF($A51="","",IF(AND($B51&gt;0,J51&lt;$B51,DATE($B$1,8,1)&lt;=TODAY(),OR($O51="",$O51&gt;=DATE($B$1,8,1)),OR(COUNTIF($C51:J51,"&gt;0")&gt;0,DATE($B$1,8,1)=DATE(YEAR(TODAY()),MONTH(TODAY()),1))),1,0))</f>
        <v/>
      </c>
      <c r="X51">
        <f>IF($A51="","",IF(AND($B51&gt;0,K51&lt;$B51,DATE($B$1,9,1)&lt;=TODAY(),OR($O51="",$O51&gt;=DATE($B$1,9,1)),OR(COUNTIF($C51:K51,"&gt;0")&gt;0,DATE($B$1,9,1)=DATE(YEAR(TODAY()),MONTH(TODAY()),1))),1,0))</f>
        <v/>
      </c>
      <c r="Y51">
        <f>IF($A51="","",IF(AND($B51&gt;0,L51&lt;$B51,DATE($B$1,10,1)&lt;=TODAY(),OR($O51="",$O51&gt;=DATE($B$1,10,1)),OR(COUNTIF($C51:L51,"&gt;0")&gt;0,DATE($B$1,10,1)=DATE(YEAR(TODAY()),MONTH(TODAY()),1))),1,0))</f>
        <v/>
      </c>
      <c r="Z51">
        <f>IF($A51="","",IF(AND($B51&gt;0,M51&lt;$B51,DATE($B$1,11,1)&lt;=TODAY(),OR($O51="",$O51&gt;=DATE($B$1,11,1)),OR(COUNTIF($C51:M51,"&gt;0")&gt;0,DATE($B$1,11,1)=DATE(YEAR(TODAY()),MONTH(TODAY()),1))),1,0))</f>
        <v/>
      </c>
      <c r="AA51">
        <f>IF($A51="","",IF(AND($B51&gt;0,N51&lt;$B51,DATE($B$1,12,1)&lt;=TODAY(),OR($O51="",$O51&gt;=DATE($B$1,12,1)),OR(COUNTIF($C51:N51,"&gt;0")&gt;0,DATE($B$1,12,1)=DATE(YEAR(TODAY()),MONTH(TODAY()),1))),1,0))</f>
        <v/>
      </c>
    </row>
    <row r="52">
      <c r="A52" s="13">
        <f>IF(원생!$A50="","",원생!$A50&amp;IF(원생!$G50="",""," ("&amp;원생!$G50&amp;")"))</f>
        <v/>
      </c>
      <c r="B52" s="8">
        <f>IF(원생!$A50="","",N(원생!$F50))</f>
        <v/>
      </c>
      <c r="C52" s="14">
        <f>IF(원생!$A50="","",SUMIFS(계산!$C:$C,계산!$A:$A,계산!$E50,계산!$B:$B,$B$1*100+1))</f>
        <v/>
      </c>
      <c r="D52" s="14">
        <f>IF(원생!$A50="","",SUMIFS(계산!$C:$C,계산!$A:$A,계산!$E50,계산!$B:$B,$B$1*100+2))</f>
        <v/>
      </c>
      <c r="E52" s="14">
        <f>IF(원생!$A50="","",SUMIFS(계산!$C:$C,계산!$A:$A,계산!$E50,계산!$B:$B,$B$1*100+3))</f>
        <v/>
      </c>
      <c r="F52" s="14">
        <f>IF(원생!$A50="","",SUMIFS(계산!$C:$C,계산!$A:$A,계산!$E50,계산!$B:$B,$B$1*100+4))</f>
        <v/>
      </c>
      <c r="G52" s="14">
        <f>IF(원생!$A50="","",SUMIFS(계산!$C:$C,계산!$A:$A,계산!$E50,계산!$B:$B,$B$1*100+5))</f>
        <v/>
      </c>
      <c r="H52" s="14">
        <f>IF(원생!$A50="","",SUMIFS(계산!$C:$C,계산!$A:$A,계산!$E50,계산!$B:$B,$B$1*100+6))</f>
        <v/>
      </c>
      <c r="I52" s="14">
        <f>IF(원생!$A50="","",SUMIFS(계산!$C:$C,계산!$A:$A,계산!$E50,계산!$B:$B,$B$1*100+7))</f>
        <v/>
      </c>
      <c r="J52" s="14">
        <f>IF(원생!$A50="","",SUMIFS(계산!$C:$C,계산!$A:$A,계산!$E50,계산!$B:$B,$B$1*100+8))</f>
        <v/>
      </c>
      <c r="K52" s="14">
        <f>IF(원생!$A50="","",SUMIFS(계산!$C:$C,계산!$A:$A,계산!$E50,계산!$B:$B,$B$1*100+9))</f>
        <v/>
      </c>
      <c r="L52" s="14">
        <f>IF(원생!$A50="","",SUMIFS(계산!$C:$C,계산!$A:$A,계산!$E50,계산!$B:$B,$B$1*100+10))</f>
        <v/>
      </c>
      <c r="M52" s="14">
        <f>IF(원생!$A50="","",SUMIFS(계산!$C:$C,계산!$A:$A,계산!$E50,계산!$B:$B,$B$1*100+11))</f>
        <v/>
      </c>
      <c r="N52" s="14">
        <f>IF(원생!$A50="","",SUMIFS(계산!$C:$C,계산!$A:$A,계산!$E50,계산!$B:$B,$B$1*100+12))</f>
        <v/>
      </c>
      <c r="O52">
        <f>IF(원생!$I50="","",원생!$I50)</f>
        <v/>
      </c>
      <c r="P52">
        <f>IF($A52="","",IF(AND($B52&gt;0,C52&lt;$B52,DATE($B$1,1,1)&lt;=TODAY(),OR($O52="",$O52&gt;=DATE($B$1,1,1)),OR(COUNTIF($C52:C52,"&gt;0")&gt;0,DATE($B$1,1,1)=DATE(YEAR(TODAY()),MONTH(TODAY()),1))),1,0))</f>
        <v/>
      </c>
      <c r="Q52">
        <f>IF($A52="","",IF(AND($B52&gt;0,D52&lt;$B52,DATE($B$1,2,1)&lt;=TODAY(),OR($O52="",$O52&gt;=DATE($B$1,2,1)),OR(COUNTIF($C52:D52,"&gt;0")&gt;0,DATE($B$1,2,1)=DATE(YEAR(TODAY()),MONTH(TODAY()),1))),1,0))</f>
        <v/>
      </c>
      <c r="R52">
        <f>IF($A52="","",IF(AND($B52&gt;0,E52&lt;$B52,DATE($B$1,3,1)&lt;=TODAY(),OR($O52="",$O52&gt;=DATE($B$1,3,1)),OR(COUNTIF($C52:E52,"&gt;0")&gt;0,DATE($B$1,3,1)=DATE(YEAR(TODAY()),MONTH(TODAY()),1))),1,0))</f>
        <v/>
      </c>
      <c r="S52">
        <f>IF($A52="","",IF(AND($B52&gt;0,F52&lt;$B52,DATE($B$1,4,1)&lt;=TODAY(),OR($O52="",$O52&gt;=DATE($B$1,4,1)),OR(COUNTIF($C52:F52,"&gt;0")&gt;0,DATE($B$1,4,1)=DATE(YEAR(TODAY()),MONTH(TODAY()),1))),1,0))</f>
        <v/>
      </c>
      <c r="T52">
        <f>IF($A52="","",IF(AND($B52&gt;0,G52&lt;$B52,DATE($B$1,5,1)&lt;=TODAY(),OR($O52="",$O52&gt;=DATE($B$1,5,1)),OR(COUNTIF($C52:G52,"&gt;0")&gt;0,DATE($B$1,5,1)=DATE(YEAR(TODAY()),MONTH(TODAY()),1))),1,0))</f>
        <v/>
      </c>
      <c r="U52">
        <f>IF($A52="","",IF(AND($B52&gt;0,H52&lt;$B52,DATE($B$1,6,1)&lt;=TODAY(),OR($O52="",$O52&gt;=DATE($B$1,6,1)),OR(COUNTIF($C52:H52,"&gt;0")&gt;0,DATE($B$1,6,1)=DATE(YEAR(TODAY()),MONTH(TODAY()),1))),1,0))</f>
        <v/>
      </c>
      <c r="V52">
        <f>IF($A52="","",IF(AND($B52&gt;0,I52&lt;$B52,DATE($B$1,7,1)&lt;=TODAY(),OR($O52="",$O52&gt;=DATE($B$1,7,1)),OR(COUNTIF($C52:I52,"&gt;0")&gt;0,DATE($B$1,7,1)=DATE(YEAR(TODAY()),MONTH(TODAY()),1))),1,0))</f>
        <v/>
      </c>
      <c r="W52">
        <f>IF($A52="","",IF(AND($B52&gt;0,J52&lt;$B52,DATE($B$1,8,1)&lt;=TODAY(),OR($O52="",$O52&gt;=DATE($B$1,8,1)),OR(COUNTIF($C52:J52,"&gt;0")&gt;0,DATE($B$1,8,1)=DATE(YEAR(TODAY()),MONTH(TODAY()),1))),1,0))</f>
        <v/>
      </c>
      <c r="X52">
        <f>IF($A52="","",IF(AND($B52&gt;0,K52&lt;$B52,DATE($B$1,9,1)&lt;=TODAY(),OR($O52="",$O52&gt;=DATE($B$1,9,1)),OR(COUNTIF($C52:K52,"&gt;0")&gt;0,DATE($B$1,9,1)=DATE(YEAR(TODAY()),MONTH(TODAY()),1))),1,0))</f>
        <v/>
      </c>
      <c r="Y52">
        <f>IF($A52="","",IF(AND($B52&gt;0,L52&lt;$B52,DATE($B$1,10,1)&lt;=TODAY(),OR($O52="",$O52&gt;=DATE($B$1,10,1)),OR(COUNTIF($C52:L52,"&gt;0")&gt;0,DATE($B$1,10,1)=DATE(YEAR(TODAY()),MONTH(TODAY()),1))),1,0))</f>
        <v/>
      </c>
      <c r="Z52">
        <f>IF($A52="","",IF(AND($B52&gt;0,M52&lt;$B52,DATE($B$1,11,1)&lt;=TODAY(),OR($O52="",$O52&gt;=DATE($B$1,11,1)),OR(COUNTIF($C52:M52,"&gt;0")&gt;0,DATE($B$1,11,1)=DATE(YEAR(TODAY()),MONTH(TODAY()),1))),1,0))</f>
        <v/>
      </c>
      <c r="AA52">
        <f>IF($A52="","",IF(AND($B52&gt;0,N52&lt;$B52,DATE($B$1,12,1)&lt;=TODAY(),OR($O52="",$O52&gt;=DATE($B$1,12,1)),OR(COUNTIF($C52:N52,"&gt;0")&gt;0,DATE($B$1,12,1)=DATE(YEAR(TODAY()),MONTH(TODAY()),1))),1,0))</f>
        <v/>
      </c>
    </row>
    <row r="53">
      <c r="A53" s="13">
        <f>IF(원생!$A51="","",원생!$A51&amp;IF(원생!$G51="",""," ("&amp;원생!$G51&amp;")"))</f>
        <v/>
      </c>
      <c r="B53" s="8">
        <f>IF(원생!$A51="","",N(원생!$F51))</f>
        <v/>
      </c>
      <c r="C53" s="14">
        <f>IF(원생!$A51="","",SUMIFS(계산!$C:$C,계산!$A:$A,계산!$E51,계산!$B:$B,$B$1*100+1))</f>
        <v/>
      </c>
      <c r="D53" s="14">
        <f>IF(원생!$A51="","",SUMIFS(계산!$C:$C,계산!$A:$A,계산!$E51,계산!$B:$B,$B$1*100+2))</f>
        <v/>
      </c>
      <c r="E53" s="14">
        <f>IF(원생!$A51="","",SUMIFS(계산!$C:$C,계산!$A:$A,계산!$E51,계산!$B:$B,$B$1*100+3))</f>
        <v/>
      </c>
      <c r="F53" s="14">
        <f>IF(원생!$A51="","",SUMIFS(계산!$C:$C,계산!$A:$A,계산!$E51,계산!$B:$B,$B$1*100+4))</f>
        <v/>
      </c>
      <c r="G53" s="14">
        <f>IF(원생!$A51="","",SUMIFS(계산!$C:$C,계산!$A:$A,계산!$E51,계산!$B:$B,$B$1*100+5))</f>
        <v/>
      </c>
      <c r="H53" s="14">
        <f>IF(원생!$A51="","",SUMIFS(계산!$C:$C,계산!$A:$A,계산!$E51,계산!$B:$B,$B$1*100+6))</f>
        <v/>
      </c>
      <c r="I53" s="14">
        <f>IF(원생!$A51="","",SUMIFS(계산!$C:$C,계산!$A:$A,계산!$E51,계산!$B:$B,$B$1*100+7))</f>
        <v/>
      </c>
      <c r="J53" s="14">
        <f>IF(원생!$A51="","",SUMIFS(계산!$C:$C,계산!$A:$A,계산!$E51,계산!$B:$B,$B$1*100+8))</f>
        <v/>
      </c>
      <c r="K53" s="14">
        <f>IF(원생!$A51="","",SUMIFS(계산!$C:$C,계산!$A:$A,계산!$E51,계산!$B:$B,$B$1*100+9))</f>
        <v/>
      </c>
      <c r="L53" s="14">
        <f>IF(원생!$A51="","",SUMIFS(계산!$C:$C,계산!$A:$A,계산!$E51,계산!$B:$B,$B$1*100+10))</f>
        <v/>
      </c>
      <c r="M53" s="14">
        <f>IF(원생!$A51="","",SUMIFS(계산!$C:$C,계산!$A:$A,계산!$E51,계산!$B:$B,$B$1*100+11))</f>
        <v/>
      </c>
      <c r="N53" s="14">
        <f>IF(원생!$A51="","",SUMIFS(계산!$C:$C,계산!$A:$A,계산!$E51,계산!$B:$B,$B$1*100+12))</f>
        <v/>
      </c>
      <c r="O53">
        <f>IF(원생!$I51="","",원생!$I51)</f>
        <v/>
      </c>
      <c r="P53">
        <f>IF($A53="","",IF(AND($B53&gt;0,C53&lt;$B53,DATE($B$1,1,1)&lt;=TODAY(),OR($O53="",$O53&gt;=DATE($B$1,1,1)),OR(COUNTIF($C53:C53,"&gt;0")&gt;0,DATE($B$1,1,1)=DATE(YEAR(TODAY()),MONTH(TODAY()),1))),1,0))</f>
        <v/>
      </c>
      <c r="Q53">
        <f>IF($A53="","",IF(AND($B53&gt;0,D53&lt;$B53,DATE($B$1,2,1)&lt;=TODAY(),OR($O53="",$O53&gt;=DATE($B$1,2,1)),OR(COUNTIF($C53:D53,"&gt;0")&gt;0,DATE($B$1,2,1)=DATE(YEAR(TODAY()),MONTH(TODAY()),1))),1,0))</f>
        <v/>
      </c>
      <c r="R53">
        <f>IF($A53="","",IF(AND($B53&gt;0,E53&lt;$B53,DATE($B$1,3,1)&lt;=TODAY(),OR($O53="",$O53&gt;=DATE($B$1,3,1)),OR(COUNTIF($C53:E53,"&gt;0")&gt;0,DATE($B$1,3,1)=DATE(YEAR(TODAY()),MONTH(TODAY()),1))),1,0))</f>
        <v/>
      </c>
      <c r="S53">
        <f>IF($A53="","",IF(AND($B53&gt;0,F53&lt;$B53,DATE($B$1,4,1)&lt;=TODAY(),OR($O53="",$O53&gt;=DATE($B$1,4,1)),OR(COUNTIF($C53:F53,"&gt;0")&gt;0,DATE($B$1,4,1)=DATE(YEAR(TODAY()),MONTH(TODAY()),1))),1,0))</f>
        <v/>
      </c>
      <c r="T53">
        <f>IF($A53="","",IF(AND($B53&gt;0,G53&lt;$B53,DATE($B$1,5,1)&lt;=TODAY(),OR($O53="",$O53&gt;=DATE($B$1,5,1)),OR(COUNTIF($C53:G53,"&gt;0")&gt;0,DATE($B$1,5,1)=DATE(YEAR(TODAY()),MONTH(TODAY()),1))),1,0))</f>
        <v/>
      </c>
      <c r="U53">
        <f>IF($A53="","",IF(AND($B53&gt;0,H53&lt;$B53,DATE($B$1,6,1)&lt;=TODAY(),OR($O53="",$O53&gt;=DATE($B$1,6,1)),OR(COUNTIF($C53:H53,"&gt;0")&gt;0,DATE($B$1,6,1)=DATE(YEAR(TODAY()),MONTH(TODAY()),1))),1,0))</f>
        <v/>
      </c>
      <c r="V53">
        <f>IF($A53="","",IF(AND($B53&gt;0,I53&lt;$B53,DATE($B$1,7,1)&lt;=TODAY(),OR($O53="",$O53&gt;=DATE($B$1,7,1)),OR(COUNTIF($C53:I53,"&gt;0")&gt;0,DATE($B$1,7,1)=DATE(YEAR(TODAY()),MONTH(TODAY()),1))),1,0))</f>
        <v/>
      </c>
      <c r="W53">
        <f>IF($A53="","",IF(AND($B53&gt;0,J53&lt;$B53,DATE($B$1,8,1)&lt;=TODAY(),OR($O53="",$O53&gt;=DATE($B$1,8,1)),OR(COUNTIF($C53:J53,"&gt;0")&gt;0,DATE($B$1,8,1)=DATE(YEAR(TODAY()),MONTH(TODAY()),1))),1,0))</f>
        <v/>
      </c>
      <c r="X53">
        <f>IF($A53="","",IF(AND($B53&gt;0,K53&lt;$B53,DATE($B$1,9,1)&lt;=TODAY(),OR($O53="",$O53&gt;=DATE($B$1,9,1)),OR(COUNTIF($C53:K53,"&gt;0")&gt;0,DATE($B$1,9,1)=DATE(YEAR(TODAY()),MONTH(TODAY()),1))),1,0))</f>
        <v/>
      </c>
      <c r="Y53">
        <f>IF($A53="","",IF(AND($B53&gt;0,L53&lt;$B53,DATE($B$1,10,1)&lt;=TODAY(),OR($O53="",$O53&gt;=DATE($B$1,10,1)),OR(COUNTIF($C53:L53,"&gt;0")&gt;0,DATE($B$1,10,1)=DATE(YEAR(TODAY()),MONTH(TODAY()),1))),1,0))</f>
        <v/>
      </c>
      <c r="Z53">
        <f>IF($A53="","",IF(AND($B53&gt;0,M53&lt;$B53,DATE($B$1,11,1)&lt;=TODAY(),OR($O53="",$O53&gt;=DATE($B$1,11,1)),OR(COUNTIF($C53:M53,"&gt;0")&gt;0,DATE($B$1,11,1)=DATE(YEAR(TODAY()),MONTH(TODAY()),1))),1,0))</f>
        <v/>
      </c>
      <c r="AA53">
        <f>IF($A53="","",IF(AND($B53&gt;0,N53&lt;$B53,DATE($B$1,12,1)&lt;=TODAY(),OR($O53="",$O53&gt;=DATE($B$1,12,1)),OR(COUNTIF($C53:N53,"&gt;0")&gt;0,DATE($B$1,12,1)=DATE(YEAR(TODAY()),MONTH(TODAY()),1))),1,0))</f>
        <v/>
      </c>
    </row>
    <row r="54">
      <c r="A54" s="13">
        <f>IF(원생!$A52="","",원생!$A52&amp;IF(원생!$G52="",""," ("&amp;원생!$G52&amp;")"))</f>
        <v/>
      </c>
      <c r="B54" s="8">
        <f>IF(원생!$A52="","",N(원생!$F52))</f>
        <v/>
      </c>
      <c r="C54" s="14">
        <f>IF(원생!$A52="","",SUMIFS(계산!$C:$C,계산!$A:$A,계산!$E52,계산!$B:$B,$B$1*100+1))</f>
        <v/>
      </c>
      <c r="D54" s="14">
        <f>IF(원생!$A52="","",SUMIFS(계산!$C:$C,계산!$A:$A,계산!$E52,계산!$B:$B,$B$1*100+2))</f>
        <v/>
      </c>
      <c r="E54" s="14">
        <f>IF(원생!$A52="","",SUMIFS(계산!$C:$C,계산!$A:$A,계산!$E52,계산!$B:$B,$B$1*100+3))</f>
        <v/>
      </c>
      <c r="F54" s="14">
        <f>IF(원생!$A52="","",SUMIFS(계산!$C:$C,계산!$A:$A,계산!$E52,계산!$B:$B,$B$1*100+4))</f>
        <v/>
      </c>
      <c r="G54" s="14">
        <f>IF(원생!$A52="","",SUMIFS(계산!$C:$C,계산!$A:$A,계산!$E52,계산!$B:$B,$B$1*100+5))</f>
        <v/>
      </c>
      <c r="H54" s="14">
        <f>IF(원생!$A52="","",SUMIFS(계산!$C:$C,계산!$A:$A,계산!$E52,계산!$B:$B,$B$1*100+6))</f>
        <v/>
      </c>
      <c r="I54" s="14">
        <f>IF(원생!$A52="","",SUMIFS(계산!$C:$C,계산!$A:$A,계산!$E52,계산!$B:$B,$B$1*100+7))</f>
        <v/>
      </c>
      <c r="J54" s="14">
        <f>IF(원생!$A52="","",SUMIFS(계산!$C:$C,계산!$A:$A,계산!$E52,계산!$B:$B,$B$1*100+8))</f>
        <v/>
      </c>
      <c r="K54" s="14">
        <f>IF(원생!$A52="","",SUMIFS(계산!$C:$C,계산!$A:$A,계산!$E52,계산!$B:$B,$B$1*100+9))</f>
        <v/>
      </c>
      <c r="L54" s="14">
        <f>IF(원생!$A52="","",SUMIFS(계산!$C:$C,계산!$A:$A,계산!$E52,계산!$B:$B,$B$1*100+10))</f>
        <v/>
      </c>
      <c r="M54" s="14">
        <f>IF(원생!$A52="","",SUMIFS(계산!$C:$C,계산!$A:$A,계산!$E52,계산!$B:$B,$B$1*100+11))</f>
        <v/>
      </c>
      <c r="N54" s="14">
        <f>IF(원생!$A52="","",SUMIFS(계산!$C:$C,계산!$A:$A,계산!$E52,계산!$B:$B,$B$1*100+12))</f>
        <v/>
      </c>
      <c r="O54">
        <f>IF(원생!$I52="","",원생!$I52)</f>
        <v/>
      </c>
      <c r="P54">
        <f>IF($A54="","",IF(AND($B54&gt;0,C54&lt;$B54,DATE($B$1,1,1)&lt;=TODAY(),OR($O54="",$O54&gt;=DATE($B$1,1,1)),OR(COUNTIF($C54:C54,"&gt;0")&gt;0,DATE($B$1,1,1)=DATE(YEAR(TODAY()),MONTH(TODAY()),1))),1,0))</f>
        <v/>
      </c>
      <c r="Q54">
        <f>IF($A54="","",IF(AND($B54&gt;0,D54&lt;$B54,DATE($B$1,2,1)&lt;=TODAY(),OR($O54="",$O54&gt;=DATE($B$1,2,1)),OR(COUNTIF($C54:D54,"&gt;0")&gt;0,DATE($B$1,2,1)=DATE(YEAR(TODAY()),MONTH(TODAY()),1))),1,0))</f>
        <v/>
      </c>
      <c r="R54">
        <f>IF($A54="","",IF(AND($B54&gt;0,E54&lt;$B54,DATE($B$1,3,1)&lt;=TODAY(),OR($O54="",$O54&gt;=DATE($B$1,3,1)),OR(COUNTIF($C54:E54,"&gt;0")&gt;0,DATE($B$1,3,1)=DATE(YEAR(TODAY()),MONTH(TODAY()),1))),1,0))</f>
        <v/>
      </c>
      <c r="S54">
        <f>IF($A54="","",IF(AND($B54&gt;0,F54&lt;$B54,DATE($B$1,4,1)&lt;=TODAY(),OR($O54="",$O54&gt;=DATE($B$1,4,1)),OR(COUNTIF($C54:F54,"&gt;0")&gt;0,DATE($B$1,4,1)=DATE(YEAR(TODAY()),MONTH(TODAY()),1))),1,0))</f>
        <v/>
      </c>
      <c r="T54">
        <f>IF($A54="","",IF(AND($B54&gt;0,G54&lt;$B54,DATE($B$1,5,1)&lt;=TODAY(),OR($O54="",$O54&gt;=DATE($B$1,5,1)),OR(COUNTIF($C54:G54,"&gt;0")&gt;0,DATE($B$1,5,1)=DATE(YEAR(TODAY()),MONTH(TODAY()),1))),1,0))</f>
        <v/>
      </c>
      <c r="U54">
        <f>IF($A54="","",IF(AND($B54&gt;0,H54&lt;$B54,DATE($B$1,6,1)&lt;=TODAY(),OR($O54="",$O54&gt;=DATE($B$1,6,1)),OR(COUNTIF($C54:H54,"&gt;0")&gt;0,DATE($B$1,6,1)=DATE(YEAR(TODAY()),MONTH(TODAY()),1))),1,0))</f>
        <v/>
      </c>
      <c r="V54">
        <f>IF($A54="","",IF(AND($B54&gt;0,I54&lt;$B54,DATE($B$1,7,1)&lt;=TODAY(),OR($O54="",$O54&gt;=DATE($B$1,7,1)),OR(COUNTIF($C54:I54,"&gt;0")&gt;0,DATE($B$1,7,1)=DATE(YEAR(TODAY()),MONTH(TODAY()),1))),1,0))</f>
        <v/>
      </c>
      <c r="W54">
        <f>IF($A54="","",IF(AND($B54&gt;0,J54&lt;$B54,DATE($B$1,8,1)&lt;=TODAY(),OR($O54="",$O54&gt;=DATE($B$1,8,1)),OR(COUNTIF($C54:J54,"&gt;0")&gt;0,DATE($B$1,8,1)=DATE(YEAR(TODAY()),MONTH(TODAY()),1))),1,0))</f>
        <v/>
      </c>
      <c r="X54">
        <f>IF($A54="","",IF(AND($B54&gt;0,K54&lt;$B54,DATE($B$1,9,1)&lt;=TODAY(),OR($O54="",$O54&gt;=DATE($B$1,9,1)),OR(COUNTIF($C54:K54,"&gt;0")&gt;0,DATE($B$1,9,1)=DATE(YEAR(TODAY()),MONTH(TODAY()),1))),1,0))</f>
        <v/>
      </c>
      <c r="Y54">
        <f>IF($A54="","",IF(AND($B54&gt;0,L54&lt;$B54,DATE($B$1,10,1)&lt;=TODAY(),OR($O54="",$O54&gt;=DATE($B$1,10,1)),OR(COUNTIF($C54:L54,"&gt;0")&gt;0,DATE($B$1,10,1)=DATE(YEAR(TODAY()),MONTH(TODAY()),1))),1,0))</f>
        <v/>
      </c>
      <c r="Z54">
        <f>IF($A54="","",IF(AND($B54&gt;0,M54&lt;$B54,DATE($B$1,11,1)&lt;=TODAY(),OR($O54="",$O54&gt;=DATE($B$1,11,1)),OR(COUNTIF($C54:M54,"&gt;0")&gt;0,DATE($B$1,11,1)=DATE(YEAR(TODAY()),MONTH(TODAY()),1))),1,0))</f>
        <v/>
      </c>
      <c r="AA54">
        <f>IF($A54="","",IF(AND($B54&gt;0,N54&lt;$B54,DATE($B$1,12,1)&lt;=TODAY(),OR($O54="",$O54&gt;=DATE($B$1,12,1)),OR(COUNTIF($C54:N54,"&gt;0")&gt;0,DATE($B$1,12,1)=DATE(YEAR(TODAY()),MONTH(TODAY()),1))),1,0))</f>
        <v/>
      </c>
    </row>
    <row r="55">
      <c r="A55" s="13">
        <f>IF(원생!$A53="","",원생!$A53&amp;IF(원생!$G53="",""," ("&amp;원생!$G53&amp;")"))</f>
        <v/>
      </c>
      <c r="B55" s="8">
        <f>IF(원생!$A53="","",N(원생!$F53))</f>
        <v/>
      </c>
      <c r="C55" s="14">
        <f>IF(원생!$A53="","",SUMIFS(계산!$C:$C,계산!$A:$A,계산!$E53,계산!$B:$B,$B$1*100+1))</f>
        <v/>
      </c>
      <c r="D55" s="14">
        <f>IF(원생!$A53="","",SUMIFS(계산!$C:$C,계산!$A:$A,계산!$E53,계산!$B:$B,$B$1*100+2))</f>
        <v/>
      </c>
      <c r="E55" s="14">
        <f>IF(원생!$A53="","",SUMIFS(계산!$C:$C,계산!$A:$A,계산!$E53,계산!$B:$B,$B$1*100+3))</f>
        <v/>
      </c>
      <c r="F55" s="14">
        <f>IF(원생!$A53="","",SUMIFS(계산!$C:$C,계산!$A:$A,계산!$E53,계산!$B:$B,$B$1*100+4))</f>
        <v/>
      </c>
      <c r="G55" s="14">
        <f>IF(원생!$A53="","",SUMIFS(계산!$C:$C,계산!$A:$A,계산!$E53,계산!$B:$B,$B$1*100+5))</f>
        <v/>
      </c>
      <c r="H55" s="14">
        <f>IF(원생!$A53="","",SUMIFS(계산!$C:$C,계산!$A:$A,계산!$E53,계산!$B:$B,$B$1*100+6))</f>
        <v/>
      </c>
      <c r="I55" s="14">
        <f>IF(원생!$A53="","",SUMIFS(계산!$C:$C,계산!$A:$A,계산!$E53,계산!$B:$B,$B$1*100+7))</f>
        <v/>
      </c>
      <c r="J55" s="14">
        <f>IF(원생!$A53="","",SUMIFS(계산!$C:$C,계산!$A:$A,계산!$E53,계산!$B:$B,$B$1*100+8))</f>
        <v/>
      </c>
      <c r="K55" s="14">
        <f>IF(원생!$A53="","",SUMIFS(계산!$C:$C,계산!$A:$A,계산!$E53,계산!$B:$B,$B$1*100+9))</f>
        <v/>
      </c>
      <c r="L55" s="14">
        <f>IF(원생!$A53="","",SUMIFS(계산!$C:$C,계산!$A:$A,계산!$E53,계산!$B:$B,$B$1*100+10))</f>
        <v/>
      </c>
      <c r="M55" s="14">
        <f>IF(원생!$A53="","",SUMIFS(계산!$C:$C,계산!$A:$A,계산!$E53,계산!$B:$B,$B$1*100+11))</f>
        <v/>
      </c>
      <c r="N55" s="14">
        <f>IF(원생!$A53="","",SUMIFS(계산!$C:$C,계산!$A:$A,계산!$E53,계산!$B:$B,$B$1*100+12))</f>
        <v/>
      </c>
      <c r="O55">
        <f>IF(원생!$I53="","",원생!$I53)</f>
        <v/>
      </c>
      <c r="P55">
        <f>IF($A55="","",IF(AND($B55&gt;0,C55&lt;$B55,DATE($B$1,1,1)&lt;=TODAY(),OR($O55="",$O55&gt;=DATE($B$1,1,1)),OR(COUNTIF($C55:C55,"&gt;0")&gt;0,DATE($B$1,1,1)=DATE(YEAR(TODAY()),MONTH(TODAY()),1))),1,0))</f>
        <v/>
      </c>
      <c r="Q55">
        <f>IF($A55="","",IF(AND($B55&gt;0,D55&lt;$B55,DATE($B$1,2,1)&lt;=TODAY(),OR($O55="",$O55&gt;=DATE($B$1,2,1)),OR(COUNTIF($C55:D55,"&gt;0")&gt;0,DATE($B$1,2,1)=DATE(YEAR(TODAY()),MONTH(TODAY()),1))),1,0))</f>
        <v/>
      </c>
      <c r="R55">
        <f>IF($A55="","",IF(AND($B55&gt;0,E55&lt;$B55,DATE($B$1,3,1)&lt;=TODAY(),OR($O55="",$O55&gt;=DATE($B$1,3,1)),OR(COUNTIF($C55:E55,"&gt;0")&gt;0,DATE($B$1,3,1)=DATE(YEAR(TODAY()),MONTH(TODAY()),1))),1,0))</f>
        <v/>
      </c>
      <c r="S55">
        <f>IF($A55="","",IF(AND($B55&gt;0,F55&lt;$B55,DATE($B$1,4,1)&lt;=TODAY(),OR($O55="",$O55&gt;=DATE($B$1,4,1)),OR(COUNTIF($C55:F55,"&gt;0")&gt;0,DATE($B$1,4,1)=DATE(YEAR(TODAY()),MONTH(TODAY()),1))),1,0))</f>
        <v/>
      </c>
      <c r="T55">
        <f>IF($A55="","",IF(AND($B55&gt;0,G55&lt;$B55,DATE($B$1,5,1)&lt;=TODAY(),OR($O55="",$O55&gt;=DATE($B$1,5,1)),OR(COUNTIF($C55:G55,"&gt;0")&gt;0,DATE($B$1,5,1)=DATE(YEAR(TODAY()),MONTH(TODAY()),1))),1,0))</f>
        <v/>
      </c>
      <c r="U55">
        <f>IF($A55="","",IF(AND($B55&gt;0,H55&lt;$B55,DATE($B$1,6,1)&lt;=TODAY(),OR($O55="",$O55&gt;=DATE($B$1,6,1)),OR(COUNTIF($C55:H55,"&gt;0")&gt;0,DATE($B$1,6,1)=DATE(YEAR(TODAY()),MONTH(TODAY()),1))),1,0))</f>
        <v/>
      </c>
      <c r="V55">
        <f>IF($A55="","",IF(AND($B55&gt;0,I55&lt;$B55,DATE($B$1,7,1)&lt;=TODAY(),OR($O55="",$O55&gt;=DATE($B$1,7,1)),OR(COUNTIF($C55:I55,"&gt;0")&gt;0,DATE($B$1,7,1)=DATE(YEAR(TODAY()),MONTH(TODAY()),1))),1,0))</f>
        <v/>
      </c>
      <c r="W55">
        <f>IF($A55="","",IF(AND($B55&gt;0,J55&lt;$B55,DATE($B$1,8,1)&lt;=TODAY(),OR($O55="",$O55&gt;=DATE($B$1,8,1)),OR(COUNTIF($C55:J55,"&gt;0")&gt;0,DATE($B$1,8,1)=DATE(YEAR(TODAY()),MONTH(TODAY()),1))),1,0))</f>
        <v/>
      </c>
      <c r="X55">
        <f>IF($A55="","",IF(AND($B55&gt;0,K55&lt;$B55,DATE($B$1,9,1)&lt;=TODAY(),OR($O55="",$O55&gt;=DATE($B$1,9,1)),OR(COUNTIF($C55:K55,"&gt;0")&gt;0,DATE($B$1,9,1)=DATE(YEAR(TODAY()),MONTH(TODAY()),1))),1,0))</f>
        <v/>
      </c>
      <c r="Y55">
        <f>IF($A55="","",IF(AND($B55&gt;0,L55&lt;$B55,DATE($B$1,10,1)&lt;=TODAY(),OR($O55="",$O55&gt;=DATE($B$1,10,1)),OR(COUNTIF($C55:L55,"&gt;0")&gt;0,DATE($B$1,10,1)=DATE(YEAR(TODAY()),MONTH(TODAY()),1))),1,0))</f>
        <v/>
      </c>
      <c r="Z55">
        <f>IF($A55="","",IF(AND($B55&gt;0,M55&lt;$B55,DATE($B$1,11,1)&lt;=TODAY(),OR($O55="",$O55&gt;=DATE($B$1,11,1)),OR(COUNTIF($C55:M55,"&gt;0")&gt;0,DATE($B$1,11,1)=DATE(YEAR(TODAY()),MONTH(TODAY()),1))),1,0))</f>
        <v/>
      </c>
      <c r="AA55">
        <f>IF($A55="","",IF(AND($B55&gt;0,N55&lt;$B55,DATE($B$1,12,1)&lt;=TODAY(),OR($O55="",$O55&gt;=DATE($B$1,12,1)),OR(COUNTIF($C55:N55,"&gt;0")&gt;0,DATE($B$1,12,1)=DATE(YEAR(TODAY()),MONTH(TODAY()),1))),1,0))</f>
        <v/>
      </c>
    </row>
    <row r="56">
      <c r="A56" s="13">
        <f>IF(원생!$A54="","",원생!$A54&amp;IF(원생!$G54="",""," ("&amp;원생!$G54&amp;")"))</f>
        <v/>
      </c>
      <c r="B56" s="8">
        <f>IF(원생!$A54="","",N(원생!$F54))</f>
        <v/>
      </c>
      <c r="C56" s="14">
        <f>IF(원생!$A54="","",SUMIFS(계산!$C:$C,계산!$A:$A,계산!$E54,계산!$B:$B,$B$1*100+1))</f>
        <v/>
      </c>
      <c r="D56" s="14">
        <f>IF(원생!$A54="","",SUMIFS(계산!$C:$C,계산!$A:$A,계산!$E54,계산!$B:$B,$B$1*100+2))</f>
        <v/>
      </c>
      <c r="E56" s="14">
        <f>IF(원생!$A54="","",SUMIFS(계산!$C:$C,계산!$A:$A,계산!$E54,계산!$B:$B,$B$1*100+3))</f>
        <v/>
      </c>
      <c r="F56" s="14">
        <f>IF(원생!$A54="","",SUMIFS(계산!$C:$C,계산!$A:$A,계산!$E54,계산!$B:$B,$B$1*100+4))</f>
        <v/>
      </c>
      <c r="G56" s="14">
        <f>IF(원생!$A54="","",SUMIFS(계산!$C:$C,계산!$A:$A,계산!$E54,계산!$B:$B,$B$1*100+5))</f>
        <v/>
      </c>
      <c r="H56" s="14">
        <f>IF(원생!$A54="","",SUMIFS(계산!$C:$C,계산!$A:$A,계산!$E54,계산!$B:$B,$B$1*100+6))</f>
        <v/>
      </c>
      <c r="I56" s="14">
        <f>IF(원생!$A54="","",SUMIFS(계산!$C:$C,계산!$A:$A,계산!$E54,계산!$B:$B,$B$1*100+7))</f>
        <v/>
      </c>
      <c r="J56" s="14">
        <f>IF(원생!$A54="","",SUMIFS(계산!$C:$C,계산!$A:$A,계산!$E54,계산!$B:$B,$B$1*100+8))</f>
        <v/>
      </c>
      <c r="K56" s="14">
        <f>IF(원생!$A54="","",SUMIFS(계산!$C:$C,계산!$A:$A,계산!$E54,계산!$B:$B,$B$1*100+9))</f>
        <v/>
      </c>
      <c r="L56" s="14">
        <f>IF(원생!$A54="","",SUMIFS(계산!$C:$C,계산!$A:$A,계산!$E54,계산!$B:$B,$B$1*100+10))</f>
        <v/>
      </c>
      <c r="M56" s="14">
        <f>IF(원생!$A54="","",SUMIFS(계산!$C:$C,계산!$A:$A,계산!$E54,계산!$B:$B,$B$1*100+11))</f>
        <v/>
      </c>
      <c r="N56" s="14">
        <f>IF(원생!$A54="","",SUMIFS(계산!$C:$C,계산!$A:$A,계산!$E54,계산!$B:$B,$B$1*100+12))</f>
        <v/>
      </c>
      <c r="O56">
        <f>IF(원생!$I54="","",원생!$I54)</f>
        <v/>
      </c>
      <c r="P56">
        <f>IF($A56="","",IF(AND($B56&gt;0,C56&lt;$B56,DATE($B$1,1,1)&lt;=TODAY(),OR($O56="",$O56&gt;=DATE($B$1,1,1)),OR(COUNTIF($C56:C56,"&gt;0")&gt;0,DATE($B$1,1,1)=DATE(YEAR(TODAY()),MONTH(TODAY()),1))),1,0))</f>
        <v/>
      </c>
      <c r="Q56">
        <f>IF($A56="","",IF(AND($B56&gt;0,D56&lt;$B56,DATE($B$1,2,1)&lt;=TODAY(),OR($O56="",$O56&gt;=DATE($B$1,2,1)),OR(COUNTIF($C56:D56,"&gt;0")&gt;0,DATE($B$1,2,1)=DATE(YEAR(TODAY()),MONTH(TODAY()),1))),1,0))</f>
        <v/>
      </c>
      <c r="R56">
        <f>IF($A56="","",IF(AND($B56&gt;0,E56&lt;$B56,DATE($B$1,3,1)&lt;=TODAY(),OR($O56="",$O56&gt;=DATE($B$1,3,1)),OR(COUNTIF($C56:E56,"&gt;0")&gt;0,DATE($B$1,3,1)=DATE(YEAR(TODAY()),MONTH(TODAY()),1))),1,0))</f>
        <v/>
      </c>
      <c r="S56">
        <f>IF($A56="","",IF(AND($B56&gt;0,F56&lt;$B56,DATE($B$1,4,1)&lt;=TODAY(),OR($O56="",$O56&gt;=DATE($B$1,4,1)),OR(COUNTIF($C56:F56,"&gt;0")&gt;0,DATE($B$1,4,1)=DATE(YEAR(TODAY()),MONTH(TODAY()),1))),1,0))</f>
        <v/>
      </c>
      <c r="T56">
        <f>IF($A56="","",IF(AND($B56&gt;0,G56&lt;$B56,DATE($B$1,5,1)&lt;=TODAY(),OR($O56="",$O56&gt;=DATE($B$1,5,1)),OR(COUNTIF($C56:G56,"&gt;0")&gt;0,DATE($B$1,5,1)=DATE(YEAR(TODAY()),MONTH(TODAY()),1))),1,0))</f>
        <v/>
      </c>
      <c r="U56">
        <f>IF($A56="","",IF(AND($B56&gt;0,H56&lt;$B56,DATE($B$1,6,1)&lt;=TODAY(),OR($O56="",$O56&gt;=DATE($B$1,6,1)),OR(COUNTIF($C56:H56,"&gt;0")&gt;0,DATE($B$1,6,1)=DATE(YEAR(TODAY()),MONTH(TODAY()),1))),1,0))</f>
        <v/>
      </c>
      <c r="V56">
        <f>IF($A56="","",IF(AND($B56&gt;0,I56&lt;$B56,DATE($B$1,7,1)&lt;=TODAY(),OR($O56="",$O56&gt;=DATE($B$1,7,1)),OR(COUNTIF($C56:I56,"&gt;0")&gt;0,DATE($B$1,7,1)=DATE(YEAR(TODAY()),MONTH(TODAY()),1))),1,0))</f>
        <v/>
      </c>
      <c r="W56">
        <f>IF($A56="","",IF(AND($B56&gt;0,J56&lt;$B56,DATE($B$1,8,1)&lt;=TODAY(),OR($O56="",$O56&gt;=DATE($B$1,8,1)),OR(COUNTIF($C56:J56,"&gt;0")&gt;0,DATE($B$1,8,1)=DATE(YEAR(TODAY()),MONTH(TODAY()),1))),1,0))</f>
        <v/>
      </c>
      <c r="X56">
        <f>IF($A56="","",IF(AND($B56&gt;0,K56&lt;$B56,DATE($B$1,9,1)&lt;=TODAY(),OR($O56="",$O56&gt;=DATE($B$1,9,1)),OR(COUNTIF($C56:K56,"&gt;0")&gt;0,DATE($B$1,9,1)=DATE(YEAR(TODAY()),MONTH(TODAY()),1))),1,0))</f>
        <v/>
      </c>
      <c r="Y56">
        <f>IF($A56="","",IF(AND($B56&gt;0,L56&lt;$B56,DATE($B$1,10,1)&lt;=TODAY(),OR($O56="",$O56&gt;=DATE($B$1,10,1)),OR(COUNTIF($C56:L56,"&gt;0")&gt;0,DATE($B$1,10,1)=DATE(YEAR(TODAY()),MONTH(TODAY()),1))),1,0))</f>
        <v/>
      </c>
      <c r="Z56">
        <f>IF($A56="","",IF(AND($B56&gt;0,M56&lt;$B56,DATE($B$1,11,1)&lt;=TODAY(),OR($O56="",$O56&gt;=DATE($B$1,11,1)),OR(COUNTIF($C56:M56,"&gt;0")&gt;0,DATE($B$1,11,1)=DATE(YEAR(TODAY()),MONTH(TODAY()),1))),1,0))</f>
        <v/>
      </c>
      <c r="AA56">
        <f>IF($A56="","",IF(AND($B56&gt;0,N56&lt;$B56,DATE($B$1,12,1)&lt;=TODAY(),OR($O56="",$O56&gt;=DATE($B$1,12,1)),OR(COUNTIF($C56:N56,"&gt;0")&gt;0,DATE($B$1,12,1)=DATE(YEAR(TODAY()),MONTH(TODAY()),1))),1,0))</f>
        <v/>
      </c>
    </row>
    <row r="57">
      <c r="A57" s="13">
        <f>IF(원생!$A55="","",원생!$A55&amp;IF(원생!$G55="",""," ("&amp;원생!$G55&amp;")"))</f>
        <v/>
      </c>
      <c r="B57" s="8">
        <f>IF(원생!$A55="","",N(원생!$F55))</f>
        <v/>
      </c>
      <c r="C57" s="14">
        <f>IF(원생!$A55="","",SUMIFS(계산!$C:$C,계산!$A:$A,계산!$E55,계산!$B:$B,$B$1*100+1))</f>
        <v/>
      </c>
      <c r="D57" s="14">
        <f>IF(원생!$A55="","",SUMIFS(계산!$C:$C,계산!$A:$A,계산!$E55,계산!$B:$B,$B$1*100+2))</f>
        <v/>
      </c>
      <c r="E57" s="14">
        <f>IF(원생!$A55="","",SUMIFS(계산!$C:$C,계산!$A:$A,계산!$E55,계산!$B:$B,$B$1*100+3))</f>
        <v/>
      </c>
      <c r="F57" s="14">
        <f>IF(원생!$A55="","",SUMIFS(계산!$C:$C,계산!$A:$A,계산!$E55,계산!$B:$B,$B$1*100+4))</f>
        <v/>
      </c>
      <c r="G57" s="14">
        <f>IF(원생!$A55="","",SUMIFS(계산!$C:$C,계산!$A:$A,계산!$E55,계산!$B:$B,$B$1*100+5))</f>
        <v/>
      </c>
      <c r="H57" s="14">
        <f>IF(원생!$A55="","",SUMIFS(계산!$C:$C,계산!$A:$A,계산!$E55,계산!$B:$B,$B$1*100+6))</f>
        <v/>
      </c>
      <c r="I57" s="14">
        <f>IF(원생!$A55="","",SUMIFS(계산!$C:$C,계산!$A:$A,계산!$E55,계산!$B:$B,$B$1*100+7))</f>
        <v/>
      </c>
      <c r="J57" s="14">
        <f>IF(원생!$A55="","",SUMIFS(계산!$C:$C,계산!$A:$A,계산!$E55,계산!$B:$B,$B$1*100+8))</f>
        <v/>
      </c>
      <c r="K57" s="14">
        <f>IF(원생!$A55="","",SUMIFS(계산!$C:$C,계산!$A:$A,계산!$E55,계산!$B:$B,$B$1*100+9))</f>
        <v/>
      </c>
      <c r="L57" s="14">
        <f>IF(원생!$A55="","",SUMIFS(계산!$C:$C,계산!$A:$A,계산!$E55,계산!$B:$B,$B$1*100+10))</f>
        <v/>
      </c>
      <c r="M57" s="14">
        <f>IF(원생!$A55="","",SUMIFS(계산!$C:$C,계산!$A:$A,계산!$E55,계산!$B:$B,$B$1*100+11))</f>
        <v/>
      </c>
      <c r="N57" s="14">
        <f>IF(원생!$A55="","",SUMIFS(계산!$C:$C,계산!$A:$A,계산!$E55,계산!$B:$B,$B$1*100+12))</f>
        <v/>
      </c>
      <c r="O57">
        <f>IF(원생!$I55="","",원생!$I55)</f>
        <v/>
      </c>
      <c r="P57">
        <f>IF($A57="","",IF(AND($B57&gt;0,C57&lt;$B57,DATE($B$1,1,1)&lt;=TODAY(),OR($O57="",$O57&gt;=DATE($B$1,1,1)),OR(COUNTIF($C57:C57,"&gt;0")&gt;0,DATE($B$1,1,1)=DATE(YEAR(TODAY()),MONTH(TODAY()),1))),1,0))</f>
        <v/>
      </c>
      <c r="Q57">
        <f>IF($A57="","",IF(AND($B57&gt;0,D57&lt;$B57,DATE($B$1,2,1)&lt;=TODAY(),OR($O57="",$O57&gt;=DATE($B$1,2,1)),OR(COUNTIF($C57:D57,"&gt;0")&gt;0,DATE($B$1,2,1)=DATE(YEAR(TODAY()),MONTH(TODAY()),1))),1,0))</f>
        <v/>
      </c>
      <c r="R57">
        <f>IF($A57="","",IF(AND($B57&gt;0,E57&lt;$B57,DATE($B$1,3,1)&lt;=TODAY(),OR($O57="",$O57&gt;=DATE($B$1,3,1)),OR(COUNTIF($C57:E57,"&gt;0")&gt;0,DATE($B$1,3,1)=DATE(YEAR(TODAY()),MONTH(TODAY()),1))),1,0))</f>
        <v/>
      </c>
      <c r="S57">
        <f>IF($A57="","",IF(AND($B57&gt;0,F57&lt;$B57,DATE($B$1,4,1)&lt;=TODAY(),OR($O57="",$O57&gt;=DATE($B$1,4,1)),OR(COUNTIF($C57:F57,"&gt;0")&gt;0,DATE($B$1,4,1)=DATE(YEAR(TODAY()),MONTH(TODAY()),1))),1,0))</f>
        <v/>
      </c>
      <c r="T57">
        <f>IF($A57="","",IF(AND($B57&gt;0,G57&lt;$B57,DATE($B$1,5,1)&lt;=TODAY(),OR($O57="",$O57&gt;=DATE($B$1,5,1)),OR(COUNTIF($C57:G57,"&gt;0")&gt;0,DATE($B$1,5,1)=DATE(YEAR(TODAY()),MONTH(TODAY()),1))),1,0))</f>
        <v/>
      </c>
      <c r="U57">
        <f>IF($A57="","",IF(AND($B57&gt;0,H57&lt;$B57,DATE($B$1,6,1)&lt;=TODAY(),OR($O57="",$O57&gt;=DATE($B$1,6,1)),OR(COUNTIF($C57:H57,"&gt;0")&gt;0,DATE($B$1,6,1)=DATE(YEAR(TODAY()),MONTH(TODAY()),1))),1,0))</f>
        <v/>
      </c>
      <c r="V57">
        <f>IF($A57="","",IF(AND($B57&gt;0,I57&lt;$B57,DATE($B$1,7,1)&lt;=TODAY(),OR($O57="",$O57&gt;=DATE($B$1,7,1)),OR(COUNTIF($C57:I57,"&gt;0")&gt;0,DATE($B$1,7,1)=DATE(YEAR(TODAY()),MONTH(TODAY()),1))),1,0))</f>
        <v/>
      </c>
      <c r="W57">
        <f>IF($A57="","",IF(AND($B57&gt;0,J57&lt;$B57,DATE($B$1,8,1)&lt;=TODAY(),OR($O57="",$O57&gt;=DATE($B$1,8,1)),OR(COUNTIF($C57:J57,"&gt;0")&gt;0,DATE($B$1,8,1)=DATE(YEAR(TODAY()),MONTH(TODAY()),1))),1,0))</f>
        <v/>
      </c>
      <c r="X57">
        <f>IF($A57="","",IF(AND($B57&gt;0,K57&lt;$B57,DATE($B$1,9,1)&lt;=TODAY(),OR($O57="",$O57&gt;=DATE($B$1,9,1)),OR(COUNTIF($C57:K57,"&gt;0")&gt;0,DATE($B$1,9,1)=DATE(YEAR(TODAY()),MONTH(TODAY()),1))),1,0))</f>
        <v/>
      </c>
      <c r="Y57">
        <f>IF($A57="","",IF(AND($B57&gt;0,L57&lt;$B57,DATE($B$1,10,1)&lt;=TODAY(),OR($O57="",$O57&gt;=DATE($B$1,10,1)),OR(COUNTIF($C57:L57,"&gt;0")&gt;0,DATE($B$1,10,1)=DATE(YEAR(TODAY()),MONTH(TODAY()),1))),1,0))</f>
        <v/>
      </c>
      <c r="Z57">
        <f>IF($A57="","",IF(AND($B57&gt;0,M57&lt;$B57,DATE($B$1,11,1)&lt;=TODAY(),OR($O57="",$O57&gt;=DATE($B$1,11,1)),OR(COUNTIF($C57:M57,"&gt;0")&gt;0,DATE($B$1,11,1)=DATE(YEAR(TODAY()),MONTH(TODAY()),1))),1,0))</f>
        <v/>
      </c>
      <c r="AA57">
        <f>IF($A57="","",IF(AND($B57&gt;0,N57&lt;$B57,DATE($B$1,12,1)&lt;=TODAY(),OR($O57="",$O57&gt;=DATE($B$1,12,1)),OR(COUNTIF($C57:N57,"&gt;0")&gt;0,DATE($B$1,12,1)=DATE(YEAR(TODAY()),MONTH(TODAY()),1))),1,0))</f>
        <v/>
      </c>
    </row>
    <row r="58">
      <c r="A58" s="13">
        <f>IF(원생!$A56="","",원생!$A56&amp;IF(원생!$G56="",""," ("&amp;원생!$G56&amp;")"))</f>
        <v/>
      </c>
      <c r="B58" s="8">
        <f>IF(원생!$A56="","",N(원생!$F56))</f>
        <v/>
      </c>
      <c r="C58" s="14">
        <f>IF(원생!$A56="","",SUMIFS(계산!$C:$C,계산!$A:$A,계산!$E56,계산!$B:$B,$B$1*100+1))</f>
        <v/>
      </c>
      <c r="D58" s="14">
        <f>IF(원생!$A56="","",SUMIFS(계산!$C:$C,계산!$A:$A,계산!$E56,계산!$B:$B,$B$1*100+2))</f>
        <v/>
      </c>
      <c r="E58" s="14">
        <f>IF(원생!$A56="","",SUMIFS(계산!$C:$C,계산!$A:$A,계산!$E56,계산!$B:$B,$B$1*100+3))</f>
        <v/>
      </c>
      <c r="F58" s="14">
        <f>IF(원생!$A56="","",SUMIFS(계산!$C:$C,계산!$A:$A,계산!$E56,계산!$B:$B,$B$1*100+4))</f>
        <v/>
      </c>
      <c r="G58" s="14">
        <f>IF(원생!$A56="","",SUMIFS(계산!$C:$C,계산!$A:$A,계산!$E56,계산!$B:$B,$B$1*100+5))</f>
        <v/>
      </c>
      <c r="H58" s="14">
        <f>IF(원생!$A56="","",SUMIFS(계산!$C:$C,계산!$A:$A,계산!$E56,계산!$B:$B,$B$1*100+6))</f>
        <v/>
      </c>
      <c r="I58" s="14">
        <f>IF(원생!$A56="","",SUMIFS(계산!$C:$C,계산!$A:$A,계산!$E56,계산!$B:$B,$B$1*100+7))</f>
        <v/>
      </c>
      <c r="J58" s="14">
        <f>IF(원생!$A56="","",SUMIFS(계산!$C:$C,계산!$A:$A,계산!$E56,계산!$B:$B,$B$1*100+8))</f>
        <v/>
      </c>
      <c r="K58" s="14">
        <f>IF(원생!$A56="","",SUMIFS(계산!$C:$C,계산!$A:$A,계산!$E56,계산!$B:$B,$B$1*100+9))</f>
        <v/>
      </c>
      <c r="L58" s="14">
        <f>IF(원생!$A56="","",SUMIFS(계산!$C:$C,계산!$A:$A,계산!$E56,계산!$B:$B,$B$1*100+10))</f>
        <v/>
      </c>
      <c r="M58" s="14">
        <f>IF(원생!$A56="","",SUMIFS(계산!$C:$C,계산!$A:$A,계산!$E56,계산!$B:$B,$B$1*100+11))</f>
        <v/>
      </c>
      <c r="N58" s="14">
        <f>IF(원생!$A56="","",SUMIFS(계산!$C:$C,계산!$A:$A,계산!$E56,계산!$B:$B,$B$1*100+12))</f>
        <v/>
      </c>
      <c r="O58">
        <f>IF(원생!$I56="","",원생!$I56)</f>
        <v/>
      </c>
      <c r="P58">
        <f>IF($A58="","",IF(AND($B58&gt;0,C58&lt;$B58,DATE($B$1,1,1)&lt;=TODAY(),OR($O58="",$O58&gt;=DATE($B$1,1,1)),OR(COUNTIF($C58:C58,"&gt;0")&gt;0,DATE($B$1,1,1)=DATE(YEAR(TODAY()),MONTH(TODAY()),1))),1,0))</f>
        <v/>
      </c>
      <c r="Q58">
        <f>IF($A58="","",IF(AND($B58&gt;0,D58&lt;$B58,DATE($B$1,2,1)&lt;=TODAY(),OR($O58="",$O58&gt;=DATE($B$1,2,1)),OR(COUNTIF($C58:D58,"&gt;0")&gt;0,DATE($B$1,2,1)=DATE(YEAR(TODAY()),MONTH(TODAY()),1))),1,0))</f>
        <v/>
      </c>
      <c r="R58">
        <f>IF($A58="","",IF(AND($B58&gt;0,E58&lt;$B58,DATE($B$1,3,1)&lt;=TODAY(),OR($O58="",$O58&gt;=DATE($B$1,3,1)),OR(COUNTIF($C58:E58,"&gt;0")&gt;0,DATE($B$1,3,1)=DATE(YEAR(TODAY()),MONTH(TODAY()),1))),1,0))</f>
        <v/>
      </c>
      <c r="S58">
        <f>IF($A58="","",IF(AND($B58&gt;0,F58&lt;$B58,DATE($B$1,4,1)&lt;=TODAY(),OR($O58="",$O58&gt;=DATE($B$1,4,1)),OR(COUNTIF($C58:F58,"&gt;0")&gt;0,DATE($B$1,4,1)=DATE(YEAR(TODAY()),MONTH(TODAY()),1))),1,0))</f>
        <v/>
      </c>
      <c r="T58">
        <f>IF($A58="","",IF(AND($B58&gt;0,G58&lt;$B58,DATE($B$1,5,1)&lt;=TODAY(),OR($O58="",$O58&gt;=DATE($B$1,5,1)),OR(COUNTIF($C58:G58,"&gt;0")&gt;0,DATE($B$1,5,1)=DATE(YEAR(TODAY()),MONTH(TODAY()),1))),1,0))</f>
        <v/>
      </c>
      <c r="U58">
        <f>IF($A58="","",IF(AND($B58&gt;0,H58&lt;$B58,DATE($B$1,6,1)&lt;=TODAY(),OR($O58="",$O58&gt;=DATE($B$1,6,1)),OR(COUNTIF($C58:H58,"&gt;0")&gt;0,DATE($B$1,6,1)=DATE(YEAR(TODAY()),MONTH(TODAY()),1))),1,0))</f>
        <v/>
      </c>
      <c r="V58">
        <f>IF($A58="","",IF(AND($B58&gt;0,I58&lt;$B58,DATE($B$1,7,1)&lt;=TODAY(),OR($O58="",$O58&gt;=DATE($B$1,7,1)),OR(COUNTIF($C58:I58,"&gt;0")&gt;0,DATE($B$1,7,1)=DATE(YEAR(TODAY()),MONTH(TODAY()),1))),1,0))</f>
        <v/>
      </c>
      <c r="W58">
        <f>IF($A58="","",IF(AND($B58&gt;0,J58&lt;$B58,DATE($B$1,8,1)&lt;=TODAY(),OR($O58="",$O58&gt;=DATE($B$1,8,1)),OR(COUNTIF($C58:J58,"&gt;0")&gt;0,DATE($B$1,8,1)=DATE(YEAR(TODAY()),MONTH(TODAY()),1))),1,0))</f>
        <v/>
      </c>
      <c r="X58">
        <f>IF($A58="","",IF(AND($B58&gt;0,K58&lt;$B58,DATE($B$1,9,1)&lt;=TODAY(),OR($O58="",$O58&gt;=DATE($B$1,9,1)),OR(COUNTIF($C58:K58,"&gt;0")&gt;0,DATE($B$1,9,1)=DATE(YEAR(TODAY()),MONTH(TODAY()),1))),1,0))</f>
        <v/>
      </c>
      <c r="Y58">
        <f>IF($A58="","",IF(AND($B58&gt;0,L58&lt;$B58,DATE($B$1,10,1)&lt;=TODAY(),OR($O58="",$O58&gt;=DATE($B$1,10,1)),OR(COUNTIF($C58:L58,"&gt;0")&gt;0,DATE($B$1,10,1)=DATE(YEAR(TODAY()),MONTH(TODAY()),1))),1,0))</f>
        <v/>
      </c>
      <c r="Z58">
        <f>IF($A58="","",IF(AND($B58&gt;0,M58&lt;$B58,DATE($B$1,11,1)&lt;=TODAY(),OR($O58="",$O58&gt;=DATE($B$1,11,1)),OR(COUNTIF($C58:M58,"&gt;0")&gt;0,DATE($B$1,11,1)=DATE(YEAR(TODAY()),MONTH(TODAY()),1))),1,0))</f>
        <v/>
      </c>
      <c r="AA58">
        <f>IF($A58="","",IF(AND($B58&gt;0,N58&lt;$B58,DATE($B$1,12,1)&lt;=TODAY(),OR($O58="",$O58&gt;=DATE($B$1,12,1)),OR(COUNTIF($C58:N58,"&gt;0")&gt;0,DATE($B$1,12,1)=DATE(YEAR(TODAY()),MONTH(TODAY()),1))),1,0))</f>
        <v/>
      </c>
    </row>
    <row r="59">
      <c r="A59" s="13">
        <f>IF(원생!$A57="","",원생!$A57&amp;IF(원생!$G57="",""," ("&amp;원생!$G57&amp;")"))</f>
        <v/>
      </c>
      <c r="B59" s="8">
        <f>IF(원생!$A57="","",N(원생!$F57))</f>
        <v/>
      </c>
      <c r="C59" s="14">
        <f>IF(원생!$A57="","",SUMIFS(계산!$C:$C,계산!$A:$A,계산!$E57,계산!$B:$B,$B$1*100+1))</f>
        <v/>
      </c>
      <c r="D59" s="14">
        <f>IF(원생!$A57="","",SUMIFS(계산!$C:$C,계산!$A:$A,계산!$E57,계산!$B:$B,$B$1*100+2))</f>
        <v/>
      </c>
      <c r="E59" s="14">
        <f>IF(원생!$A57="","",SUMIFS(계산!$C:$C,계산!$A:$A,계산!$E57,계산!$B:$B,$B$1*100+3))</f>
        <v/>
      </c>
      <c r="F59" s="14">
        <f>IF(원생!$A57="","",SUMIFS(계산!$C:$C,계산!$A:$A,계산!$E57,계산!$B:$B,$B$1*100+4))</f>
        <v/>
      </c>
      <c r="G59" s="14">
        <f>IF(원생!$A57="","",SUMIFS(계산!$C:$C,계산!$A:$A,계산!$E57,계산!$B:$B,$B$1*100+5))</f>
        <v/>
      </c>
      <c r="H59" s="14">
        <f>IF(원생!$A57="","",SUMIFS(계산!$C:$C,계산!$A:$A,계산!$E57,계산!$B:$B,$B$1*100+6))</f>
        <v/>
      </c>
      <c r="I59" s="14">
        <f>IF(원생!$A57="","",SUMIFS(계산!$C:$C,계산!$A:$A,계산!$E57,계산!$B:$B,$B$1*100+7))</f>
        <v/>
      </c>
      <c r="J59" s="14">
        <f>IF(원생!$A57="","",SUMIFS(계산!$C:$C,계산!$A:$A,계산!$E57,계산!$B:$B,$B$1*100+8))</f>
        <v/>
      </c>
      <c r="K59" s="14">
        <f>IF(원생!$A57="","",SUMIFS(계산!$C:$C,계산!$A:$A,계산!$E57,계산!$B:$B,$B$1*100+9))</f>
        <v/>
      </c>
      <c r="L59" s="14">
        <f>IF(원생!$A57="","",SUMIFS(계산!$C:$C,계산!$A:$A,계산!$E57,계산!$B:$B,$B$1*100+10))</f>
        <v/>
      </c>
      <c r="M59" s="14">
        <f>IF(원생!$A57="","",SUMIFS(계산!$C:$C,계산!$A:$A,계산!$E57,계산!$B:$B,$B$1*100+11))</f>
        <v/>
      </c>
      <c r="N59" s="14">
        <f>IF(원생!$A57="","",SUMIFS(계산!$C:$C,계산!$A:$A,계산!$E57,계산!$B:$B,$B$1*100+12))</f>
        <v/>
      </c>
      <c r="O59">
        <f>IF(원생!$I57="","",원생!$I57)</f>
        <v/>
      </c>
      <c r="P59">
        <f>IF($A59="","",IF(AND($B59&gt;0,C59&lt;$B59,DATE($B$1,1,1)&lt;=TODAY(),OR($O59="",$O59&gt;=DATE($B$1,1,1)),OR(COUNTIF($C59:C59,"&gt;0")&gt;0,DATE($B$1,1,1)=DATE(YEAR(TODAY()),MONTH(TODAY()),1))),1,0))</f>
        <v/>
      </c>
      <c r="Q59">
        <f>IF($A59="","",IF(AND($B59&gt;0,D59&lt;$B59,DATE($B$1,2,1)&lt;=TODAY(),OR($O59="",$O59&gt;=DATE($B$1,2,1)),OR(COUNTIF($C59:D59,"&gt;0")&gt;0,DATE($B$1,2,1)=DATE(YEAR(TODAY()),MONTH(TODAY()),1))),1,0))</f>
        <v/>
      </c>
      <c r="R59">
        <f>IF($A59="","",IF(AND($B59&gt;0,E59&lt;$B59,DATE($B$1,3,1)&lt;=TODAY(),OR($O59="",$O59&gt;=DATE($B$1,3,1)),OR(COUNTIF($C59:E59,"&gt;0")&gt;0,DATE($B$1,3,1)=DATE(YEAR(TODAY()),MONTH(TODAY()),1))),1,0))</f>
        <v/>
      </c>
      <c r="S59">
        <f>IF($A59="","",IF(AND($B59&gt;0,F59&lt;$B59,DATE($B$1,4,1)&lt;=TODAY(),OR($O59="",$O59&gt;=DATE($B$1,4,1)),OR(COUNTIF($C59:F59,"&gt;0")&gt;0,DATE($B$1,4,1)=DATE(YEAR(TODAY()),MONTH(TODAY()),1))),1,0))</f>
        <v/>
      </c>
      <c r="T59">
        <f>IF($A59="","",IF(AND($B59&gt;0,G59&lt;$B59,DATE($B$1,5,1)&lt;=TODAY(),OR($O59="",$O59&gt;=DATE($B$1,5,1)),OR(COUNTIF($C59:G59,"&gt;0")&gt;0,DATE($B$1,5,1)=DATE(YEAR(TODAY()),MONTH(TODAY()),1))),1,0))</f>
        <v/>
      </c>
      <c r="U59">
        <f>IF($A59="","",IF(AND($B59&gt;0,H59&lt;$B59,DATE($B$1,6,1)&lt;=TODAY(),OR($O59="",$O59&gt;=DATE($B$1,6,1)),OR(COUNTIF($C59:H59,"&gt;0")&gt;0,DATE($B$1,6,1)=DATE(YEAR(TODAY()),MONTH(TODAY()),1))),1,0))</f>
        <v/>
      </c>
      <c r="V59">
        <f>IF($A59="","",IF(AND($B59&gt;0,I59&lt;$B59,DATE($B$1,7,1)&lt;=TODAY(),OR($O59="",$O59&gt;=DATE($B$1,7,1)),OR(COUNTIF($C59:I59,"&gt;0")&gt;0,DATE($B$1,7,1)=DATE(YEAR(TODAY()),MONTH(TODAY()),1))),1,0))</f>
        <v/>
      </c>
      <c r="W59">
        <f>IF($A59="","",IF(AND($B59&gt;0,J59&lt;$B59,DATE($B$1,8,1)&lt;=TODAY(),OR($O59="",$O59&gt;=DATE($B$1,8,1)),OR(COUNTIF($C59:J59,"&gt;0")&gt;0,DATE($B$1,8,1)=DATE(YEAR(TODAY()),MONTH(TODAY()),1))),1,0))</f>
        <v/>
      </c>
      <c r="X59">
        <f>IF($A59="","",IF(AND($B59&gt;0,K59&lt;$B59,DATE($B$1,9,1)&lt;=TODAY(),OR($O59="",$O59&gt;=DATE($B$1,9,1)),OR(COUNTIF($C59:K59,"&gt;0")&gt;0,DATE($B$1,9,1)=DATE(YEAR(TODAY()),MONTH(TODAY()),1))),1,0))</f>
        <v/>
      </c>
      <c r="Y59">
        <f>IF($A59="","",IF(AND($B59&gt;0,L59&lt;$B59,DATE($B$1,10,1)&lt;=TODAY(),OR($O59="",$O59&gt;=DATE($B$1,10,1)),OR(COUNTIF($C59:L59,"&gt;0")&gt;0,DATE($B$1,10,1)=DATE(YEAR(TODAY()),MONTH(TODAY()),1))),1,0))</f>
        <v/>
      </c>
      <c r="Z59">
        <f>IF($A59="","",IF(AND($B59&gt;0,M59&lt;$B59,DATE($B$1,11,1)&lt;=TODAY(),OR($O59="",$O59&gt;=DATE($B$1,11,1)),OR(COUNTIF($C59:M59,"&gt;0")&gt;0,DATE($B$1,11,1)=DATE(YEAR(TODAY()),MONTH(TODAY()),1))),1,0))</f>
        <v/>
      </c>
      <c r="AA59">
        <f>IF($A59="","",IF(AND($B59&gt;0,N59&lt;$B59,DATE($B$1,12,1)&lt;=TODAY(),OR($O59="",$O59&gt;=DATE($B$1,12,1)),OR(COUNTIF($C59:N59,"&gt;0")&gt;0,DATE($B$1,12,1)=DATE(YEAR(TODAY()),MONTH(TODAY()),1))),1,0))</f>
        <v/>
      </c>
    </row>
    <row r="60">
      <c r="A60" s="13">
        <f>IF(원생!$A58="","",원생!$A58&amp;IF(원생!$G58="",""," ("&amp;원생!$G58&amp;")"))</f>
        <v/>
      </c>
      <c r="B60" s="8">
        <f>IF(원생!$A58="","",N(원생!$F58))</f>
        <v/>
      </c>
      <c r="C60" s="14">
        <f>IF(원생!$A58="","",SUMIFS(계산!$C:$C,계산!$A:$A,계산!$E58,계산!$B:$B,$B$1*100+1))</f>
        <v/>
      </c>
      <c r="D60" s="14">
        <f>IF(원생!$A58="","",SUMIFS(계산!$C:$C,계산!$A:$A,계산!$E58,계산!$B:$B,$B$1*100+2))</f>
        <v/>
      </c>
      <c r="E60" s="14">
        <f>IF(원생!$A58="","",SUMIFS(계산!$C:$C,계산!$A:$A,계산!$E58,계산!$B:$B,$B$1*100+3))</f>
        <v/>
      </c>
      <c r="F60" s="14">
        <f>IF(원생!$A58="","",SUMIFS(계산!$C:$C,계산!$A:$A,계산!$E58,계산!$B:$B,$B$1*100+4))</f>
        <v/>
      </c>
      <c r="G60" s="14">
        <f>IF(원생!$A58="","",SUMIFS(계산!$C:$C,계산!$A:$A,계산!$E58,계산!$B:$B,$B$1*100+5))</f>
        <v/>
      </c>
      <c r="H60" s="14">
        <f>IF(원생!$A58="","",SUMIFS(계산!$C:$C,계산!$A:$A,계산!$E58,계산!$B:$B,$B$1*100+6))</f>
        <v/>
      </c>
      <c r="I60" s="14">
        <f>IF(원생!$A58="","",SUMIFS(계산!$C:$C,계산!$A:$A,계산!$E58,계산!$B:$B,$B$1*100+7))</f>
        <v/>
      </c>
      <c r="J60" s="14">
        <f>IF(원생!$A58="","",SUMIFS(계산!$C:$C,계산!$A:$A,계산!$E58,계산!$B:$B,$B$1*100+8))</f>
        <v/>
      </c>
      <c r="K60" s="14">
        <f>IF(원생!$A58="","",SUMIFS(계산!$C:$C,계산!$A:$A,계산!$E58,계산!$B:$B,$B$1*100+9))</f>
        <v/>
      </c>
      <c r="L60" s="14">
        <f>IF(원생!$A58="","",SUMIFS(계산!$C:$C,계산!$A:$A,계산!$E58,계산!$B:$B,$B$1*100+10))</f>
        <v/>
      </c>
      <c r="M60" s="14">
        <f>IF(원생!$A58="","",SUMIFS(계산!$C:$C,계산!$A:$A,계산!$E58,계산!$B:$B,$B$1*100+11))</f>
        <v/>
      </c>
      <c r="N60" s="14">
        <f>IF(원생!$A58="","",SUMIFS(계산!$C:$C,계산!$A:$A,계산!$E58,계산!$B:$B,$B$1*100+12))</f>
        <v/>
      </c>
      <c r="O60">
        <f>IF(원생!$I58="","",원생!$I58)</f>
        <v/>
      </c>
      <c r="P60">
        <f>IF($A60="","",IF(AND($B60&gt;0,C60&lt;$B60,DATE($B$1,1,1)&lt;=TODAY(),OR($O60="",$O60&gt;=DATE($B$1,1,1)),OR(COUNTIF($C60:C60,"&gt;0")&gt;0,DATE($B$1,1,1)=DATE(YEAR(TODAY()),MONTH(TODAY()),1))),1,0))</f>
        <v/>
      </c>
      <c r="Q60">
        <f>IF($A60="","",IF(AND($B60&gt;0,D60&lt;$B60,DATE($B$1,2,1)&lt;=TODAY(),OR($O60="",$O60&gt;=DATE($B$1,2,1)),OR(COUNTIF($C60:D60,"&gt;0")&gt;0,DATE($B$1,2,1)=DATE(YEAR(TODAY()),MONTH(TODAY()),1))),1,0))</f>
        <v/>
      </c>
      <c r="R60">
        <f>IF($A60="","",IF(AND($B60&gt;0,E60&lt;$B60,DATE($B$1,3,1)&lt;=TODAY(),OR($O60="",$O60&gt;=DATE($B$1,3,1)),OR(COUNTIF($C60:E60,"&gt;0")&gt;0,DATE($B$1,3,1)=DATE(YEAR(TODAY()),MONTH(TODAY()),1))),1,0))</f>
        <v/>
      </c>
      <c r="S60">
        <f>IF($A60="","",IF(AND($B60&gt;0,F60&lt;$B60,DATE($B$1,4,1)&lt;=TODAY(),OR($O60="",$O60&gt;=DATE($B$1,4,1)),OR(COUNTIF($C60:F60,"&gt;0")&gt;0,DATE($B$1,4,1)=DATE(YEAR(TODAY()),MONTH(TODAY()),1))),1,0))</f>
        <v/>
      </c>
      <c r="T60">
        <f>IF($A60="","",IF(AND($B60&gt;0,G60&lt;$B60,DATE($B$1,5,1)&lt;=TODAY(),OR($O60="",$O60&gt;=DATE($B$1,5,1)),OR(COUNTIF($C60:G60,"&gt;0")&gt;0,DATE($B$1,5,1)=DATE(YEAR(TODAY()),MONTH(TODAY()),1))),1,0))</f>
        <v/>
      </c>
      <c r="U60">
        <f>IF($A60="","",IF(AND($B60&gt;0,H60&lt;$B60,DATE($B$1,6,1)&lt;=TODAY(),OR($O60="",$O60&gt;=DATE($B$1,6,1)),OR(COUNTIF($C60:H60,"&gt;0")&gt;0,DATE($B$1,6,1)=DATE(YEAR(TODAY()),MONTH(TODAY()),1))),1,0))</f>
        <v/>
      </c>
      <c r="V60">
        <f>IF($A60="","",IF(AND($B60&gt;0,I60&lt;$B60,DATE($B$1,7,1)&lt;=TODAY(),OR($O60="",$O60&gt;=DATE($B$1,7,1)),OR(COUNTIF($C60:I60,"&gt;0")&gt;0,DATE($B$1,7,1)=DATE(YEAR(TODAY()),MONTH(TODAY()),1))),1,0))</f>
        <v/>
      </c>
      <c r="W60">
        <f>IF($A60="","",IF(AND($B60&gt;0,J60&lt;$B60,DATE($B$1,8,1)&lt;=TODAY(),OR($O60="",$O60&gt;=DATE($B$1,8,1)),OR(COUNTIF($C60:J60,"&gt;0")&gt;0,DATE($B$1,8,1)=DATE(YEAR(TODAY()),MONTH(TODAY()),1))),1,0))</f>
        <v/>
      </c>
      <c r="X60">
        <f>IF($A60="","",IF(AND($B60&gt;0,K60&lt;$B60,DATE($B$1,9,1)&lt;=TODAY(),OR($O60="",$O60&gt;=DATE($B$1,9,1)),OR(COUNTIF($C60:K60,"&gt;0")&gt;0,DATE($B$1,9,1)=DATE(YEAR(TODAY()),MONTH(TODAY()),1))),1,0))</f>
        <v/>
      </c>
      <c r="Y60">
        <f>IF($A60="","",IF(AND($B60&gt;0,L60&lt;$B60,DATE($B$1,10,1)&lt;=TODAY(),OR($O60="",$O60&gt;=DATE($B$1,10,1)),OR(COUNTIF($C60:L60,"&gt;0")&gt;0,DATE($B$1,10,1)=DATE(YEAR(TODAY()),MONTH(TODAY()),1))),1,0))</f>
        <v/>
      </c>
      <c r="Z60">
        <f>IF($A60="","",IF(AND($B60&gt;0,M60&lt;$B60,DATE($B$1,11,1)&lt;=TODAY(),OR($O60="",$O60&gt;=DATE($B$1,11,1)),OR(COUNTIF($C60:M60,"&gt;0")&gt;0,DATE($B$1,11,1)=DATE(YEAR(TODAY()),MONTH(TODAY()),1))),1,0))</f>
        <v/>
      </c>
      <c r="AA60">
        <f>IF($A60="","",IF(AND($B60&gt;0,N60&lt;$B60,DATE($B$1,12,1)&lt;=TODAY(),OR($O60="",$O60&gt;=DATE($B$1,12,1)),OR(COUNTIF($C60:N60,"&gt;0")&gt;0,DATE($B$1,12,1)=DATE(YEAR(TODAY()),MONTH(TODAY()),1))),1,0))</f>
        <v/>
      </c>
    </row>
    <row r="61">
      <c r="A61" s="13">
        <f>IF(원생!$A59="","",원생!$A59&amp;IF(원생!$G59="",""," ("&amp;원생!$G59&amp;")"))</f>
        <v/>
      </c>
      <c r="B61" s="8">
        <f>IF(원생!$A59="","",N(원생!$F59))</f>
        <v/>
      </c>
      <c r="C61" s="14">
        <f>IF(원생!$A59="","",SUMIFS(계산!$C:$C,계산!$A:$A,계산!$E59,계산!$B:$B,$B$1*100+1))</f>
        <v/>
      </c>
      <c r="D61" s="14">
        <f>IF(원생!$A59="","",SUMIFS(계산!$C:$C,계산!$A:$A,계산!$E59,계산!$B:$B,$B$1*100+2))</f>
        <v/>
      </c>
      <c r="E61" s="14">
        <f>IF(원생!$A59="","",SUMIFS(계산!$C:$C,계산!$A:$A,계산!$E59,계산!$B:$B,$B$1*100+3))</f>
        <v/>
      </c>
      <c r="F61" s="14">
        <f>IF(원생!$A59="","",SUMIFS(계산!$C:$C,계산!$A:$A,계산!$E59,계산!$B:$B,$B$1*100+4))</f>
        <v/>
      </c>
      <c r="G61" s="14">
        <f>IF(원생!$A59="","",SUMIFS(계산!$C:$C,계산!$A:$A,계산!$E59,계산!$B:$B,$B$1*100+5))</f>
        <v/>
      </c>
      <c r="H61" s="14">
        <f>IF(원생!$A59="","",SUMIFS(계산!$C:$C,계산!$A:$A,계산!$E59,계산!$B:$B,$B$1*100+6))</f>
        <v/>
      </c>
      <c r="I61" s="14">
        <f>IF(원생!$A59="","",SUMIFS(계산!$C:$C,계산!$A:$A,계산!$E59,계산!$B:$B,$B$1*100+7))</f>
        <v/>
      </c>
      <c r="J61" s="14">
        <f>IF(원생!$A59="","",SUMIFS(계산!$C:$C,계산!$A:$A,계산!$E59,계산!$B:$B,$B$1*100+8))</f>
        <v/>
      </c>
      <c r="K61" s="14">
        <f>IF(원생!$A59="","",SUMIFS(계산!$C:$C,계산!$A:$A,계산!$E59,계산!$B:$B,$B$1*100+9))</f>
        <v/>
      </c>
      <c r="L61" s="14">
        <f>IF(원생!$A59="","",SUMIFS(계산!$C:$C,계산!$A:$A,계산!$E59,계산!$B:$B,$B$1*100+10))</f>
        <v/>
      </c>
      <c r="M61" s="14">
        <f>IF(원생!$A59="","",SUMIFS(계산!$C:$C,계산!$A:$A,계산!$E59,계산!$B:$B,$B$1*100+11))</f>
        <v/>
      </c>
      <c r="N61" s="14">
        <f>IF(원생!$A59="","",SUMIFS(계산!$C:$C,계산!$A:$A,계산!$E59,계산!$B:$B,$B$1*100+12))</f>
        <v/>
      </c>
      <c r="O61">
        <f>IF(원생!$I59="","",원생!$I59)</f>
        <v/>
      </c>
      <c r="P61">
        <f>IF($A61="","",IF(AND($B61&gt;0,C61&lt;$B61,DATE($B$1,1,1)&lt;=TODAY(),OR($O61="",$O61&gt;=DATE($B$1,1,1)),OR(COUNTIF($C61:C61,"&gt;0")&gt;0,DATE($B$1,1,1)=DATE(YEAR(TODAY()),MONTH(TODAY()),1))),1,0))</f>
        <v/>
      </c>
      <c r="Q61">
        <f>IF($A61="","",IF(AND($B61&gt;0,D61&lt;$B61,DATE($B$1,2,1)&lt;=TODAY(),OR($O61="",$O61&gt;=DATE($B$1,2,1)),OR(COUNTIF($C61:D61,"&gt;0")&gt;0,DATE($B$1,2,1)=DATE(YEAR(TODAY()),MONTH(TODAY()),1))),1,0))</f>
        <v/>
      </c>
      <c r="R61">
        <f>IF($A61="","",IF(AND($B61&gt;0,E61&lt;$B61,DATE($B$1,3,1)&lt;=TODAY(),OR($O61="",$O61&gt;=DATE($B$1,3,1)),OR(COUNTIF($C61:E61,"&gt;0")&gt;0,DATE($B$1,3,1)=DATE(YEAR(TODAY()),MONTH(TODAY()),1))),1,0))</f>
        <v/>
      </c>
      <c r="S61">
        <f>IF($A61="","",IF(AND($B61&gt;0,F61&lt;$B61,DATE($B$1,4,1)&lt;=TODAY(),OR($O61="",$O61&gt;=DATE($B$1,4,1)),OR(COUNTIF($C61:F61,"&gt;0")&gt;0,DATE($B$1,4,1)=DATE(YEAR(TODAY()),MONTH(TODAY()),1))),1,0))</f>
        <v/>
      </c>
      <c r="T61">
        <f>IF($A61="","",IF(AND($B61&gt;0,G61&lt;$B61,DATE($B$1,5,1)&lt;=TODAY(),OR($O61="",$O61&gt;=DATE($B$1,5,1)),OR(COUNTIF($C61:G61,"&gt;0")&gt;0,DATE($B$1,5,1)=DATE(YEAR(TODAY()),MONTH(TODAY()),1))),1,0))</f>
        <v/>
      </c>
      <c r="U61">
        <f>IF($A61="","",IF(AND($B61&gt;0,H61&lt;$B61,DATE($B$1,6,1)&lt;=TODAY(),OR($O61="",$O61&gt;=DATE($B$1,6,1)),OR(COUNTIF($C61:H61,"&gt;0")&gt;0,DATE($B$1,6,1)=DATE(YEAR(TODAY()),MONTH(TODAY()),1))),1,0))</f>
        <v/>
      </c>
      <c r="V61">
        <f>IF($A61="","",IF(AND($B61&gt;0,I61&lt;$B61,DATE($B$1,7,1)&lt;=TODAY(),OR($O61="",$O61&gt;=DATE($B$1,7,1)),OR(COUNTIF($C61:I61,"&gt;0")&gt;0,DATE($B$1,7,1)=DATE(YEAR(TODAY()),MONTH(TODAY()),1))),1,0))</f>
        <v/>
      </c>
      <c r="W61">
        <f>IF($A61="","",IF(AND($B61&gt;0,J61&lt;$B61,DATE($B$1,8,1)&lt;=TODAY(),OR($O61="",$O61&gt;=DATE($B$1,8,1)),OR(COUNTIF($C61:J61,"&gt;0")&gt;0,DATE($B$1,8,1)=DATE(YEAR(TODAY()),MONTH(TODAY()),1))),1,0))</f>
        <v/>
      </c>
      <c r="X61">
        <f>IF($A61="","",IF(AND($B61&gt;0,K61&lt;$B61,DATE($B$1,9,1)&lt;=TODAY(),OR($O61="",$O61&gt;=DATE($B$1,9,1)),OR(COUNTIF($C61:K61,"&gt;0")&gt;0,DATE($B$1,9,1)=DATE(YEAR(TODAY()),MONTH(TODAY()),1))),1,0))</f>
        <v/>
      </c>
      <c r="Y61">
        <f>IF($A61="","",IF(AND($B61&gt;0,L61&lt;$B61,DATE($B$1,10,1)&lt;=TODAY(),OR($O61="",$O61&gt;=DATE($B$1,10,1)),OR(COUNTIF($C61:L61,"&gt;0")&gt;0,DATE($B$1,10,1)=DATE(YEAR(TODAY()),MONTH(TODAY()),1))),1,0))</f>
        <v/>
      </c>
      <c r="Z61">
        <f>IF($A61="","",IF(AND($B61&gt;0,M61&lt;$B61,DATE($B$1,11,1)&lt;=TODAY(),OR($O61="",$O61&gt;=DATE($B$1,11,1)),OR(COUNTIF($C61:M61,"&gt;0")&gt;0,DATE($B$1,11,1)=DATE(YEAR(TODAY()),MONTH(TODAY()),1))),1,0))</f>
        <v/>
      </c>
      <c r="AA61">
        <f>IF($A61="","",IF(AND($B61&gt;0,N61&lt;$B61,DATE($B$1,12,1)&lt;=TODAY(),OR($O61="",$O61&gt;=DATE($B$1,12,1)),OR(COUNTIF($C61:N61,"&gt;0")&gt;0,DATE($B$1,12,1)=DATE(YEAR(TODAY()),MONTH(TODAY()),1))),1,0))</f>
        <v/>
      </c>
    </row>
    <row r="62">
      <c r="A62" s="13">
        <f>IF(원생!$A60="","",원생!$A60&amp;IF(원생!$G60="",""," ("&amp;원생!$G60&amp;")"))</f>
        <v/>
      </c>
      <c r="B62" s="8">
        <f>IF(원생!$A60="","",N(원생!$F60))</f>
        <v/>
      </c>
      <c r="C62" s="14">
        <f>IF(원생!$A60="","",SUMIFS(계산!$C:$C,계산!$A:$A,계산!$E60,계산!$B:$B,$B$1*100+1))</f>
        <v/>
      </c>
      <c r="D62" s="14">
        <f>IF(원생!$A60="","",SUMIFS(계산!$C:$C,계산!$A:$A,계산!$E60,계산!$B:$B,$B$1*100+2))</f>
        <v/>
      </c>
      <c r="E62" s="14">
        <f>IF(원생!$A60="","",SUMIFS(계산!$C:$C,계산!$A:$A,계산!$E60,계산!$B:$B,$B$1*100+3))</f>
        <v/>
      </c>
      <c r="F62" s="14">
        <f>IF(원생!$A60="","",SUMIFS(계산!$C:$C,계산!$A:$A,계산!$E60,계산!$B:$B,$B$1*100+4))</f>
        <v/>
      </c>
      <c r="G62" s="14">
        <f>IF(원생!$A60="","",SUMIFS(계산!$C:$C,계산!$A:$A,계산!$E60,계산!$B:$B,$B$1*100+5))</f>
        <v/>
      </c>
      <c r="H62" s="14">
        <f>IF(원생!$A60="","",SUMIFS(계산!$C:$C,계산!$A:$A,계산!$E60,계산!$B:$B,$B$1*100+6))</f>
        <v/>
      </c>
      <c r="I62" s="14">
        <f>IF(원생!$A60="","",SUMIFS(계산!$C:$C,계산!$A:$A,계산!$E60,계산!$B:$B,$B$1*100+7))</f>
        <v/>
      </c>
      <c r="J62" s="14">
        <f>IF(원생!$A60="","",SUMIFS(계산!$C:$C,계산!$A:$A,계산!$E60,계산!$B:$B,$B$1*100+8))</f>
        <v/>
      </c>
      <c r="K62" s="14">
        <f>IF(원생!$A60="","",SUMIFS(계산!$C:$C,계산!$A:$A,계산!$E60,계산!$B:$B,$B$1*100+9))</f>
        <v/>
      </c>
      <c r="L62" s="14">
        <f>IF(원생!$A60="","",SUMIFS(계산!$C:$C,계산!$A:$A,계산!$E60,계산!$B:$B,$B$1*100+10))</f>
        <v/>
      </c>
      <c r="M62" s="14">
        <f>IF(원생!$A60="","",SUMIFS(계산!$C:$C,계산!$A:$A,계산!$E60,계산!$B:$B,$B$1*100+11))</f>
        <v/>
      </c>
      <c r="N62" s="14">
        <f>IF(원생!$A60="","",SUMIFS(계산!$C:$C,계산!$A:$A,계산!$E60,계산!$B:$B,$B$1*100+12))</f>
        <v/>
      </c>
      <c r="O62">
        <f>IF(원생!$I60="","",원생!$I60)</f>
        <v/>
      </c>
      <c r="P62">
        <f>IF($A62="","",IF(AND($B62&gt;0,C62&lt;$B62,DATE($B$1,1,1)&lt;=TODAY(),OR($O62="",$O62&gt;=DATE($B$1,1,1)),OR(COUNTIF($C62:C62,"&gt;0")&gt;0,DATE($B$1,1,1)=DATE(YEAR(TODAY()),MONTH(TODAY()),1))),1,0))</f>
        <v/>
      </c>
      <c r="Q62">
        <f>IF($A62="","",IF(AND($B62&gt;0,D62&lt;$B62,DATE($B$1,2,1)&lt;=TODAY(),OR($O62="",$O62&gt;=DATE($B$1,2,1)),OR(COUNTIF($C62:D62,"&gt;0")&gt;0,DATE($B$1,2,1)=DATE(YEAR(TODAY()),MONTH(TODAY()),1))),1,0))</f>
        <v/>
      </c>
      <c r="R62">
        <f>IF($A62="","",IF(AND($B62&gt;0,E62&lt;$B62,DATE($B$1,3,1)&lt;=TODAY(),OR($O62="",$O62&gt;=DATE($B$1,3,1)),OR(COUNTIF($C62:E62,"&gt;0")&gt;0,DATE($B$1,3,1)=DATE(YEAR(TODAY()),MONTH(TODAY()),1))),1,0))</f>
        <v/>
      </c>
      <c r="S62">
        <f>IF($A62="","",IF(AND($B62&gt;0,F62&lt;$B62,DATE($B$1,4,1)&lt;=TODAY(),OR($O62="",$O62&gt;=DATE($B$1,4,1)),OR(COUNTIF($C62:F62,"&gt;0")&gt;0,DATE($B$1,4,1)=DATE(YEAR(TODAY()),MONTH(TODAY()),1))),1,0))</f>
        <v/>
      </c>
      <c r="T62">
        <f>IF($A62="","",IF(AND($B62&gt;0,G62&lt;$B62,DATE($B$1,5,1)&lt;=TODAY(),OR($O62="",$O62&gt;=DATE($B$1,5,1)),OR(COUNTIF($C62:G62,"&gt;0")&gt;0,DATE($B$1,5,1)=DATE(YEAR(TODAY()),MONTH(TODAY()),1))),1,0))</f>
        <v/>
      </c>
      <c r="U62">
        <f>IF($A62="","",IF(AND($B62&gt;0,H62&lt;$B62,DATE($B$1,6,1)&lt;=TODAY(),OR($O62="",$O62&gt;=DATE($B$1,6,1)),OR(COUNTIF($C62:H62,"&gt;0")&gt;0,DATE($B$1,6,1)=DATE(YEAR(TODAY()),MONTH(TODAY()),1))),1,0))</f>
        <v/>
      </c>
      <c r="V62">
        <f>IF($A62="","",IF(AND($B62&gt;0,I62&lt;$B62,DATE($B$1,7,1)&lt;=TODAY(),OR($O62="",$O62&gt;=DATE($B$1,7,1)),OR(COUNTIF($C62:I62,"&gt;0")&gt;0,DATE($B$1,7,1)=DATE(YEAR(TODAY()),MONTH(TODAY()),1))),1,0))</f>
        <v/>
      </c>
      <c r="W62">
        <f>IF($A62="","",IF(AND($B62&gt;0,J62&lt;$B62,DATE($B$1,8,1)&lt;=TODAY(),OR($O62="",$O62&gt;=DATE($B$1,8,1)),OR(COUNTIF($C62:J62,"&gt;0")&gt;0,DATE($B$1,8,1)=DATE(YEAR(TODAY()),MONTH(TODAY()),1))),1,0))</f>
        <v/>
      </c>
      <c r="X62">
        <f>IF($A62="","",IF(AND($B62&gt;0,K62&lt;$B62,DATE($B$1,9,1)&lt;=TODAY(),OR($O62="",$O62&gt;=DATE($B$1,9,1)),OR(COUNTIF($C62:K62,"&gt;0")&gt;0,DATE($B$1,9,1)=DATE(YEAR(TODAY()),MONTH(TODAY()),1))),1,0))</f>
        <v/>
      </c>
      <c r="Y62">
        <f>IF($A62="","",IF(AND($B62&gt;0,L62&lt;$B62,DATE($B$1,10,1)&lt;=TODAY(),OR($O62="",$O62&gt;=DATE($B$1,10,1)),OR(COUNTIF($C62:L62,"&gt;0")&gt;0,DATE($B$1,10,1)=DATE(YEAR(TODAY()),MONTH(TODAY()),1))),1,0))</f>
        <v/>
      </c>
      <c r="Z62">
        <f>IF($A62="","",IF(AND($B62&gt;0,M62&lt;$B62,DATE($B$1,11,1)&lt;=TODAY(),OR($O62="",$O62&gt;=DATE($B$1,11,1)),OR(COUNTIF($C62:M62,"&gt;0")&gt;0,DATE($B$1,11,1)=DATE(YEAR(TODAY()),MONTH(TODAY()),1))),1,0))</f>
        <v/>
      </c>
      <c r="AA62">
        <f>IF($A62="","",IF(AND($B62&gt;0,N62&lt;$B62,DATE($B$1,12,1)&lt;=TODAY(),OR($O62="",$O62&gt;=DATE($B$1,12,1)),OR(COUNTIF($C62:N62,"&gt;0")&gt;0,DATE($B$1,12,1)=DATE(YEAR(TODAY()),MONTH(TODAY()),1))),1,0))</f>
        <v/>
      </c>
    </row>
    <row r="63">
      <c r="A63" s="13">
        <f>IF(원생!$A61="","",원생!$A61&amp;IF(원생!$G61="",""," ("&amp;원생!$G61&amp;")"))</f>
        <v/>
      </c>
      <c r="B63" s="8">
        <f>IF(원생!$A61="","",N(원생!$F61))</f>
        <v/>
      </c>
      <c r="C63" s="14">
        <f>IF(원생!$A61="","",SUMIFS(계산!$C:$C,계산!$A:$A,계산!$E61,계산!$B:$B,$B$1*100+1))</f>
        <v/>
      </c>
      <c r="D63" s="14">
        <f>IF(원생!$A61="","",SUMIFS(계산!$C:$C,계산!$A:$A,계산!$E61,계산!$B:$B,$B$1*100+2))</f>
        <v/>
      </c>
      <c r="E63" s="14">
        <f>IF(원생!$A61="","",SUMIFS(계산!$C:$C,계산!$A:$A,계산!$E61,계산!$B:$B,$B$1*100+3))</f>
        <v/>
      </c>
      <c r="F63" s="14">
        <f>IF(원생!$A61="","",SUMIFS(계산!$C:$C,계산!$A:$A,계산!$E61,계산!$B:$B,$B$1*100+4))</f>
        <v/>
      </c>
      <c r="G63" s="14">
        <f>IF(원생!$A61="","",SUMIFS(계산!$C:$C,계산!$A:$A,계산!$E61,계산!$B:$B,$B$1*100+5))</f>
        <v/>
      </c>
      <c r="H63" s="14">
        <f>IF(원생!$A61="","",SUMIFS(계산!$C:$C,계산!$A:$A,계산!$E61,계산!$B:$B,$B$1*100+6))</f>
        <v/>
      </c>
      <c r="I63" s="14">
        <f>IF(원생!$A61="","",SUMIFS(계산!$C:$C,계산!$A:$A,계산!$E61,계산!$B:$B,$B$1*100+7))</f>
        <v/>
      </c>
      <c r="J63" s="14">
        <f>IF(원생!$A61="","",SUMIFS(계산!$C:$C,계산!$A:$A,계산!$E61,계산!$B:$B,$B$1*100+8))</f>
        <v/>
      </c>
      <c r="K63" s="14">
        <f>IF(원생!$A61="","",SUMIFS(계산!$C:$C,계산!$A:$A,계산!$E61,계산!$B:$B,$B$1*100+9))</f>
        <v/>
      </c>
      <c r="L63" s="14">
        <f>IF(원생!$A61="","",SUMIFS(계산!$C:$C,계산!$A:$A,계산!$E61,계산!$B:$B,$B$1*100+10))</f>
        <v/>
      </c>
      <c r="M63" s="14">
        <f>IF(원생!$A61="","",SUMIFS(계산!$C:$C,계산!$A:$A,계산!$E61,계산!$B:$B,$B$1*100+11))</f>
        <v/>
      </c>
      <c r="N63" s="14">
        <f>IF(원생!$A61="","",SUMIFS(계산!$C:$C,계산!$A:$A,계산!$E61,계산!$B:$B,$B$1*100+12))</f>
        <v/>
      </c>
      <c r="O63">
        <f>IF(원생!$I61="","",원생!$I61)</f>
        <v/>
      </c>
      <c r="P63">
        <f>IF($A63="","",IF(AND($B63&gt;0,C63&lt;$B63,DATE($B$1,1,1)&lt;=TODAY(),OR($O63="",$O63&gt;=DATE($B$1,1,1)),OR(COUNTIF($C63:C63,"&gt;0")&gt;0,DATE($B$1,1,1)=DATE(YEAR(TODAY()),MONTH(TODAY()),1))),1,0))</f>
        <v/>
      </c>
      <c r="Q63">
        <f>IF($A63="","",IF(AND($B63&gt;0,D63&lt;$B63,DATE($B$1,2,1)&lt;=TODAY(),OR($O63="",$O63&gt;=DATE($B$1,2,1)),OR(COUNTIF($C63:D63,"&gt;0")&gt;0,DATE($B$1,2,1)=DATE(YEAR(TODAY()),MONTH(TODAY()),1))),1,0))</f>
        <v/>
      </c>
      <c r="R63">
        <f>IF($A63="","",IF(AND($B63&gt;0,E63&lt;$B63,DATE($B$1,3,1)&lt;=TODAY(),OR($O63="",$O63&gt;=DATE($B$1,3,1)),OR(COUNTIF($C63:E63,"&gt;0")&gt;0,DATE($B$1,3,1)=DATE(YEAR(TODAY()),MONTH(TODAY()),1))),1,0))</f>
        <v/>
      </c>
      <c r="S63">
        <f>IF($A63="","",IF(AND($B63&gt;0,F63&lt;$B63,DATE($B$1,4,1)&lt;=TODAY(),OR($O63="",$O63&gt;=DATE($B$1,4,1)),OR(COUNTIF($C63:F63,"&gt;0")&gt;0,DATE($B$1,4,1)=DATE(YEAR(TODAY()),MONTH(TODAY()),1))),1,0))</f>
        <v/>
      </c>
      <c r="T63">
        <f>IF($A63="","",IF(AND($B63&gt;0,G63&lt;$B63,DATE($B$1,5,1)&lt;=TODAY(),OR($O63="",$O63&gt;=DATE($B$1,5,1)),OR(COUNTIF($C63:G63,"&gt;0")&gt;0,DATE($B$1,5,1)=DATE(YEAR(TODAY()),MONTH(TODAY()),1))),1,0))</f>
        <v/>
      </c>
      <c r="U63">
        <f>IF($A63="","",IF(AND($B63&gt;0,H63&lt;$B63,DATE($B$1,6,1)&lt;=TODAY(),OR($O63="",$O63&gt;=DATE($B$1,6,1)),OR(COUNTIF($C63:H63,"&gt;0")&gt;0,DATE($B$1,6,1)=DATE(YEAR(TODAY()),MONTH(TODAY()),1))),1,0))</f>
        <v/>
      </c>
      <c r="V63">
        <f>IF($A63="","",IF(AND($B63&gt;0,I63&lt;$B63,DATE($B$1,7,1)&lt;=TODAY(),OR($O63="",$O63&gt;=DATE($B$1,7,1)),OR(COUNTIF($C63:I63,"&gt;0")&gt;0,DATE($B$1,7,1)=DATE(YEAR(TODAY()),MONTH(TODAY()),1))),1,0))</f>
        <v/>
      </c>
      <c r="W63">
        <f>IF($A63="","",IF(AND($B63&gt;0,J63&lt;$B63,DATE($B$1,8,1)&lt;=TODAY(),OR($O63="",$O63&gt;=DATE($B$1,8,1)),OR(COUNTIF($C63:J63,"&gt;0")&gt;0,DATE($B$1,8,1)=DATE(YEAR(TODAY()),MONTH(TODAY()),1))),1,0))</f>
        <v/>
      </c>
      <c r="X63">
        <f>IF($A63="","",IF(AND($B63&gt;0,K63&lt;$B63,DATE($B$1,9,1)&lt;=TODAY(),OR($O63="",$O63&gt;=DATE($B$1,9,1)),OR(COUNTIF($C63:K63,"&gt;0")&gt;0,DATE($B$1,9,1)=DATE(YEAR(TODAY()),MONTH(TODAY()),1))),1,0))</f>
        <v/>
      </c>
      <c r="Y63">
        <f>IF($A63="","",IF(AND($B63&gt;0,L63&lt;$B63,DATE($B$1,10,1)&lt;=TODAY(),OR($O63="",$O63&gt;=DATE($B$1,10,1)),OR(COUNTIF($C63:L63,"&gt;0")&gt;0,DATE($B$1,10,1)=DATE(YEAR(TODAY()),MONTH(TODAY()),1))),1,0))</f>
        <v/>
      </c>
      <c r="Z63">
        <f>IF($A63="","",IF(AND($B63&gt;0,M63&lt;$B63,DATE($B$1,11,1)&lt;=TODAY(),OR($O63="",$O63&gt;=DATE($B$1,11,1)),OR(COUNTIF($C63:M63,"&gt;0")&gt;0,DATE($B$1,11,1)=DATE(YEAR(TODAY()),MONTH(TODAY()),1))),1,0))</f>
        <v/>
      </c>
      <c r="AA63">
        <f>IF($A63="","",IF(AND($B63&gt;0,N63&lt;$B63,DATE($B$1,12,1)&lt;=TODAY(),OR($O63="",$O63&gt;=DATE($B$1,12,1)),OR(COUNTIF($C63:N63,"&gt;0")&gt;0,DATE($B$1,12,1)=DATE(YEAR(TODAY()),MONTH(TODAY()),1))),1,0))</f>
        <v/>
      </c>
    </row>
    <row r="64">
      <c r="A64" s="13">
        <f>IF(원생!$A62="","",원생!$A62&amp;IF(원생!$G62="",""," ("&amp;원생!$G62&amp;")"))</f>
        <v/>
      </c>
      <c r="B64" s="8">
        <f>IF(원생!$A62="","",N(원생!$F62))</f>
        <v/>
      </c>
      <c r="C64" s="14">
        <f>IF(원생!$A62="","",SUMIFS(계산!$C:$C,계산!$A:$A,계산!$E62,계산!$B:$B,$B$1*100+1))</f>
        <v/>
      </c>
      <c r="D64" s="14">
        <f>IF(원생!$A62="","",SUMIFS(계산!$C:$C,계산!$A:$A,계산!$E62,계산!$B:$B,$B$1*100+2))</f>
        <v/>
      </c>
      <c r="E64" s="14">
        <f>IF(원생!$A62="","",SUMIFS(계산!$C:$C,계산!$A:$A,계산!$E62,계산!$B:$B,$B$1*100+3))</f>
        <v/>
      </c>
      <c r="F64" s="14">
        <f>IF(원생!$A62="","",SUMIFS(계산!$C:$C,계산!$A:$A,계산!$E62,계산!$B:$B,$B$1*100+4))</f>
        <v/>
      </c>
      <c r="G64" s="14">
        <f>IF(원생!$A62="","",SUMIFS(계산!$C:$C,계산!$A:$A,계산!$E62,계산!$B:$B,$B$1*100+5))</f>
        <v/>
      </c>
      <c r="H64" s="14">
        <f>IF(원생!$A62="","",SUMIFS(계산!$C:$C,계산!$A:$A,계산!$E62,계산!$B:$B,$B$1*100+6))</f>
        <v/>
      </c>
      <c r="I64" s="14">
        <f>IF(원생!$A62="","",SUMIFS(계산!$C:$C,계산!$A:$A,계산!$E62,계산!$B:$B,$B$1*100+7))</f>
        <v/>
      </c>
      <c r="J64" s="14">
        <f>IF(원생!$A62="","",SUMIFS(계산!$C:$C,계산!$A:$A,계산!$E62,계산!$B:$B,$B$1*100+8))</f>
        <v/>
      </c>
      <c r="K64" s="14">
        <f>IF(원생!$A62="","",SUMIFS(계산!$C:$C,계산!$A:$A,계산!$E62,계산!$B:$B,$B$1*100+9))</f>
        <v/>
      </c>
      <c r="L64" s="14">
        <f>IF(원생!$A62="","",SUMIFS(계산!$C:$C,계산!$A:$A,계산!$E62,계산!$B:$B,$B$1*100+10))</f>
        <v/>
      </c>
      <c r="M64" s="14">
        <f>IF(원생!$A62="","",SUMIFS(계산!$C:$C,계산!$A:$A,계산!$E62,계산!$B:$B,$B$1*100+11))</f>
        <v/>
      </c>
      <c r="N64" s="14">
        <f>IF(원생!$A62="","",SUMIFS(계산!$C:$C,계산!$A:$A,계산!$E62,계산!$B:$B,$B$1*100+12))</f>
        <v/>
      </c>
      <c r="O64">
        <f>IF(원생!$I62="","",원생!$I62)</f>
        <v/>
      </c>
      <c r="P64">
        <f>IF($A64="","",IF(AND($B64&gt;0,C64&lt;$B64,DATE($B$1,1,1)&lt;=TODAY(),OR($O64="",$O64&gt;=DATE($B$1,1,1)),OR(COUNTIF($C64:C64,"&gt;0")&gt;0,DATE($B$1,1,1)=DATE(YEAR(TODAY()),MONTH(TODAY()),1))),1,0))</f>
        <v/>
      </c>
      <c r="Q64">
        <f>IF($A64="","",IF(AND($B64&gt;0,D64&lt;$B64,DATE($B$1,2,1)&lt;=TODAY(),OR($O64="",$O64&gt;=DATE($B$1,2,1)),OR(COUNTIF($C64:D64,"&gt;0")&gt;0,DATE($B$1,2,1)=DATE(YEAR(TODAY()),MONTH(TODAY()),1))),1,0))</f>
        <v/>
      </c>
      <c r="R64">
        <f>IF($A64="","",IF(AND($B64&gt;0,E64&lt;$B64,DATE($B$1,3,1)&lt;=TODAY(),OR($O64="",$O64&gt;=DATE($B$1,3,1)),OR(COUNTIF($C64:E64,"&gt;0")&gt;0,DATE($B$1,3,1)=DATE(YEAR(TODAY()),MONTH(TODAY()),1))),1,0))</f>
        <v/>
      </c>
      <c r="S64">
        <f>IF($A64="","",IF(AND($B64&gt;0,F64&lt;$B64,DATE($B$1,4,1)&lt;=TODAY(),OR($O64="",$O64&gt;=DATE($B$1,4,1)),OR(COUNTIF($C64:F64,"&gt;0")&gt;0,DATE($B$1,4,1)=DATE(YEAR(TODAY()),MONTH(TODAY()),1))),1,0))</f>
        <v/>
      </c>
      <c r="T64">
        <f>IF($A64="","",IF(AND($B64&gt;0,G64&lt;$B64,DATE($B$1,5,1)&lt;=TODAY(),OR($O64="",$O64&gt;=DATE($B$1,5,1)),OR(COUNTIF($C64:G64,"&gt;0")&gt;0,DATE($B$1,5,1)=DATE(YEAR(TODAY()),MONTH(TODAY()),1))),1,0))</f>
        <v/>
      </c>
      <c r="U64">
        <f>IF($A64="","",IF(AND($B64&gt;0,H64&lt;$B64,DATE($B$1,6,1)&lt;=TODAY(),OR($O64="",$O64&gt;=DATE($B$1,6,1)),OR(COUNTIF($C64:H64,"&gt;0")&gt;0,DATE($B$1,6,1)=DATE(YEAR(TODAY()),MONTH(TODAY()),1))),1,0))</f>
        <v/>
      </c>
      <c r="V64">
        <f>IF($A64="","",IF(AND($B64&gt;0,I64&lt;$B64,DATE($B$1,7,1)&lt;=TODAY(),OR($O64="",$O64&gt;=DATE($B$1,7,1)),OR(COUNTIF($C64:I64,"&gt;0")&gt;0,DATE($B$1,7,1)=DATE(YEAR(TODAY()),MONTH(TODAY()),1))),1,0))</f>
        <v/>
      </c>
      <c r="W64">
        <f>IF($A64="","",IF(AND($B64&gt;0,J64&lt;$B64,DATE($B$1,8,1)&lt;=TODAY(),OR($O64="",$O64&gt;=DATE($B$1,8,1)),OR(COUNTIF($C64:J64,"&gt;0")&gt;0,DATE($B$1,8,1)=DATE(YEAR(TODAY()),MONTH(TODAY()),1))),1,0))</f>
        <v/>
      </c>
      <c r="X64">
        <f>IF($A64="","",IF(AND($B64&gt;0,K64&lt;$B64,DATE($B$1,9,1)&lt;=TODAY(),OR($O64="",$O64&gt;=DATE($B$1,9,1)),OR(COUNTIF($C64:K64,"&gt;0")&gt;0,DATE($B$1,9,1)=DATE(YEAR(TODAY()),MONTH(TODAY()),1))),1,0))</f>
        <v/>
      </c>
      <c r="Y64">
        <f>IF($A64="","",IF(AND($B64&gt;0,L64&lt;$B64,DATE($B$1,10,1)&lt;=TODAY(),OR($O64="",$O64&gt;=DATE($B$1,10,1)),OR(COUNTIF($C64:L64,"&gt;0")&gt;0,DATE($B$1,10,1)=DATE(YEAR(TODAY()),MONTH(TODAY()),1))),1,0))</f>
        <v/>
      </c>
      <c r="Z64">
        <f>IF($A64="","",IF(AND($B64&gt;0,M64&lt;$B64,DATE($B$1,11,1)&lt;=TODAY(),OR($O64="",$O64&gt;=DATE($B$1,11,1)),OR(COUNTIF($C64:M64,"&gt;0")&gt;0,DATE($B$1,11,1)=DATE(YEAR(TODAY()),MONTH(TODAY()),1))),1,0))</f>
        <v/>
      </c>
      <c r="AA64">
        <f>IF($A64="","",IF(AND($B64&gt;0,N64&lt;$B64,DATE($B$1,12,1)&lt;=TODAY(),OR($O64="",$O64&gt;=DATE($B$1,12,1)),OR(COUNTIF($C64:N64,"&gt;0")&gt;0,DATE($B$1,12,1)=DATE(YEAR(TODAY()),MONTH(TODAY()),1))),1,0))</f>
        <v/>
      </c>
    </row>
    <row r="65">
      <c r="A65" s="13">
        <f>IF(원생!$A63="","",원생!$A63&amp;IF(원생!$G63="",""," ("&amp;원생!$G63&amp;")"))</f>
        <v/>
      </c>
      <c r="B65" s="8">
        <f>IF(원생!$A63="","",N(원생!$F63))</f>
        <v/>
      </c>
      <c r="C65" s="14">
        <f>IF(원생!$A63="","",SUMIFS(계산!$C:$C,계산!$A:$A,계산!$E63,계산!$B:$B,$B$1*100+1))</f>
        <v/>
      </c>
      <c r="D65" s="14">
        <f>IF(원생!$A63="","",SUMIFS(계산!$C:$C,계산!$A:$A,계산!$E63,계산!$B:$B,$B$1*100+2))</f>
        <v/>
      </c>
      <c r="E65" s="14">
        <f>IF(원생!$A63="","",SUMIFS(계산!$C:$C,계산!$A:$A,계산!$E63,계산!$B:$B,$B$1*100+3))</f>
        <v/>
      </c>
      <c r="F65" s="14">
        <f>IF(원생!$A63="","",SUMIFS(계산!$C:$C,계산!$A:$A,계산!$E63,계산!$B:$B,$B$1*100+4))</f>
        <v/>
      </c>
      <c r="G65" s="14">
        <f>IF(원생!$A63="","",SUMIFS(계산!$C:$C,계산!$A:$A,계산!$E63,계산!$B:$B,$B$1*100+5))</f>
        <v/>
      </c>
      <c r="H65" s="14">
        <f>IF(원생!$A63="","",SUMIFS(계산!$C:$C,계산!$A:$A,계산!$E63,계산!$B:$B,$B$1*100+6))</f>
        <v/>
      </c>
      <c r="I65" s="14">
        <f>IF(원생!$A63="","",SUMIFS(계산!$C:$C,계산!$A:$A,계산!$E63,계산!$B:$B,$B$1*100+7))</f>
        <v/>
      </c>
      <c r="J65" s="14">
        <f>IF(원생!$A63="","",SUMIFS(계산!$C:$C,계산!$A:$A,계산!$E63,계산!$B:$B,$B$1*100+8))</f>
        <v/>
      </c>
      <c r="K65" s="14">
        <f>IF(원생!$A63="","",SUMIFS(계산!$C:$C,계산!$A:$A,계산!$E63,계산!$B:$B,$B$1*100+9))</f>
        <v/>
      </c>
      <c r="L65" s="14">
        <f>IF(원생!$A63="","",SUMIFS(계산!$C:$C,계산!$A:$A,계산!$E63,계산!$B:$B,$B$1*100+10))</f>
        <v/>
      </c>
      <c r="M65" s="14">
        <f>IF(원생!$A63="","",SUMIFS(계산!$C:$C,계산!$A:$A,계산!$E63,계산!$B:$B,$B$1*100+11))</f>
        <v/>
      </c>
      <c r="N65" s="14">
        <f>IF(원생!$A63="","",SUMIFS(계산!$C:$C,계산!$A:$A,계산!$E63,계산!$B:$B,$B$1*100+12))</f>
        <v/>
      </c>
      <c r="O65">
        <f>IF(원생!$I63="","",원생!$I63)</f>
        <v/>
      </c>
      <c r="P65">
        <f>IF($A65="","",IF(AND($B65&gt;0,C65&lt;$B65,DATE($B$1,1,1)&lt;=TODAY(),OR($O65="",$O65&gt;=DATE($B$1,1,1)),OR(COUNTIF($C65:C65,"&gt;0")&gt;0,DATE($B$1,1,1)=DATE(YEAR(TODAY()),MONTH(TODAY()),1))),1,0))</f>
        <v/>
      </c>
      <c r="Q65">
        <f>IF($A65="","",IF(AND($B65&gt;0,D65&lt;$B65,DATE($B$1,2,1)&lt;=TODAY(),OR($O65="",$O65&gt;=DATE($B$1,2,1)),OR(COUNTIF($C65:D65,"&gt;0")&gt;0,DATE($B$1,2,1)=DATE(YEAR(TODAY()),MONTH(TODAY()),1))),1,0))</f>
        <v/>
      </c>
      <c r="R65">
        <f>IF($A65="","",IF(AND($B65&gt;0,E65&lt;$B65,DATE($B$1,3,1)&lt;=TODAY(),OR($O65="",$O65&gt;=DATE($B$1,3,1)),OR(COUNTIF($C65:E65,"&gt;0")&gt;0,DATE($B$1,3,1)=DATE(YEAR(TODAY()),MONTH(TODAY()),1))),1,0))</f>
        <v/>
      </c>
      <c r="S65">
        <f>IF($A65="","",IF(AND($B65&gt;0,F65&lt;$B65,DATE($B$1,4,1)&lt;=TODAY(),OR($O65="",$O65&gt;=DATE($B$1,4,1)),OR(COUNTIF($C65:F65,"&gt;0")&gt;0,DATE($B$1,4,1)=DATE(YEAR(TODAY()),MONTH(TODAY()),1))),1,0))</f>
        <v/>
      </c>
      <c r="T65">
        <f>IF($A65="","",IF(AND($B65&gt;0,G65&lt;$B65,DATE($B$1,5,1)&lt;=TODAY(),OR($O65="",$O65&gt;=DATE($B$1,5,1)),OR(COUNTIF($C65:G65,"&gt;0")&gt;0,DATE($B$1,5,1)=DATE(YEAR(TODAY()),MONTH(TODAY()),1))),1,0))</f>
        <v/>
      </c>
      <c r="U65">
        <f>IF($A65="","",IF(AND($B65&gt;0,H65&lt;$B65,DATE($B$1,6,1)&lt;=TODAY(),OR($O65="",$O65&gt;=DATE($B$1,6,1)),OR(COUNTIF($C65:H65,"&gt;0")&gt;0,DATE($B$1,6,1)=DATE(YEAR(TODAY()),MONTH(TODAY()),1))),1,0))</f>
        <v/>
      </c>
      <c r="V65">
        <f>IF($A65="","",IF(AND($B65&gt;0,I65&lt;$B65,DATE($B$1,7,1)&lt;=TODAY(),OR($O65="",$O65&gt;=DATE($B$1,7,1)),OR(COUNTIF($C65:I65,"&gt;0")&gt;0,DATE($B$1,7,1)=DATE(YEAR(TODAY()),MONTH(TODAY()),1))),1,0))</f>
        <v/>
      </c>
      <c r="W65">
        <f>IF($A65="","",IF(AND($B65&gt;0,J65&lt;$B65,DATE($B$1,8,1)&lt;=TODAY(),OR($O65="",$O65&gt;=DATE($B$1,8,1)),OR(COUNTIF($C65:J65,"&gt;0")&gt;0,DATE($B$1,8,1)=DATE(YEAR(TODAY()),MONTH(TODAY()),1))),1,0))</f>
        <v/>
      </c>
      <c r="X65">
        <f>IF($A65="","",IF(AND($B65&gt;0,K65&lt;$B65,DATE($B$1,9,1)&lt;=TODAY(),OR($O65="",$O65&gt;=DATE($B$1,9,1)),OR(COUNTIF($C65:K65,"&gt;0")&gt;0,DATE($B$1,9,1)=DATE(YEAR(TODAY()),MONTH(TODAY()),1))),1,0))</f>
        <v/>
      </c>
      <c r="Y65">
        <f>IF($A65="","",IF(AND($B65&gt;0,L65&lt;$B65,DATE($B$1,10,1)&lt;=TODAY(),OR($O65="",$O65&gt;=DATE($B$1,10,1)),OR(COUNTIF($C65:L65,"&gt;0")&gt;0,DATE($B$1,10,1)=DATE(YEAR(TODAY()),MONTH(TODAY()),1))),1,0))</f>
        <v/>
      </c>
      <c r="Z65">
        <f>IF($A65="","",IF(AND($B65&gt;0,M65&lt;$B65,DATE($B$1,11,1)&lt;=TODAY(),OR($O65="",$O65&gt;=DATE($B$1,11,1)),OR(COUNTIF($C65:M65,"&gt;0")&gt;0,DATE($B$1,11,1)=DATE(YEAR(TODAY()),MONTH(TODAY()),1))),1,0))</f>
        <v/>
      </c>
      <c r="AA65">
        <f>IF($A65="","",IF(AND($B65&gt;0,N65&lt;$B65,DATE($B$1,12,1)&lt;=TODAY(),OR($O65="",$O65&gt;=DATE($B$1,12,1)),OR(COUNTIF($C65:N65,"&gt;0")&gt;0,DATE($B$1,12,1)=DATE(YEAR(TODAY()),MONTH(TODAY()),1))),1,0))</f>
        <v/>
      </c>
    </row>
    <row r="66">
      <c r="A66" s="13">
        <f>IF(원생!$A64="","",원생!$A64&amp;IF(원생!$G64="",""," ("&amp;원생!$G64&amp;")"))</f>
        <v/>
      </c>
      <c r="B66" s="8">
        <f>IF(원생!$A64="","",N(원생!$F64))</f>
        <v/>
      </c>
      <c r="C66" s="14">
        <f>IF(원생!$A64="","",SUMIFS(계산!$C:$C,계산!$A:$A,계산!$E64,계산!$B:$B,$B$1*100+1))</f>
        <v/>
      </c>
      <c r="D66" s="14">
        <f>IF(원생!$A64="","",SUMIFS(계산!$C:$C,계산!$A:$A,계산!$E64,계산!$B:$B,$B$1*100+2))</f>
        <v/>
      </c>
      <c r="E66" s="14">
        <f>IF(원생!$A64="","",SUMIFS(계산!$C:$C,계산!$A:$A,계산!$E64,계산!$B:$B,$B$1*100+3))</f>
        <v/>
      </c>
      <c r="F66" s="14">
        <f>IF(원생!$A64="","",SUMIFS(계산!$C:$C,계산!$A:$A,계산!$E64,계산!$B:$B,$B$1*100+4))</f>
        <v/>
      </c>
      <c r="G66" s="14">
        <f>IF(원생!$A64="","",SUMIFS(계산!$C:$C,계산!$A:$A,계산!$E64,계산!$B:$B,$B$1*100+5))</f>
        <v/>
      </c>
      <c r="H66" s="14">
        <f>IF(원생!$A64="","",SUMIFS(계산!$C:$C,계산!$A:$A,계산!$E64,계산!$B:$B,$B$1*100+6))</f>
        <v/>
      </c>
      <c r="I66" s="14">
        <f>IF(원생!$A64="","",SUMIFS(계산!$C:$C,계산!$A:$A,계산!$E64,계산!$B:$B,$B$1*100+7))</f>
        <v/>
      </c>
      <c r="J66" s="14">
        <f>IF(원생!$A64="","",SUMIFS(계산!$C:$C,계산!$A:$A,계산!$E64,계산!$B:$B,$B$1*100+8))</f>
        <v/>
      </c>
      <c r="K66" s="14">
        <f>IF(원생!$A64="","",SUMIFS(계산!$C:$C,계산!$A:$A,계산!$E64,계산!$B:$B,$B$1*100+9))</f>
        <v/>
      </c>
      <c r="L66" s="14">
        <f>IF(원생!$A64="","",SUMIFS(계산!$C:$C,계산!$A:$A,계산!$E64,계산!$B:$B,$B$1*100+10))</f>
        <v/>
      </c>
      <c r="M66" s="14">
        <f>IF(원생!$A64="","",SUMIFS(계산!$C:$C,계산!$A:$A,계산!$E64,계산!$B:$B,$B$1*100+11))</f>
        <v/>
      </c>
      <c r="N66" s="14">
        <f>IF(원생!$A64="","",SUMIFS(계산!$C:$C,계산!$A:$A,계산!$E64,계산!$B:$B,$B$1*100+12))</f>
        <v/>
      </c>
      <c r="O66">
        <f>IF(원생!$I64="","",원생!$I64)</f>
        <v/>
      </c>
      <c r="P66">
        <f>IF($A66="","",IF(AND($B66&gt;0,C66&lt;$B66,DATE($B$1,1,1)&lt;=TODAY(),OR($O66="",$O66&gt;=DATE($B$1,1,1)),OR(COUNTIF($C66:C66,"&gt;0")&gt;0,DATE($B$1,1,1)=DATE(YEAR(TODAY()),MONTH(TODAY()),1))),1,0))</f>
        <v/>
      </c>
      <c r="Q66">
        <f>IF($A66="","",IF(AND($B66&gt;0,D66&lt;$B66,DATE($B$1,2,1)&lt;=TODAY(),OR($O66="",$O66&gt;=DATE($B$1,2,1)),OR(COUNTIF($C66:D66,"&gt;0")&gt;0,DATE($B$1,2,1)=DATE(YEAR(TODAY()),MONTH(TODAY()),1))),1,0))</f>
        <v/>
      </c>
      <c r="R66">
        <f>IF($A66="","",IF(AND($B66&gt;0,E66&lt;$B66,DATE($B$1,3,1)&lt;=TODAY(),OR($O66="",$O66&gt;=DATE($B$1,3,1)),OR(COUNTIF($C66:E66,"&gt;0")&gt;0,DATE($B$1,3,1)=DATE(YEAR(TODAY()),MONTH(TODAY()),1))),1,0))</f>
        <v/>
      </c>
      <c r="S66">
        <f>IF($A66="","",IF(AND($B66&gt;0,F66&lt;$B66,DATE($B$1,4,1)&lt;=TODAY(),OR($O66="",$O66&gt;=DATE($B$1,4,1)),OR(COUNTIF($C66:F66,"&gt;0")&gt;0,DATE($B$1,4,1)=DATE(YEAR(TODAY()),MONTH(TODAY()),1))),1,0))</f>
        <v/>
      </c>
      <c r="T66">
        <f>IF($A66="","",IF(AND($B66&gt;0,G66&lt;$B66,DATE($B$1,5,1)&lt;=TODAY(),OR($O66="",$O66&gt;=DATE($B$1,5,1)),OR(COUNTIF($C66:G66,"&gt;0")&gt;0,DATE($B$1,5,1)=DATE(YEAR(TODAY()),MONTH(TODAY()),1))),1,0))</f>
        <v/>
      </c>
      <c r="U66">
        <f>IF($A66="","",IF(AND($B66&gt;0,H66&lt;$B66,DATE($B$1,6,1)&lt;=TODAY(),OR($O66="",$O66&gt;=DATE($B$1,6,1)),OR(COUNTIF($C66:H66,"&gt;0")&gt;0,DATE($B$1,6,1)=DATE(YEAR(TODAY()),MONTH(TODAY()),1))),1,0))</f>
        <v/>
      </c>
      <c r="V66">
        <f>IF($A66="","",IF(AND($B66&gt;0,I66&lt;$B66,DATE($B$1,7,1)&lt;=TODAY(),OR($O66="",$O66&gt;=DATE($B$1,7,1)),OR(COUNTIF($C66:I66,"&gt;0")&gt;0,DATE($B$1,7,1)=DATE(YEAR(TODAY()),MONTH(TODAY()),1))),1,0))</f>
        <v/>
      </c>
      <c r="W66">
        <f>IF($A66="","",IF(AND($B66&gt;0,J66&lt;$B66,DATE($B$1,8,1)&lt;=TODAY(),OR($O66="",$O66&gt;=DATE($B$1,8,1)),OR(COUNTIF($C66:J66,"&gt;0")&gt;0,DATE($B$1,8,1)=DATE(YEAR(TODAY()),MONTH(TODAY()),1))),1,0))</f>
        <v/>
      </c>
      <c r="X66">
        <f>IF($A66="","",IF(AND($B66&gt;0,K66&lt;$B66,DATE($B$1,9,1)&lt;=TODAY(),OR($O66="",$O66&gt;=DATE($B$1,9,1)),OR(COUNTIF($C66:K66,"&gt;0")&gt;0,DATE($B$1,9,1)=DATE(YEAR(TODAY()),MONTH(TODAY()),1))),1,0))</f>
        <v/>
      </c>
      <c r="Y66">
        <f>IF($A66="","",IF(AND($B66&gt;0,L66&lt;$B66,DATE($B$1,10,1)&lt;=TODAY(),OR($O66="",$O66&gt;=DATE($B$1,10,1)),OR(COUNTIF($C66:L66,"&gt;0")&gt;0,DATE($B$1,10,1)=DATE(YEAR(TODAY()),MONTH(TODAY()),1))),1,0))</f>
        <v/>
      </c>
      <c r="Z66">
        <f>IF($A66="","",IF(AND($B66&gt;0,M66&lt;$B66,DATE($B$1,11,1)&lt;=TODAY(),OR($O66="",$O66&gt;=DATE($B$1,11,1)),OR(COUNTIF($C66:M66,"&gt;0")&gt;0,DATE($B$1,11,1)=DATE(YEAR(TODAY()),MONTH(TODAY()),1))),1,0))</f>
        <v/>
      </c>
      <c r="AA66">
        <f>IF($A66="","",IF(AND($B66&gt;0,N66&lt;$B66,DATE($B$1,12,1)&lt;=TODAY(),OR($O66="",$O66&gt;=DATE($B$1,12,1)),OR(COUNTIF($C66:N66,"&gt;0")&gt;0,DATE($B$1,12,1)=DATE(YEAR(TODAY()),MONTH(TODAY()),1))),1,0))</f>
        <v/>
      </c>
    </row>
    <row r="67">
      <c r="A67" s="13">
        <f>IF(원생!$A65="","",원생!$A65&amp;IF(원생!$G65="",""," ("&amp;원생!$G65&amp;")"))</f>
        <v/>
      </c>
      <c r="B67" s="8">
        <f>IF(원생!$A65="","",N(원생!$F65))</f>
        <v/>
      </c>
      <c r="C67" s="14">
        <f>IF(원생!$A65="","",SUMIFS(계산!$C:$C,계산!$A:$A,계산!$E65,계산!$B:$B,$B$1*100+1))</f>
        <v/>
      </c>
      <c r="D67" s="14">
        <f>IF(원생!$A65="","",SUMIFS(계산!$C:$C,계산!$A:$A,계산!$E65,계산!$B:$B,$B$1*100+2))</f>
        <v/>
      </c>
      <c r="E67" s="14">
        <f>IF(원생!$A65="","",SUMIFS(계산!$C:$C,계산!$A:$A,계산!$E65,계산!$B:$B,$B$1*100+3))</f>
        <v/>
      </c>
      <c r="F67" s="14">
        <f>IF(원생!$A65="","",SUMIFS(계산!$C:$C,계산!$A:$A,계산!$E65,계산!$B:$B,$B$1*100+4))</f>
        <v/>
      </c>
      <c r="G67" s="14">
        <f>IF(원생!$A65="","",SUMIFS(계산!$C:$C,계산!$A:$A,계산!$E65,계산!$B:$B,$B$1*100+5))</f>
        <v/>
      </c>
      <c r="H67" s="14">
        <f>IF(원생!$A65="","",SUMIFS(계산!$C:$C,계산!$A:$A,계산!$E65,계산!$B:$B,$B$1*100+6))</f>
        <v/>
      </c>
      <c r="I67" s="14">
        <f>IF(원생!$A65="","",SUMIFS(계산!$C:$C,계산!$A:$A,계산!$E65,계산!$B:$B,$B$1*100+7))</f>
        <v/>
      </c>
      <c r="J67" s="14">
        <f>IF(원생!$A65="","",SUMIFS(계산!$C:$C,계산!$A:$A,계산!$E65,계산!$B:$B,$B$1*100+8))</f>
        <v/>
      </c>
      <c r="K67" s="14">
        <f>IF(원생!$A65="","",SUMIFS(계산!$C:$C,계산!$A:$A,계산!$E65,계산!$B:$B,$B$1*100+9))</f>
        <v/>
      </c>
      <c r="L67" s="14">
        <f>IF(원생!$A65="","",SUMIFS(계산!$C:$C,계산!$A:$A,계산!$E65,계산!$B:$B,$B$1*100+10))</f>
        <v/>
      </c>
      <c r="M67" s="14">
        <f>IF(원생!$A65="","",SUMIFS(계산!$C:$C,계산!$A:$A,계산!$E65,계산!$B:$B,$B$1*100+11))</f>
        <v/>
      </c>
      <c r="N67" s="14">
        <f>IF(원생!$A65="","",SUMIFS(계산!$C:$C,계산!$A:$A,계산!$E65,계산!$B:$B,$B$1*100+12))</f>
        <v/>
      </c>
      <c r="O67">
        <f>IF(원생!$I65="","",원생!$I65)</f>
        <v/>
      </c>
      <c r="P67">
        <f>IF($A67="","",IF(AND($B67&gt;0,C67&lt;$B67,DATE($B$1,1,1)&lt;=TODAY(),OR($O67="",$O67&gt;=DATE($B$1,1,1)),OR(COUNTIF($C67:C67,"&gt;0")&gt;0,DATE($B$1,1,1)=DATE(YEAR(TODAY()),MONTH(TODAY()),1))),1,0))</f>
        <v/>
      </c>
      <c r="Q67">
        <f>IF($A67="","",IF(AND($B67&gt;0,D67&lt;$B67,DATE($B$1,2,1)&lt;=TODAY(),OR($O67="",$O67&gt;=DATE($B$1,2,1)),OR(COUNTIF($C67:D67,"&gt;0")&gt;0,DATE($B$1,2,1)=DATE(YEAR(TODAY()),MONTH(TODAY()),1))),1,0))</f>
        <v/>
      </c>
      <c r="R67">
        <f>IF($A67="","",IF(AND($B67&gt;0,E67&lt;$B67,DATE($B$1,3,1)&lt;=TODAY(),OR($O67="",$O67&gt;=DATE($B$1,3,1)),OR(COUNTIF($C67:E67,"&gt;0")&gt;0,DATE($B$1,3,1)=DATE(YEAR(TODAY()),MONTH(TODAY()),1))),1,0))</f>
        <v/>
      </c>
      <c r="S67">
        <f>IF($A67="","",IF(AND($B67&gt;0,F67&lt;$B67,DATE($B$1,4,1)&lt;=TODAY(),OR($O67="",$O67&gt;=DATE($B$1,4,1)),OR(COUNTIF($C67:F67,"&gt;0")&gt;0,DATE($B$1,4,1)=DATE(YEAR(TODAY()),MONTH(TODAY()),1))),1,0))</f>
        <v/>
      </c>
      <c r="T67">
        <f>IF($A67="","",IF(AND($B67&gt;0,G67&lt;$B67,DATE($B$1,5,1)&lt;=TODAY(),OR($O67="",$O67&gt;=DATE($B$1,5,1)),OR(COUNTIF($C67:G67,"&gt;0")&gt;0,DATE($B$1,5,1)=DATE(YEAR(TODAY()),MONTH(TODAY()),1))),1,0))</f>
        <v/>
      </c>
      <c r="U67">
        <f>IF($A67="","",IF(AND($B67&gt;0,H67&lt;$B67,DATE($B$1,6,1)&lt;=TODAY(),OR($O67="",$O67&gt;=DATE($B$1,6,1)),OR(COUNTIF($C67:H67,"&gt;0")&gt;0,DATE($B$1,6,1)=DATE(YEAR(TODAY()),MONTH(TODAY()),1))),1,0))</f>
        <v/>
      </c>
      <c r="V67">
        <f>IF($A67="","",IF(AND($B67&gt;0,I67&lt;$B67,DATE($B$1,7,1)&lt;=TODAY(),OR($O67="",$O67&gt;=DATE($B$1,7,1)),OR(COUNTIF($C67:I67,"&gt;0")&gt;0,DATE($B$1,7,1)=DATE(YEAR(TODAY()),MONTH(TODAY()),1))),1,0))</f>
        <v/>
      </c>
      <c r="W67">
        <f>IF($A67="","",IF(AND($B67&gt;0,J67&lt;$B67,DATE($B$1,8,1)&lt;=TODAY(),OR($O67="",$O67&gt;=DATE($B$1,8,1)),OR(COUNTIF($C67:J67,"&gt;0")&gt;0,DATE($B$1,8,1)=DATE(YEAR(TODAY()),MONTH(TODAY()),1))),1,0))</f>
        <v/>
      </c>
      <c r="X67">
        <f>IF($A67="","",IF(AND($B67&gt;0,K67&lt;$B67,DATE($B$1,9,1)&lt;=TODAY(),OR($O67="",$O67&gt;=DATE($B$1,9,1)),OR(COUNTIF($C67:K67,"&gt;0")&gt;0,DATE($B$1,9,1)=DATE(YEAR(TODAY()),MONTH(TODAY()),1))),1,0))</f>
        <v/>
      </c>
      <c r="Y67">
        <f>IF($A67="","",IF(AND($B67&gt;0,L67&lt;$B67,DATE($B$1,10,1)&lt;=TODAY(),OR($O67="",$O67&gt;=DATE($B$1,10,1)),OR(COUNTIF($C67:L67,"&gt;0")&gt;0,DATE($B$1,10,1)=DATE(YEAR(TODAY()),MONTH(TODAY()),1))),1,0))</f>
        <v/>
      </c>
      <c r="Z67">
        <f>IF($A67="","",IF(AND($B67&gt;0,M67&lt;$B67,DATE($B$1,11,1)&lt;=TODAY(),OR($O67="",$O67&gt;=DATE($B$1,11,1)),OR(COUNTIF($C67:M67,"&gt;0")&gt;0,DATE($B$1,11,1)=DATE(YEAR(TODAY()),MONTH(TODAY()),1))),1,0))</f>
        <v/>
      </c>
      <c r="AA67">
        <f>IF($A67="","",IF(AND($B67&gt;0,N67&lt;$B67,DATE($B$1,12,1)&lt;=TODAY(),OR($O67="",$O67&gt;=DATE($B$1,12,1)),OR(COUNTIF($C67:N67,"&gt;0")&gt;0,DATE($B$1,12,1)=DATE(YEAR(TODAY()),MONTH(TODAY()),1))),1,0))</f>
        <v/>
      </c>
    </row>
    <row r="68">
      <c r="A68" s="13">
        <f>IF(원생!$A66="","",원생!$A66&amp;IF(원생!$G66="",""," ("&amp;원생!$G66&amp;")"))</f>
        <v/>
      </c>
      <c r="B68" s="8">
        <f>IF(원생!$A66="","",N(원생!$F66))</f>
        <v/>
      </c>
      <c r="C68" s="14">
        <f>IF(원생!$A66="","",SUMIFS(계산!$C:$C,계산!$A:$A,계산!$E66,계산!$B:$B,$B$1*100+1))</f>
        <v/>
      </c>
      <c r="D68" s="14">
        <f>IF(원생!$A66="","",SUMIFS(계산!$C:$C,계산!$A:$A,계산!$E66,계산!$B:$B,$B$1*100+2))</f>
        <v/>
      </c>
      <c r="E68" s="14">
        <f>IF(원생!$A66="","",SUMIFS(계산!$C:$C,계산!$A:$A,계산!$E66,계산!$B:$B,$B$1*100+3))</f>
        <v/>
      </c>
      <c r="F68" s="14">
        <f>IF(원생!$A66="","",SUMIFS(계산!$C:$C,계산!$A:$A,계산!$E66,계산!$B:$B,$B$1*100+4))</f>
        <v/>
      </c>
      <c r="G68" s="14">
        <f>IF(원생!$A66="","",SUMIFS(계산!$C:$C,계산!$A:$A,계산!$E66,계산!$B:$B,$B$1*100+5))</f>
        <v/>
      </c>
      <c r="H68" s="14">
        <f>IF(원생!$A66="","",SUMIFS(계산!$C:$C,계산!$A:$A,계산!$E66,계산!$B:$B,$B$1*100+6))</f>
        <v/>
      </c>
      <c r="I68" s="14">
        <f>IF(원생!$A66="","",SUMIFS(계산!$C:$C,계산!$A:$A,계산!$E66,계산!$B:$B,$B$1*100+7))</f>
        <v/>
      </c>
      <c r="J68" s="14">
        <f>IF(원생!$A66="","",SUMIFS(계산!$C:$C,계산!$A:$A,계산!$E66,계산!$B:$B,$B$1*100+8))</f>
        <v/>
      </c>
      <c r="K68" s="14">
        <f>IF(원생!$A66="","",SUMIFS(계산!$C:$C,계산!$A:$A,계산!$E66,계산!$B:$B,$B$1*100+9))</f>
        <v/>
      </c>
      <c r="L68" s="14">
        <f>IF(원생!$A66="","",SUMIFS(계산!$C:$C,계산!$A:$A,계산!$E66,계산!$B:$B,$B$1*100+10))</f>
        <v/>
      </c>
      <c r="M68" s="14">
        <f>IF(원생!$A66="","",SUMIFS(계산!$C:$C,계산!$A:$A,계산!$E66,계산!$B:$B,$B$1*100+11))</f>
        <v/>
      </c>
      <c r="N68" s="14">
        <f>IF(원생!$A66="","",SUMIFS(계산!$C:$C,계산!$A:$A,계산!$E66,계산!$B:$B,$B$1*100+12))</f>
        <v/>
      </c>
      <c r="O68">
        <f>IF(원생!$I66="","",원생!$I66)</f>
        <v/>
      </c>
      <c r="P68">
        <f>IF($A68="","",IF(AND($B68&gt;0,C68&lt;$B68,DATE($B$1,1,1)&lt;=TODAY(),OR($O68="",$O68&gt;=DATE($B$1,1,1)),OR(COUNTIF($C68:C68,"&gt;0")&gt;0,DATE($B$1,1,1)=DATE(YEAR(TODAY()),MONTH(TODAY()),1))),1,0))</f>
        <v/>
      </c>
      <c r="Q68">
        <f>IF($A68="","",IF(AND($B68&gt;0,D68&lt;$B68,DATE($B$1,2,1)&lt;=TODAY(),OR($O68="",$O68&gt;=DATE($B$1,2,1)),OR(COUNTIF($C68:D68,"&gt;0")&gt;0,DATE($B$1,2,1)=DATE(YEAR(TODAY()),MONTH(TODAY()),1))),1,0))</f>
        <v/>
      </c>
      <c r="R68">
        <f>IF($A68="","",IF(AND($B68&gt;0,E68&lt;$B68,DATE($B$1,3,1)&lt;=TODAY(),OR($O68="",$O68&gt;=DATE($B$1,3,1)),OR(COUNTIF($C68:E68,"&gt;0")&gt;0,DATE($B$1,3,1)=DATE(YEAR(TODAY()),MONTH(TODAY()),1))),1,0))</f>
        <v/>
      </c>
      <c r="S68">
        <f>IF($A68="","",IF(AND($B68&gt;0,F68&lt;$B68,DATE($B$1,4,1)&lt;=TODAY(),OR($O68="",$O68&gt;=DATE($B$1,4,1)),OR(COUNTIF($C68:F68,"&gt;0")&gt;0,DATE($B$1,4,1)=DATE(YEAR(TODAY()),MONTH(TODAY()),1))),1,0))</f>
        <v/>
      </c>
      <c r="T68">
        <f>IF($A68="","",IF(AND($B68&gt;0,G68&lt;$B68,DATE($B$1,5,1)&lt;=TODAY(),OR($O68="",$O68&gt;=DATE($B$1,5,1)),OR(COUNTIF($C68:G68,"&gt;0")&gt;0,DATE($B$1,5,1)=DATE(YEAR(TODAY()),MONTH(TODAY()),1))),1,0))</f>
        <v/>
      </c>
      <c r="U68">
        <f>IF($A68="","",IF(AND($B68&gt;0,H68&lt;$B68,DATE($B$1,6,1)&lt;=TODAY(),OR($O68="",$O68&gt;=DATE($B$1,6,1)),OR(COUNTIF($C68:H68,"&gt;0")&gt;0,DATE($B$1,6,1)=DATE(YEAR(TODAY()),MONTH(TODAY()),1))),1,0))</f>
        <v/>
      </c>
      <c r="V68">
        <f>IF($A68="","",IF(AND($B68&gt;0,I68&lt;$B68,DATE($B$1,7,1)&lt;=TODAY(),OR($O68="",$O68&gt;=DATE($B$1,7,1)),OR(COUNTIF($C68:I68,"&gt;0")&gt;0,DATE($B$1,7,1)=DATE(YEAR(TODAY()),MONTH(TODAY()),1))),1,0))</f>
        <v/>
      </c>
      <c r="W68">
        <f>IF($A68="","",IF(AND($B68&gt;0,J68&lt;$B68,DATE($B$1,8,1)&lt;=TODAY(),OR($O68="",$O68&gt;=DATE($B$1,8,1)),OR(COUNTIF($C68:J68,"&gt;0")&gt;0,DATE($B$1,8,1)=DATE(YEAR(TODAY()),MONTH(TODAY()),1))),1,0))</f>
        <v/>
      </c>
      <c r="X68">
        <f>IF($A68="","",IF(AND($B68&gt;0,K68&lt;$B68,DATE($B$1,9,1)&lt;=TODAY(),OR($O68="",$O68&gt;=DATE($B$1,9,1)),OR(COUNTIF($C68:K68,"&gt;0")&gt;0,DATE($B$1,9,1)=DATE(YEAR(TODAY()),MONTH(TODAY()),1))),1,0))</f>
        <v/>
      </c>
      <c r="Y68">
        <f>IF($A68="","",IF(AND($B68&gt;0,L68&lt;$B68,DATE($B$1,10,1)&lt;=TODAY(),OR($O68="",$O68&gt;=DATE($B$1,10,1)),OR(COUNTIF($C68:L68,"&gt;0")&gt;0,DATE($B$1,10,1)=DATE(YEAR(TODAY()),MONTH(TODAY()),1))),1,0))</f>
        <v/>
      </c>
      <c r="Z68">
        <f>IF($A68="","",IF(AND($B68&gt;0,M68&lt;$B68,DATE($B$1,11,1)&lt;=TODAY(),OR($O68="",$O68&gt;=DATE($B$1,11,1)),OR(COUNTIF($C68:M68,"&gt;0")&gt;0,DATE($B$1,11,1)=DATE(YEAR(TODAY()),MONTH(TODAY()),1))),1,0))</f>
        <v/>
      </c>
      <c r="AA68">
        <f>IF($A68="","",IF(AND($B68&gt;0,N68&lt;$B68,DATE($B$1,12,1)&lt;=TODAY(),OR($O68="",$O68&gt;=DATE($B$1,12,1)),OR(COUNTIF($C68:N68,"&gt;0")&gt;0,DATE($B$1,12,1)=DATE(YEAR(TODAY()),MONTH(TODAY()),1))),1,0))</f>
        <v/>
      </c>
    </row>
    <row r="69">
      <c r="A69" s="13">
        <f>IF(원생!$A67="","",원생!$A67&amp;IF(원생!$G67="",""," ("&amp;원생!$G67&amp;")"))</f>
        <v/>
      </c>
      <c r="B69" s="8">
        <f>IF(원생!$A67="","",N(원생!$F67))</f>
        <v/>
      </c>
      <c r="C69" s="14">
        <f>IF(원생!$A67="","",SUMIFS(계산!$C:$C,계산!$A:$A,계산!$E67,계산!$B:$B,$B$1*100+1))</f>
        <v/>
      </c>
      <c r="D69" s="14">
        <f>IF(원생!$A67="","",SUMIFS(계산!$C:$C,계산!$A:$A,계산!$E67,계산!$B:$B,$B$1*100+2))</f>
        <v/>
      </c>
      <c r="E69" s="14">
        <f>IF(원생!$A67="","",SUMIFS(계산!$C:$C,계산!$A:$A,계산!$E67,계산!$B:$B,$B$1*100+3))</f>
        <v/>
      </c>
      <c r="F69" s="14">
        <f>IF(원생!$A67="","",SUMIFS(계산!$C:$C,계산!$A:$A,계산!$E67,계산!$B:$B,$B$1*100+4))</f>
        <v/>
      </c>
      <c r="G69" s="14">
        <f>IF(원생!$A67="","",SUMIFS(계산!$C:$C,계산!$A:$A,계산!$E67,계산!$B:$B,$B$1*100+5))</f>
        <v/>
      </c>
      <c r="H69" s="14">
        <f>IF(원생!$A67="","",SUMIFS(계산!$C:$C,계산!$A:$A,계산!$E67,계산!$B:$B,$B$1*100+6))</f>
        <v/>
      </c>
      <c r="I69" s="14">
        <f>IF(원생!$A67="","",SUMIFS(계산!$C:$C,계산!$A:$A,계산!$E67,계산!$B:$B,$B$1*100+7))</f>
        <v/>
      </c>
      <c r="J69" s="14">
        <f>IF(원생!$A67="","",SUMIFS(계산!$C:$C,계산!$A:$A,계산!$E67,계산!$B:$B,$B$1*100+8))</f>
        <v/>
      </c>
      <c r="K69" s="14">
        <f>IF(원생!$A67="","",SUMIFS(계산!$C:$C,계산!$A:$A,계산!$E67,계산!$B:$B,$B$1*100+9))</f>
        <v/>
      </c>
      <c r="L69" s="14">
        <f>IF(원생!$A67="","",SUMIFS(계산!$C:$C,계산!$A:$A,계산!$E67,계산!$B:$B,$B$1*100+10))</f>
        <v/>
      </c>
      <c r="M69" s="14">
        <f>IF(원생!$A67="","",SUMIFS(계산!$C:$C,계산!$A:$A,계산!$E67,계산!$B:$B,$B$1*100+11))</f>
        <v/>
      </c>
      <c r="N69" s="14">
        <f>IF(원생!$A67="","",SUMIFS(계산!$C:$C,계산!$A:$A,계산!$E67,계산!$B:$B,$B$1*100+12))</f>
        <v/>
      </c>
      <c r="O69">
        <f>IF(원생!$I67="","",원생!$I67)</f>
        <v/>
      </c>
      <c r="P69">
        <f>IF($A69="","",IF(AND($B69&gt;0,C69&lt;$B69,DATE($B$1,1,1)&lt;=TODAY(),OR($O69="",$O69&gt;=DATE($B$1,1,1)),OR(COUNTIF($C69:C69,"&gt;0")&gt;0,DATE($B$1,1,1)=DATE(YEAR(TODAY()),MONTH(TODAY()),1))),1,0))</f>
        <v/>
      </c>
      <c r="Q69">
        <f>IF($A69="","",IF(AND($B69&gt;0,D69&lt;$B69,DATE($B$1,2,1)&lt;=TODAY(),OR($O69="",$O69&gt;=DATE($B$1,2,1)),OR(COUNTIF($C69:D69,"&gt;0")&gt;0,DATE($B$1,2,1)=DATE(YEAR(TODAY()),MONTH(TODAY()),1))),1,0))</f>
        <v/>
      </c>
      <c r="R69">
        <f>IF($A69="","",IF(AND($B69&gt;0,E69&lt;$B69,DATE($B$1,3,1)&lt;=TODAY(),OR($O69="",$O69&gt;=DATE($B$1,3,1)),OR(COUNTIF($C69:E69,"&gt;0")&gt;0,DATE($B$1,3,1)=DATE(YEAR(TODAY()),MONTH(TODAY()),1))),1,0))</f>
        <v/>
      </c>
      <c r="S69">
        <f>IF($A69="","",IF(AND($B69&gt;0,F69&lt;$B69,DATE($B$1,4,1)&lt;=TODAY(),OR($O69="",$O69&gt;=DATE($B$1,4,1)),OR(COUNTIF($C69:F69,"&gt;0")&gt;0,DATE($B$1,4,1)=DATE(YEAR(TODAY()),MONTH(TODAY()),1))),1,0))</f>
        <v/>
      </c>
      <c r="T69">
        <f>IF($A69="","",IF(AND($B69&gt;0,G69&lt;$B69,DATE($B$1,5,1)&lt;=TODAY(),OR($O69="",$O69&gt;=DATE($B$1,5,1)),OR(COUNTIF($C69:G69,"&gt;0")&gt;0,DATE($B$1,5,1)=DATE(YEAR(TODAY()),MONTH(TODAY()),1))),1,0))</f>
        <v/>
      </c>
      <c r="U69">
        <f>IF($A69="","",IF(AND($B69&gt;0,H69&lt;$B69,DATE($B$1,6,1)&lt;=TODAY(),OR($O69="",$O69&gt;=DATE($B$1,6,1)),OR(COUNTIF($C69:H69,"&gt;0")&gt;0,DATE($B$1,6,1)=DATE(YEAR(TODAY()),MONTH(TODAY()),1))),1,0))</f>
        <v/>
      </c>
      <c r="V69">
        <f>IF($A69="","",IF(AND($B69&gt;0,I69&lt;$B69,DATE($B$1,7,1)&lt;=TODAY(),OR($O69="",$O69&gt;=DATE($B$1,7,1)),OR(COUNTIF($C69:I69,"&gt;0")&gt;0,DATE($B$1,7,1)=DATE(YEAR(TODAY()),MONTH(TODAY()),1))),1,0))</f>
        <v/>
      </c>
      <c r="W69">
        <f>IF($A69="","",IF(AND($B69&gt;0,J69&lt;$B69,DATE($B$1,8,1)&lt;=TODAY(),OR($O69="",$O69&gt;=DATE($B$1,8,1)),OR(COUNTIF($C69:J69,"&gt;0")&gt;0,DATE($B$1,8,1)=DATE(YEAR(TODAY()),MONTH(TODAY()),1))),1,0))</f>
        <v/>
      </c>
      <c r="X69">
        <f>IF($A69="","",IF(AND($B69&gt;0,K69&lt;$B69,DATE($B$1,9,1)&lt;=TODAY(),OR($O69="",$O69&gt;=DATE($B$1,9,1)),OR(COUNTIF($C69:K69,"&gt;0")&gt;0,DATE($B$1,9,1)=DATE(YEAR(TODAY()),MONTH(TODAY()),1))),1,0))</f>
        <v/>
      </c>
      <c r="Y69">
        <f>IF($A69="","",IF(AND($B69&gt;0,L69&lt;$B69,DATE($B$1,10,1)&lt;=TODAY(),OR($O69="",$O69&gt;=DATE($B$1,10,1)),OR(COUNTIF($C69:L69,"&gt;0")&gt;0,DATE($B$1,10,1)=DATE(YEAR(TODAY()),MONTH(TODAY()),1))),1,0))</f>
        <v/>
      </c>
      <c r="Z69">
        <f>IF($A69="","",IF(AND($B69&gt;0,M69&lt;$B69,DATE($B$1,11,1)&lt;=TODAY(),OR($O69="",$O69&gt;=DATE($B$1,11,1)),OR(COUNTIF($C69:M69,"&gt;0")&gt;0,DATE($B$1,11,1)=DATE(YEAR(TODAY()),MONTH(TODAY()),1))),1,0))</f>
        <v/>
      </c>
      <c r="AA69">
        <f>IF($A69="","",IF(AND($B69&gt;0,N69&lt;$B69,DATE($B$1,12,1)&lt;=TODAY(),OR($O69="",$O69&gt;=DATE($B$1,12,1)),OR(COUNTIF($C69:N69,"&gt;0")&gt;0,DATE($B$1,12,1)=DATE(YEAR(TODAY()),MONTH(TODAY()),1))),1,0))</f>
        <v/>
      </c>
    </row>
    <row r="70">
      <c r="A70" s="13">
        <f>IF(원생!$A68="","",원생!$A68&amp;IF(원생!$G68="",""," ("&amp;원생!$G68&amp;")"))</f>
        <v/>
      </c>
      <c r="B70" s="8">
        <f>IF(원생!$A68="","",N(원생!$F68))</f>
        <v/>
      </c>
      <c r="C70" s="14">
        <f>IF(원생!$A68="","",SUMIFS(계산!$C:$C,계산!$A:$A,계산!$E68,계산!$B:$B,$B$1*100+1))</f>
        <v/>
      </c>
      <c r="D70" s="14">
        <f>IF(원생!$A68="","",SUMIFS(계산!$C:$C,계산!$A:$A,계산!$E68,계산!$B:$B,$B$1*100+2))</f>
        <v/>
      </c>
      <c r="E70" s="14">
        <f>IF(원생!$A68="","",SUMIFS(계산!$C:$C,계산!$A:$A,계산!$E68,계산!$B:$B,$B$1*100+3))</f>
        <v/>
      </c>
      <c r="F70" s="14">
        <f>IF(원생!$A68="","",SUMIFS(계산!$C:$C,계산!$A:$A,계산!$E68,계산!$B:$B,$B$1*100+4))</f>
        <v/>
      </c>
      <c r="G70" s="14">
        <f>IF(원생!$A68="","",SUMIFS(계산!$C:$C,계산!$A:$A,계산!$E68,계산!$B:$B,$B$1*100+5))</f>
        <v/>
      </c>
      <c r="H70" s="14">
        <f>IF(원생!$A68="","",SUMIFS(계산!$C:$C,계산!$A:$A,계산!$E68,계산!$B:$B,$B$1*100+6))</f>
        <v/>
      </c>
      <c r="I70" s="14">
        <f>IF(원생!$A68="","",SUMIFS(계산!$C:$C,계산!$A:$A,계산!$E68,계산!$B:$B,$B$1*100+7))</f>
        <v/>
      </c>
      <c r="J70" s="14">
        <f>IF(원생!$A68="","",SUMIFS(계산!$C:$C,계산!$A:$A,계산!$E68,계산!$B:$B,$B$1*100+8))</f>
        <v/>
      </c>
      <c r="K70" s="14">
        <f>IF(원생!$A68="","",SUMIFS(계산!$C:$C,계산!$A:$A,계산!$E68,계산!$B:$B,$B$1*100+9))</f>
        <v/>
      </c>
      <c r="L70" s="14">
        <f>IF(원생!$A68="","",SUMIFS(계산!$C:$C,계산!$A:$A,계산!$E68,계산!$B:$B,$B$1*100+10))</f>
        <v/>
      </c>
      <c r="M70" s="14">
        <f>IF(원생!$A68="","",SUMIFS(계산!$C:$C,계산!$A:$A,계산!$E68,계산!$B:$B,$B$1*100+11))</f>
        <v/>
      </c>
      <c r="N70" s="14">
        <f>IF(원생!$A68="","",SUMIFS(계산!$C:$C,계산!$A:$A,계산!$E68,계산!$B:$B,$B$1*100+12))</f>
        <v/>
      </c>
      <c r="O70">
        <f>IF(원생!$I68="","",원생!$I68)</f>
        <v/>
      </c>
      <c r="P70">
        <f>IF($A70="","",IF(AND($B70&gt;0,C70&lt;$B70,DATE($B$1,1,1)&lt;=TODAY(),OR($O70="",$O70&gt;=DATE($B$1,1,1)),OR(COUNTIF($C70:C70,"&gt;0")&gt;0,DATE($B$1,1,1)=DATE(YEAR(TODAY()),MONTH(TODAY()),1))),1,0))</f>
        <v/>
      </c>
      <c r="Q70">
        <f>IF($A70="","",IF(AND($B70&gt;0,D70&lt;$B70,DATE($B$1,2,1)&lt;=TODAY(),OR($O70="",$O70&gt;=DATE($B$1,2,1)),OR(COUNTIF($C70:D70,"&gt;0")&gt;0,DATE($B$1,2,1)=DATE(YEAR(TODAY()),MONTH(TODAY()),1))),1,0))</f>
        <v/>
      </c>
      <c r="R70">
        <f>IF($A70="","",IF(AND($B70&gt;0,E70&lt;$B70,DATE($B$1,3,1)&lt;=TODAY(),OR($O70="",$O70&gt;=DATE($B$1,3,1)),OR(COUNTIF($C70:E70,"&gt;0")&gt;0,DATE($B$1,3,1)=DATE(YEAR(TODAY()),MONTH(TODAY()),1))),1,0))</f>
        <v/>
      </c>
      <c r="S70">
        <f>IF($A70="","",IF(AND($B70&gt;0,F70&lt;$B70,DATE($B$1,4,1)&lt;=TODAY(),OR($O70="",$O70&gt;=DATE($B$1,4,1)),OR(COUNTIF($C70:F70,"&gt;0")&gt;0,DATE($B$1,4,1)=DATE(YEAR(TODAY()),MONTH(TODAY()),1))),1,0))</f>
        <v/>
      </c>
      <c r="T70">
        <f>IF($A70="","",IF(AND($B70&gt;0,G70&lt;$B70,DATE($B$1,5,1)&lt;=TODAY(),OR($O70="",$O70&gt;=DATE($B$1,5,1)),OR(COUNTIF($C70:G70,"&gt;0")&gt;0,DATE($B$1,5,1)=DATE(YEAR(TODAY()),MONTH(TODAY()),1))),1,0))</f>
        <v/>
      </c>
      <c r="U70">
        <f>IF($A70="","",IF(AND($B70&gt;0,H70&lt;$B70,DATE($B$1,6,1)&lt;=TODAY(),OR($O70="",$O70&gt;=DATE($B$1,6,1)),OR(COUNTIF($C70:H70,"&gt;0")&gt;0,DATE($B$1,6,1)=DATE(YEAR(TODAY()),MONTH(TODAY()),1))),1,0))</f>
        <v/>
      </c>
      <c r="V70">
        <f>IF($A70="","",IF(AND($B70&gt;0,I70&lt;$B70,DATE($B$1,7,1)&lt;=TODAY(),OR($O70="",$O70&gt;=DATE($B$1,7,1)),OR(COUNTIF($C70:I70,"&gt;0")&gt;0,DATE($B$1,7,1)=DATE(YEAR(TODAY()),MONTH(TODAY()),1))),1,0))</f>
        <v/>
      </c>
      <c r="W70">
        <f>IF($A70="","",IF(AND($B70&gt;0,J70&lt;$B70,DATE($B$1,8,1)&lt;=TODAY(),OR($O70="",$O70&gt;=DATE($B$1,8,1)),OR(COUNTIF($C70:J70,"&gt;0")&gt;0,DATE($B$1,8,1)=DATE(YEAR(TODAY()),MONTH(TODAY()),1))),1,0))</f>
        <v/>
      </c>
      <c r="X70">
        <f>IF($A70="","",IF(AND($B70&gt;0,K70&lt;$B70,DATE($B$1,9,1)&lt;=TODAY(),OR($O70="",$O70&gt;=DATE($B$1,9,1)),OR(COUNTIF($C70:K70,"&gt;0")&gt;0,DATE($B$1,9,1)=DATE(YEAR(TODAY()),MONTH(TODAY()),1))),1,0))</f>
        <v/>
      </c>
      <c r="Y70">
        <f>IF($A70="","",IF(AND($B70&gt;0,L70&lt;$B70,DATE($B$1,10,1)&lt;=TODAY(),OR($O70="",$O70&gt;=DATE($B$1,10,1)),OR(COUNTIF($C70:L70,"&gt;0")&gt;0,DATE($B$1,10,1)=DATE(YEAR(TODAY()),MONTH(TODAY()),1))),1,0))</f>
        <v/>
      </c>
      <c r="Z70">
        <f>IF($A70="","",IF(AND($B70&gt;0,M70&lt;$B70,DATE($B$1,11,1)&lt;=TODAY(),OR($O70="",$O70&gt;=DATE($B$1,11,1)),OR(COUNTIF($C70:M70,"&gt;0")&gt;0,DATE($B$1,11,1)=DATE(YEAR(TODAY()),MONTH(TODAY()),1))),1,0))</f>
        <v/>
      </c>
      <c r="AA70">
        <f>IF($A70="","",IF(AND($B70&gt;0,N70&lt;$B70,DATE($B$1,12,1)&lt;=TODAY(),OR($O70="",$O70&gt;=DATE($B$1,12,1)),OR(COUNTIF($C70:N70,"&gt;0")&gt;0,DATE($B$1,12,1)=DATE(YEAR(TODAY()),MONTH(TODAY()),1))),1,0))</f>
        <v/>
      </c>
    </row>
    <row r="71">
      <c r="A71" s="13">
        <f>IF(원생!$A69="","",원생!$A69&amp;IF(원생!$G69="",""," ("&amp;원생!$G69&amp;")"))</f>
        <v/>
      </c>
      <c r="B71" s="8">
        <f>IF(원생!$A69="","",N(원생!$F69))</f>
        <v/>
      </c>
      <c r="C71" s="14">
        <f>IF(원생!$A69="","",SUMIFS(계산!$C:$C,계산!$A:$A,계산!$E69,계산!$B:$B,$B$1*100+1))</f>
        <v/>
      </c>
      <c r="D71" s="14">
        <f>IF(원생!$A69="","",SUMIFS(계산!$C:$C,계산!$A:$A,계산!$E69,계산!$B:$B,$B$1*100+2))</f>
        <v/>
      </c>
      <c r="E71" s="14">
        <f>IF(원생!$A69="","",SUMIFS(계산!$C:$C,계산!$A:$A,계산!$E69,계산!$B:$B,$B$1*100+3))</f>
        <v/>
      </c>
      <c r="F71" s="14">
        <f>IF(원생!$A69="","",SUMIFS(계산!$C:$C,계산!$A:$A,계산!$E69,계산!$B:$B,$B$1*100+4))</f>
        <v/>
      </c>
      <c r="G71" s="14">
        <f>IF(원생!$A69="","",SUMIFS(계산!$C:$C,계산!$A:$A,계산!$E69,계산!$B:$B,$B$1*100+5))</f>
        <v/>
      </c>
      <c r="H71" s="14">
        <f>IF(원생!$A69="","",SUMIFS(계산!$C:$C,계산!$A:$A,계산!$E69,계산!$B:$B,$B$1*100+6))</f>
        <v/>
      </c>
      <c r="I71" s="14">
        <f>IF(원생!$A69="","",SUMIFS(계산!$C:$C,계산!$A:$A,계산!$E69,계산!$B:$B,$B$1*100+7))</f>
        <v/>
      </c>
      <c r="J71" s="14">
        <f>IF(원생!$A69="","",SUMIFS(계산!$C:$C,계산!$A:$A,계산!$E69,계산!$B:$B,$B$1*100+8))</f>
        <v/>
      </c>
      <c r="K71" s="14">
        <f>IF(원생!$A69="","",SUMIFS(계산!$C:$C,계산!$A:$A,계산!$E69,계산!$B:$B,$B$1*100+9))</f>
        <v/>
      </c>
      <c r="L71" s="14">
        <f>IF(원생!$A69="","",SUMIFS(계산!$C:$C,계산!$A:$A,계산!$E69,계산!$B:$B,$B$1*100+10))</f>
        <v/>
      </c>
      <c r="M71" s="14">
        <f>IF(원생!$A69="","",SUMIFS(계산!$C:$C,계산!$A:$A,계산!$E69,계산!$B:$B,$B$1*100+11))</f>
        <v/>
      </c>
      <c r="N71" s="14">
        <f>IF(원생!$A69="","",SUMIFS(계산!$C:$C,계산!$A:$A,계산!$E69,계산!$B:$B,$B$1*100+12))</f>
        <v/>
      </c>
      <c r="O71">
        <f>IF(원생!$I69="","",원생!$I69)</f>
        <v/>
      </c>
      <c r="P71">
        <f>IF($A71="","",IF(AND($B71&gt;0,C71&lt;$B71,DATE($B$1,1,1)&lt;=TODAY(),OR($O71="",$O71&gt;=DATE($B$1,1,1)),OR(COUNTIF($C71:C71,"&gt;0")&gt;0,DATE($B$1,1,1)=DATE(YEAR(TODAY()),MONTH(TODAY()),1))),1,0))</f>
        <v/>
      </c>
      <c r="Q71">
        <f>IF($A71="","",IF(AND($B71&gt;0,D71&lt;$B71,DATE($B$1,2,1)&lt;=TODAY(),OR($O71="",$O71&gt;=DATE($B$1,2,1)),OR(COUNTIF($C71:D71,"&gt;0")&gt;0,DATE($B$1,2,1)=DATE(YEAR(TODAY()),MONTH(TODAY()),1))),1,0))</f>
        <v/>
      </c>
      <c r="R71">
        <f>IF($A71="","",IF(AND($B71&gt;0,E71&lt;$B71,DATE($B$1,3,1)&lt;=TODAY(),OR($O71="",$O71&gt;=DATE($B$1,3,1)),OR(COUNTIF($C71:E71,"&gt;0")&gt;0,DATE($B$1,3,1)=DATE(YEAR(TODAY()),MONTH(TODAY()),1))),1,0))</f>
        <v/>
      </c>
      <c r="S71">
        <f>IF($A71="","",IF(AND($B71&gt;0,F71&lt;$B71,DATE($B$1,4,1)&lt;=TODAY(),OR($O71="",$O71&gt;=DATE($B$1,4,1)),OR(COUNTIF($C71:F71,"&gt;0")&gt;0,DATE($B$1,4,1)=DATE(YEAR(TODAY()),MONTH(TODAY()),1))),1,0))</f>
        <v/>
      </c>
      <c r="T71">
        <f>IF($A71="","",IF(AND($B71&gt;0,G71&lt;$B71,DATE($B$1,5,1)&lt;=TODAY(),OR($O71="",$O71&gt;=DATE($B$1,5,1)),OR(COUNTIF($C71:G71,"&gt;0")&gt;0,DATE($B$1,5,1)=DATE(YEAR(TODAY()),MONTH(TODAY()),1))),1,0))</f>
        <v/>
      </c>
      <c r="U71">
        <f>IF($A71="","",IF(AND($B71&gt;0,H71&lt;$B71,DATE($B$1,6,1)&lt;=TODAY(),OR($O71="",$O71&gt;=DATE($B$1,6,1)),OR(COUNTIF($C71:H71,"&gt;0")&gt;0,DATE($B$1,6,1)=DATE(YEAR(TODAY()),MONTH(TODAY()),1))),1,0))</f>
        <v/>
      </c>
      <c r="V71">
        <f>IF($A71="","",IF(AND($B71&gt;0,I71&lt;$B71,DATE($B$1,7,1)&lt;=TODAY(),OR($O71="",$O71&gt;=DATE($B$1,7,1)),OR(COUNTIF($C71:I71,"&gt;0")&gt;0,DATE($B$1,7,1)=DATE(YEAR(TODAY()),MONTH(TODAY()),1))),1,0))</f>
        <v/>
      </c>
      <c r="W71">
        <f>IF($A71="","",IF(AND($B71&gt;0,J71&lt;$B71,DATE($B$1,8,1)&lt;=TODAY(),OR($O71="",$O71&gt;=DATE($B$1,8,1)),OR(COUNTIF($C71:J71,"&gt;0")&gt;0,DATE($B$1,8,1)=DATE(YEAR(TODAY()),MONTH(TODAY()),1))),1,0))</f>
        <v/>
      </c>
      <c r="X71">
        <f>IF($A71="","",IF(AND($B71&gt;0,K71&lt;$B71,DATE($B$1,9,1)&lt;=TODAY(),OR($O71="",$O71&gt;=DATE($B$1,9,1)),OR(COUNTIF($C71:K71,"&gt;0")&gt;0,DATE($B$1,9,1)=DATE(YEAR(TODAY()),MONTH(TODAY()),1))),1,0))</f>
        <v/>
      </c>
      <c r="Y71">
        <f>IF($A71="","",IF(AND($B71&gt;0,L71&lt;$B71,DATE($B$1,10,1)&lt;=TODAY(),OR($O71="",$O71&gt;=DATE($B$1,10,1)),OR(COUNTIF($C71:L71,"&gt;0")&gt;0,DATE($B$1,10,1)=DATE(YEAR(TODAY()),MONTH(TODAY()),1))),1,0))</f>
        <v/>
      </c>
      <c r="Z71">
        <f>IF($A71="","",IF(AND($B71&gt;0,M71&lt;$B71,DATE($B$1,11,1)&lt;=TODAY(),OR($O71="",$O71&gt;=DATE($B$1,11,1)),OR(COUNTIF($C71:M71,"&gt;0")&gt;0,DATE($B$1,11,1)=DATE(YEAR(TODAY()),MONTH(TODAY()),1))),1,0))</f>
        <v/>
      </c>
      <c r="AA71">
        <f>IF($A71="","",IF(AND($B71&gt;0,N71&lt;$B71,DATE($B$1,12,1)&lt;=TODAY(),OR($O71="",$O71&gt;=DATE($B$1,12,1)),OR(COUNTIF($C71:N71,"&gt;0")&gt;0,DATE($B$1,12,1)=DATE(YEAR(TODAY()),MONTH(TODAY()),1))),1,0))</f>
        <v/>
      </c>
    </row>
    <row r="72">
      <c r="A72" s="13">
        <f>IF(원생!$A70="","",원생!$A70&amp;IF(원생!$G70="",""," ("&amp;원생!$G70&amp;")"))</f>
        <v/>
      </c>
      <c r="B72" s="8">
        <f>IF(원생!$A70="","",N(원생!$F70))</f>
        <v/>
      </c>
      <c r="C72" s="14">
        <f>IF(원생!$A70="","",SUMIFS(계산!$C:$C,계산!$A:$A,계산!$E70,계산!$B:$B,$B$1*100+1))</f>
        <v/>
      </c>
      <c r="D72" s="14">
        <f>IF(원생!$A70="","",SUMIFS(계산!$C:$C,계산!$A:$A,계산!$E70,계산!$B:$B,$B$1*100+2))</f>
        <v/>
      </c>
      <c r="E72" s="14">
        <f>IF(원생!$A70="","",SUMIFS(계산!$C:$C,계산!$A:$A,계산!$E70,계산!$B:$B,$B$1*100+3))</f>
        <v/>
      </c>
      <c r="F72" s="14">
        <f>IF(원생!$A70="","",SUMIFS(계산!$C:$C,계산!$A:$A,계산!$E70,계산!$B:$B,$B$1*100+4))</f>
        <v/>
      </c>
      <c r="G72" s="14">
        <f>IF(원생!$A70="","",SUMIFS(계산!$C:$C,계산!$A:$A,계산!$E70,계산!$B:$B,$B$1*100+5))</f>
        <v/>
      </c>
      <c r="H72" s="14">
        <f>IF(원생!$A70="","",SUMIFS(계산!$C:$C,계산!$A:$A,계산!$E70,계산!$B:$B,$B$1*100+6))</f>
        <v/>
      </c>
      <c r="I72" s="14">
        <f>IF(원생!$A70="","",SUMIFS(계산!$C:$C,계산!$A:$A,계산!$E70,계산!$B:$B,$B$1*100+7))</f>
        <v/>
      </c>
      <c r="J72" s="14">
        <f>IF(원생!$A70="","",SUMIFS(계산!$C:$C,계산!$A:$A,계산!$E70,계산!$B:$B,$B$1*100+8))</f>
        <v/>
      </c>
      <c r="K72" s="14">
        <f>IF(원생!$A70="","",SUMIFS(계산!$C:$C,계산!$A:$A,계산!$E70,계산!$B:$B,$B$1*100+9))</f>
        <v/>
      </c>
      <c r="L72" s="14">
        <f>IF(원생!$A70="","",SUMIFS(계산!$C:$C,계산!$A:$A,계산!$E70,계산!$B:$B,$B$1*100+10))</f>
        <v/>
      </c>
      <c r="M72" s="14">
        <f>IF(원생!$A70="","",SUMIFS(계산!$C:$C,계산!$A:$A,계산!$E70,계산!$B:$B,$B$1*100+11))</f>
        <v/>
      </c>
      <c r="N72" s="14">
        <f>IF(원생!$A70="","",SUMIFS(계산!$C:$C,계산!$A:$A,계산!$E70,계산!$B:$B,$B$1*100+12))</f>
        <v/>
      </c>
      <c r="O72">
        <f>IF(원생!$I70="","",원생!$I70)</f>
        <v/>
      </c>
      <c r="P72">
        <f>IF($A72="","",IF(AND($B72&gt;0,C72&lt;$B72,DATE($B$1,1,1)&lt;=TODAY(),OR($O72="",$O72&gt;=DATE($B$1,1,1)),OR(COUNTIF($C72:C72,"&gt;0")&gt;0,DATE($B$1,1,1)=DATE(YEAR(TODAY()),MONTH(TODAY()),1))),1,0))</f>
        <v/>
      </c>
      <c r="Q72">
        <f>IF($A72="","",IF(AND($B72&gt;0,D72&lt;$B72,DATE($B$1,2,1)&lt;=TODAY(),OR($O72="",$O72&gt;=DATE($B$1,2,1)),OR(COUNTIF($C72:D72,"&gt;0")&gt;0,DATE($B$1,2,1)=DATE(YEAR(TODAY()),MONTH(TODAY()),1))),1,0))</f>
        <v/>
      </c>
      <c r="R72">
        <f>IF($A72="","",IF(AND($B72&gt;0,E72&lt;$B72,DATE($B$1,3,1)&lt;=TODAY(),OR($O72="",$O72&gt;=DATE($B$1,3,1)),OR(COUNTIF($C72:E72,"&gt;0")&gt;0,DATE($B$1,3,1)=DATE(YEAR(TODAY()),MONTH(TODAY()),1))),1,0))</f>
        <v/>
      </c>
      <c r="S72">
        <f>IF($A72="","",IF(AND($B72&gt;0,F72&lt;$B72,DATE($B$1,4,1)&lt;=TODAY(),OR($O72="",$O72&gt;=DATE($B$1,4,1)),OR(COUNTIF($C72:F72,"&gt;0")&gt;0,DATE($B$1,4,1)=DATE(YEAR(TODAY()),MONTH(TODAY()),1))),1,0))</f>
        <v/>
      </c>
      <c r="T72">
        <f>IF($A72="","",IF(AND($B72&gt;0,G72&lt;$B72,DATE($B$1,5,1)&lt;=TODAY(),OR($O72="",$O72&gt;=DATE($B$1,5,1)),OR(COUNTIF($C72:G72,"&gt;0")&gt;0,DATE($B$1,5,1)=DATE(YEAR(TODAY()),MONTH(TODAY()),1))),1,0))</f>
        <v/>
      </c>
      <c r="U72">
        <f>IF($A72="","",IF(AND($B72&gt;0,H72&lt;$B72,DATE($B$1,6,1)&lt;=TODAY(),OR($O72="",$O72&gt;=DATE($B$1,6,1)),OR(COUNTIF($C72:H72,"&gt;0")&gt;0,DATE($B$1,6,1)=DATE(YEAR(TODAY()),MONTH(TODAY()),1))),1,0))</f>
        <v/>
      </c>
      <c r="V72">
        <f>IF($A72="","",IF(AND($B72&gt;0,I72&lt;$B72,DATE($B$1,7,1)&lt;=TODAY(),OR($O72="",$O72&gt;=DATE($B$1,7,1)),OR(COUNTIF($C72:I72,"&gt;0")&gt;0,DATE($B$1,7,1)=DATE(YEAR(TODAY()),MONTH(TODAY()),1))),1,0))</f>
        <v/>
      </c>
      <c r="W72">
        <f>IF($A72="","",IF(AND($B72&gt;0,J72&lt;$B72,DATE($B$1,8,1)&lt;=TODAY(),OR($O72="",$O72&gt;=DATE($B$1,8,1)),OR(COUNTIF($C72:J72,"&gt;0")&gt;0,DATE($B$1,8,1)=DATE(YEAR(TODAY()),MONTH(TODAY()),1))),1,0))</f>
        <v/>
      </c>
      <c r="X72">
        <f>IF($A72="","",IF(AND($B72&gt;0,K72&lt;$B72,DATE($B$1,9,1)&lt;=TODAY(),OR($O72="",$O72&gt;=DATE($B$1,9,1)),OR(COUNTIF($C72:K72,"&gt;0")&gt;0,DATE($B$1,9,1)=DATE(YEAR(TODAY()),MONTH(TODAY()),1))),1,0))</f>
        <v/>
      </c>
      <c r="Y72">
        <f>IF($A72="","",IF(AND($B72&gt;0,L72&lt;$B72,DATE($B$1,10,1)&lt;=TODAY(),OR($O72="",$O72&gt;=DATE($B$1,10,1)),OR(COUNTIF($C72:L72,"&gt;0")&gt;0,DATE($B$1,10,1)=DATE(YEAR(TODAY()),MONTH(TODAY()),1))),1,0))</f>
        <v/>
      </c>
      <c r="Z72">
        <f>IF($A72="","",IF(AND($B72&gt;0,M72&lt;$B72,DATE($B$1,11,1)&lt;=TODAY(),OR($O72="",$O72&gt;=DATE($B$1,11,1)),OR(COUNTIF($C72:M72,"&gt;0")&gt;0,DATE($B$1,11,1)=DATE(YEAR(TODAY()),MONTH(TODAY()),1))),1,0))</f>
        <v/>
      </c>
      <c r="AA72">
        <f>IF($A72="","",IF(AND($B72&gt;0,N72&lt;$B72,DATE($B$1,12,1)&lt;=TODAY(),OR($O72="",$O72&gt;=DATE($B$1,12,1)),OR(COUNTIF($C72:N72,"&gt;0")&gt;0,DATE($B$1,12,1)=DATE(YEAR(TODAY()),MONTH(TODAY()),1))),1,0))</f>
        <v/>
      </c>
    </row>
    <row r="73">
      <c r="A73" s="13">
        <f>IF(원생!$A71="","",원생!$A71&amp;IF(원생!$G71="",""," ("&amp;원생!$G71&amp;")"))</f>
        <v/>
      </c>
      <c r="B73" s="8">
        <f>IF(원생!$A71="","",N(원생!$F71))</f>
        <v/>
      </c>
      <c r="C73" s="14">
        <f>IF(원생!$A71="","",SUMIFS(계산!$C:$C,계산!$A:$A,계산!$E71,계산!$B:$B,$B$1*100+1))</f>
        <v/>
      </c>
      <c r="D73" s="14">
        <f>IF(원생!$A71="","",SUMIFS(계산!$C:$C,계산!$A:$A,계산!$E71,계산!$B:$B,$B$1*100+2))</f>
        <v/>
      </c>
      <c r="E73" s="14">
        <f>IF(원생!$A71="","",SUMIFS(계산!$C:$C,계산!$A:$A,계산!$E71,계산!$B:$B,$B$1*100+3))</f>
        <v/>
      </c>
      <c r="F73" s="14">
        <f>IF(원생!$A71="","",SUMIFS(계산!$C:$C,계산!$A:$A,계산!$E71,계산!$B:$B,$B$1*100+4))</f>
        <v/>
      </c>
      <c r="G73" s="14">
        <f>IF(원생!$A71="","",SUMIFS(계산!$C:$C,계산!$A:$A,계산!$E71,계산!$B:$B,$B$1*100+5))</f>
        <v/>
      </c>
      <c r="H73" s="14">
        <f>IF(원생!$A71="","",SUMIFS(계산!$C:$C,계산!$A:$A,계산!$E71,계산!$B:$B,$B$1*100+6))</f>
        <v/>
      </c>
      <c r="I73" s="14">
        <f>IF(원생!$A71="","",SUMIFS(계산!$C:$C,계산!$A:$A,계산!$E71,계산!$B:$B,$B$1*100+7))</f>
        <v/>
      </c>
      <c r="J73" s="14">
        <f>IF(원생!$A71="","",SUMIFS(계산!$C:$C,계산!$A:$A,계산!$E71,계산!$B:$B,$B$1*100+8))</f>
        <v/>
      </c>
      <c r="K73" s="14">
        <f>IF(원생!$A71="","",SUMIFS(계산!$C:$C,계산!$A:$A,계산!$E71,계산!$B:$B,$B$1*100+9))</f>
        <v/>
      </c>
      <c r="L73" s="14">
        <f>IF(원생!$A71="","",SUMIFS(계산!$C:$C,계산!$A:$A,계산!$E71,계산!$B:$B,$B$1*100+10))</f>
        <v/>
      </c>
      <c r="M73" s="14">
        <f>IF(원생!$A71="","",SUMIFS(계산!$C:$C,계산!$A:$A,계산!$E71,계산!$B:$B,$B$1*100+11))</f>
        <v/>
      </c>
      <c r="N73" s="14">
        <f>IF(원생!$A71="","",SUMIFS(계산!$C:$C,계산!$A:$A,계산!$E71,계산!$B:$B,$B$1*100+12))</f>
        <v/>
      </c>
      <c r="O73">
        <f>IF(원생!$I71="","",원생!$I71)</f>
        <v/>
      </c>
      <c r="P73">
        <f>IF($A73="","",IF(AND($B73&gt;0,C73&lt;$B73,DATE($B$1,1,1)&lt;=TODAY(),OR($O73="",$O73&gt;=DATE($B$1,1,1)),OR(COUNTIF($C73:C73,"&gt;0")&gt;0,DATE($B$1,1,1)=DATE(YEAR(TODAY()),MONTH(TODAY()),1))),1,0))</f>
        <v/>
      </c>
      <c r="Q73">
        <f>IF($A73="","",IF(AND($B73&gt;0,D73&lt;$B73,DATE($B$1,2,1)&lt;=TODAY(),OR($O73="",$O73&gt;=DATE($B$1,2,1)),OR(COUNTIF($C73:D73,"&gt;0")&gt;0,DATE($B$1,2,1)=DATE(YEAR(TODAY()),MONTH(TODAY()),1))),1,0))</f>
        <v/>
      </c>
      <c r="R73">
        <f>IF($A73="","",IF(AND($B73&gt;0,E73&lt;$B73,DATE($B$1,3,1)&lt;=TODAY(),OR($O73="",$O73&gt;=DATE($B$1,3,1)),OR(COUNTIF($C73:E73,"&gt;0")&gt;0,DATE($B$1,3,1)=DATE(YEAR(TODAY()),MONTH(TODAY()),1))),1,0))</f>
        <v/>
      </c>
      <c r="S73">
        <f>IF($A73="","",IF(AND($B73&gt;0,F73&lt;$B73,DATE($B$1,4,1)&lt;=TODAY(),OR($O73="",$O73&gt;=DATE($B$1,4,1)),OR(COUNTIF($C73:F73,"&gt;0")&gt;0,DATE($B$1,4,1)=DATE(YEAR(TODAY()),MONTH(TODAY()),1))),1,0))</f>
        <v/>
      </c>
      <c r="T73">
        <f>IF($A73="","",IF(AND($B73&gt;0,G73&lt;$B73,DATE($B$1,5,1)&lt;=TODAY(),OR($O73="",$O73&gt;=DATE($B$1,5,1)),OR(COUNTIF($C73:G73,"&gt;0")&gt;0,DATE($B$1,5,1)=DATE(YEAR(TODAY()),MONTH(TODAY()),1))),1,0))</f>
        <v/>
      </c>
      <c r="U73">
        <f>IF($A73="","",IF(AND($B73&gt;0,H73&lt;$B73,DATE($B$1,6,1)&lt;=TODAY(),OR($O73="",$O73&gt;=DATE($B$1,6,1)),OR(COUNTIF($C73:H73,"&gt;0")&gt;0,DATE($B$1,6,1)=DATE(YEAR(TODAY()),MONTH(TODAY()),1))),1,0))</f>
        <v/>
      </c>
      <c r="V73">
        <f>IF($A73="","",IF(AND($B73&gt;0,I73&lt;$B73,DATE($B$1,7,1)&lt;=TODAY(),OR($O73="",$O73&gt;=DATE($B$1,7,1)),OR(COUNTIF($C73:I73,"&gt;0")&gt;0,DATE($B$1,7,1)=DATE(YEAR(TODAY()),MONTH(TODAY()),1))),1,0))</f>
        <v/>
      </c>
      <c r="W73">
        <f>IF($A73="","",IF(AND($B73&gt;0,J73&lt;$B73,DATE($B$1,8,1)&lt;=TODAY(),OR($O73="",$O73&gt;=DATE($B$1,8,1)),OR(COUNTIF($C73:J73,"&gt;0")&gt;0,DATE($B$1,8,1)=DATE(YEAR(TODAY()),MONTH(TODAY()),1))),1,0))</f>
        <v/>
      </c>
      <c r="X73">
        <f>IF($A73="","",IF(AND($B73&gt;0,K73&lt;$B73,DATE($B$1,9,1)&lt;=TODAY(),OR($O73="",$O73&gt;=DATE($B$1,9,1)),OR(COUNTIF($C73:K73,"&gt;0")&gt;0,DATE($B$1,9,1)=DATE(YEAR(TODAY()),MONTH(TODAY()),1))),1,0))</f>
        <v/>
      </c>
      <c r="Y73">
        <f>IF($A73="","",IF(AND($B73&gt;0,L73&lt;$B73,DATE($B$1,10,1)&lt;=TODAY(),OR($O73="",$O73&gt;=DATE($B$1,10,1)),OR(COUNTIF($C73:L73,"&gt;0")&gt;0,DATE($B$1,10,1)=DATE(YEAR(TODAY()),MONTH(TODAY()),1))),1,0))</f>
        <v/>
      </c>
      <c r="Z73">
        <f>IF($A73="","",IF(AND($B73&gt;0,M73&lt;$B73,DATE($B$1,11,1)&lt;=TODAY(),OR($O73="",$O73&gt;=DATE($B$1,11,1)),OR(COUNTIF($C73:M73,"&gt;0")&gt;0,DATE($B$1,11,1)=DATE(YEAR(TODAY()),MONTH(TODAY()),1))),1,0))</f>
        <v/>
      </c>
      <c r="AA73">
        <f>IF($A73="","",IF(AND($B73&gt;0,N73&lt;$B73,DATE($B$1,12,1)&lt;=TODAY(),OR($O73="",$O73&gt;=DATE($B$1,12,1)),OR(COUNTIF($C73:N73,"&gt;0")&gt;0,DATE($B$1,12,1)=DATE(YEAR(TODAY()),MONTH(TODAY()),1))),1,0))</f>
        <v/>
      </c>
    </row>
    <row r="74">
      <c r="A74" s="13">
        <f>IF(원생!$A72="","",원생!$A72&amp;IF(원생!$G72="",""," ("&amp;원생!$G72&amp;")"))</f>
        <v/>
      </c>
      <c r="B74" s="8">
        <f>IF(원생!$A72="","",N(원생!$F72))</f>
        <v/>
      </c>
      <c r="C74" s="14">
        <f>IF(원생!$A72="","",SUMIFS(계산!$C:$C,계산!$A:$A,계산!$E72,계산!$B:$B,$B$1*100+1))</f>
        <v/>
      </c>
      <c r="D74" s="14">
        <f>IF(원생!$A72="","",SUMIFS(계산!$C:$C,계산!$A:$A,계산!$E72,계산!$B:$B,$B$1*100+2))</f>
        <v/>
      </c>
      <c r="E74" s="14">
        <f>IF(원생!$A72="","",SUMIFS(계산!$C:$C,계산!$A:$A,계산!$E72,계산!$B:$B,$B$1*100+3))</f>
        <v/>
      </c>
      <c r="F74" s="14">
        <f>IF(원생!$A72="","",SUMIFS(계산!$C:$C,계산!$A:$A,계산!$E72,계산!$B:$B,$B$1*100+4))</f>
        <v/>
      </c>
      <c r="G74" s="14">
        <f>IF(원생!$A72="","",SUMIFS(계산!$C:$C,계산!$A:$A,계산!$E72,계산!$B:$B,$B$1*100+5))</f>
        <v/>
      </c>
      <c r="H74" s="14">
        <f>IF(원생!$A72="","",SUMIFS(계산!$C:$C,계산!$A:$A,계산!$E72,계산!$B:$B,$B$1*100+6))</f>
        <v/>
      </c>
      <c r="I74" s="14">
        <f>IF(원생!$A72="","",SUMIFS(계산!$C:$C,계산!$A:$A,계산!$E72,계산!$B:$B,$B$1*100+7))</f>
        <v/>
      </c>
      <c r="J74" s="14">
        <f>IF(원생!$A72="","",SUMIFS(계산!$C:$C,계산!$A:$A,계산!$E72,계산!$B:$B,$B$1*100+8))</f>
        <v/>
      </c>
      <c r="K74" s="14">
        <f>IF(원생!$A72="","",SUMIFS(계산!$C:$C,계산!$A:$A,계산!$E72,계산!$B:$B,$B$1*100+9))</f>
        <v/>
      </c>
      <c r="L74" s="14">
        <f>IF(원생!$A72="","",SUMIFS(계산!$C:$C,계산!$A:$A,계산!$E72,계산!$B:$B,$B$1*100+10))</f>
        <v/>
      </c>
      <c r="M74" s="14">
        <f>IF(원생!$A72="","",SUMIFS(계산!$C:$C,계산!$A:$A,계산!$E72,계산!$B:$B,$B$1*100+11))</f>
        <v/>
      </c>
      <c r="N74" s="14">
        <f>IF(원생!$A72="","",SUMIFS(계산!$C:$C,계산!$A:$A,계산!$E72,계산!$B:$B,$B$1*100+12))</f>
        <v/>
      </c>
      <c r="O74">
        <f>IF(원생!$I72="","",원생!$I72)</f>
        <v/>
      </c>
      <c r="P74">
        <f>IF($A74="","",IF(AND($B74&gt;0,C74&lt;$B74,DATE($B$1,1,1)&lt;=TODAY(),OR($O74="",$O74&gt;=DATE($B$1,1,1)),OR(COUNTIF($C74:C74,"&gt;0")&gt;0,DATE($B$1,1,1)=DATE(YEAR(TODAY()),MONTH(TODAY()),1))),1,0))</f>
        <v/>
      </c>
      <c r="Q74">
        <f>IF($A74="","",IF(AND($B74&gt;0,D74&lt;$B74,DATE($B$1,2,1)&lt;=TODAY(),OR($O74="",$O74&gt;=DATE($B$1,2,1)),OR(COUNTIF($C74:D74,"&gt;0")&gt;0,DATE($B$1,2,1)=DATE(YEAR(TODAY()),MONTH(TODAY()),1))),1,0))</f>
        <v/>
      </c>
      <c r="R74">
        <f>IF($A74="","",IF(AND($B74&gt;0,E74&lt;$B74,DATE($B$1,3,1)&lt;=TODAY(),OR($O74="",$O74&gt;=DATE($B$1,3,1)),OR(COUNTIF($C74:E74,"&gt;0")&gt;0,DATE($B$1,3,1)=DATE(YEAR(TODAY()),MONTH(TODAY()),1))),1,0))</f>
        <v/>
      </c>
      <c r="S74">
        <f>IF($A74="","",IF(AND($B74&gt;0,F74&lt;$B74,DATE($B$1,4,1)&lt;=TODAY(),OR($O74="",$O74&gt;=DATE($B$1,4,1)),OR(COUNTIF($C74:F74,"&gt;0")&gt;0,DATE($B$1,4,1)=DATE(YEAR(TODAY()),MONTH(TODAY()),1))),1,0))</f>
        <v/>
      </c>
      <c r="T74">
        <f>IF($A74="","",IF(AND($B74&gt;0,G74&lt;$B74,DATE($B$1,5,1)&lt;=TODAY(),OR($O74="",$O74&gt;=DATE($B$1,5,1)),OR(COUNTIF($C74:G74,"&gt;0")&gt;0,DATE($B$1,5,1)=DATE(YEAR(TODAY()),MONTH(TODAY()),1))),1,0))</f>
        <v/>
      </c>
      <c r="U74">
        <f>IF($A74="","",IF(AND($B74&gt;0,H74&lt;$B74,DATE($B$1,6,1)&lt;=TODAY(),OR($O74="",$O74&gt;=DATE($B$1,6,1)),OR(COUNTIF($C74:H74,"&gt;0")&gt;0,DATE($B$1,6,1)=DATE(YEAR(TODAY()),MONTH(TODAY()),1))),1,0))</f>
        <v/>
      </c>
      <c r="V74">
        <f>IF($A74="","",IF(AND($B74&gt;0,I74&lt;$B74,DATE($B$1,7,1)&lt;=TODAY(),OR($O74="",$O74&gt;=DATE($B$1,7,1)),OR(COUNTIF($C74:I74,"&gt;0")&gt;0,DATE($B$1,7,1)=DATE(YEAR(TODAY()),MONTH(TODAY()),1))),1,0))</f>
        <v/>
      </c>
      <c r="W74">
        <f>IF($A74="","",IF(AND($B74&gt;0,J74&lt;$B74,DATE($B$1,8,1)&lt;=TODAY(),OR($O74="",$O74&gt;=DATE($B$1,8,1)),OR(COUNTIF($C74:J74,"&gt;0")&gt;0,DATE($B$1,8,1)=DATE(YEAR(TODAY()),MONTH(TODAY()),1))),1,0))</f>
        <v/>
      </c>
      <c r="X74">
        <f>IF($A74="","",IF(AND($B74&gt;0,K74&lt;$B74,DATE($B$1,9,1)&lt;=TODAY(),OR($O74="",$O74&gt;=DATE($B$1,9,1)),OR(COUNTIF($C74:K74,"&gt;0")&gt;0,DATE($B$1,9,1)=DATE(YEAR(TODAY()),MONTH(TODAY()),1))),1,0))</f>
        <v/>
      </c>
      <c r="Y74">
        <f>IF($A74="","",IF(AND($B74&gt;0,L74&lt;$B74,DATE($B$1,10,1)&lt;=TODAY(),OR($O74="",$O74&gt;=DATE($B$1,10,1)),OR(COUNTIF($C74:L74,"&gt;0")&gt;0,DATE($B$1,10,1)=DATE(YEAR(TODAY()),MONTH(TODAY()),1))),1,0))</f>
        <v/>
      </c>
      <c r="Z74">
        <f>IF($A74="","",IF(AND($B74&gt;0,M74&lt;$B74,DATE($B$1,11,1)&lt;=TODAY(),OR($O74="",$O74&gt;=DATE($B$1,11,1)),OR(COUNTIF($C74:M74,"&gt;0")&gt;0,DATE($B$1,11,1)=DATE(YEAR(TODAY()),MONTH(TODAY()),1))),1,0))</f>
        <v/>
      </c>
      <c r="AA74">
        <f>IF($A74="","",IF(AND($B74&gt;0,N74&lt;$B74,DATE($B$1,12,1)&lt;=TODAY(),OR($O74="",$O74&gt;=DATE($B$1,12,1)),OR(COUNTIF($C74:N74,"&gt;0")&gt;0,DATE($B$1,12,1)=DATE(YEAR(TODAY()),MONTH(TODAY()),1))),1,0))</f>
        <v/>
      </c>
    </row>
    <row r="75">
      <c r="A75" s="13">
        <f>IF(원생!$A73="","",원생!$A73&amp;IF(원생!$G73="",""," ("&amp;원생!$G73&amp;")"))</f>
        <v/>
      </c>
      <c r="B75" s="8">
        <f>IF(원생!$A73="","",N(원생!$F73))</f>
        <v/>
      </c>
      <c r="C75" s="14">
        <f>IF(원생!$A73="","",SUMIFS(계산!$C:$C,계산!$A:$A,계산!$E73,계산!$B:$B,$B$1*100+1))</f>
        <v/>
      </c>
      <c r="D75" s="14">
        <f>IF(원생!$A73="","",SUMIFS(계산!$C:$C,계산!$A:$A,계산!$E73,계산!$B:$B,$B$1*100+2))</f>
        <v/>
      </c>
      <c r="E75" s="14">
        <f>IF(원생!$A73="","",SUMIFS(계산!$C:$C,계산!$A:$A,계산!$E73,계산!$B:$B,$B$1*100+3))</f>
        <v/>
      </c>
      <c r="F75" s="14">
        <f>IF(원생!$A73="","",SUMIFS(계산!$C:$C,계산!$A:$A,계산!$E73,계산!$B:$B,$B$1*100+4))</f>
        <v/>
      </c>
      <c r="G75" s="14">
        <f>IF(원생!$A73="","",SUMIFS(계산!$C:$C,계산!$A:$A,계산!$E73,계산!$B:$B,$B$1*100+5))</f>
        <v/>
      </c>
      <c r="H75" s="14">
        <f>IF(원생!$A73="","",SUMIFS(계산!$C:$C,계산!$A:$A,계산!$E73,계산!$B:$B,$B$1*100+6))</f>
        <v/>
      </c>
      <c r="I75" s="14">
        <f>IF(원생!$A73="","",SUMIFS(계산!$C:$C,계산!$A:$A,계산!$E73,계산!$B:$B,$B$1*100+7))</f>
        <v/>
      </c>
      <c r="J75" s="14">
        <f>IF(원생!$A73="","",SUMIFS(계산!$C:$C,계산!$A:$A,계산!$E73,계산!$B:$B,$B$1*100+8))</f>
        <v/>
      </c>
      <c r="K75" s="14">
        <f>IF(원생!$A73="","",SUMIFS(계산!$C:$C,계산!$A:$A,계산!$E73,계산!$B:$B,$B$1*100+9))</f>
        <v/>
      </c>
      <c r="L75" s="14">
        <f>IF(원생!$A73="","",SUMIFS(계산!$C:$C,계산!$A:$A,계산!$E73,계산!$B:$B,$B$1*100+10))</f>
        <v/>
      </c>
      <c r="M75" s="14">
        <f>IF(원생!$A73="","",SUMIFS(계산!$C:$C,계산!$A:$A,계산!$E73,계산!$B:$B,$B$1*100+11))</f>
        <v/>
      </c>
      <c r="N75" s="14">
        <f>IF(원생!$A73="","",SUMIFS(계산!$C:$C,계산!$A:$A,계산!$E73,계산!$B:$B,$B$1*100+12))</f>
        <v/>
      </c>
      <c r="O75">
        <f>IF(원생!$I73="","",원생!$I73)</f>
        <v/>
      </c>
      <c r="P75">
        <f>IF($A75="","",IF(AND($B75&gt;0,C75&lt;$B75,DATE($B$1,1,1)&lt;=TODAY(),OR($O75="",$O75&gt;=DATE($B$1,1,1)),OR(COUNTIF($C75:C75,"&gt;0")&gt;0,DATE($B$1,1,1)=DATE(YEAR(TODAY()),MONTH(TODAY()),1))),1,0))</f>
        <v/>
      </c>
      <c r="Q75">
        <f>IF($A75="","",IF(AND($B75&gt;0,D75&lt;$B75,DATE($B$1,2,1)&lt;=TODAY(),OR($O75="",$O75&gt;=DATE($B$1,2,1)),OR(COUNTIF($C75:D75,"&gt;0")&gt;0,DATE($B$1,2,1)=DATE(YEAR(TODAY()),MONTH(TODAY()),1))),1,0))</f>
        <v/>
      </c>
      <c r="R75">
        <f>IF($A75="","",IF(AND($B75&gt;0,E75&lt;$B75,DATE($B$1,3,1)&lt;=TODAY(),OR($O75="",$O75&gt;=DATE($B$1,3,1)),OR(COUNTIF($C75:E75,"&gt;0")&gt;0,DATE($B$1,3,1)=DATE(YEAR(TODAY()),MONTH(TODAY()),1))),1,0))</f>
        <v/>
      </c>
      <c r="S75">
        <f>IF($A75="","",IF(AND($B75&gt;0,F75&lt;$B75,DATE($B$1,4,1)&lt;=TODAY(),OR($O75="",$O75&gt;=DATE($B$1,4,1)),OR(COUNTIF($C75:F75,"&gt;0")&gt;0,DATE($B$1,4,1)=DATE(YEAR(TODAY()),MONTH(TODAY()),1))),1,0))</f>
        <v/>
      </c>
      <c r="T75">
        <f>IF($A75="","",IF(AND($B75&gt;0,G75&lt;$B75,DATE($B$1,5,1)&lt;=TODAY(),OR($O75="",$O75&gt;=DATE($B$1,5,1)),OR(COUNTIF($C75:G75,"&gt;0")&gt;0,DATE($B$1,5,1)=DATE(YEAR(TODAY()),MONTH(TODAY()),1))),1,0))</f>
        <v/>
      </c>
      <c r="U75">
        <f>IF($A75="","",IF(AND($B75&gt;0,H75&lt;$B75,DATE($B$1,6,1)&lt;=TODAY(),OR($O75="",$O75&gt;=DATE($B$1,6,1)),OR(COUNTIF($C75:H75,"&gt;0")&gt;0,DATE($B$1,6,1)=DATE(YEAR(TODAY()),MONTH(TODAY()),1))),1,0))</f>
        <v/>
      </c>
      <c r="V75">
        <f>IF($A75="","",IF(AND($B75&gt;0,I75&lt;$B75,DATE($B$1,7,1)&lt;=TODAY(),OR($O75="",$O75&gt;=DATE($B$1,7,1)),OR(COUNTIF($C75:I75,"&gt;0")&gt;0,DATE($B$1,7,1)=DATE(YEAR(TODAY()),MONTH(TODAY()),1))),1,0))</f>
        <v/>
      </c>
      <c r="W75">
        <f>IF($A75="","",IF(AND($B75&gt;0,J75&lt;$B75,DATE($B$1,8,1)&lt;=TODAY(),OR($O75="",$O75&gt;=DATE($B$1,8,1)),OR(COUNTIF($C75:J75,"&gt;0")&gt;0,DATE($B$1,8,1)=DATE(YEAR(TODAY()),MONTH(TODAY()),1))),1,0))</f>
        <v/>
      </c>
      <c r="X75">
        <f>IF($A75="","",IF(AND($B75&gt;0,K75&lt;$B75,DATE($B$1,9,1)&lt;=TODAY(),OR($O75="",$O75&gt;=DATE($B$1,9,1)),OR(COUNTIF($C75:K75,"&gt;0")&gt;0,DATE($B$1,9,1)=DATE(YEAR(TODAY()),MONTH(TODAY()),1))),1,0))</f>
        <v/>
      </c>
      <c r="Y75">
        <f>IF($A75="","",IF(AND($B75&gt;0,L75&lt;$B75,DATE($B$1,10,1)&lt;=TODAY(),OR($O75="",$O75&gt;=DATE($B$1,10,1)),OR(COUNTIF($C75:L75,"&gt;0")&gt;0,DATE($B$1,10,1)=DATE(YEAR(TODAY()),MONTH(TODAY()),1))),1,0))</f>
        <v/>
      </c>
      <c r="Z75">
        <f>IF($A75="","",IF(AND($B75&gt;0,M75&lt;$B75,DATE($B$1,11,1)&lt;=TODAY(),OR($O75="",$O75&gt;=DATE($B$1,11,1)),OR(COUNTIF($C75:M75,"&gt;0")&gt;0,DATE($B$1,11,1)=DATE(YEAR(TODAY()),MONTH(TODAY()),1))),1,0))</f>
        <v/>
      </c>
      <c r="AA75">
        <f>IF($A75="","",IF(AND($B75&gt;0,N75&lt;$B75,DATE($B$1,12,1)&lt;=TODAY(),OR($O75="",$O75&gt;=DATE($B$1,12,1)),OR(COUNTIF($C75:N75,"&gt;0")&gt;0,DATE($B$1,12,1)=DATE(YEAR(TODAY()),MONTH(TODAY()),1))),1,0))</f>
        <v/>
      </c>
    </row>
    <row r="76">
      <c r="A76" s="13">
        <f>IF(원생!$A74="","",원생!$A74&amp;IF(원생!$G74="",""," ("&amp;원생!$G74&amp;")"))</f>
        <v/>
      </c>
      <c r="B76" s="8">
        <f>IF(원생!$A74="","",N(원생!$F74))</f>
        <v/>
      </c>
      <c r="C76" s="14">
        <f>IF(원생!$A74="","",SUMIFS(계산!$C:$C,계산!$A:$A,계산!$E74,계산!$B:$B,$B$1*100+1))</f>
        <v/>
      </c>
      <c r="D76" s="14">
        <f>IF(원생!$A74="","",SUMIFS(계산!$C:$C,계산!$A:$A,계산!$E74,계산!$B:$B,$B$1*100+2))</f>
        <v/>
      </c>
      <c r="E76" s="14">
        <f>IF(원생!$A74="","",SUMIFS(계산!$C:$C,계산!$A:$A,계산!$E74,계산!$B:$B,$B$1*100+3))</f>
        <v/>
      </c>
      <c r="F76" s="14">
        <f>IF(원생!$A74="","",SUMIFS(계산!$C:$C,계산!$A:$A,계산!$E74,계산!$B:$B,$B$1*100+4))</f>
        <v/>
      </c>
      <c r="G76" s="14">
        <f>IF(원생!$A74="","",SUMIFS(계산!$C:$C,계산!$A:$A,계산!$E74,계산!$B:$B,$B$1*100+5))</f>
        <v/>
      </c>
      <c r="H76" s="14">
        <f>IF(원생!$A74="","",SUMIFS(계산!$C:$C,계산!$A:$A,계산!$E74,계산!$B:$B,$B$1*100+6))</f>
        <v/>
      </c>
      <c r="I76" s="14">
        <f>IF(원생!$A74="","",SUMIFS(계산!$C:$C,계산!$A:$A,계산!$E74,계산!$B:$B,$B$1*100+7))</f>
        <v/>
      </c>
      <c r="J76" s="14">
        <f>IF(원생!$A74="","",SUMIFS(계산!$C:$C,계산!$A:$A,계산!$E74,계산!$B:$B,$B$1*100+8))</f>
        <v/>
      </c>
      <c r="K76" s="14">
        <f>IF(원생!$A74="","",SUMIFS(계산!$C:$C,계산!$A:$A,계산!$E74,계산!$B:$B,$B$1*100+9))</f>
        <v/>
      </c>
      <c r="L76" s="14">
        <f>IF(원생!$A74="","",SUMIFS(계산!$C:$C,계산!$A:$A,계산!$E74,계산!$B:$B,$B$1*100+10))</f>
        <v/>
      </c>
      <c r="M76" s="14">
        <f>IF(원생!$A74="","",SUMIFS(계산!$C:$C,계산!$A:$A,계산!$E74,계산!$B:$B,$B$1*100+11))</f>
        <v/>
      </c>
      <c r="N76" s="14">
        <f>IF(원생!$A74="","",SUMIFS(계산!$C:$C,계산!$A:$A,계산!$E74,계산!$B:$B,$B$1*100+12))</f>
        <v/>
      </c>
      <c r="O76">
        <f>IF(원생!$I74="","",원생!$I74)</f>
        <v/>
      </c>
      <c r="P76">
        <f>IF($A76="","",IF(AND($B76&gt;0,C76&lt;$B76,DATE($B$1,1,1)&lt;=TODAY(),OR($O76="",$O76&gt;=DATE($B$1,1,1)),OR(COUNTIF($C76:C76,"&gt;0")&gt;0,DATE($B$1,1,1)=DATE(YEAR(TODAY()),MONTH(TODAY()),1))),1,0))</f>
        <v/>
      </c>
      <c r="Q76">
        <f>IF($A76="","",IF(AND($B76&gt;0,D76&lt;$B76,DATE($B$1,2,1)&lt;=TODAY(),OR($O76="",$O76&gt;=DATE($B$1,2,1)),OR(COUNTIF($C76:D76,"&gt;0")&gt;0,DATE($B$1,2,1)=DATE(YEAR(TODAY()),MONTH(TODAY()),1))),1,0))</f>
        <v/>
      </c>
      <c r="R76">
        <f>IF($A76="","",IF(AND($B76&gt;0,E76&lt;$B76,DATE($B$1,3,1)&lt;=TODAY(),OR($O76="",$O76&gt;=DATE($B$1,3,1)),OR(COUNTIF($C76:E76,"&gt;0")&gt;0,DATE($B$1,3,1)=DATE(YEAR(TODAY()),MONTH(TODAY()),1))),1,0))</f>
        <v/>
      </c>
      <c r="S76">
        <f>IF($A76="","",IF(AND($B76&gt;0,F76&lt;$B76,DATE($B$1,4,1)&lt;=TODAY(),OR($O76="",$O76&gt;=DATE($B$1,4,1)),OR(COUNTIF($C76:F76,"&gt;0")&gt;0,DATE($B$1,4,1)=DATE(YEAR(TODAY()),MONTH(TODAY()),1))),1,0))</f>
        <v/>
      </c>
      <c r="T76">
        <f>IF($A76="","",IF(AND($B76&gt;0,G76&lt;$B76,DATE($B$1,5,1)&lt;=TODAY(),OR($O76="",$O76&gt;=DATE($B$1,5,1)),OR(COUNTIF($C76:G76,"&gt;0")&gt;0,DATE($B$1,5,1)=DATE(YEAR(TODAY()),MONTH(TODAY()),1))),1,0))</f>
        <v/>
      </c>
      <c r="U76">
        <f>IF($A76="","",IF(AND($B76&gt;0,H76&lt;$B76,DATE($B$1,6,1)&lt;=TODAY(),OR($O76="",$O76&gt;=DATE($B$1,6,1)),OR(COUNTIF($C76:H76,"&gt;0")&gt;0,DATE($B$1,6,1)=DATE(YEAR(TODAY()),MONTH(TODAY()),1))),1,0))</f>
        <v/>
      </c>
      <c r="V76">
        <f>IF($A76="","",IF(AND($B76&gt;0,I76&lt;$B76,DATE($B$1,7,1)&lt;=TODAY(),OR($O76="",$O76&gt;=DATE($B$1,7,1)),OR(COUNTIF($C76:I76,"&gt;0")&gt;0,DATE($B$1,7,1)=DATE(YEAR(TODAY()),MONTH(TODAY()),1))),1,0))</f>
        <v/>
      </c>
      <c r="W76">
        <f>IF($A76="","",IF(AND($B76&gt;0,J76&lt;$B76,DATE($B$1,8,1)&lt;=TODAY(),OR($O76="",$O76&gt;=DATE($B$1,8,1)),OR(COUNTIF($C76:J76,"&gt;0")&gt;0,DATE($B$1,8,1)=DATE(YEAR(TODAY()),MONTH(TODAY()),1))),1,0))</f>
        <v/>
      </c>
      <c r="X76">
        <f>IF($A76="","",IF(AND($B76&gt;0,K76&lt;$B76,DATE($B$1,9,1)&lt;=TODAY(),OR($O76="",$O76&gt;=DATE($B$1,9,1)),OR(COUNTIF($C76:K76,"&gt;0")&gt;0,DATE($B$1,9,1)=DATE(YEAR(TODAY()),MONTH(TODAY()),1))),1,0))</f>
        <v/>
      </c>
      <c r="Y76">
        <f>IF($A76="","",IF(AND($B76&gt;0,L76&lt;$B76,DATE($B$1,10,1)&lt;=TODAY(),OR($O76="",$O76&gt;=DATE($B$1,10,1)),OR(COUNTIF($C76:L76,"&gt;0")&gt;0,DATE($B$1,10,1)=DATE(YEAR(TODAY()),MONTH(TODAY()),1))),1,0))</f>
        <v/>
      </c>
      <c r="Z76">
        <f>IF($A76="","",IF(AND($B76&gt;0,M76&lt;$B76,DATE($B$1,11,1)&lt;=TODAY(),OR($O76="",$O76&gt;=DATE($B$1,11,1)),OR(COUNTIF($C76:M76,"&gt;0")&gt;0,DATE($B$1,11,1)=DATE(YEAR(TODAY()),MONTH(TODAY()),1))),1,0))</f>
        <v/>
      </c>
      <c r="AA76">
        <f>IF($A76="","",IF(AND($B76&gt;0,N76&lt;$B76,DATE($B$1,12,1)&lt;=TODAY(),OR($O76="",$O76&gt;=DATE($B$1,12,1)),OR(COUNTIF($C76:N76,"&gt;0")&gt;0,DATE($B$1,12,1)=DATE(YEAR(TODAY()),MONTH(TODAY()),1))),1,0))</f>
        <v/>
      </c>
    </row>
    <row r="77">
      <c r="A77" s="13">
        <f>IF(원생!$A75="","",원생!$A75&amp;IF(원생!$G75="",""," ("&amp;원생!$G75&amp;")"))</f>
        <v/>
      </c>
      <c r="B77" s="8">
        <f>IF(원생!$A75="","",N(원생!$F75))</f>
        <v/>
      </c>
      <c r="C77" s="14">
        <f>IF(원생!$A75="","",SUMIFS(계산!$C:$C,계산!$A:$A,계산!$E75,계산!$B:$B,$B$1*100+1))</f>
        <v/>
      </c>
      <c r="D77" s="14">
        <f>IF(원생!$A75="","",SUMIFS(계산!$C:$C,계산!$A:$A,계산!$E75,계산!$B:$B,$B$1*100+2))</f>
        <v/>
      </c>
      <c r="E77" s="14">
        <f>IF(원생!$A75="","",SUMIFS(계산!$C:$C,계산!$A:$A,계산!$E75,계산!$B:$B,$B$1*100+3))</f>
        <v/>
      </c>
      <c r="F77" s="14">
        <f>IF(원생!$A75="","",SUMIFS(계산!$C:$C,계산!$A:$A,계산!$E75,계산!$B:$B,$B$1*100+4))</f>
        <v/>
      </c>
      <c r="G77" s="14">
        <f>IF(원생!$A75="","",SUMIFS(계산!$C:$C,계산!$A:$A,계산!$E75,계산!$B:$B,$B$1*100+5))</f>
        <v/>
      </c>
      <c r="H77" s="14">
        <f>IF(원생!$A75="","",SUMIFS(계산!$C:$C,계산!$A:$A,계산!$E75,계산!$B:$B,$B$1*100+6))</f>
        <v/>
      </c>
      <c r="I77" s="14">
        <f>IF(원생!$A75="","",SUMIFS(계산!$C:$C,계산!$A:$A,계산!$E75,계산!$B:$B,$B$1*100+7))</f>
        <v/>
      </c>
      <c r="J77" s="14">
        <f>IF(원생!$A75="","",SUMIFS(계산!$C:$C,계산!$A:$A,계산!$E75,계산!$B:$B,$B$1*100+8))</f>
        <v/>
      </c>
      <c r="K77" s="14">
        <f>IF(원생!$A75="","",SUMIFS(계산!$C:$C,계산!$A:$A,계산!$E75,계산!$B:$B,$B$1*100+9))</f>
        <v/>
      </c>
      <c r="L77" s="14">
        <f>IF(원생!$A75="","",SUMIFS(계산!$C:$C,계산!$A:$A,계산!$E75,계산!$B:$B,$B$1*100+10))</f>
        <v/>
      </c>
      <c r="M77" s="14">
        <f>IF(원생!$A75="","",SUMIFS(계산!$C:$C,계산!$A:$A,계산!$E75,계산!$B:$B,$B$1*100+11))</f>
        <v/>
      </c>
      <c r="N77" s="14">
        <f>IF(원생!$A75="","",SUMIFS(계산!$C:$C,계산!$A:$A,계산!$E75,계산!$B:$B,$B$1*100+12))</f>
        <v/>
      </c>
      <c r="O77">
        <f>IF(원생!$I75="","",원생!$I75)</f>
        <v/>
      </c>
      <c r="P77">
        <f>IF($A77="","",IF(AND($B77&gt;0,C77&lt;$B77,DATE($B$1,1,1)&lt;=TODAY(),OR($O77="",$O77&gt;=DATE($B$1,1,1)),OR(COUNTIF($C77:C77,"&gt;0")&gt;0,DATE($B$1,1,1)=DATE(YEAR(TODAY()),MONTH(TODAY()),1))),1,0))</f>
        <v/>
      </c>
      <c r="Q77">
        <f>IF($A77="","",IF(AND($B77&gt;0,D77&lt;$B77,DATE($B$1,2,1)&lt;=TODAY(),OR($O77="",$O77&gt;=DATE($B$1,2,1)),OR(COUNTIF($C77:D77,"&gt;0")&gt;0,DATE($B$1,2,1)=DATE(YEAR(TODAY()),MONTH(TODAY()),1))),1,0))</f>
        <v/>
      </c>
      <c r="R77">
        <f>IF($A77="","",IF(AND($B77&gt;0,E77&lt;$B77,DATE($B$1,3,1)&lt;=TODAY(),OR($O77="",$O77&gt;=DATE($B$1,3,1)),OR(COUNTIF($C77:E77,"&gt;0")&gt;0,DATE($B$1,3,1)=DATE(YEAR(TODAY()),MONTH(TODAY()),1))),1,0))</f>
        <v/>
      </c>
      <c r="S77">
        <f>IF($A77="","",IF(AND($B77&gt;0,F77&lt;$B77,DATE($B$1,4,1)&lt;=TODAY(),OR($O77="",$O77&gt;=DATE($B$1,4,1)),OR(COUNTIF($C77:F77,"&gt;0")&gt;0,DATE($B$1,4,1)=DATE(YEAR(TODAY()),MONTH(TODAY()),1))),1,0))</f>
        <v/>
      </c>
      <c r="T77">
        <f>IF($A77="","",IF(AND($B77&gt;0,G77&lt;$B77,DATE($B$1,5,1)&lt;=TODAY(),OR($O77="",$O77&gt;=DATE($B$1,5,1)),OR(COUNTIF($C77:G77,"&gt;0")&gt;0,DATE($B$1,5,1)=DATE(YEAR(TODAY()),MONTH(TODAY()),1))),1,0))</f>
        <v/>
      </c>
      <c r="U77">
        <f>IF($A77="","",IF(AND($B77&gt;0,H77&lt;$B77,DATE($B$1,6,1)&lt;=TODAY(),OR($O77="",$O77&gt;=DATE($B$1,6,1)),OR(COUNTIF($C77:H77,"&gt;0")&gt;0,DATE($B$1,6,1)=DATE(YEAR(TODAY()),MONTH(TODAY()),1))),1,0))</f>
        <v/>
      </c>
      <c r="V77">
        <f>IF($A77="","",IF(AND($B77&gt;0,I77&lt;$B77,DATE($B$1,7,1)&lt;=TODAY(),OR($O77="",$O77&gt;=DATE($B$1,7,1)),OR(COUNTIF($C77:I77,"&gt;0")&gt;0,DATE($B$1,7,1)=DATE(YEAR(TODAY()),MONTH(TODAY()),1))),1,0))</f>
        <v/>
      </c>
      <c r="W77">
        <f>IF($A77="","",IF(AND($B77&gt;0,J77&lt;$B77,DATE($B$1,8,1)&lt;=TODAY(),OR($O77="",$O77&gt;=DATE($B$1,8,1)),OR(COUNTIF($C77:J77,"&gt;0")&gt;0,DATE($B$1,8,1)=DATE(YEAR(TODAY()),MONTH(TODAY()),1))),1,0))</f>
        <v/>
      </c>
      <c r="X77">
        <f>IF($A77="","",IF(AND($B77&gt;0,K77&lt;$B77,DATE($B$1,9,1)&lt;=TODAY(),OR($O77="",$O77&gt;=DATE($B$1,9,1)),OR(COUNTIF($C77:K77,"&gt;0")&gt;0,DATE($B$1,9,1)=DATE(YEAR(TODAY()),MONTH(TODAY()),1))),1,0))</f>
        <v/>
      </c>
      <c r="Y77">
        <f>IF($A77="","",IF(AND($B77&gt;0,L77&lt;$B77,DATE($B$1,10,1)&lt;=TODAY(),OR($O77="",$O77&gt;=DATE($B$1,10,1)),OR(COUNTIF($C77:L77,"&gt;0")&gt;0,DATE($B$1,10,1)=DATE(YEAR(TODAY()),MONTH(TODAY()),1))),1,0))</f>
        <v/>
      </c>
      <c r="Z77">
        <f>IF($A77="","",IF(AND($B77&gt;0,M77&lt;$B77,DATE($B$1,11,1)&lt;=TODAY(),OR($O77="",$O77&gt;=DATE($B$1,11,1)),OR(COUNTIF($C77:M77,"&gt;0")&gt;0,DATE($B$1,11,1)=DATE(YEAR(TODAY()),MONTH(TODAY()),1))),1,0))</f>
        <v/>
      </c>
      <c r="AA77">
        <f>IF($A77="","",IF(AND($B77&gt;0,N77&lt;$B77,DATE($B$1,12,1)&lt;=TODAY(),OR($O77="",$O77&gt;=DATE($B$1,12,1)),OR(COUNTIF($C77:N77,"&gt;0")&gt;0,DATE($B$1,12,1)=DATE(YEAR(TODAY()),MONTH(TODAY()),1))),1,0))</f>
        <v/>
      </c>
    </row>
    <row r="78">
      <c r="A78" s="13">
        <f>IF(원생!$A76="","",원생!$A76&amp;IF(원생!$G76="",""," ("&amp;원생!$G76&amp;")"))</f>
        <v/>
      </c>
      <c r="B78" s="8">
        <f>IF(원생!$A76="","",N(원생!$F76))</f>
        <v/>
      </c>
      <c r="C78" s="14">
        <f>IF(원생!$A76="","",SUMIFS(계산!$C:$C,계산!$A:$A,계산!$E76,계산!$B:$B,$B$1*100+1))</f>
        <v/>
      </c>
      <c r="D78" s="14">
        <f>IF(원생!$A76="","",SUMIFS(계산!$C:$C,계산!$A:$A,계산!$E76,계산!$B:$B,$B$1*100+2))</f>
        <v/>
      </c>
      <c r="E78" s="14">
        <f>IF(원생!$A76="","",SUMIFS(계산!$C:$C,계산!$A:$A,계산!$E76,계산!$B:$B,$B$1*100+3))</f>
        <v/>
      </c>
      <c r="F78" s="14">
        <f>IF(원생!$A76="","",SUMIFS(계산!$C:$C,계산!$A:$A,계산!$E76,계산!$B:$B,$B$1*100+4))</f>
        <v/>
      </c>
      <c r="G78" s="14">
        <f>IF(원생!$A76="","",SUMIFS(계산!$C:$C,계산!$A:$A,계산!$E76,계산!$B:$B,$B$1*100+5))</f>
        <v/>
      </c>
      <c r="H78" s="14">
        <f>IF(원생!$A76="","",SUMIFS(계산!$C:$C,계산!$A:$A,계산!$E76,계산!$B:$B,$B$1*100+6))</f>
        <v/>
      </c>
      <c r="I78" s="14">
        <f>IF(원생!$A76="","",SUMIFS(계산!$C:$C,계산!$A:$A,계산!$E76,계산!$B:$B,$B$1*100+7))</f>
        <v/>
      </c>
      <c r="J78" s="14">
        <f>IF(원생!$A76="","",SUMIFS(계산!$C:$C,계산!$A:$A,계산!$E76,계산!$B:$B,$B$1*100+8))</f>
        <v/>
      </c>
      <c r="K78" s="14">
        <f>IF(원생!$A76="","",SUMIFS(계산!$C:$C,계산!$A:$A,계산!$E76,계산!$B:$B,$B$1*100+9))</f>
        <v/>
      </c>
      <c r="L78" s="14">
        <f>IF(원생!$A76="","",SUMIFS(계산!$C:$C,계산!$A:$A,계산!$E76,계산!$B:$B,$B$1*100+10))</f>
        <v/>
      </c>
      <c r="M78" s="14">
        <f>IF(원생!$A76="","",SUMIFS(계산!$C:$C,계산!$A:$A,계산!$E76,계산!$B:$B,$B$1*100+11))</f>
        <v/>
      </c>
      <c r="N78" s="14">
        <f>IF(원생!$A76="","",SUMIFS(계산!$C:$C,계산!$A:$A,계산!$E76,계산!$B:$B,$B$1*100+12))</f>
        <v/>
      </c>
      <c r="O78">
        <f>IF(원생!$I76="","",원생!$I76)</f>
        <v/>
      </c>
      <c r="P78">
        <f>IF($A78="","",IF(AND($B78&gt;0,C78&lt;$B78,DATE($B$1,1,1)&lt;=TODAY(),OR($O78="",$O78&gt;=DATE($B$1,1,1)),OR(COUNTIF($C78:C78,"&gt;0")&gt;0,DATE($B$1,1,1)=DATE(YEAR(TODAY()),MONTH(TODAY()),1))),1,0))</f>
        <v/>
      </c>
      <c r="Q78">
        <f>IF($A78="","",IF(AND($B78&gt;0,D78&lt;$B78,DATE($B$1,2,1)&lt;=TODAY(),OR($O78="",$O78&gt;=DATE($B$1,2,1)),OR(COUNTIF($C78:D78,"&gt;0")&gt;0,DATE($B$1,2,1)=DATE(YEAR(TODAY()),MONTH(TODAY()),1))),1,0))</f>
        <v/>
      </c>
      <c r="R78">
        <f>IF($A78="","",IF(AND($B78&gt;0,E78&lt;$B78,DATE($B$1,3,1)&lt;=TODAY(),OR($O78="",$O78&gt;=DATE($B$1,3,1)),OR(COUNTIF($C78:E78,"&gt;0")&gt;0,DATE($B$1,3,1)=DATE(YEAR(TODAY()),MONTH(TODAY()),1))),1,0))</f>
        <v/>
      </c>
      <c r="S78">
        <f>IF($A78="","",IF(AND($B78&gt;0,F78&lt;$B78,DATE($B$1,4,1)&lt;=TODAY(),OR($O78="",$O78&gt;=DATE($B$1,4,1)),OR(COUNTIF($C78:F78,"&gt;0")&gt;0,DATE($B$1,4,1)=DATE(YEAR(TODAY()),MONTH(TODAY()),1))),1,0))</f>
        <v/>
      </c>
      <c r="T78">
        <f>IF($A78="","",IF(AND($B78&gt;0,G78&lt;$B78,DATE($B$1,5,1)&lt;=TODAY(),OR($O78="",$O78&gt;=DATE($B$1,5,1)),OR(COUNTIF($C78:G78,"&gt;0")&gt;0,DATE($B$1,5,1)=DATE(YEAR(TODAY()),MONTH(TODAY()),1))),1,0))</f>
        <v/>
      </c>
      <c r="U78">
        <f>IF($A78="","",IF(AND($B78&gt;0,H78&lt;$B78,DATE($B$1,6,1)&lt;=TODAY(),OR($O78="",$O78&gt;=DATE($B$1,6,1)),OR(COUNTIF($C78:H78,"&gt;0")&gt;0,DATE($B$1,6,1)=DATE(YEAR(TODAY()),MONTH(TODAY()),1))),1,0))</f>
        <v/>
      </c>
      <c r="V78">
        <f>IF($A78="","",IF(AND($B78&gt;0,I78&lt;$B78,DATE($B$1,7,1)&lt;=TODAY(),OR($O78="",$O78&gt;=DATE($B$1,7,1)),OR(COUNTIF($C78:I78,"&gt;0")&gt;0,DATE($B$1,7,1)=DATE(YEAR(TODAY()),MONTH(TODAY()),1))),1,0))</f>
        <v/>
      </c>
      <c r="W78">
        <f>IF($A78="","",IF(AND($B78&gt;0,J78&lt;$B78,DATE($B$1,8,1)&lt;=TODAY(),OR($O78="",$O78&gt;=DATE($B$1,8,1)),OR(COUNTIF($C78:J78,"&gt;0")&gt;0,DATE($B$1,8,1)=DATE(YEAR(TODAY()),MONTH(TODAY()),1))),1,0))</f>
        <v/>
      </c>
      <c r="X78">
        <f>IF($A78="","",IF(AND($B78&gt;0,K78&lt;$B78,DATE($B$1,9,1)&lt;=TODAY(),OR($O78="",$O78&gt;=DATE($B$1,9,1)),OR(COUNTIF($C78:K78,"&gt;0")&gt;0,DATE($B$1,9,1)=DATE(YEAR(TODAY()),MONTH(TODAY()),1))),1,0))</f>
        <v/>
      </c>
      <c r="Y78">
        <f>IF($A78="","",IF(AND($B78&gt;0,L78&lt;$B78,DATE($B$1,10,1)&lt;=TODAY(),OR($O78="",$O78&gt;=DATE($B$1,10,1)),OR(COUNTIF($C78:L78,"&gt;0")&gt;0,DATE($B$1,10,1)=DATE(YEAR(TODAY()),MONTH(TODAY()),1))),1,0))</f>
        <v/>
      </c>
      <c r="Z78">
        <f>IF($A78="","",IF(AND($B78&gt;0,M78&lt;$B78,DATE($B$1,11,1)&lt;=TODAY(),OR($O78="",$O78&gt;=DATE($B$1,11,1)),OR(COUNTIF($C78:M78,"&gt;0")&gt;0,DATE($B$1,11,1)=DATE(YEAR(TODAY()),MONTH(TODAY()),1))),1,0))</f>
        <v/>
      </c>
      <c r="AA78">
        <f>IF($A78="","",IF(AND($B78&gt;0,N78&lt;$B78,DATE($B$1,12,1)&lt;=TODAY(),OR($O78="",$O78&gt;=DATE($B$1,12,1)),OR(COUNTIF($C78:N78,"&gt;0")&gt;0,DATE($B$1,12,1)=DATE(YEAR(TODAY()),MONTH(TODAY()),1))),1,0))</f>
        <v/>
      </c>
    </row>
    <row r="79">
      <c r="A79" s="13">
        <f>IF(원생!$A77="","",원생!$A77&amp;IF(원생!$G77="",""," ("&amp;원생!$G77&amp;")"))</f>
        <v/>
      </c>
      <c r="B79" s="8">
        <f>IF(원생!$A77="","",N(원생!$F77))</f>
        <v/>
      </c>
      <c r="C79" s="14">
        <f>IF(원생!$A77="","",SUMIFS(계산!$C:$C,계산!$A:$A,계산!$E77,계산!$B:$B,$B$1*100+1))</f>
        <v/>
      </c>
      <c r="D79" s="14">
        <f>IF(원생!$A77="","",SUMIFS(계산!$C:$C,계산!$A:$A,계산!$E77,계산!$B:$B,$B$1*100+2))</f>
        <v/>
      </c>
      <c r="E79" s="14">
        <f>IF(원생!$A77="","",SUMIFS(계산!$C:$C,계산!$A:$A,계산!$E77,계산!$B:$B,$B$1*100+3))</f>
        <v/>
      </c>
      <c r="F79" s="14">
        <f>IF(원생!$A77="","",SUMIFS(계산!$C:$C,계산!$A:$A,계산!$E77,계산!$B:$B,$B$1*100+4))</f>
        <v/>
      </c>
      <c r="G79" s="14">
        <f>IF(원생!$A77="","",SUMIFS(계산!$C:$C,계산!$A:$A,계산!$E77,계산!$B:$B,$B$1*100+5))</f>
        <v/>
      </c>
      <c r="H79" s="14">
        <f>IF(원생!$A77="","",SUMIFS(계산!$C:$C,계산!$A:$A,계산!$E77,계산!$B:$B,$B$1*100+6))</f>
        <v/>
      </c>
      <c r="I79" s="14">
        <f>IF(원생!$A77="","",SUMIFS(계산!$C:$C,계산!$A:$A,계산!$E77,계산!$B:$B,$B$1*100+7))</f>
        <v/>
      </c>
      <c r="J79" s="14">
        <f>IF(원생!$A77="","",SUMIFS(계산!$C:$C,계산!$A:$A,계산!$E77,계산!$B:$B,$B$1*100+8))</f>
        <v/>
      </c>
      <c r="K79" s="14">
        <f>IF(원생!$A77="","",SUMIFS(계산!$C:$C,계산!$A:$A,계산!$E77,계산!$B:$B,$B$1*100+9))</f>
        <v/>
      </c>
      <c r="L79" s="14">
        <f>IF(원생!$A77="","",SUMIFS(계산!$C:$C,계산!$A:$A,계산!$E77,계산!$B:$B,$B$1*100+10))</f>
        <v/>
      </c>
      <c r="M79" s="14">
        <f>IF(원생!$A77="","",SUMIFS(계산!$C:$C,계산!$A:$A,계산!$E77,계산!$B:$B,$B$1*100+11))</f>
        <v/>
      </c>
      <c r="N79" s="14">
        <f>IF(원생!$A77="","",SUMIFS(계산!$C:$C,계산!$A:$A,계산!$E77,계산!$B:$B,$B$1*100+12))</f>
        <v/>
      </c>
      <c r="O79">
        <f>IF(원생!$I77="","",원생!$I77)</f>
        <v/>
      </c>
      <c r="P79">
        <f>IF($A79="","",IF(AND($B79&gt;0,C79&lt;$B79,DATE($B$1,1,1)&lt;=TODAY(),OR($O79="",$O79&gt;=DATE($B$1,1,1)),OR(COUNTIF($C79:C79,"&gt;0")&gt;0,DATE($B$1,1,1)=DATE(YEAR(TODAY()),MONTH(TODAY()),1))),1,0))</f>
        <v/>
      </c>
      <c r="Q79">
        <f>IF($A79="","",IF(AND($B79&gt;0,D79&lt;$B79,DATE($B$1,2,1)&lt;=TODAY(),OR($O79="",$O79&gt;=DATE($B$1,2,1)),OR(COUNTIF($C79:D79,"&gt;0")&gt;0,DATE($B$1,2,1)=DATE(YEAR(TODAY()),MONTH(TODAY()),1))),1,0))</f>
        <v/>
      </c>
      <c r="R79">
        <f>IF($A79="","",IF(AND($B79&gt;0,E79&lt;$B79,DATE($B$1,3,1)&lt;=TODAY(),OR($O79="",$O79&gt;=DATE($B$1,3,1)),OR(COUNTIF($C79:E79,"&gt;0")&gt;0,DATE($B$1,3,1)=DATE(YEAR(TODAY()),MONTH(TODAY()),1))),1,0))</f>
        <v/>
      </c>
      <c r="S79">
        <f>IF($A79="","",IF(AND($B79&gt;0,F79&lt;$B79,DATE($B$1,4,1)&lt;=TODAY(),OR($O79="",$O79&gt;=DATE($B$1,4,1)),OR(COUNTIF($C79:F79,"&gt;0")&gt;0,DATE($B$1,4,1)=DATE(YEAR(TODAY()),MONTH(TODAY()),1))),1,0))</f>
        <v/>
      </c>
      <c r="T79">
        <f>IF($A79="","",IF(AND($B79&gt;0,G79&lt;$B79,DATE($B$1,5,1)&lt;=TODAY(),OR($O79="",$O79&gt;=DATE($B$1,5,1)),OR(COUNTIF($C79:G79,"&gt;0")&gt;0,DATE($B$1,5,1)=DATE(YEAR(TODAY()),MONTH(TODAY()),1))),1,0))</f>
        <v/>
      </c>
      <c r="U79">
        <f>IF($A79="","",IF(AND($B79&gt;0,H79&lt;$B79,DATE($B$1,6,1)&lt;=TODAY(),OR($O79="",$O79&gt;=DATE($B$1,6,1)),OR(COUNTIF($C79:H79,"&gt;0")&gt;0,DATE($B$1,6,1)=DATE(YEAR(TODAY()),MONTH(TODAY()),1))),1,0))</f>
        <v/>
      </c>
      <c r="V79">
        <f>IF($A79="","",IF(AND($B79&gt;0,I79&lt;$B79,DATE($B$1,7,1)&lt;=TODAY(),OR($O79="",$O79&gt;=DATE($B$1,7,1)),OR(COUNTIF($C79:I79,"&gt;0")&gt;0,DATE($B$1,7,1)=DATE(YEAR(TODAY()),MONTH(TODAY()),1))),1,0))</f>
        <v/>
      </c>
      <c r="W79">
        <f>IF($A79="","",IF(AND($B79&gt;0,J79&lt;$B79,DATE($B$1,8,1)&lt;=TODAY(),OR($O79="",$O79&gt;=DATE($B$1,8,1)),OR(COUNTIF($C79:J79,"&gt;0")&gt;0,DATE($B$1,8,1)=DATE(YEAR(TODAY()),MONTH(TODAY()),1))),1,0))</f>
        <v/>
      </c>
      <c r="X79">
        <f>IF($A79="","",IF(AND($B79&gt;0,K79&lt;$B79,DATE($B$1,9,1)&lt;=TODAY(),OR($O79="",$O79&gt;=DATE($B$1,9,1)),OR(COUNTIF($C79:K79,"&gt;0")&gt;0,DATE($B$1,9,1)=DATE(YEAR(TODAY()),MONTH(TODAY()),1))),1,0))</f>
        <v/>
      </c>
      <c r="Y79">
        <f>IF($A79="","",IF(AND($B79&gt;0,L79&lt;$B79,DATE($B$1,10,1)&lt;=TODAY(),OR($O79="",$O79&gt;=DATE($B$1,10,1)),OR(COUNTIF($C79:L79,"&gt;0")&gt;0,DATE($B$1,10,1)=DATE(YEAR(TODAY()),MONTH(TODAY()),1))),1,0))</f>
        <v/>
      </c>
      <c r="Z79">
        <f>IF($A79="","",IF(AND($B79&gt;0,M79&lt;$B79,DATE($B$1,11,1)&lt;=TODAY(),OR($O79="",$O79&gt;=DATE($B$1,11,1)),OR(COUNTIF($C79:M79,"&gt;0")&gt;0,DATE($B$1,11,1)=DATE(YEAR(TODAY()),MONTH(TODAY()),1))),1,0))</f>
        <v/>
      </c>
      <c r="AA79">
        <f>IF($A79="","",IF(AND($B79&gt;0,N79&lt;$B79,DATE($B$1,12,1)&lt;=TODAY(),OR($O79="",$O79&gt;=DATE($B$1,12,1)),OR(COUNTIF($C79:N79,"&gt;0")&gt;0,DATE($B$1,12,1)=DATE(YEAR(TODAY()),MONTH(TODAY()),1))),1,0))</f>
        <v/>
      </c>
    </row>
    <row r="80">
      <c r="A80" s="13">
        <f>IF(원생!$A78="","",원생!$A78&amp;IF(원생!$G78="",""," ("&amp;원생!$G78&amp;")"))</f>
        <v/>
      </c>
      <c r="B80" s="8">
        <f>IF(원생!$A78="","",N(원생!$F78))</f>
        <v/>
      </c>
      <c r="C80" s="14">
        <f>IF(원생!$A78="","",SUMIFS(계산!$C:$C,계산!$A:$A,계산!$E78,계산!$B:$B,$B$1*100+1))</f>
        <v/>
      </c>
      <c r="D80" s="14">
        <f>IF(원생!$A78="","",SUMIFS(계산!$C:$C,계산!$A:$A,계산!$E78,계산!$B:$B,$B$1*100+2))</f>
        <v/>
      </c>
      <c r="E80" s="14">
        <f>IF(원생!$A78="","",SUMIFS(계산!$C:$C,계산!$A:$A,계산!$E78,계산!$B:$B,$B$1*100+3))</f>
        <v/>
      </c>
      <c r="F80" s="14">
        <f>IF(원생!$A78="","",SUMIFS(계산!$C:$C,계산!$A:$A,계산!$E78,계산!$B:$B,$B$1*100+4))</f>
        <v/>
      </c>
      <c r="G80" s="14">
        <f>IF(원생!$A78="","",SUMIFS(계산!$C:$C,계산!$A:$A,계산!$E78,계산!$B:$B,$B$1*100+5))</f>
        <v/>
      </c>
      <c r="H80" s="14">
        <f>IF(원생!$A78="","",SUMIFS(계산!$C:$C,계산!$A:$A,계산!$E78,계산!$B:$B,$B$1*100+6))</f>
        <v/>
      </c>
      <c r="I80" s="14">
        <f>IF(원생!$A78="","",SUMIFS(계산!$C:$C,계산!$A:$A,계산!$E78,계산!$B:$B,$B$1*100+7))</f>
        <v/>
      </c>
      <c r="J80" s="14">
        <f>IF(원생!$A78="","",SUMIFS(계산!$C:$C,계산!$A:$A,계산!$E78,계산!$B:$B,$B$1*100+8))</f>
        <v/>
      </c>
      <c r="K80" s="14">
        <f>IF(원생!$A78="","",SUMIFS(계산!$C:$C,계산!$A:$A,계산!$E78,계산!$B:$B,$B$1*100+9))</f>
        <v/>
      </c>
      <c r="L80" s="14">
        <f>IF(원생!$A78="","",SUMIFS(계산!$C:$C,계산!$A:$A,계산!$E78,계산!$B:$B,$B$1*100+10))</f>
        <v/>
      </c>
      <c r="M80" s="14">
        <f>IF(원생!$A78="","",SUMIFS(계산!$C:$C,계산!$A:$A,계산!$E78,계산!$B:$B,$B$1*100+11))</f>
        <v/>
      </c>
      <c r="N80" s="14">
        <f>IF(원생!$A78="","",SUMIFS(계산!$C:$C,계산!$A:$A,계산!$E78,계산!$B:$B,$B$1*100+12))</f>
        <v/>
      </c>
      <c r="O80">
        <f>IF(원생!$I78="","",원생!$I78)</f>
        <v/>
      </c>
      <c r="P80">
        <f>IF($A80="","",IF(AND($B80&gt;0,C80&lt;$B80,DATE($B$1,1,1)&lt;=TODAY(),OR($O80="",$O80&gt;=DATE($B$1,1,1)),OR(COUNTIF($C80:C80,"&gt;0")&gt;0,DATE($B$1,1,1)=DATE(YEAR(TODAY()),MONTH(TODAY()),1))),1,0))</f>
        <v/>
      </c>
      <c r="Q80">
        <f>IF($A80="","",IF(AND($B80&gt;0,D80&lt;$B80,DATE($B$1,2,1)&lt;=TODAY(),OR($O80="",$O80&gt;=DATE($B$1,2,1)),OR(COUNTIF($C80:D80,"&gt;0")&gt;0,DATE($B$1,2,1)=DATE(YEAR(TODAY()),MONTH(TODAY()),1))),1,0))</f>
        <v/>
      </c>
      <c r="R80">
        <f>IF($A80="","",IF(AND($B80&gt;0,E80&lt;$B80,DATE($B$1,3,1)&lt;=TODAY(),OR($O80="",$O80&gt;=DATE($B$1,3,1)),OR(COUNTIF($C80:E80,"&gt;0")&gt;0,DATE($B$1,3,1)=DATE(YEAR(TODAY()),MONTH(TODAY()),1))),1,0))</f>
        <v/>
      </c>
      <c r="S80">
        <f>IF($A80="","",IF(AND($B80&gt;0,F80&lt;$B80,DATE($B$1,4,1)&lt;=TODAY(),OR($O80="",$O80&gt;=DATE($B$1,4,1)),OR(COUNTIF($C80:F80,"&gt;0")&gt;0,DATE($B$1,4,1)=DATE(YEAR(TODAY()),MONTH(TODAY()),1))),1,0))</f>
        <v/>
      </c>
      <c r="T80">
        <f>IF($A80="","",IF(AND($B80&gt;0,G80&lt;$B80,DATE($B$1,5,1)&lt;=TODAY(),OR($O80="",$O80&gt;=DATE($B$1,5,1)),OR(COUNTIF($C80:G80,"&gt;0")&gt;0,DATE($B$1,5,1)=DATE(YEAR(TODAY()),MONTH(TODAY()),1))),1,0))</f>
        <v/>
      </c>
      <c r="U80">
        <f>IF($A80="","",IF(AND($B80&gt;0,H80&lt;$B80,DATE($B$1,6,1)&lt;=TODAY(),OR($O80="",$O80&gt;=DATE($B$1,6,1)),OR(COUNTIF($C80:H80,"&gt;0")&gt;0,DATE($B$1,6,1)=DATE(YEAR(TODAY()),MONTH(TODAY()),1))),1,0))</f>
        <v/>
      </c>
      <c r="V80">
        <f>IF($A80="","",IF(AND($B80&gt;0,I80&lt;$B80,DATE($B$1,7,1)&lt;=TODAY(),OR($O80="",$O80&gt;=DATE($B$1,7,1)),OR(COUNTIF($C80:I80,"&gt;0")&gt;0,DATE($B$1,7,1)=DATE(YEAR(TODAY()),MONTH(TODAY()),1))),1,0))</f>
        <v/>
      </c>
      <c r="W80">
        <f>IF($A80="","",IF(AND($B80&gt;0,J80&lt;$B80,DATE($B$1,8,1)&lt;=TODAY(),OR($O80="",$O80&gt;=DATE($B$1,8,1)),OR(COUNTIF($C80:J80,"&gt;0")&gt;0,DATE($B$1,8,1)=DATE(YEAR(TODAY()),MONTH(TODAY()),1))),1,0))</f>
        <v/>
      </c>
      <c r="X80">
        <f>IF($A80="","",IF(AND($B80&gt;0,K80&lt;$B80,DATE($B$1,9,1)&lt;=TODAY(),OR($O80="",$O80&gt;=DATE($B$1,9,1)),OR(COUNTIF($C80:K80,"&gt;0")&gt;0,DATE($B$1,9,1)=DATE(YEAR(TODAY()),MONTH(TODAY()),1))),1,0))</f>
        <v/>
      </c>
      <c r="Y80">
        <f>IF($A80="","",IF(AND($B80&gt;0,L80&lt;$B80,DATE($B$1,10,1)&lt;=TODAY(),OR($O80="",$O80&gt;=DATE($B$1,10,1)),OR(COUNTIF($C80:L80,"&gt;0")&gt;0,DATE($B$1,10,1)=DATE(YEAR(TODAY()),MONTH(TODAY()),1))),1,0))</f>
        <v/>
      </c>
      <c r="Z80">
        <f>IF($A80="","",IF(AND($B80&gt;0,M80&lt;$B80,DATE($B$1,11,1)&lt;=TODAY(),OR($O80="",$O80&gt;=DATE($B$1,11,1)),OR(COUNTIF($C80:M80,"&gt;0")&gt;0,DATE($B$1,11,1)=DATE(YEAR(TODAY()),MONTH(TODAY()),1))),1,0))</f>
        <v/>
      </c>
      <c r="AA80">
        <f>IF($A80="","",IF(AND($B80&gt;0,N80&lt;$B80,DATE($B$1,12,1)&lt;=TODAY(),OR($O80="",$O80&gt;=DATE($B$1,12,1)),OR(COUNTIF($C80:N80,"&gt;0")&gt;0,DATE($B$1,12,1)=DATE(YEAR(TODAY()),MONTH(TODAY()),1))),1,0))</f>
        <v/>
      </c>
    </row>
    <row r="81">
      <c r="A81" s="13">
        <f>IF(원생!$A79="","",원생!$A79&amp;IF(원생!$G79="",""," ("&amp;원생!$G79&amp;")"))</f>
        <v/>
      </c>
      <c r="B81" s="8">
        <f>IF(원생!$A79="","",N(원생!$F79))</f>
        <v/>
      </c>
      <c r="C81" s="14">
        <f>IF(원생!$A79="","",SUMIFS(계산!$C:$C,계산!$A:$A,계산!$E79,계산!$B:$B,$B$1*100+1))</f>
        <v/>
      </c>
      <c r="D81" s="14">
        <f>IF(원생!$A79="","",SUMIFS(계산!$C:$C,계산!$A:$A,계산!$E79,계산!$B:$B,$B$1*100+2))</f>
        <v/>
      </c>
      <c r="E81" s="14">
        <f>IF(원생!$A79="","",SUMIFS(계산!$C:$C,계산!$A:$A,계산!$E79,계산!$B:$B,$B$1*100+3))</f>
        <v/>
      </c>
      <c r="F81" s="14">
        <f>IF(원생!$A79="","",SUMIFS(계산!$C:$C,계산!$A:$A,계산!$E79,계산!$B:$B,$B$1*100+4))</f>
        <v/>
      </c>
      <c r="G81" s="14">
        <f>IF(원생!$A79="","",SUMIFS(계산!$C:$C,계산!$A:$A,계산!$E79,계산!$B:$B,$B$1*100+5))</f>
        <v/>
      </c>
      <c r="H81" s="14">
        <f>IF(원생!$A79="","",SUMIFS(계산!$C:$C,계산!$A:$A,계산!$E79,계산!$B:$B,$B$1*100+6))</f>
        <v/>
      </c>
      <c r="I81" s="14">
        <f>IF(원생!$A79="","",SUMIFS(계산!$C:$C,계산!$A:$A,계산!$E79,계산!$B:$B,$B$1*100+7))</f>
        <v/>
      </c>
      <c r="J81" s="14">
        <f>IF(원생!$A79="","",SUMIFS(계산!$C:$C,계산!$A:$A,계산!$E79,계산!$B:$B,$B$1*100+8))</f>
        <v/>
      </c>
      <c r="K81" s="14">
        <f>IF(원생!$A79="","",SUMIFS(계산!$C:$C,계산!$A:$A,계산!$E79,계산!$B:$B,$B$1*100+9))</f>
        <v/>
      </c>
      <c r="L81" s="14">
        <f>IF(원생!$A79="","",SUMIFS(계산!$C:$C,계산!$A:$A,계산!$E79,계산!$B:$B,$B$1*100+10))</f>
        <v/>
      </c>
      <c r="M81" s="14">
        <f>IF(원생!$A79="","",SUMIFS(계산!$C:$C,계산!$A:$A,계산!$E79,계산!$B:$B,$B$1*100+11))</f>
        <v/>
      </c>
      <c r="N81" s="14">
        <f>IF(원생!$A79="","",SUMIFS(계산!$C:$C,계산!$A:$A,계산!$E79,계산!$B:$B,$B$1*100+12))</f>
        <v/>
      </c>
      <c r="O81">
        <f>IF(원생!$I79="","",원생!$I79)</f>
        <v/>
      </c>
      <c r="P81">
        <f>IF($A81="","",IF(AND($B81&gt;0,C81&lt;$B81,DATE($B$1,1,1)&lt;=TODAY(),OR($O81="",$O81&gt;=DATE($B$1,1,1)),OR(COUNTIF($C81:C81,"&gt;0")&gt;0,DATE($B$1,1,1)=DATE(YEAR(TODAY()),MONTH(TODAY()),1))),1,0))</f>
        <v/>
      </c>
      <c r="Q81">
        <f>IF($A81="","",IF(AND($B81&gt;0,D81&lt;$B81,DATE($B$1,2,1)&lt;=TODAY(),OR($O81="",$O81&gt;=DATE($B$1,2,1)),OR(COUNTIF($C81:D81,"&gt;0")&gt;0,DATE($B$1,2,1)=DATE(YEAR(TODAY()),MONTH(TODAY()),1))),1,0))</f>
        <v/>
      </c>
      <c r="R81">
        <f>IF($A81="","",IF(AND($B81&gt;0,E81&lt;$B81,DATE($B$1,3,1)&lt;=TODAY(),OR($O81="",$O81&gt;=DATE($B$1,3,1)),OR(COUNTIF($C81:E81,"&gt;0")&gt;0,DATE($B$1,3,1)=DATE(YEAR(TODAY()),MONTH(TODAY()),1))),1,0))</f>
        <v/>
      </c>
      <c r="S81">
        <f>IF($A81="","",IF(AND($B81&gt;0,F81&lt;$B81,DATE($B$1,4,1)&lt;=TODAY(),OR($O81="",$O81&gt;=DATE($B$1,4,1)),OR(COUNTIF($C81:F81,"&gt;0")&gt;0,DATE($B$1,4,1)=DATE(YEAR(TODAY()),MONTH(TODAY()),1))),1,0))</f>
        <v/>
      </c>
      <c r="T81">
        <f>IF($A81="","",IF(AND($B81&gt;0,G81&lt;$B81,DATE($B$1,5,1)&lt;=TODAY(),OR($O81="",$O81&gt;=DATE($B$1,5,1)),OR(COUNTIF($C81:G81,"&gt;0")&gt;0,DATE($B$1,5,1)=DATE(YEAR(TODAY()),MONTH(TODAY()),1))),1,0))</f>
        <v/>
      </c>
      <c r="U81">
        <f>IF($A81="","",IF(AND($B81&gt;0,H81&lt;$B81,DATE($B$1,6,1)&lt;=TODAY(),OR($O81="",$O81&gt;=DATE($B$1,6,1)),OR(COUNTIF($C81:H81,"&gt;0")&gt;0,DATE($B$1,6,1)=DATE(YEAR(TODAY()),MONTH(TODAY()),1))),1,0))</f>
        <v/>
      </c>
      <c r="V81">
        <f>IF($A81="","",IF(AND($B81&gt;0,I81&lt;$B81,DATE($B$1,7,1)&lt;=TODAY(),OR($O81="",$O81&gt;=DATE($B$1,7,1)),OR(COUNTIF($C81:I81,"&gt;0")&gt;0,DATE($B$1,7,1)=DATE(YEAR(TODAY()),MONTH(TODAY()),1))),1,0))</f>
        <v/>
      </c>
      <c r="W81">
        <f>IF($A81="","",IF(AND($B81&gt;0,J81&lt;$B81,DATE($B$1,8,1)&lt;=TODAY(),OR($O81="",$O81&gt;=DATE($B$1,8,1)),OR(COUNTIF($C81:J81,"&gt;0")&gt;0,DATE($B$1,8,1)=DATE(YEAR(TODAY()),MONTH(TODAY()),1))),1,0))</f>
        <v/>
      </c>
      <c r="X81">
        <f>IF($A81="","",IF(AND($B81&gt;0,K81&lt;$B81,DATE($B$1,9,1)&lt;=TODAY(),OR($O81="",$O81&gt;=DATE($B$1,9,1)),OR(COUNTIF($C81:K81,"&gt;0")&gt;0,DATE($B$1,9,1)=DATE(YEAR(TODAY()),MONTH(TODAY()),1))),1,0))</f>
        <v/>
      </c>
      <c r="Y81">
        <f>IF($A81="","",IF(AND($B81&gt;0,L81&lt;$B81,DATE($B$1,10,1)&lt;=TODAY(),OR($O81="",$O81&gt;=DATE($B$1,10,1)),OR(COUNTIF($C81:L81,"&gt;0")&gt;0,DATE($B$1,10,1)=DATE(YEAR(TODAY()),MONTH(TODAY()),1))),1,0))</f>
        <v/>
      </c>
      <c r="Z81">
        <f>IF($A81="","",IF(AND($B81&gt;0,M81&lt;$B81,DATE($B$1,11,1)&lt;=TODAY(),OR($O81="",$O81&gt;=DATE($B$1,11,1)),OR(COUNTIF($C81:M81,"&gt;0")&gt;0,DATE($B$1,11,1)=DATE(YEAR(TODAY()),MONTH(TODAY()),1))),1,0))</f>
        <v/>
      </c>
      <c r="AA81">
        <f>IF($A81="","",IF(AND($B81&gt;0,N81&lt;$B81,DATE($B$1,12,1)&lt;=TODAY(),OR($O81="",$O81&gt;=DATE($B$1,12,1)),OR(COUNTIF($C81:N81,"&gt;0")&gt;0,DATE($B$1,12,1)=DATE(YEAR(TODAY()),MONTH(TODAY()),1))),1,0))</f>
        <v/>
      </c>
    </row>
    <row r="82">
      <c r="A82" s="13">
        <f>IF(원생!$A80="","",원생!$A80&amp;IF(원생!$G80="",""," ("&amp;원생!$G80&amp;")"))</f>
        <v/>
      </c>
      <c r="B82" s="8">
        <f>IF(원생!$A80="","",N(원생!$F80))</f>
        <v/>
      </c>
      <c r="C82" s="14">
        <f>IF(원생!$A80="","",SUMIFS(계산!$C:$C,계산!$A:$A,계산!$E80,계산!$B:$B,$B$1*100+1))</f>
        <v/>
      </c>
      <c r="D82" s="14">
        <f>IF(원생!$A80="","",SUMIFS(계산!$C:$C,계산!$A:$A,계산!$E80,계산!$B:$B,$B$1*100+2))</f>
        <v/>
      </c>
      <c r="E82" s="14">
        <f>IF(원생!$A80="","",SUMIFS(계산!$C:$C,계산!$A:$A,계산!$E80,계산!$B:$B,$B$1*100+3))</f>
        <v/>
      </c>
      <c r="F82" s="14">
        <f>IF(원생!$A80="","",SUMIFS(계산!$C:$C,계산!$A:$A,계산!$E80,계산!$B:$B,$B$1*100+4))</f>
        <v/>
      </c>
      <c r="G82" s="14">
        <f>IF(원생!$A80="","",SUMIFS(계산!$C:$C,계산!$A:$A,계산!$E80,계산!$B:$B,$B$1*100+5))</f>
        <v/>
      </c>
      <c r="H82" s="14">
        <f>IF(원생!$A80="","",SUMIFS(계산!$C:$C,계산!$A:$A,계산!$E80,계산!$B:$B,$B$1*100+6))</f>
        <v/>
      </c>
      <c r="I82" s="14">
        <f>IF(원생!$A80="","",SUMIFS(계산!$C:$C,계산!$A:$A,계산!$E80,계산!$B:$B,$B$1*100+7))</f>
        <v/>
      </c>
      <c r="J82" s="14">
        <f>IF(원생!$A80="","",SUMIFS(계산!$C:$C,계산!$A:$A,계산!$E80,계산!$B:$B,$B$1*100+8))</f>
        <v/>
      </c>
      <c r="K82" s="14">
        <f>IF(원생!$A80="","",SUMIFS(계산!$C:$C,계산!$A:$A,계산!$E80,계산!$B:$B,$B$1*100+9))</f>
        <v/>
      </c>
      <c r="L82" s="14">
        <f>IF(원생!$A80="","",SUMIFS(계산!$C:$C,계산!$A:$A,계산!$E80,계산!$B:$B,$B$1*100+10))</f>
        <v/>
      </c>
      <c r="M82" s="14">
        <f>IF(원생!$A80="","",SUMIFS(계산!$C:$C,계산!$A:$A,계산!$E80,계산!$B:$B,$B$1*100+11))</f>
        <v/>
      </c>
      <c r="N82" s="14">
        <f>IF(원생!$A80="","",SUMIFS(계산!$C:$C,계산!$A:$A,계산!$E80,계산!$B:$B,$B$1*100+12))</f>
        <v/>
      </c>
      <c r="O82">
        <f>IF(원생!$I80="","",원생!$I80)</f>
        <v/>
      </c>
      <c r="P82">
        <f>IF($A82="","",IF(AND($B82&gt;0,C82&lt;$B82,DATE($B$1,1,1)&lt;=TODAY(),OR($O82="",$O82&gt;=DATE($B$1,1,1)),OR(COUNTIF($C82:C82,"&gt;0")&gt;0,DATE($B$1,1,1)=DATE(YEAR(TODAY()),MONTH(TODAY()),1))),1,0))</f>
        <v/>
      </c>
      <c r="Q82">
        <f>IF($A82="","",IF(AND($B82&gt;0,D82&lt;$B82,DATE($B$1,2,1)&lt;=TODAY(),OR($O82="",$O82&gt;=DATE($B$1,2,1)),OR(COUNTIF($C82:D82,"&gt;0")&gt;0,DATE($B$1,2,1)=DATE(YEAR(TODAY()),MONTH(TODAY()),1))),1,0))</f>
        <v/>
      </c>
      <c r="R82">
        <f>IF($A82="","",IF(AND($B82&gt;0,E82&lt;$B82,DATE($B$1,3,1)&lt;=TODAY(),OR($O82="",$O82&gt;=DATE($B$1,3,1)),OR(COUNTIF($C82:E82,"&gt;0")&gt;0,DATE($B$1,3,1)=DATE(YEAR(TODAY()),MONTH(TODAY()),1))),1,0))</f>
        <v/>
      </c>
      <c r="S82">
        <f>IF($A82="","",IF(AND($B82&gt;0,F82&lt;$B82,DATE($B$1,4,1)&lt;=TODAY(),OR($O82="",$O82&gt;=DATE($B$1,4,1)),OR(COUNTIF($C82:F82,"&gt;0")&gt;0,DATE($B$1,4,1)=DATE(YEAR(TODAY()),MONTH(TODAY()),1))),1,0))</f>
        <v/>
      </c>
      <c r="T82">
        <f>IF($A82="","",IF(AND($B82&gt;0,G82&lt;$B82,DATE($B$1,5,1)&lt;=TODAY(),OR($O82="",$O82&gt;=DATE($B$1,5,1)),OR(COUNTIF($C82:G82,"&gt;0")&gt;0,DATE($B$1,5,1)=DATE(YEAR(TODAY()),MONTH(TODAY()),1))),1,0))</f>
        <v/>
      </c>
      <c r="U82">
        <f>IF($A82="","",IF(AND($B82&gt;0,H82&lt;$B82,DATE($B$1,6,1)&lt;=TODAY(),OR($O82="",$O82&gt;=DATE($B$1,6,1)),OR(COUNTIF($C82:H82,"&gt;0")&gt;0,DATE($B$1,6,1)=DATE(YEAR(TODAY()),MONTH(TODAY()),1))),1,0))</f>
        <v/>
      </c>
      <c r="V82">
        <f>IF($A82="","",IF(AND($B82&gt;0,I82&lt;$B82,DATE($B$1,7,1)&lt;=TODAY(),OR($O82="",$O82&gt;=DATE($B$1,7,1)),OR(COUNTIF($C82:I82,"&gt;0")&gt;0,DATE($B$1,7,1)=DATE(YEAR(TODAY()),MONTH(TODAY()),1))),1,0))</f>
        <v/>
      </c>
      <c r="W82">
        <f>IF($A82="","",IF(AND($B82&gt;0,J82&lt;$B82,DATE($B$1,8,1)&lt;=TODAY(),OR($O82="",$O82&gt;=DATE($B$1,8,1)),OR(COUNTIF($C82:J82,"&gt;0")&gt;0,DATE($B$1,8,1)=DATE(YEAR(TODAY()),MONTH(TODAY()),1))),1,0))</f>
        <v/>
      </c>
      <c r="X82">
        <f>IF($A82="","",IF(AND($B82&gt;0,K82&lt;$B82,DATE($B$1,9,1)&lt;=TODAY(),OR($O82="",$O82&gt;=DATE($B$1,9,1)),OR(COUNTIF($C82:K82,"&gt;0")&gt;0,DATE($B$1,9,1)=DATE(YEAR(TODAY()),MONTH(TODAY()),1))),1,0))</f>
        <v/>
      </c>
      <c r="Y82">
        <f>IF($A82="","",IF(AND($B82&gt;0,L82&lt;$B82,DATE($B$1,10,1)&lt;=TODAY(),OR($O82="",$O82&gt;=DATE($B$1,10,1)),OR(COUNTIF($C82:L82,"&gt;0")&gt;0,DATE($B$1,10,1)=DATE(YEAR(TODAY()),MONTH(TODAY()),1))),1,0))</f>
        <v/>
      </c>
      <c r="Z82">
        <f>IF($A82="","",IF(AND($B82&gt;0,M82&lt;$B82,DATE($B$1,11,1)&lt;=TODAY(),OR($O82="",$O82&gt;=DATE($B$1,11,1)),OR(COUNTIF($C82:M82,"&gt;0")&gt;0,DATE($B$1,11,1)=DATE(YEAR(TODAY()),MONTH(TODAY()),1))),1,0))</f>
        <v/>
      </c>
      <c r="AA82">
        <f>IF($A82="","",IF(AND($B82&gt;0,N82&lt;$B82,DATE($B$1,12,1)&lt;=TODAY(),OR($O82="",$O82&gt;=DATE($B$1,12,1)),OR(COUNTIF($C82:N82,"&gt;0")&gt;0,DATE($B$1,12,1)=DATE(YEAR(TODAY()),MONTH(TODAY()),1))),1,0))</f>
        <v/>
      </c>
    </row>
    <row r="83">
      <c r="A83" s="13">
        <f>IF(원생!$A81="","",원생!$A81&amp;IF(원생!$G81="",""," ("&amp;원생!$G81&amp;")"))</f>
        <v/>
      </c>
      <c r="B83" s="8">
        <f>IF(원생!$A81="","",N(원생!$F81))</f>
        <v/>
      </c>
      <c r="C83" s="14">
        <f>IF(원생!$A81="","",SUMIFS(계산!$C:$C,계산!$A:$A,계산!$E81,계산!$B:$B,$B$1*100+1))</f>
        <v/>
      </c>
      <c r="D83" s="14">
        <f>IF(원생!$A81="","",SUMIFS(계산!$C:$C,계산!$A:$A,계산!$E81,계산!$B:$B,$B$1*100+2))</f>
        <v/>
      </c>
      <c r="E83" s="14">
        <f>IF(원생!$A81="","",SUMIFS(계산!$C:$C,계산!$A:$A,계산!$E81,계산!$B:$B,$B$1*100+3))</f>
        <v/>
      </c>
      <c r="F83" s="14">
        <f>IF(원생!$A81="","",SUMIFS(계산!$C:$C,계산!$A:$A,계산!$E81,계산!$B:$B,$B$1*100+4))</f>
        <v/>
      </c>
      <c r="G83" s="14">
        <f>IF(원생!$A81="","",SUMIFS(계산!$C:$C,계산!$A:$A,계산!$E81,계산!$B:$B,$B$1*100+5))</f>
        <v/>
      </c>
      <c r="H83" s="14">
        <f>IF(원생!$A81="","",SUMIFS(계산!$C:$C,계산!$A:$A,계산!$E81,계산!$B:$B,$B$1*100+6))</f>
        <v/>
      </c>
      <c r="I83" s="14">
        <f>IF(원생!$A81="","",SUMIFS(계산!$C:$C,계산!$A:$A,계산!$E81,계산!$B:$B,$B$1*100+7))</f>
        <v/>
      </c>
      <c r="J83" s="14">
        <f>IF(원생!$A81="","",SUMIFS(계산!$C:$C,계산!$A:$A,계산!$E81,계산!$B:$B,$B$1*100+8))</f>
        <v/>
      </c>
      <c r="K83" s="14">
        <f>IF(원생!$A81="","",SUMIFS(계산!$C:$C,계산!$A:$A,계산!$E81,계산!$B:$B,$B$1*100+9))</f>
        <v/>
      </c>
      <c r="L83" s="14">
        <f>IF(원생!$A81="","",SUMIFS(계산!$C:$C,계산!$A:$A,계산!$E81,계산!$B:$B,$B$1*100+10))</f>
        <v/>
      </c>
      <c r="M83" s="14">
        <f>IF(원생!$A81="","",SUMIFS(계산!$C:$C,계산!$A:$A,계산!$E81,계산!$B:$B,$B$1*100+11))</f>
        <v/>
      </c>
      <c r="N83" s="14">
        <f>IF(원생!$A81="","",SUMIFS(계산!$C:$C,계산!$A:$A,계산!$E81,계산!$B:$B,$B$1*100+12))</f>
        <v/>
      </c>
      <c r="O83">
        <f>IF(원생!$I81="","",원생!$I81)</f>
        <v/>
      </c>
      <c r="P83">
        <f>IF($A83="","",IF(AND($B83&gt;0,C83&lt;$B83,DATE($B$1,1,1)&lt;=TODAY(),OR($O83="",$O83&gt;=DATE($B$1,1,1)),OR(COUNTIF($C83:C83,"&gt;0")&gt;0,DATE($B$1,1,1)=DATE(YEAR(TODAY()),MONTH(TODAY()),1))),1,0))</f>
        <v/>
      </c>
      <c r="Q83">
        <f>IF($A83="","",IF(AND($B83&gt;0,D83&lt;$B83,DATE($B$1,2,1)&lt;=TODAY(),OR($O83="",$O83&gt;=DATE($B$1,2,1)),OR(COUNTIF($C83:D83,"&gt;0")&gt;0,DATE($B$1,2,1)=DATE(YEAR(TODAY()),MONTH(TODAY()),1))),1,0))</f>
        <v/>
      </c>
      <c r="R83">
        <f>IF($A83="","",IF(AND($B83&gt;0,E83&lt;$B83,DATE($B$1,3,1)&lt;=TODAY(),OR($O83="",$O83&gt;=DATE($B$1,3,1)),OR(COUNTIF($C83:E83,"&gt;0")&gt;0,DATE($B$1,3,1)=DATE(YEAR(TODAY()),MONTH(TODAY()),1))),1,0))</f>
        <v/>
      </c>
      <c r="S83">
        <f>IF($A83="","",IF(AND($B83&gt;0,F83&lt;$B83,DATE($B$1,4,1)&lt;=TODAY(),OR($O83="",$O83&gt;=DATE($B$1,4,1)),OR(COUNTIF($C83:F83,"&gt;0")&gt;0,DATE($B$1,4,1)=DATE(YEAR(TODAY()),MONTH(TODAY()),1))),1,0))</f>
        <v/>
      </c>
      <c r="T83">
        <f>IF($A83="","",IF(AND($B83&gt;0,G83&lt;$B83,DATE($B$1,5,1)&lt;=TODAY(),OR($O83="",$O83&gt;=DATE($B$1,5,1)),OR(COUNTIF($C83:G83,"&gt;0")&gt;0,DATE($B$1,5,1)=DATE(YEAR(TODAY()),MONTH(TODAY()),1))),1,0))</f>
        <v/>
      </c>
      <c r="U83">
        <f>IF($A83="","",IF(AND($B83&gt;0,H83&lt;$B83,DATE($B$1,6,1)&lt;=TODAY(),OR($O83="",$O83&gt;=DATE($B$1,6,1)),OR(COUNTIF($C83:H83,"&gt;0")&gt;0,DATE($B$1,6,1)=DATE(YEAR(TODAY()),MONTH(TODAY()),1))),1,0))</f>
        <v/>
      </c>
      <c r="V83">
        <f>IF($A83="","",IF(AND($B83&gt;0,I83&lt;$B83,DATE($B$1,7,1)&lt;=TODAY(),OR($O83="",$O83&gt;=DATE($B$1,7,1)),OR(COUNTIF($C83:I83,"&gt;0")&gt;0,DATE($B$1,7,1)=DATE(YEAR(TODAY()),MONTH(TODAY()),1))),1,0))</f>
        <v/>
      </c>
      <c r="W83">
        <f>IF($A83="","",IF(AND($B83&gt;0,J83&lt;$B83,DATE($B$1,8,1)&lt;=TODAY(),OR($O83="",$O83&gt;=DATE($B$1,8,1)),OR(COUNTIF($C83:J83,"&gt;0")&gt;0,DATE($B$1,8,1)=DATE(YEAR(TODAY()),MONTH(TODAY()),1))),1,0))</f>
        <v/>
      </c>
      <c r="X83">
        <f>IF($A83="","",IF(AND($B83&gt;0,K83&lt;$B83,DATE($B$1,9,1)&lt;=TODAY(),OR($O83="",$O83&gt;=DATE($B$1,9,1)),OR(COUNTIF($C83:K83,"&gt;0")&gt;0,DATE($B$1,9,1)=DATE(YEAR(TODAY()),MONTH(TODAY()),1))),1,0))</f>
        <v/>
      </c>
      <c r="Y83">
        <f>IF($A83="","",IF(AND($B83&gt;0,L83&lt;$B83,DATE($B$1,10,1)&lt;=TODAY(),OR($O83="",$O83&gt;=DATE($B$1,10,1)),OR(COUNTIF($C83:L83,"&gt;0")&gt;0,DATE($B$1,10,1)=DATE(YEAR(TODAY()),MONTH(TODAY()),1))),1,0))</f>
        <v/>
      </c>
      <c r="Z83">
        <f>IF($A83="","",IF(AND($B83&gt;0,M83&lt;$B83,DATE($B$1,11,1)&lt;=TODAY(),OR($O83="",$O83&gt;=DATE($B$1,11,1)),OR(COUNTIF($C83:M83,"&gt;0")&gt;0,DATE($B$1,11,1)=DATE(YEAR(TODAY()),MONTH(TODAY()),1))),1,0))</f>
        <v/>
      </c>
      <c r="AA83">
        <f>IF($A83="","",IF(AND($B83&gt;0,N83&lt;$B83,DATE($B$1,12,1)&lt;=TODAY(),OR($O83="",$O83&gt;=DATE($B$1,12,1)),OR(COUNTIF($C83:N83,"&gt;0")&gt;0,DATE($B$1,12,1)=DATE(YEAR(TODAY()),MONTH(TODAY()),1))),1,0))</f>
        <v/>
      </c>
    </row>
    <row r="84">
      <c r="A84" s="13">
        <f>IF(원생!$A82="","",원생!$A82&amp;IF(원생!$G82="",""," ("&amp;원생!$G82&amp;")"))</f>
        <v/>
      </c>
      <c r="B84" s="8">
        <f>IF(원생!$A82="","",N(원생!$F82))</f>
        <v/>
      </c>
      <c r="C84" s="14">
        <f>IF(원생!$A82="","",SUMIFS(계산!$C:$C,계산!$A:$A,계산!$E82,계산!$B:$B,$B$1*100+1))</f>
        <v/>
      </c>
      <c r="D84" s="14">
        <f>IF(원생!$A82="","",SUMIFS(계산!$C:$C,계산!$A:$A,계산!$E82,계산!$B:$B,$B$1*100+2))</f>
        <v/>
      </c>
      <c r="E84" s="14">
        <f>IF(원생!$A82="","",SUMIFS(계산!$C:$C,계산!$A:$A,계산!$E82,계산!$B:$B,$B$1*100+3))</f>
        <v/>
      </c>
      <c r="F84" s="14">
        <f>IF(원생!$A82="","",SUMIFS(계산!$C:$C,계산!$A:$A,계산!$E82,계산!$B:$B,$B$1*100+4))</f>
        <v/>
      </c>
      <c r="G84" s="14">
        <f>IF(원생!$A82="","",SUMIFS(계산!$C:$C,계산!$A:$A,계산!$E82,계산!$B:$B,$B$1*100+5))</f>
        <v/>
      </c>
      <c r="H84" s="14">
        <f>IF(원생!$A82="","",SUMIFS(계산!$C:$C,계산!$A:$A,계산!$E82,계산!$B:$B,$B$1*100+6))</f>
        <v/>
      </c>
      <c r="I84" s="14">
        <f>IF(원생!$A82="","",SUMIFS(계산!$C:$C,계산!$A:$A,계산!$E82,계산!$B:$B,$B$1*100+7))</f>
        <v/>
      </c>
      <c r="J84" s="14">
        <f>IF(원생!$A82="","",SUMIFS(계산!$C:$C,계산!$A:$A,계산!$E82,계산!$B:$B,$B$1*100+8))</f>
        <v/>
      </c>
      <c r="K84" s="14">
        <f>IF(원생!$A82="","",SUMIFS(계산!$C:$C,계산!$A:$A,계산!$E82,계산!$B:$B,$B$1*100+9))</f>
        <v/>
      </c>
      <c r="L84" s="14">
        <f>IF(원생!$A82="","",SUMIFS(계산!$C:$C,계산!$A:$A,계산!$E82,계산!$B:$B,$B$1*100+10))</f>
        <v/>
      </c>
      <c r="M84" s="14">
        <f>IF(원생!$A82="","",SUMIFS(계산!$C:$C,계산!$A:$A,계산!$E82,계산!$B:$B,$B$1*100+11))</f>
        <v/>
      </c>
      <c r="N84" s="14">
        <f>IF(원생!$A82="","",SUMIFS(계산!$C:$C,계산!$A:$A,계산!$E82,계산!$B:$B,$B$1*100+12))</f>
        <v/>
      </c>
      <c r="O84">
        <f>IF(원생!$I82="","",원생!$I82)</f>
        <v/>
      </c>
      <c r="P84">
        <f>IF($A84="","",IF(AND($B84&gt;0,C84&lt;$B84,DATE($B$1,1,1)&lt;=TODAY(),OR($O84="",$O84&gt;=DATE($B$1,1,1)),OR(COUNTIF($C84:C84,"&gt;0")&gt;0,DATE($B$1,1,1)=DATE(YEAR(TODAY()),MONTH(TODAY()),1))),1,0))</f>
        <v/>
      </c>
      <c r="Q84">
        <f>IF($A84="","",IF(AND($B84&gt;0,D84&lt;$B84,DATE($B$1,2,1)&lt;=TODAY(),OR($O84="",$O84&gt;=DATE($B$1,2,1)),OR(COUNTIF($C84:D84,"&gt;0")&gt;0,DATE($B$1,2,1)=DATE(YEAR(TODAY()),MONTH(TODAY()),1))),1,0))</f>
        <v/>
      </c>
      <c r="R84">
        <f>IF($A84="","",IF(AND($B84&gt;0,E84&lt;$B84,DATE($B$1,3,1)&lt;=TODAY(),OR($O84="",$O84&gt;=DATE($B$1,3,1)),OR(COUNTIF($C84:E84,"&gt;0")&gt;0,DATE($B$1,3,1)=DATE(YEAR(TODAY()),MONTH(TODAY()),1))),1,0))</f>
        <v/>
      </c>
      <c r="S84">
        <f>IF($A84="","",IF(AND($B84&gt;0,F84&lt;$B84,DATE($B$1,4,1)&lt;=TODAY(),OR($O84="",$O84&gt;=DATE($B$1,4,1)),OR(COUNTIF($C84:F84,"&gt;0")&gt;0,DATE($B$1,4,1)=DATE(YEAR(TODAY()),MONTH(TODAY()),1))),1,0))</f>
        <v/>
      </c>
      <c r="T84">
        <f>IF($A84="","",IF(AND($B84&gt;0,G84&lt;$B84,DATE($B$1,5,1)&lt;=TODAY(),OR($O84="",$O84&gt;=DATE($B$1,5,1)),OR(COUNTIF($C84:G84,"&gt;0")&gt;0,DATE($B$1,5,1)=DATE(YEAR(TODAY()),MONTH(TODAY()),1))),1,0))</f>
        <v/>
      </c>
      <c r="U84">
        <f>IF($A84="","",IF(AND($B84&gt;0,H84&lt;$B84,DATE($B$1,6,1)&lt;=TODAY(),OR($O84="",$O84&gt;=DATE($B$1,6,1)),OR(COUNTIF($C84:H84,"&gt;0")&gt;0,DATE($B$1,6,1)=DATE(YEAR(TODAY()),MONTH(TODAY()),1))),1,0))</f>
        <v/>
      </c>
      <c r="V84">
        <f>IF($A84="","",IF(AND($B84&gt;0,I84&lt;$B84,DATE($B$1,7,1)&lt;=TODAY(),OR($O84="",$O84&gt;=DATE($B$1,7,1)),OR(COUNTIF($C84:I84,"&gt;0")&gt;0,DATE($B$1,7,1)=DATE(YEAR(TODAY()),MONTH(TODAY()),1))),1,0))</f>
        <v/>
      </c>
      <c r="W84">
        <f>IF($A84="","",IF(AND($B84&gt;0,J84&lt;$B84,DATE($B$1,8,1)&lt;=TODAY(),OR($O84="",$O84&gt;=DATE($B$1,8,1)),OR(COUNTIF($C84:J84,"&gt;0")&gt;0,DATE($B$1,8,1)=DATE(YEAR(TODAY()),MONTH(TODAY()),1))),1,0))</f>
        <v/>
      </c>
      <c r="X84">
        <f>IF($A84="","",IF(AND($B84&gt;0,K84&lt;$B84,DATE($B$1,9,1)&lt;=TODAY(),OR($O84="",$O84&gt;=DATE($B$1,9,1)),OR(COUNTIF($C84:K84,"&gt;0")&gt;0,DATE($B$1,9,1)=DATE(YEAR(TODAY()),MONTH(TODAY()),1))),1,0))</f>
        <v/>
      </c>
      <c r="Y84">
        <f>IF($A84="","",IF(AND($B84&gt;0,L84&lt;$B84,DATE($B$1,10,1)&lt;=TODAY(),OR($O84="",$O84&gt;=DATE($B$1,10,1)),OR(COUNTIF($C84:L84,"&gt;0")&gt;0,DATE($B$1,10,1)=DATE(YEAR(TODAY()),MONTH(TODAY()),1))),1,0))</f>
        <v/>
      </c>
      <c r="Z84">
        <f>IF($A84="","",IF(AND($B84&gt;0,M84&lt;$B84,DATE($B$1,11,1)&lt;=TODAY(),OR($O84="",$O84&gt;=DATE($B$1,11,1)),OR(COUNTIF($C84:M84,"&gt;0")&gt;0,DATE($B$1,11,1)=DATE(YEAR(TODAY()),MONTH(TODAY()),1))),1,0))</f>
        <v/>
      </c>
      <c r="AA84">
        <f>IF($A84="","",IF(AND($B84&gt;0,N84&lt;$B84,DATE($B$1,12,1)&lt;=TODAY(),OR($O84="",$O84&gt;=DATE($B$1,12,1)),OR(COUNTIF($C84:N84,"&gt;0")&gt;0,DATE($B$1,12,1)=DATE(YEAR(TODAY()),MONTH(TODAY()),1))),1,0))</f>
        <v/>
      </c>
    </row>
    <row r="85">
      <c r="A85" s="13">
        <f>IF(원생!$A83="","",원생!$A83&amp;IF(원생!$G83="",""," ("&amp;원생!$G83&amp;")"))</f>
        <v/>
      </c>
      <c r="B85" s="8">
        <f>IF(원생!$A83="","",N(원생!$F83))</f>
        <v/>
      </c>
      <c r="C85" s="14">
        <f>IF(원생!$A83="","",SUMIFS(계산!$C:$C,계산!$A:$A,계산!$E83,계산!$B:$B,$B$1*100+1))</f>
        <v/>
      </c>
      <c r="D85" s="14">
        <f>IF(원생!$A83="","",SUMIFS(계산!$C:$C,계산!$A:$A,계산!$E83,계산!$B:$B,$B$1*100+2))</f>
        <v/>
      </c>
      <c r="E85" s="14">
        <f>IF(원생!$A83="","",SUMIFS(계산!$C:$C,계산!$A:$A,계산!$E83,계산!$B:$B,$B$1*100+3))</f>
        <v/>
      </c>
      <c r="F85" s="14">
        <f>IF(원생!$A83="","",SUMIFS(계산!$C:$C,계산!$A:$A,계산!$E83,계산!$B:$B,$B$1*100+4))</f>
        <v/>
      </c>
      <c r="G85" s="14">
        <f>IF(원생!$A83="","",SUMIFS(계산!$C:$C,계산!$A:$A,계산!$E83,계산!$B:$B,$B$1*100+5))</f>
        <v/>
      </c>
      <c r="H85" s="14">
        <f>IF(원생!$A83="","",SUMIFS(계산!$C:$C,계산!$A:$A,계산!$E83,계산!$B:$B,$B$1*100+6))</f>
        <v/>
      </c>
      <c r="I85" s="14">
        <f>IF(원생!$A83="","",SUMIFS(계산!$C:$C,계산!$A:$A,계산!$E83,계산!$B:$B,$B$1*100+7))</f>
        <v/>
      </c>
      <c r="J85" s="14">
        <f>IF(원생!$A83="","",SUMIFS(계산!$C:$C,계산!$A:$A,계산!$E83,계산!$B:$B,$B$1*100+8))</f>
        <v/>
      </c>
      <c r="K85" s="14">
        <f>IF(원생!$A83="","",SUMIFS(계산!$C:$C,계산!$A:$A,계산!$E83,계산!$B:$B,$B$1*100+9))</f>
        <v/>
      </c>
      <c r="L85" s="14">
        <f>IF(원생!$A83="","",SUMIFS(계산!$C:$C,계산!$A:$A,계산!$E83,계산!$B:$B,$B$1*100+10))</f>
        <v/>
      </c>
      <c r="M85" s="14">
        <f>IF(원생!$A83="","",SUMIFS(계산!$C:$C,계산!$A:$A,계산!$E83,계산!$B:$B,$B$1*100+11))</f>
        <v/>
      </c>
      <c r="N85" s="14">
        <f>IF(원생!$A83="","",SUMIFS(계산!$C:$C,계산!$A:$A,계산!$E83,계산!$B:$B,$B$1*100+12))</f>
        <v/>
      </c>
      <c r="O85">
        <f>IF(원생!$I83="","",원생!$I83)</f>
        <v/>
      </c>
      <c r="P85">
        <f>IF($A85="","",IF(AND($B85&gt;0,C85&lt;$B85,DATE($B$1,1,1)&lt;=TODAY(),OR($O85="",$O85&gt;=DATE($B$1,1,1)),OR(COUNTIF($C85:C85,"&gt;0")&gt;0,DATE($B$1,1,1)=DATE(YEAR(TODAY()),MONTH(TODAY()),1))),1,0))</f>
        <v/>
      </c>
      <c r="Q85">
        <f>IF($A85="","",IF(AND($B85&gt;0,D85&lt;$B85,DATE($B$1,2,1)&lt;=TODAY(),OR($O85="",$O85&gt;=DATE($B$1,2,1)),OR(COUNTIF($C85:D85,"&gt;0")&gt;0,DATE($B$1,2,1)=DATE(YEAR(TODAY()),MONTH(TODAY()),1))),1,0))</f>
        <v/>
      </c>
      <c r="R85">
        <f>IF($A85="","",IF(AND($B85&gt;0,E85&lt;$B85,DATE($B$1,3,1)&lt;=TODAY(),OR($O85="",$O85&gt;=DATE($B$1,3,1)),OR(COUNTIF($C85:E85,"&gt;0")&gt;0,DATE($B$1,3,1)=DATE(YEAR(TODAY()),MONTH(TODAY()),1))),1,0))</f>
        <v/>
      </c>
      <c r="S85">
        <f>IF($A85="","",IF(AND($B85&gt;0,F85&lt;$B85,DATE($B$1,4,1)&lt;=TODAY(),OR($O85="",$O85&gt;=DATE($B$1,4,1)),OR(COUNTIF($C85:F85,"&gt;0")&gt;0,DATE($B$1,4,1)=DATE(YEAR(TODAY()),MONTH(TODAY()),1))),1,0))</f>
        <v/>
      </c>
      <c r="T85">
        <f>IF($A85="","",IF(AND($B85&gt;0,G85&lt;$B85,DATE($B$1,5,1)&lt;=TODAY(),OR($O85="",$O85&gt;=DATE($B$1,5,1)),OR(COUNTIF($C85:G85,"&gt;0")&gt;0,DATE($B$1,5,1)=DATE(YEAR(TODAY()),MONTH(TODAY()),1))),1,0))</f>
        <v/>
      </c>
      <c r="U85">
        <f>IF($A85="","",IF(AND($B85&gt;0,H85&lt;$B85,DATE($B$1,6,1)&lt;=TODAY(),OR($O85="",$O85&gt;=DATE($B$1,6,1)),OR(COUNTIF($C85:H85,"&gt;0")&gt;0,DATE($B$1,6,1)=DATE(YEAR(TODAY()),MONTH(TODAY()),1))),1,0))</f>
        <v/>
      </c>
      <c r="V85">
        <f>IF($A85="","",IF(AND($B85&gt;0,I85&lt;$B85,DATE($B$1,7,1)&lt;=TODAY(),OR($O85="",$O85&gt;=DATE($B$1,7,1)),OR(COUNTIF($C85:I85,"&gt;0")&gt;0,DATE($B$1,7,1)=DATE(YEAR(TODAY()),MONTH(TODAY()),1))),1,0))</f>
        <v/>
      </c>
      <c r="W85">
        <f>IF($A85="","",IF(AND($B85&gt;0,J85&lt;$B85,DATE($B$1,8,1)&lt;=TODAY(),OR($O85="",$O85&gt;=DATE($B$1,8,1)),OR(COUNTIF($C85:J85,"&gt;0")&gt;0,DATE($B$1,8,1)=DATE(YEAR(TODAY()),MONTH(TODAY()),1))),1,0))</f>
        <v/>
      </c>
      <c r="X85">
        <f>IF($A85="","",IF(AND($B85&gt;0,K85&lt;$B85,DATE($B$1,9,1)&lt;=TODAY(),OR($O85="",$O85&gt;=DATE($B$1,9,1)),OR(COUNTIF($C85:K85,"&gt;0")&gt;0,DATE($B$1,9,1)=DATE(YEAR(TODAY()),MONTH(TODAY()),1))),1,0))</f>
        <v/>
      </c>
      <c r="Y85">
        <f>IF($A85="","",IF(AND($B85&gt;0,L85&lt;$B85,DATE($B$1,10,1)&lt;=TODAY(),OR($O85="",$O85&gt;=DATE($B$1,10,1)),OR(COUNTIF($C85:L85,"&gt;0")&gt;0,DATE($B$1,10,1)=DATE(YEAR(TODAY()),MONTH(TODAY()),1))),1,0))</f>
        <v/>
      </c>
      <c r="Z85">
        <f>IF($A85="","",IF(AND($B85&gt;0,M85&lt;$B85,DATE($B$1,11,1)&lt;=TODAY(),OR($O85="",$O85&gt;=DATE($B$1,11,1)),OR(COUNTIF($C85:M85,"&gt;0")&gt;0,DATE($B$1,11,1)=DATE(YEAR(TODAY()),MONTH(TODAY()),1))),1,0))</f>
        <v/>
      </c>
      <c r="AA85">
        <f>IF($A85="","",IF(AND($B85&gt;0,N85&lt;$B85,DATE($B$1,12,1)&lt;=TODAY(),OR($O85="",$O85&gt;=DATE($B$1,12,1)),OR(COUNTIF($C85:N85,"&gt;0")&gt;0,DATE($B$1,12,1)=DATE(YEAR(TODAY()),MONTH(TODAY()),1))),1,0))</f>
        <v/>
      </c>
    </row>
    <row r="86">
      <c r="A86" s="13">
        <f>IF(원생!$A84="","",원생!$A84&amp;IF(원생!$G84="",""," ("&amp;원생!$G84&amp;")"))</f>
        <v/>
      </c>
      <c r="B86" s="8">
        <f>IF(원생!$A84="","",N(원생!$F84))</f>
        <v/>
      </c>
      <c r="C86" s="14">
        <f>IF(원생!$A84="","",SUMIFS(계산!$C:$C,계산!$A:$A,계산!$E84,계산!$B:$B,$B$1*100+1))</f>
        <v/>
      </c>
      <c r="D86" s="14">
        <f>IF(원생!$A84="","",SUMIFS(계산!$C:$C,계산!$A:$A,계산!$E84,계산!$B:$B,$B$1*100+2))</f>
        <v/>
      </c>
      <c r="E86" s="14">
        <f>IF(원생!$A84="","",SUMIFS(계산!$C:$C,계산!$A:$A,계산!$E84,계산!$B:$B,$B$1*100+3))</f>
        <v/>
      </c>
      <c r="F86" s="14">
        <f>IF(원생!$A84="","",SUMIFS(계산!$C:$C,계산!$A:$A,계산!$E84,계산!$B:$B,$B$1*100+4))</f>
        <v/>
      </c>
      <c r="G86" s="14">
        <f>IF(원생!$A84="","",SUMIFS(계산!$C:$C,계산!$A:$A,계산!$E84,계산!$B:$B,$B$1*100+5))</f>
        <v/>
      </c>
      <c r="H86" s="14">
        <f>IF(원생!$A84="","",SUMIFS(계산!$C:$C,계산!$A:$A,계산!$E84,계산!$B:$B,$B$1*100+6))</f>
        <v/>
      </c>
      <c r="I86" s="14">
        <f>IF(원생!$A84="","",SUMIFS(계산!$C:$C,계산!$A:$A,계산!$E84,계산!$B:$B,$B$1*100+7))</f>
        <v/>
      </c>
      <c r="J86" s="14">
        <f>IF(원생!$A84="","",SUMIFS(계산!$C:$C,계산!$A:$A,계산!$E84,계산!$B:$B,$B$1*100+8))</f>
        <v/>
      </c>
      <c r="K86" s="14">
        <f>IF(원생!$A84="","",SUMIFS(계산!$C:$C,계산!$A:$A,계산!$E84,계산!$B:$B,$B$1*100+9))</f>
        <v/>
      </c>
      <c r="L86" s="14">
        <f>IF(원생!$A84="","",SUMIFS(계산!$C:$C,계산!$A:$A,계산!$E84,계산!$B:$B,$B$1*100+10))</f>
        <v/>
      </c>
      <c r="M86" s="14">
        <f>IF(원생!$A84="","",SUMIFS(계산!$C:$C,계산!$A:$A,계산!$E84,계산!$B:$B,$B$1*100+11))</f>
        <v/>
      </c>
      <c r="N86" s="14">
        <f>IF(원생!$A84="","",SUMIFS(계산!$C:$C,계산!$A:$A,계산!$E84,계산!$B:$B,$B$1*100+12))</f>
        <v/>
      </c>
      <c r="O86">
        <f>IF(원생!$I84="","",원생!$I84)</f>
        <v/>
      </c>
      <c r="P86">
        <f>IF($A86="","",IF(AND($B86&gt;0,C86&lt;$B86,DATE($B$1,1,1)&lt;=TODAY(),OR($O86="",$O86&gt;=DATE($B$1,1,1)),OR(COUNTIF($C86:C86,"&gt;0")&gt;0,DATE($B$1,1,1)=DATE(YEAR(TODAY()),MONTH(TODAY()),1))),1,0))</f>
        <v/>
      </c>
      <c r="Q86">
        <f>IF($A86="","",IF(AND($B86&gt;0,D86&lt;$B86,DATE($B$1,2,1)&lt;=TODAY(),OR($O86="",$O86&gt;=DATE($B$1,2,1)),OR(COUNTIF($C86:D86,"&gt;0")&gt;0,DATE($B$1,2,1)=DATE(YEAR(TODAY()),MONTH(TODAY()),1))),1,0))</f>
        <v/>
      </c>
      <c r="R86">
        <f>IF($A86="","",IF(AND($B86&gt;0,E86&lt;$B86,DATE($B$1,3,1)&lt;=TODAY(),OR($O86="",$O86&gt;=DATE($B$1,3,1)),OR(COUNTIF($C86:E86,"&gt;0")&gt;0,DATE($B$1,3,1)=DATE(YEAR(TODAY()),MONTH(TODAY()),1))),1,0))</f>
        <v/>
      </c>
      <c r="S86">
        <f>IF($A86="","",IF(AND($B86&gt;0,F86&lt;$B86,DATE($B$1,4,1)&lt;=TODAY(),OR($O86="",$O86&gt;=DATE($B$1,4,1)),OR(COUNTIF($C86:F86,"&gt;0")&gt;0,DATE($B$1,4,1)=DATE(YEAR(TODAY()),MONTH(TODAY()),1))),1,0))</f>
        <v/>
      </c>
      <c r="T86">
        <f>IF($A86="","",IF(AND($B86&gt;0,G86&lt;$B86,DATE($B$1,5,1)&lt;=TODAY(),OR($O86="",$O86&gt;=DATE($B$1,5,1)),OR(COUNTIF($C86:G86,"&gt;0")&gt;0,DATE($B$1,5,1)=DATE(YEAR(TODAY()),MONTH(TODAY()),1))),1,0))</f>
        <v/>
      </c>
      <c r="U86">
        <f>IF($A86="","",IF(AND($B86&gt;0,H86&lt;$B86,DATE($B$1,6,1)&lt;=TODAY(),OR($O86="",$O86&gt;=DATE($B$1,6,1)),OR(COUNTIF($C86:H86,"&gt;0")&gt;0,DATE($B$1,6,1)=DATE(YEAR(TODAY()),MONTH(TODAY()),1))),1,0))</f>
        <v/>
      </c>
      <c r="V86">
        <f>IF($A86="","",IF(AND($B86&gt;0,I86&lt;$B86,DATE($B$1,7,1)&lt;=TODAY(),OR($O86="",$O86&gt;=DATE($B$1,7,1)),OR(COUNTIF($C86:I86,"&gt;0")&gt;0,DATE($B$1,7,1)=DATE(YEAR(TODAY()),MONTH(TODAY()),1))),1,0))</f>
        <v/>
      </c>
      <c r="W86">
        <f>IF($A86="","",IF(AND($B86&gt;0,J86&lt;$B86,DATE($B$1,8,1)&lt;=TODAY(),OR($O86="",$O86&gt;=DATE($B$1,8,1)),OR(COUNTIF($C86:J86,"&gt;0")&gt;0,DATE($B$1,8,1)=DATE(YEAR(TODAY()),MONTH(TODAY()),1))),1,0))</f>
        <v/>
      </c>
      <c r="X86">
        <f>IF($A86="","",IF(AND($B86&gt;0,K86&lt;$B86,DATE($B$1,9,1)&lt;=TODAY(),OR($O86="",$O86&gt;=DATE($B$1,9,1)),OR(COUNTIF($C86:K86,"&gt;0")&gt;0,DATE($B$1,9,1)=DATE(YEAR(TODAY()),MONTH(TODAY()),1))),1,0))</f>
        <v/>
      </c>
      <c r="Y86">
        <f>IF($A86="","",IF(AND($B86&gt;0,L86&lt;$B86,DATE($B$1,10,1)&lt;=TODAY(),OR($O86="",$O86&gt;=DATE($B$1,10,1)),OR(COUNTIF($C86:L86,"&gt;0")&gt;0,DATE($B$1,10,1)=DATE(YEAR(TODAY()),MONTH(TODAY()),1))),1,0))</f>
        <v/>
      </c>
      <c r="Z86">
        <f>IF($A86="","",IF(AND($B86&gt;0,M86&lt;$B86,DATE($B$1,11,1)&lt;=TODAY(),OR($O86="",$O86&gt;=DATE($B$1,11,1)),OR(COUNTIF($C86:M86,"&gt;0")&gt;0,DATE($B$1,11,1)=DATE(YEAR(TODAY()),MONTH(TODAY()),1))),1,0))</f>
        <v/>
      </c>
      <c r="AA86">
        <f>IF($A86="","",IF(AND($B86&gt;0,N86&lt;$B86,DATE($B$1,12,1)&lt;=TODAY(),OR($O86="",$O86&gt;=DATE($B$1,12,1)),OR(COUNTIF($C86:N86,"&gt;0")&gt;0,DATE($B$1,12,1)=DATE(YEAR(TODAY()),MONTH(TODAY()),1))),1,0))</f>
        <v/>
      </c>
    </row>
    <row r="87">
      <c r="A87" s="13">
        <f>IF(원생!$A85="","",원생!$A85&amp;IF(원생!$G85="",""," ("&amp;원생!$G85&amp;")"))</f>
        <v/>
      </c>
      <c r="B87" s="8">
        <f>IF(원생!$A85="","",N(원생!$F85))</f>
        <v/>
      </c>
      <c r="C87" s="14">
        <f>IF(원생!$A85="","",SUMIFS(계산!$C:$C,계산!$A:$A,계산!$E85,계산!$B:$B,$B$1*100+1))</f>
        <v/>
      </c>
      <c r="D87" s="14">
        <f>IF(원생!$A85="","",SUMIFS(계산!$C:$C,계산!$A:$A,계산!$E85,계산!$B:$B,$B$1*100+2))</f>
        <v/>
      </c>
      <c r="E87" s="14">
        <f>IF(원생!$A85="","",SUMIFS(계산!$C:$C,계산!$A:$A,계산!$E85,계산!$B:$B,$B$1*100+3))</f>
        <v/>
      </c>
      <c r="F87" s="14">
        <f>IF(원생!$A85="","",SUMIFS(계산!$C:$C,계산!$A:$A,계산!$E85,계산!$B:$B,$B$1*100+4))</f>
        <v/>
      </c>
      <c r="G87" s="14">
        <f>IF(원생!$A85="","",SUMIFS(계산!$C:$C,계산!$A:$A,계산!$E85,계산!$B:$B,$B$1*100+5))</f>
        <v/>
      </c>
      <c r="H87" s="14">
        <f>IF(원생!$A85="","",SUMIFS(계산!$C:$C,계산!$A:$A,계산!$E85,계산!$B:$B,$B$1*100+6))</f>
        <v/>
      </c>
      <c r="I87" s="14">
        <f>IF(원생!$A85="","",SUMIFS(계산!$C:$C,계산!$A:$A,계산!$E85,계산!$B:$B,$B$1*100+7))</f>
        <v/>
      </c>
      <c r="J87" s="14">
        <f>IF(원생!$A85="","",SUMIFS(계산!$C:$C,계산!$A:$A,계산!$E85,계산!$B:$B,$B$1*100+8))</f>
        <v/>
      </c>
      <c r="K87" s="14">
        <f>IF(원생!$A85="","",SUMIFS(계산!$C:$C,계산!$A:$A,계산!$E85,계산!$B:$B,$B$1*100+9))</f>
        <v/>
      </c>
      <c r="L87" s="14">
        <f>IF(원생!$A85="","",SUMIFS(계산!$C:$C,계산!$A:$A,계산!$E85,계산!$B:$B,$B$1*100+10))</f>
        <v/>
      </c>
      <c r="M87" s="14">
        <f>IF(원생!$A85="","",SUMIFS(계산!$C:$C,계산!$A:$A,계산!$E85,계산!$B:$B,$B$1*100+11))</f>
        <v/>
      </c>
      <c r="N87" s="14">
        <f>IF(원생!$A85="","",SUMIFS(계산!$C:$C,계산!$A:$A,계산!$E85,계산!$B:$B,$B$1*100+12))</f>
        <v/>
      </c>
      <c r="O87">
        <f>IF(원생!$I85="","",원생!$I85)</f>
        <v/>
      </c>
      <c r="P87">
        <f>IF($A87="","",IF(AND($B87&gt;0,C87&lt;$B87,DATE($B$1,1,1)&lt;=TODAY(),OR($O87="",$O87&gt;=DATE($B$1,1,1)),OR(COUNTIF($C87:C87,"&gt;0")&gt;0,DATE($B$1,1,1)=DATE(YEAR(TODAY()),MONTH(TODAY()),1))),1,0))</f>
        <v/>
      </c>
      <c r="Q87">
        <f>IF($A87="","",IF(AND($B87&gt;0,D87&lt;$B87,DATE($B$1,2,1)&lt;=TODAY(),OR($O87="",$O87&gt;=DATE($B$1,2,1)),OR(COUNTIF($C87:D87,"&gt;0")&gt;0,DATE($B$1,2,1)=DATE(YEAR(TODAY()),MONTH(TODAY()),1))),1,0))</f>
        <v/>
      </c>
      <c r="R87">
        <f>IF($A87="","",IF(AND($B87&gt;0,E87&lt;$B87,DATE($B$1,3,1)&lt;=TODAY(),OR($O87="",$O87&gt;=DATE($B$1,3,1)),OR(COUNTIF($C87:E87,"&gt;0")&gt;0,DATE($B$1,3,1)=DATE(YEAR(TODAY()),MONTH(TODAY()),1))),1,0))</f>
        <v/>
      </c>
      <c r="S87">
        <f>IF($A87="","",IF(AND($B87&gt;0,F87&lt;$B87,DATE($B$1,4,1)&lt;=TODAY(),OR($O87="",$O87&gt;=DATE($B$1,4,1)),OR(COUNTIF($C87:F87,"&gt;0")&gt;0,DATE($B$1,4,1)=DATE(YEAR(TODAY()),MONTH(TODAY()),1))),1,0))</f>
        <v/>
      </c>
      <c r="T87">
        <f>IF($A87="","",IF(AND($B87&gt;0,G87&lt;$B87,DATE($B$1,5,1)&lt;=TODAY(),OR($O87="",$O87&gt;=DATE($B$1,5,1)),OR(COUNTIF($C87:G87,"&gt;0")&gt;0,DATE($B$1,5,1)=DATE(YEAR(TODAY()),MONTH(TODAY()),1))),1,0))</f>
        <v/>
      </c>
      <c r="U87">
        <f>IF($A87="","",IF(AND($B87&gt;0,H87&lt;$B87,DATE($B$1,6,1)&lt;=TODAY(),OR($O87="",$O87&gt;=DATE($B$1,6,1)),OR(COUNTIF($C87:H87,"&gt;0")&gt;0,DATE($B$1,6,1)=DATE(YEAR(TODAY()),MONTH(TODAY()),1))),1,0))</f>
        <v/>
      </c>
      <c r="V87">
        <f>IF($A87="","",IF(AND($B87&gt;0,I87&lt;$B87,DATE($B$1,7,1)&lt;=TODAY(),OR($O87="",$O87&gt;=DATE($B$1,7,1)),OR(COUNTIF($C87:I87,"&gt;0")&gt;0,DATE($B$1,7,1)=DATE(YEAR(TODAY()),MONTH(TODAY()),1))),1,0))</f>
        <v/>
      </c>
      <c r="W87">
        <f>IF($A87="","",IF(AND($B87&gt;0,J87&lt;$B87,DATE($B$1,8,1)&lt;=TODAY(),OR($O87="",$O87&gt;=DATE($B$1,8,1)),OR(COUNTIF($C87:J87,"&gt;0")&gt;0,DATE($B$1,8,1)=DATE(YEAR(TODAY()),MONTH(TODAY()),1))),1,0))</f>
        <v/>
      </c>
      <c r="X87">
        <f>IF($A87="","",IF(AND($B87&gt;0,K87&lt;$B87,DATE($B$1,9,1)&lt;=TODAY(),OR($O87="",$O87&gt;=DATE($B$1,9,1)),OR(COUNTIF($C87:K87,"&gt;0")&gt;0,DATE($B$1,9,1)=DATE(YEAR(TODAY()),MONTH(TODAY()),1))),1,0))</f>
        <v/>
      </c>
      <c r="Y87">
        <f>IF($A87="","",IF(AND($B87&gt;0,L87&lt;$B87,DATE($B$1,10,1)&lt;=TODAY(),OR($O87="",$O87&gt;=DATE($B$1,10,1)),OR(COUNTIF($C87:L87,"&gt;0")&gt;0,DATE($B$1,10,1)=DATE(YEAR(TODAY()),MONTH(TODAY()),1))),1,0))</f>
        <v/>
      </c>
      <c r="Z87">
        <f>IF($A87="","",IF(AND($B87&gt;0,M87&lt;$B87,DATE($B$1,11,1)&lt;=TODAY(),OR($O87="",$O87&gt;=DATE($B$1,11,1)),OR(COUNTIF($C87:M87,"&gt;0")&gt;0,DATE($B$1,11,1)=DATE(YEAR(TODAY()),MONTH(TODAY()),1))),1,0))</f>
        <v/>
      </c>
      <c r="AA87">
        <f>IF($A87="","",IF(AND($B87&gt;0,N87&lt;$B87,DATE($B$1,12,1)&lt;=TODAY(),OR($O87="",$O87&gt;=DATE($B$1,12,1)),OR(COUNTIF($C87:N87,"&gt;0")&gt;0,DATE($B$1,12,1)=DATE(YEAR(TODAY()),MONTH(TODAY()),1))),1,0))</f>
        <v/>
      </c>
    </row>
    <row r="88">
      <c r="A88" s="13">
        <f>IF(원생!$A86="","",원생!$A86&amp;IF(원생!$G86="",""," ("&amp;원생!$G86&amp;")"))</f>
        <v/>
      </c>
      <c r="B88" s="8">
        <f>IF(원생!$A86="","",N(원생!$F86))</f>
        <v/>
      </c>
      <c r="C88" s="14">
        <f>IF(원생!$A86="","",SUMIFS(계산!$C:$C,계산!$A:$A,계산!$E86,계산!$B:$B,$B$1*100+1))</f>
        <v/>
      </c>
      <c r="D88" s="14">
        <f>IF(원생!$A86="","",SUMIFS(계산!$C:$C,계산!$A:$A,계산!$E86,계산!$B:$B,$B$1*100+2))</f>
        <v/>
      </c>
      <c r="E88" s="14">
        <f>IF(원생!$A86="","",SUMIFS(계산!$C:$C,계산!$A:$A,계산!$E86,계산!$B:$B,$B$1*100+3))</f>
        <v/>
      </c>
      <c r="F88" s="14">
        <f>IF(원생!$A86="","",SUMIFS(계산!$C:$C,계산!$A:$A,계산!$E86,계산!$B:$B,$B$1*100+4))</f>
        <v/>
      </c>
      <c r="G88" s="14">
        <f>IF(원생!$A86="","",SUMIFS(계산!$C:$C,계산!$A:$A,계산!$E86,계산!$B:$B,$B$1*100+5))</f>
        <v/>
      </c>
      <c r="H88" s="14">
        <f>IF(원생!$A86="","",SUMIFS(계산!$C:$C,계산!$A:$A,계산!$E86,계산!$B:$B,$B$1*100+6))</f>
        <v/>
      </c>
      <c r="I88" s="14">
        <f>IF(원생!$A86="","",SUMIFS(계산!$C:$C,계산!$A:$A,계산!$E86,계산!$B:$B,$B$1*100+7))</f>
        <v/>
      </c>
      <c r="J88" s="14">
        <f>IF(원생!$A86="","",SUMIFS(계산!$C:$C,계산!$A:$A,계산!$E86,계산!$B:$B,$B$1*100+8))</f>
        <v/>
      </c>
      <c r="K88" s="14">
        <f>IF(원생!$A86="","",SUMIFS(계산!$C:$C,계산!$A:$A,계산!$E86,계산!$B:$B,$B$1*100+9))</f>
        <v/>
      </c>
      <c r="L88" s="14">
        <f>IF(원생!$A86="","",SUMIFS(계산!$C:$C,계산!$A:$A,계산!$E86,계산!$B:$B,$B$1*100+10))</f>
        <v/>
      </c>
      <c r="M88" s="14">
        <f>IF(원생!$A86="","",SUMIFS(계산!$C:$C,계산!$A:$A,계산!$E86,계산!$B:$B,$B$1*100+11))</f>
        <v/>
      </c>
      <c r="N88" s="14">
        <f>IF(원생!$A86="","",SUMIFS(계산!$C:$C,계산!$A:$A,계산!$E86,계산!$B:$B,$B$1*100+12))</f>
        <v/>
      </c>
      <c r="O88">
        <f>IF(원생!$I86="","",원생!$I86)</f>
        <v/>
      </c>
      <c r="P88">
        <f>IF($A88="","",IF(AND($B88&gt;0,C88&lt;$B88,DATE($B$1,1,1)&lt;=TODAY(),OR($O88="",$O88&gt;=DATE($B$1,1,1)),OR(COUNTIF($C88:C88,"&gt;0")&gt;0,DATE($B$1,1,1)=DATE(YEAR(TODAY()),MONTH(TODAY()),1))),1,0))</f>
        <v/>
      </c>
      <c r="Q88">
        <f>IF($A88="","",IF(AND($B88&gt;0,D88&lt;$B88,DATE($B$1,2,1)&lt;=TODAY(),OR($O88="",$O88&gt;=DATE($B$1,2,1)),OR(COUNTIF($C88:D88,"&gt;0")&gt;0,DATE($B$1,2,1)=DATE(YEAR(TODAY()),MONTH(TODAY()),1))),1,0))</f>
        <v/>
      </c>
      <c r="R88">
        <f>IF($A88="","",IF(AND($B88&gt;0,E88&lt;$B88,DATE($B$1,3,1)&lt;=TODAY(),OR($O88="",$O88&gt;=DATE($B$1,3,1)),OR(COUNTIF($C88:E88,"&gt;0")&gt;0,DATE($B$1,3,1)=DATE(YEAR(TODAY()),MONTH(TODAY()),1))),1,0))</f>
        <v/>
      </c>
      <c r="S88">
        <f>IF($A88="","",IF(AND($B88&gt;0,F88&lt;$B88,DATE($B$1,4,1)&lt;=TODAY(),OR($O88="",$O88&gt;=DATE($B$1,4,1)),OR(COUNTIF($C88:F88,"&gt;0")&gt;0,DATE($B$1,4,1)=DATE(YEAR(TODAY()),MONTH(TODAY()),1))),1,0))</f>
        <v/>
      </c>
      <c r="T88">
        <f>IF($A88="","",IF(AND($B88&gt;0,G88&lt;$B88,DATE($B$1,5,1)&lt;=TODAY(),OR($O88="",$O88&gt;=DATE($B$1,5,1)),OR(COUNTIF($C88:G88,"&gt;0")&gt;0,DATE($B$1,5,1)=DATE(YEAR(TODAY()),MONTH(TODAY()),1))),1,0))</f>
        <v/>
      </c>
      <c r="U88">
        <f>IF($A88="","",IF(AND($B88&gt;0,H88&lt;$B88,DATE($B$1,6,1)&lt;=TODAY(),OR($O88="",$O88&gt;=DATE($B$1,6,1)),OR(COUNTIF($C88:H88,"&gt;0")&gt;0,DATE($B$1,6,1)=DATE(YEAR(TODAY()),MONTH(TODAY()),1))),1,0))</f>
        <v/>
      </c>
      <c r="V88">
        <f>IF($A88="","",IF(AND($B88&gt;0,I88&lt;$B88,DATE($B$1,7,1)&lt;=TODAY(),OR($O88="",$O88&gt;=DATE($B$1,7,1)),OR(COUNTIF($C88:I88,"&gt;0")&gt;0,DATE($B$1,7,1)=DATE(YEAR(TODAY()),MONTH(TODAY()),1))),1,0))</f>
        <v/>
      </c>
      <c r="W88">
        <f>IF($A88="","",IF(AND($B88&gt;0,J88&lt;$B88,DATE($B$1,8,1)&lt;=TODAY(),OR($O88="",$O88&gt;=DATE($B$1,8,1)),OR(COUNTIF($C88:J88,"&gt;0")&gt;0,DATE($B$1,8,1)=DATE(YEAR(TODAY()),MONTH(TODAY()),1))),1,0))</f>
        <v/>
      </c>
      <c r="X88">
        <f>IF($A88="","",IF(AND($B88&gt;0,K88&lt;$B88,DATE($B$1,9,1)&lt;=TODAY(),OR($O88="",$O88&gt;=DATE($B$1,9,1)),OR(COUNTIF($C88:K88,"&gt;0")&gt;0,DATE($B$1,9,1)=DATE(YEAR(TODAY()),MONTH(TODAY()),1))),1,0))</f>
        <v/>
      </c>
      <c r="Y88">
        <f>IF($A88="","",IF(AND($B88&gt;0,L88&lt;$B88,DATE($B$1,10,1)&lt;=TODAY(),OR($O88="",$O88&gt;=DATE($B$1,10,1)),OR(COUNTIF($C88:L88,"&gt;0")&gt;0,DATE($B$1,10,1)=DATE(YEAR(TODAY()),MONTH(TODAY()),1))),1,0))</f>
        <v/>
      </c>
      <c r="Z88">
        <f>IF($A88="","",IF(AND($B88&gt;0,M88&lt;$B88,DATE($B$1,11,1)&lt;=TODAY(),OR($O88="",$O88&gt;=DATE($B$1,11,1)),OR(COUNTIF($C88:M88,"&gt;0")&gt;0,DATE($B$1,11,1)=DATE(YEAR(TODAY()),MONTH(TODAY()),1))),1,0))</f>
        <v/>
      </c>
      <c r="AA88">
        <f>IF($A88="","",IF(AND($B88&gt;0,N88&lt;$B88,DATE($B$1,12,1)&lt;=TODAY(),OR($O88="",$O88&gt;=DATE($B$1,12,1)),OR(COUNTIF($C88:N88,"&gt;0")&gt;0,DATE($B$1,12,1)=DATE(YEAR(TODAY()),MONTH(TODAY()),1))),1,0))</f>
        <v/>
      </c>
    </row>
    <row r="89">
      <c r="A89" s="13">
        <f>IF(원생!$A87="","",원생!$A87&amp;IF(원생!$G87="",""," ("&amp;원생!$G87&amp;")"))</f>
        <v/>
      </c>
      <c r="B89" s="8">
        <f>IF(원생!$A87="","",N(원생!$F87))</f>
        <v/>
      </c>
      <c r="C89" s="14">
        <f>IF(원생!$A87="","",SUMIFS(계산!$C:$C,계산!$A:$A,계산!$E87,계산!$B:$B,$B$1*100+1))</f>
        <v/>
      </c>
      <c r="D89" s="14">
        <f>IF(원생!$A87="","",SUMIFS(계산!$C:$C,계산!$A:$A,계산!$E87,계산!$B:$B,$B$1*100+2))</f>
        <v/>
      </c>
      <c r="E89" s="14">
        <f>IF(원생!$A87="","",SUMIFS(계산!$C:$C,계산!$A:$A,계산!$E87,계산!$B:$B,$B$1*100+3))</f>
        <v/>
      </c>
      <c r="F89" s="14">
        <f>IF(원생!$A87="","",SUMIFS(계산!$C:$C,계산!$A:$A,계산!$E87,계산!$B:$B,$B$1*100+4))</f>
        <v/>
      </c>
      <c r="G89" s="14">
        <f>IF(원생!$A87="","",SUMIFS(계산!$C:$C,계산!$A:$A,계산!$E87,계산!$B:$B,$B$1*100+5))</f>
        <v/>
      </c>
      <c r="H89" s="14">
        <f>IF(원생!$A87="","",SUMIFS(계산!$C:$C,계산!$A:$A,계산!$E87,계산!$B:$B,$B$1*100+6))</f>
        <v/>
      </c>
      <c r="I89" s="14">
        <f>IF(원생!$A87="","",SUMIFS(계산!$C:$C,계산!$A:$A,계산!$E87,계산!$B:$B,$B$1*100+7))</f>
        <v/>
      </c>
      <c r="J89" s="14">
        <f>IF(원생!$A87="","",SUMIFS(계산!$C:$C,계산!$A:$A,계산!$E87,계산!$B:$B,$B$1*100+8))</f>
        <v/>
      </c>
      <c r="K89" s="14">
        <f>IF(원생!$A87="","",SUMIFS(계산!$C:$C,계산!$A:$A,계산!$E87,계산!$B:$B,$B$1*100+9))</f>
        <v/>
      </c>
      <c r="L89" s="14">
        <f>IF(원생!$A87="","",SUMIFS(계산!$C:$C,계산!$A:$A,계산!$E87,계산!$B:$B,$B$1*100+10))</f>
        <v/>
      </c>
      <c r="M89" s="14">
        <f>IF(원생!$A87="","",SUMIFS(계산!$C:$C,계산!$A:$A,계산!$E87,계산!$B:$B,$B$1*100+11))</f>
        <v/>
      </c>
      <c r="N89" s="14">
        <f>IF(원생!$A87="","",SUMIFS(계산!$C:$C,계산!$A:$A,계산!$E87,계산!$B:$B,$B$1*100+12))</f>
        <v/>
      </c>
      <c r="O89">
        <f>IF(원생!$I87="","",원생!$I87)</f>
        <v/>
      </c>
      <c r="P89">
        <f>IF($A89="","",IF(AND($B89&gt;0,C89&lt;$B89,DATE($B$1,1,1)&lt;=TODAY(),OR($O89="",$O89&gt;=DATE($B$1,1,1)),OR(COUNTIF($C89:C89,"&gt;0")&gt;0,DATE($B$1,1,1)=DATE(YEAR(TODAY()),MONTH(TODAY()),1))),1,0))</f>
        <v/>
      </c>
      <c r="Q89">
        <f>IF($A89="","",IF(AND($B89&gt;0,D89&lt;$B89,DATE($B$1,2,1)&lt;=TODAY(),OR($O89="",$O89&gt;=DATE($B$1,2,1)),OR(COUNTIF($C89:D89,"&gt;0")&gt;0,DATE($B$1,2,1)=DATE(YEAR(TODAY()),MONTH(TODAY()),1))),1,0))</f>
        <v/>
      </c>
      <c r="R89">
        <f>IF($A89="","",IF(AND($B89&gt;0,E89&lt;$B89,DATE($B$1,3,1)&lt;=TODAY(),OR($O89="",$O89&gt;=DATE($B$1,3,1)),OR(COUNTIF($C89:E89,"&gt;0")&gt;0,DATE($B$1,3,1)=DATE(YEAR(TODAY()),MONTH(TODAY()),1))),1,0))</f>
        <v/>
      </c>
      <c r="S89">
        <f>IF($A89="","",IF(AND($B89&gt;0,F89&lt;$B89,DATE($B$1,4,1)&lt;=TODAY(),OR($O89="",$O89&gt;=DATE($B$1,4,1)),OR(COUNTIF($C89:F89,"&gt;0")&gt;0,DATE($B$1,4,1)=DATE(YEAR(TODAY()),MONTH(TODAY()),1))),1,0))</f>
        <v/>
      </c>
      <c r="T89">
        <f>IF($A89="","",IF(AND($B89&gt;0,G89&lt;$B89,DATE($B$1,5,1)&lt;=TODAY(),OR($O89="",$O89&gt;=DATE($B$1,5,1)),OR(COUNTIF($C89:G89,"&gt;0")&gt;0,DATE($B$1,5,1)=DATE(YEAR(TODAY()),MONTH(TODAY()),1))),1,0))</f>
        <v/>
      </c>
      <c r="U89">
        <f>IF($A89="","",IF(AND($B89&gt;0,H89&lt;$B89,DATE($B$1,6,1)&lt;=TODAY(),OR($O89="",$O89&gt;=DATE($B$1,6,1)),OR(COUNTIF($C89:H89,"&gt;0")&gt;0,DATE($B$1,6,1)=DATE(YEAR(TODAY()),MONTH(TODAY()),1))),1,0))</f>
        <v/>
      </c>
      <c r="V89">
        <f>IF($A89="","",IF(AND($B89&gt;0,I89&lt;$B89,DATE($B$1,7,1)&lt;=TODAY(),OR($O89="",$O89&gt;=DATE($B$1,7,1)),OR(COUNTIF($C89:I89,"&gt;0")&gt;0,DATE($B$1,7,1)=DATE(YEAR(TODAY()),MONTH(TODAY()),1))),1,0))</f>
        <v/>
      </c>
      <c r="W89">
        <f>IF($A89="","",IF(AND($B89&gt;0,J89&lt;$B89,DATE($B$1,8,1)&lt;=TODAY(),OR($O89="",$O89&gt;=DATE($B$1,8,1)),OR(COUNTIF($C89:J89,"&gt;0")&gt;0,DATE($B$1,8,1)=DATE(YEAR(TODAY()),MONTH(TODAY()),1))),1,0))</f>
        <v/>
      </c>
      <c r="X89">
        <f>IF($A89="","",IF(AND($B89&gt;0,K89&lt;$B89,DATE($B$1,9,1)&lt;=TODAY(),OR($O89="",$O89&gt;=DATE($B$1,9,1)),OR(COUNTIF($C89:K89,"&gt;0")&gt;0,DATE($B$1,9,1)=DATE(YEAR(TODAY()),MONTH(TODAY()),1))),1,0))</f>
        <v/>
      </c>
      <c r="Y89">
        <f>IF($A89="","",IF(AND($B89&gt;0,L89&lt;$B89,DATE($B$1,10,1)&lt;=TODAY(),OR($O89="",$O89&gt;=DATE($B$1,10,1)),OR(COUNTIF($C89:L89,"&gt;0")&gt;0,DATE($B$1,10,1)=DATE(YEAR(TODAY()),MONTH(TODAY()),1))),1,0))</f>
        <v/>
      </c>
      <c r="Z89">
        <f>IF($A89="","",IF(AND($B89&gt;0,M89&lt;$B89,DATE($B$1,11,1)&lt;=TODAY(),OR($O89="",$O89&gt;=DATE($B$1,11,1)),OR(COUNTIF($C89:M89,"&gt;0")&gt;0,DATE($B$1,11,1)=DATE(YEAR(TODAY()),MONTH(TODAY()),1))),1,0))</f>
        <v/>
      </c>
      <c r="AA89">
        <f>IF($A89="","",IF(AND($B89&gt;0,N89&lt;$B89,DATE($B$1,12,1)&lt;=TODAY(),OR($O89="",$O89&gt;=DATE($B$1,12,1)),OR(COUNTIF($C89:N89,"&gt;0")&gt;0,DATE($B$1,12,1)=DATE(YEAR(TODAY()),MONTH(TODAY()),1))),1,0))</f>
        <v/>
      </c>
    </row>
    <row r="90">
      <c r="A90" s="13">
        <f>IF(원생!$A88="","",원생!$A88&amp;IF(원생!$G88="",""," ("&amp;원생!$G88&amp;")"))</f>
        <v/>
      </c>
      <c r="B90" s="8">
        <f>IF(원생!$A88="","",N(원생!$F88))</f>
        <v/>
      </c>
      <c r="C90" s="14">
        <f>IF(원생!$A88="","",SUMIFS(계산!$C:$C,계산!$A:$A,계산!$E88,계산!$B:$B,$B$1*100+1))</f>
        <v/>
      </c>
      <c r="D90" s="14">
        <f>IF(원생!$A88="","",SUMIFS(계산!$C:$C,계산!$A:$A,계산!$E88,계산!$B:$B,$B$1*100+2))</f>
        <v/>
      </c>
      <c r="E90" s="14">
        <f>IF(원생!$A88="","",SUMIFS(계산!$C:$C,계산!$A:$A,계산!$E88,계산!$B:$B,$B$1*100+3))</f>
        <v/>
      </c>
      <c r="F90" s="14">
        <f>IF(원생!$A88="","",SUMIFS(계산!$C:$C,계산!$A:$A,계산!$E88,계산!$B:$B,$B$1*100+4))</f>
        <v/>
      </c>
      <c r="G90" s="14">
        <f>IF(원생!$A88="","",SUMIFS(계산!$C:$C,계산!$A:$A,계산!$E88,계산!$B:$B,$B$1*100+5))</f>
        <v/>
      </c>
      <c r="H90" s="14">
        <f>IF(원생!$A88="","",SUMIFS(계산!$C:$C,계산!$A:$A,계산!$E88,계산!$B:$B,$B$1*100+6))</f>
        <v/>
      </c>
      <c r="I90" s="14">
        <f>IF(원생!$A88="","",SUMIFS(계산!$C:$C,계산!$A:$A,계산!$E88,계산!$B:$B,$B$1*100+7))</f>
        <v/>
      </c>
      <c r="J90" s="14">
        <f>IF(원생!$A88="","",SUMIFS(계산!$C:$C,계산!$A:$A,계산!$E88,계산!$B:$B,$B$1*100+8))</f>
        <v/>
      </c>
      <c r="K90" s="14">
        <f>IF(원생!$A88="","",SUMIFS(계산!$C:$C,계산!$A:$A,계산!$E88,계산!$B:$B,$B$1*100+9))</f>
        <v/>
      </c>
      <c r="L90" s="14">
        <f>IF(원생!$A88="","",SUMIFS(계산!$C:$C,계산!$A:$A,계산!$E88,계산!$B:$B,$B$1*100+10))</f>
        <v/>
      </c>
      <c r="M90" s="14">
        <f>IF(원생!$A88="","",SUMIFS(계산!$C:$C,계산!$A:$A,계산!$E88,계산!$B:$B,$B$1*100+11))</f>
        <v/>
      </c>
      <c r="N90" s="14">
        <f>IF(원생!$A88="","",SUMIFS(계산!$C:$C,계산!$A:$A,계산!$E88,계산!$B:$B,$B$1*100+12))</f>
        <v/>
      </c>
      <c r="O90">
        <f>IF(원생!$I88="","",원생!$I88)</f>
        <v/>
      </c>
      <c r="P90">
        <f>IF($A90="","",IF(AND($B90&gt;0,C90&lt;$B90,DATE($B$1,1,1)&lt;=TODAY(),OR($O90="",$O90&gt;=DATE($B$1,1,1)),OR(COUNTIF($C90:C90,"&gt;0")&gt;0,DATE($B$1,1,1)=DATE(YEAR(TODAY()),MONTH(TODAY()),1))),1,0))</f>
        <v/>
      </c>
      <c r="Q90">
        <f>IF($A90="","",IF(AND($B90&gt;0,D90&lt;$B90,DATE($B$1,2,1)&lt;=TODAY(),OR($O90="",$O90&gt;=DATE($B$1,2,1)),OR(COUNTIF($C90:D90,"&gt;0")&gt;0,DATE($B$1,2,1)=DATE(YEAR(TODAY()),MONTH(TODAY()),1))),1,0))</f>
        <v/>
      </c>
      <c r="R90">
        <f>IF($A90="","",IF(AND($B90&gt;0,E90&lt;$B90,DATE($B$1,3,1)&lt;=TODAY(),OR($O90="",$O90&gt;=DATE($B$1,3,1)),OR(COUNTIF($C90:E90,"&gt;0")&gt;0,DATE($B$1,3,1)=DATE(YEAR(TODAY()),MONTH(TODAY()),1))),1,0))</f>
        <v/>
      </c>
      <c r="S90">
        <f>IF($A90="","",IF(AND($B90&gt;0,F90&lt;$B90,DATE($B$1,4,1)&lt;=TODAY(),OR($O90="",$O90&gt;=DATE($B$1,4,1)),OR(COUNTIF($C90:F90,"&gt;0")&gt;0,DATE($B$1,4,1)=DATE(YEAR(TODAY()),MONTH(TODAY()),1))),1,0))</f>
        <v/>
      </c>
      <c r="T90">
        <f>IF($A90="","",IF(AND($B90&gt;0,G90&lt;$B90,DATE($B$1,5,1)&lt;=TODAY(),OR($O90="",$O90&gt;=DATE($B$1,5,1)),OR(COUNTIF($C90:G90,"&gt;0")&gt;0,DATE($B$1,5,1)=DATE(YEAR(TODAY()),MONTH(TODAY()),1))),1,0))</f>
        <v/>
      </c>
      <c r="U90">
        <f>IF($A90="","",IF(AND($B90&gt;0,H90&lt;$B90,DATE($B$1,6,1)&lt;=TODAY(),OR($O90="",$O90&gt;=DATE($B$1,6,1)),OR(COUNTIF($C90:H90,"&gt;0")&gt;0,DATE($B$1,6,1)=DATE(YEAR(TODAY()),MONTH(TODAY()),1))),1,0))</f>
        <v/>
      </c>
      <c r="V90">
        <f>IF($A90="","",IF(AND($B90&gt;0,I90&lt;$B90,DATE($B$1,7,1)&lt;=TODAY(),OR($O90="",$O90&gt;=DATE($B$1,7,1)),OR(COUNTIF($C90:I90,"&gt;0")&gt;0,DATE($B$1,7,1)=DATE(YEAR(TODAY()),MONTH(TODAY()),1))),1,0))</f>
        <v/>
      </c>
      <c r="W90">
        <f>IF($A90="","",IF(AND($B90&gt;0,J90&lt;$B90,DATE($B$1,8,1)&lt;=TODAY(),OR($O90="",$O90&gt;=DATE($B$1,8,1)),OR(COUNTIF($C90:J90,"&gt;0")&gt;0,DATE($B$1,8,1)=DATE(YEAR(TODAY()),MONTH(TODAY()),1))),1,0))</f>
        <v/>
      </c>
      <c r="X90">
        <f>IF($A90="","",IF(AND($B90&gt;0,K90&lt;$B90,DATE($B$1,9,1)&lt;=TODAY(),OR($O90="",$O90&gt;=DATE($B$1,9,1)),OR(COUNTIF($C90:K90,"&gt;0")&gt;0,DATE($B$1,9,1)=DATE(YEAR(TODAY()),MONTH(TODAY()),1))),1,0))</f>
        <v/>
      </c>
      <c r="Y90">
        <f>IF($A90="","",IF(AND($B90&gt;0,L90&lt;$B90,DATE($B$1,10,1)&lt;=TODAY(),OR($O90="",$O90&gt;=DATE($B$1,10,1)),OR(COUNTIF($C90:L90,"&gt;0")&gt;0,DATE($B$1,10,1)=DATE(YEAR(TODAY()),MONTH(TODAY()),1))),1,0))</f>
        <v/>
      </c>
      <c r="Z90">
        <f>IF($A90="","",IF(AND($B90&gt;0,M90&lt;$B90,DATE($B$1,11,1)&lt;=TODAY(),OR($O90="",$O90&gt;=DATE($B$1,11,1)),OR(COUNTIF($C90:M90,"&gt;0")&gt;0,DATE($B$1,11,1)=DATE(YEAR(TODAY()),MONTH(TODAY()),1))),1,0))</f>
        <v/>
      </c>
      <c r="AA90">
        <f>IF($A90="","",IF(AND($B90&gt;0,N90&lt;$B90,DATE($B$1,12,1)&lt;=TODAY(),OR($O90="",$O90&gt;=DATE($B$1,12,1)),OR(COUNTIF($C90:N90,"&gt;0")&gt;0,DATE($B$1,12,1)=DATE(YEAR(TODAY()),MONTH(TODAY()),1))),1,0))</f>
        <v/>
      </c>
    </row>
    <row r="91">
      <c r="A91" s="13">
        <f>IF(원생!$A89="","",원생!$A89&amp;IF(원생!$G89="",""," ("&amp;원생!$G89&amp;")"))</f>
        <v/>
      </c>
      <c r="B91" s="8">
        <f>IF(원생!$A89="","",N(원생!$F89))</f>
        <v/>
      </c>
      <c r="C91" s="14">
        <f>IF(원생!$A89="","",SUMIFS(계산!$C:$C,계산!$A:$A,계산!$E89,계산!$B:$B,$B$1*100+1))</f>
        <v/>
      </c>
      <c r="D91" s="14">
        <f>IF(원생!$A89="","",SUMIFS(계산!$C:$C,계산!$A:$A,계산!$E89,계산!$B:$B,$B$1*100+2))</f>
        <v/>
      </c>
      <c r="E91" s="14">
        <f>IF(원생!$A89="","",SUMIFS(계산!$C:$C,계산!$A:$A,계산!$E89,계산!$B:$B,$B$1*100+3))</f>
        <v/>
      </c>
      <c r="F91" s="14">
        <f>IF(원생!$A89="","",SUMIFS(계산!$C:$C,계산!$A:$A,계산!$E89,계산!$B:$B,$B$1*100+4))</f>
        <v/>
      </c>
      <c r="G91" s="14">
        <f>IF(원생!$A89="","",SUMIFS(계산!$C:$C,계산!$A:$A,계산!$E89,계산!$B:$B,$B$1*100+5))</f>
        <v/>
      </c>
      <c r="H91" s="14">
        <f>IF(원생!$A89="","",SUMIFS(계산!$C:$C,계산!$A:$A,계산!$E89,계산!$B:$B,$B$1*100+6))</f>
        <v/>
      </c>
      <c r="I91" s="14">
        <f>IF(원생!$A89="","",SUMIFS(계산!$C:$C,계산!$A:$A,계산!$E89,계산!$B:$B,$B$1*100+7))</f>
        <v/>
      </c>
      <c r="J91" s="14">
        <f>IF(원생!$A89="","",SUMIFS(계산!$C:$C,계산!$A:$A,계산!$E89,계산!$B:$B,$B$1*100+8))</f>
        <v/>
      </c>
      <c r="K91" s="14">
        <f>IF(원생!$A89="","",SUMIFS(계산!$C:$C,계산!$A:$A,계산!$E89,계산!$B:$B,$B$1*100+9))</f>
        <v/>
      </c>
      <c r="L91" s="14">
        <f>IF(원생!$A89="","",SUMIFS(계산!$C:$C,계산!$A:$A,계산!$E89,계산!$B:$B,$B$1*100+10))</f>
        <v/>
      </c>
      <c r="M91" s="14">
        <f>IF(원생!$A89="","",SUMIFS(계산!$C:$C,계산!$A:$A,계산!$E89,계산!$B:$B,$B$1*100+11))</f>
        <v/>
      </c>
      <c r="N91" s="14">
        <f>IF(원생!$A89="","",SUMIFS(계산!$C:$C,계산!$A:$A,계산!$E89,계산!$B:$B,$B$1*100+12))</f>
        <v/>
      </c>
      <c r="O91">
        <f>IF(원생!$I89="","",원생!$I89)</f>
        <v/>
      </c>
      <c r="P91">
        <f>IF($A91="","",IF(AND($B91&gt;0,C91&lt;$B91,DATE($B$1,1,1)&lt;=TODAY(),OR($O91="",$O91&gt;=DATE($B$1,1,1)),OR(COUNTIF($C91:C91,"&gt;0")&gt;0,DATE($B$1,1,1)=DATE(YEAR(TODAY()),MONTH(TODAY()),1))),1,0))</f>
        <v/>
      </c>
      <c r="Q91">
        <f>IF($A91="","",IF(AND($B91&gt;0,D91&lt;$B91,DATE($B$1,2,1)&lt;=TODAY(),OR($O91="",$O91&gt;=DATE($B$1,2,1)),OR(COUNTIF($C91:D91,"&gt;0")&gt;0,DATE($B$1,2,1)=DATE(YEAR(TODAY()),MONTH(TODAY()),1))),1,0))</f>
        <v/>
      </c>
      <c r="R91">
        <f>IF($A91="","",IF(AND($B91&gt;0,E91&lt;$B91,DATE($B$1,3,1)&lt;=TODAY(),OR($O91="",$O91&gt;=DATE($B$1,3,1)),OR(COUNTIF($C91:E91,"&gt;0")&gt;0,DATE($B$1,3,1)=DATE(YEAR(TODAY()),MONTH(TODAY()),1))),1,0))</f>
        <v/>
      </c>
      <c r="S91">
        <f>IF($A91="","",IF(AND($B91&gt;0,F91&lt;$B91,DATE($B$1,4,1)&lt;=TODAY(),OR($O91="",$O91&gt;=DATE($B$1,4,1)),OR(COUNTIF($C91:F91,"&gt;0")&gt;0,DATE($B$1,4,1)=DATE(YEAR(TODAY()),MONTH(TODAY()),1))),1,0))</f>
        <v/>
      </c>
      <c r="T91">
        <f>IF($A91="","",IF(AND($B91&gt;0,G91&lt;$B91,DATE($B$1,5,1)&lt;=TODAY(),OR($O91="",$O91&gt;=DATE($B$1,5,1)),OR(COUNTIF($C91:G91,"&gt;0")&gt;0,DATE($B$1,5,1)=DATE(YEAR(TODAY()),MONTH(TODAY()),1))),1,0))</f>
        <v/>
      </c>
      <c r="U91">
        <f>IF($A91="","",IF(AND($B91&gt;0,H91&lt;$B91,DATE($B$1,6,1)&lt;=TODAY(),OR($O91="",$O91&gt;=DATE($B$1,6,1)),OR(COUNTIF($C91:H91,"&gt;0")&gt;0,DATE($B$1,6,1)=DATE(YEAR(TODAY()),MONTH(TODAY()),1))),1,0))</f>
        <v/>
      </c>
      <c r="V91">
        <f>IF($A91="","",IF(AND($B91&gt;0,I91&lt;$B91,DATE($B$1,7,1)&lt;=TODAY(),OR($O91="",$O91&gt;=DATE($B$1,7,1)),OR(COUNTIF($C91:I91,"&gt;0")&gt;0,DATE($B$1,7,1)=DATE(YEAR(TODAY()),MONTH(TODAY()),1))),1,0))</f>
        <v/>
      </c>
      <c r="W91">
        <f>IF($A91="","",IF(AND($B91&gt;0,J91&lt;$B91,DATE($B$1,8,1)&lt;=TODAY(),OR($O91="",$O91&gt;=DATE($B$1,8,1)),OR(COUNTIF($C91:J91,"&gt;0")&gt;0,DATE($B$1,8,1)=DATE(YEAR(TODAY()),MONTH(TODAY()),1))),1,0))</f>
        <v/>
      </c>
      <c r="X91">
        <f>IF($A91="","",IF(AND($B91&gt;0,K91&lt;$B91,DATE($B$1,9,1)&lt;=TODAY(),OR($O91="",$O91&gt;=DATE($B$1,9,1)),OR(COUNTIF($C91:K91,"&gt;0")&gt;0,DATE($B$1,9,1)=DATE(YEAR(TODAY()),MONTH(TODAY()),1))),1,0))</f>
        <v/>
      </c>
      <c r="Y91">
        <f>IF($A91="","",IF(AND($B91&gt;0,L91&lt;$B91,DATE($B$1,10,1)&lt;=TODAY(),OR($O91="",$O91&gt;=DATE($B$1,10,1)),OR(COUNTIF($C91:L91,"&gt;0")&gt;0,DATE($B$1,10,1)=DATE(YEAR(TODAY()),MONTH(TODAY()),1))),1,0))</f>
        <v/>
      </c>
      <c r="Z91">
        <f>IF($A91="","",IF(AND($B91&gt;0,M91&lt;$B91,DATE($B$1,11,1)&lt;=TODAY(),OR($O91="",$O91&gt;=DATE($B$1,11,1)),OR(COUNTIF($C91:M91,"&gt;0")&gt;0,DATE($B$1,11,1)=DATE(YEAR(TODAY()),MONTH(TODAY()),1))),1,0))</f>
        <v/>
      </c>
      <c r="AA91">
        <f>IF($A91="","",IF(AND($B91&gt;0,N91&lt;$B91,DATE($B$1,12,1)&lt;=TODAY(),OR($O91="",$O91&gt;=DATE($B$1,12,1)),OR(COUNTIF($C91:N91,"&gt;0")&gt;0,DATE($B$1,12,1)=DATE(YEAR(TODAY()),MONTH(TODAY()),1))),1,0))</f>
        <v/>
      </c>
    </row>
    <row r="92">
      <c r="A92" s="13">
        <f>IF(원생!$A90="","",원생!$A90&amp;IF(원생!$G90="",""," ("&amp;원생!$G90&amp;")"))</f>
        <v/>
      </c>
      <c r="B92" s="8">
        <f>IF(원생!$A90="","",N(원생!$F90))</f>
        <v/>
      </c>
      <c r="C92" s="14">
        <f>IF(원생!$A90="","",SUMIFS(계산!$C:$C,계산!$A:$A,계산!$E90,계산!$B:$B,$B$1*100+1))</f>
        <v/>
      </c>
      <c r="D92" s="14">
        <f>IF(원생!$A90="","",SUMIFS(계산!$C:$C,계산!$A:$A,계산!$E90,계산!$B:$B,$B$1*100+2))</f>
        <v/>
      </c>
      <c r="E92" s="14">
        <f>IF(원생!$A90="","",SUMIFS(계산!$C:$C,계산!$A:$A,계산!$E90,계산!$B:$B,$B$1*100+3))</f>
        <v/>
      </c>
      <c r="F92" s="14">
        <f>IF(원생!$A90="","",SUMIFS(계산!$C:$C,계산!$A:$A,계산!$E90,계산!$B:$B,$B$1*100+4))</f>
        <v/>
      </c>
      <c r="G92" s="14">
        <f>IF(원생!$A90="","",SUMIFS(계산!$C:$C,계산!$A:$A,계산!$E90,계산!$B:$B,$B$1*100+5))</f>
        <v/>
      </c>
      <c r="H92" s="14">
        <f>IF(원생!$A90="","",SUMIFS(계산!$C:$C,계산!$A:$A,계산!$E90,계산!$B:$B,$B$1*100+6))</f>
        <v/>
      </c>
      <c r="I92" s="14">
        <f>IF(원생!$A90="","",SUMIFS(계산!$C:$C,계산!$A:$A,계산!$E90,계산!$B:$B,$B$1*100+7))</f>
        <v/>
      </c>
      <c r="J92" s="14">
        <f>IF(원생!$A90="","",SUMIFS(계산!$C:$C,계산!$A:$A,계산!$E90,계산!$B:$B,$B$1*100+8))</f>
        <v/>
      </c>
      <c r="K92" s="14">
        <f>IF(원생!$A90="","",SUMIFS(계산!$C:$C,계산!$A:$A,계산!$E90,계산!$B:$B,$B$1*100+9))</f>
        <v/>
      </c>
      <c r="L92" s="14">
        <f>IF(원생!$A90="","",SUMIFS(계산!$C:$C,계산!$A:$A,계산!$E90,계산!$B:$B,$B$1*100+10))</f>
        <v/>
      </c>
      <c r="M92" s="14">
        <f>IF(원생!$A90="","",SUMIFS(계산!$C:$C,계산!$A:$A,계산!$E90,계산!$B:$B,$B$1*100+11))</f>
        <v/>
      </c>
      <c r="N92" s="14">
        <f>IF(원생!$A90="","",SUMIFS(계산!$C:$C,계산!$A:$A,계산!$E90,계산!$B:$B,$B$1*100+12))</f>
        <v/>
      </c>
      <c r="O92">
        <f>IF(원생!$I90="","",원생!$I90)</f>
        <v/>
      </c>
      <c r="P92">
        <f>IF($A92="","",IF(AND($B92&gt;0,C92&lt;$B92,DATE($B$1,1,1)&lt;=TODAY(),OR($O92="",$O92&gt;=DATE($B$1,1,1)),OR(COUNTIF($C92:C92,"&gt;0")&gt;0,DATE($B$1,1,1)=DATE(YEAR(TODAY()),MONTH(TODAY()),1))),1,0))</f>
        <v/>
      </c>
      <c r="Q92">
        <f>IF($A92="","",IF(AND($B92&gt;0,D92&lt;$B92,DATE($B$1,2,1)&lt;=TODAY(),OR($O92="",$O92&gt;=DATE($B$1,2,1)),OR(COUNTIF($C92:D92,"&gt;0")&gt;0,DATE($B$1,2,1)=DATE(YEAR(TODAY()),MONTH(TODAY()),1))),1,0))</f>
        <v/>
      </c>
      <c r="R92">
        <f>IF($A92="","",IF(AND($B92&gt;0,E92&lt;$B92,DATE($B$1,3,1)&lt;=TODAY(),OR($O92="",$O92&gt;=DATE($B$1,3,1)),OR(COUNTIF($C92:E92,"&gt;0")&gt;0,DATE($B$1,3,1)=DATE(YEAR(TODAY()),MONTH(TODAY()),1))),1,0))</f>
        <v/>
      </c>
      <c r="S92">
        <f>IF($A92="","",IF(AND($B92&gt;0,F92&lt;$B92,DATE($B$1,4,1)&lt;=TODAY(),OR($O92="",$O92&gt;=DATE($B$1,4,1)),OR(COUNTIF($C92:F92,"&gt;0")&gt;0,DATE($B$1,4,1)=DATE(YEAR(TODAY()),MONTH(TODAY()),1))),1,0))</f>
        <v/>
      </c>
      <c r="T92">
        <f>IF($A92="","",IF(AND($B92&gt;0,G92&lt;$B92,DATE($B$1,5,1)&lt;=TODAY(),OR($O92="",$O92&gt;=DATE($B$1,5,1)),OR(COUNTIF($C92:G92,"&gt;0")&gt;0,DATE($B$1,5,1)=DATE(YEAR(TODAY()),MONTH(TODAY()),1))),1,0))</f>
        <v/>
      </c>
      <c r="U92">
        <f>IF($A92="","",IF(AND($B92&gt;0,H92&lt;$B92,DATE($B$1,6,1)&lt;=TODAY(),OR($O92="",$O92&gt;=DATE($B$1,6,1)),OR(COUNTIF($C92:H92,"&gt;0")&gt;0,DATE($B$1,6,1)=DATE(YEAR(TODAY()),MONTH(TODAY()),1))),1,0))</f>
        <v/>
      </c>
      <c r="V92">
        <f>IF($A92="","",IF(AND($B92&gt;0,I92&lt;$B92,DATE($B$1,7,1)&lt;=TODAY(),OR($O92="",$O92&gt;=DATE($B$1,7,1)),OR(COUNTIF($C92:I92,"&gt;0")&gt;0,DATE($B$1,7,1)=DATE(YEAR(TODAY()),MONTH(TODAY()),1))),1,0))</f>
        <v/>
      </c>
      <c r="W92">
        <f>IF($A92="","",IF(AND($B92&gt;0,J92&lt;$B92,DATE($B$1,8,1)&lt;=TODAY(),OR($O92="",$O92&gt;=DATE($B$1,8,1)),OR(COUNTIF($C92:J92,"&gt;0")&gt;0,DATE($B$1,8,1)=DATE(YEAR(TODAY()),MONTH(TODAY()),1))),1,0))</f>
        <v/>
      </c>
      <c r="X92">
        <f>IF($A92="","",IF(AND($B92&gt;0,K92&lt;$B92,DATE($B$1,9,1)&lt;=TODAY(),OR($O92="",$O92&gt;=DATE($B$1,9,1)),OR(COUNTIF($C92:K92,"&gt;0")&gt;0,DATE($B$1,9,1)=DATE(YEAR(TODAY()),MONTH(TODAY()),1))),1,0))</f>
        <v/>
      </c>
      <c r="Y92">
        <f>IF($A92="","",IF(AND($B92&gt;0,L92&lt;$B92,DATE($B$1,10,1)&lt;=TODAY(),OR($O92="",$O92&gt;=DATE($B$1,10,1)),OR(COUNTIF($C92:L92,"&gt;0")&gt;0,DATE($B$1,10,1)=DATE(YEAR(TODAY()),MONTH(TODAY()),1))),1,0))</f>
        <v/>
      </c>
      <c r="Z92">
        <f>IF($A92="","",IF(AND($B92&gt;0,M92&lt;$B92,DATE($B$1,11,1)&lt;=TODAY(),OR($O92="",$O92&gt;=DATE($B$1,11,1)),OR(COUNTIF($C92:M92,"&gt;0")&gt;0,DATE($B$1,11,1)=DATE(YEAR(TODAY()),MONTH(TODAY()),1))),1,0))</f>
        <v/>
      </c>
      <c r="AA92">
        <f>IF($A92="","",IF(AND($B92&gt;0,N92&lt;$B92,DATE($B$1,12,1)&lt;=TODAY(),OR($O92="",$O92&gt;=DATE($B$1,12,1)),OR(COUNTIF($C92:N92,"&gt;0")&gt;0,DATE($B$1,12,1)=DATE(YEAR(TODAY()),MONTH(TODAY()),1))),1,0))</f>
        <v/>
      </c>
    </row>
    <row r="93">
      <c r="A93" s="13">
        <f>IF(원생!$A91="","",원생!$A91&amp;IF(원생!$G91="",""," ("&amp;원생!$G91&amp;")"))</f>
        <v/>
      </c>
      <c r="B93" s="8">
        <f>IF(원생!$A91="","",N(원생!$F91))</f>
        <v/>
      </c>
      <c r="C93" s="14">
        <f>IF(원생!$A91="","",SUMIFS(계산!$C:$C,계산!$A:$A,계산!$E91,계산!$B:$B,$B$1*100+1))</f>
        <v/>
      </c>
      <c r="D93" s="14">
        <f>IF(원생!$A91="","",SUMIFS(계산!$C:$C,계산!$A:$A,계산!$E91,계산!$B:$B,$B$1*100+2))</f>
        <v/>
      </c>
      <c r="E93" s="14">
        <f>IF(원생!$A91="","",SUMIFS(계산!$C:$C,계산!$A:$A,계산!$E91,계산!$B:$B,$B$1*100+3))</f>
        <v/>
      </c>
      <c r="F93" s="14">
        <f>IF(원생!$A91="","",SUMIFS(계산!$C:$C,계산!$A:$A,계산!$E91,계산!$B:$B,$B$1*100+4))</f>
        <v/>
      </c>
      <c r="G93" s="14">
        <f>IF(원생!$A91="","",SUMIFS(계산!$C:$C,계산!$A:$A,계산!$E91,계산!$B:$B,$B$1*100+5))</f>
        <v/>
      </c>
      <c r="H93" s="14">
        <f>IF(원생!$A91="","",SUMIFS(계산!$C:$C,계산!$A:$A,계산!$E91,계산!$B:$B,$B$1*100+6))</f>
        <v/>
      </c>
      <c r="I93" s="14">
        <f>IF(원생!$A91="","",SUMIFS(계산!$C:$C,계산!$A:$A,계산!$E91,계산!$B:$B,$B$1*100+7))</f>
        <v/>
      </c>
      <c r="J93" s="14">
        <f>IF(원생!$A91="","",SUMIFS(계산!$C:$C,계산!$A:$A,계산!$E91,계산!$B:$B,$B$1*100+8))</f>
        <v/>
      </c>
      <c r="K93" s="14">
        <f>IF(원생!$A91="","",SUMIFS(계산!$C:$C,계산!$A:$A,계산!$E91,계산!$B:$B,$B$1*100+9))</f>
        <v/>
      </c>
      <c r="L93" s="14">
        <f>IF(원생!$A91="","",SUMIFS(계산!$C:$C,계산!$A:$A,계산!$E91,계산!$B:$B,$B$1*100+10))</f>
        <v/>
      </c>
      <c r="M93" s="14">
        <f>IF(원생!$A91="","",SUMIFS(계산!$C:$C,계산!$A:$A,계산!$E91,계산!$B:$B,$B$1*100+11))</f>
        <v/>
      </c>
      <c r="N93" s="14">
        <f>IF(원생!$A91="","",SUMIFS(계산!$C:$C,계산!$A:$A,계산!$E91,계산!$B:$B,$B$1*100+12))</f>
        <v/>
      </c>
      <c r="O93">
        <f>IF(원생!$I91="","",원생!$I91)</f>
        <v/>
      </c>
      <c r="P93">
        <f>IF($A93="","",IF(AND($B93&gt;0,C93&lt;$B93,DATE($B$1,1,1)&lt;=TODAY(),OR($O93="",$O93&gt;=DATE($B$1,1,1)),OR(COUNTIF($C93:C93,"&gt;0")&gt;0,DATE($B$1,1,1)=DATE(YEAR(TODAY()),MONTH(TODAY()),1))),1,0))</f>
        <v/>
      </c>
      <c r="Q93">
        <f>IF($A93="","",IF(AND($B93&gt;0,D93&lt;$B93,DATE($B$1,2,1)&lt;=TODAY(),OR($O93="",$O93&gt;=DATE($B$1,2,1)),OR(COUNTIF($C93:D93,"&gt;0")&gt;0,DATE($B$1,2,1)=DATE(YEAR(TODAY()),MONTH(TODAY()),1))),1,0))</f>
        <v/>
      </c>
      <c r="R93">
        <f>IF($A93="","",IF(AND($B93&gt;0,E93&lt;$B93,DATE($B$1,3,1)&lt;=TODAY(),OR($O93="",$O93&gt;=DATE($B$1,3,1)),OR(COUNTIF($C93:E93,"&gt;0")&gt;0,DATE($B$1,3,1)=DATE(YEAR(TODAY()),MONTH(TODAY()),1))),1,0))</f>
        <v/>
      </c>
      <c r="S93">
        <f>IF($A93="","",IF(AND($B93&gt;0,F93&lt;$B93,DATE($B$1,4,1)&lt;=TODAY(),OR($O93="",$O93&gt;=DATE($B$1,4,1)),OR(COUNTIF($C93:F93,"&gt;0")&gt;0,DATE($B$1,4,1)=DATE(YEAR(TODAY()),MONTH(TODAY()),1))),1,0))</f>
        <v/>
      </c>
      <c r="T93">
        <f>IF($A93="","",IF(AND($B93&gt;0,G93&lt;$B93,DATE($B$1,5,1)&lt;=TODAY(),OR($O93="",$O93&gt;=DATE($B$1,5,1)),OR(COUNTIF($C93:G93,"&gt;0")&gt;0,DATE($B$1,5,1)=DATE(YEAR(TODAY()),MONTH(TODAY()),1))),1,0))</f>
        <v/>
      </c>
      <c r="U93">
        <f>IF($A93="","",IF(AND($B93&gt;0,H93&lt;$B93,DATE($B$1,6,1)&lt;=TODAY(),OR($O93="",$O93&gt;=DATE($B$1,6,1)),OR(COUNTIF($C93:H93,"&gt;0")&gt;0,DATE($B$1,6,1)=DATE(YEAR(TODAY()),MONTH(TODAY()),1))),1,0))</f>
        <v/>
      </c>
      <c r="V93">
        <f>IF($A93="","",IF(AND($B93&gt;0,I93&lt;$B93,DATE($B$1,7,1)&lt;=TODAY(),OR($O93="",$O93&gt;=DATE($B$1,7,1)),OR(COUNTIF($C93:I93,"&gt;0")&gt;0,DATE($B$1,7,1)=DATE(YEAR(TODAY()),MONTH(TODAY()),1))),1,0))</f>
        <v/>
      </c>
      <c r="W93">
        <f>IF($A93="","",IF(AND($B93&gt;0,J93&lt;$B93,DATE($B$1,8,1)&lt;=TODAY(),OR($O93="",$O93&gt;=DATE($B$1,8,1)),OR(COUNTIF($C93:J93,"&gt;0")&gt;0,DATE($B$1,8,1)=DATE(YEAR(TODAY()),MONTH(TODAY()),1))),1,0))</f>
        <v/>
      </c>
      <c r="X93">
        <f>IF($A93="","",IF(AND($B93&gt;0,K93&lt;$B93,DATE($B$1,9,1)&lt;=TODAY(),OR($O93="",$O93&gt;=DATE($B$1,9,1)),OR(COUNTIF($C93:K93,"&gt;0")&gt;0,DATE($B$1,9,1)=DATE(YEAR(TODAY()),MONTH(TODAY()),1))),1,0))</f>
        <v/>
      </c>
      <c r="Y93">
        <f>IF($A93="","",IF(AND($B93&gt;0,L93&lt;$B93,DATE($B$1,10,1)&lt;=TODAY(),OR($O93="",$O93&gt;=DATE($B$1,10,1)),OR(COUNTIF($C93:L93,"&gt;0")&gt;0,DATE($B$1,10,1)=DATE(YEAR(TODAY()),MONTH(TODAY()),1))),1,0))</f>
        <v/>
      </c>
      <c r="Z93">
        <f>IF($A93="","",IF(AND($B93&gt;0,M93&lt;$B93,DATE($B$1,11,1)&lt;=TODAY(),OR($O93="",$O93&gt;=DATE($B$1,11,1)),OR(COUNTIF($C93:M93,"&gt;0")&gt;0,DATE($B$1,11,1)=DATE(YEAR(TODAY()),MONTH(TODAY()),1))),1,0))</f>
        <v/>
      </c>
      <c r="AA93">
        <f>IF($A93="","",IF(AND($B93&gt;0,N93&lt;$B93,DATE($B$1,12,1)&lt;=TODAY(),OR($O93="",$O93&gt;=DATE($B$1,12,1)),OR(COUNTIF($C93:N93,"&gt;0")&gt;0,DATE($B$1,12,1)=DATE(YEAR(TODAY()),MONTH(TODAY()),1))),1,0))</f>
        <v/>
      </c>
    </row>
    <row r="94">
      <c r="A94" s="13">
        <f>IF(원생!$A92="","",원생!$A92&amp;IF(원생!$G92="",""," ("&amp;원생!$G92&amp;")"))</f>
        <v/>
      </c>
      <c r="B94" s="8">
        <f>IF(원생!$A92="","",N(원생!$F92))</f>
        <v/>
      </c>
      <c r="C94" s="14">
        <f>IF(원생!$A92="","",SUMIFS(계산!$C:$C,계산!$A:$A,계산!$E92,계산!$B:$B,$B$1*100+1))</f>
        <v/>
      </c>
      <c r="D94" s="14">
        <f>IF(원생!$A92="","",SUMIFS(계산!$C:$C,계산!$A:$A,계산!$E92,계산!$B:$B,$B$1*100+2))</f>
        <v/>
      </c>
      <c r="E94" s="14">
        <f>IF(원생!$A92="","",SUMIFS(계산!$C:$C,계산!$A:$A,계산!$E92,계산!$B:$B,$B$1*100+3))</f>
        <v/>
      </c>
      <c r="F94" s="14">
        <f>IF(원생!$A92="","",SUMIFS(계산!$C:$C,계산!$A:$A,계산!$E92,계산!$B:$B,$B$1*100+4))</f>
        <v/>
      </c>
      <c r="G94" s="14">
        <f>IF(원생!$A92="","",SUMIFS(계산!$C:$C,계산!$A:$A,계산!$E92,계산!$B:$B,$B$1*100+5))</f>
        <v/>
      </c>
      <c r="H94" s="14">
        <f>IF(원생!$A92="","",SUMIFS(계산!$C:$C,계산!$A:$A,계산!$E92,계산!$B:$B,$B$1*100+6))</f>
        <v/>
      </c>
      <c r="I94" s="14">
        <f>IF(원생!$A92="","",SUMIFS(계산!$C:$C,계산!$A:$A,계산!$E92,계산!$B:$B,$B$1*100+7))</f>
        <v/>
      </c>
      <c r="J94" s="14">
        <f>IF(원생!$A92="","",SUMIFS(계산!$C:$C,계산!$A:$A,계산!$E92,계산!$B:$B,$B$1*100+8))</f>
        <v/>
      </c>
      <c r="K94" s="14">
        <f>IF(원생!$A92="","",SUMIFS(계산!$C:$C,계산!$A:$A,계산!$E92,계산!$B:$B,$B$1*100+9))</f>
        <v/>
      </c>
      <c r="L94" s="14">
        <f>IF(원생!$A92="","",SUMIFS(계산!$C:$C,계산!$A:$A,계산!$E92,계산!$B:$B,$B$1*100+10))</f>
        <v/>
      </c>
      <c r="M94" s="14">
        <f>IF(원생!$A92="","",SUMIFS(계산!$C:$C,계산!$A:$A,계산!$E92,계산!$B:$B,$B$1*100+11))</f>
        <v/>
      </c>
      <c r="N94" s="14">
        <f>IF(원생!$A92="","",SUMIFS(계산!$C:$C,계산!$A:$A,계산!$E92,계산!$B:$B,$B$1*100+12))</f>
        <v/>
      </c>
      <c r="O94">
        <f>IF(원생!$I92="","",원생!$I92)</f>
        <v/>
      </c>
      <c r="P94">
        <f>IF($A94="","",IF(AND($B94&gt;0,C94&lt;$B94,DATE($B$1,1,1)&lt;=TODAY(),OR($O94="",$O94&gt;=DATE($B$1,1,1)),OR(COUNTIF($C94:C94,"&gt;0")&gt;0,DATE($B$1,1,1)=DATE(YEAR(TODAY()),MONTH(TODAY()),1))),1,0))</f>
        <v/>
      </c>
      <c r="Q94">
        <f>IF($A94="","",IF(AND($B94&gt;0,D94&lt;$B94,DATE($B$1,2,1)&lt;=TODAY(),OR($O94="",$O94&gt;=DATE($B$1,2,1)),OR(COUNTIF($C94:D94,"&gt;0")&gt;0,DATE($B$1,2,1)=DATE(YEAR(TODAY()),MONTH(TODAY()),1))),1,0))</f>
        <v/>
      </c>
      <c r="R94">
        <f>IF($A94="","",IF(AND($B94&gt;0,E94&lt;$B94,DATE($B$1,3,1)&lt;=TODAY(),OR($O94="",$O94&gt;=DATE($B$1,3,1)),OR(COUNTIF($C94:E94,"&gt;0")&gt;0,DATE($B$1,3,1)=DATE(YEAR(TODAY()),MONTH(TODAY()),1))),1,0))</f>
        <v/>
      </c>
      <c r="S94">
        <f>IF($A94="","",IF(AND($B94&gt;0,F94&lt;$B94,DATE($B$1,4,1)&lt;=TODAY(),OR($O94="",$O94&gt;=DATE($B$1,4,1)),OR(COUNTIF($C94:F94,"&gt;0")&gt;0,DATE($B$1,4,1)=DATE(YEAR(TODAY()),MONTH(TODAY()),1))),1,0))</f>
        <v/>
      </c>
      <c r="T94">
        <f>IF($A94="","",IF(AND($B94&gt;0,G94&lt;$B94,DATE($B$1,5,1)&lt;=TODAY(),OR($O94="",$O94&gt;=DATE($B$1,5,1)),OR(COUNTIF($C94:G94,"&gt;0")&gt;0,DATE($B$1,5,1)=DATE(YEAR(TODAY()),MONTH(TODAY()),1))),1,0))</f>
        <v/>
      </c>
      <c r="U94">
        <f>IF($A94="","",IF(AND($B94&gt;0,H94&lt;$B94,DATE($B$1,6,1)&lt;=TODAY(),OR($O94="",$O94&gt;=DATE($B$1,6,1)),OR(COUNTIF($C94:H94,"&gt;0")&gt;0,DATE($B$1,6,1)=DATE(YEAR(TODAY()),MONTH(TODAY()),1))),1,0))</f>
        <v/>
      </c>
      <c r="V94">
        <f>IF($A94="","",IF(AND($B94&gt;0,I94&lt;$B94,DATE($B$1,7,1)&lt;=TODAY(),OR($O94="",$O94&gt;=DATE($B$1,7,1)),OR(COUNTIF($C94:I94,"&gt;0")&gt;0,DATE($B$1,7,1)=DATE(YEAR(TODAY()),MONTH(TODAY()),1))),1,0))</f>
        <v/>
      </c>
      <c r="W94">
        <f>IF($A94="","",IF(AND($B94&gt;0,J94&lt;$B94,DATE($B$1,8,1)&lt;=TODAY(),OR($O94="",$O94&gt;=DATE($B$1,8,1)),OR(COUNTIF($C94:J94,"&gt;0")&gt;0,DATE($B$1,8,1)=DATE(YEAR(TODAY()),MONTH(TODAY()),1))),1,0))</f>
        <v/>
      </c>
      <c r="X94">
        <f>IF($A94="","",IF(AND($B94&gt;0,K94&lt;$B94,DATE($B$1,9,1)&lt;=TODAY(),OR($O94="",$O94&gt;=DATE($B$1,9,1)),OR(COUNTIF($C94:K94,"&gt;0")&gt;0,DATE($B$1,9,1)=DATE(YEAR(TODAY()),MONTH(TODAY()),1))),1,0))</f>
        <v/>
      </c>
      <c r="Y94">
        <f>IF($A94="","",IF(AND($B94&gt;0,L94&lt;$B94,DATE($B$1,10,1)&lt;=TODAY(),OR($O94="",$O94&gt;=DATE($B$1,10,1)),OR(COUNTIF($C94:L94,"&gt;0")&gt;0,DATE($B$1,10,1)=DATE(YEAR(TODAY()),MONTH(TODAY()),1))),1,0))</f>
        <v/>
      </c>
      <c r="Z94">
        <f>IF($A94="","",IF(AND($B94&gt;0,M94&lt;$B94,DATE($B$1,11,1)&lt;=TODAY(),OR($O94="",$O94&gt;=DATE($B$1,11,1)),OR(COUNTIF($C94:M94,"&gt;0")&gt;0,DATE($B$1,11,1)=DATE(YEAR(TODAY()),MONTH(TODAY()),1))),1,0))</f>
        <v/>
      </c>
      <c r="AA94">
        <f>IF($A94="","",IF(AND($B94&gt;0,N94&lt;$B94,DATE($B$1,12,1)&lt;=TODAY(),OR($O94="",$O94&gt;=DATE($B$1,12,1)),OR(COUNTIF($C94:N94,"&gt;0")&gt;0,DATE($B$1,12,1)=DATE(YEAR(TODAY()),MONTH(TODAY()),1))),1,0))</f>
        <v/>
      </c>
    </row>
    <row r="95">
      <c r="A95" s="13">
        <f>IF(원생!$A93="","",원생!$A93&amp;IF(원생!$G93="",""," ("&amp;원생!$G93&amp;")"))</f>
        <v/>
      </c>
      <c r="B95" s="8">
        <f>IF(원생!$A93="","",N(원생!$F93))</f>
        <v/>
      </c>
      <c r="C95" s="14">
        <f>IF(원생!$A93="","",SUMIFS(계산!$C:$C,계산!$A:$A,계산!$E93,계산!$B:$B,$B$1*100+1))</f>
        <v/>
      </c>
      <c r="D95" s="14">
        <f>IF(원생!$A93="","",SUMIFS(계산!$C:$C,계산!$A:$A,계산!$E93,계산!$B:$B,$B$1*100+2))</f>
        <v/>
      </c>
      <c r="E95" s="14">
        <f>IF(원생!$A93="","",SUMIFS(계산!$C:$C,계산!$A:$A,계산!$E93,계산!$B:$B,$B$1*100+3))</f>
        <v/>
      </c>
      <c r="F95" s="14">
        <f>IF(원생!$A93="","",SUMIFS(계산!$C:$C,계산!$A:$A,계산!$E93,계산!$B:$B,$B$1*100+4))</f>
        <v/>
      </c>
      <c r="G95" s="14">
        <f>IF(원생!$A93="","",SUMIFS(계산!$C:$C,계산!$A:$A,계산!$E93,계산!$B:$B,$B$1*100+5))</f>
        <v/>
      </c>
      <c r="H95" s="14">
        <f>IF(원생!$A93="","",SUMIFS(계산!$C:$C,계산!$A:$A,계산!$E93,계산!$B:$B,$B$1*100+6))</f>
        <v/>
      </c>
      <c r="I95" s="14">
        <f>IF(원생!$A93="","",SUMIFS(계산!$C:$C,계산!$A:$A,계산!$E93,계산!$B:$B,$B$1*100+7))</f>
        <v/>
      </c>
      <c r="J95" s="14">
        <f>IF(원생!$A93="","",SUMIFS(계산!$C:$C,계산!$A:$A,계산!$E93,계산!$B:$B,$B$1*100+8))</f>
        <v/>
      </c>
      <c r="K95" s="14">
        <f>IF(원생!$A93="","",SUMIFS(계산!$C:$C,계산!$A:$A,계산!$E93,계산!$B:$B,$B$1*100+9))</f>
        <v/>
      </c>
      <c r="L95" s="14">
        <f>IF(원생!$A93="","",SUMIFS(계산!$C:$C,계산!$A:$A,계산!$E93,계산!$B:$B,$B$1*100+10))</f>
        <v/>
      </c>
      <c r="M95" s="14">
        <f>IF(원생!$A93="","",SUMIFS(계산!$C:$C,계산!$A:$A,계산!$E93,계산!$B:$B,$B$1*100+11))</f>
        <v/>
      </c>
      <c r="N95" s="14">
        <f>IF(원생!$A93="","",SUMIFS(계산!$C:$C,계산!$A:$A,계산!$E93,계산!$B:$B,$B$1*100+12))</f>
        <v/>
      </c>
      <c r="O95">
        <f>IF(원생!$I93="","",원생!$I93)</f>
        <v/>
      </c>
      <c r="P95">
        <f>IF($A95="","",IF(AND($B95&gt;0,C95&lt;$B95,DATE($B$1,1,1)&lt;=TODAY(),OR($O95="",$O95&gt;=DATE($B$1,1,1)),OR(COUNTIF($C95:C95,"&gt;0")&gt;0,DATE($B$1,1,1)=DATE(YEAR(TODAY()),MONTH(TODAY()),1))),1,0))</f>
        <v/>
      </c>
      <c r="Q95">
        <f>IF($A95="","",IF(AND($B95&gt;0,D95&lt;$B95,DATE($B$1,2,1)&lt;=TODAY(),OR($O95="",$O95&gt;=DATE($B$1,2,1)),OR(COUNTIF($C95:D95,"&gt;0")&gt;0,DATE($B$1,2,1)=DATE(YEAR(TODAY()),MONTH(TODAY()),1))),1,0))</f>
        <v/>
      </c>
      <c r="R95">
        <f>IF($A95="","",IF(AND($B95&gt;0,E95&lt;$B95,DATE($B$1,3,1)&lt;=TODAY(),OR($O95="",$O95&gt;=DATE($B$1,3,1)),OR(COUNTIF($C95:E95,"&gt;0")&gt;0,DATE($B$1,3,1)=DATE(YEAR(TODAY()),MONTH(TODAY()),1))),1,0))</f>
        <v/>
      </c>
      <c r="S95">
        <f>IF($A95="","",IF(AND($B95&gt;0,F95&lt;$B95,DATE($B$1,4,1)&lt;=TODAY(),OR($O95="",$O95&gt;=DATE($B$1,4,1)),OR(COUNTIF($C95:F95,"&gt;0")&gt;0,DATE($B$1,4,1)=DATE(YEAR(TODAY()),MONTH(TODAY()),1))),1,0))</f>
        <v/>
      </c>
      <c r="T95">
        <f>IF($A95="","",IF(AND($B95&gt;0,G95&lt;$B95,DATE($B$1,5,1)&lt;=TODAY(),OR($O95="",$O95&gt;=DATE($B$1,5,1)),OR(COUNTIF($C95:G95,"&gt;0")&gt;0,DATE($B$1,5,1)=DATE(YEAR(TODAY()),MONTH(TODAY()),1))),1,0))</f>
        <v/>
      </c>
      <c r="U95">
        <f>IF($A95="","",IF(AND($B95&gt;0,H95&lt;$B95,DATE($B$1,6,1)&lt;=TODAY(),OR($O95="",$O95&gt;=DATE($B$1,6,1)),OR(COUNTIF($C95:H95,"&gt;0")&gt;0,DATE($B$1,6,1)=DATE(YEAR(TODAY()),MONTH(TODAY()),1))),1,0))</f>
        <v/>
      </c>
      <c r="V95">
        <f>IF($A95="","",IF(AND($B95&gt;0,I95&lt;$B95,DATE($B$1,7,1)&lt;=TODAY(),OR($O95="",$O95&gt;=DATE($B$1,7,1)),OR(COUNTIF($C95:I95,"&gt;0")&gt;0,DATE($B$1,7,1)=DATE(YEAR(TODAY()),MONTH(TODAY()),1))),1,0))</f>
        <v/>
      </c>
      <c r="W95">
        <f>IF($A95="","",IF(AND($B95&gt;0,J95&lt;$B95,DATE($B$1,8,1)&lt;=TODAY(),OR($O95="",$O95&gt;=DATE($B$1,8,1)),OR(COUNTIF($C95:J95,"&gt;0")&gt;0,DATE($B$1,8,1)=DATE(YEAR(TODAY()),MONTH(TODAY()),1))),1,0))</f>
        <v/>
      </c>
      <c r="X95">
        <f>IF($A95="","",IF(AND($B95&gt;0,K95&lt;$B95,DATE($B$1,9,1)&lt;=TODAY(),OR($O95="",$O95&gt;=DATE($B$1,9,1)),OR(COUNTIF($C95:K95,"&gt;0")&gt;0,DATE($B$1,9,1)=DATE(YEAR(TODAY()),MONTH(TODAY()),1))),1,0))</f>
        <v/>
      </c>
      <c r="Y95">
        <f>IF($A95="","",IF(AND($B95&gt;0,L95&lt;$B95,DATE($B$1,10,1)&lt;=TODAY(),OR($O95="",$O95&gt;=DATE($B$1,10,1)),OR(COUNTIF($C95:L95,"&gt;0")&gt;0,DATE($B$1,10,1)=DATE(YEAR(TODAY()),MONTH(TODAY()),1))),1,0))</f>
        <v/>
      </c>
      <c r="Z95">
        <f>IF($A95="","",IF(AND($B95&gt;0,M95&lt;$B95,DATE($B$1,11,1)&lt;=TODAY(),OR($O95="",$O95&gt;=DATE($B$1,11,1)),OR(COUNTIF($C95:M95,"&gt;0")&gt;0,DATE($B$1,11,1)=DATE(YEAR(TODAY()),MONTH(TODAY()),1))),1,0))</f>
        <v/>
      </c>
      <c r="AA95">
        <f>IF($A95="","",IF(AND($B95&gt;0,N95&lt;$B95,DATE($B$1,12,1)&lt;=TODAY(),OR($O95="",$O95&gt;=DATE($B$1,12,1)),OR(COUNTIF($C95:N95,"&gt;0")&gt;0,DATE($B$1,12,1)=DATE(YEAR(TODAY()),MONTH(TODAY()),1))),1,0))</f>
        <v/>
      </c>
    </row>
    <row r="96">
      <c r="A96" s="13">
        <f>IF(원생!$A94="","",원생!$A94&amp;IF(원생!$G94="",""," ("&amp;원생!$G94&amp;")"))</f>
        <v/>
      </c>
      <c r="B96" s="8">
        <f>IF(원생!$A94="","",N(원생!$F94))</f>
        <v/>
      </c>
      <c r="C96" s="14">
        <f>IF(원생!$A94="","",SUMIFS(계산!$C:$C,계산!$A:$A,계산!$E94,계산!$B:$B,$B$1*100+1))</f>
        <v/>
      </c>
      <c r="D96" s="14">
        <f>IF(원생!$A94="","",SUMIFS(계산!$C:$C,계산!$A:$A,계산!$E94,계산!$B:$B,$B$1*100+2))</f>
        <v/>
      </c>
      <c r="E96" s="14">
        <f>IF(원생!$A94="","",SUMIFS(계산!$C:$C,계산!$A:$A,계산!$E94,계산!$B:$B,$B$1*100+3))</f>
        <v/>
      </c>
      <c r="F96" s="14">
        <f>IF(원생!$A94="","",SUMIFS(계산!$C:$C,계산!$A:$A,계산!$E94,계산!$B:$B,$B$1*100+4))</f>
        <v/>
      </c>
      <c r="G96" s="14">
        <f>IF(원생!$A94="","",SUMIFS(계산!$C:$C,계산!$A:$A,계산!$E94,계산!$B:$B,$B$1*100+5))</f>
        <v/>
      </c>
      <c r="H96" s="14">
        <f>IF(원생!$A94="","",SUMIFS(계산!$C:$C,계산!$A:$A,계산!$E94,계산!$B:$B,$B$1*100+6))</f>
        <v/>
      </c>
      <c r="I96" s="14">
        <f>IF(원생!$A94="","",SUMIFS(계산!$C:$C,계산!$A:$A,계산!$E94,계산!$B:$B,$B$1*100+7))</f>
        <v/>
      </c>
      <c r="J96" s="14">
        <f>IF(원생!$A94="","",SUMIFS(계산!$C:$C,계산!$A:$A,계산!$E94,계산!$B:$B,$B$1*100+8))</f>
        <v/>
      </c>
      <c r="K96" s="14">
        <f>IF(원생!$A94="","",SUMIFS(계산!$C:$C,계산!$A:$A,계산!$E94,계산!$B:$B,$B$1*100+9))</f>
        <v/>
      </c>
      <c r="L96" s="14">
        <f>IF(원생!$A94="","",SUMIFS(계산!$C:$C,계산!$A:$A,계산!$E94,계산!$B:$B,$B$1*100+10))</f>
        <v/>
      </c>
      <c r="M96" s="14">
        <f>IF(원생!$A94="","",SUMIFS(계산!$C:$C,계산!$A:$A,계산!$E94,계산!$B:$B,$B$1*100+11))</f>
        <v/>
      </c>
      <c r="N96" s="14">
        <f>IF(원생!$A94="","",SUMIFS(계산!$C:$C,계산!$A:$A,계산!$E94,계산!$B:$B,$B$1*100+12))</f>
        <v/>
      </c>
      <c r="O96">
        <f>IF(원생!$I94="","",원생!$I94)</f>
        <v/>
      </c>
      <c r="P96">
        <f>IF($A96="","",IF(AND($B96&gt;0,C96&lt;$B96,DATE($B$1,1,1)&lt;=TODAY(),OR($O96="",$O96&gt;=DATE($B$1,1,1)),OR(COUNTIF($C96:C96,"&gt;0")&gt;0,DATE($B$1,1,1)=DATE(YEAR(TODAY()),MONTH(TODAY()),1))),1,0))</f>
        <v/>
      </c>
      <c r="Q96">
        <f>IF($A96="","",IF(AND($B96&gt;0,D96&lt;$B96,DATE($B$1,2,1)&lt;=TODAY(),OR($O96="",$O96&gt;=DATE($B$1,2,1)),OR(COUNTIF($C96:D96,"&gt;0")&gt;0,DATE($B$1,2,1)=DATE(YEAR(TODAY()),MONTH(TODAY()),1))),1,0))</f>
        <v/>
      </c>
      <c r="R96">
        <f>IF($A96="","",IF(AND($B96&gt;0,E96&lt;$B96,DATE($B$1,3,1)&lt;=TODAY(),OR($O96="",$O96&gt;=DATE($B$1,3,1)),OR(COUNTIF($C96:E96,"&gt;0")&gt;0,DATE($B$1,3,1)=DATE(YEAR(TODAY()),MONTH(TODAY()),1))),1,0))</f>
        <v/>
      </c>
      <c r="S96">
        <f>IF($A96="","",IF(AND($B96&gt;0,F96&lt;$B96,DATE($B$1,4,1)&lt;=TODAY(),OR($O96="",$O96&gt;=DATE($B$1,4,1)),OR(COUNTIF($C96:F96,"&gt;0")&gt;0,DATE($B$1,4,1)=DATE(YEAR(TODAY()),MONTH(TODAY()),1))),1,0))</f>
        <v/>
      </c>
      <c r="T96">
        <f>IF($A96="","",IF(AND($B96&gt;0,G96&lt;$B96,DATE($B$1,5,1)&lt;=TODAY(),OR($O96="",$O96&gt;=DATE($B$1,5,1)),OR(COUNTIF($C96:G96,"&gt;0")&gt;0,DATE($B$1,5,1)=DATE(YEAR(TODAY()),MONTH(TODAY()),1))),1,0))</f>
        <v/>
      </c>
      <c r="U96">
        <f>IF($A96="","",IF(AND($B96&gt;0,H96&lt;$B96,DATE($B$1,6,1)&lt;=TODAY(),OR($O96="",$O96&gt;=DATE($B$1,6,1)),OR(COUNTIF($C96:H96,"&gt;0")&gt;0,DATE($B$1,6,1)=DATE(YEAR(TODAY()),MONTH(TODAY()),1))),1,0))</f>
        <v/>
      </c>
      <c r="V96">
        <f>IF($A96="","",IF(AND($B96&gt;0,I96&lt;$B96,DATE($B$1,7,1)&lt;=TODAY(),OR($O96="",$O96&gt;=DATE($B$1,7,1)),OR(COUNTIF($C96:I96,"&gt;0")&gt;0,DATE($B$1,7,1)=DATE(YEAR(TODAY()),MONTH(TODAY()),1))),1,0))</f>
        <v/>
      </c>
      <c r="W96">
        <f>IF($A96="","",IF(AND($B96&gt;0,J96&lt;$B96,DATE($B$1,8,1)&lt;=TODAY(),OR($O96="",$O96&gt;=DATE($B$1,8,1)),OR(COUNTIF($C96:J96,"&gt;0")&gt;0,DATE($B$1,8,1)=DATE(YEAR(TODAY()),MONTH(TODAY()),1))),1,0))</f>
        <v/>
      </c>
      <c r="X96">
        <f>IF($A96="","",IF(AND($B96&gt;0,K96&lt;$B96,DATE($B$1,9,1)&lt;=TODAY(),OR($O96="",$O96&gt;=DATE($B$1,9,1)),OR(COUNTIF($C96:K96,"&gt;0")&gt;0,DATE($B$1,9,1)=DATE(YEAR(TODAY()),MONTH(TODAY()),1))),1,0))</f>
        <v/>
      </c>
      <c r="Y96">
        <f>IF($A96="","",IF(AND($B96&gt;0,L96&lt;$B96,DATE($B$1,10,1)&lt;=TODAY(),OR($O96="",$O96&gt;=DATE($B$1,10,1)),OR(COUNTIF($C96:L96,"&gt;0")&gt;0,DATE($B$1,10,1)=DATE(YEAR(TODAY()),MONTH(TODAY()),1))),1,0))</f>
        <v/>
      </c>
      <c r="Z96">
        <f>IF($A96="","",IF(AND($B96&gt;0,M96&lt;$B96,DATE($B$1,11,1)&lt;=TODAY(),OR($O96="",$O96&gt;=DATE($B$1,11,1)),OR(COUNTIF($C96:M96,"&gt;0")&gt;0,DATE($B$1,11,1)=DATE(YEAR(TODAY()),MONTH(TODAY()),1))),1,0))</f>
        <v/>
      </c>
      <c r="AA96">
        <f>IF($A96="","",IF(AND($B96&gt;0,N96&lt;$B96,DATE($B$1,12,1)&lt;=TODAY(),OR($O96="",$O96&gt;=DATE($B$1,12,1)),OR(COUNTIF($C96:N96,"&gt;0")&gt;0,DATE($B$1,12,1)=DATE(YEAR(TODAY()),MONTH(TODAY()),1))),1,0))</f>
        <v/>
      </c>
    </row>
    <row r="97">
      <c r="A97" s="13">
        <f>IF(원생!$A95="","",원생!$A95&amp;IF(원생!$G95="",""," ("&amp;원생!$G95&amp;")"))</f>
        <v/>
      </c>
      <c r="B97" s="8">
        <f>IF(원생!$A95="","",N(원생!$F95))</f>
        <v/>
      </c>
      <c r="C97" s="14">
        <f>IF(원생!$A95="","",SUMIFS(계산!$C:$C,계산!$A:$A,계산!$E95,계산!$B:$B,$B$1*100+1))</f>
        <v/>
      </c>
      <c r="D97" s="14">
        <f>IF(원생!$A95="","",SUMIFS(계산!$C:$C,계산!$A:$A,계산!$E95,계산!$B:$B,$B$1*100+2))</f>
        <v/>
      </c>
      <c r="E97" s="14">
        <f>IF(원생!$A95="","",SUMIFS(계산!$C:$C,계산!$A:$A,계산!$E95,계산!$B:$B,$B$1*100+3))</f>
        <v/>
      </c>
      <c r="F97" s="14">
        <f>IF(원생!$A95="","",SUMIFS(계산!$C:$C,계산!$A:$A,계산!$E95,계산!$B:$B,$B$1*100+4))</f>
        <v/>
      </c>
      <c r="G97" s="14">
        <f>IF(원생!$A95="","",SUMIFS(계산!$C:$C,계산!$A:$A,계산!$E95,계산!$B:$B,$B$1*100+5))</f>
        <v/>
      </c>
      <c r="H97" s="14">
        <f>IF(원생!$A95="","",SUMIFS(계산!$C:$C,계산!$A:$A,계산!$E95,계산!$B:$B,$B$1*100+6))</f>
        <v/>
      </c>
      <c r="I97" s="14">
        <f>IF(원생!$A95="","",SUMIFS(계산!$C:$C,계산!$A:$A,계산!$E95,계산!$B:$B,$B$1*100+7))</f>
        <v/>
      </c>
      <c r="J97" s="14">
        <f>IF(원생!$A95="","",SUMIFS(계산!$C:$C,계산!$A:$A,계산!$E95,계산!$B:$B,$B$1*100+8))</f>
        <v/>
      </c>
      <c r="K97" s="14">
        <f>IF(원생!$A95="","",SUMIFS(계산!$C:$C,계산!$A:$A,계산!$E95,계산!$B:$B,$B$1*100+9))</f>
        <v/>
      </c>
      <c r="L97" s="14">
        <f>IF(원생!$A95="","",SUMIFS(계산!$C:$C,계산!$A:$A,계산!$E95,계산!$B:$B,$B$1*100+10))</f>
        <v/>
      </c>
      <c r="M97" s="14">
        <f>IF(원생!$A95="","",SUMIFS(계산!$C:$C,계산!$A:$A,계산!$E95,계산!$B:$B,$B$1*100+11))</f>
        <v/>
      </c>
      <c r="N97" s="14">
        <f>IF(원생!$A95="","",SUMIFS(계산!$C:$C,계산!$A:$A,계산!$E95,계산!$B:$B,$B$1*100+12))</f>
        <v/>
      </c>
      <c r="O97">
        <f>IF(원생!$I95="","",원생!$I95)</f>
        <v/>
      </c>
      <c r="P97">
        <f>IF($A97="","",IF(AND($B97&gt;0,C97&lt;$B97,DATE($B$1,1,1)&lt;=TODAY(),OR($O97="",$O97&gt;=DATE($B$1,1,1)),OR(COUNTIF($C97:C97,"&gt;0")&gt;0,DATE($B$1,1,1)=DATE(YEAR(TODAY()),MONTH(TODAY()),1))),1,0))</f>
        <v/>
      </c>
      <c r="Q97">
        <f>IF($A97="","",IF(AND($B97&gt;0,D97&lt;$B97,DATE($B$1,2,1)&lt;=TODAY(),OR($O97="",$O97&gt;=DATE($B$1,2,1)),OR(COUNTIF($C97:D97,"&gt;0")&gt;0,DATE($B$1,2,1)=DATE(YEAR(TODAY()),MONTH(TODAY()),1))),1,0))</f>
        <v/>
      </c>
      <c r="R97">
        <f>IF($A97="","",IF(AND($B97&gt;0,E97&lt;$B97,DATE($B$1,3,1)&lt;=TODAY(),OR($O97="",$O97&gt;=DATE($B$1,3,1)),OR(COUNTIF($C97:E97,"&gt;0")&gt;0,DATE($B$1,3,1)=DATE(YEAR(TODAY()),MONTH(TODAY()),1))),1,0))</f>
        <v/>
      </c>
      <c r="S97">
        <f>IF($A97="","",IF(AND($B97&gt;0,F97&lt;$B97,DATE($B$1,4,1)&lt;=TODAY(),OR($O97="",$O97&gt;=DATE($B$1,4,1)),OR(COUNTIF($C97:F97,"&gt;0")&gt;0,DATE($B$1,4,1)=DATE(YEAR(TODAY()),MONTH(TODAY()),1))),1,0))</f>
        <v/>
      </c>
      <c r="T97">
        <f>IF($A97="","",IF(AND($B97&gt;0,G97&lt;$B97,DATE($B$1,5,1)&lt;=TODAY(),OR($O97="",$O97&gt;=DATE($B$1,5,1)),OR(COUNTIF($C97:G97,"&gt;0")&gt;0,DATE($B$1,5,1)=DATE(YEAR(TODAY()),MONTH(TODAY()),1))),1,0))</f>
        <v/>
      </c>
      <c r="U97">
        <f>IF($A97="","",IF(AND($B97&gt;0,H97&lt;$B97,DATE($B$1,6,1)&lt;=TODAY(),OR($O97="",$O97&gt;=DATE($B$1,6,1)),OR(COUNTIF($C97:H97,"&gt;0")&gt;0,DATE($B$1,6,1)=DATE(YEAR(TODAY()),MONTH(TODAY()),1))),1,0))</f>
        <v/>
      </c>
      <c r="V97">
        <f>IF($A97="","",IF(AND($B97&gt;0,I97&lt;$B97,DATE($B$1,7,1)&lt;=TODAY(),OR($O97="",$O97&gt;=DATE($B$1,7,1)),OR(COUNTIF($C97:I97,"&gt;0")&gt;0,DATE($B$1,7,1)=DATE(YEAR(TODAY()),MONTH(TODAY()),1))),1,0))</f>
        <v/>
      </c>
      <c r="W97">
        <f>IF($A97="","",IF(AND($B97&gt;0,J97&lt;$B97,DATE($B$1,8,1)&lt;=TODAY(),OR($O97="",$O97&gt;=DATE($B$1,8,1)),OR(COUNTIF($C97:J97,"&gt;0")&gt;0,DATE($B$1,8,1)=DATE(YEAR(TODAY()),MONTH(TODAY()),1))),1,0))</f>
        <v/>
      </c>
      <c r="X97">
        <f>IF($A97="","",IF(AND($B97&gt;0,K97&lt;$B97,DATE($B$1,9,1)&lt;=TODAY(),OR($O97="",$O97&gt;=DATE($B$1,9,1)),OR(COUNTIF($C97:K97,"&gt;0")&gt;0,DATE($B$1,9,1)=DATE(YEAR(TODAY()),MONTH(TODAY()),1))),1,0))</f>
        <v/>
      </c>
      <c r="Y97">
        <f>IF($A97="","",IF(AND($B97&gt;0,L97&lt;$B97,DATE($B$1,10,1)&lt;=TODAY(),OR($O97="",$O97&gt;=DATE($B$1,10,1)),OR(COUNTIF($C97:L97,"&gt;0")&gt;0,DATE($B$1,10,1)=DATE(YEAR(TODAY()),MONTH(TODAY()),1))),1,0))</f>
        <v/>
      </c>
      <c r="Z97">
        <f>IF($A97="","",IF(AND($B97&gt;0,M97&lt;$B97,DATE($B$1,11,1)&lt;=TODAY(),OR($O97="",$O97&gt;=DATE($B$1,11,1)),OR(COUNTIF($C97:M97,"&gt;0")&gt;0,DATE($B$1,11,1)=DATE(YEAR(TODAY()),MONTH(TODAY()),1))),1,0))</f>
        <v/>
      </c>
      <c r="AA97">
        <f>IF($A97="","",IF(AND($B97&gt;0,N97&lt;$B97,DATE($B$1,12,1)&lt;=TODAY(),OR($O97="",$O97&gt;=DATE($B$1,12,1)),OR(COUNTIF($C97:N97,"&gt;0")&gt;0,DATE($B$1,12,1)=DATE(YEAR(TODAY()),MONTH(TODAY()),1))),1,0))</f>
        <v/>
      </c>
    </row>
    <row r="98">
      <c r="A98" s="13">
        <f>IF(원생!$A96="","",원생!$A96&amp;IF(원생!$G96="",""," ("&amp;원생!$G96&amp;")"))</f>
        <v/>
      </c>
      <c r="B98" s="8">
        <f>IF(원생!$A96="","",N(원생!$F96))</f>
        <v/>
      </c>
      <c r="C98" s="14">
        <f>IF(원생!$A96="","",SUMIFS(계산!$C:$C,계산!$A:$A,계산!$E96,계산!$B:$B,$B$1*100+1))</f>
        <v/>
      </c>
      <c r="D98" s="14">
        <f>IF(원생!$A96="","",SUMIFS(계산!$C:$C,계산!$A:$A,계산!$E96,계산!$B:$B,$B$1*100+2))</f>
        <v/>
      </c>
      <c r="E98" s="14">
        <f>IF(원생!$A96="","",SUMIFS(계산!$C:$C,계산!$A:$A,계산!$E96,계산!$B:$B,$B$1*100+3))</f>
        <v/>
      </c>
      <c r="F98" s="14">
        <f>IF(원생!$A96="","",SUMIFS(계산!$C:$C,계산!$A:$A,계산!$E96,계산!$B:$B,$B$1*100+4))</f>
        <v/>
      </c>
      <c r="G98" s="14">
        <f>IF(원생!$A96="","",SUMIFS(계산!$C:$C,계산!$A:$A,계산!$E96,계산!$B:$B,$B$1*100+5))</f>
        <v/>
      </c>
      <c r="H98" s="14">
        <f>IF(원생!$A96="","",SUMIFS(계산!$C:$C,계산!$A:$A,계산!$E96,계산!$B:$B,$B$1*100+6))</f>
        <v/>
      </c>
      <c r="I98" s="14">
        <f>IF(원생!$A96="","",SUMIFS(계산!$C:$C,계산!$A:$A,계산!$E96,계산!$B:$B,$B$1*100+7))</f>
        <v/>
      </c>
      <c r="J98" s="14">
        <f>IF(원생!$A96="","",SUMIFS(계산!$C:$C,계산!$A:$A,계산!$E96,계산!$B:$B,$B$1*100+8))</f>
        <v/>
      </c>
      <c r="K98" s="14">
        <f>IF(원생!$A96="","",SUMIFS(계산!$C:$C,계산!$A:$A,계산!$E96,계산!$B:$B,$B$1*100+9))</f>
        <v/>
      </c>
      <c r="L98" s="14">
        <f>IF(원생!$A96="","",SUMIFS(계산!$C:$C,계산!$A:$A,계산!$E96,계산!$B:$B,$B$1*100+10))</f>
        <v/>
      </c>
      <c r="M98" s="14">
        <f>IF(원생!$A96="","",SUMIFS(계산!$C:$C,계산!$A:$A,계산!$E96,계산!$B:$B,$B$1*100+11))</f>
        <v/>
      </c>
      <c r="N98" s="14">
        <f>IF(원생!$A96="","",SUMIFS(계산!$C:$C,계산!$A:$A,계산!$E96,계산!$B:$B,$B$1*100+12))</f>
        <v/>
      </c>
      <c r="O98">
        <f>IF(원생!$I96="","",원생!$I96)</f>
        <v/>
      </c>
      <c r="P98">
        <f>IF($A98="","",IF(AND($B98&gt;0,C98&lt;$B98,DATE($B$1,1,1)&lt;=TODAY(),OR($O98="",$O98&gt;=DATE($B$1,1,1)),OR(COUNTIF($C98:C98,"&gt;0")&gt;0,DATE($B$1,1,1)=DATE(YEAR(TODAY()),MONTH(TODAY()),1))),1,0))</f>
        <v/>
      </c>
      <c r="Q98">
        <f>IF($A98="","",IF(AND($B98&gt;0,D98&lt;$B98,DATE($B$1,2,1)&lt;=TODAY(),OR($O98="",$O98&gt;=DATE($B$1,2,1)),OR(COUNTIF($C98:D98,"&gt;0")&gt;0,DATE($B$1,2,1)=DATE(YEAR(TODAY()),MONTH(TODAY()),1))),1,0))</f>
        <v/>
      </c>
      <c r="R98">
        <f>IF($A98="","",IF(AND($B98&gt;0,E98&lt;$B98,DATE($B$1,3,1)&lt;=TODAY(),OR($O98="",$O98&gt;=DATE($B$1,3,1)),OR(COUNTIF($C98:E98,"&gt;0")&gt;0,DATE($B$1,3,1)=DATE(YEAR(TODAY()),MONTH(TODAY()),1))),1,0))</f>
        <v/>
      </c>
      <c r="S98">
        <f>IF($A98="","",IF(AND($B98&gt;0,F98&lt;$B98,DATE($B$1,4,1)&lt;=TODAY(),OR($O98="",$O98&gt;=DATE($B$1,4,1)),OR(COUNTIF($C98:F98,"&gt;0")&gt;0,DATE($B$1,4,1)=DATE(YEAR(TODAY()),MONTH(TODAY()),1))),1,0))</f>
        <v/>
      </c>
      <c r="T98">
        <f>IF($A98="","",IF(AND($B98&gt;0,G98&lt;$B98,DATE($B$1,5,1)&lt;=TODAY(),OR($O98="",$O98&gt;=DATE($B$1,5,1)),OR(COUNTIF($C98:G98,"&gt;0")&gt;0,DATE($B$1,5,1)=DATE(YEAR(TODAY()),MONTH(TODAY()),1))),1,0))</f>
        <v/>
      </c>
      <c r="U98">
        <f>IF($A98="","",IF(AND($B98&gt;0,H98&lt;$B98,DATE($B$1,6,1)&lt;=TODAY(),OR($O98="",$O98&gt;=DATE($B$1,6,1)),OR(COUNTIF($C98:H98,"&gt;0")&gt;0,DATE($B$1,6,1)=DATE(YEAR(TODAY()),MONTH(TODAY()),1))),1,0))</f>
        <v/>
      </c>
      <c r="V98">
        <f>IF($A98="","",IF(AND($B98&gt;0,I98&lt;$B98,DATE($B$1,7,1)&lt;=TODAY(),OR($O98="",$O98&gt;=DATE($B$1,7,1)),OR(COUNTIF($C98:I98,"&gt;0")&gt;0,DATE($B$1,7,1)=DATE(YEAR(TODAY()),MONTH(TODAY()),1))),1,0))</f>
        <v/>
      </c>
      <c r="W98">
        <f>IF($A98="","",IF(AND($B98&gt;0,J98&lt;$B98,DATE($B$1,8,1)&lt;=TODAY(),OR($O98="",$O98&gt;=DATE($B$1,8,1)),OR(COUNTIF($C98:J98,"&gt;0")&gt;0,DATE($B$1,8,1)=DATE(YEAR(TODAY()),MONTH(TODAY()),1))),1,0))</f>
        <v/>
      </c>
      <c r="X98">
        <f>IF($A98="","",IF(AND($B98&gt;0,K98&lt;$B98,DATE($B$1,9,1)&lt;=TODAY(),OR($O98="",$O98&gt;=DATE($B$1,9,1)),OR(COUNTIF($C98:K98,"&gt;0")&gt;0,DATE($B$1,9,1)=DATE(YEAR(TODAY()),MONTH(TODAY()),1))),1,0))</f>
        <v/>
      </c>
      <c r="Y98">
        <f>IF($A98="","",IF(AND($B98&gt;0,L98&lt;$B98,DATE($B$1,10,1)&lt;=TODAY(),OR($O98="",$O98&gt;=DATE($B$1,10,1)),OR(COUNTIF($C98:L98,"&gt;0")&gt;0,DATE($B$1,10,1)=DATE(YEAR(TODAY()),MONTH(TODAY()),1))),1,0))</f>
        <v/>
      </c>
      <c r="Z98">
        <f>IF($A98="","",IF(AND($B98&gt;0,M98&lt;$B98,DATE($B$1,11,1)&lt;=TODAY(),OR($O98="",$O98&gt;=DATE($B$1,11,1)),OR(COUNTIF($C98:M98,"&gt;0")&gt;0,DATE($B$1,11,1)=DATE(YEAR(TODAY()),MONTH(TODAY()),1))),1,0))</f>
        <v/>
      </c>
      <c r="AA98">
        <f>IF($A98="","",IF(AND($B98&gt;0,N98&lt;$B98,DATE($B$1,12,1)&lt;=TODAY(),OR($O98="",$O98&gt;=DATE($B$1,12,1)),OR(COUNTIF($C98:N98,"&gt;0")&gt;0,DATE($B$1,12,1)=DATE(YEAR(TODAY()),MONTH(TODAY()),1))),1,0))</f>
        <v/>
      </c>
    </row>
    <row r="99">
      <c r="A99" s="13">
        <f>IF(원생!$A97="","",원생!$A97&amp;IF(원생!$G97="",""," ("&amp;원생!$G97&amp;")"))</f>
        <v/>
      </c>
      <c r="B99" s="8">
        <f>IF(원생!$A97="","",N(원생!$F97))</f>
        <v/>
      </c>
      <c r="C99" s="14">
        <f>IF(원생!$A97="","",SUMIFS(계산!$C:$C,계산!$A:$A,계산!$E97,계산!$B:$B,$B$1*100+1))</f>
        <v/>
      </c>
      <c r="D99" s="14">
        <f>IF(원생!$A97="","",SUMIFS(계산!$C:$C,계산!$A:$A,계산!$E97,계산!$B:$B,$B$1*100+2))</f>
        <v/>
      </c>
      <c r="E99" s="14">
        <f>IF(원생!$A97="","",SUMIFS(계산!$C:$C,계산!$A:$A,계산!$E97,계산!$B:$B,$B$1*100+3))</f>
        <v/>
      </c>
      <c r="F99" s="14">
        <f>IF(원생!$A97="","",SUMIFS(계산!$C:$C,계산!$A:$A,계산!$E97,계산!$B:$B,$B$1*100+4))</f>
        <v/>
      </c>
      <c r="G99" s="14">
        <f>IF(원생!$A97="","",SUMIFS(계산!$C:$C,계산!$A:$A,계산!$E97,계산!$B:$B,$B$1*100+5))</f>
        <v/>
      </c>
      <c r="H99" s="14">
        <f>IF(원생!$A97="","",SUMIFS(계산!$C:$C,계산!$A:$A,계산!$E97,계산!$B:$B,$B$1*100+6))</f>
        <v/>
      </c>
      <c r="I99" s="14">
        <f>IF(원생!$A97="","",SUMIFS(계산!$C:$C,계산!$A:$A,계산!$E97,계산!$B:$B,$B$1*100+7))</f>
        <v/>
      </c>
      <c r="J99" s="14">
        <f>IF(원생!$A97="","",SUMIFS(계산!$C:$C,계산!$A:$A,계산!$E97,계산!$B:$B,$B$1*100+8))</f>
        <v/>
      </c>
      <c r="K99" s="14">
        <f>IF(원생!$A97="","",SUMIFS(계산!$C:$C,계산!$A:$A,계산!$E97,계산!$B:$B,$B$1*100+9))</f>
        <v/>
      </c>
      <c r="L99" s="14">
        <f>IF(원생!$A97="","",SUMIFS(계산!$C:$C,계산!$A:$A,계산!$E97,계산!$B:$B,$B$1*100+10))</f>
        <v/>
      </c>
      <c r="M99" s="14">
        <f>IF(원생!$A97="","",SUMIFS(계산!$C:$C,계산!$A:$A,계산!$E97,계산!$B:$B,$B$1*100+11))</f>
        <v/>
      </c>
      <c r="N99" s="14">
        <f>IF(원생!$A97="","",SUMIFS(계산!$C:$C,계산!$A:$A,계산!$E97,계산!$B:$B,$B$1*100+12))</f>
        <v/>
      </c>
      <c r="O99">
        <f>IF(원생!$I97="","",원생!$I97)</f>
        <v/>
      </c>
      <c r="P99">
        <f>IF($A99="","",IF(AND($B99&gt;0,C99&lt;$B99,DATE($B$1,1,1)&lt;=TODAY(),OR($O99="",$O99&gt;=DATE($B$1,1,1)),OR(COUNTIF($C99:C99,"&gt;0")&gt;0,DATE($B$1,1,1)=DATE(YEAR(TODAY()),MONTH(TODAY()),1))),1,0))</f>
        <v/>
      </c>
      <c r="Q99">
        <f>IF($A99="","",IF(AND($B99&gt;0,D99&lt;$B99,DATE($B$1,2,1)&lt;=TODAY(),OR($O99="",$O99&gt;=DATE($B$1,2,1)),OR(COUNTIF($C99:D99,"&gt;0")&gt;0,DATE($B$1,2,1)=DATE(YEAR(TODAY()),MONTH(TODAY()),1))),1,0))</f>
        <v/>
      </c>
      <c r="R99">
        <f>IF($A99="","",IF(AND($B99&gt;0,E99&lt;$B99,DATE($B$1,3,1)&lt;=TODAY(),OR($O99="",$O99&gt;=DATE($B$1,3,1)),OR(COUNTIF($C99:E99,"&gt;0")&gt;0,DATE($B$1,3,1)=DATE(YEAR(TODAY()),MONTH(TODAY()),1))),1,0))</f>
        <v/>
      </c>
      <c r="S99">
        <f>IF($A99="","",IF(AND($B99&gt;0,F99&lt;$B99,DATE($B$1,4,1)&lt;=TODAY(),OR($O99="",$O99&gt;=DATE($B$1,4,1)),OR(COUNTIF($C99:F99,"&gt;0")&gt;0,DATE($B$1,4,1)=DATE(YEAR(TODAY()),MONTH(TODAY()),1))),1,0))</f>
        <v/>
      </c>
      <c r="T99">
        <f>IF($A99="","",IF(AND($B99&gt;0,G99&lt;$B99,DATE($B$1,5,1)&lt;=TODAY(),OR($O99="",$O99&gt;=DATE($B$1,5,1)),OR(COUNTIF($C99:G99,"&gt;0")&gt;0,DATE($B$1,5,1)=DATE(YEAR(TODAY()),MONTH(TODAY()),1))),1,0))</f>
        <v/>
      </c>
      <c r="U99">
        <f>IF($A99="","",IF(AND($B99&gt;0,H99&lt;$B99,DATE($B$1,6,1)&lt;=TODAY(),OR($O99="",$O99&gt;=DATE($B$1,6,1)),OR(COUNTIF($C99:H99,"&gt;0")&gt;0,DATE($B$1,6,1)=DATE(YEAR(TODAY()),MONTH(TODAY()),1))),1,0))</f>
        <v/>
      </c>
      <c r="V99">
        <f>IF($A99="","",IF(AND($B99&gt;0,I99&lt;$B99,DATE($B$1,7,1)&lt;=TODAY(),OR($O99="",$O99&gt;=DATE($B$1,7,1)),OR(COUNTIF($C99:I99,"&gt;0")&gt;0,DATE($B$1,7,1)=DATE(YEAR(TODAY()),MONTH(TODAY()),1))),1,0))</f>
        <v/>
      </c>
      <c r="W99">
        <f>IF($A99="","",IF(AND($B99&gt;0,J99&lt;$B99,DATE($B$1,8,1)&lt;=TODAY(),OR($O99="",$O99&gt;=DATE($B$1,8,1)),OR(COUNTIF($C99:J99,"&gt;0")&gt;0,DATE($B$1,8,1)=DATE(YEAR(TODAY()),MONTH(TODAY()),1))),1,0))</f>
        <v/>
      </c>
      <c r="X99">
        <f>IF($A99="","",IF(AND($B99&gt;0,K99&lt;$B99,DATE($B$1,9,1)&lt;=TODAY(),OR($O99="",$O99&gt;=DATE($B$1,9,1)),OR(COUNTIF($C99:K99,"&gt;0")&gt;0,DATE($B$1,9,1)=DATE(YEAR(TODAY()),MONTH(TODAY()),1))),1,0))</f>
        <v/>
      </c>
      <c r="Y99">
        <f>IF($A99="","",IF(AND($B99&gt;0,L99&lt;$B99,DATE($B$1,10,1)&lt;=TODAY(),OR($O99="",$O99&gt;=DATE($B$1,10,1)),OR(COUNTIF($C99:L99,"&gt;0")&gt;0,DATE($B$1,10,1)=DATE(YEAR(TODAY()),MONTH(TODAY()),1))),1,0))</f>
        <v/>
      </c>
      <c r="Z99">
        <f>IF($A99="","",IF(AND($B99&gt;0,M99&lt;$B99,DATE($B$1,11,1)&lt;=TODAY(),OR($O99="",$O99&gt;=DATE($B$1,11,1)),OR(COUNTIF($C99:M99,"&gt;0")&gt;0,DATE($B$1,11,1)=DATE(YEAR(TODAY()),MONTH(TODAY()),1))),1,0))</f>
        <v/>
      </c>
      <c r="AA99">
        <f>IF($A99="","",IF(AND($B99&gt;0,N99&lt;$B99,DATE($B$1,12,1)&lt;=TODAY(),OR($O99="",$O99&gt;=DATE($B$1,12,1)),OR(COUNTIF($C99:N99,"&gt;0")&gt;0,DATE($B$1,12,1)=DATE(YEAR(TODAY()),MONTH(TODAY()),1))),1,0))</f>
        <v/>
      </c>
    </row>
    <row r="100">
      <c r="A100" s="13">
        <f>IF(원생!$A98="","",원생!$A98&amp;IF(원생!$G98="",""," ("&amp;원생!$G98&amp;")"))</f>
        <v/>
      </c>
      <c r="B100" s="8">
        <f>IF(원생!$A98="","",N(원생!$F98))</f>
        <v/>
      </c>
      <c r="C100" s="14">
        <f>IF(원생!$A98="","",SUMIFS(계산!$C:$C,계산!$A:$A,계산!$E98,계산!$B:$B,$B$1*100+1))</f>
        <v/>
      </c>
      <c r="D100" s="14">
        <f>IF(원생!$A98="","",SUMIFS(계산!$C:$C,계산!$A:$A,계산!$E98,계산!$B:$B,$B$1*100+2))</f>
        <v/>
      </c>
      <c r="E100" s="14">
        <f>IF(원생!$A98="","",SUMIFS(계산!$C:$C,계산!$A:$A,계산!$E98,계산!$B:$B,$B$1*100+3))</f>
        <v/>
      </c>
      <c r="F100" s="14">
        <f>IF(원생!$A98="","",SUMIFS(계산!$C:$C,계산!$A:$A,계산!$E98,계산!$B:$B,$B$1*100+4))</f>
        <v/>
      </c>
      <c r="G100" s="14">
        <f>IF(원생!$A98="","",SUMIFS(계산!$C:$C,계산!$A:$A,계산!$E98,계산!$B:$B,$B$1*100+5))</f>
        <v/>
      </c>
      <c r="H100" s="14">
        <f>IF(원생!$A98="","",SUMIFS(계산!$C:$C,계산!$A:$A,계산!$E98,계산!$B:$B,$B$1*100+6))</f>
        <v/>
      </c>
      <c r="I100" s="14">
        <f>IF(원생!$A98="","",SUMIFS(계산!$C:$C,계산!$A:$A,계산!$E98,계산!$B:$B,$B$1*100+7))</f>
        <v/>
      </c>
      <c r="J100" s="14">
        <f>IF(원생!$A98="","",SUMIFS(계산!$C:$C,계산!$A:$A,계산!$E98,계산!$B:$B,$B$1*100+8))</f>
        <v/>
      </c>
      <c r="K100" s="14">
        <f>IF(원생!$A98="","",SUMIFS(계산!$C:$C,계산!$A:$A,계산!$E98,계산!$B:$B,$B$1*100+9))</f>
        <v/>
      </c>
      <c r="L100" s="14">
        <f>IF(원생!$A98="","",SUMIFS(계산!$C:$C,계산!$A:$A,계산!$E98,계산!$B:$B,$B$1*100+10))</f>
        <v/>
      </c>
      <c r="M100" s="14">
        <f>IF(원생!$A98="","",SUMIFS(계산!$C:$C,계산!$A:$A,계산!$E98,계산!$B:$B,$B$1*100+11))</f>
        <v/>
      </c>
      <c r="N100" s="14">
        <f>IF(원생!$A98="","",SUMIFS(계산!$C:$C,계산!$A:$A,계산!$E98,계산!$B:$B,$B$1*100+12))</f>
        <v/>
      </c>
      <c r="O100">
        <f>IF(원생!$I98="","",원생!$I98)</f>
        <v/>
      </c>
      <c r="P100">
        <f>IF($A100="","",IF(AND($B100&gt;0,C100&lt;$B100,DATE($B$1,1,1)&lt;=TODAY(),OR($O100="",$O100&gt;=DATE($B$1,1,1)),OR(COUNTIF($C100:C100,"&gt;0")&gt;0,DATE($B$1,1,1)=DATE(YEAR(TODAY()),MONTH(TODAY()),1))),1,0))</f>
        <v/>
      </c>
      <c r="Q100">
        <f>IF($A100="","",IF(AND($B100&gt;0,D100&lt;$B100,DATE($B$1,2,1)&lt;=TODAY(),OR($O100="",$O100&gt;=DATE($B$1,2,1)),OR(COUNTIF($C100:D100,"&gt;0")&gt;0,DATE($B$1,2,1)=DATE(YEAR(TODAY()),MONTH(TODAY()),1))),1,0))</f>
        <v/>
      </c>
      <c r="R100">
        <f>IF($A100="","",IF(AND($B100&gt;0,E100&lt;$B100,DATE($B$1,3,1)&lt;=TODAY(),OR($O100="",$O100&gt;=DATE($B$1,3,1)),OR(COUNTIF($C100:E100,"&gt;0")&gt;0,DATE($B$1,3,1)=DATE(YEAR(TODAY()),MONTH(TODAY()),1))),1,0))</f>
        <v/>
      </c>
      <c r="S100">
        <f>IF($A100="","",IF(AND($B100&gt;0,F100&lt;$B100,DATE($B$1,4,1)&lt;=TODAY(),OR($O100="",$O100&gt;=DATE($B$1,4,1)),OR(COUNTIF($C100:F100,"&gt;0")&gt;0,DATE($B$1,4,1)=DATE(YEAR(TODAY()),MONTH(TODAY()),1))),1,0))</f>
        <v/>
      </c>
      <c r="T100">
        <f>IF($A100="","",IF(AND($B100&gt;0,G100&lt;$B100,DATE($B$1,5,1)&lt;=TODAY(),OR($O100="",$O100&gt;=DATE($B$1,5,1)),OR(COUNTIF($C100:G100,"&gt;0")&gt;0,DATE($B$1,5,1)=DATE(YEAR(TODAY()),MONTH(TODAY()),1))),1,0))</f>
        <v/>
      </c>
      <c r="U100">
        <f>IF($A100="","",IF(AND($B100&gt;0,H100&lt;$B100,DATE($B$1,6,1)&lt;=TODAY(),OR($O100="",$O100&gt;=DATE($B$1,6,1)),OR(COUNTIF($C100:H100,"&gt;0")&gt;0,DATE($B$1,6,1)=DATE(YEAR(TODAY()),MONTH(TODAY()),1))),1,0))</f>
        <v/>
      </c>
      <c r="V100">
        <f>IF($A100="","",IF(AND($B100&gt;0,I100&lt;$B100,DATE($B$1,7,1)&lt;=TODAY(),OR($O100="",$O100&gt;=DATE($B$1,7,1)),OR(COUNTIF($C100:I100,"&gt;0")&gt;0,DATE($B$1,7,1)=DATE(YEAR(TODAY()),MONTH(TODAY()),1))),1,0))</f>
        <v/>
      </c>
      <c r="W100">
        <f>IF($A100="","",IF(AND($B100&gt;0,J100&lt;$B100,DATE($B$1,8,1)&lt;=TODAY(),OR($O100="",$O100&gt;=DATE($B$1,8,1)),OR(COUNTIF($C100:J100,"&gt;0")&gt;0,DATE($B$1,8,1)=DATE(YEAR(TODAY()),MONTH(TODAY()),1))),1,0))</f>
        <v/>
      </c>
      <c r="X100">
        <f>IF($A100="","",IF(AND($B100&gt;0,K100&lt;$B100,DATE($B$1,9,1)&lt;=TODAY(),OR($O100="",$O100&gt;=DATE($B$1,9,1)),OR(COUNTIF($C100:K100,"&gt;0")&gt;0,DATE($B$1,9,1)=DATE(YEAR(TODAY()),MONTH(TODAY()),1))),1,0))</f>
        <v/>
      </c>
      <c r="Y100">
        <f>IF($A100="","",IF(AND($B100&gt;0,L100&lt;$B100,DATE($B$1,10,1)&lt;=TODAY(),OR($O100="",$O100&gt;=DATE($B$1,10,1)),OR(COUNTIF($C100:L100,"&gt;0")&gt;0,DATE($B$1,10,1)=DATE(YEAR(TODAY()),MONTH(TODAY()),1))),1,0))</f>
        <v/>
      </c>
      <c r="Z100">
        <f>IF($A100="","",IF(AND($B100&gt;0,M100&lt;$B100,DATE($B$1,11,1)&lt;=TODAY(),OR($O100="",$O100&gt;=DATE($B$1,11,1)),OR(COUNTIF($C100:M100,"&gt;0")&gt;0,DATE($B$1,11,1)=DATE(YEAR(TODAY()),MONTH(TODAY()),1))),1,0))</f>
        <v/>
      </c>
      <c r="AA100">
        <f>IF($A100="","",IF(AND($B100&gt;0,N100&lt;$B100,DATE($B$1,12,1)&lt;=TODAY(),OR($O100="",$O100&gt;=DATE($B$1,12,1)),OR(COUNTIF($C100:N100,"&gt;0")&gt;0,DATE($B$1,12,1)=DATE(YEAR(TODAY()),MONTH(TODAY()),1))),1,0))</f>
        <v/>
      </c>
    </row>
    <row r="101">
      <c r="A101" s="13">
        <f>IF(원생!$A99="","",원생!$A99&amp;IF(원생!$G99="",""," ("&amp;원생!$G99&amp;")"))</f>
        <v/>
      </c>
      <c r="B101" s="8">
        <f>IF(원생!$A99="","",N(원생!$F99))</f>
        <v/>
      </c>
      <c r="C101" s="14">
        <f>IF(원생!$A99="","",SUMIFS(계산!$C:$C,계산!$A:$A,계산!$E99,계산!$B:$B,$B$1*100+1))</f>
        <v/>
      </c>
      <c r="D101" s="14">
        <f>IF(원생!$A99="","",SUMIFS(계산!$C:$C,계산!$A:$A,계산!$E99,계산!$B:$B,$B$1*100+2))</f>
        <v/>
      </c>
      <c r="E101" s="14">
        <f>IF(원생!$A99="","",SUMIFS(계산!$C:$C,계산!$A:$A,계산!$E99,계산!$B:$B,$B$1*100+3))</f>
        <v/>
      </c>
      <c r="F101" s="14">
        <f>IF(원생!$A99="","",SUMIFS(계산!$C:$C,계산!$A:$A,계산!$E99,계산!$B:$B,$B$1*100+4))</f>
        <v/>
      </c>
      <c r="G101" s="14">
        <f>IF(원생!$A99="","",SUMIFS(계산!$C:$C,계산!$A:$A,계산!$E99,계산!$B:$B,$B$1*100+5))</f>
        <v/>
      </c>
      <c r="H101" s="14">
        <f>IF(원생!$A99="","",SUMIFS(계산!$C:$C,계산!$A:$A,계산!$E99,계산!$B:$B,$B$1*100+6))</f>
        <v/>
      </c>
      <c r="I101" s="14">
        <f>IF(원생!$A99="","",SUMIFS(계산!$C:$C,계산!$A:$A,계산!$E99,계산!$B:$B,$B$1*100+7))</f>
        <v/>
      </c>
      <c r="J101" s="14">
        <f>IF(원생!$A99="","",SUMIFS(계산!$C:$C,계산!$A:$A,계산!$E99,계산!$B:$B,$B$1*100+8))</f>
        <v/>
      </c>
      <c r="K101" s="14">
        <f>IF(원생!$A99="","",SUMIFS(계산!$C:$C,계산!$A:$A,계산!$E99,계산!$B:$B,$B$1*100+9))</f>
        <v/>
      </c>
      <c r="L101" s="14">
        <f>IF(원생!$A99="","",SUMIFS(계산!$C:$C,계산!$A:$A,계산!$E99,계산!$B:$B,$B$1*100+10))</f>
        <v/>
      </c>
      <c r="M101" s="14">
        <f>IF(원생!$A99="","",SUMIFS(계산!$C:$C,계산!$A:$A,계산!$E99,계산!$B:$B,$B$1*100+11))</f>
        <v/>
      </c>
      <c r="N101" s="14">
        <f>IF(원생!$A99="","",SUMIFS(계산!$C:$C,계산!$A:$A,계산!$E99,계산!$B:$B,$B$1*100+12))</f>
        <v/>
      </c>
      <c r="O101">
        <f>IF(원생!$I99="","",원생!$I99)</f>
        <v/>
      </c>
      <c r="P101">
        <f>IF($A101="","",IF(AND($B101&gt;0,C101&lt;$B101,DATE($B$1,1,1)&lt;=TODAY(),OR($O101="",$O101&gt;=DATE($B$1,1,1)),OR(COUNTIF($C101:C101,"&gt;0")&gt;0,DATE($B$1,1,1)=DATE(YEAR(TODAY()),MONTH(TODAY()),1))),1,0))</f>
        <v/>
      </c>
      <c r="Q101">
        <f>IF($A101="","",IF(AND($B101&gt;0,D101&lt;$B101,DATE($B$1,2,1)&lt;=TODAY(),OR($O101="",$O101&gt;=DATE($B$1,2,1)),OR(COUNTIF($C101:D101,"&gt;0")&gt;0,DATE($B$1,2,1)=DATE(YEAR(TODAY()),MONTH(TODAY()),1))),1,0))</f>
        <v/>
      </c>
      <c r="R101">
        <f>IF($A101="","",IF(AND($B101&gt;0,E101&lt;$B101,DATE($B$1,3,1)&lt;=TODAY(),OR($O101="",$O101&gt;=DATE($B$1,3,1)),OR(COUNTIF($C101:E101,"&gt;0")&gt;0,DATE($B$1,3,1)=DATE(YEAR(TODAY()),MONTH(TODAY()),1))),1,0))</f>
        <v/>
      </c>
      <c r="S101">
        <f>IF($A101="","",IF(AND($B101&gt;0,F101&lt;$B101,DATE($B$1,4,1)&lt;=TODAY(),OR($O101="",$O101&gt;=DATE($B$1,4,1)),OR(COUNTIF($C101:F101,"&gt;0")&gt;0,DATE($B$1,4,1)=DATE(YEAR(TODAY()),MONTH(TODAY()),1))),1,0))</f>
        <v/>
      </c>
      <c r="T101">
        <f>IF($A101="","",IF(AND($B101&gt;0,G101&lt;$B101,DATE($B$1,5,1)&lt;=TODAY(),OR($O101="",$O101&gt;=DATE($B$1,5,1)),OR(COUNTIF($C101:G101,"&gt;0")&gt;0,DATE($B$1,5,1)=DATE(YEAR(TODAY()),MONTH(TODAY()),1))),1,0))</f>
        <v/>
      </c>
      <c r="U101">
        <f>IF($A101="","",IF(AND($B101&gt;0,H101&lt;$B101,DATE($B$1,6,1)&lt;=TODAY(),OR($O101="",$O101&gt;=DATE($B$1,6,1)),OR(COUNTIF($C101:H101,"&gt;0")&gt;0,DATE($B$1,6,1)=DATE(YEAR(TODAY()),MONTH(TODAY()),1))),1,0))</f>
        <v/>
      </c>
      <c r="V101">
        <f>IF($A101="","",IF(AND($B101&gt;0,I101&lt;$B101,DATE($B$1,7,1)&lt;=TODAY(),OR($O101="",$O101&gt;=DATE($B$1,7,1)),OR(COUNTIF($C101:I101,"&gt;0")&gt;0,DATE($B$1,7,1)=DATE(YEAR(TODAY()),MONTH(TODAY()),1))),1,0))</f>
        <v/>
      </c>
      <c r="W101">
        <f>IF($A101="","",IF(AND($B101&gt;0,J101&lt;$B101,DATE($B$1,8,1)&lt;=TODAY(),OR($O101="",$O101&gt;=DATE($B$1,8,1)),OR(COUNTIF($C101:J101,"&gt;0")&gt;0,DATE($B$1,8,1)=DATE(YEAR(TODAY()),MONTH(TODAY()),1))),1,0))</f>
        <v/>
      </c>
      <c r="X101">
        <f>IF($A101="","",IF(AND($B101&gt;0,K101&lt;$B101,DATE($B$1,9,1)&lt;=TODAY(),OR($O101="",$O101&gt;=DATE($B$1,9,1)),OR(COUNTIF($C101:K101,"&gt;0")&gt;0,DATE($B$1,9,1)=DATE(YEAR(TODAY()),MONTH(TODAY()),1))),1,0))</f>
        <v/>
      </c>
      <c r="Y101">
        <f>IF($A101="","",IF(AND($B101&gt;0,L101&lt;$B101,DATE($B$1,10,1)&lt;=TODAY(),OR($O101="",$O101&gt;=DATE($B$1,10,1)),OR(COUNTIF($C101:L101,"&gt;0")&gt;0,DATE($B$1,10,1)=DATE(YEAR(TODAY()),MONTH(TODAY()),1))),1,0))</f>
        <v/>
      </c>
      <c r="Z101">
        <f>IF($A101="","",IF(AND($B101&gt;0,M101&lt;$B101,DATE($B$1,11,1)&lt;=TODAY(),OR($O101="",$O101&gt;=DATE($B$1,11,1)),OR(COUNTIF($C101:M101,"&gt;0")&gt;0,DATE($B$1,11,1)=DATE(YEAR(TODAY()),MONTH(TODAY()),1))),1,0))</f>
        <v/>
      </c>
      <c r="AA101">
        <f>IF($A101="","",IF(AND($B101&gt;0,N101&lt;$B101,DATE($B$1,12,1)&lt;=TODAY(),OR($O101="",$O101&gt;=DATE($B$1,12,1)),OR(COUNTIF($C101:N101,"&gt;0")&gt;0,DATE($B$1,12,1)=DATE(YEAR(TODAY()),MONTH(TODAY()),1))),1,0))</f>
        <v/>
      </c>
    </row>
    <row r="102">
      <c r="A102" s="13">
        <f>IF(원생!$A100="","",원생!$A100&amp;IF(원생!$G100="",""," ("&amp;원생!$G100&amp;")"))</f>
        <v/>
      </c>
      <c r="B102" s="8">
        <f>IF(원생!$A100="","",N(원생!$F100))</f>
        <v/>
      </c>
      <c r="C102" s="14">
        <f>IF(원생!$A100="","",SUMIFS(계산!$C:$C,계산!$A:$A,계산!$E100,계산!$B:$B,$B$1*100+1))</f>
        <v/>
      </c>
      <c r="D102" s="14">
        <f>IF(원생!$A100="","",SUMIFS(계산!$C:$C,계산!$A:$A,계산!$E100,계산!$B:$B,$B$1*100+2))</f>
        <v/>
      </c>
      <c r="E102" s="14">
        <f>IF(원생!$A100="","",SUMIFS(계산!$C:$C,계산!$A:$A,계산!$E100,계산!$B:$B,$B$1*100+3))</f>
        <v/>
      </c>
      <c r="F102" s="14">
        <f>IF(원생!$A100="","",SUMIFS(계산!$C:$C,계산!$A:$A,계산!$E100,계산!$B:$B,$B$1*100+4))</f>
        <v/>
      </c>
      <c r="G102" s="14">
        <f>IF(원생!$A100="","",SUMIFS(계산!$C:$C,계산!$A:$A,계산!$E100,계산!$B:$B,$B$1*100+5))</f>
        <v/>
      </c>
      <c r="H102" s="14">
        <f>IF(원생!$A100="","",SUMIFS(계산!$C:$C,계산!$A:$A,계산!$E100,계산!$B:$B,$B$1*100+6))</f>
        <v/>
      </c>
      <c r="I102" s="14">
        <f>IF(원생!$A100="","",SUMIFS(계산!$C:$C,계산!$A:$A,계산!$E100,계산!$B:$B,$B$1*100+7))</f>
        <v/>
      </c>
      <c r="J102" s="14">
        <f>IF(원생!$A100="","",SUMIFS(계산!$C:$C,계산!$A:$A,계산!$E100,계산!$B:$B,$B$1*100+8))</f>
        <v/>
      </c>
      <c r="K102" s="14">
        <f>IF(원생!$A100="","",SUMIFS(계산!$C:$C,계산!$A:$A,계산!$E100,계산!$B:$B,$B$1*100+9))</f>
        <v/>
      </c>
      <c r="L102" s="14">
        <f>IF(원생!$A100="","",SUMIFS(계산!$C:$C,계산!$A:$A,계산!$E100,계산!$B:$B,$B$1*100+10))</f>
        <v/>
      </c>
      <c r="M102" s="14">
        <f>IF(원생!$A100="","",SUMIFS(계산!$C:$C,계산!$A:$A,계산!$E100,계산!$B:$B,$B$1*100+11))</f>
        <v/>
      </c>
      <c r="N102" s="14">
        <f>IF(원생!$A100="","",SUMIFS(계산!$C:$C,계산!$A:$A,계산!$E100,계산!$B:$B,$B$1*100+12))</f>
        <v/>
      </c>
      <c r="O102">
        <f>IF(원생!$I100="","",원생!$I100)</f>
        <v/>
      </c>
      <c r="P102">
        <f>IF($A102="","",IF(AND($B102&gt;0,C102&lt;$B102,DATE($B$1,1,1)&lt;=TODAY(),OR($O102="",$O102&gt;=DATE($B$1,1,1)),OR(COUNTIF($C102:C102,"&gt;0")&gt;0,DATE($B$1,1,1)=DATE(YEAR(TODAY()),MONTH(TODAY()),1))),1,0))</f>
        <v/>
      </c>
      <c r="Q102">
        <f>IF($A102="","",IF(AND($B102&gt;0,D102&lt;$B102,DATE($B$1,2,1)&lt;=TODAY(),OR($O102="",$O102&gt;=DATE($B$1,2,1)),OR(COUNTIF($C102:D102,"&gt;0")&gt;0,DATE($B$1,2,1)=DATE(YEAR(TODAY()),MONTH(TODAY()),1))),1,0))</f>
        <v/>
      </c>
      <c r="R102">
        <f>IF($A102="","",IF(AND($B102&gt;0,E102&lt;$B102,DATE($B$1,3,1)&lt;=TODAY(),OR($O102="",$O102&gt;=DATE($B$1,3,1)),OR(COUNTIF($C102:E102,"&gt;0")&gt;0,DATE($B$1,3,1)=DATE(YEAR(TODAY()),MONTH(TODAY()),1))),1,0))</f>
        <v/>
      </c>
      <c r="S102">
        <f>IF($A102="","",IF(AND($B102&gt;0,F102&lt;$B102,DATE($B$1,4,1)&lt;=TODAY(),OR($O102="",$O102&gt;=DATE($B$1,4,1)),OR(COUNTIF($C102:F102,"&gt;0")&gt;0,DATE($B$1,4,1)=DATE(YEAR(TODAY()),MONTH(TODAY()),1))),1,0))</f>
        <v/>
      </c>
      <c r="T102">
        <f>IF($A102="","",IF(AND($B102&gt;0,G102&lt;$B102,DATE($B$1,5,1)&lt;=TODAY(),OR($O102="",$O102&gt;=DATE($B$1,5,1)),OR(COUNTIF($C102:G102,"&gt;0")&gt;0,DATE($B$1,5,1)=DATE(YEAR(TODAY()),MONTH(TODAY()),1))),1,0))</f>
        <v/>
      </c>
      <c r="U102">
        <f>IF($A102="","",IF(AND($B102&gt;0,H102&lt;$B102,DATE($B$1,6,1)&lt;=TODAY(),OR($O102="",$O102&gt;=DATE($B$1,6,1)),OR(COUNTIF($C102:H102,"&gt;0")&gt;0,DATE($B$1,6,1)=DATE(YEAR(TODAY()),MONTH(TODAY()),1))),1,0))</f>
        <v/>
      </c>
      <c r="V102">
        <f>IF($A102="","",IF(AND($B102&gt;0,I102&lt;$B102,DATE($B$1,7,1)&lt;=TODAY(),OR($O102="",$O102&gt;=DATE($B$1,7,1)),OR(COUNTIF($C102:I102,"&gt;0")&gt;0,DATE($B$1,7,1)=DATE(YEAR(TODAY()),MONTH(TODAY()),1))),1,0))</f>
        <v/>
      </c>
      <c r="W102">
        <f>IF($A102="","",IF(AND($B102&gt;0,J102&lt;$B102,DATE($B$1,8,1)&lt;=TODAY(),OR($O102="",$O102&gt;=DATE($B$1,8,1)),OR(COUNTIF($C102:J102,"&gt;0")&gt;0,DATE($B$1,8,1)=DATE(YEAR(TODAY()),MONTH(TODAY()),1))),1,0))</f>
        <v/>
      </c>
      <c r="X102">
        <f>IF($A102="","",IF(AND($B102&gt;0,K102&lt;$B102,DATE($B$1,9,1)&lt;=TODAY(),OR($O102="",$O102&gt;=DATE($B$1,9,1)),OR(COUNTIF($C102:K102,"&gt;0")&gt;0,DATE($B$1,9,1)=DATE(YEAR(TODAY()),MONTH(TODAY()),1))),1,0))</f>
        <v/>
      </c>
      <c r="Y102">
        <f>IF($A102="","",IF(AND($B102&gt;0,L102&lt;$B102,DATE($B$1,10,1)&lt;=TODAY(),OR($O102="",$O102&gt;=DATE($B$1,10,1)),OR(COUNTIF($C102:L102,"&gt;0")&gt;0,DATE($B$1,10,1)=DATE(YEAR(TODAY()),MONTH(TODAY()),1))),1,0))</f>
        <v/>
      </c>
      <c r="Z102">
        <f>IF($A102="","",IF(AND($B102&gt;0,M102&lt;$B102,DATE($B$1,11,1)&lt;=TODAY(),OR($O102="",$O102&gt;=DATE($B$1,11,1)),OR(COUNTIF($C102:M102,"&gt;0")&gt;0,DATE($B$1,11,1)=DATE(YEAR(TODAY()),MONTH(TODAY()),1))),1,0))</f>
        <v/>
      </c>
      <c r="AA102">
        <f>IF($A102="","",IF(AND($B102&gt;0,N102&lt;$B102,DATE($B$1,12,1)&lt;=TODAY(),OR($O102="",$O102&gt;=DATE($B$1,12,1)),OR(COUNTIF($C102:N102,"&gt;0")&gt;0,DATE($B$1,12,1)=DATE(YEAR(TODAY()),MONTH(TODAY()),1))),1,0))</f>
        <v/>
      </c>
    </row>
    <row r="103">
      <c r="A103" s="13">
        <f>IF(원생!$A101="","",원생!$A101&amp;IF(원생!$G101="",""," ("&amp;원생!$G101&amp;")"))</f>
        <v/>
      </c>
      <c r="B103" s="8">
        <f>IF(원생!$A101="","",N(원생!$F101))</f>
        <v/>
      </c>
      <c r="C103" s="14">
        <f>IF(원생!$A101="","",SUMIFS(계산!$C:$C,계산!$A:$A,계산!$E101,계산!$B:$B,$B$1*100+1))</f>
        <v/>
      </c>
      <c r="D103" s="14">
        <f>IF(원생!$A101="","",SUMIFS(계산!$C:$C,계산!$A:$A,계산!$E101,계산!$B:$B,$B$1*100+2))</f>
        <v/>
      </c>
      <c r="E103" s="14">
        <f>IF(원생!$A101="","",SUMIFS(계산!$C:$C,계산!$A:$A,계산!$E101,계산!$B:$B,$B$1*100+3))</f>
        <v/>
      </c>
      <c r="F103" s="14">
        <f>IF(원생!$A101="","",SUMIFS(계산!$C:$C,계산!$A:$A,계산!$E101,계산!$B:$B,$B$1*100+4))</f>
        <v/>
      </c>
      <c r="G103" s="14">
        <f>IF(원생!$A101="","",SUMIFS(계산!$C:$C,계산!$A:$A,계산!$E101,계산!$B:$B,$B$1*100+5))</f>
        <v/>
      </c>
      <c r="H103" s="14">
        <f>IF(원생!$A101="","",SUMIFS(계산!$C:$C,계산!$A:$A,계산!$E101,계산!$B:$B,$B$1*100+6))</f>
        <v/>
      </c>
      <c r="I103" s="14">
        <f>IF(원생!$A101="","",SUMIFS(계산!$C:$C,계산!$A:$A,계산!$E101,계산!$B:$B,$B$1*100+7))</f>
        <v/>
      </c>
      <c r="J103" s="14">
        <f>IF(원생!$A101="","",SUMIFS(계산!$C:$C,계산!$A:$A,계산!$E101,계산!$B:$B,$B$1*100+8))</f>
        <v/>
      </c>
      <c r="K103" s="14">
        <f>IF(원생!$A101="","",SUMIFS(계산!$C:$C,계산!$A:$A,계산!$E101,계산!$B:$B,$B$1*100+9))</f>
        <v/>
      </c>
      <c r="L103" s="14">
        <f>IF(원생!$A101="","",SUMIFS(계산!$C:$C,계산!$A:$A,계산!$E101,계산!$B:$B,$B$1*100+10))</f>
        <v/>
      </c>
      <c r="M103" s="14">
        <f>IF(원생!$A101="","",SUMIFS(계산!$C:$C,계산!$A:$A,계산!$E101,계산!$B:$B,$B$1*100+11))</f>
        <v/>
      </c>
      <c r="N103" s="14">
        <f>IF(원생!$A101="","",SUMIFS(계산!$C:$C,계산!$A:$A,계산!$E101,계산!$B:$B,$B$1*100+12))</f>
        <v/>
      </c>
      <c r="O103">
        <f>IF(원생!$I101="","",원생!$I101)</f>
        <v/>
      </c>
      <c r="P103">
        <f>IF($A103="","",IF(AND($B103&gt;0,C103&lt;$B103,DATE($B$1,1,1)&lt;=TODAY(),OR($O103="",$O103&gt;=DATE($B$1,1,1)),OR(COUNTIF($C103:C103,"&gt;0")&gt;0,DATE($B$1,1,1)=DATE(YEAR(TODAY()),MONTH(TODAY()),1))),1,0))</f>
        <v/>
      </c>
      <c r="Q103">
        <f>IF($A103="","",IF(AND($B103&gt;0,D103&lt;$B103,DATE($B$1,2,1)&lt;=TODAY(),OR($O103="",$O103&gt;=DATE($B$1,2,1)),OR(COUNTIF($C103:D103,"&gt;0")&gt;0,DATE($B$1,2,1)=DATE(YEAR(TODAY()),MONTH(TODAY()),1))),1,0))</f>
        <v/>
      </c>
      <c r="R103">
        <f>IF($A103="","",IF(AND($B103&gt;0,E103&lt;$B103,DATE($B$1,3,1)&lt;=TODAY(),OR($O103="",$O103&gt;=DATE($B$1,3,1)),OR(COUNTIF($C103:E103,"&gt;0")&gt;0,DATE($B$1,3,1)=DATE(YEAR(TODAY()),MONTH(TODAY()),1))),1,0))</f>
        <v/>
      </c>
      <c r="S103">
        <f>IF($A103="","",IF(AND($B103&gt;0,F103&lt;$B103,DATE($B$1,4,1)&lt;=TODAY(),OR($O103="",$O103&gt;=DATE($B$1,4,1)),OR(COUNTIF($C103:F103,"&gt;0")&gt;0,DATE($B$1,4,1)=DATE(YEAR(TODAY()),MONTH(TODAY()),1))),1,0))</f>
        <v/>
      </c>
      <c r="T103">
        <f>IF($A103="","",IF(AND($B103&gt;0,G103&lt;$B103,DATE($B$1,5,1)&lt;=TODAY(),OR($O103="",$O103&gt;=DATE($B$1,5,1)),OR(COUNTIF($C103:G103,"&gt;0")&gt;0,DATE($B$1,5,1)=DATE(YEAR(TODAY()),MONTH(TODAY()),1))),1,0))</f>
        <v/>
      </c>
      <c r="U103">
        <f>IF($A103="","",IF(AND($B103&gt;0,H103&lt;$B103,DATE($B$1,6,1)&lt;=TODAY(),OR($O103="",$O103&gt;=DATE($B$1,6,1)),OR(COUNTIF($C103:H103,"&gt;0")&gt;0,DATE($B$1,6,1)=DATE(YEAR(TODAY()),MONTH(TODAY()),1))),1,0))</f>
        <v/>
      </c>
      <c r="V103">
        <f>IF($A103="","",IF(AND($B103&gt;0,I103&lt;$B103,DATE($B$1,7,1)&lt;=TODAY(),OR($O103="",$O103&gt;=DATE($B$1,7,1)),OR(COUNTIF($C103:I103,"&gt;0")&gt;0,DATE($B$1,7,1)=DATE(YEAR(TODAY()),MONTH(TODAY()),1))),1,0))</f>
        <v/>
      </c>
      <c r="W103">
        <f>IF($A103="","",IF(AND($B103&gt;0,J103&lt;$B103,DATE($B$1,8,1)&lt;=TODAY(),OR($O103="",$O103&gt;=DATE($B$1,8,1)),OR(COUNTIF($C103:J103,"&gt;0")&gt;0,DATE($B$1,8,1)=DATE(YEAR(TODAY()),MONTH(TODAY()),1))),1,0))</f>
        <v/>
      </c>
      <c r="X103">
        <f>IF($A103="","",IF(AND($B103&gt;0,K103&lt;$B103,DATE($B$1,9,1)&lt;=TODAY(),OR($O103="",$O103&gt;=DATE($B$1,9,1)),OR(COUNTIF($C103:K103,"&gt;0")&gt;0,DATE($B$1,9,1)=DATE(YEAR(TODAY()),MONTH(TODAY()),1))),1,0))</f>
        <v/>
      </c>
      <c r="Y103">
        <f>IF($A103="","",IF(AND($B103&gt;0,L103&lt;$B103,DATE($B$1,10,1)&lt;=TODAY(),OR($O103="",$O103&gt;=DATE($B$1,10,1)),OR(COUNTIF($C103:L103,"&gt;0")&gt;0,DATE($B$1,10,1)=DATE(YEAR(TODAY()),MONTH(TODAY()),1))),1,0))</f>
        <v/>
      </c>
      <c r="Z103">
        <f>IF($A103="","",IF(AND($B103&gt;0,M103&lt;$B103,DATE($B$1,11,1)&lt;=TODAY(),OR($O103="",$O103&gt;=DATE($B$1,11,1)),OR(COUNTIF($C103:M103,"&gt;0")&gt;0,DATE($B$1,11,1)=DATE(YEAR(TODAY()),MONTH(TODAY()),1))),1,0))</f>
        <v/>
      </c>
      <c r="AA103">
        <f>IF($A103="","",IF(AND($B103&gt;0,N103&lt;$B103,DATE($B$1,12,1)&lt;=TODAY(),OR($O103="",$O103&gt;=DATE($B$1,12,1)),OR(COUNTIF($C103:N103,"&gt;0")&gt;0,DATE($B$1,12,1)=DATE(YEAR(TODAY()),MONTH(TODAY()),1))),1,0))</f>
        <v/>
      </c>
    </row>
    <row r="104">
      <c r="A104" s="13">
        <f>IF(원생!$A102="","",원생!$A102&amp;IF(원생!$G102="",""," ("&amp;원생!$G102&amp;")"))</f>
        <v/>
      </c>
      <c r="B104" s="8">
        <f>IF(원생!$A102="","",N(원생!$F102))</f>
        <v/>
      </c>
      <c r="C104" s="14">
        <f>IF(원생!$A102="","",SUMIFS(계산!$C:$C,계산!$A:$A,계산!$E102,계산!$B:$B,$B$1*100+1))</f>
        <v/>
      </c>
      <c r="D104" s="14">
        <f>IF(원생!$A102="","",SUMIFS(계산!$C:$C,계산!$A:$A,계산!$E102,계산!$B:$B,$B$1*100+2))</f>
        <v/>
      </c>
      <c r="E104" s="14">
        <f>IF(원생!$A102="","",SUMIFS(계산!$C:$C,계산!$A:$A,계산!$E102,계산!$B:$B,$B$1*100+3))</f>
        <v/>
      </c>
      <c r="F104" s="14">
        <f>IF(원생!$A102="","",SUMIFS(계산!$C:$C,계산!$A:$A,계산!$E102,계산!$B:$B,$B$1*100+4))</f>
        <v/>
      </c>
      <c r="G104" s="14">
        <f>IF(원생!$A102="","",SUMIFS(계산!$C:$C,계산!$A:$A,계산!$E102,계산!$B:$B,$B$1*100+5))</f>
        <v/>
      </c>
      <c r="H104" s="14">
        <f>IF(원생!$A102="","",SUMIFS(계산!$C:$C,계산!$A:$A,계산!$E102,계산!$B:$B,$B$1*100+6))</f>
        <v/>
      </c>
      <c r="I104" s="14">
        <f>IF(원생!$A102="","",SUMIFS(계산!$C:$C,계산!$A:$A,계산!$E102,계산!$B:$B,$B$1*100+7))</f>
        <v/>
      </c>
      <c r="J104" s="14">
        <f>IF(원생!$A102="","",SUMIFS(계산!$C:$C,계산!$A:$A,계산!$E102,계산!$B:$B,$B$1*100+8))</f>
        <v/>
      </c>
      <c r="K104" s="14">
        <f>IF(원생!$A102="","",SUMIFS(계산!$C:$C,계산!$A:$A,계산!$E102,계산!$B:$B,$B$1*100+9))</f>
        <v/>
      </c>
      <c r="L104" s="14">
        <f>IF(원생!$A102="","",SUMIFS(계산!$C:$C,계산!$A:$A,계산!$E102,계산!$B:$B,$B$1*100+10))</f>
        <v/>
      </c>
      <c r="M104" s="14">
        <f>IF(원생!$A102="","",SUMIFS(계산!$C:$C,계산!$A:$A,계산!$E102,계산!$B:$B,$B$1*100+11))</f>
        <v/>
      </c>
      <c r="N104" s="14">
        <f>IF(원생!$A102="","",SUMIFS(계산!$C:$C,계산!$A:$A,계산!$E102,계산!$B:$B,$B$1*100+12))</f>
        <v/>
      </c>
      <c r="O104">
        <f>IF(원생!$I102="","",원생!$I102)</f>
        <v/>
      </c>
      <c r="P104">
        <f>IF($A104="","",IF(AND($B104&gt;0,C104&lt;$B104,DATE($B$1,1,1)&lt;=TODAY(),OR($O104="",$O104&gt;=DATE($B$1,1,1)),OR(COUNTIF($C104:C104,"&gt;0")&gt;0,DATE($B$1,1,1)=DATE(YEAR(TODAY()),MONTH(TODAY()),1))),1,0))</f>
        <v/>
      </c>
      <c r="Q104">
        <f>IF($A104="","",IF(AND($B104&gt;0,D104&lt;$B104,DATE($B$1,2,1)&lt;=TODAY(),OR($O104="",$O104&gt;=DATE($B$1,2,1)),OR(COUNTIF($C104:D104,"&gt;0")&gt;0,DATE($B$1,2,1)=DATE(YEAR(TODAY()),MONTH(TODAY()),1))),1,0))</f>
        <v/>
      </c>
      <c r="R104">
        <f>IF($A104="","",IF(AND($B104&gt;0,E104&lt;$B104,DATE($B$1,3,1)&lt;=TODAY(),OR($O104="",$O104&gt;=DATE($B$1,3,1)),OR(COUNTIF($C104:E104,"&gt;0")&gt;0,DATE($B$1,3,1)=DATE(YEAR(TODAY()),MONTH(TODAY()),1))),1,0))</f>
        <v/>
      </c>
      <c r="S104">
        <f>IF($A104="","",IF(AND($B104&gt;0,F104&lt;$B104,DATE($B$1,4,1)&lt;=TODAY(),OR($O104="",$O104&gt;=DATE($B$1,4,1)),OR(COUNTIF($C104:F104,"&gt;0")&gt;0,DATE($B$1,4,1)=DATE(YEAR(TODAY()),MONTH(TODAY()),1))),1,0))</f>
        <v/>
      </c>
      <c r="T104">
        <f>IF($A104="","",IF(AND($B104&gt;0,G104&lt;$B104,DATE($B$1,5,1)&lt;=TODAY(),OR($O104="",$O104&gt;=DATE($B$1,5,1)),OR(COUNTIF($C104:G104,"&gt;0")&gt;0,DATE($B$1,5,1)=DATE(YEAR(TODAY()),MONTH(TODAY()),1))),1,0))</f>
        <v/>
      </c>
      <c r="U104">
        <f>IF($A104="","",IF(AND($B104&gt;0,H104&lt;$B104,DATE($B$1,6,1)&lt;=TODAY(),OR($O104="",$O104&gt;=DATE($B$1,6,1)),OR(COUNTIF($C104:H104,"&gt;0")&gt;0,DATE($B$1,6,1)=DATE(YEAR(TODAY()),MONTH(TODAY()),1))),1,0))</f>
        <v/>
      </c>
      <c r="V104">
        <f>IF($A104="","",IF(AND($B104&gt;0,I104&lt;$B104,DATE($B$1,7,1)&lt;=TODAY(),OR($O104="",$O104&gt;=DATE($B$1,7,1)),OR(COUNTIF($C104:I104,"&gt;0")&gt;0,DATE($B$1,7,1)=DATE(YEAR(TODAY()),MONTH(TODAY()),1))),1,0))</f>
        <v/>
      </c>
      <c r="W104">
        <f>IF($A104="","",IF(AND($B104&gt;0,J104&lt;$B104,DATE($B$1,8,1)&lt;=TODAY(),OR($O104="",$O104&gt;=DATE($B$1,8,1)),OR(COUNTIF($C104:J104,"&gt;0")&gt;0,DATE($B$1,8,1)=DATE(YEAR(TODAY()),MONTH(TODAY()),1))),1,0))</f>
        <v/>
      </c>
      <c r="X104">
        <f>IF($A104="","",IF(AND($B104&gt;0,K104&lt;$B104,DATE($B$1,9,1)&lt;=TODAY(),OR($O104="",$O104&gt;=DATE($B$1,9,1)),OR(COUNTIF($C104:K104,"&gt;0")&gt;0,DATE($B$1,9,1)=DATE(YEAR(TODAY()),MONTH(TODAY()),1))),1,0))</f>
        <v/>
      </c>
      <c r="Y104">
        <f>IF($A104="","",IF(AND($B104&gt;0,L104&lt;$B104,DATE($B$1,10,1)&lt;=TODAY(),OR($O104="",$O104&gt;=DATE($B$1,10,1)),OR(COUNTIF($C104:L104,"&gt;0")&gt;0,DATE($B$1,10,1)=DATE(YEAR(TODAY()),MONTH(TODAY()),1))),1,0))</f>
        <v/>
      </c>
      <c r="Z104">
        <f>IF($A104="","",IF(AND($B104&gt;0,M104&lt;$B104,DATE($B$1,11,1)&lt;=TODAY(),OR($O104="",$O104&gt;=DATE($B$1,11,1)),OR(COUNTIF($C104:M104,"&gt;0")&gt;0,DATE($B$1,11,1)=DATE(YEAR(TODAY()),MONTH(TODAY()),1))),1,0))</f>
        <v/>
      </c>
      <c r="AA104">
        <f>IF($A104="","",IF(AND($B104&gt;0,N104&lt;$B104,DATE($B$1,12,1)&lt;=TODAY(),OR($O104="",$O104&gt;=DATE($B$1,12,1)),OR(COUNTIF($C104:N104,"&gt;0")&gt;0,DATE($B$1,12,1)=DATE(YEAR(TODAY()),MONTH(TODAY()),1))),1,0))</f>
        <v/>
      </c>
    </row>
    <row r="105">
      <c r="A105" s="13">
        <f>IF(원생!$A103="","",원생!$A103&amp;IF(원생!$G103="",""," ("&amp;원생!$G103&amp;")"))</f>
        <v/>
      </c>
      <c r="B105" s="8">
        <f>IF(원생!$A103="","",N(원생!$F103))</f>
        <v/>
      </c>
      <c r="C105" s="14">
        <f>IF(원생!$A103="","",SUMIFS(계산!$C:$C,계산!$A:$A,계산!$E103,계산!$B:$B,$B$1*100+1))</f>
        <v/>
      </c>
      <c r="D105" s="14">
        <f>IF(원생!$A103="","",SUMIFS(계산!$C:$C,계산!$A:$A,계산!$E103,계산!$B:$B,$B$1*100+2))</f>
        <v/>
      </c>
      <c r="E105" s="14">
        <f>IF(원생!$A103="","",SUMIFS(계산!$C:$C,계산!$A:$A,계산!$E103,계산!$B:$B,$B$1*100+3))</f>
        <v/>
      </c>
      <c r="F105" s="14">
        <f>IF(원생!$A103="","",SUMIFS(계산!$C:$C,계산!$A:$A,계산!$E103,계산!$B:$B,$B$1*100+4))</f>
        <v/>
      </c>
      <c r="G105" s="14">
        <f>IF(원생!$A103="","",SUMIFS(계산!$C:$C,계산!$A:$A,계산!$E103,계산!$B:$B,$B$1*100+5))</f>
        <v/>
      </c>
      <c r="H105" s="14">
        <f>IF(원생!$A103="","",SUMIFS(계산!$C:$C,계산!$A:$A,계산!$E103,계산!$B:$B,$B$1*100+6))</f>
        <v/>
      </c>
      <c r="I105" s="14">
        <f>IF(원생!$A103="","",SUMIFS(계산!$C:$C,계산!$A:$A,계산!$E103,계산!$B:$B,$B$1*100+7))</f>
        <v/>
      </c>
      <c r="J105" s="14">
        <f>IF(원생!$A103="","",SUMIFS(계산!$C:$C,계산!$A:$A,계산!$E103,계산!$B:$B,$B$1*100+8))</f>
        <v/>
      </c>
      <c r="K105" s="14">
        <f>IF(원생!$A103="","",SUMIFS(계산!$C:$C,계산!$A:$A,계산!$E103,계산!$B:$B,$B$1*100+9))</f>
        <v/>
      </c>
      <c r="L105" s="14">
        <f>IF(원생!$A103="","",SUMIFS(계산!$C:$C,계산!$A:$A,계산!$E103,계산!$B:$B,$B$1*100+10))</f>
        <v/>
      </c>
      <c r="M105" s="14">
        <f>IF(원생!$A103="","",SUMIFS(계산!$C:$C,계산!$A:$A,계산!$E103,계산!$B:$B,$B$1*100+11))</f>
        <v/>
      </c>
      <c r="N105" s="14">
        <f>IF(원생!$A103="","",SUMIFS(계산!$C:$C,계산!$A:$A,계산!$E103,계산!$B:$B,$B$1*100+12))</f>
        <v/>
      </c>
      <c r="O105">
        <f>IF(원생!$I103="","",원생!$I103)</f>
        <v/>
      </c>
      <c r="P105">
        <f>IF($A105="","",IF(AND($B105&gt;0,C105&lt;$B105,DATE($B$1,1,1)&lt;=TODAY(),OR($O105="",$O105&gt;=DATE($B$1,1,1)),OR(COUNTIF($C105:C105,"&gt;0")&gt;0,DATE($B$1,1,1)=DATE(YEAR(TODAY()),MONTH(TODAY()),1))),1,0))</f>
        <v/>
      </c>
      <c r="Q105">
        <f>IF($A105="","",IF(AND($B105&gt;0,D105&lt;$B105,DATE($B$1,2,1)&lt;=TODAY(),OR($O105="",$O105&gt;=DATE($B$1,2,1)),OR(COUNTIF($C105:D105,"&gt;0")&gt;0,DATE($B$1,2,1)=DATE(YEAR(TODAY()),MONTH(TODAY()),1))),1,0))</f>
        <v/>
      </c>
      <c r="R105">
        <f>IF($A105="","",IF(AND($B105&gt;0,E105&lt;$B105,DATE($B$1,3,1)&lt;=TODAY(),OR($O105="",$O105&gt;=DATE($B$1,3,1)),OR(COUNTIF($C105:E105,"&gt;0")&gt;0,DATE($B$1,3,1)=DATE(YEAR(TODAY()),MONTH(TODAY()),1))),1,0))</f>
        <v/>
      </c>
      <c r="S105">
        <f>IF($A105="","",IF(AND($B105&gt;0,F105&lt;$B105,DATE($B$1,4,1)&lt;=TODAY(),OR($O105="",$O105&gt;=DATE($B$1,4,1)),OR(COUNTIF($C105:F105,"&gt;0")&gt;0,DATE($B$1,4,1)=DATE(YEAR(TODAY()),MONTH(TODAY()),1))),1,0))</f>
        <v/>
      </c>
      <c r="T105">
        <f>IF($A105="","",IF(AND($B105&gt;0,G105&lt;$B105,DATE($B$1,5,1)&lt;=TODAY(),OR($O105="",$O105&gt;=DATE($B$1,5,1)),OR(COUNTIF($C105:G105,"&gt;0")&gt;0,DATE($B$1,5,1)=DATE(YEAR(TODAY()),MONTH(TODAY()),1))),1,0))</f>
        <v/>
      </c>
      <c r="U105">
        <f>IF($A105="","",IF(AND($B105&gt;0,H105&lt;$B105,DATE($B$1,6,1)&lt;=TODAY(),OR($O105="",$O105&gt;=DATE($B$1,6,1)),OR(COUNTIF($C105:H105,"&gt;0")&gt;0,DATE($B$1,6,1)=DATE(YEAR(TODAY()),MONTH(TODAY()),1))),1,0))</f>
        <v/>
      </c>
      <c r="V105">
        <f>IF($A105="","",IF(AND($B105&gt;0,I105&lt;$B105,DATE($B$1,7,1)&lt;=TODAY(),OR($O105="",$O105&gt;=DATE($B$1,7,1)),OR(COUNTIF($C105:I105,"&gt;0")&gt;0,DATE($B$1,7,1)=DATE(YEAR(TODAY()),MONTH(TODAY()),1))),1,0))</f>
        <v/>
      </c>
      <c r="W105">
        <f>IF($A105="","",IF(AND($B105&gt;0,J105&lt;$B105,DATE($B$1,8,1)&lt;=TODAY(),OR($O105="",$O105&gt;=DATE($B$1,8,1)),OR(COUNTIF($C105:J105,"&gt;0")&gt;0,DATE($B$1,8,1)=DATE(YEAR(TODAY()),MONTH(TODAY()),1))),1,0))</f>
        <v/>
      </c>
      <c r="X105">
        <f>IF($A105="","",IF(AND($B105&gt;0,K105&lt;$B105,DATE($B$1,9,1)&lt;=TODAY(),OR($O105="",$O105&gt;=DATE($B$1,9,1)),OR(COUNTIF($C105:K105,"&gt;0")&gt;0,DATE($B$1,9,1)=DATE(YEAR(TODAY()),MONTH(TODAY()),1))),1,0))</f>
        <v/>
      </c>
      <c r="Y105">
        <f>IF($A105="","",IF(AND($B105&gt;0,L105&lt;$B105,DATE($B$1,10,1)&lt;=TODAY(),OR($O105="",$O105&gt;=DATE($B$1,10,1)),OR(COUNTIF($C105:L105,"&gt;0")&gt;0,DATE($B$1,10,1)=DATE(YEAR(TODAY()),MONTH(TODAY()),1))),1,0))</f>
        <v/>
      </c>
      <c r="Z105">
        <f>IF($A105="","",IF(AND($B105&gt;0,M105&lt;$B105,DATE($B$1,11,1)&lt;=TODAY(),OR($O105="",$O105&gt;=DATE($B$1,11,1)),OR(COUNTIF($C105:M105,"&gt;0")&gt;0,DATE($B$1,11,1)=DATE(YEAR(TODAY()),MONTH(TODAY()),1))),1,0))</f>
        <v/>
      </c>
      <c r="AA105">
        <f>IF($A105="","",IF(AND($B105&gt;0,N105&lt;$B105,DATE($B$1,12,1)&lt;=TODAY(),OR($O105="",$O105&gt;=DATE($B$1,12,1)),OR(COUNTIF($C105:N105,"&gt;0")&gt;0,DATE($B$1,12,1)=DATE(YEAR(TODAY()),MONTH(TODAY()),1))),1,0))</f>
        <v/>
      </c>
    </row>
    <row r="106">
      <c r="A106" s="13">
        <f>IF(원생!$A104="","",원생!$A104&amp;IF(원생!$G104="",""," ("&amp;원생!$G104&amp;")"))</f>
        <v/>
      </c>
      <c r="B106" s="8">
        <f>IF(원생!$A104="","",N(원생!$F104))</f>
        <v/>
      </c>
      <c r="C106" s="14">
        <f>IF(원생!$A104="","",SUMIFS(계산!$C:$C,계산!$A:$A,계산!$E104,계산!$B:$B,$B$1*100+1))</f>
        <v/>
      </c>
      <c r="D106" s="14">
        <f>IF(원생!$A104="","",SUMIFS(계산!$C:$C,계산!$A:$A,계산!$E104,계산!$B:$B,$B$1*100+2))</f>
        <v/>
      </c>
      <c r="E106" s="14">
        <f>IF(원생!$A104="","",SUMIFS(계산!$C:$C,계산!$A:$A,계산!$E104,계산!$B:$B,$B$1*100+3))</f>
        <v/>
      </c>
      <c r="F106" s="14">
        <f>IF(원생!$A104="","",SUMIFS(계산!$C:$C,계산!$A:$A,계산!$E104,계산!$B:$B,$B$1*100+4))</f>
        <v/>
      </c>
      <c r="G106" s="14">
        <f>IF(원생!$A104="","",SUMIFS(계산!$C:$C,계산!$A:$A,계산!$E104,계산!$B:$B,$B$1*100+5))</f>
        <v/>
      </c>
      <c r="H106" s="14">
        <f>IF(원생!$A104="","",SUMIFS(계산!$C:$C,계산!$A:$A,계산!$E104,계산!$B:$B,$B$1*100+6))</f>
        <v/>
      </c>
      <c r="I106" s="14">
        <f>IF(원생!$A104="","",SUMIFS(계산!$C:$C,계산!$A:$A,계산!$E104,계산!$B:$B,$B$1*100+7))</f>
        <v/>
      </c>
      <c r="J106" s="14">
        <f>IF(원생!$A104="","",SUMIFS(계산!$C:$C,계산!$A:$A,계산!$E104,계산!$B:$B,$B$1*100+8))</f>
        <v/>
      </c>
      <c r="K106" s="14">
        <f>IF(원생!$A104="","",SUMIFS(계산!$C:$C,계산!$A:$A,계산!$E104,계산!$B:$B,$B$1*100+9))</f>
        <v/>
      </c>
      <c r="L106" s="14">
        <f>IF(원생!$A104="","",SUMIFS(계산!$C:$C,계산!$A:$A,계산!$E104,계산!$B:$B,$B$1*100+10))</f>
        <v/>
      </c>
      <c r="M106" s="14">
        <f>IF(원생!$A104="","",SUMIFS(계산!$C:$C,계산!$A:$A,계산!$E104,계산!$B:$B,$B$1*100+11))</f>
        <v/>
      </c>
      <c r="N106" s="14">
        <f>IF(원생!$A104="","",SUMIFS(계산!$C:$C,계산!$A:$A,계산!$E104,계산!$B:$B,$B$1*100+12))</f>
        <v/>
      </c>
      <c r="O106">
        <f>IF(원생!$I104="","",원생!$I104)</f>
        <v/>
      </c>
      <c r="P106">
        <f>IF($A106="","",IF(AND($B106&gt;0,C106&lt;$B106,DATE($B$1,1,1)&lt;=TODAY(),OR($O106="",$O106&gt;=DATE($B$1,1,1)),OR(COUNTIF($C106:C106,"&gt;0")&gt;0,DATE($B$1,1,1)=DATE(YEAR(TODAY()),MONTH(TODAY()),1))),1,0))</f>
        <v/>
      </c>
      <c r="Q106">
        <f>IF($A106="","",IF(AND($B106&gt;0,D106&lt;$B106,DATE($B$1,2,1)&lt;=TODAY(),OR($O106="",$O106&gt;=DATE($B$1,2,1)),OR(COUNTIF($C106:D106,"&gt;0")&gt;0,DATE($B$1,2,1)=DATE(YEAR(TODAY()),MONTH(TODAY()),1))),1,0))</f>
        <v/>
      </c>
      <c r="R106">
        <f>IF($A106="","",IF(AND($B106&gt;0,E106&lt;$B106,DATE($B$1,3,1)&lt;=TODAY(),OR($O106="",$O106&gt;=DATE($B$1,3,1)),OR(COUNTIF($C106:E106,"&gt;0")&gt;0,DATE($B$1,3,1)=DATE(YEAR(TODAY()),MONTH(TODAY()),1))),1,0))</f>
        <v/>
      </c>
      <c r="S106">
        <f>IF($A106="","",IF(AND($B106&gt;0,F106&lt;$B106,DATE($B$1,4,1)&lt;=TODAY(),OR($O106="",$O106&gt;=DATE($B$1,4,1)),OR(COUNTIF($C106:F106,"&gt;0")&gt;0,DATE($B$1,4,1)=DATE(YEAR(TODAY()),MONTH(TODAY()),1))),1,0))</f>
        <v/>
      </c>
      <c r="T106">
        <f>IF($A106="","",IF(AND($B106&gt;0,G106&lt;$B106,DATE($B$1,5,1)&lt;=TODAY(),OR($O106="",$O106&gt;=DATE($B$1,5,1)),OR(COUNTIF($C106:G106,"&gt;0")&gt;0,DATE($B$1,5,1)=DATE(YEAR(TODAY()),MONTH(TODAY()),1))),1,0))</f>
        <v/>
      </c>
      <c r="U106">
        <f>IF($A106="","",IF(AND($B106&gt;0,H106&lt;$B106,DATE($B$1,6,1)&lt;=TODAY(),OR($O106="",$O106&gt;=DATE($B$1,6,1)),OR(COUNTIF($C106:H106,"&gt;0")&gt;0,DATE($B$1,6,1)=DATE(YEAR(TODAY()),MONTH(TODAY()),1))),1,0))</f>
        <v/>
      </c>
      <c r="V106">
        <f>IF($A106="","",IF(AND($B106&gt;0,I106&lt;$B106,DATE($B$1,7,1)&lt;=TODAY(),OR($O106="",$O106&gt;=DATE($B$1,7,1)),OR(COUNTIF($C106:I106,"&gt;0")&gt;0,DATE($B$1,7,1)=DATE(YEAR(TODAY()),MONTH(TODAY()),1))),1,0))</f>
        <v/>
      </c>
      <c r="W106">
        <f>IF($A106="","",IF(AND($B106&gt;0,J106&lt;$B106,DATE($B$1,8,1)&lt;=TODAY(),OR($O106="",$O106&gt;=DATE($B$1,8,1)),OR(COUNTIF($C106:J106,"&gt;0")&gt;0,DATE($B$1,8,1)=DATE(YEAR(TODAY()),MONTH(TODAY()),1))),1,0))</f>
        <v/>
      </c>
      <c r="X106">
        <f>IF($A106="","",IF(AND($B106&gt;0,K106&lt;$B106,DATE($B$1,9,1)&lt;=TODAY(),OR($O106="",$O106&gt;=DATE($B$1,9,1)),OR(COUNTIF($C106:K106,"&gt;0")&gt;0,DATE($B$1,9,1)=DATE(YEAR(TODAY()),MONTH(TODAY()),1))),1,0))</f>
        <v/>
      </c>
      <c r="Y106">
        <f>IF($A106="","",IF(AND($B106&gt;0,L106&lt;$B106,DATE($B$1,10,1)&lt;=TODAY(),OR($O106="",$O106&gt;=DATE($B$1,10,1)),OR(COUNTIF($C106:L106,"&gt;0")&gt;0,DATE($B$1,10,1)=DATE(YEAR(TODAY()),MONTH(TODAY()),1))),1,0))</f>
        <v/>
      </c>
      <c r="Z106">
        <f>IF($A106="","",IF(AND($B106&gt;0,M106&lt;$B106,DATE($B$1,11,1)&lt;=TODAY(),OR($O106="",$O106&gt;=DATE($B$1,11,1)),OR(COUNTIF($C106:M106,"&gt;0")&gt;0,DATE($B$1,11,1)=DATE(YEAR(TODAY()),MONTH(TODAY()),1))),1,0))</f>
        <v/>
      </c>
      <c r="AA106">
        <f>IF($A106="","",IF(AND($B106&gt;0,N106&lt;$B106,DATE($B$1,12,1)&lt;=TODAY(),OR($O106="",$O106&gt;=DATE($B$1,12,1)),OR(COUNTIF($C106:N106,"&gt;0")&gt;0,DATE($B$1,12,1)=DATE(YEAR(TODAY()),MONTH(TODAY()),1))),1,0))</f>
        <v/>
      </c>
    </row>
    <row r="107">
      <c r="A107" s="13">
        <f>IF(원생!$A105="","",원생!$A105&amp;IF(원생!$G105="",""," ("&amp;원생!$G105&amp;")"))</f>
        <v/>
      </c>
      <c r="B107" s="8">
        <f>IF(원생!$A105="","",N(원생!$F105))</f>
        <v/>
      </c>
      <c r="C107" s="14">
        <f>IF(원생!$A105="","",SUMIFS(계산!$C:$C,계산!$A:$A,계산!$E105,계산!$B:$B,$B$1*100+1))</f>
        <v/>
      </c>
      <c r="D107" s="14">
        <f>IF(원생!$A105="","",SUMIFS(계산!$C:$C,계산!$A:$A,계산!$E105,계산!$B:$B,$B$1*100+2))</f>
        <v/>
      </c>
      <c r="E107" s="14">
        <f>IF(원생!$A105="","",SUMIFS(계산!$C:$C,계산!$A:$A,계산!$E105,계산!$B:$B,$B$1*100+3))</f>
        <v/>
      </c>
      <c r="F107" s="14">
        <f>IF(원생!$A105="","",SUMIFS(계산!$C:$C,계산!$A:$A,계산!$E105,계산!$B:$B,$B$1*100+4))</f>
        <v/>
      </c>
      <c r="G107" s="14">
        <f>IF(원생!$A105="","",SUMIFS(계산!$C:$C,계산!$A:$A,계산!$E105,계산!$B:$B,$B$1*100+5))</f>
        <v/>
      </c>
      <c r="H107" s="14">
        <f>IF(원생!$A105="","",SUMIFS(계산!$C:$C,계산!$A:$A,계산!$E105,계산!$B:$B,$B$1*100+6))</f>
        <v/>
      </c>
      <c r="I107" s="14">
        <f>IF(원생!$A105="","",SUMIFS(계산!$C:$C,계산!$A:$A,계산!$E105,계산!$B:$B,$B$1*100+7))</f>
        <v/>
      </c>
      <c r="J107" s="14">
        <f>IF(원생!$A105="","",SUMIFS(계산!$C:$C,계산!$A:$A,계산!$E105,계산!$B:$B,$B$1*100+8))</f>
        <v/>
      </c>
      <c r="K107" s="14">
        <f>IF(원생!$A105="","",SUMIFS(계산!$C:$C,계산!$A:$A,계산!$E105,계산!$B:$B,$B$1*100+9))</f>
        <v/>
      </c>
      <c r="L107" s="14">
        <f>IF(원생!$A105="","",SUMIFS(계산!$C:$C,계산!$A:$A,계산!$E105,계산!$B:$B,$B$1*100+10))</f>
        <v/>
      </c>
      <c r="M107" s="14">
        <f>IF(원생!$A105="","",SUMIFS(계산!$C:$C,계산!$A:$A,계산!$E105,계산!$B:$B,$B$1*100+11))</f>
        <v/>
      </c>
      <c r="N107" s="14">
        <f>IF(원생!$A105="","",SUMIFS(계산!$C:$C,계산!$A:$A,계산!$E105,계산!$B:$B,$B$1*100+12))</f>
        <v/>
      </c>
      <c r="O107">
        <f>IF(원생!$I105="","",원생!$I105)</f>
        <v/>
      </c>
      <c r="P107">
        <f>IF($A107="","",IF(AND($B107&gt;0,C107&lt;$B107,DATE($B$1,1,1)&lt;=TODAY(),OR($O107="",$O107&gt;=DATE($B$1,1,1)),OR(COUNTIF($C107:C107,"&gt;0")&gt;0,DATE($B$1,1,1)=DATE(YEAR(TODAY()),MONTH(TODAY()),1))),1,0))</f>
        <v/>
      </c>
      <c r="Q107">
        <f>IF($A107="","",IF(AND($B107&gt;0,D107&lt;$B107,DATE($B$1,2,1)&lt;=TODAY(),OR($O107="",$O107&gt;=DATE($B$1,2,1)),OR(COUNTIF($C107:D107,"&gt;0")&gt;0,DATE($B$1,2,1)=DATE(YEAR(TODAY()),MONTH(TODAY()),1))),1,0))</f>
        <v/>
      </c>
      <c r="R107">
        <f>IF($A107="","",IF(AND($B107&gt;0,E107&lt;$B107,DATE($B$1,3,1)&lt;=TODAY(),OR($O107="",$O107&gt;=DATE($B$1,3,1)),OR(COUNTIF($C107:E107,"&gt;0")&gt;0,DATE($B$1,3,1)=DATE(YEAR(TODAY()),MONTH(TODAY()),1))),1,0))</f>
        <v/>
      </c>
      <c r="S107">
        <f>IF($A107="","",IF(AND($B107&gt;0,F107&lt;$B107,DATE($B$1,4,1)&lt;=TODAY(),OR($O107="",$O107&gt;=DATE($B$1,4,1)),OR(COUNTIF($C107:F107,"&gt;0")&gt;0,DATE($B$1,4,1)=DATE(YEAR(TODAY()),MONTH(TODAY()),1))),1,0))</f>
        <v/>
      </c>
      <c r="T107">
        <f>IF($A107="","",IF(AND($B107&gt;0,G107&lt;$B107,DATE($B$1,5,1)&lt;=TODAY(),OR($O107="",$O107&gt;=DATE($B$1,5,1)),OR(COUNTIF($C107:G107,"&gt;0")&gt;0,DATE($B$1,5,1)=DATE(YEAR(TODAY()),MONTH(TODAY()),1))),1,0))</f>
        <v/>
      </c>
      <c r="U107">
        <f>IF($A107="","",IF(AND($B107&gt;0,H107&lt;$B107,DATE($B$1,6,1)&lt;=TODAY(),OR($O107="",$O107&gt;=DATE($B$1,6,1)),OR(COUNTIF($C107:H107,"&gt;0")&gt;0,DATE($B$1,6,1)=DATE(YEAR(TODAY()),MONTH(TODAY()),1))),1,0))</f>
        <v/>
      </c>
      <c r="V107">
        <f>IF($A107="","",IF(AND($B107&gt;0,I107&lt;$B107,DATE($B$1,7,1)&lt;=TODAY(),OR($O107="",$O107&gt;=DATE($B$1,7,1)),OR(COUNTIF($C107:I107,"&gt;0")&gt;0,DATE($B$1,7,1)=DATE(YEAR(TODAY()),MONTH(TODAY()),1))),1,0))</f>
        <v/>
      </c>
      <c r="W107">
        <f>IF($A107="","",IF(AND($B107&gt;0,J107&lt;$B107,DATE($B$1,8,1)&lt;=TODAY(),OR($O107="",$O107&gt;=DATE($B$1,8,1)),OR(COUNTIF($C107:J107,"&gt;0")&gt;0,DATE($B$1,8,1)=DATE(YEAR(TODAY()),MONTH(TODAY()),1))),1,0))</f>
        <v/>
      </c>
      <c r="X107">
        <f>IF($A107="","",IF(AND($B107&gt;0,K107&lt;$B107,DATE($B$1,9,1)&lt;=TODAY(),OR($O107="",$O107&gt;=DATE($B$1,9,1)),OR(COUNTIF($C107:K107,"&gt;0")&gt;0,DATE($B$1,9,1)=DATE(YEAR(TODAY()),MONTH(TODAY()),1))),1,0))</f>
        <v/>
      </c>
      <c r="Y107">
        <f>IF($A107="","",IF(AND($B107&gt;0,L107&lt;$B107,DATE($B$1,10,1)&lt;=TODAY(),OR($O107="",$O107&gt;=DATE($B$1,10,1)),OR(COUNTIF($C107:L107,"&gt;0")&gt;0,DATE($B$1,10,1)=DATE(YEAR(TODAY()),MONTH(TODAY()),1))),1,0))</f>
        <v/>
      </c>
      <c r="Z107">
        <f>IF($A107="","",IF(AND($B107&gt;0,M107&lt;$B107,DATE($B$1,11,1)&lt;=TODAY(),OR($O107="",$O107&gt;=DATE($B$1,11,1)),OR(COUNTIF($C107:M107,"&gt;0")&gt;0,DATE($B$1,11,1)=DATE(YEAR(TODAY()),MONTH(TODAY()),1))),1,0))</f>
        <v/>
      </c>
      <c r="AA107">
        <f>IF($A107="","",IF(AND($B107&gt;0,N107&lt;$B107,DATE($B$1,12,1)&lt;=TODAY(),OR($O107="",$O107&gt;=DATE($B$1,12,1)),OR(COUNTIF($C107:N107,"&gt;0")&gt;0,DATE($B$1,12,1)=DATE(YEAR(TODAY()),MONTH(TODAY()),1))),1,0))</f>
        <v/>
      </c>
    </row>
    <row r="108">
      <c r="A108" s="13">
        <f>IF(원생!$A106="","",원생!$A106&amp;IF(원생!$G106="",""," ("&amp;원생!$G106&amp;")"))</f>
        <v/>
      </c>
      <c r="B108" s="8">
        <f>IF(원생!$A106="","",N(원생!$F106))</f>
        <v/>
      </c>
      <c r="C108" s="14">
        <f>IF(원생!$A106="","",SUMIFS(계산!$C:$C,계산!$A:$A,계산!$E106,계산!$B:$B,$B$1*100+1))</f>
        <v/>
      </c>
      <c r="D108" s="14">
        <f>IF(원생!$A106="","",SUMIFS(계산!$C:$C,계산!$A:$A,계산!$E106,계산!$B:$B,$B$1*100+2))</f>
        <v/>
      </c>
      <c r="E108" s="14">
        <f>IF(원생!$A106="","",SUMIFS(계산!$C:$C,계산!$A:$A,계산!$E106,계산!$B:$B,$B$1*100+3))</f>
        <v/>
      </c>
      <c r="F108" s="14">
        <f>IF(원생!$A106="","",SUMIFS(계산!$C:$C,계산!$A:$A,계산!$E106,계산!$B:$B,$B$1*100+4))</f>
        <v/>
      </c>
      <c r="G108" s="14">
        <f>IF(원생!$A106="","",SUMIFS(계산!$C:$C,계산!$A:$A,계산!$E106,계산!$B:$B,$B$1*100+5))</f>
        <v/>
      </c>
      <c r="H108" s="14">
        <f>IF(원생!$A106="","",SUMIFS(계산!$C:$C,계산!$A:$A,계산!$E106,계산!$B:$B,$B$1*100+6))</f>
        <v/>
      </c>
      <c r="I108" s="14">
        <f>IF(원생!$A106="","",SUMIFS(계산!$C:$C,계산!$A:$A,계산!$E106,계산!$B:$B,$B$1*100+7))</f>
        <v/>
      </c>
      <c r="J108" s="14">
        <f>IF(원생!$A106="","",SUMIFS(계산!$C:$C,계산!$A:$A,계산!$E106,계산!$B:$B,$B$1*100+8))</f>
        <v/>
      </c>
      <c r="K108" s="14">
        <f>IF(원생!$A106="","",SUMIFS(계산!$C:$C,계산!$A:$A,계산!$E106,계산!$B:$B,$B$1*100+9))</f>
        <v/>
      </c>
      <c r="L108" s="14">
        <f>IF(원생!$A106="","",SUMIFS(계산!$C:$C,계산!$A:$A,계산!$E106,계산!$B:$B,$B$1*100+10))</f>
        <v/>
      </c>
      <c r="M108" s="14">
        <f>IF(원생!$A106="","",SUMIFS(계산!$C:$C,계산!$A:$A,계산!$E106,계산!$B:$B,$B$1*100+11))</f>
        <v/>
      </c>
      <c r="N108" s="14">
        <f>IF(원생!$A106="","",SUMIFS(계산!$C:$C,계산!$A:$A,계산!$E106,계산!$B:$B,$B$1*100+12))</f>
        <v/>
      </c>
      <c r="O108">
        <f>IF(원생!$I106="","",원생!$I106)</f>
        <v/>
      </c>
      <c r="P108">
        <f>IF($A108="","",IF(AND($B108&gt;0,C108&lt;$B108,DATE($B$1,1,1)&lt;=TODAY(),OR($O108="",$O108&gt;=DATE($B$1,1,1)),OR(COUNTIF($C108:C108,"&gt;0")&gt;0,DATE($B$1,1,1)=DATE(YEAR(TODAY()),MONTH(TODAY()),1))),1,0))</f>
        <v/>
      </c>
      <c r="Q108">
        <f>IF($A108="","",IF(AND($B108&gt;0,D108&lt;$B108,DATE($B$1,2,1)&lt;=TODAY(),OR($O108="",$O108&gt;=DATE($B$1,2,1)),OR(COUNTIF($C108:D108,"&gt;0")&gt;0,DATE($B$1,2,1)=DATE(YEAR(TODAY()),MONTH(TODAY()),1))),1,0))</f>
        <v/>
      </c>
      <c r="R108">
        <f>IF($A108="","",IF(AND($B108&gt;0,E108&lt;$B108,DATE($B$1,3,1)&lt;=TODAY(),OR($O108="",$O108&gt;=DATE($B$1,3,1)),OR(COUNTIF($C108:E108,"&gt;0")&gt;0,DATE($B$1,3,1)=DATE(YEAR(TODAY()),MONTH(TODAY()),1))),1,0))</f>
        <v/>
      </c>
      <c r="S108">
        <f>IF($A108="","",IF(AND($B108&gt;0,F108&lt;$B108,DATE($B$1,4,1)&lt;=TODAY(),OR($O108="",$O108&gt;=DATE($B$1,4,1)),OR(COUNTIF($C108:F108,"&gt;0")&gt;0,DATE($B$1,4,1)=DATE(YEAR(TODAY()),MONTH(TODAY()),1))),1,0))</f>
        <v/>
      </c>
      <c r="T108">
        <f>IF($A108="","",IF(AND($B108&gt;0,G108&lt;$B108,DATE($B$1,5,1)&lt;=TODAY(),OR($O108="",$O108&gt;=DATE($B$1,5,1)),OR(COUNTIF($C108:G108,"&gt;0")&gt;0,DATE($B$1,5,1)=DATE(YEAR(TODAY()),MONTH(TODAY()),1))),1,0))</f>
        <v/>
      </c>
      <c r="U108">
        <f>IF($A108="","",IF(AND($B108&gt;0,H108&lt;$B108,DATE($B$1,6,1)&lt;=TODAY(),OR($O108="",$O108&gt;=DATE($B$1,6,1)),OR(COUNTIF($C108:H108,"&gt;0")&gt;0,DATE($B$1,6,1)=DATE(YEAR(TODAY()),MONTH(TODAY()),1))),1,0))</f>
        <v/>
      </c>
      <c r="V108">
        <f>IF($A108="","",IF(AND($B108&gt;0,I108&lt;$B108,DATE($B$1,7,1)&lt;=TODAY(),OR($O108="",$O108&gt;=DATE($B$1,7,1)),OR(COUNTIF($C108:I108,"&gt;0")&gt;0,DATE($B$1,7,1)=DATE(YEAR(TODAY()),MONTH(TODAY()),1))),1,0))</f>
        <v/>
      </c>
      <c r="W108">
        <f>IF($A108="","",IF(AND($B108&gt;0,J108&lt;$B108,DATE($B$1,8,1)&lt;=TODAY(),OR($O108="",$O108&gt;=DATE($B$1,8,1)),OR(COUNTIF($C108:J108,"&gt;0")&gt;0,DATE($B$1,8,1)=DATE(YEAR(TODAY()),MONTH(TODAY()),1))),1,0))</f>
        <v/>
      </c>
      <c r="X108">
        <f>IF($A108="","",IF(AND($B108&gt;0,K108&lt;$B108,DATE($B$1,9,1)&lt;=TODAY(),OR($O108="",$O108&gt;=DATE($B$1,9,1)),OR(COUNTIF($C108:K108,"&gt;0")&gt;0,DATE($B$1,9,1)=DATE(YEAR(TODAY()),MONTH(TODAY()),1))),1,0))</f>
        <v/>
      </c>
      <c r="Y108">
        <f>IF($A108="","",IF(AND($B108&gt;0,L108&lt;$B108,DATE($B$1,10,1)&lt;=TODAY(),OR($O108="",$O108&gt;=DATE($B$1,10,1)),OR(COUNTIF($C108:L108,"&gt;0")&gt;0,DATE($B$1,10,1)=DATE(YEAR(TODAY()),MONTH(TODAY()),1))),1,0))</f>
        <v/>
      </c>
      <c r="Z108">
        <f>IF($A108="","",IF(AND($B108&gt;0,M108&lt;$B108,DATE($B$1,11,1)&lt;=TODAY(),OR($O108="",$O108&gt;=DATE($B$1,11,1)),OR(COUNTIF($C108:M108,"&gt;0")&gt;0,DATE($B$1,11,1)=DATE(YEAR(TODAY()),MONTH(TODAY()),1))),1,0))</f>
        <v/>
      </c>
      <c r="AA108">
        <f>IF($A108="","",IF(AND($B108&gt;0,N108&lt;$B108,DATE($B$1,12,1)&lt;=TODAY(),OR($O108="",$O108&gt;=DATE($B$1,12,1)),OR(COUNTIF($C108:N108,"&gt;0")&gt;0,DATE($B$1,12,1)=DATE(YEAR(TODAY()),MONTH(TODAY()),1))),1,0))</f>
        <v/>
      </c>
    </row>
    <row r="109">
      <c r="A109" s="13">
        <f>IF(원생!$A107="","",원생!$A107&amp;IF(원생!$G107="",""," ("&amp;원생!$G107&amp;")"))</f>
        <v/>
      </c>
      <c r="B109" s="8">
        <f>IF(원생!$A107="","",N(원생!$F107))</f>
        <v/>
      </c>
      <c r="C109" s="14">
        <f>IF(원생!$A107="","",SUMIFS(계산!$C:$C,계산!$A:$A,계산!$E107,계산!$B:$B,$B$1*100+1))</f>
        <v/>
      </c>
      <c r="D109" s="14">
        <f>IF(원생!$A107="","",SUMIFS(계산!$C:$C,계산!$A:$A,계산!$E107,계산!$B:$B,$B$1*100+2))</f>
        <v/>
      </c>
      <c r="E109" s="14">
        <f>IF(원생!$A107="","",SUMIFS(계산!$C:$C,계산!$A:$A,계산!$E107,계산!$B:$B,$B$1*100+3))</f>
        <v/>
      </c>
      <c r="F109" s="14">
        <f>IF(원생!$A107="","",SUMIFS(계산!$C:$C,계산!$A:$A,계산!$E107,계산!$B:$B,$B$1*100+4))</f>
        <v/>
      </c>
      <c r="G109" s="14">
        <f>IF(원생!$A107="","",SUMIFS(계산!$C:$C,계산!$A:$A,계산!$E107,계산!$B:$B,$B$1*100+5))</f>
        <v/>
      </c>
      <c r="H109" s="14">
        <f>IF(원생!$A107="","",SUMIFS(계산!$C:$C,계산!$A:$A,계산!$E107,계산!$B:$B,$B$1*100+6))</f>
        <v/>
      </c>
      <c r="I109" s="14">
        <f>IF(원생!$A107="","",SUMIFS(계산!$C:$C,계산!$A:$A,계산!$E107,계산!$B:$B,$B$1*100+7))</f>
        <v/>
      </c>
      <c r="J109" s="14">
        <f>IF(원생!$A107="","",SUMIFS(계산!$C:$C,계산!$A:$A,계산!$E107,계산!$B:$B,$B$1*100+8))</f>
        <v/>
      </c>
      <c r="K109" s="14">
        <f>IF(원생!$A107="","",SUMIFS(계산!$C:$C,계산!$A:$A,계산!$E107,계산!$B:$B,$B$1*100+9))</f>
        <v/>
      </c>
      <c r="L109" s="14">
        <f>IF(원생!$A107="","",SUMIFS(계산!$C:$C,계산!$A:$A,계산!$E107,계산!$B:$B,$B$1*100+10))</f>
        <v/>
      </c>
      <c r="M109" s="14">
        <f>IF(원생!$A107="","",SUMIFS(계산!$C:$C,계산!$A:$A,계산!$E107,계산!$B:$B,$B$1*100+11))</f>
        <v/>
      </c>
      <c r="N109" s="14">
        <f>IF(원생!$A107="","",SUMIFS(계산!$C:$C,계산!$A:$A,계산!$E107,계산!$B:$B,$B$1*100+12))</f>
        <v/>
      </c>
      <c r="O109">
        <f>IF(원생!$I107="","",원생!$I107)</f>
        <v/>
      </c>
      <c r="P109">
        <f>IF($A109="","",IF(AND($B109&gt;0,C109&lt;$B109,DATE($B$1,1,1)&lt;=TODAY(),OR($O109="",$O109&gt;=DATE($B$1,1,1)),OR(COUNTIF($C109:C109,"&gt;0")&gt;0,DATE($B$1,1,1)=DATE(YEAR(TODAY()),MONTH(TODAY()),1))),1,0))</f>
        <v/>
      </c>
      <c r="Q109">
        <f>IF($A109="","",IF(AND($B109&gt;0,D109&lt;$B109,DATE($B$1,2,1)&lt;=TODAY(),OR($O109="",$O109&gt;=DATE($B$1,2,1)),OR(COUNTIF($C109:D109,"&gt;0")&gt;0,DATE($B$1,2,1)=DATE(YEAR(TODAY()),MONTH(TODAY()),1))),1,0))</f>
        <v/>
      </c>
      <c r="R109">
        <f>IF($A109="","",IF(AND($B109&gt;0,E109&lt;$B109,DATE($B$1,3,1)&lt;=TODAY(),OR($O109="",$O109&gt;=DATE($B$1,3,1)),OR(COUNTIF($C109:E109,"&gt;0")&gt;0,DATE($B$1,3,1)=DATE(YEAR(TODAY()),MONTH(TODAY()),1))),1,0))</f>
        <v/>
      </c>
      <c r="S109">
        <f>IF($A109="","",IF(AND($B109&gt;0,F109&lt;$B109,DATE($B$1,4,1)&lt;=TODAY(),OR($O109="",$O109&gt;=DATE($B$1,4,1)),OR(COUNTIF($C109:F109,"&gt;0")&gt;0,DATE($B$1,4,1)=DATE(YEAR(TODAY()),MONTH(TODAY()),1))),1,0))</f>
        <v/>
      </c>
      <c r="T109">
        <f>IF($A109="","",IF(AND($B109&gt;0,G109&lt;$B109,DATE($B$1,5,1)&lt;=TODAY(),OR($O109="",$O109&gt;=DATE($B$1,5,1)),OR(COUNTIF($C109:G109,"&gt;0")&gt;0,DATE($B$1,5,1)=DATE(YEAR(TODAY()),MONTH(TODAY()),1))),1,0))</f>
        <v/>
      </c>
      <c r="U109">
        <f>IF($A109="","",IF(AND($B109&gt;0,H109&lt;$B109,DATE($B$1,6,1)&lt;=TODAY(),OR($O109="",$O109&gt;=DATE($B$1,6,1)),OR(COUNTIF($C109:H109,"&gt;0")&gt;0,DATE($B$1,6,1)=DATE(YEAR(TODAY()),MONTH(TODAY()),1))),1,0))</f>
        <v/>
      </c>
      <c r="V109">
        <f>IF($A109="","",IF(AND($B109&gt;0,I109&lt;$B109,DATE($B$1,7,1)&lt;=TODAY(),OR($O109="",$O109&gt;=DATE($B$1,7,1)),OR(COUNTIF($C109:I109,"&gt;0")&gt;0,DATE($B$1,7,1)=DATE(YEAR(TODAY()),MONTH(TODAY()),1))),1,0))</f>
        <v/>
      </c>
      <c r="W109">
        <f>IF($A109="","",IF(AND($B109&gt;0,J109&lt;$B109,DATE($B$1,8,1)&lt;=TODAY(),OR($O109="",$O109&gt;=DATE($B$1,8,1)),OR(COUNTIF($C109:J109,"&gt;0")&gt;0,DATE($B$1,8,1)=DATE(YEAR(TODAY()),MONTH(TODAY()),1))),1,0))</f>
        <v/>
      </c>
      <c r="X109">
        <f>IF($A109="","",IF(AND($B109&gt;0,K109&lt;$B109,DATE($B$1,9,1)&lt;=TODAY(),OR($O109="",$O109&gt;=DATE($B$1,9,1)),OR(COUNTIF($C109:K109,"&gt;0")&gt;0,DATE($B$1,9,1)=DATE(YEAR(TODAY()),MONTH(TODAY()),1))),1,0))</f>
        <v/>
      </c>
      <c r="Y109">
        <f>IF($A109="","",IF(AND($B109&gt;0,L109&lt;$B109,DATE($B$1,10,1)&lt;=TODAY(),OR($O109="",$O109&gt;=DATE($B$1,10,1)),OR(COUNTIF($C109:L109,"&gt;0")&gt;0,DATE($B$1,10,1)=DATE(YEAR(TODAY()),MONTH(TODAY()),1))),1,0))</f>
        <v/>
      </c>
      <c r="Z109">
        <f>IF($A109="","",IF(AND($B109&gt;0,M109&lt;$B109,DATE($B$1,11,1)&lt;=TODAY(),OR($O109="",$O109&gt;=DATE($B$1,11,1)),OR(COUNTIF($C109:M109,"&gt;0")&gt;0,DATE($B$1,11,1)=DATE(YEAR(TODAY()),MONTH(TODAY()),1))),1,0))</f>
        <v/>
      </c>
      <c r="AA109">
        <f>IF($A109="","",IF(AND($B109&gt;0,N109&lt;$B109,DATE($B$1,12,1)&lt;=TODAY(),OR($O109="",$O109&gt;=DATE($B$1,12,1)),OR(COUNTIF($C109:N109,"&gt;0")&gt;0,DATE($B$1,12,1)=DATE(YEAR(TODAY()),MONTH(TODAY()),1))),1,0))</f>
        <v/>
      </c>
    </row>
    <row r="110">
      <c r="A110" s="13">
        <f>IF(원생!$A108="","",원생!$A108&amp;IF(원생!$G108="",""," ("&amp;원생!$G108&amp;")"))</f>
        <v/>
      </c>
      <c r="B110" s="8">
        <f>IF(원생!$A108="","",N(원생!$F108))</f>
        <v/>
      </c>
      <c r="C110" s="14">
        <f>IF(원생!$A108="","",SUMIFS(계산!$C:$C,계산!$A:$A,계산!$E108,계산!$B:$B,$B$1*100+1))</f>
        <v/>
      </c>
      <c r="D110" s="14">
        <f>IF(원생!$A108="","",SUMIFS(계산!$C:$C,계산!$A:$A,계산!$E108,계산!$B:$B,$B$1*100+2))</f>
        <v/>
      </c>
      <c r="E110" s="14">
        <f>IF(원생!$A108="","",SUMIFS(계산!$C:$C,계산!$A:$A,계산!$E108,계산!$B:$B,$B$1*100+3))</f>
        <v/>
      </c>
      <c r="F110" s="14">
        <f>IF(원생!$A108="","",SUMIFS(계산!$C:$C,계산!$A:$A,계산!$E108,계산!$B:$B,$B$1*100+4))</f>
        <v/>
      </c>
      <c r="G110" s="14">
        <f>IF(원생!$A108="","",SUMIFS(계산!$C:$C,계산!$A:$A,계산!$E108,계산!$B:$B,$B$1*100+5))</f>
        <v/>
      </c>
      <c r="H110" s="14">
        <f>IF(원생!$A108="","",SUMIFS(계산!$C:$C,계산!$A:$A,계산!$E108,계산!$B:$B,$B$1*100+6))</f>
        <v/>
      </c>
      <c r="I110" s="14">
        <f>IF(원생!$A108="","",SUMIFS(계산!$C:$C,계산!$A:$A,계산!$E108,계산!$B:$B,$B$1*100+7))</f>
        <v/>
      </c>
      <c r="J110" s="14">
        <f>IF(원생!$A108="","",SUMIFS(계산!$C:$C,계산!$A:$A,계산!$E108,계산!$B:$B,$B$1*100+8))</f>
        <v/>
      </c>
      <c r="K110" s="14">
        <f>IF(원생!$A108="","",SUMIFS(계산!$C:$C,계산!$A:$A,계산!$E108,계산!$B:$B,$B$1*100+9))</f>
        <v/>
      </c>
      <c r="L110" s="14">
        <f>IF(원생!$A108="","",SUMIFS(계산!$C:$C,계산!$A:$A,계산!$E108,계산!$B:$B,$B$1*100+10))</f>
        <v/>
      </c>
      <c r="M110" s="14">
        <f>IF(원생!$A108="","",SUMIFS(계산!$C:$C,계산!$A:$A,계산!$E108,계산!$B:$B,$B$1*100+11))</f>
        <v/>
      </c>
      <c r="N110" s="14">
        <f>IF(원생!$A108="","",SUMIFS(계산!$C:$C,계산!$A:$A,계산!$E108,계산!$B:$B,$B$1*100+12))</f>
        <v/>
      </c>
      <c r="O110">
        <f>IF(원생!$I108="","",원생!$I108)</f>
        <v/>
      </c>
      <c r="P110">
        <f>IF($A110="","",IF(AND($B110&gt;0,C110&lt;$B110,DATE($B$1,1,1)&lt;=TODAY(),OR($O110="",$O110&gt;=DATE($B$1,1,1)),OR(COUNTIF($C110:C110,"&gt;0")&gt;0,DATE($B$1,1,1)=DATE(YEAR(TODAY()),MONTH(TODAY()),1))),1,0))</f>
        <v/>
      </c>
      <c r="Q110">
        <f>IF($A110="","",IF(AND($B110&gt;0,D110&lt;$B110,DATE($B$1,2,1)&lt;=TODAY(),OR($O110="",$O110&gt;=DATE($B$1,2,1)),OR(COUNTIF($C110:D110,"&gt;0")&gt;0,DATE($B$1,2,1)=DATE(YEAR(TODAY()),MONTH(TODAY()),1))),1,0))</f>
        <v/>
      </c>
      <c r="R110">
        <f>IF($A110="","",IF(AND($B110&gt;0,E110&lt;$B110,DATE($B$1,3,1)&lt;=TODAY(),OR($O110="",$O110&gt;=DATE($B$1,3,1)),OR(COUNTIF($C110:E110,"&gt;0")&gt;0,DATE($B$1,3,1)=DATE(YEAR(TODAY()),MONTH(TODAY()),1))),1,0))</f>
        <v/>
      </c>
      <c r="S110">
        <f>IF($A110="","",IF(AND($B110&gt;0,F110&lt;$B110,DATE($B$1,4,1)&lt;=TODAY(),OR($O110="",$O110&gt;=DATE($B$1,4,1)),OR(COUNTIF($C110:F110,"&gt;0")&gt;0,DATE($B$1,4,1)=DATE(YEAR(TODAY()),MONTH(TODAY()),1))),1,0))</f>
        <v/>
      </c>
      <c r="T110">
        <f>IF($A110="","",IF(AND($B110&gt;0,G110&lt;$B110,DATE($B$1,5,1)&lt;=TODAY(),OR($O110="",$O110&gt;=DATE($B$1,5,1)),OR(COUNTIF($C110:G110,"&gt;0")&gt;0,DATE($B$1,5,1)=DATE(YEAR(TODAY()),MONTH(TODAY()),1))),1,0))</f>
        <v/>
      </c>
      <c r="U110">
        <f>IF($A110="","",IF(AND($B110&gt;0,H110&lt;$B110,DATE($B$1,6,1)&lt;=TODAY(),OR($O110="",$O110&gt;=DATE($B$1,6,1)),OR(COUNTIF($C110:H110,"&gt;0")&gt;0,DATE($B$1,6,1)=DATE(YEAR(TODAY()),MONTH(TODAY()),1))),1,0))</f>
        <v/>
      </c>
      <c r="V110">
        <f>IF($A110="","",IF(AND($B110&gt;0,I110&lt;$B110,DATE($B$1,7,1)&lt;=TODAY(),OR($O110="",$O110&gt;=DATE($B$1,7,1)),OR(COUNTIF($C110:I110,"&gt;0")&gt;0,DATE($B$1,7,1)=DATE(YEAR(TODAY()),MONTH(TODAY()),1))),1,0))</f>
        <v/>
      </c>
      <c r="W110">
        <f>IF($A110="","",IF(AND($B110&gt;0,J110&lt;$B110,DATE($B$1,8,1)&lt;=TODAY(),OR($O110="",$O110&gt;=DATE($B$1,8,1)),OR(COUNTIF($C110:J110,"&gt;0")&gt;0,DATE($B$1,8,1)=DATE(YEAR(TODAY()),MONTH(TODAY()),1))),1,0))</f>
        <v/>
      </c>
      <c r="X110">
        <f>IF($A110="","",IF(AND($B110&gt;0,K110&lt;$B110,DATE($B$1,9,1)&lt;=TODAY(),OR($O110="",$O110&gt;=DATE($B$1,9,1)),OR(COUNTIF($C110:K110,"&gt;0")&gt;0,DATE($B$1,9,1)=DATE(YEAR(TODAY()),MONTH(TODAY()),1))),1,0))</f>
        <v/>
      </c>
      <c r="Y110">
        <f>IF($A110="","",IF(AND($B110&gt;0,L110&lt;$B110,DATE($B$1,10,1)&lt;=TODAY(),OR($O110="",$O110&gt;=DATE($B$1,10,1)),OR(COUNTIF($C110:L110,"&gt;0")&gt;0,DATE($B$1,10,1)=DATE(YEAR(TODAY()),MONTH(TODAY()),1))),1,0))</f>
        <v/>
      </c>
      <c r="Z110">
        <f>IF($A110="","",IF(AND($B110&gt;0,M110&lt;$B110,DATE($B$1,11,1)&lt;=TODAY(),OR($O110="",$O110&gt;=DATE($B$1,11,1)),OR(COUNTIF($C110:M110,"&gt;0")&gt;0,DATE($B$1,11,1)=DATE(YEAR(TODAY()),MONTH(TODAY()),1))),1,0))</f>
        <v/>
      </c>
      <c r="AA110">
        <f>IF($A110="","",IF(AND($B110&gt;0,N110&lt;$B110,DATE($B$1,12,1)&lt;=TODAY(),OR($O110="",$O110&gt;=DATE($B$1,12,1)),OR(COUNTIF($C110:N110,"&gt;0")&gt;0,DATE($B$1,12,1)=DATE(YEAR(TODAY()),MONTH(TODAY()),1))),1,0))</f>
        <v/>
      </c>
    </row>
    <row r="111">
      <c r="A111" s="13">
        <f>IF(원생!$A109="","",원생!$A109&amp;IF(원생!$G109="",""," ("&amp;원생!$G109&amp;")"))</f>
        <v/>
      </c>
      <c r="B111" s="8">
        <f>IF(원생!$A109="","",N(원생!$F109))</f>
        <v/>
      </c>
      <c r="C111" s="14">
        <f>IF(원생!$A109="","",SUMIFS(계산!$C:$C,계산!$A:$A,계산!$E109,계산!$B:$B,$B$1*100+1))</f>
        <v/>
      </c>
      <c r="D111" s="14">
        <f>IF(원생!$A109="","",SUMIFS(계산!$C:$C,계산!$A:$A,계산!$E109,계산!$B:$B,$B$1*100+2))</f>
        <v/>
      </c>
      <c r="E111" s="14">
        <f>IF(원생!$A109="","",SUMIFS(계산!$C:$C,계산!$A:$A,계산!$E109,계산!$B:$B,$B$1*100+3))</f>
        <v/>
      </c>
      <c r="F111" s="14">
        <f>IF(원생!$A109="","",SUMIFS(계산!$C:$C,계산!$A:$A,계산!$E109,계산!$B:$B,$B$1*100+4))</f>
        <v/>
      </c>
      <c r="G111" s="14">
        <f>IF(원생!$A109="","",SUMIFS(계산!$C:$C,계산!$A:$A,계산!$E109,계산!$B:$B,$B$1*100+5))</f>
        <v/>
      </c>
      <c r="H111" s="14">
        <f>IF(원생!$A109="","",SUMIFS(계산!$C:$C,계산!$A:$A,계산!$E109,계산!$B:$B,$B$1*100+6))</f>
        <v/>
      </c>
      <c r="I111" s="14">
        <f>IF(원생!$A109="","",SUMIFS(계산!$C:$C,계산!$A:$A,계산!$E109,계산!$B:$B,$B$1*100+7))</f>
        <v/>
      </c>
      <c r="J111" s="14">
        <f>IF(원생!$A109="","",SUMIFS(계산!$C:$C,계산!$A:$A,계산!$E109,계산!$B:$B,$B$1*100+8))</f>
        <v/>
      </c>
      <c r="K111" s="14">
        <f>IF(원생!$A109="","",SUMIFS(계산!$C:$C,계산!$A:$A,계산!$E109,계산!$B:$B,$B$1*100+9))</f>
        <v/>
      </c>
      <c r="L111" s="14">
        <f>IF(원생!$A109="","",SUMIFS(계산!$C:$C,계산!$A:$A,계산!$E109,계산!$B:$B,$B$1*100+10))</f>
        <v/>
      </c>
      <c r="M111" s="14">
        <f>IF(원생!$A109="","",SUMIFS(계산!$C:$C,계산!$A:$A,계산!$E109,계산!$B:$B,$B$1*100+11))</f>
        <v/>
      </c>
      <c r="N111" s="14">
        <f>IF(원생!$A109="","",SUMIFS(계산!$C:$C,계산!$A:$A,계산!$E109,계산!$B:$B,$B$1*100+12))</f>
        <v/>
      </c>
      <c r="O111">
        <f>IF(원생!$I109="","",원생!$I109)</f>
        <v/>
      </c>
      <c r="P111">
        <f>IF($A111="","",IF(AND($B111&gt;0,C111&lt;$B111,DATE($B$1,1,1)&lt;=TODAY(),OR($O111="",$O111&gt;=DATE($B$1,1,1)),OR(COUNTIF($C111:C111,"&gt;0")&gt;0,DATE($B$1,1,1)=DATE(YEAR(TODAY()),MONTH(TODAY()),1))),1,0))</f>
        <v/>
      </c>
      <c r="Q111">
        <f>IF($A111="","",IF(AND($B111&gt;0,D111&lt;$B111,DATE($B$1,2,1)&lt;=TODAY(),OR($O111="",$O111&gt;=DATE($B$1,2,1)),OR(COUNTIF($C111:D111,"&gt;0")&gt;0,DATE($B$1,2,1)=DATE(YEAR(TODAY()),MONTH(TODAY()),1))),1,0))</f>
        <v/>
      </c>
      <c r="R111">
        <f>IF($A111="","",IF(AND($B111&gt;0,E111&lt;$B111,DATE($B$1,3,1)&lt;=TODAY(),OR($O111="",$O111&gt;=DATE($B$1,3,1)),OR(COUNTIF($C111:E111,"&gt;0")&gt;0,DATE($B$1,3,1)=DATE(YEAR(TODAY()),MONTH(TODAY()),1))),1,0))</f>
        <v/>
      </c>
      <c r="S111">
        <f>IF($A111="","",IF(AND($B111&gt;0,F111&lt;$B111,DATE($B$1,4,1)&lt;=TODAY(),OR($O111="",$O111&gt;=DATE($B$1,4,1)),OR(COUNTIF($C111:F111,"&gt;0")&gt;0,DATE($B$1,4,1)=DATE(YEAR(TODAY()),MONTH(TODAY()),1))),1,0))</f>
        <v/>
      </c>
      <c r="T111">
        <f>IF($A111="","",IF(AND($B111&gt;0,G111&lt;$B111,DATE($B$1,5,1)&lt;=TODAY(),OR($O111="",$O111&gt;=DATE($B$1,5,1)),OR(COUNTIF($C111:G111,"&gt;0")&gt;0,DATE($B$1,5,1)=DATE(YEAR(TODAY()),MONTH(TODAY()),1))),1,0))</f>
        <v/>
      </c>
      <c r="U111">
        <f>IF($A111="","",IF(AND($B111&gt;0,H111&lt;$B111,DATE($B$1,6,1)&lt;=TODAY(),OR($O111="",$O111&gt;=DATE($B$1,6,1)),OR(COUNTIF($C111:H111,"&gt;0")&gt;0,DATE($B$1,6,1)=DATE(YEAR(TODAY()),MONTH(TODAY()),1))),1,0))</f>
        <v/>
      </c>
      <c r="V111">
        <f>IF($A111="","",IF(AND($B111&gt;0,I111&lt;$B111,DATE($B$1,7,1)&lt;=TODAY(),OR($O111="",$O111&gt;=DATE($B$1,7,1)),OR(COUNTIF($C111:I111,"&gt;0")&gt;0,DATE($B$1,7,1)=DATE(YEAR(TODAY()),MONTH(TODAY()),1))),1,0))</f>
        <v/>
      </c>
      <c r="W111">
        <f>IF($A111="","",IF(AND($B111&gt;0,J111&lt;$B111,DATE($B$1,8,1)&lt;=TODAY(),OR($O111="",$O111&gt;=DATE($B$1,8,1)),OR(COUNTIF($C111:J111,"&gt;0")&gt;0,DATE($B$1,8,1)=DATE(YEAR(TODAY()),MONTH(TODAY()),1))),1,0))</f>
        <v/>
      </c>
      <c r="X111">
        <f>IF($A111="","",IF(AND($B111&gt;0,K111&lt;$B111,DATE($B$1,9,1)&lt;=TODAY(),OR($O111="",$O111&gt;=DATE($B$1,9,1)),OR(COUNTIF($C111:K111,"&gt;0")&gt;0,DATE($B$1,9,1)=DATE(YEAR(TODAY()),MONTH(TODAY()),1))),1,0))</f>
        <v/>
      </c>
      <c r="Y111">
        <f>IF($A111="","",IF(AND($B111&gt;0,L111&lt;$B111,DATE($B$1,10,1)&lt;=TODAY(),OR($O111="",$O111&gt;=DATE($B$1,10,1)),OR(COUNTIF($C111:L111,"&gt;0")&gt;0,DATE($B$1,10,1)=DATE(YEAR(TODAY()),MONTH(TODAY()),1))),1,0))</f>
        <v/>
      </c>
      <c r="Z111">
        <f>IF($A111="","",IF(AND($B111&gt;0,M111&lt;$B111,DATE($B$1,11,1)&lt;=TODAY(),OR($O111="",$O111&gt;=DATE($B$1,11,1)),OR(COUNTIF($C111:M111,"&gt;0")&gt;0,DATE($B$1,11,1)=DATE(YEAR(TODAY()),MONTH(TODAY()),1))),1,0))</f>
        <v/>
      </c>
      <c r="AA111">
        <f>IF($A111="","",IF(AND($B111&gt;0,N111&lt;$B111,DATE($B$1,12,1)&lt;=TODAY(),OR($O111="",$O111&gt;=DATE($B$1,12,1)),OR(COUNTIF($C111:N111,"&gt;0")&gt;0,DATE($B$1,12,1)=DATE(YEAR(TODAY()),MONTH(TODAY()),1))),1,0))</f>
        <v/>
      </c>
    </row>
    <row r="112">
      <c r="A112" s="13">
        <f>IF(원생!$A110="","",원생!$A110&amp;IF(원생!$G110="",""," ("&amp;원생!$G110&amp;")"))</f>
        <v/>
      </c>
      <c r="B112" s="8">
        <f>IF(원생!$A110="","",N(원생!$F110))</f>
        <v/>
      </c>
      <c r="C112" s="14">
        <f>IF(원생!$A110="","",SUMIFS(계산!$C:$C,계산!$A:$A,계산!$E110,계산!$B:$B,$B$1*100+1))</f>
        <v/>
      </c>
      <c r="D112" s="14">
        <f>IF(원생!$A110="","",SUMIFS(계산!$C:$C,계산!$A:$A,계산!$E110,계산!$B:$B,$B$1*100+2))</f>
        <v/>
      </c>
      <c r="E112" s="14">
        <f>IF(원생!$A110="","",SUMIFS(계산!$C:$C,계산!$A:$A,계산!$E110,계산!$B:$B,$B$1*100+3))</f>
        <v/>
      </c>
      <c r="F112" s="14">
        <f>IF(원생!$A110="","",SUMIFS(계산!$C:$C,계산!$A:$A,계산!$E110,계산!$B:$B,$B$1*100+4))</f>
        <v/>
      </c>
      <c r="G112" s="14">
        <f>IF(원생!$A110="","",SUMIFS(계산!$C:$C,계산!$A:$A,계산!$E110,계산!$B:$B,$B$1*100+5))</f>
        <v/>
      </c>
      <c r="H112" s="14">
        <f>IF(원생!$A110="","",SUMIFS(계산!$C:$C,계산!$A:$A,계산!$E110,계산!$B:$B,$B$1*100+6))</f>
        <v/>
      </c>
      <c r="I112" s="14">
        <f>IF(원생!$A110="","",SUMIFS(계산!$C:$C,계산!$A:$A,계산!$E110,계산!$B:$B,$B$1*100+7))</f>
        <v/>
      </c>
      <c r="J112" s="14">
        <f>IF(원생!$A110="","",SUMIFS(계산!$C:$C,계산!$A:$A,계산!$E110,계산!$B:$B,$B$1*100+8))</f>
        <v/>
      </c>
      <c r="K112" s="14">
        <f>IF(원생!$A110="","",SUMIFS(계산!$C:$C,계산!$A:$A,계산!$E110,계산!$B:$B,$B$1*100+9))</f>
        <v/>
      </c>
      <c r="L112" s="14">
        <f>IF(원생!$A110="","",SUMIFS(계산!$C:$C,계산!$A:$A,계산!$E110,계산!$B:$B,$B$1*100+10))</f>
        <v/>
      </c>
      <c r="M112" s="14">
        <f>IF(원생!$A110="","",SUMIFS(계산!$C:$C,계산!$A:$A,계산!$E110,계산!$B:$B,$B$1*100+11))</f>
        <v/>
      </c>
      <c r="N112" s="14">
        <f>IF(원생!$A110="","",SUMIFS(계산!$C:$C,계산!$A:$A,계산!$E110,계산!$B:$B,$B$1*100+12))</f>
        <v/>
      </c>
      <c r="O112">
        <f>IF(원생!$I110="","",원생!$I110)</f>
        <v/>
      </c>
      <c r="P112">
        <f>IF($A112="","",IF(AND($B112&gt;0,C112&lt;$B112,DATE($B$1,1,1)&lt;=TODAY(),OR($O112="",$O112&gt;=DATE($B$1,1,1)),OR(COUNTIF($C112:C112,"&gt;0")&gt;0,DATE($B$1,1,1)=DATE(YEAR(TODAY()),MONTH(TODAY()),1))),1,0))</f>
        <v/>
      </c>
      <c r="Q112">
        <f>IF($A112="","",IF(AND($B112&gt;0,D112&lt;$B112,DATE($B$1,2,1)&lt;=TODAY(),OR($O112="",$O112&gt;=DATE($B$1,2,1)),OR(COUNTIF($C112:D112,"&gt;0")&gt;0,DATE($B$1,2,1)=DATE(YEAR(TODAY()),MONTH(TODAY()),1))),1,0))</f>
        <v/>
      </c>
      <c r="R112">
        <f>IF($A112="","",IF(AND($B112&gt;0,E112&lt;$B112,DATE($B$1,3,1)&lt;=TODAY(),OR($O112="",$O112&gt;=DATE($B$1,3,1)),OR(COUNTIF($C112:E112,"&gt;0")&gt;0,DATE($B$1,3,1)=DATE(YEAR(TODAY()),MONTH(TODAY()),1))),1,0))</f>
        <v/>
      </c>
      <c r="S112">
        <f>IF($A112="","",IF(AND($B112&gt;0,F112&lt;$B112,DATE($B$1,4,1)&lt;=TODAY(),OR($O112="",$O112&gt;=DATE($B$1,4,1)),OR(COUNTIF($C112:F112,"&gt;0")&gt;0,DATE($B$1,4,1)=DATE(YEAR(TODAY()),MONTH(TODAY()),1))),1,0))</f>
        <v/>
      </c>
      <c r="T112">
        <f>IF($A112="","",IF(AND($B112&gt;0,G112&lt;$B112,DATE($B$1,5,1)&lt;=TODAY(),OR($O112="",$O112&gt;=DATE($B$1,5,1)),OR(COUNTIF($C112:G112,"&gt;0")&gt;0,DATE($B$1,5,1)=DATE(YEAR(TODAY()),MONTH(TODAY()),1))),1,0))</f>
        <v/>
      </c>
      <c r="U112">
        <f>IF($A112="","",IF(AND($B112&gt;0,H112&lt;$B112,DATE($B$1,6,1)&lt;=TODAY(),OR($O112="",$O112&gt;=DATE($B$1,6,1)),OR(COUNTIF($C112:H112,"&gt;0")&gt;0,DATE($B$1,6,1)=DATE(YEAR(TODAY()),MONTH(TODAY()),1))),1,0))</f>
        <v/>
      </c>
      <c r="V112">
        <f>IF($A112="","",IF(AND($B112&gt;0,I112&lt;$B112,DATE($B$1,7,1)&lt;=TODAY(),OR($O112="",$O112&gt;=DATE($B$1,7,1)),OR(COUNTIF($C112:I112,"&gt;0")&gt;0,DATE($B$1,7,1)=DATE(YEAR(TODAY()),MONTH(TODAY()),1))),1,0))</f>
        <v/>
      </c>
      <c r="W112">
        <f>IF($A112="","",IF(AND($B112&gt;0,J112&lt;$B112,DATE($B$1,8,1)&lt;=TODAY(),OR($O112="",$O112&gt;=DATE($B$1,8,1)),OR(COUNTIF($C112:J112,"&gt;0")&gt;0,DATE($B$1,8,1)=DATE(YEAR(TODAY()),MONTH(TODAY()),1))),1,0))</f>
        <v/>
      </c>
      <c r="X112">
        <f>IF($A112="","",IF(AND($B112&gt;0,K112&lt;$B112,DATE($B$1,9,1)&lt;=TODAY(),OR($O112="",$O112&gt;=DATE($B$1,9,1)),OR(COUNTIF($C112:K112,"&gt;0")&gt;0,DATE($B$1,9,1)=DATE(YEAR(TODAY()),MONTH(TODAY()),1))),1,0))</f>
        <v/>
      </c>
      <c r="Y112">
        <f>IF($A112="","",IF(AND($B112&gt;0,L112&lt;$B112,DATE($B$1,10,1)&lt;=TODAY(),OR($O112="",$O112&gt;=DATE($B$1,10,1)),OR(COUNTIF($C112:L112,"&gt;0")&gt;0,DATE($B$1,10,1)=DATE(YEAR(TODAY()),MONTH(TODAY()),1))),1,0))</f>
        <v/>
      </c>
      <c r="Z112">
        <f>IF($A112="","",IF(AND($B112&gt;0,M112&lt;$B112,DATE($B$1,11,1)&lt;=TODAY(),OR($O112="",$O112&gt;=DATE($B$1,11,1)),OR(COUNTIF($C112:M112,"&gt;0")&gt;0,DATE($B$1,11,1)=DATE(YEAR(TODAY()),MONTH(TODAY()),1))),1,0))</f>
        <v/>
      </c>
      <c r="AA112">
        <f>IF($A112="","",IF(AND($B112&gt;0,N112&lt;$B112,DATE($B$1,12,1)&lt;=TODAY(),OR($O112="",$O112&gt;=DATE($B$1,12,1)),OR(COUNTIF($C112:N112,"&gt;0")&gt;0,DATE($B$1,12,1)=DATE(YEAR(TODAY()),MONTH(TODAY()),1))),1,0))</f>
        <v/>
      </c>
    </row>
    <row r="113">
      <c r="A113" s="13">
        <f>IF(원생!$A111="","",원생!$A111&amp;IF(원생!$G111="",""," ("&amp;원생!$G111&amp;")"))</f>
        <v/>
      </c>
      <c r="B113" s="8">
        <f>IF(원생!$A111="","",N(원생!$F111))</f>
        <v/>
      </c>
      <c r="C113" s="14">
        <f>IF(원생!$A111="","",SUMIFS(계산!$C:$C,계산!$A:$A,계산!$E111,계산!$B:$B,$B$1*100+1))</f>
        <v/>
      </c>
      <c r="D113" s="14">
        <f>IF(원생!$A111="","",SUMIFS(계산!$C:$C,계산!$A:$A,계산!$E111,계산!$B:$B,$B$1*100+2))</f>
        <v/>
      </c>
      <c r="E113" s="14">
        <f>IF(원생!$A111="","",SUMIFS(계산!$C:$C,계산!$A:$A,계산!$E111,계산!$B:$B,$B$1*100+3))</f>
        <v/>
      </c>
      <c r="F113" s="14">
        <f>IF(원생!$A111="","",SUMIFS(계산!$C:$C,계산!$A:$A,계산!$E111,계산!$B:$B,$B$1*100+4))</f>
        <v/>
      </c>
      <c r="G113" s="14">
        <f>IF(원생!$A111="","",SUMIFS(계산!$C:$C,계산!$A:$A,계산!$E111,계산!$B:$B,$B$1*100+5))</f>
        <v/>
      </c>
      <c r="H113" s="14">
        <f>IF(원생!$A111="","",SUMIFS(계산!$C:$C,계산!$A:$A,계산!$E111,계산!$B:$B,$B$1*100+6))</f>
        <v/>
      </c>
      <c r="I113" s="14">
        <f>IF(원생!$A111="","",SUMIFS(계산!$C:$C,계산!$A:$A,계산!$E111,계산!$B:$B,$B$1*100+7))</f>
        <v/>
      </c>
      <c r="J113" s="14">
        <f>IF(원생!$A111="","",SUMIFS(계산!$C:$C,계산!$A:$A,계산!$E111,계산!$B:$B,$B$1*100+8))</f>
        <v/>
      </c>
      <c r="K113" s="14">
        <f>IF(원생!$A111="","",SUMIFS(계산!$C:$C,계산!$A:$A,계산!$E111,계산!$B:$B,$B$1*100+9))</f>
        <v/>
      </c>
      <c r="L113" s="14">
        <f>IF(원생!$A111="","",SUMIFS(계산!$C:$C,계산!$A:$A,계산!$E111,계산!$B:$B,$B$1*100+10))</f>
        <v/>
      </c>
      <c r="M113" s="14">
        <f>IF(원생!$A111="","",SUMIFS(계산!$C:$C,계산!$A:$A,계산!$E111,계산!$B:$B,$B$1*100+11))</f>
        <v/>
      </c>
      <c r="N113" s="14">
        <f>IF(원생!$A111="","",SUMIFS(계산!$C:$C,계산!$A:$A,계산!$E111,계산!$B:$B,$B$1*100+12))</f>
        <v/>
      </c>
      <c r="O113">
        <f>IF(원생!$I111="","",원생!$I111)</f>
        <v/>
      </c>
      <c r="P113">
        <f>IF($A113="","",IF(AND($B113&gt;0,C113&lt;$B113,DATE($B$1,1,1)&lt;=TODAY(),OR($O113="",$O113&gt;=DATE($B$1,1,1)),OR(COUNTIF($C113:C113,"&gt;0")&gt;0,DATE($B$1,1,1)=DATE(YEAR(TODAY()),MONTH(TODAY()),1))),1,0))</f>
        <v/>
      </c>
      <c r="Q113">
        <f>IF($A113="","",IF(AND($B113&gt;0,D113&lt;$B113,DATE($B$1,2,1)&lt;=TODAY(),OR($O113="",$O113&gt;=DATE($B$1,2,1)),OR(COUNTIF($C113:D113,"&gt;0")&gt;0,DATE($B$1,2,1)=DATE(YEAR(TODAY()),MONTH(TODAY()),1))),1,0))</f>
        <v/>
      </c>
      <c r="R113">
        <f>IF($A113="","",IF(AND($B113&gt;0,E113&lt;$B113,DATE($B$1,3,1)&lt;=TODAY(),OR($O113="",$O113&gt;=DATE($B$1,3,1)),OR(COUNTIF($C113:E113,"&gt;0")&gt;0,DATE($B$1,3,1)=DATE(YEAR(TODAY()),MONTH(TODAY()),1))),1,0))</f>
        <v/>
      </c>
      <c r="S113">
        <f>IF($A113="","",IF(AND($B113&gt;0,F113&lt;$B113,DATE($B$1,4,1)&lt;=TODAY(),OR($O113="",$O113&gt;=DATE($B$1,4,1)),OR(COUNTIF($C113:F113,"&gt;0")&gt;0,DATE($B$1,4,1)=DATE(YEAR(TODAY()),MONTH(TODAY()),1))),1,0))</f>
        <v/>
      </c>
      <c r="T113">
        <f>IF($A113="","",IF(AND($B113&gt;0,G113&lt;$B113,DATE($B$1,5,1)&lt;=TODAY(),OR($O113="",$O113&gt;=DATE($B$1,5,1)),OR(COUNTIF($C113:G113,"&gt;0")&gt;0,DATE($B$1,5,1)=DATE(YEAR(TODAY()),MONTH(TODAY()),1))),1,0))</f>
        <v/>
      </c>
      <c r="U113">
        <f>IF($A113="","",IF(AND($B113&gt;0,H113&lt;$B113,DATE($B$1,6,1)&lt;=TODAY(),OR($O113="",$O113&gt;=DATE($B$1,6,1)),OR(COUNTIF($C113:H113,"&gt;0")&gt;0,DATE($B$1,6,1)=DATE(YEAR(TODAY()),MONTH(TODAY()),1))),1,0))</f>
        <v/>
      </c>
      <c r="V113">
        <f>IF($A113="","",IF(AND($B113&gt;0,I113&lt;$B113,DATE($B$1,7,1)&lt;=TODAY(),OR($O113="",$O113&gt;=DATE($B$1,7,1)),OR(COUNTIF($C113:I113,"&gt;0")&gt;0,DATE($B$1,7,1)=DATE(YEAR(TODAY()),MONTH(TODAY()),1))),1,0))</f>
        <v/>
      </c>
      <c r="W113">
        <f>IF($A113="","",IF(AND($B113&gt;0,J113&lt;$B113,DATE($B$1,8,1)&lt;=TODAY(),OR($O113="",$O113&gt;=DATE($B$1,8,1)),OR(COUNTIF($C113:J113,"&gt;0")&gt;0,DATE($B$1,8,1)=DATE(YEAR(TODAY()),MONTH(TODAY()),1))),1,0))</f>
        <v/>
      </c>
      <c r="X113">
        <f>IF($A113="","",IF(AND($B113&gt;0,K113&lt;$B113,DATE($B$1,9,1)&lt;=TODAY(),OR($O113="",$O113&gt;=DATE($B$1,9,1)),OR(COUNTIF($C113:K113,"&gt;0")&gt;0,DATE($B$1,9,1)=DATE(YEAR(TODAY()),MONTH(TODAY()),1))),1,0))</f>
        <v/>
      </c>
      <c r="Y113">
        <f>IF($A113="","",IF(AND($B113&gt;0,L113&lt;$B113,DATE($B$1,10,1)&lt;=TODAY(),OR($O113="",$O113&gt;=DATE($B$1,10,1)),OR(COUNTIF($C113:L113,"&gt;0")&gt;0,DATE($B$1,10,1)=DATE(YEAR(TODAY()),MONTH(TODAY()),1))),1,0))</f>
        <v/>
      </c>
      <c r="Z113">
        <f>IF($A113="","",IF(AND($B113&gt;0,M113&lt;$B113,DATE($B$1,11,1)&lt;=TODAY(),OR($O113="",$O113&gt;=DATE($B$1,11,1)),OR(COUNTIF($C113:M113,"&gt;0")&gt;0,DATE($B$1,11,1)=DATE(YEAR(TODAY()),MONTH(TODAY()),1))),1,0))</f>
        <v/>
      </c>
      <c r="AA113">
        <f>IF($A113="","",IF(AND($B113&gt;0,N113&lt;$B113,DATE($B$1,12,1)&lt;=TODAY(),OR($O113="",$O113&gt;=DATE($B$1,12,1)),OR(COUNTIF($C113:N113,"&gt;0")&gt;0,DATE($B$1,12,1)=DATE(YEAR(TODAY()),MONTH(TODAY()),1))),1,0))</f>
        <v/>
      </c>
    </row>
    <row r="114">
      <c r="A114" s="13">
        <f>IF(원생!$A112="","",원생!$A112&amp;IF(원생!$G112="",""," ("&amp;원생!$G112&amp;")"))</f>
        <v/>
      </c>
      <c r="B114" s="8">
        <f>IF(원생!$A112="","",N(원생!$F112))</f>
        <v/>
      </c>
      <c r="C114" s="14">
        <f>IF(원생!$A112="","",SUMIFS(계산!$C:$C,계산!$A:$A,계산!$E112,계산!$B:$B,$B$1*100+1))</f>
        <v/>
      </c>
      <c r="D114" s="14">
        <f>IF(원생!$A112="","",SUMIFS(계산!$C:$C,계산!$A:$A,계산!$E112,계산!$B:$B,$B$1*100+2))</f>
        <v/>
      </c>
      <c r="E114" s="14">
        <f>IF(원생!$A112="","",SUMIFS(계산!$C:$C,계산!$A:$A,계산!$E112,계산!$B:$B,$B$1*100+3))</f>
        <v/>
      </c>
      <c r="F114" s="14">
        <f>IF(원생!$A112="","",SUMIFS(계산!$C:$C,계산!$A:$A,계산!$E112,계산!$B:$B,$B$1*100+4))</f>
        <v/>
      </c>
      <c r="G114" s="14">
        <f>IF(원생!$A112="","",SUMIFS(계산!$C:$C,계산!$A:$A,계산!$E112,계산!$B:$B,$B$1*100+5))</f>
        <v/>
      </c>
      <c r="H114" s="14">
        <f>IF(원생!$A112="","",SUMIFS(계산!$C:$C,계산!$A:$A,계산!$E112,계산!$B:$B,$B$1*100+6))</f>
        <v/>
      </c>
      <c r="I114" s="14">
        <f>IF(원생!$A112="","",SUMIFS(계산!$C:$C,계산!$A:$A,계산!$E112,계산!$B:$B,$B$1*100+7))</f>
        <v/>
      </c>
      <c r="J114" s="14">
        <f>IF(원생!$A112="","",SUMIFS(계산!$C:$C,계산!$A:$A,계산!$E112,계산!$B:$B,$B$1*100+8))</f>
        <v/>
      </c>
      <c r="K114" s="14">
        <f>IF(원생!$A112="","",SUMIFS(계산!$C:$C,계산!$A:$A,계산!$E112,계산!$B:$B,$B$1*100+9))</f>
        <v/>
      </c>
      <c r="L114" s="14">
        <f>IF(원생!$A112="","",SUMIFS(계산!$C:$C,계산!$A:$A,계산!$E112,계산!$B:$B,$B$1*100+10))</f>
        <v/>
      </c>
      <c r="M114" s="14">
        <f>IF(원생!$A112="","",SUMIFS(계산!$C:$C,계산!$A:$A,계산!$E112,계산!$B:$B,$B$1*100+11))</f>
        <v/>
      </c>
      <c r="N114" s="14">
        <f>IF(원생!$A112="","",SUMIFS(계산!$C:$C,계산!$A:$A,계산!$E112,계산!$B:$B,$B$1*100+12))</f>
        <v/>
      </c>
      <c r="O114">
        <f>IF(원생!$I112="","",원생!$I112)</f>
        <v/>
      </c>
      <c r="P114">
        <f>IF($A114="","",IF(AND($B114&gt;0,C114&lt;$B114,DATE($B$1,1,1)&lt;=TODAY(),OR($O114="",$O114&gt;=DATE($B$1,1,1)),OR(COUNTIF($C114:C114,"&gt;0")&gt;0,DATE($B$1,1,1)=DATE(YEAR(TODAY()),MONTH(TODAY()),1))),1,0))</f>
        <v/>
      </c>
      <c r="Q114">
        <f>IF($A114="","",IF(AND($B114&gt;0,D114&lt;$B114,DATE($B$1,2,1)&lt;=TODAY(),OR($O114="",$O114&gt;=DATE($B$1,2,1)),OR(COUNTIF($C114:D114,"&gt;0")&gt;0,DATE($B$1,2,1)=DATE(YEAR(TODAY()),MONTH(TODAY()),1))),1,0))</f>
        <v/>
      </c>
      <c r="R114">
        <f>IF($A114="","",IF(AND($B114&gt;0,E114&lt;$B114,DATE($B$1,3,1)&lt;=TODAY(),OR($O114="",$O114&gt;=DATE($B$1,3,1)),OR(COUNTIF($C114:E114,"&gt;0")&gt;0,DATE($B$1,3,1)=DATE(YEAR(TODAY()),MONTH(TODAY()),1))),1,0))</f>
        <v/>
      </c>
      <c r="S114">
        <f>IF($A114="","",IF(AND($B114&gt;0,F114&lt;$B114,DATE($B$1,4,1)&lt;=TODAY(),OR($O114="",$O114&gt;=DATE($B$1,4,1)),OR(COUNTIF($C114:F114,"&gt;0")&gt;0,DATE($B$1,4,1)=DATE(YEAR(TODAY()),MONTH(TODAY()),1))),1,0))</f>
        <v/>
      </c>
      <c r="T114">
        <f>IF($A114="","",IF(AND($B114&gt;0,G114&lt;$B114,DATE($B$1,5,1)&lt;=TODAY(),OR($O114="",$O114&gt;=DATE($B$1,5,1)),OR(COUNTIF($C114:G114,"&gt;0")&gt;0,DATE($B$1,5,1)=DATE(YEAR(TODAY()),MONTH(TODAY()),1))),1,0))</f>
        <v/>
      </c>
      <c r="U114">
        <f>IF($A114="","",IF(AND($B114&gt;0,H114&lt;$B114,DATE($B$1,6,1)&lt;=TODAY(),OR($O114="",$O114&gt;=DATE($B$1,6,1)),OR(COUNTIF($C114:H114,"&gt;0")&gt;0,DATE($B$1,6,1)=DATE(YEAR(TODAY()),MONTH(TODAY()),1))),1,0))</f>
        <v/>
      </c>
      <c r="V114">
        <f>IF($A114="","",IF(AND($B114&gt;0,I114&lt;$B114,DATE($B$1,7,1)&lt;=TODAY(),OR($O114="",$O114&gt;=DATE($B$1,7,1)),OR(COUNTIF($C114:I114,"&gt;0")&gt;0,DATE($B$1,7,1)=DATE(YEAR(TODAY()),MONTH(TODAY()),1))),1,0))</f>
        <v/>
      </c>
      <c r="W114">
        <f>IF($A114="","",IF(AND($B114&gt;0,J114&lt;$B114,DATE($B$1,8,1)&lt;=TODAY(),OR($O114="",$O114&gt;=DATE($B$1,8,1)),OR(COUNTIF($C114:J114,"&gt;0")&gt;0,DATE($B$1,8,1)=DATE(YEAR(TODAY()),MONTH(TODAY()),1))),1,0))</f>
        <v/>
      </c>
      <c r="X114">
        <f>IF($A114="","",IF(AND($B114&gt;0,K114&lt;$B114,DATE($B$1,9,1)&lt;=TODAY(),OR($O114="",$O114&gt;=DATE($B$1,9,1)),OR(COUNTIF($C114:K114,"&gt;0")&gt;0,DATE($B$1,9,1)=DATE(YEAR(TODAY()),MONTH(TODAY()),1))),1,0))</f>
        <v/>
      </c>
      <c r="Y114">
        <f>IF($A114="","",IF(AND($B114&gt;0,L114&lt;$B114,DATE($B$1,10,1)&lt;=TODAY(),OR($O114="",$O114&gt;=DATE($B$1,10,1)),OR(COUNTIF($C114:L114,"&gt;0")&gt;0,DATE($B$1,10,1)=DATE(YEAR(TODAY()),MONTH(TODAY()),1))),1,0))</f>
        <v/>
      </c>
      <c r="Z114">
        <f>IF($A114="","",IF(AND($B114&gt;0,M114&lt;$B114,DATE($B$1,11,1)&lt;=TODAY(),OR($O114="",$O114&gt;=DATE($B$1,11,1)),OR(COUNTIF($C114:M114,"&gt;0")&gt;0,DATE($B$1,11,1)=DATE(YEAR(TODAY()),MONTH(TODAY()),1))),1,0))</f>
        <v/>
      </c>
      <c r="AA114">
        <f>IF($A114="","",IF(AND($B114&gt;0,N114&lt;$B114,DATE($B$1,12,1)&lt;=TODAY(),OR($O114="",$O114&gt;=DATE($B$1,12,1)),OR(COUNTIF($C114:N114,"&gt;0")&gt;0,DATE($B$1,12,1)=DATE(YEAR(TODAY()),MONTH(TODAY()),1))),1,0))</f>
        <v/>
      </c>
    </row>
    <row r="115">
      <c r="A115" s="13">
        <f>IF(원생!$A113="","",원생!$A113&amp;IF(원생!$G113="",""," ("&amp;원생!$G113&amp;")"))</f>
        <v/>
      </c>
      <c r="B115" s="8">
        <f>IF(원생!$A113="","",N(원생!$F113))</f>
        <v/>
      </c>
      <c r="C115" s="14">
        <f>IF(원생!$A113="","",SUMIFS(계산!$C:$C,계산!$A:$A,계산!$E113,계산!$B:$B,$B$1*100+1))</f>
        <v/>
      </c>
      <c r="D115" s="14">
        <f>IF(원생!$A113="","",SUMIFS(계산!$C:$C,계산!$A:$A,계산!$E113,계산!$B:$B,$B$1*100+2))</f>
        <v/>
      </c>
      <c r="E115" s="14">
        <f>IF(원생!$A113="","",SUMIFS(계산!$C:$C,계산!$A:$A,계산!$E113,계산!$B:$B,$B$1*100+3))</f>
        <v/>
      </c>
      <c r="F115" s="14">
        <f>IF(원생!$A113="","",SUMIFS(계산!$C:$C,계산!$A:$A,계산!$E113,계산!$B:$B,$B$1*100+4))</f>
        <v/>
      </c>
      <c r="G115" s="14">
        <f>IF(원생!$A113="","",SUMIFS(계산!$C:$C,계산!$A:$A,계산!$E113,계산!$B:$B,$B$1*100+5))</f>
        <v/>
      </c>
      <c r="H115" s="14">
        <f>IF(원생!$A113="","",SUMIFS(계산!$C:$C,계산!$A:$A,계산!$E113,계산!$B:$B,$B$1*100+6))</f>
        <v/>
      </c>
      <c r="I115" s="14">
        <f>IF(원생!$A113="","",SUMIFS(계산!$C:$C,계산!$A:$A,계산!$E113,계산!$B:$B,$B$1*100+7))</f>
        <v/>
      </c>
      <c r="J115" s="14">
        <f>IF(원생!$A113="","",SUMIFS(계산!$C:$C,계산!$A:$A,계산!$E113,계산!$B:$B,$B$1*100+8))</f>
        <v/>
      </c>
      <c r="K115" s="14">
        <f>IF(원생!$A113="","",SUMIFS(계산!$C:$C,계산!$A:$A,계산!$E113,계산!$B:$B,$B$1*100+9))</f>
        <v/>
      </c>
      <c r="L115" s="14">
        <f>IF(원생!$A113="","",SUMIFS(계산!$C:$C,계산!$A:$A,계산!$E113,계산!$B:$B,$B$1*100+10))</f>
        <v/>
      </c>
      <c r="M115" s="14">
        <f>IF(원생!$A113="","",SUMIFS(계산!$C:$C,계산!$A:$A,계산!$E113,계산!$B:$B,$B$1*100+11))</f>
        <v/>
      </c>
      <c r="N115" s="14">
        <f>IF(원생!$A113="","",SUMIFS(계산!$C:$C,계산!$A:$A,계산!$E113,계산!$B:$B,$B$1*100+12))</f>
        <v/>
      </c>
      <c r="O115">
        <f>IF(원생!$I113="","",원생!$I113)</f>
        <v/>
      </c>
      <c r="P115">
        <f>IF($A115="","",IF(AND($B115&gt;0,C115&lt;$B115,DATE($B$1,1,1)&lt;=TODAY(),OR($O115="",$O115&gt;=DATE($B$1,1,1)),OR(COUNTIF($C115:C115,"&gt;0")&gt;0,DATE($B$1,1,1)=DATE(YEAR(TODAY()),MONTH(TODAY()),1))),1,0))</f>
        <v/>
      </c>
      <c r="Q115">
        <f>IF($A115="","",IF(AND($B115&gt;0,D115&lt;$B115,DATE($B$1,2,1)&lt;=TODAY(),OR($O115="",$O115&gt;=DATE($B$1,2,1)),OR(COUNTIF($C115:D115,"&gt;0")&gt;0,DATE($B$1,2,1)=DATE(YEAR(TODAY()),MONTH(TODAY()),1))),1,0))</f>
        <v/>
      </c>
      <c r="R115">
        <f>IF($A115="","",IF(AND($B115&gt;0,E115&lt;$B115,DATE($B$1,3,1)&lt;=TODAY(),OR($O115="",$O115&gt;=DATE($B$1,3,1)),OR(COUNTIF($C115:E115,"&gt;0")&gt;0,DATE($B$1,3,1)=DATE(YEAR(TODAY()),MONTH(TODAY()),1))),1,0))</f>
        <v/>
      </c>
      <c r="S115">
        <f>IF($A115="","",IF(AND($B115&gt;0,F115&lt;$B115,DATE($B$1,4,1)&lt;=TODAY(),OR($O115="",$O115&gt;=DATE($B$1,4,1)),OR(COUNTIF($C115:F115,"&gt;0")&gt;0,DATE($B$1,4,1)=DATE(YEAR(TODAY()),MONTH(TODAY()),1))),1,0))</f>
        <v/>
      </c>
      <c r="T115">
        <f>IF($A115="","",IF(AND($B115&gt;0,G115&lt;$B115,DATE($B$1,5,1)&lt;=TODAY(),OR($O115="",$O115&gt;=DATE($B$1,5,1)),OR(COUNTIF($C115:G115,"&gt;0")&gt;0,DATE($B$1,5,1)=DATE(YEAR(TODAY()),MONTH(TODAY()),1))),1,0))</f>
        <v/>
      </c>
      <c r="U115">
        <f>IF($A115="","",IF(AND($B115&gt;0,H115&lt;$B115,DATE($B$1,6,1)&lt;=TODAY(),OR($O115="",$O115&gt;=DATE($B$1,6,1)),OR(COUNTIF($C115:H115,"&gt;0")&gt;0,DATE($B$1,6,1)=DATE(YEAR(TODAY()),MONTH(TODAY()),1))),1,0))</f>
        <v/>
      </c>
      <c r="V115">
        <f>IF($A115="","",IF(AND($B115&gt;0,I115&lt;$B115,DATE($B$1,7,1)&lt;=TODAY(),OR($O115="",$O115&gt;=DATE($B$1,7,1)),OR(COUNTIF($C115:I115,"&gt;0")&gt;0,DATE($B$1,7,1)=DATE(YEAR(TODAY()),MONTH(TODAY()),1))),1,0))</f>
        <v/>
      </c>
      <c r="W115">
        <f>IF($A115="","",IF(AND($B115&gt;0,J115&lt;$B115,DATE($B$1,8,1)&lt;=TODAY(),OR($O115="",$O115&gt;=DATE($B$1,8,1)),OR(COUNTIF($C115:J115,"&gt;0")&gt;0,DATE($B$1,8,1)=DATE(YEAR(TODAY()),MONTH(TODAY()),1))),1,0))</f>
        <v/>
      </c>
      <c r="X115">
        <f>IF($A115="","",IF(AND($B115&gt;0,K115&lt;$B115,DATE($B$1,9,1)&lt;=TODAY(),OR($O115="",$O115&gt;=DATE($B$1,9,1)),OR(COUNTIF($C115:K115,"&gt;0")&gt;0,DATE($B$1,9,1)=DATE(YEAR(TODAY()),MONTH(TODAY()),1))),1,0))</f>
        <v/>
      </c>
      <c r="Y115">
        <f>IF($A115="","",IF(AND($B115&gt;0,L115&lt;$B115,DATE($B$1,10,1)&lt;=TODAY(),OR($O115="",$O115&gt;=DATE($B$1,10,1)),OR(COUNTIF($C115:L115,"&gt;0")&gt;0,DATE($B$1,10,1)=DATE(YEAR(TODAY()),MONTH(TODAY()),1))),1,0))</f>
        <v/>
      </c>
      <c r="Z115">
        <f>IF($A115="","",IF(AND($B115&gt;0,M115&lt;$B115,DATE($B$1,11,1)&lt;=TODAY(),OR($O115="",$O115&gt;=DATE($B$1,11,1)),OR(COUNTIF($C115:M115,"&gt;0")&gt;0,DATE($B$1,11,1)=DATE(YEAR(TODAY()),MONTH(TODAY()),1))),1,0))</f>
        <v/>
      </c>
      <c r="AA115">
        <f>IF($A115="","",IF(AND($B115&gt;0,N115&lt;$B115,DATE($B$1,12,1)&lt;=TODAY(),OR($O115="",$O115&gt;=DATE($B$1,12,1)),OR(COUNTIF($C115:N115,"&gt;0")&gt;0,DATE($B$1,12,1)=DATE(YEAR(TODAY()),MONTH(TODAY()),1))),1,0))</f>
        <v/>
      </c>
    </row>
    <row r="116">
      <c r="A116" s="13">
        <f>IF(원생!$A114="","",원생!$A114&amp;IF(원생!$G114="",""," ("&amp;원생!$G114&amp;")"))</f>
        <v/>
      </c>
      <c r="B116" s="8">
        <f>IF(원생!$A114="","",N(원생!$F114))</f>
        <v/>
      </c>
      <c r="C116" s="14">
        <f>IF(원생!$A114="","",SUMIFS(계산!$C:$C,계산!$A:$A,계산!$E114,계산!$B:$B,$B$1*100+1))</f>
        <v/>
      </c>
      <c r="D116" s="14">
        <f>IF(원생!$A114="","",SUMIFS(계산!$C:$C,계산!$A:$A,계산!$E114,계산!$B:$B,$B$1*100+2))</f>
        <v/>
      </c>
      <c r="E116" s="14">
        <f>IF(원생!$A114="","",SUMIFS(계산!$C:$C,계산!$A:$A,계산!$E114,계산!$B:$B,$B$1*100+3))</f>
        <v/>
      </c>
      <c r="F116" s="14">
        <f>IF(원생!$A114="","",SUMIFS(계산!$C:$C,계산!$A:$A,계산!$E114,계산!$B:$B,$B$1*100+4))</f>
        <v/>
      </c>
      <c r="G116" s="14">
        <f>IF(원생!$A114="","",SUMIFS(계산!$C:$C,계산!$A:$A,계산!$E114,계산!$B:$B,$B$1*100+5))</f>
        <v/>
      </c>
      <c r="H116" s="14">
        <f>IF(원생!$A114="","",SUMIFS(계산!$C:$C,계산!$A:$A,계산!$E114,계산!$B:$B,$B$1*100+6))</f>
        <v/>
      </c>
      <c r="I116" s="14">
        <f>IF(원생!$A114="","",SUMIFS(계산!$C:$C,계산!$A:$A,계산!$E114,계산!$B:$B,$B$1*100+7))</f>
        <v/>
      </c>
      <c r="J116" s="14">
        <f>IF(원생!$A114="","",SUMIFS(계산!$C:$C,계산!$A:$A,계산!$E114,계산!$B:$B,$B$1*100+8))</f>
        <v/>
      </c>
      <c r="K116" s="14">
        <f>IF(원생!$A114="","",SUMIFS(계산!$C:$C,계산!$A:$A,계산!$E114,계산!$B:$B,$B$1*100+9))</f>
        <v/>
      </c>
      <c r="L116" s="14">
        <f>IF(원생!$A114="","",SUMIFS(계산!$C:$C,계산!$A:$A,계산!$E114,계산!$B:$B,$B$1*100+10))</f>
        <v/>
      </c>
      <c r="M116" s="14">
        <f>IF(원생!$A114="","",SUMIFS(계산!$C:$C,계산!$A:$A,계산!$E114,계산!$B:$B,$B$1*100+11))</f>
        <v/>
      </c>
      <c r="N116" s="14">
        <f>IF(원생!$A114="","",SUMIFS(계산!$C:$C,계산!$A:$A,계산!$E114,계산!$B:$B,$B$1*100+12))</f>
        <v/>
      </c>
      <c r="O116">
        <f>IF(원생!$I114="","",원생!$I114)</f>
        <v/>
      </c>
      <c r="P116">
        <f>IF($A116="","",IF(AND($B116&gt;0,C116&lt;$B116,DATE($B$1,1,1)&lt;=TODAY(),OR($O116="",$O116&gt;=DATE($B$1,1,1)),OR(COUNTIF($C116:C116,"&gt;0")&gt;0,DATE($B$1,1,1)=DATE(YEAR(TODAY()),MONTH(TODAY()),1))),1,0))</f>
        <v/>
      </c>
      <c r="Q116">
        <f>IF($A116="","",IF(AND($B116&gt;0,D116&lt;$B116,DATE($B$1,2,1)&lt;=TODAY(),OR($O116="",$O116&gt;=DATE($B$1,2,1)),OR(COUNTIF($C116:D116,"&gt;0")&gt;0,DATE($B$1,2,1)=DATE(YEAR(TODAY()),MONTH(TODAY()),1))),1,0))</f>
        <v/>
      </c>
      <c r="R116">
        <f>IF($A116="","",IF(AND($B116&gt;0,E116&lt;$B116,DATE($B$1,3,1)&lt;=TODAY(),OR($O116="",$O116&gt;=DATE($B$1,3,1)),OR(COUNTIF($C116:E116,"&gt;0")&gt;0,DATE($B$1,3,1)=DATE(YEAR(TODAY()),MONTH(TODAY()),1))),1,0))</f>
        <v/>
      </c>
      <c r="S116">
        <f>IF($A116="","",IF(AND($B116&gt;0,F116&lt;$B116,DATE($B$1,4,1)&lt;=TODAY(),OR($O116="",$O116&gt;=DATE($B$1,4,1)),OR(COUNTIF($C116:F116,"&gt;0")&gt;0,DATE($B$1,4,1)=DATE(YEAR(TODAY()),MONTH(TODAY()),1))),1,0))</f>
        <v/>
      </c>
      <c r="T116">
        <f>IF($A116="","",IF(AND($B116&gt;0,G116&lt;$B116,DATE($B$1,5,1)&lt;=TODAY(),OR($O116="",$O116&gt;=DATE($B$1,5,1)),OR(COUNTIF($C116:G116,"&gt;0")&gt;0,DATE($B$1,5,1)=DATE(YEAR(TODAY()),MONTH(TODAY()),1))),1,0))</f>
        <v/>
      </c>
      <c r="U116">
        <f>IF($A116="","",IF(AND($B116&gt;0,H116&lt;$B116,DATE($B$1,6,1)&lt;=TODAY(),OR($O116="",$O116&gt;=DATE($B$1,6,1)),OR(COUNTIF($C116:H116,"&gt;0")&gt;0,DATE($B$1,6,1)=DATE(YEAR(TODAY()),MONTH(TODAY()),1))),1,0))</f>
        <v/>
      </c>
      <c r="V116">
        <f>IF($A116="","",IF(AND($B116&gt;0,I116&lt;$B116,DATE($B$1,7,1)&lt;=TODAY(),OR($O116="",$O116&gt;=DATE($B$1,7,1)),OR(COUNTIF($C116:I116,"&gt;0")&gt;0,DATE($B$1,7,1)=DATE(YEAR(TODAY()),MONTH(TODAY()),1))),1,0))</f>
        <v/>
      </c>
      <c r="W116">
        <f>IF($A116="","",IF(AND($B116&gt;0,J116&lt;$B116,DATE($B$1,8,1)&lt;=TODAY(),OR($O116="",$O116&gt;=DATE($B$1,8,1)),OR(COUNTIF($C116:J116,"&gt;0")&gt;0,DATE($B$1,8,1)=DATE(YEAR(TODAY()),MONTH(TODAY()),1))),1,0))</f>
        <v/>
      </c>
      <c r="X116">
        <f>IF($A116="","",IF(AND($B116&gt;0,K116&lt;$B116,DATE($B$1,9,1)&lt;=TODAY(),OR($O116="",$O116&gt;=DATE($B$1,9,1)),OR(COUNTIF($C116:K116,"&gt;0")&gt;0,DATE($B$1,9,1)=DATE(YEAR(TODAY()),MONTH(TODAY()),1))),1,0))</f>
        <v/>
      </c>
      <c r="Y116">
        <f>IF($A116="","",IF(AND($B116&gt;0,L116&lt;$B116,DATE($B$1,10,1)&lt;=TODAY(),OR($O116="",$O116&gt;=DATE($B$1,10,1)),OR(COUNTIF($C116:L116,"&gt;0")&gt;0,DATE($B$1,10,1)=DATE(YEAR(TODAY()),MONTH(TODAY()),1))),1,0))</f>
        <v/>
      </c>
      <c r="Z116">
        <f>IF($A116="","",IF(AND($B116&gt;0,M116&lt;$B116,DATE($B$1,11,1)&lt;=TODAY(),OR($O116="",$O116&gt;=DATE($B$1,11,1)),OR(COUNTIF($C116:M116,"&gt;0")&gt;0,DATE($B$1,11,1)=DATE(YEAR(TODAY()),MONTH(TODAY()),1))),1,0))</f>
        <v/>
      </c>
      <c r="AA116">
        <f>IF($A116="","",IF(AND($B116&gt;0,N116&lt;$B116,DATE($B$1,12,1)&lt;=TODAY(),OR($O116="",$O116&gt;=DATE($B$1,12,1)),OR(COUNTIF($C116:N116,"&gt;0")&gt;0,DATE($B$1,12,1)=DATE(YEAR(TODAY()),MONTH(TODAY()),1))),1,0))</f>
        <v/>
      </c>
    </row>
    <row r="117">
      <c r="A117" s="13">
        <f>IF(원생!$A115="","",원생!$A115&amp;IF(원생!$G115="",""," ("&amp;원생!$G115&amp;")"))</f>
        <v/>
      </c>
      <c r="B117" s="8">
        <f>IF(원생!$A115="","",N(원생!$F115))</f>
        <v/>
      </c>
      <c r="C117" s="14">
        <f>IF(원생!$A115="","",SUMIFS(계산!$C:$C,계산!$A:$A,계산!$E115,계산!$B:$B,$B$1*100+1))</f>
        <v/>
      </c>
      <c r="D117" s="14">
        <f>IF(원생!$A115="","",SUMIFS(계산!$C:$C,계산!$A:$A,계산!$E115,계산!$B:$B,$B$1*100+2))</f>
        <v/>
      </c>
      <c r="E117" s="14">
        <f>IF(원생!$A115="","",SUMIFS(계산!$C:$C,계산!$A:$A,계산!$E115,계산!$B:$B,$B$1*100+3))</f>
        <v/>
      </c>
      <c r="F117" s="14">
        <f>IF(원생!$A115="","",SUMIFS(계산!$C:$C,계산!$A:$A,계산!$E115,계산!$B:$B,$B$1*100+4))</f>
        <v/>
      </c>
      <c r="G117" s="14">
        <f>IF(원생!$A115="","",SUMIFS(계산!$C:$C,계산!$A:$A,계산!$E115,계산!$B:$B,$B$1*100+5))</f>
        <v/>
      </c>
      <c r="H117" s="14">
        <f>IF(원생!$A115="","",SUMIFS(계산!$C:$C,계산!$A:$A,계산!$E115,계산!$B:$B,$B$1*100+6))</f>
        <v/>
      </c>
      <c r="I117" s="14">
        <f>IF(원생!$A115="","",SUMIFS(계산!$C:$C,계산!$A:$A,계산!$E115,계산!$B:$B,$B$1*100+7))</f>
        <v/>
      </c>
      <c r="J117" s="14">
        <f>IF(원생!$A115="","",SUMIFS(계산!$C:$C,계산!$A:$A,계산!$E115,계산!$B:$B,$B$1*100+8))</f>
        <v/>
      </c>
      <c r="K117" s="14">
        <f>IF(원생!$A115="","",SUMIFS(계산!$C:$C,계산!$A:$A,계산!$E115,계산!$B:$B,$B$1*100+9))</f>
        <v/>
      </c>
      <c r="L117" s="14">
        <f>IF(원생!$A115="","",SUMIFS(계산!$C:$C,계산!$A:$A,계산!$E115,계산!$B:$B,$B$1*100+10))</f>
        <v/>
      </c>
      <c r="M117" s="14">
        <f>IF(원생!$A115="","",SUMIFS(계산!$C:$C,계산!$A:$A,계산!$E115,계산!$B:$B,$B$1*100+11))</f>
        <v/>
      </c>
      <c r="N117" s="14">
        <f>IF(원생!$A115="","",SUMIFS(계산!$C:$C,계산!$A:$A,계산!$E115,계산!$B:$B,$B$1*100+12))</f>
        <v/>
      </c>
      <c r="O117">
        <f>IF(원생!$I115="","",원생!$I115)</f>
        <v/>
      </c>
      <c r="P117">
        <f>IF($A117="","",IF(AND($B117&gt;0,C117&lt;$B117,DATE($B$1,1,1)&lt;=TODAY(),OR($O117="",$O117&gt;=DATE($B$1,1,1)),OR(COUNTIF($C117:C117,"&gt;0")&gt;0,DATE($B$1,1,1)=DATE(YEAR(TODAY()),MONTH(TODAY()),1))),1,0))</f>
        <v/>
      </c>
      <c r="Q117">
        <f>IF($A117="","",IF(AND($B117&gt;0,D117&lt;$B117,DATE($B$1,2,1)&lt;=TODAY(),OR($O117="",$O117&gt;=DATE($B$1,2,1)),OR(COUNTIF($C117:D117,"&gt;0")&gt;0,DATE($B$1,2,1)=DATE(YEAR(TODAY()),MONTH(TODAY()),1))),1,0))</f>
        <v/>
      </c>
      <c r="R117">
        <f>IF($A117="","",IF(AND($B117&gt;0,E117&lt;$B117,DATE($B$1,3,1)&lt;=TODAY(),OR($O117="",$O117&gt;=DATE($B$1,3,1)),OR(COUNTIF($C117:E117,"&gt;0")&gt;0,DATE($B$1,3,1)=DATE(YEAR(TODAY()),MONTH(TODAY()),1))),1,0))</f>
        <v/>
      </c>
      <c r="S117">
        <f>IF($A117="","",IF(AND($B117&gt;0,F117&lt;$B117,DATE($B$1,4,1)&lt;=TODAY(),OR($O117="",$O117&gt;=DATE($B$1,4,1)),OR(COUNTIF($C117:F117,"&gt;0")&gt;0,DATE($B$1,4,1)=DATE(YEAR(TODAY()),MONTH(TODAY()),1))),1,0))</f>
        <v/>
      </c>
      <c r="T117">
        <f>IF($A117="","",IF(AND($B117&gt;0,G117&lt;$B117,DATE($B$1,5,1)&lt;=TODAY(),OR($O117="",$O117&gt;=DATE($B$1,5,1)),OR(COUNTIF($C117:G117,"&gt;0")&gt;0,DATE($B$1,5,1)=DATE(YEAR(TODAY()),MONTH(TODAY()),1))),1,0))</f>
        <v/>
      </c>
      <c r="U117">
        <f>IF($A117="","",IF(AND($B117&gt;0,H117&lt;$B117,DATE($B$1,6,1)&lt;=TODAY(),OR($O117="",$O117&gt;=DATE($B$1,6,1)),OR(COUNTIF($C117:H117,"&gt;0")&gt;0,DATE($B$1,6,1)=DATE(YEAR(TODAY()),MONTH(TODAY()),1))),1,0))</f>
        <v/>
      </c>
      <c r="V117">
        <f>IF($A117="","",IF(AND($B117&gt;0,I117&lt;$B117,DATE($B$1,7,1)&lt;=TODAY(),OR($O117="",$O117&gt;=DATE($B$1,7,1)),OR(COUNTIF($C117:I117,"&gt;0")&gt;0,DATE($B$1,7,1)=DATE(YEAR(TODAY()),MONTH(TODAY()),1))),1,0))</f>
        <v/>
      </c>
      <c r="W117">
        <f>IF($A117="","",IF(AND($B117&gt;0,J117&lt;$B117,DATE($B$1,8,1)&lt;=TODAY(),OR($O117="",$O117&gt;=DATE($B$1,8,1)),OR(COUNTIF($C117:J117,"&gt;0")&gt;0,DATE($B$1,8,1)=DATE(YEAR(TODAY()),MONTH(TODAY()),1))),1,0))</f>
        <v/>
      </c>
      <c r="X117">
        <f>IF($A117="","",IF(AND($B117&gt;0,K117&lt;$B117,DATE($B$1,9,1)&lt;=TODAY(),OR($O117="",$O117&gt;=DATE($B$1,9,1)),OR(COUNTIF($C117:K117,"&gt;0")&gt;0,DATE($B$1,9,1)=DATE(YEAR(TODAY()),MONTH(TODAY()),1))),1,0))</f>
        <v/>
      </c>
      <c r="Y117">
        <f>IF($A117="","",IF(AND($B117&gt;0,L117&lt;$B117,DATE($B$1,10,1)&lt;=TODAY(),OR($O117="",$O117&gt;=DATE($B$1,10,1)),OR(COUNTIF($C117:L117,"&gt;0")&gt;0,DATE($B$1,10,1)=DATE(YEAR(TODAY()),MONTH(TODAY()),1))),1,0))</f>
        <v/>
      </c>
      <c r="Z117">
        <f>IF($A117="","",IF(AND($B117&gt;0,M117&lt;$B117,DATE($B$1,11,1)&lt;=TODAY(),OR($O117="",$O117&gt;=DATE($B$1,11,1)),OR(COUNTIF($C117:M117,"&gt;0")&gt;0,DATE($B$1,11,1)=DATE(YEAR(TODAY()),MONTH(TODAY()),1))),1,0))</f>
        <v/>
      </c>
      <c r="AA117">
        <f>IF($A117="","",IF(AND($B117&gt;0,N117&lt;$B117,DATE($B$1,12,1)&lt;=TODAY(),OR($O117="",$O117&gt;=DATE($B$1,12,1)),OR(COUNTIF($C117:N117,"&gt;0")&gt;0,DATE($B$1,12,1)=DATE(YEAR(TODAY()),MONTH(TODAY()),1))),1,0))</f>
        <v/>
      </c>
    </row>
    <row r="118">
      <c r="A118" s="13">
        <f>IF(원생!$A116="","",원생!$A116&amp;IF(원생!$G116="",""," ("&amp;원생!$G116&amp;")"))</f>
        <v/>
      </c>
      <c r="B118" s="8">
        <f>IF(원생!$A116="","",N(원생!$F116))</f>
        <v/>
      </c>
      <c r="C118" s="14">
        <f>IF(원생!$A116="","",SUMIFS(계산!$C:$C,계산!$A:$A,계산!$E116,계산!$B:$B,$B$1*100+1))</f>
        <v/>
      </c>
      <c r="D118" s="14">
        <f>IF(원생!$A116="","",SUMIFS(계산!$C:$C,계산!$A:$A,계산!$E116,계산!$B:$B,$B$1*100+2))</f>
        <v/>
      </c>
      <c r="E118" s="14">
        <f>IF(원생!$A116="","",SUMIFS(계산!$C:$C,계산!$A:$A,계산!$E116,계산!$B:$B,$B$1*100+3))</f>
        <v/>
      </c>
      <c r="F118" s="14">
        <f>IF(원생!$A116="","",SUMIFS(계산!$C:$C,계산!$A:$A,계산!$E116,계산!$B:$B,$B$1*100+4))</f>
        <v/>
      </c>
      <c r="G118" s="14">
        <f>IF(원생!$A116="","",SUMIFS(계산!$C:$C,계산!$A:$A,계산!$E116,계산!$B:$B,$B$1*100+5))</f>
        <v/>
      </c>
      <c r="H118" s="14">
        <f>IF(원생!$A116="","",SUMIFS(계산!$C:$C,계산!$A:$A,계산!$E116,계산!$B:$B,$B$1*100+6))</f>
        <v/>
      </c>
      <c r="I118" s="14">
        <f>IF(원생!$A116="","",SUMIFS(계산!$C:$C,계산!$A:$A,계산!$E116,계산!$B:$B,$B$1*100+7))</f>
        <v/>
      </c>
      <c r="J118" s="14">
        <f>IF(원생!$A116="","",SUMIFS(계산!$C:$C,계산!$A:$A,계산!$E116,계산!$B:$B,$B$1*100+8))</f>
        <v/>
      </c>
      <c r="K118" s="14">
        <f>IF(원생!$A116="","",SUMIFS(계산!$C:$C,계산!$A:$A,계산!$E116,계산!$B:$B,$B$1*100+9))</f>
        <v/>
      </c>
      <c r="L118" s="14">
        <f>IF(원생!$A116="","",SUMIFS(계산!$C:$C,계산!$A:$A,계산!$E116,계산!$B:$B,$B$1*100+10))</f>
        <v/>
      </c>
      <c r="M118" s="14">
        <f>IF(원생!$A116="","",SUMIFS(계산!$C:$C,계산!$A:$A,계산!$E116,계산!$B:$B,$B$1*100+11))</f>
        <v/>
      </c>
      <c r="N118" s="14">
        <f>IF(원생!$A116="","",SUMIFS(계산!$C:$C,계산!$A:$A,계산!$E116,계산!$B:$B,$B$1*100+12))</f>
        <v/>
      </c>
      <c r="O118">
        <f>IF(원생!$I116="","",원생!$I116)</f>
        <v/>
      </c>
      <c r="P118">
        <f>IF($A118="","",IF(AND($B118&gt;0,C118&lt;$B118,DATE($B$1,1,1)&lt;=TODAY(),OR($O118="",$O118&gt;=DATE($B$1,1,1)),OR(COUNTIF($C118:C118,"&gt;0")&gt;0,DATE($B$1,1,1)=DATE(YEAR(TODAY()),MONTH(TODAY()),1))),1,0))</f>
        <v/>
      </c>
      <c r="Q118">
        <f>IF($A118="","",IF(AND($B118&gt;0,D118&lt;$B118,DATE($B$1,2,1)&lt;=TODAY(),OR($O118="",$O118&gt;=DATE($B$1,2,1)),OR(COUNTIF($C118:D118,"&gt;0")&gt;0,DATE($B$1,2,1)=DATE(YEAR(TODAY()),MONTH(TODAY()),1))),1,0))</f>
        <v/>
      </c>
      <c r="R118">
        <f>IF($A118="","",IF(AND($B118&gt;0,E118&lt;$B118,DATE($B$1,3,1)&lt;=TODAY(),OR($O118="",$O118&gt;=DATE($B$1,3,1)),OR(COUNTIF($C118:E118,"&gt;0")&gt;0,DATE($B$1,3,1)=DATE(YEAR(TODAY()),MONTH(TODAY()),1))),1,0))</f>
        <v/>
      </c>
      <c r="S118">
        <f>IF($A118="","",IF(AND($B118&gt;0,F118&lt;$B118,DATE($B$1,4,1)&lt;=TODAY(),OR($O118="",$O118&gt;=DATE($B$1,4,1)),OR(COUNTIF($C118:F118,"&gt;0")&gt;0,DATE($B$1,4,1)=DATE(YEAR(TODAY()),MONTH(TODAY()),1))),1,0))</f>
        <v/>
      </c>
      <c r="T118">
        <f>IF($A118="","",IF(AND($B118&gt;0,G118&lt;$B118,DATE($B$1,5,1)&lt;=TODAY(),OR($O118="",$O118&gt;=DATE($B$1,5,1)),OR(COUNTIF($C118:G118,"&gt;0")&gt;0,DATE($B$1,5,1)=DATE(YEAR(TODAY()),MONTH(TODAY()),1))),1,0))</f>
        <v/>
      </c>
      <c r="U118">
        <f>IF($A118="","",IF(AND($B118&gt;0,H118&lt;$B118,DATE($B$1,6,1)&lt;=TODAY(),OR($O118="",$O118&gt;=DATE($B$1,6,1)),OR(COUNTIF($C118:H118,"&gt;0")&gt;0,DATE($B$1,6,1)=DATE(YEAR(TODAY()),MONTH(TODAY()),1))),1,0))</f>
        <v/>
      </c>
      <c r="V118">
        <f>IF($A118="","",IF(AND($B118&gt;0,I118&lt;$B118,DATE($B$1,7,1)&lt;=TODAY(),OR($O118="",$O118&gt;=DATE($B$1,7,1)),OR(COUNTIF($C118:I118,"&gt;0")&gt;0,DATE($B$1,7,1)=DATE(YEAR(TODAY()),MONTH(TODAY()),1))),1,0))</f>
        <v/>
      </c>
      <c r="W118">
        <f>IF($A118="","",IF(AND($B118&gt;0,J118&lt;$B118,DATE($B$1,8,1)&lt;=TODAY(),OR($O118="",$O118&gt;=DATE($B$1,8,1)),OR(COUNTIF($C118:J118,"&gt;0")&gt;0,DATE($B$1,8,1)=DATE(YEAR(TODAY()),MONTH(TODAY()),1))),1,0))</f>
        <v/>
      </c>
      <c r="X118">
        <f>IF($A118="","",IF(AND($B118&gt;0,K118&lt;$B118,DATE($B$1,9,1)&lt;=TODAY(),OR($O118="",$O118&gt;=DATE($B$1,9,1)),OR(COUNTIF($C118:K118,"&gt;0")&gt;0,DATE($B$1,9,1)=DATE(YEAR(TODAY()),MONTH(TODAY()),1))),1,0))</f>
        <v/>
      </c>
      <c r="Y118">
        <f>IF($A118="","",IF(AND($B118&gt;0,L118&lt;$B118,DATE($B$1,10,1)&lt;=TODAY(),OR($O118="",$O118&gt;=DATE($B$1,10,1)),OR(COUNTIF($C118:L118,"&gt;0")&gt;0,DATE($B$1,10,1)=DATE(YEAR(TODAY()),MONTH(TODAY()),1))),1,0))</f>
        <v/>
      </c>
      <c r="Z118">
        <f>IF($A118="","",IF(AND($B118&gt;0,M118&lt;$B118,DATE($B$1,11,1)&lt;=TODAY(),OR($O118="",$O118&gt;=DATE($B$1,11,1)),OR(COUNTIF($C118:M118,"&gt;0")&gt;0,DATE($B$1,11,1)=DATE(YEAR(TODAY()),MONTH(TODAY()),1))),1,0))</f>
        <v/>
      </c>
      <c r="AA118">
        <f>IF($A118="","",IF(AND($B118&gt;0,N118&lt;$B118,DATE($B$1,12,1)&lt;=TODAY(),OR($O118="",$O118&gt;=DATE($B$1,12,1)),OR(COUNTIF($C118:N118,"&gt;0")&gt;0,DATE($B$1,12,1)=DATE(YEAR(TODAY()),MONTH(TODAY()),1))),1,0))</f>
        <v/>
      </c>
    </row>
    <row r="119">
      <c r="A119" s="13">
        <f>IF(원생!$A117="","",원생!$A117&amp;IF(원생!$G117="",""," ("&amp;원생!$G117&amp;")"))</f>
        <v/>
      </c>
      <c r="B119" s="8">
        <f>IF(원생!$A117="","",N(원생!$F117))</f>
        <v/>
      </c>
      <c r="C119" s="14">
        <f>IF(원생!$A117="","",SUMIFS(계산!$C:$C,계산!$A:$A,계산!$E117,계산!$B:$B,$B$1*100+1))</f>
        <v/>
      </c>
      <c r="D119" s="14">
        <f>IF(원생!$A117="","",SUMIFS(계산!$C:$C,계산!$A:$A,계산!$E117,계산!$B:$B,$B$1*100+2))</f>
        <v/>
      </c>
      <c r="E119" s="14">
        <f>IF(원생!$A117="","",SUMIFS(계산!$C:$C,계산!$A:$A,계산!$E117,계산!$B:$B,$B$1*100+3))</f>
        <v/>
      </c>
      <c r="F119" s="14">
        <f>IF(원생!$A117="","",SUMIFS(계산!$C:$C,계산!$A:$A,계산!$E117,계산!$B:$B,$B$1*100+4))</f>
        <v/>
      </c>
      <c r="G119" s="14">
        <f>IF(원생!$A117="","",SUMIFS(계산!$C:$C,계산!$A:$A,계산!$E117,계산!$B:$B,$B$1*100+5))</f>
        <v/>
      </c>
      <c r="H119" s="14">
        <f>IF(원생!$A117="","",SUMIFS(계산!$C:$C,계산!$A:$A,계산!$E117,계산!$B:$B,$B$1*100+6))</f>
        <v/>
      </c>
      <c r="I119" s="14">
        <f>IF(원생!$A117="","",SUMIFS(계산!$C:$C,계산!$A:$A,계산!$E117,계산!$B:$B,$B$1*100+7))</f>
        <v/>
      </c>
      <c r="J119" s="14">
        <f>IF(원생!$A117="","",SUMIFS(계산!$C:$C,계산!$A:$A,계산!$E117,계산!$B:$B,$B$1*100+8))</f>
        <v/>
      </c>
      <c r="K119" s="14">
        <f>IF(원생!$A117="","",SUMIFS(계산!$C:$C,계산!$A:$A,계산!$E117,계산!$B:$B,$B$1*100+9))</f>
        <v/>
      </c>
      <c r="L119" s="14">
        <f>IF(원생!$A117="","",SUMIFS(계산!$C:$C,계산!$A:$A,계산!$E117,계산!$B:$B,$B$1*100+10))</f>
        <v/>
      </c>
      <c r="M119" s="14">
        <f>IF(원생!$A117="","",SUMIFS(계산!$C:$C,계산!$A:$A,계산!$E117,계산!$B:$B,$B$1*100+11))</f>
        <v/>
      </c>
      <c r="N119" s="14">
        <f>IF(원생!$A117="","",SUMIFS(계산!$C:$C,계산!$A:$A,계산!$E117,계산!$B:$B,$B$1*100+12))</f>
        <v/>
      </c>
      <c r="O119">
        <f>IF(원생!$I117="","",원생!$I117)</f>
        <v/>
      </c>
      <c r="P119">
        <f>IF($A119="","",IF(AND($B119&gt;0,C119&lt;$B119,DATE($B$1,1,1)&lt;=TODAY(),OR($O119="",$O119&gt;=DATE($B$1,1,1)),OR(COUNTIF($C119:C119,"&gt;0")&gt;0,DATE($B$1,1,1)=DATE(YEAR(TODAY()),MONTH(TODAY()),1))),1,0))</f>
        <v/>
      </c>
      <c r="Q119">
        <f>IF($A119="","",IF(AND($B119&gt;0,D119&lt;$B119,DATE($B$1,2,1)&lt;=TODAY(),OR($O119="",$O119&gt;=DATE($B$1,2,1)),OR(COUNTIF($C119:D119,"&gt;0")&gt;0,DATE($B$1,2,1)=DATE(YEAR(TODAY()),MONTH(TODAY()),1))),1,0))</f>
        <v/>
      </c>
      <c r="R119">
        <f>IF($A119="","",IF(AND($B119&gt;0,E119&lt;$B119,DATE($B$1,3,1)&lt;=TODAY(),OR($O119="",$O119&gt;=DATE($B$1,3,1)),OR(COUNTIF($C119:E119,"&gt;0")&gt;0,DATE($B$1,3,1)=DATE(YEAR(TODAY()),MONTH(TODAY()),1))),1,0))</f>
        <v/>
      </c>
      <c r="S119">
        <f>IF($A119="","",IF(AND($B119&gt;0,F119&lt;$B119,DATE($B$1,4,1)&lt;=TODAY(),OR($O119="",$O119&gt;=DATE($B$1,4,1)),OR(COUNTIF($C119:F119,"&gt;0")&gt;0,DATE($B$1,4,1)=DATE(YEAR(TODAY()),MONTH(TODAY()),1))),1,0))</f>
        <v/>
      </c>
      <c r="T119">
        <f>IF($A119="","",IF(AND($B119&gt;0,G119&lt;$B119,DATE($B$1,5,1)&lt;=TODAY(),OR($O119="",$O119&gt;=DATE($B$1,5,1)),OR(COUNTIF($C119:G119,"&gt;0")&gt;0,DATE($B$1,5,1)=DATE(YEAR(TODAY()),MONTH(TODAY()),1))),1,0))</f>
        <v/>
      </c>
      <c r="U119">
        <f>IF($A119="","",IF(AND($B119&gt;0,H119&lt;$B119,DATE($B$1,6,1)&lt;=TODAY(),OR($O119="",$O119&gt;=DATE($B$1,6,1)),OR(COUNTIF($C119:H119,"&gt;0")&gt;0,DATE($B$1,6,1)=DATE(YEAR(TODAY()),MONTH(TODAY()),1))),1,0))</f>
        <v/>
      </c>
      <c r="V119">
        <f>IF($A119="","",IF(AND($B119&gt;0,I119&lt;$B119,DATE($B$1,7,1)&lt;=TODAY(),OR($O119="",$O119&gt;=DATE($B$1,7,1)),OR(COUNTIF($C119:I119,"&gt;0")&gt;0,DATE($B$1,7,1)=DATE(YEAR(TODAY()),MONTH(TODAY()),1))),1,0))</f>
        <v/>
      </c>
      <c r="W119">
        <f>IF($A119="","",IF(AND($B119&gt;0,J119&lt;$B119,DATE($B$1,8,1)&lt;=TODAY(),OR($O119="",$O119&gt;=DATE($B$1,8,1)),OR(COUNTIF($C119:J119,"&gt;0")&gt;0,DATE($B$1,8,1)=DATE(YEAR(TODAY()),MONTH(TODAY()),1))),1,0))</f>
        <v/>
      </c>
      <c r="X119">
        <f>IF($A119="","",IF(AND($B119&gt;0,K119&lt;$B119,DATE($B$1,9,1)&lt;=TODAY(),OR($O119="",$O119&gt;=DATE($B$1,9,1)),OR(COUNTIF($C119:K119,"&gt;0")&gt;0,DATE($B$1,9,1)=DATE(YEAR(TODAY()),MONTH(TODAY()),1))),1,0))</f>
        <v/>
      </c>
      <c r="Y119">
        <f>IF($A119="","",IF(AND($B119&gt;0,L119&lt;$B119,DATE($B$1,10,1)&lt;=TODAY(),OR($O119="",$O119&gt;=DATE($B$1,10,1)),OR(COUNTIF($C119:L119,"&gt;0")&gt;0,DATE($B$1,10,1)=DATE(YEAR(TODAY()),MONTH(TODAY()),1))),1,0))</f>
        <v/>
      </c>
      <c r="Z119">
        <f>IF($A119="","",IF(AND($B119&gt;0,M119&lt;$B119,DATE($B$1,11,1)&lt;=TODAY(),OR($O119="",$O119&gt;=DATE($B$1,11,1)),OR(COUNTIF($C119:M119,"&gt;0")&gt;0,DATE($B$1,11,1)=DATE(YEAR(TODAY()),MONTH(TODAY()),1))),1,0))</f>
        <v/>
      </c>
      <c r="AA119">
        <f>IF($A119="","",IF(AND($B119&gt;0,N119&lt;$B119,DATE($B$1,12,1)&lt;=TODAY(),OR($O119="",$O119&gt;=DATE($B$1,12,1)),OR(COUNTIF($C119:N119,"&gt;0")&gt;0,DATE($B$1,12,1)=DATE(YEAR(TODAY()),MONTH(TODAY()),1))),1,0))</f>
        <v/>
      </c>
    </row>
    <row r="120">
      <c r="A120" s="13">
        <f>IF(원생!$A118="","",원생!$A118&amp;IF(원생!$G118="",""," ("&amp;원생!$G118&amp;")"))</f>
        <v/>
      </c>
      <c r="B120" s="8">
        <f>IF(원생!$A118="","",N(원생!$F118))</f>
        <v/>
      </c>
      <c r="C120" s="14">
        <f>IF(원생!$A118="","",SUMIFS(계산!$C:$C,계산!$A:$A,계산!$E118,계산!$B:$B,$B$1*100+1))</f>
        <v/>
      </c>
      <c r="D120" s="14">
        <f>IF(원생!$A118="","",SUMIFS(계산!$C:$C,계산!$A:$A,계산!$E118,계산!$B:$B,$B$1*100+2))</f>
        <v/>
      </c>
      <c r="E120" s="14">
        <f>IF(원생!$A118="","",SUMIFS(계산!$C:$C,계산!$A:$A,계산!$E118,계산!$B:$B,$B$1*100+3))</f>
        <v/>
      </c>
      <c r="F120" s="14">
        <f>IF(원생!$A118="","",SUMIFS(계산!$C:$C,계산!$A:$A,계산!$E118,계산!$B:$B,$B$1*100+4))</f>
        <v/>
      </c>
      <c r="G120" s="14">
        <f>IF(원생!$A118="","",SUMIFS(계산!$C:$C,계산!$A:$A,계산!$E118,계산!$B:$B,$B$1*100+5))</f>
        <v/>
      </c>
      <c r="H120" s="14">
        <f>IF(원생!$A118="","",SUMIFS(계산!$C:$C,계산!$A:$A,계산!$E118,계산!$B:$B,$B$1*100+6))</f>
        <v/>
      </c>
      <c r="I120" s="14">
        <f>IF(원생!$A118="","",SUMIFS(계산!$C:$C,계산!$A:$A,계산!$E118,계산!$B:$B,$B$1*100+7))</f>
        <v/>
      </c>
      <c r="J120" s="14">
        <f>IF(원생!$A118="","",SUMIFS(계산!$C:$C,계산!$A:$A,계산!$E118,계산!$B:$B,$B$1*100+8))</f>
        <v/>
      </c>
      <c r="K120" s="14">
        <f>IF(원생!$A118="","",SUMIFS(계산!$C:$C,계산!$A:$A,계산!$E118,계산!$B:$B,$B$1*100+9))</f>
        <v/>
      </c>
      <c r="L120" s="14">
        <f>IF(원생!$A118="","",SUMIFS(계산!$C:$C,계산!$A:$A,계산!$E118,계산!$B:$B,$B$1*100+10))</f>
        <v/>
      </c>
      <c r="M120" s="14">
        <f>IF(원생!$A118="","",SUMIFS(계산!$C:$C,계산!$A:$A,계산!$E118,계산!$B:$B,$B$1*100+11))</f>
        <v/>
      </c>
      <c r="N120" s="14">
        <f>IF(원생!$A118="","",SUMIFS(계산!$C:$C,계산!$A:$A,계산!$E118,계산!$B:$B,$B$1*100+12))</f>
        <v/>
      </c>
      <c r="O120">
        <f>IF(원생!$I118="","",원생!$I118)</f>
        <v/>
      </c>
      <c r="P120">
        <f>IF($A120="","",IF(AND($B120&gt;0,C120&lt;$B120,DATE($B$1,1,1)&lt;=TODAY(),OR($O120="",$O120&gt;=DATE($B$1,1,1)),OR(COUNTIF($C120:C120,"&gt;0")&gt;0,DATE($B$1,1,1)=DATE(YEAR(TODAY()),MONTH(TODAY()),1))),1,0))</f>
        <v/>
      </c>
      <c r="Q120">
        <f>IF($A120="","",IF(AND($B120&gt;0,D120&lt;$B120,DATE($B$1,2,1)&lt;=TODAY(),OR($O120="",$O120&gt;=DATE($B$1,2,1)),OR(COUNTIF($C120:D120,"&gt;0")&gt;0,DATE($B$1,2,1)=DATE(YEAR(TODAY()),MONTH(TODAY()),1))),1,0))</f>
        <v/>
      </c>
      <c r="R120">
        <f>IF($A120="","",IF(AND($B120&gt;0,E120&lt;$B120,DATE($B$1,3,1)&lt;=TODAY(),OR($O120="",$O120&gt;=DATE($B$1,3,1)),OR(COUNTIF($C120:E120,"&gt;0")&gt;0,DATE($B$1,3,1)=DATE(YEAR(TODAY()),MONTH(TODAY()),1))),1,0))</f>
        <v/>
      </c>
      <c r="S120">
        <f>IF($A120="","",IF(AND($B120&gt;0,F120&lt;$B120,DATE($B$1,4,1)&lt;=TODAY(),OR($O120="",$O120&gt;=DATE($B$1,4,1)),OR(COUNTIF($C120:F120,"&gt;0")&gt;0,DATE($B$1,4,1)=DATE(YEAR(TODAY()),MONTH(TODAY()),1))),1,0))</f>
        <v/>
      </c>
      <c r="T120">
        <f>IF($A120="","",IF(AND($B120&gt;0,G120&lt;$B120,DATE($B$1,5,1)&lt;=TODAY(),OR($O120="",$O120&gt;=DATE($B$1,5,1)),OR(COUNTIF($C120:G120,"&gt;0")&gt;0,DATE($B$1,5,1)=DATE(YEAR(TODAY()),MONTH(TODAY()),1))),1,0))</f>
        <v/>
      </c>
      <c r="U120">
        <f>IF($A120="","",IF(AND($B120&gt;0,H120&lt;$B120,DATE($B$1,6,1)&lt;=TODAY(),OR($O120="",$O120&gt;=DATE($B$1,6,1)),OR(COUNTIF($C120:H120,"&gt;0")&gt;0,DATE($B$1,6,1)=DATE(YEAR(TODAY()),MONTH(TODAY()),1))),1,0))</f>
        <v/>
      </c>
      <c r="V120">
        <f>IF($A120="","",IF(AND($B120&gt;0,I120&lt;$B120,DATE($B$1,7,1)&lt;=TODAY(),OR($O120="",$O120&gt;=DATE($B$1,7,1)),OR(COUNTIF($C120:I120,"&gt;0")&gt;0,DATE($B$1,7,1)=DATE(YEAR(TODAY()),MONTH(TODAY()),1))),1,0))</f>
        <v/>
      </c>
      <c r="W120">
        <f>IF($A120="","",IF(AND($B120&gt;0,J120&lt;$B120,DATE($B$1,8,1)&lt;=TODAY(),OR($O120="",$O120&gt;=DATE($B$1,8,1)),OR(COUNTIF($C120:J120,"&gt;0")&gt;0,DATE($B$1,8,1)=DATE(YEAR(TODAY()),MONTH(TODAY()),1))),1,0))</f>
        <v/>
      </c>
      <c r="X120">
        <f>IF($A120="","",IF(AND($B120&gt;0,K120&lt;$B120,DATE($B$1,9,1)&lt;=TODAY(),OR($O120="",$O120&gt;=DATE($B$1,9,1)),OR(COUNTIF($C120:K120,"&gt;0")&gt;0,DATE($B$1,9,1)=DATE(YEAR(TODAY()),MONTH(TODAY()),1))),1,0))</f>
        <v/>
      </c>
      <c r="Y120">
        <f>IF($A120="","",IF(AND($B120&gt;0,L120&lt;$B120,DATE($B$1,10,1)&lt;=TODAY(),OR($O120="",$O120&gt;=DATE($B$1,10,1)),OR(COUNTIF($C120:L120,"&gt;0")&gt;0,DATE($B$1,10,1)=DATE(YEAR(TODAY()),MONTH(TODAY()),1))),1,0))</f>
        <v/>
      </c>
      <c r="Z120">
        <f>IF($A120="","",IF(AND($B120&gt;0,M120&lt;$B120,DATE($B$1,11,1)&lt;=TODAY(),OR($O120="",$O120&gt;=DATE($B$1,11,1)),OR(COUNTIF($C120:M120,"&gt;0")&gt;0,DATE($B$1,11,1)=DATE(YEAR(TODAY()),MONTH(TODAY()),1))),1,0))</f>
        <v/>
      </c>
      <c r="AA120">
        <f>IF($A120="","",IF(AND($B120&gt;0,N120&lt;$B120,DATE($B$1,12,1)&lt;=TODAY(),OR($O120="",$O120&gt;=DATE($B$1,12,1)),OR(COUNTIF($C120:N120,"&gt;0")&gt;0,DATE($B$1,12,1)=DATE(YEAR(TODAY()),MONTH(TODAY()),1))),1,0))</f>
        <v/>
      </c>
    </row>
    <row r="121">
      <c r="A121" s="13">
        <f>IF(원생!$A119="","",원생!$A119&amp;IF(원생!$G119="",""," ("&amp;원생!$G119&amp;")"))</f>
        <v/>
      </c>
      <c r="B121" s="8">
        <f>IF(원생!$A119="","",N(원생!$F119))</f>
        <v/>
      </c>
      <c r="C121" s="14">
        <f>IF(원생!$A119="","",SUMIFS(계산!$C:$C,계산!$A:$A,계산!$E119,계산!$B:$B,$B$1*100+1))</f>
        <v/>
      </c>
      <c r="D121" s="14">
        <f>IF(원생!$A119="","",SUMIFS(계산!$C:$C,계산!$A:$A,계산!$E119,계산!$B:$B,$B$1*100+2))</f>
        <v/>
      </c>
      <c r="E121" s="14">
        <f>IF(원생!$A119="","",SUMIFS(계산!$C:$C,계산!$A:$A,계산!$E119,계산!$B:$B,$B$1*100+3))</f>
        <v/>
      </c>
      <c r="F121" s="14">
        <f>IF(원생!$A119="","",SUMIFS(계산!$C:$C,계산!$A:$A,계산!$E119,계산!$B:$B,$B$1*100+4))</f>
        <v/>
      </c>
      <c r="G121" s="14">
        <f>IF(원생!$A119="","",SUMIFS(계산!$C:$C,계산!$A:$A,계산!$E119,계산!$B:$B,$B$1*100+5))</f>
        <v/>
      </c>
      <c r="H121" s="14">
        <f>IF(원생!$A119="","",SUMIFS(계산!$C:$C,계산!$A:$A,계산!$E119,계산!$B:$B,$B$1*100+6))</f>
        <v/>
      </c>
      <c r="I121" s="14">
        <f>IF(원생!$A119="","",SUMIFS(계산!$C:$C,계산!$A:$A,계산!$E119,계산!$B:$B,$B$1*100+7))</f>
        <v/>
      </c>
      <c r="J121" s="14">
        <f>IF(원생!$A119="","",SUMIFS(계산!$C:$C,계산!$A:$A,계산!$E119,계산!$B:$B,$B$1*100+8))</f>
        <v/>
      </c>
      <c r="K121" s="14">
        <f>IF(원생!$A119="","",SUMIFS(계산!$C:$C,계산!$A:$A,계산!$E119,계산!$B:$B,$B$1*100+9))</f>
        <v/>
      </c>
      <c r="L121" s="14">
        <f>IF(원생!$A119="","",SUMIFS(계산!$C:$C,계산!$A:$A,계산!$E119,계산!$B:$B,$B$1*100+10))</f>
        <v/>
      </c>
      <c r="M121" s="14">
        <f>IF(원생!$A119="","",SUMIFS(계산!$C:$C,계산!$A:$A,계산!$E119,계산!$B:$B,$B$1*100+11))</f>
        <v/>
      </c>
      <c r="N121" s="14">
        <f>IF(원생!$A119="","",SUMIFS(계산!$C:$C,계산!$A:$A,계산!$E119,계산!$B:$B,$B$1*100+12))</f>
        <v/>
      </c>
      <c r="O121">
        <f>IF(원생!$I119="","",원생!$I119)</f>
        <v/>
      </c>
      <c r="P121">
        <f>IF($A121="","",IF(AND($B121&gt;0,C121&lt;$B121,DATE($B$1,1,1)&lt;=TODAY(),OR($O121="",$O121&gt;=DATE($B$1,1,1)),OR(COUNTIF($C121:C121,"&gt;0")&gt;0,DATE($B$1,1,1)=DATE(YEAR(TODAY()),MONTH(TODAY()),1))),1,0))</f>
        <v/>
      </c>
      <c r="Q121">
        <f>IF($A121="","",IF(AND($B121&gt;0,D121&lt;$B121,DATE($B$1,2,1)&lt;=TODAY(),OR($O121="",$O121&gt;=DATE($B$1,2,1)),OR(COUNTIF($C121:D121,"&gt;0")&gt;0,DATE($B$1,2,1)=DATE(YEAR(TODAY()),MONTH(TODAY()),1))),1,0))</f>
        <v/>
      </c>
      <c r="R121">
        <f>IF($A121="","",IF(AND($B121&gt;0,E121&lt;$B121,DATE($B$1,3,1)&lt;=TODAY(),OR($O121="",$O121&gt;=DATE($B$1,3,1)),OR(COUNTIF($C121:E121,"&gt;0")&gt;0,DATE($B$1,3,1)=DATE(YEAR(TODAY()),MONTH(TODAY()),1))),1,0))</f>
        <v/>
      </c>
      <c r="S121">
        <f>IF($A121="","",IF(AND($B121&gt;0,F121&lt;$B121,DATE($B$1,4,1)&lt;=TODAY(),OR($O121="",$O121&gt;=DATE($B$1,4,1)),OR(COUNTIF($C121:F121,"&gt;0")&gt;0,DATE($B$1,4,1)=DATE(YEAR(TODAY()),MONTH(TODAY()),1))),1,0))</f>
        <v/>
      </c>
      <c r="T121">
        <f>IF($A121="","",IF(AND($B121&gt;0,G121&lt;$B121,DATE($B$1,5,1)&lt;=TODAY(),OR($O121="",$O121&gt;=DATE($B$1,5,1)),OR(COUNTIF($C121:G121,"&gt;0")&gt;0,DATE($B$1,5,1)=DATE(YEAR(TODAY()),MONTH(TODAY()),1))),1,0))</f>
        <v/>
      </c>
      <c r="U121">
        <f>IF($A121="","",IF(AND($B121&gt;0,H121&lt;$B121,DATE($B$1,6,1)&lt;=TODAY(),OR($O121="",$O121&gt;=DATE($B$1,6,1)),OR(COUNTIF($C121:H121,"&gt;0")&gt;0,DATE($B$1,6,1)=DATE(YEAR(TODAY()),MONTH(TODAY()),1))),1,0))</f>
        <v/>
      </c>
      <c r="V121">
        <f>IF($A121="","",IF(AND($B121&gt;0,I121&lt;$B121,DATE($B$1,7,1)&lt;=TODAY(),OR($O121="",$O121&gt;=DATE($B$1,7,1)),OR(COUNTIF($C121:I121,"&gt;0")&gt;0,DATE($B$1,7,1)=DATE(YEAR(TODAY()),MONTH(TODAY()),1))),1,0))</f>
        <v/>
      </c>
      <c r="W121">
        <f>IF($A121="","",IF(AND($B121&gt;0,J121&lt;$B121,DATE($B$1,8,1)&lt;=TODAY(),OR($O121="",$O121&gt;=DATE($B$1,8,1)),OR(COUNTIF($C121:J121,"&gt;0")&gt;0,DATE($B$1,8,1)=DATE(YEAR(TODAY()),MONTH(TODAY()),1))),1,0))</f>
        <v/>
      </c>
      <c r="X121">
        <f>IF($A121="","",IF(AND($B121&gt;0,K121&lt;$B121,DATE($B$1,9,1)&lt;=TODAY(),OR($O121="",$O121&gt;=DATE($B$1,9,1)),OR(COUNTIF($C121:K121,"&gt;0")&gt;0,DATE($B$1,9,1)=DATE(YEAR(TODAY()),MONTH(TODAY()),1))),1,0))</f>
        <v/>
      </c>
      <c r="Y121">
        <f>IF($A121="","",IF(AND($B121&gt;0,L121&lt;$B121,DATE($B$1,10,1)&lt;=TODAY(),OR($O121="",$O121&gt;=DATE($B$1,10,1)),OR(COUNTIF($C121:L121,"&gt;0")&gt;0,DATE($B$1,10,1)=DATE(YEAR(TODAY()),MONTH(TODAY()),1))),1,0))</f>
        <v/>
      </c>
      <c r="Z121">
        <f>IF($A121="","",IF(AND($B121&gt;0,M121&lt;$B121,DATE($B$1,11,1)&lt;=TODAY(),OR($O121="",$O121&gt;=DATE($B$1,11,1)),OR(COUNTIF($C121:M121,"&gt;0")&gt;0,DATE($B$1,11,1)=DATE(YEAR(TODAY()),MONTH(TODAY()),1))),1,0))</f>
        <v/>
      </c>
      <c r="AA121">
        <f>IF($A121="","",IF(AND($B121&gt;0,N121&lt;$B121,DATE($B$1,12,1)&lt;=TODAY(),OR($O121="",$O121&gt;=DATE($B$1,12,1)),OR(COUNTIF($C121:N121,"&gt;0")&gt;0,DATE($B$1,12,1)=DATE(YEAR(TODAY()),MONTH(TODAY()),1))),1,0))</f>
        <v/>
      </c>
    </row>
    <row r="122">
      <c r="A122" s="13">
        <f>IF(원생!$A120="","",원생!$A120&amp;IF(원생!$G120="",""," ("&amp;원생!$G120&amp;")"))</f>
        <v/>
      </c>
      <c r="B122" s="8">
        <f>IF(원생!$A120="","",N(원생!$F120))</f>
        <v/>
      </c>
      <c r="C122" s="14">
        <f>IF(원생!$A120="","",SUMIFS(계산!$C:$C,계산!$A:$A,계산!$E120,계산!$B:$B,$B$1*100+1))</f>
        <v/>
      </c>
      <c r="D122" s="14">
        <f>IF(원생!$A120="","",SUMIFS(계산!$C:$C,계산!$A:$A,계산!$E120,계산!$B:$B,$B$1*100+2))</f>
        <v/>
      </c>
      <c r="E122" s="14">
        <f>IF(원생!$A120="","",SUMIFS(계산!$C:$C,계산!$A:$A,계산!$E120,계산!$B:$B,$B$1*100+3))</f>
        <v/>
      </c>
      <c r="F122" s="14">
        <f>IF(원생!$A120="","",SUMIFS(계산!$C:$C,계산!$A:$A,계산!$E120,계산!$B:$B,$B$1*100+4))</f>
        <v/>
      </c>
      <c r="G122" s="14">
        <f>IF(원생!$A120="","",SUMIFS(계산!$C:$C,계산!$A:$A,계산!$E120,계산!$B:$B,$B$1*100+5))</f>
        <v/>
      </c>
      <c r="H122" s="14">
        <f>IF(원생!$A120="","",SUMIFS(계산!$C:$C,계산!$A:$A,계산!$E120,계산!$B:$B,$B$1*100+6))</f>
        <v/>
      </c>
      <c r="I122" s="14">
        <f>IF(원생!$A120="","",SUMIFS(계산!$C:$C,계산!$A:$A,계산!$E120,계산!$B:$B,$B$1*100+7))</f>
        <v/>
      </c>
      <c r="J122" s="14">
        <f>IF(원생!$A120="","",SUMIFS(계산!$C:$C,계산!$A:$A,계산!$E120,계산!$B:$B,$B$1*100+8))</f>
        <v/>
      </c>
      <c r="K122" s="14">
        <f>IF(원생!$A120="","",SUMIFS(계산!$C:$C,계산!$A:$A,계산!$E120,계산!$B:$B,$B$1*100+9))</f>
        <v/>
      </c>
      <c r="L122" s="14">
        <f>IF(원생!$A120="","",SUMIFS(계산!$C:$C,계산!$A:$A,계산!$E120,계산!$B:$B,$B$1*100+10))</f>
        <v/>
      </c>
      <c r="M122" s="14">
        <f>IF(원생!$A120="","",SUMIFS(계산!$C:$C,계산!$A:$A,계산!$E120,계산!$B:$B,$B$1*100+11))</f>
        <v/>
      </c>
      <c r="N122" s="14">
        <f>IF(원생!$A120="","",SUMIFS(계산!$C:$C,계산!$A:$A,계산!$E120,계산!$B:$B,$B$1*100+12))</f>
        <v/>
      </c>
      <c r="O122">
        <f>IF(원생!$I120="","",원생!$I120)</f>
        <v/>
      </c>
      <c r="P122">
        <f>IF($A122="","",IF(AND($B122&gt;0,C122&lt;$B122,DATE($B$1,1,1)&lt;=TODAY(),OR($O122="",$O122&gt;=DATE($B$1,1,1)),OR(COUNTIF($C122:C122,"&gt;0")&gt;0,DATE($B$1,1,1)=DATE(YEAR(TODAY()),MONTH(TODAY()),1))),1,0))</f>
        <v/>
      </c>
      <c r="Q122">
        <f>IF($A122="","",IF(AND($B122&gt;0,D122&lt;$B122,DATE($B$1,2,1)&lt;=TODAY(),OR($O122="",$O122&gt;=DATE($B$1,2,1)),OR(COUNTIF($C122:D122,"&gt;0")&gt;0,DATE($B$1,2,1)=DATE(YEAR(TODAY()),MONTH(TODAY()),1))),1,0))</f>
        <v/>
      </c>
      <c r="R122">
        <f>IF($A122="","",IF(AND($B122&gt;0,E122&lt;$B122,DATE($B$1,3,1)&lt;=TODAY(),OR($O122="",$O122&gt;=DATE($B$1,3,1)),OR(COUNTIF($C122:E122,"&gt;0")&gt;0,DATE($B$1,3,1)=DATE(YEAR(TODAY()),MONTH(TODAY()),1))),1,0))</f>
        <v/>
      </c>
      <c r="S122">
        <f>IF($A122="","",IF(AND($B122&gt;0,F122&lt;$B122,DATE($B$1,4,1)&lt;=TODAY(),OR($O122="",$O122&gt;=DATE($B$1,4,1)),OR(COUNTIF($C122:F122,"&gt;0")&gt;0,DATE($B$1,4,1)=DATE(YEAR(TODAY()),MONTH(TODAY()),1))),1,0))</f>
        <v/>
      </c>
      <c r="T122">
        <f>IF($A122="","",IF(AND($B122&gt;0,G122&lt;$B122,DATE($B$1,5,1)&lt;=TODAY(),OR($O122="",$O122&gt;=DATE($B$1,5,1)),OR(COUNTIF($C122:G122,"&gt;0")&gt;0,DATE($B$1,5,1)=DATE(YEAR(TODAY()),MONTH(TODAY()),1))),1,0))</f>
        <v/>
      </c>
      <c r="U122">
        <f>IF($A122="","",IF(AND($B122&gt;0,H122&lt;$B122,DATE($B$1,6,1)&lt;=TODAY(),OR($O122="",$O122&gt;=DATE($B$1,6,1)),OR(COUNTIF($C122:H122,"&gt;0")&gt;0,DATE($B$1,6,1)=DATE(YEAR(TODAY()),MONTH(TODAY()),1))),1,0))</f>
        <v/>
      </c>
      <c r="V122">
        <f>IF($A122="","",IF(AND($B122&gt;0,I122&lt;$B122,DATE($B$1,7,1)&lt;=TODAY(),OR($O122="",$O122&gt;=DATE($B$1,7,1)),OR(COUNTIF($C122:I122,"&gt;0")&gt;0,DATE($B$1,7,1)=DATE(YEAR(TODAY()),MONTH(TODAY()),1))),1,0))</f>
        <v/>
      </c>
      <c r="W122">
        <f>IF($A122="","",IF(AND($B122&gt;0,J122&lt;$B122,DATE($B$1,8,1)&lt;=TODAY(),OR($O122="",$O122&gt;=DATE($B$1,8,1)),OR(COUNTIF($C122:J122,"&gt;0")&gt;0,DATE($B$1,8,1)=DATE(YEAR(TODAY()),MONTH(TODAY()),1))),1,0))</f>
        <v/>
      </c>
      <c r="X122">
        <f>IF($A122="","",IF(AND($B122&gt;0,K122&lt;$B122,DATE($B$1,9,1)&lt;=TODAY(),OR($O122="",$O122&gt;=DATE($B$1,9,1)),OR(COUNTIF($C122:K122,"&gt;0")&gt;0,DATE($B$1,9,1)=DATE(YEAR(TODAY()),MONTH(TODAY()),1))),1,0))</f>
        <v/>
      </c>
      <c r="Y122">
        <f>IF($A122="","",IF(AND($B122&gt;0,L122&lt;$B122,DATE($B$1,10,1)&lt;=TODAY(),OR($O122="",$O122&gt;=DATE($B$1,10,1)),OR(COUNTIF($C122:L122,"&gt;0")&gt;0,DATE($B$1,10,1)=DATE(YEAR(TODAY()),MONTH(TODAY()),1))),1,0))</f>
        <v/>
      </c>
      <c r="Z122">
        <f>IF($A122="","",IF(AND($B122&gt;0,M122&lt;$B122,DATE($B$1,11,1)&lt;=TODAY(),OR($O122="",$O122&gt;=DATE($B$1,11,1)),OR(COUNTIF($C122:M122,"&gt;0")&gt;0,DATE($B$1,11,1)=DATE(YEAR(TODAY()),MONTH(TODAY()),1))),1,0))</f>
        <v/>
      </c>
      <c r="AA122">
        <f>IF($A122="","",IF(AND($B122&gt;0,N122&lt;$B122,DATE($B$1,12,1)&lt;=TODAY(),OR($O122="",$O122&gt;=DATE($B$1,12,1)),OR(COUNTIF($C122:N122,"&gt;0")&gt;0,DATE($B$1,12,1)=DATE(YEAR(TODAY()),MONTH(TODAY()),1))),1,0))</f>
        <v/>
      </c>
    </row>
    <row r="123">
      <c r="A123" s="13">
        <f>IF(원생!$A121="","",원생!$A121&amp;IF(원생!$G121="",""," ("&amp;원생!$G121&amp;")"))</f>
        <v/>
      </c>
      <c r="B123" s="8">
        <f>IF(원생!$A121="","",N(원생!$F121))</f>
        <v/>
      </c>
      <c r="C123" s="14">
        <f>IF(원생!$A121="","",SUMIFS(계산!$C:$C,계산!$A:$A,계산!$E121,계산!$B:$B,$B$1*100+1))</f>
        <v/>
      </c>
      <c r="D123" s="14">
        <f>IF(원생!$A121="","",SUMIFS(계산!$C:$C,계산!$A:$A,계산!$E121,계산!$B:$B,$B$1*100+2))</f>
        <v/>
      </c>
      <c r="E123" s="14">
        <f>IF(원생!$A121="","",SUMIFS(계산!$C:$C,계산!$A:$A,계산!$E121,계산!$B:$B,$B$1*100+3))</f>
        <v/>
      </c>
      <c r="F123" s="14">
        <f>IF(원생!$A121="","",SUMIFS(계산!$C:$C,계산!$A:$A,계산!$E121,계산!$B:$B,$B$1*100+4))</f>
        <v/>
      </c>
      <c r="G123" s="14">
        <f>IF(원생!$A121="","",SUMIFS(계산!$C:$C,계산!$A:$A,계산!$E121,계산!$B:$B,$B$1*100+5))</f>
        <v/>
      </c>
      <c r="H123" s="14">
        <f>IF(원생!$A121="","",SUMIFS(계산!$C:$C,계산!$A:$A,계산!$E121,계산!$B:$B,$B$1*100+6))</f>
        <v/>
      </c>
      <c r="I123" s="14">
        <f>IF(원생!$A121="","",SUMIFS(계산!$C:$C,계산!$A:$A,계산!$E121,계산!$B:$B,$B$1*100+7))</f>
        <v/>
      </c>
      <c r="J123" s="14">
        <f>IF(원생!$A121="","",SUMIFS(계산!$C:$C,계산!$A:$A,계산!$E121,계산!$B:$B,$B$1*100+8))</f>
        <v/>
      </c>
      <c r="K123" s="14">
        <f>IF(원생!$A121="","",SUMIFS(계산!$C:$C,계산!$A:$A,계산!$E121,계산!$B:$B,$B$1*100+9))</f>
        <v/>
      </c>
      <c r="L123" s="14">
        <f>IF(원생!$A121="","",SUMIFS(계산!$C:$C,계산!$A:$A,계산!$E121,계산!$B:$B,$B$1*100+10))</f>
        <v/>
      </c>
      <c r="M123" s="14">
        <f>IF(원생!$A121="","",SUMIFS(계산!$C:$C,계산!$A:$A,계산!$E121,계산!$B:$B,$B$1*100+11))</f>
        <v/>
      </c>
      <c r="N123" s="14">
        <f>IF(원생!$A121="","",SUMIFS(계산!$C:$C,계산!$A:$A,계산!$E121,계산!$B:$B,$B$1*100+12))</f>
        <v/>
      </c>
      <c r="O123">
        <f>IF(원생!$I121="","",원생!$I121)</f>
        <v/>
      </c>
      <c r="P123">
        <f>IF($A123="","",IF(AND($B123&gt;0,C123&lt;$B123,DATE($B$1,1,1)&lt;=TODAY(),OR($O123="",$O123&gt;=DATE($B$1,1,1)),OR(COUNTIF($C123:C123,"&gt;0")&gt;0,DATE($B$1,1,1)=DATE(YEAR(TODAY()),MONTH(TODAY()),1))),1,0))</f>
        <v/>
      </c>
      <c r="Q123">
        <f>IF($A123="","",IF(AND($B123&gt;0,D123&lt;$B123,DATE($B$1,2,1)&lt;=TODAY(),OR($O123="",$O123&gt;=DATE($B$1,2,1)),OR(COUNTIF($C123:D123,"&gt;0")&gt;0,DATE($B$1,2,1)=DATE(YEAR(TODAY()),MONTH(TODAY()),1))),1,0))</f>
        <v/>
      </c>
      <c r="R123">
        <f>IF($A123="","",IF(AND($B123&gt;0,E123&lt;$B123,DATE($B$1,3,1)&lt;=TODAY(),OR($O123="",$O123&gt;=DATE($B$1,3,1)),OR(COUNTIF($C123:E123,"&gt;0")&gt;0,DATE($B$1,3,1)=DATE(YEAR(TODAY()),MONTH(TODAY()),1))),1,0))</f>
        <v/>
      </c>
      <c r="S123">
        <f>IF($A123="","",IF(AND($B123&gt;0,F123&lt;$B123,DATE($B$1,4,1)&lt;=TODAY(),OR($O123="",$O123&gt;=DATE($B$1,4,1)),OR(COUNTIF($C123:F123,"&gt;0")&gt;0,DATE($B$1,4,1)=DATE(YEAR(TODAY()),MONTH(TODAY()),1))),1,0))</f>
        <v/>
      </c>
      <c r="T123">
        <f>IF($A123="","",IF(AND($B123&gt;0,G123&lt;$B123,DATE($B$1,5,1)&lt;=TODAY(),OR($O123="",$O123&gt;=DATE($B$1,5,1)),OR(COUNTIF($C123:G123,"&gt;0")&gt;0,DATE($B$1,5,1)=DATE(YEAR(TODAY()),MONTH(TODAY()),1))),1,0))</f>
        <v/>
      </c>
      <c r="U123">
        <f>IF($A123="","",IF(AND($B123&gt;0,H123&lt;$B123,DATE($B$1,6,1)&lt;=TODAY(),OR($O123="",$O123&gt;=DATE($B$1,6,1)),OR(COUNTIF($C123:H123,"&gt;0")&gt;0,DATE($B$1,6,1)=DATE(YEAR(TODAY()),MONTH(TODAY()),1))),1,0))</f>
        <v/>
      </c>
      <c r="V123">
        <f>IF($A123="","",IF(AND($B123&gt;0,I123&lt;$B123,DATE($B$1,7,1)&lt;=TODAY(),OR($O123="",$O123&gt;=DATE($B$1,7,1)),OR(COUNTIF($C123:I123,"&gt;0")&gt;0,DATE($B$1,7,1)=DATE(YEAR(TODAY()),MONTH(TODAY()),1))),1,0))</f>
        <v/>
      </c>
      <c r="W123">
        <f>IF($A123="","",IF(AND($B123&gt;0,J123&lt;$B123,DATE($B$1,8,1)&lt;=TODAY(),OR($O123="",$O123&gt;=DATE($B$1,8,1)),OR(COUNTIF($C123:J123,"&gt;0")&gt;0,DATE($B$1,8,1)=DATE(YEAR(TODAY()),MONTH(TODAY()),1))),1,0))</f>
        <v/>
      </c>
      <c r="X123">
        <f>IF($A123="","",IF(AND($B123&gt;0,K123&lt;$B123,DATE($B$1,9,1)&lt;=TODAY(),OR($O123="",$O123&gt;=DATE($B$1,9,1)),OR(COUNTIF($C123:K123,"&gt;0")&gt;0,DATE($B$1,9,1)=DATE(YEAR(TODAY()),MONTH(TODAY()),1))),1,0))</f>
        <v/>
      </c>
      <c r="Y123">
        <f>IF($A123="","",IF(AND($B123&gt;0,L123&lt;$B123,DATE($B$1,10,1)&lt;=TODAY(),OR($O123="",$O123&gt;=DATE($B$1,10,1)),OR(COUNTIF($C123:L123,"&gt;0")&gt;0,DATE($B$1,10,1)=DATE(YEAR(TODAY()),MONTH(TODAY()),1))),1,0))</f>
        <v/>
      </c>
      <c r="Z123">
        <f>IF($A123="","",IF(AND($B123&gt;0,M123&lt;$B123,DATE($B$1,11,1)&lt;=TODAY(),OR($O123="",$O123&gt;=DATE($B$1,11,1)),OR(COUNTIF($C123:M123,"&gt;0")&gt;0,DATE($B$1,11,1)=DATE(YEAR(TODAY()),MONTH(TODAY()),1))),1,0))</f>
        <v/>
      </c>
      <c r="AA123">
        <f>IF($A123="","",IF(AND($B123&gt;0,N123&lt;$B123,DATE($B$1,12,1)&lt;=TODAY(),OR($O123="",$O123&gt;=DATE($B$1,12,1)),OR(COUNTIF($C123:N123,"&gt;0")&gt;0,DATE($B$1,12,1)=DATE(YEAR(TODAY()),MONTH(TODAY()),1))),1,0))</f>
        <v/>
      </c>
    </row>
    <row r="124">
      <c r="A124" s="13">
        <f>IF(원생!$A122="","",원생!$A122&amp;IF(원생!$G122="",""," ("&amp;원생!$G122&amp;")"))</f>
        <v/>
      </c>
      <c r="B124" s="8">
        <f>IF(원생!$A122="","",N(원생!$F122))</f>
        <v/>
      </c>
      <c r="C124" s="14">
        <f>IF(원생!$A122="","",SUMIFS(계산!$C:$C,계산!$A:$A,계산!$E122,계산!$B:$B,$B$1*100+1))</f>
        <v/>
      </c>
      <c r="D124" s="14">
        <f>IF(원생!$A122="","",SUMIFS(계산!$C:$C,계산!$A:$A,계산!$E122,계산!$B:$B,$B$1*100+2))</f>
        <v/>
      </c>
      <c r="E124" s="14">
        <f>IF(원생!$A122="","",SUMIFS(계산!$C:$C,계산!$A:$A,계산!$E122,계산!$B:$B,$B$1*100+3))</f>
        <v/>
      </c>
      <c r="F124" s="14">
        <f>IF(원생!$A122="","",SUMIFS(계산!$C:$C,계산!$A:$A,계산!$E122,계산!$B:$B,$B$1*100+4))</f>
        <v/>
      </c>
      <c r="G124" s="14">
        <f>IF(원생!$A122="","",SUMIFS(계산!$C:$C,계산!$A:$A,계산!$E122,계산!$B:$B,$B$1*100+5))</f>
        <v/>
      </c>
      <c r="H124" s="14">
        <f>IF(원생!$A122="","",SUMIFS(계산!$C:$C,계산!$A:$A,계산!$E122,계산!$B:$B,$B$1*100+6))</f>
        <v/>
      </c>
      <c r="I124" s="14">
        <f>IF(원생!$A122="","",SUMIFS(계산!$C:$C,계산!$A:$A,계산!$E122,계산!$B:$B,$B$1*100+7))</f>
        <v/>
      </c>
      <c r="J124" s="14">
        <f>IF(원생!$A122="","",SUMIFS(계산!$C:$C,계산!$A:$A,계산!$E122,계산!$B:$B,$B$1*100+8))</f>
        <v/>
      </c>
      <c r="K124" s="14">
        <f>IF(원생!$A122="","",SUMIFS(계산!$C:$C,계산!$A:$A,계산!$E122,계산!$B:$B,$B$1*100+9))</f>
        <v/>
      </c>
      <c r="L124" s="14">
        <f>IF(원생!$A122="","",SUMIFS(계산!$C:$C,계산!$A:$A,계산!$E122,계산!$B:$B,$B$1*100+10))</f>
        <v/>
      </c>
      <c r="M124" s="14">
        <f>IF(원생!$A122="","",SUMIFS(계산!$C:$C,계산!$A:$A,계산!$E122,계산!$B:$B,$B$1*100+11))</f>
        <v/>
      </c>
      <c r="N124" s="14">
        <f>IF(원생!$A122="","",SUMIFS(계산!$C:$C,계산!$A:$A,계산!$E122,계산!$B:$B,$B$1*100+12))</f>
        <v/>
      </c>
      <c r="O124">
        <f>IF(원생!$I122="","",원생!$I122)</f>
        <v/>
      </c>
      <c r="P124">
        <f>IF($A124="","",IF(AND($B124&gt;0,C124&lt;$B124,DATE($B$1,1,1)&lt;=TODAY(),OR($O124="",$O124&gt;=DATE($B$1,1,1)),OR(COUNTIF($C124:C124,"&gt;0")&gt;0,DATE($B$1,1,1)=DATE(YEAR(TODAY()),MONTH(TODAY()),1))),1,0))</f>
        <v/>
      </c>
      <c r="Q124">
        <f>IF($A124="","",IF(AND($B124&gt;0,D124&lt;$B124,DATE($B$1,2,1)&lt;=TODAY(),OR($O124="",$O124&gt;=DATE($B$1,2,1)),OR(COUNTIF($C124:D124,"&gt;0")&gt;0,DATE($B$1,2,1)=DATE(YEAR(TODAY()),MONTH(TODAY()),1))),1,0))</f>
        <v/>
      </c>
      <c r="R124">
        <f>IF($A124="","",IF(AND($B124&gt;0,E124&lt;$B124,DATE($B$1,3,1)&lt;=TODAY(),OR($O124="",$O124&gt;=DATE($B$1,3,1)),OR(COUNTIF($C124:E124,"&gt;0")&gt;0,DATE($B$1,3,1)=DATE(YEAR(TODAY()),MONTH(TODAY()),1))),1,0))</f>
        <v/>
      </c>
      <c r="S124">
        <f>IF($A124="","",IF(AND($B124&gt;0,F124&lt;$B124,DATE($B$1,4,1)&lt;=TODAY(),OR($O124="",$O124&gt;=DATE($B$1,4,1)),OR(COUNTIF($C124:F124,"&gt;0")&gt;0,DATE($B$1,4,1)=DATE(YEAR(TODAY()),MONTH(TODAY()),1))),1,0))</f>
        <v/>
      </c>
      <c r="T124">
        <f>IF($A124="","",IF(AND($B124&gt;0,G124&lt;$B124,DATE($B$1,5,1)&lt;=TODAY(),OR($O124="",$O124&gt;=DATE($B$1,5,1)),OR(COUNTIF($C124:G124,"&gt;0")&gt;0,DATE($B$1,5,1)=DATE(YEAR(TODAY()),MONTH(TODAY()),1))),1,0))</f>
        <v/>
      </c>
      <c r="U124">
        <f>IF($A124="","",IF(AND($B124&gt;0,H124&lt;$B124,DATE($B$1,6,1)&lt;=TODAY(),OR($O124="",$O124&gt;=DATE($B$1,6,1)),OR(COUNTIF($C124:H124,"&gt;0")&gt;0,DATE($B$1,6,1)=DATE(YEAR(TODAY()),MONTH(TODAY()),1))),1,0))</f>
        <v/>
      </c>
      <c r="V124">
        <f>IF($A124="","",IF(AND($B124&gt;0,I124&lt;$B124,DATE($B$1,7,1)&lt;=TODAY(),OR($O124="",$O124&gt;=DATE($B$1,7,1)),OR(COUNTIF($C124:I124,"&gt;0")&gt;0,DATE($B$1,7,1)=DATE(YEAR(TODAY()),MONTH(TODAY()),1))),1,0))</f>
        <v/>
      </c>
      <c r="W124">
        <f>IF($A124="","",IF(AND($B124&gt;0,J124&lt;$B124,DATE($B$1,8,1)&lt;=TODAY(),OR($O124="",$O124&gt;=DATE($B$1,8,1)),OR(COUNTIF($C124:J124,"&gt;0")&gt;0,DATE($B$1,8,1)=DATE(YEAR(TODAY()),MONTH(TODAY()),1))),1,0))</f>
        <v/>
      </c>
      <c r="X124">
        <f>IF($A124="","",IF(AND($B124&gt;0,K124&lt;$B124,DATE($B$1,9,1)&lt;=TODAY(),OR($O124="",$O124&gt;=DATE($B$1,9,1)),OR(COUNTIF($C124:K124,"&gt;0")&gt;0,DATE($B$1,9,1)=DATE(YEAR(TODAY()),MONTH(TODAY()),1))),1,0))</f>
        <v/>
      </c>
      <c r="Y124">
        <f>IF($A124="","",IF(AND($B124&gt;0,L124&lt;$B124,DATE($B$1,10,1)&lt;=TODAY(),OR($O124="",$O124&gt;=DATE($B$1,10,1)),OR(COUNTIF($C124:L124,"&gt;0")&gt;0,DATE($B$1,10,1)=DATE(YEAR(TODAY()),MONTH(TODAY()),1))),1,0))</f>
        <v/>
      </c>
      <c r="Z124">
        <f>IF($A124="","",IF(AND($B124&gt;0,M124&lt;$B124,DATE($B$1,11,1)&lt;=TODAY(),OR($O124="",$O124&gt;=DATE($B$1,11,1)),OR(COUNTIF($C124:M124,"&gt;0")&gt;0,DATE($B$1,11,1)=DATE(YEAR(TODAY()),MONTH(TODAY()),1))),1,0))</f>
        <v/>
      </c>
      <c r="AA124">
        <f>IF($A124="","",IF(AND($B124&gt;0,N124&lt;$B124,DATE($B$1,12,1)&lt;=TODAY(),OR($O124="",$O124&gt;=DATE($B$1,12,1)),OR(COUNTIF($C124:N124,"&gt;0")&gt;0,DATE($B$1,12,1)=DATE(YEAR(TODAY()),MONTH(TODAY()),1))),1,0))</f>
        <v/>
      </c>
    </row>
    <row r="125">
      <c r="A125" s="13">
        <f>IF(원생!$A123="","",원생!$A123&amp;IF(원생!$G123="",""," ("&amp;원생!$G123&amp;")"))</f>
        <v/>
      </c>
      <c r="B125" s="8">
        <f>IF(원생!$A123="","",N(원생!$F123))</f>
        <v/>
      </c>
      <c r="C125" s="14">
        <f>IF(원생!$A123="","",SUMIFS(계산!$C:$C,계산!$A:$A,계산!$E123,계산!$B:$B,$B$1*100+1))</f>
        <v/>
      </c>
      <c r="D125" s="14">
        <f>IF(원생!$A123="","",SUMIFS(계산!$C:$C,계산!$A:$A,계산!$E123,계산!$B:$B,$B$1*100+2))</f>
        <v/>
      </c>
      <c r="E125" s="14">
        <f>IF(원생!$A123="","",SUMIFS(계산!$C:$C,계산!$A:$A,계산!$E123,계산!$B:$B,$B$1*100+3))</f>
        <v/>
      </c>
      <c r="F125" s="14">
        <f>IF(원생!$A123="","",SUMIFS(계산!$C:$C,계산!$A:$A,계산!$E123,계산!$B:$B,$B$1*100+4))</f>
        <v/>
      </c>
      <c r="G125" s="14">
        <f>IF(원생!$A123="","",SUMIFS(계산!$C:$C,계산!$A:$A,계산!$E123,계산!$B:$B,$B$1*100+5))</f>
        <v/>
      </c>
      <c r="H125" s="14">
        <f>IF(원생!$A123="","",SUMIFS(계산!$C:$C,계산!$A:$A,계산!$E123,계산!$B:$B,$B$1*100+6))</f>
        <v/>
      </c>
      <c r="I125" s="14">
        <f>IF(원생!$A123="","",SUMIFS(계산!$C:$C,계산!$A:$A,계산!$E123,계산!$B:$B,$B$1*100+7))</f>
        <v/>
      </c>
      <c r="J125" s="14">
        <f>IF(원생!$A123="","",SUMIFS(계산!$C:$C,계산!$A:$A,계산!$E123,계산!$B:$B,$B$1*100+8))</f>
        <v/>
      </c>
      <c r="K125" s="14">
        <f>IF(원생!$A123="","",SUMIFS(계산!$C:$C,계산!$A:$A,계산!$E123,계산!$B:$B,$B$1*100+9))</f>
        <v/>
      </c>
      <c r="L125" s="14">
        <f>IF(원생!$A123="","",SUMIFS(계산!$C:$C,계산!$A:$A,계산!$E123,계산!$B:$B,$B$1*100+10))</f>
        <v/>
      </c>
      <c r="M125" s="14">
        <f>IF(원생!$A123="","",SUMIFS(계산!$C:$C,계산!$A:$A,계산!$E123,계산!$B:$B,$B$1*100+11))</f>
        <v/>
      </c>
      <c r="N125" s="14">
        <f>IF(원생!$A123="","",SUMIFS(계산!$C:$C,계산!$A:$A,계산!$E123,계산!$B:$B,$B$1*100+12))</f>
        <v/>
      </c>
      <c r="O125">
        <f>IF(원생!$I123="","",원생!$I123)</f>
        <v/>
      </c>
      <c r="P125">
        <f>IF($A125="","",IF(AND($B125&gt;0,C125&lt;$B125,DATE($B$1,1,1)&lt;=TODAY(),OR($O125="",$O125&gt;=DATE($B$1,1,1)),OR(COUNTIF($C125:C125,"&gt;0")&gt;0,DATE($B$1,1,1)=DATE(YEAR(TODAY()),MONTH(TODAY()),1))),1,0))</f>
        <v/>
      </c>
      <c r="Q125">
        <f>IF($A125="","",IF(AND($B125&gt;0,D125&lt;$B125,DATE($B$1,2,1)&lt;=TODAY(),OR($O125="",$O125&gt;=DATE($B$1,2,1)),OR(COUNTIF($C125:D125,"&gt;0")&gt;0,DATE($B$1,2,1)=DATE(YEAR(TODAY()),MONTH(TODAY()),1))),1,0))</f>
        <v/>
      </c>
      <c r="R125">
        <f>IF($A125="","",IF(AND($B125&gt;0,E125&lt;$B125,DATE($B$1,3,1)&lt;=TODAY(),OR($O125="",$O125&gt;=DATE($B$1,3,1)),OR(COUNTIF($C125:E125,"&gt;0")&gt;0,DATE($B$1,3,1)=DATE(YEAR(TODAY()),MONTH(TODAY()),1))),1,0))</f>
        <v/>
      </c>
      <c r="S125">
        <f>IF($A125="","",IF(AND($B125&gt;0,F125&lt;$B125,DATE($B$1,4,1)&lt;=TODAY(),OR($O125="",$O125&gt;=DATE($B$1,4,1)),OR(COUNTIF($C125:F125,"&gt;0")&gt;0,DATE($B$1,4,1)=DATE(YEAR(TODAY()),MONTH(TODAY()),1))),1,0))</f>
        <v/>
      </c>
      <c r="T125">
        <f>IF($A125="","",IF(AND($B125&gt;0,G125&lt;$B125,DATE($B$1,5,1)&lt;=TODAY(),OR($O125="",$O125&gt;=DATE($B$1,5,1)),OR(COUNTIF($C125:G125,"&gt;0")&gt;0,DATE($B$1,5,1)=DATE(YEAR(TODAY()),MONTH(TODAY()),1))),1,0))</f>
        <v/>
      </c>
      <c r="U125">
        <f>IF($A125="","",IF(AND($B125&gt;0,H125&lt;$B125,DATE($B$1,6,1)&lt;=TODAY(),OR($O125="",$O125&gt;=DATE($B$1,6,1)),OR(COUNTIF($C125:H125,"&gt;0")&gt;0,DATE($B$1,6,1)=DATE(YEAR(TODAY()),MONTH(TODAY()),1))),1,0))</f>
        <v/>
      </c>
      <c r="V125">
        <f>IF($A125="","",IF(AND($B125&gt;0,I125&lt;$B125,DATE($B$1,7,1)&lt;=TODAY(),OR($O125="",$O125&gt;=DATE($B$1,7,1)),OR(COUNTIF($C125:I125,"&gt;0")&gt;0,DATE($B$1,7,1)=DATE(YEAR(TODAY()),MONTH(TODAY()),1))),1,0))</f>
        <v/>
      </c>
      <c r="W125">
        <f>IF($A125="","",IF(AND($B125&gt;0,J125&lt;$B125,DATE($B$1,8,1)&lt;=TODAY(),OR($O125="",$O125&gt;=DATE($B$1,8,1)),OR(COUNTIF($C125:J125,"&gt;0")&gt;0,DATE($B$1,8,1)=DATE(YEAR(TODAY()),MONTH(TODAY()),1))),1,0))</f>
        <v/>
      </c>
      <c r="X125">
        <f>IF($A125="","",IF(AND($B125&gt;0,K125&lt;$B125,DATE($B$1,9,1)&lt;=TODAY(),OR($O125="",$O125&gt;=DATE($B$1,9,1)),OR(COUNTIF($C125:K125,"&gt;0")&gt;0,DATE($B$1,9,1)=DATE(YEAR(TODAY()),MONTH(TODAY()),1))),1,0))</f>
        <v/>
      </c>
      <c r="Y125">
        <f>IF($A125="","",IF(AND($B125&gt;0,L125&lt;$B125,DATE($B$1,10,1)&lt;=TODAY(),OR($O125="",$O125&gt;=DATE($B$1,10,1)),OR(COUNTIF($C125:L125,"&gt;0")&gt;0,DATE($B$1,10,1)=DATE(YEAR(TODAY()),MONTH(TODAY()),1))),1,0))</f>
        <v/>
      </c>
      <c r="Z125">
        <f>IF($A125="","",IF(AND($B125&gt;0,M125&lt;$B125,DATE($B$1,11,1)&lt;=TODAY(),OR($O125="",$O125&gt;=DATE($B$1,11,1)),OR(COUNTIF($C125:M125,"&gt;0")&gt;0,DATE($B$1,11,1)=DATE(YEAR(TODAY()),MONTH(TODAY()),1))),1,0))</f>
        <v/>
      </c>
      <c r="AA125">
        <f>IF($A125="","",IF(AND($B125&gt;0,N125&lt;$B125,DATE($B$1,12,1)&lt;=TODAY(),OR($O125="",$O125&gt;=DATE($B$1,12,1)),OR(COUNTIF($C125:N125,"&gt;0")&gt;0,DATE($B$1,12,1)=DATE(YEAR(TODAY()),MONTH(TODAY()),1))),1,0))</f>
        <v/>
      </c>
    </row>
    <row r="126">
      <c r="A126" s="13">
        <f>IF(원생!$A124="","",원생!$A124&amp;IF(원생!$G124="",""," ("&amp;원생!$G124&amp;")"))</f>
        <v/>
      </c>
      <c r="B126" s="8">
        <f>IF(원생!$A124="","",N(원생!$F124))</f>
        <v/>
      </c>
      <c r="C126" s="14">
        <f>IF(원생!$A124="","",SUMIFS(계산!$C:$C,계산!$A:$A,계산!$E124,계산!$B:$B,$B$1*100+1))</f>
        <v/>
      </c>
      <c r="D126" s="14">
        <f>IF(원생!$A124="","",SUMIFS(계산!$C:$C,계산!$A:$A,계산!$E124,계산!$B:$B,$B$1*100+2))</f>
        <v/>
      </c>
      <c r="E126" s="14">
        <f>IF(원생!$A124="","",SUMIFS(계산!$C:$C,계산!$A:$A,계산!$E124,계산!$B:$B,$B$1*100+3))</f>
        <v/>
      </c>
      <c r="F126" s="14">
        <f>IF(원생!$A124="","",SUMIFS(계산!$C:$C,계산!$A:$A,계산!$E124,계산!$B:$B,$B$1*100+4))</f>
        <v/>
      </c>
      <c r="G126" s="14">
        <f>IF(원생!$A124="","",SUMIFS(계산!$C:$C,계산!$A:$A,계산!$E124,계산!$B:$B,$B$1*100+5))</f>
        <v/>
      </c>
      <c r="H126" s="14">
        <f>IF(원생!$A124="","",SUMIFS(계산!$C:$C,계산!$A:$A,계산!$E124,계산!$B:$B,$B$1*100+6))</f>
        <v/>
      </c>
      <c r="I126" s="14">
        <f>IF(원생!$A124="","",SUMIFS(계산!$C:$C,계산!$A:$A,계산!$E124,계산!$B:$B,$B$1*100+7))</f>
        <v/>
      </c>
      <c r="J126" s="14">
        <f>IF(원생!$A124="","",SUMIFS(계산!$C:$C,계산!$A:$A,계산!$E124,계산!$B:$B,$B$1*100+8))</f>
        <v/>
      </c>
      <c r="K126" s="14">
        <f>IF(원생!$A124="","",SUMIFS(계산!$C:$C,계산!$A:$A,계산!$E124,계산!$B:$B,$B$1*100+9))</f>
        <v/>
      </c>
      <c r="L126" s="14">
        <f>IF(원생!$A124="","",SUMIFS(계산!$C:$C,계산!$A:$A,계산!$E124,계산!$B:$B,$B$1*100+10))</f>
        <v/>
      </c>
      <c r="M126" s="14">
        <f>IF(원생!$A124="","",SUMIFS(계산!$C:$C,계산!$A:$A,계산!$E124,계산!$B:$B,$B$1*100+11))</f>
        <v/>
      </c>
      <c r="N126" s="14">
        <f>IF(원생!$A124="","",SUMIFS(계산!$C:$C,계산!$A:$A,계산!$E124,계산!$B:$B,$B$1*100+12))</f>
        <v/>
      </c>
      <c r="O126">
        <f>IF(원생!$I124="","",원생!$I124)</f>
        <v/>
      </c>
      <c r="P126">
        <f>IF($A126="","",IF(AND($B126&gt;0,C126&lt;$B126,DATE($B$1,1,1)&lt;=TODAY(),OR($O126="",$O126&gt;=DATE($B$1,1,1)),OR(COUNTIF($C126:C126,"&gt;0")&gt;0,DATE($B$1,1,1)=DATE(YEAR(TODAY()),MONTH(TODAY()),1))),1,0))</f>
        <v/>
      </c>
      <c r="Q126">
        <f>IF($A126="","",IF(AND($B126&gt;0,D126&lt;$B126,DATE($B$1,2,1)&lt;=TODAY(),OR($O126="",$O126&gt;=DATE($B$1,2,1)),OR(COUNTIF($C126:D126,"&gt;0")&gt;0,DATE($B$1,2,1)=DATE(YEAR(TODAY()),MONTH(TODAY()),1))),1,0))</f>
        <v/>
      </c>
      <c r="R126">
        <f>IF($A126="","",IF(AND($B126&gt;0,E126&lt;$B126,DATE($B$1,3,1)&lt;=TODAY(),OR($O126="",$O126&gt;=DATE($B$1,3,1)),OR(COUNTIF($C126:E126,"&gt;0")&gt;0,DATE($B$1,3,1)=DATE(YEAR(TODAY()),MONTH(TODAY()),1))),1,0))</f>
        <v/>
      </c>
      <c r="S126">
        <f>IF($A126="","",IF(AND($B126&gt;0,F126&lt;$B126,DATE($B$1,4,1)&lt;=TODAY(),OR($O126="",$O126&gt;=DATE($B$1,4,1)),OR(COUNTIF($C126:F126,"&gt;0")&gt;0,DATE($B$1,4,1)=DATE(YEAR(TODAY()),MONTH(TODAY()),1))),1,0))</f>
        <v/>
      </c>
      <c r="T126">
        <f>IF($A126="","",IF(AND($B126&gt;0,G126&lt;$B126,DATE($B$1,5,1)&lt;=TODAY(),OR($O126="",$O126&gt;=DATE($B$1,5,1)),OR(COUNTIF($C126:G126,"&gt;0")&gt;0,DATE($B$1,5,1)=DATE(YEAR(TODAY()),MONTH(TODAY()),1))),1,0))</f>
        <v/>
      </c>
      <c r="U126">
        <f>IF($A126="","",IF(AND($B126&gt;0,H126&lt;$B126,DATE($B$1,6,1)&lt;=TODAY(),OR($O126="",$O126&gt;=DATE($B$1,6,1)),OR(COUNTIF($C126:H126,"&gt;0")&gt;0,DATE($B$1,6,1)=DATE(YEAR(TODAY()),MONTH(TODAY()),1))),1,0))</f>
        <v/>
      </c>
      <c r="V126">
        <f>IF($A126="","",IF(AND($B126&gt;0,I126&lt;$B126,DATE($B$1,7,1)&lt;=TODAY(),OR($O126="",$O126&gt;=DATE($B$1,7,1)),OR(COUNTIF($C126:I126,"&gt;0")&gt;0,DATE($B$1,7,1)=DATE(YEAR(TODAY()),MONTH(TODAY()),1))),1,0))</f>
        <v/>
      </c>
      <c r="W126">
        <f>IF($A126="","",IF(AND($B126&gt;0,J126&lt;$B126,DATE($B$1,8,1)&lt;=TODAY(),OR($O126="",$O126&gt;=DATE($B$1,8,1)),OR(COUNTIF($C126:J126,"&gt;0")&gt;0,DATE($B$1,8,1)=DATE(YEAR(TODAY()),MONTH(TODAY()),1))),1,0))</f>
        <v/>
      </c>
      <c r="X126">
        <f>IF($A126="","",IF(AND($B126&gt;0,K126&lt;$B126,DATE($B$1,9,1)&lt;=TODAY(),OR($O126="",$O126&gt;=DATE($B$1,9,1)),OR(COUNTIF($C126:K126,"&gt;0")&gt;0,DATE($B$1,9,1)=DATE(YEAR(TODAY()),MONTH(TODAY()),1))),1,0))</f>
        <v/>
      </c>
      <c r="Y126">
        <f>IF($A126="","",IF(AND($B126&gt;0,L126&lt;$B126,DATE($B$1,10,1)&lt;=TODAY(),OR($O126="",$O126&gt;=DATE($B$1,10,1)),OR(COUNTIF($C126:L126,"&gt;0")&gt;0,DATE($B$1,10,1)=DATE(YEAR(TODAY()),MONTH(TODAY()),1))),1,0))</f>
        <v/>
      </c>
      <c r="Z126">
        <f>IF($A126="","",IF(AND($B126&gt;0,M126&lt;$B126,DATE($B$1,11,1)&lt;=TODAY(),OR($O126="",$O126&gt;=DATE($B$1,11,1)),OR(COUNTIF($C126:M126,"&gt;0")&gt;0,DATE($B$1,11,1)=DATE(YEAR(TODAY()),MONTH(TODAY()),1))),1,0))</f>
        <v/>
      </c>
      <c r="AA126">
        <f>IF($A126="","",IF(AND($B126&gt;0,N126&lt;$B126,DATE($B$1,12,1)&lt;=TODAY(),OR($O126="",$O126&gt;=DATE($B$1,12,1)),OR(COUNTIF($C126:N126,"&gt;0")&gt;0,DATE($B$1,12,1)=DATE(YEAR(TODAY()),MONTH(TODAY()),1))),1,0))</f>
        <v/>
      </c>
    </row>
    <row r="127">
      <c r="A127" s="13">
        <f>IF(원생!$A125="","",원생!$A125&amp;IF(원생!$G125="",""," ("&amp;원생!$G125&amp;")"))</f>
        <v/>
      </c>
      <c r="B127" s="8">
        <f>IF(원생!$A125="","",N(원생!$F125))</f>
        <v/>
      </c>
      <c r="C127" s="14">
        <f>IF(원생!$A125="","",SUMIFS(계산!$C:$C,계산!$A:$A,계산!$E125,계산!$B:$B,$B$1*100+1))</f>
        <v/>
      </c>
      <c r="D127" s="14">
        <f>IF(원생!$A125="","",SUMIFS(계산!$C:$C,계산!$A:$A,계산!$E125,계산!$B:$B,$B$1*100+2))</f>
        <v/>
      </c>
      <c r="E127" s="14">
        <f>IF(원생!$A125="","",SUMIFS(계산!$C:$C,계산!$A:$A,계산!$E125,계산!$B:$B,$B$1*100+3))</f>
        <v/>
      </c>
      <c r="F127" s="14">
        <f>IF(원생!$A125="","",SUMIFS(계산!$C:$C,계산!$A:$A,계산!$E125,계산!$B:$B,$B$1*100+4))</f>
        <v/>
      </c>
      <c r="G127" s="14">
        <f>IF(원생!$A125="","",SUMIFS(계산!$C:$C,계산!$A:$A,계산!$E125,계산!$B:$B,$B$1*100+5))</f>
        <v/>
      </c>
      <c r="H127" s="14">
        <f>IF(원생!$A125="","",SUMIFS(계산!$C:$C,계산!$A:$A,계산!$E125,계산!$B:$B,$B$1*100+6))</f>
        <v/>
      </c>
      <c r="I127" s="14">
        <f>IF(원생!$A125="","",SUMIFS(계산!$C:$C,계산!$A:$A,계산!$E125,계산!$B:$B,$B$1*100+7))</f>
        <v/>
      </c>
      <c r="J127" s="14">
        <f>IF(원생!$A125="","",SUMIFS(계산!$C:$C,계산!$A:$A,계산!$E125,계산!$B:$B,$B$1*100+8))</f>
        <v/>
      </c>
      <c r="K127" s="14">
        <f>IF(원생!$A125="","",SUMIFS(계산!$C:$C,계산!$A:$A,계산!$E125,계산!$B:$B,$B$1*100+9))</f>
        <v/>
      </c>
      <c r="L127" s="14">
        <f>IF(원생!$A125="","",SUMIFS(계산!$C:$C,계산!$A:$A,계산!$E125,계산!$B:$B,$B$1*100+10))</f>
        <v/>
      </c>
      <c r="M127" s="14">
        <f>IF(원생!$A125="","",SUMIFS(계산!$C:$C,계산!$A:$A,계산!$E125,계산!$B:$B,$B$1*100+11))</f>
        <v/>
      </c>
      <c r="N127" s="14">
        <f>IF(원생!$A125="","",SUMIFS(계산!$C:$C,계산!$A:$A,계산!$E125,계산!$B:$B,$B$1*100+12))</f>
        <v/>
      </c>
      <c r="O127">
        <f>IF(원생!$I125="","",원생!$I125)</f>
        <v/>
      </c>
      <c r="P127">
        <f>IF($A127="","",IF(AND($B127&gt;0,C127&lt;$B127,DATE($B$1,1,1)&lt;=TODAY(),OR($O127="",$O127&gt;=DATE($B$1,1,1)),OR(COUNTIF($C127:C127,"&gt;0")&gt;0,DATE($B$1,1,1)=DATE(YEAR(TODAY()),MONTH(TODAY()),1))),1,0))</f>
        <v/>
      </c>
      <c r="Q127">
        <f>IF($A127="","",IF(AND($B127&gt;0,D127&lt;$B127,DATE($B$1,2,1)&lt;=TODAY(),OR($O127="",$O127&gt;=DATE($B$1,2,1)),OR(COUNTIF($C127:D127,"&gt;0")&gt;0,DATE($B$1,2,1)=DATE(YEAR(TODAY()),MONTH(TODAY()),1))),1,0))</f>
        <v/>
      </c>
      <c r="R127">
        <f>IF($A127="","",IF(AND($B127&gt;0,E127&lt;$B127,DATE($B$1,3,1)&lt;=TODAY(),OR($O127="",$O127&gt;=DATE($B$1,3,1)),OR(COUNTIF($C127:E127,"&gt;0")&gt;0,DATE($B$1,3,1)=DATE(YEAR(TODAY()),MONTH(TODAY()),1))),1,0))</f>
        <v/>
      </c>
      <c r="S127">
        <f>IF($A127="","",IF(AND($B127&gt;0,F127&lt;$B127,DATE($B$1,4,1)&lt;=TODAY(),OR($O127="",$O127&gt;=DATE($B$1,4,1)),OR(COUNTIF($C127:F127,"&gt;0")&gt;0,DATE($B$1,4,1)=DATE(YEAR(TODAY()),MONTH(TODAY()),1))),1,0))</f>
        <v/>
      </c>
      <c r="T127">
        <f>IF($A127="","",IF(AND($B127&gt;0,G127&lt;$B127,DATE($B$1,5,1)&lt;=TODAY(),OR($O127="",$O127&gt;=DATE($B$1,5,1)),OR(COUNTIF($C127:G127,"&gt;0")&gt;0,DATE($B$1,5,1)=DATE(YEAR(TODAY()),MONTH(TODAY()),1))),1,0))</f>
        <v/>
      </c>
      <c r="U127">
        <f>IF($A127="","",IF(AND($B127&gt;0,H127&lt;$B127,DATE($B$1,6,1)&lt;=TODAY(),OR($O127="",$O127&gt;=DATE($B$1,6,1)),OR(COUNTIF($C127:H127,"&gt;0")&gt;0,DATE($B$1,6,1)=DATE(YEAR(TODAY()),MONTH(TODAY()),1))),1,0))</f>
        <v/>
      </c>
      <c r="V127">
        <f>IF($A127="","",IF(AND($B127&gt;0,I127&lt;$B127,DATE($B$1,7,1)&lt;=TODAY(),OR($O127="",$O127&gt;=DATE($B$1,7,1)),OR(COUNTIF($C127:I127,"&gt;0")&gt;0,DATE($B$1,7,1)=DATE(YEAR(TODAY()),MONTH(TODAY()),1))),1,0))</f>
        <v/>
      </c>
      <c r="W127">
        <f>IF($A127="","",IF(AND($B127&gt;0,J127&lt;$B127,DATE($B$1,8,1)&lt;=TODAY(),OR($O127="",$O127&gt;=DATE($B$1,8,1)),OR(COUNTIF($C127:J127,"&gt;0")&gt;0,DATE($B$1,8,1)=DATE(YEAR(TODAY()),MONTH(TODAY()),1))),1,0))</f>
        <v/>
      </c>
      <c r="X127">
        <f>IF($A127="","",IF(AND($B127&gt;0,K127&lt;$B127,DATE($B$1,9,1)&lt;=TODAY(),OR($O127="",$O127&gt;=DATE($B$1,9,1)),OR(COUNTIF($C127:K127,"&gt;0")&gt;0,DATE($B$1,9,1)=DATE(YEAR(TODAY()),MONTH(TODAY()),1))),1,0))</f>
        <v/>
      </c>
      <c r="Y127">
        <f>IF($A127="","",IF(AND($B127&gt;0,L127&lt;$B127,DATE($B$1,10,1)&lt;=TODAY(),OR($O127="",$O127&gt;=DATE($B$1,10,1)),OR(COUNTIF($C127:L127,"&gt;0")&gt;0,DATE($B$1,10,1)=DATE(YEAR(TODAY()),MONTH(TODAY()),1))),1,0))</f>
        <v/>
      </c>
      <c r="Z127">
        <f>IF($A127="","",IF(AND($B127&gt;0,M127&lt;$B127,DATE($B$1,11,1)&lt;=TODAY(),OR($O127="",$O127&gt;=DATE($B$1,11,1)),OR(COUNTIF($C127:M127,"&gt;0")&gt;0,DATE($B$1,11,1)=DATE(YEAR(TODAY()),MONTH(TODAY()),1))),1,0))</f>
        <v/>
      </c>
      <c r="AA127">
        <f>IF($A127="","",IF(AND($B127&gt;0,N127&lt;$B127,DATE($B$1,12,1)&lt;=TODAY(),OR($O127="",$O127&gt;=DATE($B$1,12,1)),OR(COUNTIF($C127:N127,"&gt;0")&gt;0,DATE($B$1,12,1)=DATE(YEAR(TODAY()),MONTH(TODAY()),1))),1,0))</f>
        <v/>
      </c>
    </row>
    <row r="128">
      <c r="A128" s="13">
        <f>IF(원생!$A126="","",원생!$A126&amp;IF(원생!$G126="",""," ("&amp;원생!$G126&amp;")"))</f>
        <v/>
      </c>
      <c r="B128" s="8">
        <f>IF(원생!$A126="","",N(원생!$F126))</f>
        <v/>
      </c>
      <c r="C128" s="14">
        <f>IF(원생!$A126="","",SUMIFS(계산!$C:$C,계산!$A:$A,계산!$E126,계산!$B:$B,$B$1*100+1))</f>
        <v/>
      </c>
      <c r="D128" s="14">
        <f>IF(원생!$A126="","",SUMIFS(계산!$C:$C,계산!$A:$A,계산!$E126,계산!$B:$B,$B$1*100+2))</f>
        <v/>
      </c>
      <c r="E128" s="14">
        <f>IF(원생!$A126="","",SUMIFS(계산!$C:$C,계산!$A:$A,계산!$E126,계산!$B:$B,$B$1*100+3))</f>
        <v/>
      </c>
      <c r="F128" s="14">
        <f>IF(원생!$A126="","",SUMIFS(계산!$C:$C,계산!$A:$A,계산!$E126,계산!$B:$B,$B$1*100+4))</f>
        <v/>
      </c>
      <c r="G128" s="14">
        <f>IF(원생!$A126="","",SUMIFS(계산!$C:$C,계산!$A:$A,계산!$E126,계산!$B:$B,$B$1*100+5))</f>
        <v/>
      </c>
      <c r="H128" s="14">
        <f>IF(원생!$A126="","",SUMIFS(계산!$C:$C,계산!$A:$A,계산!$E126,계산!$B:$B,$B$1*100+6))</f>
        <v/>
      </c>
      <c r="I128" s="14">
        <f>IF(원생!$A126="","",SUMIFS(계산!$C:$C,계산!$A:$A,계산!$E126,계산!$B:$B,$B$1*100+7))</f>
        <v/>
      </c>
      <c r="J128" s="14">
        <f>IF(원생!$A126="","",SUMIFS(계산!$C:$C,계산!$A:$A,계산!$E126,계산!$B:$B,$B$1*100+8))</f>
        <v/>
      </c>
      <c r="K128" s="14">
        <f>IF(원생!$A126="","",SUMIFS(계산!$C:$C,계산!$A:$A,계산!$E126,계산!$B:$B,$B$1*100+9))</f>
        <v/>
      </c>
      <c r="L128" s="14">
        <f>IF(원생!$A126="","",SUMIFS(계산!$C:$C,계산!$A:$A,계산!$E126,계산!$B:$B,$B$1*100+10))</f>
        <v/>
      </c>
      <c r="M128" s="14">
        <f>IF(원생!$A126="","",SUMIFS(계산!$C:$C,계산!$A:$A,계산!$E126,계산!$B:$B,$B$1*100+11))</f>
        <v/>
      </c>
      <c r="N128" s="14">
        <f>IF(원생!$A126="","",SUMIFS(계산!$C:$C,계산!$A:$A,계산!$E126,계산!$B:$B,$B$1*100+12))</f>
        <v/>
      </c>
      <c r="O128">
        <f>IF(원생!$I126="","",원생!$I126)</f>
        <v/>
      </c>
      <c r="P128">
        <f>IF($A128="","",IF(AND($B128&gt;0,C128&lt;$B128,DATE($B$1,1,1)&lt;=TODAY(),OR($O128="",$O128&gt;=DATE($B$1,1,1)),OR(COUNTIF($C128:C128,"&gt;0")&gt;0,DATE($B$1,1,1)=DATE(YEAR(TODAY()),MONTH(TODAY()),1))),1,0))</f>
        <v/>
      </c>
      <c r="Q128">
        <f>IF($A128="","",IF(AND($B128&gt;0,D128&lt;$B128,DATE($B$1,2,1)&lt;=TODAY(),OR($O128="",$O128&gt;=DATE($B$1,2,1)),OR(COUNTIF($C128:D128,"&gt;0")&gt;0,DATE($B$1,2,1)=DATE(YEAR(TODAY()),MONTH(TODAY()),1))),1,0))</f>
        <v/>
      </c>
      <c r="R128">
        <f>IF($A128="","",IF(AND($B128&gt;0,E128&lt;$B128,DATE($B$1,3,1)&lt;=TODAY(),OR($O128="",$O128&gt;=DATE($B$1,3,1)),OR(COUNTIF($C128:E128,"&gt;0")&gt;0,DATE($B$1,3,1)=DATE(YEAR(TODAY()),MONTH(TODAY()),1))),1,0))</f>
        <v/>
      </c>
      <c r="S128">
        <f>IF($A128="","",IF(AND($B128&gt;0,F128&lt;$B128,DATE($B$1,4,1)&lt;=TODAY(),OR($O128="",$O128&gt;=DATE($B$1,4,1)),OR(COUNTIF($C128:F128,"&gt;0")&gt;0,DATE($B$1,4,1)=DATE(YEAR(TODAY()),MONTH(TODAY()),1))),1,0))</f>
        <v/>
      </c>
      <c r="T128">
        <f>IF($A128="","",IF(AND($B128&gt;0,G128&lt;$B128,DATE($B$1,5,1)&lt;=TODAY(),OR($O128="",$O128&gt;=DATE($B$1,5,1)),OR(COUNTIF($C128:G128,"&gt;0")&gt;0,DATE($B$1,5,1)=DATE(YEAR(TODAY()),MONTH(TODAY()),1))),1,0))</f>
        <v/>
      </c>
      <c r="U128">
        <f>IF($A128="","",IF(AND($B128&gt;0,H128&lt;$B128,DATE($B$1,6,1)&lt;=TODAY(),OR($O128="",$O128&gt;=DATE($B$1,6,1)),OR(COUNTIF($C128:H128,"&gt;0")&gt;0,DATE($B$1,6,1)=DATE(YEAR(TODAY()),MONTH(TODAY()),1))),1,0))</f>
        <v/>
      </c>
      <c r="V128">
        <f>IF($A128="","",IF(AND($B128&gt;0,I128&lt;$B128,DATE($B$1,7,1)&lt;=TODAY(),OR($O128="",$O128&gt;=DATE($B$1,7,1)),OR(COUNTIF($C128:I128,"&gt;0")&gt;0,DATE($B$1,7,1)=DATE(YEAR(TODAY()),MONTH(TODAY()),1))),1,0))</f>
        <v/>
      </c>
      <c r="W128">
        <f>IF($A128="","",IF(AND($B128&gt;0,J128&lt;$B128,DATE($B$1,8,1)&lt;=TODAY(),OR($O128="",$O128&gt;=DATE($B$1,8,1)),OR(COUNTIF($C128:J128,"&gt;0")&gt;0,DATE($B$1,8,1)=DATE(YEAR(TODAY()),MONTH(TODAY()),1))),1,0))</f>
        <v/>
      </c>
      <c r="X128">
        <f>IF($A128="","",IF(AND($B128&gt;0,K128&lt;$B128,DATE($B$1,9,1)&lt;=TODAY(),OR($O128="",$O128&gt;=DATE($B$1,9,1)),OR(COUNTIF($C128:K128,"&gt;0")&gt;0,DATE($B$1,9,1)=DATE(YEAR(TODAY()),MONTH(TODAY()),1))),1,0))</f>
        <v/>
      </c>
      <c r="Y128">
        <f>IF($A128="","",IF(AND($B128&gt;0,L128&lt;$B128,DATE($B$1,10,1)&lt;=TODAY(),OR($O128="",$O128&gt;=DATE($B$1,10,1)),OR(COUNTIF($C128:L128,"&gt;0")&gt;0,DATE($B$1,10,1)=DATE(YEAR(TODAY()),MONTH(TODAY()),1))),1,0))</f>
        <v/>
      </c>
      <c r="Z128">
        <f>IF($A128="","",IF(AND($B128&gt;0,M128&lt;$B128,DATE($B$1,11,1)&lt;=TODAY(),OR($O128="",$O128&gt;=DATE($B$1,11,1)),OR(COUNTIF($C128:M128,"&gt;0")&gt;0,DATE($B$1,11,1)=DATE(YEAR(TODAY()),MONTH(TODAY()),1))),1,0))</f>
        <v/>
      </c>
      <c r="AA128">
        <f>IF($A128="","",IF(AND($B128&gt;0,N128&lt;$B128,DATE($B$1,12,1)&lt;=TODAY(),OR($O128="",$O128&gt;=DATE($B$1,12,1)),OR(COUNTIF($C128:N128,"&gt;0")&gt;0,DATE($B$1,12,1)=DATE(YEAR(TODAY()),MONTH(TODAY()),1))),1,0))</f>
        <v/>
      </c>
    </row>
    <row r="129">
      <c r="A129" s="13">
        <f>IF(원생!$A127="","",원생!$A127&amp;IF(원생!$G127="",""," ("&amp;원생!$G127&amp;")"))</f>
        <v/>
      </c>
      <c r="B129" s="8">
        <f>IF(원생!$A127="","",N(원생!$F127))</f>
        <v/>
      </c>
      <c r="C129" s="14">
        <f>IF(원생!$A127="","",SUMIFS(계산!$C:$C,계산!$A:$A,계산!$E127,계산!$B:$B,$B$1*100+1))</f>
        <v/>
      </c>
      <c r="D129" s="14">
        <f>IF(원생!$A127="","",SUMIFS(계산!$C:$C,계산!$A:$A,계산!$E127,계산!$B:$B,$B$1*100+2))</f>
        <v/>
      </c>
      <c r="E129" s="14">
        <f>IF(원생!$A127="","",SUMIFS(계산!$C:$C,계산!$A:$A,계산!$E127,계산!$B:$B,$B$1*100+3))</f>
        <v/>
      </c>
      <c r="F129" s="14">
        <f>IF(원생!$A127="","",SUMIFS(계산!$C:$C,계산!$A:$A,계산!$E127,계산!$B:$B,$B$1*100+4))</f>
        <v/>
      </c>
      <c r="G129" s="14">
        <f>IF(원생!$A127="","",SUMIFS(계산!$C:$C,계산!$A:$A,계산!$E127,계산!$B:$B,$B$1*100+5))</f>
        <v/>
      </c>
      <c r="H129" s="14">
        <f>IF(원생!$A127="","",SUMIFS(계산!$C:$C,계산!$A:$A,계산!$E127,계산!$B:$B,$B$1*100+6))</f>
        <v/>
      </c>
      <c r="I129" s="14">
        <f>IF(원생!$A127="","",SUMIFS(계산!$C:$C,계산!$A:$A,계산!$E127,계산!$B:$B,$B$1*100+7))</f>
        <v/>
      </c>
      <c r="J129" s="14">
        <f>IF(원생!$A127="","",SUMIFS(계산!$C:$C,계산!$A:$A,계산!$E127,계산!$B:$B,$B$1*100+8))</f>
        <v/>
      </c>
      <c r="K129" s="14">
        <f>IF(원생!$A127="","",SUMIFS(계산!$C:$C,계산!$A:$A,계산!$E127,계산!$B:$B,$B$1*100+9))</f>
        <v/>
      </c>
      <c r="L129" s="14">
        <f>IF(원생!$A127="","",SUMIFS(계산!$C:$C,계산!$A:$A,계산!$E127,계산!$B:$B,$B$1*100+10))</f>
        <v/>
      </c>
      <c r="M129" s="14">
        <f>IF(원생!$A127="","",SUMIFS(계산!$C:$C,계산!$A:$A,계산!$E127,계산!$B:$B,$B$1*100+11))</f>
        <v/>
      </c>
      <c r="N129" s="14">
        <f>IF(원생!$A127="","",SUMIFS(계산!$C:$C,계산!$A:$A,계산!$E127,계산!$B:$B,$B$1*100+12))</f>
        <v/>
      </c>
      <c r="O129">
        <f>IF(원생!$I127="","",원생!$I127)</f>
        <v/>
      </c>
      <c r="P129">
        <f>IF($A129="","",IF(AND($B129&gt;0,C129&lt;$B129,DATE($B$1,1,1)&lt;=TODAY(),OR($O129="",$O129&gt;=DATE($B$1,1,1)),OR(COUNTIF($C129:C129,"&gt;0")&gt;0,DATE($B$1,1,1)=DATE(YEAR(TODAY()),MONTH(TODAY()),1))),1,0))</f>
        <v/>
      </c>
      <c r="Q129">
        <f>IF($A129="","",IF(AND($B129&gt;0,D129&lt;$B129,DATE($B$1,2,1)&lt;=TODAY(),OR($O129="",$O129&gt;=DATE($B$1,2,1)),OR(COUNTIF($C129:D129,"&gt;0")&gt;0,DATE($B$1,2,1)=DATE(YEAR(TODAY()),MONTH(TODAY()),1))),1,0))</f>
        <v/>
      </c>
      <c r="R129">
        <f>IF($A129="","",IF(AND($B129&gt;0,E129&lt;$B129,DATE($B$1,3,1)&lt;=TODAY(),OR($O129="",$O129&gt;=DATE($B$1,3,1)),OR(COUNTIF($C129:E129,"&gt;0")&gt;0,DATE($B$1,3,1)=DATE(YEAR(TODAY()),MONTH(TODAY()),1))),1,0))</f>
        <v/>
      </c>
      <c r="S129">
        <f>IF($A129="","",IF(AND($B129&gt;0,F129&lt;$B129,DATE($B$1,4,1)&lt;=TODAY(),OR($O129="",$O129&gt;=DATE($B$1,4,1)),OR(COUNTIF($C129:F129,"&gt;0")&gt;0,DATE($B$1,4,1)=DATE(YEAR(TODAY()),MONTH(TODAY()),1))),1,0))</f>
        <v/>
      </c>
      <c r="T129">
        <f>IF($A129="","",IF(AND($B129&gt;0,G129&lt;$B129,DATE($B$1,5,1)&lt;=TODAY(),OR($O129="",$O129&gt;=DATE($B$1,5,1)),OR(COUNTIF($C129:G129,"&gt;0")&gt;0,DATE($B$1,5,1)=DATE(YEAR(TODAY()),MONTH(TODAY()),1))),1,0))</f>
        <v/>
      </c>
      <c r="U129">
        <f>IF($A129="","",IF(AND($B129&gt;0,H129&lt;$B129,DATE($B$1,6,1)&lt;=TODAY(),OR($O129="",$O129&gt;=DATE($B$1,6,1)),OR(COUNTIF($C129:H129,"&gt;0")&gt;0,DATE($B$1,6,1)=DATE(YEAR(TODAY()),MONTH(TODAY()),1))),1,0))</f>
        <v/>
      </c>
      <c r="V129">
        <f>IF($A129="","",IF(AND($B129&gt;0,I129&lt;$B129,DATE($B$1,7,1)&lt;=TODAY(),OR($O129="",$O129&gt;=DATE($B$1,7,1)),OR(COUNTIF($C129:I129,"&gt;0")&gt;0,DATE($B$1,7,1)=DATE(YEAR(TODAY()),MONTH(TODAY()),1))),1,0))</f>
        <v/>
      </c>
      <c r="W129">
        <f>IF($A129="","",IF(AND($B129&gt;0,J129&lt;$B129,DATE($B$1,8,1)&lt;=TODAY(),OR($O129="",$O129&gt;=DATE($B$1,8,1)),OR(COUNTIF($C129:J129,"&gt;0")&gt;0,DATE($B$1,8,1)=DATE(YEAR(TODAY()),MONTH(TODAY()),1))),1,0))</f>
        <v/>
      </c>
      <c r="X129">
        <f>IF($A129="","",IF(AND($B129&gt;0,K129&lt;$B129,DATE($B$1,9,1)&lt;=TODAY(),OR($O129="",$O129&gt;=DATE($B$1,9,1)),OR(COUNTIF($C129:K129,"&gt;0")&gt;0,DATE($B$1,9,1)=DATE(YEAR(TODAY()),MONTH(TODAY()),1))),1,0))</f>
        <v/>
      </c>
      <c r="Y129">
        <f>IF($A129="","",IF(AND($B129&gt;0,L129&lt;$B129,DATE($B$1,10,1)&lt;=TODAY(),OR($O129="",$O129&gt;=DATE($B$1,10,1)),OR(COUNTIF($C129:L129,"&gt;0")&gt;0,DATE($B$1,10,1)=DATE(YEAR(TODAY()),MONTH(TODAY()),1))),1,0))</f>
        <v/>
      </c>
      <c r="Z129">
        <f>IF($A129="","",IF(AND($B129&gt;0,M129&lt;$B129,DATE($B$1,11,1)&lt;=TODAY(),OR($O129="",$O129&gt;=DATE($B$1,11,1)),OR(COUNTIF($C129:M129,"&gt;0")&gt;0,DATE($B$1,11,1)=DATE(YEAR(TODAY()),MONTH(TODAY()),1))),1,0))</f>
        <v/>
      </c>
      <c r="AA129">
        <f>IF($A129="","",IF(AND($B129&gt;0,N129&lt;$B129,DATE($B$1,12,1)&lt;=TODAY(),OR($O129="",$O129&gt;=DATE($B$1,12,1)),OR(COUNTIF($C129:N129,"&gt;0")&gt;0,DATE($B$1,12,1)=DATE(YEAR(TODAY()),MONTH(TODAY()),1))),1,0))</f>
        <v/>
      </c>
    </row>
    <row r="130">
      <c r="A130" s="13">
        <f>IF(원생!$A128="","",원생!$A128&amp;IF(원생!$G128="",""," ("&amp;원생!$G128&amp;")"))</f>
        <v/>
      </c>
      <c r="B130" s="8">
        <f>IF(원생!$A128="","",N(원생!$F128))</f>
        <v/>
      </c>
      <c r="C130" s="14">
        <f>IF(원생!$A128="","",SUMIFS(계산!$C:$C,계산!$A:$A,계산!$E128,계산!$B:$B,$B$1*100+1))</f>
        <v/>
      </c>
      <c r="D130" s="14">
        <f>IF(원생!$A128="","",SUMIFS(계산!$C:$C,계산!$A:$A,계산!$E128,계산!$B:$B,$B$1*100+2))</f>
        <v/>
      </c>
      <c r="E130" s="14">
        <f>IF(원생!$A128="","",SUMIFS(계산!$C:$C,계산!$A:$A,계산!$E128,계산!$B:$B,$B$1*100+3))</f>
        <v/>
      </c>
      <c r="F130" s="14">
        <f>IF(원생!$A128="","",SUMIFS(계산!$C:$C,계산!$A:$A,계산!$E128,계산!$B:$B,$B$1*100+4))</f>
        <v/>
      </c>
      <c r="G130" s="14">
        <f>IF(원생!$A128="","",SUMIFS(계산!$C:$C,계산!$A:$A,계산!$E128,계산!$B:$B,$B$1*100+5))</f>
        <v/>
      </c>
      <c r="H130" s="14">
        <f>IF(원생!$A128="","",SUMIFS(계산!$C:$C,계산!$A:$A,계산!$E128,계산!$B:$B,$B$1*100+6))</f>
        <v/>
      </c>
      <c r="I130" s="14">
        <f>IF(원생!$A128="","",SUMIFS(계산!$C:$C,계산!$A:$A,계산!$E128,계산!$B:$B,$B$1*100+7))</f>
        <v/>
      </c>
      <c r="J130" s="14">
        <f>IF(원생!$A128="","",SUMIFS(계산!$C:$C,계산!$A:$A,계산!$E128,계산!$B:$B,$B$1*100+8))</f>
        <v/>
      </c>
      <c r="K130" s="14">
        <f>IF(원생!$A128="","",SUMIFS(계산!$C:$C,계산!$A:$A,계산!$E128,계산!$B:$B,$B$1*100+9))</f>
        <v/>
      </c>
      <c r="L130" s="14">
        <f>IF(원생!$A128="","",SUMIFS(계산!$C:$C,계산!$A:$A,계산!$E128,계산!$B:$B,$B$1*100+10))</f>
        <v/>
      </c>
      <c r="M130" s="14">
        <f>IF(원생!$A128="","",SUMIFS(계산!$C:$C,계산!$A:$A,계산!$E128,계산!$B:$B,$B$1*100+11))</f>
        <v/>
      </c>
      <c r="N130" s="14">
        <f>IF(원생!$A128="","",SUMIFS(계산!$C:$C,계산!$A:$A,계산!$E128,계산!$B:$B,$B$1*100+12))</f>
        <v/>
      </c>
      <c r="O130">
        <f>IF(원생!$I128="","",원생!$I128)</f>
        <v/>
      </c>
      <c r="P130">
        <f>IF($A130="","",IF(AND($B130&gt;0,C130&lt;$B130,DATE($B$1,1,1)&lt;=TODAY(),OR($O130="",$O130&gt;=DATE($B$1,1,1)),OR(COUNTIF($C130:C130,"&gt;0")&gt;0,DATE($B$1,1,1)=DATE(YEAR(TODAY()),MONTH(TODAY()),1))),1,0))</f>
        <v/>
      </c>
      <c r="Q130">
        <f>IF($A130="","",IF(AND($B130&gt;0,D130&lt;$B130,DATE($B$1,2,1)&lt;=TODAY(),OR($O130="",$O130&gt;=DATE($B$1,2,1)),OR(COUNTIF($C130:D130,"&gt;0")&gt;0,DATE($B$1,2,1)=DATE(YEAR(TODAY()),MONTH(TODAY()),1))),1,0))</f>
        <v/>
      </c>
      <c r="R130">
        <f>IF($A130="","",IF(AND($B130&gt;0,E130&lt;$B130,DATE($B$1,3,1)&lt;=TODAY(),OR($O130="",$O130&gt;=DATE($B$1,3,1)),OR(COUNTIF($C130:E130,"&gt;0")&gt;0,DATE($B$1,3,1)=DATE(YEAR(TODAY()),MONTH(TODAY()),1))),1,0))</f>
        <v/>
      </c>
      <c r="S130">
        <f>IF($A130="","",IF(AND($B130&gt;0,F130&lt;$B130,DATE($B$1,4,1)&lt;=TODAY(),OR($O130="",$O130&gt;=DATE($B$1,4,1)),OR(COUNTIF($C130:F130,"&gt;0")&gt;0,DATE($B$1,4,1)=DATE(YEAR(TODAY()),MONTH(TODAY()),1))),1,0))</f>
        <v/>
      </c>
      <c r="T130">
        <f>IF($A130="","",IF(AND($B130&gt;0,G130&lt;$B130,DATE($B$1,5,1)&lt;=TODAY(),OR($O130="",$O130&gt;=DATE($B$1,5,1)),OR(COUNTIF($C130:G130,"&gt;0")&gt;0,DATE($B$1,5,1)=DATE(YEAR(TODAY()),MONTH(TODAY()),1))),1,0))</f>
        <v/>
      </c>
      <c r="U130">
        <f>IF($A130="","",IF(AND($B130&gt;0,H130&lt;$B130,DATE($B$1,6,1)&lt;=TODAY(),OR($O130="",$O130&gt;=DATE($B$1,6,1)),OR(COUNTIF($C130:H130,"&gt;0")&gt;0,DATE($B$1,6,1)=DATE(YEAR(TODAY()),MONTH(TODAY()),1))),1,0))</f>
        <v/>
      </c>
      <c r="V130">
        <f>IF($A130="","",IF(AND($B130&gt;0,I130&lt;$B130,DATE($B$1,7,1)&lt;=TODAY(),OR($O130="",$O130&gt;=DATE($B$1,7,1)),OR(COUNTIF($C130:I130,"&gt;0")&gt;0,DATE($B$1,7,1)=DATE(YEAR(TODAY()),MONTH(TODAY()),1))),1,0))</f>
        <v/>
      </c>
      <c r="W130">
        <f>IF($A130="","",IF(AND($B130&gt;0,J130&lt;$B130,DATE($B$1,8,1)&lt;=TODAY(),OR($O130="",$O130&gt;=DATE($B$1,8,1)),OR(COUNTIF($C130:J130,"&gt;0")&gt;0,DATE($B$1,8,1)=DATE(YEAR(TODAY()),MONTH(TODAY()),1))),1,0))</f>
        <v/>
      </c>
      <c r="X130">
        <f>IF($A130="","",IF(AND($B130&gt;0,K130&lt;$B130,DATE($B$1,9,1)&lt;=TODAY(),OR($O130="",$O130&gt;=DATE($B$1,9,1)),OR(COUNTIF($C130:K130,"&gt;0")&gt;0,DATE($B$1,9,1)=DATE(YEAR(TODAY()),MONTH(TODAY()),1))),1,0))</f>
        <v/>
      </c>
      <c r="Y130">
        <f>IF($A130="","",IF(AND($B130&gt;0,L130&lt;$B130,DATE($B$1,10,1)&lt;=TODAY(),OR($O130="",$O130&gt;=DATE($B$1,10,1)),OR(COUNTIF($C130:L130,"&gt;0")&gt;0,DATE($B$1,10,1)=DATE(YEAR(TODAY()),MONTH(TODAY()),1))),1,0))</f>
        <v/>
      </c>
      <c r="Z130">
        <f>IF($A130="","",IF(AND($B130&gt;0,M130&lt;$B130,DATE($B$1,11,1)&lt;=TODAY(),OR($O130="",$O130&gt;=DATE($B$1,11,1)),OR(COUNTIF($C130:M130,"&gt;0")&gt;0,DATE($B$1,11,1)=DATE(YEAR(TODAY()),MONTH(TODAY()),1))),1,0))</f>
        <v/>
      </c>
      <c r="AA130">
        <f>IF($A130="","",IF(AND($B130&gt;0,N130&lt;$B130,DATE($B$1,12,1)&lt;=TODAY(),OR($O130="",$O130&gt;=DATE($B$1,12,1)),OR(COUNTIF($C130:N130,"&gt;0")&gt;0,DATE($B$1,12,1)=DATE(YEAR(TODAY()),MONTH(TODAY()),1))),1,0))</f>
        <v/>
      </c>
    </row>
    <row r="131">
      <c r="A131" s="13">
        <f>IF(원생!$A129="","",원생!$A129&amp;IF(원생!$G129="",""," ("&amp;원생!$G129&amp;")"))</f>
        <v/>
      </c>
      <c r="B131" s="8">
        <f>IF(원생!$A129="","",N(원생!$F129))</f>
        <v/>
      </c>
      <c r="C131" s="14">
        <f>IF(원생!$A129="","",SUMIFS(계산!$C:$C,계산!$A:$A,계산!$E129,계산!$B:$B,$B$1*100+1))</f>
        <v/>
      </c>
      <c r="D131" s="14">
        <f>IF(원생!$A129="","",SUMIFS(계산!$C:$C,계산!$A:$A,계산!$E129,계산!$B:$B,$B$1*100+2))</f>
        <v/>
      </c>
      <c r="E131" s="14">
        <f>IF(원생!$A129="","",SUMIFS(계산!$C:$C,계산!$A:$A,계산!$E129,계산!$B:$B,$B$1*100+3))</f>
        <v/>
      </c>
      <c r="F131" s="14">
        <f>IF(원생!$A129="","",SUMIFS(계산!$C:$C,계산!$A:$A,계산!$E129,계산!$B:$B,$B$1*100+4))</f>
        <v/>
      </c>
      <c r="G131" s="14">
        <f>IF(원생!$A129="","",SUMIFS(계산!$C:$C,계산!$A:$A,계산!$E129,계산!$B:$B,$B$1*100+5))</f>
        <v/>
      </c>
      <c r="H131" s="14">
        <f>IF(원생!$A129="","",SUMIFS(계산!$C:$C,계산!$A:$A,계산!$E129,계산!$B:$B,$B$1*100+6))</f>
        <v/>
      </c>
      <c r="I131" s="14">
        <f>IF(원생!$A129="","",SUMIFS(계산!$C:$C,계산!$A:$A,계산!$E129,계산!$B:$B,$B$1*100+7))</f>
        <v/>
      </c>
      <c r="J131" s="14">
        <f>IF(원생!$A129="","",SUMIFS(계산!$C:$C,계산!$A:$A,계산!$E129,계산!$B:$B,$B$1*100+8))</f>
        <v/>
      </c>
      <c r="K131" s="14">
        <f>IF(원생!$A129="","",SUMIFS(계산!$C:$C,계산!$A:$A,계산!$E129,계산!$B:$B,$B$1*100+9))</f>
        <v/>
      </c>
      <c r="L131" s="14">
        <f>IF(원생!$A129="","",SUMIFS(계산!$C:$C,계산!$A:$A,계산!$E129,계산!$B:$B,$B$1*100+10))</f>
        <v/>
      </c>
      <c r="M131" s="14">
        <f>IF(원생!$A129="","",SUMIFS(계산!$C:$C,계산!$A:$A,계산!$E129,계산!$B:$B,$B$1*100+11))</f>
        <v/>
      </c>
      <c r="N131" s="14">
        <f>IF(원생!$A129="","",SUMIFS(계산!$C:$C,계산!$A:$A,계산!$E129,계산!$B:$B,$B$1*100+12))</f>
        <v/>
      </c>
      <c r="O131">
        <f>IF(원생!$I129="","",원생!$I129)</f>
        <v/>
      </c>
      <c r="P131">
        <f>IF($A131="","",IF(AND($B131&gt;0,C131&lt;$B131,DATE($B$1,1,1)&lt;=TODAY(),OR($O131="",$O131&gt;=DATE($B$1,1,1)),OR(COUNTIF($C131:C131,"&gt;0")&gt;0,DATE($B$1,1,1)=DATE(YEAR(TODAY()),MONTH(TODAY()),1))),1,0))</f>
        <v/>
      </c>
      <c r="Q131">
        <f>IF($A131="","",IF(AND($B131&gt;0,D131&lt;$B131,DATE($B$1,2,1)&lt;=TODAY(),OR($O131="",$O131&gt;=DATE($B$1,2,1)),OR(COUNTIF($C131:D131,"&gt;0")&gt;0,DATE($B$1,2,1)=DATE(YEAR(TODAY()),MONTH(TODAY()),1))),1,0))</f>
        <v/>
      </c>
      <c r="R131">
        <f>IF($A131="","",IF(AND($B131&gt;0,E131&lt;$B131,DATE($B$1,3,1)&lt;=TODAY(),OR($O131="",$O131&gt;=DATE($B$1,3,1)),OR(COUNTIF($C131:E131,"&gt;0")&gt;0,DATE($B$1,3,1)=DATE(YEAR(TODAY()),MONTH(TODAY()),1))),1,0))</f>
        <v/>
      </c>
      <c r="S131">
        <f>IF($A131="","",IF(AND($B131&gt;0,F131&lt;$B131,DATE($B$1,4,1)&lt;=TODAY(),OR($O131="",$O131&gt;=DATE($B$1,4,1)),OR(COUNTIF($C131:F131,"&gt;0")&gt;0,DATE($B$1,4,1)=DATE(YEAR(TODAY()),MONTH(TODAY()),1))),1,0))</f>
        <v/>
      </c>
      <c r="T131">
        <f>IF($A131="","",IF(AND($B131&gt;0,G131&lt;$B131,DATE($B$1,5,1)&lt;=TODAY(),OR($O131="",$O131&gt;=DATE($B$1,5,1)),OR(COUNTIF($C131:G131,"&gt;0")&gt;0,DATE($B$1,5,1)=DATE(YEAR(TODAY()),MONTH(TODAY()),1))),1,0))</f>
        <v/>
      </c>
      <c r="U131">
        <f>IF($A131="","",IF(AND($B131&gt;0,H131&lt;$B131,DATE($B$1,6,1)&lt;=TODAY(),OR($O131="",$O131&gt;=DATE($B$1,6,1)),OR(COUNTIF($C131:H131,"&gt;0")&gt;0,DATE($B$1,6,1)=DATE(YEAR(TODAY()),MONTH(TODAY()),1))),1,0))</f>
        <v/>
      </c>
      <c r="V131">
        <f>IF($A131="","",IF(AND($B131&gt;0,I131&lt;$B131,DATE($B$1,7,1)&lt;=TODAY(),OR($O131="",$O131&gt;=DATE($B$1,7,1)),OR(COUNTIF($C131:I131,"&gt;0")&gt;0,DATE($B$1,7,1)=DATE(YEAR(TODAY()),MONTH(TODAY()),1))),1,0))</f>
        <v/>
      </c>
      <c r="W131">
        <f>IF($A131="","",IF(AND($B131&gt;0,J131&lt;$B131,DATE($B$1,8,1)&lt;=TODAY(),OR($O131="",$O131&gt;=DATE($B$1,8,1)),OR(COUNTIF($C131:J131,"&gt;0")&gt;0,DATE($B$1,8,1)=DATE(YEAR(TODAY()),MONTH(TODAY()),1))),1,0))</f>
        <v/>
      </c>
      <c r="X131">
        <f>IF($A131="","",IF(AND($B131&gt;0,K131&lt;$B131,DATE($B$1,9,1)&lt;=TODAY(),OR($O131="",$O131&gt;=DATE($B$1,9,1)),OR(COUNTIF($C131:K131,"&gt;0")&gt;0,DATE($B$1,9,1)=DATE(YEAR(TODAY()),MONTH(TODAY()),1))),1,0))</f>
        <v/>
      </c>
      <c r="Y131">
        <f>IF($A131="","",IF(AND($B131&gt;0,L131&lt;$B131,DATE($B$1,10,1)&lt;=TODAY(),OR($O131="",$O131&gt;=DATE($B$1,10,1)),OR(COUNTIF($C131:L131,"&gt;0")&gt;0,DATE($B$1,10,1)=DATE(YEAR(TODAY()),MONTH(TODAY()),1))),1,0))</f>
        <v/>
      </c>
      <c r="Z131">
        <f>IF($A131="","",IF(AND($B131&gt;0,M131&lt;$B131,DATE($B$1,11,1)&lt;=TODAY(),OR($O131="",$O131&gt;=DATE($B$1,11,1)),OR(COUNTIF($C131:M131,"&gt;0")&gt;0,DATE($B$1,11,1)=DATE(YEAR(TODAY()),MONTH(TODAY()),1))),1,0))</f>
        <v/>
      </c>
      <c r="AA131">
        <f>IF($A131="","",IF(AND($B131&gt;0,N131&lt;$B131,DATE($B$1,12,1)&lt;=TODAY(),OR($O131="",$O131&gt;=DATE($B$1,12,1)),OR(COUNTIF($C131:N131,"&gt;0")&gt;0,DATE($B$1,12,1)=DATE(YEAR(TODAY()),MONTH(TODAY()),1))),1,0))</f>
        <v/>
      </c>
    </row>
    <row r="132">
      <c r="A132" s="13">
        <f>IF(원생!$A130="","",원생!$A130&amp;IF(원생!$G130="",""," ("&amp;원생!$G130&amp;")"))</f>
        <v/>
      </c>
      <c r="B132" s="8">
        <f>IF(원생!$A130="","",N(원생!$F130))</f>
        <v/>
      </c>
      <c r="C132" s="14">
        <f>IF(원생!$A130="","",SUMIFS(계산!$C:$C,계산!$A:$A,계산!$E130,계산!$B:$B,$B$1*100+1))</f>
        <v/>
      </c>
      <c r="D132" s="14">
        <f>IF(원생!$A130="","",SUMIFS(계산!$C:$C,계산!$A:$A,계산!$E130,계산!$B:$B,$B$1*100+2))</f>
        <v/>
      </c>
      <c r="E132" s="14">
        <f>IF(원생!$A130="","",SUMIFS(계산!$C:$C,계산!$A:$A,계산!$E130,계산!$B:$B,$B$1*100+3))</f>
        <v/>
      </c>
      <c r="F132" s="14">
        <f>IF(원생!$A130="","",SUMIFS(계산!$C:$C,계산!$A:$A,계산!$E130,계산!$B:$B,$B$1*100+4))</f>
        <v/>
      </c>
      <c r="G132" s="14">
        <f>IF(원생!$A130="","",SUMIFS(계산!$C:$C,계산!$A:$A,계산!$E130,계산!$B:$B,$B$1*100+5))</f>
        <v/>
      </c>
      <c r="H132" s="14">
        <f>IF(원생!$A130="","",SUMIFS(계산!$C:$C,계산!$A:$A,계산!$E130,계산!$B:$B,$B$1*100+6))</f>
        <v/>
      </c>
      <c r="I132" s="14">
        <f>IF(원생!$A130="","",SUMIFS(계산!$C:$C,계산!$A:$A,계산!$E130,계산!$B:$B,$B$1*100+7))</f>
        <v/>
      </c>
      <c r="J132" s="14">
        <f>IF(원생!$A130="","",SUMIFS(계산!$C:$C,계산!$A:$A,계산!$E130,계산!$B:$B,$B$1*100+8))</f>
        <v/>
      </c>
      <c r="K132" s="14">
        <f>IF(원생!$A130="","",SUMIFS(계산!$C:$C,계산!$A:$A,계산!$E130,계산!$B:$B,$B$1*100+9))</f>
        <v/>
      </c>
      <c r="L132" s="14">
        <f>IF(원생!$A130="","",SUMIFS(계산!$C:$C,계산!$A:$A,계산!$E130,계산!$B:$B,$B$1*100+10))</f>
        <v/>
      </c>
      <c r="M132" s="14">
        <f>IF(원생!$A130="","",SUMIFS(계산!$C:$C,계산!$A:$A,계산!$E130,계산!$B:$B,$B$1*100+11))</f>
        <v/>
      </c>
      <c r="N132" s="14">
        <f>IF(원생!$A130="","",SUMIFS(계산!$C:$C,계산!$A:$A,계산!$E130,계산!$B:$B,$B$1*100+12))</f>
        <v/>
      </c>
      <c r="O132">
        <f>IF(원생!$I130="","",원생!$I130)</f>
        <v/>
      </c>
      <c r="P132">
        <f>IF($A132="","",IF(AND($B132&gt;0,C132&lt;$B132,DATE($B$1,1,1)&lt;=TODAY(),OR($O132="",$O132&gt;=DATE($B$1,1,1)),OR(COUNTIF($C132:C132,"&gt;0")&gt;0,DATE($B$1,1,1)=DATE(YEAR(TODAY()),MONTH(TODAY()),1))),1,0))</f>
        <v/>
      </c>
      <c r="Q132">
        <f>IF($A132="","",IF(AND($B132&gt;0,D132&lt;$B132,DATE($B$1,2,1)&lt;=TODAY(),OR($O132="",$O132&gt;=DATE($B$1,2,1)),OR(COUNTIF($C132:D132,"&gt;0")&gt;0,DATE($B$1,2,1)=DATE(YEAR(TODAY()),MONTH(TODAY()),1))),1,0))</f>
        <v/>
      </c>
      <c r="R132">
        <f>IF($A132="","",IF(AND($B132&gt;0,E132&lt;$B132,DATE($B$1,3,1)&lt;=TODAY(),OR($O132="",$O132&gt;=DATE($B$1,3,1)),OR(COUNTIF($C132:E132,"&gt;0")&gt;0,DATE($B$1,3,1)=DATE(YEAR(TODAY()),MONTH(TODAY()),1))),1,0))</f>
        <v/>
      </c>
      <c r="S132">
        <f>IF($A132="","",IF(AND($B132&gt;0,F132&lt;$B132,DATE($B$1,4,1)&lt;=TODAY(),OR($O132="",$O132&gt;=DATE($B$1,4,1)),OR(COUNTIF($C132:F132,"&gt;0")&gt;0,DATE($B$1,4,1)=DATE(YEAR(TODAY()),MONTH(TODAY()),1))),1,0))</f>
        <v/>
      </c>
      <c r="T132">
        <f>IF($A132="","",IF(AND($B132&gt;0,G132&lt;$B132,DATE($B$1,5,1)&lt;=TODAY(),OR($O132="",$O132&gt;=DATE($B$1,5,1)),OR(COUNTIF($C132:G132,"&gt;0")&gt;0,DATE($B$1,5,1)=DATE(YEAR(TODAY()),MONTH(TODAY()),1))),1,0))</f>
        <v/>
      </c>
      <c r="U132">
        <f>IF($A132="","",IF(AND($B132&gt;0,H132&lt;$B132,DATE($B$1,6,1)&lt;=TODAY(),OR($O132="",$O132&gt;=DATE($B$1,6,1)),OR(COUNTIF($C132:H132,"&gt;0")&gt;0,DATE($B$1,6,1)=DATE(YEAR(TODAY()),MONTH(TODAY()),1))),1,0))</f>
        <v/>
      </c>
      <c r="V132">
        <f>IF($A132="","",IF(AND($B132&gt;0,I132&lt;$B132,DATE($B$1,7,1)&lt;=TODAY(),OR($O132="",$O132&gt;=DATE($B$1,7,1)),OR(COUNTIF($C132:I132,"&gt;0")&gt;0,DATE($B$1,7,1)=DATE(YEAR(TODAY()),MONTH(TODAY()),1))),1,0))</f>
        <v/>
      </c>
      <c r="W132">
        <f>IF($A132="","",IF(AND($B132&gt;0,J132&lt;$B132,DATE($B$1,8,1)&lt;=TODAY(),OR($O132="",$O132&gt;=DATE($B$1,8,1)),OR(COUNTIF($C132:J132,"&gt;0")&gt;0,DATE($B$1,8,1)=DATE(YEAR(TODAY()),MONTH(TODAY()),1))),1,0))</f>
        <v/>
      </c>
      <c r="X132">
        <f>IF($A132="","",IF(AND($B132&gt;0,K132&lt;$B132,DATE($B$1,9,1)&lt;=TODAY(),OR($O132="",$O132&gt;=DATE($B$1,9,1)),OR(COUNTIF($C132:K132,"&gt;0")&gt;0,DATE($B$1,9,1)=DATE(YEAR(TODAY()),MONTH(TODAY()),1))),1,0))</f>
        <v/>
      </c>
      <c r="Y132">
        <f>IF($A132="","",IF(AND($B132&gt;0,L132&lt;$B132,DATE($B$1,10,1)&lt;=TODAY(),OR($O132="",$O132&gt;=DATE($B$1,10,1)),OR(COUNTIF($C132:L132,"&gt;0")&gt;0,DATE($B$1,10,1)=DATE(YEAR(TODAY()),MONTH(TODAY()),1))),1,0))</f>
        <v/>
      </c>
      <c r="Z132">
        <f>IF($A132="","",IF(AND($B132&gt;0,M132&lt;$B132,DATE($B$1,11,1)&lt;=TODAY(),OR($O132="",$O132&gt;=DATE($B$1,11,1)),OR(COUNTIF($C132:M132,"&gt;0")&gt;0,DATE($B$1,11,1)=DATE(YEAR(TODAY()),MONTH(TODAY()),1))),1,0))</f>
        <v/>
      </c>
      <c r="AA132">
        <f>IF($A132="","",IF(AND($B132&gt;0,N132&lt;$B132,DATE($B$1,12,1)&lt;=TODAY(),OR($O132="",$O132&gt;=DATE($B$1,12,1)),OR(COUNTIF($C132:N132,"&gt;0")&gt;0,DATE($B$1,12,1)=DATE(YEAR(TODAY()),MONTH(TODAY()),1))),1,0))</f>
        <v/>
      </c>
    </row>
    <row r="133">
      <c r="A133" s="13">
        <f>IF(원생!$A131="","",원생!$A131&amp;IF(원생!$G131="",""," ("&amp;원생!$G131&amp;")"))</f>
        <v/>
      </c>
      <c r="B133" s="8">
        <f>IF(원생!$A131="","",N(원생!$F131))</f>
        <v/>
      </c>
      <c r="C133" s="14">
        <f>IF(원생!$A131="","",SUMIFS(계산!$C:$C,계산!$A:$A,계산!$E131,계산!$B:$B,$B$1*100+1))</f>
        <v/>
      </c>
      <c r="D133" s="14">
        <f>IF(원생!$A131="","",SUMIFS(계산!$C:$C,계산!$A:$A,계산!$E131,계산!$B:$B,$B$1*100+2))</f>
        <v/>
      </c>
      <c r="E133" s="14">
        <f>IF(원생!$A131="","",SUMIFS(계산!$C:$C,계산!$A:$A,계산!$E131,계산!$B:$B,$B$1*100+3))</f>
        <v/>
      </c>
      <c r="F133" s="14">
        <f>IF(원생!$A131="","",SUMIFS(계산!$C:$C,계산!$A:$A,계산!$E131,계산!$B:$B,$B$1*100+4))</f>
        <v/>
      </c>
      <c r="G133" s="14">
        <f>IF(원생!$A131="","",SUMIFS(계산!$C:$C,계산!$A:$A,계산!$E131,계산!$B:$B,$B$1*100+5))</f>
        <v/>
      </c>
      <c r="H133" s="14">
        <f>IF(원생!$A131="","",SUMIFS(계산!$C:$C,계산!$A:$A,계산!$E131,계산!$B:$B,$B$1*100+6))</f>
        <v/>
      </c>
      <c r="I133" s="14">
        <f>IF(원생!$A131="","",SUMIFS(계산!$C:$C,계산!$A:$A,계산!$E131,계산!$B:$B,$B$1*100+7))</f>
        <v/>
      </c>
      <c r="J133" s="14">
        <f>IF(원생!$A131="","",SUMIFS(계산!$C:$C,계산!$A:$A,계산!$E131,계산!$B:$B,$B$1*100+8))</f>
        <v/>
      </c>
      <c r="K133" s="14">
        <f>IF(원생!$A131="","",SUMIFS(계산!$C:$C,계산!$A:$A,계산!$E131,계산!$B:$B,$B$1*100+9))</f>
        <v/>
      </c>
      <c r="L133" s="14">
        <f>IF(원생!$A131="","",SUMIFS(계산!$C:$C,계산!$A:$A,계산!$E131,계산!$B:$B,$B$1*100+10))</f>
        <v/>
      </c>
      <c r="M133" s="14">
        <f>IF(원생!$A131="","",SUMIFS(계산!$C:$C,계산!$A:$A,계산!$E131,계산!$B:$B,$B$1*100+11))</f>
        <v/>
      </c>
      <c r="N133" s="14">
        <f>IF(원생!$A131="","",SUMIFS(계산!$C:$C,계산!$A:$A,계산!$E131,계산!$B:$B,$B$1*100+12))</f>
        <v/>
      </c>
      <c r="O133">
        <f>IF(원생!$I131="","",원생!$I131)</f>
        <v/>
      </c>
      <c r="P133">
        <f>IF($A133="","",IF(AND($B133&gt;0,C133&lt;$B133,DATE($B$1,1,1)&lt;=TODAY(),OR($O133="",$O133&gt;=DATE($B$1,1,1)),OR(COUNTIF($C133:C133,"&gt;0")&gt;0,DATE($B$1,1,1)=DATE(YEAR(TODAY()),MONTH(TODAY()),1))),1,0))</f>
        <v/>
      </c>
      <c r="Q133">
        <f>IF($A133="","",IF(AND($B133&gt;0,D133&lt;$B133,DATE($B$1,2,1)&lt;=TODAY(),OR($O133="",$O133&gt;=DATE($B$1,2,1)),OR(COUNTIF($C133:D133,"&gt;0")&gt;0,DATE($B$1,2,1)=DATE(YEAR(TODAY()),MONTH(TODAY()),1))),1,0))</f>
        <v/>
      </c>
      <c r="R133">
        <f>IF($A133="","",IF(AND($B133&gt;0,E133&lt;$B133,DATE($B$1,3,1)&lt;=TODAY(),OR($O133="",$O133&gt;=DATE($B$1,3,1)),OR(COUNTIF($C133:E133,"&gt;0")&gt;0,DATE($B$1,3,1)=DATE(YEAR(TODAY()),MONTH(TODAY()),1))),1,0))</f>
        <v/>
      </c>
      <c r="S133">
        <f>IF($A133="","",IF(AND($B133&gt;0,F133&lt;$B133,DATE($B$1,4,1)&lt;=TODAY(),OR($O133="",$O133&gt;=DATE($B$1,4,1)),OR(COUNTIF($C133:F133,"&gt;0")&gt;0,DATE($B$1,4,1)=DATE(YEAR(TODAY()),MONTH(TODAY()),1))),1,0))</f>
        <v/>
      </c>
      <c r="T133">
        <f>IF($A133="","",IF(AND($B133&gt;0,G133&lt;$B133,DATE($B$1,5,1)&lt;=TODAY(),OR($O133="",$O133&gt;=DATE($B$1,5,1)),OR(COUNTIF($C133:G133,"&gt;0")&gt;0,DATE($B$1,5,1)=DATE(YEAR(TODAY()),MONTH(TODAY()),1))),1,0))</f>
        <v/>
      </c>
      <c r="U133">
        <f>IF($A133="","",IF(AND($B133&gt;0,H133&lt;$B133,DATE($B$1,6,1)&lt;=TODAY(),OR($O133="",$O133&gt;=DATE($B$1,6,1)),OR(COUNTIF($C133:H133,"&gt;0")&gt;0,DATE($B$1,6,1)=DATE(YEAR(TODAY()),MONTH(TODAY()),1))),1,0))</f>
        <v/>
      </c>
      <c r="V133">
        <f>IF($A133="","",IF(AND($B133&gt;0,I133&lt;$B133,DATE($B$1,7,1)&lt;=TODAY(),OR($O133="",$O133&gt;=DATE($B$1,7,1)),OR(COUNTIF($C133:I133,"&gt;0")&gt;0,DATE($B$1,7,1)=DATE(YEAR(TODAY()),MONTH(TODAY()),1))),1,0))</f>
        <v/>
      </c>
      <c r="W133">
        <f>IF($A133="","",IF(AND($B133&gt;0,J133&lt;$B133,DATE($B$1,8,1)&lt;=TODAY(),OR($O133="",$O133&gt;=DATE($B$1,8,1)),OR(COUNTIF($C133:J133,"&gt;0")&gt;0,DATE($B$1,8,1)=DATE(YEAR(TODAY()),MONTH(TODAY()),1))),1,0))</f>
        <v/>
      </c>
      <c r="X133">
        <f>IF($A133="","",IF(AND($B133&gt;0,K133&lt;$B133,DATE($B$1,9,1)&lt;=TODAY(),OR($O133="",$O133&gt;=DATE($B$1,9,1)),OR(COUNTIF($C133:K133,"&gt;0")&gt;0,DATE($B$1,9,1)=DATE(YEAR(TODAY()),MONTH(TODAY()),1))),1,0))</f>
        <v/>
      </c>
      <c r="Y133">
        <f>IF($A133="","",IF(AND($B133&gt;0,L133&lt;$B133,DATE($B$1,10,1)&lt;=TODAY(),OR($O133="",$O133&gt;=DATE($B$1,10,1)),OR(COUNTIF($C133:L133,"&gt;0")&gt;0,DATE($B$1,10,1)=DATE(YEAR(TODAY()),MONTH(TODAY()),1))),1,0))</f>
        <v/>
      </c>
      <c r="Z133">
        <f>IF($A133="","",IF(AND($B133&gt;0,M133&lt;$B133,DATE($B$1,11,1)&lt;=TODAY(),OR($O133="",$O133&gt;=DATE($B$1,11,1)),OR(COUNTIF($C133:M133,"&gt;0")&gt;0,DATE($B$1,11,1)=DATE(YEAR(TODAY()),MONTH(TODAY()),1))),1,0))</f>
        <v/>
      </c>
      <c r="AA133">
        <f>IF($A133="","",IF(AND($B133&gt;0,N133&lt;$B133,DATE($B$1,12,1)&lt;=TODAY(),OR($O133="",$O133&gt;=DATE($B$1,12,1)),OR(COUNTIF($C133:N133,"&gt;0")&gt;0,DATE($B$1,12,1)=DATE(YEAR(TODAY()),MONTH(TODAY()),1))),1,0))</f>
        <v/>
      </c>
    </row>
    <row r="134">
      <c r="A134" s="13">
        <f>IF(원생!$A132="","",원생!$A132&amp;IF(원생!$G132="",""," ("&amp;원생!$G132&amp;")"))</f>
        <v/>
      </c>
      <c r="B134" s="8">
        <f>IF(원생!$A132="","",N(원생!$F132))</f>
        <v/>
      </c>
      <c r="C134" s="14">
        <f>IF(원생!$A132="","",SUMIFS(계산!$C:$C,계산!$A:$A,계산!$E132,계산!$B:$B,$B$1*100+1))</f>
        <v/>
      </c>
      <c r="D134" s="14">
        <f>IF(원생!$A132="","",SUMIFS(계산!$C:$C,계산!$A:$A,계산!$E132,계산!$B:$B,$B$1*100+2))</f>
        <v/>
      </c>
      <c r="E134" s="14">
        <f>IF(원생!$A132="","",SUMIFS(계산!$C:$C,계산!$A:$A,계산!$E132,계산!$B:$B,$B$1*100+3))</f>
        <v/>
      </c>
      <c r="F134" s="14">
        <f>IF(원생!$A132="","",SUMIFS(계산!$C:$C,계산!$A:$A,계산!$E132,계산!$B:$B,$B$1*100+4))</f>
        <v/>
      </c>
      <c r="G134" s="14">
        <f>IF(원생!$A132="","",SUMIFS(계산!$C:$C,계산!$A:$A,계산!$E132,계산!$B:$B,$B$1*100+5))</f>
        <v/>
      </c>
      <c r="H134" s="14">
        <f>IF(원생!$A132="","",SUMIFS(계산!$C:$C,계산!$A:$A,계산!$E132,계산!$B:$B,$B$1*100+6))</f>
        <v/>
      </c>
      <c r="I134" s="14">
        <f>IF(원생!$A132="","",SUMIFS(계산!$C:$C,계산!$A:$A,계산!$E132,계산!$B:$B,$B$1*100+7))</f>
        <v/>
      </c>
      <c r="J134" s="14">
        <f>IF(원생!$A132="","",SUMIFS(계산!$C:$C,계산!$A:$A,계산!$E132,계산!$B:$B,$B$1*100+8))</f>
        <v/>
      </c>
      <c r="K134" s="14">
        <f>IF(원생!$A132="","",SUMIFS(계산!$C:$C,계산!$A:$A,계산!$E132,계산!$B:$B,$B$1*100+9))</f>
        <v/>
      </c>
      <c r="L134" s="14">
        <f>IF(원생!$A132="","",SUMIFS(계산!$C:$C,계산!$A:$A,계산!$E132,계산!$B:$B,$B$1*100+10))</f>
        <v/>
      </c>
      <c r="M134" s="14">
        <f>IF(원생!$A132="","",SUMIFS(계산!$C:$C,계산!$A:$A,계산!$E132,계산!$B:$B,$B$1*100+11))</f>
        <v/>
      </c>
      <c r="N134" s="14">
        <f>IF(원생!$A132="","",SUMIFS(계산!$C:$C,계산!$A:$A,계산!$E132,계산!$B:$B,$B$1*100+12))</f>
        <v/>
      </c>
      <c r="O134">
        <f>IF(원생!$I132="","",원생!$I132)</f>
        <v/>
      </c>
      <c r="P134">
        <f>IF($A134="","",IF(AND($B134&gt;0,C134&lt;$B134,DATE($B$1,1,1)&lt;=TODAY(),OR($O134="",$O134&gt;=DATE($B$1,1,1)),OR(COUNTIF($C134:C134,"&gt;0")&gt;0,DATE($B$1,1,1)=DATE(YEAR(TODAY()),MONTH(TODAY()),1))),1,0))</f>
        <v/>
      </c>
      <c r="Q134">
        <f>IF($A134="","",IF(AND($B134&gt;0,D134&lt;$B134,DATE($B$1,2,1)&lt;=TODAY(),OR($O134="",$O134&gt;=DATE($B$1,2,1)),OR(COUNTIF($C134:D134,"&gt;0")&gt;0,DATE($B$1,2,1)=DATE(YEAR(TODAY()),MONTH(TODAY()),1))),1,0))</f>
        <v/>
      </c>
      <c r="R134">
        <f>IF($A134="","",IF(AND($B134&gt;0,E134&lt;$B134,DATE($B$1,3,1)&lt;=TODAY(),OR($O134="",$O134&gt;=DATE($B$1,3,1)),OR(COUNTIF($C134:E134,"&gt;0")&gt;0,DATE($B$1,3,1)=DATE(YEAR(TODAY()),MONTH(TODAY()),1))),1,0))</f>
        <v/>
      </c>
      <c r="S134">
        <f>IF($A134="","",IF(AND($B134&gt;0,F134&lt;$B134,DATE($B$1,4,1)&lt;=TODAY(),OR($O134="",$O134&gt;=DATE($B$1,4,1)),OR(COUNTIF($C134:F134,"&gt;0")&gt;0,DATE($B$1,4,1)=DATE(YEAR(TODAY()),MONTH(TODAY()),1))),1,0))</f>
        <v/>
      </c>
      <c r="T134">
        <f>IF($A134="","",IF(AND($B134&gt;0,G134&lt;$B134,DATE($B$1,5,1)&lt;=TODAY(),OR($O134="",$O134&gt;=DATE($B$1,5,1)),OR(COUNTIF($C134:G134,"&gt;0")&gt;0,DATE($B$1,5,1)=DATE(YEAR(TODAY()),MONTH(TODAY()),1))),1,0))</f>
        <v/>
      </c>
      <c r="U134">
        <f>IF($A134="","",IF(AND($B134&gt;0,H134&lt;$B134,DATE($B$1,6,1)&lt;=TODAY(),OR($O134="",$O134&gt;=DATE($B$1,6,1)),OR(COUNTIF($C134:H134,"&gt;0")&gt;0,DATE($B$1,6,1)=DATE(YEAR(TODAY()),MONTH(TODAY()),1))),1,0))</f>
        <v/>
      </c>
      <c r="V134">
        <f>IF($A134="","",IF(AND($B134&gt;0,I134&lt;$B134,DATE($B$1,7,1)&lt;=TODAY(),OR($O134="",$O134&gt;=DATE($B$1,7,1)),OR(COUNTIF($C134:I134,"&gt;0")&gt;0,DATE($B$1,7,1)=DATE(YEAR(TODAY()),MONTH(TODAY()),1))),1,0))</f>
        <v/>
      </c>
      <c r="W134">
        <f>IF($A134="","",IF(AND($B134&gt;0,J134&lt;$B134,DATE($B$1,8,1)&lt;=TODAY(),OR($O134="",$O134&gt;=DATE($B$1,8,1)),OR(COUNTIF($C134:J134,"&gt;0")&gt;0,DATE($B$1,8,1)=DATE(YEAR(TODAY()),MONTH(TODAY()),1))),1,0))</f>
        <v/>
      </c>
      <c r="X134">
        <f>IF($A134="","",IF(AND($B134&gt;0,K134&lt;$B134,DATE($B$1,9,1)&lt;=TODAY(),OR($O134="",$O134&gt;=DATE($B$1,9,1)),OR(COUNTIF($C134:K134,"&gt;0")&gt;0,DATE($B$1,9,1)=DATE(YEAR(TODAY()),MONTH(TODAY()),1))),1,0))</f>
        <v/>
      </c>
      <c r="Y134">
        <f>IF($A134="","",IF(AND($B134&gt;0,L134&lt;$B134,DATE($B$1,10,1)&lt;=TODAY(),OR($O134="",$O134&gt;=DATE($B$1,10,1)),OR(COUNTIF($C134:L134,"&gt;0")&gt;0,DATE($B$1,10,1)=DATE(YEAR(TODAY()),MONTH(TODAY()),1))),1,0))</f>
        <v/>
      </c>
      <c r="Z134">
        <f>IF($A134="","",IF(AND($B134&gt;0,M134&lt;$B134,DATE($B$1,11,1)&lt;=TODAY(),OR($O134="",$O134&gt;=DATE($B$1,11,1)),OR(COUNTIF($C134:M134,"&gt;0")&gt;0,DATE($B$1,11,1)=DATE(YEAR(TODAY()),MONTH(TODAY()),1))),1,0))</f>
        <v/>
      </c>
      <c r="AA134">
        <f>IF($A134="","",IF(AND($B134&gt;0,N134&lt;$B134,DATE($B$1,12,1)&lt;=TODAY(),OR($O134="",$O134&gt;=DATE($B$1,12,1)),OR(COUNTIF($C134:N134,"&gt;0")&gt;0,DATE($B$1,12,1)=DATE(YEAR(TODAY()),MONTH(TODAY()),1))),1,0))</f>
        <v/>
      </c>
    </row>
    <row r="135">
      <c r="A135" s="13">
        <f>IF(원생!$A133="","",원생!$A133&amp;IF(원생!$G133="",""," ("&amp;원생!$G133&amp;")"))</f>
        <v/>
      </c>
      <c r="B135" s="8">
        <f>IF(원생!$A133="","",N(원생!$F133))</f>
        <v/>
      </c>
      <c r="C135" s="14">
        <f>IF(원생!$A133="","",SUMIFS(계산!$C:$C,계산!$A:$A,계산!$E133,계산!$B:$B,$B$1*100+1))</f>
        <v/>
      </c>
      <c r="D135" s="14">
        <f>IF(원생!$A133="","",SUMIFS(계산!$C:$C,계산!$A:$A,계산!$E133,계산!$B:$B,$B$1*100+2))</f>
        <v/>
      </c>
      <c r="E135" s="14">
        <f>IF(원생!$A133="","",SUMIFS(계산!$C:$C,계산!$A:$A,계산!$E133,계산!$B:$B,$B$1*100+3))</f>
        <v/>
      </c>
      <c r="F135" s="14">
        <f>IF(원생!$A133="","",SUMIFS(계산!$C:$C,계산!$A:$A,계산!$E133,계산!$B:$B,$B$1*100+4))</f>
        <v/>
      </c>
      <c r="G135" s="14">
        <f>IF(원생!$A133="","",SUMIFS(계산!$C:$C,계산!$A:$A,계산!$E133,계산!$B:$B,$B$1*100+5))</f>
        <v/>
      </c>
      <c r="H135" s="14">
        <f>IF(원생!$A133="","",SUMIFS(계산!$C:$C,계산!$A:$A,계산!$E133,계산!$B:$B,$B$1*100+6))</f>
        <v/>
      </c>
      <c r="I135" s="14">
        <f>IF(원생!$A133="","",SUMIFS(계산!$C:$C,계산!$A:$A,계산!$E133,계산!$B:$B,$B$1*100+7))</f>
        <v/>
      </c>
      <c r="J135" s="14">
        <f>IF(원생!$A133="","",SUMIFS(계산!$C:$C,계산!$A:$A,계산!$E133,계산!$B:$B,$B$1*100+8))</f>
        <v/>
      </c>
      <c r="K135" s="14">
        <f>IF(원생!$A133="","",SUMIFS(계산!$C:$C,계산!$A:$A,계산!$E133,계산!$B:$B,$B$1*100+9))</f>
        <v/>
      </c>
      <c r="L135" s="14">
        <f>IF(원생!$A133="","",SUMIFS(계산!$C:$C,계산!$A:$A,계산!$E133,계산!$B:$B,$B$1*100+10))</f>
        <v/>
      </c>
      <c r="M135" s="14">
        <f>IF(원생!$A133="","",SUMIFS(계산!$C:$C,계산!$A:$A,계산!$E133,계산!$B:$B,$B$1*100+11))</f>
        <v/>
      </c>
      <c r="N135" s="14">
        <f>IF(원생!$A133="","",SUMIFS(계산!$C:$C,계산!$A:$A,계산!$E133,계산!$B:$B,$B$1*100+12))</f>
        <v/>
      </c>
      <c r="O135">
        <f>IF(원생!$I133="","",원생!$I133)</f>
        <v/>
      </c>
      <c r="P135">
        <f>IF($A135="","",IF(AND($B135&gt;0,C135&lt;$B135,DATE($B$1,1,1)&lt;=TODAY(),OR($O135="",$O135&gt;=DATE($B$1,1,1)),OR(COUNTIF($C135:C135,"&gt;0")&gt;0,DATE($B$1,1,1)=DATE(YEAR(TODAY()),MONTH(TODAY()),1))),1,0))</f>
        <v/>
      </c>
      <c r="Q135">
        <f>IF($A135="","",IF(AND($B135&gt;0,D135&lt;$B135,DATE($B$1,2,1)&lt;=TODAY(),OR($O135="",$O135&gt;=DATE($B$1,2,1)),OR(COUNTIF($C135:D135,"&gt;0")&gt;0,DATE($B$1,2,1)=DATE(YEAR(TODAY()),MONTH(TODAY()),1))),1,0))</f>
        <v/>
      </c>
      <c r="R135">
        <f>IF($A135="","",IF(AND($B135&gt;0,E135&lt;$B135,DATE($B$1,3,1)&lt;=TODAY(),OR($O135="",$O135&gt;=DATE($B$1,3,1)),OR(COUNTIF($C135:E135,"&gt;0")&gt;0,DATE($B$1,3,1)=DATE(YEAR(TODAY()),MONTH(TODAY()),1))),1,0))</f>
        <v/>
      </c>
      <c r="S135">
        <f>IF($A135="","",IF(AND($B135&gt;0,F135&lt;$B135,DATE($B$1,4,1)&lt;=TODAY(),OR($O135="",$O135&gt;=DATE($B$1,4,1)),OR(COUNTIF($C135:F135,"&gt;0")&gt;0,DATE($B$1,4,1)=DATE(YEAR(TODAY()),MONTH(TODAY()),1))),1,0))</f>
        <v/>
      </c>
      <c r="T135">
        <f>IF($A135="","",IF(AND($B135&gt;0,G135&lt;$B135,DATE($B$1,5,1)&lt;=TODAY(),OR($O135="",$O135&gt;=DATE($B$1,5,1)),OR(COUNTIF($C135:G135,"&gt;0")&gt;0,DATE($B$1,5,1)=DATE(YEAR(TODAY()),MONTH(TODAY()),1))),1,0))</f>
        <v/>
      </c>
      <c r="U135">
        <f>IF($A135="","",IF(AND($B135&gt;0,H135&lt;$B135,DATE($B$1,6,1)&lt;=TODAY(),OR($O135="",$O135&gt;=DATE($B$1,6,1)),OR(COUNTIF($C135:H135,"&gt;0")&gt;0,DATE($B$1,6,1)=DATE(YEAR(TODAY()),MONTH(TODAY()),1))),1,0))</f>
        <v/>
      </c>
      <c r="V135">
        <f>IF($A135="","",IF(AND($B135&gt;0,I135&lt;$B135,DATE($B$1,7,1)&lt;=TODAY(),OR($O135="",$O135&gt;=DATE($B$1,7,1)),OR(COUNTIF($C135:I135,"&gt;0")&gt;0,DATE($B$1,7,1)=DATE(YEAR(TODAY()),MONTH(TODAY()),1))),1,0))</f>
        <v/>
      </c>
      <c r="W135">
        <f>IF($A135="","",IF(AND($B135&gt;0,J135&lt;$B135,DATE($B$1,8,1)&lt;=TODAY(),OR($O135="",$O135&gt;=DATE($B$1,8,1)),OR(COUNTIF($C135:J135,"&gt;0")&gt;0,DATE($B$1,8,1)=DATE(YEAR(TODAY()),MONTH(TODAY()),1))),1,0))</f>
        <v/>
      </c>
      <c r="X135">
        <f>IF($A135="","",IF(AND($B135&gt;0,K135&lt;$B135,DATE($B$1,9,1)&lt;=TODAY(),OR($O135="",$O135&gt;=DATE($B$1,9,1)),OR(COUNTIF($C135:K135,"&gt;0")&gt;0,DATE($B$1,9,1)=DATE(YEAR(TODAY()),MONTH(TODAY()),1))),1,0))</f>
        <v/>
      </c>
      <c r="Y135">
        <f>IF($A135="","",IF(AND($B135&gt;0,L135&lt;$B135,DATE($B$1,10,1)&lt;=TODAY(),OR($O135="",$O135&gt;=DATE($B$1,10,1)),OR(COUNTIF($C135:L135,"&gt;0")&gt;0,DATE($B$1,10,1)=DATE(YEAR(TODAY()),MONTH(TODAY()),1))),1,0))</f>
        <v/>
      </c>
      <c r="Z135">
        <f>IF($A135="","",IF(AND($B135&gt;0,M135&lt;$B135,DATE($B$1,11,1)&lt;=TODAY(),OR($O135="",$O135&gt;=DATE($B$1,11,1)),OR(COUNTIF($C135:M135,"&gt;0")&gt;0,DATE($B$1,11,1)=DATE(YEAR(TODAY()),MONTH(TODAY()),1))),1,0))</f>
        <v/>
      </c>
      <c r="AA135">
        <f>IF($A135="","",IF(AND($B135&gt;0,N135&lt;$B135,DATE($B$1,12,1)&lt;=TODAY(),OR($O135="",$O135&gt;=DATE($B$1,12,1)),OR(COUNTIF($C135:N135,"&gt;0")&gt;0,DATE($B$1,12,1)=DATE(YEAR(TODAY()),MONTH(TODAY()),1))),1,0))</f>
        <v/>
      </c>
    </row>
    <row r="136">
      <c r="A136" s="13">
        <f>IF(원생!$A134="","",원생!$A134&amp;IF(원생!$G134="",""," ("&amp;원생!$G134&amp;")"))</f>
        <v/>
      </c>
      <c r="B136" s="8">
        <f>IF(원생!$A134="","",N(원생!$F134))</f>
        <v/>
      </c>
      <c r="C136" s="14">
        <f>IF(원생!$A134="","",SUMIFS(계산!$C:$C,계산!$A:$A,계산!$E134,계산!$B:$B,$B$1*100+1))</f>
        <v/>
      </c>
      <c r="D136" s="14">
        <f>IF(원생!$A134="","",SUMIFS(계산!$C:$C,계산!$A:$A,계산!$E134,계산!$B:$B,$B$1*100+2))</f>
        <v/>
      </c>
      <c r="E136" s="14">
        <f>IF(원생!$A134="","",SUMIFS(계산!$C:$C,계산!$A:$A,계산!$E134,계산!$B:$B,$B$1*100+3))</f>
        <v/>
      </c>
      <c r="F136" s="14">
        <f>IF(원생!$A134="","",SUMIFS(계산!$C:$C,계산!$A:$A,계산!$E134,계산!$B:$B,$B$1*100+4))</f>
        <v/>
      </c>
      <c r="G136" s="14">
        <f>IF(원생!$A134="","",SUMIFS(계산!$C:$C,계산!$A:$A,계산!$E134,계산!$B:$B,$B$1*100+5))</f>
        <v/>
      </c>
      <c r="H136" s="14">
        <f>IF(원생!$A134="","",SUMIFS(계산!$C:$C,계산!$A:$A,계산!$E134,계산!$B:$B,$B$1*100+6))</f>
        <v/>
      </c>
      <c r="I136" s="14">
        <f>IF(원생!$A134="","",SUMIFS(계산!$C:$C,계산!$A:$A,계산!$E134,계산!$B:$B,$B$1*100+7))</f>
        <v/>
      </c>
      <c r="J136" s="14">
        <f>IF(원생!$A134="","",SUMIFS(계산!$C:$C,계산!$A:$A,계산!$E134,계산!$B:$B,$B$1*100+8))</f>
        <v/>
      </c>
      <c r="K136" s="14">
        <f>IF(원생!$A134="","",SUMIFS(계산!$C:$C,계산!$A:$A,계산!$E134,계산!$B:$B,$B$1*100+9))</f>
        <v/>
      </c>
      <c r="L136" s="14">
        <f>IF(원생!$A134="","",SUMIFS(계산!$C:$C,계산!$A:$A,계산!$E134,계산!$B:$B,$B$1*100+10))</f>
        <v/>
      </c>
      <c r="M136" s="14">
        <f>IF(원생!$A134="","",SUMIFS(계산!$C:$C,계산!$A:$A,계산!$E134,계산!$B:$B,$B$1*100+11))</f>
        <v/>
      </c>
      <c r="N136" s="14">
        <f>IF(원생!$A134="","",SUMIFS(계산!$C:$C,계산!$A:$A,계산!$E134,계산!$B:$B,$B$1*100+12))</f>
        <v/>
      </c>
      <c r="O136">
        <f>IF(원생!$I134="","",원생!$I134)</f>
        <v/>
      </c>
      <c r="P136">
        <f>IF($A136="","",IF(AND($B136&gt;0,C136&lt;$B136,DATE($B$1,1,1)&lt;=TODAY(),OR($O136="",$O136&gt;=DATE($B$1,1,1)),OR(COUNTIF($C136:C136,"&gt;0")&gt;0,DATE($B$1,1,1)=DATE(YEAR(TODAY()),MONTH(TODAY()),1))),1,0))</f>
        <v/>
      </c>
      <c r="Q136">
        <f>IF($A136="","",IF(AND($B136&gt;0,D136&lt;$B136,DATE($B$1,2,1)&lt;=TODAY(),OR($O136="",$O136&gt;=DATE($B$1,2,1)),OR(COUNTIF($C136:D136,"&gt;0")&gt;0,DATE($B$1,2,1)=DATE(YEAR(TODAY()),MONTH(TODAY()),1))),1,0))</f>
        <v/>
      </c>
      <c r="R136">
        <f>IF($A136="","",IF(AND($B136&gt;0,E136&lt;$B136,DATE($B$1,3,1)&lt;=TODAY(),OR($O136="",$O136&gt;=DATE($B$1,3,1)),OR(COUNTIF($C136:E136,"&gt;0")&gt;0,DATE($B$1,3,1)=DATE(YEAR(TODAY()),MONTH(TODAY()),1))),1,0))</f>
        <v/>
      </c>
      <c r="S136">
        <f>IF($A136="","",IF(AND($B136&gt;0,F136&lt;$B136,DATE($B$1,4,1)&lt;=TODAY(),OR($O136="",$O136&gt;=DATE($B$1,4,1)),OR(COUNTIF($C136:F136,"&gt;0")&gt;0,DATE($B$1,4,1)=DATE(YEAR(TODAY()),MONTH(TODAY()),1))),1,0))</f>
        <v/>
      </c>
      <c r="T136">
        <f>IF($A136="","",IF(AND($B136&gt;0,G136&lt;$B136,DATE($B$1,5,1)&lt;=TODAY(),OR($O136="",$O136&gt;=DATE($B$1,5,1)),OR(COUNTIF($C136:G136,"&gt;0")&gt;0,DATE($B$1,5,1)=DATE(YEAR(TODAY()),MONTH(TODAY()),1))),1,0))</f>
        <v/>
      </c>
      <c r="U136">
        <f>IF($A136="","",IF(AND($B136&gt;0,H136&lt;$B136,DATE($B$1,6,1)&lt;=TODAY(),OR($O136="",$O136&gt;=DATE($B$1,6,1)),OR(COUNTIF($C136:H136,"&gt;0")&gt;0,DATE($B$1,6,1)=DATE(YEAR(TODAY()),MONTH(TODAY()),1))),1,0))</f>
        <v/>
      </c>
      <c r="V136">
        <f>IF($A136="","",IF(AND($B136&gt;0,I136&lt;$B136,DATE($B$1,7,1)&lt;=TODAY(),OR($O136="",$O136&gt;=DATE($B$1,7,1)),OR(COUNTIF($C136:I136,"&gt;0")&gt;0,DATE($B$1,7,1)=DATE(YEAR(TODAY()),MONTH(TODAY()),1))),1,0))</f>
        <v/>
      </c>
      <c r="W136">
        <f>IF($A136="","",IF(AND($B136&gt;0,J136&lt;$B136,DATE($B$1,8,1)&lt;=TODAY(),OR($O136="",$O136&gt;=DATE($B$1,8,1)),OR(COUNTIF($C136:J136,"&gt;0")&gt;0,DATE($B$1,8,1)=DATE(YEAR(TODAY()),MONTH(TODAY()),1))),1,0))</f>
        <v/>
      </c>
      <c r="X136">
        <f>IF($A136="","",IF(AND($B136&gt;0,K136&lt;$B136,DATE($B$1,9,1)&lt;=TODAY(),OR($O136="",$O136&gt;=DATE($B$1,9,1)),OR(COUNTIF($C136:K136,"&gt;0")&gt;0,DATE($B$1,9,1)=DATE(YEAR(TODAY()),MONTH(TODAY()),1))),1,0))</f>
        <v/>
      </c>
      <c r="Y136">
        <f>IF($A136="","",IF(AND($B136&gt;0,L136&lt;$B136,DATE($B$1,10,1)&lt;=TODAY(),OR($O136="",$O136&gt;=DATE($B$1,10,1)),OR(COUNTIF($C136:L136,"&gt;0")&gt;0,DATE($B$1,10,1)=DATE(YEAR(TODAY()),MONTH(TODAY()),1))),1,0))</f>
        <v/>
      </c>
      <c r="Z136">
        <f>IF($A136="","",IF(AND($B136&gt;0,M136&lt;$B136,DATE($B$1,11,1)&lt;=TODAY(),OR($O136="",$O136&gt;=DATE($B$1,11,1)),OR(COUNTIF($C136:M136,"&gt;0")&gt;0,DATE($B$1,11,1)=DATE(YEAR(TODAY()),MONTH(TODAY()),1))),1,0))</f>
        <v/>
      </c>
      <c r="AA136">
        <f>IF($A136="","",IF(AND($B136&gt;0,N136&lt;$B136,DATE($B$1,12,1)&lt;=TODAY(),OR($O136="",$O136&gt;=DATE($B$1,12,1)),OR(COUNTIF($C136:N136,"&gt;0")&gt;0,DATE($B$1,12,1)=DATE(YEAR(TODAY()),MONTH(TODAY()),1))),1,0))</f>
        <v/>
      </c>
    </row>
    <row r="137">
      <c r="A137" s="13">
        <f>IF(원생!$A135="","",원생!$A135&amp;IF(원생!$G135="",""," ("&amp;원생!$G135&amp;")"))</f>
        <v/>
      </c>
      <c r="B137" s="8">
        <f>IF(원생!$A135="","",N(원생!$F135))</f>
        <v/>
      </c>
      <c r="C137" s="14">
        <f>IF(원생!$A135="","",SUMIFS(계산!$C:$C,계산!$A:$A,계산!$E135,계산!$B:$B,$B$1*100+1))</f>
        <v/>
      </c>
      <c r="D137" s="14">
        <f>IF(원생!$A135="","",SUMIFS(계산!$C:$C,계산!$A:$A,계산!$E135,계산!$B:$B,$B$1*100+2))</f>
        <v/>
      </c>
      <c r="E137" s="14">
        <f>IF(원생!$A135="","",SUMIFS(계산!$C:$C,계산!$A:$A,계산!$E135,계산!$B:$B,$B$1*100+3))</f>
        <v/>
      </c>
      <c r="F137" s="14">
        <f>IF(원생!$A135="","",SUMIFS(계산!$C:$C,계산!$A:$A,계산!$E135,계산!$B:$B,$B$1*100+4))</f>
        <v/>
      </c>
      <c r="G137" s="14">
        <f>IF(원생!$A135="","",SUMIFS(계산!$C:$C,계산!$A:$A,계산!$E135,계산!$B:$B,$B$1*100+5))</f>
        <v/>
      </c>
      <c r="H137" s="14">
        <f>IF(원생!$A135="","",SUMIFS(계산!$C:$C,계산!$A:$A,계산!$E135,계산!$B:$B,$B$1*100+6))</f>
        <v/>
      </c>
      <c r="I137" s="14">
        <f>IF(원생!$A135="","",SUMIFS(계산!$C:$C,계산!$A:$A,계산!$E135,계산!$B:$B,$B$1*100+7))</f>
        <v/>
      </c>
      <c r="J137" s="14">
        <f>IF(원생!$A135="","",SUMIFS(계산!$C:$C,계산!$A:$A,계산!$E135,계산!$B:$B,$B$1*100+8))</f>
        <v/>
      </c>
      <c r="K137" s="14">
        <f>IF(원생!$A135="","",SUMIFS(계산!$C:$C,계산!$A:$A,계산!$E135,계산!$B:$B,$B$1*100+9))</f>
        <v/>
      </c>
      <c r="L137" s="14">
        <f>IF(원생!$A135="","",SUMIFS(계산!$C:$C,계산!$A:$A,계산!$E135,계산!$B:$B,$B$1*100+10))</f>
        <v/>
      </c>
      <c r="M137" s="14">
        <f>IF(원생!$A135="","",SUMIFS(계산!$C:$C,계산!$A:$A,계산!$E135,계산!$B:$B,$B$1*100+11))</f>
        <v/>
      </c>
      <c r="N137" s="14">
        <f>IF(원생!$A135="","",SUMIFS(계산!$C:$C,계산!$A:$A,계산!$E135,계산!$B:$B,$B$1*100+12))</f>
        <v/>
      </c>
      <c r="O137">
        <f>IF(원생!$I135="","",원생!$I135)</f>
        <v/>
      </c>
      <c r="P137">
        <f>IF($A137="","",IF(AND($B137&gt;0,C137&lt;$B137,DATE($B$1,1,1)&lt;=TODAY(),OR($O137="",$O137&gt;=DATE($B$1,1,1)),OR(COUNTIF($C137:C137,"&gt;0")&gt;0,DATE($B$1,1,1)=DATE(YEAR(TODAY()),MONTH(TODAY()),1))),1,0))</f>
        <v/>
      </c>
      <c r="Q137">
        <f>IF($A137="","",IF(AND($B137&gt;0,D137&lt;$B137,DATE($B$1,2,1)&lt;=TODAY(),OR($O137="",$O137&gt;=DATE($B$1,2,1)),OR(COUNTIF($C137:D137,"&gt;0")&gt;0,DATE($B$1,2,1)=DATE(YEAR(TODAY()),MONTH(TODAY()),1))),1,0))</f>
        <v/>
      </c>
      <c r="R137">
        <f>IF($A137="","",IF(AND($B137&gt;0,E137&lt;$B137,DATE($B$1,3,1)&lt;=TODAY(),OR($O137="",$O137&gt;=DATE($B$1,3,1)),OR(COUNTIF($C137:E137,"&gt;0")&gt;0,DATE($B$1,3,1)=DATE(YEAR(TODAY()),MONTH(TODAY()),1))),1,0))</f>
        <v/>
      </c>
      <c r="S137">
        <f>IF($A137="","",IF(AND($B137&gt;0,F137&lt;$B137,DATE($B$1,4,1)&lt;=TODAY(),OR($O137="",$O137&gt;=DATE($B$1,4,1)),OR(COUNTIF($C137:F137,"&gt;0")&gt;0,DATE($B$1,4,1)=DATE(YEAR(TODAY()),MONTH(TODAY()),1))),1,0))</f>
        <v/>
      </c>
      <c r="T137">
        <f>IF($A137="","",IF(AND($B137&gt;0,G137&lt;$B137,DATE($B$1,5,1)&lt;=TODAY(),OR($O137="",$O137&gt;=DATE($B$1,5,1)),OR(COUNTIF($C137:G137,"&gt;0")&gt;0,DATE($B$1,5,1)=DATE(YEAR(TODAY()),MONTH(TODAY()),1))),1,0))</f>
        <v/>
      </c>
      <c r="U137">
        <f>IF($A137="","",IF(AND($B137&gt;0,H137&lt;$B137,DATE($B$1,6,1)&lt;=TODAY(),OR($O137="",$O137&gt;=DATE($B$1,6,1)),OR(COUNTIF($C137:H137,"&gt;0")&gt;0,DATE($B$1,6,1)=DATE(YEAR(TODAY()),MONTH(TODAY()),1))),1,0))</f>
        <v/>
      </c>
      <c r="V137">
        <f>IF($A137="","",IF(AND($B137&gt;0,I137&lt;$B137,DATE($B$1,7,1)&lt;=TODAY(),OR($O137="",$O137&gt;=DATE($B$1,7,1)),OR(COUNTIF($C137:I137,"&gt;0")&gt;0,DATE($B$1,7,1)=DATE(YEAR(TODAY()),MONTH(TODAY()),1))),1,0))</f>
        <v/>
      </c>
      <c r="W137">
        <f>IF($A137="","",IF(AND($B137&gt;0,J137&lt;$B137,DATE($B$1,8,1)&lt;=TODAY(),OR($O137="",$O137&gt;=DATE($B$1,8,1)),OR(COUNTIF($C137:J137,"&gt;0")&gt;0,DATE($B$1,8,1)=DATE(YEAR(TODAY()),MONTH(TODAY()),1))),1,0))</f>
        <v/>
      </c>
      <c r="X137">
        <f>IF($A137="","",IF(AND($B137&gt;0,K137&lt;$B137,DATE($B$1,9,1)&lt;=TODAY(),OR($O137="",$O137&gt;=DATE($B$1,9,1)),OR(COUNTIF($C137:K137,"&gt;0")&gt;0,DATE($B$1,9,1)=DATE(YEAR(TODAY()),MONTH(TODAY()),1))),1,0))</f>
        <v/>
      </c>
      <c r="Y137">
        <f>IF($A137="","",IF(AND($B137&gt;0,L137&lt;$B137,DATE($B$1,10,1)&lt;=TODAY(),OR($O137="",$O137&gt;=DATE($B$1,10,1)),OR(COUNTIF($C137:L137,"&gt;0")&gt;0,DATE($B$1,10,1)=DATE(YEAR(TODAY()),MONTH(TODAY()),1))),1,0))</f>
        <v/>
      </c>
      <c r="Z137">
        <f>IF($A137="","",IF(AND($B137&gt;0,M137&lt;$B137,DATE($B$1,11,1)&lt;=TODAY(),OR($O137="",$O137&gt;=DATE($B$1,11,1)),OR(COUNTIF($C137:M137,"&gt;0")&gt;0,DATE($B$1,11,1)=DATE(YEAR(TODAY()),MONTH(TODAY()),1))),1,0))</f>
        <v/>
      </c>
      <c r="AA137">
        <f>IF($A137="","",IF(AND($B137&gt;0,N137&lt;$B137,DATE($B$1,12,1)&lt;=TODAY(),OR($O137="",$O137&gt;=DATE($B$1,12,1)),OR(COUNTIF($C137:N137,"&gt;0")&gt;0,DATE($B$1,12,1)=DATE(YEAR(TODAY()),MONTH(TODAY()),1))),1,0))</f>
        <v/>
      </c>
    </row>
    <row r="138">
      <c r="A138" s="13">
        <f>IF(원생!$A136="","",원생!$A136&amp;IF(원생!$G136="",""," ("&amp;원생!$G136&amp;")"))</f>
        <v/>
      </c>
      <c r="B138" s="8">
        <f>IF(원생!$A136="","",N(원생!$F136))</f>
        <v/>
      </c>
      <c r="C138" s="14">
        <f>IF(원생!$A136="","",SUMIFS(계산!$C:$C,계산!$A:$A,계산!$E136,계산!$B:$B,$B$1*100+1))</f>
        <v/>
      </c>
      <c r="D138" s="14">
        <f>IF(원생!$A136="","",SUMIFS(계산!$C:$C,계산!$A:$A,계산!$E136,계산!$B:$B,$B$1*100+2))</f>
        <v/>
      </c>
      <c r="E138" s="14">
        <f>IF(원생!$A136="","",SUMIFS(계산!$C:$C,계산!$A:$A,계산!$E136,계산!$B:$B,$B$1*100+3))</f>
        <v/>
      </c>
      <c r="F138" s="14">
        <f>IF(원생!$A136="","",SUMIFS(계산!$C:$C,계산!$A:$A,계산!$E136,계산!$B:$B,$B$1*100+4))</f>
        <v/>
      </c>
      <c r="G138" s="14">
        <f>IF(원생!$A136="","",SUMIFS(계산!$C:$C,계산!$A:$A,계산!$E136,계산!$B:$B,$B$1*100+5))</f>
        <v/>
      </c>
      <c r="H138" s="14">
        <f>IF(원생!$A136="","",SUMIFS(계산!$C:$C,계산!$A:$A,계산!$E136,계산!$B:$B,$B$1*100+6))</f>
        <v/>
      </c>
      <c r="I138" s="14">
        <f>IF(원생!$A136="","",SUMIFS(계산!$C:$C,계산!$A:$A,계산!$E136,계산!$B:$B,$B$1*100+7))</f>
        <v/>
      </c>
      <c r="J138" s="14">
        <f>IF(원생!$A136="","",SUMIFS(계산!$C:$C,계산!$A:$A,계산!$E136,계산!$B:$B,$B$1*100+8))</f>
        <v/>
      </c>
      <c r="K138" s="14">
        <f>IF(원생!$A136="","",SUMIFS(계산!$C:$C,계산!$A:$A,계산!$E136,계산!$B:$B,$B$1*100+9))</f>
        <v/>
      </c>
      <c r="L138" s="14">
        <f>IF(원생!$A136="","",SUMIFS(계산!$C:$C,계산!$A:$A,계산!$E136,계산!$B:$B,$B$1*100+10))</f>
        <v/>
      </c>
      <c r="M138" s="14">
        <f>IF(원생!$A136="","",SUMIFS(계산!$C:$C,계산!$A:$A,계산!$E136,계산!$B:$B,$B$1*100+11))</f>
        <v/>
      </c>
      <c r="N138" s="14">
        <f>IF(원생!$A136="","",SUMIFS(계산!$C:$C,계산!$A:$A,계산!$E136,계산!$B:$B,$B$1*100+12))</f>
        <v/>
      </c>
      <c r="O138">
        <f>IF(원생!$I136="","",원생!$I136)</f>
        <v/>
      </c>
      <c r="P138">
        <f>IF($A138="","",IF(AND($B138&gt;0,C138&lt;$B138,DATE($B$1,1,1)&lt;=TODAY(),OR($O138="",$O138&gt;=DATE($B$1,1,1)),OR(COUNTIF($C138:C138,"&gt;0")&gt;0,DATE($B$1,1,1)=DATE(YEAR(TODAY()),MONTH(TODAY()),1))),1,0))</f>
        <v/>
      </c>
      <c r="Q138">
        <f>IF($A138="","",IF(AND($B138&gt;0,D138&lt;$B138,DATE($B$1,2,1)&lt;=TODAY(),OR($O138="",$O138&gt;=DATE($B$1,2,1)),OR(COUNTIF($C138:D138,"&gt;0")&gt;0,DATE($B$1,2,1)=DATE(YEAR(TODAY()),MONTH(TODAY()),1))),1,0))</f>
        <v/>
      </c>
      <c r="R138">
        <f>IF($A138="","",IF(AND($B138&gt;0,E138&lt;$B138,DATE($B$1,3,1)&lt;=TODAY(),OR($O138="",$O138&gt;=DATE($B$1,3,1)),OR(COUNTIF($C138:E138,"&gt;0")&gt;0,DATE($B$1,3,1)=DATE(YEAR(TODAY()),MONTH(TODAY()),1))),1,0))</f>
        <v/>
      </c>
      <c r="S138">
        <f>IF($A138="","",IF(AND($B138&gt;0,F138&lt;$B138,DATE($B$1,4,1)&lt;=TODAY(),OR($O138="",$O138&gt;=DATE($B$1,4,1)),OR(COUNTIF($C138:F138,"&gt;0")&gt;0,DATE($B$1,4,1)=DATE(YEAR(TODAY()),MONTH(TODAY()),1))),1,0))</f>
        <v/>
      </c>
      <c r="T138">
        <f>IF($A138="","",IF(AND($B138&gt;0,G138&lt;$B138,DATE($B$1,5,1)&lt;=TODAY(),OR($O138="",$O138&gt;=DATE($B$1,5,1)),OR(COUNTIF($C138:G138,"&gt;0")&gt;0,DATE($B$1,5,1)=DATE(YEAR(TODAY()),MONTH(TODAY()),1))),1,0))</f>
        <v/>
      </c>
      <c r="U138">
        <f>IF($A138="","",IF(AND($B138&gt;0,H138&lt;$B138,DATE($B$1,6,1)&lt;=TODAY(),OR($O138="",$O138&gt;=DATE($B$1,6,1)),OR(COUNTIF($C138:H138,"&gt;0")&gt;0,DATE($B$1,6,1)=DATE(YEAR(TODAY()),MONTH(TODAY()),1))),1,0))</f>
        <v/>
      </c>
      <c r="V138">
        <f>IF($A138="","",IF(AND($B138&gt;0,I138&lt;$B138,DATE($B$1,7,1)&lt;=TODAY(),OR($O138="",$O138&gt;=DATE($B$1,7,1)),OR(COUNTIF($C138:I138,"&gt;0")&gt;0,DATE($B$1,7,1)=DATE(YEAR(TODAY()),MONTH(TODAY()),1))),1,0))</f>
        <v/>
      </c>
      <c r="W138">
        <f>IF($A138="","",IF(AND($B138&gt;0,J138&lt;$B138,DATE($B$1,8,1)&lt;=TODAY(),OR($O138="",$O138&gt;=DATE($B$1,8,1)),OR(COUNTIF($C138:J138,"&gt;0")&gt;0,DATE($B$1,8,1)=DATE(YEAR(TODAY()),MONTH(TODAY()),1))),1,0))</f>
        <v/>
      </c>
      <c r="X138">
        <f>IF($A138="","",IF(AND($B138&gt;0,K138&lt;$B138,DATE($B$1,9,1)&lt;=TODAY(),OR($O138="",$O138&gt;=DATE($B$1,9,1)),OR(COUNTIF($C138:K138,"&gt;0")&gt;0,DATE($B$1,9,1)=DATE(YEAR(TODAY()),MONTH(TODAY()),1))),1,0))</f>
        <v/>
      </c>
      <c r="Y138">
        <f>IF($A138="","",IF(AND($B138&gt;0,L138&lt;$B138,DATE($B$1,10,1)&lt;=TODAY(),OR($O138="",$O138&gt;=DATE($B$1,10,1)),OR(COUNTIF($C138:L138,"&gt;0")&gt;0,DATE($B$1,10,1)=DATE(YEAR(TODAY()),MONTH(TODAY()),1))),1,0))</f>
        <v/>
      </c>
      <c r="Z138">
        <f>IF($A138="","",IF(AND($B138&gt;0,M138&lt;$B138,DATE($B$1,11,1)&lt;=TODAY(),OR($O138="",$O138&gt;=DATE($B$1,11,1)),OR(COUNTIF($C138:M138,"&gt;0")&gt;0,DATE($B$1,11,1)=DATE(YEAR(TODAY()),MONTH(TODAY()),1))),1,0))</f>
        <v/>
      </c>
      <c r="AA138">
        <f>IF($A138="","",IF(AND($B138&gt;0,N138&lt;$B138,DATE($B$1,12,1)&lt;=TODAY(),OR($O138="",$O138&gt;=DATE($B$1,12,1)),OR(COUNTIF($C138:N138,"&gt;0")&gt;0,DATE($B$1,12,1)=DATE(YEAR(TODAY()),MONTH(TODAY()),1))),1,0))</f>
        <v/>
      </c>
    </row>
    <row r="139">
      <c r="A139" s="13">
        <f>IF(원생!$A137="","",원생!$A137&amp;IF(원생!$G137="",""," ("&amp;원생!$G137&amp;")"))</f>
        <v/>
      </c>
      <c r="B139" s="8">
        <f>IF(원생!$A137="","",N(원생!$F137))</f>
        <v/>
      </c>
      <c r="C139" s="14">
        <f>IF(원생!$A137="","",SUMIFS(계산!$C:$C,계산!$A:$A,계산!$E137,계산!$B:$B,$B$1*100+1))</f>
        <v/>
      </c>
      <c r="D139" s="14">
        <f>IF(원생!$A137="","",SUMIFS(계산!$C:$C,계산!$A:$A,계산!$E137,계산!$B:$B,$B$1*100+2))</f>
        <v/>
      </c>
      <c r="E139" s="14">
        <f>IF(원생!$A137="","",SUMIFS(계산!$C:$C,계산!$A:$A,계산!$E137,계산!$B:$B,$B$1*100+3))</f>
        <v/>
      </c>
      <c r="F139" s="14">
        <f>IF(원생!$A137="","",SUMIFS(계산!$C:$C,계산!$A:$A,계산!$E137,계산!$B:$B,$B$1*100+4))</f>
        <v/>
      </c>
      <c r="G139" s="14">
        <f>IF(원생!$A137="","",SUMIFS(계산!$C:$C,계산!$A:$A,계산!$E137,계산!$B:$B,$B$1*100+5))</f>
        <v/>
      </c>
      <c r="H139" s="14">
        <f>IF(원생!$A137="","",SUMIFS(계산!$C:$C,계산!$A:$A,계산!$E137,계산!$B:$B,$B$1*100+6))</f>
        <v/>
      </c>
      <c r="I139" s="14">
        <f>IF(원생!$A137="","",SUMIFS(계산!$C:$C,계산!$A:$A,계산!$E137,계산!$B:$B,$B$1*100+7))</f>
        <v/>
      </c>
      <c r="J139" s="14">
        <f>IF(원생!$A137="","",SUMIFS(계산!$C:$C,계산!$A:$A,계산!$E137,계산!$B:$B,$B$1*100+8))</f>
        <v/>
      </c>
      <c r="K139" s="14">
        <f>IF(원생!$A137="","",SUMIFS(계산!$C:$C,계산!$A:$A,계산!$E137,계산!$B:$B,$B$1*100+9))</f>
        <v/>
      </c>
      <c r="L139" s="14">
        <f>IF(원생!$A137="","",SUMIFS(계산!$C:$C,계산!$A:$A,계산!$E137,계산!$B:$B,$B$1*100+10))</f>
        <v/>
      </c>
      <c r="M139" s="14">
        <f>IF(원생!$A137="","",SUMIFS(계산!$C:$C,계산!$A:$A,계산!$E137,계산!$B:$B,$B$1*100+11))</f>
        <v/>
      </c>
      <c r="N139" s="14">
        <f>IF(원생!$A137="","",SUMIFS(계산!$C:$C,계산!$A:$A,계산!$E137,계산!$B:$B,$B$1*100+12))</f>
        <v/>
      </c>
      <c r="O139">
        <f>IF(원생!$I137="","",원생!$I137)</f>
        <v/>
      </c>
      <c r="P139">
        <f>IF($A139="","",IF(AND($B139&gt;0,C139&lt;$B139,DATE($B$1,1,1)&lt;=TODAY(),OR($O139="",$O139&gt;=DATE($B$1,1,1)),OR(COUNTIF($C139:C139,"&gt;0")&gt;0,DATE($B$1,1,1)=DATE(YEAR(TODAY()),MONTH(TODAY()),1))),1,0))</f>
        <v/>
      </c>
      <c r="Q139">
        <f>IF($A139="","",IF(AND($B139&gt;0,D139&lt;$B139,DATE($B$1,2,1)&lt;=TODAY(),OR($O139="",$O139&gt;=DATE($B$1,2,1)),OR(COUNTIF($C139:D139,"&gt;0")&gt;0,DATE($B$1,2,1)=DATE(YEAR(TODAY()),MONTH(TODAY()),1))),1,0))</f>
        <v/>
      </c>
      <c r="R139">
        <f>IF($A139="","",IF(AND($B139&gt;0,E139&lt;$B139,DATE($B$1,3,1)&lt;=TODAY(),OR($O139="",$O139&gt;=DATE($B$1,3,1)),OR(COUNTIF($C139:E139,"&gt;0")&gt;0,DATE($B$1,3,1)=DATE(YEAR(TODAY()),MONTH(TODAY()),1))),1,0))</f>
        <v/>
      </c>
      <c r="S139">
        <f>IF($A139="","",IF(AND($B139&gt;0,F139&lt;$B139,DATE($B$1,4,1)&lt;=TODAY(),OR($O139="",$O139&gt;=DATE($B$1,4,1)),OR(COUNTIF($C139:F139,"&gt;0")&gt;0,DATE($B$1,4,1)=DATE(YEAR(TODAY()),MONTH(TODAY()),1))),1,0))</f>
        <v/>
      </c>
      <c r="T139">
        <f>IF($A139="","",IF(AND($B139&gt;0,G139&lt;$B139,DATE($B$1,5,1)&lt;=TODAY(),OR($O139="",$O139&gt;=DATE($B$1,5,1)),OR(COUNTIF($C139:G139,"&gt;0")&gt;0,DATE($B$1,5,1)=DATE(YEAR(TODAY()),MONTH(TODAY()),1))),1,0))</f>
        <v/>
      </c>
      <c r="U139">
        <f>IF($A139="","",IF(AND($B139&gt;0,H139&lt;$B139,DATE($B$1,6,1)&lt;=TODAY(),OR($O139="",$O139&gt;=DATE($B$1,6,1)),OR(COUNTIF($C139:H139,"&gt;0")&gt;0,DATE($B$1,6,1)=DATE(YEAR(TODAY()),MONTH(TODAY()),1))),1,0))</f>
        <v/>
      </c>
      <c r="V139">
        <f>IF($A139="","",IF(AND($B139&gt;0,I139&lt;$B139,DATE($B$1,7,1)&lt;=TODAY(),OR($O139="",$O139&gt;=DATE($B$1,7,1)),OR(COUNTIF($C139:I139,"&gt;0")&gt;0,DATE($B$1,7,1)=DATE(YEAR(TODAY()),MONTH(TODAY()),1))),1,0))</f>
        <v/>
      </c>
      <c r="W139">
        <f>IF($A139="","",IF(AND($B139&gt;0,J139&lt;$B139,DATE($B$1,8,1)&lt;=TODAY(),OR($O139="",$O139&gt;=DATE($B$1,8,1)),OR(COUNTIF($C139:J139,"&gt;0")&gt;0,DATE($B$1,8,1)=DATE(YEAR(TODAY()),MONTH(TODAY()),1))),1,0))</f>
        <v/>
      </c>
      <c r="X139">
        <f>IF($A139="","",IF(AND($B139&gt;0,K139&lt;$B139,DATE($B$1,9,1)&lt;=TODAY(),OR($O139="",$O139&gt;=DATE($B$1,9,1)),OR(COUNTIF($C139:K139,"&gt;0")&gt;0,DATE($B$1,9,1)=DATE(YEAR(TODAY()),MONTH(TODAY()),1))),1,0))</f>
        <v/>
      </c>
      <c r="Y139">
        <f>IF($A139="","",IF(AND($B139&gt;0,L139&lt;$B139,DATE($B$1,10,1)&lt;=TODAY(),OR($O139="",$O139&gt;=DATE($B$1,10,1)),OR(COUNTIF($C139:L139,"&gt;0")&gt;0,DATE($B$1,10,1)=DATE(YEAR(TODAY()),MONTH(TODAY()),1))),1,0))</f>
        <v/>
      </c>
      <c r="Z139">
        <f>IF($A139="","",IF(AND($B139&gt;0,M139&lt;$B139,DATE($B$1,11,1)&lt;=TODAY(),OR($O139="",$O139&gt;=DATE($B$1,11,1)),OR(COUNTIF($C139:M139,"&gt;0")&gt;0,DATE($B$1,11,1)=DATE(YEAR(TODAY()),MONTH(TODAY()),1))),1,0))</f>
        <v/>
      </c>
      <c r="AA139">
        <f>IF($A139="","",IF(AND($B139&gt;0,N139&lt;$B139,DATE($B$1,12,1)&lt;=TODAY(),OR($O139="",$O139&gt;=DATE($B$1,12,1)),OR(COUNTIF($C139:N139,"&gt;0")&gt;0,DATE($B$1,12,1)=DATE(YEAR(TODAY()),MONTH(TODAY()),1))),1,0))</f>
        <v/>
      </c>
    </row>
    <row r="140">
      <c r="A140" s="13">
        <f>IF(원생!$A138="","",원생!$A138&amp;IF(원생!$G138="",""," ("&amp;원생!$G138&amp;")"))</f>
        <v/>
      </c>
      <c r="B140" s="8">
        <f>IF(원생!$A138="","",N(원생!$F138))</f>
        <v/>
      </c>
      <c r="C140" s="14">
        <f>IF(원생!$A138="","",SUMIFS(계산!$C:$C,계산!$A:$A,계산!$E138,계산!$B:$B,$B$1*100+1))</f>
        <v/>
      </c>
      <c r="D140" s="14">
        <f>IF(원생!$A138="","",SUMIFS(계산!$C:$C,계산!$A:$A,계산!$E138,계산!$B:$B,$B$1*100+2))</f>
        <v/>
      </c>
      <c r="E140" s="14">
        <f>IF(원생!$A138="","",SUMIFS(계산!$C:$C,계산!$A:$A,계산!$E138,계산!$B:$B,$B$1*100+3))</f>
        <v/>
      </c>
      <c r="F140" s="14">
        <f>IF(원생!$A138="","",SUMIFS(계산!$C:$C,계산!$A:$A,계산!$E138,계산!$B:$B,$B$1*100+4))</f>
        <v/>
      </c>
      <c r="G140" s="14">
        <f>IF(원생!$A138="","",SUMIFS(계산!$C:$C,계산!$A:$A,계산!$E138,계산!$B:$B,$B$1*100+5))</f>
        <v/>
      </c>
      <c r="H140" s="14">
        <f>IF(원생!$A138="","",SUMIFS(계산!$C:$C,계산!$A:$A,계산!$E138,계산!$B:$B,$B$1*100+6))</f>
        <v/>
      </c>
      <c r="I140" s="14">
        <f>IF(원생!$A138="","",SUMIFS(계산!$C:$C,계산!$A:$A,계산!$E138,계산!$B:$B,$B$1*100+7))</f>
        <v/>
      </c>
      <c r="J140" s="14">
        <f>IF(원생!$A138="","",SUMIFS(계산!$C:$C,계산!$A:$A,계산!$E138,계산!$B:$B,$B$1*100+8))</f>
        <v/>
      </c>
      <c r="K140" s="14">
        <f>IF(원생!$A138="","",SUMIFS(계산!$C:$C,계산!$A:$A,계산!$E138,계산!$B:$B,$B$1*100+9))</f>
        <v/>
      </c>
      <c r="L140" s="14">
        <f>IF(원생!$A138="","",SUMIFS(계산!$C:$C,계산!$A:$A,계산!$E138,계산!$B:$B,$B$1*100+10))</f>
        <v/>
      </c>
      <c r="M140" s="14">
        <f>IF(원생!$A138="","",SUMIFS(계산!$C:$C,계산!$A:$A,계산!$E138,계산!$B:$B,$B$1*100+11))</f>
        <v/>
      </c>
      <c r="N140" s="14">
        <f>IF(원생!$A138="","",SUMIFS(계산!$C:$C,계산!$A:$A,계산!$E138,계산!$B:$B,$B$1*100+12))</f>
        <v/>
      </c>
      <c r="O140">
        <f>IF(원생!$I138="","",원생!$I138)</f>
        <v/>
      </c>
      <c r="P140">
        <f>IF($A140="","",IF(AND($B140&gt;0,C140&lt;$B140,DATE($B$1,1,1)&lt;=TODAY(),OR($O140="",$O140&gt;=DATE($B$1,1,1)),OR(COUNTIF($C140:C140,"&gt;0")&gt;0,DATE($B$1,1,1)=DATE(YEAR(TODAY()),MONTH(TODAY()),1))),1,0))</f>
        <v/>
      </c>
      <c r="Q140">
        <f>IF($A140="","",IF(AND($B140&gt;0,D140&lt;$B140,DATE($B$1,2,1)&lt;=TODAY(),OR($O140="",$O140&gt;=DATE($B$1,2,1)),OR(COUNTIF($C140:D140,"&gt;0")&gt;0,DATE($B$1,2,1)=DATE(YEAR(TODAY()),MONTH(TODAY()),1))),1,0))</f>
        <v/>
      </c>
      <c r="R140">
        <f>IF($A140="","",IF(AND($B140&gt;0,E140&lt;$B140,DATE($B$1,3,1)&lt;=TODAY(),OR($O140="",$O140&gt;=DATE($B$1,3,1)),OR(COUNTIF($C140:E140,"&gt;0")&gt;0,DATE($B$1,3,1)=DATE(YEAR(TODAY()),MONTH(TODAY()),1))),1,0))</f>
        <v/>
      </c>
      <c r="S140">
        <f>IF($A140="","",IF(AND($B140&gt;0,F140&lt;$B140,DATE($B$1,4,1)&lt;=TODAY(),OR($O140="",$O140&gt;=DATE($B$1,4,1)),OR(COUNTIF($C140:F140,"&gt;0")&gt;0,DATE($B$1,4,1)=DATE(YEAR(TODAY()),MONTH(TODAY()),1))),1,0))</f>
        <v/>
      </c>
      <c r="T140">
        <f>IF($A140="","",IF(AND($B140&gt;0,G140&lt;$B140,DATE($B$1,5,1)&lt;=TODAY(),OR($O140="",$O140&gt;=DATE($B$1,5,1)),OR(COUNTIF($C140:G140,"&gt;0")&gt;0,DATE($B$1,5,1)=DATE(YEAR(TODAY()),MONTH(TODAY()),1))),1,0))</f>
        <v/>
      </c>
      <c r="U140">
        <f>IF($A140="","",IF(AND($B140&gt;0,H140&lt;$B140,DATE($B$1,6,1)&lt;=TODAY(),OR($O140="",$O140&gt;=DATE($B$1,6,1)),OR(COUNTIF($C140:H140,"&gt;0")&gt;0,DATE($B$1,6,1)=DATE(YEAR(TODAY()),MONTH(TODAY()),1))),1,0))</f>
        <v/>
      </c>
      <c r="V140">
        <f>IF($A140="","",IF(AND($B140&gt;0,I140&lt;$B140,DATE($B$1,7,1)&lt;=TODAY(),OR($O140="",$O140&gt;=DATE($B$1,7,1)),OR(COUNTIF($C140:I140,"&gt;0")&gt;0,DATE($B$1,7,1)=DATE(YEAR(TODAY()),MONTH(TODAY()),1))),1,0))</f>
        <v/>
      </c>
      <c r="W140">
        <f>IF($A140="","",IF(AND($B140&gt;0,J140&lt;$B140,DATE($B$1,8,1)&lt;=TODAY(),OR($O140="",$O140&gt;=DATE($B$1,8,1)),OR(COUNTIF($C140:J140,"&gt;0")&gt;0,DATE($B$1,8,1)=DATE(YEAR(TODAY()),MONTH(TODAY()),1))),1,0))</f>
        <v/>
      </c>
      <c r="X140">
        <f>IF($A140="","",IF(AND($B140&gt;0,K140&lt;$B140,DATE($B$1,9,1)&lt;=TODAY(),OR($O140="",$O140&gt;=DATE($B$1,9,1)),OR(COUNTIF($C140:K140,"&gt;0")&gt;0,DATE($B$1,9,1)=DATE(YEAR(TODAY()),MONTH(TODAY()),1))),1,0))</f>
        <v/>
      </c>
      <c r="Y140">
        <f>IF($A140="","",IF(AND($B140&gt;0,L140&lt;$B140,DATE($B$1,10,1)&lt;=TODAY(),OR($O140="",$O140&gt;=DATE($B$1,10,1)),OR(COUNTIF($C140:L140,"&gt;0")&gt;0,DATE($B$1,10,1)=DATE(YEAR(TODAY()),MONTH(TODAY()),1))),1,0))</f>
        <v/>
      </c>
      <c r="Z140">
        <f>IF($A140="","",IF(AND($B140&gt;0,M140&lt;$B140,DATE($B$1,11,1)&lt;=TODAY(),OR($O140="",$O140&gt;=DATE($B$1,11,1)),OR(COUNTIF($C140:M140,"&gt;0")&gt;0,DATE($B$1,11,1)=DATE(YEAR(TODAY()),MONTH(TODAY()),1))),1,0))</f>
        <v/>
      </c>
      <c r="AA140">
        <f>IF($A140="","",IF(AND($B140&gt;0,N140&lt;$B140,DATE($B$1,12,1)&lt;=TODAY(),OR($O140="",$O140&gt;=DATE($B$1,12,1)),OR(COUNTIF($C140:N140,"&gt;0")&gt;0,DATE($B$1,12,1)=DATE(YEAR(TODAY()),MONTH(TODAY()),1))),1,0))</f>
        <v/>
      </c>
    </row>
    <row r="141">
      <c r="A141" s="13">
        <f>IF(원생!$A139="","",원생!$A139&amp;IF(원생!$G139="",""," ("&amp;원생!$G139&amp;")"))</f>
        <v/>
      </c>
      <c r="B141" s="8">
        <f>IF(원생!$A139="","",N(원생!$F139))</f>
        <v/>
      </c>
      <c r="C141" s="14">
        <f>IF(원생!$A139="","",SUMIFS(계산!$C:$C,계산!$A:$A,계산!$E139,계산!$B:$B,$B$1*100+1))</f>
        <v/>
      </c>
      <c r="D141" s="14">
        <f>IF(원생!$A139="","",SUMIFS(계산!$C:$C,계산!$A:$A,계산!$E139,계산!$B:$B,$B$1*100+2))</f>
        <v/>
      </c>
      <c r="E141" s="14">
        <f>IF(원생!$A139="","",SUMIFS(계산!$C:$C,계산!$A:$A,계산!$E139,계산!$B:$B,$B$1*100+3))</f>
        <v/>
      </c>
      <c r="F141" s="14">
        <f>IF(원생!$A139="","",SUMIFS(계산!$C:$C,계산!$A:$A,계산!$E139,계산!$B:$B,$B$1*100+4))</f>
        <v/>
      </c>
      <c r="G141" s="14">
        <f>IF(원생!$A139="","",SUMIFS(계산!$C:$C,계산!$A:$A,계산!$E139,계산!$B:$B,$B$1*100+5))</f>
        <v/>
      </c>
      <c r="H141" s="14">
        <f>IF(원생!$A139="","",SUMIFS(계산!$C:$C,계산!$A:$A,계산!$E139,계산!$B:$B,$B$1*100+6))</f>
        <v/>
      </c>
      <c r="I141" s="14">
        <f>IF(원생!$A139="","",SUMIFS(계산!$C:$C,계산!$A:$A,계산!$E139,계산!$B:$B,$B$1*100+7))</f>
        <v/>
      </c>
      <c r="J141" s="14">
        <f>IF(원생!$A139="","",SUMIFS(계산!$C:$C,계산!$A:$A,계산!$E139,계산!$B:$B,$B$1*100+8))</f>
        <v/>
      </c>
      <c r="K141" s="14">
        <f>IF(원생!$A139="","",SUMIFS(계산!$C:$C,계산!$A:$A,계산!$E139,계산!$B:$B,$B$1*100+9))</f>
        <v/>
      </c>
      <c r="L141" s="14">
        <f>IF(원생!$A139="","",SUMIFS(계산!$C:$C,계산!$A:$A,계산!$E139,계산!$B:$B,$B$1*100+10))</f>
        <v/>
      </c>
      <c r="M141" s="14">
        <f>IF(원생!$A139="","",SUMIFS(계산!$C:$C,계산!$A:$A,계산!$E139,계산!$B:$B,$B$1*100+11))</f>
        <v/>
      </c>
      <c r="N141" s="14">
        <f>IF(원생!$A139="","",SUMIFS(계산!$C:$C,계산!$A:$A,계산!$E139,계산!$B:$B,$B$1*100+12))</f>
        <v/>
      </c>
      <c r="O141">
        <f>IF(원생!$I139="","",원생!$I139)</f>
        <v/>
      </c>
      <c r="P141">
        <f>IF($A141="","",IF(AND($B141&gt;0,C141&lt;$B141,DATE($B$1,1,1)&lt;=TODAY(),OR($O141="",$O141&gt;=DATE($B$1,1,1)),OR(COUNTIF($C141:C141,"&gt;0")&gt;0,DATE($B$1,1,1)=DATE(YEAR(TODAY()),MONTH(TODAY()),1))),1,0))</f>
        <v/>
      </c>
      <c r="Q141">
        <f>IF($A141="","",IF(AND($B141&gt;0,D141&lt;$B141,DATE($B$1,2,1)&lt;=TODAY(),OR($O141="",$O141&gt;=DATE($B$1,2,1)),OR(COUNTIF($C141:D141,"&gt;0")&gt;0,DATE($B$1,2,1)=DATE(YEAR(TODAY()),MONTH(TODAY()),1))),1,0))</f>
        <v/>
      </c>
      <c r="R141">
        <f>IF($A141="","",IF(AND($B141&gt;0,E141&lt;$B141,DATE($B$1,3,1)&lt;=TODAY(),OR($O141="",$O141&gt;=DATE($B$1,3,1)),OR(COUNTIF($C141:E141,"&gt;0")&gt;0,DATE($B$1,3,1)=DATE(YEAR(TODAY()),MONTH(TODAY()),1))),1,0))</f>
        <v/>
      </c>
      <c r="S141">
        <f>IF($A141="","",IF(AND($B141&gt;0,F141&lt;$B141,DATE($B$1,4,1)&lt;=TODAY(),OR($O141="",$O141&gt;=DATE($B$1,4,1)),OR(COUNTIF($C141:F141,"&gt;0")&gt;0,DATE($B$1,4,1)=DATE(YEAR(TODAY()),MONTH(TODAY()),1))),1,0))</f>
        <v/>
      </c>
      <c r="T141">
        <f>IF($A141="","",IF(AND($B141&gt;0,G141&lt;$B141,DATE($B$1,5,1)&lt;=TODAY(),OR($O141="",$O141&gt;=DATE($B$1,5,1)),OR(COUNTIF($C141:G141,"&gt;0")&gt;0,DATE($B$1,5,1)=DATE(YEAR(TODAY()),MONTH(TODAY()),1))),1,0))</f>
        <v/>
      </c>
      <c r="U141">
        <f>IF($A141="","",IF(AND($B141&gt;0,H141&lt;$B141,DATE($B$1,6,1)&lt;=TODAY(),OR($O141="",$O141&gt;=DATE($B$1,6,1)),OR(COUNTIF($C141:H141,"&gt;0")&gt;0,DATE($B$1,6,1)=DATE(YEAR(TODAY()),MONTH(TODAY()),1))),1,0))</f>
        <v/>
      </c>
      <c r="V141">
        <f>IF($A141="","",IF(AND($B141&gt;0,I141&lt;$B141,DATE($B$1,7,1)&lt;=TODAY(),OR($O141="",$O141&gt;=DATE($B$1,7,1)),OR(COUNTIF($C141:I141,"&gt;0")&gt;0,DATE($B$1,7,1)=DATE(YEAR(TODAY()),MONTH(TODAY()),1))),1,0))</f>
        <v/>
      </c>
      <c r="W141">
        <f>IF($A141="","",IF(AND($B141&gt;0,J141&lt;$B141,DATE($B$1,8,1)&lt;=TODAY(),OR($O141="",$O141&gt;=DATE($B$1,8,1)),OR(COUNTIF($C141:J141,"&gt;0")&gt;0,DATE($B$1,8,1)=DATE(YEAR(TODAY()),MONTH(TODAY()),1))),1,0))</f>
        <v/>
      </c>
      <c r="X141">
        <f>IF($A141="","",IF(AND($B141&gt;0,K141&lt;$B141,DATE($B$1,9,1)&lt;=TODAY(),OR($O141="",$O141&gt;=DATE($B$1,9,1)),OR(COUNTIF($C141:K141,"&gt;0")&gt;0,DATE($B$1,9,1)=DATE(YEAR(TODAY()),MONTH(TODAY()),1))),1,0))</f>
        <v/>
      </c>
      <c r="Y141">
        <f>IF($A141="","",IF(AND($B141&gt;0,L141&lt;$B141,DATE($B$1,10,1)&lt;=TODAY(),OR($O141="",$O141&gt;=DATE($B$1,10,1)),OR(COUNTIF($C141:L141,"&gt;0")&gt;0,DATE($B$1,10,1)=DATE(YEAR(TODAY()),MONTH(TODAY()),1))),1,0))</f>
        <v/>
      </c>
      <c r="Z141">
        <f>IF($A141="","",IF(AND($B141&gt;0,M141&lt;$B141,DATE($B$1,11,1)&lt;=TODAY(),OR($O141="",$O141&gt;=DATE($B$1,11,1)),OR(COUNTIF($C141:M141,"&gt;0")&gt;0,DATE($B$1,11,1)=DATE(YEAR(TODAY()),MONTH(TODAY()),1))),1,0))</f>
        <v/>
      </c>
      <c r="AA141">
        <f>IF($A141="","",IF(AND($B141&gt;0,N141&lt;$B141,DATE($B$1,12,1)&lt;=TODAY(),OR($O141="",$O141&gt;=DATE($B$1,12,1)),OR(COUNTIF($C141:N141,"&gt;0")&gt;0,DATE($B$1,12,1)=DATE(YEAR(TODAY()),MONTH(TODAY()),1))),1,0))</f>
        <v/>
      </c>
    </row>
    <row r="142">
      <c r="A142" s="13">
        <f>IF(원생!$A140="","",원생!$A140&amp;IF(원생!$G140="",""," ("&amp;원생!$G140&amp;")"))</f>
        <v/>
      </c>
      <c r="B142" s="8">
        <f>IF(원생!$A140="","",N(원생!$F140))</f>
        <v/>
      </c>
      <c r="C142" s="14">
        <f>IF(원생!$A140="","",SUMIFS(계산!$C:$C,계산!$A:$A,계산!$E140,계산!$B:$B,$B$1*100+1))</f>
        <v/>
      </c>
      <c r="D142" s="14">
        <f>IF(원생!$A140="","",SUMIFS(계산!$C:$C,계산!$A:$A,계산!$E140,계산!$B:$B,$B$1*100+2))</f>
        <v/>
      </c>
      <c r="E142" s="14">
        <f>IF(원생!$A140="","",SUMIFS(계산!$C:$C,계산!$A:$A,계산!$E140,계산!$B:$B,$B$1*100+3))</f>
        <v/>
      </c>
      <c r="F142" s="14">
        <f>IF(원생!$A140="","",SUMIFS(계산!$C:$C,계산!$A:$A,계산!$E140,계산!$B:$B,$B$1*100+4))</f>
        <v/>
      </c>
      <c r="G142" s="14">
        <f>IF(원생!$A140="","",SUMIFS(계산!$C:$C,계산!$A:$A,계산!$E140,계산!$B:$B,$B$1*100+5))</f>
        <v/>
      </c>
      <c r="H142" s="14">
        <f>IF(원생!$A140="","",SUMIFS(계산!$C:$C,계산!$A:$A,계산!$E140,계산!$B:$B,$B$1*100+6))</f>
        <v/>
      </c>
      <c r="I142" s="14">
        <f>IF(원생!$A140="","",SUMIFS(계산!$C:$C,계산!$A:$A,계산!$E140,계산!$B:$B,$B$1*100+7))</f>
        <v/>
      </c>
      <c r="J142" s="14">
        <f>IF(원생!$A140="","",SUMIFS(계산!$C:$C,계산!$A:$A,계산!$E140,계산!$B:$B,$B$1*100+8))</f>
        <v/>
      </c>
      <c r="K142" s="14">
        <f>IF(원생!$A140="","",SUMIFS(계산!$C:$C,계산!$A:$A,계산!$E140,계산!$B:$B,$B$1*100+9))</f>
        <v/>
      </c>
      <c r="L142" s="14">
        <f>IF(원생!$A140="","",SUMIFS(계산!$C:$C,계산!$A:$A,계산!$E140,계산!$B:$B,$B$1*100+10))</f>
        <v/>
      </c>
      <c r="M142" s="14">
        <f>IF(원생!$A140="","",SUMIFS(계산!$C:$C,계산!$A:$A,계산!$E140,계산!$B:$B,$B$1*100+11))</f>
        <v/>
      </c>
      <c r="N142" s="14">
        <f>IF(원생!$A140="","",SUMIFS(계산!$C:$C,계산!$A:$A,계산!$E140,계산!$B:$B,$B$1*100+12))</f>
        <v/>
      </c>
      <c r="O142">
        <f>IF(원생!$I140="","",원생!$I140)</f>
        <v/>
      </c>
      <c r="P142">
        <f>IF($A142="","",IF(AND($B142&gt;0,C142&lt;$B142,DATE($B$1,1,1)&lt;=TODAY(),OR($O142="",$O142&gt;=DATE($B$1,1,1)),OR(COUNTIF($C142:C142,"&gt;0")&gt;0,DATE($B$1,1,1)=DATE(YEAR(TODAY()),MONTH(TODAY()),1))),1,0))</f>
        <v/>
      </c>
      <c r="Q142">
        <f>IF($A142="","",IF(AND($B142&gt;0,D142&lt;$B142,DATE($B$1,2,1)&lt;=TODAY(),OR($O142="",$O142&gt;=DATE($B$1,2,1)),OR(COUNTIF($C142:D142,"&gt;0")&gt;0,DATE($B$1,2,1)=DATE(YEAR(TODAY()),MONTH(TODAY()),1))),1,0))</f>
        <v/>
      </c>
      <c r="R142">
        <f>IF($A142="","",IF(AND($B142&gt;0,E142&lt;$B142,DATE($B$1,3,1)&lt;=TODAY(),OR($O142="",$O142&gt;=DATE($B$1,3,1)),OR(COUNTIF($C142:E142,"&gt;0")&gt;0,DATE($B$1,3,1)=DATE(YEAR(TODAY()),MONTH(TODAY()),1))),1,0))</f>
        <v/>
      </c>
      <c r="S142">
        <f>IF($A142="","",IF(AND($B142&gt;0,F142&lt;$B142,DATE($B$1,4,1)&lt;=TODAY(),OR($O142="",$O142&gt;=DATE($B$1,4,1)),OR(COUNTIF($C142:F142,"&gt;0")&gt;0,DATE($B$1,4,1)=DATE(YEAR(TODAY()),MONTH(TODAY()),1))),1,0))</f>
        <v/>
      </c>
      <c r="T142">
        <f>IF($A142="","",IF(AND($B142&gt;0,G142&lt;$B142,DATE($B$1,5,1)&lt;=TODAY(),OR($O142="",$O142&gt;=DATE($B$1,5,1)),OR(COUNTIF($C142:G142,"&gt;0")&gt;0,DATE($B$1,5,1)=DATE(YEAR(TODAY()),MONTH(TODAY()),1))),1,0))</f>
        <v/>
      </c>
      <c r="U142">
        <f>IF($A142="","",IF(AND($B142&gt;0,H142&lt;$B142,DATE($B$1,6,1)&lt;=TODAY(),OR($O142="",$O142&gt;=DATE($B$1,6,1)),OR(COUNTIF($C142:H142,"&gt;0")&gt;0,DATE($B$1,6,1)=DATE(YEAR(TODAY()),MONTH(TODAY()),1))),1,0))</f>
        <v/>
      </c>
      <c r="V142">
        <f>IF($A142="","",IF(AND($B142&gt;0,I142&lt;$B142,DATE($B$1,7,1)&lt;=TODAY(),OR($O142="",$O142&gt;=DATE($B$1,7,1)),OR(COUNTIF($C142:I142,"&gt;0")&gt;0,DATE($B$1,7,1)=DATE(YEAR(TODAY()),MONTH(TODAY()),1))),1,0))</f>
        <v/>
      </c>
      <c r="W142">
        <f>IF($A142="","",IF(AND($B142&gt;0,J142&lt;$B142,DATE($B$1,8,1)&lt;=TODAY(),OR($O142="",$O142&gt;=DATE($B$1,8,1)),OR(COUNTIF($C142:J142,"&gt;0")&gt;0,DATE($B$1,8,1)=DATE(YEAR(TODAY()),MONTH(TODAY()),1))),1,0))</f>
        <v/>
      </c>
      <c r="X142">
        <f>IF($A142="","",IF(AND($B142&gt;0,K142&lt;$B142,DATE($B$1,9,1)&lt;=TODAY(),OR($O142="",$O142&gt;=DATE($B$1,9,1)),OR(COUNTIF($C142:K142,"&gt;0")&gt;0,DATE($B$1,9,1)=DATE(YEAR(TODAY()),MONTH(TODAY()),1))),1,0))</f>
        <v/>
      </c>
      <c r="Y142">
        <f>IF($A142="","",IF(AND($B142&gt;0,L142&lt;$B142,DATE($B$1,10,1)&lt;=TODAY(),OR($O142="",$O142&gt;=DATE($B$1,10,1)),OR(COUNTIF($C142:L142,"&gt;0")&gt;0,DATE($B$1,10,1)=DATE(YEAR(TODAY()),MONTH(TODAY()),1))),1,0))</f>
        <v/>
      </c>
      <c r="Z142">
        <f>IF($A142="","",IF(AND($B142&gt;0,M142&lt;$B142,DATE($B$1,11,1)&lt;=TODAY(),OR($O142="",$O142&gt;=DATE($B$1,11,1)),OR(COUNTIF($C142:M142,"&gt;0")&gt;0,DATE($B$1,11,1)=DATE(YEAR(TODAY()),MONTH(TODAY()),1))),1,0))</f>
        <v/>
      </c>
      <c r="AA142">
        <f>IF($A142="","",IF(AND($B142&gt;0,N142&lt;$B142,DATE($B$1,12,1)&lt;=TODAY(),OR($O142="",$O142&gt;=DATE($B$1,12,1)),OR(COUNTIF($C142:N142,"&gt;0")&gt;0,DATE($B$1,12,1)=DATE(YEAR(TODAY()),MONTH(TODAY()),1))),1,0))</f>
        <v/>
      </c>
    </row>
    <row r="143">
      <c r="A143" s="13">
        <f>IF(원생!$A141="","",원생!$A141&amp;IF(원생!$G141="",""," ("&amp;원생!$G141&amp;")"))</f>
        <v/>
      </c>
      <c r="B143" s="8">
        <f>IF(원생!$A141="","",N(원생!$F141))</f>
        <v/>
      </c>
      <c r="C143" s="14">
        <f>IF(원생!$A141="","",SUMIFS(계산!$C:$C,계산!$A:$A,계산!$E141,계산!$B:$B,$B$1*100+1))</f>
        <v/>
      </c>
      <c r="D143" s="14">
        <f>IF(원생!$A141="","",SUMIFS(계산!$C:$C,계산!$A:$A,계산!$E141,계산!$B:$B,$B$1*100+2))</f>
        <v/>
      </c>
      <c r="E143" s="14">
        <f>IF(원생!$A141="","",SUMIFS(계산!$C:$C,계산!$A:$A,계산!$E141,계산!$B:$B,$B$1*100+3))</f>
        <v/>
      </c>
      <c r="F143" s="14">
        <f>IF(원생!$A141="","",SUMIFS(계산!$C:$C,계산!$A:$A,계산!$E141,계산!$B:$B,$B$1*100+4))</f>
        <v/>
      </c>
      <c r="G143" s="14">
        <f>IF(원생!$A141="","",SUMIFS(계산!$C:$C,계산!$A:$A,계산!$E141,계산!$B:$B,$B$1*100+5))</f>
        <v/>
      </c>
      <c r="H143" s="14">
        <f>IF(원생!$A141="","",SUMIFS(계산!$C:$C,계산!$A:$A,계산!$E141,계산!$B:$B,$B$1*100+6))</f>
        <v/>
      </c>
      <c r="I143" s="14">
        <f>IF(원생!$A141="","",SUMIFS(계산!$C:$C,계산!$A:$A,계산!$E141,계산!$B:$B,$B$1*100+7))</f>
        <v/>
      </c>
      <c r="J143" s="14">
        <f>IF(원생!$A141="","",SUMIFS(계산!$C:$C,계산!$A:$A,계산!$E141,계산!$B:$B,$B$1*100+8))</f>
        <v/>
      </c>
      <c r="K143" s="14">
        <f>IF(원생!$A141="","",SUMIFS(계산!$C:$C,계산!$A:$A,계산!$E141,계산!$B:$B,$B$1*100+9))</f>
        <v/>
      </c>
      <c r="L143" s="14">
        <f>IF(원생!$A141="","",SUMIFS(계산!$C:$C,계산!$A:$A,계산!$E141,계산!$B:$B,$B$1*100+10))</f>
        <v/>
      </c>
      <c r="M143" s="14">
        <f>IF(원생!$A141="","",SUMIFS(계산!$C:$C,계산!$A:$A,계산!$E141,계산!$B:$B,$B$1*100+11))</f>
        <v/>
      </c>
      <c r="N143" s="14">
        <f>IF(원생!$A141="","",SUMIFS(계산!$C:$C,계산!$A:$A,계산!$E141,계산!$B:$B,$B$1*100+12))</f>
        <v/>
      </c>
      <c r="O143">
        <f>IF(원생!$I141="","",원생!$I141)</f>
        <v/>
      </c>
      <c r="P143">
        <f>IF($A143="","",IF(AND($B143&gt;0,C143&lt;$B143,DATE($B$1,1,1)&lt;=TODAY(),OR($O143="",$O143&gt;=DATE($B$1,1,1)),OR(COUNTIF($C143:C143,"&gt;0")&gt;0,DATE($B$1,1,1)=DATE(YEAR(TODAY()),MONTH(TODAY()),1))),1,0))</f>
        <v/>
      </c>
      <c r="Q143">
        <f>IF($A143="","",IF(AND($B143&gt;0,D143&lt;$B143,DATE($B$1,2,1)&lt;=TODAY(),OR($O143="",$O143&gt;=DATE($B$1,2,1)),OR(COUNTIF($C143:D143,"&gt;0")&gt;0,DATE($B$1,2,1)=DATE(YEAR(TODAY()),MONTH(TODAY()),1))),1,0))</f>
        <v/>
      </c>
      <c r="R143">
        <f>IF($A143="","",IF(AND($B143&gt;0,E143&lt;$B143,DATE($B$1,3,1)&lt;=TODAY(),OR($O143="",$O143&gt;=DATE($B$1,3,1)),OR(COUNTIF($C143:E143,"&gt;0")&gt;0,DATE($B$1,3,1)=DATE(YEAR(TODAY()),MONTH(TODAY()),1))),1,0))</f>
        <v/>
      </c>
      <c r="S143">
        <f>IF($A143="","",IF(AND($B143&gt;0,F143&lt;$B143,DATE($B$1,4,1)&lt;=TODAY(),OR($O143="",$O143&gt;=DATE($B$1,4,1)),OR(COUNTIF($C143:F143,"&gt;0")&gt;0,DATE($B$1,4,1)=DATE(YEAR(TODAY()),MONTH(TODAY()),1))),1,0))</f>
        <v/>
      </c>
      <c r="T143">
        <f>IF($A143="","",IF(AND($B143&gt;0,G143&lt;$B143,DATE($B$1,5,1)&lt;=TODAY(),OR($O143="",$O143&gt;=DATE($B$1,5,1)),OR(COUNTIF($C143:G143,"&gt;0")&gt;0,DATE($B$1,5,1)=DATE(YEAR(TODAY()),MONTH(TODAY()),1))),1,0))</f>
        <v/>
      </c>
      <c r="U143">
        <f>IF($A143="","",IF(AND($B143&gt;0,H143&lt;$B143,DATE($B$1,6,1)&lt;=TODAY(),OR($O143="",$O143&gt;=DATE($B$1,6,1)),OR(COUNTIF($C143:H143,"&gt;0")&gt;0,DATE($B$1,6,1)=DATE(YEAR(TODAY()),MONTH(TODAY()),1))),1,0))</f>
        <v/>
      </c>
      <c r="V143">
        <f>IF($A143="","",IF(AND($B143&gt;0,I143&lt;$B143,DATE($B$1,7,1)&lt;=TODAY(),OR($O143="",$O143&gt;=DATE($B$1,7,1)),OR(COUNTIF($C143:I143,"&gt;0")&gt;0,DATE($B$1,7,1)=DATE(YEAR(TODAY()),MONTH(TODAY()),1))),1,0))</f>
        <v/>
      </c>
      <c r="W143">
        <f>IF($A143="","",IF(AND($B143&gt;0,J143&lt;$B143,DATE($B$1,8,1)&lt;=TODAY(),OR($O143="",$O143&gt;=DATE($B$1,8,1)),OR(COUNTIF($C143:J143,"&gt;0")&gt;0,DATE($B$1,8,1)=DATE(YEAR(TODAY()),MONTH(TODAY()),1))),1,0))</f>
        <v/>
      </c>
      <c r="X143">
        <f>IF($A143="","",IF(AND($B143&gt;0,K143&lt;$B143,DATE($B$1,9,1)&lt;=TODAY(),OR($O143="",$O143&gt;=DATE($B$1,9,1)),OR(COUNTIF($C143:K143,"&gt;0")&gt;0,DATE($B$1,9,1)=DATE(YEAR(TODAY()),MONTH(TODAY()),1))),1,0))</f>
        <v/>
      </c>
      <c r="Y143">
        <f>IF($A143="","",IF(AND($B143&gt;0,L143&lt;$B143,DATE($B$1,10,1)&lt;=TODAY(),OR($O143="",$O143&gt;=DATE($B$1,10,1)),OR(COUNTIF($C143:L143,"&gt;0")&gt;0,DATE($B$1,10,1)=DATE(YEAR(TODAY()),MONTH(TODAY()),1))),1,0))</f>
        <v/>
      </c>
      <c r="Z143">
        <f>IF($A143="","",IF(AND($B143&gt;0,M143&lt;$B143,DATE($B$1,11,1)&lt;=TODAY(),OR($O143="",$O143&gt;=DATE($B$1,11,1)),OR(COUNTIF($C143:M143,"&gt;0")&gt;0,DATE($B$1,11,1)=DATE(YEAR(TODAY()),MONTH(TODAY()),1))),1,0))</f>
        <v/>
      </c>
      <c r="AA143">
        <f>IF($A143="","",IF(AND($B143&gt;0,N143&lt;$B143,DATE($B$1,12,1)&lt;=TODAY(),OR($O143="",$O143&gt;=DATE($B$1,12,1)),OR(COUNTIF($C143:N143,"&gt;0")&gt;0,DATE($B$1,12,1)=DATE(YEAR(TODAY()),MONTH(TODAY()),1))),1,0))</f>
        <v/>
      </c>
    </row>
    <row r="144">
      <c r="A144" s="13">
        <f>IF(원생!$A142="","",원생!$A142&amp;IF(원생!$G142="",""," ("&amp;원생!$G142&amp;")"))</f>
        <v/>
      </c>
      <c r="B144" s="8">
        <f>IF(원생!$A142="","",N(원생!$F142))</f>
        <v/>
      </c>
      <c r="C144" s="14">
        <f>IF(원생!$A142="","",SUMIFS(계산!$C:$C,계산!$A:$A,계산!$E142,계산!$B:$B,$B$1*100+1))</f>
        <v/>
      </c>
      <c r="D144" s="14">
        <f>IF(원생!$A142="","",SUMIFS(계산!$C:$C,계산!$A:$A,계산!$E142,계산!$B:$B,$B$1*100+2))</f>
        <v/>
      </c>
      <c r="E144" s="14">
        <f>IF(원생!$A142="","",SUMIFS(계산!$C:$C,계산!$A:$A,계산!$E142,계산!$B:$B,$B$1*100+3))</f>
        <v/>
      </c>
      <c r="F144" s="14">
        <f>IF(원생!$A142="","",SUMIFS(계산!$C:$C,계산!$A:$A,계산!$E142,계산!$B:$B,$B$1*100+4))</f>
        <v/>
      </c>
      <c r="G144" s="14">
        <f>IF(원생!$A142="","",SUMIFS(계산!$C:$C,계산!$A:$A,계산!$E142,계산!$B:$B,$B$1*100+5))</f>
        <v/>
      </c>
      <c r="H144" s="14">
        <f>IF(원생!$A142="","",SUMIFS(계산!$C:$C,계산!$A:$A,계산!$E142,계산!$B:$B,$B$1*100+6))</f>
        <v/>
      </c>
      <c r="I144" s="14">
        <f>IF(원생!$A142="","",SUMIFS(계산!$C:$C,계산!$A:$A,계산!$E142,계산!$B:$B,$B$1*100+7))</f>
        <v/>
      </c>
      <c r="J144" s="14">
        <f>IF(원생!$A142="","",SUMIFS(계산!$C:$C,계산!$A:$A,계산!$E142,계산!$B:$B,$B$1*100+8))</f>
        <v/>
      </c>
      <c r="K144" s="14">
        <f>IF(원생!$A142="","",SUMIFS(계산!$C:$C,계산!$A:$A,계산!$E142,계산!$B:$B,$B$1*100+9))</f>
        <v/>
      </c>
      <c r="L144" s="14">
        <f>IF(원생!$A142="","",SUMIFS(계산!$C:$C,계산!$A:$A,계산!$E142,계산!$B:$B,$B$1*100+10))</f>
        <v/>
      </c>
      <c r="M144" s="14">
        <f>IF(원생!$A142="","",SUMIFS(계산!$C:$C,계산!$A:$A,계산!$E142,계산!$B:$B,$B$1*100+11))</f>
        <v/>
      </c>
      <c r="N144" s="14">
        <f>IF(원생!$A142="","",SUMIFS(계산!$C:$C,계산!$A:$A,계산!$E142,계산!$B:$B,$B$1*100+12))</f>
        <v/>
      </c>
      <c r="O144">
        <f>IF(원생!$I142="","",원생!$I142)</f>
        <v/>
      </c>
      <c r="P144">
        <f>IF($A144="","",IF(AND($B144&gt;0,C144&lt;$B144,DATE($B$1,1,1)&lt;=TODAY(),OR($O144="",$O144&gt;=DATE($B$1,1,1)),OR(COUNTIF($C144:C144,"&gt;0")&gt;0,DATE($B$1,1,1)=DATE(YEAR(TODAY()),MONTH(TODAY()),1))),1,0))</f>
        <v/>
      </c>
      <c r="Q144">
        <f>IF($A144="","",IF(AND($B144&gt;0,D144&lt;$B144,DATE($B$1,2,1)&lt;=TODAY(),OR($O144="",$O144&gt;=DATE($B$1,2,1)),OR(COUNTIF($C144:D144,"&gt;0")&gt;0,DATE($B$1,2,1)=DATE(YEAR(TODAY()),MONTH(TODAY()),1))),1,0))</f>
        <v/>
      </c>
      <c r="R144">
        <f>IF($A144="","",IF(AND($B144&gt;0,E144&lt;$B144,DATE($B$1,3,1)&lt;=TODAY(),OR($O144="",$O144&gt;=DATE($B$1,3,1)),OR(COUNTIF($C144:E144,"&gt;0")&gt;0,DATE($B$1,3,1)=DATE(YEAR(TODAY()),MONTH(TODAY()),1))),1,0))</f>
        <v/>
      </c>
      <c r="S144">
        <f>IF($A144="","",IF(AND($B144&gt;0,F144&lt;$B144,DATE($B$1,4,1)&lt;=TODAY(),OR($O144="",$O144&gt;=DATE($B$1,4,1)),OR(COUNTIF($C144:F144,"&gt;0")&gt;0,DATE($B$1,4,1)=DATE(YEAR(TODAY()),MONTH(TODAY()),1))),1,0))</f>
        <v/>
      </c>
      <c r="T144">
        <f>IF($A144="","",IF(AND($B144&gt;0,G144&lt;$B144,DATE($B$1,5,1)&lt;=TODAY(),OR($O144="",$O144&gt;=DATE($B$1,5,1)),OR(COUNTIF($C144:G144,"&gt;0")&gt;0,DATE($B$1,5,1)=DATE(YEAR(TODAY()),MONTH(TODAY()),1))),1,0))</f>
        <v/>
      </c>
      <c r="U144">
        <f>IF($A144="","",IF(AND($B144&gt;0,H144&lt;$B144,DATE($B$1,6,1)&lt;=TODAY(),OR($O144="",$O144&gt;=DATE($B$1,6,1)),OR(COUNTIF($C144:H144,"&gt;0")&gt;0,DATE($B$1,6,1)=DATE(YEAR(TODAY()),MONTH(TODAY()),1))),1,0))</f>
        <v/>
      </c>
      <c r="V144">
        <f>IF($A144="","",IF(AND($B144&gt;0,I144&lt;$B144,DATE($B$1,7,1)&lt;=TODAY(),OR($O144="",$O144&gt;=DATE($B$1,7,1)),OR(COUNTIF($C144:I144,"&gt;0")&gt;0,DATE($B$1,7,1)=DATE(YEAR(TODAY()),MONTH(TODAY()),1))),1,0))</f>
        <v/>
      </c>
      <c r="W144">
        <f>IF($A144="","",IF(AND($B144&gt;0,J144&lt;$B144,DATE($B$1,8,1)&lt;=TODAY(),OR($O144="",$O144&gt;=DATE($B$1,8,1)),OR(COUNTIF($C144:J144,"&gt;0")&gt;0,DATE($B$1,8,1)=DATE(YEAR(TODAY()),MONTH(TODAY()),1))),1,0))</f>
        <v/>
      </c>
      <c r="X144">
        <f>IF($A144="","",IF(AND($B144&gt;0,K144&lt;$B144,DATE($B$1,9,1)&lt;=TODAY(),OR($O144="",$O144&gt;=DATE($B$1,9,1)),OR(COUNTIF($C144:K144,"&gt;0")&gt;0,DATE($B$1,9,1)=DATE(YEAR(TODAY()),MONTH(TODAY()),1))),1,0))</f>
        <v/>
      </c>
      <c r="Y144">
        <f>IF($A144="","",IF(AND($B144&gt;0,L144&lt;$B144,DATE($B$1,10,1)&lt;=TODAY(),OR($O144="",$O144&gt;=DATE($B$1,10,1)),OR(COUNTIF($C144:L144,"&gt;0")&gt;0,DATE($B$1,10,1)=DATE(YEAR(TODAY()),MONTH(TODAY()),1))),1,0))</f>
        <v/>
      </c>
      <c r="Z144">
        <f>IF($A144="","",IF(AND($B144&gt;0,M144&lt;$B144,DATE($B$1,11,1)&lt;=TODAY(),OR($O144="",$O144&gt;=DATE($B$1,11,1)),OR(COUNTIF($C144:M144,"&gt;0")&gt;0,DATE($B$1,11,1)=DATE(YEAR(TODAY()),MONTH(TODAY()),1))),1,0))</f>
        <v/>
      </c>
      <c r="AA144">
        <f>IF($A144="","",IF(AND($B144&gt;0,N144&lt;$B144,DATE($B$1,12,1)&lt;=TODAY(),OR($O144="",$O144&gt;=DATE($B$1,12,1)),OR(COUNTIF($C144:N144,"&gt;0")&gt;0,DATE($B$1,12,1)=DATE(YEAR(TODAY()),MONTH(TODAY()),1))),1,0))</f>
        <v/>
      </c>
    </row>
    <row r="145">
      <c r="A145" s="13">
        <f>IF(원생!$A143="","",원생!$A143&amp;IF(원생!$G143="",""," ("&amp;원생!$G143&amp;")"))</f>
        <v/>
      </c>
      <c r="B145" s="8">
        <f>IF(원생!$A143="","",N(원생!$F143))</f>
        <v/>
      </c>
      <c r="C145" s="14">
        <f>IF(원생!$A143="","",SUMIFS(계산!$C:$C,계산!$A:$A,계산!$E143,계산!$B:$B,$B$1*100+1))</f>
        <v/>
      </c>
      <c r="D145" s="14">
        <f>IF(원생!$A143="","",SUMIFS(계산!$C:$C,계산!$A:$A,계산!$E143,계산!$B:$B,$B$1*100+2))</f>
        <v/>
      </c>
      <c r="E145" s="14">
        <f>IF(원생!$A143="","",SUMIFS(계산!$C:$C,계산!$A:$A,계산!$E143,계산!$B:$B,$B$1*100+3))</f>
        <v/>
      </c>
      <c r="F145" s="14">
        <f>IF(원생!$A143="","",SUMIFS(계산!$C:$C,계산!$A:$A,계산!$E143,계산!$B:$B,$B$1*100+4))</f>
        <v/>
      </c>
      <c r="G145" s="14">
        <f>IF(원생!$A143="","",SUMIFS(계산!$C:$C,계산!$A:$A,계산!$E143,계산!$B:$B,$B$1*100+5))</f>
        <v/>
      </c>
      <c r="H145" s="14">
        <f>IF(원생!$A143="","",SUMIFS(계산!$C:$C,계산!$A:$A,계산!$E143,계산!$B:$B,$B$1*100+6))</f>
        <v/>
      </c>
      <c r="I145" s="14">
        <f>IF(원생!$A143="","",SUMIFS(계산!$C:$C,계산!$A:$A,계산!$E143,계산!$B:$B,$B$1*100+7))</f>
        <v/>
      </c>
      <c r="J145" s="14">
        <f>IF(원생!$A143="","",SUMIFS(계산!$C:$C,계산!$A:$A,계산!$E143,계산!$B:$B,$B$1*100+8))</f>
        <v/>
      </c>
      <c r="K145" s="14">
        <f>IF(원생!$A143="","",SUMIFS(계산!$C:$C,계산!$A:$A,계산!$E143,계산!$B:$B,$B$1*100+9))</f>
        <v/>
      </c>
      <c r="L145" s="14">
        <f>IF(원생!$A143="","",SUMIFS(계산!$C:$C,계산!$A:$A,계산!$E143,계산!$B:$B,$B$1*100+10))</f>
        <v/>
      </c>
      <c r="M145" s="14">
        <f>IF(원생!$A143="","",SUMIFS(계산!$C:$C,계산!$A:$A,계산!$E143,계산!$B:$B,$B$1*100+11))</f>
        <v/>
      </c>
      <c r="N145" s="14">
        <f>IF(원생!$A143="","",SUMIFS(계산!$C:$C,계산!$A:$A,계산!$E143,계산!$B:$B,$B$1*100+12))</f>
        <v/>
      </c>
      <c r="O145">
        <f>IF(원생!$I143="","",원생!$I143)</f>
        <v/>
      </c>
      <c r="P145">
        <f>IF($A145="","",IF(AND($B145&gt;0,C145&lt;$B145,DATE($B$1,1,1)&lt;=TODAY(),OR($O145="",$O145&gt;=DATE($B$1,1,1)),OR(COUNTIF($C145:C145,"&gt;0")&gt;0,DATE($B$1,1,1)=DATE(YEAR(TODAY()),MONTH(TODAY()),1))),1,0))</f>
        <v/>
      </c>
      <c r="Q145">
        <f>IF($A145="","",IF(AND($B145&gt;0,D145&lt;$B145,DATE($B$1,2,1)&lt;=TODAY(),OR($O145="",$O145&gt;=DATE($B$1,2,1)),OR(COUNTIF($C145:D145,"&gt;0")&gt;0,DATE($B$1,2,1)=DATE(YEAR(TODAY()),MONTH(TODAY()),1))),1,0))</f>
        <v/>
      </c>
      <c r="R145">
        <f>IF($A145="","",IF(AND($B145&gt;0,E145&lt;$B145,DATE($B$1,3,1)&lt;=TODAY(),OR($O145="",$O145&gt;=DATE($B$1,3,1)),OR(COUNTIF($C145:E145,"&gt;0")&gt;0,DATE($B$1,3,1)=DATE(YEAR(TODAY()),MONTH(TODAY()),1))),1,0))</f>
        <v/>
      </c>
      <c r="S145">
        <f>IF($A145="","",IF(AND($B145&gt;0,F145&lt;$B145,DATE($B$1,4,1)&lt;=TODAY(),OR($O145="",$O145&gt;=DATE($B$1,4,1)),OR(COUNTIF($C145:F145,"&gt;0")&gt;0,DATE($B$1,4,1)=DATE(YEAR(TODAY()),MONTH(TODAY()),1))),1,0))</f>
        <v/>
      </c>
      <c r="T145">
        <f>IF($A145="","",IF(AND($B145&gt;0,G145&lt;$B145,DATE($B$1,5,1)&lt;=TODAY(),OR($O145="",$O145&gt;=DATE($B$1,5,1)),OR(COUNTIF($C145:G145,"&gt;0")&gt;0,DATE($B$1,5,1)=DATE(YEAR(TODAY()),MONTH(TODAY()),1))),1,0))</f>
        <v/>
      </c>
      <c r="U145">
        <f>IF($A145="","",IF(AND($B145&gt;0,H145&lt;$B145,DATE($B$1,6,1)&lt;=TODAY(),OR($O145="",$O145&gt;=DATE($B$1,6,1)),OR(COUNTIF($C145:H145,"&gt;0")&gt;0,DATE($B$1,6,1)=DATE(YEAR(TODAY()),MONTH(TODAY()),1))),1,0))</f>
        <v/>
      </c>
      <c r="V145">
        <f>IF($A145="","",IF(AND($B145&gt;0,I145&lt;$B145,DATE($B$1,7,1)&lt;=TODAY(),OR($O145="",$O145&gt;=DATE($B$1,7,1)),OR(COUNTIF($C145:I145,"&gt;0")&gt;0,DATE($B$1,7,1)=DATE(YEAR(TODAY()),MONTH(TODAY()),1))),1,0))</f>
        <v/>
      </c>
      <c r="W145">
        <f>IF($A145="","",IF(AND($B145&gt;0,J145&lt;$B145,DATE($B$1,8,1)&lt;=TODAY(),OR($O145="",$O145&gt;=DATE($B$1,8,1)),OR(COUNTIF($C145:J145,"&gt;0")&gt;0,DATE($B$1,8,1)=DATE(YEAR(TODAY()),MONTH(TODAY()),1))),1,0))</f>
        <v/>
      </c>
      <c r="X145">
        <f>IF($A145="","",IF(AND($B145&gt;0,K145&lt;$B145,DATE($B$1,9,1)&lt;=TODAY(),OR($O145="",$O145&gt;=DATE($B$1,9,1)),OR(COUNTIF($C145:K145,"&gt;0")&gt;0,DATE($B$1,9,1)=DATE(YEAR(TODAY()),MONTH(TODAY()),1))),1,0))</f>
        <v/>
      </c>
      <c r="Y145">
        <f>IF($A145="","",IF(AND($B145&gt;0,L145&lt;$B145,DATE($B$1,10,1)&lt;=TODAY(),OR($O145="",$O145&gt;=DATE($B$1,10,1)),OR(COUNTIF($C145:L145,"&gt;0")&gt;0,DATE($B$1,10,1)=DATE(YEAR(TODAY()),MONTH(TODAY()),1))),1,0))</f>
        <v/>
      </c>
      <c r="Z145">
        <f>IF($A145="","",IF(AND($B145&gt;0,M145&lt;$B145,DATE($B$1,11,1)&lt;=TODAY(),OR($O145="",$O145&gt;=DATE($B$1,11,1)),OR(COUNTIF($C145:M145,"&gt;0")&gt;0,DATE($B$1,11,1)=DATE(YEAR(TODAY()),MONTH(TODAY()),1))),1,0))</f>
        <v/>
      </c>
      <c r="AA145">
        <f>IF($A145="","",IF(AND($B145&gt;0,N145&lt;$B145,DATE($B$1,12,1)&lt;=TODAY(),OR($O145="",$O145&gt;=DATE($B$1,12,1)),OR(COUNTIF($C145:N145,"&gt;0")&gt;0,DATE($B$1,12,1)=DATE(YEAR(TODAY()),MONTH(TODAY()),1))),1,0))</f>
        <v/>
      </c>
    </row>
    <row r="146">
      <c r="A146" s="13">
        <f>IF(원생!$A144="","",원생!$A144&amp;IF(원생!$G144="",""," ("&amp;원생!$G144&amp;")"))</f>
        <v/>
      </c>
      <c r="B146" s="8">
        <f>IF(원생!$A144="","",N(원생!$F144))</f>
        <v/>
      </c>
      <c r="C146" s="14">
        <f>IF(원생!$A144="","",SUMIFS(계산!$C:$C,계산!$A:$A,계산!$E144,계산!$B:$B,$B$1*100+1))</f>
        <v/>
      </c>
      <c r="D146" s="14">
        <f>IF(원생!$A144="","",SUMIFS(계산!$C:$C,계산!$A:$A,계산!$E144,계산!$B:$B,$B$1*100+2))</f>
        <v/>
      </c>
      <c r="E146" s="14">
        <f>IF(원생!$A144="","",SUMIFS(계산!$C:$C,계산!$A:$A,계산!$E144,계산!$B:$B,$B$1*100+3))</f>
        <v/>
      </c>
      <c r="F146" s="14">
        <f>IF(원생!$A144="","",SUMIFS(계산!$C:$C,계산!$A:$A,계산!$E144,계산!$B:$B,$B$1*100+4))</f>
        <v/>
      </c>
      <c r="G146" s="14">
        <f>IF(원생!$A144="","",SUMIFS(계산!$C:$C,계산!$A:$A,계산!$E144,계산!$B:$B,$B$1*100+5))</f>
        <v/>
      </c>
      <c r="H146" s="14">
        <f>IF(원생!$A144="","",SUMIFS(계산!$C:$C,계산!$A:$A,계산!$E144,계산!$B:$B,$B$1*100+6))</f>
        <v/>
      </c>
      <c r="I146" s="14">
        <f>IF(원생!$A144="","",SUMIFS(계산!$C:$C,계산!$A:$A,계산!$E144,계산!$B:$B,$B$1*100+7))</f>
        <v/>
      </c>
      <c r="J146" s="14">
        <f>IF(원생!$A144="","",SUMIFS(계산!$C:$C,계산!$A:$A,계산!$E144,계산!$B:$B,$B$1*100+8))</f>
        <v/>
      </c>
      <c r="K146" s="14">
        <f>IF(원생!$A144="","",SUMIFS(계산!$C:$C,계산!$A:$A,계산!$E144,계산!$B:$B,$B$1*100+9))</f>
        <v/>
      </c>
      <c r="L146" s="14">
        <f>IF(원생!$A144="","",SUMIFS(계산!$C:$C,계산!$A:$A,계산!$E144,계산!$B:$B,$B$1*100+10))</f>
        <v/>
      </c>
      <c r="M146" s="14">
        <f>IF(원생!$A144="","",SUMIFS(계산!$C:$C,계산!$A:$A,계산!$E144,계산!$B:$B,$B$1*100+11))</f>
        <v/>
      </c>
      <c r="N146" s="14">
        <f>IF(원생!$A144="","",SUMIFS(계산!$C:$C,계산!$A:$A,계산!$E144,계산!$B:$B,$B$1*100+12))</f>
        <v/>
      </c>
      <c r="O146">
        <f>IF(원생!$I144="","",원생!$I144)</f>
        <v/>
      </c>
      <c r="P146">
        <f>IF($A146="","",IF(AND($B146&gt;0,C146&lt;$B146,DATE($B$1,1,1)&lt;=TODAY(),OR($O146="",$O146&gt;=DATE($B$1,1,1)),OR(COUNTIF($C146:C146,"&gt;0")&gt;0,DATE($B$1,1,1)=DATE(YEAR(TODAY()),MONTH(TODAY()),1))),1,0))</f>
        <v/>
      </c>
      <c r="Q146">
        <f>IF($A146="","",IF(AND($B146&gt;0,D146&lt;$B146,DATE($B$1,2,1)&lt;=TODAY(),OR($O146="",$O146&gt;=DATE($B$1,2,1)),OR(COUNTIF($C146:D146,"&gt;0")&gt;0,DATE($B$1,2,1)=DATE(YEAR(TODAY()),MONTH(TODAY()),1))),1,0))</f>
        <v/>
      </c>
      <c r="R146">
        <f>IF($A146="","",IF(AND($B146&gt;0,E146&lt;$B146,DATE($B$1,3,1)&lt;=TODAY(),OR($O146="",$O146&gt;=DATE($B$1,3,1)),OR(COUNTIF($C146:E146,"&gt;0")&gt;0,DATE($B$1,3,1)=DATE(YEAR(TODAY()),MONTH(TODAY()),1))),1,0))</f>
        <v/>
      </c>
      <c r="S146">
        <f>IF($A146="","",IF(AND($B146&gt;0,F146&lt;$B146,DATE($B$1,4,1)&lt;=TODAY(),OR($O146="",$O146&gt;=DATE($B$1,4,1)),OR(COUNTIF($C146:F146,"&gt;0")&gt;0,DATE($B$1,4,1)=DATE(YEAR(TODAY()),MONTH(TODAY()),1))),1,0))</f>
        <v/>
      </c>
      <c r="T146">
        <f>IF($A146="","",IF(AND($B146&gt;0,G146&lt;$B146,DATE($B$1,5,1)&lt;=TODAY(),OR($O146="",$O146&gt;=DATE($B$1,5,1)),OR(COUNTIF($C146:G146,"&gt;0")&gt;0,DATE($B$1,5,1)=DATE(YEAR(TODAY()),MONTH(TODAY()),1))),1,0))</f>
        <v/>
      </c>
      <c r="U146">
        <f>IF($A146="","",IF(AND($B146&gt;0,H146&lt;$B146,DATE($B$1,6,1)&lt;=TODAY(),OR($O146="",$O146&gt;=DATE($B$1,6,1)),OR(COUNTIF($C146:H146,"&gt;0")&gt;0,DATE($B$1,6,1)=DATE(YEAR(TODAY()),MONTH(TODAY()),1))),1,0))</f>
        <v/>
      </c>
      <c r="V146">
        <f>IF($A146="","",IF(AND($B146&gt;0,I146&lt;$B146,DATE($B$1,7,1)&lt;=TODAY(),OR($O146="",$O146&gt;=DATE($B$1,7,1)),OR(COUNTIF($C146:I146,"&gt;0")&gt;0,DATE($B$1,7,1)=DATE(YEAR(TODAY()),MONTH(TODAY()),1))),1,0))</f>
        <v/>
      </c>
      <c r="W146">
        <f>IF($A146="","",IF(AND($B146&gt;0,J146&lt;$B146,DATE($B$1,8,1)&lt;=TODAY(),OR($O146="",$O146&gt;=DATE($B$1,8,1)),OR(COUNTIF($C146:J146,"&gt;0")&gt;0,DATE($B$1,8,1)=DATE(YEAR(TODAY()),MONTH(TODAY()),1))),1,0))</f>
        <v/>
      </c>
      <c r="X146">
        <f>IF($A146="","",IF(AND($B146&gt;0,K146&lt;$B146,DATE($B$1,9,1)&lt;=TODAY(),OR($O146="",$O146&gt;=DATE($B$1,9,1)),OR(COUNTIF($C146:K146,"&gt;0")&gt;0,DATE($B$1,9,1)=DATE(YEAR(TODAY()),MONTH(TODAY()),1))),1,0))</f>
        <v/>
      </c>
      <c r="Y146">
        <f>IF($A146="","",IF(AND($B146&gt;0,L146&lt;$B146,DATE($B$1,10,1)&lt;=TODAY(),OR($O146="",$O146&gt;=DATE($B$1,10,1)),OR(COUNTIF($C146:L146,"&gt;0")&gt;0,DATE($B$1,10,1)=DATE(YEAR(TODAY()),MONTH(TODAY()),1))),1,0))</f>
        <v/>
      </c>
      <c r="Z146">
        <f>IF($A146="","",IF(AND($B146&gt;0,M146&lt;$B146,DATE($B$1,11,1)&lt;=TODAY(),OR($O146="",$O146&gt;=DATE($B$1,11,1)),OR(COUNTIF($C146:M146,"&gt;0")&gt;0,DATE($B$1,11,1)=DATE(YEAR(TODAY()),MONTH(TODAY()),1))),1,0))</f>
        <v/>
      </c>
      <c r="AA146">
        <f>IF($A146="","",IF(AND($B146&gt;0,N146&lt;$B146,DATE($B$1,12,1)&lt;=TODAY(),OR($O146="",$O146&gt;=DATE($B$1,12,1)),OR(COUNTIF($C146:N146,"&gt;0")&gt;0,DATE($B$1,12,1)=DATE(YEAR(TODAY()),MONTH(TODAY()),1))),1,0))</f>
        <v/>
      </c>
    </row>
    <row r="147">
      <c r="A147" s="13">
        <f>IF(원생!$A145="","",원생!$A145&amp;IF(원생!$G145="",""," ("&amp;원생!$G145&amp;")"))</f>
        <v/>
      </c>
      <c r="B147" s="8">
        <f>IF(원생!$A145="","",N(원생!$F145))</f>
        <v/>
      </c>
      <c r="C147" s="14">
        <f>IF(원생!$A145="","",SUMIFS(계산!$C:$C,계산!$A:$A,계산!$E145,계산!$B:$B,$B$1*100+1))</f>
        <v/>
      </c>
      <c r="D147" s="14">
        <f>IF(원생!$A145="","",SUMIFS(계산!$C:$C,계산!$A:$A,계산!$E145,계산!$B:$B,$B$1*100+2))</f>
        <v/>
      </c>
      <c r="E147" s="14">
        <f>IF(원생!$A145="","",SUMIFS(계산!$C:$C,계산!$A:$A,계산!$E145,계산!$B:$B,$B$1*100+3))</f>
        <v/>
      </c>
      <c r="F147" s="14">
        <f>IF(원생!$A145="","",SUMIFS(계산!$C:$C,계산!$A:$A,계산!$E145,계산!$B:$B,$B$1*100+4))</f>
        <v/>
      </c>
      <c r="G147" s="14">
        <f>IF(원생!$A145="","",SUMIFS(계산!$C:$C,계산!$A:$A,계산!$E145,계산!$B:$B,$B$1*100+5))</f>
        <v/>
      </c>
      <c r="H147" s="14">
        <f>IF(원생!$A145="","",SUMIFS(계산!$C:$C,계산!$A:$A,계산!$E145,계산!$B:$B,$B$1*100+6))</f>
        <v/>
      </c>
      <c r="I147" s="14">
        <f>IF(원생!$A145="","",SUMIFS(계산!$C:$C,계산!$A:$A,계산!$E145,계산!$B:$B,$B$1*100+7))</f>
        <v/>
      </c>
      <c r="J147" s="14">
        <f>IF(원생!$A145="","",SUMIFS(계산!$C:$C,계산!$A:$A,계산!$E145,계산!$B:$B,$B$1*100+8))</f>
        <v/>
      </c>
      <c r="K147" s="14">
        <f>IF(원생!$A145="","",SUMIFS(계산!$C:$C,계산!$A:$A,계산!$E145,계산!$B:$B,$B$1*100+9))</f>
        <v/>
      </c>
      <c r="L147" s="14">
        <f>IF(원생!$A145="","",SUMIFS(계산!$C:$C,계산!$A:$A,계산!$E145,계산!$B:$B,$B$1*100+10))</f>
        <v/>
      </c>
      <c r="M147" s="14">
        <f>IF(원생!$A145="","",SUMIFS(계산!$C:$C,계산!$A:$A,계산!$E145,계산!$B:$B,$B$1*100+11))</f>
        <v/>
      </c>
      <c r="N147" s="14">
        <f>IF(원생!$A145="","",SUMIFS(계산!$C:$C,계산!$A:$A,계산!$E145,계산!$B:$B,$B$1*100+12))</f>
        <v/>
      </c>
      <c r="O147">
        <f>IF(원생!$I145="","",원생!$I145)</f>
        <v/>
      </c>
      <c r="P147">
        <f>IF($A147="","",IF(AND($B147&gt;0,C147&lt;$B147,DATE($B$1,1,1)&lt;=TODAY(),OR($O147="",$O147&gt;=DATE($B$1,1,1)),OR(COUNTIF($C147:C147,"&gt;0")&gt;0,DATE($B$1,1,1)=DATE(YEAR(TODAY()),MONTH(TODAY()),1))),1,0))</f>
        <v/>
      </c>
      <c r="Q147">
        <f>IF($A147="","",IF(AND($B147&gt;0,D147&lt;$B147,DATE($B$1,2,1)&lt;=TODAY(),OR($O147="",$O147&gt;=DATE($B$1,2,1)),OR(COUNTIF($C147:D147,"&gt;0")&gt;0,DATE($B$1,2,1)=DATE(YEAR(TODAY()),MONTH(TODAY()),1))),1,0))</f>
        <v/>
      </c>
      <c r="R147">
        <f>IF($A147="","",IF(AND($B147&gt;0,E147&lt;$B147,DATE($B$1,3,1)&lt;=TODAY(),OR($O147="",$O147&gt;=DATE($B$1,3,1)),OR(COUNTIF($C147:E147,"&gt;0")&gt;0,DATE($B$1,3,1)=DATE(YEAR(TODAY()),MONTH(TODAY()),1))),1,0))</f>
        <v/>
      </c>
      <c r="S147">
        <f>IF($A147="","",IF(AND($B147&gt;0,F147&lt;$B147,DATE($B$1,4,1)&lt;=TODAY(),OR($O147="",$O147&gt;=DATE($B$1,4,1)),OR(COUNTIF($C147:F147,"&gt;0")&gt;0,DATE($B$1,4,1)=DATE(YEAR(TODAY()),MONTH(TODAY()),1))),1,0))</f>
        <v/>
      </c>
      <c r="T147">
        <f>IF($A147="","",IF(AND($B147&gt;0,G147&lt;$B147,DATE($B$1,5,1)&lt;=TODAY(),OR($O147="",$O147&gt;=DATE($B$1,5,1)),OR(COUNTIF($C147:G147,"&gt;0")&gt;0,DATE($B$1,5,1)=DATE(YEAR(TODAY()),MONTH(TODAY()),1))),1,0))</f>
        <v/>
      </c>
      <c r="U147">
        <f>IF($A147="","",IF(AND($B147&gt;0,H147&lt;$B147,DATE($B$1,6,1)&lt;=TODAY(),OR($O147="",$O147&gt;=DATE($B$1,6,1)),OR(COUNTIF($C147:H147,"&gt;0")&gt;0,DATE($B$1,6,1)=DATE(YEAR(TODAY()),MONTH(TODAY()),1))),1,0))</f>
        <v/>
      </c>
      <c r="V147">
        <f>IF($A147="","",IF(AND($B147&gt;0,I147&lt;$B147,DATE($B$1,7,1)&lt;=TODAY(),OR($O147="",$O147&gt;=DATE($B$1,7,1)),OR(COUNTIF($C147:I147,"&gt;0")&gt;0,DATE($B$1,7,1)=DATE(YEAR(TODAY()),MONTH(TODAY()),1))),1,0))</f>
        <v/>
      </c>
      <c r="W147">
        <f>IF($A147="","",IF(AND($B147&gt;0,J147&lt;$B147,DATE($B$1,8,1)&lt;=TODAY(),OR($O147="",$O147&gt;=DATE($B$1,8,1)),OR(COUNTIF($C147:J147,"&gt;0")&gt;0,DATE($B$1,8,1)=DATE(YEAR(TODAY()),MONTH(TODAY()),1))),1,0))</f>
        <v/>
      </c>
      <c r="X147">
        <f>IF($A147="","",IF(AND($B147&gt;0,K147&lt;$B147,DATE($B$1,9,1)&lt;=TODAY(),OR($O147="",$O147&gt;=DATE($B$1,9,1)),OR(COUNTIF($C147:K147,"&gt;0")&gt;0,DATE($B$1,9,1)=DATE(YEAR(TODAY()),MONTH(TODAY()),1))),1,0))</f>
        <v/>
      </c>
      <c r="Y147">
        <f>IF($A147="","",IF(AND($B147&gt;0,L147&lt;$B147,DATE($B$1,10,1)&lt;=TODAY(),OR($O147="",$O147&gt;=DATE($B$1,10,1)),OR(COUNTIF($C147:L147,"&gt;0")&gt;0,DATE($B$1,10,1)=DATE(YEAR(TODAY()),MONTH(TODAY()),1))),1,0))</f>
        <v/>
      </c>
      <c r="Z147">
        <f>IF($A147="","",IF(AND($B147&gt;0,M147&lt;$B147,DATE($B$1,11,1)&lt;=TODAY(),OR($O147="",$O147&gt;=DATE($B$1,11,1)),OR(COUNTIF($C147:M147,"&gt;0")&gt;0,DATE($B$1,11,1)=DATE(YEAR(TODAY()),MONTH(TODAY()),1))),1,0))</f>
        <v/>
      </c>
      <c r="AA147">
        <f>IF($A147="","",IF(AND($B147&gt;0,N147&lt;$B147,DATE($B$1,12,1)&lt;=TODAY(),OR($O147="",$O147&gt;=DATE($B$1,12,1)),OR(COUNTIF($C147:N147,"&gt;0")&gt;0,DATE($B$1,12,1)=DATE(YEAR(TODAY()),MONTH(TODAY()),1))),1,0))</f>
        <v/>
      </c>
    </row>
    <row r="148">
      <c r="A148" s="13">
        <f>IF(원생!$A146="","",원생!$A146&amp;IF(원생!$G146="",""," ("&amp;원생!$G146&amp;")"))</f>
        <v/>
      </c>
      <c r="B148" s="8">
        <f>IF(원생!$A146="","",N(원생!$F146))</f>
        <v/>
      </c>
      <c r="C148" s="14">
        <f>IF(원생!$A146="","",SUMIFS(계산!$C:$C,계산!$A:$A,계산!$E146,계산!$B:$B,$B$1*100+1))</f>
        <v/>
      </c>
      <c r="D148" s="14">
        <f>IF(원생!$A146="","",SUMIFS(계산!$C:$C,계산!$A:$A,계산!$E146,계산!$B:$B,$B$1*100+2))</f>
        <v/>
      </c>
      <c r="E148" s="14">
        <f>IF(원생!$A146="","",SUMIFS(계산!$C:$C,계산!$A:$A,계산!$E146,계산!$B:$B,$B$1*100+3))</f>
        <v/>
      </c>
      <c r="F148" s="14">
        <f>IF(원생!$A146="","",SUMIFS(계산!$C:$C,계산!$A:$A,계산!$E146,계산!$B:$B,$B$1*100+4))</f>
        <v/>
      </c>
      <c r="G148" s="14">
        <f>IF(원생!$A146="","",SUMIFS(계산!$C:$C,계산!$A:$A,계산!$E146,계산!$B:$B,$B$1*100+5))</f>
        <v/>
      </c>
      <c r="H148" s="14">
        <f>IF(원생!$A146="","",SUMIFS(계산!$C:$C,계산!$A:$A,계산!$E146,계산!$B:$B,$B$1*100+6))</f>
        <v/>
      </c>
      <c r="I148" s="14">
        <f>IF(원생!$A146="","",SUMIFS(계산!$C:$C,계산!$A:$A,계산!$E146,계산!$B:$B,$B$1*100+7))</f>
        <v/>
      </c>
      <c r="J148" s="14">
        <f>IF(원생!$A146="","",SUMIFS(계산!$C:$C,계산!$A:$A,계산!$E146,계산!$B:$B,$B$1*100+8))</f>
        <v/>
      </c>
      <c r="K148" s="14">
        <f>IF(원생!$A146="","",SUMIFS(계산!$C:$C,계산!$A:$A,계산!$E146,계산!$B:$B,$B$1*100+9))</f>
        <v/>
      </c>
      <c r="L148" s="14">
        <f>IF(원생!$A146="","",SUMIFS(계산!$C:$C,계산!$A:$A,계산!$E146,계산!$B:$B,$B$1*100+10))</f>
        <v/>
      </c>
      <c r="M148" s="14">
        <f>IF(원생!$A146="","",SUMIFS(계산!$C:$C,계산!$A:$A,계산!$E146,계산!$B:$B,$B$1*100+11))</f>
        <v/>
      </c>
      <c r="N148" s="14">
        <f>IF(원생!$A146="","",SUMIFS(계산!$C:$C,계산!$A:$A,계산!$E146,계산!$B:$B,$B$1*100+12))</f>
        <v/>
      </c>
      <c r="O148">
        <f>IF(원생!$I146="","",원생!$I146)</f>
        <v/>
      </c>
      <c r="P148">
        <f>IF($A148="","",IF(AND($B148&gt;0,C148&lt;$B148,DATE($B$1,1,1)&lt;=TODAY(),OR($O148="",$O148&gt;=DATE($B$1,1,1)),OR(COUNTIF($C148:C148,"&gt;0")&gt;0,DATE($B$1,1,1)=DATE(YEAR(TODAY()),MONTH(TODAY()),1))),1,0))</f>
        <v/>
      </c>
      <c r="Q148">
        <f>IF($A148="","",IF(AND($B148&gt;0,D148&lt;$B148,DATE($B$1,2,1)&lt;=TODAY(),OR($O148="",$O148&gt;=DATE($B$1,2,1)),OR(COUNTIF($C148:D148,"&gt;0")&gt;0,DATE($B$1,2,1)=DATE(YEAR(TODAY()),MONTH(TODAY()),1))),1,0))</f>
        <v/>
      </c>
      <c r="R148">
        <f>IF($A148="","",IF(AND($B148&gt;0,E148&lt;$B148,DATE($B$1,3,1)&lt;=TODAY(),OR($O148="",$O148&gt;=DATE($B$1,3,1)),OR(COUNTIF($C148:E148,"&gt;0")&gt;0,DATE($B$1,3,1)=DATE(YEAR(TODAY()),MONTH(TODAY()),1))),1,0))</f>
        <v/>
      </c>
      <c r="S148">
        <f>IF($A148="","",IF(AND($B148&gt;0,F148&lt;$B148,DATE($B$1,4,1)&lt;=TODAY(),OR($O148="",$O148&gt;=DATE($B$1,4,1)),OR(COUNTIF($C148:F148,"&gt;0")&gt;0,DATE($B$1,4,1)=DATE(YEAR(TODAY()),MONTH(TODAY()),1))),1,0))</f>
        <v/>
      </c>
      <c r="T148">
        <f>IF($A148="","",IF(AND($B148&gt;0,G148&lt;$B148,DATE($B$1,5,1)&lt;=TODAY(),OR($O148="",$O148&gt;=DATE($B$1,5,1)),OR(COUNTIF($C148:G148,"&gt;0")&gt;0,DATE($B$1,5,1)=DATE(YEAR(TODAY()),MONTH(TODAY()),1))),1,0))</f>
        <v/>
      </c>
      <c r="U148">
        <f>IF($A148="","",IF(AND($B148&gt;0,H148&lt;$B148,DATE($B$1,6,1)&lt;=TODAY(),OR($O148="",$O148&gt;=DATE($B$1,6,1)),OR(COUNTIF($C148:H148,"&gt;0")&gt;0,DATE($B$1,6,1)=DATE(YEAR(TODAY()),MONTH(TODAY()),1))),1,0))</f>
        <v/>
      </c>
      <c r="V148">
        <f>IF($A148="","",IF(AND($B148&gt;0,I148&lt;$B148,DATE($B$1,7,1)&lt;=TODAY(),OR($O148="",$O148&gt;=DATE($B$1,7,1)),OR(COUNTIF($C148:I148,"&gt;0")&gt;0,DATE($B$1,7,1)=DATE(YEAR(TODAY()),MONTH(TODAY()),1))),1,0))</f>
        <v/>
      </c>
      <c r="W148">
        <f>IF($A148="","",IF(AND($B148&gt;0,J148&lt;$B148,DATE($B$1,8,1)&lt;=TODAY(),OR($O148="",$O148&gt;=DATE($B$1,8,1)),OR(COUNTIF($C148:J148,"&gt;0")&gt;0,DATE($B$1,8,1)=DATE(YEAR(TODAY()),MONTH(TODAY()),1))),1,0))</f>
        <v/>
      </c>
      <c r="X148">
        <f>IF($A148="","",IF(AND($B148&gt;0,K148&lt;$B148,DATE($B$1,9,1)&lt;=TODAY(),OR($O148="",$O148&gt;=DATE($B$1,9,1)),OR(COUNTIF($C148:K148,"&gt;0")&gt;0,DATE($B$1,9,1)=DATE(YEAR(TODAY()),MONTH(TODAY()),1))),1,0))</f>
        <v/>
      </c>
      <c r="Y148">
        <f>IF($A148="","",IF(AND($B148&gt;0,L148&lt;$B148,DATE($B$1,10,1)&lt;=TODAY(),OR($O148="",$O148&gt;=DATE($B$1,10,1)),OR(COUNTIF($C148:L148,"&gt;0")&gt;0,DATE($B$1,10,1)=DATE(YEAR(TODAY()),MONTH(TODAY()),1))),1,0))</f>
        <v/>
      </c>
      <c r="Z148">
        <f>IF($A148="","",IF(AND($B148&gt;0,M148&lt;$B148,DATE($B$1,11,1)&lt;=TODAY(),OR($O148="",$O148&gt;=DATE($B$1,11,1)),OR(COUNTIF($C148:M148,"&gt;0")&gt;0,DATE($B$1,11,1)=DATE(YEAR(TODAY()),MONTH(TODAY()),1))),1,0))</f>
        <v/>
      </c>
      <c r="AA148">
        <f>IF($A148="","",IF(AND($B148&gt;0,N148&lt;$B148,DATE($B$1,12,1)&lt;=TODAY(),OR($O148="",$O148&gt;=DATE($B$1,12,1)),OR(COUNTIF($C148:N148,"&gt;0")&gt;0,DATE($B$1,12,1)=DATE(YEAR(TODAY()),MONTH(TODAY()),1))),1,0))</f>
        <v/>
      </c>
    </row>
    <row r="149">
      <c r="A149" s="13">
        <f>IF(원생!$A147="","",원생!$A147&amp;IF(원생!$G147="",""," ("&amp;원생!$G147&amp;")"))</f>
        <v/>
      </c>
      <c r="B149" s="8">
        <f>IF(원생!$A147="","",N(원생!$F147))</f>
        <v/>
      </c>
      <c r="C149" s="14">
        <f>IF(원생!$A147="","",SUMIFS(계산!$C:$C,계산!$A:$A,계산!$E147,계산!$B:$B,$B$1*100+1))</f>
        <v/>
      </c>
      <c r="D149" s="14">
        <f>IF(원생!$A147="","",SUMIFS(계산!$C:$C,계산!$A:$A,계산!$E147,계산!$B:$B,$B$1*100+2))</f>
        <v/>
      </c>
      <c r="E149" s="14">
        <f>IF(원생!$A147="","",SUMIFS(계산!$C:$C,계산!$A:$A,계산!$E147,계산!$B:$B,$B$1*100+3))</f>
        <v/>
      </c>
      <c r="F149" s="14">
        <f>IF(원생!$A147="","",SUMIFS(계산!$C:$C,계산!$A:$A,계산!$E147,계산!$B:$B,$B$1*100+4))</f>
        <v/>
      </c>
      <c r="G149" s="14">
        <f>IF(원생!$A147="","",SUMIFS(계산!$C:$C,계산!$A:$A,계산!$E147,계산!$B:$B,$B$1*100+5))</f>
        <v/>
      </c>
      <c r="H149" s="14">
        <f>IF(원생!$A147="","",SUMIFS(계산!$C:$C,계산!$A:$A,계산!$E147,계산!$B:$B,$B$1*100+6))</f>
        <v/>
      </c>
      <c r="I149" s="14">
        <f>IF(원생!$A147="","",SUMIFS(계산!$C:$C,계산!$A:$A,계산!$E147,계산!$B:$B,$B$1*100+7))</f>
        <v/>
      </c>
      <c r="J149" s="14">
        <f>IF(원생!$A147="","",SUMIFS(계산!$C:$C,계산!$A:$A,계산!$E147,계산!$B:$B,$B$1*100+8))</f>
        <v/>
      </c>
      <c r="K149" s="14">
        <f>IF(원생!$A147="","",SUMIFS(계산!$C:$C,계산!$A:$A,계산!$E147,계산!$B:$B,$B$1*100+9))</f>
        <v/>
      </c>
      <c r="L149" s="14">
        <f>IF(원생!$A147="","",SUMIFS(계산!$C:$C,계산!$A:$A,계산!$E147,계산!$B:$B,$B$1*100+10))</f>
        <v/>
      </c>
      <c r="M149" s="14">
        <f>IF(원생!$A147="","",SUMIFS(계산!$C:$C,계산!$A:$A,계산!$E147,계산!$B:$B,$B$1*100+11))</f>
        <v/>
      </c>
      <c r="N149" s="14">
        <f>IF(원생!$A147="","",SUMIFS(계산!$C:$C,계산!$A:$A,계산!$E147,계산!$B:$B,$B$1*100+12))</f>
        <v/>
      </c>
      <c r="O149">
        <f>IF(원생!$I147="","",원생!$I147)</f>
        <v/>
      </c>
      <c r="P149">
        <f>IF($A149="","",IF(AND($B149&gt;0,C149&lt;$B149,DATE($B$1,1,1)&lt;=TODAY(),OR($O149="",$O149&gt;=DATE($B$1,1,1)),OR(COUNTIF($C149:C149,"&gt;0")&gt;0,DATE($B$1,1,1)=DATE(YEAR(TODAY()),MONTH(TODAY()),1))),1,0))</f>
        <v/>
      </c>
      <c r="Q149">
        <f>IF($A149="","",IF(AND($B149&gt;0,D149&lt;$B149,DATE($B$1,2,1)&lt;=TODAY(),OR($O149="",$O149&gt;=DATE($B$1,2,1)),OR(COUNTIF($C149:D149,"&gt;0")&gt;0,DATE($B$1,2,1)=DATE(YEAR(TODAY()),MONTH(TODAY()),1))),1,0))</f>
        <v/>
      </c>
      <c r="R149">
        <f>IF($A149="","",IF(AND($B149&gt;0,E149&lt;$B149,DATE($B$1,3,1)&lt;=TODAY(),OR($O149="",$O149&gt;=DATE($B$1,3,1)),OR(COUNTIF($C149:E149,"&gt;0")&gt;0,DATE($B$1,3,1)=DATE(YEAR(TODAY()),MONTH(TODAY()),1))),1,0))</f>
        <v/>
      </c>
      <c r="S149">
        <f>IF($A149="","",IF(AND($B149&gt;0,F149&lt;$B149,DATE($B$1,4,1)&lt;=TODAY(),OR($O149="",$O149&gt;=DATE($B$1,4,1)),OR(COUNTIF($C149:F149,"&gt;0")&gt;0,DATE($B$1,4,1)=DATE(YEAR(TODAY()),MONTH(TODAY()),1))),1,0))</f>
        <v/>
      </c>
      <c r="T149">
        <f>IF($A149="","",IF(AND($B149&gt;0,G149&lt;$B149,DATE($B$1,5,1)&lt;=TODAY(),OR($O149="",$O149&gt;=DATE($B$1,5,1)),OR(COUNTIF($C149:G149,"&gt;0")&gt;0,DATE($B$1,5,1)=DATE(YEAR(TODAY()),MONTH(TODAY()),1))),1,0))</f>
        <v/>
      </c>
      <c r="U149">
        <f>IF($A149="","",IF(AND($B149&gt;0,H149&lt;$B149,DATE($B$1,6,1)&lt;=TODAY(),OR($O149="",$O149&gt;=DATE($B$1,6,1)),OR(COUNTIF($C149:H149,"&gt;0")&gt;0,DATE($B$1,6,1)=DATE(YEAR(TODAY()),MONTH(TODAY()),1))),1,0))</f>
        <v/>
      </c>
      <c r="V149">
        <f>IF($A149="","",IF(AND($B149&gt;0,I149&lt;$B149,DATE($B$1,7,1)&lt;=TODAY(),OR($O149="",$O149&gt;=DATE($B$1,7,1)),OR(COUNTIF($C149:I149,"&gt;0")&gt;0,DATE($B$1,7,1)=DATE(YEAR(TODAY()),MONTH(TODAY()),1))),1,0))</f>
        <v/>
      </c>
      <c r="W149">
        <f>IF($A149="","",IF(AND($B149&gt;0,J149&lt;$B149,DATE($B$1,8,1)&lt;=TODAY(),OR($O149="",$O149&gt;=DATE($B$1,8,1)),OR(COUNTIF($C149:J149,"&gt;0")&gt;0,DATE($B$1,8,1)=DATE(YEAR(TODAY()),MONTH(TODAY()),1))),1,0))</f>
        <v/>
      </c>
      <c r="X149">
        <f>IF($A149="","",IF(AND($B149&gt;0,K149&lt;$B149,DATE($B$1,9,1)&lt;=TODAY(),OR($O149="",$O149&gt;=DATE($B$1,9,1)),OR(COUNTIF($C149:K149,"&gt;0")&gt;0,DATE($B$1,9,1)=DATE(YEAR(TODAY()),MONTH(TODAY()),1))),1,0))</f>
        <v/>
      </c>
      <c r="Y149">
        <f>IF($A149="","",IF(AND($B149&gt;0,L149&lt;$B149,DATE($B$1,10,1)&lt;=TODAY(),OR($O149="",$O149&gt;=DATE($B$1,10,1)),OR(COUNTIF($C149:L149,"&gt;0")&gt;0,DATE($B$1,10,1)=DATE(YEAR(TODAY()),MONTH(TODAY()),1))),1,0))</f>
        <v/>
      </c>
      <c r="Z149">
        <f>IF($A149="","",IF(AND($B149&gt;0,M149&lt;$B149,DATE($B$1,11,1)&lt;=TODAY(),OR($O149="",$O149&gt;=DATE($B$1,11,1)),OR(COUNTIF($C149:M149,"&gt;0")&gt;0,DATE($B$1,11,1)=DATE(YEAR(TODAY()),MONTH(TODAY()),1))),1,0))</f>
        <v/>
      </c>
      <c r="AA149">
        <f>IF($A149="","",IF(AND($B149&gt;0,N149&lt;$B149,DATE($B$1,12,1)&lt;=TODAY(),OR($O149="",$O149&gt;=DATE($B$1,12,1)),OR(COUNTIF($C149:N149,"&gt;0")&gt;0,DATE($B$1,12,1)=DATE(YEAR(TODAY()),MONTH(TODAY()),1))),1,0))</f>
        <v/>
      </c>
    </row>
    <row r="150">
      <c r="A150" s="13">
        <f>IF(원생!$A148="","",원생!$A148&amp;IF(원생!$G148="",""," ("&amp;원생!$G148&amp;")"))</f>
        <v/>
      </c>
      <c r="B150" s="8">
        <f>IF(원생!$A148="","",N(원생!$F148))</f>
        <v/>
      </c>
      <c r="C150" s="14">
        <f>IF(원생!$A148="","",SUMIFS(계산!$C:$C,계산!$A:$A,계산!$E148,계산!$B:$B,$B$1*100+1))</f>
        <v/>
      </c>
      <c r="D150" s="14">
        <f>IF(원생!$A148="","",SUMIFS(계산!$C:$C,계산!$A:$A,계산!$E148,계산!$B:$B,$B$1*100+2))</f>
        <v/>
      </c>
      <c r="E150" s="14">
        <f>IF(원생!$A148="","",SUMIFS(계산!$C:$C,계산!$A:$A,계산!$E148,계산!$B:$B,$B$1*100+3))</f>
        <v/>
      </c>
      <c r="F150" s="14">
        <f>IF(원생!$A148="","",SUMIFS(계산!$C:$C,계산!$A:$A,계산!$E148,계산!$B:$B,$B$1*100+4))</f>
        <v/>
      </c>
      <c r="G150" s="14">
        <f>IF(원생!$A148="","",SUMIFS(계산!$C:$C,계산!$A:$A,계산!$E148,계산!$B:$B,$B$1*100+5))</f>
        <v/>
      </c>
      <c r="H150" s="14">
        <f>IF(원생!$A148="","",SUMIFS(계산!$C:$C,계산!$A:$A,계산!$E148,계산!$B:$B,$B$1*100+6))</f>
        <v/>
      </c>
      <c r="I150" s="14">
        <f>IF(원생!$A148="","",SUMIFS(계산!$C:$C,계산!$A:$A,계산!$E148,계산!$B:$B,$B$1*100+7))</f>
        <v/>
      </c>
      <c r="J150" s="14">
        <f>IF(원생!$A148="","",SUMIFS(계산!$C:$C,계산!$A:$A,계산!$E148,계산!$B:$B,$B$1*100+8))</f>
        <v/>
      </c>
      <c r="K150" s="14">
        <f>IF(원생!$A148="","",SUMIFS(계산!$C:$C,계산!$A:$A,계산!$E148,계산!$B:$B,$B$1*100+9))</f>
        <v/>
      </c>
      <c r="L150" s="14">
        <f>IF(원생!$A148="","",SUMIFS(계산!$C:$C,계산!$A:$A,계산!$E148,계산!$B:$B,$B$1*100+10))</f>
        <v/>
      </c>
      <c r="M150" s="14">
        <f>IF(원생!$A148="","",SUMIFS(계산!$C:$C,계산!$A:$A,계산!$E148,계산!$B:$B,$B$1*100+11))</f>
        <v/>
      </c>
      <c r="N150" s="14">
        <f>IF(원생!$A148="","",SUMIFS(계산!$C:$C,계산!$A:$A,계산!$E148,계산!$B:$B,$B$1*100+12))</f>
        <v/>
      </c>
      <c r="O150">
        <f>IF(원생!$I148="","",원생!$I148)</f>
        <v/>
      </c>
      <c r="P150">
        <f>IF($A150="","",IF(AND($B150&gt;0,C150&lt;$B150,DATE($B$1,1,1)&lt;=TODAY(),OR($O150="",$O150&gt;=DATE($B$1,1,1)),OR(COUNTIF($C150:C150,"&gt;0")&gt;0,DATE($B$1,1,1)=DATE(YEAR(TODAY()),MONTH(TODAY()),1))),1,0))</f>
        <v/>
      </c>
      <c r="Q150">
        <f>IF($A150="","",IF(AND($B150&gt;0,D150&lt;$B150,DATE($B$1,2,1)&lt;=TODAY(),OR($O150="",$O150&gt;=DATE($B$1,2,1)),OR(COUNTIF($C150:D150,"&gt;0")&gt;0,DATE($B$1,2,1)=DATE(YEAR(TODAY()),MONTH(TODAY()),1))),1,0))</f>
        <v/>
      </c>
      <c r="R150">
        <f>IF($A150="","",IF(AND($B150&gt;0,E150&lt;$B150,DATE($B$1,3,1)&lt;=TODAY(),OR($O150="",$O150&gt;=DATE($B$1,3,1)),OR(COUNTIF($C150:E150,"&gt;0")&gt;0,DATE($B$1,3,1)=DATE(YEAR(TODAY()),MONTH(TODAY()),1))),1,0))</f>
        <v/>
      </c>
      <c r="S150">
        <f>IF($A150="","",IF(AND($B150&gt;0,F150&lt;$B150,DATE($B$1,4,1)&lt;=TODAY(),OR($O150="",$O150&gt;=DATE($B$1,4,1)),OR(COUNTIF($C150:F150,"&gt;0")&gt;0,DATE($B$1,4,1)=DATE(YEAR(TODAY()),MONTH(TODAY()),1))),1,0))</f>
        <v/>
      </c>
      <c r="T150">
        <f>IF($A150="","",IF(AND($B150&gt;0,G150&lt;$B150,DATE($B$1,5,1)&lt;=TODAY(),OR($O150="",$O150&gt;=DATE($B$1,5,1)),OR(COUNTIF($C150:G150,"&gt;0")&gt;0,DATE($B$1,5,1)=DATE(YEAR(TODAY()),MONTH(TODAY()),1))),1,0))</f>
        <v/>
      </c>
      <c r="U150">
        <f>IF($A150="","",IF(AND($B150&gt;0,H150&lt;$B150,DATE($B$1,6,1)&lt;=TODAY(),OR($O150="",$O150&gt;=DATE($B$1,6,1)),OR(COUNTIF($C150:H150,"&gt;0")&gt;0,DATE($B$1,6,1)=DATE(YEAR(TODAY()),MONTH(TODAY()),1))),1,0))</f>
        <v/>
      </c>
      <c r="V150">
        <f>IF($A150="","",IF(AND($B150&gt;0,I150&lt;$B150,DATE($B$1,7,1)&lt;=TODAY(),OR($O150="",$O150&gt;=DATE($B$1,7,1)),OR(COUNTIF($C150:I150,"&gt;0")&gt;0,DATE($B$1,7,1)=DATE(YEAR(TODAY()),MONTH(TODAY()),1))),1,0))</f>
        <v/>
      </c>
      <c r="W150">
        <f>IF($A150="","",IF(AND($B150&gt;0,J150&lt;$B150,DATE($B$1,8,1)&lt;=TODAY(),OR($O150="",$O150&gt;=DATE($B$1,8,1)),OR(COUNTIF($C150:J150,"&gt;0")&gt;0,DATE($B$1,8,1)=DATE(YEAR(TODAY()),MONTH(TODAY()),1))),1,0))</f>
        <v/>
      </c>
      <c r="X150">
        <f>IF($A150="","",IF(AND($B150&gt;0,K150&lt;$B150,DATE($B$1,9,1)&lt;=TODAY(),OR($O150="",$O150&gt;=DATE($B$1,9,1)),OR(COUNTIF($C150:K150,"&gt;0")&gt;0,DATE($B$1,9,1)=DATE(YEAR(TODAY()),MONTH(TODAY()),1))),1,0))</f>
        <v/>
      </c>
      <c r="Y150">
        <f>IF($A150="","",IF(AND($B150&gt;0,L150&lt;$B150,DATE($B$1,10,1)&lt;=TODAY(),OR($O150="",$O150&gt;=DATE($B$1,10,1)),OR(COUNTIF($C150:L150,"&gt;0")&gt;0,DATE($B$1,10,1)=DATE(YEAR(TODAY()),MONTH(TODAY()),1))),1,0))</f>
        <v/>
      </c>
      <c r="Z150">
        <f>IF($A150="","",IF(AND($B150&gt;0,M150&lt;$B150,DATE($B$1,11,1)&lt;=TODAY(),OR($O150="",$O150&gt;=DATE($B$1,11,1)),OR(COUNTIF($C150:M150,"&gt;0")&gt;0,DATE($B$1,11,1)=DATE(YEAR(TODAY()),MONTH(TODAY()),1))),1,0))</f>
        <v/>
      </c>
      <c r="AA150">
        <f>IF($A150="","",IF(AND($B150&gt;0,N150&lt;$B150,DATE($B$1,12,1)&lt;=TODAY(),OR($O150="",$O150&gt;=DATE($B$1,12,1)),OR(COUNTIF($C150:N150,"&gt;0")&gt;0,DATE($B$1,12,1)=DATE(YEAR(TODAY()),MONTH(TODAY()),1))),1,0))</f>
        <v/>
      </c>
    </row>
    <row r="151">
      <c r="A151" s="13">
        <f>IF(원생!$A149="","",원생!$A149&amp;IF(원생!$G149="",""," ("&amp;원생!$G149&amp;")"))</f>
        <v/>
      </c>
      <c r="B151" s="8">
        <f>IF(원생!$A149="","",N(원생!$F149))</f>
        <v/>
      </c>
      <c r="C151" s="14">
        <f>IF(원생!$A149="","",SUMIFS(계산!$C:$C,계산!$A:$A,계산!$E149,계산!$B:$B,$B$1*100+1))</f>
        <v/>
      </c>
      <c r="D151" s="14">
        <f>IF(원생!$A149="","",SUMIFS(계산!$C:$C,계산!$A:$A,계산!$E149,계산!$B:$B,$B$1*100+2))</f>
        <v/>
      </c>
      <c r="E151" s="14">
        <f>IF(원생!$A149="","",SUMIFS(계산!$C:$C,계산!$A:$A,계산!$E149,계산!$B:$B,$B$1*100+3))</f>
        <v/>
      </c>
      <c r="F151" s="14">
        <f>IF(원생!$A149="","",SUMIFS(계산!$C:$C,계산!$A:$A,계산!$E149,계산!$B:$B,$B$1*100+4))</f>
        <v/>
      </c>
      <c r="G151" s="14">
        <f>IF(원생!$A149="","",SUMIFS(계산!$C:$C,계산!$A:$A,계산!$E149,계산!$B:$B,$B$1*100+5))</f>
        <v/>
      </c>
      <c r="H151" s="14">
        <f>IF(원생!$A149="","",SUMIFS(계산!$C:$C,계산!$A:$A,계산!$E149,계산!$B:$B,$B$1*100+6))</f>
        <v/>
      </c>
      <c r="I151" s="14">
        <f>IF(원생!$A149="","",SUMIFS(계산!$C:$C,계산!$A:$A,계산!$E149,계산!$B:$B,$B$1*100+7))</f>
        <v/>
      </c>
      <c r="J151" s="14">
        <f>IF(원생!$A149="","",SUMIFS(계산!$C:$C,계산!$A:$A,계산!$E149,계산!$B:$B,$B$1*100+8))</f>
        <v/>
      </c>
      <c r="K151" s="14">
        <f>IF(원생!$A149="","",SUMIFS(계산!$C:$C,계산!$A:$A,계산!$E149,계산!$B:$B,$B$1*100+9))</f>
        <v/>
      </c>
      <c r="L151" s="14">
        <f>IF(원생!$A149="","",SUMIFS(계산!$C:$C,계산!$A:$A,계산!$E149,계산!$B:$B,$B$1*100+10))</f>
        <v/>
      </c>
      <c r="M151" s="14">
        <f>IF(원생!$A149="","",SUMIFS(계산!$C:$C,계산!$A:$A,계산!$E149,계산!$B:$B,$B$1*100+11))</f>
        <v/>
      </c>
      <c r="N151" s="14">
        <f>IF(원생!$A149="","",SUMIFS(계산!$C:$C,계산!$A:$A,계산!$E149,계산!$B:$B,$B$1*100+12))</f>
        <v/>
      </c>
      <c r="O151">
        <f>IF(원생!$I149="","",원생!$I149)</f>
        <v/>
      </c>
      <c r="P151">
        <f>IF($A151="","",IF(AND($B151&gt;0,C151&lt;$B151,DATE($B$1,1,1)&lt;=TODAY(),OR($O151="",$O151&gt;=DATE($B$1,1,1)),OR(COUNTIF($C151:C151,"&gt;0")&gt;0,DATE($B$1,1,1)=DATE(YEAR(TODAY()),MONTH(TODAY()),1))),1,0))</f>
        <v/>
      </c>
      <c r="Q151">
        <f>IF($A151="","",IF(AND($B151&gt;0,D151&lt;$B151,DATE($B$1,2,1)&lt;=TODAY(),OR($O151="",$O151&gt;=DATE($B$1,2,1)),OR(COUNTIF($C151:D151,"&gt;0")&gt;0,DATE($B$1,2,1)=DATE(YEAR(TODAY()),MONTH(TODAY()),1))),1,0))</f>
        <v/>
      </c>
      <c r="R151">
        <f>IF($A151="","",IF(AND($B151&gt;0,E151&lt;$B151,DATE($B$1,3,1)&lt;=TODAY(),OR($O151="",$O151&gt;=DATE($B$1,3,1)),OR(COUNTIF($C151:E151,"&gt;0")&gt;0,DATE($B$1,3,1)=DATE(YEAR(TODAY()),MONTH(TODAY()),1))),1,0))</f>
        <v/>
      </c>
      <c r="S151">
        <f>IF($A151="","",IF(AND($B151&gt;0,F151&lt;$B151,DATE($B$1,4,1)&lt;=TODAY(),OR($O151="",$O151&gt;=DATE($B$1,4,1)),OR(COUNTIF($C151:F151,"&gt;0")&gt;0,DATE($B$1,4,1)=DATE(YEAR(TODAY()),MONTH(TODAY()),1))),1,0))</f>
        <v/>
      </c>
      <c r="T151">
        <f>IF($A151="","",IF(AND($B151&gt;0,G151&lt;$B151,DATE($B$1,5,1)&lt;=TODAY(),OR($O151="",$O151&gt;=DATE($B$1,5,1)),OR(COUNTIF($C151:G151,"&gt;0")&gt;0,DATE($B$1,5,1)=DATE(YEAR(TODAY()),MONTH(TODAY()),1))),1,0))</f>
        <v/>
      </c>
      <c r="U151">
        <f>IF($A151="","",IF(AND($B151&gt;0,H151&lt;$B151,DATE($B$1,6,1)&lt;=TODAY(),OR($O151="",$O151&gt;=DATE($B$1,6,1)),OR(COUNTIF($C151:H151,"&gt;0")&gt;0,DATE($B$1,6,1)=DATE(YEAR(TODAY()),MONTH(TODAY()),1))),1,0))</f>
        <v/>
      </c>
      <c r="V151">
        <f>IF($A151="","",IF(AND($B151&gt;0,I151&lt;$B151,DATE($B$1,7,1)&lt;=TODAY(),OR($O151="",$O151&gt;=DATE($B$1,7,1)),OR(COUNTIF($C151:I151,"&gt;0")&gt;0,DATE($B$1,7,1)=DATE(YEAR(TODAY()),MONTH(TODAY()),1))),1,0))</f>
        <v/>
      </c>
      <c r="W151">
        <f>IF($A151="","",IF(AND($B151&gt;0,J151&lt;$B151,DATE($B$1,8,1)&lt;=TODAY(),OR($O151="",$O151&gt;=DATE($B$1,8,1)),OR(COUNTIF($C151:J151,"&gt;0")&gt;0,DATE($B$1,8,1)=DATE(YEAR(TODAY()),MONTH(TODAY()),1))),1,0))</f>
        <v/>
      </c>
      <c r="X151">
        <f>IF($A151="","",IF(AND($B151&gt;0,K151&lt;$B151,DATE($B$1,9,1)&lt;=TODAY(),OR($O151="",$O151&gt;=DATE($B$1,9,1)),OR(COUNTIF($C151:K151,"&gt;0")&gt;0,DATE($B$1,9,1)=DATE(YEAR(TODAY()),MONTH(TODAY()),1))),1,0))</f>
        <v/>
      </c>
      <c r="Y151">
        <f>IF($A151="","",IF(AND($B151&gt;0,L151&lt;$B151,DATE($B$1,10,1)&lt;=TODAY(),OR($O151="",$O151&gt;=DATE($B$1,10,1)),OR(COUNTIF($C151:L151,"&gt;0")&gt;0,DATE($B$1,10,1)=DATE(YEAR(TODAY()),MONTH(TODAY()),1))),1,0))</f>
        <v/>
      </c>
      <c r="Z151">
        <f>IF($A151="","",IF(AND($B151&gt;0,M151&lt;$B151,DATE($B$1,11,1)&lt;=TODAY(),OR($O151="",$O151&gt;=DATE($B$1,11,1)),OR(COUNTIF($C151:M151,"&gt;0")&gt;0,DATE($B$1,11,1)=DATE(YEAR(TODAY()),MONTH(TODAY()),1))),1,0))</f>
        <v/>
      </c>
      <c r="AA151">
        <f>IF($A151="","",IF(AND($B151&gt;0,N151&lt;$B151,DATE($B$1,12,1)&lt;=TODAY(),OR($O151="",$O151&gt;=DATE($B$1,12,1)),OR(COUNTIF($C151:N151,"&gt;0")&gt;0,DATE($B$1,12,1)=DATE(YEAR(TODAY()),MONTH(TODAY()),1))),1,0))</f>
        <v/>
      </c>
    </row>
    <row r="152">
      <c r="A152" s="13">
        <f>IF(원생!$A150="","",원생!$A150&amp;IF(원생!$G150="",""," ("&amp;원생!$G150&amp;")"))</f>
        <v/>
      </c>
      <c r="B152" s="8">
        <f>IF(원생!$A150="","",N(원생!$F150))</f>
        <v/>
      </c>
      <c r="C152" s="14">
        <f>IF(원생!$A150="","",SUMIFS(계산!$C:$C,계산!$A:$A,계산!$E150,계산!$B:$B,$B$1*100+1))</f>
        <v/>
      </c>
      <c r="D152" s="14">
        <f>IF(원생!$A150="","",SUMIFS(계산!$C:$C,계산!$A:$A,계산!$E150,계산!$B:$B,$B$1*100+2))</f>
        <v/>
      </c>
      <c r="E152" s="14">
        <f>IF(원생!$A150="","",SUMIFS(계산!$C:$C,계산!$A:$A,계산!$E150,계산!$B:$B,$B$1*100+3))</f>
        <v/>
      </c>
      <c r="F152" s="14">
        <f>IF(원생!$A150="","",SUMIFS(계산!$C:$C,계산!$A:$A,계산!$E150,계산!$B:$B,$B$1*100+4))</f>
        <v/>
      </c>
      <c r="G152" s="14">
        <f>IF(원생!$A150="","",SUMIFS(계산!$C:$C,계산!$A:$A,계산!$E150,계산!$B:$B,$B$1*100+5))</f>
        <v/>
      </c>
      <c r="H152" s="14">
        <f>IF(원생!$A150="","",SUMIFS(계산!$C:$C,계산!$A:$A,계산!$E150,계산!$B:$B,$B$1*100+6))</f>
        <v/>
      </c>
      <c r="I152" s="14">
        <f>IF(원생!$A150="","",SUMIFS(계산!$C:$C,계산!$A:$A,계산!$E150,계산!$B:$B,$B$1*100+7))</f>
        <v/>
      </c>
      <c r="J152" s="14">
        <f>IF(원생!$A150="","",SUMIFS(계산!$C:$C,계산!$A:$A,계산!$E150,계산!$B:$B,$B$1*100+8))</f>
        <v/>
      </c>
      <c r="K152" s="14">
        <f>IF(원생!$A150="","",SUMIFS(계산!$C:$C,계산!$A:$A,계산!$E150,계산!$B:$B,$B$1*100+9))</f>
        <v/>
      </c>
      <c r="L152" s="14">
        <f>IF(원생!$A150="","",SUMIFS(계산!$C:$C,계산!$A:$A,계산!$E150,계산!$B:$B,$B$1*100+10))</f>
        <v/>
      </c>
      <c r="M152" s="14">
        <f>IF(원생!$A150="","",SUMIFS(계산!$C:$C,계산!$A:$A,계산!$E150,계산!$B:$B,$B$1*100+11))</f>
        <v/>
      </c>
      <c r="N152" s="14">
        <f>IF(원생!$A150="","",SUMIFS(계산!$C:$C,계산!$A:$A,계산!$E150,계산!$B:$B,$B$1*100+12))</f>
        <v/>
      </c>
      <c r="O152">
        <f>IF(원생!$I150="","",원생!$I150)</f>
        <v/>
      </c>
      <c r="P152">
        <f>IF($A152="","",IF(AND($B152&gt;0,C152&lt;$B152,DATE($B$1,1,1)&lt;=TODAY(),OR($O152="",$O152&gt;=DATE($B$1,1,1)),OR(COUNTIF($C152:C152,"&gt;0")&gt;0,DATE($B$1,1,1)=DATE(YEAR(TODAY()),MONTH(TODAY()),1))),1,0))</f>
        <v/>
      </c>
      <c r="Q152">
        <f>IF($A152="","",IF(AND($B152&gt;0,D152&lt;$B152,DATE($B$1,2,1)&lt;=TODAY(),OR($O152="",$O152&gt;=DATE($B$1,2,1)),OR(COUNTIF($C152:D152,"&gt;0")&gt;0,DATE($B$1,2,1)=DATE(YEAR(TODAY()),MONTH(TODAY()),1))),1,0))</f>
        <v/>
      </c>
      <c r="R152">
        <f>IF($A152="","",IF(AND($B152&gt;0,E152&lt;$B152,DATE($B$1,3,1)&lt;=TODAY(),OR($O152="",$O152&gt;=DATE($B$1,3,1)),OR(COUNTIF($C152:E152,"&gt;0")&gt;0,DATE($B$1,3,1)=DATE(YEAR(TODAY()),MONTH(TODAY()),1))),1,0))</f>
        <v/>
      </c>
      <c r="S152">
        <f>IF($A152="","",IF(AND($B152&gt;0,F152&lt;$B152,DATE($B$1,4,1)&lt;=TODAY(),OR($O152="",$O152&gt;=DATE($B$1,4,1)),OR(COUNTIF($C152:F152,"&gt;0")&gt;0,DATE($B$1,4,1)=DATE(YEAR(TODAY()),MONTH(TODAY()),1))),1,0))</f>
        <v/>
      </c>
      <c r="T152">
        <f>IF($A152="","",IF(AND($B152&gt;0,G152&lt;$B152,DATE($B$1,5,1)&lt;=TODAY(),OR($O152="",$O152&gt;=DATE($B$1,5,1)),OR(COUNTIF($C152:G152,"&gt;0")&gt;0,DATE($B$1,5,1)=DATE(YEAR(TODAY()),MONTH(TODAY()),1))),1,0))</f>
        <v/>
      </c>
      <c r="U152">
        <f>IF($A152="","",IF(AND($B152&gt;0,H152&lt;$B152,DATE($B$1,6,1)&lt;=TODAY(),OR($O152="",$O152&gt;=DATE($B$1,6,1)),OR(COUNTIF($C152:H152,"&gt;0")&gt;0,DATE($B$1,6,1)=DATE(YEAR(TODAY()),MONTH(TODAY()),1))),1,0))</f>
        <v/>
      </c>
      <c r="V152">
        <f>IF($A152="","",IF(AND($B152&gt;0,I152&lt;$B152,DATE($B$1,7,1)&lt;=TODAY(),OR($O152="",$O152&gt;=DATE($B$1,7,1)),OR(COUNTIF($C152:I152,"&gt;0")&gt;0,DATE($B$1,7,1)=DATE(YEAR(TODAY()),MONTH(TODAY()),1))),1,0))</f>
        <v/>
      </c>
      <c r="W152">
        <f>IF($A152="","",IF(AND($B152&gt;0,J152&lt;$B152,DATE($B$1,8,1)&lt;=TODAY(),OR($O152="",$O152&gt;=DATE($B$1,8,1)),OR(COUNTIF($C152:J152,"&gt;0")&gt;0,DATE($B$1,8,1)=DATE(YEAR(TODAY()),MONTH(TODAY()),1))),1,0))</f>
        <v/>
      </c>
      <c r="X152">
        <f>IF($A152="","",IF(AND($B152&gt;0,K152&lt;$B152,DATE($B$1,9,1)&lt;=TODAY(),OR($O152="",$O152&gt;=DATE($B$1,9,1)),OR(COUNTIF($C152:K152,"&gt;0")&gt;0,DATE($B$1,9,1)=DATE(YEAR(TODAY()),MONTH(TODAY()),1))),1,0))</f>
        <v/>
      </c>
      <c r="Y152">
        <f>IF($A152="","",IF(AND($B152&gt;0,L152&lt;$B152,DATE($B$1,10,1)&lt;=TODAY(),OR($O152="",$O152&gt;=DATE($B$1,10,1)),OR(COUNTIF($C152:L152,"&gt;0")&gt;0,DATE($B$1,10,1)=DATE(YEAR(TODAY()),MONTH(TODAY()),1))),1,0))</f>
        <v/>
      </c>
      <c r="Z152">
        <f>IF($A152="","",IF(AND($B152&gt;0,M152&lt;$B152,DATE($B$1,11,1)&lt;=TODAY(),OR($O152="",$O152&gt;=DATE($B$1,11,1)),OR(COUNTIF($C152:M152,"&gt;0")&gt;0,DATE($B$1,11,1)=DATE(YEAR(TODAY()),MONTH(TODAY()),1))),1,0))</f>
        <v/>
      </c>
      <c r="AA152">
        <f>IF($A152="","",IF(AND($B152&gt;0,N152&lt;$B152,DATE($B$1,12,1)&lt;=TODAY(),OR($O152="",$O152&gt;=DATE($B$1,12,1)),OR(COUNTIF($C152:N152,"&gt;0")&gt;0,DATE($B$1,12,1)=DATE(YEAR(TODAY()),MONTH(TODAY()),1))),1,0))</f>
        <v/>
      </c>
    </row>
    <row r="153">
      <c r="A153" s="13">
        <f>IF(원생!$A151="","",원생!$A151&amp;IF(원생!$G151="",""," ("&amp;원생!$G151&amp;")"))</f>
        <v/>
      </c>
      <c r="B153" s="8">
        <f>IF(원생!$A151="","",N(원생!$F151))</f>
        <v/>
      </c>
      <c r="C153" s="14">
        <f>IF(원생!$A151="","",SUMIFS(계산!$C:$C,계산!$A:$A,계산!$E151,계산!$B:$B,$B$1*100+1))</f>
        <v/>
      </c>
      <c r="D153" s="14">
        <f>IF(원생!$A151="","",SUMIFS(계산!$C:$C,계산!$A:$A,계산!$E151,계산!$B:$B,$B$1*100+2))</f>
        <v/>
      </c>
      <c r="E153" s="14">
        <f>IF(원생!$A151="","",SUMIFS(계산!$C:$C,계산!$A:$A,계산!$E151,계산!$B:$B,$B$1*100+3))</f>
        <v/>
      </c>
      <c r="F153" s="14">
        <f>IF(원생!$A151="","",SUMIFS(계산!$C:$C,계산!$A:$A,계산!$E151,계산!$B:$B,$B$1*100+4))</f>
        <v/>
      </c>
      <c r="G153" s="14">
        <f>IF(원생!$A151="","",SUMIFS(계산!$C:$C,계산!$A:$A,계산!$E151,계산!$B:$B,$B$1*100+5))</f>
        <v/>
      </c>
      <c r="H153" s="14">
        <f>IF(원생!$A151="","",SUMIFS(계산!$C:$C,계산!$A:$A,계산!$E151,계산!$B:$B,$B$1*100+6))</f>
        <v/>
      </c>
      <c r="I153" s="14">
        <f>IF(원생!$A151="","",SUMIFS(계산!$C:$C,계산!$A:$A,계산!$E151,계산!$B:$B,$B$1*100+7))</f>
        <v/>
      </c>
      <c r="J153" s="14">
        <f>IF(원생!$A151="","",SUMIFS(계산!$C:$C,계산!$A:$A,계산!$E151,계산!$B:$B,$B$1*100+8))</f>
        <v/>
      </c>
      <c r="K153" s="14">
        <f>IF(원생!$A151="","",SUMIFS(계산!$C:$C,계산!$A:$A,계산!$E151,계산!$B:$B,$B$1*100+9))</f>
        <v/>
      </c>
      <c r="L153" s="14">
        <f>IF(원생!$A151="","",SUMIFS(계산!$C:$C,계산!$A:$A,계산!$E151,계산!$B:$B,$B$1*100+10))</f>
        <v/>
      </c>
      <c r="M153" s="14">
        <f>IF(원생!$A151="","",SUMIFS(계산!$C:$C,계산!$A:$A,계산!$E151,계산!$B:$B,$B$1*100+11))</f>
        <v/>
      </c>
      <c r="N153" s="14">
        <f>IF(원생!$A151="","",SUMIFS(계산!$C:$C,계산!$A:$A,계산!$E151,계산!$B:$B,$B$1*100+12))</f>
        <v/>
      </c>
      <c r="O153">
        <f>IF(원생!$I151="","",원생!$I151)</f>
        <v/>
      </c>
      <c r="P153">
        <f>IF($A153="","",IF(AND($B153&gt;0,C153&lt;$B153,DATE($B$1,1,1)&lt;=TODAY(),OR($O153="",$O153&gt;=DATE($B$1,1,1)),OR(COUNTIF($C153:C153,"&gt;0")&gt;0,DATE($B$1,1,1)=DATE(YEAR(TODAY()),MONTH(TODAY()),1))),1,0))</f>
        <v/>
      </c>
      <c r="Q153">
        <f>IF($A153="","",IF(AND($B153&gt;0,D153&lt;$B153,DATE($B$1,2,1)&lt;=TODAY(),OR($O153="",$O153&gt;=DATE($B$1,2,1)),OR(COUNTIF($C153:D153,"&gt;0")&gt;0,DATE($B$1,2,1)=DATE(YEAR(TODAY()),MONTH(TODAY()),1))),1,0))</f>
        <v/>
      </c>
      <c r="R153">
        <f>IF($A153="","",IF(AND($B153&gt;0,E153&lt;$B153,DATE($B$1,3,1)&lt;=TODAY(),OR($O153="",$O153&gt;=DATE($B$1,3,1)),OR(COUNTIF($C153:E153,"&gt;0")&gt;0,DATE($B$1,3,1)=DATE(YEAR(TODAY()),MONTH(TODAY()),1))),1,0))</f>
        <v/>
      </c>
      <c r="S153">
        <f>IF($A153="","",IF(AND($B153&gt;0,F153&lt;$B153,DATE($B$1,4,1)&lt;=TODAY(),OR($O153="",$O153&gt;=DATE($B$1,4,1)),OR(COUNTIF($C153:F153,"&gt;0")&gt;0,DATE($B$1,4,1)=DATE(YEAR(TODAY()),MONTH(TODAY()),1))),1,0))</f>
        <v/>
      </c>
      <c r="T153">
        <f>IF($A153="","",IF(AND($B153&gt;0,G153&lt;$B153,DATE($B$1,5,1)&lt;=TODAY(),OR($O153="",$O153&gt;=DATE($B$1,5,1)),OR(COUNTIF($C153:G153,"&gt;0")&gt;0,DATE($B$1,5,1)=DATE(YEAR(TODAY()),MONTH(TODAY()),1))),1,0))</f>
        <v/>
      </c>
      <c r="U153">
        <f>IF($A153="","",IF(AND($B153&gt;0,H153&lt;$B153,DATE($B$1,6,1)&lt;=TODAY(),OR($O153="",$O153&gt;=DATE($B$1,6,1)),OR(COUNTIF($C153:H153,"&gt;0")&gt;0,DATE($B$1,6,1)=DATE(YEAR(TODAY()),MONTH(TODAY()),1))),1,0))</f>
        <v/>
      </c>
      <c r="V153">
        <f>IF($A153="","",IF(AND($B153&gt;0,I153&lt;$B153,DATE($B$1,7,1)&lt;=TODAY(),OR($O153="",$O153&gt;=DATE($B$1,7,1)),OR(COUNTIF($C153:I153,"&gt;0")&gt;0,DATE($B$1,7,1)=DATE(YEAR(TODAY()),MONTH(TODAY()),1))),1,0))</f>
        <v/>
      </c>
      <c r="W153">
        <f>IF($A153="","",IF(AND($B153&gt;0,J153&lt;$B153,DATE($B$1,8,1)&lt;=TODAY(),OR($O153="",$O153&gt;=DATE($B$1,8,1)),OR(COUNTIF($C153:J153,"&gt;0")&gt;0,DATE($B$1,8,1)=DATE(YEAR(TODAY()),MONTH(TODAY()),1))),1,0))</f>
        <v/>
      </c>
      <c r="X153">
        <f>IF($A153="","",IF(AND($B153&gt;0,K153&lt;$B153,DATE($B$1,9,1)&lt;=TODAY(),OR($O153="",$O153&gt;=DATE($B$1,9,1)),OR(COUNTIF($C153:K153,"&gt;0")&gt;0,DATE($B$1,9,1)=DATE(YEAR(TODAY()),MONTH(TODAY()),1))),1,0))</f>
        <v/>
      </c>
      <c r="Y153">
        <f>IF($A153="","",IF(AND($B153&gt;0,L153&lt;$B153,DATE($B$1,10,1)&lt;=TODAY(),OR($O153="",$O153&gt;=DATE($B$1,10,1)),OR(COUNTIF($C153:L153,"&gt;0")&gt;0,DATE($B$1,10,1)=DATE(YEAR(TODAY()),MONTH(TODAY()),1))),1,0))</f>
        <v/>
      </c>
      <c r="Z153">
        <f>IF($A153="","",IF(AND($B153&gt;0,M153&lt;$B153,DATE($B$1,11,1)&lt;=TODAY(),OR($O153="",$O153&gt;=DATE($B$1,11,1)),OR(COUNTIF($C153:M153,"&gt;0")&gt;0,DATE($B$1,11,1)=DATE(YEAR(TODAY()),MONTH(TODAY()),1))),1,0))</f>
        <v/>
      </c>
      <c r="AA153">
        <f>IF($A153="","",IF(AND($B153&gt;0,N153&lt;$B153,DATE($B$1,12,1)&lt;=TODAY(),OR($O153="",$O153&gt;=DATE($B$1,12,1)),OR(COUNTIF($C153:N153,"&gt;0")&gt;0,DATE($B$1,12,1)=DATE(YEAR(TODAY()),MONTH(TODAY()),1))),1,0))</f>
        <v/>
      </c>
    </row>
    <row r="154">
      <c r="A154" s="13">
        <f>IF(원생!$A152="","",원생!$A152&amp;IF(원생!$G152="",""," ("&amp;원생!$G152&amp;")"))</f>
        <v/>
      </c>
      <c r="B154" s="8">
        <f>IF(원생!$A152="","",N(원생!$F152))</f>
        <v/>
      </c>
      <c r="C154" s="14">
        <f>IF(원생!$A152="","",SUMIFS(계산!$C:$C,계산!$A:$A,계산!$E152,계산!$B:$B,$B$1*100+1))</f>
        <v/>
      </c>
      <c r="D154" s="14">
        <f>IF(원생!$A152="","",SUMIFS(계산!$C:$C,계산!$A:$A,계산!$E152,계산!$B:$B,$B$1*100+2))</f>
        <v/>
      </c>
      <c r="E154" s="14">
        <f>IF(원생!$A152="","",SUMIFS(계산!$C:$C,계산!$A:$A,계산!$E152,계산!$B:$B,$B$1*100+3))</f>
        <v/>
      </c>
      <c r="F154" s="14">
        <f>IF(원생!$A152="","",SUMIFS(계산!$C:$C,계산!$A:$A,계산!$E152,계산!$B:$B,$B$1*100+4))</f>
        <v/>
      </c>
      <c r="G154" s="14">
        <f>IF(원생!$A152="","",SUMIFS(계산!$C:$C,계산!$A:$A,계산!$E152,계산!$B:$B,$B$1*100+5))</f>
        <v/>
      </c>
      <c r="H154" s="14">
        <f>IF(원생!$A152="","",SUMIFS(계산!$C:$C,계산!$A:$A,계산!$E152,계산!$B:$B,$B$1*100+6))</f>
        <v/>
      </c>
      <c r="I154" s="14">
        <f>IF(원생!$A152="","",SUMIFS(계산!$C:$C,계산!$A:$A,계산!$E152,계산!$B:$B,$B$1*100+7))</f>
        <v/>
      </c>
      <c r="J154" s="14">
        <f>IF(원생!$A152="","",SUMIFS(계산!$C:$C,계산!$A:$A,계산!$E152,계산!$B:$B,$B$1*100+8))</f>
        <v/>
      </c>
      <c r="K154" s="14">
        <f>IF(원생!$A152="","",SUMIFS(계산!$C:$C,계산!$A:$A,계산!$E152,계산!$B:$B,$B$1*100+9))</f>
        <v/>
      </c>
      <c r="L154" s="14">
        <f>IF(원생!$A152="","",SUMIFS(계산!$C:$C,계산!$A:$A,계산!$E152,계산!$B:$B,$B$1*100+10))</f>
        <v/>
      </c>
      <c r="M154" s="14">
        <f>IF(원생!$A152="","",SUMIFS(계산!$C:$C,계산!$A:$A,계산!$E152,계산!$B:$B,$B$1*100+11))</f>
        <v/>
      </c>
      <c r="N154" s="14">
        <f>IF(원생!$A152="","",SUMIFS(계산!$C:$C,계산!$A:$A,계산!$E152,계산!$B:$B,$B$1*100+12))</f>
        <v/>
      </c>
      <c r="O154">
        <f>IF(원생!$I152="","",원생!$I152)</f>
        <v/>
      </c>
      <c r="P154">
        <f>IF($A154="","",IF(AND($B154&gt;0,C154&lt;$B154,DATE($B$1,1,1)&lt;=TODAY(),OR($O154="",$O154&gt;=DATE($B$1,1,1)),OR(COUNTIF($C154:C154,"&gt;0")&gt;0,DATE($B$1,1,1)=DATE(YEAR(TODAY()),MONTH(TODAY()),1))),1,0))</f>
        <v/>
      </c>
      <c r="Q154">
        <f>IF($A154="","",IF(AND($B154&gt;0,D154&lt;$B154,DATE($B$1,2,1)&lt;=TODAY(),OR($O154="",$O154&gt;=DATE($B$1,2,1)),OR(COUNTIF($C154:D154,"&gt;0")&gt;0,DATE($B$1,2,1)=DATE(YEAR(TODAY()),MONTH(TODAY()),1))),1,0))</f>
        <v/>
      </c>
      <c r="R154">
        <f>IF($A154="","",IF(AND($B154&gt;0,E154&lt;$B154,DATE($B$1,3,1)&lt;=TODAY(),OR($O154="",$O154&gt;=DATE($B$1,3,1)),OR(COUNTIF($C154:E154,"&gt;0")&gt;0,DATE($B$1,3,1)=DATE(YEAR(TODAY()),MONTH(TODAY()),1))),1,0))</f>
        <v/>
      </c>
      <c r="S154">
        <f>IF($A154="","",IF(AND($B154&gt;0,F154&lt;$B154,DATE($B$1,4,1)&lt;=TODAY(),OR($O154="",$O154&gt;=DATE($B$1,4,1)),OR(COUNTIF($C154:F154,"&gt;0")&gt;0,DATE($B$1,4,1)=DATE(YEAR(TODAY()),MONTH(TODAY()),1))),1,0))</f>
        <v/>
      </c>
      <c r="T154">
        <f>IF($A154="","",IF(AND($B154&gt;0,G154&lt;$B154,DATE($B$1,5,1)&lt;=TODAY(),OR($O154="",$O154&gt;=DATE($B$1,5,1)),OR(COUNTIF($C154:G154,"&gt;0")&gt;0,DATE($B$1,5,1)=DATE(YEAR(TODAY()),MONTH(TODAY()),1))),1,0))</f>
        <v/>
      </c>
      <c r="U154">
        <f>IF($A154="","",IF(AND($B154&gt;0,H154&lt;$B154,DATE($B$1,6,1)&lt;=TODAY(),OR($O154="",$O154&gt;=DATE($B$1,6,1)),OR(COUNTIF($C154:H154,"&gt;0")&gt;0,DATE($B$1,6,1)=DATE(YEAR(TODAY()),MONTH(TODAY()),1))),1,0))</f>
        <v/>
      </c>
      <c r="V154">
        <f>IF($A154="","",IF(AND($B154&gt;0,I154&lt;$B154,DATE($B$1,7,1)&lt;=TODAY(),OR($O154="",$O154&gt;=DATE($B$1,7,1)),OR(COUNTIF($C154:I154,"&gt;0")&gt;0,DATE($B$1,7,1)=DATE(YEAR(TODAY()),MONTH(TODAY()),1))),1,0))</f>
        <v/>
      </c>
      <c r="W154">
        <f>IF($A154="","",IF(AND($B154&gt;0,J154&lt;$B154,DATE($B$1,8,1)&lt;=TODAY(),OR($O154="",$O154&gt;=DATE($B$1,8,1)),OR(COUNTIF($C154:J154,"&gt;0")&gt;0,DATE($B$1,8,1)=DATE(YEAR(TODAY()),MONTH(TODAY()),1))),1,0))</f>
        <v/>
      </c>
      <c r="X154">
        <f>IF($A154="","",IF(AND($B154&gt;0,K154&lt;$B154,DATE($B$1,9,1)&lt;=TODAY(),OR($O154="",$O154&gt;=DATE($B$1,9,1)),OR(COUNTIF($C154:K154,"&gt;0")&gt;0,DATE($B$1,9,1)=DATE(YEAR(TODAY()),MONTH(TODAY()),1))),1,0))</f>
        <v/>
      </c>
      <c r="Y154">
        <f>IF($A154="","",IF(AND($B154&gt;0,L154&lt;$B154,DATE($B$1,10,1)&lt;=TODAY(),OR($O154="",$O154&gt;=DATE($B$1,10,1)),OR(COUNTIF($C154:L154,"&gt;0")&gt;0,DATE($B$1,10,1)=DATE(YEAR(TODAY()),MONTH(TODAY()),1))),1,0))</f>
        <v/>
      </c>
      <c r="Z154">
        <f>IF($A154="","",IF(AND($B154&gt;0,M154&lt;$B154,DATE($B$1,11,1)&lt;=TODAY(),OR($O154="",$O154&gt;=DATE($B$1,11,1)),OR(COUNTIF($C154:M154,"&gt;0")&gt;0,DATE($B$1,11,1)=DATE(YEAR(TODAY()),MONTH(TODAY()),1))),1,0))</f>
        <v/>
      </c>
      <c r="AA154">
        <f>IF($A154="","",IF(AND($B154&gt;0,N154&lt;$B154,DATE($B$1,12,1)&lt;=TODAY(),OR($O154="",$O154&gt;=DATE($B$1,12,1)),OR(COUNTIF($C154:N154,"&gt;0")&gt;0,DATE($B$1,12,1)=DATE(YEAR(TODAY()),MONTH(TODAY()),1))),1,0))</f>
        <v/>
      </c>
    </row>
    <row r="155">
      <c r="A155" s="13">
        <f>IF(원생!$A153="","",원생!$A153&amp;IF(원생!$G153="",""," ("&amp;원생!$G153&amp;")"))</f>
        <v/>
      </c>
      <c r="B155" s="8">
        <f>IF(원생!$A153="","",N(원생!$F153))</f>
        <v/>
      </c>
      <c r="C155" s="14">
        <f>IF(원생!$A153="","",SUMIFS(계산!$C:$C,계산!$A:$A,계산!$E153,계산!$B:$B,$B$1*100+1))</f>
        <v/>
      </c>
      <c r="D155" s="14">
        <f>IF(원생!$A153="","",SUMIFS(계산!$C:$C,계산!$A:$A,계산!$E153,계산!$B:$B,$B$1*100+2))</f>
        <v/>
      </c>
      <c r="E155" s="14">
        <f>IF(원생!$A153="","",SUMIFS(계산!$C:$C,계산!$A:$A,계산!$E153,계산!$B:$B,$B$1*100+3))</f>
        <v/>
      </c>
      <c r="F155" s="14">
        <f>IF(원생!$A153="","",SUMIFS(계산!$C:$C,계산!$A:$A,계산!$E153,계산!$B:$B,$B$1*100+4))</f>
        <v/>
      </c>
      <c r="G155" s="14">
        <f>IF(원생!$A153="","",SUMIFS(계산!$C:$C,계산!$A:$A,계산!$E153,계산!$B:$B,$B$1*100+5))</f>
        <v/>
      </c>
      <c r="H155" s="14">
        <f>IF(원생!$A153="","",SUMIFS(계산!$C:$C,계산!$A:$A,계산!$E153,계산!$B:$B,$B$1*100+6))</f>
        <v/>
      </c>
      <c r="I155" s="14">
        <f>IF(원생!$A153="","",SUMIFS(계산!$C:$C,계산!$A:$A,계산!$E153,계산!$B:$B,$B$1*100+7))</f>
        <v/>
      </c>
      <c r="J155" s="14">
        <f>IF(원생!$A153="","",SUMIFS(계산!$C:$C,계산!$A:$A,계산!$E153,계산!$B:$B,$B$1*100+8))</f>
        <v/>
      </c>
      <c r="K155" s="14">
        <f>IF(원생!$A153="","",SUMIFS(계산!$C:$C,계산!$A:$A,계산!$E153,계산!$B:$B,$B$1*100+9))</f>
        <v/>
      </c>
      <c r="L155" s="14">
        <f>IF(원생!$A153="","",SUMIFS(계산!$C:$C,계산!$A:$A,계산!$E153,계산!$B:$B,$B$1*100+10))</f>
        <v/>
      </c>
      <c r="M155" s="14">
        <f>IF(원생!$A153="","",SUMIFS(계산!$C:$C,계산!$A:$A,계산!$E153,계산!$B:$B,$B$1*100+11))</f>
        <v/>
      </c>
      <c r="N155" s="14">
        <f>IF(원생!$A153="","",SUMIFS(계산!$C:$C,계산!$A:$A,계산!$E153,계산!$B:$B,$B$1*100+12))</f>
        <v/>
      </c>
      <c r="O155">
        <f>IF(원생!$I153="","",원생!$I153)</f>
        <v/>
      </c>
      <c r="P155">
        <f>IF($A155="","",IF(AND($B155&gt;0,C155&lt;$B155,DATE($B$1,1,1)&lt;=TODAY(),OR($O155="",$O155&gt;=DATE($B$1,1,1)),OR(COUNTIF($C155:C155,"&gt;0")&gt;0,DATE($B$1,1,1)=DATE(YEAR(TODAY()),MONTH(TODAY()),1))),1,0))</f>
        <v/>
      </c>
      <c r="Q155">
        <f>IF($A155="","",IF(AND($B155&gt;0,D155&lt;$B155,DATE($B$1,2,1)&lt;=TODAY(),OR($O155="",$O155&gt;=DATE($B$1,2,1)),OR(COUNTIF($C155:D155,"&gt;0")&gt;0,DATE($B$1,2,1)=DATE(YEAR(TODAY()),MONTH(TODAY()),1))),1,0))</f>
        <v/>
      </c>
      <c r="R155">
        <f>IF($A155="","",IF(AND($B155&gt;0,E155&lt;$B155,DATE($B$1,3,1)&lt;=TODAY(),OR($O155="",$O155&gt;=DATE($B$1,3,1)),OR(COUNTIF($C155:E155,"&gt;0")&gt;0,DATE($B$1,3,1)=DATE(YEAR(TODAY()),MONTH(TODAY()),1))),1,0))</f>
        <v/>
      </c>
      <c r="S155">
        <f>IF($A155="","",IF(AND($B155&gt;0,F155&lt;$B155,DATE($B$1,4,1)&lt;=TODAY(),OR($O155="",$O155&gt;=DATE($B$1,4,1)),OR(COUNTIF($C155:F155,"&gt;0")&gt;0,DATE($B$1,4,1)=DATE(YEAR(TODAY()),MONTH(TODAY()),1))),1,0))</f>
        <v/>
      </c>
      <c r="T155">
        <f>IF($A155="","",IF(AND($B155&gt;0,G155&lt;$B155,DATE($B$1,5,1)&lt;=TODAY(),OR($O155="",$O155&gt;=DATE($B$1,5,1)),OR(COUNTIF($C155:G155,"&gt;0")&gt;0,DATE($B$1,5,1)=DATE(YEAR(TODAY()),MONTH(TODAY()),1))),1,0))</f>
        <v/>
      </c>
      <c r="U155">
        <f>IF($A155="","",IF(AND($B155&gt;0,H155&lt;$B155,DATE($B$1,6,1)&lt;=TODAY(),OR($O155="",$O155&gt;=DATE($B$1,6,1)),OR(COUNTIF($C155:H155,"&gt;0")&gt;0,DATE($B$1,6,1)=DATE(YEAR(TODAY()),MONTH(TODAY()),1))),1,0))</f>
        <v/>
      </c>
      <c r="V155">
        <f>IF($A155="","",IF(AND($B155&gt;0,I155&lt;$B155,DATE($B$1,7,1)&lt;=TODAY(),OR($O155="",$O155&gt;=DATE($B$1,7,1)),OR(COUNTIF($C155:I155,"&gt;0")&gt;0,DATE($B$1,7,1)=DATE(YEAR(TODAY()),MONTH(TODAY()),1))),1,0))</f>
        <v/>
      </c>
      <c r="W155">
        <f>IF($A155="","",IF(AND($B155&gt;0,J155&lt;$B155,DATE($B$1,8,1)&lt;=TODAY(),OR($O155="",$O155&gt;=DATE($B$1,8,1)),OR(COUNTIF($C155:J155,"&gt;0")&gt;0,DATE($B$1,8,1)=DATE(YEAR(TODAY()),MONTH(TODAY()),1))),1,0))</f>
        <v/>
      </c>
      <c r="X155">
        <f>IF($A155="","",IF(AND($B155&gt;0,K155&lt;$B155,DATE($B$1,9,1)&lt;=TODAY(),OR($O155="",$O155&gt;=DATE($B$1,9,1)),OR(COUNTIF($C155:K155,"&gt;0")&gt;0,DATE($B$1,9,1)=DATE(YEAR(TODAY()),MONTH(TODAY()),1))),1,0))</f>
        <v/>
      </c>
      <c r="Y155">
        <f>IF($A155="","",IF(AND($B155&gt;0,L155&lt;$B155,DATE($B$1,10,1)&lt;=TODAY(),OR($O155="",$O155&gt;=DATE($B$1,10,1)),OR(COUNTIF($C155:L155,"&gt;0")&gt;0,DATE($B$1,10,1)=DATE(YEAR(TODAY()),MONTH(TODAY()),1))),1,0))</f>
        <v/>
      </c>
      <c r="Z155">
        <f>IF($A155="","",IF(AND($B155&gt;0,M155&lt;$B155,DATE($B$1,11,1)&lt;=TODAY(),OR($O155="",$O155&gt;=DATE($B$1,11,1)),OR(COUNTIF($C155:M155,"&gt;0")&gt;0,DATE($B$1,11,1)=DATE(YEAR(TODAY()),MONTH(TODAY()),1))),1,0))</f>
        <v/>
      </c>
      <c r="AA155">
        <f>IF($A155="","",IF(AND($B155&gt;0,N155&lt;$B155,DATE($B$1,12,1)&lt;=TODAY(),OR($O155="",$O155&gt;=DATE($B$1,12,1)),OR(COUNTIF($C155:N155,"&gt;0")&gt;0,DATE($B$1,12,1)=DATE(YEAR(TODAY()),MONTH(TODAY()),1))),1,0))</f>
        <v/>
      </c>
    </row>
    <row r="156">
      <c r="A156" s="13">
        <f>IF(원생!$A154="","",원생!$A154&amp;IF(원생!$G154="",""," ("&amp;원생!$G154&amp;")"))</f>
        <v/>
      </c>
      <c r="B156" s="8">
        <f>IF(원생!$A154="","",N(원생!$F154))</f>
        <v/>
      </c>
      <c r="C156" s="14">
        <f>IF(원생!$A154="","",SUMIFS(계산!$C:$C,계산!$A:$A,계산!$E154,계산!$B:$B,$B$1*100+1))</f>
        <v/>
      </c>
      <c r="D156" s="14">
        <f>IF(원생!$A154="","",SUMIFS(계산!$C:$C,계산!$A:$A,계산!$E154,계산!$B:$B,$B$1*100+2))</f>
        <v/>
      </c>
      <c r="E156" s="14">
        <f>IF(원생!$A154="","",SUMIFS(계산!$C:$C,계산!$A:$A,계산!$E154,계산!$B:$B,$B$1*100+3))</f>
        <v/>
      </c>
      <c r="F156" s="14">
        <f>IF(원생!$A154="","",SUMIFS(계산!$C:$C,계산!$A:$A,계산!$E154,계산!$B:$B,$B$1*100+4))</f>
        <v/>
      </c>
      <c r="G156" s="14">
        <f>IF(원생!$A154="","",SUMIFS(계산!$C:$C,계산!$A:$A,계산!$E154,계산!$B:$B,$B$1*100+5))</f>
        <v/>
      </c>
      <c r="H156" s="14">
        <f>IF(원생!$A154="","",SUMIFS(계산!$C:$C,계산!$A:$A,계산!$E154,계산!$B:$B,$B$1*100+6))</f>
        <v/>
      </c>
      <c r="I156" s="14">
        <f>IF(원생!$A154="","",SUMIFS(계산!$C:$C,계산!$A:$A,계산!$E154,계산!$B:$B,$B$1*100+7))</f>
        <v/>
      </c>
      <c r="J156" s="14">
        <f>IF(원생!$A154="","",SUMIFS(계산!$C:$C,계산!$A:$A,계산!$E154,계산!$B:$B,$B$1*100+8))</f>
        <v/>
      </c>
      <c r="K156" s="14">
        <f>IF(원생!$A154="","",SUMIFS(계산!$C:$C,계산!$A:$A,계산!$E154,계산!$B:$B,$B$1*100+9))</f>
        <v/>
      </c>
      <c r="L156" s="14">
        <f>IF(원생!$A154="","",SUMIFS(계산!$C:$C,계산!$A:$A,계산!$E154,계산!$B:$B,$B$1*100+10))</f>
        <v/>
      </c>
      <c r="M156" s="14">
        <f>IF(원생!$A154="","",SUMIFS(계산!$C:$C,계산!$A:$A,계산!$E154,계산!$B:$B,$B$1*100+11))</f>
        <v/>
      </c>
      <c r="N156" s="14">
        <f>IF(원생!$A154="","",SUMIFS(계산!$C:$C,계산!$A:$A,계산!$E154,계산!$B:$B,$B$1*100+12))</f>
        <v/>
      </c>
      <c r="O156">
        <f>IF(원생!$I154="","",원생!$I154)</f>
        <v/>
      </c>
      <c r="P156">
        <f>IF($A156="","",IF(AND($B156&gt;0,C156&lt;$B156,DATE($B$1,1,1)&lt;=TODAY(),OR($O156="",$O156&gt;=DATE($B$1,1,1)),OR(COUNTIF($C156:C156,"&gt;0")&gt;0,DATE($B$1,1,1)=DATE(YEAR(TODAY()),MONTH(TODAY()),1))),1,0))</f>
        <v/>
      </c>
      <c r="Q156">
        <f>IF($A156="","",IF(AND($B156&gt;0,D156&lt;$B156,DATE($B$1,2,1)&lt;=TODAY(),OR($O156="",$O156&gt;=DATE($B$1,2,1)),OR(COUNTIF($C156:D156,"&gt;0")&gt;0,DATE($B$1,2,1)=DATE(YEAR(TODAY()),MONTH(TODAY()),1))),1,0))</f>
        <v/>
      </c>
      <c r="R156">
        <f>IF($A156="","",IF(AND($B156&gt;0,E156&lt;$B156,DATE($B$1,3,1)&lt;=TODAY(),OR($O156="",$O156&gt;=DATE($B$1,3,1)),OR(COUNTIF($C156:E156,"&gt;0")&gt;0,DATE($B$1,3,1)=DATE(YEAR(TODAY()),MONTH(TODAY()),1))),1,0))</f>
        <v/>
      </c>
      <c r="S156">
        <f>IF($A156="","",IF(AND($B156&gt;0,F156&lt;$B156,DATE($B$1,4,1)&lt;=TODAY(),OR($O156="",$O156&gt;=DATE($B$1,4,1)),OR(COUNTIF($C156:F156,"&gt;0")&gt;0,DATE($B$1,4,1)=DATE(YEAR(TODAY()),MONTH(TODAY()),1))),1,0))</f>
        <v/>
      </c>
      <c r="T156">
        <f>IF($A156="","",IF(AND($B156&gt;0,G156&lt;$B156,DATE($B$1,5,1)&lt;=TODAY(),OR($O156="",$O156&gt;=DATE($B$1,5,1)),OR(COUNTIF($C156:G156,"&gt;0")&gt;0,DATE($B$1,5,1)=DATE(YEAR(TODAY()),MONTH(TODAY()),1))),1,0))</f>
        <v/>
      </c>
      <c r="U156">
        <f>IF($A156="","",IF(AND($B156&gt;0,H156&lt;$B156,DATE($B$1,6,1)&lt;=TODAY(),OR($O156="",$O156&gt;=DATE($B$1,6,1)),OR(COUNTIF($C156:H156,"&gt;0")&gt;0,DATE($B$1,6,1)=DATE(YEAR(TODAY()),MONTH(TODAY()),1))),1,0))</f>
        <v/>
      </c>
      <c r="V156">
        <f>IF($A156="","",IF(AND($B156&gt;0,I156&lt;$B156,DATE($B$1,7,1)&lt;=TODAY(),OR($O156="",$O156&gt;=DATE($B$1,7,1)),OR(COUNTIF($C156:I156,"&gt;0")&gt;0,DATE($B$1,7,1)=DATE(YEAR(TODAY()),MONTH(TODAY()),1))),1,0))</f>
        <v/>
      </c>
      <c r="W156">
        <f>IF($A156="","",IF(AND($B156&gt;0,J156&lt;$B156,DATE($B$1,8,1)&lt;=TODAY(),OR($O156="",$O156&gt;=DATE($B$1,8,1)),OR(COUNTIF($C156:J156,"&gt;0")&gt;0,DATE($B$1,8,1)=DATE(YEAR(TODAY()),MONTH(TODAY()),1))),1,0))</f>
        <v/>
      </c>
      <c r="X156">
        <f>IF($A156="","",IF(AND($B156&gt;0,K156&lt;$B156,DATE($B$1,9,1)&lt;=TODAY(),OR($O156="",$O156&gt;=DATE($B$1,9,1)),OR(COUNTIF($C156:K156,"&gt;0")&gt;0,DATE($B$1,9,1)=DATE(YEAR(TODAY()),MONTH(TODAY()),1))),1,0))</f>
        <v/>
      </c>
      <c r="Y156">
        <f>IF($A156="","",IF(AND($B156&gt;0,L156&lt;$B156,DATE($B$1,10,1)&lt;=TODAY(),OR($O156="",$O156&gt;=DATE($B$1,10,1)),OR(COUNTIF($C156:L156,"&gt;0")&gt;0,DATE($B$1,10,1)=DATE(YEAR(TODAY()),MONTH(TODAY()),1))),1,0))</f>
        <v/>
      </c>
      <c r="Z156">
        <f>IF($A156="","",IF(AND($B156&gt;0,M156&lt;$B156,DATE($B$1,11,1)&lt;=TODAY(),OR($O156="",$O156&gt;=DATE($B$1,11,1)),OR(COUNTIF($C156:M156,"&gt;0")&gt;0,DATE($B$1,11,1)=DATE(YEAR(TODAY()),MONTH(TODAY()),1))),1,0))</f>
        <v/>
      </c>
      <c r="AA156">
        <f>IF($A156="","",IF(AND($B156&gt;0,N156&lt;$B156,DATE($B$1,12,1)&lt;=TODAY(),OR($O156="",$O156&gt;=DATE($B$1,12,1)),OR(COUNTIF($C156:N156,"&gt;0")&gt;0,DATE($B$1,12,1)=DATE(YEAR(TODAY()),MONTH(TODAY()),1))),1,0))</f>
        <v/>
      </c>
    </row>
    <row r="157">
      <c r="A157" s="13">
        <f>IF(원생!$A155="","",원생!$A155&amp;IF(원생!$G155="",""," ("&amp;원생!$G155&amp;")"))</f>
        <v/>
      </c>
      <c r="B157" s="8">
        <f>IF(원생!$A155="","",N(원생!$F155))</f>
        <v/>
      </c>
      <c r="C157" s="14">
        <f>IF(원생!$A155="","",SUMIFS(계산!$C:$C,계산!$A:$A,계산!$E155,계산!$B:$B,$B$1*100+1))</f>
        <v/>
      </c>
      <c r="D157" s="14">
        <f>IF(원생!$A155="","",SUMIFS(계산!$C:$C,계산!$A:$A,계산!$E155,계산!$B:$B,$B$1*100+2))</f>
        <v/>
      </c>
      <c r="E157" s="14">
        <f>IF(원생!$A155="","",SUMIFS(계산!$C:$C,계산!$A:$A,계산!$E155,계산!$B:$B,$B$1*100+3))</f>
        <v/>
      </c>
      <c r="F157" s="14">
        <f>IF(원생!$A155="","",SUMIFS(계산!$C:$C,계산!$A:$A,계산!$E155,계산!$B:$B,$B$1*100+4))</f>
        <v/>
      </c>
      <c r="G157" s="14">
        <f>IF(원생!$A155="","",SUMIFS(계산!$C:$C,계산!$A:$A,계산!$E155,계산!$B:$B,$B$1*100+5))</f>
        <v/>
      </c>
      <c r="H157" s="14">
        <f>IF(원생!$A155="","",SUMIFS(계산!$C:$C,계산!$A:$A,계산!$E155,계산!$B:$B,$B$1*100+6))</f>
        <v/>
      </c>
      <c r="I157" s="14">
        <f>IF(원생!$A155="","",SUMIFS(계산!$C:$C,계산!$A:$A,계산!$E155,계산!$B:$B,$B$1*100+7))</f>
        <v/>
      </c>
      <c r="J157" s="14">
        <f>IF(원생!$A155="","",SUMIFS(계산!$C:$C,계산!$A:$A,계산!$E155,계산!$B:$B,$B$1*100+8))</f>
        <v/>
      </c>
      <c r="K157" s="14">
        <f>IF(원생!$A155="","",SUMIFS(계산!$C:$C,계산!$A:$A,계산!$E155,계산!$B:$B,$B$1*100+9))</f>
        <v/>
      </c>
      <c r="L157" s="14">
        <f>IF(원생!$A155="","",SUMIFS(계산!$C:$C,계산!$A:$A,계산!$E155,계산!$B:$B,$B$1*100+10))</f>
        <v/>
      </c>
      <c r="M157" s="14">
        <f>IF(원생!$A155="","",SUMIFS(계산!$C:$C,계산!$A:$A,계산!$E155,계산!$B:$B,$B$1*100+11))</f>
        <v/>
      </c>
      <c r="N157" s="14">
        <f>IF(원생!$A155="","",SUMIFS(계산!$C:$C,계산!$A:$A,계산!$E155,계산!$B:$B,$B$1*100+12))</f>
        <v/>
      </c>
      <c r="O157">
        <f>IF(원생!$I155="","",원생!$I155)</f>
        <v/>
      </c>
      <c r="P157">
        <f>IF($A157="","",IF(AND($B157&gt;0,C157&lt;$B157,DATE($B$1,1,1)&lt;=TODAY(),OR($O157="",$O157&gt;=DATE($B$1,1,1)),OR(COUNTIF($C157:C157,"&gt;0")&gt;0,DATE($B$1,1,1)=DATE(YEAR(TODAY()),MONTH(TODAY()),1))),1,0))</f>
        <v/>
      </c>
      <c r="Q157">
        <f>IF($A157="","",IF(AND($B157&gt;0,D157&lt;$B157,DATE($B$1,2,1)&lt;=TODAY(),OR($O157="",$O157&gt;=DATE($B$1,2,1)),OR(COUNTIF($C157:D157,"&gt;0")&gt;0,DATE($B$1,2,1)=DATE(YEAR(TODAY()),MONTH(TODAY()),1))),1,0))</f>
        <v/>
      </c>
      <c r="R157">
        <f>IF($A157="","",IF(AND($B157&gt;0,E157&lt;$B157,DATE($B$1,3,1)&lt;=TODAY(),OR($O157="",$O157&gt;=DATE($B$1,3,1)),OR(COUNTIF($C157:E157,"&gt;0")&gt;0,DATE($B$1,3,1)=DATE(YEAR(TODAY()),MONTH(TODAY()),1))),1,0))</f>
        <v/>
      </c>
      <c r="S157">
        <f>IF($A157="","",IF(AND($B157&gt;0,F157&lt;$B157,DATE($B$1,4,1)&lt;=TODAY(),OR($O157="",$O157&gt;=DATE($B$1,4,1)),OR(COUNTIF($C157:F157,"&gt;0")&gt;0,DATE($B$1,4,1)=DATE(YEAR(TODAY()),MONTH(TODAY()),1))),1,0))</f>
        <v/>
      </c>
      <c r="T157">
        <f>IF($A157="","",IF(AND($B157&gt;0,G157&lt;$B157,DATE($B$1,5,1)&lt;=TODAY(),OR($O157="",$O157&gt;=DATE($B$1,5,1)),OR(COUNTIF($C157:G157,"&gt;0")&gt;0,DATE($B$1,5,1)=DATE(YEAR(TODAY()),MONTH(TODAY()),1))),1,0))</f>
        <v/>
      </c>
      <c r="U157">
        <f>IF($A157="","",IF(AND($B157&gt;0,H157&lt;$B157,DATE($B$1,6,1)&lt;=TODAY(),OR($O157="",$O157&gt;=DATE($B$1,6,1)),OR(COUNTIF($C157:H157,"&gt;0")&gt;0,DATE($B$1,6,1)=DATE(YEAR(TODAY()),MONTH(TODAY()),1))),1,0))</f>
        <v/>
      </c>
      <c r="V157">
        <f>IF($A157="","",IF(AND($B157&gt;0,I157&lt;$B157,DATE($B$1,7,1)&lt;=TODAY(),OR($O157="",$O157&gt;=DATE($B$1,7,1)),OR(COUNTIF($C157:I157,"&gt;0")&gt;0,DATE($B$1,7,1)=DATE(YEAR(TODAY()),MONTH(TODAY()),1))),1,0))</f>
        <v/>
      </c>
      <c r="W157">
        <f>IF($A157="","",IF(AND($B157&gt;0,J157&lt;$B157,DATE($B$1,8,1)&lt;=TODAY(),OR($O157="",$O157&gt;=DATE($B$1,8,1)),OR(COUNTIF($C157:J157,"&gt;0")&gt;0,DATE($B$1,8,1)=DATE(YEAR(TODAY()),MONTH(TODAY()),1))),1,0))</f>
        <v/>
      </c>
      <c r="X157">
        <f>IF($A157="","",IF(AND($B157&gt;0,K157&lt;$B157,DATE($B$1,9,1)&lt;=TODAY(),OR($O157="",$O157&gt;=DATE($B$1,9,1)),OR(COUNTIF($C157:K157,"&gt;0")&gt;0,DATE($B$1,9,1)=DATE(YEAR(TODAY()),MONTH(TODAY()),1))),1,0))</f>
        <v/>
      </c>
      <c r="Y157">
        <f>IF($A157="","",IF(AND($B157&gt;0,L157&lt;$B157,DATE($B$1,10,1)&lt;=TODAY(),OR($O157="",$O157&gt;=DATE($B$1,10,1)),OR(COUNTIF($C157:L157,"&gt;0")&gt;0,DATE($B$1,10,1)=DATE(YEAR(TODAY()),MONTH(TODAY()),1))),1,0))</f>
        <v/>
      </c>
      <c r="Z157">
        <f>IF($A157="","",IF(AND($B157&gt;0,M157&lt;$B157,DATE($B$1,11,1)&lt;=TODAY(),OR($O157="",$O157&gt;=DATE($B$1,11,1)),OR(COUNTIF($C157:M157,"&gt;0")&gt;0,DATE($B$1,11,1)=DATE(YEAR(TODAY()),MONTH(TODAY()),1))),1,0))</f>
        <v/>
      </c>
      <c r="AA157">
        <f>IF($A157="","",IF(AND($B157&gt;0,N157&lt;$B157,DATE($B$1,12,1)&lt;=TODAY(),OR($O157="",$O157&gt;=DATE($B$1,12,1)),OR(COUNTIF($C157:N157,"&gt;0")&gt;0,DATE($B$1,12,1)=DATE(YEAR(TODAY()),MONTH(TODAY()),1))),1,0))</f>
        <v/>
      </c>
    </row>
    <row r="158">
      <c r="A158" s="13">
        <f>IF(원생!$A156="","",원생!$A156&amp;IF(원생!$G156="",""," ("&amp;원생!$G156&amp;")"))</f>
        <v/>
      </c>
      <c r="B158" s="8">
        <f>IF(원생!$A156="","",N(원생!$F156))</f>
        <v/>
      </c>
      <c r="C158" s="14">
        <f>IF(원생!$A156="","",SUMIFS(계산!$C:$C,계산!$A:$A,계산!$E156,계산!$B:$B,$B$1*100+1))</f>
        <v/>
      </c>
      <c r="D158" s="14">
        <f>IF(원생!$A156="","",SUMIFS(계산!$C:$C,계산!$A:$A,계산!$E156,계산!$B:$B,$B$1*100+2))</f>
        <v/>
      </c>
      <c r="E158" s="14">
        <f>IF(원생!$A156="","",SUMIFS(계산!$C:$C,계산!$A:$A,계산!$E156,계산!$B:$B,$B$1*100+3))</f>
        <v/>
      </c>
      <c r="F158" s="14">
        <f>IF(원생!$A156="","",SUMIFS(계산!$C:$C,계산!$A:$A,계산!$E156,계산!$B:$B,$B$1*100+4))</f>
        <v/>
      </c>
      <c r="G158" s="14">
        <f>IF(원생!$A156="","",SUMIFS(계산!$C:$C,계산!$A:$A,계산!$E156,계산!$B:$B,$B$1*100+5))</f>
        <v/>
      </c>
      <c r="H158" s="14">
        <f>IF(원생!$A156="","",SUMIFS(계산!$C:$C,계산!$A:$A,계산!$E156,계산!$B:$B,$B$1*100+6))</f>
        <v/>
      </c>
      <c r="I158" s="14">
        <f>IF(원생!$A156="","",SUMIFS(계산!$C:$C,계산!$A:$A,계산!$E156,계산!$B:$B,$B$1*100+7))</f>
        <v/>
      </c>
      <c r="J158" s="14">
        <f>IF(원생!$A156="","",SUMIFS(계산!$C:$C,계산!$A:$A,계산!$E156,계산!$B:$B,$B$1*100+8))</f>
        <v/>
      </c>
      <c r="K158" s="14">
        <f>IF(원생!$A156="","",SUMIFS(계산!$C:$C,계산!$A:$A,계산!$E156,계산!$B:$B,$B$1*100+9))</f>
        <v/>
      </c>
      <c r="L158" s="14">
        <f>IF(원생!$A156="","",SUMIFS(계산!$C:$C,계산!$A:$A,계산!$E156,계산!$B:$B,$B$1*100+10))</f>
        <v/>
      </c>
      <c r="M158" s="14">
        <f>IF(원생!$A156="","",SUMIFS(계산!$C:$C,계산!$A:$A,계산!$E156,계산!$B:$B,$B$1*100+11))</f>
        <v/>
      </c>
      <c r="N158" s="14">
        <f>IF(원생!$A156="","",SUMIFS(계산!$C:$C,계산!$A:$A,계산!$E156,계산!$B:$B,$B$1*100+12))</f>
        <v/>
      </c>
      <c r="O158">
        <f>IF(원생!$I156="","",원생!$I156)</f>
        <v/>
      </c>
      <c r="P158">
        <f>IF($A158="","",IF(AND($B158&gt;0,C158&lt;$B158,DATE($B$1,1,1)&lt;=TODAY(),OR($O158="",$O158&gt;=DATE($B$1,1,1)),OR(COUNTIF($C158:C158,"&gt;0")&gt;0,DATE($B$1,1,1)=DATE(YEAR(TODAY()),MONTH(TODAY()),1))),1,0))</f>
        <v/>
      </c>
      <c r="Q158">
        <f>IF($A158="","",IF(AND($B158&gt;0,D158&lt;$B158,DATE($B$1,2,1)&lt;=TODAY(),OR($O158="",$O158&gt;=DATE($B$1,2,1)),OR(COUNTIF($C158:D158,"&gt;0")&gt;0,DATE($B$1,2,1)=DATE(YEAR(TODAY()),MONTH(TODAY()),1))),1,0))</f>
        <v/>
      </c>
      <c r="R158">
        <f>IF($A158="","",IF(AND($B158&gt;0,E158&lt;$B158,DATE($B$1,3,1)&lt;=TODAY(),OR($O158="",$O158&gt;=DATE($B$1,3,1)),OR(COUNTIF($C158:E158,"&gt;0")&gt;0,DATE($B$1,3,1)=DATE(YEAR(TODAY()),MONTH(TODAY()),1))),1,0))</f>
        <v/>
      </c>
      <c r="S158">
        <f>IF($A158="","",IF(AND($B158&gt;0,F158&lt;$B158,DATE($B$1,4,1)&lt;=TODAY(),OR($O158="",$O158&gt;=DATE($B$1,4,1)),OR(COUNTIF($C158:F158,"&gt;0")&gt;0,DATE($B$1,4,1)=DATE(YEAR(TODAY()),MONTH(TODAY()),1))),1,0))</f>
        <v/>
      </c>
      <c r="T158">
        <f>IF($A158="","",IF(AND($B158&gt;0,G158&lt;$B158,DATE($B$1,5,1)&lt;=TODAY(),OR($O158="",$O158&gt;=DATE($B$1,5,1)),OR(COUNTIF($C158:G158,"&gt;0")&gt;0,DATE($B$1,5,1)=DATE(YEAR(TODAY()),MONTH(TODAY()),1))),1,0))</f>
        <v/>
      </c>
      <c r="U158">
        <f>IF($A158="","",IF(AND($B158&gt;0,H158&lt;$B158,DATE($B$1,6,1)&lt;=TODAY(),OR($O158="",$O158&gt;=DATE($B$1,6,1)),OR(COUNTIF($C158:H158,"&gt;0")&gt;0,DATE($B$1,6,1)=DATE(YEAR(TODAY()),MONTH(TODAY()),1))),1,0))</f>
        <v/>
      </c>
      <c r="V158">
        <f>IF($A158="","",IF(AND($B158&gt;0,I158&lt;$B158,DATE($B$1,7,1)&lt;=TODAY(),OR($O158="",$O158&gt;=DATE($B$1,7,1)),OR(COUNTIF($C158:I158,"&gt;0")&gt;0,DATE($B$1,7,1)=DATE(YEAR(TODAY()),MONTH(TODAY()),1))),1,0))</f>
        <v/>
      </c>
      <c r="W158">
        <f>IF($A158="","",IF(AND($B158&gt;0,J158&lt;$B158,DATE($B$1,8,1)&lt;=TODAY(),OR($O158="",$O158&gt;=DATE($B$1,8,1)),OR(COUNTIF($C158:J158,"&gt;0")&gt;0,DATE($B$1,8,1)=DATE(YEAR(TODAY()),MONTH(TODAY()),1))),1,0))</f>
        <v/>
      </c>
      <c r="X158">
        <f>IF($A158="","",IF(AND($B158&gt;0,K158&lt;$B158,DATE($B$1,9,1)&lt;=TODAY(),OR($O158="",$O158&gt;=DATE($B$1,9,1)),OR(COUNTIF($C158:K158,"&gt;0")&gt;0,DATE($B$1,9,1)=DATE(YEAR(TODAY()),MONTH(TODAY()),1))),1,0))</f>
        <v/>
      </c>
      <c r="Y158">
        <f>IF($A158="","",IF(AND($B158&gt;0,L158&lt;$B158,DATE($B$1,10,1)&lt;=TODAY(),OR($O158="",$O158&gt;=DATE($B$1,10,1)),OR(COUNTIF($C158:L158,"&gt;0")&gt;0,DATE($B$1,10,1)=DATE(YEAR(TODAY()),MONTH(TODAY()),1))),1,0))</f>
        <v/>
      </c>
      <c r="Z158">
        <f>IF($A158="","",IF(AND($B158&gt;0,M158&lt;$B158,DATE($B$1,11,1)&lt;=TODAY(),OR($O158="",$O158&gt;=DATE($B$1,11,1)),OR(COUNTIF($C158:M158,"&gt;0")&gt;0,DATE($B$1,11,1)=DATE(YEAR(TODAY()),MONTH(TODAY()),1))),1,0))</f>
        <v/>
      </c>
      <c r="AA158">
        <f>IF($A158="","",IF(AND($B158&gt;0,N158&lt;$B158,DATE($B$1,12,1)&lt;=TODAY(),OR($O158="",$O158&gt;=DATE($B$1,12,1)),OR(COUNTIF($C158:N158,"&gt;0")&gt;0,DATE($B$1,12,1)=DATE(YEAR(TODAY()),MONTH(TODAY()),1))),1,0))</f>
        <v/>
      </c>
    </row>
    <row r="159">
      <c r="A159" s="13">
        <f>IF(원생!$A157="","",원생!$A157&amp;IF(원생!$G157="",""," ("&amp;원생!$G157&amp;")"))</f>
        <v/>
      </c>
      <c r="B159" s="8">
        <f>IF(원생!$A157="","",N(원생!$F157))</f>
        <v/>
      </c>
      <c r="C159" s="14">
        <f>IF(원생!$A157="","",SUMIFS(계산!$C:$C,계산!$A:$A,계산!$E157,계산!$B:$B,$B$1*100+1))</f>
        <v/>
      </c>
      <c r="D159" s="14">
        <f>IF(원생!$A157="","",SUMIFS(계산!$C:$C,계산!$A:$A,계산!$E157,계산!$B:$B,$B$1*100+2))</f>
        <v/>
      </c>
      <c r="E159" s="14">
        <f>IF(원생!$A157="","",SUMIFS(계산!$C:$C,계산!$A:$A,계산!$E157,계산!$B:$B,$B$1*100+3))</f>
        <v/>
      </c>
      <c r="F159" s="14">
        <f>IF(원생!$A157="","",SUMIFS(계산!$C:$C,계산!$A:$A,계산!$E157,계산!$B:$B,$B$1*100+4))</f>
        <v/>
      </c>
      <c r="G159" s="14">
        <f>IF(원생!$A157="","",SUMIFS(계산!$C:$C,계산!$A:$A,계산!$E157,계산!$B:$B,$B$1*100+5))</f>
        <v/>
      </c>
      <c r="H159" s="14">
        <f>IF(원생!$A157="","",SUMIFS(계산!$C:$C,계산!$A:$A,계산!$E157,계산!$B:$B,$B$1*100+6))</f>
        <v/>
      </c>
      <c r="I159" s="14">
        <f>IF(원생!$A157="","",SUMIFS(계산!$C:$C,계산!$A:$A,계산!$E157,계산!$B:$B,$B$1*100+7))</f>
        <v/>
      </c>
      <c r="J159" s="14">
        <f>IF(원생!$A157="","",SUMIFS(계산!$C:$C,계산!$A:$A,계산!$E157,계산!$B:$B,$B$1*100+8))</f>
        <v/>
      </c>
      <c r="K159" s="14">
        <f>IF(원생!$A157="","",SUMIFS(계산!$C:$C,계산!$A:$A,계산!$E157,계산!$B:$B,$B$1*100+9))</f>
        <v/>
      </c>
      <c r="L159" s="14">
        <f>IF(원생!$A157="","",SUMIFS(계산!$C:$C,계산!$A:$A,계산!$E157,계산!$B:$B,$B$1*100+10))</f>
        <v/>
      </c>
      <c r="M159" s="14">
        <f>IF(원생!$A157="","",SUMIFS(계산!$C:$C,계산!$A:$A,계산!$E157,계산!$B:$B,$B$1*100+11))</f>
        <v/>
      </c>
      <c r="N159" s="14">
        <f>IF(원생!$A157="","",SUMIFS(계산!$C:$C,계산!$A:$A,계산!$E157,계산!$B:$B,$B$1*100+12))</f>
        <v/>
      </c>
      <c r="O159">
        <f>IF(원생!$I157="","",원생!$I157)</f>
        <v/>
      </c>
      <c r="P159">
        <f>IF($A159="","",IF(AND($B159&gt;0,C159&lt;$B159,DATE($B$1,1,1)&lt;=TODAY(),OR($O159="",$O159&gt;=DATE($B$1,1,1)),OR(COUNTIF($C159:C159,"&gt;0")&gt;0,DATE($B$1,1,1)=DATE(YEAR(TODAY()),MONTH(TODAY()),1))),1,0))</f>
        <v/>
      </c>
      <c r="Q159">
        <f>IF($A159="","",IF(AND($B159&gt;0,D159&lt;$B159,DATE($B$1,2,1)&lt;=TODAY(),OR($O159="",$O159&gt;=DATE($B$1,2,1)),OR(COUNTIF($C159:D159,"&gt;0")&gt;0,DATE($B$1,2,1)=DATE(YEAR(TODAY()),MONTH(TODAY()),1))),1,0))</f>
        <v/>
      </c>
      <c r="R159">
        <f>IF($A159="","",IF(AND($B159&gt;0,E159&lt;$B159,DATE($B$1,3,1)&lt;=TODAY(),OR($O159="",$O159&gt;=DATE($B$1,3,1)),OR(COUNTIF($C159:E159,"&gt;0")&gt;0,DATE($B$1,3,1)=DATE(YEAR(TODAY()),MONTH(TODAY()),1))),1,0))</f>
        <v/>
      </c>
      <c r="S159">
        <f>IF($A159="","",IF(AND($B159&gt;0,F159&lt;$B159,DATE($B$1,4,1)&lt;=TODAY(),OR($O159="",$O159&gt;=DATE($B$1,4,1)),OR(COUNTIF($C159:F159,"&gt;0")&gt;0,DATE($B$1,4,1)=DATE(YEAR(TODAY()),MONTH(TODAY()),1))),1,0))</f>
        <v/>
      </c>
      <c r="T159">
        <f>IF($A159="","",IF(AND($B159&gt;0,G159&lt;$B159,DATE($B$1,5,1)&lt;=TODAY(),OR($O159="",$O159&gt;=DATE($B$1,5,1)),OR(COUNTIF($C159:G159,"&gt;0")&gt;0,DATE($B$1,5,1)=DATE(YEAR(TODAY()),MONTH(TODAY()),1))),1,0))</f>
        <v/>
      </c>
      <c r="U159">
        <f>IF($A159="","",IF(AND($B159&gt;0,H159&lt;$B159,DATE($B$1,6,1)&lt;=TODAY(),OR($O159="",$O159&gt;=DATE($B$1,6,1)),OR(COUNTIF($C159:H159,"&gt;0")&gt;0,DATE($B$1,6,1)=DATE(YEAR(TODAY()),MONTH(TODAY()),1))),1,0))</f>
        <v/>
      </c>
      <c r="V159">
        <f>IF($A159="","",IF(AND($B159&gt;0,I159&lt;$B159,DATE($B$1,7,1)&lt;=TODAY(),OR($O159="",$O159&gt;=DATE($B$1,7,1)),OR(COUNTIF($C159:I159,"&gt;0")&gt;0,DATE($B$1,7,1)=DATE(YEAR(TODAY()),MONTH(TODAY()),1))),1,0))</f>
        <v/>
      </c>
      <c r="W159">
        <f>IF($A159="","",IF(AND($B159&gt;0,J159&lt;$B159,DATE($B$1,8,1)&lt;=TODAY(),OR($O159="",$O159&gt;=DATE($B$1,8,1)),OR(COUNTIF($C159:J159,"&gt;0")&gt;0,DATE($B$1,8,1)=DATE(YEAR(TODAY()),MONTH(TODAY()),1))),1,0))</f>
        <v/>
      </c>
      <c r="X159">
        <f>IF($A159="","",IF(AND($B159&gt;0,K159&lt;$B159,DATE($B$1,9,1)&lt;=TODAY(),OR($O159="",$O159&gt;=DATE($B$1,9,1)),OR(COUNTIF($C159:K159,"&gt;0")&gt;0,DATE($B$1,9,1)=DATE(YEAR(TODAY()),MONTH(TODAY()),1))),1,0))</f>
        <v/>
      </c>
      <c r="Y159">
        <f>IF($A159="","",IF(AND($B159&gt;0,L159&lt;$B159,DATE($B$1,10,1)&lt;=TODAY(),OR($O159="",$O159&gt;=DATE($B$1,10,1)),OR(COUNTIF($C159:L159,"&gt;0")&gt;0,DATE($B$1,10,1)=DATE(YEAR(TODAY()),MONTH(TODAY()),1))),1,0))</f>
        <v/>
      </c>
      <c r="Z159">
        <f>IF($A159="","",IF(AND($B159&gt;0,M159&lt;$B159,DATE($B$1,11,1)&lt;=TODAY(),OR($O159="",$O159&gt;=DATE($B$1,11,1)),OR(COUNTIF($C159:M159,"&gt;0")&gt;0,DATE($B$1,11,1)=DATE(YEAR(TODAY()),MONTH(TODAY()),1))),1,0))</f>
        <v/>
      </c>
      <c r="AA159">
        <f>IF($A159="","",IF(AND($B159&gt;0,N159&lt;$B159,DATE($B$1,12,1)&lt;=TODAY(),OR($O159="",$O159&gt;=DATE($B$1,12,1)),OR(COUNTIF($C159:N159,"&gt;0")&gt;0,DATE($B$1,12,1)=DATE(YEAR(TODAY()),MONTH(TODAY()),1))),1,0))</f>
        <v/>
      </c>
    </row>
    <row r="160">
      <c r="A160" s="13">
        <f>IF(원생!$A158="","",원생!$A158&amp;IF(원생!$G158="",""," ("&amp;원생!$G158&amp;")"))</f>
        <v/>
      </c>
      <c r="B160" s="8">
        <f>IF(원생!$A158="","",N(원생!$F158))</f>
        <v/>
      </c>
      <c r="C160" s="14">
        <f>IF(원생!$A158="","",SUMIFS(계산!$C:$C,계산!$A:$A,계산!$E158,계산!$B:$B,$B$1*100+1))</f>
        <v/>
      </c>
      <c r="D160" s="14">
        <f>IF(원생!$A158="","",SUMIFS(계산!$C:$C,계산!$A:$A,계산!$E158,계산!$B:$B,$B$1*100+2))</f>
        <v/>
      </c>
      <c r="E160" s="14">
        <f>IF(원생!$A158="","",SUMIFS(계산!$C:$C,계산!$A:$A,계산!$E158,계산!$B:$B,$B$1*100+3))</f>
        <v/>
      </c>
      <c r="F160" s="14">
        <f>IF(원생!$A158="","",SUMIFS(계산!$C:$C,계산!$A:$A,계산!$E158,계산!$B:$B,$B$1*100+4))</f>
        <v/>
      </c>
      <c r="G160" s="14">
        <f>IF(원생!$A158="","",SUMIFS(계산!$C:$C,계산!$A:$A,계산!$E158,계산!$B:$B,$B$1*100+5))</f>
        <v/>
      </c>
      <c r="H160" s="14">
        <f>IF(원생!$A158="","",SUMIFS(계산!$C:$C,계산!$A:$A,계산!$E158,계산!$B:$B,$B$1*100+6))</f>
        <v/>
      </c>
      <c r="I160" s="14">
        <f>IF(원생!$A158="","",SUMIFS(계산!$C:$C,계산!$A:$A,계산!$E158,계산!$B:$B,$B$1*100+7))</f>
        <v/>
      </c>
      <c r="J160" s="14">
        <f>IF(원생!$A158="","",SUMIFS(계산!$C:$C,계산!$A:$A,계산!$E158,계산!$B:$B,$B$1*100+8))</f>
        <v/>
      </c>
      <c r="K160" s="14">
        <f>IF(원생!$A158="","",SUMIFS(계산!$C:$C,계산!$A:$A,계산!$E158,계산!$B:$B,$B$1*100+9))</f>
        <v/>
      </c>
      <c r="L160" s="14">
        <f>IF(원생!$A158="","",SUMIFS(계산!$C:$C,계산!$A:$A,계산!$E158,계산!$B:$B,$B$1*100+10))</f>
        <v/>
      </c>
      <c r="M160" s="14">
        <f>IF(원생!$A158="","",SUMIFS(계산!$C:$C,계산!$A:$A,계산!$E158,계산!$B:$B,$B$1*100+11))</f>
        <v/>
      </c>
      <c r="N160" s="14">
        <f>IF(원생!$A158="","",SUMIFS(계산!$C:$C,계산!$A:$A,계산!$E158,계산!$B:$B,$B$1*100+12))</f>
        <v/>
      </c>
      <c r="O160">
        <f>IF(원생!$I158="","",원생!$I158)</f>
        <v/>
      </c>
      <c r="P160">
        <f>IF($A160="","",IF(AND($B160&gt;0,C160&lt;$B160,DATE($B$1,1,1)&lt;=TODAY(),OR($O160="",$O160&gt;=DATE($B$1,1,1)),OR(COUNTIF($C160:C160,"&gt;0")&gt;0,DATE($B$1,1,1)=DATE(YEAR(TODAY()),MONTH(TODAY()),1))),1,0))</f>
        <v/>
      </c>
      <c r="Q160">
        <f>IF($A160="","",IF(AND($B160&gt;0,D160&lt;$B160,DATE($B$1,2,1)&lt;=TODAY(),OR($O160="",$O160&gt;=DATE($B$1,2,1)),OR(COUNTIF($C160:D160,"&gt;0")&gt;0,DATE($B$1,2,1)=DATE(YEAR(TODAY()),MONTH(TODAY()),1))),1,0))</f>
        <v/>
      </c>
      <c r="R160">
        <f>IF($A160="","",IF(AND($B160&gt;0,E160&lt;$B160,DATE($B$1,3,1)&lt;=TODAY(),OR($O160="",$O160&gt;=DATE($B$1,3,1)),OR(COUNTIF($C160:E160,"&gt;0")&gt;0,DATE($B$1,3,1)=DATE(YEAR(TODAY()),MONTH(TODAY()),1))),1,0))</f>
        <v/>
      </c>
      <c r="S160">
        <f>IF($A160="","",IF(AND($B160&gt;0,F160&lt;$B160,DATE($B$1,4,1)&lt;=TODAY(),OR($O160="",$O160&gt;=DATE($B$1,4,1)),OR(COUNTIF($C160:F160,"&gt;0")&gt;0,DATE($B$1,4,1)=DATE(YEAR(TODAY()),MONTH(TODAY()),1))),1,0))</f>
        <v/>
      </c>
      <c r="T160">
        <f>IF($A160="","",IF(AND($B160&gt;0,G160&lt;$B160,DATE($B$1,5,1)&lt;=TODAY(),OR($O160="",$O160&gt;=DATE($B$1,5,1)),OR(COUNTIF($C160:G160,"&gt;0")&gt;0,DATE($B$1,5,1)=DATE(YEAR(TODAY()),MONTH(TODAY()),1))),1,0))</f>
        <v/>
      </c>
      <c r="U160">
        <f>IF($A160="","",IF(AND($B160&gt;0,H160&lt;$B160,DATE($B$1,6,1)&lt;=TODAY(),OR($O160="",$O160&gt;=DATE($B$1,6,1)),OR(COUNTIF($C160:H160,"&gt;0")&gt;0,DATE($B$1,6,1)=DATE(YEAR(TODAY()),MONTH(TODAY()),1))),1,0))</f>
        <v/>
      </c>
      <c r="V160">
        <f>IF($A160="","",IF(AND($B160&gt;0,I160&lt;$B160,DATE($B$1,7,1)&lt;=TODAY(),OR($O160="",$O160&gt;=DATE($B$1,7,1)),OR(COUNTIF($C160:I160,"&gt;0")&gt;0,DATE($B$1,7,1)=DATE(YEAR(TODAY()),MONTH(TODAY()),1))),1,0))</f>
        <v/>
      </c>
      <c r="W160">
        <f>IF($A160="","",IF(AND($B160&gt;0,J160&lt;$B160,DATE($B$1,8,1)&lt;=TODAY(),OR($O160="",$O160&gt;=DATE($B$1,8,1)),OR(COUNTIF($C160:J160,"&gt;0")&gt;0,DATE($B$1,8,1)=DATE(YEAR(TODAY()),MONTH(TODAY()),1))),1,0))</f>
        <v/>
      </c>
      <c r="X160">
        <f>IF($A160="","",IF(AND($B160&gt;0,K160&lt;$B160,DATE($B$1,9,1)&lt;=TODAY(),OR($O160="",$O160&gt;=DATE($B$1,9,1)),OR(COUNTIF($C160:K160,"&gt;0")&gt;0,DATE($B$1,9,1)=DATE(YEAR(TODAY()),MONTH(TODAY()),1))),1,0))</f>
        <v/>
      </c>
      <c r="Y160">
        <f>IF($A160="","",IF(AND($B160&gt;0,L160&lt;$B160,DATE($B$1,10,1)&lt;=TODAY(),OR($O160="",$O160&gt;=DATE($B$1,10,1)),OR(COUNTIF($C160:L160,"&gt;0")&gt;0,DATE($B$1,10,1)=DATE(YEAR(TODAY()),MONTH(TODAY()),1))),1,0))</f>
        <v/>
      </c>
      <c r="Z160">
        <f>IF($A160="","",IF(AND($B160&gt;0,M160&lt;$B160,DATE($B$1,11,1)&lt;=TODAY(),OR($O160="",$O160&gt;=DATE($B$1,11,1)),OR(COUNTIF($C160:M160,"&gt;0")&gt;0,DATE($B$1,11,1)=DATE(YEAR(TODAY()),MONTH(TODAY()),1))),1,0))</f>
        <v/>
      </c>
      <c r="AA160">
        <f>IF($A160="","",IF(AND($B160&gt;0,N160&lt;$B160,DATE($B$1,12,1)&lt;=TODAY(),OR($O160="",$O160&gt;=DATE($B$1,12,1)),OR(COUNTIF($C160:N160,"&gt;0")&gt;0,DATE($B$1,12,1)=DATE(YEAR(TODAY()),MONTH(TODAY()),1))),1,0))</f>
        <v/>
      </c>
    </row>
    <row r="161">
      <c r="A161" s="13">
        <f>IF(원생!$A159="","",원생!$A159&amp;IF(원생!$G159="",""," ("&amp;원생!$G159&amp;")"))</f>
        <v/>
      </c>
      <c r="B161" s="8">
        <f>IF(원생!$A159="","",N(원생!$F159))</f>
        <v/>
      </c>
      <c r="C161" s="14">
        <f>IF(원생!$A159="","",SUMIFS(계산!$C:$C,계산!$A:$A,계산!$E159,계산!$B:$B,$B$1*100+1))</f>
        <v/>
      </c>
      <c r="D161" s="14">
        <f>IF(원생!$A159="","",SUMIFS(계산!$C:$C,계산!$A:$A,계산!$E159,계산!$B:$B,$B$1*100+2))</f>
        <v/>
      </c>
      <c r="E161" s="14">
        <f>IF(원생!$A159="","",SUMIFS(계산!$C:$C,계산!$A:$A,계산!$E159,계산!$B:$B,$B$1*100+3))</f>
        <v/>
      </c>
      <c r="F161" s="14">
        <f>IF(원생!$A159="","",SUMIFS(계산!$C:$C,계산!$A:$A,계산!$E159,계산!$B:$B,$B$1*100+4))</f>
        <v/>
      </c>
      <c r="G161" s="14">
        <f>IF(원생!$A159="","",SUMIFS(계산!$C:$C,계산!$A:$A,계산!$E159,계산!$B:$B,$B$1*100+5))</f>
        <v/>
      </c>
      <c r="H161" s="14">
        <f>IF(원생!$A159="","",SUMIFS(계산!$C:$C,계산!$A:$A,계산!$E159,계산!$B:$B,$B$1*100+6))</f>
        <v/>
      </c>
      <c r="I161" s="14">
        <f>IF(원생!$A159="","",SUMIFS(계산!$C:$C,계산!$A:$A,계산!$E159,계산!$B:$B,$B$1*100+7))</f>
        <v/>
      </c>
      <c r="J161" s="14">
        <f>IF(원생!$A159="","",SUMIFS(계산!$C:$C,계산!$A:$A,계산!$E159,계산!$B:$B,$B$1*100+8))</f>
        <v/>
      </c>
      <c r="K161" s="14">
        <f>IF(원생!$A159="","",SUMIFS(계산!$C:$C,계산!$A:$A,계산!$E159,계산!$B:$B,$B$1*100+9))</f>
        <v/>
      </c>
      <c r="L161" s="14">
        <f>IF(원생!$A159="","",SUMIFS(계산!$C:$C,계산!$A:$A,계산!$E159,계산!$B:$B,$B$1*100+10))</f>
        <v/>
      </c>
      <c r="M161" s="14">
        <f>IF(원생!$A159="","",SUMIFS(계산!$C:$C,계산!$A:$A,계산!$E159,계산!$B:$B,$B$1*100+11))</f>
        <v/>
      </c>
      <c r="N161" s="14">
        <f>IF(원생!$A159="","",SUMIFS(계산!$C:$C,계산!$A:$A,계산!$E159,계산!$B:$B,$B$1*100+12))</f>
        <v/>
      </c>
      <c r="O161">
        <f>IF(원생!$I159="","",원생!$I159)</f>
        <v/>
      </c>
      <c r="P161">
        <f>IF($A161="","",IF(AND($B161&gt;0,C161&lt;$B161,DATE($B$1,1,1)&lt;=TODAY(),OR($O161="",$O161&gt;=DATE($B$1,1,1)),OR(COUNTIF($C161:C161,"&gt;0")&gt;0,DATE($B$1,1,1)=DATE(YEAR(TODAY()),MONTH(TODAY()),1))),1,0))</f>
        <v/>
      </c>
      <c r="Q161">
        <f>IF($A161="","",IF(AND($B161&gt;0,D161&lt;$B161,DATE($B$1,2,1)&lt;=TODAY(),OR($O161="",$O161&gt;=DATE($B$1,2,1)),OR(COUNTIF($C161:D161,"&gt;0")&gt;0,DATE($B$1,2,1)=DATE(YEAR(TODAY()),MONTH(TODAY()),1))),1,0))</f>
        <v/>
      </c>
      <c r="R161">
        <f>IF($A161="","",IF(AND($B161&gt;0,E161&lt;$B161,DATE($B$1,3,1)&lt;=TODAY(),OR($O161="",$O161&gt;=DATE($B$1,3,1)),OR(COUNTIF($C161:E161,"&gt;0")&gt;0,DATE($B$1,3,1)=DATE(YEAR(TODAY()),MONTH(TODAY()),1))),1,0))</f>
        <v/>
      </c>
      <c r="S161">
        <f>IF($A161="","",IF(AND($B161&gt;0,F161&lt;$B161,DATE($B$1,4,1)&lt;=TODAY(),OR($O161="",$O161&gt;=DATE($B$1,4,1)),OR(COUNTIF($C161:F161,"&gt;0")&gt;0,DATE($B$1,4,1)=DATE(YEAR(TODAY()),MONTH(TODAY()),1))),1,0))</f>
        <v/>
      </c>
      <c r="T161">
        <f>IF($A161="","",IF(AND($B161&gt;0,G161&lt;$B161,DATE($B$1,5,1)&lt;=TODAY(),OR($O161="",$O161&gt;=DATE($B$1,5,1)),OR(COUNTIF($C161:G161,"&gt;0")&gt;0,DATE($B$1,5,1)=DATE(YEAR(TODAY()),MONTH(TODAY()),1))),1,0))</f>
        <v/>
      </c>
      <c r="U161">
        <f>IF($A161="","",IF(AND($B161&gt;0,H161&lt;$B161,DATE($B$1,6,1)&lt;=TODAY(),OR($O161="",$O161&gt;=DATE($B$1,6,1)),OR(COUNTIF($C161:H161,"&gt;0")&gt;0,DATE($B$1,6,1)=DATE(YEAR(TODAY()),MONTH(TODAY()),1))),1,0))</f>
        <v/>
      </c>
      <c r="V161">
        <f>IF($A161="","",IF(AND($B161&gt;0,I161&lt;$B161,DATE($B$1,7,1)&lt;=TODAY(),OR($O161="",$O161&gt;=DATE($B$1,7,1)),OR(COUNTIF($C161:I161,"&gt;0")&gt;0,DATE($B$1,7,1)=DATE(YEAR(TODAY()),MONTH(TODAY()),1))),1,0))</f>
        <v/>
      </c>
      <c r="W161">
        <f>IF($A161="","",IF(AND($B161&gt;0,J161&lt;$B161,DATE($B$1,8,1)&lt;=TODAY(),OR($O161="",$O161&gt;=DATE($B$1,8,1)),OR(COUNTIF($C161:J161,"&gt;0")&gt;0,DATE($B$1,8,1)=DATE(YEAR(TODAY()),MONTH(TODAY()),1))),1,0))</f>
        <v/>
      </c>
      <c r="X161">
        <f>IF($A161="","",IF(AND($B161&gt;0,K161&lt;$B161,DATE($B$1,9,1)&lt;=TODAY(),OR($O161="",$O161&gt;=DATE($B$1,9,1)),OR(COUNTIF($C161:K161,"&gt;0")&gt;0,DATE($B$1,9,1)=DATE(YEAR(TODAY()),MONTH(TODAY()),1))),1,0))</f>
        <v/>
      </c>
      <c r="Y161">
        <f>IF($A161="","",IF(AND($B161&gt;0,L161&lt;$B161,DATE($B$1,10,1)&lt;=TODAY(),OR($O161="",$O161&gt;=DATE($B$1,10,1)),OR(COUNTIF($C161:L161,"&gt;0")&gt;0,DATE($B$1,10,1)=DATE(YEAR(TODAY()),MONTH(TODAY()),1))),1,0))</f>
        <v/>
      </c>
      <c r="Z161">
        <f>IF($A161="","",IF(AND($B161&gt;0,M161&lt;$B161,DATE($B$1,11,1)&lt;=TODAY(),OR($O161="",$O161&gt;=DATE($B$1,11,1)),OR(COUNTIF($C161:M161,"&gt;0")&gt;0,DATE($B$1,11,1)=DATE(YEAR(TODAY()),MONTH(TODAY()),1))),1,0))</f>
        <v/>
      </c>
      <c r="AA161">
        <f>IF($A161="","",IF(AND($B161&gt;0,N161&lt;$B161,DATE($B$1,12,1)&lt;=TODAY(),OR($O161="",$O161&gt;=DATE($B$1,12,1)),OR(COUNTIF($C161:N161,"&gt;0")&gt;0,DATE($B$1,12,1)=DATE(YEAR(TODAY()),MONTH(TODAY()),1))),1,0))</f>
        <v/>
      </c>
    </row>
    <row r="162">
      <c r="A162" s="13">
        <f>IF(원생!$A160="","",원생!$A160&amp;IF(원생!$G160="",""," ("&amp;원생!$G160&amp;")"))</f>
        <v/>
      </c>
      <c r="B162" s="8">
        <f>IF(원생!$A160="","",N(원생!$F160))</f>
        <v/>
      </c>
      <c r="C162" s="14">
        <f>IF(원생!$A160="","",SUMIFS(계산!$C:$C,계산!$A:$A,계산!$E160,계산!$B:$B,$B$1*100+1))</f>
        <v/>
      </c>
      <c r="D162" s="14">
        <f>IF(원생!$A160="","",SUMIFS(계산!$C:$C,계산!$A:$A,계산!$E160,계산!$B:$B,$B$1*100+2))</f>
        <v/>
      </c>
      <c r="E162" s="14">
        <f>IF(원생!$A160="","",SUMIFS(계산!$C:$C,계산!$A:$A,계산!$E160,계산!$B:$B,$B$1*100+3))</f>
        <v/>
      </c>
      <c r="F162" s="14">
        <f>IF(원생!$A160="","",SUMIFS(계산!$C:$C,계산!$A:$A,계산!$E160,계산!$B:$B,$B$1*100+4))</f>
        <v/>
      </c>
      <c r="G162" s="14">
        <f>IF(원생!$A160="","",SUMIFS(계산!$C:$C,계산!$A:$A,계산!$E160,계산!$B:$B,$B$1*100+5))</f>
        <v/>
      </c>
      <c r="H162" s="14">
        <f>IF(원생!$A160="","",SUMIFS(계산!$C:$C,계산!$A:$A,계산!$E160,계산!$B:$B,$B$1*100+6))</f>
        <v/>
      </c>
      <c r="I162" s="14">
        <f>IF(원생!$A160="","",SUMIFS(계산!$C:$C,계산!$A:$A,계산!$E160,계산!$B:$B,$B$1*100+7))</f>
        <v/>
      </c>
      <c r="J162" s="14">
        <f>IF(원생!$A160="","",SUMIFS(계산!$C:$C,계산!$A:$A,계산!$E160,계산!$B:$B,$B$1*100+8))</f>
        <v/>
      </c>
      <c r="K162" s="14">
        <f>IF(원생!$A160="","",SUMIFS(계산!$C:$C,계산!$A:$A,계산!$E160,계산!$B:$B,$B$1*100+9))</f>
        <v/>
      </c>
      <c r="L162" s="14">
        <f>IF(원생!$A160="","",SUMIFS(계산!$C:$C,계산!$A:$A,계산!$E160,계산!$B:$B,$B$1*100+10))</f>
        <v/>
      </c>
      <c r="M162" s="14">
        <f>IF(원생!$A160="","",SUMIFS(계산!$C:$C,계산!$A:$A,계산!$E160,계산!$B:$B,$B$1*100+11))</f>
        <v/>
      </c>
      <c r="N162" s="14">
        <f>IF(원생!$A160="","",SUMIFS(계산!$C:$C,계산!$A:$A,계산!$E160,계산!$B:$B,$B$1*100+12))</f>
        <v/>
      </c>
      <c r="O162">
        <f>IF(원생!$I160="","",원생!$I160)</f>
        <v/>
      </c>
      <c r="P162">
        <f>IF($A162="","",IF(AND($B162&gt;0,C162&lt;$B162,DATE($B$1,1,1)&lt;=TODAY(),OR($O162="",$O162&gt;=DATE($B$1,1,1)),OR(COUNTIF($C162:C162,"&gt;0")&gt;0,DATE($B$1,1,1)=DATE(YEAR(TODAY()),MONTH(TODAY()),1))),1,0))</f>
        <v/>
      </c>
      <c r="Q162">
        <f>IF($A162="","",IF(AND($B162&gt;0,D162&lt;$B162,DATE($B$1,2,1)&lt;=TODAY(),OR($O162="",$O162&gt;=DATE($B$1,2,1)),OR(COUNTIF($C162:D162,"&gt;0")&gt;0,DATE($B$1,2,1)=DATE(YEAR(TODAY()),MONTH(TODAY()),1))),1,0))</f>
        <v/>
      </c>
      <c r="R162">
        <f>IF($A162="","",IF(AND($B162&gt;0,E162&lt;$B162,DATE($B$1,3,1)&lt;=TODAY(),OR($O162="",$O162&gt;=DATE($B$1,3,1)),OR(COUNTIF($C162:E162,"&gt;0")&gt;0,DATE($B$1,3,1)=DATE(YEAR(TODAY()),MONTH(TODAY()),1))),1,0))</f>
        <v/>
      </c>
      <c r="S162">
        <f>IF($A162="","",IF(AND($B162&gt;0,F162&lt;$B162,DATE($B$1,4,1)&lt;=TODAY(),OR($O162="",$O162&gt;=DATE($B$1,4,1)),OR(COUNTIF($C162:F162,"&gt;0")&gt;0,DATE($B$1,4,1)=DATE(YEAR(TODAY()),MONTH(TODAY()),1))),1,0))</f>
        <v/>
      </c>
      <c r="T162">
        <f>IF($A162="","",IF(AND($B162&gt;0,G162&lt;$B162,DATE($B$1,5,1)&lt;=TODAY(),OR($O162="",$O162&gt;=DATE($B$1,5,1)),OR(COUNTIF($C162:G162,"&gt;0")&gt;0,DATE($B$1,5,1)=DATE(YEAR(TODAY()),MONTH(TODAY()),1))),1,0))</f>
        <v/>
      </c>
      <c r="U162">
        <f>IF($A162="","",IF(AND($B162&gt;0,H162&lt;$B162,DATE($B$1,6,1)&lt;=TODAY(),OR($O162="",$O162&gt;=DATE($B$1,6,1)),OR(COUNTIF($C162:H162,"&gt;0")&gt;0,DATE($B$1,6,1)=DATE(YEAR(TODAY()),MONTH(TODAY()),1))),1,0))</f>
        <v/>
      </c>
      <c r="V162">
        <f>IF($A162="","",IF(AND($B162&gt;0,I162&lt;$B162,DATE($B$1,7,1)&lt;=TODAY(),OR($O162="",$O162&gt;=DATE($B$1,7,1)),OR(COUNTIF($C162:I162,"&gt;0")&gt;0,DATE($B$1,7,1)=DATE(YEAR(TODAY()),MONTH(TODAY()),1))),1,0))</f>
        <v/>
      </c>
      <c r="W162">
        <f>IF($A162="","",IF(AND($B162&gt;0,J162&lt;$B162,DATE($B$1,8,1)&lt;=TODAY(),OR($O162="",$O162&gt;=DATE($B$1,8,1)),OR(COUNTIF($C162:J162,"&gt;0")&gt;0,DATE($B$1,8,1)=DATE(YEAR(TODAY()),MONTH(TODAY()),1))),1,0))</f>
        <v/>
      </c>
      <c r="X162">
        <f>IF($A162="","",IF(AND($B162&gt;0,K162&lt;$B162,DATE($B$1,9,1)&lt;=TODAY(),OR($O162="",$O162&gt;=DATE($B$1,9,1)),OR(COUNTIF($C162:K162,"&gt;0")&gt;0,DATE($B$1,9,1)=DATE(YEAR(TODAY()),MONTH(TODAY()),1))),1,0))</f>
        <v/>
      </c>
      <c r="Y162">
        <f>IF($A162="","",IF(AND($B162&gt;0,L162&lt;$B162,DATE($B$1,10,1)&lt;=TODAY(),OR($O162="",$O162&gt;=DATE($B$1,10,1)),OR(COUNTIF($C162:L162,"&gt;0")&gt;0,DATE($B$1,10,1)=DATE(YEAR(TODAY()),MONTH(TODAY()),1))),1,0))</f>
        <v/>
      </c>
      <c r="Z162">
        <f>IF($A162="","",IF(AND($B162&gt;0,M162&lt;$B162,DATE($B$1,11,1)&lt;=TODAY(),OR($O162="",$O162&gt;=DATE($B$1,11,1)),OR(COUNTIF($C162:M162,"&gt;0")&gt;0,DATE($B$1,11,1)=DATE(YEAR(TODAY()),MONTH(TODAY()),1))),1,0))</f>
        <v/>
      </c>
      <c r="AA162">
        <f>IF($A162="","",IF(AND($B162&gt;0,N162&lt;$B162,DATE($B$1,12,1)&lt;=TODAY(),OR($O162="",$O162&gt;=DATE($B$1,12,1)),OR(COUNTIF($C162:N162,"&gt;0")&gt;0,DATE($B$1,12,1)=DATE(YEAR(TODAY()),MONTH(TODAY()),1))),1,0))</f>
        <v/>
      </c>
    </row>
    <row r="163">
      <c r="A163" s="13">
        <f>IF(원생!$A161="","",원생!$A161&amp;IF(원생!$G161="",""," ("&amp;원생!$G161&amp;")"))</f>
        <v/>
      </c>
      <c r="B163" s="8">
        <f>IF(원생!$A161="","",N(원생!$F161))</f>
        <v/>
      </c>
      <c r="C163" s="14">
        <f>IF(원생!$A161="","",SUMIFS(계산!$C:$C,계산!$A:$A,계산!$E161,계산!$B:$B,$B$1*100+1))</f>
        <v/>
      </c>
      <c r="D163" s="14">
        <f>IF(원생!$A161="","",SUMIFS(계산!$C:$C,계산!$A:$A,계산!$E161,계산!$B:$B,$B$1*100+2))</f>
        <v/>
      </c>
      <c r="E163" s="14">
        <f>IF(원생!$A161="","",SUMIFS(계산!$C:$C,계산!$A:$A,계산!$E161,계산!$B:$B,$B$1*100+3))</f>
        <v/>
      </c>
      <c r="F163" s="14">
        <f>IF(원생!$A161="","",SUMIFS(계산!$C:$C,계산!$A:$A,계산!$E161,계산!$B:$B,$B$1*100+4))</f>
        <v/>
      </c>
      <c r="G163" s="14">
        <f>IF(원생!$A161="","",SUMIFS(계산!$C:$C,계산!$A:$A,계산!$E161,계산!$B:$B,$B$1*100+5))</f>
        <v/>
      </c>
      <c r="H163" s="14">
        <f>IF(원생!$A161="","",SUMIFS(계산!$C:$C,계산!$A:$A,계산!$E161,계산!$B:$B,$B$1*100+6))</f>
        <v/>
      </c>
      <c r="I163" s="14">
        <f>IF(원생!$A161="","",SUMIFS(계산!$C:$C,계산!$A:$A,계산!$E161,계산!$B:$B,$B$1*100+7))</f>
        <v/>
      </c>
      <c r="J163" s="14">
        <f>IF(원생!$A161="","",SUMIFS(계산!$C:$C,계산!$A:$A,계산!$E161,계산!$B:$B,$B$1*100+8))</f>
        <v/>
      </c>
      <c r="K163" s="14">
        <f>IF(원생!$A161="","",SUMIFS(계산!$C:$C,계산!$A:$A,계산!$E161,계산!$B:$B,$B$1*100+9))</f>
        <v/>
      </c>
      <c r="L163" s="14">
        <f>IF(원생!$A161="","",SUMIFS(계산!$C:$C,계산!$A:$A,계산!$E161,계산!$B:$B,$B$1*100+10))</f>
        <v/>
      </c>
      <c r="M163" s="14">
        <f>IF(원생!$A161="","",SUMIFS(계산!$C:$C,계산!$A:$A,계산!$E161,계산!$B:$B,$B$1*100+11))</f>
        <v/>
      </c>
      <c r="N163" s="14">
        <f>IF(원생!$A161="","",SUMIFS(계산!$C:$C,계산!$A:$A,계산!$E161,계산!$B:$B,$B$1*100+12))</f>
        <v/>
      </c>
      <c r="O163">
        <f>IF(원생!$I161="","",원생!$I161)</f>
        <v/>
      </c>
      <c r="P163">
        <f>IF($A163="","",IF(AND($B163&gt;0,C163&lt;$B163,DATE($B$1,1,1)&lt;=TODAY(),OR($O163="",$O163&gt;=DATE($B$1,1,1)),OR(COUNTIF($C163:C163,"&gt;0")&gt;0,DATE($B$1,1,1)=DATE(YEAR(TODAY()),MONTH(TODAY()),1))),1,0))</f>
        <v/>
      </c>
      <c r="Q163">
        <f>IF($A163="","",IF(AND($B163&gt;0,D163&lt;$B163,DATE($B$1,2,1)&lt;=TODAY(),OR($O163="",$O163&gt;=DATE($B$1,2,1)),OR(COUNTIF($C163:D163,"&gt;0")&gt;0,DATE($B$1,2,1)=DATE(YEAR(TODAY()),MONTH(TODAY()),1))),1,0))</f>
        <v/>
      </c>
      <c r="R163">
        <f>IF($A163="","",IF(AND($B163&gt;0,E163&lt;$B163,DATE($B$1,3,1)&lt;=TODAY(),OR($O163="",$O163&gt;=DATE($B$1,3,1)),OR(COUNTIF($C163:E163,"&gt;0")&gt;0,DATE($B$1,3,1)=DATE(YEAR(TODAY()),MONTH(TODAY()),1))),1,0))</f>
        <v/>
      </c>
      <c r="S163">
        <f>IF($A163="","",IF(AND($B163&gt;0,F163&lt;$B163,DATE($B$1,4,1)&lt;=TODAY(),OR($O163="",$O163&gt;=DATE($B$1,4,1)),OR(COUNTIF($C163:F163,"&gt;0")&gt;0,DATE($B$1,4,1)=DATE(YEAR(TODAY()),MONTH(TODAY()),1))),1,0))</f>
        <v/>
      </c>
      <c r="T163">
        <f>IF($A163="","",IF(AND($B163&gt;0,G163&lt;$B163,DATE($B$1,5,1)&lt;=TODAY(),OR($O163="",$O163&gt;=DATE($B$1,5,1)),OR(COUNTIF($C163:G163,"&gt;0")&gt;0,DATE($B$1,5,1)=DATE(YEAR(TODAY()),MONTH(TODAY()),1))),1,0))</f>
        <v/>
      </c>
      <c r="U163">
        <f>IF($A163="","",IF(AND($B163&gt;0,H163&lt;$B163,DATE($B$1,6,1)&lt;=TODAY(),OR($O163="",$O163&gt;=DATE($B$1,6,1)),OR(COUNTIF($C163:H163,"&gt;0")&gt;0,DATE($B$1,6,1)=DATE(YEAR(TODAY()),MONTH(TODAY()),1))),1,0))</f>
        <v/>
      </c>
      <c r="V163">
        <f>IF($A163="","",IF(AND($B163&gt;0,I163&lt;$B163,DATE($B$1,7,1)&lt;=TODAY(),OR($O163="",$O163&gt;=DATE($B$1,7,1)),OR(COUNTIF($C163:I163,"&gt;0")&gt;0,DATE($B$1,7,1)=DATE(YEAR(TODAY()),MONTH(TODAY()),1))),1,0))</f>
        <v/>
      </c>
      <c r="W163">
        <f>IF($A163="","",IF(AND($B163&gt;0,J163&lt;$B163,DATE($B$1,8,1)&lt;=TODAY(),OR($O163="",$O163&gt;=DATE($B$1,8,1)),OR(COUNTIF($C163:J163,"&gt;0")&gt;0,DATE($B$1,8,1)=DATE(YEAR(TODAY()),MONTH(TODAY()),1))),1,0))</f>
        <v/>
      </c>
      <c r="X163">
        <f>IF($A163="","",IF(AND($B163&gt;0,K163&lt;$B163,DATE($B$1,9,1)&lt;=TODAY(),OR($O163="",$O163&gt;=DATE($B$1,9,1)),OR(COUNTIF($C163:K163,"&gt;0")&gt;0,DATE($B$1,9,1)=DATE(YEAR(TODAY()),MONTH(TODAY()),1))),1,0))</f>
        <v/>
      </c>
      <c r="Y163">
        <f>IF($A163="","",IF(AND($B163&gt;0,L163&lt;$B163,DATE($B$1,10,1)&lt;=TODAY(),OR($O163="",$O163&gt;=DATE($B$1,10,1)),OR(COUNTIF($C163:L163,"&gt;0")&gt;0,DATE($B$1,10,1)=DATE(YEAR(TODAY()),MONTH(TODAY()),1))),1,0))</f>
        <v/>
      </c>
      <c r="Z163">
        <f>IF($A163="","",IF(AND($B163&gt;0,M163&lt;$B163,DATE($B$1,11,1)&lt;=TODAY(),OR($O163="",$O163&gt;=DATE($B$1,11,1)),OR(COUNTIF($C163:M163,"&gt;0")&gt;0,DATE($B$1,11,1)=DATE(YEAR(TODAY()),MONTH(TODAY()),1))),1,0))</f>
        <v/>
      </c>
      <c r="AA163">
        <f>IF($A163="","",IF(AND($B163&gt;0,N163&lt;$B163,DATE($B$1,12,1)&lt;=TODAY(),OR($O163="",$O163&gt;=DATE($B$1,12,1)),OR(COUNTIF($C163:N163,"&gt;0")&gt;0,DATE($B$1,12,1)=DATE(YEAR(TODAY()),MONTH(TODAY()),1))),1,0))</f>
        <v/>
      </c>
    </row>
    <row r="164">
      <c r="A164" s="13">
        <f>IF(원생!$A162="","",원생!$A162&amp;IF(원생!$G162="",""," ("&amp;원생!$G162&amp;")"))</f>
        <v/>
      </c>
      <c r="B164" s="8">
        <f>IF(원생!$A162="","",N(원생!$F162))</f>
        <v/>
      </c>
      <c r="C164" s="14">
        <f>IF(원생!$A162="","",SUMIFS(계산!$C:$C,계산!$A:$A,계산!$E162,계산!$B:$B,$B$1*100+1))</f>
        <v/>
      </c>
      <c r="D164" s="14">
        <f>IF(원생!$A162="","",SUMIFS(계산!$C:$C,계산!$A:$A,계산!$E162,계산!$B:$B,$B$1*100+2))</f>
        <v/>
      </c>
      <c r="E164" s="14">
        <f>IF(원생!$A162="","",SUMIFS(계산!$C:$C,계산!$A:$A,계산!$E162,계산!$B:$B,$B$1*100+3))</f>
        <v/>
      </c>
      <c r="F164" s="14">
        <f>IF(원생!$A162="","",SUMIFS(계산!$C:$C,계산!$A:$A,계산!$E162,계산!$B:$B,$B$1*100+4))</f>
        <v/>
      </c>
      <c r="G164" s="14">
        <f>IF(원생!$A162="","",SUMIFS(계산!$C:$C,계산!$A:$A,계산!$E162,계산!$B:$B,$B$1*100+5))</f>
        <v/>
      </c>
      <c r="H164" s="14">
        <f>IF(원생!$A162="","",SUMIFS(계산!$C:$C,계산!$A:$A,계산!$E162,계산!$B:$B,$B$1*100+6))</f>
        <v/>
      </c>
      <c r="I164" s="14">
        <f>IF(원생!$A162="","",SUMIFS(계산!$C:$C,계산!$A:$A,계산!$E162,계산!$B:$B,$B$1*100+7))</f>
        <v/>
      </c>
      <c r="J164" s="14">
        <f>IF(원생!$A162="","",SUMIFS(계산!$C:$C,계산!$A:$A,계산!$E162,계산!$B:$B,$B$1*100+8))</f>
        <v/>
      </c>
      <c r="K164" s="14">
        <f>IF(원생!$A162="","",SUMIFS(계산!$C:$C,계산!$A:$A,계산!$E162,계산!$B:$B,$B$1*100+9))</f>
        <v/>
      </c>
      <c r="L164" s="14">
        <f>IF(원생!$A162="","",SUMIFS(계산!$C:$C,계산!$A:$A,계산!$E162,계산!$B:$B,$B$1*100+10))</f>
        <v/>
      </c>
      <c r="M164" s="14">
        <f>IF(원생!$A162="","",SUMIFS(계산!$C:$C,계산!$A:$A,계산!$E162,계산!$B:$B,$B$1*100+11))</f>
        <v/>
      </c>
      <c r="N164" s="14">
        <f>IF(원생!$A162="","",SUMIFS(계산!$C:$C,계산!$A:$A,계산!$E162,계산!$B:$B,$B$1*100+12))</f>
        <v/>
      </c>
      <c r="O164">
        <f>IF(원생!$I162="","",원생!$I162)</f>
        <v/>
      </c>
      <c r="P164">
        <f>IF($A164="","",IF(AND($B164&gt;0,C164&lt;$B164,DATE($B$1,1,1)&lt;=TODAY(),OR($O164="",$O164&gt;=DATE($B$1,1,1)),OR(COUNTIF($C164:C164,"&gt;0")&gt;0,DATE($B$1,1,1)=DATE(YEAR(TODAY()),MONTH(TODAY()),1))),1,0))</f>
        <v/>
      </c>
      <c r="Q164">
        <f>IF($A164="","",IF(AND($B164&gt;0,D164&lt;$B164,DATE($B$1,2,1)&lt;=TODAY(),OR($O164="",$O164&gt;=DATE($B$1,2,1)),OR(COUNTIF($C164:D164,"&gt;0")&gt;0,DATE($B$1,2,1)=DATE(YEAR(TODAY()),MONTH(TODAY()),1))),1,0))</f>
        <v/>
      </c>
      <c r="R164">
        <f>IF($A164="","",IF(AND($B164&gt;0,E164&lt;$B164,DATE($B$1,3,1)&lt;=TODAY(),OR($O164="",$O164&gt;=DATE($B$1,3,1)),OR(COUNTIF($C164:E164,"&gt;0")&gt;0,DATE($B$1,3,1)=DATE(YEAR(TODAY()),MONTH(TODAY()),1))),1,0))</f>
        <v/>
      </c>
      <c r="S164">
        <f>IF($A164="","",IF(AND($B164&gt;0,F164&lt;$B164,DATE($B$1,4,1)&lt;=TODAY(),OR($O164="",$O164&gt;=DATE($B$1,4,1)),OR(COUNTIF($C164:F164,"&gt;0")&gt;0,DATE($B$1,4,1)=DATE(YEAR(TODAY()),MONTH(TODAY()),1))),1,0))</f>
        <v/>
      </c>
      <c r="T164">
        <f>IF($A164="","",IF(AND($B164&gt;0,G164&lt;$B164,DATE($B$1,5,1)&lt;=TODAY(),OR($O164="",$O164&gt;=DATE($B$1,5,1)),OR(COUNTIF($C164:G164,"&gt;0")&gt;0,DATE($B$1,5,1)=DATE(YEAR(TODAY()),MONTH(TODAY()),1))),1,0))</f>
        <v/>
      </c>
      <c r="U164">
        <f>IF($A164="","",IF(AND($B164&gt;0,H164&lt;$B164,DATE($B$1,6,1)&lt;=TODAY(),OR($O164="",$O164&gt;=DATE($B$1,6,1)),OR(COUNTIF($C164:H164,"&gt;0")&gt;0,DATE($B$1,6,1)=DATE(YEAR(TODAY()),MONTH(TODAY()),1))),1,0))</f>
        <v/>
      </c>
      <c r="V164">
        <f>IF($A164="","",IF(AND($B164&gt;0,I164&lt;$B164,DATE($B$1,7,1)&lt;=TODAY(),OR($O164="",$O164&gt;=DATE($B$1,7,1)),OR(COUNTIF($C164:I164,"&gt;0")&gt;0,DATE($B$1,7,1)=DATE(YEAR(TODAY()),MONTH(TODAY()),1))),1,0))</f>
        <v/>
      </c>
      <c r="W164">
        <f>IF($A164="","",IF(AND($B164&gt;0,J164&lt;$B164,DATE($B$1,8,1)&lt;=TODAY(),OR($O164="",$O164&gt;=DATE($B$1,8,1)),OR(COUNTIF($C164:J164,"&gt;0")&gt;0,DATE($B$1,8,1)=DATE(YEAR(TODAY()),MONTH(TODAY()),1))),1,0))</f>
        <v/>
      </c>
      <c r="X164">
        <f>IF($A164="","",IF(AND($B164&gt;0,K164&lt;$B164,DATE($B$1,9,1)&lt;=TODAY(),OR($O164="",$O164&gt;=DATE($B$1,9,1)),OR(COUNTIF($C164:K164,"&gt;0")&gt;0,DATE($B$1,9,1)=DATE(YEAR(TODAY()),MONTH(TODAY()),1))),1,0))</f>
        <v/>
      </c>
      <c r="Y164">
        <f>IF($A164="","",IF(AND($B164&gt;0,L164&lt;$B164,DATE($B$1,10,1)&lt;=TODAY(),OR($O164="",$O164&gt;=DATE($B$1,10,1)),OR(COUNTIF($C164:L164,"&gt;0")&gt;0,DATE($B$1,10,1)=DATE(YEAR(TODAY()),MONTH(TODAY()),1))),1,0))</f>
        <v/>
      </c>
      <c r="Z164">
        <f>IF($A164="","",IF(AND($B164&gt;0,M164&lt;$B164,DATE($B$1,11,1)&lt;=TODAY(),OR($O164="",$O164&gt;=DATE($B$1,11,1)),OR(COUNTIF($C164:M164,"&gt;0")&gt;0,DATE($B$1,11,1)=DATE(YEAR(TODAY()),MONTH(TODAY()),1))),1,0))</f>
        <v/>
      </c>
      <c r="AA164">
        <f>IF($A164="","",IF(AND($B164&gt;0,N164&lt;$B164,DATE($B$1,12,1)&lt;=TODAY(),OR($O164="",$O164&gt;=DATE($B$1,12,1)),OR(COUNTIF($C164:N164,"&gt;0")&gt;0,DATE($B$1,12,1)=DATE(YEAR(TODAY()),MONTH(TODAY()),1))),1,0))</f>
        <v/>
      </c>
    </row>
    <row r="165">
      <c r="A165" s="13">
        <f>IF(원생!$A163="","",원생!$A163&amp;IF(원생!$G163="",""," ("&amp;원생!$G163&amp;")"))</f>
        <v/>
      </c>
      <c r="B165" s="8">
        <f>IF(원생!$A163="","",N(원생!$F163))</f>
        <v/>
      </c>
      <c r="C165" s="14">
        <f>IF(원생!$A163="","",SUMIFS(계산!$C:$C,계산!$A:$A,계산!$E163,계산!$B:$B,$B$1*100+1))</f>
        <v/>
      </c>
      <c r="D165" s="14">
        <f>IF(원생!$A163="","",SUMIFS(계산!$C:$C,계산!$A:$A,계산!$E163,계산!$B:$B,$B$1*100+2))</f>
        <v/>
      </c>
      <c r="E165" s="14">
        <f>IF(원생!$A163="","",SUMIFS(계산!$C:$C,계산!$A:$A,계산!$E163,계산!$B:$B,$B$1*100+3))</f>
        <v/>
      </c>
      <c r="F165" s="14">
        <f>IF(원생!$A163="","",SUMIFS(계산!$C:$C,계산!$A:$A,계산!$E163,계산!$B:$B,$B$1*100+4))</f>
        <v/>
      </c>
      <c r="G165" s="14">
        <f>IF(원생!$A163="","",SUMIFS(계산!$C:$C,계산!$A:$A,계산!$E163,계산!$B:$B,$B$1*100+5))</f>
        <v/>
      </c>
      <c r="H165" s="14">
        <f>IF(원생!$A163="","",SUMIFS(계산!$C:$C,계산!$A:$A,계산!$E163,계산!$B:$B,$B$1*100+6))</f>
        <v/>
      </c>
      <c r="I165" s="14">
        <f>IF(원생!$A163="","",SUMIFS(계산!$C:$C,계산!$A:$A,계산!$E163,계산!$B:$B,$B$1*100+7))</f>
        <v/>
      </c>
      <c r="J165" s="14">
        <f>IF(원생!$A163="","",SUMIFS(계산!$C:$C,계산!$A:$A,계산!$E163,계산!$B:$B,$B$1*100+8))</f>
        <v/>
      </c>
      <c r="K165" s="14">
        <f>IF(원생!$A163="","",SUMIFS(계산!$C:$C,계산!$A:$A,계산!$E163,계산!$B:$B,$B$1*100+9))</f>
        <v/>
      </c>
      <c r="L165" s="14">
        <f>IF(원생!$A163="","",SUMIFS(계산!$C:$C,계산!$A:$A,계산!$E163,계산!$B:$B,$B$1*100+10))</f>
        <v/>
      </c>
      <c r="M165" s="14">
        <f>IF(원생!$A163="","",SUMIFS(계산!$C:$C,계산!$A:$A,계산!$E163,계산!$B:$B,$B$1*100+11))</f>
        <v/>
      </c>
      <c r="N165" s="14">
        <f>IF(원생!$A163="","",SUMIFS(계산!$C:$C,계산!$A:$A,계산!$E163,계산!$B:$B,$B$1*100+12))</f>
        <v/>
      </c>
      <c r="O165">
        <f>IF(원생!$I163="","",원생!$I163)</f>
        <v/>
      </c>
      <c r="P165">
        <f>IF($A165="","",IF(AND($B165&gt;0,C165&lt;$B165,DATE($B$1,1,1)&lt;=TODAY(),OR($O165="",$O165&gt;=DATE($B$1,1,1)),OR(COUNTIF($C165:C165,"&gt;0")&gt;0,DATE($B$1,1,1)=DATE(YEAR(TODAY()),MONTH(TODAY()),1))),1,0))</f>
        <v/>
      </c>
      <c r="Q165">
        <f>IF($A165="","",IF(AND($B165&gt;0,D165&lt;$B165,DATE($B$1,2,1)&lt;=TODAY(),OR($O165="",$O165&gt;=DATE($B$1,2,1)),OR(COUNTIF($C165:D165,"&gt;0")&gt;0,DATE($B$1,2,1)=DATE(YEAR(TODAY()),MONTH(TODAY()),1))),1,0))</f>
        <v/>
      </c>
      <c r="R165">
        <f>IF($A165="","",IF(AND($B165&gt;0,E165&lt;$B165,DATE($B$1,3,1)&lt;=TODAY(),OR($O165="",$O165&gt;=DATE($B$1,3,1)),OR(COUNTIF($C165:E165,"&gt;0")&gt;0,DATE($B$1,3,1)=DATE(YEAR(TODAY()),MONTH(TODAY()),1))),1,0))</f>
        <v/>
      </c>
      <c r="S165">
        <f>IF($A165="","",IF(AND($B165&gt;0,F165&lt;$B165,DATE($B$1,4,1)&lt;=TODAY(),OR($O165="",$O165&gt;=DATE($B$1,4,1)),OR(COUNTIF($C165:F165,"&gt;0")&gt;0,DATE($B$1,4,1)=DATE(YEAR(TODAY()),MONTH(TODAY()),1))),1,0))</f>
        <v/>
      </c>
      <c r="T165">
        <f>IF($A165="","",IF(AND($B165&gt;0,G165&lt;$B165,DATE($B$1,5,1)&lt;=TODAY(),OR($O165="",$O165&gt;=DATE($B$1,5,1)),OR(COUNTIF($C165:G165,"&gt;0")&gt;0,DATE($B$1,5,1)=DATE(YEAR(TODAY()),MONTH(TODAY()),1))),1,0))</f>
        <v/>
      </c>
      <c r="U165">
        <f>IF($A165="","",IF(AND($B165&gt;0,H165&lt;$B165,DATE($B$1,6,1)&lt;=TODAY(),OR($O165="",$O165&gt;=DATE($B$1,6,1)),OR(COUNTIF($C165:H165,"&gt;0")&gt;0,DATE($B$1,6,1)=DATE(YEAR(TODAY()),MONTH(TODAY()),1))),1,0))</f>
        <v/>
      </c>
      <c r="V165">
        <f>IF($A165="","",IF(AND($B165&gt;0,I165&lt;$B165,DATE($B$1,7,1)&lt;=TODAY(),OR($O165="",$O165&gt;=DATE($B$1,7,1)),OR(COUNTIF($C165:I165,"&gt;0")&gt;0,DATE($B$1,7,1)=DATE(YEAR(TODAY()),MONTH(TODAY()),1))),1,0))</f>
        <v/>
      </c>
      <c r="W165">
        <f>IF($A165="","",IF(AND($B165&gt;0,J165&lt;$B165,DATE($B$1,8,1)&lt;=TODAY(),OR($O165="",$O165&gt;=DATE($B$1,8,1)),OR(COUNTIF($C165:J165,"&gt;0")&gt;0,DATE($B$1,8,1)=DATE(YEAR(TODAY()),MONTH(TODAY()),1))),1,0))</f>
        <v/>
      </c>
      <c r="X165">
        <f>IF($A165="","",IF(AND($B165&gt;0,K165&lt;$B165,DATE($B$1,9,1)&lt;=TODAY(),OR($O165="",$O165&gt;=DATE($B$1,9,1)),OR(COUNTIF($C165:K165,"&gt;0")&gt;0,DATE($B$1,9,1)=DATE(YEAR(TODAY()),MONTH(TODAY()),1))),1,0))</f>
        <v/>
      </c>
      <c r="Y165">
        <f>IF($A165="","",IF(AND($B165&gt;0,L165&lt;$B165,DATE($B$1,10,1)&lt;=TODAY(),OR($O165="",$O165&gt;=DATE($B$1,10,1)),OR(COUNTIF($C165:L165,"&gt;0")&gt;0,DATE($B$1,10,1)=DATE(YEAR(TODAY()),MONTH(TODAY()),1))),1,0))</f>
        <v/>
      </c>
      <c r="Z165">
        <f>IF($A165="","",IF(AND($B165&gt;0,M165&lt;$B165,DATE($B$1,11,1)&lt;=TODAY(),OR($O165="",$O165&gt;=DATE($B$1,11,1)),OR(COUNTIF($C165:M165,"&gt;0")&gt;0,DATE($B$1,11,1)=DATE(YEAR(TODAY()),MONTH(TODAY()),1))),1,0))</f>
        <v/>
      </c>
      <c r="AA165">
        <f>IF($A165="","",IF(AND($B165&gt;0,N165&lt;$B165,DATE($B$1,12,1)&lt;=TODAY(),OR($O165="",$O165&gt;=DATE($B$1,12,1)),OR(COUNTIF($C165:N165,"&gt;0")&gt;0,DATE($B$1,12,1)=DATE(YEAR(TODAY()),MONTH(TODAY()),1))),1,0))</f>
        <v/>
      </c>
    </row>
    <row r="166">
      <c r="A166" s="13">
        <f>IF(원생!$A164="","",원생!$A164&amp;IF(원생!$G164="",""," ("&amp;원생!$G164&amp;")"))</f>
        <v/>
      </c>
      <c r="B166" s="8">
        <f>IF(원생!$A164="","",N(원생!$F164))</f>
        <v/>
      </c>
      <c r="C166" s="14">
        <f>IF(원생!$A164="","",SUMIFS(계산!$C:$C,계산!$A:$A,계산!$E164,계산!$B:$B,$B$1*100+1))</f>
        <v/>
      </c>
      <c r="D166" s="14">
        <f>IF(원생!$A164="","",SUMIFS(계산!$C:$C,계산!$A:$A,계산!$E164,계산!$B:$B,$B$1*100+2))</f>
        <v/>
      </c>
      <c r="E166" s="14">
        <f>IF(원생!$A164="","",SUMIFS(계산!$C:$C,계산!$A:$A,계산!$E164,계산!$B:$B,$B$1*100+3))</f>
        <v/>
      </c>
      <c r="F166" s="14">
        <f>IF(원생!$A164="","",SUMIFS(계산!$C:$C,계산!$A:$A,계산!$E164,계산!$B:$B,$B$1*100+4))</f>
        <v/>
      </c>
      <c r="G166" s="14">
        <f>IF(원생!$A164="","",SUMIFS(계산!$C:$C,계산!$A:$A,계산!$E164,계산!$B:$B,$B$1*100+5))</f>
        <v/>
      </c>
      <c r="H166" s="14">
        <f>IF(원생!$A164="","",SUMIFS(계산!$C:$C,계산!$A:$A,계산!$E164,계산!$B:$B,$B$1*100+6))</f>
        <v/>
      </c>
      <c r="I166" s="14">
        <f>IF(원생!$A164="","",SUMIFS(계산!$C:$C,계산!$A:$A,계산!$E164,계산!$B:$B,$B$1*100+7))</f>
        <v/>
      </c>
      <c r="J166" s="14">
        <f>IF(원생!$A164="","",SUMIFS(계산!$C:$C,계산!$A:$A,계산!$E164,계산!$B:$B,$B$1*100+8))</f>
        <v/>
      </c>
      <c r="K166" s="14">
        <f>IF(원생!$A164="","",SUMIFS(계산!$C:$C,계산!$A:$A,계산!$E164,계산!$B:$B,$B$1*100+9))</f>
        <v/>
      </c>
      <c r="L166" s="14">
        <f>IF(원생!$A164="","",SUMIFS(계산!$C:$C,계산!$A:$A,계산!$E164,계산!$B:$B,$B$1*100+10))</f>
        <v/>
      </c>
      <c r="M166" s="14">
        <f>IF(원생!$A164="","",SUMIFS(계산!$C:$C,계산!$A:$A,계산!$E164,계산!$B:$B,$B$1*100+11))</f>
        <v/>
      </c>
      <c r="N166" s="14">
        <f>IF(원생!$A164="","",SUMIFS(계산!$C:$C,계산!$A:$A,계산!$E164,계산!$B:$B,$B$1*100+12))</f>
        <v/>
      </c>
      <c r="O166">
        <f>IF(원생!$I164="","",원생!$I164)</f>
        <v/>
      </c>
      <c r="P166">
        <f>IF($A166="","",IF(AND($B166&gt;0,C166&lt;$B166,DATE($B$1,1,1)&lt;=TODAY(),OR($O166="",$O166&gt;=DATE($B$1,1,1)),OR(COUNTIF($C166:C166,"&gt;0")&gt;0,DATE($B$1,1,1)=DATE(YEAR(TODAY()),MONTH(TODAY()),1))),1,0))</f>
        <v/>
      </c>
      <c r="Q166">
        <f>IF($A166="","",IF(AND($B166&gt;0,D166&lt;$B166,DATE($B$1,2,1)&lt;=TODAY(),OR($O166="",$O166&gt;=DATE($B$1,2,1)),OR(COUNTIF($C166:D166,"&gt;0")&gt;0,DATE($B$1,2,1)=DATE(YEAR(TODAY()),MONTH(TODAY()),1))),1,0))</f>
        <v/>
      </c>
      <c r="R166">
        <f>IF($A166="","",IF(AND($B166&gt;0,E166&lt;$B166,DATE($B$1,3,1)&lt;=TODAY(),OR($O166="",$O166&gt;=DATE($B$1,3,1)),OR(COUNTIF($C166:E166,"&gt;0")&gt;0,DATE($B$1,3,1)=DATE(YEAR(TODAY()),MONTH(TODAY()),1))),1,0))</f>
        <v/>
      </c>
      <c r="S166">
        <f>IF($A166="","",IF(AND($B166&gt;0,F166&lt;$B166,DATE($B$1,4,1)&lt;=TODAY(),OR($O166="",$O166&gt;=DATE($B$1,4,1)),OR(COUNTIF($C166:F166,"&gt;0")&gt;0,DATE($B$1,4,1)=DATE(YEAR(TODAY()),MONTH(TODAY()),1))),1,0))</f>
        <v/>
      </c>
      <c r="T166">
        <f>IF($A166="","",IF(AND($B166&gt;0,G166&lt;$B166,DATE($B$1,5,1)&lt;=TODAY(),OR($O166="",$O166&gt;=DATE($B$1,5,1)),OR(COUNTIF($C166:G166,"&gt;0")&gt;0,DATE($B$1,5,1)=DATE(YEAR(TODAY()),MONTH(TODAY()),1))),1,0))</f>
        <v/>
      </c>
      <c r="U166">
        <f>IF($A166="","",IF(AND($B166&gt;0,H166&lt;$B166,DATE($B$1,6,1)&lt;=TODAY(),OR($O166="",$O166&gt;=DATE($B$1,6,1)),OR(COUNTIF($C166:H166,"&gt;0")&gt;0,DATE($B$1,6,1)=DATE(YEAR(TODAY()),MONTH(TODAY()),1))),1,0))</f>
        <v/>
      </c>
      <c r="V166">
        <f>IF($A166="","",IF(AND($B166&gt;0,I166&lt;$B166,DATE($B$1,7,1)&lt;=TODAY(),OR($O166="",$O166&gt;=DATE($B$1,7,1)),OR(COUNTIF($C166:I166,"&gt;0")&gt;0,DATE($B$1,7,1)=DATE(YEAR(TODAY()),MONTH(TODAY()),1))),1,0))</f>
        <v/>
      </c>
      <c r="W166">
        <f>IF($A166="","",IF(AND($B166&gt;0,J166&lt;$B166,DATE($B$1,8,1)&lt;=TODAY(),OR($O166="",$O166&gt;=DATE($B$1,8,1)),OR(COUNTIF($C166:J166,"&gt;0")&gt;0,DATE($B$1,8,1)=DATE(YEAR(TODAY()),MONTH(TODAY()),1))),1,0))</f>
        <v/>
      </c>
      <c r="X166">
        <f>IF($A166="","",IF(AND($B166&gt;0,K166&lt;$B166,DATE($B$1,9,1)&lt;=TODAY(),OR($O166="",$O166&gt;=DATE($B$1,9,1)),OR(COUNTIF($C166:K166,"&gt;0")&gt;0,DATE($B$1,9,1)=DATE(YEAR(TODAY()),MONTH(TODAY()),1))),1,0))</f>
        <v/>
      </c>
      <c r="Y166">
        <f>IF($A166="","",IF(AND($B166&gt;0,L166&lt;$B166,DATE($B$1,10,1)&lt;=TODAY(),OR($O166="",$O166&gt;=DATE($B$1,10,1)),OR(COUNTIF($C166:L166,"&gt;0")&gt;0,DATE($B$1,10,1)=DATE(YEAR(TODAY()),MONTH(TODAY()),1))),1,0))</f>
        <v/>
      </c>
      <c r="Z166">
        <f>IF($A166="","",IF(AND($B166&gt;0,M166&lt;$B166,DATE($B$1,11,1)&lt;=TODAY(),OR($O166="",$O166&gt;=DATE($B$1,11,1)),OR(COUNTIF($C166:M166,"&gt;0")&gt;0,DATE($B$1,11,1)=DATE(YEAR(TODAY()),MONTH(TODAY()),1))),1,0))</f>
        <v/>
      </c>
      <c r="AA166">
        <f>IF($A166="","",IF(AND($B166&gt;0,N166&lt;$B166,DATE($B$1,12,1)&lt;=TODAY(),OR($O166="",$O166&gt;=DATE($B$1,12,1)),OR(COUNTIF($C166:N166,"&gt;0")&gt;0,DATE($B$1,12,1)=DATE(YEAR(TODAY()),MONTH(TODAY()),1))),1,0))</f>
        <v/>
      </c>
    </row>
    <row r="167">
      <c r="A167" s="13">
        <f>IF(원생!$A165="","",원생!$A165&amp;IF(원생!$G165="",""," ("&amp;원생!$G165&amp;")"))</f>
        <v/>
      </c>
      <c r="B167" s="8">
        <f>IF(원생!$A165="","",N(원생!$F165))</f>
        <v/>
      </c>
      <c r="C167" s="14">
        <f>IF(원생!$A165="","",SUMIFS(계산!$C:$C,계산!$A:$A,계산!$E165,계산!$B:$B,$B$1*100+1))</f>
        <v/>
      </c>
      <c r="D167" s="14">
        <f>IF(원생!$A165="","",SUMIFS(계산!$C:$C,계산!$A:$A,계산!$E165,계산!$B:$B,$B$1*100+2))</f>
        <v/>
      </c>
      <c r="E167" s="14">
        <f>IF(원생!$A165="","",SUMIFS(계산!$C:$C,계산!$A:$A,계산!$E165,계산!$B:$B,$B$1*100+3))</f>
        <v/>
      </c>
      <c r="F167" s="14">
        <f>IF(원생!$A165="","",SUMIFS(계산!$C:$C,계산!$A:$A,계산!$E165,계산!$B:$B,$B$1*100+4))</f>
        <v/>
      </c>
      <c r="G167" s="14">
        <f>IF(원생!$A165="","",SUMIFS(계산!$C:$C,계산!$A:$A,계산!$E165,계산!$B:$B,$B$1*100+5))</f>
        <v/>
      </c>
      <c r="H167" s="14">
        <f>IF(원생!$A165="","",SUMIFS(계산!$C:$C,계산!$A:$A,계산!$E165,계산!$B:$B,$B$1*100+6))</f>
        <v/>
      </c>
      <c r="I167" s="14">
        <f>IF(원생!$A165="","",SUMIFS(계산!$C:$C,계산!$A:$A,계산!$E165,계산!$B:$B,$B$1*100+7))</f>
        <v/>
      </c>
      <c r="J167" s="14">
        <f>IF(원생!$A165="","",SUMIFS(계산!$C:$C,계산!$A:$A,계산!$E165,계산!$B:$B,$B$1*100+8))</f>
        <v/>
      </c>
      <c r="K167" s="14">
        <f>IF(원생!$A165="","",SUMIFS(계산!$C:$C,계산!$A:$A,계산!$E165,계산!$B:$B,$B$1*100+9))</f>
        <v/>
      </c>
      <c r="L167" s="14">
        <f>IF(원생!$A165="","",SUMIFS(계산!$C:$C,계산!$A:$A,계산!$E165,계산!$B:$B,$B$1*100+10))</f>
        <v/>
      </c>
      <c r="M167" s="14">
        <f>IF(원생!$A165="","",SUMIFS(계산!$C:$C,계산!$A:$A,계산!$E165,계산!$B:$B,$B$1*100+11))</f>
        <v/>
      </c>
      <c r="N167" s="14">
        <f>IF(원생!$A165="","",SUMIFS(계산!$C:$C,계산!$A:$A,계산!$E165,계산!$B:$B,$B$1*100+12))</f>
        <v/>
      </c>
      <c r="O167">
        <f>IF(원생!$I165="","",원생!$I165)</f>
        <v/>
      </c>
      <c r="P167">
        <f>IF($A167="","",IF(AND($B167&gt;0,C167&lt;$B167,DATE($B$1,1,1)&lt;=TODAY(),OR($O167="",$O167&gt;=DATE($B$1,1,1)),OR(COUNTIF($C167:C167,"&gt;0")&gt;0,DATE($B$1,1,1)=DATE(YEAR(TODAY()),MONTH(TODAY()),1))),1,0))</f>
        <v/>
      </c>
      <c r="Q167">
        <f>IF($A167="","",IF(AND($B167&gt;0,D167&lt;$B167,DATE($B$1,2,1)&lt;=TODAY(),OR($O167="",$O167&gt;=DATE($B$1,2,1)),OR(COUNTIF($C167:D167,"&gt;0")&gt;0,DATE($B$1,2,1)=DATE(YEAR(TODAY()),MONTH(TODAY()),1))),1,0))</f>
        <v/>
      </c>
      <c r="R167">
        <f>IF($A167="","",IF(AND($B167&gt;0,E167&lt;$B167,DATE($B$1,3,1)&lt;=TODAY(),OR($O167="",$O167&gt;=DATE($B$1,3,1)),OR(COUNTIF($C167:E167,"&gt;0")&gt;0,DATE($B$1,3,1)=DATE(YEAR(TODAY()),MONTH(TODAY()),1))),1,0))</f>
        <v/>
      </c>
      <c r="S167">
        <f>IF($A167="","",IF(AND($B167&gt;0,F167&lt;$B167,DATE($B$1,4,1)&lt;=TODAY(),OR($O167="",$O167&gt;=DATE($B$1,4,1)),OR(COUNTIF($C167:F167,"&gt;0")&gt;0,DATE($B$1,4,1)=DATE(YEAR(TODAY()),MONTH(TODAY()),1))),1,0))</f>
        <v/>
      </c>
      <c r="T167">
        <f>IF($A167="","",IF(AND($B167&gt;0,G167&lt;$B167,DATE($B$1,5,1)&lt;=TODAY(),OR($O167="",$O167&gt;=DATE($B$1,5,1)),OR(COUNTIF($C167:G167,"&gt;0")&gt;0,DATE($B$1,5,1)=DATE(YEAR(TODAY()),MONTH(TODAY()),1))),1,0))</f>
        <v/>
      </c>
      <c r="U167">
        <f>IF($A167="","",IF(AND($B167&gt;0,H167&lt;$B167,DATE($B$1,6,1)&lt;=TODAY(),OR($O167="",$O167&gt;=DATE($B$1,6,1)),OR(COUNTIF($C167:H167,"&gt;0")&gt;0,DATE($B$1,6,1)=DATE(YEAR(TODAY()),MONTH(TODAY()),1))),1,0))</f>
        <v/>
      </c>
      <c r="V167">
        <f>IF($A167="","",IF(AND($B167&gt;0,I167&lt;$B167,DATE($B$1,7,1)&lt;=TODAY(),OR($O167="",$O167&gt;=DATE($B$1,7,1)),OR(COUNTIF($C167:I167,"&gt;0")&gt;0,DATE($B$1,7,1)=DATE(YEAR(TODAY()),MONTH(TODAY()),1))),1,0))</f>
        <v/>
      </c>
      <c r="W167">
        <f>IF($A167="","",IF(AND($B167&gt;0,J167&lt;$B167,DATE($B$1,8,1)&lt;=TODAY(),OR($O167="",$O167&gt;=DATE($B$1,8,1)),OR(COUNTIF($C167:J167,"&gt;0")&gt;0,DATE($B$1,8,1)=DATE(YEAR(TODAY()),MONTH(TODAY()),1))),1,0))</f>
        <v/>
      </c>
      <c r="X167">
        <f>IF($A167="","",IF(AND($B167&gt;0,K167&lt;$B167,DATE($B$1,9,1)&lt;=TODAY(),OR($O167="",$O167&gt;=DATE($B$1,9,1)),OR(COUNTIF($C167:K167,"&gt;0")&gt;0,DATE($B$1,9,1)=DATE(YEAR(TODAY()),MONTH(TODAY()),1))),1,0))</f>
        <v/>
      </c>
      <c r="Y167">
        <f>IF($A167="","",IF(AND($B167&gt;0,L167&lt;$B167,DATE($B$1,10,1)&lt;=TODAY(),OR($O167="",$O167&gt;=DATE($B$1,10,1)),OR(COUNTIF($C167:L167,"&gt;0")&gt;0,DATE($B$1,10,1)=DATE(YEAR(TODAY()),MONTH(TODAY()),1))),1,0))</f>
        <v/>
      </c>
      <c r="Z167">
        <f>IF($A167="","",IF(AND($B167&gt;0,M167&lt;$B167,DATE($B$1,11,1)&lt;=TODAY(),OR($O167="",$O167&gt;=DATE($B$1,11,1)),OR(COUNTIF($C167:M167,"&gt;0")&gt;0,DATE($B$1,11,1)=DATE(YEAR(TODAY()),MONTH(TODAY()),1))),1,0))</f>
        <v/>
      </c>
      <c r="AA167">
        <f>IF($A167="","",IF(AND($B167&gt;0,N167&lt;$B167,DATE($B$1,12,1)&lt;=TODAY(),OR($O167="",$O167&gt;=DATE($B$1,12,1)),OR(COUNTIF($C167:N167,"&gt;0")&gt;0,DATE($B$1,12,1)=DATE(YEAR(TODAY()),MONTH(TODAY()),1))),1,0))</f>
        <v/>
      </c>
    </row>
    <row r="168">
      <c r="A168" s="13">
        <f>IF(원생!$A166="","",원생!$A166&amp;IF(원생!$G166="",""," ("&amp;원생!$G166&amp;")"))</f>
        <v/>
      </c>
      <c r="B168" s="8">
        <f>IF(원생!$A166="","",N(원생!$F166))</f>
        <v/>
      </c>
      <c r="C168" s="14">
        <f>IF(원생!$A166="","",SUMIFS(계산!$C:$C,계산!$A:$A,계산!$E166,계산!$B:$B,$B$1*100+1))</f>
        <v/>
      </c>
      <c r="D168" s="14">
        <f>IF(원생!$A166="","",SUMIFS(계산!$C:$C,계산!$A:$A,계산!$E166,계산!$B:$B,$B$1*100+2))</f>
        <v/>
      </c>
      <c r="E168" s="14">
        <f>IF(원생!$A166="","",SUMIFS(계산!$C:$C,계산!$A:$A,계산!$E166,계산!$B:$B,$B$1*100+3))</f>
        <v/>
      </c>
      <c r="F168" s="14">
        <f>IF(원생!$A166="","",SUMIFS(계산!$C:$C,계산!$A:$A,계산!$E166,계산!$B:$B,$B$1*100+4))</f>
        <v/>
      </c>
      <c r="G168" s="14">
        <f>IF(원생!$A166="","",SUMIFS(계산!$C:$C,계산!$A:$A,계산!$E166,계산!$B:$B,$B$1*100+5))</f>
        <v/>
      </c>
      <c r="H168" s="14">
        <f>IF(원생!$A166="","",SUMIFS(계산!$C:$C,계산!$A:$A,계산!$E166,계산!$B:$B,$B$1*100+6))</f>
        <v/>
      </c>
      <c r="I168" s="14">
        <f>IF(원생!$A166="","",SUMIFS(계산!$C:$C,계산!$A:$A,계산!$E166,계산!$B:$B,$B$1*100+7))</f>
        <v/>
      </c>
      <c r="J168" s="14">
        <f>IF(원생!$A166="","",SUMIFS(계산!$C:$C,계산!$A:$A,계산!$E166,계산!$B:$B,$B$1*100+8))</f>
        <v/>
      </c>
      <c r="K168" s="14">
        <f>IF(원생!$A166="","",SUMIFS(계산!$C:$C,계산!$A:$A,계산!$E166,계산!$B:$B,$B$1*100+9))</f>
        <v/>
      </c>
      <c r="L168" s="14">
        <f>IF(원생!$A166="","",SUMIFS(계산!$C:$C,계산!$A:$A,계산!$E166,계산!$B:$B,$B$1*100+10))</f>
        <v/>
      </c>
      <c r="M168" s="14">
        <f>IF(원생!$A166="","",SUMIFS(계산!$C:$C,계산!$A:$A,계산!$E166,계산!$B:$B,$B$1*100+11))</f>
        <v/>
      </c>
      <c r="N168" s="14">
        <f>IF(원생!$A166="","",SUMIFS(계산!$C:$C,계산!$A:$A,계산!$E166,계산!$B:$B,$B$1*100+12))</f>
        <v/>
      </c>
      <c r="O168">
        <f>IF(원생!$I166="","",원생!$I166)</f>
        <v/>
      </c>
      <c r="P168">
        <f>IF($A168="","",IF(AND($B168&gt;0,C168&lt;$B168,DATE($B$1,1,1)&lt;=TODAY(),OR($O168="",$O168&gt;=DATE($B$1,1,1)),OR(COUNTIF($C168:C168,"&gt;0")&gt;0,DATE($B$1,1,1)=DATE(YEAR(TODAY()),MONTH(TODAY()),1))),1,0))</f>
        <v/>
      </c>
      <c r="Q168">
        <f>IF($A168="","",IF(AND($B168&gt;0,D168&lt;$B168,DATE($B$1,2,1)&lt;=TODAY(),OR($O168="",$O168&gt;=DATE($B$1,2,1)),OR(COUNTIF($C168:D168,"&gt;0")&gt;0,DATE($B$1,2,1)=DATE(YEAR(TODAY()),MONTH(TODAY()),1))),1,0))</f>
        <v/>
      </c>
      <c r="R168">
        <f>IF($A168="","",IF(AND($B168&gt;0,E168&lt;$B168,DATE($B$1,3,1)&lt;=TODAY(),OR($O168="",$O168&gt;=DATE($B$1,3,1)),OR(COUNTIF($C168:E168,"&gt;0")&gt;0,DATE($B$1,3,1)=DATE(YEAR(TODAY()),MONTH(TODAY()),1))),1,0))</f>
        <v/>
      </c>
      <c r="S168">
        <f>IF($A168="","",IF(AND($B168&gt;0,F168&lt;$B168,DATE($B$1,4,1)&lt;=TODAY(),OR($O168="",$O168&gt;=DATE($B$1,4,1)),OR(COUNTIF($C168:F168,"&gt;0")&gt;0,DATE($B$1,4,1)=DATE(YEAR(TODAY()),MONTH(TODAY()),1))),1,0))</f>
        <v/>
      </c>
      <c r="T168">
        <f>IF($A168="","",IF(AND($B168&gt;0,G168&lt;$B168,DATE($B$1,5,1)&lt;=TODAY(),OR($O168="",$O168&gt;=DATE($B$1,5,1)),OR(COUNTIF($C168:G168,"&gt;0")&gt;0,DATE($B$1,5,1)=DATE(YEAR(TODAY()),MONTH(TODAY()),1))),1,0))</f>
        <v/>
      </c>
      <c r="U168">
        <f>IF($A168="","",IF(AND($B168&gt;0,H168&lt;$B168,DATE($B$1,6,1)&lt;=TODAY(),OR($O168="",$O168&gt;=DATE($B$1,6,1)),OR(COUNTIF($C168:H168,"&gt;0")&gt;0,DATE($B$1,6,1)=DATE(YEAR(TODAY()),MONTH(TODAY()),1))),1,0))</f>
        <v/>
      </c>
      <c r="V168">
        <f>IF($A168="","",IF(AND($B168&gt;0,I168&lt;$B168,DATE($B$1,7,1)&lt;=TODAY(),OR($O168="",$O168&gt;=DATE($B$1,7,1)),OR(COUNTIF($C168:I168,"&gt;0")&gt;0,DATE($B$1,7,1)=DATE(YEAR(TODAY()),MONTH(TODAY()),1))),1,0))</f>
        <v/>
      </c>
      <c r="W168">
        <f>IF($A168="","",IF(AND($B168&gt;0,J168&lt;$B168,DATE($B$1,8,1)&lt;=TODAY(),OR($O168="",$O168&gt;=DATE($B$1,8,1)),OR(COUNTIF($C168:J168,"&gt;0")&gt;0,DATE($B$1,8,1)=DATE(YEAR(TODAY()),MONTH(TODAY()),1))),1,0))</f>
        <v/>
      </c>
      <c r="X168">
        <f>IF($A168="","",IF(AND($B168&gt;0,K168&lt;$B168,DATE($B$1,9,1)&lt;=TODAY(),OR($O168="",$O168&gt;=DATE($B$1,9,1)),OR(COUNTIF($C168:K168,"&gt;0")&gt;0,DATE($B$1,9,1)=DATE(YEAR(TODAY()),MONTH(TODAY()),1))),1,0))</f>
        <v/>
      </c>
      <c r="Y168">
        <f>IF($A168="","",IF(AND($B168&gt;0,L168&lt;$B168,DATE($B$1,10,1)&lt;=TODAY(),OR($O168="",$O168&gt;=DATE($B$1,10,1)),OR(COUNTIF($C168:L168,"&gt;0")&gt;0,DATE($B$1,10,1)=DATE(YEAR(TODAY()),MONTH(TODAY()),1))),1,0))</f>
        <v/>
      </c>
      <c r="Z168">
        <f>IF($A168="","",IF(AND($B168&gt;0,M168&lt;$B168,DATE($B$1,11,1)&lt;=TODAY(),OR($O168="",$O168&gt;=DATE($B$1,11,1)),OR(COUNTIF($C168:M168,"&gt;0")&gt;0,DATE($B$1,11,1)=DATE(YEAR(TODAY()),MONTH(TODAY()),1))),1,0))</f>
        <v/>
      </c>
      <c r="AA168">
        <f>IF($A168="","",IF(AND($B168&gt;0,N168&lt;$B168,DATE($B$1,12,1)&lt;=TODAY(),OR($O168="",$O168&gt;=DATE($B$1,12,1)),OR(COUNTIF($C168:N168,"&gt;0")&gt;0,DATE($B$1,12,1)=DATE(YEAR(TODAY()),MONTH(TODAY()),1))),1,0))</f>
        <v/>
      </c>
    </row>
    <row r="169">
      <c r="A169" s="13">
        <f>IF(원생!$A167="","",원생!$A167&amp;IF(원생!$G167="",""," ("&amp;원생!$G167&amp;")"))</f>
        <v/>
      </c>
      <c r="B169" s="8">
        <f>IF(원생!$A167="","",N(원생!$F167))</f>
        <v/>
      </c>
      <c r="C169" s="14">
        <f>IF(원생!$A167="","",SUMIFS(계산!$C:$C,계산!$A:$A,계산!$E167,계산!$B:$B,$B$1*100+1))</f>
        <v/>
      </c>
      <c r="D169" s="14">
        <f>IF(원생!$A167="","",SUMIFS(계산!$C:$C,계산!$A:$A,계산!$E167,계산!$B:$B,$B$1*100+2))</f>
        <v/>
      </c>
      <c r="E169" s="14">
        <f>IF(원생!$A167="","",SUMIFS(계산!$C:$C,계산!$A:$A,계산!$E167,계산!$B:$B,$B$1*100+3))</f>
        <v/>
      </c>
      <c r="F169" s="14">
        <f>IF(원생!$A167="","",SUMIFS(계산!$C:$C,계산!$A:$A,계산!$E167,계산!$B:$B,$B$1*100+4))</f>
        <v/>
      </c>
      <c r="G169" s="14">
        <f>IF(원생!$A167="","",SUMIFS(계산!$C:$C,계산!$A:$A,계산!$E167,계산!$B:$B,$B$1*100+5))</f>
        <v/>
      </c>
      <c r="H169" s="14">
        <f>IF(원생!$A167="","",SUMIFS(계산!$C:$C,계산!$A:$A,계산!$E167,계산!$B:$B,$B$1*100+6))</f>
        <v/>
      </c>
      <c r="I169" s="14">
        <f>IF(원생!$A167="","",SUMIFS(계산!$C:$C,계산!$A:$A,계산!$E167,계산!$B:$B,$B$1*100+7))</f>
        <v/>
      </c>
      <c r="J169" s="14">
        <f>IF(원생!$A167="","",SUMIFS(계산!$C:$C,계산!$A:$A,계산!$E167,계산!$B:$B,$B$1*100+8))</f>
        <v/>
      </c>
      <c r="K169" s="14">
        <f>IF(원생!$A167="","",SUMIFS(계산!$C:$C,계산!$A:$A,계산!$E167,계산!$B:$B,$B$1*100+9))</f>
        <v/>
      </c>
      <c r="L169" s="14">
        <f>IF(원생!$A167="","",SUMIFS(계산!$C:$C,계산!$A:$A,계산!$E167,계산!$B:$B,$B$1*100+10))</f>
        <v/>
      </c>
      <c r="M169" s="14">
        <f>IF(원생!$A167="","",SUMIFS(계산!$C:$C,계산!$A:$A,계산!$E167,계산!$B:$B,$B$1*100+11))</f>
        <v/>
      </c>
      <c r="N169" s="14">
        <f>IF(원생!$A167="","",SUMIFS(계산!$C:$C,계산!$A:$A,계산!$E167,계산!$B:$B,$B$1*100+12))</f>
        <v/>
      </c>
      <c r="O169">
        <f>IF(원생!$I167="","",원생!$I167)</f>
        <v/>
      </c>
      <c r="P169">
        <f>IF($A169="","",IF(AND($B169&gt;0,C169&lt;$B169,DATE($B$1,1,1)&lt;=TODAY(),OR($O169="",$O169&gt;=DATE($B$1,1,1)),OR(COUNTIF($C169:C169,"&gt;0")&gt;0,DATE($B$1,1,1)=DATE(YEAR(TODAY()),MONTH(TODAY()),1))),1,0))</f>
        <v/>
      </c>
      <c r="Q169">
        <f>IF($A169="","",IF(AND($B169&gt;0,D169&lt;$B169,DATE($B$1,2,1)&lt;=TODAY(),OR($O169="",$O169&gt;=DATE($B$1,2,1)),OR(COUNTIF($C169:D169,"&gt;0")&gt;0,DATE($B$1,2,1)=DATE(YEAR(TODAY()),MONTH(TODAY()),1))),1,0))</f>
        <v/>
      </c>
      <c r="R169">
        <f>IF($A169="","",IF(AND($B169&gt;0,E169&lt;$B169,DATE($B$1,3,1)&lt;=TODAY(),OR($O169="",$O169&gt;=DATE($B$1,3,1)),OR(COUNTIF($C169:E169,"&gt;0")&gt;0,DATE($B$1,3,1)=DATE(YEAR(TODAY()),MONTH(TODAY()),1))),1,0))</f>
        <v/>
      </c>
      <c r="S169">
        <f>IF($A169="","",IF(AND($B169&gt;0,F169&lt;$B169,DATE($B$1,4,1)&lt;=TODAY(),OR($O169="",$O169&gt;=DATE($B$1,4,1)),OR(COUNTIF($C169:F169,"&gt;0")&gt;0,DATE($B$1,4,1)=DATE(YEAR(TODAY()),MONTH(TODAY()),1))),1,0))</f>
        <v/>
      </c>
      <c r="T169">
        <f>IF($A169="","",IF(AND($B169&gt;0,G169&lt;$B169,DATE($B$1,5,1)&lt;=TODAY(),OR($O169="",$O169&gt;=DATE($B$1,5,1)),OR(COUNTIF($C169:G169,"&gt;0")&gt;0,DATE($B$1,5,1)=DATE(YEAR(TODAY()),MONTH(TODAY()),1))),1,0))</f>
        <v/>
      </c>
      <c r="U169">
        <f>IF($A169="","",IF(AND($B169&gt;0,H169&lt;$B169,DATE($B$1,6,1)&lt;=TODAY(),OR($O169="",$O169&gt;=DATE($B$1,6,1)),OR(COUNTIF($C169:H169,"&gt;0")&gt;0,DATE($B$1,6,1)=DATE(YEAR(TODAY()),MONTH(TODAY()),1))),1,0))</f>
        <v/>
      </c>
      <c r="V169">
        <f>IF($A169="","",IF(AND($B169&gt;0,I169&lt;$B169,DATE($B$1,7,1)&lt;=TODAY(),OR($O169="",$O169&gt;=DATE($B$1,7,1)),OR(COUNTIF($C169:I169,"&gt;0")&gt;0,DATE($B$1,7,1)=DATE(YEAR(TODAY()),MONTH(TODAY()),1))),1,0))</f>
        <v/>
      </c>
      <c r="W169">
        <f>IF($A169="","",IF(AND($B169&gt;0,J169&lt;$B169,DATE($B$1,8,1)&lt;=TODAY(),OR($O169="",$O169&gt;=DATE($B$1,8,1)),OR(COUNTIF($C169:J169,"&gt;0")&gt;0,DATE($B$1,8,1)=DATE(YEAR(TODAY()),MONTH(TODAY()),1))),1,0))</f>
        <v/>
      </c>
      <c r="X169">
        <f>IF($A169="","",IF(AND($B169&gt;0,K169&lt;$B169,DATE($B$1,9,1)&lt;=TODAY(),OR($O169="",$O169&gt;=DATE($B$1,9,1)),OR(COUNTIF($C169:K169,"&gt;0")&gt;0,DATE($B$1,9,1)=DATE(YEAR(TODAY()),MONTH(TODAY()),1))),1,0))</f>
        <v/>
      </c>
      <c r="Y169">
        <f>IF($A169="","",IF(AND($B169&gt;0,L169&lt;$B169,DATE($B$1,10,1)&lt;=TODAY(),OR($O169="",$O169&gt;=DATE($B$1,10,1)),OR(COUNTIF($C169:L169,"&gt;0")&gt;0,DATE($B$1,10,1)=DATE(YEAR(TODAY()),MONTH(TODAY()),1))),1,0))</f>
        <v/>
      </c>
      <c r="Z169">
        <f>IF($A169="","",IF(AND($B169&gt;0,M169&lt;$B169,DATE($B$1,11,1)&lt;=TODAY(),OR($O169="",$O169&gt;=DATE($B$1,11,1)),OR(COUNTIF($C169:M169,"&gt;0")&gt;0,DATE($B$1,11,1)=DATE(YEAR(TODAY()),MONTH(TODAY()),1))),1,0))</f>
        <v/>
      </c>
      <c r="AA169">
        <f>IF($A169="","",IF(AND($B169&gt;0,N169&lt;$B169,DATE($B$1,12,1)&lt;=TODAY(),OR($O169="",$O169&gt;=DATE($B$1,12,1)),OR(COUNTIF($C169:N169,"&gt;0")&gt;0,DATE($B$1,12,1)=DATE(YEAR(TODAY()),MONTH(TODAY()),1))),1,0))</f>
        <v/>
      </c>
    </row>
    <row r="170">
      <c r="A170" s="13">
        <f>IF(원생!$A168="","",원생!$A168&amp;IF(원생!$G168="",""," ("&amp;원생!$G168&amp;")"))</f>
        <v/>
      </c>
      <c r="B170" s="8">
        <f>IF(원생!$A168="","",N(원생!$F168))</f>
        <v/>
      </c>
      <c r="C170" s="14">
        <f>IF(원생!$A168="","",SUMIFS(계산!$C:$C,계산!$A:$A,계산!$E168,계산!$B:$B,$B$1*100+1))</f>
        <v/>
      </c>
      <c r="D170" s="14">
        <f>IF(원생!$A168="","",SUMIFS(계산!$C:$C,계산!$A:$A,계산!$E168,계산!$B:$B,$B$1*100+2))</f>
        <v/>
      </c>
      <c r="E170" s="14">
        <f>IF(원생!$A168="","",SUMIFS(계산!$C:$C,계산!$A:$A,계산!$E168,계산!$B:$B,$B$1*100+3))</f>
        <v/>
      </c>
      <c r="F170" s="14">
        <f>IF(원생!$A168="","",SUMIFS(계산!$C:$C,계산!$A:$A,계산!$E168,계산!$B:$B,$B$1*100+4))</f>
        <v/>
      </c>
      <c r="G170" s="14">
        <f>IF(원생!$A168="","",SUMIFS(계산!$C:$C,계산!$A:$A,계산!$E168,계산!$B:$B,$B$1*100+5))</f>
        <v/>
      </c>
      <c r="H170" s="14">
        <f>IF(원생!$A168="","",SUMIFS(계산!$C:$C,계산!$A:$A,계산!$E168,계산!$B:$B,$B$1*100+6))</f>
        <v/>
      </c>
      <c r="I170" s="14">
        <f>IF(원생!$A168="","",SUMIFS(계산!$C:$C,계산!$A:$A,계산!$E168,계산!$B:$B,$B$1*100+7))</f>
        <v/>
      </c>
      <c r="J170" s="14">
        <f>IF(원생!$A168="","",SUMIFS(계산!$C:$C,계산!$A:$A,계산!$E168,계산!$B:$B,$B$1*100+8))</f>
        <v/>
      </c>
      <c r="K170" s="14">
        <f>IF(원생!$A168="","",SUMIFS(계산!$C:$C,계산!$A:$A,계산!$E168,계산!$B:$B,$B$1*100+9))</f>
        <v/>
      </c>
      <c r="L170" s="14">
        <f>IF(원생!$A168="","",SUMIFS(계산!$C:$C,계산!$A:$A,계산!$E168,계산!$B:$B,$B$1*100+10))</f>
        <v/>
      </c>
      <c r="M170" s="14">
        <f>IF(원생!$A168="","",SUMIFS(계산!$C:$C,계산!$A:$A,계산!$E168,계산!$B:$B,$B$1*100+11))</f>
        <v/>
      </c>
      <c r="N170" s="14">
        <f>IF(원생!$A168="","",SUMIFS(계산!$C:$C,계산!$A:$A,계산!$E168,계산!$B:$B,$B$1*100+12))</f>
        <v/>
      </c>
      <c r="O170">
        <f>IF(원생!$I168="","",원생!$I168)</f>
        <v/>
      </c>
      <c r="P170">
        <f>IF($A170="","",IF(AND($B170&gt;0,C170&lt;$B170,DATE($B$1,1,1)&lt;=TODAY(),OR($O170="",$O170&gt;=DATE($B$1,1,1)),OR(COUNTIF($C170:C170,"&gt;0")&gt;0,DATE($B$1,1,1)=DATE(YEAR(TODAY()),MONTH(TODAY()),1))),1,0))</f>
        <v/>
      </c>
      <c r="Q170">
        <f>IF($A170="","",IF(AND($B170&gt;0,D170&lt;$B170,DATE($B$1,2,1)&lt;=TODAY(),OR($O170="",$O170&gt;=DATE($B$1,2,1)),OR(COUNTIF($C170:D170,"&gt;0")&gt;0,DATE($B$1,2,1)=DATE(YEAR(TODAY()),MONTH(TODAY()),1))),1,0))</f>
        <v/>
      </c>
      <c r="R170">
        <f>IF($A170="","",IF(AND($B170&gt;0,E170&lt;$B170,DATE($B$1,3,1)&lt;=TODAY(),OR($O170="",$O170&gt;=DATE($B$1,3,1)),OR(COUNTIF($C170:E170,"&gt;0")&gt;0,DATE($B$1,3,1)=DATE(YEAR(TODAY()),MONTH(TODAY()),1))),1,0))</f>
        <v/>
      </c>
      <c r="S170">
        <f>IF($A170="","",IF(AND($B170&gt;0,F170&lt;$B170,DATE($B$1,4,1)&lt;=TODAY(),OR($O170="",$O170&gt;=DATE($B$1,4,1)),OR(COUNTIF($C170:F170,"&gt;0")&gt;0,DATE($B$1,4,1)=DATE(YEAR(TODAY()),MONTH(TODAY()),1))),1,0))</f>
        <v/>
      </c>
      <c r="T170">
        <f>IF($A170="","",IF(AND($B170&gt;0,G170&lt;$B170,DATE($B$1,5,1)&lt;=TODAY(),OR($O170="",$O170&gt;=DATE($B$1,5,1)),OR(COUNTIF($C170:G170,"&gt;0")&gt;0,DATE($B$1,5,1)=DATE(YEAR(TODAY()),MONTH(TODAY()),1))),1,0))</f>
        <v/>
      </c>
      <c r="U170">
        <f>IF($A170="","",IF(AND($B170&gt;0,H170&lt;$B170,DATE($B$1,6,1)&lt;=TODAY(),OR($O170="",$O170&gt;=DATE($B$1,6,1)),OR(COUNTIF($C170:H170,"&gt;0")&gt;0,DATE($B$1,6,1)=DATE(YEAR(TODAY()),MONTH(TODAY()),1))),1,0))</f>
        <v/>
      </c>
      <c r="V170">
        <f>IF($A170="","",IF(AND($B170&gt;0,I170&lt;$B170,DATE($B$1,7,1)&lt;=TODAY(),OR($O170="",$O170&gt;=DATE($B$1,7,1)),OR(COUNTIF($C170:I170,"&gt;0")&gt;0,DATE($B$1,7,1)=DATE(YEAR(TODAY()),MONTH(TODAY()),1))),1,0))</f>
        <v/>
      </c>
      <c r="W170">
        <f>IF($A170="","",IF(AND($B170&gt;0,J170&lt;$B170,DATE($B$1,8,1)&lt;=TODAY(),OR($O170="",$O170&gt;=DATE($B$1,8,1)),OR(COUNTIF($C170:J170,"&gt;0")&gt;0,DATE($B$1,8,1)=DATE(YEAR(TODAY()),MONTH(TODAY()),1))),1,0))</f>
        <v/>
      </c>
      <c r="X170">
        <f>IF($A170="","",IF(AND($B170&gt;0,K170&lt;$B170,DATE($B$1,9,1)&lt;=TODAY(),OR($O170="",$O170&gt;=DATE($B$1,9,1)),OR(COUNTIF($C170:K170,"&gt;0")&gt;0,DATE($B$1,9,1)=DATE(YEAR(TODAY()),MONTH(TODAY()),1))),1,0))</f>
        <v/>
      </c>
      <c r="Y170">
        <f>IF($A170="","",IF(AND($B170&gt;0,L170&lt;$B170,DATE($B$1,10,1)&lt;=TODAY(),OR($O170="",$O170&gt;=DATE($B$1,10,1)),OR(COUNTIF($C170:L170,"&gt;0")&gt;0,DATE($B$1,10,1)=DATE(YEAR(TODAY()),MONTH(TODAY()),1))),1,0))</f>
        <v/>
      </c>
      <c r="Z170">
        <f>IF($A170="","",IF(AND($B170&gt;0,M170&lt;$B170,DATE($B$1,11,1)&lt;=TODAY(),OR($O170="",$O170&gt;=DATE($B$1,11,1)),OR(COUNTIF($C170:M170,"&gt;0")&gt;0,DATE($B$1,11,1)=DATE(YEAR(TODAY()),MONTH(TODAY()),1))),1,0))</f>
        <v/>
      </c>
      <c r="AA170">
        <f>IF($A170="","",IF(AND($B170&gt;0,N170&lt;$B170,DATE($B$1,12,1)&lt;=TODAY(),OR($O170="",$O170&gt;=DATE($B$1,12,1)),OR(COUNTIF($C170:N170,"&gt;0")&gt;0,DATE($B$1,12,1)=DATE(YEAR(TODAY()),MONTH(TODAY()),1))),1,0))</f>
        <v/>
      </c>
    </row>
    <row r="171">
      <c r="A171" s="13">
        <f>IF(원생!$A169="","",원생!$A169&amp;IF(원생!$G169="",""," ("&amp;원생!$G169&amp;")"))</f>
        <v/>
      </c>
      <c r="B171" s="8">
        <f>IF(원생!$A169="","",N(원생!$F169))</f>
        <v/>
      </c>
      <c r="C171" s="14">
        <f>IF(원생!$A169="","",SUMIFS(계산!$C:$C,계산!$A:$A,계산!$E169,계산!$B:$B,$B$1*100+1))</f>
        <v/>
      </c>
      <c r="D171" s="14">
        <f>IF(원생!$A169="","",SUMIFS(계산!$C:$C,계산!$A:$A,계산!$E169,계산!$B:$B,$B$1*100+2))</f>
        <v/>
      </c>
      <c r="E171" s="14">
        <f>IF(원생!$A169="","",SUMIFS(계산!$C:$C,계산!$A:$A,계산!$E169,계산!$B:$B,$B$1*100+3))</f>
        <v/>
      </c>
      <c r="F171" s="14">
        <f>IF(원생!$A169="","",SUMIFS(계산!$C:$C,계산!$A:$A,계산!$E169,계산!$B:$B,$B$1*100+4))</f>
        <v/>
      </c>
      <c r="G171" s="14">
        <f>IF(원생!$A169="","",SUMIFS(계산!$C:$C,계산!$A:$A,계산!$E169,계산!$B:$B,$B$1*100+5))</f>
        <v/>
      </c>
      <c r="H171" s="14">
        <f>IF(원생!$A169="","",SUMIFS(계산!$C:$C,계산!$A:$A,계산!$E169,계산!$B:$B,$B$1*100+6))</f>
        <v/>
      </c>
      <c r="I171" s="14">
        <f>IF(원생!$A169="","",SUMIFS(계산!$C:$C,계산!$A:$A,계산!$E169,계산!$B:$B,$B$1*100+7))</f>
        <v/>
      </c>
      <c r="J171" s="14">
        <f>IF(원생!$A169="","",SUMIFS(계산!$C:$C,계산!$A:$A,계산!$E169,계산!$B:$B,$B$1*100+8))</f>
        <v/>
      </c>
      <c r="K171" s="14">
        <f>IF(원생!$A169="","",SUMIFS(계산!$C:$C,계산!$A:$A,계산!$E169,계산!$B:$B,$B$1*100+9))</f>
        <v/>
      </c>
      <c r="L171" s="14">
        <f>IF(원생!$A169="","",SUMIFS(계산!$C:$C,계산!$A:$A,계산!$E169,계산!$B:$B,$B$1*100+10))</f>
        <v/>
      </c>
      <c r="M171" s="14">
        <f>IF(원생!$A169="","",SUMIFS(계산!$C:$C,계산!$A:$A,계산!$E169,계산!$B:$B,$B$1*100+11))</f>
        <v/>
      </c>
      <c r="N171" s="14">
        <f>IF(원생!$A169="","",SUMIFS(계산!$C:$C,계산!$A:$A,계산!$E169,계산!$B:$B,$B$1*100+12))</f>
        <v/>
      </c>
      <c r="O171">
        <f>IF(원생!$I169="","",원생!$I169)</f>
        <v/>
      </c>
      <c r="P171">
        <f>IF($A171="","",IF(AND($B171&gt;0,C171&lt;$B171,DATE($B$1,1,1)&lt;=TODAY(),OR($O171="",$O171&gt;=DATE($B$1,1,1)),OR(COUNTIF($C171:C171,"&gt;0")&gt;0,DATE($B$1,1,1)=DATE(YEAR(TODAY()),MONTH(TODAY()),1))),1,0))</f>
        <v/>
      </c>
      <c r="Q171">
        <f>IF($A171="","",IF(AND($B171&gt;0,D171&lt;$B171,DATE($B$1,2,1)&lt;=TODAY(),OR($O171="",$O171&gt;=DATE($B$1,2,1)),OR(COUNTIF($C171:D171,"&gt;0")&gt;0,DATE($B$1,2,1)=DATE(YEAR(TODAY()),MONTH(TODAY()),1))),1,0))</f>
        <v/>
      </c>
      <c r="R171">
        <f>IF($A171="","",IF(AND($B171&gt;0,E171&lt;$B171,DATE($B$1,3,1)&lt;=TODAY(),OR($O171="",$O171&gt;=DATE($B$1,3,1)),OR(COUNTIF($C171:E171,"&gt;0")&gt;0,DATE($B$1,3,1)=DATE(YEAR(TODAY()),MONTH(TODAY()),1))),1,0))</f>
        <v/>
      </c>
      <c r="S171">
        <f>IF($A171="","",IF(AND($B171&gt;0,F171&lt;$B171,DATE($B$1,4,1)&lt;=TODAY(),OR($O171="",$O171&gt;=DATE($B$1,4,1)),OR(COUNTIF($C171:F171,"&gt;0")&gt;0,DATE($B$1,4,1)=DATE(YEAR(TODAY()),MONTH(TODAY()),1))),1,0))</f>
        <v/>
      </c>
      <c r="T171">
        <f>IF($A171="","",IF(AND($B171&gt;0,G171&lt;$B171,DATE($B$1,5,1)&lt;=TODAY(),OR($O171="",$O171&gt;=DATE($B$1,5,1)),OR(COUNTIF($C171:G171,"&gt;0")&gt;0,DATE($B$1,5,1)=DATE(YEAR(TODAY()),MONTH(TODAY()),1))),1,0))</f>
        <v/>
      </c>
      <c r="U171">
        <f>IF($A171="","",IF(AND($B171&gt;0,H171&lt;$B171,DATE($B$1,6,1)&lt;=TODAY(),OR($O171="",$O171&gt;=DATE($B$1,6,1)),OR(COUNTIF($C171:H171,"&gt;0")&gt;0,DATE($B$1,6,1)=DATE(YEAR(TODAY()),MONTH(TODAY()),1))),1,0))</f>
        <v/>
      </c>
      <c r="V171">
        <f>IF($A171="","",IF(AND($B171&gt;0,I171&lt;$B171,DATE($B$1,7,1)&lt;=TODAY(),OR($O171="",$O171&gt;=DATE($B$1,7,1)),OR(COUNTIF($C171:I171,"&gt;0")&gt;0,DATE($B$1,7,1)=DATE(YEAR(TODAY()),MONTH(TODAY()),1))),1,0))</f>
        <v/>
      </c>
      <c r="W171">
        <f>IF($A171="","",IF(AND($B171&gt;0,J171&lt;$B171,DATE($B$1,8,1)&lt;=TODAY(),OR($O171="",$O171&gt;=DATE($B$1,8,1)),OR(COUNTIF($C171:J171,"&gt;0")&gt;0,DATE($B$1,8,1)=DATE(YEAR(TODAY()),MONTH(TODAY()),1))),1,0))</f>
        <v/>
      </c>
      <c r="X171">
        <f>IF($A171="","",IF(AND($B171&gt;0,K171&lt;$B171,DATE($B$1,9,1)&lt;=TODAY(),OR($O171="",$O171&gt;=DATE($B$1,9,1)),OR(COUNTIF($C171:K171,"&gt;0")&gt;0,DATE($B$1,9,1)=DATE(YEAR(TODAY()),MONTH(TODAY()),1))),1,0))</f>
        <v/>
      </c>
      <c r="Y171">
        <f>IF($A171="","",IF(AND($B171&gt;0,L171&lt;$B171,DATE($B$1,10,1)&lt;=TODAY(),OR($O171="",$O171&gt;=DATE($B$1,10,1)),OR(COUNTIF($C171:L171,"&gt;0")&gt;0,DATE($B$1,10,1)=DATE(YEAR(TODAY()),MONTH(TODAY()),1))),1,0))</f>
        <v/>
      </c>
      <c r="Z171">
        <f>IF($A171="","",IF(AND($B171&gt;0,M171&lt;$B171,DATE($B$1,11,1)&lt;=TODAY(),OR($O171="",$O171&gt;=DATE($B$1,11,1)),OR(COUNTIF($C171:M171,"&gt;0")&gt;0,DATE($B$1,11,1)=DATE(YEAR(TODAY()),MONTH(TODAY()),1))),1,0))</f>
        <v/>
      </c>
      <c r="AA171">
        <f>IF($A171="","",IF(AND($B171&gt;0,N171&lt;$B171,DATE($B$1,12,1)&lt;=TODAY(),OR($O171="",$O171&gt;=DATE($B$1,12,1)),OR(COUNTIF($C171:N171,"&gt;0")&gt;0,DATE($B$1,12,1)=DATE(YEAR(TODAY()),MONTH(TODAY()),1))),1,0))</f>
        <v/>
      </c>
    </row>
    <row r="172">
      <c r="A172" s="13">
        <f>IF(원생!$A170="","",원생!$A170&amp;IF(원생!$G170="",""," ("&amp;원생!$G170&amp;")"))</f>
        <v/>
      </c>
      <c r="B172" s="8">
        <f>IF(원생!$A170="","",N(원생!$F170))</f>
        <v/>
      </c>
      <c r="C172" s="14">
        <f>IF(원생!$A170="","",SUMIFS(계산!$C:$C,계산!$A:$A,계산!$E170,계산!$B:$B,$B$1*100+1))</f>
        <v/>
      </c>
      <c r="D172" s="14">
        <f>IF(원생!$A170="","",SUMIFS(계산!$C:$C,계산!$A:$A,계산!$E170,계산!$B:$B,$B$1*100+2))</f>
        <v/>
      </c>
      <c r="E172" s="14">
        <f>IF(원생!$A170="","",SUMIFS(계산!$C:$C,계산!$A:$A,계산!$E170,계산!$B:$B,$B$1*100+3))</f>
        <v/>
      </c>
      <c r="F172" s="14">
        <f>IF(원생!$A170="","",SUMIFS(계산!$C:$C,계산!$A:$A,계산!$E170,계산!$B:$B,$B$1*100+4))</f>
        <v/>
      </c>
      <c r="G172" s="14">
        <f>IF(원생!$A170="","",SUMIFS(계산!$C:$C,계산!$A:$A,계산!$E170,계산!$B:$B,$B$1*100+5))</f>
        <v/>
      </c>
      <c r="H172" s="14">
        <f>IF(원생!$A170="","",SUMIFS(계산!$C:$C,계산!$A:$A,계산!$E170,계산!$B:$B,$B$1*100+6))</f>
        <v/>
      </c>
      <c r="I172" s="14">
        <f>IF(원생!$A170="","",SUMIFS(계산!$C:$C,계산!$A:$A,계산!$E170,계산!$B:$B,$B$1*100+7))</f>
        <v/>
      </c>
      <c r="J172" s="14">
        <f>IF(원생!$A170="","",SUMIFS(계산!$C:$C,계산!$A:$A,계산!$E170,계산!$B:$B,$B$1*100+8))</f>
        <v/>
      </c>
      <c r="K172" s="14">
        <f>IF(원생!$A170="","",SUMIFS(계산!$C:$C,계산!$A:$A,계산!$E170,계산!$B:$B,$B$1*100+9))</f>
        <v/>
      </c>
      <c r="L172" s="14">
        <f>IF(원생!$A170="","",SUMIFS(계산!$C:$C,계산!$A:$A,계산!$E170,계산!$B:$B,$B$1*100+10))</f>
        <v/>
      </c>
      <c r="M172" s="14">
        <f>IF(원생!$A170="","",SUMIFS(계산!$C:$C,계산!$A:$A,계산!$E170,계산!$B:$B,$B$1*100+11))</f>
        <v/>
      </c>
      <c r="N172" s="14">
        <f>IF(원생!$A170="","",SUMIFS(계산!$C:$C,계산!$A:$A,계산!$E170,계산!$B:$B,$B$1*100+12))</f>
        <v/>
      </c>
      <c r="O172">
        <f>IF(원생!$I170="","",원생!$I170)</f>
        <v/>
      </c>
      <c r="P172">
        <f>IF($A172="","",IF(AND($B172&gt;0,C172&lt;$B172,DATE($B$1,1,1)&lt;=TODAY(),OR($O172="",$O172&gt;=DATE($B$1,1,1)),OR(COUNTIF($C172:C172,"&gt;0")&gt;0,DATE($B$1,1,1)=DATE(YEAR(TODAY()),MONTH(TODAY()),1))),1,0))</f>
        <v/>
      </c>
      <c r="Q172">
        <f>IF($A172="","",IF(AND($B172&gt;0,D172&lt;$B172,DATE($B$1,2,1)&lt;=TODAY(),OR($O172="",$O172&gt;=DATE($B$1,2,1)),OR(COUNTIF($C172:D172,"&gt;0")&gt;0,DATE($B$1,2,1)=DATE(YEAR(TODAY()),MONTH(TODAY()),1))),1,0))</f>
        <v/>
      </c>
      <c r="R172">
        <f>IF($A172="","",IF(AND($B172&gt;0,E172&lt;$B172,DATE($B$1,3,1)&lt;=TODAY(),OR($O172="",$O172&gt;=DATE($B$1,3,1)),OR(COUNTIF($C172:E172,"&gt;0")&gt;0,DATE($B$1,3,1)=DATE(YEAR(TODAY()),MONTH(TODAY()),1))),1,0))</f>
        <v/>
      </c>
      <c r="S172">
        <f>IF($A172="","",IF(AND($B172&gt;0,F172&lt;$B172,DATE($B$1,4,1)&lt;=TODAY(),OR($O172="",$O172&gt;=DATE($B$1,4,1)),OR(COUNTIF($C172:F172,"&gt;0")&gt;0,DATE($B$1,4,1)=DATE(YEAR(TODAY()),MONTH(TODAY()),1))),1,0))</f>
        <v/>
      </c>
      <c r="T172">
        <f>IF($A172="","",IF(AND($B172&gt;0,G172&lt;$B172,DATE($B$1,5,1)&lt;=TODAY(),OR($O172="",$O172&gt;=DATE($B$1,5,1)),OR(COUNTIF($C172:G172,"&gt;0")&gt;0,DATE($B$1,5,1)=DATE(YEAR(TODAY()),MONTH(TODAY()),1))),1,0))</f>
        <v/>
      </c>
      <c r="U172">
        <f>IF($A172="","",IF(AND($B172&gt;0,H172&lt;$B172,DATE($B$1,6,1)&lt;=TODAY(),OR($O172="",$O172&gt;=DATE($B$1,6,1)),OR(COUNTIF($C172:H172,"&gt;0")&gt;0,DATE($B$1,6,1)=DATE(YEAR(TODAY()),MONTH(TODAY()),1))),1,0))</f>
        <v/>
      </c>
      <c r="V172">
        <f>IF($A172="","",IF(AND($B172&gt;0,I172&lt;$B172,DATE($B$1,7,1)&lt;=TODAY(),OR($O172="",$O172&gt;=DATE($B$1,7,1)),OR(COUNTIF($C172:I172,"&gt;0")&gt;0,DATE($B$1,7,1)=DATE(YEAR(TODAY()),MONTH(TODAY()),1))),1,0))</f>
        <v/>
      </c>
      <c r="W172">
        <f>IF($A172="","",IF(AND($B172&gt;0,J172&lt;$B172,DATE($B$1,8,1)&lt;=TODAY(),OR($O172="",$O172&gt;=DATE($B$1,8,1)),OR(COUNTIF($C172:J172,"&gt;0")&gt;0,DATE($B$1,8,1)=DATE(YEAR(TODAY()),MONTH(TODAY()),1))),1,0))</f>
        <v/>
      </c>
      <c r="X172">
        <f>IF($A172="","",IF(AND($B172&gt;0,K172&lt;$B172,DATE($B$1,9,1)&lt;=TODAY(),OR($O172="",$O172&gt;=DATE($B$1,9,1)),OR(COUNTIF($C172:K172,"&gt;0")&gt;0,DATE($B$1,9,1)=DATE(YEAR(TODAY()),MONTH(TODAY()),1))),1,0))</f>
        <v/>
      </c>
      <c r="Y172">
        <f>IF($A172="","",IF(AND($B172&gt;0,L172&lt;$B172,DATE($B$1,10,1)&lt;=TODAY(),OR($O172="",$O172&gt;=DATE($B$1,10,1)),OR(COUNTIF($C172:L172,"&gt;0")&gt;0,DATE($B$1,10,1)=DATE(YEAR(TODAY()),MONTH(TODAY()),1))),1,0))</f>
        <v/>
      </c>
      <c r="Z172">
        <f>IF($A172="","",IF(AND($B172&gt;0,M172&lt;$B172,DATE($B$1,11,1)&lt;=TODAY(),OR($O172="",$O172&gt;=DATE($B$1,11,1)),OR(COUNTIF($C172:M172,"&gt;0")&gt;0,DATE($B$1,11,1)=DATE(YEAR(TODAY()),MONTH(TODAY()),1))),1,0))</f>
        <v/>
      </c>
      <c r="AA172">
        <f>IF($A172="","",IF(AND($B172&gt;0,N172&lt;$B172,DATE($B$1,12,1)&lt;=TODAY(),OR($O172="",$O172&gt;=DATE($B$1,12,1)),OR(COUNTIF($C172:N172,"&gt;0")&gt;0,DATE($B$1,12,1)=DATE(YEAR(TODAY()),MONTH(TODAY()),1))),1,0))</f>
        <v/>
      </c>
    </row>
    <row r="173">
      <c r="A173" s="13">
        <f>IF(원생!$A171="","",원생!$A171&amp;IF(원생!$G171="",""," ("&amp;원생!$G171&amp;")"))</f>
        <v/>
      </c>
      <c r="B173" s="8">
        <f>IF(원생!$A171="","",N(원생!$F171))</f>
        <v/>
      </c>
      <c r="C173" s="14">
        <f>IF(원생!$A171="","",SUMIFS(계산!$C:$C,계산!$A:$A,계산!$E171,계산!$B:$B,$B$1*100+1))</f>
        <v/>
      </c>
      <c r="D173" s="14">
        <f>IF(원생!$A171="","",SUMIFS(계산!$C:$C,계산!$A:$A,계산!$E171,계산!$B:$B,$B$1*100+2))</f>
        <v/>
      </c>
      <c r="E173" s="14">
        <f>IF(원생!$A171="","",SUMIFS(계산!$C:$C,계산!$A:$A,계산!$E171,계산!$B:$B,$B$1*100+3))</f>
        <v/>
      </c>
      <c r="F173" s="14">
        <f>IF(원생!$A171="","",SUMIFS(계산!$C:$C,계산!$A:$A,계산!$E171,계산!$B:$B,$B$1*100+4))</f>
        <v/>
      </c>
      <c r="G173" s="14">
        <f>IF(원생!$A171="","",SUMIFS(계산!$C:$C,계산!$A:$A,계산!$E171,계산!$B:$B,$B$1*100+5))</f>
        <v/>
      </c>
      <c r="H173" s="14">
        <f>IF(원생!$A171="","",SUMIFS(계산!$C:$C,계산!$A:$A,계산!$E171,계산!$B:$B,$B$1*100+6))</f>
        <v/>
      </c>
      <c r="I173" s="14">
        <f>IF(원생!$A171="","",SUMIFS(계산!$C:$C,계산!$A:$A,계산!$E171,계산!$B:$B,$B$1*100+7))</f>
        <v/>
      </c>
      <c r="J173" s="14">
        <f>IF(원생!$A171="","",SUMIFS(계산!$C:$C,계산!$A:$A,계산!$E171,계산!$B:$B,$B$1*100+8))</f>
        <v/>
      </c>
      <c r="K173" s="14">
        <f>IF(원생!$A171="","",SUMIFS(계산!$C:$C,계산!$A:$A,계산!$E171,계산!$B:$B,$B$1*100+9))</f>
        <v/>
      </c>
      <c r="L173" s="14">
        <f>IF(원생!$A171="","",SUMIFS(계산!$C:$C,계산!$A:$A,계산!$E171,계산!$B:$B,$B$1*100+10))</f>
        <v/>
      </c>
      <c r="M173" s="14">
        <f>IF(원생!$A171="","",SUMIFS(계산!$C:$C,계산!$A:$A,계산!$E171,계산!$B:$B,$B$1*100+11))</f>
        <v/>
      </c>
      <c r="N173" s="14">
        <f>IF(원생!$A171="","",SUMIFS(계산!$C:$C,계산!$A:$A,계산!$E171,계산!$B:$B,$B$1*100+12))</f>
        <v/>
      </c>
      <c r="O173">
        <f>IF(원생!$I171="","",원생!$I171)</f>
        <v/>
      </c>
      <c r="P173">
        <f>IF($A173="","",IF(AND($B173&gt;0,C173&lt;$B173,DATE($B$1,1,1)&lt;=TODAY(),OR($O173="",$O173&gt;=DATE($B$1,1,1)),OR(COUNTIF($C173:C173,"&gt;0")&gt;0,DATE($B$1,1,1)=DATE(YEAR(TODAY()),MONTH(TODAY()),1))),1,0))</f>
        <v/>
      </c>
      <c r="Q173">
        <f>IF($A173="","",IF(AND($B173&gt;0,D173&lt;$B173,DATE($B$1,2,1)&lt;=TODAY(),OR($O173="",$O173&gt;=DATE($B$1,2,1)),OR(COUNTIF($C173:D173,"&gt;0")&gt;0,DATE($B$1,2,1)=DATE(YEAR(TODAY()),MONTH(TODAY()),1))),1,0))</f>
        <v/>
      </c>
      <c r="R173">
        <f>IF($A173="","",IF(AND($B173&gt;0,E173&lt;$B173,DATE($B$1,3,1)&lt;=TODAY(),OR($O173="",$O173&gt;=DATE($B$1,3,1)),OR(COUNTIF($C173:E173,"&gt;0")&gt;0,DATE($B$1,3,1)=DATE(YEAR(TODAY()),MONTH(TODAY()),1))),1,0))</f>
        <v/>
      </c>
      <c r="S173">
        <f>IF($A173="","",IF(AND($B173&gt;0,F173&lt;$B173,DATE($B$1,4,1)&lt;=TODAY(),OR($O173="",$O173&gt;=DATE($B$1,4,1)),OR(COUNTIF($C173:F173,"&gt;0")&gt;0,DATE($B$1,4,1)=DATE(YEAR(TODAY()),MONTH(TODAY()),1))),1,0))</f>
        <v/>
      </c>
      <c r="T173">
        <f>IF($A173="","",IF(AND($B173&gt;0,G173&lt;$B173,DATE($B$1,5,1)&lt;=TODAY(),OR($O173="",$O173&gt;=DATE($B$1,5,1)),OR(COUNTIF($C173:G173,"&gt;0")&gt;0,DATE($B$1,5,1)=DATE(YEAR(TODAY()),MONTH(TODAY()),1))),1,0))</f>
        <v/>
      </c>
      <c r="U173">
        <f>IF($A173="","",IF(AND($B173&gt;0,H173&lt;$B173,DATE($B$1,6,1)&lt;=TODAY(),OR($O173="",$O173&gt;=DATE($B$1,6,1)),OR(COUNTIF($C173:H173,"&gt;0")&gt;0,DATE($B$1,6,1)=DATE(YEAR(TODAY()),MONTH(TODAY()),1))),1,0))</f>
        <v/>
      </c>
      <c r="V173">
        <f>IF($A173="","",IF(AND($B173&gt;0,I173&lt;$B173,DATE($B$1,7,1)&lt;=TODAY(),OR($O173="",$O173&gt;=DATE($B$1,7,1)),OR(COUNTIF($C173:I173,"&gt;0")&gt;0,DATE($B$1,7,1)=DATE(YEAR(TODAY()),MONTH(TODAY()),1))),1,0))</f>
        <v/>
      </c>
      <c r="W173">
        <f>IF($A173="","",IF(AND($B173&gt;0,J173&lt;$B173,DATE($B$1,8,1)&lt;=TODAY(),OR($O173="",$O173&gt;=DATE($B$1,8,1)),OR(COUNTIF($C173:J173,"&gt;0")&gt;0,DATE($B$1,8,1)=DATE(YEAR(TODAY()),MONTH(TODAY()),1))),1,0))</f>
        <v/>
      </c>
      <c r="X173">
        <f>IF($A173="","",IF(AND($B173&gt;0,K173&lt;$B173,DATE($B$1,9,1)&lt;=TODAY(),OR($O173="",$O173&gt;=DATE($B$1,9,1)),OR(COUNTIF($C173:K173,"&gt;0")&gt;0,DATE($B$1,9,1)=DATE(YEAR(TODAY()),MONTH(TODAY()),1))),1,0))</f>
        <v/>
      </c>
      <c r="Y173">
        <f>IF($A173="","",IF(AND($B173&gt;0,L173&lt;$B173,DATE($B$1,10,1)&lt;=TODAY(),OR($O173="",$O173&gt;=DATE($B$1,10,1)),OR(COUNTIF($C173:L173,"&gt;0")&gt;0,DATE($B$1,10,1)=DATE(YEAR(TODAY()),MONTH(TODAY()),1))),1,0))</f>
        <v/>
      </c>
      <c r="Z173">
        <f>IF($A173="","",IF(AND($B173&gt;0,M173&lt;$B173,DATE($B$1,11,1)&lt;=TODAY(),OR($O173="",$O173&gt;=DATE($B$1,11,1)),OR(COUNTIF($C173:M173,"&gt;0")&gt;0,DATE($B$1,11,1)=DATE(YEAR(TODAY()),MONTH(TODAY()),1))),1,0))</f>
        <v/>
      </c>
      <c r="AA173">
        <f>IF($A173="","",IF(AND($B173&gt;0,N173&lt;$B173,DATE($B$1,12,1)&lt;=TODAY(),OR($O173="",$O173&gt;=DATE($B$1,12,1)),OR(COUNTIF($C173:N173,"&gt;0")&gt;0,DATE($B$1,12,1)=DATE(YEAR(TODAY()),MONTH(TODAY()),1))),1,0))</f>
        <v/>
      </c>
    </row>
    <row r="174">
      <c r="A174" s="13">
        <f>IF(원생!$A172="","",원생!$A172&amp;IF(원생!$G172="",""," ("&amp;원생!$G172&amp;")"))</f>
        <v/>
      </c>
      <c r="B174" s="8">
        <f>IF(원생!$A172="","",N(원생!$F172))</f>
        <v/>
      </c>
      <c r="C174" s="14">
        <f>IF(원생!$A172="","",SUMIFS(계산!$C:$C,계산!$A:$A,계산!$E172,계산!$B:$B,$B$1*100+1))</f>
        <v/>
      </c>
      <c r="D174" s="14">
        <f>IF(원생!$A172="","",SUMIFS(계산!$C:$C,계산!$A:$A,계산!$E172,계산!$B:$B,$B$1*100+2))</f>
        <v/>
      </c>
      <c r="E174" s="14">
        <f>IF(원생!$A172="","",SUMIFS(계산!$C:$C,계산!$A:$A,계산!$E172,계산!$B:$B,$B$1*100+3))</f>
        <v/>
      </c>
      <c r="F174" s="14">
        <f>IF(원생!$A172="","",SUMIFS(계산!$C:$C,계산!$A:$A,계산!$E172,계산!$B:$B,$B$1*100+4))</f>
        <v/>
      </c>
      <c r="G174" s="14">
        <f>IF(원생!$A172="","",SUMIFS(계산!$C:$C,계산!$A:$A,계산!$E172,계산!$B:$B,$B$1*100+5))</f>
        <v/>
      </c>
      <c r="H174" s="14">
        <f>IF(원생!$A172="","",SUMIFS(계산!$C:$C,계산!$A:$A,계산!$E172,계산!$B:$B,$B$1*100+6))</f>
        <v/>
      </c>
      <c r="I174" s="14">
        <f>IF(원생!$A172="","",SUMIFS(계산!$C:$C,계산!$A:$A,계산!$E172,계산!$B:$B,$B$1*100+7))</f>
        <v/>
      </c>
      <c r="J174" s="14">
        <f>IF(원생!$A172="","",SUMIFS(계산!$C:$C,계산!$A:$A,계산!$E172,계산!$B:$B,$B$1*100+8))</f>
        <v/>
      </c>
      <c r="K174" s="14">
        <f>IF(원생!$A172="","",SUMIFS(계산!$C:$C,계산!$A:$A,계산!$E172,계산!$B:$B,$B$1*100+9))</f>
        <v/>
      </c>
      <c r="L174" s="14">
        <f>IF(원생!$A172="","",SUMIFS(계산!$C:$C,계산!$A:$A,계산!$E172,계산!$B:$B,$B$1*100+10))</f>
        <v/>
      </c>
      <c r="M174" s="14">
        <f>IF(원생!$A172="","",SUMIFS(계산!$C:$C,계산!$A:$A,계산!$E172,계산!$B:$B,$B$1*100+11))</f>
        <v/>
      </c>
      <c r="N174" s="14">
        <f>IF(원생!$A172="","",SUMIFS(계산!$C:$C,계산!$A:$A,계산!$E172,계산!$B:$B,$B$1*100+12))</f>
        <v/>
      </c>
      <c r="O174">
        <f>IF(원생!$I172="","",원생!$I172)</f>
        <v/>
      </c>
      <c r="P174">
        <f>IF($A174="","",IF(AND($B174&gt;0,C174&lt;$B174,DATE($B$1,1,1)&lt;=TODAY(),OR($O174="",$O174&gt;=DATE($B$1,1,1)),OR(COUNTIF($C174:C174,"&gt;0")&gt;0,DATE($B$1,1,1)=DATE(YEAR(TODAY()),MONTH(TODAY()),1))),1,0))</f>
        <v/>
      </c>
      <c r="Q174">
        <f>IF($A174="","",IF(AND($B174&gt;0,D174&lt;$B174,DATE($B$1,2,1)&lt;=TODAY(),OR($O174="",$O174&gt;=DATE($B$1,2,1)),OR(COUNTIF($C174:D174,"&gt;0")&gt;0,DATE($B$1,2,1)=DATE(YEAR(TODAY()),MONTH(TODAY()),1))),1,0))</f>
        <v/>
      </c>
      <c r="R174">
        <f>IF($A174="","",IF(AND($B174&gt;0,E174&lt;$B174,DATE($B$1,3,1)&lt;=TODAY(),OR($O174="",$O174&gt;=DATE($B$1,3,1)),OR(COUNTIF($C174:E174,"&gt;0")&gt;0,DATE($B$1,3,1)=DATE(YEAR(TODAY()),MONTH(TODAY()),1))),1,0))</f>
        <v/>
      </c>
      <c r="S174">
        <f>IF($A174="","",IF(AND($B174&gt;0,F174&lt;$B174,DATE($B$1,4,1)&lt;=TODAY(),OR($O174="",$O174&gt;=DATE($B$1,4,1)),OR(COUNTIF($C174:F174,"&gt;0")&gt;0,DATE($B$1,4,1)=DATE(YEAR(TODAY()),MONTH(TODAY()),1))),1,0))</f>
        <v/>
      </c>
      <c r="T174">
        <f>IF($A174="","",IF(AND($B174&gt;0,G174&lt;$B174,DATE($B$1,5,1)&lt;=TODAY(),OR($O174="",$O174&gt;=DATE($B$1,5,1)),OR(COUNTIF($C174:G174,"&gt;0")&gt;0,DATE($B$1,5,1)=DATE(YEAR(TODAY()),MONTH(TODAY()),1))),1,0))</f>
        <v/>
      </c>
      <c r="U174">
        <f>IF($A174="","",IF(AND($B174&gt;0,H174&lt;$B174,DATE($B$1,6,1)&lt;=TODAY(),OR($O174="",$O174&gt;=DATE($B$1,6,1)),OR(COUNTIF($C174:H174,"&gt;0")&gt;0,DATE($B$1,6,1)=DATE(YEAR(TODAY()),MONTH(TODAY()),1))),1,0))</f>
        <v/>
      </c>
      <c r="V174">
        <f>IF($A174="","",IF(AND($B174&gt;0,I174&lt;$B174,DATE($B$1,7,1)&lt;=TODAY(),OR($O174="",$O174&gt;=DATE($B$1,7,1)),OR(COUNTIF($C174:I174,"&gt;0")&gt;0,DATE($B$1,7,1)=DATE(YEAR(TODAY()),MONTH(TODAY()),1))),1,0))</f>
        <v/>
      </c>
      <c r="W174">
        <f>IF($A174="","",IF(AND($B174&gt;0,J174&lt;$B174,DATE($B$1,8,1)&lt;=TODAY(),OR($O174="",$O174&gt;=DATE($B$1,8,1)),OR(COUNTIF($C174:J174,"&gt;0")&gt;0,DATE($B$1,8,1)=DATE(YEAR(TODAY()),MONTH(TODAY()),1))),1,0))</f>
        <v/>
      </c>
      <c r="X174">
        <f>IF($A174="","",IF(AND($B174&gt;0,K174&lt;$B174,DATE($B$1,9,1)&lt;=TODAY(),OR($O174="",$O174&gt;=DATE($B$1,9,1)),OR(COUNTIF($C174:K174,"&gt;0")&gt;0,DATE($B$1,9,1)=DATE(YEAR(TODAY()),MONTH(TODAY()),1))),1,0))</f>
        <v/>
      </c>
      <c r="Y174">
        <f>IF($A174="","",IF(AND($B174&gt;0,L174&lt;$B174,DATE($B$1,10,1)&lt;=TODAY(),OR($O174="",$O174&gt;=DATE($B$1,10,1)),OR(COUNTIF($C174:L174,"&gt;0")&gt;0,DATE($B$1,10,1)=DATE(YEAR(TODAY()),MONTH(TODAY()),1))),1,0))</f>
        <v/>
      </c>
      <c r="Z174">
        <f>IF($A174="","",IF(AND($B174&gt;0,M174&lt;$B174,DATE($B$1,11,1)&lt;=TODAY(),OR($O174="",$O174&gt;=DATE($B$1,11,1)),OR(COUNTIF($C174:M174,"&gt;0")&gt;0,DATE($B$1,11,1)=DATE(YEAR(TODAY()),MONTH(TODAY()),1))),1,0))</f>
        <v/>
      </c>
      <c r="AA174">
        <f>IF($A174="","",IF(AND($B174&gt;0,N174&lt;$B174,DATE($B$1,12,1)&lt;=TODAY(),OR($O174="",$O174&gt;=DATE($B$1,12,1)),OR(COUNTIF($C174:N174,"&gt;0")&gt;0,DATE($B$1,12,1)=DATE(YEAR(TODAY()),MONTH(TODAY()),1))),1,0))</f>
        <v/>
      </c>
    </row>
    <row r="175">
      <c r="A175" s="13">
        <f>IF(원생!$A173="","",원생!$A173&amp;IF(원생!$G173="",""," ("&amp;원생!$G173&amp;")"))</f>
        <v/>
      </c>
      <c r="B175" s="8">
        <f>IF(원생!$A173="","",N(원생!$F173))</f>
        <v/>
      </c>
      <c r="C175" s="14">
        <f>IF(원생!$A173="","",SUMIFS(계산!$C:$C,계산!$A:$A,계산!$E173,계산!$B:$B,$B$1*100+1))</f>
        <v/>
      </c>
      <c r="D175" s="14">
        <f>IF(원생!$A173="","",SUMIFS(계산!$C:$C,계산!$A:$A,계산!$E173,계산!$B:$B,$B$1*100+2))</f>
        <v/>
      </c>
      <c r="E175" s="14">
        <f>IF(원생!$A173="","",SUMIFS(계산!$C:$C,계산!$A:$A,계산!$E173,계산!$B:$B,$B$1*100+3))</f>
        <v/>
      </c>
      <c r="F175" s="14">
        <f>IF(원생!$A173="","",SUMIFS(계산!$C:$C,계산!$A:$A,계산!$E173,계산!$B:$B,$B$1*100+4))</f>
        <v/>
      </c>
      <c r="G175" s="14">
        <f>IF(원생!$A173="","",SUMIFS(계산!$C:$C,계산!$A:$A,계산!$E173,계산!$B:$B,$B$1*100+5))</f>
        <v/>
      </c>
      <c r="H175" s="14">
        <f>IF(원생!$A173="","",SUMIFS(계산!$C:$C,계산!$A:$A,계산!$E173,계산!$B:$B,$B$1*100+6))</f>
        <v/>
      </c>
      <c r="I175" s="14">
        <f>IF(원생!$A173="","",SUMIFS(계산!$C:$C,계산!$A:$A,계산!$E173,계산!$B:$B,$B$1*100+7))</f>
        <v/>
      </c>
      <c r="J175" s="14">
        <f>IF(원생!$A173="","",SUMIFS(계산!$C:$C,계산!$A:$A,계산!$E173,계산!$B:$B,$B$1*100+8))</f>
        <v/>
      </c>
      <c r="K175" s="14">
        <f>IF(원생!$A173="","",SUMIFS(계산!$C:$C,계산!$A:$A,계산!$E173,계산!$B:$B,$B$1*100+9))</f>
        <v/>
      </c>
      <c r="L175" s="14">
        <f>IF(원생!$A173="","",SUMIFS(계산!$C:$C,계산!$A:$A,계산!$E173,계산!$B:$B,$B$1*100+10))</f>
        <v/>
      </c>
      <c r="M175" s="14">
        <f>IF(원생!$A173="","",SUMIFS(계산!$C:$C,계산!$A:$A,계산!$E173,계산!$B:$B,$B$1*100+11))</f>
        <v/>
      </c>
      <c r="N175" s="14">
        <f>IF(원생!$A173="","",SUMIFS(계산!$C:$C,계산!$A:$A,계산!$E173,계산!$B:$B,$B$1*100+12))</f>
        <v/>
      </c>
      <c r="O175">
        <f>IF(원생!$I173="","",원생!$I173)</f>
        <v/>
      </c>
      <c r="P175">
        <f>IF($A175="","",IF(AND($B175&gt;0,C175&lt;$B175,DATE($B$1,1,1)&lt;=TODAY(),OR($O175="",$O175&gt;=DATE($B$1,1,1)),OR(COUNTIF($C175:C175,"&gt;0")&gt;0,DATE($B$1,1,1)=DATE(YEAR(TODAY()),MONTH(TODAY()),1))),1,0))</f>
        <v/>
      </c>
      <c r="Q175">
        <f>IF($A175="","",IF(AND($B175&gt;0,D175&lt;$B175,DATE($B$1,2,1)&lt;=TODAY(),OR($O175="",$O175&gt;=DATE($B$1,2,1)),OR(COUNTIF($C175:D175,"&gt;0")&gt;0,DATE($B$1,2,1)=DATE(YEAR(TODAY()),MONTH(TODAY()),1))),1,0))</f>
        <v/>
      </c>
      <c r="R175">
        <f>IF($A175="","",IF(AND($B175&gt;0,E175&lt;$B175,DATE($B$1,3,1)&lt;=TODAY(),OR($O175="",$O175&gt;=DATE($B$1,3,1)),OR(COUNTIF($C175:E175,"&gt;0")&gt;0,DATE($B$1,3,1)=DATE(YEAR(TODAY()),MONTH(TODAY()),1))),1,0))</f>
        <v/>
      </c>
      <c r="S175">
        <f>IF($A175="","",IF(AND($B175&gt;0,F175&lt;$B175,DATE($B$1,4,1)&lt;=TODAY(),OR($O175="",$O175&gt;=DATE($B$1,4,1)),OR(COUNTIF($C175:F175,"&gt;0")&gt;0,DATE($B$1,4,1)=DATE(YEAR(TODAY()),MONTH(TODAY()),1))),1,0))</f>
        <v/>
      </c>
      <c r="T175">
        <f>IF($A175="","",IF(AND($B175&gt;0,G175&lt;$B175,DATE($B$1,5,1)&lt;=TODAY(),OR($O175="",$O175&gt;=DATE($B$1,5,1)),OR(COUNTIF($C175:G175,"&gt;0")&gt;0,DATE($B$1,5,1)=DATE(YEAR(TODAY()),MONTH(TODAY()),1))),1,0))</f>
        <v/>
      </c>
      <c r="U175">
        <f>IF($A175="","",IF(AND($B175&gt;0,H175&lt;$B175,DATE($B$1,6,1)&lt;=TODAY(),OR($O175="",$O175&gt;=DATE($B$1,6,1)),OR(COUNTIF($C175:H175,"&gt;0")&gt;0,DATE($B$1,6,1)=DATE(YEAR(TODAY()),MONTH(TODAY()),1))),1,0))</f>
        <v/>
      </c>
      <c r="V175">
        <f>IF($A175="","",IF(AND($B175&gt;0,I175&lt;$B175,DATE($B$1,7,1)&lt;=TODAY(),OR($O175="",$O175&gt;=DATE($B$1,7,1)),OR(COUNTIF($C175:I175,"&gt;0")&gt;0,DATE($B$1,7,1)=DATE(YEAR(TODAY()),MONTH(TODAY()),1))),1,0))</f>
        <v/>
      </c>
      <c r="W175">
        <f>IF($A175="","",IF(AND($B175&gt;0,J175&lt;$B175,DATE($B$1,8,1)&lt;=TODAY(),OR($O175="",$O175&gt;=DATE($B$1,8,1)),OR(COUNTIF($C175:J175,"&gt;0")&gt;0,DATE($B$1,8,1)=DATE(YEAR(TODAY()),MONTH(TODAY()),1))),1,0))</f>
        <v/>
      </c>
      <c r="X175">
        <f>IF($A175="","",IF(AND($B175&gt;0,K175&lt;$B175,DATE($B$1,9,1)&lt;=TODAY(),OR($O175="",$O175&gt;=DATE($B$1,9,1)),OR(COUNTIF($C175:K175,"&gt;0")&gt;0,DATE($B$1,9,1)=DATE(YEAR(TODAY()),MONTH(TODAY()),1))),1,0))</f>
        <v/>
      </c>
      <c r="Y175">
        <f>IF($A175="","",IF(AND($B175&gt;0,L175&lt;$B175,DATE($B$1,10,1)&lt;=TODAY(),OR($O175="",$O175&gt;=DATE($B$1,10,1)),OR(COUNTIF($C175:L175,"&gt;0")&gt;0,DATE($B$1,10,1)=DATE(YEAR(TODAY()),MONTH(TODAY()),1))),1,0))</f>
        <v/>
      </c>
      <c r="Z175">
        <f>IF($A175="","",IF(AND($B175&gt;0,M175&lt;$B175,DATE($B$1,11,1)&lt;=TODAY(),OR($O175="",$O175&gt;=DATE($B$1,11,1)),OR(COUNTIF($C175:M175,"&gt;0")&gt;0,DATE($B$1,11,1)=DATE(YEAR(TODAY()),MONTH(TODAY()),1))),1,0))</f>
        <v/>
      </c>
      <c r="AA175">
        <f>IF($A175="","",IF(AND($B175&gt;0,N175&lt;$B175,DATE($B$1,12,1)&lt;=TODAY(),OR($O175="",$O175&gt;=DATE($B$1,12,1)),OR(COUNTIF($C175:N175,"&gt;0")&gt;0,DATE($B$1,12,1)=DATE(YEAR(TODAY()),MONTH(TODAY()),1))),1,0))</f>
        <v/>
      </c>
    </row>
    <row r="176">
      <c r="A176" s="13">
        <f>IF(원생!$A174="","",원생!$A174&amp;IF(원생!$G174="",""," ("&amp;원생!$G174&amp;")"))</f>
        <v/>
      </c>
      <c r="B176" s="8">
        <f>IF(원생!$A174="","",N(원생!$F174))</f>
        <v/>
      </c>
      <c r="C176" s="14">
        <f>IF(원생!$A174="","",SUMIFS(계산!$C:$C,계산!$A:$A,계산!$E174,계산!$B:$B,$B$1*100+1))</f>
        <v/>
      </c>
      <c r="D176" s="14">
        <f>IF(원생!$A174="","",SUMIFS(계산!$C:$C,계산!$A:$A,계산!$E174,계산!$B:$B,$B$1*100+2))</f>
        <v/>
      </c>
      <c r="E176" s="14">
        <f>IF(원생!$A174="","",SUMIFS(계산!$C:$C,계산!$A:$A,계산!$E174,계산!$B:$B,$B$1*100+3))</f>
        <v/>
      </c>
      <c r="F176" s="14">
        <f>IF(원생!$A174="","",SUMIFS(계산!$C:$C,계산!$A:$A,계산!$E174,계산!$B:$B,$B$1*100+4))</f>
        <v/>
      </c>
      <c r="G176" s="14">
        <f>IF(원생!$A174="","",SUMIFS(계산!$C:$C,계산!$A:$A,계산!$E174,계산!$B:$B,$B$1*100+5))</f>
        <v/>
      </c>
      <c r="H176" s="14">
        <f>IF(원생!$A174="","",SUMIFS(계산!$C:$C,계산!$A:$A,계산!$E174,계산!$B:$B,$B$1*100+6))</f>
        <v/>
      </c>
      <c r="I176" s="14">
        <f>IF(원생!$A174="","",SUMIFS(계산!$C:$C,계산!$A:$A,계산!$E174,계산!$B:$B,$B$1*100+7))</f>
        <v/>
      </c>
      <c r="J176" s="14">
        <f>IF(원생!$A174="","",SUMIFS(계산!$C:$C,계산!$A:$A,계산!$E174,계산!$B:$B,$B$1*100+8))</f>
        <v/>
      </c>
      <c r="K176" s="14">
        <f>IF(원생!$A174="","",SUMIFS(계산!$C:$C,계산!$A:$A,계산!$E174,계산!$B:$B,$B$1*100+9))</f>
        <v/>
      </c>
      <c r="L176" s="14">
        <f>IF(원생!$A174="","",SUMIFS(계산!$C:$C,계산!$A:$A,계산!$E174,계산!$B:$B,$B$1*100+10))</f>
        <v/>
      </c>
      <c r="M176" s="14">
        <f>IF(원생!$A174="","",SUMIFS(계산!$C:$C,계산!$A:$A,계산!$E174,계산!$B:$B,$B$1*100+11))</f>
        <v/>
      </c>
      <c r="N176" s="14">
        <f>IF(원생!$A174="","",SUMIFS(계산!$C:$C,계산!$A:$A,계산!$E174,계산!$B:$B,$B$1*100+12))</f>
        <v/>
      </c>
      <c r="O176">
        <f>IF(원생!$I174="","",원생!$I174)</f>
        <v/>
      </c>
      <c r="P176">
        <f>IF($A176="","",IF(AND($B176&gt;0,C176&lt;$B176,DATE($B$1,1,1)&lt;=TODAY(),OR($O176="",$O176&gt;=DATE($B$1,1,1)),OR(COUNTIF($C176:C176,"&gt;0")&gt;0,DATE($B$1,1,1)=DATE(YEAR(TODAY()),MONTH(TODAY()),1))),1,0))</f>
        <v/>
      </c>
      <c r="Q176">
        <f>IF($A176="","",IF(AND($B176&gt;0,D176&lt;$B176,DATE($B$1,2,1)&lt;=TODAY(),OR($O176="",$O176&gt;=DATE($B$1,2,1)),OR(COUNTIF($C176:D176,"&gt;0")&gt;0,DATE($B$1,2,1)=DATE(YEAR(TODAY()),MONTH(TODAY()),1))),1,0))</f>
        <v/>
      </c>
      <c r="R176">
        <f>IF($A176="","",IF(AND($B176&gt;0,E176&lt;$B176,DATE($B$1,3,1)&lt;=TODAY(),OR($O176="",$O176&gt;=DATE($B$1,3,1)),OR(COUNTIF($C176:E176,"&gt;0")&gt;0,DATE($B$1,3,1)=DATE(YEAR(TODAY()),MONTH(TODAY()),1))),1,0))</f>
        <v/>
      </c>
      <c r="S176">
        <f>IF($A176="","",IF(AND($B176&gt;0,F176&lt;$B176,DATE($B$1,4,1)&lt;=TODAY(),OR($O176="",$O176&gt;=DATE($B$1,4,1)),OR(COUNTIF($C176:F176,"&gt;0")&gt;0,DATE($B$1,4,1)=DATE(YEAR(TODAY()),MONTH(TODAY()),1))),1,0))</f>
        <v/>
      </c>
      <c r="T176">
        <f>IF($A176="","",IF(AND($B176&gt;0,G176&lt;$B176,DATE($B$1,5,1)&lt;=TODAY(),OR($O176="",$O176&gt;=DATE($B$1,5,1)),OR(COUNTIF($C176:G176,"&gt;0")&gt;0,DATE($B$1,5,1)=DATE(YEAR(TODAY()),MONTH(TODAY()),1))),1,0))</f>
        <v/>
      </c>
      <c r="U176">
        <f>IF($A176="","",IF(AND($B176&gt;0,H176&lt;$B176,DATE($B$1,6,1)&lt;=TODAY(),OR($O176="",$O176&gt;=DATE($B$1,6,1)),OR(COUNTIF($C176:H176,"&gt;0")&gt;0,DATE($B$1,6,1)=DATE(YEAR(TODAY()),MONTH(TODAY()),1))),1,0))</f>
        <v/>
      </c>
      <c r="V176">
        <f>IF($A176="","",IF(AND($B176&gt;0,I176&lt;$B176,DATE($B$1,7,1)&lt;=TODAY(),OR($O176="",$O176&gt;=DATE($B$1,7,1)),OR(COUNTIF($C176:I176,"&gt;0")&gt;0,DATE($B$1,7,1)=DATE(YEAR(TODAY()),MONTH(TODAY()),1))),1,0))</f>
        <v/>
      </c>
      <c r="W176">
        <f>IF($A176="","",IF(AND($B176&gt;0,J176&lt;$B176,DATE($B$1,8,1)&lt;=TODAY(),OR($O176="",$O176&gt;=DATE($B$1,8,1)),OR(COUNTIF($C176:J176,"&gt;0")&gt;0,DATE($B$1,8,1)=DATE(YEAR(TODAY()),MONTH(TODAY()),1))),1,0))</f>
        <v/>
      </c>
      <c r="X176">
        <f>IF($A176="","",IF(AND($B176&gt;0,K176&lt;$B176,DATE($B$1,9,1)&lt;=TODAY(),OR($O176="",$O176&gt;=DATE($B$1,9,1)),OR(COUNTIF($C176:K176,"&gt;0")&gt;0,DATE($B$1,9,1)=DATE(YEAR(TODAY()),MONTH(TODAY()),1))),1,0))</f>
        <v/>
      </c>
      <c r="Y176">
        <f>IF($A176="","",IF(AND($B176&gt;0,L176&lt;$B176,DATE($B$1,10,1)&lt;=TODAY(),OR($O176="",$O176&gt;=DATE($B$1,10,1)),OR(COUNTIF($C176:L176,"&gt;0")&gt;0,DATE($B$1,10,1)=DATE(YEAR(TODAY()),MONTH(TODAY()),1))),1,0))</f>
        <v/>
      </c>
      <c r="Z176">
        <f>IF($A176="","",IF(AND($B176&gt;0,M176&lt;$B176,DATE($B$1,11,1)&lt;=TODAY(),OR($O176="",$O176&gt;=DATE($B$1,11,1)),OR(COUNTIF($C176:M176,"&gt;0")&gt;0,DATE($B$1,11,1)=DATE(YEAR(TODAY()),MONTH(TODAY()),1))),1,0))</f>
        <v/>
      </c>
      <c r="AA176">
        <f>IF($A176="","",IF(AND($B176&gt;0,N176&lt;$B176,DATE($B$1,12,1)&lt;=TODAY(),OR($O176="",$O176&gt;=DATE($B$1,12,1)),OR(COUNTIF($C176:N176,"&gt;0")&gt;0,DATE($B$1,12,1)=DATE(YEAR(TODAY()),MONTH(TODAY()),1))),1,0))</f>
        <v/>
      </c>
    </row>
    <row r="177">
      <c r="A177" s="13">
        <f>IF(원생!$A175="","",원생!$A175&amp;IF(원생!$G175="",""," ("&amp;원생!$G175&amp;")"))</f>
        <v/>
      </c>
      <c r="B177" s="8">
        <f>IF(원생!$A175="","",N(원생!$F175))</f>
        <v/>
      </c>
      <c r="C177" s="14">
        <f>IF(원생!$A175="","",SUMIFS(계산!$C:$C,계산!$A:$A,계산!$E175,계산!$B:$B,$B$1*100+1))</f>
        <v/>
      </c>
      <c r="D177" s="14">
        <f>IF(원생!$A175="","",SUMIFS(계산!$C:$C,계산!$A:$A,계산!$E175,계산!$B:$B,$B$1*100+2))</f>
        <v/>
      </c>
      <c r="E177" s="14">
        <f>IF(원생!$A175="","",SUMIFS(계산!$C:$C,계산!$A:$A,계산!$E175,계산!$B:$B,$B$1*100+3))</f>
        <v/>
      </c>
      <c r="F177" s="14">
        <f>IF(원생!$A175="","",SUMIFS(계산!$C:$C,계산!$A:$A,계산!$E175,계산!$B:$B,$B$1*100+4))</f>
        <v/>
      </c>
      <c r="G177" s="14">
        <f>IF(원생!$A175="","",SUMIFS(계산!$C:$C,계산!$A:$A,계산!$E175,계산!$B:$B,$B$1*100+5))</f>
        <v/>
      </c>
      <c r="H177" s="14">
        <f>IF(원생!$A175="","",SUMIFS(계산!$C:$C,계산!$A:$A,계산!$E175,계산!$B:$B,$B$1*100+6))</f>
        <v/>
      </c>
      <c r="I177" s="14">
        <f>IF(원생!$A175="","",SUMIFS(계산!$C:$C,계산!$A:$A,계산!$E175,계산!$B:$B,$B$1*100+7))</f>
        <v/>
      </c>
      <c r="J177" s="14">
        <f>IF(원생!$A175="","",SUMIFS(계산!$C:$C,계산!$A:$A,계산!$E175,계산!$B:$B,$B$1*100+8))</f>
        <v/>
      </c>
      <c r="K177" s="14">
        <f>IF(원생!$A175="","",SUMIFS(계산!$C:$C,계산!$A:$A,계산!$E175,계산!$B:$B,$B$1*100+9))</f>
        <v/>
      </c>
      <c r="L177" s="14">
        <f>IF(원생!$A175="","",SUMIFS(계산!$C:$C,계산!$A:$A,계산!$E175,계산!$B:$B,$B$1*100+10))</f>
        <v/>
      </c>
      <c r="M177" s="14">
        <f>IF(원생!$A175="","",SUMIFS(계산!$C:$C,계산!$A:$A,계산!$E175,계산!$B:$B,$B$1*100+11))</f>
        <v/>
      </c>
      <c r="N177" s="14">
        <f>IF(원생!$A175="","",SUMIFS(계산!$C:$C,계산!$A:$A,계산!$E175,계산!$B:$B,$B$1*100+12))</f>
        <v/>
      </c>
      <c r="O177">
        <f>IF(원생!$I175="","",원생!$I175)</f>
        <v/>
      </c>
      <c r="P177">
        <f>IF($A177="","",IF(AND($B177&gt;0,C177&lt;$B177,DATE($B$1,1,1)&lt;=TODAY(),OR($O177="",$O177&gt;=DATE($B$1,1,1)),OR(COUNTIF($C177:C177,"&gt;0")&gt;0,DATE($B$1,1,1)=DATE(YEAR(TODAY()),MONTH(TODAY()),1))),1,0))</f>
        <v/>
      </c>
      <c r="Q177">
        <f>IF($A177="","",IF(AND($B177&gt;0,D177&lt;$B177,DATE($B$1,2,1)&lt;=TODAY(),OR($O177="",$O177&gt;=DATE($B$1,2,1)),OR(COUNTIF($C177:D177,"&gt;0")&gt;0,DATE($B$1,2,1)=DATE(YEAR(TODAY()),MONTH(TODAY()),1))),1,0))</f>
        <v/>
      </c>
      <c r="R177">
        <f>IF($A177="","",IF(AND($B177&gt;0,E177&lt;$B177,DATE($B$1,3,1)&lt;=TODAY(),OR($O177="",$O177&gt;=DATE($B$1,3,1)),OR(COUNTIF($C177:E177,"&gt;0")&gt;0,DATE($B$1,3,1)=DATE(YEAR(TODAY()),MONTH(TODAY()),1))),1,0))</f>
        <v/>
      </c>
      <c r="S177">
        <f>IF($A177="","",IF(AND($B177&gt;0,F177&lt;$B177,DATE($B$1,4,1)&lt;=TODAY(),OR($O177="",$O177&gt;=DATE($B$1,4,1)),OR(COUNTIF($C177:F177,"&gt;0")&gt;0,DATE($B$1,4,1)=DATE(YEAR(TODAY()),MONTH(TODAY()),1))),1,0))</f>
        <v/>
      </c>
      <c r="T177">
        <f>IF($A177="","",IF(AND($B177&gt;0,G177&lt;$B177,DATE($B$1,5,1)&lt;=TODAY(),OR($O177="",$O177&gt;=DATE($B$1,5,1)),OR(COUNTIF($C177:G177,"&gt;0")&gt;0,DATE($B$1,5,1)=DATE(YEAR(TODAY()),MONTH(TODAY()),1))),1,0))</f>
        <v/>
      </c>
      <c r="U177">
        <f>IF($A177="","",IF(AND($B177&gt;0,H177&lt;$B177,DATE($B$1,6,1)&lt;=TODAY(),OR($O177="",$O177&gt;=DATE($B$1,6,1)),OR(COUNTIF($C177:H177,"&gt;0")&gt;0,DATE($B$1,6,1)=DATE(YEAR(TODAY()),MONTH(TODAY()),1))),1,0))</f>
        <v/>
      </c>
      <c r="V177">
        <f>IF($A177="","",IF(AND($B177&gt;0,I177&lt;$B177,DATE($B$1,7,1)&lt;=TODAY(),OR($O177="",$O177&gt;=DATE($B$1,7,1)),OR(COUNTIF($C177:I177,"&gt;0")&gt;0,DATE($B$1,7,1)=DATE(YEAR(TODAY()),MONTH(TODAY()),1))),1,0))</f>
        <v/>
      </c>
      <c r="W177">
        <f>IF($A177="","",IF(AND($B177&gt;0,J177&lt;$B177,DATE($B$1,8,1)&lt;=TODAY(),OR($O177="",$O177&gt;=DATE($B$1,8,1)),OR(COUNTIF($C177:J177,"&gt;0")&gt;0,DATE($B$1,8,1)=DATE(YEAR(TODAY()),MONTH(TODAY()),1))),1,0))</f>
        <v/>
      </c>
      <c r="X177">
        <f>IF($A177="","",IF(AND($B177&gt;0,K177&lt;$B177,DATE($B$1,9,1)&lt;=TODAY(),OR($O177="",$O177&gt;=DATE($B$1,9,1)),OR(COUNTIF($C177:K177,"&gt;0")&gt;0,DATE($B$1,9,1)=DATE(YEAR(TODAY()),MONTH(TODAY()),1))),1,0))</f>
        <v/>
      </c>
      <c r="Y177">
        <f>IF($A177="","",IF(AND($B177&gt;0,L177&lt;$B177,DATE($B$1,10,1)&lt;=TODAY(),OR($O177="",$O177&gt;=DATE($B$1,10,1)),OR(COUNTIF($C177:L177,"&gt;0")&gt;0,DATE($B$1,10,1)=DATE(YEAR(TODAY()),MONTH(TODAY()),1))),1,0))</f>
        <v/>
      </c>
      <c r="Z177">
        <f>IF($A177="","",IF(AND($B177&gt;0,M177&lt;$B177,DATE($B$1,11,1)&lt;=TODAY(),OR($O177="",$O177&gt;=DATE($B$1,11,1)),OR(COUNTIF($C177:M177,"&gt;0")&gt;0,DATE($B$1,11,1)=DATE(YEAR(TODAY()),MONTH(TODAY()),1))),1,0))</f>
        <v/>
      </c>
      <c r="AA177">
        <f>IF($A177="","",IF(AND($B177&gt;0,N177&lt;$B177,DATE($B$1,12,1)&lt;=TODAY(),OR($O177="",$O177&gt;=DATE($B$1,12,1)),OR(COUNTIF($C177:N177,"&gt;0")&gt;0,DATE($B$1,12,1)=DATE(YEAR(TODAY()),MONTH(TODAY()),1))),1,0))</f>
        <v/>
      </c>
    </row>
    <row r="178">
      <c r="A178" s="13">
        <f>IF(원생!$A176="","",원생!$A176&amp;IF(원생!$G176="",""," ("&amp;원생!$G176&amp;")"))</f>
        <v/>
      </c>
      <c r="B178" s="8">
        <f>IF(원생!$A176="","",N(원생!$F176))</f>
        <v/>
      </c>
      <c r="C178" s="14">
        <f>IF(원생!$A176="","",SUMIFS(계산!$C:$C,계산!$A:$A,계산!$E176,계산!$B:$B,$B$1*100+1))</f>
        <v/>
      </c>
      <c r="D178" s="14">
        <f>IF(원생!$A176="","",SUMIFS(계산!$C:$C,계산!$A:$A,계산!$E176,계산!$B:$B,$B$1*100+2))</f>
        <v/>
      </c>
      <c r="E178" s="14">
        <f>IF(원생!$A176="","",SUMIFS(계산!$C:$C,계산!$A:$A,계산!$E176,계산!$B:$B,$B$1*100+3))</f>
        <v/>
      </c>
      <c r="F178" s="14">
        <f>IF(원생!$A176="","",SUMIFS(계산!$C:$C,계산!$A:$A,계산!$E176,계산!$B:$B,$B$1*100+4))</f>
        <v/>
      </c>
      <c r="G178" s="14">
        <f>IF(원생!$A176="","",SUMIFS(계산!$C:$C,계산!$A:$A,계산!$E176,계산!$B:$B,$B$1*100+5))</f>
        <v/>
      </c>
      <c r="H178" s="14">
        <f>IF(원생!$A176="","",SUMIFS(계산!$C:$C,계산!$A:$A,계산!$E176,계산!$B:$B,$B$1*100+6))</f>
        <v/>
      </c>
      <c r="I178" s="14">
        <f>IF(원생!$A176="","",SUMIFS(계산!$C:$C,계산!$A:$A,계산!$E176,계산!$B:$B,$B$1*100+7))</f>
        <v/>
      </c>
      <c r="J178" s="14">
        <f>IF(원생!$A176="","",SUMIFS(계산!$C:$C,계산!$A:$A,계산!$E176,계산!$B:$B,$B$1*100+8))</f>
        <v/>
      </c>
      <c r="K178" s="14">
        <f>IF(원생!$A176="","",SUMIFS(계산!$C:$C,계산!$A:$A,계산!$E176,계산!$B:$B,$B$1*100+9))</f>
        <v/>
      </c>
      <c r="L178" s="14">
        <f>IF(원생!$A176="","",SUMIFS(계산!$C:$C,계산!$A:$A,계산!$E176,계산!$B:$B,$B$1*100+10))</f>
        <v/>
      </c>
      <c r="M178" s="14">
        <f>IF(원생!$A176="","",SUMIFS(계산!$C:$C,계산!$A:$A,계산!$E176,계산!$B:$B,$B$1*100+11))</f>
        <v/>
      </c>
      <c r="N178" s="14">
        <f>IF(원생!$A176="","",SUMIFS(계산!$C:$C,계산!$A:$A,계산!$E176,계산!$B:$B,$B$1*100+12))</f>
        <v/>
      </c>
      <c r="O178">
        <f>IF(원생!$I176="","",원생!$I176)</f>
        <v/>
      </c>
      <c r="P178">
        <f>IF($A178="","",IF(AND($B178&gt;0,C178&lt;$B178,DATE($B$1,1,1)&lt;=TODAY(),OR($O178="",$O178&gt;=DATE($B$1,1,1)),OR(COUNTIF($C178:C178,"&gt;0")&gt;0,DATE($B$1,1,1)=DATE(YEAR(TODAY()),MONTH(TODAY()),1))),1,0))</f>
        <v/>
      </c>
      <c r="Q178">
        <f>IF($A178="","",IF(AND($B178&gt;0,D178&lt;$B178,DATE($B$1,2,1)&lt;=TODAY(),OR($O178="",$O178&gt;=DATE($B$1,2,1)),OR(COUNTIF($C178:D178,"&gt;0")&gt;0,DATE($B$1,2,1)=DATE(YEAR(TODAY()),MONTH(TODAY()),1))),1,0))</f>
        <v/>
      </c>
      <c r="R178">
        <f>IF($A178="","",IF(AND($B178&gt;0,E178&lt;$B178,DATE($B$1,3,1)&lt;=TODAY(),OR($O178="",$O178&gt;=DATE($B$1,3,1)),OR(COUNTIF($C178:E178,"&gt;0")&gt;0,DATE($B$1,3,1)=DATE(YEAR(TODAY()),MONTH(TODAY()),1))),1,0))</f>
        <v/>
      </c>
      <c r="S178">
        <f>IF($A178="","",IF(AND($B178&gt;0,F178&lt;$B178,DATE($B$1,4,1)&lt;=TODAY(),OR($O178="",$O178&gt;=DATE($B$1,4,1)),OR(COUNTIF($C178:F178,"&gt;0")&gt;0,DATE($B$1,4,1)=DATE(YEAR(TODAY()),MONTH(TODAY()),1))),1,0))</f>
        <v/>
      </c>
      <c r="T178">
        <f>IF($A178="","",IF(AND($B178&gt;0,G178&lt;$B178,DATE($B$1,5,1)&lt;=TODAY(),OR($O178="",$O178&gt;=DATE($B$1,5,1)),OR(COUNTIF($C178:G178,"&gt;0")&gt;0,DATE($B$1,5,1)=DATE(YEAR(TODAY()),MONTH(TODAY()),1))),1,0))</f>
        <v/>
      </c>
      <c r="U178">
        <f>IF($A178="","",IF(AND($B178&gt;0,H178&lt;$B178,DATE($B$1,6,1)&lt;=TODAY(),OR($O178="",$O178&gt;=DATE($B$1,6,1)),OR(COUNTIF($C178:H178,"&gt;0")&gt;0,DATE($B$1,6,1)=DATE(YEAR(TODAY()),MONTH(TODAY()),1))),1,0))</f>
        <v/>
      </c>
      <c r="V178">
        <f>IF($A178="","",IF(AND($B178&gt;0,I178&lt;$B178,DATE($B$1,7,1)&lt;=TODAY(),OR($O178="",$O178&gt;=DATE($B$1,7,1)),OR(COUNTIF($C178:I178,"&gt;0")&gt;0,DATE($B$1,7,1)=DATE(YEAR(TODAY()),MONTH(TODAY()),1))),1,0))</f>
        <v/>
      </c>
      <c r="W178">
        <f>IF($A178="","",IF(AND($B178&gt;0,J178&lt;$B178,DATE($B$1,8,1)&lt;=TODAY(),OR($O178="",$O178&gt;=DATE($B$1,8,1)),OR(COUNTIF($C178:J178,"&gt;0")&gt;0,DATE($B$1,8,1)=DATE(YEAR(TODAY()),MONTH(TODAY()),1))),1,0))</f>
        <v/>
      </c>
      <c r="X178">
        <f>IF($A178="","",IF(AND($B178&gt;0,K178&lt;$B178,DATE($B$1,9,1)&lt;=TODAY(),OR($O178="",$O178&gt;=DATE($B$1,9,1)),OR(COUNTIF($C178:K178,"&gt;0")&gt;0,DATE($B$1,9,1)=DATE(YEAR(TODAY()),MONTH(TODAY()),1))),1,0))</f>
        <v/>
      </c>
      <c r="Y178">
        <f>IF($A178="","",IF(AND($B178&gt;0,L178&lt;$B178,DATE($B$1,10,1)&lt;=TODAY(),OR($O178="",$O178&gt;=DATE($B$1,10,1)),OR(COUNTIF($C178:L178,"&gt;0")&gt;0,DATE($B$1,10,1)=DATE(YEAR(TODAY()),MONTH(TODAY()),1))),1,0))</f>
        <v/>
      </c>
      <c r="Z178">
        <f>IF($A178="","",IF(AND($B178&gt;0,M178&lt;$B178,DATE($B$1,11,1)&lt;=TODAY(),OR($O178="",$O178&gt;=DATE($B$1,11,1)),OR(COUNTIF($C178:M178,"&gt;0")&gt;0,DATE($B$1,11,1)=DATE(YEAR(TODAY()),MONTH(TODAY()),1))),1,0))</f>
        <v/>
      </c>
      <c r="AA178">
        <f>IF($A178="","",IF(AND($B178&gt;0,N178&lt;$B178,DATE($B$1,12,1)&lt;=TODAY(),OR($O178="",$O178&gt;=DATE($B$1,12,1)),OR(COUNTIF($C178:N178,"&gt;0")&gt;0,DATE($B$1,12,1)=DATE(YEAR(TODAY()),MONTH(TODAY()),1))),1,0))</f>
        <v/>
      </c>
    </row>
    <row r="179">
      <c r="A179" s="13">
        <f>IF(원생!$A177="","",원생!$A177&amp;IF(원생!$G177="",""," ("&amp;원생!$G177&amp;")"))</f>
        <v/>
      </c>
      <c r="B179" s="8">
        <f>IF(원생!$A177="","",N(원생!$F177))</f>
        <v/>
      </c>
      <c r="C179" s="14">
        <f>IF(원생!$A177="","",SUMIFS(계산!$C:$C,계산!$A:$A,계산!$E177,계산!$B:$B,$B$1*100+1))</f>
        <v/>
      </c>
      <c r="D179" s="14">
        <f>IF(원생!$A177="","",SUMIFS(계산!$C:$C,계산!$A:$A,계산!$E177,계산!$B:$B,$B$1*100+2))</f>
        <v/>
      </c>
      <c r="E179" s="14">
        <f>IF(원생!$A177="","",SUMIFS(계산!$C:$C,계산!$A:$A,계산!$E177,계산!$B:$B,$B$1*100+3))</f>
        <v/>
      </c>
      <c r="F179" s="14">
        <f>IF(원생!$A177="","",SUMIFS(계산!$C:$C,계산!$A:$A,계산!$E177,계산!$B:$B,$B$1*100+4))</f>
        <v/>
      </c>
      <c r="G179" s="14">
        <f>IF(원생!$A177="","",SUMIFS(계산!$C:$C,계산!$A:$A,계산!$E177,계산!$B:$B,$B$1*100+5))</f>
        <v/>
      </c>
      <c r="H179" s="14">
        <f>IF(원생!$A177="","",SUMIFS(계산!$C:$C,계산!$A:$A,계산!$E177,계산!$B:$B,$B$1*100+6))</f>
        <v/>
      </c>
      <c r="I179" s="14">
        <f>IF(원생!$A177="","",SUMIFS(계산!$C:$C,계산!$A:$A,계산!$E177,계산!$B:$B,$B$1*100+7))</f>
        <v/>
      </c>
      <c r="J179" s="14">
        <f>IF(원생!$A177="","",SUMIFS(계산!$C:$C,계산!$A:$A,계산!$E177,계산!$B:$B,$B$1*100+8))</f>
        <v/>
      </c>
      <c r="K179" s="14">
        <f>IF(원생!$A177="","",SUMIFS(계산!$C:$C,계산!$A:$A,계산!$E177,계산!$B:$B,$B$1*100+9))</f>
        <v/>
      </c>
      <c r="L179" s="14">
        <f>IF(원생!$A177="","",SUMIFS(계산!$C:$C,계산!$A:$A,계산!$E177,계산!$B:$B,$B$1*100+10))</f>
        <v/>
      </c>
      <c r="M179" s="14">
        <f>IF(원생!$A177="","",SUMIFS(계산!$C:$C,계산!$A:$A,계산!$E177,계산!$B:$B,$B$1*100+11))</f>
        <v/>
      </c>
      <c r="N179" s="14">
        <f>IF(원생!$A177="","",SUMIFS(계산!$C:$C,계산!$A:$A,계산!$E177,계산!$B:$B,$B$1*100+12))</f>
        <v/>
      </c>
      <c r="O179">
        <f>IF(원생!$I177="","",원생!$I177)</f>
        <v/>
      </c>
      <c r="P179">
        <f>IF($A179="","",IF(AND($B179&gt;0,C179&lt;$B179,DATE($B$1,1,1)&lt;=TODAY(),OR($O179="",$O179&gt;=DATE($B$1,1,1)),OR(COUNTIF($C179:C179,"&gt;0")&gt;0,DATE($B$1,1,1)=DATE(YEAR(TODAY()),MONTH(TODAY()),1))),1,0))</f>
        <v/>
      </c>
      <c r="Q179">
        <f>IF($A179="","",IF(AND($B179&gt;0,D179&lt;$B179,DATE($B$1,2,1)&lt;=TODAY(),OR($O179="",$O179&gt;=DATE($B$1,2,1)),OR(COUNTIF($C179:D179,"&gt;0")&gt;0,DATE($B$1,2,1)=DATE(YEAR(TODAY()),MONTH(TODAY()),1))),1,0))</f>
        <v/>
      </c>
      <c r="R179">
        <f>IF($A179="","",IF(AND($B179&gt;0,E179&lt;$B179,DATE($B$1,3,1)&lt;=TODAY(),OR($O179="",$O179&gt;=DATE($B$1,3,1)),OR(COUNTIF($C179:E179,"&gt;0")&gt;0,DATE($B$1,3,1)=DATE(YEAR(TODAY()),MONTH(TODAY()),1))),1,0))</f>
        <v/>
      </c>
      <c r="S179">
        <f>IF($A179="","",IF(AND($B179&gt;0,F179&lt;$B179,DATE($B$1,4,1)&lt;=TODAY(),OR($O179="",$O179&gt;=DATE($B$1,4,1)),OR(COUNTIF($C179:F179,"&gt;0")&gt;0,DATE($B$1,4,1)=DATE(YEAR(TODAY()),MONTH(TODAY()),1))),1,0))</f>
        <v/>
      </c>
      <c r="T179">
        <f>IF($A179="","",IF(AND($B179&gt;0,G179&lt;$B179,DATE($B$1,5,1)&lt;=TODAY(),OR($O179="",$O179&gt;=DATE($B$1,5,1)),OR(COUNTIF($C179:G179,"&gt;0")&gt;0,DATE($B$1,5,1)=DATE(YEAR(TODAY()),MONTH(TODAY()),1))),1,0))</f>
        <v/>
      </c>
      <c r="U179">
        <f>IF($A179="","",IF(AND($B179&gt;0,H179&lt;$B179,DATE($B$1,6,1)&lt;=TODAY(),OR($O179="",$O179&gt;=DATE($B$1,6,1)),OR(COUNTIF($C179:H179,"&gt;0")&gt;0,DATE($B$1,6,1)=DATE(YEAR(TODAY()),MONTH(TODAY()),1))),1,0))</f>
        <v/>
      </c>
      <c r="V179">
        <f>IF($A179="","",IF(AND($B179&gt;0,I179&lt;$B179,DATE($B$1,7,1)&lt;=TODAY(),OR($O179="",$O179&gt;=DATE($B$1,7,1)),OR(COUNTIF($C179:I179,"&gt;0")&gt;0,DATE($B$1,7,1)=DATE(YEAR(TODAY()),MONTH(TODAY()),1))),1,0))</f>
        <v/>
      </c>
      <c r="W179">
        <f>IF($A179="","",IF(AND($B179&gt;0,J179&lt;$B179,DATE($B$1,8,1)&lt;=TODAY(),OR($O179="",$O179&gt;=DATE($B$1,8,1)),OR(COUNTIF($C179:J179,"&gt;0")&gt;0,DATE($B$1,8,1)=DATE(YEAR(TODAY()),MONTH(TODAY()),1))),1,0))</f>
        <v/>
      </c>
      <c r="X179">
        <f>IF($A179="","",IF(AND($B179&gt;0,K179&lt;$B179,DATE($B$1,9,1)&lt;=TODAY(),OR($O179="",$O179&gt;=DATE($B$1,9,1)),OR(COUNTIF($C179:K179,"&gt;0")&gt;0,DATE($B$1,9,1)=DATE(YEAR(TODAY()),MONTH(TODAY()),1))),1,0))</f>
        <v/>
      </c>
      <c r="Y179">
        <f>IF($A179="","",IF(AND($B179&gt;0,L179&lt;$B179,DATE($B$1,10,1)&lt;=TODAY(),OR($O179="",$O179&gt;=DATE($B$1,10,1)),OR(COUNTIF($C179:L179,"&gt;0")&gt;0,DATE($B$1,10,1)=DATE(YEAR(TODAY()),MONTH(TODAY()),1))),1,0))</f>
        <v/>
      </c>
      <c r="Z179">
        <f>IF($A179="","",IF(AND($B179&gt;0,M179&lt;$B179,DATE($B$1,11,1)&lt;=TODAY(),OR($O179="",$O179&gt;=DATE($B$1,11,1)),OR(COUNTIF($C179:M179,"&gt;0")&gt;0,DATE($B$1,11,1)=DATE(YEAR(TODAY()),MONTH(TODAY()),1))),1,0))</f>
        <v/>
      </c>
      <c r="AA179">
        <f>IF($A179="","",IF(AND($B179&gt;0,N179&lt;$B179,DATE($B$1,12,1)&lt;=TODAY(),OR($O179="",$O179&gt;=DATE($B$1,12,1)),OR(COUNTIF($C179:N179,"&gt;0")&gt;0,DATE($B$1,12,1)=DATE(YEAR(TODAY()),MONTH(TODAY()),1))),1,0))</f>
        <v/>
      </c>
    </row>
    <row r="180">
      <c r="A180" s="13">
        <f>IF(원생!$A178="","",원생!$A178&amp;IF(원생!$G178="",""," ("&amp;원생!$G178&amp;")"))</f>
        <v/>
      </c>
      <c r="B180" s="8">
        <f>IF(원생!$A178="","",N(원생!$F178))</f>
        <v/>
      </c>
      <c r="C180" s="14">
        <f>IF(원생!$A178="","",SUMIFS(계산!$C:$C,계산!$A:$A,계산!$E178,계산!$B:$B,$B$1*100+1))</f>
        <v/>
      </c>
      <c r="D180" s="14">
        <f>IF(원생!$A178="","",SUMIFS(계산!$C:$C,계산!$A:$A,계산!$E178,계산!$B:$B,$B$1*100+2))</f>
        <v/>
      </c>
      <c r="E180" s="14">
        <f>IF(원생!$A178="","",SUMIFS(계산!$C:$C,계산!$A:$A,계산!$E178,계산!$B:$B,$B$1*100+3))</f>
        <v/>
      </c>
      <c r="F180" s="14">
        <f>IF(원생!$A178="","",SUMIFS(계산!$C:$C,계산!$A:$A,계산!$E178,계산!$B:$B,$B$1*100+4))</f>
        <v/>
      </c>
      <c r="G180" s="14">
        <f>IF(원생!$A178="","",SUMIFS(계산!$C:$C,계산!$A:$A,계산!$E178,계산!$B:$B,$B$1*100+5))</f>
        <v/>
      </c>
      <c r="H180" s="14">
        <f>IF(원생!$A178="","",SUMIFS(계산!$C:$C,계산!$A:$A,계산!$E178,계산!$B:$B,$B$1*100+6))</f>
        <v/>
      </c>
      <c r="I180" s="14">
        <f>IF(원생!$A178="","",SUMIFS(계산!$C:$C,계산!$A:$A,계산!$E178,계산!$B:$B,$B$1*100+7))</f>
        <v/>
      </c>
      <c r="J180" s="14">
        <f>IF(원생!$A178="","",SUMIFS(계산!$C:$C,계산!$A:$A,계산!$E178,계산!$B:$B,$B$1*100+8))</f>
        <v/>
      </c>
      <c r="K180" s="14">
        <f>IF(원생!$A178="","",SUMIFS(계산!$C:$C,계산!$A:$A,계산!$E178,계산!$B:$B,$B$1*100+9))</f>
        <v/>
      </c>
      <c r="L180" s="14">
        <f>IF(원생!$A178="","",SUMIFS(계산!$C:$C,계산!$A:$A,계산!$E178,계산!$B:$B,$B$1*100+10))</f>
        <v/>
      </c>
      <c r="M180" s="14">
        <f>IF(원생!$A178="","",SUMIFS(계산!$C:$C,계산!$A:$A,계산!$E178,계산!$B:$B,$B$1*100+11))</f>
        <v/>
      </c>
      <c r="N180" s="14">
        <f>IF(원생!$A178="","",SUMIFS(계산!$C:$C,계산!$A:$A,계산!$E178,계산!$B:$B,$B$1*100+12))</f>
        <v/>
      </c>
      <c r="O180">
        <f>IF(원생!$I178="","",원생!$I178)</f>
        <v/>
      </c>
      <c r="P180">
        <f>IF($A180="","",IF(AND($B180&gt;0,C180&lt;$B180,DATE($B$1,1,1)&lt;=TODAY(),OR($O180="",$O180&gt;=DATE($B$1,1,1)),OR(COUNTIF($C180:C180,"&gt;0")&gt;0,DATE($B$1,1,1)=DATE(YEAR(TODAY()),MONTH(TODAY()),1))),1,0))</f>
        <v/>
      </c>
      <c r="Q180">
        <f>IF($A180="","",IF(AND($B180&gt;0,D180&lt;$B180,DATE($B$1,2,1)&lt;=TODAY(),OR($O180="",$O180&gt;=DATE($B$1,2,1)),OR(COUNTIF($C180:D180,"&gt;0")&gt;0,DATE($B$1,2,1)=DATE(YEAR(TODAY()),MONTH(TODAY()),1))),1,0))</f>
        <v/>
      </c>
      <c r="R180">
        <f>IF($A180="","",IF(AND($B180&gt;0,E180&lt;$B180,DATE($B$1,3,1)&lt;=TODAY(),OR($O180="",$O180&gt;=DATE($B$1,3,1)),OR(COUNTIF($C180:E180,"&gt;0")&gt;0,DATE($B$1,3,1)=DATE(YEAR(TODAY()),MONTH(TODAY()),1))),1,0))</f>
        <v/>
      </c>
      <c r="S180">
        <f>IF($A180="","",IF(AND($B180&gt;0,F180&lt;$B180,DATE($B$1,4,1)&lt;=TODAY(),OR($O180="",$O180&gt;=DATE($B$1,4,1)),OR(COUNTIF($C180:F180,"&gt;0")&gt;0,DATE($B$1,4,1)=DATE(YEAR(TODAY()),MONTH(TODAY()),1))),1,0))</f>
        <v/>
      </c>
      <c r="T180">
        <f>IF($A180="","",IF(AND($B180&gt;0,G180&lt;$B180,DATE($B$1,5,1)&lt;=TODAY(),OR($O180="",$O180&gt;=DATE($B$1,5,1)),OR(COUNTIF($C180:G180,"&gt;0")&gt;0,DATE($B$1,5,1)=DATE(YEAR(TODAY()),MONTH(TODAY()),1))),1,0))</f>
        <v/>
      </c>
      <c r="U180">
        <f>IF($A180="","",IF(AND($B180&gt;0,H180&lt;$B180,DATE($B$1,6,1)&lt;=TODAY(),OR($O180="",$O180&gt;=DATE($B$1,6,1)),OR(COUNTIF($C180:H180,"&gt;0")&gt;0,DATE($B$1,6,1)=DATE(YEAR(TODAY()),MONTH(TODAY()),1))),1,0))</f>
        <v/>
      </c>
      <c r="V180">
        <f>IF($A180="","",IF(AND($B180&gt;0,I180&lt;$B180,DATE($B$1,7,1)&lt;=TODAY(),OR($O180="",$O180&gt;=DATE($B$1,7,1)),OR(COUNTIF($C180:I180,"&gt;0")&gt;0,DATE($B$1,7,1)=DATE(YEAR(TODAY()),MONTH(TODAY()),1))),1,0))</f>
        <v/>
      </c>
      <c r="W180">
        <f>IF($A180="","",IF(AND($B180&gt;0,J180&lt;$B180,DATE($B$1,8,1)&lt;=TODAY(),OR($O180="",$O180&gt;=DATE($B$1,8,1)),OR(COUNTIF($C180:J180,"&gt;0")&gt;0,DATE($B$1,8,1)=DATE(YEAR(TODAY()),MONTH(TODAY()),1))),1,0))</f>
        <v/>
      </c>
      <c r="X180">
        <f>IF($A180="","",IF(AND($B180&gt;0,K180&lt;$B180,DATE($B$1,9,1)&lt;=TODAY(),OR($O180="",$O180&gt;=DATE($B$1,9,1)),OR(COUNTIF($C180:K180,"&gt;0")&gt;0,DATE($B$1,9,1)=DATE(YEAR(TODAY()),MONTH(TODAY()),1))),1,0))</f>
        <v/>
      </c>
      <c r="Y180">
        <f>IF($A180="","",IF(AND($B180&gt;0,L180&lt;$B180,DATE($B$1,10,1)&lt;=TODAY(),OR($O180="",$O180&gt;=DATE($B$1,10,1)),OR(COUNTIF($C180:L180,"&gt;0")&gt;0,DATE($B$1,10,1)=DATE(YEAR(TODAY()),MONTH(TODAY()),1))),1,0))</f>
        <v/>
      </c>
      <c r="Z180">
        <f>IF($A180="","",IF(AND($B180&gt;0,M180&lt;$B180,DATE($B$1,11,1)&lt;=TODAY(),OR($O180="",$O180&gt;=DATE($B$1,11,1)),OR(COUNTIF($C180:M180,"&gt;0")&gt;0,DATE($B$1,11,1)=DATE(YEAR(TODAY()),MONTH(TODAY()),1))),1,0))</f>
        <v/>
      </c>
      <c r="AA180">
        <f>IF($A180="","",IF(AND($B180&gt;0,N180&lt;$B180,DATE($B$1,12,1)&lt;=TODAY(),OR($O180="",$O180&gt;=DATE($B$1,12,1)),OR(COUNTIF($C180:N180,"&gt;0")&gt;0,DATE($B$1,12,1)=DATE(YEAR(TODAY()),MONTH(TODAY()),1))),1,0))</f>
        <v/>
      </c>
    </row>
    <row r="181">
      <c r="A181" s="13">
        <f>IF(원생!$A179="","",원생!$A179&amp;IF(원생!$G179="",""," ("&amp;원생!$G179&amp;")"))</f>
        <v/>
      </c>
      <c r="B181" s="8">
        <f>IF(원생!$A179="","",N(원생!$F179))</f>
        <v/>
      </c>
      <c r="C181" s="14">
        <f>IF(원생!$A179="","",SUMIFS(계산!$C:$C,계산!$A:$A,계산!$E179,계산!$B:$B,$B$1*100+1))</f>
        <v/>
      </c>
      <c r="D181" s="14">
        <f>IF(원생!$A179="","",SUMIFS(계산!$C:$C,계산!$A:$A,계산!$E179,계산!$B:$B,$B$1*100+2))</f>
        <v/>
      </c>
      <c r="E181" s="14">
        <f>IF(원생!$A179="","",SUMIFS(계산!$C:$C,계산!$A:$A,계산!$E179,계산!$B:$B,$B$1*100+3))</f>
        <v/>
      </c>
      <c r="F181" s="14">
        <f>IF(원생!$A179="","",SUMIFS(계산!$C:$C,계산!$A:$A,계산!$E179,계산!$B:$B,$B$1*100+4))</f>
        <v/>
      </c>
      <c r="G181" s="14">
        <f>IF(원생!$A179="","",SUMIFS(계산!$C:$C,계산!$A:$A,계산!$E179,계산!$B:$B,$B$1*100+5))</f>
        <v/>
      </c>
      <c r="H181" s="14">
        <f>IF(원생!$A179="","",SUMIFS(계산!$C:$C,계산!$A:$A,계산!$E179,계산!$B:$B,$B$1*100+6))</f>
        <v/>
      </c>
      <c r="I181" s="14">
        <f>IF(원생!$A179="","",SUMIFS(계산!$C:$C,계산!$A:$A,계산!$E179,계산!$B:$B,$B$1*100+7))</f>
        <v/>
      </c>
      <c r="J181" s="14">
        <f>IF(원생!$A179="","",SUMIFS(계산!$C:$C,계산!$A:$A,계산!$E179,계산!$B:$B,$B$1*100+8))</f>
        <v/>
      </c>
      <c r="K181" s="14">
        <f>IF(원생!$A179="","",SUMIFS(계산!$C:$C,계산!$A:$A,계산!$E179,계산!$B:$B,$B$1*100+9))</f>
        <v/>
      </c>
      <c r="L181" s="14">
        <f>IF(원생!$A179="","",SUMIFS(계산!$C:$C,계산!$A:$A,계산!$E179,계산!$B:$B,$B$1*100+10))</f>
        <v/>
      </c>
      <c r="M181" s="14">
        <f>IF(원생!$A179="","",SUMIFS(계산!$C:$C,계산!$A:$A,계산!$E179,계산!$B:$B,$B$1*100+11))</f>
        <v/>
      </c>
      <c r="N181" s="14">
        <f>IF(원생!$A179="","",SUMIFS(계산!$C:$C,계산!$A:$A,계산!$E179,계산!$B:$B,$B$1*100+12))</f>
        <v/>
      </c>
      <c r="O181">
        <f>IF(원생!$I179="","",원생!$I179)</f>
        <v/>
      </c>
      <c r="P181">
        <f>IF($A181="","",IF(AND($B181&gt;0,C181&lt;$B181,DATE($B$1,1,1)&lt;=TODAY(),OR($O181="",$O181&gt;=DATE($B$1,1,1)),OR(COUNTIF($C181:C181,"&gt;0")&gt;0,DATE($B$1,1,1)=DATE(YEAR(TODAY()),MONTH(TODAY()),1))),1,0))</f>
        <v/>
      </c>
      <c r="Q181">
        <f>IF($A181="","",IF(AND($B181&gt;0,D181&lt;$B181,DATE($B$1,2,1)&lt;=TODAY(),OR($O181="",$O181&gt;=DATE($B$1,2,1)),OR(COUNTIF($C181:D181,"&gt;0")&gt;0,DATE($B$1,2,1)=DATE(YEAR(TODAY()),MONTH(TODAY()),1))),1,0))</f>
        <v/>
      </c>
      <c r="R181">
        <f>IF($A181="","",IF(AND($B181&gt;0,E181&lt;$B181,DATE($B$1,3,1)&lt;=TODAY(),OR($O181="",$O181&gt;=DATE($B$1,3,1)),OR(COUNTIF($C181:E181,"&gt;0")&gt;0,DATE($B$1,3,1)=DATE(YEAR(TODAY()),MONTH(TODAY()),1))),1,0))</f>
        <v/>
      </c>
      <c r="S181">
        <f>IF($A181="","",IF(AND($B181&gt;0,F181&lt;$B181,DATE($B$1,4,1)&lt;=TODAY(),OR($O181="",$O181&gt;=DATE($B$1,4,1)),OR(COUNTIF($C181:F181,"&gt;0")&gt;0,DATE($B$1,4,1)=DATE(YEAR(TODAY()),MONTH(TODAY()),1))),1,0))</f>
        <v/>
      </c>
      <c r="T181">
        <f>IF($A181="","",IF(AND($B181&gt;0,G181&lt;$B181,DATE($B$1,5,1)&lt;=TODAY(),OR($O181="",$O181&gt;=DATE($B$1,5,1)),OR(COUNTIF($C181:G181,"&gt;0")&gt;0,DATE($B$1,5,1)=DATE(YEAR(TODAY()),MONTH(TODAY()),1))),1,0))</f>
        <v/>
      </c>
      <c r="U181">
        <f>IF($A181="","",IF(AND($B181&gt;0,H181&lt;$B181,DATE($B$1,6,1)&lt;=TODAY(),OR($O181="",$O181&gt;=DATE($B$1,6,1)),OR(COUNTIF($C181:H181,"&gt;0")&gt;0,DATE($B$1,6,1)=DATE(YEAR(TODAY()),MONTH(TODAY()),1))),1,0))</f>
        <v/>
      </c>
      <c r="V181">
        <f>IF($A181="","",IF(AND($B181&gt;0,I181&lt;$B181,DATE($B$1,7,1)&lt;=TODAY(),OR($O181="",$O181&gt;=DATE($B$1,7,1)),OR(COUNTIF($C181:I181,"&gt;0")&gt;0,DATE($B$1,7,1)=DATE(YEAR(TODAY()),MONTH(TODAY()),1))),1,0))</f>
        <v/>
      </c>
      <c r="W181">
        <f>IF($A181="","",IF(AND($B181&gt;0,J181&lt;$B181,DATE($B$1,8,1)&lt;=TODAY(),OR($O181="",$O181&gt;=DATE($B$1,8,1)),OR(COUNTIF($C181:J181,"&gt;0")&gt;0,DATE($B$1,8,1)=DATE(YEAR(TODAY()),MONTH(TODAY()),1))),1,0))</f>
        <v/>
      </c>
      <c r="X181">
        <f>IF($A181="","",IF(AND($B181&gt;0,K181&lt;$B181,DATE($B$1,9,1)&lt;=TODAY(),OR($O181="",$O181&gt;=DATE($B$1,9,1)),OR(COUNTIF($C181:K181,"&gt;0")&gt;0,DATE($B$1,9,1)=DATE(YEAR(TODAY()),MONTH(TODAY()),1))),1,0))</f>
        <v/>
      </c>
      <c r="Y181">
        <f>IF($A181="","",IF(AND($B181&gt;0,L181&lt;$B181,DATE($B$1,10,1)&lt;=TODAY(),OR($O181="",$O181&gt;=DATE($B$1,10,1)),OR(COUNTIF($C181:L181,"&gt;0")&gt;0,DATE($B$1,10,1)=DATE(YEAR(TODAY()),MONTH(TODAY()),1))),1,0))</f>
        <v/>
      </c>
      <c r="Z181">
        <f>IF($A181="","",IF(AND($B181&gt;0,M181&lt;$B181,DATE($B$1,11,1)&lt;=TODAY(),OR($O181="",$O181&gt;=DATE($B$1,11,1)),OR(COUNTIF($C181:M181,"&gt;0")&gt;0,DATE($B$1,11,1)=DATE(YEAR(TODAY()),MONTH(TODAY()),1))),1,0))</f>
        <v/>
      </c>
      <c r="AA181">
        <f>IF($A181="","",IF(AND($B181&gt;0,N181&lt;$B181,DATE($B$1,12,1)&lt;=TODAY(),OR($O181="",$O181&gt;=DATE($B$1,12,1)),OR(COUNTIF($C181:N181,"&gt;0")&gt;0,DATE($B$1,12,1)=DATE(YEAR(TODAY()),MONTH(TODAY()),1))),1,0))</f>
        <v/>
      </c>
    </row>
    <row r="182">
      <c r="A182" s="13">
        <f>IF(원생!$A180="","",원생!$A180&amp;IF(원생!$G180="",""," ("&amp;원생!$G180&amp;")"))</f>
        <v/>
      </c>
      <c r="B182" s="8">
        <f>IF(원생!$A180="","",N(원생!$F180))</f>
        <v/>
      </c>
      <c r="C182" s="14">
        <f>IF(원생!$A180="","",SUMIFS(계산!$C:$C,계산!$A:$A,계산!$E180,계산!$B:$B,$B$1*100+1))</f>
        <v/>
      </c>
      <c r="D182" s="14">
        <f>IF(원생!$A180="","",SUMIFS(계산!$C:$C,계산!$A:$A,계산!$E180,계산!$B:$B,$B$1*100+2))</f>
        <v/>
      </c>
      <c r="E182" s="14">
        <f>IF(원생!$A180="","",SUMIFS(계산!$C:$C,계산!$A:$A,계산!$E180,계산!$B:$B,$B$1*100+3))</f>
        <v/>
      </c>
      <c r="F182" s="14">
        <f>IF(원생!$A180="","",SUMIFS(계산!$C:$C,계산!$A:$A,계산!$E180,계산!$B:$B,$B$1*100+4))</f>
        <v/>
      </c>
      <c r="G182" s="14">
        <f>IF(원생!$A180="","",SUMIFS(계산!$C:$C,계산!$A:$A,계산!$E180,계산!$B:$B,$B$1*100+5))</f>
        <v/>
      </c>
      <c r="H182" s="14">
        <f>IF(원생!$A180="","",SUMIFS(계산!$C:$C,계산!$A:$A,계산!$E180,계산!$B:$B,$B$1*100+6))</f>
        <v/>
      </c>
      <c r="I182" s="14">
        <f>IF(원생!$A180="","",SUMIFS(계산!$C:$C,계산!$A:$A,계산!$E180,계산!$B:$B,$B$1*100+7))</f>
        <v/>
      </c>
      <c r="J182" s="14">
        <f>IF(원생!$A180="","",SUMIFS(계산!$C:$C,계산!$A:$A,계산!$E180,계산!$B:$B,$B$1*100+8))</f>
        <v/>
      </c>
      <c r="K182" s="14">
        <f>IF(원생!$A180="","",SUMIFS(계산!$C:$C,계산!$A:$A,계산!$E180,계산!$B:$B,$B$1*100+9))</f>
        <v/>
      </c>
      <c r="L182" s="14">
        <f>IF(원생!$A180="","",SUMIFS(계산!$C:$C,계산!$A:$A,계산!$E180,계산!$B:$B,$B$1*100+10))</f>
        <v/>
      </c>
      <c r="M182" s="14">
        <f>IF(원생!$A180="","",SUMIFS(계산!$C:$C,계산!$A:$A,계산!$E180,계산!$B:$B,$B$1*100+11))</f>
        <v/>
      </c>
      <c r="N182" s="14">
        <f>IF(원생!$A180="","",SUMIFS(계산!$C:$C,계산!$A:$A,계산!$E180,계산!$B:$B,$B$1*100+12))</f>
        <v/>
      </c>
      <c r="O182">
        <f>IF(원생!$I180="","",원생!$I180)</f>
        <v/>
      </c>
      <c r="P182">
        <f>IF($A182="","",IF(AND($B182&gt;0,C182&lt;$B182,DATE($B$1,1,1)&lt;=TODAY(),OR($O182="",$O182&gt;=DATE($B$1,1,1)),OR(COUNTIF($C182:C182,"&gt;0")&gt;0,DATE($B$1,1,1)=DATE(YEAR(TODAY()),MONTH(TODAY()),1))),1,0))</f>
        <v/>
      </c>
      <c r="Q182">
        <f>IF($A182="","",IF(AND($B182&gt;0,D182&lt;$B182,DATE($B$1,2,1)&lt;=TODAY(),OR($O182="",$O182&gt;=DATE($B$1,2,1)),OR(COUNTIF($C182:D182,"&gt;0")&gt;0,DATE($B$1,2,1)=DATE(YEAR(TODAY()),MONTH(TODAY()),1))),1,0))</f>
        <v/>
      </c>
      <c r="R182">
        <f>IF($A182="","",IF(AND($B182&gt;0,E182&lt;$B182,DATE($B$1,3,1)&lt;=TODAY(),OR($O182="",$O182&gt;=DATE($B$1,3,1)),OR(COUNTIF($C182:E182,"&gt;0")&gt;0,DATE($B$1,3,1)=DATE(YEAR(TODAY()),MONTH(TODAY()),1))),1,0))</f>
        <v/>
      </c>
      <c r="S182">
        <f>IF($A182="","",IF(AND($B182&gt;0,F182&lt;$B182,DATE($B$1,4,1)&lt;=TODAY(),OR($O182="",$O182&gt;=DATE($B$1,4,1)),OR(COUNTIF($C182:F182,"&gt;0")&gt;0,DATE($B$1,4,1)=DATE(YEAR(TODAY()),MONTH(TODAY()),1))),1,0))</f>
        <v/>
      </c>
      <c r="T182">
        <f>IF($A182="","",IF(AND($B182&gt;0,G182&lt;$B182,DATE($B$1,5,1)&lt;=TODAY(),OR($O182="",$O182&gt;=DATE($B$1,5,1)),OR(COUNTIF($C182:G182,"&gt;0")&gt;0,DATE($B$1,5,1)=DATE(YEAR(TODAY()),MONTH(TODAY()),1))),1,0))</f>
        <v/>
      </c>
      <c r="U182">
        <f>IF($A182="","",IF(AND($B182&gt;0,H182&lt;$B182,DATE($B$1,6,1)&lt;=TODAY(),OR($O182="",$O182&gt;=DATE($B$1,6,1)),OR(COUNTIF($C182:H182,"&gt;0")&gt;0,DATE($B$1,6,1)=DATE(YEAR(TODAY()),MONTH(TODAY()),1))),1,0))</f>
        <v/>
      </c>
      <c r="V182">
        <f>IF($A182="","",IF(AND($B182&gt;0,I182&lt;$B182,DATE($B$1,7,1)&lt;=TODAY(),OR($O182="",$O182&gt;=DATE($B$1,7,1)),OR(COUNTIF($C182:I182,"&gt;0")&gt;0,DATE($B$1,7,1)=DATE(YEAR(TODAY()),MONTH(TODAY()),1))),1,0))</f>
        <v/>
      </c>
      <c r="W182">
        <f>IF($A182="","",IF(AND($B182&gt;0,J182&lt;$B182,DATE($B$1,8,1)&lt;=TODAY(),OR($O182="",$O182&gt;=DATE($B$1,8,1)),OR(COUNTIF($C182:J182,"&gt;0")&gt;0,DATE($B$1,8,1)=DATE(YEAR(TODAY()),MONTH(TODAY()),1))),1,0))</f>
        <v/>
      </c>
      <c r="X182">
        <f>IF($A182="","",IF(AND($B182&gt;0,K182&lt;$B182,DATE($B$1,9,1)&lt;=TODAY(),OR($O182="",$O182&gt;=DATE($B$1,9,1)),OR(COUNTIF($C182:K182,"&gt;0")&gt;0,DATE($B$1,9,1)=DATE(YEAR(TODAY()),MONTH(TODAY()),1))),1,0))</f>
        <v/>
      </c>
      <c r="Y182">
        <f>IF($A182="","",IF(AND($B182&gt;0,L182&lt;$B182,DATE($B$1,10,1)&lt;=TODAY(),OR($O182="",$O182&gt;=DATE($B$1,10,1)),OR(COUNTIF($C182:L182,"&gt;0")&gt;0,DATE($B$1,10,1)=DATE(YEAR(TODAY()),MONTH(TODAY()),1))),1,0))</f>
        <v/>
      </c>
      <c r="Z182">
        <f>IF($A182="","",IF(AND($B182&gt;0,M182&lt;$B182,DATE($B$1,11,1)&lt;=TODAY(),OR($O182="",$O182&gt;=DATE($B$1,11,1)),OR(COUNTIF($C182:M182,"&gt;0")&gt;0,DATE($B$1,11,1)=DATE(YEAR(TODAY()),MONTH(TODAY()),1))),1,0))</f>
        <v/>
      </c>
      <c r="AA182">
        <f>IF($A182="","",IF(AND($B182&gt;0,N182&lt;$B182,DATE($B$1,12,1)&lt;=TODAY(),OR($O182="",$O182&gt;=DATE($B$1,12,1)),OR(COUNTIF($C182:N182,"&gt;0")&gt;0,DATE($B$1,12,1)=DATE(YEAR(TODAY()),MONTH(TODAY()),1))),1,0))</f>
        <v/>
      </c>
    </row>
    <row r="183">
      <c r="A183" s="13">
        <f>IF(원생!$A181="","",원생!$A181&amp;IF(원생!$G181="",""," ("&amp;원생!$G181&amp;")"))</f>
        <v/>
      </c>
      <c r="B183" s="8">
        <f>IF(원생!$A181="","",N(원생!$F181))</f>
        <v/>
      </c>
      <c r="C183" s="14">
        <f>IF(원생!$A181="","",SUMIFS(계산!$C:$C,계산!$A:$A,계산!$E181,계산!$B:$B,$B$1*100+1))</f>
        <v/>
      </c>
      <c r="D183" s="14">
        <f>IF(원생!$A181="","",SUMIFS(계산!$C:$C,계산!$A:$A,계산!$E181,계산!$B:$B,$B$1*100+2))</f>
        <v/>
      </c>
      <c r="E183" s="14">
        <f>IF(원생!$A181="","",SUMIFS(계산!$C:$C,계산!$A:$A,계산!$E181,계산!$B:$B,$B$1*100+3))</f>
        <v/>
      </c>
      <c r="F183" s="14">
        <f>IF(원생!$A181="","",SUMIFS(계산!$C:$C,계산!$A:$A,계산!$E181,계산!$B:$B,$B$1*100+4))</f>
        <v/>
      </c>
      <c r="G183" s="14">
        <f>IF(원생!$A181="","",SUMIFS(계산!$C:$C,계산!$A:$A,계산!$E181,계산!$B:$B,$B$1*100+5))</f>
        <v/>
      </c>
      <c r="H183" s="14">
        <f>IF(원생!$A181="","",SUMIFS(계산!$C:$C,계산!$A:$A,계산!$E181,계산!$B:$B,$B$1*100+6))</f>
        <v/>
      </c>
      <c r="I183" s="14">
        <f>IF(원생!$A181="","",SUMIFS(계산!$C:$C,계산!$A:$A,계산!$E181,계산!$B:$B,$B$1*100+7))</f>
        <v/>
      </c>
      <c r="J183" s="14">
        <f>IF(원생!$A181="","",SUMIFS(계산!$C:$C,계산!$A:$A,계산!$E181,계산!$B:$B,$B$1*100+8))</f>
        <v/>
      </c>
      <c r="K183" s="14">
        <f>IF(원생!$A181="","",SUMIFS(계산!$C:$C,계산!$A:$A,계산!$E181,계산!$B:$B,$B$1*100+9))</f>
        <v/>
      </c>
      <c r="L183" s="14">
        <f>IF(원생!$A181="","",SUMIFS(계산!$C:$C,계산!$A:$A,계산!$E181,계산!$B:$B,$B$1*100+10))</f>
        <v/>
      </c>
      <c r="M183" s="14">
        <f>IF(원생!$A181="","",SUMIFS(계산!$C:$C,계산!$A:$A,계산!$E181,계산!$B:$B,$B$1*100+11))</f>
        <v/>
      </c>
      <c r="N183" s="14">
        <f>IF(원생!$A181="","",SUMIFS(계산!$C:$C,계산!$A:$A,계산!$E181,계산!$B:$B,$B$1*100+12))</f>
        <v/>
      </c>
      <c r="O183">
        <f>IF(원생!$I181="","",원생!$I181)</f>
        <v/>
      </c>
      <c r="P183">
        <f>IF($A183="","",IF(AND($B183&gt;0,C183&lt;$B183,DATE($B$1,1,1)&lt;=TODAY(),OR($O183="",$O183&gt;=DATE($B$1,1,1)),OR(COUNTIF($C183:C183,"&gt;0")&gt;0,DATE($B$1,1,1)=DATE(YEAR(TODAY()),MONTH(TODAY()),1))),1,0))</f>
        <v/>
      </c>
      <c r="Q183">
        <f>IF($A183="","",IF(AND($B183&gt;0,D183&lt;$B183,DATE($B$1,2,1)&lt;=TODAY(),OR($O183="",$O183&gt;=DATE($B$1,2,1)),OR(COUNTIF($C183:D183,"&gt;0")&gt;0,DATE($B$1,2,1)=DATE(YEAR(TODAY()),MONTH(TODAY()),1))),1,0))</f>
        <v/>
      </c>
      <c r="R183">
        <f>IF($A183="","",IF(AND($B183&gt;0,E183&lt;$B183,DATE($B$1,3,1)&lt;=TODAY(),OR($O183="",$O183&gt;=DATE($B$1,3,1)),OR(COUNTIF($C183:E183,"&gt;0")&gt;0,DATE($B$1,3,1)=DATE(YEAR(TODAY()),MONTH(TODAY()),1))),1,0))</f>
        <v/>
      </c>
      <c r="S183">
        <f>IF($A183="","",IF(AND($B183&gt;0,F183&lt;$B183,DATE($B$1,4,1)&lt;=TODAY(),OR($O183="",$O183&gt;=DATE($B$1,4,1)),OR(COUNTIF($C183:F183,"&gt;0")&gt;0,DATE($B$1,4,1)=DATE(YEAR(TODAY()),MONTH(TODAY()),1))),1,0))</f>
        <v/>
      </c>
      <c r="T183">
        <f>IF($A183="","",IF(AND($B183&gt;0,G183&lt;$B183,DATE($B$1,5,1)&lt;=TODAY(),OR($O183="",$O183&gt;=DATE($B$1,5,1)),OR(COUNTIF($C183:G183,"&gt;0")&gt;0,DATE($B$1,5,1)=DATE(YEAR(TODAY()),MONTH(TODAY()),1))),1,0))</f>
        <v/>
      </c>
      <c r="U183">
        <f>IF($A183="","",IF(AND($B183&gt;0,H183&lt;$B183,DATE($B$1,6,1)&lt;=TODAY(),OR($O183="",$O183&gt;=DATE($B$1,6,1)),OR(COUNTIF($C183:H183,"&gt;0")&gt;0,DATE($B$1,6,1)=DATE(YEAR(TODAY()),MONTH(TODAY()),1))),1,0))</f>
        <v/>
      </c>
      <c r="V183">
        <f>IF($A183="","",IF(AND($B183&gt;0,I183&lt;$B183,DATE($B$1,7,1)&lt;=TODAY(),OR($O183="",$O183&gt;=DATE($B$1,7,1)),OR(COUNTIF($C183:I183,"&gt;0")&gt;0,DATE($B$1,7,1)=DATE(YEAR(TODAY()),MONTH(TODAY()),1))),1,0))</f>
        <v/>
      </c>
      <c r="W183">
        <f>IF($A183="","",IF(AND($B183&gt;0,J183&lt;$B183,DATE($B$1,8,1)&lt;=TODAY(),OR($O183="",$O183&gt;=DATE($B$1,8,1)),OR(COUNTIF($C183:J183,"&gt;0")&gt;0,DATE($B$1,8,1)=DATE(YEAR(TODAY()),MONTH(TODAY()),1))),1,0))</f>
        <v/>
      </c>
      <c r="X183">
        <f>IF($A183="","",IF(AND($B183&gt;0,K183&lt;$B183,DATE($B$1,9,1)&lt;=TODAY(),OR($O183="",$O183&gt;=DATE($B$1,9,1)),OR(COUNTIF($C183:K183,"&gt;0")&gt;0,DATE($B$1,9,1)=DATE(YEAR(TODAY()),MONTH(TODAY()),1))),1,0))</f>
        <v/>
      </c>
      <c r="Y183">
        <f>IF($A183="","",IF(AND($B183&gt;0,L183&lt;$B183,DATE($B$1,10,1)&lt;=TODAY(),OR($O183="",$O183&gt;=DATE($B$1,10,1)),OR(COUNTIF($C183:L183,"&gt;0")&gt;0,DATE($B$1,10,1)=DATE(YEAR(TODAY()),MONTH(TODAY()),1))),1,0))</f>
        <v/>
      </c>
      <c r="Z183">
        <f>IF($A183="","",IF(AND($B183&gt;0,M183&lt;$B183,DATE($B$1,11,1)&lt;=TODAY(),OR($O183="",$O183&gt;=DATE($B$1,11,1)),OR(COUNTIF($C183:M183,"&gt;0")&gt;0,DATE($B$1,11,1)=DATE(YEAR(TODAY()),MONTH(TODAY()),1))),1,0))</f>
        <v/>
      </c>
      <c r="AA183">
        <f>IF($A183="","",IF(AND($B183&gt;0,N183&lt;$B183,DATE($B$1,12,1)&lt;=TODAY(),OR($O183="",$O183&gt;=DATE($B$1,12,1)),OR(COUNTIF($C183:N183,"&gt;0")&gt;0,DATE($B$1,12,1)=DATE(YEAR(TODAY()),MONTH(TODAY()),1))),1,0))</f>
        <v/>
      </c>
    </row>
    <row r="184">
      <c r="A184" s="13">
        <f>IF(원생!$A182="","",원생!$A182&amp;IF(원생!$G182="",""," ("&amp;원생!$G182&amp;")"))</f>
        <v/>
      </c>
      <c r="B184" s="8">
        <f>IF(원생!$A182="","",N(원생!$F182))</f>
        <v/>
      </c>
      <c r="C184" s="14">
        <f>IF(원생!$A182="","",SUMIFS(계산!$C:$C,계산!$A:$A,계산!$E182,계산!$B:$B,$B$1*100+1))</f>
        <v/>
      </c>
      <c r="D184" s="14">
        <f>IF(원생!$A182="","",SUMIFS(계산!$C:$C,계산!$A:$A,계산!$E182,계산!$B:$B,$B$1*100+2))</f>
        <v/>
      </c>
      <c r="E184" s="14">
        <f>IF(원생!$A182="","",SUMIFS(계산!$C:$C,계산!$A:$A,계산!$E182,계산!$B:$B,$B$1*100+3))</f>
        <v/>
      </c>
      <c r="F184" s="14">
        <f>IF(원생!$A182="","",SUMIFS(계산!$C:$C,계산!$A:$A,계산!$E182,계산!$B:$B,$B$1*100+4))</f>
        <v/>
      </c>
      <c r="G184" s="14">
        <f>IF(원생!$A182="","",SUMIFS(계산!$C:$C,계산!$A:$A,계산!$E182,계산!$B:$B,$B$1*100+5))</f>
        <v/>
      </c>
      <c r="H184" s="14">
        <f>IF(원생!$A182="","",SUMIFS(계산!$C:$C,계산!$A:$A,계산!$E182,계산!$B:$B,$B$1*100+6))</f>
        <v/>
      </c>
      <c r="I184" s="14">
        <f>IF(원생!$A182="","",SUMIFS(계산!$C:$C,계산!$A:$A,계산!$E182,계산!$B:$B,$B$1*100+7))</f>
        <v/>
      </c>
      <c r="J184" s="14">
        <f>IF(원생!$A182="","",SUMIFS(계산!$C:$C,계산!$A:$A,계산!$E182,계산!$B:$B,$B$1*100+8))</f>
        <v/>
      </c>
      <c r="K184" s="14">
        <f>IF(원생!$A182="","",SUMIFS(계산!$C:$C,계산!$A:$A,계산!$E182,계산!$B:$B,$B$1*100+9))</f>
        <v/>
      </c>
      <c r="L184" s="14">
        <f>IF(원생!$A182="","",SUMIFS(계산!$C:$C,계산!$A:$A,계산!$E182,계산!$B:$B,$B$1*100+10))</f>
        <v/>
      </c>
      <c r="M184" s="14">
        <f>IF(원생!$A182="","",SUMIFS(계산!$C:$C,계산!$A:$A,계산!$E182,계산!$B:$B,$B$1*100+11))</f>
        <v/>
      </c>
      <c r="N184" s="14">
        <f>IF(원생!$A182="","",SUMIFS(계산!$C:$C,계산!$A:$A,계산!$E182,계산!$B:$B,$B$1*100+12))</f>
        <v/>
      </c>
      <c r="O184">
        <f>IF(원생!$I182="","",원생!$I182)</f>
        <v/>
      </c>
      <c r="P184">
        <f>IF($A184="","",IF(AND($B184&gt;0,C184&lt;$B184,DATE($B$1,1,1)&lt;=TODAY(),OR($O184="",$O184&gt;=DATE($B$1,1,1)),OR(COUNTIF($C184:C184,"&gt;0")&gt;0,DATE($B$1,1,1)=DATE(YEAR(TODAY()),MONTH(TODAY()),1))),1,0))</f>
        <v/>
      </c>
      <c r="Q184">
        <f>IF($A184="","",IF(AND($B184&gt;0,D184&lt;$B184,DATE($B$1,2,1)&lt;=TODAY(),OR($O184="",$O184&gt;=DATE($B$1,2,1)),OR(COUNTIF($C184:D184,"&gt;0")&gt;0,DATE($B$1,2,1)=DATE(YEAR(TODAY()),MONTH(TODAY()),1))),1,0))</f>
        <v/>
      </c>
      <c r="R184">
        <f>IF($A184="","",IF(AND($B184&gt;0,E184&lt;$B184,DATE($B$1,3,1)&lt;=TODAY(),OR($O184="",$O184&gt;=DATE($B$1,3,1)),OR(COUNTIF($C184:E184,"&gt;0")&gt;0,DATE($B$1,3,1)=DATE(YEAR(TODAY()),MONTH(TODAY()),1))),1,0))</f>
        <v/>
      </c>
      <c r="S184">
        <f>IF($A184="","",IF(AND($B184&gt;0,F184&lt;$B184,DATE($B$1,4,1)&lt;=TODAY(),OR($O184="",$O184&gt;=DATE($B$1,4,1)),OR(COUNTIF($C184:F184,"&gt;0")&gt;0,DATE($B$1,4,1)=DATE(YEAR(TODAY()),MONTH(TODAY()),1))),1,0))</f>
        <v/>
      </c>
      <c r="T184">
        <f>IF($A184="","",IF(AND($B184&gt;0,G184&lt;$B184,DATE($B$1,5,1)&lt;=TODAY(),OR($O184="",$O184&gt;=DATE($B$1,5,1)),OR(COUNTIF($C184:G184,"&gt;0")&gt;0,DATE($B$1,5,1)=DATE(YEAR(TODAY()),MONTH(TODAY()),1))),1,0))</f>
        <v/>
      </c>
      <c r="U184">
        <f>IF($A184="","",IF(AND($B184&gt;0,H184&lt;$B184,DATE($B$1,6,1)&lt;=TODAY(),OR($O184="",$O184&gt;=DATE($B$1,6,1)),OR(COUNTIF($C184:H184,"&gt;0")&gt;0,DATE($B$1,6,1)=DATE(YEAR(TODAY()),MONTH(TODAY()),1))),1,0))</f>
        <v/>
      </c>
      <c r="V184">
        <f>IF($A184="","",IF(AND($B184&gt;0,I184&lt;$B184,DATE($B$1,7,1)&lt;=TODAY(),OR($O184="",$O184&gt;=DATE($B$1,7,1)),OR(COUNTIF($C184:I184,"&gt;0")&gt;0,DATE($B$1,7,1)=DATE(YEAR(TODAY()),MONTH(TODAY()),1))),1,0))</f>
        <v/>
      </c>
      <c r="W184">
        <f>IF($A184="","",IF(AND($B184&gt;0,J184&lt;$B184,DATE($B$1,8,1)&lt;=TODAY(),OR($O184="",$O184&gt;=DATE($B$1,8,1)),OR(COUNTIF($C184:J184,"&gt;0")&gt;0,DATE($B$1,8,1)=DATE(YEAR(TODAY()),MONTH(TODAY()),1))),1,0))</f>
        <v/>
      </c>
      <c r="X184">
        <f>IF($A184="","",IF(AND($B184&gt;0,K184&lt;$B184,DATE($B$1,9,1)&lt;=TODAY(),OR($O184="",$O184&gt;=DATE($B$1,9,1)),OR(COUNTIF($C184:K184,"&gt;0")&gt;0,DATE($B$1,9,1)=DATE(YEAR(TODAY()),MONTH(TODAY()),1))),1,0))</f>
        <v/>
      </c>
      <c r="Y184">
        <f>IF($A184="","",IF(AND($B184&gt;0,L184&lt;$B184,DATE($B$1,10,1)&lt;=TODAY(),OR($O184="",$O184&gt;=DATE($B$1,10,1)),OR(COUNTIF($C184:L184,"&gt;0")&gt;0,DATE($B$1,10,1)=DATE(YEAR(TODAY()),MONTH(TODAY()),1))),1,0))</f>
        <v/>
      </c>
      <c r="Z184">
        <f>IF($A184="","",IF(AND($B184&gt;0,M184&lt;$B184,DATE($B$1,11,1)&lt;=TODAY(),OR($O184="",$O184&gt;=DATE($B$1,11,1)),OR(COUNTIF($C184:M184,"&gt;0")&gt;0,DATE($B$1,11,1)=DATE(YEAR(TODAY()),MONTH(TODAY()),1))),1,0))</f>
        <v/>
      </c>
      <c r="AA184">
        <f>IF($A184="","",IF(AND($B184&gt;0,N184&lt;$B184,DATE($B$1,12,1)&lt;=TODAY(),OR($O184="",$O184&gt;=DATE($B$1,12,1)),OR(COUNTIF($C184:N184,"&gt;0")&gt;0,DATE($B$1,12,1)=DATE(YEAR(TODAY()),MONTH(TODAY()),1))),1,0))</f>
        <v/>
      </c>
    </row>
    <row r="185">
      <c r="A185" s="13">
        <f>IF(원생!$A183="","",원생!$A183&amp;IF(원생!$G183="",""," ("&amp;원생!$G183&amp;")"))</f>
        <v/>
      </c>
      <c r="B185" s="8">
        <f>IF(원생!$A183="","",N(원생!$F183))</f>
        <v/>
      </c>
      <c r="C185" s="14">
        <f>IF(원생!$A183="","",SUMIFS(계산!$C:$C,계산!$A:$A,계산!$E183,계산!$B:$B,$B$1*100+1))</f>
        <v/>
      </c>
      <c r="D185" s="14">
        <f>IF(원생!$A183="","",SUMIFS(계산!$C:$C,계산!$A:$A,계산!$E183,계산!$B:$B,$B$1*100+2))</f>
        <v/>
      </c>
      <c r="E185" s="14">
        <f>IF(원생!$A183="","",SUMIFS(계산!$C:$C,계산!$A:$A,계산!$E183,계산!$B:$B,$B$1*100+3))</f>
        <v/>
      </c>
      <c r="F185" s="14">
        <f>IF(원생!$A183="","",SUMIFS(계산!$C:$C,계산!$A:$A,계산!$E183,계산!$B:$B,$B$1*100+4))</f>
        <v/>
      </c>
      <c r="G185" s="14">
        <f>IF(원생!$A183="","",SUMIFS(계산!$C:$C,계산!$A:$A,계산!$E183,계산!$B:$B,$B$1*100+5))</f>
        <v/>
      </c>
      <c r="H185" s="14">
        <f>IF(원생!$A183="","",SUMIFS(계산!$C:$C,계산!$A:$A,계산!$E183,계산!$B:$B,$B$1*100+6))</f>
        <v/>
      </c>
      <c r="I185" s="14">
        <f>IF(원생!$A183="","",SUMIFS(계산!$C:$C,계산!$A:$A,계산!$E183,계산!$B:$B,$B$1*100+7))</f>
        <v/>
      </c>
      <c r="J185" s="14">
        <f>IF(원생!$A183="","",SUMIFS(계산!$C:$C,계산!$A:$A,계산!$E183,계산!$B:$B,$B$1*100+8))</f>
        <v/>
      </c>
      <c r="K185" s="14">
        <f>IF(원생!$A183="","",SUMIFS(계산!$C:$C,계산!$A:$A,계산!$E183,계산!$B:$B,$B$1*100+9))</f>
        <v/>
      </c>
      <c r="L185" s="14">
        <f>IF(원생!$A183="","",SUMIFS(계산!$C:$C,계산!$A:$A,계산!$E183,계산!$B:$B,$B$1*100+10))</f>
        <v/>
      </c>
      <c r="M185" s="14">
        <f>IF(원생!$A183="","",SUMIFS(계산!$C:$C,계산!$A:$A,계산!$E183,계산!$B:$B,$B$1*100+11))</f>
        <v/>
      </c>
      <c r="N185" s="14">
        <f>IF(원생!$A183="","",SUMIFS(계산!$C:$C,계산!$A:$A,계산!$E183,계산!$B:$B,$B$1*100+12))</f>
        <v/>
      </c>
      <c r="O185">
        <f>IF(원생!$I183="","",원생!$I183)</f>
        <v/>
      </c>
      <c r="P185">
        <f>IF($A185="","",IF(AND($B185&gt;0,C185&lt;$B185,DATE($B$1,1,1)&lt;=TODAY(),OR($O185="",$O185&gt;=DATE($B$1,1,1)),OR(COUNTIF($C185:C185,"&gt;0")&gt;0,DATE($B$1,1,1)=DATE(YEAR(TODAY()),MONTH(TODAY()),1))),1,0))</f>
        <v/>
      </c>
      <c r="Q185">
        <f>IF($A185="","",IF(AND($B185&gt;0,D185&lt;$B185,DATE($B$1,2,1)&lt;=TODAY(),OR($O185="",$O185&gt;=DATE($B$1,2,1)),OR(COUNTIF($C185:D185,"&gt;0")&gt;0,DATE($B$1,2,1)=DATE(YEAR(TODAY()),MONTH(TODAY()),1))),1,0))</f>
        <v/>
      </c>
      <c r="R185">
        <f>IF($A185="","",IF(AND($B185&gt;0,E185&lt;$B185,DATE($B$1,3,1)&lt;=TODAY(),OR($O185="",$O185&gt;=DATE($B$1,3,1)),OR(COUNTIF($C185:E185,"&gt;0")&gt;0,DATE($B$1,3,1)=DATE(YEAR(TODAY()),MONTH(TODAY()),1))),1,0))</f>
        <v/>
      </c>
      <c r="S185">
        <f>IF($A185="","",IF(AND($B185&gt;0,F185&lt;$B185,DATE($B$1,4,1)&lt;=TODAY(),OR($O185="",$O185&gt;=DATE($B$1,4,1)),OR(COUNTIF($C185:F185,"&gt;0")&gt;0,DATE($B$1,4,1)=DATE(YEAR(TODAY()),MONTH(TODAY()),1))),1,0))</f>
        <v/>
      </c>
      <c r="T185">
        <f>IF($A185="","",IF(AND($B185&gt;0,G185&lt;$B185,DATE($B$1,5,1)&lt;=TODAY(),OR($O185="",$O185&gt;=DATE($B$1,5,1)),OR(COUNTIF($C185:G185,"&gt;0")&gt;0,DATE($B$1,5,1)=DATE(YEAR(TODAY()),MONTH(TODAY()),1))),1,0))</f>
        <v/>
      </c>
      <c r="U185">
        <f>IF($A185="","",IF(AND($B185&gt;0,H185&lt;$B185,DATE($B$1,6,1)&lt;=TODAY(),OR($O185="",$O185&gt;=DATE($B$1,6,1)),OR(COUNTIF($C185:H185,"&gt;0")&gt;0,DATE($B$1,6,1)=DATE(YEAR(TODAY()),MONTH(TODAY()),1))),1,0))</f>
        <v/>
      </c>
      <c r="V185">
        <f>IF($A185="","",IF(AND($B185&gt;0,I185&lt;$B185,DATE($B$1,7,1)&lt;=TODAY(),OR($O185="",$O185&gt;=DATE($B$1,7,1)),OR(COUNTIF($C185:I185,"&gt;0")&gt;0,DATE($B$1,7,1)=DATE(YEAR(TODAY()),MONTH(TODAY()),1))),1,0))</f>
        <v/>
      </c>
      <c r="W185">
        <f>IF($A185="","",IF(AND($B185&gt;0,J185&lt;$B185,DATE($B$1,8,1)&lt;=TODAY(),OR($O185="",$O185&gt;=DATE($B$1,8,1)),OR(COUNTIF($C185:J185,"&gt;0")&gt;0,DATE($B$1,8,1)=DATE(YEAR(TODAY()),MONTH(TODAY()),1))),1,0))</f>
        <v/>
      </c>
      <c r="X185">
        <f>IF($A185="","",IF(AND($B185&gt;0,K185&lt;$B185,DATE($B$1,9,1)&lt;=TODAY(),OR($O185="",$O185&gt;=DATE($B$1,9,1)),OR(COUNTIF($C185:K185,"&gt;0")&gt;0,DATE($B$1,9,1)=DATE(YEAR(TODAY()),MONTH(TODAY()),1))),1,0))</f>
        <v/>
      </c>
      <c r="Y185">
        <f>IF($A185="","",IF(AND($B185&gt;0,L185&lt;$B185,DATE($B$1,10,1)&lt;=TODAY(),OR($O185="",$O185&gt;=DATE($B$1,10,1)),OR(COUNTIF($C185:L185,"&gt;0")&gt;0,DATE($B$1,10,1)=DATE(YEAR(TODAY()),MONTH(TODAY()),1))),1,0))</f>
        <v/>
      </c>
      <c r="Z185">
        <f>IF($A185="","",IF(AND($B185&gt;0,M185&lt;$B185,DATE($B$1,11,1)&lt;=TODAY(),OR($O185="",$O185&gt;=DATE($B$1,11,1)),OR(COUNTIF($C185:M185,"&gt;0")&gt;0,DATE($B$1,11,1)=DATE(YEAR(TODAY()),MONTH(TODAY()),1))),1,0))</f>
        <v/>
      </c>
      <c r="AA185">
        <f>IF($A185="","",IF(AND($B185&gt;0,N185&lt;$B185,DATE($B$1,12,1)&lt;=TODAY(),OR($O185="",$O185&gt;=DATE($B$1,12,1)),OR(COUNTIF($C185:N185,"&gt;0")&gt;0,DATE($B$1,12,1)=DATE(YEAR(TODAY()),MONTH(TODAY()),1))),1,0))</f>
        <v/>
      </c>
    </row>
    <row r="186">
      <c r="A186" s="13">
        <f>IF(원생!$A184="","",원생!$A184&amp;IF(원생!$G184="",""," ("&amp;원생!$G184&amp;")"))</f>
        <v/>
      </c>
      <c r="B186" s="8">
        <f>IF(원생!$A184="","",N(원생!$F184))</f>
        <v/>
      </c>
      <c r="C186" s="14">
        <f>IF(원생!$A184="","",SUMIFS(계산!$C:$C,계산!$A:$A,계산!$E184,계산!$B:$B,$B$1*100+1))</f>
        <v/>
      </c>
      <c r="D186" s="14">
        <f>IF(원생!$A184="","",SUMIFS(계산!$C:$C,계산!$A:$A,계산!$E184,계산!$B:$B,$B$1*100+2))</f>
        <v/>
      </c>
      <c r="E186" s="14">
        <f>IF(원생!$A184="","",SUMIFS(계산!$C:$C,계산!$A:$A,계산!$E184,계산!$B:$B,$B$1*100+3))</f>
        <v/>
      </c>
      <c r="F186" s="14">
        <f>IF(원생!$A184="","",SUMIFS(계산!$C:$C,계산!$A:$A,계산!$E184,계산!$B:$B,$B$1*100+4))</f>
        <v/>
      </c>
      <c r="G186" s="14">
        <f>IF(원생!$A184="","",SUMIFS(계산!$C:$C,계산!$A:$A,계산!$E184,계산!$B:$B,$B$1*100+5))</f>
        <v/>
      </c>
      <c r="H186" s="14">
        <f>IF(원생!$A184="","",SUMIFS(계산!$C:$C,계산!$A:$A,계산!$E184,계산!$B:$B,$B$1*100+6))</f>
        <v/>
      </c>
      <c r="I186" s="14">
        <f>IF(원생!$A184="","",SUMIFS(계산!$C:$C,계산!$A:$A,계산!$E184,계산!$B:$B,$B$1*100+7))</f>
        <v/>
      </c>
      <c r="J186" s="14">
        <f>IF(원생!$A184="","",SUMIFS(계산!$C:$C,계산!$A:$A,계산!$E184,계산!$B:$B,$B$1*100+8))</f>
        <v/>
      </c>
      <c r="K186" s="14">
        <f>IF(원생!$A184="","",SUMIFS(계산!$C:$C,계산!$A:$A,계산!$E184,계산!$B:$B,$B$1*100+9))</f>
        <v/>
      </c>
      <c r="L186" s="14">
        <f>IF(원생!$A184="","",SUMIFS(계산!$C:$C,계산!$A:$A,계산!$E184,계산!$B:$B,$B$1*100+10))</f>
        <v/>
      </c>
      <c r="M186" s="14">
        <f>IF(원생!$A184="","",SUMIFS(계산!$C:$C,계산!$A:$A,계산!$E184,계산!$B:$B,$B$1*100+11))</f>
        <v/>
      </c>
      <c r="N186" s="14">
        <f>IF(원생!$A184="","",SUMIFS(계산!$C:$C,계산!$A:$A,계산!$E184,계산!$B:$B,$B$1*100+12))</f>
        <v/>
      </c>
      <c r="O186">
        <f>IF(원생!$I184="","",원생!$I184)</f>
        <v/>
      </c>
      <c r="P186">
        <f>IF($A186="","",IF(AND($B186&gt;0,C186&lt;$B186,DATE($B$1,1,1)&lt;=TODAY(),OR($O186="",$O186&gt;=DATE($B$1,1,1)),OR(COUNTIF($C186:C186,"&gt;0")&gt;0,DATE($B$1,1,1)=DATE(YEAR(TODAY()),MONTH(TODAY()),1))),1,0))</f>
        <v/>
      </c>
      <c r="Q186">
        <f>IF($A186="","",IF(AND($B186&gt;0,D186&lt;$B186,DATE($B$1,2,1)&lt;=TODAY(),OR($O186="",$O186&gt;=DATE($B$1,2,1)),OR(COUNTIF($C186:D186,"&gt;0")&gt;0,DATE($B$1,2,1)=DATE(YEAR(TODAY()),MONTH(TODAY()),1))),1,0))</f>
        <v/>
      </c>
      <c r="R186">
        <f>IF($A186="","",IF(AND($B186&gt;0,E186&lt;$B186,DATE($B$1,3,1)&lt;=TODAY(),OR($O186="",$O186&gt;=DATE($B$1,3,1)),OR(COUNTIF($C186:E186,"&gt;0")&gt;0,DATE($B$1,3,1)=DATE(YEAR(TODAY()),MONTH(TODAY()),1))),1,0))</f>
        <v/>
      </c>
      <c r="S186">
        <f>IF($A186="","",IF(AND($B186&gt;0,F186&lt;$B186,DATE($B$1,4,1)&lt;=TODAY(),OR($O186="",$O186&gt;=DATE($B$1,4,1)),OR(COUNTIF($C186:F186,"&gt;0")&gt;0,DATE($B$1,4,1)=DATE(YEAR(TODAY()),MONTH(TODAY()),1))),1,0))</f>
        <v/>
      </c>
      <c r="T186">
        <f>IF($A186="","",IF(AND($B186&gt;0,G186&lt;$B186,DATE($B$1,5,1)&lt;=TODAY(),OR($O186="",$O186&gt;=DATE($B$1,5,1)),OR(COUNTIF($C186:G186,"&gt;0")&gt;0,DATE($B$1,5,1)=DATE(YEAR(TODAY()),MONTH(TODAY()),1))),1,0))</f>
        <v/>
      </c>
      <c r="U186">
        <f>IF($A186="","",IF(AND($B186&gt;0,H186&lt;$B186,DATE($B$1,6,1)&lt;=TODAY(),OR($O186="",$O186&gt;=DATE($B$1,6,1)),OR(COUNTIF($C186:H186,"&gt;0")&gt;0,DATE($B$1,6,1)=DATE(YEAR(TODAY()),MONTH(TODAY()),1))),1,0))</f>
        <v/>
      </c>
      <c r="V186">
        <f>IF($A186="","",IF(AND($B186&gt;0,I186&lt;$B186,DATE($B$1,7,1)&lt;=TODAY(),OR($O186="",$O186&gt;=DATE($B$1,7,1)),OR(COUNTIF($C186:I186,"&gt;0")&gt;0,DATE($B$1,7,1)=DATE(YEAR(TODAY()),MONTH(TODAY()),1))),1,0))</f>
        <v/>
      </c>
      <c r="W186">
        <f>IF($A186="","",IF(AND($B186&gt;0,J186&lt;$B186,DATE($B$1,8,1)&lt;=TODAY(),OR($O186="",$O186&gt;=DATE($B$1,8,1)),OR(COUNTIF($C186:J186,"&gt;0")&gt;0,DATE($B$1,8,1)=DATE(YEAR(TODAY()),MONTH(TODAY()),1))),1,0))</f>
        <v/>
      </c>
      <c r="X186">
        <f>IF($A186="","",IF(AND($B186&gt;0,K186&lt;$B186,DATE($B$1,9,1)&lt;=TODAY(),OR($O186="",$O186&gt;=DATE($B$1,9,1)),OR(COUNTIF($C186:K186,"&gt;0")&gt;0,DATE($B$1,9,1)=DATE(YEAR(TODAY()),MONTH(TODAY()),1))),1,0))</f>
        <v/>
      </c>
      <c r="Y186">
        <f>IF($A186="","",IF(AND($B186&gt;0,L186&lt;$B186,DATE($B$1,10,1)&lt;=TODAY(),OR($O186="",$O186&gt;=DATE($B$1,10,1)),OR(COUNTIF($C186:L186,"&gt;0")&gt;0,DATE($B$1,10,1)=DATE(YEAR(TODAY()),MONTH(TODAY()),1))),1,0))</f>
        <v/>
      </c>
      <c r="Z186">
        <f>IF($A186="","",IF(AND($B186&gt;0,M186&lt;$B186,DATE($B$1,11,1)&lt;=TODAY(),OR($O186="",$O186&gt;=DATE($B$1,11,1)),OR(COUNTIF($C186:M186,"&gt;0")&gt;0,DATE($B$1,11,1)=DATE(YEAR(TODAY()),MONTH(TODAY()),1))),1,0))</f>
        <v/>
      </c>
      <c r="AA186">
        <f>IF($A186="","",IF(AND($B186&gt;0,N186&lt;$B186,DATE($B$1,12,1)&lt;=TODAY(),OR($O186="",$O186&gt;=DATE($B$1,12,1)),OR(COUNTIF($C186:N186,"&gt;0")&gt;0,DATE($B$1,12,1)=DATE(YEAR(TODAY()),MONTH(TODAY()),1))),1,0))</f>
        <v/>
      </c>
    </row>
    <row r="187">
      <c r="A187" s="13">
        <f>IF(원생!$A185="","",원생!$A185&amp;IF(원생!$G185="",""," ("&amp;원생!$G185&amp;")"))</f>
        <v/>
      </c>
      <c r="B187" s="8">
        <f>IF(원생!$A185="","",N(원생!$F185))</f>
        <v/>
      </c>
      <c r="C187" s="14">
        <f>IF(원생!$A185="","",SUMIFS(계산!$C:$C,계산!$A:$A,계산!$E185,계산!$B:$B,$B$1*100+1))</f>
        <v/>
      </c>
      <c r="D187" s="14">
        <f>IF(원생!$A185="","",SUMIFS(계산!$C:$C,계산!$A:$A,계산!$E185,계산!$B:$B,$B$1*100+2))</f>
        <v/>
      </c>
      <c r="E187" s="14">
        <f>IF(원생!$A185="","",SUMIFS(계산!$C:$C,계산!$A:$A,계산!$E185,계산!$B:$B,$B$1*100+3))</f>
        <v/>
      </c>
      <c r="F187" s="14">
        <f>IF(원생!$A185="","",SUMIFS(계산!$C:$C,계산!$A:$A,계산!$E185,계산!$B:$B,$B$1*100+4))</f>
        <v/>
      </c>
      <c r="G187" s="14">
        <f>IF(원생!$A185="","",SUMIFS(계산!$C:$C,계산!$A:$A,계산!$E185,계산!$B:$B,$B$1*100+5))</f>
        <v/>
      </c>
      <c r="H187" s="14">
        <f>IF(원생!$A185="","",SUMIFS(계산!$C:$C,계산!$A:$A,계산!$E185,계산!$B:$B,$B$1*100+6))</f>
        <v/>
      </c>
      <c r="I187" s="14">
        <f>IF(원생!$A185="","",SUMIFS(계산!$C:$C,계산!$A:$A,계산!$E185,계산!$B:$B,$B$1*100+7))</f>
        <v/>
      </c>
      <c r="J187" s="14">
        <f>IF(원생!$A185="","",SUMIFS(계산!$C:$C,계산!$A:$A,계산!$E185,계산!$B:$B,$B$1*100+8))</f>
        <v/>
      </c>
      <c r="K187" s="14">
        <f>IF(원생!$A185="","",SUMIFS(계산!$C:$C,계산!$A:$A,계산!$E185,계산!$B:$B,$B$1*100+9))</f>
        <v/>
      </c>
      <c r="L187" s="14">
        <f>IF(원생!$A185="","",SUMIFS(계산!$C:$C,계산!$A:$A,계산!$E185,계산!$B:$B,$B$1*100+10))</f>
        <v/>
      </c>
      <c r="M187" s="14">
        <f>IF(원생!$A185="","",SUMIFS(계산!$C:$C,계산!$A:$A,계산!$E185,계산!$B:$B,$B$1*100+11))</f>
        <v/>
      </c>
      <c r="N187" s="14">
        <f>IF(원생!$A185="","",SUMIFS(계산!$C:$C,계산!$A:$A,계산!$E185,계산!$B:$B,$B$1*100+12))</f>
        <v/>
      </c>
      <c r="O187">
        <f>IF(원생!$I185="","",원생!$I185)</f>
        <v/>
      </c>
      <c r="P187">
        <f>IF($A187="","",IF(AND($B187&gt;0,C187&lt;$B187,DATE($B$1,1,1)&lt;=TODAY(),OR($O187="",$O187&gt;=DATE($B$1,1,1)),OR(COUNTIF($C187:C187,"&gt;0")&gt;0,DATE($B$1,1,1)=DATE(YEAR(TODAY()),MONTH(TODAY()),1))),1,0))</f>
        <v/>
      </c>
      <c r="Q187">
        <f>IF($A187="","",IF(AND($B187&gt;0,D187&lt;$B187,DATE($B$1,2,1)&lt;=TODAY(),OR($O187="",$O187&gt;=DATE($B$1,2,1)),OR(COUNTIF($C187:D187,"&gt;0")&gt;0,DATE($B$1,2,1)=DATE(YEAR(TODAY()),MONTH(TODAY()),1))),1,0))</f>
        <v/>
      </c>
      <c r="R187">
        <f>IF($A187="","",IF(AND($B187&gt;0,E187&lt;$B187,DATE($B$1,3,1)&lt;=TODAY(),OR($O187="",$O187&gt;=DATE($B$1,3,1)),OR(COUNTIF($C187:E187,"&gt;0")&gt;0,DATE($B$1,3,1)=DATE(YEAR(TODAY()),MONTH(TODAY()),1))),1,0))</f>
        <v/>
      </c>
      <c r="S187">
        <f>IF($A187="","",IF(AND($B187&gt;0,F187&lt;$B187,DATE($B$1,4,1)&lt;=TODAY(),OR($O187="",$O187&gt;=DATE($B$1,4,1)),OR(COUNTIF($C187:F187,"&gt;0")&gt;0,DATE($B$1,4,1)=DATE(YEAR(TODAY()),MONTH(TODAY()),1))),1,0))</f>
        <v/>
      </c>
      <c r="T187">
        <f>IF($A187="","",IF(AND($B187&gt;0,G187&lt;$B187,DATE($B$1,5,1)&lt;=TODAY(),OR($O187="",$O187&gt;=DATE($B$1,5,1)),OR(COUNTIF($C187:G187,"&gt;0")&gt;0,DATE($B$1,5,1)=DATE(YEAR(TODAY()),MONTH(TODAY()),1))),1,0))</f>
        <v/>
      </c>
      <c r="U187">
        <f>IF($A187="","",IF(AND($B187&gt;0,H187&lt;$B187,DATE($B$1,6,1)&lt;=TODAY(),OR($O187="",$O187&gt;=DATE($B$1,6,1)),OR(COUNTIF($C187:H187,"&gt;0")&gt;0,DATE($B$1,6,1)=DATE(YEAR(TODAY()),MONTH(TODAY()),1))),1,0))</f>
        <v/>
      </c>
      <c r="V187">
        <f>IF($A187="","",IF(AND($B187&gt;0,I187&lt;$B187,DATE($B$1,7,1)&lt;=TODAY(),OR($O187="",$O187&gt;=DATE($B$1,7,1)),OR(COUNTIF($C187:I187,"&gt;0")&gt;0,DATE($B$1,7,1)=DATE(YEAR(TODAY()),MONTH(TODAY()),1))),1,0))</f>
        <v/>
      </c>
      <c r="W187">
        <f>IF($A187="","",IF(AND($B187&gt;0,J187&lt;$B187,DATE($B$1,8,1)&lt;=TODAY(),OR($O187="",$O187&gt;=DATE($B$1,8,1)),OR(COUNTIF($C187:J187,"&gt;0")&gt;0,DATE($B$1,8,1)=DATE(YEAR(TODAY()),MONTH(TODAY()),1))),1,0))</f>
        <v/>
      </c>
      <c r="X187">
        <f>IF($A187="","",IF(AND($B187&gt;0,K187&lt;$B187,DATE($B$1,9,1)&lt;=TODAY(),OR($O187="",$O187&gt;=DATE($B$1,9,1)),OR(COUNTIF($C187:K187,"&gt;0")&gt;0,DATE($B$1,9,1)=DATE(YEAR(TODAY()),MONTH(TODAY()),1))),1,0))</f>
        <v/>
      </c>
      <c r="Y187">
        <f>IF($A187="","",IF(AND($B187&gt;0,L187&lt;$B187,DATE($B$1,10,1)&lt;=TODAY(),OR($O187="",$O187&gt;=DATE($B$1,10,1)),OR(COUNTIF($C187:L187,"&gt;0")&gt;0,DATE($B$1,10,1)=DATE(YEAR(TODAY()),MONTH(TODAY()),1))),1,0))</f>
        <v/>
      </c>
      <c r="Z187">
        <f>IF($A187="","",IF(AND($B187&gt;0,M187&lt;$B187,DATE($B$1,11,1)&lt;=TODAY(),OR($O187="",$O187&gt;=DATE($B$1,11,1)),OR(COUNTIF($C187:M187,"&gt;0")&gt;0,DATE($B$1,11,1)=DATE(YEAR(TODAY()),MONTH(TODAY()),1))),1,0))</f>
        <v/>
      </c>
      <c r="AA187">
        <f>IF($A187="","",IF(AND($B187&gt;0,N187&lt;$B187,DATE($B$1,12,1)&lt;=TODAY(),OR($O187="",$O187&gt;=DATE($B$1,12,1)),OR(COUNTIF($C187:N187,"&gt;0")&gt;0,DATE($B$1,12,1)=DATE(YEAR(TODAY()),MONTH(TODAY()),1))),1,0))</f>
        <v/>
      </c>
    </row>
    <row r="188">
      <c r="A188" s="13">
        <f>IF(원생!$A186="","",원생!$A186&amp;IF(원생!$G186="",""," ("&amp;원생!$G186&amp;")"))</f>
        <v/>
      </c>
      <c r="B188" s="8">
        <f>IF(원생!$A186="","",N(원생!$F186))</f>
        <v/>
      </c>
      <c r="C188" s="14">
        <f>IF(원생!$A186="","",SUMIFS(계산!$C:$C,계산!$A:$A,계산!$E186,계산!$B:$B,$B$1*100+1))</f>
        <v/>
      </c>
      <c r="D188" s="14">
        <f>IF(원생!$A186="","",SUMIFS(계산!$C:$C,계산!$A:$A,계산!$E186,계산!$B:$B,$B$1*100+2))</f>
        <v/>
      </c>
      <c r="E188" s="14">
        <f>IF(원생!$A186="","",SUMIFS(계산!$C:$C,계산!$A:$A,계산!$E186,계산!$B:$B,$B$1*100+3))</f>
        <v/>
      </c>
      <c r="F188" s="14">
        <f>IF(원생!$A186="","",SUMIFS(계산!$C:$C,계산!$A:$A,계산!$E186,계산!$B:$B,$B$1*100+4))</f>
        <v/>
      </c>
      <c r="G188" s="14">
        <f>IF(원생!$A186="","",SUMIFS(계산!$C:$C,계산!$A:$A,계산!$E186,계산!$B:$B,$B$1*100+5))</f>
        <v/>
      </c>
      <c r="H188" s="14">
        <f>IF(원생!$A186="","",SUMIFS(계산!$C:$C,계산!$A:$A,계산!$E186,계산!$B:$B,$B$1*100+6))</f>
        <v/>
      </c>
      <c r="I188" s="14">
        <f>IF(원생!$A186="","",SUMIFS(계산!$C:$C,계산!$A:$A,계산!$E186,계산!$B:$B,$B$1*100+7))</f>
        <v/>
      </c>
      <c r="J188" s="14">
        <f>IF(원생!$A186="","",SUMIFS(계산!$C:$C,계산!$A:$A,계산!$E186,계산!$B:$B,$B$1*100+8))</f>
        <v/>
      </c>
      <c r="K188" s="14">
        <f>IF(원생!$A186="","",SUMIFS(계산!$C:$C,계산!$A:$A,계산!$E186,계산!$B:$B,$B$1*100+9))</f>
        <v/>
      </c>
      <c r="L188" s="14">
        <f>IF(원생!$A186="","",SUMIFS(계산!$C:$C,계산!$A:$A,계산!$E186,계산!$B:$B,$B$1*100+10))</f>
        <v/>
      </c>
      <c r="M188" s="14">
        <f>IF(원생!$A186="","",SUMIFS(계산!$C:$C,계산!$A:$A,계산!$E186,계산!$B:$B,$B$1*100+11))</f>
        <v/>
      </c>
      <c r="N188" s="14">
        <f>IF(원생!$A186="","",SUMIFS(계산!$C:$C,계산!$A:$A,계산!$E186,계산!$B:$B,$B$1*100+12))</f>
        <v/>
      </c>
      <c r="O188">
        <f>IF(원생!$I186="","",원생!$I186)</f>
        <v/>
      </c>
      <c r="P188">
        <f>IF($A188="","",IF(AND($B188&gt;0,C188&lt;$B188,DATE($B$1,1,1)&lt;=TODAY(),OR($O188="",$O188&gt;=DATE($B$1,1,1)),OR(COUNTIF($C188:C188,"&gt;0")&gt;0,DATE($B$1,1,1)=DATE(YEAR(TODAY()),MONTH(TODAY()),1))),1,0))</f>
        <v/>
      </c>
      <c r="Q188">
        <f>IF($A188="","",IF(AND($B188&gt;0,D188&lt;$B188,DATE($B$1,2,1)&lt;=TODAY(),OR($O188="",$O188&gt;=DATE($B$1,2,1)),OR(COUNTIF($C188:D188,"&gt;0")&gt;0,DATE($B$1,2,1)=DATE(YEAR(TODAY()),MONTH(TODAY()),1))),1,0))</f>
        <v/>
      </c>
      <c r="R188">
        <f>IF($A188="","",IF(AND($B188&gt;0,E188&lt;$B188,DATE($B$1,3,1)&lt;=TODAY(),OR($O188="",$O188&gt;=DATE($B$1,3,1)),OR(COUNTIF($C188:E188,"&gt;0")&gt;0,DATE($B$1,3,1)=DATE(YEAR(TODAY()),MONTH(TODAY()),1))),1,0))</f>
        <v/>
      </c>
      <c r="S188">
        <f>IF($A188="","",IF(AND($B188&gt;0,F188&lt;$B188,DATE($B$1,4,1)&lt;=TODAY(),OR($O188="",$O188&gt;=DATE($B$1,4,1)),OR(COUNTIF($C188:F188,"&gt;0")&gt;0,DATE($B$1,4,1)=DATE(YEAR(TODAY()),MONTH(TODAY()),1))),1,0))</f>
        <v/>
      </c>
      <c r="T188">
        <f>IF($A188="","",IF(AND($B188&gt;0,G188&lt;$B188,DATE($B$1,5,1)&lt;=TODAY(),OR($O188="",$O188&gt;=DATE($B$1,5,1)),OR(COUNTIF($C188:G188,"&gt;0")&gt;0,DATE($B$1,5,1)=DATE(YEAR(TODAY()),MONTH(TODAY()),1))),1,0))</f>
        <v/>
      </c>
      <c r="U188">
        <f>IF($A188="","",IF(AND($B188&gt;0,H188&lt;$B188,DATE($B$1,6,1)&lt;=TODAY(),OR($O188="",$O188&gt;=DATE($B$1,6,1)),OR(COUNTIF($C188:H188,"&gt;0")&gt;0,DATE($B$1,6,1)=DATE(YEAR(TODAY()),MONTH(TODAY()),1))),1,0))</f>
        <v/>
      </c>
      <c r="V188">
        <f>IF($A188="","",IF(AND($B188&gt;0,I188&lt;$B188,DATE($B$1,7,1)&lt;=TODAY(),OR($O188="",$O188&gt;=DATE($B$1,7,1)),OR(COUNTIF($C188:I188,"&gt;0")&gt;0,DATE($B$1,7,1)=DATE(YEAR(TODAY()),MONTH(TODAY()),1))),1,0))</f>
        <v/>
      </c>
      <c r="W188">
        <f>IF($A188="","",IF(AND($B188&gt;0,J188&lt;$B188,DATE($B$1,8,1)&lt;=TODAY(),OR($O188="",$O188&gt;=DATE($B$1,8,1)),OR(COUNTIF($C188:J188,"&gt;0")&gt;0,DATE($B$1,8,1)=DATE(YEAR(TODAY()),MONTH(TODAY()),1))),1,0))</f>
        <v/>
      </c>
      <c r="X188">
        <f>IF($A188="","",IF(AND($B188&gt;0,K188&lt;$B188,DATE($B$1,9,1)&lt;=TODAY(),OR($O188="",$O188&gt;=DATE($B$1,9,1)),OR(COUNTIF($C188:K188,"&gt;0")&gt;0,DATE($B$1,9,1)=DATE(YEAR(TODAY()),MONTH(TODAY()),1))),1,0))</f>
        <v/>
      </c>
      <c r="Y188">
        <f>IF($A188="","",IF(AND($B188&gt;0,L188&lt;$B188,DATE($B$1,10,1)&lt;=TODAY(),OR($O188="",$O188&gt;=DATE($B$1,10,1)),OR(COUNTIF($C188:L188,"&gt;0")&gt;0,DATE($B$1,10,1)=DATE(YEAR(TODAY()),MONTH(TODAY()),1))),1,0))</f>
        <v/>
      </c>
      <c r="Z188">
        <f>IF($A188="","",IF(AND($B188&gt;0,M188&lt;$B188,DATE($B$1,11,1)&lt;=TODAY(),OR($O188="",$O188&gt;=DATE($B$1,11,1)),OR(COUNTIF($C188:M188,"&gt;0")&gt;0,DATE($B$1,11,1)=DATE(YEAR(TODAY()),MONTH(TODAY()),1))),1,0))</f>
        <v/>
      </c>
      <c r="AA188">
        <f>IF($A188="","",IF(AND($B188&gt;0,N188&lt;$B188,DATE($B$1,12,1)&lt;=TODAY(),OR($O188="",$O188&gt;=DATE($B$1,12,1)),OR(COUNTIF($C188:N188,"&gt;0")&gt;0,DATE($B$1,12,1)=DATE(YEAR(TODAY()),MONTH(TODAY()),1))),1,0))</f>
        <v/>
      </c>
    </row>
    <row r="189">
      <c r="A189" s="13">
        <f>IF(원생!$A187="","",원생!$A187&amp;IF(원생!$G187="",""," ("&amp;원생!$G187&amp;")"))</f>
        <v/>
      </c>
      <c r="B189" s="8">
        <f>IF(원생!$A187="","",N(원생!$F187))</f>
        <v/>
      </c>
      <c r="C189" s="14">
        <f>IF(원생!$A187="","",SUMIFS(계산!$C:$C,계산!$A:$A,계산!$E187,계산!$B:$B,$B$1*100+1))</f>
        <v/>
      </c>
      <c r="D189" s="14">
        <f>IF(원생!$A187="","",SUMIFS(계산!$C:$C,계산!$A:$A,계산!$E187,계산!$B:$B,$B$1*100+2))</f>
        <v/>
      </c>
      <c r="E189" s="14">
        <f>IF(원생!$A187="","",SUMIFS(계산!$C:$C,계산!$A:$A,계산!$E187,계산!$B:$B,$B$1*100+3))</f>
        <v/>
      </c>
      <c r="F189" s="14">
        <f>IF(원생!$A187="","",SUMIFS(계산!$C:$C,계산!$A:$A,계산!$E187,계산!$B:$B,$B$1*100+4))</f>
        <v/>
      </c>
      <c r="G189" s="14">
        <f>IF(원생!$A187="","",SUMIFS(계산!$C:$C,계산!$A:$A,계산!$E187,계산!$B:$B,$B$1*100+5))</f>
        <v/>
      </c>
      <c r="H189" s="14">
        <f>IF(원생!$A187="","",SUMIFS(계산!$C:$C,계산!$A:$A,계산!$E187,계산!$B:$B,$B$1*100+6))</f>
        <v/>
      </c>
      <c r="I189" s="14">
        <f>IF(원생!$A187="","",SUMIFS(계산!$C:$C,계산!$A:$A,계산!$E187,계산!$B:$B,$B$1*100+7))</f>
        <v/>
      </c>
      <c r="J189" s="14">
        <f>IF(원생!$A187="","",SUMIFS(계산!$C:$C,계산!$A:$A,계산!$E187,계산!$B:$B,$B$1*100+8))</f>
        <v/>
      </c>
      <c r="K189" s="14">
        <f>IF(원생!$A187="","",SUMIFS(계산!$C:$C,계산!$A:$A,계산!$E187,계산!$B:$B,$B$1*100+9))</f>
        <v/>
      </c>
      <c r="L189" s="14">
        <f>IF(원생!$A187="","",SUMIFS(계산!$C:$C,계산!$A:$A,계산!$E187,계산!$B:$B,$B$1*100+10))</f>
        <v/>
      </c>
      <c r="M189" s="14">
        <f>IF(원생!$A187="","",SUMIFS(계산!$C:$C,계산!$A:$A,계산!$E187,계산!$B:$B,$B$1*100+11))</f>
        <v/>
      </c>
      <c r="N189" s="14">
        <f>IF(원생!$A187="","",SUMIFS(계산!$C:$C,계산!$A:$A,계산!$E187,계산!$B:$B,$B$1*100+12))</f>
        <v/>
      </c>
      <c r="O189">
        <f>IF(원생!$I187="","",원생!$I187)</f>
        <v/>
      </c>
      <c r="P189">
        <f>IF($A189="","",IF(AND($B189&gt;0,C189&lt;$B189,DATE($B$1,1,1)&lt;=TODAY(),OR($O189="",$O189&gt;=DATE($B$1,1,1)),OR(COUNTIF($C189:C189,"&gt;0")&gt;0,DATE($B$1,1,1)=DATE(YEAR(TODAY()),MONTH(TODAY()),1))),1,0))</f>
        <v/>
      </c>
      <c r="Q189">
        <f>IF($A189="","",IF(AND($B189&gt;0,D189&lt;$B189,DATE($B$1,2,1)&lt;=TODAY(),OR($O189="",$O189&gt;=DATE($B$1,2,1)),OR(COUNTIF($C189:D189,"&gt;0")&gt;0,DATE($B$1,2,1)=DATE(YEAR(TODAY()),MONTH(TODAY()),1))),1,0))</f>
        <v/>
      </c>
      <c r="R189">
        <f>IF($A189="","",IF(AND($B189&gt;0,E189&lt;$B189,DATE($B$1,3,1)&lt;=TODAY(),OR($O189="",$O189&gt;=DATE($B$1,3,1)),OR(COUNTIF($C189:E189,"&gt;0")&gt;0,DATE($B$1,3,1)=DATE(YEAR(TODAY()),MONTH(TODAY()),1))),1,0))</f>
        <v/>
      </c>
      <c r="S189">
        <f>IF($A189="","",IF(AND($B189&gt;0,F189&lt;$B189,DATE($B$1,4,1)&lt;=TODAY(),OR($O189="",$O189&gt;=DATE($B$1,4,1)),OR(COUNTIF($C189:F189,"&gt;0")&gt;0,DATE($B$1,4,1)=DATE(YEAR(TODAY()),MONTH(TODAY()),1))),1,0))</f>
        <v/>
      </c>
      <c r="T189">
        <f>IF($A189="","",IF(AND($B189&gt;0,G189&lt;$B189,DATE($B$1,5,1)&lt;=TODAY(),OR($O189="",$O189&gt;=DATE($B$1,5,1)),OR(COUNTIF($C189:G189,"&gt;0")&gt;0,DATE($B$1,5,1)=DATE(YEAR(TODAY()),MONTH(TODAY()),1))),1,0))</f>
        <v/>
      </c>
      <c r="U189">
        <f>IF($A189="","",IF(AND($B189&gt;0,H189&lt;$B189,DATE($B$1,6,1)&lt;=TODAY(),OR($O189="",$O189&gt;=DATE($B$1,6,1)),OR(COUNTIF($C189:H189,"&gt;0")&gt;0,DATE($B$1,6,1)=DATE(YEAR(TODAY()),MONTH(TODAY()),1))),1,0))</f>
        <v/>
      </c>
      <c r="V189">
        <f>IF($A189="","",IF(AND($B189&gt;0,I189&lt;$B189,DATE($B$1,7,1)&lt;=TODAY(),OR($O189="",$O189&gt;=DATE($B$1,7,1)),OR(COUNTIF($C189:I189,"&gt;0")&gt;0,DATE($B$1,7,1)=DATE(YEAR(TODAY()),MONTH(TODAY()),1))),1,0))</f>
        <v/>
      </c>
      <c r="W189">
        <f>IF($A189="","",IF(AND($B189&gt;0,J189&lt;$B189,DATE($B$1,8,1)&lt;=TODAY(),OR($O189="",$O189&gt;=DATE($B$1,8,1)),OR(COUNTIF($C189:J189,"&gt;0")&gt;0,DATE($B$1,8,1)=DATE(YEAR(TODAY()),MONTH(TODAY()),1))),1,0))</f>
        <v/>
      </c>
      <c r="X189">
        <f>IF($A189="","",IF(AND($B189&gt;0,K189&lt;$B189,DATE($B$1,9,1)&lt;=TODAY(),OR($O189="",$O189&gt;=DATE($B$1,9,1)),OR(COUNTIF($C189:K189,"&gt;0")&gt;0,DATE($B$1,9,1)=DATE(YEAR(TODAY()),MONTH(TODAY()),1))),1,0))</f>
        <v/>
      </c>
      <c r="Y189">
        <f>IF($A189="","",IF(AND($B189&gt;0,L189&lt;$B189,DATE($B$1,10,1)&lt;=TODAY(),OR($O189="",$O189&gt;=DATE($B$1,10,1)),OR(COUNTIF($C189:L189,"&gt;0")&gt;0,DATE($B$1,10,1)=DATE(YEAR(TODAY()),MONTH(TODAY()),1))),1,0))</f>
        <v/>
      </c>
      <c r="Z189">
        <f>IF($A189="","",IF(AND($B189&gt;0,M189&lt;$B189,DATE($B$1,11,1)&lt;=TODAY(),OR($O189="",$O189&gt;=DATE($B$1,11,1)),OR(COUNTIF($C189:M189,"&gt;0")&gt;0,DATE($B$1,11,1)=DATE(YEAR(TODAY()),MONTH(TODAY()),1))),1,0))</f>
        <v/>
      </c>
      <c r="AA189">
        <f>IF($A189="","",IF(AND($B189&gt;0,N189&lt;$B189,DATE($B$1,12,1)&lt;=TODAY(),OR($O189="",$O189&gt;=DATE($B$1,12,1)),OR(COUNTIF($C189:N189,"&gt;0")&gt;0,DATE($B$1,12,1)=DATE(YEAR(TODAY()),MONTH(TODAY()),1))),1,0))</f>
        <v/>
      </c>
    </row>
    <row r="190">
      <c r="A190" s="13">
        <f>IF(원생!$A188="","",원생!$A188&amp;IF(원생!$G188="",""," ("&amp;원생!$G188&amp;")"))</f>
        <v/>
      </c>
      <c r="B190" s="8">
        <f>IF(원생!$A188="","",N(원생!$F188))</f>
        <v/>
      </c>
      <c r="C190" s="14">
        <f>IF(원생!$A188="","",SUMIFS(계산!$C:$C,계산!$A:$A,계산!$E188,계산!$B:$B,$B$1*100+1))</f>
        <v/>
      </c>
      <c r="D190" s="14">
        <f>IF(원생!$A188="","",SUMIFS(계산!$C:$C,계산!$A:$A,계산!$E188,계산!$B:$B,$B$1*100+2))</f>
        <v/>
      </c>
      <c r="E190" s="14">
        <f>IF(원생!$A188="","",SUMIFS(계산!$C:$C,계산!$A:$A,계산!$E188,계산!$B:$B,$B$1*100+3))</f>
        <v/>
      </c>
      <c r="F190" s="14">
        <f>IF(원생!$A188="","",SUMIFS(계산!$C:$C,계산!$A:$A,계산!$E188,계산!$B:$B,$B$1*100+4))</f>
        <v/>
      </c>
      <c r="G190" s="14">
        <f>IF(원생!$A188="","",SUMIFS(계산!$C:$C,계산!$A:$A,계산!$E188,계산!$B:$B,$B$1*100+5))</f>
        <v/>
      </c>
      <c r="H190" s="14">
        <f>IF(원생!$A188="","",SUMIFS(계산!$C:$C,계산!$A:$A,계산!$E188,계산!$B:$B,$B$1*100+6))</f>
        <v/>
      </c>
      <c r="I190" s="14">
        <f>IF(원생!$A188="","",SUMIFS(계산!$C:$C,계산!$A:$A,계산!$E188,계산!$B:$B,$B$1*100+7))</f>
        <v/>
      </c>
      <c r="J190" s="14">
        <f>IF(원생!$A188="","",SUMIFS(계산!$C:$C,계산!$A:$A,계산!$E188,계산!$B:$B,$B$1*100+8))</f>
        <v/>
      </c>
      <c r="K190" s="14">
        <f>IF(원생!$A188="","",SUMIFS(계산!$C:$C,계산!$A:$A,계산!$E188,계산!$B:$B,$B$1*100+9))</f>
        <v/>
      </c>
      <c r="L190" s="14">
        <f>IF(원생!$A188="","",SUMIFS(계산!$C:$C,계산!$A:$A,계산!$E188,계산!$B:$B,$B$1*100+10))</f>
        <v/>
      </c>
      <c r="M190" s="14">
        <f>IF(원생!$A188="","",SUMIFS(계산!$C:$C,계산!$A:$A,계산!$E188,계산!$B:$B,$B$1*100+11))</f>
        <v/>
      </c>
      <c r="N190" s="14">
        <f>IF(원생!$A188="","",SUMIFS(계산!$C:$C,계산!$A:$A,계산!$E188,계산!$B:$B,$B$1*100+12))</f>
        <v/>
      </c>
      <c r="O190">
        <f>IF(원생!$I188="","",원생!$I188)</f>
        <v/>
      </c>
      <c r="P190">
        <f>IF($A190="","",IF(AND($B190&gt;0,C190&lt;$B190,DATE($B$1,1,1)&lt;=TODAY(),OR($O190="",$O190&gt;=DATE($B$1,1,1)),OR(COUNTIF($C190:C190,"&gt;0")&gt;0,DATE($B$1,1,1)=DATE(YEAR(TODAY()),MONTH(TODAY()),1))),1,0))</f>
        <v/>
      </c>
      <c r="Q190">
        <f>IF($A190="","",IF(AND($B190&gt;0,D190&lt;$B190,DATE($B$1,2,1)&lt;=TODAY(),OR($O190="",$O190&gt;=DATE($B$1,2,1)),OR(COUNTIF($C190:D190,"&gt;0")&gt;0,DATE($B$1,2,1)=DATE(YEAR(TODAY()),MONTH(TODAY()),1))),1,0))</f>
        <v/>
      </c>
      <c r="R190">
        <f>IF($A190="","",IF(AND($B190&gt;0,E190&lt;$B190,DATE($B$1,3,1)&lt;=TODAY(),OR($O190="",$O190&gt;=DATE($B$1,3,1)),OR(COUNTIF($C190:E190,"&gt;0")&gt;0,DATE($B$1,3,1)=DATE(YEAR(TODAY()),MONTH(TODAY()),1))),1,0))</f>
        <v/>
      </c>
      <c r="S190">
        <f>IF($A190="","",IF(AND($B190&gt;0,F190&lt;$B190,DATE($B$1,4,1)&lt;=TODAY(),OR($O190="",$O190&gt;=DATE($B$1,4,1)),OR(COUNTIF($C190:F190,"&gt;0")&gt;0,DATE($B$1,4,1)=DATE(YEAR(TODAY()),MONTH(TODAY()),1))),1,0))</f>
        <v/>
      </c>
      <c r="T190">
        <f>IF($A190="","",IF(AND($B190&gt;0,G190&lt;$B190,DATE($B$1,5,1)&lt;=TODAY(),OR($O190="",$O190&gt;=DATE($B$1,5,1)),OR(COUNTIF($C190:G190,"&gt;0")&gt;0,DATE($B$1,5,1)=DATE(YEAR(TODAY()),MONTH(TODAY()),1))),1,0))</f>
        <v/>
      </c>
      <c r="U190">
        <f>IF($A190="","",IF(AND($B190&gt;0,H190&lt;$B190,DATE($B$1,6,1)&lt;=TODAY(),OR($O190="",$O190&gt;=DATE($B$1,6,1)),OR(COUNTIF($C190:H190,"&gt;0")&gt;0,DATE($B$1,6,1)=DATE(YEAR(TODAY()),MONTH(TODAY()),1))),1,0))</f>
        <v/>
      </c>
      <c r="V190">
        <f>IF($A190="","",IF(AND($B190&gt;0,I190&lt;$B190,DATE($B$1,7,1)&lt;=TODAY(),OR($O190="",$O190&gt;=DATE($B$1,7,1)),OR(COUNTIF($C190:I190,"&gt;0")&gt;0,DATE($B$1,7,1)=DATE(YEAR(TODAY()),MONTH(TODAY()),1))),1,0))</f>
        <v/>
      </c>
      <c r="W190">
        <f>IF($A190="","",IF(AND($B190&gt;0,J190&lt;$B190,DATE($B$1,8,1)&lt;=TODAY(),OR($O190="",$O190&gt;=DATE($B$1,8,1)),OR(COUNTIF($C190:J190,"&gt;0")&gt;0,DATE($B$1,8,1)=DATE(YEAR(TODAY()),MONTH(TODAY()),1))),1,0))</f>
        <v/>
      </c>
      <c r="X190">
        <f>IF($A190="","",IF(AND($B190&gt;0,K190&lt;$B190,DATE($B$1,9,1)&lt;=TODAY(),OR($O190="",$O190&gt;=DATE($B$1,9,1)),OR(COUNTIF($C190:K190,"&gt;0")&gt;0,DATE($B$1,9,1)=DATE(YEAR(TODAY()),MONTH(TODAY()),1))),1,0))</f>
        <v/>
      </c>
      <c r="Y190">
        <f>IF($A190="","",IF(AND($B190&gt;0,L190&lt;$B190,DATE($B$1,10,1)&lt;=TODAY(),OR($O190="",$O190&gt;=DATE($B$1,10,1)),OR(COUNTIF($C190:L190,"&gt;0")&gt;0,DATE($B$1,10,1)=DATE(YEAR(TODAY()),MONTH(TODAY()),1))),1,0))</f>
        <v/>
      </c>
      <c r="Z190">
        <f>IF($A190="","",IF(AND($B190&gt;0,M190&lt;$B190,DATE($B$1,11,1)&lt;=TODAY(),OR($O190="",$O190&gt;=DATE($B$1,11,1)),OR(COUNTIF($C190:M190,"&gt;0")&gt;0,DATE($B$1,11,1)=DATE(YEAR(TODAY()),MONTH(TODAY()),1))),1,0))</f>
        <v/>
      </c>
      <c r="AA190">
        <f>IF($A190="","",IF(AND($B190&gt;0,N190&lt;$B190,DATE($B$1,12,1)&lt;=TODAY(),OR($O190="",$O190&gt;=DATE($B$1,12,1)),OR(COUNTIF($C190:N190,"&gt;0")&gt;0,DATE($B$1,12,1)=DATE(YEAR(TODAY()),MONTH(TODAY()),1))),1,0))</f>
        <v/>
      </c>
    </row>
    <row r="191">
      <c r="A191" s="13">
        <f>IF(원생!$A189="","",원생!$A189&amp;IF(원생!$G189="",""," ("&amp;원생!$G189&amp;")"))</f>
        <v/>
      </c>
      <c r="B191" s="8">
        <f>IF(원생!$A189="","",N(원생!$F189))</f>
        <v/>
      </c>
      <c r="C191" s="14">
        <f>IF(원생!$A189="","",SUMIFS(계산!$C:$C,계산!$A:$A,계산!$E189,계산!$B:$B,$B$1*100+1))</f>
        <v/>
      </c>
      <c r="D191" s="14">
        <f>IF(원생!$A189="","",SUMIFS(계산!$C:$C,계산!$A:$A,계산!$E189,계산!$B:$B,$B$1*100+2))</f>
        <v/>
      </c>
      <c r="E191" s="14">
        <f>IF(원생!$A189="","",SUMIFS(계산!$C:$C,계산!$A:$A,계산!$E189,계산!$B:$B,$B$1*100+3))</f>
        <v/>
      </c>
      <c r="F191" s="14">
        <f>IF(원생!$A189="","",SUMIFS(계산!$C:$C,계산!$A:$A,계산!$E189,계산!$B:$B,$B$1*100+4))</f>
        <v/>
      </c>
      <c r="G191" s="14">
        <f>IF(원생!$A189="","",SUMIFS(계산!$C:$C,계산!$A:$A,계산!$E189,계산!$B:$B,$B$1*100+5))</f>
        <v/>
      </c>
      <c r="H191" s="14">
        <f>IF(원생!$A189="","",SUMIFS(계산!$C:$C,계산!$A:$A,계산!$E189,계산!$B:$B,$B$1*100+6))</f>
        <v/>
      </c>
      <c r="I191" s="14">
        <f>IF(원생!$A189="","",SUMIFS(계산!$C:$C,계산!$A:$A,계산!$E189,계산!$B:$B,$B$1*100+7))</f>
        <v/>
      </c>
      <c r="J191" s="14">
        <f>IF(원생!$A189="","",SUMIFS(계산!$C:$C,계산!$A:$A,계산!$E189,계산!$B:$B,$B$1*100+8))</f>
        <v/>
      </c>
      <c r="K191" s="14">
        <f>IF(원생!$A189="","",SUMIFS(계산!$C:$C,계산!$A:$A,계산!$E189,계산!$B:$B,$B$1*100+9))</f>
        <v/>
      </c>
      <c r="L191" s="14">
        <f>IF(원생!$A189="","",SUMIFS(계산!$C:$C,계산!$A:$A,계산!$E189,계산!$B:$B,$B$1*100+10))</f>
        <v/>
      </c>
      <c r="M191" s="14">
        <f>IF(원생!$A189="","",SUMIFS(계산!$C:$C,계산!$A:$A,계산!$E189,계산!$B:$B,$B$1*100+11))</f>
        <v/>
      </c>
      <c r="N191" s="14">
        <f>IF(원생!$A189="","",SUMIFS(계산!$C:$C,계산!$A:$A,계산!$E189,계산!$B:$B,$B$1*100+12))</f>
        <v/>
      </c>
      <c r="O191">
        <f>IF(원생!$I189="","",원생!$I189)</f>
        <v/>
      </c>
      <c r="P191">
        <f>IF($A191="","",IF(AND($B191&gt;0,C191&lt;$B191,DATE($B$1,1,1)&lt;=TODAY(),OR($O191="",$O191&gt;=DATE($B$1,1,1)),OR(COUNTIF($C191:C191,"&gt;0")&gt;0,DATE($B$1,1,1)=DATE(YEAR(TODAY()),MONTH(TODAY()),1))),1,0))</f>
        <v/>
      </c>
      <c r="Q191">
        <f>IF($A191="","",IF(AND($B191&gt;0,D191&lt;$B191,DATE($B$1,2,1)&lt;=TODAY(),OR($O191="",$O191&gt;=DATE($B$1,2,1)),OR(COUNTIF($C191:D191,"&gt;0")&gt;0,DATE($B$1,2,1)=DATE(YEAR(TODAY()),MONTH(TODAY()),1))),1,0))</f>
        <v/>
      </c>
      <c r="R191">
        <f>IF($A191="","",IF(AND($B191&gt;0,E191&lt;$B191,DATE($B$1,3,1)&lt;=TODAY(),OR($O191="",$O191&gt;=DATE($B$1,3,1)),OR(COUNTIF($C191:E191,"&gt;0")&gt;0,DATE($B$1,3,1)=DATE(YEAR(TODAY()),MONTH(TODAY()),1))),1,0))</f>
        <v/>
      </c>
      <c r="S191">
        <f>IF($A191="","",IF(AND($B191&gt;0,F191&lt;$B191,DATE($B$1,4,1)&lt;=TODAY(),OR($O191="",$O191&gt;=DATE($B$1,4,1)),OR(COUNTIF($C191:F191,"&gt;0")&gt;0,DATE($B$1,4,1)=DATE(YEAR(TODAY()),MONTH(TODAY()),1))),1,0))</f>
        <v/>
      </c>
      <c r="T191">
        <f>IF($A191="","",IF(AND($B191&gt;0,G191&lt;$B191,DATE($B$1,5,1)&lt;=TODAY(),OR($O191="",$O191&gt;=DATE($B$1,5,1)),OR(COUNTIF($C191:G191,"&gt;0")&gt;0,DATE($B$1,5,1)=DATE(YEAR(TODAY()),MONTH(TODAY()),1))),1,0))</f>
        <v/>
      </c>
      <c r="U191">
        <f>IF($A191="","",IF(AND($B191&gt;0,H191&lt;$B191,DATE($B$1,6,1)&lt;=TODAY(),OR($O191="",$O191&gt;=DATE($B$1,6,1)),OR(COUNTIF($C191:H191,"&gt;0")&gt;0,DATE($B$1,6,1)=DATE(YEAR(TODAY()),MONTH(TODAY()),1))),1,0))</f>
        <v/>
      </c>
      <c r="V191">
        <f>IF($A191="","",IF(AND($B191&gt;0,I191&lt;$B191,DATE($B$1,7,1)&lt;=TODAY(),OR($O191="",$O191&gt;=DATE($B$1,7,1)),OR(COUNTIF($C191:I191,"&gt;0")&gt;0,DATE($B$1,7,1)=DATE(YEAR(TODAY()),MONTH(TODAY()),1))),1,0))</f>
        <v/>
      </c>
      <c r="W191">
        <f>IF($A191="","",IF(AND($B191&gt;0,J191&lt;$B191,DATE($B$1,8,1)&lt;=TODAY(),OR($O191="",$O191&gt;=DATE($B$1,8,1)),OR(COUNTIF($C191:J191,"&gt;0")&gt;0,DATE($B$1,8,1)=DATE(YEAR(TODAY()),MONTH(TODAY()),1))),1,0))</f>
        <v/>
      </c>
      <c r="X191">
        <f>IF($A191="","",IF(AND($B191&gt;0,K191&lt;$B191,DATE($B$1,9,1)&lt;=TODAY(),OR($O191="",$O191&gt;=DATE($B$1,9,1)),OR(COUNTIF($C191:K191,"&gt;0")&gt;0,DATE($B$1,9,1)=DATE(YEAR(TODAY()),MONTH(TODAY()),1))),1,0))</f>
        <v/>
      </c>
      <c r="Y191">
        <f>IF($A191="","",IF(AND($B191&gt;0,L191&lt;$B191,DATE($B$1,10,1)&lt;=TODAY(),OR($O191="",$O191&gt;=DATE($B$1,10,1)),OR(COUNTIF($C191:L191,"&gt;0")&gt;0,DATE($B$1,10,1)=DATE(YEAR(TODAY()),MONTH(TODAY()),1))),1,0))</f>
        <v/>
      </c>
      <c r="Z191">
        <f>IF($A191="","",IF(AND($B191&gt;0,M191&lt;$B191,DATE($B$1,11,1)&lt;=TODAY(),OR($O191="",$O191&gt;=DATE($B$1,11,1)),OR(COUNTIF($C191:M191,"&gt;0")&gt;0,DATE($B$1,11,1)=DATE(YEAR(TODAY()),MONTH(TODAY()),1))),1,0))</f>
        <v/>
      </c>
      <c r="AA191">
        <f>IF($A191="","",IF(AND($B191&gt;0,N191&lt;$B191,DATE($B$1,12,1)&lt;=TODAY(),OR($O191="",$O191&gt;=DATE($B$1,12,1)),OR(COUNTIF($C191:N191,"&gt;0")&gt;0,DATE($B$1,12,1)=DATE(YEAR(TODAY()),MONTH(TODAY()),1))),1,0))</f>
        <v/>
      </c>
    </row>
    <row r="192">
      <c r="A192" s="13">
        <f>IF(원생!$A190="","",원생!$A190&amp;IF(원생!$G190="",""," ("&amp;원생!$G190&amp;")"))</f>
        <v/>
      </c>
      <c r="B192" s="8">
        <f>IF(원생!$A190="","",N(원생!$F190))</f>
        <v/>
      </c>
      <c r="C192" s="14">
        <f>IF(원생!$A190="","",SUMIFS(계산!$C:$C,계산!$A:$A,계산!$E190,계산!$B:$B,$B$1*100+1))</f>
        <v/>
      </c>
      <c r="D192" s="14">
        <f>IF(원생!$A190="","",SUMIFS(계산!$C:$C,계산!$A:$A,계산!$E190,계산!$B:$B,$B$1*100+2))</f>
        <v/>
      </c>
      <c r="E192" s="14">
        <f>IF(원생!$A190="","",SUMIFS(계산!$C:$C,계산!$A:$A,계산!$E190,계산!$B:$B,$B$1*100+3))</f>
        <v/>
      </c>
      <c r="F192" s="14">
        <f>IF(원생!$A190="","",SUMIFS(계산!$C:$C,계산!$A:$A,계산!$E190,계산!$B:$B,$B$1*100+4))</f>
        <v/>
      </c>
      <c r="G192" s="14">
        <f>IF(원생!$A190="","",SUMIFS(계산!$C:$C,계산!$A:$A,계산!$E190,계산!$B:$B,$B$1*100+5))</f>
        <v/>
      </c>
      <c r="H192" s="14">
        <f>IF(원생!$A190="","",SUMIFS(계산!$C:$C,계산!$A:$A,계산!$E190,계산!$B:$B,$B$1*100+6))</f>
        <v/>
      </c>
      <c r="I192" s="14">
        <f>IF(원생!$A190="","",SUMIFS(계산!$C:$C,계산!$A:$A,계산!$E190,계산!$B:$B,$B$1*100+7))</f>
        <v/>
      </c>
      <c r="J192" s="14">
        <f>IF(원생!$A190="","",SUMIFS(계산!$C:$C,계산!$A:$A,계산!$E190,계산!$B:$B,$B$1*100+8))</f>
        <v/>
      </c>
      <c r="K192" s="14">
        <f>IF(원생!$A190="","",SUMIFS(계산!$C:$C,계산!$A:$A,계산!$E190,계산!$B:$B,$B$1*100+9))</f>
        <v/>
      </c>
      <c r="L192" s="14">
        <f>IF(원생!$A190="","",SUMIFS(계산!$C:$C,계산!$A:$A,계산!$E190,계산!$B:$B,$B$1*100+10))</f>
        <v/>
      </c>
      <c r="M192" s="14">
        <f>IF(원생!$A190="","",SUMIFS(계산!$C:$C,계산!$A:$A,계산!$E190,계산!$B:$B,$B$1*100+11))</f>
        <v/>
      </c>
      <c r="N192" s="14">
        <f>IF(원생!$A190="","",SUMIFS(계산!$C:$C,계산!$A:$A,계산!$E190,계산!$B:$B,$B$1*100+12))</f>
        <v/>
      </c>
      <c r="O192">
        <f>IF(원생!$I190="","",원생!$I190)</f>
        <v/>
      </c>
      <c r="P192">
        <f>IF($A192="","",IF(AND($B192&gt;0,C192&lt;$B192,DATE($B$1,1,1)&lt;=TODAY(),OR($O192="",$O192&gt;=DATE($B$1,1,1)),OR(COUNTIF($C192:C192,"&gt;0")&gt;0,DATE($B$1,1,1)=DATE(YEAR(TODAY()),MONTH(TODAY()),1))),1,0))</f>
        <v/>
      </c>
      <c r="Q192">
        <f>IF($A192="","",IF(AND($B192&gt;0,D192&lt;$B192,DATE($B$1,2,1)&lt;=TODAY(),OR($O192="",$O192&gt;=DATE($B$1,2,1)),OR(COUNTIF($C192:D192,"&gt;0")&gt;0,DATE($B$1,2,1)=DATE(YEAR(TODAY()),MONTH(TODAY()),1))),1,0))</f>
        <v/>
      </c>
      <c r="R192">
        <f>IF($A192="","",IF(AND($B192&gt;0,E192&lt;$B192,DATE($B$1,3,1)&lt;=TODAY(),OR($O192="",$O192&gt;=DATE($B$1,3,1)),OR(COUNTIF($C192:E192,"&gt;0")&gt;0,DATE($B$1,3,1)=DATE(YEAR(TODAY()),MONTH(TODAY()),1))),1,0))</f>
        <v/>
      </c>
      <c r="S192">
        <f>IF($A192="","",IF(AND($B192&gt;0,F192&lt;$B192,DATE($B$1,4,1)&lt;=TODAY(),OR($O192="",$O192&gt;=DATE($B$1,4,1)),OR(COUNTIF($C192:F192,"&gt;0")&gt;0,DATE($B$1,4,1)=DATE(YEAR(TODAY()),MONTH(TODAY()),1))),1,0))</f>
        <v/>
      </c>
      <c r="T192">
        <f>IF($A192="","",IF(AND($B192&gt;0,G192&lt;$B192,DATE($B$1,5,1)&lt;=TODAY(),OR($O192="",$O192&gt;=DATE($B$1,5,1)),OR(COUNTIF($C192:G192,"&gt;0")&gt;0,DATE($B$1,5,1)=DATE(YEAR(TODAY()),MONTH(TODAY()),1))),1,0))</f>
        <v/>
      </c>
      <c r="U192">
        <f>IF($A192="","",IF(AND($B192&gt;0,H192&lt;$B192,DATE($B$1,6,1)&lt;=TODAY(),OR($O192="",$O192&gt;=DATE($B$1,6,1)),OR(COUNTIF($C192:H192,"&gt;0")&gt;0,DATE($B$1,6,1)=DATE(YEAR(TODAY()),MONTH(TODAY()),1))),1,0))</f>
        <v/>
      </c>
      <c r="V192">
        <f>IF($A192="","",IF(AND($B192&gt;0,I192&lt;$B192,DATE($B$1,7,1)&lt;=TODAY(),OR($O192="",$O192&gt;=DATE($B$1,7,1)),OR(COUNTIF($C192:I192,"&gt;0")&gt;0,DATE($B$1,7,1)=DATE(YEAR(TODAY()),MONTH(TODAY()),1))),1,0))</f>
        <v/>
      </c>
      <c r="W192">
        <f>IF($A192="","",IF(AND($B192&gt;0,J192&lt;$B192,DATE($B$1,8,1)&lt;=TODAY(),OR($O192="",$O192&gt;=DATE($B$1,8,1)),OR(COUNTIF($C192:J192,"&gt;0")&gt;0,DATE($B$1,8,1)=DATE(YEAR(TODAY()),MONTH(TODAY()),1))),1,0))</f>
        <v/>
      </c>
      <c r="X192">
        <f>IF($A192="","",IF(AND($B192&gt;0,K192&lt;$B192,DATE($B$1,9,1)&lt;=TODAY(),OR($O192="",$O192&gt;=DATE($B$1,9,1)),OR(COUNTIF($C192:K192,"&gt;0")&gt;0,DATE($B$1,9,1)=DATE(YEAR(TODAY()),MONTH(TODAY()),1))),1,0))</f>
        <v/>
      </c>
      <c r="Y192">
        <f>IF($A192="","",IF(AND($B192&gt;0,L192&lt;$B192,DATE($B$1,10,1)&lt;=TODAY(),OR($O192="",$O192&gt;=DATE($B$1,10,1)),OR(COUNTIF($C192:L192,"&gt;0")&gt;0,DATE($B$1,10,1)=DATE(YEAR(TODAY()),MONTH(TODAY()),1))),1,0))</f>
        <v/>
      </c>
      <c r="Z192">
        <f>IF($A192="","",IF(AND($B192&gt;0,M192&lt;$B192,DATE($B$1,11,1)&lt;=TODAY(),OR($O192="",$O192&gt;=DATE($B$1,11,1)),OR(COUNTIF($C192:M192,"&gt;0")&gt;0,DATE($B$1,11,1)=DATE(YEAR(TODAY()),MONTH(TODAY()),1))),1,0))</f>
        <v/>
      </c>
      <c r="AA192">
        <f>IF($A192="","",IF(AND($B192&gt;0,N192&lt;$B192,DATE($B$1,12,1)&lt;=TODAY(),OR($O192="",$O192&gt;=DATE($B$1,12,1)),OR(COUNTIF($C192:N192,"&gt;0")&gt;0,DATE($B$1,12,1)=DATE(YEAR(TODAY()),MONTH(TODAY()),1))),1,0))</f>
        <v/>
      </c>
    </row>
    <row r="193">
      <c r="A193" s="13">
        <f>IF(원생!$A191="","",원생!$A191&amp;IF(원생!$G191="",""," ("&amp;원생!$G191&amp;")"))</f>
        <v/>
      </c>
      <c r="B193" s="8">
        <f>IF(원생!$A191="","",N(원생!$F191))</f>
        <v/>
      </c>
      <c r="C193" s="14">
        <f>IF(원생!$A191="","",SUMIFS(계산!$C:$C,계산!$A:$A,계산!$E191,계산!$B:$B,$B$1*100+1))</f>
        <v/>
      </c>
      <c r="D193" s="14">
        <f>IF(원생!$A191="","",SUMIFS(계산!$C:$C,계산!$A:$A,계산!$E191,계산!$B:$B,$B$1*100+2))</f>
        <v/>
      </c>
      <c r="E193" s="14">
        <f>IF(원생!$A191="","",SUMIFS(계산!$C:$C,계산!$A:$A,계산!$E191,계산!$B:$B,$B$1*100+3))</f>
        <v/>
      </c>
      <c r="F193" s="14">
        <f>IF(원생!$A191="","",SUMIFS(계산!$C:$C,계산!$A:$A,계산!$E191,계산!$B:$B,$B$1*100+4))</f>
        <v/>
      </c>
      <c r="G193" s="14">
        <f>IF(원생!$A191="","",SUMIFS(계산!$C:$C,계산!$A:$A,계산!$E191,계산!$B:$B,$B$1*100+5))</f>
        <v/>
      </c>
      <c r="H193" s="14">
        <f>IF(원생!$A191="","",SUMIFS(계산!$C:$C,계산!$A:$A,계산!$E191,계산!$B:$B,$B$1*100+6))</f>
        <v/>
      </c>
      <c r="I193" s="14">
        <f>IF(원생!$A191="","",SUMIFS(계산!$C:$C,계산!$A:$A,계산!$E191,계산!$B:$B,$B$1*100+7))</f>
        <v/>
      </c>
      <c r="J193" s="14">
        <f>IF(원생!$A191="","",SUMIFS(계산!$C:$C,계산!$A:$A,계산!$E191,계산!$B:$B,$B$1*100+8))</f>
        <v/>
      </c>
      <c r="K193" s="14">
        <f>IF(원생!$A191="","",SUMIFS(계산!$C:$C,계산!$A:$A,계산!$E191,계산!$B:$B,$B$1*100+9))</f>
        <v/>
      </c>
      <c r="L193" s="14">
        <f>IF(원생!$A191="","",SUMIFS(계산!$C:$C,계산!$A:$A,계산!$E191,계산!$B:$B,$B$1*100+10))</f>
        <v/>
      </c>
      <c r="M193" s="14">
        <f>IF(원생!$A191="","",SUMIFS(계산!$C:$C,계산!$A:$A,계산!$E191,계산!$B:$B,$B$1*100+11))</f>
        <v/>
      </c>
      <c r="N193" s="14">
        <f>IF(원생!$A191="","",SUMIFS(계산!$C:$C,계산!$A:$A,계산!$E191,계산!$B:$B,$B$1*100+12))</f>
        <v/>
      </c>
      <c r="O193">
        <f>IF(원생!$I191="","",원생!$I191)</f>
        <v/>
      </c>
      <c r="P193">
        <f>IF($A193="","",IF(AND($B193&gt;0,C193&lt;$B193,DATE($B$1,1,1)&lt;=TODAY(),OR($O193="",$O193&gt;=DATE($B$1,1,1)),OR(COUNTIF($C193:C193,"&gt;0")&gt;0,DATE($B$1,1,1)=DATE(YEAR(TODAY()),MONTH(TODAY()),1))),1,0))</f>
        <v/>
      </c>
      <c r="Q193">
        <f>IF($A193="","",IF(AND($B193&gt;0,D193&lt;$B193,DATE($B$1,2,1)&lt;=TODAY(),OR($O193="",$O193&gt;=DATE($B$1,2,1)),OR(COUNTIF($C193:D193,"&gt;0")&gt;0,DATE($B$1,2,1)=DATE(YEAR(TODAY()),MONTH(TODAY()),1))),1,0))</f>
        <v/>
      </c>
      <c r="R193">
        <f>IF($A193="","",IF(AND($B193&gt;0,E193&lt;$B193,DATE($B$1,3,1)&lt;=TODAY(),OR($O193="",$O193&gt;=DATE($B$1,3,1)),OR(COUNTIF($C193:E193,"&gt;0")&gt;0,DATE($B$1,3,1)=DATE(YEAR(TODAY()),MONTH(TODAY()),1))),1,0))</f>
        <v/>
      </c>
      <c r="S193">
        <f>IF($A193="","",IF(AND($B193&gt;0,F193&lt;$B193,DATE($B$1,4,1)&lt;=TODAY(),OR($O193="",$O193&gt;=DATE($B$1,4,1)),OR(COUNTIF($C193:F193,"&gt;0")&gt;0,DATE($B$1,4,1)=DATE(YEAR(TODAY()),MONTH(TODAY()),1))),1,0))</f>
        <v/>
      </c>
      <c r="T193">
        <f>IF($A193="","",IF(AND($B193&gt;0,G193&lt;$B193,DATE($B$1,5,1)&lt;=TODAY(),OR($O193="",$O193&gt;=DATE($B$1,5,1)),OR(COUNTIF($C193:G193,"&gt;0")&gt;0,DATE($B$1,5,1)=DATE(YEAR(TODAY()),MONTH(TODAY()),1))),1,0))</f>
        <v/>
      </c>
      <c r="U193">
        <f>IF($A193="","",IF(AND($B193&gt;0,H193&lt;$B193,DATE($B$1,6,1)&lt;=TODAY(),OR($O193="",$O193&gt;=DATE($B$1,6,1)),OR(COUNTIF($C193:H193,"&gt;0")&gt;0,DATE($B$1,6,1)=DATE(YEAR(TODAY()),MONTH(TODAY()),1))),1,0))</f>
        <v/>
      </c>
      <c r="V193">
        <f>IF($A193="","",IF(AND($B193&gt;0,I193&lt;$B193,DATE($B$1,7,1)&lt;=TODAY(),OR($O193="",$O193&gt;=DATE($B$1,7,1)),OR(COUNTIF($C193:I193,"&gt;0")&gt;0,DATE($B$1,7,1)=DATE(YEAR(TODAY()),MONTH(TODAY()),1))),1,0))</f>
        <v/>
      </c>
      <c r="W193">
        <f>IF($A193="","",IF(AND($B193&gt;0,J193&lt;$B193,DATE($B$1,8,1)&lt;=TODAY(),OR($O193="",$O193&gt;=DATE($B$1,8,1)),OR(COUNTIF($C193:J193,"&gt;0")&gt;0,DATE($B$1,8,1)=DATE(YEAR(TODAY()),MONTH(TODAY()),1))),1,0))</f>
        <v/>
      </c>
      <c r="X193">
        <f>IF($A193="","",IF(AND($B193&gt;0,K193&lt;$B193,DATE($B$1,9,1)&lt;=TODAY(),OR($O193="",$O193&gt;=DATE($B$1,9,1)),OR(COUNTIF($C193:K193,"&gt;0")&gt;0,DATE($B$1,9,1)=DATE(YEAR(TODAY()),MONTH(TODAY()),1))),1,0))</f>
        <v/>
      </c>
      <c r="Y193">
        <f>IF($A193="","",IF(AND($B193&gt;0,L193&lt;$B193,DATE($B$1,10,1)&lt;=TODAY(),OR($O193="",$O193&gt;=DATE($B$1,10,1)),OR(COUNTIF($C193:L193,"&gt;0")&gt;0,DATE($B$1,10,1)=DATE(YEAR(TODAY()),MONTH(TODAY()),1))),1,0))</f>
        <v/>
      </c>
      <c r="Z193">
        <f>IF($A193="","",IF(AND($B193&gt;0,M193&lt;$B193,DATE($B$1,11,1)&lt;=TODAY(),OR($O193="",$O193&gt;=DATE($B$1,11,1)),OR(COUNTIF($C193:M193,"&gt;0")&gt;0,DATE($B$1,11,1)=DATE(YEAR(TODAY()),MONTH(TODAY()),1))),1,0))</f>
        <v/>
      </c>
      <c r="AA193">
        <f>IF($A193="","",IF(AND($B193&gt;0,N193&lt;$B193,DATE($B$1,12,1)&lt;=TODAY(),OR($O193="",$O193&gt;=DATE($B$1,12,1)),OR(COUNTIF($C193:N193,"&gt;0")&gt;0,DATE($B$1,12,1)=DATE(YEAR(TODAY()),MONTH(TODAY()),1))),1,0))</f>
        <v/>
      </c>
    </row>
    <row r="194">
      <c r="A194" s="13">
        <f>IF(원생!$A192="","",원생!$A192&amp;IF(원생!$G192="",""," ("&amp;원생!$G192&amp;")"))</f>
        <v/>
      </c>
      <c r="B194" s="8">
        <f>IF(원생!$A192="","",N(원생!$F192))</f>
        <v/>
      </c>
      <c r="C194" s="14">
        <f>IF(원생!$A192="","",SUMIFS(계산!$C:$C,계산!$A:$A,계산!$E192,계산!$B:$B,$B$1*100+1))</f>
        <v/>
      </c>
      <c r="D194" s="14">
        <f>IF(원생!$A192="","",SUMIFS(계산!$C:$C,계산!$A:$A,계산!$E192,계산!$B:$B,$B$1*100+2))</f>
        <v/>
      </c>
      <c r="E194" s="14">
        <f>IF(원생!$A192="","",SUMIFS(계산!$C:$C,계산!$A:$A,계산!$E192,계산!$B:$B,$B$1*100+3))</f>
        <v/>
      </c>
      <c r="F194" s="14">
        <f>IF(원생!$A192="","",SUMIFS(계산!$C:$C,계산!$A:$A,계산!$E192,계산!$B:$B,$B$1*100+4))</f>
        <v/>
      </c>
      <c r="G194" s="14">
        <f>IF(원생!$A192="","",SUMIFS(계산!$C:$C,계산!$A:$A,계산!$E192,계산!$B:$B,$B$1*100+5))</f>
        <v/>
      </c>
      <c r="H194" s="14">
        <f>IF(원생!$A192="","",SUMIFS(계산!$C:$C,계산!$A:$A,계산!$E192,계산!$B:$B,$B$1*100+6))</f>
        <v/>
      </c>
      <c r="I194" s="14">
        <f>IF(원생!$A192="","",SUMIFS(계산!$C:$C,계산!$A:$A,계산!$E192,계산!$B:$B,$B$1*100+7))</f>
        <v/>
      </c>
      <c r="J194" s="14">
        <f>IF(원생!$A192="","",SUMIFS(계산!$C:$C,계산!$A:$A,계산!$E192,계산!$B:$B,$B$1*100+8))</f>
        <v/>
      </c>
      <c r="K194" s="14">
        <f>IF(원생!$A192="","",SUMIFS(계산!$C:$C,계산!$A:$A,계산!$E192,계산!$B:$B,$B$1*100+9))</f>
        <v/>
      </c>
      <c r="L194" s="14">
        <f>IF(원생!$A192="","",SUMIFS(계산!$C:$C,계산!$A:$A,계산!$E192,계산!$B:$B,$B$1*100+10))</f>
        <v/>
      </c>
      <c r="M194" s="14">
        <f>IF(원생!$A192="","",SUMIFS(계산!$C:$C,계산!$A:$A,계산!$E192,계산!$B:$B,$B$1*100+11))</f>
        <v/>
      </c>
      <c r="N194" s="14">
        <f>IF(원생!$A192="","",SUMIFS(계산!$C:$C,계산!$A:$A,계산!$E192,계산!$B:$B,$B$1*100+12))</f>
        <v/>
      </c>
      <c r="O194">
        <f>IF(원생!$I192="","",원생!$I192)</f>
        <v/>
      </c>
      <c r="P194">
        <f>IF($A194="","",IF(AND($B194&gt;0,C194&lt;$B194,DATE($B$1,1,1)&lt;=TODAY(),OR($O194="",$O194&gt;=DATE($B$1,1,1)),OR(COUNTIF($C194:C194,"&gt;0")&gt;0,DATE($B$1,1,1)=DATE(YEAR(TODAY()),MONTH(TODAY()),1))),1,0))</f>
        <v/>
      </c>
      <c r="Q194">
        <f>IF($A194="","",IF(AND($B194&gt;0,D194&lt;$B194,DATE($B$1,2,1)&lt;=TODAY(),OR($O194="",$O194&gt;=DATE($B$1,2,1)),OR(COUNTIF($C194:D194,"&gt;0")&gt;0,DATE($B$1,2,1)=DATE(YEAR(TODAY()),MONTH(TODAY()),1))),1,0))</f>
        <v/>
      </c>
      <c r="R194">
        <f>IF($A194="","",IF(AND($B194&gt;0,E194&lt;$B194,DATE($B$1,3,1)&lt;=TODAY(),OR($O194="",$O194&gt;=DATE($B$1,3,1)),OR(COUNTIF($C194:E194,"&gt;0")&gt;0,DATE($B$1,3,1)=DATE(YEAR(TODAY()),MONTH(TODAY()),1))),1,0))</f>
        <v/>
      </c>
      <c r="S194">
        <f>IF($A194="","",IF(AND($B194&gt;0,F194&lt;$B194,DATE($B$1,4,1)&lt;=TODAY(),OR($O194="",$O194&gt;=DATE($B$1,4,1)),OR(COUNTIF($C194:F194,"&gt;0")&gt;0,DATE($B$1,4,1)=DATE(YEAR(TODAY()),MONTH(TODAY()),1))),1,0))</f>
        <v/>
      </c>
      <c r="T194">
        <f>IF($A194="","",IF(AND($B194&gt;0,G194&lt;$B194,DATE($B$1,5,1)&lt;=TODAY(),OR($O194="",$O194&gt;=DATE($B$1,5,1)),OR(COUNTIF($C194:G194,"&gt;0")&gt;0,DATE($B$1,5,1)=DATE(YEAR(TODAY()),MONTH(TODAY()),1))),1,0))</f>
        <v/>
      </c>
      <c r="U194">
        <f>IF($A194="","",IF(AND($B194&gt;0,H194&lt;$B194,DATE($B$1,6,1)&lt;=TODAY(),OR($O194="",$O194&gt;=DATE($B$1,6,1)),OR(COUNTIF($C194:H194,"&gt;0")&gt;0,DATE($B$1,6,1)=DATE(YEAR(TODAY()),MONTH(TODAY()),1))),1,0))</f>
        <v/>
      </c>
      <c r="V194">
        <f>IF($A194="","",IF(AND($B194&gt;0,I194&lt;$B194,DATE($B$1,7,1)&lt;=TODAY(),OR($O194="",$O194&gt;=DATE($B$1,7,1)),OR(COUNTIF($C194:I194,"&gt;0")&gt;0,DATE($B$1,7,1)=DATE(YEAR(TODAY()),MONTH(TODAY()),1))),1,0))</f>
        <v/>
      </c>
      <c r="W194">
        <f>IF($A194="","",IF(AND($B194&gt;0,J194&lt;$B194,DATE($B$1,8,1)&lt;=TODAY(),OR($O194="",$O194&gt;=DATE($B$1,8,1)),OR(COUNTIF($C194:J194,"&gt;0")&gt;0,DATE($B$1,8,1)=DATE(YEAR(TODAY()),MONTH(TODAY()),1))),1,0))</f>
        <v/>
      </c>
      <c r="X194">
        <f>IF($A194="","",IF(AND($B194&gt;0,K194&lt;$B194,DATE($B$1,9,1)&lt;=TODAY(),OR($O194="",$O194&gt;=DATE($B$1,9,1)),OR(COUNTIF($C194:K194,"&gt;0")&gt;0,DATE($B$1,9,1)=DATE(YEAR(TODAY()),MONTH(TODAY()),1))),1,0))</f>
        <v/>
      </c>
      <c r="Y194">
        <f>IF($A194="","",IF(AND($B194&gt;0,L194&lt;$B194,DATE($B$1,10,1)&lt;=TODAY(),OR($O194="",$O194&gt;=DATE($B$1,10,1)),OR(COUNTIF($C194:L194,"&gt;0")&gt;0,DATE($B$1,10,1)=DATE(YEAR(TODAY()),MONTH(TODAY()),1))),1,0))</f>
        <v/>
      </c>
      <c r="Z194">
        <f>IF($A194="","",IF(AND($B194&gt;0,M194&lt;$B194,DATE($B$1,11,1)&lt;=TODAY(),OR($O194="",$O194&gt;=DATE($B$1,11,1)),OR(COUNTIF($C194:M194,"&gt;0")&gt;0,DATE($B$1,11,1)=DATE(YEAR(TODAY()),MONTH(TODAY()),1))),1,0))</f>
        <v/>
      </c>
      <c r="AA194">
        <f>IF($A194="","",IF(AND($B194&gt;0,N194&lt;$B194,DATE($B$1,12,1)&lt;=TODAY(),OR($O194="",$O194&gt;=DATE($B$1,12,1)),OR(COUNTIF($C194:N194,"&gt;0")&gt;0,DATE($B$1,12,1)=DATE(YEAR(TODAY()),MONTH(TODAY()),1))),1,0))</f>
        <v/>
      </c>
    </row>
    <row r="195">
      <c r="A195" s="13">
        <f>IF(원생!$A193="","",원생!$A193&amp;IF(원생!$G193="",""," ("&amp;원생!$G193&amp;")"))</f>
        <v/>
      </c>
      <c r="B195" s="8">
        <f>IF(원생!$A193="","",N(원생!$F193))</f>
        <v/>
      </c>
      <c r="C195" s="14">
        <f>IF(원생!$A193="","",SUMIFS(계산!$C:$C,계산!$A:$A,계산!$E193,계산!$B:$B,$B$1*100+1))</f>
        <v/>
      </c>
      <c r="D195" s="14">
        <f>IF(원생!$A193="","",SUMIFS(계산!$C:$C,계산!$A:$A,계산!$E193,계산!$B:$B,$B$1*100+2))</f>
        <v/>
      </c>
      <c r="E195" s="14">
        <f>IF(원생!$A193="","",SUMIFS(계산!$C:$C,계산!$A:$A,계산!$E193,계산!$B:$B,$B$1*100+3))</f>
        <v/>
      </c>
      <c r="F195" s="14">
        <f>IF(원생!$A193="","",SUMIFS(계산!$C:$C,계산!$A:$A,계산!$E193,계산!$B:$B,$B$1*100+4))</f>
        <v/>
      </c>
      <c r="G195" s="14">
        <f>IF(원생!$A193="","",SUMIFS(계산!$C:$C,계산!$A:$A,계산!$E193,계산!$B:$B,$B$1*100+5))</f>
        <v/>
      </c>
      <c r="H195" s="14">
        <f>IF(원생!$A193="","",SUMIFS(계산!$C:$C,계산!$A:$A,계산!$E193,계산!$B:$B,$B$1*100+6))</f>
        <v/>
      </c>
      <c r="I195" s="14">
        <f>IF(원생!$A193="","",SUMIFS(계산!$C:$C,계산!$A:$A,계산!$E193,계산!$B:$B,$B$1*100+7))</f>
        <v/>
      </c>
      <c r="J195" s="14">
        <f>IF(원생!$A193="","",SUMIFS(계산!$C:$C,계산!$A:$A,계산!$E193,계산!$B:$B,$B$1*100+8))</f>
        <v/>
      </c>
      <c r="K195" s="14">
        <f>IF(원생!$A193="","",SUMIFS(계산!$C:$C,계산!$A:$A,계산!$E193,계산!$B:$B,$B$1*100+9))</f>
        <v/>
      </c>
      <c r="L195" s="14">
        <f>IF(원생!$A193="","",SUMIFS(계산!$C:$C,계산!$A:$A,계산!$E193,계산!$B:$B,$B$1*100+10))</f>
        <v/>
      </c>
      <c r="M195" s="14">
        <f>IF(원생!$A193="","",SUMIFS(계산!$C:$C,계산!$A:$A,계산!$E193,계산!$B:$B,$B$1*100+11))</f>
        <v/>
      </c>
      <c r="N195" s="14">
        <f>IF(원생!$A193="","",SUMIFS(계산!$C:$C,계산!$A:$A,계산!$E193,계산!$B:$B,$B$1*100+12))</f>
        <v/>
      </c>
      <c r="O195">
        <f>IF(원생!$I193="","",원생!$I193)</f>
        <v/>
      </c>
      <c r="P195">
        <f>IF($A195="","",IF(AND($B195&gt;0,C195&lt;$B195,DATE($B$1,1,1)&lt;=TODAY(),OR($O195="",$O195&gt;=DATE($B$1,1,1)),OR(COUNTIF($C195:C195,"&gt;0")&gt;0,DATE($B$1,1,1)=DATE(YEAR(TODAY()),MONTH(TODAY()),1))),1,0))</f>
        <v/>
      </c>
      <c r="Q195">
        <f>IF($A195="","",IF(AND($B195&gt;0,D195&lt;$B195,DATE($B$1,2,1)&lt;=TODAY(),OR($O195="",$O195&gt;=DATE($B$1,2,1)),OR(COUNTIF($C195:D195,"&gt;0")&gt;0,DATE($B$1,2,1)=DATE(YEAR(TODAY()),MONTH(TODAY()),1))),1,0))</f>
        <v/>
      </c>
      <c r="R195">
        <f>IF($A195="","",IF(AND($B195&gt;0,E195&lt;$B195,DATE($B$1,3,1)&lt;=TODAY(),OR($O195="",$O195&gt;=DATE($B$1,3,1)),OR(COUNTIF($C195:E195,"&gt;0")&gt;0,DATE($B$1,3,1)=DATE(YEAR(TODAY()),MONTH(TODAY()),1))),1,0))</f>
        <v/>
      </c>
      <c r="S195">
        <f>IF($A195="","",IF(AND($B195&gt;0,F195&lt;$B195,DATE($B$1,4,1)&lt;=TODAY(),OR($O195="",$O195&gt;=DATE($B$1,4,1)),OR(COUNTIF($C195:F195,"&gt;0")&gt;0,DATE($B$1,4,1)=DATE(YEAR(TODAY()),MONTH(TODAY()),1))),1,0))</f>
        <v/>
      </c>
      <c r="T195">
        <f>IF($A195="","",IF(AND($B195&gt;0,G195&lt;$B195,DATE($B$1,5,1)&lt;=TODAY(),OR($O195="",$O195&gt;=DATE($B$1,5,1)),OR(COUNTIF($C195:G195,"&gt;0")&gt;0,DATE($B$1,5,1)=DATE(YEAR(TODAY()),MONTH(TODAY()),1))),1,0))</f>
        <v/>
      </c>
      <c r="U195">
        <f>IF($A195="","",IF(AND($B195&gt;0,H195&lt;$B195,DATE($B$1,6,1)&lt;=TODAY(),OR($O195="",$O195&gt;=DATE($B$1,6,1)),OR(COUNTIF($C195:H195,"&gt;0")&gt;0,DATE($B$1,6,1)=DATE(YEAR(TODAY()),MONTH(TODAY()),1))),1,0))</f>
        <v/>
      </c>
      <c r="V195">
        <f>IF($A195="","",IF(AND($B195&gt;0,I195&lt;$B195,DATE($B$1,7,1)&lt;=TODAY(),OR($O195="",$O195&gt;=DATE($B$1,7,1)),OR(COUNTIF($C195:I195,"&gt;0")&gt;0,DATE($B$1,7,1)=DATE(YEAR(TODAY()),MONTH(TODAY()),1))),1,0))</f>
        <v/>
      </c>
      <c r="W195">
        <f>IF($A195="","",IF(AND($B195&gt;0,J195&lt;$B195,DATE($B$1,8,1)&lt;=TODAY(),OR($O195="",$O195&gt;=DATE($B$1,8,1)),OR(COUNTIF($C195:J195,"&gt;0")&gt;0,DATE($B$1,8,1)=DATE(YEAR(TODAY()),MONTH(TODAY()),1))),1,0))</f>
        <v/>
      </c>
      <c r="X195">
        <f>IF($A195="","",IF(AND($B195&gt;0,K195&lt;$B195,DATE($B$1,9,1)&lt;=TODAY(),OR($O195="",$O195&gt;=DATE($B$1,9,1)),OR(COUNTIF($C195:K195,"&gt;0")&gt;0,DATE($B$1,9,1)=DATE(YEAR(TODAY()),MONTH(TODAY()),1))),1,0))</f>
        <v/>
      </c>
      <c r="Y195">
        <f>IF($A195="","",IF(AND($B195&gt;0,L195&lt;$B195,DATE($B$1,10,1)&lt;=TODAY(),OR($O195="",$O195&gt;=DATE($B$1,10,1)),OR(COUNTIF($C195:L195,"&gt;0")&gt;0,DATE($B$1,10,1)=DATE(YEAR(TODAY()),MONTH(TODAY()),1))),1,0))</f>
        <v/>
      </c>
      <c r="Z195">
        <f>IF($A195="","",IF(AND($B195&gt;0,M195&lt;$B195,DATE($B$1,11,1)&lt;=TODAY(),OR($O195="",$O195&gt;=DATE($B$1,11,1)),OR(COUNTIF($C195:M195,"&gt;0")&gt;0,DATE($B$1,11,1)=DATE(YEAR(TODAY()),MONTH(TODAY()),1))),1,0))</f>
        <v/>
      </c>
      <c r="AA195">
        <f>IF($A195="","",IF(AND($B195&gt;0,N195&lt;$B195,DATE($B$1,12,1)&lt;=TODAY(),OR($O195="",$O195&gt;=DATE($B$1,12,1)),OR(COUNTIF($C195:N195,"&gt;0")&gt;0,DATE($B$1,12,1)=DATE(YEAR(TODAY()),MONTH(TODAY()),1))),1,0))</f>
        <v/>
      </c>
    </row>
    <row r="196">
      <c r="A196" s="13">
        <f>IF(원생!$A194="","",원생!$A194&amp;IF(원생!$G194="",""," ("&amp;원생!$G194&amp;")"))</f>
        <v/>
      </c>
      <c r="B196" s="8">
        <f>IF(원생!$A194="","",N(원생!$F194))</f>
        <v/>
      </c>
      <c r="C196" s="14">
        <f>IF(원생!$A194="","",SUMIFS(계산!$C:$C,계산!$A:$A,계산!$E194,계산!$B:$B,$B$1*100+1))</f>
        <v/>
      </c>
      <c r="D196" s="14">
        <f>IF(원생!$A194="","",SUMIFS(계산!$C:$C,계산!$A:$A,계산!$E194,계산!$B:$B,$B$1*100+2))</f>
        <v/>
      </c>
      <c r="E196" s="14">
        <f>IF(원생!$A194="","",SUMIFS(계산!$C:$C,계산!$A:$A,계산!$E194,계산!$B:$B,$B$1*100+3))</f>
        <v/>
      </c>
      <c r="F196" s="14">
        <f>IF(원생!$A194="","",SUMIFS(계산!$C:$C,계산!$A:$A,계산!$E194,계산!$B:$B,$B$1*100+4))</f>
        <v/>
      </c>
      <c r="G196" s="14">
        <f>IF(원생!$A194="","",SUMIFS(계산!$C:$C,계산!$A:$A,계산!$E194,계산!$B:$B,$B$1*100+5))</f>
        <v/>
      </c>
      <c r="H196" s="14">
        <f>IF(원생!$A194="","",SUMIFS(계산!$C:$C,계산!$A:$A,계산!$E194,계산!$B:$B,$B$1*100+6))</f>
        <v/>
      </c>
      <c r="I196" s="14">
        <f>IF(원생!$A194="","",SUMIFS(계산!$C:$C,계산!$A:$A,계산!$E194,계산!$B:$B,$B$1*100+7))</f>
        <v/>
      </c>
      <c r="J196" s="14">
        <f>IF(원생!$A194="","",SUMIFS(계산!$C:$C,계산!$A:$A,계산!$E194,계산!$B:$B,$B$1*100+8))</f>
        <v/>
      </c>
      <c r="K196" s="14">
        <f>IF(원생!$A194="","",SUMIFS(계산!$C:$C,계산!$A:$A,계산!$E194,계산!$B:$B,$B$1*100+9))</f>
        <v/>
      </c>
      <c r="L196" s="14">
        <f>IF(원생!$A194="","",SUMIFS(계산!$C:$C,계산!$A:$A,계산!$E194,계산!$B:$B,$B$1*100+10))</f>
        <v/>
      </c>
      <c r="M196" s="14">
        <f>IF(원생!$A194="","",SUMIFS(계산!$C:$C,계산!$A:$A,계산!$E194,계산!$B:$B,$B$1*100+11))</f>
        <v/>
      </c>
      <c r="N196" s="14">
        <f>IF(원생!$A194="","",SUMIFS(계산!$C:$C,계산!$A:$A,계산!$E194,계산!$B:$B,$B$1*100+12))</f>
        <v/>
      </c>
      <c r="O196">
        <f>IF(원생!$I194="","",원생!$I194)</f>
        <v/>
      </c>
      <c r="P196">
        <f>IF($A196="","",IF(AND($B196&gt;0,C196&lt;$B196,DATE($B$1,1,1)&lt;=TODAY(),OR($O196="",$O196&gt;=DATE($B$1,1,1)),OR(COUNTIF($C196:C196,"&gt;0")&gt;0,DATE($B$1,1,1)=DATE(YEAR(TODAY()),MONTH(TODAY()),1))),1,0))</f>
        <v/>
      </c>
      <c r="Q196">
        <f>IF($A196="","",IF(AND($B196&gt;0,D196&lt;$B196,DATE($B$1,2,1)&lt;=TODAY(),OR($O196="",$O196&gt;=DATE($B$1,2,1)),OR(COUNTIF($C196:D196,"&gt;0")&gt;0,DATE($B$1,2,1)=DATE(YEAR(TODAY()),MONTH(TODAY()),1))),1,0))</f>
        <v/>
      </c>
      <c r="R196">
        <f>IF($A196="","",IF(AND($B196&gt;0,E196&lt;$B196,DATE($B$1,3,1)&lt;=TODAY(),OR($O196="",$O196&gt;=DATE($B$1,3,1)),OR(COUNTIF($C196:E196,"&gt;0")&gt;0,DATE($B$1,3,1)=DATE(YEAR(TODAY()),MONTH(TODAY()),1))),1,0))</f>
        <v/>
      </c>
      <c r="S196">
        <f>IF($A196="","",IF(AND($B196&gt;0,F196&lt;$B196,DATE($B$1,4,1)&lt;=TODAY(),OR($O196="",$O196&gt;=DATE($B$1,4,1)),OR(COUNTIF($C196:F196,"&gt;0")&gt;0,DATE($B$1,4,1)=DATE(YEAR(TODAY()),MONTH(TODAY()),1))),1,0))</f>
        <v/>
      </c>
      <c r="T196">
        <f>IF($A196="","",IF(AND($B196&gt;0,G196&lt;$B196,DATE($B$1,5,1)&lt;=TODAY(),OR($O196="",$O196&gt;=DATE($B$1,5,1)),OR(COUNTIF($C196:G196,"&gt;0")&gt;0,DATE($B$1,5,1)=DATE(YEAR(TODAY()),MONTH(TODAY()),1))),1,0))</f>
        <v/>
      </c>
      <c r="U196">
        <f>IF($A196="","",IF(AND($B196&gt;0,H196&lt;$B196,DATE($B$1,6,1)&lt;=TODAY(),OR($O196="",$O196&gt;=DATE($B$1,6,1)),OR(COUNTIF($C196:H196,"&gt;0")&gt;0,DATE($B$1,6,1)=DATE(YEAR(TODAY()),MONTH(TODAY()),1))),1,0))</f>
        <v/>
      </c>
      <c r="V196">
        <f>IF($A196="","",IF(AND($B196&gt;0,I196&lt;$B196,DATE($B$1,7,1)&lt;=TODAY(),OR($O196="",$O196&gt;=DATE($B$1,7,1)),OR(COUNTIF($C196:I196,"&gt;0")&gt;0,DATE($B$1,7,1)=DATE(YEAR(TODAY()),MONTH(TODAY()),1))),1,0))</f>
        <v/>
      </c>
      <c r="W196">
        <f>IF($A196="","",IF(AND($B196&gt;0,J196&lt;$B196,DATE($B$1,8,1)&lt;=TODAY(),OR($O196="",$O196&gt;=DATE($B$1,8,1)),OR(COUNTIF($C196:J196,"&gt;0")&gt;0,DATE($B$1,8,1)=DATE(YEAR(TODAY()),MONTH(TODAY()),1))),1,0))</f>
        <v/>
      </c>
      <c r="X196">
        <f>IF($A196="","",IF(AND($B196&gt;0,K196&lt;$B196,DATE($B$1,9,1)&lt;=TODAY(),OR($O196="",$O196&gt;=DATE($B$1,9,1)),OR(COUNTIF($C196:K196,"&gt;0")&gt;0,DATE($B$1,9,1)=DATE(YEAR(TODAY()),MONTH(TODAY()),1))),1,0))</f>
        <v/>
      </c>
      <c r="Y196">
        <f>IF($A196="","",IF(AND($B196&gt;0,L196&lt;$B196,DATE($B$1,10,1)&lt;=TODAY(),OR($O196="",$O196&gt;=DATE($B$1,10,1)),OR(COUNTIF($C196:L196,"&gt;0")&gt;0,DATE($B$1,10,1)=DATE(YEAR(TODAY()),MONTH(TODAY()),1))),1,0))</f>
        <v/>
      </c>
      <c r="Z196">
        <f>IF($A196="","",IF(AND($B196&gt;0,M196&lt;$B196,DATE($B$1,11,1)&lt;=TODAY(),OR($O196="",$O196&gt;=DATE($B$1,11,1)),OR(COUNTIF($C196:M196,"&gt;0")&gt;0,DATE($B$1,11,1)=DATE(YEAR(TODAY()),MONTH(TODAY()),1))),1,0))</f>
        <v/>
      </c>
      <c r="AA196">
        <f>IF($A196="","",IF(AND($B196&gt;0,N196&lt;$B196,DATE($B$1,12,1)&lt;=TODAY(),OR($O196="",$O196&gt;=DATE($B$1,12,1)),OR(COUNTIF($C196:N196,"&gt;0")&gt;0,DATE($B$1,12,1)=DATE(YEAR(TODAY()),MONTH(TODAY()),1))),1,0))</f>
        <v/>
      </c>
    </row>
    <row r="197">
      <c r="A197" s="13">
        <f>IF(원생!$A195="","",원생!$A195&amp;IF(원생!$G195="",""," ("&amp;원생!$G195&amp;")"))</f>
        <v/>
      </c>
      <c r="B197" s="8">
        <f>IF(원생!$A195="","",N(원생!$F195))</f>
        <v/>
      </c>
      <c r="C197" s="14">
        <f>IF(원생!$A195="","",SUMIFS(계산!$C:$C,계산!$A:$A,계산!$E195,계산!$B:$B,$B$1*100+1))</f>
        <v/>
      </c>
      <c r="D197" s="14">
        <f>IF(원생!$A195="","",SUMIFS(계산!$C:$C,계산!$A:$A,계산!$E195,계산!$B:$B,$B$1*100+2))</f>
        <v/>
      </c>
      <c r="E197" s="14">
        <f>IF(원생!$A195="","",SUMIFS(계산!$C:$C,계산!$A:$A,계산!$E195,계산!$B:$B,$B$1*100+3))</f>
        <v/>
      </c>
      <c r="F197" s="14">
        <f>IF(원생!$A195="","",SUMIFS(계산!$C:$C,계산!$A:$A,계산!$E195,계산!$B:$B,$B$1*100+4))</f>
        <v/>
      </c>
      <c r="G197" s="14">
        <f>IF(원생!$A195="","",SUMIFS(계산!$C:$C,계산!$A:$A,계산!$E195,계산!$B:$B,$B$1*100+5))</f>
        <v/>
      </c>
      <c r="H197" s="14">
        <f>IF(원생!$A195="","",SUMIFS(계산!$C:$C,계산!$A:$A,계산!$E195,계산!$B:$B,$B$1*100+6))</f>
        <v/>
      </c>
      <c r="I197" s="14">
        <f>IF(원생!$A195="","",SUMIFS(계산!$C:$C,계산!$A:$A,계산!$E195,계산!$B:$B,$B$1*100+7))</f>
        <v/>
      </c>
      <c r="J197" s="14">
        <f>IF(원생!$A195="","",SUMIFS(계산!$C:$C,계산!$A:$A,계산!$E195,계산!$B:$B,$B$1*100+8))</f>
        <v/>
      </c>
      <c r="K197" s="14">
        <f>IF(원생!$A195="","",SUMIFS(계산!$C:$C,계산!$A:$A,계산!$E195,계산!$B:$B,$B$1*100+9))</f>
        <v/>
      </c>
      <c r="L197" s="14">
        <f>IF(원생!$A195="","",SUMIFS(계산!$C:$C,계산!$A:$A,계산!$E195,계산!$B:$B,$B$1*100+10))</f>
        <v/>
      </c>
      <c r="M197" s="14">
        <f>IF(원생!$A195="","",SUMIFS(계산!$C:$C,계산!$A:$A,계산!$E195,계산!$B:$B,$B$1*100+11))</f>
        <v/>
      </c>
      <c r="N197" s="14">
        <f>IF(원생!$A195="","",SUMIFS(계산!$C:$C,계산!$A:$A,계산!$E195,계산!$B:$B,$B$1*100+12))</f>
        <v/>
      </c>
      <c r="O197">
        <f>IF(원생!$I195="","",원생!$I195)</f>
        <v/>
      </c>
      <c r="P197">
        <f>IF($A197="","",IF(AND($B197&gt;0,C197&lt;$B197,DATE($B$1,1,1)&lt;=TODAY(),OR($O197="",$O197&gt;=DATE($B$1,1,1)),OR(COUNTIF($C197:C197,"&gt;0")&gt;0,DATE($B$1,1,1)=DATE(YEAR(TODAY()),MONTH(TODAY()),1))),1,0))</f>
        <v/>
      </c>
      <c r="Q197">
        <f>IF($A197="","",IF(AND($B197&gt;0,D197&lt;$B197,DATE($B$1,2,1)&lt;=TODAY(),OR($O197="",$O197&gt;=DATE($B$1,2,1)),OR(COUNTIF($C197:D197,"&gt;0")&gt;0,DATE($B$1,2,1)=DATE(YEAR(TODAY()),MONTH(TODAY()),1))),1,0))</f>
        <v/>
      </c>
      <c r="R197">
        <f>IF($A197="","",IF(AND($B197&gt;0,E197&lt;$B197,DATE($B$1,3,1)&lt;=TODAY(),OR($O197="",$O197&gt;=DATE($B$1,3,1)),OR(COUNTIF($C197:E197,"&gt;0")&gt;0,DATE($B$1,3,1)=DATE(YEAR(TODAY()),MONTH(TODAY()),1))),1,0))</f>
        <v/>
      </c>
      <c r="S197">
        <f>IF($A197="","",IF(AND($B197&gt;0,F197&lt;$B197,DATE($B$1,4,1)&lt;=TODAY(),OR($O197="",$O197&gt;=DATE($B$1,4,1)),OR(COUNTIF($C197:F197,"&gt;0")&gt;0,DATE($B$1,4,1)=DATE(YEAR(TODAY()),MONTH(TODAY()),1))),1,0))</f>
        <v/>
      </c>
      <c r="T197">
        <f>IF($A197="","",IF(AND($B197&gt;0,G197&lt;$B197,DATE($B$1,5,1)&lt;=TODAY(),OR($O197="",$O197&gt;=DATE($B$1,5,1)),OR(COUNTIF($C197:G197,"&gt;0")&gt;0,DATE($B$1,5,1)=DATE(YEAR(TODAY()),MONTH(TODAY()),1))),1,0))</f>
        <v/>
      </c>
      <c r="U197">
        <f>IF($A197="","",IF(AND($B197&gt;0,H197&lt;$B197,DATE($B$1,6,1)&lt;=TODAY(),OR($O197="",$O197&gt;=DATE($B$1,6,1)),OR(COUNTIF($C197:H197,"&gt;0")&gt;0,DATE($B$1,6,1)=DATE(YEAR(TODAY()),MONTH(TODAY()),1))),1,0))</f>
        <v/>
      </c>
      <c r="V197">
        <f>IF($A197="","",IF(AND($B197&gt;0,I197&lt;$B197,DATE($B$1,7,1)&lt;=TODAY(),OR($O197="",$O197&gt;=DATE($B$1,7,1)),OR(COUNTIF($C197:I197,"&gt;0")&gt;0,DATE($B$1,7,1)=DATE(YEAR(TODAY()),MONTH(TODAY()),1))),1,0))</f>
        <v/>
      </c>
      <c r="W197">
        <f>IF($A197="","",IF(AND($B197&gt;0,J197&lt;$B197,DATE($B$1,8,1)&lt;=TODAY(),OR($O197="",$O197&gt;=DATE($B$1,8,1)),OR(COUNTIF($C197:J197,"&gt;0")&gt;0,DATE($B$1,8,1)=DATE(YEAR(TODAY()),MONTH(TODAY()),1))),1,0))</f>
        <v/>
      </c>
      <c r="X197">
        <f>IF($A197="","",IF(AND($B197&gt;0,K197&lt;$B197,DATE($B$1,9,1)&lt;=TODAY(),OR($O197="",$O197&gt;=DATE($B$1,9,1)),OR(COUNTIF($C197:K197,"&gt;0")&gt;0,DATE($B$1,9,1)=DATE(YEAR(TODAY()),MONTH(TODAY()),1))),1,0))</f>
        <v/>
      </c>
      <c r="Y197">
        <f>IF($A197="","",IF(AND($B197&gt;0,L197&lt;$B197,DATE($B$1,10,1)&lt;=TODAY(),OR($O197="",$O197&gt;=DATE($B$1,10,1)),OR(COUNTIF($C197:L197,"&gt;0")&gt;0,DATE($B$1,10,1)=DATE(YEAR(TODAY()),MONTH(TODAY()),1))),1,0))</f>
        <v/>
      </c>
      <c r="Z197">
        <f>IF($A197="","",IF(AND($B197&gt;0,M197&lt;$B197,DATE($B$1,11,1)&lt;=TODAY(),OR($O197="",$O197&gt;=DATE($B$1,11,1)),OR(COUNTIF($C197:M197,"&gt;0")&gt;0,DATE($B$1,11,1)=DATE(YEAR(TODAY()),MONTH(TODAY()),1))),1,0))</f>
        <v/>
      </c>
      <c r="AA197">
        <f>IF($A197="","",IF(AND($B197&gt;0,N197&lt;$B197,DATE($B$1,12,1)&lt;=TODAY(),OR($O197="",$O197&gt;=DATE($B$1,12,1)),OR(COUNTIF($C197:N197,"&gt;0")&gt;0,DATE($B$1,12,1)=DATE(YEAR(TODAY()),MONTH(TODAY()),1))),1,0))</f>
        <v/>
      </c>
    </row>
    <row r="198">
      <c r="A198" s="13">
        <f>IF(원생!$A196="","",원생!$A196&amp;IF(원생!$G196="",""," ("&amp;원생!$G196&amp;")"))</f>
        <v/>
      </c>
      <c r="B198" s="8">
        <f>IF(원생!$A196="","",N(원생!$F196))</f>
        <v/>
      </c>
      <c r="C198" s="14">
        <f>IF(원생!$A196="","",SUMIFS(계산!$C:$C,계산!$A:$A,계산!$E196,계산!$B:$B,$B$1*100+1))</f>
        <v/>
      </c>
      <c r="D198" s="14">
        <f>IF(원생!$A196="","",SUMIFS(계산!$C:$C,계산!$A:$A,계산!$E196,계산!$B:$B,$B$1*100+2))</f>
        <v/>
      </c>
      <c r="E198" s="14">
        <f>IF(원생!$A196="","",SUMIFS(계산!$C:$C,계산!$A:$A,계산!$E196,계산!$B:$B,$B$1*100+3))</f>
        <v/>
      </c>
      <c r="F198" s="14">
        <f>IF(원생!$A196="","",SUMIFS(계산!$C:$C,계산!$A:$A,계산!$E196,계산!$B:$B,$B$1*100+4))</f>
        <v/>
      </c>
      <c r="G198" s="14">
        <f>IF(원생!$A196="","",SUMIFS(계산!$C:$C,계산!$A:$A,계산!$E196,계산!$B:$B,$B$1*100+5))</f>
        <v/>
      </c>
      <c r="H198" s="14">
        <f>IF(원생!$A196="","",SUMIFS(계산!$C:$C,계산!$A:$A,계산!$E196,계산!$B:$B,$B$1*100+6))</f>
        <v/>
      </c>
      <c r="I198" s="14">
        <f>IF(원생!$A196="","",SUMIFS(계산!$C:$C,계산!$A:$A,계산!$E196,계산!$B:$B,$B$1*100+7))</f>
        <v/>
      </c>
      <c r="J198" s="14">
        <f>IF(원생!$A196="","",SUMIFS(계산!$C:$C,계산!$A:$A,계산!$E196,계산!$B:$B,$B$1*100+8))</f>
        <v/>
      </c>
      <c r="K198" s="14">
        <f>IF(원생!$A196="","",SUMIFS(계산!$C:$C,계산!$A:$A,계산!$E196,계산!$B:$B,$B$1*100+9))</f>
        <v/>
      </c>
      <c r="L198" s="14">
        <f>IF(원생!$A196="","",SUMIFS(계산!$C:$C,계산!$A:$A,계산!$E196,계산!$B:$B,$B$1*100+10))</f>
        <v/>
      </c>
      <c r="M198" s="14">
        <f>IF(원생!$A196="","",SUMIFS(계산!$C:$C,계산!$A:$A,계산!$E196,계산!$B:$B,$B$1*100+11))</f>
        <v/>
      </c>
      <c r="N198" s="14">
        <f>IF(원생!$A196="","",SUMIFS(계산!$C:$C,계산!$A:$A,계산!$E196,계산!$B:$B,$B$1*100+12))</f>
        <v/>
      </c>
      <c r="O198">
        <f>IF(원생!$I196="","",원생!$I196)</f>
        <v/>
      </c>
      <c r="P198">
        <f>IF($A198="","",IF(AND($B198&gt;0,C198&lt;$B198,DATE($B$1,1,1)&lt;=TODAY(),OR($O198="",$O198&gt;=DATE($B$1,1,1)),OR(COUNTIF($C198:C198,"&gt;0")&gt;0,DATE($B$1,1,1)=DATE(YEAR(TODAY()),MONTH(TODAY()),1))),1,0))</f>
        <v/>
      </c>
      <c r="Q198">
        <f>IF($A198="","",IF(AND($B198&gt;0,D198&lt;$B198,DATE($B$1,2,1)&lt;=TODAY(),OR($O198="",$O198&gt;=DATE($B$1,2,1)),OR(COUNTIF($C198:D198,"&gt;0")&gt;0,DATE($B$1,2,1)=DATE(YEAR(TODAY()),MONTH(TODAY()),1))),1,0))</f>
        <v/>
      </c>
      <c r="R198">
        <f>IF($A198="","",IF(AND($B198&gt;0,E198&lt;$B198,DATE($B$1,3,1)&lt;=TODAY(),OR($O198="",$O198&gt;=DATE($B$1,3,1)),OR(COUNTIF($C198:E198,"&gt;0")&gt;0,DATE($B$1,3,1)=DATE(YEAR(TODAY()),MONTH(TODAY()),1))),1,0))</f>
        <v/>
      </c>
      <c r="S198">
        <f>IF($A198="","",IF(AND($B198&gt;0,F198&lt;$B198,DATE($B$1,4,1)&lt;=TODAY(),OR($O198="",$O198&gt;=DATE($B$1,4,1)),OR(COUNTIF($C198:F198,"&gt;0")&gt;0,DATE($B$1,4,1)=DATE(YEAR(TODAY()),MONTH(TODAY()),1))),1,0))</f>
        <v/>
      </c>
      <c r="T198">
        <f>IF($A198="","",IF(AND($B198&gt;0,G198&lt;$B198,DATE($B$1,5,1)&lt;=TODAY(),OR($O198="",$O198&gt;=DATE($B$1,5,1)),OR(COUNTIF($C198:G198,"&gt;0")&gt;0,DATE($B$1,5,1)=DATE(YEAR(TODAY()),MONTH(TODAY()),1))),1,0))</f>
        <v/>
      </c>
      <c r="U198">
        <f>IF($A198="","",IF(AND($B198&gt;0,H198&lt;$B198,DATE($B$1,6,1)&lt;=TODAY(),OR($O198="",$O198&gt;=DATE($B$1,6,1)),OR(COUNTIF($C198:H198,"&gt;0")&gt;0,DATE($B$1,6,1)=DATE(YEAR(TODAY()),MONTH(TODAY()),1))),1,0))</f>
        <v/>
      </c>
      <c r="V198">
        <f>IF($A198="","",IF(AND($B198&gt;0,I198&lt;$B198,DATE($B$1,7,1)&lt;=TODAY(),OR($O198="",$O198&gt;=DATE($B$1,7,1)),OR(COUNTIF($C198:I198,"&gt;0")&gt;0,DATE($B$1,7,1)=DATE(YEAR(TODAY()),MONTH(TODAY()),1))),1,0))</f>
        <v/>
      </c>
      <c r="W198">
        <f>IF($A198="","",IF(AND($B198&gt;0,J198&lt;$B198,DATE($B$1,8,1)&lt;=TODAY(),OR($O198="",$O198&gt;=DATE($B$1,8,1)),OR(COUNTIF($C198:J198,"&gt;0")&gt;0,DATE($B$1,8,1)=DATE(YEAR(TODAY()),MONTH(TODAY()),1))),1,0))</f>
        <v/>
      </c>
      <c r="X198">
        <f>IF($A198="","",IF(AND($B198&gt;0,K198&lt;$B198,DATE($B$1,9,1)&lt;=TODAY(),OR($O198="",$O198&gt;=DATE($B$1,9,1)),OR(COUNTIF($C198:K198,"&gt;0")&gt;0,DATE($B$1,9,1)=DATE(YEAR(TODAY()),MONTH(TODAY()),1))),1,0))</f>
        <v/>
      </c>
      <c r="Y198">
        <f>IF($A198="","",IF(AND($B198&gt;0,L198&lt;$B198,DATE($B$1,10,1)&lt;=TODAY(),OR($O198="",$O198&gt;=DATE($B$1,10,1)),OR(COUNTIF($C198:L198,"&gt;0")&gt;0,DATE($B$1,10,1)=DATE(YEAR(TODAY()),MONTH(TODAY()),1))),1,0))</f>
        <v/>
      </c>
      <c r="Z198">
        <f>IF($A198="","",IF(AND($B198&gt;0,M198&lt;$B198,DATE($B$1,11,1)&lt;=TODAY(),OR($O198="",$O198&gt;=DATE($B$1,11,1)),OR(COUNTIF($C198:M198,"&gt;0")&gt;0,DATE($B$1,11,1)=DATE(YEAR(TODAY()),MONTH(TODAY()),1))),1,0))</f>
        <v/>
      </c>
      <c r="AA198">
        <f>IF($A198="","",IF(AND($B198&gt;0,N198&lt;$B198,DATE($B$1,12,1)&lt;=TODAY(),OR($O198="",$O198&gt;=DATE($B$1,12,1)),OR(COUNTIF($C198:N198,"&gt;0")&gt;0,DATE($B$1,12,1)=DATE(YEAR(TODAY()),MONTH(TODAY()),1))),1,0))</f>
        <v/>
      </c>
    </row>
    <row r="199">
      <c r="A199" s="13">
        <f>IF(원생!$A197="","",원생!$A197&amp;IF(원생!$G197="",""," ("&amp;원생!$G197&amp;")"))</f>
        <v/>
      </c>
      <c r="B199" s="8">
        <f>IF(원생!$A197="","",N(원생!$F197))</f>
        <v/>
      </c>
      <c r="C199" s="14">
        <f>IF(원생!$A197="","",SUMIFS(계산!$C:$C,계산!$A:$A,계산!$E197,계산!$B:$B,$B$1*100+1))</f>
        <v/>
      </c>
      <c r="D199" s="14">
        <f>IF(원생!$A197="","",SUMIFS(계산!$C:$C,계산!$A:$A,계산!$E197,계산!$B:$B,$B$1*100+2))</f>
        <v/>
      </c>
      <c r="E199" s="14">
        <f>IF(원생!$A197="","",SUMIFS(계산!$C:$C,계산!$A:$A,계산!$E197,계산!$B:$B,$B$1*100+3))</f>
        <v/>
      </c>
      <c r="F199" s="14">
        <f>IF(원생!$A197="","",SUMIFS(계산!$C:$C,계산!$A:$A,계산!$E197,계산!$B:$B,$B$1*100+4))</f>
        <v/>
      </c>
      <c r="G199" s="14">
        <f>IF(원생!$A197="","",SUMIFS(계산!$C:$C,계산!$A:$A,계산!$E197,계산!$B:$B,$B$1*100+5))</f>
        <v/>
      </c>
      <c r="H199" s="14">
        <f>IF(원생!$A197="","",SUMIFS(계산!$C:$C,계산!$A:$A,계산!$E197,계산!$B:$B,$B$1*100+6))</f>
        <v/>
      </c>
      <c r="I199" s="14">
        <f>IF(원생!$A197="","",SUMIFS(계산!$C:$C,계산!$A:$A,계산!$E197,계산!$B:$B,$B$1*100+7))</f>
        <v/>
      </c>
      <c r="J199" s="14">
        <f>IF(원생!$A197="","",SUMIFS(계산!$C:$C,계산!$A:$A,계산!$E197,계산!$B:$B,$B$1*100+8))</f>
        <v/>
      </c>
      <c r="K199" s="14">
        <f>IF(원생!$A197="","",SUMIFS(계산!$C:$C,계산!$A:$A,계산!$E197,계산!$B:$B,$B$1*100+9))</f>
        <v/>
      </c>
      <c r="L199" s="14">
        <f>IF(원생!$A197="","",SUMIFS(계산!$C:$C,계산!$A:$A,계산!$E197,계산!$B:$B,$B$1*100+10))</f>
        <v/>
      </c>
      <c r="M199" s="14">
        <f>IF(원생!$A197="","",SUMIFS(계산!$C:$C,계산!$A:$A,계산!$E197,계산!$B:$B,$B$1*100+11))</f>
        <v/>
      </c>
      <c r="N199" s="14">
        <f>IF(원생!$A197="","",SUMIFS(계산!$C:$C,계산!$A:$A,계산!$E197,계산!$B:$B,$B$1*100+12))</f>
        <v/>
      </c>
      <c r="O199">
        <f>IF(원생!$I197="","",원생!$I197)</f>
        <v/>
      </c>
      <c r="P199">
        <f>IF($A199="","",IF(AND($B199&gt;0,C199&lt;$B199,DATE($B$1,1,1)&lt;=TODAY(),OR($O199="",$O199&gt;=DATE($B$1,1,1)),OR(COUNTIF($C199:C199,"&gt;0")&gt;0,DATE($B$1,1,1)=DATE(YEAR(TODAY()),MONTH(TODAY()),1))),1,0))</f>
        <v/>
      </c>
      <c r="Q199">
        <f>IF($A199="","",IF(AND($B199&gt;0,D199&lt;$B199,DATE($B$1,2,1)&lt;=TODAY(),OR($O199="",$O199&gt;=DATE($B$1,2,1)),OR(COUNTIF($C199:D199,"&gt;0")&gt;0,DATE($B$1,2,1)=DATE(YEAR(TODAY()),MONTH(TODAY()),1))),1,0))</f>
        <v/>
      </c>
      <c r="R199">
        <f>IF($A199="","",IF(AND($B199&gt;0,E199&lt;$B199,DATE($B$1,3,1)&lt;=TODAY(),OR($O199="",$O199&gt;=DATE($B$1,3,1)),OR(COUNTIF($C199:E199,"&gt;0")&gt;0,DATE($B$1,3,1)=DATE(YEAR(TODAY()),MONTH(TODAY()),1))),1,0))</f>
        <v/>
      </c>
      <c r="S199">
        <f>IF($A199="","",IF(AND($B199&gt;0,F199&lt;$B199,DATE($B$1,4,1)&lt;=TODAY(),OR($O199="",$O199&gt;=DATE($B$1,4,1)),OR(COUNTIF($C199:F199,"&gt;0")&gt;0,DATE($B$1,4,1)=DATE(YEAR(TODAY()),MONTH(TODAY()),1))),1,0))</f>
        <v/>
      </c>
      <c r="T199">
        <f>IF($A199="","",IF(AND($B199&gt;0,G199&lt;$B199,DATE($B$1,5,1)&lt;=TODAY(),OR($O199="",$O199&gt;=DATE($B$1,5,1)),OR(COUNTIF($C199:G199,"&gt;0")&gt;0,DATE($B$1,5,1)=DATE(YEAR(TODAY()),MONTH(TODAY()),1))),1,0))</f>
        <v/>
      </c>
      <c r="U199">
        <f>IF($A199="","",IF(AND($B199&gt;0,H199&lt;$B199,DATE($B$1,6,1)&lt;=TODAY(),OR($O199="",$O199&gt;=DATE($B$1,6,1)),OR(COUNTIF($C199:H199,"&gt;0")&gt;0,DATE($B$1,6,1)=DATE(YEAR(TODAY()),MONTH(TODAY()),1))),1,0))</f>
        <v/>
      </c>
      <c r="V199">
        <f>IF($A199="","",IF(AND($B199&gt;0,I199&lt;$B199,DATE($B$1,7,1)&lt;=TODAY(),OR($O199="",$O199&gt;=DATE($B$1,7,1)),OR(COUNTIF($C199:I199,"&gt;0")&gt;0,DATE($B$1,7,1)=DATE(YEAR(TODAY()),MONTH(TODAY()),1))),1,0))</f>
        <v/>
      </c>
      <c r="W199">
        <f>IF($A199="","",IF(AND($B199&gt;0,J199&lt;$B199,DATE($B$1,8,1)&lt;=TODAY(),OR($O199="",$O199&gt;=DATE($B$1,8,1)),OR(COUNTIF($C199:J199,"&gt;0")&gt;0,DATE($B$1,8,1)=DATE(YEAR(TODAY()),MONTH(TODAY()),1))),1,0))</f>
        <v/>
      </c>
      <c r="X199">
        <f>IF($A199="","",IF(AND($B199&gt;0,K199&lt;$B199,DATE($B$1,9,1)&lt;=TODAY(),OR($O199="",$O199&gt;=DATE($B$1,9,1)),OR(COUNTIF($C199:K199,"&gt;0")&gt;0,DATE($B$1,9,1)=DATE(YEAR(TODAY()),MONTH(TODAY()),1))),1,0))</f>
        <v/>
      </c>
      <c r="Y199">
        <f>IF($A199="","",IF(AND($B199&gt;0,L199&lt;$B199,DATE($B$1,10,1)&lt;=TODAY(),OR($O199="",$O199&gt;=DATE($B$1,10,1)),OR(COUNTIF($C199:L199,"&gt;0")&gt;0,DATE($B$1,10,1)=DATE(YEAR(TODAY()),MONTH(TODAY()),1))),1,0))</f>
        <v/>
      </c>
      <c r="Z199">
        <f>IF($A199="","",IF(AND($B199&gt;0,M199&lt;$B199,DATE($B$1,11,1)&lt;=TODAY(),OR($O199="",$O199&gt;=DATE($B$1,11,1)),OR(COUNTIF($C199:M199,"&gt;0")&gt;0,DATE($B$1,11,1)=DATE(YEAR(TODAY()),MONTH(TODAY()),1))),1,0))</f>
        <v/>
      </c>
      <c r="AA199">
        <f>IF($A199="","",IF(AND($B199&gt;0,N199&lt;$B199,DATE($B$1,12,1)&lt;=TODAY(),OR($O199="",$O199&gt;=DATE($B$1,12,1)),OR(COUNTIF($C199:N199,"&gt;0")&gt;0,DATE($B$1,12,1)=DATE(YEAR(TODAY()),MONTH(TODAY()),1))),1,0))</f>
        <v/>
      </c>
    </row>
    <row r="200">
      <c r="A200" s="13">
        <f>IF(원생!$A198="","",원생!$A198&amp;IF(원생!$G198="",""," ("&amp;원생!$G198&amp;")"))</f>
        <v/>
      </c>
      <c r="B200" s="8">
        <f>IF(원생!$A198="","",N(원생!$F198))</f>
        <v/>
      </c>
      <c r="C200" s="14">
        <f>IF(원생!$A198="","",SUMIFS(계산!$C:$C,계산!$A:$A,계산!$E198,계산!$B:$B,$B$1*100+1))</f>
        <v/>
      </c>
      <c r="D200" s="14">
        <f>IF(원생!$A198="","",SUMIFS(계산!$C:$C,계산!$A:$A,계산!$E198,계산!$B:$B,$B$1*100+2))</f>
        <v/>
      </c>
      <c r="E200" s="14">
        <f>IF(원생!$A198="","",SUMIFS(계산!$C:$C,계산!$A:$A,계산!$E198,계산!$B:$B,$B$1*100+3))</f>
        <v/>
      </c>
      <c r="F200" s="14">
        <f>IF(원생!$A198="","",SUMIFS(계산!$C:$C,계산!$A:$A,계산!$E198,계산!$B:$B,$B$1*100+4))</f>
        <v/>
      </c>
      <c r="G200" s="14">
        <f>IF(원생!$A198="","",SUMIFS(계산!$C:$C,계산!$A:$A,계산!$E198,계산!$B:$B,$B$1*100+5))</f>
        <v/>
      </c>
      <c r="H200" s="14">
        <f>IF(원생!$A198="","",SUMIFS(계산!$C:$C,계산!$A:$A,계산!$E198,계산!$B:$B,$B$1*100+6))</f>
        <v/>
      </c>
      <c r="I200" s="14">
        <f>IF(원생!$A198="","",SUMIFS(계산!$C:$C,계산!$A:$A,계산!$E198,계산!$B:$B,$B$1*100+7))</f>
        <v/>
      </c>
      <c r="J200" s="14">
        <f>IF(원생!$A198="","",SUMIFS(계산!$C:$C,계산!$A:$A,계산!$E198,계산!$B:$B,$B$1*100+8))</f>
        <v/>
      </c>
      <c r="K200" s="14">
        <f>IF(원생!$A198="","",SUMIFS(계산!$C:$C,계산!$A:$A,계산!$E198,계산!$B:$B,$B$1*100+9))</f>
        <v/>
      </c>
      <c r="L200" s="14">
        <f>IF(원생!$A198="","",SUMIFS(계산!$C:$C,계산!$A:$A,계산!$E198,계산!$B:$B,$B$1*100+10))</f>
        <v/>
      </c>
      <c r="M200" s="14">
        <f>IF(원생!$A198="","",SUMIFS(계산!$C:$C,계산!$A:$A,계산!$E198,계산!$B:$B,$B$1*100+11))</f>
        <v/>
      </c>
      <c r="N200" s="14">
        <f>IF(원생!$A198="","",SUMIFS(계산!$C:$C,계산!$A:$A,계산!$E198,계산!$B:$B,$B$1*100+12))</f>
        <v/>
      </c>
      <c r="O200">
        <f>IF(원생!$I198="","",원생!$I198)</f>
        <v/>
      </c>
      <c r="P200">
        <f>IF($A200="","",IF(AND($B200&gt;0,C200&lt;$B200,DATE($B$1,1,1)&lt;=TODAY(),OR($O200="",$O200&gt;=DATE($B$1,1,1)),OR(COUNTIF($C200:C200,"&gt;0")&gt;0,DATE($B$1,1,1)=DATE(YEAR(TODAY()),MONTH(TODAY()),1))),1,0))</f>
        <v/>
      </c>
      <c r="Q200">
        <f>IF($A200="","",IF(AND($B200&gt;0,D200&lt;$B200,DATE($B$1,2,1)&lt;=TODAY(),OR($O200="",$O200&gt;=DATE($B$1,2,1)),OR(COUNTIF($C200:D200,"&gt;0")&gt;0,DATE($B$1,2,1)=DATE(YEAR(TODAY()),MONTH(TODAY()),1))),1,0))</f>
        <v/>
      </c>
      <c r="R200">
        <f>IF($A200="","",IF(AND($B200&gt;0,E200&lt;$B200,DATE($B$1,3,1)&lt;=TODAY(),OR($O200="",$O200&gt;=DATE($B$1,3,1)),OR(COUNTIF($C200:E200,"&gt;0")&gt;0,DATE($B$1,3,1)=DATE(YEAR(TODAY()),MONTH(TODAY()),1))),1,0))</f>
        <v/>
      </c>
      <c r="S200">
        <f>IF($A200="","",IF(AND($B200&gt;0,F200&lt;$B200,DATE($B$1,4,1)&lt;=TODAY(),OR($O200="",$O200&gt;=DATE($B$1,4,1)),OR(COUNTIF($C200:F200,"&gt;0")&gt;0,DATE($B$1,4,1)=DATE(YEAR(TODAY()),MONTH(TODAY()),1))),1,0))</f>
        <v/>
      </c>
      <c r="T200">
        <f>IF($A200="","",IF(AND($B200&gt;0,G200&lt;$B200,DATE($B$1,5,1)&lt;=TODAY(),OR($O200="",$O200&gt;=DATE($B$1,5,1)),OR(COUNTIF($C200:G200,"&gt;0")&gt;0,DATE($B$1,5,1)=DATE(YEAR(TODAY()),MONTH(TODAY()),1))),1,0))</f>
        <v/>
      </c>
      <c r="U200">
        <f>IF($A200="","",IF(AND($B200&gt;0,H200&lt;$B200,DATE($B$1,6,1)&lt;=TODAY(),OR($O200="",$O200&gt;=DATE($B$1,6,1)),OR(COUNTIF($C200:H200,"&gt;0")&gt;0,DATE($B$1,6,1)=DATE(YEAR(TODAY()),MONTH(TODAY()),1))),1,0))</f>
        <v/>
      </c>
      <c r="V200">
        <f>IF($A200="","",IF(AND($B200&gt;0,I200&lt;$B200,DATE($B$1,7,1)&lt;=TODAY(),OR($O200="",$O200&gt;=DATE($B$1,7,1)),OR(COUNTIF($C200:I200,"&gt;0")&gt;0,DATE($B$1,7,1)=DATE(YEAR(TODAY()),MONTH(TODAY()),1))),1,0))</f>
        <v/>
      </c>
      <c r="W200">
        <f>IF($A200="","",IF(AND($B200&gt;0,J200&lt;$B200,DATE($B$1,8,1)&lt;=TODAY(),OR($O200="",$O200&gt;=DATE($B$1,8,1)),OR(COUNTIF($C200:J200,"&gt;0")&gt;0,DATE($B$1,8,1)=DATE(YEAR(TODAY()),MONTH(TODAY()),1))),1,0))</f>
        <v/>
      </c>
      <c r="X200">
        <f>IF($A200="","",IF(AND($B200&gt;0,K200&lt;$B200,DATE($B$1,9,1)&lt;=TODAY(),OR($O200="",$O200&gt;=DATE($B$1,9,1)),OR(COUNTIF($C200:K200,"&gt;0")&gt;0,DATE($B$1,9,1)=DATE(YEAR(TODAY()),MONTH(TODAY()),1))),1,0))</f>
        <v/>
      </c>
      <c r="Y200">
        <f>IF($A200="","",IF(AND($B200&gt;0,L200&lt;$B200,DATE($B$1,10,1)&lt;=TODAY(),OR($O200="",$O200&gt;=DATE($B$1,10,1)),OR(COUNTIF($C200:L200,"&gt;0")&gt;0,DATE($B$1,10,1)=DATE(YEAR(TODAY()),MONTH(TODAY()),1))),1,0))</f>
        <v/>
      </c>
      <c r="Z200">
        <f>IF($A200="","",IF(AND($B200&gt;0,M200&lt;$B200,DATE($B$1,11,1)&lt;=TODAY(),OR($O200="",$O200&gt;=DATE($B$1,11,1)),OR(COUNTIF($C200:M200,"&gt;0")&gt;0,DATE($B$1,11,1)=DATE(YEAR(TODAY()),MONTH(TODAY()),1))),1,0))</f>
        <v/>
      </c>
      <c r="AA200">
        <f>IF($A200="","",IF(AND($B200&gt;0,N200&lt;$B200,DATE($B$1,12,1)&lt;=TODAY(),OR($O200="",$O200&gt;=DATE($B$1,12,1)),OR(COUNTIF($C200:N200,"&gt;0")&gt;0,DATE($B$1,12,1)=DATE(YEAR(TODAY()),MONTH(TODAY()),1))),1,0))</f>
        <v/>
      </c>
    </row>
    <row r="201">
      <c r="A201" s="13">
        <f>IF(원생!$A199="","",원생!$A199&amp;IF(원생!$G199="",""," ("&amp;원생!$G199&amp;")"))</f>
        <v/>
      </c>
      <c r="B201" s="8">
        <f>IF(원생!$A199="","",N(원생!$F199))</f>
        <v/>
      </c>
      <c r="C201" s="14">
        <f>IF(원생!$A199="","",SUMIFS(계산!$C:$C,계산!$A:$A,계산!$E199,계산!$B:$B,$B$1*100+1))</f>
        <v/>
      </c>
      <c r="D201" s="14">
        <f>IF(원생!$A199="","",SUMIFS(계산!$C:$C,계산!$A:$A,계산!$E199,계산!$B:$B,$B$1*100+2))</f>
        <v/>
      </c>
      <c r="E201" s="14">
        <f>IF(원생!$A199="","",SUMIFS(계산!$C:$C,계산!$A:$A,계산!$E199,계산!$B:$B,$B$1*100+3))</f>
        <v/>
      </c>
      <c r="F201" s="14">
        <f>IF(원생!$A199="","",SUMIFS(계산!$C:$C,계산!$A:$A,계산!$E199,계산!$B:$B,$B$1*100+4))</f>
        <v/>
      </c>
      <c r="G201" s="14">
        <f>IF(원생!$A199="","",SUMIFS(계산!$C:$C,계산!$A:$A,계산!$E199,계산!$B:$B,$B$1*100+5))</f>
        <v/>
      </c>
      <c r="H201" s="14">
        <f>IF(원생!$A199="","",SUMIFS(계산!$C:$C,계산!$A:$A,계산!$E199,계산!$B:$B,$B$1*100+6))</f>
        <v/>
      </c>
      <c r="I201" s="14">
        <f>IF(원생!$A199="","",SUMIFS(계산!$C:$C,계산!$A:$A,계산!$E199,계산!$B:$B,$B$1*100+7))</f>
        <v/>
      </c>
      <c r="J201" s="14">
        <f>IF(원생!$A199="","",SUMIFS(계산!$C:$C,계산!$A:$A,계산!$E199,계산!$B:$B,$B$1*100+8))</f>
        <v/>
      </c>
      <c r="K201" s="14">
        <f>IF(원생!$A199="","",SUMIFS(계산!$C:$C,계산!$A:$A,계산!$E199,계산!$B:$B,$B$1*100+9))</f>
        <v/>
      </c>
      <c r="L201" s="14">
        <f>IF(원생!$A199="","",SUMIFS(계산!$C:$C,계산!$A:$A,계산!$E199,계산!$B:$B,$B$1*100+10))</f>
        <v/>
      </c>
      <c r="M201" s="14">
        <f>IF(원생!$A199="","",SUMIFS(계산!$C:$C,계산!$A:$A,계산!$E199,계산!$B:$B,$B$1*100+11))</f>
        <v/>
      </c>
      <c r="N201" s="14">
        <f>IF(원생!$A199="","",SUMIFS(계산!$C:$C,계산!$A:$A,계산!$E199,계산!$B:$B,$B$1*100+12))</f>
        <v/>
      </c>
      <c r="O201">
        <f>IF(원생!$I199="","",원생!$I199)</f>
        <v/>
      </c>
      <c r="P201">
        <f>IF($A201="","",IF(AND($B201&gt;0,C201&lt;$B201,DATE($B$1,1,1)&lt;=TODAY(),OR($O201="",$O201&gt;=DATE($B$1,1,1)),OR(COUNTIF($C201:C201,"&gt;0")&gt;0,DATE($B$1,1,1)=DATE(YEAR(TODAY()),MONTH(TODAY()),1))),1,0))</f>
        <v/>
      </c>
      <c r="Q201">
        <f>IF($A201="","",IF(AND($B201&gt;0,D201&lt;$B201,DATE($B$1,2,1)&lt;=TODAY(),OR($O201="",$O201&gt;=DATE($B$1,2,1)),OR(COUNTIF($C201:D201,"&gt;0")&gt;0,DATE($B$1,2,1)=DATE(YEAR(TODAY()),MONTH(TODAY()),1))),1,0))</f>
        <v/>
      </c>
      <c r="R201">
        <f>IF($A201="","",IF(AND($B201&gt;0,E201&lt;$B201,DATE($B$1,3,1)&lt;=TODAY(),OR($O201="",$O201&gt;=DATE($B$1,3,1)),OR(COUNTIF($C201:E201,"&gt;0")&gt;0,DATE($B$1,3,1)=DATE(YEAR(TODAY()),MONTH(TODAY()),1))),1,0))</f>
        <v/>
      </c>
      <c r="S201">
        <f>IF($A201="","",IF(AND($B201&gt;0,F201&lt;$B201,DATE($B$1,4,1)&lt;=TODAY(),OR($O201="",$O201&gt;=DATE($B$1,4,1)),OR(COUNTIF($C201:F201,"&gt;0")&gt;0,DATE($B$1,4,1)=DATE(YEAR(TODAY()),MONTH(TODAY()),1))),1,0))</f>
        <v/>
      </c>
      <c r="T201">
        <f>IF($A201="","",IF(AND($B201&gt;0,G201&lt;$B201,DATE($B$1,5,1)&lt;=TODAY(),OR($O201="",$O201&gt;=DATE($B$1,5,1)),OR(COUNTIF($C201:G201,"&gt;0")&gt;0,DATE($B$1,5,1)=DATE(YEAR(TODAY()),MONTH(TODAY()),1))),1,0))</f>
        <v/>
      </c>
      <c r="U201">
        <f>IF($A201="","",IF(AND($B201&gt;0,H201&lt;$B201,DATE($B$1,6,1)&lt;=TODAY(),OR($O201="",$O201&gt;=DATE($B$1,6,1)),OR(COUNTIF($C201:H201,"&gt;0")&gt;0,DATE($B$1,6,1)=DATE(YEAR(TODAY()),MONTH(TODAY()),1))),1,0))</f>
        <v/>
      </c>
      <c r="V201">
        <f>IF($A201="","",IF(AND($B201&gt;0,I201&lt;$B201,DATE($B$1,7,1)&lt;=TODAY(),OR($O201="",$O201&gt;=DATE($B$1,7,1)),OR(COUNTIF($C201:I201,"&gt;0")&gt;0,DATE($B$1,7,1)=DATE(YEAR(TODAY()),MONTH(TODAY()),1))),1,0))</f>
        <v/>
      </c>
      <c r="W201">
        <f>IF($A201="","",IF(AND($B201&gt;0,J201&lt;$B201,DATE($B$1,8,1)&lt;=TODAY(),OR($O201="",$O201&gt;=DATE($B$1,8,1)),OR(COUNTIF($C201:J201,"&gt;0")&gt;0,DATE($B$1,8,1)=DATE(YEAR(TODAY()),MONTH(TODAY()),1))),1,0))</f>
        <v/>
      </c>
      <c r="X201">
        <f>IF($A201="","",IF(AND($B201&gt;0,K201&lt;$B201,DATE($B$1,9,1)&lt;=TODAY(),OR($O201="",$O201&gt;=DATE($B$1,9,1)),OR(COUNTIF($C201:K201,"&gt;0")&gt;0,DATE($B$1,9,1)=DATE(YEAR(TODAY()),MONTH(TODAY()),1))),1,0))</f>
        <v/>
      </c>
      <c r="Y201">
        <f>IF($A201="","",IF(AND($B201&gt;0,L201&lt;$B201,DATE($B$1,10,1)&lt;=TODAY(),OR($O201="",$O201&gt;=DATE($B$1,10,1)),OR(COUNTIF($C201:L201,"&gt;0")&gt;0,DATE($B$1,10,1)=DATE(YEAR(TODAY()),MONTH(TODAY()),1))),1,0))</f>
        <v/>
      </c>
      <c r="Z201">
        <f>IF($A201="","",IF(AND($B201&gt;0,M201&lt;$B201,DATE($B$1,11,1)&lt;=TODAY(),OR($O201="",$O201&gt;=DATE($B$1,11,1)),OR(COUNTIF($C201:M201,"&gt;0")&gt;0,DATE($B$1,11,1)=DATE(YEAR(TODAY()),MONTH(TODAY()),1))),1,0))</f>
        <v/>
      </c>
      <c r="AA201">
        <f>IF($A201="","",IF(AND($B201&gt;0,N201&lt;$B201,DATE($B$1,12,1)&lt;=TODAY(),OR($O201="",$O201&gt;=DATE($B$1,12,1)),OR(COUNTIF($C201:N201,"&gt;0")&gt;0,DATE($B$1,12,1)=DATE(YEAR(TODAY()),MONTH(TODAY()),1))),1,0))</f>
        <v/>
      </c>
    </row>
    <row r="202">
      <c r="A202" s="13">
        <f>IF(원생!$A200="","",원생!$A200&amp;IF(원생!$G200="",""," ("&amp;원생!$G200&amp;")"))</f>
        <v/>
      </c>
      <c r="B202" s="8">
        <f>IF(원생!$A200="","",N(원생!$F200))</f>
        <v/>
      </c>
      <c r="C202" s="14">
        <f>IF(원생!$A200="","",SUMIFS(계산!$C:$C,계산!$A:$A,계산!$E200,계산!$B:$B,$B$1*100+1))</f>
        <v/>
      </c>
      <c r="D202" s="14">
        <f>IF(원생!$A200="","",SUMIFS(계산!$C:$C,계산!$A:$A,계산!$E200,계산!$B:$B,$B$1*100+2))</f>
        <v/>
      </c>
      <c r="E202" s="14">
        <f>IF(원생!$A200="","",SUMIFS(계산!$C:$C,계산!$A:$A,계산!$E200,계산!$B:$B,$B$1*100+3))</f>
        <v/>
      </c>
      <c r="F202" s="14">
        <f>IF(원생!$A200="","",SUMIFS(계산!$C:$C,계산!$A:$A,계산!$E200,계산!$B:$B,$B$1*100+4))</f>
        <v/>
      </c>
      <c r="G202" s="14">
        <f>IF(원생!$A200="","",SUMIFS(계산!$C:$C,계산!$A:$A,계산!$E200,계산!$B:$B,$B$1*100+5))</f>
        <v/>
      </c>
      <c r="H202" s="14">
        <f>IF(원생!$A200="","",SUMIFS(계산!$C:$C,계산!$A:$A,계산!$E200,계산!$B:$B,$B$1*100+6))</f>
        <v/>
      </c>
      <c r="I202" s="14">
        <f>IF(원생!$A200="","",SUMIFS(계산!$C:$C,계산!$A:$A,계산!$E200,계산!$B:$B,$B$1*100+7))</f>
        <v/>
      </c>
      <c r="J202" s="14">
        <f>IF(원생!$A200="","",SUMIFS(계산!$C:$C,계산!$A:$A,계산!$E200,계산!$B:$B,$B$1*100+8))</f>
        <v/>
      </c>
      <c r="K202" s="14">
        <f>IF(원생!$A200="","",SUMIFS(계산!$C:$C,계산!$A:$A,계산!$E200,계산!$B:$B,$B$1*100+9))</f>
        <v/>
      </c>
      <c r="L202" s="14">
        <f>IF(원생!$A200="","",SUMIFS(계산!$C:$C,계산!$A:$A,계산!$E200,계산!$B:$B,$B$1*100+10))</f>
        <v/>
      </c>
      <c r="M202" s="14">
        <f>IF(원생!$A200="","",SUMIFS(계산!$C:$C,계산!$A:$A,계산!$E200,계산!$B:$B,$B$1*100+11))</f>
        <v/>
      </c>
      <c r="N202" s="14">
        <f>IF(원생!$A200="","",SUMIFS(계산!$C:$C,계산!$A:$A,계산!$E200,계산!$B:$B,$B$1*100+12))</f>
        <v/>
      </c>
      <c r="O202">
        <f>IF(원생!$I200="","",원생!$I200)</f>
        <v/>
      </c>
      <c r="P202">
        <f>IF($A202="","",IF(AND($B202&gt;0,C202&lt;$B202,DATE($B$1,1,1)&lt;=TODAY(),OR($O202="",$O202&gt;=DATE($B$1,1,1)),OR(COUNTIF($C202:C202,"&gt;0")&gt;0,DATE($B$1,1,1)=DATE(YEAR(TODAY()),MONTH(TODAY()),1))),1,0))</f>
        <v/>
      </c>
      <c r="Q202">
        <f>IF($A202="","",IF(AND($B202&gt;0,D202&lt;$B202,DATE($B$1,2,1)&lt;=TODAY(),OR($O202="",$O202&gt;=DATE($B$1,2,1)),OR(COUNTIF($C202:D202,"&gt;0")&gt;0,DATE($B$1,2,1)=DATE(YEAR(TODAY()),MONTH(TODAY()),1))),1,0))</f>
        <v/>
      </c>
      <c r="R202">
        <f>IF($A202="","",IF(AND($B202&gt;0,E202&lt;$B202,DATE($B$1,3,1)&lt;=TODAY(),OR($O202="",$O202&gt;=DATE($B$1,3,1)),OR(COUNTIF($C202:E202,"&gt;0")&gt;0,DATE($B$1,3,1)=DATE(YEAR(TODAY()),MONTH(TODAY()),1))),1,0))</f>
        <v/>
      </c>
      <c r="S202">
        <f>IF($A202="","",IF(AND($B202&gt;0,F202&lt;$B202,DATE($B$1,4,1)&lt;=TODAY(),OR($O202="",$O202&gt;=DATE($B$1,4,1)),OR(COUNTIF($C202:F202,"&gt;0")&gt;0,DATE($B$1,4,1)=DATE(YEAR(TODAY()),MONTH(TODAY()),1))),1,0))</f>
        <v/>
      </c>
      <c r="T202">
        <f>IF($A202="","",IF(AND($B202&gt;0,G202&lt;$B202,DATE($B$1,5,1)&lt;=TODAY(),OR($O202="",$O202&gt;=DATE($B$1,5,1)),OR(COUNTIF($C202:G202,"&gt;0")&gt;0,DATE($B$1,5,1)=DATE(YEAR(TODAY()),MONTH(TODAY()),1))),1,0))</f>
        <v/>
      </c>
      <c r="U202">
        <f>IF($A202="","",IF(AND($B202&gt;0,H202&lt;$B202,DATE($B$1,6,1)&lt;=TODAY(),OR($O202="",$O202&gt;=DATE($B$1,6,1)),OR(COUNTIF($C202:H202,"&gt;0")&gt;0,DATE($B$1,6,1)=DATE(YEAR(TODAY()),MONTH(TODAY()),1))),1,0))</f>
        <v/>
      </c>
      <c r="V202">
        <f>IF($A202="","",IF(AND($B202&gt;0,I202&lt;$B202,DATE($B$1,7,1)&lt;=TODAY(),OR($O202="",$O202&gt;=DATE($B$1,7,1)),OR(COUNTIF($C202:I202,"&gt;0")&gt;0,DATE($B$1,7,1)=DATE(YEAR(TODAY()),MONTH(TODAY()),1))),1,0))</f>
        <v/>
      </c>
      <c r="W202">
        <f>IF($A202="","",IF(AND($B202&gt;0,J202&lt;$B202,DATE($B$1,8,1)&lt;=TODAY(),OR($O202="",$O202&gt;=DATE($B$1,8,1)),OR(COUNTIF($C202:J202,"&gt;0")&gt;0,DATE($B$1,8,1)=DATE(YEAR(TODAY()),MONTH(TODAY()),1))),1,0))</f>
        <v/>
      </c>
      <c r="X202">
        <f>IF($A202="","",IF(AND($B202&gt;0,K202&lt;$B202,DATE($B$1,9,1)&lt;=TODAY(),OR($O202="",$O202&gt;=DATE($B$1,9,1)),OR(COUNTIF($C202:K202,"&gt;0")&gt;0,DATE($B$1,9,1)=DATE(YEAR(TODAY()),MONTH(TODAY()),1))),1,0))</f>
        <v/>
      </c>
      <c r="Y202">
        <f>IF($A202="","",IF(AND($B202&gt;0,L202&lt;$B202,DATE($B$1,10,1)&lt;=TODAY(),OR($O202="",$O202&gt;=DATE($B$1,10,1)),OR(COUNTIF($C202:L202,"&gt;0")&gt;0,DATE($B$1,10,1)=DATE(YEAR(TODAY()),MONTH(TODAY()),1))),1,0))</f>
        <v/>
      </c>
      <c r="Z202">
        <f>IF($A202="","",IF(AND($B202&gt;0,M202&lt;$B202,DATE($B$1,11,1)&lt;=TODAY(),OR($O202="",$O202&gt;=DATE($B$1,11,1)),OR(COUNTIF($C202:M202,"&gt;0")&gt;0,DATE($B$1,11,1)=DATE(YEAR(TODAY()),MONTH(TODAY()),1))),1,0))</f>
        <v/>
      </c>
      <c r="AA202">
        <f>IF($A202="","",IF(AND($B202&gt;0,N202&lt;$B202,DATE($B$1,12,1)&lt;=TODAY(),OR($O202="",$O202&gt;=DATE($B$1,12,1)),OR(COUNTIF($C202:N202,"&gt;0")&gt;0,DATE($B$1,12,1)=DATE(YEAR(TODAY()),MONTH(TODAY()),1))),1,0))</f>
        <v/>
      </c>
    </row>
    <row r="203">
      <c r="A203" s="13">
        <f>IF(원생!$A201="","",원생!$A201&amp;IF(원생!$G201="",""," ("&amp;원생!$G201&amp;")"))</f>
        <v/>
      </c>
      <c r="B203" s="8">
        <f>IF(원생!$A201="","",N(원생!$F201))</f>
        <v/>
      </c>
      <c r="C203" s="14">
        <f>IF(원생!$A201="","",SUMIFS(계산!$C:$C,계산!$A:$A,계산!$E201,계산!$B:$B,$B$1*100+1))</f>
        <v/>
      </c>
      <c r="D203" s="14">
        <f>IF(원생!$A201="","",SUMIFS(계산!$C:$C,계산!$A:$A,계산!$E201,계산!$B:$B,$B$1*100+2))</f>
        <v/>
      </c>
      <c r="E203" s="14">
        <f>IF(원생!$A201="","",SUMIFS(계산!$C:$C,계산!$A:$A,계산!$E201,계산!$B:$B,$B$1*100+3))</f>
        <v/>
      </c>
      <c r="F203" s="14">
        <f>IF(원생!$A201="","",SUMIFS(계산!$C:$C,계산!$A:$A,계산!$E201,계산!$B:$B,$B$1*100+4))</f>
        <v/>
      </c>
      <c r="G203" s="14">
        <f>IF(원생!$A201="","",SUMIFS(계산!$C:$C,계산!$A:$A,계산!$E201,계산!$B:$B,$B$1*100+5))</f>
        <v/>
      </c>
      <c r="H203" s="14">
        <f>IF(원생!$A201="","",SUMIFS(계산!$C:$C,계산!$A:$A,계산!$E201,계산!$B:$B,$B$1*100+6))</f>
        <v/>
      </c>
      <c r="I203" s="14">
        <f>IF(원생!$A201="","",SUMIFS(계산!$C:$C,계산!$A:$A,계산!$E201,계산!$B:$B,$B$1*100+7))</f>
        <v/>
      </c>
      <c r="J203" s="14">
        <f>IF(원생!$A201="","",SUMIFS(계산!$C:$C,계산!$A:$A,계산!$E201,계산!$B:$B,$B$1*100+8))</f>
        <v/>
      </c>
      <c r="K203" s="14">
        <f>IF(원생!$A201="","",SUMIFS(계산!$C:$C,계산!$A:$A,계산!$E201,계산!$B:$B,$B$1*100+9))</f>
        <v/>
      </c>
      <c r="L203" s="14">
        <f>IF(원생!$A201="","",SUMIFS(계산!$C:$C,계산!$A:$A,계산!$E201,계산!$B:$B,$B$1*100+10))</f>
        <v/>
      </c>
      <c r="M203" s="14">
        <f>IF(원생!$A201="","",SUMIFS(계산!$C:$C,계산!$A:$A,계산!$E201,계산!$B:$B,$B$1*100+11))</f>
        <v/>
      </c>
      <c r="N203" s="14">
        <f>IF(원생!$A201="","",SUMIFS(계산!$C:$C,계산!$A:$A,계산!$E201,계산!$B:$B,$B$1*100+12))</f>
        <v/>
      </c>
      <c r="O203">
        <f>IF(원생!$I201="","",원생!$I201)</f>
        <v/>
      </c>
      <c r="P203">
        <f>IF($A203="","",IF(AND($B203&gt;0,C203&lt;$B203,DATE($B$1,1,1)&lt;=TODAY(),OR($O203="",$O203&gt;=DATE($B$1,1,1)),OR(COUNTIF($C203:C203,"&gt;0")&gt;0,DATE($B$1,1,1)=DATE(YEAR(TODAY()),MONTH(TODAY()),1))),1,0))</f>
        <v/>
      </c>
      <c r="Q203">
        <f>IF($A203="","",IF(AND($B203&gt;0,D203&lt;$B203,DATE($B$1,2,1)&lt;=TODAY(),OR($O203="",$O203&gt;=DATE($B$1,2,1)),OR(COUNTIF($C203:D203,"&gt;0")&gt;0,DATE($B$1,2,1)=DATE(YEAR(TODAY()),MONTH(TODAY()),1))),1,0))</f>
        <v/>
      </c>
      <c r="R203">
        <f>IF($A203="","",IF(AND($B203&gt;0,E203&lt;$B203,DATE($B$1,3,1)&lt;=TODAY(),OR($O203="",$O203&gt;=DATE($B$1,3,1)),OR(COUNTIF($C203:E203,"&gt;0")&gt;0,DATE($B$1,3,1)=DATE(YEAR(TODAY()),MONTH(TODAY()),1))),1,0))</f>
        <v/>
      </c>
      <c r="S203">
        <f>IF($A203="","",IF(AND($B203&gt;0,F203&lt;$B203,DATE($B$1,4,1)&lt;=TODAY(),OR($O203="",$O203&gt;=DATE($B$1,4,1)),OR(COUNTIF($C203:F203,"&gt;0")&gt;0,DATE($B$1,4,1)=DATE(YEAR(TODAY()),MONTH(TODAY()),1))),1,0))</f>
        <v/>
      </c>
      <c r="T203">
        <f>IF($A203="","",IF(AND($B203&gt;0,G203&lt;$B203,DATE($B$1,5,1)&lt;=TODAY(),OR($O203="",$O203&gt;=DATE($B$1,5,1)),OR(COUNTIF($C203:G203,"&gt;0")&gt;0,DATE($B$1,5,1)=DATE(YEAR(TODAY()),MONTH(TODAY()),1))),1,0))</f>
        <v/>
      </c>
      <c r="U203">
        <f>IF($A203="","",IF(AND($B203&gt;0,H203&lt;$B203,DATE($B$1,6,1)&lt;=TODAY(),OR($O203="",$O203&gt;=DATE($B$1,6,1)),OR(COUNTIF($C203:H203,"&gt;0")&gt;0,DATE($B$1,6,1)=DATE(YEAR(TODAY()),MONTH(TODAY()),1))),1,0))</f>
        <v/>
      </c>
      <c r="V203">
        <f>IF($A203="","",IF(AND($B203&gt;0,I203&lt;$B203,DATE($B$1,7,1)&lt;=TODAY(),OR($O203="",$O203&gt;=DATE($B$1,7,1)),OR(COUNTIF($C203:I203,"&gt;0")&gt;0,DATE($B$1,7,1)=DATE(YEAR(TODAY()),MONTH(TODAY()),1))),1,0))</f>
        <v/>
      </c>
      <c r="W203">
        <f>IF($A203="","",IF(AND($B203&gt;0,J203&lt;$B203,DATE($B$1,8,1)&lt;=TODAY(),OR($O203="",$O203&gt;=DATE($B$1,8,1)),OR(COUNTIF($C203:J203,"&gt;0")&gt;0,DATE($B$1,8,1)=DATE(YEAR(TODAY()),MONTH(TODAY()),1))),1,0))</f>
        <v/>
      </c>
      <c r="X203">
        <f>IF($A203="","",IF(AND($B203&gt;0,K203&lt;$B203,DATE($B$1,9,1)&lt;=TODAY(),OR($O203="",$O203&gt;=DATE($B$1,9,1)),OR(COUNTIF($C203:K203,"&gt;0")&gt;0,DATE($B$1,9,1)=DATE(YEAR(TODAY()),MONTH(TODAY()),1))),1,0))</f>
        <v/>
      </c>
      <c r="Y203">
        <f>IF($A203="","",IF(AND($B203&gt;0,L203&lt;$B203,DATE($B$1,10,1)&lt;=TODAY(),OR($O203="",$O203&gt;=DATE($B$1,10,1)),OR(COUNTIF($C203:L203,"&gt;0")&gt;0,DATE($B$1,10,1)=DATE(YEAR(TODAY()),MONTH(TODAY()),1))),1,0))</f>
        <v/>
      </c>
      <c r="Z203">
        <f>IF($A203="","",IF(AND($B203&gt;0,M203&lt;$B203,DATE($B$1,11,1)&lt;=TODAY(),OR($O203="",$O203&gt;=DATE($B$1,11,1)),OR(COUNTIF($C203:M203,"&gt;0")&gt;0,DATE($B$1,11,1)=DATE(YEAR(TODAY()),MONTH(TODAY()),1))),1,0))</f>
        <v/>
      </c>
      <c r="AA203">
        <f>IF($A203="","",IF(AND($B203&gt;0,N203&lt;$B203,DATE($B$1,12,1)&lt;=TODAY(),OR($O203="",$O203&gt;=DATE($B$1,12,1)),OR(COUNTIF($C203:N203,"&gt;0")&gt;0,DATE($B$1,12,1)=DATE(YEAR(TODAY()),MONTH(TODAY()),1))),1,0))</f>
        <v/>
      </c>
    </row>
    <row r="204">
      <c r="A204" s="13">
        <f>IF(원생!$A202="","",원생!$A202&amp;IF(원생!$G202="",""," ("&amp;원생!$G202&amp;")"))</f>
        <v/>
      </c>
      <c r="B204" s="8">
        <f>IF(원생!$A202="","",N(원생!$F202))</f>
        <v/>
      </c>
      <c r="C204" s="14">
        <f>IF(원생!$A202="","",SUMIFS(계산!$C:$C,계산!$A:$A,계산!$E202,계산!$B:$B,$B$1*100+1))</f>
        <v/>
      </c>
      <c r="D204" s="14">
        <f>IF(원생!$A202="","",SUMIFS(계산!$C:$C,계산!$A:$A,계산!$E202,계산!$B:$B,$B$1*100+2))</f>
        <v/>
      </c>
      <c r="E204" s="14">
        <f>IF(원생!$A202="","",SUMIFS(계산!$C:$C,계산!$A:$A,계산!$E202,계산!$B:$B,$B$1*100+3))</f>
        <v/>
      </c>
      <c r="F204" s="14">
        <f>IF(원생!$A202="","",SUMIFS(계산!$C:$C,계산!$A:$A,계산!$E202,계산!$B:$B,$B$1*100+4))</f>
        <v/>
      </c>
      <c r="G204" s="14">
        <f>IF(원생!$A202="","",SUMIFS(계산!$C:$C,계산!$A:$A,계산!$E202,계산!$B:$B,$B$1*100+5))</f>
        <v/>
      </c>
      <c r="H204" s="14">
        <f>IF(원생!$A202="","",SUMIFS(계산!$C:$C,계산!$A:$A,계산!$E202,계산!$B:$B,$B$1*100+6))</f>
        <v/>
      </c>
      <c r="I204" s="14">
        <f>IF(원생!$A202="","",SUMIFS(계산!$C:$C,계산!$A:$A,계산!$E202,계산!$B:$B,$B$1*100+7))</f>
        <v/>
      </c>
      <c r="J204" s="14">
        <f>IF(원생!$A202="","",SUMIFS(계산!$C:$C,계산!$A:$A,계산!$E202,계산!$B:$B,$B$1*100+8))</f>
        <v/>
      </c>
      <c r="K204" s="14">
        <f>IF(원생!$A202="","",SUMIFS(계산!$C:$C,계산!$A:$A,계산!$E202,계산!$B:$B,$B$1*100+9))</f>
        <v/>
      </c>
      <c r="L204" s="14">
        <f>IF(원생!$A202="","",SUMIFS(계산!$C:$C,계산!$A:$A,계산!$E202,계산!$B:$B,$B$1*100+10))</f>
        <v/>
      </c>
      <c r="M204" s="14">
        <f>IF(원생!$A202="","",SUMIFS(계산!$C:$C,계산!$A:$A,계산!$E202,계산!$B:$B,$B$1*100+11))</f>
        <v/>
      </c>
      <c r="N204" s="14">
        <f>IF(원생!$A202="","",SUMIFS(계산!$C:$C,계산!$A:$A,계산!$E202,계산!$B:$B,$B$1*100+12))</f>
        <v/>
      </c>
      <c r="O204">
        <f>IF(원생!$I202="","",원생!$I202)</f>
        <v/>
      </c>
      <c r="P204">
        <f>IF($A204="","",IF(AND($B204&gt;0,C204&lt;$B204,DATE($B$1,1,1)&lt;=TODAY(),OR($O204="",$O204&gt;=DATE($B$1,1,1)),OR(COUNTIF($C204:C204,"&gt;0")&gt;0,DATE($B$1,1,1)=DATE(YEAR(TODAY()),MONTH(TODAY()),1))),1,0))</f>
        <v/>
      </c>
      <c r="Q204">
        <f>IF($A204="","",IF(AND($B204&gt;0,D204&lt;$B204,DATE($B$1,2,1)&lt;=TODAY(),OR($O204="",$O204&gt;=DATE($B$1,2,1)),OR(COUNTIF($C204:D204,"&gt;0")&gt;0,DATE($B$1,2,1)=DATE(YEAR(TODAY()),MONTH(TODAY()),1))),1,0))</f>
        <v/>
      </c>
      <c r="R204">
        <f>IF($A204="","",IF(AND($B204&gt;0,E204&lt;$B204,DATE($B$1,3,1)&lt;=TODAY(),OR($O204="",$O204&gt;=DATE($B$1,3,1)),OR(COUNTIF($C204:E204,"&gt;0")&gt;0,DATE($B$1,3,1)=DATE(YEAR(TODAY()),MONTH(TODAY()),1))),1,0))</f>
        <v/>
      </c>
      <c r="S204">
        <f>IF($A204="","",IF(AND($B204&gt;0,F204&lt;$B204,DATE($B$1,4,1)&lt;=TODAY(),OR($O204="",$O204&gt;=DATE($B$1,4,1)),OR(COUNTIF($C204:F204,"&gt;0")&gt;0,DATE($B$1,4,1)=DATE(YEAR(TODAY()),MONTH(TODAY()),1))),1,0))</f>
        <v/>
      </c>
      <c r="T204">
        <f>IF($A204="","",IF(AND($B204&gt;0,G204&lt;$B204,DATE($B$1,5,1)&lt;=TODAY(),OR($O204="",$O204&gt;=DATE($B$1,5,1)),OR(COUNTIF($C204:G204,"&gt;0")&gt;0,DATE($B$1,5,1)=DATE(YEAR(TODAY()),MONTH(TODAY()),1))),1,0))</f>
        <v/>
      </c>
      <c r="U204">
        <f>IF($A204="","",IF(AND($B204&gt;0,H204&lt;$B204,DATE($B$1,6,1)&lt;=TODAY(),OR($O204="",$O204&gt;=DATE($B$1,6,1)),OR(COUNTIF($C204:H204,"&gt;0")&gt;0,DATE($B$1,6,1)=DATE(YEAR(TODAY()),MONTH(TODAY()),1))),1,0))</f>
        <v/>
      </c>
      <c r="V204">
        <f>IF($A204="","",IF(AND($B204&gt;0,I204&lt;$B204,DATE($B$1,7,1)&lt;=TODAY(),OR($O204="",$O204&gt;=DATE($B$1,7,1)),OR(COUNTIF($C204:I204,"&gt;0")&gt;0,DATE($B$1,7,1)=DATE(YEAR(TODAY()),MONTH(TODAY()),1))),1,0))</f>
        <v/>
      </c>
      <c r="W204">
        <f>IF($A204="","",IF(AND($B204&gt;0,J204&lt;$B204,DATE($B$1,8,1)&lt;=TODAY(),OR($O204="",$O204&gt;=DATE($B$1,8,1)),OR(COUNTIF($C204:J204,"&gt;0")&gt;0,DATE($B$1,8,1)=DATE(YEAR(TODAY()),MONTH(TODAY()),1))),1,0))</f>
        <v/>
      </c>
      <c r="X204">
        <f>IF($A204="","",IF(AND($B204&gt;0,K204&lt;$B204,DATE($B$1,9,1)&lt;=TODAY(),OR($O204="",$O204&gt;=DATE($B$1,9,1)),OR(COUNTIF($C204:K204,"&gt;0")&gt;0,DATE($B$1,9,1)=DATE(YEAR(TODAY()),MONTH(TODAY()),1))),1,0))</f>
        <v/>
      </c>
      <c r="Y204">
        <f>IF($A204="","",IF(AND($B204&gt;0,L204&lt;$B204,DATE($B$1,10,1)&lt;=TODAY(),OR($O204="",$O204&gt;=DATE($B$1,10,1)),OR(COUNTIF($C204:L204,"&gt;0")&gt;0,DATE($B$1,10,1)=DATE(YEAR(TODAY()),MONTH(TODAY()),1))),1,0))</f>
        <v/>
      </c>
      <c r="Z204">
        <f>IF($A204="","",IF(AND($B204&gt;0,M204&lt;$B204,DATE($B$1,11,1)&lt;=TODAY(),OR($O204="",$O204&gt;=DATE($B$1,11,1)),OR(COUNTIF($C204:M204,"&gt;0")&gt;0,DATE($B$1,11,1)=DATE(YEAR(TODAY()),MONTH(TODAY()),1))),1,0))</f>
        <v/>
      </c>
      <c r="AA204">
        <f>IF($A204="","",IF(AND($B204&gt;0,N204&lt;$B204,DATE($B$1,12,1)&lt;=TODAY(),OR($O204="",$O204&gt;=DATE($B$1,12,1)),OR(COUNTIF($C204:N204,"&gt;0")&gt;0,DATE($B$1,12,1)=DATE(YEAR(TODAY()),MONTH(TODAY()),1))),1,0))</f>
        <v/>
      </c>
    </row>
    <row r="205">
      <c r="A205" s="13">
        <f>IF(원생!$A203="","",원생!$A203&amp;IF(원생!$G203="",""," ("&amp;원생!$G203&amp;")"))</f>
        <v/>
      </c>
      <c r="B205" s="8">
        <f>IF(원생!$A203="","",N(원생!$F203))</f>
        <v/>
      </c>
      <c r="C205" s="14">
        <f>IF(원생!$A203="","",SUMIFS(계산!$C:$C,계산!$A:$A,계산!$E203,계산!$B:$B,$B$1*100+1))</f>
        <v/>
      </c>
      <c r="D205" s="14">
        <f>IF(원생!$A203="","",SUMIFS(계산!$C:$C,계산!$A:$A,계산!$E203,계산!$B:$B,$B$1*100+2))</f>
        <v/>
      </c>
      <c r="E205" s="14">
        <f>IF(원생!$A203="","",SUMIFS(계산!$C:$C,계산!$A:$A,계산!$E203,계산!$B:$B,$B$1*100+3))</f>
        <v/>
      </c>
      <c r="F205" s="14">
        <f>IF(원생!$A203="","",SUMIFS(계산!$C:$C,계산!$A:$A,계산!$E203,계산!$B:$B,$B$1*100+4))</f>
        <v/>
      </c>
      <c r="G205" s="14">
        <f>IF(원생!$A203="","",SUMIFS(계산!$C:$C,계산!$A:$A,계산!$E203,계산!$B:$B,$B$1*100+5))</f>
        <v/>
      </c>
      <c r="H205" s="14">
        <f>IF(원생!$A203="","",SUMIFS(계산!$C:$C,계산!$A:$A,계산!$E203,계산!$B:$B,$B$1*100+6))</f>
        <v/>
      </c>
      <c r="I205" s="14">
        <f>IF(원생!$A203="","",SUMIFS(계산!$C:$C,계산!$A:$A,계산!$E203,계산!$B:$B,$B$1*100+7))</f>
        <v/>
      </c>
      <c r="J205" s="14">
        <f>IF(원생!$A203="","",SUMIFS(계산!$C:$C,계산!$A:$A,계산!$E203,계산!$B:$B,$B$1*100+8))</f>
        <v/>
      </c>
      <c r="K205" s="14">
        <f>IF(원생!$A203="","",SUMIFS(계산!$C:$C,계산!$A:$A,계산!$E203,계산!$B:$B,$B$1*100+9))</f>
        <v/>
      </c>
      <c r="L205" s="14">
        <f>IF(원생!$A203="","",SUMIFS(계산!$C:$C,계산!$A:$A,계산!$E203,계산!$B:$B,$B$1*100+10))</f>
        <v/>
      </c>
      <c r="M205" s="14">
        <f>IF(원생!$A203="","",SUMIFS(계산!$C:$C,계산!$A:$A,계산!$E203,계산!$B:$B,$B$1*100+11))</f>
        <v/>
      </c>
      <c r="N205" s="14">
        <f>IF(원생!$A203="","",SUMIFS(계산!$C:$C,계산!$A:$A,계산!$E203,계산!$B:$B,$B$1*100+12))</f>
        <v/>
      </c>
      <c r="O205">
        <f>IF(원생!$I203="","",원생!$I203)</f>
        <v/>
      </c>
      <c r="P205">
        <f>IF($A205="","",IF(AND($B205&gt;0,C205&lt;$B205,DATE($B$1,1,1)&lt;=TODAY(),OR($O205="",$O205&gt;=DATE($B$1,1,1)),OR(COUNTIF($C205:C205,"&gt;0")&gt;0,DATE($B$1,1,1)=DATE(YEAR(TODAY()),MONTH(TODAY()),1))),1,0))</f>
        <v/>
      </c>
      <c r="Q205">
        <f>IF($A205="","",IF(AND($B205&gt;0,D205&lt;$B205,DATE($B$1,2,1)&lt;=TODAY(),OR($O205="",$O205&gt;=DATE($B$1,2,1)),OR(COUNTIF($C205:D205,"&gt;0")&gt;0,DATE($B$1,2,1)=DATE(YEAR(TODAY()),MONTH(TODAY()),1))),1,0))</f>
        <v/>
      </c>
      <c r="R205">
        <f>IF($A205="","",IF(AND($B205&gt;0,E205&lt;$B205,DATE($B$1,3,1)&lt;=TODAY(),OR($O205="",$O205&gt;=DATE($B$1,3,1)),OR(COUNTIF($C205:E205,"&gt;0")&gt;0,DATE($B$1,3,1)=DATE(YEAR(TODAY()),MONTH(TODAY()),1))),1,0))</f>
        <v/>
      </c>
      <c r="S205">
        <f>IF($A205="","",IF(AND($B205&gt;0,F205&lt;$B205,DATE($B$1,4,1)&lt;=TODAY(),OR($O205="",$O205&gt;=DATE($B$1,4,1)),OR(COUNTIF($C205:F205,"&gt;0")&gt;0,DATE($B$1,4,1)=DATE(YEAR(TODAY()),MONTH(TODAY()),1))),1,0))</f>
        <v/>
      </c>
      <c r="T205">
        <f>IF($A205="","",IF(AND($B205&gt;0,G205&lt;$B205,DATE($B$1,5,1)&lt;=TODAY(),OR($O205="",$O205&gt;=DATE($B$1,5,1)),OR(COUNTIF($C205:G205,"&gt;0")&gt;0,DATE($B$1,5,1)=DATE(YEAR(TODAY()),MONTH(TODAY()),1))),1,0))</f>
        <v/>
      </c>
      <c r="U205">
        <f>IF($A205="","",IF(AND($B205&gt;0,H205&lt;$B205,DATE($B$1,6,1)&lt;=TODAY(),OR($O205="",$O205&gt;=DATE($B$1,6,1)),OR(COUNTIF($C205:H205,"&gt;0")&gt;0,DATE($B$1,6,1)=DATE(YEAR(TODAY()),MONTH(TODAY()),1))),1,0))</f>
        <v/>
      </c>
      <c r="V205">
        <f>IF($A205="","",IF(AND($B205&gt;0,I205&lt;$B205,DATE($B$1,7,1)&lt;=TODAY(),OR($O205="",$O205&gt;=DATE($B$1,7,1)),OR(COUNTIF($C205:I205,"&gt;0")&gt;0,DATE($B$1,7,1)=DATE(YEAR(TODAY()),MONTH(TODAY()),1))),1,0))</f>
        <v/>
      </c>
      <c r="W205">
        <f>IF($A205="","",IF(AND($B205&gt;0,J205&lt;$B205,DATE($B$1,8,1)&lt;=TODAY(),OR($O205="",$O205&gt;=DATE($B$1,8,1)),OR(COUNTIF($C205:J205,"&gt;0")&gt;0,DATE($B$1,8,1)=DATE(YEAR(TODAY()),MONTH(TODAY()),1))),1,0))</f>
        <v/>
      </c>
      <c r="X205">
        <f>IF($A205="","",IF(AND($B205&gt;0,K205&lt;$B205,DATE($B$1,9,1)&lt;=TODAY(),OR($O205="",$O205&gt;=DATE($B$1,9,1)),OR(COUNTIF($C205:K205,"&gt;0")&gt;0,DATE($B$1,9,1)=DATE(YEAR(TODAY()),MONTH(TODAY()),1))),1,0))</f>
        <v/>
      </c>
      <c r="Y205">
        <f>IF($A205="","",IF(AND($B205&gt;0,L205&lt;$B205,DATE($B$1,10,1)&lt;=TODAY(),OR($O205="",$O205&gt;=DATE($B$1,10,1)),OR(COUNTIF($C205:L205,"&gt;0")&gt;0,DATE($B$1,10,1)=DATE(YEAR(TODAY()),MONTH(TODAY()),1))),1,0))</f>
        <v/>
      </c>
      <c r="Z205">
        <f>IF($A205="","",IF(AND($B205&gt;0,M205&lt;$B205,DATE($B$1,11,1)&lt;=TODAY(),OR($O205="",$O205&gt;=DATE($B$1,11,1)),OR(COUNTIF($C205:M205,"&gt;0")&gt;0,DATE($B$1,11,1)=DATE(YEAR(TODAY()),MONTH(TODAY()),1))),1,0))</f>
        <v/>
      </c>
      <c r="AA205">
        <f>IF($A205="","",IF(AND($B205&gt;0,N205&lt;$B205,DATE($B$1,12,1)&lt;=TODAY(),OR($O205="",$O205&gt;=DATE($B$1,12,1)),OR(COUNTIF($C205:N205,"&gt;0")&gt;0,DATE($B$1,12,1)=DATE(YEAR(TODAY()),MONTH(TODAY()),1))),1,0))</f>
        <v/>
      </c>
    </row>
    <row r="206">
      <c r="A206" s="13">
        <f>IF(원생!$A204="","",원생!$A204&amp;IF(원생!$G204="",""," ("&amp;원생!$G204&amp;")"))</f>
        <v/>
      </c>
      <c r="B206" s="8">
        <f>IF(원생!$A204="","",N(원생!$F204))</f>
        <v/>
      </c>
      <c r="C206" s="14">
        <f>IF(원생!$A204="","",SUMIFS(계산!$C:$C,계산!$A:$A,계산!$E204,계산!$B:$B,$B$1*100+1))</f>
        <v/>
      </c>
      <c r="D206" s="14">
        <f>IF(원생!$A204="","",SUMIFS(계산!$C:$C,계산!$A:$A,계산!$E204,계산!$B:$B,$B$1*100+2))</f>
        <v/>
      </c>
      <c r="E206" s="14">
        <f>IF(원생!$A204="","",SUMIFS(계산!$C:$C,계산!$A:$A,계산!$E204,계산!$B:$B,$B$1*100+3))</f>
        <v/>
      </c>
      <c r="F206" s="14">
        <f>IF(원생!$A204="","",SUMIFS(계산!$C:$C,계산!$A:$A,계산!$E204,계산!$B:$B,$B$1*100+4))</f>
        <v/>
      </c>
      <c r="G206" s="14">
        <f>IF(원생!$A204="","",SUMIFS(계산!$C:$C,계산!$A:$A,계산!$E204,계산!$B:$B,$B$1*100+5))</f>
        <v/>
      </c>
      <c r="H206" s="14">
        <f>IF(원생!$A204="","",SUMIFS(계산!$C:$C,계산!$A:$A,계산!$E204,계산!$B:$B,$B$1*100+6))</f>
        <v/>
      </c>
      <c r="I206" s="14">
        <f>IF(원생!$A204="","",SUMIFS(계산!$C:$C,계산!$A:$A,계산!$E204,계산!$B:$B,$B$1*100+7))</f>
        <v/>
      </c>
      <c r="J206" s="14">
        <f>IF(원생!$A204="","",SUMIFS(계산!$C:$C,계산!$A:$A,계산!$E204,계산!$B:$B,$B$1*100+8))</f>
        <v/>
      </c>
      <c r="K206" s="14">
        <f>IF(원생!$A204="","",SUMIFS(계산!$C:$C,계산!$A:$A,계산!$E204,계산!$B:$B,$B$1*100+9))</f>
        <v/>
      </c>
      <c r="L206" s="14">
        <f>IF(원생!$A204="","",SUMIFS(계산!$C:$C,계산!$A:$A,계산!$E204,계산!$B:$B,$B$1*100+10))</f>
        <v/>
      </c>
      <c r="M206" s="14">
        <f>IF(원생!$A204="","",SUMIFS(계산!$C:$C,계산!$A:$A,계산!$E204,계산!$B:$B,$B$1*100+11))</f>
        <v/>
      </c>
      <c r="N206" s="14">
        <f>IF(원생!$A204="","",SUMIFS(계산!$C:$C,계산!$A:$A,계산!$E204,계산!$B:$B,$B$1*100+12))</f>
        <v/>
      </c>
      <c r="O206">
        <f>IF(원생!$I204="","",원생!$I204)</f>
        <v/>
      </c>
      <c r="P206">
        <f>IF($A206="","",IF(AND($B206&gt;0,C206&lt;$B206,DATE($B$1,1,1)&lt;=TODAY(),OR($O206="",$O206&gt;=DATE($B$1,1,1)),OR(COUNTIF($C206:C206,"&gt;0")&gt;0,DATE($B$1,1,1)=DATE(YEAR(TODAY()),MONTH(TODAY()),1))),1,0))</f>
        <v/>
      </c>
      <c r="Q206">
        <f>IF($A206="","",IF(AND($B206&gt;0,D206&lt;$B206,DATE($B$1,2,1)&lt;=TODAY(),OR($O206="",$O206&gt;=DATE($B$1,2,1)),OR(COUNTIF($C206:D206,"&gt;0")&gt;0,DATE($B$1,2,1)=DATE(YEAR(TODAY()),MONTH(TODAY()),1))),1,0))</f>
        <v/>
      </c>
      <c r="R206">
        <f>IF($A206="","",IF(AND($B206&gt;0,E206&lt;$B206,DATE($B$1,3,1)&lt;=TODAY(),OR($O206="",$O206&gt;=DATE($B$1,3,1)),OR(COUNTIF($C206:E206,"&gt;0")&gt;0,DATE($B$1,3,1)=DATE(YEAR(TODAY()),MONTH(TODAY()),1))),1,0))</f>
        <v/>
      </c>
      <c r="S206">
        <f>IF($A206="","",IF(AND($B206&gt;0,F206&lt;$B206,DATE($B$1,4,1)&lt;=TODAY(),OR($O206="",$O206&gt;=DATE($B$1,4,1)),OR(COUNTIF($C206:F206,"&gt;0")&gt;0,DATE($B$1,4,1)=DATE(YEAR(TODAY()),MONTH(TODAY()),1))),1,0))</f>
        <v/>
      </c>
      <c r="T206">
        <f>IF($A206="","",IF(AND($B206&gt;0,G206&lt;$B206,DATE($B$1,5,1)&lt;=TODAY(),OR($O206="",$O206&gt;=DATE($B$1,5,1)),OR(COUNTIF($C206:G206,"&gt;0")&gt;0,DATE($B$1,5,1)=DATE(YEAR(TODAY()),MONTH(TODAY()),1))),1,0))</f>
        <v/>
      </c>
      <c r="U206">
        <f>IF($A206="","",IF(AND($B206&gt;0,H206&lt;$B206,DATE($B$1,6,1)&lt;=TODAY(),OR($O206="",$O206&gt;=DATE($B$1,6,1)),OR(COUNTIF($C206:H206,"&gt;0")&gt;0,DATE($B$1,6,1)=DATE(YEAR(TODAY()),MONTH(TODAY()),1))),1,0))</f>
        <v/>
      </c>
      <c r="V206">
        <f>IF($A206="","",IF(AND($B206&gt;0,I206&lt;$B206,DATE($B$1,7,1)&lt;=TODAY(),OR($O206="",$O206&gt;=DATE($B$1,7,1)),OR(COUNTIF($C206:I206,"&gt;0")&gt;0,DATE($B$1,7,1)=DATE(YEAR(TODAY()),MONTH(TODAY()),1))),1,0))</f>
        <v/>
      </c>
      <c r="W206">
        <f>IF($A206="","",IF(AND($B206&gt;0,J206&lt;$B206,DATE($B$1,8,1)&lt;=TODAY(),OR($O206="",$O206&gt;=DATE($B$1,8,1)),OR(COUNTIF($C206:J206,"&gt;0")&gt;0,DATE($B$1,8,1)=DATE(YEAR(TODAY()),MONTH(TODAY()),1))),1,0))</f>
        <v/>
      </c>
      <c r="X206">
        <f>IF($A206="","",IF(AND($B206&gt;0,K206&lt;$B206,DATE($B$1,9,1)&lt;=TODAY(),OR($O206="",$O206&gt;=DATE($B$1,9,1)),OR(COUNTIF($C206:K206,"&gt;0")&gt;0,DATE($B$1,9,1)=DATE(YEAR(TODAY()),MONTH(TODAY()),1))),1,0))</f>
        <v/>
      </c>
      <c r="Y206">
        <f>IF($A206="","",IF(AND($B206&gt;0,L206&lt;$B206,DATE($B$1,10,1)&lt;=TODAY(),OR($O206="",$O206&gt;=DATE($B$1,10,1)),OR(COUNTIF($C206:L206,"&gt;0")&gt;0,DATE($B$1,10,1)=DATE(YEAR(TODAY()),MONTH(TODAY()),1))),1,0))</f>
        <v/>
      </c>
      <c r="Z206">
        <f>IF($A206="","",IF(AND($B206&gt;0,M206&lt;$B206,DATE($B$1,11,1)&lt;=TODAY(),OR($O206="",$O206&gt;=DATE($B$1,11,1)),OR(COUNTIF($C206:M206,"&gt;0")&gt;0,DATE($B$1,11,1)=DATE(YEAR(TODAY()),MONTH(TODAY()),1))),1,0))</f>
        <v/>
      </c>
      <c r="AA206">
        <f>IF($A206="","",IF(AND($B206&gt;0,N206&lt;$B206,DATE($B$1,12,1)&lt;=TODAY(),OR($O206="",$O206&gt;=DATE($B$1,12,1)),OR(COUNTIF($C206:N206,"&gt;0")&gt;0,DATE($B$1,12,1)=DATE(YEAR(TODAY()),MONTH(TODAY()),1))),1,0))</f>
        <v/>
      </c>
    </row>
    <row r="207">
      <c r="A207" s="13">
        <f>IF(원생!$A205="","",원생!$A205&amp;IF(원생!$G205="",""," ("&amp;원생!$G205&amp;")"))</f>
        <v/>
      </c>
      <c r="B207" s="8">
        <f>IF(원생!$A205="","",N(원생!$F205))</f>
        <v/>
      </c>
      <c r="C207" s="14">
        <f>IF(원생!$A205="","",SUMIFS(계산!$C:$C,계산!$A:$A,계산!$E205,계산!$B:$B,$B$1*100+1))</f>
        <v/>
      </c>
      <c r="D207" s="14">
        <f>IF(원생!$A205="","",SUMIFS(계산!$C:$C,계산!$A:$A,계산!$E205,계산!$B:$B,$B$1*100+2))</f>
        <v/>
      </c>
      <c r="E207" s="14">
        <f>IF(원생!$A205="","",SUMIFS(계산!$C:$C,계산!$A:$A,계산!$E205,계산!$B:$B,$B$1*100+3))</f>
        <v/>
      </c>
      <c r="F207" s="14">
        <f>IF(원생!$A205="","",SUMIFS(계산!$C:$C,계산!$A:$A,계산!$E205,계산!$B:$B,$B$1*100+4))</f>
        <v/>
      </c>
      <c r="G207" s="14">
        <f>IF(원생!$A205="","",SUMIFS(계산!$C:$C,계산!$A:$A,계산!$E205,계산!$B:$B,$B$1*100+5))</f>
        <v/>
      </c>
      <c r="H207" s="14">
        <f>IF(원생!$A205="","",SUMIFS(계산!$C:$C,계산!$A:$A,계산!$E205,계산!$B:$B,$B$1*100+6))</f>
        <v/>
      </c>
      <c r="I207" s="14">
        <f>IF(원생!$A205="","",SUMIFS(계산!$C:$C,계산!$A:$A,계산!$E205,계산!$B:$B,$B$1*100+7))</f>
        <v/>
      </c>
      <c r="J207" s="14">
        <f>IF(원생!$A205="","",SUMIFS(계산!$C:$C,계산!$A:$A,계산!$E205,계산!$B:$B,$B$1*100+8))</f>
        <v/>
      </c>
      <c r="K207" s="14">
        <f>IF(원생!$A205="","",SUMIFS(계산!$C:$C,계산!$A:$A,계산!$E205,계산!$B:$B,$B$1*100+9))</f>
        <v/>
      </c>
      <c r="L207" s="14">
        <f>IF(원생!$A205="","",SUMIFS(계산!$C:$C,계산!$A:$A,계산!$E205,계산!$B:$B,$B$1*100+10))</f>
        <v/>
      </c>
      <c r="M207" s="14">
        <f>IF(원생!$A205="","",SUMIFS(계산!$C:$C,계산!$A:$A,계산!$E205,계산!$B:$B,$B$1*100+11))</f>
        <v/>
      </c>
      <c r="N207" s="14">
        <f>IF(원생!$A205="","",SUMIFS(계산!$C:$C,계산!$A:$A,계산!$E205,계산!$B:$B,$B$1*100+12))</f>
        <v/>
      </c>
      <c r="O207">
        <f>IF(원생!$I205="","",원생!$I205)</f>
        <v/>
      </c>
      <c r="P207">
        <f>IF($A207="","",IF(AND($B207&gt;0,C207&lt;$B207,DATE($B$1,1,1)&lt;=TODAY(),OR($O207="",$O207&gt;=DATE($B$1,1,1)),OR(COUNTIF($C207:C207,"&gt;0")&gt;0,DATE($B$1,1,1)=DATE(YEAR(TODAY()),MONTH(TODAY()),1))),1,0))</f>
        <v/>
      </c>
      <c r="Q207">
        <f>IF($A207="","",IF(AND($B207&gt;0,D207&lt;$B207,DATE($B$1,2,1)&lt;=TODAY(),OR($O207="",$O207&gt;=DATE($B$1,2,1)),OR(COUNTIF($C207:D207,"&gt;0")&gt;0,DATE($B$1,2,1)=DATE(YEAR(TODAY()),MONTH(TODAY()),1))),1,0))</f>
        <v/>
      </c>
      <c r="R207">
        <f>IF($A207="","",IF(AND($B207&gt;0,E207&lt;$B207,DATE($B$1,3,1)&lt;=TODAY(),OR($O207="",$O207&gt;=DATE($B$1,3,1)),OR(COUNTIF($C207:E207,"&gt;0")&gt;0,DATE($B$1,3,1)=DATE(YEAR(TODAY()),MONTH(TODAY()),1))),1,0))</f>
        <v/>
      </c>
      <c r="S207">
        <f>IF($A207="","",IF(AND($B207&gt;0,F207&lt;$B207,DATE($B$1,4,1)&lt;=TODAY(),OR($O207="",$O207&gt;=DATE($B$1,4,1)),OR(COUNTIF($C207:F207,"&gt;0")&gt;0,DATE($B$1,4,1)=DATE(YEAR(TODAY()),MONTH(TODAY()),1))),1,0))</f>
        <v/>
      </c>
      <c r="T207">
        <f>IF($A207="","",IF(AND($B207&gt;0,G207&lt;$B207,DATE($B$1,5,1)&lt;=TODAY(),OR($O207="",$O207&gt;=DATE($B$1,5,1)),OR(COUNTIF($C207:G207,"&gt;0")&gt;0,DATE($B$1,5,1)=DATE(YEAR(TODAY()),MONTH(TODAY()),1))),1,0))</f>
        <v/>
      </c>
      <c r="U207">
        <f>IF($A207="","",IF(AND($B207&gt;0,H207&lt;$B207,DATE($B$1,6,1)&lt;=TODAY(),OR($O207="",$O207&gt;=DATE($B$1,6,1)),OR(COUNTIF($C207:H207,"&gt;0")&gt;0,DATE($B$1,6,1)=DATE(YEAR(TODAY()),MONTH(TODAY()),1))),1,0))</f>
        <v/>
      </c>
      <c r="V207">
        <f>IF($A207="","",IF(AND($B207&gt;0,I207&lt;$B207,DATE($B$1,7,1)&lt;=TODAY(),OR($O207="",$O207&gt;=DATE($B$1,7,1)),OR(COUNTIF($C207:I207,"&gt;0")&gt;0,DATE($B$1,7,1)=DATE(YEAR(TODAY()),MONTH(TODAY()),1))),1,0))</f>
        <v/>
      </c>
      <c r="W207">
        <f>IF($A207="","",IF(AND($B207&gt;0,J207&lt;$B207,DATE($B$1,8,1)&lt;=TODAY(),OR($O207="",$O207&gt;=DATE($B$1,8,1)),OR(COUNTIF($C207:J207,"&gt;0")&gt;0,DATE($B$1,8,1)=DATE(YEAR(TODAY()),MONTH(TODAY()),1))),1,0))</f>
        <v/>
      </c>
      <c r="X207">
        <f>IF($A207="","",IF(AND($B207&gt;0,K207&lt;$B207,DATE($B$1,9,1)&lt;=TODAY(),OR($O207="",$O207&gt;=DATE($B$1,9,1)),OR(COUNTIF($C207:K207,"&gt;0")&gt;0,DATE($B$1,9,1)=DATE(YEAR(TODAY()),MONTH(TODAY()),1))),1,0))</f>
        <v/>
      </c>
      <c r="Y207">
        <f>IF($A207="","",IF(AND($B207&gt;0,L207&lt;$B207,DATE($B$1,10,1)&lt;=TODAY(),OR($O207="",$O207&gt;=DATE($B$1,10,1)),OR(COUNTIF($C207:L207,"&gt;0")&gt;0,DATE($B$1,10,1)=DATE(YEAR(TODAY()),MONTH(TODAY()),1))),1,0))</f>
        <v/>
      </c>
      <c r="Z207">
        <f>IF($A207="","",IF(AND($B207&gt;0,M207&lt;$B207,DATE($B$1,11,1)&lt;=TODAY(),OR($O207="",$O207&gt;=DATE($B$1,11,1)),OR(COUNTIF($C207:M207,"&gt;0")&gt;0,DATE($B$1,11,1)=DATE(YEAR(TODAY()),MONTH(TODAY()),1))),1,0))</f>
        <v/>
      </c>
      <c r="AA207">
        <f>IF($A207="","",IF(AND($B207&gt;0,N207&lt;$B207,DATE($B$1,12,1)&lt;=TODAY(),OR($O207="",$O207&gt;=DATE($B$1,12,1)),OR(COUNTIF($C207:N207,"&gt;0")&gt;0,DATE($B$1,12,1)=DATE(YEAR(TODAY()),MONTH(TODAY()),1))),1,0))</f>
        <v/>
      </c>
    </row>
    <row r="208">
      <c r="A208" s="13">
        <f>IF(원생!$A206="","",원생!$A206&amp;IF(원생!$G206="",""," ("&amp;원생!$G206&amp;")"))</f>
        <v/>
      </c>
      <c r="B208" s="8">
        <f>IF(원생!$A206="","",N(원생!$F206))</f>
        <v/>
      </c>
      <c r="C208" s="14">
        <f>IF(원생!$A206="","",SUMIFS(계산!$C:$C,계산!$A:$A,계산!$E206,계산!$B:$B,$B$1*100+1))</f>
        <v/>
      </c>
      <c r="D208" s="14">
        <f>IF(원생!$A206="","",SUMIFS(계산!$C:$C,계산!$A:$A,계산!$E206,계산!$B:$B,$B$1*100+2))</f>
        <v/>
      </c>
      <c r="E208" s="14">
        <f>IF(원생!$A206="","",SUMIFS(계산!$C:$C,계산!$A:$A,계산!$E206,계산!$B:$B,$B$1*100+3))</f>
        <v/>
      </c>
      <c r="F208" s="14">
        <f>IF(원생!$A206="","",SUMIFS(계산!$C:$C,계산!$A:$A,계산!$E206,계산!$B:$B,$B$1*100+4))</f>
        <v/>
      </c>
      <c r="G208" s="14">
        <f>IF(원생!$A206="","",SUMIFS(계산!$C:$C,계산!$A:$A,계산!$E206,계산!$B:$B,$B$1*100+5))</f>
        <v/>
      </c>
      <c r="H208" s="14">
        <f>IF(원생!$A206="","",SUMIFS(계산!$C:$C,계산!$A:$A,계산!$E206,계산!$B:$B,$B$1*100+6))</f>
        <v/>
      </c>
      <c r="I208" s="14">
        <f>IF(원생!$A206="","",SUMIFS(계산!$C:$C,계산!$A:$A,계산!$E206,계산!$B:$B,$B$1*100+7))</f>
        <v/>
      </c>
      <c r="J208" s="14">
        <f>IF(원생!$A206="","",SUMIFS(계산!$C:$C,계산!$A:$A,계산!$E206,계산!$B:$B,$B$1*100+8))</f>
        <v/>
      </c>
      <c r="K208" s="14">
        <f>IF(원생!$A206="","",SUMIFS(계산!$C:$C,계산!$A:$A,계산!$E206,계산!$B:$B,$B$1*100+9))</f>
        <v/>
      </c>
      <c r="L208" s="14">
        <f>IF(원생!$A206="","",SUMIFS(계산!$C:$C,계산!$A:$A,계산!$E206,계산!$B:$B,$B$1*100+10))</f>
        <v/>
      </c>
      <c r="M208" s="14">
        <f>IF(원생!$A206="","",SUMIFS(계산!$C:$C,계산!$A:$A,계산!$E206,계산!$B:$B,$B$1*100+11))</f>
        <v/>
      </c>
      <c r="N208" s="14">
        <f>IF(원생!$A206="","",SUMIFS(계산!$C:$C,계산!$A:$A,계산!$E206,계산!$B:$B,$B$1*100+12))</f>
        <v/>
      </c>
      <c r="O208">
        <f>IF(원생!$I206="","",원생!$I206)</f>
        <v/>
      </c>
      <c r="P208">
        <f>IF($A208="","",IF(AND($B208&gt;0,C208&lt;$B208,DATE($B$1,1,1)&lt;=TODAY(),OR($O208="",$O208&gt;=DATE($B$1,1,1)),OR(COUNTIF($C208:C208,"&gt;0")&gt;0,DATE($B$1,1,1)=DATE(YEAR(TODAY()),MONTH(TODAY()),1))),1,0))</f>
        <v/>
      </c>
      <c r="Q208">
        <f>IF($A208="","",IF(AND($B208&gt;0,D208&lt;$B208,DATE($B$1,2,1)&lt;=TODAY(),OR($O208="",$O208&gt;=DATE($B$1,2,1)),OR(COUNTIF($C208:D208,"&gt;0")&gt;0,DATE($B$1,2,1)=DATE(YEAR(TODAY()),MONTH(TODAY()),1))),1,0))</f>
        <v/>
      </c>
      <c r="R208">
        <f>IF($A208="","",IF(AND($B208&gt;0,E208&lt;$B208,DATE($B$1,3,1)&lt;=TODAY(),OR($O208="",$O208&gt;=DATE($B$1,3,1)),OR(COUNTIF($C208:E208,"&gt;0")&gt;0,DATE($B$1,3,1)=DATE(YEAR(TODAY()),MONTH(TODAY()),1))),1,0))</f>
        <v/>
      </c>
      <c r="S208">
        <f>IF($A208="","",IF(AND($B208&gt;0,F208&lt;$B208,DATE($B$1,4,1)&lt;=TODAY(),OR($O208="",$O208&gt;=DATE($B$1,4,1)),OR(COUNTIF($C208:F208,"&gt;0")&gt;0,DATE($B$1,4,1)=DATE(YEAR(TODAY()),MONTH(TODAY()),1))),1,0))</f>
        <v/>
      </c>
      <c r="T208">
        <f>IF($A208="","",IF(AND($B208&gt;0,G208&lt;$B208,DATE($B$1,5,1)&lt;=TODAY(),OR($O208="",$O208&gt;=DATE($B$1,5,1)),OR(COUNTIF($C208:G208,"&gt;0")&gt;0,DATE($B$1,5,1)=DATE(YEAR(TODAY()),MONTH(TODAY()),1))),1,0))</f>
        <v/>
      </c>
      <c r="U208">
        <f>IF($A208="","",IF(AND($B208&gt;0,H208&lt;$B208,DATE($B$1,6,1)&lt;=TODAY(),OR($O208="",$O208&gt;=DATE($B$1,6,1)),OR(COUNTIF($C208:H208,"&gt;0")&gt;0,DATE($B$1,6,1)=DATE(YEAR(TODAY()),MONTH(TODAY()),1))),1,0))</f>
        <v/>
      </c>
      <c r="V208">
        <f>IF($A208="","",IF(AND($B208&gt;0,I208&lt;$B208,DATE($B$1,7,1)&lt;=TODAY(),OR($O208="",$O208&gt;=DATE($B$1,7,1)),OR(COUNTIF($C208:I208,"&gt;0")&gt;0,DATE($B$1,7,1)=DATE(YEAR(TODAY()),MONTH(TODAY()),1))),1,0))</f>
        <v/>
      </c>
      <c r="W208">
        <f>IF($A208="","",IF(AND($B208&gt;0,J208&lt;$B208,DATE($B$1,8,1)&lt;=TODAY(),OR($O208="",$O208&gt;=DATE($B$1,8,1)),OR(COUNTIF($C208:J208,"&gt;0")&gt;0,DATE($B$1,8,1)=DATE(YEAR(TODAY()),MONTH(TODAY()),1))),1,0))</f>
        <v/>
      </c>
      <c r="X208">
        <f>IF($A208="","",IF(AND($B208&gt;0,K208&lt;$B208,DATE($B$1,9,1)&lt;=TODAY(),OR($O208="",$O208&gt;=DATE($B$1,9,1)),OR(COUNTIF($C208:K208,"&gt;0")&gt;0,DATE($B$1,9,1)=DATE(YEAR(TODAY()),MONTH(TODAY()),1))),1,0))</f>
        <v/>
      </c>
      <c r="Y208">
        <f>IF($A208="","",IF(AND($B208&gt;0,L208&lt;$B208,DATE($B$1,10,1)&lt;=TODAY(),OR($O208="",$O208&gt;=DATE($B$1,10,1)),OR(COUNTIF($C208:L208,"&gt;0")&gt;0,DATE($B$1,10,1)=DATE(YEAR(TODAY()),MONTH(TODAY()),1))),1,0))</f>
        <v/>
      </c>
      <c r="Z208">
        <f>IF($A208="","",IF(AND($B208&gt;0,M208&lt;$B208,DATE($B$1,11,1)&lt;=TODAY(),OR($O208="",$O208&gt;=DATE($B$1,11,1)),OR(COUNTIF($C208:M208,"&gt;0")&gt;0,DATE($B$1,11,1)=DATE(YEAR(TODAY()),MONTH(TODAY()),1))),1,0))</f>
        <v/>
      </c>
      <c r="AA208">
        <f>IF($A208="","",IF(AND($B208&gt;0,N208&lt;$B208,DATE($B$1,12,1)&lt;=TODAY(),OR($O208="",$O208&gt;=DATE($B$1,12,1)),OR(COUNTIF($C208:N208,"&gt;0")&gt;0,DATE($B$1,12,1)=DATE(YEAR(TODAY()),MONTH(TODAY()),1))),1,0))</f>
        <v/>
      </c>
    </row>
    <row r="209">
      <c r="A209" s="13">
        <f>IF(원생!$A207="","",원생!$A207&amp;IF(원생!$G207="",""," ("&amp;원생!$G207&amp;")"))</f>
        <v/>
      </c>
      <c r="B209" s="8">
        <f>IF(원생!$A207="","",N(원생!$F207))</f>
        <v/>
      </c>
      <c r="C209" s="14">
        <f>IF(원생!$A207="","",SUMIFS(계산!$C:$C,계산!$A:$A,계산!$E207,계산!$B:$B,$B$1*100+1))</f>
        <v/>
      </c>
      <c r="D209" s="14">
        <f>IF(원생!$A207="","",SUMIFS(계산!$C:$C,계산!$A:$A,계산!$E207,계산!$B:$B,$B$1*100+2))</f>
        <v/>
      </c>
      <c r="E209" s="14">
        <f>IF(원생!$A207="","",SUMIFS(계산!$C:$C,계산!$A:$A,계산!$E207,계산!$B:$B,$B$1*100+3))</f>
        <v/>
      </c>
      <c r="F209" s="14">
        <f>IF(원생!$A207="","",SUMIFS(계산!$C:$C,계산!$A:$A,계산!$E207,계산!$B:$B,$B$1*100+4))</f>
        <v/>
      </c>
      <c r="G209" s="14">
        <f>IF(원생!$A207="","",SUMIFS(계산!$C:$C,계산!$A:$A,계산!$E207,계산!$B:$B,$B$1*100+5))</f>
        <v/>
      </c>
      <c r="H209" s="14">
        <f>IF(원생!$A207="","",SUMIFS(계산!$C:$C,계산!$A:$A,계산!$E207,계산!$B:$B,$B$1*100+6))</f>
        <v/>
      </c>
      <c r="I209" s="14">
        <f>IF(원생!$A207="","",SUMIFS(계산!$C:$C,계산!$A:$A,계산!$E207,계산!$B:$B,$B$1*100+7))</f>
        <v/>
      </c>
      <c r="J209" s="14">
        <f>IF(원생!$A207="","",SUMIFS(계산!$C:$C,계산!$A:$A,계산!$E207,계산!$B:$B,$B$1*100+8))</f>
        <v/>
      </c>
      <c r="K209" s="14">
        <f>IF(원생!$A207="","",SUMIFS(계산!$C:$C,계산!$A:$A,계산!$E207,계산!$B:$B,$B$1*100+9))</f>
        <v/>
      </c>
      <c r="L209" s="14">
        <f>IF(원생!$A207="","",SUMIFS(계산!$C:$C,계산!$A:$A,계산!$E207,계산!$B:$B,$B$1*100+10))</f>
        <v/>
      </c>
      <c r="M209" s="14">
        <f>IF(원생!$A207="","",SUMIFS(계산!$C:$C,계산!$A:$A,계산!$E207,계산!$B:$B,$B$1*100+11))</f>
        <v/>
      </c>
      <c r="N209" s="14">
        <f>IF(원생!$A207="","",SUMIFS(계산!$C:$C,계산!$A:$A,계산!$E207,계산!$B:$B,$B$1*100+12))</f>
        <v/>
      </c>
      <c r="O209">
        <f>IF(원생!$I207="","",원생!$I207)</f>
        <v/>
      </c>
      <c r="P209">
        <f>IF($A209="","",IF(AND($B209&gt;0,C209&lt;$B209,DATE($B$1,1,1)&lt;=TODAY(),OR($O209="",$O209&gt;=DATE($B$1,1,1)),OR(COUNTIF($C209:C209,"&gt;0")&gt;0,DATE($B$1,1,1)=DATE(YEAR(TODAY()),MONTH(TODAY()),1))),1,0))</f>
        <v/>
      </c>
      <c r="Q209">
        <f>IF($A209="","",IF(AND($B209&gt;0,D209&lt;$B209,DATE($B$1,2,1)&lt;=TODAY(),OR($O209="",$O209&gt;=DATE($B$1,2,1)),OR(COUNTIF($C209:D209,"&gt;0")&gt;0,DATE($B$1,2,1)=DATE(YEAR(TODAY()),MONTH(TODAY()),1))),1,0))</f>
        <v/>
      </c>
      <c r="R209">
        <f>IF($A209="","",IF(AND($B209&gt;0,E209&lt;$B209,DATE($B$1,3,1)&lt;=TODAY(),OR($O209="",$O209&gt;=DATE($B$1,3,1)),OR(COUNTIF($C209:E209,"&gt;0")&gt;0,DATE($B$1,3,1)=DATE(YEAR(TODAY()),MONTH(TODAY()),1))),1,0))</f>
        <v/>
      </c>
      <c r="S209">
        <f>IF($A209="","",IF(AND($B209&gt;0,F209&lt;$B209,DATE($B$1,4,1)&lt;=TODAY(),OR($O209="",$O209&gt;=DATE($B$1,4,1)),OR(COUNTIF($C209:F209,"&gt;0")&gt;0,DATE($B$1,4,1)=DATE(YEAR(TODAY()),MONTH(TODAY()),1))),1,0))</f>
        <v/>
      </c>
      <c r="T209">
        <f>IF($A209="","",IF(AND($B209&gt;0,G209&lt;$B209,DATE($B$1,5,1)&lt;=TODAY(),OR($O209="",$O209&gt;=DATE($B$1,5,1)),OR(COUNTIF($C209:G209,"&gt;0")&gt;0,DATE($B$1,5,1)=DATE(YEAR(TODAY()),MONTH(TODAY()),1))),1,0))</f>
        <v/>
      </c>
      <c r="U209">
        <f>IF($A209="","",IF(AND($B209&gt;0,H209&lt;$B209,DATE($B$1,6,1)&lt;=TODAY(),OR($O209="",$O209&gt;=DATE($B$1,6,1)),OR(COUNTIF($C209:H209,"&gt;0")&gt;0,DATE($B$1,6,1)=DATE(YEAR(TODAY()),MONTH(TODAY()),1))),1,0))</f>
        <v/>
      </c>
      <c r="V209">
        <f>IF($A209="","",IF(AND($B209&gt;0,I209&lt;$B209,DATE($B$1,7,1)&lt;=TODAY(),OR($O209="",$O209&gt;=DATE($B$1,7,1)),OR(COUNTIF($C209:I209,"&gt;0")&gt;0,DATE($B$1,7,1)=DATE(YEAR(TODAY()),MONTH(TODAY()),1))),1,0))</f>
        <v/>
      </c>
      <c r="W209">
        <f>IF($A209="","",IF(AND($B209&gt;0,J209&lt;$B209,DATE($B$1,8,1)&lt;=TODAY(),OR($O209="",$O209&gt;=DATE($B$1,8,1)),OR(COUNTIF($C209:J209,"&gt;0")&gt;0,DATE($B$1,8,1)=DATE(YEAR(TODAY()),MONTH(TODAY()),1))),1,0))</f>
        <v/>
      </c>
      <c r="X209">
        <f>IF($A209="","",IF(AND($B209&gt;0,K209&lt;$B209,DATE($B$1,9,1)&lt;=TODAY(),OR($O209="",$O209&gt;=DATE($B$1,9,1)),OR(COUNTIF($C209:K209,"&gt;0")&gt;0,DATE($B$1,9,1)=DATE(YEAR(TODAY()),MONTH(TODAY()),1))),1,0))</f>
        <v/>
      </c>
      <c r="Y209">
        <f>IF($A209="","",IF(AND($B209&gt;0,L209&lt;$B209,DATE($B$1,10,1)&lt;=TODAY(),OR($O209="",$O209&gt;=DATE($B$1,10,1)),OR(COUNTIF($C209:L209,"&gt;0")&gt;0,DATE($B$1,10,1)=DATE(YEAR(TODAY()),MONTH(TODAY()),1))),1,0))</f>
        <v/>
      </c>
      <c r="Z209">
        <f>IF($A209="","",IF(AND($B209&gt;0,M209&lt;$B209,DATE($B$1,11,1)&lt;=TODAY(),OR($O209="",$O209&gt;=DATE($B$1,11,1)),OR(COUNTIF($C209:M209,"&gt;0")&gt;0,DATE($B$1,11,1)=DATE(YEAR(TODAY()),MONTH(TODAY()),1))),1,0))</f>
        <v/>
      </c>
      <c r="AA209">
        <f>IF($A209="","",IF(AND($B209&gt;0,N209&lt;$B209,DATE($B$1,12,1)&lt;=TODAY(),OR($O209="",$O209&gt;=DATE($B$1,12,1)),OR(COUNTIF($C209:N209,"&gt;0")&gt;0,DATE($B$1,12,1)=DATE(YEAR(TODAY()),MONTH(TODAY()),1))),1,0))</f>
        <v/>
      </c>
    </row>
    <row r="210">
      <c r="A210" s="13">
        <f>IF(원생!$A208="","",원생!$A208&amp;IF(원생!$G208="",""," ("&amp;원생!$G208&amp;")"))</f>
        <v/>
      </c>
      <c r="B210" s="8">
        <f>IF(원생!$A208="","",N(원생!$F208))</f>
        <v/>
      </c>
      <c r="C210" s="14">
        <f>IF(원생!$A208="","",SUMIFS(계산!$C:$C,계산!$A:$A,계산!$E208,계산!$B:$B,$B$1*100+1))</f>
        <v/>
      </c>
      <c r="D210" s="14">
        <f>IF(원생!$A208="","",SUMIFS(계산!$C:$C,계산!$A:$A,계산!$E208,계산!$B:$B,$B$1*100+2))</f>
        <v/>
      </c>
      <c r="E210" s="14">
        <f>IF(원생!$A208="","",SUMIFS(계산!$C:$C,계산!$A:$A,계산!$E208,계산!$B:$B,$B$1*100+3))</f>
        <v/>
      </c>
      <c r="F210" s="14">
        <f>IF(원생!$A208="","",SUMIFS(계산!$C:$C,계산!$A:$A,계산!$E208,계산!$B:$B,$B$1*100+4))</f>
        <v/>
      </c>
      <c r="G210" s="14">
        <f>IF(원생!$A208="","",SUMIFS(계산!$C:$C,계산!$A:$A,계산!$E208,계산!$B:$B,$B$1*100+5))</f>
        <v/>
      </c>
      <c r="H210" s="14">
        <f>IF(원생!$A208="","",SUMIFS(계산!$C:$C,계산!$A:$A,계산!$E208,계산!$B:$B,$B$1*100+6))</f>
        <v/>
      </c>
      <c r="I210" s="14">
        <f>IF(원생!$A208="","",SUMIFS(계산!$C:$C,계산!$A:$A,계산!$E208,계산!$B:$B,$B$1*100+7))</f>
        <v/>
      </c>
      <c r="J210" s="14">
        <f>IF(원생!$A208="","",SUMIFS(계산!$C:$C,계산!$A:$A,계산!$E208,계산!$B:$B,$B$1*100+8))</f>
        <v/>
      </c>
      <c r="K210" s="14">
        <f>IF(원생!$A208="","",SUMIFS(계산!$C:$C,계산!$A:$A,계산!$E208,계산!$B:$B,$B$1*100+9))</f>
        <v/>
      </c>
      <c r="L210" s="14">
        <f>IF(원생!$A208="","",SUMIFS(계산!$C:$C,계산!$A:$A,계산!$E208,계산!$B:$B,$B$1*100+10))</f>
        <v/>
      </c>
      <c r="M210" s="14">
        <f>IF(원생!$A208="","",SUMIFS(계산!$C:$C,계산!$A:$A,계산!$E208,계산!$B:$B,$B$1*100+11))</f>
        <v/>
      </c>
      <c r="N210" s="14">
        <f>IF(원생!$A208="","",SUMIFS(계산!$C:$C,계산!$A:$A,계산!$E208,계산!$B:$B,$B$1*100+12))</f>
        <v/>
      </c>
      <c r="O210">
        <f>IF(원생!$I208="","",원생!$I208)</f>
        <v/>
      </c>
      <c r="P210">
        <f>IF($A210="","",IF(AND($B210&gt;0,C210&lt;$B210,DATE($B$1,1,1)&lt;=TODAY(),OR($O210="",$O210&gt;=DATE($B$1,1,1)),OR(COUNTIF($C210:C210,"&gt;0")&gt;0,DATE($B$1,1,1)=DATE(YEAR(TODAY()),MONTH(TODAY()),1))),1,0))</f>
        <v/>
      </c>
      <c r="Q210">
        <f>IF($A210="","",IF(AND($B210&gt;0,D210&lt;$B210,DATE($B$1,2,1)&lt;=TODAY(),OR($O210="",$O210&gt;=DATE($B$1,2,1)),OR(COUNTIF($C210:D210,"&gt;0")&gt;0,DATE($B$1,2,1)=DATE(YEAR(TODAY()),MONTH(TODAY()),1))),1,0))</f>
        <v/>
      </c>
      <c r="R210">
        <f>IF($A210="","",IF(AND($B210&gt;0,E210&lt;$B210,DATE($B$1,3,1)&lt;=TODAY(),OR($O210="",$O210&gt;=DATE($B$1,3,1)),OR(COUNTIF($C210:E210,"&gt;0")&gt;0,DATE($B$1,3,1)=DATE(YEAR(TODAY()),MONTH(TODAY()),1))),1,0))</f>
        <v/>
      </c>
      <c r="S210">
        <f>IF($A210="","",IF(AND($B210&gt;0,F210&lt;$B210,DATE($B$1,4,1)&lt;=TODAY(),OR($O210="",$O210&gt;=DATE($B$1,4,1)),OR(COUNTIF($C210:F210,"&gt;0")&gt;0,DATE($B$1,4,1)=DATE(YEAR(TODAY()),MONTH(TODAY()),1))),1,0))</f>
        <v/>
      </c>
      <c r="T210">
        <f>IF($A210="","",IF(AND($B210&gt;0,G210&lt;$B210,DATE($B$1,5,1)&lt;=TODAY(),OR($O210="",$O210&gt;=DATE($B$1,5,1)),OR(COUNTIF($C210:G210,"&gt;0")&gt;0,DATE($B$1,5,1)=DATE(YEAR(TODAY()),MONTH(TODAY()),1))),1,0))</f>
        <v/>
      </c>
      <c r="U210">
        <f>IF($A210="","",IF(AND($B210&gt;0,H210&lt;$B210,DATE($B$1,6,1)&lt;=TODAY(),OR($O210="",$O210&gt;=DATE($B$1,6,1)),OR(COUNTIF($C210:H210,"&gt;0")&gt;0,DATE($B$1,6,1)=DATE(YEAR(TODAY()),MONTH(TODAY()),1))),1,0))</f>
        <v/>
      </c>
      <c r="V210">
        <f>IF($A210="","",IF(AND($B210&gt;0,I210&lt;$B210,DATE($B$1,7,1)&lt;=TODAY(),OR($O210="",$O210&gt;=DATE($B$1,7,1)),OR(COUNTIF($C210:I210,"&gt;0")&gt;0,DATE($B$1,7,1)=DATE(YEAR(TODAY()),MONTH(TODAY()),1))),1,0))</f>
        <v/>
      </c>
      <c r="W210">
        <f>IF($A210="","",IF(AND($B210&gt;0,J210&lt;$B210,DATE($B$1,8,1)&lt;=TODAY(),OR($O210="",$O210&gt;=DATE($B$1,8,1)),OR(COUNTIF($C210:J210,"&gt;0")&gt;0,DATE($B$1,8,1)=DATE(YEAR(TODAY()),MONTH(TODAY()),1))),1,0))</f>
        <v/>
      </c>
      <c r="X210">
        <f>IF($A210="","",IF(AND($B210&gt;0,K210&lt;$B210,DATE($B$1,9,1)&lt;=TODAY(),OR($O210="",$O210&gt;=DATE($B$1,9,1)),OR(COUNTIF($C210:K210,"&gt;0")&gt;0,DATE($B$1,9,1)=DATE(YEAR(TODAY()),MONTH(TODAY()),1))),1,0))</f>
        <v/>
      </c>
      <c r="Y210">
        <f>IF($A210="","",IF(AND($B210&gt;0,L210&lt;$B210,DATE($B$1,10,1)&lt;=TODAY(),OR($O210="",$O210&gt;=DATE($B$1,10,1)),OR(COUNTIF($C210:L210,"&gt;0")&gt;0,DATE($B$1,10,1)=DATE(YEAR(TODAY()),MONTH(TODAY()),1))),1,0))</f>
        <v/>
      </c>
      <c r="Z210">
        <f>IF($A210="","",IF(AND($B210&gt;0,M210&lt;$B210,DATE($B$1,11,1)&lt;=TODAY(),OR($O210="",$O210&gt;=DATE($B$1,11,1)),OR(COUNTIF($C210:M210,"&gt;0")&gt;0,DATE($B$1,11,1)=DATE(YEAR(TODAY()),MONTH(TODAY()),1))),1,0))</f>
        <v/>
      </c>
      <c r="AA210">
        <f>IF($A210="","",IF(AND($B210&gt;0,N210&lt;$B210,DATE($B$1,12,1)&lt;=TODAY(),OR($O210="",$O210&gt;=DATE($B$1,12,1)),OR(COUNTIF($C210:N210,"&gt;0")&gt;0,DATE($B$1,12,1)=DATE(YEAR(TODAY()),MONTH(TODAY()),1))),1,0))</f>
        <v/>
      </c>
    </row>
    <row r="211">
      <c r="A211" s="13">
        <f>IF(원생!$A209="","",원생!$A209&amp;IF(원생!$G209="",""," ("&amp;원생!$G209&amp;")"))</f>
        <v/>
      </c>
      <c r="B211" s="8">
        <f>IF(원생!$A209="","",N(원생!$F209))</f>
        <v/>
      </c>
      <c r="C211" s="14">
        <f>IF(원생!$A209="","",SUMIFS(계산!$C:$C,계산!$A:$A,계산!$E209,계산!$B:$B,$B$1*100+1))</f>
        <v/>
      </c>
      <c r="D211" s="14">
        <f>IF(원생!$A209="","",SUMIFS(계산!$C:$C,계산!$A:$A,계산!$E209,계산!$B:$B,$B$1*100+2))</f>
        <v/>
      </c>
      <c r="E211" s="14">
        <f>IF(원생!$A209="","",SUMIFS(계산!$C:$C,계산!$A:$A,계산!$E209,계산!$B:$B,$B$1*100+3))</f>
        <v/>
      </c>
      <c r="F211" s="14">
        <f>IF(원생!$A209="","",SUMIFS(계산!$C:$C,계산!$A:$A,계산!$E209,계산!$B:$B,$B$1*100+4))</f>
        <v/>
      </c>
      <c r="G211" s="14">
        <f>IF(원생!$A209="","",SUMIFS(계산!$C:$C,계산!$A:$A,계산!$E209,계산!$B:$B,$B$1*100+5))</f>
        <v/>
      </c>
      <c r="H211" s="14">
        <f>IF(원생!$A209="","",SUMIFS(계산!$C:$C,계산!$A:$A,계산!$E209,계산!$B:$B,$B$1*100+6))</f>
        <v/>
      </c>
      <c r="I211" s="14">
        <f>IF(원생!$A209="","",SUMIFS(계산!$C:$C,계산!$A:$A,계산!$E209,계산!$B:$B,$B$1*100+7))</f>
        <v/>
      </c>
      <c r="J211" s="14">
        <f>IF(원생!$A209="","",SUMIFS(계산!$C:$C,계산!$A:$A,계산!$E209,계산!$B:$B,$B$1*100+8))</f>
        <v/>
      </c>
      <c r="K211" s="14">
        <f>IF(원생!$A209="","",SUMIFS(계산!$C:$C,계산!$A:$A,계산!$E209,계산!$B:$B,$B$1*100+9))</f>
        <v/>
      </c>
      <c r="L211" s="14">
        <f>IF(원생!$A209="","",SUMIFS(계산!$C:$C,계산!$A:$A,계산!$E209,계산!$B:$B,$B$1*100+10))</f>
        <v/>
      </c>
      <c r="M211" s="14">
        <f>IF(원생!$A209="","",SUMIFS(계산!$C:$C,계산!$A:$A,계산!$E209,계산!$B:$B,$B$1*100+11))</f>
        <v/>
      </c>
      <c r="N211" s="14">
        <f>IF(원생!$A209="","",SUMIFS(계산!$C:$C,계산!$A:$A,계산!$E209,계산!$B:$B,$B$1*100+12))</f>
        <v/>
      </c>
      <c r="O211">
        <f>IF(원생!$I209="","",원생!$I209)</f>
        <v/>
      </c>
      <c r="P211">
        <f>IF($A211="","",IF(AND($B211&gt;0,C211&lt;$B211,DATE($B$1,1,1)&lt;=TODAY(),OR($O211="",$O211&gt;=DATE($B$1,1,1)),OR(COUNTIF($C211:C211,"&gt;0")&gt;0,DATE($B$1,1,1)=DATE(YEAR(TODAY()),MONTH(TODAY()),1))),1,0))</f>
        <v/>
      </c>
      <c r="Q211">
        <f>IF($A211="","",IF(AND($B211&gt;0,D211&lt;$B211,DATE($B$1,2,1)&lt;=TODAY(),OR($O211="",$O211&gt;=DATE($B$1,2,1)),OR(COUNTIF($C211:D211,"&gt;0")&gt;0,DATE($B$1,2,1)=DATE(YEAR(TODAY()),MONTH(TODAY()),1))),1,0))</f>
        <v/>
      </c>
      <c r="R211">
        <f>IF($A211="","",IF(AND($B211&gt;0,E211&lt;$B211,DATE($B$1,3,1)&lt;=TODAY(),OR($O211="",$O211&gt;=DATE($B$1,3,1)),OR(COUNTIF($C211:E211,"&gt;0")&gt;0,DATE($B$1,3,1)=DATE(YEAR(TODAY()),MONTH(TODAY()),1))),1,0))</f>
        <v/>
      </c>
      <c r="S211">
        <f>IF($A211="","",IF(AND($B211&gt;0,F211&lt;$B211,DATE($B$1,4,1)&lt;=TODAY(),OR($O211="",$O211&gt;=DATE($B$1,4,1)),OR(COUNTIF($C211:F211,"&gt;0")&gt;0,DATE($B$1,4,1)=DATE(YEAR(TODAY()),MONTH(TODAY()),1))),1,0))</f>
        <v/>
      </c>
      <c r="T211">
        <f>IF($A211="","",IF(AND($B211&gt;0,G211&lt;$B211,DATE($B$1,5,1)&lt;=TODAY(),OR($O211="",$O211&gt;=DATE($B$1,5,1)),OR(COUNTIF($C211:G211,"&gt;0")&gt;0,DATE($B$1,5,1)=DATE(YEAR(TODAY()),MONTH(TODAY()),1))),1,0))</f>
        <v/>
      </c>
      <c r="U211">
        <f>IF($A211="","",IF(AND($B211&gt;0,H211&lt;$B211,DATE($B$1,6,1)&lt;=TODAY(),OR($O211="",$O211&gt;=DATE($B$1,6,1)),OR(COUNTIF($C211:H211,"&gt;0")&gt;0,DATE($B$1,6,1)=DATE(YEAR(TODAY()),MONTH(TODAY()),1))),1,0))</f>
        <v/>
      </c>
      <c r="V211">
        <f>IF($A211="","",IF(AND($B211&gt;0,I211&lt;$B211,DATE($B$1,7,1)&lt;=TODAY(),OR($O211="",$O211&gt;=DATE($B$1,7,1)),OR(COUNTIF($C211:I211,"&gt;0")&gt;0,DATE($B$1,7,1)=DATE(YEAR(TODAY()),MONTH(TODAY()),1))),1,0))</f>
        <v/>
      </c>
      <c r="W211">
        <f>IF($A211="","",IF(AND($B211&gt;0,J211&lt;$B211,DATE($B$1,8,1)&lt;=TODAY(),OR($O211="",$O211&gt;=DATE($B$1,8,1)),OR(COUNTIF($C211:J211,"&gt;0")&gt;0,DATE($B$1,8,1)=DATE(YEAR(TODAY()),MONTH(TODAY()),1))),1,0))</f>
        <v/>
      </c>
      <c r="X211">
        <f>IF($A211="","",IF(AND($B211&gt;0,K211&lt;$B211,DATE($B$1,9,1)&lt;=TODAY(),OR($O211="",$O211&gt;=DATE($B$1,9,1)),OR(COUNTIF($C211:K211,"&gt;0")&gt;0,DATE($B$1,9,1)=DATE(YEAR(TODAY()),MONTH(TODAY()),1))),1,0))</f>
        <v/>
      </c>
      <c r="Y211">
        <f>IF($A211="","",IF(AND($B211&gt;0,L211&lt;$B211,DATE($B$1,10,1)&lt;=TODAY(),OR($O211="",$O211&gt;=DATE($B$1,10,1)),OR(COUNTIF($C211:L211,"&gt;0")&gt;0,DATE($B$1,10,1)=DATE(YEAR(TODAY()),MONTH(TODAY()),1))),1,0))</f>
        <v/>
      </c>
      <c r="Z211">
        <f>IF($A211="","",IF(AND($B211&gt;0,M211&lt;$B211,DATE($B$1,11,1)&lt;=TODAY(),OR($O211="",$O211&gt;=DATE($B$1,11,1)),OR(COUNTIF($C211:M211,"&gt;0")&gt;0,DATE($B$1,11,1)=DATE(YEAR(TODAY()),MONTH(TODAY()),1))),1,0))</f>
        <v/>
      </c>
      <c r="AA211">
        <f>IF($A211="","",IF(AND($B211&gt;0,N211&lt;$B211,DATE($B$1,12,1)&lt;=TODAY(),OR($O211="",$O211&gt;=DATE($B$1,12,1)),OR(COUNTIF($C211:N211,"&gt;0")&gt;0,DATE($B$1,12,1)=DATE(YEAR(TODAY()),MONTH(TODAY()),1))),1,0))</f>
        <v/>
      </c>
    </row>
    <row r="212">
      <c r="A212" s="13">
        <f>IF(원생!$A210="","",원생!$A210&amp;IF(원생!$G210="",""," ("&amp;원생!$G210&amp;")"))</f>
        <v/>
      </c>
      <c r="B212" s="8">
        <f>IF(원생!$A210="","",N(원생!$F210))</f>
        <v/>
      </c>
      <c r="C212" s="14">
        <f>IF(원생!$A210="","",SUMIFS(계산!$C:$C,계산!$A:$A,계산!$E210,계산!$B:$B,$B$1*100+1))</f>
        <v/>
      </c>
      <c r="D212" s="14">
        <f>IF(원생!$A210="","",SUMIFS(계산!$C:$C,계산!$A:$A,계산!$E210,계산!$B:$B,$B$1*100+2))</f>
        <v/>
      </c>
      <c r="E212" s="14">
        <f>IF(원생!$A210="","",SUMIFS(계산!$C:$C,계산!$A:$A,계산!$E210,계산!$B:$B,$B$1*100+3))</f>
        <v/>
      </c>
      <c r="F212" s="14">
        <f>IF(원생!$A210="","",SUMIFS(계산!$C:$C,계산!$A:$A,계산!$E210,계산!$B:$B,$B$1*100+4))</f>
        <v/>
      </c>
      <c r="G212" s="14">
        <f>IF(원생!$A210="","",SUMIFS(계산!$C:$C,계산!$A:$A,계산!$E210,계산!$B:$B,$B$1*100+5))</f>
        <v/>
      </c>
      <c r="H212" s="14">
        <f>IF(원생!$A210="","",SUMIFS(계산!$C:$C,계산!$A:$A,계산!$E210,계산!$B:$B,$B$1*100+6))</f>
        <v/>
      </c>
      <c r="I212" s="14">
        <f>IF(원생!$A210="","",SUMIFS(계산!$C:$C,계산!$A:$A,계산!$E210,계산!$B:$B,$B$1*100+7))</f>
        <v/>
      </c>
      <c r="J212" s="14">
        <f>IF(원생!$A210="","",SUMIFS(계산!$C:$C,계산!$A:$A,계산!$E210,계산!$B:$B,$B$1*100+8))</f>
        <v/>
      </c>
      <c r="K212" s="14">
        <f>IF(원생!$A210="","",SUMIFS(계산!$C:$C,계산!$A:$A,계산!$E210,계산!$B:$B,$B$1*100+9))</f>
        <v/>
      </c>
      <c r="L212" s="14">
        <f>IF(원생!$A210="","",SUMIFS(계산!$C:$C,계산!$A:$A,계산!$E210,계산!$B:$B,$B$1*100+10))</f>
        <v/>
      </c>
      <c r="M212" s="14">
        <f>IF(원생!$A210="","",SUMIFS(계산!$C:$C,계산!$A:$A,계산!$E210,계산!$B:$B,$B$1*100+11))</f>
        <v/>
      </c>
      <c r="N212" s="14">
        <f>IF(원생!$A210="","",SUMIFS(계산!$C:$C,계산!$A:$A,계산!$E210,계산!$B:$B,$B$1*100+12))</f>
        <v/>
      </c>
      <c r="O212">
        <f>IF(원생!$I210="","",원생!$I210)</f>
        <v/>
      </c>
      <c r="P212">
        <f>IF($A212="","",IF(AND($B212&gt;0,C212&lt;$B212,DATE($B$1,1,1)&lt;=TODAY(),OR($O212="",$O212&gt;=DATE($B$1,1,1)),OR(COUNTIF($C212:C212,"&gt;0")&gt;0,DATE($B$1,1,1)=DATE(YEAR(TODAY()),MONTH(TODAY()),1))),1,0))</f>
        <v/>
      </c>
      <c r="Q212">
        <f>IF($A212="","",IF(AND($B212&gt;0,D212&lt;$B212,DATE($B$1,2,1)&lt;=TODAY(),OR($O212="",$O212&gt;=DATE($B$1,2,1)),OR(COUNTIF($C212:D212,"&gt;0")&gt;0,DATE($B$1,2,1)=DATE(YEAR(TODAY()),MONTH(TODAY()),1))),1,0))</f>
        <v/>
      </c>
      <c r="R212">
        <f>IF($A212="","",IF(AND($B212&gt;0,E212&lt;$B212,DATE($B$1,3,1)&lt;=TODAY(),OR($O212="",$O212&gt;=DATE($B$1,3,1)),OR(COUNTIF($C212:E212,"&gt;0")&gt;0,DATE($B$1,3,1)=DATE(YEAR(TODAY()),MONTH(TODAY()),1))),1,0))</f>
        <v/>
      </c>
      <c r="S212">
        <f>IF($A212="","",IF(AND($B212&gt;0,F212&lt;$B212,DATE($B$1,4,1)&lt;=TODAY(),OR($O212="",$O212&gt;=DATE($B$1,4,1)),OR(COUNTIF($C212:F212,"&gt;0")&gt;0,DATE($B$1,4,1)=DATE(YEAR(TODAY()),MONTH(TODAY()),1))),1,0))</f>
        <v/>
      </c>
      <c r="T212">
        <f>IF($A212="","",IF(AND($B212&gt;0,G212&lt;$B212,DATE($B$1,5,1)&lt;=TODAY(),OR($O212="",$O212&gt;=DATE($B$1,5,1)),OR(COUNTIF($C212:G212,"&gt;0")&gt;0,DATE($B$1,5,1)=DATE(YEAR(TODAY()),MONTH(TODAY()),1))),1,0))</f>
        <v/>
      </c>
      <c r="U212">
        <f>IF($A212="","",IF(AND($B212&gt;0,H212&lt;$B212,DATE($B$1,6,1)&lt;=TODAY(),OR($O212="",$O212&gt;=DATE($B$1,6,1)),OR(COUNTIF($C212:H212,"&gt;0")&gt;0,DATE($B$1,6,1)=DATE(YEAR(TODAY()),MONTH(TODAY()),1))),1,0))</f>
        <v/>
      </c>
      <c r="V212">
        <f>IF($A212="","",IF(AND($B212&gt;0,I212&lt;$B212,DATE($B$1,7,1)&lt;=TODAY(),OR($O212="",$O212&gt;=DATE($B$1,7,1)),OR(COUNTIF($C212:I212,"&gt;0")&gt;0,DATE($B$1,7,1)=DATE(YEAR(TODAY()),MONTH(TODAY()),1))),1,0))</f>
        <v/>
      </c>
      <c r="W212">
        <f>IF($A212="","",IF(AND($B212&gt;0,J212&lt;$B212,DATE($B$1,8,1)&lt;=TODAY(),OR($O212="",$O212&gt;=DATE($B$1,8,1)),OR(COUNTIF($C212:J212,"&gt;0")&gt;0,DATE($B$1,8,1)=DATE(YEAR(TODAY()),MONTH(TODAY()),1))),1,0))</f>
        <v/>
      </c>
      <c r="X212">
        <f>IF($A212="","",IF(AND($B212&gt;0,K212&lt;$B212,DATE($B$1,9,1)&lt;=TODAY(),OR($O212="",$O212&gt;=DATE($B$1,9,1)),OR(COUNTIF($C212:K212,"&gt;0")&gt;0,DATE($B$1,9,1)=DATE(YEAR(TODAY()),MONTH(TODAY()),1))),1,0))</f>
        <v/>
      </c>
      <c r="Y212">
        <f>IF($A212="","",IF(AND($B212&gt;0,L212&lt;$B212,DATE($B$1,10,1)&lt;=TODAY(),OR($O212="",$O212&gt;=DATE($B$1,10,1)),OR(COUNTIF($C212:L212,"&gt;0")&gt;0,DATE($B$1,10,1)=DATE(YEAR(TODAY()),MONTH(TODAY()),1))),1,0))</f>
        <v/>
      </c>
      <c r="Z212">
        <f>IF($A212="","",IF(AND($B212&gt;0,M212&lt;$B212,DATE($B$1,11,1)&lt;=TODAY(),OR($O212="",$O212&gt;=DATE($B$1,11,1)),OR(COUNTIF($C212:M212,"&gt;0")&gt;0,DATE($B$1,11,1)=DATE(YEAR(TODAY()),MONTH(TODAY()),1))),1,0))</f>
        <v/>
      </c>
      <c r="AA212">
        <f>IF($A212="","",IF(AND($B212&gt;0,N212&lt;$B212,DATE($B$1,12,1)&lt;=TODAY(),OR($O212="",$O212&gt;=DATE($B$1,12,1)),OR(COUNTIF($C212:N212,"&gt;0")&gt;0,DATE($B$1,12,1)=DATE(YEAR(TODAY()),MONTH(TODAY()),1))),1,0))</f>
        <v/>
      </c>
    </row>
    <row r="213">
      <c r="A213" s="13">
        <f>IF(원생!$A211="","",원생!$A211&amp;IF(원생!$G211="",""," ("&amp;원생!$G211&amp;")"))</f>
        <v/>
      </c>
      <c r="B213" s="8">
        <f>IF(원생!$A211="","",N(원생!$F211))</f>
        <v/>
      </c>
      <c r="C213" s="14">
        <f>IF(원생!$A211="","",SUMIFS(계산!$C:$C,계산!$A:$A,계산!$E211,계산!$B:$B,$B$1*100+1))</f>
        <v/>
      </c>
      <c r="D213" s="14">
        <f>IF(원생!$A211="","",SUMIFS(계산!$C:$C,계산!$A:$A,계산!$E211,계산!$B:$B,$B$1*100+2))</f>
        <v/>
      </c>
      <c r="E213" s="14">
        <f>IF(원생!$A211="","",SUMIFS(계산!$C:$C,계산!$A:$A,계산!$E211,계산!$B:$B,$B$1*100+3))</f>
        <v/>
      </c>
      <c r="F213" s="14">
        <f>IF(원생!$A211="","",SUMIFS(계산!$C:$C,계산!$A:$A,계산!$E211,계산!$B:$B,$B$1*100+4))</f>
        <v/>
      </c>
      <c r="G213" s="14">
        <f>IF(원생!$A211="","",SUMIFS(계산!$C:$C,계산!$A:$A,계산!$E211,계산!$B:$B,$B$1*100+5))</f>
        <v/>
      </c>
      <c r="H213" s="14">
        <f>IF(원생!$A211="","",SUMIFS(계산!$C:$C,계산!$A:$A,계산!$E211,계산!$B:$B,$B$1*100+6))</f>
        <v/>
      </c>
      <c r="I213" s="14">
        <f>IF(원생!$A211="","",SUMIFS(계산!$C:$C,계산!$A:$A,계산!$E211,계산!$B:$B,$B$1*100+7))</f>
        <v/>
      </c>
      <c r="J213" s="14">
        <f>IF(원생!$A211="","",SUMIFS(계산!$C:$C,계산!$A:$A,계산!$E211,계산!$B:$B,$B$1*100+8))</f>
        <v/>
      </c>
      <c r="K213" s="14">
        <f>IF(원생!$A211="","",SUMIFS(계산!$C:$C,계산!$A:$A,계산!$E211,계산!$B:$B,$B$1*100+9))</f>
        <v/>
      </c>
      <c r="L213" s="14">
        <f>IF(원생!$A211="","",SUMIFS(계산!$C:$C,계산!$A:$A,계산!$E211,계산!$B:$B,$B$1*100+10))</f>
        <v/>
      </c>
      <c r="M213" s="14">
        <f>IF(원생!$A211="","",SUMIFS(계산!$C:$C,계산!$A:$A,계산!$E211,계산!$B:$B,$B$1*100+11))</f>
        <v/>
      </c>
      <c r="N213" s="14">
        <f>IF(원생!$A211="","",SUMIFS(계산!$C:$C,계산!$A:$A,계산!$E211,계산!$B:$B,$B$1*100+12))</f>
        <v/>
      </c>
      <c r="O213">
        <f>IF(원생!$I211="","",원생!$I211)</f>
        <v/>
      </c>
      <c r="P213">
        <f>IF($A213="","",IF(AND($B213&gt;0,C213&lt;$B213,DATE($B$1,1,1)&lt;=TODAY(),OR($O213="",$O213&gt;=DATE($B$1,1,1)),OR(COUNTIF($C213:C213,"&gt;0")&gt;0,DATE($B$1,1,1)=DATE(YEAR(TODAY()),MONTH(TODAY()),1))),1,0))</f>
        <v/>
      </c>
      <c r="Q213">
        <f>IF($A213="","",IF(AND($B213&gt;0,D213&lt;$B213,DATE($B$1,2,1)&lt;=TODAY(),OR($O213="",$O213&gt;=DATE($B$1,2,1)),OR(COUNTIF($C213:D213,"&gt;0")&gt;0,DATE($B$1,2,1)=DATE(YEAR(TODAY()),MONTH(TODAY()),1))),1,0))</f>
        <v/>
      </c>
      <c r="R213">
        <f>IF($A213="","",IF(AND($B213&gt;0,E213&lt;$B213,DATE($B$1,3,1)&lt;=TODAY(),OR($O213="",$O213&gt;=DATE($B$1,3,1)),OR(COUNTIF($C213:E213,"&gt;0")&gt;0,DATE($B$1,3,1)=DATE(YEAR(TODAY()),MONTH(TODAY()),1))),1,0))</f>
        <v/>
      </c>
      <c r="S213">
        <f>IF($A213="","",IF(AND($B213&gt;0,F213&lt;$B213,DATE($B$1,4,1)&lt;=TODAY(),OR($O213="",$O213&gt;=DATE($B$1,4,1)),OR(COUNTIF($C213:F213,"&gt;0")&gt;0,DATE($B$1,4,1)=DATE(YEAR(TODAY()),MONTH(TODAY()),1))),1,0))</f>
        <v/>
      </c>
      <c r="T213">
        <f>IF($A213="","",IF(AND($B213&gt;0,G213&lt;$B213,DATE($B$1,5,1)&lt;=TODAY(),OR($O213="",$O213&gt;=DATE($B$1,5,1)),OR(COUNTIF($C213:G213,"&gt;0")&gt;0,DATE($B$1,5,1)=DATE(YEAR(TODAY()),MONTH(TODAY()),1))),1,0))</f>
        <v/>
      </c>
      <c r="U213">
        <f>IF($A213="","",IF(AND($B213&gt;0,H213&lt;$B213,DATE($B$1,6,1)&lt;=TODAY(),OR($O213="",$O213&gt;=DATE($B$1,6,1)),OR(COUNTIF($C213:H213,"&gt;0")&gt;0,DATE($B$1,6,1)=DATE(YEAR(TODAY()),MONTH(TODAY()),1))),1,0))</f>
        <v/>
      </c>
      <c r="V213">
        <f>IF($A213="","",IF(AND($B213&gt;0,I213&lt;$B213,DATE($B$1,7,1)&lt;=TODAY(),OR($O213="",$O213&gt;=DATE($B$1,7,1)),OR(COUNTIF($C213:I213,"&gt;0")&gt;0,DATE($B$1,7,1)=DATE(YEAR(TODAY()),MONTH(TODAY()),1))),1,0))</f>
        <v/>
      </c>
      <c r="W213">
        <f>IF($A213="","",IF(AND($B213&gt;0,J213&lt;$B213,DATE($B$1,8,1)&lt;=TODAY(),OR($O213="",$O213&gt;=DATE($B$1,8,1)),OR(COUNTIF($C213:J213,"&gt;0")&gt;0,DATE($B$1,8,1)=DATE(YEAR(TODAY()),MONTH(TODAY()),1))),1,0))</f>
        <v/>
      </c>
      <c r="X213">
        <f>IF($A213="","",IF(AND($B213&gt;0,K213&lt;$B213,DATE($B$1,9,1)&lt;=TODAY(),OR($O213="",$O213&gt;=DATE($B$1,9,1)),OR(COUNTIF($C213:K213,"&gt;0")&gt;0,DATE($B$1,9,1)=DATE(YEAR(TODAY()),MONTH(TODAY()),1))),1,0))</f>
        <v/>
      </c>
      <c r="Y213">
        <f>IF($A213="","",IF(AND($B213&gt;0,L213&lt;$B213,DATE($B$1,10,1)&lt;=TODAY(),OR($O213="",$O213&gt;=DATE($B$1,10,1)),OR(COUNTIF($C213:L213,"&gt;0")&gt;0,DATE($B$1,10,1)=DATE(YEAR(TODAY()),MONTH(TODAY()),1))),1,0))</f>
        <v/>
      </c>
      <c r="Z213">
        <f>IF($A213="","",IF(AND($B213&gt;0,M213&lt;$B213,DATE($B$1,11,1)&lt;=TODAY(),OR($O213="",$O213&gt;=DATE($B$1,11,1)),OR(COUNTIF($C213:M213,"&gt;0")&gt;0,DATE($B$1,11,1)=DATE(YEAR(TODAY()),MONTH(TODAY()),1))),1,0))</f>
        <v/>
      </c>
      <c r="AA213">
        <f>IF($A213="","",IF(AND($B213&gt;0,N213&lt;$B213,DATE($B$1,12,1)&lt;=TODAY(),OR($O213="",$O213&gt;=DATE($B$1,12,1)),OR(COUNTIF($C213:N213,"&gt;0")&gt;0,DATE($B$1,12,1)=DATE(YEAR(TODAY()),MONTH(TODAY()),1))),1,0))</f>
        <v/>
      </c>
    </row>
    <row r="214">
      <c r="A214" s="13">
        <f>IF(원생!$A212="","",원생!$A212&amp;IF(원생!$G212="",""," ("&amp;원생!$G212&amp;")"))</f>
        <v/>
      </c>
      <c r="B214" s="8">
        <f>IF(원생!$A212="","",N(원생!$F212))</f>
        <v/>
      </c>
      <c r="C214" s="14">
        <f>IF(원생!$A212="","",SUMIFS(계산!$C:$C,계산!$A:$A,계산!$E212,계산!$B:$B,$B$1*100+1))</f>
        <v/>
      </c>
      <c r="D214" s="14">
        <f>IF(원생!$A212="","",SUMIFS(계산!$C:$C,계산!$A:$A,계산!$E212,계산!$B:$B,$B$1*100+2))</f>
        <v/>
      </c>
      <c r="E214" s="14">
        <f>IF(원생!$A212="","",SUMIFS(계산!$C:$C,계산!$A:$A,계산!$E212,계산!$B:$B,$B$1*100+3))</f>
        <v/>
      </c>
      <c r="F214" s="14">
        <f>IF(원생!$A212="","",SUMIFS(계산!$C:$C,계산!$A:$A,계산!$E212,계산!$B:$B,$B$1*100+4))</f>
        <v/>
      </c>
      <c r="G214" s="14">
        <f>IF(원생!$A212="","",SUMIFS(계산!$C:$C,계산!$A:$A,계산!$E212,계산!$B:$B,$B$1*100+5))</f>
        <v/>
      </c>
      <c r="H214" s="14">
        <f>IF(원생!$A212="","",SUMIFS(계산!$C:$C,계산!$A:$A,계산!$E212,계산!$B:$B,$B$1*100+6))</f>
        <v/>
      </c>
      <c r="I214" s="14">
        <f>IF(원생!$A212="","",SUMIFS(계산!$C:$C,계산!$A:$A,계산!$E212,계산!$B:$B,$B$1*100+7))</f>
        <v/>
      </c>
      <c r="J214" s="14">
        <f>IF(원생!$A212="","",SUMIFS(계산!$C:$C,계산!$A:$A,계산!$E212,계산!$B:$B,$B$1*100+8))</f>
        <v/>
      </c>
      <c r="K214" s="14">
        <f>IF(원생!$A212="","",SUMIFS(계산!$C:$C,계산!$A:$A,계산!$E212,계산!$B:$B,$B$1*100+9))</f>
        <v/>
      </c>
      <c r="L214" s="14">
        <f>IF(원생!$A212="","",SUMIFS(계산!$C:$C,계산!$A:$A,계산!$E212,계산!$B:$B,$B$1*100+10))</f>
        <v/>
      </c>
      <c r="M214" s="14">
        <f>IF(원생!$A212="","",SUMIFS(계산!$C:$C,계산!$A:$A,계산!$E212,계산!$B:$B,$B$1*100+11))</f>
        <v/>
      </c>
      <c r="N214" s="14">
        <f>IF(원생!$A212="","",SUMIFS(계산!$C:$C,계산!$A:$A,계산!$E212,계산!$B:$B,$B$1*100+12))</f>
        <v/>
      </c>
      <c r="O214">
        <f>IF(원생!$I212="","",원생!$I212)</f>
        <v/>
      </c>
      <c r="P214">
        <f>IF($A214="","",IF(AND($B214&gt;0,C214&lt;$B214,DATE($B$1,1,1)&lt;=TODAY(),OR($O214="",$O214&gt;=DATE($B$1,1,1)),OR(COUNTIF($C214:C214,"&gt;0")&gt;0,DATE($B$1,1,1)=DATE(YEAR(TODAY()),MONTH(TODAY()),1))),1,0))</f>
        <v/>
      </c>
      <c r="Q214">
        <f>IF($A214="","",IF(AND($B214&gt;0,D214&lt;$B214,DATE($B$1,2,1)&lt;=TODAY(),OR($O214="",$O214&gt;=DATE($B$1,2,1)),OR(COUNTIF($C214:D214,"&gt;0")&gt;0,DATE($B$1,2,1)=DATE(YEAR(TODAY()),MONTH(TODAY()),1))),1,0))</f>
        <v/>
      </c>
      <c r="R214">
        <f>IF($A214="","",IF(AND($B214&gt;0,E214&lt;$B214,DATE($B$1,3,1)&lt;=TODAY(),OR($O214="",$O214&gt;=DATE($B$1,3,1)),OR(COUNTIF($C214:E214,"&gt;0")&gt;0,DATE($B$1,3,1)=DATE(YEAR(TODAY()),MONTH(TODAY()),1))),1,0))</f>
        <v/>
      </c>
      <c r="S214">
        <f>IF($A214="","",IF(AND($B214&gt;0,F214&lt;$B214,DATE($B$1,4,1)&lt;=TODAY(),OR($O214="",$O214&gt;=DATE($B$1,4,1)),OR(COUNTIF($C214:F214,"&gt;0")&gt;0,DATE($B$1,4,1)=DATE(YEAR(TODAY()),MONTH(TODAY()),1))),1,0))</f>
        <v/>
      </c>
      <c r="T214">
        <f>IF($A214="","",IF(AND($B214&gt;0,G214&lt;$B214,DATE($B$1,5,1)&lt;=TODAY(),OR($O214="",$O214&gt;=DATE($B$1,5,1)),OR(COUNTIF($C214:G214,"&gt;0")&gt;0,DATE($B$1,5,1)=DATE(YEAR(TODAY()),MONTH(TODAY()),1))),1,0))</f>
        <v/>
      </c>
      <c r="U214">
        <f>IF($A214="","",IF(AND($B214&gt;0,H214&lt;$B214,DATE($B$1,6,1)&lt;=TODAY(),OR($O214="",$O214&gt;=DATE($B$1,6,1)),OR(COUNTIF($C214:H214,"&gt;0")&gt;0,DATE($B$1,6,1)=DATE(YEAR(TODAY()),MONTH(TODAY()),1))),1,0))</f>
        <v/>
      </c>
      <c r="V214">
        <f>IF($A214="","",IF(AND($B214&gt;0,I214&lt;$B214,DATE($B$1,7,1)&lt;=TODAY(),OR($O214="",$O214&gt;=DATE($B$1,7,1)),OR(COUNTIF($C214:I214,"&gt;0")&gt;0,DATE($B$1,7,1)=DATE(YEAR(TODAY()),MONTH(TODAY()),1))),1,0))</f>
        <v/>
      </c>
      <c r="W214">
        <f>IF($A214="","",IF(AND($B214&gt;0,J214&lt;$B214,DATE($B$1,8,1)&lt;=TODAY(),OR($O214="",$O214&gt;=DATE($B$1,8,1)),OR(COUNTIF($C214:J214,"&gt;0")&gt;0,DATE($B$1,8,1)=DATE(YEAR(TODAY()),MONTH(TODAY()),1))),1,0))</f>
        <v/>
      </c>
      <c r="X214">
        <f>IF($A214="","",IF(AND($B214&gt;0,K214&lt;$B214,DATE($B$1,9,1)&lt;=TODAY(),OR($O214="",$O214&gt;=DATE($B$1,9,1)),OR(COUNTIF($C214:K214,"&gt;0")&gt;0,DATE($B$1,9,1)=DATE(YEAR(TODAY()),MONTH(TODAY()),1))),1,0))</f>
        <v/>
      </c>
      <c r="Y214">
        <f>IF($A214="","",IF(AND($B214&gt;0,L214&lt;$B214,DATE($B$1,10,1)&lt;=TODAY(),OR($O214="",$O214&gt;=DATE($B$1,10,1)),OR(COUNTIF($C214:L214,"&gt;0")&gt;0,DATE($B$1,10,1)=DATE(YEAR(TODAY()),MONTH(TODAY()),1))),1,0))</f>
        <v/>
      </c>
      <c r="Z214">
        <f>IF($A214="","",IF(AND($B214&gt;0,M214&lt;$B214,DATE($B$1,11,1)&lt;=TODAY(),OR($O214="",$O214&gt;=DATE($B$1,11,1)),OR(COUNTIF($C214:M214,"&gt;0")&gt;0,DATE($B$1,11,1)=DATE(YEAR(TODAY()),MONTH(TODAY()),1))),1,0))</f>
        <v/>
      </c>
      <c r="AA214">
        <f>IF($A214="","",IF(AND($B214&gt;0,N214&lt;$B214,DATE($B$1,12,1)&lt;=TODAY(),OR($O214="",$O214&gt;=DATE($B$1,12,1)),OR(COUNTIF($C214:N214,"&gt;0")&gt;0,DATE($B$1,12,1)=DATE(YEAR(TODAY()),MONTH(TODAY()),1))),1,0))</f>
        <v/>
      </c>
    </row>
    <row r="215">
      <c r="A215" s="13">
        <f>IF(원생!$A213="","",원생!$A213&amp;IF(원생!$G213="",""," ("&amp;원생!$G213&amp;")"))</f>
        <v/>
      </c>
      <c r="B215" s="8">
        <f>IF(원생!$A213="","",N(원생!$F213))</f>
        <v/>
      </c>
      <c r="C215" s="14">
        <f>IF(원생!$A213="","",SUMIFS(계산!$C:$C,계산!$A:$A,계산!$E213,계산!$B:$B,$B$1*100+1))</f>
        <v/>
      </c>
      <c r="D215" s="14">
        <f>IF(원생!$A213="","",SUMIFS(계산!$C:$C,계산!$A:$A,계산!$E213,계산!$B:$B,$B$1*100+2))</f>
        <v/>
      </c>
      <c r="E215" s="14">
        <f>IF(원생!$A213="","",SUMIFS(계산!$C:$C,계산!$A:$A,계산!$E213,계산!$B:$B,$B$1*100+3))</f>
        <v/>
      </c>
      <c r="F215" s="14">
        <f>IF(원생!$A213="","",SUMIFS(계산!$C:$C,계산!$A:$A,계산!$E213,계산!$B:$B,$B$1*100+4))</f>
        <v/>
      </c>
      <c r="G215" s="14">
        <f>IF(원생!$A213="","",SUMIFS(계산!$C:$C,계산!$A:$A,계산!$E213,계산!$B:$B,$B$1*100+5))</f>
        <v/>
      </c>
      <c r="H215" s="14">
        <f>IF(원생!$A213="","",SUMIFS(계산!$C:$C,계산!$A:$A,계산!$E213,계산!$B:$B,$B$1*100+6))</f>
        <v/>
      </c>
      <c r="I215" s="14">
        <f>IF(원생!$A213="","",SUMIFS(계산!$C:$C,계산!$A:$A,계산!$E213,계산!$B:$B,$B$1*100+7))</f>
        <v/>
      </c>
      <c r="J215" s="14">
        <f>IF(원생!$A213="","",SUMIFS(계산!$C:$C,계산!$A:$A,계산!$E213,계산!$B:$B,$B$1*100+8))</f>
        <v/>
      </c>
      <c r="K215" s="14">
        <f>IF(원생!$A213="","",SUMIFS(계산!$C:$C,계산!$A:$A,계산!$E213,계산!$B:$B,$B$1*100+9))</f>
        <v/>
      </c>
      <c r="L215" s="14">
        <f>IF(원생!$A213="","",SUMIFS(계산!$C:$C,계산!$A:$A,계산!$E213,계산!$B:$B,$B$1*100+10))</f>
        <v/>
      </c>
      <c r="M215" s="14">
        <f>IF(원생!$A213="","",SUMIFS(계산!$C:$C,계산!$A:$A,계산!$E213,계산!$B:$B,$B$1*100+11))</f>
        <v/>
      </c>
      <c r="N215" s="14">
        <f>IF(원생!$A213="","",SUMIFS(계산!$C:$C,계산!$A:$A,계산!$E213,계산!$B:$B,$B$1*100+12))</f>
        <v/>
      </c>
      <c r="O215">
        <f>IF(원생!$I213="","",원생!$I213)</f>
        <v/>
      </c>
      <c r="P215">
        <f>IF($A215="","",IF(AND($B215&gt;0,C215&lt;$B215,DATE($B$1,1,1)&lt;=TODAY(),OR($O215="",$O215&gt;=DATE($B$1,1,1)),OR(COUNTIF($C215:C215,"&gt;0")&gt;0,DATE($B$1,1,1)=DATE(YEAR(TODAY()),MONTH(TODAY()),1))),1,0))</f>
        <v/>
      </c>
      <c r="Q215">
        <f>IF($A215="","",IF(AND($B215&gt;0,D215&lt;$B215,DATE($B$1,2,1)&lt;=TODAY(),OR($O215="",$O215&gt;=DATE($B$1,2,1)),OR(COUNTIF($C215:D215,"&gt;0")&gt;0,DATE($B$1,2,1)=DATE(YEAR(TODAY()),MONTH(TODAY()),1))),1,0))</f>
        <v/>
      </c>
      <c r="R215">
        <f>IF($A215="","",IF(AND($B215&gt;0,E215&lt;$B215,DATE($B$1,3,1)&lt;=TODAY(),OR($O215="",$O215&gt;=DATE($B$1,3,1)),OR(COUNTIF($C215:E215,"&gt;0")&gt;0,DATE($B$1,3,1)=DATE(YEAR(TODAY()),MONTH(TODAY()),1))),1,0))</f>
        <v/>
      </c>
      <c r="S215">
        <f>IF($A215="","",IF(AND($B215&gt;0,F215&lt;$B215,DATE($B$1,4,1)&lt;=TODAY(),OR($O215="",$O215&gt;=DATE($B$1,4,1)),OR(COUNTIF($C215:F215,"&gt;0")&gt;0,DATE($B$1,4,1)=DATE(YEAR(TODAY()),MONTH(TODAY()),1))),1,0))</f>
        <v/>
      </c>
      <c r="T215">
        <f>IF($A215="","",IF(AND($B215&gt;0,G215&lt;$B215,DATE($B$1,5,1)&lt;=TODAY(),OR($O215="",$O215&gt;=DATE($B$1,5,1)),OR(COUNTIF($C215:G215,"&gt;0")&gt;0,DATE($B$1,5,1)=DATE(YEAR(TODAY()),MONTH(TODAY()),1))),1,0))</f>
        <v/>
      </c>
      <c r="U215">
        <f>IF($A215="","",IF(AND($B215&gt;0,H215&lt;$B215,DATE($B$1,6,1)&lt;=TODAY(),OR($O215="",$O215&gt;=DATE($B$1,6,1)),OR(COUNTIF($C215:H215,"&gt;0")&gt;0,DATE($B$1,6,1)=DATE(YEAR(TODAY()),MONTH(TODAY()),1))),1,0))</f>
        <v/>
      </c>
      <c r="V215">
        <f>IF($A215="","",IF(AND($B215&gt;0,I215&lt;$B215,DATE($B$1,7,1)&lt;=TODAY(),OR($O215="",$O215&gt;=DATE($B$1,7,1)),OR(COUNTIF($C215:I215,"&gt;0")&gt;0,DATE($B$1,7,1)=DATE(YEAR(TODAY()),MONTH(TODAY()),1))),1,0))</f>
        <v/>
      </c>
      <c r="W215">
        <f>IF($A215="","",IF(AND($B215&gt;0,J215&lt;$B215,DATE($B$1,8,1)&lt;=TODAY(),OR($O215="",$O215&gt;=DATE($B$1,8,1)),OR(COUNTIF($C215:J215,"&gt;0")&gt;0,DATE($B$1,8,1)=DATE(YEAR(TODAY()),MONTH(TODAY()),1))),1,0))</f>
        <v/>
      </c>
      <c r="X215">
        <f>IF($A215="","",IF(AND($B215&gt;0,K215&lt;$B215,DATE($B$1,9,1)&lt;=TODAY(),OR($O215="",$O215&gt;=DATE($B$1,9,1)),OR(COUNTIF($C215:K215,"&gt;0")&gt;0,DATE($B$1,9,1)=DATE(YEAR(TODAY()),MONTH(TODAY()),1))),1,0))</f>
        <v/>
      </c>
      <c r="Y215">
        <f>IF($A215="","",IF(AND($B215&gt;0,L215&lt;$B215,DATE($B$1,10,1)&lt;=TODAY(),OR($O215="",$O215&gt;=DATE($B$1,10,1)),OR(COUNTIF($C215:L215,"&gt;0")&gt;0,DATE($B$1,10,1)=DATE(YEAR(TODAY()),MONTH(TODAY()),1))),1,0))</f>
        <v/>
      </c>
      <c r="Z215">
        <f>IF($A215="","",IF(AND($B215&gt;0,M215&lt;$B215,DATE($B$1,11,1)&lt;=TODAY(),OR($O215="",$O215&gt;=DATE($B$1,11,1)),OR(COUNTIF($C215:M215,"&gt;0")&gt;0,DATE($B$1,11,1)=DATE(YEAR(TODAY()),MONTH(TODAY()),1))),1,0))</f>
        <v/>
      </c>
      <c r="AA215">
        <f>IF($A215="","",IF(AND($B215&gt;0,N215&lt;$B215,DATE($B$1,12,1)&lt;=TODAY(),OR($O215="",$O215&gt;=DATE($B$1,12,1)),OR(COUNTIF($C215:N215,"&gt;0")&gt;0,DATE($B$1,12,1)=DATE(YEAR(TODAY()),MONTH(TODAY()),1))),1,0))</f>
        <v/>
      </c>
    </row>
    <row r="216">
      <c r="A216" s="13">
        <f>IF(원생!$A214="","",원생!$A214&amp;IF(원생!$G214="",""," ("&amp;원생!$G214&amp;")"))</f>
        <v/>
      </c>
      <c r="B216" s="8">
        <f>IF(원생!$A214="","",N(원생!$F214))</f>
        <v/>
      </c>
      <c r="C216" s="14">
        <f>IF(원생!$A214="","",SUMIFS(계산!$C:$C,계산!$A:$A,계산!$E214,계산!$B:$B,$B$1*100+1))</f>
        <v/>
      </c>
      <c r="D216" s="14">
        <f>IF(원생!$A214="","",SUMIFS(계산!$C:$C,계산!$A:$A,계산!$E214,계산!$B:$B,$B$1*100+2))</f>
        <v/>
      </c>
      <c r="E216" s="14">
        <f>IF(원생!$A214="","",SUMIFS(계산!$C:$C,계산!$A:$A,계산!$E214,계산!$B:$B,$B$1*100+3))</f>
        <v/>
      </c>
      <c r="F216" s="14">
        <f>IF(원생!$A214="","",SUMIFS(계산!$C:$C,계산!$A:$A,계산!$E214,계산!$B:$B,$B$1*100+4))</f>
        <v/>
      </c>
      <c r="G216" s="14">
        <f>IF(원생!$A214="","",SUMIFS(계산!$C:$C,계산!$A:$A,계산!$E214,계산!$B:$B,$B$1*100+5))</f>
        <v/>
      </c>
      <c r="H216" s="14">
        <f>IF(원생!$A214="","",SUMIFS(계산!$C:$C,계산!$A:$A,계산!$E214,계산!$B:$B,$B$1*100+6))</f>
        <v/>
      </c>
      <c r="I216" s="14">
        <f>IF(원생!$A214="","",SUMIFS(계산!$C:$C,계산!$A:$A,계산!$E214,계산!$B:$B,$B$1*100+7))</f>
        <v/>
      </c>
      <c r="J216" s="14">
        <f>IF(원생!$A214="","",SUMIFS(계산!$C:$C,계산!$A:$A,계산!$E214,계산!$B:$B,$B$1*100+8))</f>
        <v/>
      </c>
      <c r="K216" s="14">
        <f>IF(원생!$A214="","",SUMIFS(계산!$C:$C,계산!$A:$A,계산!$E214,계산!$B:$B,$B$1*100+9))</f>
        <v/>
      </c>
      <c r="L216" s="14">
        <f>IF(원생!$A214="","",SUMIFS(계산!$C:$C,계산!$A:$A,계산!$E214,계산!$B:$B,$B$1*100+10))</f>
        <v/>
      </c>
      <c r="M216" s="14">
        <f>IF(원생!$A214="","",SUMIFS(계산!$C:$C,계산!$A:$A,계산!$E214,계산!$B:$B,$B$1*100+11))</f>
        <v/>
      </c>
      <c r="N216" s="14">
        <f>IF(원생!$A214="","",SUMIFS(계산!$C:$C,계산!$A:$A,계산!$E214,계산!$B:$B,$B$1*100+12))</f>
        <v/>
      </c>
      <c r="O216">
        <f>IF(원생!$I214="","",원생!$I214)</f>
        <v/>
      </c>
      <c r="P216">
        <f>IF($A216="","",IF(AND($B216&gt;0,C216&lt;$B216,DATE($B$1,1,1)&lt;=TODAY(),OR($O216="",$O216&gt;=DATE($B$1,1,1)),OR(COUNTIF($C216:C216,"&gt;0")&gt;0,DATE($B$1,1,1)=DATE(YEAR(TODAY()),MONTH(TODAY()),1))),1,0))</f>
        <v/>
      </c>
      <c r="Q216">
        <f>IF($A216="","",IF(AND($B216&gt;0,D216&lt;$B216,DATE($B$1,2,1)&lt;=TODAY(),OR($O216="",$O216&gt;=DATE($B$1,2,1)),OR(COUNTIF($C216:D216,"&gt;0")&gt;0,DATE($B$1,2,1)=DATE(YEAR(TODAY()),MONTH(TODAY()),1))),1,0))</f>
        <v/>
      </c>
      <c r="R216">
        <f>IF($A216="","",IF(AND($B216&gt;0,E216&lt;$B216,DATE($B$1,3,1)&lt;=TODAY(),OR($O216="",$O216&gt;=DATE($B$1,3,1)),OR(COUNTIF($C216:E216,"&gt;0")&gt;0,DATE($B$1,3,1)=DATE(YEAR(TODAY()),MONTH(TODAY()),1))),1,0))</f>
        <v/>
      </c>
      <c r="S216">
        <f>IF($A216="","",IF(AND($B216&gt;0,F216&lt;$B216,DATE($B$1,4,1)&lt;=TODAY(),OR($O216="",$O216&gt;=DATE($B$1,4,1)),OR(COUNTIF($C216:F216,"&gt;0")&gt;0,DATE($B$1,4,1)=DATE(YEAR(TODAY()),MONTH(TODAY()),1))),1,0))</f>
        <v/>
      </c>
      <c r="T216">
        <f>IF($A216="","",IF(AND($B216&gt;0,G216&lt;$B216,DATE($B$1,5,1)&lt;=TODAY(),OR($O216="",$O216&gt;=DATE($B$1,5,1)),OR(COUNTIF($C216:G216,"&gt;0")&gt;0,DATE($B$1,5,1)=DATE(YEAR(TODAY()),MONTH(TODAY()),1))),1,0))</f>
        <v/>
      </c>
      <c r="U216">
        <f>IF($A216="","",IF(AND($B216&gt;0,H216&lt;$B216,DATE($B$1,6,1)&lt;=TODAY(),OR($O216="",$O216&gt;=DATE($B$1,6,1)),OR(COUNTIF($C216:H216,"&gt;0")&gt;0,DATE($B$1,6,1)=DATE(YEAR(TODAY()),MONTH(TODAY()),1))),1,0))</f>
        <v/>
      </c>
      <c r="V216">
        <f>IF($A216="","",IF(AND($B216&gt;0,I216&lt;$B216,DATE($B$1,7,1)&lt;=TODAY(),OR($O216="",$O216&gt;=DATE($B$1,7,1)),OR(COUNTIF($C216:I216,"&gt;0")&gt;0,DATE($B$1,7,1)=DATE(YEAR(TODAY()),MONTH(TODAY()),1))),1,0))</f>
        <v/>
      </c>
      <c r="W216">
        <f>IF($A216="","",IF(AND($B216&gt;0,J216&lt;$B216,DATE($B$1,8,1)&lt;=TODAY(),OR($O216="",$O216&gt;=DATE($B$1,8,1)),OR(COUNTIF($C216:J216,"&gt;0")&gt;0,DATE($B$1,8,1)=DATE(YEAR(TODAY()),MONTH(TODAY()),1))),1,0))</f>
        <v/>
      </c>
      <c r="X216">
        <f>IF($A216="","",IF(AND($B216&gt;0,K216&lt;$B216,DATE($B$1,9,1)&lt;=TODAY(),OR($O216="",$O216&gt;=DATE($B$1,9,1)),OR(COUNTIF($C216:K216,"&gt;0")&gt;0,DATE($B$1,9,1)=DATE(YEAR(TODAY()),MONTH(TODAY()),1))),1,0))</f>
        <v/>
      </c>
      <c r="Y216">
        <f>IF($A216="","",IF(AND($B216&gt;0,L216&lt;$B216,DATE($B$1,10,1)&lt;=TODAY(),OR($O216="",$O216&gt;=DATE($B$1,10,1)),OR(COUNTIF($C216:L216,"&gt;0")&gt;0,DATE($B$1,10,1)=DATE(YEAR(TODAY()),MONTH(TODAY()),1))),1,0))</f>
        <v/>
      </c>
      <c r="Z216">
        <f>IF($A216="","",IF(AND($B216&gt;0,M216&lt;$B216,DATE($B$1,11,1)&lt;=TODAY(),OR($O216="",$O216&gt;=DATE($B$1,11,1)),OR(COUNTIF($C216:M216,"&gt;0")&gt;0,DATE($B$1,11,1)=DATE(YEAR(TODAY()),MONTH(TODAY()),1))),1,0))</f>
        <v/>
      </c>
      <c r="AA216">
        <f>IF($A216="","",IF(AND($B216&gt;0,N216&lt;$B216,DATE($B$1,12,1)&lt;=TODAY(),OR($O216="",$O216&gt;=DATE($B$1,12,1)),OR(COUNTIF($C216:N216,"&gt;0")&gt;0,DATE($B$1,12,1)=DATE(YEAR(TODAY()),MONTH(TODAY()),1))),1,0))</f>
        <v/>
      </c>
    </row>
    <row r="217">
      <c r="A217" s="13">
        <f>IF(원생!$A215="","",원생!$A215&amp;IF(원생!$G215="",""," ("&amp;원생!$G215&amp;")"))</f>
        <v/>
      </c>
      <c r="B217" s="8">
        <f>IF(원생!$A215="","",N(원생!$F215))</f>
        <v/>
      </c>
      <c r="C217" s="14">
        <f>IF(원생!$A215="","",SUMIFS(계산!$C:$C,계산!$A:$A,계산!$E215,계산!$B:$B,$B$1*100+1))</f>
        <v/>
      </c>
      <c r="D217" s="14">
        <f>IF(원생!$A215="","",SUMIFS(계산!$C:$C,계산!$A:$A,계산!$E215,계산!$B:$B,$B$1*100+2))</f>
        <v/>
      </c>
      <c r="E217" s="14">
        <f>IF(원생!$A215="","",SUMIFS(계산!$C:$C,계산!$A:$A,계산!$E215,계산!$B:$B,$B$1*100+3))</f>
        <v/>
      </c>
      <c r="F217" s="14">
        <f>IF(원생!$A215="","",SUMIFS(계산!$C:$C,계산!$A:$A,계산!$E215,계산!$B:$B,$B$1*100+4))</f>
        <v/>
      </c>
      <c r="G217" s="14">
        <f>IF(원생!$A215="","",SUMIFS(계산!$C:$C,계산!$A:$A,계산!$E215,계산!$B:$B,$B$1*100+5))</f>
        <v/>
      </c>
      <c r="H217" s="14">
        <f>IF(원생!$A215="","",SUMIFS(계산!$C:$C,계산!$A:$A,계산!$E215,계산!$B:$B,$B$1*100+6))</f>
        <v/>
      </c>
      <c r="I217" s="14">
        <f>IF(원생!$A215="","",SUMIFS(계산!$C:$C,계산!$A:$A,계산!$E215,계산!$B:$B,$B$1*100+7))</f>
        <v/>
      </c>
      <c r="J217" s="14">
        <f>IF(원생!$A215="","",SUMIFS(계산!$C:$C,계산!$A:$A,계산!$E215,계산!$B:$B,$B$1*100+8))</f>
        <v/>
      </c>
      <c r="K217" s="14">
        <f>IF(원생!$A215="","",SUMIFS(계산!$C:$C,계산!$A:$A,계산!$E215,계산!$B:$B,$B$1*100+9))</f>
        <v/>
      </c>
      <c r="L217" s="14">
        <f>IF(원생!$A215="","",SUMIFS(계산!$C:$C,계산!$A:$A,계산!$E215,계산!$B:$B,$B$1*100+10))</f>
        <v/>
      </c>
      <c r="M217" s="14">
        <f>IF(원생!$A215="","",SUMIFS(계산!$C:$C,계산!$A:$A,계산!$E215,계산!$B:$B,$B$1*100+11))</f>
        <v/>
      </c>
      <c r="N217" s="14">
        <f>IF(원생!$A215="","",SUMIFS(계산!$C:$C,계산!$A:$A,계산!$E215,계산!$B:$B,$B$1*100+12))</f>
        <v/>
      </c>
      <c r="O217">
        <f>IF(원생!$I215="","",원생!$I215)</f>
        <v/>
      </c>
      <c r="P217">
        <f>IF($A217="","",IF(AND($B217&gt;0,C217&lt;$B217,DATE($B$1,1,1)&lt;=TODAY(),OR($O217="",$O217&gt;=DATE($B$1,1,1)),OR(COUNTIF($C217:C217,"&gt;0")&gt;0,DATE($B$1,1,1)=DATE(YEAR(TODAY()),MONTH(TODAY()),1))),1,0))</f>
        <v/>
      </c>
      <c r="Q217">
        <f>IF($A217="","",IF(AND($B217&gt;0,D217&lt;$B217,DATE($B$1,2,1)&lt;=TODAY(),OR($O217="",$O217&gt;=DATE($B$1,2,1)),OR(COUNTIF($C217:D217,"&gt;0")&gt;0,DATE($B$1,2,1)=DATE(YEAR(TODAY()),MONTH(TODAY()),1))),1,0))</f>
        <v/>
      </c>
      <c r="R217">
        <f>IF($A217="","",IF(AND($B217&gt;0,E217&lt;$B217,DATE($B$1,3,1)&lt;=TODAY(),OR($O217="",$O217&gt;=DATE($B$1,3,1)),OR(COUNTIF($C217:E217,"&gt;0")&gt;0,DATE($B$1,3,1)=DATE(YEAR(TODAY()),MONTH(TODAY()),1))),1,0))</f>
        <v/>
      </c>
      <c r="S217">
        <f>IF($A217="","",IF(AND($B217&gt;0,F217&lt;$B217,DATE($B$1,4,1)&lt;=TODAY(),OR($O217="",$O217&gt;=DATE($B$1,4,1)),OR(COUNTIF($C217:F217,"&gt;0")&gt;0,DATE($B$1,4,1)=DATE(YEAR(TODAY()),MONTH(TODAY()),1))),1,0))</f>
        <v/>
      </c>
      <c r="T217">
        <f>IF($A217="","",IF(AND($B217&gt;0,G217&lt;$B217,DATE($B$1,5,1)&lt;=TODAY(),OR($O217="",$O217&gt;=DATE($B$1,5,1)),OR(COUNTIF($C217:G217,"&gt;0")&gt;0,DATE($B$1,5,1)=DATE(YEAR(TODAY()),MONTH(TODAY()),1))),1,0))</f>
        <v/>
      </c>
      <c r="U217">
        <f>IF($A217="","",IF(AND($B217&gt;0,H217&lt;$B217,DATE($B$1,6,1)&lt;=TODAY(),OR($O217="",$O217&gt;=DATE($B$1,6,1)),OR(COUNTIF($C217:H217,"&gt;0")&gt;0,DATE($B$1,6,1)=DATE(YEAR(TODAY()),MONTH(TODAY()),1))),1,0))</f>
        <v/>
      </c>
      <c r="V217">
        <f>IF($A217="","",IF(AND($B217&gt;0,I217&lt;$B217,DATE($B$1,7,1)&lt;=TODAY(),OR($O217="",$O217&gt;=DATE($B$1,7,1)),OR(COUNTIF($C217:I217,"&gt;0")&gt;0,DATE($B$1,7,1)=DATE(YEAR(TODAY()),MONTH(TODAY()),1))),1,0))</f>
        <v/>
      </c>
      <c r="W217">
        <f>IF($A217="","",IF(AND($B217&gt;0,J217&lt;$B217,DATE($B$1,8,1)&lt;=TODAY(),OR($O217="",$O217&gt;=DATE($B$1,8,1)),OR(COUNTIF($C217:J217,"&gt;0")&gt;0,DATE($B$1,8,1)=DATE(YEAR(TODAY()),MONTH(TODAY()),1))),1,0))</f>
        <v/>
      </c>
      <c r="X217">
        <f>IF($A217="","",IF(AND($B217&gt;0,K217&lt;$B217,DATE($B$1,9,1)&lt;=TODAY(),OR($O217="",$O217&gt;=DATE($B$1,9,1)),OR(COUNTIF($C217:K217,"&gt;0")&gt;0,DATE($B$1,9,1)=DATE(YEAR(TODAY()),MONTH(TODAY()),1))),1,0))</f>
        <v/>
      </c>
      <c r="Y217">
        <f>IF($A217="","",IF(AND($B217&gt;0,L217&lt;$B217,DATE($B$1,10,1)&lt;=TODAY(),OR($O217="",$O217&gt;=DATE($B$1,10,1)),OR(COUNTIF($C217:L217,"&gt;0")&gt;0,DATE($B$1,10,1)=DATE(YEAR(TODAY()),MONTH(TODAY()),1))),1,0))</f>
        <v/>
      </c>
      <c r="Z217">
        <f>IF($A217="","",IF(AND($B217&gt;0,M217&lt;$B217,DATE($B$1,11,1)&lt;=TODAY(),OR($O217="",$O217&gt;=DATE($B$1,11,1)),OR(COUNTIF($C217:M217,"&gt;0")&gt;0,DATE($B$1,11,1)=DATE(YEAR(TODAY()),MONTH(TODAY()),1))),1,0))</f>
        <v/>
      </c>
      <c r="AA217">
        <f>IF($A217="","",IF(AND($B217&gt;0,N217&lt;$B217,DATE($B$1,12,1)&lt;=TODAY(),OR($O217="",$O217&gt;=DATE($B$1,12,1)),OR(COUNTIF($C217:N217,"&gt;0")&gt;0,DATE($B$1,12,1)=DATE(YEAR(TODAY()),MONTH(TODAY()),1))),1,0))</f>
        <v/>
      </c>
    </row>
    <row r="218">
      <c r="A218" s="13">
        <f>IF(원생!$A216="","",원생!$A216&amp;IF(원생!$G216="",""," ("&amp;원생!$G216&amp;")"))</f>
        <v/>
      </c>
      <c r="B218" s="8">
        <f>IF(원생!$A216="","",N(원생!$F216))</f>
        <v/>
      </c>
      <c r="C218" s="14">
        <f>IF(원생!$A216="","",SUMIFS(계산!$C:$C,계산!$A:$A,계산!$E216,계산!$B:$B,$B$1*100+1))</f>
        <v/>
      </c>
      <c r="D218" s="14">
        <f>IF(원생!$A216="","",SUMIFS(계산!$C:$C,계산!$A:$A,계산!$E216,계산!$B:$B,$B$1*100+2))</f>
        <v/>
      </c>
      <c r="E218" s="14">
        <f>IF(원생!$A216="","",SUMIFS(계산!$C:$C,계산!$A:$A,계산!$E216,계산!$B:$B,$B$1*100+3))</f>
        <v/>
      </c>
      <c r="F218" s="14">
        <f>IF(원생!$A216="","",SUMIFS(계산!$C:$C,계산!$A:$A,계산!$E216,계산!$B:$B,$B$1*100+4))</f>
        <v/>
      </c>
      <c r="G218" s="14">
        <f>IF(원생!$A216="","",SUMIFS(계산!$C:$C,계산!$A:$A,계산!$E216,계산!$B:$B,$B$1*100+5))</f>
        <v/>
      </c>
      <c r="H218" s="14">
        <f>IF(원생!$A216="","",SUMIFS(계산!$C:$C,계산!$A:$A,계산!$E216,계산!$B:$B,$B$1*100+6))</f>
        <v/>
      </c>
      <c r="I218" s="14">
        <f>IF(원생!$A216="","",SUMIFS(계산!$C:$C,계산!$A:$A,계산!$E216,계산!$B:$B,$B$1*100+7))</f>
        <v/>
      </c>
      <c r="J218" s="14">
        <f>IF(원생!$A216="","",SUMIFS(계산!$C:$C,계산!$A:$A,계산!$E216,계산!$B:$B,$B$1*100+8))</f>
        <v/>
      </c>
      <c r="K218" s="14">
        <f>IF(원생!$A216="","",SUMIFS(계산!$C:$C,계산!$A:$A,계산!$E216,계산!$B:$B,$B$1*100+9))</f>
        <v/>
      </c>
      <c r="L218" s="14">
        <f>IF(원생!$A216="","",SUMIFS(계산!$C:$C,계산!$A:$A,계산!$E216,계산!$B:$B,$B$1*100+10))</f>
        <v/>
      </c>
      <c r="M218" s="14">
        <f>IF(원생!$A216="","",SUMIFS(계산!$C:$C,계산!$A:$A,계산!$E216,계산!$B:$B,$B$1*100+11))</f>
        <v/>
      </c>
      <c r="N218" s="14">
        <f>IF(원생!$A216="","",SUMIFS(계산!$C:$C,계산!$A:$A,계산!$E216,계산!$B:$B,$B$1*100+12))</f>
        <v/>
      </c>
      <c r="O218">
        <f>IF(원생!$I216="","",원생!$I216)</f>
        <v/>
      </c>
      <c r="P218">
        <f>IF($A218="","",IF(AND($B218&gt;0,C218&lt;$B218,DATE($B$1,1,1)&lt;=TODAY(),OR($O218="",$O218&gt;=DATE($B$1,1,1)),OR(COUNTIF($C218:C218,"&gt;0")&gt;0,DATE($B$1,1,1)=DATE(YEAR(TODAY()),MONTH(TODAY()),1))),1,0))</f>
        <v/>
      </c>
      <c r="Q218">
        <f>IF($A218="","",IF(AND($B218&gt;0,D218&lt;$B218,DATE($B$1,2,1)&lt;=TODAY(),OR($O218="",$O218&gt;=DATE($B$1,2,1)),OR(COUNTIF($C218:D218,"&gt;0")&gt;0,DATE($B$1,2,1)=DATE(YEAR(TODAY()),MONTH(TODAY()),1))),1,0))</f>
        <v/>
      </c>
      <c r="R218">
        <f>IF($A218="","",IF(AND($B218&gt;0,E218&lt;$B218,DATE($B$1,3,1)&lt;=TODAY(),OR($O218="",$O218&gt;=DATE($B$1,3,1)),OR(COUNTIF($C218:E218,"&gt;0")&gt;0,DATE($B$1,3,1)=DATE(YEAR(TODAY()),MONTH(TODAY()),1))),1,0))</f>
        <v/>
      </c>
      <c r="S218">
        <f>IF($A218="","",IF(AND($B218&gt;0,F218&lt;$B218,DATE($B$1,4,1)&lt;=TODAY(),OR($O218="",$O218&gt;=DATE($B$1,4,1)),OR(COUNTIF($C218:F218,"&gt;0")&gt;0,DATE($B$1,4,1)=DATE(YEAR(TODAY()),MONTH(TODAY()),1))),1,0))</f>
        <v/>
      </c>
      <c r="T218">
        <f>IF($A218="","",IF(AND($B218&gt;0,G218&lt;$B218,DATE($B$1,5,1)&lt;=TODAY(),OR($O218="",$O218&gt;=DATE($B$1,5,1)),OR(COUNTIF($C218:G218,"&gt;0")&gt;0,DATE($B$1,5,1)=DATE(YEAR(TODAY()),MONTH(TODAY()),1))),1,0))</f>
        <v/>
      </c>
      <c r="U218">
        <f>IF($A218="","",IF(AND($B218&gt;0,H218&lt;$B218,DATE($B$1,6,1)&lt;=TODAY(),OR($O218="",$O218&gt;=DATE($B$1,6,1)),OR(COUNTIF($C218:H218,"&gt;0")&gt;0,DATE($B$1,6,1)=DATE(YEAR(TODAY()),MONTH(TODAY()),1))),1,0))</f>
        <v/>
      </c>
      <c r="V218">
        <f>IF($A218="","",IF(AND($B218&gt;0,I218&lt;$B218,DATE($B$1,7,1)&lt;=TODAY(),OR($O218="",$O218&gt;=DATE($B$1,7,1)),OR(COUNTIF($C218:I218,"&gt;0")&gt;0,DATE($B$1,7,1)=DATE(YEAR(TODAY()),MONTH(TODAY()),1))),1,0))</f>
        <v/>
      </c>
      <c r="W218">
        <f>IF($A218="","",IF(AND($B218&gt;0,J218&lt;$B218,DATE($B$1,8,1)&lt;=TODAY(),OR($O218="",$O218&gt;=DATE($B$1,8,1)),OR(COUNTIF($C218:J218,"&gt;0")&gt;0,DATE($B$1,8,1)=DATE(YEAR(TODAY()),MONTH(TODAY()),1))),1,0))</f>
        <v/>
      </c>
      <c r="X218">
        <f>IF($A218="","",IF(AND($B218&gt;0,K218&lt;$B218,DATE($B$1,9,1)&lt;=TODAY(),OR($O218="",$O218&gt;=DATE($B$1,9,1)),OR(COUNTIF($C218:K218,"&gt;0")&gt;0,DATE($B$1,9,1)=DATE(YEAR(TODAY()),MONTH(TODAY()),1))),1,0))</f>
        <v/>
      </c>
      <c r="Y218">
        <f>IF($A218="","",IF(AND($B218&gt;0,L218&lt;$B218,DATE($B$1,10,1)&lt;=TODAY(),OR($O218="",$O218&gt;=DATE($B$1,10,1)),OR(COUNTIF($C218:L218,"&gt;0")&gt;0,DATE($B$1,10,1)=DATE(YEAR(TODAY()),MONTH(TODAY()),1))),1,0))</f>
        <v/>
      </c>
      <c r="Z218">
        <f>IF($A218="","",IF(AND($B218&gt;0,M218&lt;$B218,DATE($B$1,11,1)&lt;=TODAY(),OR($O218="",$O218&gt;=DATE($B$1,11,1)),OR(COUNTIF($C218:M218,"&gt;0")&gt;0,DATE($B$1,11,1)=DATE(YEAR(TODAY()),MONTH(TODAY()),1))),1,0))</f>
        <v/>
      </c>
      <c r="AA218">
        <f>IF($A218="","",IF(AND($B218&gt;0,N218&lt;$B218,DATE($B$1,12,1)&lt;=TODAY(),OR($O218="",$O218&gt;=DATE($B$1,12,1)),OR(COUNTIF($C218:N218,"&gt;0")&gt;0,DATE($B$1,12,1)=DATE(YEAR(TODAY()),MONTH(TODAY()),1))),1,0))</f>
        <v/>
      </c>
    </row>
    <row r="219">
      <c r="A219" s="13">
        <f>IF(원생!$A217="","",원생!$A217&amp;IF(원생!$G217="",""," ("&amp;원생!$G217&amp;")"))</f>
        <v/>
      </c>
      <c r="B219" s="8">
        <f>IF(원생!$A217="","",N(원생!$F217))</f>
        <v/>
      </c>
      <c r="C219" s="14">
        <f>IF(원생!$A217="","",SUMIFS(계산!$C:$C,계산!$A:$A,계산!$E217,계산!$B:$B,$B$1*100+1))</f>
        <v/>
      </c>
      <c r="D219" s="14">
        <f>IF(원생!$A217="","",SUMIFS(계산!$C:$C,계산!$A:$A,계산!$E217,계산!$B:$B,$B$1*100+2))</f>
        <v/>
      </c>
      <c r="E219" s="14">
        <f>IF(원생!$A217="","",SUMIFS(계산!$C:$C,계산!$A:$A,계산!$E217,계산!$B:$B,$B$1*100+3))</f>
        <v/>
      </c>
      <c r="F219" s="14">
        <f>IF(원생!$A217="","",SUMIFS(계산!$C:$C,계산!$A:$A,계산!$E217,계산!$B:$B,$B$1*100+4))</f>
        <v/>
      </c>
      <c r="G219" s="14">
        <f>IF(원생!$A217="","",SUMIFS(계산!$C:$C,계산!$A:$A,계산!$E217,계산!$B:$B,$B$1*100+5))</f>
        <v/>
      </c>
      <c r="H219" s="14">
        <f>IF(원생!$A217="","",SUMIFS(계산!$C:$C,계산!$A:$A,계산!$E217,계산!$B:$B,$B$1*100+6))</f>
        <v/>
      </c>
      <c r="I219" s="14">
        <f>IF(원생!$A217="","",SUMIFS(계산!$C:$C,계산!$A:$A,계산!$E217,계산!$B:$B,$B$1*100+7))</f>
        <v/>
      </c>
      <c r="J219" s="14">
        <f>IF(원생!$A217="","",SUMIFS(계산!$C:$C,계산!$A:$A,계산!$E217,계산!$B:$B,$B$1*100+8))</f>
        <v/>
      </c>
      <c r="K219" s="14">
        <f>IF(원생!$A217="","",SUMIFS(계산!$C:$C,계산!$A:$A,계산!$E217,계산!$B:$B,$B$1*100+9))</f>
        <v/>
      </c>
      <c r="L219" s="14">
        <f>IF(원생!$A217="","",SUMIFS(계산!$C:$C,계산!$A:$A,계산!$E217,계산!$B:$B,$B$1*100+10))</f>
        <v/>
      </c>
      <c r="M219" s="14">
        <f>IF(원생!$A217="","",SUMIFS(계산!$C:$C,계산!$A:$A,계산!$E217,계산!$B:$B,$B$1*100+11))</f>
        <v/>
      </c>
      <c r="N219" s="14">
        <f>IF(원생!$A217="","",SUMIFS(계산!$C:$C,계산!$A:$A,계산!$E217,계산!$B:$B,$B$1*100+12))</f>
        <v/>
      </c>
      <c r="O219">
        <f>IF(원생!$I217="","",원생!$I217)</f>
        <v/>
      </c>
      <c r="P219">
        <f>IF($A219="","",IF(AND($B219&gt;0,C219&lt;$B219,DATE($B$1,1,1)&lt;=TODAY(),OR($O219="",$O219&gt;=DATE($B$1,1,1)),OR(COUNTIF($C219:C219,"&gt;0")&gt;0,DATE($B$1,1,1)=DATE(YEAR(TODAY()),MONTH(TODAY()),1))),1,0))</f>
        <v/>
      </c>
      <c r="Q219">
        <f>IF($A219="","",IF(AND($B219&gt;0,D219&lt;$B219,DATE($B$1,2,1)&lt;=TODAY(),OR($O219="",$O219&gt;=DATE($B$1,2,1)),OR(COUNTIF($C219:D219,"&gt;0")&gt;0,DATE($B$1,2,1)=DATE(YEAR(TODAY()),MONTH(TODAY()),1))),1,0))</f>
        <v/>
      </c>
      <c r="R219">
        <f>IF($A219="","",IF(AND($B219&gt;0,E219&lt;$B219,DATE($B$1,3,1)&lt;=TODAY(),OR($O219="",$O219&gt;=DATE($B$1,3,1)),OR(COUNTIF($C219:E219,"&gt;0")&gt;0,DATE($B$1,3,1)=DATE(YEAR(TODAY()),MONTH(TODAY()),1))),1,0))</f>
        <v/>
      </c>
      <c r="S219">
        <f>IF($A219="","",IF(AND($B219&gt;0,F219&lt;$B219,DATE($B$1,4,1)&lt;=TODAY(),OR($O219="",$O219&gt;=DATE($B$1,4,1)),OR(COUNTIF($C219:F219,"&gt;0")&gt;0,DATE($B$1,4,1)=DATE(YEAR(TODAY()),MONTH(TODAY()),1))),1,0))</f>
        <v/>
      </c>
      <c r="T219">
        <f>IF($A219="","",IF(AND($B219&gt;0,G219&lt;$B219,DATE($B$1,5,1)&lt;=TODAY(),OR($O219="",$O219&gt;=DATE($B$1,5,1)),OR(COUNTIF($C219:G219,"&gt;0")&gt;0,DATE($B$1,5,1)=DATE(YEAR(TODAY()),MONTH(TODAY()),1))),1,0))</f>
        <v/>
      </c>
      <c r="U219">
        <f>IF($A219="","",IF(AND($B219&gt;0,H219&lt;$B219,DATE($B$1,6,1)&lt;=TODAY(),OR($O219="",$O219&gt;=DATE($B$1,6,1)),OR(COUNTIF($C219:H219,"&gt;0")&gt;0,DATE($B$1,6,1)=DATE(YEAR(TODAY()),MONTH(TODAY()),1))),1,0))</f>
        <v/>
      </c>
      <c r="V219">
        <f>IF($A219="","",IF(AND($B219&gt;0,I219&lt;$B219,DATE($B$1,7,1)&lt;=TODAY(),OR($O219="",$O219&gt;=DATE($B$1,7,1)),OR(COUNTIF($C219:I219,"&gt;0")&gt;0,DATE($B$1,7,1)=DATE(YEAR(TODAY()),MONTH(TODAY()),1))),1,0))</f>
        <v/>
      </c>
      <c r="W219">
        <f>IF($A219="","",IF(AND($B219&gt;0,J219&lt;$B219,DATE($B$1,8,1)&lt;=TODAY(),OR($O219="",$O219&gt;=DATE($B$1,8,1)),OR(COUNTIF($C219:J219,"&gt;0")&gt;0,DATE($B$1,8,1)=DATE(YEAR(TODAY()),MONTH(TODAY()),1))),1,0))</f>
        <v/>
      </c>
      <c r="X219">
        <f>IF($A219="","",IF(AND($B219&gt;0,K219&lt;$B219,DATE($B$1,9,1)&lt;=TODAY(),OR($O219="",$O219&gt;=DATE($B$1,9,1)),OR(COUNTIF($C219:K219,"&gt;0")&gt;0,DATE($B$1,9,1)=DATE(YEAR(TODAY()),MONTH(TODAY()),1))),1,0))</f>
        <v/>
      </c>
      <c r="Y219">
        <f>IF($A219="","",IF(AND($B219&gt;0,L219&lt;$B219,DATE($B$1,10,1)&lt;=TODAY(),OR($O219="",$O219&gt;=DATE($B$1,10,1)),OR(COUNTIF($C219:L219,"&gt;0")&gt;0,DATE($B$1,10,1)=DATE(YEAR(TODAY()),MONTH(TODAY()),1))),1,0))</f>
        <v/>
      </c>
      <c r="Z219">
        <f>IF($A219="","",IF(AND($B219&gt;0,M219&lt;$B219,DATE($B$1,11,1)&lt;=TODAY(),OR($O219="",$O219&gt;=DATE($B$1,11,1)),OR(COUNTIF($C219:M219,"&gt;0")&gt;0,DATE($B$1,11,1)=DATE(YEAR(TODAY()),MONTH(TODAY()),1))),1,0))</f>
        <v/>
      </c>
      <c r="AA219">
        <f>IF($A219="","",IF(AND($B219&gt;0,N219&lt;$B219,DATE($B$1,12,1)&lt;=TODAY(),OR($O219="",$O219&gt;=DATE($B$1,12,1)),OR(COUNTIF($C219:N219,"&gt;0")&gt;0,DATE($B$1,12,1)=DATE(YEAR(TODAY()),MONTH(TODAY()),1))),1,0))</f>
        <v/>
      </c>
    </row>
    <row r="220">
      <c r="A220" s="13">
        <f>IF(원생!$A218="","",원생!$A218&amp;IF(원생!$G218="",""," ("&amp;원생!$G218&amp;")"))</f>
        <v/>
      </c>
      <c r="B220" s="8">
        <f>IF(원생!$A218="","",N(원생!$F218))</f>
        <v/>
      </c>
      <c r="C220" s="14">
        <f>IF(원생!$A218="","",SUMIFS(계산!$C:$C,계산!$A:$A,계산!$E218,계산!$B:$B,$B$1*100+1))</f>
        <v/>
      </c>
      <c r="D220" s="14">
        <f>IF(원생!$A218="","",SUMIFS(계산!$C:$C,계산!$A:$A,계산!$E218,계산!$B:$B,$B$1*100+2))</f>
        <v/>
      </c>
      <c r="E220" s="14">
        <f>IF(원생!$A218="","",SUMIFS(계산!$C:$C,계산!$A:$A,계산!$E218,계산!$B:$B,$B$1*100+3))</f>
        <v/>
      </c>
      <c r="F220" s="14">
        <f>IF(원생!$A218="","",SUMIFS(계산!$C:$C,계산!$A:$A,계산!$E218,계산!$B:$B,$B$1*100+4))</f>
        <v/>
      </c>
      <c r="G220" s="14">
        <f>IF(원생!$A218="","",SUMIFS(계산!$C:$C,계산!$A:$A,계산!$E218,계산!$B:$B,$B$1*100+5))</f>
        <v/>
      </c>
      <c r="H220" s="14">
        <f>IF(원생!$A218="","",SUMIFS(계산!$C:$C,계산!$A:$A,계산!$E218,계산!$B:$B,$B$1*100+6))</f>
        <v/>
      </c>
      <c r="I220" s="14">
        <f>IF(원생!$A218="","",SUMIFS(계산!$C:$C,계산!$A:$A,계산!$E218,계산!$B:$B,$B$1*100+7))</f>
        <v/>
      </c>
      <c r="J220" s="14">
        <f>IF(원생!$A218="","",SUMIFS(계산!$C:$C,계산!$A:$A,계산!$E218,계산!$B:$B,$B$1*100+8))</f>
        <v/>
      </c>
      <c r="K220" s="14">
        <f>IF(원생!$A218="","",SUMIFS(계산!$C:$C,계산!$A:$A,계산!$E218,계산!$B:$B,$B$1*100+9))</f>
        <v/>
      </c>
      <c r="L220" s="14">
        <f>IF(원생!$A218="","",SUMIFS(계산!$C:$C,계산!$A:$A,계산!$E218,계산!$B:$B,$B$1*100+10))</f>
        <v/>
      </c>
      <c r="M220" s="14">
        <f>IF(원생!$A218="","",SUMIFS(계산!$C:$C,계산!$A:$A,계산!$E218,계산!$B:$B,$B$1*100+11))</f>
        <v/>
      </c>
      <c r="N220" s="14">
        <f>IF(원생!$A218="","",SUMIFS(계산!$C:$C,계산!$A:$A,계산!$E218,계산!$B:$B,$B$1*100+12))</f>
        <v/>
      </c>
      <c r="O220">
        <f>IF(원생!$I218="","",원생!$I218)</f>
        <v/>
      </c>
      <c r="P220">
        <f>IF($A220="","",IF(AND($B220&gt;0,C220&lt;$B220,DATE($B$1,1,1)&lt;=TODAY(),OR($O220="",$O220&gt;=DATE($B$1,1,1)),OR(COUNTIF($C220:C220,"&gt;0")&gt;0,DATE($B$1,1,1)=DATE(YEAR(TODAY()),MONTH(TODAY()),1))),1,0))</f>
        <v/>
      </c>
      <c r="Q220">
        <f>IF($A220="","",IF(AND($B220&gt;0,D220&lt;$B220,DATE($B$1,2,1)&lt;=TODAY(),OR($O220="",$O220&gt;=DATE($B$1,2,1)),OR(COUNTIF($C220:D220,"&gt;0")&gt;0,DATE($B$1,2,1)=DATE(YEAR(TODAY()),MONTH(TODAY()),1))),1,0))</f>
        <v/>
      </c>
      <c r="R220">
        <f>IF($A220="","",IF(AND($B220&gt;0,E220&lt;$B220,DATE($B$1,3,1)&lt;=TODAY(),OR($O220="",$O220&gt;=DATE($B$1,3,1)),OR(COUNTIF($C220:E220,"&gt;0")&gt;0,DATE($B$1,3,1)=DATE(YEAR(TODAY()),MONTH(TODAY()),1))),1,0))</f>
        <v/>
      </c>
      <c r="S220">
        <f>IF($A220="","",IF(AND($B220&gt;0,F220&lt;$B220,DATE($B$1,4,1)&lt;=TODAY(),OR($O220="",$O220&gt;=DATE($B$1,4,1)),OR(COUNTIF($C220:F220,"&gt;0")&gt;0,DATE($B$1,4,1)=DATE(YEAR(TODAY()),MONTH(TODAY()),1))),1,0))</f>
        <v/>
      </c>
      <c r="T220">
        <f>IF($A220="","",IF(AND($B220&gt;0,G220&lt;$B220,DATE($B$1,5,1)&lt;=TODAY(),OR($O220="",$O220&gt;=DATE($B$1,5,1)),OR(COUNTIF($C220:G220,"&gt;0")&gt;0,DATE($B$1,5,1)=DATE(YEAR(TODAY()),MONTH(TODAY()),1))),1,0))</f>
        <v/>
      </c>
      <c r="U220">
        <f>IF($A220="","",IF(AND($B220&gt;0,H220&lt;$B220,DATE($B$1,6,1)&lt;=TODAY(),OR($O220="",$O220&gt;=DATE($B$1,6,1)),OR(COUNTIF($C220:H220,"&gt;0")&gt;0,DATE($B$1,6,1)=DATE(YEAR(TODAY()),MONTH(TODAY()),1))),1,0))</f>
        <v/>
      </c>
      <c r="V220">
        <f>IF($A220="","",IF(AND($B220&gt;0,I220&lt;$B220,DATE($B$1,7,1)&lt;=TODAY(),OR($O220="",$O220&gt;=DATE($B$1,7,1)),OR(COUNTIF($C220:I220,"&gt;0")&gt;0,DATE($B$1,7,1)=DATE(YEAR(TODAY()),MONTH(TODAY()),1))),1,0))</f>
        <v/>
      </c>
      <c r="W220">
        <f>IF($A220="","",IF(AND($B220&gt;0,J220&lt;$B220,DATE($B$1,8,1)&lt;=TODAY(),OR($O220="",$O220&gt;=DATE($B$1,8,1)),OR(COUNTIF($C220:J220,"&gt;0")&gt;0,DATE($B$1,8,1)=DATE(YEAR(TODAY()),MONTH(TODAY()),1))),1,0))</f>
        <v/>
      </c>
      <c r="X220">
        <f>IF($A220="","",IF(AND($B220&gt;0,K220&lt;$B220,DATE($B$1,9,1)&lt;=TODAY(),OR($O220="",$O220&gt;=DATE($B$1,9,1)),OR(COUNTIF($C220:K220,"&gt;0")&gt;0,DATE($B$1,9,1)=DATE(YEAR(TODAY()),MONTH(TODAY()),1))),1,0))</f>
        <v/>
      </c>
      <c r="Y220">
        <f>IF($A220="","",IF(AND($B220&gt;0,L220&lt;$B220,DATE($B$1,10,1)&lt;=TODAY(),OR($O220="",$O220&gt;=DATE($B$1,10,1)),OR(COUNTIF($C220:L220,"&gt;0")&gt;0,DATE($B$1,10,1)=DATE(YEAR(TODAY()),MONTH(TODAY()),1))),1,0))</f>
        <v/>
      </c>
      <c r="Z220">
        <f>IF($A220="","",IF(AND($B220&gt;0,M220&lt;$B220,DATE($B$1,11,1)&lt;=TODAY(),OR($O220="",$O220&gt;=DATE($B$1,11,1)),OR(COUNTIF($C220:M220,"&gt;0")&gt;0,DATE($B$1,11,1)=DATE(YEAR(TODAY()),MONTH(TODAY()),1))),1,0))</f>
        <v/>
      </c>
      <c r="AA220">
        <f>IF($A220="","",IF(AND($B220&gt;0,N220&lt;$B220,DATE($B$1,12,1)&lt;=TODAY(),OR($O220="",$O220&gt;=DATE($B$1,12,1)),OR(COUNTIF($C220:N220,"&gt;0")&gt;0,DATE($B$1,12,1)=DATE(YEAR(TODAY()),MONTH(TODAY()),1))),1,0))</f>
        <v/>
      </c>
    </row>
    <row r="221">
      <c r="A221" s="13">
        <f>IF(원생!$A219="","",원생!$A219&amp;IF(원생!$G219="",""," ("&amp;원생!$G219&amp;")"))</f>
        <v/>
      </c>
      <c r="B221" s="8">
        <f>IF(원생!$A219="","",N(원생!$F219))</f>
        <v/>
      </c>
      <c r="C221" s="14">
        <f>IF(원생!$A219="","",SUMIFS(계산!$C:$C,계산!$A:$A,계산!$E219,계산!$B:$B,$B$1*100+1))</f>
        <v/>
      </c>
      <c r="D221" s="14">
        <f>IF(원생!$A219="","",SUMIFS(계산!$C:$C,계산!$A:$A,계산!$E219,계산!$B:$B,$B$1*100+2))</f>
        <v/>
      </c>
      <c r="E221" s="14">
        <f>IF(원생!$A219="","",SUMIFS(계산!$C:$C,계산!$A:$A,계산!$E219,계산!$B:$B,$B$1*100+3))</f>
        <v/>
      </c>
      <c r="F221" s="14">
        <f>IF(원생!$A219="","",SUMIFS(계산!$C:$C,계산!$A:$A,계산!$E219,계산!$B:$B,$B$1*100+4))</f>
        <v/>
      </c>
      <c r="G221" s="14">
        <f>IF(원생!$A219="","",SUMIFS(계산!$C:$C,계산!$A:$A,계산!$E219,계산!$B:$B,$B$1*100+5))</f>
        <v/>
      </c>
      <c r="H221" s="14">
        <f>IF(원생!$A219="","",SUMIFS(계산!$C:$C,계산!$A:$A,계산!$E219,계산!$B:$B,$B$1*100+6))</f>
        <v/>
      </c>
      <c r="I221" s="14">
        <f>IF(원생!$A219="","",SUMIFS(계산!$C:$C,계산!$A:$A,계산!$E219,계산!$B:$B,$B$1*100+7))</f>
        <v/>
      </c>
      <c r="J221" s="14">
        <f>IF(원생!$A219="","",SUMIFS(계산!$C:$C,계산!$A:$A,계산!$E219,계산!$B:$B,$B$1*100+8))</f>
        <v/>
      </c>
      <c r="K221" s="14">
        <f>IF(원생!$A219="","",SUMIFS(계산!$C:$C,계산!$A:$A,계산!$E219,계산!$B:$B,$B$1*100+9))</f>
        <v/>
      </c>
      <c r="L221" s="14">
        <f>IF(원생!$A219="","",SUMIFS(계산!$C:$C,계산!$A:$A,계산!$E219,계산!$B:$B,$B$1*100+10))</f>
        <v/>
      </c>
      <c r="M221" s="14">
        <f>IF(원생!$A219="","",SUMIFS(계산!$C:$C,계산!$A:$A,계산!$E219,계산!$B:$B,$B$1*100+11))</f>
        <v/>
      </c>
      <c r="N221" s="14">
        <f>IF(원생!$A219="","",SUMIFS(계산!$C:$C,계산!$A:$A,계산!$E219,계산!$B:$B,$B$1*100+12))</f>
        <v/>
      </c>
      <c r="O221">
        <f>IF(원생!$I219="","",원생!$I219)</f>
        <v/>
      </c>
      <c r="P221">
        <f>IF($A221="","",IF(AND($B221&gt;0,C221&lt;$B221,DATE($B$1,1,1)&lt;=TODAY(),OR($O221="",$O221&gt;=DATE($B$1,1,1)),OR(COUNTIF($C221:C221,"&gt;0")&gt;0,DATE($B$1,1,1)=DATE(YEAR(TODAY()),MONTH(TODAY()),1))),1,0))</f>
        <v/>
      </c>
      <c r="Q221">
        <f>IF($A221="","",IF(AND($B221&gt;0,D221&lt;$B221,DATE($B$1,2,1)&lt;=TODAY(),OR($O221="",$O221&gt;=DATE($B$1,2,1)),OR(COUNTIF($C221:D221,"&gt;0")&gt;0,DATE($B$1,2,1)=DATE(YEAR(TODAY()),MONTH(TODAY()),1))),1,0))</f>
        <v/>
      </c>
      <c r="R221">
        <f>IF($A221="","",IF(AND($B221&gt;0,E221&lt;$B221,DATE($B$1,3,1)&lt;=TODAY(),OR($O221="",$O221&gt;=DATE($B$1,3,1)),OR(COUNTIF($C221:E221,"&gt;0")&gt;0,DATE($B$1,3,1)=DATE(YEAR(TODAY()),MONTH(TODAY()),1))),1,0))</f>
        <v/>
      </c>
      <c r="S221">
        <f>IF($A221="","",IF(AND($B221&gt;0,F221&lt;$B221,DATE($B$1,4,1)&lt;=TODAY(),OR($O221="",$O221&gt;=DATE($B$1,4,1)),OR(COUNTIF($C221:F221,"&gt;0")&gt;0,DATE($B$1,4,1)=DATE(YEAR(TODAY()),MONTH(TODAY()),1))),1,0))</f>
        <v/>
      </c>
      <c r="T221">
        <f>IF($A221="","",IF(AND($B221&gt;0,G221&lt;$B221,DATE($B$1,5,1)&lt;=TODAY(),OR($O221="",$O221&gt;=DATE($B$1,5,1)),OR(COUNTIF($C221:G221,"&gt;0")&gt;0,DATE($B$1,5,1)=DATE(YEAR(TODAY()),MONTH(TODAY()),1))),1,0))</f>
        <v/>
      </c>
      <c r="U221">
        <f>IF($A221="","",IF(AND($B221&gt;0,H221&lt;$B221,DATE($B$1,6,1)&lt;=TODAY(),OR($O221="",$O221&gt;=DATE($B$1,6,1)),OR(COUNTIF($C221:H221,"&gt;0")&gt;0,DATE($B$1,6,1)=DATE(YEAR(TODAY()),MONTH(TODAY()),1))),1,0))</f>
        <v/>
      </c>
      <c r="V221">
        <f>IF($A221="","",IF(AND($B221&gt;0,I221&lt;$B221,DATE($B$1,7,1)&lt;=TODAY(),OR($O221="",$O221&gt;=DATE($B$1,7,1)),OR(COUNTIF($C221:I221,"&gt;0")&gt;0,DATE($B$1,7,1)=DATE(YEAR(TODAY()),MONTH(TODAY()),1))),1,0))</f>
        <v/>
      </c>
      <c r="W221">
        <f>IF($A221="","",IF(AND($B221&gt;0,J221&lt;$B221,DATE($B$1,8,1)&lt;=TODAY(),OR($O221="",$O221&gt;=DATE($B$1,8,1)),OR(COUNTIF($C221:J221,"&gt;0")&gt;0,DATE($B$1,8,1)=DATE(YEAR(TODAY()),MONTH(TODAY()),1))),1,0))</f>
        <v/>
      </c>
      <c r="X221">
        <f>IF($A221="","",IF(AND($B221&gt;0,K221&lt;$B221,DATE($B$1,9,1)&lt;=TODAY(),OR($O221="",$O221&gt;=DATE($B$1,9,1)),OR(COUNTIF($C221:K221,"&gt;0")&gt;0,DATE($B$1,9,1)=DATE(YEAR(TODAY()),MONTH(TODAY()),1))),1,0))</f>
        <v/>
      </c>
      <c r="Y221">
        <f>IF($A221="","",IF(AND($B221&gt;0,L221&lt;$B221,DATE($B$1,10,1)&lt;=TODAY(),OR($O221="",$O221&gt;=DATE($B$1,10,1)),OR(COUNTIF($C221:L221,"&gt;0")&gt;0,DATE($B$1,10,1)=DATE(YEAR(TODAY()),MONTH(TODAY()),1))),1,0))</f>
        <v/>
      </c>
      <c r="Z221">
        <f>IF($A221="","",IF(AND($B221&gt;0,M221&lt;$B221,DATE($B$1,11,1)&lt;=TODAY(),OR($O221="",$O221&gt;=DATE($B$1,11,1)),OR(COUNTIF($C221:M221,"&gt;0")&gt;0,DATE($B$1,11,1)=DATE(YEAR(TODAY()),MONTH(TODAY()),1))),1,0))</f>
        <v/>
      </c>
      <c r="AA221">
        <f>IF($A221="","",IF(AND($B221&gt;0,N221&lt;$B221,DATE($B$1,12,1)&lt;=TODAY(),OR($O221="",$O221&gt;=DATE($B$1,12,1)),OR(COUNTIF($C221:N221,"&gt;0")&gt;0,DATE($B$1,12,1)=DATE(YEAR(TODAY()),MONTH(TODAY()),1))),1,0))</f>
        <v/>
      </c>
    </row>
    <row r="222">
      <c r="A222" s="13">
        <f>IF(원생!$A220="","",원생!$A220&amp;IF(원생!$G220="",""," ("&amp;원생!$G220&amp;")"))</f>
        <v/>
      </c>
      <c r="B222" s="8">
        <f>IF(원생!$A220="","",N(원생!$F220))</f>
        <v/>
      </c>
      <c r="C222" s="14">
        <f>IF(원생!$A220="","",SUMIFS(계산!$C:$C,계산!$A:$A,계산!$E220,계산!$B:$B,$B$1*100+1))</f>
        <v/>
      </c>
      <c r="D222" s="14">
        <f>IF(원생!$A220="","",SUMIFS(계산!$C:$C,계산!$A:$A,계산!$E220,계산!$B:$B,$B$1*100+2))</f>
        <v/>
      </c>
      <c r="E222" s="14">
        <f>IF(원생!$A220="","",SUMIFS(계산!$C:$C,계산!$A:$A,계산!$E220,계산!$B:$B,$B$1*100+3))</f>
        <v/>
      </c>
      <c r="F222" s="14">
        <f>IF(원생!$A220="","",SUMIFS(계산!$C:$C,계산!$A:$A,계산!$E220,계산!$B:$B,$B$1*100+4))</f>
        <v/>
      </c>
      <c r="G222" s="14">
        <f>IF(원생!$A220="","",SUMIFS(계산!$C:$C,계산!$A:$A,계산!$E220,계산!$B:$B,$B$1*100+5))</f>
        <v/>
      </c>
      <c r="H222" s="14">
        <f>IF(원생!$A220="","",SUMIFS(계산!$C:$C,계산!$A:$A,계산!$E220,계산!$B:$B,$B$1*100+6))</f>
        <v/>
      </c>
      <c r="I222" s="14">
        <f>IF(원생!$A220="","",SUMIFS(계산!$C:$C,계산!$A:$A,계산!$E220,계산!$B:$B,$B$1*100+7))</f>
        <v/>
      </c>
      <c r="J222" s="14">
        <f>IF(원생!$A220="","",SUMIFS(계산!$C:$C,계산!$A:$A,계산!$E220,계산!$B:$B,$B$1*100+8))</f>
        <v/>
      </c>
      <c r="K222" s="14">
        <f>IF(원생!$A220="","",SUMIFS(계산!$C:$C,계산!$A:$A,계산!$E220,계산!$B:$B,$B$1*100+9))</f>
        <v/>
      </c>
      <c r="L222" s="14">
        <f>IF(원생!$A220="","",SUMIFS(계산!$C:$C,계산!$A:$A,계산!$E220,계산!$B:$B,$B$1*100+10))</f>
        <v/>
      </c>
      <c r="M222" s="14">
        <f>IF(원생!$A220="","",SUMIFS(계산!$C:$C,계산!$A:$A,계산!$E220,계산!$B:$B,$B$1*100+11))</f>
        <v/>
      </c>
      <c r="N222" s="14">
        <f>IF(원생!$A220="","",SUMIFS(계산!$C:$C,계산!$A:$A,계산!$E220,계산!$B:$B,$B$1*100+12))</f>
        <v/>
      </c>
      <c r="O222">
        <f>IF(원생!$I220="","",원생!$I220)</f>
        <v/>
      </c>
      <c r="P222">
        <f>IF($A222="","",IF(AND($B222&gt;0,C222&lt;$B222,DATE($B$1,1,1)&lt;=TODAY(),OR($O222="",$O222&gt;=DATE($B$1,1,1)),OR(COUNTIF($C222:C222,"&gt;0")&gt;0,DATE($B$1,1,1)=DATE(YEAR(TODAY()),MONTH(TODAY()),1))),1,0))</f>
        <v/>
      </c>
      <c r="Q222">
        <f>IF($A222="","",IF(AND($B222&gt;0,D222&lt;$B222,DATE($B$1,2,1)&lt;=TODAY(),OR($O222="",$O222&gt;=DATE($B$1,2,1)),OR(COUNTIF($C222:D222,"&gt;0")&gt;0,DATE($B$1,2,1)=DATE(YEAR(TODAY()),MONTH(TODAY()),1))),1,0))</f>
        <v/>
      </c>
      <c r="R222">
        <f>IF($A222="","",IF(AND($B222&gt;0,E222&lt;$B222,DATE($B$1,3,1)&lt;=TODAY(),OR($O222="",$O222&gt;=DATE($B$1,3,1)),OR(COUNTIF($C222:E222,"&gt;0")&gt;0,DATE($B$1,3,1)=DATE(YEAR(TODAY()),MONTH(TODAY()),1))),1,0))</f>
        <v/>
      </c>
      <c r="S222">
        <f>IF($A222="","",IF(AND($B222&gt;0,F222&lt;$B222,DATE($B$1,4,1)&lt;=TODAY(),OR($O222="",$O222&gt;=DATE($B$1,4,1)),OR(COUNTIF($C222:F222,"&gt;0")&gt;0,DATE($B$1,4,1)=DATE(YEAR(TODAY()),MONTH(TODAY()),1))),1,0))</f>
        <v/>
      </c>
      <c r="T222">
        <f>IF($A222="","",IF(AND($B222&gt;0,G222&lt;$B222,DATE($B$1,5,1)&lt;=TODAY(),OR($O222="",$O222&gt;=DATE($B$1,5,1)),OR(COUNTIF($C222:G222,"&gt;0")&gt;0,DATE($B$1,5,1)=DATE(YEAR(TODAY()),MONTH(TODAY()),1))),1,0))</f>
        <v/>
      </c>
      <c r="U222">
        <f>IF($A222="","",IF(AND($B222&gt;0,H222&lt;$B222,DATE($B$1,6,1)&lt;=TODAY(),OR($O222="",$O222&gt;=DATE($B$1,6,1)),OR(COUNTIF($C222:H222,"&gt;0")&gt;0,DATE($B$1,6,1)=DATE(YEAR(TODAY()),MONTH(TODAY()),1))),1,0))</f>
        <v/>
      </c>
      <c r="V222">
        <f>IF($A222="","",IF(AND($B222&gt;0,I222&lt;$B222,DATE($B$1,7,1)&lt;=TODAY(),OR($O222="",$O222&gt;=DATE($B$1,7,1)),OR(COUNTIF($C222:I222,"&gt;0")&gt;0,DATE($B$1,7,1)=DATE(YEAR(TODAY()),MONTH(TODAY()),1))),1,0))</f>
        <v/>
      </c>
      <c r="W222">
        <f>IF($A222="","",IF(AND($B222&gt;0,J222&lt;$B222,DATE($B$1,8,1)&lt;=TODAY(),OR($O222="",$O222&gt;=DATE($B$1,8,1)),OR(COUNTIF($C222:J222,"&gt;0")&gt;0,DATE($B$1,8,1)=DATE(YEAR(TODAY()),MONTH(TODAY()),1))),1,0))</f>
        <v/>
      </c>
      <c r="X222">
        <f>IF($A222="","",IF(AND($B222&gt;0,K222&lt;$B222,DATE($B$1,9,1)&lt;=TODAY(),OR($O222="",$O222&gt;=DATE($B$1,9,1)),OR(COUNTIF($C222:K222,"&gt;0")&gt;0,DATE($B$1,9,1)=DATE(YEAR(TODAY()),MONTH(TODAY()),1))),1,0))</f>
        <v/>
      </c>
      <c r="Y222">
        <f>IF($A222="","",IF(AND($B222&gt;0,L222&lt;$B222,DATE($B$1,10,1)&lt;=TODAY(),OR($O222="",$O222&gt;=DATE($B$1,10,1)),OR(COUNTIF($C222:L222,"&gt;0")&gt;0,DATE($B$1,10,1)=DATE(YEAR(TODAY()),MONTH(TODAY()),1))),1,0))</f>
        <v/>
      </c>
      <c r="Z222">
        <f>IF($A222="","",IF(AND($B222&gt;0,M222&lt;$B222,DATE($B$1,11,1)&lt;=TODAY(),OR($O222="",$O222&gt;=DATE($B$1,11,1)),OR(COUNTIF($C222:M222,"&gt;0")&gt;0,DATE($B$1,11,1)=DATE(YEAR(TODAY()),MONTH(TODAY()),1))),1,0))</f>
        <v/>
      </c>
      <c r="AA222">
        <f>IF($A222="","",IF(AND($B222&gt;0,N222&lt;$B222,DATE($B$1,12,1)&lt;=TODAY(),OR($O222="",$O222&gt;=DATE($B$1,12,1)),OR(COUNTIF($C222:N222,"&gt;0")&gt;0,DATE($B$1,12,1)=DATE(YEAR(TODAY()),MONTH(TODAY()),1))),1,0))</f>
        <v/>
      </c>
    </row>
    <row r="223">
      <c r="A223" s="13">
        <f>IF(원생!$A221="","",원생!$A221&amp;IF(원생!$G221="",""," ("&amp;원생!$G221&amp;")"))</f>
        <v/>
      </c>
      <c r="B223" s="8">
        <f>IF(원생!$A221="","",N(원생!$F221))</f>
        <v/>
      </c>
      <c r="C223" s="14">
        <f>IF(원생!$A221="","",SUMIFS(계산!$C:$C,계산!$A:$A,계산!$E221,계산!$B:$B,$B$1*100+1))</f>
        <v/>
      </c>
      <c r="D223" s="14">
        <f>IF(원생!$A221="","",SUMIFS(계산!$C:$C,계산!$A:$A,계산!$E221,계산!$B:$B,$B$1*100+2))</f>
        <v/>
      </c>
      <c r="E223" s="14">
        <f>IF(원생!$A221="","",SUMIFS(계산!$C:$C,계산!$A:$A,계산!$E221,계산!$B:$B,$B$1*100+3))</f>
        <v/>
      </c>
      <c r="F223" s="14">
        <f>IF(원생!$A221="","",SUMIFS(계산!$C:$C,계산!$A:$A,계산!$E221,계산!$B:$B,$B$1*100+4))</f>
        <v/>
      </c>
      <c r="G223" s="14">
        <f>IF(원생!$A221="","",SUMIFS(계산!$C:$C,계산!$A:$A,계산!$E221,계산!$B:$B,$B$1*100+5))</f>
        <v/>
      </c>
      <c r="H223" s="14">
        <f>IF(원생!$A221="","",SUMIFS(계산!$C:$C,계산!$A:$A,계산!$E221,계산!$B:$B,$B$1*100+6))</f>
        <v/>
      </c>
      <c r="I223" s="14">
        <f>IF(원생!$A221="","",SUMIFS(계산!$C:$C,계산!$A:$A,계산!$E221,계산!$B:$B,$B$1*100+7))</f>
        <v/>
      </c>
      <c r="J223" s="14">
        <f>IF(원생!$A221="","",SUMIFS(계산!$C:$C,계산!$A:$A,계산!$E221,계산!$B:$B,$B$1*100+8))</f>
        <v/>
      </c>
      <c r="K223" s="14">
        <f>IF(원생!$A221="","",SUMIFS(계산!$C:$C,계산!$A:$A,계산!$E221,계산!$B:$B,$B$1*100+9))</f>
        <v/>
      </c>
      <c r="L223" s="14">
        <f>IF(원생!$A221="","",SUMIFS(계산!$C:$C,계산!$A:$A,계산!$E221,계산!$B:$B,$B$1*100+10))</f>
        <v/>
      </c>
      <c r="M223" s="14">
        <f>IF(원생!$A221="","",SUMIFS(계산!$C:$C,계산!$A:$A,계산!$E221,계산!$B:$B,$B$1*100+11))</f>
        <v/>
      </c>
      <c r="N223" s="14">
        <f>IF(원생!$A221="","",SUMIFS(계산!$C:$C,계산!$A:$A,계산!$E221,계산!$B:$B,$B$1*100+12))</f>
        <v/>
      </c>
      <c r="O223">
        <f>IF(원생!$I221="","",원생!$I221)</f>
        <v/>
      </c>
      <c r="P223">
        <f>IF($A223="","",IF(AND($B223&gt;0,C223&lt;$B223,DATE($B$1,1,1)&lt;=TODAY(),OR($O223="",$O223&gt;=DATE($B$1,1,1)),OR(COUNTIF($C223:C223,"&gt;0")&gt;0,DATE($B$1,1,1)=DATE(YEAR(TODAY()),MONTH(TODAY()),1))),1,0))</f>
        <v/>
      </c>
      <c r="Q223">
        <f>IF($A223="","",IF(AND($B223&gt;0,D223&lt;$B223,DATE($B$1,2,1)&lt;=TODAY(),OR($O223="",$O223&gt;=DATE($B$1,2,1)),OR(COUNTIF($C223:D223,"&gt;0")&gt;0,DATE($B$1,2,1)=DATE(YEAR(TODAY()),MONTH(TODAY()),1))),1,0))</f>
        <v/>
      </c>
      <c r="R223">
        <f>IF($A223="","",IF(AND($B223&gt;0,E223&lt;$B223,DATE($B$1,3,1)&lt;=TODAY(),OR($O223="",$O223&gt;=DATE($B$1,3,1)),OR(COUNTIF($C223:E223,"&gt;0")&gt;0,DATE($B$1,3,1)=DATE(YEAR(TODAY()),MONTH(TODAY()),1))),1,0))</f>
        <v/>
      </c>
      <c r="S223">
        <f>IF($A223="","",IF(AND($B223&gt;0,F223&lt;$B223,DATE($B$1,4,1)&lt;=TODAY(),OR($O223="",$O223&gt;=DATE($B$1,4,1)),OR(COUNTIF($C223:F223,"&gt;0")&gt;0,DATE($B$1,4,1)=DATE(YEAR(TODAY()),MONTH(TODAY()),1))),1,0))</f>
        <v/>
      </c>
      <c r="T223">
        <f>IF($A223="","",IF(AND($B223&gt;0,G223&lt;$B223,DATE($B$1,5,1)&lt;=TODAY(),OR($O223="",$O223&gt;=DATE($B$1,5,1)),OR(COUNTIF($C223:G223,"&gt;0")&gt;0,DATE($B$1,5,1)=DATE(YEAR(TODAY()),MONTH(TODAY()),1))),1,0))</f>
        <v/>
      </c>
      <c r="U223">
        <f>IF($A223="","",IF(AND($B223&gt;0,H223&lt;$B223,DATE($B$1,6,1)&lt;=TODAY(),OR($O223="",$O223&gt;=DATE($B$1,6,1)),OR(COUNTIF($C223:H223,"&gt;0")&gt;0,DATE($B$1,6,1)=DATE(YEAR(TODAY()),MONTH(TODAY()),1))),1,0))</f>
        <v/>
      </c>
      <c r="V223">
        <f>IF($A223="","",IF(AND($B223&gt;0,I223&lt;$B223,DATE($B$1,7,1)&lt;=TODAY(),OR($O223="",$O223&gt;=DATE($B$1,7,1)),OR(COUNTIF($C223:I223,"&gt;0")&gt;0,DATE($B$1,7,1)=DATE(YEAR(TODAY()),MONTH(TODAY()),1))),1,0))</f>
        <v/>
      </c>
      <c r="W223">
        <f>IF($A223="","",IF(AND($B223&gt;0,J223&lt;$B223,DATE($B$1,8,1)&lt;=TODAY(),OR($O223="",$O223&gt;=DATE($B$1,8,1)),OR(COUNTIF($C223:J223,"&gt;0")&gt;0,DATE($B$1,8,1)=DATE(YEAR(TODAY()),MONTH(TODAY()),1))),1,0))</f>
        <v/>
      </c>
      <c r="X223">
        <f>IF($A223="","",IF(AND($B223&gt;0,K223&lt;$B223,DATE($B$1,9,1)&lt;=TODAY(),OR($O223="",$O223&gt;=DATE($B$1,9,1)),OR(COUNTIF($C223:K223,"&gt;0")&gt;0,DATE($B$1,9,1)=DATE(YEAR(TODAY()),MONTH(TODAY()),1))),1,0))</f>
        <v/>
      </c>
      <c r="Y223">
        <f>IF($A223="","",IF(AND($B223&gt;0,L223&lt;$B223,DATE($B$1,10,1)&lt;=TODAY(),OR($O223="",$O223&gt;=DATE($B$1,10,1)),OR(COUNTIF($C223:L223,"&gt;0")&gt;0,DATE($B$1,10,1)=DATE(YEAR(TODAY()),MONTH(TODAY()),1))),1,0))</f>
        <v/>
      </c>
      <c r="Z223">
        <f>IF($A223="","",IF(AND($B223&gt;0,M223&lt;$B223,DATE($B$1,11,1)&lt;=TODAY(),OR($O223="",$O223&gt;=DATE($B$1,11,1)),OR(COUNTIF($C223:M223,"&gt;0")&gt;0,DATE($B$1,11,1)=DATE(YEAR(TODAY()),MONTH(TODAY()),1))),1,0))</f>
        <v/>
      </c>
      <c r="AA223">
        <f>IF($A223="","",IF(AND($B223&gt;0,N223&lt;$B223,DATE($B$1,12,1)&lt;=TODAY(),OR($O223="",$O223&gt;=DATE($B$1,12,1)),OR(COUNTIF($C223:N223,"&gt;0")&gt;0,DATE($B$1,12,1)=DATE(YEAR(TODAY()),MONTH(TODAY()),1))),1,0))</f>
        <v/>
      </c>
    </row>
    <row r="224">
      <c r="A224" s="13">
        <f>IF(원생!$A222="","",원생!$A222&amp;IF(원생!$G222="",""," ("&amp;원생!$G222&amp;")"))</f>
        <v/>
      </c>
      <c r="B224" s="8">
        <f>IF(원생!$A222="","",N(원생!$F222))</f>
        <v/>
      </c>
      <c r="C224" s="14">
        <f>IF(원생!$A222="","",SUMIFS(계산!$C:$C,계산!$A:$A,계산!$E222,계산!$B:$B,$B$1*100+1))</f>
        <v/>
      </c>
      <c r="D224" s="14">
        <f>IF(원생!$A222="","",SUMIFS(계산!$C:$C,계산!$A:$A,계산!$E222,계산!$B:$B,$B$1*100+2))</f>
        <v/>
      </c>
      <c r="E224" s="14">
        <f>IF(원생!$A222="","",SUMIFS(계산!$C:$C,계산!$A:$A,계산!$E222,계산!$B:$B,$B$1*100+3))</f>
        <v/>
      </c>
      <c r="F224" s="14">
        <f>IF(원생!$A222="","",SUMIFS(계산!$C:$C,계산!$A:$A,계산!$E222,계산!$B:$B,$B$1*100+4))</f>
        <v/>
      </c>
      <c r="G224" s="14">
        <f>IF(원생!$A222="","",SUMIFS(계산!$C:$C,계산!$A:$A,계산!$E222,계산!$B:$B,$B$1*100+5))</f>
        <v/>
      </c>
      <c r="H224" s="14">
        <f>IF(원생!$A222="","",SUMIFS(계산!$C:$C,계산!$A:$A,계산!$E222,계산!$B:$B,$B$1*100+6))</f>
        <v/>
      </c>
      <c r="I224" s="14">
        <f>IF(원생!$A222="","",SUMIFS(계산!$C:$C,계산!$A:$A,계산!$E222,계산!$B:$B,$B$1*100+7))</f>
        <v/>
      </c>
      <c r="J224" s="14">
        <f>IF(원생!$A222="","",SUMIFS(계산!$C:$C,계산!$A:$A,계산!$E222,계산!$B:$B,$B$1*100+8))</f>
        <v/>
      </c>
      <c r="K224" s="14">
        <f>IF(원생!$A222="","",SUMIFS(계산!$C:$C,계산!$A:$A,계산!$E222,계산!$B:$B,$B$1*100+9))</f>
        <v/>
      </c>
      <c r="L224" s="14">
        <f>IF(원생!$A222="","",SUMIFS(계산!$C:$C,계산!$A:$A,계산!$E222,계산!$B:$B,$B$1*100+10))</f>
        <v/>
      </c>
      <c r="M224" s="14">
        <f>IF(원생!$A222="","",SUMIFS(계산!$C:$C,계산!$A:$A,계산!$E222,계산!$B:$B,$B$1*100+11))</f>
        <v/>
      </c>
      <c r="N224" s="14">
        <f>IF(원생!$A222="","",SUMIFS(계산!$C:$C,계산!$A:$A,계산!$E222,계산!$B:$B,$B$1*100+12))</f>
        <v/>
      </c>
      <c r="O224">
        <f>IF(원생!$I222="","",원생!$I222)</f>
        <v/>
      </c>
      <c r="P224">
        <f>IF($A224="","",IF(AND($B224&gt;0,C224&lt;$B224,DATE($B$1,1,1)&lt;=TODAY(),OR($O224="",$O224&gt;=DATE($B$1,1,1)),OR(COUNTIF($C224:C224,"&gt;0")&gt;0,DATE($B$1,1,1)=DATE(YEAR(TODAY()),MONTH(TODAY()),1))),1,0))</f>
        <v/>
      </c>
      <c r="Q224">
        <f>IF($A224="","",IF(AND($B224&gt;0,D224&lt;$B224,DATE($B$1,2,1)&lt;=TODAY(),OR($O224="",$O224&gt;=DATE($B$1,2,1)),OR(COUNTIF($C224:D224,"&gt;0")&gt;0,DATE($B$1,2,1)=DATE(YEAR(TODAY()),MONTH(TODAY()),1))),1,0))</f>
        <v/>
      </c>
      <c r="R224">
        <f>IF($A224="","",IF(AND($B224&gt;0,E224&lt;$B224,DATE($B$1,3,1)&lt;=TODAY(),OR($O224="",$O224&gt;=DATE($B$1,3,1)),OR(COUNTIF($C224:E224,"&gt;0")&gt;0,DATE($B$1,3,1)=DATE(YEAR(TODAY()),MONTH(TODAY()),1))),1,0))</f>
        <v/>
      </c>
      <c r="S224">
        <f>IF($A224="","",IF(AND($B224&gt;0,F224&lt;$B224,DATE($B$1,4,1)&lt;=TODAY(),OR($O224="",$O224&gt;=DATE($B$1,4,1)),OR(COUNTIF($C224:F224,"&gt;0")&gt;0,DATE($B$1,4,1)=DATE(YEAR(TODAY()),MONTH(TODAY()),1))),1,0))</f>
        <v/>
      </c>
      <c r="T224">
        <f>IF($A224="","",IF(AND($B224&gt;0,G224&lt;$B224,DATE($B$1,5,1)&lt;=TODAY(),OR($O224="",$O224&gt;=DATE($B$1,5,1)),OR(COUNTIF($C224:G224,"&gt;0")&gt;0,DATE($B$1,5,1)=DATE(YEAR(TODAY()),MONTH(TODAY()),1))),1,0))</f>
        <v/>
      </c>
      <c r="U224">
        <f>IF($A224="","",IF(AND($B224&gt;0,H224&lt;$B224,DATE($B$1,6,1)&lt;=TODAY(),OR($O224="",$O224&gt;=DATE($B$1,6,1)),OR(COUNTIF($C224:H224,"&gt;0")&gt;0,DATE($B$1,6,1)=DATE(YEAR(TODAY()),MONTH(TODAY()),1))),1,0))</f>
        <v/>
      </c>
      <c r="V224">
        <f>IF($A224="","",IF(AND($B224&gt;0,I224&lt;$B224,DATE($B$1,7,1)&lt;=TODAY(),OR($O224="",$O224&gt;=DATE($B$1,7,1)),OR(COUNTIF($C224:I224,"&gt;0")&gt;0,DATE($B$1,7,1)=DATE(YEAR(TODAY()),MONTH(TODAY()),1))),1,0))</f>
        <v/>
      </c>
      <c r="W224">
        <f>IF($A224="","",IF(AND($B224&gt;0,J224&lt;$B224,DATE($B$1,8,1)&lt;=TODAY(),OR($O224="",$O224&gt;=DATE($B$1,8,1)),OR(COUNTIF($C224:J224,"&gt;0")&gt;0,DATE($B$1,8,1)=DATE(YEAR(TODAY()),MONTH(TODAY()),1))),1,0))</f>
        <v/>
      </c>
      <c r="X224">
        <f>IF($A224="","",IF(AND($B224&gt;0,K224&lt;$B224,DATE($B$1,9,1)&lt;=TODAY(),OR($O224="",$O224&gt;=DATE($B$1,9,1)),OR(COUNTIF($C224:K224,"&gt;0")&gt;0,DATE($B$1,9,1)=DATE(YEAR(TODAY()),MONTH(TODAY()),1))),1,0))</f>
        <v/>
      </c>
      <c r="Y224">
        <f>IF($A224="","",IF(AND($B224&gt;0,L224&lt;$B224,DATE($B$1,10,1)&lt;=TODAY(),OR($O224="",$O224&gt;=DATE($B$1,10,1)),OR(COUNTIF($C224:L224,"&gt;0")&gt;0,DATE($B$1,10,1)=DATE(YEAR(TODAY()),MONTH(TODAY()),1))),1,0))</f>
        <v/>
      </c>
      <c r="Z224">
        <f>IF($A224="","",IF(AND($B224&gt;0,M224&lt;$B224,DATE($B$1,11,1)&lt;=TODAY(),OR($O224="",$O224&gt;=DATE($B$1,11,1)),OR(COUNTIF($C224:M224,"&gt;0")&gt;0,DATE($B$1,11,1)=DATE(YEAR(TODAY()),MONTH(TODAY()),1))),1,0))</f>
        <v/>
      </c>
      <c r="AA224">
        <f>IF($A224="","",IF(AND($B224&gt;0,N224&lt;$B224,DATE($B$1,12,1)&lt;=TODAY(),OR($O224="",$O224&gt;=DATE($B$1,12,1)),OR(COUNTIF($C224:N224,"&gt;0")&gt;0,DATE($B$1,12,1)=DATE(YEAR(TODAY()),MONTH(TODAY()),1))),1,0))</f>
        <v/>
      </c>
    </row>
    <row r="225">
      <c r="A225" s="13">
        <f>IF(원생!$A223="","",원생!$A223&amp;IF(원생!$G223="",""," ("&amp;원생!$G223&amp;")"))</f>
        <v/>
      </c>
      <c r="B225" s="8">
        <f>IF(원생!$A223="","",N(원생!$F223))</f>
        <v/>
      </c>
      <c r="C225" s="14">
        <f>IF(원생!$A223="","",SUMIFS(계산!$C:$C,계산!$A:$A,계산!$E223,계산!$B:$B,$B$1*100+1))</f>
        <v/>
      </c>
      <c r="D225" s="14">
        <f>IF(원생!$A223="","",SUMIFS(계산!$C:$C,계산!$A:$A,계산!$E223,계산!$B:$B,$B$1*100+2))</f>
        <v/>
      </c>
      <c r="E225" s="14">
        <f>IF(원생!$A223="","",SUMIFS(계산!$C:$C,계산!$A:$A,계산!$E223,계산!$B:$B,$B$1*100+3))</f>
        <v/>
      </c>
      <c r="F225" s="14">
        <f>IF(원생!$A223="","",SUMIFS(계산!$C:$C,계산!$A:$A,계산!$E223,계산!$B:$B,$B$1*100+4))</f>
        <v/>
      </c>
      <c r="G225" s="14">
        <f>IF(원생!$A223="","",SUMIFS(계산!$C:$C,계산!$A:$A,계산!$E223,계산!$B:$B,$B$1*100+5))</f>
        <v/>
      </c>
      <c r="H225" s="14">
        <f>IF(원생!$A223="","",SUMIFS(계산!$C:$C,계산!$A:$A,계산!$E223,계산!$B:$B,$B$1*100+6))</f>
        <v/>
      </c>
      <c r="I225" s="14">
        <f>IF(원생!$A223="","",SUMIFS(계산!$C:$C,계산!$A:$A,계산!$E223,계산!$B:$B,$B$1*100+7))</f>
        <v/>
      </c>
      <c r="J225" s="14">
        <f>IF(원생!$A223="","",SUMIFS(계산!$C:$C,계산!$A:$A,계산!$E223,계산!$B:$B,$B$1*100+8))</f>
        <v/>
      </c>
      <c r="K225" s="14">
        <f>IF(원생!$A223="","",SUMIFS(계산!$C:$C,계산!$A:$A,계산!$E223,계산!$B:$B,$B$1*100+9))</f>
        <v/>
      </c>
      <c r="L225" s="14">
        <f>IF(원생!$A223="","",SUMIFS(계산!$C:$C,계산!$A:$A,계산!$E223,계산!$B:$B,$B$1*100+10))</f>
        <v/>
      </c>
      <c r="M225" s="14">
        <f>IF(원생!$A223="","",SUMIFS(계산!$C:$C,계산!$A:$A,계산!$E223,계산!$B:$B,$B$1*100+11))</f>
        <v/>
      </c>
      <c r="N225" s="14">
        <f>IF(원생!$A223="","",SUMIFS(계산!$C:$C,계산!$A:$A,계산!$E223,계산!$B:$B,$B$1*100+12))</f>
        <v/>
      </c>
      <c r="O225">
        <f>IF(원생!$I223="","",원생!$I223)</f>
        <v/>
      </c>
      <c r="P225">
        <f>IF($A225="","",IF(AND($B225&gt;0,C225&lt;$B225,DATE($B$1,1,1)&lt;=TODAY(),OR($O225="",$O225&gt;=DATE($B$1,1,1)),OR(COUNTIF($C225:C225,"&gt;0")&gt;0,DATE($B$1,1,1)=DATE(YEAR(TODAY()),MONTH(TODAY()),1))),1,0))</f>
        <v/>
      </c>
      <c r="Q225">
        <f>IF($A225="","",IF(AND($B225&gt;0,D225&lt;$B225,DATE($B$1,2,1)&lt;=TODAY(),OR($O225="",$O225&gt;=DATE($B$1,2,1)),OR(COUNTIF($C225:D225,"&gt;0")&gt;0,DATE($B$1,2,1)=DATE(YEAR(TODAY()),MONTH(TODAY()),1))),1,0))</f>
        <v/>
      </c>
      <c r="R225">
        <f>IF($A225="","",IF(AND($B225&gt;0,E225&lt;$B225,DATE($B$1,3,1)&lt;=TODAY(),OR($O225="",$O225&gt;=DATE($B$1,3,1)),OR(COUNTIF($C225:E225,"&gt;0")&gt;0,DATE($B$1,3,1)=DATE(YEAR(TODAY()),MONTH(TODAY()),1))),1,0))</f>
        <v/>
      </c>
      <c r="S225">
        <f>IF($A225="","",IF(AND($B225&gt;0,F225&lt;$B225,DATE($B$1,4,1)&lt;=TODAY(),OR($O225="",$O225&gt;=DATE($B$1,4,1)),OR(COUNTIF($C225:F225,"&gt;0")&gt;0,DATE($B$1,4,1)=DATE(YEAR(TODAY()),MONTH(TODAY()),1))),1,0))</f>
        <v/>
      </c>
      <c r="T225">
        <f>IF($A225="","",IF(AND($B225&gt;0,G225&lt;$B225,DATE($B$1,5,1)&lt;=TODAY(),OR($O225="",$O225&gt;=DATE($B$1,5,1)),OR(COUNTIF($C225:G225,"&gt;0")&gt;0,DATE($B$1,5,1)=DATE(YEAR(TODAY()),MONTH(TODAY()),1))),1,0))</f>
        <v/>
      </c>
      <c r="U225">
        <f>IF($A225="","",IF(AND($B225&gt;0,H225&lt;$B225,DATE($B$1,6,1)&lt;=TODAY(),OR($O225="",$O225&gt;=DATE($B$1,6,1)),OR(COUNTIF($C225:H225,"&gt;0")&gt;0,DATE($B$1,6,1)=DATE(YEAR(TODAY()),MONTH(TODAY()),1))),1,0))</f>
        <v/>
      </c>
      <c r="V225">
        <f>IF($A225="","",IF(AND($B225&gt;0,I225&lt;$B225,DATE($B$1,7,1)&lt;=TODAY(),OR($O225="",$O225&gt;=DATE($B$1,7,1)),OR(COUNTIF($C225:I225,"&gt;0")&gt;0,DATE($B$1,7,1)=DATE(YEAR(TODAY()),MONTH(TODAY()),1))),1,0))</f>
        <v/>
      </c>
      <c r="W225">
        <f>IF($A225="","",IF(AND($B225&gt;0,J225&lt;$B225,DATE($B$1,8,1)&lt;=TODAY(),OR($O225="",$O225&gt;=DATE($B$1,8,1)),OR(COUNTIF($C225:J225,"&gt;0")&gt;0,DATE($B$1,8,1)=DATE(YEAR(TODAY()),MONTH(TODAY()),1))),1,0))</f>
        <v/>
      </c>
      <c r="X225">
        <f>IF($A225="","",IF(AND($B225&gt;0,K225&lt;$B225,DATE($B$1,9,1)&lt;=TODAY(),OR($O225="",$O225&gt;=DATE($B$1,9,1)),OR(COUNTIF($C225:K225,"&gt;0")&gt;0,DATE($B$1,9,1)=DATE(YEAR(TODAY()),MONTH(TODAY()),1))),1,0))</f>
        <v/>
      </c>
      <c r="Y225">
        <f>IF($A225="","",IF(AND($B225&gt;0,L225&lt;$B225,DATE($B$1,10,1)&lt;=TODAY(),OR($O225="",$O225&gt;=DATE($B$1,10,1)),OR(COUNTIF($C225:L225,"&gt;0")&gt;0,DATE($B$1,10,1)=DATE(YEAR(TODAY()),MONTH(TODAY()),1))),1,0))</f>
        <v/>
      </c>
      <c r="Z225">
        <f>IF($A225="","",IF(AND($B225&gt;0,M225&lt;$B225,DATE($B$1,11,1)&lt;=TODAY(),OR($O225="",$O225&gt;=DATE($B$1,11,1)),OR(COUNTIF($C225:M225,"&gt;0")&gt;0,DATE($B$1,11,1)=DATE(YEAR(TODAY()),MONTH(TODAY()),1))),1,0))</f>
        <v/>
      </c>
      <c r="AA225">
        <f>IF($A225="","",IF(AND($B225&gt;0,N225&lt;$B225,DATE($B$1,12,1)&lt;=TODAY(),OR($O225="",$O225&gt;=DATE($B$1,12,1)),OR(COUNTIF($C225:N225,"&gt;0")&gt;0,DATE($B$1,12,1)=DATE(YEAR(TODAY()),MONTH(TODAY()),1))),1,0))</f>
        <v/>
      </c>
    </row>
    <row r="226">
      <c r="A226" s="13">
        <f>IF(원생!$A224="","",원생!$A224&amp;IF(원생!$G224="",""," ("&amp;원생!$G224&amp;")"))</f>
        <v/>
      </c>
      <c r="B226" s="8">
        <f>IF(원생!$A224="","",N(원생!$F224))</f>
        <v/>
      </c>
      <c r="C226" s="14">
        <f>IF(원생!$A224="","",SUMIFS(계산!$C:$C,계산!$A:$A,계산!$E224,계산!$B:$B,$B$1*100+1))</f>
        <v/>
      </c>
      <c r="D226" s="14">
        <f>IF(원생!$A224="","",SUMIFS(계산!$C:$C,계산!$A:$A,계산!$E224,계산!$B:$B,$B$1*100+2))</f>
        <v/>
      </c>
      <c r="E226" s="14">
        <f>IF(원생!$A224="","",SUMIFS(계산!$C:$C,계산!$A:$A,계산!$E224,계산!$B:$B,$B$1*100+3))</f>
        <v/>
      </c>
      <c r="F226" s="14">
        <f>IF(원생!$A224="","",SUMIFS(계산!$C:$C,계산!$A:$A,계산!$E224,계산!$B:$B,$B$1*100+4))</f>
        <v/>
      </c>
      <c r="G226" s="14">
        <f>IF(원생!$A224="","",SUMIFS(계산!$C:$C,계산!$A:$A,계산!$E224,계산!$B:$B,$B$1*100+5))</f>
        <v/>
      </c>
      <c r="H226" s="14">
        <f>IF(원생!$A224="","",SUMIFS(계산!$C:$C,계산!$A:$A,계산!$E224,계산!$B:$B,$B$1*100+6))</f>
        <v/>
      </c>
      <c r="I226" s="14">
        <f>IF(원생!$A224="","",SUMIFS(계산!$C:$C,계산!$A:$A,계산!$E224,계산!$B:$B,$B$1*100+7))</f>
        <v/>
      </c>
      <c r="J226" s="14">
        <f>IF(원생!$A224="","",SUMIFS(계산!$C:$C,계산!$A:$A,계산!$E224,계산!$B:$B,$B$1*100+8))</f>
        <v/>
      </c>
      <c r="K226" s="14">
        <f>IF(원생!$A224="","",SUMIFS(계산!$C:$C,계산!$A:$A,계산!$E224,계산!$B:$B,$B$1*100+9))</f>
        <v/>
      </c>
      <c r="L226" s="14">
        <f>IF(원생!$A224="","",SUMIFS(계산!$C:$C,계산!$A:$A,계산!$E224,계산!$B:$B,$B$1*100+10))</f>
        <v/>
      </c>
      <c r="M226" s="14">
        <f>IF(원생!$A224="","",SUMIFS(계산!$C:$C,계산!$A:$A,계산!$E224,계산!$B:$B,$B$1*100+11))</f>
        <v/>
      </c>
      <c r="N226" s="14">
        <f>IF(원생!$A224="","",SUMIFS(계산!$C:$C,계산!$A:$A,계산!$E224,계산!$B:$B,$B$1*100+12))</f>
        <v/>
      </c>
      <c r="O226">
        <f>IF(원생!$I224="","",원생!$I224)</f>
        <v/>
      </c>
      <c r="P226">
        <f>IF($A226="","",IF(AND($B226&gt;0,C226&lt;$B226,DATE($B$1,1,1)&lt;=TODAY(),OR($O226="",$O226&gt;=DATE($B$1,1,1)),OR(COUNTIF($C226:C226,"&gt;0")&gt;0,DATE($B$1,1,1)=DATE(YEAR(TODAY()),MONTH(TODAY()),1))),1,0))</f>
        <v/>
      </c>
      <c r="Q226">
        <f>IF($A226="","",IF(AND($B226&gt;0,D226&lt;$B226,DATE($B$1,2,1)&lt;=TODAY(),OR($O226="",$O226&gt;=DATE($B$1,2,1)),OR(COUNTIF($C226:D226,"&gt;0")&gt;0,DATE($B$1,2,1)=DATE(YEAR(TODAY()),MONTH(TODAY()),1))),1,0))</f>
        <v/>
      </c>
      <c r="R226">
        <f>IF($A226="","",IF(AND($B226&gt;0,E226&lt;$B226,DATE($B$1,3,1)&lt;=TODAY(),OR($O226="",$O226&gt;=DATE($B$1,3,1)),OR(COUNTIF($C226:E226,"&gt;0")&gt;0,DATE($B$1,3,1)=DATE(YEAR(TODAY()),MONTH(TODAY()),1))),1,0))</f>
        <v/>
      </c>
      <c r="S226">
        <f>IF($A226="","",IF(AND($B226&gt;0,F226&lt;$B226,DATE($B$1,4,1)&lt;=TODAY(),OR($O226="",$O226&gt;=DATE($B$1,4,1)),OR(COUNTIF($C226:F226,"&gt;0")&gt;0,DATE($B$1,4,1)=DATE(YEAR(TODAY()),MONTH(TODAY()),1))),1,0))</f>
        <v/>
      </c>
      <c r="T226">
        <f>IF($A226="","",IF(AND($B226&gt;0,G226&lt;$B226,DATE($B$1,5,1)&lt;=TODAY(),OR($O226="",$O226&gt;=DATE($B$1,5,1)),OR(COUNTIF($C226:G226,"&gt;0")&gt;0,DATE($B$1,5,1)=DATE(YEAR(TODAY()),MONTH(TODAY()),1))),1,0))</f>
        <v/>
      </c>
      <c r="U226">
        <f>IF($A226="","",IF(AND($B226&gt;0,H226&lt;$B226,DATE($B$1,6,1)&lt;=TODAY(),OR($O226="",$O226&gt;=DATE($B$1,6,1)),OR(COUNTIF($C226:H226,"&gt;0")&gt;0,DATE($B$1,6,1)=DATE(YEAR(TODAY()),MONTH(TODAY()),1))),1,0))</f>
        <v/>
      </c>
      <c r="V226">
        <f>IF($A226="","",IF(AND($B226&gt;0,I226&lt;$B226,DATE($B$1,7,1)&lt;=TODAY(),OR($O226="",$O226&gt;=DATE($B$1,7,1)),OR(COUNTIF($C226:I226,"&gt;0")&gt;0,DATE($B$1,7,1)=DATE(YEAR(TODAY()),MONTH(TODAY()),1))),1,0))</f>
        <v/>
      </c>
      <c r="W226">
        <f>IF($A226="","",IF(AND($B226&gt;0,J226&lt;$B226,DATE($B$1,8,1)&lt;=TODAY(),OR($O226="",$O226&gt;=DATE($B$1,8,1)),OR(COUNTIF($C226:J226,"&gt;0")&gt;0,DATE($B$1,8,1)=DATE(YEAR(TODAY()),MONTH(TODAY()),1))),1,0))</f>
        <v/>
      </c>
      <c r="X226">
        <f>IF($A226="","",IF(AND($B226&gt;0,K226&lt;$B226,DATE($B$1,9,1)&lt;=TODAY(),OR($O226="",$O226&gt;=DATE($B$1,9,1)),OR(COUNTIF($C226:K226,"&gt;0")&gt;0,DATE($B$1,9,1)=DATE(YEAR(TODAY()),MONTH(TODAY()),1))),1,0))</f>
        <v/>
      </c>
      <c r="Y226">
        <f>IF($A226="","",IF(AND($B226&gt;0,L226&lt;$B226,DATE($B$1,10,1)&lt;=TODAY(),OR($O226="",$O226&gt;=DATE($B$1,10,1)),OR(COUNTIF($C226:L226,"&gt;0")&gt;0,DATE($B$1,10,1)=DATE(YEAR(TODAY()),MONTH(TODAY()),1))),1,0))</f>
        <v/>
      </c>
      <c r="Z226">
        <f>IF($A226="","",IF(AND($B226&gt;0,M226&lt;$B226,DATE($B$1,11,1)&lt;=TODAY(),OR($O226="",$O226&gt;=DATE($B$1,11,1)),OR(COUNTIF($C226:M226,"&gt;0")&gt;0,DATE($B$1,11,1)=DATE(YEAR(TODAY()),MONTH(TODAY()),1))),1,0))</f>
        <v/>
      </c>
      <c r="AA226">
        <f>IF($A226="","",IF(AND($B226&gt;0,N226&lt;$B226,DATE($B$1,12,1)&lt;=TODAY(),OR($O226="",$O226&gt;=DATE($B$1,12,1)),OR(COUNTIF($C226:N226,"&gt;0")&gt;0,DATE($B$1,12,1)=DATE(YEAR(TODAY()),MONTH(TODAY()),1))),1,0))</f>
        <v/>
      </c>
    </row>
    <row r="227">
      <c r="A227" s="13">
        <f>IF(원생!$A225="","",원생!$A225&amp;IF(원생!$G225="",""," ("&amp;원생!$G225&amp;")"))</f>
        <v/>
      </c>
      <c r="B227" s="8">
        <f>IF(원생!$A225="","",N(원생!$F225))</f>
        <v/>
      </c>
      <c r="C227" s="14">
        <f>IF(원생!$A225="","",SUMIFS(계산!$C:$C,계산!$A:$A,계산!$E225,계산!$B:$B,$B$1*100+1))</f>
        <v/>
      </c>
      <c r="D227" s="14">
        <f>IF(원생!$A225="","",SUMIFS(계산!$C:$C,계산!$A:$A,계산!$E225,계산!$B:$B,$B$1*100+2))</f>
        <v/>
      </c>
      <c r="E227" s="14">
        <f>IF(원생!$A225="","",SUMIFS(계산!$C:$C,계산!$A:$A,계산!$E225,계산!$B:$B,$B$1*100+3))</f>
        <v/>
      </c>
      <c r="F227" s="14">
        <f>IF(원생!$A225="","",SUMIFS(계산!$C:$C,계산!$A:$A,계산!$E225,계산!$B:$B,$B$1*100+4))</f>
        <v/>
      </c>
      <c r="G227" s="14">
        <f>IF(원생!$A225="","",SUMIFS(계산!$C:$C,계산!$A:$A,계산!$E225,계산!$B:$B,$B$1*100+5))</f>
        <v/>
      </c>
      <c r="H227" s="14">
        <f>IF(원생!$A225="","",SUMIFS(계산!$C:$C,계산!$A:$A,계산!$E225,계산!$B:$B,$B$1*100+6))</f>
        <v/>
      </c>
      <c r="I227" s="14">
        <f>IF(원생!$A225="","",SUMIFS(계산!$C:$C,계산!$A:$A,계산!$E225,계산!$B:$B,$B$1*100+7))</f>
        <v/>
      </c>
      <c r="J227" s="14">
        <f>IF(원생!$A225="","",SUMIFS(계산!$C:$C,계산!$A:$A,계산!$E225,계산!$B:$B,$B$1*100+8))</f>
        <v/>
      </c>
      <c r="K227" s="14">
        <f>IF(원생!$A225="","",SUMIFS(계산!$C:$C,계산!$A:$A,계산!$E225,계산!$B:$B,$B$1*100+9))</f>
        <v/>
      </c>
      <c r="L227" s="14">
        <f>IF(원생!$A225="","",SUMIFS(계산!$C:$C,계산!$A:$A,계산!$E225,계산!$B:$B,$B$1*100+10))</f>
        <v/>
      </c>
      <c r="M227" s="14">
        <f>IF(원생!$A225="","",SUMIFS(계산!$C:$C,계산!$A:$A,계산!$E225,계산!$B:$B,$B$1*100+11))</f>
        <v/>
      </c>
      <c r="N227" s="14">
        <f>IF(원생!$A225="","",SUMIFS(계산!$C:$C,계산!$A:$A,계산!$E225,계산!$B:$B,$B$1*100+12))</f>
        <v/>
      </c>
      <c r="O227">
        <f>IF(원생!$I225="","",원생!$I225)</f>
        <v/>
      </c>
      <c r="P227">
        <f>IF($A227="","",IF(AND($B227&gt;0,C227&lt;$B227,DATE($B$1,1,1)&lt;=TODAY(),OR($O227="",$O227&gt;=DATE($B$1,1,1)),OR(COUNTIF($C227:C227,"&gt;0")&gt;0,DATE($B$1,1,1)=DATE(YEAR(TODAY()),MONTH(TODAY()),1))),1,0))</f>
        <v/>
      </c>
      <c r="Q227">
        <f>IF($A227="","",IF(AND($B227&gt;0,D227&lt;$B227,DATE($B$1,2,1)&lt;=TODAY(),OR($O227="",$O227&gt;=DATE($B$1,2,1)),OR(COUNTIF($C227:D227,"&gt;0")&gt;0,DATE($B$1,2,1)=DATE(YEAR(TODAY()),MONTH(TODAY()),1))),1,0))</f>
        <v/>
      </c>
      <c r="R227">
        <f>IF($A227="","",IF(AND($B227&gt;0,E227&lt;$B227,DATE($B$1,3,1)&lt;=TODAY(),OR($O227="",$O227&gt;=DATE($B$1,3,1)),OR(COUNTIF($C227:E227,"&gt;0")&gt;0,DATE($B$1,3,1)=DATE(YEAR(TODAY()),MONTH(TODAY()),1))),1,0))</f>
        <v/>
      </c>
      <c r="S227">
        <f>IF($A227="","",IF(AND($B227&gt;0,F227&lt;$B227,DATE($B$1,4,1)&lt;=TODAY(),OR($O227="",$O227&gt;=DATE($B$1,4,1)),OR(COUNTIF($C227:F227,"&gt;0")&gt;0,DATE($B$1,4,1)=DATE(YEAR(TODAY()),MONTH(TODAY()),1))),1,0))</f>
        <v/>
      </c>
      <c r="T227">
        <f>IF($A227="","",IF(AND($B227&gt;0,G227&lt;$B227,DATE($B$1,5,1)&lt;=TODAY(),OR($O227="",$O227&gt;=DATE($B$1,5,1)),OR(COUNTIF($C227:G227,"&gt;0")&gt;0,DATE($B$1,5,1)=DATE(YEAR(TODAY()),MONTH(TODAY()),1))),1,0))</f>
        <v/>
      </c>
      <c r="U227">
        <f>IF($A227="","",IF(AND($B227&gt;0,H227&lt;$B227,DATE($B$1,6,1)&lt;=TODAY(),OR($O227="",$O227&gt;=DATE($B$1,6,1)),OR(COUNTIF($C227:H227,"&gt;0")&gt;0,DATE($B$1,6,1)=DATE(YEAR(TODAY()),MONTH(TODAY()),1))),1,0))</f>
        <v/>
      </c>
      <c r="V227">
        <f>IF($A227="","",IF(AND($B227&gt;0,I227&lt;$B227,DATE($B$1,7,1)&lt;=TODAY(),OR($O227="",$O227&gt;=DATE($B$1,7,1)),OR(COUNTIF($C227:I227,"&gt;0")&gt;0,DATE($B$1,7,1)=DATE(YEAR(TODAY()),MONTH(TODAY()),1))),1,0))</f>
        <v/>
      </c>
      <c r="W227">
        <f>IF($A227="","",IF(AND($B227&gt;0,J227&lt;$B227,DATE($B$1,8,1)&lt;=TODAY(),OR($O227="",$O227&gt;=DATE($B$1,8,1)),OR(COUNTIF($C227:J227,"&gt;0")&gt;0,DATE($B$1,8,1)=DATE(YEAR(TODAY()),MONTH(TODAY()),1))),1,0))</f>
        <v/>
      </c>
      <c r="X227">
        <f>IF($A227="","",IF(AND($B227&gt;0,K227&lt;$B227,DATE($B$1,9,1)&lt;=TODAY(),OR($O227="",$O227&gt;=DATE($B$1,9,1)),OR(COUNTIF($C227:K227,"&gt;0")&gt;0,DATE($B$1,9,1)=DATE(YEAR(TODAY()),MONTH(TODAY()),1))),1,0))</f>
        <v/>
      </c>
      <c r="Y227">
        <f>IF($A227="","",IF(AND($B227&gt;0,L227&lt;$B227,DATE($B$1,10,1)&lt;=TODAY(),OR($O227="",$O227&gt;=DATE($B$1,10,1)),OR(COUNTIF($C227:L227,"&gt;0")&gt;0,DATE($B$1,10,1)=DATE(YEAR(TODAY()),MONTH(TODAY()),1))),1,0))</f>
        <v/>
      </c>
      <c r="Z227">
        <f>IF($A227="","",IF(AND($B227&gt;0,M227&lt;$B227,DATE($B$1,11,1)&lt;=TODAY(),OR($O227="",$O227&gt;=DATE($B$1,11,1)),OR(COUNTIF($C227:M227,"&gt;0")&gt;0,DATE($B$1,11,1)=DATE(YEAR(TODAY()),MONTH(TODAY()),1))),1,0))</f>
        <v/>
      </c>
      <c r="AA227">
        <f>IF($A227="","",IF(AND($B227&gt;0,N227&lt;$B227,DATE($B$1,12,1)&lt;=TODAY(),OR($O227="",$O227&gt;=DATE($B$1,12,1)),OR(COUNTIF($C227:N227,"&gt;0")&gt;0,DATE($B$1,12,1)=DATE(YEAR(TODAY()),MONTH(TODAY()),1))),1,0))</f>
        <v/>
      </c>
    </row>
    <row r="228">
      <c r="A228" s="13">
        <f>IF(원생!$A226="","",원생!$A226&amp;IF(원생!$G226="",""," ("&amp;원생!$G226&amp;")"))</f>
        <v/>
      </c>
      <c r="B228" s="8">
        <f>IF(원생!$A226="","",N(원생!$F226))</f>
        <v/>
      </c>
      <c r="C228" s="14">
        <f>IF(원생!$A226="","",SUMIFS(계산!$C:$C,계산!$A:$A,계산!$E226,계산!$B:$B,$B$1*100+1))</f>
        <v/>
      </c>
      <c r="D228" s="14">
        <f>IF(원생!$A226="","",SUMIFS(계산!$C:$C,계산!$A:$A,계산!$E226,계산!$B:$B,$B$1*100+2))</f>
        <v/>
      </c>
      <c r="E228" s="14">
        <f>IF(원생!$A226="","",SUMIFS(계산!$C:$C,계산!$A:$A,계산!$E226,계산!$B:$B,$B$1*100+3))</f>
        <v/>
      </c>
      <c r="F228" s="14">
        <f>IF(원생!$A226="","",SUMIFS(계산!$C:$C,계산!$A:$A,계산!$E226,계산!$B:$B,$B$1*100+4))</f>
        <v/>
      </c>
      <c r="G228" s="14">
        <f>IF(원생!$A226="","",SUMIFS(계산!$C:$C,계산!$A:$A,계산!$E226,계산!$B:$B,$B$1*100+5))</f>
        <v/>
      </c>
      <c r="H228" s="14">
        <f>IF(원생!$A226="","",SUMIFS(계산!$C:$C,계산!$A:$A,계산!$E226,계산!$B:$B,$B$1*100+6))</f>
        <v/>
      </c>
      <c r="I228" s="14">
        <f>IF(원생!$A226="","",SUMIFS(계산!$C:$C,계산!$A:$A,계산!$E226,계산!$B:$B,$B$1*100+7))</f>
        <v/>
      </c>
      <c r="J228" s="14">
        <f>IF(원생!$A226="","",SUMIFS(계산!$C:$C,계산!$A:$A,계산!$E226,계산!$B:$B,$B$1*100+8))</f>
        <v/>
      </c>
      <c r="K228" s="14">
        <f>IF(원생!$A226="","",SUMIFS(계산!$C:$C,계산!$A:$A,계산!$E226,계산!$B:$B,$B$1*100+9))</f>
        <v/>
      </c>
      <c r="L228" s="14">
        <f>IF(원생!$A226="","",SUMIFS(계산!$C:$C,계산!$A:$A,계산!$E226,계산!$B:$B,$B$1*100+10))</f>
        <v/>
      </c>
      <c r="M228" s="14">
        <f>IF(원생!$A226="","",SUMIFS(계산!$C:$C,계산!$A:$A,계산!$E226,계산!$B:$B,$B$1*100+11))</f>
        <v/>
      </c>
      <c r="N228" s="14">
        <f>IF(원생!$A226="","",SUMIFS(계산!$C:$C,계산!$A:$A,계산!$E226,계산!$B:$B,$B$1*100+12))</f>
        <v/>
      </c>
      <c r="O228">
        <f>IF(원생!$I226="","",원생!$I226)</f>
        <v/>
      </c>
      <c r="P228">
        <f>IF($A228="","",IF(AND($B228&gt;0,C228&lt;$B228,DATE($B$1,1,1)&lt;=TODAY(),OR($O228="",$O228&gt;=DATE($B$1,1,1)),OR(COUNTIF($C228:C228,"&gt;0")&gt;0,DATE($B$1,1,1)=DATE(YEAR(TODAY()),MONTH(TODAY()),1))),1,0))</f>
        <v/>
      </c>
      <c r="Q228">
        <f>IF($A228="","",IF(AND($B228&gt;0,D228&lt;$B228,DATE($B$1,2,1)&lt;=TODAY(),OR($O228="",$O228&gt;=DATE($B$1,2,1)),OR(COUNTIF($C228:D228,"&gt;0")&gt;0,DATE($B$1,2,1)=DATE(YEAR(TODAY()),MONTH(TODAY()),1))),1,0))</f>
        <v/>
      </c>
      <c r="R228">
        <f>IF($A228="","",IF(AND($B228&gt;0,E228&lt;$B228,DATE($B$1,3,1)&lt;=TODAY(),OR($O228="",$O228&gt;=DATE($B$1,3,1)),OR(COUNTIF($C228:E228,"&gt;0")&gt;0,DATE($B$1,3,1)=DATE(YEAR(TODAY()),MONTH(TODAY()),1))),1,0))</f>
        <v/>
      </c>
      <c r="S228">
        <f>IF($A228="","",IF(AND($B228&gt;0,F228&lt;$B228,DATE($B$1,4,1)&lt;=TODAY(),OR($O228="",$O228&gt;=DATE($B$1,4,1)),OR(COUNTIF($C228:F228,"&gt;0")&gt;0,DATE($B$1,4,1)=DATE(YEAR(TODAY()),MONTH(TODAY()),1))),1,0))</f>
        <v/>
      </c>
      <c r="T228">
        <f>IF($A228="","",IF(AND($B228&gt;0,G228&lt;$B228,DATE($B$1,5,1)&lt;=TODAY(),OR($O228="",$O228&gt;=DATE($B$1,5,1)),OR(COUNTIF($C228:G228,"&gt;0")&gt;0,DATE($B$1,5,1)=DATE(YEAR(TODAY()),MONTH(TODAY()),1))),1,0))</f>
        <v/>
      </c>
      <c r="U228">
        <f>IF($A228="","",IF(AND($B228&gt;0,H228&lt;$B228,DATE($B$1,6,1)&lt;=TODAY(),OR($O228="",$O228&gt;=DATE($B$1,6,1)),OR(COUNTIF($C228:H228,"&gt;0")&gt;0,DATE($B$1,6,1)=DATE(YEAR(TODAY()),MONTH(TODAY()),1))),1,0))</f>
        <v/>
      </c>
      <c r="V228">
        <f>IF($A228="","",IF(AND($B228&gt;0,I228&lt;$B228,DATE($B$1,7,1)&lt;=TODAY(),OR($O228="",$O228&gt;=DATE($B$1,7,1)),OR(COUNTIF($C228:I228,"&gt;0")&gt;0,DATE($B$1,7,1)=DATE(YEAR(TODAY()),MONTH(TODAY()),1))),1,0))</f>
        <v/>
      </c>
      <c r="W228">
        <f>IF($A228="","",IF(AND($B228&gt;0,J228&lt;$B228,DATE($B$1,8,1)&lt;=TODAY(),OR($O228="",$O228&gt;=DATE($B$1,8,1)),OR(COUNTIF($C228:J228,"&gt;0")&gt;0,DATE($B$1,8,1)=DATE(YEAR(TODAY()),MONTH(TODAY()),1))),1,0))</f>
        <v/>
      </c>
      <c r="X228">
        <f>IF($A228="","",IF(AND($B228&gt;0,K228&lt;$B228,DATE($B$1,9,1)&lt;=TODAY(),OR($O228="",$O228&gt;=DATE($B$1,9,1)),OR(COUNTIF($C228:K228,"&gt;0")&gt;0,DATE($B$1,9,1)=DATE(YEAR(TODAY()),MONTH(TODAY()),1))),1,0))</f>
        <v/>
      </c>
      <c r="Y228">
        <f>IF($A228="","",IF(AND($B228&gt;0,L228&lt;$B228,DATE($B$1,10,1)&lt;=TODAY(),OR($O228="",$O228&gt;=DATE($B$1,10,1)),OR(COUNTIF($C228:L228,"&gt;0")&gt;0,DATE($B$1,10,1)=DATE(YEAR(TODAY()),MONTH(TODAY()),1))),1,0))</f>
        <v/>
      </c>
      <c r="Z228">
        <f>IF($A228="","",IF(AND($B228&gt;0,M228&lt;$B228,DATE($B$1,11,1)&lt;=TODAY(),OR($O228="",$O228&gt;=DATE($B$1,11,1)),OR(COUNTIF($C228:M228,"&gt;0")&gt;0,DATE($B$1,11,1)=DATE(YEAR(TODAY()),MONTH(TODAY()),1))),1,0))</f>
        <v/>
      </c>
      <c r="AA228">
        <f>IF($A228="","",IF(AND($B228&gt;0,N228&lt;$B228,DATE($B$1,12,1)&lt;=TODAY(),OR($O228="",$O228&gt;=DATE($B$1,12,1)),OR(COUNTIF($C228:N228,"&gt;0")&gt;0,DATE($B$1,12,1)=DATE(YEAR(TODAY()),MONTH(TODAY()),1))),1,0))</f>
        <v/>
      </c>
    </row>
    <row r="229">
      <c r="A229" s="13">
        <f>IF(원생!$A227="","",원생!$A227&amp;IF(원생!$G227="",""," ("&amp;원생!$G227&amp;")"))</f>
        <v/>
      </c>
      <c r="B229" s="8">
        <f>IF(원생!$A227="","",N(원생!$F227))</f>
        <v/>
      </c>
      <c r="C229" s="14">
        <f>IF(원생!$A227="","",SUMIFS(계산!$C:$C,계산!$A:$A,계산!$E227,계산!$B:$B,$B$1*100+1))</f>
        <v/>
      </c>
      <c r="D229" s="14">
        <f>IF(원생!$A227="","",SUMIFS(계산!$C:$C,계산!$A:$A,계산!$E227,계산!$B:$B,$B$1*100+2))</f>
        <v/>
      </c>
      <c r="E229" s="14">
        <f>IF(원생!$A227="","",SUMIFS(계산!$C:$C,계산!$A:$A,계산!$E227,계산!$B:$B,$B$1*100+3))</f>
        <v/>
      </c>
      <c r="F229" s="14">
        <f>IF(원생!$A227="","",SUMIFS(계산!$C:$C,계산!$A:$A,계산!$E227,계산!$B:$B,$B$1*100+4))</f>
        <v/>
      </c>
      <c r="G229" s="14">
        <f>IF(원생!$A227="","",SUMIFS(계산!$C:$C,계산!$A:$A,계산!$E227,계산!$B:$B,$B$1*100+5))</f>
        <v/>
      </c>
      <c r="H229" s="14">
        <f>IF(원생!$A227="","",SUMIFS(계산!$C:$C,계산!$A:$A,계산!$E227,계산!$B:$B,$B$1*100+6))</f>
        <v/>
      </c>
      <c r="I229" s="14">
        <f>IF(원생!$A227="","",SUMIFS(계산!$C:$C,계산!$A:$A,계산!$E227,계산!$B:$B,$B$1*100+7))</f>
        <v/>
      </c>
      <c r="J229" s="14">
        <f>IF(원생!$A227="","",SUMIFS(계산!$C:$C,계산!$A:$A,계산!$E227,계산!$B:$B,$B$1*100+8))</f>
        <v/>
      </c>
      <c r="K229" s="14">
        <f>IF(원생!$A227="","",SUMIFS(계산!$C:$C,계산!$A:$A,계산!$E227,계산!$B:$B,$B$1*100+9))</f>
        <v/>
      </c>
      <c r="L229" s="14">
        <f>IF(원생!$A227="","",SUMIFS(계산!$C:$C,계산!$A:$A,계산!$E227,계산!$B:$B,$B$1*100+10))</f>
        <v/>
      </c>
      <c r="M229" s="14">
        <f>IF(원생!$A227="","",SUMIFS(계산!$C:$C,계산!$A:$A,계산!$E227,계산!$B:$B,$B$1*100+11))</f>
        <v/>
      </c>
      <c r="N229" s="14">
        <f>IF(원생!$A227="","",SUMIFS(계산!$C:$C,계산!$A:$A,계산!$E227,계산!$B:$B,$B$1*100+12))</f>
        <v/>
      </c>
      <c r="O229">
        <f>IF(원생!$I227="","",원생!$I227)</f>
        <v/>
      </c>
      <c r="P229">
        <f>IF($A229="","",IF(AND($B229&gt;0,C229&lt;$B229,DATE($B$1,1,1)&lt;=TODAY(),OR($O229="",$O229&gt;=DATE($B$1,1,1)),OR(COUNTIF($C229:C229,"&gt;0")&gt;0,DATE($B$1,1,1)=DATE(YEAR(TODAY()),MONTH(TODAY()),1))),1,0))</f>
        <v/>
      </c>
      <c r="Q229">
        <f>IF($A229="","",IF(AND($B229&gt;0,D229&lt;$B229,DATE($B$1,2,1)&lt;=TODAY(),OR($O229="",$O229&gt;=DATE($B$1,2,1)),OR(COUNTIF($C229:D229,"&gt;0")&gt;0,DATE($B$1,2,1)=DATE(YEAR(TODAY()),MONTH(TODAY()),1))),1,0))</f>
        <v/>
      </c>
      <c r="R229">
        <f>IF($A229="","",IF(AND($B229&gt;0,E229&lt;$B229,DATE($B$1,3,1)&lt;=TODAY(),OR($O229="",$O229&gt;=DATE($B$1,3,1)),OR(COUNTIF($C229:E229,"&gt;0")&gt;0,DATE($B$1,3,1)=DATE(YEAR(TODAY()),MONTH(TODAY()),1))),1,0))</f>
        <v/>
      </c>
      <c r="S229">
        <f>IF($A229="","",IF(AND($B229&gt;0,F229&lt;$B229,DATE($B$1,4,1)&lt;=TODAY(),OR($O229="",$O229&gt;=DATE($B$1,4,1)),OR(COUNTIF($C229:F229,"&gt;0")&gt;0,DATE($B$1,4,1)=DATE(YEAR(TODAY()),MONTH(TODAY()),1))),1,0))</f>
        <v/>
      </c>
      <c r="T229">
        <f>IF($A229="","",IF(AND($B229&gt;0,G229&lt;$B229,DATE($B$1,5,1)&lt;=TODAY(),OR($O229="",$O229&gt;=DATE($B$1,5,1)),OR(COUNTIF($C229:G229,"&gt;0")&gt;0,DATE($B$1,5,1)=DATE(YEAR(TODAY()),MONTH(TODAY()),1))),1,0))</f>
        <v/>
      </c>
      <c r="U229">
        <f>IF($A229="","",IF(AND($B229&gt;0,H229&lt;$B229,DATE($B$1,6,1)&lt;=TODAY(),OR($O229="",$O229&gt;=DATE($B$1,6,1)),OR(COUNTIF($C229:H229,"&gt;0")&gt;0,DATE($B$1,6,1)=DATE(YEAR(TODAY()),MONTH(TODAY()),1))),1,0))</f>
        <v/>
      </c>
      <c r="V229">
        <f>IF($A229="","",IF(AND($B229&gt;0,I229&lt;$B229,DATE($B$1,7,1)&lt;=TODAY(),OR($O229="",$O229&gt;=DATE($B$1,7,1)),OR(COUNTIF($C229:I229,"&gt;0")&gt;0,DATE($B$1,7,1)=DATE(YEAR(TODAY()),MONTH(TODAY()),1))),1,0))</f>
        <v/>
      </c>
      <c r="W229">
        <f>IF($A229="","",IF(AND($B229&gt;0,J229&lt;$B229,DATE($B$1,8,1)&lt;=TODAY(),OR($O229="",$O229&gt;=DATE($B$1,8,1)),OR(COUNTIF($C229:J229,"&gt;0")&gt;0,DATE($B$1,8,1)=DATE(YEAR(TODAY()),MONTH(TODAY()),1))),1,0))</f>
        <v/>
      </c>
      <c r="X229">
        <f>IF($A229="","",IF(AND($B229&gt;0,K229&lt;$B229,DATE($B$1,9,1)&lt;=TODAY(),OR($O229="",$O229&gt;=DATE($B$1,9,1)),OR(COUNTIF($C229:K229,"&gt;0")&gt;0,DATE($B$1,9,1)=DATE(YEAR(TODAY()),MONTH(TODAY()),1))),1,0))</f>
        <v/>
      </c>
      <c r="Y229">
        <f>IF($A229="","",IF(AND($B229&gt;0,L229&lt;$B229,DATE($B$1,10,1)&lt;=TODAY(),OR($O229="",$O229&gt;=DATE($B$1,10,1)),OR(COUNTIF($C229:L229,"&gt;0")&gt;0,DATE($B$1,10,1)=DATE(YEAR(TODAY()),MONTH(TODAY()),1))),1,0))</f>
        <v/>
      </c>
      <c r="Z229">
        <f>IF($A229="","",IF(AND($B229&gt;0,M229&lt;$B229,DATE($B$1,11,1)&lt;=TODAY(),OR($O229="",$O229&gt;=DATE($B$1,11,1)),OR(COUNTIF($C229:M229,"&gt;0")&gt;0,DATE($B$1,11,1)=DATE(YEAR(TODAY()),MONTH(TODAY()),1))),1,0))</f>
        <v/>
      </c>
      <c r="AA229">
        <f>IF($A229="","",IF(AND($B229&gt;0,N229&lt;$B229,DATE($B$1,12,1)&lt;=TODAY(),OR($O229="",$O229&gt;=DATE($B$1,12,1)),OR(COUNTIF($C229:N229,"&gt;0")&gt;0,DATE($B$1,12,1)=DATE(YEAR(TODAY()),MONTH(TODAY()),1))),1,0))</f>
        <v/>
      </c>
    </row>
    <row r="230">
      <c r="A230" s="13">
        <f>IF(원생!$A228="","",원생!$A228&amp;IF(원생!$G228="",""," ("&amp;원생!$G228&amp;")"))</f>
        <v/>
      </c>
      <c r="B230" s="8">
        <f>IF(원생!$A228="","",N(원생!$F228))</f>
        <v/>
      </c>
      <c r="C230" s="14">
        <f>IF(원생!$A228="","",SUMIFS(계산!$C:$C,계산!$A:$A,계산!$E228,계산!$B:$B,$B$1*100+1))</f>
        <v/>
      </c>
      <c r="D230" s="14">
        <f>IF(원생!$A228="","",SUMIFS(계산!$C:$C,계산!$A:$A,계산!$E228,계산!$B:$B,$B$1*100+2))</f>
        <v/>
      </c>
      <c r="E230" s="14">
        <f>IF(원생!$A228="","",SUMIFS(계산!$C:$C,계산!$A:$A,계산!$E228,계산!$B:$B,$B$1*100+3))</f>
        <v/>
      </c>
      <c r="F230" s="14">
        <f>IF(원생!$A228="","",SUMIFS(계산!$C:$C,계산!$A:$A,계산!$E228,계산!$B:$B,$B$1*100+4))</f>
        <v/>
      </c>
      <c r="G230" s="14">
        <f>IF(원생!$A228="","",SUMIFS(계산!$C:$C,계산!$A:$A,계산!$E228,계산!$B:$B,$B$1*100+5))</f>
        <v/>
      </c>
      <c r="H230" s="14">
        <f>IF(원생!$A228="","",SUMIFS(계산!$C:$C,계산!$A:$A,계산!$E228,계산!$B:$B,$B$1*100+6))</f>
        <v/>
      </c>
      <c r="I230" s="14">
        <f>IF(원생!$A228="","",SUMIFS(계산!$C:$C,계산!$A:$A,계산!$E228,계산!$B:$B,$B$1*100+7))</f>
        <v/>
      </c>
      <c r="J230" s="14">
        <f>IF(원생!$A228="","",SUMIFS(계산!$C:$C,계산!$A:$A,계산!$E228,계산!$B:$B,$B$1*100+8))</f>
        <v/>
      </c>
      <c r="K230" s="14">
        <f>IF(원생!$A228="","",SUMIFS(계산!$C:$C,계산!$A:$A,계산!$E228,계산!$B:$B,$B$1*100+9))</f>
        <v/>
      </c>
      <c r="L230" s="14">
        <f>IF(원생!$A228="","",SUMIFS(계산!$C:$C,계산!$A:$A,계산!$E228,계산!$B:$B,$B$1*100+10))</f>
        <v/>
      </c>
      <c r="M230" s="14">
        <f>IF(원생!$A228="","",SUMIFS(계산!$C:$C,계산!$A:$A,계산!$E228,계산!$B:$B,$B$1*100+11))</f>
        <v/>
      </c>
      <c r="N230" s="14">
        <f>IF(원생!$A228="","",SUMIFS(계산!$C:$C,계산!$A:$A,계산!$E228,계산!$B:$B,$B$1*100+12))</f>
        <v/>
      </c>
      <c r="O230">
        <f>IF(원생!$I228="","",원생!$I228)</f>
        <v/>
      </c>
      <c r="P230">
        <f>IF($A230="","",IF(AND($B230&gt;0,C230&lt;$B230,DATE($B$1,1,1)&lt;=TODAY(),OR($O230="",$O230&gt;=DATE($B$1,1,1)),OR(COUNTIF($C230:C230,"&gt;0")&gt;0,DATE($B$1,1,1)=DATE(YEAR(TODAY()),MONTH(TODAY()),1))),1,0))</f>
        <v/>
      </c>
      <c r="Q230">
        <f>IF($A230="","",IF(AND($B230&gt;0,D230&lt;$B230,DATE($B$1,2,1)&lt;=TODAY(),OR($O230="",$O230&gt;=DATE($B$1,2,1)),OR(COUNTIF($C230:D230,"&gt;0")&gt;0,DATE($B$1,2,1)=DATE(YEAR(TODAY()),MONTH(TODAY()),1))),1,0))</f>
        <v/>
      </c>
      <c r="R230">
        <f>IF($A230="","",IF(AND($B230&gt;0,E230&lt;$B230,DATE($B$1,3,1)&lt;=TODAY(),OR($O230="",$O230&gt;=DATE($B$1,3,1)),OR(COUNTIF($C230:E230,"&gt;0")&gt;0,DATE($B$1,3,1)=DATE(YEAR(TODAY()),MONTH(TODAY()),1))),1,0))</f>
        <v/>
      </c>
      <c r="S230">
        <f>IF($A230="","",IF(AND($B230&gt;0,F230&lt;$B230,DATE($B$1,4,1)&lt;=TODAY(),OR($O230="",$O230&gt;=DATE($B$1,4,1)),OR(COUNTIF($C230:F230,"&gt;0")&gt;0,DATE($B$1,4,1)=DATE(YEAR(TODAY()),MONTH(TODAY()),1))),1,0))</f>
        <v/>
      </c>
      <c r="T230">
        <f>IF($A230="","",IF(AND($B230&gt;0,G230&lt;$B230,DATE($B$1,5,1)&lt;=TODAY(),OR($O230="",$O230&gt;=DATE($B$1,5,1)),OR(COUNTIF($C230:G230,"&gt;0")&gt;0,DATE($B$1,5,1)=DATE(YEAR(TODAY()),MONTH(TODAY()),1))),1,0))</f>
        <v/>
      </c>
      <c r="U230">
        <f>IF($A230="","",IF(AND($B230&gt;0,H230&lt;$B230,DATE($B$1,6,1)&lt;=TODAY(),OR($O230="",$O230&gt;=DATE($B$1,6,1)),OR(COUNTIF($C230:H230,"&gt;0")&gt;0,DATE($B$1,6,1)=DATE(YEAR(TODAY()),MONTH(TODAY()),1))),1,0))</f>
        <v/>
      </c>
      <c r="V230">
        <f>IF($A230="","",IF(AND($B230&gt;0,I230&lt;$B230,DATE($B$1,7,1)&lt;=TODAY(),OR($O230="",$O230&gt;=DATE($B$1,7,1)),OR(COUNTIF($C230:I230,"&gt;0")&gt;0,DATE($B$1,7,1)=DATE(YEAR(TODAY()),MONTH(TODAY()),1))),1,0))</f>
        <v/>
      </c>
      <c r="W230">
        <f>IF($A230="","",IF(AND($B230&gt;0,J230&lt;$B230,DATE($B$1,8,1)&lt;=TODAY(),OR($O230="",$O230&gt;=DATE($B$1,8,1)),OR(COUNTIF($C230:J230,"&gt;0")&gt;0,DATE($B$1,8,1)=DATE(YEAR(TODAY()),MONTH(TODAY()),1))),1,0))</f>
        <v/>
      </c>
      <c r="X230">
        <f>IF($A230="","",IF(AND($B230&gt;0,K230&lt;$B230,DATE($B$1,9,1)&lt;=TODAY(),OR($O230="",$O230&gt;=DATE($B$1,9,1)),OR(COUNTIF($C230:K230,"&gt;0")&gt;0,DATE($B$1,9,1)=DATE(YEAR(TODAY()),MONTH(TODAY()),1))),1,0))</f>
        <v/>
      </c>
      <c r="Y230">
        <f>IF($A230="","",IF(AND($B230&gt;0,L230&lt;$B230,DATE($B$1,10,1)&lt;=TODAY(),OR($O230="",$O230&gt;=DATE($B$1,10,1)),OR(COUNTIF($C230:L230,"&gt;0")&gt;0,DATE($B$1,10,1)=DATE(YEAR(TODAY()),MONTH(TODAY()),1))),1,0))</f>
        <v/>
      </c>
      <c r="Z230">
        <f>IF($A230="","",IF(AND($B230&gt;0,M230&lt;$B230,DATE($B$1,11,1)&lt;=TODAY(),OR($O230="",$O230&gt;=DATE($B$1,11,1)),OR(COUNTIF($C230:M230,"&gt;0")&gt;0,DATE($B$1,11,1)=DATE(YEAR(TODAY()),MONTH(TODAY()),1))),1,0))</f>
        <v/>
      </c>
      <c r="AA230">
        <f>IF($A230="","",IF(AND($B230&gt;0,N230&lt;$B230,DATE($B$1,12,1)&lt;=TODAY(),OR($O230="",$O230&gt;=DATE($B$1,12,1)),OR(COUNTIF($C230:N230,"&gt;0")&gt;0,DATE($B$1,12,1)=DATE(YEAR(TODAY()),MONTH(TODAY()),1))),1,0))</f>
        <v/>
      </c>
    </row>
    <row r="231">
      <c r="A231" s="13">
        <f>IF(원생!$A229="","",원생!$A229&amp;IF(원생!$G229="",""," ("&amp;원생!$G229&amp;")"))</f>
        <v/>
      </c>
      <c r="B231" s="8">
        <f>IF(원생!$A229="","",N(원생!$F229))</f>
        <v/>
      </c>
      <c r="C231" s="14">
        <f>IF(원생!$A229="","",SUMIFS(계산!$C:$C,계산!$A:$A,계산!$E229,계산!$B:$B,$B$1*100+1))</f>
        <v/>
      </c>
      <c r="D231" s="14">
        <f>IF(원생!$A229="","",SUMIFS(계산!$C:$C,계산!$A:$A,계산!$E229,계산!$B:$B,$B$1*100+2))</f>
        <v/>
      </c>
      <c r="E231" s="14">
        <f>IF(원생!$A229="","",SUMIFS(계산!$C:$C,계산!$A:$A,계산!$E229,계산!$B:$B,$B$1*100+3))</f>
        <v/>
      </c>
      <c r="F231" s="14">
        <f>IF(원생!$A229="","",SUMIFS(계산!$C:$C,계산!$A:$A,계산!$E229,계산!$B:$B,$B$1*100+4))</f>
        <v/>
      </c>
      <c r="G231" s="14">
        <f>IF(원생!$A229="","",SUMIFS(계산!$C:$C,계산!$A:$A,계산!$E229,계산!$B:$B,$B$1*100+5))</f>
        <v/>
      </c>
      <c r="H231" s="14">
        <f>IF(원생!$A229="","",SUMIFS(계산!$C:$C,계산!$A:$A,계산!$E229,계산!$B:$B,$B$1*100+6))</f>
        <v/>
      </c>
      <c r="I231" s="14">
        <f>IF(원생!$A229="","",SUMIFS(계산!$C:$C,계산!$A:$A,계산!$E229,계산!$B:$B,$B$1*100+7))</f>
        <v/>
      </c>
      <c r="J231" s="14">
        <f>IF(원생!$A229="","",SUMIFS(계산!$C:$C,계산!$A:$A,계산!$E229,계산!$B:$B,$B$1*100+8))</f>
        <v/>
      </c>
      <c r="K231" s="14">
        <f>IF(원생!$A229="","",SUMIFS(계산!$C:$C,계산!$A:$A,계산!$E229,계산!$B:$B,$B$1*100+9))</f>
        <v/>
      </c>
      <c r="L231" s="14">
        <f>IF(원생!$A229="","",SUMIFS(계산!$C:$C,계산!$A:$A,계산!$E229,계산!$B:$B,$B$1*100+10))</f>
        <v/>
      </c>
      <c r="M231" s="14">
        <f>IF(원생!$A229="","",SUMIFS(계산!$C:$C,계산!$A:$A,계산!$E229,계산!$B:$B,$B$1*100+11))</f>
        <v/>
      </c>
      <c r="N231" s="14">
        <f>IF(원생!$A229="","",SUMIFS(계산!$C:$C,계산!$A:$A,계산!$E229,계산!$B:$B,$B$1*100+12))</f>
        <v/>
      </c>
      <c r="O231">
        <f>IF(원생!$I229="","",원생!$I229)</f>
        <v/>
      </c>
      <c r="P231">
        <f>IF($A231="","",IF(AND($B231&gt;0,C231&lt;$B231,DATE($B$1,1,1)&lt;=TODAY(),OR($O231="",$O231&gt;=DATE($B$1,1,1)),OR(COUNTIF($C231:C231,"&gt;0")&gt;0,DATE($B$1,1,1)=DATE(YEAR(TODAY()),MONTH(TODAY()),1))),1,0))</f>
        <v/>
      </c>
      <c r="Q231">
        <f>IF($A231="","",IF(AND($B231&gt;0,D231&lt;$B231,DATE($B$1,2,1)&lt;=TODAY(),OR($O231="",$O231&gt;=DATE($B$1,2,1)),OR(COUNTIF($C231:D231,"&gt;0")&gt;0,DATE($B$1,2,1)=DATE(YEAR(TODAY()),MONTH(TODAY()),1))),1,0))</f>
        <v/>
      </c>
      <c r="R231">
        <f>IF($A231="","",IF(AND($B231&gt;0,E231&lt;$B231,DATE($B$1,3,1)&lt;=TODAY(),OR($O231="",$O231&gt;=DATE($B$1,3,1)),OR(COUNTIF($C231:E231,"&gt;0")&gt;0,DATE($B$1,3,1)=DATE(YEAR(TODAY()),MONTH(TODAY()),1))),1,0))</f>
        <v/>
      </c>
      <c r="S231">
        <f>IF($A231="","",IF(AND($B231&gt;0,F231&lt;$B231,DATE($B$1,4,1)&lt;=TODAY(),OR($O231="",$O231&gt;=DATE($B$1,4,1)),OR(COUNTIF($C231:F231,"&gt;0")&gt;0,DATE($B$1,4,1)=DATE(YEAR(TODAY()),MONTH(TODAY()),1))),1,0))</f>
        <v/>
      </c>
      <c r="T231">
        <f>IF($A231="","",IF(AND($B231&gt;0,G231&lt;$B231,DATE($B$1,5,1)&lt;=TODAY(),OR($O231="",$O231&gt;=DATE($B$1,5,1)),OR(COUNTIF($C231:G231,"&gt;0")&gt;0,DATE($B$1,5,1)=DATE(YEAR(TODAY()),MONTH(TODAY()),1))),1,0))</f>
        <v/>
      </c>
      <c r="U231">
        <f>IF($A231="","",IF(AND($B231&gt;0,H231&lt;$B231,DATE($B$1,6,1)&lt;=TODAY(),OR($O231="",$O231&gt;=DATE($B$1,6,1)),OR(COUNTIF($C231:H231,"&gt;0")&gt;0,DATE($B$1,6,1)=DATE(YEAR(TODAY()),MONTH(TODAY()),1))),1,0))</f>
        <v/>
      </c>
      <c r="V231">
        <f>IF($A231="","",IF(AND($B231&gt;0,I231&lt;$B231,DATE($B$1,7,1)&lt;=TODAY(),OR($O231="",$O231&gt;=DATE($B$1,7,1)),OR(COUNTIF($C231:I231,"&gt;0")&gt;0,DATE($B$1,7,1)=DATE(YEAR(TODAY()),MONTH(TODAY()),1))),1,0))</f>
        <v/>
      </c>
      <c r="W231">
        <f>IF($A231="","",IF(AND($B231&gt;0,J231&lt;$B231,DATE($B$1,8,1)&lt;=TODAY(),OR($O231="",$O231&gt;=DATE($B$1,8,1)),OR(COUNTIF($C231:J231,"&gt;0")&gt;0,DATE($B$1,8,1)=DATE(YEAR(TODAY()),MONTH(TODAY()),1))),1,0))</f>
        <v/>
      </c>
      <c r="X231">
        <f>IF($A231="","",IF(AND($B231&gt;0,K231&lt;$B231,DATE($B$1,9,1)&lt;=TODAY(),OR($O231="",$O231&gt;=DATE($B$1,9,1)),OR(COUNTIF($C231:K231,"&gt;0")&gt;0,DATE($B$1,9,1)=DATE(YEAR(TODAY()),MONTH(TODAY()),1))),1,0))</f>
        <v/>
      </c>
      <c r="Y231">
        <f>IF($A231="","",IF(AND($B231&gt;0,L231&lt;$B231,DATE($B$1,10,1)&lt;=TODAY(),OR($O231="",$O231&gt;=DATE($B$1,10,1)),OR(COUNTIF($C231:L231,"&gt;0")&gt;0,DATE($B$1,10,1)=DATE(YEAR(TODAY()),MONTH(TODAY()),1))),1,0))</f>
        <v/>
      </c>
      <c r="Z231">
        <f>IF($A231="","",IF(AND($B231&gt;0,M231&lt;$B231,DATE($B$1,11,1)&lt;=TODAY(),OR($O231="",$O231&gt;=DATE($B$1,11,1)),OR(COUNTIF($C231:M231,"&gt;0")&gt;0,DATE($B$1,11,1)=DATE(YEAR(TODAY()),MONTH(TODAY()),1))),1,0))</f>
        <v/>
      </c>
      <c r="AA231">
        <f>IF($A231="","",IF(AND($B231&gt;0,N231&lt;$B231,DATE($B$1,12,1)&lt;=TODAY(),OR($O231="",$O231&gt;=DATE($B$1,12,1)),OR(COUNTIF($C231:N231,"&gt;0")&gt;0,DATE($B$1,12,1)=DATE(YEAR(TODAY()),MONTH(TODAY()),1))),1,0))</f>
        <v/>
      </c>
    </row>
    <row r="232">
      <c r="A232" s="13">
        <f>IF(원생!$A230="","",원생!$A230&amp;IF(원생!$G230="",""," ("&amp;원생!$G230&amp;")"))</f>
        <v/>
      </c>
      <c r="B232" s="8">
        <f>IF(원생!$A230="","",N(원생!$F230))</f>
        <v/>
      </c>
      <c r="C232" s="14">
        <f>IF(원생!$A230="","",SUMIFS(계산!$C:$C,계산!$A:$A,계산!$E230,계산!$B:$B,$B$1*100+1))</f>
        <v/>
      </c>
      <c r="D232" s="14">
        <f>IF(원생!$A230="","",SUMIFS(계산!$C:$C,계산!$A:$A,계산!$E230,계산!$B:$B,$B$1*100+2))</f>
        <v/>
      </c>
      <c r="E232" s="14">
        <f>IF(원생!$A230="","",SUMIFS(계산!$C:$C,계산!$A:$A,계산!$E230,계산!$B:$B,$B$1*100+3))</f>
        <v/>
      </c>
      <c r="F232" s="14">
        <f>IF(원생!$A230="","",SUMIFS(계산!$C:$C,계산!$A:$A,계산!$E230,계산!$B:$B,$B$1*100+4))</f>
        <v/>
      </c>
      <c r="G232" s="14">
        <f>IF(원생!$A230="","",SUMIFS(계산!$C:$C,계산!$A:$A,계산!$E230,계산!$B:$B,$B$1*100+5))</f>
        <v/>
      </c>
      <c r="H232" s="14">
        <f>IF(원생!$A230="","",SUMIFS(계산!$C:$C,계산!$A:$A,계산!$E230,계산!$B:$B,$B$1*100+6))</f>
        <v/>
      </c>
      <c r="I232" s="14">
        <f>IF(원생!$A230="","",SUMIFS(계산!$C:$C,계산!$A:$A,계산!$E230,계산!$B:$B,$B$1*100+7))</f>
        <v/>
      </c>
      <c r="J232" s="14">
        <f>IF(원생!$A230="","",SUMIFS(계산!$C:$C,계산!$A:$A,계산!$E230,계산!$B:$B,$B$1*100+8))</f>
        <v/>
      </c>
      <c r="K232" s="14">
        <f>IF(원생!$A230="","",SUMIFS(계산!$C:$C,계산!$A:$A,계산!$E230,계산!$B:$B,$B$1*100+9))</f>
        <v/>
      </c>
      <c r="L232" s="14">
        <f>IF(원생!$A230="","",SUMIFS(계산!$C:$C,계산!$A:$A,계산!$E230,계산!$B:$B,$B$1*100+10))</f>
        <v/>
      </c>
      <c r="M232" s="14">
        <f>IF(원생!$A230="","",SUMIFS(계산!$C:$C,계산!$A:$A,계산!$E230,계산!$B:$B,$B$1*100+11))</f>
        <v/>
      </c>
      <c r="N232" s="14">
        <f>IF(원생!$A230="","",SUMIFS(계산!$C:$C,계산!$A:$A,계산!$E230,계산!$B:$B,$B$1*100+12))</f>
        <v/>
      </c>
      <c r="O232">
        <f>IF(원생!$I230="","",원생!$I230)</f>
        <v/>
      </c>
      <c r="P232">
        <f>IF($A232="","",IF(AND($B232&gt;0,C232&lt;$B232,DATE($B$1,1,1)&lt;=TODAY(),OR($O232="",$O232&gt;=DATE($B$1,1,1)),OR(COUNTIF($C232:C232,"&gt;0")&gt;0,DATE($B$1,1,1)=DATE(YEAR(TODAY()),MONTH(TODAY()),1))),1,0))</f>
        <v/>
      </c>
      <c r="Q232">
        <f>IF($A232="","",IF(AND($B232&gt;0,D232&lt;$B232,DATE($B$1,2,1)&lt;=TODAY(),OR($O232="",$O232&gt;=DATE($B$1,2,1)),OR(COUNTIF($C232:D232,"&gt;0")&gt;0,DATE($B$1,2,1)=DATE(YEAR(TODAY()),MONTH(TODAY()),1))),1,0))</f>
        <v/>
      </c>
      <c r="R232">
        <f>IF($A232="","",IF(AND($B232&gt;0,E232&lt;$B232,DATE($B$1,3,1)&lt;=TODAY(),OR($O232="",$O232&gt;=DATE($B$1,3,1)),OR(COUNTIF($C232:E232,"&gt;0")&gt;0,DATE($B$1,3,1)=DATE(YEAR(TODAY()),MONTH(TODAY()),1))),1,0))</f>
        <v/>
      </c>
      <c r="S232">
        <f>IF($A232="","",IF(AND($B232&gt;0,F232&lt;$B232,DATE($B$1,4,1)&lt;=TODAY(),OR($O232="",$O232&gt;=DATE($B$1,4,1)),OR(COUNTIF($C232:F232,"&gt;0")&gt;0,DATE($B$1,4,1)=DATE(YEAR(TODAY()),MONTH(TODAY()),1))),1,0))</f>
        <v/>
      </c>
      <c r="T232">
        <f>IF($A232="","",IF(AND($B232&gt;0,G232&lt;$B232,DATE($B$1,5,1)&lt;=TODAY(),OR($O232="",$O232&gt;=DATE($B$1,5,1)),OR(COUNTIF($C232:G232,"&gt;0")&gt;0,DATE($B$1,5,1)=DATE(YEAR(TODAY()),MONTH(TODAY()),1))),1,0))</f>
        <v/>
      </c>
      <c r="U232">
        <f>IF($A232="","",IF(AND($B232&gt;0,H232&lt;$B232,DATE($B$1,6,1)&lt;=TODAY(),OR($O232="",$O232&gt;=DATE($B$1,6,1)),OR(COUNTIF($C232:H232,"&gt;0")&gt;0,DATE($B$1,6,1)=DATE(YEAR(TODAY()),MONTH(TODAY()),1))),1,0))</f>
        <v/>
      </c>
      <c r="V232">
        <f>IF($A232="","",IF(AND($B232&gt;0,I232&lt;$B232,DATE($B$1,7,1)&lt;=TODAY(),OR($O232="",$O232&gt;=DATE($B$1,7,1)),OR(COUNTIF($C232:I232,"&gt;0")&gt;0,DATE($B$1,7,1)=DATE(YEAR(TODAY()),MONTH(TODAY()),1))),1,0))</f>
        <v/>
      </c>
      <c r="W232">
        <f>IF($A232="","",IF(AND($B232&gt;0,J232&lt;$B232,DATE($B$1,8,1)&lt;=TODAY(),OR($O232="",$O232&gt;=DATE($B$1,8,1)),OR(COUNTIF($C232:J232,"&gt;0")&gt;0,DATE($B$1,8,1)=DATE(YEAR(TODAY()),MONTH(TODAY()),1))),1,0))</f>
        <v/>
      </c>
      <c r="X232">
        <f>IF($A232="","",IF(AND($B232&gt;0,K232&lt;$B232,DATE($B$1,9,1)&lt;=TODAY(),OR($O232="",$O232&gt;=DATE($B$1,9,1)),OR(COUNTIF($C232:K232,"&gt;0")&gt;0,DATE($B$1,9,1)=DATE(YEAR(TODAY()),MONTH(TODAY()),1))),1,0))</f>
        <v/>
      </c>
      <c r="Y232">
        <f>IF($A232="","",IF(AND($B232&gt;0,L232&lt;$B232,DATE($B$1,10,1)&lt;=TODAY(),OR($O232="",$O232&gt;=DATE($B$1,10,1)),OR(COUNTIF($C232:L232,"&gt;0")&gt;0,DATE($B$1,10,1)=DATE(YEAR(TODAY()),MONTH(TODAY()),1))),1,0))</f>
        <v/>
      </c>
      <c r="Z232">
        <f>IF($A232="","",IF(AND($B232&gt;0,M232&lt;$B232,DATE($B$1,11,1)&lt;=TODAY(),OR($O232="",$O232&gt;=DATE($B$1,11,1)),OR(COUNTIF($C232:M232,"&gt;0")&gt;0,DATE($B$1,11,1)=DATE(YEAR(TODAY()),MONTH(TODAY()),1))),1,0))</f>
        <v/>
      </c>
      <c r="AA232">
        <f>IF($A232="","",IF(AND($B232&gt;0,N232&lt;$B232,DATE($B$1,12,1)&lt;=TODAY(),OR($O232="",$O232&gt;=DATE($B$1,12,1)),OR(COUNTIF($C232:N232,"&gt;0")&gt;0,DATE($B$1,12,1)=DATE(YEAR(TODAY()),MONTH(TODAY()),1))),1,0))</f>
        <v/>
      </c>
    </row>
    <row r="233">
      <c r="A233" s="13">
        <f>IF(원생!$A231="","",원생!$A231&amp;IF(원생!$G231="",""," ("&amp;원생!$G231&amp;")"))</f>
        <v/>
      </c>
      <c r="B233" s="8">
        <f>IF(원생!$A231="","",N(원생!$F231))</f>
        <v/>
      </c>
      <c r="C233" s="14">
        <f>IF(원생!$A231="","",SUMIFS(계산!$C:$C,계산!$A:$A,계산!$E231,계산!$B:$B,$B$1*100+1))</f>
        <v/>
      </c>
      <c r="D233" s="14">
        <f>IF(원생!$A231="","",SUMIFS(계산!$C:$C,계산!$A:$A,계산!$E231,계산!$B:$B,$B$1*100+2))</f>
        <v/>
      </c>
      <c r="E233" s="14">
        <f>IF(원생!$A231="","",SUMIFS(계산!$C:$C,계산!$A:$A,계산!$E231,계산!$B:$B,$B$1*100+3))</f>
        <v/>
      </c>
      <c r="F233" s="14">
        <f>IF(원생!$A231="","",SUMIFS(계산!$C:$C,계산!$A:$A,계산!$E231,계산!$B:$B,$B$1*100+4))</f>
        <v/>
      </c>
      <c r="G233" s="14">
        <f>IF(원생!$A231="","",SUMIFS(계산!$C:$C,계산!$A:$A,계산!$E231,계산!$B:$B,$B$1*100+5))</f>
        <v/>
      </c>
      <c r="H233" s="14">
        <f>IF(원생!$A231="","",SUMIFS(계산!$C:$C,계산!$A:$A,계산!$E231,계산!$B:$B,$B$1*100+6))</f>
        <v/>
      </c>
      <c r="I233" s="14">
        <f>IF(원생!$A231="","",SUMIFS(계산!$C:$C,계산!$A:$A,계산!$E231,계산!$B:$B,$B$1*100+7))</f>
        <v/>
      </c>
      <c r="J233" s="14">
        <f>IF(원생!$A231="","",SUMIFS(계산!$C:$C,계산!$A:$A,계산!$E231,계산!$B:$B,$B$1*100+8))</f>
        <v/>
      </c>
      <c r="K233" s="14">
        <f>IF(원생!$A231="","",SUMIFS(계산!$C:$C,계산!$A:$A,계산!$E231,계산!$B:$B,$B$1*100+9))</f>
        <v/>
      </c>
      <c r="L233" s="14">
        <f>IF(원생!$A231="","",SUMIFS(계산!$C:$C,계산!$A:$A,계산!$E231,계산!$B:$B,$B$1*100+10))</f>
        <v/>
      </c>
      <c r="M233" s="14">
        <f>IF(원생!$A231="","",SUMIFS(계산!$C:$C,계산!$A:$A,계산!$E231,계산!$B:$B,$B$1*100+11))</f>
        <v/>
      </c>
      <c r="N233" s="14">
        <f>IF(원생!$A231="","",SUMIFS(계산!$C:$C,계산!$A:$A,계산!$E231,계산!$B:$B,$B$1*100+12))</f>
        <v/>
      </c>
      <c r="O233">
        <f>IF(원생!$I231="","",원생!$I231)</f>
        <v/>
      </c>
      <c r="P233">
        <f>IF($A233="","",IF(AND($B233&gt;0,C233&lt;$B233,DATE($B$1,1,1)&lt;=TODAY(),OR($O233="",$O233&gt;=DATE($B$1,1,1)),OR(COUNTIF($C233:C233,"&gt;0")&gt;0,DATE($B$1,1,1)=DATE(YEAR(TODAY()),MONTH(TODAY()),1))),1,0))</f>
        <v/>
      </c>
      <c r="Q233">
        <f>IF($A233="","",IF(AND($B233&gt;0,D233&lt;$B233,DATE($B$1,2,1)&lt;=TODAY(),OR($O233="",$O233&gt;=DATE($B$1,2,1)),OR(COUNTIF($C233:D233,"&gt;0")&gt;0,DATE($B$1,2,1)=DATE(YEAR(TODAY()),MONTH(TODAY()),1))),1,0))</f>
        <v/>
      </c>
      <c r="R233">
        <f>IF($A233="","",IF(AND($B233&gt;0,E233&lt;$B233,DATE($B$1,3,1)&lt;=TODAY(),OR($O233="",$O233&gt;=DATE($B$1,3,1)),OR(COUNTIF($C233:E233,"&gt;0")&gt;0,DATE($B$1,3,1)=DATE(YEAR(TODAY()),MONTH(TODAY()),1))),1,0))</f>
        <v/>
      </c>
      <c r="S233">
        <f>IF($A233="","",IF(AND($B233&gt;0,F233&lt;$B233,DATE($B$1,4,1)&lt;=TODAY(),OR($O233="",$O233&gt;=DATE($B$1,4,1)),OR(COUNTIF($C233:F233,"&gt;0")&gt;0,DATE($B$1,4,1)=DATE(YEAR(TODAY()),MONTH(TODAY()),1))),1,0))</f>
        <v/>
      </c>
      <c r="T233">
        <f>IF($A233="","",IF(AND($B233&gt;0,G233&lt;$B233,DATE($B$1,5,1)&lt;=TODAY(),OR($O233="",$O233&gt;=DATE($B$1,5,1)),OR(COUNTIF($C233:G233,"&gt;0")&gt;0,DATE($B$1,5,1)=DATE(YEAR(TODAY()),MONTH(TODAY()),1))),1,0))</f>
        <v/>
      </c>
      <c r="U233">
        <f>IF($A233="","",IF(AND($B233&gt;0,H233&lt;$B233,DATE($B$1,6,1)&lt;=TODAY(),OR($O233="",$O233&gt;=DATE($B$1,6,1)),OR(COUNTIF($C233:H233,"&gt;0")&gt;0,DATE($B$1,6,1)=DATE(YEAR(TODAY()),MONTH(TODAY()),1))),1,0))</f>
        <v/>
      </c>
      <c r="V233">
        <f>IF($A233="","",IF(AND($B233&gt;0,I233&lt;$B233,DATE($B$1,7,1)&lt;=TODAY(),OR($O233="",$O233&gt;=DATE($B$1,7,1)),OR(COUNTIF($C233:I233,"&gt;0")&gt;0,DATE($B$1,7,1)=DATE(YEAR(TODAY()),MONTH(TODAY()),1))),1,0))</f>
        <v/>
      </c>
      <c r="W233">
        <f>IF($A233="","",IF(AND($B233&gt;0,J233&lt;$B233,DATE($B$1,8,1)&lt;=TODAY(),OR($O233="",$O233&gt;=DATE($B$1,8,1)),OR(COUNTIF($C233:J233,"&gt;0")&gt;0,DATE($B$1,8,1)=DATE(YEAR(TODAY()),MONTH(TODAY()),1))),1,0))</f>
        <v/>
      </c>
      <c r="X233">
        <f>IF($A233="","",IF(AND($B233&gt;0,K233&lt;$B233,DATE($B$1,9,1)&lt;=TODAY(),OR($O233="",$O233&gt;=DATE($B$1,9,1)),OR(COUNTIF($C233:K233,"&gt;0")&gt;0,DATE($B$1,9,1)=DATE(YEAR(TODAY()),MONTH(TODAY()),1))),1,0))</f>
        <v/>
      </c>
      <c r="Y233">
        <f>IF($A233="","",IF(AND($B233&gt;0,L233&lt;$B233,DATE($B$1,10,1)&lt;=TODAY(),OR($O233="",$O233&gt;=DATE($B$1,10,1)),OR(COUNTIF($C233:L233,"&gt;0")&gt;0,DATE($B$1,10,1)=DATE(YEAR(TODAY()),MONTH(TODAY()),1))),1,0))</f>
        <v/>
      </c>
      <c r="Z233">
        <f>IF($A233="","",IF(AND($B233&gt;0,M233&lt;$B233,DATE($B$1,11,1)&lt;=TODAY(),OR($O233="",$O233&gt;=DATE($B$1,11,1)),OR(COUNTIF($C233:M233,"&gt;0")&gt;0,DATE($B$1,11,1)=DATE(YEAR(TODAY()),MONTH(TODAY()),1))),1,0))</f>
        <v/>
      </c>
      <c r="AA233">
        <f>IF($A233="","",IF(AND($B233&gt;0,N233&lt;$B233,DATE($B$1,12,1)&lt;=TODAY(),OR($O233="",$O233&gt;=DATE($B$1,12,1)),OR(COUNTIF($C233:N233,"&gt;0")&gt;0,DATE($B$1,12,1)=DATE(YEAR(TODAY()),MONTH(TODAY()),1))),1,0))</f>
        <v/>
      </c>
    </row>
    <row r="234">
      <c r="A234" s="13">
        <f>IF(원생!$A232="","",원생!$A232&amp;IF(원생!$G232="",""," ("&amp;원생!$G232&amp;")"))</f>
        <v/>
      </c>
      <c r="B234" s="8">
        <f>IF(원생!$A232="","",N(원생!$F232))</f>
        <v/>
      </c>
      <c r="C234" s="14">
        <f>IF(원생!$A232="","",SUMIFS(계산!$C:$C,계산!$A:$A,계산!$E232,계산!$B:$B,$B$1*100+1))</f>
        <v/>
      </c>
      <c r="D234" s="14">
        <f>IF(원생!$A232="","",SUMIFS(계산!$C:$C,계산!$A:$A,계산!$E232,계산!$B:$B,$B$1*100+2))</f>
        <v/>
      </c>
      <c r="E234" s="14">
        <f>IF(원생!$A232="","",SUMIFS(계산!$C:$C,계산!$A:$A,계산!$E232,계산!$B:$B,$B$1*100+3))</f>
        <v/>
      </c>
      <c r="F234" s="14">
        <f>IF(원생!$A232="","",SUMIFS(계산!$C:$C,계산!$A:$A,계산!$E232,계산!$B:$B,$B$1*100+4))</f>
        <v/>
      </c>
      <c r="G234" s="14">
        <f>IF(원생!$A232="","",SUMIFS(계산!$C:$C,계산!$A:$A,계산!$E232,계산!$B:$B,$B$1*100+5))</f>
        <v/>
      </c>
      <c r="H234" s="14">
        <f>IF(원생!$A232="","",SUMIFS(계산!$C:$C,계산!$A:$A,계산!$E232,계산!$B:$B,$B$1*100+6))</f>
        <v/>
      </c>
      <c r="I234" s="14">
        <f>IF(원생!$A232="","",SUMIFS(계산!$C:$C,계산!$A:$A,계산!$E232,계산!$B:$B,$B$1*100+7))</f>
        <v/>
      </c>
      <c r="J234" s="14">
        <f>IF(원생!$A232="","",SUMIFS(계산!$C:$C,계산!$A:$A,계산!$E232,계산!$B:$B,$B$1*100+8))</f>
        <v/>
      </c>
      <c r="K234" s="14">
        <f>IF(원생!$A232="","",SUMIFS(계산!$C:$C,계산!$A:$A,계산!$E232,계산!$B:$B,$B$1*100+9))</f>
        <v/>
      </c>
      <c r="L234" s="14">
        <f>IF(원생!$A232="","",SUMIFS(계산!$C:$C,계산!$A:$A,계산!$E232,계산!$B:$B,$B$1*100+10))</f>
        <v/>
      </c>
      <c r="M234" s="14">
        <f>IF(원생!$A232="","",SUMIFS(계산!$C:$C,계산!$A:$A,계산!$E232,계산!$B:$B,$B$1*100+11))</f>
        <v/>
      </c>
      <c r="N234" s="14">
        <f>IF(원생!$A232="","",SUMIFS(계산!$C:$C,계산!$A:$A,계산!$E232,계산!$B:$B,$B$1*100+12))</f>
        <v/>
      </c>
      <c r="O234">
        <f>IF(원생!$I232="","",원생!$I232)</f>
        <v/>
      </c>
      <c r="P234">
        <f>IF($A234="","",IF(AND($B234&gt;0,C234&lt;$B234,DATE($B$1,1,1)&lt;=TODAY(),OR($O234="",$O234&gt;=DATE($B$1,1,1)),OR(COUNTIF($C234:C234,"&gt;0")&gt;0,DATE($B$1,1,1)=DATE(YEAR(TODAY()),MONTH(TODAY()),1))),1,0))</f>
        <v/>
      </c>
      <c r="Q234">
        <f>IF($A234="","",IF(AND($B234&gt;0,D234&lt;$B234,DATE($B$1,2,1)&lt;=TODAY(),OR($O234="",$O234&gt;=DATE($B$1,2,1)),OR(COUNTIF($C234:D234,"&gt;0")&gt;0,DATE($B$1,2,1)=DATE(YEAR(TODAY()),MONTH(TODAY()),1))),1,0))</f>
        <v/>
      </c>
      <c r="R234">
        <f>IF($A234="","",IF(AND($B234&gt;0,E234&lt;$B234,DATE($B$1,3,1)&lt;=TODAY(),OR($O234="",$O234&gt;=DATE($B$1,3,1)),OR(COUNTIF($C234:E234,"&gt;0")&gt;0,DATE($B$1,3,1)=DATE(YEAR(TODAY()),MONTH(TODAY()),1))),1,0))</f>
        <v/>
      </c>
      <c r="S234">
        <f>IF($A234="","",IF(AND($B234&gt;0,F234&lt;$B234,DATE($B$1,4,1)&lt;=TODAY(),OR($O234="",$O234&gt;=DATE($B$1,4,1)),OR(COUNTIF($C234:F234,"&gt;0")&gt;0,DATE($B$1,4,1)=DATE(YEAR(TODAY()),MONTH(TODAY()),1))),1,0))</f>
        <v/>
      </c>
      <c r="T234">
        <f>IF($A234="","",IF(AND($B234&gt;0,G234&lt;$B234,DATE($B$1,5,1)&lt;=TODAY(),OR($O234="",$O234&gt;=DATE($B$1,5,1)),OR(COUNTIF($C234:G234,"&gt;0")&gt;0,DATE($B$1,5,1)=DATE(YEAR(TODAY()),MONTH(TODAY()),1))),1,0))</f>
        <v/>
      </c>
      <c r="U234">
        <f>IF($A234="","",IF(AND($B234&gt;0,H234&lt;$B234,DATE($B$1,6,1)&lt;=TODAY(),OR($O234="",$O234&gt;=DATE($B$1,6,1)),OR(COUNTIF($C234:H234,"&gt;0")&gt;0,DATE($B$1,6,1)=DATE(YEAR(TODAY()),MONTH(TODAY()),1))),1,0))</f>
        <v/>
      </c>
      <c r="V234">
        <f>IF($A234="","",IF(AND($B234&gt;0,I234&lt;$B234,DATE($B$1,7,1)&lt;=TODAY(),OR($O234="",$O234&gt;=DATE($B$1,7,1)),OR(COUNTIF($C234:I234,"&gt;0")&gt;0,DATE($B$1,7,1)=DATE(YEAR(TODAY()),MONTH(TODAY()),1))),1,0))</f>
        <v/>
      </c>
      <c r="W234">
        <f>IF($A234="","",IF(AND($B234&gt;0,J234&lt;$B234,DATE($B$1,8,1)&lt;=TODAY(),OR($O234="",$O234&gt;=DATE($B$1,8,1)),OR(COUNTIF($C234:J234,"&gt;0")&gt;0,DATE($B$1,8,1)=DATE(YEAR(TODAY()),MONTH(TODAY()),1))),1,0))</f>
        <v/>
      </c>
      <c r="X234">
        <f>IF($A234="","",IF(AND($B234&gt;0,K234&lt;$B234,DATE($B$1,9,1)&lt;=TODAY(),OR($O234="",$O234&gt;=DATE($B$1,9,1)),OR(COUNTIF($C234:K234,"&gt;0")&gt;0,DATE($B$1,9,1)=DATE(YEAR(TODAY()),MONTH(TODAY()),1))),1,0))</f>
        <v/>
      </c>
      <c r="Y234">
        <f>IF($A234="","",IF(AND($B234&gt;0,L234&lt;$B234,DATE($B$1,10,1)&lt;=TODAY(),OR($O234="",$O234&gt;=DATE($B$1,10,1)),OR(COUNTIF($C234:L234,"&gt;0")&gt;0,DATE($B$1,10,1)=DATE(YEAR(TODAY()),MONTH(TODAY()),1))),1,0))</f>
        <v/>
      </c>
      <c r="Z234">
        <f>IF($A234="","",IF(AND($B234&gt;0,M234&lt;$B234,DATE($B$1,11,1)&lt;=TODAY(),OR($O234="",$O234&gt;=DATE($B$1,11,1)),OR(COUNTIF($C234:M234,"&gt;0")&gt;0,DATE($B$1,11,1)=DATE(YEAR(TODAY()),MONTH(TODAY()),1))),1,0))</f>
        <v/>
      </c>
      <c r="AA234">
        <f>IF($A234="","",IF(AND($B234&gt;0,N234&lt;$B234,DATE($B$1,12,1)&lt;=TODAY(),OR($O234="",$O234&gt;=DATE($B$1,12,1)),OR(COUNTIF($C234:N234,"&gt;0")&gt;0,DATE($B$1,12,1)=DATE(YEAR(TODAY()),MONTH(TODAY()),1))),1,0))</f>
        <v/>
      </c>
    </row>
    <row r="235">
      <c r="A235" s="13">
        <f>IF(원생!$A233="","",원생!$A233&amp;IF(원생!$G233="",""," ("&amp;원생!$G233&amp;")"))</f>
        <v/>
      </c>
      <c r="B235" s="8">
        <f>IF(원생!$A233="","",N(원생!$F233))</f>
        <v/>
      </c>
      <c r="C235" s="14">
        <f>IF(원생!$A233="","",SUMIFS(계산!$C:$C,계산!$A:$A,계산!$E233,계산!$B:$B,$B$1*100+1))</f>
        <v/>
      </c>
      <c r="D235" s="14">
        <f>IF(원생!$A233="","",SUMIFS(계산!$C:$C,계산!$A:$A,계산!$E233,계산!$B:$B,$B$1*100+2))</f>
        <v/>
      </c>
      <c r="E235" s="14">
        <f>IF(원생!$A233="","",SUMIFS(계산!$C:$C,계산!$A:$A,계산!$E233,계산!$B:$B,$B$1*100+3))</f>
        <v/>
      </c>
      <c r="F235" s="14">
        <f>IF(원생!$A233="","",SUMIFS(계산!$C:$C,계산!$A:$A,계산!$E233,계산!$B:$B,$B$1*100+4))</f>
        <v/>
      </c>
      <c r="G235" s="14">
        <f>IF(원생!$A233="","",SUMIFS(계산!$C:$C,계산!$A:$A,계산!$E233,계산!$B:$B,$B$1*100+5))</f>
        <v/>
      </c>
      <c r="H235" s="14">
        <f>IF(원생!$A233="","",SUMIFS(계산!$C:$C,계산!$A:$A,계산!$E233,계산!$B:$B,$B$1*100+6))</f>
        <v/>
      </c>
      <c r="I235" s="14">
        <f>IF(원생!$A233="","",SUMIFS(계산!$C:$C,계산!$A:$A,계산!$E233,계산!$B:$B,$B$1*100+7))</f>
        <v/>
      </c>
      <c r="J235" s="14">
        <f>IF(원생!$A233="","",SUMIFS(계산!$C:$C,계산!$A:$A,계산!$E233,계산!$B:$B,$B$1*100+8))</f>
        <v/>
      </c>
      <c r="K235" s="14">
        <f>IF(원생!$A233="","",SUMIFS(계산!$C:$C,계산!$A:$A,계산!$E233,계산!$B:$B,$B$1*100+9))</f>
        <v/>
      </c>
      <c r="L235" s="14">
        <f>IF(원생!$A233="","",SUMIFS(계산!$C:$C,계산!$A:$A,계산!$E233,계산!$B:$B,$B$1*100+10))</f>
        <v/>
      </c>
      <c r="M235" s="14">
        <f>IF(원생!$A233="","",SUMIFS(계산!$C:$C,계산!$A:$A,계산!$E233,계산!$B:$B,$B$1*100+11))</f>
        <v/>
      </c>
      <c r="N235" s="14">
        <f>IF(원생!$A233="","",SUMIFS(계산!$C:$C,계산!$A:$A,계산!$E233,계산!$B:$B,$B$1*100+12))</f>
        <v/>
      </c>
      <c r="O235">
        <f>IF(원생!$I233="","",원생!$I233)</f>
        <v/>
      </c>
      <c r="P235">
        <f>IF($A235="","",IF(AND($B235&gt;0,C235&lt;$B235,DATE($B$1,1,1)&lt;=TODAY(),OR($O235="",$O235&gt;=DATE($B$1,1,1)),OR(COUNTIF($C235:C235,"&gt;0")&gt;0,DATE($B$1,1,1)=DATE(YEAR(TODAY()),MONTH(TODAY()),1))),1,0))</f>
        <v/>
      </c>
      <c r="Q235">
        <f>IF($A235="","",IF(AND($B235&gt;0,D235&lt;$B235,DATE($B$1,2,1)&lt;=TODAY(),OR($O235="",$O235&gt;=DATE($B$1,2,1)),OR(COUNTIF($C235:D235,"&gt;0")&gt;0,DATE($B$1,2,1)=DATE(YEAR(TODAY()),MONTH(TODAY()),1))),1,0))</f>
        <v/>
      </c>
      <c r="R235">
        <f>IF($A235="","",IF(AND($B235&gt;0,E235&lt;$B235,DATE($B$1,3,1)&lt;=TODAY(),OR($O235="",$O235&gt;=DATE($B$1,3,1)),OR(COUNTIF($C235:E235,"&gt;0")&gt;0,DATE($B$1,3,1)=DATE(YEAR(TODAY()),MONTH(TODAY()),1))),1,0))</f>
        <v/>
      </c>
      <c r="S235">
        <f>IF($A235="","",IF(AND($B235&gt;0,F235&lt;$B235,DATE($B$1,4,1)&lt;=TODAY(),OR($O235="",$O235&gt;=DATE($B$1,4,1)),OR(COUNTIF($C235:F235,"&gt;0")&gt;0,DATE($B$1,4,1)=DATE(YEAR(TODAY()),MONTH(TODAY()),1))),1,0))</f>
        <v/>
      </c>
      <c r="T235">
        <f>IF($A235="","",IF(AND($B235&gt;0,G235&lt;$B235,DATE($B$1,5,1)&lt;=TODAY(),OR($O235="",$O235&gt;=DATE($B$1,5,1)),OR(COUNTIF($C235:G235,"&gt;0")&gt;0,DATE($B$1,5,1)=DATE(YEAR(TODAY()),MONTH(TODAY()),1))),1,0))</f>
        <v/>
      </c>
      <c r="U235">
        <f>IF($A235="","",IF(AND($B235&gt;0,H235&lt;$B235,DATE($B$1,6,1)&lt;=TODAY(),OR($O235="",$O235&gt;=DATE($B$1,6,1)),OR(COUNTIF($C235:H235,"&gt;0")&gt;0,DATE($B$1,6,1)=DATE(YEAR(TODAY()),MONTH(TODAY()),1))),1,0))</f>
        <v/>
      </c>
      <c r="V235">
        <f>IF($A235="","",IF(AND($B235&gt;0,I235&lt;$B235,DATE($B$1,7,1)&lt;=TODAY(),OR($O235="",$O235&gt;=DATE($B$1,7,1)),OR(COUNTIF($C235:I235,"&gt;0")&gt;0,DATE($B$1,7,1)=DATE(YEAR(TODAY()),MONTH(TODAY()),1))),1,0))</f>
        <v/>
      </c>
      <c r="W235">
        <f>IF($A235="","",IF(AND($B235&gt;0,J235&lt;$B235,DATE($B$1,8,1)&lt;=TODAY(),OR($O235="",$O235&gt;=DATE($B$1,8,1)),OR(COUNTIF($C235:J235,"&gt;0")&gt;0,DATE($B$1,8,1)=DATE(YEAR(TODAY()),MONTH(TODAY()),1))),1,0))</f>
        <v/>
      </c>
      <c r="X235">
        <f>IF($A235="","",IF(AND($B235&gt;0,K235&lt;$B235,DATE($B$1,9,1)&lt;=TODAY(),OR($O235="",$O235&gt;=DATE($B$1,9,1)),OR(COUNTIF($C235:K235,"&gt;0")&gt;0,DATE($B$1,9,1)=DATE(YEAR(TODAY()),MONTH(TODAY()),1))),1,0))</f>
        <v/>
      </c>
      <c r="Y235">
        <f>IF($A235="","",IF(AND($B235&gt;0,L235&lt;$B235,DATE($B$1,10,1)&lt;=TODAY(),OR($O235="",$O235&gt;=DATE($B$1,10,1)),OR(COUNTIF($C235:L235,"&gt;0")&gt;0,DATE($B$1,10,1)=DATE(YEAR(TODAY()),MONTH(TODAY()),1))),1,0))</f>
        <v/>
      </c>
      <c r="Z235">
        <f>IF($A235="","",IF(AND($B235&gt;0,M235&lt;$B235,DATE($B$1,11,1)&lt;=TODAY(),OR($O235="",$O235&gt;=DATE($B$1,11,1)),OR(COUNTIF($C235:M235,"&gt;0")&gt;0,DATE($B$1,11,1)=DATE(YEAR(TODAY()),MONTH(TODAY()),1))),1,0))</f>
        <v/>
      </c>
      <c r="AA235">
        <f>IF($A235="","",IF(AND($B235&gt;0,N235&lt;$B235,DATE($B$1,12,1)&lt;=TODAY(),OR($O235="",$O235&gt;=DATE($B$1,12,1)),OR(COUNTIF($C235:N235,"&gt;0")&gt;0,DATE($B$1,12,1)=DATE(YEAR(TODAY()),MONTH(TODAY()),1))),1,0))</f>
        <v/>
      </c>
    </row>
    <row r="236">
      <c r="A236" s="13">
        <f>IF(원생!$A234="","",원생!$A234&amp;IF(원생!$G234="",""," ("&amp;원생!$G234&amp;")"))</f>
        <v/>
      </c>
      <c r="B236" s="8">
        <f>IF(원생!$A234="","",N(원생!$F234))</f>
        <v/>
      </c>
      <c r="C236" s="14">
        <f>IF(원생!$A234="","",SUMIFS(계산!$C:$C,계산!$A:$A,계산!$E234,계산!$B:$B,$B$1*100+1))</f>
        <v/>
      </c>
      <c r="D236" s="14">
        <f>IF(원생!$A234="","",SUMIFS(계산!$C:$C,계산!$A:$A,계산!$E234,계산!$B:$B,$B$1*100+2))</f>
        <v/>
      </c>
      <c r="E236" s="14">
        <f>IF(원생!$A234="","",SUMIFS(계산!$C:$C,계산!$A:$A,계산!$E234,계산!$B:$B,$B$1*100+3))</f>
        <v/>
      </c>
      <c r="F236" s="14">
        <f>IF(원생!$A234="","",SUMIFS(계산!$C:$C,계산!$A:$A,계산!$E234,계산!$B:$B,$B$1*100+4))</f>
        <v/>
      </c>
      <c r="G236" s="14">
        <f>IF(원생!$A234="","",SUMIFS(계산!$C:$C,계산!$A:$A,계산!$E234,계산!$B:$B,$B$1*100+5))</f>
        <v/>
      </c>
      <c r="H236" s="14">
        <f>IF(원생!$A234="","",SUMIFS(계산!$C:$C,계산!$A:$A,계산!$E234,계산!$B:$B,$B$1*100+6))</f>
        <v/>
      </c>
      <c r="I236" s="14">
        <f>IF(원생!$A234="","",SUMIFS(계산!$C:$C,계산!$A:$A,계산!$E234,계산!$B:$B,$B$1*100+7))</f>
        <v/>
      </c>
      <c r="J236" s="14">
        <f>IF(원생!$A234="","",SUMIFS(계산!$C:$C,계산!$A:$A,계산!$E234,계산!$B:$B,$B$1*100+8))</f>
        <v/>
      </c>
      <c r="K236" s="14">
        <f>IF(원생!$A234="","",SUMIFS(계산!$C:$C,계산!$A:$A,계산!$E234,계산!$B:$B,$B$1*100+9))</f>
        <v/>
      </c>
      <c r="L236" s="14">
        <f>IF(원생!$A234="","",SUMIFS(계산!$C:$C,계산!$A:$A,계산!$E234,계산!$B:$B,$B$1*100+10))</f>
        <v/>
      </c>
      <c r="M236" s="14">
        <f>IF(원생!$A234="","",SUMIFS(계산!$C:$C,계산!$A:$A,계산!$E234,계산!$B:$B,$B$1*100+11))</f>
        <v/>
      </c>
      <c r="N236" s="14">
        <f>IF(원생!$A234="","",SUMIFS(계산!$C:$C,계산!$A:$A,계산!$E234,계산!$B:$B,$B$1*100+12))</f>
        <v/>
      </c>
      <c r="O236">
        <f>IF(원생!$I234="","",원생!$I234)</f>
        <v/>
      </c>
      <c r="P236">
        <f>IF($A236="","",IF(AND($B236&gt;0,C236&lt;$B236,DATE($B$1,1,1)&lt;=TODAY(),OR($O236="",$O236&gt;=DATE($B$1,1,1)),OR(COUNTIF($C236:C236,"&gt;0")&gt;0,DATE($B$1,1,1)=DATE(YEAR(TODAY()),MONTH(TODAY()),1))),1,0))</f>
        <v/>
      </c>
      <c r="Q236">
        <f>IF($A236="","",IF(AND($B236&gt;0,D236&lt;$B236,DATE($B$1,2,1)&lt;=TODAY(),OR($O236="",$O236&gt;=DATE($B$1,2,1)),OR(COUNTIF($C236:D236,"&gt;0")&gt;0,DATE($B$1,2,1)=DATE(YEAR(TODAY()),MONTH(TODAY()),1))),1,0))</f>
        <v/>
      </c>
      <c r="R236">
        <f>IF($A236="","",IF(AND($B236&gt;0,E236&lt;$B236,DATE($B$1,3,1)&lt;=TODAY(),OR($O236="",$O236&gt;=DATE($B$1,3,1)),OR(COUNTIF($C236:E236,"&gt;0")&gt;0,DATE($B$1,3,1)=DATE(YEAR(TODAY()),MONTH(TODAY()),1))),1,0))</f>
        <v/>
      </c>
      <c r="S236">
        <f>IF($A236="","",IF(AND($B236&gt;0,F236&lt;$B236,DATE($B$1,4,1)&lt;=TODAY(),OR($O236="",$O236&gt;=DATE($B$1,4,1)),OR(COUNTIF($C236:F236,"&gt;0")&gt;0,DATE($B$1,4,1)=DATE(YEAR(TODAY()),MONTH(TODAY()),1))),1,0))</f>
        <v/>
      </c>
      <c r="T236">
        <f>IF($A236="","",IF(AND($B236&gt;0,G236&lt;$B236,DATE($B$1,5,1)&lt;=TODAY(),OR($O236="",$O236&gt;=DATE($B$1,5,1)),OR(COUNTIF($C236:G236,"&gt;0")&gt;0,DATE($B$1,5,1)=DATE(YEAR(TODAY()),MONTH(TODAY()),1))),1,0))</f>
        <v/>
      </c>
      <c r="U236">
        <f>IF($A236="","",IF(AND($B236&gt;0,H236&lt;$B236,DATE($B$1,6,1)&lt;=TODAY(),OR($O236="",$O236&gt;=DATE($B$1,6,1)),OR(COUNTIF($C236:H236,"&gt;0")&gt;0,DATE($B$1,6,1)=DATE(YEAR(TODAY()),MONTH(TODAY()),1))),1,0))</f>
        <v/>
      </c>
      <c r="V236">
        <f>IF($A236="","",IF(AND($B236&gt;0,I236&lt;$B236,DATE($B$1,7,1)&lt;=TODAY(),OR($O236="",$O236&gt;=DATE($B$1,7,1)),OR(COUNTIF($C236:I236,"&gt;0")&gt;0,DATE($B$1,7,1)=DATE(YEAR(TODAY()),MONTH(TODAY()),1))),1,0))</f>
        <v/>
      </c>
      <c r="W236">
        <f>IF($A236="","",IF(AND($B236&gt;0,J236&lt;$B236,DATE($B$1,8,1)&lt;=TODAY(),OR($O236="",$O236&gt;=DATE($B$1,8,1)),OR(COUNTIF($C236:J236,"&gt;0")&gt;0,DATE($B$1,8,1)=DATE(YEAR(TODAY()),MONTH(TODAY()),1))),1,0))</f>
        <v/>
      </c>
      <c r="X236">
        <f>IF($A236="","",IF(AND($B236&gt;0,K236&lt;$B236,DATE($B$1,9,1)&lt;=TODAY(),OR($O236="",$O236&gt;=DATE($B$1,9,1)),OR(COUNTIF($C236:K236,"&gt;0")&gt;0,DATE($B$1,9,1)=DATE(YEAR(TODAY()),MONTH(TODAY()),1))),1,0))</f>
        <v/>
      </c>
      <c r="Y236">
        <f>IF($A236="","",IF(AND($B236&gt;0,L236&lt;$B236,DATE($B$1,10,1)&lt;=TODAY(),OR($O236="",$O236&gt;=DATE($B$1,10,1)),OR(COUNTIF($C236:L236,"&gt;0")&gt;0,DATE($B$1,10,1)=DATE(YEAR(TODAY()),MONTH(TODAY()),1))),1,0))</f>
        <v/>
      </c>
      <c r="Z236">
        <f>IF($A236="","",IF(AND($B236&gt;0,M236&lt;$B236,DATE($B$1,11,1)&lt;=TODAY(),OR($O236="",$O236&gt;=DATE($B$1,11,1)),OR(COUNTIF($C236:M236,"&gt;0")&gt;0,DATE($B$1,11,1)=DATE(YEAR(TODAY()),MONTH(TODAY()),1))),1,0))</f>
        <v/>
      </c>
      <c r="AA236">
        <f>IF($A236="","",IF(AND($B236&gt;0,N236&lt;$B236,DATE($B$1,12,1)&lt;=TODAY(),OR($O236="",$O236&gt;=DATE($B$1,12,1)),OR(COUNTIF($C236:N236,"&gt;0")&gt;0,DATE($B$1,12,1)=DATE(YEAR(TODAY()),MONTH(TODAY()),1))),1,0))</f>
        <v/>
      </c>
    </row>
    <row r="237">
      <c r="A237" s="13">
        <f>IF(원생!$A235="","",원생!$A235&amp;IF(원생!$G235="",""," ("&amp;원생!$G235&amp;")"))</f>
        <v/>
      </c>
      <c r="B237" s="8">
        <f>IF(원생!$A235="","",N(원생!$F235))</f>
        <v/>
      </c>
      <c r="C237" s="14">
        <f>IF(원생!$A235="","",SUMIFS(계산!$C:$C,계산!$A:$A,계산!$E235,계산!$B:$B,$B$1*100+1))</f>
        <v/>
      </c>
      <c r="D237" s="14">
        <f>IF(원생!$A235="","",SUMIFS(계산!$C:$C,계산!$A:$A,계산!$E235,계산!$B:$B,$B$1*100+2))</f>
        <v/>
      </c>
      <c r="E237" s="14">
        <f>IF(원생!$A235="","",SUMIFS(계산!$C:$C,계산!$A:$A,계산!$E235,계산!$B:$B,$B$1*100+3))</f>
        <v/>
      </c>
      <c r="F237" s="14">
        <f>IF(원생!$A235="","",SUMIFS(계산!$C:$C,계산!$A:$A,계산!$E235,계산!$B:$B,$B$1*100+4))</f>
        <v/>
      </c>
      <c r="G237" s="14">
        <f>IF(원생!$A235="","",SUMIFS(계산!$C:$C,계산!$A:$A,계산!$E235,계산!$B:$B,$B$1*100+5))</f>
        <v/>
      </c>
      <c r="H237" s="14">
        <f>IF(원생!$A235="","",SUMIFS(계산!$C:$C,계산!$A:$A,계산!$E235,계산!$B:$B,$B$1*100+6))</f>
        <v/>
      </c>
      <c r="I237" s="14">
        <f>IF(원생!$A235="","",SUMIFS(계산!$C:$C,계산!$A:$A,계산!$E235,계산!$B:$B,$B$1*100+7))</f>
        <v/>
      </c>
      <c r="J237" s="14">
        <f>IF(원생!$A235="","",SUMIFS(계산!$C:$C,계산!$A:$A,계산!$E235,계산!$B:$B,$B$1*100+8))</f>
        <v/>
      </c>
      <c r="K237" s="14">
        <f>IF(원생!$A235="","",SUMIFS(계산!$C:$C,계산!$A:$A,계산!$E235,계산!$B:$B,$B$1*100+9))</f>
        <v/>
      </c>
      <c r="L237" s="14">
        <f>IF(원생!$A235="","",SUMIFS(계산!$C:$C,계산!$A:$A,계산!$E235,계산!$B:$B,$B$1*100+10))</f>
        <v/>
      </c>
      <c r="M237" s="14">
        <f>IF(원생!$A235="","",SUMIFS(계산!$C:$C,계산!$A:$A,계산!$E235,계산!$B:$B,$B$1*100+11))</f>
        <v/>
      </c>
      <c r="N237" s="14">
        <f>IF(원생!$A235="","",SUMIFS(계산!$C:$C,계산!$A:$A,계산!$E235,계산!$B:$B,$B$1*100+12))</f>
        <v/>
      </c>
      <c r="O237">
        <f>IF(원생!$I235="","",원생!$I235)</f>
        <v/>
      </c>
      <c r="P237">
        <f>IF($A237="","",IF(AND($B237&gt;0,C237&lt;$B237,DATE($B$1,1,1)&lt;=TODAY(),OR($O237="",$O237&gt;=DATE($B$1,1,1)),OR(COUNTIF($C237:C237,"&gt;0")&gt;0,DATE($B$1,1,1)=DATE(YEAR(TODAY()),MONTH(TODAY()),1))),1,0))</f>
        <v/>
      </c>
      <c r="Q237">
        <f>IF($A237="","",IF(AND($B237&gt;0,D237&lt;$B237,DATE($B$1,2,1)&lt;=TODAY(),OR($O237="",$O237&gt;=DATE($B$1,2,1)),OR(COUNTIF($C237:D237,"&gt;0")&gt;0,DATE($B$1,2,1)=DATE(YEAR(TODAY()),MONTH(TODAY()),1))),1,0))</f>
        <v/>
      </c>
      <c r="R237">
        <f>IF($A237="","",IF(AND($B237&gt;0,E237&lt;$B237,DATE($B$1,3,1)&lt;=TODAY(),OR($O237="",$O237&gt;=DATE($B$1,3,1)),OR(COUNTIF($C237:E237,"&gt;0")&gt;0,DATE($B$1,3,1)=DATE(YEAR(TODAY()),MONTH(TODAY()),1))),1,0))</f>
        <v/>
      </c>
      <c r="S237">
        <f>IF($A237="","",IF(AND($B237&gt;0,F237&lt;$B237,DATE($B$1,4,1)&lt;=TODAY(),OR($O237="",$O237&gt;=DATE($B$1,4,1)),OR(COUNTIF($C237:F237,"&gt;0")&gt;0,DATE($B$1,4,1)=DATE(YEAR(TODAY()),MONTH(TODAY()),1))),1,0))</f>
        <v/>
      </c>
      <c r="T237">
        <f>IF($A237="","",IF(AND($B237&gt;0,G237&lt;$B237,DATE($B$1,5,1)&lt;=TODAY(),OR($O237="",$O237&gt;=DATE($B$1,5,1)),OR(COUNTIF($C237:G237,"&gt;0")&gt;0,DATE($B$1,5,1)=DATE(YEAR(TODAY()),MONTH(TODAY()),1))),1,0))</f>
        <v/>
      </c>
      <c r="U237">
        <f>IF($A237="","",IF(AND($B237&gt;0,H237&lt;$B237,DATE($B$1,6,1)&lt;=TODAY(),OR($O237="",$O237&gt;=DATE($B$1,6,1)),OR(COUNTIF($C237:H237,"&gt;0")&gt;0,DATE($B$1,6,1)=DATE(YEAR(TODAY()),MONTH(TODAY()),1))),1,0))</f>
        <v/>
      </c>
      <c r="V237">
        <f>IF($A237="","",IF(AND($B237&gt;0,I237&lt;$B237,DATE($B$1,7,1)&lt;=TODAY(),OR($O237="",$O237&gt;=DATE($B$1,7,1)),OR(COUNTIF($C237:I237,"&gt;0")&gt;0,DATE($B$1,7,1)=DATE(YEAR(TODAY()),MONTH(TODAY()),1))),1,0))</f>
        <v/>
      </c>
      <c r="W237">
        <f>IF($A237="","",IF(AND($B237&gt;0,J237&lt;$B237,DATE($B$1,8,1)&lt;=TODAY(),OR($O237="",$O237&gt;=DATE($B$1,8,1)),OR(COUNTIF($C237:J237,"&gt;0")&gt;0,DATE($B$1,8,1)=DATE(YEAR(TODAY()),MONTH(TODAY()),1))),1,0))</f>
        <v/>
      </c>
      <c r="X237">
        <f>IF($A237="","",IF(AND($B237&gt;0,K237&lt;$B237,DATE($B$1,9,1)&lt;=TODAY(),OR($O237="",$O237&gt;=DATE($B$1,9,1)),OR(COUNTIF($C237:K237,"&gt;0")&gt;0,DATE($B$1,9,1)=DATE(YEAR(TODAY()),MONTH(TODAY()),1))),1,0))</f>
        <v/>
      </c>
      <c r="Y237">
        <f>IF($A237="","",IF(AND($B237&gt;0,L237&lt;$B237,DATE($B$1,10,1)&lt;=TODAY(),OR($O237="",$O237&gt;=DATE($B$1,10,1)),OR(COUNTIF($C237:L237,"&gt;0")&gt;0,DATE($B$1,10,1)=DATE(YEAR(TODAY()),MONTH(TODAY()),1))),1,0))</f>
        <v/>
      </c>
      <c r="Z237">
        <f>IF($A237="","",IF(AND($B237&gt;0,M237&lt;$B237,DATE($B$1,11,1)&lt;=TODAY(),OR($O237="",$O237&gt;=DATE($B$1,11,1)),OR(COUNTIF($C237:M237,"&gt;0")&gt;0,DATE($B$1,11,1)=DATE(YEAR(TODAY()),MONTH(TODAY()),1))),1,0))</f>
        <v/>
      </c>
      <c r="AA237">
        <f>IF($A237="","",IF(AND($B237&gt;0,N237&lt;$B237,DATE($B$1,12,1)&lt;=TODAY(),OR($O237="",$O237&gt;=DATE($B$1,12,1)),OR(COUNTIF($C237:N237,"&gt;0")&gt;0,DATE($B$1,12,1)=DATE(YEAR(TODAY()),MONTH(TODAY()),1))),1,0))</f>
        <v/>
      </c>
    </row>
    <row r="238">
      <c r="A238" s="13">
        <f>IF(원생!$A236="","",원생!$A236&amp;IF(원생!$G236="",""," ("&amp;원생!$G236&amp;")"))</f>
        <v/>
      </c>
      <c r="B238" s="8">
        <f>IF(원생!$A236="","",N(원생!$F236))</f>
        <v/>
      </c>
      <c r="C238" s="14">
        <f>IF(원생!$A236="","",SUMIFS(계산!$C:$C,계산!$A:$A,계산!$E236,계산!$B:$B,$B$1*100+1))</f>
        <v/>
      </c>
      <c r="D238" s="14">
        <f>IF(원생!$A236="","",SUMIFS(계산!$C:$C,계산!$A:$A,계산!$E236,계산!$B:$B,$B$1*100+2))</f>
        <v/>
      </c>
      <c r="E238" s="14">
        <f>IF(원생!$A236="","",SUMIFS(계산!$C:$C,계산!$A:$A,계산!$E236,계산!$B:$B,$B$1*100+3))</f>
        <v/>
      </c>
      <c r="F238" s="14">
        <f>IF(원생!$A236="","",SUMIFS(계산!$C:$C,계산!$A:$A,계산!$E236,계산!$B:$B,$B$1*100+4))</f>
        <v/>
      </c>
      <c r="G238" s="14">
        <f>IF(원생!$A236="","",SUMIFS(계산!$C:$C,계산!$A:$A,계산!$E236,계산!$B:$B,$B$1*100+5))</f>
        <v/>
      </c>
      <c r="H238" s="14">
        <f>IF(원생!$A236="","",SUMIFS(계산!$C:$C,계산!$A:$A,계산!$E236,계산!$B:$B,$B$1*100+6))</f>
        <v/>
      </c>
      <c r="I238" s="14">
        <f>IF(원생!$A236="","",SUMIFS(계산!$C:$C,계산!$A:$A,계산!$E236,계산!$B:$B,$B$1*100+7))</f>
        <v/>
      </c>
      <c r="J238" s="14">
        <f>IF(원생!$A236="","",SUMIFS(계산!$C:$C,계산!$A:$A,계산!$E236,계산!$B:$B,$B$1*100+8))</f>
        <v/>
      </c>
      <c r="K238" s="14">
        <f>IF(원생!$A236="","",SUMIFS(계산!$C:$C,계산!$A:$A,계산!$E236,계산!$B:$B,$B$1*100+9))</f>
        <v/>
      </c>
      <c r="L238" s="14">
        <f>IF(원생!$A236="","",SUMIFS(계산!$C:$C,계산!$A:$A,계산!$E236,계산!$B:$B,$B$1*100+10))</f>
        <v/>
      </c>
      <c r="M238" s="14">
        <f>IF(원생!$A236="","",SUMIFS(계산!$C:$C,계산!$A:$A,계산!$E236,계산!$B:$B,$B$1*100+11))</f>
        <v/>
      </c>
      <c r="N238" s="14">
        <f>IF(원생!$A236="","",SUMIFS(계산!$C:$C,계산!$A:$A,계산!$E236,계산!$B:$B,$B$1*100+12))</f>
        <v/>
      </c>
      <c r="O238">
        <f>IF(원생!$I236="","",원생!$I236)</f>
        <v/>
      </c>
      <c r="P238">
        <f>IF($A238="","",IF(AND($B238&gt;0,C238&lt;$B238,DATE($B$1,1,1)&lt;=TODAY(),OR($O238="",$O238&gt;=DATE($B$1,1,1)),OR(COUNTIF($C238:C238,"&gt;0")&gt;0,DATE($B$1,1,1)=DATE(YEAR(TODAY()),MONTH(TODAY()),1))),1,0))</f>
        <v/>
      </c>
      <c r="Q238">
        <f>IF($A238="","",IF(AND($B238&gt;0,D238&lt;$B238,DATE($B$1,2,1)&lt;=TODAY(),OR($O238="",$O238&gt;=DATE($B$1,2,1)),OR(COUNTIF($C238:D238,"&gt;0")&gt;0,DATE($B$1,2,1)=DATE(YEAR(TODAY()),MONTH(TODAY()),1))),1,0))</f>
        <v/>
      </c>
      <c r="R238">
        <f>IF($A238="","",IF(AND($B238&gt;0,E238&lt;$B238,DATE($B$1,3,1)&lt;=TODAY(),OR($O238="",$O238&gt;=DATE($B$1,3,1)),OR(COUNTIF($C238:E238,"&gt;0")&gt;0,DATE($B$1,3,1)=DATE(YEAR(TODAY()),MONTH(TODAY()),1))),1,0))</f>
        <v/>
      </c>
      <c r="S238">
        <f>IF($A238="","",IF(AND($B238&gt;0,F238&lt;$B238,DATE($B$1,4,1)&lt;=TODAY(),OR($O238="",$O238&gt;=DATE($B$1,4,1)),OR(COUNTIF($C238:F238,"&gt;0")&gt;0,DATE($B$1,4,1)=DATE(YEAR(TODAY()),MONTH(TODAY()),1))),1,0))</f>
        <v/>
      </c>
      <c r="T238">
        <f>IF($A238="","",IF(AND($B238&gt;0,G238&lt;$B238,DATE($B$1,5,1)&lt;=TODAY(),OR($O238="",$O238&gt;=DATE($B$1,5,1)),OR(COUNTIF($C238:G238,"&gt;0")&gt;0,DATE($B$1,5,1)=DATE(YEAR(TODAY()),MONTH(TODAY()),1))),1,0))</f>
        <v/>
      </c>
      <c r="U238">
        <f>IF($A238="","",IF(AND($B238&gt;0,H238&lt;$B238,DATE($B$1,6,1)&lt;=TODAY(),OR($O238="",$O238&gt;=DATE($B$1,6,1)),OR(COUNTIF($C238:H238,"&gt;0")&gt;0,DATE($B$1,6,1)=DATE(YEAR(TODAY()),MONTH(TODAY()),1))),1,0))</f>
        <v/>
      </c>
      <c r="V238">
        <f>IF($A238="","",IF(AND($B238&gt;0,I238&lt;$B238,DATE($B$1,7,1)&lt;=TODAY(),OR($O238="",$O238&gt;=DATE($B$1,7,1)),OR(COUNTIF($C238:I238,"&gt;0")&gt;0,DATE($B$1,7,1)=DATE(YEAR(TODAY()),MONTH(TODAY()),1))),1,0))</f>
        <v/>
      </c>
      <c r="W238">
        <f>IF($A238="","",IF(AND($B238&gt;0,J238&lt;$B238,DATE($B$1,8,1)&lt;=TODAY(),OR($O238="",$O238&gt;=DATE($B$1,8,1)),OR(COUNTIF($C238:J238,"&gt;0")&gt;0,DATE($B$1,8,1)=DATE(YEAR(TODAY()),MONTH(TODAY()),1))),1,0))</f>
        <v/>
      </c>
      <c r="X238">
        <f>IF($A238="","",IF(AND($B238&gt;0,K238&lt;$B238,DATE($B$1,9,1)&lt;=TODAY(),OR($O238="",$O238&gt;=DATE($B$1,9,1)),OR(COUNTIF($C238:K238,"&gt;0")&gt;0,DATE($B$1,9,1)=DATE(YEAR(TODAY()),MONTH(TODAY()),1))),1,0))</f>
        <v/>
      </c>
      <c r="Y238">
        <f>IF($A238="","",IF(AND($B238&gt;0,L238&lt;$B238,DATE($B$1,10,1)&lt;=TODAY(),OR($O238="",$O238&gt;=DATE($B$1,10,1)),OR(COUNTIF($C238:L238,"&gt;0")&gt;0,DATE($B$1,10,1)=DATE(YEAR(TODAY()),MONTH(TODAY()),1))),1,0))</f>
        <v/>
      </c>
      <c r="Z238">
        <f>IF($A238="","",IF(AND($B238&gt;0,M238&lt;$B238,DATE($B$1,11,1)&lt;=TODAY(),OR($O238="",$O238&gt;=DATE($B$1,11,1)),OR(COUNTIF($C238:M238,"&gt;0")&gt;0,DATE($B$1,11,1)=DATE(YEAR(TODAY()),MONTH(TODAY()),1))),1,0))</f>
        <v/>
      </c>
      <c r="AA238">
        <f>IF($A238="","",IF(AND($B238&gt;0,N238&lt;$B238,DATE($B$1,12,1)&lt;=TODAY(),OR($O238="",$O238&gt;=DATE($B$1,12,1)),OR(COUNTIF($C238:N238,"&gt;0")&gt;0,DATE($B$1,12,1)=DATE(YEAR(TODAY()),MONTH(TODAY()),1))),1,0))</f>
        <v/>
      </c>
    </row>
    <row r="239">
      <c r="A239" s="13">
        <f>IF(원생!$A237="","",원생!$A237&amp;IF(원생!$G237="",""," ("&amp;원생!$G237&amp;")"))</f>
        <v/>
      </c>
      <c r="B239" s="8">
        <f>IF(원생!$A237="","",N(원생!$F237))</f>
        <v/>
      </c>
      <c r="C239" s="14">
        <f>IF(원생!$A237="","",SUMIFS(계산!$C:$C,계산!$A:$A,계산!$E237,계산!$B:$B,$B$1*100+1))</f>
        <v/>
      </c>
      <c r="D239" s="14">
        <f>IF(원생!$A237="","",SUMIFS(계산!$C:$C,계산!$A:$A,계산!$E237,계산!$B:$B,$B$1*100+2))</f>
        <v/>
      </c>
      <c r="E239" s="14">
        <f>IF(원생!$A237="","",SUMIFS(계산!$C:$C,계산!$A:$A,계산!$E237,계산!$B:$B,$B$1*100+3))</f>
        <v/>
      </c>
      <c r="F239" s="14">
        <f>IF(원생!$A237="","",SUMIFS(계산!$C:$C,계산!$A:$A,계산!$E237,계산!$B:$B,$B$1*100+4))</f>
        <v/>
      </c>
      <c r="G239" s="14">
        <f>IF(원생!$A237="","",SUMIFS(계산!$C:$C,계산!$A:$A,계산!$E237,계산!$B:$B,$B$1*100+5))</f>
        <v/>
      </c>
      <c r="H239" s="14">
        <f>IF(원생!$A237="","",SUMIFS(계산!$C:$C,계산!$A:$A,계산!$E237,계산!$B:$B,$B$1*100+6))</f>
        <v/>
      </c>
      <c r="I239" s="14">
        <f>IF(원생!$A237="","",SUMIFS(계산!$C:$C,계산!$A:$A,계산!$E237,계산!$B:$B,$B$1*100+7))</f>
        <v/>
      </c>
      <c r="J239" s="14">
        <f>IF(원생!$A237="","",SUMIFS(계산!$C:$C,계산!$A:$A,계산!$E237,계산!$B:$B,$B$1*100+8))</f>
        <v/>
      </c>
      <c r="K239" s="14">
        <f>IF(원생!$A237="","",SUMIFS(계산!$C:$C,계산!$A:$A,계산!$E237,계산!$B:$B,$B$1*100+9))</f>
        <v/>
      </c>
      <c r="L239" s="14">
        <f>IF(원생!$A237="","",SUMIFS(계산!$C:$C,계산!$A:$A,계산!$E237,계산!$B:$B,$B$1*100+10))</f>
        <v/>
      </c>
      <c r="M239" s="14">
        <f>IF(원생!$A237="","",SUMIFS(계산!$C:$C,계산!$A:$A,계산!$E237,계산!$B:$B,$B$1*100+11))</f>
        <v/>
      </c>
      <c r="N239" s="14">
        <f>IF(원생!$A237="","",SUMIFS(계산!$C:$C,계산!$A:$A,계산!$E237,계산!$B:$B,$B$1*100+12))</f>
        <v/>
      </c>
      <c r="O239">
        <f>IF(원생!$I237="","",원생!$I237)</f>
        <v/>
      </c>
      <c r="P239">
        <f>IF($A239="","",IF(AND($B239&gt;0,C239&lt;$B239,DATE($B$1,1,1)&lt;=TODAY(),OR($O239="",$O239&gt;=DATE($B$1,1,1)),OR(COUNTIF($C239:C239,"&gt;0")&gt;0,DATE($B$1,1,1)=DATE(YEAR(TODAY()),MONTH(TODAY()),1))),1,0))</f>
        <v/>
      </c>
      <c r="Q239">
        <f>IF($A239="","",IF(AND($B239&gt;0,D239&lt;$B239,DATE($B$1,2,1)&lt;=TODAY(),OR($O239="",$O239&gt;=DATE($B$1,2,1)),OR(COUNTIF($C239:D239,"&gt;0")&gt;0,DATE($B$1,2,1)=DATE(YEAR(TODAY()),MONTH(TODAY()),1))),1,0))</f>
        <v/>
      </c>
      <c r="R239">
        <f>IF($A239="","",IF(AND($B239&gt;0,E239&lt;$B239,DATE($B$1,3,1)&lt;=TODAY(),OR($O239="",$O239&gt;=DATE($B$1,3,1)),OR(COUNTIF($C239:E239,"&gt;0")&gt;0,DATE($B$1,3,1)=DATE(YEAR(TODAY()),MONTH(TODAY()),1))),1,0))</f>
        <v/>
      </c>
      <c r="S239">
        <f>IF($A239="","",IF(AND($B239&gt;0,F239&lt;$B239,DATE($B$1,4,1)&lt;=TODAY(),OR($O239="",$O239&gt;=DATE($B$1,4,1)),OR(COUNTIF($C239:F239,"&gt;0")&gt;0,DATE($B$1,4,1)=DATE(YEAR(TODAY()),MONTH(TODAY()),1))),1,0))</f>
        <v/>
      </c>
      <c r="T239">
        <f>IF($A239="","",IF(AND($B239&gt;0,G239&lt;$B239,DATE($B$1,5,1)&lt;=TODAY(),OR($O239="",$O239&gt;=DATE($B$1,5,1)),OR(COUNTIF($C239:G239,"&gt;0")&gt;0,DATE($B$1,5,1)=DATE(YEAR(TODAY()),MONTH(TODAY()),1))),1,0))</f>
        <v/>
      </c>
      <c r="U239">
        <f>IF($A239="","",IF(AND($B239&gt;0,H239&lt;$B239,DATE($B$1,6,1)&lt;=TODAY(),OR($O239="",$O239&gt;=DATE($B$1,6,1)),OR(COUNTIF($C239:H239,"&gt;0")&gt;0,DATE($B$1,6,1)=DATE(YEAR(TODAY()),MONTH(TODAY()),1))),1,0))</f>
        <v/>
      </c>
      <c r="V239">
        <f>IF($A239="","",IF(AND($B239&gt;0,I239&lt;$B239,DATE($B$1,7,1)&lt;=TODAY(),OR($O239="",$O239&gt;=DATE($B$1,7,1)),OR(COUNTIF($C239:I239,"&gt;0")&gt;0,DATE($B$1,7,1)=DATE(YEAR(TODAY()),MONTH(TODAY()),1))),1,0))</f>
        <v/>
      </c>
      <c r="W239">
        <f>IF($A239="","",IF(AND($B239&gt;0,J239&lt;$B239,DATE($B$1,8,1)&lt;=TODAY(),OR($O239="",$O239&gt;=DATE($B$1,8,1)),OR(COUNTIF($C239:J239,"&gt;0")&gt;0,DATE($B$1,8,1)=DATE(YEAR(TODAY()),MONTH(TODAY()),1))),1,0))</f>
        <v/>
      </c>
      <c r="X239">
        <f>IF($A239="","",IF(AND($B239&gt;0,K239&lt;$B239,DATE($B$1,9,1)&lt;=TODAY(),OR($O239="",$O239&gt;=DATE($B$1,9,1)),OR(COUNTIF($C239:K239,"&gt;0")&gt;0,DATE($B$1,9,1)=DATE(YEAR(TODAY()),MONTH(TODAY()),1))),1,0))</f>
        <v/>
      </c>
      <c r="Y239">
        <f>IF($A239="","",IF(AND($B239&gt;0,L239&lt;$B239,DATE($B$1,10,1)&lt;=TODAY(),OR($O239="",$O239&gt;=DATE($B$1,10,1)),OR(COUNTIF($C239:L239,"&gt;0")&gt;0,DATE($B$1,10,1)=DATE(YEAR(TODAY()),MONTH(TODAY()),1))),1,0))</f>
        <v/>
      </c>
      <c r="Z239">
        <f>IF($A239="","",IF(AND($B239&gt;0,M239&lt;$B239,DATE($B$1,11,1)&lt;=TODAY(),OR($O239="",$O239&gt;=DATE($B$1,11,1)),OR(COUNTIF($C239:M239,"&gt;0")&gt;0,DATE($B$1,11,1)=DATE(YEAR(TODAY()),MONTH(TODAY()),1))),1,0))</f>
        <v/>
      </c>
      <c r="AA239">
        <f>IF($A239="","",IF(AND($B239&gt;0,N239&lt;$B239,DATE($B$1,12,1)&lt;=TODAY(),OR($O239="",$O239&gt;=DATE($B$1,12,1)),OR(COUNTIF($C239:N239,"&gt;0")&gt;0,DATE($B$1,12,1)=DATE(YEAR(TODAY()),MONTH(TODAY()),1))),1,0))</f>
        <v/>
      </c>
    </row>
    <row r="240">
      <c r="A240" s="13">
        <f>IF(원생!$A238="","",원생!$A238&amp;IF(원생!$G238="",""," ("&amp;원생!$G238&amp;")"))</f>
        <v/>
      </c>
      <c r="B240" s="8">
        <f>IF(원생!$A238="","",N(원생!$F238))</f>
        <v/>
      </c>
      <c r="C240" s="14">
        <f>IF(원생!$A238="","",SUMIFS(계산!$C:$C,계산!$A:$A,계산!$E238,계산!$B:$B,$B$1*100+1))</f>
        <v/>
      </c>
      <c r="D240" s="14">
        <f>IF(원생!$A238="","",SUMIFS(계산!$C:$C,계산!$A:$A,계산!$E238,계산!$B:$B,$B$1*100+2))</f>
        <v/>
      </c>
      <c r="E240" s="14">
        <f>IF(원생!$A238="","",SUMIFS(계산!$C:$C,계산!$A:$A,계산!$E238,계산!$B:$B,$B$1*100+3))</f>
        <v/>
      </c>
      <c r="F240" s="14">
        <f>IF(원생!$A238="","",SUMIFS(계산!$C:$C,계산!$A:$A,계산!$E238,계산!$B:$B,$B$1*100+4))</f>
        <v/>
      </c>
      <c r="G240" s="14">
        <f>IF(원생!$A238="","",SUMIFS(계산!$C:$C,계산!$A:$A,계산!$E238,계산!$B:$B,$B$1*100+5))</f>
        <v/>
      </c>
      <c r="H240" s="14">
        <f>IF(원생!$A238="","",SUMIFS(계산!$C:$C,계산!$A:$A,계산!$E238,계산!$B:$B,$B$1*100+6))</f>
        <v/>
      </c>
      <c r="I240" s="14">
        <f>IF(원생!$A238="","",SUMIFS(계산!$C:$C,계산!$A:$A,계산!$E238,계산!$B:$B,$B$1*100+7))</f>
        <v/>
      </c>
      <c r="J240" s="14">
        <f>IF(원생!$A238="","",SUMIFS(계산!$C:$C,계산!$A:$A,계산!$E238,계산!$B:$B,$B$1*100+8))</f>
        <v/>
      </c>
      <c r="K240" s="14">
        <f>IF(원생!$A238="","",SUMIFS(계산!$C:$C,계산!$A:$A,계산!$E238,계산!$B:$B,$B$1*100+9))</f>
        <v/>
      </c>
      <c r="L240" s="14">
        <f>IF(원생!$A238="","",SUMIFS(계산!$C:$C,계산!$A:$A,계산!$E238,계산!$B:$B,$B$1*100+10))</f>
        <v/>
      </c>
      <c r="M240" s="14">
        <f>IF(원생!$A238="","",SUMIFS(계산!$C:$C,계산!$A:$A,계산!$E238,계산!$B:$B,$B$1*100+11))</f>
        <v/>
      </c>
      <c r="N240" s="14">
        <f>IF(원생!$A238="","",SUMIFS(계산!$C:$C,계산!$A:$A,계산!$E238,계산!$B:$B,$B$1*100+12))</f>
        <v/>
      </c>
      <c r="O240">
        <f>IF(원생!$I238="","",원생!$I238)</f>
        <v/>
      </c>
      <c r="P240">
        <f>IF($A240="","",IF(AND($B240&gt;0,C240&lt;$B240,DATE($B$1,1,1)&lt;=TODAY(),OR($O240="",$O240&gt;=DATE($B$1,1,1)),OR(COUNTIF($C240:C240,"&gt;0")&gt;0,DATE($B$1,1,1)=DATE(YEAR(TODAY()),MONTH(TODAY()),1))),1,0))</f>
        <v/>
      </c>
      <c r="Q240">
        <f>IF($A240="","",IF(AND($B240&gt;0,D240&lt;$B240,DATE($B$1,2,1)&lt;=TODAY(),OR($O240="",$O240&gt;=DATE($B$1,2,1)),OR(COUNTIF($C240:D240,"&gt;0")&gt;0,DATE($B$1,2,1)=DATE(YEAR(TODAY()),MONTH(TODAY()),1))),1,0))</f>
        <v/>
      </c>
      <c r="R240">
        <f>IF($A240="","",IF(AND($B240&gt;0,E240&lt;$B240,DATE($B$1,3,1)&lt;=TODAY(),OR($O240="",$O240&gt;=DATE($B$1,3,1)),OR(COUNTIF($C240:E240,"&gt;0")&gt;0,DATE($B$1,3,1)=DATE(YEAR(TODAY()),MONTH(TODAY()),1))),1,0))</f>
        <v/>
      </c>
      <c r="S240">
        <f>IF($A240="","",IF(AND($B240&gt;0,F240&lt;$B240,DATE($B$1,4,1)&lt;=TODAY(),OR($O240="",$O240&gt;=DATE($B$1,4,1)),OR(COUNTIF($C240:F240,"&gt;0")&gt;0,DATE($B$1,4,1)=DATE(YEAR(TODAY()),MONTH(TODAY()),1))),1,0))</f>
        <v/>
      </c>
      <c r="T240">
        <f>IF($A240="","",IF(AND($B240&gt;0,G240&lt;$B240,DATE($B$1,5,1)&lt;=TODAY(),OR($O240="",$O240&gt;=DATE($B$1,5,1)),OR(COUNTIF($C240:G240,"&gt;0")&gt;0,DATE($B$1,5,1)=DATE(YEAR(TODAY()),MONTH(TODAY()),1))),1,0))</f>
        <v/>
      </c>
      <c r="U240">
        <f>IF($A240="","",IF(AND($B240&gt;0,H240&lt;$B240,DATE($B$1,6,1)&lt;=TODAY(),OR($O240="",$O240&gt;=DATE($B$1,6,1)),OR(COUNTIF($C240:H240,"&gt;0")&gt;0,DATE($B$1,6,1)=DATE(YEAR(TODAY()),MONTH(TODAY()),1))),1,0))</f>
        <v/>
      </c>
      <c r="V240">
        <f>IF($A240="","",IF(AND($B240&gt;0,I240&lt;$B240,DATE($B$1,7,1)&lt;=TODAY(),OR($O240="",$O240&gt;=DATE($B$1,7,1)),OR(COUNTIF($C240:I240,"&gt;0")&gt;0,DATE($B$1,7,1)=DATE(YEAR(TODAY()),MONTH(TODAY()),1))),1,0))</f>
        <v/>
      </c>
      <c r="W240">
        <f>IF($A240="","",IF(AND($B240&gt;0,J240&lt;$B240,DATE($B$1,8,1)&lt;=TODAY(),OR($O240="",$O240&gt;=DATE($B$1,8,1)),OR(COUNTIF($C240:J240,"&gt;0")&gt;0,DATE($B$1,8,1)=DATE(YEAR(TODAY()),MONTH(TODAY()),1))),1,0))</f>
        <v/>
      </c>
      <c r="X240">
        <f>IF($A240="","",IF(AND($B240&gt;0,K240&lt;$B240,DATE($B$1,9,1)&lt;=TODAY(),OR($O240="",$O240&gt;=DATE($B$1,9,1)),OR(COUNTIF($C240:K240,"&gt;0")&gt;0,DATE($B$1,9,1)=DATE(YEAR(TODAY()),MONTH(TODAY()),1))),1,0))</f>
        <v/>
      </c>
      <c r="Y240">
        <f>IF($A240="","",IF(AND($B240&gt;0,L240&lt;$B240,DATE($B$1,10,1)&lt;=TODAY(),OR($O240="",$O240&gt;=DATE($B$1,10,1)),OR(COUNTIF($C240:L240,"&gt;0")&gt;0,DATE($B$1,10,1)=DATE(YEAR(TODAY()),MONTH(TODAY()),1))),1,0))</f>
        <v/>
      </c>
      <c r="Z240">
        <f>IF($A240="","",IF(AND($B240&gt;0,M240&lt;$B240,DATE($B$1,11,1)&lt;=TODAY(),OR($O240="",$O240&gt;=DATE($B$1,11,1)),OR(COUNTIF($C240:M240,"&gt;0")&gt;0,DATE($B$1,11,1)=DATE(YEAR(TODAY()),MONTH(TODAY()),1))),1,0))</f>
        <v/>
      </c>
      <c r="AA240">
        <f>IF($A240="","",IF(AND($B240&gt;0,N240&lt;$B240,DATE($B$1,12,1)&lt;=TODAY(),OR($O240="",$O240&gt;=DATE($B$1,12,1)),OR(COUNTIF($C240:N240,"&gt;0")&gt;0,DATE($B$1,12,1)=DATE(YEAR(TODAY()),MONTH(TODAY()),1))),1,0))</f>
        <v/>
      </c>
    </row>
    <row r="241">
      <c r="A241" s="13">
        <f>IF(원생!$A239="","",원생!$A239&amp;IF(원생!$G239="",""," ("&amp;원생!$G239&amp;")"))</f>
        <v/>
      </c>
      <c r="B241" s="8">
        <f>IF(원생!$A239="","",N(원생!$F239))</f>
        <v/>
      </c>
      <c r="C241" s="14">
        <f>IF(원생!$A239="","",SUMIFS(계산!$C:$C,계산!$A:$A,계산!$E239,계산!$B:$B,$B$1*100+1))</f>
        <v/>
      </c>
      <c r="D241" s="14">
        <f>IF(원생!$A239="","",SUMIFS(계산!$C:$C,계산!$A:$A,계산!$E239,계산!$B:$B,$B$1*100+2))</f>
        <v/>
      </c>
      <c r="E241" s="14">
        <f>IF(원생!$A239="","",SUMIFS(계산!$C:$C,계산!$A:$A,계산!$E239,계산!$B:$B,$B$1*100+3))</f>
        <v/>
      </c>
      <c r="F241" s="14">
        <f>IF(원생!$A239="","",SUMIFS(계산!$C:$C,계산!$A:$A,계산!$E239,계산!$B:$B,$B$1*100+4))</f>
        <v/>
      </c>
      <c r="G241" s="14">
        <f>IF(원생!$A239="","",SUMIFS(계산!$C:$C,계산!$A:$A,계산!$E239,계산!$B:$B,$B$1*100+5))</f>
        <v/>
      </c>
      <c r="H241" s="14">
        <f>IF(원생!$A239="","",SUMIFS(계산!$C:$C,계산!$A:$A,계산!$E239,계산!$B:$B,$B$1*100+6))</f>
        <v/>
      </c>
      <c r="I241" s="14">
        <f>IF(원생!$A239="","",SUMIFS(계산!$C:$C,계산!$A:$A,계산!$E239,계산!$B:$B,$B$1*100+7))</f>
        <v/>
      </c>
      <c r="J241" s="14">
        <f>IF(원생!$A239="","",SUMIFS(계산!$C:$C,계산!$A:$A,계산!$E239,계산!$B:$B,$B$1*100+8))</f>
        <v/>
      </c>
      <c r="K241" s="14">
        <f>IF(원생!$A239="","",SUMIFS(계산!$C:$C,계산!$A:$A,계산!$E239,계산!$B:$B,$B$1*100+9))</f>
        <v/>
      </c>
      <c r="L241" s="14">
        <f>IF(원생!$A239="","",SUMIFS(계산!$C:$C,계산!$A:$A,계산!$E239,계산!$B:$B,$B$1*100+10))</f>
        <v/>
      </c>
      <c r="M241" s="14">
        <f>IF(원생!$A239="","",SUMIFS(계산!$C:$C,계산!$A:$A,계산!$E239,계산!$B:$B,$B$1*100+11))</f>
        <v/>
      </c>
      <c r="N241" s="14">
        <f>IF(원생!$A239="","",SUMIFS(계산!$C:$C,계산!$A:$A,계산!$E239,계산!$B:$B,$B$1*100+12))</f>
        <v/>
      </c>
      <c r="O241">
        <f>IF(원생!$I239="","",원생!$I239)</f>
        <v/>
      </c>
      <c r="P241">
        <f>IF($A241="","",IF(AND($B241&gt;0,C241&lt;$B241,DATE($B$1,1,1)&lt;=TODAY(),OR($O241="",$O241&gt;=DATE($B$1,1,1)),OR(COUNTIF($C241:C241,"&gt;0")&gt;0,DATE($B$1,1,1)=DATE(YEAR(TODAY()),MONTH(TODAY()),1))),1,0))</f>
        <v/>
      </c>
      <c r="Q241">
        <f>IF($A241="","",IF(AND($B241&gt;0,D241&lt;$B241,DATE($B$1,2,1)&lt;=TODAY(),OR($O241="",$O241&gt;=DATE($B$1,2,1)),OR(COUNTIF($C241:D241,"&gt;0")&gt;0,DATE($B$1,2,1)=DATE(YEAR(TODAY()),MONTH(TODAY()),1))),1,0))</f>
        <v/>
      </c>
      <c r="R241">
        <f>IF($A241="","",IF(AND($B241&gt;0,E241&lt;$B241,DATE($B$1,3,1)&lt;=TODAY(),OR($O241="",$O241&gt;=DATE($B$1,3,1)),OR(COUNTIF($C241:E241,"&gt;0")&gt;0,DATE($B$1,3,1)=DATE(YEAR(TODAY()),MONTH(TODAY()),1))),1,0))</f>
        <v/>
      </c>
      <c r="S241">
        <f>IF($A241="","",IF(AND($B241&gt;0,F241&lt;$B241,DATE($B$1,4,1)&lt;=TODAY(),OR($O241="",$O241&gt;=DATE($B$1,4,1)),OR(COUNTIF($C241:F241,"&gt;0")&gt;0,DATE($B$1,4,1)=DATE(YEAR(TODAY()),MONTH(TODAY()),1))),1,0))</f>
        <v/>
      </c>
      <c r="T241">
        <f>IF($A241="","",IF(AND($B241&gt;0,G241&lt;$B241,DATE($B$1,5,1)&lt;=TODAY(),OR($O241="",$O241&gt;=DATE($B$1,5,1)),OR(COUNTIF($C241:G241,"&gt;0")&gt;0,DATE($B$1,5,1)=DATE(YEAR(TODAY()),MONTH(TODAY()),1))),1,0))</f>
        <v/>
      </c>
      <c r="U241">
        <f>IF($A241="","",IF(AND($B241&gt;0,H241&lt;$B241,DATE($B$1,6,1)&lt;=TODAY(),OR($O241="",$O241&gt;=DATE($B$1,6,1)),OR(COUNTIF($C241:H241,"&gt;0")&gt;0,DATE($B$1,6,1)=DATE(YEAR(TODAY()),MONTH(TODAY()),1))),1,0))</f>
        <v/>
      </c>
      <c r="V241">
        <f>IF($A241="","",IF(AND($B241&gt;0,I241&lt;$B241,DATE($B$1,7,1)&lt;=TODAY(),OR($O241="",$O241&gt;=DATE($B$1,7,1)),OR(COUNTIF($C241:I241,"&gt;0")&gt;0,DATE($B$1,7,1)=DATE(YEAR(TODAY()),MONTH(TODAY()),1))),1,0))</f>
        <v/>
      </c>
      <c r="W241">
        <f>IF($A241="","",IF(AND($B241&gt;0,J241&lt;$B241,DATE($B$1,8,1)&lt;=TODAY(),OR($O241="",$O241&gt;=DATE($B$1,8,1)),OR(COUNTIF($C241:J241,"&gt;0")&gt;0,DATE($B$1,8,1)=DATE(YEAR(TODAY()),MONTH(TODAY()),1))),1,0))</f>
        <v/>
      </c>
      <c r="X241">
        <f>IF($A241="","",IF(AND($B241&gt;0,K241&lt;$B241,DATE($B$1,9,1)&lt;=TODAY(),OR($O241="",$O241&gt;=DATE($B$1,9,1)),OR(COUNTIF($C241:K241,"&gt;0")&gt;0,DATE($B$1,9,1)=DATE(YEAR(TODAY()),MONTH(TODAY()),1))),1,0))</f>
        <v/>
      </c>
      <c r="Y241">
        <f>IF($A241="","",IF(AND($B241&gt;0,L241&lt;$B241,DATE($B$1,10,1)&lt;=TODAY(),OR($O241="",$O241&gt;=DATE($B$1,10,1)),OR(COUNTIF($C241:L241,"&gt;0")&gt;0,DATE($B$1,10,1)=DATE(YEAR(TODAY()),MONTH(TODAY()),1))),1,0))</f>
        <v/>
      </c>
      <c r="Z241">
        <f>IF($A241="","",IF(AND($B241&gt;0,M241&lt;$B241,DATE($B$1,11,1)&lt;=TODAY(),OR($O241="",$O241&gt;=DATE($B$1,11,1)),OR(COUNTIF($C241:M241,"&gt;0")&gt;0,DATE($B$1,11,1)=DATE(YEAR(TODAY()),MONTH(TODAY()),1))),1,0))</f>
        <v/>
      </c>
      <c r="AA241">
        <f>IF($A241="","",IF(AND($B241&gt;0,N241&lt;$B241,DATE($B$1,12,1)&lt;=TODAY(),OR($O241="",$O241&gt;=DATE($B$1,12,1)),OR(COUNTIF($C241:N241,"&gt;0")&gt;0,DATE($B$1,12,1)=DATE(YEAR(TODAY()),MONTH(TODAY()),1))),1,0))</f>
        <v/>
      </c>
    </row>
    <row r="242">
      <c r="A242" s="13">
        <f>IF(원생!$A240="","",원생!$A240&amp;IF(원생!$G240="",""," ("&amp;원생!$G240&amp;")"))</f>
        <v/>
      </c>
      <c r="B242" s="8">
        <f>IF(원생!$A240="","",N(원생!$F240))</f>
        <v/>
      </c>
      <c r="C242" s="14">
        <f>IF(원생!$A240="","",SUMIFS(계산!$C:$C,계산!$A:$A,계산!$E240,계산!$B:$B,$B$1*100+1))</f>
        <v/>
      </c>
      <c r="D242" s="14">
        <f>IF(원생!$A240="","",SUMIFS(계산!$C:$C,계산!$A:$A,계산!$E240,계산!$B:$B,$B$1*100+2))</f>
        <v/>
      </c>
      <c r="E242" s="14">
        <f>IF(원생!$A240="","",SUMIFS(계산!$C:$C,계산!$A:$A,계산!$E240,계산!$B:$B,$B$1*100+3))</f>
        <v/>
      </c>
      <c r="F242" s="14">
        <f>IF(원생!$A240="","",SUMIFS(계산!$C:$C,계산!$A:$A,계산!$E240,계산!$B:$B,$B$1*100+4))</f>
        <v/>
      </c>
      <c r="G242" s="14">
        <f>IF(원생!$A240="","",SUMIFS(계산!$C:$C,계산!$A:$A,계산!$E240,계산!$B:$B,$B$1*100+5))</f>
        <v/>
      </c>
      <c r="H242" s="14">
        <f>IF(원생!$A240="","",SUMIFS(계산!$C:$C,계산!$A:$A,계산!$E240,계산!$B:$B,$B$1*100+6))</f>
        <v/>
      </c>
      <c r="I242" s="14">
        <f>IF(원생!$A240="","",SUMIFS(계산!$C:$C,계산!$A:$A,계산!$E240,계산!$B:$B,$B$1*100+7))</f>
        <v/>
      </c>
      <c r="J242" s="14">
        <f>IF(원생!$A240="","",SUMIFS(계산!$C:$C,계산!$A:$A,계산!$E240,계산!$B:$B,$B$1*100+8))</f>
        <v/>
      </c>
      <c r="K242" s="14">
        <f>IF(원생!$A240="","",SUMIFS(계산!$C:$C,계산!$A:$A,계산!$E240,계산!$B:$B,$B$1*100+9))</f>
        <v/>
      </c>
      <c r="L242" s="14">
        <f>IF(원생!$A240="","",SUMIFS(계산!$C:$C,계산!$A:$A,계산!$E240,계산!$B:$B,$B$1*100+10))</f>
        <v/>
      </c>
      <c r="M242" s="14">
        <f>IF(원생!$A240="","",SUMIFS(계산!$C:$C,계산!$A:$A,계산!$E240,계산!$B:$B,$B$1*100+11))</f>
        <v/>
      </c>
      <c r="N242" s="14">
        <f>IF(원생!$A240="","",SUMIFS(계산!$C:$C,계산!$A:$A,계산!$E240,계산!$B:$B,$B$1*100+12))</f>
        <v/>
      </c>
      <c r="O242">
        <f>IF(원생!$I240="","",원생!$I240)</f>
        <v/>
      </c>
      <c r="P242">
        <f>IF($A242="","",IF(AND($B242&gt;0,C242&lt;$B242,DATE($B$1,1,1)&lt;=TODAY(),OR($O242="",$O242&gt;=DATE($B$1,1,1)),OR(COUNTIF($C242:C242,"&gt;0")&gt;0,DATE($B$1,1,1)=DATE(YEAR(TODAY()),MONTH(TODAY()),1))),1,0))</f>
        <v/>
      </c>
      <c r="Q242">
        <f>IF($A242="","",IF(AND($B242&gt;0,D242&lt;$B242,DATE($B$1,2,1)&lt;=TODAY(),OR($O242="",$O242&gt;=DATE($B$1,2,1)),OR(COUNTIF($C242:D242,"&gt;0")&gt;0,DATE($B$1,2,1)=DATE(YEAR(TODAY()),MONTH(TODAY()),1))),1,0))</f>
        <v/>
      </c>
      <c r="R242">
        <f>IF($A242="","",IF(AND($B242&gt;0,E242&lt;$B242,DATE($B$1,3,1)&lt;=TODAY(),OR($O242="",$O242&gt;=DATE($B$1,3,1)),OR(COUNTIF($C242:E242,"&gt;0")&gt;0,DATE($B$1,3,1)=DATE(YEAR(TODAY()),MONTH(TODAY()),1))),1,0))</f>
        <v/>
      </c>
      <c r="S242">
        <f>IF($A242="","",IF(AND($B242&gt;0,F242&lt;$B242,DATE($B$1,4,1)&lt;=TODAY(),OR($O242="",$O242&gt;=DATE($B$1,4,1)),OR(COUNTIF($C242:F242,"&gt;0")&gt;0,DATE($B$1,4,1)=DATE(YEAR(TODAY()),MONTH(TODAY()),1))),1,0))</f>
        <v/>
      </c>
      <c r="T242">
        <f>IF($A242="","",IF(AND($B242&gt;0,G242&lt;$B242,DATE($B$1,5,1)&lt;=TODAY(),OR($O242="",$O242&gt;=DATE($B$1,5,1)),OR(COUNTIF($C242:G242,"&gt;0")&gt;0,DATE($B$1,5,1)=DATE(YEAR(TODAY()),MONTH(TODAY()),1))),1,0))</f>
        <v/>
      </c>
      <c r="U242">
        <f>IF($A242="","",IF(AND($B242&gt;0,H242&lt;$B242,DATE($B$1,6,1)&lt;=TODAY(),OR($O242="",$O242&gt;=DATE($B$1,6,1)),OR(COUNTIF($C242:H242,"&gt;0")&gt;0,DATE($B$1,6,1)=DATE(YEAR(TODAY()),MONTH(TODAY()),1))),1,0))</f>
        <v/>
      </c>
      <c r="V242">
        <f>IF($A242="","",IF(AND($B242&gt;0,I242&lt;$B242,DATE($B$1,7,1)&lt;=TODAY(),OR($O242="",$O242&gt;=DATE($B$1,7,1)),OR(COUNTIF($C242:I242,"&gt;0")&gt;0,DATE($B$1,7,1)=DATE(YEAR(TODAY()),MONTH(TODAY()),1))),1,0))</f>
        <v/>
      </c>
      <c r="W242">
        <f>IF($A242="","",IF(AND($B242&gt;0,J242&lt;$B242,DATE($B$1,8,1)&lt;=TODAY(),OR($O242="",$O242&gt;=DATE($B$1,8,1)),OR(COUNTIF($C242:J242,"&gt;0")&gt;0,DATE($B$1,8,1)=DATE(YEAR(TODAY()),MONTH(TODAY()),1))),1,0))</f>
        <v/>
      </c>
      <c r="X242">
        <f>IF($A242="","",IF(AND($B242&gt;0,K242&lt;$B242,DATE($B$1,9,1)&lt;=TODAY(),OR($O242="",$O242&gt;=DATE($B$1,9,1)),OR(COUNTIF($C242:K242,"&gt;0")&gt;0,DATE($B$1,9,1)=DATE(YEAR(TODAY()),MONTH(TODAY()),1))),1,0))</f>
        <v/>
      </c>
      <c r="Y242">
        <f>IF($A242="","",IF(AND($B242&gt;0,L242&lt;$B242,DATE($B$1,10,1)&lt;=TODAY(),OR($O242="",$O242&gt;=DATE($B$1,10,1)),OR(COUNTIF($C242:L242,"&gt;0")&gt;0,DATE($B$1,10,1)=DATE(YEAR(TODAY()),MONTH(TODAY()),1))),1,0))</f>
        <v/>
      </c>
      <c r="Z242">
        <f>IF($A242="","",IF(AND($B242&gt;0,M242&lt;$B242,DATE($B$1,11,1)&lt;=TODAY(),OR($O242="",$O242&gt;=DATE($B$1,11,1)),OR(COUNTIF($C242:M242,"&gt;0")&gt;0,DATE($B$1,11,1)=DATE(YEAR(TODAY()),MONTH(TODAY()),1))),1,0))</f>
        <v/>
      </c>
      <c r="AA242">
        <f>IF($A242="","",IF(AND($B242&gt;0,N242&lt;$B242,DATE($B$1,12,1)&lt;=TODAY(),OR($O242="",$O242&gt;=DATE($B$1,12,1)),OR(COUNTIF($C242:N242,"&gt;0")&gt;0,DATE($B$1,12,1)=DATE(YEAR(TODAY()),MONTH(TODAY()),1))),1,0))</f>
        <v/>
      </c>
    </row>
    <row r="243">
      <c r="A243" s="13">
        <f>IF(원생!$A241="","",원생!$A241&amp;IF(원생!$G241="",""," ("&amp;원생!$G241&amp;")"))</f>
        <v/>
      </c>
      <c r="B243" s="8">
        <f>IF(원생!$A241="","",N(원생!$F241))</f>
        <v/>
      </c>
      <c r="C243" s="14">
        <f>IF(원생!$A241="","",SUMIFS(계산!$C:$C,계산!$A:$A,계산!$E241,계산!$B:$B,$B$1*100+1))</f>
        <v/>
      </c>
      <c r="D243" s="14">
        <f>IF(원생!$A241="","",SUMIFS(계산!$C:$C,계산!$A:$A,계산!$E241,계산!$B:$B,$B$1*100+2))</f>
        <v/>
      </c>
      <c r="E243" s="14">
        <f>IF(원생!$A241="","",SUMIFS(계산!$C:$C,계산!$A:$A,계산!$E241,계산!$B:$B,$B$1*100+3))</f>
        <v/>
      </c>
      <c r="F243" s="14">
        <f>IF(원생!$A241="","",SUMIFS(계산!$C:$C,계산!$A:$A,계산!$E241,계산!$B:$B,$B$1*100+4))</f>
        <v/>
      </c>
      <c r="G243" s="14">
        <f>IF(원생!$A241="","",SUMIFS(계산!$C:$C,계산!$A:$A,계산!$E241,계산!$B:$B,$B$1*100+5))</f>
        <v/>
      </c>
      <c r="H243" s="14">
        <f>IF(원생!$A241="","",SUMIFS(계산!$C:$C,계산!$A:$A,계산!$E241,계산!$B:$B,$B$1*100+6))</f>
        <v/>
      </c>
      <c r="I243" s="14">
        <f>IF(원생!$A241="","",SUMIFS(계산!$C:$C,계산!$A:$A,계산!$E241,계산!$B:$B,$B$1*100+7))</f>
        <v/>
      </c>
      <c r="J243" s="14">
        <f>IF(원생!$A241="","",SUMIFS(계산!$C:$C,계산!$A:$A,계산!$E241,계산!$B:$B,$B$1*100+8))</f>
        <v/>
      </c>
      <c r="K243" s="14">
        <f>IF(원생!$A241="","",SUMIFS(계산!$C:$C,계산!$A:$A,계산!$E241,계산!$B:$B,$B$1*100+9))</f>
        <v/>
      </c>
      <c r="L243" s="14">
        <f>IF(원생!$A241="","",SUMIFS(계산!$C:$C,계산!$A:$A,계산!$E241,계산!$B:$B,$B$1*100+10))</f>
        <v/>
      </c>
      <c r="M243" s="14">
        <f>IF(원생!$A241="","",SUMIFS(계산!$C:$C,계산!$A:$A,계산!$E241,계산!$B:$B,$B$1*100+11))</f>
        <v/>
      </c>
      <c r="N243" s="14">
        <f>IF(원생!$A241="","",SUMIFS(계산!$C:$C,계산!$A:$A,계산!$E241,계산!$B:$B,$B$1*100+12))</f>
        <v/>
      </c>
      <c r="O243">
        <f>IF(원생!$I241="","",원생!$I241)</f>
        <v/>
      </c>
      <c r="P243">
        <f>IF($A243="","",IF(AND($B243&gt;0,C243&lt;$B243,DATE($B$1,1,1)&lt;=TODAY(),OR($O243="",$O243&gt;=DATE($B$1,1,1)),OR(COUNTIF($C243:C243,"&gt;0")&gt;0,DATE($B$1,1,1)=DATE(YEAR(TODAY()),MONTH(TODAY()),1))),1,0))</f>
        <v/>
      </c>
      <c r="Q243">
        <f>IF($A243="","",IF(AND($B243&gt;0,D243&lt;$B243,DATE($B$1,2,1)&lt;=TODAY(),OR($O243="",$O243&gt;=DATE($B$1,2,1)),OR(COUNTIF($C243:D243,"&gt;0")&gt;0,DATE($B$1,2,1)=DATE(YEAR(TODAY()),MONTH(TODAY()),1))),1,0))</f>
        <v/>
      </c>
      <c r="R243">
        <f>IF($A243="","",IF(AND($B243&gt;0,E243&lt;$B243,DATE($B$1,3,1)&lt;=TODAY(),OR($O243="",$O243&gt;=DATE($B$1,3,1)),OR(COUNTIF($C243:E243,"&gt;0")&gt;0,DATE($B$1,3,1)=DATE(YEAR(TODAY()),MONTH(TODAY()),1))),1,0))</f>
        <v/>
      </c>
      <c r="S243">
        <f>IF($A243="","",IF(AND($B243&gt;0,F243&lt;$B243,DATE($B$1,4,1)&lt;=TODAY(),OR($O243="",$O243&gt;=DATE($B$1,4,1)),OR(COUNTIF($C243:F243,"&gt;0")&gt;0,DATE($B$1,4,1)=DATE(YEAR(TODAY()),MONTH(TODAY()),1))),1,0))</f>
        <v/>
      </c>
      <c r="T243">
        <f>IF($A243="","",IF(AND($B243&gt;0,G243&lt;$B243,DATE($B$1,5,1)&lt;=TODAY(),OR($O243="",$O243&gt;=DATE($B$1,5,1)),OR(COUNTIF($C243:G243,"&gt;0")&gt;0,DATE($B$1,5,1)=DATE(YEAR(TODAY()),MONTH(TODAY()),1))),1,0))</f>
        <v/>
      </c>
      <c r="U243">
        <f>IF($A243="","",IF(AND($B243&gt;0,H243&lt;$B243,DATE($B$1,6,1)&lt;=TODAY(),OR($O243="",$O243&gt;=DATE($B$1,6,1)),OR(COUNTIF($C243:H243,"&gt;0")&gt;0,DATE($B$1,6,1)=DATE(YEAR(TODAY()),MONTH(TODAY()),1))),1,0))</f>
        <v/>
      </c>
      <c r="V243">
        <f>IF($A243="","",IF(AND($B243&gt;0,I243&lt;$B243,DATE($B$1,7,1)&lt;=TODAY(),OR($O243="",$O243&gt;=DATE($B$1,7,1)),OR(COUNTIF($C243:I243,"&gt;0")&gt;0,DATE($B$1,7,1)=DATE(YEAR(TODAY()),MONTH(TODAY()),1))),1,0))</f>
        <v/>
      </c>
      <c r="W243">
        <f>IF($A243="","",IF(AND($B243&gt;0,J243&lt;$B243,DATE($B$1,8,1)&lt;=TODAY(),OR($O243="",$O243&gt;=DATE($B$1,8,1)),OR(COUNTIF($C243:J243,"&gt;0")&gt;0,DATE($B$1,8,1)=DATE(YEAR(TODAY()),MONTH(TODAY()),1))),1,0))</f>
        <v/>
      </c>
      <c r="X243">
        <f>IF($A243="","",IF(AND($B243&gt;0,K243&lt;$B243,DATE($B$1,9,1)&lt;=TODAY(),OR($O243="",$O243&gt;=DATE($B$1,9,1)),OR(COUNTIF($C243:K243,"&gt;0")&gt;0,DATE($B$1,9,1)=DATE(YEAR(TODAY()),MONTH(TODAY()),1))),1,0))</f>
        <v/>
      </c>
      <c r="Y243">
        <f>IF($A243="","",IF(AND($B243&gt;0,L243&lt;$B243,DATE($B$1,10,1)&lt;=TODAY(),OR($O243="",$O243&gt;=DATE($B$1,10,1)),OR(COUNTIF($C243:L243,"&gt;0")&gt;0,DATE($B$1,10,1)=DATE(YEAR(TODAY()),MONTH(TODAY()),1))),1,0))</f>
        <v/>
      </c>
      <c r="Z243">
        <f>IF($A243="","",IF(AND($B243&gt;0,M243&lt;$B243,DATE($B$1,11,1)&lt;=TODAY(),OR($O243="",$O243&gt;=DATE($B$1,11,1)),OR(COUNTIF($C243:M243,"&gt;0")&gt;0,DATE($B$1,11,1)=DATE(YEAR(TODAY()),MONTH(TODAY()),1))),1,0))</f>
        <v/>
      </c>
      <c r="AA243">
        <f>IF($A243="","",IF(AND($B243&gt;0,N243&lt;$B243,DATE($B$1,12,1)&lt;=TODAY(),OR($O243="",$O243&gt;=DATE($B$1,12,1)),OR(COUNTIF($C243:N243,"&gt;0")&gt;0,DATE($B$1,12,1)=DATE(YEAR(TODAY()),MONTH(TODAY()),1))),1,0))</f>
        <v/>
      </c>
    </row>
    <row r="244">
      <c r="A244" s="13">
        <f>IF(원생!$A242="","",원생!$A242&amp;IF(원생!$G242="",""," ("&amp;원생!$G242&amp;")"))</f>
        <v/>
      </c>
      <c r="B244" s="8">
        <f>IF(원생!$A242="","",N(원생!$F242))</f>
        <v/>
      </c>
      <c r="C244" s="14">
        <f>IF(원생!$A242="","",SUMIFS(계산!$C:$C,계산!$A:$A,계산!$E242,계산!$B:$B,$B$1*100+1))</f>
        <v/>
      </c>
      <c r="D244" s="14">
        <f>IF(원생!$A242="","",SUMIFS(계산!$C:$C,계산!$A:$A,계산!$E242,계산!$B:$B,$B$1*100+2))</f>
        <v/>
      </c>
      <c r="E244" s="14">
        <f>IF(원생!$A242="","",SUMIFS(계산!$C:$C,계산!$A:$A,계산!$E242,계산!$B:$B,$B$1*100+3))</f>
        <v/>
      </c>
      <c r="F244" s="14">
        <f>IF(원생!$A242="","",SUMIFS(계산!$C:$C,계산!$A:$A,계산!$E242,계산!$B:$B,$B$1*100+4))</f>
        <v/>
      </c>
      <c r="G244" s="14">
        <f>IF(원생!$A242="","",SUMIFS(계산!$C:$C,계산!$A:$A,계산!$E242,계산!$B:$B,$B$1*100+5))</f>
        <v/>
      </c>
      <c r="H244" s="14">
        <f>IF(원생!$A242="","",SUMIFS(계산!$C:$C,계산!$A:$A,계산!$E242,계산!$B:$B,$B$1*100+6))</f>
        <v/>
      </c>
      <c r="I244" s="14">
        <f>IF(원생!$A242="","",SUMIFS(계산!$C:$C,계산!$A:$A,계산!$E242,계산!$B:$B,$B$1*100+7))</f>
        <v/>
      </c>
      <c r="J244" s="14">
        <f>IF(원생!$A242="","",SUMIFS(계산!$C:$C,계산!$A:$A,계산!$E242,계산!$B:$B,$B$1*100+8))</f>
        <v/>
      </c>
      <c r="K244" s="14">
        <f>IF(원생!$A242="","",SUMIFS(계산!$C:$C,계산!$A:$A,계산!$E242,계산!$B:$B,$B$1*100+9))</f>
        <v/>
      </c>
      <c r="L244" s="14">
        <f>IF(원생!$A242="","",SUMIFS(계산!$C:$C,계산!$A:$A,계산!$E242,계산!$B:$B,$B$1*100+10))</f>
        <v/>
      </c>
      <c r="M244" s="14">
        <f>IF(원생!$A242="","",SUMIFS(계산!$C:$C,계산!$A:$A,계산!$E242,계산!$B:$B,$B$1*100+11))</f>
        <v/>
      </c>
      <c r="N244" s="14">
        <f>IF(원생!$A242="","",SUMIFS(계산!$C:$C,계산!$A:$A,계산!$E242,계산!$B:$B,$B$1*100+12))</f>
        <v/>
      </c>
      <c r="O244">
        <f>IF(원생!$I242="","",원생!$I242)</f>
        <v/>
      </c>
      <c r="P244">
        <f>IF($A244="","",IF(AND($B244&gt;0,C244&lt;$B244,DATE($B$1,1,1)&lt;=TODAY(),OR($O244="",$O244&gt;=DATE($B$1,1,1)),OR(COUNTIF($C244:C244,"&gt;0")&gt;0,DATE($B$1,1,1)=DATE(YEAR(TODAY()),MONTH(TODAY()),1))),1,0))</f>
        <v/>
      </c>
      <c r="Q244">
        <f>IF($A244="","",IF(AND($B244&gt;0,D244&lt;$B244,DATE($B$1,2,1)&lt;=TODAY(),OR($O244="",$O244&gt;=DATE($B$1,2,1)),OR(COUNTIF($C244:D244,"&gt;0")&gt;0,DATE($B$1,2,1)=DATE(YEAR(TODAY()),MONTH(TODAY()),1))),1,0))</f>
        <v/>
      </c>
      <c r="R244">
        <f>IF($A244="","",IF(AND($B244&gt;0,E244&lt;$B244,DATE($B$1,3,1)&lt;=TODAY(),OR($O244="",$O244&gt;=DATE($B$1,3,1)),OR(COUNTIF($C244:E244,"&gt;0")&gt;0,DATE($B$1,3,1)=DATE(YEAR(TODAY()),MONTH(TODAY()),1))),1,0))</f>
        <v/>
      </c>
      <c r="S244">
        <f>IF($A244="","",IF(AND($B244&gt;0,F244&lt;$B244,DATE($B$1,4,1)&lt;=TODAY(),OR($O244="",$O244&gt;=DATE($B$1,4,1)),OR(COUNTIF($C244:F244,"&gt;0")&gt;0,DATE($B$1,4,1)=DATE(YEAR(TODAY()),MONTH(TODAY()),1))),1,0))</f>
        <v/>
      </c>
      <c r="T244">
        <f>IF($A244="","",IF(AND($B244&gt;0,G244&lt;$B244,DATE($B$1,5,1)&lt;=TODAY(),OR($O244="",$O244&gt;=DATE($B$1,5,1)),OR(COUNTIF($C244:G244,"&gt;0")&gt;0,DATE($B$1,5,1)=DATE(YEAR(TODAY()),MONTH(TODAY()),1))),1,0))</f>
        <v/>
      </c>
      <c r="U244">
        <f>IF($A244="","",IF(AND($B244&gt;0,H244&lt;$B244,DATE($B$1,6,1)&lt;=TODAY(),OR($O244="",$O244&gt;=DATE($B$1,6,1)),OR(COUNTIF($C244:H244,"&gt;0")&gt;0,DATE($B$1,6,1)=DATE(YEAR(TODAY()),MONTH(TODAY()),1))),1,0))</f>
        <v/>
      </c>
      <c r="V244">
        <f>IF($A244="","",IF(AND($B244&gt;0,I244&lt;$B244,DATE($B$1,7,1)&lt;=TODAY(),OR($O244="",$O244&gt;=DATE($B$1,7,1)),OR(COUNTIF($C244:I244,"&gt;0")&gt;0,DATE($B$1,7,1)=DATE(YEAR(TODAY()),MONTH(TODAY()),1))),1,0))</f>
        <v/>
      </c>
      <c r="W244">
        <f>IF($A244="","",IF(AND($B244&gt;0,J244&lt;$B244,DATE($B$1,8,1)&lt;=TODAY(),OR($O244="",$O244&gt;=DATE($B$1,8,1)),OR(COUNTIF($C244:J244,"&gt;0")&gt;0,DATE($B$1,8,1)=DATE(YEAR(TODAY()),MONTH(TODAY()),1))),1,0))</f>
        <v/>
      </c>
      <c r="X244">
        <f>IF($A244="","",IF(AND($B244&gt;0,K244&lt;$B244,DATE($B$1,9,1)&lt;=TODAY(),OR($O244="",$O244&gt;=DATE($B$1,9,1)),OR(COUNTIF($C244:K244,"&gt;0")&gt;0,DATE($B$1,9,1)=DATE(YEAR(TODAY()),MONTH(TODAY()),1))),1,0))</f>
        <v/>
      </c>
      <c r="Y244">
        <f>IF($A244="","",IF(AND($B244&gt;0,L244&lt;$B244,DATE($B$1,10,1)&lt;=TODAY(),OR($O244="",$O244&gt;=DATE($B$1,10,1)),OR(COUNTIF($C244:L244,"&gt;0")&gt;0,DATE($B$1,10,1)=DATE(YEAR(TODAY()),MONTH(TODAY()),1))),1,0))</f>
        <v/>
      </c>
      <c r="Z244">
        <f>IF($A244="","",IF(AND($B244&gt;0,M244&lt;$B244,DATE($B$1,11,1)&lt;=TODAY(),OR($O244="",$O244&gt;=DATE($B$1,11,1)),OR(COUNTIF($C244:M244,"&gt;0")&gt;0,DATE($B$1,11,1)=DATE(YEAR(TODAY()),MONTH(TODAY()),1))),1,0))</f>
        <v/>
      </c>
      <c r="AA244">
        <f>IF($A244="","",IF(AND($B244&gt;0,N244&lt;$B244,DATE($B$1,12,1)&lt;=TODAY(),OR($O244="",$O244&gt;=DATE($B$1,12,1)),OR(COUNTIF($C244:N244,"&gt;0")&gt;0,DATE($B$1,12,1)=DATE(YEAR(TODAY()),MONTH(TODAY()),1))),1,0))</f>
        <v/>
      </c>
    </row>
    <row r="245">
      <c r="A245" s="13">
        <f>IF(원생!$A243="","",원생!$A243&amp;IF(원생!$G243="",""," ("&amp;원생!$G243&amp;")"))</f>
        <v/>
      </c>
      <c r="B245" s="8">
        <f>IF(원생!$A243="","",N(원생!$F243))</f>
        <v/>
      </c>
      <c r="C245" s="14">
        <f>IF(원생!$A243="","",SUMIFS(계산!$C:$C,계산!$A:$A,계산!$E243,계산!$B:$B,$B$1*100+1))</f>
        <v/>
      </c>
      <c r="D245" s="14">
        <f>IF(원생!$A243="","",SUMIFS(계산!$C:$C,계산!$A:$A,계산!$E243,계산!$B:$B,$B$1*100+2))</f>
        <v/>
      </c>
      <c r="E245" s="14">
        <f>IF(원생!$A243="","",SUMIFS(계산!$C:$C,계산!$A:$A,계산!$E243,계산!$B:$B,$B$1*100+3))</f>
        <v/>
      </c>
      <c r="F245" s="14">
        <f>IF(원생!$A243="","",SUMIFS(계산!$C:$C,계산!$A:$A,계산!$E243,계산!$B:$B,$B$1*100+4))</f>
        <v/>
      </c>
      <c r="G245" s="14">
        <f>IF(원생!$A243="","",SUMIFS(계산!$C:$C,계산!$A:$A,계산!$E243,계산!$B:$B,$B$1*100+5))</f>
        <v/>
      </c>
      <c r="H245" s="14">
        <f>IF(원생!$A243="","",SUMIFS(계산!$C:$C,계산!$A:$A,계산!$E243,계산!$B:$B,$B$1*100+6))</f>
        <v/>
      </c>
      <c r="I245" s="14">
        <f>IF(원생!$A243="","",SUMIFS(계산!$C:$C,계산!$A:$A,계산!$E243,계산!$B:$B,$B$1*100+7))</f>
        <v/>
      </c>
      <c r="J245" s="14">
        <f>IF(원생!$A243="","",SUMIFS(계산!$C:$C,계산!$A:$A,계산!$E243,계산!$B:$B,$B$1*100+8))</f>
        <v/>
      </c>
      <c r="K245" s="14">
        <f>IF(원생!$A243="","",SUMIFS(계산!$C:$C,계산!$A:$A,계산!$E243,계산!$B:$B,$B$1*100+9))</f>
        <v/>
      </c>
      <c r="L245" s="14">
        <f>IF(원생!$A243="","",SUMIFS(계산!$C:$C,계산!$A:$A,계산!$E243,계산!$B:$B,$B$1*100+10))</f>
        <v/>
      </c>
      <c r="M245" s="14">
        <f>IF(원생!$A243="","",SUMIFS(계산!$C:$C,계산!$A:$A,계산!$E243,계산!$B:$B,$B$1*100+11))</f>
        <v/>
      </c>
      <c r="N245" s="14">
        <f>IF(원생!$A243="","",SUMIFS(계산!$C:$C,계산!$A:$A,계산!$E243,계산!$B:$B,$B$1*100+12))</f>
        <v/>
      </c>
      <c r="O245">
        <f>IF(원생!$I243="","",원생!$I243)</f>
        <v/>
      </c>
      <c r="P245">
        <f>IF($A245="","",IF(AND($B245&gt;0,C245&lt;$B245,DATE($B$1,1,1)&lt;=TODAY(),OR($O245="",$O245&gt;=DATE($B$1,1,1)),OR(COUNTIF($C245:C245,"&gt;0")&gt;0,DATE($B$1,1,1)=DATE(YEAR(TODAY()),MONTH(TODAY()),1))),1,0))</f>
        <v/>
      </c>
      <c r="Q245">
        <f>IF($A245="","",IF(AND($B245&gt;0,D245&lt;$B245,DATE($B$1,2,1)&lt;=TODAY(),OR($O245="",$O245&gt;=DATE($B$1,2,1)),OR(COUNTIF($C245:D245,"&gt;0")&gt;0,DATE($B$1,2,1)=DATE(YEAR(TODAY()),MONTH(TODAY()),1))),1,0))</f>
        <v/>
      </c>
      <c r="R245">
        <f>IF($A245="","",IF(AND($B245&gt;0,E245&lt;$B245,DATE($B$1,3,1)&lt;=TODAY(),OR($O245="",$O245&gt;=DATE($B$1,3,1)),OR(COUNTIF($C245:E245,"&gt;0")&gt;0,DATE($B$1,3,1)=DATE(YEAR(TODAY()),MONTH(TODAY()),1))),1,0))</f>
        <v/>
      </c>
      <c r="S245">
        <f>IF($A245="","",IF(AND($B245&gt;0,F245&lt;$B245,DATE($B$1,4,1)&lt;=TODAY(),OR($O245="",$O245&gt;=DATE($B$1,4,1)),OR(COUNTIF($C245:F245,"&gt;0")&gt;0,DATE($B$1,4,1)=DATE(YEAR(TODAY()),MONTH(TODAY()),1))),1,0))</f>
        <v/>
      </c>
      <c r="T245">
        <f>IF($A245="","",IF(AND($B245&gt;0,G245&lt;$B245,DATE($B$1,5,1)&lt;=TODAY(),OR($O245="",$O245&gt;=DATE($B$1,5,1)),OR(COUNTIF($C245:G245,"&gt;0")&gt;0,DATE($B$1,5,1)=DATE(YEAR(TODAY()),MONTH(TODAY()),1))),1,0))</f>
        <v/>
      </c>
      <c r="U245">
        <f>IF($A245="","",IF(AND($B245&gt;0,H245&lt;$B245,DATE($B$1,6,1)&lt;=TODAY(),OR($O245="",$O245&gt;=DATE($B$1,6,1)),OR(COUNTIF($C245:H245,"&gt;0")&gt;0,DATE($B$1,6,1)=DATE(YEAR(TODAY()),MONTH(TODAY()),1))),1,0))</f>
        <v/>
      </c>
      <c r="V245">
        <f>IF($A245="","",IF(AND($B245&gt;0,I245&lt;$B245,DATE($B$1,7,1)&lt;=TODAY(),OR($O245="",$O245&gt;=DATE($B$1,7,1)),OR(COUNTIF($C245:I245,"&gt;0")&gt;0,DATE($B$1,7,1)=DATE(YEAR(TODAY()),MONTH(TODAY()),1))),1,0))</f>
        <v/>
      </c>
      <c r="W245">
        <f>IF($A245="","",IF(AND($B245&gt;0,J245&lt;$B245,DATE($B$1,8,1)&lt;=TODAY(),OR($O245="",$O245&gt;=DATE($B$1,8,1)),OR(COUNTIF($C245:J245,"&gt;0")&gt;0,DATE($B$1,8,1)=DATE(YEAR(TODAY()),MONTH(TODAY()),1))),1,0))</f>
        <v/>
      </c>
      <c r="X245">
        <f>IF($A245="","",IF(AND($B245&gt;0,K245&lt;$B245,DATE($B$1,9,1)&lt;=TODAY(),OR($O245="",$O245&gt;=DATE($B$1,9,1)),OR(COUNTIF($C245:K245,"&gt;0")&gt;0,DATE($B$1,9,1)=DATE(YEAR(TODAY()),MONTH(TODAY()),1))),1,0))</f>
        <v/>
      </c>
      <c r="Y245">
        <f>IF($A245="","",IF(AND($B245&gt;0,L245&lt;$B245,DATE($B$1,10,1)&lt;=TODAY(),OR($O245="",$O245&gt;=DATE($B$1,10,1)),OR(COUNTIF($C245:L245,"&gt;0")&gt;0,DATE($B$1,10,1)=DATE(YEAR(TODAY()),MONTH(TODAY()),1))),1,0))</f>
        <v/>
      </c>
      <c r="Z245">
        <f>IF($A245="","",IF(AND($B245&gt;0,M245&lt;$B245,DATE($B$1,11,1)&lt;=TODAY(),OR($O245="",$O245&gt;=DATE($B$1,11,1)),OR(COUNTIF($C245:M245,"&gt;0")&gt;0,DATE($B$1,11,1)=DATE(YEAR(TODAY()),MONTH(TODAY()),1))),1,0))</f>
        <v/>
      </c>
      <c r="AA245">
        <f>IF($A245="","",IF(AND($B245&gt;0,N245&lt;$B245,DATE($B$1,12,1)&lt;=TODAY(),OR($O245="",$O245&gt;=DATE($B$1,12,1)),OR(COUNTIF($C245:N245,"&gt;0")&gt;0,DATE($B$1,12,1)=DATE(YEAR(TODAY()),MONTH(TODAY()),1))),1,0))</f>
        <v/>
      </c>
    </row>
    <row r="246">
      <c r="A246" s="13">
        <f>IF(원생!$A244="","",원생!$A244&amp;IF(원생!$G244="",""," ("&amp;원생!$G244&amp;")"))</f>
        <v/>
      </c>
      <c r="B246" s="8">
        <f>IF(원생!$A244="","",N(원생!$F244))</f>
        <v/>
      </c>
      <c r="C246" s="14">
        <f>IF(원생!$A244="","",SUMIFS(계산!$C:$C,계산!$A:$A,계산!$E244,계산!$B:$B,$B$1*100+1))</f>
        <v/>
      </c>
      <c r="D246" s="14">
        <f>IF(원생!$A244="","",SUMIFS(계산!$C:$C,계산!$A:$A,계산!$E244,계산!$B:$B,$B$1*100+2))</f>
        <v/>
      </c>
      <c r="E246" s="14">
        <f>IF(원생!$A244="","",SUMIFS(계산!$C:$C,계산!$A:$A,계산!$E244,계산!$B:$B,$B$1*100+3))</f>
        <v/>
      </c>
      <c r="F246" s="14">
        <f>IF(원생!$A244="","",SUMIFS(계산!$C:$C,계산!$A:$A,계산!$E244,계산!$B:$B,$B$1*100+4))</f>
        <v/>
      </c>
      <c r="G246" s="14">
        <f>IF(원생!$A244="","",SUMIFS(계산!$C:$C,계산!$A:$A,계산!$E244,계산!$B:$B,$B$1*100+5))</f>
        <v/>
      </c>
      <c r="H246" s="14">
        <f>IF(원생!$A244="","",SUMIFS(계산!$C:$C,계산!$A:$A,계산!$E244,계산!$B:$B,$B$1*100+6))</f>
        <v/>
      </c>
      <c r="I246" s="14">
        <f>IF(원생!$A244="","",SUMIFS(계산!$C:$C,계산!$A:$A,계산!$E244,계산!$B:$B,$B$1*100+7))</f>
        <v/>
      </c>
      <c r="J246" s="14">
        <f>IF(원생!$A244="","",SUMIFS(계산!$C:$C,계산!$A:$A,계산!$E244,계산!$B:$B,$B$1*100+8))</f>
        <v/>
      </c>
      <c r="K246" s="14">
        <f>IF(원생!$A244="","",SUMIFS(계산!$C:$C,계산!$A:$A,계산!$E244,계산!$B:$B,$B$1*100+9))</f>
        <v/>
      </c>
      <c r="L246" s="14">
        <f>IF(원생!$A244="","",SUMIFS(계산!$C:$C,계산!$A:$A,계산!$E244,계산!$B:$B,$B$1*100+10))</f>
        <v/>
      </c>
      <c r="M246" s="14">
        <f>IF(원생!$A244="","",SUMIFS(계산!$C:$C,계산!$A:$A,계산!$E244,계산!$B:$B,$B$1*100+11))</f>
        <v/>
      </c>
      <c r="N246" s="14">
        <f>IF(원생!$A244="","",SUMIFS(계산!$C:$C,계산!$A:$A,계산!$E244,계산!$B:$B,$B$1*100+12))</f>
        <v/>
      </c>
      <c r="O246">
        <f>IF(원생!$I244="","",원생!$I244)</f>
        <v/>
      </c>
      <c r="P246">
        <f>IF($A246="","",IF(AND($B246&gt;0,C246&lt;$B246,DATE($B$1,1,1)&lt;=TODAY(),OR($O246="",$O246&gt;=DATE($B$1,1,1)),OR(COUNTIF($C246:C246,"&gt;0")&gt;0,DATE($B$1,1,1)=DATE(YEAR(TODAY()),MONTH(TODAY()),1))),1,0))</f>
        <v/>
      </c>
      <c r="Q246">
        <f>IF($A246="","",IF(AND($B246&gt;0,D246&lt;$B246,DATE($B$1,2,1)&lt;=TODAY(),OR($O246="",$O246&gt;=DATE($B$1,2,1)),OR(COUNTIF($C246:D246,"&gt;0")&gt;0,DATE($B$1,2,1)=DATE(YEAR(TODAY()),MONTH(TODAY()),1))),1,0))</f>
        <v/>
      </c>
      <c r="R246">
        <f>IF($A246="","",IF(AND($B246&gt;0,E246&lt;$B246,DATE($B$1,3,1)&lt;=TODAY(),OR($O246="",$O246&gt;=DATE($B$1,3,1)),OR(COUNTIF($C246:E246,"&gt;0")&gt;0,DATE($B$1,3,1)=DATE(YEAR(TODAY()),MONTH(TODAY()),1))),1,0))</f>
        <v/>
      </c>
      <c r="S246">
        <f>IF($A246="","",IF(AND($B246&gt;0,F246&lt;$B246,DATE($B$1,4,1)&lt;=TODAY(),OR($O246="",$O246&gt;=DATE($B$1,4,1)),OR(COUNTIF($C246:F246,"&gt;0")&gt;0,DATE($B$1,4,1)=DATE(YEAR(TODAY()),MONTH(TODAY()),1))),1,0))</f>
        <v/>
      </c>
      <c r="T246">
        <f>IF($A246="","",IF(AND($B246&gt;0,G246&lt;$B246,DATE($B$1,5,1)&lt;=TODAY(),OR($O246="",$O246&gt;=DATE($B$1,5,1)),OR(COUNTIF($C246:G246,"&gt;0")&gt;0,DATE($B$1,5,1)=DATE(YEAR(TODAY()),MONTH(TODAY()),1))),1,0))</f>
        <v/>
      </c>
      <c r="U246">
        <f>IF($A246="","",IF(AND($B246&gt;0,H246&lt;$B246,DATE($B$1,6,1)&lt;=TODAY(),OR($O246="",$O246&gt;=DATE($B$1,6,1)),OR(COUNTIF($C246:H246,"&gt;0")&gt;0,DATE($B$1,6,1)=DATE(YEAR(TODAY()),MONTH(TODAY()),1))),1,0))</f>
        <v/>
      </c>
      <c r="V246">
        <f>IF($A246="","",IF(AND($B246&gt;0,I246&lt;$B246,DATE($B$1,7,1)&lt;=TODAY(),OR($O246="",$O246&gt;=DATE($B$1,7,1)),OR(COUNTIF($C246:I246,"&gt;0")&gt;0,DATE($B$1,7,1)=DATE(YEAR(TODAY()),MONTH(TODAY()),1))),1,0))</f>
        <v/>
      </c>
      <c r="W246">
        <f>IF($A246="","",IF(AND($B246&gt;0,J246&lt;$B246,DATE($B$1,8,1)&lt;=TODAY(),OR($O246="",$O246&gt;=DATE($B$1,8,1)),OR(COUNTIF($C246:J246,"&gt;0")&gt;0,DATE($B$1,8,1)=DATE(YEAR(TODAY()),MONTH(TODAY()),1))),1,0))</f>
        <v/>
      </c>
      <c r="X246">
        <f>IF($A246="","",IF(AND($B246&gt;0,K246&lt;$B246,DATE($B$1,9,1)&lt;=TODAY(),OR($O246="",$O246&gt;=DATE($B$1,9,1)),OR(COUNTIF($C246:K246,"&gt;0")&gt;0,DATE($B$1,9,1)=DATE(YEAR(TODAY()),MONTH(TODAY()),1))),1,0))</f>
        <v/>
      </c>
      <c r="Y246">
        <f>IF($A246="","",IF(AND($B246&gt;0,L246&lt;$B246,DATE($B$1,10,1)&lt;=TODAY(),OR($O246="",$O246&gt;=DATE($B$1,10,1)),OR(COUNTIF($C246:L246,"&gt;0")&gt;0,DATE($B$1,10,1)=DATE(YEAR(TODAY()),MONTH(TODAY()),1))),1,0))</f>
        <v/>
      </c>
      <c r="Z246">
        <f>IF($A246="","",IF(AND($B246&gt;0,M246&lt;$B246,DATE($B$1,11,1)&lt;=TODAY(),OR($O246="",$O246&gt;=DATE($B$1,11,1)),OR(COUNTIF($C246:M246,"&gt;0")&gt;0,DATE($B$1,11,1)=DATE(YEAR(TODAY()),MONTH(TODAY()),1))),1,0))</f>
        <v/>
      </c>
      <c r="AA246">
        <f>IF($A246="","",IF(AND($B246&gt;0,N246&lt;$B246,DATE($B$1,12,1)&lt;=TODAY(),OR($O246="",$O246&gt;=DATE($B$1,12,1)),OR(COUNTIF($C246:N246,"&gt;0")&gt;0,DATE($B$1,12,1)=DATE(YEAR(TODAY()),MONTH(TODAY()),1))),1,0))</f>
        <v/>
      </c>
    </row>
    <row r="247">
      <c r="A247" s="13">
        <f>IF(원생!$A245="","",원생!$A245&amp;IF(원생!$G245="",""," ("&amp;원생!$G245&amp;")"))</f>
        <v/>
      </c>
      <c r="B247" s="8">
        <f>IF(원생!$A245="","",N(원생!$F245))</f>
        <v/>
      </c>
      <c r="C247" s="14">
        <f>IF(원생!$A245="","",SUMIFS(계산!$C:$C,계산!$A:$A,계산!$E245,계산!$B:$B,$B$1*100+1))</f>
        <v/>
      </c>
      <c r="D247" s="14">
        <f>IF(원생!$A245="","",SUMIFS(계산!$C:$C,계산!$A:$A,계산!$E245,계산!$B:$B,$B$1*100+2))</f>
        <v/>
      </c>
      <c r="E247" s="14">
        <f>IF(원생!$A245="","",SUMIFS(계산!$C:$C,계산!$A:$A,계산!$E245,계산!$B:$B,$B$1*100+3))</f>
        <v/>
      </c>
      <c r="F247" s="14">
        <f>IF(원생!$A245="","",SUMIFS(계산!$C:$C,계산!$A:$A,계산!$E245,계산!$B:$B,$B$1*100+4))</f>
        <v/>
      </c>
      <c r="G247" s="14">
        <f>IF(원생!$A245="","",SUMIFS(계산!$C:$C,계산!$A:$A,계산!$E245,계산!$B:$B,$B$1*100+5))</f>
        <v/>
      </c>
      <c r="H247" s="14">
        <f>IF(원생!$A245="","",SUMIFS(계산!$C:$C,계산!$A:$A,계산!$E245,계산!$B:$B,$B$1*100+6))</f>
        <v/>
      </c>
      <c r="I247" s="14">
        <f>IF(원생!$A245="","",SUMIFS(계산!$C:$C,계산!$A:$A,계산!$E245,계산!$B:$B,$B$1*100+7))</f>
        <v/>
      </c>
      <c r="J247" s="14">
        <f>IF(원생!$A245="","",SUMIFS(계산!$C:$C,계산!$A:$A,계산!$E245,계산!$B:$B,$B$1*100+8))</f>
        <v/>
      </c>
      <c r="K247" s="14">
        <f>IF(원생!$A245="","",SUMIFS(계산!$C:$C,계산!$A:$A,계산!$E245,계산!$B:$B,$B$1*100+9))</f>
        <v/>
      </c>
      <c r="L247" s="14">
        <f>IF(원생!$A245="","",SUMIFS(계산!$C:$C,계산!$A:$A,계산!$E245,계산!$B:$B,$B$1*100+10))</f>
        <v/>
      </c>
      <c r="M247" s="14">
        <f>IF(원생!$A245="","",SUMIFS(계산!$C:$C,계산!$A:$A,계산!$E245,계산!$B:$B,$B$1*100+11))</f>
        <v/>
      </c>
      <c r="N247" s="14">
        <f>IF(원생!$A245="","",SUMIFS(계산!$C:$C,계산!$A:$A,계산!$E245,계산!$B:$B,$B$1*100+12))</f>
        <v/>
      </c>
      <c r="O247">
        <f>IF(원생!$I245="","",원생!$I245)</f>
        <v/>
      </c>
      <c r="P247">
        <f>IF($A247="","",IF(AND($B247&gt;0,C247&lt;$B247,DATE($B$1,1,1)&lt;=TODAY(),OR($O247="",$O247&gt;=DATE($B$1,1,1)),OR(COUNTIF($C247:C247,"&gt;0")&gt;0,DATE($B$1,1,1)=DATE(YEAR(TODAY()),MONTH(TODAY()),1))),1,0))</f>
        <v/>
      </c>
      <c r="Q247">
        <f>IF($A247="","",IF(AND($B247&gt;0,D247&lt;$B247,DATE($B$1,2,1)&lt;=TODAY(),OR($O247="",$O247&gt;=DATE($B$1,2,1)),OR(COUNTIF($C247:D247,"&gt;0")&gt;0,DATE($B$1,2,1)=DATE(YEAR(TODAY()),MONTH(TODAY()),1))),1,0))</f>
        <v/>
      </c>
      <c r="R247">
        <f>IF($A247="","",IF(AND($B247&gt;0,E247&lt;$B247,DATE($B$1,3,1)&lt;=TODAY(),OR($O247="",$O247&gt;=DATE($B$1,3,1)),OR(COUNTIF($C247:E247,"&gt;0")&gt;0,DATE($B$1,3,1)=DATE(YEAR(TODAY()),MONTH(TODAY()),1))),1,0))</f>
        <v/>
      </c>
      <c r="S247">
        <f>IF($A247="","",IF(AND($B247&gt;0,F247&lt;$B247,DATE($B$1,4,1)&lt;=TODAY(),OR($O247="",$O247&gt;=DATE($B$1,4,1)),OR(COUNTIF($C247:F247,"&gt;0")&gt;0,DATE($B$1,4,1)=DATE(YEAR(TODAY()),MONTH(TODAY()),1))),1,0))</f>
        <v/>
      </c>
      <c r="T247">
        <f>IF($A247="","",IF(AND($B247&gt;0,G247&lt;$B247,DATE($B$1,5,1)&lt;=TODAY(),OR($O247="",$O247&gt;=DATE($B$1,5,1)),OR(COUNTIF($C247:G247,"&gt;0")&gt;0,DATE($B$1,5,1)=DATE(YEAR(TODAY()),MONTH(TODAY()),1))),1,0))</f>
        <v/>
      </c>
      <c r="U247">
        <f>IF($A247="","",IF(AND($B247&gt;0,H247&lt;$B247,DATE($B$1,6,1)&lt;=TODAY(),OR($O247="",$O247&gt;=DATE($B$1,6,1)),OR(COUNTIF($C247:H247,"&gt;0")&gt;0,DATE($B$1,6,1)=DATE(YEAR(TODAY()),MONTH(TODAY()),1))),1,0))</f>
        <v/>
      </c>
      <c r="V247">
        <f>IF($A247="","",IF(AND($B247&gt;0,I247&lt;$B247,DATE($B$1,7,1)&lt;=TODAY(),OR($O247="",$O247&gt;=DATE($B$1,7,1)),OR(COUNTIF($C247:I247,"&gt;0")&gt;0,DATE($B$1,7,1)=DATE(YEAR(TODAY()),MONTH(TODAY()),1))),1,0))</f>
        <v/>
      </c>
      <c r="W247">
        <f>IF($A247="","",IF(AND($B247&gt;0,J247&lt;$B247,DATE($B$1,8,1)&lt;=TODAY(),OR($O247="",$O247&gt;=DATE($B$1,8,1)),OR(COUNTIF($C247:J247,"&gt;0")&gt;0,DATE($B$1,8,1)=DATE(YEAR(TODAY()),MONTH(TODAY()),1))),1,0))</f>
        <v/>
      </c>
      <c r="X247">
        <f>IF($A247="","",IF(AND($B247&gt;0,K247&lt;$B247,DATE($B$1,9,1)&lt;=TODAY(),OR($O247="",$O247&gt;=DATE($B$1,9,1)),OR(COUNTIF($C247:K247,"&gt;0")&gt;0,DATE($B$1,9,1)=DATE(YEAR(TODAY()),MONTH(TODAY()),1))),1,0))</f>
        <v/>
      </c>
      <c r="Y247">
        <f>IF($A247="","",IF(AND($B247&gt;0,L247&lt;$B247,DATE($B$1,10,1)&lt;=TODAY(),OR($O247="",$O247&gt;=DATE($B$1,10,1)),OR(COUNTIF($C247:L247,"&gt;0")&gt;0,DATE($B$1,10,1)=DATE(YEAR(TODAY()),MONTH(TODAY()),1))),1,0))</f>
        <v/>
      </c>
      <c r="Z247">
        <f>IF($A247="","",IF(AND($B247&gt;0,M247&lt;$B247,DATE($B$1,11,1)&lt;=TODAY(),OR($O247="",$O247&gt;=DATE($B$1,11,1)),OR(COUNTIF($C247:M247,"&gt;0")&gt;0,DATE($B$1,11,1)=DATE(YEAR(TODAY()),MONTH(TODAY()),1))),1,0))</f>
        <v/>
      </c>
      <c r="AA247">
        <f>IF($A247="","",IF(AND($B247&gt;0,N247&lt;$B247,DATE($B$1,12,1)&lt;=TODAY(),OR($O247="",$O247&gt;=DATE($B$1,12,1)),OR(COUNTIF($C247:N247,"&gt;0")&gt;0,DATE($B$1,12,1)=DATE(YEAR(TODAY()),MONTH(TODAY()),1))),1,0))</f>
        <v/>
      </c>
    </row>
    <row r="248">
      <c r="A248" s="13">
        <f>IF(원생!$A246="","",원생!$A246&amp;IF(원생!$G246="",""," ("&amp;원생!$G246&amp;")"))</f>
        <v/>
      </c>
      <c r="B248" s="8">
        <f>IF(원생!$A246="","",N(원생!$F246))</f>
        <v/>
      </c>
      <c r="C248" s="14">
        <f>IF(원생!$A246="","",SUMIFS(계산!$C:$C,계산!$A:$A,계산!$E246,계산!$B:$B,$B$1*100+1))</f>
        <v/>
      </c>
      <c r="D248" s="14">
        <f>IF(원생!$A246="","",SUMIFS(계산!$C:$C,계산!$A:$A,계산!$E246,계산!$B:$B,$B$1*100+2))</f>
        <v/>
      </c>
      <c r="E248" s="14">
        <f>IF(원생!$A246="","",SUMIFS(계산!$C:$C,계산!$A:$A,계산!$E246,계산!$B:$B,$B$1*100+3))</f>
        <v/>
      </c>
      <c r="F248" s="14">
        <f>IF(원생!$A246="","",SUMIFS(계산!$C:$C,계산!$A:$A,계산!$E246,계산!$B:$B,$B$1*100+4))</f>
        <v/>
      </c>
      <c r="G248" s="14">
        <f>IF(원생!$A246="","",SUMIFS(계산!$C:$C,계산!$A:$A,계산!$E246,계산!$B:$B,$B$1*100+5))</f>
        <v/>
      </c>
      <c r="H248" s="14">
        <f>IF(원생!$A246="","",SUMIFS(계산!$C:$C,계산!$A:$A,계산!$E246,계산!$B:$B,$B$1*100+6))</f>
        <v/>
      </c>
      <c r="I248" s="14">
        <f>IF(원생!$A246="","",SUMIFS(계산!$C:$C,계산!$A:$A,계산!$E246,계산!$B:$B,$B$1*100+7))</f>
        <v/>
      </c>
      <c r="J248" s="14">
        <f>IF(원생!$A246="","",SUMIFS(계산!$C:$C,계산!$A:$A,계산!$E246,계산!$B:$B,$B$1*100+8))</f>
        <v/>
      </c>
      <c r="K248" s="14">
        <f>IF(원생!$A246="","",SUMIFS(계산!$C:$C,계산!$A:$A,계산!$E246,계산!$B:$B,$B$1*100+9))</f>
        <v/>
      </c>
      <c r="L248" s="14">
        <f>IF(원생!$A246="","",SUMIFS(계산!$C:$C,계산!$A:$A,계산!$E246,계산!$B:$B,$B$1*100+10))</f>
        <v/>
      </c>
      <c r="M248" s="14">
        <f>IF(원생!$A246="","",SUMIFS(계산!$C:$C,계산!$A:$A,계산!$E246,계산!$B:$B,$B$1*100+11))</f>
        <v/>
      </c>
      <c r="N248" s="14">
        <f>IF(원생!$A246="","",SUMIFS(계산!$C:$C,계산!$A:$A,계산!$E246,계산!$B:$B,$B$1*100+12))</f>
        <v/>
      </c>
      <c r="O248">
        <f>IF(원생!$I246="","",원생!$I246)</f>
        <v/>
      </c>
      <c r="P248">
        <f>IF($A248="","",IF(AND($B248&gt;0,C248&lt;$B248,DATE($B$1,1,1)&lt;=TODAY(),OR($O248="",$O248&gt;=DATE($B$1,1,1)),OR(COUNTIF($C248:C248,"&gt;0")&gt;0,DATE($B$1,1,1)=DATE(YEAR(TODAY()),MONTH(TODAY()),1))),1,0))</f>
        <v/>
      </c>
      <c r="Q248">
        <f>IF($A248="","",IF(AND($B248&gt;0,D248&lt;$B248,DATE($B$1,2,1)&lt;=TODAY(),OR($O248="",$O248&gt;=DATE($B$1,2,1)),OR(COUNTIF($C248:D248,"&gt;0")&gt;0,DATE($B$1,2,1)=DATE(YEAR(TODAY()),MONTH(TODAY()),1))),1,0))</f>
        <v/>
      </c>
      <c r="R248">
        <f>IF($A248="","",IF(AND($B248&gt;0,E248&lt;$B248,DATE($B$1,3,1)&lt;=TODAY(),OR($O248="",$O248&gt;=DATE($B$1,3,1)),OR(COUNTIF($C248:E248,"&gt;0")&gt;0,DATE($B$1,3,1)=DATE(YEAR(TODAY()),MONTH(TODAY()),1))),1,0))</f>
        <v/>
      </c>
      <c r="S248">
        <f>IF($A248="","",IF(AND($B248&gt;0,F248&lt;$B248,DATE($B$1,4,1)&lt;=TODAY(),OR($O248="",$O248&gt;=DATE($B$1,4,1)),OR(COUNTIF($C248:F248,"&gt;0")&gt;0,DATE($B$1,4,1)=DATE(YEAR(TODAY()),MONTH(TODAY()),1))),1,0))</f>
        <v/>
      </c>
      <c r="T248">
        <f>IF($A248="","",IF(AND($B248&gt;0,G248&lt;$B248,DATE($B$1,5,1)&lt;=TODAY(),OR($O248="",$O248&gt;=DATE($B$1,5,1)),OR(COUNTIF($C248:G248,"&gt;0")&gt;0,DATE($B$1,5,1)=DATE(YEAR(TODAY()),MONTH(TODAY()),1))),1,0))</f>
        <v/>
      </c>
      <c r="U248">
        <f>IF($A248="","",IF(AND($B248&gt;0,H248&lt;$B248,DATE($B$1,6,1)&lt;=TODAY(),OR($O248="",$O248&gt;=DATE($B$1,6,1)),OR(COUNTIF($C248:H248,"&gt;0")&gt;0,DATE($B$1,6,1)=DATE(YEAR(TODAY()),MONTH(TODAY()),1))),1,0))</f>
        <v/>
      </c>
      <c r="V248">
        <f>IF($A248="","",IF(AND($B248&gt;0,I248&lt;$B248,DATE($B$1,7,1)&lt;=TODAY(),OR($O248="",$O248&gt;=DATE($B$1,7,1)),OR(COUNTIF($C248:I248,"&gt;0")&gt;0,DATE($B$1,7,1)=DATE(YEAR(TODAY()),MONTH(TODAY()),1))),1,0))</f>
        <v/>
      </c>
      <c r="W248">
        <f>IF($A248="","",IF(AND($B248&gt;0,J248&lt;$B248,DATE($B$1,8,1)&lt;=TODAY(),OR($O248="",$O248&gt;=DATE($B$1,8,1)),OR(COUNTIF($C248:J248,"&gt;0")&gt;0,DATE($B$1,8,1)=DATE(YEAR(TODAY()),MONTH(TODAY()),1))),1,0))</f>
        <v/>
      </c>
      <c r="X248">
        <f>IF($A248="","",IF(AND($B248&gt;0,K248&lt;$B248,DATE($B$1,9,1)&lt;=TODAY(),OR($O248="",$O248&gt;=DATE($B$1,9,1)),OR(COUNTIF($C248:K248,"&gt;0")&gt;0,DATE($B$1,9,1)=DATE(YEAR(TODAY()),MONTH(TODAY()),1))),1,0))</f>
        <v/>
      </c>
      <c r="Y248">
        <f>IF($A248="","",IF(AND($B248&gt;0,L248&lt;$B248,DATE($B$1,10,1)&lt;=TODAY(),OR($O248="",$O248&gt;=DATE($B$1,10,1)),OR(COUNTIF($C248:L248,"&gt;0")&gt;0,DATE($B$1,10,1)=DATE(YEAR(TODAY()),MONTH(TODAY()),1))),1,0))</f>
        <v/>
      </c>
      <c r="Z248">
        <f>IF($A248="","",IF(AND($B248&gt;0,M248&lt;$B248,DATE($B$1,11,1)&lt;=TODAY(),OR($O248="",$O248&gt;=DATE($B$1,11,1)),OR(COUNTIF($C248:M248,"&gt;0")&gt;0,DATE($B$1,11,1)=DATE(YEAR(TODAY()),MONTH(TODAY()),1))),1,0))</f>
        <v/>
      </c>
      <c r="AA248">
        <f>IF($A248="","",IF(AND($B248&gt;0,N248&lt;$B248,DATE($B$1,12,1)&lt;=TODAY(),OR($O248="",$O248&gt;=DATE($B$1,12,1)),OR(COUNTIF($C248:N248,"&gt;0")&gt;0,DATE($B$1,12,1)=DATE(YEAR(TODAY()),MONTH(TODAY()),1))),1,0))</f>
        <v/>
      </c>
    </row>
    <row r="249">
      <c r="A249" s="13">
        <f>IF(원생!$A247="","",원생!$A247&amp;IF(원생!$G247="",""," ("&amp;원생!$G247&amp;")"))</f>
        <v/>
      </c>
      <c r="B249" s="8">
        <f>IF(원생!$A247="","",N(원생!$F247))</f>
        <v/>
      </c>
      <c r="C249" s="14">
        <f>IF(원생!$A247="","",SUMIFS(계산!$C:$C,계산!$A:$A,계산!$E247,계산!$B:$B,$B$1*100+1))</f>
        <v/>
      </c>
      <c r="D249" s="14">
        <f>IF(원생!$A247="","",SUMIFS(계산!$C:$C,계산!$A:$A,계산!$E247,계산!$B:$B,$B$1*100+2))</f>
        <v/>
      </c>
      <c r="E249" s="14">
        <f>IF(원생!$A247="","",SUMIFS(계산!$C:$C,계산!$A:$A,계산!$E247,계산!$B:$B,$B$1*100+3))</f>
        <v/>
      </c>
      <c r="F249" s="14">
        <f>IF(원생!$A247="","",SUMIFS(계산!$C:$C,계산!$A:$A,계산!$E247,계산!$B:$B,$B$1*100+4))</f>
        <v/>
      </c>
      <c r="G249" s="14">
        <f>IF(원생!$A247="","",SUMIFS(계산!$C:$C,계산!$A:$A,계산!$E247,계산!$B:$B,$B$1*100+5))</f>
        <v/>
      </c>
      <c r="H249" s="14">
        <f>IF(원생!$A247="","",SUMIFS(계산!$C:$C,계산!$A:$A,계산!$E247,계산!$B:$B,$B$1*100+6))</f>
        <v/>
      </c>
      <c r="I249" s="14">
        <f>IF(원생!$A247="","",SUMIFS(계산!$C:$C,계산!$A:$A,계산!$E247,계산!$B:$B,$B$1*100+7))</f>
        <v/>
      </c>
      <c r="J249" s="14">
        <f>IF(원생!$A247="","",SUMIFS(계산!$C:$C,계산!$A:$A,계산!$E247,계산!$B:$B,$B$1*100+8))</f>
        <v/>
      </c>
      <c r="K249" s="14">
        <f>IF(원생!$A247="","",SUMIFS(계산!$C:$C,계산!$A:$A,계산!$E247,계산!$B:$B,$B$1*100+9))</f>
        <v/>
      </c>
      <c r="L249" s="14">
        <f>IF(원생!$A247="","",SUMIFS(계산!$C:$C,계산!$A:$A,계산!$E247,계산!$B:$B,$B$1*100+10))</f>
        <v/>
      </c>
      <c r="M249" s="14">
        <f>IF(원생!$A247="","",SUMIFS(계산!$C:$C,계산!$A:$A,계산!$E247,계산!$B:$B,$B$1*100+11))</f>
        <v/>
      </c>
      <c r="N249" s="14">
        <f>IF(원생!$A247="","",SUMIFS(계산!$C:$C,계산!$A:$A,계산!$E247,계산!$B:$B,$B$1*100+12))</f>
        <v/>
      </c>
      <c r="O249">
        <f>IF(원생!$I247="","",원생!$I247)</f>
        <v/>
      </c>
      <c r="P249">
        <f>IF($A249="","",IF(AND($B249&gt;0,C249&lt;$B249,DATE($B$1,1,1)&lt;=TODAY(),OR($O249="",$O249&gt;=DATE($B$1,1,1)),OR(COUNTIF($C249:C249,"&gt;0")&gt;0,DATE($B$1,1,1)=DATE(YEAR(TODAY()),MONTH(TODAY()),1))),1,0))</f>
        <v/>
      </c>
      <c r="Q249">
        <f>IF($A249="","",IF(AND($B249&gt;0,D249&lt;$B249,DATE($B$1,2,1)&lt;=TODAY(),OR($O249="",$O249&gt;=DATE($B$1,2,1)),OR(COUNTIF($C249:D249,"&gt;0")&gt;0,DATE($B$1,2,1)=DATE(YEAR(TODAY()),MONTH(TODAY()),1))),1,0))</f>
        <v/>
      </c>
      <c r="R249">
        <f>IF($A249="","",IF(AND($B249&gt;0,E249&lt;$B249,DATE($B$1,3,1)&lt;=TODAY(),OR($O249="",$O249&gt;=DATE($B$1,3,1)),OR(COUNTIF($C249:E249,"&gt;0")&gt;0,DATE($B$1,3,1)=DATE(YEAR(TODAY()),MONTH(TODAY()),1))),1,0))</f>
        <v/>
      </c>
      <c r="S249">
        <f>IF($A249="","",IF(AND($B249&gt;0,F249&lt;$B249,DATE($B$1,4,1)&lt;=TODAY(),OR($O249="",$O249&gt;=DATE($B$1,4,1)),OR(COUNTIF($C249:F249,"&gt;0")&gt;0,DATE($B$1,4,1)=DATE(YEAR(TODAY()),MONTH(TODAY()),1))),1,0))</f>
        <v/>
      </c>
      <c r="T249">
        <f>IF($A249="","",IF(AND($B249&gt;0,G249&lt;$B249,DATE($B$1,5,1)&lt;=TODAY(),OR($O249="",$O249&gt;=DATE($B$1,5,1)),OR(COUNTIF($C249:G249,"&gt;0")&gt;0,DATE($B$1,5,1)=DATE(YEAR(TODAY()),MONTH(TODAY()),1))),1,0))</f>
        <v/>
      </c>
      <c r="U249">
        <f>IF($A249="","",IF(AND($B249&gt;0,H249&lt;$B249,DATE($B$1,6,1)&lt;=TODAY(),OR($O249="",$O249&gt;=DATE($B$1,6,1)),OR(COUNTIF($C249:H249,"&gt;0")&gt;0,DATE($B$1,6,1)=DATE(YEAR(TODAY()),MONTH(TODAY()),1))),1,0))</f>
        <v/>
      </c>
      <c r="V249">
        <f>IF($A249="","",IF(AND($B249&gt;0,I249&lt;$B249,DATE($B$1,7,1)&lt;=TODAY(),OR($O249="",$O249&gt;=DATE($B$1,7,1)),OR(COUNTIF($C249:I249,"&gt;0")&gt;0,DATE($B$1,7,1)=DATE(YEAR(TODAY()),MONTH(TODAY()),1))),1,0))</f>
        <v/>
      </c>
      <c r="W249">
        <f>IF($A249="","",IF(AND($B249&gt;0,J249&lt;$B249,DATE($B$1,8,1)&lt;=TODAY(),OR($O249="",$O249&gt;=DATE($B$1,8,1)),OR(COUNTIF($C249:J249,"&gt;0")&gt;0,DATE($B$1,8,1)=DATE(YEAR(TODAY()),MONTH(TODAY()),1))),1,0))</f>
        <v/>
      </c>
      <c r="X249">
        <f>IF($A249="","",IF(AND($B249&gt;0,K249&lt;$B249,DATE($B$1,9,1)&lt;=TODAY(),OR($O249="",$O249&gt;=DATE($B$1,9,1)),OR(COUNTIF($C249:K249,"&gt;0")&gt;0,DATE($B$1,9,1)=DATE(YEAR(TODAY()),MONTH(TODAY()),1))),1,0))</f>
        <v/>
      </c>
      <c r="Y249">
        <f>IF($A249="","",IF(AND($B249&gt;0,L249&lt;$B249,DATE($B$1,10,1)&lt;=TODAY(),OR($O249="",$O249&gt;=DATE($B$1,10,1)),OR(COUNTIF($C249:L249,"&gt;0")&gt;0,DATE($B$1,10,1)=DATE(YEAR(TODAY()),MONTH(TODAY()),1))),1,0))</f>
        <v/>
      </c>
      <c r="Z249">
        <f>IF($A249="","",IF(AND($B249&gt;0,M249&lt;$B249,DATE($B$1,11,1)&lt;=TODAY(),OR($O249="",$O249&gt;=DATE($B$1,11,1)),OR(COUNTIF($C249:M249,"&gt;0")&gt;0,DATE($B$1,11,1)=DATE(YEAR(TODAY()),MONTH(TODAY()),1))),1,0))</f>
        <v/>
      </c>
      <c r="AA249">
        <f>IF($A249="","",IF(AND($B249&gt;0,N249&lt;$B249,DATE($B$1,12,1)&lt;=TODAY(),OR($O249="",$O249&gt;=DATE($B$1,12,1)),OR(COUNTIF($C249:N249,"&gt;0")&gt;0,DATE($B$1,12,1)=DATE(YEAR(TODAY()),MONTH(TODAY()),1))),1,0))</f>
        <v/>
      </c>
    </row>
    <row r="250">
      <c r="A250" s="13">
        <f>IF(원생!$A248="","",원생!$A248&amp;IF(원생!$G248="",""," ("&amp;원생!$G248&amp;")"))</f>
        <v/>
      </c>
      <c r="B250" s="8">
        <f>IF(원생!$A248="","",N(원생!$F248))</f>
        <v/>
      </c>
      <c r="C250" s="14">
        <f>IF(원생!$A248="","",SUMIFS(계산!$C:$C,계산!$A:$A,계산!$E248,계산!$B:$B,$B$1*100+1))</f>
        <v/>
      </c>
      <c r="D250" s="14">
        <f>IF(원생!$A248="","",SUMIFS(계산!$C:$C,계산!$A:$A,계산!$E248,계산!$B:$B,$B$1*100+2))</f>
        <v/>
      </c>
      <c r="E250" s="14">
        <f>IF(원생!$A248="","",SUMIFS(계산!$C:$C,계산!$A:$A,계산!$E248,계산!$B:$B,$B$1*100+3))</f>
        <v/>
      </c>
      <c r="F250" s="14">
        <f>IF(원생!$A248="","",SUMIFS(계산!$C:$C,계산!$A:$A,계산!$E248,계산!$B:$B,$B$1*100+4))</f>
        <v/>
      </c>
      <c r="G250" s="14">
        <f>IF(원생!$A248="","",SUMIFS(계산!$C:$C,계산!$A:$A,계산!$E248,계산!$B:$B,$B$1*100+5))</f>
        <v/>
      </c>
      <c r="H250" s="14">
        <f>IF(원생!$A248="","",SUMIFS(계산!$C:$C,계산!$A:$A,계산!$E248,계산!$B:$B,$B$1*100+6))</f>
        <v/>
      </c>
      <c r="I250" s="14">
        <f>IF(원생!$A248="","",SUMIFS(계산!$C:$C,계산!$A:$A,계산!$E248,계산!$B:$B,$B$1*100+7))</f>
        <v/>
      </c>
      <c r="J250" s="14">
        <f>IF(원생!$A248="","",SUMIFS(계산!$C:$C,계산!$A:$A,계산!$E248,계산!$B:$B,$B$1*100+8))</f>
        <v/>
      </c>
      <c r="K250" s="14">
        <f>IF(원생!$A248="","",SUMIFS(계산!$C:$C,계산!$A:$A,계산!$E248,계산!$B:$B,$B$1*100+9))</f>
        <v/>
      </c>
      <c r="L250" s="14">
        <f>IF(원생!$A248="","",SUMIFS(계산!$C:$C,계산!$A:$A,계산!$E248,계산!$B:$B,$B$1*100+10))</f>
        <v/>
      </c>
      <c r="M250" s="14">
        <f>IF(원생!$A248="","",SUMIFS(계산!$C:$C,계산!$A:$A,계산!$E248,계산!$B:$B,$B$1*100+11))</f>
        <v/>
      </c>
      <c r="N250" s="14">
        <f>IF(원생!$A248="","",SUMIFS(계산!$C:$C,계산!$A:$A,계산!$E248,계산!$B:$B,$B$1*100+12))</f>
        <v/>
      </c>
      <c r="O250">
        <f>IF(원생!$I248="","",원생!$I248)</f>
        <v/>
      </c>
      <c r="P250">
        <f>IF($A250="","",IF(AND($B250&gt;0,C250&lt;$B250,DATE($B$1,1,1)&lt;=TODAY(),OR($O250="",$O250&gt;=DATE($B$1,1,1)),OR(COUNTIF($C250:C250,"&gt;0")&gt;0,DATE($B$1,1,1)=DATE(YEAR(TODAY()),MONTH(TODAY()),1))),1,0))</f>
        <v/>
      </c>
      <c r="Q250">
        <f>IF($A250="","",IF(AND($B250&gt;0,D250&lt;$B250,DATE($B$1,2,1)&lt;=TODAY(),OR($O250="",$O250&gt;=DATE($B$1,2,1)),OR(COUNTIF($C250:D250,"&gt;0")&gt;0,DATE($B$1,2,1)=DATE(YEAR(TODAY()),MONTH(TODAY()),1))),1,0))</f>
        <v/>
      </c>
      <c r="R250">
        <f>IF($A250="","",IF(AND($B250&gt;0,E250&lt;$B250,DATE($B$1,3,1)&lt;=TODAY(),OR($O250="",$O250&gt;=DATE($B$1,3,1)),OR(COUNTIF($C250:E250,"&gt;0")&gt;0,DATE($B$1,3,1)=DATE(YEAR(TODAY()),MONTH(TODAY()),1))),1,0))</f>
        <v/>
      </c>
      <c r="S250">
        <f>IF($A250="","",IF(AND($B250&gt;0,F250&lt;$B250,DATE($B$1,4,1)&lt;=TODAY(),OR($O250="",$O250&gt;=DATE($B$1,4,1)),OR(COUNTIF($C250:F250,"&gt;0")&gt;0,DATE($B$1,4,1)=DATE(YEAR(TODAY()),MONTH(TODAY()),1))),1,0))</f>
        <v/>
      </c>
      <c r="T250">
        <f>IF($A250="","",IF(AND($B250&gt;0,G250&lt;$B250,DATE($B$1,5,1)&lt;=TODAY(),OR($O250="",$O250&gt;=DATE($B$1,5,1)),OR(COUNTIF($C250:G250,"&gt;0")&gt;0,DATE($B$1,5,1)=DATE(YEAR(TODAY()),MONTH(TODAY()),1))),1,0))</f>
        <v/>
      </c>
      <c r="U250">
        <f>IF($A250="","",IF(AND($B250&gt;0,H250&lt;$B250,DATE($B$1,6,1)&lt;=TODAY(),OR($O250="",$O250&gt;=DATE($B$1,6,1)),OR(COUNTIF($C250:H250,"&gt;0")&gt;0,DATE($B$1,6,1)=DATE(YEAR(TODAY()),MONTH(TODAY()),1))),1,0))</f>
        <v/>
      </c>
      <c r="V250">
        <f>IF($A250="","",IF(AND($B250&gt;0,I250&lt;$B250,DATE($B$1,7,1)&lt;=TODAY(),OR($O250="",$O250&gt;=DATE($B$1,7,1)),OR(COUNTIF($C250:I250,"&gt;0")&gt;0,DATE($B$1,7,1)=DATE(YEAR(TODAY()),MONTH(TODAY()),1))),1,0))</f>
        <v/>
      </c>
      <c r="W250">
        <f>IF($A250="","",IF(AND($B250&gt;0,J250&lt;$B250,DATE($B$1,8,1)&lt;=TODAY(),OR($O250="",$O250&gt;=DATE($B$1,8,1)),OR(COUNTIF($C250:J250,"&gt;0")&gt;0,DATE($B$1,8,1)=DATE(YEAR(TODAY()),MONTH(TODAY()),1))),1,0))</f>
        <v/>
      </c>
      <c r="X250">
        <f>IF($A250="","",IF(AND($B250&gt;0,K250&lt;$B250,DATE($B$1,9,1)&lt;=TODAY(),OR($O250="",$O250&gt;=DATE($B$1,9,1)),OR(COUNTIF($C250:K250,"&gt;0")&gt;0,DATE($B$1,9,1)=DATE(YEAR(TODAY()),MONTH(TODAY()),1))),1,0))</f>
        <v/>
      </c>
      <c r="Y250">
        <f>IF($A250="","",IF(AND($B250&gt;0,L250&lt;$B250,DATE($B$1,10,1)&lt;=TODAY(),OR($O250="",$O250&gt;=DATE($B$1,10,1)),OR(COUNTIF($C250:L250,"&gt;0")&gt;0,DATE($B$1,10,1)=DATE(YEAR(TODAY()),MONTH(TODAY()),1))),1,0))</f>
        <v/>
      </c>
      <c r="Z250">
        <f>IF($A250="","",IF(AND($B250&gt;0,M250&lt;$B250,DATE($B$1,11,1)&lt;=TODAY(),OR($O250="",$O250&gt;=DATE($B$1,11,1)),OR(COUNTIF($C250:M250,"&gt;0")&gt;0,DATE($B$1,11,1)=DATE(YEAR(TODAY()),MONTH(TODAY()),1))),1,0))</f>
        <v/>
      </c>
      <c r="AA250">
        <f>IF($A250="","",IF(AND($B250&gt;0,N250&lt;$B250,DATE($B$1,12,1)&lt;=TODAY(),OR($O250="",$O250&gt;=DATE($B$1,12,1)),OR(COUNTIF($C250:N250,"&gt;0")&gt;0,DATE($B$1,12,1)=DATE(YEAR(TODAY()),MONTH(TODAY()),1))),1,0))</f>
        <v/>
      </c>
    </row>
    <row r="251">
      <c r="A251" s="13">
        <f>IF(원생!$A249="","",원생!$A249&amp;IF(원생!$G249="",""," ("&amp;원생!$G249&amp;")"))</f>
        <v/>
      </c>
      <c r="B251" s="8">
        <f>IF(원생!$A249="","",N(원생!$F249))</f>
        <v/>
      </c>
      <c r="C251" s="14">
        <f>IF(원생!$A249="","",SUMIFS(계산!$C:$C,계산!$A:$A,계산!$E249,계산!$B:$B,$B$1*100+1))</f>
        <v/>
      </c>
      <c r="D251" s="14">
        <f>IF(원생!$A249="","",SUMIFS(계산!$C:$C,계산!$A:$A,계산!$E249,계산!$B:$B,$B$1*100+2))</f>
        <v/>
      </c>
      <c r="E251" s="14">
        <f>IF(원생!$A249="","",SUMIFS(계산!$C:$C,계산!$A:$A,계산!$E249,계산!$B:$B,$B$1*100+3))</f>
        <v/>
      </c>
      <c r="F251" s="14">
        <f>IF(원생!$A249="","",SUMIFS(계산!$C:$C,계산!$A:$A,계산!$E249,계산!$B:$B,$B$1*100+4))</f>
        <v/>
      </c>
      <c r="G251" s="14">
        <f>IF(원생!$A249="","",SUMIFS(계산!$C:$C,계산!$A:$A,계산!$E249,계산!$B:$B,$B$1*100+5))</f>
        <v/>
      </c>
      <c r="H251" s="14">
        <f>IF(원생!$A249="","",SUMIFS(계산!$C:$C,계산!$A:$A,계산!$E249,계산!$B:$B,$B$1*100+6))</f>
        <v/>
      </c>
      <c r="I251" s="14">
        <f>IF(원생!$A249="","",SUMIFS(계산!$C:$C,계산!$A:$A,계산!$E249,계산!$B:$B,$B$1*100+7))</f>
        <v/>
      </c>
      <c r="J251" s="14">
        <f>IF(원생!$A249="","",SUMIFS(계산!$C:$C,계산!$A:$A,계산!$E249,계산!$B:$B,$B$1*100+8))</f>
        <v/>
      </c>
      <c r="K251" s="14">
        <f>IF(원생!$A249="","",SUMIFS(계산!$C:$C,계산!$A:$A,계산!$E249,계산!$B:$B,$B$1*100+9))</f>
        <v/>
      </c>
      <c r="L251" s="14">
        <f>IF(원생!$A249="","",SUMIFS(계산!$C:$C,계산!$A:$A,계산!$E249,계산!$B:$B,$B$1*100+10))</f>
        <v/>
      </c>
      <c r="M251" s="14">
        <f>IF(원생!$A249="","",SUMIFS(계산!$C:$C,계산!$A:$A,계산!$E249,계산!$B:$B,$B$1*100+11))</f>
        <v/>
      </c>
      <c r="N251" s="14">
        <f>IF(원생!$A249="","",SUMIFS(계산!$C:$C,계산!$A:$A,계산!$E249,계산!$B:$B,$B$1*100+12))</f>
        <v/>
      </c>
      <c r="O251">
        <f>IF(원생!$I249="","",원생!$I249)</f>
        <v/>
      </c>
      <c r="P251">
        <f>IF($A251="","",IF(AND($B251&gt;0,C251&lt;$B251,DATE($B$1,1,1)&lt;=TODAY(),OR($O251="",$O251&gt;=DATE($B$1,1,1)),OR(COUNTIF($C251:C251,"&gt;0")&gt;0,DATE($B$1,1,1)=DATE(YEAR(TODAY()),MONTH(TODAY()),1))),1,0))</f>
        <v/>
      </c>
      <c r="Q251">
        <f>IF($A251="","",IF(AND($B251&gt;0,D251&lt;$B251,DATE($B$1,2,1)&lt;=TODAY(),OR($O251="",$O251&gt;=DATE($B$1,2,1)),OR(COUNTIF($C251:D251,"&gt;0")&gt;0,DATE($B$1,2,1)=DATE(YEAR(TODAY()),MONTH(TODAY()),1))),1,0))</f>
        <v/>
      </c>
      <c r="R251">
        <f>IF($A251="","",IF(AND($B251&gt;0,E251&lt;$B251,DATE($B$1,3,1)&lt;=TODAY(),OR($O251="",$O251&gt;=DATE($B$1,3,1)),OR(COUNTIF($C251:E251,"&gt;0")&gt;0,DATE($B$1,3,1)=DATE(YEAR(TODAY()),MONTH(TODAY()),1))),1,0))</f>
        <v/>
      </c>
      <c r="S251">
        <f>IF($A251="","",IF(AND($B251&gt;0,F251&lt;$B251,DATE($B$1,4,1)&lt;=TODAY(),OR($O251="",$O251&gt;=DATE($B$1,4,1)),OR(COUNTIF($C251:F251,"&gt;0")&gt;0,DATE($B$1,4,1)=DATE(YEAR(TODAY()),MONTH(TODAY()),1))),1,0))</f>
        <v/>
      </c>
      <c r="T251">
        <f>IF($A251="","",IF(AND($B251&gt;0,G251&lt;$B251,DATE($B$1,5,1)&lt;=TODAY(),OR($O251="",$O251&gt;=DATE($B$1,5,1)),OR(COUNTIF($C251:G251,"&gt;0")&gt;0,DATE($B$1,5,1)=DATE(YEAR(TODAY()),MONTH(TODAY()),1))),1,0))</f>
        <v/>
      </c>
      <c r="U251">
        <f>IF($A251="","",IF(AND($B251&gt;0,H251&lt;$B251,DATE($B$1,6,1)&lt;=TODAY(),OR($O251="",$O251&gt;=DATE($B$1,6,1)),OR(COUNTIF($C251:H251,"&gt;0")&gt;0,DATE($B$1,6,1)=DATE(YEAR(TODAY()),MONTH(TODAY()),1))),1,0))</f>
        <v/>
      </c>
      <c r="V251">
        <f>IF($A251="","",IF(AND($B251&gt;0,I251&lt;$B251,DATE($B$1,7,1)&lt;=TODAY(),OR($O251="",$O251&gt;=DATE($B$1,7,1)),OR(COUNTIF($C251:I251,"&gt;0")&gt;0,DATE($B$1,7,1)=DATE(YEAR(TODAY()),MONTH(TODAY()),1))),1,0))</f>
        <v/>
      </c>
      <c r="W251">
        <f>IF($A251="","",IF(AND($B251&gt;0,J251&lt;$B251,DATE($B$1,8,1)&lt;=TODAY(),OR($O251="",$O251&gt;=DATE($B$1,8,1)),OR(COUNTIF($C251:J251,"&gt;0")&gt;0,DATE($B$1,8,1)=DATE(YEAR(TODAY()),MONTH(TODAY()),1))),1,0))</f>
        <v/>
      </c>
      <c r="X251">
        <f>IF($A251="","",IF(AND($B251&gt;0,K251&lt;$B251,DATE($B$1,9,1)&lt;=TODAY(),OR($O251="",$O251&gt;=DATE($B$1,9,1)),OR(COUNTIF($C251:K251,"&gt;0")&gt;0,DATE($B$1,9,1)=DATE(YEAR(TODAY()),MONTH(TODAY()),1))),1,0))</f>
        <v/>
      </c>
      <c r="Y251">
        <f>IF($A251="","",IF(AND($B251&gt;0,L251&lt;$B251,DATE($B$1,10,1)&lt;=TODAY(),OR($O251="",$O251&gt;=DATE($B$1,10,1)),OR(COUNTIF($C251:L251,"&gt;0")&gt;0,DATE($B$1,10,1)=DATE(YEAR(TODAY()),MONTH(TODAY()),1))),1,0))</f>
        <v/>
      </c>
      <c r="Z251">
        <f>IF($A251="","",IF(AND($B251&gt;0,M251&lt;$B251,DATE($B$1,11,1)&lt;=TODAY(),OR($O251="",$O251&gt;=DATE($B$1,11,1)),OR(COUNTIF($C251:M251,"&gt;0")&gt;0,DATE($B$1,11,1)=DATE(YEAR(TODAY()),MONTH(TODAY()),1))),1,0))</f>
        <v/>
      </c>
      <c r="AA251">
        <f>IF($A251="","",IF(AND($B251&gt;0,N251&lt;$B251,DATE($B$1,12,1)&lt;=TODAY(),OR($O251="",$O251&gt;=DATE($B$1,12,1)),OR(COUNTIF($C251:N251,"&gt;0")&gt;0,DATE($B$1,12,1)=DATE(YEAR(TODAY()),MONTH(TODAY()),1))),1,0))</f>
        <v/>
      </c>
    </row>
    <row r="252">
      <c r="A252" s="13">
        <f>IF(원생!$A250="","",원생!$A250&amp;IF(원생!$G250="",""," ("&amp;원생!$G250&amp;")"))</f>
        <v/>
      </c>
      <c r="B252" s="8">
        <f>IF(원생!$A250="","",N(원생!$F250))</f>
        <v/>
      </c>
      <c r="C252" s="14">
        <f>IF(원생!$A250="","",SUMIFS(계산!$C:$C,계산!$A:$A,계산!$E250,계산!$B:$B,$B$1*100+1))</f>
        <v/>
      </c>
      <c r="D252" s="14">
        <f>IF(원생!$A250="","",SUMIFS(계산!$C:$C,계산!$A:$A,계산!$E250,계산!$B:$B,$B$1*100+2))</f>
        <v/>
      </c>
      <c r="E252" s="14">
        <f>IF(원생!$A250="","",SUMIFS(계산!$C:$C,계산!$A:$A,계산!$E250,계산!$B:$B,$B$1*100+3))</f>
        <v/>
      </c>
      <c r="F252" s="14">
        <f>IF(원생!$A250="","",SUMIFS(계산!$C:$C,계산!$A:$A,계산!$E250,계산!$B:$B,$B$1*100+4))</f>
        <v/>
      </c>
      <c r="G252" s="14">
        <f>IF(원생!$A250="","",SUMIFS(계산!$C:$C,계산!$A:$A,계산!$E250,계산!$B:$B,$B$1*100+5))</f>
        <v/>
      </c>
      <c r="H252" s="14">
        <f>IF(원생!$A250="","",SUMIFS(계산!$C:$C,계산!$A:$A,계산!$E250,계산!$B:$B,$B$1*100+6))</f>
        <v/>
      </c>
      <c r="I252" s="14">
        <f>IF(원생!$A250="","",SUMIFS(계산!$C:$C,계산!$A:$A,계산!$E250,계산!$B:$B,$B$1*100+7))</f>
        <v/>
      </c>
      <c r="J252" s="14">
        <f>IF(원생!$A250="","",SUMIFS(계산!$C:$C,계산!$A:$A,계산!$E250,계산!$B:$B,$B$1*100+8))</f>
        <v/>
      </c>
      <c r="K252" s="14">
        <f>IF(원생!$A250="","",SUMIFS(계산!$C:$C,계산!$A:$A,계산!$E250,계산!$B:$B,$B$1*100+9))</f>
        <v/>
      </c>
      <c r="L252" s="14">
        <f>IF(원생!$A250="","",SUMIFS(계산!$C:$C,계산!$A:$A,계산!$E250,계산!$B:$B,$B$1*100+10))</f>
        <v/>
      </c>
      <c r="M252" s="14">
        <f>IF(원생!$A250="","",SUMIFS(계산!$C:$C,계산!$A:$A,계산!$E250,계산!$B:$B,$B$1*100+11))</f>
        <v/>
      </c>
      <c r="N252" s="14">
        <f>IF(원생!$A250="","",SUMIFS(계산!$C:$C,계산!$A:$A,계산!$E250,계산!$B:$B,$B$1*100+12))</f>
        <v/>
      </c>
      <c r="O252">
        <f>IF(원생!$I250="","",원생!$I250)</f>
        <v/>
      </c>
      <c r="P252">
        <f>IF($A252="","",IF(AND($B252&gt;0,C252&lt;$B252,DATE($B$1,1,1)&lt;=TODAY(),OR($O252="",$O252&gt;=DATE($B$1,1,1)),OR(COUNTIF($C252:C252,"&gt;0")&gt;0,DATE($B$1,1,1)=DATE(YEAR(TODAY()),MONTH(TODAY()),1))),1,0))</f>
        <v/>
      </c>
      <c r="Q252">
        <f>IF($A252="","",IF(AND($B252&gt;0,D252&lt;$B252,DATE($B$1,2,1)&lt;=TODAY(),OR($O252="",$O252&gt;=DATE($B$1,2,1)),OR(COUNTIF($C252:D252,"&gt;0")&gt;0,DATE($B$1,2,1)=DATE(YEAR(TODAY()),MONTH(TODAY()),1))),1,0))</f>
        <v/>
      </c>
      <c r="R252">
        <f>IF($A252="","",IF(AND($B252&gt;0,E252&lt;$B252,DATE($B$1,3,1)&lt;=TODAY(),OR($O252="",$O252&gt;=DATE($B$1,3,1)),OR(COUNTIF($C252:E252,"&gt;0")&gt;0,DATE($B$1,3,1)=DATE(YEAR(TODAY()),MONTH(TODAY()),1))),1,0))</f>
        <v/>
      </c>
      <c r="S252">
        <f>IF($A252="","",IF(AND($B252&gt;0,F252&lt;$B252,DATE($B$1,4,1)&lt;=TODAY(),OR($O252="",$O252&gt;=DATE($B$1,4,1)),OR(COUNTIF($C252:F252,"&gt;0")&gt;0,DATE($B$1,4,1)=DATE(YEAR(TODAY()),MONTH(TODAY()),1))),1,0))</f>
        <v/>
      </c>
      <c r="T252">
        <f>IF($A252="","",IF(AND($B252&gt;0,G252&lt;$B252,DATE($B$1,5,1)&lt;=TODAY(),OR($O252="",$O252&gt;=DATE($B$1,5,1)),OR(COUNTIF($C252:G252,"&gt;0")&gt;0,DATE($B$1,5,1)=DATE(YEAR(TODAY()),MONTH(TODAY()),1))),1,0))</f>
        <v/>
      </c>
      <c r="U252">
        <f>IF($A252="","",IF(AND($B252&gt;0,H252&lt;$B252,DATE($B$1,6,1)&lt;=TODAY(),OR($O252="",$O252&gt;=DATE($B$1,6,1)),OR(COUNTIF($C252:H252,"&gt;0")&gt;0,DATE($B$1,6,1)=DATE(YEAR(TODAY()),MONTH(TODAY()),1))),1,0))</f>
        <v/>
      </c>
      <c r="V252">
        <f>IF($A252="","",IF(AND($B252&gt;0,I252&lt;$B252,DATE($B$1,7,1)&lt;=TODAY(),OR($O252="",$O252&gt;=DATE($B$1,7,1)),OR(COUNTIF($C252:I252,"&gt;0")&gt;0,DATE($B$1,7,1)=DATE(YEAR(TODAY()),MONTH(TODAY()),1))),1,0))</f>
        <v/>
      </c>
      <c r="W252">
        <f>IF($A252="","",IF(AND($B252&gt;0,J252&lt;$B252,DATE($B$1,8,1)&lt;=TODAY(),OR($O252="",$O252&gt;=DATE($B$1,8,1)),OR(COUNTIF($C252:J252,"&gt;0")&gt;0,DATE($B$1,8,1)=DATE(YEAR(TODAY()),MONTH(TODAY()),1))),1,0))</f>
        <v/>
      </c>
      <c r="X252">
        <f>IF($A252="","",IF(AND($B252&gt;0,K252&lt;$B252,DATE($B$1,9,1)&lt;=TODAY(),OR($O252="",$O252&gt;=DATE($B$1,9,1)),OR(COUNTIF($C252:K252,"&gt;0")&gt;0,DATE($B$1,9,1)=DATE(YEAR(TODAY()),MONTH(TODAY()),1))),1,0))</f>
        <v/>
      </c>
      <c r="Y252">
        <f>IF($A252="","",IF(AND($B252&gt;0,L252&lt;$B252,DATE($B$1,10,1)&lt;=TODAY(),OR($O252="",$O252&gt;=DATE($B$1,10,1)),OR(COUNTIF($C252:L252,"&gt;0")&gt;0,DATE($B$1,10,1)=DATE(YEAR(TODAY()),MONTH(TODAY()),1))),1,0))</f>
        <v/>
      </c>
      <c r="Z252">
        <f>IF($A252="","",IF(AND($B252&gt;0,M252&lt;$B252,DATE($B$1,11,1)&lt;=TODAY(),OR($O252="",$O252&gt;=DATE($B$1,11,1)),OR(COUNTIF($C252:M252,"&gt;0")&gt;0,DATE($B$1,11,1)=DATE(YEAR(TODAY()),MONTH(TODAY()),1))),1,0))</f>
        <v/>
      </c>
      <c r="AA252">
        <f>IF($A252="","",IF(AND($B252&gt;0,N252&lt;$B252,DATE($B$1,12,1)&lt;=TODAY(),OR($O252="",$O252&gt;=DATE($B$1,12,1)),OR(COUNTIF($C252:N252,"&gt;0")&gt;0,DATE($B$1,12,1)=DATE(YEAR(TODAY()),MONTH(TODAY()),1))),1,0))</f>
        <v/>
      </c>
    </row>
    <row r="253">
      <c r="A253" s="13">
        <f>IF(원생!$A251="","",원생!$A251&amp;IF(원생!$G251="",""," ("&amp;원생!$G251&amp;")"))</f>
        <v/>
      </c>
      <c r="B253" s="8">
        <f>IF(원생!$A251="","",N(원생!$F251))</f>
        <v/>
      </c>
      <c r="C253" s="14">
        <f>IF(원생!$A251="","",SUMIFS(계산!$C:$C,계산!$A:$A,계산!$E251,계산!$B:$B,$B$1*100+1))</f>
        <v/>
      </c>
      <c r="D253" s="14">
        <f>IF(원생!$A251="","",SUMIFS(계산!$C:$C,계산!$A:$A,계산!$E251,계산!$B:$B,$B$1*100+2))</f>
        <v/>
      </c>
      <c r="E253" s="14">
        <f>IF(원생!$A251="","",SUMIFS(계산!$C:$C,계산!$A:$A,계산!$E251,계산!$B:$B,$B$1*100+3))</f>
        <v/>
      </c>
      <c r="F253" s="14">
        <f>IF(원생!$A251="","",SUMIFS(계산!$C:$C,계산!$A:$A,계산!$E251,계산!$B:$B,$B$1*100+4))</f>
        <v/>
      </c>
      <c r="G253" s="14">
        <f>IF(원생!$A251="","",SUMIFS(계산!$C:$C,계산!$A:$A,계산!$E251,계산!$B:$B,$B$1*100+5))</f>
        <v/>
      </c>
      <c r="H253" s="14">
        <f>IF(원생!$A251="","",SUMIFS(계산!$C:$C,계산!$A:$A,계산!$E251,계산!$B:$B,$B$1*100+6))</f>
        <v/>
      </c>
      <c r="I253" s="14">
        <f>IF(원생!$A251="","",SUMIFS(계산!$C:$C,계산!$A:$A,계산!$E251,계산!$B:$B,$B$1*100+7))</f>
        <v/>
      </c>
      <c r="J253" s="14">
        <f>IF(원생!$A251="","",SUMIFS(계산!$C:$C,계산!$A:$A,계산!$E251,계산!$B:$B,$B$1*100+8))</f>
        <v/>
      </c>
      <c r="K253" s="14">
        <f>IF(원생!$A251="","",SUMIFS(계산!$C:$C,계산!$A:$A,계산!$E251,계산!$B:$B,$B$1*100+9))</f>
        <v/>
      </c>
      <c r="L253" s="14">
        <f>IF(원생!$A251="","",SUMIFS(계산!$C:$C,계산!$A:$A,계산!$E251,계산!$B:$B,$B$1*100+10))</f>
        <v/>
      </c>
      <c r="M253" s="14">
        <f>IF(원생!$A251="","",SUMIFS(계산!$C:$C,계산!$A:$A,계산!$E251,계산!$B:$B,$B$1*100+11))</f>
        <v/>
      </c>
      <c r="N253" s="14">
        <f>IF(원생!$A251="","",SUMIFS(계산!$C:$C,계산!$A:$A,계산!$E251,계산!$B:$B,$B$1*100+12))</f>
        <v/>
      </c>
      <c r="O253">
        <f>IF(원생!$I251="","",원생!$I251)</f>
        <v/>
      </c>
      <c r="P253">
        <f>IF($A253="","",IF(AND($B253&gt;0,C253&lt;$B253,DATE($B$1,1,1)&lt;=TODAY(),OR($O253="",$O253&gt;=DATE($B$1,1,1)),OR(COUNTIF($C253:C253,"&gt;0")&gt;0,DATE($B$1,1,1)=DATE(YEAR(TODAY()),MONTH(TODAY()),1))),1,0))</f>
        <v/>
      </c>
      <c r="Q253">
        <f>IF($A253="","",IF(AND($B253&gt;0,D253&lt;$B253,DATE($B$1,2,1)&lt;=TODAY(),OR($O253="",$O253&gt;=DATE($B$1,2,1)),OR(COUNTIF($C253:D253,"&gt;0")&gt;0,DATE($B$1,2,1)=DATE(YEAR(TODAY()),MONTH(TODAY()),1))),1,0))</f>
        <v/>
      </c>
      <c r="R253">
        <f>IF($A253="","",IF(AND($B253&gt;0,E253&lt;$B253,DATE($B$1,3,1)&lt;=TODAY(),OR($O253="",$O253&gt;=DATE($B$1,3,1)),OR(COUNTIF($C253:E253,"&gt;0")&gt;0,DATE($B$1,3,1)=DATE(YEAR(TODAY()),MONTH(TODAY()),1))),1,0))</f>
        <v/>
      </c>
      <c r="S253">
        <f>IF($A253="","",IF(AND($B253&gt;0,F253&lt;$B253,DATE($B$1,4,1)&lt;=TODAY(),OR($O253="",$O253&gt;=DATE($B$1,4,1)),OR(COUNTIF($C253:F253,"&gt;0")&gt;0,DATE($B$1,4,1)=DATE(YEAR(TODAY()),MONTH(TODAY()),1))),1,0))</f>
        <v/>
      </c>
      <c r="T253">
        <f>IF($A253="","",IF(AND($B253&gt;0,G253&lt;$B253,DATE($B$1,5,1)&lt;=TODAY(),OR($O253="",$O253&gt;=DATE($B$1,5,1)),OR(COUNTIF($C253:G253,"&gt;0")&gt;0,DATE($B$1,5,1)=DATE(YEAR(TODAY()),MONTH(TODAY()),1))),1,0))</f>
        <v/>
      </c>
      <c r="U253">
        <f>IF($A253="","",IF(AND($B253&gt;0,H253&lt;$B253,DATE($B$1,6,1)&lt;=TODAY(),OR($O253="",$O253&gt;=DATE($B$1,6,1)),OR(COUNTIF($C253:H253,"&gt;0")&gt;0,DATE($B$1,6,1)=DATE(YEAR(TODAY()),MONTH(TODAY()),1))),1,0))</f>
        <v/>
      </c>
      <c r="V253">
        <f>IF($A253="","",IF(AND($B253&gt;0,I253&lt;$B253,DATE($B$1,7,1)&lt;=TODAY(),OR($O253="",$O253&gt;=DATE($B$1,7,1)),OR(COUNTIF($C253:I253,"&gt;0")&gt;0,DATE($B$1,7,1)=DATE(YEAR(TODAY()),MONTH(TODAY()),1))),1,0))</f>
        <v/>
      </c>
      <c r="W253">
        <f>IF($A253="","",IF(AND($B253&gt;0,J253&lt;$B253,DATE($B$1,8,1)&lt;=TODAY(),OR($O253="",$O253&gt;=DATE($B$1,8,1)),OR(COUNTIF($C253:J253,"&gt;0")&gt;0,DATE($B$1,8,1)=DATE(YEAR(TODAY()),MONTH(TODAY()),1))),1,0))</f>
        <v/>
      </c>
      <c r="X253">
        <f>IF($A253="","",IF(AND($B253&gt;0,K253&lt;$B253,DATE($B$1,9,1)&lt;=TODAY(),OR($O253="",$O253&gt;=DATE($B$1,9,1)),OR(COUNTIF($C253:K253,"&gt;0")&gt;0,DATE($B$1,9,1)=DATE(YEAR(TODAY()),MONTH(TODAY()),1))),1,0))</f>
        <v/>
      </c>
      <c r="Y253">
        <f>IF($A253="","",IF(AND($B253&gt;0,L253&lt;$B253,DATE($B$1,10,1)&lt;=TODAY(),OR($O253="",$O253&gt;=DATE($B$1,10,1)),OR(COUNTIF($C253:L253,"&gt;0")&gt;0,DATE($B$1,10,1)=DATE(YEAR(TODAY()),MONTH(TODAY()),1))),1,0))</f>
        <v/>
      </c>
      <c r="Z253">
        <f>IF($A253="","",IF(AND($B253&gt;0,M253&lt;$B253,DATE($B$1,11,1)&lt;=TODAY(),OR($O253="",$O253&gt;=DATE($B$1,11,1)),OR(COUNTIF($C253:M253,"&gt;0")&gt;0,DATE($B$1,11,1)=DATE(YEAR(TODAY()),MONTH(TODAY()),1))),1,0))</f>
        <v/>
      </c>
      <c r="AA253">
        <f>IF($A253="","",IF(AND($B253&gt;0,N253&lt;$B253,DATE($B$1,12,1)&lt;=TODAY(),OR($O253="",$O253&gt;=DATE($B$1,12,1)),OR(COUNTIF($C253:N253,"&gt;0")&gt;0,DATE($B$1,12,1)=DATE(YEAR(TODAY()),MONTH(TODAY()),1))),1,0))</f>
        <v/>
      </c>
    </row>
    <row r="254">
      <c r="A254" s="13">
        <f>IF(원생!$A252="","",원생!$A252&amp;IF(원생!$G252="",""," ("&amp;원생!$G252&amp;")"))</f>
        <v/>
      </c>
      <c r="B254" s="8">
        <f>IF(원생!$A252="","",N(원생!$F252))</f>
        <v/>
      </c>
      <c r="C254" s="14">
        <f>IF(원생!$A252="","",SUMIFS(계산!$C:$C,계산!$A:$A,계산!$E252,계산!$B:$B,$B$1*100+1))</f>
        <v/>
      </c>
      <c r="D254" s="14">
        <f>IF(원생!$A252="","",SUMIFS(계산!$C:$C,계산!$A:$A,계산!$E252,계산!$B:$B,$B$1*100+2))</f>
        <v/>
      </c>
      <c r="E254" s="14">
        <f>IF(원생!$A252="","",SUMIFS(계산!$C:$C,계산!$A:$A,계산!$E252,계산!$B:$B,$B$1*100+3))</f>
        <v/>
      </c>
      <c r="F254" s="14">
        <f>IF(원생!$A252="","",SUMIFS(계산!$C:$C,계산!$A:$A,계산!$E252,계산!$B:$B,$B$1*100+4))</f>
        <v/>
      </c>
      <c r="G254" s="14">
        <f>IF(원생!$A252="","",SUMIFS(계산!$C:$C,계산!$A:$A,계산!$E252,계산!$B:$B,$B$1*100+5))</f>
        <v/>
      </c>
      <c r="H254" s="14">
        <f>IF(원생!$A252="","",SUMIFS(계산!$C:$C,계산!$A:$A,계산!$E252,계산!$B:$B,$B$1*100+6))</f>
        <v/>
      </c>
      <c r="I254" s="14">
        <f>IF(원생!$A252="","",SUMIFS(계산!$C:$C,계산!$A:$A,계산!$E252,계산!$B:$B,$B$1*100+7))</f>
        <v/>
      </c>
      <c r="J254" s="14">
        <f>IF(원생!$A252="","",SUMIFS(계산!$C:$C,계산!$A:$A,계산!$E252,계산!$B:$B,$B$1*100+8))</f>
        <v/>
      </c>
      <c r="K254" s="14">
        <f>IF(원생!$A252="","",SUMIFS(계산!$C:$C,계산!$A:$A,계산!$E252,계산!$B:$B,$B$1*100+9))</f>
        <v/>
      </c>
      <c r="L254" s="14">
        <f>IF(원생!$A252="","",SUMIFS(계산!$C:$C,계산!$A:$A,계산!$E252,계산!$B:$B,$B$1*100+10))</f>
        <v/>
      </c>
      <c r="M254" s="14">
        <f>IF(원생!$A252="","",SUMIFS(계산!$C:$C,계산!$A:$A,계산!$E252,계산!$B:$B,$B$1*100+11))</f>
        <v/>
      </c>
      <c r="N254" s="14">
        <f>IF(원생!$A252="","",SUMIFS(계산!$C:$C,계산!$A:$A,계산!$E252,계산!$B:$B,$B$1*100+12))</f>
        <v/>
      </c>
      <c r="O254">
        <f>IF(원생!$I252="","",원생!$I252)</f>
        <v/>
      </c>
      <c r="P254">
        <f>IF($A254="","",IF(AND($B254&gt;0,C254&lt;$B254,DATE($B$1,1,1)&lt;=TODAY(),OR($O254="",$O254&gt;=DATE($B$1,1,1)),OR(COUNTIF($C254:C254,"&gt;0")&gt;0,DATE($B$1,1,1)=DATE(YEAR(TODAY()),MONTH(TODAY()),1))),1,0))</f>
        <v/>
      </c>
      <c r="Q254">
        <f>IF($A254="","",IF(AND($B254&gt;0,D254&lt;$B254,DATE($B$1,2,1)&lt;=TODAY(),OR($O254="",$O254&gt;=DATE($B$1,2,1)),OR(COUNTIF($C254:D254,"&gt;0")&gt;0,DATE($B$1,2,1)=DATE(YEAR(TODAY()),MONTH(TODAY()),1))),1,0))</f>
        <v/>
      </c>
      <c r="R254">
        <f>IF($A254="","",IF(AND($B254&gt;0,E254&lt;$B254,DATE($B$1,3,1)&lt;=TODAY(),OR($O254="",$O254&gt;=DATE($B$1,3,1)),OR(COUNTIF($C254:E254,"&gt;0")&gt;0,DATE($B$1,3,1)=DATE(YEAR(TODAY()),MONTH(TODAY()),1))),1,0))</f>
        <v/>
      </c>
      <c r="S254">
        <f>IF($A254="","",IF(AND($B254&gt;0,F254&lt;$B254,DATE($B$1,4,1)&lt;=TODAY(),OR($O254="",$O254&gt;=DATE($B$1,4,1)),OR(COUNTIF($C254:F254,"&gt;0")&gt;0,DATE($B$1,4,1)=DATE(YEAR(TODAY()),MONTH(TODAY()),1))),1,0))</f>
        <v/>
      </c>
      <c r="T254">
        <f>IF($A254="","",IF(AND($B254&gt;0,G254&lt;$B254,DATE($B$1,5,1)&lt;=TODAY(),OR($O254="",$O254&gt;=DATE($B$1,5,1)),OR(COUNTIF($C254:G254,"&gt;0")&gt;0,DATE($B$1,5,1)=DATE(YEAR(TODAY()),MONTH(TODAY()),1))),1,0))</f>
        <v/>
      </c>
      <c r="U254">
        <f>IF($A254="","",IF(AND($B254&gt;0,H254&lt;$B254,DATE($B$1,6,1)&lt;=TODAY(),OR($O254="",$O254&gt;=DATE($B$1,6,1)),OR(COUNTIF($C254:H254,"&gt;0")&gt;0,DATE($B$1,6,1)=DATE(YEAR(TODAY()),MONTH(TODAY()),1))),1,0))</f>
        <v/>
      </c>
      <c r="V254">
        <f>IF($A254="","",IF(AND($B254&gt;0,I254&lt;$B254,DATE($B$1,7,1)&lt;=TODAY(),OR($O254="",$O254&gt;=DATE($B$1,7,1)),OR(COUNTIF($C254:I254,"&gt;0")&gt;0,DATE($B$1,7,1)=DATE(YEAR(TODAY()),MONTH(TODAY()),1))),1,0))</f>
        <v/>
      </c>
      <c r="W254">
        <f>IF($A254="","",IF(AND($B254&gt;0,J254&lt;$B254,DATE($B$1,8,1)&lt;=TODAY(),OR($O254="",$O254&gt;=DATE($B$1,8,1)),OR(COUNTIF($C254:J254,"&gt;0")&gt;0,DATE($B$1,8,1)=DATE(YEAR(TODAY()),MONTH(TODAY()),1))),1,0))</f>
        <v/>
      </c>
      <c r="X254">
        <f>IF($A254="","",IF(AND($B254&gt;0,K254&lt;$B254,DATE($B$1,9,1)&lt;=TODAY(),OR($O254="",$O254&gt;=DATE($B$1,9,1)),OR(COUNTIF($C254:K254,"&gt;0")&gt;0,DATE($B$1,9,1)=DATE(YEAR(TODAY()),MONTH(TODAY()),1))),1,0))</f>
        <v/>
      </c>
      <c r="Y254">
        <f>IF($A254="","",IF(AND($B254&gt;0,L254&lt;$B254,DATE($B$1,10,1)&lt;=TODAY(),OR($O254="",$O254&gt;=DATE($B$1,10,1)),OR(COUNTIF($C254:L254,"&gt;0")&gt;0,DATE($B$1,10,1)=DATE(YEAR(TODAY()),MONTH(TODAY()),1))),1,0))</f>
        <v/>
      </c>
      <c r="Z254">
        <f>IF($A254="","",IF(AND($B254&gt;0,M254&lt;$B254,DATE($B$1,11,1)&lt;=TODAY(),OR($O254="",$O254&gt;=DATE($B$1,11,1)),OR(COUNTIF($C254:M254,"&gt;0")&gt;0,DATE($B$1,11,1)=DATE(YEAR(TODAY()),MONTH(TODAY()),1))),1,0))</f>
        <v/>
      </c>
      <c r="AA254">
        <f>IF($A254="","",IF(AND($B254&gt;0,N254&lt;$B254,DATE($B$1,12,1)&lt;=TODAY(),OR($O254="",$O254&gt;=DATE($B$1,12,1)),OR(COUNTIF($C254:N254,"&gt;0")&gt;0,DATE($B$1,12,1)=DATE(YEAR(TODAY()),MONTH(TODAY()),1))),1,0))</f>
        <v/>
      </c>
    </row>
    <row r="255">
      <c r="A255" s="13">
        <f>IF(원생!$A253="","",원생!$A253&amp;IF(원생!$G253="",""," ("&amp;원생!$G253&amp;")"))</f>
        <v/>
      </c>
      <c r="B255" s="8">
        <f>IF(원생!$A253="","",N(원생!$F253))</f>
        <v/>
      </c>
      <c r="C255" s="14">
        <f>IF(원생!$A253="","",SUMIFS(계산!$C:$C,계산!$A:$A,계산!$E253,계산!$B:$B,$B$1*100+1))</f>
        <v/>
      </c>
      <c r="D255" s="14">
        <f>IF(원생!$A253="","",SUMIFS(계산!$C:$C,계산!$A:$A,계산!$E253,계산!$B:$B,$B$1*100+2))</f>
        <v/>
      </c>
      <c r="E255" s="14">
        <f>IF(원생!$A253="","",SUMIFS(계산!$C:$C,계산!$A:$A,계산!$E253,계산!$B:$B,$B$1*100+3))</f>
        <v/>
      </c>
      <c r="F255" s="14">
        <f>IF(원생!$A253="","",SUMIFS(계산!$C:$C,계산!$A:$A,계산!$E253,계산!$B:$B,$B$1*100+4))</f>
        <v/>
      </c>
      <c r="G255" s="14">
        <f>IF(원생!$A253="","",SUMIFS(계산!$C:$C,계산!$A:$A,계산!$E253,계산!$B:$B,$B$1*100+5))</f>
        <v/>
      </c>
      <c r="H255" s="14">
        <f>IF(원생!$A253="","",SUMIFS(계산!$C:$C,계산!$A:$A,계산!$E253,계산!$B:$B,$B$1*100+6))</f>
        <v/>
      </c>
      <c r="I255" s="14">
        <f>IF(원생!$A253="","",SUMIFS(계산!$C:$C,계산!$A:$A,계산!$E253,계산!$B:$B,$B$1*100+7))</f>
        <v/>
      </c>
      <c r="J255" s="14">
        <f>IF(원생!$A253="","",SUMIFS(계산!$C:$C,계산!$A:$A,계산!$E253,계산!$B:$B,$B$1*100+8))</f>
        <v/>
      </c>
      <c r="K255" s="14">
        <f>IF(원생!$A253="","",SUMIFS(계산!$C:$C,계산!$A:$A,계산!$E253,계산!$B:$B,$B$1*100+9))</f>
        <v/>
      </c>
      <c r="L255" s="14">
        <f>IF(원생!$A253="","",SUMIFS(계산!$C:$C,계산!$A:$A,계산!$E253,계산!$B:$B,$B$1*100+10))</f>
        <v/>
      </c>
      <c r="M255" s="14">
        <f>IF(원생!$A253="","",SUMIFS(계산!$C:$C,계산!$A:$A,계산!$E253,계산!$B:$B,$B$1*100+11))</f>
        <v/>
      </c>
      <c r="N255" s="14">
        <f>IF(원생!$A253="","",SUMIFS(계산!$C:$C,계산!$A:$A,계산!$E253,계산!$B:$B,$B$1*100+12))</f>
        <v/>
      </c>
      <c r="O255">
        <f>IF(원생!$I253="","",원생!$I253)</f>
        <v/>
      </c>
      <c r="P255">
        <f>IF($A255="","",IF(AND($B255&gt;0,C255&lt;$B255,DATE($B$1,1,1)&lt;=TODAY(),OR($O255="",$O255&gt;=DATE($B$1,1,1)),OR(COUNTIF($C255:C255,"&gt;0")&gt;0,DATE($B$1,1,1)=DATE(YEAR(TODAY()),MONTH(TODAY()),1))),1,0))</f>
        <v/>
      </c>
      <c r="Q255">
        <f>IF($A255="","",IF(AND($B255&gt;0,D255&lt;$B255,DATE($B$1,2,1)&lt;=TODAY(),OR($O255="",$O255&gt;=DATE($B$1,2,1)),OR(COUNTIF($C255:D255,"&gt;0")&gt;0,DATE($B$1,2,1)=DATE(YEAR(TODAY()),MONTH(TODAY()),1))),1,0))</f>
        <v/>
      </c>
      <c r="R255">
        <f>IF($A255="","",IF(AND($B255&gt;0,E255&lt;$B255,DATE($B$1,3,1)&lt;=TODAY(),OR($O255="",$O255&gt;=DATE($B$1,3,1)),OR(COUNTIF($C255:E255,"&gt;0")&gt;0,DATE($B$1,3,1)=DATE(YEAR(TODAY()),MONTH(TODAY()),1))),1,0))</f>
        <v/>
      </c>
      <c r="S255">
        <f>IF($A255="","",IF(AND($B255&gt;0,F255&lt;$B255,DATE($B$1,4,1)&lt;=TODAY(),OR($O255="",$O255&gt;=DATE($B$1,4,1)),OR(COUNTIF($C255:F255,"&gt;0")&gt;0,DATE($B$1,4,1)=DATE(YEAR(TODAY()),MONTH(TODAY()),1))),1,0))</f>
        <v/>
      </c>
      <c r="T255">
        <f>IF($A255="","",IF(AND($B255&gt;0,G255&lt;$B255,DATE($B$1,5,1)&lt;=TODAY(),OR($O255="",$O255&gt;=DATE($B$1,5,1)),OR(COUNTIF($C255:G255,"&gt;0")&gt;0,DATE($B$1,5,1)=DATE(YEAR(TODAY()),MONTH(TODAY()),1))),1,0))</f>
        <v/>
      </c>
      <c r="U255">
        <f>IF($A255="","",IF(AND($B255&gt;0,H255&lt;$B255,DATE($B$1,6,1)&lt;=TODAY(),OR($O255="",$O255&gt;=DATE($B$1,6,1)),OR(COUNTIF($C255:H255,"&gt;0")&gt;0,DATE($B$1,6,1)=DATE(YEAR(TODAY()),MONTH(TODAY()),1))),1,0))</f>
        <v/>
      </c>
      <c r="V255">
        <f>IF($A255="","",IF(AND($B255&gt;0,I255&lt;$B255,DATE($B$1,7,1)&lt;=TODAY(),OR($O255="",$O255&gt;=DATE($B$1,7,1)),OR(COUNTIF($C255:I255,"&gt;0")&gt;0,DATE($B$1,7,1)=DATE(YEAR(TODAY()),MONTH(TODAY()),1))),1,0))</f>
        <v/>
      </c>
      <c r="W255">
        <f>IF($A255="","",IF(AND($B255&gt;0,J255&lt;$B255,DATE($B$1,8,1)&lt;=TODAY(),OR($O255="",$O255&gt;=DATE($B$1,8,1)),OR(COUNTIF($C255:J255,"&gt;0")&gt;0,DATE($B$1,8,1)=DATE(YEAR(TODAY()),MONTH(TODAY()),1))),1,0))</f>
        <v/>
      </c>
      <c r="X255">
        <f>IF($A255="","",IF(AND($B255&gt;0,K255&lt;$B255,DATE($B$1,9,1)&lt;=TODAY(),OR($O255="",$O255&gt;=DATE($B$1,9,1)),OR(COUNTIF($C255:K255,"&gt;0")&gt;0,DATE($B$1,9,1)=DATE(YEAR(TODAY()),MONTH(TODAY()),1))),1,0))</f>
        <v/>
      </c>
      <c r="Y255">
        <f>IF($A255="","",IF(AND($B255&gt;0,L255&lt;$B255,DATE($B$1,10,1)&lt;=TODAY(),OR($O255="",$O255&gt;=DATE($B$1,10,1)),OR(COUNTIF($C255:L255,"&gt;0")&gt;0,DATE($B$1,10,1)=DATE(YEAR(TODAY()),MONTH(TODAY()),1))),1,0))</f>
        <v/>
      </c>
      <c r="Z255">
        <f>IF($A255="","",IF(AND($B255&gt;0,M255&lt;$B255,DATE($B$1,11,1)&lt;=TODAY(),OR($O255="",$O255&gt;=DATE($B$1,11,1)),OR(COUNTIF($C255:M255,"&gt;0")&gt;0,DATE($B$1,11,1)=DATE(YEAR(TODAY()),MONTH(TODAY()),1))),1,0))</f>
        <v/>
      </c>
      <c r="AA255">
        <f>IF($A255="","",IF(AND($B255&gt;0,N255&lt;$B255,DATE($B$1,12,1)&lt;=TODAY(),OR($O255="",$O255&gt;=DATE($B$1,12,1)),OR(COUNTIF($C255:N255,"&gt;0")&gt;0,DATE($B$1,12,1)=DATE(YEAR(TODAY()),MONTH(TODAY()),1))),1,0))</f>
        <v/>
      </c>
    </row>
    <row r="256">
      <c r="A256" s="13">
        <f>IF(원생!$A254="","",원생!$A254&amp;IF(원생!$G254="",""," ("&amp;원생!$G254&amp;")"))</f>
        <v/>
      </c>
      <c r="B256" s="8">
        <f>IF(원생!$A254="","",N(원생!$F254))</f>
        <v/>
      </c>
      <c r="C256" s="14">
        <f>IF(원생!$A254="","",SUMIFS(계산!$C:$C,계산!$A:$A,계산!$E254,계산!$B:$B,$B$1*100+1))</f>
        <v/>
      </c>
      <c r="D256" s="14">
        <f>IF(원생!$A254="","",SUMIFS(계산!$C:$C,계산!$A:$A,계산!$E254,계산!$B:$B,$B$1*100+2))</f>
        <v/>
      </c>
      <c r="E256" s="14">
        <f>IF(원생!$A254="","",SUMIFS(계산!$C:$C,계산!$A:$A,계산!$E254,계산!$B:$B,$B$1*100+3))</f>
        <v/>
      </c>
      <c r="F256" s="14">
        <f>IF(원생!$A254="","",SUMIFS(계산!$C:$C,계산!$A:$A,계산!$E254,계산!$B:$B,$B$1*100+4))</f>
        <v/>
      </c>
      <c r="G256" s="14">
        <f>IF(원생!$A254="","",SUMIFS(계산!$C:$C,계산!$A:$A,계산!$E254,계산!$B:$B,$B$1*100+5))</f>
        <v/>
      </c>
      <c r="H256" s="14">
        <f>IF(원생!$A254="","",SUMIFS(계산!$C:$C,계산!$A:$A,계산!$E254,계산!$B:$B,$B$1*100+6))</f>
        <v/>
      </c>
      <c r="I256" s="14">
        <f>IF(원생!$A254="","",SUMIFS(계산!$C:$C,계산!$A:$A,계산!$E254,계산!$B:$B,$B$1*100+7))</f>
        <v/>
      </c>
      <c r="J256" s="14">
        <f>IF(원생!$A254="","",SUMIFS(계산!$C:$C,계산!$A:$A,계산!$E254,계산!$B:$B,$B$1*100+8))</f>
        <v/>
      </c>
      <c r="K256" s="14">
        <f>IF(원생!$A254="","",SUMIFS(계산!$C:$C,계산!$A:$A,계산!$E254,계산!$B:$B,$B$1*100+9))</f>
        <v/>
      </c>
      <c r="L256" s="14">
        <f>IF(원생!$A254="","",SUMIFS(계산!$C:$C,계산!$A:$A,계산!$E254,계산!$B:$B,$B$1*100+10))</f>
        <v/>
      </c>
      <c r="M256" s="14">
        <f>IF(원생!$A254="","",SUMIFS(계산!$C:$C,계산!$A:$A,계산!$E254,계산!$B:$B,$B$1*100+11))</f>
        <v/>
      </c>
      <c r="N256" s="14">
        <f>IF(원생!$A254="","",SUMIFS(계산!$C:$C,계산!$A:$A,계산!$E254,계산!$B:$B,$B$1*100+12))</f>
        <v/>
      </c>
      <c r="O256">
        <f>IF(원생!$I254="","",원생!$I254)</f>
        <v/>
      </c>
      <c r="P256">
        <f>IF($A256="","",IF(AND($B256&gt;0,C256&lt;$B256,DATE($B$1,1,1)&lt;=TODAY(),OR($O256="",$O256&gt;=DATE($B$1,1,1)),OR(COUNTIF($C256:C256,"&gt;0")&gt;0,DATE($B$1,1,1)=DATE(YEAR(TODAY()),MONTH(TODAY()),1))),1,0))</f>
        <v/>
      </c>
      <c r="Q256">
        <f>IF($A256="","",IF(AND($B256&gt;0,D256&lt;$B256,DATE($B$1,2,1)&lt;=TODAY(),OR($O256="",$O256&gt;=DATE($B$1,2,1)),OR(COUNTIF($C256:D256,"&gt;0")&gt;0,DATE($B$1,2,1)=DATE(YEAR(TODAY()),MONTH(TODAY()),1))),1,0))</f>
        <v/>
      </c>
      <c r="R256">
        <f>IF($A256="","",IF(AND($B256&gt;0,E256&lt;$B256,DATE($B$1,3,1)&lt;=TODAY(),OR($O256="",$O256&gt;=DATE($B$1,3,1)),OR(COUNTIF($C256:E256,"&gt;0")&gt;0,DATE($B$1,3,1)=DATE(YEAR(TODAY()),MONTH(TODAY()),1))),1,0))</f>
        <v/>
      </c>
      <c r="S256">
        <f>IF($A256="","",IF(AND($B256&gt;0,F256&lt;$B256,DATE($B$1,4,1)&lt;=TODAY(),OR($O256="",$O256&gt;=DATE($B$1,4,1)),OR(COUNTIF($C256:F256,"&gt;0")&gt;0,DATE($B$1,4,1)=DATE(YEAR(TODAY()),MONTH(TODAY()),1))),1,0))</f>
        <v/>
      </c>
      <c r="T256">
        <f>IF($A256="","",IF(AND($B256&gt;0,G256&lt;$B256,DATE($B$1,5,1)&lt;=TODAY(),OR($O256="",$O256&gt;=DATE($B$1,5,1)),OR(COUNTIF($C256:G256,"&gt;0")&gt;0,DATE($B$1,5,1)=DATE(YEAR(TODAY()),MONTH(TODAY()),1))),1,0))</f>
        <v/>
      </c>
      <c r="U256">
        <f>IF($A256="","",IF(AND($B256&gt;0,H256&lt;$B256,DATE($B$1,6,1)&lt;=TODAY(),OR($O256="",$O256&gt;=DATE($B$1,6,1)),OR(COUNTIF($C256:H256,"&gt;0")&gt;0,DATE($B$1,6,1)=DATE(YEAR(TODAY()),MONTH(TODAY()),1))),1,0))</f>
        <v/>
      </c>
      <c r="V256">
        <f>IF($A256="","",IF(AND($B256&gt;0,I256&lt;$B256,DATE($B$1,7,1)&lt;=TODAY(),OR($O256="",$O256&gt;=DATE($B$1,7,1)),OR(COUNTIF($C256:I256,"&gt;0")&gt;0,DATE($B$1,7,1)=DATE(YEAR(TODAY()),MONTH(TODAY()),1))),1,0))</f>
        <v/>
      </c>
      <c r="W256">
        <f>IF($A256="","",IF(AND($B256&gt;0,J256&lt;$B256,DATE($B$1,8,1)&lt;=TODAY(),OR($O256="",$O256&gt;=DATE($B$1,8,1)),OR(COUNTIF($C256:J256,"&gt;0")&gt;0,DATE($B$1,8,1)=DATE(YEAR(TODAY()),MONTH(TODAY()),1))),1,0))</f>
        <v/>
      </c>
      <c r="X256">
        <f>IF($A256="","",IF(AND($B256&gt;0,K256&lt;$B256,DATE($B$1,9,1)&lt;=TODAY(),OR($O256="",$O256&gt;=DATE($B$1,9,1)),OR(COUNTIF($C256:K256,"&gt;0")&gt;0,DATE($B$1,9,1)=DATE(YEAR(TODAY()),MONTH(TODAY()),1))),1,0))</f>
        <v/>
      </c>
      <c r="Y256">
        <f>IF($A256="","",IF(AND($B256&gt;0,L256&lt;$B256,DATE($B$1,10,1)&lt;=TODAY(),OR($O256="",$O256&gt;=DATE($B$1,10,1)),OR(COUNTIF($C256:L256,"&gt;0")&gt;0,DATE($B$1,10,1)=DATE(YEAR(TODAY()),MONTH(TODAY()),1))),1,0))</f>
        <v/>
      </c>
      <c r="Z256">
        <f>IF($A256="","",IF(AND($B256&gt;0,M256&lt;$B256,DATE($B$1,11,1)&lt;=TODAY(),OR($O256="",$O256&gt;=DATE($B$1,11,1)),OR(COUNTIF($C256:M256,"&gt;0")&gt;0,DATE($B$1,11,1)=DATE(YEAR(TODAY()),MONTH(TODAY()),1))),1,0))</f>
        <v/>
      </c>
      <c r="AA256">
        <f>IF($A256="","",IF(AND($B256&gt;0,N256&lt;$B256,DATE($B$1,12,1)&lt;=TODAY(),OR($O256="",$O256&gt;=DATE($B$1,12,1)),OR(COUNTIF($C256:N256,"&gt;0")&gt;0,DATE($B$1,12,1)=DATE(YEAR(TODAY()),MONTH(TODAY()),1))),1,0))</f>
        <v/>
      </c>
    </row>
    <row r="257">
      <c r="A257" s="13">
        <f>IF(원생!$A255="","",원생!$A255&amp;IF(원생!$G255="",""," ("&amp;원생!$G255&amp;")"))</f>
        <v/>
      </c>
      <c r="B257" s="8">
        <f>IF(원생!$A255="","",N(원생!$F255))</f>
        <v/>
      </c>
      <c r="C257" s="14">
        <f>IF(원생!$A255="","",SUMIFS(계산!$C:$C,계산!$A:$A,계산!$E255,계산!$B:$B,$B$1*100+1))</f>
        <v/>
      </c>
      <c r="D257" s="14">
        <f>IF(원생!$A255="","",SUMIFS(계산!$C:$C,계산!$A:$A,계산!$E255,계산!$B:$B,$B$1*100+2))</f>
        <v/>
      </c>
      <c r="E257" s="14">
        <f>IF(원생!$A255="","",SUMIFS(계산!$C:$C,계산!$A:$A,계산!$E255,계산!$B:$B,$B$1*100+3))</f>
        <v/>
      </c>
      <c r="F257" s="14">
        <f>IF(원생!$A255="","",SUMIFS(계산!$C:$C,계산!$A:$A,계산!$E255,계산!$B:$B,$B$1*100+4))</f>
        <v/>
      </c>
      <c r="G257" s="14">
        <f>IF(원생!$A255="","",SUMIFS(계산!$C:$C,계산!$A:$A,계산!$E255,계산!$B:$B,$B$1*100+5))</f>
        <v/>
      </c>
      <c r="H257" s="14">
        <f>IF(원생!$A255="","",SUMIFS(계산!$C:$C,계산!$A:$A,계산!$E255,계산!$B:$B,$B$1*100+6))</f>
        <v/>
      </c>
      <c r="I257" s="14">
        <f>IF(원생!$A255="","",SUMIFS(계산!$C:$C,계산!$A:$A,계산!$E255,계산!$B:$B,$B$1*100+7))</f>
        <v/>
      </c>
      <c r="J257" s="14">
        <f>IF(원생!$A255="","",SUMIFS(계산!$C:$C,계산!$A:$A,계산!$E255,계산!$B:$B,$B$1*100+8))</f>
        <v/>
      </c>
      <c r="K257" s="14">
        <f>IF(원생!$A255="","",SUMIFS(계산!$C:$C,계산!$A:$A,계산!$E255,계산!$B:$B,$B$1*100+9))</f>
        <v/>
      </c>
      <c r="L257" s="14">
        <f>IF(원생!$A255="","",SUMIFS(계산!$C:$C,계산!$A:$A,계산!$E255,계산!$B:$B,$B$1*100+10))</f>
        <v/>
      </c>
      <c r="M257" s="14">
        <f>IF(원생!$A255="","",SUMIFS(계산!$C:$C,계산!$A:$A,계산!$E255,계산!$B:$B,$B$1*100+11))</f>
        <v/>
      </c>
      <c r="N257" s="14">
        <f>IF(원생!$A255="","",SUMIFS(계산!$C:$C,계산!$A:$A,계산!$E255,계산!$B:$B,$B$1*100+12))</f>
        <v/>
      </c>
      <c r="O257">
        <f>IF(원생!$I255="","",원생!$I255)</f>
        <v/>
      </c>
      <c r="P257">
        <f>IF($A257="","",IF(AND($B257&gt;0,C257&lt;$B257,DATE($B$1,1,1)&lt;=TODAY(),OR($O257="",$O257&gt;=DATE($B$1,1,1)),OR(COUNTIF($C257:C257,"&gt;0")&gt;0,DATE($B$1,1,1)=DATE(YEAR(TODAY()),MONTH(TODAY()),1))),1,0))</f>
        <v/>
      </c>
      <c r="Q257">
        <f>IF($A257="","",IF(AND($B257&gt;0,D257&lt;$B257,DATE($B$1,2,1)&lt;=TODAY(),OR($O257="",$O257&gt;=DATE($B$1,2,1)),OR(COUNTIF($C257:D257,"&gt;0")&gt;0,DATE($B$1,2,1)=DATE(YEAR(TODAY()),MONTH(TODAY()),1))),1,0))</f>
        <v/>
      </c>
      <c r="R257">
        <f>IF($A257="","",IF(AND($B257&gt;0,E257&lt;$B257,DATE($B$1,3,1)&lt;=TODAY(),OR($O257="",$O257&gt;=DATE($B$1,3,1)),OR(COUNTIF($C257:E257,"&gt;0")&gt;0,DATE($B$1,3,1)=DATE(YEAR(TODAY()),MONTH(TODAY()),1))),1,0))</f>
        <v/>
      </c>
      <c r="S257">
        <f>IF($A257="","",IF(AND($B257&gt;0,F257&lt;$B257,DATE($B$1,4,1)&lt;=TODAY(),OR($O257="",$O257&gt;=DATE($B$1,4,1)),OR(COUNTIF($C257:F257,"&gt;0")&gt;0,DATE($B$1,4,1)=DATE(YEAR(TODAY()),MONTH(TODAY()),1))),1,0))</f>
        <v/>
      </c>
      <c r="T257">
        <f>IF($A257="","",IF(AND($B257&gt;0,G257&lt;$B257,DATE($B$1,5,1)&lt;=TODAY(),OR($O257="",$O257&gt;=DATE($B$1,5,1)),OR(COUNTIF($C257:G257,"&gt;0")&gt;0,DATE($B$1,5,1)=DATE(YEAR(TODAY()),MONTH(TODAY()),1))),1,0))</f>
        <v/>
      </c>
      <c r="U257">
        <f>IF($A257="","",IF(AND($B257&gt;0,H257&lt;$B257,DATE($B$1,6,1)&lt;=TODAY(),OR($O257="",$O257&gt;=DATE($B$1,6,1)),OR(COUNTIF($C257:H257,"&gt;0")&gt;0,DATE($B$1,6,1)=DATE(YEAR(TODAY()),MONTH(TODAY()),1))),1,0))</f>
        <v/>
      </c>
      <c r="V257">
        <f>IF($A257="","",IF(AND($B257&gt;0,I257&lt;$B257,DATE($B$1,7,1)&lt;=TODAY(),OR($O257="",$O257&gt;=DATE($B$1,7,1)),OR(COUNTIF($C257:I257,"&gt;0")&gt;0,DATE($B$1,7,1)=DATE(YEAR(TODAY()),MONTH(TODAY()),1))),1,0))</f>
        <v/>
      </c>
      <c r="W257">
        <f>IF($A257="","",IF(AND($B257&gt;0,J257&lt;$B257,DATE($B$1,8,1)&lt;=TODAY(),OR($O257="",$O257&gt;=DATE($B$1,8,1)),OR(COUNTIF($C257:J257,"&gt;0")&gt;0,DATE($B$1,8,1)=DATE(YEAR(TODAY()),MONTH(TODAY()),1))),1,0))</f>
        <v/>
      </c>
      <c r="X257">
        <f>IF($A257="","",IF(AND($B257&gt;0,K257&lt;$B257,DATE($B$1,9,1)&lt;=TODAY(),OR($O257="",$O257&gt;=DATE($B$1,9,1)),OR(COUNTIF($C257:K257,"&gt;0")&gt;0,DATE($B$1,9,1)=DATE(YEAR(TODAY()),MONTH(TODAY()),1))),1,0))</f>
        <v/>
      </c>
      <c r="Y257">
        <f>IF($A257="","",IF(AND($B257&gt;0,L257&lt;$B257,DATE($B$1,10,1)&lt;=TODAY(),OR($O257="",$O257&gt;=DATE($B$1,10,1)),OR(COUNTIF($C257:L257,"&gt;0")&gt;0,DATE($B$1,10,1)=DATE(YEAR(TODAY()),MONTH(TODAY()),1))),1,0))</f>
        <v/>
      </c>
      <c r="Z257">
        <f>IF($A257="","",IF(AND($B257&gt;0,M257&lt;$B257,DATE($B$1,11,1)&lt;=TODAY(),OR($O257="",$O257&gt;=DATE($B$1,11,1)),OR(COUNTIF($C257:M257,"&gt;0")&gt;0,DATE($B$1,11,1)=DATE(YEAR(TODAY()),MONTH(TODAY()),1))),1,0))</f>
        <v/>
      </c>
      <c r="AA257">
        <f>IF($A257="","",IF(AND($B257&gt;0,N257&lt;$B257,DATE($B$1,12,1)&lt;=TODAY(),OR($O257="",$O257&gt;=DATE($B$1,12,1)),OR(COUNTIF($C257:N257,"&gt;0")&gt;0,DATE($B$1,12,1)=DATE(YEAR(TODAY()),MONTH(TODAY()),1))),1,0))</f>
        <v/>
      </c>
    </row>
    <row r="258">
      <c r="A258" s="13">
        <f>IF(원생!$A256="","",원생!$A256&amp;IF(원생!$G256="",""," ("&amp;원생!$G256&amp;")"))</f>
        <v/>
      </c>
      <c r="B258" s="8">
        <f>IF(원생!$A256="","",N(원생!$F256))</f>
        <v/>
      </c>
      <c r="C258" s="14">
        <f>IF(원생!$A256="","",SUMIFS(계산!$C:$C,계산!$A:$A,계산!$E256,계산!$B:$B,$B$1*100+1))</f>
        <v/>
      </c>
      <c r="D258" s="14">
        <f>IF(원생!$A256="","",SUMIFS(계산!$C:$C,계산!$A:$A,계산!$E256,계산!$B:$B,$B$1*100+2))</f>
        <v/>
      </c>
      <c r="E258" s="14">
        <f>IF(원생!$A256="","",SUMIFS(계산!$C:$C,계산!$A:$A,계산!$E256,계산!$B:$B,$B$1*100+3))</f>
        <v/>
      </c>
      <c r="F258" s="14">
        <f>IF(원생!$A256="","",SUMIFS(계산!$C:$C,계산!$A:$A,계산!$E256,계산!$B:$B,$B$1*100+4))</f>
        <v/>
      </c>
      <c r="G258" s="14">
        <f>IF(원생!$A256="","",SUMIFS(계산!$C:$C,계산!$A:$A,계산!$E256,계산!$B:$B,$B$1*100+5))</f>
        <v/>
      </c>
      <c r="H258" s="14">
        <f>IF(원생!$A256="","",SUMIFS(계산!$C:$C,계산!$A:$A,계산!$E256,계산!$B:$B,$B$1*100+6))</f>
        <v/>
      </c>
      <c r="I258" s="14">
        <f>IF(원생!$A256="","",SUMIFS(계산!$C:$C,계산!$A:$A,계산!$E256,계산!$B:$B,$B$1*100+7))</f>
        <v/>
      </c>
      <c r="J258" s="14">
        <f>IF(원생!$A256="","",SUMIFS(계산!$C:$C,계산!$A:$A,계산!$E256,계산!$B:$B,$B$1*100+8))</f>
        <v/>
      </c>
      <c r="K258" s="14">
        <f>IF(원생!$A256="","",SUMIFS(계산!$C:$C,계산!$A:$A,계산!$E256,계산!$B:$B,$B$1*100+9))</f>
        <v/>
      </c>
      <c r="L258" s="14">
        <f>IF(원생!$A256="","",SUMIFS(계산!$C:$C,계산!$A:$A,계산!$E256,계산!$B:$B,$B$1*100+10))</f>
        <v/>
      </c>
      <c r="M258" s="14">
        <f>IF(원생!$A256="","",SUMIFS(계산!$C:$C,계산!$A:$A,계산!$E256,계산!$B:$B,$B$1*100+11))</f>
        <v/>
      </c>
      <c r="N258" s="14">
        <f>IF(원생!$A256="","",SUMIFS(계산!$C:$C,계산!$A:$A,계산!$E256,계산!$B:$B,$B$1*100+12))</f>
        <v/>
      </c>
      <c r="O258">
        <f>IF(원생!$I256="","",원생!$I256)</f>
        <v/>
      </c>
      <c r="P258">
        <f>IF($A258="","",IF(AND($B258&gt;0,C258&lt;$B258,DATE($B$1,1,1)&lt;=TODAY(),OR($O258="",$O258&gt;=DATE($B$1,1,1)),OR(COUNTIF($C258:C258,"&gt;0")&gt;0,DATE($B$1,1,1)=DATE(YEAR(TODAY()),MONTH(TODAY()),1))),1,0))</f>
        <v/>
      </c>
      <c r="Q258">
        <f>IF($A258="","",IF(AND($B258&gt;0,D258&lt;$B258,DATE($B$1,2,1)&lt;=TODAY(),OR($O258="",$O258&gt;=DATE($B$1,2,1)),OR(COUNTIF($C258:D258,"&gt;0")&gt;0,DATE($B$1,2,1)=DATE(YEAR(TODAY()),MONTH(TODAY()),1))),1,0))</f>
        <v/>
      </c>
      <c r="R258">
        <f>IF($A258="","",IF(AND($B258&gt;0,E258&lt;$B258,DATE($B$1,3,1)&lt;=TODAY(),OR($O258="",$O258&gt;=DATE($B$1,3,1)),OR(COUNTIF($C258:E258,"&gt;0")&gt;0,DATE($B$1,3,1)=DATE(YEAR(TODAY()),MONTH(TODAY()),1))),1,0))</f>
        <v/>
      </c>
      <c r="S258">
        <f>IF($A258="","",IF(AND($B258&gt;0,F258&lt;$B258,DATE($B$1,4,1)&lt;=TODAY(),OR($O258="",$O258&gt;=DATE($B$1,4,1)),OR(COUNTIF($C258:F258,"&gt;0")&gt;0,DATE($B$1,4,1)=DATE(YEAR(TODAY()),MONTH(TODAY()),1))),1,0))</f>
        <v/>
      </c>
      <c r="T258">
        <f>IF($A258="","",IF(AND($B258&gt;0,G258&lt;$B258,DATE($B$1,5,1)&lt;=TODAY(),OR($O258="",$O258&gt;=DATE($B$1,5,1)),OR(COUNTIF($C258:G258,"&gt;0")&gt;0,DATE($B$1,5,1)=DATE(YEAR(TODAY()),MONTH(TODAY()),1))),1,0))</f>
        <v/>
      </c>
      <c r="U258">
        <f>IF($A258="","",IF(AND($B258&gt;0,H258&lt;$B258,DATE($B$1,6,1)&lt;=TODAY(),OR($O258="",$O258&gt;=DATE($B$1,6,1)),OR(COUNTIF($C258:H258,"&gt;0")&gt;0,DATE($B$1,6,1)=DATE(YEAR(TODAY()),MONTH(TODAY()),1))),1,0))</f>
        <v/>
      </c>
      <c r="V258">
        <f>IF($A258="","",IF(AND($B258&gt;0,I258&lt;$B258,DATE($B$1,7,1)&lt;=TODAY(),OR($O258="",$O258&gt;=DATE($B$1,7,1)),OR(COUNTIF($C258:I258,"&gt;0")&gt;0,DATE($B$1,7,1)=DATE(YEAR(TODAY()),MONTH(TODAY()),1))),1,0))</f>
        <v/>
      </c>
      <c r="W258">
        <f>IF($A258="","",IF(AND($B258&gt;0,J258&lt;$B258,DATE($B$1,8,1)&lt;=TODAY(),OR($O258="",$O258&gt;=DATE($B$1,8,1)),OR(COUNTIF($C258:J258,"&gt;0")&gt;0,DATE($B$1,8,1)=DATE(YEAR(TODAY()),MONTH(TODAY()),1))),1,0))</f>
        <v/>
      </c>
      <c r="X258">
        <f>IF($A258="","",IF(AND($B258&gt;0,K258&lt;$B258,DATE($B$1,9,1)&lt;=TODAY(),OR($O258="",$O258&gt;=DATE($B$1,9,1)),OR(COUNTIF($C258:K258,"&gt;0")&gt;0,DATE($B$1,9,1)=DATE(YEAR(TODAY()),MONTH(TODAY()),1))),1,0))</f>
        <v/>
      </c>
      <c r="Y258">
        <f>IF($A258="","",IF(AND($B258&gt;0,L258&lt;$B258,DATE($B$1,10,1)&lt;=TODAY(),OR($O258="",$O258&gt;=DATE($B$1,10,1)),OR(COUNTIF($C258:L258,"&gt;0")&gt;0,DATE($B$1,10,1)=DATE(YEAR(TODAY()),MONTH(TODAY()),1))),1,0))</f>
        <v/>
      </c>
      <c r="Z258">
        <f>IF($A258="","",IF(AND($B258&gt;0,M258&lt;$B258,DATE($B$1,11,1)&lt;=TODAY(),OR($O258="",$O258&gt;=DATE($B$1,11,1)),OR(COUNTIF($C258:M258,"&gt;0")&gt;0,DATE($B$1,11,1)=DATE(YEAR(TODAY()),MONTH(TODAY()),1))),1,0))</f>
        <v/>
      </c>
      <c r="AA258">
        <f>IF($A258="","",IF(AND($B258&gt;0,N258&lt;$B258,DATE($B$1,12,1)&lt;=TODAY(),OR($O258="",$O258&gt;=DATE($B$1,12,1)),OR(COUNTIF($C258:N258,"&gt;0")&gt;0,DATE($B$1,12,1)=DATE(YEAR(TODAY()),MONTH(TODAY()),1))),1,0))</f>
        <v/>
      </c>
    </row>
    <row r="259">
      <c r="A259" s="13">
        <f>IF(원생!$A257="","",원생!$A257&amp;IF(원생!$G257="",""," ("&amp;원생!$G257&amp;")"))</f>
        <v/>
      </c>
      <c r="B259" s="8">
        <f>IF(원생!$A257="","",N(원생!$F257))</f>
        <v/>
      </c>
      <c r="C259" s="14">
        <f>IF(원생!$A257="","",SUMIFS(계산!$C:$C,계산!$A:$A,계산!$E257,계산!$B:$B,$B$1*100+1))</f>
        <v/>
      </c>
      <c r="D259" s="14">
        <f>IF(원생!$A257="","",SUMIFS(계산!$C:$C,계산!$A:$A,계산!$E257,계산!$B:$B,$B$1*100+2))</f>
        <v/>
      </c>
      <c r="E259" s="14">
        <f>IF(원생!$A257="","",SUMIFS(계산!$C:$C,계산!$A:$A,계산!$E257,계산!$B:$B,$B$1*100+3))</f>
        <v/>
      </c>
      <c r="F259" s="14">
        <f>IF(원생!$A257="","",SUMIFS(계산!$C:$C,계산!$A:$A,계산!$E257,계산!$B:$B,$B$1*100+4))</f>
        <v/>
      </c>
      <c r="G259" s="14">
        <f>IF(원생!$A257="","",SUMIFS(계산!$C:$C,계산!$A:$A,계산!$E257,계산!$B:$B,$B$1*100+5))</f>
        <v/>
      </c>
      <c r="H259" s="14">
        <f>IF(원생!$A257="","",SUMIFS(계산!$C:$C,계산!$A:$A,계산!$E257,계산!$B:$B,$B$1*100+6))</f>
        <v/>
      </c>
      <c r="I259" s="14">
        <f>IF(원생!$A257="","",SUMIFS(계산!$C:$C,계산!$A:$A,계산!$E257,계산!$B:$B,$B$1*100+7))</f>
        <v/>
      </c>
      <c r="J259" s="14">
        <f>IF(원생!$A257="","",SUMIFS(계산!$C:$C,계산!$A:$A,계산!$E257,계산!$B:$B,$B$1*100+8))</f>
        <v/>
      </c>
      <c r="K259" s="14">
        <f>IF(원생!$A257="","",SUMIFS(계산!$C:$C,계산!$A:$A,계산!$E257,계산!$B:$B,$B$1*100+9))</f>
        <v/>
      </c>
      <c r="L259" s="14">
        <f>IF(원생!$A257="","",SUMIFS(계산!$C:$C,계산!$A:$A,계산!$E257,계산!$B:$B,$B$1*100+10))</f>
        <v/>
      </c>
      <c r="M259" s="14">
        <f>IF(원생!$A257="","",SUMIFS(계산!$C:$C,계산!$A:$A,계산!$E257,계산!$B:$B,$B$1*100+11))</f>
        <v/>
      </c>
      <c r="N259" s="14">
        <f>IF(원생!$A257="","",SUMIFS(계산!$C:$C,계산!$A:$A,계산!$E257,계산!$B:$B,$B$1*100+12))</f>
        <v/>
      </c>
      <c r="O259">
        <f>IF(원생!$I257="","",원생!$I257)</f>
        <v/>
      </c>
      <c r="P259">
        <f>IF($A259="","",IF(AND($B259&gt;0,C259&lt;$B259,DATE($B$1,1,1)&lt;=TODAY(),OR($O259="",$O259&gt;=DATE($B$1,1,1)),OR(COUNTIF($C259:C259,"&gt;0")&gt;0,DATE($B$1,1,1)=DATE(YEAR(TODAY()),MONTH(TODAY()),1))),1,0))</f>
        <v/>
      </c>
      <c r="Q259">
        <f>IF($A259="","",IF(AND($B259&gt;0,D259&lt;$B259,DATE($B$1,2,1)&lt;=TODAY(),OR($O259="",$O259&gt;=DATE($B$1,2,1)),OR(COUNTIF($C259:D259,"&gt;0")&gt;0,DATE($B$1,2,1)=DATE(YEAR(TODAY()),MONTH(TODAY()),1))),1,0))</f>
        <v/>
      </c>
      <c r="R259">
        <f>IF($A259="","",IF(AND($B259&gt;0,E259&lt;$B259,DATE($B$1,3,1)&lt;=TODAY(),OR($O259="",$O259&gt;=DATE($B$1,3,1)),OR(COUNTIF($C259:E259,"&gt;0")&gt;0,DATE($B$1,3,1)=DATE(YEAR(TODAY()),MONTH(TODAY()),1))),1,0))</f>
        <v/>
      </c>
      <c r="S259">
        <f>IF($A259="","",IF(AND($B259&gt;0,F259&lt;$B259,DATE($B$1,4,1)&lt;=TODAY(),OR($O259="",$O259&gt;=DATE($B$1,4,1)),OR(COUNTIF($C259:F259,"&gt;0")&gt;0,DATE($B$1,4,1)=DATE(YEAR(TODAY()),MONTH(TODAY()),1))),1,0))</f>
        <v/>
      </c>
      <c r="T259">
        <f>IF($A259="","",IF(AND($B259&gt;0,G259&lt;$B259,DATE($B$1,5,1)&lt;=TODAY(),OR($O259="",$O259&gt;=DATE($B$1,5,1)),OR(COUNTIF($C259:G259,"&gt;0")&gt;0,DATE($B$1,5,1)=DATE(YEAR(TODAY()),MONTH(TODAY()),1))),1,0))</f>
        <v/>
      </c>
      <c r="U259">
        <f>IF($A259="","",IF(AND($B259&gt;0,H259&lt;$B259,DATE($B$1,6,1)&lt;=TODAY(),OR($O259="",$O259&gt;=DATE($B$1,6,1)),OR(COUNTIF($C259:H259,"&gt;0")&gt;0,DATE($B$1,6,1)=DATE(YEAR(TODAY()),MONTH(TODAY()),1))),1,0))</f>
        <v/>
      </c>
      <c r="V259">
        <f>IF($A259="","",IF(AND($B259&gt;0,I259&lt;$B259,DATE($B$1,7,1)&lt;=TODAY(),OR($O259="",$O259&gt;=DATE($B$1,7,1)),OR(COUNTIF($C259:I259,"&gt;0")&gt;0,DATE($B$1,7,1)=DATE(YEAR(TODAY()),MONTH(TODAY()),1))),1,0))</f>
        <v/>
      </c>
      <c r="W259">
        <f>IF($A259="","",IF(AND($B259&gt;0,J259&lt;$B259,DATE($B$1,8,1)&lt;=TODAY(),OR($O259="",$O259&gt;=DATE($B$1,8,1)),OR(COUNTIF($C259:J259,"&gt;0")&gt;0,DATE($B$1,8,1)=DATE(YEAR(TODAY()),MONTH(TODAY()),1))),1,0))</f>
        <v/>
      </c>
      <c r="X259">
        <f>IF($A259="","",IF(AND($B259&gt;0,K259&lt;$B259,DATE($B$1,9,1)&lt;=TODAY(),OR($O259="",$O259&gt;=DATE($B$1,9,1)),OR(COUNTIF($C259:K259,"&gt;0")&gt;0,DATE($B$1,9,1)=DATE(YEAR(TODAY()),MONTH(TODAY()),1))),1,0))</f>
        <v/>
      </c>
      <c r="Y259">
        <f>IF($A259="","",IF(AND($B259&gt;0,L259&lt;$B259,DATE($B$1,10,1)&lt;=TODAY(),OR($O259="",$O259&gt;=DATE($B$1,10,1)),OR(COUNTIF($C259:L259,"&gt;0")&gt;0,DATE($B$1,10,1)=DATE(YEAR(TODAY()),MONTH(TODAY()),1))),1,0))</f>
        <v/>
      </c>
      <c r="Z259">
        <f>IF($A259="","",IF(AND($B259&gt;0,M259&lt;$B259,DATE($B$1,11,1)&lt;=TODAY(),OR($O259="",$O259&gt;=DATE($B$1,11,1)),OR(COUNTIF($C259:M259,"&gt;0")&gt;0,DATE($B$1,11,1)=DATE(YEAR(TODAY()),MONTH(TODAY()),1))),1,0))</f>
        <v/>
      </c>
      <c r="AA259">
        <f>IF($A259="","",IF(AND($B259&gt;0,N259&lt;$B259,DATE($B$1,12,1)&lt;=TODAY(),OR($O259="",$O259&gt;=DATE($B$1,12,1)),OR(COUNTIF($C259:N259,"&gt;0")&gt;0,DATE($B$1,12,1)=DATE(YEAR(TODAY()),MONTH(TODAY()),1))),1,0))</f>
        <v/>
      </c>
    </row>
    <row r="260">
      <c r="A260" s="13">
        <f>IF(원생!$A258="","",원생!$A258&amp;IF(원생!$G258="",""," ("&amp;원생!$G258&amp;")"))</f>
        <v/>
      </c>
      <c r="B260" s="8">
        <f>IF(원생!$A258="","",N(원생!$F258))</f>
        <v/>
      </c>
      <c r="C260" s="14">
        <f>IF(원생!$A258="","",SUMIFS(계산!$C:$C,계산!$A:$A,계산!$E258,계산!$B:$B,$B$1*100+1))</f>
        <v/>
      </c>
      <c r="D260" s="14">
        <f>IF(원생!$A258="","",SUMIFS(계산!$C:$C,계산!$A:$A,계산!$E258,계산!$B:$B,$B$1*100+2))</f>
        <v/>
      </c>
      <c r="E260" s="14">
        <f>IF(원생!$A258="","",SUMIFS(계산!$C:$C,계산!$A:$A,계산!$E258,계산!$B:$B,$B$1*100+3))</f>
        <v/>
      </c>
      <c r="F260" s="14">
        <f>IF(원생!$A258="","",SUMIFS(계산!$C:$C,계산!$A:$A,계산!$E258,계산!$B:$B,$B$1*100+4))</f>
        <v/>
      </c>
      <c r="G260" s="14">
        <f>IF(원생!$A258="","",SUMIFS(계산!$C:$C,계산!$A:$A,계산!$E258,계산!$B:$B,$B$1*100+5))</f>
        <v/>
      </c>
      <c r="H260" s="14">
        <f>IF(원생!$A258="","",SUMIFS(계산!$C:$C,계산!$A:$A,계산!$E258,계산!$B:$B,$B$1*100+6))</f>
        <v/>
      </c>
      <c r="I260" s="14">
        <f>IF(원생!$A258="","",SUMIFS(계산!$C:$C,계산!$A:$A,계산!$E258,계산!$B:$B,$B$1*100+7))</f>
        <v/>
      </c>
      <c r="J260" s="14">
        <f>IF(원생!$A258="","",SUMIFS(계산!$C:$C,계산!$A:$A,계산!$E258,계산!$B:$B,$B$1*100+8))</f>
        <v/>
      </c>
      <c r="K260" s="14">
        <f>IF(원생!$A258="","",SUMIFS(계산!$C:$C,계산!$A:$A,계산!$E258,계산!$B:$B,$B$1*100+9))</f>
        <v/>
      </c>
      <c r="L260" s="14">
        <f>IF(원생!$A258="","",SUMIFS(계산!$C:$C,계산!$A:$A,계산!$E258,계산!$B:$B,$B$1*100+10))</f>
        <v/>
      </c>
      <c r="M260" s="14">
        <f>IF(원생!$A258="","",SUMIFS(계산!$C:$C,계산!$A:$A,계산!$E258,계산!$B:$B,$B$1*100+11))</f>
        <v/>
      </c>
      <c r="N260" s="14">
        <f>IF(원생!$A258="","",SUMIFS(계산!$C:$C,계산!$A:$A,계산!$E258,계산!$B:$B,$B$1*100+12))</f>
        <v/>
      </c>
      <c r="O260">
        <f>IF(원생!$I258="","",원생!$I258)</f>
        <v/>
      </c>
      <c r="P260">
        <f>IF($A260="","",IF(AND($B260&gt;0,C260&lt;$B260,DATE($B$1,1,1)&lt;=TODAY(),OR($O260="",$O260&gt;=DATE($B$1,1,1)),OR(COUNTIF($C260:C260,"&gt;0")&gt;0,DATE($B$1,1,1)=DATE(YEAR(TODAY()),MONTH(TODAY()),1))),1,0))</f>
        <v/>
      </c>
      <c r="Q260">
        <f>IF($A260="","",IF(AND($B260&gt;0,D260&lt;$B260,DATE($B$1,2,1)&lt;=TODAY(),OR($O260="",$O260&gt;=DATE($B$1,2,1)),OR(COUNTIF($C260:D260,"&gt;0")&gt;0,DATE($B$1,2,1)=DATE(YEAR(TODAY()),MONTH(TODAY()),1))),1,0))</f>
        <v/>
      </c>
      <c r="R260">
        <f>IF($A260="","",IF(AND($B260&gt;0,E260&lt;$B260,DATE($B$1,3,1)&lt;=TODAY(),OR($O260="",$O260&gt;=DATE($B$1,3,1)),OR(COUNTIF($C260:E260,"&gt;0")&gt;0,DATE($B$1,3,1)=DATE(YEAR(TODAY()),MONTH(TODAY()),1))),1,0))</f>
        <v/>
      </c>
      <c r="S260">
        <f>IF($A260="","",IF(AND($B260&gt;0,F260&lt;$B260,DATE($B$1,4,1)&lt;=TODAY(),OR($O260="",$O260&gt;=DATE($B$1,4,1)),OR(COUNTIF($C260:F260,"&gt;0")&gt;0,DATE($B$1,4,1)=DATE(YEAR(TODAY()),MONTH(TODAY()),1))),1,0))</f>
        <v/>
      </c>
      <c r="T260">
        <f>IF($A260="","",IF(AND($B260&gt;0,G260&lt;$B260,DATE($B$1,5,1)&lt;=TODAY(),OR($O260="",$O260&gt;=DATE($B$1,5,1)),OR(COUNTIF($C260:G260,"&gt;0")&gt;0,DATE($B$1,5,1)=DATE(YEAR(TODAY()),MONTH(TODAY()),1))),1,0))</f>
        <v/>
      </c>
      <c r="U260">
        <f>IF($A260="","",IF(AND($B260&gt;0,H260&lt;$B260,DATE($B$1,6,1)&lt;=TODAY(),OR($O260="",$O260&gt;=DATE($B$1,6,1)),OR(COUNTIF($C260:H260,"&gt;0")&gt;0,DATE($B$1,6,1)=DATE(YEAR(TODAY()),MONTH(TODAY()),1))),1,0))</f>
        <v/>
      </c>
      <c r="V260">
        <f>IF($A260="","",IF(AND($B260&gt;0,I260&lt;$B260,DATE($B$1,7,1)&lt;=TODAY(),OR($O260="",$O260&gt;=DATE($B$1,7,1)),OR(COUNTIF($C260:I260,"&gt;0")&gt;0,DATE($B$1,7,1)=DATE(YEAR(TODAY()),MONTH(TODAY()),1))),1,0))</f>
        <v/>
      </c>
      <c r="W260">
        <f>IF($A260="","",IF(AND($B260&gt;0,J260&lt;$B260,DATE($B$1,8,1)&lt;=TODAY(),OR($O260="",$O260&gt;=DATE($B$1,8,1)),OR(COUNTIF($C260:J260,"&gt;0")&gt;0,DATE($B$1,8,1)=DATE(YEAR(TODAY()),MONTH(TODAY()),1))),1,0))</f>
        <v/>
      </c>
      <c r="X260">
        <f>IF($A260="","",IF(AND($B260&gt;0,K260&lt;$B260,DATE($B$1,9,1)&lt;=TODAY(),OR($O260="",$O260&gt;=DATE($B$1,9,1)),OR(COUNTIF($C260:K260,"&gt;0")&gt;0,DATE($B$1,9,1)=DATE(YEAR(TODAY()),MONTH(TODAY()),1))),1,0))</f>
        <v/>
      </c>
      <c r="Y260">
        <f>IF($A260="","",IF(AND($B260&gt;0,L260&lt;$B260,DATE($B$1,10,1)&lt;=TODAY(),OR($O260="",$O260&gt;=DATE($B$1,10,1)),OR(COUNTIF($C260:L260,"&gt;0")&gt;0,DATE($B$1,10,1)=DATE(YEAR(TODAY()),MONTH(TODAY()),1))),1,0))</f>
        <v/>
      </c>
      <c r="Z260">
        <f>IF($A260="","",IF(AND($B260&gt;0,M260&lt;$B260,DATE($B$1,11,1)&lt;=TODAY(),OR($O260="",$O260&gt;=DATE($B$1,11,1)),OR(COUNTIF($C260:M260,"&gt;0")&gt;0,DATE($B$1,11,1)=DATE(YEAR(TODAY()),MONTH(TODAY()),1))),1,0))</f>
        <v/>
      </c>
      <c r="AA260">
        <f>IF($A260="","",IF(AND($B260&gt;0,N260&lt;$B260,DATE($B$1,12,1)&lt;=TODAY(),OR($O260="",$O260&gt;=DATE($B$1,12,1)),OR(COUNTIF($C260:N260,"&gt;0")&gt;0,DATE($B$1,12,1)=DATE(YEAR(TODAY()),MONTH(TODAY()),1))),1,0))</f>
        <v/>
      </c>
    </row>
    <row r="261">
      <c r="A261" s="13">
        <f>IF(원생!$A259="","",원생!$A259&amp;IF(원생!$G259="",""," ("&amp;원생!$G259&amp;")"))</f>
        <v/>
      </c>
      <c r="B261" s="8">
        <f>IF(원생!$A259="","",N(원생!$F259))</f>
        <v/>
      </c>
      <c r="C261" s="14">
        <f>IF(원생!$A259="","",SUMIFS(계산!$C:$C,계산!$A:$A,계산!$E259,계산!$B:$B,$B$1*100+1))</f>
        <v/>
      </c>
      <c r="D261" s="14">
        <f>IF(원생!$A259="","",SUMIFS(계산!$C:$C,계산!$A:$A,계산!$E259,계산!$B:$B,$B$1*100+2))</f>
        <v/>
      </c>
      <c r="E261" s="14">
        <f>IF(원생!$A259="","",SUMIFS(계산!$C:$C,계산!$A:$A,계산!$E259,계산!$B:$B,$B$1*100+3))</f>
        <v/>
      </c>
      <c r="F261" s="14">
        <f>IF(원생!$A259="","",SUMIFS(계산!$C:$C,계산!$A:$A,계산!$E259,계산!$B:$B,$B$1*100+4))</f>
        <v/>
      </c>
      <c r="G261" s="14">
        <f>IF(원생!$A259="","",SUMIFS(계산!$C:$C,계산!$A:$A,계산!$E259,계산!$B:$B,$B$1*100+5))</f>
        <v/>
      </c>
      <c r="H261" s="14">
        <f>IF(원생!$A259="","",SUMIFS(계산!$C:$C,계산!$A:$A,계산!$E259,계산!$B:$B,$B$1*100+6))</f>
        <v/>
      </c>
      <c r="I261" s="14">
        <f>IF(원생!$A259="","",SUMIFS(계산!$C:$C,계산!$A:$A,계산!$E259,계산!$B:$B,$B$1*100+7))</f>
        <v/>
      </c>
      <c r="J261" s="14">
        <f>IF(원생!$A259="","",SUMIFS(계산!$C:$C,계산!$A:$A,계산!$E259,계산!$B:$B,$B$1*100+8))</f>
        <v/>
      </c>
      <c r="K261" s="14">
        <f>IF(원생!$A259="","",SUMIFS(계산!$C:$C,계산!$A:$A,계산!$E259,계산!$B:$B,$B$1*100+9))</f>
        <v/>
      </c>
      <c r="L261" s="14">
        <f>IF(원생!$A259="","",SUMIFS(계산!$C:$C,계산!$A:$A,계산!$E259,계산!$B:$B,$B$1*100+10))</f>
        <v/>
      </c>
      <c r="M261" s="14">
        <f>IF(원생!$A259="","",SUMIFS(계산!$C:$C,계산!$A:$A,계산!$E259,계산!$B:$B,$B$1*100+11))</f>
        <v/>
      </c>
      <c r="N261" s="14">
        <f>IF(원생!$A259="","",SUMIFS(계산!$C:$C,계산!$A:$A,계산!$E259,계산!$B:$B,$B$1*100+12))</f>
        <v/>
      </c>
      <c r="O261">
        <f>IF(원생!$I259="","",원생!$I259)</f>
        <v/>
      </c>
      <c r="P261">
        <f>IF($A261="","",IF(AND($B261&gt;0,C261&lt;$B261,DATE($B$1,1,1)&lt;=TODAY(),OR($O261="",$O261&gt;=DATE($B$1,1,1)),OR(COUNTIF($C261:C261,"&gt;0")&gt;0,DATE($B$1,1,1)=DATE(YEAR(TODAY()),MONTH(TODAY()),1))),1,0))</f>
        <v/>
      </c>
      <c r="Q261">
        <f>IF($A261="","",IF(AND($B261&gt;0,D261&lt;$B261,DATE($B$1,2,1)&lt;=TODAY(),OR($O261="",$O261&gt;=DATE($B$1,2,1)),OR(COUNTIF($C261:D261,"&gt;0")&gt;0,DATE($B$1,2,1)=DATE(YEAR(TODAY()),MONTH(TODAY()),1))),1,0))</f>
        <v/>
      </c>
      <c r="R261">
        <f>IF($A261="","",IF(AND($B261&gt;0,E261&lt;$B261,DATE($B$1,3,1)&lt;=TODAY(),OR($O261="",$O261&gt;=DATE($B$1,3,1)),OR(COUNTIF($C261:E261,"&gt;0")&gt;0,DATE($B$1,3,1)=DATE(YEAR(TODAY()),MONTH(TODAY()),1))),1,0))</f>
        <v/>
      </c>
      <c r="S261">
        <f>IF($A261="","",IF(AND($B261&gt;0,F261&lt;$B261,DATE($B$1,4,1)&lt;=TODAY(),OR($O261="",$O261&gt;=DATE($B$1,4,1)),OR(COUNTIF($C261:F261,"&gt;0")&gt;0,DATE($B$1,4,1)=DATE(YEAR(TODAY()),MONTH(TODAY()),1))),1,0))</f>
        <v/>
      </c>
      <c r="T261">
        <f>IF($A261="","",IF(AND($B261&gt;0,G261&lt;$B261,DATE($B$1,5,1)&lt;=TODAY(),OR($O261="",$O261&gt;=DATE($B$1,5,1)),OR(COUNTIF($C261:G261,"&gt;0")&gt;0,DATE($B$1,5,1)=DATE(YEAR(TODAY()),MONTH(TODAY()),1))),1,0))</f>
        <v/>
      </c>
      <c r="U261">
        <f>IF($A261="","",IF(AND($B261&gt;0,H261&lt;$B261,DATE($B$1,6,1)&lt;=TODAY(),OR($O261="",$O261&gt;=DATE($B$1,6,1)),OR(COUNTIF($C261:H261,"&gt;0")&gt;0,DATE($B$1,6,1)=DATE(YEAR(TODAY()),MONTH(TODAY()),1))),1,0))</f>
        <v/>
      </c>
      <c r="V261">
        <f>IF($A261="","",IF(AND($B261&gt;0,I261&lt;$B261,DATE($B$1,7,1)&lt;=TODAY(),OR($O261="",$O261&gt;=DATE($B$1,7,1)),OR(COUNTIF($C261:I261,"&gt;0")&gt;0,DATE($B$1,7,1)=DATE(YEAR(TODAY()),MONTH(TODAY()),1))),1,0))</f>
        <v/>
      </c>
      <c r="W261">
        <f>IF($A261="","",IF(AND($B261&gt;0,J261&lt;$B261,DATE($B$1,8,1)&lt;=TODAY(),OR($O261="",$O261&gt;=DATE($B$1,8,1)),OR(COUNTIF($C261:J261,"&gt;0")&gt;0,DATE($B$1,8,1)=DATE(YEAR(TODAY()),MONTH(TODAY()),1))),1,0))</f>
        <v/>
      </c>
      <c r="X261">
        <f>IF($A261="","",IF(AND($B261&gt;0,K261&lt;$B261,DATE($B$1,9,1)&lt;=TODAY(),OR($O261="",$O261&gt;=DATE($B$1,9,1)),OR(COUNTIF($C261:K261,"&gt;0")&gt;0,DATE($B$1,9,1)=DATE(YEAR(TODAY()),MONTH(TODAY()),1))),1,0))</f>
        <v/>
      </c>
      <c r="Y261">
        <f>IF($A261="","",IF(AND($B261&gt;0,L261&lt;$B261,DATE($B$1,10,1)&lt;=TODAY(),OR($O261="",$O261&gt;=DATE($B$1,10,1)),OR(COUNTIF($C261:L261,"&gt;0")&gt;0,DATE($B$1,10,1)=DATE(YEAR(TODAY()),MONTH(TODAY()),1))),1,0))</f>
        <v/>
      </c>
      <c r="Z261">
        <f>IF($A261="","",IF(AND($B261&gt;0,M261&lt;$B261,DATE($B$1,11,1)&lt;=TODAY(),OR($O261="",$O261&gt;=DATE($B$1,11,1)),OR(COUNTIF($C261:M261,"&gt;0")&gt;0,DATE($B$1,11,1)=DATE(YEAR(TODAY()),MONTH(TODAY()),1))),1,0))</f>
        <v/>
      </c>
      <c r="AA261">
        <f>IF($A261="","",IF(AND($B261&gt;0,N261&lt;$B261,DATE($B$1,12,1)&lt;=TODAY(),OR($O261="",$O261&gt;=DATE($B$1,12,1)),OR(COUNTIF($C261:N261,"&gt;0")&gt;0,DATE($B$1,12,1)=DATE(YEAR(TODAY()),MONTH(TODAY()),1))),1,0))</f>
        <v/>
      </c>
    </row>
    <row r="262">
      <c r="A262" s="13">
        <f>IF(원생!$A260="","",원생!$A260&amp;IF(원생!$G260="",""," ("&amp;원생!$G260&amp;")"))</f>
        <v/>
      </c>
      <c r="B262" s="8">
        <f>IF(원생!$A260="","",N(원생!$F260))</f>
        <v/>
      </c>
      <c r="C262" s="14">
        <f>IF(원생!$A260="","",SUMIFS(계산!$C:$C,계산!$A:$A,계산!$E260,계산!$B:$B,$B$1*100+1))</f>
        <v/>
      </c>
      <c r="D262" s="14">
        <f>IF(원생!$A260="","",SUMIFS(계산!$C:$C,계산!$A:$A,계산!$E260,계산!$B:$B,$B$1*100+2))</f>
        <v/>
      </c>
      <c r="E262" s="14">
        <f>IF(원생!$A260="","",SUMIFS(계산!$C:$C,계산!$A:$A,계산!$E260,계산!$B:$B,$B$1*100+3))</f>
        <v/>
      </c>
      <c r="F262" s="14">
        <f>IF(원생!$A260="","",SUMIFS(계산!$C:$C,계산!$A:$A,계산!$E260,계산!$B:$B,$B$1*100+4))</f>
        <v/>
      </c>
      <c r="G262" s="14">
        <f>IF(원생!$A260="","",SUMIFS(계산!$C:$C,계산!$A:$A,계산!$E260,계산!$B:$B,$B$1*100+5))</f>
        <v/>
      </c>
      <c r="H262" s="14">
        <f>IF(원생!$A260="","",SUMIFS(계산!$C:$C,계산!$A:$A,계산!$E260,계산!$B:$B,$B$1*100+6))</f>
        <v/>
      </c>
      <c r="I262" s="14">
        <f>IF(원생!$A260="","",SUMIFS(계산!$C:$C,계산!$A:$A,계산!$E260,계산!$B:$B,$B$1*100+7))</f>
        <v/>
      </c>
      <c r="J262" s="14">
        <f>IF(원생!$A260="","",SUMIFS(계산!$C:$C,계산!$A:$A,계산!$E260,계산!$B:$B,$B$1*100+8))</f>
        <v/>
      </c>
      <c r="K262" s="14">
        <f>IF(원생!$A260="","",SUMIFS(계산!$C:$C,계산!$A:$A,계산!$E260,계산!$B:$B,$B$1*100+9))</f>
        <v/>
      </c>
      <c r="L262" s="14">
        <f>IF(원생!$A260="","",SUMIFS(계산!$C:$C,계산!$A:$A,계산!$E260,계산!$B:$B,$B$1*100+10))</f>
        <v/>
      </c>
      <c r="M262" s="14">
        <f>IF(원생!$A260="","",SUMIFS(계산!$C:$C,계산!$A:$A,계산!$E260,계산!$B:$B,$B$1*100+11))</f>
        <v/>
      </c>
      <c r="N262" s="14">
        <f>IF(원생!$A260="","",SUMIFS(계산!$C:$C,계산!$A:$A,계산!$E260,계산!$B:$B,$B$1*100+12))</f>
        <v/>
      </c>
      <c r="O262">
        <f>IF(원생!$I260="","",원생!$I260)</f>
        <v/>
      </c>
      <c r="P262">
        <f>IF($A262="","",IF(AND($B262&gt;0,C262&lt;$B262,DATE($B$1,1,1)&lt;=TODAY(),OR($O262="",$O262&gt;=DATE($B$1,1,1)),OR(COUNTIF($C262:C262,"&gt;0")&gt;0,DATE($B$1,1,1)=DATE(YEAR(TODAY()),MONTH(TODAY()),1))),1,0))</f>
        <v/>
      </c>
      <c r="Q262">
        <f>IF($A262="","",IF(AND($B262&gt;0,D262&lt;$B262,DATE($B$1,2,1)&lt;=TODAY(),OR($O262="",$O262&gt;=DATE($B$1,2,1)),OR(COUNTIF($C262:D262,"&gt;0")&gt;0,DATE($B$1,2,1)=DATE(YEAR(TODAY()),MONTH(TODAY()),1))),1,0))</f>
        <v/>
      </c>
      <c r="R262">
        <f>IF($A262="","",IF(AND($B262&gt;0,E262&lt;$B262,DATE($B$1,3,1)&lt;=TODAY(),OR($O262="",$O262&gt;=DATE($B$1,3,1)),OR(COUNTIF($C262:E262,"&gt;0")&gt;0,DATE($B$1,3,1)=DATE(YEAR(TODAY()),MONTH(TODAY()),1))),1,0))</f>
        <v/>
      </c>
      <c r="S262">
        <f>IF($A262="","",IF(AND($B262&gt;0,F262&lt;$B262,DATE($B$1,4,1)&lt;=TODAY(),OR($O262="",$O262&gt;=DATE($B$1,4,1)),OR(COUNTIF($C262:F262,"&gt;0")&gt;0,DATE($B$1,4,1)=DATE(YEAR(TODAY()),MONTH(TODAY()),1))),1,0))</f>
        <v/>
      </c>
      <c r="T262">
        <f>IF($A262="","",IF(AND($B262&gt;0,G262&lt;$B262,DATE($B$1,5,1)&lt;=TODAY(),OR($O262="",$O262&gt;=DATE($B$1,5,1)),OR(COUNTIF($C262:G262,"&gt;0")&gt;0,DATE($B$1,5,1)=DATE(YEAR(TODAY()),MONTH(TODAY()),1))),1,0))</f>
        <v/>
      </c>
      <c r="U262">
        <f>IF($A262="","",IF(AND($B262&gt;0,H262&lt;$B262,DATE($B$1,6,1)&lt;=TODAY(),OR($O262="",$O262&gt;=DATE($B$1,6,1)),OR(COUNTIF($C262:H262,"&gt;0")&gt;0,DATE($B$1,6,1)=DATE(YEAR(TODAY()),MONTH(TODAY()),1))),1,0))</f>
        <v/>
      </c>
      <c r="V262">
        <f>IF($A262="","",IF(AND($B262&gt;0,I262&lt;$B262,DATE($B$1,7,1)&lt;=TODAY(),OR($O262="",$O262&gt;=DATE($B$1,7,1)),OR(COUNTIF($C262:I262,"&gt;0")&gt;0,DATE($B$1,7,1)=DATE(YEAR(TODAY()),MONTH(TODAY()),1))),1,0))</f>
        <v/>
      </c>
      <c r="W262">
        <f>IF($A262="","",IF(AND($B262&gt;0,J262&lt;$B262,DATE($B$1,8,1)&lt;=TODAY(),OR($O262="",$O262&gt;=DATE($B$1,8,1)),OR(COUNTIF($C262:J262,"&gt;0")&gt;0,DATE($B$1,8,1)=DATE(YEAR(TODAY()),MONTH(TODAY()),1))),1,0))</f>
        <v/>
      </c>
      <c r="X262">
        <f>IF($A262="","",IF(AND($B262&gt;0,K262&lt;$B262,DATE($B$1,9,1)&lt;=TODAY(),OR($O262="",$O262&gt;=DATE($B$1,9,1)),OR(COUNTIF($C262:K262,"&gt;0")&gt;0,DATE($B$1,9,1)=DATE(YEAR(TODAY()),MONTH(TODAY()),1))),1,0))</f>
        <v/>
      </c>
      <c r="Y262">
        <f>IF($A262="","",IF(AND($B262&gt;0,L262&lt;$B262,DATE($B$1,10,1)&lt;=TODAY(),OR($O262="",$O262&gt;=DATE($B$1,10,1)),OR(COUNTIF($C262:L262,"&gt;0")&gt;0,DATE($B$1,10,1)=DATE(YEAR(TODAY()),MONTH(TODAY()),1))),1,0))</f>
        <v/>
      </c>
      <c r="Z262">
        <f>IF($A262="","",IF(AND($B262&gt;0,M262&lt;$B262,DATE($B$1,11,1)&lt;=TODAY(),OR($O262="",$O262&gt;=DATE($B$1,11,1)),OR(COUNTIF($C262:M262,"&gt;0")&gt;0,DATE($B$1,11,1)=DATE(YEAR(TODAY()),MONTH(TODAY()),1))),1,0))</f>
        <v/>
      </c>
      <c r="AA262">
        <f>IF($A262="","",IF(AND($B262&gt;0,N262&lt;$B262,DATE($B$1,12,1)&lt;=TODAY(),OR($O262="",$O262&gt;=DATE($B$1,12,1)),OR(COUNTIF($C262:N262,"&gt;0")&gt;0,DATE($B$1,12,1)=DATE(YEAR(TODAY()),MONTH(TODAY()),1))),1,0))</f>
        <v/>
      </c>
    </row>
    <row r="263">
      <c r="A263" s="13">
        <f>IF(원생!$A261="","",원생!$A261&amp;IF(원생!$G261="",""," ("&amp;원생!$G261&amp;")"))</f>
        <v/>
      </c>
      <c r="B263" s="8">
        <f>IF(원생!$A261="","",N(원생!$F261))</f>
        <v/>
      </c>
      <c r="C263" s="14">
        <f>IF(원생!$A261="","",SUMIFS(계산!$C:$C,계산!$A:$A,계산!$E261,계산!$B:$B,$B$1*100+1))</f>
        <v/>
      </c>
      <c r="D263" s="14">
        <f>IF(원생!$A261="","",SUMIFS(계산!$C:$C,계산!$A:$A,계산!$E261,계산!$B:$B,$B$1*100+2))</f>
        <v/>
      </c>
      <c r="E263" s="14">
        <f>IF(원생!$A261="","",SUMIFS(계산!$C:$C,계산!$A:$A,계산!$E261,계산!$B:$B,$B$1*100+3))</f>
        <v/>
      </c>
      <c r="F263" s="14">
        <f>IF(원생!$A261="","",SUMIFS(계산!$C:$C,계산!$A:$A,계산!$E261,계산!$B:$B,$B$1*100+4))</f>
        <v/>
      </c>
      <c r="G263" s="14">
        <f>IF(원생!$A261="","",SUMIFS(계산!$C:$C,계산!$A:$A,계산!$E261,계산!$B:$B,$B$1*100+5))</f>
        <v/>
      </c>
      <c r="H263" s="14">
        <f>IF(원생!$A261="","",SUMIFS(계산!$C:$C,계산!$A:$A,계산!$E261,계산!$B:$B,$B$1*100+6))</f>
        <v/>
      </c>
      <c r="I263" s="14">
        <f>IF(원생!$A261="","",SUMIFS(계산!$C:$C,계산!$A:$A,계산!$E261,계산!$B:$B,$B$1*100+7))</f>
        <v/>
      </c>
      <c r="J263" s="14">
        <f>IF(원생!$A261="","",SUMIFS(계산!$C:$C,계산!$A:$A,계산!$E261,계산!$B:$B,$B$1*100+8))</f>
        <v/>
      </c>
      <c r="K263" s="14">
        <f>IF(원생!$A261="","",SUMIFS(계산!$C:$C,계산!$A:$A,계산!$E261,계산!$B:$B,$B$1*100+9))</f>
        <v/>
      </c>
      <c r="L263" s="14">
        <f>IF(원생!$A261="","",SUMIFS(계산!$C:$C,계산!$A:$A,계산!$E261,계산!$B:$B,$B$1*100+10))</f>
        <v/>
      </c>
      <c r="M263" s="14">
        <f>IF(원생!$A261="","",SUMIFS(계산!$C:$C,계산!$A:$A,계산!$E261,계산!$B:$B,$B$1*100+11))</f>
        <v/>
      </c>
      <c r="N263" s="14">
        <f>IF(원생!$A261="","",SUMIFS(계산!$C:$C,계산!$A:$A,계산!$E261,계산!$B:$B,$B$1*100+12))</f>
        <v/>
      </c>
      <c r="O263">
        <f>IF(원생!$I261="","",원생!$I261)</f>
        <v/>
      </c>
      <c r="P263">
        <f>IF($A263="","",IF(AND($B263&gt;0,C263&lt;$B263,DATE($B$1,1,1)&lt;=TODAY(),OR($O263="",$O263&gt;=DATE($B$1,1,1)),OR(COUNTIF($C263:C263,"&gt;0")&gt;0,DATE($B$1,1,1)=DATE(YEAR(TODAY()),MONTH(TODAY()),1))),1,0))</f>
        <v/>
      </c>
      <c r="Q263">
        <f>IF($A263="","",IF(AND($B263&gt;0,D263&lt;$B263,DATE($B$1,2,1)&lt;=TODAY(),OR($O263="",$O263&gt;=DATE($B$1,2,1)),OR(COUNTIF($C263:D263,"&gt;0")&gt;0,DATE($B$1,2,1)=DATE(YEAR(TODAY()),MONTH(TODAY()),1))),1,0))</f>
        <v/>
      </c>
      <c r="R263">
        <f>IF($A263="","",IF(AND($B263&gt;0,E263&lt;$B263,DATE($B$1,3,1)&lt;=TODAY(),OR($O263="",$O263&gt;=DATE($B$1,3,1)),OR(COUNTIF($C263:E263,"&gt;0")&gt;0,DATE($B$1,3,1)=DATE(YEAR(TODAY()),MONTH(TODAY()),1))),1,0))</f>
        <v/>
      </c>
      <c r="S263">
        <f>IF($A263="","",IF(AND($B263&gt;0,F263&lt;$B263,DATE($B$1,4,1)&lt;=TODAY(),OR($O263="",$O263&gt;=DATE($B$1,4,1)),OR(COUNTIF($C263:F263,"&gt;0")&gt;0,DATE($B$1,4,1)=DATE(YEAR(TODAY()),MONTH(TODAY()),1))),1,0))</f>
        <v/>
      </c>
      <c r="T263">
        <f>IF($A263="","",IF(AND($B263&gt;0,G263&lt;$B263,DATE($B$1,5,1)&lt;=TODAY(),OR($O263="",$O263&gt;=DATE($B$1,5,1)),OR(COUNTIF($C263:G263,"&gt;0")&gt;0,DATE($B$1,5,1)=DATE(YEAR(TODAY()),MONTH(TODAY()),1))),1,0))</f>
        <v/>
      </c>
      <c r="U263">
        <f>IF($A263="","",IF(AND($B263&gt;0,H263&lt;$B263,DATE($B$1,6,1)&lt;=TODAY(),OR($O263="",$O263&gt;=DATE($B$1,6,1)),OR(COUNTIF($C263:H263,"&gt;0")&gt;0,DATE($B$1,6,1)=DATE(YEAR(TODAY()),MONTH(TODAY()),1))),1,0))</f>
        <v/>
      </c>
      <c r="V263">
        <f>IF($A263="","",IF(AND($B263&gt;0,I263&lt;$B263,DATE($B$1,7,1)&lt;=TODAY(),OR($O263="",$O263&gt;=DATE($B$1,7,1)),OR(COUNTIF($C263:I263,"&gt;0")&gt;0,DATE($B$1,7,1)=DATE(YEAR(TODAY()),MONTH(TODAY()),1))),1,0))</f>
        <v/>
      </c>
      <c r="W263">
        <f>IF($A263="","",IF(AND($B263&gt;0,J263&lt;$B263,DATE($B$1,8,1)&lt;=TODAY(),OR($O263="",$O263&gt;=DATE($B$1,8,1)),OR(COUNTIF($C263:J263,"&gt;0")&gt;0,DATE($B$1,8,1)=DATE(YEAR(TODAY()),MONTH(TODAY()),1))),1,0))</f>
        <v/>
      </c>
      <c r="X263">
        <f>IF($A263="","",IF(AND($B263&gt;0,K263&lt;$B263,DATE($B$1,9,1)&lt;=TODAY(),OR($O263="",$O263&gt;=DATE($B$1,9,1)),OR(COUNTIF($C263:K263,"&gt;0")&gt;0,DATE($B$1,9,1)=DATE(YEAR(TODAY()),MONTH(TODAY()),1))),1,0))</f>
        <v/>
      </c>
      <c r="Y263">
        <f>IF($A263="","",IF(AND($B263&gt;0,L263&lt;$B263,DATE($B$1,10,1)&lt;=TODAY(),OR($O263="",$O263&gt;=DATE($B$1,10,1)),OR(COUNTIF($C263:L263,"&gt;0")&gt;0,DATE($B$1,10,1)=DATE(YEAR(TODAY()),MONTH(TODAY()),1))),1,0))</f>
        <v/>
      </c>
      <c r="Z263">
        <f>IF($A263="","",IF(AND($B263&gt;0,M263&lt;$B263,DATE($B$1,11,1)&lt;=TODAY(),OR($O263="",$O263&gt;=DATE($B$1,11,1)),OR(COUNTIF($C263:M263,"&gt;0")&gt;0,DATE($B$1,11,1)=DATE(YEAR(TODAY()),MONTH(TODAY()),1))),1,0))</f>
        <v/>
      </c>
      <c r="AA263">
        <f>IF($A263="","",IF(AND($B263&gt;0,N263&lt;$B263,DATE($B$1,12,1)&lt;=TODAY(),OR($O263="",$O263&gt;=DATE($B$1,12,1)),OR(COUNTIF($C263:N263,"&gt;0")&gt;0,DATE($B$1,12,1)=DATE(YEAR(TODAY()),MONTH(TODAY()),1))),1,0))</f>
        <v/>
      </c>
    </row>
    <row r="264">
      <c r="A264" s="13">
        <f>IF(원생!$A262="","",원생!$A262&amp;IF(원생!$G262="",""," ("&amp;원생!$G262&amp;")"))</f>
        <v/>
      </c>
      <c r="B264" s="8">
        <f>IF(원생!$A262="","",N(원생!$F262))</f>
        <v/>
      </c>
      <c r="C264" s="14">
        <f>IF(원생!$A262="","",SUMIFS(계산!$C:$C,계산!$A:$A,계산!$E262,계산!$B:$B,$B$1*100+1))</f>
        <v/>
      </c>
      <c r="D264" s="14">
        <f>IF(원생!$A262="","",SUMIFS(계산!$C:$C,계산!$A:$A,계산!$E262,계산!$B:$B,$B$1*100+2))</f>
        <v/>
      </c>
      <c r="E264" s="14">
        <f>IF(원생!$A262="","",SUMIFS(계산!$C:$C,계산!$A:$A,계산!$E262,계산!$B:$B,$B$1*100+3))</f>
        <v/>
      </c>
      <c r="F264" s="14">
        <f>IF(원생!$A262="","",SUMIFS(계산!$C:$C,계산!$A:$A,계산!$E262,계산!$B:$B,$B$1*100+4))</f>
        <v/>
      </c>
      <c r="G264" s="14">
        <f>IF(원생!$A262="","",SUMIFS(계산!$C:$C,계산!$A:$A,계산!$E262,계산!$B:$B,$B$1*100+5))</f>
        <v/>
      </c>
      <c r="H264" s="14">
        <f>IF(원생!$A262="","",SUMIFS(계산!$C:$C,계산!$A:$A,계산!$E262,계산!$B:$B,$B$1*100+6))</f>
        <v/>
      </c>
      <c r="I264" s="14">
        <f>IF(원생!$A262="","",SUMIFS(계산!$C:$C,계산!$A:$A,계산!$E262,계산!$B:$B,$B$1*100+7))</f>
        <v/>
      </c>
      <c r="J264" s="14">
        <f>IF(원생!$A262="","",SUMIFS(계산!$C:$C,계산!$A:$A,계산!$E262,계산!$B:$B,$B$1*100+8))</f>
        <v/>
      </c>
      <c r="K264" s="14">
        <f>IF(원생!$A262="","",SUMIFS(계산!$C:$C,계산!$A:$A,계산!$E262,계산!$B:$B,$B$1*100+9))</f>
        <v/>
      </c>
      <c r="L264" s="14">
        <f>IF(원생!$A262="","",SUMIFS(계산!$C:$C,계산!$A:$A,계산!$E262,계산!$B:$B,$B$1*100+10))</f>
        <v/>
      </c>
      <c r="M264" s="14">
        <f>IF(원생!$A262="","",SUMIFS(계산!$C:$C,계산!$A:$A,계산!$E262,계산!$B:$B,$B$1*100+11))</f>
        <v/>
      </c>
      <c r="N264" s="14">
        <f>IF(원생!$A262="","",SUMIFS(계산!$C:$C,계산!$A:$A,계산!$E262,계산!$B:$B,$B$1*100+12))</f>
        <v/>
      </c>
      <c r="O264">
        <f>IF(원생!$I262="","",원생!$I262)</f>
        <v/>
      </c>
      <c r="P264">
        <f>IF($A264="","",IF(AND($B264&gt;0,C264&lt;$B264,DATE($B$1,1,1)&lt;=TODAY(),OR($O264="",$O264&gt;=DATE($B$1,1,1)),OR(COUNTIF($C264:C264,"&gt;0")&gt;0,DATE($B$1,1,1)=DATE(YEAR(TODAY()),MONTH(TODAY()),1))),1,0))</f>
        <v/>
      </c>
      <c r="Q264">
        <f>IF($A264="","",IF(AND($B264&gt;0,D264&lt;$B264,DATE($B$1,2,1)&lt;=TODAY(),OR($O264="",$O264&gt;=DATE($B$1,2,1)),OR(COUNTIF($C264:D264,"&gt;0")&gt;0,DATE($B$1,2,1)=DATE(YEAR(TODAY()),MONTH(TODAY()),1))),1,0))</f>
        <v/>
      </c>
      <c r="R264">
        <f>IF($A264="","",IF(AND($B264&gt;0,E264&lt;$B264,DATE($B$1,3,1)&lt;=TODAY(),OR($O264="",$O264&gt;=DATE($B$1,3,1)),OR(COUNTIF($C264:E264,"&gt;0")&gt;0,DATE($B$1,3,1)=DATE(YEAR(TODAY()),MONTH(TODAY()),1))),1,0))</f>
        <v/>
      </c>
      <c r="S264">
        <f>IF($A264="","",IF(AND($B264&gt;0,F264&lt;$B264,DATE($B$1,4,1)&lt;=TODAY(),OR($O264="",$O264&gt;=DATE($B$1,4,1)),OR(COUNTIF($C264:F264,"&gt;0")&gt;0,DATE($B$1,4,1)=DATE(YEAR(TODAY()),MONTH(TODAY()),1))),1,0))</f>
        <v/>
      </c>
      <c r="T264">
        <f>IF($A264="","",IF(AND($B264&gt;0,G264&lt;$B264,DATE($B$1,5,1)&lt;=TODAY(),OR($O264="",$O264&gt;=DATE($B$1,5,1)),OR(COUNTIF($C264:G264,"&gt;0")&gt;0,DATE($B$1,5,1)=DATE(YEAR(TODAY()),MONTH(TODAY()),1))),1,0))</f>
        <v/>
      </c>
      <c r="U264">
        <f>IF($A264="","",IF(AND($B264&gt;0,H264&lt;$B264,DATE($B$1,6,1)&lt;=TODAY(),OR($O264="",$O264&gt;=DATE($B$1,6,1)),OR(COUNTIF($C264:H264,"&gt;0")&gt;0,DATE($B$1,6,1)=DATE(YEAR(TODAY()),MONTH(TODAY()),1))),1,0))</f>
        <v/>
      </c>
      <c r="V264">
        <f>IF($A264="","",IF(AND($B264&gt;0,I264&lt;$B264,DATE($B$1,7,1)&lt;=TODAY(),OR($O264="",$O264&gt;=DATE($B$1,7,1)),OR(COUNTIF($C264:I264,"&gt;0")&gt;0,DATE($B$1,7,1)=DATE(YEAR(TODAY()),MONTH(TODAY()),1))),1,0))</f>
        <v/>
      </c>
      <c r="W264">
        <f>IF($A264="","",IF(AND($B264&gt;0,J264&lt;$B264,DATE($B$1,8,1)&lt;=TODAY(),OR($O264="",$O264&gt;=DATE($B$1,8,1)),OR(COUNTIF($C264:J264,"&gt;0")&gt;0,DATE($B$1,8,1)=DATE(YEAR(TODAY()),MONTH(TODAY()),1))),1,0))</f>
        <v/>
      </c>
      <c r="X264">
        <f>IF($A264="","",IF(AND($B264&gt;0,K264&lt;$B264,DATE($B$1,9,1)&lt;=TODAY(),OR($O264="",$O264&gt;=DATE($B$1,9,1)),OR(COUNTIF($C264:K264,"&gt;0")&gt;0,DATE($B$1,9,1)=DATE(YEAR(TODAY()),MONTH(TODAY()),1))),1,0))</f>
        <v/>
      </c>
      <c r="Y264">
        <f>IF($A264="","",IF(AND($B264&gt;0,L264&lt;$B264,DATE($B$1,10,1)&lt;=TODAY(),OR($O264="",$O264&gt;=DATE($B$1,10,1)),OR(COUNTIF($C264:L264,"&gt;0")&gt;0,DATE($B$1,10,1)=DATE(YEAR(TODAY()),MONTH(TODAY()),1))),1,0))</f>
        <v/>
      </c>
      <c r="Z264">
        <f>IF($A264="","",IF(AND($B264&gt;0,M264&lt;$B264,DATE($B$1,11,1)&lt;=TODAY(),OR($O264="",$O264&gt;=DATE($B$1,11,1)),OR(COUNTIF($C264:M264,"&gt;0")&gt;0,DATE($B$1,11,1)=DATE(YEAR(TODAY()),MONTH(TODAY()),1))),1,0))</f>
        <v/>
      </c>
      <c r="AA264">
        <f>IF($A264="","",IF(AND($B264&gt;0,N264&lt;$B264,DATE($B$1,12,1)&lt;=TODAY(),OR($O264="",$O264&gt;=DATE($B$1,12,1)),OR(COUNTIF($C264:N264,"&gt;0")&gt;0,DATE($B$1,12,1)=DATE(YEAR(TODAY()),MONTH(TODAY()),1))),1,0))</f>
        <v/>
      </c>
    </row>
    <row r="265">
      <c r="A265" s="13">
        <f>IF(원생!$A263="","",원생!$A263&amp;IF(원생!$G263="",""," ("&amp;원생!$G263&amp;")"))</f>
        <v/>
      </c>
      <c r="B265" s="8">
        <f>IF(원생!$A263="","",N(원생!$F263))</f>
        <v/>
      </c>
      <c r="C265" s="14">
        <f>IF(원생!$A263="","",SUMIFS(계산!$C:$C,계산!$A:$A,계산!$E263,계산!$B:$B,$B$1*100+1))</f>
        <v/>
      </c>
      <c r="D265" s="14">
        <f>IF(원생!$A263="","",SUMIFS(계산!$C:$C,계산!$A:$A,계산!$E263,계산!$B:$B,$B$1*100+2))</f>
        <v/>
      </c>
      <c r="E265" s="14">
        <f>IF(원생!$A263="","",SUMIFS(계산!$C:$C,계산!$A:$A,계산!$E263,계산!$B:$B,$B$1*100+3))</f>
        <v/>
      </c>
      <c r="F265" s="14">
        <f>IF(원생!$A263="","",SUMIFS(계산!$C:$C,계산!$A:$A,계산!$E263,계산!$B:$B,$B$1*100+4))</f>
        <v/>
      </c>
      <c r="G265" s="14">
        <f>IF(원생!$A263="","",SUMIFS(계산!$C:$C,계산!$A:$A,계산!$E263,계산!$B:$B,$B$1*100+5))</f>
        <v/>
      </c>
      <c r="H265" s="14">
        <f>IF(원생!$A263="","",SUMIFS(계산!$C:$C,계산!$A:$A,계산!$E263,계산!$B:$B,$B$1*100+6))</f>
        <v/>
      </c>
      <c r="I265" s="14">
        <f>IF(원생!$A263="","",SUMIFS(계산!$C:$C,계산!$A:$A,계산!$E263,계산!$B:$B,$B$1*100+7))</f>
        <v/>
      </c>
      <c r="J265" s="14">
        <f>IF(원생!$A263="","",SUMIFS(계산!$C:$C,계산!$A:$A,계산!$E263,계산!$B:$B,$B$1*100+8))</f>
        <v/>
      </c>
      <c r="K265" s="14">
        <f>IF(원생!$A263="","",SUMIFS(계산!$C:$C,계산!$A:$A,계산!$E263,계산!$B:$B,$B$1*100+9))</f>
        <v/>
      </c>
      <c r="L265" s="14">
        <f>IF(원생!$A263="","",SUMIFS(계산!$C:$C,계산!$A:$A,계산!$E263,계산!$B:$B,$B$1*100+10))</f>
        <v/>
      </c>
      <c r="M265" s="14">
        <f>IF(원생!$A263="","",SUMIFS(계산!$C:$C,계산!$A:$A,계산!$E263,계산!$B:$B,$B$1*100+11))</f>
        <v/>
      </c>
      <c r="N265" s="14">
        <f>IF(원생!$A263="","",SUMIFS(계산!$C:$C,계산!$A:$A,계산!$E263,계산!$B:$B,$B$1*100+12))</f>
        <v/>
      </c>
      <c r="O265">
        <f>IF(원생!$I263="","",원생!$I263)</f>
        <v/>
      </c>
      <c r="P265">
        <f>IF($A265="","",IF(AND($B265&gt;0,C265&lt;$B265,DATE($B$1,1,1)&lt;=TODAY(),OR($O265="",$O265&gt;=DATE($B$1,1,1)),OR(COUNTIF($C265:C265,"&gt;0")&gt;0,DATE($B$1,1,1)=DATE(YEAR(TODAY()),MONTH(TODAY()),1))),1,0))</f>
        <v/>
      </c>
      <c r="Q265">
        <f>IF($A265="","",IF(AND($B265&gt;0,D265&lt;$B265,DATE($B$1,2,1)&lt;=TODAY(),OR($O265="",$O265&gt;=DATE($B$1,2,1)),OR(COUNTIF($C265:D265,"&gt;0")&gt;0,DATE($B$1,2,1)=DATE(YEAR(TODAY()),MONTH(TODAY()),1))),1,0))</f>
        <v/>
      </c>
      <c r="R265">
        <f>IF($A265="","",IF(AND($B265&gt;0,E265&lt;$B265,DATE($B$1,3,1)&lt;=TODAY(),OR($O265="",$O265&gt;=DATE($B$1,3,1)),OR(COUNTIF($C265:E265,"&gt;0")&gt;0,DATE($B$1,3,1)=DATE(YEAR(TODAY()),MONTH(TODAY()),1))),1,0))</f>
        <v/>
      </c>
      <c r="S265">
        <f>IF($A265="","",IF(AND($B265&gt;0,F265&lt;$B265,DATE($B$1,4,1)&lt;=TODAY(),OR($O265="",$O265&gt;=DATE($B$1,4,1)),OR(COUNTIF($C265:F265,"&gt;0")&gt;0,DATE($B$1,4,1)=DATE(YEAR(TODAY()),MONTH(TODAY()),1))),1,0))</f>
        <v/>
      </c>
      <c r="T265">
        <f>IF($A265="","",IF(AND($B265&gt;0,G265&lt;$B265,DATE($B$1,5,1)&lt;=TODAY(),OR($O265="",$O265&gt;=DATE($B$1,5,1)),OR(COUNTIF($C265:G265,"&gt;0")&gt;0,DATE($B$1,5,1)=DATE(YEAR(TODAY()),MONTH(TODAY()),1))),1,0))</f>
        <v/>
      </c>
      <c r="U265">
        <f>IF($A265="","",IF(AND($B265&gt;0,H265&lt;$B265,DATE($B$1,6,1)&lt;=TODAY(),OR($O265="",$O265&gt;=DATE($B$1,6,1)),OR(COUNTIF($C265:H265,"&gt;0")&gt;0,DATE($B$1,6,1)=DATE(YEAR(TODAY()),MONTH(TODAY()),1))),1,0))</f>
        <v/>
      </c>
      <c r="V265">
        <f>IF($A265="","",IF(AND($B265&gt;0,I265&lt;$B265,DATE($B$1,7,1)&lt;=TODAY(),OR($O265="",$O265&gt;=DATE($B$1,7,1)),OR(COUNTIF($C265:I265,"&gt;0")&gt;0,DATE($B$1,7,1)=DATE(YEAR(TODAY()),MONTH(TODAY()),1))),1,0))</f>
        <v/>
      </c>
      <c r="W265">
        <f>IF($A265="","",IF(AND($B265&gt;0,J265&lt;$B265,DATE($B$1,8,1)&lt;=TODAY(),OR($O265="",$O265&gt;=DATE($B$1,8,1)),OR(COUNTIF($C265:J265,"&gt;0")&gt;0,DATE($B$1,8,1)=DATE(YEAR(TODAY()),MONTH(TODAY()),1))),1,0))</f>
        <v/>
      </c>
      <c r="X265">
        <f>IF($A265="","",IF(AND($B265&gt;0,K265&lt;$B265,DATE($B$1,9,1)&lt;=TODAY(),OR($O265="",$O265&gt;=DATE($B$1,9,1)),OR(COUNTIF($C265:K265,"&gt;0")&gt;0,DATE($B$1,9,1)=DATE(YEAR(TODAY()),MONTH(TODAY()),1))),1,0))</f>
        <v/>
      </c>
      <c r="Y265">
        <f>IF($A265="","",IF(AND($B265&gt;0,L265&lt;$B265,DATE($B$1,10,1)&lt;=TODAY(),OR($O265="",$O265&gt;=DATE($B$1,10,1)),OR(COUNTIF($C265:L265,"&gt;0")&gt;0,DATE($B$1,10,1)=DATE(YEAR(TODAY()),MONTH(TODAY()),1))),1,0))</f>
        <v/>
      </c>
      <c r="Z265">
        <f>IF($A265="","",IF(AND($B265&gt;0,M265&lt;$B265,DATE($B$1,11,1)&lt;=TODAY(),OR($O265="",$O265&gt;=DATE($B$1,11,1)),OR(COUNTIF($C265:M265,"&gt;0")&gt;0,DATE($B$1,11,1)=DATE(YEAR(TODAY()),MONTH(TODAY()),1))),1,0))</f>
        <v/>
      </c>
      <c r="AA265">
        <f>IF($A265="","",IF(AND($B265&gt;0,N265&lt;$B265,DATE($B$1,12,1)&lt;=TODAY(),OR($O265="",$O265&gt;=DATE($B$1,12,1)),OR(COUNTIF($C265:N265,"&gt;0")&gt;0,DATE($B$1,12,1)=DATE(YEAR(TODAY()),MONTH(TODAY()),1))),1,0))</f>
        <v/>
      </c>
    </row>
    <row r="266">
      <c r="A266" s="13">
        <f>IF(원생!$A264="","",원생!$A264&amp;IF(원생!$G264="",""," ("&amp;원생!$G264&amp;")"))</f>
        <v/>
      </c>
      <c r="B266" s="8">
        <f>IF(원생!$A264="","",N(원생!$F264))</f>
        <v/>
      </c>
      <c r="C266" s="14">
        <f>IF(원생!$A264="","",SUMIFS(계산!$C:$C,계산!$A:$A,계산!$E264,계산!$B:$B,$B$1*100+1))</f>
        <v/>
      </c>
      <c r="D266" s="14">
        <f>IF(원생!$A264="","",SUMIFS(계산!$C:$C,계산!$A:$A,계산!$E264,계산!$B:$B,$B$1*100+2))</f>
        <v/>
      </c>
      <c r="E266" s="14">
        <f>IF(원생!$A264="","",SUMIFS(계산!$C:$C,계산!$A:$A,계산!$E264,계산!$B:$B,$B$1*100+3))</f>
        <v/>
      </c>
      <c r="F266" s="14">
        <f>IF(원생!$A264="","",SUMIFS(계산!$C:$C,계산!$A:$A,계산!$E264,계산!$B:$B,$B$1*100+4))</f>
        <v/>
      </c>
      <c r="G266" s="14">
        <f>IF(원생!$A264="","",SUMIFS(계산!$C:$C,계산!$A:$A,계산!$E264,계산!$B:$B,$B$1*100+5))</f>
        <v/>
      </c>
      <c r="H266" s="14">
        <f>IF(원생!$A264="","",SUMIFS(계산!$C:$C,계산!$A:$A,계산!$E264,계산!$B:$B,$B$1*100+6))</f>
        <v/>
      </c>
      <c r="I266" s="14">
        <f>IF(원생!$A264="","",SUMIFS(계산!$C:$C,계산!$A:$A,계산!$E264,계산!$B:$B,$B$1*100+7))</f>
        <v/>
      </c>
      <c r="J266" s="14">
        <f>IF(원생!$A264="","",SUMIFS(계산!$C:$C,계산!$A:$A,계산!$E264,계산!$B:$B,$B$1*100+8))</f>
        <v/>
      </c>
      <c r="K266" s="14">
        <f>IF(원생!$A264="","",SUMIFS(계산!$C:$C,계산!$A:$A,계산!$E264,계산!$B:$B,$B$1*100+9))</f>
        <v/>
      </c>
      <c r="L266" s="14">
        <f>IF(원생!$A264="","",SUMIFS(계산!$C:$C,계산!$A:$A,계산!$E264,계산!$B:$B,$B$1*100+10))</f>
        <v/>
      </c>
      <c r="M266" s="14">
        <f>IF(원생!$A264="","",SUMIFS(계산!$C:$C,계산!$A:$A,계산!$E264,계산!$B:$B,$B$1*100+11))</f>
        <v/>
      </c>
      <c r="N266" s="14">
        <f>IF(원생!$A264="","",SUMIFS(계산!$C:$C,계산!$A:$A,계산!$E264,계산!$B:$B,$B$1*100+12))</f>
        <v/>
      </c>
      <c r="O266">
        <f>IF(원생!$I264="","",원생!$I264)</f>
        <v/>
      </c>
      <c r="P266">
        <f>IF($A266="","",IF(AND($B266&gt;0,C266&lt;$B266,DATE($B$1,1,1)&lt;=TODAY(),OR($O266="",$O266&gt;=DATE($B$1,1,1)),OR(COUNTIF($C266:C266,"&gt;0")&gt;0,DATE($B$1,1,1)=DATE(YEAR(TODAY()),MONTH(TODAY()),1))),1,0))</f>
        <v/>
      </c>
      <c r="Q266">
        <f>IF($A266="","",IF(AND($B266&gt;0,D266&lt;$B266,DATE($B$1,2,1)&lt;=TODAY(),OR($O266="",$O266&gt;=DATE($B$1,2,1)),OR(COUNTIF($C266:D266,"&gt;0")&gt;0,DATE($B$1,2,1)=DATE(YEAR(TODAY()),MONTH(TODAY()),1))),1,0))</f>
        <v/>
      </c>
      <c r="R266">
        <f>IF($A266="","",IF(AND($B266&gt;0,E266&lt;$B266,DATE($B$1,3,1)&lt;=TODAY(),OR($O266="",$O266&gt;=DATE($B$1,3,1)),OR(COUNTIF($C266:E266,"&gt;0")&gt;0,DATE($B$1,3,1)=DATE(YEAR(TODAY()),MONTH(TODAY()),1))),1,0))</f>
        <v/>
      </c>
      <c r="S266">
        <f>IF($A266="","",IF(AND($B266&gt;0,F266&lt;$B266,DATE($B$1,4,1)&lt;=TODAY(),OR($O266="",$O266&gt;=DATE($B$1,4,1)),OR(COUNTIF($C266:F266,"&gt;0")&gt;0,DATE($B$1,4,1)=DATE(YEAR(TODAY()),MONTH(TODAY()),1))),1,0))</f>
        <v/>
      </c>
      <c r="T266">
        <f>IF($A266="","",IF(AND($B266&gt;0,G266&lt;$B266,DATE($B$1,5,1)&lt;=TODAY(),OR($O266="",$O266&gt;=DATE($B$1,5,1)),OR(COUNTIF($C266:G266,"&gt;0")&gt;0,DATE($B$1,5,1)=DATE(YEAR(TODAY()),MONTH(TODAY()),1))),1,0))</f>
        <v/>
      </c>
      <c r="U266">
        <f>IF($A266="","",IF(AND($B266&gt;0,H266&lt;$B266,DATE($B$1,6,1)&lt;=TODAY(),OR($O266="",$O266&gt;=DATE($B$1,6,1)),OR(COUNTIF($C266:H266,"&gt;0")&gt;0,DATE($B$1,6,1)=DATE(YEAR(TODAY()),MONTH(TODAY()),1))),1,0))</f>
        <v/>
      </c>
      <c r="V266">
        <f>IF($A266="","",IF(AND($B266&gt;0,I266&lt;$B266,DATE($B$1,7,1)&lt;=TODAY(),OR($O266="",$O266&gt;=DATE($B$1,7,1)),OR(COUNTIF($C266:I266,"&gt;0")&gt;0,DATE($B$1,7,1)=DATE(YEAR(TODAY()),MONTH(TODAY()),1))),1,0))</f>
        <v/>
      </c>
      <c r="W266">
        <f>IF($A266="","",IF(AND($B266&gt;0,J266&lt;$B266,DATE($B$1,8,1)&lt;=TODAY(),OR($O266="",$O266&gt;=DATE($B$1,8,1)),OR(COUNTIF($C266:J266,"&gt;0")&gt;0,DATE($B$1,8,1)=DATE(YEAR(TODAY()),MONTH(TODAY()),1))),1,0))</f>
        <v/>
      </c>
      <c r="X266">
        <f>IF($A266="","",IF(AND($B266&gt;0,K266&lt;$B266,DATE($B$1,9,1)&lt;=TODAY(),OR($O266="",$O266&gt;=DATE($B$1,9,1)),OR(COUNTIF($C266:K266,"&gt;0")&gt;0,DATE($B$1,9,1)=DATE(YEAR(TODAY()),MONTH(TODAY()),1))),1,0))</f>
        <v/>
      </c>
      <c r="Y266">
        <f>IF($A266="","",IF(AND($B266&gt;0,L266&lt;$B266,DATE($B$1,10,1)&lt;=TODAY(),OR($O266="",$O266&gt;=DATE($B$1,10,1)),OR(COUNTIF($C266:L266,"&gt;0")&gt;0,DATE($B$1,10,1)=DATE(YEAR(TODAY()),MONTH(TODAY()),1))),1,0))</f>
        <v/>
      </c>
      <c r="Z266">
        <f>IF($A266="","",IF(AND($B266&gt;0,M266&lt;$B266,DATE($B$1,11,1)&lt;=TODAY(),OR($O266="",$O266&gt;=DATE($B$1,11,1)),OR(COUNTIF($C266:M266,"&gt;0")&gt;0,DATE($B$1,11,1)=DATE(YEAR(TODAY()),MONTH(TODAY()),1))),1,0))</f>
        <v/>
      </c>
      <c r="AA266">
        <f>IF($A266="","",IF(AND($B266&gt;0,N266&lt;$B266,DATE($B$1,12,1)&lt;=TODAY(),OR($O266="",$O266&gt;=DATE($B$1,12,1)),OR(COUNTIF($C266:N266,"&gt;0")&gt;0,DATE($B$1,12,1)=DATE(YEAR(TODAY()),MONTH(TODAY()),1))),1,0))</f>
        <v/>
      </c>
    </row>
    <row r="267">
      <c r="A267" s="13">
        <f>IF(원생!$A265="","",원생!$A265&amp;IF(원생!$G265="",""," ("&amp;원생!$G265&amp;")"))</f>
        <v/>
      </c>
      <c r="B267" s="8">
        <f>IF(원생!$A265="","",N(원생!$F265))</f>
        <v/>
      </c>
      <c r="C267" s="14">
        <f>IF(원생!$A265="","",SUMIFS(계산!$C:$C,계산!$A:$A,계산!$E265,계산!$B:$B,$B$1*100+1))</f>
        <v/>
      </c>
      <c r="D267" s="14">
        <f>IF(원생!$A265="","",SUMIFS(계산!$C:$C,계산!$A:$A,계산!$E265,계산!$B:$B,$B$1*100+2))</f>
        <v/>
      </c>
      <c r="E267" s="14">
        <f>IF(원생!$A265="","",SUMIFS(계산!$C:$C,계산!$A:$A,계산!$E265,계산!$B:$B,$B$1*100+3))</f>
        <v/>
      </c>
      <c r="F267" s="14">
        <f>IF(원생!$A265="","",SUMIFS(계산!$C:$C,계산!$A:$A,계산!$E265,계산!$B:$B,$B$1*100+4))</f>
        <v/>
      </c>
      <c r="G267" s="14">
        <f>IF(원생!$A265="","",SUMIFS(계산!$C:$C,계산!$A:$A,계산!$E265,계산!$B:$B,$B$1*100+5))</f>
        <v/>
      </c>
      <c r="H267" s="14">
        <f>IF(원생!$A265="","",SUMIFS(계산!$C:$C,계산!$A:$A,계산!$E265,계산!$B:$B,$B$1*100+6))</f>
        <v/>
      </c>
      <c r="I267" s="14">
        <f>IF(원생!$A265="","",SUMIFS(계산!$C:$C,계산!$A:$A,계산!$E265,계산!$B:$B,$B$1*100+7))</f>
        <v/>
      </c>
      <c r="J267" s="14">
        <f>IF(원생!$A265="","",SUMIFS(계산!$C:$C,계산!$A:$A,계산!$E265,계산!$B:$B,$B$1*100+8))</f>
        <v/>
      </c>
      <c r="K267" s="14">
        <f>IF(원생!$A265="","",SUMIFS(계산!$C:$C,계산!$A:$A,계산!$E265,계산!$B:$B,$B$1*100+9))</f>
        <v/>
      </c>
      <c r="L267" s="14">
        <f>IF(원생!$A265="","",SUMIFS(계산!$C:$C,계산!$A:$A,계산!$E265,계산!$B:$B,$B$1*100+10))</f>
        <v/>
      </c>
      <c r="M267" s="14">
        <f>IF(원생!$A265="","",SUMIFS(계산!$C:$C,계산!$A:$A,계산!$E265,계산!$B:$B,$B$1*100+11))</f>
        <v/>
      </c>
      <c r="N267" s="14">
        <f>IF(원생!$A265="","",SUMIFS(계산!$C:$C,계산!$A:$A,계산!$E265,계산!$B:$B,$B$1*100+12))</f>
        <v/>
      </c>
      <c r="O267">
        <f>IF(원생!$I265="","",원생!$I265)</f>
        <v/>
      </c>
      <c r="P267">
        <f>IF($A267="","",IF(AND($B267&gt;0,C267&lt;$B267,DATE($B$1,1,1)&lt;=TODAY(),OR($O267="",$O267&gt;=DATE($B$1,1,1)),OR(COUNTIF($C267:C267,"&gt;0")&gt;0,DATE($B$1,1,1)=DATE(YEAR(TODAY()),MONTH(TODAY()),1))),1,0))</f>
        <v/>
      </c>
      <c r="Q267">
        <f>IF($A267="","",IF(AND($B267&gt;0,D267&lt;$B267,DATE($B$1,2,1)&lt;=TODAY(),OR($O267="",$O267&gt;=DATE($B$1,2,1)),OR(COUNTIF($C267:D267,"&gt;0")&gt;0,DATE($B$1,2,1)=DATE(YEAR(TODAY()),MONTH(TODAY()),1))),1,0))</f>
        <v/>
      </c>
      <c r="R267">
        <f>IF($A267="","",IF(AND($B267&gt;0,E267&lt;$B267,DATE($B$1,3,1)&lt;=TODAY(),OR($O267="",$O267&gt;=DATE($B$1,3,1)),OR(COUNTIF($C267:E267,"&gt;0")&gt;0,DATE($B$1,3,1)=DATE(YEAR(TODAY()),MONTH(TODAY()),1))),1,0))</f>
        <v/>
      </c>
      <c r="S267">
        <f>IF($A267="","",IF(AND($B267&gt;0,F267&lt;$B267,DATE($B$1,4,1)&lt;=TODAY(),OR($O267="",$O267&gt;=DATE($B$1,4,1)),OR(COUNTIF($C267:F267,"&gt;0")&gt;0,DATE($B$1,4,1)=DATE(YEAR(TODAY()),MONTH(TODAY()),1))),1,0))</f>
        <v/>
      </c>
      <c r="T267">
        <f>IF($A267="","",IF(AND($B267&gt;0,G267&lt;$B267,DATE($B$1,5,1)&lt;=TODAY(),OR($O267="",$O267&gt;=DATE($B$1,5,1)),OR(COUNTIF($C267:G267,"&gt;0")&gt;0,DATE($B$1,5,1)=DATE(YEAR(TODAY()),MONTH(TODAY()),1))),1,0))</f>
        <v/>
      </c>
      <c r="U267">
        <f>IF($A267="","",IF(AND($B267&gt;0,H267&lt;$B267,DATE($B$1,6,1)&lt;=TODAY(),OR($O267="",$O267&gt;=DATE($B$1,6,1)),OR(COUNTIF($C267:H267,"&gt;0")&gt;0,DATE($B$1,6,1)=DATE(YEAR(TODAY()),MONTH(TODAY()),1))),1,0))</f>
        <v/>
      </c>
      <c r="V267">
        <f>IF($A267="","",IF(AND($B267&gt;0,I267&lt;$B267,DATE($B$1,7,1)&lt;=TODAY(),OR($O267="",$O267&gt;=DATE($B$1,7,1)),OR(COUNTIF($C267:I267,"&gt;0")&gt;0,DATE($B$1,7,1)=DATE(YEAR(TODAY()),MONTH(TODAY()),1))),1,0))</f>
        <v/>
      </c>
      <c r="W267">
        <f>IF($A267="","",IF(AND($B267&gt;0,J267&lt;$B267,DATE($B$1,8,1)&lt;=TODAY(),OR($O267="",$O267&gt;=DATE($B$1,8,1)),OR(COUNTIF($C267:J267,"&gt;0")&gt;0,DATE($B$1,8,1)=DATE(YEAR(TODAY()),MONTH(TODAY()),1))),1,0))</f>
        <v/>
      </c>
      <c r="X267">
        <f>IF($A267="","",IF(AND($B267&gt;0,K267&lt;$B267,DATE($B$1,9,1)&lt;=TODAY(),OR($O267="",$O267&gt;=DATE($B$1,9,1)),OR(COUNTIF($C267:K267,"&gt;0")&gt;0,DATE($B$1,9,1)=DATE(YEAR(TODAY()),MONTH(TODAY()),1))),1,0))</f>
        <v/>
      </c>
      <c r="Y267">
        <f>IF($A267="","",IF(AND($B267&gt;0,L267&lt;$B267,DATE($B$1,10,1)&lt;=TODAY(),OR($O267="",$O267&gt;=DATE($B$1,10,1)),OR(COUNTIF($C267:L267,"&gt;0")&gt;0,DATE($B$1,10,1)=DATE(YEAR(TODAY()),MONTH(TODAY()),1))),1,0))</f>
        <v/>
      </c>
      <c r="Z267">
        <f>IF($A267="","",IF(AND($B267&gt;0,M267&lt;$B267,DATE($B$1,11,1)&lt;=TODAY(),OR($O267="",$O267&gt;=DATE($B$1,11,1)),OR(COUNTIF($C267:M267,"&gt;0")&gt;0,DATE($B$1,11,1)=DATE(YEAR(TODAY()),MONTH(TODAY()),1))),1,0))</f>
        <v/>
      </c>
      <c r="AA267">
        <f>IF($A267="","",IF(AND($B267&gt;0,N267&lt;$B267,DATE($B$1,12,1)&lt;=TODAY(),OR($O267="",$O267&gt;=DATE($B$1,12,1)),OR(COUNTIF($C267:N267,"&gt;0")&gt;0,DATE($B$1,12,1)=DATE(YEAR(TODAY()),MONTH(TODAY()),1))),1,0))</f>
        <v/>
      </c>
    </row>
    <row r="268">
      <c r="A268" s="13">
        <f>IF(원생!$A266="","",원생!$A266&amp;IF(원생!$G266="",""," ("&amp;원생!$G266&amp;")"))</f>
        <v/>
      </c>
      <c r="B268" s="8">
        <f>IF(원생!$A266="","",N(원생!$F266))</f>
        <v/>
      </c>
      <c r="C268" s="14">
        <f>IF(원생!$A266="","",SUMIFS(계산!$C:$C,계산!$A:$A,계산!$E266,계산!$B:$B,$B$1*100+1))</f>
        <v/>
      </c>
      <c r="D268" s="14">
        <f>IF(원생!$A266="","",SUMIFS(계산!$C:$C,계산!$A:$A,계산!$E266,계산!$B:$B,$B$1*100+2))</f>
        <v/>
      </c>
      <c r="E268" s="14">
        <f>IF(원생!$A266="","",SUMIFS(계산!$C:$C,계산!$A:$A,계산!$E266,계산!$B:$B,$B$1*100+3))</f>
        <v/>
      </c>
      <c r="F268" s="14">
        <f>IF(원생!$A266="","",SUMIFS(계산!$C:$C,계산!$A:$A,계산!$E266,계산!$B:$B,$B$1*100+4))</f>
        <v/>
      </c>
      <c r="G268" s="14">
        <f>IF(원생!$A266="","",SUMIFS(계산!$C:$C,계산!$A:$A,계산!$E266,계산!$B:$B,$B$1*100+5))</f>
        <v/>
      </c>
      <c r="H268" s="14">
        <f>IF(원생!$A266="","",SUMIFS(계산!$C:$C,계산!$A:$A,계산!$E266,계산!$B:$B,$B$1*100+6))</f>
        <v/>
      </c>
      <c r="I268" s="14">
        <f>IF(원생!$A266="","",SUMIFS(계산!$C:$C,계산!$A:$A,계산!$E266,계산!$B:$B,$B$1*100+7))</f>
        <v/>
      </c>
      <c r="J268" s="14">
        <f>IF(원생!$A266="","",SUMIFS(계산!$C:$C,계산!$A:$A,계산!$E266,계산!$B:$B,$B$1*100+8))</f>
        <v/>
      </c>
      <c r="K268" s="14">
        <f>IF(원생!$A266="","",SUMIFS(계산!$C:$C,계산!$A:$A,계산!$E266,계산!$B:$B,$B$1*100+9))</f>
        <v/>
      </c>
      <c r="L268" s="14">
        <f>IF(원생!$A266="","",SUMIFS(계산!$C:$C,계산!$A:$A,계산!$E266,계산!$B:$B,$B$1*100+10))</f>
        <v/>
      </c>
      <c r="M268" s="14">
        <f>IF(원생!$A266="","",SUMIFS(계산!$C:$C,계산!$A:$A,계산!$E266,계산!$B:$B,$B$1*100+11))</f>
        <v/>
      </c>
      <c r="N268" s="14">
        <f>IF(원생!$A266="","",SUMIFS(계산!$C:$C,계산!$A:$A,계산!$E266,계산!$B:$B,$B$1*100+12))</f>
        <v/>
      </c>
      <c r="O268">
        <f>IF(원생!$I266="","",원생!$I266)</f>
        <v/>
      </c>
      <c r="P268">
        <f>IF($A268="","",IF(AND($B268&gt;0,C268&lt;$B268,DATE($B$1,1,1)&lt;=TODAY(),OR($O268="",$O268&gt;=DATE($B$1,1,1)),OR(COUNTIF($C268:C268,"&gt;0")&gt;0,DATE($B$1,1,1)=DATE(YEAR(TODAY()),MONTH(TODAY()),1))),1,0))</f>
        <v/>
      </c>
      <c r="Q268">
        <f>IF($A268="","",IF(AND($B268&gt;0,D268&lt;$B268,DATE($B$1,2,1)&lt;=TODAY(),OR($O268="",$O268&gt;=DATE($B$1,2,1)),OR(COUNTIF($C268:D268,"&gt;0")&gt;0,DATE($B$1,2,1)=DATE(YEAR(TODAY()),MONTH(TODAY()),1))),1,0))</f>
        <v/>
      </c>
      <c r="R268">
        <f>IF($A268="","",IF(AND($B268&gt;0,E268&lt;$B268,DATE($B$1,3,1)&lt;=TODAY(),OR($O268="",$O268&gt;=DATE($B$1,3,1)),OR(COUNTIF($C268:E268,"&gt;0")&gt;0,DATE($B$1,3,1)=DATE(YEAR(TODAY()),MONTH(TODAY()),1))),1,0))</f>
        <v/>
      </c>
      <c r="S268">
        <f>IF($A268="","",IF(AND($B268&gt;0,F268&lt;$B268,DATE($B$1,4,1)&lt;=TODAY(),OR($O268="",$O268&gt;=DATE($B$1,4,1)),OR(COUNTIF($C268:F268,"&gt;0")&gt;0,DATE($B$1,4,1)=DATE(YEAR(TODAY()),MONTH(TODAY()),1))),1,0))</f>
        <v/>
      </c>
      <c r="T268">
        <f>IF($A268="","",IF(AND($B268&gt;0,G268&lt;$B268,DATE($B$1,5,1)&lt;=TODAY(),OR($O268="",$O268&gt;=DATE($B$1,5,1)),OR(COUNTIF($C268:G268,"&gt;0")&gt;0,DATE($B$1,5,1)=DATE(YEAR(TODAY()),MONTH(TODAY()),1))),1,0))</f>
        <v/>
      </c>
      <c r="U268">
        <f>IF($A268="","",IF(AND($B268&gt;0,H268&lt;$B268,DATE($B$1,6,1)&lt;=TODAY(),OR($O268="",$O268&gt;=DATE($B$1,6,1)),OR(COUNTIF($C268:H268,"&gt;0")&gt;0,DATE($B$1,6,1)=DATE(YEAR(TODAY()),MONTH(TODAY()),1))),1,0))</f>
        <v/>
      </c>
      <c r="V268">
        <f>IF($A268="","",IF(AND($B268&gt;0,I268&lt;$B268,DATE($B$1,7,1)&lt;=TODAY(),OR($O268="",$O268&gt;=DATE($B$1,7,1)),OR(COUNTIF($C268:I268,"&gt;0")&gt;0,DATE($B$1,7,1)=DATE(YEAR(TODAY()),MONTH(TODAY()),1))),1,0))</f>
        <v/>
      </c>
      <c r="W268">
        <f>IF($A268="","",IF(AND($B268&gt;0,J268&lt;$B268,DATE($B$1,8,1)&lt;=TODAY(),OR($O268="",$O268&gt;=DATE($B$1,8,1)),OR(COUNTIF($C268:J268,"&gt;0")&gt;0,DATE($B$1,8,1)=DATE(YEAR(TODAY()),MONTH(TODAY()),1))),1,0))</f>
        <v/>
      </c>
      <c r="X268">
        <f>IF($A268="","",IF(AND($B268&gt;0,K268&lt;$B268,DATE($B$1,9,1)&lt;=TODAY(),OR($O268="",$O268&gt;=DATE($B$1,9,1)),OR(COUNTIF($C268:K268,"&gt;0")&gt;0,DATE($B$1,9,1)=DATE(YEAR(TODAY()),MONTH(TODAY()),1))),1,0))</f>
        <v/>
      </c>
      <c r="Y268">
        <f>IF($A268="","",IF(AND($B268&gt;0,L268&lt;$B268,DATE($B$1,10,1)&lt;=TODAY(),OR($O268="",$O268&gt;=DATE($B$1,10,1)),OR(COUNTIF($C268:L268,"&gt;0")&gt;0,DATE($B$1,10,1)=DATE(YEAR(TODAY()),MONTH(TODAY()),1))),1,0))</f>
        <v/>
      </c>
      <c r="Z268">
        <f>IF($A268="","",IF(AND($B268&gt;0,M268&lt;$B268,DATE($B$1,11,1)&lt;=TODAY(),OR($O268="",$O268&gt;=DATE($B$1,11,1)),OR(COUNTIF($C268:M268,"&gt;0")&gt;0,DATE($B$1,11,1)=DATE(YEAR(TODAY()),MONTH(TODAY()),1))),1,0))</f>
        <v/>
      </c>
      <c r="AA268">
        <f>IF($A268="","",IF(AND($B268&gt;0,N268&lt;$B268,DATE($B$1,12,1)&lt;=TODAY(),OR($O268="",$O268&gt;=DATE($B$1,12,1)),OR(COUNTIF($C268:N268,"&gt;0")&gt;0,DATE($B$1,12,1)=DATE(YEAR(TODAY()),MONTH(TODAY()),1))),1,0))</f>
        <v/>
      </c>
    </row>
    <row r="269">
      <c r="A269" s="13">
        <f>IF(원생!$A267="","",원생!$A267&amp;IF(원생!$G267="",""," ("&amp;원생!$G267&amp;")"))</f>
        <v/>
      </c>
      <c r="B269" s="8">
        <f>IF(원생!$A267="","",N(원생!$F267))</f>
        <v/>
      </c>
      <c r="C269" s="14">
        <f>IF(원생!$A267="","",SUMIFS(계산!$C:$C,계산!$A:$A,계산!$E267,계산!$B:$B,$B$1*100+1))</f>
        <v/>
      </c>
      <c r="D269" s="14">
        <f>IF(원생!$A267="","",SUMIFS(계산!$C:$C,계산!$A:$A,계산!$E267,계산!$B:$B,$B$1*100+2))</f>
        <v/>
      </c>
      <c r="E269" s="14">
        <f>IF(원생!$A267="","",SUMIFS(계산!$C:$C,계산!$A:$A,계산!$E267,계산!$B:$B,$B$1*100+3))</f>
        <v/>
      </c>
      <c r="F269" s="14">
        <f>IF(원생!$A267="","",SUMIFS(계산!$C:$C,계산!$A:$A,계산!$E267,계산!$B:$B,$B$1*100+4))</f>
        <v/>
      </c>
      <c r="G269" s="14">
        <f>IF(원생!$A267="","",SUMIFS(계산!$C:$C,계산!$A:$A,계산!$E267,계산!$B:$B,$B$1*100+5))</f>
        <v/>
      </c>
      <c r="H269" s="14">
        <f>IF(원생!$A267="","",SUMIFS(계산!$C:$C,계산!$A:$A,계산!$E267,계산!$B:$B,$B$1*100+6))</f>
        <v/>
      </c>
      <c r="I269" s="14">
        <f>IF(원생!$A267="","",SUMIFS(계산!$C:$C,계산!$A:$A,계산!$E267,계산!$B:$B,$B$1*100+7))</f>
        <v/>
      </c>
      <c r="J269" s="14">
        <f>IF(원생!$A267="","",SUMIFS(계산!$C:$C,계산!$A:$A,계산!$E267,계산!$B:$B,$B$1*100+8))</f>
        <v/>
      </c>
      <c r="K269" s="14">
        <f>IF(원생!$A267="","",SUMIFS(계산!$C:$C,계산!$A:$A,계산!$E267,계산!$B:$B,$B$1*100+9))</f>
        <v/>
      </c>
      <c r="L269" s="14">
        <f>IF(원생!$A267="","",SUMIFS(계산!$C:$C,계산!$A:$A,계산!$E267,계산!$B:$B,$B$1*100+10))</f>
        <v/>
      </c>
      <c r="M269" s="14">
        <f>IF(원생!$A267="","",SUMIFS(계산!$C:$C,계산!$A:$A,계산!$E267,계산!$B:$B,$B$1*100+11))</f>
        <v/>
      </c>
      <c r="N269" s="14">
        <f>IF(원생!$A267="","",SUMIFS(계산!$C:$C,계산!$A:$A,계산!$E267,계산!$B:$B,$B$1*100+12))</f>
        <v/>
      </c>
      <c r="O269">
        <f>IF(원생!$I267="","",원생!$I267)</f>
        <v/>
      </c>
      <c r="P269">
        <f>IF($A269="","",IF(AND($B269&gt;0,C269&lt;$B269,DATE($B$1,1,1)&lt;=TODAY(),OR($O269="",$O269&gt;=DATE($B$1,1,1)),OR(COUNTIF($C269:C269,"&gt;0")&gt;0,DATE($B$1,1,1)=DATE(YEAR(TODAY()),MONTH(TODAY()),1))),1,0))</f>
        <v/>
      </c>
      <c r="Q269">
        <f>IF($A269="","",IF(AND($B269&gt;0,D269&lt;$B269,DATE($B$1,2,1)&lt;=TODAY(),OR($O269="",$O269&gt;=DATE($B$1,2,1)),OR(COUNTIF($C269:D269,"&gt;0")&gt;0,DATE($B$1,2,1)=DATE(YEAR(TODAY()),MONTH(TODAY()),1))),1,0))</f>
        <v/>
      </c>
      <c r="R269">
        <f>IF($A269="","",IF(AND($B269&gt;0,E269&lt;$B269,DATE($B$1,3,1)&lt;=TODAY(),OR($O269="",$O269&gt;=DATE($B$1,3,1)),OR(COUNTIF($C269:E269,"&gt;0")&gt;0,DATE($B$1,3,1)=DATE(YEAR(TODAY()),MONTH(TODAY()),1))),1,0))</f>
        <v/>
      </c>
      <c r="S269">
        <f>IF($A269="","",IF(AND($B269&gt;0,F269&lt;$B269,DATE($B$1,4,1)&lt;=TODAY(),OR($O269="",$O269&gt;=DATE($B$1,4,1)),OR(COUNTIF($C269:F269,"&gt;0")&gt;0,DATE($B$1,4,1)=DATE(YEAR(TODAY()),MONTH(TODAY()),1))),1,0))</f>
        <v/>
      </c>
      <c r="T269">
        <f>IF($A269="","",IF(AND($B269&gt;0,G269&lt;$B269,DATE($B$1,5,1)&lt;=TODAY(),OR($O269="",$O269&gt;=DATE($B$1,5,1)),OR(COUNTIF($C269:G269,"&gt;0")&gt;0,DATE($B$1,5,1)=DATE(YEAR(TODAY()),MONTH(TODAY()),1))),1,0))</f>
        <v/>
      </c>
      <c r="U269">
        <f>IF($A269="","",IF(AND($B269&gt;0,H269&lt;$B269,DATE($B$1,6,1)&lt;=TODAY(),OR($O269="",$O269&gt;=DATE($B$1,6,1)),OR(COUNTIF($C269:H269,"&gt;0")&gt;0,DATE($B$1,6,1)=DATE(YEAR(TODAY()),MONTH(TODAY()),1))),1,0))</f>
        <v/>
      </c>
      <c r="V269">
        <f>IF($A269="","",IF(AND($B269&gt;0,I269&lt;$B269,DATE($B$1,7,1)&lt;=TODAY(),OR($O269="",$O269&gt;=DATE($B$1,7,1)),OR(COUNTIF($C269:I269,"&gt;0")&gt;0,DATE($B$1,7,1)=DATE(YEAR(TODAY()),MONTH(TODAY()),1))),1,0))</f>
        <v/>
      </c>
      <c r="W269">
        <f>IF($A269="","",IF(AND($B269&gt;0,J269&lt;$B269,DATE($B$1,8,1)&lt;=TODAY(),OR($O269="",$O269&gt;=DATE($B$1,8,1)),OR(COUNTIF($C269:J269,"&gt;0")&gt;0,DATE($B$1,8,1)=DATE(YEAR(TODAY()),MONTH(TODAY()),1))),1,0))</f>
        <v/>
      </c>
      <c r="X269">
        <f>IF($A269="","",IF(AND($B269&gt;0,K269&lt;$B269,DATE($B$1,9,1)&lt;=TODAY(),OR($O269="",$O269&gt;=DATE($B$1,9,1)),OR(COUNTIF($C269:K269,"&gt;0")&gt;0,DATE($B$1,9,1)=DATE(YEAR(TODAY()),MONTH(TODAY()),1))),1,0))</f>
        <v/>
      </c>
      <c r="Y269">
        <f>IF($A269="","",IF(AND($B269&gt;0,L269&lt;$B269,DATE($B$1,10,1)&lt;=TODAY(),OR($O269="",$O269&gt;=DATE($B$1,10,1)),OR(COUNTIF($C269:L269,"&gt;0")&gt;0,DATE($B$1,10,1)=DATE(YEAR(TODAY()),MONTH(TODAY()),1))),1,0))</f>
        <v/>
      </c>
      <c r="Z269">
        <f>IF($A269="","",IF(AND($B269&gt;0,M269&lt;$B269,DATE($B$1,11,1)&lt;=TODAY(),OR($O269="",$O269&gt;=DATE($B$1,11,1)),OR(COUNTIF($C269:M269,"&gt;0")&gt;0,DATE($B$1,11,1)=DATE(YEAR(TODAY()),MONTH(TODAY()),1))),1,0))</f>
        <v/>
      </c>
      <c r="AA269">
        <f>IF($A269="","",IF(AND($B269&gt;0,N269&lt;$B269,DATE($B$1,12,1)&lt;=TODAY(),OR($O269="",$O269&gt;=DATE($B$1,12,1)),OR(COUNTIF($C269:N269,"&gt;0")&gt;0,DATE($B$1,12,1)=DATE(YEAR(TODAY()),MONTH(TODAY()),1))),1,0))</f>
        <v/>
      </c>
    </row>
    <row r="270">
      <c r="A270" s="13">
        <f>IF(원생!$A268="","",원생!$A268&amp;IF(원생!$G268="",""," ("&amp;원생!$G268&amp;")"))</f>
        <v/>
      </c>
      <c r="B270" s="8">
        <f>IF(원생!$A268="","",N(원생!$F268))</f>
        <v/>
      </c>
      <c r="C270" s="14">
        <f>IF(원생!$A268="","",SUMIFS(계산!$C:$C,계산!$A:$A,계산!$E268,계산!$B:$B,$B$1*100+1))</f>
        <v/>
      </c>
      <c r="D270" s="14">
        <f>IF(원생!$A268="","",SUMIFS(계산!$C:$C,계산!$A:$A,계산!$E268,계산!$B:$B,$B$1*100+2))</f>
        <v/>
      </c>
      <c r="E270" s="14">
        <f>IF(원생!$A268="","",SUMIFS(계산!$C:$C,계산!$A:$A,계산!$E268,계산!$B:$B,$B$1*100+3))</f>
        <v/>
      </c>
      <c r="F270" s="14">
        <f>IF(원생!$A268="","",SUMIFS(계산!$C:$C,계산!$A:$A,계산!$E268,계산!$B:$B,$B$1*100+4))</f>
        <v/>
      </c>
      <c r="G270" s="14">
        <f>IF(원생!$A268="","",SUMIFS(계산!$C:$C,계산!$A:$A,계산!$E268,계산!$B:$B,$B$1*100+5))</f>
        <v/>
      </c>
      <c r="H270" s="14">
        <f>IF(원생!$A268="","",SUMIFS(계산!$C:$C,계산!$A:$A,계산!$E268,계산!$B:$B,$B$1*100+6))</f>
        <v/>
      </c>
      <c r="I270" s="14">
        <f>IF(원생!$A268="","",SUMIFS(계산!$C:$C,계산!$A:$A,계산!$E268,계산!$B:$B,$B$1*100+7))</f>
        <v/>
      </c>
      <c r="J270" s="14">
        <f>IF(원생!$A268="","",SUMIFS(계산!$C:$C,계산!$A:$A,계산!$E268,계산!$B:$B,$B$1*100+8))</f>
        <v/>
      </c>
      <c r="K270" s="14">
        <f>IF(원생!$A268="","",SUMIFS(계산!$C:$C,계산!$A:$A,계산!$E268,계산!$B:$B,$B$1*100+9))</f>
        <v/>
      </c>
      <c r="L270" s="14">
        <f>IF(원생!$A268="","",SUMIFS(계산!$C:$C,계산!$A:$A,계산!$E268,계산!$B:$B,$B$1*100+10))</f>
        <v/>
      </c>
      <c r="M270" s="14">
        <f>IF(원생!$A268="","",SUMIFS(계산!$C:$C,계산!$A:$A,계산!$E268,계산!$B:$B,$B$1*100+11))</f>
        <v/>
      </c>
      <c r="N270" s="14">
        <f>IF(원생!$A268="","",SUMIFS(계산!$C:$C,계산!$A:$A,계산!$E268,계산!$B:$B,$B$1*100+12))</f>
        <v/>
      </c>
      <c r="O270">
        <f>IF(원생!$I268="","",원생!$I268)</f>
        <v/>
      </c>
      <c r="P270">
        <f>IF($A270="","",IF(AND($B270&gt;0,C270&lt;$B270,DATE($B$1,1,1)&lt;=TODAY(),OR($O270="",$O270&gt;=DATE($B$1,1,1)),OR(COUNTIF($C270:C270,"&gt;0")&gt;0,DATE($B$1,1,1)=DATE(YEAR(TODAY()),MONTH(TODAY()),1))),1,0))</f>
        <v/>
      </c>
      <c r="Q270">
        <f>IF($A270="","",IF(AND($B270&gt;0,D270&lt;$B270,DATE($B$1,2,1)&lt;=TODAY(),OR($O270="",$O270&gt;=DATE($B$1,2,1)),OR(COUNTIF($C270:D270,"&gt;0")&gt;0,DATE($B$1,2,1)=DATE(YEAR(TODAY()),MONTH(TODAY()),1))),1,0))</f>
        <v/>
      </c>
      <c r="R270">
        <f>IF($A270="","",IF(AND($B270&gt;0,E270&lt;$B270,DATE($B$1,3,1)&lt;=TODAY(),OR($O270="",$O270&gt;=DATE($B$1,3,1)),OR(COUNTIF($C270:E270,"&gt;0")&gt;0,DATE($B$1,3,1)=DATE(YEAR(TODAY()),MONTH(TODAY()),1))),1,0))</f>
        <v/>
      </c>
      <c r="S270">
        <f>IF($A270="","",IF(AND($B270&gt;0,F270&lt;$B270,DATE($B$1,4,1)&lt;=TODAY(),OR($O270="",$O270&gt;=DATE($B$1,4,1)),OR(COUNTIF($C270:F270,"&gt;0")&gt;0,DATE($B$1,4,1)=DATE(YEAR(TODAY()),MONTH(TODAY()),1))),1,0))</f>
        <v/>
      </c>
      <c r="T270">
        <f>IF($A270="","",IF(AND($B270&gt;0,G270&lt;$B270,DATE($B$1,5,1)&lt;=TODAY(),OR($O270="",$O270&gt;=DATE($B$1,5,1)),OR(COUNTIF($C270:G270,"&gt;0")&gt;0,DATE($B$1,5,1)=DATE(YEAR(TODAY()),MONTH(TODAY()),1))),1,0))</f>
        <v/>
      </c>
      <c r="U270">
        <f>IF($A270="","",IF(AND($B270&gt;0,H270&lt;$B270,DATE($B$1,6,1)&lt;=TODAY(),OR($O270="",$O270&gt;=DATE($B$1,6,1)),OR(COUNTIF($C270:H270,"&gt;0")&gt;0,DATE($B$1,6,1)=DATE(YEAR(TODAY()),MONTH(TODAY()),1))),1,0))</f>
        <v/>
      </c>
      <c r="V270">
        <f>IF($A270="","",IF(AND($B270&gt;0,I270&lt;$B270,DATE($B$1,7,1)&lt;=TODAY(),OR($O270="",$O270&gt;=DATE($B$1,7,1)),OR(COUNTIF($C270:I270,"&gt;0")&gt;0,DATE($B$1,7,1)=DATE(YEAR(TODAY()),MONTH(TODAY()),1))),1,0))</f>
        <v/>
      </c>
      <c r="W270">
        <f>IF($A270="","",IF(AND($B270&gt;0,J270&lt;$B270,DATE($B$1,8,1)&lt;=TODAY(),OR($O270="",$O270&gt;=DATE($B$1,8,1)),OR(COUNTIF($C270:J270,"&gt;0")&gt;0,DATE($B$1,8,1)=DATE(YEAR(TODAY()),MONTH(TODAY()),1))),1,0))</f>
        <v/>
      </c>
      <c r="X270">
        <f>IF($A270="","",IF(AND($B270&gt;0,K270&lt;$B270,DATE($B$1,9,1)&lt;=TODAY(),OR($O270="",$O270&gt;=DATE($B$1,9,1)),OR(COUNTIF($C270:K270,"&gt;0")&gt;0,DATE($B$1,9,1)=DATE(YEAR(TODAY()),MONTH(TODAY()),1))),1,0))</f>
        <v/>
      </c>
      <c r="Y270">
        <f>IF($A270="","",IF(AND($B270&gt;0,L270&lt;$B270,DATE($B$1,10,1)&lt;=TODAY(),OR($O270="",$O270&gt;=DATE($B$1,10,1)),OR(COUNTIF($C270:L270,"&gt;0")&gt;0,DATE($B$1,10,1)=DATE(YEAR(TODAY()),MONTH(TODAY()),1))),1,0))</f>
        <v/>
      </c>
      <c r="Z270">
        <f>IF($A270="","",IF(AND($B270&gt;0,M270&lt;$B270,DATE($B$1,11,1)&lt;=TODAY(),OR($O270="",$O270&gt;=DATE($B$1,11,1)),OR(COUNTIF($C270:M270,"&gt;0")&gt;0,DATE($B$1,11,1)=DATE(YEAR(TODAY()),MONTH(TODAY()),1))),1,0))</f>
        <v/>
      </c>
      <c r="AA270">
        <f>IF($A270="","",IF(AND($B270&gt;0,N270&lt;$B270,DATE($B$1,12,1)&lt;=TODAY(),OR($O270="",$O270&gt;=DATE($B$1,12,1)),OR(COUNTIF($C270:N270,"&gt;0")&gt;0,DATE($B$1,12,1)=DATE(YEAR(TODAY()),MONTH(TODAY()),1))),1,0))</f>
        <v/>
      </c>
    </row>
    <row r="271">
      <c r="A271" s="13">
        <f>IF(원생!$A269="","",원생!$A269&amp;IF(원생!$G269="",""," ("&amp;원생!$G269&amp;")"))</f>
        <v/>
      </c>
      <c r="B271" s="8">
        <f>IF(원생!$A269="","",N(원생!$F269))</f>
        <v/>
      </c>
      <c r="C271" s="14">
        <f>IF(원생!$A269="","",SUMIFS(계산!$C:$C,계산!$A:$A,계산!$E269,계산!$B:$B,$B$1*100+1))</f>
        <v/>
      </c>
      <c r="D271" s="14">
        <f>IF(원생!$A269="","",SUMIFS(계산!$C:$C,계산!$A:$A,계산!$E269,계산!$B:$B,$B$1*100+2))</f>
        <v/>
      </c>
      <c r="E271" s="14">
        <f>IF(원생!$A269="","",SUMIFS(계산!$C:$C,계산!$A:$A,계산!$E269,계산!$B:$B,$B$1*100+3))</f>
        <v/>
      </c>
      <c r="F271" s="14">
        <f>IF(원생!$A269="","",SUMIFS(계산!$C:$C,계산!$A:$A,계산!$E269,계산!$B:$B,$B$1*100+4))</f>
        <v/>
      </c>
      <c r="G271" s="14">
        <f>IF(원생!$A269="","",SUMIFS(계산!$C:$C,계산!$A:$A,계산!$E269,계산!$B:$B,$B$1*100+5))</f>
        <v/>
      </c>
      <c r="H271" s="14">
        <f>IF(원생!$A269="","",SUMIFS(계산!$C:$C,계산!$A:$A,계산!$E269,계산!$B:$B,$B$1*100+6))</f>
        <v/>
      </c>
      <c r="I271" s="14">
        <f>IF(원생!$A269="","",SUMIFS(계산!$C:$C,계산!$A:$A,계산!$E269,계산!$B:$B,$B$1*100+7))</f>
        <v/>
      </c>
      <c r="J271" s="14">
        <f>IF(원생!$A269="","",SUMIFS(계산!$C:$C,계산!$A:$A,계산!$E269,계산!$B:$B,$B$1*100+8))</f>
        <v/>
      </c>
      <c r="K271" s="14">
        <f>IF(원생!$A269="","",SUMIFS(계산!$C:$C,계산!$A:$A,계산!$E269,계산!$B:$B,$B$1*100+9))</f>
        <v/>
      </c>
      <c r="L271" s="14">
        <f>IF(원생!$A269="","",SUMIFS(계산!$C:$C,계산!$A:$A,계산!$E269,계산!$B:$B,$B$1*100+10))</f>
        <v/>
      </c>
      <c r="M271" s="14">
        <f>IF(원생!$A269="","",SUMIFS(계산!$C:$C,계산!$A:$A,계산!$E269,계산!$B:$B,$B$1*100+11))</f>
        <v/>
      </c>
      <c r="N271" s="14">
        <f>IF(원생!$A269="","",SUMIFS(계산!$C:$C,계산!$A:$A,계산!$E269,계산!$B:$B,$B$1*100+12))</f>
        <v/>
      </c>
      <c r="O271">
        <f>IF(원생!$I269="","",원생!$I269)</f>
        <v/>
      </c>
      <c r="P271">
        <f>IF($A271="","",IF(AND($B271&gt;0,C271&lt;$B271,DATE($B$1,1,1)&lt;=TODAY(),OR($O271="",$O271&gt;=DATE($B$1,1,1)),OR(COUNTIF($C271:C271,"&gt;0")&gt;0,DATE($B$1,1,1)=DATE(YEAR(TODAY()),MONTH(TODAY()),1))),1,0))</f>
        <v/>
      </c>
      <c r="Q271">
        <f>IF($A271="","",IF(AND($B271&gt;0,D271&lt;$B271,DATE($B$1,2,1)&lt;=TODAY(),OR($O271="",$O271&gt;=DATE($B$1,2,1)),OR(COUNTIF($C271:D271,"&gt;0")&gt;0,DATE($B$1,2,1)=DATE(YEAR(TODAY()),MONTH(TODAY()),1))),1,0))</f>
        <v/>
      </c>
      <c r="R271">
        <f>IF($A271="","",IF(AND($B271&gt;0,E271&lt;$B271,DATE($B$1,3,1)&lt;=TODAY(),OR($O271="",$O271&gt;=DATE($B$1,3,1)),OR(COUNTIF($C271:E271,"&gt;0")&gt;0,DATE($B$1,3,1)=DATE(YEAR(TODAY()),MONTH(TODAY()),1))),1,0))</f>
        <v/>
      </c>
      <c r="S271">
        <f>IF($A271="","",IF(AND($B271&gt;0,F271&lt;$B271,DATE($B$1,4,1)&lt;=TODAY(),OR($O271="",$O271&gt;=DATE($B$1,4,1)),OR(COUNTIF($C271:F271,"&gt;0")&gt;0,DATE($B$1,4,1)=DATE(YEAR(TODAY()),MONTH(TODAY()),1))),1,0))</f>
        <v/>
      </c>
      <c r="T271">
        <f>IF($A271="","",IF(AND($B271&gt;0,G271&lt;$B271,DATE($B$1,5,1)&lt;=TODAY(),OR($O271="",$O271&gt;=DATE($B$1,5,1)),OR(COUNTIF($C271:G271,"&gt;0")&gt;0,DATE($B$1,5,1)=DATE(YEAR(TODAY()),MONTH(TODAY()),1))),1,0))</f>
        <v/>
      </c>
      <c r="U271">
        <f>IF($A271="","",IF(AND($B271&gt;0,H271&lt;$B271,DATE($B$1,6,1)&lt;=TODAY(),OR($O271="",$O271&gt;=DATE($B$1,6,1)),OR(COUNTIF($C271:H271,"&gt;0")&gt;0,DATE($B$1,6,1)=DATE(YEAR(TODAY()),MONTH(TODAY()),1))),1,0))</f>
        <v/>
      </c>
      <c r="V271">
        <f>IF($A271="","",IF(AND($B271&gt;0,I271&lt;$B271,DATE($B$1,7,1)&lt;=TODAY(),OR($O271="",$O271&gt;=DATE($B$1,7,1)),OR(COUNTIF($C271:I271,"&gt;0")&gt;0,DATE($B$1,7,1)=DATE(YEAR(TODAY()),MONTH(TODAY()),1))),1,0))</f>
        <v/>
      </c>
      <c r="W271">
        <f>IF($A271="","",IF(AND($B271&gt;0,J271&lt;$B271,DATE($B$1,8,1)&lt;=TODAY(),OR($O271="",$O271&gt;=DATE($B$1,8,1)),OR(COUNTIF($C271:J271,"&gt;0")&gt;0,DATE($B$1,8,1)=DATE(YEAR(TODAY()),MONTH(TODAY()),1))),1,0))</f>
        <v/>
      </c>
      <c r="X271">
        <f>IF($A271="","",IF(AND($B271&gt;0,K271&lt;$B271,DATE($B$1,9,1)&lt;=TODAY(),OR($O271="",$O271&gt;=DATE($B$1,9,1)),OR(COUNTIF($C271:K271,"&gt;0")&gt;0,DATE($B$1,9,1)=DATE(YEAR(TODAY()),MONTH(TODAY()),1))),1,0))</f>
        <v/>
      </c>
      <c r="Y271">
        <f>IF($A271="","",IF(AND($B271&gt;0,L271&lt;$B271,DATE($B$1,10,1)&lt;=TODAY(),OR($O271="",$O271&gt;=DATE($B$1,10,1)),OR(COUNTIF($C271:L271,"&gt;0")&gt;0,DATE($B$1,10,1)=DATE(YEAR(TODAY()),MONTH(TODAY()),1))),1,0))</f>
        <v/>
      </c>
      <c r="Z271">
        <f>IF($A271="","",IF(AND($B271&gt;0,M271&lt;$B271,DATE($B$1,11,1)&lt;=TODAY(),OR($O271="",$O271&gt;=DATE($B$1,11,1)),OR(COUNTIF($C271:M271,"&gt;0")&gt;0,DATE($B$1,11,1)=DATE(YEAR(TODAY()),MONTH(TODAY()),1))),1,0))</f>
        <v/>
      </c>
      <c r="AA271">
        <f>IF($A271="","",IF(AND($B271&gt;0,N271&lt;$B271,DATE($B$1,12,1)&lt;=TODAY(),OR($O271="",$O271&gt;=DATE($B$1,12,1)),OR(COUNTIF($C271:N271,"&gt;0")&gt;0,DATE($B$1,12,1)=DATE(YEAR(TODAY()),MONTH(TODAY()),1))),1,0))</f>
        <v/>
      </c>
    </row>
    <row r="272">
      <c r="A272" s="13">
        <f>IF(원생!$A270="","",원생!$A270&amp;IF(원생!$G270="",""," ("&amp;원생!$G270&amp;")"))</f>
        <v/>
      </c>
      <c r="B272" s="8">
        <f>IF(원생!$A270="","",N(원생!$F270))</f>
        <v/>
      </c>
      <c r="C272" s="14">
        <f>IF(원생!$A270="","",SUMIFS(계산!$C:$C,계산!$A:$A,계산!$E270,계산!$B:$B,$B$1*100+1))</f>
        <v/>
      </c>
      <c r="D272" s="14">
        <f>IF(원생!$A270="","",SUMIFS(계산!$C:$C,계산!$A:$A,계산!$E270,계산!$B:$B,$B$1*100+2))</f>
        <v/>
      </c>
      <c r="E272" s="14">
        <f>IF(원생!$A270="","",SUMIFS(계산!$C:$C,계산!$A:$A,계산!$E270,계산!$B:$B,$B$1*100+3))</f>
        <v/>
      </c>
      <c r="F272" s="14">
        <f>IF(원생!$A270="","",SUMIFS(계산!$C:$C,계산!$A:$A,계산!$E270,계산!$B:$B,$B$1*100+4))</f>
        <v/>
      </c>
      <c r="G272" s="14">
        <f>IF(원생!$A270="","",SUMIFS(계산!$C:$C,계산!$A:$A,계산!$E270,계산!$B:$B,$B$1*100+5))</f>
        <v/>
      </c>
      <c r="H272" s="14">
        <f>IF(원생!$A270="","",SUMIFS(계산!$C:$C,계산!$A:$A,계산!$E270,계산!$B:$B,$B$1*100+6))</f>
        <v/>
      </c>
      <c r="I272" s="14">
        <f>IF(원생!$A270="","",SUMIFS(계산!$C:$C,계산!$A:$A,계산!$E270,계산!$B:$B,$B$1*100+7))</f>
        <v/>
      </c>
      <c r="J272" s="14">
        <f>IF(원생!$A270="","",SUMIFS(계산!$C:$C,계산!$A:$A,계산!$E270,계산!$B:$B,$B$1*100+8))</f>
        <v/>
      </c>
      <c r="K272" s="14">
        <f>IF(원생!$A270="","",SUMIFS(계산!$C:$C,계산!$A:$A,계산!$E270,계산!$B:$B,$B$1*100+9))</f>
        <v/>
      </c>
      <c r="L272" s="14">
        <f>IF(원생!$A270="","",SUMIFS(계산!$C:$C,계산!$A:$A,계산!$E270,계산!$B:$B,$B$1*100+10))</f>
        <v/>
      </c>
      <c r="M272" s="14">
        <f>IF(원생!$A270="","",SUMIFS(계산!$C:$C,계산!$A:$A,계산!$E270,계산!$B:$B,$B$1*100+11))</f>
        <v/>
      </c>
      <c r="N272" s="14">
        <f>IF(원생!$A270="","",SUMIFS(계산!$C:$C,계산!$A:$A,계산!$E270,계산!$B:$B,$B$1*100+12))</f>
        <v/>
      </c>
      <c r="O272">
        <f>IF(원생!$I270="","",원생!$I270)</f>
        <v/>
      </c>
      <c r="P272">
        <f>IF($A272="","",IF(AND($B272&gt;0,C272&lt;$B272,DATE($B$1,1,1)&lt;=TODAY(),OR($O272="",$O272&gt;=DATE($B$1,1,1)),OR(COUNTIF($C272:C272,"&gt;0")&gt;0,DATE($B$1,1,1)=DATE(YEAR(TODAY()),MONTH(TODAY()),1))),1,0))</f>
        <v/>
      </c>
      <c r="Q272">
        <f>IF($A272="","",IF(AND($B272&gt;0,D272&lt;$B272,DATE($B$1,2,1)&lt;=TODAY(),OR($O272="",$O272&gt;=DATE($B$1,2,1)),OR(COUNTIF($C272:D272,"&gt;0")&gt;0,DATE($B$1,2,1)=DATE(YEAR(TODAY()),MONTH(TODAY()),1))),1,0))</f>
        <v/>
      </c>
      <c r="R272">
        <f>IF($A272="","",IF(AND($B272&gt;0,E272&lt;$B272,DATE($B$1,3,1)&lt;=TODAY(),OR($O272="",$O272&gt;=DATE($B$1,3,1)),OR(COUNTIF($C272:E272,"&gt;0")&gt;0,DATE($B$1,3,1)=DATE(YEAR(TODAY()),MONTH(TODAY()),1))),1,0))</f>
        <v/>
      </c>
      <c r="S272">
        <f>IF($A272="","",IF(AND($B272&gt;0,F272&lt;$B272,DATE($B$1,4,1)&lt;=TODAY(),OR($O272="",$O272&gt;=DATE($B$1,4,1)),OR(COUNTIF($C272:F272,"&gt;0")&gt;0,DATE($B$1,4,1)=DATE(YEAR(TODAY()),MONTH(TODAY()),1))),1,0))</f>
        <v/>
      </c>
      <c r="T272">
        <f>IF($A272="","",IF(AND($B272&gt;0,G272&lt;$B272,DATE($B$1,5,1)&lt;=TODAY(),OR($O272="",$O272&gt;=DATE($B$1,5,1)),OR(COUNTIF($C272:G272,"&gt;0")&gt;0,DATE($B$1,5,1)=DATE(YEAR(TODAY()),MONTH(TODAY()),1))),1,0))</f>
        <v/>
      </c>
      <c r="U272">
        <f>IF($A272="","",IF(AND($B272&gt;0,H272&lt;$B272,DATE($B$1,6,1)&lt;=TODAY(),OR($O272="",$O272&gt;=DATE($B$1,6,1)),OR(COUNTIF($C272:H272,"&gt;0")&gt;0,DATE($B$1,6,1)=DATE(YEAR(TODAY()),MONTH(TODAY()),1))),1,0))</f>
        <v/>
      </c>
      <c r="V272">
        <f>IF($A272="","",IF(AND($B272&gt;0,I272&lt;$B272,DATE($B$1,7,1)&lt;=TODAY(),OR($O272="",$O272&gt;=DATE($B$1,7,1)),OR(COUNTIF($C272:I272,"&gt;0")&gt;0,DATE($B$1,7,1)=DATE(YEAR(TODAY()),MONTH(TODAY()),1))),1,0))</f>
        <v/>
      </c>
      <c r="W272">
        <f>IF($A272="","",IF(AND($B272&gt;0,J272&lt;$B272,DATE($B$1,8,1)&lt;=TODAY(),OR($O272="",$O272&gt;=DATE($B$1,8,1)),OR(COUNTIF($C272:J272,"&gt;0")&gt;0,DATE($B$1,8,1)=DATE(YEAR(TODAY()),MONTH(TODAY()),1))),1,0))</f>
        <v/>
      </c>
      <c r="X272">
        <f>IF($A272="","",IF(AND($B272&gt;0,K272&lt;$B272,DATE($B$1,9,1)&lt;=TODAY(),OR($O272="",$O272&gt;=DATE($B$1,9,1)),OR(COUNTIF($C272:K272,"&gt;0")&gt;0,DATE($B$1,9,1)=DATE(YEAR(TODAY()),MONTH(TODAY()),1))),1,0))</f>
        <v/>
      </c>
      <c r="Y272">
        <f>IF($A272="","",IF(AND($B272&gt;0,L272&lt;$B272,DATE($B$1,10,1)&lt;=TODAY(),OR($O272="",$O272&gt;=DATE($B$1,10,1)),OR(COUNTIF($C272:L272,"&gt;0")&gt;0,DATE($B$1,10,1)=DATE(YEAR(TODAY()),MONTH(TODAY()),1))),1,0))</f>
        <v/>
      </c>
      <c r="Z272">
        <f>IF($A272="","",IF(AND($B272&gt;0,M272&lt;$B272,DATE($B$1,11,1)&lt;=TODAY(),OR($O272="",$O272&gt;=DATE($B$1,11,1)),OR(COUNTIF($C272:M272,"&gt;0")&gt;0,DATE($B$1,11,1)=DATE(YEAR(TODAY()),MONTH(TODAY()),1))),1,0))</f>
        <v/>
      </c>
      <c r="AA272">
        <f>IF($A272="","",IF(AND($B272&gt;0,N272&lt;$B272,DATE($B$1,12,1)&lt;=TODAY(),OR($O272="",$O272&gt;=DATE($B$1,12,1)),OR(COUNTIF($C272:N272,"&gt;0")&gt;0,DATE($B$1,12,1)=DATE(YEAR(TODAY()),MONTH(TODAY()),1))),1,0))</f>
        <v/>
      </c>
    </row>
    <row r="273">
      <c r="A273" s="13">
        <f>IF(원생!$A271="","",원생!$A271&amp;IF(원생!$G271="",""," ("&amp;원생!$G271&amp;")"))</f>
        <v/>
      </c>
      <c r="B273" s="8">
        <f>IF(원생!$A271="","",N(원생!$F271))</f>
        <v/>
      </c>
      <c r="C273" s="14">
        <f>IF(원생!$A271="","",SUMIFS(계산!$C:$C,계산!$A:$A,계산!$E271,계산!$B:$B,$B$1*100+1))</f>
        <v/>
      </c>
      <c r="D273" s="14">
        <f>IF(원생!$A271="","",SUMIFS(계산!$C:$C,계산!$A:$A,계산!$E271,계산!$B:$B,$B$1*100+2))</f>
        <v/>
      </c>
      <c r="E273" s="14">
        <f>IF(원생!$A271="","",SUMIFS(계산!$C:$C,계산!$A:$A,계산!$E271,계산!$B:$B,$B$1*100+3))</f>
        <v/>
      </c>
      <c r="F273" s="14">
        <f>IF(원생!$A271="","",SUMIFS(계산!$C:$C,계산!$A:$A,계산!$E271,계산!$B:$B,$B$1*100+4))</f>
        <v/>
      </c>
      <c r="G273" s="14">
        <f>IF(원생!$A271="","",SUMIFS(계산!$C:$C,계산!$A:$A,계산!$E271,계산!$B:$B,$B$1*100+5))</f>
        <v/>
      </c>
      <c r="H273" s="14">
        <f>IF(원생!$A271="","",SUMIFS(계산!$C:$C,계산!$A:$A,계산!$E271,계산!$B:$B,$B$1*100+6))</f>
        <v/>
      </c>
      <c r="I273" s="14">
        <f>IF(원생!$A271="","",SUMIFS(계산!$C:$C,계산!$A:$A,계산!$E271,계산!$B:$B,$B$1*100+7))</f>
        <v/>
      </c>
      <c r="J273" s="14">
        <f>IF(원생!$A271="","",SUMIFS(계산!$C:$C,계산!$A:$A,계산!$E271,계산!$B:$B,$B$1*100+8))</f>
        <v/>
      </c>
      <c r="K273" s="14">
        <f>IF(원생!$A271="","",SUMIFS(계산!$C:$C,계산!$A:$A,계산!$E271,계산!$B:$B,$B$1*100+9))</f>
        <v/>
      </c>
      <c r="L273" s="14">
        <f>IF(원생!$A271="","",SUMIFS(계산!$C:$C,계산!$A:$A,계산!$E271,계산!$B:$B,$B$1*100+10))</f>
        <v/>
      </c>
      <c r="M273" s="14">
        <f>IF(원생!$A271="","",SUMIFS(계산!$C:$C,계산!$A:$A,계산!$E271,계산!$B:$B,$B$1*100+11))</f>
        <v/>
      </c>
      <c r="N273" s="14">
        <f>IF(원생!$A271="","",SUMIFS(계산!$C:$C,계산!$A:$A,계산!$E271,계산!$B:$B,$B$1*100+12))</f>
        <v/>
      </c>
      <c r="O273">
        <f>IF(원생!$I271="","",원생!$I271)</f>
        <v/>
      </c>
      <c r="P273">
        <f>IF($A273="","",IF(AND($B273&gt;0,C273&lt;$B273,DATE($B$1,1,1)&lt;=TODAY(),OR($O273="",$O273&gt;=DATE($B$1,1,1)),OR(COUNTIF($C273:C273,"&gt;0")&gt;0,DATE($B$1,1,1)=DATE(YEAR(TODAY()),MONTH(TODAY()),1))),1,0))</f>
        <v/>
      </c>
      <c r="Q273">
        <f>IF($A273="","",IF(AND($B273&gt;0,D273&lt;$B273,DATE($B$1,2,1)&lt;=TODAY(),OR($O273="",$O273&gt;=DATE($B$1,2,1)),OR(COUNTIF($C273:D273,"&gt;0")&gt;0,DATE($B$1,2,1)=DATE(YEAR(TODAY()),MONTH(TODAY()),1))),1,0))</f>
        <v/>
      </c>
      <c r="R273">
        <f>IF($A273="","",IF(AND($B273&gt;0,E273&lt;$B273,DATE($B$1,3,1)&lt;=TODAY(),OR($O273="",$O273&gt;=DATE($B$1,3,1)),OR(COUNTIF($C273:E273,"&gt;0")&gt;0,DATE($B$1,3,1)=DATE(YEAR(TODAY()),MONTH(TODAY()),1))),1,0))</f>
        <v/>
      </c>
      <c r="S273">
        <f>IF($A273="","",IF(AND($B273&gt;0,F273&lt;$B273,DATE($B$1,4,1)&lt;=TODAY(),OR($O273="",$O273&gt;=DATE($B$1,4,1)),OR(COUNTIF($C273:F273,"&gt;0")&gt;0,DATE($B$1,4,1)=DATE(YEAR(TODAY()),MONTH(TODAY()),1))),1,0))</f>
        <v/>
      </c>
      <c r="T273">
        <f>IF($A273="","",IF(AND($B273&gt;0,G273&lt;$B273,DATE($B$1,5,1)&lt;=TODAY(),OR($O273="",$O273&gt;=DATE($B$1,5,1)),OR(COUNTIF($C273:G273,"&gt;0")&gt;0,DATE($B$1,5,1)=DATE(YEAR(TODAY()),MONTH(TODAY()),1))),1,0))</f>
        <v/>
      </c>
      <c r="U273">
        <f>IF($A273="","",IF(AND($B273&gt;0,H273&lt;$B273,DATE($B$1,6,1)&lt;=TODAY(),OR($O273="",$O273&gt;=DATE($B$1,6,1)),OR(COUNTIF($C273:H273,"&gt;0")&gt;0,DATE($B$1,6,1)=DATE(YEAR(TODAY()),MONTH(TODAY()),1))),1,0))</f>
        <v/>
      </c>
      <c r="V273">
        <f>IF($A273="","",IF(AND($B273&gt;0,I273&lt;$B273,DATE($B$1,7,1)&lt;=TODAY(),OR($O273="",$O273&gt;=DATE($B$1,7,1)),OR(COUNTIF($C273:I273,"&gt;0")&gt;0,DATE($B$1,7,1)=DATE(YEAR(TODAY()),MONTH(TODAY()),1))),1,0))</f>
        <v/>
      </c>
      <c r="W273">
        <f>IF($A273="","",IF(AND($B273&gt;0,J273&lt;$B273,DATE($B$1,8,1)&lt;=TODAY(),OR($O273="",$O273&gt;=DATE($B$1,8,1)),OR(COUNTIF($C273:J273,"&gt;0")&gt;0,DATE($B$1,8,1)=DATE(YEAR(TODAY()),MONTH(TODAY()),1))),1,0))</f>
        <v/>
      </c>
      <c r="X273">
        <f>IF($A273="","",IF(AND($B273&gt;0,K273&lt;$B273,DATE($B$1,9,1)&lt;=TODAY(),OR($O273="",$O273&gt;=DATE($B$1,9,1)),OR(COUNTIF($C273:K273,"&gt;0")&gt;0,DATE($B$1,9,1)=DATE(YEAR(TODAY()),MONTH(TODAY()),1))),1,0))</f>
        <v/>
      </c>
      <c r="Y273">
        <f>IF($A273="","",IF(AND($B273&gt;0,L273&lt;$B273,DATE($B$1,10,1)&lt;=TODAY(),OR($O273="",$O273&gt;=DATE($B$1,10,1)),OR(COUNTIF($C273:L273,"&gt;0")&gt;0,DATE($B$1,10,1)=DATE(YEAR(TODAY()),MONTH(TODAY()),1))),1,0))</f>
        <v/>
      </c>
      <c r="Z273">
        <f>IF($A273="","",IF(AND($B273&gt;0,M273&lt;$B273,DATE($B$1,11,1)&lt;=TODAY(),OR($O273="",$O273&gt;=DATE($B$1,11,1)),OR(COUNTIF($C273:M273,"&gt;0")&gt;0,DATE($B$1,11,1)=DATE(YEAR(TODAY()),MONTH(TODAY()),1))),1,0))</f>
        <v/>
      </c>
      <c r="AA273">
        <f>IF($A273="","",IF(AND($B273&gt;0,N273&lt;$B273,DATE($B$1,12,1)&lt;=TODAY(),OR($O273="",$O273&gt;=DATE($B$1,12,1)),OR(COUNTIF($C273:N273,"&gt;0")&gt;0,DATE($B$1,12,1)=DATE(YEAR(TODAY()),MONTH(TODAY()),1))),1,0))</f>
        <v/>
      </c>
    </row>
    <row r="274">
      <c r="A274" s="13">
        <f>IF(원생!$A272="","",원생!$A272&amp;IF(원생!$G272="",""," ("&amp;원생!$G272&amp;")"))</f>
        <v/>
      </c>
      <c r="B274" s="8">
        <f>IF(원생!$A272="","",N(원생!$F272))</f>
        <v/>
      </c>
      <c r="C274" s="14">
        <f>IF(원생!$A272="","",SUMIFS(계산!$C:$C,계산!$A:$A,계산!$E272,계산!$B:$B,$B$1*100+1))</f>
        <v/>
      </c>
      <c r="D274" s="14">
        <f>IF(원생!$A272="","",SUMIFS(계산!$C:$C,계산!$A:$A,계산!$E272,계산!$B:$B,$B$1*100+2))</f>
        <v/>
      </c>
      <c r="E274" s="14">
        <f>IF(원생!$A272="","",SUMIFS(계산!$C:$C,계산!$A:$A,계산!$E272,계산!$B:$B,$B$1*100+3))</f>
        <v/>
      </c>
      <c r="F274" s="14">
        <f>IF(원생!$A272="","",SUMIFS(계산!$C:$C,계산!$A:$A,계산!$E272,계산!$B:$B,$B$1*100+4))</f>
        <v/>
      </c>
      <c r="G274" s="14">
        <f>IF(원생!$A272="","",SUMIFS(계산!$C:$C,계산!$A:$A,계산!$E272,계산!$B:$B,$B$1*100+5))</f>
        <v/>
      </c>
      <c r="H274" s="14">
        <f>IF(원생!$A272="","",SUMIFS(계산!$C:$C,계산!$A:$A,계산!$E272,계산!$B:$B,$B$1*100+6))</f>
        <v/>
      </c>
      <c r="I274" s="14">
        <f>IF(원생!$A272="","",SUMIFS(계산!$C:$C,계산!$A:$A,계산!$E272,계산!$B:$B,$B$1*100+7))</f>
        <v/>
      </c>
      <c r="J274" s="14">
        <f>IF(원생!$A272="","",SUMIFS(계산!$C:$C,계산!$A:$A,계산!$E272,계산!$B:$B,$B$1*100+8))</f>
        <v/>
      </c>
      <c r="K274" s="14">
        <f>IF(원생!$A272="","",SUMIFS(계산!$C:$C,계산!$A:$A,계산!$E272,계산!$B:$B,$B$1*100+9))</f>
        <v/>
      </c>
      <c r="L274" s="14">
        <f>IF(원생!$A272="","",SUMIFS(계산!$C:$C,계산!$A:$A,계산!$E272,계산!$B:$B,$B$1*100+10))</f>
        <v/>
      </c>
      <c r="M274" s="14">
        <f>IF(원생!$A272="","",SUMIFS(계산!$C:$C,계산!$A:$A,계산!$E272,계산!$B:$B,$B$1*100+11))</f>
        <v/>
      </c>
      <c r="N274" s="14">
        <f>IF(원생!$A272="","",SUMIFS(계산!$C:$C,계산!$A:$A,계산!$E272,계산!$B:$B,$B$1*100+12))</f>
        <v/>
      </c>
      <c r="O274">
        <f>IF(원생!$I272="","",원생!$I272)</f>
        <v/>
      </c>
      <c r="P274">
        <f>IF($A274="","",IF(AND($B274&gt;0,C274&lt;$B274,DATE($B$1,1,1)&lt;=TODAY(),OR($O274="",$O274&gt;=DATE($B$1,1,1)),OR(COUNTIF($C274:C274,"&gt;0")&gt;0,DATE($B$1,1,1)=DATE(YEAR(TODAY()),MONTH(TODAY()),1))),1,0))</f>
        <v/>
      </c>
      <c r="Q274">
        <f>IF($A274="","",IF(AND($B274&gt;0,D274&lt;$B274,DATE($B$1,2,1)&lt;=TODAY(),OR($O274="",$O274&gt;=DATE($B$1,2,1)),OR(COUNTIF($C274:D274,"&gt;0")&gt;0,DATE($B$1,2,1)=DATE(YEAR(TODAY()),MONTH(TODAY()),1))),1,0))</f>
        <v/>
      </c>
      <c r="R274">
        <f>IF($A274="","",IF(AND($B274&gt;0,E274&lt;$B274,DATE($B$1,3,1)&lt;=TODAY(),OR($O274="",$O274&gt;=DATE($B$1,3,1)),OR(COUNTIF($C274:E274,"&gt;0")&gt;0,DATE($B$1,3,1)=DATE(YEAR(TODAY()),MONTH(TODAY()),1))),1,0))</f>
        <v/>
      </c>
      <c r="S274">
        <f>IF($A274="","",IF(AND($B274&gt;0,F274&lt;$B274,DATE($B$1,4,1)&lt;=TODAY(),OR($O274="",$O274&gt;=DATE($B$1,4,1)),OR(COUNTIF($C274:F274,"&gt;0")&gt;0,DATE($B$1,4,1)=DATE(YEAR(TODAY()),MONTH(TODAY()),1))),1,0))</f>
        <v/>
      </c>
      <c r="T274">
        <f>IF($A274="","",IF(AND($B274&gt;0,G274&lt;$B274,DATE($B$1,5,1)&lt;=TODAY(),OR($O274="",$O274&gt;=DATE($B$1,5,1)),OR(COUNTIF($C274:G274,"&gt;0")&gt;0,DATE($B$1,5,1)=DATE(YEAR(TODAY()),MONTH(TODAY()),1))),1,0))</f>
        <v/>
      </c>
      <c r="U274">
        <f>IF($A274="","",IF(AND($B274&gt;0,H274&lt;$B274,DATE($B$1,6,1)&lt;=TODAY(),OR($O274="",$O274&gt;=DATE($B$1,6,1)),OR(COUNTIF($C274:H274,"&gt;0")&gt;0,DATE($B$1,6,1)=DATE(YEAR(TODAY()),MONTH(TODAY()),1))),1,0))</f>
        <v/>
      </c>
      <c r="V274">
        <f>IF($A274="","",IF(AND($B274&gt;0,I274&lt;$B274,DATE($B$1,7,1)&lt;=TODAY(),OR($O274="",$O274&gt;=DATE($B$1,7,1)),OR(COUNTIF($C274:I274,"&gt;0")&gt;0,DATE($B$1,7,1)=DATE(YEAR(TODAY()),MONTH(TODAY()),1))),1,0))</f>
        <v/>
      </c>
      <c r="W274">
        <f>IF($A274="","",IF(AND($B274&gt;0,J274&lt;$B274,DATE($B$1,8,1)&lt;=TODAY(),OR($O274="",$O274&gt;=DATE($B$1,8,1)),OR(COUNTIF($C274:J274,"&gt;0")&gt;0,DATE($B$1,8,1)=DATE(YEAR(TODAY()),MONTH(TODAY()),1))),1,0))</f>
        <v/>
      </c>
      <c r="X274">
        <f>IF($A274="","",IF(AND($B274&gt;0,K274&lt;$B274,DATE($B$1,9,1)&lt;=TODAY(),OR($O274="",$O274&gt;=DATE($B$1,9,1)),OR(COUNTIF($C274:K274,"&gt;0")&gt;0,DATE($B$1,9,1)=DATE(YEAR(TODAY()),MONTH(TODAY()),1))),1,0))</f>
        <v/>
      </c>
      <c r="Y274">
        <f>IF($A274="","",IF(AND($B274&gt;0,L274&lt;$B274,DATE($B$1,10,1)&lt;=TODAY(),OR($O274="",$O274&gt;=DATE($B$1,10,1)),OR(COUNTIF($C274:L274,"&gt;0")&gt;0,DATE($B$1,10,1)=DATE(YEAR(TODAY()),MONTH(TODAY()),1))),1,0))</f>
        <v/>
      </c>
      <c r="Z274">
        <f>IF($A274="","",IF(AND($B274&gt;0,M274&lt;$B274,DATE($B$1,11,1)&lt;=TODAY(),OR($O274="",$O274&gt;=DATE($B$1,11,1)),OR(COUNTIF($C274:M274,"&gt;0")&gt;0,DATE($B$1,11,1)=DATE(YEAR(TODAY()),MONTH(TODAY()),1))),1,0))</f>
        <v/>
      </c>
      <c r="AA274">
        <f>IF($A274="","",IF(AND($B274&gt;0,N274&lt;$B274,DATE($B$1,12,1)&lt;=TODAY(),OR($O274="",$O274&gt;=DATE($B$1,12,1)),OR(COUNTIF($C274:N274,"&gt;0")&gt;0,DATE($B$1,12,1)=DATE(YEAR(TODAY()),MONTH(TODAY()),1))),1,0))</f>
        <v/>
      </c>
    </row>
    <row r="275">
      <c r="A275" s="13">
        <f>IF(원생!$A273="","",원생!$A273&amp;IF(원생!$G273="",""," ("&amp;원생!$G273&amp;")"))</f>
        <v/>
      </c>
      <c r="B275" s="8">
        <f>IF(원생!$A273="","",N(원생!$F273))</f>
        <v/>
      </c>
      <c r="C275" s="14">
        <f>IF(원생!$A273="","",SUMIFS(계산!$C:$C,계산!$A:$A,계산!$E273,계산!$B:$B,$B$1*100+1))</f>
        <v/>
      </c>
      <c r="D275" s="14">
        <f>IF(원생!$A273="","",SUMIFS(계산!$C:$C,계산!$A:$A,계산!$E273,계산!$B:$B,$B$1*100+2))</f>
        <v/>
      </c>
      <c r="E275" s="14">
        <f>IF(원생!$A273="","",SUMIFS(계산!$C:$C,계산!$A:$A,계산!$E273,계산!$B:$B,$B$1*100+3))</f>
        <v/>
      </c>
      <c r="F275" s="14">
        <f>IF(원생!$A273="","",SUMIFS(계산!$C:$C,계산!$A:$A,계산!$E273,계산!$B:$B,$B$1*100+4))</f>
        <v/>
      </c>
      <c r="G275" s="14">
        <f>IF(원생!$A273="","",SUMIFS(계산!$C:$C,계산!$A:$A,계산!$E273,계산!$B:$B,$B$1*100+5))</f>
        <v/>
      </c>
      <c r="H275" s="14">
        <f>IF(원생!$A273="","",SUMIFS(계산!$C:$C,계산!$A:$A,계산!$E273,계산!$B:$B,$B$1*100+6))</f>
        <v/>
      </c>
      <c r="I275" s="14">
        <f>IF(원생!$A273="","",SUMIFS(계산!$C:$C,계산!$A:$A,계산!$E273,계산!$B:$B,$B$1*100+7))</f>
        <v/>
      </c>
      <c r="J275" s="14">
        <f>IF(원생!$A273="","",SUMIFS(계산!$C:$C,계산!$A:$A,계산!$E273,계산!$B:$B,$B$1*100+8))</f>
        <v/>
      </c>
      <c r="K275" s="14">
        <f>IF(원생!$A273="","",SUMIFS(계산!$C:$C,계산!$A:$A,계산!$E273,계산!$B:$B,$B$1*100+9))</f>
        <v/>
      </c>
      <c r="L275" s="14">
        <f>IF(원생!$A273="","",SUMIFS(계산!$C:$C,계산!$A:$A,계산!$E273,계산!$B:$B,$B$1*100+10))</f>
        <v/>
      </c>
      <c r="M275" s="14">
        <f>IF(원생!$A273="","",SUMIFS(계산!$C:$C,계산!$A:$A,계산!$E273,계산!$B:$B,$B$1*100+11))</f>
        <v/>
      </c>
      <c r="N275" s="14">
        <f>IF(원생!$A273="","",SUMIFS(계산!$C:$C,계산!$A:$A,계산!$E273,계산!$B:$B,$B$1*100+12))</f>
        <v/>
      </c>
      <c r="O275">
        <f>IF(원생!$I273="","",원생!$I273)</f>
        <v/>
      </c>
      <c r="P275">
        <f>IF($A275="","",IF(AND($B275&gt;0,C275&lt;$B275,DATE($B$1,1,1)&lt;=TODAY(),OR($O275="",$O275&gt;=DATE($B$1,1,1)),OR(COUNTIF($C275:C275,"&gt;0")&gt;0,DATE($B$1,1,1)=DATE(YEAR(TODAY()),MONTH(TODAY()),1))),1,0))</f>
        <v/>
      </c>
      <c r="Q275">
        <f>IF($A275="","",IF(AND($B275&gt;0,D275&lt;$B275,DATE($B$1,2,1)&lt;=TODAY(),OR($O275="",$O275&gt;=DATE($B$1,2,1)),OR(COUNTIF($C275:D275,"&gt;0")&gt;0,DATE($B$1,2,1)=DATE(YEAR(TODAY()),MONTH(TODAY()),1))),1,0))</f>
        <v/>
      </c>
      <c r="R275">
        <f>IF($A275="","",IF(AND($B275&gt;0,E275&lt;$B275,DATE($B$1,3,1)&lt;=TODAY(),OR($O275="",$O275&gt;=DATE($B$1,3,1)),OR(COUNTIF($C275:E275,"&gt;0")&gt;0,DATE($B$1,3,1)=DATE(YEAR(TODAY()),MONTH(TODAY()),1))),1,0))</f>
        <v/>
      </c>
      <c r="S275">
        <f>IF($A275="","",IF(AND($B275&gt;0,F275&lt;$B275,DATE($B$1,4,1)&lt;=TODAY(),OR($O275="",$O275&gt;=DATE($B$1,4,1)),OR(COUNTIF($C275:F275,"&gt;0")&gt;0,DATE($B$1,4,1)=DATE(YEAR(TODAY()),MONTH(TODAY()),1))),1,0))</f>
        <v/>
      </c>
      <c r="T275">
        <f>IF($A275="","",IF(AND($B275&gt;0,G275&lt;$B275,DATE($B$1,5,1)&lt;=TODAY(),OR($O275="",$O275&gt;=DATE($B$1,5,1)),OR(COUNTIF($C275:G275,"&gt;0")&gt;0,DATE($B$1,5,1)=DATE(YEAR(TODAY()),MONTH(TODAY()),1))),1,0))</f>
        <v/>
      </c>
      <c r="U275">
        <f>IF($A275="","",IF(AND($B275&gt;0,H275&lt;$B275,DATE($B$1,6,1)&lt;=TODAY(),OR($O275="",$O275&gt;=DATE($B$1,6,1)),OR(COUNTIF($C275:H275,"&gt;0")&gt;0,DATE($B$1,6,1)=DATE(YEAR(TODAY()),MONTH(TODAY()),1))),1,0))</f>
        <v/>
      </c>
      <c r="V275">
        <f>IF($A275="","",IF(AND($B275&gt;0,I275&lt;$B275,DATE($B$1,7,1)&lt;=TODAY(),OR($O275="",$O275&gt;=DATE($B$1,7,1)),OR(COUNTIF($C275:I275,"&gt;0")&gt;0,DATE($B$1,7,1)=DATE(YEAR(TODAY()),MONTH(TODAY()),1))),1,0))</f>
        <v/>
      </c>
      <c r="W275">
        <f>IF($A275="","",IF(AND($B275&gt;0,J275&lt;$B275,DATE($B$1,8,1)&lt;=TODAY(),OR($O275="",$O275&gt;=DATE($B$1,8,1)),OR(COUNTIF($C275:J275,"&gt;0")&gt;0,DATE($B$1,8,1)=DATE(YEAR(TODAY()),MONTH(TODAY()),1))),1,0))</f>
        <v/>
      </c>
      <c r="X275">
        <f>IF($A275="","",IF(AND($B275&gt;0,K275&lt;$B275,DATE($B$1,9,1)&lt;=TODAY(),OR($O275="",$O275&gt;=DATE($B$1,9,1)),OR(COUNTIF($C275:K275,"&gt;0")&gt;0,DATE($B$1,9,1)=DATE(YEAR(TODAY()),MONTH(TODAY()),1))),1,0))</f>
        <v/>
      </c>
      <c r="Y275">
        <f>IF($A275="","",IF(AND($B275&gt;0,L275&lt;$B275,DATE($B$1,10,1)&lt;=TODAY(),OR($O275="",$O275&gt;=DATE($B$1,10,1)),OR(COUNTIF($C275:L275,"&gt;0")&gt;0,DATE($B$1,10,1)=DATE(YEAR(TODAY()),MONTH(TODAY()),1))),1,0))</f>
        <v/>
      </c>
      <c r="Z275">
        <f>IF($A275="","",IF(AND($B275&gt;0,M275&lt;$B275,DATE($B$1,11,1)&lt;=TODAY(),OR($O275="",$O275&gt;=DATE($B$1,11,1)),OR(COUNTIF($C275:M275,"&gt;0")&gt;0,DATE($B$1,11,1)=DATE(YEAR(TODAY()),MONTH(TODAY()),1))),1,0))</f>
        <v/>
      </c>
      <c r="AA275">
        <f>IF($A275="","",IF(AND($B275&gt;0,N275&lt;$B275,DATE($B$1,12,1)&lt;=TODAY(),OR($O275="",$O275&gt;=DATE($B$1,12,1)),OR(COUNTIF($C275:N275,"&gt;0")&gt;0,DATE($B$1,12,1)=DATE(YEAR(TODAY()),MONTH(TODAY()),1))),1,0))</f>
        <v/>
      </c>
    </row>
    <row r="276">
      <c r="A276" s="13">
        <f>IF(원생!$A274="","",원생!$A274&amp;IF(원생!$G274="",""," ("&amp;원생!$G274&amp;")"))</f>
        <v/>
      </c>
      <c r="B276" s="8">
        <f>IF(원생!$A274="","",N(원생!$F274))</f>
        <v/>
      </c>
      <c r="C276" s="14">
        <f>IF(원생!$A274="","",SUMIFS(계산!$C:$C,계산!$A:$A,계산!$E274,계산!$B:$B,$B$1*100+1))</f>
        <v/>
      </c>
      <c r="D276" s="14">
        <f>IF(원생!$A274="","",SUMIFS(계산!$C:$C,계산!$A:$A,계산!$E274,계산!$B:$B,$B$1*100+2))</f>
        <v/>
      </c>
      <c r="E276" s="14">
        <f>IF(원생!$A274="","",SUMIFS(계산!$C:$C,계산!$A:$A,계산!$E274,계산!$B:$B,$B$1*100+3))</f>
        <v/>
      </c>
      <c r="F276" s="14">
        <f>IF(원생!$A274="","",SUMIFS(계산!$C:$C,계산!$A:$A,계산!$E274,계산!$B:$B,$B$1*100+4))</f>
        <v/>
      </c>
      <c r="G276" s="14">
        <f>IF(원생!$A274="","",SUMIFS(계산!$C:$C,계산!$A:$A,계산!$E274,계산!$B:$B,$B$1*100+5))</f>
        <v/>
      </c>
      <c r="H276" s="14">
        <f>IF(원생!$A274="","",SUMIFS(계산!$C:$C,계산!$A:$A,계산!$E274,계산!$B:$B,$B$1*100+6))</f>
        <v/>
      </c>
      <c r="I276" s="14">
        <f>IF(원생!$A274="","",SUMIFS(계산!$C:$C,계산!$A:$A,계산!$E274,계산!$B:$B,$B$1*100+7))</f>
        <v/>
      </c>
      <c r="J276" s="14">
        <f>IF(원생!$A274="","",SUMIFS(계산!$C:$C,계산!$A:$A,계산!$E274,계산!$B:$B,$B$1*100+8))</f>
        <v/>
      </c>
      <c r="K276" s="14">
        <f>IF(원생!$A274="","",SUMIFS(계산!$C:$C,계산!$A:$A,계산!$E274,계산!$B:$B,$B$1*100+9))</f>
        <v/>
      </c>
      <c r="L276" s="14">
        <f>IF(원생!$A274="","",SUMIFS(계산!$C:$C,계산!$A:$A,계산!$E274,계산!$B:$B,$B$1*100+10))</f>
        <v/>
      </c>
      <c r="M276" s="14">
        <f>IF(원생!$A274="","",SUMIFS(계산!$C:$C,계산!$A:$A,계산!$E274,계산!$B:$B,$B$1*100+11))</f>
        <v/>
      </c>
      <c r="N276" s="14">
        <f>IF(원생!$A274="","",SUMIFS(계산!$C:$C,계산!$A:$A,계산!$E274,계산!$B:$B,$B$1*100+12))</f>
        <v/>
      </c>
      <c r="O276">
        <f>IF(원생!$I274="","",원생!$I274)</f>
        <v/>
      </c>
      <c r="P276">
        <f>IF($A276="","",IF(AND($B276&gt;0,C276&lt;$B276,DATE($B$1,1,1)&lt;=TODAY(),OR($O276="",$O276&gt;=DATE($B$1,1,1)),OR(COUNTIF($C276:C276,"&gt;0")&gt;0,DATE($B$1,1,1)=DATE(YEAR(TODAY()),MONTH(TODAY()),1))),1,0))</f>
        <v/>
      </c>
      <c r="Q276">
        <f>IF($A276="","",IF(AND($B276&gt;0,D276&lt;$B276,DATE($B$1,2,1)&lt;=TODAY(),OR($O276="",$O276&gt;=DATE($B$1,2,1)),OR(COUNTIF($C276:D276,"&gt;0")&gt;0,DATE($B$1,2,1)=DATE(YEAR(TODAY()),MONTH(TODAY()),1))),1,0))</f>
        <v/>
      </c>
      <c r="R276">
        <f>IF($A276="","",IF(AND($B276&gt;0,E276&lt;$B276,DATE($B$1,3,1)&lt;=TODAY(),OR($O276="",$O276&gt;=DATE($B$1,3,1)),OR(COUNTIF($C276:E276,"&gt;0")&gt;0,DATE($B$1,3,1)=DATE(YEAR(TODAY()),MONTH(TODAY()),1))),1,0))</f>
        <v/>
      </c>
      <c r="S276">
        <f>IF($A276="","",IF(AND($B276&gt;0,F276&lt;$B276,DATE($B$1,4,1)&lt;=TODAY(),OR($O276="",$O276&gt;=DATE($B$1,4,1)),OR(COUNTIF($C276:F276,"&gt;0")&gt;0,DATE($B$1,4,1)=DATE(YEAR(TODAY()),MONTH(TODAY()),1))),1,0))</f>
        <v/>
      </c>
      <c r="T276">
        <f>IF($A276="","",IF(AND($B276&gt;0,G276&lt;$B276,DATE($B$1,5,1)&lt;=TODAY(),OR($O276="",$O276&gt;=DATE($B$1,5,1)),OR(COUNTIF($C276:G276,"&gt;0")&gt;0,DATE($B$1,5,1)=DATE(YEAR(TODAY()),MONTH(TODAY()),1))),1,0))</f>
        <v/>
      </c>
      <c r="U276">
        <f>IF($A276="","",IF(AND($B276&gt;0,H276&lt;$B276,DATE($B$1,6,1)&lt;=TODAY(),OR($O276="",$O276&gt;=DATE($B$1,6,1)),OR(COUNTIF($C276:H276,"&gt;0")&gt;0,DATE($B$1,6,1)=DATE(YEAR(TODAY()),MONTH(TODAY()),1))),1,0))</f>
        <v/>
      </c>
      <c r="V276">
        <f>IF($A276="","",IF(AND($B276&gt;0,I276&lt;$B276,DATE($B$1,7,1)&lt;=TODAY(),OR($O276="",$O276&gt;=DATE($B$1,7,1)),OR(COUNTIF($C276:I276,"&gt;0")&gt;0,DATE($B$1,7,1)=DATE(YEAR(TODAY()),MONTH(TODAY()),1))),1,0))</f>
        <v/>
      </c>
      <c r="W276">
        <f>IF($A276="","",IF(AND($B276&gt;0,J276&lt;$B276,DATE($B$1,8,1)&lt;=TODAY(),OR($O276="",$O276&gt;=DATE($B$1,8,1)),OR(COUNTIF($C276:J276,"&gt;0")&gt;0,DATE($B$1,8,1)=DATE(YEAR(TODAY()),MONTH(TODAY()),1))),1,0))</f>
        <v/>
      </c>
      <c r="X276">
        <f>IF($A276="","",IF(AND($B276&gt;0,K276&lt;$B276,DATE($B$1,9,1)&lt;=TODAY(),OR($O276="",$O276&gt;=DATE($B$1,9,1)),OR(COUNTIF($C276:K276,"&gt;0")&gt;0,DATE($B$1,9,1)=DATE(YEAR(TODAY()),MONTH(TODAY()),1))),1,0))</f>
        <v/>
      </c>
      <c r="Y276">
        <f>IF($A276="","",IF(AND($B276&gt;0,L276&lt;$B276,DATE($B$1,10,1)&lt;=TODAY(),OR($O276="",$O276&gt;=DATE($B$1,10,1)),OR(COUNTIF($C276:L276,"&gt;0")&gt;0,DATE($B$1,10,1)=DATE(YEAR(TODAY()),MONTH(TODAY()),1))),1,0))</f>
        <v/>
      </c>
      <c r="Z276">
        <f>IF($A276="","",IF(AND($B276&gt;0,M276&lt;$B276,DATE($B$1,11,1)&lt;=TODAY(),OR($O276="",$O276&gt;=DATE($B$1,11,1)),OR(COUNTIF($C276:M276,"&gt;0")&gt;0,DATE($B$1,11,1)=DATE(YEAR(TODAY()),MONTH(TODAY()),1))),1,0))</f>
        <v/>
      </c>
      <c r="AA276">
        <f>IF($A276="","",IF(AND($B276&gt;0,N276&lt;$B276,DATE($B$1,12,1)&lt;=TODAY(),OR($O276="",$O276&gt;=DATE($B$1,12,1)),OR(COUNTIF($C276:N276,"&gt;0")&gt;0,DATE($B$1,12,1)=DATE(YEAR(TODAY()),MONTH(TODAY()),1))),1,0))</f>
        <v/>
      </c>
    </row>
    <row r="277">
      <c r="A277" s="13">
        <f>IF(원생!$A275="","",원생!$A275&amp;IF(원생!$G275="",""," ("&amp;원생!$G275&amp;")"))</f>
        <v/>
      </c>
      <c r="B277" s="8">
        <f>IF(원생!$A275="","",N(원생!$F275))</f>
        <v/>
      </c>
      <c r="C277" s="14">
        <f>IF(원생!$A275="","",SUMIFS(계산!$C:$C,계산!$A:$A,계산!$E275,계산!$B:$B,$B$1*100+1))</f>
        <v/>
      </c>
      <c r="D277" s="14">
        <f>IF(원생!$A275="","",SUMIFS(계산!$C:$C,계산!$A:$A,계산!$E275,계산!$B:$B,$B$1*100+2))</f>
        <v/>
      </c>
      <c r="E277" s="14">
        <f>IF(원생!$A275="","",SUMIFS(계산!$C:$C,계산!$A:$A,계산!$E275,계산!$B:$B,$B$1*100+3))</f>
        <v/>
      </c>
      <c r="F277" s="14">
        <f>IF(원생!$A275="","",SUMIFS(계산!$C:$C,계산!$A:$A,계산!$E275,계산!$B:$B,$B$1*100+4))</f>
        <v/>
      </c>
      <c r="G277" s="14">
        <f>IF(원생!$A275="","",SUMIFS(계산!$C:$C,계산!$A:$A,계산!$E275,계산!$B:$B,$B$1*100+5))</f>
        <v/>
      </c>
      <c r="H277" s="14">
        <f>IF(원생!$A275="","",SUMIFS(계산!$C:$C,계산!$A:$A,계산!$E275,계산!$B:$B,$B$1*100+6))</f>
        <v/>
      </c>
      <c r="I277" s="14">
        <f>IF(원생!$A275="","",SUMIFS(계산!$C:$C,계산!$A:$A,계산!$E275,계산!$B:$B,$B$1*100+7))</f>
        <v/>
      </c>
      <c r="J277" s="14">
        <f>IF(원생!$A275="","",SUMIFS(계산!$C:$C,계산!$A:$A,계산!$E275,계산!$B:$B,$B$1*100+8))</f>
        <v/>
      </c>
      <c r="K277" s="14">
        <f>IF(원생!$A275="","",SUMIFS(계산!$C:$C,계산!$A:$A,계산!$E275,계산!$B:$B,$B$1*100+9))</f>
        <v/>
      </c>
      <c r="L277" s="14">
        <f>IF(원생!$A275="","",SUMIFS(계산!$C:$C,계산!$A:$A,계산!$E275,계산!$B:$B,$B$1*100+10))</f>
        <v/>
      </c>
      <c r="M277" s="14">
        <f>IF(원생!$A275="","",SUMIFS(계산!$C:$C,계산!$A:$A,계산!$E275,계산!$B:$B,$B$1*100+11))</f>
        <v/>
      </c>
      <c r="N277" s="14">
        <f>IF(원생!$A275="","",SUMIFS(계산!$C:$C,계산!$A:$A,계산!$E275,계산!$B:$B,$B$1*100+12))</f>
        <v/>
      </c>
      <c r="O277">
        <f>IF(원생!$I275="","",원생!$I275)</f>
        <v/>
      </c>
      <c r="P277">
        <f>IF($A277="","",IF(AND($B277&gt;0,C277&lt;$B277,DATE($B$1,1,1)&lt;=TODAY(),OR($O277="",$O277&gt;=DATE($B$1,1,1)),OR(COUNTIF($C277:C277,"&gt;0")&gt;0,DATE($B$1,1,1)=DATE(YEAR(TODAY()),MONTH(TODAY()),1))),1,0))</f>
        <v/>
      </c>
      <c r="Q277">
        <f>IF($A277="","",IF(AND($B277&gt;0,D277&lt;$B277,DATE($B$1,2,1)&lt;=TODAY(),OR($O277="",$O277&gt;=DATE($B$1,2,1)),OR(COUNTIF($C277:D277,"&gt;0")&gt;0,DATE($B$1,2,1)=DATE(YEAR(TODAY()),MONTH(TODAY()),1))),1,0))</f>
        <v/>
      </c>
      <c r="R277">
        <f>IF($A277="","",IF(AND($B277&gt;0,E277&lt;$B277,DATE($B$1,3,1)&lt;=TODAY(),OR($O277="",$O277&gt;=DATE($B$1,3,1)),OR(COUNTIF($C277:E277,"&gt;0")&gt;0,DATE($B$1,3,1)=DATE(YEAR(TODAY()),MONTH(TODAY()),1))),1,0))</f>
        <v/>
      </c>
      <c r="S277">
        <f>IF($A277="","",IF(AND($B277&gt;0,F277&lt;$B277,DATE($B$1,4,1)&lt;=TODAY(),OR($O277="",$O277&gt;=DATE($B$1,4,1)),OR(COUNTIF($C277:F277,"&gt;0")&gt;0,DATE($B$1,4,1)=DATE(YEAR(TODAY()),MONTH(TODAY()),1))),1,0))</f>
        <v/>
      </c>
      <c r="T277">
        <f>IF($A277="","",IF(AND($B277&gt;0,G277&lt;$B277,DATE($B$1,5,1)&lt;=TODAY(),OR($O277="",$O277&gt;=DATE($B$1,5,1)),OR(COUNTIF($C277:G277,"&gt;0")&gt;0,DATE($B$1,5,1)=DATE(YEAR(TODAY()),MONTH(TODAY()),1))),1,0))</f>
        <v/>
      </c>
      <c r="U277">
        <f>IF($A277="","",IF(AND($B277&gt;0,H277&lt;$B277,DATE($B$1,6,1)&lt;=TODAY(),OR($O277="",$O277&gt;=DATE($B$1,6,1)),OR(COUNTIF($C277:H277,"&gt;0")&gt;0,DATE($B$1,6,1)=DATE(YEAR(TODAY()),MONTH(TODAY()),1))),1,0))</f>
        <v/>
      </c>
      <c r="V277">
        <f>IF($A277="","",IF(AND($B277&gt;0,I277&lt;$B277,DATE($B$1,7,1)&lt;=TODAY(),OR($O277="",$O277&gt;=DATE($B$1,7,1)),OR(COUNTIF($C277:I277,"&gt;0")&gt;0,DATE($B$1,7,1)=DATE(YEAR(TODAY()),MONTH(TODAY()),1))),1,0))</f>
        <v/>
      </c>
      <c r="W277">
        <f>IF($A277="","",IF(AND($B277&gt;0,J277&lt;$B277,DATE($B$1,8,1)&lt;=TODAY(),OR($O277="",$O277&gt;=DATE($B$1,8,1)),OR(COUNTIF($C277:J277,"&gt;0")&gt;0,DATE($B$1,8,1)=DATE(YEAR(TODAY()),MONTH(TODAY()),1))),1,0))</f>
        <v/>
      </c>
      <c r="X277">
        <f>IF($A277="","",IF(AND($B277&gt;0,K277&lt;$B277,DATE($B$1,9,1)&lt;=TODAY(),OR($O277="",$O277&gt;=DATE($B$1,9,1)),OR(COUNTIF($C277:K277,"&gt;0")&gt;0,DATE($B$1,9,1)=DATE(YEAR(TODAY()),MONTH(TODAY()),1))),1,0))</f>
        <v/>
      </c>
      <c r="Y277">
        <f>IF($A277="","",IF(AND($B277&gt;0,L277&lt;$B277,DATE($B$1,10,1)&lt;=TODAY(),OR($O277="",$O277&gt;=DATE($B$1,10,1)),OR(COUNTIF($C277:L277,"&gt;0")&gt;0,DATE($B$1,10,1)=DATE(YEAR(TODAY()),MONTH(TODAY()),1))),1,0))</f>
        <v/>
      </c>
      <c r="Z277">
        <f>IF($A277="","",IF(AND($B277&gt;0,M277&lt;$B277,DATE($B$1,11,1)&lt;=TODAY(),OR($O277="",$O277&gt;=DATE($B$1,11,1)),OR(COUNTIF($C277:M277,"&gt;0")&gt;0,DATE($B$1,11,1)=DATE(YEAR(TODAY()),MONTH(TODAY()),1))),1,0))</f>
        <v/>
      </c>
      <c r="AA277">
        <f>IF($A277="","",IF(AND($B277&gt;0,N277&lt;$B277,DATE($B$1,12,1)&lt;=TODAY(),OR($O277="",$O277&gt;=DATE($B$1,12,1)),OR(COUNTIF($C277:N277,"&gt;0")&gt;0,DATE($B$1,12,1)=DATE(YEAR(TODAY()),MONTH(TODAY()),1))),1,0))</f>
        <v/>
      </c>
    </row>
    <row r="278">
      <c r="A278" s="13">
        <f>IF(원생!$A276="","",원생!$A276&amp;IF(원생!$G276="",""," ("&amp;원생!$G276&amp;")"))</f>
        <v/>
      </c>
      <c r="B278" s="8">
        <f>IF(원생!$A276="","",N(원생!$F276))</f>
        <v/>
      </c>
      <c r="C278" s="14">
        <f>IF(원생!$A276="","",SUMIFS(계산!$C:$C,계산!$A:$A,계산!$E276,계산!$B:$B,$B$1*100+1))</f>
        <v/>
      </c>
      <c r="D278" s="14">
        <f>IF(원생!$A276="","",SUMIFS(계산!$C:$C,계산!$A:$A,계산!$E276,계산!$B:$B,$B$1*100+2))</f>
        <v/>
      </c>
      <c r="E278" s="14">
        <f>IF(원생!$A276="","",SUMIFS(계산!$C:$C,계산!$A:$A,계산!$E276,계산!$B:$B,$B$1*100+3))</f>
        <v/>
      </c>
      <c r="F278" s="14">
        <f>IF(원생!$A276="","",SUMIFS(계산!$C:$C,계산!$A:$A,계산!$E276,계산!$B:$B,$B$1*100+4))</f>
        <v/>
      </c>
      <c r="G278" s="14">
        <f>IF(원생!$A276="","",SUMIFS(계산!$C:$C,계산!$A:$A,계산!$E276,계산!$B:$B,$B$1*100+5))</f>
        <v/>
      </c>
      <c r="H278" s="14">
        <f>IF(원생!$A276="","",SUMIFS(계산!$C:$C,계산!$A:$A,계산!$E276,계산!$B:$B,$B$1*100+6))</f>
        <v/>
      </c>
      <c r="I278" s="14">
        <f>IF(원생!$A276="","",SUMIFS(계산!$C:$C,계산!$A:$A,계산!$E276,계산!$B:$B,$B$1*100+7))</f>
        <v/>
      </c>
      <c r="J278" s="14">
        <f>IF(원생!$A276="","",SUMIFS(계산!$C:$C,계산!$A:$A,계산!$E276,계산!$B:$B,$B$1*100+8))</f>
        <v/>
      </c>
      <c r="K278" s="14">
        <f>IF(원생!$A276="","",SUMIFS(계산!$C:$C,계산!$A:$A,계산!$E276,계산!$B:$B,$B$1*100+9))</f>
        <v/>
      </c>
      <c r="L278" s="14">
        <f>IF(원생!$A276="","",SUMIFS(계산!$C:$C,계산!$A:$A,계산!$E276,계산!$B:$B,$B$1*100+10))</f>
        <v/>
      </c>
      <c r="M278" s="14">
        <f>IF(원생!$A276="","",SUMIFS(계산!$C:$C,계산!$A:$A,계산!$E276,계산!$B:$B,$B$1*100+11))</f>
        <v/>
      </c>
      <c r="N278" s="14">
        <f>IF(원생!$A276="","",SUMIFS(계산!$C:$C,계산!$A:$A,계산!$E276,계산!$B:$B,$B$1*100+12))</f>
        <v/>
      </c>
      <c r="O278">
        <f>IF(원생!$I276="","",원생!$I276)</f>
        <v/>
      </c>
      <c r="P278">
        <f>IF($A278="","",IF(AND($B278&gt;0,C278&lt;$B278,DATE($B$1,1,1)&lt;=TODAY(),OR($O278="",$O278&gt;=DATE($B$1,1,1)),OR(COUNTIF($C278:C278,"&gt;0")&gt;0,DATE($B$1,1,1)=DATE(YEAR(TODAY()),MONTH(TODAY()),1))),1,0))</f>
        <v/>
      </c>
      <c r="Q278">
        <f>IF($A278="","",IF(AND($B278&gt;0,D278&lt;$B278,DATE($B$1,2,1)&lt;=TODAY(),OR($O278="",$O278&gt;=DATE($B$1,2,1)),OR(COUNTIF($C278:D278,"&gt;0")&gt;0,DATE($B$1,2,1)=DATE(YEAR(TODAY()),MONTH(TODAY()),1))),1,0))</f>
        <v/>
      </c>
      <c r="R278">
        <f>IF($A278="","",IF(AND($B278&gt;0,E278&lt;$B278,DATE($B$1,3,1)&lt;=TODAY(),OR($O278="",$O278&gt;=DATE($B$1,3,1)),OR(COUNTIF($C278:E278,"&gt;0")&gt;0,DATE($B$1,3,1)=DATE(YEAR(TODAY()),MONTH(TODAY()),1))),1,0))</f>
        <v/>
      </c>
      <c r="S278">
        <f>IF($A278="","",IF(AND($B278&gt;0,F278&lt;$B278,DATE($B$1,4,1)&lt;=TODAY(),OR($O278="",$O278&gt;=DATE($B$1,4,1)),OR(COUNTIF($C278:F278,"&gt;0")&gt;0,DATE($B$1,4,1)=DATE(YEAR(TODAY()),MONTH(TODAY()),1))),1,0))</f>
        <v/>
      </c>
      <c r="T278">
        <f>IF($A278="","",IF(AND($B278&gt;0,G278&lt;$B278,DATE($B$1,5,1)&lt;=TODAY(),OR($O278="",$O278&gt;=DATE($B$1,5,1)),OR(COUNTIF($C278:G278,"&gt;0")&gt;0,DATE($B$1,5,1)=DATE(YEAR(TODAY()),MONTH(TODAY()),1))),1,0))</f>
        <v/>
      </c>
      <c r="U278">
        <f>IF($A278="","",IF(AND($B278&gt;0,H278&lt;$B278,DATE($B$1,6,1)&lt;=TODAY(),OR($O278="",$O278&gt;=DATE($B$1,6,1)),OR(COUNTIF($C278:H278,"&gt;0")&gt;0,DATE($B$1,6,1)=DATE(YEAR(TODAY()),MONTH(TODAY()),1))),1,0))</f>
        <v/>
      </c>
      <c r="V278">
        <f>IF($A278="","",IF(AND($B278&gt;0,I278&lt;$B278,DATE($B$1,7,1)&lt;=TODAY(),OR($O278="",$O278&gt;=DATE($B$1,7,1)),OR(COUNTIF($C278:I278,"&gt;0")&gt;0,DATE($B$1,7,1)=DATE(YEAR(TODAY()),MONTH(TODAY()),1))),1,0))</f>
        <v/>
      </c>
      <c r="W278">
        <f>IF($A278="","",IF(AND($B278&gt;0,J278&lt;$B278,DATE($B$1,8,1)&lt;=TODAY(),OR($O278="",$O278&gt;=DATE($B$1,8,1)),OR(COUNTIF($C278:J278,"&gt;0")&gt;0,DATE($B$1,8,1)=DATE(YEAR(TODAY()),MONTH(TODAY()),1))),1,0))</f>
        <v/>
      </c>
      <c r="X278">
        <f>IF($A278="","",IF(AND($B278&gt;0,K278&lt;$B278,DATE($B$1,9,1)&lt;=TODAY(),OR($O278="",$O278&gt;=DATE($B$1,9,1)),OR(COUNTIF($C278:K278,"&gt;0")&gt;0,DATE($B$1,9,1)=DATE(YEAR(TODAY()),MONTH(TODAY()),1))),1,0))</f>
        <v/>
      </c>
      <c r="Y278">
        <f>IF($A278="","",IF(AND($B278&gt;0,L278&lt;$B278,DATE($B$1,10,1)&lt;=TODAY(),OR($O278="",$O278&gt;=DATE($B$1,10,1)),OR(COUNTIF($C278:L278,"&gt;0")&gt;0,DATE($B$1,10,1)=DATE(YEAR(TODAY()),MONTH(TODAY()),1))),1,0))</f>
        <v/>
      </c>
      <c r="Z278">
        <f>IF($A278="","",IF(AND($B278&gt;0,M278&lt;$B278,DATE($B$1,11,1)&lt;=TODAY(),OR($O278="",$O278&gt;=DATE($B$1,11,1)),OR(COUNTIF($C278:M278,"&gt;0")&gt;0,DATE($B$1,11,1)=DATE(YEAR(TODAY()),MONTH(TODAY()),1))),1,0))</f>
        <v/>
      </c>
      <c r="AA278">
        <f>IF($A278="","",IF(AND($B278&gt;0,N278&lt;$B278,DATE($B$1,12,1)&lt;=TODAY(),OR($O278="",$O278&gt;=DATE($B$1,12,1)),OR(COUNTIF($C278:N278,"&gt;0")&gt;0,DATE($B$1,12,1)=DATE(YEAR(TODAY()),MONTH(TODAY()),1))),1,0))</f>
        <v/>
      </c>
    </row>
    <row r="279">
      <c r="A279" s="13">
        <f>IF(원생!$A277="","",원생!$A277&amp;IF(원생!$G277="",""," ("&amp;원생!$G277&amp;")"))</f>
        <v/>
      </c>
      <c r="B279" s="8">
        <f>IF(원생!$A277="","",N(원생!$F277))</f>
        <v/>
      </c>
      <c r="C279" s="14">
        <f>IF(원생!$A277="","",SUMIFS(계산!$C:$C,계산!$A:$A,계산!$E277,계산!$B:$B,$B$1*100+1))</f>
        <v/>
      </c>
      <c r="D279" s="14">
        <f>IF(원생!$A277="","",SUMIFS(계산!$C:$C,계산!$A:$A,계산!$E277,계산!$B:$B,$B$1*100+2))</f>
        <v/>
      </c>
      <c r="E279" s="14">
        <f>IF(원생!$A277="","",SUMIFS(계산!$C:$C,계산!$A:$A,계산!$E277,계산!$B:$B,$B$1*100+3))</f>
        <v/>
      </c>
      <c r="F279" s="14">
        <f>IF(원생!$A277="","",SUMIFS(계산!$C:$C,계산!$A:$A,계산!$E277,계산!$B:$B,$B$1*100+4))</f>
        <v/>
      </c>
      <c r="G279" s="14">
        <f>IF(원생!$A277="","",SUMIFS(계산!$C:$C,계산!$A:$A,계산!$E277,계산!$B:$B,$B$1*100+5))</f>
        <v/>
      </c>
      <c r="H279" s="14">
        <f>IF(원생!$A277="","",SUMIFS(계산!$C:$C,계산!$A:$A,계산!$E277,계산!$B:$B,$B$1*100+6))</f>
        <v/>
      </c>
      <c r="I279" s="14">
        <f>IF(원생!$A277="","",SUMIFS(계산!$C:$C,계산!$A:$A,계산!$E277,계산!$B:$B,$B$1*100+7))</f>
        <v/>
      </c>
      <c r="J279" s="14">
        <f>IF(원생!$A277="","",SUMIFS(계산!$C:$C,계산!$A:$A,계산!$E277,계산!$B:$B,$B$1*100+8))</f>
        <v/>
      </c>
      <c r="K279" s="14">
        <f>IF(원생!$A277="","",SUMIFS(계산!$C:$C,계산!$A:$A,계산!$E277,계산!$B:$B,$B$1*100+9))</f>
        <v/>
      </c>
      <c r="L279" s="14">
        <f>IF(원생!$A277="","",SUMIFS(계산!$C:$C,계산!$A:$A,계산!$E277,계산!$B:$B,$B$1*100+10))</f>
        <v/>
      </c>
      <c r="M279" s="14">
        <f>IF(원생!$A277="","",SUMIFS(계산!$C:$C,계산!$A:$A,계산!$E277,계산!$B:$B,$B$1*100+11))</f>
        <v/>
      </c>
      <c r="N279" s="14">
        <f>IF(원생!$A277="","",SUMIFS(계산!$C:$C,계산!$A:$A,계산!$E277,계산!$B:$B,$B$1*100+12))</f>
        <v/>
      </c>
      <c r="O279">
        <f>IF(원생!$I277="","",원생!$I277)</f>
        <v/>
      </c>
      <c r="P279">
        <f>IF($A279="","",IF(AND($B279&gt;0,C279&lt;$B279,DATE($B$1,1,1)&lt;=TODAY(),OR($O279="",$O279&gt;=DATE($B$1,1,1)),OR(COUNTIF($C279:C279,"&gt;0")&gt;0,DATE($B$1,1,1)=DATE(YEAR(TODAY()),MONTH(TODAY()),1))),1,0))</f>
        <v/>
      </c>
      <c r="Q279">
        <f>IF($A279="","",IF(AND($B279&gt;0,D279&lt;$B279,DATE($B$1,2,1)&lt;=TODAY(),OR($O279="",$O279&gt;=DATE($B$1,2,1)),OR(COUNTIF($C279:D279,"&gt;0")&gt;0,DATE($B$1,2,1)=DATE(YEAR(TODAY()),MONTH(TODAY()),1))),1,0))</f>
        <v/>
      </c>
      <c r="R279">
        <f>IF($A279="","",IF(AND($B279&gt;0,E279&lt;$B279,DATE($B$1,3,1)&lt;=TODAY(),OR($O279="",$O279&gt;=DATE($B$1,3,1)),OR(COUNTIF($C279:E279,"&gt;0")&gt;0,DATE($B$1,3,1)=DATE(YEAR(TODAY()),MONTH(TODAY()),1))),1,0))</f>
        <v/>
      </c>
      <c r="S279">
        <f>IF($A279="","",IF(AND($B279&gt;0,F279&lt;$B279,DATE($B$1,4,1)&lt;=TODAY(),OR($O279="",$O279&gt;=DATE($B$1,4,1)),OR(COUNTIF($C279:F279,"&gt;0")&gt;0,DATE($B$1,4,1)=DATE(YEAR(TODAY()),MONTH(TODAY()),1))),1,0))</f>
        <v/>
      </c>
      <c r="T279">
        <f>IF($A279="","",IF(AND($B279&gt;0,G279&lt;$B279,DATE($B$1,5,1)&lt;=TODAY(),OR($O279="",$O279&gt;=DATE($B$1,5,1)),OR(COUNTIF($C279:G279,"&gt;0")&gt;0,DATE($B$1,5,1)=DATE(YEAR(TODAY()),MONTH(TODAY()),1))),1,0))</f>
        <v/>
      </c>
      <c r="U279">
        <f>IF($A279="","",IF(AND($B279&gt;0,H279&lt;$B279,DATE($B$1,6,1)&lt;=TODAY(),OR($O279="",$O279&gt;=DATE($B$1,6,1)),OR(COUNTIF($C279:H279,"&gt;0")&gt;0,DATE($B$1,6,1)=DATE(YEAR(TODAY()),MONTH(TODAY()),1))),1,0))</f>
        <v/>
      </c>
      <c r="V279">
        <f>IF($A279="","",IF(AND($B279&gt;0,I279&lt;$B279,DATE($B$1,7,1)&lt;=TODAY(),OR($O279="",$O279&gt;=DATE($B$1,7,1)),OR(COUNTIF($C279:I279,"&gt;0")&gt;0,DATE($B$1,7,1)=DATE(YEAR(TODAY()),MONTH(TODAY()),1))),1,0))</f>
        <v/>
      </c>
      <c r="W279">
        <f>IF($A279="","",IF(AND($B279&gt;0,J279&lt;$B279,DATE($B$1,8,1)&lt;=TODAY(),OR($O279="",$O279&gt;=DATE($B$1,8,1)),OR(COUNTIF($C279:J279,"&gt;0")&gt;0,DATE($B$1,8,1)=DATE(YEAR(TODAY()),MONTH(TODAY()),1))),1,0))</f>
        <v/>
      </c>
      <c r="X279">
        <f>IF($A279="","",IF(AND($B279&gt;0,K279&lt;$B279,DATE($B$1,9,1)&lt;=TODAY(),OR($O279="",$O279&gt;=DATE($B$1,9,1)),OR(COUNTIF($C279:K279,"&gt;0")&gt;0,DATE($B$1,9,1)=DATE(YEAR(TODAY()),MONTH(TODAY()),1))),1,0))</f>
        <v/>
      </c>
      <c r="Y279">
        <f>IF($A279="","",IF(AND($B279&gt;0,L279&lt;$B279,DATE($B$1,10,1)&lt;=TODAY(),OR($O279="",$O279&gt;=DATE($B$1,10,1)),OR(COUNTIF($C279:L279,"&gt;0")&gt;0,DATE($B$1,10,1)=DATE(YEAR(TODAY()),MONTH(TODAY()),1))),1,0))</f>
        <v/>
      </c>
      <c r="Z279">
        <f>IF($A279="","",IF(AND($B279&gt;0,M279&lt;$B279,DATE($B$1,11,1)&lt;=TODAY(),OR($O279="",$O279&gt;=DATE($B$1,11,1)),OR(COUNTIF($C279:M279,"&gt;0")&gt;0,DATE($B$1,11,1)=DATE(YEAR(TODAY()),MONTH(TODAY()),1))),1,0))</f>
        <v/>
      </c>
      <c r="AA279">
        <f>IF($A279="","",IF(AND($B279&gt;0,N279&lt;$B279,DATE($B$1,12,1)&lt;=TODAY(),OR($O279="",$O279&gt;=DATE($B$1,12,1)),OR(COUNTIF($C279:N279,"&gt;0")&gt;0,DATE($B$1,12,1)=DATE(YEAR(TODAY()),MONTH(TODAY()),1))),1,0))</f>
        <v/>
      </c>
    </row>
    <row r="280">
      <c r="A280" s="13">
        <f>IF(원생!$A278="","",원생!$A278&amp;IF(원생!$G278="",""," ("&amp;원생!$G278&amp;")"))</f>
        <v/>
      </c>
      <c r="B280" s="8">
        <f>IF(원생!$A278="","",N(원생!$F278))</f>
        <v/>
      </c>
      <c r="C280" s="14">
        <f>IF(원생!$A278="","",SUMIFS(계산!$C:$C,계산!$A:$A,계산!$E278,계산!$B:$B,$B$1*100+1))</f>
        <v/>
      </c>
      <c r="D280" s="14">
        <f>IF(원생!$A278="","",SUMIFS(계산!$C:$C,계산!$A:$A,계산!$E278,계산!$B:$B,$B$1*100+2))</f>
        <v/>
      </c>
      <c r="E280" s="14">
        <f>IF(원생!$A278="","",SUMIFS(계산!$C:$C,계산!$A:$A,계산!$E278,계산!$B:$B,$B$1*100+3))</f>
        <v/>
      </c>
      <c r="F280" s="14">
        <f>IF(원생!$A278="","",SUMIFS(계산!$C:$C,계산!$A:$A,계산!$E278,계산!$B:$B,$B$1*100+4))</f>
        <v/>
      </c>
      <c r="G280" s="14">
        <f>IF(원생!$A278="","",SUMIFS(계산!$C:$C,계산!$A:$A,계산!$E278,계산!$B:$B,$B$1*100+5))</f>
        <v/>
      </c>
      <c r="H280" s="14">
        <f>IF(원생!$A278="","",SUMIFS(계산!$C:$C,계산!$A:$A,계산!$E278,계산!$B:$B,$B$1*100+6))</f>
        <v/>
      </c>
      <c r="I280" s="14">
        <f>IF(원생!$A278="","",SUMIFS(계산!$C:$C,계산!$A:$A,계산!$E278,계산!$B:$B,$B$1*100+7))</f>
        <v/>
      </c>
      <c r="J280" s="14">
        <f>IF(원생!$A278="","",SUMIFS(계산!$C:$C,계산!$A:$A,계산!$E278,계산!$B:$B,$B$1*100+8))</f>
        <v/>
      </c>
      <c r="K280" s="14">
        <f>IF(원생!$A278="","",SUMIFS(계산!$C:$C,계산!$A:$A,계산!$E278,계산!$B:$B,$B$1*100+9))</f>
        <v/>
      </c>
      <c r="L280" s="14">
        <f>IF(원생!$A278="","",SUMIFS(계산!$C:$C,계산!$A:$A,계산!$E278,계산!$B:$B,$B$1*100+10))</f>
        <v/>
      </c>
      <c r="M280" s="14">
        <f>IF(원생!$A278="","",SUMIFS(계산!$C:$C,계산!$A:$A,계산!$E278,계산!$B:$B,$B$1*100+11))</f>
        <v/>
      </c>
      <c r="N280" s="14">
        <f>IF(원생!$A278="","",SUMIFS(계산!$C:$C,계산!$A:$A,계산!$E278,계산!$B:$B,$B$1*100+12))</f>
        <v/>
      </c>
      <c r="O280">
        <f>IF(원생!$I278="","",원생!$I278)</f>
        <v/>
      </c>
      <c r="P280">
        <f>IF($A280="","",IF(AND($B280&gt;0,C280&lt;$B280,DATE($B$1,1,1)&lt;=TODAY(),OR($O280="",$O280&gt;=DATE($B$1,1,1)),OR(COUNTIF($C280:C280,"&gt;0")&gt;0,DATE($B$1,1,1)=DATE(YEAR(TODAY()),MONTH(TODAY()),1))),1,0))</f>
        <v/>
      </c>
      <c r="Q280">
        <f>IF($A280="","",IF(AND($B280&gt;0,D280&lt;$B280,DATE($B$1,2,1)&lt;=TODAY(),OR($O280="",$O280&gt;=DATE($B$1,2,1)),OR(COUNTIF($C280:D280,"&gt;0")&gt;0,DATE($B$1,2,1)=DATE(YEAR(TODAY()),MONTH(TODAY()),1))),1,0))</f>
        <v/>
      </c>
      <c r="R280">
        <f>IF($A280="","",IF(AND($B280&gt;0,E280&lt;$B280,DATE($B$1,3,1)&lt;=TODAY(),OR($O280="",$O280&gt;=DATE($B$1,3,1)),OR(COUNTIF($C280:E280,"&gt;0")&gt;0,DATE($B$1,3,1)=DATE(YEAR(TODAY()),MONTH(TODAY()),1))),1,0))</f>
        <v/>
      </c>
      <c r="S280">
        <f>IF($A280="","",IF(AND($B280&gt;0,F280&lt;$B280,DATE($B$1,4,1)&lt;=TODAY(),OR($O280="",$O280&gt;=DATE($B$1,4,1)),OR(COUNTIF($C280:F280,"&gt;0")&gt;0,DATE($B$1,4,1)=DATE(YEAR(TODAY()),MONTH(TODAY()),1))),1,0))</f>
        <v/>
      </c>
      <c r="T280">
        <f>IF($A280="","",IF(AND($B280&gt;0,G280&lt;$B280,DATE($B$1,5,1)&lt;=TODAY(),OR($O280="",$O280&gt;=DATE($B$1,5,1)),OR(COUNTIF($C280:G280,"&gt;0")&gt;0,DATE($B$1,5,1)=DATE(YEAR(TODAY()),MONTH(TODAY()),1))),1,0))</f>
        <v/>
      </c>
      <c r="U280">
        <f>IF($A280="","",IF(AND($B280&gt;0,H280&lt;$B280,DATE($B$1,6,1)&lt;=TODAY(),OR($O280="",$O280&gt;=DATE($B$1,6,1)),OR(COUNTIF($C280:H280,"&gt;0")&gt;0,DATE($B$1,6,1)=DATE(YEAR(TODAY()),MONTH(TODAY()),1))),1,0))</f>
        <v/>
      </c>
      <c r="V280">
        <f>IF($A280="","",IF(AND($B280&gt;0,I280&lt;$B280,DATE($B$1,7,1)&lt;=TODAY(),OR($O280="",$O280&gt;=DATE($B$1,7,1)),OR(COUNTIF($C280:I280,"&gt;0")&gt;0,DATE($B$1,7,1)=DATE(YEAR(TODAY()),MONTH(TODAY()),1))),1,0))</f>
        <v/>
      </c>
      <c r="W280">
        <f>IF($A280="","",IF(AND($B280&gt;0,J280&lt;$B280,DATE($B$1,8,1)&lt;=TODAY(),OR($O280="",$O280&gt;=DATE($B$1,8,1)),OR(COUNTIF($C280:J280,"&gt;0")&gt;0,DATE($B$1,8,1)=DATE(YEAR(TODAY()),MONTH(TODAY()),1))),1,0))</f>
        <v/>
      </c>
      <c r="X280">
        <f>IF($A280="","",IF(AND($B280&gt;0,K280&lt;$B280,DATE($B$1,9,1)&lt;=TODAY(),OR($O280="",$O280&gt;=DATE($B$1,9,1)),OR(COUNTIF($C280:K280,"&gt;0")&gt;0,DATE($B$1,9,1)=DATE(YEAR(TODAY()),MONTH(TODAY()),1))),1,0))</f>
        <v/>
      </c>
      <c r="Y280">
        <f>IF($A280="","",IF(AND($B280&gt;0,L280&lt;$B280,DATE($B$1,10,1)&lt;=TODAY(),OR($O280="",$O280&gt;=DATE($B$1,10,1)),OR(COUNTIF($C280:L280,"&gt;0")&gt;0,DATE($B$1,10,1)=DATE(YEAR(TODAY()),MONTH(TODAY()),1))),1,0))</f>
        <v/>
      </c>
      <c r="Z280">
        <f>IF($A280="","",IF(AND($B280&gt;0,M280&lt;$B280,DATE($B$1,11,1)&lt;=TODAY(),OR($O280="",$O280&gt;=DATE($B$1,11,1)),OR(COUNTIF($C280:M280,"&gt;0")&gt;0,DATE($B$1,11,1)=DATE(YEAR(TODAY()),MONTH(TODAY()),1))),1,0))</f>
        <v/>
      </c>
      <c r="AA280">
        <f>IF($A280="","",IF(AND($B280&gt;0,N280&lt;$B280,DATE($B$1,12,1)&lt;=TODAY(),OR($O280="",$O280&gt;=DATE($B$1,12,1)),OR(COUNTIF($C280:N280,"&gt;0")&gt;0,DATE($B$1,12,1)=DATE(YEAR(TODAY()),MONTH(TODAY()),1))),1,0))</f>
        <v/>
      </c>
    </row>
    <row r="281">
      <c r="A281" s="13">
        <f>IF(원생!$A279="","",원생!$A279&amp;IF(원생!$G279="",""," ("&amp;원생!$G279&amp;")"))</f>
        <v/>
      </c>
      <c r="B281" s="8">
        <f>IF(원생!$A279="","",N(원생!$F279))</f>
        <v/>
      </c>
      <c r="C281" s="14">
        <f>IF(원생!$A279="","",SUMIFS(계산!$C:$C,계산!$A:$A,계산!$E279,계산!$B:$B,$B$1*100+1))</f>
        <v/>
      </c>
      <c r="D281" s="14">
        <f>IF(원생!$A279="","",SUMIFS(계산!$C:$C,계산!$A:$A,계산!$E279,계산!$B:$B,$B$1*100+2))</f>
        <v/>
      </c>
      <c r="E281" s="14">
        <f>IF(원생!$A279="","",SUMIFS(계산!$C:$C,계산!$A:$A,계산!$E279,계산!$B:$B,$B$1*100+3))</f>
        <v/>
      </c>
      <c r="F281" s="14">
        <f>IF(원생!$A279="","",SUMIFS(계산!$C:$C,계산!$A:$A,계산!$E279,계산!$B:$B,$B$1*100+4))</f>
        <v/>
      </c>
      <c r="G281" s="14">
        <f>IF(원생!$A279="","",SUMIFS(계산!$C:$C,계산!$A:$A,계산!$E279,계산!$B:$B,$B$1*100+5))</f>
        <v/>
      </c>
      <c r="H281" s="14">
        <f>IF(원생!$A279="","",SUMIFS(계산!$C:$C,계산!$A:$A,계산!$E279,계산!$B:$B,$B$1*100+6))</f>
        <v/>
      </c>
      <c r="I281" s="14">
        <f>IF(원생!$A279="","",SUMIFS(계산!$C:$C,계산!$A:$A,계산!$E279,계산!$B:$B,$B$1*100+7))</f>
        <v/>
      </c>
      <c r="J281" s="14">
        <f>IF(원생!$A279="","",SUMIFS(계산!$C:$C,계산!$A:$A,계산!$E279,계산!$B:$B,$B$1*100+8))</f>
        <v/>
      </c>
      <c r="K281" s="14">
        <f>IF(원생!$A279="","",SUMIFS(계산!$C:$C,계산!$A:$A,계산!$E279,계산!$B:$B,$B$1*100+9))</f>
        <v/>
      </c>
      <c r="L281" s="14">
        <f>IF(원생!$A279="","",SUMIFS(계산!$C:$C,계산!$A:$A,계산!$E279,계산!$B:$B,$B$1*100+10))</f>
        <v/>
      </c>
      <c r="M281" s="14">
        <f>IF(원생!$A279="","",SUMIFS(계산!$C:$C,계산!$A:$A,계산!$E279,계산!$B:$B,$B$1*100+11))</f>
        <v/>
      </c>
      <c r="N281" s="14">
        <f>IF(원생!$A279="","",SUMIFS(계산!$C:$C,계산!$A:$A,계산!$E279,계산!$B:$B,$B$1*100+12))</f>
        <v/>
      </c>
      <c r="O281">
        <f>IF(원생!$I279="","",원생!$I279)</f>
        <v/>
      </c>
      <c r="P281">
        <f>IF($A281="","",IF(AND($B281&gt;0,C281&lt;$B281,DATE($B$1,1,1)&lt;=TODAY(),OR($O281="",$O281&gt;=DATE($B$1,1,1)),OR(COUNTIF($C281:C281,"&gt;0")&gt;0,DATE($B$1,1,1)=DATE(YEAR(TODAY()),MONTH(TODAY()),1))),1,0))</f>
        <v/>
      </c>
      <c r="Q281">
        <f>IF($A281="","",IF(AND($B281&gt;0,D281&lt;$B281,DATE($B$1,2,1)&lt;=TODAY(),OR($O281="",$O281&gt;=DATE($B$1,2,1)),OR(COUNTIF($C281:D281,"&gt;0")&gt;0,DATE($B$1,2,1)=DATE(YEAR(TODAY()),MONTH(TODAY()),1))),1,0))</f>
        <v/>
      </c>
      <c r="R281">
        <f>IF($A281="","",IF(AND($B281&gt;0,E281&lt;$B281,DATE($B$1,3,1)&lt;=TODAY(),OR($O281="",$O281&gt;=DATE($B$1,3,1)),OR(COUNTIF($C281:E281,"&gt;0")&gt;0,DATE($B$1,3,1)=DATE(YEAR(TODAY()),MONTH(TODAY()),1))),1,0))</f>
        <v/>
      </c>
      <c r="S281">
        <f>IF($A281="","",IF(AND($B281&gt;0,F281&lt;$B281,DATE($B$1,4,1)&lt;=TODAY(),OR($O281="",$O281&gt;=DATE($B$1,4,1)),OR(COUNTIF($C281:F281,"&gt;0")&gt;0,DATE($B$1,4,1)=DATE(YEAR(TODAY()),MONTH(TODAY()),1))),1,0))</f>
        <v/>
      </c>
      <c r="T281">
        <f>IF($A281="","",IF(AND($B281&gt;0,G281&lt;$B281,DATE($B$1,5,1)&lt;=TODAY(),OR($O281="",$O281&gt;=DATE($B$1,5,1)),OR(COUNTIF($C281:G281,"&gt;0")&gt;0,DATE($B$1,5,1)=DATE(YEAR(TODAY()),MONTH(TODAY()),1))),1,0))</f>
        <v/>
      </c>
      <c r="U281">
        <f>IF($A281="","",IF(AND($B281&gt;0,H281&lt;$B281,DATE($B$1,6,1)&lt;=TODAY(),OR($O281="",$O281&gt;=DATE($B$1,6,1)),OR(COUNTIF($C281:H281,"&gt;0")&gt;0,DATE($B$1,6,1)=DATE(YEAR(TODAY()),MONTH(TODAY()),1))),1,0))</f>
        <v/>
      </c>
      <c r="V281">
        <f>IF($A281="","",IF(AND($B281&gt;0,I281&lt;$B281,DATE($B$1,7,1)&lt;=TODAY(),OR($O281="",$O281&gt;=DATE($B$1,7,1)),OR(COUNTIF($C281:I281,"&gt;0")&gt;0,DATE($B$1,7,1)=DATE(YEAR(TODAY()),MONTH(TODAY()),1))),1,0))</f>
        <v/>
      </c>
      <c r="W281">
        <f>IF($A281="","",IF(AND($B281&gt;0,J281&lt;$B281,DATE($B$1,8,1)&lt;=TODAY(),OR($O281="",$O281&gt;=DATE($B$1,8,1)),OR(COUNTIF($C281:J281,"&gt;0")&gt;0,DATE($B$1,8,1)=DATE(YEAR(TODAY()),MONTH(TODAY()),1))),1,0))</f>
        <v/>
      </c>
      <c r="X281">
        <f>IF($A281="","",IF(AND($B281&gt;0,K281&lt;$B281,DATE($B$1,9,1)&lt;=TODAY(),OR($O281="",$O281&gt;=DATE($B$1,9,1)),OR(COUNTIF($C281:K281,"&gt;0")&gt;0,DATE($B$1,9,1)=DATE(YEAR(TODAY()),MONTH(TODAY()),1))),1,0))</f>
        <v/>
      </c>
      <c r="Y281">
        <f>IF($A281="","",IF(AND($B281&gt;0,L281&lt;$B281,DATE($B$1,10,1)&lt;=TODAY(),OR($O281="",$O281&gt;=DATE($B$1,10,1)),OR(COUNTIF($C281:L281,"&gt;0")&gt;0,DATE($B$1,10,1)=DATE(YEAR(TODAY()),MONTH(TODAY()),1))),1,0))</f>
        <v/>
      </c>
      <c r="Z281">
        <f>IF($A281="","",IF(AND($B281&gt;0,M281&lt;$B281,DATE($B$1,11,1)&lt;=TODAY(),OR($O281="",$O281&gt;=DATE($B$1,11,1)),OR(COUNTIF($C281:M281,"&gt;0")&gt;0,DATE($B$1,11,1)=DATE(YEAR(TODAY()),MONTH(TODAY()),1))),1,0))</f>
        <v/>
      </c>
      <c r="AA281">
        <f>IF($A281="","",IF(AND($B281&gt;0,N281&lt;$B281,DATE($B$1,12,1)&lt;=TODAY(),OR($O281="",$O281&gt;=DATE($B$1,12,1)),OR(COUNTIF($C281:N281,"&gt;0")&gt;0,DATE($B$1,12,1)=DATE(YEAR(TODAY()),MONTH(TODAY()),1))),1,0))</f>
        <v/>
      </c>
    </row>
    <row r="282">
      <c r="A282" s="13">
        <f>IF(원생!$A280="","",원생!$A280&amp;IF(원생!$G280="",""," ("&amp;원생!$G280&amp;")"))</f>
        <v/>
      </c>
      <c r="B282" s="8">
        <f>IF(원생!$A280="","",N(원생!$F280))</f>
        <v/>
      </c>
      <c r="C282" s="14">
        <f>IF(원생!$A280="","",SUMIFS(계산!$C:$C,계산!$A:$A,계산!$E280,계산!$B:$B,$B$1*100+1))</f>
        <v/>
      </c>
      <c r="D282" s="14">
        <f>IF(원생!$A280="","",SUMIFS(계산!$C:$C,계산!$A:$A,계산!$E280,계산!$B:$B,$B$1*100+2))</f>
        <v/>
      </c>
      <c r="E282" s="14">
        <f>IF(원생!$A280="","",SUMIFS(계산!$C:$C,계산!$A:$A,계산!$E280,계산!$B:$B,$B$1*100+3))</f>
        <v/>
      </c>
      <c r="F282" s="14">
        <f>IF(원생!$A280="","",SUMIFS(계산!$C:$C,계산!$A:$A,계산!$E280,계산!$B:$B,$B$1*100+4))</f>
        <v/>
      </c>
      <c r="G282" s="14">
        <f>IF(원생!$A280="","",SUMIFS(계산!$C:$C,계산!$A:$A,계산!$E280,계산!$B:$B,$B$1*100+5))</f>
        <v/>
      </c>
      <c r="H282" s="14">
        <f>IF(원생!$A280="","",SUMIFS(계산!$C:$C,계산!$A:$A,계산!$E280,계산!$B:$B,$B$1*100+6))</f>
        <v/>
      </c>
      <c r="I282" s="14">
        <f>IF(원생!$A280="","",SUMIFS(계산!$C:$C,계산!$A:$A,계산!$E280,계산!$B:$B,$B$1*100+7))</f>
        <v/>
      </c>
      <c r="J282" s="14">
        <f>IF(원생!$A280="","",SUMIFS(계산!$C:$C,계산!$A:$A,계산!$E280,계산!$B:$B,$B$1*100+8))</f>
        <v/>
      </c>
      <c r="K282" s="14">
        <f>IF(원생!$A280="","",SUMIFS(계산!$C:$C,계산!$A:$A,계산!$E280,계산!$B:$B,$B$1*100+9))</f>
        <v/>
      </c>
      <c r="L282" s="14">
        <f>IF(원생!$A280="","",SUMIFS(계산!$C:$C,계산!$A:$A,계산!$E280,계산!$B:$B,$B$1*100+10))</f>
        <v/>
      </c>
      <c r="M282" s="14">
        <f>IF(원생!$A280="","",SUMIFS(계산!$C:$C,계산!$A:$A,계산!$E280,계산!$B:$B,$B$1*100+11))</f>
        <v/>
      </c>
      <c r="N282" s="14">
        <f>IF(원생!$A280="","",SUMIFS(계산!$C:$C,계산!$A:$A,계산!$E280,계산!$B:$B,$B$1*100+12))</f>
        <v/>
      </c>
      <c r="O282">
        <f>IF(원생!$I280="","",원생!$I280)</f>
        <v/>
      </c>
      <c r="P282">
        <f>IF($A282="","",IF(AND($B282&gt;0,C282&lt;$B282,DATE($B$1,1,1)&lt;=TODAY(),OR($O282="",$O282&gt;=DATE($B$1,1,1)),OR(COUNTIF($C282:C282,"&gt;0")&gt;0,DATE($B$1,1,1)=DATE(YEAR(TODAY()),MONTH(TODAY()),1))),1,0))</f>
        <v/>
      </c>
      <c r="Q282">
        <f>IF($A282="","",IF(AND($B282&gt;0,D282&lt;$B282,DATE($B$1,2,1)&lt;=TODAY(),OR($O282="",$O282&gt;=DATE($B$1,2,1)),OR(COUNTIF($C282:D282,"&gt;0")&gt;0,DATE($B$1,2,1)=DATE(YEAR(TODAY()),MONTH(TODAY()),1))),1,0))</f>
        <v/>
      </c>
      <c r="R282">
        <f>IF($A282="","",IF(AND($B282&gt;0,E282&lt;$B282,DATE($B$1,3,1)&lt;=TODAY(),OR($O282="",$O282&gt;=DATE($B$1,3,1)),OR(COUNTIF($C282:E282,"&gt;0")&gt;0,DATE($B$1,3,1)=DATE(YEAR(TODAY()),MONTH(TODAY()),1))),1,0))</f>
        <v/>
      </c>
      <c r="S282">
        <f>IF($A282="","",IF(AND($B282&gt;0,F282&lt;$B282,DATE($B$1,4,1)&lt;=TODAY(),OR($O282="",$O282&gt;=DATE($B$1,4,1)),OR(COUNTIF($C282:F282,"&gt;0")&gt;0,DATE($B$1,4,1)=DATE(YEAR(TODAY()),MONTH(TODAY()),1))),1,0))</f>
        <v/>
      </c>
      <c r="T282">
        <f>IF($A282="","",IF(AND($B282&gt;0,G282&lt;$B282,DATE($B$1,5,1)&lt;=TODAY(),OR($O282="",$O282&gt;=DATE($B$1,5,1)),OR(COUNTIF($C282:G282,"&gt;0")&gt;0,DATE($B$1,5,1)=DATE(YEAR(TODAY()),MONTH(TODAY()),1))),1,0))</f>
        <v/>
      </c>
      <c r="U282">
        <f>IF($A282="","",IF(AND($B282&gt;0,H282&lt;$B282,DATE($B$1,6,1)&lt;=TODAY(),OR($O282="",$O282&gt;=DATE($B$1,6,1)),OR(COUNTIF($C282:H282,"&gt;0")&gt;0,DATE($B$1,6,1)=DATE(YEAR(TODAY()),MONTH(TODAY()),1))),1,0))</f>
        <v/>
      </c>
      <c r="V282">
        <f>IF($A282="","",IF(AND($B282&gt;0,I282&lt;$B282,DATE($B$1,7,1)&lt;=TODAY(),OR($O282="",$O282&gt;=DATE($B$1,7,1)),OR(COUNTIF($C282:I282,"&gt;0")&gt;0,DATE($B$1,7,1)=DATE(YEAR(TODAY()),MONTH(TODAY()),1))),1,0))</f>
        <v/>
      </c>
      <c r="W282">
        <f>IF($A282="","",IF(AND($B282&gt;0,J282&lt;$B282,DATE($B$1,8,1)&lt;=TODAY(),OR($O282="",$O282&gt;=DATE($B$1,8,1)),OR(COUNTIF($C282:J282,"&gt;0")&gt;0,DATE($B$1,8,1)=DATE(YEAR(TODAY()),MONTH(TODAY()),1))),1,0))</f>
        <v/>
      </c>
      <c r="X282">
        <f>IF($A282="","",IF(AND($B282&gt;0,K282&lt;$B282,DATE($B$1,9,1)&lt;=TODAY(),OR($O282="",$O282&gt;=DATE($B$1,9,1)),OR(COUNTIF($C282:K282,"&gt;0")&gt;0,DATE($B$1,9,1)=DATE(YEAR(TODAY()),MONTH(TODAY()),1))),1,0))</f>
        <v/>
      </c>
      <c r="Y282">
        <f>IF($A282="","",IF(AND($B282&gt;0,L282&lt;$B282,DATE($B$1,10,1)&lt;=TODAY(),OR($O282="",$O282&gt;=DATE($B$1,10,1)),OR(COUNTIF($C282:L282,"&gt;0")&gt;0,DATE($B$1,10,1)=DATE(YEAR(TODAY()),MONTH(TODAY()),1))),1,0))</f>
        <v/>
      </c>
      <c r="Z282">
        <f>IF($A282="","",IF(AND($B282&gt;0,M282&lt;$B282,DATE($B$1,11,1)&lt;=TODAY(),OR($O282="",$O282&gt;=DATE($B$1,11,1)),OR(COUNTIF($C282:M282,"&gt;0")&gt;0,DATE($B$1,11,1)=DATE(YEAR(TODAY()),MONTH(TODAY()),1))),1,0))</f>
        <v/>
      </c>
      <c r="AA282">
        <f>IF($A282="","",IF(AND($B282&gt;0,N282&lt;$B282,DATE($B$1,12,1)&lt;=TODAY(),OR($O282="",$O282&gt;=DATE($B$1,12,1)),OR(COUNTIF($C282:N282,"&gt;0")&gt;0,DATE($B$1,12,1)=DATE(YEAR(TODAY()),MONTH(TODAY()),1))),1,0))</f>
        <v/>
      </c>
    </row>
    <row r="283">
      <c r="A283" s="13">
        <f>IF(원생!$A281="","",원생!$A281&amp;IF(원생!$G281="",""," ("&amp;원생!$G281&amp;")"))</f>
        <v/>
      </c>
      <c r="B283" s="8">
        <f>IF(원생!$A281="","",N(원생!$F281))</f>
        <v/>
      </c>
      <c r="C283" s="14">
        <f>IF(원생!$A281="","",SUMIFS(계산!$C:$C,계산!$A:$A,계산!$E281,계산!$B:$B,$B$1*100+1))</f>
        <v/>
      </c>
      <c r="D283" s="14">
        <f>IF(원생!$A281="","",SUMIFS(계산!$C:$C,계산!$A:$A,계산!$E281,계산!$B:$B,$B$1*100+2))</f>
        <v/>
      </c>
      <c r="E283" s="14">
        <f>IF(원생!$A281="","",SUMIFS(계산!$C:$C,계산!$A:$A,계산!$E281,계산!$B:$B,$B$1*100+3))</f>
        <v/>
      </c>
      <c r="F283" s="14">
        <f>IF(원생!$A281="","",SUMIFS(계산!$C:$C,계산!$A:$A,계산!$E281,계산!$B:$B,$B$1*100+4))</f>
        <v/>
      </c>
      <c r="G283" s="14">
        <f>IF(원생!$A281="","",SUMIFS(계산!$C:$C,계산!$A:$A,계산!$E281,계산!$B:$B,$B$1*100+5))</f>
        <v/>
      </c>
      <c r="H283" s="14">
        <f>IF(원생!$A281="","",SUMIFS(계산!$C:$C,계산!$A:$A,계산!$E281,계산!$B:$B,$B$1*100+6))</f>
        <v/>
      </c>
      <c r="I283" s="14">
        <f>IF(원생!$A281="","",SUMIFS(계산!$C:$C,계산!$A:$A,계산!$E281,계산!$B:$B,$B$1*100+7))</f>
        <v/>
      </c>
      <c r="J283" s="14">
        <f>IF(원생!$A281="","",SUMIFS(계산!$C:$C,계산!$A:$A,계산!$E281,계산!$B:$B,$B$1*100+8))</f>
        <v/>
      </c>
      <c r="K283" s="14">
        <f>IF(원생!$A281="","",SUMIFS(계산!$C:$C,계산!$A:$A,계산!$E281,계산!$B:$B,$B$1*100+9))</f>
        <v/>
      </c>
      <c r="L283" s="14">
        <f>IF(원생!$A281="","",SUMIFS(계산!$C:$C,계산!$A:$A,계산!$E281,계산!$B:$B,$B$1*100+10))</f>
        <v/>
      </c>
      <c r="M283" s="14">
        <f>IF(원생!$A281="","",SUMIFS(계산!$C:$C,계산!$A:$A,계산!$E281,계산!$B:$B,$B$1*100+11))</f>
        <v/>
      </c>
      <c r="N283" s="14">
        <f>IF(원생!$A281="","",SUMIFS(계산!$C:$C,계산!$A:$A,계산!$E281,계산!$B:$B,$B$1*100+12))</f>
        <v/>
      </c>
      <c r="O283">
        <f>IF(원생!$I281="","",원생!$I281)</f>
        <v/>
      </c>
      <c r="P283">
        <f>IF($A283="","",IF(AND($B283&gt;0,C283&lt;$B283,DATE($B$1,1,1)&lt;=TODAY(),OR($O283="",$O283&gt;=DATE($B$1,1,1)),OR(COUNTIF($C283:C283,"&gt;0")&gt;0,DATE($B$1,1,1)=DATE(YEAR(TODAY()),MONTH(TODAY()),1))),1,0))</f>
        <v/>
      </c>
      <c r="Q283">
        <f>IF($A283="","",IF(AND($B283&gt;0,D283&lt;$B283,DATE($B$1,2,1)&lt;=TODAY(),OR($O283="",$O283&gt;=DATE($B$1,2,1)),OR(COUNTIF($C283:D283,"&gt;0")&gt;0,DATE($B$1,2,1)=DATE(YEAR(TODAY()),MONTH(TODAY()),1))),1,0))</f>
        <v/>
      </c>
      <c r="R283">
        <f>IF($A283="","",IF(AND($B283&gt;0,E283&lt;$B283,DATE($B$1,3,1)&lt;=TODAY(),OR($O283="",$O283&gt;=DATE($B$1,3,1)),OR(COUNTIF($C283:E283,"&gt;0")&gt;0,DATE($B$1,3,1)=DATE(YEAR(TODAY()),MONTH(TODAY()),1))),1,0))</f>
        <v/>
      </c>
      <c r="S283">
        <f>IF($A283="","",IF(AND($B283&gt;0,F283&lt;$B283,DATE($B$1,4,1)&lt;=TODAY(),OR($O283="",$O283&gt;=DATE($B$1,4,1)),OR(COUNTIF($C283:F283,"&gt;0")&gt;0,DATE($B$1,4,1)=DATE(YEAR(TODAY()),MONTH(TODAY()),1))),1,0))</f>
        <v/>
      </c>
      <c r="T283">
        <f>IF($A283="","",IF(AND($B283&gt;0,G283&lt;$B283,DATE($B$1,5,1)&lt;=TODAY(),OR($O283="",$O283&gt;=DATE($B$1,5,1)),OR(COUNTIF($C283:G283,"&gt;0")&gt;0,DATE($B$1,5,1)=DATE(YEAR(TODAY()),MONTH(TODAY()),1))),1,0))</f>
        <v/>
      </c>
      <c r="U283">
        <f>IF($A283="","",IF(AND($B283&gt;0,H283&lt;$B283,DATE($B$1,6,1)&lt;=TODAY(),OR($O283="",$O283&gt;=DATE($B$1,6,1)),OR(COUNTIF($C283:H283,"&gt;0")&gt;0,DATE($B$1,6,1)=DATE(YEAR(TODAY()),MONTH(TODAY()),1))),1,0))</f>
        <v/>
      </c>
      <c r="V283">
        <f>IF($A283="","",IF(AND($B283&gt;0,I283&lt;$B283,DATE($B$1,7,1)&lt;=TODAY(),OR($O283="",$O283&gt;=DATE($B$1,7,1)),OR(COUNTIF($C283:I283,"&gt;0")&gt;0,DATE($B$1,7,1)=DATE(YEAR(TODAY()),MONTH(TODAY()),1))),1,0))</f>
        <v/>
      </c>
      <c r="W283">
        <f>IF($A283="","",IF(AND($B283&gt;0,J283&lt;$B283,DATE($B$1,8,1)&lt;=TODAY(),OR($O283="",$O283&gt;=DATE($B$1,8,1)),OR(COUNTIF($C283:J283,"&gt;0")&gt;0,DATE($B$1,8,1)=DATE(YEAR(TODAY()),MONTH(TODAY()),1))),1,0))</f>
        <v/>
      </c>
      <c r="X283">
        <f>IF($A283="","",IF(AND($B283&gt;0,K283&lt;$B283,DATE($B$1,9,1)&lt;=TODAY(),OR($O283="",$O283&gt;=DATE($B$1,9,1)),OR(COUNTIF($C283:K283,"&gt;0")&gt;0,DATE($B$1,9,1)=DATE(YEAR(TODAY()),MONTH(TODAY()),1))),1,0))</f>
        <v/>
      </c>
      <c r="Y283">
        <f>IF($A283="","",IF(AND($B283&gt;0,L283&lt;$B283,DATE($B$1,10,1)&lt;=TODAY(),OR($O283="",$O283&gt;=DATE($B$1,10,1)),OR(COUNTIF($C283:L283,"&gt;0")&gt;0,DATE($B$1,10,1)=DATE(YEAR(TODAY()),MONTH(TODAY()),1))),1,0))</f>
        <v/>
      </c>
      <c r="Z283">
        <f>IF($A283="","",IF(AND($B283&gt;0,M283&lt;$B283,DATE($B$1,11,1)&lt;=TODAY(),OR($O283="",$O283&gt;=DATE($B$1,11,1)),OR(COUNTIF($C283:M283,"&gt;0")&gt;0,DATE($B$1,11,1)=DATE(YEAR(TODAY()),MONTH(TODAY()),1))),1,0))</f>
        <v/>
      </c>
      <c r="AA283">
        <f>IF($A283="","",IF(AND($B283&gt;0,N283&lt;$B283,DATE($B$1,12,1)&lt;=TODAY(),OR($O283="",$O283&gt;=DATE($B$1,12,1)),OR(COUNTIF($C283:N283,"&gt;0")&gt;0,DATE($B$1,12,1)=DATE(YEAR(TODAY()),MONTH(TODAY()),1))),1,0))</f>
        <v/>
      </c>
    </row>
    <row r="284">
      <c r="A284" s="13">
        <f>IF(원생!$A282="","",원생!$A282&amp;IF(원생!$G282="",""," ("&amp;원생!$G282&amp;")"))</f>
        <v/>
      </c>
      <c r="B284" s="8">
        <f>IF(원생!$A282="","",N(원생!$F282))</f>
        <v/>
      </c>
      <c r="C284" s="14">
        <f>IF(원생!$A282="","",SUMIFS(계산!$C:$C,계산!$A:$A,계산!$E282,계산!$B:$B,$B$1*100+1))</f>
        <v/>
      </c>
      <c r="D284" s="14">
        <f>IF(원생!$A282="","",SUMIFS(계산!$C:$C,계산!$A:$A,계산!$E282,계산!$B:$B,$B$1*100+2))</f>
        <v/>
      </c>
      <c r="E284" s="14">
        <f>IF(원생!$A282="","",SUMIFS(계산!$C:$C,계산!$A:$A,계산!$E282,계산!$B:$B,$B$1*100+3))</f>
        <v/>
      </c>
      <c r="F284" s="14">
        <f>IF(원생!$A282="","",SUMIFS(계산!$C:$C,계산!$A:$A,계산!$E282,계산!$B:$B,$B$1*100+4))</f>
        <v/>
      </c>
      <c r="G284" s="14">
        <f>IF(원생!$A282="","",SUMIFS(계산!$C:$C,계산!$A:$A,계산!$E282,계산!$B:$B,$B$1*100+5))</f>
        <v/>
      </c>
      <c r="H284" s="14">
        <f>IF(원생!$A282="","",SUMIFS(계산!$C:$C,계산!$A:$A,계산!$E282,계산!$B:$B,$B$1*100+6))</f>
        <v/>
      </c>
      <c r="I284" s="14">
        <f>IF(원생!$A282="","",SUMIFS(계산!$C:$C,계산!$A:$A,계산!$E282,계산!$B:$B,$B$1*100+7))</f>
        <v/>
      </c>
      <c r="J284" s="14">
        <f>IF(원생!$A282="","",SUMIFS(계산!$C:$C,계산!$A:$A,계산!$E282,계산!$B:$B,$B$1*100+8))</f>
        <v/>
      </c>
      <c r="K284" s="14">
        <f>IF(원생!$A282="","",SUMIFS(계산!$C:$C,계산!$A:$A,계산!$E282,계산!$B:$B,$B$1*100+9))</f>
        <v/>
      </c>
      <c r="L284" s="14">
        <f>IF(원생!$A282="","",SUMIFS(계산!$C:$C,계산!$A:$A,계산!$E282,계산!$B:$B,$B$1*100+10))</f>
        <v/>
      </c>
      <c r="M284" s="14">
        <f>IF(원생!$A282="","",SUMIFS(계산!$C:$C,계산!$A:$A,계산!$E282,계산!$B:$B,$B$1*100+11))</f>
        <v/>
      </c>
      <c r="N284" s="14">
        <f>IF(원생!$A282="","",SUMIFS(계산!$C:$C,계산!$A:$A,계산!$E282,계산!$B:$B,$B$1*100+12))</f>
        <v/>
      </c>
      <c r="O284">
        <f>IF(원생!$I282="","",원생!$I282)</f>
        <v/>
      </c>
      <c r="P284">
        <f>IF($A284="","",IF(AND($B284&gt;0,C284&lt;$B284,DATE($B$1,1,1)&lt;=TODAY(),OR($O284="",$O284&gt;=DATE($B$1,1,1)),OR(COUNTIF($C284:C284,"&gt;0")&gt;0,DATE($B$1,1,1)=DATE(YEAR(TODAY()),MONTH(TODAY()),1))),1,0))</f>
        <v/>
      </c>
      <c r="Q284">
        <f>IF($A284="","",IF(AND($B284&gt;0,D284&lt;$B284,DATE($B$1,2,1)&lt;=TODAY(),OR($O284="",$O284&gt;=DATE($B$1,2,1)),OR(COUNTIF($C284:D284,"&gt;0")&gt;0,DATE($B$1,2,1)=DATE(YEAR(TODAY()),MONTH(TODAY()),1))),1,0))</f>
        <v/>
      </c>
      <c r="R284">
        <f>IF($A284="","",IF(AND($B284&gt;0,E284&lt;$B284,DATE($B$1,3,1)&lt;=TODAY(),OR($O284="",$O284&gt;=DATE($B$1,3,1)),OR(COUNTIF($C284:E284,"&gt;0")&gt;0,DATE($B$1,3,1)=DATE(YEAR(TODAY()),MONTH(TODAY()),1))),1,0))</f>
        <v/>
      </c>
      <c r="S284">
        <f>IF($A284="","",IF(AND($B284&gt;0,F284&lt;$B284,DATE($B$1,4,1)&lt;=TODAY(),OR($O284="",$O284&gt;=DATE($B$1,4,1)),OR(COUNTIF($C284:F284,"&gt;0")&gt;0,DATE($B$1,4,1)=DATE(YEAR(TODAY()),MONTH(TODAY()),1))),1,0))</f>
        <v/>
      </c>
      <c r="T284">
        <f>IF($A284="","",IF(AND($B284&gt;0,G284&lt;$B284,DATE($B$1,5,1)&lt;=TODAY(),OR($O284="",$O284&gt;=DATE($B$1,5,1)),OR(COUNTIF($C284:G284,"&gt;0")&gt;0,DATE($B$1,5,1)=DATE(YEAR(TODAY()),MONTH(TODAY()),1))),1,0))</f>
        <v/>
      </c>
      <c r="U284">
        <f>IF($A284="","",IF(AND($B284&gt;0,H284&lt;$B284,DATE($B$1,6,1)&lt;=TODAY(),OR($O284="",$O284&gt;=DATE($B$1,6,1)),OR(COUNTIF($C284:H284,"&gt;0")&gt;0,DATE($B$1,6,1)=DATE(YEAR(TODAY()),MONTH(TODAY()),1))),1,0))</f>
        <v/>
      </c>
      <c r="V284">
        <f>IF($A284="","",IF(AND($B284&gt;0,I284&lt;$B284,DATE($B$1,7,1)&lt;=TODAY(),OR($O284="",$O284&gt;=DATE($B$1,7,1)),OR(COUNTIF($C284:I284,"&gt;0")&gt;0,DATE($B$1,7,1)=DATE(YEAR(TODAY()),MONTH(TODAY()),1))),1,0))</f>
        <v/>
      </c>
      <c r="W284">
        <f>IF($A284="","",IF(AND($B284&gt;0,J284&lt;$B284,DATE($B$1,8,1)&lt;=TODAY(),OR($O284="",$O284&gt;=DATE($B$1,8,1)),OR(COUNTIF($C284:J284,"&gt;0")&gt;0,DATE($B$1,8,1)=DATE(YEAR(TODAY()),MONTH(TODAY()),1))),1,0))</f>
        <v/>
      </c>
      <c r="X284">
        <f>IF($A284="","",IF(AND($B284&gt;0,K284&lt;$B284,DATE($B$1,9,1)&lt;=TODAY(),OR($O284="",$O284&gt;=DATE($B$1,9,1)),OR(COUNTIF($C284:K284,"&gt;0")&gt;0,DATE($B$1,9,1)=DATE(YEAR(TODAY()),MONTH(TODAY()),1))),1,0))</f>
        <v/>
      </c>
      <c r="Y284">
        <f>IF($A284="","",IF(AND($B284&gt;0,L284&lt;$B284,DATE($B$1,10,1)&lt;=TODAY(),OR($O284="",$O284&gt;=DATE($B$1,10,1)),OR(COUNTIF($C284:L284,"&gt;0")&gt;0,DATE($B$1,10,1)=DATE(YEAR(TODAY()),MONTH(TODAY()),1))),1,0))</f>
        <v/>
      </c>
      <c r="Z284">
        <f>IF($A284="","",IF(AND($B284&gt;0,M284&lt;$B284,DATE($B$1,11,1)&lt;=TODAY(),OR($O284="",$O284&gt;=DATE($B$1,11,1)),OR(COUNTIF($C284:M284,"&gt;0")&gt;0,DATE($B$1,11,1)=DATE(YEAR(TODAY()),MONTH(TODAY()),1))),1,0))</f>
        <v/>
      </c>
      <c r="AA284">
        <f>IF($A284="","",IF(AND($B284&gt;0,N284&lt;$B284,DATE($B$1,12,1)&lt;=TODAY(),OR($O284="",$O284&gt;=DATE($B$1,12,1)),OR(COUNTIF($C284:N284,"&gt;0")&gt;0,DATE($B$1,12,1)=DATE(YEAR(TODAY()),MONTH(TODAY()),1))),1,0))</f>
        <v/>
      </c>
    </row>
    <row r="285">
      <c r="A285" s="13">
        <f>IF(원생!$A283="","",원생!$A283&amp;IF(원생!$G283="",""," ("&amp;원생!$G283&amp;")"))</f>
        <v/>
      </c>
      <c r="B285" s="8">
        <f>IF(원생!$A283="","",N(원생!$F283))</f>
        <v/>
      </c>
      <c r="C285" s="14">
        <f>IF(원생!$A283="","",SUMIFS(계산!$C:$C,계산!$A:$A,계산!$E283,계산!$B:$B,$B$1*100+1))</f>
        <v/>
      </c>
      <c r="D285" s="14">
        <f>IF(원생!$A283="","",SUMIFS(계산!$C:$C,계산!$A:$A,계산!$E283,계산!$B:$B,$B$1*100+2))</f>
        <v/>
      </c>
      <c r="E285" s="14">
        <f>IF(원생!$A283="","",SUMIFS(계산!$C:$C,계산!$A:$A,계산!$E283,계산!$B:$B,$B$1*100+3))</f>
        <v/>
      </c>
      <c r="F285" s="14">
        <f>IF(원생!$A283="","",SUMIFS(계산!$C:$C,계산!$A:$A,계산!$E283,계산!$B:$B,$B$1*100+4))</f>
        <v/>
      </c>
      <c r="G285" s="14">
        <f>IF(원생!$A283="","",SUMIFS(계산!$C:$C,계산!$A:$A,계산!$E283,계산!$B:$B,$B$1*100+5))</f>
        <v/>
      </c>
      <c r="H285" s="14">
        <f>IF(원생!$A283="","",SUMIFS(계산!$C:$C,계산!$A:$A,계산!$E283,계산!$B:$B,$B$1*100+6))</f>
        <v/>
      </c>
      <c r="I285" s="14">
        <f>IF(원생!$A283="","",SUMIFS(계산!$C:$C,계산!$A:$A,계산!$E283,계산!$B:$B,$B$1*100+7))</f>
        <v/>
      </c>
      <c r="J285" s="14">
        <f>IF(원생!$A283="","",SUMIFS(계산!$C:$C,계산!$A:$A,계산!$E283,계산!$B:$B,$B$1*100+8))</f>
        <v/>
      </c>
      <c r="K285" s="14">
        <f>IF(원생!$A283="","",SUMIFS(계산!$C:$C,계산!$A:$A,계산!$E283,계산!$B:$B,$B$1*100+9))</f>
        <v/>
      </c>
      <c r="L285" s="14">
        <f>IF(원생!$A283="","",SUMIFS(계산!$C:$C,계산!$A:$A,계산!$E283,계산!$B:$B,$B$1*100+10))</f>
        <v/>
      </c>
      <c r="M285" s="14">
        <f>IF(원생!$A283="","",SUMIFS(계산!$C:$C,계산!$A:$A,계산!$E283,계산!$B:$B,$B$1*100+11))</f>
        <v/>
      </c>
      <c r="N285" s="14">
        <f>IF(원생!$A283="","",SUMIFS(계산!$C:$C,계산!$A:$A,계산!$E283,계산!$B:$B,$B$1*100+12))</f>
        <v/>
      </c>
      <c r="O285">
        <f>IF(원생!$I283="","",원생!$I283)</f>
        <v/>
      </c>
      <c r="P285">
        <f>IF($A285="","",IF(AND($B285&gt;0,C285&lt;$B285,DATE($B$1,1,1)&lt;=TODAY(),OR($O285="",$O285&gt;=DATE($B$1,1,1)),OR(COUNTIF($C285:C285,"&gt;0")&gt;0,DATE($B$1,1,1)=DATE(YEAR(TODAY()),MONTH(TODAY()),1))),1,0))</f>
        <v/>
      </c>
      <c r="Q285">
        <f>IF($A285="","",IF(AND($B285&gt;0,D285&lt;$B285,DATE($B$1,2,1)&lt;=TODAY(),OR($O285="",$O285&gt;=DATE($B$1,2,1)),OR(COUNTIF($C285:D285,"&gt;0")&gt;0,DATE($B$1,2,1)=DATE(YEAR(TODAY()),MONTH(TODAY()),1))),1,0))</f>
        <v/>
      </c>
      <c r="R285">
        <f>IF($A285="","",IF(AND($B285&gt;0,E285&lt;$B285,DATE($B$1,3,1)&lt;=TODAY(),OR($O285="",$O285&gt;=DATE($B$1,3,1)),OR(COUNTIF($C285:E285,"&gt;0")&gt;0,DATE($B$1,3,1)=DATE(YEAR(TODAY()),MONTH(TODAY()),1))),1,0))</f>
        <v/>
      </c>
      <c r="S285">
        <f>IF($A285="","",IF(AND($B285&gt;0,F285&lt;$B285,DATE($B$1,4,1)&lt;=TODAY(),OR($O285="",$O285&gt;=DATE($B$1,4,1)),OR(COUNTIF($C285:F285,"&gt;0")&gt;0,DATE($B$1,4,1)=DATE(YEAR(TODAY()),MONTH(TODAY()),1))),1,0))</f>
        <v/>
      </c>
      <c r="T285">
        <f>IF($A285="","",IF(AND($B285&gt;0,G285&lt;$B285,DATE($B$1,5,1)&lt;=TODAY(),OR($O285="",$O285&gt;=DATE($B$1,5,1)),OR(COUNTIF($C285:G285,"&gt;0")&gt;0,DATE($B$1,5,1)=DATE(YEAR(TODAY()),MONTH(TODAY()),1))),1,0))</f>
        <v/>
      </c>
      <c r="U285">
        <f>IF($A285="","",IF(AND($B285&gt;0,H285&lt;$B285,DATE($B$1,6,1)&lt;=TODAY(),OR($O285="",$O285&gt;=DATE($B$1,6,1)),OR(COUNTIF($C285:H285,"&gt;0")&gt;0,DATE($B$1,6,1)=DATE(YEAR(TODAY()),MONTH(TODAY()),1))),1,0))</f>
        <v/>
      </c>
      <c r="V285">
        <f>IF($A285="","",IF(AND($B285&gt;0,I285&lt;$B285,DATE($B$1,7,1)&lt;=TODAY(),OR($O285="",$O285&gt;=DATE($B$1,7,1)),OR(COUNTIF($C285:I285,"&gt;0")&gt;0,DATE($B$1,7,1)=DATE(YEAR(TODAY()),MONTH(TODAY()),1))),1,0))</f>
        <v/>
      </c>
      <c r="W285">
        <f>IF($A285="","",IF(AND($B285&gt;0,J285&lt;$B285,DATE($B$1,8,1)&lt;=TODAY(),OR($O285="",$O285&gt;=DATE($B$1,8,1)),OR(COUNTIF($C285:J285,"&gt;0")&gt;0,DATE($B$1,8,1)=DATE(YEAR(TODAY()),MONTH(TODAY()),1))),1,0))</f>
        <v/>
      </c>
      <c r="X285">
        <f>IF($A285="","",IF(AND($B285&gt;0,K285&lt;$B285,DATE($B$1,9,1)&lt;=TODAY(),OR($O285="",$O285&gt;=DATE($B$1,9,1)),OR(COUNTIF($C285:K285,"&gt;0")&gt;0,DATE($B$1,9,1)=DATE(YEAR(TODAY()),MONTH(TODAY()),1))),1,0))</f>
        <v/>
      </c>
      <c r="Y285">
        <f>IF($A285="","",IF(AND($B285&gt;0,L285&lt;$B285,DATE($B$1,10,1)&lt;=TODAY(),OR($O285="",$O285&gt;=DATE($B$1,10,1)),OR(COUNTIF($C285:L285,"&gt;0")&gt;0,DATE($B$1,10,1)=DATE(YEAR(TODAY()),MONTH(TODAY()),1))),1,0))</f>
        <v/>
      </c>
      <c r="Z285">
        <f>IF($A285="","",IF(AND($B285&gt;0,M285&lt;$B285,DATE($B$1,11,1)&lt;=TODAY(),OR($O285="",$O285&gt;=DATE($B$1,11,1)),OR(COUNTIF($C285:M285,"&gt;0")&gt;0,DATE($B$1,11,1)=DATE(YEAR(TODAY()),MONTH(TODAY()),1))),1,0))</f>
        <v/>
      </c>
      <c r="AA285">
        <f>IF($A285="","",IF(AND($B285&gt;0,N285&lt;$B285,DATE($B$1,12,1)&lt;=TODAY(),OR($O285="",$O285&gt;=DATE($B$1,12,1)),OR(COUNTIF($C285:N285,"&gt;0")&gt;0,DATE($B$1,12,1)=DATE(YEAR(TODAY()),MONTH(TODAY()),1))),1,0))</f>
        <v/>
      </c>
    </row>
    <row r="286">
      <c r="A286" s="13">
        <f>IF(원생!$A284="","",원생!$A284&amp;IF(원생!$G284="",""," ("&amp;원생!$G284&amp;")"))</f>
        <v/>
      </c>
      <c r="B286" s="8">
        <f>IF(원생!$A284="","",N(원생!$F284))</f>
        <v/>
      </c>
      <c r="C286" s="14">
        <f>IF(원생!$A284="","",SUMIFS(계산!$C:$C,계산!$A:$A,계산!$E284,계산!$B:$B,$B$1*100+1))</f>
        <v/>
      </c>
      <c r="D286" s="14">
        <f>IF(원생!$A284="","",SUMIFS(계산!$C:$C,계산!$A:$A,계산!$E284,계산!$B:$B,$B$1*100+2))</f>
        <v/>
      </c>
      <c r="E286" s="14">
        <f>IF(원생!$A284="","",SUMIFS(계산!$C:$C,계산!$A:$A,계산!$E284,계산!$B:$B,$B$1*100+3))</f>
        <v/>
      </c>
      <c r="F286" s="14">
        <f>IF(원생!$A284="","",SUMIFS(계산!$C:$C,계산!$A:$A,계산!$E284,계산!$B:$B,$B$1*100+4))</f>
        <v/>
      </c>
      <c r="G286" s="14">
        <f>IF(원생!$A284="","",SUMIFS(계산!$C:$C,계산!$A:$A,계산!$E284,계산!$B:$B,$B$1*100+5))</f>
        <v/>
      </c>
      <c r="H286" s="14">
        <f>IF(원생!$A284="","",SUMIFS(계산!$C:$C,계산!$A:$A,계산!$E284,계산!$B:$B,$B$1*100+6))</f>
        <v/>
      </c>
      <c r="I286" s="14">
        <f>IF(원생!$A284="","",SUMIFS(계산!$C:$C,계산!$A:$A,계산!$E284,계산!$B:$B,$B$1*100+7))</f>
        <v/>
      </c>
      <c r="J286" s="14">
        <f>IF(원생!$A284="","",SUMIFS(계산!$C:$C,계산!$A:$A,계산!$E284,계산!$B:$B,$B$1*100+8))</f>
        <v/>
      </c>
      <c r="K286" s="14">
        <f>IF(원생!$A284="","",SUMIFS(계산!$C:$C,계산!$A:$A,계산!$E284,계산!$B:$B,$B$1*100+9))</f>
        <v/>
      </c>
      <c r="L286" s="14">
        <f>IF(원생!$A284="","",SUMIFS(계산!$C:$C,계산!$A:$A,계산!$E284,계산!$B:$B,$B$1*100+10))</f>
        <v/>
      </c>
      <c r="M286" s="14">
        <f>IF(원생!$A284="","",SUMIFS(계산!$C:$C,계산!$A:$A,계산!$E284,계산!$B:$B,$B$1*100+11))</f>
        <v/>
      </c>
      <c r="N286" s="14">
        <f>IF(원생!$A284="","",SUMIFS(계산!$C:$C,계산!$A:$A,계산!$E284,계산!$B:$B,$B$1*100+12))</f>
        <v/>
      </c>
      <c r="O286">
        <f>IF(원생!$I284="","",원생!$I284)</f>
        <v/>
      </c>
      <c r="P286">
        <f>IF($A286="","",IF(AND($B286&gt;0,C286&lt;$B286,DATE($B$1,1,1)&lt;=TODAY(),OR($O286="",$O286&gt;=DATE($B$1,1,1)),OR(COUNTIF($C286:C286,"&gt;0")&gt;0,DATE($B$1,1,1)=DATE(YEAR(TODAY()),MONTH(TODAY()),1))),1,0))</f>
        <v/>
      </c>
      <c r="Q286">
        <f>IF($A286="","",IF(AND($B286&gt;0,D286&lt;$B286,DATE($B$1,2,1)&lt;=TODAY(),OR($O286="",$O286&gt;=DATE($B$1,2,1)),OR(COUNTIF($C286:D286,"&gt;0")&gt;0,DATE($B$1,2,1)=DATE(YEAR(TODAY()),MONTH(TODAY()),1))),1,0))</f>
        <v/>
      </c>
      <c r="R286">
        <f>IF($A286="","",IF(AND($B286&gt;0,E286&lt;$B286,DATE($B$1,3,1)&lt;=TODAY(),OR($O286="",$O286&gt;=DATE($B$1,3,1)),OR(COUNTIF($C286:E286,"&gt;0")&gt;0,DATE($B$1,3,1)=DATE(YEAR(TODAY()),MONTH(TODAY()),1))),1,0))</f>
        <v/>
      </c>
      <c r="S286">
        <f>IF($A286="","",IF(AND($B286&gt;0,F286&lt;$B286,DATE($B$1,4,1)&lt;=TODAY(),OR($O286="",$O286&gt;=DATE($B$1,4,1)),OR(COUNTIF($C286:F286,"&gt;0")&gt;0,DATE($B$1,4,1)=DATE(YEAR(TODAY()),MONTH(TODAY()),1))),1,0))</f>
        <v/>
      </c>
      <c r="T286">
        <f>IF($A286="","",IF(AND($B286&gt;0,G286&lt;$B286,DATE($B$1,5,1)&lt;=TODAY(),OR($O286="",$O286&gt;=DATE($B$1,5,1)),OR(COUNTIF($C286:G286,"&gt;0")&gt;0,DATE($B$1,5,1)=DATE(YEAR(TODAY()),MONTH(TODAY()),1))),1,0))</f>
        <v/>
      </c>
      <c r="U286">
        <f>IF($A286="","",IF(AND($B286&gt;0,H286&lt;$B286,DATE($B$1,6,1)&lt;=TODAY(),OR($O286="",$O286&gt;=DATE($B$1,6,1)),OR(COUNTIF($C286:H286,"&gt;0")&gt;0,DATE($B$1,6,1)=DATE(YEAR(TODAY()),MONTH(TODAY()),1))),1,0))</f>
        <v/>
      </c>
      <c r="V286">
        <f>IF($A286="","",IF(AND($B286&gt;0,I286&lt;$B286,DATE($B$1,7,1)&lt;=TODAY(),OR($O286="",$O286&gt;=DATE($B$1,7,1)),OR(COUNTIF($C286:I286,"&gt;0")&gt;0,DATE($B$1,7,1)=DATE(YEAR(TODAY()),MONTH(TODAY()),1))),1,0))</f>
        <v/>
      </c>
      <c r="W286">
        <f>IF($A286="","",IF(AND($B286&gt;0,J286&lt;$B286,DATE($B$1,8,1)&lt;=TODAY(),OR($O286="",$O286&gt;=DATE($B$1,8,1)),OR(COUNTIF($C286:J286,"&gt;0")&gt;0,DATE($B$1,8,1)=DATE(YEAR(TODAY()),MONTH(TODAY()),1))),1,0))</f>
        <v/>
      </c>
      <c r="X286">
        <f>IF($A286="","",IF(AND($B286&gt;0,K286&lt;$B286,DATE($B$1,9,1)&lt;=TODAY(),OR($O286="",$O286&gt;=DATE($B$1,9,1)),OR(COUNTIF($C286:K286,"&gt;0")&gt;0,DATE($B$1,9,1)=DATE(YEAR(TODAY()),MONTH(TODAY()),1))),1,0))</f>
        <v/>
      </c>
      <c r="Y286">
        <f>IF($A286="","",IF(AND($B286&gt;0,L286&lt;$B286,DATE($B$1,10,1)&lt;=TODAY(),OR($O286="",$O286&gt;=DATE($B$1,10,1)),OR(COUNTIF($C286:L286,"&gt;0")&gt;0,DATE($B$1,10,1)=DATE(YEAR(TODAY()),MONTH(TODAY()),1))),1,0))</f>
        <v/>
      </c>
      <c r="Z286">
        <f>IF($A286="","",IF(AND($B286&gt;0,M286&lt;$B286,DATE($B$1,11,1)&lt;=TODAY(),OR($O286="",$O286&gt;=DATE($B$1,11,1)),OR(COUNTIF($C286:M286,"&gt;0")&gt;0,DATE($B$1,11,1)=DATE(YEAR(TODAY()),MONTH(TODAY()),1))),1,0))</f>
        <v/>
      </c>
      <c r="AA286">
        <f>IF($A286="","",IF(AND($B286&gt;0,N286&lt;$B286,DATE($B$1,12,1)&lt;=TODAY(),OR($O286="",$O286&gt;=DATE($B$1,12,1)),OR(COUNTIF($C286:N286,"&gt;0")&gt;0,DATE($B$1,12,1)=DATE(YEAR(TODAY()),MONTH(TODAY()),1))),1,0))</f>
        <v/>
      </c>
    </row>
    <row r="287">
      <c r="A287" s="13">
        <f>IF(원생!$A285="","",원생!$A285&amp;IF(원생!$G285="",""," ("&amp;원생!$G285&amp;")"))</f>
        <v/>
      </c>
      <c r="B287" s="8">
        <f>IF(원생!$A285="","",N(원생!$F285))</f>
        <v/>
      </c>
      <c r="C287" s="14">
        <f>IF(원생!$A285="","",SUMIFS(계산!$C:$C,계산!$A:$A,계산!$E285,계산!$B:$B,$B$1*100+1))</f>
        <v/>
      </c>
      <c r="D287" s="14">
        <f>IF(원생!$A285="","",SUMIFS(계산!$C:$C,계산!$A:$A,계산!$E285,계산!$B:$B,$B$1*100+2))</f>
        <v/>
      </c>
      <c r="E287" s="14">
        <f>IF(원생!$A285="","",SUMIFS(계산!$C:$C,계산!$A:$A,계산!$E285,계산!$B:$B,$B$1*100+3))</f>
        <v/>
      </c>
      <c r="F287" s="14">
        <f>IF(원생!$A285="","",SUMIFS(계산!$C:$C,계산!$A:$A,계산!$E285,계산!$B:$B,$B$1*100+4))</f>
        <v/>
      </c>
      <c r="G287" s="14">
        <f>IF(원생!$A285="","",SUMIFS(계산!$C:$C,계산!$A:$A,계산!$E285,계산!$B:$B,$B$1*100+5))</f>
        <v/>
      </c>
      <c r="H287" s="14">
        <f>IF(원생!$A285="","",SUMIFS(계산!$C:$C,계산!$A:$A,계산!$E285,계산!$B:$B,$B$1*100+6))</f>
        <v/>
      </c>
      <c r="I287" s="14">
        <f>IF(원생!$A285="","",SUMIFS(계산!$C:$C,계산!$A:$A,계산!$E285,계산!$B:$B,$B$1*100+7))</f>
        <v/>
      </c>
      <c r="J287" s="14">
        <f>IF(원생!$A285="","",SUMIFS(계산!$C:$C,계산!$A:$A,계산!$E285,계산!$B:$B,$B$1*100+8))</f>
        <v/>
      </c>
      <c r="K287" s="14">
        <f>IF(원생!$A285="","",SUMIFS(계산!$C:$C,계산!$A:$A,계산!$E285,계산!$B:$B,$B$1*100+9))</f>
        <v/>
      </c>
      <c r="L287" s="14">
        <f>IF(원생!$A285="","",SUMIFS(계산!$C:$C,계산!$A:$A,계산!$E285,계산!$B:$B,$B$1*100+10))</f>
        <v/>
      </c>
      <c r="M287" s="14">
        <f>IF(원생!$A285="","",SUMIFS(계산!$C:$C,계산!$A:$A,계산!$E285,계산!$B:$B,$B$1*100+11))</f>
        <v/>
      </c>
      <c r="N287" s="14">
        <f>IF(원생!$A285="","",SUMIFS(계산!$C:$C,계산!$A:$A,계산!$E285,계산!$B:$B,$B$1*100+12))</f>
        <v/>
      </c>
      <c r="O287">
        <f>IF(원생!$I285="","",원생!$I285)</f>
        <v/>
      </c>
      <c r="P287">
        <f>IF($A287="","",IF(AND($B287&gt;0,C287&lt;$B287,DATE($B$1,1,1)&lt;=TODAY(),OR($O287="",$O287&gt;=DATE($B$1,1,1)),OR(COUNTIF($C287:C287,"&gt;0")&gt;0,DATE($B$1,1,1)=DATE(YEAR(TODAY()),MONTH(TODAY()),1))),1,0))</f>
        <v/>
      </c>
      <c r="Q287">
        <f>IF($A287="","",IF(AND($B287&gt;0,D287&lt;$B287,DATE($B$1,2,1)&lt;=TODAY(),OR($O287="",$O287&gt;=DATE($B$1,2,1)),OR(COUNTIF($C287:D287,"&gt;0")&gt;0,DATE($B$1,2,1)=DATE(YEAR(TODAY()),MONTH(TODAY()),1))),1,0))</f>
        <v/>
      </c>
      <c r="R287">
        <f>IF($A287="","",IF(AND($B287&gt;0,E287&lt;$B287,DATE($B$1,3,1)&lt;=TODAY(),OR($O287="",$O287&gt;=DATE($B$1,3,1)),OR(COUNTIF($C287:E287,"&gt;0")&gt;0,DATE($B$1,3,1)=DATE(YEAR(TODAY()),MONTH(TODAY()),1))),1,0))</f>
        <v/>
      </c>
      <c r="S287">
        <f>IF($A287="","",IF(AND($B287&gt;0,F287&lt;$B287,DATE($B$1,4,1)&lt;=TODAY(),OR($O287="",$O287&gt;=DATE($B$1,4,1)),OR(COUNTIF($C287:F287,"&gt;0")&gt;0,DATE($B$1,4,1)=DATE(YEAR(TODAY()),MONTH(TODAY()),1))),1,0))</f>
        <v/>
      </c>
      <c r="T287">
        <f>IF($A287="","",IF(AND($B287&gt;0,G287&lt;$B287,DATE($B$1,5,1)&lt;=TODAY(),OR($O287="",$O287&gt;=DATE($B$1,5,1)),OR(COUNTIF($C287:G287,"&gt;0")&gt;0,DATE($B$1,5,1)=DATE(YEAR(TODAY()),MONTH(TODAY()),1))),1,0))</f>
        <v/>
      </c>
      <c r="U287">
        <f>IF($A287="","",IF(AND($B287&gt;0,H287&lt;$B287,DATE($B$1,6,1)&lt;=TODAY(),OR($O287="",$O287&gt;=DATE($B$1,6,1)),OR(COUNTIF($C287:H287,"&gt;0")&gt;0,DATE($B$1,6,1)=DATE(YEAR(TODAY()),MONTH(TODAY()),1))),1,0))</f>
        <v/>
      </c>
      <c r="V287">
        <f>IF($A287="","",IF(AND($B287&gt;0,I287&lt;$B287,DATE($B$1,7,1)&lt;=TODAY(),OR($O287="",$O287&gt;=DATE($B$1,7,1)),OR(COUNTIF($C287:I287,"&gt;0")&gt;0,DATE($B$1,7,1)=DATE(YEAR(TODAY()),MONTH(TODAY()),1))),1,0))</f>
        <v/>
      </c>
      <c r="W287">
        <f>IF($A287="","",IF(AND($B287&gt;0,J287&lt;$B287,DATE($B$1,8,1)&lt;=TODAY(),OR($O287="",$O287&gt;=DATE($B$1,8,1)),OR(COUNTIF($C287:J287,"&gt;0")&gt;0,DATE($B$1,8,1)=DATE(YEAR(TODAY()),MONTH(TODAY()),1))),1,0))</f>
        <v/>
      </c>
      <c r="X287">
        <f>IF($A287="","",IF(AND($B287&gt;0,K287&lt;$B287,DATE($B$1,9,1)&lt;=TODAY(),OR($O287="",$O287&gt;=DATE($B$1,9,1)),OR(COUNTIF($C287:K287,"&gt;0")&gt;0,DATE($B$1,9,1)=DATE(YEAR(TODAY()),MONTH(TODAY()),1))),1,0))</f>
        <v/>
      </c>
      <c r="Y287">
        <f>IF($A287="","",IF(AND($B287&gt;0,L287&lt;$B287,DATE($B$1,10,1)&lt;=TODAY(),OR($O287="",$O287&gt;=DATE($B$1,10,1)),OR(COUNTIF($C287:L287,"&gt;0")&gt;0,DATE($B$1,10,1)=DATE(YEAR(TODAY()),MONTH(TODAY()),1))),1,0))</f>
        <v/>
      </c>
      <c r="Z287">
        <f>IF($A287="","",IF(AND($B287&gt;0,M287&lt;$B287,DATE($B$1,11,1)&lt;=TODAY(),OR($O287="",$O287&gt;=DATE($B$1,11,1)),OR(COUNTIF($C287:M287,"&gt;0")&gt;0,DATE($B$1,11,1)=DATE(YEAR(TODAY()),MONTH(TODAY()),1))),1,0))</f>
        <v/>
      </c>
      <c r="AA287">
        <f>IF($A287="","",IF(AND($B287&gt;0,N287&lt;$B287,DATE($B$1,12,1)&lt;=TODAY(),OR($O287="",$O287&gt;=DATE($B$1,12,1)),OR(COUNTIF($C287:N287,"&gt;0")&gt;0,DATE($B$1,12,1)=DATE(YEAR(TODAY()),MONTH(TODAY()),1))),1,0))</f>
        <v/>
      </c>
    </row>
    <row r="288">
      <c r="A288" s="13">
        <f>IF(원생!$A286="","",원생!$A286&amp;IF(원생!$G286="",""," ("&amp;원생!$G286&amp;")"))</f>
        <v/>
      </c>
      <c r="B288" s="8">
        <f>IF(원생!$A286="","",N(원생!$F286))</f>
        <v/>
      </c>
      <c r="C288" s="14">
        <f>IF(원생!$A286="","",SUMIFS(계산!$C:$C,계산!$A:$A,계산!$E286,계산!$B:$B,$B$1*100+1))</f>
        <v/>
      </c>
      <c r="D288" s="14">
        <f>IF(원생!$A286="","",SUMIFS(계산!$C:$C,계산!$A:$A,계산!$E286,계산!$B:$B,$B$1*100+2))</f>
        <v/>
      </c>
      <c r="E288" s="14">
        <f>IF(원생!$A286="","",SUMIFS(계산!$C:$C,계산!$A:$A,계산!$E286,계산!$B:$B,$B$1*100+3))</f>
        <v/>
      </c>
      <c r="F288" s="14">
        <f>IF(원생!$A286="","",SUMIFS(계산!$C:$C,계산!$A:$A,계산!$E286,계산!$B:$B,$B$1*100+4))</f>
        <v/>
      </c>
      <c r="G288" s="14">
        <f>IF(원생!$A286="","",SUMIFS(계산!$C:$C,계산!$A:$A,계산!$E286,계산!$B:$B,$B$1*100+5))</f>
        <v/>
      </c>
      <c r="H288" s="14">
        <f>IF(원생!$A286="","",SUMIFS(계산!$C:$C,계산!$A:$A,계산!$E286,계산!$B:$B,$B$1*100+6))</f>
        <v/>
      </c>
      <c r="I288" s="14">
        <f>IF(원생!$A286="","",SUMIFS(계산!$C:$C,계산!$A:$A,계산!$E286,계산!$B:$B,$B$1*100+7))</f>
        <v/>
      </c>
      <c r="J288" s="14">
        <f>IF(원생!$A286="","",SUMIFS(계산!$C:$C,계산!$A:$A,계산!$E286,계산!$B:$B,$B$1*100+8))</f>
        <v/>
      </c>
      <c r="K288" s="14">
        <f>IF(원생!$A286="","",SUMIFS(계산!$C:$C,계산!$A:$A,계산!$E286,계산!$B:$B,$B$1*100+9))</f>
        <v/>
      </c>
      <c r="L288" s="14">
        <f>IF(원생!$A286="","",SUMIFS(계산!$C:$C,계산!$A:$A,계산!$E286,계산!$B:$B,$B$1*100+10))</f>
        <v/>
      </c>
      <c r="M288" s="14">
        <f>IF(원생!$A286="","",SUMIFS(계산!$C:$C,계산!$A:$A,계산!$E286,계산!$B:$B,$B$1*100+11))</f>
        <v/>
      </c>
      <c r="N288" s="14">
        <f>IF(원생!$A286="","",SUMIFS(계산!$C:$C,계산!$A:$A,계산!$E286,계산!$B:$B,$B$1*100+12))</f>
        <v/>
      </c>
      <c r="O288">
        <f>IF(원생!$I286="","",원생!$I286)</f>
        <v/>
      </c>
      <c r="P288">
        <f>IF($A288="","",IF(AND($B288&gt;0,C288&lt;$B288,DATE($B$1,1,1)&lt;=TODAY(),OR($O288="",$O288&gt;=DATE($B$1,1,1)),OR(COUNTIF($C288:C288,"&gt;0")&gt;0,DATE($B$1,1,1)=DATE(YEAR(TODAY()),MONTH(TODAY()),1))),1,0))</f>
        <v/>
      </c>
      <c r="Q288">
        <f>IF($A288="","",IF(AND($B288&gt;0,D288&lt;$B288,DATE($B$1,2,1)&lt;=TODAY(),OR($O288="",$O288&gt;=DATE($B$1,2,1)),OR(COUNTIF($C288:D288,"&gt;0")&gt;0,DATE($B$1,2,1)=DATE(YEAR(TODAY()),MONTH(TODAY()),1))),1,0))</f>
        <v/>
      </c>
      <c r="R288">
        <f>IF($A288="","",IF(AND($B288&gt;0,E288&lt;$B288,DATE($B$1,3,1)&lt;=TODAY(),OR($O288="",$O288&gt;=DATE($B$1,3,1)),OR(COUNTIF($C288:E288,"&gt;0")&gt;0,DATE($B$1,3,1)=DATE(YEAR(TODAY()),MONTH(TODAY()),1))),1,0))</f>
        <v/>
      </c>
      <c r="S288">
        <f>IF($A288="","",IF(AND($B288&gt;0,F288&lt;$B288,DATE($B$1,4,1)&lt;=TODAY(),OR($O288="",$O288&gt;=DATE($B$1,4,1)),OR(COUNTIF($C288:F288,"&gt;0")&gt;0,DATE($B$1,4,1)=DATE(YEAR(TODAY()),MONTH(TODAY()),1))),1,0))</f>
        <v/>
      </c>
      <c r="T288">
        <f>IF($A288="","",IF(AND($B288&gt;0,G288&lt;$B288,DATE($B$1,5,1)&lt;=TODAY(),OR($O288="",$O288&gt;=DATE($B$1,5,1)),OR(COUNTIF($C288:G288,"&gt;0")&gt;0,DATE($B$1,5,1)=DATE(YEAR(TODAY()),MONTH(TODAY()),1))),1,0))</f>
        <v/>
      </c>
      <c r="U288">
        <f>IF($A288="","",IF(AND($B288&gt;0,H288&lt;$B288,DATE($B$1,6,1)&lt;=TODAY(),OR($O288="",$O288&gt;=DATE($B$1,6,1)),OR(COUNTIF($C288:H288,"&gt;0")&gt;0,DATE($B$1,6,1)=DATE(YEAR(TODAY()),MONTH(TODAY()),1))),1,0))</f>
        <v/>
      </c>
      <c r="V288">
        <f>IF($A288="","",IF(AND($B288&gt;0,I288&lt;$B288,DATE($B$1,7,1)&lt;=TODAY(),OR($O288="",$O288&gt;=DATE($B$1,7,1)),OR(COUNTIF($C288:I288,"&gt;0")&gt;0,DATE($B$1,7,1)=DATE(YEAR(TODAY()),MONTH(TODAY()),1))),1,0))</f>
        <v/>
      </c>
      <c r="W288">
        <f>IF($A288="","",IF(AND($B288&gt;0,J288&lt;$B288,DATE($B$1,8,1)&lt;=TODAY(),OR($O288="",$O288&gt;=DATE($B$1,8,1)),OR(COUNTIF($C288:J288,"&gt;0")&gt;0,DATE($B$1,8,1)=DATE(YEAR(TODAY()),MONTH(TODAY()),1))),1,0))</f>
        <v/>
      </c>
      <c r="X288">
        <f>IF($A288="","",IF(AND($B288&gt;0,K288&lt;$B288,DATE($B$1,9,1)&lt;=TODAY(),OR($O288="",$O288&gt;=DATE($B$1,9,1)),OR(COUNTIF($C288:K288,"&gt;0")&gt;0,DATE($B$1,9,1)=DATE(YEAR(TODAY()),MONTH(TODAY()),1))),1,0))</f>
        <v/>
      </c>
      <c r="Y288">
        <f>IF($A288="","",IF(AND($B288&gt;0,L288&lt;$B288,DATE($B$1,10,1)&lt;=TODAY(),OR($O288="",$O288&gt;=DATE($B$1,10,1)),OR(COUNTIF($C288:L288,"&gt;0")&gt;0,DATE($B$1,10,1)=DATE(YEAR(TODAY()),MONTH(TODAY()),1))),1,0))</f>
        <v/>
      </c>
      <c r="Z288">
        <f>IF($A288="","",IF(AND($B288&gt;0,M288&lt;$B288,DATE($B$1,11,1)&lt;=TODAY(),OR($O288="",$O288&gt;=DATE($B$1,11,1)),OR(COUNTIF($C288:M288,"&gt;0")&gt;0,DATE($B$1,11,1)=DATE(YEAR(TODAY()),MONTH(TODAY()),1))),1,0))</f>
        <v/>
      </c>
      <c r="AA288">
        <f>IF($A288="","",IF(AND($B288&gt;0,N288&lt;$B288,DATE($B$1,12,1)&lt;=TODAY(),OR($O288="",$O288&gt;=DATE($B$1,12,1)),OR(COUNTIF($C288:N288,"&gt;0")&gt;0,DATE($B$1,12,1)=DATE(YEAR(TODAY()),MONTH(TODAY()),1))),1,0))</f>
        <v/>
      </c>
    </row>
    <row r="289">
      <c r="A289" s="13">
        <f>IF(원생!$A287="","",원생!$A287&amp;IF(원생!$G287="",""," ("&amp;원생!$G287&amp;")"))</f>
        <v/>
      </c>
      <c r="B289" s="8">
        <f>IF(원생!$A287="","",N(원생!$F287))</f>
        <v/>
      </c>
      <c r="C289" s="14">
        <f>IF(원생!$A287="","",SUMIFS(계산!$C:$C,계산!$A:$A,계산!$E287,계산!$B:$B,$B$1*100+1))</f>
        <v/>
      </c>
      <c r="D289" s="14">
        <f>IF(원생!$A287="","",SUMIFS(계산!$C:$C,계산!$A:$A,계산!$E287,계산!$B:$B,$B$1*100+2))</f>
        <v/>
      </c>
      <c r="E289" s="14">
        <f>IF(원생!$A287="","",SUMIFS(계산!$C:$C,계산!$A:$A,계산!$E287,계산!$B:$B,$B$1*100+3))</f>
        <v/>
      </c>
      <c r="F289" s="14">
        <f>IF(원생!$A287="","",SUMIFS(계산!$C:$C,계산!$A:$A,계산!$E287,계산!$B:$B,$B$1*100+4))</f>
        <v/>
      </c>
      <c r="G289" s="14">
        <f>IF(원생!$A287="","",SUMIFS(계산!$C:$C,계산!$A:$A,계산!$E287,계산!$B:$B,$B$1*100+5))</f>
        <v/>
      </c>
      <c r="H289" s="14">
        <f>IF(원생!$A287="","",SUMIFS(계산!$C:$C,계산!$A:$A,계산!$E287,계산!$B:$B,$B$1*100+6))</f>
        <v/>
      </c>
      <c r="I289" s="14">
        <f>IF(원생!$A287="","",SUMIFS(계산!$C:$C,계산!$A:$A,계산!$E287,계산!$B:$B,$B$1*100+7))</f>
        <v/>
      </c>
      <c r="J289" s="14">
        <f>IF(원생!$A287="","",SUMIFS(계산!$C:$C,계산!$A:$A,계산!$E287,계산!$B:$B,$B$1*100+8))</f>
        <v/>
      </c>
      <c r="K289" s="14">
        <f>IF(원생!$A287="","",SUMIFS(계산!$C:$C,계산!$A:$A,계산!$E287,계산!$B:$B,$B$1*100+9))</f>
        <v/>
      </c>
      <c r="L289" s="14">
        <f>IF(원생!$A287="","",SUMIFS(계산!$C:$C,계산!$A:$A,계산!$E287,계산!$B:$B,$B$1*100+10))</f>
        <v/>
      </c>
      <c r="M289" s="14">
        <f>IF(원생!$A287="","",SUMIFS(계산!$C:$C,계산!$A:$A,계산!$E287,계산!$B:$B,$B$1*100+11))</f>
        <v/>
      </c>
      <c r="N289" s="14">
        <f>IF(원생!$A287="","",SUMIFS(계산!$C:$C,계산!$A:$A,계산!$E287,계산!$B:$B,$B$1*100+12))</f>
        <v/>
      </c>
      <c r="O289">
        <f>IF(원생!$I287="","",원생!$I287)</f>
        <v/>
      </c>
      <c r="P289">
        <f>IF($A289="","",IF(AND($B289&gt;0,C289&lt;$B289,DATE($B$1,1,1)&lt;=TODAY(),OR($O289="",$O289&gt;=DATE($B$1,1,1)),OR(COUNTIF($C289:C289,"&gt;0")&gt;0,DATE($B$1,1,1)=DATE(YEAR(TODAY()),MONTH(TODAY()),1))),1,0))</f>
        <v/>
      </c>
      <c r="Q289">
        <f>IF($A289="","",IF(AND($B289&gt;0,D289&lt;$B289,DATE($B$1,2,1)&lt;=TODAY(),OR($O289="",$O289&gt;=DATE($B$1,2,1)),OR(COUNTIF($C289:D289,"&gt;0")&gt;0,DATE($B$1,2,1)=DATE(YEAR(TODAY()),MONTH(TODAY()),1))),1,0))</f>
        <v/>
      </c>
      <c r="R289">
        <f>IF($A289="","",IF(AND($B289&gt;0,E289&lt;$B289,DATE($B$1,3,1)&lt;=TODAY(),OR($O289="",$O289&gt;=DATE($B$1,3,1)),OR(COUNTIF($C289:E289,"&gt;0")&gt;0,DATE($B$1,3,1)=DATE(YEAR(TODAY()),MONTH(TODAY()),1))),1,0))</f>
        <v/>
      </c>
      <c r="S289">
        <f>IF($A289="","",IF(AND($B289&gt;0,F289&lt;$B289,DATE($B$1,4,1)&lt;=TODAY(),OR($O289="",$O289&gt;=DATE($B$1,4,1)),OR(COUNTIF($C289:F289,"&gt;0")&gt;0,DATE($B$1,4,1)=DATE(YEAR(TODAY()),MONTH(TODAY()),1))),1,0))</f>
        <v/>
      </c>
      <c r="T289">
        <f>IF($A289="","",IF(AND($B289&gt;0,G289&lt;$B289,DATE($B$1,5,1)&lt;=TODAY(),OR($O289="",$O289&gt;=DATE($B$1,5,1)),OR(COUNTIF($C289:G289,"&gt;0")&gt;0,DATE($B$1,5,1)=DATE(YEAR(TODAY()),MONTH(TODAY()),1))),1,0))</f>
        <v/>
      </c>
      <c r="U289">
        <f>IF($A289="","",IF(AND($B289&gt;0,H289&lt;$B289,DATE($B$1,6,1)&lt;=TODAY(),OR($O289="",$O289&gt;=DATE($B$1,6,1)),OR(COUNTIF($C289:H289,"&gt;0")&gt;0,DATE($B$1,6,1)=DATE(YEAR(TODAY()),MONTH(TODAY()),1))),1,0))</f>
        <v/>
      </c>
      <c r="V289">
        <f>IF($A289="","",IF(AND($B289&gt;0,I289&lt;$B289,DATE($B$1,7,1)&lt;=TODAY(),OR($O289="",$O289&gt;=DATE($B$1,7,1)),OR(COUNTIF($C289:I289,"&gt;0")&gt;0,DATE($B$1,7,1)=DATE(YEAR(TODAY()),MONTH(TODAY()),1))),1,0))</f>
        <v/>
      </c>
      <c r="W289">
        <f>IF($A289="","",IF(AND($B289&gt;0,J289&lt;$B289,DATE($B$1,8,1)&lt;=TODAY(),OR($O289="",$O289&gt;=DATE($B$1,8,1)),OR(COUNTIF($C289:J289,"&gt;0")&gt;0,DATE($B$1,8,1)=DATE(YEAR(TODAY()),MONTH(TODAY()),1))),1,0))</f>
        <v/>
      </c>
      <c r="X289">
        <f>IF($A289="","",IF(AND($B289&gt;0,K289&lt;$B289,DATE($B$1,9,1)&lt;=TODAY(),OR($O289="",$O289&gt;=DATE($B$1,9,1)),OR(COUNTIF($C289:K289,"&gt;0")&gt;0,DATE($B$1,9,1)=DATE(YEAR(TODAY()),MONTH(TODAY()),1))),1,0))</f>
        <v/>
      </c>
      <c r="Y289">
        <f>IF($A289="","",IF(AND($B289&gt;0,L289&lt;$B289,DATE($B$1,10,1)&lt;=TODAY(),OR($O289="",$O289&gt;=DATE($B$1,10,1)),OR(COUNTIF($C289:L289,"&gt;0")&gt;0,DATE($B$1,10,1)=DATE(YEAR(TODAY()),MONTH(TODAY()),1))),1,0))</f>
        <v/>
      </c>
      <c r="Z289">
        <f>IF($A289="","",IF(AND($B289&gt;0,M289&lt;$B289,DATE($B$1,11,1)&lt;=TODAY(),OR($O289="",$O289&gt;=DATE($B$1,11,1)),OR(COUNTIF($C289:M289,"&gt;0")&gt;0,DATE($B$1,11,1)=DATE(YEAR(TODAY()),MONTH(TODAY()),1))),1,0))</f>
        <v/>
      </c>
      <c r="AA289">
        <f>IF($A289="","",IF(AND($B289&gt;0,N289&lt;$B289,DATE($B$1,12,1)&lt;=TODAY(),OR($O289="",$O289&gt;=DATE($B$1,12,1)),OR(COUNTIF($C289:N289,"&gt;0")&gt;0,DATE($B$1,12,1)=DATE(YEAR(TODAY()),MONTH(TODAY()),1))),1,0))</f>
        <v/>
      </c>
    </row>
    <row r="290">
      <c r="A290" s="13">
        <f>IF(원생!$A288="","",원생!$A288&amp;IF(원생!$G288="",""," ("&amp;원생!$G288&amp;")"))</f>
        <v/>
      </c>
      <c r="B290" s="8">
        <f>IF(원생!$A288="","",N(원생!$F288))</f>
        <v/>
      </c>
      <c r="C290" s="14">
        <f>IF(원생!$A288="","",SUMIFS(계산!$C:$C,계산!$A:$A,계산!$E288,계산!$B:$B,$B$1*100+1))</f>
        <v/>
      </c>
      <c r="D290" s="14">
        <f>IF(원생!$A288="","",SUMIFS(계산!$C:$C,계산!$A:$A,계산!$E288,계산!$B:$B,$B$1*100+2))</f>
        <v/>
      </c>
      <c r="E290" s="14">
        <f>IF(원생!$A288="","",SUMIFS(계산!$C:$C,계산!$A:$A,계산!$E288,계산!$B:$B,$B$1*100+3))</f>
        <v/>
      </c>
      <c r="F290" s="14">
        <f>IF(원생!$A288="","",SUMIFS(계산!$C:$C,계산!$A:$A,계산!$E288,계산!$B:$B,$B$1*100+4))</f>
        <v/>
      </c>
      <c r="G290" s="14">
        <f>IF(원생!$A288="","",SUMIFS(계산!$C:$C,계산!$A:$A,계산!$E288,계산!$B:$B,$B$1*100+5))</f>
        <v/>
      </c>
      <c r="H290" s="14">
        <f>IF(원생!$A288="","",SUMIFS(계산!$C:$C,계산!$A:$A,계산!$E288,계산!$B:$B,$B$1*100+6))</f>
        <v/>
      </c>
      <c r="I290" s="14">
        <f>IF(원생!$A288="","",SUMIFS(계산!$C:$C,계산!$A:$A,계산!$E288,계산!$B:$B,$B$1*100+7))</f>
        <v/>
      </c>
      <c r="J290" s="14">
        <f>IF(원생!$A288="","",SUMIFS(계산!$C:$C,계산!$A:$A,계산!$E288,계산!$B:$B,$B$1*100+8))</f>
        <v/>
      </c>
      <c r="K290" s="14">
        <f>IF(원생!$A288="","",SUMIFS(계산!$C:$C,계산!$A:$A,계산!$E288,계산!$B:$B,$B$1*100+9))</f>
        <v/>
      </c>
      <c r="L290" s="14">
        <f>IF(원생!$A288="","",SUMIFS(계산!$C:$C,계산!$A:$A,계산!$E288,계산!$B:$B,$B$1*100+10))</f>
        <v/>
      </c>
      <c r="M290" s="14">
        <f>IF(원생!$A288="","",SUMIFS(계산!$C:$C,계산!$A:$A,계산!$E288,계산!$B:$B,$B$1*100+11))</f>
        <v/>
      </c>
      <c r="N290" s="14">
        <f>IF(원생!$A288="","",SUMIFS(계산!$C:$C,계산!$A:$A,계산!$E288,계산!$B:$B,$B$1*100+12))</f>
        <v/>
      </c>
      <c r="O290">
        <f>IF(원생!$I288="","",원생!$I288)</f>
        <v/>
      </c>
      <c r="P290">
        <f>IF($A290="","",IF(AND($B290&gt;0,C290&lt;$B290,DATE($B$1,1,1)&lt;=TODAY(),OR($O290="",$O290&gt;=DATE($B$1,1,1)),OR(COUNTIF($C290:C290,"&gt;0")&gt;0,DATE($B$1,1,1)=DATE(YEAR(TODAY()),MONTH(TODAY()),1))),1,0))</f>
        <v/>
      </c>
      <c r="Q290">
        <f>IF($A290="","",IF(AND($B290&gt;0,D290&lt;$B290,DATE($B$1,2,1)&lt;=TODAY(),OR($O290="",$O290&gt;=DATE($B$1,2,1)),OR(COUNTIF($C290:D290,"&gt;0")&gt;0,DATE($B$1,2,1)=DATE(YEAR(TODAY()),MONTH(TODAY()),1))),1,0))</f>
        <v/>
      </c>
      <c r="R290">
        <f>IF($A290="","",IF(AND($B290&gt;0,E290&lt;$B290,DATE($B$1,3,1)&lt;=TODAY(),OR($O290="",$O290&gt;=DATE($B$1,3,1)),OR(COUNTIF($C290:E290,"&gt;0")&gt;0,DATE($B$1,3,1)=DATE(YEAR(TODAY()),MONTH(TODAY()),1))),1,0))</f>
        <v/>
      </c>
      <c r="S290">
        <f>IF($A290="","",IF(AND($B290&gt;0,F290&lt;$B290,DATE($B$1,4,1)&lt;=TODAY(),OR($O290="",$O290&gt;=DATE($B$1,4,1)),OR(COUNTIF($C290:F290,"&gt;0")&gt;0,DATE($B$1,4,1)=DATE(YEAR(TODAY()),MONTH(TODAY()),1))),1,0))</f>
        <v/>
      </c>
      <c r="T290">
        <f>IF($A290="","",IF(AND($B290&gt;0,G290&lt;$B290,DATE($B$1,5,1)&lt;=TODAY(),OR($O290="",$O290&gt;=DATE($B$1,5,1)),OR(COUNTIF($C290:G290,"&gt;0")&gt;0,DATE($B$1,5,1)=DATE(YEAR(TODAY()),MONTH(TODAY()),1))),1,0))</f>
        <v/>
      </c>
      <c r="U290">
        <f>IF($A290="","",IF(AND($B290&gt;0,H290&lt;$B290,DATE($B$1,6,1)&lt;=TODAY(),OR($O290="",$O290&gt;=DATE($B$1,6,1)),OR(COUNTIF($C290:H290,"&gt;0")&gt;0,DATE($B$1,6,1)=DATE(YEAR(TODAY()),MONTH(TODAY()),1))),1,0))</f>
        <v/>
      </c>
      <c r="V290">
        <f>IF($A290="","",IF(AND($B290&gt;0,I290&lt;$B290,DATE($B$1,7,1)&lt;=TODAY(),OR($O290="",$O290&gt;=DATE($B$1,7,1)),OR(COUNTIF($C290:I290,"&gt;0")&gt;0,DATE($B$1,7,1)=DATE(YEAR(TODAY()),MONTH(TODAY()),1))),1,0))</f>
        <v/>
      </c>
      <c r="W290">
        <f>IF($A290="","",IF(AND($B290&gt;0,J290&lt;$B290,DATE($B$1,8,1)&lt;=TODAY(),OR($O290="",$O290&gt;=DATE($B$1,8,1)),OR(COUNTIF($C290:J290,"&gt;0")&gt;0,DATE($B$1,8,1)=DATE(YEAR(TODAY()),MONTH(TODAY()),1))),1,0))</f>
        <v/>
      </c>
      <c r="X290">
        <f>IF($A290="","",IF(AND($B290&gt;0,K290&lt;$B290,DATE($B$1,9,1)&lt;=TODAY(),OR($O290="",$O290&gt;=DATE($B$1,9,1)),OR(COUNTIF($C290:K290,"&gt;0")&gt;0,DATE($B$1,9,1)=DATE(YEAR(TODAY()),MONTH(TODAY()),1))),1,0))</f>
        <v/>
      </c>
      <c r="Y290">
        <f>IF($A290="","",IF(AND($B290&gt;0,L290&lt;$B290,DATE($B$1,10,1)&lt;=TODAY(),OR($O290="",$O290&gt;=DATE($B$1,10,1)),OR(COUNTIF($C290:L290,"&gt;0")&gt;0,DATE($B$1,10,1)=DATE(YEAR(TODAY()),MONTH(TODAY()),1))),1,0))</f>
        <v/>
      </c>
      <c r="Z290">
        <f>IF($A290="","",IF(AND($B290&gt;0,M290&lt;$B290,DATE($B$1,11,1)&lt;=TODAY(),OR($O290="",$O290&gt;=DATE($B$1,11,1)),OR(COUNTIF($C290:M290,"&gt;0")&gt;0,DATE($B$1,11,1)=DATE(YEAR(TODAY()),MONTH(TODAY()),1))),1,0))</f>
        <v/>
      </c>
      <c r="AA290">
        <f>IF($A290="","",IF(AND($B290&gt;0,N290&lt;$B290,DATE($B$1,12,1)&lt;=TODAY(),OR($O290="",$O290&gt;=DATE($B$1,12,1)),OR(COUNTIF($C290:N290,"&gt;0")&gt;0,DATE($B$1,12,1)=DATE(YEAR(TODAY()),MONTH(TODAY()),1))),1,0))</f>
        <v/>
      </c>
    </row>
    <row r="291">
      <c r="A291" s="13">
        <f>IF(원생!$A289="","",원생!$A289&amp;IF(원생!$G289="",""," ("&amp;원생!$G289&amp;")"))</f>
        <v/>
      </c>
      <c r="B291" s="8">
        <f>IF(원생!$A289="","",N(원생!$F289))</f>
        <v/>
      </c>
      <c r="C291" s="14">
        <f>IF(원생!$A289="","",SUMIFS(계산!$C:$C,계산!$A:$A,계산!$E289,계산!$B:$B,$B$1*100+1))</f>
        <v/>
      </c>
      <c r="D291" s="14">
        <f>IF(원생!$A289="","",SUMIFS(계산!$C:$C,계산!$A:$A,계산!$E289,계산!$B:$B,$B$1*100+2))</f>
        <v/>
      </c>
      <c r="E291" s="14">
        <f>IF(원생!$A289="","",SUMIFS(계산!$C:$C,계산!$A:$A,계산!$E289,계산!$B:$B,$B$1*100+3))</f>
        <v/>
      </c>
      <c r="F291" s="14">
        <f>IF(원생!$A289="","",SUMIFS(계산!$C:$C,계산!$A:$A,계산!$E289,계산!$B:$B,$B$1*100+4))</f>
        <v/>
      </c>
      <c r="G291" s="14">
        <f>IF(원생!$A289="","",SUMIFS(계산!$C:$C,계산!$A:$A,계산!$E289,계산!$B:$B,$B$1*100+5))</f>
        <v/>
      </c>
      <c r="H291" s="14">
        <f>IF(원생!$A289="","",SUMIFS(계산!$C:$C,계산!$A:$A,계산!$E289,계산!$B:$B,$B$1*100+6))</f>
        <v/>
      </c>
      <c r="I291" s="14">
        <f>IF(원생!$A289="","",SUMIFS(계산!$C:$C,계산!$A:$A,계산!$E289,계산!$B:$B,$B$1*100+7))</f>
        <v/>
      </c>
      <c r="J291" s="14">
        <f>IF(원생!$A289="","",SUMIFS(계산!$C:$C,계산!$A:$A,계산!$E289,계산!$B:$B,$B$1*100+8))</f>
        <v/>
      </c>
      <c r="K291" s="14">
        <f>IF(원생!$A289="","",SUMIFS(계산!$C:$C,계산!$A:$A,계산!$E289,계산!$B:$B,$B$1*100+9))</f>
        <v/>
      </c>
      <c r="L291" s="14">
        <f>IF(원생!$A289="","",SUMIFS(계산!$C:$C,계산!$A:$A,계산!$E289,계산!$B:$B,$B$1*100+10))</f>
        <v/>
      </c>
      <c r="M291" s="14">
        <f>IF(원생!$A289="","",SUMIFS(계산!$C:$C,계산!$A:$A,계산!$E289,계산!$B:$B,$B$1*100+11))</f>
        <v/>
      </c>
      <c r="N291" s="14">
        <f>IF(원생!$A289="","",SUMIFS(계산!$C:$C,계산!$A:$A,계산!$E289,계산!$B:$B,$B$1*100+12))</f>
        <v/>
      </c>
      <c r="O291">
        <f>IF(원생!$I289="","",원생!$I289)</f>
        <v/>
      </c>
      <c r="P291">
        <f>IF($A291="","",IF(AND($B291&gt;0,C291&lt;$B291,DATE($B$1,1,1)&lt;=TODAY(),OR($O291="",$O291&gt;=DATE($B$1,1,1)),OR(COUNTIF($C291:C291,"&gt;0")&gt;0,DATE($B$1,1,1)=DATE(YEAR(TODAY()),MONTH(TODAY()),1))),1,0))</f>
        <v/>
      </c>
      <c r="Q291">
        <f>IF($A291="","",IF(AND($B291&gt;0,D291&lt;$B291,DATE($B$1,2,1)&lt;=TODAY(),OR($O291="",$O291&gt;=DATE($B$1,2,1)),OR(COUNTIF($C291:D291,"&gt;0")&gt;0,DATE($B$1,2,1)=DATE(YEAR(TODAY()),MONTH(TODAY()),1))),1,0))</f>
        <v/>
      </c>
      <c r="R291">
        <f>IF($A291="","",IF(AND($B291&gt;0,E291&lt;$B291,DATE($B$1,3,1)&lt;=TODAY(),OR($O291="",$O291&gt;=DATE($B$1,3,1)),OR(COUNTIF($C291:E291,"&gt;0")&gt;0,DATE($B$1,3,1)=DATE(YEAR(TODAY()),MONTH(TODAY()),1))),1,0))</f>
        <v/>
      </c>
      <c r="S291">
        <f>IF($A291="","",IF(AND($B291&gt;0,F291&lt;$B291,DATE($B$1,4,1)&lt;=TODAY(),OR($O291="",$O291&gt;=DATE($B$1,4,1)),OR(COUNTIF($C291:F291,"&gt;0")&gt;0,DATE($B$1,4,1)=DATE(YEAR(TODAY()),MONTH(TODAY()),1))),1,0))</f>
        <v/>
      </c>
      <c r="T291">
        <f>IF($A291="","",IF(AND($B291&gt;0,G291&lt;$B291,DATE($B$1,5,1)&lt;=TODAY(),OR($O291="",$O291&gt;=DATE($B$1,5,1)),OR(COUNTIF($C291:G291,"&gt;0")&gt;0,DATE($B$1,5,1)=DATE(YEAR(TODAY()),MONTH(TODAY()),1))),1,0))</f>
        <v/>
      </c>
      <c r="U291">
        <f>IF($A291="","",IF(AND($B291&gt;0,H291&lt;$B291,DATE($B$1,6,1)&lt;=TODAY(),OR($O291="",$O291&gt;=DATE($B$1,6,1)),OR(COUNTIF($C291:H291,"&gt;0")&gt;0,DATE($B$1,6,1)=DATE(YEAR(TODAY()),MONTH(TODAY()),1))),1,0))</f>
        <v/>
      </c>
      <c r="V291">
        <f>IF($A291="","",IF(AND($B291&gt;0,I291&lt;$B291,DATE($B$1,7,1)&lt;=TODAY(),OR($O291="",$O291&gt;=DATE($B$1,7,1)),OR(COUNTIF($C291:I291,"&gt;0")&gt;0,DATE($B$1,7,1)=DATE(YEAR(TODAY()),MONTH(TODAY()),1))),1,0))</f>
        <v/>
      </c>
      <c r="W291">
        <f>IF($A291="","",IF(AND($B291&gt;0,J291&lt;$B291,DATE($B$1,8,1)&lt;=TODAY(),OR($O291="",$O291&gt;=DATE($B$1,8,1)),OR(COUNTIF($C291:J291,"&gt;0")&gt;0,DATE($B$1,8,1)=DATE(YEAR(TODAY()),MONTH(TODAY()),1))),1,0))</f>
        <v/>
      </c>
      <c r="X291">
        <f>IF($A291="","",IF(AND($B291&gt;0,K291&lt;$B291,DATE($B$1,9,1)&lt;=TODAY(),OR($O291="",$O291&gt;=DATE($B$1,9,1)),OR(COUNTIF($C291:K291,"&gt;0")&gt;0,DATE($B$1,9,1)=DATE(YEAR(TODAY()),MONTH(TODAY()),1))),1,0))</f>
        <v/>
      </c>
      <c r="Y291">
        <f>IF($A291="","",IF(AND($B291&gt;0,L291&lt;$B291,DATE($B$1,10,1)&lt;=TODAY(),OR($O291="",$O291&gt;=DATE($B$1,10,1)),OR(COUNTIF($C291:L291,"&gt;0")&gt;0,DATE($B$1,10,1)=DATE(YEAR(TODAY()),MONTH(TODAY()),1))),1,0))</f>
        <v/>
      </c>
      <c r="Z291">
        <f>IF($A291="","",IF(AND($B291&gt;0,M291&lt;$B291,DATE($B$1,11,1)&lt;=TODAY(),OR($O291="",$O291&gt;=DATE($B$1,11,1)),OR(COUNTIF($C291:M291,"&gt;0")&gt;0,DATE($B$1,11,1)=DATE(YEAR(TODAY()),MONTH(TODAY()),1))),1,0))</f>
        <v/>
      </c>
      <c r="AA291">
        <f>IF($A291="","",IF(AND($B291&gt;0,N291&lt;$B291,DATE($B$1,12,1)&lt;=TODAY(),OR($O291="",$O291&gt;=DATE($B$1,12,1)),OR(COUNTIF($C291:N291,"&gt;0")&gt;0,DATE($B$1,12,1)=DATE(YEAR(TODAY()),MONTH(TODAY()),1))),1,0))</f>
        <v/>
      </c>
    </row>
    <row r="292">
      <c r="A292" s="13">
        <f>IF(원생!$A290="","",원생!$A290&amp;IF(원생!$G290="",""," ("&amp;원생!$G290&amp;")"))</f>
        <v/>
      </c>
      <c r="B292" s="8">
        <f>IF(원생!$A290="","",N(원생!$F290))</f>
        <v/>
      </c>
      <c r="C292" s="14">
        <f>IF(원생!$A290="","",SUMIFS(계산!$C:$C,계산!$A:$A,계산!$E290,계산!$B:$B,$B$1*100+1))</f>
        <v/>
      </c>
      <c r="D292" s="14">
        <f>IF(원생!$A290="","",SUMIFS(계산!$C:$C,계산!$A:$A,계산!$E290,계산!$B:$B,$B$1*100+2))</f>
        <v/>
      </c>
      <c r="E292" s="14">
        <f>IF(원생!$A290="","",SUMIFS(계산!$C:$C,계산!$A:$A,계산!$E290,계산!$B:$B,$B$1*100+3))</f>
        <v/>
      </c>
      <c r="F292" s="14">
        <f>IF(원생!$A290="","",SUMIFS(계산!$C:$C,계산!$A:$A,계산!$E290,계산!$B:$B,$B$1*100+4))</f>
        <v/>
      </c>
      <c r="G292" s="14">
        <f>IF(원생!$A290="","",SUMIFS(계산!$C:$C,계산!$A:$A,계산!$E290,계산!$B:$B,$B$1*100+5))</f>
        <v/>
      </c>
      <c r="H292" s="14">
        <f>IF(원생!$A290="","",SUMIFS(계산!$C:$C,계산!$A:$A,계산!$E290,계산!$B:$B,$B$1*100+6))</f>
        <v/>
      </c>
      <c r="I292" s="14">
        <f>IF(원생!$A290="","",SUMIFS(계산!$C:$C,계산!$A:$A,계산!$E290,계산!$B:$B,$B$1*100+7))</f>
        <v/>
      </c>
      <c r="J292" s="14">
        <f>IF(원생!$A290="","",SUMIFS(계산!$C:$C,계산!$A:$A,계산!$E290,계산!$B:$B,$B$1*100+8))</f>
        <v/>
      </c>
      <c r="K292" s="14">
        <f>IF(원생!$A290="","",SUMIFS(계산!$C:$C,계산!$A:$A,계산!$E290,계산!$B:$B,$B$1*100+9))</f>
        <v/>
      </c>
      <c r="L292" s="14">
        <f>IF(원생!$A290="","",SUMIFS(계산!$C:$C,계산!$A:$A,계산!$E290,계산!$B:$B,$B$1*100+10))</f>
        <v/>
      </c>
      <c r="M292" s="14">
        <f>IF(원생!$A290="","",SUMIFS(계산!$C:$C,계산!$A:$A,계산!$E290,계산!$B:$B,$B$1*100+11))</f>
        <v/>
      </c>
      <c r="N292" s="14">
        <f>IF(원생!$A290="","",SUMIFS(계산!$C:$C,계산!$A:$A,계산!$E290,계산!$B:$B,$B$1*100+12))</f>
        <v/>
      </c>
      <c r="O292">
        <f>IF(원생!$I290="","",원생!$I290)</f>
        <v/>
      </c>
      <c r="P292">
        <f>IF($A292="","",IF(AND($B292&gt;0,C292&lt;$B292,DATE($B$1,1,1)&lt;=TODAY(),OR($O292="",$O292&gt;=DATE($B$1,1,1)),OR(COUNTIF($C292:C292,"&gt;0")&gt;0,DATE($B$1,1,1)=DATE(YEAR(TODAY()),MONTH(TODAY()),1))),1,0))</f>
        <v/>
      </c>
      <c r="Q292">
        <f>IF($A292="","",IF(AND($B292&gt;0,D292&lt;$B292,DATE($B$1,2,1)&lt;=TODAY(),OR($O292="",$O292&gt;=DATE($B$1,2,1)),OR(COUNTIF($C292:D292,"&gt;0")&gt;0,DATE($B$1,2,1)=DATE(YEAR(TODAY()),MONTH(TODAY()),1))),1,0))</f>
        <v/>
      </c>
      <c r="R292">
        <f>IF($A292="","",IF(AND($B292&gt;0,E292&lt;$B292,DATE($B$1,3,1)&lt;=TODAY(),OR($O292="",$O292&gt;=DATE($B$1,3,1)),OR(COUNTIF($C292:E292,"&gt;0")&gt;0,DATE($B$1,3,1)=DATE(YEAR(TODAY()),MONTH(TODAY()),1))),1,0))</f>
        <v/>
      </c>
      <c r="S292">
        <f>IF($A292="","",IF(AND($B292&gt;0,F292&lt;$B292,DATE($B$1,4,1)&lt;=TODAY(),OR($O292="",$O292&gt;=DATE($B$1,4,1)),OR(COUNTIF($C292:F292,"&gt;0")&gt;0,DATE($B$1,4,1)=DATE(YEAR(TODAY()),MONTH(TODAY()),1))),1,0))</f>
        <v/>
      </c>
      <c r="T292">
        <f>IF($A292="","",IF(AND($B292&gt;0,G292&lt;$B292,DATE($B$1,5,1)&lt;=TODAY(),OR($O292="",$O292&gt;=DATE($B$1,5,1)),OR(COUNTIF($C292:G292,"&gt;0")&gt;0,DATE($B$1,5,1)=DATE(YEAR(TODAY()),MONTH(TODAY()),1))),1,0))</f>
        <v/>
      </c>
      <c r="U292">
        <f>IF($A292="","",IF(AND($B292&gt;0,H292&lt;$B292,DATE($B$1,6,1)&lt;=TODAY(),OR($O292="",$O292&gt;=DATE($B$1,6,1)),OR(COUNTIF($C292:H292,"&gt;0")&gt;0,DATE($B$1,6,1)=DATE(YEAR(TODAY()),MONTH(TODAY()),1))),1,0))</f>
        <v/>
      </c>
      <c r="V292">
        <f>IF($A292="","",IF(AND($B292&gt;0,I292&lt;$B292,DATE($B$1,7,1)&lt;=TODAY(),OR($O292="",$O292&gt;=DATE($B$1,7,1)),OR(COUNTIF($C292:I292,"&gt;0")&gt;0,DATE($B$1,7,1)=DATE(YEAR(TODAY()),MONTH(TODAY()),1))),1,0))</f>
        <v/>
      </c>
      <c r="W292">
        <f>IF($A292="","",IF(AND($B292&gt;0,J292&lt;$B292,DATE($B$1,8,1)&lt;=TODAY(),OR($O292="",$O292&gt;=DATE($B$1,8,1)),OR(COUNTIF($C292:J292,"&gt;0")&gt;0,DATE($B$1,8,1)=DATE(YEAR(TODAY()),MONTH(TODAY()),1))),1,0))</f>
        <v/>
      </c>
      <c r="X292">
        <f>IF($A292="","",IF(AND($B292&gt;0,K292&lt;$B292,DATE($B$1,9,1)&lt;=TODAY(),OR($O292="",$O292&gt;=DATE($B$1,9,1)),OR(COUNTIF($C292:K292,"&gt;0")&gt;0,DATE($B$1,9,1)=DATE(YEAR(TODAY()),MONTH(TODAY()),1))),1,0))</f>
        <v/>
      </c>
      <c r="Y292">
        <f>IF($A292="","",IF(AND($B292&gt;0,L292&lt;$B292,DATE($B$1,10,1)&lt;=TODAY(),OR($O292="",$O292&gt;=DATE($B$1,10,1)),OR(COUNTIF($C292:L292,"&gt;0")&gt;0,DATE($B$1,10,1)=DATE(YEAR(TODAY()),MONTH(TODAY()),1))),1,0))</f>
        <v/>
      </c>
      <c r="Z292">
        <f>IF($A292="","",IF(AND($B292&gt;0,M292&lt;$B292,DATE($B$1,11,1)&lt;=TODAY(),OR($O292="",$O292&gt;=DATE($B$1,11,1)),OR(COUNTIF($C292:M292,"&gt;0")&gt;0,DATE($B$1,11,1)=DATE(YEAR(TODAY()),MONTH(TODAY()),1))),1,0))</f>
        <v/>
      </c>
      <c r="AA292">
        <f>IF($A292="","",IF(AND($B292&gt;0,N292&lt;$B292,DATE($B$1,12,1)&lt;=TODAY(),OR($O292="",$O292&gt;=DATE($B$1,12,1)),OR(COUNTIF($C292:N292,"&gt;0")&gt;0,DATE($B$1,12,1)=DATE(YEAR(TODAY()),MONTH(TODAY()),1))),1,0))</f>
        <v/>
      </c>
    </row>
    <row r="293">
      <c r="A293" s="13">
        <f>IF(원생!$A291="","",원생!$A291&amp;IF(원생!$G291="",""," ("&amp;원생!$G291&amp;")"))</f>
        <v/>
      </c>
      <c r="B293" s="8">
        <f>IF(원생!$A291="","",N(원생!$F291))</f>
        <v/>
      </c>
      <c r="C293" s="14">
        <f>IF(원생!$A291="","",SUMIFS(계산!$C:$C,계산!$A:$A,계산!$E291,계산!$B:$B,$B$1*100+1))</f>
        <v/>
      </c>
      <c r="D293" s="14">
        <f>IF(원생!$A291="","",SUMIFS(계산!$C:$C,계산!$A:$A,계산!$E291,계산!$B:$B,$B$1*100+2))</f>
        <v/>
      </c>
      <c r="E293" s="14">
        <f>IF(원생!$A291="","",SUMIFS(계산!$C:$C,계산!$A:$A,계산!$E291,계산!$B:$B,$B$1*100+3))</f>
        <v/>
      </c>
      <c r="F293" s="14">
        <f>IF(원생!$A291="","",SUMIFS(계산!$C:$C,계산!$A:$A,계산!$E291,계산!$B:$B,$B$1*100+4))</f>
        <v/>
      </c>
      <c r="G293" s="14">
        <f>IF(원생!$A291="","",SUMIFS(계산!$C:$C,계산!$A:$A,계산!$E291,계산!$B:$B,$B$1*100+5))</f>
        <v/>
      </c>
      <c r="H293" s="14">
        <f>IF(원생!$A291="","",SUMIFS(계산!$C:$C,계산!$A:$A,계산!$E291,계산!$B:$B,$B$1*100+6))</f>
        <v/>
      </c>
      <c r="I293" s="14">
        <f>IF(원생!$A291="","",SUMIFS(계산!$C:$C,계산!$A:$A,계산!$E291,계산!$B:$B,$B$1*100+7))</f>
        <v/>
      </c>
      <c r="J293" s="14">
        <f>IF(원생!$A291="","",SUMIFS(계산!$C:$C,계산!$A:$A,계산!$E291,계산!$B:$B,$B$1*100+8))</f>
        <v/>
      </c>
      <c r="K293" s="14">
        <f>IF(원생!$A291="","",SUMIFS(계산!$C:$C,계산!$A:$A,계산!$E291,계산!$B:$B,$B$1*100+9))</f>
        <v/>
      </c>
      <c r="L293" s="14">
        <f>IF(원생!$A291="","",SUMIFS(계산!$C:$C,계산!$A:$A,계산!$E291,계산!$B:$B,$B$1*100+10))</f>
        <v/>
      </c>
      <c r="M293" s="14">
        <f>IF(원생!$A291="","",SUMIFS(계산!$C:$C,계산!$A:$A,계산!$E291,계산!$B:$B,$B$1*100+11))</f>
        <v/>
      </c>
      <c r="N293" s="14">
        <f>IF(원생!$A291="","",SUMIFS(계산!$C:$C,계산!$A:$A,계산!$E291,계산!$B:$B,$B$1*100+12))</f>
        <v/>
      </c>
      <c r="O293">
        <f>IF(원생!$I291="","",원생!$I291)</f>
        <v/>
      </c>
      <c r="P293">
        <f>IF($A293="","",IF(AND($B293&gt;0,C293&lt;$B293,DATE($B$1,1,1)&lt;=TODAY(),OR($O293="",$O293&gt;=DATE($B$1,1,1)),OR(COUNTIF($C293:C293,"&gt;0")&gt;0,DATE($B$1,1,1)=DATE(YEAR(TODAY()),MONTH(TODAY()),1))),1,0))</f>
        <v/>
      </c>
      <c r="Q293">
        <f>IF($A293="","",IF(AND($B293&gt;0,D293&lt;$B293,DATE($B$1,2,1)&lt;=TODAY(),OR($O293="",$O293&gt;=DATE($B$1,2,1)),OR(COUNTIF($C293:D293,"&gt;0")&gt;0,DATE($B$1,2,1)=DATE(YEAR(TODAY()),MONTH(TODAY()),1))),1,0))</f>
        <v/>
      </c>
      <c r="R293">
        <f>IF($A293="","",IF(AND($B293&gt;0,E293&lt;$B293,DATE($B$1,3,1)&lt;=TODAY(),OR($O293="",$O293&gt;=DATE($B$1,3,1)),OR(COUNTIF($C293:E293,"&gt;0")&gt;0,DATE($B$1,3,1)=DATE(YEAR(TODAY()),MONTH(TODAY()),1))),1,0))</f>
        <v/>
      </c>
      <c r="S293">
        <f>IF($A293="","",IF(AND($B293&gt;0,F293&lt;$B293,DATE($B$1,4,1)&lt;=TODAY(),OR($O293="",$O293&gt;=DATE($B$1,4,1)),OR(COUNTIF($C293:F293,"&gt;0")&gt;0,DATE($B$1,4,1)=DATE(YEAR(TODAY()),MONTH(TODAY()),1))),1,0))</f>
        <v/>
      </c>
      <c r="T293">
        <f>IF($A293="","",IF(AND($B293&gt;0,G293&lt;$B293,DATE($B$1,5,1)&lt;=TODAY(),OR($O293="",$O293&gt;=DATE($B$1,5,1)),OR(COUNTIF($C293:G293,"&gt;0")&gt;0,DATE($B$1,5,1)=DATE(YEAR(TODAY()),MONTH(TODAY()),1))),1,0))</f>
        <v/>
      </c>
      <c r="U293">
        <f>IF($A293="","",IF(AND($B293&gt;0,H293&lt;$B293,DATE($B$1,6,1)&lt;=TODAY(),OR($O293="",$O293&gt;=DATE($B$1,6,1)),OR(COUNTIF($C293:H293,"&gt;0")&gt;0,DATE($B$1,6,1)=DATE(YEAR(TODAY()),MONTH(TODAY()),1))),1,0))</f>
        <v/>
      </c>
      <c r="V293">
        <f>IF($A293="","",IF(AND($B293&gt;0,I293&lt;$B293,DATE($B$1,7,1)&lt;=TODAY(),OR($O293="",$O293&gt;=DATE($B$1,7,1)),OR(COUNTIF($C293:I293,"&gt;0")&gt;0,DATE($B$1,7,1)=DATE(YEAR(TODAY()),MONTH(TODAY()),1))),1,0))</f>
        <v/>
      </c>
      <c r="W293">
        <f>IF($A293="","",IF(AND($B293&gt;0,J293&lt;$B293,DATE($B$1,8,1)&lt;=TODAY(),OR($O293="",$O293&gt;=DATE($B$1,8,1)),OR(COUNTIF($C293:J293,"&gt;0")&gt;0,DATE($B$1,8,1)=DATE(YEAR(TODAY()),MONTH(TODAY()),1))),1,0))</f>
        <v/>
      </c>
      <c r="X293">
        <f>IF($A293="","",IF(AND($B293&gt;0,K293&lt;$B293,DATE($B$1,9,1)&lt;=TODAY(),OR($O293="",$O293&gt;=DATE($B$1,9,1)),OR(COUNTIF($C293:K293,"&gt;0")&gt;0,DATE($B$1,9,1)=DATE(YEAR(TODAY()),MONTH(TODAY()),1))),1,0))</f>
        <v/>
      </c>
      <c r="Y293">
        <f>IF($A293="","",IF(AND($B293&gt;0,L293&lt;$B293,DATE($B$1,10,1)&lt;=TODAY(),OR($O293="",$O293&gt;=DATE($B$1,10,1)),OR(COUNTIF($C293:L293,"&gt;0")&gt;0,DATE($B$1,10,1)=DATE(YEAR(TODAY()),MONTH(TODAY()),1))),1,0))</f>
        <v/>
      </c>
      <c r="Z293">
        <f>IF($A293="","",IF(AND($B293&gt;0,M293&lt;$B293,DATE($B$1,11,1)&lt;=TODAY(),OR($O293="",$O293&gt;=DATE($B$1,11,1)),OR(COUNTIF($C293:M293,"&gt;0")&gt;0,DATE($B$1,11,1)=DATE(YEAR(TODAY()),MONTH(TODAY()),1))),1,0))</f>
        <v/>
      </c>
      <c r="AA293">
        <f>IF($A293="","",IF(AND($B293&gt;0,N293&lt;$B293,DATE($B$1,12,1)&lt;=TODAY(),OR($O293="",$O293&gt;=DATE($B$1,12,1)),OR(COUNTIF($C293:N293,"&gt;0")&gt;0,DATE($B$1,12,1)=DATE(YEAR(TODAY()),MONTH(TODAY()),1))),1,0))</f>
        <v/>
      </c>
    </row>
    <row r="294">
      <c r="A294" s="13">
        <f>IF(원생!$A292="","",원생!$A292&amp;IF(원생!$G292="",""," ("&amp;원생!$G292&amp;")"))</f>
        <v/>
      </c>
      <c r="B294" s="8">
        <f>IF(원생!$A292="","",N(원생!$F292))</f>
        <v/>
      </c>
      <c r="C294" s="14">
        <f>IF(원생!$A292="","",SUMIFS(계산!$C:$C,계산!$A:$A,계산!$E292,계산!$B:$B,$B$1*100+1))</f>
        <v/>
      </c>
      <c r="D294" s="14">
        <f>IF(원생!$A292="","",SUMIFS(계산!$C:$C,계산!$A:$A,계산!$E292,계산!$B:$B,$B$1*100+2))</f>
        <v/>
      </c>
      <c r="E294" s="14">
        <f>IF(원생!$A292="","",SUMIFS(계산!$C:$C,계산!$A:$A,계산!$E292,계산!$B:$B,$B$1*100+3))</f>
        <v/>
      </c>
      <c r="F294" s="14">
        <f>IF(원생!$A292="","",SUMIFS(계산!$C:$C,계산!$A:$A,계산!$E292,계산!$B:$B,$B$1*100+4))</f>
        <v/>
      </c>
      <c r="G294" s="14">
        <f>IF(원생!$A292="","",SUMIFS(계산!$C:$C,계산!$A:$A,계산!$E292,계산!$B:$B,$B$1*100+5))</f>
        <v/>
      </c>
      <c r="H294" s="14">
        <f>IF(원생!$A292="","",SUMIFS(계산!$C:$C,계산!$A:$A,계산!$E292,계산!$B:$B,$B$1*100+6))</f>
        <v/>
      </c>
      <c r="I294" s="14">
        <f>IF(원생!$A292="","",SUMIFS(계산!$C:$C,계산!$A:$A,계산!$E292,계산!$B:$B,$B$1*100+7))</f>
        <v/>
      </c>
      <c r="J294" s="14">
        <f>IF(원생!$A292="","",SUMIFS(계산!$C:$C,계산!$A:$A,계산!$E292,계산!$B:$B,$B$1*100+8))</f>
        <v/>
      </c>
      <c r="K294" s="14">
        <f>IF(원생!$A292="","",SUMIFS(계산!$C:$C,계산!$A:$A,계산!$E292,계산!$B:$B,$B$1*100+9))</f>
        <v/>
      </c>
      <c r="L294" s="14">
        <f>IF(원생!$A292="","",SUMIFS(계산!$C:$C,계산!$A:$A,계산!$E292,계산!$B:$B,$B$1*100+10))</f>
        <v/>
      </c>
      <c r="M294" s="14">
        <f>IF(원생!$A292="","",SUMIFS(계산!$C:$C,계산!$A:$A,계산!$E292,계산!$B:$B,$B$1*100+11))</f>
        <v/>
      </c>
      <c r="N294" s="14">
        <f>IF(원생!$A292="","",SUMIFS(계산!$C:$C,계산!$A:$A,계산!$E292,계산!$B:$B,$B$1*100+12))</f>
        <v/>
      </c>
      <c r="O294">
        <f>IF(원생!$I292="","",원생!$I292)</f>
        <v/>
      </c>
      <c r="P294">
        <f>IF($A294="","",IF(AND($B294&gt;0,C294&lt;$B294,DATE($B$1,1,1)&lt;=TODAY(),OR($O294="",$O294&gt;=DATE($B$1,1,1)),OR(COUNTIF($C294:C294,"&gt;0")&gt;0,DATE($B$1,1,1)=DATE(YEAR(TODAY()),MONTH(TODAY()),1))),1,0))</f>
        <v/>
      </c>
      <c r="Q294">
        <f>IF($A294="","",IF(AND($B294&gt;0,D294&lt;$B294,DATE($B$1,2,1)&lt;=TODAY(),OR($O294="",$O294&gt;=DATE($B$1,2,1)),OR(COUNTIF($C294:D294,"&gt;0")&gt;0,DATE($B$1,2,1)=DATE(YEAR(TODAY()),MONTH(TODAY()),1))),1,0))</f>
        <v/>
      </c>
      <c r="R294">
        <f>IF($A294="","",IF(AND($B294&gt;0,E294&lt;$B294,DATE($B$1,3,1)&lt;=TODAY(),OR($O294="",$O294&gt;=DATE($B$1,3,1)),OR(COUNTIF($C294:E294,"&gt;0")&gt;0,DATE($B$1,3,1)=DATE(YEAR(TODAY()),MONTH(TODAY()),1))),1,0))</f>
        <v/>
      </c>
      <c r="S294">
        <f>IF($A294="","",IF(AND($B294&gt;0,F294&lt;$B294,DATE($B$1,4,1)&lt;=TODAY(),OR($O294="",$O294&gt;=DATE($B$1,4,1)),OR(COUNTIF($C294:F294,"&gt;0")&gt;0,DATE($B$1,4,1)=DATE(YEAR(TODAY()),MONTH(TODAY()),1))),1,0))</f>
        <v/>
      </c>
      <c r="T294">
        <f>IF($A294="","",IF(AND($B294&gt;0,G294&lt;$B294,DATE($B$1,5,1)&lt;=TODAY(),OR($O294="",$O294&gt;=DATE($B$1,5,1)),OR(COUNTIF($C294:G294,"&gt;0")&gt;0,DATE($B$1,5,1)=DATE(YEAR(TODAY()),MONTH(TODAY()),1))),1,0))</f>
        <v/>
      </c>
      <c r="U294">
        <f>IF($A294="","",IF(AND($B294&gt;0,H294&lt;$B294,DATE($B$1,6,1)&lt;=TODAY(),OR($O294="",$O294&gt;=DATE($B$1,6,1)),OR(COUNTIF($C294:H294,"&gt;0")&gt;0,DATE($B$1,6,1)=DATE(YEAR(TODAY()),MONTH(TODAY()),1))),1,0))</f>
        <v/>
      </c>
      <c r="V294">
        <f>IF($A294="","",IF(AND($B294&gt;0,I294&lt;$B294,DATE($B$1,7,1)&lt;=TODAY(),OR($O294="",$O294&gt;=DATE($B$1,7,1)),OR(COUNTIF($C294:I294,"&gt;0")&gt;0,DATE($B$1,7,1)=DATE(YEAR(TODAY()),MONTH(TODAY()),1))),1,0))</f>
        <v/>
      </c>
      <c r="W294">
        <f>IF($A294="","",IF(AND($B294&gt;0,J294&lt;$B294,DATE($B$1,8,1)&lt;=TODAY(),OR($O294="",$O294&gt;=DATE($B$1,8,1)),OR(COUNTIF($C294:J294,"&gt;0")&gt;0,DATE($B$1,8,1)=DATE(YEAR(TODAY()),MONTH(TODAY()),1))),1,0))</f>
        <v/>
      </c>
      <c r="X294">
        <f>IF($A294="","",IF(AND($B294&gt;0,K294&lt;$B294,DATE($B$1,9,1)&lt;=TODAY(),OR($O294="",$O294&gt;=DATE($B$1,9,1)),OR(COUNTIF($C294:K294,"&gt;0")&gt;0,DATE($B$1,9,1)=DATE(YEAR(TODAY()),MONTH(TODAY()),1))),1,0))</f>
        <v/>
      </c>
      <c r="Y294">
        <f>IF($A294="","",IF(AND($B294&gt;0,L294&lt;$B294,DATE($B$1,10,1)&lt;=TODAY(),OR($O294="",$O294&gt;=DATE($B$1,10,1)),OR(COUNTIF($C294:L294,"&gt;0")&gt;0,DATE($B$1,10,1)=DATE(YEAR(TODAY()),MONTH(TODAY()),1))),1,0))</f>
        <v/>
      </c>
      <c r="Z294">
        <f>IF($A294="","",IF(AND($B294&gt;0,M294&lt;$B294,DATE($B$1,11,1)&lt;=TODAY(),OR($O294="",$O294&gt;=DATE($B$1,11,1)),OR(COUNTIF($C294:M294,"&gt;0")&gt;0,DATE($B$1,11,1)=DATE(YEAR(TODAY()),MONTH(TODAY()),1))),1,0))</f>
        <v/>
      </c>
      <c r="AA294">
        <f>IF($A294="","",IF(AND($B294&gt;0,N294&lt;$B294,DATE($B$1,12,1)&lt;=TODAY(),OR($O294="",$O294&gt;=DATE($B$1,12,1)),OR(COUNTIF($C294:N294,"&gt;0")&gt;0,DATE($B$1,12,1)=DATE(YEAR(TODAY()),MONTH(TODAY()),1))),1,0))</f>
        <v/>
      </c>
    </row>
    <row r="295">
      <c r="A295" s="13">
        <f>IF(원생!$A293="","",원생!$A293&amp;IF(원생!$G293="",""," ("&amp;원생!$G293&amp;")"))</f>
        <v/>
      </c>
      <c r="B295" s="8">
        <f>IF(원생!$A293="","",N(원생!$F293))</f>
        <v/>
      </c>
      <c r="C295" s="14">
        <f>IF(원생!$A293="","",SUMIFS(계산!$C:$C,계산!$A:$A,계산!$E293,계산!$B:$B,$B$1*100+1))</f>
        <v/>
      </c>
      <c r="D295" s="14">
        <f>IF(원생!$A293="","",SUMIFS(계산!$C:$C,계산!$A:$A,계산!$E293,계산!$B:$B,$B$1*100+2))</f>
        <v/>
      </c>
      <c r="E295" s="14">
        <f>IF(원생!$A293="","",SUMIFS(계산!$C:$C,계산!$A:$A,계산!$E293,계산!$B:$B,$B$1*100+3))</f>
        <v/>
      </c>
      <c r="F295" s="14">
        <f>IF(원생!$A293="","",SUMIFS(계산!$C:$C,계산!$A:$A,계산!$E293,계산!$B:$B,$B$1*100+4))</f>
        <v/>
      </c>
      <c r="G295" s="14">
        <f>IF(원생!$A293="","",SUMIFS(계산!$C:$C,계산!$A:$A,계산!$E293,계산!$B:$B,$B$1*100+5))</f>
        <v/>
      </c>
      <c r="H295" s="14">
        <f>IF(원생!$A293="","",SUMIFS(계산!$C:$C,계산!$A:$A,계산!$E293,계산!$B:$B,$B$1*100+6))</f>
        <v/>
      </c>
      <c r="I295" s="14">
        <f>IF(원생!$A293="","",SUMIFS(계산!$C:$C,계산!$A:$A,계산!$E293,계산!$B:$B,$B$1*100+7))</f>
        <v/>
      </c>
      <c r="J295" s="14">
        <f>IF(원생!$A293="","",SUMIFS(계산!$C:$C,계산!$A:$A,계산!$E293,계산!$B:$B,$B$1*100+8))</f>
        <v/>
      </c>
      <c r="K295" s="14">
        <f>IF(원생!$A293="","",SUMIFS(계산!$C:$C,계산!$A:$A,계산!$E293,계산!$B:$B,$B$1*100+9))</f>
        <v/>
      </c>
      <c r="L295" s="14">
        <f>IF(원생!$A293="","",SUMIFS(계산!$C:$C,계산!$A:$A,계산!$E293,계산!$B:$B,$B$1*100+10))</f>
        <v/>
      </c>
      <c r="M295" s="14">
        <f>IF(원생!$A293="","",SUMIFS(계산!$C:$C,계산!$A:$A,계산!$E293,계산!$B:$B,$B$1*100+11))</f>
        <v/>
      </c>
      <c r="N295" s="14">
        <f>IF(원생!$A293="","",SUMIFS(계산!$C:$C,계산!$A:$A,계산!$E293,계산!$B:$B,$B$1*100+12))</f>
        <v/>
      </c>
      <c r="O295">
        <f>IF(원생!$I293="","",원생!$I293)</f>
        <v/>
      </c>
      <c r="P295">
        <f>IF($A295="","",IF(AND($B295&gt;0,C295&lt;$B295,DATE($B$1,1,1)&lt;=TODAY(),OR($O295="",$O295&gt;=DATE($B$1,1,1)),OR(COUNTIF($C295:C295,"&gt;0")&gt;0,DATE($B$1,1,1)=DATE(YEAR(TODAY()),MONTH(TODAY()),1))),1,0))</f>
        <v/>
      </c>
      <c r="Q295">
        <f>IF($A295="","",IF(AND($B295&gt;0,D295&lt;$B295,DATE($B$1,2,1)&lt;=TODAY(),OR($O295="",$O295&gt;=DATE($B$1,2,1)),OR(COUNTIF($C295:D295,"&gt;0")&gt;0,DATE($B$1,2,1)=DATE(YEAR(TODAY()),MONTH(TODAY()),1))),1,0))</f>
        <v/>
      </c>
      <c r="R295">
        <f>IF($A295="","",IF(AND($B295&gt;0,E295&lt;$B295,DATE($B$1,3,1)&lt;=TODAY(),OR($O295="",$O295&gt;=DATE($B$1,3,1)),OR(COUNTIF($C295:E295,"&gt;0")&gt;0,DATE($B$1,3,1)=DATE(YEAR(TODAY()),MONTH(TODAY()),1))),1,0))</f>
        <v/>
      </c>
      <c r="S295">
        <f>IF($A295="","",IF(AND($B295&gt;0,F295&lt;$B295,DATE($B$1,4,1)&lt;=TODAY(),OR($O295="",$O295&gt;=DATE($B$1,4,1)),OR(COUNTIF($C295:F295,"&gt;0")&gt;0,DATE($B$1,4,1)=DATE(YEAR(TODAY()),MONTH(TODAY()),1))),1,0))</f>
        <v/>
      </c>
      <c r="T295">
        <f>IF($A295="","",IF(AND($B295&gt;0,G295&lt;$B295,DATE($B$1,5,1)&lt;=TODAY(),OR($O295="",$O295&gt;=DATE($B$1,5,1)),OR(COUNTIF($C295:G295,"&gt;0")&gt;0,DATE($B$1,5,1)=DATE(YEAR(TODAY()),MONTH(TODAY()),1))),1,0))</f>
        <v/>
      </c>
      <c r="U295">
        <f>IF($A295="","",IF(AND($B295&gt;0,H295&lt;$B295,DATE($B$1,6,1)&lt;=TODAY(),OR($O295="",$O295&gt;=DATE($B$1,6,1)),OR(COUNTIF($C295:H295,"&gt;0")&gt;0,DATE($B$1,6,1)=DATE(YEAR(TODAY()),MONTH(TODAY()),1))),1,0))</f>
        <v/>
      </c>
      <c r="V295">
        <f>IF($A295="","",IF(AND($B295&gt;0,I295&lt;$B295,DATE($B$1,7,1)&lt;=TODAY(),OR($O295="",$O295&gt;=DATE($B$1,7,1)),OR(COUNTIF($C295:I295,"&gt;0")&gt;0,DATE($B$1,7,1)=DATE(YEAR(TODAY()),MONTH(TODAY()),1))),1,0))</f>
        <v/>
      </c>
      <c r="W295">
        <f>IF($A295="","",IF(AND($B295&gt;0,J295&lt;$B295,DATE($B$1,8,1)&lt;=TODAY(),OR($O295="",$O295&gt;=DATE($B$1,8,1)),OR(COUNTIF($C295:J295,"&gt;0")&gt;0,DATE($B$1,8,1)=DATE(YEAR(TODAY()),MONTH(TODAY()),1))),1,0))</f>
        <v/>
      </c>
      <c r="X295">
        <f>IF($A295="","",IF(AND($B295&gt;0,K295&lt;$B295,DATE($B$1,9,1)&lt;=TODAY(),OR($O295="",$O295&gt;=DATE($B$1,9,1)),OR(COUNTIF($C295:K295,"&gt;0")&gt;0,DATE($B$1,9,1)=DATE(YEAR(TODAY()),MONTH(TODAY()),1))),1,0))</f>
        <v/>
      </c>
      <c r="Y295">
        <f>IF($A295="","",IF(AND($B295&gt;0,L295&lt;$B295,DATE($B$1,10,1)&lt;=TODAY(),OR($O295="",$O295&gt;=DATE($B$1,10,1)),OR(COUNTIF($C295:L295,"&gt;0")&gt;0,DATE($B$1,10,1)=DATE(YEAR(TODAY()),MONTH(TODAY()),1))),1,0))</f>
        <v/>
      </c>
      <c r="Z295">
        <f>IF($A295="","",IF(AND($B295&gt;0,M295&lt;$B295,DATE($B$1,11,1)&lt;=TODAY(),OR($O295="",$O295&gt;=DATE($B$1,11,1)),OR(COUNTIF($C295:M295,"&gt;0")&gt;0,DATE($B$1,11,1)=DATE(YEAR(TODAY()),MONTH(TODAY()),1))),1,0))</f>
        <v/>
      </c>
      <c r="AA295">
        <f>IF($A295="","",IF(AND($B295&gt;0,N295&lt;$B295,DATE($B$1,12,1)&lt;=TODAY(),OR($O295="",$O295&gt;=DATE($B$1,12,1)),OR(COUNTIF($C295:N295,"&gt;0")&gt;0,DATE($B$1,12,1)=DATE(YEAR(TODAY()),MONTH(TODAY()),1))),1,0))</f>
        <v/>
      </c>
    </row>
    <row r="296">
      <c r="A296" s="13">
        <f>IF(원생!$A294="","",원생!$A294&amp;IF(원생!$G294="",""," ("&amp;원생!$G294&amp;")"))</f>
        <v/>
      </c>
      <c r="B296" s="8">
        <f>IF(원생!$A294="","",N(원생!$F294))</f>
        <v/>
      </c>
      <c r="C296" s="14">
        <f>IF(원생!$A294="","",SUMIFS(계산!$C:$C,계산!$A:$A,계산!$E294,계산!$B:$B,$B$1*100+1))</f>
        <v/>
      </c>
      <c r="D296" s="14">
        <f>IF(원생!$A294="","",SUMIFS(계산!$C:$C,계산!$A:$A,계산!$E294,계산!$B:$B,$B$1*100+2))</f>
        <v/>
      </c>
      <c r="E296" s="14">
        <f>IF(원생!$A294="","",SUMIFS(계산!$C:$C,계산!$A:$A,계산!$E294,계산!$B:$B,$B$1*100+3))</f>
        <v/>
      </c>
      <c r="F296" s="14">
        <f>IF(원생!$A294="","",SUMIFS(계산!$C:$C,계산!$A:$A,계산!$E294,계산!$B:$B,$B$1*100+4))</f>
        <v/>
      </c>
      <c r="G296" s="14">
        <f>IF(원생!$A294="","",SUMIFS(계산!$C:$C,계산!$A:$A,계산!$E294,계산!$B:$B,$B$1*100+5))</f>
        <v/>
      </c>
      <c r="H296" s="14">
        <f>IF(원생!$A294="","",SUMIFS(계산!$C:$C,계산!$A:$A,계산!$E294,계산!$B:$B,$B$1*100+6))</f>
        <v/>
      </c>
      <c r="I296" s="14">
        <f>IF(원생!$A294="","",SUMIFS(계산!$C:$C,계산!$A:$A,계산!$E294,계산!$B:$B,$B$1*100+7))</f>
        <v/>
      </c>
      <c r="J296" s="14">
        <f>IF(원생!$A294="","",SUMIFS(계산!$C:$C,계산!$A:$A,계산!$E294,계산!$B:$B,$B$1*100+8))</f>
        <v/>
      </c>
      <c r="K296" s="14">
        <f>IF(원생!$A294="","",SUMIFS(계산!$C:$C,계산!$A:$A,계산!$E294,계산!$B:$B,$B$1*100+9))</f>
        <v/>
      </c>
      <c r="L296" s="14">
        <f>IF(원생!$A294="","",SUMIFS(계산!$C:$C,계산!$A:$A,계산!$E294,계산!$B:$B,$B$1*100+10))</f>
        <v/>
      </c>
      <c r="M296" s="14">
        <f>IF(원생!$A294="","",SUMIFS(계산!$C:$C,계산!$A:$A,계산!$E294,계산!$B:$B,$B$1*100+11))</f>
        <v/>
      </c>
      <c r="N296" s="14">
        <f>IF(원생!$A294="","",SUMIFS(계산!$C:$C,계산!$A:$A,계산!$E294,계산!$B:$B,$B$1*100+12))</f>
        <v/>
      </c>
      <c r="O296">
        <f>IF(원생!$I294="","",원생!$I294)</f>
        <v/>
      </c>
      <c r="P296">
        <f>IF($A296="","",IF(AND($B296&gt;0,C296&lt;$B296,DATE($B$1,1,1)&lt;=TODAY(),OR($O296="",$O296&gt;=DATE($B$1,1,1)),OR(COUNTIF($C296:C296,"&gt;0")&gt;0,DATE($B$1,1,1)=DATE(YEAR(TODAY()),MONTH(TODAY()),1))),1,0))</f>
        <v/>
      </c>
      <c r="Q296">
        <f>IF($A296="","",IF(AND($B296&gt;0,D296&lt;$B296,DATE($B$1,2,1)&lt;=TODAY(),OR($O296="",$O296&gt;=DATE($B$1,2,1)),OR(COUNTIF($C296:D296,"&gt;0")&gt;0,DATE($B$1,2,1)=DATE(YEAR(TODAY()),MONTH(TODAY()),1))),1,0))</f>
        <v/>
      </c>
      <c r="R296">
        <f>IF($A296="","",IF(AND($B296&gt;0,E296&lt;$B296,DATE($B$1,3,1)&lt;=TODAY(),OR($O296="",$O296&gt;=DATE($B$1,3,1)),OR(COUNTIF($C296:E296,"&gt;0")&gt;0,DATE($B$1,3,1)=DATE(YEAR(TODAY()),MONTH(TODAY()),1))),1,0))</f>
        <v/>
      </c>
      <c r="S296">
        <f>IF($A296="","",IF(AND($B296&gt;0,F296&lt;$B296,DATE($B$1,4,1)&lt;=TODAY(),OR($O296="",$O296&gt;=DATE($B$1,4,1)),OR(COUNTIF($C296:F296,"&gt;0")&gt;0,DATE($B$1,4,1)=DATE(YEAR(TODAY()),MONTH(TODAY()),1))),1,0))</f>
        <v/>
      </c>
      <c r="T296">
        <f>IF($A296="","",IF(AND($B296&gt;0,G296&lt;$B296,DATE($B$1,5,1)&lt;=TODAY(),OR($O296="",$O296&gt;=DATE($B$1,5,1)),OR(COUNTIF($C296:G296,"&gt;0")&gt;0,DATE($B$1,5,1)=DATE(YEAR(TODAY()),MONTH(TODAY()),1))),1,0))</f>
        <v/>
      </c>
      <c r="U296">
        <f>IF($A296="","",IF(AND($B296&gt;0,H296&lt;$B296,DATE($B$1,6,1)&lt;=TODAY(),OR($O296="",$O296&gt;=DATE($B$1,6,1)),OR(COUNTIF($C296:H296,"&gt;0")&gt;0,DATE($B$1,6,1)=DATE(YEAR(TODAY()),MONTH(TODAY()),1))),1,0))</f>
        <v/>
      </c>
      <c r="V296">
        <f>IF($A296="","",IF(AND($B296&gt;0,I296&lt;$B296,DATE($B$1,7,1)&lt;=TODAY(),OR($O296="",$O296&gt;=DATE($B$1,7,1)),OR(COUNTIF($C296:I296,"&gt;0")&gt;0,DATE($B$1,7,1)=DATE(YEAR(TODAY()),MONTH(TODAY()),1))),1,0))</f>
        <v/>
      </c>
      <c r="W296">
        <f>IF($A296="","",IF(AND($B296&gt;0,J296&lt;$B296,DATE($B$1,8,1)&lt;=TODAY(),OR($O296="",$O296&gt;=DATE($B$1,8,1)),OR(COUNTIF($C296:J296,"&gt;0")&gt;0,DATE($B$1,8,1)=DATE(YEAR(TODAY()),MONTH(TODAY()),1))),1,0))</f>
        <v/>
      </c>
      <c r="X296">
        <f>IF($A296="","",IF(AND($B296&gt;0,K296&lt;$B296,DATE($B$1,9,1)&lt;=TODAY(),OR($O296="",$O296&gt;=DATE($B$1,9,1)),OR(COUNTIF($C296:K296,"&gt;0")&gt;0,DATE($B$1,9,1)=DATE(YEAR(TODAY()),MONTH(TODAY()),1))),1,0))</f>
        <v/>
      </c>
      <c r="Y296">
        <f>IF($A296="","",IF(AND($B296&gt;0,L296&lt;$B296,DATE($B$1,10,1)&lt;=TODAY(),OR($O296="",$O296&gt;=DATE($B$1,10,1)),OR(COUNTIF($C296:L296,"&gt;0")&gt;0,DATE($B$1,10,1)=DATE(YEAR(TODAY()),MONTH(TODAY()),1))),1,0))</f>
        <v/>
      </c>
      <c r="Z296">
        <f>IF($A296="","",IF(AND($B296&gt;0,M296&lt;$B296,DATE($B$1,11,1)&lt;=TODAY(),OR($O296="",$O296&gt;=DATE($B$1,11,1)),OR(COUNTIF($C296:M296,"&gt;0")&gt;0,DATE($B$1,11,1)=DATE(YEAR(TODAY()),MONTH(TODAY()),1))),1,0))</f>
        <v/>
      </c>
      <c r="AA296">
        <f>IF($A296="","",IF(AND($B296&gt;0,N296&lt;$B296,DATE($B$1,12,1)&lt;=TODAY(),OR($O296="",$O296&gt;=DATE($B$1,12,1)),OR(COUNTIF($C296:N296,"&gt;0")&gt;0,DATE($B$1,12,1)=DATE(YEAR(TODAY()),MONTH(TODAY()),1))),1,0))</f>
        <v/>
      </c>
    </row>
    <row r="297">
      <c r="A297" s="13">
        <f>IF(원생!$A295="","",원생!$A295&amp;IF(원생!$G295="",""," ("&amp;원생!$G295&amp;")"))</f>
        <v/>
      </c>
      <c r="B297" s="8">
        <f>IF(원생!$A295="","",N(원생!$F295))</f>
        <v/>
      </c>
      <c r="C297" s="14">
        <f>IF(원생!$A295="","",SUMIFS(계산!$C:$C,계산!$A:$A,계산!$E295,계산!$B:$B,$B$1*100+1))</f>
        <v/>
      </c>
      <c r="D297" s="14">
        <f>IF(원생!$A295="","",SUMIFS(계산!$C:$C,계산!$A:$A,계산!$E295,계산!$B:$B,$B$1*100+2))</f>
        <v/>
      </c>
      <c r="E297" s="14">
        <f>IF(원생!$A295="","",SUMIFS(계산!$C:$C,계산!$A:$A,계산!$E295,계산!$B:$B,$B$1*100+3))</f>
        <v/>
      </c>
      <c r="F297" s="14">
        <f>IF(원생!$A295="","",SUMIFS(계산!$C:$C,계산!$A:$A,계산!$E295,계산!$B:$B,$B$1*100+4))</f>
        <v/>
      </c>
      <c r="G297" s="14">
        <f>IF(원생!$A295="","",SUMIFS(계산!$C:$C,계산!$A:$A,계산!$E295,계산!$B:$B,$B$1*100+5))</f>
        <v/>
      </c>
      <c r="H297" s="14">
        <f>IF(원생!$A295="","",SUMIFS(계산!$C:$C,계산!$A:$A,계산!$E295,계산!$B:$B,$B$1*100+6))</f>
        <v/>
      </c>
      <c r="I297" s="14">
        <f>IF(원생!$A295="","",SUMIFS(계산!$C:$C,계산!$A:$A,계산!$E295,계산!$B:$B,$B$1*100+7))</f>
        <v/>
      </c>
      <c r="J297" s="14">
        <f>IF(원생!$A295="","",SUMIFS(계산!$C:$C,계산!$A:$A,계산!$E295,계산!$B:$B,$B$1*100+8))</f>
        <v/>
      </c>
      <c r="K297" s="14">
        <f>IF(원생!$A295="","",SUMIFS(계산!$C:$C,계산!$A:$A,계산!$E295,계산!$B:$B,$B$1*100+9))</f>
        <v/>
      </c>
      <c r="L297" s="14">
        <f>IF(원생!$A295="","",SUMIFS(계산!$C:$C,계산!$A:$A,계산!$E295,계산!$B:$B,$B$1*100+10))</f>
        <v/>
      </c>
      <c r="M297" s="14">
        <f>IF(원생!$A295="","",SUMIFS(계산!$C:$C,계산!$A:$A,계산!$E295,계산!$B:$B,$B$1*100+11))</f>
        <v/>
      </c>
      <c r="N297" s="14">
        <f>IF(원생!$A295="","",SUMIFS(계산!$C:$C,계산!$A:$A,계산!$E295,계산!$B:$B,$B$1*100+12))</f>
        <v/>
      </c>
      <c r="O297">
        <f>IF(원생!$I295="","",원생!$I295)</f>
        <v/>
      </c>
      <c r="P297">
        <f>IF($A297="","",IF(AND($B297&gt;0,C297&lt;$B297,DATE($B$1,1,1)&lt;=TODAY(),OR($O297="",$O297&gt;=DATE($B$1,1,1)),OR(COUNTIF($C297:C297,"&gt;0")&gt;0,DATE($B$1,1,1)=DATE(YEAR(TODAY()),MONTH(TODAY()),1))),1,0))</f>
        <v/>
      </c>
      <c r="Q297">
        <f>IF($A297="","",IF(AND($B297&gt;0,D297&lt;$B297,DATE($B$1,2,1)&lt;=TODAY(),OR($O297="",$O297&gt;=DATE($B$1,2,1)),OR(COUNTIF($C297:D297,"&gt;0")&gt;0,DATE($B$1,2,1)=DATE(YEAR(TODAY()),MONTH(TODAY()),1))),1,0))</f>
        <v/>
      </c>
      <c r="R297">
        <f>IF($A297="","",IF(AND($B297&gt;0,E297&lt;$B297,DATE($B$1,3,1)&lt;=TODAY(),OR($O297="",$O297&gt;=DATE($B$1,3,1)),OR(COUNTIF($C297:E297,"&gt;0")&gt;0,DATE($B$1,3,1)=DATE(YEAR(TODAY()),MONTH(TODAY()),1))),1,0))</f>
        <v/>
      </c>
      <c r="S297">
        <f>IF($A297="","",IF(AND($B297&gt;0,F297&lt;$B297,DATE($B$1,4,1)&lt;=TODAY(),OR($O297="",$O297&gt;=DATE($B$1,4,1)),OR(COUNTIF($C297:F297,"&gt;0")&gt;0,DATE($B$1,4,1)=DATE(YEAR(TODAY()),MONTH(TODAY()),1))),1,0))</f>
        <v/>
      </c>
      <c r="T297">
        <f>IF($A297="","",IF(AND($B297&gt;0,G297&lt;$B297,DATE($B$1,5,1)&lt;=TODAY(),OR($O297="",$O297&gt;=DATE($B$1,5,1)),OR(COUNTIF($C297:G297,"&gt;0")&gt;0,DATE($B$1,5,1)=DATE(YEAR(TODAY()),MONTH(TODAY()),1))),1,0))</f>
        <v/>
      </c>
      <c r="U297">
        <f>IF($A297="","",IF(AND($B297&gt;0,H297&lt;$B297,DATE($B$1,6,1)&lt;=TODAY(),OR($O297="",$O297&gt;=DATE($B$1,6,1)),OR(COUNTIF($C297:H297,"&gt;0")&gt;0,DATE($B$1,6,1)=DATE(YEAR(TODAY()),MONTH(TODAY()),1))),1,0))</f>
        <v/>
      </c>
      <c r="V297">
        <f>IF($A297="","",IF(AND($B297&gt;0,I297&lt;$B297,DATE($B$1,7,1)&lt;=TODAY(),OR($O297="",$O297&gt;=DATE($B$1,7,1)),OR(COUNTIF($C297:I297,"&gt;0")&gt;0,DATE($B$1,7,1)=DATE(YEAR(TODAY()),MONTH(TODAY()),1))),1,0))</f>
        <v/>
      </c>
      <c r="W297">
        <f>IF($A297="","",IF(AND($B297&gt;0,J297&lt;$B297,DATE($B$1,8,1)&lt;=TODAY(),OR($O297="",$O297&gt;=DATE($B$1,8,1)),OR(COUNTIF($C297:J297,"&gt;0")&gt;0,DATE($B$1,8,1)=DATE(YEAR(TODAY()),MONTH(TODAY()),1))),1,0))</f>
        <v/>
      </c>
      <c r="X297">
        <f>IF($A297="","",IF(AND($B297&gt;0,K297&lt;$B297,DATE($B$1,9,1)&lt;=TODAY(),OR($O297="",$O297&gt;=DATE($B$1,9,1)),OR(COUNTIF($C297:K297,"&gt;0")&gt;0,DATE($B$1,9,1)=DATE(YEAR(TODAY()),MONTH(TODAY()),1))),1,0))</f>
        <v/>
      </c>
      <c r="Y297">
        <f>IF($A297="","",IF(AND($B297&gt;0,L297&lt;$B297,DATE($B$1,10,1)&lt;=TODAY(),OR($O297="",$O297&gt;=DATE($B$1,10,1)),OR(COUNTIF($C297:L297,"&gt;0")&gt;0,DATE($B$1,10,1)=DATE(YEAR(TODAY()),MONTH(TODAY()),1))),1,0))</f>
        <v/>
      </c>
      <c r="Z297">
        <f>IF($A297="","",IF(AND($B297&gt;0,M297&lt;$B297,DATE($B$1,11,1)&lt;=TODAY(),OR($O297="",$O297&gt;=DATE($B$1,11,1)),OR(COUNTIF($C297:M297,"&gt;0")&gt;0,DATE($B$1,11,1)=DATE(YEAR(TODAY()),MONTH(TODAY()),1))),1,0))</f>
        <v/>
      </c>
      <c r="AA297">
        <f>IF($A297="","",IF(AND($B297&gt;0,N297&lt;$B297,DATE($B$1,12,1)&lt;=TODAY(),OR($O297="",$O297&gt;=DATE($B$1,12,1)),OR(COUNTIF($C297:N297,"&gt;0")&gt;0,DATE($B$1,12,1)=DATE(YEAR(TODAY()),MONTH(TODAY()),1))),1,0))</f>
        <v/>
      </c>
    </row>
    <row r="298">
      <c r="A298" s="13">
        <f>IF(원생!$A296="","",원생!$A296&amp;IF(원생!$G296="",""," ("&amp;원생!$G296&amp;")"))</f>
        <v/>
      </c>
      <c r="B298" s="8">
        <f>IF(원생!$A296="","",N(원생!$F296))</f>
        <v/>
      </c>
      <c r="C298" s="14">
        <f>IF(원생!$A296="","",SUMIFS(계산!$C:$C,계산!$A:$A,계산!$E296,계산!$B:$B,$B$1*100+1))</f>
        <v/>
      </c>
      <c r="D298" s="14">
        <f>IF(원생!$A296="","",SUMIFS(계산!$C:$C,계산!$A:$A,계산!$E296,계산!$B:$B,$B$1*100+2))</f>
        <v/>
      </c>
      <c r="E298" s="14">
        <f>IF(원생!$A296="","",SUMIFS(계산!$C:$C,계산!$A:$A,계산!$E296,계산!$B:$B,$B$1*100+3))</f>
        <v/>
      </c>
      <c r="F298" s="14">
        <f>IF(원생!$A296="","",SUMIFS(계산!$C:$C,계산!$A:$A,계산!$E296,계산!$B:$B,$B$1*100+4))</f>
        <v/>
      </c>
      <c r="G298" s="14">
        <f>IF(원생!$A296="","",SUMIFS(계산!$C:$C,계산!$A:$A,계산!$E296,계산!$B:$B,$B$1*100+5))</f>
        <v/>
      </c>
      <c r="H298" s="14">
        <f>IF(원생!$A296="","",SUMIFS(계산!$C:$C,계산!$A:$A,계산!$E296,계산!$B:$B,$B$1*100+6))</f>
        <v/>
      </c>
      <c r="I298" s="14">
        <f>IF(원생!$A296="","",SUMIFS(계산!$C:$C,계산!$A:$A,계산!$E296,계산!$B:$B,$B$1*100+7))</f>
        <v/>
      </c>
      <c r="J298" s="14">
        <f>IF(원생!$A296="","",SUMIFS(계산!$C:$C,계산!$A:$A,계산!$E296,계산!$B:$B,$B$1*100+8))</f>
        <v/>
      </c>
      <c r="K298" s="14">
        <f>IF(원생!$A296="","",SUMIFS(계산!$C:$C,계산!$A:$A,계산!$E296,계산!$B:$B,$B$1*100+9))</f>
        <v/>
      </c>
      <c r="L298" s="14">
        <f>IF(원생!$A296="","",SUMIFS(계산!$C:$C,계산!$A:$A,계산!$E296,계산!$B:$B,$B$1*100+10))</f>
        <v/>
      </c>
      <c r="M298" s="14">
        <f>IF(원생!$A296="","",SUMIFS(계산!$C:$C,계산!$A:$A,계산!$E296,계산!$B:$B,$B$1*100+11))</f>
        <v/>
      </c>
      <c r="N298" s="14">
        <f>IF(원생!$A296="","",SUMIFS(계산!$C:$C,계산!$A:$A,계산!$E296,계산!$B:$B,$B$1*100+12))</f>
        <v/>
      </c>
      <c r="O298">
        <f>IF(원생!$I296="","",원생!$I296)</f>
        <v/>
      </c>
      <c r="P298">
        <f>IF($A298="","",IF(AND($B298&gt;0,C298&lt;$B298,DATE($B$1,1,1)&lt;=TODAY(),OR($O298="",$O298&gt;=DATE($B$1,1,1)),OR(COUNTIF($C298:C298,"&gt;0")&gt;0,DATE($B$1,1,1)=DATE(YEAR(TODAY()),MONTH(TODAY()),1))),1,0))</f>
        <v/>
      </c>
      <c r="Q298">
        <f>IF($A298="","",IF(AND($B298&gt;0,D298&lt;$B298,DATE($B$1,2,1)&lt;=TODAY(),OR($O298="",$O298&gt;=DATE($B$1,2,1)),OR(COUNTIF($C298:D298,"&gt;0")&gt;0,DATE($B$1,2,1)=DATE(YEAR(TODAY()),MONTH(TODAY()),1))),1,0))</f>
        <v/>
      </c>
      <c r="R298">
        <f>IF($A298="","",IF(AND($B298&gt;0,E298&lt;$B298,DATE($B$1,3,1)&lt;=TODAY(),OR($O298="",$O298&gt;=DATE($B$1,3,1)),OR(COUNTIF($C298:E298,"&gt;0")&gt;0,DATE($B$1,3,1)=DATE(YEAR(TODAY()),MONTH(TODAY()),1))),1,0))</f>
        <v/>
      </c>
      <c r="S298">
        <f>IF($A298="","",IF(AND($B298&gt;0,F298&lt;$B298,DATE($B$1,4,1)&lt;=TODAY(),OR($O298="",$O298&gt;=DATE($B$1,4,1)),OR(COUNTIF($C298:F298,"&gt;0")&gt;0,DATE($B$1,4,1)=DATE(YEAR(TODAY()),MONTH(TODAY()),1))),1,0))</f>
        <v/>
      </c>
      <c r="T298">
        <f>IF($A298="","",IF(AND($B298&gt;0,G298&lt;$B298,DATE($B$1,5,1)&lt;=TODAY(),OR($O298="",$O298&gt;=DATE($B$1,5,1)),OR(COUNTIF($C298:G298,"&gt;0")&gt;0,DATE($B$1,5,1)=DATE(YEAR(TODAY()),MONTH(TODAY()),1))),1,0))</f>
        <v/>
      </c>
      <c r="U298">
        <f>IF($A298="","",IF(AND($B298&gt;0,H298&lt;$B298,DATE($B$1,6,1)&lt;=TODAY(),OR($O298="",$O298&gt;=DATE($B$1,6,1)),OR(COUNTIF($C298:H298,"&gt;0")&gt;0,DATE($B$1,6,1)=DATE(YEAR(TODAY()),MONTH(TODAY()),1))),1,0))</f>
        <v/>
      </c>
      <c r="V298">
        <f>IF($A298="","",IF(AND($B298&gt;0,I298&lt;$B298,DATE($B$1,7,1)&lt;=TODAY(),OR($O298="",$O298&gt;=DATE($B$1,7,1)),OR(COUNTIF($C298:I298,"&gt;0")&gt;0,DATE($B$1,7,1)=DATE(YEAR(TODAY()),MONTH(TODAY()),1))),1,0))</f>
        <v/>
      </c>
      <c r="W298">
        <f>IF($A298="","",IF(AND($B298&gt;0,J298&lt;$B298,DATE($B$1,8,1)&lt;=TODAY(),OR($O298="",$O298&gt;=DATE($B$1,8,1)),OR(COUNTIF($C298:J298,"&gt;0")&gt;0,DATE($B$1,8,1)=DATE(YEAR(TODAY()),MONTH(TODAY()),1))),1,0))</f>
        <v/>
      </c>
      <c r="X298">
        <f>IF($A298="","",IF(AND($B298&gt;0,K298&lt;$B298,DATE($B$1,9,1)&lt;=TODAY(),OR($O298="",$O298&gt;=DATE($B$1,9,1)),OR(COUNTIF($C298:K298,"&gt;0")&gt;0,DATE($B$1,9,1)=DATE(YEAR(TODAY()),MONTH(TODAY()),1))),1,0))</f>
        <v/>
      </c>
      <c r="Y298">
        <f>IF($A298="","",IF(AND($B298&gt;0,L298&lt;$B298,DATE($B$1,10,1)&lt;=TODAY(),OR($O298="",$O298&gt;=DATE($B$1,10,1)),OR(COUNTIF($C298:L298,"&gt;0")&gt;0,DATE($B$1,10,1)=DATE(YEAR(TODAY()),MONTH(TODAY()),1))),1,0))</f>
        <v/>
      </c>
      <c r="Z298">
        <f>IF($A298="","",IF(AND($B298&gt;0,M298&lt;$B298,DATE($B$1,11,1)&lt;=TODAY(),OR($O298="",$O298&gt;=DATE($B$1,11,1)),OR(COUNTIF($C298:M298,"&gt;0")&gt;0,DATE($B$1,11,1)=DATE(YEAR(TODAY()),MONTH(TODAY()),1))),1,0))</f>
        <v/>
      </c>
      <c r="AA298">
        <f>IF($A298="","",IF(AND($B298&gt;0,N298&lt;$B298,DATE($B$1,12,1)&lt;=TODAY(),OR($O298="",$O298&gt;=DATE($B$1,12,1)),OR(COUNTIF($C298:N298,"&gt;0")&gt;0,DATE($B$1,12,1)=DATE(YEAR(TODAY()),MONTH(TODAY()),1))),1,0))</f>
        <v/>
      </c>
    </row>
    <row r="299">
      <c r="A299" s="13">
        <f>IF(원생!$A297="","",원생!$A297&amp;IF(원생!$G297="",""," ("&amp;원생!$G297&amp;")"))</f>
        <v/>
      </c>
      <c r="B299" s="8">
        <f>IF(원생!$A297="","",N(원생!$F297))</f>
        <v/>
      </c>
      <c r="C299" s="14">
        <f>IF(원생!$A297="","",SUMIFS(계산!$C:$C,계산!$A:$A,계산!$E297,계산!$B:$B,$B$1*100+1))</f>
        <v/>
      </c>
      <c r="D299" s="14">
        <f>IF(원생!$A297="","",SUMIFS(계산!$C:$C,계산!$A:$A,계산!$E297,계산!$B:$B,$B$1*100+2))</f>
        <v/>
      </c>
      <c r="E299" s="14">
        <f>IF(원생!$A297="","",SUMIFS(계산!$C:$C,계산!$A:$A,계산!$E297,계산!$B:$B,$B$1*100+3))</f>
        <v/>
      </c>
      <c r="F299" s="14">
        <f>IF(원생!$A297="","",SUMIFS(계산!$C:$C,계산!$A:$A,계산!$E297,계산!$B:$B,$B$1*100+4))</f>
        <v/>
      </c>
      <c r="G299" s="14">
        <f>IF(원생!$A297="","",SUMIFS(계산!$C:$C,계산!$A:$A,계산!$E297,계산!$B:$B,$B$1*100+5))</f>
        <v/>
      </c>
      <c r="H299" s="14">
        <f>IF(원생!$A297="","",SUMIFS(계산!$C:$C,계산!$A:$A,계산!$E297,계산!$B:$B,$B$1*100+6))</f>
        <v/>
      </c>
      <c r="I299" s="14">
        <f>IF(원생!$A297="","",SUMIFS(계산!$C:$C,계산!$A:$A,계산!$E297,계산!$B:$B,$B$1*100+7))</f>
        <v/>
      </c>
      <c r="J299" s="14">
        <f>IF(원생!$A297="","",SUMIFS(계산!$C:$C,계산!$A:$A,계산!$E297,계산!$B:$B,$B$1*100+8))</f>
        <v/>
      </c>
      <c r="K299" s="14">
        <f>IF(원생!$A297="","",SUMIFS(계산!$C:$C,계산!$A:$A,계산!$E297,계산!$B:$B,$B$1*100+9))</f>
        <v/>
      </c>
      <c r="L299" s="14">
        <f>IF(원생!$A297="","",SUMIFS(계산!$C:$C,계산!$A:$A,계산!$E297,계산!$B:$B,$B$1*100+10))</f>
        <v/>
      </c>
      <c r="M299" s="14">
        <f>IF(원생!$A297="","",SUMIFS(계산!$C:$C,계산!$A:$A,계산!$E297,계산!$B:$B,$B$1*100+11))</f>
        <v/>
      </c>
      <c r="N299" s="14">
        <f>IF(원생!$A297="","",SUMIFS(계산!$C:$C,계산!$A:$A,계산!$E297,계산!$B:$B,$B$1*100+12))</f>
        <v/>
      </c>
      <c r="O299">
        <f>IF(원생!$I297="","",원생!$I297)</f>
        <v/>
      </c>
      <c r="P299">
        <f>IF($A299="","",IF(AND($B299&gt;0,C299&lt;$B299,DATE($B$1,1,1)&lt;=TODAY(),OR($O299="",$O299&gt;=DATE($B$1,1,1)),OR(COUNTIF($C299:C299,"&gt;0")&gt;0,DATE($B$1,1,1)=DATE(YEAR(TODAY()),MONTH(TODAY()),1))),1,0))</f>
        <v/>
      </c>
      <c r="Q299">
        <f>IF($A299="","",IF(AND($B299&gt;0,D299&lt;$B299,DATE($B$1,2,1)&lt;=TODAY(),OR($O299="",$O299&gt;=DATE($B$1,2,1)),OR(COUNTIF($C299:D299,"&gt;0")&gt;0,DATE($B$1,2,1)=DATE(YEAR(TODAY()),MONTH(TODAY()),1))),1,0))</f>
        <v/>
      </c>
      <c r="R299">
        <f>IF($A299="","",IF(AND($B299&gt;0,E299&lt;$B299,DATE($B$1,3,1)&lt;=TODAY(),OR($O299="",$O299&gt;=DATE($B$1,3,1)),OR(COUNTIF($C299:E299,"&gt;0")&gt;0,DATE($B$1,3,1)=DATE(YEAR(TODAY()),MONTH(TODAY()),1))),1,0))</f>
        <v/>
      </c>
      <c r="S299">
        <f>IF($A299="","",IF(AND($B299&gt;0,F299&lt;$B299,DATE($B$1,4,1)&lt;=TODAY(),OR($O299="",$O299&gt;=DATE($B$1,4,1)),OR(COUNTIF($C299:F299,"&gt;0")&gt;0,DATE($B$1,4,1)=DATE(YEAR(TODAY()),MONTH(TODAY()),1))),1,0))</f>
        <v/>
      </c>
      <c r="T299">
        <f>IF($A299="","",IF(AND($B299&gt;0,G299&lt;$B299,DATE($B$1,5,1)&lt;=TODAY(),OR($O299="",$O299&gt;=DATE($B$1,5,1)),OR(COUNTIF($C299:G299,"&gt;0")&gt;0,DATE($B$1,5,1)=DATE(YEAR(TODAY()),MONTH(TODAY()),1))),1,0))</f>
        <v/>
      </c>
      <c r="U299">
        <f>IF($A299="","",IF(AND($B299&gt;0,H299&lt;$B299,DATE($B$1,6,1)&lt;=TODAY(),OR($O299="",$O299&gt;=DATE($B$1,6,1)),OR(COUNTIF($C299:H299,"&gt;0")&gt;0,DATE($B$1,6,1)=DATE(YEAR(TODAY()),MONTH(TODAY()),1))),1,0))</f>
        <v/>
      </c>
      <c r="V299">
        <f>IF($A299="","",IF(AND($B299&gt;0,I299&lt;$B299,DATE($B$1,7,1)&lt;=TODAY(),OR($O299="",$O299&gt;=DATE($B$1,7,1)),OR(COUNTIF($C299:I299,"&gt;0")&gt;0,DATE($B$1,7,1)=DATE(YEAR(TODAY()),MONTH(TODAY()),1))),1,0))</f>
        <v/>
      </c>
      <c r="W299">
        <f>IF($A299="","",IF(AND($B299&gt;0,J299&lt;$B299,DATE($B$1,8,1)&lt;=TODAY(),OR($O299="",$O299&gt;=DATE($B$1,8,1)),OR(COUNTIF($C299:J299,"&gt;0")&gt;0,DATE($B$1,8,1)=DATE(YEAR(TODAY()),MONTH(TODAY()),1))),1,0))</f>
        <v/>
      </c>
      <c r="X299">
        <f>IF($A299="","",IF(AND($B299&gt;0,K299&lt;$B299,DATE($B$1,9,1)&lt;=TODAY(),OR($O299="",$O299&gt;=DATE($B$1,9,1)),OR(COUNTIF($C299:K299,"&gt;0")&gt;0,DATE($B$1,9,1)=DATE(YEAR(TODAY()),MONTH(TODAY()),1))),1,0))</f>
        <v/>
      </c>
      <c r="Y299">
        <f>IF($A299="","",IF(AND($B299&gt;0,L299&lt;$B299,DATE($B$1,10,1)&lt;=TODAY(),OR($O299="",$O299&gt;=DATE($B$1,10,1)),OR(COUNTIF($C299:L299,"&gt;0")&gt;0,DATE($B$1,10,1)=DATE(YEAR(TODAY()),MONTH(TODAY()),1))),1,0))</f>
        <v/>
      </c>
      <c r="Z299">
        <f>IF($A299="","",IF(AND($B299&gt;0,M299&lt;$B299,DATE($B$1,11,1)&lt;=TODAY(),OR($O299="",$O299&gt;=DATE($B$1,11,1)),OR(COUNTIF($C299:M299,"&gt;0")&gt;0,DATE($B$1,11,1)=DATE(YEAR(TODAY()),MONTH(TODAY()),1))),1,0))</f>
        <v/>
      </c>
      <c r="AA299">
        <f>IF($A299="","",IF(AND($B299&gt;0,N299&lt;$B299,DATE($B$1,12,1)&lt;=TODAY(),OR($O299="",$O299&gt;=DATE($B$1,12,1)),OR(COUNTIF($C299:N299,"&gt;0")&gt;0,DATE($B$1,12,1)=DATE(YEAR(TODAY()),MONTH(TODAY()),1))),1,0))</f>
        <v/>
      </c>
    </row>
    <row r="300">
      <c r="A300" s="13">
        <f>IF(원생!$A298="","",원생!$A298&amp;IF(원생!$G298="",""," ("&amp;원생!$G298&amp;")"))</f>
        <v/>
      </c>
      <c r="B300" s="8">
        <f>IF(원생!$A298="","",N(원생!$F298))</f>
        <v/>
      </c>
      <c r="C300" s="14">
        <f>IF(원생!$A298="","",SUMIFS(계산!$C:$C,계산!$A:$A,계산!$E298,계산!$B:$B,$B$1*100+1))</f>
        <v/>
      </c>
      <c r="D300" s="14">
        <f>IF(원생!$A298="","",SUMIFS(계산!$C:$C,계산!$A:$A,계산!$E298,계산!$B:$B,$B$1*100+2))</f>
        <v/>
      </c>
      <c r="E300" s="14">
        <f>IF(원생!$A298="","",SUMIFS(계산!$C:$C,계산!$A:$A,계산!$E298,계산!$B:$B,$B$1*100+3))</f>
        <v/>
      </c>
      <c r="F300" s="14">
        <f>IF(원생!$A298="","",SUMIFS(계산!$C:$C,계산!$A:$A,계산!$E298,계산!$B:$B,$B$1*100+4))</f>
        <v/>
      </c>
      <c r="G300" s="14">
        <f>IF(원생!$A298="","",SUMIFS(계산!$C:$C,계산!$A:$A,계산!$E298,계산!$B:$B,$B$1*100+5))</f>
        <v/>
      </c>
      <c r="H300" s="14">
        <f>IF(원생!$A298="","",SUMIFS(계산!$C:$C,계산!$A:$A,계산!$E298,계산!$B:$B,$B$1*100+6))</f>
        <v/>
      </c>
      <c r="I300" s="14">
        <f>IF(원생!$A298="","",SUMIFS(계산!$C:$C,계산!$A:$A,계산!$E298,계산!$B:$B,$B$1*100+7))</f>
        <v/>
      </c>
      <c r="J300" s="14">
        <f>IF(원생!$A298="","",SUMIFS(계산!$C:$C,계산!$A:$A,계산!$E298,계산!$B:$B,$B$1*100+8))</f>
        <v/>
      </c>
      <c r="K300" s="14">
        <f>IF(원생!$A298="","",SUMIFS(계산!$C:$C,계산!$A:$A,계산!$E298,계산!$B:$B,$B$1*100+9))</f>
        <v/>
      </c>
      <c r="L300" s="14">
        <f>IF(원생!$A298="","",SUMIFS(계산!$C:$C,계산!$A:$A,계산!$E298,계산!$B:$B,$B$1*100+10))</f>
        <v/>
      </c>
      <c r="M300" s="14">
        <f>IF(원생!$A298="","",SUMIFS(계산!$C:$C,계산!$A:$A,계산!$E298,계산!$B:$B,$B$1*100+11))</f>
        <v/>
      </c>
      <c r="N300" s="14">
        <f>IF(원생!$A298="","",SUMIFS(계산!$C:$C,계산!$A:$A,계산!$E298,계산!$B:$B,$B$1*100+12))</f>
        <v/>
      </c>
      <c r="O300">
        <f>IF(원생!$I298="","",원생!$I298)</f>
        <v/>
      </c>
      <c r="P300">
        <f>IF($A300="","",IF(AND($B300&gt;0,C300&lt;$B300,DATE($B$1,1,1)&lt;=TODAY(),OR($O300="",$O300&gt;=DATE($B$1,1,1)),OR(COUNTIF($C300:C300,"&gt;0")&gt;0,DATE($B$1,1,1)=DATE(YEAR(TODAY()),MONTH(TODAY()),1))),1,0))</f>
        <v/>
      </c>
      <c r="Q300">
        <f>IF($A300="","",IF(AND($B300&gt;0,D300&lt;$B300,DATE($B$1,2,1)&lt;=TODAY(),OR($O300="",$O300&gt;=DATE($B$1,2,1)),OR(COUNTIF($C300:D300,"&gt;0")&gt;0,DATE($B$1,2,1)=DATE(YEAR(TODAY()),MONTH(TODAY()),1))),1,0))</f>
        <v/>
      </c>
      <c r="R300">
        <f>IF($A300="","",IF(AND($B300&gt;0,E300&lt;$B300,DATE($B$1,3,1)&lt;=TODAY(),OR($O300="",$O300&gt;=DATE($B$1,3,1)),OR(COUNTIF($C300:E300,"&gt;0")&gt;0,DATE($B$1,3,1)=DATE(YEAR(TODAY()),MONTH(TODAY()),1))),1,0))</f>
        <v/>
      </c>
      <c r="S300">
        <f>IF($A300="","",IF(AND($B300&gt;0,F300&lt;$B300,DATE($B$1,4,1)&lt;=TODAY(),OR($O300="",$O300&gt;=DATE($B$1,4,1)),OR(COUNTIF($C300:F300,"&gt;0")&gt;0,DATE($B$1,4,1)=DATE(YEAR(TODAY()),MONTH(TODAY()),1))),1,0))</f>
        <v/>
      </c>
      <c r="T300">
        <f>IF($A300="","",IF(AND($B300&gt;0,G300&lt;$B300,DATE($B$1,5,1)&lt;=TODAY(),OR($O300="",$O300&gt;=DATE($B$1,5,1)),OR(COUNTIF($C300:G300,"&gt;0")&gt;0,DATE($B$1,5,1)=DATE(YEAR(TODAY()),MONTH(TODAY()),1))),1,0))</f>
        <v/>
      </c>
      <c r="U300">
        <f>IF($A300="","",IF(AND($B300&gt;0,H300&lt;$B300,DATE($B$1,6,1)&lt;=TODAY(),OR($O300="",$O300&gt;=DATE($B$1,6,1)),OR(COUNTIF($C300:H300,"&gt;0")&gt;0,DATE($B$1,6,1)=DATE(YEAR(TODAY()),MONTH(TODAY()),1))),1,0))</f>
        <v/>
      </c>
      <c r="V300">
        <f>IF($A300="","",IF(AND($B300&gt;0,I300&lt;$B300,DATE($B$1,7,1)&lt;=TODAY(),OR($O300="",$O300&gt;=DATE($B$1,7,1)),OR(COUNTIF($C300:I300,"&gt;0")&gt;0,DATE($B$1,7,1)=DATE(YEAR(TODAY()),MONTH(TODAY()),1))),1,0))</f>
        <v/>
      </c>
      <c r="W300">
        <f>IF($A300="","",IF(AND($B300&gt;0,J300&lt;$B300,DATE($B$1,8,1)&lt;=TODAY(),OR($O300="",$O300&gt;=DATE($B$1,8,1)),OR(COUNTIF($C300:J300,"&gt;0")&gt;0,DATE($B$1,8,1)=DATE(YEAR(TODAY()),MONTH(TODAY()),1))),1,0))</f>
        <v/>
      </c>
      <c r="X300">
        <f>IF($A300="","",IF(AND($B300&gt;0,K300&lt;$B300,DATE($B$1,9,1)&lt;=TODAY(),OR($O300="",$O300&gt;=DATE($B$1,9,1)),OR(COUNTIF($C300:K300,"&gt;0")&gt;0,DATE($B$1,9,1)=DATE(YEAR(TODAY()),MONTH(TODAY()),1))),1,0))</f>
        <v/>
      </c>
      <c r="Y300">
        <f>IF($A300="","",IF(AND($B300&gt;0,L300&lt;$B300,DATE($B$1,10,1)&lt;=TODAY(),OR($O300="",$O300&gt;=DATE($B$1,10,1)),OR(COUNTIF($C300:L300,"&gt;0")&gt;0,DATE($B$1,10,1)=DATE(YEAR(TODAY()),MONTH(TODAY()),1))),1,0))</f>
        <v/>
      </c>
      <c r="Z300">
        <f>IF($A300="","",IF(AND($B300&gt;0,M300&lt;$B300,DATE($B$1,11,1)&lt;=TODAY(),OR($O300="",$O300&gt;=DATE($B$1,11,1)),OR(COUNTIF($C300:M300,"&gt;0")&gt;0,DATE($B$1,11,1)=DATE(YEAR(TODAY()),MONTH(TODAY()),1))),1,0))</f>
        <v/>
      </c>
      <c r="AA300">
        <f>IF($A300="","",IF(AND($B300&gt;0,N300&lt;$B300,DATE($B$1,12,1)&lt;=TODAY(),OR($O300="",$O300&gt;=DATE($B$1,12,1)),OR(COUNTIF($C300:N300,"&gt;0")&gt;0,DATE($B$1,12,1)=DATE(YEAR(TODAY()),MONTH(TODAY()),1))),1,0))</f>
        <v/>
      </c>
    </row>
    <row r="301">
      <c r="A301" s="13">
        <f>IF(원생!$A299="","",원생!$A299&amp;IF(원생!$G299="",""," ("&amp;원생!$G299&amp;")"))</f>
        <v/>
      </c>
      <c r="B301" s="8">
        <f>IF(원생!$A299="","",N(원생!$F299))</f>
        <v/>
      </c>
      <c r="C301" s="14">
        <f>IF(원생!$A299="","",SUMIFS(계산!$C:$C,계산!$A:$A,계산!$E299,계산!$B:$B,$B$1*100+1))</f>
        <v/>
      </c>
      <c r="D301" s="14">
        <f>IF(원생!$A299="","",SUMIFS(계산!$C:$C,계산!$A:$A,계산!$E299,계산!$B:$B,$B$1*100+2))</f>
        <v/>
      </c>
      <c r="E301" s="14">
        <f>IF(원생!$A299="","",SUMIFS(계산!$C:$C,계산!$A:$A,계산!$E299,계산!$B:$B,$B$1*100+3))</f>
        <v/>
      </c>
      <c r="F301" s="14">
        <f>IF(원생!$A299="","",SUMIFS(계산!$C:$C,계산!$A:$A,계산!$E299,계산!$B:$B,$B$1*100+4))</f>
        <v/>
      </c>
      <c r="G301" s="14">
        <f>IF(원생!$A299="","",SUMIFS(계산!$C:$C,계산!$A:$A,계산!$E299,계산!$B:$B,$B$1*100+5))</f>
        <v/>
      </c>
      <c r="H301" s="14">
        <f>IF(원생!$A299="","",SUMIFS(계산!$C:$C,계산!$A:$A,계산!$E299,계산!$B:$B,$B$1*100+6))</f>
        <v/>
      </c>
      <c r="I301" s="14">
        <f>IF(원생!$A299="","",SUMIFS(계산!$C:$C,계산!$A:$A,계산!$E299,계산!$B:$B,$B$1*100+7))</f>
        <v/>
      </c>
      <c r="J301" s="14">
        <f>IF(원생!$A299="","",SUMIFS(계산!$C:$C,계산!$A:$A,계산!$E299,계산!$B:$B,$B$1*100+8))</f>
        <v/>
      </c>
      <c r="K301" s="14">
        <f>IF(원생!$A299="","",SUMIFS(계산!$C:$C,계산!$A:$A,계산!$E299,계산!$B:$B,$B$1*100+9))</f>
        <v/>
      </c>
      <c r="L301" s="14">
        <f>IF(원생!$A299="","",SUMIFS(계산!$C:$C,계산!$A:$A,계산!$E299,계산!$B:$B,$B$1*100+10))</f>
        <v/>
      </c>
      <c r="M301" s="14">
        <f>IF(원생!$A299="","",SUMIFS(계산!$C:$C,계산!$A:$A,계산!$E299,계산!$B:$B,$B$1*100+11))</f>
        <v/>
      </c>
      <c r="N301" s="14">
        <f>IF(원생!$A299="","",SUMIFS(계산!$C:$C,계산!$A:$A,계산!$E299,계산!$B:$B,$B$1*100+12))</f>
        <v/>
      </c>
      <c r="O301">
        <f>IF(원생!$I299="","",원생!$I299)</f>
        <v/>
      </c>
      <c r="P301">
        <f>IF($A301="","",IF(AND($B301&gt;0,C301&lt;$B301,DATE($B$1,1,1)&lt;=TODAY(),OR($O301="",$O301&gt;=DATE($B$1,1,1)),OR(COUNTIF($C301:C301,"&gt;0")&gt;0,DATE($B$1,1,1)=DATE(YEAR(TODAY()),MONTH(TODAY()),1))),1,0))</f>
        <v/>
      </c>
      <c r="Q301">
        <f>IF($A301="","",IF(AND($B301&gt;0,D301&lt;$B301,DATE($B$1,2,1)&lt;=TODAY(),OR($O301="",$O301&gt;=DATE($B$1,2,1)),OR(COUNTIF($C301:D301,"&gt;0")&gt;0,DATE($B$1,2,1)=DATE(YEAR(TODAY()),MONTH(TODAY()),1))),1,0))</f>
        <v/>
      </c>
      <c r="R301">
        <f>IF($A301="","",IF(AND($B301&gt;0,E301&lt;$B301,DATE($B$1,3,1)&lt;=TODAY(),OR($O301="",$O301&gt;=DATE($B$1,3,1)),OR(COUNTIF($C301:E301,"&gt;0")&gt;0,DATE($B$1,3,1)=DATE(YEAR(TODAY()),MONTH(TODAY()),1))),1,0))</f>
        <v/>
      </c>
      <c r="S301">
        <f>IF($A301="","",IF(AND($B301&gt;0,F301&lt;$B301,DATE($B$1,4,1)&lt;=TODAY(),OR($O301="",$O301&gt;=DATE($B$1,4,1)),OR(COUNTIF($C301:F301,"&gt;0")&gt;0,DATE($B$1,4,1)=DATE(YEAR(TODAY()),MONTH(TODAY()),1))),1,0))</f>
        <v/>
      </c>
      <c r="T301">
        <f>IF($A301="","",IF(AND($B301&gt;0,G301&lt;$B301,DATE($B$1,5,1)&lt;=TODAY(),OR($O301="",$O301&gt;=DATE($B$1,5,1)),OR(COUNTIF($C301:G301,"&gt;0")&gt;0,DATE($B$1,5,1)=DATE(YEAR(TODAY()),MONTH(TODAY()),1))),1,0))</f>
        <v/>
      </c>
      <c r="U301">
        <f>IF($A301="","",IF(AND($B301&gt;0,H301&lt;$B301,DATE($B$1,6,1)&lt;=TODAY(),OR($O301="",$O301&gt;=DATE($B$1,6,1)),OR(COUNTIF($C301:H301,"&gt;0")&gt;0,DATE($B$1,6,1)=DATE(YEAR(TODAY()),MONTH(TODAY()),1))),1,0))</f>
        <v/>
      </c>
      <c r="V301">
        <f>IF($A301="","",IF(AND($B301&gt;0,I301&lt;$B301,DATE($B$1,7,1)&lt;=TODAY(),OR($O301="",$O301&gt;=DATE($B$1,7,1)),OR(COUNTIF($C301:I301,"&gt;0")&gt;0,DATE($B$1,7,1)=DATE(YEAR(TODAY()),MONTH(TODAY()),1))),1,0))</f>
        <v/>
      </c>
      <c r="W301">
        <f>IF($A301="","",IF(AND($B301&gt;0,J301&lt;$B301,DATE($B$1,8,1)&lt;=TODAY(),OR($O301="",$O301&gt;=DATE($B$1,8,1)),OR(COUNTIF($C301:J301,"&gt;0")&gt;0,DATE($B$1,8,1)=DATE(YEAR(TODAY()),MONTH(TODAY()),1))),1,0))</f>
        <v/>
      </c>
      <c r="X301">
        <f>IF($A301="","",IF(AND($B301&gt;0,K301&lt;$B301,DATE($B$1,9,1)&lt;=TODAY(),OR($O301="",$O301&gt;=DATE($B$1,9,1)),OR(COUNTIF($C301:K301,"&gt;0")&gt;0,DATE($B$1,9,1)=DATE(YEAR(TODAY()),MONTH(TODAY()),1))),1,0))</f>
        <v/>
      </c>
      <c r="Y301">
        <f>IF($A301="","",IF(AND($B301&gt;0,L301&lt;$B301,DATE($B$1,10,1)&lt;=TODAY(),OR($O301="",$O301&gt;=DATE($B$1,10,1)),OR(COUNTIF($C301:L301,"&gt;0")&gt;0,DATE($B$1,10,1)=DATE(YEAR(TODAY()),MONTH(TODAY()),1))),1,0))</f>
        <v/>
      </c>
      <c r="Z301">
        <f>IF($A301="","",IF(AND($B301&gt;0,M301&lt;$B301,DATE($B$1,11,1)&lt;=TODAY(),OR($O301="",$O301&gt;=DATE($B$1,11,1)),OR(COUNTIF($C301:M301,"&gt;0")&gt;0,DATE($B$1,11,1)=DATE(YEAR(TODAY()),MONTH(TODAY()),1))),1,0))</f>
        <v/>
      </c>
      <c r="AA301">
        <f>IF($A301="","",IF(AND($B301&gt;0,N301&lt;$B301,DATE($B$1,12,1)&lt;=TODAY(),OR($O301="",$O301&gt;=DATE($B$1,12,1)),OR(COUNTIF($C301:N301,"&gt;0")&gt;0,DATE($B$1,12,1)=DATE(YEAR(TODAY()),MONTH(TODAY()),1))),1,0))</f>
        <v/>
      </c>
    </row>
    <row r="302">
      <c r="A302" s="13">
        <f>IF(원생!$A300="","",원생!$A300&amp;IF(원생!$G300="",""," ("&amp;원생!$G300&amp;")"))</f>
        <v/>
      </c>
      <c r="B302" s="8">
        <f>IF(원생!$A300="","",N(원생!$F300))</f>
        <v/>
      </c>
      <c r="C302" s="14">
        <f>IF(원생!$A300="","",SUMIFS(계산!$C:$C,계산!$A:$A,계산!$E300,계산!$B:$B,$B$1*100+1))</f>
        <v/>
      </c>
      <c r="D302" s="14">
        <f>IF(원생!$A300="","",SUMIFS(계산!$C:$C,계산!$A:$A,계산!$E300,계산!$B:$B,$B$1*100+2))</f>
        <v/>
      </c>
      <c r="E302" s="14">
        <f>IF(원생!$A300="","",SUMIFS(계산!$C:$C,계산!$A:$A,계산!$E300,계산!$B:$B,$B$1*100+3))</f>
        <v/>
      </c>
      <c r="F302" s="14">
        <f>IF(원생!$A300="","",SUMIFS(계산!$C:$C,계산!$A:$A,계산!$E300,계산!$B:$B,$B$1*100+4))</f>
        <v/>
      </c>
      <c r="G302" s="14">
        <f>IF(원생!$A300="","",SUMIFS(계산!$C:$C,계산!$A:$A,계산!$E300,계산!$B:$B,$B$1*100+5))</f>
        <v/>
      </c>
      <c r="H302" s="14">
        <f>IF(원생!$A300="","",SUMIFS(계산!$C:$C,계산!$A:$A,계산!$E300,계산!$B:$B,$B$1*100+6))</f>
        <v/>
      </c>
      <c r="I302" s="14">
        <f>IF(원생!$A300="","",SUMIFS(계산!$C:$C,계산!$A:$A,계산!$E300,계산!$B:$B,$B$1*100+7))</f>
        <v/>
      </c>
      <c r="J302" s="14">
        <f>IF(원생!$A300="","",SUMIFS(계산!$C:$C,계산!$A:$A,계산!$E300,계산!$B:$B,$B$1*100+8))</f>
        <v/>
      </c>
      <c r="K302" s="14">
        <f>IF(원생!$A300="","",SUMIFS(계산!$C:$C,계산!$A:$A,계산!$E300,계산!$B:$B,$B$1*100+9))</f>
        <v/>
      </c>
      <c r="L302" s="14">
        <f>IF(원생!$A300="","",SUMIFS(계산!$C:$C,계산!$A:$A,계산!$E300,계산!$B:$B,$B$1*100+10))</f>
        <v/>
      </c>
      <c r="M302" s="14">
        <f>IF(원생!$A300="","",SUMIFS(계산!$C:$C,계산!$A:$A,계산!$E300,계산!$B:$B,$B$1*100+11))</f>
        <v/>
      </c>
      <c r="N302" s="14">
        <f>IF(원생!$A300="","",SUMIFS(계산!$C:$C,계산!$A:$A,계산!$E300,계산!$B:$B,$B$1*100+12))</f>
        <v/>
      </c>
      <c r="O302">
        <f>IF(원생!$I300="","",원생!$I300)</f>
        <v/>
      </c>
      <c r="P302">
        <f>IF($A302="","",IF(AND($B302&gt;0,C302&lt;$B302,DATE($B$1,1,1)&lt;=TODAY(),OR($O302="",$O302&gt;=DATE($B$1,1,1)),OR(COUNTIF($C302:C302,"&gt;0")&gt;0,DATE($B$1,1,1)=DATE(YEAR(TODAY()),MONTH(TODAY()),1))),1,0))</f>
        <v/>
      </c>
      <c r="Q302">
        <f>IF($A302="","",IF(AND($B302&gt;0,D302&lt;$B302,DATE($B$1,2,1)&lt;=TODAY(),OR($O302="",$O302&gt;=DATE($B$1,2,1)),OR(COUNTIF($C302:D302,"&gt;0")&gt;0,DATE($B$1,2,1)=DATE(YEAR(TODAY()),MONTH(TODAY()),1))),1,0))</f>
        <v/>
      </c>
      <c r="R302">
        <f>IF($A302="","",IF(AND($B302&gt;0,E302&lt;$B302,DATE($B$1,3,1)&lt;=TODAY(),OR($O302="",$O302&gt;=DATE($B$1,3,1)),OR(COUNTIF($C302:E302,"&gt;0")&gt;0,DATE($B$1,3,1)=DATE(YEAR(TODAY()),MONTH(TODAY()),1))),1,0))</f>
        <v/>
      </c>
      <c r="S302">
        <f>IF($A302="","",IF(AND($B302&gt;0,F302&lt;$B302,DATE($B$1,4,1)&lt;=TODAY(),OR($O302="",$O302&gt;=DATE($B$1,4,1)),OR(COUNTIF($C302:F302,"&gt;0")&gt;0,DATE($B$1,4,1)=DATE(YEAR(TODAY()),MONTH(TODAY()),1))),1,0))</f>
        <v/>
      </c>
      <c r="T302">
        <f>IF($A302="","",IF(AND($B302&gt;0,G302&lt;$B302,DATE($B$1,5,1)&lt;=TODAY(),OR($O302="",$O302&gt;=DATE($B$1,5,1)),OR(COUNTIF($C302:G302,"&gt;0")&gt;0,DATE($B$1,5,1)=DATE(YEAR(TODAY()),MONTH(TODAY()),1))),1,0))</f>
        <v/>
      </c>
      <c r="U302">
        <f>IF($A302="","",IF(AND($B302&gt;0,H302&lt;$B302,DATE($B$1,6,1)&lt;=TODAY(),OR($O302="",$O302&gt;=DATE($B$1,6,1)),OR(COUNTIF($C302:H302,"&gt;0")&gt;0,DATE($B$1,6,1)=DATE(YEAR(TODAY()),MONTH(TODAY()),1))),1,0))</f>
        <v/>
      </c>
      <c r="V302">
        <f>IF($A302="","",IF(AND($B302&gt;0,I302&lt;$B302,DATE($B$1,7,1)&lt;=TODAY(),OR($O302="",$O302&gt;=DATE($B$1,7,1)),OR(COUNTIF($C302:I302,"&gt;0")&gt;0,DATE($B$1,7,1)=DATE(YEAR(TODAY()),MONTH(TODAY()),1))),1,0))</f>
        <v/>
      </c>
      <c r="W302">
        <f>IF($A302="","",IF(AND($B302&gt;0,J302&lt;$B302,DATE($B$1,8,1)&lt;=TODAY(),OR($O302="",$O302&gt;=DATE($B$1,8,1)),OR(COUNTIF($C302:J302,"&gt;0")&gt;0,DATE($B$1,8,1)=DATE(YEAR(TODAY()),MONTH(TODAY()),1))),1,0))</f>
        <v/>
      </c>
      <c r="X302">
        <f>IF($A302="","",IF(AND($B302&gt;0,K302&lt;$B302,DATE($B$1,9,1)&lt;=TODAY(),OR($O302="",$O302&gt;=DATE($B$1,9,1)),OR(COUNTIF($C302:K302,"&gt;0")&gt;0,DATE($B$1,9,1)=DATE(YEAR(TODAY()),MONTH(TODAY()),1))),1,0))</f>
        <v/>
      </c>
      <c r="Y302">
        <f>IF($A302="","",IF(AND($B302&gt;0,L302&lt;$B302,DATE($B$1,10,1)&lt;=TODAY(),OR($O302="",$O302&gt;=DATE($B$1,10,1)),OR(COUNTIF($C302:L302,"&gt;0")&gt;0,DATE($B$1,10,1)=DATE(YEAR(TODAY()),MONTH(TODAY()),1))),1,0))</f>
        <v/>
      </c>
      <c r="Z302">
        <f>IF($A302="","",IF(AND($B302&gt;0,M302&lt;$B302,DATE($B$1,11,1)&lt;=TODAY(),OR($O302="",$O302&gt;=DATE($B$1,11,1)),OR(COUNTIF($C302:M302,"&gt;0")&gt;0,DATE($B$1,11,1)=DATE(YEAR(TODAY()),MONTH(TODAY()),1))),1,0))</f>
        <v/>
      </c>
      <c r="AA302">
        <f>IF($A302="","",IF(AND($B302&gt;0,N302&lt;$B302,DATE($B$1,12,1)&lt;=TODAY(),OR($O302="",$O302&gt;=DATE($B$1,12,1)),OR(COUNTIF($C302:N302,"&gt;0")&gt;0,DATE($B$1,12,1)=DATE(YEAR(TODAY()),MONTH(TODAY()),1))),1,0))</f>
        <v/>
      </c>
    </row>
    <row r="303">
      <c r="A303" s="13">
        <f>IF(원생!$A301="","",원생!$A301&amp;IF(원생!$G301="",""," ("&amp;원생!$G301&amp;")"))</f>
        <v/>
      </c>
      <c r="B303" s="8">
        <f>IF(원생!$A301="","",N(원생!$F301))</f>
        <v/>
      </c>
      <c r="C303" s="14">
        <f>IF(원생!$A301="","",SUMIFS(계산!$C:$C,계산!$A:$A,계산!$E301,계산!$B:$B,$B$1*100+1))</f>
        <v/>
      </c>
      <c r="D303" s="14">
        <f>IF(원생!$A301="","",SUMIFS(계산!$C:$C,계산!$A:$A,계산!$E301,계산!$B:$B,$B$1*100+2))</f>
        <v/>
      </c>
      <c r="E303" s="14">
        <f>IF(원생!$A301="","",SUMIFS(계산!$C:$C,계산!$A:$A,계산!$E301,계산!$B:$B,$B$1*100+3))</f>
        <v/>
      </c>
      <c r="F303" s="14">
        <f>IF(원생!$A301="","",SUMIFS(계산!$C:$C,계산!$A:$A,계산!$E301,계산!$B:$B,$B$1*100+4))</f>
        <v/>
      </c>
      <c r="G303" s="14">
        <f>IF(원생!$A301="","",SUMIFS(계산!$C:$C,계산!$A:$A,계산!$E301,계산!$B:$B,$B$1*100+5))</f>
        <v/>
      </c>
      <c r="H303" s="14">
        <f>IF(원생!$A301="","",SUMIFS(계산!$C:$C,계산!$A:$A,계산!$E301,계산!$B:$B,$B$1*100+6))</f>
        <v/>
      </c>
      <c r="I303" s="14">
        <f>IF(원생!$A301="","",SUMIFS(계산!$C:$C,계산!$A:$A,계산!$E301,계산!$B:$B,$B$1*100+7))</f>
        <v/>
      </c>
      <c r="J303" s="14">
        <f>IF(원생!$A301="","",SUMIFS(계산!$C:$C,계산!$A:$A,계산!$E301,계산!$B:$B,$B$1*100+8))</f>
        <v/>
      </c>
      <c r="K303" s="14">
        <f>IF(원생!$A301="","",SUMIFS(계산!$C:$C,계산!$A:$A,계산!$E301,계산!$B:$B,$B$1*100+9))</f>
        <v/>
      </c>
      <c r="L303" s="14">
        <f>IF(원생!$A301="","",SUMIFS(계산!$C:$C,계산!$A:$A,계산!$E301,계산!$B:$B,$B$1*100+10))</f>
        <v/>
      </c>
      <c r="M303" s="14">
        <f>IF(원생!$A301="","",SUMIFS(계산!$C:$C,계산!$A:$A,계산!$E301,계산!$B:$B,$B$1*100+11))</f>
        <v/>
      </c>
      <c r="N303" s="14">
        <f>IF(원생!$A301="","",SUMIFS(계산!$C:$C,계산!$A:$A,계산!$E301,계산!$B:$B,$B$1*100+12))</f>
        <v/>
      </c>
      <c r="O303">
        <f>IF(원생!$I301="","",원생!$I301)</f>
        <v/>
      </c>
      <c r="P303">
        <f>IF($A303="","",IF(AND($B303&gt;0,C303&lt;$B303,DATE($B$1,1,1)&lt;=TODAY(),OR($O303="",$O303&gt;=DATE($B$1,1,1)),OR(COUNTIF($C303:C303,"&gt;0")&gt;0,DATE($B$1,1,1)=DATE(YEAR(TODAY()),MONTH(TODAY()),1))),1,0))</f>
        <v/>
      </c>
      <c r="Q303">
        <f>IF($A303="","",IF(AND($B303&gt;0,D303&lt;$B303,DATE($B$1,2,1)&lt;=TODAY(),OR($O303="",$O303&gt;=DATE($B$1,2,1)),OR(COUNTIF($C303:D303,"&gt;0")&gt;0,DATE($B$1,2,1)=DATE(YEAR(TODAY()),MONTH(TODAY()),1))),1,0))</f>
        <v/>
      </c>
      <c r="R303">
        <f>IF($A303="","",IF(AND($B303&gt;0,E303&lt;$B303,DATE($B$1,3,1)&lt;=TODAY(),OR($O303="",$O303&gt;=DATE($B$1,3,1)),OR(COUNTIF($C303:E303,"&gt;0")&gt;0,DATE($B$1,3,1)=DATE(YEAR(TODAY()),MONTH(TODAY()),1))),1,0))</f>
        <v/>
      </c>
      <c r="S303">
        <f>IF($A303="","",IF(AND($B303&gt;0,F303&lt;$B303,DATE($B$1,4,1)&lt;=TODAY(),OR($O303="",$O303&gt;=DATE($B$1,4,1)),OR(COUNTIF($C303:F303,"&gt;0")&gt;0,DATE($B$1,4,1)=DATE(YEAR(TODAY()),MONTH(TODAY()),1))),1,0))</f>
        <v/>
      </c>
      <c r="T303">
        <f>IF($A303="","",IF(AND($B303&gt;0,G303&lt;$B303,DATE($B$1,5,1)&lt;=TODAY(),OR($O303="",$O303&gt;=DATE($B$1,5,1)),OR(COUNTIF($C303:G303,"&gt;0")&gt;0,DATE($B$1,5,1)=DATE(YEAR(TODAY()),MONTH(TODAY()),1))),1,0))</f>
        <v/>
      </c>
      <c r="U303">
        <f>IF($A303="","",IF(AND($B303&gt;0,H303&lt;$B303,DATE($B$1,6,1)&lt;=TODAY(),OR($O303="",$O303&gt;=DATE($B$1,6,1)),OR(COUNTIF($C303:H303,"&gt;0")&gt;0,DATE($B$1,6,1)=DATE(YEAR(TODAY()),MONTH(TODAY()),1))),1,0))</f>
        <v/>
      </c>
      <c r="V303">
        <f>IF($A303="","",IF(AND($B303&gt;0,I303&lt;$B303,DATE($B$1,7,1)&lt;=TODAY(),OR($O303="",$O303&gt;=DATE($B$1,7,1)),OR(COUNTIF($C303:I303,"&gt;0")&gt;0,DATE($B$1,7,1)=DATE(YEAR(TODAY()),MONTH(TODAY()),1))),1,0))</f>
        <v/>
      </c>
      <c r="W303">
        <f>IF($A303="","",IF(AND($B303&gt;0,J303&lt;$B303,DATE($B$1,8,1)&lt;=TODAY(),OR($O303="",$O303&gt;=DATE($B$1,8,1)),OR(COUNTIF($C303:J303,"&gt;0")&gt;0,DATE($B$1,8,1)=DATE(YEAR(TODAY()),MONTH(TODAY()),1))),1,0))</f>
        <v/>
      </c>
      <c r="X303">
        <f>IF($A303="","",IF(AND($B303&gt;0,K303&lt;$B303,DATE($B$1,9,1)&lt;=TODAY(),OR($O303="",$O303&gt;=DATE($B$1,9,1)),OR(COUNTIF($C303:K303,"&gt;0")&gt;0,DATE($B$1,9,1)=DATE(YEAR(TODAY()),MONTH(TODAY()),1))),1,0))</f>
        <v/>
      </c>
      <c r="Y303">
        <f>IF($A303="","",IF(AND($B303&gt;0,L303&lt;$B303,DATE($B$1,10,1)&lt;=TODAY(),OR($O303="",$O303&gt;=DATE($B$1,10,1)),OR(COUNTIF($C303:L303,"&gt;0")&gt;0,DATE($B$1,10,1)=DATE(YEAR(TODAY()),MONTH(TODAY()),1))),1,0))</f>
        <v/>
      </c>
      <c r="Z303">
        <f>IF($A303="","",IF(AND($B303&gt;0,M303&lt;$B303,DATE($B$1,11,1)&lt;=TODAY(),OR($O303="",$O303&gt;=DATE($B$1,11,1)),OR(COUNTIF($C303:M303,"&gt;0")&gt;0,DATE($B$1,11,1)=DATE(YEAR(TODAY()),MONTH(TODAY()),1))),1,0))</f>
        <v/>
      </c>
      <c r="AA303">
        <f>IF($A303="","",IF(AND($B303&gt;0,N303&lt;$B303,DATE($B$1,12,1)&lt;=TODAY(),OR($O303="",$O303&gt;=DATE($B$1,12,1)),OR(COUNTIF($C303:N303,"&gt;0")&gt;0,DATE($B$1,12,1)=DATE(YEAR(TODAY()),MONTH(TODAY()),1))),1,0))</f>
        <v/>
      </c>
    </row>
    <row r="304">
      <c r="A304" s="13">
        <f>IF(원생!$A302="","",원생!$A302&amp;IF(원생!$G302="",""," ("&amp;원생!$G302&amp;")"))</f>
        <v/>
      </c>
      <c r="B304" s="8">
        <f>IF(원생!$A302="","",N(원생!$F302))</f>
        <v/>
      </c>
      <c r="C304" s="14">
        <f>IF(원생!$A302="","",SUMIFS(계산!$C:$C,계산!$A:$A,계산!$E302,계산!$B:$B,$B$1*100+1))</f>
        <v/>
      </c>
      <c r="D304" s="14">
        <f>IF(원생!$A302="","",SUMIFS(계산!$C:$C,계산!$A:$A,계산!$E302,계산!$B:$B,$B$1*100+2))</f>
        <v/>
      </c>
      <c r="E304" s="14">
        <f>IF(원생!$A302="","",SUMIFS(계산!$C:$C,계산!$A:$A,계산!$E302,계산!$B:$B,$B$1*100+3))</f>
        <v/>
      </c>
      <c r="F304" s="14">
        <f>IF(원생!$A302="","",SUMIFS(계산!$C:$C,계산!$A:$A,계산!$E302,계산!$B:$B,$B$1*100+4))</f>
        <v/>
      </c>
      <c r="G304" s="14">
        <f>IF(원생!$A302="","",SUMIFS(계산!$C:$C,계산!$A:$A,계산!$E302,계산!$B:$B,$B$1*100+5))</f>
        <v/>
      </c>
      <c r="H304" s="14">
        <f>IF(원생!$A302="","",SUMIFS(계산!$C:$C,계산!$A:$A,계산!$E302,계산!$B:$B,$B$1*100+6))</f>
        <v/>
      </c>
      <c r="I304" s="14">
        <f>IF(원생!$A302="","",SUMIFS(계산!$C:$C,계산!$A:$A,계산!$E302,계산!$B:$B,$B$1*100+7))</f>
        <v/>
      </c>
      <c r="J304" s="14">
        <f>IF(원생!$A302="","",SUMIFS(계산!$C:$C,계산!$A:$A,계산!$E302,계산!$B:$B,$B$1*100+8))</f>
        <v/>
      </c>
      <c r="K304" s="14">
        <f>IF(원생!$A302="","",SUMIFS(계산!$C:$C,계산!$A:$A,계산!$E302,계산!$B:$B,$B$1*100+9))</f>
        <v/>
      </c>
      <c r="L304" s="14">
        <f>IF(원생!$A302="","",SUMIFS(계산!$C:$C,계산!$A:$A,계산!$E302,계산!$B:$B,$B$1*100+10))</f>
        <v/>
      </c>
      <c r="M304" s="14">
        <f>IF(원생!$A302="","",SUMIFS(계산!$C:$C,계산!$A:$A,계산!$E302,계산!$B:$B,$B$1*100+11))</f>
        <v/>
      </c>
      <c r="N304" s="14">
        <f>IF(원생!$A302="","",SUMIFS(계산!$C:$C,계산!$A:$A,계산!$E302,계산!$B:$B,$B$1*100+12))</f>
        <v/>
      </c>
      <c r="O304">
        <f>IF(원생!$I302="","",원생!$I302)</f>
        <v/>
      </c>
      <c r="P304">
        <f>IF($A304="","",IF(AND($B304&gt;0,C304&lt;$B304,DATE($B$1,1,1)&lt;=TODAY(),OR($O304="",$O304&gt;=DATE($B$1,1,1)),OR(COUNTIF($C304:C304,"&gt;0")&gt;0,DATE($B$1,1,1)=DATE(YEAR(TODAY()),MONTH(TODAY()),1))),1,0))</f>
        <v/>
      </c>
      <c r="Q304">
        <f>IF($A304="","",IF(AND($B304&gt;0,D304&lt;$B304,DATE($B$1,2,1)&lt;=TODAY(),OR($O304="",$O304&gt;=DATE($B$1,2,1)),OR(COUNTIF($C304:D304,"&gt;0")&gt;0,DATE($B$1,2,1)=DATE(YEAR(TODAY()),MONTH(TODAY()),1))),1,0))</f>
        <v/>
      </c>
      <c r="R304">
        <f>IF($A304="","",IF(AND($B304&gt;0,E304&lt;$B304,DATE($B$1,3,1)&lt;=TODAY(),OR($O304="",$O304&gt;=DATE($B$1,3,1)),OR(COUNTIF($C304:E304,"&gt;0")&gt;0,DATE($B$1,3,1)=DATE(YEAR(TODAY()),MONTH(TODAY()),1))),1,0))</f>
        <v/>
      </c>
      <c r="S304">
        <f>IF($A304="","",IF(AND($B304&gt;0,F304&lt;$B304,DATE($B$1,4,1)&lt;=TODAY(),OR($O304="",$O304&gt;=DATE($B$1,4,1)),OR(COUNTIF($C304:F304,"&gt;0")&gt;0,DATE($B$1,4,1)=DATE(YEAR(TODAY()),MONTH(TODAY()),1))),1,0))</f>
        <v/>
      </c>
      <c r="T304">
        <f>IF($A304="","",IF(AND($B304&gt;0,G304&lt;$B304,DATE($B$1,5,1)&lt;=TODAY(),OR($O304="",$O304&gt;=DATE($B$1,5,1)),OR(COUNTIF($C304:G304,"&gt;0")&gt;0,DATE($B$1,5,1)=DATE(YEAR(TODAY()),MONTH(TODAY()),1))),1,0))</f>
        <v/>
      </c>
      <c r="U304">
        <f>IF($A304="","",IF(AND($B304&gt;0,H304&lt;$B304,DATE($B$1,6,1)&lt;=TODAY(),OR($O304="",$O304&gt;=DATE($B$1,6,1)),OR(COUNTIF($C304:H304,"&gt;0")&gt;0,DATE($B$1,6,1)=DATE(YEAR(TODAY()),MONTH(TODAY()),1))),1,0))</f>
        <v/>
      </c>
      <c r="V304">
        <f>IF($A304="","",IF(AND($B304&gt;0,I304&lt;$B304,DATE($B$1,7,1)&lt;=TODAY(),OR($O304="",$O304&gt;=DATE($B$1,7,1)),OR(COUNTIF($C304:I304,"&gt;0")&gt;0,DATE($B$1,7,1)=DATE(YEAR(TODAY()),MONTH(TODAY()),1))),1,0))</f>
        <v/>
      </c>
      <c r="W304">
        <f>IF($A304="","",IF(AND($B304&gt;0,J304&lt;$B304,DATE($B$1,8,1)&lt;=TODAY(),OR($O304="",$O304&gt;=DATE($B$1,8,1)),OR(COUNTIF($C304:J304,"&gt;0")&gt;0,DATE($B$1,8,1)=DATE(YEAR(TODAY()),MONTH(TODAY()),1))),1,0))</f>
        <v/>
      </c>
      <c r="X304">
        <f>IF($A304="","",IF(AND($B304&gt;0,K304&lt;$B304,DATE($B$1,9,1)&lt;=TODAY(),OR($O304="",$O304&gt;=DATE($B$1,9,1)),OR(COUNTIF($C304:K304,"&gt;0")&gt;0,DATE($B$1,9,1)=DATE(YEAR(TODAY()),MONTH(TODAY()),1))),1,0))</f>
        <v/>
      </c>
      <c r="Y304">
        <f>IF($A304="","",IF(AND($B304&gt;0,L304&lt;$B304,DATE($B$1,10,1)&lt;=TODAY(),OR($O304="",$O304&gt;=DATE($B$1,10,1)),OR(COUNTIF($C304:L304,"&gt;0")&gt;0,DATE($B$1,10,1)=DATE(YEAR(TODAY()),MONTH(TODAY()),1))),1,0))</f>
        <v/>
      </c>
      <c r="Z304">
        <f>IF($A304="","",IF(AND($B304&gt;0,M304&lt;$B304,DATE($B$1,11,1)&lt;=TODAY(),OR($O304="",$O304&gt;=DATE($B$1,11,1)),OR(COUNTIF($C304:M304,"&gt;0")&gt;0,DATE($B$1,11,1)=DATE(YEAR(TODAY()),MONTH(TODAY()),1))),1,0))</f>
        <v/>
      </c>
      <c r="AA304">
        <f>IF($A304="","",IF(AND($B304&gt;0,N304&lt;$B304,DATE($B$1,12,1)&lt;=TODAY(),OR($O304="",$O304&gt;=DATE($B$1,12,1)),OR(COUNTIF($C304:N304,"&gt;0")&gt;0,DATE($B$1,12,1)=DATE(YEAR(TODAY()),MONTH(TODAY()),1))),1,0))</f>
        <v/>
      </c>
    </row>
    <row r="305">
      <c r="A305" s="13">
        <f>IF(원생!$A303="","",원생!$A303&amp;IF(원생!$G303="",""," ("&amp;원생!$G303&amp;")"))</f>
        <v/>
      </c>
      <c r="B305" s="8">
        <f>IF(원생!$A303="","",N(원생!$F303))</f>
        <v/>
      </c>
      <c r="C305" s="14">
        <f>IF(원생!$A303="","",SUMIFS(계산!$C:$C,계산!$A:$A,계산!$E303,계산!$B:$B,$B$1*100+1))</f>
        <v/>
      </c>
      <c r="D305" s="14">
        <f>IF(원생!$A303="","",SUMIFS(계산!$C:$C,계산!$A:$A,계산!$E303,계산!$B:$B,$B$1*100+2))</f>
        <v/>
      </c>
      <c r="E305" s="14">
        <f>IF(원생!$A303="","",SUMIFS(계산!$C:$C,계산!$A:$A,계산!$E303,계산!$B:$B,$B$1*100+3))</f>
        <v/>
      </c>
      <c r="F305" s="14">
        <f>IF(원생!$A303="","",SUMIFS(계산!$C:$C,계산!$A:$A,계산!$E303,계산!$B:$B,$B$1*100+4))</f>
        <v/>
      </c>
      <c r="G305" s="14">
        <f>IF(원생!$A303="","",SUMIFS(계산!$C:$C,계산!$A:$A,계산!$E303,계산!$B:$B,$B$1*100+5))</f>
        <v/>
      </c>
      <c r="H305" s="14">
        <f>IF(원생!$A303="","",SUMIFS(계산!$C:$C,계산!$A:$A,계산!$E303,계산!$B:$B,$B$1*100+6))</f>
        <v/>
      </c>
      <c r="I305" s="14">
        <f>IF(원생!$A303="","",SUMIFS(계산!$C:$C,계산!$A:$A,계산!$E303,계산!$B:$B,$B$1*100+7))</f>
        <v/>
      </c>
      <c r="J305" s="14">
        <f>IF(원생!$A303="","",SUMIFS(계산!$C:$C,계산!$A:$A,계산!$E303,계산!$B:$B,$B$1*100+8))</f>
        <v/>
      </c>
      <c r="K305" s="14">
        <f>IF(원생!$A303="","",SUMIFS(계산!$C:$C,계산!$A:$A,계산!$E303,계산!$B:$B,$B$1*100+9))</f>
        <v/>
      </c>
      <c r="L305" s="14">
        <f>IF(원생!$A303="","",SUMIFS(계산!$C:$C,계산!$A:$A,계산!$E303,계산!$B:$B,$B$1*100+10))</f>
        <v/>
      </c>
      <c r="M305" s="14">
        <f>IF(원생!$A303="","",SUMIFS(계산!$C:$C,계산!$A:$A,계산!$E303,계산!$B:$B,$B$1*100+11))</f>
        <v/>
      </c>
      <c r="N305" s="14">
        <f>IF(원생!$A303="","",SUMIFS(계산!$C:$C,계산!$A:$A,계산!$E303,계산!$B:$B,$B$1*100+12))</f>
        <v/>
      </c>
      <c r="O305">
        <f>IF(원생!$I303="","",원생!$I303)</f>
        <v/>
      </c>
      <c r="P305">
        <f>IF($A305="","",IF(AND($B305&gt;0,C305&lt;$B305,DATE($B$1,1,1)&lt;=TODAY(),OR($O305="",$O305&gt;=DATE($B$1,1,1)),OR(COUNTIF($C305:C305,"&gt;0")&gt;0,DATE($B$1,1,1)=DATE(YEAR(TODAY()),MONTH(TODAY()),1))),1,0))</f>
        <v/>
      </c>
      <c r="Q305">
        <f>IF($A305="","",IF(AND($B305&gt;0,D305&lt;$B305,DATE($B$1,2,1)&lt;=TODAY(),OR($O305="",$O305&gt;=DATE($B$1,2,1)),OR(COUNTIF($C305:D305,"&gt;0")&gt;0,DATE($B$1,2,1)=DATE(YEAR(TODAY()),MONTH(TODAY()),1))),1,0))</f>
        <v/>
      </c>
      <c r="R305">
        <f>IF($A305="","",IF(AND($B305&gt;0,E305&lt;$B305,DATE($B$1,3,1)&lt;=TODAY(),OR($O305="",$O305&gt;=DATE($B$1,3,1)),OR(COUNTIF($C305:E305,"&gt;0")&gt;0,DATE($B$1,3,1)=DATE(YEAR(TODAY()),MONTH(TODAY()),1))),1,0))</f>
        <v/>
      </c>
      <c r="S305">
        <f>IF($A305="","",IF(AND($B305&gt;0,F305&lt;$B305,DATE($B$1,4,1)&lt;=TODAY(),OR($O305="",$O305&gt;=DATE($B$1,4,1)),OR(COUNTIF($C305:F305,"&gt;0")&gt;0,DATE($B$1,4,1)=DATE(YEAR(TODAY()),MONTH(TODAY()),1))),1,0))</f>
        <v/>
      </c>
      <c r="T305">
        <f>IF($A305="","",IF(AND($B305&gt;0,G305&lt;$B305,DATE($B$1,5,1)&lt;=TODAY(),OR($O305="",$O305&gt;=DATE($B$1,5,1)),OR(COUNTIF($C305:G305,"&gt;0")&gt;0,DATE($B$1,5,1)=DATE(YEAR(TODAY()),MONTH(TODAY()),1))),1,0))</f>
        <v/>
      </c>
      <c r="U305">
        <f>IF($A305="","",IF(AND($B305&gt;0,H305&lt;$B305,DATE($B$1,6,1)&lt;=TODAY(),OR($O305="",$O305&gt;=DATE($B$1,6,1)),OR(COUNTIF($C305:H305,"&gt;0")&gt;0,DATE($B$1,6,1)=DATE(YEAR(TODAY()),MONTH(TODAY()),1))),1,0))</f>
        <v/>
      </c>
      <c r="V305">
        <f>IF($A305="","",IF(AND($B305&gt;0,I305&lt;$B305,DATE($B$1,7,1)&lt;=TODAY(),OR($O305="",$O305&gt;=DATE($B$1,7,1)),OR(COUNTIF($C305:I305,"&gt;0")&gt;0,DATE($B$1,7,1)=DATE(YEAR(TODAY()),MONTH(TODAY()),1))),1,0))</f>
        <v/>
      </c>
      <c r="W305">
        <f>IF($A305="","",IF(AND($B305&gt;0,J305&lt;$B305,DATE($B$1,8,1)&lt;=TODAY(),OR($O305="",$O305&gt;=DATE($B$1,8,1)),OR(COUNTIF($C305:J305,"&gt;0")&gt;0,DATE($B$1,8,1)=DATE(YEAR(TODAY()),MONTH(TODAY()),1))),1,0))</f>
        <v/>
      </c>
      <c r="X305">
        <f>IF($A305="","",IF(AND($B305&gt;0,K305&lt;$B305,DATE($B$1,9,1)&lt;=TODAY(),OR($O305="",$O305&gt;=DATE($B$1,9,1)),OR(COUNTIF($C305:K305,"&gt;0")&gt;0,DATE($B$1,9,1)=DATE(YEAR(TODAY()),MONTH(TODAY()),1))),1,0))</f>
        <v/>
      </c>
      <c r="Y305">
        <f>IF($A305="","",IF(AND($B305&gt;0,L305&lt;$B305,DATE($B$1,10,1)&lt;=TODAY(),OR($O305="",$O305&gt;=DATE($B$1,10,1)),OR(COUNTIF($C305:L305,"&gt;0")&gt;0,DATE($B$1,10,1)=DATE(YEAR(TODAY()),MONTH(TODAY()),1))),1,0))</f>
        <v/>
      </c>
      <c r="Z305">
        <f>IF($A305="","",IF(AND($B305&gt;0,M305&lt;$B305,DATE($B$1,11,1)&lt;=TODAY(),OR($O305="",$O305&gt;=DATE($B$1,11,1)),OR(COUNTIF($C305:M305,"&gt;0")&gt;0,DATE($B$1,11,1)=DATE(YEAR(TODAY()),MONTH(TODAY()),1))),1,0))</f>
        <v/>
      </c>
      <c r="AA305">
        <f>IF($A305="","",IF(AND($B305&gt;0,N305&lt;$B305,DATE($B$1,12,1)&lt;=TODAY(),OR($O305="",$O305&gt;=DATE($B$1,12,1)),OR(COUNTIF($C305:N305,"&gt;0")&gt;0,DATE($B$1,12,1)=DATE(YEAR(TODAY()),MONTH(TODAY()),1))),1,0))</f>
        <v/>
      </c>
    </row>
    <row r="306">
      <c r="A306" s="13">
        <f>IF(원생!$A304="","",원생!$A304&amp;IF(원생!$G304="",""," ("&amp;원생!$G304&amp;")"))</f>
        <v/>
      </c>
      <c r="B306" s="8">
        <f>IF(원생!$A304="","",N(원생!$F304))</f>
        <v/>
      </c>
      <c r="C306" s="14">
        <f>IF(원생!$A304="","",SUMIFS(계산!$C:$C,계산!$A:$A,계산!$E304,계산!$B:$B,$B$1*100+1))</f>
        <v/>
      </c>
      <c r="D306" s="14">
        <f>IF(원생!$A304="","",SUMIFS(계산!$C:$C,계산!$A:$A,계산!$E304,계산!$B:$B,$B$1*100+2))</f>
        <v/>
      </c>
      <c r="E306" s="14">
        <f>IF(원생!$A304="","",SUMIFS(계산!$C:$C,계산!$A:$A,계산!$E304,계산!$B:$B,$B$1*100+3))</f>
        <v/>
      </c>
      <c r="F306" s="14">
        <f>IF(원생!$A304="","",SUMIFS(계산!$C:$C,계산!$A:$A,계산!$E304,계산!$B:$B,$B$1*100+4))</f>
        <v/>
      </c>
      <c r="G306" s="14">
        <f>IF(원생!$A304="","",SUMIFS(계산!$C:$C,계산!$A:$A,계산!$E304,계산!$B:$B,$B$1*100+5))</f>
        <v/>
      </c>
      <c r="H306" s="14">
        <f>IF(원생!$A304="","",SUMIFS(계산!$C:$C,계산!$A:$A,계산!$E304,계산!$B:$B,$B$1*100+6))</f>
        <v/>
      </c>
      <c r="I306" s="14">
        <f>IF(원생!$A304="","",SUMIFS(계산!$C:$C,계산!$A:$A,계산!$E304,계산!$B:$B,$B$1*100+7))</f>
        <v/>
      </c>
      <c r="J306" s="14">
        <f>IF(원생!$A304="","",SUMIFS(계산!$C:$C,계산!$A:$A,계산!$E304,계산!$B:$B,$B$1*100+8))</f>
        <v/>
      </c>
      <c r="K306" s="14">
        <f>IF(원생!$A304="","",SUMIFS(계산!$C:$C,계산!$A:$A,계산!$E304,계산!$B:$B,$B$1*100+9))</f>
        <v/>
      </c>
      <c r="L306" s="14">
        <f>IF(원생!$A304="","",SUMIFS(계산!$C:$C,계산!$A:$A,계산!$E304,계산!$B:$B,$B$1*100+10))</f>
        <v/>
      </c>
      <c r="M306" s="14">
        <f>IF(원생!$A304="","",SUMIFS(계산!$C:$C,계산!$A:$A,계산!$E304,계산!$B:$B,$B$1*100+11))</f>
        <v/>
      </c>
      <c r="N306" s="14">
        <f>IF(원생!$A304="","",SUMIFS(계산!$C:$C,계산!$A:$A,계산!$E304,계산!$B:$B,$B$1*100+12))</f>
        <v/>
      </c>
      <c r="O306">
        <f>IF(원생!$I304="","",원생!$I304)</f>
        <v/>
      </c>
      <c r="P306">
        <f>IF($A306="","",IF(AND($B306&gt;0,C306&lt;$B306,DATE($B$1,1,1)&lt;=TODAY(),OR($O306="",$O306&gt;=DATE($B$1,1,1)),OR(COUNTIF($C306:C306,"&gt;0")&gt;0,DATE($B$1,1,1)=DATE(YEAR(TODAY()),MONTH(TODAY()),1))),1,0))</f>
        <v/>
      </c>
      <c r="Q306">
        <f>IF($A306="","",IF(AND($B306&gt;0,D306&lt;$B306,DATE($B$1,2,1)&lt;=TODAY(),OR($O306="",$O306&gt;=DATE($B$1,2,1)),OR(COUNTIF($C306:D306,"&gt;0")&gt;0,DATE($B$1,2,1)=DATE(YEAR(TODAY()),MONTH(TODAY()),1))),1,0))</f>
        <v/>
      </c>
      <c r="R306">
        <f>IF($A306="","",IF(AND($B306&gt;0,E306&lt;$B306,DATE($B$1,3,1)&lt;=TODAY(),OR($O306="",$O306&gt;=DATE($B$1,3,1)),OR(COUNTIF($C306:E306,"&gt;0")&gt;0,DATE($B$1,3,1)=DATE(YEAR(TODAY()),MONTH(TODAY()),1))),1,0))</f>
        <v/>
      </c>
      <c r="S306">
        <f>IF($A306="","",IF(AND($B306&gt;0,F306&lt;$B306,DATE($B$1,4,1)&lt;=TODAY(),OR($O306="",$O306&gt;=DATE($B$1,4,1)),OR(COUNTIF($C306:F306,"&gt;0")&gt;0,DATE($B$1,4,1)=DATE(YEAR(TODAY()),MONTH(TODAY()),1))),1,0))</f>
        <v/>
      </c>
      <c r="T306">
        <f>IF($A306="","",IF(AND($B306&gt;0,G306&lt;$B306,DATE($B$1,5,1)&lt;=TODAY(),OR($O306="",$O306&gt;=DATE($B$1,5,1)),OR(COUNTIF($C306:G306,"&gt;0")&gt;0,DATE($B$1,5,1)=DATE(YEAR(TODAY()),MONTH(TODAY()),1))),1,0))</f>
        <v/>
      </c>
      <c r="U306">
        <f>IF($A306="","",IF(AND($B306&gt;0,H306&lt;$B306,DATE($B$1,6,1)&lt;=TODAY(),OR($O306="",$O306&gt;=DATE($B$1,6,1)),OR(COUNTIF($C306:H306,"&gt;0")&gt;0,DATE($B$1,6,1)=DATE(YEAR(TODAY()),MONTH(TODAY()),1))),1,0))</f>
        <v/>
      </c>
      <c r="V306">
        <f>IF($A306="","",IF(AND($B306&gt;0,I306&lt;$B306,DATE($B$1,7,1)&lt;=TODAY(),OR($O306="",$O306&gt;=DATE($B$1,7,1)),OR(COUNTIF($C306:I306,"&gt;0")&gt;0,DATE($B$1,7,1)=DATE(YEAR(TODAY()),MONTH(TODAY()),1))),1,0))</f>
        <v/>
      </c>
      <c r="W306">
        <f>IF($A306="","",IF(AND($B306&gt;0,J306&lt;$B306,DATE($B$1,8,1)&lt;=TODAY(),OR($O306="",$O306&gt;=DATE($B$1,8,1)),OR(COUNTIF($C306:J306,"&gt;0")&gt;0,DATE($B$1,8,1)=DATE(YEAR(TODAY()),MONTH(TODAY()),1))),1,0))</f>
        <v/>
      </c>
      <c r="X306">
        <f>IF($A306="","",IF(AND($B306&gt;0,K306&lt;$B306,DATE($B$1,9,1)&lt;=TODAY(),OR($O306="",$O306&gt;=DATE($B$1,9,1)),OR(COUNTIF($C306:K306,"&gt;0")&gt;0,DATE($B$1,9,1)=DATE(YEAR(TODAY()),MONTH(TODAY()),1))),1,0))</f>
        <v/>
      </c>
      <c r="Y306">
        <f>IF($A306="","",IF(AND($B306&gt;0,L306&lt;$B306,DATE($B$1,10,1)&lt;=TODAY(),OR($O306="",$O306&gt;=DATE($B$1,10,1)),OR(COUNTIF($C306:L306,"&gt;0")&gt;0,DATE($B$1,10,1)=DATE(YEAR(TODAY()),MONTH(TODAY()),1))),1,0))</f>
        <v/>
      </c>
      <c r="Z306">
        <f>IF($A306="","",IF(AND($B306&gt;0,M306&lt;$B306,DATE($B$1,11,1)&lt;=TODAY(),OR($O306="",$O306&gt;=DATE($B$1,11,1)),OR(COUNTIF($C306:M306,"&gt;0")&gt;0,DATE($B$1,11,1)=DATE(YEAR(TODAY()),MONTH(TODAY()),1))),1,0))</f>
        <v/>
      </c>
      <c r="AA306">
        <f>IF($A306="","",IF(AND($B306&gt;0,N306&lt;$B306,DATE($B$1,12,1)&lt;=TODAY(),OR($O306="",$O306&gt;=DATE($B$1,12,1)),OR(COUNTIF($C306:N306,"&gt;0")&gt;0,DATE($B$1,12,1)=DATE(YEAR(TODAY()),MONTH(TODAY()),1))),1,0))</f>
        <v/>
      </c>
    </row>
    <row r="307">
      <c r="A307" s="13">
        <f>IF(원생!$A305="","",원생!$A305&amp;IF(원생!$G305="",""," ("&amp;원생!$G305&amp;")"))</f>
        <v/>
      </c>
      <c r="B307" s="8">
        <f>IF(원생!$A305="","",N(원생!$F305))</f>
        <v/>
      </c>
      <c r="C307" s="14">
        <f>IF(원생!$A305="","",SUMIFS(계산!$C:$C,계산!$A:$A,계산!$E305,계산!$B:$B,$B$1*100+1))</f>
        <v/>
      </c>
      <c r="D307" s="14">
        <f>IF(원생!$A305="","",SUMIFS(계산!$C:$C,계산!$A:$A,계산!$E305,계산!$B:$B,$B$1*100+2))</f>
        <v/>
      </c>
      <c r="E307" s="14">
        <f>IF(원생!$A305="","",SUMIFS(계산!$C:$C,계산!$A:$A,계산!$E305,계산!$B:$B,$B$1*100+3))</f>
        <v/>
      </c>
      <c r="F307" s="14">
        <f>IF(원생!$A305="","",SUMIFS(계산!$C:$C,계산!$A:$A,계산!$E305,계산!$B:$B,$B$1*100+4))</f>
        <v/>
      </c>
      <c r="G307" s="14">
        <f>IF(원생!$A305="","",SUMIFS(계산!$C:$C,계산!$A:$A,계산!$E305,계산!$B:$B,$B$1*100+5))</f>
        <v/>
      </c>
      <c r="H307" s="14">
        <f>IF(원생!$A305="","",SUMIFS(계산!$C:$C,계산!$A:$A,계산!$E305,계산!$B:$B,$B$1*100+6))</f>
        <v/>
      </c>
      <c r="I307" s="14">
        <f>IF(원생!$A305="","",SUMIFS(계산!$C:$C,계산!$A:$A,계산!$E305,계산!$B:$B,$B$1*100+7))</f>
        <v/>
      </c>
      <c r="J307" s="14">
        <f>IF(원생!$A305="","",SUMIFS(계산!$C:$C,계산!$A:$A,계산!$E305,계산!$B:$B,$B$1*100+8))</f>
        <v/>
      </c>
      <c r="K307" s="14">
        <f>IF(원생!$A305="","",SUMIFS(계산!$C:$C,계산!$A:$A,계산!$E305,계산!$B:$B,$B$1*100+9))</f>
        <v/>
      </c>
      <c r="L307" s="14">
        <f>IF(원생!$A305="","",SUMIFS(계산!$C:$C,계산!$A:$A,계산!$E305,계산!$B:$B,$B$1*100+10))</f>
        <v/>
      </c>
      <c r="M307" s="14">
        <f>IF(원생!$A305="","",SUMIFS(계산!$C:$C,계산!$A:$A,계산!$E305,계산!$B:$B,$B$1*100+11))</f>
        <v/>
      </c>
      <c r="N307" s="14">
        <f>IF(원생!$A305="","",SUMIFS(계산!$C:$C,계산!$A:$A,계산!$E305,계산!$B:$B,$B$1*100+12))</f>
        <v/>
      </c>
      <c r="O307">
        <f>IF(원생!$I305="","",원생!$I305)</f>
        <v/>
      </c>
      <c r="P307">
        <f>IF($A307="","",IF(AND($B307&gt;0,C307&lt;$B307,DATE($B$1,1,1)&lt;=TODAY(),OR($O307="",$O307&gt;=DATE($B$1,1,1)),OR(COUNTIF($C307:C307,"&gt;0")&gt;0,DATE($B$1,1,1)=DATE(YEAR(TODAY()),MONTH(TODAY()),1))),1,0))</f>
        <v/>
      </c>
      <c r="Q307">
        <f>IF($A307="","",IF(AND($B307&gt;0,D307&lt;$B307,DATE($B$1,2,1)&lt;=TODAY(),OR($O307="",$O307&gt;=DATE($B$1,2,1)),OR(COUNTIF($C307:D307,"&gt;0")&gt;0,DATE($B$1,2,1)=DATE(YEAR(TODAY()),MONTH(TODAY()),1))),1,0))</f>
        <v/>
      </c>
      <c r="R307">
        <f>IF($A307="","",IF(AND($B307&gt;0,E307&lt;$B307,DATE($B$1,3,1)&lt;=TODAY(),OR($O307="",$O307&gt;=DATE($B$1,3,1)),OR(COUNTIF($C307:E307,"&gt;0")&gt;0,DATE($B$1,3,1)=DATE(YEAR(TODAY()),MONTH(TODAY()),1))),1,0))</f>
        <v/>
      </c>
      <c r="S307">
        <f>IF($A307="","",IF(AND($B307&gt;0,F307&lt;$B307,DATE($B$1,4,1)&lt;=TODAY(),OR($O307="",$O307&gt;=DATE($B$1,4,1)),OR(COUNTIF($C307:F307,"&gt;0")&gt;0,DATE($B$1,4,1)=DATE(YEAR(TODAY()),MONTH(TODAY()),1))),1,0))</f>
        <v/>
      </c>
      <c r="T307">
        <f>IF($A307="","",IF(AND($B307&gt;0,G307&lt;$B307,DATE($B$1,5,1)&lt;=TODAY(),OR($O307="",$O307&gt;=DATE($B$1,5,1)),OR(COUNTIF($C307:G307,"&gt;0")&gt;0,DATE($B$1,5,1)=DATE(YEAR(TODAY()),MONTH(TODAY()),1))),1,0))</f>
        <v/>
      </c>
      <c r="U307">
        <f>IF($A307="","",IF(AND($B307&gt;0,H307&lt;$B307,DATE($B$1,6,1)&lt;=TODAY(),OR($O307="",$O307&gt;=DATE($B$1,6,1)),OR(COUNTIF($C307:H307,"&gt;0")&gt;0,DATE($B$1,6,1)=DATE(YEAR(TODAY()),MONTH(TODAY()),1))),1,0))</f>
        <v/>
      </c>
      <c r="V307">
        <f>IF($A307="","",IF(AND($B307&gt;0,I307&lt;$B307,DATE($B$1,7,1)&lt;=TODAY(),OR($O307="",$O307&gt;=DATE($B$1,7,1)),OR(COUNTIF($C307:I307,"&gt;0")&gt;0,DATE($B$1,7,1)=DATE(YEAR(TODAY()),MONTH(TODAY()),1))),1,0))</f>
        <v/>
      </c>
      <c r="W307">
        <f>IF($A307="","",IF(AND($B307&gt;0,J307&lt;$B307,DATE($B$1,8,1)&lt;=TODAY(),OR($O307="",$O307&gt;=DATE($B$1,8,1)),OR(COUNTIF($C307:J307,"&gt;0")&gt;0,DATE($B$1,8,1)=DATE(YEAR(TODAY()),MONTH(TODAY()),1))),1,0))</f>
        <v/>
      </c>
      <c r="X307">
        <f>IF($A307="","",IF(AND($B307&gt;0,K307&lt;$B307,DATE($B$1,9,1)&lt;=TODAY(),OR($O307="",$O307&gt;=DATE($B$1,9,1)),OR(COUNTIF($C307:K307,"&gt;0")&gt;0,DATE($B$1,9,1)=DATE(YEAR(TODAY()),MONTH(TODAY()),1))),1,0))</f>
        <v/>
      </c>
      <c r="Y307">
        <f>IF($A307="","",IF(AND($B307&gt;0,L307&lt;$B307,DATE($B$1,10,1)&lt;=TODAY(),OR($O307="",$O307&gt;=DATE($B$1,10,1)),OR(COUNTIF($C307:L307,"&gt;0")&gt;0,DATE($B$1,10,1)=DATE(YEAR(TODAY()),MONTH(TODAY()),1))),1,0))</f>
        <v/>
      </c>
      <c r="Z307">
        <f>IF($A307="","",IF(AND($B307&gt;0,M307&lt;$B307,DATE($B$1,11,1)&lt;=TODAY(),OR($O307="",$O307&gt;=DATE($B$1,11,1)),OR(COUNTIF($C307:M307,"&gt;0")&gt;0,DATE($B$1,11,1)=DATE(YEAR(TODAY()),MONTH(TODAY()),1))),1,0))</f>
        <v/>
      </c>
      <c r="AA307">
        <f>IF($A307="","",IF(AND($B307&gt;0,N307&lt;$B307,DATE($B$1,12,1)&lt;=TODAY(),OR($O307="",$O307&gt;=DATE($B$1,12,1)),OR(COUNTIF($C307:N307,"&gt;0")&gt;0,DATE($B$1,12,1)=DATE(YEAR(TODAY()),MONTH(TODAY()),1))),1,0))</f>
        <v/>
      </c>
    </row>
    <row r="308">
      <c r="A308" s="13">
        <f>IF(원생!$A306="","",원생!$A306&amp;IF(원생!$G306="",""," ("&amp;원생!$G306&amp;")"))</f>
        <v/>
      </c>
      <c r="B308" s="8">
        <f>IF(원생!$A306="","",N(원생!$F306))</f>
        <v/>
      </c>
      <c r="C308" s="14">
        <f>IF(원생!$A306="","",SUMIFS(계산!$C:$C,계산!$A:$A,계산!$E306,계산!$B:$B,$B$1*100+1))</f>
        <v/>
      </c>
      <c r="D308" s="14">
        <f>IF(원생!$A306="","",SUMIFS(계산!$C:$C,계산!$A:$A,계산!$E306,계산!$B:$B,$B$1*100+2))</f>
        <v/>
      </c>
      <c r="E308" s="14">
        <f>IF(원생!$A306="","",SUMIFS(계산!$C:$C,계산!$A:$A,계산!$E306,계산!$B:$B,$B$1*100+3))</f>
        <v/>
      </c>
      <c r="F308" s="14">
        <f>IF(원생!$A306="","",SUMIFS(계산!$C:$C,계산!$A:$A,계산!$E306,계산!$B:$B,$B$1*100+4))</f>
        <v/>
      </c>
      <c r="G308" s="14">
        <f>IF(원생!$A306="","",SUMIFS(계산!$C:$C,계산!$A:$A,계산!$E306,계산!$B:$B,$B$1*100+5))</f>
        <v/>
      </c>
      <c r="H308" s="14">
        <f>IF(원생!$A306="","",SUMIFS(계산!$C:$C,계산!$A:$A,계산!$E306,계산!$B:$B,$B$1*100+6))</f>
        <v/>
      </c>
      <c r="I308" s="14">
        <f>IF(원생!$A306="","",SUMIFS(계산!$C:$C,계산!$A:$A,계산!$E306,계산!$B:$B,$B$1*100+7))</f>
        <v/>
      </c>
      <c r="J308" s="14">
        <f>IF(원생!$A306="","",SUMIFS(계산!$C:$C,계산!$A:$A,계산!$E306,계산!$B:$B,$B$1*100+8))</f>
        <v/>
      </c>
      <c r="K308" s="14">
        <f>IF(원생!$A306="","",SUMIFS(계산!$C:$C,계산!$A:$A,계산!$E306,계산!$B:$B,$B$1*100+9))</f>
        <v/>
      </c>
      <c r="L308" s="14">
        <f>IF(원생!$A306="","",SUMIFS(계산!$C:$C,계산!$A:$A,계산!$E306,계산!$B:$B,$B$1*100+10))</f>
        <v/>
      </c>
      <c r="M308" s="14">
        <f>IF(원생!$A306="","",SUMIFS(계산!$C:$C,계산!$A:$A,계산!$E306,계산!$B:$B,$B$1*100+11))</f>
        <v/>
      </c>
      <c r="N308" s="14">
        <f>IF(원생!$A306="","",SUMIFS(계산!$C:$C,계산!$A:$A,계산!$E306,계산!$B:$B,$B$1*100+12))</f>
        <v/>
      </c>
      <c r="O308">
        <f>IF(원생!$I306="","",원생!$I306)</f>
        <v/>
      </c>
      <c r="P308">
        <f>IF($A308="","",IF(AND($B308&gt;0,C308&lt;$B308,DATE($B$1,1,1)&lt;=TODAY(),OR($O308="",$O308&gt;=DATE($B$1,1,1)),OR(COUNTIF($C308:C308,"&gt;0")&gt;0,DATE($B$1,1,1)=DATE(YEAR(TODAY()),MONTH(TODAY()),1))),1,0))</f>
        <v/>
      </c>
      <c r="Q308">
        <f>IF($A308="","",IF(AND($B308&gt;0,D308&lt;$B308,DATE($B$1,2,1)&lt;=TODAY(),OR($O308="",$O308&gt;=DATE($B$1,2,1)),OR(COUNTIF($C308:D308,"&gt;0")&gt;0,DATE($B$1,2,1)=DATE(YEAR(TODAY()),MONTH(TODAY()),1))),1,0))</f>
        <v/>
      </c>
      <c r="R308">
        <f>IF($A308="","",IF(AND($B308&gt;0,E308&lt;$B308,DATE($B$1,3,1)&lt;=TODAY(),OR($O308="",$O308&gt;=DATE($B$1,3,1)),OR(COUNTIF($C308:E308,"&gt;0")&gt;0,DATE($B$1,3,1)=DATE(YEAR(TODAY()),MONTH(TODAY()),1))),1,0))</f>
        <v/>
      </c>
      <c r="S308">
        <f>IF($A308="","",IF(AND($B308&gt;0,F308&lt;$B308,DATE($B$1,4,1)&lt;=TODAY(),OR($O308="",$O308&gt;=DATE($B$1,4,1)),OR(COUNTIF($C308:F308,"&gt;0")&gt;0,DATE($B$1,4,1)=DATE(YEAR(TODAY()),MONTH(TODAY()),1))),1,0))</f>
        <v/>
      </c>
      <c r="T308">
        <f>IF($A308="","",IF(AND($B308&gt;0,G308&lt;$B308,DATE($B$1,5,1)&lt;=TODAY(),OR($O308="",$O308&gt;=DATE($B$1,5,1)),OR(COUNTIF($C308:G308,"&gt;0")&gt;0,DATE($B$1,5,1)=DATE(YEAR(TODAY()),MONTH(TODAY()),1))),1,0))</f>
        <v/>
      </c>
      <c r="U308">
        <f>IF($A308="","",IF(AND($B308&gt;0,H308&lt;$B308,DATE($B$1,6,1)&lt;=TODAY(),OR($O308="",$O308&gt;=DATE($B$1,6,1)),OR(COUNTIF($C308:H308,"&gt;0")&gt;0,DATE($B$1,6,1)=DATE(YEAR(TODAY()),MONTH(TODAY()),1))),1,0))</f>
        <v/>
      </c>
      <c r="V308">
        <f>IF($A308="","",IF(AND($B308&gt;0,I308&lt;$B308,DATE($B$1,7,1)&lt;=TODAY(),OR($O308="",$O308&gt;=DATE($B$1,7,1)),OR(COUNTIF($C308:I308,"&gt;0")&gt;0,DATE($B$1,7,1)=DATE(YEAR(TODAY()),MONTH(TODAY()),1))),1,0))</f>
        <v/>
      </c>
      <c r="W308">
        <f>IF($A308="","",IF(AND($B308&gt;0,J308&lt;$B308,DATE($B$1,8,1)&lt;=TODAY(),OR($O308="",$O308&gt;=DATE($B$1,8,1)),OR(COUNTIF($C308:J308,"&gt;0")&gt;0,DATE($B$1,8,1)=DATE(YEAR(TODAY()),MONTH(TODAY()),1))),1,0))</f>
        <v/>
      </c>
      <c r="X308">
        <f>IF($A308="","",IF(AND($B308&gt;0,K308&lt;$B308,DATE($B$1,9,1)&lt;=TODAY(),OR($O308="",$O308&gt;=DATE($B$1,9,1)),OR(COUNTIF($C308:K308,"&gt;0")&gt;0,DATE($B$1,9,1)=DATE(YEAR(TODAY()),MONTH(TODAY()),1))),1,0))</f>
        <v/>
      </c>
      <c r="Y308">
        <f>IF($A308="","",IF(AND($B308&gt;0,L308&lt;$B308,DATE($B$1,10,1)&lt;=TODAY(),OR($O308="",$O308&gt;=DATE($B$1,10,1)),OR(COUNTIF($C308:L308,"&gt;0")&gt;0,DATE($B$1,10,1)=DATE(YEAR(TODAY()),MONTH(TODAY()),1))),1,0))</f>
        <v/>
      </c>
      <c r="Z308">
        <f>IF($A308="","",IF(AND($B308&gt;0,M308&lt;$B308,DATE($B$1,11,1)&lt;=TODAY(),OR($O308="",$O308&gt;=DATE($B$1,11,1)),OR(COUNTIF($C308:M308,"&gt;0")&gt;0,DATE($B$1,11,1)=DATE(YEAR(TODAY()),MONTH(TODAY()),1))),1,0))</f>
        <v/>
      </c>
      <c r="AA308">
        <f>IF($A308="","",IF(AND($B308&gt;0,N308&lt;$B308,DATE($B$1,12,1)&lt;=TODAY(),OR($O308="",$O308&gt;=DATE($B$1,12,1)),OR(COUNTIF($C308:N308,"&gt;0")&gt;0,DATE($B$1,12,1)=DATE(YEAR(TODAY()),MONTH(TODAY()),1))),1,0))</f>
        <v/>
      </c>
    </row>
    <row r="309">
      <c r="A309" s="13">
        <f>IF(원생!$A307="","",원생!$A307&amp;IF(원생!$G307="",""," ("&amp;원생!$G307&amp;")"))</f>
        <v/>
      </c>
      <c r="B309" s="8">
        <f>IF(원생!$A307="","",N(원생!$F307))</f>
        <v/>
      </c>
      <c r="C309" s="14">
        <f>IF(원생!$A307="","",SUMIFS(계산!$C:$C,계산!$A:$A,계산!$E307,계산!$B:$B,$B$1*100+1))</f>
        <v/>
      </c>
      <c r="D309" s="14">
        <f>IF(원생!$A307="","",SUMIFS(계산!$C:$C,계산!$A:$A,계산!$E307,계산!$B:$B,$B$1*100+2))</f>
        <v/>
      </c>
      <c r="E309" s="14">
        <f>IF(원생!$A307="","",SUMIFS(계산!$C:$C,계산!$A:$A,계산!$E307,계산!$B:$B,$B$1*100+3))</f>
        <v/>
      </c>
      <c r="F309" s="14">
        <f>IF(원생!$A307="","",SUMIFS(계산!$C:$C,계산!$A:$A,계산!$E307,계산!$B:$B,$B$1*100+4))</f>
        <v/>
      </c>
      <c r="G309" s="14">
        <f>IF(원생!$A307="","",SUMIFS(계산!$C:$C,계산!$A:$A,계산!$E307,계산!$B:$B,$B$1*100+5))</f>
        <v/>
      </c>
      <c r="H309" s="14">
        <f>IF(원생!$A307="","",SUMIFS(계산!$C:$C,계산!$A:$A,계산!$E307,계산!$B:$B,$B$1*100+6))</f>
        <v/>
      </c>
      <c r="I309" s="14">
        <f>IF(원생!$A307="","",SUMIFS(계산!$C:$C,계산!$A:$A,계산!$E307,계산!$B:$B,$B$1*100+7))</f>
        <v/>
      </c>
      <c r="J309" s="14">
        <f>IF(원생!$A307="","",SUMIFS(계산!$C:$C,계산!$A:$A,계산!$E307,계산!$B:$B,$B$1*100+8))</f>
        <v/>
      </c>
      <c r="K309" s="14">
        <f>IF(원생!$A307="","",SUMIFS(계산!$C:$C,계산!$A:$A,계산!$E307,계산!$B:$B,$B$1*100+9))</f>
        <v/>
      </c>
      <c r="L309" s="14">
        <f>IF(원생!$A307="","",SUMIFS(계산!$C:$C,계산!$A:$A,계산!$E307,계산!$B:$B,$B$1*100+10))</f>
        <v/>
      </c>
      <c r="M309" s="14">
        <f>IF(원생!$A307="","",SUMIFS(계산!$C:$C,계산!$A:$A,계산!$E307,계산!$B:$B,$B$1*100+11))</f>
        <v/>
      </c>
      <c r="N309" s="14">
        <f>IF(원생!$A307="","",SUMIFS(계산!$C:$C,계산!$A:$A,계산!$E307,계산!$B:$B,$B$1*100+12))</f>
        <v/>
      </c>
      <c r="O309">
        <f>IF(원생!$I307="","",원생!$I307)</f>
        <v/>
      </c>
      <c r="P309">
        <f>IF($A309="","",IF(AND($B309&gt;0,C309&lt;$B309,DATE($B$1,1,1)&lt;=TODAY(),OR($O309="",$O309&gt;=DATE($B$1,1,1)),OR(COUNTIF($C309:C309,"&gt;0")&gt;0,DATE($B$1,1,1)=DATE(YEAR(TODAY()),MONTH(TODAY()),1))),1,0))</f>
        <v/>
      </c>
      <c r="Q309">
        <f>IF($A309="","",IF(AND($B309&gt;0,D309&lt;$B309,DATE($B$1,2,1)&lt;=TODAY(),OR($O309="",$O309&gt;=DATE($B$1,2,1)),OR(COUNTIF($C309:D309,"&gt;0")&gt;0,DATE($B$1,2,1)=DATE(YEAR(TODAY()),MONTH(TODAY()),1))),1,0))</f>
        <v/>
      </c>
      <c r="R309">
        <f>IF($A309="","",IF(AND($B309&gt;0,E309&lt;$B309,DATE($B$1,3,1)&lt;=TODAY(),OR($O309="",$O309&gt;=DATE($B$1,3,1)),OR(COUNTIF($C309:E309,"&gt;0")&gt;0,DATE($B$1,3,1)=DATE(YEAR(TODAY()),MONTH(TODAY()),1))),1,0))</f>
        <v/>
      </c>
      <c r="S309">
        <f>IF($A309="","",IF(AND($B309&gt;0,F309&lt;$B309,DATE($B$1,4,1)&lt;=TODAY(),OR($O309="",$O309&gt;=DATE($B$1,4,1)),OR(COUNTIF($C309:F309,"&gt;0")&gt;0,DATE($B$1,4,1)=DATE(YEAR(TODAY()),MONTH(TODAY()),1))),1,0))</f>
        <v/>
      </c>
      <c r="T309">
        <f>IF($A309="","",IF(AND($B309&gt;0,G309&lt;$B309,DATE($B$1,5,1)&lt;=TODAY(),OR($O309="",$O309&gt;=DATE($B$1,5,1)),OR(COUNTIF($C309:G309,"&gt;0")&gt;0,DATE($B$1,5,1)=DATE(YEAR(TODAY()),MONTH(TODAY()),1))),1,0))</f>
        <v/>
      </c>
      <c r="U309">
        <f>IF($A309="","",IF(AND($B309&gt;0,H309&lt;$B309,DATE($B$1,6,1)&lt;=TODAY(),OR($O309="",$O309&gt;=DATE($B$1,6,1)),OR(COUNTIF($C309:H309,"&gt;0")&gt;0,DATE($B$1,6,1)=DATE(YEAR(TODAY()),MONTH(TODAY()),1))),1,0))</f>
        <v/>
      </c>
      <c r="V309">
        <f>IF($A309="","",IF(AND($B309&gt;0,I309&lt;$B309,DATE($B$1,7,1)&lt;=TODAY(),OR($O309="",$O309&gt;=DATE($B$1,7,1)),OR(COUNTIF($C309:I309,"&gt;0")&gt;0,DATE($B$1,7,1)=DATE(YEAR(TODAY()),MONTH(TODAY()),1))),1,0))</f>
        <v/>
      </c>
      <c r="W309">
        <f>IF($A309="","",IF(AND($B309&gt;0,J309&lt;$B309,DATE($B$1,8,1)&lt;=TODAY(),OR($O309="",$O309&gt;=DATE($B$1,8,1)),OR(COUNTIF($C309:J309,"&gt;0")&gt;0,DATE($B$1,8,1)=DATE(YEAR(TODAY()),MONTH(TODAY()),1))),1,0))</f>
        <v/>
      </c>
      <c r="X309">
        <f>IF($A309="","",IF(AND($B309&gt;0,K309&lt;$B309,DATE($B$1,9,1)&lt;=TODAY(),OR($O309="",$O309&gt;=DATE($B$1,9,1)),OR(COUNTIF($C309:K309,"&gt;0")&gt;0,DATE($B$1,9,1)=DATE(YEAR(TODAY()),MONTH(TODAY()),1))),1,0))</f>
        <v/>
      </c>
      <c r="Y309">
        <f>IF($A309="","",IF(AND($B309&gt;0,L309&lt;$B309,DATE($B$1,10,1)&lt;=TODAY(),OR($O309="",$O309&gt;=DATE($B$1,10,1)),OR(COUNTIF($C309:L309,"&gt;0")&gt;0,DATE($B$1,10,1)=DATE(YEAR(TODAY()),MONTH(TODAY()),1))),1,0))</f>
        <v/>
      </c>
      <c r="Z309">
        <f>IF($A309="","",IF(AND($B309&gt;0,M309&lt;$B309,DATE($B$1,11,1)&lt;=TODAY(),OR($O309="",$O309&gt;=DATE($B$1,11,1)),OR(COUNTIF($C309:M309,"&gt;0")&gt;0,DATE($B$1,11,1)=DATE(YEAR(TODAY()),MONTH(TODAY()),1))),1,0))</f>
        <v/>
      </c>
      <c r="AA309">
        <f>IF($A309="","",IF(AND($B309&gt;0,N309&lt;$B309,DATE($B$1,12,1)&lt;=TODAY(),OR($O309="",$O309&gt;=DATE($B$1,12,1)),OR(COUNTIF($C309:N309,"&gt;0")&gt;0,DATE($B$1,12,1)=DATE(YEAR(TODAY()),MONTH(TODAY()),1))),1,0))</f>
        <v/>
      </c>
    </row>
    <row r="310">
      <c r="A310" s="13">
        <f>IF(원생!$A308="","",원생!$A308&amp;IF(원생!$G308="",""," ("&amp;원생!$G308&amp;")"))</f>
        <v/>
      </c>
      <c r="B310" s="8">
        <f>IF(원생!$A308="","",N(원생!$F308))</f>
        <v/>
      </c>
      <c r="C310" s="14">
        <f>IF(원생!$A308="","",SUMIFS(계산!$C:$C,계산!$A:$A,계산!$E308,계산!$B:$B,$B$1*100+1))</f>
        <v/>
      </c>
      <c r="D310" s="14">
        <f>IF(원생!$A308="","",SUMIFS(계산!$C:$C,계산!$A:$A,계산!$E308,계산!$B:$B,$B$1*100+2))</f>
        <v/>
      </c>
      <c r="E310" s="14">
        <f>IF(원생!$A308="","",SUMIFS(계산!$C:$C,계산!$A:$A,계산!$E308,계산!$B:$B,$B$1*100+3))</f>
        <v/>
      </c>
      <c r="F310" s="14">
        <f>IF(원생!$A308="","",SUMIFS(계산!$C:$C,계산!$A:$A,계산!$E308,계산!$B:$B,$B$1*100+4))</f>
        <v/>
      </c>
      <c r="G310" s="14">
        <f>IF(원생!$A308="","",SUMIFS(계산!$C:$C,계산!$A:$A,계산!$E308,계산!$B:$B,$B$1*100+5))</f>
        <v/>
      </c>
      <c r="H310" s="14">
        <f>IF(원생!$A308="","",SUMIFS(계산!$C:$C,계산!$A:$A,계산!$E308,계산!$B:$B,$B$1*100+6))</f>
        <v/>
      </c>
      <c r="I310" s="14">
        <f>IF(원생!$A308="","",SUMIFS(계산!$C:$C,계산!$A:$A,계산!$E308,계산!$B:$B,$B$1*100+7))</f>
        <v/>
      </c>
      <c r="J310" s="14">
        <f>IF(원생!$A308="","",SUMIFS(계산!$C:$C,계산!$A:$A,계산!$E308,계산!$B:$B,$B$1*100+8))</f>
        <v/>
      </c>
      <c r="K310" s="14">
        <f>IF(원생!$A308="","",SUMIFS(계산!$C:$C,계산!$A:$A,계산!$E308,계산!$B:$B,$B$1*100+9))</f>
        <v/>
      </c>
      <c r="L310" s="14">
        <f>IF(원생!$A308="","",SUMIFS(계산!$C:$C,계산!$A:$A,계산!$E308,계산!$B:$B,$B$1*100+10))</f>
        <v/>
      </c>
      <c r="M310" s="14">
        <f>IF(원생!$A308="","",SUMIFS(계산!$C:$C,계산!$A:$A,계산!$E308,계산!$B:$B,$B$1*100+11))</f>
        <v/>
      </c>
      <c r="N310" s="14">
        <f>IF(원생!$A308="","",SUMIFS(계산!$C:$C,계산!$A:$A,계산!$E308,계산!$B:$B,$B$1*100+12))</f>
        <v/>
      </c>
      <c r="O310">
        <f>IF(원생!$I308="","",원생!$I308)</f>
        <v/>
      </c>
      <c r="P310">
        <f>IF($A310="","",IF(AND($B310&gt;0,C310&lt;$B310,DATE($B$1,1,1)&lt;=TODAY(),OR($O310="",$O310&gt;=DATE($B$1,1,1)),OR(COUNTIF($C310:C310,"&gt;0")&gt;0,DATE($B$1,1,1)=DATE(YEAR(TODAY()),MONTH(TODAY()),1))),1,0))</f>
        <v/>
      </c>
      <c r="Q310">
        <f>IF($A310="","",IF(AND($B310&gt;0,D310&lt;$B310,DATE($B$1,2,1)&lt;=TODAY(),OR($O310="",$O310&gt;=DATE($B$1,2,1)),OR(COUNTIF($C310:D310,"&gt;0")&gt;0,DATE($B$1,2,1)=DATE(YEAR(TODAY()),MONTH(TODAY()),1))),1,0))</f>
        <v/>
      </c>
      <c r="R310">
        <f>IF($A310="","",IF(AND($B310&gt;0,E310&lt;$B310,DATE($B$1,3,1)&lt;=TODAY(),OR($O310="",$O310&gt;=DATE($B$1,3,1)),OR(COUNTIF($C310:E310,"&gt;0")&gt;0,DATE($B$1,3,1)=DATE(YEAR(TODAY()),MONTH(TODAY()),1))),1,0))</f>
        <v/>
      </c>
      <c r="S310">
        <f>IF($A310="","",IF(AND($B310&gt;0,F310&lt;$B310,DATE($B$1,4,1)&lt;=TODAY(),OR($O310="",$O310&gt;=DATE($B$1,4,1)),OR(COUNTIF($C310:F310,"&gt;0")&gt;0,DATE($B$1,4,1)=DATE(YEAR(TODAY()),MONTH(TODAY()),1))),1,0))</f>
        <v/>
      </c>
      <c r="T310">
        <f>IF($A310="","",IF(AND($B310&gt;0,G310&lt;$B310,DATE($B$1,5,1)&lt;=TODAY(),OR($O310="",$O310&gt;=DATE($B$1,5,1)),OR(COUNTIF($C310:G310,"&gt;0")&gt;0,DATE($B$1,5,1)=DATE(YEAR(TODAY()),MONTH(TODAY()),1))),1,0))</f>
        <v/>
      </c>
      <c r="U310">
        <f>IF($A310="","",IF(AND($B310&gt;0,H310&lt;$B310,DATE($B$1,6,1)&lt;=TODAY(),OR($O310="",$O310&gt;=DATE($B$1,6,1)),OR(COUNTIF($C310:H310,"&gt;0")&gt;0,DATE($B$1,6,1)=DATE(YEAR(TODAY()),MONTH(TODAY()),1))),1,0))</f>
        <v/>
      </c>
      <c r="V310">
        <f>IF($A310="","",IF(AND($B310&gt;0,I310&lt;$B310,DATE($B$1,7,1)&lt;=TODAY(),OR($O310="",$O310&gt;=DATE($B$1,7,1)),OR(COUNTIF($C310:I310,"&gt;0")&gt;0,DATE($B$1,7,1)=DATE(YEAR(TODAY()),MONTH(TODAY()),1))),1,0))</f>
        <v/>
      </c>
      <c r="W310">
        <f>IF($A310="","",IF(AND($B310&gt;0,J310&lt;$B310,DATE($B$1,8,1)&lt;=TODAY(),OR($O310="",$O310&gt;=DATE($B$1,8,1)),OR(COUNTIF($C310:J310,"&gt;0")&gt;0,DATE($B$1,8,1)=DATE(YEAR(TODAY()),MONTH(TODAY()),1))),1,0))</f>
        <v/>
      </c>
      <c r="X310">
        <f>IF($A310="","",IF(AND($B310&gt;0,K310&lt;$B310,DATE($B$1,9,1)&lt;=TODAY(),OR($O310="",$O310&gt;=DATE($B$1,9,1)),OR(COUNTIF($C310:K310,"&gt;0")&gt;0,DATE($B$1,9,1)=DATE(YEAR(TODAY()),MONTH(TODAY()),1))),1,0))</f>
        <v/>
      </c>
      <c r="Y310">
        <f>IF($A310="","",IF(AND($B310&gt;0,L310&lt;$B310,DATE($B$1,10,1)&lt;=TODAY(),OR($O310="",$O310&gt;=DATE($B$1,10,1)),OR(COUNTIF($C310:L310,"&gt;0")&gt;0,DATE($B$1,10,1)=DATE(YEAR(TODAY()),MONTH(TODAY()),1))),1,0))</f>
        <v/>
      </c>
      <c r="Z310">
        <f>IF($A310="","",IF(AND($B310&gt;0,M310&lt;$B310,DATE($B$1,11,1)&lt;=TODAY(),OR($O310="",$O310&gt;=DATE($B$1,11,1)),OR(COUNTIF($C310:M310,"&gt;0")&gt;0,DATE($B$1,11,1)=DATE(YEAR(TODAY()),MONTH(TODAY()),1))),1,0))</f>
        <v/>
      </c>
      <c r="AA310">
        <f>IF($A310="","",IF(AND($B310&gt;0,N310&lt;$B310,DATE($B$1,12,1)&lt;=TODAY(),OR($O310="",$O310&gt;=DATE($B$1,12,1)),OR(COUNTIF($C310:N310,"&gt;0")&gt;0,DATE($B$1,12,1)=DATE(YEAR(TODAY()),MONTH(TODAY()),1))),1,0))</f>
        <v/>
      </c>
    </row>
    <row r="311">
      <c r="A311" s="13">
        <f>IF(원생!$A309="","",원생!$A309&amp;IF(원생!$G309="",""," ("&amp;원생!$G309&amp;")"))</f>
        <v/>
      </c>
      <c r="B311" s="8">
        <f>IF(원생!$A309="","",N(원생!$F309))</f>
        <v/>
      </c>
      <c r="C311" s="14">
        <f>IF(원생!$A309="","",SUMIFS(계산!$C:$C,계산!$A:$A,계산!$E309,계산!$B:$B,$B$1*100+1))</f>
        <v/>
      </c>
      <c r="D311" s="14">
        <f>IF(원생!$A309="","",SUMIFS(계산!$C:$C,계산!$A:$A,계산!$E309,계산!$B:$B,$B$1*100+2))</f>
        <v/>
      </c>
      <c r="E311" s="14">
        <f>IF(원생!$A309="","",SUMIFS(계산!$C:$C,계산!$A:$A,계산!$E309,계산!$B:$B,$B$1*100+3))</f>
        <v/>
      </c>
      <c r="F311" s="14">
        <f>IF(원생!$A309="","",SUMIFS(계산!$C:$C,계산!$A:$A,계산!$E309,계산!$B:$B,$B$1*100+4))</f>
        <v/>
      </c>
      <c r="G311" s="14">
        <f>IF(원생!$A309="","",SUMIFS(계산!$C:$C,계산!$A:$A,계산!$E309,계산!$B:$B,$B$1*100+5))</f>
        <v/>
      </c>
      <c r="H311" s="14">
        <f>IF(원생!$A309="","",SUMIFS(계산!$C:$C,계산!$A:$A,계산!$E309,계산!$B:$B,$B$1*100+6))</f>
        <v/>
      </c>
      <c r="I311" s="14">
        <f>IF(원생!$A309="","",SUMIFS(계산!$C:$C,계산!$A:$A,계산!$E309,계산!$B:$B,$B$1*100+7))</f>
        <v/>
      </c>
      <c r="J311" s="14">
        <f>IF(원생!$A309="","",SUMIFS(계산!$C:$C,계산!$A:$A,계산!$E309,계산!$B:$B,$B$1*100+8))</f>
        <v/>
      </c>
      <c r="K311" s="14">
        <f>IF(원생!$A309="","",SUMIFS(계산!$C:$C,계산!$A:$A,계산!$E309,계산!$B:$B,$B$1*100+9))</f>
        <v/>
      </c>
      <c r="L311" s="14">
        <f>IF(원생!$A309="","",SUMIFS(계산!$C:$C,계산!$A:$A,계산!$E309,계산!$B:$B,$B$1*100+10))</f>
        <v/>
      </c>
      <c r="M311" s="14">
        <f>IF(원생!$A309="","",SUMIFS(계산!$C:$C,계산!$A:$A,계산!$E309,계산!$B:$B,$B$1*100+11))</f>
        <v/>
      </c>
      <c r="N311" s="14">
        <f>IF(원생!$A309="","",SUMIFS(계산!$C:$C,계산!$A:$A,계산!$E309,계산!$B:$B,$B$1*100+12))</f>
        <v/>
      </c>
      <c r="O311">
        <f>IF(원생!$I309="","",원생!$I309)</f>
        <v/>
      </c>
      <c r="P311">
        <f>IF($A311="","",IF(AND($B311&gt;0,C311&lt;$B311,DATE($B$1,1,1)&lt;=TODAY(),OR($O311="",$O311&gt;=DATE($B$1,1,1)),OR(COUNTIF($C311:C311,"&gt;0")&gt;0,DATE($B$1,1,1)=DATE(YEAR(TODAY()),MONTH(TODAY()),1))),1,0))</f>
        <v/>
      </c>
      <c r="Q311">
        <f>IF($A311="","",IF(AND($B311&gt;0,D311&lt;$B311,DATE($B$1,2,1)&lt;=TODAY(),OR($O311="",$O311&gt;=DATE($B$1,2,1)),OR(COUNTIF($C311:D311,"&gt;0")&gt;0,DATE($B$1,2,1)=DATE(YEAR(TODAY()),MONTH(TODAY()),1))),1,0))</f>
        <v/>
      </c>
      <c r="R311">
        <f>IF($A311="","",IF(AND($B311&gt;0,E311&lt;$B311,DATE($B$1,3,1)&lt;=TODAY(),OR($O311="",$O311&gt;=DATE($B$1,3,1)),OR(COUNTIF($C311:E311,"&gt;0")&gt;0,DATE($B$1,3,1)=DATE(YEAR(TODAY()),MONTH(TODAY()),1))),1,0))</f>
        <v/>
      </c>
      <c r="S311">
        <f>IF($A311="","",IF(AND($B311&gt;0,F311&lt;$B311,DATE($B$1,4,1)&lt;=TODAY(),OR($O311="",$O311&gt;=DATE($B$1,4,1)),OR(COUNTIF($C311:F311,"&gt;0")&gt;0,DATE($B$1,4,1)=DATE(YEAR(TODAY()),MONTH(TODAY()),1))),1,0))</f>
        <v/>
      </c>
      <c r="T311">
        <f>IF($A311="","",IF(AND($B311&gt;0,G311&lt;$B311,DATE($B$1,5,1)&lt;=TODAY(),OR($O311="",$O311&gt;=DATE($B$1,5,1)),OR(COUNTIF($C311:G311,"&gt;0")&gt;0,DATE($B$1,5,1)=DATE(YEAR(TODAY()),MONTH(TODAY()),1))),1,0))</f>
        <v/>
      </c>
      <c r="U311">
        <f>IF($A311="","",IF(AND($B311&gt;0,H311&lt;$B311,DATE($B$1,6,1)&lt;=TODAY(),OR($O311="",$O311&gt;=DATE($B$1,6,1)),OR(COUNTIF($C311:H311,"&gt;0")&gt;0,DATE($B$1,6,1)=DATE(YEAR(TODAY()),MONTH(TODAY()),1))),1,0))</f>
        <v/>
      </c>
      <c r="V311">
        <f>IF($A311="","",IF(AND($B311&gt;0,I311&lt;$B311,DATE($B$1,7,1)&lt;=TODAY(),OR($O311="",$O311&gt;=DATE($B$1,7,1)),OR(COUNTIF($C311:I311,"&gt;0")&gt;0,DATE($B$1,7,1)=DATE(YEAR(TODAY()),MONTH(TODAY()),1))),1,0))</f>
        <v/>
      </c>
      <c r="W311">
        <f>IF($A311="","",IF(AND($B311&gt;0,J311&lt;$B311,DATE($B$1,8,1)&lt;=TODAY(),OR($O311="",$O311&gt;=DATE($B$1,8,1)),OR(COUNTIF($C311:J311,"&gt;0")&gt;0,DATE($B$1,8,1)=DATE(YEAR(TODAY()),MONTH(TODAY()),1))),1,0))</f>
        <v/>
      </c>
      <c r="X311">
        <f>IF($A311="","",IF(AND($B311&gt;0,K311&lt;$B311,DATE($B$1,9,1)&lt;=TODAY(),OR($O311="",$O311&gt;=DATE($B$1,9,1)),OR(COUNTIF($C311:K311,"&gt;0")&gt;0,DATE($B$1,9,1)=DATE(YEAR(TODAY()),MONTH(TODAY()),1))),1,0))</f>
        <v/>
      </c>
      <c r="Y311">
        <f>IF($A311="","",IF(AND($B311&gt;0,L311&lt;$B311,DATE($B$1,10,1)&lt;=TODAY(),OR($O311="",$O311&gt;=DATE($B$1,10,1)),OR(COUNTIF($C311:L311,"&gt;0")&gt;0,DATE($B$1,10,1)=DATE(YEAR(TODAY()),MONTH(TODAY()),1))),1,0))</f>
        <v/>
      </c>
      <c r="Z311">
        <f>IF($A311="","",IF(AND($B311&gt;0,M311&lt;$B311,DATE($B$1,11,1)&lt;=TODAY(),OR($O311="",$O311&gt;=DATE($B$1,11,1)),OR(COUNTIF($C311:M311,"&gt;0")&gt;0,DATE($B$1,11,1)=DATE(YEAR(TODAY()),MONTH(TODAY()),1))),1,0))</f>
        <v/>
      </c>
      <c r="AA311">
        <f>IF($A311="","",IF(AND($B311&gt;0,N311&lt;$B311,DATE($B$1,12,1)&lt;=TODAY(),OR($O311="",$O311&gt;=DATE($B$1,12,1)),OR(COUNTIF($C311:N311,"&gt;0")&gt;0,DATE($B$1,12,1)=DATE(YEAR(TODAY()),MONTH(TODAY()),1))),1,0))</f>
        <v/>
      </c>
    </row>
    <row r="312">
      <c r="A312" s="13">
        <f>IF(원생!$A310="","",원생!$A310&amp;IF(원생!$G310="",""," ("&amp;원생!$G310&amp;")"))</f>
        <v/>
      </c>
      <c r="B312" s="8">
        <f>IF(원생!$A310="","",N(원생!$F310))</f>
        <v/>
      </c>
      <c r="C312" s="14">
        <f>IF(원생!$A310="","",SUMIFS(계산!$C:$C,계산!$A:$A,계산!$E310,계산!$B:$B,$B$1*100+1))</f>
        <v/>
      </c>
      <c r="D312" s="14">
        <f>IF(원생!$A310="","",SUMIFS(계산!$C:$C,계산!$A:$A,계산!$E310,계산!$B:$B,$B$1*100+2))</f>
        <v/>
      </c>
      <c r="E312" s="14">
        <f>IF(원생!$A310="","",SUMIFS(계산!$C:$C,계산!$A:$A,계산!$E310,계산!$B:$B,$B$1*100+3))</f>
        <v/>
      </c>
      <c r="F312" s="14">
        <f>IF(원생!$A310="","",SUMIFS(계산!$C:$C,계산!$A:$A,계산!$E310,계산!$B:$B,$B$1*100+4))</f>
        <v/>
      </c>
      <c r="G312" s="14">
        <f>IF(원생!$A310="","",SUMIFS(계산!$C:$C,계산!$A:$A,계산!$E310,계산!$B:$B,$B$1*100+5))</f>
        <v/>
      </c>
      <c r="H312" s="14">
        <f>IF(원생!$A310="","",SUMIFS(계산!$C:$C,계산!$A:$A,계산!$E310,계산!$B:$B,$B$1*100+6))</f>
        <v/>
      </c>
      <c r="I312" s="14">
        <f>IF(원생!$A310="","",SUMIFS(계산!$C:$C,계산!$A:$A,계산!$E310,계산!$B:$B,$B$1*100+7))</f>
        <v/>
      </c>
      <c r="J312" s="14">
        <f>IF(원생!$A310="","",SUMIFS(계산!$C:$C,계산!$A:$A,계산!$E310,계산!$B:$B,$B$1*100+8))</f>
        <v/>
      </c>
      <c r="K312" s="14">
        <f>IF(원생!$A310="","",SUMIFS(계산!$C:$C,계산!$A:$A,계산!$E310,계산!$B:$B,$B$1*100+9))</f>
        <v/>
      </c>
      <c r="L312" s="14">
        <f>IF(원생!$A310="","",SUMIFS(계산!$C:$C,계산!$A:$A,계산!$E310,계산!$B:$B,$B$1*100+10))</f>
        <v/>
      </c>
      <c r="M312" s="14">
        <f>IF(원생!$A310="","",SUMIFS(계산!$C:$C,계산!$A:$A,계산!$E310,계산!$B:$B,$B$1*100+11))</f>
        <v/>
      </c>
      <c r="N312" s="14">
        <f>IF(원생!$A310="","",SUMIFS(계산!$C:$C,계산!$A:$A,계산!$E310,계산!$B:$B,$B$1*100+12))</f>
        <v/>
      </c>
      <c r="O312">
        <f>IF(원생!$I310="","",원생!$I310)</f>
        <v/>
      </c>
      <c r="P312">
        <f>IF($A312="","",IF(AND($B312&gt;0,C312&lt;$B312,DATE($B$1,1,1)&lt;=TODAY(),OR($O312="",$O312&gt;=DATE($B$1,1,1)),OR(COUNTIF($C312:C312,"&gt;0")&gt;0,DATE($B$1,1,1)=DATE(YEAR(TODAY()),MONTH(TODAY()),1))),1,0))</f>
        <v/>
      </c>
      <c r="Q312">
        <f>IF($A312="","",IF(AND($B312&gt;0,D312&lt;$B312,DATE($B$1,2,1)&lt;=TODAY(),OR($O312="",$O312&gt;=DATE($B$1,2,1)),OR(COUNTIF($C312:D312,"&gt;0")&gt;0,DATE($B$1,2,1)=DATE(YEAR(TODAY()),MONTH(TODAY()),1))),1,0))</f>
        <v/>
      </c>
      <c r="R312">
        <f>IF($A312="","",IF(AND($B312&gt;0,E312&lt;$B312,DATE($B$1,3,1)&lt;=TODAY(),OR($O312="",$O312&gt;=DATE($B$1,3,1)),OR(COUNTIF($C312:E312,"&gt;0")&gt;0,DATE($B$1,3,1)=DATE(YEAR(TODAY()),MONTH(TODAY()),1))),1,0))</f>
        <v/>
      </c>
      <c r="S312">
        <f>IF($A312="","",IF(AND($B312&gt;0,F312&lt;$B312,DATE($B$1,4,1)&lt;=TODAY(),OR($O312="",$O312&gt;=DATE($B$1,4,1)),OR(COUNTIF($C312:F312,"&gt;0")&gt;0,DATE($B$1,4,1)=DATE(YEAR(TODAY()),MONTH(TODAY()),1))),1,0))</f>
        <v/>
      </c>
      <c r="T312">
        <f>IF($A312="","",IF(AND($B312&gt;0,G312&lt;$B312,DATE($B$1,5,1)&lt;=TODAY(),OR($O312="",$O312&gt;=DATE($B$1,5,1)),OR(COUNTIF($C312:G312,"&gt;0")&gt;0,DATE($B$1,5,1)=DATE(YEAR(TODAY()),MONTH(TODAY()),1))),1,0))</f>
        <v/>
      </c>
      <c r="U312">
        <f>IF($A312="","",IF(AND($B312&gt;0,H312&lt;$B312,DATE($B$1,6,1)&lt;=TODAY(),OR($O312="",$O312&gt;=DATE($B$1,6,1)),OR(COUNTIF($C312:H312,"&gt;0")&gt;0,DATE($B$1,6,1)=DATE(YEAR(TODAY()),MONTH(TODAY()),1))),1,0))</f>
        <v/>
      </c>
      <c r="V312">
        <f>IF($A312="","",IF(AND($B312&gt;0,I312&lt;$B312,DATE($B$1,7,1)&lt;=TODAY(),OR($O312="",$O312&gt;=DATE($B$1,7,1)),OR(COUNTIF($C312:I312,"&gt;0")&gt;0,DATE($B$1,7,1)=DATE(YEAR(TODAY()),MONTH(TODAY()),1))),1,0))</f>
        <v/>
      </c>
      <c r="W312">
        <f>IF($A312="","",IF(AND($B312&gt;0,J312&lt;$B312,DATE($B$1,8,1)&lt;=TODAY(),OR($O312="",$O312&gt;=DATE($B$1,8,1)),OR(COUNTIF($C312:J312,"&gt;0")&gt;0,DATE($B$1,8,1)=DATE(YEAR(TODAY()),MONTH(TODAY()),1))),1,0))</f>
        <v/>
      </c>
      <c r="X312">
        <f>IF($A312="","",IF(AND($B312&gt;0,K312&lt;$B312,DATE($B$1,9,1)&lt;=TODAY(),OR($O312="",$O312&gt;=DATE($B$1,9,1)),OR(COUNTIF($C312:K312,"&gt;0")&gt;0,DATE($B$1,9,1)=DATE(YEAR(TODAY()),MONTH(TODAY()),1))),1,0))</f>
        <v/>
      </c>
      <c r="Y312">
        <f>IF($A312="","",IF(AND($B312&gt;0,L312&lt;$B312,DATE($B$1,10,1)&lt;=TODAY(),OR($O312="",$O312&gt;=DATE($B$1,10,1)),OR(COUNTIF($C312:L312,"&gt;0")&gt;0,DATE($B$1,10,1)=DATE(YEAR(TODAY()),MONTH(TODAY()),1))),1,0))</f>
        <v/>
      </c>
      <c r="Z312">
        <f>IF($A312="","",IF(AND($B312&gt;0,M312&lt;$B312,DATE($B$1,11,1)&lt;=TODAY(),OR($O312="",$O312&gt;=DATE($B$1,11,1)),OR(COUNTIF($C312:M312,"&gt;0")&gt;0,DATE($B$1,11,1)=DATE(YEAR(TODAY()),MONTH(TODAY()),1))),1,0))</f>
        <v/>
      </c>
      <c r="AA312">
        <f>IF($A312="","",IF(AND($B312&gt;0,N312&lt;$B312,DATE($B$1,12,1)&lt;=TODAY(),OR($O312="",$O312&gt;=DATE($B$1,12,1)),OR(COUNTIF($C312:N312,"&gt;0")&gt;0,DATE($B$1,12,1)=DATE(YEAR(TODAY()),MONTH(TODAY()),1))),1,0))</f>
        <v/>
      </c>
    </row>
    <row r="313">
      <c r="A313" s="13">
        <f>IF(원생!$A311="","",원생!$A311&amp;IF(원생!$G311="",""," ("&amp;원생!$G311&amp;")"))</f>
        <v/>
      </c>
      <c r="B313" s="8">
        <f>IF(원생!$A311="","",N(원생!$F311))</f>
        <v/>
      </c>
      <c r="C313" s="14">
        <f>IF(원생!$A311="","",SUMIFS(계산!$C:$C,계산!$A:$A,계산!$E311,계산!$B:$B,$B$1*100+1))</f>
        <v/>
      </c>
      <c r="D313" s="14">
        <f>IF(원생!$A311="","",SUMIFS(계산!$C:$C,계산!$A:$A,계산!$E311,계산!$B:$B,$B$1*100+2))</f>
        <v/>
      </c>
      <c r="E313" s="14">
        <f>IF(원생!$A311="","",SUMIFS(계산!$C:$C,계산!$A:$A,계산!$E311,계산!$B:$B,$B$1*100+3))</f>
        <v/>
      </c>
      <c r="F313" s="14">
        <f>IF(원생!$A311="","",SUMIFS(계산!$C:$C,계산!$A:$A,계산!$E311,계산!$B:$B,$B$1*100+4))</f>
        <v/>
      </c>
      <c r="G313" s="14">
        <f>IF(원생!$A311="","",SUMIFS(계산!$C:$C,계산!$A:$A,계산!$E311,계산!$B:$B,$B$1*100+5))</f>
        <v/>
      </c>
      <c r="H313" s="14">
        <f>IF(원생!$A311="","",SUMIFS(계산!$C:$C,계산!$A:$A,계산!$E311,계산!$B:$B,$B$1*100+6))</f>
        <v/>
      </c>
      <c r="I313" s="14">
        <f>IF(원생!$A311="","",SUMIFS(계산!$C:$C,계산!$A:$A,계산!$E311,계산!$B:$B,$B$1*100+7))</f>
        <v/>
      </c>
      <c r="J313" s="14">
        <f>IF(원생!$A311="","",SUMIFS(계산!$C:$C,계산!$A:$A,계산!$E311,계산!$B:$B,$B$1*100+8))</f>
        <v/>
      </c>
      <c r="K313" s="14">
        <f>IF(원생!$A311="","",SUMIFS(계산!$C:$C,계산!$A:$A,계산!$E311,계산!$B:$B,$B$1*100+9))</f>
        <v/>
      </c>
      <c r="L313" s="14">
        <f>IF(원생!$A311="","",SUMIFS(계산!$C:$C,계산!$A:$A,계산!$E311,계산!$B:$B,$B$1*100+10))</f>
        <v/>
      </c>
      <c r="M313" s="14">
        <f>IF(원생!$A311="","",SUMIFS(계산!$C:$C,계산!$A:$A,계산!$E311,계산!$B:$B,$B$1*100+11))</f>
        <v/>
      </c>
      <c r="N313" s="14">
        <f>IF(원생!$A311="","",SUMIFS(계산!$C:$C,계산!$A:$A,계산!$E311,계산!$B:$B,$B$1*100+12))</f>
        <v/>
      </c>
      <c r="O313">
        <f>IF(원생!$I311="","",원생!$I311)</f>
        <v/>
      </c>
      <c r="P313">
        <f>IF($A313="","",IF(AND($B313&gt;0,C313&lt;$B313,DATE($B$1,1,1)&lt;=TODAY(),OR($O313="",$O313&gt;=DATE($B$1,1,1)),OR(COUNTIF($C313:C313,"&gt;0")&gt;0,DATE($B$1,1,1)=DATE(YEAR(TODAY()),MONTH(TODAY()),1))),1,0))</f>
        <v/>
      </c>
      <c r="Q313">
        <f>IF($A313="","",IF(AND($B313&gt;0,D313&lt;$B313,DATE($B$1,2,1)&lt;=TODAY(),OR($O313="",$O313&gt;=DATE($B$1,2,1)),OR(COUNTIF($C313:D313,"&gt;0")&gt;0,DATE($B$1,2,1)=DATE(YEAR(TODAY()),MONTH(TODAY()),1))),1,0))</f>
        <v/>
      </c>
      <c r="R313">
        <f>IF($A313="","",IF(AND($B313&gt;0,E313&lt;$B313,DATE($B$1,3,1)&lt;=TODAY(),OR($O313="",$O313&gt;=DATE($B$1,3,1)),OR(COUNTIF($C313:E313,"&gt;0")&gt;0,DATE($B$1,3,1)=DATE(YEAR(TODAY()),MONTH(TODAY()),1))),1,0))</f>
        <v/>
      </c>
      <c r="S313">
        <f>IF($A313="","",IF(AND($B313&gt;0,F313&lt;$B313,DATE($B$1,4,1)&lt;=TODAY(),OR($O313="",$O313&gt;=DATE($B$1,4,1)),OR(COUNTIF($C313:F313,"&gt;0")&gt;0,DATE($B$1,4,1)=DATE(YEAR(TODAY()),MONTH(TODAY()),1))),1,0))</f>
        <v/>
      </c>
      <c r="T313">
        <f>IF($A313="","",IF(AND($B313&gt;0,G313&lt;$B313,DATE($B$1,5,1)&lt;=TODAY(),OR($O313="",$O313&gt;=DATE($B$1,5,1)),OR(COUNTIF($C313:G313,"&gt;0")&gt;0,DATE($B$1,5,1)=DATE(YEAR(TODAY()),MONTH(TODAY()),1))),1,0))</f>
        <v/>
      </c>
      <c r="U313">
        <f>IF($A313="","",IF(AND($B313&gt;0,H313&lt;$B313,DATE($B$1,6,1)&lt;=TODAY(),OR($O313="",$O313&gt;=DATE($B$1,6,1)),OR(COUNTIF($C313:H313,"&gt;0")&gt;0,DATE($B$1,6,1)=DATE(YEAR(TODAY()),MONTH(TODAY()),1))),1,0))</f>
        <v/>
      </c>
      <c r="V313">
        <f>IF($A313="","",IF(AND($B313&gt;0,I313&lt;$B313,DATE($B$1,7,1)&lt;=TODAY(),OR($O313="",$O313&gt;=DATE($B$1,7,1)),OR(COUNTIF($C313:I313,"&gt;0")&gt;0,DATE($B$1,7,1)=DATE(YEAR(TODAY()),MONTH(TODAY()),1))),1,0))</f>
        <v/>
      </c>
      <c r="W313">
        <f>IF($A313="","",IF(AND($B313&gt;0,J313&lt;$B313,DATE($B$1,8,1)&lt;=TODAY(),OR($O313="",$O313&gt;=DATE($B$1,8,1)),OR(COUNTIF($C313:J313,"&gt;0")&gt;0,DATE($B$1,8,1)=DATE(YEAR(TODAY()),MONTH(TODAY()),1))),1,0))</f>
        <v/>
      </c>
      <c r="X313">
        <f>IF($A313="","",IF(AND($B313&gt;0,K313&lt;$B313,DATE($B$1,9,1)&lt;=TODAY(),OR($O313="",$O313&gt;=DATE($B$1,9,1)),OR(COUNTIF($C313:K313,"&gt;0")&gt;0,DATE($B$1,9,1)=DATE(YEAR(TODAY()),MONTH(TODAY()),1))),1,0))</f>
        <v/>
      </c>
      <c r="Y313">
        <f>IF($A313="","",IF(AND($B313&gt;0,L313&lt;$B313,DATE($B$1,10,1)&lt;=TODAY(),OR($O313="",$O313&gt;=DATE($B$1,10,1)),OR(COUNTIF($C313:L313,"&gt;0")&gt;0,DATE($B$1,10,1)=DATE(YEAR(TODAY()),MONTH(TODAY()),1))),1,0))</f>
        <v/>
      </c>
      <c r="Z313">
        <f>IF($A313="","",IF(AND($B313&gt;0,M313&lt;$B313,DATE($B$1,11,1)&lt;=TODAY(),OR($O313="",$O313&gt;=DATE($B$1,11,1)),OR(COUNTIF($C313:M313,"&gt;0")&gt;0,DATE($B$1,11,1)=DATE(YEAR(TODAY()),MONTH(TODAY()),1))),1,0))</f>
        <v/>
      </c>
      <c r="AA313">
        <f>IF($A313="","",IF(AND($B313&gt;0,N313&lt;$B313,DATE($B$1,12,1)&lt;=TODAY(),OR($O313="",$O313&gt;=DATE($B$1,12,1)),OR(COUNTIF($C313:N313,"&gt;0")&gt;0,DATE($B$1,12,1)=DATE(YEAR(TODAY()),MONTH(TODAY()),1))),1,0))</f>
        <v/>
      </c>
    </row>
    <row r="314">
      <c r="A314" s="13">
        <f>IF(원생!$A312="","",원생!$A312&amp;IF(원생!$G312="",""," ("&amp;원생!$G312&amp;")"))</f>
        <v/>
      </c>
      <c r="B314" s="8">
        <f>IF(원생!$A312="","",N(원생!$F312))</f>
        <v/>
      </c>
      <c r="C314" s="14">
        <f>IF(원생!$A312="","",SUMIFS(계산!$C:$C,계산!$A:$A,계산!$E312,계산!$B:$B,$B$1*100+1))</f>
        <v/>
      </c>
      <c r="D314" s="14">
        <f>IF(원생!$A312="","",SUMIFS(계산!$C:$C,계산!$A:$A,계산!$E312,계산!$B:$B,$B$1*100+2))</f>
        <v/>
      </c>
      <c r="E314" s="14">
        <f>IF(원생!$A312="","",SUMIFS(계산!$C:$C,계산!$A:$A,계산!$E312,계산!$B:$B,$B$1*100+3))</f>
        <v/>
      </c>
      <c r="F314" s="14">
        <f>IF(원생!$A312="","",SUMIFS(계산!$C:$C,계산!$A:$A,계산!$E312,계산!$B:$B,$B$1*100+4))</f>
        <v/>
      </c>
      <c r="G314" s="14">
        <f>IF(원생!$A312="","",SUMIFS(계산!$C:$C,계산!$A:$A,계산!$E312,계산!$B:$B,$B$1*100+5))</f>
        <v/>
      </c>
      <c r="H314" s="14">
        <f>IF(원생!$A312="","",SUMIFS(계산!$C:$C,계산!$A:$A,계산!$E312,계산!$B:$B,$B$1*100+6))</f>
        <v/>
      </c>
      <c r="I314" s="14">
        <f>IF(원생!$A312="","",SUMIFS(계산!$C:$C,계산!$A:$A,계산!$E312,계산!$B:$B,$B$1*100+7))</f>
        <v/>
      </c>
      <c r="J314" s="14">
        <f>IF(원생!$A312="","",SUMIFS(계산!$C:$C,계산!$A:$A,계산!$E312,계산!$B:$B,$B$1*100+8))</f>
        <v/>
      </c>
      <c r="K314" s="14">
        <f>IF(원생!$A312="","",SUMIFS(계산!$C:$C,계산!$A:$A,계산!$E312,계산!$B:$B,$B$1*100+9))</f>
        <v/>
      </c>
      <c r="L314" s="14">
        <f>IF(원생!$A312="","",SUMIFS(계산!$C:$C,계산!$A:$A,계산!$E312,계산!$B:$B,$B$1*100+10))</f>
        <v/>
      </c>
      <c r="M314" s="14">
        <f>IF(원생!$A312="","",SUMIFS(계산!$C:$C,계산!$A:$A,계산!$E312,계산!$B:$B,$B$1*100+11))</f>
        <v/>
      </c>
      <c r="N314" s="14">
        <f>IF(원생!$A312="","",SUMIFS(계산!$C:$C,계산!$A:$A,계산!$E312,계산!$B:$B,$B$1*100+12))</f>
        <v/>
      </c>
      <c r="O314">
        <f>IF(원생!$I312="","",원생!$I312)</f>
        <v/>
      </c>
      <c r="P314">
        <f>IF($A314="","",IF(AND($B314&gt;0,C314&lt;$B314,DATE($B$1,1,1)&lt;=TODAY(),OR($O314="",$O314&gt;=DATE($B$1,1,1)),OR(COUNTIF($C314:C314,"&gt;0")&gt;0,DATE($B$1,1,1)=DATE(YEAR(TODAY()),MONTH(TODAY()),1))),1,0))</f>
        <v/>
      </c>
      <c r="Q314">
        <f>IF($A314="","",IF(AND($B314&gt;0,D314&lt;$B314,DATE($B$1,2,1)&lt;=TODAY(),OR($O314="",$O314&gt;=DATE($B$1,2,1)),OR(COUNTIF($C314:D314,"&gt;0")&gt;0,DATE($B$1,2,1)=DATE(YEAR(TODAY()),MONTH(TODAY()),1))),1,0))</f>
        <v/>
      </c>
      <c r="R314">
        <f>IF($A314="","",IF(AND($B314&gt;0,E314&lt;$B314,DATE($B$1,3,1)&lt;=TODAY(),OR($O314="",$O314&gt;=DATE($B$1,3,1)),OR(COUNTIF($C314:E314,"&gt;0")&gt;0,DATE($B$1,3,1)=DATE(YEAR(TODAY()),MONTH(TODAY()),1))),1,0))</f>
        <v/>
      </c>
      <c r="S314">
        <f>IF($A314="","",IF(AND($B314&gt;0,F314&lt;$B314,DATE($B$1,4,1)&lt;=TODAY(),OR($O314="",$O314&gt;=DATE($B$1,4,1)),OR(COUNTIF($C314:F314,"&gt;0")&gt;0,DATE($B$1,4,1)=DATE(YEAR(TODAY()),MONTH(TODAY()),1))),1,0))</f>
        <v/>
      </c>
      <c r="T314">
        <f>IF($A314="","",IF(AND($B314&gt;0,G314&lt;$B314,DATE($B$1,5,1)&lt;=TODAY(),OR($O314="",$O314&gt;=DATE($B$1,5,1)),OR(COUNTIF($C314:G314,"&gt;0")&gt;0,DATE($B$1,5,1)=DATE(YEAR(TODAY()),MONTH(TODAY()),1))),1,0))</f>
        <v/>
      </c>
      <c r="U314">
        <f>IF($A314="","",IF(AND($B314&gt;0,H314&lt;$B314,DATE($B$1,6,1)&lt;=TODAY(),OR($O314="",$O314&gt;=DATE($B$1,6,1)),OR(COUNTIF($C314:H314,"&gt;0")&gt;0,DATE($B$1,6,1)=DATE(YEAR(TODAY()),MONTH(TODAY()),1))),1,0))</f>
        <v/>
      </c>
      <c r="V314">
        <f>IF($A314="","",IF(AND($B314&gt;0,I314&lt;$B314,DATE($B$1,7,1)&lt;=TODAY(),OR($O314="",$O314&gt;=DATE($B$1,7,1)),OR(COUNTIF($C314:I314,"&gt;0")&gt;0,DATE($B$1,7,1)=DATE(YEAR(TODAY()),MONTH(TODAY()),1))),1,0))</f>
        <v/>
      </c>
      <c r="W314">
        <f>IF($A314="","",IF(AND($B314&gt;0,J314&lt;$B314,DATE($B$1,8,1)&lt;=TODAY(),OR($O314="",$O314&gt;=DATE($B$1,8,1)),OR(COUNTIF($C314:J314,"&gt;0")&gt;0,DATE($B$1,8,1)=DATE(YEAR(TODAY()),MONTH(TODAY()),1))),1,0))</f>
        <v/>
      </c>
      <c r="X314">
        <f>IF($A314="","",IF(AND($B314&gt;0,K314&lt;$B314,DATE($B$1,9,1)&lt;=TODAY(),OR($O314="",$O314&gt;=DATE($B$1,9,1)),OR(COUNTIF($C314:K314,"&gt;0")&gt;0,DATE($B$1,9,1)=DATE(YEAR(TODAY()),MONTH(TODAY()),1))),1,0))</f>
        <v/>
      </c>
      <c r="Y314">
        <f>IF($A314="","",IF(AND($B314&gt;0,L314&lt;$B314,DATE($B$1,10,1)&lt;=TODAY(),OR($O314="",$O314&gt;=DATE($B$1,10,1)),OR(COUNTIF($C314:L314,"&gt;0")&gt;0,DATE($B$1,10,1)=DATE(YEAR(TODAY()),MONTH(TODAY()),1))),1,0))</f>
        <v/>
      </c>
      <c r="Z314">
        <f>IF($A314="","",IF(AND($B314&gt;0,M314&lt;$B314,DATE($B$1,11,1)&lt;=TODAY(),OR($O314="",$O314&gt;=DATE($B$1,11,1)),OR(COUNTIF($C314:M314,"&gt;0")&gt;0,DATE($B$1,11,1)=DATE(YEAR(TODAY()),MONTH(TODAY()),1))),1,0))</f>
        <v/>
      </c>
      <c r="AA314">
        <f>IF($A314="","",IF(AND($B314&gt;0,N314&lt;$B314,DATE($B$1,12,1)&lt;=TODAY(),OR($O314="",$O314&gt;=DATE($B$1,12,1)),OR(COUNTIF($C314:N314,"&gt;0")&gt;0,DATE($B$1,12,1)=DATE(YEAR(TODAY()),MONTH(TODAY()),1))),1,0))</f>
        <v/>
      </c>
    </row>
    <row r="315">
      <c r="A315" s="13">
        <f>IF(원생!$A313="","",원생!$A313&amp;IF(원생!$G313="",""," ("&amp;원생!$G313&amp;")"))</f>
        <v/>
      </c>
      <c r="B315" s="8">
        <f>IF(원생!$A313="","",N(원생!$F313))</f>
        <v/>
      </c>
      <c r="C315" s="14">
        <f>IF(원생!$A313="","",SUMIFS(계산!$C:$C,계산!$A:$A,계산!$E313,계산!$B:$B,$B$1*100+1))</f>
        <v/>
      </c>
      <c r="D315" s="14">
        <f>IF(원생!$A313="","",SUMIFS(계산!$C:$C,계산!$A:$A,계산!$E313,계산!$B:$B,$B$1*100+2))</f>
        <v/>
      </c>
      <c r="E315" s="14">
        <f>IF(원생!$A313="","",SUMIFS(계산!$C:$C,계산!$A:$A,계산!$E313,계산!$B:$B,$B$1*100+3))</f>
        <v/>
      </c>
      <c r="F315" s="14">
        <f>IF(원생!$A313="","",SUMIFS(계산!$C:$C,계산!$A:$A,계산!$E313,계산!$B:$B,$B$1*100+4))</f>
        <v/>
      </c>
      <c r="G315" s="14">
        <f>IF(원생!$A313="","",SUMIFS(계산!$C:$C,계산!$A:$A,계산!$E313,계산!$B:$B,$B$1*100+5))</f>
        <v/>
      </c>
      <c r="H315" s="14">
        <f>IF(원생!$A313="","",SUMIFS(계산!$C:$C,계산!$A:$A,계산!$E313,계산!$B:$B,$B$1*100+6))</f>
        <v/>
      </c>
      <c r="I315" s="14">
        <f>IF(원생!$A313="","",SUMIFS(계산!$C:$C,계산!$A:$A,계산!$E313,계산!$B:$B,$B$1*100+7))</f>
        <v/>
      </c>
      <c r="J315" s="14">
        <f>IF(원생!$A313="","",SUMIFS(계산!$C:$C,계산!$A:$A,계산!$E313,계산!$B:$B,$B$1*100+8))</f>
        <v/>
      </c>
      <c r="K315" s="14">
        <f>IF(원생!$A313="","",SUMIFS(계산!$C:$C,계산!$A:$A,계산!$E313,계산!$B:$B,$B$1*100+9))</f>
        <v/>
      </c>
      <c r="L315" s="14">
        <f>IF(원생!$A313="","",SUMIFS(계산!$C:$C,계산!$A:$A,계산!$E313,계산!$B:$B,$B$1*100+10))</f>
        <v/>
      </c>
      <c r="M315" s="14">
        <f>IF(원생!$A313="","",SUMIFS(계산!$C:$C,계산!$A:$A,계산!$E313,계산!$B:$B,$B$1*100+11))</f>
        <v/>
      </c>
      <c r="N315" s="14">
        <f>IF(원생!$A313="","",SUMIFS(계산!$C:$C,계산!$A:$A,계산!$E313,계산!$B:$B,$B$1*100+12))</f>
        <v/>
      </c>
      <c r="O315">
        <f>IF(원생!$I313="","",원생!$I313)</f>
        <v/>
      </c>
      <c r="P315">
        <f>IF($A315="","",IF(AND($B315&gt;0,C315&lt;$B315,DATE($B$1,1,1)&lt;=TODAY(),OR($O315="",$O315&gt;=DATE($B$1,1,1)),OR(COUNTIF($C315:C315,"&gt;0")&gt;0,DATE($B$1,1,1)=DATE(YEAR(TODAY()),MONTH(TODAY()),1))),1,0))</f>
        <v/>
      </c>
      <c r="Q315">
        <f>IF($A315="","",IF(AND($B315&gt;0,D315&lt;$B315,DATE($B$1,2,1)&lt;=TODAY(),OR($O315="",$O315&gt;=DATE($B$1,2,1)),OR(COUNTIF($C315:D315,"&gt;0")&gt;0,DATE($B$1,2,1)=DATE(YEAR(TODAY()),MONTH(TODAY()),1))),1,0))</f>
        <v/>
      </c>
      <c r="R315">
        <f>IF($A315="","",IF(AND($B315&gt;0,E315&lt;$B315,DATE($B$1,3,1)&lt;=TODAY(),OR($O315="",$O315&gt;=DATE($B$1,3,1)),OR(COUNTIF($C315:E315,"&gt;0")&gt;0,DATE($B$1,3,1)=DATE(YEAR(TODAY()),MONTH(TODAY()),1))),1,0))</f>
        <v/>
      </c>
      <c r="S315">
        <f>IF($A315="","",IF(AND($B315&gt;0,F315&lt;$B315,DATE($B$1,4,1)&lt;=TODAY(),OR($O315="",$O315&gt;=DATE($B$1,4,1)),OR(COUNTIF($C315:F315,"&gt;0")&gt;0,DATE($B$1,4,1)=DATE(YEAR(TODAY()),MONTH(TODAY()),1))),1,0))</f>
        <v/>
      </c>
      <c r="T315">
        <f>IF($A315="","",IF(AND($B315&gt;0,G315&lt;$B315,DATE($B$1,5,1)&lt;=TODAY(),OR($O315="",$O315&gt;=DATE($B$1,5,1)),OR(COUNTIF($C315:G315,"&gt;0")&gt;0,DATE($B$1,5,1)=DATE(YEAR(TODAY()),MONTH(TODAY()),1))),1,0))</f>
        <v/>
      </c>
      <c r="U315">
        <f>IF($A315="","",IF(AND($B315&gt;0,H315&lt;$B315,DATE($B$1,6,1)&lt;=TODAY(),OR($O315="",$O315&gt;=DATE($B$1,6,1)),OR(COUNTIF($C315:H315,"&gt;0")&gt;0,DATE($B$1,6,1)=DATE(YEAR(TODAY()),MONTH(TODAY()),1))),1,0))</f>
        <v/>
      </c>
      <c r="V315">
        <f>IF($A315="","",IF(AND($B315&gt;0,I315&lt;$B315,DATE($B$1,7,1)&lt;=TODAY(),OR($O315="",$O315&gt;=DATE($B$1,7,1)),OR(COUNTIF($C315:I315,"&gt;0")&gt;0,DATE($B$1,7,1)=DATE(YEAR(TODAY()),MONTH(TODAY()),1))),1,0))</f>
        <v/>
      </c>
      <c r="W315">
        <f>IF($A315="","",IF(AND($B315&gt;0,J315&lt;$B315,DATE($B$1,8,1)&lt;=TODAY(),OR($O315="",$O315&gt;=DATE($B$1,8,1)),OR(COUNTIF($C315:J315,"&gt;0")&gt;0,DATE($B$1,8,1)=DATE(YEAR(TODAY()),MONTH(TODAY()),1))),1,0))</f>
        <v/>
      </c>
      <c r="X315">
        <f>IF($A315="","",IF(AND($B315&gt;0,K315&lt;$B315,DATE($B$1,9,1)&lt;=TODAY(),OR($O315="",$O315&gt;=DATE($B$1,9,1)),OR(COUNTIF($C315:K315,"&gt;0")&gt;0,DATE($B$1,9,1)=DATE(YEAR(TODAY()),MONTH(TODAY()),1))),1,0))</f>
        <v/>
      </c>
      <c r="Y315">
        <f>IF($A315="","",IF(AND($B315&gt;0,L315&lt;$B315,DATE($B$1,10,1)&lt;=TODAY(),OR($O315="",$O315&gt;=DATE($B$1,10,1)),OR(COUNTIF($C315:L315,"&gt;0")&gt;0,DATE($B$1,10,1)=DATE(YEAR(TODAY()),MONTH(TODAY()),1))),1,0))</f>
        <v/>
      </c>
      <c r="Z315">
        <f>IF($A315="","",IF(AND($B315&gt;0,M315&lt;$B315,DATE($B$1,11,1)&lt;=TODAY(),OR($O315="",$O315&gt;=DATE($B$1,11,1)),OR(COUNTIF($C315:M315,"&gt;0")&gt;0,DATE($B$1,11,1)=DATE(YEAR(TODAY()),MONTH(TODAY()),1))),1,0))</f>
        <v/>
      </c>
      <c r="AA315">
        <f>IF($A315="","",IF(AND($B315&gt;0,N315&lt;$B315,DATE($B$1,12,1)&lt;=TODAY(),OR($O315="",$O315&gt;=DATE($B$1,12,1)),OR(COUNTIF($C315:N315,"&gt;0")&gt;0,DATE($B$1,12,1)=DATE(YEAR(TODAY()),MONTH(TODAY()),1))),1,0))</f>
        <v/>
      </c>
    </row>
    <row r="316">
      <c r="A316" s="13">
        <f>IF(원생!$A314="","",원생!$A314&amp;IF(원생!$G314="",""," ("&amp;원생!$G314&amp;")"))</f>
        <v/>
      </c>
      <c r="B316" s="8">
        <f>IF(원생!$A314="","",N(원생!$F314))</f>
        <v/>
      </c>
      <c r="C316" s="14">
        <f>IF(원생!$A314="","",SUMIFS(계산!$C:$C,계산!$A:$A,계산!$E314,계산!$B:$B,$B$1*100+1))</f>
        <v/>
      </c>
      <c r="D316" s="14">
        <f>IF(원생!$A314="","",SUMIFS(계산!$C:$C,계산!$A:$A,계산!$E314,계산!$B:$B,$B$1*100+2))</f>
        <v/>
      </c>
      <c r="E316" s="14">
        <f>IF(원생!$A314="","",SUMIFS(계산!$C:$C,계산!$A:$A,계산!$E314,계산!$B:$B,$B$1*100+3))</f>
        <v/>
      </c>
      <c r="F316" s="14">
        <f>IF(원생!$A314="","",SUMIFS(계산!$C:$C,계산!$A:$A,계산!$E314,계산!$B:$B,$B$1*100+4))</f>
        <v/>
      </c>
      <c r="G316" s="14">
        <f>IF(원생!$A314="","",SUMIFS(계산!$C:$C,계산!$A:$A,계산!$E314,계산!$B:$B,$B$1*100+5))</f>
        <v/>
      </c>
      <c r="H316" s="14">
        <f>IF(원생!$A314="","",SUMIFS(계산!$C:$C,계산!$A:$A,계산!$E314,계산!$B:$B,$B$1*100+6))</f>
        <v/>
      </c>
      <c r="I316" s="14">
        <f>IF(원생!$A314="","",SUMIFS(계산!$C:$C,계산!$A:$A,계산!$E314,계산!$B:$B,$B$1*100+7))</f>
        <v/>
      </c>
      <c r="J316" s="14">
        <f>IF(원생!$A314="","",SUMIFS(계산!$C:$C,계산!$A:$A,계산!$E314,계산!$B:$B,$B$1*100+8))</f>
        <v/>
      </c>
      <c r="K316" s="14">
        <f>IF(원생!$A314="","",SUMIFS(계산!$C:$C,계산!$A:$A,계산!$E314,계산!$B:$B,$B$1*100+9))</f>
        <v/>
      </c>
      <c r="L316" s="14">
        <f>IF(원생!$A314="","",SUMIFS(계산!$C:$C,계산!$A:$A,계산!$E314,계산!$B:$B,$B$1*100+10))</f>
        <v/>
      </c>
      <c r="M316" s="14">
        <f>IF(원생!$A314="","",SUMIFS(계산!$C:$C,계산!$A:$A,계산!$E314,계산!$B:$B,$B$1*100+11))</f>
        <v/>
      </c>
      <c r="N316" s="14">
        <f>IF(원생!$A314="","",SUMIFS(계산!$C:$C,계산!$A:$A,계산!$E314,계산!$B:$B,$B$1*100+12))</f>
        <v/>
      </c>
      <c r="O316">
        <f>IF(원생!$I314="","",원생!$I314)</f>
        <v/>
      </c>
      <c r="P316">
        <f>IF($A316="","",IF(AND($B316&gt;0,C316&lt;$B316,DATE($B$1,1,1)&lt;=TODAY(),OR($O316="",$O316&gt;=DATE($B$1,1,1)),OR(COUNTIF($C316:C316,"&gt;0")&gt;0,DATE($B$1,1,1)=DATE(YEAR(TODAY()),MONTH(TODAY()),1))),1,0))</f>
        <v/>
      </c>
      <c r="Q316">
        <f>IF($A316="","",IF(AND($B316&gt;0,D316&lt;$B316,DATE($B$1,2,1)&lt;=TODAY(),OR($O316="",$O316&gt;=DATE($B$1,2,1)),OR(COUNTIF($C316:D316,"&gt;0")&gt;0,DATE($B$1,2,1)=DATE(YEAR(TODAY()),MONTH(TODAY()),1))),1,0))</f>
        <v/>
      </c>
      <c r="R316">
        <f>IF($A316="","",IF(AND($B316&gt;0,E316&lt;$B316,DATE($B$1,3,1)&lt;=TODAY(),OR($O316="",$O316&gt;=DATE($B$1,3,1)),OR(COUNTIF($C316:E316,"&gt;0")&gt;0,DATE($B$1,3,1)=DATE(YEAR(TODAY()),MONTH(TODAY()),1))),1,0))</f>
        <v/>
      </c>
      <c r="S316">
        <f>IF($A316="","",IF(AND($B316&gt;0,F316&lt;$B316,DATE($B$1,4,1)&lt;=TODAY(),OR($O316="",$O316&gt;=DATE($B$1,4,1)),OR(COUNTIF($C316:F316,"&gt;0")&gt;0,DATE($B$1,4,1)=DATE(YEAR(TODAY()),MONTH(TODAY()),1))),1,0))</f>
        <v/>
      </c>
      <c r="T316">
        <f>IF($A316="","",IF(AND($B316&gt;0,G316&lt;$B316,DATE($B$1,5,1)&lt;=TODAY(),OR($O316="",$O316&gt;=DATE($B$1,5,1)),OR(COUNTIF($C316:G316,"&gt;0")&gt;0,DATE($B$1,5,1)=DATE(YEAR(TODAY()),MONTH(TODAY()),1))),1,0))</f>
        <v/>
      </c>
      <c r="U316">
        <f>IF($A316="","",IF(AND($B316&gt;0,H316&lt;$B316,DATE($B$1,6,1)&lt;=TODAY(),OR($O316="",$O316&gt;=DATE($B$1,6,1)),OR(COUNTIF($C316:H316,"&gt;0")&gt;0,DATE($B$1,6,1)=DATE(YEAR(TODAY()),MONTH(TODAY()),1))),1,0))</f>
        <v/>
      </c>
      <c r="V316">
        <f>IF($A316="","",IF(AND($B316&gt;0,I316&lt;$B316,DATE($B$1,7,1)&lt;=TODAY(),OR($O316="",$O316&gt;=DATE($B$1,7,1)),OR(COUNTIF($C316:I316,"&gt;0")&gt;0,DATE($B$1,7,1)=DATE(YEAR(TODAY()),MONTH(TODAY()),1))),1,0))</f>
        <v/>
      </c>
      <c r="W316">
        <f>IF($A316="","",IF(AND($B316&gt;0,J316&lt;$B316,DATE($B$1,8,1)&lt;=TODAY(),OR($O316="",$O316&gt;=DATE($B$1,8,1)),OR(COUNTIF($C316:J316,"&gt;0")&gt;0,DATE($B$1,8,1)=DATE(YEAR(TODAY()),MONTH(TODAY()),1))),1,0))</f>
        <v/>
      </c>
      <c r="X316">
        <f>IF($A316="","",IF(AND($B316&gt;0,K316&lt;$B316,DATE($B$1,9,1)&lt;=TODAY(),OR($O316="",$O316&gt;=DATE($B$1,9,1)),OR(COUNTIF($C316:K316,"&gt;0")&gt;0,DATE($B$1,9,1)=DATE(YEAR(TODAY()),MONTH(TODAY()),1))),1,0))</f>
        <v/>
      </c>
      <c r="Y316">
        <f>IF($A316="","",IF(AND($B316&gt;0,L316&lt;$B316,DATE($B$1,10,1)&lt;=TODAY(),OR($O316="",$O316&gt;=DATE($B$1,10,1)),OR(COUNTIF($C316:L316,"&gt;0")&gt;0,DATE($B$1,10,1)=DATE(YEAR(TODAY()),MONTH(TODAY()),1))),1,0))</f>
        <v/>
      </c>
      <c r="Z316">
        <f>IF($A316="","",IF(AND($B316&gt;0,M316&lt;$B316,DATE($B$1,11,1)&lt;=TODAY(),OR($O316="",$O316&gt;=DATE($B$1,11,1)),OR(COUNTIF($C316:M316,"&gt;0")&gt;0,DATE($B$1,11,1)=DATE(YEAR(TODAY()),MONTH(TODAY()),1))),1,0))</f>
        <v/>
      </c>
      <c r="AA316">
        <f>IF($A316="","",IF(AND($B316&gt;0,N316&lt;$B316,DATE($B$1,12,1)&lt;=TODAY(),OR($O316="",$O316&gt;=DATE($B$1,12,1)),OR(COUNTIF($C316:N316,"&gt;0")&gt;0,DATE($B$1,12,1)=DATE(YEAR(TODAY()),MONTH(TODAY()),1))),1,0))</f>
        <v/>
      </c>
    </row>
    <row r="317">
      <c r="A317" s="13">
        <f>IF(원생!$A315="","",원생!$A315&amp;IF(원생!$G315="",""," ("&amp;원생!$G315&amp;")"))</f>
        <v/>
      </c>
      <c r="B317" s="8">
        <f>IF(원생!$A315="","",N(원생!$F315))</f>
        <v/>
      </c>
      <c r="C317" s="14">
        <f>IF(원생!$A315="","",SUMIFS(계산!$C:$C,계산!$A:$A,계산!$E315,계산!$B:$B,$B$1*100+1))</f>
        <v/>
      </c>
      <c r="D317" s="14">
        <f>IF(원생!$A315="","",SUMIFS(계산!$C:$C,계산!$A:$A,계산!$E315,계산!$B:$B,$B$1*100+2))</f>
        <v/>
      </c>
      <c r="E317" s="14">
        <f>IF(원생!$A315="","",SUMIFS(계산!$C:$C,계산!$A:$A,계산!$E315,계산!$B:$B,$B$1*100+3))</f>
        <v/>
      </c>
      <c r="F317" s="14">
        <f>IF(원생!$A315="","",SUMIFS(계산!$C:$C,계산!$A:$A,계산!$E315,계산!$B:$B,$B$1*100+4))</f>
        <v/>
      </c>
      <c r="G317" s="14">
        <f>IF(원생!$A315="","",SUMIFS(계산!$C:$C,계산!$A:$A,계산!$E315,계산!$B:$B,$B$1*100+5))</f>
        <v/>
      </c>
      <c r="H317" s="14">
        <f>IF(원생!$A315="","",SUMIFS(계산!$C:$C,계산!$A:$A,계산!$E315,계산!$B:$B,$B$1*100+6))</f>
        <v/>
      </c>
      <c r="I317" s="14">
        <f>IF(원생!$A315="","",SUMIFS(계산!$C:$C,계산!$A:$A,계산!$E315,계산!$B:$B,$B$1*100+7))</f>
        <v/>
      </c>
      <c r="J317" s="14">
        <f>IF(원생!$A315="","",SUMIFS(계산!$C:$C,계산!$A:$A,계산!$E315,계산!$B:$B,$B$1*100+8))</f>
        <v/>
      </c>
      <c r="K317" s="14">
        <f>IF(원생!$A315="","",SUMIFS(계산!$C:$C,계산!$A:$A,계산!$E315,계산!$B:$B,$B$1*100+9))</f>
        <v/>
      </c>
      <c r="L317" s="14">
        <f>IF(원생!$A315="","",SUMIFS(계산!$C:$C,계산!$A:$A,계산!$E315,계산!$B:$B,$B$1*100+10))</f>
        <v/>
      </c>
      <c r="M317" s="14">
        <f>IF(원생!$A315="","",SUMIFS(계산!$C:$C,계산!$A:$A,계산!$E315,계산!$B:$B,$B$1*100+11))</f>
        <v/>
      </c>
      <c r="N317" s="14">
        <f>IF(원생!$A315="","",SUMIFS(계산!$C:$C,계산!$A:$A,계산!$E315,계산!$B:$B,$B$1*100+12))</f>
        <v/>
      </c>
      <c r="O317">
        <f>IF(원생!$I315="","",원생!$I315)</f>
        <v/>
      </c>
      <c r="P317">
        <f>IF($A317="","",IF(AND($B317&gt;0,C317&lt;$B317,DATE($B$1,1,1)&lt;=TODAY(),OR($O317="",$O317&gt;=DATE($B$1,1,1)),OR(COUNTIF($C317:C317,"&gt;0")&gt;0,DATE($B$1,1,1)=DATE(YEAR(TODAY()),MONTH(TODAY()),1))),1,0))</f>
        <v/>
      </c>
      <c r="Q317">
        <f>IF($A317="","",IF(AND($B317&gt;0,D317&lt;$B317,DATE($B$1,2,1)&lt;=TODAY(),OR($O317="",$O317&gt;=DATE($B$1,2,1)),OR(COUNTIF($C317:D317,"&gt;0")&gt;0,DATE($B$1,2,1)=DATE(YEAR(TODAY()),MONTH(TODAY()),1))),1,0))</f>
        <v/>
      </c>
      <c r="R317">
        <f>IF($A317="","",IF(AND($B317&gt;0,E317&lt;$B317,DATE($B$1,3,1)&lt;=TODAY(),OR($O317="",$O317&gt;=DATE($B$1,3,1)),OR(COUNTIF($C317:E317,"&gt;0")&gt;0,DATE($B$1,3,1)=DATE(YEAR(TODAY()),MONTH(TODAY()),1))),1,0))</f>
        <v/>
      </c>
      <c r="S317">
        <f>IF($A317="","",IF(AND($B317&gt;0,F317&lt;$B317,DATE($B$1,4,1)&lt;=TODAY(),OR($O317="",$O317&gt;=DATE($B$1,4,1)),OR(COUNTIF($C317:F317,"&gt;0")&gt;0,DATE($B$1,4,1)=DATE(YEAR(TODAY()),MONTH(TODAY()),1))),1,0))</f>
        <v/>
      </c>
      <c r="T317">
        <f>IF($A317="","",IF(AND($B317&gt;0,G317&lt;$B317,DATE($B$1,5,1)&lt;=TODAY(),OR($O317="",$O317&gt;=DATE($B$1,5,1)),OR(COUNTIF($C317:G317,"&gt;0")&gt;0,DATE($B$1,5,1)=DATE(YEAR(TODAY()),MONTH(TODAY()),1))),1,0))</f>
        <v/>
      </c>
      <c r="U317">
        <f>IF($A317="","",IF(AND($B317&gt;0,H317&lt;$B317,DATE($B$1,6,1)&lt;=TODAY(),OR($O317="",$O317&gt;=DATE($B$1,6,1)),OR(COUNTIF($C317:H317,"&gt;0")&gt;0,DATE($B$1,6,1)=DATE(YEAR(TODAY()),MONTH(TODAY()),1))),1,0))</f>
        <v/>
      </c>
      <c r="V317">
        <f>IF($A317="","",IF(AND($B317&gt;0,I317&lt;$B317,DATE($B$1,7,1)&lt;=TODAY(),OR($O317="",$O317&gt;=DATE($B$1,7,1)),OR(COUNTIF($C317:I317,"&gt;0")&gt;0,DATE($B$1,7,1)=DATE(YEAR(TODAY()),MONTH(TODAY()),1))),1,0))</f>
        <v/>
      </c>
      <c r="W317">
        <f>IF($A317="","",IF(AND($B317&gt;0,J317&lt;$B317,DATE($B$1,8,1)&lt;=TODAY(),OR($O317="",$O317&gt;=DATE($B$1,8,1)),OR(COUNTIF($C317:J317,"&gt;0")&gt;0,DATE($B$1,8,1)=DATE(YEAR(TODAY()),MONTH(TODAY()),1))),1,0))</f>
        <v/>
      </c>
      <c r="X317">
        <f>IF($A317="","",IF(AND($B317&gt;0,K317&lt;$B317,DATE($B$1,9,1)&lt;=TODAY(),OR($O317="",$O317&gt;=DATE($B$1,9,1)),OR(COUNTIF($C317:K317,"&gt;0")&gt;0,DATE($B$1,9,1)=DATE(YEAR(TODAY()),MONTH(TODAY()),1))),1,0))</f>
        <v/>
      </c>
      <c r="Y317">
        <f>IF($A317="","",IF(AND($B317&gt;0,L317&lt;$B317,DATE($B$1,10,1)&lt;=TODAY(),OR($O317="",$O317&gt;=DATE($B$1,10,1)),OR(COUNTIF($C317:L317,"&gt;0")&gt;0,DATE($B$1,10,1)=DATE(YEAR(TODAY()),MONTH(TODAY()),1))),1,0))</f>
        <v/>
      </c>
      <c r="Z317">
        <f>IF($A317="","",IF(AND($B317&gt;0,M317&lt;$B317,DATE($B$1,11,1)&lt;=TODAY(),OR($O317="",$O317&gt;=DATE($B$1,11,1)),OR(COUNTIF($C317:M317,"&gt;0")&gt;0,DATE($B$1,11,1)=DATE(YEAR(TODAY()),MONTH(TODAY()),1))),1,0))</f>
        <v/>
      </c>
      <c r="AA317">
        <f>IF($A317="","",IF(AND($B317&gt;0,N317&lt;$B317,DATE($B$1,12,1)&lt;=TODAY(),OR($O317="",$O317&gt;=DATE($B$1,12,1)),OR(COUNTIF($C317:N317,"&gt;0")&gt;0,DATE($B$1,12,1)=DATE(YEAR(TODAY()),MONTH(TODAY()),1))),1,0))</f>
        <v/>
      </c>
    </row>
    <row r="318">
      <c r="A318" s="13">
        <f>IF(원생!$A316="","",원생!$A316&amp;IF(원생!$G316="",""," ("&amp;원생!$G316&amp;")"))</f>
        <v/>
      </c>
      <c r="B318" s="8">
        <f>IF(원생!$A316="","",N(원생!$F316))</f>
        <v/>
      </c>
      <c r="C318" s="14">
        <f>IF(원생!$A316="","",SUMIFS(계산!$C:$C,계산!$A:$A,계산!$E316,계산!$B:$B,$B$1*100+1))</f>
        <v/>
      </c>
      <c r="D318" s="14">
        <f>IF(원생!$A316="","",SUMIFS(계산!$C:$C,계산!$A:$A,계산!$E316,계산!$B:$B,$B$1*100+2))</f>
        <v/>
      </c>
      <c r="E318" s="14">
        <f>IF(원생!$A316="","",SUMIFS(계산!$C:$C,계산!$A:$A,계산!$E316,계산!$B:$B,$B$1*100+3))</f>
        <v/>
      </c>
      <c r="F318" s="14">
        <f>IF(원생!$A316="","",SUMIFS(계산!$C:$C,계산!$A:$A,계산!$E316,계산!$B:$B,$B$1*100+4))</f>
        <v/>
      </c>
      <c r="G318" s="14">
        <f>IF(원생!$A316="","",SUMIFS(계산!$C:$C,계산!$A:$A,계산!$E316,계산!$B:$B,$B$1*100+5))</f>
        <v/>
      </c>
      <c r="H318" s="14">
        <f>IF(원생!$A316="","",SUMIFS(계산!$C:$C,계산!$A:$A,계산!$E316,계산!$B:$B,$B$1*100+6))</f>
        <v/>
      </c>
      <c r="I318" s="14">
        <f>IF(원생!$A316="","",SUMIFS(계산!$C:$C,계산!$A:$A,계산!$E316,계산!$B:$B,$B$1*100+7))</f>
        <v/>
      </c>
      <c r="J318" s="14">
        <f>IF(원생!$A316="","",SUMIFS(계산!$C:$C,계산!$A:$A,계산!$E316,계산!$B:$B,$B$1*100+8))</f>
        <v/>
      </c>
      <c r="K318" s="14">
        <f>IF(원생!$A316="","",SUMIFS(계산!$C:$C,계산!$A:$A,계산!$E316,계산!$B:$B,$B$1*100+9))</f>
        <v/>
      </c>
      <c r="L318" s="14">
        <f>IF(원생!$A316="","",SUMIFS(계산!$C:$C,계산!$A:$A,계산!$E316,계산!$B:$B,$B$1*100+10))</f>
        <v/>
      </c>
      <c r="M318" s="14">
        <f>IF(원생!$A316="","",SUMIFS(계산!$C:$C,계산!$A:$A,계산!$E316,계산!$B:$B,$B$1*100+11))</f>
        <v/>
      </c>
      <c r="N318" s="14">
        <f>IF(원생!$A316="","",SUMIFS(계산!$C:$C,계산!$A:$A,계산!$E316,계산!$B:$B,$B$1*100+12))</f>
        <v/>
      </c>
      <c r="O318">
        <f>IF(원생!$I316="","",원생!$I316)</f>
        <v/>
      </c>
      <c r="P318">
        <f>IF($A318="","",IF(AND($B318&gt;0,C318&lt;$B318,DATE($B$1,1,1)&lt;=TODAY(),OR($O318="",$O318&gt;=DATE($B$1,1,1)),OR(COUNTIF($C318:C318,"&gt;0")&gt;0,DATE($B$1,1,1)=DATE(YEAR(TODAY()),MONTH(TODAY()),1))),1,0))</f>
        <v/>
      </c>
      <c r="Q318">
        <f>IF($A318="","",IF(AND($B318&gt;0,D318&lt;$B318,DATE($B$1,2,1)&lt;=TODAY(),OR($O318="",$O318&gt;=DATE($B$1,2,1)),OR(COUNTIF($C318:D318,"&gt;0")&gt;0,DATE($B$1,2,1)=DATE(YEAR(TODAY()),MONTH(TODAY()),1))),1,0))</f>
        <v/>
      </c>
      <c r="R318">
        <f>IF($A318="","",IF(AND($B318&gt;0,E318&lt;$B318,DATE($B$1,3,1)&lt;=TODAY(),OR($O318="",$O318&gt;=DATE($B$1,3,1)),OR(COUNTIF($C318:E318,"&gt;0")&gt;0,DATE($B$1,3,1)=DATE(YEAR(TODAY()),MONTH(TODAY()),1))),1,0))</f>
        <v/>
      </c>
      <c r="S318">
        <f>IF($A318="","",IF(AND($B318&gt;0,F318&lt;$B318,DATE($B$1,4,1)&lt;=TODAY(),OR($O318="",$O318&gt;=DATE($B$1,4,1)),OR(COUNTIF($C318:F318,"&gt;0")&gt;0,DATE($B$1,4,1)=DATE(YEAR(TODAY()),MONTH(TODAY()),1))),1,0))</f>
        <v/>
      </c>
      <c r="T318">
        <f>IF($A318="","",IF(AND($B318&gt;0,G318&lt;$B318,DATE($B$1,5,1)&lt;=TODAY(),OR($O318="",$O318&gt;=DATE($B$1,5,1)),OR(COUNTIF($C318:G318,"&gt;0")&gt;0,DATE($B$1,5,1)=DATE(YEAR(TODAY()),MONTH(TODAY()),1))),1,0))</f>
        <v/>
      </c>
      <c r="U318">
        <f>IF($A318="","",IF(AND($B318&gt;0,H318&lt;$B318,DATE($B$1,6,1)&lt;=TODAY(),OR($O318="",$O318&gt;=DATE($B$1,6,1)),OR(COUNTIF($C318:H318,"&gt;0")&gt;0,DATE($B$1,6,1)=DATE(YEAR(TODAY()),MONTH(TODAY()),1))),1,0))</f>
        <v/>
      </c>
      <c r="V318">
        <f>IF($A318="","",IF(AND($B318&gt;0,I318&lt;$B318,DATE($B$1,7,1)&lt;=TODAY(),OR($O318="",$O318&gt;=DATE($B$1,7,1)),OR(COUNTIF($C318:I318,"&gt;0")&gt;0,DATE($B$1,7,1)=DATE(YEAR(TODAY()),MONTH(TODAY()),1))),1,0))</f>
        <v/>
      </c>
      <c r="W318">
        <f>IF($A318="","",IF(AND($B318&gt;0,J318&lt;$B318,DATE($B$1,8,1)&lt;=TODAY(),OR($O318="",$O318&gt;=DATE($B$1,8,1)),OR(COUNTIF($C318:J318,"&gt;0")&gt;0,DATE($B$1,8,1)=DATE(YEAR(TODAY()),MONTH(TODAY()),1))),1,0))</f>
        <v/>
      </c>
      <c r="X318">
        <f>IF($A318="","",IF(AND($B318&gt;0,K318&lt;$B318,DATE($B$1,9,1)&lt;=TODAY(),OR($O318="",$O318&gt;=DATE($B$1,9,1)),OR(COUNTIF($C318:K318,"&gt;0")&gt;0,DATE($B$1,9,1)=DATE(YEAR(TODAY()),MONTH(TODAY()),1))),1,0))</f>
        <v/>
      </c>
      <c r="Y318">
        <f>IF($A318="","",IF(AND($B318&gt;0,L318&lt;$B318,DATE($B$1,10,1)&lt;=TODAY(),OR($O318="",$O318&gt;=DATE($B$1,10,1)),OR(COUNTIF($C318:L318,"&gt;0")&gt;0,DATE($B$1,10,1)=DATE(YEAR(TODAY()),MONTH(TODAY()),1))),1,0))</f>
        <v/>
      </c>
      <c r="Z318">
        <f>IF($A318="","",IF(AND($B318&gt;0,M318&lt;$B318,DATE($B$1,11,1)&lt;=TODAY(),OR($O318="",$O318&gt;=DATE($B$1,11,1)),OR(COUNTIF($C318:M318,"&gt;0")&gt;0,DATE($B$1,11,1)=DATE(YEAR(TODAY()),MONTH(TODAY()),1))),1,0))</f>
        <v/>
      </c>
      <c r="AA318">
        <f>IF($A318="","",IF(AND($B318&gt;0,N318&lt;$B318,DATE($B$1,12,1)&lt;=TODAY(),OR($O318="",$O318&gt;=DATE($B$1,12,1)),OR(COUNTIF($C318:N318,"&gt;0")&gt;0,DATE($B$1,12,1)=DATE(YEAR(TODAY()),MONTH(TODAY()),1))),1,0))</f>
        <v/>
      </c>
    </row>
    <row r="319">
      <c r="A319" s="13">
        <f>IF(원생!$A317="","",원생!$A317&amp;IF(원생!$G317="",""," ("&amp;원생!$G317&amp;")"))</f>
        <v/>
      </c>
      <c r="B319" s="8">
        <f>IF(원생!$A317="","",N(원생!$F317))</f>
        <v/>
      </c>
      <c r="C319" s="14">
        <f>IF(원생!$A317="","",SUMIFS(계산!$C:$C,계산!$A:$A,계산!$E317,계산!$B:$B,$B$1*100+1))</f>
        <v/>
      </c>
      <c r="D319" s="14">
        <f>IF(원생!$A317="","",SUMIFS(계산!$C:$C,계산!$A:$A,계산!$E317,계산!$B:$B,$B$1*100+2))</f>
        <v/>
      </c>
      <c r="E319" s="14">
        <f>IF(원생!$A317="","",SUMIFS(계산!$C:$C,계산!$A:$A,계산!$E317,계산!$B:$B,$B$1*100+3))</f>
        <v/>
      </c>
      <c r="F319" s="14">
        <f>IF(원생!$A317="","",SUMIFS(계산!$C:$C,계산!$A:$A,계산!$E317,계산!$B:$B,$B$1*100+4))</f>
        <v/>
      </c>
      <c r="G319" s="14">
        <f>IF(원생!$A317="","",SUMIFS(계산!$C:$C,계산!$A:$A,계산!$E317,계산!$B:$B,$B$1*100+5))</f>
        <v/>
      </c>
      <c r="H319" s="14">
        <f>IF(원생!$A317="","",SUMIFS(계산!$C:$C,계산!$A:$A,계산!$E317,계산!$B:$B,$B$1*100+6))</f>
        <v/>
      </c>
      <c r="I319" s="14">
        <f>IF(원생!$A317="","",SUMIFS(계산!$C:$C,계산!$A:$A,계산!$E317,계산!$B:$B,$B$1*100+7))</f>
        <v/>
      </c>
      <c r="J319" s="14">
        <f>IF(원생!$A317="","",SUMIFS(계산!$C:$C,계산!$A:$A,계산!$E317,계산!$B:$B,$B$1*100+8))</f>
        <v/>
      </c>
      <c r="K319" s="14">
        <f>IF(원생!$A317="","",SUMIFS(계산!$C:$C,계산!$A:$A,계산!$E317,계산!$B:$B,$B$1*100+9))</f>
        <v/>
      </c>
      <c r="L319" s="14">
        <f>IF(원생!$A317="","",SUMIFS(계산!$C:$C,계산!$A:$A,계산!$E317,계산!$B:$B,$B$1*100+10))</f>
        <v/>
      </c>
      <c r="M319" s="14">
        <f>IF(원생!$A317="","",SUMIFS(계산!$C:$C,계산!$A:$A,계산!$E317,계산!$B:$B,$B$1*100+11))</f>
        <v/>
      </c>
      <c r="N319" s="14">
        <f>IF(원생!$A317="","",SUMIFS(계산!$C:$C,계산!$A:$A,계산!$E317,계산!$B:$B,$B$1*100+12))</f>
        <v/>
      </c>
      <c r="O319">
        <f>IF(원생!$I317="","",원생!$I317)</f>
        <v/>
      </c>
      <c r="P319">
        <f>IF($A319="","",IF(AND($B319&gt;0,C319&lt;$B319,DATE($B$1,1,1)&lt;=TODAY(),OR($O319="",$O319&gt;=DATE($B$1,1,1)),OR(COUNTIF($C319:C319,"&gt;0")&gt;0,DATE($B$1,1,1)=DATE(YEAR(TODAY()),MONTH(TODAY()),1))),1,0))</f>
        <v/>
      </c>
      <c r="Q319">
        <f>IF($A319="","",IF(AND($B319&gt;0,D319&lt;$B319,DATE($B$1,2,1)&lt;=TODAY(),OR($O319="",$O319&gt;=DATE($B$1,2,1)),OR(COUNTIF($C319:D319,"&gt;0")&gt;0,DATE($B$1,2,1)=DATE(YEAR(TODAY()),MONTH(TODAY()),1))),1,0))</f>
        <v/>
      </c>
      <c r="R319">
        <f>IF($A319="","",IF(AND($B319&gt;0,E319&lt;$B319,DATE($B$1,3,1)&lt;=TODAY(),OR($O319="",$O319&gt;=DATE($B$1,3,1)),OR(COUNTIF($C319:E319,"&gt;0")&gt;0,DATE($B$1,3,1)=DATE(YEAR(TODAY()),MONTH(TODAY()),1))),1,0))</f>
        <v/>
      </c>
      <c r="S319">
        <f>IF($A319="","",IF(AND($B319&gt;0,F319&lt;$B319,DATE($B$1,4,1)&lt;=TODAY(),OR($O319="",$O319&gt;=DATE($B$1,4,1)),OR(COUNTIF($C319:F319,"&gt;0")&gt;0,DATE($B$1,4,1)=DATE(YEAR(TODAY()),MONTH(TODAY()),1))),1,0))</f>
        <v/>
      </c>
      <c r="T319">
        <f>IF($A319="","",IF(AND($B319&gt;0,G319&lt;$B319,DATE($B$1,5,1)&lt;=TODAY(),OR($O319="",$O319&gt;=DATE($B$1,5,1)),OR(COUNTIF($C319:G319,"&gt;0")&gt;0,DATE($B$1,5,1)=DATE(YEAR(TODAY()),MONTH(TODAY()),1))),1,0))</f>
        <v/>
      </c>
      <c r="U319">
        <f>IF($A319="","",IF(AND($B319&gt;0,H319&lt;$B319,DATE($B$1,6,1)&lt;=TODAY(),OR($O319="",$O319&gt;=DATE($B$1,6,1)),OR(COUNTIF($C319:H319,"&gt;0")&gt;0,DATE($B$1,6,1)=DATE(YEAR(TODAY()),MONTH(TODAY()),1))),1,0))</f>
        <v/>
      </c>
      <c r="V319">
        <f>IF($A319="","",IF(AND($B319&gt;0,I319&lt;$B319,DATE($B$1,7,1)&lt;=TODAY(),OR($O319="",$O319&gt;=DATE($B$1,7,1)),OR(COUNTIF($C319:I319,"&gt;0")&gt;0,DATE($B$1,7,1)=DATE(YEAR(TODAY()),MONTH(TODAY()),1))),1,0))</f>
        <v/>
      </c>
      <c r="W319">
        <f>IF($A319="","",IF(AND($B319&gt;0,J319&lt;$B319,DATE($B$1,8,1)&lt;=TODAY(),OR($O319="",$O319&gt;=DATE($B$1,8,1)),OR(COUNTIF($C319:J319,"&gt;0")&gt;0,DATE($B$1,8,1)=DATE(YEAR(TODAY()),MONTH(TODAY()),1))),1,0))</f>
        <v/>
      </c>
      <c r="X319">
        <f>IF($A319="","",IF(AND($B319&gt;0,K319&lt;$B319,DATE($B$1,9,1)&lt;=TODAY(),OR($O319="",$O319&gt;=DATE($B$1,9,1)),OR(COUNTIF($C319:K319,"&gt;0")&gt;0,DATE($B$1,9,1)=DATE(YEAR(TODAY()),MONTH(TODAY()),1))),1,0))</f>
        <v/>
      </c>
      <c r="Y319">
        <f>IF($A319="","",IF(AND($B319&gt;0,L319&lt;$B319,DATE($B$1,10,1)&lt;=TODAY(),OR($O319="",$O319&gt;=DATE($B$1,10,1)),OR(COUNTIF($C319:L319,"&gt;0")&gt;0,DATE($B$1,10,1)=DATE(YEAR(TODAY()),MONTH(TODAY()),1))),1,0))</f>
        <v/>
      </c>
      <c r="Z319">
        <f>IF($A319="","",IF(AND($B319&gt;0,M319&lt;$B319,DATE($B$1,11,1)&lt;=TODAY(),OR($O319="",$O319&gt;=DATE($B$1,11,1)),OR(COUNTIF($C319:M319,"&gt;0")&gt;0,DATE($B$1,11,1)=DATE(YEAR(TODAY()),MONTH(TODAY()),1))),1,0))</f>
        <v/>
      </c>
      <c r="AA319">
        <f>IF($A319="","",IF(AND($B319&gt;0,N319&lt;$B319,DATE($B$1,12,1)&lt;=TODAY(),OR($O319="",$O319&gt;=DATE($B$1,12,1)),OR(COUNTIF($C319:N319,"&gt;0")&gt;0,DATE($B$1,12,1)=DATE(YEAR(TODAY()),MONTH(TODAY()),1))),1,0))</f>
        <v/>
      </c>
    </row>
    <row r="320">
      <c r="A320" s="13">
        <f>IF(원생!$A318="","",원생!$A318&amp;IF(원생!$G318="",""," ("&amp;원생!$G318&amp;")"))</f>
        <v/>
      </c>
      <c r="B320" s="8">
        <f>IF(원생!$A318="","",N(원생!$F318))</f>
        <v/>
      </c>
      <c r="C320" s="14">
        <f>IF(원생!$A318="","",SUMIFS(계산!$C:$C,계산!$A:$A,계산!$E318,계산!$B:$B,$B$1*100+1))</f>
        <v/>
      </c>
      <c r="D320" s="14">
        <f>IF(원생!$A318="","",SUMIFS(계산!$C:$C,계산!$A:$A,계산!$E318,계산!$B:$B,$B$1*100+2))</f>
        <v/>
      </c>
      <c r="E320" s="14">
        <f>IF(원생!$A318="","",SUMIFS(계산!$C:$C,계산!$A:$A,계산!$E318,계산!$B:$B,$B$1*100+3))</f>
        <v/>
      </c>
      <c r="F320" s="14">
        <f>IF(원생!$A318="","",SUMIFS(계산!$C:$C,계산!$A:$A,계산!$E318,계산!$B:$B,$B$1*100+4))</f>
        <v/>
      </c>
      <c r="G320" s="14">
        <f>IF(원생!$A318="","",SUMIFS(계산!$C:$C,계산!$A:$A,계산!$E318,계산!$B:$B,$B$1*100+5))</f>
        <v/>
      </c>
      <c r="H320" s="14">
        <f>IF(원생!$A318="","",SUMIFS(계산!$C:$C,계산!$A:$A,계산!$E318,계산!$B:$B,$B$1*100+6))</f>
        <v/>
      </c>
      <c r="I320" s="14">
        <f>IF(원생!$A318="","",SUMIFS(계산!$C:$C,계산!$A:$A,계산!$E318,계산!$B:$B,$B$1*100+7))</f>
        <v/>
      </c>
      <c r="J320" s="14">
        <f>IF(원생!$A318="","",SUMIFS(계산!$C:$C,계산!$A:$A,계산!$E318,계산!$B:$B,$B$1*100+8))</f>
        <v/>
      </c>
      <c r="K320" s="14">
        <f>IF(원생!$A318="","",SUMIFS(계산!$C:$C,계산!$A:$A,계산!$E318,계산!$B:$B,$B$1*100+9))</f>
        <v/>
      </c>
      <c r="L320" s="14">
        <f>IF(원생!$A318="","",SUMIFS(계산!$C:$C,계산!$A:$A,계산!$E318,계산!$B:$B,$B$1*100+10))</f>
        <v/>
      </c>
      <c r="M320" s="14">
        <f>IF(원생!$A318="","",SUMIFS(계산!$C:$C,계산!$A:$A,계산!$E318,계산!$B:$B,$B$1*100+11))</f>
        <v/>
      </c>
      <c r="N320" s="14">
        <f>IF(원생!$A318="","",SUMIFS(계산!$C:$C,계산!$A:$A,계산!$E318,계산!$B:$B,$B$1*100+12))</f>
        <v/>
      </c>
      <c r="O320">
        <f>IF(원생!$I318="","",원생!$I318)</f>
        <v/>
      </c>
      <c r="P320">
        <f>IF($A320="","",IF(AND($B320&gt;0,C320&lt;$B320,DATE($B$1,1,1)&lt;=TODAY(),OR($O320="",$O320&gt;=DATE($B$1,1,1)),OR(COUNTIF($C320:C320,"&gt;0")&gt;0,DATE($B$1,1,1)=DATE(YEAR(TODAY()),MONTH(TODAY()),1))),1,0))</f>
        <v/>
      </c>
      <c r="Q320">
        <f>IF($A320="","",IF(AND($B320&gt;0,D320&lt;$B320,DATE($B$1,2,1)&lt;=TODAY(),OR($O320="",$O320&gt;=DATE($B$1,2,1)),OR(COUNTIF($C320:D320,"&gt;0")&gt;0,DATE($B$1,2,1)=DATE(YEAR(TODAY()),MONTH(TODAY()),1))),1,0))</f>
        <v/>
      </c>
      <c r="R320">
        <f>IF($A320="","",IF(AND($B320&gt;0,E320&lt;$B320,DATE($B$1,3,1)&lt;=TODAY(),OR($O320="",$O320&gt;=DATE($B$1,3,1)),OR(COUNTIF($C320:E320,"&gt;0")&gt;0,DATE($B$1,3,1)=DATE(YEAR(TODAY()),MONTH(TODAY()),1))),1,0))</f>
        <v/>
      </c>
      <c r="S320">
        <f>IF($A320="","",IF(AND($B320&gt;0,F320&lt;$B320,DATE($B$1,4,1)&lt;=TODAY(),OR($O320="",$O320&gt;=DATE($B$1,4,1)),OR(COUNTIF($C320:F320,"&gt;0")&gt;0,DATE($B$1,4,1)=DATE(YEAR(TODAY()),MONTH(TODAY()),1))),1,0))</f>
        <v/>
      </c>
      <c r="T320">
        <f>IF($A320="","",IF(AND($B320&gt;0,G320&lt;$B320,DATE($B$1,5,1)&lt;=TODAY(),OR($O320="",$O320&gt;=DATE($B$1,5,1)),OR(COUNTIF($C320:G320,"&gt;0")&gt;0,DATE($B$1,5,1)=DATE(YEAR(TODAY()),MONTH(TODAY()),1))),1,0))</f>
        <v/>
      </c>
      <c r="U320">
        <f>IF($A320="","",IF(AND($B320&gt;0,H320&lt;$B320,DATE($B$1,6,1)&lt;=TODAY(),OR($O320="",$O320&gt;=DATE($B$1,6,1)),OR(COUNTIF($C320:H320,"&gt;0")&gt;0,DATE($B$1,6,1)=DATE(YEAR(TODAY()),MONTH(TODAY()),1))),1,0))</f>
        <v/>
      </c>
      <c r="V320">
        <f>IF($A320="","",IF(AND($B320&gt;0,I320&lt;$B320,DATE($B$1,7,1)&lt;=TODAY(),OR($O320="",$O320&gt;=DATE($B$1,7,1)),OR(COUNTIF($C320:I320,"&gt;0")&gt;0,DATE($B$1,7,1)=DATE(YEAR(TODAY()),MONTH(TODAY()),1))),1,0))</f>
        <v/>
      </c>
      <c r="W320">
        <f>IF($A320="","",IF(AND($B320&gt;0,J320&lt;$B320,DATE($B$1,8,1)&lt;=TODAY(),OR($O320="",$O320&gt;=DATE($B$1,8,1)),OR(COUNTIF($C320:J320,"&gt;0")&gt;0,DATE($B$1,8,1)=DATE(YEAR(TODAY()),MONTH(TODAY()),1))),1,0))</f>
        <v/>
      </c>
      <c r="X320">
        <f>IF($A320="","",IF(AND($B320&gt;0,K320&lt;$B320,DATE($B$1,9,1)&lt;=TODAY(),OR($O320="",$O320&gt;=DATE($B$1,9,1)),OR(COUNTIF($C320:K320,"&gt;0")&gt;0,DATE($B$1,9,1)=DATE(YEAR(TODAY()),MONTH(TODAY()),1))),1,0))</f>
        <v/>
      </c>
      <c r="Y320">
        <f>IF($A320="","",IF(AND($B320&gt;0,L320&lt;$B320,DATE($B$1,10,1)&lt;=TODAY(),OR($O320="",$O320&gt;=DATE($B$1,10,1)),OR(COUNTIF($C320:L320,"&gt;0")&gt;0,DATE($B$1,10,1)=DATE(YEAR(TODAY()),MONTH(TODAY()),1))),1,0))</f>
        <v/>
      </c>
      <c r="Z320">
        <f>IF($A320="","",IF(AND($B320&gt;0,M320&lt;$B320,DATE($B$1,11,1)&lt;=TODAY(),OR($O320="",$O320&gt;=DATE($B$1,11,1)),OR(COUNTIF($C320:M320,"&gt;0")&gt;0,DATE($B$1,11,1)=DATE(YEAR(TODAY()),MONTH(TODAY()),1))),1,0))</f>
        <v/>
      </c>
      <c r="AA320">
        <f>IF($A320="","",IF(AND($B320&gt;0,N320&lt;$B320,DATE($B$1,12,1)&lt;=TODAY(),OR($O320="",$O320&gt;=DATE($B$1,12,1)),OR(COUNTIF($C320:N320,"&gt;0")&gt;0,DATE($B$1,12,1)=DATE(YEAR(TODAY()),MONTH(TODAY()),1))),1,0))</f>
        <v/>
      </c>
    </row>
    <row r="321">
      <c r="A321" s="13">
        <f>IF(원생!$A319="","",원생!$A319&amp;IF(원생!$G319="",""," ("&amp;원생!$G319&amp;")"))</f>
        <v/>
      </c>
      <c r="B321" s="8">
        <f>IF(원생!$A319="","",N(원생!$F319))</f>
        <v/>
      </c>
      <c r="C321" s="14">
        <f>IF(원생!$A319="","",SUMIFS(계산!$C:$C,계산!$A:$A,계산!$E319,계산!$B:$B,$B$1*100+1))</f>
        <v/>
      </c>
      <c r="D321" s="14">
        <f>IF(원생!$A319="","",SUMIFS(계산!$C:$C,계산!$A:$A,계산!$E319,계산!$B:$B,$B$1*100+2))</f>
        <v/>
      </c>
      <c r="E321" s="14">
        <f>IF(원생!$A319="","",SUMIFS(계산!$C:$C,계산!$A:$A,계산!$E319,계산!$B:$B,$B$1*100+3))</f>
        <v/>
      </c>
      <c r="F321" s="14">
        <f>IF(원생!$A319="","",SUMIFS(계산!$C:$C,계산!$A:$A,계산!$E319,계산!$B:$B,$B$1*100+4))</f>
        <v/>
      </c>
      <c r="G321" s="14">
        <f>IF(원생!$A319="","",SUMIFS(계산!$C:$C,계산!$A:$A,계산!$E319,계산!$B:$B,$B$1*100+5))</f>
        <v/>
      </c>
      <c r="H321" s="14">
        <f>IF(원생!$A319="","",SUMIFS(계산!$C:$C,계산!$A:$A,계산!$E319,계산!$B:$B,$B$1*100+6))</f>
        <v/>
      </c>
      <c r="I321" s="14">
        <f>IF(원생!$A319="","",SUMIFS(계산!$C:$C,계산!$A:$A,계산!$E319,계산!$B:$B,$B$1*100+7))</f>
        <v/>
      </c>
      <c r="J321" s="14">
        <f>IF(원생!$A319="","",SUMIFS(계산!$C:$C,계산!$A:$A,계산!$E319,계산!$B:$B,$B$1*100+8))</f>
        <v/>
      </c>
      <c r="K321" s="14">
        <f>IF(원생!$A319="","",SUMIFS(계산!$C:$C,계산!$A:$A,계산!$E319,계산!$B:$B,$B$1*100+9))</f>
        <v/>
      </c>
      <c r="L321" s="14">
        <f>IF(원생!$A319="","",SUMIFS(계산!$C:$C,계산!$A:$A,계산!$E319,계산!$B:$B,$B$1*100+10))</f>
        <v/>
      </c>
      <c r="M321" s="14">
        <f>IF(원생!$A319="","",SUMIFS(계산!$C:$C,계산!$A:$A,계산!$E319,계산!$B:$B,$B$1*100+11))</f>
        <v/>
      </c>
      <c r="N321" s="14">
        <f>IF(원생!$A319="","",SUMIFS(계산!$C:$C,계산!$A:$A,계산!$E319,계산!$B:$B,$B$1*100+12))</f>
        <v/>
      </c>
      <c r="O321">
        <f>IF(원생!$I319="","",원생!$I319)</f>
        <v/>
      </c>
      <c r="P321">
        <f>IF($A321="","",IF(AND($B321&gt;0,C321&lt;$B321,DATE($B$1,1,1)&lt;=TODAY(),OR($O321="",$O321&gt;=DATE($B$1,1,1)),OR(COUNTIF($C321:C321,"&gt;0")&gt;0,DATE($B$1,1,1)=DATE(YEAR(TODAY()),MONTH(TODAY()),1))),1,0))</f>
        <v/>
      </c>
      <c r="Q321">
        <f>IF($A321="","",IF(AND($B321&gt;0,D321&lt;$B321,DATE($B$1,2,1)&lt;=TODAY(),OR($O321="",$O321&gt;=DATE($B$1,2,1)),OR(COUNTIF($C321:D321,"&gt;0")&gt;0,DATE($B$1,2,1)=DATE(YEAR(TODAY()),MONTH(TODAY()),1))),1,0))</f>
        <v/>
      </c>
      <c r="R321">
        <f>IF($A321="","",IF(AND($B321&gt;0,E321&lt;$B321,DATE($B$1,3,1)&lt;=TODAY(),OR($O321="",$O321&gt;=DATE($B$1,3,1)),OR(COUNTIF($C321:E321,"&gt;0")&gt;0,DATE($B$1,3,1)=DATE(YEAR(TODAY()),MONTH(TODAY()),1))),1,0))</f>
        <v/>
      </c>
      <c r="S321">
        <f>IF($A321="","",IF(AND($B321&gt;0,F321&lt;$B321,DATE($B$1,4,1)&lt;=TODAY(),OR($O321="",$O321&gt;=DATE($B$1,4,1)),OR(COUNTIF($C321:F321,"&gt;0")&gt;0,DATE($B$1,4,1)=DATE(YEAR(TODAY()),MONTH(TODAY()),1))),1,0))</f>
        <v/>
      </c>
      <c r="T321">
        <f>IF($A321="","",IF(AND($B321&gt;0,G321&lt;$B321,DATE($B$1,5,1)&lt;=TODAY(),OR($O321="",$O321&gt;=DATE($B$1,5,1)),OR(COUNTIF($C321:G321,"&gt;0")&gt;0,DATE($B$1,5,1)=DATE(YEAR(TODAY()),MONTH(TODAY()),1))),1,0))</f>
        <v/>
      </c>
      <c r="U321">
        <f>IF($A321="","",IF(AND($B321&gt;0,H321&lt;$B321,DATE($B$1,6,1)&lt;=TODAY(),OR($O321="",$O321&gt;=DATE($B$1,6,1)),OR(COUNTIF($C321:H321,"&gt;0")&gt;0,DATE($B$1,6,1)=DATE(YEAR(TODAY()),MONTH(TODAY()),1))),1,0))</f>
        <v/>
      </c>
      <c r="V321">
        <f>IF($A321="","",IF(AND($B321&gt;0,I321&lt;$B321,DATE($B$1,7,1)&lt;=TODAY(),OR($O321="",$O321&gt;=DATE($B$1,7,1)),OR(COUNTIF($C321:I321,"&gt;0")&gt;0,DATE($B$1,7,1)=DATE(YEAR(TODAY()),MONTH(TODAY()),1))),1,0))</f>
        <v/>
      </c>
      <c r="W321">
        <f>IF($A321="","",IF(AND($B321&gt;0,J321&lt;$B321,DATE($B$1,8,1)&lt;=TODAY(),OR($O321="",$O321&gt;=DATE($B$1,8,1)),OR(COUNTIF($C321:J321,"&gt;0")&gt;0,DATE($B$1,8,1)=DATE(YEAR(TODAY()),MONTH(TODAY()),1))),1,0))</f>
        <v/>
      </c>
      <c r="X321">
        <f>IF($A321="","",IF(AND($B321&gt;0,K321&lt;$B321,DATE($B$1,9,1)&lt;=TODAY(),OR($O321="",$O321&gt;=DATE($B$1,9,1)),OR(COUNTIF($C321:K321,"&gt;0")&gt;0,DATE($B$1,9,1)=DATE(YEAR(TODAY()),MONTH(TODAY()),1))),1,0))</f>
        <v/>
      </c>
      <c r="Y321">
        <f>IF($A321="","",IF(AND($B321&gt;0,L321&lt;$B321,DATE($B$1,10,1)&lt;=TODAY(),OR($O321="",$O321&gt;=DATE($B$1,10,1)),OR(COUNTIF($C321:L321,"&gt;0")&gt;0,DATE($B$1,10,1)=DATE(YEAR(TODAY()),MONTH(TODAY()),1))),1,0))</f>
        <v/>
      </c>
      <c r="Z321">
        <f>IF($A321="","",IF(AND($B321&gt;0,M321&lt;$B321,DATE($B$1,11,1)&lt;=TODAY(),OR($O321="",$O321&gt;=DATE($B$1,11,1)),OR(COUNTIF($C321:M321,"&gt;0")&gt;0,DATE($B$1,11,1)=DATE(YEAR(TODAY()),MONTH(TODAY()),1))),1,0))</f>
        <v/>
      </c>
      <c r="AA321">
        <f>IF($A321="","",IF(AND($B321&gt;0,N321&lt;$B321,DATE($B$1,12,1)&lt;=TODAY(),OR($O321="",$O321&gt;=DATE($B$1,12,1)),OR(COUNTIF($C321:N321,"&gt;0")&gt;0,DATE($B$1,12,1)=DATE(YEAR(TODAY()),MONTH(TODAY()),1))),1,0))</f>
        <v/>
      </c>
    </row>
    <row r="322">
      <c r="A322" s="13">
        <f>IF(원생!$A320="","",원생!$A320&amp;IF(원생!$G320="",""," ("&amp;원생!$G320&amp;")"))</f>
        <v/>
      </c>
      <c r="B322" s="8">
        <f>IF(원생!$A320="","",N(원생!$F320))</f>
        <v/>
      </c>
      <c r="C322" s="14">
        <f>IF(원생!$A320="","",SUMIFS(계산!$C:$C,계산!$A:$A,계산!$E320,계산!$B:$B,$B$1*100+1))</f>
        <v/>
      </c>
      <c r="D322" s="14">
        <f>IF(원생!$A320="","",SUMIFS(계산!$C:$C,계산!$A:$A,계산!$E320,계산!$B:$B,$B$1*100+2))</f>
        <v/>
      </c>
      <c r="E322" s="14">
        <f>IF(원생!$A320="","",SUMIFS(계산!$C:$C,계산!$A:$A,계산!$E320,계산!$B:$B,$B$1*100+3))</f>
        <v/>
      </c>
      <c r="F322" s="14">
        <f>IF(원생!$A320="","",SUMIFS(계산!$C:$C,계산!$A:$A,계산!$E320,계산!$B:$B,$B$1*100+4))</f>
        <v/>
      </c>
      <c r="G322" s="14">
        <f>IF(원생!$A320="","",SUMIFS(계산!$C:$C,계산!$A:$A,계산!$E320,계산!$B:$B,$B$1*100+5))</f>
        <v/>
      </c>
      <c r="H322" s="14">
        <f>IF(원생!$A320="","",SUMIFS(계산!$C:$C,계산!$A:$A,계산!$E320,계산!$B:$B,$B$1*100+6))</f>
        <v/>
      </c>
      <c r="I322" s="14">
        <f>IF(원생!$A320="","",SUMIFS(계산!$C:$C,계산!$A:$A,계산!$E320,계산!$B:$B,$B$1*100+7))</f>
        <v/>
      </c>
      <c r="J322" s="14">
        <f>IF(원생!$A320="","",SUMIFS(계산!$C:$C,계산!$A:$A,계산!$E320,계산!$B:$B,$B$1*100+8))</f>
        <v/>
      </c>
      <c r="K322" s="14">
        <f>IF(원생!$A320="","",SUMIFS(계산!$C:$C,계산!$A:$A,계산!$E320,계산!$B:$B,$B$1*100+9))</f>
        <v/>
      </c>
      <c r="L322" s="14">
        <f>IF(원생!$A320="","",SUMIFS(계산!$C:$C,계산!$A:$A,계산!$E320,계산!$B:$B,$B$1*100+10))</f>
        <v/>
      </c>
      <c r="M322" s="14">
        <f>IF(원생!$A320="","",SUMIFS(계산!$C:$C,계산!$A:$A,계산!$E320,계산!$B:$B,$B$1*100+11))</f>
        <v/>
      </c>
      <c r="N322" s="14">
        <f>IF(원생!$A320="","",SUMIFS(계산!$C:$C,계산!$A:$A,계산!$E320,계산!$B:$B,$B$1*100+12))</f>
        <v/>
      </c>
      <c r="O322">
        <f>IF(원생!$I320="","",원생!$I320)</f>
        <v/>
      </c>
      <c r="P322">
        <f>IF($A322="","",IF(AND($B322&gt;0,C322&lt;$B322,DATE($B$1,1,1)&lt;=TODAY(),OR($O322="",$O322&gt;=DATE($B$1,1,1)),OR(COUNTIF($C322:C322,"&gt;0")&gt;0,DATE($B$1,1,1)=DATE(YEAR(TODAY()),MONTH(TODAY()),1))),1,0))</f>
        <v/>
      </c>
      <c r="Q322">
        <f>IF($A322="","",IF(AND($B322&gt;0,D322&lt;$B322,DATE($B$1,2,1)&lt;=TODAY(),OR($O322="",$O322&gt;=DATE($B$1,2,1)),OR(COUNTIF($C322:D322,"&gt;0")&gt;0,DATE($B$1,2,1)=DATE(YEAR(TODAY()),MONTH(TODAY()),1))),1,0))</f>
        <v/>
      </c>
      <c r="R322">
        <f>IF($A322="","",IF(AND($B322&gt;0,E322&lt;$B322,DATE($B$1,3,1)&lt;=TODAY(),OR($O322="",$O322&gt;=DATE($B$1,3,1)),OR(COUNTIF($C322:E322,"&gt;0")&gt;0,DATE($B$1,3,1)=DATE(YEAR(TODAY()),MONTH(TODAY()),1))),1,0))</f>
        <v/>
      </c>
      <c r="S322">
        <f>IF($A322="","",IF(AND($B322&gt;0,F322&lt;$B322,DATE($B$1,4,1)&lt;=TODAY(),OR($O322="",$O322&gt;=DATE($B$1,4,1)),OR(COUNTIF($C322:F322,"&gt;0")&gt;0,DATE($B$1,4,1)=DATE(YEAR(TODAY()),MONTH(TODAY()),1))),1,0))</f>
        <v/>
      </c>
      <c r="T322">
        <f>IF($A322="","",IF(AND($B322&gt;0,G322&lt;$B322,DATE($B$1,5,1)&lt;=TODAY(),OR($O322="",$O322&gt;=DATE($B$1,5,1)),OR(COUNTIF($C322:G322,"&gt;0")&gt;0,DATE($B$1,5,1)=DATE(YEAR(TODAY()),MONTH(TODAY()),1))),1,0))</f>
        <v/>
      </c>
      <c r="U322">
        <f>IF($A322="","",IF(AND($B322&gt;0,H322&lt;$B322,DATE($B$1,6,1)&lt;=TODAY(),OR($O322="",$O322&gt;=DATE($B$1,6,1)),OR(COUNTIF($C322:H322,"&gt;0")&gt;0,DATE($B$1,6,1)=DATE(YEAR(TODAY()),MONTH(TODAY()),1))),1,0))</f>
        <v/>
      </c>
      <c r="V322">
        <f>IF($A322="","",IF(AND($B322&gt;0,I322&lt;$B322,DATE($B$1,7,1)&lt;=TODAY(),OR($O322="",$O322&gt;=DATE($B$1,7,1)),OR(COUNTIF($C322:I322,"&gt;0")&gt;0,DATE($B$1,7,1)=DATE(YEAR(TODAY()),MONTH(TODAY()),1))),1,0))</f>
        <v/>
      </c>
      <c r="W322">
        <f>IF($A322="","",IF(AND($B322&gt;0,J322&lt;$B322,DATE($B$1,8,1)&lt;=TODAY(),OR($O322="",$O322&gt;=DATE($B$1,8,1)),OR(COUNTIF($C322:J322,"&gt;0")&gt;0,DATE($B$1,8,1)=DATE(YEAR(TODAY()),MONTH(TODAY()),1))),1,0))</f>
        <v/>
      </c>
      <c r="X322">
        <f>IF($A322="","",IF(AND($B322&gt;0,K322&lt;$B322,DATE($B$1,9,1)&lt;=TODAY(),OR($O322="",$O322&gt;=DATE($B$1,9,1)),OR(COUNTIF($C322:K322,"&gt;0")&gt;0,DATE($B$1,9,1)=DATE(YEAR(TODAY()),MONTH(TODAY()),1))),1,0))</f>
        <v/>
      </c>
      <c r="Y322">
        <f>IF($A322="","",IF(AND($B322&gt;0,L322&lt;$B322,DATE($B$1,10,1)&lt;=TODAY(),OR($O322="",$O322&gt;=DATE($B$1,10,1)),OR(COUNTIF($C322:L322,"&gt;0")&gt;0,DATE($B$1,10,1)=DATE(YEAR(TODAY()),MONTH(TODAY()),1))),1,0))</f>
        <v/>
      </c>
      <c r="Z322">
        <f>IF($A322="","",IF(AND($B322&gt;0,M322&lt;$B322,DATE($B$1,11,1)&lt;=TODAY(),OR($O322="",$O322&gt;=DATE($B$1,11,1)),OR(COUNTIF($C322:M322,"&gt;0")&gt;0,DATE($B$1,11,1)=DATE(YEAR(TODAY()),MONTH(TODAY()),1))),1,0))</f>
        <v/>
      </c>
      <c r="AA322">
        <f>IF($A322="","",IF(AND($B322&gt;0,N322&lt;$B322,DATE($B$1,12,1)&lt;=TODAY(),OR($O322="",$O322&gt;=DATE($B$1,12,1)),OR(COUNTIF($C322:N322,"&gt;0")&gt;0,DATE($B$1,12,1)=DATE(YEAR(TODAY()),MONTH(TODAY()),1))),1,0))</f>
        <v/>
      </c>
    </row>
    <row r="323">
      <c r="A323" s="13">
        <f>IF(원생!$A321="","",원생!$A321&amp;IF(원생!$G321="",""," ("&amp;원생!$G321&amp;")"))</f>
        <v/>
      </c>
      <c r="B323" s="8">
        <f>IF(원생!$A321="","",N(원생!$F321))</f>
        <v/>
      </c>
      <c r="C323" s="14">
        <f>IF(원생!$A321="","",SUMIFS(계산!$C:$C,계산!$A:$A,계산!$E321,계산!$B:$B,$B$1*100+1))</f>
        <v/>
      </c>
      <c r="D323" s="14">
        <f>IF(원생!$A321="","",SUMIFS(계산!$C:$C,계산!$A:$A,계산!$E321,계산!$B:$B,$B$1*100+2))</f>
        <v/>
      </c>
      <c r="E323" s="14">
        <f>IF(원생!$A321="","",SUMIFS(계산!$C:$C,계산!$A:$A,계산!$E321,계산!$B:$B,$B$1*100+3))</f>
        <v/>
      </c>
      <c r="F323" s="14">
        <f>IF(원생!$A321="","",SUMIFS(계산!$C:$C,계산!$A:$A,계산!$E321,계산!$B:$B,$B$1*100+4))</f>
        <v/>
      </c>
      <c r="G323" s="14">
        <f>IF(원생!$A321="","",SUMIFS(계산!$C:$C,계산!$A:$A,계산!$E321,계산!$B:$B,$B$1*100+5))</f>
        <v/>
      </c>
      <c r="H323" s="14">
        <f>IF(원생!$A321="","",SUMIFS(계산!$C:$C,계산!$A:$A,계산!$E321,계산!$B:$B,$B$1*100+6))</f>
        <v/>
      </c>
      <c r="I323" s="14">
        <f>IF(원생!$A321="","",SUMIFS(계산!$C:$C,계산!$A:$A,계산!$E321,계산!$B:$B,$B$1*100+7))</f>
        <v/>
      </c>
      <c r="J323" s="14">
        <f>IF(원생!$A321="","",SUMIFS(계산!$C:$C,계산!$A:$A,계산!$E321,계산!$B:$B,$B$1*100+8))</f>
        <v/>
      </c>
      <c r="K323" s="14">
        <f>IF(원생!$A321="","",SUMIFS(계산!$C:$C,계산!$A:$A,계산!$E321,계산!$B:$B,$B$1*100+9))</f>
        <v/>
      </c>
      <c r="L323" s="14">
        <f>IF(원생!$A321="","",SUMIFS(계산!$C:$C,계산!$A:$A,계산!$E321,계산!$B:$B,$B$1*100+10))</f>
        <v/>
      </c>
      <c r="M323" s="14">
        <f>IF(원생!$A321="","",SUMIFS(계산!$C:$C,계산!$A:$A,계산!$E321,계산!$B:$B,$B$1*100+11))</f>
        <v/>
      </c>
      <c r="N323" s="14">
        <f>IF(원생!$A321="","",SUMIFS(계산!$C:$C,계산!$A:$A,계산!$E321,계산!$B:$B,$B$1*100+12))</f>
        <v/>
      </c>
      <c r="O323">
        <f>IF(원생!$I321="","",원생!$I321)</f>
        <v/>
      </c>
      <c r="P323">
        <f>IF($A323="","",IF(AND($B323&gt;0,C323&lt;$B323,DATE($B$1,1,1)&lt;=TODAY(),OR($O323="",$O323&gt;=DATE($B$1,1,1)),OR(COUNTIF($C323:C323,"&gt;0")&gt;0,DATE($B$1,1,1)=DATE(YEAR(TODAY()),MONTH(TODAY()),1))),1,0))</f>
        <v/>
      </c>
      <c r="Q323">
        <f>IF($A323="","",IF(AND($B323&gt;0,D323&lt;$B323,DATE($B$1,2,1)&lt;=TODAY(),OR($O323="",$O323&gt;=DATE($B$1,2,1)),OR(COUNTIF($C323:D323,"&gt;0")&gt;0,DATE($B$1,2,1)=DATE(YEAR(TODAY()),MONTH(TODAY()),1))),1,0))</f>
        <v/>
      </c>
      <c r="R323">
        <f>IF($A323="","",IF(AND($B323&gt;0,E323&lt;$B323,DATE($B$1,3,1)&lt;=TODAY(),OR($O323="",$O323&gt;=DATE($B$1,3,1)),OR(COUNTIF($C323:E323,"&gt;0")&gt;0,DATE($B$1,3,1)=DATE(YEAR(TODAY()),MONTH(TODAY()),1))),1,0))</f>
        <v/>
      </c>
      <c r="S323">
        <f>IF($A323="","",IF(AND($B323&gt;0,F323&lt;$B323,DATE($B$1,4,1)&lt;=TODAY(),OR($O323="",$O323&gt;=DATE($B$1,4,1)),OR(COUNTIF($C323:F323,"&gt;0")&gt;0,DATE($B$1,4,1)=DATE(YEAR(TODAY()),MONTH(TODAY()),1))),1,0))</f>
        <v/>
      </c>
      <c r="T323">
        <f>IF($A323="","",IF(AND($B323&gt;0,G323&lt;$B323,DATE($B$1,5,1)&lt;=TODAY(),OR($O323="",$O323&gt;=DATE($B$1,5,1)),OR(COUNTIF($C323:G323,"&gt;0")&gt;0,DATE($B$1,5,1)=DATE(YEAR(TODAY()),MONTH(TODAY()),1))),1,0))</f>
        <v/>
      </c>
      <c r="U323">
        <f>IF($A323="","",IF(AND($B323&gt;0,H323&lt;$B323,DATE($B$1,6,1)&lt;=TODAY(),OR($O323="",$O323&gt;=DATE($B$1,6,1)),OR(COUNTIF($C323:H323,"&gt;0")&gt;0,DATE($B$1,6,1)=DATE(YEAR(TODAY()),MONTH(TODAY()),1))),1,0))</f>
        <v/>
      </c>
      <c r="V323">
        <f>IF($A323="","",IF(AND($B323&gt;0,I323&lt;$B323,DATE($B$1,7,1)&lt;=TODAY(),OR($O323="",$O323&gt;=DATE($B$1,7,1)),OR(COUNTIF($C323:I323,"&gt;0")&gt;0,DATE($B$1,7,1)=DATE(YEAR(TODAY()),MONTH(TODAY()),1))),1,0))</f>
        <v/>
      </c>
      <c r="W323">
        <f>IF($A323="","",IF(AND($B323&gt;0,J323&lt;$B323,DATE($B$1,8,1)&lt;=TODAY(),OR($O323="",$O323&gt;=DATE($B$1,8,1)),OR(COUNTIF($C323:J323,"&gt;0")&gt;0,DATE($B$1,8,1)=DATE(YEAR(TODAY()),MONTH(TODAY()),1))),1,0))</f>
        <v/>
      </c>
      <c r="X323">
        <f>IF($A323="","",IF(AND($B323&gt;0,K323&lt;$B323,DATE($B$1,9,1)&lt;=TODAY(),OR($O323="",$O323&gt;=DATE($B$1,9,1)),OR(COUNTIF($C323:K323,"&gt;0")&gt;0,DATE($B$1,9,1)=DATE(YEAR(TODAY()),MONTH(TODAY()),1))),1,0))</f>
        <v/>
      </c>
      <c r="Y323">
        <f>IF($A323="","",IF(AND($B323&gt;0,L323&lt;$B323,DATE($B$1,10,1)&lt;=TODAY(),OR($O323="",$O323&gt;=DATE($B$1,10,1)),OR(COUNTIF($C323:L323,"&gt;0")&gt;0,DATE($B$1,10,1)=DATE(YEAR(TODAY()),MONTH(TODAY()),1))),1,0))</f>
        <v/>
      </c>
      <c r="Z323">
        <f>IF($A323="","",IF(AND($B323&gt;0,M323&lt;$B323,DATE($B$1,11,1)&lt;=TODAY(),OR($O323="",$O323&gt;=DATE($B$1,11,1)),OR(COUNTIF($C323:M323,"&gt;0")&gt;0,DATE($B$1,11,1)=DATE(YEAR(TODAY()),MONTH(TODAY()),1))),1,0))</f>
        <v/>
      </c>
      <c r="AA323">
        <f>IF($A323="","",IF(AND($B323&gt;0,N323&lt;$B323,DATE($B$1,12,1)&lt;=TODAY(),OR($O323="",$O323&gt;=DATE($B$1,12,1)),OR(COUNTIF($C323:N323,"&gt;0")&gt;0,DATE($B$1,12,1)=DATE(YEAR(TODAY()),MONTH(TODAY()),1))),1,0))</f>
        <v/>
      </c>
    </row>
    <row r="324">
      <c r="A324" s="13">
        <f>IF(원생!$A322="","",원생!$A322&amp;IF(원생!$G322="",""," ("&amp;원생!$G322&amp;")"))</f>
        <v/>
      </c>
      <c r="B324" s="8">
        <f>IF(원생!$A322="","",N(원생!$F322))</f>
        <v/>
      </c>
      <c r="C324" s="14">
        <f>IF(원생!$A322="","",SUMIFS(계산!$C:$C,계산!$A:$A,계산!$E322,계산!$B:$B,$B$1*100+1))</f>
        <v/>
      </c>
      <c r="D324" s="14">
        <f>IF(원생!$A322="","",SUMIFS(계산!$C:$C,계산!$A:$A,계산!$E322,계산!$B:$B,$B$1*100+2))</f>
        <v/>
      </c>
      <c r="E324" s="14">
        <f>IF(원생!$A322="","",SUMIFS(계산!$C:$C,계산!$A:$A,계산!$E322,계산!$B:$B,$B$1*100+3))</f>
        <v/>
      </c>
      <c r="F324" s="14">
        <f>IF(원생!$A322="","",SUMIFS(계산!$C:$C,계산!$A:$A,계산!$E322,계산!$B:$B,$B$1*100+4))</f>
        <v/>
      </c>
      <c r="G324" s="14">
        <f>IF(원생!$A322="","",SUMIFS(계산!$C:$C,계산!$A:$A,계산!$E322,계산!$B:$B,$B$1*100+5))</f>
        <v/>
      </c>
      <c r="H324" s="14">
        <f>IF(원생!$A322="","",SUMIFS(계산!$C:$C,계산!$A:$A,계산!$E322,계산!$B:$B,$B$1*100+6))</f>
        <v/>
      </c>
      <c r="I324" s="14">
        <f>IF(원생!$A322="","",SUMIFS(계산!$C:$C,계산!$A:$A,계산!$E322,계산!$B:$B,$B$1*100+7))</f>
        <v/>
      </c>
      <c r="J324" s="14">
        <f>IF(원생!$A322="","",SUMIFS(계산!$C:$C,계산!$A:$A,계산!$E322,계산!$B:$B,$B$1*100+8))</f>
        <v/>
      </c>
      <c r="K324" s="14">
        <f>IF(원생!$A322="","",SUMIFS(계산!$C:$C,계산!$A:$A,계산!$E322,계산!$B:$B,$B$1*100+9))</f>
        <v/>
      </c>
      <c r="L324" s="14">
        <f>IF(원생!$A322="","",SUMIFS(계산!$C:$C,계산!$A:$A,계산!$E322,계산!$B:$B,$B$1*100+10))</f>
        <v/>
      </c>
      <c r="M324" s="14">
        <f>IF(원생!$A322="","",SUMIFS(계산!$C:$C,계산!$A:$A,계산!$E322,계산!$B:$B,$B$1*100+11))</f>
        <v/>
      </c>
      <c r="N324" s="14">
        <f>IF(원생!$A322="","",SUMIFS(계산!$C:$C,계산!$A:$A,계산!$E322,계산!$B:$B,$B$1*100+12))</f>
        <v/>
      </c>
      <c r="O324">
        <f>IF(원생!$I322="","",원생!$I322)</f>
        <v/>
      </c>
      <c r="P324">
        <f>IF($A324="","",IF(AND($B324&gt;0,C324&lt;$B324,DATE($B$1,1,1)&lt;=TODAY(),OR($O324="",$O324&gt;=DATE($B$1,1,1)),OR(COUNTIF($C324:C324,"&gt;0")&gt;0,DATE($B$1,1,1)=DATE(YEAR(TODAY()),MONTH(TODAY()),1))),1,0))</f>
        <v/>
      </c>
      <c r="Q324">
        <f>IF($A324="","",IF(AND($B324&gt;0,D324&lt;$B324,DATE($B$1,2,1)&lt;=TODAY(),OR($O324="",$O324&gt;=DATE($B$1,2,1)),OR(COUNTIF($C324:D324,"&gt;0")&gt;0,DATE($B$1,2,1)=DATE(YEAR(TODAY()),MONTH(TODAY()),1))),1,0))</f>
        <v/>
      </c>
      <c r="R324">
        <f>IF($A324="","",IF(AND($B324&gt;0,E324&lt;$B324,DATE($B$1,3,1)&lt;=TODAY(),OR($O324="",$O324&gt;=DATE($B$1,3,1)),OR(COUNTIF($C324:E324,"&gt;0")&gt;0,DATE($B$1,3,1)=DATE(YEAR(TODAY()),MONTH(TODAY()),1))),1,0))</f>
        <v/>
      </c>
      <c r="S324">
        <f>IF($A324="","",IF(AND($B324&gt;0,F324&lt;$B324,DATE($B$1,4,1)&lt;=TODAY(),OR($O324="",$O324&gt;=DATE($B$1,4,1)),OR(COUNTIF($C324:F324,"&gt;0")&gt;0,DATE($B$1,4,1)=DATE(YEAR(TODAY()),MONTH(TODAY()),1))),1,0))</f>
        <v/>
      </c>
      <c r="T324">
        <f>IF($A324="","",IF(AND($B324&gt;0,G324&lt;$B324,DATE($B$1,5,1)&lt;=TODAY(),OR($O324="",$O324&gt;=DATE($B$1,5,1)),OR(COUNTIF($C324:G324,"&gt;0")&gt;0,DATE($B$1,5,1)=DATE(YEAR(TODAY()),MONTH(TODAY()),1))),1,0))</f>
        <v/>
      </c>
      <c r="U324">
        <f>IF($A324="","",IF(AND($B324&gt;0,H324&lt;$B324,DATE($B$1,6,1)&lt;=TODAY(),OR($O324="",$O324&gt;=DATE($B$1,6,1)),OR(COUNTIF($C324:H324,"&gt;0")&gt;0,DATE($B$1,6,1)=DATE(YEAR(TODAY()),MONTH(TODAY()),1))),1,0))</f>
        <v/>
      </c>
      <c r="V324">
        <f>IF($A324="","",IF(AND($B324&gt;0,I324&lt;$B324,DATE($B$1,7,1)&lt;=TODAY(),OR($O324="",$O324&gt;=DATE($B$1,7,1)),OR(COUNTIF($C324:I324,"&gt;0")&gt;0,DATE($B$1,7,1)=DATE(YEAR(TODAY()),MONTH(TODAY()),1))),1,0))</f>
        <v/>
      </c>
      <c r="W324">
        <f>IF($A324="","",IF(AND($B324&gt;0,J324&lt;$B324,DATE($B$1,8,1)&lt;=TODAY(),OR($O324="",$O324&gt;=DATE($B$1,8,1)),OR(COUNTIF($C324:J324,"&gt;0")&gt;0,DATE($B$1,8,1)=DATE(YEAR(TODAY()),MONTH(TODAY()),1))),1,0))</f>
        <v/>
      </c>
      <c r="X324">
        <f>IF($A324="","",IF(AND($B324&gt;0,K324&lt;$B324,DATE($B$1,9,1)&lt;=TODAY(),OR($O324="",$O324&gt;=DATE($B$1,9,1)),OR(COUNTIF($C324:K324,"&gt;0")&gt;0,DATE($B$1,9,1)=DATE(YEAR(TODAY()),MONTH(TODAY()),1))),1,0))</f>
        <v/>
      </c>
      <c r="Y324">
        <f>IF($A324="","",IF(AND($B324&gt;0,L324&lt;$B324,DATE($B$1,10,1)&lt;=TODAY(),OR($O324="",$O324&gt;=DATE($B$1,10,1)),OR(COUNTIF($C324:L324,"&gt;0")&gt;0,DATE($B$1,10,1)=DATE(YEAR(TODAY()),MONTH(TODAY()),1))),1,0))</f>
        <v/>
      </c>
      <c r="Z324">
        <f>IF($A324="","",IF(AND($B324&gt;0,M324&lt;$B324,DATE($B$1,11,1)&lt;=TODAY(),OR($O324="",$O324&gt;=DATE($B$1,11,1)),OR(COUNTIF($C324:M324,"&gt;0")&gt;0,DATE($B$1,11,1)=DATE(YEAR(TODAY()),MONTH(TODAY()),1))),1,0))</f>
        <v/>
      </c>
      <c r="AA324">
        <f>IF($A324="","",IF(AND($B324&gt;0,N324&lt;$B324,DATE($B$1,12,1)&lt;=TODAY(),OR($O324="",$O324&gt;=DATE($B$1,12,1)),OR(COUNTIF($C324:N324,"&gt;0")&gt;0,DATE($B$1,12,1)=DATE(YEAR(TODAY()),MONTH(TODAY()),1))),1,0))</f>
        <v/>
      </c>
    </row>
    <row r="325">
      <c r="A325" s="13">
        <f>IF(원생!$A323="","",원생!$A323&amp;IF(원생!$G323="",""," ("&amp;원생!$G323&amp;")"))</f>
        <v/>
      </c>
      <c r="B325" s="8">
        <f>IF(원생!$A323="","",N(원생!$F323))</f>
        <v/>
      </c>
      <c r="C325" s="14">
        <f>IF(원생!$A323="","",SUMIFS(계산!$C:$C,계산!$A:$A,계산!$E323,계산!$B:$B,$B$1*100+1))</f>
        <v/>
      </c>
      <c r="D325" s="14">
        <f>IF(원생!$A323="","",SUMIFS(계산!$C:$C,계산!$A:$A,계산!$E323,계산!$B:$B,$B$1*100+2))</f>
        <v/>
      </c>
      <c r="E325" s="14">
        <f>IF(원생!$A323="","",SUMIFS(계산!$C:$C,계산!$A:$A,계산!$E323,계산!$B:$B,$B$1*100+3))</f>
        <v/>
      </c>
      <c r="F325" s="14">
        <f>IF(원생!$A323="","",SUMIFS(계산!$C:$C,계산!$A:$A,계산!$E323,계산!$B:$B,$B$1*100+4))</f>
        <v/>
      </c>
      <c r="G325" s="14">
        <f>IF(원생!$A323="","",SUMIFS(계산!$C:$C,계산!$A:$A,계산!$E323,계산!$B:$B,$B$1*100+5))</f>
        <v/>
      </c>
      <c r="H325" s="14">
        <f>IF(원생!$A323="","",SUMIFS(계산!$C:$C,계산!$A:$A,계산!$E323,계산!$B:$B,$B$1*100+6))</f>
        <v/>
      </c>
      <c r="I325" s="14">
        <f>IF(원생!$A323="","",SUMIFS(계산!$C:$C,계산!$A:$A,계산!$E323,계산!$B:$B,$B$1*100+7))</f>
        <v/>
      </c>
      <c r="J325" s="14">
        <f>IF(원생!$A323="","",SUMIFS(계산!$C:$C,계산!$A:$A,계산!$E323,계산!$B:$B,$B$1*100+8))</f>
        <v/>
      </c>
      <c r="K325" s="14">
        <f>IF(원생!$A323="","",SUMIFS(계산!$C:$C,계산!$A:$A,계산!$E323,계산!$B:$B,$B$1*100+9))</f>
        <v/>
      </c>
      <c r="L325" s="14">
        <f>IF(원생!$A323="","",SUMIFS(계산!$C:$C,계산!$A:$A,계산!$E323,계산!$B:$B,$B$1*100+10))</f>
        <v/>
      </c>
      <c r="M325" s="14">
        <f>IF(원생!$A323="","",SUMIFS(계산!$C:$C,계산!$A:$A,계산!$E323,계산!$B:$B,$B$1*100+11))</f>
        <v/>
      </c>
      <c r="N325" s="14">
        <f>IF(원생!$A323="","",SUMIFS(계산!$C:$C,계산!$A:$A,계산!$E323,계산!$B:$B,$B$1*100+12))</f>
        <v/>
      </c>
      <c r="O325">
        <f>IF(원생!$I323="","",원생!$I323)</f>
        <v/>
      </c>
      <c r="P325">
        <f>IF($A325="","",IF(AND($B325&gt;0,C325&lt;$B325,DATE($B$1,1,1)&lt;=TODAY(),OR($O325="",$O325&gt;=DATE($B$1,1,1)),OR(COUNTIF($C325:C325,"&gt;0")&gt;0,DATE($B$1,1,1)=DATE(YEAR(TODAY()),MONTH(TODAY()),1))),1,0))</f>
        <v/>
      </c>
      <c r="Q325">
        <f>IF($A325="","",IF(AND($B325&gt;0,D325&lt;$B325,DATE($B$1,2,1)&lt;=TODAY(),OR($O325="",$O325&gt;=DATE($B$1,2,1)),OR(COUNTIF($C325:D325,"&gt;0")&gt;0,DATE($B$1,2,1)=DATE(YEAR(TODAY()),MONTH(TODAY()),1))),1,0))</f>
        <v/>
      </c>
      <c r="R325">
        <f>IF($A325="","",IF(AND($B325&gt;0,E325&lt;$B325,DATE($B$1,3,1)&lt;=TODAY(),OR($O325="",$O325&gt;=DATE($B$1,3,1)),OR(COUNTIF($C325:E325,"&gt;0")&gt;0,DATE($B$1,3,1)=DATE(YEAR(TODAY()),MONTH(TODAY()),1))),1,0))</f>
        <v/>
      </c>
      <c r="S325">
        <f>IF($A325="","",IF(AND($B325&gt;0,F325&lt;$B325,DATE($B$1,4,1)&lt;=TODAY(),OR($O325="",$O325&gt;=DATE($B$1,4,1)),OR(COUNTIF($C325:F325,"&gt;0")&gt;0,DATE($B$1,4,1)=DATE(YEAR(TODAY()),MONTH(TODAY()),1))),1,0))</f>
        <v/>
      </c>
      <c r="T325">
        <f>IF($A325="","",IF(AND($B325&gt;0,G325&lt;$B325,DATE($B$1,5,1)&lt;=TODAY(),OR($O325="",$O325&gt;=DATE($B$1,5,1)),OR(COUNTIF($C325:G325,"&gt;0")&gt;0,DATE($B$1,5,1)=DATE(YEAR(TODAY()),MONTH(TODAY()),1))),1,0))</f>
        <v/>
      </c>
      <c r="U325">
        <f>IF($A325="","",IF(AND($B325&gt;0,H325&lt;$B325,DATE($B$1,6,1)&lt;=TODAY(),OR($O325="",$O325&gt;=DATE($B$1,6,1)),OR(COUNTIF($C325:H325,"&gt;0")&gt;0,DATE($B$1,6,1)=DATE(YEAR(TODAY()),MONTH(TODAY()),1))),1,0))</f>
        <v/>
      </c>
      <c r="V325">
        <f>IF($A325="","",IF(AND($B325&gt;0,I325&lt;$B325,DATE($B$1,7,1)&lt;=TODAY(),OR($O325="",$O325&gt;=DATE($B$1,7,1)),OR(COUNTIF($C325:I325,"&gt;0")&gt;0,DATE($B$1,7,1)=DATE(YEAR(TODAY()),MONTH(TODAY()),1))),1,0))</f>
        <v/>
      </c>
      <c r="W325">
        <f>IF($A325="","",IF(AND($B325&gt;0,J325&lt;$B325,DATE($B$1,8,1)&lt;=TODAY(),OR($O325="",$O325&gt;=DATE($B$1,8,1)),OR(COUNTIF($C325:J325,"&gt;0")&gt;0,DATE($B$1,8,1)=DATE(YEAR(TODAY()),MONTH(TODAY()),1))),1,0))</f>
        <v/>
      </c>
      <c r="X325">
        <f>IF($A325="","",IF(AND($B325&gt;0,K325&lt;$B325,DATE($B$1,9,1)&lt;=TODAY(),OR($O325="",$O325&gt;=DATE($B$1,9,1)),OR(COUNTIF($C325:K325,"&gt;0")&gt;0,DATE($B$1,9,1)=DATE(YEAR(TODAY()),MONTH(TODAY()),1))),1,0))</f>
        <v/>
      </c>
      <c r="Y325">
        <f>IF($A325="","",IF(AND($B325&gt;0,L325&lt;$B325,DATE($B$1,10,1)&lt;=TODAY(),OR($O325="",$O325&gt;=DATE($B$1,10,1)),OR(COUNTIF($C325:L325,"&gt;0")&gt;0,DATE($B$1,10,1)=DATE(YEAR(TODAY()),MONTH(TODAY()),1))),1,0))</f>
        <v/>
      </c>
      <c r="Z325">
        <f>IF($A325="","",IF(AND($B325&gt;0,M325&lt;$B325,DATE($B$1,11,1)&lt;=TODAY(),OR($O325="",$O325&gt;=DATE($B$1,11,1)),OR(COUNTIF($C325:M325,"&gt;0")&gt;0,DATE($B$1,11,1)=DATE(YEAR(TODAY()),MONTH(TODAY()),1))),1,0))</f>
        <v/>
      </c>
      <c r="AA325">
        <f>IF($A325="","",IF(AND($B325&gt;0,N325&lt;$B325,DATE($B$1,12,1)&lt;=TODAY(),OR($O325="",$O325&gt;=DATE($B$1,12,1)),OR(COUNTIF($C325:N325,"&gt;0")&gt;0,DATE($B$1,12,1)=DATE(YEAR(TODAY()),MONTH(TODAY()),1))),1,0))</f>
        <v/>
      </c>
    </row>
    <row r="326">
      <c r="A326" s="13">
        <f>IF(원생!$A324="","",원생!$A324&amp;IF(원생!$G324="",""," ("&amp;원생!$G324&amp;")"))</f>
        <v/>
      </c>
      <c r="B326" s="8">
        <f>IF(원생!$A324="","",N(원생!$F324))</f>
        <v/>
      </c>
      <c r="C326" s="14">
        <f>IF(원생!$A324="","",SUMIFS(계산!$C:$C,계산!$A:$A,계산!$E324,계산!$B:$B,$B$1*100+1))</f>
        <v/>
      </c>
      <c r="D326" s="14">
        <f>IF(원생!$A324="","",SUMIFS(계산!$C:$C,계산!$A:$A,계산!$E324,계산!$B:$B,$B$1*100+2))</f>
        <v/>
      </c>
      <c r="E326" s="14">
        <f>IF(원생!$A324="","",SUMIFS(계산!$C:$C,계산!$A:$A,계산!$E324,계산!$B:$B,$B$1*100+3))</f>
        <v/>
      </c>
      <c r="F326" s="14">
        <f>IF(원생!$A324="","",SUMIFS(계산!$C:$C,계산!$A:$A,계산!$E324,계산!$B:$B,$B$1*100+4))</f>
        <v/>
      </c>
      <c r="G326" s="14">
        <f>IF(원생!$A324="","",SUMIFS(계산!$C:$C,계산!$A:$A,계산!$E324,계산!$B:$B,$B$1*100+5))</f>
        <v/>
      </c>
      <c r="H326" s="14">
        <f>IF(원생!$A324="","",SUMIFS(계산!$C:$C,계산!$A:$A,계산!$E324,계산!$B:$B,$B$1*100+6))</f>
        <v/>
      </c>
      <c r="I326" s="14">
        <f>IF(원생!$A324="","",SUMIFS(계산!$C:$C,계산!$A:$A,계산!$E324,계산!$B:$B,$B$1*100+7))</f>
        <v/>
      </c>
      <c r="J326" s="14">
        <f>IF(원생!$A324="","",SUMIFS(계산!$C:$C,계산!$A:$A,계산!$E324,계산!$B:$B,$B$1*100+8))</f>
        <v/>
      </c>
      <c r="K326" s="14">
        <f>IF(원생!$A324="","",SUMIFS(계산!$C:$C,계산!$A:$A,계산!$E324,계산!$B:$B,$B$1*100+9))</f>
        <v/>
      </c>
      <c r="L326" s="14">
        <f>IF(원생!$A324="","",SUMIFS(계산!$C:$C,계산!$A:$A,계산!$E324,계산!$B:$B,$B$1*100+10))</f>
        <v/>
      </c>
      <c r="M326" s="14">
        <f>IF(원생!$A324="","",SUMIFS(계산!$C:$C,계산!$A:$A,계산!$E324,계산!$B:$B,$B$1*100+11))</f>
        <v/>
      </c>
      <c r="N326" s="14">
        <f>IF(원생!$A324="","",SUMIFS(계산!$C:$C,계산!$A:$A,계산!$E324,계산!$B:$B,$B$1*100+12))</f>
        <v/>
      </c>
      <c r="O326">
        <f>IF(원생!$I324="","",원생!$I324)</f>
        <v/>
      </c>
      <c r="P326">
        <f>IF($A326="","",IF(AND($B326&gt;0,C326&lt;$B326,DATE($B$1,1,1)&lt;=TODAY(),OR($O326="",$O326&gt;=DATE($B$1,1,1)),OR(COUNTIF($C326:C326,"&gt;0")&gt;0,DATE($B$1,1,1)=DATE(YEAR(TODAY()),MONTH(TODAY()),1))),1,0))</f>
        <v/>
      </c>
      <c r="Q326">
        <f>IF($A326="","",IF(AND($B326&gt;0,D326&lt;$B326,DATE($B$1,2,1)&lt;=TODAY(),OR($O326="",$O326&gt;=DATE($B$1,2,1)),OR(COUNTIF($C326:D326,"&gt;0")&gt;0,DATE($B$1,2,1)=DATE(YEAR(TODAY()),MONTH(TODAY()),1))),1,0))</f>
        <v/>
      </c>
      <c r="R326">
        <f>IF($A326="","",IF(AND($B326&gt;0,E326&lt;$B326,DATE($B$1,3,1)&lt;=TODAY(),OR($O326="",$O326&gt;=DATE($B$1,3,1)),OR(COUNTIF($C326:E326,"&gt;0")&gt;0,DATE($B$1,3,1)=DATE(YEAR(TODAY()),MONTH(TODAY()),1))),1,0))</f>
        <v/>
      </c>
      <c r="S326">
        <f>IF($A326="","",IF(AND($B326&gt;0,F326&lt;$B326,DATE($B$1,4,1)&lt;=TODAY(),OR($O326="",$O326&gt;=DATE($B$1,4,1)),OR(COUNTIF($C326:F326,"&gt;0")&gt;0,DATE($B$1,4,1)=DATE(YEAR(TODAY()),MONTH(TODAY()),1))),1,0))</f>
        <v/>
      </c>
      <c r="T326">
        <f>IF($A326="","",IF(AND($B326&gt;0,G326&lt;$B326,DATE($B$1,5,1)&lt;=TODAY(),OR($O326="",$O326&gt;=DATE($B$1,5,1)),OR(COUNTIF($C326:G326,"&gt;0")&gt;0,DATE($B$1,5,1)=DATE(YEAR(TODAY()),MONTH(TODAY()),1))),1,0))</f>
        <v/>
      </c>
      <c r="U326">
        <f>IF($A326="","",IF(AND($B326&gt;0,H326&lt;$B326,DATE($B$1,6,1)&lt;=TODAY(),OR($O326="",$O326&gt;=DATE($B$1,6,1)),OR(COUNTIF($C326:H326,"&gt;0")&gt;0,DATE($B$1,6,1)=DATE(YEAR(TODAY()),MONTH(TODAY()),1))),1,0))</f>
        <v/>
      </c>
      <c r="V326">
        <f>IF($A326="","",IF(AND($B326&gt;0,I326&lt;$B326,DATE($B$1,7,1)&lt;=TODAY(),OR($O326="",$O326&gt;=DATE($B$1,7,1)),OR(COUNTIF($C326:I326,"&gt;0")&gt;0,DATE($B$1,7,1)=DATE(YEAR(TODAY()),MONTH(TODAY()),1))),1,0))</f>
        <v/>
      </c>
      <c r="W326">
        <f>IF($A326="","",IF(AND($B326&gt;0,J326&lt;$B326,DATE($B$1,8,1)&lt;=TODAY(),OR($O326="",$O326&gt;=DATE($B$1,8,1)),OR(COUNTIF($C326:J326,"&gt;0")&gt;0,DATE($B$1,8,1)=DATE(YEAR(TODAY()),MONTH(TODAY()),1))),1,0))</f>
        <v/>
      </c>
      <c r="X326">
        <f>IF($A326="","",IF(AND($B326&gt;0,K326&lt;$B326,DATE($B$1,9,1)&lt;=TODAY(),OR($O326="",$O326&gt;=DATE($B$1,9,1)),OR(COUNTIF($C326:K326,"&gt;0")&gt;0,DATE($B$1,9,1)=DATE(YEAR(TODAY()),MONTH(TODAY()),1))),1,0))</f>
        <v/>
      </c>
      <c r="Y326">
        <f>IF($A326="","",IF(AND($B326&gt;0,L326&lt;$B326,DATE($B$1,10,1)&lt;=TODAY(),OR($O326="",$O326&gt;=DATE($B$1,10,1)),OR(COUNTIF($C326:L326,"&gt;0")&gt;0,DATE($B$1,10,1)=DATE(YEAR(TODAY()),MONTH(TODAY()),1))),1,0))</f>
        <v/>
      </c>
      <c r="Z326">
        <f>IF($A326="","",IF(AND($B326&gt;0,M326&lt;$B326,DATE($B$1,11,1)&lt;=TODAY(),OR($O326="",$O326&gt;=DATE($B$1,11,1)),OR(COUNTIF($C326:M326,"&gt;0")&gt;0,DATE($B$1,11,1)=DATE(YEAR(TODAY()),MONTH(TODAY()),1))),1,0))</f>
        <v/>
      </c>
      <c r="AA326">
        <f>IF($A326="","",IF(AND($B326&gt;0,N326&lt;$B326,DATE($B$1,12,1)&lt;=TODAY(),OR($O326="",$O326&gt;=DATE($B$1,12,1)),OR(COUNTIF($C326:N326,"&gt;0")&gt;0,DATE($B$1,12,1)=DATE(YEAR(TODAY()),MONTH(TODAY()),1))),1,0))</f>
        <v/>
      </c>
    </row>
    <row r="327">
      <c r="A327" s="13">
        <f>IF(원생!$A325="","",원생!$A325&amp;IF(원생!$G325="",""," ("&amp;원생!$G325&amp;")"))</f>
        <v/>
      </c>
      <c r="B327" s="8">
        <f>IF(원생!$A325="","",N(원생!$F325))</f>
        <v/>
      </c>
      <c r="C327" s="14">
        <f>IF(원생!$A325="","",SUMIFS(계산!$C:$C,계산!$A:$A,계산!$E325,계산!$B:$B,$B$1*100+1))</f>
        <v/>
      </c>
      <c r="D327" s="14">
        <f>IF(원생!$A325="","",SUMIFS(계산!$C:$C,계산!$A:$A,계산!$E325,계산!$B:$B,$B$1*100+2))</f>
        <v/>
      </c>
      <c r="E327" s="14">
        <f>IF(원생!$A325="","",SUMIFS(계산!$C:$C,계산!$A:$A,계산!$E325,계산!$B:$B,$B$1*100+3))</f>
        <v/>
      </c>
      <c r="F327" s="14">
        <f>IF(원생!$A325="","",SUMIFS(계산!$C:$C,계산!$A:$A,계산!$E325,계산!$B:$B,$B$1*100+4))</f>
        <v/>
      </c>
      <c r="G327" s="14">
        <f>IF(원생!$A325="","",SUMIFS(계산!$C:$C,계산!$A:$A,계산!$E325,계산!$B:$B,$B$1*100+5))</f>
        <v/>
      </c>
      <c r="H327" s="14">
        <f>IF(원생!$A325="","",SUMIFS(계산!$C:$C,계산!$A:$A,계산!$E325,계산!$B:$B,$B$1*100+6))</f>
        <v/>
      </c>
      <c r="I327" s="14">
        <f>IF(원생!$A325="","",SUMIFS(계산!$C:$C,계산!$A:$A,계산!$E325,계산!$B:$B,$B$1*100+7))</f>
        <v/>
      </c>
      <c r="J327" s="14">
        <f>IF(원생!$A325="","",SUMIFS(계산!$C:$C,계산!$A:$A,계산!$E325,계산!$B:$B,$B$1*100+8))</f>
        <v/>
      </c>
      <c r="K327" s="14">
        <f>IF(원생!$A325="","",SUMIFS(계산!$C:$C,계산!$A:$A,계산!$E325,계산!$B:$B,$B$1*100+9))</f>
        <v/>
      </c>
      <c r="L327" s="14">
        <f>IF(원생!$A325="","",SUMIFS(계산!$C:$C,계산!$A:$A,계산!$E325,계산!$B:$B,$B$1*100+10))</f>
        <v/>
      </c>
      <c r="M327" s="14">
        <f>IF(원생!$A325="","",SUMIFS(계산!$C:$C,계산!$A:$A,계산!$E325,계산!$B:$B,$B$1*100+11))</f>
        <v/>
      </c>
      <c r="N327" s="14">
        <f>IF(원생!$A325="","",SUMIFS(계산!$C:$C,계산!$A:$A,계산!$E325,계산!$B:$B,$B$1*100+12))</f>
        <v/>
      </c>
      <c r="O327">
        <f>IF(원생!$I325="","",원생!$I325)</f>
        <v/>
      </c>
      <c r="P327">
        <f>IF($A327="","",IF(AND($B327&gt;0,C327&lt;$B327,DATE($B$1,1,1)&lt;=TODAY(),OR($O327="",$O327&gt;=DATE($B$1,1,1)),OR(COUNTIF($C327:C327,"&gt;0")&gt;0,DATE($B$1,1,1)=DATE(YEAR(TODAY()),MONTH(TODAY()),1))),1,0))</f>
        <v/>
      </c>
      <c r="Q327">
        <f>IF($A327="","",IF(AND($B327&gt;0,D327&lt;$B327,DATE($B$1,2,1)&lt;=TODAY(),OR($O327="",$O327&gt;=DATE($B$1,2,1)),OR(COUNTIF($C327:D327,"&gt;0")&gt;0,DATE($B$1,2,1)=DATE(YEAR(TODAY()),MONTH(TODAY()),1))),1,0))</f>
        <v/>
      </c>
      <c r="R327">
        <f>IF($A327="","",IF(AND($B327&gt;0,E327&lt;$B327,DATE($B$1,3,1)&lt;=TODAY(),OR($O327="",$O327&gt;=DATE($B$1,3,1)),OR(COUNTIF($C327:E327,"&gt;0")&gt;0,DATE($B$1,3,1)=DATE(YEAR(TODAY()),MONTH(TODAY()),1))),1,0))</f>
        <v/>
      </c>
      <c r="S327">
        <f>IF($A327="","",IF(AND($B327&gt;0,F327&lt;$B327,DATE($B$1,4,1)&lt;=TODAY(),OR($O327="",$O327&gt;=DATE($B$1,4,1)),OR(COUNTIF($C327:F327,"&gt;0")&gt;0,DATE($B$1,4,1)=DATE(YEAR(TODAY()),MONTH(TODAY()),1))),1,0))</f>
        <v/>
      </c>
      <c r="T327">
        <f>IF($A327="","",IF(AND($B327&gt;0,G327&lt;$B327,DATE($B$1,5,1)&lt;=TODAY(),OR($O327="",$O327&gt;=DATE($B$1,5,1)),OR(COUNTIF($C327:G327,"&gt;0")&gt;0,DATE($B$1,5,1)=DATE(YEAR(TODAY()),MONTH(TODAY()),1))),1,0))</f>
        <v/>
      </c>
      <c r="U327">
        <f>IF($A327="","",IF(AND($B327&gt;0,H327&lt;$B327,DATE($B$1,6,1)&lt;=TODAY(),OR($O327="",$O327&gt;=DATE($B$1,6,1)),OR(COUNTIF($C327:H327,"&gt;0")&gt;0,DATE($B$1,6,1)=DATE(YEAR(TODAY()),MONTH(TODAY()),1))),1,0))</f>
        <v/>
      </c>
      <c r="V327">
        <f>IF($A327="","",IF(AND($B327&gt;0,I327&lt;$B327,DATE($B$1,7,1)&lt;=TODAY(),OR($O327="",$O327&gt;=DATE($B$1,7,1)),OR(COUNTIF($C327:I327,"&gt;0")&gt;0,DATE($B$1,7,1)=DATE(YEAR(TODAY()),MONTH(TODAY()),1))),1,0))</f>
        <v/>
      </c>
      <c r="W327">
        <f>IF($A327="","",IF(AND($B327&gt;0,J327&lt;$B327,DATE($B$1,8,1)&lt;=TODAY(),OR($O327="",$O327&gt;=DATE($B$1,8,1)),OR(COUNTIF($C327:J327,"&gt;0")&gt;0,DATE($B$1,8,1)=DATE(YEAR(TODAY()),MONTH(TODAY()),1))),1,0))</f>
        <v/>
      </c>
      <c r="X327">
        <f>IF($A327="","",IF(AND($B327&gt;0,K327&lt;$B327,DATE($B$1,9,1)&lt;=TODAY(),OR($O327="",$O327&gt;=DATE($B$1,9,1)),OR(COUNTIF($C327:K327,"&gt;0")&gt;0,DATE($B$1,9,1)=DATE(YEAR(TODAY()),MONTH(TODAY()),1))),1,0))</f>
        <v/>
      </c>
      <c r="Y327">
        <f>IF($A327="","",IF(AND($B327&gt;0,L327&lt;$B327,DATE($B$1,10,1)&lt;=TODAY(),OR($O327="",$O327&gt;=DATE($B$1,10,1)),OR(COUNTIF($C327:L327,"&gt;0")&gt;0,DATE($B$1,10,1)=DATE(YEAR(TODAY()),MONTH(TODAY()),1))),1,0))</f>
        <v/>
      </c>
      <c r="Z327">
        <f>IF($A327="","",IF(AND($B327&gt;0,M327&lt;$B327,DATE($B$1,11,1)&lt;=TODAY(),OR($O327="",$O327&gt;=DATE($B$1,11,1)),OR(COUNTIF($C327:M327,"&gt;0")&gt;0,DATE($B$1,11,1)=DATE(YEAR(TODAY()),MONTH(TODAY()),1))),1,0))</f>
        <v/>
      </c>
      <c r="AA327">
        <f>IF($A327="","",IF(AND($B327&gt;0,N327&lt;$B327,DATE($B$1,12,1)&lt;=TODAY(),OR($O327="",$O327&gt;=DATE($B$1,12,1)),OR(COUNTIF($C327:N327,"&gt;0")&gt;0,DATE($B$1,12,1)=DATE(YEAR(TODAY()),MONTH(TODAY()),1))),1,0))</f>
        <v/>
      </c>
    </row>
    <row r="328">
      <c r="A328" s="13">
        <f>IF(원생!$A326="","",원생!$A326&amp;IF(원생!$G326="",""," ("&amp;원생!$G326&amp;")"))</f>
        <v/>
      </c>
      <c r="B328" s="8">
        <f>IF(원생!$A326="","",N(원생!$F326))</f>
        <v/>
      </c>
      <c r="C328" s="14">
        <f>IF(원생!$A326="","",SUMIFS(계산!$C:$C,계산!$A:$A,계산!$E326,계산!$B:$B,$B$1*100+1))</f>
        <v/>
      </c>
      <c r="D328" s="14">
        <f>IF(원생!$A326="","",SUMIFS(계산!$C:$C,계산!$A:$A,계산!$E326,계산!$B:$B,$B$1*100+2))</f>
        <v/>
      </c>
      <c r="E328" s="14">
        <f>IF(원생!$A326="","",SUMIFS(계산!$C:$C,계산!$A:$A,계산!$E326,계산!$B:$B,$B$1*100+3))</f>
        <v/>
      </c>
      <c r="F328" s="14">
        <f>IF(원생!$A326="","",SUMIFS(계산!$C:$C,계산!$A:$A,계산!$E326,계산!$B:$B,$B$1*100+4))</f>
        <v/>
      </c>
      <c r="G328" s="14">
        <f>IF(원생!$A326="","",SUMIFS(계산!$C:$C,계산!$A:$A,계산!$E326,계산!$B:$B,$B$1*100+5))</f>
        <v/>
      </c>
      <c r="H328" s="14">
        <f>IF(원생!$A326="","",SUMIFS(계산!$C:$C,계산!$A:$A,계산!$E326,계산!$B:$B,$B$1*100+6))</f>
        <v/>
      </c>
      <c r="I328" s="14">
        <f>IF(원생!$A326="","",SUMIFS(계산!$C:$C,계산!$A:$A,계산!$E326,계산!$B:$B,$B$1*100+7))</f>
        <v/>
      </c>
      <c r="J328" s="14">
        <f>IF(원생!$A326="","",SUMIFS(계산!$C:$C,계산!$A:$A,계산!$E326,계산!$B:$B,$B$1*100+8))</f>
        <v/>
      </c>
      <c r="K328" s="14">
        <f>IF(원생!$A326="","",SUMIFS(계산!$C:$C,계산!$A:$A,계산!$E326,계산!$B:$B,$B$1*100+9))</f>
        <v/>
      </c>
      <c r="L328" s="14">
        <f>IF(원생!$A326="","",SUMIFS(계산!$C:$C,계산!$A:$A,계산!$E326,계산!$B:$B,$B$1*100+10))</f>
        <v/>
      </c>
      <c r="M328" s="14">
        <f>IF(원생!$A326="","",SUMIFS(계산!$C:$C,계산!$A:$A,계산!$E326,계산!$B:$B,$B$1*100+11))</f>
        <v/>
      </c>
      <c r="N328" s="14">
        <f>IF(원생!$A326="","",SUMIFS(계산!$C:$C,계산!$A:$A,계산!$E326,계산!$B:$B,$B$1*100+12))</f>
        <v/>
      </c>
      <c r="O328">
        <f>IF(원생!$I326="","",원생!$I326)</f>
        <v/>
      </c>
      <c r="P328">
        <f>IF($A328="","",IF(AND($B328&gt;0,C328&lt;$B328,DATE($B$1,1,1)&lt;=TODAY(),OR($O328="",$O328&gt;=DATE($B$1,1,1)),OR(COUNTIF($C328:C328,"&gt;0")&gt;0,DATE($B$1,1,1)=DATE(YEAR(TODAY()),MONTH(TODAY()),1))),1,0))</f>
        <v/>
      </c>
      <c r="Q328">
        <f>IF($A328="","",IF(AND($B328&gt;0,D328&lt;$B328,DATE($B$1,2,1)&lt;=TODAY(),OR($O328="",$O328&gt;=DATE($B$1,2,1)),OR(COUNTIF($C328:D328,"&gt;0")&gt;0,DATE($B$1,2,1)=DATE(YEAR(TODAY()),MONTH(TODAY()),1))),1,0))</f>
        <v/>
      </c>
      <c r="R328">
        <f>IF($A328="","",IF(AND($B328&gt;0,E328&lt;$B328,DATE($B$1,3,1)&lt;=TODAY(),OR($O328="",$O328&gt;=DATE($B$1,3,1)),OR(COUNTIF($C328:E328,"&gt;0")&gt;0,DATE($B$1,3,1)=DATE(YEAR(TODAY()),MONTH(TODAY()),1))),1,0))</f>
        <v/>
      </c>
      <c r="S328">
        <f>IF($A328="","",IF(AND($B328&gt;0,F328&lt;$B328,DATE($B$1,4,1)&lt;=TODAY(),OR($O328="",$O328&gt;=DATE($B$1,4,1)),OR(COUNTIF($C328:F328,"&gt;0")&gt;0,DATE($B$1,4,1)=DATE(YEAR(TODAY()),MONTH(TODAY()),1))),1,0))</f>
        <v/>
      </c>
      <c r="T328">
        <f>IF($A328="","",IF(AND($B328&gt;0,G328&lt;$B328,DATE($B$1,5,1)&lt;=TODAY(),OR($O328="",$O328&gt;=DATE($B$1,5,1)),OR(COUNTIF($C328:G328,"&gt;0")&gt;0,DATE($B$1,5,1)=DATE(YEAR(TODAY()),MONTH(TODAY()),1))),1,0))</f>
        <v/>
      </c>
      <c r="U328">
        <f>IF($A328="","",IF(AND($B328&gt;0,H328&lt;$B328,DATE($B$1,6,1)&lt;=TODAY(),OR($O328="",$O328&gt;=DATE($B$1,6,1)),OR(COUNTIF($C328:H328,"&gt;0")&gt;0,DATE($B$1,6,1)=DATE(YEAR(TODAY()),MONTH(TODAY()),1))),1,0))</f>
        <v/>
      </c>
      <c r="V328">
        <f>IF($A328="","",IF(AND($B328&gt;0,I328&lt;$B328,DATE($B$1,7,1)&lt;=TODAY(),OR($O328="",$O328&gt;=DATE($B$1,7,1)),OR(COUNTIF($C328:I328,"&gt;0")&gt;0,DATE($B$1,7,1)=DATE(YEAR(TODAY()),MONTH(TODAY()),1))),1,0))</f>
        <v/>
      </c>
      <c r="W328">
        <f>IF($A328="","",IF(AND($B328&gt;0,J328&lt;$B328,DATE($B$1,8,1)&lt;=TODAY(),OR($O328="",$O328&gt;=DATE($B$1,8,1)),OR(COUNTIF($C328:J328,"&gt;0")&gt;0,DATE($B$1,8,1)=DATE(YEAR(TODAY()),MONTH(TODAY()),1))),1,0))</f>
        <v/>
      </c>
      <c r="X328">
        <f>IF($A328="","",IF(AND($B328&gt;0,K328&lt;$B328,DATE($B$1,9,1)&lt;=TODAY(),OR($O328="",$O328&gt;=DATE($B$1,9,1)),OR(COUNTIF($C328:K328,"&gt;0")&gt;0,DATE($B$1,9,1)=DATE(YEAR(TODAY()),MONTH(TODAY()),1))),1,0))</f>
        <v/>
      </c>
      <c r="Y328">
        <f>IF($A328="","",IF(AND($B328&gt;0,L328&lt;$B328,DATE($B$1,10,1)&lt;=TODAY(),OR($O328="",$O328&gt;=DATE($B$1,10,1)),OR(COUNTIF($C328:L328,"&gt;0")&gt;0,DATE($B$1,10,1)=DATE(YEAR(TODAY()),MONTH(TODAY()),1))),1,0))</f>
        <v/>
      </c>
      <c r="Z328">
        <f>IF($A328="","",IF(AND($B328&gt;0,M328&lt;$B328,DATE($B$1,11,1)&lt;=TODAY(),OR($O328="",$O328&gt;=DATE($B$1,11,1)),OR(COUNTIF($C328:M328,"&gt;0")&gt;0,DATE($B$1,11,1)=DATE(YEAR(TODAY()),MONTH(TODAY()),1))),1,0))</f>
        <v/>
      </c>
      <c r="AA328">
        <f>IF($A328="","",IF(AND($B328&gt;0,N328&lt;$B328,DATE($B$1,12,1)&lt;=TODAY(),OR($O328="",$O328&gt;=DATE($B$1,12,1)),OR(COUNTIF($C328:N328,"&gt;0")&gt;0,DATE($B$1,12,1)=DATE(YEAR(TODAY()),MONTH(TODAY()),1))),1,0))</f>
        <v/>
      </c>
    </row>
    <row r="329">
      <c r="A329" s="13">
        <f>IF(원생!$A327="","",원생!$A327&amp;IF(원생!$G327="",""," ("&amp;원생!$G327&amp;")"))</f>
        <v/>
      </c>
      <c r="B329" s="8">
        <f>IF(원생!$A327="","",N(원생!$F327))</f>
        <v/>
      </c>
      <c r="C329" s="14">
        <f>IF(원생!$A327="","",SUMIFS(계산!$C:$C,계산!$A:$A,계산!$E327,계산!$B:$B,$B$1*100+1))</f>
        <v/>
      </c>
      <c r="D329" s="14">
        <f>IF(원생!$A327="","",SUMIFS(계산!$C:$C,계산!$A:$A,계산!$E327,계산!$B:$B,$B$1*100+2))</f>
        <v/>
      </c>
      <c r="E329" s="14">
        <f>IF(원생!$A327="","",SUMIFS(계산!$C:$C,계산!$A:$A,계산!$E327,계산!$B:$B,$B$1*100+3))</f>
        <v/>
      </c>
      <c r="F329" s="14">
        <f>IF(원생!$A327="","",SUMIFS(계산!$C:$C,계산!$A:$A,계산!$E327,계산!$B:$B,$B$1*100+4))</f>
        <v/>
      </c>
      <c r="G329" s="14">
        <f>IF(원생!$A327="","",SUMIFS(계산!$C:$C,계산!$A:$A,계산!$E327,계산!$B:$B,$B$1*100+5))</f>
        <v/>
      </c>
      <c r="H329" s="14">
        <f>IF(원생!$A327="","",SUMIFS(계산!$C:$C,계산!$A:$A,계산!$E327,계산!$B:$B,$B$1*100+6))</f>
        <v/>
      </c>
      <c r="I329" s="14">
        <f>IF(원생!$A327="","",SUMIFS(계산!$C:$C,계산!$A:$A,계산!$E327,계산!$B:$B,$B$1*100+7))</f>
        <v/>
      </c>
      <c r="J329" s="14">
        <f>IF(원생!$A327="","",SUMIFS(계산!$C:$C,계산!$A:$A,계산!$E327,계산!$B:$B,$B$1*100+8))</f>
        <v/>
      </c>
      <c r="K329" s="14">
        <f>IF(원생!$A327="","",SUMIFS(계산!$C:$C,계산!$A:$A,계산!$E327,계산!$B:$B,$B$1*100+9))</f>
        <v/>
      </c>
      <c r="L329" s="14">
        <f>IF(원생!$A327="","",SUMIFS(계산!$C:$C,계산!$A:$A,계산!$E327,계산!$B:$B,$B$1*100+10))</f>
        <v/>
      </c>
      <c r="M329" s="14">
        <f>IF(원생!$A327="","",SUMIFS(계산!$C:$C,계산!$A:$A,계산!$E327,계산!$B:$B,$B$1*100+11))</f>
        <v/>
      </c>
      <c r="N329" s="14">
        <f>IF(원생!$A327="","",SUMIFS(계산!$C:$C,계산!$A:$A,계산!$E327,계산!$B:$B,$B$1*100+12))</f>
        <v/>
      </c>
      <c r="O329">
        <f>IF(원생!$I327="","",원생!$I327)</f>
        <v/>
      </c>
      <c r="P329">
        <f>IF($A329="","",IF(AND($B329&gt;0,C329&lt;$B329,DATE($B$1,1,1)&lt;=TODAY(),OR($O329="",$O329&gt;=DATE($B$1,1,1)),OR(COUNTIF($C329:C329,"&gt;0")&gt;0,DATE($B$1,1,1)=DATE(YEAR(TODAY()),MONTH(TODAY()),1))),1,0))</f>
        <v/>
      </c>
      <c r="Q329">
        <f>IF($A329="","",IF(AND($B329&gt;0,D329&lt;$B329,DATE($B$1,2,1)&lt;=TODAY(),OR($O329="",$O329&gt;=DATE($B$1,2,1)),OR(COUNTIF($C329:D329,"&gt;0")&gt;0,DATE($B$1,2,1)=DATE(YEAR(TODAY()),MONTH(TODAY()),1))),1,0))</f>
        <v/>
      </c>
      <c r="R329">
        <f>IF($A329="","",IF(AND($B329&gt;0,E329&lt;$B329,DATE($B$1,3,1)&lt;=TODAY(),OR($O329="",$O329&gt;=DATE($B$1,3,1)),OR(COUNTIF($C329:E329,"&gt;0")&gt;0,DATE($B$1,3,1)=DATE(YEAR(TODAY()),MONTH(TODAY()),1))),1,0))</f>
        <v/>
      </c>
      <c r="S329">
        <f>IF($A329="","",IF(AND($B329&gt;0,F329&lt;$B329,DATE($B$1,4,1)&lt;=TODAY(),OR($O329="",$O329&gt;=DATE($B$1,4,1)),OR(COUNTIF($C329:F329,"&gt;0")&gt;0,DATE($B$1,4,1)=DATE(YEAR(TODAY()),MONTH(TODAY()),1))),1,0))</f>
        <v/>
      </c>
      <c r="T329">
        <f>IF($A329="","",IF(AND($B329&gt;0,G329&lt;$B329,DATE($B$1,5,1)&lt;=TODAY(),OR($O329="",$O329&gt;=DATE($B$1,5,1)),OR(COUNTIF($C329:G329,"&gt;0")&gt;0,DATE($B$1,5,1)=DATE(YEAR(TODAY()),MONTH(TODAY()),1))),1,0))</f>
        <v/>
      </c>
      <c r="U329">
        <f>IF($A329="","",IF(AND($B329&gt;0,H329&lt;$B329,DATE($B$1,6,1)&lt;=TODAY(),OR($O329="",$O329&gt;=DATE($B$1,6,1)),OR(COUNTIF($C329:H329,"&gt;0")&gt;0,DATE($B$1,6,1)=DATE(YEAR(TODAY()),MONTH(TODAY()),1))),1,0))</f>
        <v/>
      </c>
      <c r="V329">
        <f>IF($A329="","",IF(AND($B329&gt;0,I329&lt;$B329,DATE($B$1,7,1)&lt;=TODAY(),OR($O329="",$O329&gt;=DATE($B$1,7,1)),OR(COUNTIF($C329:I329,"&gt;0")&gt;0,DATE($B$1,7,1)=DATE(YEAR(TODAY()),MONTH(TODAY()),1))),1,0))</f>
        <v/>
      </c>
      <c r="W329">
        <f>IF($A329="","",IF(AND($B329&gt;0,J329&lt;$B329,DATE($B$1,8,1)&lt;=TODAY(),OR($O329="",$O329&gt;=DATE($B$1,8,1)),OR(COUNTIF($C329:J329,"&gt;0")&gt;0,DATE($B$1,8,1)=DATE(YEAR(TODAY()),MONTH(TODAY()),1))),1,0))</f>
        <v/>
      </c>
      <c r="X329">
        <f>IF($A329="","",IF(AND($B329&gt;0,K329&lt;$B329,DATE($B$1,9,1)&lt;=TODAY(),OR($O329="",$O329&gt;=DATE($B$1,9,1)),OR(COUNTIF($C329:K329,"&gt;0")&gt;0,DATE($B$1,9,1)=DATE(YEAR(TODAY()),MONTH(TODAY()),1))),1,0))</f>
        <v/>
      </c>
      <c r="Y329">
        <f>IF($A329="","",IF(AND($B329&gt;0,L329&lt;$B329,DATE($B$1,10,1)&lt;=TODAY(),OR($O329="",$O329&gt;=DATE($B$1,10,1)),OR(COUNTIF($C329:L329,"&gt;0")&gt;0,DATE($B$1,10,1)=DATE(YEAR(TODAY()),MONTH(TODAY()),1))),1,0))</f>
        <v/>
      </c>
      <c r="Z329">
        <f>IF($A329="","",IF(AND($B329&gt;0,M329&lt;$B329,DATE($B$1,11,1)&lt;=TODAY(),OR($O329="",$O329&gt;=DATE($B$1,11,1)),OR(COUNTIF($C329:M329,"&gt;0")&gt;0,DATE($B$1,11,1)=DATE(YEAR(TODAY()),MONTH(TODAY()),1))),1,0))</f>
        <v/>
      </c>
      <c r="AA329">
        <f>IF($A329="","",IF(AND($B329&gt;0,N329&lt;$B329,DATE($B$1,12,1)&lt;=TODAY(),OR($O329="",$O329&gt;=DATE($B$1,12,1)),OR(COUNTIF($C329:N329,"&gt;0")&gt;0,DATE($B$1,12,1)=DATE(YEAR(TODAY()),MONTH(TODAY()),1))),1,0))</f>
        <v/>
      </c>
    </row>
    <row r="330">
      <c r="A330" s="13">
        <f>IF(원생!$A328="","",원생!$A328&amp;IF(원생!$G328="",""," ("&amp;원생!$G328&amp;")"))</f>
        <v/>
      </c>
      <c r="B330" s="8">
        <f>IF(원생!$A328="","",N(원생!$F328))</f>
        <v/>
      </c>
      <c r="C330" s="14">
        <f>IF(원생!$A328="","",SUMIFS(계산!$C:$C,계산!$A:$A,계산!$E328,계산!$B:$B,$B$1*100+1))</f>
        <v/>
      </c>
      <c r="D330" s="14">
        <f>IF(원생!$A328="","",SUMIFS(계산!$C:$C,계산!$A:$A,계산!$E328,계산!$B:$B,$B$1*100+2))</f>
        <v/>
      </c>
      <c r="E330" s="14">
        <f>IF(원생!$A328="","",SUMIFS(계산!$C:$C,계산!$A:$A,계산!$E328,계산!$B:$B,$B$1*100+3))</f>
        <v/>
      </c>
      <c r="F330" s="14">
        <f>IF(원생!$A328="","",SUMIFS(계산!$C:$C,계산!$A:$A,계산!$E328,계산!$B:$B,$B$1*100+4))</f>
        <v/>
      </c>
      <c r="G330" s="14">
        <f>IF(원생!$A328="","",SUMIFS(계산!$C:$C,계산!$A:$A,계산!$E328,계산!$B:$B,$B$1*100+5))</f>
        <v/>
      </c>
      <c r="H330" s="14">
        <f>IF(원생!$A328="","",SUMIFS(계산!$C:$C,계산!$A:$A,계산!$E328,계산!$B:$B,$B$1*100+6))</f>
        <v/>
      </c>
      <c r="I330" s="14">
        <f>IF(원생!$A328="","",SUMIFS(계산!$C:$C,계산!$A:$A,계산!$E328,계산!$B:$B,$B$1*100+7))</f>
        <v/>
      </c>
      <c r="J330" s="14">
        <f>IF(원생!$A328="","",SUMIFS(계산!$C:$C,계산!$A:$A,계산!$E328,계산!$B:$B,$B$1*100+8))</f>
        <v/>
      </c>
      <c r="K330" s="14">
        <f>IF(원생!$A328="","",SUMIFS(계산!$C:$C,계산!$A:$A,계산!$E328,계산!$B:$B,$B$1*100+9))</f>
        <v/>
      </c>
      <c r="L330" s="14">
        <f>IF(원생!$A328="","",SUMIFS(계산!$C:$C,계산!$A:$A,계산!$E328,계산!$B:$B,$B$1*100+10))</f>
        <v/>
      </c>
      <c r="M330" s="14">
        <f>IF(원생!$A328="","",SUMIFS(계산!$C:$C,계산!$A:$A,계산!$E328,계산!$B:$B,$B$1*100+11))</f>
        <v/>
      </c>
      <c r="N330" s="14">
        <f>IF(원생!$A328="","",SUMIFS(계산!$C:$C,계산!$A:$A,계산!$E328,계산!$B:$B,$B$1*100+12))</f>
        <v/>
      </c>
      <c r="O330">
        <f>IF(원생!$I328="","",원생!$I328)</f>
        <v/>
      </c>
      <c r="P330">
        <f>IF($A330="","",IF(AND($B330&gt;0,C330&lt;$B330,DATE($B$1,1,1)&lt;=TODAY(),OR($O330="",$O330&gt;=DATE($B$1,1,1)),OR(COUNTIF($C330:C330,"&gt;0")&gt;0,DATE($B$1,1,1)=DATE(YEAR(TODAY()),MONTH(TODAY()),1))),1,0))</f>
        <v/>
      </c>
      <c r="Q330">
        <f>IF($A330="","",IF(AND($B330&gt;0,D330&lt;$B330,DATE($B$1,2,1)&lt;=TODAY(),OR($O330="",$O330&gt;=DATE($B$1,2,1)),OR(COUNTIF($C330:D330,"&gt;0")&gt;0,DATE($B$1,2,1)=DATE(YEAR(TODAY()),MONTH(TODAY()),1))),1,0))</f>
        <v/>
      </c>
      <c r="R330">
        <f>IF($A330="","",IF(AND($B330&gt;0,E330&lt;$B330,DATE($B$1,3,1)&lt;=TODAY(),OR($O330="",$O330&gt;=DATE($B$1,3,1)),OR(COUNTIF($C330:E330,"&gt;0")&gt;0,DATE($B$1,3,1)=DATE(YEAR(TODAY()),MONTH(TODAY()),1))),1,0))</f>
        <v/>
      </c>
      <c r="S330">
        <f>IF($A330="","",IF(AND($B330&gt;0,F330&lt;$B330,DATE($B$1,4,1)&lt;=TODAY(),OR($O330="",$O330&gt;=DATE($B$1,4,1)),OR(COUNTIF($C330:F330,"&gt;0")&gt;0,DATE($B$1,4,1)=DATE(YEAR(TODAY()),MONTH(TODAY()),1))),1,0))</f>
        <v/>
      </c>
      <c r="T330">
        <f>IF($A330="","",IF(AND($B330&gt;0,G330&lt;$B330,DATE($B$1,5,1)&lt;=TODAY(),OR($O330="",$O330&gt;=DATE($B$1,5,1)),OR(COUNTIF($C330:G330,"&gt;0")&gt;0,DATE($B$1,5,1)=DATE(YEAR(TODAY()),MONTH(TODAY()),1))),1,0))</f>
        <v/>
      </c>
      <c r="U330">
        <f>IF($A330="","",IF(AND($B330&gt;0,H330&lt;$B330,DATE($B$1,6,1)&lt;=TODAY(),OR($O330="",$O330&gt;=DATE($B$1,6,1)),OR(COUNTIF($C330:H330,"&gt;0")&gt;0,DATE($B$1,6,1)=DATE(YEAR(TODAY()),MONTH(TODAY()),1))),1,0))</f>
        <v/>
      </c>
      <c r="V330">
        <f>IF($A330="","",IF(AND($B330&gt;0,I330&lt;$B330,DATE($B$1,7,1)&lt;=TODAY(),OR($O330="",$O330&gt;=DATE($B$1,7,1)),OR(COUNTIF($C330:I330,"&gt;0")&gt;0,DATE($B$1,7,1)=DATE(YEAR(TODAY()),MONTH(TODAY()),1))),1,0))</f>
        <v/>
      </c>
      <c r="W330">
        <f>IF($A330="","",IF(AND($B330&gt;0,J330&lt;$B330,DATE($B$1,8,1)&lt;=TODAY(),OR($O330="",$O330&gt;=DATE($B$1,8,1)),OR(COUNTIF($C330:J330,"&gt;0")&gt;0,DATE($B$1,8,1)=DATE(YEAR(TODAY()),MONTH(TODAY()),1))),1,0))</f>
        <v/>
      </c>
      <c r="X330">
        <f>IF($A330="","",IF(AND($B330&gt;0,K330&lt;$B330,DATE($B$1,9,1)&lt;=TODAY(),OR($O330="",$O330&gt;=DATE($B$1,9,1)),OR(COUNTIF($C330:K330,"&gt;0")&gt;0,DATE($B$1,9,1)=DATE(YEAR(TODAY()),MONTH(TODAY()),1))),1,0))</f>
        <v/>
      </c>
      <c r="Y330">
        <f>IF($A330="","",IF(AND($B330&gt;0,L330&lt;$B330,DATE($B$1,10,1)&lt;=TODAY(),OR($O330="",$O330&gt;=DATE($B$1,10,1)),OR(COUNTIF($C330:L330,"&gt;0")&gt;0,DATE($B$1,10,1)=DATE(YEAR(TODAY()),MONTH(TODAY()),1))),1,0))</f>
        <v/>
      </c>
      <c r="Z330">
        <f>IF($A330="","",IF(AND($B330&gt;0,M330&lt;$B330,DATE($B$1,11,1)&lt;=TODAY(),OR($O330="",$O330&gt;=DATE($B$1,11,1)),OR(COUNTIF($C330:M330,"&gt;0")&gt;0,DATE($B$1,11,1)=DATE(YEAR(TODAY()),MONTH(TODAY()),1))),1,0))</f>
        <v/>
      </c>
      <c r="AA330">
        <f>IF($A330="","",IF(AND($B330&gt;0,N330&lt;$B330,DATE($B$1,12,1)&lt;=TODAY(),OR($O330="",$O330&gt;=DATE($B$1,12,1)),OR(COUNTIF($C330:N330,"&gt;0")&gt;0,DATE($B$1,12,1)=DATE(YEAR(TODAY()),MONTH(TODAY()),1))),1,0))</f>
        <v/>
      </c>
    </row>
    <row r="331">
      <c r="A331" s="13">
        <f>IF(원생!$A329="","",원생!$A329&amp;IF(원생!$G329="",""," ("&amp;원생!$G329&amp;")"))</f>
        <v/>
      </c>
      <c r="B331" s="8">
        <f>IF(원생!$A329="","",N(원생!$F329))</f>
        <v/>
      </c>
      <c r="C331" s="14">
        <f>IF(원생!$A329="","",SUMIFS(계산!$C:$C,계산!$A:$A,계산!$E329,계산!$B:$B,$B$1*100+1))</f>
        <v/>
      </c>
      <c r="D331" s="14">
        <f>IF(원생!$A329="","",SUMIFS(계산!$C:$C,계산!$A:$A,계산!$E329,계산!$B:$B,$B$1*100+2))</f>
        <v/>
      </c>
      <c r="E331" s="14">
        <f>IF(원생!$A329="","",SUMIFS(계산!$C:$C,계산!$A:$A,계산!$E329,계산!$B:$B,$B$1*100+3))</f>
        <v/>
      </c>
      <c r="F331" s="14">
        <f>IF(원생!$A329="","",SUMIFS(계산!$C:$C,계산!$A:$A,계산!$E329,계산!$B:$B,$B$1*100+4))</f>
        <v/>
      </c>
      <c r="G331" s="14">
        <f>IF(원생!$A329="","",SUMIFS(계산!$C:$C,계산!$A:$A,계산!$E329,계산!$B:$B,$B$1*100+5))</f>
        <v/>
      </c>
      <c r="H331" s="14">
        <f>IF(원생!$A329="","",SUMIFS(계산!$C:$C,계산!$A:$A,계산!$E329,계산!$B:$B,$B$1*100+6))</f>
        <v/>
      </c>
      <c r="I331" s="14">
        <f>IF(원생!$A329="","",SUMIFS(계산!$C:$C,계산!$A:$A,계산!$E329,계산!$B:$B,$B$1*100+7))</f>
        <v/>
      </c>
      <c r="J331" s="14">
        <f>IF(원생!$A329="","",SUMIFS(계산!$C:$C,계산!$A:$A,계산!$E329,계산!$B:$B,$B$1*100+8))</f>
        <v/>
      </c>
      <c r="K331" s="14">
        <f>IF(원생!$A329="","",SUMIFS(계산!$C:$C,계산!$A:$A,계산!$E329,계산!$B:$B,$B$1*100+9))</f>
        <v/>
      </c>
      <c r="L331" s="14">
        <f>IF(원생!$A329="","",SUMIFS(계산!$C:$C,계산!$A:$A,계산!$E329,계산!$B:$B,$B$1*100+10))</f>
        <v/>
      </c>
      <c r="M331" s="14">
        <f>IF(원생!$A329="","",SUMIFS(계산!$C:$C,계산!$A:$A,계산!$E329,계산!$B:$B,$B$1*100+11))</f>
        <v/>
      </c>
      <c r="N331" s="14">
        <f>IF(원생!$A329="","",SUMIFS(계산!$C:$C,계산!$A:$A,계산!$E329,계산!$B:$B,$B$1*100+12))</f>
        <v/>
      </c>
      <c r="O331">
        <f>IF(원생!$I329="","",원생!$I329)</f>
        <v/>
      </c>
      <c r="P331">
        <f>IF($A331="","",IF(AND($B331&gt;0,C331&lt;$B331,DATE($B$1,1,1)&lt;=TODAY(),OR($O331="",$O331&gt;=DATE($B$1,1,1)),OR(COUNTIF($C331:C331,"&gt;0")&gt;0,DATE($B$1,1,1)=DATE(YEAR(TODAY()),MONTH(TODAY()),1))),1,0))</f>
        <v/>
      </c>
      <c r="Q331">
        <f>IF($A331="","",IF(AND($B331&gt;0,D331&lt;$B331,DATE($B$1,2,1)&lt;=TODAY(),OR($O331="",$O331&gt;=DATE($B$1,2,1)),OR(COUNTIF($C331:D331,"&gt;0")&gt;0,DATE($B$1,2,1)=DATE(YEAR(TODAY()),MONTH(TODAY()),1))),1,0))</f>
        <v/>
      </c>
      <c r="R331">
        <f>IF($A331="","",IF(AND($B331&gt;0,E331&lt;$B331,DATE($B$1,3,1)&lt;=TODAY(),OR($O331="",$O331&gt;=DATE($B$1,3,1)),OR(COUNTIF($C331:E331,"&gt;0")&gt;0,DATE($B$1,3,1)=DATE(YEAR(TODAY()),MONTH(TODAY()),1))),1,0))</f>
        <v/>
      </c>
      <c r="S331">
        <f>IF($A331="","",IF(AND($B331&gt;0,F331&lt;$B331,DATE($B$1,4,1)&lt;=TODAY(),OR($O331="",$O331&gt;=DATE($B$1,4,1)),OR(COUNTIF($C331:F331,"&gt;0")&gt;0,DATE($B$1,4,1)=DATE(YEAR(TODAY()),MONTH(TODAY()),1))),1,0))</f>
        <v/>
      </c>
      <c r="T331">
        <f>IF($A331="","",IF(AND($B331&gt;0,G331&lt;$B331,DATE($B$1,5,1)&lt;=TODAY(),OR($O331="",$O331&gt;=DATE($B$1,5,1)),OR(COUNTIF($C331:G331,"&gt;0")&gt;0,DATE($B$1,5,1)=DATE(YEAR(TODAY()),MONTH(TODAY()),1))),1,0))</f>
        <v/>
      </c>
      <c r="U331">
        <f>IF($A331="","",IF(AND($B331&gt;0,H331&lt;$B331,DATE($B$1,6,1)&lt;=TODAY(),OR($O331="",$O331&gt;=DATE($B$1,6,1)),OR(COUNTIF($C331:H331,"&gt;0")&gt;0,DATE($B$1,6,1)=DATE(YEAR(TODAY()),MONTH(TODAY()),1))),1,0))</f>
        <v/>
      </c>
      <c r="V331">
        <f>IF($A331="","",IF(AND($B331&gt;0,I331&lt;$B331,DATE($B$1,7,1)&lt;=TODAY(),OR($O331="",$O331&gt;=DATE($B$1,7,1)),OR(COUNTIF($C331:I331,"&gt;0")&gt;0,DATE($B$1,7,1)=DATE(YEAR(TODAY()),MONTH(TODAY()),1))),1,0))</f>
        <v/>
      </c>
      <c r="W331">
        <f>IF($A331="","",IF(AND($B331&gt;0,J331&lt;$B331,DATE($B$1,8,1)&lt;=TODAY(),OR($O331="",$O331&gt;=DATE($B$1,8,1)),OR(COUNTIF($C331:J331,"&gt;0")&gt;0,DATE($B$1,8,1)=DATE(YEAR(TODAY()),MONTH(TODAY()),1))),1,0))</f>
        <v/>
      </c>
      <c r="X331">
        <f>IF($A331="","",IF(AND($B331&gt;0,K331&lt;$B331,DATE($B$1,9,1)&lt;=TODAY(),OR($O331="",$O331&gt;=DATE($B$1,9,1)),OR(COUNTIF($C331:K331,"&gt;0")&gt;0,DATE($B$1,9,1)=DATE(YEAR(TODAY()),MONTH(TODAY()),1))),1,0))</f>
        <v/>
      </c>
      <c r="Y331">
        <f>IF($A331="","",IF(AND($B331&gt;0,L331&lt;$B331,DATE($B$1,10,1)&lt;=TODAY(),OR($O331="",$O331&gt;=DATE($B$1,10,1)),OR(COUNTIF($C331:L331,"&gt;0")&gt;0,DATE($B$1,10,1)=DATE(YEAR(TODAY()),MONTH(TODAY()),1))),1,0))</f>
        <v/>
      </c>
      <c r="Z331">
        <f>IF($A331="","",IF(AND($B331&gt;0,M331&lt;$B331,DATE($B$1,11,1)&lt;=TODAY(),OR($O331="",$O331&gt;=DATE($B$1,11,1)),OR(COUNTIF($C331:M331,"&gt;0")&gt;0,DATE($B$1,11,1)=DATE(YEAR(TODAY()),MONTH(TODAY()),1))),1,0))</f>
        <v/>
      </c>
      <c r="AA331">
        <f>IF($A331="","",IF(AND($B331&gt;0,N331&lt;$B331,DATE($B$1,12,1)&lt;=TODAY(),OR($O331="",$O331&gt;=DATE($B$1,12,1)),OR(COUNTIF($C331:N331,"&gt;0")&gt;0,DATE($B$1,12,1)=DATE(YEAR(TODAY()),MONTH(TODAY()),1))),1,0))</f>
        <v/>
      </c>
    </row>
    <row r="332">
      <c r="A332" s="13">
        <f>IF(원생!$A330="","",원생!$A330&amp;IF(원생!$G330="",""," ("&amp;원생!$G330&amp;")"))</f>
        <v/>
      </c>
      <c r="B332" s="8">
        <f>IF(원생!$A330="","",N(원생!$F330))</f>
        <v/>
      </c>
      <c r="C332" s="14">
        <f>IF(원생!$A330="","",SUMIFS(계산!$C:$C,계산!$A:$A,계산!$E330,계산!$B:$B,$B$1*100+1))</f>
        <v/>
      </c>
      <c r="D332" s="14">
        <f>IF(원생!$A330="","",SUMIFS(계산!$C:$C,계산!$A:$A,계산!$E330,계산!$B:$B,$B$1*100+2))</f>
        <v/>
      </c>
      <c r="E332" s="14">
        <f>IF(원생!$A330="","",SUMIFS(계산!$C:$C,계산!$A:$A,계산!$E330,계산!$B:$B,$B$1*100+3))</f>
        <v/>
      </c>
      <c r="F332" s="14">
        <f>IF(원생!$A330="","",SUMIFS(계산!$C:$C,계산!$A:$A,계산!$E330,계산!$B:$B,$B$1*100+4))</f>
        <v/>
      </c>
      <c r="G332" s="14">
        <f>IF(원생!$A330="","",SUMIFS(계산!$C:$C,계산!$A:$A,계산!$E330,계산!$B:$B,$B$1*100+5))</f>
        <v/>
      </c>
      <c r="H332" s="14">
        <f>IF(원생!$A330="","",SUMIFS(계산!$C:$C,계산!$A:$A,계산!$E330,계산!$B:$B,$B$1*100+6))</f>
        <v/>
      </c>
      <c r="I332" s="14">
        <f>IF(원생!$A330="","",SUMIFS(계산!$C:$C,계산!$A:$A,계산!$E330,계산!$B:$B,$B$1*100+7))</f>
        <v/>
      </c>
      <c r="J332" s="14">
        <f>IF(원생!$A330="","",SUMIFS(계산!$C:$C,계산!$A:$A,계산!$E330,계산!$B:$B,$B$1*100+8))</f>
        <v/>
      </c>
      <c r="K332" s="14">
        <f>IF(원생!$A330="","",SUMIFS(계산!$C:$C,계산!$A:$A,계산!$E330,계산!$B:$B,$B$1*100+9))</f>
        <v/>
      </c>
      <c r="L332" s="14">
        <f>IF(원생!$A330="","",SUMIFS(계산!$C:$C,계산!$A:$A,계산!$E330,계산!$B:$B,$B$1*100+10))</f>
        <v/>
      </c>
      <c r="M332" s="14">
        <f>IF(원생!$A330="","",SUMIFS(계산!$C:$C,계산!$A:$A,계산!$E330,계산!$B:$B,$B$1*100+11))</f>
        <v/>
      </c>
      <c r="N332" s="14">
        <f>IF(원생!$A330="","",SUMIFS(계산!$C:$C,계산!$A:$A,계산!$E330,계산!$B:$B,$B$1*100+12))</f>
        <v/>
      </c>
      <c r="O332">
        <f>IF(원생!$I330="","",원생!$I330)</f>
        <v/>
      </c>
      <c r="P332">
        <f>IF($A332="","",IF(AND($B332&gt;0,C332&lt;$B332,DATE($B$1,1,1)&lt;=TODAY(),OR($O332="",$O332&gt;=DATE($B$1,1,1)),OR(COUNTIF($C332:C332,"&gt;0")&gt;0,DATE($B$1,1,1)=DATE(YEAR(TODAY()),MONTH(TODAY()),1))),1,0))</f>
        <v/>
      </c>
      <c r="Q332">
        <f>IF($A332="","",IF(AND($B332&gt;0,D332&lt;$B332,DATE($B$1,2,1)&lt;=TODAY(),OR($O332="",$O332&gt;=DATE($B$1,2,1)),OR(COUNTIF($C332:D332,"&gt;0")&gt;0,DATE($B$1,2,1)=DATE(YEAR(TODAY()),MONTH(TODAY()),1))),1,0))</f>
        <v/>
      </c>
      <c r="R332">
        <f>IF($A332="","",IF(AND($B332&gt;0,E332&lt;$B332,DATE($B$1,3,1)&lt;=TODAY(),OR($O332="",$O332&gt;=DATE($B$1,3,1)),OR(COUNTIF($C332:E332,"&gt;0")&gt;0,DATE($B$1,3,1)=DATE(YEAR(TODAY()),MONTH(TODAY()),1))),1,0))</f>
        <v/>
      </c>
      <c r="S332">
        <f>IF($A332="","",IF(AND($B332&gt;0,F332&lt;$B332,DATE($B$1,4,1)&lt;=TODAY(),OR($O332="",$O332&gt;=DATE($B$1,4,1)),OR(COUNTIF($C332:F332,"&gt;0")&gt;0,DATE($B$1,4,1)=DATE(YEAR(TODAY()),MONTH(TODAY()),1))),1,0))</f>
        <v/>
      </c>
      <c r="T332">
        <f>IF($A332="","",IF(AND($B332&gt;0,G332&lt;$B332,DATE($B$1,5,1)&lt;=TODAY(),OR($O332="",$O332&gt;=DATE($B$1,5,1)),OR(COUNTIF($C332:G332,"&gt;0")&gt;0,DATE($B$1,5,1)=DATE(YEAR(TODAY()),MONTH(TODAY()),1))),1,0))</f>
        <v/>
      </c>
      <c r="U332">
        <f>IF($A332="","",IF(AND($B332&gt;0,H332&lt;$B332,DATE($B$1,6,1)&lt;=TODAY(),OR($O332="",$O332&gt;=DATE($B$1,6,1)),OR(COUNTIF($C332:H332,"&gt;0")&gt;0,DATE($B$1,6,1)=DATE(YEAR(TODAY()),MONTH(TODAY()),1))),1,0))</f>
        <v/>
      </c>
      <c r="V332">
        <f>IF($A332="","",IF(AND($B332&gt;0,I332&lt;$B332,DATE($B$1,7,1)&lt;=TODAY(),OR($O332="",$O332&gt;=DATE($B$1,7,1)),OR(COUNTIF($C332:I332,"&gt;0")&gt;0,DATE($B$1,7,1)=DATE(YEAR(TODAY()),MONTH(TODAY()),1))),1,0))</f>
        <v/>
      </c>
      <c r="W332">
        <f>IF($A332="","",IF(AND($B332&gt;0,J332&lt;$B332,DATE($B$1,8,1)&lt;=TODAY(),OR($O332="",$O332&gt;=DATE($B$1,8,1)),OR(COUNTIF($C332:J332,"&gt;0")&gt;0,DATE($B$1,8,1)=DATE(YEAR(TODAY()),MONTH(TODAY()),1))),1,0))</f>
        <v/>
      </c>
      <c r="X332">
        <f>IF($A332="","",IF(AND($B332&gt;0,K332&lt;$B332,DATE($B$1,9,1)&lt;=TODAY(),OR($O332="",$O332&gt;=DATE($B$1,9,1)),OR(COUNTIF($C332:K332,"&gt;0")&gt;0,DATE($B$1,9,1)=DATE(YEAR(TODAY()),MONTH(TODAY()),1))),1,0))</f>
        <v/>
      </c>
      <c r="Y332">
        <f>IF($A332="","",IF(AND($B332&gt;0,L332&lt;$B332,DATE($B$1,10,1)&lt;=TODAY(),OR($O332="",$O332&gt;=DATE($B$1,10,1)),OR(COUNTIF($C332:L332,"&gt;0")&gt;0,DATE($B$1,10,1)=DATE(YEAR(TODAY()),MONTH(TODAY()),1))),1,0))</f>
        <v/>
      </c>
      <c r="Z332">
        <f>IF($A332="","",IF(AND($B332&gt;0,M332&lt;$B332,DATE($B$1,11,1)&lt;=TODAY(),OR($O332="",$O332&gt;=DATE($B$1,11,1)),OR(COUNTIF($C332:M332,"&gt;0")&gt;0,DATE($B$1,11,1)=DATE(YEAR(TODAY()),MONTH(TODAY()),1))),1,0))</f>
        <v/>
      </c>
      <c r="AA332">
        <f>IF($A332="","",IF(AND($B332&gt;0,N332&lt;$B332,DATE($B$1,12,1)&lt;=TODAY(),OR($O332="",$O332&gt;=DATE($B$1,12,1)),OR(COUNTIF($C332:N332,"&gt;0")&gt;0,DATE($B$1,12,1)=DATE(YEAR(TODAY()),MONTH(TODAY()),1))),1,0))</f>
        <v/>
      </c>
    </row>
    <row r="333">
      <c r="A333" s="13">
        <f>IF(원생!$A331="","",원생!$A331&amp;IF(원생!$G331="",""," ("&amp;원생!$G331&amp;")"))</f>
        <v/>
      </c>
      <c r="B333" s="8">
        <f>IF(원생!$A331="","",N(원생!$F331))</f>
        <v/>
      </c>
      <c r="C333" s="14">
        <f>IF(원생!$A331="","",SUMIFS(계산!$C:$C,계산!$A:$A,계산!$E331,계산!$B:$B,$B$1*100+1))</f>
        <v/>
      </c>
      <c r="D333" s="14">
        <f>IF(원생!$A331="","",SUMIFS(계산!$C:$C,계산!$A:$A,계산!$E331,계산!$B:$B,$B$1*100+2))</f>
        <v/>
      </c>
      <c r="E333" s="14">
        <f>IF(원생!$A331="","",SUMIFS(계산!$C:$C,계산!$A:$A,계산!$E331,계산!$B:$B,$B$1*100+3))</f>
        <v/>
      </c>
      <c r="F333" s="14">
        <f>IF(원생!$A331="","",SUMIFS(계산!$C:$C,계산!$A:$A,계산!$E331,계산!$B:$B,$B$1*100+4))</f>
        <v/>
      </c>
      <c r="G333" s="14">
        <f>IF(원생!$A331="","",SUMIFS(계산!$C:$C,계산!$A:$A,계산!$E331,계산!$B:$B,$B$1*100+5))</f>
        <v/>
      </c>
      <c r="H333" s="14">
        <f>IF(원생!$A331="","",SUMIFS(계산!$C:$C,계산!$A:$A,계산!$E331,계산!$B:$B,$B$1*100+6))</f>
        <v/>
      </c>
      <c r="I333" s="14">
        <f>IF(원생!$A331="","",SUMIFS(계산!$C:$C,계산!$A:$A,계산!$E331,계산!$B:$B,$B$1*100+7))</f>
        <v/>
      </c>
      <c r="J333" s="14">
        <f>IF(원생!$A331="","",SUMIFS(계산!$C:$C,계산!$A:$A,계산!$E331,계산!$B:$B,$B$1*100+8))</f>
        <v/>
      </c>
      <c r="K333" s="14">
        <f>IF(원생!$A331="","",SUMIFS(계산!$C:$C,계산!$A:$A,계산!$E331,계산!$B:$B,$B$1*100+9))</f>
        <v/>
      </c>
      <c r="L333" s="14">
        <f>IF(원생!$A331="","",SUMIFS(계산!$C:$C,계산!$A:$A,계산!$E331,계산!$B:$B,$B$1*100+10))</f>
        <v/>
      </c>
      <c r="M333" s="14">
        <f>IF(원생!$A331="","",SUMIFS(계산!$C:$C,계산!$A:$A,계산!$E331,계산!$B:$B,$B$1*100+11))</f>
        <v/>
      </c>
      <c r="N333" s="14">
        <f>IF(원생!$A331="","",SUMIFS(계산!$C:$C,계산!$A:$A,계산!$E331,계산!$B:$B,$B$1*100+12))</f>
        <v/>
      </c>
      <c r="O333">
        <f>IF(원생!$I331="","",원생!$I331)</f>
        <v/>
      </c>
      <c r="P333">
        <f>IF($A333="","",IF(AND($B333&gt;0,C333&lt;$B333,DATE($B$1,1,1)&lt;=TODAY(),OR($O333="",$O333&gt;=DATE($B$1,1,1)),OR(COUNTIF($C333:C333,"&gt;0")&gt;0,DATE($B$1,1,1)=DATE(YEAR(TODAY()),MONTH(TODAY()),1))),1,0))</f>
        <v/>
      </c>
      <c r="Q333">
        <f>IF($A333="","",IF(AND($B333&gt;0,D333&lt;$B333,DATE($B$1,2,1)&lt;=TODAY(),OR($O333="",$O333&gt;=DATE($B$1,2,1)),OR(COUNTIF($C333:D333,"&gt;0")&gt;0,DATE($B$1,2,1)=DATE(YEAR(TODAY()),MONTH(TODAY()),1))),1,0))</f>
        <v/>
      </c>
      <c r="R333">
        <f>IF($A333="","",IF(AND($B333&gt;0,E333&lt;$B333,DATE($B$1,3,1)&lt;=TODAY(),OR($O333="",$O333&gt;=DATE($B$1,3,1)),OR(COUNTIF($C333:E333,"&gt;0")&gt;0,DATE($B$1,3,1)=DATE(YEAR(TODAY()),MONTH(TODAY()),1))),1,0))</f>
        <v/>
      </c>
      <c r="S333">
        <f>IF($A333="","",IF(AND($B333&gt;0,F333&lt;$B333,DATE($B$1,4,1)&lt;=TODAY(),OR($O333="",$O333&gt;=DATE($B$1,4,1)),OR(COUNTIF($C333:F333,"&gt;0")&gt;0,DATE($B$1,4,1)=DATE(YEAR(TODAY()),MONTH(TODAY()),1))),1,0))</f>
        <v/>
      </c>
      <c r="T333">
        <f>IF($A333="","",IF(AND($B333&gt;0,G333&lt;$B333,DATE($B$1,5,1)&lt;=TODAY(),OR($O333="",$O333&gt;=DATE($B$1,5,1)),OR(COUNTIF($C333:G333,"&gt;0")&gt;0,DATE($B$1,5,1)=DATE(YEAR(TODAY()),MONTH(TODAY()),1))),1,0))</f>
        <v/>
      </c>
      <c r="U333">
        <f>IF($A333="","",IF(AND($B333&gt;0,H333&lt;$B333,DATE($B$1,6,1)&lt;=TODAY(),OR($O333="",$O333&gt;=DATE($B$1,6,1)),OR(COUNTIF($C333:H333,"&gt;0")&gt;0,DATE($B$1,6,1)=DATE(YEAR(TODAY()),MONTH(TODAY()),1))),1,0))</f>
        <v/>
      </c>
      <c r="V333">
        <f>IF($A333="","",IF(AND($B333&gt;0,I333&lt;$B333,DATE($B$1,7,1)&lt;=TODAY(),OR($O333="",$O333&gt;=DATE($B$1,7,1)),OR(COUNTIF($C333:I333,"&gt;0")&gt;0,DATE($B$1,7,1)=DATE(YEAR(TODAY()),MONTH(TODAY()),1))),1,0))</f>
        <v/>
      </c>
      <c r="W333">
        <f>IF($A333="","",IF(AND($B333&gt;0,J333&lt;$B333,DATE($B$1,8,1)&lt;=TODAY(),OR($O333="",$O333&gt;=DATE($B$1,8,1)),OR(COUNTIF($C333:J333,"&gt;0")&gt;0,DATE($B$1,8,1)=DATE(YEAR(TODAY()),MONTH(TODAY()),1))),1,0))</f>
        <v/>
      </c>
      <c r="X333">
        <f>IF($A333="","",IF(AND($B333&gt;0,K333&lt;$B333,DATE($B$1,9,1)&lt;=TODAY(),OR($O333="",$O333&gt;=DATE($B$1,9,1)),OR(COUNTIF($C333:K333,"&gt;0")&gt;0,DATE($B$1,9,1)=DATE(YEAR(TODAY()),MONTH(TODAY()),1))),1,0))</f>
        <v/>
      </c>
      <c r="Y333">
        <f>IF($A333="","",IF(AND($B333&gt;0,L333&lt;$B333,DATE($B$1,10,1)&lt;=TODAY(),OR($O333="",$O333&gt;=DATE($B$1,10,1)),OR(COUNTIF($C333:L333,"&gt;0")&gt;0,DATE($B$1,10,1)=DATE(YEAR(TODAY()),MONTH(TODAY()),1))),1,0))</f>
        <v/>
      </c>
      <c r="Z333">
        <f>IF($A333="","",IF(AND($B333&gt;0,M333&lt;$B333,DATE($B$1,11,1)&lt;=TODAY(),OR($O333="",$O333&gt;=DATE($B$1,11,1)),OR(COUNTIF($C333:M333,"&gt;0")&gt;0,DATE($B$1,11,1)=DATE(YEAR(TODAY()),MONTH(TODAY()),1))),1,0))</f>
        <v/>
      </c>
      <c r="AA333">
        <f>IF($A333="","",IF(AND($B333&gt;0,N333&lt;$B333,DATE($B$1,12,1)&lt;=TODAY(),OR($O333="",$O333&gt;=DATE($B$1,12,1)),OR(COUNTIF($C333:N333,"&gt;0")&gt;0,DATE($B$1,12,1)=DATE(YEAR(TODAY()),MONTH(TODAY()),1))),1,0))</f>
        <v/>
      </c>
    </row>
    <row r="334">
      <c r="A334" s="13">
        <f>IF(원생!$A332="","",원생!$A332&amp;IF(원생!$G332="",""," ("&amp;원생!$G332&amp;")"))</f>
        <v/>
      </c>
      <c r="B334" s="8">
        <f>IF(원생!$A332="","",N(원생!$F332))</f>
        <v/>
      </c>
      <c r="C334" s="14">
        <f>IF(원생!$A332="","",SUMIFS(계산!$C:$C,계산!$A:$A,계산!$E332,계산!$B:$B,$B$1*100+1))</f>
        <v/>
      </c>
      <c r="D334" s="14">
        <f>IF(원생!$A332="","",SUMIFS(계산!$C:$C,계산!$A:$A,계산!$E332,계산!$B:$B,$B$1*100+2))</f>
        <v/>
      </c>
      <c r="E334" s="14">
        <f>IF(원생!$A332="","",SUMIFS(계산!$C:$C,계산!$A:$A,계산!$E332,계산!$B:$B,$B$1*100+3))</f>
        <v/>
      </c>
      <c r="F334" s="14">
        <f>IF(원생!$A332="","",SUMIFS(계산!$C:$C,계산!$A:$A,계산!$E332,계산!$B:$B,$B$1*100+4))</f>
        <v/>
      </c>
      <c r="G334" s="14">
        <f>IF(원생!$A332="","",SUMIFS(계산!$C:$C,계산!$A:$A,계산!$E332,계산!$B:$B,$B$1*100+5))</f>
        <v/>
      </c>
      <c r="H334" s="14">
        <f>IF(원생!$A332="","",SUMIFS(계산!$C:$C,계산!$A:$A,계산!$E332,계산!$B:$B,$B$1*100+6))</f>
        <v/>
      </c>
      <c r="I334" s="14">
        <f>IF(원생!$A332="","",SUMIFS(계산!$C:$C,계산!$A:$A,계산!$E332,계산!$B:$B,$B$1*100+7))</f>
        <v/>
      </c>
      <c r="J334" s="14">
        <f>IF(원생!$A332="","",SUMIFS(계산!$C:$C,계산!$A:$A,계산!$E332,계산!$B:$B,$B$1*100+8))</f>
        <v/>
      </c>
      <c r="K334" s="14">
        <f>IF(원생!$A332="","",SUMIFS(계산!$C:$C,계산!$A:$A,계산!$E332,계산!$B:$B,$B$1*100+9))</f>
        <v/>
      </c>
      <c r="L334" s="14">
        <f>IF(원생!$A332="","",SUMIFS(계산!$C:$C,계산!$A:$A,계산!$E332,계산!$B:$B,$B$1*100+10))</f>
        <v/>
      </c>
      <c r="M334" s="14">
        <f>IF(원생!$A332="","",SUMIFS(계산!$C:$C,계산!$A:$A,계산!$E332,계산!$B:$B,$B$1*100+11))</f>
        <v/>
      </c>
      <c r="N334" s="14">
        <f>IF(원생!$A332="","",SUMIFS(계산!$C:$C,계산!$A:$A,계산!$E332,계산!$B:$B,$B$1*100+12))</f>
        <v/>
      </c>
      <c r="O334">
        <f>IF(원생!$I332="","",원생!$I332)</f>
        <v/>
      </c>
      <c r="P334">
        <f>IF($A334="","",IF(AND($B334&gt;0,C334&lt;$B334,DATE($B$1,1,1)&lt;=TODAY(),OR($O334="",$O334&gt;=DATE($B$1,1,1)),OR(COUNTIF($C334:C334,"&gt;0")&gt;0,DATE($B$1,1,1)=DATE(YEAR(TODAY()),MONTH(TODAY()),1))),1,0))</f>
        <v/>
      </c>
      <c r="Q334">
        <f>IF($A334="","",IF(AND($B334&gt;0,D334&lt;$B334,DATE($B$1,2,1)&lt;=TODAY(),OR($O334="",$O334&gt;=DATE($B$1,2,1)),OR(COUNTIF($C334:D334,"&gt;0")&gt;0,DATE($B$1,2,1)=DATE(YEAR(TODAY()),MONTH(TODAY()),1))),1,0))</f>
        <v/>
      </c>
      <c r="R334">
        <f>IF($A334="","",IF(AND($B334&gt;0,E334&lt;$B334,DATE($B$1,3,1)&lt;=TODAY(),OR($O334="",$O334&gt;=DATE($B$1,3,1)),OR(COUNTIF($C334:E334,"&gt;0")&gt;0,DATE($B$1,3,1)=DATE(YEAR(TODAY()),MONTH(TODAY()),1))),1,0))</f>
        <v/>
      </c>
      <c r="S334">
        <f>IF($A334="","",IF(AND($B334&gt;0,F334&lt;$B334,DATE($B$1,4,1)&lt;=TODAY(),OR($O334="",$O334&gt;=DATE($B$1,4,1)),OR(COUNTIF($C334:F334,"&gt;0")&gt;0,DATE($B$1,4,1)=DATE(YEAR(TODAY()),MONTH(TODAY()),1))),1,0))</f>
        <v/>
      </c>
      <c r="T334">
        <f>IF($A334="","",IF(AND($B334&gt;0,G334&lt;$B334,DATE($B$1,5,1)&lt;=TODAY(),OR($O334="",$O334&gt;=DATE($B$1,5,1)),OR(COUNTIF($C334:G334,"&gt;0")&gt;0,DATE($B$1,5,1)=DATE(YEAR(TODAY()),MONTH(TODAY()),1))),1,0))</f>
        <v/>
      </c>
      <c r="U334">
        <f>IF($A334="","",IF(AND($B334&gt;0,H334&lt;$B334,DATE($B$1,6,1)&lt;=TODAY(),OR($O334="",$O334&gt;=DATE($B$1,6,1)),OR(COUNTIF($C334:H334,"&gt;0")&gt;0,DATE($B$1,6,1)=DATE(YEAR(TODAY()),MONTH(TODAY()),1))),1,0))</f>
        <v/>
      </c>
      <c r="V334">
        <f>IF($A334="","",IF(AND($B334&gt;0,I334&lt;$B334,DATE($B$1,7,1)&lt;=TODAY(),OR($O334="",$O334&gt;=DATE($B$1,7,1)),OR(COUNTIF($C334:I334,"&gt;0")&gt;0,DATE($B$1,7,1)=DATE(YEAR(TODAY()),MONTH(TODAY()),1))),1,0))</f>
        <v/>
      </c>
      <c r="W334">
        <f>IF($A334="","",IF(AND($B334&gt;0,J334&lt;$B334,DATE($B$1,8,1)&lt;=TODAY(),OR($O334="",$O334&gt;=DATE($B$1,8,1)),OR(COUNTIF($C334:J334,"&gt;0")&gt;0,DATE($B$1,8,1)=DATE(YEAR(TODAY()),MONTH(TODAY()),1))),1,0))</f>
        <v/>
      </c>
      <c r="X334">
        <f>IF($A334="","",IF(AND($B334&gt;0,K334&lt;$B334,DATE($B$1,9,1)&lt;=TODAY(),OR($O334="",$O334&gt;=DATE($B$1,9,1)),OR(COUNTIF($C334:K334,"&gt;0")&gt;0,DATE($B$1,9,1)=DATE(YEAR(TODAY()),MONTH(TODAY()),1))),1,0))</f>
        <v/>
      </c>
      <c r="Y334">
        <f>IF($A334="","",IF(AND($B334&gt;0,L334&lt;$B334,DATE($B$1,10,1)&lt;=TODAY(),OR($O334="",$O334&gt;=DATE($B$1,10,1)),OR(COUNTIF($C334:L334,"&gt;0")&gt;0,DATE($B$1,10,1)=DATE(YEAR(TODAY()),MONTH(TODAY()),1))),1,0))</f>
        <v/>
      </c>
      <c r="Z334">
        <f>IF($A334="","",IF(AND($B334&gt;0,M334&lt;$B334,DATE($B$1,11,1)&lt;=TODAY(),OR($O334="",$O334&gt;=DATE($B$1,11,1)),OR(COUNTIF($C334:M334,"&gt;0")&gt;0,DATE($B$1,11,1)=DATE(YEAR(TODAY()),MONTH(TODAY()),1))),1,0))</f>
        <v/>
      </c>
      <c r="AA334">
        <f>IF($A334="","",IF(AND($B334&gt;0,N334&lt;$B334,DATE($B$1,12,1)&lt;=TODAY(),OR($O334="",$O334&gt;=DATE($B$1,12,1)),OR(COUNTIF($C334:N334,"&gt;0")&gt;0,DATE($B$1,12,1)=DATE(YEAR(TODAY()),MONTH(TODAY()),1))),1,0))</f>
        <v/>
      </c>
    </row>
    <row r="335">
      <c r="A335" s="13">
        <f>IF(원생!$A333="","",원생!$A333&amp;IF(원생!$G333="",""," ("&amp;원생!$G333&amp;")"))</f>
        <v/>
      </c>
      <c r="B335" s="8">
        <f>IF(원생!$A333="","",N(원생!$F333))</f>
        <v/>
      </c>
      <c r="C335" s="14">
        <f>IF(원생!$A333="","",SUMIFS(계산!$C:$C,계산!$A:$A,계산!$E333,계산!$B:$B,$B$1*100+1))</f>
        <v/>
      </c>
      <c r="D335" s="14">
        <f>IF(원생!$A333="","",SUMIFS(계산!$C:$C,계산!$A:$A,계산!$E333,계산!$B:$B,$B$1*100+2))</f>
        <v/>
      </c>
      <c r="E335" s="14">
        <f>IF(원생!$A333="","",SUMIFS(계산!$C:$C,계산!$A:$A,계산!$E333,계산!$B:$B,$B$1*100+3))</f>
        <v/>
      </c>
      <c r="F335" s="14">
        <f>IF(원생!$A333="","",SUMIFS(계산!$C:$C,계산!$A:$A,계산!$E333,계산!$B:$B,$B$1*100+4))</f>
        <v/>
      </c>
      <c r="G335" s="14">
        <f>IF(원생!$A333="","",SUMIFS(계산!$C:$C,계산!$A:$A,계산!$E333,계산!$B:$B,$B$1*100+5))</f>
        <v/>
      </c>
      <c r="H335" s="14">
        <f>IF(원생!$A333="","",SUMIFS(계산!$C:$C,계산!$A:$A,계산!$E333,계산!$B:$B,$B$1*100+6))</f>
        <v/>
      </c>
      <c r="I335" s="14">
        <f>IF(원생!$A333="","",SUMIFS(계산!$C:$C,계산!$A:$A,계산!$E333,계산!$B:$B,$B$1*100+7))</f>
        <v/>
      </c>
      <c r="J335" s="14">
        <f>IF(원생!$A333="","",SUMIFS(계산!$C:$C,계산!$A:$A,계산!$E333,계산!$B:$B,$B$1*100+8))</f>
        <v/>
      </c>
      <c r="K335" s="14">
        <f>IF(원생!$A333="","",SUMIFS(계산!$C:$C,계산!$A:$A,계산!$E333,계산!$B:$B,$B$1*100+9))</f>
        <v/>
      </c>
      <c r="L335" s="14">
        <f>IF(원생!$A333="","",SUMIFS(계산!$C:$C,계산!$A:$A,계산!$E333,계산!$B:$B,$B$1*100+10))</f>
        <v/>
      </c>
      <c r="M335" s="14">
        <f>IF(원생!$A333="","",SUMIFS(계산!$C:$C,계산!$A:$A,계산!$E333,계산!$B:$B,$B$1*100+11))</f>
        <v/>
      </c>
      <c r="N335" s="14">
        <f>IF(원생!$A333="","",SUMIFS(계산!$C:$C,계산!$A:$A,계산!$E333,계산!$B:$B,$B$1*100+12))</f>
        <v/>
      </c>
      <c r="O335">
        <f>IF(원생!$I333="","",원생!$I333)</f>
        <v/>
      </c>
      <c r="P335">
        <f>IF($A335="","",IF(AND($B335&gt;0,C335&lt;$B335,DATE($B$1,1,1)&lt;=TODAY(),OR($O335="",$O335&gt;=DATE($B$1,1,1)),OR(COUNTIF($C335:C335,"&gt;0")&gt;0,DATE($B$1,1,1)=DATE(YEAR(TODAY()),MONTH(TODAY()),1))),1,0))</f>
        <v/>
      </c>
      <c r="Q335">
        <f>IF($A335="","",IF(AND($B335&gt;0,D335&lt;$B335,DATE($B$1,2,1)&lt;=TODAY(),OR($O335="",$O335&gt;=DATE($B$1,2,1)),OR(COUNTIF($C335:D335,"&gt;0")&gt;0,DATE($B$1,2,1)=DATE(YEAR(TODAY()),MONTH(TODAY()),1))),1,0))</f>
        <v/>
      </c>
      <c r="R335">
        <f>IF($A335="","",IF(AND($B335&gt;0,E335&lt;$B335,DATE($B$1,3,1)&lt;=TODAY(),OR($O335="",$O335&gt;=DATE($B$1,3,1)),OR(COUNTIF($C335:E335,"&gt;0")&gt;0,DATE($B$1,3,1)=DATE(YEAR(TODAY()),MONTH(TODAY()),1))),1,0))</f>
        <v/>
      </c>
      <c r="S335">
        <f>IF($A335="","",IF(AND($B335&gt;0,F335&lt;$B335,DATE($B$1,4,1)&lt;=TODAY(),OR($O335="",$O335&gt;=DATE($B$1,4,1)),OR(COUNTIF($C335:F335,"&gt;0")&gt;0,DATE($B$1,4,1)=DATE(YEAR(TODAY()),MONTH(TODAY()),1))),1,0))</f>
        <v/>
      </c>
      <c r="T335">
        <f>IF($A335="","",IF(AND($B335&gt;0,G335&lt;$B335,DATE($B$1,5,1)&lt;=TODAY(),OR($O335="",$O335&gt;=DATE($B$1,5,1)),OR(COUNTIF($C335:G335,"&gt;0")&gt;0,DATE($B$1,5,1)=DATE(YEAR(TODAY()),MONTH(TODAY()),1))),1,0))</f>
        <v/>
      </c>
      <c r="U335">
        <f>IF($A335="","",IF(AND($B335&gt;0,H335&lt;$B335,DATE($B$1,6,1)&lt;=TODAY(),OR($O335="",$O335&gt;=DATE($B$1,6,1)),OR(COUNTIF($C335:H335,"&gt;0")&gt;0,DATE($B$1,6,1)=DATE(YEAR(TODAY()),MONTH(TODAY()),1))),1,0))</f>
        <v/>
      </c>
      <c r="V335">
        <f>IF($A335="","",IF(AND($B335&gt;0,I335&lt;$B335,DATE($B$1,7,1)&lt;=TODAY(),OR($O335="",$O335&gt;=DATE($B$1,7,1)),OR(COUNTIF($C335:I335,"&gt;0")&gt;0,DATE($B$1,7,1)=DATE(YEAR(TODAY()),MONTH(TODAY()),1))),1,0))</f>
        <v/>
      </c>
      <c r="W335">
        <f>IF($A335="","",IF(AND($B335&gt;0,J335&lt;$B335,DATE($B$1,8,1)&lt;=TODAY(),OR($O335="",$O335&gt;=DATE($B$1,8,1)),OR(COUNTIF($C335:J335,"&gt;0")&gt;0,DATE($B$1,8,1)=DATE(YEAR(TODAY()),MONTH(TODAY()),1))),1,0))</f>
        <v/>
      </c>
      <c r="X335">
        <f>IF($A335="","",IF(AND($B335&gt;0,K335&lt;$B335,DATE($B$1,9,1)&lt;=TODAY(),OR($O335="",$O335&gt;=DATE($B$1,9,1)),OR(COUNTIF($C335:K335,"&gt;0")&gt;0,DATE($B$1,9,1)=DATE(YEAR(TODAY()),MONTH(TODAY()),1))),1,0))</f>
        <v/>
      </c>
      <c r="Y335">
        <f>IF($A335="","",IF(AND($B335&gt;0,L335&lt;$B335,DATE($B$1,10,1)&lt;=TODAY(),OR($O335="",$O335&gt;=DATE($B$1,10,1)),OR(COUNTIF($C335:L335,"&gt;0")&gt;0,DATE($B$1,10,1)=DATE(YEAR(TODAY()),MONTH(TODAY()),1))),1,0))</f>
        <v/>
      </c>
      <c r="Z335">
        <f>IF($A335="","",IF(AND($B335&gt;0,M335&lt;$B335,DATE($B$1,11,1)&lt;=TODAY(),OR($O335="",$O335&gt;=DATE($B$1,11,1)),OR(COUNTIF($C335:M335,"&gt;0")&gt;0,DATE($B$1,11,1)=DATE(YEAR(TODAY()),MONTH(TODAY()),1))),1,0))</f>
        <v/>
      </c>
      <c r="AA335">
        <f>IF($A335="","",IF(AND($B335&gt;0,N335&lt;$B335,DATE($B$1,12,1)&lt;=TODAY(),OR($O335="",$O335&gt;=DATE($B$1,12,1)),OR(COUNTIF($C335:N335,"&gt;0")&gt;0,DATE($B$1,12,1)=DATE(YEAR(TODAY()),MONTH(TODAY()),1))),1,0))</f>
        <v/>
      </c>
    </row>
    <row r="336">
      <c r="A336" s="13">
        <f>IF(원생!$A334="","",원생!$A334&amp;IF(원생!$G334="",""," ("&amp;원생!$G334&amp;")"))</f>
        <v/>
      </c>
      <c r="B336" s="8">
        <f>IF(원생!$A334="","",N(원생!$F334))</f>
        <v/>
      </c>
      <c r="C336" s="14">
        <f>IF(원생!$A334="","",SUMIFS(계산!$C:$C,계산!$A:$A,계산!$E334,계산!$B:$B,$B$1*100+1))</f>
        <v/>
      </c>
      <c r="D336" s="14">
        <f>IF(원생!$A334="","",SUMIFS(계산!$C:$C,계산!$A:$A,계산!$E334,계산!$B:$B,$B$1*100+2))</f>
        <v/>
      </c>
      <c r="E336" s="14">
        <f>IF(원생!$A334="","",SUMIFS(계산!$C:$C,계산!$A:$A,계산!$E334,계산!$B:$B,$B$1*100+3))</f>
        <v/>
      </c>
      <c r="F336" s="14">
        <f>IF(원생!$A334="","",SUMIFS(계산!$C:$C,계산!$A:$A,계산!$E334,계산!$B:$B,$B$1*100+4))</f>
        <v/>
      </c>
      <c r="G336" s="14">
        <f>IF(원생!$A334="","",SUMIFS(계산!$C:$C,계산!$A:$A,계산!$E334,계산!$B:$B,$B$1*100+5))</f>
        <v/>
      </c>
      <c r="H336" s="14">
        <f>IF(원생!$A334="","",SUMIFS(계산!$C:$C,계산!$A:$A,계산!$E334,계산!$B:$B,$B$1*100+6))</f>
        <v/>
      </c>
      <c r="I336" s="14">
        <f>IF(원생!$A334="","",SUMIFS(계산!$C:$C,계산!$A:$A,계산!$E334,계산!$B:$B,$B$1*100+7))</f>
        <v/>
      </c>
      <c r="J336" s="14">
        <f>IF(원생!$A334="","",SUMIFS(계산!$C:$C,계산!$A:$A,계산!$E334,계산!$B:$B,$B$1*100+8))</f>
        <v/>
      </c>
      <c r="K336" s="14">
        <f>IF(원생!$A334="","",SUMIFS(계산!$C:$C,계산!$A:$A,계산!$E334,계산!$B:$B,$B$1*100+9))</f>
        <v/>
      </c>
      <c r="L336" s="14">
        <f>IF(원생!$A334="","",SUMIFS(계산!$C:$C,계산!$A:$A,계산!$E334,계산!$B:$B,$B$1*100+10))</f>
        <v/>
      </c>
      <c r="M336" s="14">
        <f>IF(원생!$A334="","",SUMIFS(계산!$C:$C,계산!$A:$A,계산!$E334,계산!$B:$B,$B$1*100+11))</f>
        <v/>
      </c>
      <c r="N336" s="14">
        <f>IF(원생!$A334="","",SUMIFS(계산!$C:$C,계산!$A:$A,계산!$E334,계산!$B:$B,$B$1*100+12))</f>
        <v/>
      </c>
      <c r="O336">
        <f>IF(원생!$I334="","",원생!$I334)</f>
        <v/>
      </c>
      <c r="P336">
        <f>IF($A336="","",IF(AND($B336&gt;0,C336&lt;$B336,DATE($B$1,1,1)&lt;=TODAY(),OR($O336="",$O336&gt;=DATE($B$1,1,1)),OR(COUNTIF($C336:C336,"&gt;0")&gt;0,DATE($B$1,1,1)=DATE(YEAR(TODAY()),MONTH(TODAY()),1))),1,0))</f>
        <v/>
      </c>
      <c r="Q336">
        <f>IF($A336="","",IF(AND($B336&gt;0,D336&lt;$B336,DATE($B$1,2,1)&lt;=TODAY(),OR($O336="",$O336&gt;=DATE($B$1,2,1)),OR(COUNTIF($C336:D336,"&gt;0")&gt;0,DATE($B$1,2,1)=DATE(YEAR(TODAY()),MONTH(TODAY()),1))),1,0))</f>
        <v/>
      </c>
      <c r="R336">
        <f>IF($A336="","",IF(AND($B336&gt;0,E336&lt;$B336,DATE($B$1,3,1)&lt;=TODAY(),OR($O336="",$O336&gt;=DATE($B$1,3,1)),OR(COUNTIF($C336:E336,"&gt;0")&gt;0,DATE($B$1,3,1)=DATE(YEAR(TODAY()),MONTH(TODAY()),1))),1,0))</f>
        <v/>
      </c>
      <c r="S336">
        <f>IF($A336="","",IF(AND($B336&gt;0,F336&lt;$B336,DATE($B$1,4,1)&lt;=TODAY(),OR($O336="",$O336&gt;=DATE($B$1,4,1)),OR(COUNTIF($C336:F336,"&gt;0")&gt;0,DATE($B$1,4,1)=DATE(YEAR(TODAY()),MONTH(TODAY()),1))),1,0))</f>
        <v/>
      </c>
      <c r="T336">
        <f>IF($A336="","",IF(AND($B336&gt;0,G336&lt;$B336,DATE($B$1,5,1)&lt;=TODAY(),OR($O336="",$O336&gt;=DATE($B$1,5,1)),OR(COUNTIF($C336:G336,"&gt;0")&gt;0,DATE($B$1,5,1)=DATE(YEAR(TODAY()),MONTH(TODAY()),1))),1,0))</f>
        <v/>
      </c>
      <c r="U336">
        <f>IF($A336="","",IF(AND($B336&gt;0,H336&lt;$B336,DATE($B$1,6,1)&lt;=TODAY(),OR($O336="",$O336&gt;=DATE($B$1,6,1)),OR(COUNTIF($C336:H336,"&gt;0")&gt;0,DATE($B$1,6,1)=DATE(YEAR(TODAY()),MONTH(TODAY()),1))),1,0))</f>
        <v/>
      </c>
      <c r="V336">
        <f>IF($A336="","",IF(AND($B336&gt;0,I336&lt;$B336,DATE($B$1,7,1)&lt;=TODAY(),OR($O336="",$O336&gt;=DATE($B$1,7,1)),OR(COUNTIF($C336:I336,"&gt;0")&gt;0,DATE($B$1,7,1)=DATE(YEAR(TODAY()),MONTH(TODAY()),1))),1,0))</f>
        <v/>
      </c>
      <c r="W336">
        <f>IF($A336="","",IF(AND($B336&gt;0,J336&lt;$B336,DATE($B$1,8,1)&lt;=TODAY(),OR($O336="",$O336&gt;=DATE($B$1,8,1)),OR(COUNTIF($C336:J336,"&gt;0")&gt;0,DATE($B$1,8,1)=DATE(YEAR(TODAY()),MONTH(TODAY()),1))),1,0))</f>
        <v/>
      </c>
      <c r="X336">
        <f>IF($A336="","",IF(AND($B336&gt;0,K336&lt;$B336,DATE($B$1,9,1)&lt;=TODAY(),OR($O336="",$O336&gt;=DATE($B$1,9,1)),OR(COUNTIF($C336:K336,"&gt;0")&gt;0,DATE($B$1,9,1)=DATE(YEAR(TODAY()),MONTH(TODAY()),1))),1,0))</f>
        <v/>
      </c>
      <c r="Y336">
        <f>IF($A336="","",IF(AND($B336&gt;0,L336&lt;$B336,DATE($B$1,10,1)&lt;=TODAY(),OR($O336="",$O336&gt;=DATE($B$1,10,1)),OR(COUNTIF($C336:L336,"&gt;0")&gt;0,DATE($B$1,10,1)=DATE(YEAR(TODAY()),MONTH(TODAY()),1))),1,0))</f>
        <v/>
      </c>
      <c r="Z336">
        <f>IF($A336="","",IF(AND($B336&gt;0,M336&lt;$B336,DATE($B$1,11,1)&lt;=TODAY(),OR($O336="",$O336&gt;=DATE($B$1,11,1)),OR(COUNTIF($C336:M336,"&gt;0")&gt;0,DATE($B$1,11,1)=DATE(YEAR(TODAY()),MONTH(TODAY()),1))),1,0))</f>
        <v/>
      </c>
      <c r="AA336">
        <f>IF($A336="","",IF(AND($B336&gt;0,N336&lt;$B336,DATE($B$1,12,1)&lt;=TODAY(),OR($O336="",$O336&gt;=DATE($B$1,12,1)),OR(COUNTIF($C336:N336,"&gt;0")&gt;0,DATE($B$1,12,1)=DATE(YEAR(TODAY()),MONTH(TODAY()),1))),1,0))</f>
        <v/>
      </c>
    </row>
    <row r="337">
      <c r="A337" s="13">
        <f>IF(원생!$A335="","",원생!$A335&amp;IF(원생!$G335="",""," ("&amp;원생!$G335&amp;")"))</f>
        <v/>
      </c>
      <c r="B337" s="8">
        <f>IF(원생!$A335="","",N(원생!$F335))</f>
        <v/>
      </c>
      <c r="C337" s="14">
        <f>IF(원생!$A335="","",SUMIFS(계산!$C:$C,계산!$A:$A,계산!$E335,계산!$B:$B,$B$1*100+1))</f>
        <v/>
      </c>
      <c r="D337" s="14">
        <f>IF(원생!$A335="","",SUMIFS(계산!$C:$C,계산!$A:$A,계산!$E335,계산!$B:$B,$B$1*100+2))</f>
        <v/>
      </c>
      <c r="E337" s="14">
        <f>IF(원생!$A335="","",SUMIFS(계산!$C:$C,계산!$A:$A,계산!$E335,계산!$B:$B,$B$1*100+3))</f>
        <v/>
      </c>
      <c r="F337" s="14">
        <f>IF(원생!$A335="","",SUMIFS(계산!$C:$C,계산!$A:$A,계산!$E335,계산!$B:$B,$B$1*100+4))</f>
        <v/>
      </c>
      <c r="G337" s="14">
        <f>IF(원생!$A335="","",SUMIFS(계산!$C:$C,계산!$A:$A,계산!$E335,계산!$B:$B,$B$1*100+5))</f>
        <v/>
      </c>
      <c r="H337" s="14">
        <f>IF(원생!$A335="","",SUMIFS(계산!$C:$C,계산!$A:$A,계산!$E335,계산!$B:$B,$B$1*100+6))</f>
        <v/>
      </c>
      <c r="I337" s="14">
        <f>IF(원생!$A335="","",SUMIFS(계산!$C:$C,계산!$A:$A,계산!$E335,계산!$B:$B,$B$1*100+7))</f>
        <v/>
      </c>
      <c r="J337" s="14">
        <f>IF(원생!$A335="","",SUMIFS(계산!$C:$C,계산!$A:$A,계산!$E335,계산!$B:$B,$B$1*100+8))</f>
        <v/>
      </c>
      <c r="K337" s="14">
        <f>IF(원생!$A335="","",SUMIFS(계산!$C:$C,계산!$A:$A,계산!$E335,계산!$B:$B,$B$1*100+9))</f>
        <v/>
      </c>
      <c r="L337" s="14">
        <f>IF(원생!$A335="","",SUMIFS(계산!$C:$C,계산!$A:$A,계산!$E335,계산!$B:$B,$B$1*100+10))</f>
        <v/>
      </c>
      <c r="M337" s="14">
        <f>IF(원생!$A335="","",SUMIFS(계산!$C:$C,계산!$A:$A,계산!$E335,계산!$B:$B,$B$1*100+11))</f>
        <v/>
      </c>
      <c r="N337" s="14">
        <f>IF(원생!$A335="","",SUMIFS(계산!$C:$C,계산!$A:$A,계산!$E335,계산!$B:$B,$B$1*100+12))</f>
        <v/>
      </c>
      <c r="O337">
        <f>IF(원생!$I335="","",원생!$I335)</f>
        <v/>
      </c>
      <c r="P337">
        <f>IF($A337="","",IF(AND($B337&gt;0,C337&lt;$B337,DATE($B$1,1,1)&lt;=TODAY(),OR($O337="",$O337&gt;=DATE($B$1,1,1)),OR(COUNTIF($C337:C337,"&gt;0")&gt;0,DATE($B$1,1,1)=DATE(YEAR(TODAY()),MONTH(TODAY()),1))),1,0))</f>
        <v/>
      </c>
      <c r="Q337">
        <f>IF($A337="","",IF(AND($B337&gt;0,D337&lt;$B337,DATE($B$1,2,1)&lt;=TODAY(),OR($O337="",$O337&gt;=DATE($B$1,2,1)),OR(COUNTIF($C337:D337,"&gt;0")&gt;0,DATE($B$1,2,1)=DATE(YEAR(TODAY()),MONTH(TODAY()),1))),1,0))</f>
        <v/>
      </c>
      <c r="R337">
        <f>IF($A337="","",IF(AND($B337&gt;0,E337&lt;$B337,DATE($B$1,3,1)&lt;=TODAY(),OR($O337="",$O337&gt;=DATE($B$1,3,1)),OR(COUNTIF($C337:E337,"&gt;0")&gt;0,DATE($B$1,3,1)=DATE(YEAR(TODAY()),MONTH(TODAY()),1))),1,0))</f>
        <v/>
      </c>
      <c r="S337">
        <f>IF($A337="","",IF(AND($B337&gt;0,F337&lt;$B337,DATE($B$1,4,1)&lt;=TODAY(),OR($O337="",$O337&gt;=DATE($B$1,4,1)),OR(COUNTIF($C337:F337,"&gt;0")&gt;0,DATE($B$1,4,1)=DATE(YEAR(TODAY()),MONTH(TODAY()),1))),1,0))</f>
        <v/>
      </c>
      <c r="T337">
        <f>IF($A337="","",IF(AND($B337&gt;0,G337&lt;$B337,DATE($B$1,5,1)&lt;=TODAY(),OR($O337="",$O337&gt;=DATE($B$1,5,1)),OR(COUNTIF($C337:G337,"&gt;0")&gt;0,DATE($B$1,5,1)=DATE(YEAR(TODAY()),MONTH(TODAY()),1))),1,0))</f>
        <v/>
      </c>
      <c r="U337">
        <f>IF($A337="","",IF(AND($B337&gt;0,H337&lt;$B337,DATE($B$1,6,1)&lt;=TODAY(),OR($O337="",$O337&gt;=DATE($B$1,6,1)),OR(COUNTIF($C337:H337,"&gt;0")&gt;0,DATE($B$1,6,1)=DATE(YEAR(TODAY()),MONTH(TODAY()),1))),1,0))</f>
        <v/>
      </c>
      <c r="V337">
        <f>IF($A337="","",IF(AND($B337&gt;0,I337&lt;$B337,DATE($B$1,7,1)&lt;=TODAY(),OR($O337="",$O337&gt;=DATE($B$1,7,1)),OR(COUNTIF($C337:I337,"&gt;0")&gt;0,DATE($B$1,7,1)=DATE(YEAR(TODAY()),MONTH(TODAY()),1))),1,0))</f>
        <v/>
      </c>
      <c r="W337">
        <f>IF($A337="","",IF(AND($B337&gt;0,J337&lt;$B337,DATE($B$1,8,1)&lt;=TODAY(),OR($O337="",$O337&gt;=DATE($B$1,8,1)),OR(COUNTIF($C337:J337,"&gt;0")&gt;0,DATE($B$1,8,1)=DATE(YEAR(TODAY()),MONTH(TODAY()),1))),1,0))</f>
        <v/>
      </c>
      <c r="X337">
        <f>IF($A337="","",IF(AND($B337&gt;0,K337&lt;$B337,DATE($B$1,9,1)&lt;=TODAY(),OR($O337="",$O337&gt;=DATE($B$1,9,1)),OR(COUNTIF($C337:K337,"&gt;0")&gt;0,DATE($B$1,9,1)=DATE(YEAR(TODAY()),MONTH(TODAY()),1))),1,0))</f>
        <v/>
      </c>
      <c r="Y337">
        <f>IF($A337="","",IF(AND($B337&gt;0,L337&lt;$B337,DATE($B$1,10,1)&lt;=TODAY(),OR($O337="",$O337&gt;=DATE($B$1,10,1)),OR(COUNTIF($C337:L337,"&gt;0")&gt;0,DATE($B$1,10,1)=DATE(YEAR(TODAY()),MONTH(TODAY()),1))),1,0))</f>
        <v/>
      </c>
      <c r="Z337">
        <f>IF($A337="","",IF(AND($B337&gt;0,M337&lt;$B337,DATE($B$1,11,1)&lt;=TODAY(),OR($O337="",$O337&gt;=DATE($B$1,11,1)),OR(COUNTIF($C337:M337,"&gt;0")&gt;0,DATE($B$1,11,1)=DATE(YEAR(TODAY()),MONTH(TODAY()),1))),1,0))</f>
        <v/>
      </c>
      <c r="AA337">
        <f>IF($A337="","",IF(AND($B337&gt;0,N337&lt;$B337,DATE($B$1,12,1)&lt;=TODAY(),OR($O337="",$O337&gt;=DATE($B$1,12,1)),OR(COUNTIF($C337:N337,"&gt;0")&gt;0,DATE($B$1,12,1)=DATE(YEAR(TODAY()),MONTH(TODAY()),1))),1,0))</f>
        <v/>
      </c>
    </row>
    <row r="338">
      <c r="A338" s="13">
        <f>IF(원생!$A336="","",원생!$A336&amp;IF(원생!$G336="",""," ("&amp;원생!$G336&amp;")"))</f>
        <v/>
      </c>
      <c r="B338" s="8">
        <f>IF(원생!$A336="","",N(원생!$F336))</f>
        <v/>
      </c>
      <c r="C338" s="14">
        <f>IF(원생!$A336="","",SUMIFS(계산!$C:$C,계산!$A:$A,계산!$E336,계산!$B:$B,$B$1*100+1))</f>
        <v/>
      </c>
      <c r="D338" s="14">
        <f>IF(원생!$A336="","",SUMIFS(계산!$C:$C,계산!$A:$A,계산!$E336,계산!$B:$B,$B$1*100+2))</f>
        <v/>
      </c>
      <c r="E338" s="14">
        <f>IF(원생!$A336="","",SUMIFS(계산!$C:$C,계산!$A:$A,계산!$E336,계산!$B:$B,$B$1*100+3))</f>
        <v/>
      </c>
      <c r="F338" s="14">
        <f>IF(원생!$A336="","",SUMIFS(계산!$C:$C,계산!$A:$A,계산!$E336,계산!$B:$B,$B$1*100+4))</f>
        <v/>
      </c>
      <c r="G338" s="14">
        <f>IF(원생!$A336="","",SUMIFS(계산!$C:$C,계산!$A:$A,계산!$E336,계산!$B:$B,$B$1*100+5))</f>
        <v/>
      </c>
      <c r="H338" s="14">
        <f>IF(원생!$A336="","",SUMIFS(계산!$C:$C,계산!$A:$A,계산!$E336,계산!$B:$B,$B$1*100+6))</f>
        <v/>
      </c>
      <c r="I338" s="14">
        <f>IF(원생!$A336="","",SUMIFS(계산!$C:$C,계산!$A:$A,계산!$E336,계산!$B:$B,$B$1*100+7))</f>
        <v/>
      </c>
      <c r="J338" s="14">
        <f>IF(원생!$A336="","",SUMIFS(계산!$C:$C,계산!$A:$A,계산!$E336,계산!$B:$B,$B$1*100+8))</f>
        <v/>
      </c>
      <c r="K338" s="14">
        <f>IF(원생!$A336="","",SUMIFS(계산!$C:$C,계산!$A:$A,계산!$E336,계산!$B:$B,$B$1*100+9))</f>
        <v/>
      </c>
      <c r="L338" s="14">
        <f>IF(원생!$A336="","",SUMIFS(계산!$C:$C,계산!$A:$A,계산!$E336,계산!$B:$B,$B$1*100+10))</f>
        <v/>
      </c>
      <c r="M338" s="14">
        <f>IF(원생!$A336="","",SUMIFS(계산!$C:$C,계산!$A:$A,계산!$E336,계산!$B:$B,$B$1*100+11))</f>
        <v/>
      </c>
      <c r="N338" s="14">
        <f>IF(원생!$A336="","",SUMIFS(계산!$C:$C,계산!$A:$A,계산!$E336,계산!$B:$B,$B$1*100+12))</f>
        <v/>
      </c>
      <c r="O338">
        <f>IF(원생!$I336="","",원생!$I336)</f>
        <v/>
      </c>
      <c r="P338">
        <f>IF($A338="","",IF(AND($B338&gt;0,C338&lt;$B338,DATE($B$1,1,1)&lt;=TODAY(),OR($O338="",$O338&gt;=DATE($B$1,1,1)),OR(COUNTIF($C338:C338,"&gt;0")&gt;0,DATE($B$1,1,1)=DATE(YEAR(TODAY()),MONTH(TODAY()),1))),1,0))</f>
        <v/>
      </c>
      <c r="Q338">
        <f>IF($A338="","",IF(AND($B338&gt;0,D338&lt;$B338,DATE($B$1,2,1)&lt;=TODAY(),OR($O338="",$O338&gt;=DATE($B$1,2,1)),OR(COUNTIF($C338:D338,"&gt;0")&gt;0,DATE($B$1,2,1)=DATE(YEAR(TODAY()),MONTH(TODAY()),1))),1,0))</f>
        <v/>
      </c>
      <c r="R338">
        <f>IF($A338="","",IF(AND($B338&gt;0,E338&lt;$B338,DATE($B$1,3,1)&lt;=TODAY(),OR($O338="",$O338&gt;=DATE($B$1,3,1)),OR(COUNTIF($C338:E338,"&gt;0")&gt;0,DATE($B$1,3,1)=DATE(YEAR(TODAY()),MONTH(TODAY()),1))),1,0))</f>
        <v/>
      </c>
      <c r="S338">
        <f>IF($A338="","",IF(AND($B338&gt;0,F338&lt;$B338,DATE($B$1,4,1)&lt;=TODAY(),OR($O338="",$O338&gt;=DATE($B$1,4,1)),OR(COUNTIF($C338:F338,"&gt;0")&gt;0,DATE($B$1,4,1)=DATE(YEAR(TODAY()),MONTH(TODAY()),1))),1,0))</f>
        <v/>
      </c>
      <c r="T338">
        <f>IF($A338="","",IF(AND($B338&gt;0,G338&lt;$B338,DATE($B$1,5,1)&lt;=TODAY(),OR($O338="",$O338&gt;=DATE($B$1,5,1)),OR(COUNTIF($C338:G338,"&gt;0")&gt;0,DATE($B$1,5,1)=DATE(YEAR(TODAY()),MONTH(TODAY()),1))),1,0))</f>
        <v/>
      </c>
      <c r="U338">
        <f>IF($A338="","",IF(AND($B338&gt;0,H338&lt;$B338,DATE($B$1,6,1)&lt;=TODAY(),OR($O338="",$O338&gt;=DATE($B$1,6,1)),OR(COUNTIF($C338:H338,"&gt;0")&gt;0,DATE($B$1,6,1)=DATE(YEAR(TODAY()),MONTH(TODAY()),1))),1,0))</f>
        <v/>
      </c>
      <c r="V338">
        <f>IF($A338="","",IF(AND($B338&gt;0,I338&lt;$B338,DATE($B$1,7,1)&lt;=TODAY(),OR($O338="",$O338&gt;=DATE($B$1,7,1)),OR(COUNTIF($C338:I338,"&gt;0")&gt;0,DATE($B$1,7,1)=DATE(YEAR(TODAY()),MONTH(TODAY()),1))),1,0))</f>
        <v/>
      </c>
      <c r="W338">
        <f>IF($A338="","",IF(AND($B338&gt;0,J338&lt;$B338,DATE($B$1,8,1)&lt;=TODAY(),OR($O338="",$O338&gt;=DATE($B$1,8,1)),OR(COUNTIF($C338:J338,"&gt;0")&gt;0,DATE($B$1,8,1)=DATE(YEAR(TODAY()),MONTH(TODAY()),1))),1,0))</f>
        <v/>
      </c>
      <c r="X338">
        <f>IF($A338="","",IF(AND($B338&gt;0,K338&lt;$B338,DATE($B$1,9,1)&lt;=TODAY(),OR($O338="",$O338&gt;=DATE($B$1,9,1)),OR(COUNTIF($C338:K338,"&gt;0")&gt;0,DATE($B$1,9,1)=DATE(YEAR(TODAY()),MONTH(TODAY()),1))),1,0))</f>
        <v/>
      </c>
      <c r="Y338">
        <f>IF($A338="","",IF(AND($B338&gt;0,L338&lt;$B338,DATE($B$1,10,1)&lt;=TODAY(),OR($O338="",$O338&gt;=DATE($B$1,10,1)),OR(COUNTIF($C338:L338,"&gt;0")&gt;0,DATE($B$1,10,1)=DATE(YEAR(TODAY()),MONTH(TODAY()),1))),1,0))</f>
        <v/>
      </c>
      <c r="Z338">
        <f>IF($A338="","",IF(AND($B338&gt;0,M338&lt;$B338,DATE($B$1,11,1)&lt;=TODAY(),OR($O338="",$O338&gt;=DATE($B$1,11,1)),OR(COUNTIF($C338:M338,"&gt;0")&gt;0,DATE($B$1,11,1)=DATE(YEAR(TODAY()),MONTH(TODAY()),1))),1,0))</f>
        <v/>
      </c>
      <c r="AA338">
        <f>IF($A338="","",IF(AND($B338&gt;0,N338&lt;$B338,DATE($B$1,12,1)&lt;=TODAY(),OR($O338="",$O338&gt;=DATE($B$1,12,1)),OR(COUNTIF($C338:N338,"&gt;0")&gt;0,DATE($B$1,12,1)=DATE(YEAR(TODAY()),MONTH(TODAY()),1))),1,0))</f>
        <v/>
      </c>
    </row>
    <row r="339">
      <c r="A339" s="13">
        <f>IF(원생!$A337="","",원생!$A337&amp;IF(원생!$G337="",""," ("&amp;원생!$G337&amp;")"))</f>
        <v/>
      </c>
      <c r="B339" s="8">
        <f>IF(원생!$A337="","",N(원생!$F337))</f>
        <v/>
      </c>
      <c r="C339" s="14">
        <f>IF(원생!$A337="","",SUMIFS(계산!$C:$C,계산!$A:$A,계산!$E337,계산!$B:$B,$B$1*100+1))</f>
        <v/>
      </c>
      <c r="D339" s="14">
        <f>IF(원생!$A337="","",SUMIFS(계산!$C:$C,계산!$A:$A,계산!$E337,계산!$B:$B,$B$1*100+2))</f>
        <v/>
      </c>
      <c r="E339" s="14">
        <f>IF(원생!$A337="","",SUMIFS(계산!$C:$C,계산!$A:$A,계산!$E337,계산!$B:$B,$B$1*100+3))</f>
        <v/>
      </c>
      <c r="F339" s="14">
        <f>IF(원생!$A337="","",SUMIFS(계산!$C:$C,계산!$A:$A,계산!$E337,계산!$B:$B,$B$1*100+4))</f>
        <v/>
      </c>
      <c r="G339" s="14">
        <f>IF(원생!$A337="","",SUMIFS(계산!$C:$C,계산!$A:$A,계산!$E337,계산!$B:$B,$B$1*100+5))</f>
        <v/>
      </c>
      <c r="H339" s="14">
        <f>IF(원생!$A337="","",SUMIFS(계산!$C:$C,계산!$A:$A,계산!$E337,계산!$B:$B,$B$1*100+6))</f>
        <v/>
      </c>
      <c r="I339" s="14">
        <f>IF(원생!$A337="","",SUMIFS(계산!$C:$C,계산!$A:$A,계산!$E337,계산!$B:$B,$B$1*100+7))</f>
        <v/>
      </c>
      <c r="J339" s="14">
        <f>IF(원생!$A337="","",SUMIFS(계산!$C:$C,계산!$A:$A,계산!$E337,계산!$B:$B,$B$1*100+8))</f>
        <v/>
      </c>
      <c r="K339" s="14">
        <f>IF(원생!$A337="","",SUMIFS(계산!$C:$C,계산!$A:$A,계산!$E337,계산!$B:$B,$B$1*100+9))</f>
        <v/>
      </c>
      <c r="L339" s="14">
        <f>IF(원생!$A337="","",SUMIFS(계산!$C:$C,계산!$A:$A,계산!$E337,계산!$B:$B,$B$1*100+10))</f>
        <v/>
      </c>
      <c r="M339" s="14">
        <f>IF(원생!$A337="","",SUMIFS(계산!$C:$C,계산!$A:$A,계산!$E337,계산!$B:$B,$B$1*100+11))</f>
        <v/>
      </c>
      <c r="N339" s="14">
        <f>IF(원생!$A337="","",SUMIFS(계산!$C:$C,계산!$A:$A,계산!$E337,계산!$B:$B,$B$1*100+12))</f>
        <v/>
      </c>
      <c r="O339">
        <f>IF(원생!$I337="","",원생!$I337)</f>
        <v/>
      </c>
      <c r="P339">
        <f>IF($A339="","",IF(AND($B339&gt;0,C339&lt;$B339,DATE($B$1,1,1)&lt;=TODAY(),OR($O339="",$O339&gt;=DATE($B$1,1,1)),OR(COUNTIF($C339:C339,"&gt;0")&gt;0,DATE($B$1,1,1)=DATE(YEAR(TODAY()),MONTH(TODAY()),1))),1,0))</f>
        <v/>
      </c>
      <c r="Q339">
        <f>IF($A339="","",IF(AND($B339&gt;0,D339&lt;$B339,DATE($B$1,2,1)&lt;=TODAY(),OR($O339="",$O339&gt;=DATE($B$1,2,1)),OR(COUNTIF($C339:D339,"&gt;0")&gt;0,DATE($B$1,2,1)=DATE(YEAR(TODAY()),MONTH(TODAY()),1))),1,0))</f>
        <v/>
      </c>
      <c r="R339">
        <f>IF($A339="","",IF(AND($B339&gt;0,E339&lt;$B339,DATE($B$1,3,1)&lt;=TODAY(),OR($O339="",$O339&gt;=DATE($B$1,3,1)),OR(COUNTIF($C339:E339,"&gt;0")&gt;0,DATE($B$1,3,1)=DATE(YEAR(TODAY()),MONTH(TODAY()),1))),1,0))</f>
        <v/>
      </c>
      <c r="S339">
        <f>IF($A339="","",IF(AND($B339&gt;0,F339&lt;$B339,DATE($B$1,4,1)&lt;=TODAY(),OR($O339="",$O339&gt;=DATE($B$1,4,1)),OR(COUNTIF($C339:F339,"&gt;0")&gt;0,DATE($B$1,4,1)=DATE(YEAR(TODAY()),MONTH(TODAY()),1))),1,0))</f>
        <v/>
      </c>
      <c r="T339">
        <f>IF($A339="","",IF(AND($B339&gt;0,G339&lt;$B339,DATE($B$1,5,1)&lt;=TODAY(),OR($O339="",$O339&gt;=DATE($B$1,5,1)),OR(COUNTIF($C339:G339,"&gt;0")&gt;0,DATE($B$1,5,1)=DATE(YEAR(TODAY()),MONTH(TODAY()),1))),1,0))</f>
        <v/>
      </c>
      <c r="U339">
        <f>IF($A339="","",IF(AND($B339&gt;0,H339&lt;$B339,DATE($B$1,6,1)&lt;=TODAY(),OR($O339="",$O339&gt;=DATE($B$1,6,1)),OR(COUNTIF($C339:H339,"&gt;0")&gt;0,DATE($B$1,6,1)=DATE(YEAR(TODAY()),MONTH(TODAY()),1))),1,0))</f>
        <v/>
      </c>
      <c r="V339">
        <f>IF($A339="","",IF(AND($B339&gt;0,I339&lt;$B339,DATE($B$1,7,1)&lt;=TODAY(),OR($O339="",$O339&gt;=DATE($B$1,7,1)),OR(COUNTIF($C339:I339,"&gt;0")&gt;0,DATE($B$1,7,1)=DATE(YEAR(TODAY()),MONTH(TODAY()),1))),1,0))</f>
        <v/>
      </c>
      <c r="W339">
        <f>IF($A339="","",IF(AND($B339&gt;0,J339&lt;$B339,DATE($B$1,8,1)&lt;=TODAY(),OR($O339="",$O339&gt;=DATE($B$1,8,1)),OR(COUNTIF($C339:J339,"&gt;0")&gt;0,DATE($B$1,8,1)=DATE(YEAR(TODAY()),MONTH(TODAY()),1))),1,0))</f>
        <v/>
      </c>
      <c r="X339">
        <f>IF($A339="","",IF(AND($B339&gt;0,K339&lt;$B339,DATE($B$1,9,1)&lt;=TODAY(),OR($O339="",$O339&gt;=DATE($B$1,9,1)),OR(COUNTIF($C339:K339,"&gt;0")&gt;0,DATE($B$1,9,1)=DATE(YEAR(TODAY()),MONTH(TODAY()),1))),1,0))</f>
        <v/>
      </c>
      <c r="Y339">
        <f>IF($A339="","",IF(AND($B339&gt;0,L339&lt;$B339,DATE($B$1,10,1)&lt;=TODAY(),OR($O339="",$O339&gt;=DATE($B$1,10,1)),OR(COUNTIF($C339:L339,"&gt;0")&gt;0,DATE($B$1,10,1)=DATE(YEAR(TODAY()),MONTH(TODAY()),1))),1,0))</f>
        <v/>
      </c>
      <c r="Z339">
        <f>IF($A339="","",IF(AND($B339&gt;0,M339&lt;$B339,DATE($B$1,11,1)&lt;=TODAY(),OR($O339="",$O339&gt;=DATE($B$1,11,1)),OR(COUNTIF($C339:M339,"&gt;0")&gt;0,DATE($B$1,11,1)=DATE(YEAR(TODAY()),MONTH(TODAY()),1))),1,0))</f>
        <v/>
      </c>
      <c r="AA339">
        <f>IF($A339="","",IF(AND($B339&gt;0,N339&lt;$B339,DATE($B$1,12,1)&lt;=TODAY(),OR($O339="",$O339&gt;=DATE($B$1,12,1)),OR(COUNTIF($C339:N339,"&gt;0")&gt;0,DATE($B$1,12,1)=DATE(YEAR(TODAY()),MONTH(TODAY()),1))),1,0))</f>
        <v/>
      </c>
    </row>
    <row r="340">
      <c r="A340" s="13">
        <f>IF(원생!$A338="","",원생!$A338&amp;IF(원생!$G338="",""," ("&amp;원생!$G338&amp;")"))</f>
        <v/>
      </c>
      <c r="B340" s="8">
        <f>IF(원생!$A338="","",N(원생!$F338))</f>
        <v/>
      </c>
      <c r="C340" s="14">
        <f>IF(원생!$A338="","",SUMIFS(계산!$C:$C,계산!$A:$A,계산!$E338,계산!$B:$B,$B$1*100+1))</f>
        <v/>
      </c>
      <c r="D340" s="14">
        <f>IF(원생!$A338="","",SUMIFS(계산!$C:$C,계산!$A:$A,계산!$E338,계산!$B:$B,$B$1*100+2))</f>
        <v/>
      </c>
      <c r="E340" s="14">
        <f>IF(원생!$A338="","",SUMIFS(계산!$C:$C,계산!$A:$A,계산!$E338,계산!$B:$B,$B$1*100+3))</f>
        <v/>
      </c>
      <c r="F340" s="14">
        <f>IF(원생!$A338="","",SUMIFS(계산!$C:$C,계산!$A:$A,계산!$E338,계산!$B:$B,$B$1*100+4))</f>
        <v/>
      </c>
      <c r="G340" s="14">
        <f>IF(원생!$A338="","",SUMIFS(계산!$C:$C,계산!$A:$A,계산!$E338,계산!$B:$B,$B$1*100+5))</f>
        <v/>
      </c>
      <c r="H340" s="14">
        <f>IF(원생!$A338="","",SUMIFS(계산!$C:$C,계산!$A:$A,계산!$E338,계산!$B:$B,$B$1*100+6))</f>
        <v/>
      </c>
      <c r="I340" s="14">
        <f>IF(원생!$A338="","",SUMIFS(계산!$C:$C,계산!$A:$A,계산!$E338,계산!$B:$B,$B$1*100+7))</f>
        <v/>
      </c>
      <c r="J340" s="14">
        <f>IF(원생!$A338="","",SUMIFS(계산!$C:$C,계산!$A:$A,계산!$E338,계산!$B:$B,$B$1*100+8))</f>
        <v/>
      </c>
      <c r="K340" s="14">
        <f>IF(원생!$A338="","",SUMIFS(계산!$C:$C,계산!$A:$A,계산!$E338,계산!$B:$B,$B$1*100+9))</f>
        <v/>
      </c>
      <c r="L340" s="14">
        <f>IF(원생!$A338="","",SUMIFS(계산!$C:$C,계산!$A:$A,계산!$E338,계산!$B:$B,$B$1*100+10))</f>
        <v/>
      </c>
      <c r="M340" s="14">
        <f>IF(원생!$A338="","",SUMIFS(계산!$C:$C,계산!$A:$A,계산!$E338,계산!$B:$B,$B$1*100+11))</f>
        <v/>
      </c>
      <c r="N340" s="14">
        <f>IF(원생!$A338="","",SUMIFS(계산!$C:$C,계산!$A:$A,계산!$E338,계산!$B:$B,$B$1*100+12))</f>
        <v/>
      </c>
      <c r="O340">
        <f>IF(원생!$I338="","",원생!$I338)</f>
        <v/>
      </c>
      <c r="P340">
        <f>IF($A340="","",IF(AND($B340&gt;0,C340&lt;$B340,DATE($B$1,1,1)&lt;=TODAY(),OR($O340="",$O340&gt;=DATE($B$1,1,1)),OR(COUNTIF($C340:C340,"&gt;0")&gt;0,DATE($B$1,1,1)=DATE(YEAR(TODAY()),MONTH(TODAY()),1))),1,0))</f>
        <v/>
      </c>
      <c r="Q340">
        <f>IF($A340="","",IF(AND($B340&gt;0,D340&lt;$B340,DATE($B$1,2,1)&lt;=TODAY(),OR($O340="",$O340&gt;=DATE($B$1,2,1)),OR(COUNTIF($C340:D340,"&gt;0")&gt;0,DATE($B$1,2,1)=DATE(YEAR(TODAY()),MONTH(TODAY()),1))),1,0))</f>
        <v/>
      </c>
      <c r="R340">
        <f>IF($A340="","",IF(AND($B340&gt;0,E340&lt;$B340,DATE($B$1,3,1)&lt;=TODAY(),OR($O340="",$O340&gt;=DATE($B$1,3,1)),OR(COUNTIF($C340:E340,"&gt;0")&gt;0,DATE($B$1,3,1)=DATE(YEAR(TODAY()),MONTH(TODAY()),1))),1,0))</f>
        <v/>
      </c>
      <c r="S340">
        <f>IF($A340="","",IF(AND($B340&gt;0,F340&lt;$B340,DATE($B$1,4,1)&lt;=TODAY(),OR($O340="",$O340&gt;=DATE($B$1,4,1)),OR(COUNTIF($C340:F340,"&gt;0")&gt;0,DATE($B$1,4,1)=DATE(YEAR(TODAY()),MONTH(TODAY()),1))),1,0))</f>
        <v/>
      </c>
      <c r="T340">
        <f>IF($A340="","",IF(AND($B340&gt;0,G340&lt;$B340,DATE($B$1,5,1)&lt;=TODAY(),OR($O340="",$O340&gt;=DATE($B$1,5,1)),OR(COUNTIF($C340:G340,"&gt;0")&gt;0,DATE($B$1,5,1)=DATE(YEAR(TODAY()),MONTH(TODAY()),1))),1,0))</f>
        <v/>
      </c>
      <c r="U340">
        <f>IF($A340="","",IF(AND($B340&gt;0,H340&lt;$B340,DATE($B$1,6,1)&lt;=TODAY(),OR($O340="",$O340&gt;=DATE($B$1,6,1)),OR(COUNTIF($C340:H340,"&gt;0")&gt;0,DATE($B$1,6,1)=DATE(YEAR(TODAY()),MONTH(TODAY()),1))),1,0))</f>
        <v/>
      </c>
      <c r="V340">
        <f>IF($A340="","",IF(AND($B340&gt;0,I340&lt;$B340,DATE($B$1,7,1)&lt;=TODAY(),OR($O340="",$O340&gt;=DATE($B$1,7,1)),OR(COUNTIF($C340:I340,"&gt;0")&gt;0,DATE($B$1,7,1)=DATE(YEAR(TODAY()),MONTH(TODAY()),1))),1,0))</f>
        <v/>
      </c>
      <c r="W340">
        <f>IF($A340="","",IF(AND($B340&gt;0,J340&lt;$B340,DATE($B$1,8,1)&lt;=TODAY(),OR($O340="",$O340&gt;=DATE($B$1,8,1)),OR(COUNTIF($C340:J340,"&gt;0")&gt;0,DATE($B$1,8,1)=DATE(YEAR(TODAY()),MONTH(TODAY()),1))),1,0))</f>
        <v/>
      </c>
      <c r="X340">
        <f>IF($A340="","",IF(AND($B340&gt;0,K340&lt;$B340,DATE($B$1,9,1)&lt;=TODAY(),OR($O340="",$O340&gt;=DATE($B$1,9,1)),OR(COUNTIF($C340:K340,"&gt;0")&gt;0,DATE($B$1,9,1)=DATE(YEAR(TODAY()),MONTH(TODAY()),1))),1,0))</f>
        <v/>
      </c>
      <c r="Y340">
        <f>IF($A340="","",IF(AND($B340&gt;0,L340&lt;$B340,DATE($B$1,10,1)&lt;=TODAY(),OR($O340="",$O340&gt;=DATE($B$1,10,1)),OR(COUNTIF($C340:L340,"&gt;0")&gt;0,DATE($B$1,10,1)=DATE(YEAR(TODAY()),MONTH(TODAY()),1))),1,0))</f>
        <v/>
      </c>
      <c r="Z340">
        <f>IF($A340="","",IF(AND($B340&gt;0,M340&lt;$B340,DATE($B$1,11,1)&lt;=TODAY(),OR($O340="",$O340&gt;=DATE($B$1,11,1)),OR(COUNTIF($C340:M340,"&gt;0")&gt;0,DATE($B$1,11,1)=DATE(YEAR(TODAY()),MONTH(TODAY()),1))),1,0))</f>
        <v/>
      </c>
      <c r="AA340">
        <f>IF($A340="","",IF(AND($B340&gt;0,N340&lt;$B340,DATE($B$1,12,1)&lt;=TODAY(),OR($O340="",$O340&gt;=DATE($B$1,12,1)),OR(COUNTIF($C340:N340,"&gt;0")&gt;0,DATE($B$1,12,1)=DATE(YEAR(TODAY()),MONTH(TODAY()),1))),1,0))</f>
        <v/>
      </c>
    </row>
    <row r="341">
      <c r="A341" s="13">
        <f>IF(원생!$A339="","",원생!$A339&amp;IF(원생!$G339="",""," ("&amp;원생!$G339&amp;")"))</f>
        <v/>
      </c>
      <c r="B341" s="8">
        <f>IF(원생!$A339="","",N(원생!$F339))</f>
        <v/>
      </c>
      <c r="C341" s="14">
        <f>IF(원생!$A339="","",SUMIFS(계산!$C:$C,계산!$A:$A,계산!$E339,계산!$B:$B,$B$1*100+1))</f>
        <v/>
      </c>
      <c r="D341" s="14">
        <f>IF(원생!$A339="","",SUMIFS(계산!$C:$C,계산!$A:$A,계산!$E339,계산!$B:$B,$B$1*100+2))</f>
        <v/>
      </c>
      <c r="E341" s="14">
        <f>IF(원생!$A339="","",SUMIFS(계산!$C:$C,계산!$A:$A,계산!$E339,계산!$B:$B,$B$1*100+3))</f>
        <v/>
      </c>
      <c r="F341" s="14">
        <f>IF(원생!$A339="","",SUMIFS(계산!$C:$C,계산!$A:$A,계산!$E339,계산!$B:$B,$B$1*100+4))</f>
        <v/>
      </c>
      <c r="G341" s="14">
        <f>IF(원생!$A339="","",SUMIFS(계산!$C:$C,계산!$A:$A,계산!$E339,계산!$B:$B,$B$1*100+5))</f>
        <v/>
      </c>
      <c r="H341" s="14">
        <f>IF(원생!$A339="","",SUMIFS(계산!$C:$C,계산!$A:$A,계산!$E339,계산!$B:$B,$B$1*100+6))</f>
        <v/>
      </c>
      <c r="I341" s="14">
        <f>IF(원생!$A339="","",SUMIFS(계산!$C:$C,계산!$A:$A,계산!$E339,계산!$B:$B,$B$1*100+7))</f>
        <v/>
      </c>
      <c r="J341" s="14">
        <f>IF(원생!$A339="","",SUMIFS(계산!$C:$C,계산!$A:$A,계산!$E339,계산!$B:$B,$B$1*100+8))</f>
        <v/>
      </c>
      <c r="K341" s="14">
        <f>IF(원생!$A339="","",SUMIFS(계산!$C:$C,계산!$A:$A,계산!$E339,계산!$B:$B,$B$1*100+9))</f>
        <v/>
      </c>
      <c r="L341" s="14">
        <f>IF(원생!$A339="","",SUMIFS(계산!$C:$C,계산!$A:$A,계산!$E339,계산!$B:$B,$B$1*100+10))</f>
        <v/>
      </c>
      <c r="M341" s="14">
        <f>IF(원생!$A339="","",SUMIFS(계산!$C:$C,계산!$A:$A,계산!$E339,계산!$B:$B,$B$1*100+11))</f>
        <v/>
      </c>
      <c r="N341" s="14">
        <f>IF(원생!$A339="","",SUMIFS(계산!$C:$C,계산!$A:$A,계산!$E339,계산!$B:$B,$B$1*100+12))</f>
        <v/>
      </c>
      <c r="O341">
        <f>IF(원생!$I339="","",원생!$I339)</f>
        <v/>
      </c>
      <c r="P341">
        <f>IF($A341="","",IF(AND($B341&gt;0,C341&lt;$B341,DATE($B$1,1,1)&lt;=TODAY(),OR($O341="",$O341&gt;=DATE($B$1,1,1)),OR(COUNTIF($C341:C341,"&gt;0")&gt;0,DATE($B$1,1,1)=DATE(YEAR(TODAY()),MONTH(TODAY()),1))),1,0))</f>
        <v/>
      </c>
      <c r="Q341">
        <f>IF($A341="","",IF(AND($B341&gt;0,D341&lt;$B341,DATE($B$1,2,1)&lt;=TODAY(),OR($O341="",$O341&gt;=DATE($B$1,2,1)),OR(COUNTIF($C341:D341,"&gt;0")&gt;0,DATE($B$1,2,1)=DATE(YEAR(TODAY()),MONTH(TODAY()),1))),1,0))</f>
        <v/>
      </c>
      <c r="R341">
        <f>IF($A341="","",IF(AND($B341&gt;0,E341&lt;$B341,DATE($B$1,3,1)&lt;=TODAY(),OR($O341="",$O341&gt;=DATE($B$1,3,1)),OR(COUNTIF($C341:E341,"&gt;0")&gt;0,DATE($B$1,3,1)=DATE(YEAR(TODAY()),MONTH(TODAY()),1))),1,0))</f>
        <v/>
      </c>
      <c r="S341">
        <f>IF($A341="","",IF(AND($B341&gt;0,F341&lt;$B341,DATE($B$1,4,1)&lt;=TODAY(),OR($O341="",$O341&gt;=DATE($B$1,4,1)),OR(COUNTIF($C341:F341,"&gt;0")&gt;0,DATE($B$1,4,1)=DATE(YEAR(TODAY()),MONTH(TODAY()),1))),1,0))</f>
        <v/>
      </c>
      <c r="T341">
        <f>IF($A341="","",IF(AND($B341&gt;0,G341&lt;$B341,DATE($B$1,5,1)&lt;=TODAY(),OR($O341="",$O341&gt;=DATE($B$1,5,1)),OR(COUNTIF($C341:G341,"&gt;0")&gt;0,DATE($B$1,5,1)=DATE(YEAR(TODAY()),MONTH(TODAY()),1))),1,0))</f>
        <v/>
      </c>
      <c r="U341">
        <f>IF($A341="","",IF(AND($B341&gt;0,H341&lt;$B341,DATE($B$1,6,1)&lt;=TODAY(),OR($O341="",$O341&gt;=DATE($B$1,6,1)),OR(COUNTIF($C341:H341,"&gt;0")&gt;0,DATE($B$1,6,1)=DATE(YEAR(TODAY()),MONTH(TODAY()),1))),1,0))</f>
        <v/>
      </c>
      <c r="V341">
        <f>IF($A341="","",IF(AND($B341&gt;0,I341&lt;$B341,DATE($B$1,7,1)&lt;=TODAY(),OR($O341="",$O341&gt;=DATE($B$1,7,1)),OR(COUNTIF($C341:I341,"&gt;0")&gt;0,DATE($B$1,7,1)=DATE(YEAR(TODAY()),MONTH(TODAY()),1))),1,0))</f>
        <v/>
      </c>
      <c r="W341">
        <f>IF($A341="","",IF(AND($B341&gt;0,J341&lt;$B341,DATE($B$1,8,1)&lt;=TODAY(),OR($O341="",$O341&gt;=DATE($B$1,8,1)),OR(COUNTIF($C341:J341,"&gt;0")&gt;0,DATE($B$1,8,1)=DATE(YEAR(TODAY()),MONTH(TODAY()),1))),1,0))</f>
        <v/>
      </c>
      <c r="X341">
        <f>IF($A341="","",IF(AND($B341&gt;0,K341&lt;$B341,DATE($B$1,9,1)&lt;=TODAY(),OR($O341="",$O341&gt;=DATE($B$1,9,1)),OR(COUNTIF($C341:K341,"&gt;0")&gt;0,DATE($B$1,9,1)=DATE(YEAR(TODAY()),MONTH(TODAY()),1))),1,0))</f>
        <v/>
      </c>
      <c r="Y341">
        <f>IF($A341="","",IF(AND($B341&gt;0,L341&lt;$B341,DATE($B$1,10,1)&lt;=TODAY(),OR($O341="",$O341&gt;=DATE($B$1,10,1)),OR(COUNTIF($C341:L341,"&gt;0")&gt;0,DATE($B$1,10,1)=DATE(YEAR(TODAY()),MONTH(TODAY()),1))),1,0))</f>
        <v/>
      </c>
      <c r="Z341">
        <f>IF($A341="","",IF(AND($B341&gt;0,M341&lt;$B341,DATE($B$1,11,1)&lt;=TODAY(),OR($O341="",$O341&gt;=DATE($B$1,11,1)),OR(COUNTIF($C341:M341,"&gt;0")&gt;0,DATE($B$1,11,1)=DATE(YEAR(TODAY()),MONTH(TODAY()),1))),1,0))</f>
        <v/>
      </c>
      <c r="AA341">
        <f>IF($A341="","",IF(AND($B341&gt;0,N341&lt;$B341,DATE($B$1,12,1)&lt;=TODAY(),OR($O341="",$O341&gt;=DATE($B$1,12,1)),OR(COUNTIF($C341:N341,"&gt;0")&gt;0,DATE($B$1,12,1)=DATE(YEAR(TODAY()),MONTH(TODAY()),1))),1,0))</f>
        <v/>
      </c>
    </row>
    <row r="342">
      <c r="A342" s="13">
        <f>IF(원생!$A340="","",원생!$A340&amp;IF(원생!$G340="",""," ("&amp;원생!$G340&amp;")"))</f>
        <v/>
      </c>
      <c r="B342" s="8">
        <f>IF(원생!$A340="","",N(원생!$F340))</f>
        <v/>
      </c>
      <c r="C342" s="14">
        <f>IF(원생!$A340="","",SUMIFS(계산!$C:$C,계산!$A:$A,계산!$E340,계산!$B:$B,$B$1*100+1))</f>
        <v/>
      </c>
      <c r="D342" s="14">
        <f>IF(원생!$A340="","",SUMIFS(계산!$C:$C,계산!$A:$A,계산!$E340,계산!$B:$B,$B$1*100+2))</f>
        <v/>
      </c>
      <c r="E342" s="14">
        <f>IF(원생!$A340="","",SUMIFS(계산!$C:$C,계산!$A:$A,계산!$E340,계산!$B:$B,$B$1*100+3))</f>
        <v/>
      </c>
      <c r="F342" s="14">
        <f>IF(원생!$A340="","",SUMIFS(계산!$C:$C,계산!$A:$A,계산!$E340,계산!$B:$B,$B$1*100+4))</f>
        <v/>
      </c>
      <c r="G342" s="14">
        <f>IF(원생!$A340="","",SUMIFS(계산!$C:$C,계산!$A:$A,계산!$E340,계산!$B:$B,$B$1*100+5))</f>
        <v/>
      </c>
      <c r="H342" s="14">
        <f>IF(원생!$A340="","",SUMIFS(계산!$C:$C,계산!$A:$A,계산!$E340,계산!$B:$B,$B$1*100+6))</f>
        <v/>
      </c>
      <c r="I342" s="14">
        <f>IF(원생!$A340="","",SUMIFS(계산!$C:$C,계산!$A:$A,계산!$E340,계산!$B:$B,$B$1*100+7))</f>
        <v/>
      </c>
      <c r="J342" s="14">
        <f>IF(원생!$A340="","",SUMIFS(계산!$C:$C,계산!$A:$A,계산!$E340,계산!$B:$B,$B$1*100+8))</f>
        <v/>
      </c>
      <c r="K342" s="14">
        <f>IF(원생!$A340="","",SUMIFS(계산!$C:$C,계산!$A:$A,계산!$E340,계산!$B:$B,$B$1*100+9))</f>
        <v/>
      </c>
      <c r="L342" s="14">
        <f>IF(원생!$A340="","",SUMIFS(계산!$C:$C,계산!$A:$A,계산!$E340,계산!$B:$B,$B$1*100+10))</f>
        <v/>
      </c>
      <c r="M342" s="14">
        <f>IF(원생!$A340="","",SUMIFS(계산!$C:$C,계산!$A:$A,계산!$E340,계산!$B:$B,$B$1*100+11))</f>
        <v/>
      </c>
      <c r="N342" s="14">
        <f>IF(원생!$A340="","",SUMIFS(계산!$C:$C,계산!$A:$A,계산!$E340,계산!$B:$B,$B$1*100+12))</f>
        <v/>
      </c>
      <c r="O342">
        <f>IF(원생!$I340="","",원생!$I340)</f>
        <v/>
      </c>
      <c r="P342">
        <f>IF($A342="","",IF(AND($B342&gt;0,C342&lt;$B342,DATE($B$1,1,1)&lt;=TODAY(),OR($O342="",$O342&gt;=DATE($B$1,1,1)),OR(COUNTIF($C342:C342,"&gt;0")&gt;0,DATE($B$1,1,1)=DATE(YEAR(TODAY()),MONTH(TODAY()),1))),1,0))</f>
        <v/>
      </c>
      <c r="Q342">
        <f>IF($A342="","",IF(AND($B342&gt;0,D342&lt;$B342,DATE($B$1,2,1)&lt;=TODAY(),OR($O342="",$O342&gt;=DATE($B$1,2,1)),OR(COUNTIF($C342:D342,"&gt;0")&gt;0,DATE($B$1,2,1)=DATE(YEAR(TODAY()),MONTH(TODAY()),1))),1,0))</f>
        <v/>
      </c>
      <c r="R342">
        <f>IF($A342="","",IF(AND($B342&gt;0,E342&lt;$B342,DATE($B$1,3,1)&lt;=TODAY(),OR($O342="",$O342&gt;=DATE($B$1,3,1)),OR(COUNTIF($C342:E342,"&gt;0")&gt;0,DATE($B$1,3,1)=DATE(YEAR(TODAY()),MONTH(TODAY()),1))),1,0))</f>
        <v/>
      </c>
      <c r="S342">
        <f>IF($A342="","",IF(AND($B342&gt;0,F342&lt;$B342,DATE($B$1,4,1)&lt;=TODAY(),OR($O342="",$O342&gt;=DATE($B$1,4,1)),OR(COUNTIF($C342:F342,"&gt;0")&gt;0,DATE($B$1,4,1)=DATE(YEAR(TODAY()),MONTH(TODAY()),1))),1,0))</f>
        <v/>
      </c>
      <c r="T342">
        <f>IF($A342="","",IF(AND($B342&gt;0,G342&lt;$B342,DATE($B$1,5,1)&lt;=TODAY(),OR($O342="",$O342&gt;=DATE($B$1,5,1)),OR(COUNTIF($C342:G342,"&gt;0")&gt;0,DATE($B$1,5,1)=DATE(YEAR(TODAY()),MONTH(TODAY()),1))),1,0))</f>
        <v/>
      </c>
      <c r="U342">
        <f>IF($A342="","",IF(AND($B342&gt;0,H342&lt;$B342,DATE($B$1,6,1)&lt;=TODAY(),OR($O342="",$O342&gt;=DATE($B$1,6,1)),OR(COUNTIF($C342:H342,"&gt;0")&gt;0,DATE($B$1,6,1)=DATE(YEAR(TODAY()),MONTH(TODAY()),1))),1,0))</f>
        <v/>
      </c>
      <c r="V342">
        <f>IF($A342="","",IF(AND($B342&gt;0,I342&lt;$B342,DATE($B$1,7,1)&lt;=TODAY(),OR($O342="",$O342&gt;=DATE($B$1,7,1)),OR(COUNTIF($C342:I342,"&gt;0")&gt;0,DATE($B$1,7,1)=DATE(YEAR(TODAY()),MONTH(TODAY()),1))),1,0))</f>
        <v/>
      </c>
      <c r="W342">
        <f>IF($A342="","",IF(AND($B342&gt;0,J342&lt;$B342,DATE($B$1,8,1)&lt;=TODAY(),OR($O342="",$O342&gt;=DATE($B$1,8,1)),OR(COUNTIF($C342:J342,"&gt;0")&gt;0,DATE($B$1,8,1)=DATE(YEAR(TODAY()),MONTH(TODAY()),1))),1,0))</f>
        <v/>
      </c>
      <c r="X342">
        <f>IF($A342="","",IF(AND($B342&gt;0,K342&lt;$B342,DATE($B$1,9,1)&lt;=TODAY(),OR($O342="",$O342&gt;=DATE($B$1,9,1)),OR(COUNTIF($C342:K342,"&gt;0")&gt;0,DATE($B$1,9,1)=DATE(YEAR(TODAY()),MONTH(TODAY()),1))),1,0))</f>
        <v/>
      </c>
      <c r="Y342">
        <f>IF($A342="","",IF(AND($B342&gt;0,L342&lt;$B342,DATE($B$1,10,1)&lt;=TODAY(),OR($O342="",$O342&gt;=DATE($B$1,10,1)),OR(COUNTIF($C342:L342,"&gt;0")&gt;0,DATE($B$1,10,1)=DATE(YEAR(TODAY()),MONTH(TODAY()),1))),1,0))</f>
        <v/>
      </c>
      <c r="Z342">
        <f>IF($A342="","",IF(AND($B342&gt;0,M342&lt;$B342,DATE($B$1,11,1)&lt;=TODAY(),OR($O342="",$O342&gt;=DATE($B$1,11,1)),OR(COUNTIF($C342:M342,"&gt;0")&gt;0,DATE($B$1,11,1)=DATE(YEAR(TODAY()),MONTH(TODAY()),1))),1,0))</f>
        <v/>
      </c>
      <c r="AA342">
        <f>IF($A342="","",IF(AND($B342&gt;0,N342&lt;$B342,DATE($B$1,12,1)&lt;=TODAY(),OR($O342="",$O342&gt;=DATE($B$1,12,1)),OR(COUNTIF($C342:N342,"&gt;0")&gt;0,DATE($B$1,12,1)=DATE(YEAR(TODAY()),MONTH(TODAY()),1))),1,0))</f>
        <v/>
      </c>
    </row>
    <row r="343">
      <c r="A343" s="13">
        <f>IF(원생!$A341="","",원생!$A341&amp;IF(원생!$G341="",""," ("&amp;원생!$G341&amp;")"))</f>
        <v/>
      </c>
      <c r="B343" s="8">
        <f>IF(원생!$A341="","",N(원생!$F341))</f>
        <v/>
      </c>
      <c r="C343" s="14">
        <f>IF(원생!$A341="","",SUMIFS(계산!$C:$C,계산!$A:$A,계산!$E341,계산!$B:$B,$B$1*100+1))</f>
        <v/>
      </c>
      <c r="D343" s="14">
        <f>IF(원생!$A341="","",SUMIFS(계산!$C:$C,계산!$A:$A,계산!$E341,계산!$B:$B,$B$1*100+2))</f>
        <v/>
      </c>
      <c r="E343" s="14">
        <f>IF(원생!$A341="","",SUMIFS(계산!$C:$C,계산!$A:$A,계산!$E341,계산!$B:$B,$B$1*100+3))</f>
        <v/>
      </c>
      <c r="F343" s="14">
        <f>IF(원생!$A341="","",SUMIFS(계산!$C:$C,계산!$A:$A,계산!$E341,계산!$B:$B,$B$1*100+4))</f>
        <v/>
      </c>
      <c r="G343" s="14">
        <f>IF(원생!$A341="","",SUMIFS(계산!$C:$C,계산!$A:$A,계산!$E341,계산!$B:$B,$B$1*100+5))</f>
        <v/>
      </c>
      <c r="H343" s="14">
        <f>IF(원생!$A341="","",SUMIFS(계산!$C:$C,계산!$A:$A,계산!$E341,계산!$B:$B,$B$1*100+6))</f>
        <v/>
      </c>
      <c r="I343" s="14">
        <f>IF(원생!$A341="","",SUMIFS(계산!$C:$C,계산!$A:$A,계산!$E341,계산!$B:$B,$B$1*100+7))</f>
        <v/>
      </c>
      <c r="J343" s="14">
        <f>IF(원생!$A341="","",SUMIFS(계산!$C:$C,계산!$A:$A,계산!$E341,계산!$B:$B,$B$1*100+8))</f>
        <v/>
      </c>
      <c r="K343" s="14">
        <f>IF(원생!$A341="","",SUMIFS(계산!$C:$C,계산!$A:$A,계산!$E341,계산!$B:$B,$B$1*100+9))</f>
        <v/>
      </c>
      <c r="L343" s="14">
        <f>IF(원생!$A341="","",SUMIFS(계산!$C:$C,계산!$A:$A,계산!$E341,계산!$B:$B,$B$1*100+10))</f>
        <v/>
      </c>
      <c r="M343" s="14">
        <f>IF(원생!$A341="","",SUMIFS(계산!$C:$C,계산!$A:$A,계산!$E341,계산!$B:$B,$B$1*100+11))</f>
        <v/>
      </c>
      <c r="N343" s="14">
        <f>IF(원생!$A341="","",SUMIFS(계산!$C:$C,계산!$A:$A,계산!$E341,계산!$B:$B,$B$1*100+12))</f>
        <v/>
      </c>
      <c r="O343">
        <f>IF(원생!$I341="","",원생!$I341)</f>
        <v/>
      </c>
      <c r="P343">
        <f>IF($A343="","",IF(AND($B343&gt;0,C343&lt;$B343,DATE($B$1,1,1)&lt;=TODAY(),OR($O343="",$O343&gt;=DATE($B$1,1,1)),OR(COUNTIF($C343:C343,"&gt;0")&gt;0,DATE($B$1,1,1)=DATE(YEAR(TODAY()),MONTH(TODAY()),1))),1,0))</f>
        <v/>
      </c>
      <c r="Q343">
        <f>IF($A343="","",IF(AND($B343&gt;0,D343&lt;$B343,DATE($B$1,2,1)&lt;=TODAY(),OR($O343="",$O343&gt;=DATE($B$1,2,1)),OR(COUNTIF($C343:D343,"&gt;0")&gt;0,DATE($B$1,2,1)=DATE(YEAR(TODAY()),MONTH(TODAY()),1))),1,0))</f>
        <v/>
      </c>
      <c r="R343">
        <f>IF($A343="","",IF(AND($B343&gt;0,E343&lt;$B343,DATE($B$1,3,1)&lt;=TODAY(),OR($O343="",$O343&gt;=DATE($B$1,3,1)),OR(COUNTIF($C343:E343,"&gt;0")&gt;0,DATE($B$1,3,1)=DATE(YEAR(TODAY()),MONTH(TODAY()),1))),1,0))</f>
        <v/>
      </c>
      <c r="S343">
        <f>IF($A343="","",IF(AND($B343&gt;0,F343&lt;$B343,DATE($B$1,4,1)&lt;=TODAY(),OR($O343="",$O343&gt;=DATE($B$1,4,1)),OR(COUNTIF($C343:F343,"&gt;0")&gt;0,DATE($B$1,4,1)=DATE(YEAR(TODAY()),MONTH(TODAY()),1))),1,0))</f>
        <v/>
      </c>
      <c r="T343">
        <f>IF($A343="","",IF(AND($B343&gt;0,G343&lt;$B343,DATE($B$1,5,1)&lt;=TODAY(),OR($O343="",$O343&gt;=DATE($B$1,5,1)),OR(COUNTIF($C343:G343,"&gt;0")&gt;0,DATE($B$1,5,1)=DATE(YEAR(TODAY()),MONTH(TODAY()),1))),1,0))</f>
        <v/>
      </c>
      <c r="U343">
        <f>IF($A343="","",IF(AND($B343&gt;0,H343&lt;$B343,DATE($B$1,6,1)&lt;=TODAY(),OR($O343="",$O343&gt;=DATE($B$1,6,1)),OR(COUNTIF($C343:H343,"&gt;0")&gt;0,DATE($B$1,6,1)=DATE(YEAR(TODAY()),MONTH(TODAY()),1))),1,0))</f>
        <v/>
      </c>
      <c r="V343">
        <f>IF($A343="","",IF(AND($B343&gt;0,I343&lt;$B343,DATE($B$1,7,1)&lt;=TODAY(),OR($O343="",$O343&gt;=DATE($B$1,7,1)),OR(COUNTIF($C343:I343,"&gt;0")&gt;0,DATE($B$1,7,1)=DATE(YEAR(TODAY()),MONTH(TODAY()),1))),1,0))</f>
        <v/>
      </c>
      <c r="W343">
        <f>IF($A343="","",IF(AND($B343&gt;0,J343&lt;$B343,DATE($B$1,8,1)&lt;=TODAY(),OR($O343="",$O343&gt;=DATE($B$1,8,1)),OR(COUNTIF($C343:J343,"&gt;0")&gt;0,DATE($B$1,8,1)=DATE(YEAR(TODAY()),MONTH(TODAY()),1))),1,0))</f>
        <v/>
      </c>
      <c r="X343">
        <f>IF($A343="","",IF(AND($B343&gt;0,K343&lt;$B343,DATE($B$1,9,1)&lt;=TODAY(),OR($O343="",$O343&gt;=DATE($B$1,9,1)),OR(COUNTIF($C343:K343,"&gt;0")&gt;0,DATE($B$1,9,1)=DATE(YEAR(TODAY()),MONTH(TODAY()),1))),1,0))</f>
        <v/>
      </c>
      <c r="Y343">
        <f>IF($A343="","",IF(AND($B343&gt;0,L343&lt;$B343,DATE($B$1,10,1)&lt;=TODAY(),OR($O343="",$O343&gt;=DATE($B$1,10,1)),OR(COUNTIF($C343:L343,"&gt;0")&gt;0,DATE($B$1,10,1)=DATE(YEAR(TODAY()),MONTH(TODAY()),1))),1,0))</f>
        <v/>
      </c>
      <c r="Z343">
        <f>IF($A343="","",IF(AND($B343&gt;0,M343&lt;$B343,DATE($B$1,11,1)&lt;=TODAY(),OR($O343="",$O343&gt;=DATE($B$1,11,1)),OR(COUNTIF($C343:M343,"&gt;0")&gt;0,DATE($B$1,11,1)=DATE(YEAR(TODAY()),MONTH(TODAY()),1))),1,0))</f>
        <v/>
      </c>
      <c r="AA343">
        <f>IF($A343="","",IF(AND($B343&gt;0,N343&lt;$B343,DATE($B$1,12,1)&lt;=TODAY(),OR($O343="",$O343&gt;=DATE($B$1,12,1)),OR(COUNTIF($C343:N343,"&gt;0")&gt;0,DATE($B$1,12,1)=DATE(YEAR(TODAY()),MONTH(TODAY()),1))),1,0))</f>
        <v/>
      </c>
    </row>
    <row r="344">
      <c r="A344" s="13">
        <f>IF(원생!$A342="","",원생!$A342&amp;IF(원생!$G342="",""," ("&amp;원생!$G342&amp;")"))</f>
        <v/>
      </c>
      <c r="B344" s="8">
        <f>IF(원생!$A342="","",N(원생!$F342))</f>
        <v/>
      </c>
      <c r="C344" s="14">
        <f>IF(원생!$A342="","",SUMIFS(계산!$C:$C,계산!$A:$A,계산!$E342,계산!$B:$B,$B$1*100+1))</f>
        <v/>
      </c>
      <c r="D344" s="14">
        <f>IF(원생!$A342="","",SUMIFS(계산!$C:$C,계산!$A:$A,계산!$E342,계산!$B:$B,$B$1*100+2))</f>
        <v/>
      </c>
      <c r="E344" s="14">
        <f>IF(원생!$A342="","",SUMIFS(계산!$C:$C,계산!$A:$A,계산!$E342,계산!$B:$B,$B$1*100+3))</f>
        <v/>
      </c>
      <c r="F344" s="14">
        <f>IF(원생!$A342="","",SUMIFS(계산!$C:$C,계산!$A:$A,계산!$E342,계산!$B:$B,$B$1*100+4))</f>
        <v/>
      </c>
      <c r="G344" s="14">
        <f>IF(원생!$A342="","",SUMIFS(계산!$C:$C,계산!$A:$A,계산!$E342,계산!$B:$B,$B$1*100+5))</f>
        <v/>
      </c>
      <c r="H344" s="14">
        <f>IF(원생!$A342="","",SUMIFS(계산!$C:$C,계산!$A:$A,계산!$E342,계산!$B:$B,$B$1*100+6))</f>
        <v/>
      </c>
      <c r="I344" s="14">
        <f>IF(원생!$A342="","",SUMIFS(계산!$C:$C,계산!$A:$A,계산!$E342,계산!$B:$B,$B$1*100+7))</f>
        <v/>
      </c>
      <c r="J344" s="14">
        <f>IF(원생!$A342="","",SUMIFS(계산!$C:$C,계산!$A:$A,계산!$E342,계산!$B:$B,$B$1*100+8))</f>
        <v/>
      </c>
      <c r="K344" s="14">
        <f>IF(원생!$A342="","",SUMIFS(계산!$C:$C,계산!$A:$A,계산!$E342,계산!$B:$B,$B$1*100+9))</f>
        <v/>
      </c>
      <c r="L344" s="14">
        <f>IF(원생!$A342="","",SUMIFS(계산!$C:$C,계산!$A:$A,계산!$E342,계산!$B:$B,$B$1*100+10))</f>
        <v/>
      </c>
      <c r="M344" s="14">
        <f>IF(원생!$A342="","",SUMIFS(계산!$C:$C,계산!$A:$A,계산!$E342,계산!$B:$B,$B$1*100+11))</f>
        <v/>
      </c>
      <c r="N344" s="14">
        <f>IF(원생!$A342="","",SUMIFS(계산!$C:$C,계산!$A:$A,계산!$E342,계산!$B:$B,$B$1*100+12))</f>
        <v/>
      </c>
      <c r="O344">
        <f>IF(원생!$I342="","",원생!$I342)</f>
        <v/>
      </c>
      <c r="P344">
        <f>IF($A344="","",IF(AND($B344&gt;0,C344&lt;$B344,DATE($B$1,1,1)&lt;=TODAY(),OR($O344="",$O344&gt;=DATE($B$1,1,1)),OR(COUNTIF($C344:C344,"&gt;0")&gt;0,DATE($B$1,1,1)=DATE(YEAR(TODAY()),MONTH(TODAY()),1))),1,0))</f>
        <v/>
      </c>
      <c r="Q344">
        <f>IF($A344="","",IF(AND($B344&gt;0,D344&lt;$B344,DATE($B$1,2,1)&lt;=TODAY(),OR($O344="",$O344&gt;=DATE($B$1,2,1)),OR(COUNTIF($C344:D344,"&gt;0")&gt;0,DATE($B$1,2,1)=DATE(YEAR(TODAY()),MONTH(TODAY()),1))),1,0))</f>
        <v/>
      </c>
      <c r="R344">
        <f>IF($A344="","",IF(AND($B344&gt;0,E344&lt;$B344,DATE($B$1,3,1)&lt;=TODAY(),OR($O344="",$O344&gt;=DATE($B$1,3,1)),OR(COUNTIF($C344:E344,"&gt;0")&gt;0,DATE($B$1,3,1)=DATE(YEAR(TODAY()),MONTH(TODAY()),1))),1,0))</f>
        <v/>
      </c>
      <c r="S344">
        <f>IF($A344="","",IF(AND($B344&gt;0,F344&lt;$B344,DATE($B$1,4,1)&lt;=TODAY(),OR($O344="",$O344&gt;=DATE($B$1,4,1)),OR(COUNTIF($C344:F344,"&gt;0")&gt;0,DATE($B$1,4,1)=DATE(YEAR(TODAY()),MONTH(TODAY()),1))),1,0))</f>
        <v/>
      </c>
      <c r="T344">
        <f>IF($A344="","",IF(AND($B344&gt;0,G344&lt;$B344,DATE($B$1,5,1)&lt;=TODAY(),OR($O344="",$O344&gt;=DATE($B$1,5,1)),OR(COUNTIF($C344:G344,"&gt;0")&gt;0,DATE($B$1,5,1)=DATE(YEAR(TODAY()),MONTH(TODAY()),1))),1,0))</f>
        <v/>
      </c>
      <c r="U344">
        <f>IF($A344="","",IF(AND($B344&gt;0,H344&lt;$B344,DATE($B$1,6,1)&lt;=TODAY(),OR($O344="",$O344&gt;=DATE($B$1,6,1)),OR(COUNTIF($C344:H344,"&gt;0")&gt;0,DATE($B$1,6,1)=DATE(YEAR(TODAY()),MONTH(TODAY()),1))),1,0))</f>
        <v/>
      </c>
      <c r="V344">
        <f>IF($A344="","",IF(AND($B344&gt;0,I344&lt;$B344,DATE($B$1,7,1)&lt;=TODAY(),OR($O344="",$O344&gt;=DATE($B$1,7,1)),OR(COUNTIF($C344:I344,"&gt;0")&gt;0,DATE($B$1,7,1)=DATE(YEAR(TODAY()),MONTH(TODAY()),1))),1,0))</f>
        <v/>
      </c>
      <c r="W344">
        <f>IF($A344="","",IF(AND($B344&gt;0,J344&lt;$B344,DATE($B$1,8,1)&lt;=TODAY(),OR($O344="",$O344&gt;=DATE($B$1,8,1)),OR(COUNTIF($C344:J344,"&gt;0")&gt;0,DATE($B$1,8,1)=DATE(YEAR(TODAY()),MONTH(TODAY()),1))),1,0))</f>
        <v/>
      </c>
      <c r="X344">
        <f>IF($A344="","",IF(AND($B344&gt;0,K344&lt;$B344,DATE($B$1,9,1)&lt;=TODAY(),OR($O344="",$O344&gt;=DATE($B$1,9,1)),OR(COUNTIF($C344:K344,"&gt;0")&gt;0,DATE($B$1,9,1)=DATE(YEAR(TODAY()),MONTH(TODAY()),1))),1,0))</f>
        <v/>
      </c>
      <c r="Y344">
        <f>IF($A344="","",IF(AND($B344&gt;0,L344&lt;$B344,DATE($B$1,10,1)&lt;=TODAY(),OR($O344="",$O344&gt;=DATE($B$1,10,1)),OR(COUNTIF($C344:L344,"&gt;0")&gt;0,DATE($B$1,10,1)=DATE(YEAR(TODAY()),MONTH(TODAY()),1))),1,0))</f>
        <v/>
      </c>
      <c r="Z344">
        <f>IF($A344="","",IF(AND($B344&gt;0,M344&lt;$B344,DATE($B$1,11,1)&lt;=TODAY(),OR($O344="",$O344&gt;=DATE($B$1,11,1)),OR(COUNTIF($C344:M344,"&gt;0")&gt;0,DATE($B$1,11,1)=DATE(YEAR(TODAY()),MONTH(TODAY()),1))),1,0))</f>
        <v/>
      </c>
      <c r="AA344">
        <f>IF($A344="","",IF(AND($B344&gt;0,N344&lt;$B344,DATE($B$1,12,1)&lt;=TODAY(),OR($O344="",$O344&gt;=DATE($B$1,12,1)),OR(COUNTIF($C344:N344,"&gt;0")&gt;0,DATE($B$1,12,1)=DATE(YEAR(TODAY()),MONTH(TODAY()),1))),1,0))</f>
        <v/>
      </c>
    </row>
    <row r="345">
      <c r="A345" s="13">
        <f>IF(원생!$A343="","",원생!$A343&amp;IF(원생!$G343="",""," ("&amp;원생!$G343&amp;")"))</f>
        <v/>
      </c>
      <c r="B345" s="8">
        <f>IF(원생!$A343="","",N(원생!$F343))</f>
        <v/>
      </c>
      <c r="C345" s="14">
        <f>IF(원생!$A343="","",SUMIFS(계산!$C:$C,계산!$A:$A,계산!$E343,계산!$B:$B,$B$1*100+1))</f>
        <v/>
      </c>
      <c r="D345" s="14">
        <f>IF(원생!$A343="","",SUMIFS(계산!$C:$C,계산!$A:$A,계산!$E343,계산!$B:$B,$B$1*100+2))</f>
        <v/>
      </c>
      <c r="E345" s="14">
        <f>IF(원생!$A343="","",SUMIFS(계산!$C:$C,계산!$A:$A,계산!$E343,계산!$B:$B,$B$1*100+3))</f>
        <v/>
      </c>
      <c r="F345" s="14">
        <f>IF(원생!$A343="","",SUMIFS(계산!$C:$C,계산!$A:$A,계산!$E343,계산!$B:$B,$B$1*100+4))</f>
        <v/>
      </c>
      <c r="G345" s="14">
        <f>IF(원생!$A343="","",SUMIFS(계산!$C:$C,계산!$A:$A,계산!$E343,계산!$B:$B,$B$1*100+5))</f>
        <v/>
      </c>
      <c r="H345" s="14">
        <f>IF(원생!$A343="","",SUMIFS(계산!$C:$C,계산!$A:$A,계산!$E343,계산!$B:$B,$B$1*100+6))</f>
        <v/>
      </c>
      <c r="I345" s="14">
        <f>IF(원생!$A343="","",SUMIFS(계산!$C:$C,계산!$A:$A,계산!$E343,계산!$B:$B,$B$1*100+7))</f>
        <v/>
      </c>
      <c r="J345" s="14">
        <f>IF(원생!$A343="","",SUMIFS(계산!$C:$C,계산!$A:$A,계산!$E343,계산!$B:$B,$B$1*100+8))</f>
        <v/>
      </c>
      <c r="K345" s="14">
        <f>IF(원생!$A343="","",SUMIFS(계산!$C:$C,계산!$A:$A,계산!$E343,계산!$B:$B,$B$1*100+9))</f>
        <v/>
      </c>
      <c r="L345" s="14">
        <f>IF(원생!$A343="","",SUMIFS(계산!$C:$C,계산!$A:$A,계산!$E343,계산!$B:$B,$B$1*100+10))</f>
        <v/>
      </c>
      <c r="M345" s="14">
        <f>IF(원생!$A343="","",SUMIFS(계산!$C:$C,계산!$A:$A,계산!$E343,계산!$B:$B,$B$1*100+11))</f>
        <v/>
      </c>
      <c r="N345" s="14">
        <f>IF(원생!$A343="","",SUMIFS(계산!$C:$C,계산!$A:$A,계산!$E343,계산!$B:$B,$B$1*100+12))</f>
        <v/>
      </c>
      <c r="O345">
        <f>IF(원생!$I343="","",원생!$I343)</f>
        <v/>
      </c>
      <c r="P345">
        <f>IF($A345="","",IF(AND($B345&gt;0,C345&lt;$B345,DATE($B$1,1,1)&lt;=TODAY(),OR($O345="",$O345&gt;=DATE($B$1,1,1)),OR(COUNTIF($C345:C345,"&gt;0")&gt;0,DATE($B$1,1,1)=DATE(YEAR(TODAY()),MONTH(TODAY()),1))),1,0))</f>
        <v/>
      </c>
      <c r="Q345">
        <f>IF($A345="","",IF(AND($B345&gt;0,D345&lt;$B345,DATE($B$1,2,1)&lt;=TODAY(),OR($O345="",$O345&gt;=DATE($B$1,2,1)),OR(COUNTIF($C345:D345,"&gt;0")&gt;0,DATE($B$1,2,1)=DATE(YEAR(TODAY()),MONTH(TODAY()),1))),1,0))</f>
        <v/>
      </c>
      <c r="R345">
        <f>IF($A345="","",IF(AND($B345&gt;0,E345&lt;$B345,DATE($B$1,3,1)&lt;=TODAY(),OR($O345="",$O345&gt;=DATE($B$1,3,1)),OR(COUNTIF($C345:E345,"&gt;0")&gt;0,DATE($B$1,3,1)=DATE(YEAR(TODAY()),MONTH(TODAY()),1))),1,0))</f>
        <v/>
      </c>
      <c r="S345">
        <f>IF($A345="","",IF(AND($B345&gt;0,F345&lt;$B345,DATE($B$1,4,1)&lt;=TODAY(),OR($O345="",$O345&gt;=DATE($B$1,4,1)),OR(COUNTIF($C345:F345,"&gt;0")&gt;0,DATE($B$1,4,1)=DATE(YEAR(TODAY()),MONTH(TODAY()),1))),1,0))</f>
        <v/>
      </c>
      <c r="T345">
        <f>IF($A345="","",IF(AND($B345&gt;0,G345&lt;$B345,DATE($B$1,5,1)&lt;=TODAY(),OR($O345="",$O345&gt;=DATE($B$1,5,1)),OR(COUNTIF($C345:G345,"&gt;0")&gt;0,DATE($B$1,5,1)=DATE(YEAR(TODAY()),MONTH(TODAY()),1))),1,0))</f>
        <v/>
      </c>
      <c r="U345">
        <f>IF($A345="","",IF(AND($B345&gt;0,H345&lt;$B345,DATE($B$1,6,1)&lt;=TODAY(),OR($O345="",$O345&gt;=DATE($B$1,6,1)),OR(COUNTIF($C345:H345,"&gt;0")&gt;0,DATE($B$1,6,1)=DATE(YEAR(TODAY()),MONTH(TODAY()),1))),1,0))</f>
        <v/>
      </c>
      <c r="V345">
        <f>IF($A345="","",IF(AND($B345&gt;0,I345&lt;$B345,DATE($B$1,7,1)&lt;=TODAY(),OR($O345="",$O345&gt;=DATE($B$1,7,1)),OR(COUNTIF($C345:I345,"&gt;0")&gt;0,DATE($B$1,7,1)=DATE(YEAR(TODAY()),MONTH(TODAY()),1))),1,0))</f>
        <v/>
      </c>
      <c r="W345">
        <f>IF($A345="","",IF(AND($B345&gt;0,J345&lt;$B345,DATE($B$1,8,1)&lt;=TODAY(),OR($O345="",$O345&gt;=DATE($B$1,8,1)),OR(COUNTIF($C345:J345,"&gt;0")&gt;0,DATE($B$1,8,1)=DATE(YEAR(TODAY()),MONTH(TODAY()),1))),1,0))</f>
        <v/>
      </c>
      <c r="X345">
        <f>IF($A345="","",IF(AND($B345&gt;0,K345&lt;$B345,DATE($B$1,9,1)&lt;=TODAY(),OR($O345="",$O345&gt;=DATE($B$1,9,1)),OR(COUNTIF($C345:K345,"&gt;0")&gt;0,DATE($B$1,9,1)=DATE(YEAR(TODAY()),MONTH(TODAY()),1))),1,0))</f>
        <v/>
      </c>
      <c r="Y345">
        <f>IF($A345="","",IF(AND($B345&gt;0,L345&lt;$B345,DATE($B$1,10,1)&lt;=TODAY(),OR($O345="",$O345&gt;=DATE($B$1,10,1)),OR(COUNTIF($C345:L345,"&gt;0")&gt;0,DATE($B$1,10,1)=DATE(YEAR(TODAY()),MONTH(TODAY()),1))),1,0))</f>
        <v/>
      </c>
      <c r="Z345">
        <f>IF($A345="","",IF(AND($B345&gt;0,M345&lt;$B345,DATE($B$1,11,1)&lt;=TODAY(),OR($O345="",$O345&gt;=DATE($B$1,11,1)),OR(COUNTIF($C345:M345,"&gt;0")&gt;0,DATE($B$1,11,1)=DATE(YEAR(TODAY()),MONTH(TODAY()),1))),1,0))</f>
        <v/>
      </c>
      <c r="AA345">
        <f>IF($A345="","",IF(AND($B345&gt;0,N345&lt;$B345,DATE($B$1,12,1)&lt;=TODAY(),OR($O345="",$O345&gt;=DATE($B$1,12,1)),OR(COUNTIF($C345:N345,"&gt;0")&gt;0,DATE($B$1,12,1)=DATE(YEAR(TODAY()),MONTH(TODAY()),1))),1,0))</f>
        <v/>
      </c>
    </row>
    <row r="346">
      <c r="A346" s="13">
        <f>IF(원생!$A344="","",원생!$A344&amp;IF(원생!$G344="",""," ("&amp;원생!$G344&amp;")"))</f>
        <v/>
      </c>
      <c r="B346" s="8">
        <f>IF(원생!$A344="","",N(원생!$F344))</f>
        <v/>
      </c>
      <c r="C346" s="14">
        <f>IF(원생!$A344="","",SUMIFS(계산!$C:$C,계산!$A:$A,계산!$E344,계산!$B:$B,$B$1*100+1))</f>
        <v/>
      </c>
      <c r="D346" s="14">
        <f>IF(원생!$A344="","",SUMIFS(계산!$C:$C,계산!$A:$A,계산!$E344,계산!$B:$B,$B$1*100+2))</f>
        <v/>
      </c>
      <c r="E346" s="14">
        <f>IF(원생!$A344="","",SUMIFS(계산!$C:$C,계산!$A:$A,계산!$E344,계산!$B:$B,$B$1*100+3))</f>
        <v/>
      </c>
      <c r="F346" s="14">
        <f>IF(원생!$A344="","",SUMIFS(계산!$C:$C,계산!$A:$A,계산!$E344,계산!$B:$B,$B$1*100+4))</f>
        <v/>
      </c>
      <c r="G346" s="14">
        <f>IF(원생!$A344="","",SUMIFS(계산!$C:$C,계산!$A:$A,계산!$E344,계산!$B:$B,$B$1*100+5))</f>
        <v/>
      </c>
      <c r="H346" s="14">
        <f>IF(원생!$A344="","",SUMIFS(계산!$C:$C,계산!$A:$A,계산!$E344,계산!$B:$B,$B$1*100+6))</f>
        <v/>
      </c>
      <c r="I346" s="14">
        <f>IF(원생!$A344="","",SUMIFS(계산!$C:$C,계산!$A:$A,계산!$E344,계산!$B:$B,$B$1*100+7))</f>
        <v/>
      </c>
      <c r="J346" s="14">
        <f>IF(원생!$A344="","",SUMIFS(계산!$C:$C,계산!$A:$A,계산!$E344,계산!$B:$B,$B$1*100+8))</f>
        <v/>
      </c>
      <c r="K346" s="14">
        <f>IF(원생!$A344="","",SUMIFS(계산!$C:$C,계산!$A:$A,계산!$E344,계산!$B:$B,$B$1*100+9))</f>
        <v/>
      </c>
      <c r="L346" s="14">
        <f>IF(원생!$A344="","",SUMIFS(계산!$C:$C,계산!$A:$A,계산!$E344,계산!$B:$B,$B$1*100+10))</f>
        <v/>
      </c>
      <c r="M346" s="14">
        <f>IF(원생!$A344="","",SUMIFS(계산!$C:$C,계산!$A:$A,계산!$E344,계산!$B:$B,$B$1*100+11))</f>
        <v/>
      </c>
      <c r="N346" s="14">
        <f>IF(원생!$A344="","",SUMIFS(계산!$C:$C,계산!$A:$A,계산!$E344,계산!$B:$B,$B$1*100+12))</f>
        <v/>
      </c>
      <c r="O346">
        <f>IF(원생!$I344="","",원생!$I344)</f>
        <v/>
      </c>
      <c r="P346">
        <f>IF($A346="","",IF(AND($B346&gt;0,C346&lt;$B346,DATE($B$1,1,1)&lt;=TODAY(),OR($O346="",$O346&gt;=DATE($B$1,1,1)),OR(COUNTIF($C346:C346,"&gt;0")&gt;0,DATE($B$1,1,1)=DATE(YEAR(TODAY()),MONTH(TODAY()),1))),1,0))</f>
        <v/>
      </c>
      <c r="Q346">
        <f>IF($A346="","",IF(AND($B346&gt;0,D346&lt;$B346,DATE($B$1,2,1)&lt;=TODAY(),OR($O346="",$O346&gt;=DATE($B$1,2,1)),OR(COUNTIF($C346:D346,"&gt;0")&gt;0,DATE($B$1,2,1)=DATE(YEAR(TODAY()),MONTH(TODAY()),1))),1,0))</f>
        <v/>
      </c>
      <c r="R346">
        <f>IF($A346="","",IF(AND($B346&gt;0,E346&lt;$B346,DATE($B$1,3,1)&lt;=TODAY(),OR($O346="",$O346&gt;=DATE($B$1,3,1)),OR(COUNTIF($C346:E346,"&gt;0")&gt;0,DATE($B$1,3,1)=DATE(YEAR(TODAY()),MONTH(TODAY()),1))),1,0))</f>
        <v/>
      </c>
      <c r="S346">
        <f>IF($A346="","",IF(AND($B346&gt;0,F346&lt;$B346,DATE($B$1,4,1)&lt;=TODAY(),OR($O346="",$O346&gt;=DATE($B$1,4,1)),OR(COUNTIF($C346:F346,"&gt;0")&gt;0,DATE($B$1,4,1)=DATE(YEAR(TODAY()),MONTH(TODAY()),1))),1,0))</f>
        <v/>
      </c>
      <c r="T346">
        <f>IF($A346="","",IF(AND($B346&gt;0,G346&lt;$B346,DATE($B$1,5,1)&lt;=TODAY(),OR($O346="",$O346&gt;=DATE($B$1,5,1)),OR(COUNTIF($C346:G346,"&gt;0")&gt;0,DATE($B$1,5,1)=DATE(YEAR(TODAY()),MONTH(TODAY()),1))),1,0))</f>
        <v/>
      </c>
      <c r="U346">
        <f>IF($A346="","",IF(AND($B346&gt;0,H346&lt;$B346,DATE($B$1,6,1)&lt;=TODAY(),OR($O346="",$O346&gt;=DATE($B$1,6,1)),OR(COUNTIF($C346:H346,"&gt;0")&gt;0,DATE($B$1,6,1)=DATE(YEAR(TODAY()),MONTH(TODAY()),1))),1,0))</f>
        <v/>
      </c>
      <c r="V346">
        <f>IF($A346="","",IF(AND($B346&gt;0,I346&lt;$B346,DATE($B$1,7,1)&lt;=TODAY(),OR($O346="",$O346&gt;=DATE($B$1,7,1)),OR(COUNTIF($C346:I346,"&gt;0")&gt;0,DATE($B$1,7,1)=DATE(YEAR(TODAY()),MONTH(TODAY()),1))),1,0))</f>
        <v/>
      </c>
      <c r="W346">
        <f>IF($A346="","",IF(AND($B346&gt;0,J346&lt;$B346,DATE($B$1,8,1)&lt;=TODAY(),OR($O346="",$O346&gt;=DATE($B$1,8,1)),OR(COUNTIF($C346:J346,"&gt;0")&gt;0,DATE($B$1,8,1)=DATE(YEAR(TODAY()),MONTH(TODAY()),1))),1,0))</f>
        <v/>
      </c>
      <c r="X346">
        <f>IF($A346="","",IF(AND($B346&gt;0,K346&lt;$B346,DATE($B$1,9,1)&lt;=TODAY(),OR($O346="",$O346&gt;=DATE($B$1,9,1)),OR(COUNTIF($C346:K346,"&gt;0")&gt;0,DATE($B$1,9,1)=DATE(YEAR(TODAY()),MONTH(TODAY()),1))),1,0))</f>
        <v/>
      </c>
      <c r="Y346">
        <f>IF($A346="","",IF(AND($B346&gt;0,L346&lt;$B346,DATE($B$1,10,1)&lt;=TODAY(),OR($O346="",$O346&gt;=DATE($B$1,10,1)),OR(COUNTIF($C346:L346,"&gt;0")&gt;0,DATE($B$1,10,1)=DATE(YEAR(TODAY()),MONTH(TODAY()),1))),1,0))</f>
        <v/>
      </c>
      <c r="Z346">
        <f>IF($A346="","",IF(AND($B346&gt;0,M346&lt;$B346,DATE($B$1,11,1)&lt;=TODAY(),OR($O346="",$O346&gt;=DATE($B$1,11,1)),OR(COUNTIF($C346:M346,"&gt;0")&gt;0,DATE($B$1,11,1)=DATE(YEAR(TODAY()),MONTH(TODAY()),1))),1,0))</f>
        <v/>
      </c>
      <c r="AA346">
        <f>IF($A346="","",IF(AND($B346&gt;0,N346&lt;$B346,DATE($B$1,12,1)&lt;=TODAY(),OR($O346="",$O346&gt;=DATE($B$1,12,1)),OR(COUNTIF($C346:N346,"&gt;0")&gt;0,DATE($B$1,12,1)=DATE(YEAR(TODAY()),MONTH(TODAY()),1))),1,0))</f>
        <v/>
      </c>
    </row>
    <row r="347">
      <c r="A347" s="13">
        <f>IF(원생!$A345="","",원생!$A345&amp;IF(원생!$G345="",""," ("&amp;원생!$G345&amp;")"))</f>
        <v/>
      </c>
      <c r="B347" s="8">
        <f>IF(원생!$A345="","",N(원생!$F345))</f>
        <v/>
      </c>
      <c r="C347" s="14">
        <f>IF(원생!$A345="","",SUMIFS(계산!$C:$C,계산!$A:$A,계산!$E345,계산!$B:$B,$B$1*100+1))</f>
        <v/>
      </c>
      <c r="D347" s="14">
        <f>IF(원생!$A345="","",SUMIFS(계산!$C:$C,계산!$A:$A,계산!$E345,계산!$B:$B,$B$1*100+2))</f>
        <v/>
      </c>
      <c r="E347" s="14">
        <f>IF(원생!$A345="","",SUMIFS(계산!$C:$C,계산!$A:$A,계산!$E345,계산!$B:$B,$B$1*100+3))</f>
        <v/>
      </c>
      <c r="F347" s="14">
        <f>IF(원생!$A345="","",SUMIFS(계산!$C:$C,계산!$A:$A,계산!$E345,계산!$B:$B,$B$1*100+4))</f>
        <v/>
      </c>
      <c r="G347" s="14">
        <f>IF(원생!$A345="","",SUMIFS(계산!$C:$C,계산!$A:$A,계산!$E345,계산!$B:$B,$B$1*100+5))</f>
        <v/>
      </c>
      <c r="H347" s="14">
        <f>IF(원생!$A345="","",SUMIFS(계산!$C:$C,계산!$A:$A,계산!$E345,계산!$B:$B,$B$1*100+6))</f>
        <v/>
      </c>
      <c r="I347" s="14">
        <f>IF(원생!$A345="","",SUMIFS(계산!$C:$C,계산!$A:$A,계산!$E345,계산!$B:$B,$B$1*100+7))</f>
        <v/>
      </c>
      <c r="J347" s="14">
        <f>IF(원생!$A345="","",SUMIFS(계산!$C:$C,계산!$A:$A,계산!$E345,계산!$B:$B,$B$1*100+8))</f>
        <v/>
      </c>
      <c r="K347" s="14">
        <f>IF(원생!$A345="","",SUMIFS(계산!$C:$C,계산!$A:$A,계산!$E345,계산!$B:$B,$B$1*100+9))</f>
        <v/>
      </c>
      <c r="L347" s="14">
        <f>IF(원생!$A345="","",SUMIFS(계산!$C:$C,계산!$A:$A,계산!$E345,계산!$B:$B,$B$1*100+10))</f>
        <v/>
      </c>
      <c r="M347" s="14">
        <f>IF(원생!$A345="","",SUMIFS(계산!$C:$C,계산!$A:$A,계산!$E345,계산!$B:$B,$B$1*100+11))</f>
        <v/>
      </c>
      <c r="N347" s="14">
        <f>IF(원생!$A345="","",SUMIFS(계산!$C:$C,계산!$A:$A,계산!$E345,계산!$B:$B,$B$1*100+12))</f>
        <v/>
      </c>
      <c r="O347">
        <f>IF(원생!$I345="","",원생!$I345)</f>
        <v/>
      </c>
      <c r="P347">
        <f>IF($A347="","",IF(AND($B347&gt;0,C347&lt;$B347,DATE($B$1,1,1)&lt;=TODAY(),OR($O347="",$O347&gt;=DATE($B$1,1,1)),OR(COUNTIF($C347:C347,"&gt;0")&gt;0,DATE($B$1,1,1)=DATE(YEAR(TODAY()),MONTH(TODAY()),1))),1,0))</f>
        <v/>
      </c>
      <c r="Q347">
        <f>IF($A347="","",IF(AND($B347&gt;0,D347&lt;$B347,DATE($B$1,2,1)&lt;=TODAY(),OR($O347="",$O347&gt;=DATE($B$1,2,1)),OR(COUNTIF($C347:D347,"&gt;0")&gt;0,DATE($B$1,2,1)=DATE(YEAR(TODAY()),MONTH(TODAY()),1))),1,0))</f>
        <v/>
      </c>
      <c r="R347">
        <f>IF($A347="","",IF(AND($B347&gt;0,E347&lt;$B347,DATE($B$1,3,1)&lt;=TODAY(),OR($O347="",$O347&gt;=DATE($B$1,3,1)),OR(COUNTIF($C347:E347,"&gt;0")&gt;0,DATE($B$1,3,1)=DATE(YEAR(TODAY()),MONTH(TODAY()),1))),1,0))</f>
        <v/>
      </c>
      <c r="S347">
        <f>IF($A347="","",IF(AND($B347&gt;0,F347&lt;$B347,DATE($B$1,4,1)&lt;=TODAY(),OR($O347="",$O347&gt;=DATE($B$1,4,1)),OR(COUNTIF($C347:F347,"&gt;0")&gt;0,DATE($B$1,4,1)=DATE(YEAR(TODAY()),MONTH(TODAY()),1))),1,0))</f>
        <v/>
      </c>
      <c r="T347">
        <f>IF($A347="","",IF(AND($B347&gt;0,G347&lt;$B347,DATE($B$1,5,1)&lt;=TODAY(),OR($O347="",$O347&gt;=DATE($B$1,5,1)),OR(COUNTIF($C347:G347,"&gt;0")&gt;0,DATE($B$1,5,1)=DATE(YEAR(TODAY()),MONTH(TODAY()),1))),1,0))</f>
        <v/>
      </c>
      <c r="U347">
        <f>IF($A347="","",IF(AND($B347&gt;0,H347&lt;$B347,DATE($B$1,6,1)&lt;=TODAY(),OR($O347="",$O347&gt;=DATE($B$1,6,1)),OR(COUNTIF($C347:H347,"&gt;0")&gt;0,DATE($B$1,6,1)=DATE(YEAR(TODAY()),MONTH(TODAY()),1))),1,0))</f>
        <v/>
      </c>
      <c r="V347">
        <f>IF($A347="","",IF(AND($B347&gt;0,I347&lt;$B347,DATE($B$1,7,1)&lt;=TODAY(),OR($O347="",$O347&gt;=DATE($B$1,7,1)),OR(COUNTIF($C347:I347,"&gt;0")&gt;0,DATE($B$1,7,1)=DATE(YEAR(TODAY()),MONTH(TODAY()),1))),1,0))</f>
        <v/>
      </c>
      <c r="W347">
        <f>IF($A347="","",IF(AND($B347&gt;0,J347&lt;$B347,DATE($B$1,8,1)&lt;=TODAY(),OR($O347="",$O347&gt;=DATE($B$1,8,1)),OR(COUNTIF($C347:J347,"&gt;0")&gt;0,DATE($B$1,8,1)=DATE(YEAR(TODAY()),MONTH(TODAY()),1))),1,0))</f>
        <v/>
      </c>
      <c r="X347">
        <f>IF($A347="","",IF(AND($B347&gt;0,K347&lt;$B347,DATE($B$1,9,1)&lt;=TODAY(),OR($O347="",$O347&gt;=DATE($B$1,9,1)),OR(COUNTIF($C347:K347,"&gt;0")&gt;0,DATE($B$1,9,1)=DATE(YEAR(TODAY()),MONTH(TODAY()),1))),1,0))</f>
        <v/>
      </c>
      <c r="Y347">
        <f>IF($A347="","",IF(AND($B347&gt;0,L347&lt;$B347,DATE($B$1,10,1)&lt;=TODAY(),OR($O347="",$O347&gt;=DATE($B$1,10,1)),OR(COUNTIF($C347:L347,"&gt;0")&gt;0,DATE($B$1,10,1)=DATE(YEAR(TODAY()),MONTH(TODAY()),1))),1,0))</f>
        <v/>
      </c>
      <c r="Z347">
        <f>IF($A347="","",IF(AND($B347&gt;0,M347&lt;$B347,DATE($B$1,11,1)&lt;=TODAY(),OR($O347="",$O347&gt;=DATE($B$1,11,1)),OR(COUNTIF($C347:M347,"&gt;0")&gt;0,DATE($B$1,11,1)=DATE(YEAR(TODAY()),MONTH(TODAY()),1))),1,0))</f>
        <v/>
      </c>
      <c r="AA347">
        <f>IF($A347="","",IF(AND($B347&gt;0,N347&lt;$B347,DATE($B$1,12,1)&lt;=TODAY(),OR($O347="",$O347&gt;=DATE($B$1,12,1)),OR(COUNTIF($C347:N347,"&gt;0")&gt;0,DATE($B$1,12,1)=DATE(YEAR(TODAY()),MONTH(TODAY()),1))),1,0))</f>
        <v/>
      </c>
    </row>
    <row r="348">
      <c r="A348" s="13">
        <f>IF(원생!$A346="","",원생!$A346&amp;IF(원생!$G346="",""," ("&amp;원생!$G346&amp;")"))</f>
        <v/>
      </c>
      <c r="B348" s="8">
        <f>IF(원생!$A346="","",N(원생!$F346))</f>
        <v/>
      </c>
      <c r="C348" s="14">
        <f>IF(원생!$A346="","",SUMIFS(계산!$C:$C,계산!$A:$A,계산!$E346,계산!$B:$B,$B$1*100+1))</f>
        <v/>
      </c>
      <c r="D348" s="14">
        <f>IF(원생!$A346="","",SUMIFS(계산!$C:$C,계산!$A:$A,계산!$E346,계산!$B:$B,$B$1*100+2))</f>
        <v/>
      </c>
      <c r="E348" s="14">
        <f>IF(원생!$A346="","",SUMIFS(계산!$C:$C,계산!$A:$A,계산!$E346,계산!$B:$B,$B$1*100+3))</f>
        <v/>
      </c>
      <c r="F348" s="14">
        <f>IF(원생!$A346="","",SUMIFS(계산!$C:$C,계산!$A:$A,계산!$E346,계산!$B:$B,$B$1*100+4))</f>
        <v/>
      </c>
      <c r="G348" s="14">
        <f>IF(원생!$A346="","",SUMIFS(계산!$C:$C,계산!$A:$A,계산!$E346,계산!$B:$B,$B$1*100+5))</f>
        <v/>
      </c>
      <c r="H348" s="14">
        <f>IF(원생!$A346="","",SUMIFS(계산!$C:$C,계산!$A:$A,계산!$E346,계산!$B:$B,$B$1*100+6))</f>
        <v/>
      </c>
      <c r="I348" s="14">
        <f>IF(원생!$A346="","",SUMIFS(계산!$C:$C,계산!$A:$A,계산!$E346,계산!$B:$B,$B$1*100+7))</f>
        <v/>
      </c>
      <c r="J348" s="14">
        <f>IF(원생!$A346="","",SUMIFS(계산!$C:$C,계산!$A:$A,계산!$E346,계산!$B:$B,$B$1*100+8))</f>
        <v/>
      </c>
      <c r="K348" s="14">
        <f>IF(원생!$A346="","",SUMIFS(계산!$C:$C,계산!$A:$A,계산!$E346,계산!$B:$B,$B$1*100+9))</f>
        <v/>
      </c>
      <c r="L348" s="14">
        <f>IF(원생!$A346="","",SUMIFS(계산!$C:$C,계산!$A:$A,계산!$E346,계산!$B:$B,$B$1*100+10))</f>
        <v/>
      </c>
      <c r="M348" s="14">
        <f>IF(원생!$A346="","",SUMIFS(계산!$C:$C,계산!$A:$A,계산!$E346,계산!$B:$B,$B$1*100+11))</f>
        <v/>
      </c>
      <c r="N348" s="14">
        <f>IF(원생!$A346="","",SUMIFS(계산!$C:$C,계산!$A:$A,계산!$E346,계산!$B:$B,$B$1*100+12))</f>
        <v/>
      </c>
      <c r="O348">
        <f>IF(원생!$I346="","",원생!$I346)</f>
        <v/>
      </c>
      <c r="P348">
        <f>IF($A348="","",IF(AND($B348&gt;0,C348&lt;$B348,DATE($B$1,1,1)&lt;=TODAY(),OR($O348="",$O348&gt;=DATE($B$1,1,1)),OR(COUNTIF($C348:C348,"&gt;0")&gt;0,DATE($B$1,1,1)=DATE(YEAR(TODAY()),MONTH(TODAY()),1))),1,0))</f>
        <v/>
      </c>
      <c r="Q348">
        <f>IF($A348="","",IF(AND($B348&gt;0,D348&lt;$B348,DATE($B$1,2,1)&lt;=TODAY(),OR($O348="",$O348&gt;=DATE($B$1,2,1)),OR(COUNTIF($C348:D348,"&gt;0")&gt;0,DATE($B$1,2,1)=DATE(YEAR(TODAY()),MONTH(TODAY()),1))),1,0))</f>
        <v/>
      </c>
      <c r="R348">
        <f>IF($A348="","",IF(AND($B348&gt;0,E348&lt;$B348,DATE($B$1,3,1)&lt;=TODAY(),OR($O348="",$O348&gt;=DATE($B$1,3,1)),OR(COUNTIF($C348:E348,"&gt;0")&gt;0,DATE($B$1,3,1)=DATE(YEAR(TODAY()),MONTH(TODAY()),1))),1,0))</f>
        <v/>
      </c>
      <c r="S348">
        <f>IF($A348="","",IF(AND($B348&gt;0,F348&lt;$B348,DATE($B$1,4,1)&lt;=TODAY(),OR($O348="",$O348&gt;=DATE($B$1,4,1)),OR(COUNTIF($C348:F348,"&gt;0")&gt;0,DATE($B$1,4,1)=DATE(YEAR(TODAY()),MONTH(TODAY()),1))),1,0))</f>
        <v/>
      </c>
      <c r="T348">
        <f>IF($A348="","",IF(AND($B348&gt;0,G348&lt;$B348,DATE($B$1,5,1)&lt;=TODAY(),OR($O348="",$O348&gt;=DATE($B$1,5,1)),OR(COUNTIF($C348:G348,"&gt;0")&gt;0,DATE($B$1,5,1)=DATE(YEAR(TODAY()),MONTH(TODAY()),1))),1,0))</f>
        <v/>
      </c>
      <c r="U348">
        <f>IF($A348="","",IF(AND($B348&gt;0,H348&lt;$B348,DATE($B$1,6,1)&lt;=TODAY(),OR($O348="",$O348&gt;=DATE($B$1,6,1)),OR(COUNTIF($C348:H348,"&gt;0")&gt;0,DATE($B$1,6,1)=DATE(YEAR(TODAY()),MONTH(TODAY()),1))),1,0))</f>
        <v/>
      </c>
      <c r="V348">
        <f>IF($A348="","",IF(AND($B348&gt;0,I348&lt;$B348,DATE($B$1,7,1)&lt;=TODAY(),OR($O348="",$O348&gt;=DATE($B$1,7,1)),OR(COUNTIF($C348:I348,"&gt;0")&gt;0,DATE($B$1,7,1)=DATE(YEAR(TODAY()),MONTH(TODAY()),1))),1,0))</f>
        <v/>
      </c>
      <c r="W348">
        <f>IF($A348="","",IF(AND($B348&gt;0,J348&lt;$B348,DATE($B$1,8,1)&lt;=TODAY(),OR($O348="",$O348&gt;=DATE($B$1,8,1)),OR(COUNTIF($C348:J348,"&gt;0")&gt;0,DATE($B$1,8,1)=DATE(YEAR(TODAY()),MONTH(TODAY()),1))),1,0))</f>
        <v/>
      </c>
      <c r="X348">
        <f>IF($A348="","",IF(AND($B348&gt;0,K348&lt;$B348,DATE($B$1,9,1)&lt;=TODAY(),OR($O348="",$O348&gt;=DATE($B$1,9,1)),OR(COUNTIF($C348:K348,"&gt;0")&gt;0,DATE($B$1,9,1)=DATE(YEAR(TODAY()),MONTH(TODAY()),1))),1,0))</f>
        <v/>
      </c>
      <c r="Y348">
        <f>IF($A348="","",IF(AND($B348&gt;0,L348&lt;$B348,DATE($B$1,10,1)&lt;=TODAY(),OR($O348="",$O348&gt;=DATE($B$1,10,1)),OR(COUNTIF($C348:L348,"&gt;0")&gt;0,DATE($B$1,10,1)=DATE(YEAR(TODAY()),MONTH(TODAY()),1))),1,0))</f>
        <v/>
      </c>
      <c r="Z348">
        <f>IF($A348="","",IF(AND($B348&gt;0,M348&lt;$B348,DATE($B$1,11,1)&lt;=TODAY(),OR($O348="",$O348&gt;=DATE($B$1,11,1)),OR(COUNTIF($C348:M348,"&gt;0")&gt;0,DATE($B$1,11,1)=DATE(YEAR(TODAY()),MONTH(TODAY()),1))),1,0))</f>
        <v/>
      </c>
      <c r="AA348">
        <f>IF($A348="","",IF(AND($B348&gt;0,N348&lt;$B348,DATE($B$1,12,1)&lt;=TODAY(),OR($O348="",$O348&gt;=DATE($B$1,12,1)),OR(COUNTIF($C348:N348,"&gt;0")&gt;0,DATE($B$1,12,1)=DATE(YEAR(TODAY()),MONTH(TODAY()),1))),1,0))</f>
        <v/>
      </c>
    </row>
    <row r="349">
      <c r="A349" s="13">
        <f>IF(원생!$A347="","",원생!$A347&amp;IF(원생!$G347="",""," ("&amp;원생!$G347&amp;")"))</f>
        <v/>
      </c>
      <c r="B349" s="8">
        <f>IF(원생!$A347="","",N(원생!$F347))</f>
        <v/>
      </c>
      <c r="C349" s="14">
        <f>IF(원생!$A347="","",SUMIFS(계산!$C:$C,계산!$A:$A,계산!$E347,계산!$B:$B,$B$1*100+1))</f>
        <v/>
      </c>
      <c r="D349" s="14">
        <f>IF(원생!$A347="","",SUMIFS(계산!$C:$C,계산!$A:$A,계산!$E347,계산!$B:$B,$B$1*100+2))</f>
        <v/>
      </c>
      <c r="E349" s="14">
        <f>IF(원생!$A347="","",SUMIFS(계산!$C:$C,계산!$A:$A,계산!$E347,계산!$B:$B,$B$1*100+3))</f>
        <v/>
      </c>
      <c r="F349" s="14">
        <f>IF(원생!$A347="","",SUMIFS(계산!$C:$C,계산!$A:$A,계산!$E347,계산!$B:$B,$B$1*100+4))</f>
        <v/>
      </c>
      <c r="G349" s="14">
        <f>IF(원생!$A347="","",SUMIFS(계산!$C:$C,계산!$A:$A,계산!$E347,계산!$B:$B,$B$1*100+5))</f>
        <v/>
      </c>
      <c r="H349" s="14">
        <f>IF(원생!$A347="","",SUMIFS(계산!$C:$C,계산!$A:$A,계산!$E347,계산!$B:$B,$B$1*100+6))</f>
        <v/>
      </c>
      <c r="I349" s="14">
        <f>IF(원생!$A347="","",SUMIFS(계산!$C:$C,계산!$A:$A,계산!$E347,계산!$B:$B,$B$1*100+7))</f>
        <v/>
      </c>
      <c r="J349" s="14">
        <f>IF(원생!$A347="","",SUMIFS(계산!$C:$C,계산!$A:$A,계산!$E347,계산!$B:$B,$B$1*100+8))</f>
        <v/>
      </c>
      <c r="K349" s="14">
        <f>IF(원생!$A347="","",SUMIFS(계산!$C:$C,계산!$A:$A,계산!$E347,계산!$B:$B,$B$1*100+9))</f>
        <v/>
      </c>
      <c r="L349" s="14">
        <f>IF(원생!$A347="","",SUMIFS(계산!$C:$C,계산!$A:$A,계산!$E347,계산!$B:$B,$B$1*100+10))</f>
        <v/>
      </c>
      <c r="M349" s="14">
        <f>IF(원생!$A347="","",SUMIFS(계산!$C:$C,계산!$A:$A,계산!$E347,계산!$B:$B,$B$1*100+11))</f>
        <v/>
      </c>
      <c r="N349" s="14">
        <f>IF(원생!$A347="","",SUMIFS(계산!$C:$C,계산!$A:$A,계산!$E347,계산!$B:$B,$B$1*100+12))</f>
        <v/>
      </c>
      <c r="O349">
        <f>IF(원생!$I347="","",원생!$I347)</f>
        <v/>
      </c>
      <c r="P349">
        <f>IF($A349="","",IF(AND($B349&gt;0,C349&lt;$B349,DATE($B$1,1,1)&lt;=TODAY(),OR($O349="",$O349&gt;=DATE($B$1,1,1)),OR(COUNTIF($C349:C349,"&gt;0")&gt;0,DATE($B$1,1,1)=DATE(YEAR(TODAY()),MONTH(TODAY()),1))),1,0))</f>
        <v/>
      </c>
      <c r="Q349">
        <f>IF($A349="","",IF(AND($B349&gt;0,D349&lt;$B349,DATE($B$1,2,1)&lt;=TODAY(),OR($O349="",$O349&gt;=DATE($B$1,2,1)),OR(COUNTIF($C349:D349,"&gt;0")&gt;0,DATE($B$1,2,1)=DATE(YEAR(TODAY()),MONTH(TODAY()),1))),1,0))</f>
        <v/>
      </c>
      <c r="R349">
        <f>IF($A349="","",IF(AND($B349&gt;0,E349&lt;$B349,DATE($B$1,3,1)&lt;=TODAY(),OR($O349="",$O349&gt;=DATE($B$1,3,1)),OR(COUNTIF($C349:E349,"&gt;0")&gt;0,DATE($B$1,3,1)=DATE(YEAR(TODAY()),MONTH(TODAY()),1))),1,0))</f>
        <v/>
      </c>
      <c r="S349">
        <f>IF($A349="","",IF(AND($B349&gt;0,F349&lt;$B349,DATE($B$1,4,1)&lt;=TODAY(),OR($O349="",$O349&gt;=DATE($B$1,4,1)),OR(COUNTIF($C349:F349,"&gt;0")&gt;0,DATE($B$1,4,1)=DATE(YEAR(TODAY()),MONTH(TODAY()),1))),1,0))</f>
        <v/>
      </c>
      <c r="T349">
        <f>IF($A349="","",IF(AND($B349&gt;0,G349&lt;$B349,DATE($B$1,5,1)&lt;=TODAY(),OR($O349="",$O349&gt;=DATE($B$1,5,1)),OR(COUNTIF($C349:G349,"&gt;0")&gt;0,DATE($B$1,5,1)=DATE(YEAR(TODAY()),MONTH(TODAY()),1))),1,0))</f>
        <v/>
      </c>
      <c r="U349">
        <f>IF($A349="","",IF(AND($B349&gt;0,H349&lt;$B349,DATE($B$1,6,1)&lt;=TODAY(),OR($O349="",$O349&gt;=DATE($B$1,6,1)),OR(COUNTIF($C349:H349,"&gt;0")&gt;0,DATE($B$1,6,1)=DATE(YEAR(TODAY()),MONTH(TODAY()),1))),1,0))</f>
        <v/>
      </c>
      <c r="V349">
        <f>IF($A349="","",IF(AND($B349&gt;0,I349&lt;$B349,DATE($B$1,7,1)&lt;=TODAY(),OR($O349="",$O349&gt;=DATE($B$1,7,1)),OR(COUNTIF($C349:I349,"&gt;0")&gt;0,DATE($B$1,7,1)=DATE(YEAR(TODAY()),MONTH(TODAY()),1))),1,0))</f>
        <v/>
      </c>
      <c r="W349">
        <f>IF($A349="","",IF(AND($B349&gt;0,J349&lt;$B349,DATE($B$1,8,1)&lt;=TODAY(),OR($O349="",$O349&gt;=DATE($B$1,8,1)),OR(COUNTIF($C349:J349,"&gt;0")&gt;0,DATE($B$1,8,1)=DATE(YEAR(TODAY()),MONTH(TODAY()),1))),1,0))</f>
        <v/>
      </c>
      <c r="X349">
        <f>IF($A349="","",IF(AND($B349&gt;0,K349&lt;$B349,DATE($B$1,9,1)&lt;=TODAY(),OR($O349="",$O349&gt;=DATE($B$1,9,1)),OR(COUNTIF($C349:K349,"&gt;0")&gt;0,DATE($B$1,9,1)=DATE(YEAR(TODAY()),MONTH(TODAY()),1))),1,0))</f>
        <v/>
      </c>
      <c r="Y349">
        <f>IF($A349="","",IF(AND($B349&gt;0,L349&lt;$B349,DATE($B$1,10,1)&lt;=TODAY(),OR($O349="",$O349&gt;=DATE($B$1,10,1)),OR(COUNTIF($C349:L349,"&gt;0")&gt;0,DATE($B$1,10,1)=DATE(YEAR(TODAY()),MONTH(TODAY()),1))),1,0))</f>
        <v/>
      </c>
      <c r="Z349">
        <f>IF($A349="","",IF(AND($B349&gt;0,M349&lt;$B349,DATE($B$1,11,1)&lt;=TODAY(),OR($O349="",$O349&gt;=DATE($B$1,11,1)),OR(COUNTIF($C349:M349,"&gt;0")&gt;0,DATE($B$1,11,1)=DATE(YEAR(TODAY()),MONTH(TODAY()),1))),1,0))</f>
        <v/>
      </c>
      <c r="AA349">
        <f>IF($A349="","",IF(AND($B349&gt;0,N349&lt;$B349,DATE($B$1,12,1)&lt;=TODAY(),OR($O349="",$O349&gt;=DATE($B$1,12,1)),OR(COUNTIF($C349:N349,"&gt;0")&gt;0,DATE($B$1,12,1)=DATE(YEAR(TODAY()),MONTH(TODAY()),1))),1,0))</f>
        <v/>
      </c>
    </row>
    <row r="350">
      <c r="A350" s="13">
        <f>IF(원생!$A348="","",원생!$A348&amp;IF(원생!$G348="",""," ("&amp;원생!$G348&amp;")"))</f>
        <v/>
      </c>
      <c r="B350" s="8">
        <f>IF(원생!$A348="","",N(원생!$F348))</f>
        <v/>
      </c>
      <c r="C350" s="14">
        <f>IF(원생!$A348="","",SUMIFS(계산!$C:$C,계산!$A:$A,계산!$E348,계산!$B:$B,$B$1*100+1))</f>
        <v/>
      </c>
      <c r="D350" s="14">
        <f>IF(원생!$A348="","",SUMIFS(계산!$C:$C,계산!$A:$A,계산!$E348,계산!$B:$B,$B$1*100+2))</f>
        <v/>
      </c>
      <c r="E350" s="14">
        <f>IF(원생!$A348="","",SUMIFS(계산!$C:$C,계산!$A:$A,계산!$E348,계산!$B:$B,$B$1*100+3))</f>
        <v/>
      </c>
      <c r="F350" s="14">
        <f>IF(원생!$A348="","",SUMIFS(계산!$C:$C,계산!$A:$A,계산!$E348,계산!$B:$B,$B$1*100+4))</f>
        <v/>
      </c>
      <c r="G350" s="14">
        <f>IF(원생!$A348="","",SUMIFS(계산!$C:$C,계산!$A:$A,계산!$E348,계산!$B:$B,$B$1*100+5))</f>
        <v/>
      </c>
      <c r="H350" s="14">
        <f>IF(원생!$A348="","",SUMIFS(계산!$C:$C,계산!$A:$A,계산!$E348,계산!$B:$B,$B$1*100+6))</f>
        <v/>
      </c>
      <c r="I350" s="14">
        <f>IF(원생!$A348="","",SUMIFS(계산!$C:$C,계산!$A:$A,계산!$E348,계산!$B:$B,$B$1*100+7))</f>
        <v/>
      </c>
      <c r="J350" s="14">
        <f>IF(원생!$A348="","",SUMIFS(계산!$C:$C,계산!$A:$A,계산!$E348,계산!$B:$B,$B$1*100+8))</f>
        <v/>
      </c>
      <c r="K350" s="14">
        <f>IF(원생!$A348="","",SUMIFS(계산!$C:$C,계산!$A:$A,계산!$E348,계산!$B:$B,$B$1*100+9))</f>
        <v/>
      </c>
      <c r="L350" s="14">
        <f>IF(원생!$A348="","",SUMIFS(계산!$C:$C,계산!$A:$A,계산!$E348,계산!$B:$B,$B$1*100+10))</f>
        <v/>
      </c>
      <c r="M350" s="14">
        <f>IF(원생!$A348="","",SUMIFS(계산!$C:$C,계산!$A:$A,계산!$E348,계산!$B:$B,$B$1*100+11))</f>
        <v/>
      </c>
      <c r="N350" s="14">
        <f>IF(원생!$A348="","",SUMIFS(계산!$C:$C,계산!$A:$A,계산!$E348,계산!$B:$B,$B$1*100+12))</f>
        <v/>
      </c>
      <c r="O350">
        <f>IF(원생!$I348="","",원생!$I348)</f>
        <v/>
      </c>
      <c r="P350">
        <f>IF($A350="","",IF(AND($B350&gt;0,C350&lt;$B350,DATE($B$1,1,1)&lt;=TODAY(),OR($O350="",$O350&gt;=DATE($B$1,1,1)),OR(COUNTIF($C350:C350,"&gt;0")&gt;0,DATE($B$1,1,1)=DATE(YEAR(TODAY()),MONTH(TODAY()),1))),1,0))</f>
        <v/>
      </c>
      <c r="Q350">
        <f>IF($A350="","",IF(AND($B350&gt;0,D350&lt;$B350,DATE($B$1,2,1)&lt;=TODAY(),OR($O350="",$O350&gt;=DATE($B$1,2,1)),OR(COUNTIF($C350:D350,"&gt;0")&gt;0,DATE($B$1,2,1)=DATE(YEAR(TODAY()),MONTH(TODAY()),1))),1,0))</f>
        <v/>
      </c>
      <c r="R350">
        <f>IF($A350="","",IF(AND($B350&gt;0,E350&lt;$B350,DATE($B$1,3,1)&lt;=TODAY(),OR($O350="",$O350&gt;=DATE($B$1,3,1)),OR(COUNTIF($C350:E350,"&gt;0")&gt;0,DATE($B$1,3,1)=DATE(YEAR(TODAY()),MONTH(TODAY()),1))),1,0))</f>
        <v/>
      </c>
      <c r="S350">
        <f>IF($A350="","",IF(AND($B350&gt;0,F350&lt;$B350,DATE($B$1,4,1)&lt;=TODAY(),OR($O350="",$O350&gt;=DATE($B$1,4,1)),OR(COUNTIF($C350:F350,"&gt;0")&gt;0,DATE($B$1,4,1)=DATE(YEAR(TODAY()),MONTH(TODAY()),1))),1,0))</f>
        <v/>
      </c>
      <c r="T350">
        <f>IF($A350="","",IF(AND($B350&gt;0,G350&lt;$B350,DATE($B$1,5,1)&lt;=TODAY(),OR($O350="",$O350&gt;=DATE($B$1,5,1)),OR(COUNTIF($C350:G350,"&gt;0")&gt;0,DATE($B$1,5,1)=DATE(YEAR(TODAY()),MONTH(TODAY()),1))),1,0))</f>
        <v/>
      </c>
      <c r="U350">
        <f>IF($A350="","",IF(AND($B350&gt;0,H350&lt;$B350,DATE($B$1,6,1)&lt;=TODAY(),OR($O350="",$O350&gt;=DATE($B$1,6,1)),OR(COUNTIF($C350:H350,"&gt;0")&gt;0,DATE($B$1,6,1)=DATE(YEAR(TODAY()),MONTH(TODAY()),1))),1,0))</f>
        <v/>
      </c>
      <c r="V350">
        <f>IF($A350="","",IF(AND($B350&gt;0,I350&lt;$B350,DATE($B$1,7,1)&lt;=TODAY(),OR($O350="",$O350&gt;=DATE($B$1,7,1)),OR(COUNTIF($C350:I350,"&gt;0")&gt;0,DATE($B$1,7,1)=DATE(YEAR(TODAY()),MONTH(TODAY()),1))),1,0))</f>
        <v/>
      </c>
      <c r="W350">
        <f>IF($A350="","",IF(AND($B350&gt;0,J350&lt;$B350,DATE($B$1,8,1)&lt;=TODAY(),OR($O350="",$O350&gt;=DATE($B$1,8,1)),OR(COUNTIF($C350:J350,"&gt;0")&gt;0,DATE($B$1,8,1)=DATE(YEAR(TODAY()),MONTH(TODAY()),1))),1,0))</f>
        <v/>
      </c>
      <c r="X350">
        <f>IF($A350="","",IF(AND($B350&gt;0,K350&lt;$B350,DATE($B$1,9,1)&lt;=TODAY(),OR($O350="",$O350&gt;=DATE($B$1,9,1)),OR(COUNTIF($C350:K350,"&gt;0")&gt;0,DATE($B$1,9,1)=DATE(YEAR(TODAY()),MONTH(TODAY()),1))),1,0))</f>
        <v/>
      </c>
      <c r="Y350">
        <f>IF($A350="","",IF(AND($B350&gt;0,L350&lt;$B350,DATE($B$1,10,1)&lt;=TODAY(),OR($O350="",$O350&gt;=DATE($B$1,10,1)),OR(COUNTIF($C350:L350,"&gt;0")&gt;0,DATE($B$1,10,1)=DATE(YEAR(TODAY()),MONTH(TODAY()),1))),1,0))</f>
        <v/>
      </c>
      <c r="Z350">
        <f>IF($A350="","",IF(AND($B350&gt;0,M350&lt;$B350,DATE($B$1,11,1)&lt;=TODAY(),OR($O350="",$O350&gt;=DATE($B$1,11,1)),OR(COUNTIF($C350:M350,"&gt;0")&gt;0,DATE($B$1,11,1)=DATE(YEAR(TODAY()),MONTH(TODAY()),1))),1,0))</f>
        <v/>
      </c>
      <c r="AA350">
        <f>IF($A350="","",IF(AND($B350&gt;0,N350&lt;$B350,DATE($B$1,12,1)&lt;=TODAY(),OR($O350="",$O350&gt;=DATE($B$1,12,1)),OR(COUNTIF($C350:N350,"&gt;0")&gt;0,DATE($B$1,12,1)=DATE(YEAR(TODAY()),MONTH(TODAY()),1))),1,0))</f>
        <v/>
      </c>
    </row>
    <row r="351">
      <c r="A351" s="13">
        <f>IF(원생!$A349="","",원생!$A349&amp;IF(원생!$G349="",""," ("&amp;원생!$G349&amp;")"))</f>
        <v/>
      </c>
      <c r="B351" s="8">
        <f>IF(원생!$A349="","",N(원생!$F349))</f>
        <v/>
      </c>
      <c r="C351" s="14">
        <f>IF(원생!$A349="","",SUMIFS(계산!$C:$C,계산!$A:$A,계산!$E349,계산!$B:$B,$B$1*100+1))</f>
        <v/>
      </c>
      <c r="D351" s="14">
        <f>IF(원생!$A349="","",SUMIFS(계산!$C:$C,계산!$A:$A,계산!$E349,계산!$B:$B,$B$1*100+2))</f>
        <v/>
      </c>
      <c r="E351" s="14">
        <f>IF(원생!$A349="","",SUMIFS(계산!$C:$C,계산!$A:$A,계산!$E349,계산!$B:$B,$B$1*100+3))</f>
        <v/>
      </c>
      <c r="F351" s="14">
        <f>IF(원생!$A349="","",SUMIFS(계산!$C:$C,계산!$A:$A,계산!$E349,계산!$B:$B,$B$1*100+4))</f>
        <v/>
      </c>
      <c r="G351" s="14">
        <f>IF(원생!$A349="","",SUMIFS(계산!$C:$C,계산!$A:$A,계산!$E349,계산!$B:$B,$B$1*100+5))</f>
        <v/>
      </c>
      <c r="H351" s="14">
        <f>IF(원생!$A349="","",SUMIFS(계산!$C:$C,계산!$A:$A,계산!$E349,계산!$B:$B,$B$1*100+6))</f>
        <v/>
      </c>
      <c r="I351" s="14">
        <f>IF(원생!$A349="","",SUMIFS(계산!$C:$C,계산!$A:$A,계산!$E349,계산!$B:$B,$B$1*100+7))</f>
        <v/>
      </c>
      <c r="J351" s="14">
        <f>IF(원생!$A349="","",SUMIFS(계산!$C:$C,계산!$A:$A,계산!$E349,계산!$B:$B,$B$1*100+8))</f>
        <v/>
      </c>
      <c r="K351" s="14">
        <f>IF(원생!$A349="","",SUMIFS(계산!$C:$C,계산!$A:$A,계산!$E349,계산!$B:$B,$B$1*100+9))</f>
        <v/>
      </c>
      <c r="L351" s="14">
        <f>IF(원생!$A349="","",SUMIFS(계산!$C:$C,계산!$A:$A,계산!$E349,계산!$B:$B,$B$1*100+10))</f>
        <v/>
      </c>
      <c r="M351" s="14">
        <f>IF(원생!$A349="","",SUMIFS(계산!$C:$C,계산!$A:$A,계산!$E349,계산!$B:$B,$B$1*100+11))</f>
        <v/>
      </c>
      <c r="N351" s="14">
        <f>IF(원생!$A349="","",SUMIFS(계산!$C:$C,계산!$A:$A,계산!$E349,계산!$B:$B,$B$1*100+12))</f>
        <v/>
      </c>
      <c r="O351">
        <f>IF(원생!$I349="","",원생!$I349)</f>
        <v/>
      </c>
      <c r="P351">
        <f>IF($A351="","",IF(AND($B351&gt;0,C351&lt;$B351,DATE($B$1,1,1)&lt;=TODAY(),OR($O351="",$O351&gt;=DATE($B$1,1,1)),OR(COUNTIF($C351:C351,"&gt;0")&gt;0,DATE($B$1,1,1)=DATE(YEAR(TODAY()),MONTH(TODAY()),1))),1,0))</f>
        <v/>
      </c>
      <c r="Q351">
        <f>IF($A351="","",IF(AND($B351&gt;0,D351&lt;$B351,DATE($B$1,2,1)&lt;=TODAY(),OR($O351="",$O351&gt;=DATE($B$1,2,1)),OR(COUNTIF($C351:D351,"&gt;0")&gt;0,DATE($B$1,2,1)=DATE(YEAR(TODAY()),MONTH(TODAY()),1))),1,0))</f>
        <v/>
      </c>
      <c r="R351">
        <f>IF($A351="","",IF(AND($B351&gt;0,E351&lt;$B351,DATE($B$1,3,1)&lt;=TODAY(),OR($O351="",$O351&gt;=DATE($B$1,3,1)),OR(COUNTIF($C351:E351,"&gt;0")&gt;0,DATE($B$1,3,1)=DATE(YEAR(TODAY()),MONTH(TODAY()),1))),1,0))</f>
        <v/>
      </c>
      <c r="S351">
        <f>IF($A351="","",IF(AND($B351&gt;0,F351&lt;$B351,DATE($B$1,4,1)&lt;=TODAY(),OR($O351="",$O351&gt;=DATE($B$1,4,1)),OR(COUNTIF($C351:F351,"&gt;0")&gt;0,DATE($B$1,4,1)=DATE(YEAR(TODAY()),MONTH(TODAY()),1))),1,0))</f>
        <v/>
      </c>
      <c r="T351">
        <f>IF($A351="","",IF(AND($B351&gt;0,G351&lt;$B351,DATE($B$1,5,1)&lt;=TODAY(),OR($O351="",$O351&gt;=DATE($B$1,5,1)),OR(COUNTIF($C351:G351,"&gt;0")&gt;0,DATE($B$1,5,1)=DATE(YEAR(TODAY()),MONTH(TODAY()),1))),1,0))</f>
        <v/>
      </c>
      <c r="U351">
        <f>IF($A351="","",IF(AND($B351&gt;0,H351&lt;$B351,DATE($B$1,6,1)&lt;=TODAY(),OR($O351="",$O351&gt;=DATE($B$1,6,1)),OR(COUNTIF($C351:H351,"&gt;0")&gt;0,DATE($B$1,6,1)=DATE(YEAR(TODAY()),MONTH(TODAY()),1))),1,0))</f>
        <v/>
      </c>
      <c r="V351">
        <f>IF($A351="","",IF(AND($B351&gt;0,I351&lt;$B351,DATE($B$1,7,1)&lt;=TODAY(),OR($O351="",$O351&gt;=DATE($B$1,7,1)),OR(COUNTIF($C351:I351,"&gt;0")&gt;0,DATE($B$1,7,1)=DATE(YEAR(TODAY()),MONTH(TODAY()),1))),1,0))</f>
        <v/>
      </c>
      <c r="W351">
        <f>IF($A351="","",IF(AND($B351&gt;0,J351&lt;$B351,DATE($B$1,8,1)&lt;=TODAY(),OR($O351="",$O351&gt;=DATE($B$1,8,1)),OR(COUNTIF($C351:J351,"&gt;0")&gt;0,DATE($B$1,8,1)=DATE(YEAR(TODAY()),MONTH(TODAY()),1))),1,0))</f>
        <v/>
      </c>
      <c r="X351">
        <f>IF($A351="","",IF(AND($B351&gt;0,K351&lt;$B351,DATE($B$1,9,1)&lt;=TODAY(),OR($O351="",$O351&gt;=DATE($B$1,9,1)),OR(COUNTIF($C351:K351,"&gt;0")&gt;0,DATE($B$1,9,1)=DATE(YEAR(TODAY()),MONTH(TODAY()),1))),1,0))</f>
        <v/>
      </c>
      <c r="Y351">
        <f>IF($A351="","",IF(AND($B351&gt;0,L351&lt;$B351,DATE($B$1,10,1)&lt;=TODAY(),OR($O351="",$O351&gt;=DATE($B$1,10,1)),OR(COUNTIF($C351:L351,"&gt;0")&gt;0,DATE($B$1,10,1)=DATE(YEAR(TODAY()),MONTH(TODAY()),1))),1,0))</f>
        <v/>
      </c>
      <c r="Z351">
        <f>IF($A351="","",IF(AND($B351&gt;0,M351&lt;$B351,DATE($B$1,11,1)&lt;=TODAY(),OR($O351="",$O351&gt;=DATE($B$1,11,1)),OR(COUNTIF($C351:M351,"&gt;0")&gt;0,DATE($B$1,11,1)=DATE(YEAR(TODAY()),MONTH(TODAY()),1))),1,0))</f>
        <v/>
      </c>
      <c r="AA351">
        <f>IF($A351="","",IF(AND($B351&gt;0,N351&lt;$B351,DATE($B$1,12,1)&lt;=TODAY(),OR($O351="",$O351&gt;=DATE($B$1,12,1)),OR(COUNTIF($C351:N351,"&gt;0")&gt;0,DATE($B$1,12,1)=DATE(YEAR(TODAY()),MONTH(TODAY()),1))),1,0))</f>
        <v/>
      </c>
    </row>
    <row r="352">
      <c r="A352" s="13">
        <f>IF(원생!$A350="","",원생!$A350&amp;IF(원생!$G350="",""," ("&amp;원생!$G350&amp;")"))</f>
        <v/>
      </c>
      <c r="B352" s="8">
        <f>IF(원생!$A350="","",N(원생!$F350))</f>
        <v/>
      </c>
      <c r="C352" s="14">
        <f>IF(원생!$A350="","",SUMIFS(계산!$C:$C,계산!$A:$A,계산!$E350,계산!$B:$B,$B$1*100+1))</f>
        <v/>
      </c>
      <c r="D352" s="14">
        <f>IF(원생!$A350="","",SUMIFS(계산!$C:$C,계산!$A:$A,계산!$E350,계산!$B:$B,$B$1*100+2))</f>
        <v/>
      </c>
      <c r="E352" s="14">
        <f>IF(원생!$A350="","",SUMIFS(계산!$C:$C,계산!$A:$A,계산!$E350,계산!$B:$B,$B$1*100+3))</f>
        <v/>
      </c>
      <c r="F352" s="14">
        <f>IF(원생!$A350="","",SUMIFS(계산!$C:$C,계산!$A:$A,계산!$E350,계산!$B:$B,$B$1*100+4))</f>
        <v/>
      </c>
      <c r="G352" s="14">
        <f>IF(원생!$A350="","",SUMIFS(계산!$C:$C,계산!$A:$A,계산!$E350,계산!$B:$B,$B$1*100+5))</f>
        <v/>
      </c>
      <c r="H352" s="14">
        <f>IF(원생!$A350="","",SUMIFS(계산!$C:$C,계산!$A:$A,계산!$E350,계산!$B:$B,$B$1*100+6))</f>
        <v/>
      </c>
      <c r="I352" s="14">
        <f>IF(원생!$A350="","",SUMIFS(계산!$C:$C,계산!$A:$A,계산!$E350,계산!$B:$B,$B$1*100+7))</f>
        <v/>
      </c>
      <c r="J352" s="14">
        <f>IF(원생!$A350="","",SUMIFS(계산!$C:$C,계산!$A:$A,계산!$E350,계산!$B:$B,$B$1*100+8))</f>
        <v/>
      </c>
      <c r="K352" s="14">
        <f>IF(원생!$A350="","",SUMIFS(계산!$C:$C,계산!$A:$A,계산!$E350,계산!$B:$B,$B$1*100+9))</f>
        <v/>
      </c>
      <c r="L352" s="14">
        <f>IF(원생!$A350="","",SUMIFS(계산!$C:$C,계산!$A:$A,계산!$E350,계산!$B:$B,$B$1*100+10))</f>
        <v/>
      </c>
      <c r="M352" s="14">
        <f>IF(원생!$A350="","",SUMIFS(계산!$C:$C,계산!$A:$A,계산!$E350,계산!$B:$B,$B$1*100+11))</f>
        <v/>
      </c>
      <c r="N352" s="14">
        <f>IF(원생!$A350="","",SUMIFS(계산!$C:$C,계산!$A:$A,계산!$E350,계산!$B:$B,$B$1*100+12))</f>
        <v/>
      </c>
      <c r="O352">
        <f>IF(원생!$I350="","",원생!$I350)</f>
        <v/>
      </c>
      <c r="P352">
        <f>IF($A352="","",IF(AND($B352&gt;0,C352&lt;$B352,DATE($B$1,1,1)&lt;=TODAY(),OR($O352="",$O352&gt;=DATE($B$1,1,1)),OR(COUNTIF($C352:C352,"&gt;0")&gt;0,DATE($B$1,1,1)=DATE(YEAR(TODAY()),MONTH(TODAY()),1))),1,0))</f>
        <v/>
      </c>
      <c r="Q352">
        <f>IF($A352="","",IF(AND($B352&gt;0,D352&lt;$B352,DATE($B$1,2,1)&lt;=TODAY(),OR($O352="",$O352&gt;=DATE($B$1,2,1)),OR(COUNTIF($C352:D352,"&gt;0")&gt;0,DATE($B$1,2,1)=DATE(YEAR(TODAY()),MONTH(TODAY()),1))),1,0))</f>
        <v/>
      </c>
      <c r="R352">
        <f>IF($A352="","",IF(AND($B352&gt;0,E352&lt;$B352,DATE($B$1,3,1)&lt;=TODAY(),OR($O352="",$O352&gt;=DATE($B$1,3,1)),OR(COUNTIF($C352:E352,"&gt;0")&gt;0,DATE($B$1,3,1)=DATE(YEAR(TODAY()),MONTH(TODAY()),1))),1,0))</f>
        <v/>
      </c>
      <c r="S352">
        <f>IF($A352="","",IF(AND($B352&gt;0,F352&lt;$B352,DATE($B$1,4,1)&lt;=TODAY(),OR($O352="",$O352&gt;=DATE($B$1,4,1)),OR(COUNTIF($C352:F352,"&gt;0")&gt;0,DATE($B$1,4,1)=DATE(YEAR(TODAY()),MONTH(TODAY()),1))),1,0))</f>
        <v/>
      </c>
      <c r="T352">
        <f>IF($A352="","",IF(AND($B352&gt;0,G352&lt;$B352,DATE($B$1,5,1)&lt;=TODAY(),OR($O352="",$O352&gt;=DATE($B$1,5,1)),OR(COUNTIF($C352:G352,"&gt;0")&gt;0,DATE($B$1,5,1)=DATE(YEAR(TODAY()),MONTH(TODAY()),1))),1,0))</f>
        <v/>
      </c>
      <c r="U352">
        <f>IF($A352="","",IF(AND($B352&gt;0,H352&lt;$B352,DATE($B$1,6,1)&lt;=TODAY(),OR($O352="",$O352&gt;=DATE($B$1,6,1)),OR(COUNTIF($C352:H352,"&gt;0")&gt;0,DATE($B$1,6,1)=DATE(YEAR(TODAY()),MONTH(TODAY()),1))),1,0))</f>
        <v/>
      </c>
      <c r="V352">
        <f>IF($A352="","",IF(AND($B352&gt;0,I352&lt;$B352,DATE($B$1,7,1)&lt;=TODAY(),OR($O352="",$O352&gt;=DATE($B$1,7,1)),OR(COUNTIF($C352:I352,"&gt;0")&gt;0,DATE($B$1,7,1)=DATE(YEAR(TODAY()),MONTH(TODAY()),1))),1,0))</f>
        <v/>
      </c>
      <c r="W352">
        <f>IF($A352="","",IF(AND($B352&gt;0,J352&lt;$B352,DATE($B$1,8,1)&lt;=TODAY(),OR($O352="",$O352&gt;=DATE($B$1,8,1)),OR(COUNTIF($C352:J352,"&gt;0")&gt;0,DATE($B$1,8,1)=DATE(YEAR(TODAY()),MONTH(TODAY()),1))),1,0))</f>
        <v/>
      </c>
      <c r="X352">
        <f>IF($A352="","",IF(AND($B352&gt;0,K352&lt;$B352,DATE($B$1,9,1)&lt;=TODAY(),OR($O352="",$O352&gt;=DATE($B$1,9,1)),OR(COUNTIF($C352:K352,"&gt;0")&gt;0,DATE($B$1,9,1)=DATE(YEAR(TODAY()),MONTH(TODAY()),1))),1,0))</f>
        <v/>
      </c>
      <c r="Y352">
        <f>IF($A352="","",IF(AND($B352&gt;0,L352&lt;$B352,DATE($B$1,10,1)&lt;=TODAY(),OR($O352="",$O352&gt;=DATE($B$1,10,1)),OR(COUNTIF($C352:L352,"&gt;0")&gt;0,DATE($B$1,10,1)=DATE(YEAR(TODAY()),MONTH(TODAY()),1))),1,0))</f>
        <v/>
      </c>
      <c r="Z352">
        <f>IF($A352="","",IF(AND($B352&gt;0,M352&lt;$B352,DATE($B$1,11,1)&lt;=TODAY(),OR($O352="",$O352&gt;=DATE($B$1,11,1)),OR(COUNTIF($C352:M352,"&gt;0")&gt;0,DATE($B$1,11,1)=DATE(YEAR(TODAY()),MONTH(TODAY()),1))),1,0))</f>
        <v/>
      </c>
      <c r="AA352">
        <f>IF($A352="","",IF(AND($B352&gt;0,N352&lt;$B352,DATE($B$1,12,1)&lt;=TODAY(),OR($O352="",$O352&gt;=DATE($B$1,12,1)),OR(COUNTIF($C352:N352,"&gt;0")&gt;0,DATE($B$1,12,1)=DATE(YEAR(TODAY()),MONTH(TODAY()),1))),1,0))</f>
        <v/>
      </c>
    </row>
    <row r="353">
      <c r="A353" s="13">
        <f>IF(원생!$A351="","",원생!$A351&amp;IF(원생!$G351="",""," ("&amp;원생!$G351&amp;")"))</f>
        <v/>
      </c>
      <c r="B353" s="8">
        <f>IF(원생!$A351="","",N(원생!$F351))</f>
        <v/>
      </c>
      <c r="C353" s="14">
        <f>IF(원생!$A351="","",SUMIFS(계산!$C:$C,계산!$A:$A,계산!$E351,계산!$B:$B,$B$1*100+1))</f>
        <v/>
      </c>
      <c r="D353" s="14">
        <f>IF(원생!$A351="","",SUMIFS(계산!$C:$C,계산!$A:$A,계산!$E351,계산!$B:$B,$B$1*100+2))</f>
        <v/>
      </c>
      <c r="E353" s="14">
        <f>IF(원생!$A351="","",SUMIFS(계산!$C:$C,계산!$A:$A,계산!$E351,계산!$B:$B,$B$1*100+3))</f>
        <v/>
      </c>
      <c r="F353" s="14">
        <f>IF(원생!$A351="","",SUMIFS(계산!$C:$C,계산!$A:$A,계산!$E351,계산!$B:$B,$B$1*100+4))</f>
        <v/>
      </c>
      <c r="G353" s="14">
        <f>IF(원생!$A351="","",SUMIFS(계산!$C:$C,계산!$A:$A,계산!$E351,계산!$B:$B,$B$1*100+5))</f>
        <v/>
      </c>
      <c r="H353" s="14">
        <f>IF(원생!$A351="","",SUMIFS(계산!$C:$C,계산!$A:$A,계산!$E351,계산!$B:$B,$B$1*100+6))</f>
        <v/>
      </c>
      <c r="I353" s="14">
        <f>IF(원생!$A351="","",SUMIFS(계산!$C:$C,계산!$A:$A,계산!$E351,계산!$B:$B,$B$1*100+7))</f>
        <v/>
      </c>
      <c r="J353" s="14">
        <f>IF(원생!$A351="","",SUMIFS(계산!$C:$C,계산!$A:$A,계산!$E351,계산!$B:$B,$B$1*100+8))</f>
        <v/>
      </c>
      <c r="K353" s="14">
        <f>IF(원생!$A351="","",SUMIFS(계산!$C:$C,계산!$A:$A,계산!$E351,계산!$B:$B,$B$1*100+9))</f>
        <v/>
      </c>
      <c r="L353" s="14">
        <f>IF(원생!$A351="","",SUMIFS(계산!$C:$C,계산!$A:$A,계산!$E351,계산!$B:$B,$B$1*100+10))</f>
        <v/>
      </c>
      <c r="M353" s="14">
        <f>IF(원생!$A351="","",SUMIFS(계산!$C:$C,계산!$A:$A,계산!$E351,계산!$B:$B,$B$1*100+11))</f>
        <v/>
      </c>
      <c r="N353" s="14">
        <f>IF(원생!$A351="","",SUMIFS(계산!$C:$C,계산!$A:$A,계산!$E351,계산!$B:$B,$B$1*100+12))</f>
        <v/>
      </c>
      <c r="O353">
        <f>IF(원생!$I351="","",원생!$I351)</f>
        <v/>
      </c>
      <c r="P353">
        <f>IF($A353="","",IF(AND($B353&gt;0,C353&lt;$B353,DATE($B$1,1,1)&lt;=TODAY(),OR($O353="",$O353&gt;=DATE($B$1,1,1)),OR(COUNTIF($C353:C353,"&gt;0")&gt;0,DATE($B$1,1,1)=DATE(YEAR(TODAY()),MONTH(TODAY()),1))),1,0))</f>
        <v/>
      </c>
      <c r="Q353">
        <f>IF($A353="","",IF(AND($B353&gt;0,D353&lt;$B353,DATE($B$1,2,1)&lt;=TODAY(),OR($O353="",$O353&gt;=DATE($B$1,2,1)),OR(COUNTIF($C353:D353,"&gt;0")&gt;0,DATE($B$1,2,1)=DATE(YEAR(TODAY()),MONTH(TODAY()),1))),1,0))</f>
        <v/>
      </c>
      <c r="R353">
        <f>IF($A353="","",IF(AND($B353&gt;0,E353&lt;$B353,DATE($B$1,3,1)&lt;=TODAY(),OR($O353="",$O353&gt;=DATE($B$1,3,1)),OR(COUNTIF($C353:E353,"&gt;0")&gt;0,DATE($B$1,3,1)=DATE(YEAR(TODAY()),MONTH(TODAY()),1))),1,0))</f>
        <v/>
      </c>
      <c r="S353">
        <f>IF($A353="","",IF(AND($B353&gt;0,F353&lt;$B353,DATE($B$1,4,1)&lt;=TODAY(),OR($O353="",$O353&gt;=DATE($B$1,4,1)),OR(COUNTIF($C353:F353,"&gt;0")&gt;0,DATE($B$1,4,1)=DATE(YEAR(TODAY()),MONTH(TODAY()),1))),1,0))</f>
        <v/>
      </c>
      <c r="T353">
        <f>IF($A353="","",IF(AND($B353&gt;0,G353&lt;$B353,DATE($B$1,5,1)&lt;=TODAY(),OR($O353="",$O353&gt;=DATE($B$1,5,1)),OR(COUNTIF($C353:G353,"&gt;0")&gt;0,DATE($B$1,5,1)=DATE(YEAR(TODAY()),MONTH(TODAY()),1))),1,0))</f>
        <v/>
      </c>
      <c r="U353">
        <f>IF($A353="","",IF(AND($B353&gt;0,H353&lt;$B353,DATE($B$1,6,1)&lt;=TODAY(),OR($O353="",$O353&gt;=DATE($B$1,6,1)),OR(COUNTIF($C353:H353,"&gt;0")&gt;0,DATE($B$1,6,1)=DATE(YEAR(TODAY()),MONTH(TODAY()),1))),1,0))</f>
        <v/>
      </c>
      <c r="V353">
        <f>IF($A353="","",IF(AND($B353&gt;0,I353&lt;$B353,DATE($B$1,7,1)&lt;=TODAY(),OR($O353="",$O353&gt;=DATE($B$1,7,1)),OR(COUNTIF($C353:I353,"&gt;0")&gt;0,DATE($B$1,7,1)=DATE(YEAR(TODAY()),MONTH(TODAY()),1))),1,0))</f>
        <v/>
      </c>
      <c r="W353">
        <f>IF($A353="","",IF(AND($B353&gt;0,J353&lt;$B353,DATE($B$1,8,1)&lt;=TODAY(),OR($O353="",$O353&gt;=DATE($B$1,8,1)),OR(COUNTIF($C353:J353,"&gt;0")&gt;0,DATE($B$1,8,1)=DATE(YEAR(TODAY()),MONTH(TODAY()),1))),1,0))</f>
        <v/>
      </c>
      <c r="X353">
        <f>IF($A353="","",IF(AND($B353&gt;0,K353&lt;$B353,DATE($B$1,9,1)&lt;=TODAY(),OR($O353="",$O353&gt;=DATE($B$1,9,1)),OR(COUNTIF($C353:K353,"&gt;0")&gt;0,DATE($B$1,9,1)=DATE(YEAR(TODAY()),MONTH(TODAY()),1))),1,0))</f>
        <v/>
      </c>
      <c r="Y353">
        <f>IF($A353="","",IF(AND($B353&gt;0,L353&lt;$B353,DATE($B$1,10,1)&lt;=TODAY(),OR($O353="",$O353&gt;=DATE($B$1,10,1)),OR(COUNTIF($C353:L353,"&gt;0")&gt;0,DATE($B$1,10,1)=DATE(YEAR(TODAY()),MONTH(TODAY()),1))),1,0))</f>
        <v/>
      </c>
      <c r="Z353">
        <f>IF($A353="","",IF(AND($B353&gt;0,M353&lt;$B353,DATE($B$1,11,1)&lt;=TODAY(),OR($O353="",$O353&gt;=DATE($B$1,11,1)),OR(COUNTIF($C353:M353,"&gt;0")&gt;0,DATE($B$1,11,1)=DATE(YEAR(TODAY()),MONTH(TODAY()),1))),1,0))</f>
        <v/>
      </c>
      <c r="AA353">
        <f>IF($A353="","",IF(AND($B353&gt;0,N353&lt;$B353,DATE($B$1,12,1)&lt;=TODAY(),OR($O353="",$O353&gt;=DATE($B$1,12,1)),OR(COUNTIF($C353:N353,"&gt;0")&gt;0,DATE($B$1,12,1)=DATE(YEAR(TODAY()),MONTH(TODAY()),1))),1,0))</f>
        <v/>
      </c>
    </row>
    <row r="354">
      <c r="A354" s="13">
        <f>IF(원생!$A352="","",원생!$A352&amp;IF(원생!$G352="",""," ("&amp;원생!$G352&amp;")"))</f>
        <v/>
      </c>
      <c r="B354" s="8">
        <f>IF(원생!$A352="","",N(원생!$F352))</f>
        <v/>
      </c>
      <c r="C354" s="14">
        <f>IF(원생!$A352="","",SUMIFS(계산!$C:$C,계산!$A:$A,계산!$E352,계산!$B:$B,$B$1*100+1))</f>
        <v/>
      </c>
      <c r="D354" s="14">
        <f>IF(원생!$A352="","",SUMIFS(계산!$C:$C,계산!$A:$A,계산!$E352,계산!$B:$B,$B$1*100+2))</f>
        <v/>
      </c>
      <c r="E354" s="14">
        <f>IF(원생!$A352="","",SUMIFS(계산!$C:$C,계산!$A:$A,계산!$E352,계산!$B:$B,$B$1*100+3))</f>
        <v/>
      </c>
      <c r="F354" s="14">
        <f>IF(원생!$A352="","",SUMIFS(계산!$C:$C,계산!$A:$A,계산!$E352,계산!$B:$B,$B$1*100+4))</f>
        <v/>
      </c>
      <c r="G354" s="14">
        <f>IF(원생!$A352="","",SUMIFS(계산!$C:$C,계산!$A:$A,계산!$E352,계산!$B:$B,$B$1*100+5))</f>
        <v/>
      </c>
      <c r="H354" s="14">
        <f>IF(원생!$A352="","",SUMIFS(계산!$C:$C,계산!$A:$A,계산!$E352,계산!$B:$B,$B$1*100+6))</f>
        <v/>
      </c>
      <c r="I354" s="14">
        <f>IF(원생!$A352="","",SUMIFS(계산!$C:$C,계산!$A:$A,계산!$E352,계산!$B:$B,$B$1*100+7))</f>
        <v/>
      </c>
      <c r="J354" s="14">
        <f>IF(원생!$A352="","",SUMIFS(계산!$C:$C,계산!$A:$A,계산!$E352,계산!$B:$B,$B$1*100+8))</f>
        <v/>
      </c>
      <c r="K354" s="14">
        <f>IF(원생!$A352="","",SUMIFS(계산!$C:$C,계산!$A:$A,계산!$E352,계산!$B:$B,$B$1*100+9))</f>
        <v/>
      </c>
      <c r="L354" s="14">
        <f>IF(원생!$A352="","",SUMIFS(계산!$C:$C,계산!$A:$A,계산!$E352,계산!$B:$B,$B$1*100+10))</f>
        <v/>
      </c>
      <c r="M354" s="14">
        <f>IF(원생!$A352="","",SUMIFS(계산!$C:$C,계산!$A:$A,계산!$E352,계산!$B:$B,$B$1*100+11))</f>
        <v/>
      </c>
      <c r="N354" s="14">
        <f>IF(원생!$A352="","",SUMIFS(계산!$C:$C,계산!$A:$A,계산!$E352,계산!$B:$B,$B$1*100+12))</f>
        <v/>
      </c>
      <c r="O354">
        <f>IF(원생!$I352="","",원생!$I352)</f>
        <v/>
      </c>
      <c r="P354">
        <f>IF($A354="","",IF(AND($B354&gt;0,C354&lt;$B354,DATE($B$1,1,1)&lt;=TODAY(),OR($O354="",$O354&gt;=DATE($B$1,1,1)),OR(COUNTIF($C354:C354,"&gt;0")&gt;0,DATE($B$1,1,1)=DATE(YEAR(TODAY()),MONTH(TODAY()),1))),1,0))</f>
        <v/>
      </c>
      <c r="Q354">
        <f>IF($A354="","",IF(AND($B354&gt;0,D354&lt;$B354,DATE($B$1,2,1)&lt;=TODAY(),OR($O354="",$O354&gt;=DATE($B$1,2,1)),OR(COUNTIF($C354:D354,"&gt;0")&gt;0,DATE($B$1,2,1)=DATE(YEAR(TODAY()),MONTH(TODAY()),1))),1,0))</f>
        <v/>
      </c>
      <c r="R354">
        <f>IF($A354="","",IF(AND($B354&gt;0,E354&lt;$B354,DATE($B$1,3,1)&lt;=TODAY(),OR($O354="",$O354&gt;=DATE($B$1,3,1)),OR(COUNTIF($C354:E354,"&gt;0")&gt;0,DATE($B$1,3,1)=DATE(YEAR(TODAY()),MONTH(TODAY()),1))),1,0))</f>
        <v/>
      </c>
      <c r="S354">
        <f>IF($A354="","",IF(AND($B354&gt;0,F354&lt;$B354,DATE($B$1,4,1)&lt;=TODAY(),OR($O354="",$O354&gt;=DATE($B$1,4,1)),OR(COUNTIF($C354:F354,"&gt;0")&gt;0,DATE($B$1,4,1)=DATE(YEAR(TODAY()),MONTH(TODAY()),1))),1,0))</f>
        <v/>
      </c>
      <c r="T354">
        <f>IF($A354="","",IF(AND($B354&gt;0,G354&lt;$B354,DATE($B$1,5,1)&lt;=TODAY(),OR($O354="",$O354&gt;=DATE($B$1,5,1)),OR(COUNTIF($C354:G354,"&gt;0")&gt;0,DATE($B$1,5,1)=DATE(YEAR(TODAY()),MONTH(TODAY()),1))),1,0))</f>
        <v/>
      </c>
      <c r="U354">
        <f>IF($A354="","",IF(AND($B354&gt;0,H354&lt;$B354,DATE($B$1,6,1)&lt;=TODAY(),OR($O354="",$O354&gt;=DATE($B$1,6,1)),OR(COUNTIF($C354:H354,"&gt;0")&gt;0,DATE($B$1,6,1)=DATE(YEAR(TODAY()),MONTH(TODAY()),1))),1,0))</f>
        <v/>
      </c>
      <c r="V354">
        <f>IF($A354="","",IF(AND($B354&gt;0,I354&lt;$B354,DATE($B$1,7,1)&lt;=TODAY(),OR($O354="",$O354&gt;=DATE($B$1,7,1)),OR(COUNTIF($C354:I354,"&gt;0")&gt;0,DATE($B$1,7,1)=DATE(YEAR(TODAY()),MONTH(TODAY()),1))),1,0))</f>
        <v/>
      </c>
      <c r="W354">
        <f>IF($A354="","",IF(AND($B354&gt;0,J354&lt;$B354,DATE($B$1,8,1)&lt;=TODAY(),OR($O354="",$O354&gt;=DATE($B$1,8,1)),OR(COUNTIF($C354:J354,"&gt;0")&gt;0,DATE($B$1,8,1)=DATE(YEAR(TODAY()),MONTH(TODAY()),1))),1,0))</f>
        <v/>
      </c>
      <c r="X354">
        <f>IF($A354="","",IF(AND($B354&gt;0,K354&lt;$B354,DATE($B$1,9,1)&lt;=TODAY(),OR($O354="",$O354&gt;=DATE($B$1,9,1)),OR(COUNTIF($C354:K354,"&gt;0")&gt;0,DATE($B$1,9,1)=DATE(YEAR(TODAY()),MONTH(TODAY()),1))),1,0))</f>
        <v/>
      </c>
      <c r="Y354">
        <f>IF($A354="","",IF(AND($B354&gt;0,L354&lt;$B354,DATE($B$1,10,1)&lt;=TODAY(),OR($O354="",$O354&gt;=DATE($B$1,10,1)),OR(COUNTIF($C354:L354,"&gt;0")&gt;0,DATE($B$1,10,1)=DATE(YEAR(TODAY()),MONTH(TODAY()),1))),1,0))</f>
        <v/>
      </c>
      <c r="Z354">
        <f>IF($A354="","",IF(AND($B354&gt;0,M354&lt;$B354,DATE($B$1,11,1)&lt;=TODAY(),OR($O354="",$O354&gt;=DATE($B$1,11,1)),OR(COUNTIF($C354:M354,"&gt;0")&gt;0,DATE($B$1,11,1)=DATE(YEAR(TODAY()),MONTH(TODAY()),1))),1,0))</f>
        <v/>
      </c>
      <c r="AA354">
        <f>IF($A354="","",IF(AND($B354&gt;0,N354&lt;$B354,DATE($B$1,12,1)&lt;=TODAY(),OR($O354="",$O354&gt;=DATE($B$1,12,1)),OR(COUNTIF($C354:N354,"&gt;0")&gt;0,DATE($B$1,12,1)=DATE(YEAR(TODAY()),MONTH(TODAY()),1))),1,0))</f>
        <v/>
      </c>
    </row>
    <row r="355">
      <c r="A355" s="13">
        <f>IF(원생!$A353="","",원생!$A353&amp;IF(원생!$G353="",""," ("&amp;원생!$G353&amp;")"))</f>
        <v/>
      </c>
      <c r="B355" s="8">
        <f>IF(원생!$A353="","",N(원생!$F353))</f>
        <v/>
      </c>
      <c r="C355" s="14">
        <f>IF(원생!$A353="","",SUMIFS(계산!$C:$C,계산!$A:$A,계산!$E353,계산!$B:$B,$B$1*100+1))</f>
        <v/>
      </c>
      <c r="D355" s="14">
        <f>IF(원생!$A353="","",SUMIFS(계산!$C:$C,계산!$A:$A,계산!$E353,계산!$B:$B,$B$1*100+2))</f>
        <v/>
      </c>
      <c r="E355" s="14">
        <f>IF(원생!$A353="","",SUMIFS(계산!$C:$C,계산!$A:$A,계산!$E353,계산!$B:$B,$B$1*100+3))</f>
        <v/>
      </c>
      <c r="F355" s="14">
        <f>IF(원생!$A353="","",SUMIFS(계산!$C:$C,계산!$A:$A,계산!$E353,계산!$B:$B,$B$1*100+4))</f>
        <v/>
      </c>
      <c r="G355" s="14">
        <f>IF(원생!$A353="","",SUMIFS(계산!$C:$C,계산!$A:$A,계산!$E353,계산!$B:$B,$B$1*100+5))</f>
        <v/>
      </c>
      <c r="H355" s="14">
        <f>IF(원생!$A353="","",SUMIFS(계산!$C:$C,계산!$A:$A,계산!$E353,계산!$B:$B,$B$1*100+6))</f>
        <v/>
      </c>
      <c r="I355" s="14">
        <f>IF(원생!$A353="","",SUMIFS(계산!$C:$C,계산!$A:$A,계산!$E353,계산!$B:$B,$B$1*100+7))</f>
        <v/>
      </c>
      <c r="J355" s="14">
        <f>IF(원생!$A353="","",SUMIFS(계산!$C:$C,계산!$A:$A,계산!$E353,계산!$B:$B,$B$1*100+8))</f>
        <v/>
      </c>
      <c r="K355" s="14">
        <f>IF(원생!$A353="","",SUMIFS(계산!$C:$C,계산!$A:$A,계산!$E353,계산!$B:$B,$B$1*100+9))</f>
        <v/>
      </c>
      <c r="L355" s="14">
        <f>IF(원생!$A353="","",SUMIFS(계산!$C:$C,계산!$A:$A,계산!$E353,계산!$B:$B,$B$1*100+10))</f>
        <v/>
      </c>
      <c r="M355" s="14">
        <f>IF(원생!$A353="","",SUMIFS(계산!$C:$C,계산!$A:$A,계산!$E353,계산!$B:$B,$B$1*100+11))</f>
        <v/>
      </c>
      <c r="N355" s="14">
        <f>IF(원생!$A353="","",SUMIFS(계산!$C:$C,계산!$A:$A,계산!$E353,계산!$B:$B,$B$1*100+12))</f>
        <v/>
      </c>
      <c r="O355">
        <f>IF(원생!$I353="","",원생!$I353)</f>
        <v/>
      </c>
      <c r="P355">
        <f>IF($A355="","",IF(AND($B355&gt;0,C355&lt;$B355,DATE($B$1,1,1)&lt;=TODAY(),OR($O355="",$O355&gt;=DATE($B$1,1,1)),OR(COUNTIF($C355:C355,"&gt;0")&gt;0,DATE($B$1,1,1)=DATE(YEAR(TODAY()),MONTH(TODAY()),1))),1,0))</f>
        <v/>
      </c>
      <c r="Q355">
        <f>IF($A355="","",IF(AND($B355&gt;0,D355&lt;$B355,DATE($B$1,2,1)&lt;=TODAY(),OR($O355="",$O355&gt;=DATE($B$1,2,1)),OR(COUNTIF($C355:D355,"&gt;0")&gt;0,DATE($B$1,2,1)=DATE(YEAR(TODAY()),MONTH(TODAY()),1))),1,0))</f>
        <v/>
      </c>
      <c r="R355">
        <f>IF($A355="","",IF(AND($B355&gt;0,E355&lt;$B355,DATE($B$1,3,1)&lt;=TODAY(),OR($O355="",$O355&gt;=DATE($B$1,3,1)),OR(COUNTIF($C355:E355,"&gt;0")&gt;0,DATE($B$1,3,1)=DATE(YEAR(TODAY()),MONTH(TODAY()),1))),1,0))</f>
        <v/>
      </c>
      <c r="S355">
        <f>IF($A355="","",IF(AND($B355&gt;0,F355&lt;$B355,DATE($B$1,4,1)&lt;=TODAY(),OR($O355="",$O355&gt;=DATE($B$1,4,1)),OR(COUNTIF($C355:F355,"&gt;0")&gt;0,DATE($B$1,4,1)=DATE(YEAR(TODAY()),MONTH(TODAY()),1))),1,0))</f>
        <v/>
      </c>
      <c r="T355">
        <f>IF($A355="","",IF(AND($B355&gt;0,G355&lt;$B355,DATE($B$1,5,1)&lt;=TODAY(),OR($O355="",$O355&gt;=DATE($B$1,5,1)),OR(COUNTIF($C355:G355,"&gt;0")&gt;0,DATE($B$1,5,1)=DATE(YEAR(TODAY()),MONTH(TODAY()),1))),1,0))</f>
        <v/>
      </c>
      <c r="U355">
        <f>IF($A355="","",IF(AND($B355&gt;0,H355&lt;$B355,DATE($B$1,6,1)&lt;=TODAY(),OR($O355="",$O355&gt;=DATE($B$1,6,1)),OR(COUNTIF($C355:H355,"&gt;0")&gt;0,DATE($B$1,6,1)=DATE(YEAR(TODAY()),MONTH(TODAY()),1))),1,0))</f>
        <v/>
      </c>
      <c r="V355">
        <f>IF($A355="","",IF(AND($B355&gt;0,I355&lt;$B355,DATE($B$1,7,1)&lt;=TODAY(),OR($O355="",$O355&gt;=DATE($B$1,7,1)),OR(COUNTIF($C355:I355,"&gt;0")&gt;0,DATE($B$1,7,1)=DATE(YEAR(TODAY()),MONTH(TODAY()),1))),1,0))</f>
        <v/>
      </c>
      <c r="W355">
        <f>IF($A355="","",IF(AND($B355&gt;0,J355&lt;$B355,DATE($B$1,8,1)&lt;=TODAY(),OR($O355="",$O355&gt;=DATE($B$1,8,1)),OR(COUNTIF($C355:J355,"&gt;0")&gt;0,DATE($B$1,8,1)=DATE(YEAR(TODAY()),MONTH(TODAY()),1))),1,0))</f>
        <v/>
      </c>
      <c r="X355">
        <f>IF($A355="","",IF(AND($B355&gt;0,K355&lt;$B355,DATE($B$1,9,1)&lt;=TODAY(),OR($O355="",$O355&gt;=DATE($B$1,9,1)),OR(COUNTIF($C355:K355,"&gt;0")&gt;0,DATE($B$1,9,1)=DATE(YEAR(TODAY()),MONTH(TODAY()),1))),1,0))</f>
        <v/>
      </c>
      <c r="Y355">
        <f>IF($A355="","",IF(AND($B355&gt;0,L355&lt;$B355,DATE($B$1,10,1)&lt;=TODAY(),OR($O355="",$O355&gt;=DATE($B$1,10,1)),OR(COUNTIF($C355:L355,"&gt;0")&gt;0,DATE($B$1,10,1)=DATE(YEAR(TODAY()),MONTH(TODAY()),1))),1,0))</f>
        <v/>
      </c>
      <c r="Z355">
        <f>IF($A355="","",IF(AND($B355&gt;0,M355&lt;$B355,DATE($B$1,11,1)&lt;=TODAY(),OR($O355="",$O355&gt;=DATE($B$1,11,1)),OR(COUNTIF($C355:M355,"&gt;0")&gt;0,DATE($B$1,11,1)=DATE(YEAR(TODAY()),MONTH(TODAY()),1))),1,0))</f>
        <v/>
      </c>
      <c r="AA355">
        <f>IF($A355="","",IF(AND($B355&gt;0,N355&lt;$B355,DATE($B$1,12,1)&lt;=TODAY(),OR($O355="",$O355&gt;=DATE($B$1,12,1)),OR(COUNTIF($C355:N355,"&gt;0")&gt;0,DATE($B$1,12,1)=DATE(YEAR(TODAY()),MONTH(TODAY()),1))),1,0))</f>
        <v/>
      </c>
    </row>
    <row r="356">
      <c r="A356" s="13">
        <f>IF(원생!$A354="","",원생!$A354&amp;IF(원생!$G354="",""," ("&amp;원생!$G354&amp;")"))</f>
        <v/>
      </c>
      <c r="B356" s="8">
        <f>IF(원생!$A354="","",N(원생!$F354))</f>
        <v/>
      </c>
      <c r="C356" s="14">
        <f>IF(원생!$A354="","",SUMIFS(계산!$C:$C,계산!$A:$A,계산!$E354,계산!$B:$B,$B$1*100+1))</f>
        <v/>
      </c>
      <c r="D356" s="14">
        <f>IF(원생!$A354="","",SUMIFS(계산!$C:$C,계산!$A:$A,계산!$E354,계산!$B:$B,$B$1*100+2))</f>
        <v/>
      </c>
      <c r="E356" s="14">
        <f>IF(원생!$A354="","",SUMIFS(계산!$C:$C,계산!$A:$A,계산!$E354,계산!$B:$B,$B$1*100+3))</f>
        <v/>
      </c>
      <c r="F356" s="14">
        <f>IF(원생!$A354="","",SUMIFS(계산!$C:$C,계산!$A:$A,계산!$E354,계산!$B:$B,$B$1*100+4))</f>
        <v/>
      </c>
      <c r="G356" s="14">
        <f>IF(원생!$A354="","",SUMIFS(계산!$C:$C,계산!$A:$A,계산!$E354,계산!$B:$B,$B$1*100+5))</f>
        <v/>
      </c>
      <c r="H356" s="14">
        <f>IF(원생!$A354="","",SUMIFS(계산!$C:$C,계산!$A:$A,계산!$E354,계산!$B:$B,$B$1*100+6))</f>
        <v/>
      </c>
      <c r="I356" s="14">
        <f>IF(원생!$A354="","",SUMIFS(계산!$C:$C,계산!$A:$A,계산!$E354,계산!$B:$B,$B$1*100+7))</f>
        <v/>
      </c>
      <c r="J356" s="14">
        <f>IF(원생!$A354="","",SUMIFS(계산!$C:$C,계산!$A:$A,계산!$E354,계산!$B:$B,$B$1*100+8))</f>
        <v/>
      </c>
      <c r="K356" s="14">
        <f>IF(원생!$A354="","",SUMIFS(계산!$C:$C,계산!$A:$A,계산!$E354,계산!$B:$B,$B$1*100+9))</f>
        <v/>
      </c>
      <c r="L356" s="14">
        <f>IF(원생!$A354="","",SUMIFS(계산!$C:$C,계산!$A:$A,계산!$E354,계산!$B:$B,$B$1*100+10))</f>
        <v/>
      </c>
      <c r="M356" s="14">
        <f>IF(원생!$A354="","",SUMIFS(계산!$C:$C,계산!$A:$A,계산!$E354,계산!$B:$B,$B$1*100+11))</f>
        <v/>
      </c>
      <c r="N356" s="14">
        <f>IF(원생!$A354="","",SUMIFS(계산!$C:$C,계산!$A:$A,계산!$E354,계산!$B:$B,$B$1*100+12))</f>
        <v/>
      </c>
      <c r="O356">
        <f>IF(원생!$I354="","",원생!$I354)</f>
        <v/>
      </c>
      <c r="P356">
        <f>IF($A356="","",IF(AND($B356&gt;0,C356&lt;$B356,DATE($B$1,1,1)&lt;=TODAY(),OR($O356="",$O356&gt;=DATE($B$1,1,1)),OR(COUNTIF($C356:C356,"&gt;0")&gt;0,DATE($B$1,1,1)=DATE(YEAR(TODAY()),MONTH(TODAY()),1))),1,0))</f>
        <v/>
      </c>
      <c r="Q356">
        <f>IF($A356="","",IF(AND($B356&gt;0,D356&lt;$B356,DATE($B$1,2,1)&lt;=TODAY(),OR($O356="",$O356&gt;=DATE($B$1,2,1)),OR(COUNTIF($C356:D356,"&gt;0")&gt;0,DATE($B$1,2,1)=DATE(YEAR(TODAY()),MONTH(TODAY()),1))),1,0))</f>
        <v/>
      </c>
      <c r="R356">
        <f>IF($A356="","",IF(AND($B356&gt;0,E356&lt;$B356,DATE($B$1,3,1)&lt;=TODAY(),OR($O356="",$O356&gt;=DATE($B$1,3,1)),OR(COUNTIF($C356:E356,"&gt;0")&gt;0,DATE($B$1,3,1)=DATE(YEAR(TODAY()),MONTH(TODAY()),1))),1,0))</f>
        <v/>
      </c>
      <c r="S356">
        <f>IF($A356="","",IF(AND($B356&gt;0,F356&lt;$B356,DATE($B$1,4,1)&lt;=TODAY(),OR($O356="",$O356&gt;=DATE($B$1,4,1)),OR(COUNTIF($C356:F356,"&gt;0")&gt;0,DATE($B$1,4,1)=DATE(YEAR(TODAY()),MONTH(TODAY()),1))),1,0))</f>
        <v/>
      </c>
      <c r="T356">
        <f>IF($A356="","",IF(AND($B356&gt;0,G356&lt;$B356,DATE($B$1,5,1)&lt;=TODAY(),OR($O356="",$O356&gt;=DATE($B$1,5,1)),OR(COUNTIF($C356:G356,"&gt;0")&gt;0,DATE($B$1,5,1)=DATE(YEAR(TODAY()),MONTH(TODAY()),1))),1,0))</f>
        <v/>
      </c>
      <c r="U356">
        <f>IF($A356="","",IF(AND($B356&gt;0,H356&lt;$B356,DATE($B$1,6,1)&lt;=TODAY(),OR($O356="",$O356&gt;=DATE($B$1,6,1)),OR(COUNTIF($C356:H356,"&gt;0")&gt;0,DATE($B$1,6,1)=DATE(YEAR(TODAY()),MONTH(TODAY()),1))),1,0))</f>
        <v/>
      </c>
      <c r="V356">
        <f>IF($A356="","",IF(AND($B356&gt;0,I356&lt;$B356,DATE($B$1,7,1)&lt;=TODAY(),OR($O356="",$O356&gt;=DATE($B$1,7,1)),OR(COUNTIF($C356:I356,"&gt;0")&gt;0,DATE($B$1,7,1)=DATE(YEAR(TODAY()),MONTH(TODAY()),1))),1,0))</f>
        <v/>
      </c>
      <c r="W356">
        <f>IF($A356="","",IF(AND($B356&gt;0,J356&lt;$B356,DATE($B$1,8,1)&lt;=TODAY(),OR($O356="",$O356&gt;=DATE($B$1,8,1)),OR(COUNTIF($C356:J356,"&gt;0")&gt;0,DATE($B$1,8,1)=DATE(YEAR(TODAY()),MONTH(TODAY()),1))),1,0))</f>
        <v/>
      </c>
      <c r="X356">
        <f>IF($A356="","",IF(AND($B356&gt;0,K356&lt;$B356,DATE($B$1,9,1)&lt;=TODAY(),OR($O356="",$O356&gt;=DATE($B$1,9,1)),OR(COUNTIF($C356:K356,"&gt;0")&gt;0,DATE($B$1,9,1)=DATE(YEAR(TODAY()),MONTH(TODAY()),1))),1,0))</f>
        <v/>
      </c>
      <c r="Y356">
        <f>IF($A356="","",IF(AND($B356&gt;0,L356&lt;$B356,DATE($B$1,10,1)&lt;=TODAY(),OR($O356="",$O356&gt;=DATE($B$1,10,1)),OR(COUNTIF($C356:L356,"&gt;0")&gt;0,DATE($B$1,10,1)=DATE(YEAR(TODAY()),MONTH(TODAY()),1))),1,0))</f>
        <v/>
      </c>
      <c r="Z356">
        <f>IF($A356="","",IF(AND($B356&gt;0,M356&lt;$B356,DATE($B$1,11,1)&lt;=TODAY(),OR($O356="",$O356&gt;=DATE($B$1,11,1)),OR(COUNTIF($C356:M356,"&gt;0")&gt;0,DATE($B$1,11,1)=DATE(YEAR(TODAY()),MONTH(TODAY()),1))),1,0))</f>
        <v/>
      </c>
      <c r="AA356">
        <f>IF($A356="","",IF(AND($B356&gt;0,N356&lt;$B356,DATE($B$1,12,1)&lt;=TODAY(),OR($O356="",$O356&gt;=DATE($B$1,12,1)),OR(COUNTIF($C356:N356,"&gt;0")&gt;0,DATE($B$1,12,1)=DATE(YEAR(TODAY()),MONTH(TODAY()),1))),1,0))</f>
        <v/>
      </c>
    </row>
    <row r="357">
      <c r="A357" s="13">
        <f>IF(원생!$A355="","",원생!$A355&amp;IF(원생!$G355="",""," ("&amp;원생!$G355&amp;")"))</f>
        <v/>
      </c>
      <c r="B357" s="8">
        <f>IF(원생!$A355="","",N(원생!$F355))</f>
        <v/>
      </c>
      <c r="C357" s="14">
        <f>IF(원생!$A355="","",SUMIFS(계산!$C:$C,계산!$A:$A,계산!$E355,계산!$B:$B,$B$1*100+1))</f>
        <v/>
      </c>
      <c r="D357" s="14">
        <f>IF(원생!$A355="","",SUMIFS(계산!$C:$C,계산!$A:$A,계산!$E355,계산!$B:$B,$B$1*100+2))</f>
        <v/>
      </c>
      <c r="E357" s="14">
        <f>IF(원생!$A355="","",SUMIFS(계산!$C:$C,계산!$A:$A,계산!$E355,계산!$B:$B,$B$1*100+3))</f>
        <v/>
      </c>
      <c r="F357" s="14">
        <f>IF(원생!$A355="","",SUMIFS(계산!$C:$C,계산!$A:$A,계산!$E355,계산!$B:$B,$B$1*100+4))</f>
        <v/>
      </c>
      <c r="G357" s="14">
        <f>IF(원생!$A355="","",SUMIFS(계산!$C:$C,계산!$A:$A,계산!$E355,계산!$B:$B,$B$1*100+5))</f>
        <v/>
      </c>
      <c r="H357" s="14">
        <f>IF(원생!$A355="","",SUMIFS(계산!$C:$C,계산!$A:$A,계산!$E355,계산!$B:$B,$B$1*100+6))</f>
        <v/>
      </c>
      <c r="I357" s="14">
        <f>IF(원생!$A355="","",SUMIFS(계산!$C:$C,계산!$A:$A,계산!$E355,계산!$B:$B,$B$1*100+7))</f>
        <v/>
      </c>
      <c r="J357" s="14">
        <f>IF(원생!$A355="","",SUMIFS(계산!$C:$C,계산!$A:$A,계산!$E355,계산!$B:$B,$B$1*100+8))</f>
        <v/>
      </c>
      <c r="K357" s="14">
        <f>IF(원생!$A355="","",SUMIFS(계산!$C:$C,계산!$A:$A,계산!$E355,계산!$B:$B,$B$1*100+9))</f>
        <v/>
      </c>
      <c r="L357" s="14">
        <f>IF(원생!$A355="","",SUMIFS(계산!$C:$C,계산!$A:$A,계산!$E355,계산!$B:$B,$B$1*100+10))</f>
        <v/>
      </c>
      <c r="M357" s="14">
        <f>IF(원생!$A355="","",SUMIFS(계산!$C:$C,계산!$A:$A,계산!$E355,계산!$B:$B,$B$1*100+11))</f>
        <v/>
      </c>
      <c r="N357" s="14">
        <f>IF(원생!$A355="","",SUMIFS(계산!$C:$C,계산!$A:$A,계산!$E355,계산!$B:$B,$B$1*100+12))</f>
        <v/>
      </c>
      <c r="O357">
        <f>IF(원생!$I355="","",원생!$I355)</f>
        <v/>
      </c>
      <c r="P357">
        <f>IF($A357="","",IF(AND($B357&gt;0,C357&lt;$B357,DATE($B$1,1,1)&lt;=TODAY(),OR($O357="",$O357&gt;=DATE($B$1,1,1)),OR(COUNTIF($C357:C357,"&gt;0")&gt;0,DATE($B$1,1,1)=DATE(YEAR(TODAY()),MONTH(TODAY()),1))),1,0))</f>
        <v/>
      </c>
      <c r="Q357">
        <f>IF($A357="","",IF(AND($B357&gt;0,D357&lt;$B357,DATE($B$1,2,1)&lt;=TODAY(),OR($O357="",$O357&gt;=DATE($B$1,2,1)),OR(COUNTIF($C357:D357,"&gt;0")&gt;0,DATE($B$1,2,1)=DATE(YEAR(TODAY()),MONTH(TODAY()),1))),1,0))</f>
        <v/>
      </c>
      <c r="R357">
        <f>IF($A357="","",IF(AND($B357&gt;0,E357&lt;$B357,DATE($B$1,3,1)&lt;=TODAY(),OR($O357="",$O357&gt;=DATE($B$1,3,1)),OR(COUNTIF($C357:E357,"&gt;0")&gt;0,DATE($B$1,3,1)=DATE(YEAR(TODAY()),MONTH(TODAY()),1))),1,0))</f>
        <v/>
      </c>
      <c r="S357">
        <f>IF($A357="","",IF(AND($B357&gt;0,F357&lt;$B357,DATE($B$1,4,1)&lt;=TODAY(),OR($O357="",$O357&gt;=DATE($B$1,4,1)),OR(COUNTIF($C357:F357,"&gt;0")&gt;0,DATE($B$1,4,1)=DATE(YEAR(TODAY()),MONTH(TODAY()),1))),1,0))</f>
        <v/>
      </c>
      <c r="T357">
        <f>IF($A357="","",IF(AND($B357&gt;0,G357&lt;$B357,DATE($B$1,5,1)&lt;=TODAY(),OR($O357="",$O357&gt;=DATE($B$1,5,1)),OR(COUNTIF($C357:G357,"&gt;0")&gt;0,DATE($B$1,5,1)=DATE(YEAR(TODAY()),MONTH(TODAY()),1))),1,0))</f>
        <v/>
      </c>
      <c r="U357">
        <f>IF($A357="","",IF(AND($B357&gt;0,H357&lt;$B357,DATE($B$1,6,1)&lt;=TODAY(),OR($O357="",$O357&gt;=DATE($B$1,6,1)),OR(COUNTIF($C357:H357,"&gt;0")&gt;0,DATE($B$1,6,1)=DATE(YEAR(TODAY()),MONTH(TODAY()),1))),1,0))</f>
        <v/>
      </c>
      <c r="V357">
        <f>IF($A357="","",IF(AND($B357&gt;0,I357&lt;$B357,DATE($B$1,7,1)&lt;=TODAY(),OR($O357="",$O357&gt;=DATE($B$1,7,1)),OR(COUNTIF($C357:I357,"&gt;0")&gt;0,DATE($B$1,7,1)=DATE(YEAR(TODAY()),MONTH(TODAY()),1))),1,0))</f>
        <v/>
      </c>
      <c r="W357">
        <f>IF($A357="","",IF(AND($B357&gt;0,J357&lt;$B357,DATE($B$1,8,1)&lt;=TODAY(),OR($O357="",$O357&gt;=DATE($B$1,8,1)),OR(COUNTIF($C357:J357,"&gt;0")&gt;0,DATE($B$1,8,1)=DATE(YEAR(TODAY()),MONTH(TODAY()),1))),1,0))</f>
        <v/>
      </c>
      <c r="X357">
        <f>IF($A357="","",IF(AND($B357&gt;0,K357&lt;$B357,DATE($B$1,9,1)&lt;=TODAY(),OR($O357="",$O357&gt;=DATE($B$1,9,1)),OR(COUNTIF($C357:K357,"&gt;0")&gt;0,DATE($B$1,9,1)=DATE(YEAR(TODAY()),MONTH(TODAY()),1))),1,0))</f>
        <v/>
      </c>
      <c r="Y357">
        <f>IF($A357="","",IF(AND($B357&gt;0,L357&lt;$B357,DATE($B$1,10,1)&lt;=TODAY(),OR($O357="",$O357&gt;=DATE($B$1,10,1)),OR(COUNTIF($C357:L357,"&gt;0")&gt;0,DATE($B$1,10,1)=DATE(YEAR(TODAY()),MONTH(TODAY()),1))),1,0))</f>
        <v/>
      </c>
      <c r="Z357">
        <f>IF($A357="","",IF(AND($B357&gt;0,M357&lt;$B357,DATE($B$1,11,1)&lt;=TODAY(),OR($O357="",$O357&gt;=DATE($B$1,11,1)),OR(COUNTIF($C357:M357,"&gt;0")&gt;0,DATE($B$1,11,1)=DATE(YEAR(TODAY()),MONTH(TODAY()),1))),1,0))</f>
        <v/>
      </c>
      <c r="AA357">
        <f>IF($A357="","",IF(AND($B357&gt;0,N357&lt;$B357,DATE($B$1,12,1)&lt;=TODAY(),OR($O357="",$O357&gt;=DATE($B$1,12,1)),OR(COUNTIF($C357:N357,"&gt;0")&gt;0,DATE($B$1,12,1)=DATE(YEAR(TODAY()),MONTH(TODAY()),1))),1,0))</f>
        <v/>
      </c>
    </row>
    <row r="358">
      <c r="A358" s="13">
        <f>IF(원생!$A356="","",원생!$A356&amp;IF(원생!$G356="",""," ("&amp;원생!$G356&amp;")"))</f>
        <v/>
      </c>
      <c r="B358" s="8">
        <f>IF(원생!$A356="","",N(원생!$F356))</f>
        <v/>
      </c>
      <c r="C358" s="14">
        <f>IF(원생!$A356="","",SUMIFS(계산!$C:$C,계산!$A:$A,계산!$E356,계산!$B:$B,$B$1*100+1))</f>
        <v/>
      </c>
      <c r="D358" s="14">
        <f>IF(원생!$A356="","",SUMIFS(계산!$C:$C,계산!$A:$A,계산!$E356,계산!$B:$B,$B$1*100+2))</f>
        <v/>
      </c>
      <c r="E358" s="14">
        <f>IF(원생!$A356="","",SUMIFS(계산!$C:$C,계산!$A:$A,계산!$E356,계산!$B:$B,$B$1*100+3))</f>
        <v/>
      </c>
      <c r="F358" s="14">
        <f>IF(원생!$A356="","",SUMIFS(계산!$C:$C,계산!$A:$A,계산!$E356,계산!$B:$B,$B$1*100+4))</f>
        <v/>
      </c>
      <c r="G358" s="14">
        <f>IF(원생!$A356="","",SUMIFS(계산!$C:$C,계산!$A:$A,계산!$E356,계산!$B:$B,$B$1*100+5))</f>
        <v/>
      </c>
      <c r="H358" s="14">
        <f>IF(원생!$A356="","",SUMIFS(계산!$C:$C,계산!$A:$A,계산!$E356,계산!$B:$B,$B$1*100+6))</f>
        <v/>
      </c>
      <c r="I358" s="14">
        <f>IF(원생!$A356="","",SUMIFS(계산!$C:$C,계산!$A:$A,계산!$E356,계산!$B:$B,$B$1*100+7))</f>
        <v/>
      </c>
      <c r="J358" s="14">
        <f>IF(원생!$A356="","",SUMIFS(계산!$C:$C,계산!$A:$A,계산!$E356,계산!$B:$B,$B$1*100+8))</f>
        <v/>
      </c>
      <c r="K358" s="14">
        <f>IF(원생!$A356="","",SUMIFS(계산!$C:$C,계산!$A:$A,계산!$E356,계산!$B:$B,$B$1*100+9))</f>
        <v/>
      </c>
      <c r="L358" s="14">
        <f>IF(원생!$A356="","",SUMIFS(계산!$C:$C,계산!$A:$A,계산!$E356,계산!$B:$B,$B$1*100+10))</f>
        <v/>
      </c>
      <c r="M358" s="14">
        <f>IF(원생!$A356="","",SUMIFS(계산!$C:$C,계산!$A:$A,계산!$E356,계산!$B:$B,$B$1*100+11))</f>
        <v/>
      </c>
      <c r="N358" s="14">
        <f>IF(원생!$A356="","",SUMIFS(계산!$C:$C,계산!$A:$A,계산!$E356,계산!$B:$B,$B$1*100+12))</f>
        <v/>
      </c>
      <c r="O358">
        <f>IF(원생!$I356="","",원생!$I356)</f>
        <v/>
      </c>
      <c r="P358">
        <f>IF($A358="","",IF(AND($B358&gt;0,C358&lt;$B358,DATE($B$1,1,1)&lt;=TODAY(),OR($O358="",$O358&gt;=DATE($B$1,1,1)),OR(COUNTIF($C358:C358,"&gt;0")&gt;0,DATE($B$1,1,1)=DATE(YEAR(TODAY()),MONTH(TODAY()),1))),1,0))</f>
        <v/>
      </c>
      <c r="Q358">
        <f>IF($A358="","",IF(AND($B358&gt;0,D358&lt;$B358,DATE($B$1,2,1)&lt;=TODAY(),OR($O358="",$O358&gt;=DATE($B$1,2,1)),OR(COUNTIF($C358:D358,"&gt;0")&gt;0,DATE($B$1,2,1)=DATE(YEAR(TODAY()),MONTH(TODAY()),1))),1,0))</f>
        <v/>
      </c>
      <c r="R358">
        <f>IF($A358="","",IF(AND($B358&gt;0,E358&lt;$B358,DATE($B$1,3,1)&lt;=TODAY(),OR($O358="",$O358&gt;=DATE($B$1,3,1)),OR(COUNTIF($C358:E358,"&gt;0")&gt;0,DATE($B$1,3,1)=DATE(YEAR(TODAY()),MONTH(TODAY()),1))),1,0))</f>
        <v/>
      </c>
      <c r="S358">
        <f>IF($A358="","",IF(AND($B358&gt;0,F358&lt;$B358,DATE($B$1,4,1)&lt;=TODAY(),OR($O358="",$O358&gt;=DATE($B$1,4,1)),OR(COUNTIF($C358:F358,"&gt;0")&gt;0,DATE($B$1,4,1)=DATE(YEAR(TODAY()),MONTH(TODAY()),1))),1,0))</f>
        <v/>
      </c>
      <c r="T358">
        <f>IF($A358="","",IF(AND($B358&gt;0,G358&lt;$B358,DATE($B$1,5,1)&lt;=TODAY(),OR($O358="",$O358&gt;=DATE($B$1,5,1)),OR(COUNTIF($C358:G358,"&gt;0")&gt;0,DATE($B$1,5,1)=DATE(YEAR(TODAY()),MONTH(TODAY()),1))),1,0))</f>
        <v/>
      </c>
      <c r="U358">
        <f>IF($A358="","",IF(AND($B358&gt;0,H358&lt;$B358,DATE($B$1,6,1)&lt;=TODAY(),OR($O358="",$O358&gt;=DATE($B$1,6,1)),OR(COUNTIF($C358:H358,"&gt;0")&gt;0,DATE($B$1,6,1)=DATE(YEAR(TODAY()),MONTH(TODAY()),1))),1,0))</f>
        <v/>
      </c>
      <c r="V358">
        <f>IF($A358="","",IF(AND($B358&gt;0,I358&lt;$B358,DATE($B$1,7,1)&lt;=TODAY(),OR($O358="",$O358&gt;=DATE($B$1,7,1)),OR(COUNTIF($C358:I358,"&gt;0")&gt;0,DATE($B$1,7,1)=DATE(YEAR(TODAY()),MONTH(TODAY()),1))),1,0))</f>
        <v/>
      </c>
      <c r="W358">
        <f>IF($A358="","",IF(AND($B358&gt;0,J358&lt;$B358,DATE($B$1,8,1)&lt;=TODAY(),OR($O358="",$O358&gt;=DATE($B$1,8,1)),OR(COUNTIF($C358:J358,"&gt;0")&gt;0,DATE($B$1,8,1)=DATE(YEAR(TODAY()),MONTH(TODAY()),1))),1,0))</f>
        <v/>
      </c>
      <c r="X358">
        <f>IF($A358="","",IF(AND($B358&gt;0,K358&lt;$B358,DATE($B$1,9,1)&lt;=TODAY(),OR($O358="",$O358&gt;=DATE($B$1,9,1)),OR(COUNTIF($C358:K358,"&gt;0")&gt;0,DATE($B$1,9,1)=DATE(YEAR(TODAY()),MONTH(TODAY()),1))),1,0))</f>
        <v/>
      </c>
      <c r="Y358">
        <f>IF($A358="","",IF(AND($B358&gt;0,L358&lt;$B358,DATE($B$1,10,1)&lt;=TODAY(),OR($O358="",$O358&gt;=DATE($B$1,10,1)),OR(COUNTIF($C358:L358,"&gt;0")&gt;0,DATE($B$1,10,1)=DATE(YEAR(TODAY()),MONTH(TODAY()),1))),1,0))</f>
        <v/>
      </c>
      <c r="Z358">
        <f>IF($A358="","",IF(AND($B358&gt;0,M358&lt;$B358,DATE($B$1,11,1)&lt;=TODAY(),OR($O358="",$O358&gt;=DATE($B$1,11,1)),OR(COUNTIF($C358:M358,"&gt;0")&gt;0,DATE($B$1,11,1)=DATE(YEAR(TODAY()),MONTH(TODAY()),1))),1,0))</f>
        <v/>
      </c>
      <c r="AA358">
        <f>IF($A358="","",IF(AND($B358&gt;0,N358&lt;$B358,DATE($B$1,12,1)&lt;=TODAY(),OR($O358="",$O358&gt;=DATE($B$1,12,1)),OR(COUNTIF($C358:N358,"&gt;0")&gt;0,DATE($B$1,12,1)=DATE(YEAR(TODAY()),MONTH(TODAY()),1))),1,0))</f>
        <v/>
      </c>
    </row>
    <row r="359">
      <c r="A359" s="13">
        <f>IF(원생!$A357="","",원생!$A357&amp;IF(원생!$G357="",""," ("&amp;원생!$G357&amp;")"))</f>
        <v/>
      </c>
      <c r="B359" s="8">
        <f>IF(원생!$A357="","",N(원생!$F357))</f>
        <v/>
      </c>
      <c r="C359" s="14">
        <f>IF(원생!$A357="","",SUMIFS(계산!$C:$C,계산!$A:$A,계산!$E357,계산!$B:$B,$B$1*100+1))</f>
        <v/>
      </c>
      <c r="D359" s="14">
        <f>IF(원생!$A357="","",SUMIFS(계산!$C:$C,계산!$A:$A,계산!$E357,계산!$B:$B,$B$1*100+2))</f>
        <v/>
      </c>
      <c r="E359" s="14">
        <f>IF(원생!$A357="","",SUMIFS(계산!$C:$C,계산!$A:$A,계산!$E357,계산!$B:$B,$B$1*100+3))</f>
        <v/>
      </c>
      <c r="F359" s="14">
        <f>IF(원생!$A357="","",SUMIFS(계산!$C:$C,계산!$A:$A,계산!$E357,계산!$B:$B,$B$1*100+4))</f>
        <v/>
      </c>
      <c r="G359" s="14">
        <f>IF(원생!$A357="","",SUMIFS(계산!$C:$C,계산!$A:$A,계산!$E357,계산!$B:$B,$B$1*100+5))</f>
        <v/>
      </c>
      <c r="H359" s="14">
        <f>IF(원생!$A357="","",SUMIFS(계산!$C:$C,계산!$A:$A,계산!$E357,계산!$B:$B,$B$1*100+6))</f>
        <v/>
      </c>
      <c r="I359" s="14">
        <f>IF(원생!$A357="","",SUMIFS(계산!$C:$C,계산!$A:$A,계산!$E357,계산!$B:$B,$B$1*100+7))</f>
        <v/>
      </c>
      <c r="J359" s="14">
        <f>IF(원생!$A357="","",SUMIFS(계산!$C:$C,계산!$A:$A,계산!$E357,계산!$B:$B,$B$1*100+8))</f>
        <v/>
      </c>
      <c r="K359" s="14">
        <f>IF(원생!$A357="","",SUMIFS(계산!$C:$C,계산!$A:$A,계산!$E357,계산!$B:$B,$B$1*100+9))</f>
        <v/>
      </c>
      <c r="L359" s="14">
        <f>IF(원생!$A357="","",SUMIFS(계산!$C:$C,계산!$A:$A,계산!$E357,계산!$B:$B,$B$1*100+10))</f>
        <v/>
      </c>
      <c r="M359" s="14">
        <f>IF(원생!$A357="","",SUMIFS(계산!$C:$C,계산!$A:$A,계산!$E357,계산!$B:$B,$B$1*100+11))</f>
        <v/>
      </c>
      <c r="N359" s="14">
        <f>IF(원생!$A357="","",SUMIFS(계산!$C:$C,계산!$A:$A,계산!$E357,계산!$B:$B,$B$1*100+12))</f>
        <v/>
      </c>
      <c r="O359">
        <f>IF(원생!$I357="","",원생!$I357)</f>
        <v/>
      </c>
      <c r="P359">
        <f>IF($A359="","",IF(AND($B359&gt;0,C359&lt;$B359,DATE($B$1,1,1)&lt;=TODAY(),OR($O359="",$O359&gt;=DATE($B$1,1,1)),OR(COUNTIF($C359:C359,"&gt;0")&gt;0,DATE($B$1,1,1)=DATE(YEAR(TODAY()),MONTH(TODAY()),1))),1,0))</f>
        <v/>
      </c>
      <c r="Q359">
        <f>IF($A359="","",IF(AND($B359&gt;0,D359&lt;$B359,DATE($B$1,2,1)&lt;=TODAY(),OR($O359="",$O359&gt;=DATE($B$1,2,1)),OR(COUNTIF($C359:D359,"&gt;0")&gt;0,DATE($B$1,2,1)=DATE(YEAR(TODAY()),MONTH(TODAY()),1))),1,0))</f>
        <v/>
      </c>
      <c r="R359">
        <f>IF($A359="","",IF(AND($B359&gt;0,E359&lt;$B359,DATE($B$1,3,1)&lt;=TODAY(),OR($O359="",$O359&gt;=DATE($B$1,3,1)),OR(COUNTIF($C359:E359,"&gt;0")&gt;0,DATE($B$1,3,1)=DATE(YEAR(TODAY()),MONTH(TODAY()),1))),1,0))</f>
        <v/>
      </c>
      <c r="S359">
        <f>IF($A359="","",IF(AND($B359&gt;0,F359&lt;$B359,DATE($B$1,4,1)&lt;=TODAY(),OR($O359="",$O359&gt;=DATE($B$1,4,1)),OR(COUNTIF($C359:F359,"&gt;0")&gt;0,DATE($B$1,4,1)=DATE(YEAR(TODAY()),MONTH(TODAY()),1))),1,0))</f>
        <v/>
      </c>
      <c r="T359">
        <f>IF($A359="","",IF(AND($B359&gt;0,G359&lt;$B359,DATE($B$1,5,1)&lt;=TODAY(),OR($O359="",$O359&gt;=DATE($B$1,5,1)),OR(COUNTIF($C359:G359,"&gt;0")&gt;0,DATE($B$1,5,1)=DATE(YEAR(TODAY()),MONTH(TODAY()),1))),1,0))</f>
        <v/>
      </c>
      <c r="U359">
        <f>IF($A359="","",IF(AND($B359&gt;0,H359&lt;$B359,DATE($B$1,6,1)&lt;=TODAY(),OR($O359="",$O359&gt;=DATE($B$1,6,1)),OR(COUNTIF($C359:H359,"&gt;0")&gt;0,DATE($B$1,6,1)=DATE(YEAR(TODAY()),MONTH(TODAY()),1))),1,0))</f>
        <v/>
      </c>
      <c r="V359">
        <f>IF($A359="","",IF(AND($B359&gt;0,I359&lt;$B359,DATE($B$1,7,1)&lt;=TODAY(),OR($O359="",$O359&gt;=DATE($B$1,7,1)),OR(COUNTIF($C359:I359,"&gt;0")&gt;0,DATE($B$1,7,1)=DATE(YEAR(TODAY()),MONTH(TODAY()),1))),1,0))</f>
        <v/>
      </c>
      <c r="W359">
        <f>IF($A359="","",IF(AND($B359&gt;0,J359&lt;$B359,DATE($B$1,8,1)&lt;=TODAY(),OR($O359="",$O359&gt;=DATE($B$1,8,1)),OR(COUNTIF($C359:J359,"&gt;0")&gt;0,DATE($B$1,8,1)=DATE(YEAR(TODAY()),MONTH(TODAY()),1))),1,0))</f>
        <v/>
      </c>
      <c r="X359">
        <f>IF($A359="","",IF(AND($B359&gt;0,K359&lt;$B359,DATE($B$1,9,1)&lt;=TODAY(),OR($O359="",$O359&gt;=DATE($B$1,9,1)),OR(COUNTIF($C359:K359,"&gt;0")&gt;0,DATE($B$1,9,1)=DATE(YEAR(TODAY()),MONTH(TODAY()),1))),1,0))</f>
        <v/>
      </c>
      <c r="Y359">
        <f>IF($A359="","",IF(AND($B359&gt;0,L359&lt;$B359,DATE($B$1,10,1)&lt;=TODAY(),OR($O359="",$O359&gt;=DATE($B$1,10,1)),OR(COUNTIF($C359:L359,"&gt;0")&gt;0,DATE($B$1,10,1)=DATE(YEAR(TODAY()),MONTH(TODAY()),1))),1,0))</f>
        <v/>
      </c>
      <c r="Z359">
        <f>IF($A359="","",IF(AND($B359&gt;0,M359&lt;$B359,DATE($B$1,11,1)&lt;=TODAY(),OR($O359="",$O359&gt;=DATE($B$1,11,1)),OR(COUNTIF($C359:M359,"&gt;0")&gt;0,DATE($B$1,11,1)=DATE(YEAR(TODAY()),MONTH(TODAY()),1))),1,0))</f>
        <v/>
      </c>
      <c r="AA359">
        <f>IF($A359="","",IF(AND($B359&gt;0,N359&lt;$B359,DATE($B$1,12,1)&lt;=TODAY(),OR($O359="",$O359&gt;=DATE($B$1,12,1)),OR(COUNTIF($C359:N359,"&gt;0")&gt;0,DATE($B$1,12,1)=DATE(YEAR(TODAY()),MONTH(TODAY()),1))),1,0))</f>
        <v/>
      </c>
    </row>
    <row r="360">
      <c r="A360" s="13">
        <f>IF(원생!$A358="","",원생!$A358&amp;IF(원생!$G358="",""," ("&amp;원생!$G358&amp;")"))</f>
        <v/>
      </c>
      <c r="B360" s="8">
        <f>IF(원생!$A358="","",N(원생!$F358))</f>
        <v/>
      </c>
      <c r="C360" s="14">
        <f>IF(원생!$A358="","",SUMIFS(계산!$C:$C,계산!$A:$A,계산!$E358,계산!$B:$B,$B$1*100+1))</f>
        <v/>
      </c>
      <c r="D360" s="14">
        <f>IF(원생!$A358="","",SUMIFS(계산!$C:$C,계산!$A:$A,계산!$E358,계산!$B:$B,$B$1*100+2))</f>
        <v/>
      </c>
      <c r="E360" s="14">
        <f>IF(원생!$A358="","",SUMIFS(계산!$C:$C,계산!$A:$A,계산!$E358,계산!$B:$B,$B$1*100+3))</f>
        <v/>
      </c>
      <c r="F360" s="14">
        <f>IF(원생!$A358="","",SUMIFS(계산!$C:$C,계산!$A:$A,계산!$E358,계산!$B:$B,$B$1*100+4))</f>
        <v/>
      </c>
      <c r="G360" s="14">
        <f>IF(원생!$A358="","",SUMIFS(계산!$C:$C,계산!$A:$A,계산!$E358,계산!$B:$B,$B$1*100+5))</f>
        <v/>
      </c>
      <c r="H360" s="14">
        <f>IF(원생!$A358="","",SUMIFS(계산!$C:$C,계산!$A:$A,계산!$E358,계산!$B:$B,$B$1*100+6))</f>
        <v/>
      </c>
      <c r="I360" s="14">
        <f>IF(원생!$A358="","",SUMIFS(계산!$C:$C,계산!$A:$A,계산!$E358,계산!$B:$B,$B$1*100+7))</f>
        <v/>
      </c>
      <c r="J360" s="14">
        <f>IF(원생!$A358="","",SUMIFS(계산!$C:$C,계산!$A:$A,계산!$E358,계산!$B:$B,$B$1*100+8))</f>
        <v/>
      </c>
      <c r="K360" s="14">
        <f>IF(원생!$A358="","",SUMIFS(계산!$C:$C,계산!$A:$A,계산!$E358,계산!$B:$B,$B$1*100+9))</f>
        <v/>
      </c>
      <c r="L360" s="14">
        <f>IF(원생!$A358="","",SUMIFS(계산!$C:$C,계산!$A:$A,계산!$E358,계산!$B:$B,$B$1*100+10))</f>
        <v/>
      </c>
      <c r="M360" s="14">
        <f>IF(원생!$A358="","",SUMIFS(계산!$C:$C,계산!$A:$A,계산!$E358,계산!$B:$B,$B$1*100+11))</f>
        <v/>
      </c>
      <c r="N360" s="14">
        <f>IF(원생!$A358="","",SUMIFS(계산!$C:$C,계산!$A:$A,계산!$E358,계산!$B:$B,$B$1*100+12))</f>
        <v/>
      </c>
      <c r="O360">
        <f>IF(원생!$I358="","",원생!$I358)</f>
        <v/>
      </c>
      <c r="P360">
        <f>IF($A360="","",IF(AND($B360&gt;0,C360&lt;$B360,DATE($B$1,1,1)&lt;=TODAY(),OR($O360="",$O360&gt;=DATE($B$1,1,1)),OR(COUNTIF($C360:C360,"&gt;0")&gt;0,DATE($B$1,1,1)=DATE(YEAR(TODAY()),MONTH(TODAY()),1))),1,0))</f>
        <v/>
      </c>
      <c r="Q360">
        <f>IF($A360="","",IF(AND($B360&gt;0,D360&lt;$B360,DATE($B$1,2,1)&lt;=TODAY(),OR($O360="",$O360&gt;=DATE($B$1,2,1)),OR(COUNTIF($C360:D360,"&gt;0")&gt;0,DATE($B$1,2,1)=DATE(YEAR(TODAY()),MONTH(TODAY()),1))),1,0))</f>
        <v/>
      </c>
      <c r="R360">
        <f>IF($A360="","",IF(AND($B360&gt;0,E360&lt;$B360,DATE($B$1,3,1)&lt;=TODAY(),OR($O360="",$O360&gt;=DATE($B$1,3,1)),OR(COUNTIF($C360:E360,"&gt;0")&gt;0,DATE($B$1,3,1)=DATE(YEAR(TODAY()),MONTH(TODAY()),1))),1,0))</f>
        <v/>
      </c>
      <c r="S360">
        <f>IF($A360="","",IF(AND($B360&gt;0,F360&lt;$B360,DATE($B$1,4,1)&lt;=TODAY(),OR($O360="",$O360&gt;=DATE($B$1,4,1)),OR(COUNTIF($C360:F360,"&gt;0")&gt;0,DATE($B$1,4,1)=DATE(YEAR(TODAY()),MONTH(TODAY()),1))),1,0))</f>
        <v/>
      </c>
      <c r="T360">
        <f>IF($A360="","",IF(AND($B360&gt;0,G360&lt;$B360,DATE($B$1,5,1)&lt;=TODAY(),OR($O360="",$O360&gt;=DATE($B$1,5,1)),OR(COUNTIF($C360:G360,"&gt;0")&gt;0,DATE($B$1,5,1)=DATE(YEAR(TODAY()),MONTH(TODAY()),1))),1,0))</f>
        <v/>
      </c>
      <c r="U360">
        <f>IF($A360="","",IF(AND($B360&gt;0,H360&lt;$B360,DATE($B$1,6,1)&lt;=TODAY(),OR($O360="",$O360&gt;=DATE($B$1,6,1)),OR(COUNTIF($C360:H360,"&gt;0")&gt;0,DATE($B$1,6,1)=DATE(YEAR(TODAY()),MONTH(TODAY()),1))),1,0))</f>
        <v/>
      </c>
      <c r="V360">
        <f>IF($A360="","",IF(AND($B360&gt;0,I360&lt;$B360,DATE($B$1,7,1)&lt;=TODAY(),OR($O360="",$O360&gt;=DATE($B$1,7,1)),OR(COUNTIF($C360:I360,"&gt;0")&gt;0,DATE($B$1,7,1)=DATE(YEAR(TODAY()),MONTH(TODAY()),1))),1,0))</f>
        <v/>
      </c>
      <c r="W360">
        <f>IF($A360="","",IF(AND($B360&gt;0,J360&lt;$B360,DATE($B$1,8,1)&lt;=TODAY(),OR($O360="",$O360&gt;=DATE($B$1,8,1)),OR(COUNTIF($C360:J360,"&gt;0")&gt;0,DATE($B$1,8,1)=DATE(YEAR(TODAY()),MONTH(TODAY()),1))),1,0))</f>
        <v/>
      </c>
      <c r="X360">
        <f>IF($A360="","",IF(AND($B360&gt;0,K360&lt;$B360,DATE($B$1,9,1)&lt;=TODAY(),OR($O360="",$O360&gt;=DATE($B$1,9,1)),OR(COUNTIF($C360:K360,"&gt;0")&gt;0,DATE($B$1,9,1)=DATE(YEAR(TODAY()),MONTH(TODAY()),1))),1,0))</f>
        <v/>
      </c>
      <c r="Y360">
        <f>IF($A360="","",IF(AND($B360&gt;0,L360&lt;$B360,DATE($B$1,10,1)&lt;=TODAY(),OR($O360="",$O360&gt;=DATE($B$1,10,1)),OR(COUNTIF($C360:L360,"&gt;0")&gt;0,DATE($B$1,10,1)=DATE(YEAR(TODAY()),MONTH(TODAY()),1))),1,0))</f>
        <v/>
      </c>
      <c r="Z360">
        <f>IF($A360="","",IF(AND($B360&gt;0,M360&lt;$B360,DATE($B$1,11,1)&lt;=TODAY(),OR($O360="",$O360&gt;=DATE($B$1,11,1)),OR(COUNTIF($C360:M360,"&gt;0")&gt;0,DATE($B$1,11,1)=DATE(YEAR(TODAY()),MONTH(TODAY()),1))),1,0))</f>
        <v/>
      </c>
      <c r="AA360">
        <f>IF($A360="","",IF(AND($B360&gt;0,N360&lt;$B360,DATE($B$1,12,1)&lt;=TODAY(),OR($O360="",$O360&gt;=DATE($B$1,12,1)),OR(COUNTIF($C360:N360,"&gt;0")&gt;0,DATE($B$1,12,1)=DATE(YEAR(TODAY()),MONTH(TODAY()),1))),1,0))</f>
        <v/>
      </c>
    </row>
    <row r="361">
      <c r="A361" s="13">
        <f>IF(원생!$A359="","",원생!$A359&amp;IF(원생!$G359="",""," ("&amp;원생!$G359&amp;")"))</f>
        <v/>
      </c>
      <c r="B361" s="8">
        <f>IF(원생!$A359="","",N(원생!$F359))</f>
        <v/>
      </c>
      <c r="C361" s="14">
        <f>IF(원생!$A359="","",SUMIFS(계산!$C:$C,계산!$A:$A,계산!$E359,계산!$B:$B,$B$1*100+1))</f>
        <v/>
      </c>
      <c r="D361" s="14">
        <f>IF(원생!$A359="","",SUMIFS(계산!$C:$C,계산!$A:$A,계산!$E359,계산!$B:$B,$B$1*100+2))</f>
        <v/>
      </c>
      <c r="E361" s="14">
        <f>IF(원생!$A359="","",SUMIFS(계산!$C:$C,계산!$A:$A,계산!$E359,계산!$B:$B,$B$1*100+3))</f>
        <v/>
      </c>
      <c r="F361" s="14">
        <f>IF(원생!$A359="","",SUMIFS(계산!$C:$C,계산!$A:$A,계산!$E359,계산!$B:$B,$B$1*100+4))</f>
        <v/>
      </c>
      <c r="G361" s="14">
        <f>IF(원생!$A359="","",SUMIFS(계산!$C:$C,계산!$A:$A,계산!$E359,계산!$B:$B,$B$1*100+5))</f>
        <v/>
      </c>
      <c r="H361" s="14">
        <f>IF(원생!$A359="","",SUMIFS(계산!$C:$C,계산!$A:$A,계산!$E359,계산!$B:$B,$B$1*100+6))</f>
        <v/>
      </c>
      <c r="I361" s="14">
        <f>IF(원생!$A359="","",SUMIFS(계산!$C:$C,계산!$A:$A,계산!$E359,계산!$B:$B,$B$1*100+7))</f>
        <v/>
      </c>
      <c r="J361" s="14">
        <f>IF(원생!$A359="","",SUMIFS(계산!$C:$C,계산!$A:$A,계산!$E359,계산!$B:$B,$B$1*100+8))</f>
        <v/>
      </c>
      <c r="K361" s="14">
        <f>IF(원생!$A359="","",SUMIFS(계산!$C:$C,계산!$A:$A,계산!$E359,계산!$B:$B,$B$1*100+9))</f>
        <v/>
      </c>
      <c r="L361" s="14">
        <f>IF(원생!$A359="","",SUMIFS(계산!$C:$C,계산!$A:$A,계산!$E359,계산!$B:$B,$B$1*100+10))</f>
        <v/>
      </c>
      <c r="M361" s="14">
        <f>IF(원생!$A359="","",SUMIFS(계산!$C:$C,계산!$A:$A,계산!$E359,계산!$B:$B,$B$1*100+11))</f>
        <v/>
      </c>
      <c r="N361" s="14">
        <f>IF(원생!$A359="","",SUMIFS(계산!$C:$C,계산!$A:$A,계산!$E359,계산!$B:$B,$B$1*100+12))</f>
        <v/>
      </c>
      <c r="O361">
        <f>IF(원생!$I359="","",원생!$I359)</f>
        <v/>
      </c>
      <c r="P361">
        <f>IF($A361="","",IF(AND($B361&gt;0,C361&lt;$B361,DATE($B$1,1,1)&lt;=TODAY(),OR($O361="",$O361&gt;=DATE($B$1,1,1)),OR(COUNTIF($C361:C361,"&gt;0")&gt;0,DATE($B$1,1,1)=DATE(YEAR(TODAY()),MONTH(TODAY()),1))),1,0))</f>
        <v/>
      </c>
      <c r="Q361">
        <f>IF($A361="","",IF(AND($B361&gt;0,D361&lt;$B361,DATE($B$1,2,1)&lt;=TODAY(),OR($O361="",$O361&gt;=DATE($B$1,2,1)),OR(COUNTIF($C361:D361,"&gt;0")&gt;0,DATE($B$1,2,1)=DATE(YEAR(TODAY()),MONTH(TODAY()),1))),1,0))</f>
        <v/>
      </c>
      <c r="R361">
        <f>IF($A361="","",IF(AND($B361&gt;0,E361&lt;$B361,DATE($B$1,3,1)&lt;=TODAY(),OR($O361="",$O361&gt;=DATE($B$1,3,1)),OR(COUNTIF($C361:E361,"&gt;0")&gt;0,DATE($B$1,3,1)=DATE(YEAR(TODAY()),MONTH(TODAY()),1))),1,0))</f>
        <v/>
      </c>
      <c r="S361">
        <f>IF($A361="","",IF(AND($B361&gt;0,F361&lt;$B361,DATE($B$1,4,1)&lt;=TODAY(),OR($O361="",$O361&gt;=DATE($B$1,4,1)),OR(COUNTIF($C361:F361,"&gt;0")&gt;0,DATE($B$1,4,1)=DATE(YEAR(TODAY()),MONTH(TODAY()),1))),1,0))</f>
        <v/>
      </c>
      <c r="T361">
        <f>IF($A361="","",IF(AND($B361&gt;0,G361&lt;$B361,DATE($B$1,5,1)&lt;=TODAY(),OR($O361="",$O361&gt;=DATE($B$1,5,1)),OR(COUNTIF($C361:G361,"&gt;0")&gt;0,DATE($B$1,5,1)=DATE(YEAR(TODAY()),MONTH(TODAY()),1))),1,0))</f>
        <v/>
      </c>
      <c r="U361">
        <f>IF($A361="","",IF(AND($B361&gt;0,H361&lt;$B361,DATE($B$1,6,1)&lt;=TODAY(),OR($O361="",$O361&gt;=DATE($B$1,6,1)),OR(COUNTIF($C361:H361,"&gt;0")&gt;0,DATE($B$1,6,1)=DATE(YEAR(TODAY()),MONTH(TODAY()),1))),1,0))</f>
        <v/>
      </c>
      <c r="V361">
        <f>IF($A361="","",IF(AND($B361&gt;0,I361&lt;$B361,DATE($B$1,7,1)&lt;=TODAY(),OR($O361="",$O361&gt;=DATE($B$1,7,1)),OR(COUNTIF($C361:I361,"&gt;0")&gt;0,DATE($B$1,7,1)=DATE(YEAR(TODAY()),MONTH(TODAY()),1))),1,0))</f>
        <v/>
      </c>
      <c r="W361">
        <f>IF($A361="","",IF(AND($B361&gt;0,J361&lt;$B361,DATE($B$1,8,1)&lt;=TODAY(),OR($O361="",$O361&gt;=DATE($B$1,8,1)),OR(COUNTIF($C361:J361,"&gt;0")&gt;0,DATE($B$1,8,1)=DATE(YEAR(TODAY()),MONTH(TODAY()),1))),1,0))</f>
        <v/>
      </c>
      <c r="X361">
        <f>IF($A361="","",IF(AND($B361&gt;0,K361&lt;$B361,DATE($B$1,9,1)&lt;=TODAY(),OR($O361="",$O361&gt;=DATE($B$1,9,1)),OR(COUNTIF($C361:K361,"&gt;0")&gt;0,DATE($B$1,9,1)=DATE(YEAR(TODAY()),MONTH(TODAY()),1))),1,0))</f>
        <v/>
      </c>
      <c r="Y361">
        <f>IF($A361="","",IF(AND($B361&gt;0,L361&lt;$B361,DATE($B$1,10,1)&lt;=TODAY(),OR($O361="",$O361&gt;=DATE($B$1,10,1)),OR(COUNTIF($C361:L361,"&gt;0")&gt;0,DATE($B$1,10,1)=DATE(YEAR(TODAY()),MONTH(TODAY()),1))),1,0))</f>
        <v/>
      </c>
      <c r="Z361">
        <f>IF($A361="","",IF(AND($B361&gt;0,M361&lt;$B361,DATE($B$1,11,1)&lt;=TODAY(),OR($O361="",$O361&gt;=DATE($B$1,11,1)),OR(COUNTIF($C361:M361,"&gt;0")&gt;0,DATE($B$1,11,1)=DATE(YEAR(TODAY()),MONTH(TODAY()),1))),1,0))</f>
        <v/>
      </c>
      <c r="AA361">
        <f>IF($A361="","",IF(AND($B361&gt;0,N361&lt;$B361,DATE($B$1,12,1)&lt;=TODAY(),OR($O361="",$O361&gt;=DATE($B$1,12,1)),OR(COUNTIF($C361:N361,"&gt;0")&gt;0,DATE($B$1,12,1)=DATE(YEAR(TODAY()),MONTH(TODAY()),1))),1,0))</f>
        <v/>
      </c>
    </row>
    <row r="362">
      <c r="A362" s="13">
        <f>IF(원생!$A360="","",원생!$A360&amp;IF(원생!$G360="",""," ("&amp;원생!$G360&amp;")"))</f>
        <v/>
      </c>
      <c r="B362" s="8">
        <f>IF(원생!$A360="","",N(원생!$F360))</f>
        <v/>
      </c>
      <c r="C362" s="14">
        <f>IF(원생!$A360="","",SUMIFS(계산!$C:$C,계산!$A:$A,계산!$E360,계산!$B:$B,$B$1*100+1))</f>
        <v/>
      </c>
      <c r="D362" s="14">
        <f>IF(원생!$A360="","",SUMIFS(계산!$C:$C,계산!$A:$A,계산!$E360,계산!$B:$B,$B$1*100+2))</f>
        <v/>
      </c>
      <c r="E362" s="14">
        <f>IF(원생!$A360="","",SUMIFS(계산!$C:$C,계산!$A:$A,계산!$E360,계산!$B:$B,$B$1*100+3))</f>
        <v/>
      </c>
      <c r="F362" s="14">
        <f>IF(원생!$A360="","",SUMIFS(계산!$C:$C,계산!$A:$A,계산!$E360,계산!$B:$B,$B$1*100+4))</f>
        <v/>
      </c>
      <c r="G362" s="14">
        <f>IF(원생!$A360="","",SUMIFS(계산!$C:$C,계산!$A:$A,계산!$E360,계산!$B:$B,$B$1*100+5))</f>
        <v/>
      </c>
      <c r="H362" s="14">
        <f>IF(원생!$A360="","",SUMIFS(계산!$C:$C,계산!$A:$A,계산!$E360,계산!$B:$B,$B$1*100+6))</f>
        <v/>
      </c>
      <c r="I362" s="14">
        <f>IF(원생!$A360="","",SUMIFS(계산!$C:$C,계산!$A:$A,계산!$E360,계산!$B:$B,$B$1*100+7))</f>
        <v/>
      </c>
      <c r="J362" s="14">
        <f>IF(원생!$A360="","",SUMIFS(계산!$C:$C,계산!$A:$A,계산!$E360,계산!$B:$B,$B$1*100+8))</f>
        <v/>
      </c>
      <c r="K362" s="14">
        <f>IF(원생!$A360="","",SUMIFS(계산!$C:$C,계산!$A:$A,계산!$E360,계산!$B:$B,$B$1*100+9))</f>
        <v/>
      </c>
      <c r="L362" s="14">
        <f>IF(원생!$A360="","",SUMIFS(계산!$C:$C,계산!$A:$A,계산!$E360,계산!$B:$B,$B$1*100+10))</f>
        <v/>
      </c>
      <c r="M362" s="14">
        <f>IF(원생!$A360="","",SUMIFS(계산!$C:$C,계산!$A:$A,계산!$E360,계산!$B:$B,$B$1*100+11))</f>
        <v/>
      </c>
      <c r="N362" s="14">
        <f>IF(원생!$A360="","",SUMIFS(계산!$C:$C,계산!$A:$A,계산!$E360,계산!$B:$B,$B$1*100+12))</f>
        <v/>
      </c>
      <c r="O362">
        <f>IF(원생!$I360="","",원생!$I360)</f>
        <v/>
      </c>
      <c r="P362">
        <f>IF($A362="","",IF(AND($B362&gt;0,C362&lt;$B362,DATE($B$1,1,1)&lt;=TODAY(),OR($O362="",$O362&gt;=DATE($B$1,1,1)),OR(COUNTIF($C362:C362,"&gt;0")&gt;0,DATE($B$1,1,1)=DATE(YEAR(TODAY()),MONTH(TODAY()),1))),1,0))</f>
        <v/>
      </c>
      <c r="Q362">
        <f>IF($A362="","",IF(AND($B362&gt;0,D362&lt;$B362,DATE($B$1,2,1)&lt;=TODAY(),OR($O362="",$O362&gt;=DATE($B$1,2,1)),OR(COUNTIF($C362:D362,"&gt;0")&gt;0,DATE($B$1,2,1)=DATE(YEAR(TODAY()),MONTH(TODAY()),1))),1,0))</f>
        <v/>
      </c>
      <c r="R362">
        <f>IF($A362="","",IF(AND($B362&gt;0,E362&lt;$B362,DATE($B$1,3,1)&lt;=TODAY(),OR($O362="",$O362&gt;=DATE($B$1,3,1)),OR(COUNTIF($C362:E362,"&gt;0")&gt;0,DATE($B$1,3,1)=DATE(YEAR(TODAY()),MONTH(TODAY()),1))),1,0))</f>
        <v/>
      </c>
      <c r="S362">
        <f>IF($A362="","",IF(AND($B362&gt;0,F362&lt;$B362,DATE($B$1,4,1)&lt;=TODAY(),OR($O362="",$O362&gt;=DATE($B$1,4,1)),OR(COUNTIF($C362:F362,"&gt;0")&gt;0,DATE($B$1,4,1)=DATE(YEAR(TODAY()),MONTH(TODAY()),1))),1,0))</f>
        <v/>
      </c>
      <c r="T362">
        <f>IF($A362="","",IF(AND($B362&gt;0,G362&lt;$B362,DATE($B$1,5,1)&lt;=TODAY(),OR($O362="",$O362&gt;=DATE($B$1,5,1)),OR(COUNTIF($C362:G362,"&gt;0")&gt;0,DATE($B$1,5,1)=DATE(YEAR(TODAY()),MONTH(TODAY()),1))),1,0))</f>
        <v/>
      </c>
      <c r="U362">
        <f>IF($A362="","",IF(AND($B362&gt;0,H362&lt;$B362,DATE($B$1,6,1)&lt;=TODAY(),OR($O362="",$O362&gt;=DATE($B$1,6,1)),OR(COUNTIF($C362:H362,"&gt;0")&gt;0,DATE($B$1,6,1)=DATE(YEAR(TODAY()),MONTH(TODAY()),1))),1,0))</f>
        <v/>
      </c>
      <c r="V362">
        <f>IF($A362="","",IF(AND($B362&gt;0,I362&lt;$B362,DATE($B$1,7,1)&lt;=TODAY(),OR($O362="",$O362&gt;=DATE($B$1,7,1)),OR(COUNTIF($C362:I362,"&gt;0")&gt;0,DATE($B$1,7,1)=DATE(YEAR(TODAY()),MONTH(TODAY()),1))),1,0))</f>
        <v/>
      </c>
      <c r="W362">
        <f>IF($A362="","",IF(AND($B362&gt;0,J362&lt;$B362,DATE($B$1,8,1)&lt;=TODAY(),OR($O362="",$O362&gt;=DATE($B$1,8,1)),OR(COUNTIF($C362:J362,"&gt;0")&gt;0,DATE($B$1,8,1)=DATE(YEAR(TODAY()),MONTH(TODAY()),1))),1,0))</f>
        <v/>
      </c>
      <c r="X362">
        <f>IF($A362="","",IF(AND($B362&gt;0,K362&lt;$B362,DATE($B$1,9,1)&lt;=TODAY(),OR($O362="",$O362&gt;=DATE($B$1,9,1)),OR(COUNTIF($C362:K362,"&gt;0")&gt;0,DATE($B$1,9,1)=DATE(YEAR(TODAY()),MONTH(TODAY()),1))),1,0))</f>
        <v/>
      </c>
      <c r="Y362">
        <f>IF($A362="","",IF(AND($B362&gt;0,L362&lt;$B362,DATE($B$1,10,1)&lt;=TODAY(),OR($O362="",$O362&gt;=DATE($B$1,10,1)),OR(COUNTIF($C362:L362,"&gt;0")&gt;0,DATE($B$1,10,1)=DATE(YEAR(TODAY()),MONTH(TODAY()),1))),1,0))</f>
        <v/>
      </c>
      <c r="Z362">
        <f>IF($A362="","",IF(AND($B362&gt;0,M362&lt;$B362,DATE($B$1,11,1)&lt;=TODAY(),OR($O362="",$O362&gt;=DATE($B$1,11,1)),OR(COUNTIF($C362:M362,"&gt;0")&gt;0,DATE($B$1,11,1)=DATE(YEAR(TODAY()),MONTH(TODAY()),1))),1,0))</f>
        <v/>
      </c>
      <c r="AA362">
        <f>IF($A362="","",IF(AND($B362&gt;0,N362&lt;$B362,DATE($B$1,12,1)&lt;=TODAY(),OR($O362="",$O362&gt;=DATE($B$1,12,1)),OR(COUNTIF($C362:N362,"&gt;0")&gt;0,DATE($B$1,12,1)=DATE(YEAR(TODAY()),MONTH(TODAY()),1))),1,0))</f>
        <v/>
      </c>
    </row>
    <row r="363">
      <c r="A363" s="13">
        <f>IF(원생!$A361="","",원생!$A361&amp;IF(원생!$G361="",""," ("&amp;원생!$G361&amp;")"))</f>
        <v/>
      </c>
      <c r="B363" s="8">
        <f>IF(원생!$A361="","",N(원생!$F361))</f>
        <v/>
      </c>
      <c r="C363" s="14">
        <f>IF(원생!$A361="","",SUMIFS(계산!$C:$C,계산!$A:$A,계산!$E361,계산!$B:$B,$B$1*100+1))</f>
        <v/>
      </c>
      <c r="D363" s="14">
        <f>IF(원생!$A361="","",SUMIFS(계산!$C:$C,계산!$A:$A,계산!$E361,계산!$B:$B,$B$1*100+2))</f>
        <v/>
      </c>
      <c r="E363" s="14">
        <f>IF(원생!$A361="","",SUMIFS(계산!$C:$C,계산!$A:$A,계산!$E361,계산!$B:$B,$B$1*100+3))</f>
        <v/>
      </c>
      <c r="F363" s="14">
        <f>IF(원생!$A361="","",SUMIFS(계산!$C:$C,계산!$A:$A,계산!$E361,계산!$B:$B,$B$1*100+4))</f>
        <v/>
      </c>
      <c r="G363" s="14">
        <f>IF(원생!$A361="","",SUMIFS(계산!$C:$C,계산!$A:$A,계산!$E361,계산!$B:$B,$B$1*100+5))</f>
        <v/>
      </c>
      <c r="H363" s="14">
        <f>IF(원생!$A361="","",SUMIFS(계산!$C:$C,계산!$A:$A,계산!$E361,계산!$B:$B,$B$1*100+6))</f>
        <v/>
      </c>
      <c r="I363" s="14">
        <f>IF(원생!$A361="","",SUMIFS(계산!$C:$C,계산!$A:$A,계산!$E361,계산!$B:$B,$B$1*100+7))</f>
        <v/>
      </c>
      <c r="J363" s="14">
        <f>IF(원생!$A361="","",SUMIFS(계산!$C:$C,계산!$A:$A,계산!$E361,계산!$B:$B,$B$1*100+8))</f>
        <v/>
      </c>
      <c r="K363" s="14">
        <f>IF(원생!$A361="","",SUMIFS(계산!$C:$C,계산!$A:$A,계산!$E361,계산!$B:$B,$B$1*100+9))</f>
        <v/>
      </c>
      <c r="L363" s="14">
        <f>IF(원생!$A361="","",SUMIFS(계산!$C:$C,계산!$A:$A,계산!$E361,계산!$B:$B,$B$1*100+10))</f>
        <v/>
      </c>
      <c r="M363" s="14">
        <f>IF(원생!$A361="","",SUMIFS(계산!$C:$C,계산!$A:$A,계산!$E361,계산!$B:$B,$B$1*100+11))</f>
        <v/>
      </c>
      <c r="N363" s="14">
        <f>IF(원생!$A361="","",SUMIFS(계산!$C:$C,계산!$A:$A,계산!$E361,계산!$B:$B,$B$1*100+12))</f>
        <v/>
      </c>
      <c r="O363">
        <f>IF(원생!$I361="","",원생!$I361)</f>
        <v/>
      </c>
      <c r="P363">
        <f>IF($A363="","",IF(AND($B363&gt;0,C363&lt;$B363,DATE($B$1,1,1)&lt;=TODAY(),OR($O363="",$O363&gt;=DATE($B$1,1,1)),OR(COUNTIF($C363:C363,"&gt;0")&gt;0,DATE($B$1,1,1)=DATE(YEAR(TODAY()),MONTH(TODAY()),1))),1,0))</f>
        <v/>
      </c>
      <c r="Q363">
        <f>IF($A363="","",IF(AND($B363&gt;0,D363&lt;$B363,DATE($B$1,2,1)&lt;=TODAY(),OR($O363="",$O363&gt;=DATE($B$1,2,1)),OR(COUNTIF($C363:D363,"&gt;0")&gt;0,DATE($B$1,2,1)=DATE(YEAR(TODAY()),MONTH(TODAY()),1))),1,0))</f>
        <v/>
      </c>
      <c r="R363">
        <f>IF($A363="","",IF(AND($B363&gt;0,E363&lt;$B363,DATE($B$1,3,1)&lt;=TODAY(),OR($O363="",$O363&gt;=DATE($B$1,3,1)),OR(COUNTIF($C363:E363,"&gt;0")&gt;0,DATE($B$1,3,1)=DATE(YEAR(TODAY()),MONTH(TODAY()),1))),1,0))</f>
        <v/>
      </c>
      <c r="S363">
        <f>IF($A363="","",IF(AND($B363&gt;0,F363&lt;$B363,DATE($B$1,4,1)&lt;=TODAY(),OR($O363="",$O363&gt;=DATE($B$1,4,1)),OR(COUNTIF($C363:F363,"&gt;0")&gt;0,DATE($B$1,4,1)=DATE(YEAR(TODAY()),MONTH(TODAY()),1))),1,0))</f>
        <v/>
      </c>
      <c r="T363">
        <f>IF($A363="","",IF(AND($B363&gt;0,G363&lt;$B363,DATE($B$1,5,1)&lt;=TODAY(),OR($O363="",$O363&gt;=DATE($B$1,5,1)),OR(COUNTIF($C363:G363,"&gt;0")&gt;0,DATE($B$1,5,1)=DATE(YEAR(TODAY()),MONTH(TODAY()),1))),1,0))</f>
        <v/>
      </c>
      <c r="U363">
        <f>IF($A363="","",IF(AND($B363&gt;0,H363&lt;$B363,DATE($B$1,6,1)&lt;=TODAY(),OR($O363="",$O363&gt;=DATE($B$1,6,1)),OR(COUNTIF($C363:H363,"&gt;0")&gt;0,DATE($B$1,6,1)=DATE(YEAR(TODAY()),MONTH(TODAY()),1))),1,0))</f>
        <v/>
      </c>
      <c r="V363">
        <f>IF($A363="","",IF(AND($B363&gt;0,I363&lt;$B363,DATE($B$1,7,1)&lt;=TODAY(),OR($O363="",$O363&gt;=DATE($B$1,7,1)),OR(COUNTIF($C363:I363,"&gt;0")&gt;0,DATE($B$1,7,1)=DATE(YEAR(TODAY()),MONTH(TODAY()),1))),1,0))</f>
        <v/>
      </c>
      <c r="W363">
        <f>IF($A363="","",IF(AND($B363&gt;0,J363&lt;$B363,DATE($B$1,8,1)&lt;=TODAY(),OR($O363="",$O363&gt;=DATE($B$1,8,1)),OR(COUNTIF($C363:J363,"&gt;0")&gt;0,DATE($B$1,8,1)=DATE(YEAR(TODAY()),MONTH(TODAY()),1))),1,0))</f>
        <v/>
      </c>
      <c r="X363">
        <f>IF($A363="","",IF(AND($B363&gt;0,K363&lt;$B363,DATE($B$1,9,1)&lt;=TODAY(),OR($O363="",$O363&gt;=DATE($B$1,9,1)),OR(COUNTIF($C363:K363,"&gt;0")&gt;0,DATE($B$1,9,1)=DATE(YEAR(TODAY()),MONTH(TODAY()),1))),1,0))</f>
        <v/>
      </c>
      <c r="Y363">
        <f>IF($A363="","",IF(AND($B363&gt;0,L363&lt;$B363,DATE($B$1,10,1)&lt;=TODAY(),OR($O363="",$O363&gt;=DATE($B$1,10,1)),OR(COUNTIF($C363:L363,"&gt;0")&gt;0,DATE($B$1,10,1)=DATE(YEAR(TODAY()),MONTH(TODAY()),1))),1,0))</f>
        <v/>
      </c>
      <c r="Z363">
        <f>IF($A363="","",IF(AND($B363&gt;0,M363&lt;$B363,DATE($B$1,11,1)&lt;=TODAY(),OR($O363="",$O363&gt;=DATE($B$1,11,1)),OR(COUNTIF($C363:M363,"&gt;0")&gt;0,DATE($B$1,11,1)=DATE(YEAR(TODAY()),MONTH(TODAY()),1))),1,0))</f>
        <v/>
      </c>
      <c r="AA363">
        <f>IF($A363="","",IF(AND($B363&gt;0,N363&lt;$B363,DATE($B$1,12,1)&lt;=TODAY(),OR($O363="",$O363&gt;=DATE($B$1,12,1)),OR(COUNTIF($C363:N363,"&gt;0")&gt;0,DATE($B$1,12,1)=DATE(YEAR(TODAY()),MONTH(TODAY()),1))),1,0))</f>
        <v/>
      </c>
    </row>
    <row r="364">
      <c r="A364" s="13">
        <f>IF(원생!$A362="","",원생!$A362&amp;IF(원생!$G362="",""," ("&amp;원생!$G362&amp;")"))</f>
        <v/>
      </c>
      <c r="B364" s="8">
        <f>IF(원생!$A362="","",N(원생!$F362))</f>
        <v/>
      </c>
      <c r="C364" s="14">
        <f>IF(원생!$A362="","",SUMIFS(계산!$C:$C,계산!$A:$A,계산!$E362,계산!$B:$B,$B$1*100+1))</f>
        <v/>
      </c>
      <c r="D364" s="14">
        <f>IF(원생!$A362="","",SUMIFS(계산!$C:$C,계산!$A:$A,계산!$E362,계산!$B:$B,$B$1*100+2))</f>
        <v/>
      </c>
      <c r="E364" s="14">
        <f>IF(원생!$A362="","",SUMIFS(계산!$C:$C,계산!$A:$A,계산!$E362,계산!$B:$B,$B$1*100+3))</f>
        <v/>
      </c>
      <c r="F364" s="14">
        <f>IF(원생!$A362="","",SUMIFS(계산!$C:$C,계산!$A:$A,계산!$E362,계산!$B:$B,$B$1*100+4))</f>
        <v/>
      </c>
      <c r="G364" s="14">
        <f>IF(원생!$A362="","",SUMIFS(계산!$C:$C,계산!$A:$A,계산!$E362,계산!$B:$B,$B$1*100+5))</f>
        <v/>
      </c>
      <c r="H364" s="14">
        <f>IF(원생!$A362="","",SUMIFS(계산!$C:$C,계산!$A:$A,계산!$E362,계산!$B:$B,$B$1*100+6))</f>
        <v/>
      </c>
      <c r="I364" s="14">
        <f>IF(원생!$A362="","",SUMIFS(계산!$C:$C,계산!$A:$A,계산!$E362,계산!$B:$B,$B$1*100+7))</f>
        <v/>
      </c>
      <c r="J364" s="14">
        <f>IF(원생!$A362="","",SUMIFS(계산!$C:$C,계산!$A:$A,계산!$E362,계산!$B:$B,$B$1*100+8))</f>
        <v/>
      </c>
      <c r="K364" s="14">
        <f>IF(원생!$A362="","",SUMIFS(계산!$C:$C,계산!$A:$A,계산!$E362,계산!$B:$B,$B$1*100+9))</f>
        <v/>
      </c>
      <c r="L364" s="14">
        <f>IF(원생!$A362="","",SUMIFS(계산!$C:$C,계산!$A:$A,계산!$E362,계산!$B:$B,$B$1*100+10))</f>
        <v/>
      </c>
      <c r="M364" s="14">
        <f>IF(원생!$A362="","",SUMIFS(계산!$C:$C,계산!$A:$A,계산!$E362,계산!$B:$B,$B$1*100+11))</f>
        <v/>
      </c>
      <c r="N364" s="14">
        <f>IF(원생!$A362="","",SUMIFS(계산!$C:$C,계산!$A:$A,계산!$E362,계산!$B:$B,$B$1*100+12))</f>
        <v/>
      </c>
      <c r="O364">
        <f>IF(원생!$I362="","",원생!$I362)</f>
        <v/>
      </c>
      <c r="P364">
        <f>IF($A364="","",IF(AND($B364&gt;0,C364&lt;$B364,DATE($B$1,1,1)&lt;=TODAY(),OR($O364="",$O364&gt;=DATE($B$1,1,1)),OR(COUNTIF($C364:C364,"&gt;0")&gt;0,DATE($B$1,1,1)=DATE(YEAR(TODAY()),MONTH(TODAY()),1))),1,0))</f>
        <v/>
      </c>
      <c r="Q364">
        <f>IF($A364="","",IF(AND($B364&gt;0,D364&lt;$B364,DATE($B$1,2,1)&lt;=TODAY(),OR($O364="",$O364&gt;=DATE($B$1,2,1)),OR(COUNTIF($C364:D364,"&gt;0")&gt;0,DATE($B$1,2,1)=DATE(YEAR(TODAY()),MONTH(TODAY()),1))),1,0))</f>
        <v/>
      </c>
      <c r="R364">
        <f>IF($A364="","",IF(AND($B364&gt;0,E364&lt;$B364,DATE($B$1,3,1)&lt;=TODAY(),OR($O364="",$O364&gt;=DATE($B$1,3,1)),OR(COUNTIF($C364:E364,"&gt;0")&gt;0,DATE($B$1,3,1)=DATE(YEAR(TODAY()),MONTH(TODAY()),1))),1,0))</f>
        <v/>
      </c>
      <c r="S364">
        <f>IF($A364="","",IF(AND($B364&gt;0,F364&lt;$B364,DATE($B$1,4,1)&lt;=TODAY(),OR($O364="",$O364&gt;=DATE($B$1,4,1)),OR(COUNTIF($C364:F364,"&gt;0")&gt;0,DATE($B$1,4,1)=DATE(YEAR(TODAY()),MONTH(TODAY()),1))),1,0))</f>
        <v/>
      </c>
      <c r="T364">
        <f>IF($A364="","",IF(AND($B364&gt;0,G364&lt;$B364,DATE($B$1,5,1)&lt;=TODAY(),OR($O364="",$O364&gt;=DATE($B$1,5,1)),OR(COUNTIF($C364:G364,"&gt;0")&gt;0,DATE($B$1,5,1)=DATE(YEAR(TODAY()),MONTH(TODAY()),1))),1,0))</f>
        <v/>
      </c>
      <c r="U364">
        <f>IF($A364="","",IF(AND($B364&gt;0,H364&lt;$B364,DATE($B$1,6,1)&lt;=TODAY(),OR($O364="",$O364&gt;=DATE($B$1,6,1)),OR(COUNTIF($C364:H364,"&gt;0")&gt;0,DATE($B$1,6,1)=DATE(YEAR(TODAY()),MONTH(TODAY()),1))),1,0))</f>
        <v/>
      </c>
      <c r="V364">
        <f>IF($A364="","",IF(AND($B364&gt;0,I364&lt;$B364,DATE($B$1,7,1)&lt;=TODAY(),OR($O364="",$O364&gt;=DATE($B$1,7,1)),OR(COUNTIF($C364:I364,"&gt;0")&gt;0,DATE($B$1,7,1)=DATE(YEAR(TODAY()),MONTH(TODAY()),1))),1,0))</f>
        <v/>
      </c>
      <c r="W364">
        <f>IF($A364="","",IF(AND($B364&gt;0,J364&lt;$B364,DATE($B$1,8,1)&lt;=TODAY(),OR($O364="",$O364&gt;=DATE($B$1,8,1)),OR(COUNTIF($C364:J364,"&gt;0")&gt;0,DATE($B$1,8,1)=DATE(YEAR(TODAY()),MONTH(TODAY()),1))),1,0))</f>
        <v/>
      </c>
      <c r="X364">
        <f>IF($A364="","",IF(AND($B364&gt;0,K364&lt;$B364,DATE($B$1,9,1)&lt;=TODAY(),OR($O364="",$O364&gt;=DATE($B$1,9,1)),OR(COUNTIF($C364:K364,"&gt;0")&gt;0,DATE($B$1,9,1)=DATE(YEAR(TODAY()),MONTH(TODAY()),1))),1,0))</f>
        <v/>
      </c>
      <c r="Y364">
        <f>IF($A364="","",IF(AND($B364&gt;0,L364&lt;$B364,DATE($B$1,10,1)&lt;=TODAY(),OR($O364="",$O364&gt;=DATE($B$1,10,1)),OR(COUNTIF($C364:L364,"&gt;0")&gt;0,DATE($B$1,10,1)=DATE(YEAR(TODAY()),MONTH(TODAY()),1))),1,0))</f>
        <v/>
      </c>
      <c r="Z364">
        <f>IF($A364="","",IF(AND($B364&gt;0,M364&lt;$B364,DATE($B$1,11,1)&lt;=TODAY(),OR($O364="",$O364&gt;=DATE($B$1,11,1)),OR(COUNTIF($C364:M364,"&gt;0")&gt;0,DATE($B$1,11,1)=DATE(YEAR(TODAY()),MONTH(TODAY()),1))),1,0))</f>
        <v/>
      </c>
      <c r="AA364">
        <f>IF($A364="","",IF(AND($B364&gt;0,N364&lt;$B364,DATE($B$1,12,1)&lt;=TODAY(),OR($O364="",$O364&gt;=DATE($B$1,12,1)),OR(COUNTIF($C364:N364,"&gt;0")&gt;0,DATE($B$1,12,1)=DATE(YEAR(TODAY()),MONTH(TODAY()),1))),1,0))</f>
        <v/>
      </c>
    </row>
    <row r="365">
      <c r="A365" s="13">
        <f>IF(원생!$A363="","",원생!$A363&amp;IF(원생!$G363="",""," ("&amp;원생!$G363&amp;")"))</f>
        <v/>
      </c>
      <c r="B365" s="8">
        <f>IF(원생!$A363="","",N(원생!$F363))</f>
        <v/>
      </c>
      <c r="C365" s="14">
        <f>IF(원생!$A363="","",SUMIFS(계산!$C:$C,계산!$A:$A,계산!$E363,계산!$B:$B,$B$1*100+1))</f>
        <v/>
      </c>
      <c r="D365" s="14">
        <f>IF(원생!$A363="","",SUMIFS(계산!$C:$C,계산!$A:$A,계산!$E363,계산!$B:$B,$B$1*100+2))</f>
        <v/>
      </c>
      <c r="E365" s="14">
        <f>IF(원생!$A363="","",SUMIFS(계산!$C:$C,계산!$A:$A,계산!$E363,계산!$B:$B,$B$1*100+3))</f>
        <v/>
      </c>
      <c r="F365" s="14">
        <f>IF(원생!$A363="","",SUMIFS(계산!$C:$C,계산!$A:$A,계산!$E363,계산!$B:$B,$B$1*100+4))</f>
        <v/>
      </c>
      <c r="G365" s="14">
        <f>IF(원생!$A363="","",SUMIFS(계산!$C:$C,계산!$A:$A,계산!$E363,계산!$B:$B,$B$1*100+5))</f>
        <v/>
      </c>
      <c r="H365" s="14">
        <f>IF(원생!$A363="","",SUMIFS(계산!$C:$C,계산!$A:$A,계산!$E363,계산!$B:$B,$B$1*100+6))</f>
        <v/>
      </c>
      <c r="I365" s="14">
        <f>IF(원생!$A363="","",SUMIFS(계산!$C:$C,계산!$A:$A,계산!$E363,계산!$B:$B,$B$1*100+7))</f>
        <v/>
      </c>
      <c r="J365" s="14">
        <f>IF(원생!$A363="","",SUMIFS(계산!$C:$C,계산!$A:$A,계산!$E363,계산!$B:$B,$B$1*100+8))</f>
        <v/>
      </c>
      <c r="K365" s="14">
        <f>IF(원생!$A363="","",SUMIFS(계산!$C:$C,계산!$A:$A,계산!$E363,계산!$B:$B,$B$1*100+9))</f>
        <v/>
      </c>
      <c r="L365" s="14">
        <f>IF(원생!$A363="","",SUMIFS(계산!$C:$C,계산!$A:$A,계산!$E363,계산!$B:$B,$B$1*100+10))</f>
        <v/>
      </c>
      <c r="M365" s="14">
        <f>IF(원생!$A363="","",SUMIFS(계산!$C:$C,계산!$A:$A,계산!$E363,계산!$B:$B,$B$1*100+11))</f>
        <v/>
      </c>
      <c r="N365" s="14">
        <f>IF(원생!$A363="","",SUMIFS(계산!$C:$C,계산!$A:$A,계산!$E363,계산!$B:$B,$B$1*100+12))</f>
        <v/>
      </c>
      <c r="O365">
        <f>IF(원생!$I363="","",원생!$I363)</f>
        <v/>
      </c>
      <c r="P365">
        <f>IF($A365="","",IF(AND($B365&gt;0,C365&lt;$B365,DATE($B$1,1,1)&lt;=TODAY(),OR($O365="",$O365&gt;=DATE($B$1,1,1)),OR(COUNTIF($C365:C365,"&gt;0")&gt;0,DATE($B$1,1,1)=DATE(YEAR(TODAY()),MONTH(TODAY()),1))),1,0))</f>
        <v/>
      </c>
      <c r="Q365">
        <f>IF($A365="","",IF(AND($B365&gt;0,D365&lt;$B365,DATE($B$1,2,1)&lt;=TODAY(),OR($O365="",$O365&gt;=DATE($B$1,2,1)),OR(COUNTIF($C365:D365,"&gt;0")&gt;0,DATE($B$1,2,1)=DATE(YEAR(TODAY()),MONTH(TODAY()),1))),1,0))</f>
        <v/>
      </c>
      <c r="R365">
        <f>IF($A365="","",IF(AND($B365&gt;0,E365&lt;$B365,DATE($B$1,3,1)&lt;=TODAY(),OR($O365="",$O365&gt;=DATE($B$1,3,1)),OR(COUNTIF($C365:E365,"&gt;0")&gt;0,DATE($B$1,3,1)=DATE(YEAR(TODAY()),MONTH(TODAY()),1))),1,0))</f>
        <v/>
      </c>
      <c r="S365">
        <f>IF($A365="","",IF(AND($B365&gt;0,F365&lt;$B365,DATE($B$1,4,1)&lt;=TODAY(),OR($O365="",$O365&gt;=DATE($B$1,4,1)),OR(COUNTIF($C365:F365,"&gt;0")&gt;0,DATE($B$1,4,1)=DATE(YEAR(TODAY()),MONTH(TODAY()),1))),1,0))</f>
        <v/>
      </c>
      <c r="T365">
        <f>IF($A365="","",IF(AND($B365&gt;0,G365&lt;$B365,DATE($B$1,5,1)&lt;=TODAY(),OR($O365="",$O365&gt;=DATE($B$1,5,1)),OR(COUNTIF($C365:G365,"&gt;0")&gt;0,DATE($B$1,5,1)=DATE(YEAR(TODAY()),MONTH(TODAY()),1))),1,0))</f>
        <v/>
      </c>
      <c r="U365">
        <f>IF($A365="","",IF(AND($B365&gt;0,H365&lt;$B365,DATE($B$1,6,1)&lt;=TODAY(),OR($O365="",$O365&gt;=DATE($B$1,6,1)),OR(COUNTIF($C365:H365,"&gt;0")&gt;0,DATE($B$1,6,1)=DATE(YEAR(TODAY()),MONTH(TODAY()),1))),1,0))</f>
        <v/>
      </c>
      <c r="V365">
        <f>IF($A365="","",IF(AND($B365&gt;0,I365&lt;$B365,DATE($B$1,7,1)&lt;=TODAY(),OR($O365="",$O365&gt;=DATE($B$1,7,1)),OR(COUNTIF($C365:I365,"&gt;0")&gt;0,DATE($B$1,7,1)=DATE(YEAR(TODAY()),MONTH(TODAY()),1))),1,0))</f>
        <v/>
      </c>
      <c r="W365">
        <f>IF($A365="","",IF(AND($B365&gt;0,J365&lt;$B365,DATE($B$1,8,1)&lt;=TODAY(),OR($O365="",$O365&gt;=DATE($B$1,8,1)),OR(COUNTIF($C365:J365,"&gt;0")&gt;0,DATE($B$1,8,1)=DATE(YEAR(TODAY()),MONTH(TODAY()),1))),1,0))</f>
        <v/>
      </c>
      <c r="X365">
        <f>IF($A365="","",IF(AND($B365&gt;0,K365&lt;$B365,DATE($B$1,9,1)&lt;=TODAY(),OR($O365="",$O365&gt;=DATE($B$1,9,1)),OR(COUNTIF($C365:K365,"&gt;0")&gt;0,DATE($B$1,9,1)=DATE(YEAR(TODAY()),MONTH(TODAY()),1))),1,0))</f>
        <v/>
      </c>
      <c r="Y365">
        <f>IF($A365="","",IF(AND($B365&gt;0,L365&lt;$B365,DATE($B$1,10,1)&lt;=TODAY(),OR($O365="",$O365&gt;=DATE($B$1,10,1)),OR(COUNTIF($C365:L365,"&gt;0")&gt;0,DATE($B$1,10,1)=DATE(YEAR(TODAY()),MONTH(TODAY()),1))),1,0))</f>
        <v/>
      </c>
      <c r="Z365">
        <f>IF($A365="","",IF(AND($B365&gt;0,M365&lt;$B365,DATE($B$1,11,1)&lt;=TODAY(),OR($O365="",$O365&gt;=DATE($B$1,11,1)),OR(COUNTIF($C365:M365,"&gt;0")&gt;0,DATE($B$1,11,1)=DATE(YEAR(TODAY()),MONTH(TODAY()),1))),1,0))</f>
        <v/>
      </c>
      <c r="AA365">
        <f>IF($A365="","",IF(AND($B365&gt;0,N365&lt;$B365,DATE($B$1,12,1)&lt;=TODAY(),OR($O365="",$O365&gt;=DATE($B$1,12,1)),OR(COUNTIF($C365:N365,"&gt;0")&gt;0,DATE($B$1,12,1)=DATE(YEAR(TODAY()),MONTH(TODAY()),1))),1,0))</f>
        <v/>
      </c>
    </row>
    <row r="366">
      <c r="A366" s="13">
        <f>IF(원생!$A364="","",원생!$A364&amp;IF(원생!$G364="",""," ("&amp;원생!$G364&amp;")"))</f>
        <v/>
      </c>
      <c r="B366" s="8">
        <f>IF(원생!$A364="","",N(원생!$F364))</f>
        <v/>
      </c>
      <c r="C366" s="14">
        <f>IF(원생!$A364="","",SUMIFS(계산!$C:$C,계산!$A:$A,계산!$E364,계산!$B:$B,$B$1*100+1))</f>
        <v/>
      </c>
      <c r="D366" s="14">
        <f>IF(원생!$A364="","",SUMIFS(계산!$C:$C,계산!$A:$A,계산!$E364,계산!$B:$B,$B$1*100+2))</f>
        <v/>
      </c>
      <c r="E366" s="14">
        <f>IF(원생!$A364="","",SUMIFS(계산!$C:$C,계산!$A:$A,계산!$E364,계산!$B:$B,$B$1*100+3))</f>
        <v/>
      </c>
      <c r="F366" s="14">
        <f>IF(원생!$A364="","",SUMIFS(계산!$C:$C,계산!$A:$A,계산!$E364,계산!$B:$B,$B$1*100+4))</f>
        <v/>
      </c>
      <c r="G366" s="14">
        <f>IF(원생!$A364="","",SUMIFS(계산!$C:$C,계산!$A:$A,계산!$E364,계산!$B:$B,$B$1*100+5))</f>
        <v/>
      </c>
      <c r="H366" s="14">
        <f>IF(원생!$A364="","",SUMIFS(계산!$C:$C,계산!$A:$A,계산!$E364,계산!$B:$B,$B$1*100+6))</f>
        <v/>
      </c>
      <c r="I366" s="14">
        <f>IF(원생!$A364="","",SUMIFS(계산!$C:$C,계산!$A:$A,계산!$E364,계산!$B:$B,$B$1*100+7))</f>
        <v/>
      </c>
      <c r="J366" s="14">
        <f>IF(원생!$A364="","",SUMIFS(계산!$C:$C,계산!$A:$A,계산!$E364,계산!$B:$B,$B$1*100+8))</f>
        <v/>
      </c>
      <c r="K366" s="14">
        <f>IF(원생!$A364="","",SUMIFS(계산!$C:$C,계산!$A:$A,계산!$E364,계산!$B:$B,$B$1*100+9))</f>
        <v/>
      </c>
      <c r="L366" s="14">
        <f>IF(원생!$A364="","",SUMIFS(계산!$C:$C,계산!$A:$A,계산!$E364,계산!$B:$B,$B$1*100+10))</f>
        <v/>
      </c>
      <c r="M366" s="14">
        <f>IF(원생!$A364="","",SUMIFS(계산!$C:$C,계산!$A:$A,계산!$E364,계산!$B:$B,$B$1*100+11))</f>
        <v/>
      </c>
      <c r="N366" s="14">
        <f>IF(원생!$A364="","",SUMIFS(계산!$C:$C,계산!$A:$A,계산!$E364,계산!$B:$B,$B$1*100+12))</f>
        <v/>
      </c>
      <c r="O366">
        <f>IF(원생!$I364="","",원생!$I364)</f>
        <v/>
      </c>
      <c r="P366">
        <f>IF($A366="","",IF(AND($B366&gt;0,C366&lt;$B366,DATE($B$1,1,1)&lt;=TODAY(),OR($O366="",$O366&gt;=DATE($B$1,1,1)),OR(COUNTIF($C366:C366,"&gt;0")&gt;0,DATE($B$1,1,1)=DATE(YEAR(TODAY()),MONTH(TODAY()),1))),1,0))</f>
        <v/>
      </c>
      <c r="Q366">
        <f>IF($A366="","",IF(AND($B366&gt;0,D366&lt;$B366,DATE($B$1,2,1)&lt;=TODAY(),OR($O366="",$O366&gt;=DATE($B$1,2,1)),OR(COUNTIF($C366:D366,"&gt;0")&gt;0,DATE($B$1,2,1)=DATE(YEAR(TODAY()),MONTH(TODAY()),1))),1,0))</f>
        <v/>
      </c>
      <c r="R366">
        <f>IF($A366="","",IF(AND($B366&gt;0,E366&lt;$B366,DATE($B$1,3,1)&lt;=TODAY(),OR($O366="",$O366&gt;=DATE($B$1,3,1)),OR(COUNTIF($C366:E366,"&gt;0")&gt;0,DATE($B$1,3,1)=DATE(YEAR(TODAY()),MONTH(TODAY()),1))),1,0))</f>
        <v/>
      </c>
      <c r="S366">
        <f>IF($A366="","",IF(AND($B366&gt;0,F366&lt;$B366,DATE($B$1,4,1)&lt;=TODAY(),OR($O366="",$O366&gt;=DATE($B$1,4,1)),OR(COUNTIF($C366:F366,"&gt;0")&gt;0,DATE($B$1,4,1)=DATE(YEAR(TODAY()),MONTH(TODAY()),1))),1,0))</f>
        <v/>
      </c>
      <c r="T366">
        <f>IF($A366="","",IF(AND($B366&gt;0,G366&lt;$B366,DATE($B$1,5,1)&lt;=TODAY(),OR($O366="",$O366&gt;=DATE($B$1,5,1)),OR(COUNTIF($C366:G366,"&gt;0")&gt;0,DATE($B$1,5,1)=DATE(YEAR(TODAY()),MONTH(TODAY()),1))),1,0))</f>
        <v/>
      </c>
      <c r="U366">
        <f>IF($A366="","",IF(AND($B366&gt;0,H366&lt;$B366,DATE($B$1,6,1)&lt;=TODAY(),OR($O366="",$O366&gt;=DATE($B$1,6,1)),OR(COUNTIF($C366:H366,"&gt;0")&gt;0,DATE($B$1,6,1)=DATE(YEAR(TODAY()),MONTH(TODAY()),1))),1,0))</f>
        <v/>
      </c>
      <c r="V366">
        <f>IF($A366="","",IF(AND($B366&gt;0,I366&lt;$B366,DATE($B$1,7,1)&lt;=TODAY(),OR($O366="",$O366&gt;=DATE($B$1,7,1)),OR(COUNTIF($C366:I366,"&gt;0")&gt;0,DATE($B$1,7,1)=DATE(YEAR(TODAY()),MONTH(TODAY()),1))),1,0))</f>
        <v/>
      </c>
      <c r="W366">
        <f>IF($A366="","",IF(AND($B366&gt;0,J366&lt;$B366,DATE($B$1,8,1)&lt;=TODAY(),OR($O366="",$O366&gt;=DATE($B$1,8,1)),OR(COUNTIF($C366:J366,"&gt;0")&gt;0,DATE($B$1,8,1)=DATE(YEAR(TODAY()),MONTH(TODAY()),1))),1,0))</f>
        <v/>
      </c>
      <c r="X366">
        <f>IF($A366="","",IF(AND($B366&gt;0,K366&lt;$B366,DATE($B$1,9,1)&lt;=TODAY(),OR($O366="",$O366&gt;=DATE($B$1,9,1)),OR(COUNTIF($C366:K366,"&gt;0")&gt;0,DATE($B$1,9,1)=DATE(YEAR(TODAY()),MONTH(TODAY()),1))),1,0))</f>
        <v/>
      </c>
      <c r="Y366">
        <f>IF($A366="","",IF(AND($B366&gt;0,L366&lt;$B366,DATE($B$1,10,1)&lt;=TODAY(),OR($O366="",$O366&gt;=DATE($B$1,10,1)),OR(COUNTIF($C366:L366,"&gt;0")&gt;0,DATE($B$1,10,1)=DATE(YEAR(TODAY()),MONTH(TODAY()),1))),1,0))</f>
        <v/>
      </c>
      <c r="Z366">
        <f>IF($A366="","",IF(AND($B366&gt;0,M366&lt;$B366,DATE($B$1,11,1)&lt;=TODAY(),OR($O366="",$O366&gt;=DATE($B$1,11,1)),OR(COUNTIF($C366:M366,"&gt;0")&gt;0,DATE($B$1,11,1)=DATE(YEAR(TODAY()),MONTH(TODAY()),1))),1,0))</f>
        <v/>
      </c>
      <c r="AA366">
        <f>IF($A366="","",IF(AND($B366&gt;0,N366&lt;$B366,DATE($B$1,12,1)&lt;=TODAY(),OR($O366="",$O366&gt;=DATE($B$1,12,1)),OR(COUNTIF($C366:N366,"&gt;0")&gt;0,DATE($B$1,12,1)=DATE(YEAR(TODAY()),MONTH(TODAY()),1))),1,0))</f>
        <v/>
      </c>
    </row>
    <row r="367">
      <c r="A367" s="13">
        <f>IF(원생!$A365="","",원생!$A365&amp;IF(원생!$G365="",""," ("&amp;원생!$G365&amp;")"))</f>
        <v/>
      </c>
      <c r="B367" s="8">
        <f>IF(원생!$A365="","",N(원생!$F365))</f>
        <v/>
      </c>
      <c r="C367" s="14">
        <f>IF(원생!$A365="","",SUMIFS(계산!$C:$C,계산!$A:$A,계산!$E365,계산!$B:$B,$B$1*100+1))</f>
        <v/>
      </c>
      <c r="D367" s="14">
        <f>IF(원생!$A365="","",SUMIFS(계산!$C:$C,계산!$A:$A,계산!$E365,계산!$B:$B,$B$1*100+2))</f>
        <v/>
      </c>
      <c r="E367" s="14">
        <f>IF(원생!$A365="","",SUMIFS(계산!$C:$C,계산!$A:$A,계산!$E365,계산!$B:$B,$B$1*100+3))</f>
        <v/>
      </c>
      <c r="F367" s="14">
        <f>IF(원생!$A365="","",SUMIFS(계산!$C:$C,계산!$A:$A,계산!$E365,계산!$B:$B,$B$1*100+4))</f>
        <v/>
      </c>
      <c r="G367" s="14">
        <f>IF(원생!$A365="","",SUMIFS(계산!$C:$C,계산!$A:$A,계산!$E365,계산!$B:$B,$B$1*100+5))</f>
        <v/>
      </c>
      <c r="H367" s="14">
        <f>IF(원생!$A365="","",SUMIFS(계산!$C:$C,계산!$A:$A,계산!$E365,계산!$B:$B,$B$1*100+6))</f>
        <v/>
      </c>
      <c r="I367" s="14">
        <f>IF(원생!$A365="","",SUMIFS(계산!$C:$C,계산!$A:$A,계산!$E365,계산!$B:$B,$B$1*100+7))</f>
        <v/>
      </c>
      <c r="J367" s="14">
        <f>IF(원생!$A365="","",SUMIFS(계산!$C:$C,계산!$A:$A,계산!$E365,계산!$B:$B,$B$1*100+8))</f>
        <v/>
      </c>
      <c r="K367" s="14">
        <f>IF(원생!$A365="","",SUMIFS(계산!$C:$C,계산!$A:$A,계산!$E365,계산!$B:$B,$B$1*100+9))</f>
        <v/>
      </c>
      <c r="L367" s="14">
        <f>IF(원생!$A365="","",SUMIFS(계산!$C:$C,계산!$A:$A,계산!$E365,계산!$B:$B,$B$1*100+10))</f>
        <v/>
      </c>
      <c r="M367" s="14">
        <f>IF(원생!$A365="","",SUMIFS(계산!$C:$C,계산!$A:$A,계산!$E365,계산!$B:$B,$B$1*100+11))</f>
        <v/>
      </c>
      <c r="N367" s="14">
        <f>IF(원생!$A365="","",SUMIFS(계산!$C:$C,계산!$A:$A,계산!$E365,계산!$B:$B,$B$1*100+12))</f>
        <v/>
      </c>
      <c r="O367">
        <f>IF(원생!$I365="","",원생!$I365)</f>
        <v/>
      </c>
      <c r="P367">
        <f>IF($A367="","",IF(AND($B367&gt;0,C367&lt;$B367,DATE($B$1,1,1)&lt;=TODAY(),OR($O367="",$O367&gt;=DATE($B$1,1,1)),OR(COUNTIF($C367:C367,"&gt;0")&gt;0,DATE($B$1,1,1)=DATE(YEAR(TODAY()),MONTH(TODAY()),1))),1,0))</f>
        <v/>
      </c>
      <c r="Q367">
        <f>IF($A367="","",IF(AND($B367&gt;0,D367&lt;$B367,DATE($B$1,2,1)&lt;=TODAY(),OR($O367="",$O367&gt;=DATE($B$1,2,1)),OR(COUNTIF($C367:D367,"&gt;0")&gt;0,DATE($B$1,2,1)=DATE(YEAR(TODAY()),MONTH(TODAY()),1))),1,0))</f>
        <v/>
      </c>
      <c r="R367">
        <f>IF($A367="","",IF(AND($B367&gt;0,E367&lt;$B367,DATE($B$1,3,1)&lt;=TODAY(),OR($O367="",$O367&gt;=DATE($B$1,3,1)),OR(COUNTIF($C367:E367,"&gt;0")&gt;0,DATE($B$1,3,1)=DATE(YEAR(TODAY()),MONTH(TODAY()),1))),1,0))</f>
        <v/>
      </c>
      <c r="S367">
        <f>IF($A367="","",IF(AND($B367&gt;0,F367&lt;$B367,DATE($B$1,4,1)&lt;=TODAY(),OR($O367="",$O367&gt;=DATE($B$1,4,1)),OR(COUNTIF($C367:F367,"&gt;0")&gt;0,DATE($B$1,4,1)=DATE(YEAR(TODAY()),MONTH(TODAY()),1))),1,0))</f>
        <v/>
      </c>
      <c r="T367">
        <f>IF($A367="","",IF(AND($B367&gt;0,G367&lt;$B367,DATE($B$1,5,1)&lt;=TODAY(),OR($O367="",$O367&gt;=DATE($B$1,5,1)),OR(COUNTIF($C367:G367,"&gt;0")&gt;0,DATE($B$1,5,1)=DATE(YEAR(TODAY()),MONTH(TODAY()),1))),1,0))</f>
        <v/>
      </c>
      <c r="U367">
        <f>IF($A367="","",IF(AND($B367&gt;0,H367&lt;$B367,DATE($B$1,6,1)&lt;=TODAY(),OR($O367="",$O367&gt;=DATE($B$1,6,1)),OR(COUNTIF($C367:H367,"&gt;0")&gt;0,DATE($B$1,6,1)=DATE(YEAR(TODAY()),MONTH(TODAY()),1))),1,0))</f>
        <v/>
      </c>
      <c r="V367">
        <f>IF($A367="","",IF(AND($B367&gt;0,I367&lt;$B367,DATE($B$1,7,1)&lt;=TODAY(),OR($O367="",$O367&gt;=DATE($B$1,7,1)),OR(COUNTIF($C367:I367,"&gt;0")&gt;0,DATE($B$1,7,1)=DATE(YEAR(TODAY()),MONTH(TODAY()),1))),1,0))</f>
        <v/>
      </c>
      <c r="W367">
        <f>IF($A367="","",IF(AND($B367&gt;0,J367&lt;$B367,DATE($B$1,8,1)&lt;=TODAY(),OR($O367="",$O367&gt;=DATE($B$1,8,1)),OR(COUNTIF($C367:J367,"&gt;0")&gt;0,DATE($B$1,8,1)=DATE(YEAR(TODAY()),MONTH(TODAY()),1))),1,0))</f>
        <v/>
      </c>
      <c r="X367">
        <f>IF($A367="","",IF(AND($B367&gt;0,K367&lt;$B367,DATE($B$1,9,1)&lt;=TODAY(),OR($O367="",$O367&gt;=DATE($B$1,9,1)),OR(COUNTIF($C367:K367,"&gt;0")&gt;0,DATE($B$1,9,1)=DATE(YEAR(TODAY()),MONTH(TODAY()),1))),1,0))</f>
        <v/>
      </c>
      <c r="Y367">
        <f>IF($A367="","",IF(AND($B367&gt;0,L367&lt;$B367,DATE($B$1,10,1)&lt;=TODAY(),OR($O367="",$O367&gt;=DATE($B$1,10,1)),OR(COUNTIF($C367:L367,"&gt;0")&gt;0,DATE($B$1,10,1)=DATE(YEAR(TODAY()),MONTH(TODAY()),1))),1,0))</f>
        <v/>
      </c>
      <c r="Z367">
        <f>IF($A367="","",IF(AND($B367&gt;0,M367&lt;$B367,DATE($B$1,11,1)&lt;=TODAY(),OR($O367="",$O367&gt;=DATE($B$1,11,1)),OR(COUNTIF($C367:M367,"&gt;0")&gt;0,DATE($B$1,11,1)=DATE(YEAR(TODAY()),MONTH(TODAY()),1))),1,0))</f>
        <v/>
      </c>
      <c r="AA367">
        <f>IF($A367="","",IF(AND($B367&gt;0,N367&lt;$B367,DATE($B$1,12,1)&lt;=TODAY(),OR($O367="",$O367&gt;=DATE($B$1,12,1)),OR(COUNTIF($C367:N367,"&gt;0")&gt;0,DATE($B$1,12,1)=DATE(YEAR(TODAY()),MONTH(TODAY()),1))),1,0))</f>
        <v/>
      </c>
    </row>
    <row r="368">
      <c r="A368" s="13">
        <f>IF(원생!$A366="","",원생!$A366&amp;IF(원생!$G366="",""," ("&amp;원생!$G366&amp;")"))</f>
        <v/>
      </c>
      <c r="B368" s="8">
        <f>IF(원생!$A366="","",N(원생!$F366))</f>
        <v/>
      </c>
      <c r="C368" s="14">
        <f>IF(원생!$A366="","",SUMIFS(계산!$C:$C,계산!$A:$A,계산!$E366,계산!$B:$B,$B$1*100+1))</f>
        <v/>
      </c>
      <c r="D368" s="14">
        <f>IF(원생!$A366="","",SUMIFS(계산!$C:$C,계산!$A:$A,계산!$E366,계산!$B:$B,$B$1*100+2))</f>
        <v/>
      </c>
      <c r="E368" s="14">
        <f>IF(원생!$A366="","",SUMIFS(계산!$C:$C,계산!$A:$A,계산!$E366,계산!$B:$B,$B$1*100+3))</f>
        <v/>
      </c>
      <c r="F368" s="14">
        <f>IF(원생!$A366="","",SUMIFS(계산!$C:$C,계산!$A:$A,계산!$E366,계산!$B:$B,$B$1*100+4))</f>
        <v/>
      </c>
      <c r="G368" s="14">
        <f>IF(원생!$A366="","",SUMIFS(계산!$C:$C,계산!$A:$A,계산!$E366,계산!$B:$B,$B$1*100+5))</f>
        <v/>
      </c>
      <c r="H368" s="14">
        <f>IF(원생!$A366="","",SUMIFS(계산!$C:$C,계산!$A:$A,계산!$E366,계산!$B:$B,$B$1*100+6))</f>
        <v/>
      </c>
      <c r="I368" s="14">
        <f>IF(원생!$A366="","",SUMIFS(계산!$C:$C,계산!$A:$A,계산!$E366,계산!$B:$B,$B$1*100+7))</f>
        <v/>
      </c>
      <c r="J368" s="14">
        <f>IF(원생!$A366="","",SUMIFS(계산!$C:$C,계산!$A:$A,계산!$E366,계산!$B:$B,$B$1*100+8))</f>
        <v/>
      </c>
      <c r="K368" s="14">
        <f>IF(원생!$A366="","",SUMIFS(계산!$C:$C,계산!$A:$A,계산!$E366,계산!$B:$B,$B$1*100+9))</f>
        <v/>
      </c>
      <c r="L368" s="14">
        <f>IF(원생!$A366="","",SUMIFS(계산!$C:$C,계산!$A:$A,계산!$E366,계산!$B:$B,$B$1*100+10))</f>
        <v/>
      </c>
      <c r="M368" s="14">
        <f>IF(원생!$A366="","",SUMIFS(계산!$C:$C,계산!$A:$A,계산!$E366,계산!$B:$B,$B$1*100+11))</f>
        <v/>
      </c>
      <c r="N368" s="14">
        <f>IF(원생!$A366="","",SUMIFS(계산!$C:$C,계산!$A:$A,계산!$E366,계산!$B:$B,$B$1*100+12))</f>
        <v/>
      </c>
      <c r="O368">
        <f>IF(원생!$I366="","",원생!$I366)</f>
        <v/>
      </c>
      <c r="P368">
        <f>IF($A368="","",IF(AND($B368&gt;0,C368&lt;$B368,DATE($B$1,1,1)&lt;=TODAY(),OR($O368="",$O368&gt;=DATE($B$1,1,1)),OR(COUNTIF($C368:C368,"&gt;0")&gt;0,DATE($B$1,1,1)=DATE(YEAR(TODAY()),MONTH(TODAY()),1))),1,0))</f>
        <v/>
      </c>
      <c r="Q368">
        <f>IF($A368="","",IF(AND($B368&gt;0,D368&lt;$B368,DATE($B$1,2,1)&lt;=TODAY(),OR($O368="",$O368&gt;=DATE($B$1,2,1)),OR(COUNTIF($C368:D368,"&gt;0")&gt;0,DATE($B$1,2,1)=DATE(YEAR(TODAY()),MONTH(TODAY()),1))),1,0))</f>
        <v/>
      </c>
      <c r="R368">
        <f>IF($A368="","",IF(AND($B368&gt;0,E368&lt;$B368,DATE($B$1,3,1)&lt;=TODAY(),OR($O368="",$O368&gt;=DATE($B$1,3,1)),OR(COUNTIF($C368:E368,"&gt;0")&gt;0,DATE($B$1,3,1)=DATE(YEAR(TODAY()),MONTH(TODAY()),1))),1,0))</f>
        <v/>
      </c>
      <c r="S368">
        <f>IF($A368="","",IF(AND($B368&gt;0,F368&lt;$B368,DATE($B$1,4,1)&lt;=TODAY(),OR($O368="",$O368&gt;=DATE($B$1,4,1)),OR(COUNTIF($C368:F368,"&gt;0")&gt;0,DATE($B$1,4,1)=DATE(YEAR(TODAY()),MONTH(TODAY()),1))),1,0))</f>
        <v/>
      </c>
      <c r="T368">
        <f>IF($A368="","",IF(AND($B368&gt;0,G368&lt;$B368,DATE($B$1,5,1)&lt;=TODAY(),OR($O368="",$O368&gt;=DATE($B$1,5,1)),OR(COUNTIF($C368:G368,"&gt;0")&gt;0,DATE($B$1,5,1)=DATE(YEAR(TODAY()),MONTH(TODAY()),1))),1,0))</f>
        <v/>
      </c>
      <c r="U368">
        <f>IF($A368="","",IF(AND($B368&gt;0,H368&lt;$B368,DATE($B$1,6,1)&lt;=TODAY(),OR($O368="",$O368&gt;=DATE($B$1,6,1)),OR(COUNTIF($C368:H368,"&gt;0")&gt;0,DATE($B$1,6,1)=DATE(YEAR(TODAY()),MONTH(TODAY()),1))),1,0))</f>
        <v/>
      </c>
      <c r="V368">
        <f>IF($A368="","",IF(AND($B368&gt;0,I368&lt;$B368,DATE($B$1,7,1)&lt;=TODAY(),OR($O368="",$O368&gt;=DATE($B$1,7,1)),OR(COUNTIF($C368:I368,"&gt;0")&gt;0,DATE($B$1,7,1)=DATE(YEAR(TODAY()),MONTH(TODAY()),1))),1,0))</f>
        <v/>
      </c>
      <c r="W368">
        <f>IF($A368="","",IF(AND($B368&gt;0,J368&lt;$B368,DATE($B$1,8,1)&lt;=TODAY(),OR($O368="",$O368&gt;=DATE($B$1,8,1)),OR(COUNTIF($C368:J368,"&gt;0")&gt;0,DATE($B$1,8,1)=DATE(YEAR(TODAY()),MONTH(TODAY()),1))),1,0))</f>
        <v/>
      </c>
      <c r="X368">
        <f>IF($A368="","",IF(AND($B368&gt;0,K368&lt;$B368,DATE($B$1,9,1)&lt;=TODAY(),OR($O368="",$O368&gt;=DATE($B$1,9,1)),OR(COUNTIF($C368:K368,"&gt;0")&gt;0,DATE($B$1,9,1)=DATE(YEAR(TODAY()),MONTH(TODAY()),1))),1,0))</f>
        <v/>
      </c>
      <c r="Y368">
        <f>IF($A368="","",IF(AND($B368&gt;0,L368&lt;$B368,DATE($B$1,10,1)&lt;=TODAY(),OR($O368="",$O368&gt;=DATE($B$1,10,1)),OR(COUNTIF($C368:L368,"&gt;0")&gt;0,DATE($B$1,10,1)=DATE(YEAR(TODAY()),MONTH(TODAY()),1))),1,0))</f>
        <v/>
      </c>
      <c r="Z368">
        <f>IF($A368="","",IF(AND($B368&gt;0,M368&lt;$B368,DATE($B$1,11,1)&lt;=TODAY(),OR($O368="",$O368&gt;=DATE($B$1,11,1)),OR(COUNTIF($C368:M368,"&gt;0")&gt;0,DATE($B$1,11,1)=DATE(YEAR(TODAY()),MONTH(TODAY()),1))),1,0))</f>
        <v/>
      </c>
      <c r="AA368">
        <f>IF($A368="","",IF(AND($B368&gt;0,N368&lt;$B368,DATE($B$1,12,1)&lt;=TODAY(),OR($O368="",$O368&gt;=DATE($B$1,12,1)),OR(COUNTIF($C368:N368,"&gt;0")&gt;0,DATE($B$1,12,1)=DATE(YEAR(TODAY()),MONTH(TODAY()),1))),1,0))</f>
        <v/>
      </c>
    </row>
    <row r="369">
      <c r="A369" s="13">
        <f>IF(원생!$A367="","",원생!$A367&amp;IF(원생!$G367="",""," ("&amp;원생!$G367&amp;")"))</f>
        <v/>
      </c>
      <c r="B369" s="8">
        <f>IF(원생!$A367="","",N(원생!$F367))</f>
        <v/>
      </c>
      <c r="C369" s="14">
        <f>IF(원생!$A367="","",SUMIFS(계산!$C:$C,계산!$A:$A,계산!$E367,계산!$B:$B,$B$1*100+1))</f>
        <v/>
      </c>
      <c r="D369" s="14">
        <f>IF(원생!$A367="","",SUMIFS(계산!$C:$C,계산!$A:$A,계산!$E367,계산!$B:$B,$B$1*100+2))</f>
        <v/>
      </c>
      <c r="E369" s="14">
        <f>IF(원생!$A367="","",SUMIFS(계산!$C:$C,계산!$A:$A,계산!$E367,계산!$B:$B,$B$1*100+3))</f>
        <v/>
      </c>
      <c r="F369" s="14">
        <f>IF(원생!$A367="","",SUMIFS(계산!$C:$C,계산!$A:$A,계산!$E367,계산!$B:$B,$B$1*100+4))</f>
        <v/>
      </c>
      <c r="G369" s="14">
        <f>IF(원생!$A367="","",SUMIFS(계산!$C:$C,계산!$A:$A,계산!$E367,계산!$B:$B,$B$1*100+5))</f>
        <v/>
      </c>
      <c r="H369" s="14">
        <f>IF(원생!$A367="","",SUMIFS(계산!$C:$C,계산!$A:$A,계산!$E367,계산!$B:$B,$B$1*100+6))</f>
        <v/>
      </c>
      <c r="I369" s="14">
        <f>IF(원생!$A367="","",SUMIFS(계산!$C:$C,계산!$A:$A,계산!$E367,계산!$B:$B,$B$1*100+7))</f>
        <v/>
      </c>
      <c r="J369" s="14">
        <f>IF(원생!$A367="","",SUMIFS(계산!$C:$C,계산!$A:$A,계산!$E367,계산!$B:$B,$B$1*100+8))</f>
        <v/>
      </c>
      <c r="K369" s="14">
        <f>IF(원생!$A367="","",SUMIFS(계산!$C:$C,계산!$A:$A,계산!$E367,계산!$B:$B,$B$1*100+9))</f>
        <v/>
      </c>
      <c r="L369" s="14">
        <f>IF(원생!$A367="","",SUMIFS(계산!$C:$C,계산!$A:$A,계산!$E367,계산!$B:$B,$B$1*100+10))</f>
        <v/>
      </c>
      <c r="M369" s="14">
        <f>IF(원생!$A367="","",SUMIFS(계산!$C:$C,계산!$A:$A,계산!$E367,계산!$B:$B,$B$1*100+11))</f>
        <v/>
      </c>
      <c r="N369" s="14">
        <f>IF(원생!$A367="","",SUMIFS(계산!$C:$C,계산!$A:$A,계산!$E367,계산!$B:$B,$B$1*100+12))</f>
        <v/>
      </c>
      <c r="O369">
        <f>IF(원생!$I367="","",원생!$I367)</f>
        <v/>
      </c>
      <c r="P369">
        <f>IF($A369="","",IF(AND($B369&gt;0,C369&lt;$B369,DATE($B$1,1,1)&lt;=TODAY(),OR($O369="",$O369&gt;=DATE($B$1,1,1)),OR(COUNTIF($C369:C369,"&gt;0")&gt;0,DATE($B$1,1,1)=DATE(YEAR(TODAY()),MONTH(TODAY()),1))),1,0))</f>
        <v/>
      </c>
      <c r="Q369">
        <f>IF($A369="","",IF(AND($B369&gt;0,D369&lt;$B369,DATE($B$1,2,1)&lt;=TODAY(),OR($O369="",$O369&gt;=DATE($B$1,2,1)),OR(COUNTIF($C369:D369,"&gt;0")&gt;0,DATE($B$1,2,1)=DATE(YEAR(TODAY()),MONTH(TODAY()),1))),1,0))</f>
        <v/>
      </c>
      <c r="R369">
        <f>IF($A369="","",IF(AND($B369&gt;0,E369&lt;$B369,DATE($B$1,3,1)&lt;=TODAY(),OR($O369="",$O369&gt;=DATE($B$1,3,1)),OR(COUNTIF($C369:E369,"&gt;0")&gt;0,DATE($B$1,3,1)=DATE(YEAR(TODAY()),MONTH(TODAY()),1))),1,0))</f>
        <v/>
      </c>
      <c r="S369">
        <f>IF($A369="","",IF(AND($B369&gt;0,F369&lt;$B369,DATE($B$1,4,1)&lt;=TODAY(),OR($O369="",$O369&gt;=DATE($B$1,4,1)),OR(COUNTIF($C369:F369,"&gt;0")&gt;0,DATE($B$1,4,1)=DATE(YEAR(TODAY()),MONTH(TODAY()),1))),1,0))</f>
        <v/>
      </c>
      <c r="T369">
        <f>IF($A369="","",IF(AND($B369&gt;0,G369&lt;$B369,DATE($B$1,5,1)&lt;=TODAY(),OR($O369="",$O369&gt;=DATE($B$1,5,1)),OR(COUNTIF($C369:G369,"&gt;0")&gt;0,DATE($B$1,5,1)=DATE(YEAR(TODAY()),MONTH(TODAY()),1))),1,0))</f>
        <v/>
      </c>
      <c r="U369">
        <f>IF($A369="","",IF(AND($B369&gt;0,H369&lt;$B369,DATE($B$1,6,1)&lt;=TODAY(),OR($O369="",$O369&gt;=DATE($B$1,6,1)),OR(COUNTIF($C369:H369,"&gt;0")&gt;0,DATE($B$1,6,1)=DATE(YEAR(TODAY()),MONTH(TODAY()),1))),1,0))</f>
        <v/>
      </c>
      <c r="V369">
        <f>IF($A369="","",IF(AND($B369&gt;0,I369&lt;$B369,DATE($B$1,7,1)&lt;=TODAY(),OR($O369="",$O369&gt;=DATE($B$1,7,1)),OR(COUNTIF($C369:I369,"&gt;0")&gt;0,DATE($B$1,7,1)=DATE(YEAR(TODAY()),MONTH(TODAY()),1))),1,0))</f>
        <v/>
      </c>
      <c r="W369">
        <f>IF($A369="","",IF(AND($B369&gt;0,J369&lt;$B369,DATE($B$1,8,1)&lt;=TODAY(),OR($O369="",$O369&gt;=DATE($B$1,8,1)),OR(COUNTIF($C369:J369,"&gt;0")&gt;0,DATE($B$1,8,1)=DATE(YEAR(TODAY()),MONTH(TODAY()),1))),1,0))</f>
        <v/>
      </c>
      <c r="X369">
        <f>IF($A369="","",IF(AND($B369&gt;0,K369&lt;$B369,DATE($B$1,9,1)&lt;=TODAY(),OR($O369="",$O369&gt;=DATE($B$1,9,1)),OR(COUNTIF($C369:K369,"&gt;0")&gt;0,DATE($B$1,9,1)=DATE(YEAR(TODAY()),MONTH(TODAY()),1))),1,0))</f>
        <v/>
      </c>
      <c r="Y369">
        <f>IF($A369="","",IF(AND($B369&gt;0,L369&lt;$B369,DATE($B$1,10,1)&lt;=TODAY(),OR($O369="",$O369&gt;=DATE($B$1,10,1)),OR(COUNTIF($C369:L369,"&gt;0")&gt;0,DATE($B$1,10,1)=DATE(YEAR(TODAY()),MONTH(TODAY()),1))),1,0))</f>
        <v/>
      </c>
      <c r="Z369">
        <f>IF($A369="","",IF(AND($B369&gt;0,M369&lt;$B369,DATE($B$1,11,1)&lt;=TODAY(),OR($O369="",$O369&gt;=DATE($B$1,11,1)),OR(COUNTIF($C369:M369,"&gt;0")&gt;0,DATE($B$1,11,1)=DATE(YEAR(TODAY()),MONTH(TODAY()),1))),1,0))</f>
        <v/>
      </c>
      <c r="AA369">
        <f>IF($A369="","",IF(AND($B369&gt;0,N369&lt;$B369,DATE($B$1,12,1)&lt;=TODAY(),OR($O369="",$O369&gt;=DATE($B$1,12,1)),OR(COUNTIF($C369:N369,"&gt;0")&gt;0,DATE($B$1,12,1)=DATE(YEAR(TODAY()),MONTH(TODAY()),1))),1,0))</f>
        <v/>
      </c>
    </row>
    <row r="370">
      <c r="A370" s="13">
        <f>IF(원생!$A368="","",원생!$A368&amp;IF(원생!$G368="",""," ("&amp;원생!$G368&amp;")"))</f>
        <v/>
      </c>
      <c r="B370" s="8">
        <f>IF(원생!$A368="","",N(원생!$F368))</f>
        <v/>
      </c>
      <c r="C370" s="14">
        <f>IF(원생!$A368="","",SUMIFS(계산!$C:$C,계산!$A:$A,계산!$E368,계산!$B:$B,$B$1*100+1))</f>
        <v/>
      </c>
      <c r="D370" s="14">
        <f>IF(원생!$A368="","",SUMIFS(계산!$C:$C,계산!$A:$A,계산!$E368,계산!$B:$B,$B$1*100+2))</f>
        <v/>
      </c>
      <c r="E370" s="14">
        <f>IF(원생!$A368="","",SUMIFS(계산!$C:$C,계산!$A:$A,계산!$E368,계산!$B:$B,$B$1*100+3))</f>
        <v/>
      </c>
      <c r="F370" s="14">
        <f>IF(원생!$A368="","",SUMIFS(계산!$C:$C,계산!$A:$A,계산!$E368,계산!$B:$B,$B$1*100+4))</f>
        <v/>
      </c>
      <c r="G370" s="14">
        <f>IF(원생!$A368="","",SUMIFS(계산!$C:$C,계산!$A:$A,계산!$E368,계산!$B:$B,$B$1*100+5))</f>
        <v/>
      </c>
      <c r="H370" s="14">
        <f>IF(원생!$A368="","",SUMIFS(계산!$C:$C,계산!$A:$A,계산!$E368,계산!$B:$B,$B$1*100+6))</f>
        <v/>
      </c>
      <c r="I370" s="14">
        <f>IF(원생!$A368="","",SUMIFS(계산!$C:$C,계산!$A:$A,계산!$E368,계산!$B:$B,$B$1*100+7))</f>
        <v/>
      </c>
      <c r="J370" s="14">
        <f>IF(원생!$A368="","",SUMIFS(계산!$C:$C,계산!$A:$A,계산!$E368,계산!$B:$B,$B$1*100+8))</f>
        <v/>
      </c>
      <c r="K370" s="14">
        <f>IF(원생!$A368="","",SUMIFS(계산!$C:$C,계산!$A:$A,계산!$E368,계산!$B:$B,$B$1*100+9))</f>
        <v/>
      </c>
      <c r="L370" s="14">
        <f>IF(원생!$A368="","",SUMIFS(계산!$C:$C,계산!$A:$A,계산!$E368,계산!$B:$B,$B$1*100+10))</f>
        <v/>
      </c>
      <c r="M370" s="14">
        <f>IF(원생!$A368="","",SUMIFS(계산!$C:$C,계산!$A:$A,계산!$E368,계산!$B:$B,$B$1*100+11))</f>
        <v/>
      </c>
      <c r="N370" s="14">
        <f>IF(원생!$A368="","",SUMIFS(계산!$C:$C,계산!$A:$A,계산!$E368,계산!$B:$B,$B$1*100+12))</f>
        <v/>
      </c>
      <c r="O370">
        <f>IF(원생!$I368="","",원생!$I368)</f>
        <v/>
      </c>
      <c r="P370">
        <f>IF($A370="","",IF(AND($B370&gt;0,C370&lt;$B370,DATE($B$1,1,1)&lt;=TODAY(),OR($O370="",$O370&gt;=DATE($B$1,1,1)),OR(COUNTIF($C370:C370,"&gt;0")&gt;0,DATE($B$1,1,1)=DATE(YEAR(TODAY()),MONTH(TODAY()),1))),1,0))</f>
        <v/>
      </c>
      <c r="Q370">
        <f>IF($A370="","",IF(AND($B370&gt;0,D370&lt;$B370,DATE($B$1,2,1)&lt;=TODAY(),OR($O370="",$O370&gt;=DATE($B$1,2,1)),OR(COUNTIF($C370:D370,"&gt;0")&gt;0,DATE($B$1,2,1)=DATE(YEAR(TODAY()),MONTH(TODAY()),1))),1,0))</f>
        <v/>
      </c>
      <c r="R370">
        <f>IF($A370="","",IF(AND($B370&gt;0,E370&lt;$B370,DATE($B$1,3,1)&lt;=TODAY(),OR($O370="",$O370&gt;=DATE($B$1,3,1)),OR(COUNTIF($C370:E370,"&gt;0")&gt;0,DATE($B$1,3,1)=DATE(YEAR(TODAY()),MONTH(TODAY()),1))),1,0))</f>
        <v/>
      </c>
      <c r="S370">
        <f>IF($A370="","",IF(AND($B370&gt;0,F370&lt;$B370,DATE($B$1,4,1)&lt;=TODAY(),OR($O370="",$O370&gt;=DATE($B$1,4,1)),OR(COUNTIF($C370:F370,"&gt;0")&gt;0,DATE($B$1,4,1)=DATE(YEAR(TODAY()),MONTH(TODAY()),1))),1,0))</f>
        <v/>
      </c>
      <c r="T370">
        <f>IF($A370="","",IF(AND($B370&gt;0,G370&lt;$B370,DATE($B$1,5,1)&lt;=TODAY(),OR($O370="",$O370&gt;=DATE($B$1,5,1)),OR(COUNTIF($C370:G370,"&gt;0")&gt;0,DATE($B$1,5,1)=DATE(YEAR(TODAY()),MONTH(TODAY()),1))),1,0))</f>
        <v/>
      </c>
      <c r="U370">
        <f>IF($A370="","",IF(AND($B370&gt;0,H370&lt;$B370,DATE($B$1,6,1)&lt;=TODAY(),OR($O370="",$O370&gt;=DATE($B$1,6,1)),OR(COUNTIF($C370:H370,"&gt;0")&gt;0,DATE($B$1,6,1)=DATE(YEAR(TODAY()),MONTH(TODAY()),1))),1,0))</f>
        <v/>
      </c>
      <c r="V370">
        <f>IF($A370="","",IF(AND($B370&gt;0,I370&lt;$B370,DATE($B$1,7,1)&lt;=TODAY(),OR($O370="",$O370&gt;=DATE($B$1,7,1)),OR(COUNTIF($C370:I370,"&gt;0")&gt;0,DATE($B$1,7,1)=DATE(YEAR(TODAY()),MONTH(TODAY()),1))),1,0))</f>
        <v/>
      </c>
      <c r="W370">
        <f>IF($A370="","",IF(AND($B370&gt;0,J370&lt;$B370,DATE($B$1,8,1)&lt;=TODAY(),OR($O370="",$O370&gt;=DATE($B$1,8,1)),OR(COUNTIF($C370:J370,"&gt;0")&gt;0,DATE($B$1,8,1)=DATE(YEAR(TODAY()),MONTH(TODAY()),1))),1,0))</f>
        <v/>
      </c>
      <c r="X370">
        <f>IF($A370="","",IF(AND($B370&gt;0,K370&lt;$B370,DATE($B$1,9,1)&lt;=TODAY(),OR($O370="",$O370&gt;=DATE($B$1,9,1)),OR(COUNTIF($C370:K370,"&gt;0")&gt;0,DATE($B$1,9,1)=DATE(YEAR(TODAY()),MONTH(TODAY()),1))),1,0))</f>
        <v/>
      </c>
      <c r="Y370">
        <f>IF($A370="","",IF(AND($B370&gt;0,L370&lt;$B370,DATE($B$1,10,1)&lt;=TODAY(),OR($O370="",$O370&gt;=DATE($B$1,10,1)),OR(COUNTIF($C370:L370,"&gt;0")&gt;0,DATE($B$1,10,1)=DATE(YEAR(TODAY()),MONTH(TODAY()),1))),1,0))</f>
        <v/>
      </c>
      <c r="Z370">
        <f>IF($A370="","",IF(AND($B370&gt;0,M370&lt;$B370,DATE($B$1,11,1)&lt;=TODAY(),OR($O370="",$O370&gt;=DATE($B$1,11,1)),OR(COUNTIF($C370:M370,"&gt;0")&gt;0,DATE($B$1,11,1)=DATE(YEAR(TODAY()),MONTH(TODAY()),1))),1,0))</f>
        <v/>
      </c>
      <c r="AA370">
        <f>IF($A370="","",IF(AND($B370&gt;0,N370&lt;$B370,DATE($B$1,12,1)&lt;=TODAY(),OR($O370="",$O370&gt;=DATE($B$1,12,1)),OR(COUNTIF($C370:N370,"&gt;0")&gt;0,DATE($B$1,12,1)=DATE(YEAR(TODAY()),MONTH(TODAY()),1))),1,0))</f>
        <v/>
      </c>
    </row>
    <row r="371">
      <c r="A371" s="13">
        <f>IF(원생!$A369="","",원생!$A369&amp;IF(원생!$G369="",""," ("&amp;원생!$G369&amp;")"))</f>
        <v/>
      </c>
      <c r="B371" s="8">
        <f>IF(원생!$A369="","",N(원생!$F369))</f>
        <v/>
      </c>
      <c r="C371" s="14">
        <f>IF(원생!$A369="","",SUMIFS(계산!$C:$C,계산!$A:$A,계산!$E369,계산!$B:$B,$B$1*100+1))</f>
        <v/>
      </c>
      <c r="D371" s="14">
        <f>IF(원생!$A369="","",SUMIFS(계산!$C:$C,계산!$A:$A,계산!$E369,계산!$B:$B,$B$1*100+2))</f>
        <v/>
      </c>
      <c r="E371" s="14">
        <f>IF(원생!$A369="","",SUMIFS(계산!$C:$C,계산!$A:$A,계산!$E369,계산!$B:$B,$B$1*100+3))</f>
        <v/>
      </c>
      <c r="F371" s="14">
        <f>IF(원생!$A369="","",SUMIFS(계산!$C:$C,계산!$A:$A,계산!$E369,계산!$B:$B,$B$1*100+4))</f>
        <v/>
      </c>
      <c r="G371" s="14">
        <f>IF(원생!$A369="","",SUMIFS(계산!$C:$C,계산!$A:$A,계산!$E369,계산!$B:$B,$B$1*100+5))</f>
        <v/>
      </c>
      <c r="H371" s="14">
        <f>IF(원생!$A369="","",SUMIFS(계산!$C:$C,계산!$A:$A,계산!$E369,계산!$B:$B,$B$1*100+6))</f>
        <v/>
      </c>
      <c r="I371" s="14">
        <f>IF(원생!$A369="","",SUMIFS(계산!$C:$C,계산!$A:$A,계산!$E369,계산!$B:$B,$B$1*100+7))</f>
        <v/>
      </c>
      <c r="J371" s="14">
        <f>IF(원생!$A369="","",SUMIFS(계산!$C:$C,계산!$A:$A,계산!$E369,계산!$B:$B,$B$1*100+8))</f>
        <v/>
      </c>
      <c r="K371" s="14">
        <f>IF(원생!$A369="","",SUMIFS(계산!$C:$C,계산!$A:$A,계산!$E369,계산!$B:$B,$B$1*100+9))</f>
        <v/>
      </c>
      <c r="L371" s="14">
        <f>IF(원생!$A369="","",SUMIFS(계산!$C:$C,계산!$A:$A,계산!$E369,계산!$B:$B,$B$1*100+10))</f>
        <v/>
      </c>
      <c r="M371" s="14">
        <f>IF(원생!$A369="","",SUMIFS(계산!$C:$C,계산!$A:$A,계산!$E369,계산!$B:$B,$B$1*100+11))</f>
        <v/>
      </c>
      <c r="N371" s="14">
        <f>IF(원생!$A369="","",SUMIFS(계산!$C:$C,계산!$A:$A,계산!$E369,계산!$B:$B,$B$1*100+12))</f>
        <v/>
      </c>
      <c r="O371">
        <f>IF(원생!$I369="","",원생!$I369)</f>
        <v/>
      </c>
      <c r="P371">
        <f>IF($A371="","",IF(AND($B371&gt;0,C371&lt;$B371,DATE($B$1,1,1)&lt;=TODAY(),OR($O371="",$O371&gt;=DATE($B$1,1,1)),OR(COUNTIF($C371:C371,"&gt;0")&gt;0,DATE($B$1,1,1)=DATE(YEAR(TODAY()),MONTH(TODAY()),1))),1,0))</f>
        <v/>
      </c>
      <c r="Q371">
        <f>IF($A371="","",IF(AND($B371&gt;0,D371&lt;$B371,DATE($B$1,2,1)&lt;=TODAY(),OR($O371="",$O371&gt;=DATE($B$1,2,1)),OR(COUNTIF($C371:D371,"&gt;0")&gt;0,DATE($B$1,2,1)=DATE(YEAR(TODAY()),MONTH(TODAY()),1))),1,0))</f>
        <v/>
      </c>
      <c r="R371">
        <f>IF($A371="","",IF(AND($B371&gt;0,E371&lt;$B371,DATE($B$1,3,1)&lt;=TODAY(),OR($O371="",$O371&gt;=DATE($B$1,3,1)),OR(COUNTIF($C371:E371,"&gt;0")&gt;0,DATE($B$1,3,1)=DATE(YEAR(TODAY()),MONTH(TODAY()),1))),1,0))</f>
        <v/>
      </c>
      <c r="S371">
        <f>IF($A371="","",IF(AND($B371&gt;0,F371&lt;$B371,DATE($B$1,4,1)&lt;=TODAY(),OR($O371="",$O371&gt;=DATE($B$1,4,1)),OR(COUNTIF($C371:F371,"&gt;0")&gt;0,DATE($B$1,4,1)=DATE(YEAR(TODAY()),MONTH(TODAY()),1))),1,0))</f>
        <v/>
      </c>
      <c r="T371">
        <f>IF($A371="","",IF(AND($B371&gt;0,G371&lt;$B371,DATE($B$1,5,1)&lt;=TODAY(),OR($O371="",$O371&gt;=DATE($B$1,5,1)),OR(COUNTIF($C371:G371,"&gt;0")&gt;0,DATE($B$1,5,1)=DATE(YEAR(TODAY()),MONTH(TODAY()),1))),1,0))</f>
        <v/>
      </c>
      <c r="U371">
        <f>IF($A371="","",IF(AND($B371&gt;0,H371&lt;$B371,DATE($B$1,6,1)&lt;=TODAY(),OR($O371="",$O371&gt;=DATE($B$1,6,1)),OR(COUNTIF($C371:H371,"&gt;0")&gt;0,DATE($B$1,6,1)=DATE(YEAR(TODAY()),MONTH(TODAY()),1))),1,0))</f>
        <v/>
      </c>
      <c r="V371">
        <f>IF($A371="","",IF(AND($B371&gt;0,I371&lt;$B371,DATE($B$1,7,1)&lt;=TODAY(),OR($O371="",$O371&gt;=DATE($B$1,7,1)),OR(COUNTIF($C371:I371,"&gt;0")&gt;0,DATE($B$1,7,1)=DATE(YEAR(TODAY()),MONTH(TODAY()),1))),1,0))</f>
        <v/>
      </c>
      <c r="W371">
        <f>IF($A371="","",IF(AND($B371&gt;0,J371&lt;$B371,DATE($B$1,8,1)&lt;=TODAY(),OR($O371="",$O371&gt;=DATE($B$1,8,1)),OR(COUNTIF($C371:J371,"&gt;0")&gt;0,DATE($B$1,8,1)=DATE(YEAR(TODAY()),MONTH(TODAY()),1))),1,0))</f>
        <v/>
      </c>
      <c r="X371">
        <f>IF($A371="","",IF(AND($B371&gt;0,K371&lt;$B371,DATE($B$1,9,1)&lt;=TODAY(),OR($O371="",$O371&gt;=DATE($B$1,9,1)),OR(COUNTIF($C371:K371,"&gt;0")&gt;0,DATE($B$1,9,1)=DATE(YEAR(TODAY()),MONTH(TODAY()),1))),1,0))</f>
        <v/>
      </c>
      <c r="Y371">
        <f>IF($A371="","",IF(AND($B371&gt;0,L371&lt;$B371,DATE($B$1,10,1)&lt;=TODAY(),OR($O371="",$O371&gt;=DATE($B$1,10,1)),OR(COUNTIF($C371:L371,"&gt;0")&gt;0,DATE($B$1,10,1)=DATE(YEAR(TODAY()),MONTH(TODAY()),1))),1,0))</f>
        <v/>
      </c>
      <c r="Z371">
        <f>IF($A371="","",IF(AND($B371&gt;0,M371&lt;$B371,DATE($B$1,11,1)&lt;=TODAY(),OR($O371="",$O371&gt;=DATE($B$1,11,1)),OR(COUNTIF($C371:M371,"&gt;0")&gt;0,DATE($B$1,11,1)=DATE(YEAR(TODAY()),MONTH(TODAY()),1))),1,0))</f>
        <v/>
      </c>
      <c r="AA371">
        <f>IF($A371="","",IF(AND($B371&gt;0,N371&lt;$B371,DATE($B$1,12,1)&lt;=TODAY(),OR($O371="",$O371&gt;=DATE($B$1,12,1)),OR(COUNTIF($C371:N371,"&gt;0")&gt;0,DATE($B$1,12,1)=DATE(YEAR(TODAY()),MONTH(TODAY()),1))),1,0))</f>
        <v/>
      </c>
    </row>
    <row r="372">
      <c r="A372" s="13">
        <f>IF(원생!$A370="","",원생!$A370&amp;IF(원생!$G370="",""," ("&amp;원생!$G370&amp;")"))</f>
        <v/>
      </c>
      <c r="B372" s="8">
        <f>IF(원생!$A370="","",N(원생!$F370))</f>
        <v/>
      </c>
      <c r="C372" s="14">
        <f>IF(원생!$A370="","",SUMIFS(계산!$C:$C,계산!$A:$A,계산!$E370,계산!$B:$B,$B$1*100+1))</f>
        <v/>
      </c>
      <c r="D372" s="14">
        <f>IF(원생!$A370="","",SUMIFS(계산!$C:$C,계산!$A:$A,계산!$E370,계산!$B:$B,$B$1*100+2))</f>
        <v/>
      </c>
      <c r="E372" s="14">
        <f>IF(원생!$A370="","",SUMIFS(계산!$C:$C,계산!$A:$A,계산!$E370,계산!$B:$B,$B$1*100+3))</f>
        <v/>
      </c>
      <c r="F372" s="14">
        <f>IF(원생!$A370="","",SUMIFS(계산!$C:$C,계산!$A:$A,계산!$E370,계산!$B:$B,$B$1*100+4))</f>
        <v/>
      </c>
      <c r="G372" s="14">
        <f>IF(원생!$A370="","",SUMIFS(계산!$C:$C,계산!$A:$A,계산!$E370,계산!$B:$B,$B$1*100+5))</f>
        <v/>
      </c>
      <c r="H372" s="14">
        <f>IF(원생!$A370="","",SUMIFS(계산!$C:$C,계산!$A:$A,계산!$E370,계산!$B:$B,$B$1*100+6))</f>
        <v/>
      </c>
      <c r="I372" s="14">
        <f>IF(원생!$A370="","",SUMIFS(계산!$C:$C,계산!$A:$A,계산!$E370,계산!$B:$B,$B$1*100+7))</f>
        <v/>
      </c>
      <c r="J372" s="14">
        <f>IF(원생!$A370="","",SUMIFS(계산!$C:$C,계산!$A:$A,계산!$E370,계산!$B:$B,$B$1*100+8))</f>
        <v/>
      </c>
      <c r="K372" s="14">
        <f>IF(원생!$A370="","",SUMIFS(계산!$C:$C,계산!$A:$A,계산!$E370,계산!$B:$B,$B$1*100+9))</f>
        <v/>
      </c>
      <c r="L372" s="14">
        <f>IF(원생!$A370="","",SUMIFS(계산!$C:$C,계산!$A:$A,계산!$E370,계산!$B:$B,$B$1*100+10))</f>
        <v/>
      </c>
      <c r="M372" s="14">
        <f>IF(원생!$A370="","",SUMIFS(계산!$C:$C,계산!$A:$A,계산!$E370,계산!$B:$B,$B$1*100+11))</f>
        <v/>
      </c>
      <c r="N372" s="14">
        <f>IF(원생!$A370="","",SUMIFS(계산!$C:$C,계산!$A:$A,계산!$E370,계산!$B:$B,$B$1*100+12))</f>
        <v/>
      </c>
      <c r="O372">
        <f>IF(원생!$I370="","",원생!$I370)</f>
        <v/>
      </c>
      <c r="P372">
        <f>IF($A372="","",IF(AND($B372&gt;0,C372&lt;$B372,DATE($B$1,1,1)&lt;=TODAY(),OR($O372="",$O372&gt;=DATE($B$1,1,1)),OR(COUNTIF($C372:C372,"&gt;0")&gt;0,DATE($B$1,1,1)=DATE(YEAR(TODAY()),MONTH(TODAY()),1))),1,0))</f>
        <v/>
      </c>
      <c r="Q372">
        <f>IF($A372="","",IF(AND($B372&gt;0,D372&lt;$B372,DATE($B$1,2,1)&lt;=TODAY(),OR($O372="",$O372&gt;=DATE($B$1,2,1)),OR(COUNTIF($C372:D372,"&gt;0")&gt;0,DATE($B$1,2,1)=DATE(YEAR(TODAY()),MONTH(TODAY()),1))),1,0))</f>
        <v/>
      </c>
      <c r="R372">
        <f>IF($A372="","",IF(AND($B372&gt;0,E372&lt;$B372,DATE($B$1,3,1)&lt;=TODAY(),OR($O372="",$O372&gt;=DATE($B$1,3,1)),OR(COUNTIF($C372:E372,"&gt;0")&gt;0,DATE($B$1,3,1)=DATE(YEAR(TODAY()),MONTH(TODAY()),1))),1,0))</f>
        <v/>
      </c>
      <c r="S372">
        <f>IF($A372="","",IF(AND($B372&gt;0,F372&lt;$B372,DATE($B$1,4,1)&lt;=TODAY(),OR($O372="",$O372&gt;=DATE($B$1,4,1)),OR(COUNTIF($C372:F372,"&gt;0")&gt;0,DATE($B$1,4,1)=DATE(YEAR(TODAY()),MONTH(TODAY()),1))),1,0))</f>
        <v/>
      </c>
      <c r="T372">
        <f>IF($A372="","",IF(AND($B372&gt;0,G372&lt;$B372,DATE($B$1,5,1)&lt;=TODAY(),OR($O372="",$O372&gt;=DATE($B$1,5,1)),OR(COUNTIF($C372:G372,"&gt;0")&gt;0,DATE($B$1,5,1)=DATE(YEAR(TODAY()),MONTH(TODAY()),1))),1,0))</f>
        <v/>
      </c>
      <c r="U372">
        <f>IF($A372="","",IF(AND($B372&gt;0,H372&lt;$B372,DATE($B$1,6,1)&lt;=TODAY(),OR($O372="",$O372&gt;=DATE($B$1,6,1)),OR(COUNTIF($C372:H372,"&gt;0")&gt;0,DATE($B$1,6,1)=DATE(YEAR(TODAY()),MONTH(TODAY()),1))),1,0))</f>
        <v/>
      </c>
      <c r="V372">
        <f>IF($A372="","",IF(AND($B372&gt;0,I372&lt;$B372,DATE($B$1,7,1)&lt;=TODAY(),OR($O372="",$O372&gt;=DATE($B$1,7,1)),OR(COUNTIF($C372:I372,"&gt;0")&gt;0,DATE($B$1,7,1)=DATE(YEAR(TODAY()),MONTH(TODAY()),1))),1,0))</f>
        <v/>
      </c>
      <c r="W372">
        <f>IF($A372="","",IF(AND($B372&gt;0,J372&lt;$B372,DATE($B$1,8,1)&lt;=TODAY(),OR($O372="",$O372&gt;=DATE($B$1,8,1)),OR(COUNTIF($C372:J372,"&gt;0")&gt;0,DATE($B$1,8,1)=DATE(YEAR(TODAY()),MONTH(TODAY()),1))),1,0))</f>
        <v/>
      </c>
      <c r="X372">
        <f>IF($A372="","",IF(AND($B372&gt;0,K372&lt;$B372,DATE($B$1,9,1)&lt;=TODAY(),OR($O372="",$O372&gt;=DATE($B$1,9,1)),OR(COUNTIF($C372:K372,"&gt;0")&gt;0,DATE($B$1,9,1)=DATE(YEAR(TODAY()),MONTH(TODAY()),1))),1,0))</f>
        <v/>
      </c>
      <c r="Y372">
        <f>IF($A372="","",IF(AND($B372&gt;0,L372&lt;$B372,DATE($B$1,10,1)&lt;=TODAY(),OR($O372="",$O372&gt;=DATE($B$1,10,1)),OR(COUNTIF($C372:L372,"&gt;0")&gt;0,DATE($B$1,10,1)=DATE(YEAR(TODAY()),MONTH(TODAY()),1))),1,0))</f>
        <v/>
      </c>
      <c r="Z372">
        <f>IF($A372="","",IF(AND($B372&gt;0,M372&lt;$B372,DATE($B$1,11,1)&lt;=TODAY(),OR($O372="",$O372&gt;=DATE($B$1,11,1)),OR(COUNTIF($C372:M372,"&gt;0")&gt;0,DATE($B$1,11,1)=DATE(YEAR(TODAY()),MONTH(TODAY()),1))),1,0))</f>
        <v/>
      </c>
      <c r="AA372">
        <f>IF($A372="","",IF(AND($B372&gt;0,N372&lt;$B372,DATE($B$1,12,1)&lt;=TODAY(),OR($O372="",$O372&gt;=DATE($B$1,12,1)),OR(COUNTIF($C372:N372,"&gt;0")&gt;0,DATE($B$1,12,1)=DATE(YEAR(TODAY()),MONTH(TODAY()),1))),1,0))</f>
        <v/>
      </c>
    </row>
    <row r="373">
      <c r="A373" s="13">
        <f>IF(원생!$A371="","",원생!$A371&amp;IF(원생!$G371="",""," ("&amp;원생!$G371&amp;")"))</f>
        <v/>
      </c>
      <c r="B373" s="8">
        <f>IF(원생!$A371="","",N(원생!$F371))</f>
        <v/>
      </c>
      <c r="C373" s="14">
        <f>IF(원생!$A371="","",SUMIFS(계산!$C:$C,계산!$A:$A,계산!$E371,계산!$B:$B,$B$1*100+1))</f>
        <v/>
      </c>
      <c r="D373" s="14">
        <f>IF(원생!$A371="","",SUMIFS(계산!$C:$C,계산!$A:$A,계산!$E371,계산!$B:$B,$B$1*100+2))</f>
        <v/>
      </c>
      <c r="E373" s="14">
        <f>IF(원생!$A371="","",SUMIFS(계산!$C:$C,계산!$A:$A,계산!$E371,계산!$B:$B,$B$1*100+3))</f>
        <v/>
      </c>
      <c r="F373" s="14">
        <f>IF(원생!$A371="","",SUMIFS(계산!$C:$C,계산!$A:$A,계산!$E371,계산!$B:$B,$B$1*100+4))</f>
        <v/>
      </c>
      <c r="G373" s="14">
        <f>IF(원생!$A371="","",SUMIFS(계산!$C:$C,계산!$A:$A,계산!$E371,계산!$B:$B,$B$1*100+5))</f>
        <v/>
      </c>
      <c r="H373" s="14">
        <f>IF(원생!$A371="","",SUMIFS(계산!$C:$C,계산!$A:$A,계산!$E371,계산!$B:$B,$B$1*100+6))</f>
        <v/>
      </c>
      <c r="I373" s="14">
        <f>IF(원생!$A371="","",SUMIFS(계산!$C:$C,계산!$A:$A,계산!$E371,계산!$B:$B,$B$1*100+7))</f>
        <v/>
      </c>
      <c r="J373" s="14">
        <f>IF(원생!$A371="","",SUMIFS(계산!$C:$C,계산!$A:$A,계산!$E371,계산!$B:$B,$B$1*100+8))</f>
        <v/>
      </c>
      <c r="K373" s="14">
        <f>IF(원생!$A371="","",SUMIFS(계산!$C:$C,계산!$A:$A,계산!$E371,계산!$B:$B,$B$1*100+9))</f>
        <v/>
      </c>
      <c r="L373" s="14">
        <f>IF(원생!$A371="","",SUMIFS(계산!$C:$C,계산!$A:$A,계산!$E371,계산!$B:$B,$B$1*100+10))</f>
        <v/>
      </c>
      <c r="M373" s="14">
        <f>IF(원생!$A371="","",SUMIFS(계산!$C:$C,계산!$A:$A,계산!$E371,계산!$B:$B,$B$1*100+11))</f>
        <v/>
      </c>
      <c r="N373" s="14">
        <f>IF(원생!$A371="","",SUMIFS(계산!$C:$C,계산!$A:$A,계산!$E371,계산!$B:$B,$B$1*100+12))</f>
        <v/>
      </c>
      <c r="O373">
        <f>IF(원생!$I371="","",원생!$I371)</f>
        <v/>
      </c>
      <c r="P373">
        <f>IF($A373="","",IF(AND($B373&gt;0,C373&lt;$B373,DATE($B$1,1,1)&lt;=TODAY(),OR($O373="",$O373&gt;=DATE($B$1,1,1)),OR(COUNTIF($C373:C373,"&gt;0")&gt;0,DATE($B$1,1,1)=DATE(YEAR(TODAY()),MONTH(TODAY()),1))),1,0))</f>
        <v/>
      </c>
      <c r="Q373">
        <f>IF($A373="","",IF(AND($B373&gt;0,D373&lt;$B373,DATE($B$1,2,1)&lt;=TODAY(),OR($O373="",$O373&gt;=DATE($B$1,2,1)),OR(COUNTIF($C373:D373,"&gt;0")&gt;0,DATE($B$1,2,1)=DATE(YEAR(TODAY()),MONTH(TODAY()),1))),1,0))</f>
        <v/>
      </c>
      <c r="R373">
        <f>IF($A373="","",IF(AND($B373&gt;0,E373&lt;$B373,DATE($B$1,3,1)&lt;=TODAY(),OR($O373="",$O373&gt;=DATE($B$1,3,1)),OR(COUNTIF($C373:E373,"&gt;0")&gt;0,DATE($B$1,3,1)=DATE(YEAR(TODAY()),MONTH(TODAY()),1))),1,0))</f>
        <v/>
      </c>
      <c r="S373">
        <f>IF($A373="","",IF(AND($B373&gt;0,F373&lt;$B373,DATE($B$1,4,1)&lt;=TODAY(),OR($O373="",$O373&gt;=DATE($B$1,4,1)),OR(COUNTIF($C373:F373,"&gt;0")&gt;0,DATE($B$1,4,1)=DATE(YEAR(TODAY()),MONTH(TODAY()),1))),1,0))</f>
        <v/>
      </c>
      <c r="T373">
        <f>IF($A373="","",IF(AND($B373&gt;0,G373&lt;$B373,DATE($B$1,5,1)&lt;=TODAY(),OR($O373="",$O373&gt;=DATE($B$1,5,1)),OR(COUNTIF($C373:G373,"&gt;0")&gt;0,DATE($B$1,5,1)=DATE(YEAR(TODAY()),MONTH(TODAY()),1))),1,0))</f>
        <v/>
      </c>
      <c r="U373">
        <f>IF($A373="","",IF(AND($B373&gt;0,H373&lt;$B373,DATE($B$1,6,1)&lt;=TODAY(),OR($O373="",$O373&gt;=DATE($B$1,6,1)),OR(COUNTIF($C373:H373,"&gt;0")&gt;0,DATE($B$1,6,1)=DATE(YEAR(TODAY()),MONTH(TODAY()),1))),1,0))</f>
        <v/>
      </c>
      <c r="V373">
        <f>IF($A373="","",IF(AND($B373&gt;0,I373&lt;$B373,DATE($B$1,7,1)&lt;=TODAY(),OR($O373="",$O373&gt;=DATE($B$1,7,1)),OR(COUNTIF($C373:I373,"&gt;0")&gt;0,DATE($B$1,7,1)=DATE(YEAR(TODAY()),MONTH(TODAY()),1))),1,0))</f>
        <v/>
      </c>
      <c r="W373">
        <f>IF($A373="","",IF(AND($B373&gt;0,J373&lt;$B373,DATE($B$1,8,1)&lt;=TODAY(),OR($O373="",$O373&gt;=DATE($B$1,8,1)),OR(COUNTIF($C373:J373,"&gt;0")&gt;0,DATE($B$1,8,1)=DATE(YEAR(TODAY()),MONTH(TODAY()),1))),1,0))</f>
        <v/>
      </c>
      <c r="X373">
        <f>IF($A373="","",IF(AND($B373&gt;0,K373&lt;$B373,DATE($B$1,9,1)&lt;=TODAY(),OR($O373="",$O373&gt;=DATE($B$1,9,1)),OR(COUNTIF($C373:K373,"&gt;0")&gt;0,DATE($B$1,9,1)=DATE(YEAR(TODAY()),MONTH(TODAY()),1))),1,0))</f>
        <v/>
      </c>
      <c r="Y373">
        <f>IF($A373="","",IF(AND($B373&gt;0,L373&lt;$B373,DATE($B$1,10,1)&lt;=TODAY(),OR($O373="",$O373&gt;=DATE($B$1,10,1)),OR(COUNTIF($C373:L373,"&gt;0")&gt;0,DATE($B$1,10,1)=DATE(YEAR(TODAY()),MONTH(TODAY()),1))),1,0))</f>
        <v/>
      </c>
      <c r="Z373">
        <f>IF($A373="","",IF(AND($B373&gt;0,M373&lt;$B373,DATE($B$1,11,1)&lt;=TODAY(),OR($O373="",$O373&gt;=DATE($B$1,11,1)),OR(COUNTIF($C373:M373,"&gt;0")&gt;0,DATE($B$1,11,1)=DATE(YEAR(TODAY()),MONTH(TODAY()),1))),1,0))</f>
        <v/>
      </c>
      <c r="AA373">
        <f>IF($A373="","",IF(AND($B373&gt;0,N373&lt;$B373,DATE($B$1,12,1)&lt;=TODAY(),OR($O373="",$O373&gt;=DATE($B$1,12,1)),OR(COUNTIF($C373:N373,"&gt;0")&gt;0,DATE($B$1,12,1)=DATE(YEAR(TODAY()),MONTH(TODAY()),1))),1,0))</f>
        <v/>
      </c>
    </row>
    <row r="374">
      <c r="A374" s="13">
        <f>IF(원생!$A372="","",원생!$A372&amp;IF(원생!$G372="",""," ("&amp;원생!$G372&amp;")"))</f>
        <v/>
      </c>
      <c r="B374" s="8">
        <f>IF(원생!$A372="","",N(원생!$F372))</f>
        <v/>
      </c>
      <c r="C374" s="14">
        <f>IF(원생!$A372="","",SUMIFS(계산!$C:$C,계산!$A:$A,계산!$E372,계산!$B:$B,$B$1*100+1))</f>
        <v/>
      </c>
      <c r="D374" s="14">
        <f>IF(원생!$A372="","",SUMIFS(계산!$C:$C,계산!$A:$A,계산!$E372,계산!$B:$B,$B$1*100+2))</f>
        <v/>
      </c>
      <c r="E374" s="14">
        <f>IF(원생!$A372="","",SUMIFS(계산!$C:$C,계산!$A:$A,계산!$E372,계산!$B:$B,$B$1*100+3))</f>
        <v/>
      </c>
      <c r="F374" s="14">
        <f>IF(원생!$A372="","",SUMIFS(계산!$C:$C,계산!$A:$A,계산!$E372,계산!$B:$B,$B$1*100+4))</f>
        <v/>
      </c>
      <c r="G374" s="14">
        <f>IF(원생!$A372="","",SUMIFS(계산!$C:$C,계산!$A:$A,계산!$E372,계산!$B:$B,$B$1*100+5))</f>
        <v/>
      </c>
      <c r="H374" s="14">
        <f>IF(원생!$A372="","",SUMIFS(계산!$C:$C,계산!$A:$A,계산!$E372,계산!$B:$B,$B$1*100+6))</f>
        <v/>
      </c>
      <c r="I374" s="14">
        <f>IF(원생!$A372="","",SUMIFS(계산!$C:$C,계산!$A:$A,계산!$E372,계산!$B:$B,$B$1*100+7))</f>
        <v/>
      </c>
      <c r="J374" s="14">
        <f>IF(원생!$A372="","",SUMIFS(계산!$C:$C,계산!$A:$A,계산!$E372,계산!$B:$B,$B$1*100+8))</f>
        <v/>
      </c>
      <c r="K374" s="14">
        <f>IF(원생!$A372="","",SUMIFS(계산!$C:$C,계산!$A:$A,계산!$E372,계산!$B:$B,$B$1*100+9))</f>
        <v/>
      </c>
      <c r="L374" s="14">
        <f>IF(원생!$A372="","",SUMIFS(계산!$C:$C,계산!$A:$A,계산!$E372,계산!$B:$B,$B$1*100+10))</f>
        <v/>
      </c>
      <c r="M374" s="14">
        <f>IF(원생!$A372="","",SUMIFS(계산!$C:$C,계산!$A:$A,계산!$E372,계산!$B:$B,$B$1*100+11))</f>
        <v/>
      </c>
      <c r="N374" s="14">
        <f>IF(원생!$A372="","",SUMIFS(계산!$C:$C,계산!$A:$A,계산!$E372,계산!$B:$B,$B$1*100+12))</f>
        <v/>
      </c>
      <c r="O374">
        <f>IF(원생!$I372="","",원생!$I372)</f>
        <v/>
      </c>
      <c r="P374">
        <f>IF($A374="","",IF(AND($B374&gt;0,C374&lt;$B374,DATE($B$1,1,1)&lt;=TODAY(),OR($O374="",$O374&gt;=DATE($B$1,1,1)),OR(COUNTIF($C374:C374,"&gt;0")&gt;0,DATE($B$1,1,1)=DATE(YEAR(TODAY()),MONTH(TODAY()),1))),1,0))</f>
        <v/>
      </c>
      <c r="Q374">
        <f>IF($A374="","",IF(AND($B374&gt;0,D374&lt;$B374,DATE($B$1,2,1)&lt;=TODAY(),OR($O374="",$O374&gt;=DATE($B$1,2,1)),OR(COUNTIF($C374:D374,"&gt;0")&gt;0,DATE($B$1,2,1)=DATE(YEAR(TODAY()),MONTH(TODAY()),1))),1,0))</f>
        <v/>
      </c>
      <c r="R374">
        <f>IF($A374="","",IF(AND($B374&gt;0,E374&lt;$B374,DATE($B$1,3,1)&lt;=TODAY(),OR($O374="",$O374&gt;=DATE($B$1,3,1)),OR(COUNTIF($C374:E374,"&gt;0")&gt;0,DATE($B$1,3,1)=DATE(YEAR(TODAY()),MONTH(TODAY()),1))),1,0))</f>
        <v/>
      </c>
      <c r="S374">
        <f>IF($A374="","",IF(AND($B374&gt;0,F374&lt;$B374,DATE($B$1,4,1)&lt;=TODAY(),OR($O374="",$O374&gt;=DATE($B$1,4,1)),OR(COUNTIF($C374:F374,"&gt;0")&gt;0,DATE($B$1,4,1)=DATE(YEAR(TODAY()),MONTH(TODAY()),1))),1,0))</f>
        <v/>
      </c>
      <c r="T374">
        <f>IF($A374="","",IF(AND($B374&gt;0,G374&lt;$B374,DATE($B$1,5,1)&lt;=TODAY(),OR($O374="",$O374&gt;=DATE($B$1,5,1)),OR(COUNTIF($C374:G374,"&gt;0")&gt;0,DATE($B$1,5,1)=DATE(YEAR(TODAY()),MONTH(TODAY()),1))),1,0))</f>
        <v/>
      </c>
      <c r="U374">
        <f>IF($A374="","",IF(AND($B374&gt;0,H374&lt;$B374,DATE($B$1,6,1)&lt;=TODAY(),OR($O374="",$O374&gt;=DATE($B$1,6,1)),OR(COUNTIF($C374:H374,"&gt;0")&gt;0,DATE($B$1,6,1)=DATE(YEAR(TODAY()),MONTH(TODAY()),1))),1,0))</f>
        <v/>
      </c>
      <c r="V374">
        <f>IF($A374="","",IF(AND($B374&gt;0,I374&lt;$B374,DATE($B$1,7,1)&lt;=TODAY(),OR($O374="",$O374&gt;=DATE($B$1,7,1)),OR(COUNTIF($C374:I374,"&gt;0")&gt;0,DATE($B$1,7,1)=DATE(YEAR(TODAY()),MONTH(TODAY()),1))),1,0))</f>
        <v/>
      </c>
      <c r="W374">
        <f>IF($A374="","",IF(AND($B374&gt;0,J374&lt;$B374,DATE($B$1,8,1)&lt;=TODAY(),OR($O374="",$O374&gt;=DATE($B$1,8,1)),OR(COUNTIF($C374:J374,"&gt;0")&gt;0,DATE($B$1,8,1)=DATE(YEAR(TODAY()),MONTH(TODAY()),1))),1,0))</f>
        <v/>
      </c>
      <c r="X374">
        <f>IF($A374="","",IF(AND($B374&gt;0,K374&lt;$B374,DATE($B$1,9,1)&lt;=TODAY(),OR($O374="",$O374&gt;=DATE($B$1,9,1)),OR(COUNTIF($C374:K374,"&gt;0")&gt;0,DATE($B$1,9,1)=DATE(YEAR(TODAY()),MONTH(TODAY()),1))),1,0))</f>
        <v/>
      </c>
      <c r="Y374">
        <f>IF($A374="","",IF(AND($B374&gt;0,L374&lt;$B374,DATE($B$1,10,1)&lt;=TODAY(),OR($O374="",$O374&gt;=DATE($B$1,10,1)),OR(COUNTIF($C374:L374,"&gt;0")&gt;0,DATE($B$1,10,1)=DATE(YEAR(TODAY()),MONTH(TODAY()),1))),1,0))</f>
        <v/>
      </c>
      <c r="Z374">
        <f>IF($A374="","",IF(AND($B374&gt;0,M374&lt;$B374,DATE($B$1,11,1)&lt;=TODAY(),OR($O374="",$O374&gt;=DATE($B$1,11,1)),OR(COUNTIF($C374:M374,"&gt;0")&gt;0,DATE($B$1,11,1)=DATE(YEAR(TODAY()),MONTH(TODAY()),1))),1,0))</f>
        <v/>
      </c>
      <c r="AA374">
        <f>IF($A374="","",IF(AND($B374&gt;0,N374&lt;$B374,DATE($B$1,12,1)&lt;=TODAY(),OR($O374="",$O374&gt;=DATE($B$1,12,1)),OR(COUNTIF($C374:N374,"&gt;0")&gt;0,DATE($B$1,12,1)=DATE(YEAR(TODAY()),MONTH(TODAY()),1))),1,0))</f>
        <v/>
      </c>
    </row>
    <row r="375">
      <c r="A375" s="13">
        <f>IF(원생!$A373="","",원생!$A373&amp;IF(원생!$G373="",""," ("&amp;원생!$G373&amp;")"))</f>
        <v/>
      </c>
      <c r="B375" s="8">
        <f>IF(원생!$A373="","",N(원생!$F373))</f>
        <v/>
      </c>
      <c r="C375" s="14">
        <f>IF(원생!$A373="","",SUMIFS(계산!$C:$C,계산!$A:$A,계산!$E373,계산!$B:$B,$B$1*100+1))</f>
        <v/>
      </c>
      <c r="D375" s="14">
        <f>IF(원생!$A373="","",SUMIFS(계산!$C:$C,계산!$A:$A,계산!$E373,계산!$B:$B,$B$1*100+2))</f>
        <v/>
      </c>
      <c r="E375" s="14">
        <f>IF(원생!$A373="","",SUMIFS(계산!$C:$C,계산!$A:$A,계산!$E373,계산!$B:$B,$B$1*100+3))</f>
        <v/>
      </c>
      <c r="F375" s="14">
        <f>IF(원생!$A373="","",SUMIFS(계산!$C:$C,계산!$A:$A,계산!$E373,계산!$B:$B,$B$1*100+4))</f>
        <v/>
      </c>
      <c r="G375" s="14">
        <f>IF(원생!$A373="","",SUMIFS(계산!$C:$C,계산!$A:$A,계산!$E373,계산!$B:$B,$B$1*100+5))</f>
        <v/>
      </c>
      <c r="H375" s="14">
        <f>IF(원생!$A373="","",SUMIFS(계산!$C:$C,계산!$A:$A,계산!$E373,계산!$B:$B,$B$1*100+6))</f>
        <v/>
      </c>
      <c r="I375" s="14">
        <f>IF(원생!$A373="","",SUMIFS(계산!$C:$C,계산!$A:$A,계산!$E373,계산!$B:$B,$B$1*100+7))</f>
        <v/>
      </c>
      <c r="J375" s="14">
        <f>IF(원생!$A373="","",SUMIFS(계산!$C:$C,계산!$A:$A,계산!$E373,계산!$B:$B,$B$1*100+8))</f>
        <v/>
      </c>
      <c r="K375" s="14">
        <f>IF(원생!$A373="","",SUMIFS(계산!$C:$C,계산!$A:$A,계산!$E373,계산!$B:$B,$B$1*100+9))</f>
        <v/>
      </c>
      <c r="L375" s="14">
        <f>IF(원생!$A373="","",SUMIFS(계산!$C:$C,계산!$A:$A,계산!$E373,계산!$B:$B,$B$1*100+10))</f>
        <v/>
      </c>
      <c r="M375" s="14">
        <f>IF(원생!$A373="","",SUMIFS(계산!$C:$C,계산!$A:$A,계산!$E373,계산!$B:$B,$B$1*100+11))</f>
        <v/>
      </c>
      <c r="N375" s="14">
        <f>IF(원생!$A373="","",SUMIFS(계산!$C:$C,계산!$A:$A,계산!$E373,계산!$B:$B,$B$1*100+12))</f>
        <v/>
      </c>
      <c r="O375">
        <f>IF(원생!$I373="","",원생!$I373)</f>
        <v/>
      </c>
      <c r="P375">
        <f>IF($A375="","",IF(AND($B375&gt;0,C375&lt;$B375,DATE($B$1,1,1)&lt;=TODAY(),OR($O375="",$O375&gt;=DATE($B$1,1,1)),OR(COUNTIF($C375:C375,"&gt;0")&gt;0,DATE($B$1,1,1)=DATE(YEAR(TODAY()),MONTH(TODAY()),1))),1,0))</f>
        <v/>
      </c>
      <c r="Q375">
        <f>IF($A375="","",IF(AND($B375&gt;0,D375&lt;$B375,DATE($B$1,2,1)&lt;=TODAY(),OR($O375="",$O375&gt;=DATE($B$1,2,1)),OR(COUNTIF($C375:D375,"&gt;0")&gt;0,DATE($B$1,2,1)=DATE(YEAR(TODAY()),MONTH(TODAY()),1))),1,0))</f>
        <v/>
      </c>
      <c r="R375">
        <f>IF($A375="","",IF(AND($B375&gt;0,E375&lt;$B375,DATE($B$1,3,1)&lt;=TODAY(),OR($O375="",$O375&gt;=DATE($B$1,3,1)),OR(COUNTIF($C375:E375,"&gt;0")&gt;0,DATE($B$1,3,1)=DATE(YEAR(TODAY()),MONTH(TODAY()),1))),1,0))</f>
        <v/>
      </c>
      <c r="S375">
        <f>IF($A375="","",IF(AND($B375&gt;0,F375&lt;$B375,DATE($B$1,4,1)&lt;=TODAY(),OR($O375="",$O375&gt;=DATE($B$1,4,1)),OR(COUNTIF($C375:F375,"&gt;0")&gt;0,DATE($B$1,4,1)=DATE(YEAR(TODAY()),MONTH(TODAY()),1))),1,0))</f>
        <v/>
      </c>
      <c r="T375">
        <f>IF($A375="","",IF(AND($B375&gt;0,G375&lt;$B375,DATE($B$1,5,1)&lt;=TODAY(),OR($O375="",$O375&gt;=DATE($B$1,5,1)),OR(COUNTIF($C375:G375,"&gt;0")&gt;0,DATE($B$1,5,1)=DATE(YEAR(TODAY()),MONTH(TODAY()),1))),1,0))</f>
        <v/>
      </c>
      <c r="U375">
        <f>IF($A375="","",IF(AND($B375&gt;0,H375&lt;$B375,DATE($B$1,6,1)&lt;=TODAY(),OR($O375="",$O375&gt;=DATE($B$1,6,1)),OR(COUNTIF($C375:H375,"&gt;0")&gt;0,DATE($B$1,6,1)=DATE(YEAR(TODAY()),MONTH(TODAY()),1))),1,0))</f>
        <v/>
      </c>
      <c r="V375">
        <f>IF($A375="","",IF(AND($B375&gt;0,I375&lt;$B375,DATE($B$1,7,1)&lt;=TODAY(),OR($O375="",$O375&gt;=DATE($B$1,7,1)),OR(COUNTIF($C375:I375,"&gt;0")&gt;0,DATE($B$1,7,1)=DATE(YEAR(TODAY()),MONTH(TODAY()),1))),1,0))</f>
        <v/>
      </c>
      <c r="W375">
        <f>IF($A375="","",IF(AND($B375&gt;0,J375&lt;$B375,DATE($B$1,8,1)&lt;=TODAY(),OR($O375="",$O375&gt;=DATE($B$1,8,1)),OR(COUNTIF($C375:J375,"&gt;0")&gt;0,DATE($B$1,8,1)=DATE(YEAR(TODAY()),MONTH(TODAY()),1))),1,0))</f>
        <v/>
      </c>
      <c r="X375">
        <f>IF($A375="","",IF(AND($B375&gt;0,K375&lt;$B375,DATE($B$1,9,1)&lt;=TODAY(),OR($O375="",$O375&gt;=DATE($B$1,9,1)),OR(COUNTIF($C375:K375,"&gt;0")&gt;0,DATE($B$1,9,1)=DATE(YEAR(TODAY()),MONTH(TODAY()),1))),1,0))</f>
        <v/>
      </c>
      <c r="Y375">
        <f>IF($A375="","",IF(AND($B375&gt;0,L375&lt;$B375,DATE($B$1,10,1)&lt;=TODAY(),OR($O375="",$O375&gt;=DATE($B$1,10,1)),OR(COUNTIF($C375:L375,"&gt;0")&gt;0,DATE($B$1,10,1)=DATE(YEAR(TODAY()),MONTH(TODAY()),1))),1,0))</f>
        <v/>
      </c>
      <c r="Z375">
        <f>IF($A375="","",IF(AND($B375&gt;0,M375&lt;$B375,DATE($B$1,11,1)&lt;=TODAY(),OR($O375="",$O375&gt;=DATE($B$1,11,1)),OR(COUNTIF($C375:M375,"&gt;0")&gt;0,DATE($B$1,11,1)=DATE(YEAR(TODAY()),MONTH(TODAY()),1))),1,0))</f>
        <v/>
      </c>
      <c r="AA375">
        <f>IF($A375="","",IF(AND($B375&gt;0,N375&lt;$B375,DATE($B$1,12,1)&lt;=TODAY(),OR($O375="",$O375&gt;=DATE($B$1,12,1)),OR(COUNTIF($C375:N375,"&gt;0")&gt;0,DATE($B$1,12,1)=DATE(YEAR(TODAY()),MONTH(TODAY()),1))),1,0))</f>
        <v/>
      </c>
    </row>
    <row r="376">
      <c r="A376" s="13">
        <f>IF(원생!$A374="","",원생!$A374&amp;IF(원생!$G374="",""," ("&amp;원생!$G374&amp;")"))</f>
        <v/>
      </c>
      <c r="B376" s="8">
        <f>IF(원생!$A374="","",N(원생!$F374))</f>
        <v/>
      </c>
      <c r="C376" s="14">
        <f>IF(원생!$A374="","",SUMIFS(계산!$C:$C,계산!$A:$A,계산!$E374,계산!$B:$B,$B$1*100+1))</f>
        <v/>
      </c>
      <c r="D376" s="14">
        <f>IF(원생!$A374="","",SUMIFS(계산!$C:$C,계산!$A:$A,계산!$E374,계산!$B:$B,$B$1*100+2))</f>
        <v/>
      </c>
      <c r="E376" s="14">
        <f>IF(원생!$A374="","",SUMIFS(계산!$C:$C,계산!$A:$A,계산!$E374,계산!$B:$B,$B$1*100+3))</f>
        <v/>
      </c>
      <c r="F376" s="14">
        <f>IF(원생!$A374="","",SUMIFS(계산!$C:$C,계산!$A:$A,계산!$E374,계산!$B:$B,$B$1*100+4))</f>
        <v/>
      </c>
      <c r="G376" s="14">
        <f>IF(원생!$A374="","",SUMIFS(계산!$C:$C,계산!$A:$A,계산!$E374,계산!$B:$B,$B$1*100+5))</f>
        <v/>
      </c>
      <c r="H376" s="14">
        <f>IF(원생!$A374="","",SUMIFS(계산!$C:$C,계산!$A:$A,계산!$E374,계산!$B:$B,$B$1*100+6))</f>
        <v/>
      </c>
      <c r="I376" s="14">
        <f>IF(원생!$A374="","",SUMIFS(계산!$C:$C,계산!$A:$A,계산!$E374,계산!$B:$B,$B$1*100+7))</f>
        <v/>
      </c>
      <c r="J376" s="14">
        <f>IF(원생!$A374="","",SUMIFS(계산!$C:$C,계산!$A:$A,계산!$E374,계산!$B:$B,$B$1*100+8))</f>
        <v/>
      </c>
      <c r="K376" s="14">
        <f>IF(원생!$A374="","",SUMIFS(계산!$C:$C,계산!$A:$A,계산!$E374,계산!$B:$B,$B$1*100+9))</f>
        <v/>
      </c>
      <c r="L376" s="14">
        <f>IF(원생!$A374="","",SUMIFS(계산!$C:$C,계산!$A:$A,계산!$E374,계산!$B:$B,$B$1*100+10))</f>
        <v/>
      </c>
      <c r="M376" s="14">
        <f>IF(원생!$A374="","",SUMIFS(계산!$C:$C,계산!$A:$A,계산!$E374,계산!$B:$B,$B$1*100+11))</f>
        <v/>
      </c>
      <c r="N376" s="14">
        <f>IF(원생!$A374="","",SUMIFS(계산!$C:$C,계산!$A:$A,계산!$E374,계산!$B:$B,$B$1*100+12))</f>
        <v/>
      </c>
      <c r="O376">
        <f>IF(원생!$I374="","",원생!$I374)</f>
        <v/>
      </c>
      <c r="P376">
        <f>IF($A376="","",IF(AND($B376&gt;0,C376&lt;$B376,DATE($B$1,1,1)&lt;=TODAY(),OR($O376="",$O376&gt;=DATE($B$1,1,1)),OR(COUNTIF($C376:C376,"&gt;0")&gt;0,DATE($B$1,1,1)=DATE(YEAR(TODAY()),MONTH(TODAY()),1))),1,0))</f>
        <v/>
      </c>
      <c r="Q376">
        <f>IF($A376="","",IF(AND($B376&gt;0,D376&lt;$B376,DATE($B$1,2,1)&lt;=TODAY(),OR($O376="",$O376&gt;=DATE($B$1,2,1)),OR(COUNTIF($C376:D376,"&gt;0")&gt;0,DATE($B$1,2,1)=DATE(YEAR(TODAY()),MONTH(TODAY()),1))),1,0))</f>
        <v/>
      </c>
      <c r="R376">
        <f>IF($A376="","",IF(AND($B376&gt;0,E376&lt;$B376,DATE($B$1,3,1)&lt;=TODAY(),OR($O376="",$O376&gt;=DATE($B$1,3,1)),OR(COUNTIF($C376:E376,"&gt;0")&gt;0,DATE($B$1,3,1)=DATE(YEAR(TODAY()),MONTH(TODAY()),1))),1,0))</f>
        <v/>
      </c>
      <c r="S376">
        <f>IF($A376="","",IF(AND($B376&gt;0,F376&lt;$B376,DATE($B$1,4,1)&lt;=TODAY(),OR($O376="",$O376&gt;=DATE($B$1,4,1)),OR(COUNTIF($C376:F376,"&gt;0")&gt;0,DATE($B$1,4,1)=DATE(YEAR(TODAY()),MONTH(TODAY()),1))),1,0))</f>
        <v/>
      </c>
      <c r="T376">
        <f>IF($A376="","",IF(AND($B376&gt;0,G376&lt;$B376,DATE($B$1,5,1)&lt;=TODAY(),OR($O376="",$O376&gt;=DATE($B$1,5,1)),OR(COUNTIF($C376:G376,"&gt;0")&gt;0,DATE($B$1,5,1)=DATE(YEAR(TODAY()),MONTH(TODAY()),1))),1,0))</f>
        <v/>
      </c>
      <c r="U376">
        <f>IF($A376="","",IF(AND($B376&gt;0,H376&lt;$B376,DATE($B$1,6,1)&lt;=TODAY(),OR($O376="",$O376&gt;=DATE($B$1,6,1)),OR(COUNTIF($C376:H376,"&gt;0")&gt;0,DATE($B$1,6,1)=DATE(YEAR(TODAY()),MONTH(TODAY()),1))),1,0))</f>
        <v/>
      </c>
      <c r="V376">
        <f>IF($A376="","",IF(AND($B376&gt;0,I376&lt;$B376,DATE($B$1,7,1)&lt;=TODAY(),OR($O376="",$O376&gt;=DATE($B$1,7,1)),OR(COUNTIF($C376:I376,"&gt;0")&gt;0,DATE($B$1,7,1)=DATE(YEAR(TODAY()),MONTH(TODAY()),1))),1,0))</f>
        <v/>
      </c>
      <c r="W376">
        <f>IF($A376="","",IF(AND($B376&gt;0,J376&lt;$B376,DATE($B$1,8,1)&lt;=TODAY(),OR($O376="",$O376&gt;=DATE($B$1,8,1)),OR(COUNTIF($C376:J376,"&gt;0")&gt;0,DATE($B$1,8,1)=DATE(YEAR(TODAY()),MONTH(TODAY()),1))),1,0))</f>
        <v/>
      </c>
      <c r="X376">
        <f>IF($A376="","",IF(AND($B376&gt;0,K376&lt;$B376,DATE($B$1,9,1)&lt;=TODAY(),OR($O376="",$O376&gt;=DATE($B$1,9,1)),OR(COUNTIF($C376:K376,"&gt;0")&gt;0,DATE($B$1,9,1)=DATE(YEAR(TODAY()),MONTH(TODAY()),1))),1,0))</f>
        <v/>
      </c>
      <c r="Y376">
        <f>IF($A376="","",IF(AND($B376&gt;0,L376&lt;$B376,DATE($B$1,10,1)&lt;=TODAY(),OR($O376="",$O376&gt;=DATE($B$1,10,1)),OR(COUNTIF($C376:L376,"&gt;0")&gt;0,DATE($B$1,10,1)=DATE(YEAR(TODAY()),MONTH(TODAY()),1))),1,0))</f>
        <v/>
      </c>
      <c r="Z376">
        <f>IF($A376="","",IF(AND($B376&gt;0,M376&lt;$B376,DATE($B$1,11,1)&lt;=TODAY(),OR($O376="",$O376&gt;=DATE($B$1,11,1)),OR(COUNTIF($C376:M376,"&gt;0")&gt;0,DATE($B$1,11,1)=DATE(YEAR(TODAY()),MONTH(TODAY()),1))),1,0))</f>
        <v/>
      </c>
      <c r="AA376">
        <f>IF($A376="","",IF(AND($B376&gt;0,N376&lt;$B376,DATE($B$1,12,1)&lt;=TODAY(),OR($O376="",$O376&gt;=DATE($B$1,12,1)),OR(COUNTIF($C376:N376,"&gt;0")&gt;0,DATE($B$1,12,1)=DATE(YEAR(TODAY()),MONTH(TODAY()),1))),1,0))</f>
        <v/>
      </c>
    </row>
    <row r="377">
      <c r="A377" s="13">
        <f>IF(원생!$A375="","",원생!$A375&amp;IF(원생!$G375="",""," ("&amp;원생!$G375&amp;")"))</f>
        <v/>
      </c>
      <c r="B377" s="8">
        <f>IF(원생!$A375="","",N(원생!$F375))</f>
        <v/>
      </c>
      <c r="C377" s="14">
        <f>IF(원생!$A375="","",SUMIFS(계산!$C:$C,계산!$A:$A,계산!$E375,계산!$B:$B,$B$1*100+1))</f>
        <v/>
      </c>
      <c r="D377" s="14">
        <f>IF(원생!$A375="","",SUMIFS(계산!$C:$C,계산!$A:$A,계산!$E375,계산!$B:$B,$B$1*100+2))</f>
        <v/>
      </c>
      <c r="E377" s="14">
        <f>IF(원생!$A375="","",SUMIFS(계산!$C:$C,계산!$A:$A,계산!$E375,계산!$B:$B,$B$1*100+3))</f>
        <v/>
      </c>
      <c r="F377" s="14">
        <f>IF(원생!$A375="","",SUMIFS(계산!$C:$C,계산!$A:$A,계산!$E375,계산!$B:$B,$B$1*100+4))</f>
        <v/>
      </c>
      <c r="G377" s="14">
        <f>IF(원생!$A375="","",SUMIFS(계산!$C:$C,계산!$A:$A,계산!$E375,계산!$B:$B,$B$1*100+5))</f>
        <v/>
      </c>
      <c r="H377" s="14">
        <f>IF(원생!$A375="","",SUMIFS(계산!$C:$C,계산!$A:$A,계산!$E375,계산!$B:$B,$B$1*100+6))</f>
        <v/>
      </c>
      <c r="I377" s="14">
        <f>IF(원생!$A375="","",SUMIFS(계산!$C:$C,계산!$A:$A,계산!$E375,계산!$B:$B,$B$1*100+7))</f>
        <v/>
      </c>
      <c r="J377" s="14">
        <f>IF(원생!$A375="","",SUMIFS(계산!$C:$C,계산!$A:$A,계산!$E375,계산!$B:$B,$B$1*100+8))</f>
        <v/>
      </c>
      <c r="K377" s="14">
        <f>IF(원생!$A375="","",SUMIFS(계산!$C:$C,계산!$A:$A,계산!$E375,계산!$B:$B,$B$1*100+9))</f>
        <v/>
      </c>
      <c r="L377" s="14">
        <f>IF(원생!$A375="","",SUMIFS(계산!$C:$C,계산!$A:$A,계산!$E375,계산!$B:$B,$B$1*100+10))</f>
        <v/>
      </c>
      <c r="M377" s="14">
        <f>IF(원생!$A375="","",SUMIFS(계산!$C:$C,계산!$A:$A,계산!$E375,계산!$B:$B,$B$1*100+11))</f>
        <v/>
      </c>
      <c r="N377" s="14">
        <f>IF(원생!$A375="","",SUMIFS(계산!$C:$C,계산!$A:$A,계산!$E375,계산!$B:$B,$B$1*100+12))</f>
        <v/>
      </c>
      <c r="O377">
        <f>IF(원생!$I375="","",원생!$I375)</f>
        <v/>
      </c>
      <c r="P377">
        <f>IF($A377="","",IF(AND($B377&gt;0,C377&lt;$B377,DATE($B$1,1,1)&lt;=TODAY(),OR($O377="",$O377&gt;=DATE($B$1,1,1)),OR(COUNTIF($C377:C377,"&gt;0")&gt;0,DATE($B$1,1,1)=DATE(YEAR(TODAY()),MONTH(TODAY()),1))),1,0))</f>
        <v/>
      </c>
      <c r="Q377">
        <f>IF($A377="","",IF(AND($B377&gt;0,D377&lt;$B377,DATE($B$1,2,1)&lt;=TODAY(),OR($O377="",$O377&gt;=DATE($B$1,2,1)),OR(COUNTIF($C377:D377,"&gt;0")&gt;0,DATE($B$1,2,1)=DATE(YEAR(TODAY()),MONTH(TODAY()),1))),1,0))</f>
        <v/>
      </c>
      <c r="R377">
        <f>IF($A377="","",IF(AND($B377&gt;0,E377&lt;$B377,DATE($B$1,3,1)&lt;=TODAY(),OR($O377="",$O377&gt;=DATE($B$1,3,1)),OR(COUNTIF($C377:E377,"&gt;0")&gt;0,DATE($B$1,3,1)=DATE(YEAR(TODAY()),MONTH(TODAY()),1))),1,0))</f>
        <v/>
      </c>
      <c r="S377">
        <f>IF($A377="","",IF(AND($B377&gt;0,F377&lt;$B377,DATE($B$1,4,1)&lt;=TODAY(),OR($O377="",$O377&gt;=DATE($B$1,4,1)),OR(COUNTIF($C377:F377,"&gt;0")&gt;0,DATE($B$1,4,1)=DATE(YEAR(TODAY()),MONTH(TODAY()),1))),1,0))</f>
        <v/>
      </c>
      <c r="T377">
        <f>IF($A377="","",IF(AND($B377&gt;0,G377&lt;$B377,DATE($B$1,5,1)&lt;=TODAY(),OR($O377="",$O377&gt;=DATE($B$1,5,1)),OR(COUNTIF($C377:G377,"&gt;0")&gt;0,DATE($B$1,5,1)=DATE(YEAR(TODAY()),MONTH(TODAY()),1))),1,0))</f>
        <v/>
      </c>
      <c r="U377">
        <f>IF($A377="","",IF(AND($B377&gt;0,H377&lt;$B377,DATE($B$1,6,1)&lt;=TODAY(),OR($O377="",$O377&gt;=DATE($B$1,6,1)),OR(COUNTIF($C377:H377,"&gt;0")&gt;0,DATE($B$1,6,1)=DATE(YEAR(TODAY()),MONTH(TODAY()),1))),1,0))</f>
        <v/>
      </c>
      <c r="V377">
        <f>IF($A377="","",IF(AND($B377&gt;0,I377&lt;$B377,DATE($B$1,7,1)&lt;=TODAY(),OR($O377="",$O377&gt;=DATE($B$1,7,1)),OR(COUNTIF($C377:I377,"&gt;0")&gt;0,DATE($B$1,7,1)=DATE(YEAR(TODAY()),MONTH(TODAY()),1))),1,0))</f>
        <v/>
      </c>
      <c r="W377">
        <f>IF($A377="","",IF(AND($B377&gt;0,J377&lt;$B377,DATE($B$1,8,1)&lt;=TODAY(),OR($O377="",$O377&gt;=DATE($B$1,8,1)),OR(COUNTIF($C377:J377,"&gt;0")&gt;0,DATE($B$1,8,1)=DATE(YEAR(TODAY()),MONTH(TODAY()),1))),1,0))</f>
        <v/>
      </c>
      <c r="X377">
        <f>IF($A377="","",IF(AND($B377&gt;0,K377&lt;$B377,DATE($B$1,9,1)&lt;=TODAY(),OR($O377="",$O377&gt;=DATE($B$1,9,1)),OR(COUNTIF($C377:K377,"&gt;0")&gt;0,DATE($B$1,9,1)=DATE(YEAR(TODAY()),MONTH(TODAY()),1))),1,0))</f>
        <v/>
      </c>
      <c r="Y377">
        <f>IF($A377="","",IF(AND($B377&gt;0,L377&lt;$B377,DATE($B$1,10,1)&lt;=TODAY(),OR($O377="",$O377&gt;=DATE($B$1,10,1)),OR(COUNTIF($C377:L377,"&gt;0")&gt;0,DATE($B$1,10,1)=DATE(YEAR(TODAY()),MONTH(TODAY()),1))),1,0))</f>
        <v/>
      </c>
      <c r="Z377">
        <f>IF($A377="","",IF(AND($B377&gt;0,M377&lt;$B377,DATE($B$1,11,1)&lt;=TODAY(),OR($O377="",$O377&gt;=DATE($B$1,11,1)),OR(COUNTIF($C377:M377,"&gt;0")&gt;0,DATE($B$1,11,1)=DATE(YEAR(TODAY()),MONTH(TODAY()),1))),1,0))</f>
        <v/>
      </c>
      <c r="AA377">
        <f>IF($A377="","",IF(AND($B377&gt;0,N377&lt;$B377,DATE($B$1,12,1)&lt;=TODAY(),OR($O377="",$O377&gt;=DATE($B$1,12,1)),OR(COUNTIF($C377:N377,"&gt;0")&gt;0,DATE($B$1,12,1)=DATE(YEAR(TODAY()),MONTH(TODAY()),1))),1,0))</f>
        <v/>
      </c>
    </row>
    <row r="378">
      <c r="A378" s="13">
        <f>IF(원생!$A376="","",원생!$A376&amp;IF(원생!$G376="",""," ("&amp;원생!$G376&amp;")"))</f>
        <v/>
      </c>
      <c r="B378" s="8">
        <f>IF(원생!$A376="","",N(원생!$F376))</f>
        <v/>
      </c>
      <c r="C378" s="14">
        <f>IF(원생!$A376="","",SUMIFS(계산!$C:$C,계산!$A:$A,계산!$E376,계산!$B:$B,$B$1*100+1))</f>
        <v/>
      </c>
      <c r="D378" s="14">
        <f>IF(원생!$A376="","",SUMIFS(계산!$C:$C,계산!$A:$A,계산!$E376,계산!$B:$B,$B$1*100+2))</f>
        <v/>
      </c>
      <c r="E378" s="14">
        <f>IF(원생!$A376="","",SUMIFS(계산!$C:$C,계산!$A:$A,계산!$E376,계산!$B:$B,$B$1*100+3))</f>
        <v/>
      </c>
      <c r="F378" s="14">
        <f>IF(원생!$A376="","",SUMIFS(계산!$C:$C,계산!$A:$A,계산!$E376,계산!$B:$B,$B$1*100+4))</f>
        <v/>
      </c>
      <c r="G378" s="14">
        <f>IF(원생!$A376="","",SUMIFS(계산!$C:$C,계산!$A:$A,계산!$E376,계산!$B:$B,$B$1*100+5))</f>
        <v/>
      </c>
      <c r="H378" s="14">
        <f>IF(원생!$A376="","",SUMIFS(계산!$C:$C,계산!$A:$A,계산!$E376,계산!$B:$B,$B$1*100+6))</f>
        <v/>
      </c>
      <c r="I378" s="14">
        <f>IF(원생!$A376="","",SUMIFS(계산!$C:$C,계산!$A:$A,계산!$E376,계산!$B:$B,$B$1*100+7))</f>
        <v/>
      </c>
      <c r="J378" s="14">
        <f>IF(원생!$A376="","",SUMIFS(계산!$C:$C,계산!$A:$A,계산!$E376,계산!$B:$B,$B$1*100+8))</f>
        <v/>
      </c>
      <c r="K378" s="14">
        <f>IF(원생!$A376="","",SUMIFS(계산!$C:$C,계산!$A:$A,계산!$E376,계산!$B:$B,$B$1*100+9))</f>
        <v/>
      </c>
      <c r="L378" s="14">
        <f>IF(원생!$A376="","",SUMIFS(계산!$C:$C,계산!$A:$A,계산!$E376,계산!$B:$B,$B$1*100+10))</f>
        <v/>
      </c>
      <c r="M378" s="14">
        <f>IF(원생!$A376="","",SUMIFS(계산!$C:$C,계산!$A:$A,계산!$E376,계산!$B:$B,$B$1*100+11))</f>
        <v/>
      </c>
      <c r="N378" s="14">
        <f>IF(원생!$A376="","",SUMIFS(계산!$C:$C,계산!$A:$A,계산!$E376,계산!$B:$B,$B$1*100+12))</f>
        <v/>
      </c>
      <c r="O378">
        <f>IF(원생!$I376="","",원생!$I376)</f>
        <v/>
      </c>
      <c r="P378">
        <f>IF($A378="","",IF(AND($B378&gt;0,C378&lt;$B378,DATE($B$1,1,1)&lt;=TODAY(),OR($O378="",$O378&gt;=DATE($B$1,1,1)),OR(COUNTIF($C378:C378,"&gt;0")&gt;0,DATE($B$1,1,1)=DATE(YEAR(TODAY()),MONTH(TODAY()),1))),1,0))</f>
        <v/>
      </c>
      <c r="Q378">
        <f>IF($A378="","",IF(AND($B378&gt;0,D378&lt;$B378,DATE($B$1,2,1)&lt;=TODAY(),OR($O378="",$O378&gt;=DATE($B$1,2,1)),OR(COUNTIF($C378:D378,"&gt;0")&gt;0,DATE($B$1,2,1)=DATE(YEAR(TODAY()),MONTH(TODAY()),1))),1,0))</f>
        <v/>
      </c>
      <c r="R378">
        <f>IF($A378="","",IF(AND($B378&gt;0,E378&lt;$B378,DATE($B$1,3,1)&lt;=TODAY(),OR($O378="",$O378&gt;=DATE($B$1,3,1)),OR(COUNTIF($C378:E378,"&gt;0")&gt;0,DATE($B$1,3,1)=DATE(YEAR(TODAY()),MONTH(TODAY()),1))),1,0))</f>
        <v/>
      </c>
      <c r="S378">
        <f>IF($A378="","",IF(AND($B378&gt;0,F378&lt;$B378,DATE($B$1,4,1)&lt;=TODAY(),OR($O378="",$O378&gt;=DATE($B$1,4,1)),OR(COUNTIF($C378:F378,"&gt;0")&gt;0,DATE($B$1,4,1)=DATE(YEAR(TODAY()),MONTH(TODAY()),1))),1,0))</f>
        <v/>
      </c>
      <c r="T378">
        <f>IF($A378="","",IF(AND($B378&gt;0,G378&lt;$B378,DATE($B$1,5,1)&lt;=TODAY(),OR($O378="",$O378&gt;=DATE($B$1,5,1)),OR(COUNTIF($C378:G378,"&gt;0")&gt;0,DATE($B$1,5,1)=DATE(YEAR(TODAY()),MONTH(TODAY()),1))),1,0))</f>
        <v/>
      </c>
      <c r="U378">
        <f>IF($A378="","",IF(AND($B378&gt;0,H378&lt;$B378,DATE($B$1,6,1)&lt;=TODAY(),OR($O378="",$O378&gt;=DATE($B$1,6,1)),OR(COUNTIF($C378:H378,"&gt;0")&gt;0,DATE($B$1,6,1)=DATE(YEAR(TODAY()),MONTH(TODAY()),1))),1,0))</f>
        <v/>
      </c>
      <c r="V378">
        <f>IF($A378="","",IF(AND($B378&gt;0,I378&lt;$B378,DATE($B$1,7,1)&lt;=TODAY(),OR($O378="",$O378&gt;=DATE($B$1,7,1)),OR(COUNTIF($C378:I378,"&gt;0")&gt;0,DATE($B$1,7,1)=DATE(YEAR(TODAY()),MONTH(TODAY()),1))),1,0))</f>
        <v/>
      </c>
      <c r="W378">
        <f>IF($A378="","",IF(AND($B378&gt;0,J378&lt;$B378,DATE($B$1,8,1)&lt;=TODAY(),OR($O378="",$O378&gt;=DATE($B$1,8,1)),OR(COUNTIF($C378:J378,"&gt;0")&gt;0,DATE($B$1,8,1)=DATE(YEAR(TODAY()),MONTH(TODAY()),1))),1,0))</f>
        <v/>
      </c>
      <c r="X378">
        <f>IF($A378="","",IF(AND($B378&gt;0,K378&lt;$B378,DATE($B$1,9,1)&lt;=TODAY(),OR($O378="",$O378&gt;=DATE($B$1,9,1)),OR(COUNTIF($C378:K378,"&gt;0")&gt;0,DATE($B$1,9,1)=DATE(YEAR(TODAY()),MONTH(TODAY()),1))),1,0))</f>
        <v/>
      </c>
      <c r="Y378">
        <f>IF($A378="","",IF(AND($B378&gt;0,L378&lt;$B378,DATE($B$1,10,1)&lt;=TODAY(),OR($O378="",$O378&gt;=DATE($B$1,10,1)),OR(COUNTIF($C378:L378,"&gt;0")&gt;0,DATE($B$1,10,1)=DATE(YEAR(TODAY()),MONTH(TODAY()),1))),1,0))</f>
        <v/>
      </c>
      <c r="Z378">
        <f>IF($A378="","",IF(AND($B378&gt;0,M378&lt;$B378,DATE($B$1,11,1)&lt;=TODAY(),OR($O378="",$O378&gt;=DATE($B$1,11,1)),OR(COUNTIF($C378:M378,"&gt;0")&gt;0,DATE($B$1,11,1)=DATE(YEAR(TODAY()),MONTH(TODAY()),1))),1,0))</f>
        <v/>
      </c>
      <c r="AA378">
        <f>IF($A378="","",IF(AND($B378&gt;0,N378&lt;$B378,DATE($B$1,12,1)&lt;=TODAY(),OR($O378="",$O378&gt;=DATE($B$1,12,1)),OR(COUNTIF($C378:N378,"&gt;0")&gt;0,DATE($B$1,12,1)=DATE(YEAR(TODAY()),MONTH(TODAY()),1))),1,0))</f>
        <v/>
      </c>
    </row>
    <row r="379">
      <c r="A379" s="13">
        <f>IF(원생!$A377="","",원생!$A377&amp;IF(원생!$G377="",""," ("&amp;원생!$G377&amp;")"))</f>
        <v/>
      </c>
      <c r="B379" s="8">
        <f>IF(원생!$A377="","",N(원생!$F377))</f>
        <v/>
      </c>
      <c r="C379" s="14">
        <f>IF(원생!$A377="","",SUMIFS(계산!$C:$C,계산!$A:$A,계산!$E377,계산!$B:$B,$B$1*100+1))</f>
        <v/>
      </c>
      <c r="D379" s="14">
        <f>IF(원생!$A377="","",SUMIFS(계산!$C:$C,계산!$A:$A,계산!$E377,계산!$B:$B,$B$1*100+2))</f>
        <v/>
      </c>
      <c r="E379" s="14">
        <f>IF(원생!$A377="","",SUMIFS(계산!$C:$C,계산!$A:$A,계산!$E377,계산!$B:$B,$B$1*100+3))</f>
        <v/>
      </c>
      <c r="F379" s="14">
        <f>IF(원생!$A377="","",SUMIFS(계산!$C:$C,계산!$A:$A,계산!$E377,계산!$B:$B,$B$1*100+4))</f>
        <v/>
      </c>
      <c r="G379" s="14">
        <f>IF(원생!$A377="","",SUMIFS(계산!$C:$C,계산!$A:$A,계산!$E377,계산!$B:$B,$B$1*100+5))</f>
        <v/>
      </c>
      <c r="H379" s="14">
        <f>IF(원생!$A377="","",SUMIFS(계산!$C:$C,계산!$A:$A,계산!$E377,계산!$B:$B,$B$1*100+6))</f>
        <v/>
      </c>
      <c r="I379" s="14">
        <f>IF(원생!$A377="","",SUMIFS(계산!$C:$C,계산!$A:$A,계산!$E377,계산!$B:$B,$B$1*100+7))</f>
        <v/>
      </c>
      <c r="J379" s="14">
        <f>IF(원생!$A377="","",SUMIFS(계산!$C:$C,계산!$A:$A,계산!$E377,계산!$B:$B,$B$1*100+8))</f>
        <v/>
      </c>
      <c r="K379" s="14">
        <f>IF(원생!$A377="","",SUMIFS(계산!$C:$C,계산!$A:$A,계산!$E377,계산!$B:$B,$B$1*100+9))</f>
        <v/>
      </c>
      <c r="L379" s="14">
        <f>IF(원생!$A377="","",SUMIFS(계산!$C:$C,계산!$A:$A,계산!$E377,계산!$B:$B,$B$1*100+10))</f>
        <v/>
      </c>
      <c r="M379" s="14">
        <f>IF(원생!$A377="","",SUMIFS(계산!$C:$C,계산!$A:$A,계산!$E377,계산!$B:$B,$B$1*100+11))</f>
        <v/>
      </c>
      <c r="N379" s="14">
        <f>IF(원생!$A377="","",SUMIFS(계산!$C:$C,계산!$A:$A,계산!$E377,계산!$B:$B,$B$1*100+12))</f>
        <v/>
      </c>
      <c r="O379">
        <f>IF(원생!$I377="","",원생!$I377)</f>
        <v/>
      </c>
      <c r="P379">
        <f>IF($A379="","",IF(AND($B379&gt;0,C379&lt;$B379,DATE($B$1,1,1)&lt;=TODAY(),OR($O379="",$O379&gt;=DATE($B$1,1,1)),OR(COUNTIF($C379:C379,"&gt;0")&gt;0,DATE($B$1,1,1)=DATE(YEAR(TODAY()),MONTH(TODAY()),1))),1,0))</f>
        <v/>
      </c>
      <c r="Q379">
        <f>IF($A379="","",IF(AND($B379&gt;0,D379&lt;$B379,DATE($B$1,2,1)&lt;=TODAY(),OR($O379="",$O379&gt;=DATE($B$1,2,1)),OR(COUNTIF($C379:D379,"&gt;0")&gt;0,DATE($B$1,2,1)=DATE(YEAR(TODAY()),MONTH(TODAY()),1))),1,0))</f>
        <v/>
      </c>
      <c r="R379">
        <f>IF($A379="","",IF(AND($B379&gt;0,E379&lt;$B379,DATE($B$1,3,1)&lt;=TODAY(),OR($O379="",$O379&gt;=DATE($B$1,3,1)),OR(COUNTIF($C379:E379,"&gt;0")&gt;0,DATE($B$1,3,1)=DATE(YEAR(TODAY()),MONTH(TODAY()),1))),1,0))</f>
        <v/>
      </c>
      <c r="S379">
        <f>IF($A379="","",IF(AND($B379&gt;0,F379&lt;$B379,DATE($B$1,4,1)&lt;=TODAY(),OR($O379="",$O379&gt;=DATE($B$1,4,1)),OR(COUNTIF($C379:F379,"&gt;0")&gt;0,DATE($B$1,4,1)=DATE(YEAR(TODAY()),MONTH(TODAY()),1))),1,0))</f>
        <v/>
      </c>
      <c r="T379">
        <f>IF($A379="","",IF(AND($B379&gt;0,G379&lt;$B379,DATE($B$1,5,1)&lt;=TODAY(),OR($O379="",$O379&gt;=DATE($B$1,5,1)),OR(COUNTIF($C379:G379,"&gt;0")&gt;0,DATE($B$1,5,1)=DATE(YEAR(TODAY()),MONTH(TODAY()),1))),1,0))</f>
        <v/>
      </c>
      <c r="U379">
        <f>IF($A379="","",IF(AND($B379&gt;0,H379&lt;$B379,DATE($B$1,6,1)&lt;=TODAY(),OR($O379="",$O379&gt;=DATE($B$1,6,1)),OR(COUNTIF($C379:H379,"&gt;0")&gt;0,DATE($B$1,6,1)=DATE(YEAR(TODAY()),MONTH(TODAY()),1))),1,0))</f>
        <v/>
      </c>
      <c r="V379">
        <f>IF($A379="","",IF(AND($B379&gt;0,I379&lt;$B379,DATE($B$1,7,1)&lt;=TODAY(),OR($O379="",$O379&gt;=DATE($B$1,7,1)),OR(COUNTIF($C379:I379,"&gt;0")&gt;0,DATE($B$1,7,1)=DATE(YEAR(TODAY()),MONTH(TODAY()),1))),1,0))</f>
        <v/>
      </c>
      <c r="W379">
        <f>IF($A379="","",IF(AND($B379&gt;0,J379&lt;$B379,DATE($B$1,8,1)&lt;=TODAY(),OR($O379="",$O379&gt;=DATE($B$1,8,1)),OR(COUNTIF($C379:J379,"&gt;0")&gt;0,DATE($B$1,8,1)=DATE(YEAR(TODAY()),MONTH(TODAY()),1))),1,0))</f>
        <v/>
      </c>
      <c r="X379">
        <f>IF($A379="","",IF(AND($B379&gt;0,K379&lt;$B379,DATE($B$1,9,1)&lt;=TODAY(),OR($O379="",$O379&gt;=DATE($B$1,9,1)),OR(COUNTIF($C379:K379,"&gt;0")&gt;0,DATE($B$1,9,1)=DATE(YEAR(TODAY()),MONTH(TODAY()),1))),1,0))</f>
        <v/>
      </c>
      <c r="Y379">
        <f>IF($A379="","",IF(AND($B379&gt;0,L379&lt;$B379,DATE($B$1,10,1)&lt;=TODAY(),OR($O379="",$O379&gt;=DATE($B$1,10,1)),OR(COUNTIF($C379:L379,"&gt;0")&gt;0,DATE($B$1,10,1)=DATE(YEAR(TODAY()),MONTH(TODAY()),1))),1,0))</f>
        <v/>
      </c>
      <c r="Z379">
        <f>IF($A379="","",IF(AND($B379&gt;0,M379&lt;$B379,DATE($B$1,11,1)&lt;=TODAY(),OR($O379="",$O379&gt;=DATE($B$1,11,1)),OR(COUNTIF($C379:M379,"&gt;0")&gt;0,DATE($B$1,11,1)=DATE(YEAR(TODAY()),MONTH(TODAY()),1))),1,0))</f>
        <v/>
      </c>
      <c r="AA379">
        <f>IF($A379="","",IF(AND($B379&gt;0,N379&lt;$B379,DATE($B$1,12,1)&lt;=TODAY(),OR($O379="",$O379&gt;=DATE($B$1,12,1)),OR(COUNTIF($C379:N379,"&gt;0")&gt;0,DATE($B$1,12,1)=DATE(YEAR(TODAY()),MONTH(TODAY()),1))),1,0))</f>
        <v/>
      </c>
    </row>
    <row r="380">
      <c r="A380" s="13">
        <f>IF(원생!$A378="","",원생!$A378&amp;IF(원생!$G378="",""," ("&amp;원생!$G378&amp;")"))</f>
        <v/>
      </c>
      <c r="B380" s="8">
        <f>IF(원생!$A378="","",N(원생!$F378))</f>
        <v/>
      </c>
      <c r="C380" s="14">
        <f>IF(원생!$A378="","",SUMIFS(계산!$C:$C,계산!$A:$A,계산!$E378,계산!$B:$B,$B$1*100+1))</f>
        <v/>
      </c>
      <c r="D380" s="14">
        <f>IF(원생!$A378="","",SUMIFS(계산!$C:$C,계산!$A:$A,계산!$E378,계산!$B:$B,$B$1*100+2))</f>
        <v/>
      </c>
      <c r="E380" s="14">
        <f>IF(원생!$A378="","",SUMIFS(계산!$C:$C,계산!$A:$A,계산!$E378,계산!$B:$B,$B$1*100+3))</f>
        <v/>
      </c>
      <c r="F380" s="14">
        <f>IF(원생!$A378="","",SUMIFS(계산!$C:$C,계산!$A:$A,계산!$E378,계산!$B:$B,$B$1*100+4))</f>
        <v/>
      </c>
      <c r="G380" s="14">
        <f>IF(원생!$A378="","",SUMIFS(계산!$C:$C,계산!$A:$A,계산!$E378,계산!$B:$B,$B$1*100+5))</f>
        <v/>
      </c>
      <c r="H380" s="14">
        <f>IF(원생!$A378="","",SUMIFS(계산!$C:$C,계산!$A:$A,계산!$E378,계산!$B:$B,$B$1*100+6))</f>
        <v/>
      </c>
      <c r="I380" s="14">
        <f>IF(원생!$A378="","",SUMIFS(계산!$C:$C,계산!$A:$A,계산!$E378,계산!$B:$B,$B$1*100+7))</f>
        <v/>
      </c>
      <c r="J380" s="14">
        <f>IF(원생!$A378="","",SUMIFS(계산!$C:$C,계산!$A:$A,계산!$E378,계산!$B:$B,$B$1*100+8))</f>
        <v/>
      </c>
      <c r="K380" s="14">
        <f>IF(원생!$A378="","",SUMIFS(계산!$C:$C,계산!$A:$A,계산!$E378,계산!$B:$B,$B$1*100+9))</f>
        <v/>
      </c>
      <c r="L380" s="14">
        <f>IF(원생!$A378="","",SUMIFS(계산!$C:$C,계산!$A:$A,계산!$E378,계산!$B:$B,$B$1*100+10))</f>
        <v/>
      </c>
      <c r="M380" s="14">
        <f>IF(원생!$A378="","",SUMIFS(계산!$C:$C,계산!$A:$A,계산!$E378,계산!$B:$B,$B$1*100+11))</f>
        <v/>
      </c>
      <c r="N380" s="14">
        <f>IF(원생!$A378="","",SUMIFS(계산!$C:$C,계산!$A:$A,계산!$E378,계산!$B:$B,$B$1*100+12))</f>
        <v/>
      </c>
      <c r="O380">
        <f>IF(원생!$I378="","",원생!$I378)</f>
        <v/>
      </c>
      <c r="P380">
        <f>IF($A380="","",IF(AND($B380&gt;0,C380&lt;$B380,DATE($B$1,1,1)&lt;=TODAY(),OR($O380="",$O380&gt;=DATE($B$1,1,1)),OR(COUNTIF($C380:C380,"&gt;0")&gt;0,DATE($B$1,1,1)=DATE(YEAR(TODAY()),MONTH(TODAY()),1))),1,0))</f>
        <v/>
      </c>
      <c r="Q380">
        <f>IF($A380="","",IF(AND($B380&gt;0,D380&lt;$B380,DATE($B$1,2,1)&lt;=TODAY(),OR($O380="",$O380&gt;=DATE($B$1,2,1)),OR(COUNTIF($C380:D380,"&gt;0")&gt;0,DATE($B$1,2,1)=DATE(YEAR(TODAY()),MONTH(TODAY()),1))),1,0))</f>
        <v/>
      </c>
      <c r="R380">
        <f>IF($A380="","",IF(AND($B380&gt;0,E380&lt;$B380,DATE($B$1,3,1)&lt;=TODAY(),OR($O380="",$O380&gt;=DATE($B$1,3,1)),OR(COUNTIF($C380:E380,"&gt;0")&gt;0,DATE($B$1,3,1)=DATE(YEAR(TODAY()),MONTH(TODAY()),1))),1,0))</f>
        <v/>
      </c>
      <c r="S380">
        <f>IF($A380="","",IF(AND($B380&gt;0,F380&lt;$B380,DATE($B$1,4,1)&lt;=TODAY(),OR($O380="",$O380&gt;=DATE($B$1,4,1)),OR(COUNTIF($C380:F380,"&gt;0")&gt;0,DATE($B$1,4,1)=DATE(YEAR(TODAY()),MONTH(TODAY()),1))),1,0))</f>
        <v/>
      </c>
      <c r="T380">
        <f>IF($A380="","",IF(AND($B380&gt;0,G380&lt;$B380,DATE($B$1,5,1)&lt;=TODAY(),OR($O380="",$O380&gt;=DATE($B$1,5,1)),OR(COUNTIF($C380:G380,"&gt;0")&gt;0,DATE($B$1,5,1)=DATE(YEAR(TODAY()),MONTH(TODAY()),1))),1,0))</f>
        <v/>
      </c>
      <c r="U380">
        <f>IF($A380="","",IF(AND($B380&gt;0,H380&lt;$B380,DATE($B$1,6,1)&lt;=TODAY(),OR($O380="",$O380&gt;=DATE($B$1,6,1)),OR(COUNTIF($C380:H380,"&gt;0")&gt;0,DATE($B$1,6,1)=DATE(YEAR(TODAY()),MONTH(TODAY()),1))),1,0))</f>
        <v/>
      </c>
      <c r="V380">
        <f>IF($A380="","",IF(AND($B380&gt;0,I380&lt;$B380,DATE($B$1,7,1)&lt;=TODAY(),OR($O380="",$O380&gt;=DATE($B$1,7,1)),OR(COUNTIF($C380:I380,"&gt;0")&gt;0,DATE($B$1,7,1)=DATE(YEAR(TODAY()),MONTH(TODAY()),1))),1,0))</f>
        <v/>
      </c>
      <c r="W380">
        <f>IF($A380="","",IF(AND($B380&gt;0,J380&lt;$B380,DATE($B$1,8,1)&lt;=TODAY(),OR($O380="",$O380&gt;=DATE($B$1,8,1)),OR(COUNTIF($C380:J380,"&gt;0")&gt;0,DATE($B$1,8,1)=DATE(YEAR(TODAY()),MONTH(TODAY()),1))),1,0))</f>
        <v/>
      </c>
      <c r="X380">
        <f>IF($A380="","",IF(AND($B380&gt;0,K380&lt;$B380,DATE($B$1,9,1)&lt;=TODAY(),OR($O380="",$O380&gt;=DATE($B$1,9,1)),OR(COUNTIF($C380:K380,"&gt;0")&gt;0,DATE($B$1,9,1)=DATE(YEAR(TODAY()),MONTH(TODAY()),1))),1,0))</f>
        <v/>
      </c>
      <c r="Y380">
        <f>IF($A380="","",IF(AND($B380&gt;0,L380&lt;$B380,DATE($B$1,10,1)&lt;=TODAY(),OR($O380="",$O380&gt;=DATE($B$1,10,1)),OR(COUNTIF($C380:L380,"&gt;0")&gt;0,DATE($B$1,10,1)=DATE(YEAR(TODAY()),MONTH(TODAY()),1))),1,0))</f>
        <v/>
      </c>
      <c r="Z380">
        <f>IF($A380="","",IF(AND($B380&gt;0,M380&lt;$B380,DATE($B$1,11,1)&lt;=TODAY(),OR($O380="",$O380&gt;=DATE($B$1,11,1)),OR(COUNTIF($C380:M380,"&gt;0")&gt;0,DATE($B$1,11,1)=DATE(YEAR(TODAY()),MONTH(TODAY()),1))),1,0))</f>
        <v/>
      </c>
      <c r="AA380">
        <f>IF($A380="","",IF(AND($B380&gt;0,N380&lt;$B380,DATE($B$1,12,1)&lt;=TODAY(),OR($O380="",$O380&gt;=DATE($B$1,12,1)),OR(COUNTIF($C380:N380,"&gt;0")&gt;0,DATE($B$1,12,1)=DATE(YEAR(TODAY()),MONTH(TODAY()),1))),1,0))</f>
        <v/>
      </c>
    </row>
    <row r="381">
      <c r="A381" s="13">
        <f>IF(원생!$A379="","",원생!$A379&amp;IF(원생!$G379="",""," ("&amp;원생!$G379&amp;")"))</f>
        <v/>
      </c>
      <c r="B381" s="8">
        <f>IF(원생!$A379="","",N(원생!$F379))</f>
        <v/>
      </c>
      <c r="C381" s="14">
        <f>IF(원생!$A379="","",SUMIFS(계산!$C:$C,계산!$A:$A,계산!$E379,계산!$B:$B,$B$1*100+1))</f>
        <v/>
      </c>
      <c r="D381" s="14">
        <f>IF(원생!$A379="","",SUMIFS(계산!$C:$C,계산!$A:$A,계산!$E379,계산!$B:$B,$B$1*100+2))</f>
        <v/>
      </c>
      <c r="E381" s="14">
        <f>IF(원생!$A379="","",SUMIFS(계산!$C:$C,계산!$A:$A,계산!$E379,계산!$B:$B,$B$1*100+3))</f>
        <v/>
      </c>
      <c r="F381" s="14">
        <f>IF(원생!$A379="","",SUMIFS(계산!$C:$C,계산!$A:$A,계산!$E379,계산!$B:$B,$B$1*100+4))</f>
        <v/>
      </c>
      <c r="G381" s="14">
        <f>IF(원생!$A379="","",SUMIFS(계산!$C:$C,계산!$A:$A,계산!$E379,계산!$B:$B,$B$1*100+5))</f>
        <v/>
      </c>
      <c r="H381" s="14">
        <f>IF(원생!$A379="","",SUMIFS(계산!$C:$C,계산!$A:$A,계산!$E379,계산!$B:$B,$B$1*100+6))</f>
        <v/>
      </c>
      <c r="I381" s="14">
        <f>IF(원생!$A379="","",SUMIFS(계산!$C:$C,계산!$A:$A,계산!$E379,계산!$B:$B,$B$1*100+7))</f>
        <v/>
      </c>
      <c r="J381" s="14">
        <f>IF(원생!$A379="","",SUMIFS(계산!$C:$C,계산!$A:$A,계산!$E379,계산!$B:$B,$B$1*100+8))</f>
        <v/>
      </c>
      <c r="K381" s="14">
        <f>IF(원생!$A379="","",SUMIFS(계산!$C:$C,계산!$A:$A,계산!$E379,계산!$B:$B,$B$1*100+9))</f>
        <v/>
      </c>
      <c r="L381" s="14">
        <f>IF(원생!$A379="","",SUMIFS(계산!$C:$C,계산!$A:$A,계산!$E379,계산!$B:$B,$B$1*100+10))</f>
        <v/>
      </c>
      <c r="M381" s="14">
        <f>IF(원생!$A379="","",SUMIFS(계산!$C:$C,계산!$A:$A,계산!$E379,계산!$B:$B,$B$1*100+11))</f>
        <v/>
      </c>
      <c r="N381" s="14">
        <f>IF(원생!$A379="","",SUMIFS(계산!$C:$C,계산!$A:$A,계산!$E379,계산!$B:$B,$B$1*100+12))</f>
        <v/>
      </c>
      <c r="O381">
        <f>IF(원생!$I379="","",원생!$I379)</f>
        <v/>
      </c>
      <c r="P381">
        <f>IF($A381="","",IF(AND($B381&gt;0,C381&lt;$B381,DATE($B$1,1,1)&lt;=TODAY(),OR($O381="",$O381&gt;=DATE($B$1,1,1)),OR(COUNTIF($C381:C381,"&gt;0")&gt;0,DATE($B$1,1,1)=DATE(YEAR(TODAY()),MONTH(TODAY()),1))),1,0))</f>
        <v/>
      </c>
      <c r="Q381">
        <f>IF($A381="","",IF(AND($B381&gt;0,D381&lt;$B381,DATE($B$1,2,1)&lt;=TODAY(),OR($O381="",$O381&gt;=DATE($B$1,2,1)),OR(COUNTIF($C381:D381,"&gt;0")&gt;0,DATE($B$1,2,1)=DATE(YEAR(TODAY()),MONTH(TODAY()),1))),1,0))</f>
        <v/>
      </c>
      <c r="R381">
        <f>IF($A381="","",IF(AND($B381&gt;0,E381&lt;$B381,DATE($B$1,3,1)&lt;=TODAY(),OR($O381="",$O381&gt;=DATE($B$1,3,1)),OR(COUNTIF($C381:E381,"&gt;0")&gt;0,DATE($B$1,3,1)=DATE(YEAR(TODAY()),MONTH(TODAY()),1))),1,0))</f>
        <v/>
      </c>
      <c r="S381">
        <f>IF($A381="","",IF(AND($B381&gt;0,F381&lt;$B381,DATE($B$1,4,1)&lt;=TODAY(),OR($O381="",$O381&gt;=DATE($B$1,4,1)),OR(COUNTIF($C381:F381,"&gt;0")&gt;0,DATE($B$1,4,1)=DATE(YEAR(TODAY()),MONTH(TODAY()),1))),1,0))</f>
        <v/>
      </c>
      <c r="T381">
        <f>IF($A381="","",IF(AND($B381&gt;0,G381&lt;$B381,DATE($B$1,5,1)&lt;=TODAY(),OR($O381="",$O381&gt;=DATE($B$1,5,1)),OR(COUNTIF($C381:G381,"&gt;0")&gt;0,DATE($B$1,5,1)=DATE(YEAR(TODAY()),MONTH(TODAY()),1))),1,0))</f>
        <v/>
      </c>
      <c r="U381">
        <f>IF($A381="","",IF(AND($B381&gt;0,H381&lt;$B381,DATE($B$1,6,1)&lt;=TODAY(),OR($O381="",$O381&gt;=DATE($B$1,6,1)),OR(COUNTIF($C381:H381,"&gt;0")&gt;0,DATE($B$1,6,1)=DATE(YEAR(TODAY()),MONTH(TODAY()),1))),1,0))</f>
        <v/>
      </c>
      <c r="V381">
        <f>IF($A381="","",IF(AND($B381&gt;0,I381&lt;$B381,DATE($B$1,7,1)&lt;=TODAY(),OR($O381="",$O381&gt;=DATE($B$1,7,1)),OR(COUNTIF($C381:I381,"&gt;0")&gt;0,DATE($B$1,7,1)=DATE(YEAR(TODAY()),MONTH(TODAY()),1))),1,0))</f>
        <v/>
      </c>
      <c r="W381">
        <f>IF($A381="","",IF(AND($B381&gt;0,J381&lt;$B381,DATE($B$1,8,1)&lt;=TODAY(),OR($O381="",$O381&gt;=DATE($B$1,8,1)),OR(COUNTIF($C381:J381,"&gt;0")&gt;0,DATE($B$1,8,1)=DATE(YEAR(TODAY()),MONTH(TODAY()),1))),1,0))</f>
        <v/>
      </c>
      <c r="X381">
        <f>IF($A381="","",IF(AND($B381&gt;0,K381&lt;$B381,DATE($B$1,9,1)&lt;=TODAY(),OR($O381="",$O381&gt;=DATE($B$1,9,1)),OR(COUNTIF($C381:K381,"&gt;0")&gt;0,DATE($B$1,9,1)=DATE(YEAR(TODAY()),MONTH(TODAY()),1))),1,0))</f>
        <v/>
      </c>
      <c r="Y381">
        <f>IF($A381="","",IF(AND($B381&gt;0,L381&lt;$B381,DATE($B$1,10,1)&lt;=TODAY(),OR($O381="",$O381&gt;=DATE($B$1,10,1)),OR(COUNTIF($C381:L381,"&gt;0")&gt;0,DATE($B$1,10,1)=DATE(YEAR(TODAY()),MONTH(TODAY()),1))),1,0))</f>
        <v/>
      </c>
      <c r="Z381">
        <f>IF($A381="","",IF(AND($B381&gt;0,M381&lt;$B381,DATE($B$1,11,1)&lt;=TODAY(),OR($O381="",$O381&gt;=DATE($B$1,11,1)),OR(COUNTIF($C381:M381,"&gt;0")&gt;0,DATE($B$1,11,1)=DATE(YEAR(TODAY()),MONTH(TODAY()),1))),1,0))</f>
        <v/>
      </c>
      <c r="AA381">
        <f>IF($A381="","",IF(AND($B381&gt;0,N381&lt;$B381,DATE($B$1,12,1)&lt;=TODAY(),OR($O381="",$O381&gt;=DATE($B$1,12,1)),OR(COUNTIF($C381:N381,"&gt;0")&gt;0,DATE($B$1,12,1)=DATE(YEAR(TODAY()),MONTH(TODAY()),1))),1,0))</f>
        <v/>
      </c>
    </row>
    <row r="382">
      <c r="A382" s="13">
        <f>IF(원생!$A380="","",원생!$A380&amp;IF(원생!$G380="",""," ("&amp;원생!$G380&amp;")"))</f>
        <v/>
      </c>
      <c r="B382" s="8">
        <f>IF(원생!$A380="","",N(원생!$F380))</f>
        <v/>
      </c>
      <c r="C382" s="14">
        <f>IF(원생!$A380="","",SUMIFS(계산!$C:$C,계산!$A:$A,계산!$E380,계산!$B:$B,$B$1*100+1))</f>
        <v/>
      </c>
      <c r="D382" s="14">
        <f>IF(원생!$A380="","",SUMIFS(계산!$C:$C,계산!$A:$A,계산!$E380,계산!$B:$B,$B$1*100+2))</f>
        <v/>
      </c>
      <c r="E382" s="14">
        <f>IF(원생!$A380="","",SUMIFS(계산!$C:$C,계산!$A:$A,계산!$E380,계산!$B:$B,$B$1*100+3))</f>
        <v/>
      </c>
      <c r="F382" s="14">
        <f>IF(원생!$A380="","",SUMIFS(계산!$C:$C,계산!$A:$A,계산!$E380,계산!$B:$B,$B$1*100+4))</f>
        <v/>
      </c>
      <c r="G382" s="14">
        <f>IF(원생!$A380="","",SUMIFS(계산!$C:$C,계산!$A:$A,계산!$E380,계산!$B:$B,$B$1*100+5))</f>
        <v/>
      </c>
      <c r="H382" s="14">
        <f>IF(원생!$A380="","",SUMIFS(계산!$C:$C,계산!$A:$A,계산!$E380,계산!$B:$B,$B$1*100+6))</f>
        <v/>
      </c>
      <c r="I382" s="14">
        <f>IF(원생!$A380="","",SUMIFS(계산!$C:$C,계산!$A:$A,계산!$E380,계산!$B:$B,$B$1*100+7))</f>
        <v/>
      </c>
      <c r="J382" s="14">
        <f>IF(원생!$A380="","",SUMIFS(계산!$C:$C,계산!$A:$A,계산!$E380,계산!$B:$B,$B$1*100+8))</f>
        <v/>
      </c>
      <c r="K382" s="14">
        <f>IF(원생!$A380="","",SUMIFS(계산!$C:$C,계산!$A:$A,계산!$E380,계산!$B:$B,$B$1*100+9))</f>
        <v/>
      </c>
      <c r="L382" s="14">
        <f>IF(원생!$A380="","",SUMIFS(계산!$C:$C,계산!$A:$A,계산!$E380,계산!$B:$B,$B$1*100+10))</f>
        <v/>
      </c>
      <c r="M382" s="14">
        <f>IF(원생!$A380="","",SUMIFS(계산!$C:$C,계산!$A:$A,계산!$E380,계산!$B:$B,$B$1*100+11))</f>
        <v/>
      </c>
      <c r="N382" s="14">
        <f>IF(원생!$A380="","",SUMIFS(계산!$C:$C,계산!$A:$A,계산!$E380,계산!$B:$B,$B$1*100+12))</f>
        <v/>
      </c>
      <c r="O382">
        <f>IF(원생!$I380="","",원생!$I380)</f>
        <v/>
      </c>
      <c r="P382">
        <f>IF($A382="","",IF(AND($B382&gt;0,C382&lt;$B382,DATE($B$1,1,1)&lt;=TODAY(),OR($O382="",$O382&gt;=DATE($B$1,1,1)),OR(COUNTIF($C382:C382,"&gt;0")&gt;0,DATE($B$1,1,1)=DATE(YEAR(TODAY()),MONTH(TODAY()),1))),1,0))</f>
        <v/>
      </c>
      <c r="Q382">
        <f>IF($A382="","",IF(AND($B382&gt;0,D382&lt;$B382,DATE($B$1,2,1)&lt;=TODAY(),OR($O382="",$O382&gt;=DATE($B$1,2,1)),OR(COUNTIF($C382:D382,"&gt;0")&gt;0,DATE($B$1,2,1)=DATE(YEAR(TODAY()),MONTH(TODAY()),1))),1,0))</f>
        <v/>
      </c>
      <c r="R382">
        <f>IF($A382="","",IF(AND($B382&gt;0,E382&lt;$B382,DATE($B$1,3,1)&lt;=TODAY(),OR($O382="",$O382&gt;=DATE($B$1,3,1)),OR(COUNTIF($C382:E382,"&gt;0")&gt;0,DATE($B$1,3,1)=DATE(YEAR(TODAY()),MONTH(TODAY()),1))),1,0))</f>
        <v/>
      </c>
      <c r="S382">
        <f>IF($A382="","",IF(AND($B382&gt;0,F382&lt;$B382,DATE($B$1,4,1)&lt;=TODAY(),OR($O382="",$O382&gt;=DATE($B$1,4,1)),OR(COUNTIF($C382:F382,"&gt;0")&gt;0,DATE($B$1,4,1)=DATE(YEAR(TODAY()),MONTH(TODAY()),1))),1,0))</f>
        <v/>
      </c>
      <c r="T382">
        <f>IF($A382="","",IF(AND($B382&gt;0,G382&lt;$B382,DATE($B$1,5,1)&lt;=TODAY(),OR($O382="",$O382&gt;=DATE($B$1,5,1)),OR(COUNTIF($C382:G382,"&gt;0")&gt;0,DATE($B$1,5,1)=DATE(YEAR(TODAY()),MONTH(TODAY()),1))),1,0))</f>
        <v/>
      </c>
      <c r="U382">
        <f>IF($A382="","",IF(AND($B382&gt;0,H382&lt;$B382,DATE($B$1,6,1)&lt;=TODAY(),OR($O382="",$O382&gt;=DATE($B$1,6,1)),OR(COUNTIF($C382:H382,"&gt;0")&gt;0,DATE($B$1,6,1)=DATE(YEAR(TODAY()),MONTH(TODAY()),1))),1,0))</f>
        <v/>
      </c>
      <c r="V382">
        <f>IF($A382="","",IF(AND($B382&gt;0,I382&lt;$B382,DATE($B$1,7,1)&lt;=TODAY(),OR($O382="",$O382&gt;=DATE($B$1,7,1)),OR(COUNTIF($C382:I382,"&gt;0")&gt;0,DATE($B$1,7,1)=DATE(YEAR(TODAY()),MONTH(TODAY()),1))),1,0))</f>
        <v/>
      </c>
      <c r="W382">
        <f>IF($A382="","",IF(AND($B382&gt;0,J382&lt;$B382,DATE($B$1,8,1)&lt;=TODAY(),OR($O382="",$O382&gt;=DATE($B$1,8,1)),OR(COUNTIF($C382:J382,"&gt;0")&gt;0,DATE($B$1,8,1)=DATE(YEAR(TODAY()),MONTH(TODAY()),1))),1,0))</f>
        <v/>
      </c>
      <c r="X382">
        <f>IF($A382="","",IF(AND($B382&gt;0,K382&lt;$B382,DATE($B$1,9,1)&lt;=TODAY(),OR($O382="",$O382&gt;=DATE($B$1,9,1)),OR(COUNTIF($C382:K382,"&gt;0")&gt;0,DATE($B$1,9,1)=DATE(YEAR(TODAY()),MONTH(TODAY()),1))),1,0))</f>
        <v/>
      </c>
      <c r="Y382">
        <f>IF($A382="","",IF(AND($B382&gt;0,L382&lt;$B382,DATE($B$1,10,1)&lt;=TODAY(),OR($O382="",$O382&gt;=DATE($B$1,10,1)),OR(COUNTIF($C382:L382,"&gt;0")&gt;0,DATE($B$1,10,1)=DATE(YEAR(TODAY()),MONTH(TODAY()),1))),1,0))</f>
        <v/>
      </c>
      <c r="Z382">
        <f>IF($A382="","",IF(AND($B382&gt;0,M382&lt;$B382,DATE($B$1,11,1)&lt;=TODAY(),OR($O382="",$O382&gt;=DATE($B$1,11,1)),OR(COUNTIF($C382:M382,"&gt;0")&gt;0,DATE($B$1,11,1)=DATE(YEAR(TODAY()),MONTH(TODAY()),1))),1,0))</f>
        <v/>
      </c>
      <c r="AA382">
        <f>IF($A382="","",IF(AND($B382&gt;0,N382&lt;$B382,DATE($B$1,12,1)&lt;=TODAY(),OR($O382="",$O382&gt;=DATE($B$1,12,1)),OR(COUNTIF($C382:N382,"&gt;0")&gt;0,DATE($B$1,12,1)=DATE(YEAR(TODAY()),MONTH(TODAY()),1))),1,0))</f>
        <v/>
      </c>
    </row>
    <row r="383">
      <c r="A383" s="13">
        <f>IF(원생!$A381="","",원생!$A381&amp;IF(원생!$G381="",""," ("&amp;원생!$G381&amp;")"))</f>
        <v/>
      </c>
      <c r="B383" s="8">
        <f>IF(원생!$A381="","",N(원생!$F381))</f>
        <v/>
      </c>
      <c r="C383" s="14">
        <f>IF(원생!$A381="","",SUMIFS(계산!$C:$C,계산!$A:$A,계산!$E381,계산!$B:$B,$B$1*100+1))</f>
        <v/>
      </c>
      <c r="D383" s="14">
        <f>IF(원생!$A381="","",SUMIFS(계산!$C:$C,계산!$A:$A,계산!$E381,계산!$B:$B,$B$1*100+2))</f>
        <v/>
      </c>
      <c r="E383" s="14">
        <f>IF(원생!$A381="","",SUMIFS(계산!$C:$C,계산!$A:$A,계산!$E381,계산!$B:$B,$B$1*100+3))</f>
        <v/>
      </c>
      <c r="F383" s="14">
        <f>IF(원생!$A381="","",SUMIFS(계산!$C:$C,계산!$A:$A,계산!$E381,계산!$B:$B,$B$1*100+4))</f>
        <v/>
      </c>
      <c r="G383" s="14">
        <f>IF(원생!$A381="","",SUMIFS(계산!$C:$C,계산!$A:$A,계산!$E381,계산!$B:$B,$B$1*100+5))</f>
        <v/>
      </c>
      <c r="H383" s="14">
        <f>IF(원생!$A381="","",SUMIFS(계산!$C:$C,계산!$A:$A,계산!$E381,계산!$B:$B,$B$1*100+6))</f>
        <v/>
      </c>
      <c r="I383" s="14">
        <f>IF(원생!$A381="","",SUMIFS(계산!$C:$C,계산!$A:$A,계산!$E381,계산!$B:$B,$B$1*100+7))</f>
        <v/>
      </c>
      <c r="J383" s="14">
        <f>IF(원생!$A381="","",SUMIFS(계산!$C:$C,계산!$A:$A,계산!$E381,계산!$B:$B,$B$1*100+8))</f>
        <v/>
      </c>
      <c r="K383" s="14">
        <f>IF(원생!$A381="","",SUMIFS(계산!$C:$C,계산!$A:$A,계산!$E381,계산!$B:$B,$B$1*100+9))</f>
        <v/>
      </c>
      <c r="L383" s="14">
        <f>IF(원생!$A381="","",SUMIFS(계산!$C:$C,계산!$A:$A,계산!$E381,계산!$B:$B,$B$1*100+10))</f>
        <v/>
      </c>
      <c r="M383" s="14">
        <f>IF(원생!$A381="","",SUMIFS(계산!$C:$C,계산!$A:$A,계산!$E381,계산!$B:$B,$B$1*100+11))</f>
        <v/>
      </c>
      <c r="N383" s="14">
        <f>IF(원생!$A381="","",SUMIFS(계산!$C:$C,계산!$A:$A,계산!$E381,계산!$B:$B,$B$1*100+12))</f>
        <v/>
      </c>
      <c r="O383">
        <f>IF(원생!$I381="","",원생!$I381)</f>
        <v/>
      </c>
      <c r="P383">
        <f>IF($A383="","",IF(AND($B383&gt;0,C383&lt;$B383,DATE($B$1,1,1)&lt;=TODAY(),OR($O383="",$O383&gt;=DATE($B$1,1,1)),OR(COUNTIF($C383:C383,"&gt;0")&gt;0,DATE($B$1,1,1)=DATE(YEAR(TODAY()),MONTH(TODAY()),1))),1,0))</f>
        <v/>
      </c>
      <c r="Q383">
        <f>IF($A383="","",IF(AND($B383&gt;0,D383&lt;$B383,DATE($B$1,2,1)&lt;=TODAY(),OR($O383="",$O383&gt;=DATE($B$1,2,1)),OR(COUNTIF($C383:D383,"&gt;0")&gt;0,DATE($B$1,2,1)=DATE(YEAR(TODAY()),MONTH(TODAY()),1))),1,0))</f>
        <v/>
      </c>
      <c r="R383">
        <f>IF($A383="","",IF(AND($B383&gt;0,E383&lt;$B383,DATE($B$1,3,1)&lt;=TODAY(),OR($O383="",$O383&gt;=DATE($B$1,3,1)),OR(COUNTIF($C383:E383,"&gt;0")&gt;0,DATE($B$1,3,1)=DATE(YEAR(TODAY()),MONTH(TODAY()),1))),1,0))</f>
        <v/>
      </c>
      <c r="S383">
        <f>IF($A383="","",IF(AND($B383&gt;0,F383&lt;$B383,DATE($B$1,4,1)&lt;=TODAY(),OR($O383="",$O383&gt;=DATE($B$1,4,1)),OR(COUNTIF($C383:F383,"&gt;0")&gt;0,DATE($B$1,4,1)=DATE(YEAR(TODAY()),MONTH(TODAY()),1))),1,0))</f>
        <v/>
      </c>
      <c r="T383">
        <f>IF($A383="","",IF(AND($B383&gt;0,G383&lt;$B383,DATE($B$1,5,1)&lt;=TODAY(),OR($O383="",$O383&gt;=DATE($B$1,5,1)),OR(COUNTIF($C383:G383,"&gt;0")&gt;0,DATE($B$1,5,1)=DATE(YEAR(TODAY()),MONTH(TODAY()),1))),1,0))</f>
        <v/>
      </c>
      <c r="U383">
        <f>IF($A383="","",IF(AND($B383&gt;0,H383&lt;$B383,DATE($B$1,6,1)&lt;=TODAY(),OR($O383="",$O383&gt;=DATE($B$1,6,1)),OR(COUNTIF($C383:H383,"&gt;0")&gt;0,DATE($B$1,6,1)=DATE(YEAR(TODAY()),MONTH(TODAY()),1))),1,0))</f>
        <v/>
      </c>
      <c r="V383">
        <f>IF($A383="","",IF(AND($B383&gt;0,I383&lt;$B383,DATE($B$1,7,1)&lt;=TODAY(),OR($O383="",$O383&gt;=DATE($B$1,7,1)),OR(COUNTIF($C383:I383,"&gt;0")&gt;0,DATE($B$1,7,1)=DATE(YEAR(TODAY()),MONTH(TODAY()),1))),1,0))</f>
        <v/>
      </c>
      <c r="W383">
        <f>IF($A383="","",IF(AND($B383&gt;0,J383&lt;$B383,DATE($B$1,8,1)&lt;=TODAY(),OR($O383="",$O383&gt;=DATE($B$1,8,1)),OR(COUNTIF($C383:J383,"&gt;0")&gt;0,DATE($B$1,8,1)=DATE(YEAR(TODAY()),MONTH(TODAY()),1))),1,0))</f>
        <v/>
      </c>
      <c r="X383">
        <f>IF($A383="","",IF(AND($B383&gt;0,K383&lt;$B383,DATE($B$1,9,1)&lt;=TODAY(),OR($O383="",$O383&gt;=DATE($B$1,9,1)),OR(COUNTIF($C383:K383,"&gt;0")&gt;0,DATE($B$1,9,1)=DATE(YEAR(TODAY()),MONTH(TODAY()),1))),1,0))</f>
        <v/>
      </c>
      <c r="Y383">
        <f>IF($A383="","",IF(AND($B383&gt;0,L383&lt;$B383,DATE($B$1,10,1)&lt;=TODAY(),OR($O383="",$O383&gt;=DATE($B$1,10,1)),OR(COUNTIF($C383:L383,"&gt;0")&gt;0,DATE($B$1,10,1)=DATE(YEAR(TODAY()),MONTH(TODAY()),1))),1,0))</f>
        <v/>
      </c>
      <c r="Z383">
        <f>IF($A383="","",IF(AND($B383&gt;0,M383&lt;$B383,DATE($B$1,11,1)&lt;=TODAY(),OR($O383="",$O383&gt;=DATE($B$1,11,1)),OR(COUNTIF($C383:M383,"&gt;0")&gt;0,DATE($B$1,11,1)=DATE(YEAR(TODAY()),MONTH(TODAY()),1))),1,0))</f>
        <v/>
      </c>
      <c r="AA383">
        <f>IF($A383="","",IF(AND($B383&gt;0,N383&lt;$B383,DATE($B$1,12,1)&lt;=TODAY(),OR($O383="",$O383&gt;=DATE($B$1,12,1)),OR(COUNTIF($C383:N383,"&gt;0")&gt;0,DATE($B$1,12,1)=DATE(YEAR(TODAY()),MONTH(TODAY()),1))),1,0))</f>
        <v/>
      </c>
    </row>
    <row r="384">
      <c r="A384" s="13">
        <f>IF(원생!$A382="","",원생!$A382&amp;IF(원생!$G382="",""," ("&amp;원생!$G382&amp;")"))</f>
        <v/>
      </c>
      <c r="B384" s="8">
        <f>IF(원생!$A382="","",N(원생!$F382))</f>
        <v/>
      </c>
      <c r="C384" s="14">
        <f>IF(원생!$A382="","",SUMIFS(계산!$C:$C,계산!$A:$A,계산!$E382,계산!$B:$B,$B$1*100+1))</f>
        <v/>
      </c>
      <c r="D384" s="14">
        <f>IF(원생!$A382="","",SUMIFS(계산!$C:$C,계산!$A:$A,계산!$E382,계산!$B:$B,$B$1*100+2))</f>
        <v/>
      </c>
      <c r="E384" s="14">
        <f>IF(원생!$A382="","",SUMIFS(계산!$C:$C,계산!$A:$A,계산!$E382,계산!$B:$B,$B$1*100+3))</f>
        <v/>
      </c>
      <c r="F384" s="14">
        <f>IF(원생!$A382="","",SUMIFS(계산!$C:$C,계산!$A:$A,계산!$E382,계산!$B:$B,$B$1*100+4))</f>
        <v/>
      </c>
      <c r="G384" s="14">
        <f>IF(원생!$A382="","",SUMIFS(계산!$C:$C,계산!$A:$A,계산!$E382,계산!$B:$B,$B$1*100+5))</f>
        <v/>
      </c>
      <c r="H384" s="14">
        <f>IF(원생!$A382="","",SUMIFS(계산!$C:$C,계산!$A:$A,계산!$E382,계산!$B:$B,$B$1*100+6))</f>
        <v/>
      </c>
      <c r="I384" s="14">
        <f>IF(원생!$A382="","",SUMIFS(계산!$C:$C,계산!$A:$A,계산!$E382,계산!$B:$B,$B$1*100+7))</f>
        <v/>
      </c>
      <c r="J384" s="14">
        <f>IF(원생!$A382="","",SUMIFS(계산!$C:$C,계산!$A:$A,계산!$E382,계산!$B:$B,$B$1*100+8))</f>
        <v/>
      </c>
      <c r="K384" s="14">
        <f>IF(원생!$A382="","",SUMIFS(계산!$C:$C,계산!$A:$A,계산!$E382,계산!$B:$B,$B$1*100+9))</f>
        <v/>
      </c>
      <c r="L384" s="14">
        <f>IF(원생!$A382="","",SUMIFS(계산!$C:$C,계산!$A:$A,계산!$E382,계산!$B:$B,$B$1*100+10))</f>
        <v/>
      </c>
      <c r="M384" s="14">
        <f>IF(원생!$A382="","",SUMIFS(계산!$C:$C,계산!$A:$A,계산!$E382,계산!$B:$B,$B$1*100+11))</f>
        <v/>
      </c>
      <c r="N384" s="14">
        <f>IF(원생!$A382="","",SUMIFS(계산!$C:$C,계산!$A:$A,계산!$E382,계산!$B:$B,$B$1*100+12))</f>
        <v/>
      </c>
      <c r="O384">
        <f>IF(원생!$I382="","",원생!$I382)</f>
        <v/>
      </c>
      <c r="P384">
        <f>IF($A384="","",IF(AND($B384&gt;0,C384&lt;$B384,DATE($B$1,1,1)&lt;=TODAY(),OR($O384="",$O384&gt;=DATE($B$1,1,1)),OR(COUNTIF($C384:C384,"&gt;0")&gt;0,DATE($B$1,1,1)=DATE(YEAR(TODAY()),MONTH(TODAY()),1))),1,0))</f>
        <v/>
      </c>
      <c r="Q384">
        <f>IF($A384="","",IF(AND($B384&gt;0,D384&lt;$B384,DATE($B$1,2,1)&lt;=TODAY(),OR($O384="",$O384&gt;=DATE($B$1,2,1)),OR(COUNTIF($C384:D384,"&gt;0")&gt;0,DATE($B$1,2,1)=DATE(YEAR(TODAY()),MONTH(TODAY()),1))),1,0))</f>
        <v/>
      </c>
      <c r="R384">
        <f>IF($A384="","",IF(AND($B384&gt;0,E384&lt;$B384,DATE($B$1,3,1)&lt;=TODAY(),OR($O384="",$O384&gt;=DATE($B$1,3,1)),OR(COUNTIF($C384:E384,"&gt;0")&gt;0,DATE($B$1,3,1)=DATE(YEAR(TODAY()),MONTH(TODAY()),1))),1,0))</f>
        <v/>
      </c>
      <c r="S384">
        <f>IF($A384="","",IF(AND($B384&gt;0,F384&lt;$B384,DATE($B$1,4,1)&lt;=TODAY(),OR($O384="",$O384&gt;=DATE($B$1,4,1)),OR(COUNTIF($C384:F384,"&gt;0")&gt;0,DATE($B$1,4,1)=DATE(YEAR(TODAY()),MONTH(TODAY()),1))),1,0))</f>
        <v/>
      </c>
      <c r="T384">
        <f>IF($A384="","",IF(AND($B384&gt;0,G384&lt;$B384,DATE($B$1,5,1)&lt;=TODAY(),OR($O384="",$O384&gt;=DATE($B$1,5,1)),OR(COUNTIF($C384:G384,"&gt;0")&gt;0,DATE($B$1,5,1)=DATE(YEAR(TODAY()),MONTH(TODAY()),1))),1,0))</f>
        <v/>
      </c>
      <c r="U384">
        <f>IF($A384="","",IF(AND($B384&gt;0,H384&lt;$B384,DATE($B$1,6,1)&lt;=TODAY(),OR($O384="",$O384&gt;=DATE($B$1,6,1)),OR(COUNTIF($C384:H384,"&gt;0")&gt;0,DATE($B$1,6,1)=DATE(YEAR(TODAY()),MONTH(TODAY()),1))),1,0))</f>
        <v/>
      </c>
      <c r="V384">
        <f>IF($A384="","",IF(AND($B384&gt;0,I384&lt;$B384,DATE($B$1,7,1)&lt;=TODAY(),OR($O384="",$O384&gt;=DATE($B$1,7,1)),OR(COUNTIF($C384:I384,"&gt;0")&gt;0,DATE($B$1,7,1)=DATE(YEAR(TODAY()),MONTH(TODAY()),1))),1,0))</f>
        <v/>
      </c>
      <c r="W384">
        <f>IF($A384="","",IF(AND($B384&gt;0,J384&lt;$B384,DATE($B$1,8,1)&lt;=TODAY(),OR($O384="",$O384&gt;=DATE($B$1,8,1)),OR(COUNTIF($C384:J384,"&gt;0")&gt;0,DATE($B$1,8,1)=DATE(YEAR(TODAY()),MONTH(TODAY()),1))),1,0))</f>
        <v/>
      </c>
      <c r="X384">
        <f>IF($A384="","",IF(AND($B384&gt;0,K384&lt;$B384,DATE($B$1,9,1)&lt;=TODAY(),OR($O384="",$O384&gt;=DATE($B$1,9,1)),OR(COUNTIF($C384:K384,"&gt;0")&gt;0,DATE($B$1,9,1)=DATE(YEAR(TODAY()),MONTH(TODAY()),1))),1,0))</f>
        <v/>
      </c>
      <c r="Y384">
        <f>IF($A384="","",IF(AND($B384&gt;0,L384&lt;$B384,DATE($B$1,10,1)&lt;=TODAY(),OR($O384="",$O384&gt;=DATE($B$1,10,1)),OR(COUNTIF($C384:L384,"&gt;0")&gt;0,DATE($B$1,10,1)=DATE(YEAR(TODAY()),MONTH(TODAY()),1))),1,0))</f>
        <v/>
      </c>
      <c r="Z384">
        <f>IF($A384="","",IF(AND($B384&gt;0,M384&lt;$B384,DATE($B$1,11,1)&lt;=TODAY(),OR($O384="",$O384&gt;=DATE($B$1,11,1)),OR(COUNTIF($C384:M384,"&gt;0")&gt;0,DATE($B$1,11,1)=DATE(YEAR(TODAY()),MONTH(TODAY()),1))),1,0))</f>
        <v/>
      </c>
      <c r="AA384">
        <f>IF($A384="","",IF(AND($B384&gt;0,N384&lt;$B384,DATE($B$1,12,1)&lt;=TODAY(),OR($O384="",$O384&gt;=DATE($B$1,12,1)),OR(COUNTIF($C384:N384,"&gt;0")&gt;0,DATE($B$1,12,1)=DATE(YEAR(TODAY()),MONTH(TODAY()),1))),1,0))</f>
        <v/>
      </c>
    </row>
    <row r="385">
      <c r="A385" s="13">
        <f>IF(원생!$A383="","",원생!$A383&amp;IF(원생!$G383="",""," ("&amp;원생!$G383&amp;")"))</f>
        <v/>
      </c>
      <c r="B385" s="8">
        <f>IF(원생!$A383="","",N(원생!$F383))</f>
        <v/>
      </c>
      <c r="C385" s="14">
        <f>IF(원생!$A383="","",SUMIFS(계산!$C:$C,계산!$A:$A,계산!$E383,계산!$B:$B,$B$1*100+1))</f>
        <v/>
      </c>
      <c r="D385" s="14">
        <f>IF(원생!$A383="","",SUMIFS(계산!$C:$C,계산!$A:$A,계산!$E383,계산!$B:$B,$B$1*100+2))</f>
        <v/>
      </c>
      <c r="E385" s="14">
        <f>IF(원생!$A383="","",SUMIFS(계산!$C:$C,계산!$A:$A,계산!$E383,계산!$B:$B,$B$1*100+3))</f>
        <v/>
      </c>
      <c r="F385" s="14">
        <f>IF(원생!$A383="","",SUMIFS(계산!$C:$C,계산!$A:$A,계산!$E383,계산!$B:$B,$B$1*100+4))</f>
        <v/>
      </c>
      <c r="G385" s="14">
        <f>IF(원생!$A383="","",SUMIFS(계산!$C:$C,계산!$A:$A,계산!$E383,계산!$B:$B,$B$1*100+5))</f>
        <v/>
      </c>
      <c r="H385" s="14">
        <f>IF(원생!$A383="","",SUMIFS(계산!$C:$C,계산!$A:$A,계산!$E383,계산!$B:$B,$B$1*100+6))</f>
        <v/>
      </c>
      <c r="I385" s="14">
        <f>IF(원생!$A383="","",SUMIFS(계산!$C:$C,계산!$A:$A,계산!$E383,계산!$B:$B,$B$1*100+7))</f>
        <v/>
      </c>
      <c r="J385" s="14">
        <f>IF(원생!$A383="","",SUMIFS(계산!$C:$C,계산!$A:$A,계산!$E383,계산!$B:$B,$B$1*100+8))</f>
        <v/>
      </c>
      <c r="K385" s="14">
        <f>IF(원생!$A383="","",SUMIFS(계산!$C:$C,계산!$A:$A,계산!$E383,계산!$B:$B,$B$1*100+9))</f>
        <v/>
      </c>
      <c r="L385" s="14">
        <f>IF(원생!$A383="","",SUMIFS(계산!$C:$C,계산!$A:$A,계산!$E383,계산!$B:$B,$B$1*100+10))</f>
        <v/>
      </c>
      <c r="M385" s="14">
        <f>IF(원생!$A383="","",SUMIFS(계산!$C:$C,계산!$A:$A,계산!$E383,계산!$B:$B,$B$1*100+11))</f>
        <v/>
      </c>
      <c r="N385" s="14">
        <f>IF(원생!$A383="","",SUMIFS(계산!$C:$C,계산!$A:$A,계산!$E383,계산!$B:$B,$B$1*100+12))</f>
        <v/>
      </c>
      <c r="O385">
        <f>IF(원생!$I383="","",원생!$I383)</f>
        <v/>
      </c>
      <c r="P385">
        <f>IF($A385="","",IF(AND($B385&gt;0,C385&lt;$B385,DATE($B$1,1,1)&lt;=TODAY(),OR($O385="",$O385&gt;=DATE($B$1,1,1)),OR(COUNTIF($C385:C385,"&gt;0")&gt;0,DATE($B$1,1,1)=DATE(YEAR(TODAY()),MONTH(TODAY()),1))),1,0))</f>
        <v/>
      </c>
      <c r="Q385">
        <f>IF($A385="","",IF(AND($B385&gt;0,D385&lt;$B385,DATE($B$1,2,1)&lt;=TODAY(),OR($O385="",$O385&gt;=DATE($B$1,2,1)),OR(COUNTIF($C385:D385,"&gt;0")&gt;0,DATE($B$1,2,1)=DATE(YEAR(TODAY()),MONTH(TODAY()),1))),1,0))</f>
        <v/>
      </c>
      <c r="R385">
        <f>IF($A385="","",IF(AND($B385&gt;0,E385&lt;$B385,DATE($B$1,3,1)&lt;=TODAY(),OR($O385="",$O385&gt;=DATE($B$1,3,1)),OR(COUNTIF($C385:E385,"&gt;0")&gt;0,DATE($B$1,3,1)=DATE(YEAR(TODAY()),MONTH(TODAY()),1))),1,0))</f>
        <v/>
      </c>
      <c r="S385">
        <f>IF($A385="","",IF(AND($B385&gt;0,F385&lt;$B385,DATE($B$1,4,1)&lt;=TODAY(),OR($O385="",$O385&gt;=DATE($B$1,4,1)),OR(COUNTIF($C385:F385,"&gt;0")&gt;0,DATE($B$1,4,1)=DATE(YEAR(TODAY()),MONTH(TODAY()),1))),1,0))</f>
        <v/>
      </c>
      <c r="T385">
        <f>IF($A385="","",IF(AND($B385&gt;0,G385&lt;$B385,DATE($B$1,5,1)&lt;=TODAY(),OR($O385="",$O385&gt;=DATE($B$1,5,1)),OR(COUNTIF($C385:G385,"&gt;0")&gt;0,DATE($B$1,5,1)=DATE(YEAR(TODAY()),MONTH(TODAY()),1))),1,0))</f>
        <v/>
      </c>
      <c r="U385">
        <f>IF($A385="","",IF(AND($B385&gt;0,H385&lt;$B385,DATE($B$1,6,1)&lt;=TODAY(),OR($O385="",$O385&gt;=DATE($B$1,6,1)),OR(COUNTIF($C385:H385,"&gt;0")&gt;0,DATE($B$1,6,1)=DATE(YEAR(TODAY()),MONTH(TODAY()),1))),1,0))</f>
        <v/>
      </c>
      <c r="V385">
        <f>IF($A385="","",IF(AND($B385&gt;0,I385&lt;$B385,DATE($B$1,7,1)&lt;=TODAY(),OR($O385="",$O385&gt;=DATE($B$1,7,1)),OR(COUNTIF($C385:I385,"&gt;0")&gt;0,DATE($B$1,7,1)=DATE(YEAR(TODAY()),MONTH(TODAY()),1))),1,0))</f>
        <v/>
      </c>
      <c r="W385">
        <f>IF($A385="","",IF(AND($B385&gt;0,J385&lt;$B385,DATE($B$1,8,1)&lt;=TODAY(),OR($O385="",$O385&gt;=DATE($B$1,8,1)),OR(COUNTIF($C385:J385,"&gt;0")&gt;0,DATE($B$1,8,1)=DATE(YEAR(TODAY()),MONTH(TODAY()),1))),1,0))</f>
        <v/>
      </c>
      <c r="X385">
        <f>IF($A385="","",IF(AND($B385&gt;0,K385&lt;$B385,DATE($B$1,9,1)&lt;=TODAY(),OR($O385="",$O385&gt;=DATE($B$1,9,1)),OR(COUNTIF($C385:K385,"&gt;0")&gt;0,DATE($B$1,9,1)=DATE(YEAR(TODAY()),MONTH(TODAY()),1))),1,0))</f>
        <v/>
      </c>
      <c r="Y385">
        <f>IF($A385="","",IF(AND($B385&gt;0,L385&lt;$B385,DATE($B$1,10,1)&lt;=TODAY(),OR($O385="",$O385&gt;=DATE($B$1,10,1)),OR(COUNTIF($C385:L385,"&gt;0")&gt;0,DATE($B$1,10,1)=DATE(YEAR(TODAY()),MONTH(TODAY()),1))),1,0))</f>
        <v/>
      </c>
      <c r="Z385">
        <f>IF($A385="","",IF(AND($B385&gt;0,M385&lt;$B385,DATE($B$1,11,1)&lt;=TODAY(),OR($O385="",$O385&gt;=DATE($B$1,11,1)),OR(COUNTIF($C385:M385,"&gt;0")&gt;0,DATE($B$1,11,1)=DATE(YEAR(TODAY()),MONTH(TODAY()),1))),1,0))</f>
        <v/>
      </c>
      <c r="AA385">
        <f>IF($A385="","",IF(AND($B385&gt;0,N385&lt;$B385,DATE($B$1,12,1)&lt;=TODAY(),OR($O385="",$O385&gt;=DATE($B$1,12,1)),OR(COUNTIF($C385:N385,"&gt;0")&gt;0,DATE($B$1,12,1)=DATE(YEAR(TODAY()),MONTH(TODAY()),1))),1,0))</f>
        <v/>
      </c>
    </row>
    <row r="386">
      <c r="A386" s="13">
        <f>IF(원생!$A384="","",원생!$A384&amp;IF(원생!$G384="",""," ("&amp;원생!$G384&amp;")"))</f>
        <v/>
      </c>
      <c r="B386" s="8">
        <f>IF(원생!$A384="","",N(원생!$F384))</f>
        <v/>
      </c>
      <c r="C386" s="14">
        <f>IF(원생!$A384="","",SUMIFS(계산!$C:$C,계산!$A:$A,계산!$E384,계산!$B:$B,$B$1*100+1))</f>
        <v/>
      </c>
      <c r="D386" s="14">
        <f>IF(원생!$A384="","",SUMIFS(계산!$C:$C,계산!$A:$A,계산!$E384,계산!$B:$B,$B$1*100+2))</f>
        <v/>
      </c>
      <c r="E386" s="14">
        <f>IF(원생!$A384="","",SUMIFS(계산!$C:$C,계산!$A:$A,계산!$E384,계산!$B:$B,$B$1*100+3))</f>
        <v/>
      </c>
      <c r="F386" s="14">
        <f>IF(원생!$A384="","",SUMIFS(계산!$C:$C,계산!$A:$A,계산!$E384,계산!$B:$B,$B$1*100+4))</f>
        <v/>
      </c>
      <c r="G386" s="14">
        <f>IF(원생!$A384="","",SUMIFS(계산!$C:$C,계산!$A:$A,계산!$E384,계산!$B:$B,$B$1*100+5))</f>
        <v/>
      </c>
      <c r="H386" s="14">
        <f>IF(원생!$A384="","",SUMIFS(계산!$C:$C,계산!$A:$A,계산!$E384,계산!$B:$B,$B$1*100+6))</f>
        <v/>
      </c>
      <c r="I386" s="14">
        <f>IF(원생!$A384="","",SUMIFS(계산!$C:$C,계산!$A:$A,계산!$E384,계산!$B:$B,$B$1*100+7))</f>
        <v/>
      </c>
      <c r="J386" s="14">
        <f>IF(원생!$A384="","",SUMIFS(계산!$C:$C,계산!$A:$A,계산!$E384,계산!$B:$B,$B$1*100+8))</f>
        <v/>
      </c>
      <c r="K386" s="14">
        <f>IF(원생!$A384="","",SUMIFS(계산!$C:$C,계산!$A:$A,계산!$E384,계산!$B:$B,$B$1*100+9))</f>
        <v/>
      </c>
      <c r="L386" s="14">
        <f>IF(원생!$A384="","",SUMIFS(계산!$C:$C,계산!$A:$A,계산!$E384,계산!$B:$B,$B$1*100+10))</f>
        <v/>
      </c>
      <c r="M386" s="14">
        <f>IF(원생!$A384="","",SUMIFS(계산!$C:$C,계산!$A:$A,계산!$E384,계산!$B:$B,$B$1*100+11))</f>
        <v/>
      </c>
      <c r="N386" s="14">
        <f>IF(원생!$A384="","",SUMIFS(계산!$C:$C,계산!$A:$A,계산!$E384,계산!$B:$B,$B$1*100+12))</f>
        <v/>
      </c>
      <c r="O386">
        <f>IF(원생!$I384="","",원생!$I384)</f>
        <v/>
      </c>
      <c r="P386">
        <f>IF($A386="","",IF(AND($B386&gt;0,C386&lt;$B386,DATE($B$1,1,1)&lt;=TODAY(),OR($O386="",$O386&gt;=DATE($B$1,1,1)),OR(COUNTIF($C386:C386,"&gt;0")&gt;0,DATE($B$1,1,1)=DATE(YEAR(TODAY()),MONTH(TODAY()),1))),1,0))</f>
        <v/>
      </c>
      <c r="Q386">
        <f>IF($A386="","",IF(AND($B386&gt;0,D386&lt;$B386,DATE($B$1,2,1)&lt;=TODAY(),OR($O386="",$O386&gt;=DATE($B$1,2,1)),OR(COUNTIF($C386:D386,"&gt;0")&gt;0,DATE($B$1,2,1)=DATE(YEAR(TODAY()),MONTH(TODAY()),1))),1,0))</f>
        <v/>
      </c>
      <c r="R386">
        <f>IF($A386="","",IF(AND($B386&gt;0,E386&lt;$B386,DATE($B$1,3,1)&lt;=TODAY(),OR($O386="",$O386&gt;=DATE($B$1,3,1)),OR(COUNTIF($C386:E386,"&gt;0")&gt;0,DATE($B$1,3,1)=DATE(YEAR(TODAY()),MONTH(TODAY()),1))),1,0))</f>
        <v/>
      </c>
      <c r="S386">
        <f>IF($A386="","",IF(AND($B386&gt;0,F386&lt;$B386,DATE($B$1,4,1)&lt;=TODAY(),OR($O386="",$O386&gt;=DATE($B$1,4,1)),OR(COUNTIF($C386:F386,"&gt;0")&gt;0,DATE($B$1,4,1)=DATE(YEAR(TODAY()),MONTH(TODAY()),1))),1,0))</f>
        <v/>
      </c>
      <c r="T386">
        <f>IF($A386="","",IF(AND($B386&gt;0,G386&lt;$B386,DATE($B$1,5,1)&lt;=TODAY(),OR($O386="",$O386&gt;=DATE($B$1,5,1)),OR(COUNTIF($C386:G386,"&gt;0")&gt;0,DATE($B$1,5,1)=DATE(YEAR(TODAY()),MONTH(TODAY()),1))),1,0))</f>
        <v/>
      </c>
      <c r="U386">
        <f>IF($A386="","",IF(AND($B386&gt;0,H386&lt;$B386,DATE($B$1,6,1)&lt;=TODAY(),OR($O386="",$O386&gt;=DATE($B$1,6,1)),OR(COUNTIF($C386:H386,"&gt;0")&gt;0,DATE($B$1,6,1)=DATE(YEAR(TODAY()),MONTH(TODAY()),1))),1,0))</f>
        <v/>
      </c>
      <c r="V386">
        <f>IF($A386="","",IF(AND($B386&gt;0,I386&lt;$B386,DATE($B$1,7,1)&lt;=TODAY(),OR($O386="",$O386&gt;=DATE($B$1,7,1)),OR(COUNTIF($C386:I386,"&gt;0")&gt;0,DATE($B$1,7,1)=DATE(YEAR(TODAY()),MONTH(TODAY()),1))),1,0))</f>
        <v/>
      </c>
      <c r="W386">
        <f>IF($A386="","",IF(AND($B386&gt;0,J386&lt;$B386,DATE($B$1,8,1)&lt;=TODAY(),OR($O386="",$O386&gt;=DATE($B$1,8,1)),OR(COUNTIF($C386:J386,"&gt;0")&gt;0,DATE($B$1,8,1)=DATE(YEAR(TODAY()),MONTH(TODAY()),1))),1,0))</f>
        <v/>
      </c>
      <c r="X386">
        <f>IF($A386="","",IF(AND($B386&gt;0,K386&lt;$B386,DATE($B$1,9,1)&lt;=TODAY(),OR($O386="",$O386&gt;=DATE($B$1,9,1)),OR(COUNTIF($C386:K386,"&gt;0")&gt;0,DATE($B$1,9,1)=DATE(YEAR(TODAY()),MONTH(TODAY()),1))),1,0))</f>
        <v/>
      </c>
      <c r="Y386">
        <f>IF($A386="","",IF(AND($B386&gt;0,L386&lt;$B386,DATE($B$1,10,1)&lt;=TODAY(),OR($O386="",$O386&gt;=DATE($B$1,10,1)),OR(COUNTIF($C386:L386,"&gt;0")&gt;0,DATE($B$1,10,1)=DATE(YEAR(TODAY()),MONTH(TODAY()),1))),1,0))</f>
        <v/>
      </c>
      <c r="Z386">
        <f>IF($A386="","",IF(AND($B386&gt;0,M386&lt;$B386,DATE($B$1,11,1)&lt;=TODAY(),OR($O386="",$O386&gt;=DATE($B$1,11,1)),OR(COUNTIF($C386:M386,"&gt;0")&gt;0,DATE($B$1,11,1)=DATE(YEAR(TODAY()),MONTH(TODAY()),1))),1,0))</f>
        <v/>
      </c>
      <c r="AA386">
        <f>IF($A386="","",IF(AND($B386&gt;0,N386&lt;$B386,DATE($B$1,12,1)&lt;=TODAY(),OR($O386="",$O386&gt;=DATE($B$1,12,1)),OR(COUNTIF($C386:N386,"&gt;0")&gt;0,DATE($B$1,12,1)=DATE(YEAR(TODAY()),MONTH(TODAY()),1))),1,0))</f>
        <v/>
      </c>
    </row>
    <row r="387">
      <c r="A387" s="13">
        <f>IF(원생!$A385="","",원생!$A385&amp;IF(원생!$G385="",""," ("&amp;원생!$G385&amp;")"))</f>
        <v/>
      </c>
      <c r="B387" s="8">
        <f>IF(원생!$A385="","",N(원생!$F385))</f>
        <v/>
      </c>
      <c r="C387" s="14">
        <f>IF(원생!$A385="","",SUMIFS(계산!$C:$C,계산!$A:$A,계산!$E385,계산!$B:$B,$B$1*100+1))</f>
        <v/>
      </c>
      <c r="D387" s="14">
        <f>IF(원생!$A385="","",SUMIFS(계산!$C:$C,계산!$A:$A,계산!$E385,계산!$B:$B,$B$1*100+2))</f>
        <v/>
      </c>
      <c r="E387" s="14">
        <f>IF(원생!$A385="","",SUMIFS(계산!$C:$C,계산!$A:$A,계산!$E385,계산!$B:$B,$B$1*100+3))</f>
        <v/>
      </c>
      <c r="F387" s="14">
        <f>IF(원생!$A385="","",SUMIFS(계산!$C:$C,계산!$A:$A,계산!$E385,계산!$B:$B,$B$1*100+4))</f>
        <v/>
      </c>
      <c r="G387" s="14">
        <f>IF(원생!$A385="","",SUMIFS(계산!$C:$C,계산!$A:$A,계산!$E385,계산!$B:$B,$B$1*100+5))</f>
        <v/>
      </c>
      <c r="H387" s="14">
        <f>IF(원생!$A385="","",SUMIFS(계산!$C:$C,계산!$A:$A,계산!$E385,계산!$B:$B,$B$1*100+6))</f>
        <v/>
      </c>
      <c r="I387" s="14">
        <f>IF(원생!$A385="","",SUMIFS(계산!$C:$C,계산!$A:$A,계산!$E385,계산!$B:$B,$B$1*100+7))</f>
        <v/>
      </c>
      <c r="J387" s="14">
        <f>IF(원생!$A385="","",SUMIFS(계산!$C:$C,계산!$A:$A,계산!$E385,계산!$B:$B,$B$1*100+8))</f>
        <v/>
      </c>
      <c r="K387" s="14">
        <f>IF(원생!$A385="","",SUMIFS(계산!$C:$C,계산!$A:$A,계산!$E385,계산!$B:$B,$B$1*100+9))</f>
        <v/>
      </c>
      <c r="L387" s="14">
        <f>IF(원생!$A385="","",SUMIFS(계산!$C:$C,계산!$A:$A,계산!$E385,계산!$B:$B,$B$1*100+10))</f>
        <v/>
      </c>
      <c r="M387" s="14">
        <f>IF(원생!$A385="","",SUMIFS(계산!$C:$C,계산!$A:$A,계산!$E385,계산!$B:$B,$B$1*100+11))</f>
        <v/>
      </c>
      <c r="N387" s="14">
        <f>IF(원생!$A385="","",SUMIFS(계산!$C:$C,계산!$A:$A,계산!$E385,계산!$B:$B,$B$1*100+12))</f>
        <v/>
      </c>
      <c r="O387">
        <f>IF(원생!$I385="","",원생!$I385)</f>
        <v/>
      </c>
      <c r="P387">
        <f>IF($A387="","",IF(AND($B387&gt;0,C387&lt;$B387,DATE($B$1,1,1)&lt;=TODAY(),OR($O387="",$O387&gt;=DATE($B$1,1,1)),OR(COUNTIF($C387:C387,"&gt;0")&gt;0,DATE($B$1,1,1)=DATE(YEAR(TODAY()),MONTH(TODAY()),1))),1,0))</f>
        <v/>
      </c>
      <c r="Q387">
        <f>IF($A387="","",IF(AND($B387&gt;0,D387&lt;$B387,DATE($B$1,2,1)&lt;=TODAY(),OR($O387="",$O387&gt;=DATE($B$1,2,1)),OR(COUNTIF($C387:D387,"&gt;0")&gt;0,DATE($B$1,2,1)=DATE(YEAR(TODAY()),MONTH(TODAY()),1))),1,0))</f>
        <v/>
      </c>
      <c r="R387">
        <f>IF($A387="","",IF(AND($B387&gt;0,E387&lt;$B387,DATE($B$1,3,1)&lt;=TODAY(),OR($O387="",$O387&gt;=DATE($B$1,3,1)),OR(COUNTIF($C387:E387,"&gt;0")&gt;0,DATE($B$1,3,1)=DATE(YEAR(TODAY()),MONTH(TODAY()),1))),1,0))</f>
        <v/>
      </c>
      <c r="S387">
        <f>IF($A387="","",IF(AND($B387&gt;0,F387&lt;$B387,DATE($B$1,4,1)&lt;=TODAY(),OR($O387="",$O387&gt;=DATE($B$1,4,1)),OR(COUNTIF($C387:F387,"&gt;0")&gt;0,DATE($B$1,4,1)=DATE(YEAR(TODAY()),MONTH(TODAY()),1))),1,0))</f>
        <v/>
      </c>
      <c r="T387">
        <f>IF($A387="","",IF(AND($B387&gt;0,G387&lt;$B387,DATE($B$1,5,1)&lt;=TODAY(),OR($O387="",$O387&gt;=DATE($B$1,5,1)),OR(COUNTIF($C387:G387,"&gt;0")&gt;0,DATE($B$1,5,1)=DATE(YEAR(TODAY()),MONTH(TODAY()),1))),1,0))</f>
        <v/>
      </c>
      <c r="U387">
        <f>IF($A387="","",IF(AND($B387&gt;0,H387&lt;$B387,DATE($B$1,6,1)&lt;=TODAY(),OR($O387="",$O387&gt;=DATE($B$1,6,1)),OR(COUNTIF($C387:H387,"&gt;0")&gt;0,DATE($B$1,6,1)=DATE(YEAR(TODAY()),MONTH(TODAY()),1))),1,0))</f>
        <v/>
      </c>
      <c r="V387">
        <f>IF($A387="","",IF(AND($B387&gt;0,I387&lt;$B387,DATE($B$1,7,1)&lt;=TODAY(),OR($O387="",$O387&gt;=DATE($B$1,7,1)),OR(COUNTIF($C387:I387,"&gt;0")&gt;0,DATE($B$1,7,1)=DATE(YEAR(TODAY()),MONTH(TODAY()),1))),1,0))</f>
        <v/>
      </c>
      <c r="W387">
        <f>IF($A387="","",IF(AND($B387&gt;0,J387&lt;$B387,DATE($B$1,8,1)&lt;=TODAY(),OR($O387="",$O387&gt;=DATE($B$1,8,1)),OR(COUNTIF($C387:J387,"&gt;0")&gt;0,DATE($B$1,8,1)=DATE(YEAR(TODAY()),MONTH(TODAY()),1))),1,0))</f>
        <v/>
      </c>
      <c r="X387">
        <f>IF($A387="","",IF(AND($B387&gt;0,K387&lt;$B387,DATE($B$1,9,1)&lt;=TODAY(),OR($O387="",$O387&gt;=DATE($B$1,9,1)),OR(COUNTIF($C387:K387,"&gt;0")&gt;0,DATE($B$1,9,1)=DATE(YEAR(TODAY()),MONTH(TODAY()),1))),1,0))</f>
        <v/>
      </c>
      <c r="Y387">
        <f>IF($A387="","",IF(AND($B387&gt;0,L387&lt;$B387,DATE($B$1,10,1)&lt;=TODAY(),OR($O387="",$O387&gt;=DATE($B$1,10,1)),OR(COUNTIF($C387:L387,"&gt;0")&gt;0,DATE($B$1,10,1)=DATE(YEAR(TODAY()),MONTH(TODAY()),1))),1,0))</f>
        <v/>
      </c>
      <c r="Z387">
        <f>IF($A387="","",IF(AND($B387&gt;0,M387&lt;$B387,DATE($B$1,11,1)&lt;=TODAY(),OR($O387="",$O387&gt;=DATE($B$1,11,1)),OR(COUNTIF($C387:M387,"&gt;0")&gt;0,DATE($B$1,11,1)=DATE(YEAR(TODAY()),MONTH(TODAY()),1))),1,0))</f>
        <v/>
      </c>
      <c r="AA387">
        <f>IF($A387="","",IF(AND($B387&gt;0,N387&lt;$B387,DATE($B$1,12,1)&lt;=TODAY(),OR($O387="",$O387&gt;=DATE($B$1,12,1)),OR(COUNTIF($C387:N387,"&gt;0")&gt;0,DATE($B$1,12,1)=DATE(YEAR(TODAY()),MONTH(TODAY()),1))),1,0))</f>
        <v/>
      </c>
    </row>
    <row r="388">
      <c r="A388" s="13">
        <f>IF(원생!$A386="","",원생!$A386&amp;IF(원생!$G386="",""," ("&amp;원생!$G386&amp;")"))</f>
        <v/>
      </c>
      <c r="B388" s="8">
        <f>IF(원생!$A386="","",N(원생!$F386))</f>
        <v/>
      </c>
      <c r="C388" s="14">
        <f>IF(원생!$A386="","",SUMIFS(계산!$C:$C,계산!$A:$A,계산!$E386,계산!$B:$B,$B$1*100+1))</f>
        <v/>
      </c>
      <c r="D388" s="14">
        <f>IF(원생!$A386="","",SUMIFS(계산!$C:$C,계산!$A:$A,계산!$E386,계산!$B:$B,$B$1*100+2))</f>
        <v/>
      </c>
      <c r="E388" s="14">
        <f>IF(원생!$A386="","",SUMIFS(계산!$C:$C,계산!$A:$A,계산!$E386,계산!$B:$B,$B$1*100+3))</f>
        <v/>
      </c>
      <c r="F388" s="14">
        <f>IF(원생!$A386="","",SUMIFS(계산!$C:$C,계산!$A:$A,계산!$E386,계산!$B:$B,$B$1*100+4))</f>
        <v/>
      </c>
      <c r="G388" s="14">
        <f>IF(원생!$A386="","",SUMIFS(계산!$C:$C,계산!$A:$A,계산!$E386,계산!$B:$B,$B$1*100+5))</f>
        <v/>
      </c>
      <c r="H388" s="14">
        <f>IF(원생!$A386="","",SUMIFS(계산!$C:$C,계산!$A:$A,계산!$E386,계산!$B:$B,$B$1*100+6))</f>
        <v/>
      </c>
      <c r="I388" s="14">
        <f>IF(원생!$A386="","",SUMIFS(계산!$C:$C,계산!$A:$A,계산!$E386,계산!$B:$B,$B$1*100+7))</f>
        <v/>
      </c>
      <c r="J388" s="14">
        <f>IF(원생!$A386="","",SUMIFS(계산!$C:$C,계산!$A:$A,계산!$E386,계산!$B:$B,$B$1*100+8))</f>
        <v/>
      </c>
      <c r="K388" s="14">
        <f>IF(원생!$A386="","",SUMIFS(계산!$C:$C,계산!$A:$A,계산!$E386,계산!$B:$B,$B$1*100+9))</f>
        <v/>
      </c>
      <c r="L388" s="14">
        <f>IF(원생!$A386="","",SUMIFS(계산!$C:$C,계산!$A:$A,계산!$E386,계산!$B:$B,$B$1*100+10))</f>
        <v/>
      </c>
      <c r="M388" s="14">
        <f>IF(원생!$A386="","",SUMIFS(계산!$C:$C,계산!$A:$A,계산!$E386,계산!$B:$B,$B$1*100+11))</f>
        <v/>
      </c>
      <c r="N388" s="14">
        <f>IF(원생!$A386="","",SUMIFS(계산!$C:$C,계산!$A:$A,계산!$E386,계산!$B:$B,$B$1*100+12))</f>
        <v/>
      </c>
      <c r="O388">
        <f>IF(원생!$I386="","",원생!$I386)</f>
        <v/>
      </c>
      <c r="P388">
        <f>IF($A388="","",IF(AND($B388&gt;0,C388&lt;$B388,DATE($B$1,1,1)&lt;=TODAY(),OR($O388="",$O388&gt;=DATE($B$1,1,1)),OR(COUNTIF($C388:C388,"&gt;0")&gt;0,DATE($B$1,1,1)=DATE(YEAR(TODAY()),MONTH(TODAY()),1))),1,0))</f>
        <v/>
      </c>
      <c r="Q388">
        <f>IF($A388="","",IF(AND($B388&gt;0,D388&lt;$B388,DATE($B$1,2,1)&lt;=TODAY(),OR($O388="",$O388&gt;=DATE($B$1,2,1)),OR(COUNTIF($C388:D388,"&gt;0")&gt;0,DATE($B$1,2,1)=DATE(YEAR(TODAY()),MONTH(TODAY()),1))),1,0))</f>
        <v/>
      </c>
      <c r="R388">
        <f>IF($A388="","",IF(AND($B388&gt;0,E388&lt;$B388,DATE($B$1,3,1)&lt;=TODAY(),OR($O388="",$O388&gt;=DATE($B$1,3,1)),OR(COUNTIF($C388:E388,"&gt;0")&gt;0,DATE($B$1,3,1)=DATE(YEAR(TODAY()),MONTH(TODAY()),1))),1,0))</f>
        <v/>
      </c>
      <c r="S388">
        <f>IF($A388="","",IF(AND($B388&gt;0,F388&lt;$B388,DATE($B$1,4,1)&lt;=TODAY(),OR($O388="",$O388&gt;=DATE($B$1,4,1)),OR(COUNTIF($C388:F388,"&gt;0")&gt;0,DATE($B$1,4,1)=DATE(YEAR(TODAY()),MONTH(TODAY()),1))),1,0))</f>
        <v/>
      </c>
      <c r="T388">
        <f>IF($A388="","",IF(AND($B388&gt;0,G388&lt;$B388,DATE($B$1,5,1)&lt;=TODAY(),OR($O388="",$O388&gt;=DATE($B$1,5,1)),OR(COUNTIF($C388:G388,"&gt;0")&gt;0,DATE($B$1,5,1)=DATE(YEAR(TODAY()),MONTH(TODAY()),1))),1,0))</f>
        <v/>
      </c>
      <c r="U388">
        <f>IF($A388="","",IF(AND($B388&gt;0,H388&lt;$B388,DATE($B$1,6,1)&lt;=TODAY(),OR($O388="",$O388&gt;=DATE($B$1,6,1)),OR(COUNTIF($C388:H388,"&gt;0")&gt;0,DATE($B$1,6,1)=DATE(YEAR(TODAY()),MONTH(TODAY()),1))),1,0))</f>
        <v/>
      </c>
      <c r="V388">
        <f>IF($A388="","",IF(AND($B388&gt;0,I388&lt;$B388,DATE($B$1,7,1)&lt;=TODAY(),OR($O388="",$O388&gt;=DATE($B$1,7,1)),OR(COUNTIF($C388:I388,"&gt;0")&gt;0,DATE($B$1,7,1)=DATE(YEAR(TODAY()),MONTH(TODAY()),1))),1,0))</f>
        <v/>
      </c>
      <c r="W388">
        <f>IF($A388="","",IF(AND($B388&gt;0,J388&lt;$B388,DATE($B$1,8,1)&lt;=TODAY(),OR($O388="",$O388&gt;=DATE($B$1,8,1)),OR(COUNTIF($C388:J388,"&gt;0")&gt;0,DATE($B$1,8,1)=DATE(YEAR(TODAY()),MONTH(TODAY()),1))),1,0))</f>
        <v/>
      </c>
      <c r="X388">
        <f>IF($A388="","",IF(AND($B388&gt;0,K388&lt;$B388,DATE($B$1,9,1)&lt;=TODAY(),OR($O388="",$O388&gt;=DATE($B$1,9,1)),OR(COUNTIF($C388:K388,"&gt;0")&gt;0,DATE($B$1,9,1)=DATE(YEAR(TODAY()),MONTH(TODAY()),1))),1,0))</f>
        <v/>
      </c>
      <c r="Y388">
        <f>IF($A388="","",IF(AND($B388&gt;0,L388&lt;$B388,DATE($B$1,10,1)&lt;=TODAY(),OR($O388="",$O388&gt;=DATE($B$1,10,1)),OR(COUNTIF($C388:L388,"&gt;0")&gt;0,DATE($B$1,10,1)=DATE(YEAR(TODAY()),MONTH(TODAY()),1))),1,0))</f>
        <v/>
      </c>
      <c r="Z388">
        <f>IF($A388="","",IF(AND($B388&gt;0,M388&lt;$B388,DATE($B$1,11,1)&lt;=TODAY(),OR($O388="",$O388&gt;=DATE($B$1,11,1)),OR(COUNTIF($C388:M388,"&gt;0")&gt;0,DATE($B$1,11,1)=DATE(YEAR(TODAY()),MONTH(TODAY()),1))),1,0))</f>
        <v/>
      </c>
      <c r="AA388">
        <f>IF($A388="","",IF(AND($B388&gt;0,N388&lt;$B388,DATE($B$1,12,1)&lt;=TODAY(),OR($O388="",$O388&gt;=DATE($B$1,12,1)),OR(COUNTIF($C388:N388,"&gt;0")&gt;0,DATE($B$1,12,1)=DATE(YEAR(TODAY()),MONTH(TODAY()),1))),1,0))</f>
        <v/>
      </c>
    </row>
    <row r="389">
      <c r="A389" s="13">
        <f>IF(원생!$A387="","",원생!$A387&amp;IF(원생!$G387="",""," ("&amp;원생!$G387&amp;")"))</f>
        <v/>
      </c>
      <c r="B389" s="8">
        <f>IF(원생!$A387="","",N(원생!$F387))</f>
        <v/>
      </c>
      <c r="C389" s="14">
        <f>IF(원생!$A387="","",SUMIFS(계산!$C:$C,계산!$A:$A,계산!$E387,계산!$B:$B,$B$1*100+1))</f>
        <v/>
      </c>
      <c r="D389" s="14">
        <f>IF(원생!$A387="","",SUMIFS(계산!$C:$C,계산!$A:$A,계산!$E387,계산!$B:$B,$B$1*100+2))</f>
        <v/>
      </c>
      <c r="E389" s="14">
        <f>IF(원생!$A387="","",SUMIFS(계산!$C:$C,계산!$A:$A,계산!$E387,계산!$B:$B,$B$1*100+3))</f>
        <v/>
      </c>
      <c r="F389" s="14">
        <f>IF(원생!$A387="","",SUMIFS(계산!$C:$C,계산!$A:$A,계산!$E387,계산!$B:$B,$B$1*100+4))</f>
        <v/>
      </c>
      <c r="G389" s="14">
        <f>IF(원생!$A387="","",SUMIFS(계산!$C:$C,계산!$A:$A,계산!$E387,계산!$B:$B,$B$1*100+5))</f>
        <v/>
      </c>
      <c r="H389" s="14">
        <f>IF(원생!$A387="","",SUMIFS(계산!$C:$C,계산!$A:$A,계산!$E387,계산!$B:$B,$B$1*100+6))</f>
        <v/>
      </c>
      <c r="I389" s="14">
        <f>IF(원생!$A387="","",SUMIFS(계산!$C:$C,계산!$A:$A,계산!$E387,계산!$B:$B,$B$1*100+7))</f>
        <v/>
      </c>
      <c r="J389" s="14">
        <f>IF(원생!$A387="","",SUMIFS(계산!$C:$C,계산!$A:$A,계산!$E387,계산!$B:$B,$B$1*100+8))</f>
        <v/>
      </c>
      <c r="K389" s="14">
        <f>IF(원생!$A387="","",SUMIFS(계산!$C:$C,계산!$A:$A,계산!$E387,계산!$B:$B,$B$1*100+9))</f>
        <v/>
      </c>
      <c r="L389" s="14">
        <f>IF(원생!$A387="","",SUMIFS(계산!$C:$C,계산!$A:$A,계산!$E387,계산!$B:$B,$B$1*100+10))</f>
        <v/>
      </c>
      <c r="M389" s="14">
        <f>IF(원생!$A387="","",SUMIFS(계산!$C:$C,계산!$A:$A,계산!$E387,계산!$B:$B,$B$1*100+11))</f>
        <v/>
      </c>
      <c r="N389" s="14">
        <f>IF(원생!$A387="","",SUMIFS(계산!$C:$C,계산!$A:$A,계산!$E387,계산!$B:$B,$B$1*100+12))</f>
        <v/>
      </c>
      <c r="O389">
        <f>IF(원생!$I387="","",원생!$I387)</f>
        <v/>
      </c>
      <c r="P389">
        <f>IF($A389="","",IF(AND($B389&gt;0,C389&lt;$B389,DATE($B$1,1,1)&lt;=TODAY(),OR($O389="",$O389&gt;=DATE($B$1,1,1)),OR(COUNTIF($C389:C389,"&gt;0")&gt;0,DATE($B$1,1,1)=DATE(YEAR(TODAY()),MONTH(TODAY()),1))),1,0))</f>
        <v/>
      </c>
      <c r="Q389">
        <f>IF($A389="","",IF(AND($B389&gt;0,D389&lt;$B389,DATE($B$1,2,1)&lt;=TODAY(),OR($O389="",$O389&gt;=DATE($B$1,2,1)),OR(COUNTIF($C389:D389,"&gt;0")&gt;0,DATE($B$1,2,1)=DATE(YEAR(TODAY()),MONTH(TODAY()),1))),1,0))</f>
        <v/>
      </c>
      <c r="R389">
        <f>IF($A389="","",IF(AND($B389&gt;0,E389&lt;$B389,DATE($B$1,3,1)&lt;=TODAY(),OR($O389="",$O389&gt;=DATE($B$1,3,1)),OR(COUNTIF($C389:E389,"&gt;0")&gt;0,DATE($B$1,3,1)=DATE(YEAR(TODAY()),MONTH(TODAY()),1))),1,0))</f>
        <v/>
      </c>
      <c r="S389">
        <f>IF($A389="","",IF(AND($B389&gt;0,F389&lt;$B389,DATE($B$1,4,1)&lt;=TODAY(),OR($O389="",$O389&gt;=DATE($B$1,4,1)),OR(COUNTIF($C389:F389,"&gt;0")&gt;0,DATE($B$1,4,1)=DATE(YEAR(TODAY()),MONTH(TODAY()),1))),1,0))</f>
        <v/>
      </c>
      <c r="T389">
        <f>IF($A389="","",IF(AND($B389&gt;0,G389&lt;$B389,DATE($B$1,5,1)&lt;=TODAY(),OR($O389="",$O389&gt;=DATE($B$1,5,1)),OR(COUNTIF($C389:G389,"&gt;0")&gt;0,DATE($B$1,5,1)=DATE(YEAR(TODAY()),MONTH(TODAY()),1))),1,0))</f>
        <v/>
      </c>
      <c r="U389">
        <f>IF($A389="","",IF(AND($B389&gt;0,H389&lt;$B389,DATE($B$1,6,1)&lt;=TODAY(),OR($O389="",$O389&gt;=DATE($B$1,6,1)),OR(COUNTIF($C389:H389,"&gt;0")&gt;0,DATE($B$1,6,1)=DATE(YEAR(TODAY()),MONTH(TODAY()),1))),1,0))</f>
        <v/>
      </c>
      <c r="V389">
        <f>IF($A389="","",IF(AND($B389&gt;0,I389&lt;$B389,DATE($B$1,7,1)&lt;=TODAY(),OR($O389="",$O389&gt;=DATE($B$1,7,1)),OR(COUNTIF($C389:I389,"&gt;0")&gt;0,DATE($B$1,7,1)=DATE(YEAR(TODAY()),MONTH(TODAY()),1))),1,0))</f>
        <v/>
      </c>
      <c r="W389">
        <f>IF($A389="","",IF(AND($B389&gt;0,J389&lt;$B389,DATE($B$1,8,1)&lt;=TODAY(),OR($O389="",$O389&gt;=DATE($B$1,8,1)),OR(COUNTIF($C389:J389,"&gt;0")&gt;0,DATE($B$1,8,1)=DATE(YEAR(TODAY()),MONTH(TODAY()),1))),1,0))</f>
        <v/>
      </c>
      <c r="X389">
        <f>IF($A389="","",IF(AND($B389&gt;0,K389&lt;$B389,DATE($B$1,9,1)&lt;=TODAY(),OR($O389="",$O389&gt;=DATE($B$1,9,1)),OR(COUNTIF($C389:K389,"&gt;0")&gt;0,DATE($B$1,9,1)=DATE(YEAR(TODAY()),MONTH(TODAY()),1))),1,0))</f>
        <v/>
      </c>
      <c r="Y389">
        <f>IF($A389="","",IF(AND($B389&gt;0,L389&lt;$B389,DATE($B$1,10,1)&lt;=TODAY(),OR($O389="",$O389&gt;=DATE($B$1,10,1)),OR(COUNTIF($C389:L389,"&gt;0")&gt;0,DATE($B$1,10,1)=DATE(YEAR(TODAY()),MONTH(TODAY()),1))),1,0))</f>
        <v/>
      </c>
      <c r="Z389">
        <f>IF($A389="","",IF(AND($B389&gt;0,M389&lt;$B389,DATE($B$1,11,1)&lt;=TODAY(),OR($O389="",$O389&gt;=DATE($B$1,11,1)),OR(COUNTIF($C389:M389,"&gt;0")&gt;0,DATE($B$1,11,1)=DATE(YEAR(TODAY()),MONTH(TODAY()),1))),1,0))</f>
        <v/>
      </c>
      <c r="AA389">
        <f>IF($A389="","",IF(AND($B389&gt;0,N389&lt;$B389,DATE($B$1,12,1)&lt;=TODAY(),OR($O389="",$O389&gt;=DATE($B$1,12,1)),OR(COUNTIF($C389:N389,"&gt;0")&gt;0,DATE($B$1,12,1)=DATE(YEAR(TODAY()),MONTH(TODAY()),1))),1,0))</f>
        <v/>
      </c>
    </row>
    <row r="390">
      <c r="A390" s="13">
        <f>IF(원생!$A388="","",원생!$A388&amp;IF(원생!$G388="",""," ("&amp;원생!$G388&amp;")"))</f>
        <v/>
      </c>
      <c r="B390" s="8">
        <f>IF(원생!$A388="","",N(원생!$F388))</f>
        <v/>
      </c>
      <c r="C390" s="14">
        <f>IF(원생!$A388="","",SUMIFS(계산!$C:$C,계산!$A:$A,계산!$E388,계산!$B:$B,$B$1*100+1))</f>
        <v/>
      </c>
      <c r="D390" s="14">
        <f>IF(원생!$A388="","",SUMIFS(계산!$C:$C,계산!$A:$A,계산!$E388,계산!$B:$B,$B$1*100+2))</f>
        <v/>
      </c>
      <c r="E390" s="14">
        <f>IF(원생!$A388="","",SUMIFS(계산!$C:$C,계산!$A:$A,계산!$E388,계산!$B:$B,$B$1*100+3))</f>
        <v/>
      </c>
      <c r="F390" s="14">
        <f>IF(원생!$A388="","",SUMIFS(계산!$C:$C,계산!$A:$A,계산!$E388,계산!$B:$B,$B$1*100+4))</f>
        <v/>
      </c>
      <c r="G390" s="14">
        <f>IF(원생!$A388="","",SUMIFS(계산!$C:$C,계산!$A:$A,계산!$E388,계산!$B:$B,$B$1*100+5))</f>
        <v/>
      </c>
      <c r="H390" s="14">
        <f>IF(원생!$A388="","",SUMIFS(계산!$C:$C,계산!$A:$A,계산!$E388,계산!$B:$B,$B$1*100+6))</f>
        <v/>
      </c>
      <c r="I390" s="14">
        <f>IF(원생!$A388="","",SUMIFS(계산!$C:$C,계산!$A:$A,계산!$E388,계산!$B:$B,$B$1*100+7))</f>
        <v/>
      </c>
      <c r="J390" s="14">
        <f>IF(원생!$A388="","",SUMIFS(계산!$C:$C,계산!$A:$A,계산!$E388,계산!$B:$B,$B$1*100+8))</f>
        <v/>
      </c>
      <c r="K390" s="14">
        <f>IF(원생!$A388="","",SUMIFS(계산!$C:$C,계산!$A:$A,계산!$E388,계산!$B:$B,$B$1*100+9))</f>
        <v/>
      </c>
      <c r="L390" s="14">
        <f>IF(원생!$A388="","",SUMIFS(계산!$C:$C,계산!$A:$A,계산!$E388,계산!$B:$B,$B$1*100+10))</f>
        <v/>
      </c>
      <c r="M390" s="14">
        <f>IF(원생!$A388="","",SUMIFS(계산!$C:$C,계산!$A:$A,계산!$E388,계산!$B:$B,$B$1*100+11))</f>
        <v/>
      </c>
      <c r="N390" s="14">
        <f>IF(원생!$A388="","",SUMIFS(계산!$C:$C,계산!$A:$A,계산!$E388,계산!$B:$B,$B$1*100+12))</f>
        <v/>
      </c>
      <c r="O390">
        <f>IF(원생!$I388="","",원생!$I388)</f>
        <v/>
      </c>
      <c r="P390">
        <f>IF($A390="","",IF(AND($B390&gt;0,C390&lt;$B390,DATE($B$1,1,1)&lt;=TODAY(),OR($O390="",$O390&gt;=DATE($B$1,1,1)),OR(COUNTIF($C390:C390,"&gt;0")&gt;0,DATE($B$1,1,1)=DATE(YEAR(TODAY()),MONTH(TODAY()),1))),1,0))</f>
        <v/>
      </c>
      <c r="Q390">
        <f>IF($A390="","",IF(AND($B390&gt;0,D390&lt;$B390,DATE($B$1,2,1)&lt;=TODAY(),OR($O390="",$O390&gt;=DATE($B$1,2,1)),OR(COUNTIF($C390:D390,"&gt;0")&gt;0,DATE($B$1,2,1)=DATE(YEAR(TODAY()),MONTH(TODAY()),1))),1,0))</f>
        <v/>
      </c>
      <c r="R390">
        <f>IF($A390="","",IF(AND($B390&gt;0,E390&lt;$B390,DATE($B$1,3,1)&lt;=TODAY(),OR($O390="",$O390&gt;=DATE($B$1,3,1)),OR(COUNTIF($C390:E390,"&gt;0")&gt;0,DATE($B$1,3,1)=DATE(YEAR(TODAY()),MONTH(TODAY()),1))),1,0))</f>
        <v/>
      </c>
      <c r="S390">
        <f>IF($A390="","",IF(AND($B390&gt;0,F390&lt;$B390,DATE($B$1,4,1)&lt;=TODAY(),OR($O390="",$O390&gt;=DATE($B$1,4,1)),OR(COUNTIF($C390:F390,"&gt;0")&gt;0,DATE($B$1,4,1)=DATE(YEAR(TODAY()),MONTH(TODAY()),1))),1,0))</f>
        <v/>
      </c>
      <c r="T390">
        <f>IF($A390="","",IF(AND($B390&gt;0,G390&lt;$B390,DATE($B$1,5,1)&lt;=TODAY(),OR($O390="",$O390&gt;=DATE($B$1,5,1)),OR(COUNTIF($C390:G390,"&gt;0")&gt;0,DATE($B$1,5,1)=DATE(YEAR(TODAY()),MONTH(TODAY()),1))),1,0))</f>
        <v/>
      </c>
      <c r="U390">
        <f>IF($A390="","",IF(AND($B390&gt;0,H390&lt;$B390,DATE($B$1,6,1)&lt;=TODAY(),OR($O390="",$O390&gt;=DATE($B$1,6,1)),OR(COUNTIF($C390:H390,"&gt;0")&gt;0,DATE($B$1,6,1)=DATE(YEAR(TODAY()),MONTH(TODAY()),1))),1,0))</f>
        <v/>
      </c>
      <c r="V390">
        <f>IF($A390="","",IF(AND($B390&gt;0,I390&lt;$B390,DATE($B$1,7,1)&lt;=TODAY(),OR($O390="",$O390&gt;=DATE($B$1,7,1)),OR(COUNTIF($C390:I390,"&gt;0")&gt;0,DATE($B$1,7,1)=DATE(YEAR(TODAY()),MONTH(TODAY()),1))),1,0))</f>
        <v/>
      </c>
      <c r="W390">
        <f>IF($A390="","",IF(AND($B390&gt;0,J390&lt;$B390,DATE($B$1,8,1)&lt;=TODAY(),OR($O390="",$O390&gt;=DATE($B$1,8,1)),OR(COUNTIF($C390:J390,"&gt;0")&gt;0,DATE($B$1,8,1)=DATE(YEAR(TODAY()),MONTH(TODAY()),1))),1,0))</f>
        <v/>
      </c>
      <c r="X390">
        <f>IF($A390="","",IF(AND($B390&gt;0,K390&lt;$B390,DATE($B$1,9,1)&lt;=TODAY(),OR($O390="",$O390&gt;=DATE($B$1,9,1)),OR(COUNTIF($C390:K390,"&gt;0")&gt;0,DATE($B$1,9,1)=DATE(YEAR(TODAY()),MONTH(TODAY()),1))),1,0))</f>
        <v/>
      </c>
      <c r="Y390">
        <f>IF($A390="","",IF(AND($B390&gt;0,L390&lt;$B390,DATE($B$1,10,1)&lt;=TODAY(),OR($O390="",$O390&gt;=DATE($B$1,10,1)),OR(COUNTIF($C390:L390,"&gt;0")&gt;0,DATE($B$1,10,1)=DATE(YEAR(TODAY()),MONTH(TODAY()),1))),1,0))</f>
        <v/>
      </c>
      <c r="Z390">
        <f>IF($A390="","",IF(AND($B390&gt;0,M390&lt;$B390,DATE($B$1,11,1)&lt;=TODAY(),OR($O390="",$O390&gt;=DATE($B$1,11,1)),OR(COUNTIF($C390:M390,"&gt;0")&gt;0,DATE($B$1,11,1)=DATE(YEAR(TODAY()),MONTH(TODAY()),1))),1,0))</f>
        <v/>
      </c>
      <c r="AA390">
        <f>IF($A390="","",IF(AND($B390&gt;0,N390&lt;$B390,DATE($B$1,12,1)&lt;=TODAY(),OR($O390="",$O390&gt;=DATE($B$1,12,1)),OR(COUNTIF($C390:N390,"&gt;0")&gt;0,DATE($B$1,12,1)=DATE(YEAR(TODAY()),MONTH(TODAY()),1))),1,0))</f>
        <v/>
      </c>
    </row>
    <row r="391">
      <c r="A391" s="13">
        <f>IF(원생!$A389="","",원생!$A389&amp;IF(원생!$G389="",""," ("&amp;원생!$G389&amp;")"))</f>
        <v/>
      </c>
      <c r="B391" s="8">
        <f>IF(원생!$A389="","",N(원생!$F389))</f>
        <v/>
      </c>
      <c r="C391" s="14">
        <f>IF(원생!$A389="","",SUMIFS(계산!$C:$C,계산!$A:$A,계산!$E389,계산!$B:$B,$B$1*100+1))</f>
        <v/>
      </c>
      <c r="D391" s="14">
        <f>IF(원생!$A389="","",SUMIFS(계산!$C:$C,계산!$A:$A,계산!$E389,계산!$B:$B,$B$1*100+2))</f>
        <v/>
      </c>
      <c r="E391" s="14">
        <f>IF(원생!$A389="","",SUMIFS(계산!$C:$C,계산!$A:$A,계산!$E389,계산!$B:$B,$B$1*100+3))</f>
        <v/>
      </c>
      <c r="F391" s="14">
        <f>IF(원생!$A389="","",SUMIFS(계산!$C:$C,계산!$A:$A,계산!$E389,계산!$B:$B,$B$1*100+4))</f>
        <v/>
      </c>
      <c r="G391" s="14">
        <f>IF(원생!$A389="","",SUMIFS(계산!$C:$C,계산!$A:$A,계산!$E389,계산!$B:$B,$B$1*100+5))</f>
        <v/>
      </c>
      <c r="H391" s="14">
        <f>IF(원생!$A389="","",SUMIFS(계산!$C:$C,계산!$A:$A,계산!$E389,계산!$B:$B,$B$1*100+6))</f>
        <v/>
      </c>
      <c r="I391" s="14">
        <f>IF(원생!$A389="","",SUMIFS(계산!$C:$C,계산!$A:$A,계산!$E389,계산!$B:$B,$B$1*100+7))</f>
        <v/>
      </c>
      <c r="J391" s="14">
        <f>IF(원생!$A389="","",SUMIFS(계산!$C:$C,계산!$A:$A,계산!$E389,계산!$B:$B,$B$1*100+8))</f>
        <v/>
      </c>
      <c r="K391" s="14">
        <f>IF(원생!$A389="","",SUMIFS(계산!$C:$C,계산!$A:$A,계산!$E389,계산!$B:$B,$B$1*100+9))</f>
        <v/>
      </c>
      <c r="L391" s="14">
        <f>IF(원생!$A389="","",SUMIFS(계산!$C:$C,계산!$A:$A,계산!$E389,계산!$B:$B,$B$1*100+10))</f>
        <v/>
      </c>
      <c r="M391" s="14">
        <f>IF(원생!$A389="","",SUMIFS(계산!$C:$C,계산!$A:$A,계산!$E389,계산!$B:$B,$B$1*100+11))</f>
        <v/>
      </c>
      <c r="N391" s="14">
        <f>IF(원생!$A389="","",SUMIFS(계산!$C:$C,계산!$A:$A,계산!$E389,계산!$B:$B,$B$1*100+12))</f>
        <v/>
      </c>
      <c r="O391">
        <f>IF(원생!$I389="","",원생!$I389)</f>
        <v/>
      </c>
      <c r="P391">
        <f>IF($A391="","",IF(AND($B391&gt;0,C391&lt;$B391,DATE($B$1,1,1)&lt;=TODAY(),OR($O391="",$O391&gt;=DATE($B$1,1,1)),OR(COUNTIF($C391:C391,"&gt;0")&gt;0,DATE($B$1,1,1)=DATE(YEAR(TODAY()),MONTH(TODAY()),1))),1,0))</f>
        <v/>
      </c>
      <c r="Q391">
        <f>IF($A391="","",IF(AND($B391&gt;0,D391&lt;$B391,DATE($B$1,2,1)&lt;=TODAY(),OR($O391="",$O391&gt;=DATE($B$1,2,1)),OR(COUNTIF($C391:D391,"&gt;0")&gt;0,DATE($B$1,2,1)=DATE(YEAR(TODAY()),MONTH(TODAY()),1))),1,0))</f>
        <v/>
      </c>
      <c r="R391">
        <f>IF($A391="","",IF(AND($B391&gt;0,E391&lt;$B391,DATE($B$1,3,1)&lt;=TODAY(),OR($O391="",$O391&gt;=DATE($B$1,3,1)),OR(COUNTIF($C391:E391,"&gt;0")&gt;0,DATE($B$1,3,1)=DATE(YEAR(TODAY()),MONTH(TODAY()),1))),1,0))</f>
        <v/>
      </c>
      <c r="S391">
        <f>IF($A391="","",IF(AND($B391&gt;0,F391&lt;$B391,DATE($B$1,4,1)&lt;=TODAY(),OR($O391="",$O391&gt;=DATE($B$1,4,1)),OR(COUNTIF($C391:F391,"&gt;0")&gt;0,DATE($B$1,4,1)=DATE(YEAR(TODAY()),MONTH(TODAY()),1))),1,0))</f>
        <v/>
      </c>
      <c r="T391">
        <f>IF($A391="","",IF(AND($B391&gt;0,G391&lt;$B391,DATE($B$1,5,1)&lt;=TODAY(),OR($O391="",$O391&gt;=DATE($B$1,5,1)),OR(COUNTIF($C391:G391,"&gt;0")&gt;0,DATE($B$1,5,1)=DATE(YEAR(TODAY()),MONTH(TODAY()),1))),1,0))</f>
        <v/>
      </c>
      <c r="U391">
        <f>IF($A391="","",IF(AND($B391&gt;0,H391&lt;$B391,DATE($B$1,6,1)&lt;=TODAY(),OR($O391="",$O391&gt;=DATE($B$1,6,1)),OR(COUNTIF($C391:H391,"&gt;0")&gt;0,DATE($B$1,6,1)=DATE(YEAR(TODAY()),MONTH(TODAY()),1))),1,0))</f>
        <v/>
      </c>
      <c r="V391">
        <f>IF($A391="","",IF(AND($B391&gt;0,I391&lt;$B391,DATE($B$1,7,1)&lt;=TODAY(),OR($O391="",$O391&gt;=DATE($B$1,7,1)),OR(COUNTIF($C391:I391,"&gt;0")&gt;0,DATE($B$1,7,1)=DATE(YEAR(TODAY()),MONTH(TODAY()),1))),1,0))</f>
        <v/>
      </c>
      <c r="W391">
        <f>IF($A391="","",IF(AND($B391&gt;0,J391&lt;$B391,DATE($B$1,8,1)&lt;=TODAY(),OR($O391="",$O391&gt;=DATE($B$1,8,1)),OR(COUNTIF($C391:J391,"&gt;0")&gt;0,DATE($B$1,8,1)=DATE(YEAR(TODAY()),MONTH(TODAY()),1))),1,0))</f>
        <v/>
      </c>
      <c r="X391">
        <f>IF($A391="","",IF(AND($B391&gt;0,K391&lt;$B391,DATE($B$1,9,1)&lt;=TODAY(),OR($O391="",$O391&gt;=DATE($B$1,9,1)),OR(COUNTIF($C391:K391,"&gt;0")&gt;0,DATE($B$1,9,1)=DATE(YEAR(TODAY()),MONTH(TODAY()),1))),1,0))</f>
        <v/>
      </c>
      <c r="Y391">
        <f>IF($A391="","",IF(AND($B391&gt;0,L391&lt;$B391,DATE($B$1,10,1)&lt;=TODAY(),OR($O391="",$O391&gt;=DATE($B$1,10,1)),OR(COUNTIF($C391:L391,"&gt;0")&gt;0,DATE($B$1,10,1)=DATE(YEAR(TODAY()),MONTH(TODAY()),1))),1,0))</f>
        <v/>
      </c>
      <c r="Z391">
        <f>IF($A391="","",IF(AND($B391&gt;0,M391&lt;$B391,DATE($B$1,11,1)&lt;=TODAY(),OR($O391="",$O391&gt;=DATE($B$1,11,1)),OR(COUNTIF($C391:M391,"&gt;0")&gt;0,DATE($B$1,11,1)=DATE(YEAR(TODAY()),MONTH(TODAY()),1))),1,0))</f>
        <v/>
      </c>
      <c r="AA391">
        <f>IF($A391="","",IF(AND($B391&gt;0,N391&lt;$B391,DATE($B$1,12,1)&lt;=TODAY(),OR($O391="",$O391&gt;=DATE($B$1,12,1)),OR(COUNTIF($C391:N391,"&gt;0")&gt;0,DATE($B$1,12,1)=DATE(YEAR(TODAY()),MONTH(TODAY()),1))),1,0))</f>
        <v/>
      </c>
    </row>
    <row r="392">
      <c r="A392" s="13">
        <f>IF(원생!$A390="","",원생!$A390&amp;IF(원생!$G390="",""," ("&amp;원생!$G390&amp;")"))</f>
        <v/>
      </c>
      <c r="B392" s="8">
        <f>IF(원생!$A390="","",N(원생!$F390))</f>
        <v/>
      </c>
      <c r="C392" s="14">
        <f>IF(원생!$A390="","",SUMIFS(계산!$C:$C,계산!$A:$A,계산!$E390,계산!$B:$B,$B$1*100+1))</f>
        <v/>
      </c>
      <c r="D392" s="14">
        <f>IF(원생!$A390="","",SUMIFS(계산!$C:$C,계산!$A:$A,계산!$E390,계산!$B:$B,$B$1*100+2))</f>
        <v/>
      </c>
      <c r="E392" s="14">
        <f>IF(원생!$A390="","",SUMIFS(계산!$C:$C,계산!$A:$A,계산!$E390,계산!$B:$B,$B$1*100+3))</f>
        <v/>
      </c>
      <c r="F392" s="14">
        <f>IF(원생!$A390="","",SUMIFS(계산!$C:$C,계산!$A:$A,계산!$E390,계산!$B:$B,$B$1*100+4))</f>
        <v/>
      </c>
      <c r="G392" s="14">
        <f>IF(원생!$A390="","",SUMIFS(계산!$C:$C,계산!$A:$A,계산!$E390,계산!$B:$B,$B$1*100+5))</f>
        <v/>
      </c>
      <c r="H392" s="14">
        <f>IF(원생!$A390="","",SUMIFS(계산!$C:$C,계산!$A:$A,계산!$E390,계산!$B:$B,$B$1*100+6))</f>
        <v/>
      </c>
      <c r="I392" s="14">
        <f>IF(원생!$A390="","",SUMIFS(계산!$C:$C,계산!$A:$A,계산!$E390,계산!$B:$B,$B$1*100+7))</f>
        <v/>
      </c>
      <c r="J392" s="14">
        <f>IF(원생!$A390="","",SUMIFS(계산!$C:$C,계산!$A:$A,계산!$E390,계산!$B:$B,$B$1*100+8))</f>
        <v/>
      </c>
      <c r="K392" s="14">
        <f>IF(원생!$A390="","",SUMIFS(계산!$C:$C,계산!$A:$A,계산!$E390,계산!$B:$B,$B$1*100+9))</f>
        <v/>
      </c>
      <c r="L392" s="14">
        <f>IF(원생!$A390="","",SUMIFS(계산!$C:$C,계산!$A:$A,계산!$E390,계산!$B:$B,$B$1*100+10))</f>
        <v/>
      </c>
      <c r="M392" s="14">
        <f>IF(원생!$A390="","",SUMIFS(계산!$C:$C,계산!$A:$A,계산!$E390,계산!$B:$B,$B$1*100+11))</f>
        <v/>
      </c>
      <c r="N392" s="14">
        <f>IF(원생!$A390="","",SUMIFS(계산!$C:$C,계산!$A:$A,계산!$E390,계산!$B:$B,$B$1*100+12))</f>
        <v/>
      </c>
      <c r="O392">
        <f>IF(원생!$I390="","",원생!$I390)</f>
        <v/>
      </c>
      <c r="P392">
        <f>IF($A392="","",IF(AND($B392&gt;0,C392&lt;$B392,DATE($B$1,1,1)&lt;=TODAY(),OR($O392="",$O392&gt;=DATE($B$1,1,1)),OR(COUNTIF($C392:C392,"&gt;0")&gt;0,DATE($B$1,1,1)=DATE(YEAR(TODAY()),MONTH(TODAY()),1))),1,0))</f>
        <v/>
      </c>
      <c r="Q392">
        <f>IF($A392="","",IF(AND($B392&gt;0,D392&lt;$B392,DATE($B$1,2,1)&lt;=TODAY(),OR($O392="",$O392&gt;=DATE($B$1,2,1)),OR(COUNTIF($C392:D392,"&gt;0")&gt;0,DATE($B$1,2,1)=DATE(YEAR(TODAY()),MONTH(TODAY()),1))),1,0))</f>
        <v/>
      </c>
      <c r="R392">
        <f>IF($A392="","",IF(AND($B392&gt;0,E392&lt;$B392,DATE($B$1,3,1)&lt;=TODAY(),OR($O392="",$O392&gt;=DATE($B$1,3,1)),OR(COUNTIF($C392:E392,"&gt;0")&gt;0,DATE($B$1,3,1)=DATE(YEAR(TODAY()),MONTH(TODAY()),1))),1,0))</f>
        <v/>
      </c>
      <c r="S392">
        <f>IF($A392="","",IF(AND($B392&gt;0,F392&lt;$B392,DATE($B$1,4,1)&lt;=TODAY(),OR($O392="",$O392&gt;=DATE($B$1,4,1)),OR(COUNTIF($C392:F392,"&gt;0")&gt;0,DATE($B$1,4,1)=DATE(YEAR(TODAY()),MONTH(TODAY()),1))),1,0))</f>
        <v/>
      </c>
      <c r="T392">
        <f>IF($A392="","",IF(AND($B392&gt;0,G392&lt;$B392,DATE($B$1,5,1)&lt;=TODAY(),OR($O392="",$O392&gt;=DATE($B$1,5,1)),OR(COUNTIF($C392:G392,"&gt;0")&gt;0,DATE($B$1,5,1)=DATE(YEAR(TODAY()),MONTH(TODAY()),1))),1,0))</f>
        <v/>
      </c>
      <c r="U392">
        <f>IF($A392="","",IF(AND($B392&gt;0,H392&lt;$B392,DATE($B$1,6,1)&lt;=TODAY(),OR($O392="",$O392&gt;=DATE($B$1,6,1)),OR(COUNTIF($C392:H392,"&gt;0")&gt;0,DATE($B$1,6,1)=DATE(YEAR(TODAY()),MONTH(TODAY()),1))),1,0))</f>
        <v/>
      </c>
      <c r="V392">
        <f>IF($A392="","",IF(AND($B392&gt;0,I392&lt;$B392,DATE($B$1,7,1)&lt;=TODAY(),OR($O392="",$O392&gt;=DATE($B$1,7,1)),OR(COUNTIF($C392:I392,"&gt;0")&gt;0,DATE($B$1,7,1)=DATE(YEAR(TODAY()),MONTH(TODAY()),1))),1,0))</f>
        <v/>
      </c>
      <c r="W392">
        <f>IF($A392="","",IF(AND($B392&gt;0,J392&lt;$B392,DATE($B$1,8,1)&lt;=TODAY(),OR($O392="",$O392&gt;=DATE($B$1,8,1)),OR(COUNTIF($C392:J392,"&gt;0")&gt;0,DATE($B$1,8,1)=DATE(YEAR(TODAY()),MONTH(TODAY()),1))),1,0))</f>
        <v/>
      </c>
      <c r="X392">
        <f>IF($A392="","",IF(AND($B392&gt;0,K392&lt;$B392,DATE($B$1,9,1)&lt;=TODAY(),OR($O392="",$O392&gt;=DATE($B$1,9,1)),OR(COUNTIF($C392:K392,"&gt;0")&gt;0,DATE($B$1,9,1)=DATE(YEAR(TODAY()),MONTH(TODAY()),1))),1,0))</f>
        <v/>
      </c>
      <c r="Y392">
        <f>IF($A392="","",IF(AND($B392&gt;0,L392&lt;$B392,DATE($B$1,10,1)&lt;=TODAY(),OR($O392="",$O392&gt;=DATE($B$1,10,1)),OR(COUNTIF($C392:L392,"&gt;0")&gt;0,DATE($B$1,10,1)=DATE(YEAR(TODAY()),MONTH(TODAY()),1))),1,0))</f>
        <v/>
      </c>
      <c r="Z392">
        <f>IF($A392="","",IF(AND($B392&gt;0,M392&lt;$B392,DATE($B$1,11,1)&lt;=TODAY(),OR($O392="",$O392&gt;=DATE($B$1,11,1)),OR(COUNTIF($C392:M392,"&gt;0")&gt;0,DATE($B$1,11,1)=DATE(YEAR(TODAY()),MONTH(TODAY()),1))),1,0))</f>
        <v/>
      </c>
      <c r="AA392">
        <f>IF($A392="","",IF(AND($B392&gt;0,N392&lt;$B392,DATE($B$1,12,1)&lt;=TODAY(),OR($O392="",$O392&gt;=DATE($B$1,12,1)),OR(COUNTIF($C392:N392,"&gt;0")&gt;0,DATE($B$1,12,1)=DATE(YEAR(TODAY()),MONTH(TODAY()),1))),1,0))</f>
        <v/>
      </c>
    </row>
    <row r="393">
      <c r="A393" s="13">
        <f>IF(원생!$A391="","",원생!$A391&amp;IF(원생!$G391="",""," ("&amp;원생!$G391&amp;")"))</f>
        <v/>
      </c>
      <c r="B393" s="8">
        <f>IF(원생!$A391="","",N(원생!$F391))</f>
        <v/>
      </c>
      <c r="C393" s="14">
        <f>IF(원생!$A391="","",SUMIFS(계산!$C:$C,계산!$A:$A,계산!$E391,계산!$B:$B,$B$1*100+1))</f>
        <v/>
      </c>
      <c r="D393" s="14">
        <f>IF(원생!$A391="","",SUMIFS(계산!$C:$C,계산!$A:$A,계산!$E391,계산!$B:$B,$B$1*100+2))</f>
        <v/>
      </c>
      <c r="E393" s="14">
        <f>IF(원생!$A391="","",SUMIFS(계산!$C:$C,계산!$A:$A,계산!$E391,계산!$B:$B,$B$1*100+3))</f>
        <v/>
      </c>
      <c r="F393" s="14">
        <f>IF(원생!$A391="","",SUMIFS(계산!$C:$C,계산!$A:$A,계산!$E391,계산!$B:$B,$B$1*100+4))</f>
        <v/>
      </c>
      <c r="G393" s="14">
        <f>IF(원생!$A391="","",SUMIFS(계산!$C:$C,계산!$A:$A,계산!$E391,계산!$B:$B,$B$1*100+5))</f>
        <v/>
      </c>
      <c r="H393" s="14">
        <f>IF(원생!$A391="","",SUMIFS(계산!$C:$C,계산!$A:$A,계산!$E391,계산!$B:$B,$B$1*100+6))</f>
        <v/>
      </c>
      <c r="I393" s="14">
        <f>IF(원생!$A391="","",SUMIFS(계산!$C:$C,계산!$A:$A,계산!$E391,계산!$B:$B,$B$1*100+7))</f>
        <v/>
      </c>
      <c r="J393" s="14">
        <f>IF(원생!$A391="","",SUMIFS(계산!$C:$C,계산!$A:$A,계산!$E391,계산!$B:$B,$B$1*100+8))</f>
        <v/>
      </c>
      <c r="K393" s="14">
        <f>IF(원생!$A391="","",SUMIFS(계산!$C:$C,계산!$A:$A,계산!$E391,계산!$B:$B,$B$1*100+9))</f>
        <v/>
      </c>
      <c r="L393" s="14">
        <f>IF(원생!$A391="","",SUMIFS(계산!$C:$C,계산!$A:$A,계산!$E391,계산!$B:$B,$B$1*100+10))</f>
        <v/>
      </c>
      <c r="M393" s="14">
        <f>IF(원생!$A391="","",SUMIFS(계산!$C:$C,계산!$A:$A,계산!$E391,계산!$B:$B,$B$1*100+11))</f>
        <v/>
      </c>
      <c r="N393" s="14">
        <f>IF(원생!$A391="","",SUMIFS(계산!$C:$C,계산!$A:$A,계산!$E391,계산!$B:$B,$B$1*100+12))</f>
        <v/>
      </c>
      <c r="O393">
        <f>IF(원생!$I391="","",원생!$I391)</f>
        <v/>
      </c>
      <c r="P393">
        <f>IF($A393="","",IF(AND($B393&gt;0,C393&lt;$B393,DATE($B$1,1,1)&lt;=TODAY(),OR($O393="",$O393&gt;=DATE($B$1,1,1)),OR(COUNTIF($C393:C393,"&gt;0")&gt;0,DATE($B$1,1,1)=DATE(YEAR(TODAY()),MONTH(TODAY()),1))),1,0))</f>
        <v/>
      </c>
      <c r="Q393">
        <f>IF($A393="","",IF(AND($B393&gt;0,D393&lt;$B393,DATE($B$1,2,1)&lt;=TODAY(),OR($O393="",$O393&gt;=DATE($B$1,2,1)),OR(COUNTIF($C393:D393,"&gt;0")&gt;0,DATE($B$1,2,1)=DATE(YEAR(TODAY()),MONTH(TODAY()),1))),1,0))</f>
        <v/>
      </c>
      <c r="R393">
        <f>IF($A393="","",IF(AND($B393&gt;0,E393&lt;$B393,DATE($B$1,3,1)&lt;=TODAY(),OR($O393="",$O393&gt;=DATE($B$1,3,1)),OR(COUNTIF($C393:E393,"&gt;0")&gt;0,DATE($B$1,3,1)=DATE(YEAR(TODAY()),MONTH(TODAY()),1))),1,0))</f>
        <v/>
      </c>
      <c r="S393">
        <f>IF($A393="","",IF(AND($B393&gt;0,F393&lt;$B393,DATE($B$1,4,1)&lt;=TODAY(),OR($O393="",$O393&gt;=DATE($B$1,4,1)),OR(COUNTIF($C393:F393,"&gt;0")&gt;0,DATE($B$1,4,1)=DATE(YEAR(TODAY()),MONTH(TODAY()),1))),1,0))</f>
        <v/>
      </c>
      <c r="T393">
        <f>IF($A393="","",IF(AND($B393&gt;0,G393&lt;$B393,DATE($B$1,5,1)&lt;=TODAY(),OR($O393="",$O393&gt;=DATE($B$1,5,1)),OR(COUNTIF($C393:G393,"&gt;0")&gt;0,DATE($B$1,5,1)=DATE(YEAR(TODAY()),MONTH(TODAY()),1))),1,0))</f>
        <v/>
      </c>
      <c r="U393">
        <f>IF($A393="","",IF(AND($B393&gt;0,H393&lt;$B393,DATE($B$1,6,1)&lt;=TODAY(),OR($O393="",$O393&gt;=DATE($B$1,6,1)),OR(COUNTIF($C393:H393,"&gt;0")&gt;0,DATE($B$1,6,1)=DATE(YEAR(TODAY()),MONTH(TODAY()),1))),1,0))</f>
        <v/>
      </c>
      <c r="V393">
        <f>IF($A393="","",IF(AND($B393&gt;0,I393&lt;$B393,DATE($B$1,7,1)&lt;=TODAY(),OR($O393="",$O393&gt;=DATE($B$1,7,1)),OR(COUNTIF($C393:I393,"&gt;0")&gt;0,DATE($B$1,7,1)=DATE(YEAR(TODAY()),MONTH(TODAY()),1))),1,0))</f>
        <v/>
      </c>
      <c r="W393">
        <f>IF($A393="","",IF(AND($B393&gt;0,J393&lt;$B393,DATE($B$1,8,1)&lt;=TODAY(),OR($O393="",$O393&gt;=DATE($B$1,8,1)),OR(COUNTIF($C393:J393,"&gt;0")&gt;0,DATE($B$1,8,1)=DATE(YEAR(TODAY()),MONTH(TODAY()),1))),1,0))</f>
        <v/>
      </c>
      <c r="X393">
        <f>IF($A393="","",IF(AND($B393&gt;0,K393&lt;$B393,DATE($B$1,9,1)&lt;=TODAY(),OR($O393="",$O393&gt;=DATE($B$1,9,1)),OR(COUNTIF($C393:K393,"&gt;0")&gt;0,DATE($B$1,9,1)=DATE(YEAR(TODAY()),MONTH(TODAY()),1))),1,0))</f>
        <v/>
      </c>
      <c r="Y393">
        <f>IF($A393="","",IF(AND($B393&gt;0,L393&lt;$B393,DATE($B$1,10,1)&lt;=TODAY(),OR($O393="",$O393&gt;=DATE($B$1,10,1)),OR(COUNTIF($C393:L393,"&gt;0")&gt;0,DATE($B$1,10,1)=DATE(YEAR(TODAY()),MONTH(TODAY()),1))),1,0))</f>
        <v/>
      </c>
      <c r="Z393">
        <f>IF($A393="","",IF(AND($B393&gt;0,M393&lt;$B393,DATE($B$1,11,1)&lt;=TODAY(),OR($O393="",$O393&gt;=DATE($B$1,11,1)),OR(COUNTIF($C393:M393,"&gt;0")&gt;0,DATE($B$1,11,1)=DATE(YEAR(TODAY()),MONTH(TODAY()),1))),1,0))</f>
        <v/>
      </c>
      <c r="AA393">
        <f>IF($A393="","",IF(AND($B393&gt;0,N393&lt;$B393,DATE($B$1,12,1)&lt;=TODAY(),OR($O393="",$O393&gt;=DATE($B$1,12,1)),OR(COUNTIF($C393:N393,"&gt;0")&gt;0,DATE($B$1,12,1)=DATE(YEAR(TODAY()),MONTH(TODAY()),1))),1,0))</f>
        <v/>
      </c>
    </row>
    <row r="394">
      <c r="A394" s="13">
        <f>IF(원생!$A392="","",원생!$A392&amp;IF(원생!$G392="",""," ("&amp;원생!$G392&amp;")"))</f>
        <v/>
      </c>
      <c r="B394" s="8">
        <f>IF(원생!$A392="","",N(원생!$F392))</f>
        <v/>
      </c>
      <c r="C394" s="14">
        <f>IF(원생!$A392="","",SUMIFS(계산!$C:$C,계산!$A:$A,계산!$E392,계산!$B:$B,$B$1*100+1))</f>
        <v/>
      </c>
      <c r="D394" s="14">
        <f>IF(원생!$A392="","",SUMIFS(계산!$C:$C,계산!$A:$A,계산!$E392,계산!$B:$B,$B$1*100+2))</f>
        <v/>
      </c>
      <c r="E394" s="14">
        <f>IF(원생!$A392="","",SUMIFS(계산!$C:$C,계산!$A:$A,계산!$E392,계산!$B:$B,$B$1*100+3))</f>
        <v/>
      </c>
      <c r="F394" s="14">
        <f>IF(원생!$A392="","",SUMIFS(계산!$C:$C,계산!$A:$A,계산!$E392,계산!$B:$B,$B$1*100+4))</f>
        <v/>
      </c>
      <c r="G394" s="14">
        <f>IF(원생!$A392="","",SUMIFS(계산!$C:$C,계산!$A:$A,계산!$E392,계산!$B:$B,$B$1*100+5))</f>
        <v/>
      </c>
      <c r="H394" s="14">
        <f>IF(원생!$A392="","",SUMIFS(계산!$C:$C,계산!$A:$A,계산!$E392,계산!$B:$B,$B$1*100+6))</f>
        <v/>
      </c>
      <c r="I394" s="14">
        <f>IF(원생!$A392="","",SUMIFS(계산!$C:$C,계산!$A:$A,계산!$E392,계산!$B:$B,$B$1*100+7))</f>
        <v/>
      </c>
      <c r="J394" s="14">
        <f>IF(원생!$A392="","",SUMIFS(계산!$C:$C,계산!$A:$A,계산!$E392,계산!$B:$B,$B$1*100+8))</f>
        <v/>
      </c>
      <c r="K394" s="14">
        <f>IF(원생!$A392="","",SUMIFS(계산!$C:$C,계산!$A:$A,계산!$E392,계산!$B:$B,$B$1*100+9))</f>
        <v/>
      </c>
      <c r="L394" s="14">
        <f>IF(원생!$A392="","",SUMIFS(계산!$C:$C,계산!$A:$A,계산!$E392,계산!$B:$B,$B$1*100+10))</f>
        <v/>
      </c>
      <c r="M394" s="14">
        <f>IF(원생!$A392="","",SUMIFS(계산!$C:$C,계산!$A:$A,계산!$E392,계산!$B:$B,$B$1*100+11))</f>
        <v/>
      </c>
      <c r="N394" s="14">
        <f>IF(원생!$A392="","",SUMIFS(계산!$C:$C,계산!$A:$A,계산!$E392,계산!$B:$B,$B$1*100+12))</f>
        <v/>
      </c>
      <c r="O394">
        <f>IF(원생!$I392="","",원생!$I392)</f>
        <v/>
      </c>
      <c r="P394">
        <f>IF($A394="","",IF(AND($B394&gt;0,C394&lt;$B394,DATE($B$1,1,1)&lt;=TODAY(),OR($O394="",$O394&gt;=DATE($B$1,1,1)),OR(COUNTIF($C394:C394,"&gt;0")&gt;0,DATE($B$1,1,1)=DATE(YEAR(TODAY()),MONTH(TODAY()),1))),1,0))</f>
        <v/>
      </c>
      <c r="Q394">
        <f>IF($A394="","",IF(AND($B394&gt;0,D394&lt;$B394,DATE($B$1,2,1)&lt;=TODAY(),OR($O394="",$O394&gt;=DATE($B$1,2,1)),OR(COUNTIF($C394:D394,"&gt;0")&gt;0,DATE($B$1,2,1)=DATE(YEAR(TODAY()),MONTH(TODAY()),1))),1,0))</f>
        <v/>
      </c>
      <c r="R394">
        <f>IF($A394="","",IF(AND($B394&gt;0,E394&lt;$B394,DATE($B$1,3,1)&lt;=TODAY(),OR($O394="",$O394&gt;=DATE($B$1,3,1)),OR(COUNTIF($C394:E394,"&gt;0")&gt;0,DATE($B$1,3,1)=DATE(YEAR(TODAY()),MONTH(TODAY()),1))),1,0))</f>
        <v/>
      </c>
      <c r="S394">
        <f>IF($A394="","",IF(AND($B394&gt;0,F394&lt;$B394,DATE($B$1,4,1)&lt;=TODAY(),OR($O394="",$O394&gt;=DATE($B$1,4,1)),OR(COUNTIF($C394:F394,"&gt;0")&gt;0,DATE($B$1,4,1)=DATE(YEAR(TODAY()),MONTH(TODAY()),1))),1,0))</f>
        <v/>
      </c>
      <c r="T394">
        <f>IF($A394="","",IF(AND($B394&gt;0,G394&lt;$B394,DATE($B$1,5,1)&lt;=TODAY(),OR($O394="",$O394&gt;=DATE($B$1,5,1)),OR(COUNTIF($C394:G394,"&gt;0")&gt;0,DATE($B$1,5,1)=DATE(YEAR(TODAY()),MONTH(TODAY()),1))),1,0))</f>
        <v/>
      </c>
      <c r="U394">
        <f>IF($A394="","",IF(AND($B394&gt;0,H394&lt;$B394,DATE($B$1,6,1)&lt;=TODAY(),OR($O394="",$O394&gt;=DATE($B$1,6,1)),OR(COUNTIF($C394:H394,"&gt;0")&gt;0,DATE($B$1,6,1)=DATE(YEAR(TODAY()),MONTH(TODAY()),1))),1,0))</f>
        <v/>
      </c>
      <c r="V394">
        <f>IF($A394="","",IF(AND($B394&gt;0,I394&lt;$B394,DATE($B$1,7,1)&lt;=TODAY(),OR($O394="",$O394&gt;=DATE($B$1,7,1)),OR(COUNTIF($C394:I394,"&gt;0")&gt;0,DATE($B$1,7,1)=DATE(YEAR(TODAY()),MONTH(TODAY()),1))),1,0))</f>
        <v/>
      </c>
      <c r="W394">
        <f>IF($A394="","",IF(AND($B394&gt;0,J394&lt;$B394,DATE($B$1,8,1)&lt;=TODAY(),OR($O394="",$O394&gt;=DATE($B$1,8,1)),OR(COUNTIF($C394:J394,"&gt;0")&gt;0,DATE($B$1,8,1)=DATE(YEAR(TODAY()),MONTH(TODAY()),1))),1,0))</f>
        <v/>
      </c>
      <c r="X394">
        <f>IF($A394="","",IF(AND($B394&gt;0,K394&lt;$B394,DATE($B$1,9,1)&lt;=TODAY(),OR($O394="",$O394&gt;=DATE($B$1,9,1)),OR(COUNTIF($C394:K394,"&gt;0")&gt;0,DATE($B$1,9,1)=DATE(YEAR(TODAY()),MONTH(TODAY()),1))),1,0))</f>
        <v/>
      </c>
      <c r="Y394">
        <f>IF($A394="","",IF(AND($B394&gt;0,L394&lt;$B394,DATE($B$1,10,1)&lt;=TODAY(),OR($O394="",$O394&gt;=DATE($B$1,10,1)),OR(COUNTIF($C394:L394,"&gt;0")&gt;0,DATE($B$1,10,1)=DATE(YEAR(TODAY()),MONTH(TODAY()),1))),1,0))</f>
        <v/>
      </c>
      <c r="Z394">
        <f>IF($A394="","",IF(AND($B394&gt;0,M394&lt;$B394,DATE($B$1,11,1)&lt;=TODAY(),OR($O394="",$O394&gt;=DATE($B$1,11,1)),OR(COUNTIF($C394:M394,"&gt;0")&gt;0,DATE($B$1,11,1)=DATE(YEAR(TODAY()),MONTH(TODAY()),1))),1,0))</f>
        <v/>
      </c>
      <c r="AA394">
        <f>IF($A394="","",IF(AND($B394&gt;0,N394&lt;$B394,DATE($B$1,12,1)&lt;=TODAY(),OR($O394="",$O394&gt;=DATE($B$1,12,1)),OR(COUNTIF($C394:N394,"&gt;0")&gt;0,DATE($B$1,12,1)=DATE(YEAR(TODAY()),MONTH(TODAY()),1))),1,0))</f>
        <v/>
      </c>
    </row>
    <row r="395">
      <c r="A395" s="13">
        <f>IF(원생!$A393="","",원생!$A393&amp;IF(원생!$G393="",""," ("&amp;원생!$G393&amp;")"))</f>
        <v/>
      </c>
      <c r="B395" s="8">
        <f>IF(원생!$A393="","",N(원생!$F393))</f>
        <v/>
      </c>
      <c r="C395" s="14">
        <f>IF(원생!$A393="","",SUMIFS(계산!$C:$C,계산!$A:$A,계산!$E393,계산!$B:$B,$B$1*100+1))</f>
        <v/>
      </c>
      <c r="D395" s="14">
        <f>IF(원생!$A393="","",SUMIFS(계산!$C:$C,계산!$A:$A,계산!$E393,계산!$B:$B,$B$1*100+2))</f>
        <v/>
      </c>
      <c r="E395" s="14">
        <f>IF(원생!$A393="","",SUMIFS(계산!$C:$C,계산!$A:$A,계산!$E393,계산!$B:$B,$B$1*100+3))</f>
        <v/>
      </c>
      <c r="F395" s="14">
        <f>IF(원생!$A393="","",SUMIFS(계산!$C:$C,계산!$A:$A,계산!$E393,계산!$B:$B,$B$1*100+4))</f>
        <v/>
      </c>
      <c r="G395" s="14">
        <f>IF(원생!$A393="","",SUMIFS(계산!$C:$C,계산!$A:$A,계산!$E393,계산!$B:$B,$B$1*100+5))</f>
        <v/>
      </c>
      <c r="H395" s="14">
        <f>IF(원생!$A393="","",SUMIFS(계산!$C:$C,계산!$A:$A,계산!$E393,계산!$B:$B,$B$1*100+6))</f>
        <v/>
      </c>
      <c r="I395" s="14">
        <f>IF(원생!$A393="","",SUMIFS(계산!$C:$C,계산!$A:$A,계산!$E393,계산!$B:$B,$B$1*100+7))</f>
        <v/>
      </c>
      <c r="J395" s="14">
        <f>IF(원생!$A393="","",SUMIFS(계산!$C:$C,계산!$A:$A,계산!$E393,계산!$B:$B,$B$1*100+8))</f>
        <v/>
      </c>
      <c r="K395" s="14">
        <f>IF(원생!$A393="","",SUMIFS(계산!$C:$C,계산!$A:$A,계산!$E393,계산!$B:$B,$B$1*100+9))</f>
        <v/>
      </c>
      <c r="L395" s="14">
        <f>IF(원생!$A393="","",SUMIFS(계산!$C:$C,계산!$A:$A,계산!$E393,계산!$B:$B,$B$1*100+10))</f>
        <v/>
      </c>
      <c r="M395" s="14">
        <f>IF(원생!$A393="","",SUMIFS(계산!$C:$C,계산!$A:$A,계산!$E393,계산!$B:$B,$B$1*100+11))</f>
        <v/>
      </c>
      <c r="N395" s="14">
        <f>IF(원생!$A393="","",SUMIFS(계산!$C:$C,계산!$A:$A,계산!$E393,계산!$B:$B,$B$1*100+12))</f>
        <v/>
      </c>
      <c r="O395">
        <f>IF(원생!$I393="","",원생!$I393)</f>
        <v/>
      </c>
      <c r="P395">
        <f>IF($A395="","",IF(AND($B395&gt;0,C395&lt;$B395,DATE($B$1,1,1)&lt;=TODAY(),OR($O395="",$O395&gt;=DATE($B$1,1,1)),OR(COUNTIF($C395:C395,"&gt;0")&gt;0,DATE($B$1,1,1)=DATE(YEAR(TODAY()),MONTH(TODAY()),1))),1,0))</f>
        <v/>
      </c>
      <c r="Q395">
        <f>IF($A395="","",IF(AND($B395&gt;0,D395&lt;$B395,DATE($B$1,2,1)&lt;=TODAY(),OR($O395="",$O395&gt;=DATE($B$1,2,1)),OR(COUNTIF($C395:D395,"&gt;0")&gt;0,DATE($B$1,2,1)=DATE(YEAR(TODAY()),MONTH(TODAY()),1))),1,0))</f>
        <v/>
      </c>
      <c r="R395">
        <f>IF($A395="","",IF(AND($B395&gt;0,E395&lt;$B395,DATE($B$1,3,1)&lt;=TODAY(),OR($O395="",$O395&gt;=DATE($B$1,3,1)),OR(COUNTIF($C395:E395,"&gt;0")&gt;0,DATE($B$1,3,1)=DATE(YEAR(TODAY()),MONTH(TODAY()),1))),1,0))</f>
        <v/>
      </c>
      <c r="S395">
        <f>IF($A395="","",IF(AND($B395&gt;0,F395&lt;$B395,DATE($B$1,4,1)&lt;=TODAY(),OR($O395="",$O395&gt;=DATE($B$1,4,1)),OR(COUNTIF($C395:F395,"&gt;0")&gt;0,DATE($B$1,4,1)=DATE(YEAR(TODAY()),MONTH(TODAY()),1))),1,0))</f>
        <v/>
      </c>
      <c r="T395">
        <f>IF($A395="","",IF(AND($B395&gt;0,G395&lt;$B395,DATE($B$1,5,1)&lt;=TODAY(),OR($O395="",$O395&gt;=DATE($B$1,5,1)),OR(COUNTIF($C395:G395,"&gt;0")&gt;0,DATE($B$1,5,1)=DATE(YEAR(TODAY()),MONTH(TODAY()),1))),1,0))</f>
        <v/>
      </c>
      <c r="U395">
        <f>IF($A395="","",IF(AND($B395&gt;0,H395&lt;$B395,DATE($B$1,6,1)&lt;=TODAY(),OR($O395="",$O395&gt;=DATE($B$1,6,1)),OR(COUNTIF($C395:H395,"&gt;0")&gt;0,DATE($B$1,6,1)=DATE(YEAR(TODAY()),MONTH(TODAY()),1))),1,0))</f>
        <v/>
      </c>
      <c r="V395">
        <f>IF($A395="","",IF(AND($B395&gt;0,I395&lt;$B395,DATE($B$1,7,1)&lt;=TODAY(),OR($O395="",$O395&gt;=DATE($B$1,7,1)),OR(COUNTIF($C395:I395,"&gt;0")&gt;0,DATE($B$1,7,1)=DATE(YEAR(TODAY()),MONTH(TODAY()),1))),1,0))</f>
        <v/>
      </c>
      <c r="W395">
        <f>IF($A395="","",IF(AND($B395&gt;0,J395&lt;$B395,DATE($B$1,8,1)&lt;=TODAY(),OR($O395="",$O395&gt;=DATE($B$1,8,1)),OR(COUNTIF($C395:J395,"&gt;0")&gt;0,DATE($B$1,8,1)=DATE(YEAR(TODAY()),MONTH(TODAY()),1))),1,0))</f>
        <v/>
      </c>
      <c r="X395">
        <f>IF($A395="","",IF(AND($B395&gt;0,K395&lt;$B395,DATE($B$1,9,1)&lt;=TODAY(),OR($O395="",$O395&gt;=DATE($B$1,9,1)),OR(COUNTIF($C395:K395,"&gt;0")&gt;0,DATE($B$1,9,1)=DATE(YEAR(TODAY()),MONTH(TODAY()),1))),1,0))</f>
        <v/>
      </c>
      <c r="Y395">
        <f>IF($A395="","",IF(AND($B395&gt;0,L395&lt;$B395,DATE($B$1,10,1)&lt;=TODAY(),OR($O395="",$O395&gt;=DATE($B$1,10,1)),OR(COUNTIF($C395:L395,"&gt;0")&gt;0,DATE($B$1,10,1)=DATE(YEAR(TODAY()),MONTH(TODAY()),1))),1,0))</f>
        <v/>
      </c>
      <c r="Z395">
        <f>IF($A395="","",IF(AND($B395&gt;0,M395&lt;$B395,DATE($B$1,11,1)&lt;=TODAY(),OR($O395="",$O395&gt;=DATE($B$1,11,1)),OR(COUNTIF($C395:M395,"&gt;0")&gt;0,DATE($B$1,11,1)=DATE(YEAR(TODAY()),MONTH(TODAY()),1))),1,0))</f>
        <v/>
      </c>
      <c r="AA395">
        <f>IF($A395="","",IF(AND($B395&gt;0,N395&lt;$B395,DATE($B$1,12,1)&lt;=TODAY(),OR($O395="",$O395&gt;=DATE($B$1,12,1)),OR(COUNTIF($C395:N395,"&gt;0")&gt;0,DATE($B$1,12,1)=DATE(YEAR(TODAY()),MONTH(TODAY()),1))),1,0))</f>
        <v/>
      </c>
    </row>
    <row r="396">
      <c r="A396" s="13">
        <f>IF(원생!$A394="","",원생!$A394&amp;IF(원생!$G394="",""," ("&amp;원생!$G394&amp;")"))</f>
        <v/>
      </c>
      <c r="B396" s="8">
        <f>IF(원생!$A394="","",N(원생!$F394))</f>
        <v/>
      </c>
      <c r="C396" s="14">
        <f>IF(원생!$A394="","",SUMIFS(계산!$C:$C,계산!$A:$A,계산!$E394,계산!$B:$B,$B$1*100+1))</f>
        <v/>
      </c>
      <c r="D396" s="14">
        <f>IF(원생!$A394="","",SUMIFS(계산!$C:$C,계산!$A:$A,계산!$E394,계산!$B:$B,$B$1*100+2))</f>
        <v/>
      </c>
      <c r="E396" s="14">
        <f>IF(원생!$A394="","",SUMIFS(계산!$C:$C,계산!$A:$A,계산!$E394,계산!$B:$B,$B$1*100+3))</f>
        <v/>
      </c>
      <c r="F396" s="14">
        <f>IF(원생!$A394="","",SUMIFS(계산!$C:$C,계산!$A:$A,계산!$E394,계산!$B:$B,$B$1*100+4))</f>
        <v/>
      </c>
      <c r="G396" s="14">
        <f>IF(원생!$A394="","",SUMIFS(계산!$C:$C,계산!$A:$A,계산!$E394,계산!$B:$B,$B$1*100+5))</f>
        <v/>
      </c>
      <c r="H396" s="14">
        <f>IF(원생!$A394="","",SUMIFS(계산!$C:$C,계산!$A:$A,계산!$E394,계산!$B:$B,$B$1*100+6))</f>
        <v/>
      </c>
      <c r="I396" s="14">
        <f>IF(원생!$A394="","",SUMIFS(계산!$C:$C,계산!$A:$A,계산!$E394,계산!$B:$B,$B$1*100+7))</f>
        <v/>
      </c>
      <c r="J396" s="14">
        <f>IF(원생!$A394="","",SUMIFS(계산!$C:$C,계산!$A:$A,계산!$E394,계산!$B:$B,$B$1*100+8))</f>
        <v/>
      </c>
      <c r="K396" s="14">
        <f>IF(원생!$A394="","",SUMIFS(계산!$C:$C,계산!$A:$A,계산!$E394,계산!$B:$B,$B$1*100+9))</f>
        <v/>
      </c>
      <c r="L396" s="14">
        <f>IF(원생!$A394="","",SUMIFS(계산!$C:$C,계산!$A:$A,계산!$E394,계산!$B:$B,$B$1*100+10))</f>
        <v/>
      </c>
      <c r="M396" s="14">
        <f>IF(원생!$A394="","",SUMIFS(계산!$C:$C,계산!$A:$A,계산!$E394,계산!$B:$B,$B$1*100+11))</f>
        <v/>
      </c>
      <c r="N396" s="14">
        <f>IF(원생!$A394="","",SUMIFS(계산!$C:$C,계산!$A:$A,계산!$E394,계산!$B:$B,$B$1*100+12))</f>
        <v/>
      </c>
      <c r="O396">
        <f>IF(원생!$I394="","",원생!$I394)</f>
        <v/>
      </c>
      <c r="P396">
        <f>IF($A396="","",IF(AND($B396&gt;0,C396&lt;$B396,DATE($B$1,1,1)&lt;=TODAY(),OR($O396="",$O396&gt;=DATE($B$1,1,1)),OR(COUNTIF($C396:C396,"&gt;0")&gt;0,DATE($B$1,1,1)=DATE(YEAR(TODAY()),MONTH(TODAY()),1))),1,0))</f>
        <v/>
      </c>
      <c r="Q396">
        <f>IF($A396="","",IF(AND($B396&gt;0,D396&lt;$B396,DATE($B$1,2,1)&lt;=TODAY(),OR($O396="",$O396&gt;=DATE($B$1,2,1)),OR(COUNTIF($C396:D396,"&gt;0")&gt;0,DATE($B$1,2,1)=DATE(YEAR(TODAY()),MONTH(TODAY()),1))),1,0))</f>
        <v/>
      </c>
      <c r="R396">
        <f>IF($A396="","",IF(AND($B396&gt;0,E396&lt;$B396,DATE($B$1,3,1)&lt;=TODAY(),OR($O396="",$O396&gt;=DATE($B$1,3,1)),OR(COUNTIF($C396:E396,"&gt;0")&gt;0,DATE($B$1,3,1)=DATE(YEAR(TODAY()),MONTH(TODAY()),1))),1,0))</f>
        <v/>
      </c>
      <c r="S396">
        <f>IF($A396="","",IF(AND($B396&gt;0,F396&lt;$B396,DATE($B$1,4,1)&lt;=TODAY(),OR($O396="",$O396&gt;=DATE($B$1,4,1)),OR(COUNTIF($C396:F396,"&gt;0")&gt;0,DATE($B$1,4,1)=DATE(YEAR(TODAY()),MONTH(TODAY()),1))),1,0))</f>
        <v/>
      </c>
      <c r="T396">
        <f>IF($A396="","",IF(AND($B396&gt;0,G396&lt;$B396,DATE($B$1,5,1)&lt;=TODAY(),OR($O396="",$O396&gt;=DATE($B$1,5,1)),OR(COUNTIF($C396:G396,"&gt;0")&gt;0,DATE($B$1,5,1)=DATE(YEAR(TODAY()),MONTH(TODAY()),1))),1,0))</f>
        <v/>
      </c>
      <c r="U396">
        <f>IF($A396="","",IF(AND($B396&gt;0,H396&lt;$B396,DATE($B$1,6,1)&lt;=TODAY(),OR($O396="",$O396&gt;=DATE($B$1,6,1)),OR(COUNTIF($C396:H396,"&gt;0")&gt;0,DATE($B$1,6,1)=DATE(YEAR(TODAY()),MONTH(TODAY()),1))),1,0))</f>
        <v/>
      </c>
      <c r="V396">
        <f>IF($A396="","",IF(AND($B396&gt;0,I396&lt;$B396,DATE($B$1,7,1)&lt;=TODAY(),OR($O396="",$O396&gt;=DATE($B$1,7,1)),OR(COUNTIF($C396:I396,"&gt;0")&gt;0,DATE($B$1,7,1)=DATE(YEAR(TODAY()),MONTH(TODAY()),1))),1,0))</f>
        <v/>
      </c>
      <c r="W396">
        <f>IF($A396="","",IF(AND($B396&gt;0,J396&lt;$B396,DATE($B$1,8,1)&lt;=TODAY(),OR($O396="",$O396&gt;=DATE($B$1,8,1)),OR(COUNTIF($C396:J396,"&gt;0")&gt;0,DATE($B$1,8,1)=DATE(YEAR(TODAY()),MONTH(TODAY()),1))),1,0))</f>
        <v/>
      </c>
      <c r="X396">
        <f>IF($A396="","",IF(AND($B396&gt;0,K396&lt;$B396,DATE($B$1,9,1)&lt;=TODAY(),OR($O396="",$O396&gt;=DATE($B$1,9,1)),OR(COUNTIF($C396:K396,"&gt;0")&gt;0,DATE($B$1,9,1)=DATE(YEAR(TODAY()),MONTH(TODAY()),1))),1,0))</f>
        <v/>
      </c>
      <c r="Y396">
        <f>IF($A396="","",IF(AND($B396&gt;0,L396&lt;$B396,DATE($B$1,10,1)&lt;=TODAY(),OR($O396="",$O396&gt;=DATE($B$1,10,1)),OR(COUNTIF($C396:L396,"&gt;0")&gt;0,DATE($B$1,10,1)=DATE(YEAR(TODAY()),MONTH(TODAY()),1))),1,0))</f>
        <v/>
      </c>
      <c r="Z396">
        <f>IF($A396="","",IF(AND($B396&gt;0,M396&lt;$B396,DATE($B$1,11,1)&lt;=TODAY(),OR($O396="",$O396&gt;=DATE($B$1,11,1)),OR(COUNTIF($C396:M396,"&gt;0")&gt;0,DATE($B$1,11,1)=DATE(YEAR(TODAY()),MONTH(TODAY()),1))),1,0))</f>
        <v/>
      </c>
      <c r="AA396">
        <f>IF($A396="","",IF(AND($B396&gt;0,N396&lt;$B396,DATE($B$1,12,1)&lt;=TODAY(),OR($O396="",$O396&gt;=DATE($B$1,12,1)),OR(COUNTIF($C396:N396,"&gt;0")&gt;0,DATE($B$1,12,1)=DATE(YEAR(TODAY()),MONTH(TODAY()),1))),1,0))</f>
        <v/>
      </c>
    </row>
    <row r="397">
      <c r="A397" s="13">
        <f>IF(원생!$A395="","",원생!$A395&amp;IF(원생!$G395="",""," ("&amp;원생!$G395&amp;")"))</f>
        <v/>
      </c>
      <c r="B397" s="8">
        <f>IF(원생!$A395="","",N(원생!$F395))</f>
        <v/>
      </c>
      <c r="C397" s="14">
        <f>IF(원생!$A395="","",SUMIFS(계산!$C:$C,계산!$A:$A,계산!$E395,계산!$B:$B,$B$1*100+1))</f>
        <v/>
      </c>
      <c r="D397" s="14">
        <f>IF(원생!$A395="","",SUMIFS(계산!$C:$C,계산!$A:$A,계산!$E395,계산!$B:$B,$B$1*100+2))</f>
        <v/>
      </c>
      <c r="E397" s="14">
        <f>IF(원생!$A395="","",SUMIFS(계산!$C:$C,계산!$A:$A,계산!$E395,계산!$B:$B,$B$1*100+3))</f>
        <v/>
      </c>
      <c r="F397" s="14">
        <f>IF(원생!$A395="","",SUMIFS(계산!$C:$C,계산!$A:$A,계산!$E395,계산!$B:$B,$B$1*100+4))</f>
        <v/>
      </c>
      <c r="G397" s="14">
        <f>IF(원생!$A395="","",SUMIFS(계산!$C:$C,계산!$A:$A,계산!$E395,계산!$B:$B,$B$1*100+5))</f>
        <v/>
      </c>
      <c r="H397" s="14">
        <f>IF(원생!$A395="","",SUMIFS(계산!$C:$C,계산!$A:$A,계산!$E395,계산!$B:$B,$B$1*100+6))</f>
        <v/>
      </c>
      <c r="I397" s="14">
        <f>IF(원생!$A395="","",SUMIFS(계산!$C:$C,계산!$A:$A,계산!$E395,계산!$B:$B,$B$1*100+7))</f>
        <v/>
      </c>
      <c r="J397" s="14">
        <f>IF(원생!$A395="","",SUMIFS(계산!$C:$C,계산!$A:$A,계산!$E395,계산!$B:$B,$B$1*100+8))</f>
        <v/>
      </c>
      <c r="K397" s="14">
        <f>IF(원생!$A395="","",SUMIFS(계산!$C:$C,계산!$A:$A,계산!$E395,계산!$B:$B,$B$1*100+9))</f>
        <v/>
      </c>
      <c r="L397" s="14">
        <f>IF(원생!$A395="","",SUMIFS(계산!$C:$C,계산!$A:$A,계산!$E395,계산!$B:$B,$B$1*100+10))</f>
        <v/>
      </c>
      <c r="M397" s="14">
        <f>IF(원생!$A395="","",SUMIFS(계산!$C:$C,계산!$A:$A,계산!$E395,계산!$B:$B,$B$1*100+11))</f>
        <v/>
      </c>
      <c r="N397" s="14">
        <f>IF(원생!$A395="","",SUMIFS(계산!$C:$C,계산!$A:$A,계산!$E395,계산!$B:$B,$B$1*100+12))</f>
        <v/>
      </c>
      <c r="O397">
        <f>IF(원생!$I395="","",원생!$I395)</f>
        <v/>
      </c>
      <c r="P397">
        <f>IF($A397="","",IF(AND($B397&gt;0,C397&lt;$B397,DATE($B$1,1,1)&lt;=TODAY(),OR($O397="",$O397&gt;=DATE($B$1,1,1)),OR(COUNTIF($C397:C397,"&gt;0")&gt;0,DATE($B$1,1,1)=DATE(YEAR(TODAY()),MONTH(TODAY()),1))),1,0))</f>
        <v/>
      </c>
      <c r="Q397">
        <f>IF($A397="","",IF(AND($B397&gt;0,D397&lt;$B397,DATE($B$1,2,1)&lt;=TODAY(),OR($O397="",$O397&gt;=DATE($B$1,2,1)),OR(COUNTIF($C397:D397,"&gt;0")&gt;0,DATE($B$1,2,1)=DATE(YEAR(TODAY()),MONTH(TODAY()),1))),1,0))</f>
        <v/>
      </c>
      <c r="R397">
        <f>IF($A397="","",IF(AND($B397&gt;0,E397&lt;$B397,DATE($B$1,3,1)&lt;=TODAY(),OR($O397="",$O397&gt;=DATE($B$1,3,1)),OR(COUNTIF($C397:E397,"&gt;0")&gt;0,DATE($B$1,3,1)=DATE(YEAR(TODAY()),MONTH(TODAY()),1))),1,0))</f>
        <v/>
      </c>
      <c r="S397">
        <f>IF($A397="","",IF(AND($B397&gt;0,F397&lt;$B397,DATE($B$1,4,1)&lt;=TODAY(),OR($O397="",$O397&gt;=DATE($B$1,4,1)),OR(COUNTIF($C397:F397,"&gt;0")&gt;0,DATE($B$1,4,1)=DATE(YEAR(TODAY()),MONTH(TODAY()),1))),1,0))</f>
        <v/>
      </c>
      <c r="T397">
        <f>IF($A397="","",IF(AND($B397&gt;0,G397&lt;$B397,DATE($B$1,5,1)&lt;=TODAY(),OR($O397="",$O397&gt;=DATE($B$1,5,1)),OR(COUNTIF($C397:G397,"&gt;0")&gt;0,DATE($B$1,5,1)=DATE(YEAR(TODAY()),MONTH(TODAY()),1))),1,0))</f>
        <v/>
      </c>
      <c r="U397">
        <f>IF($A397="","",IF(AND($B397&gt;0,H397&lt;$B397,DATE($B$1,6,1)&lt;=TODAY(),OR($O397="",$O397&gt;=DATE($B$1,6,1)),OR(COUNTIF($C397:H397,"&gt;0")&gt;0,DATE($B$1,6,1)=DATE(YEAR(TODAY()),MONTH(TODAY()),1))),1,0))</f>
        <v/>
      </c>
      <c r="V397">
        <f>IF($A397="","",IF(AND($B397&gt;0,I397&lt;$B397,DATE($B$1,7,1)&lt;=TODAY(),OR($O397="",$O397&gt;=DATE($B$1,7,1)),OR(COUNTIF($C397:I397,"&gt;0")&gt;0,DATE($B$1,7,1)=DATE(YEAR(TODAY()),MONTH(TODAY()),1))),1,0))</f>
        <v/>
      </c>
      <c r="W397">
        <f>IF($A397="","",IF(AND($B397&gt;0,J397&lt;$B397,DATE($B$1,8,1)&lt;=TODAY(),OR($O397="",$O397&gt;=DATE($B$1,8,1)),OR(COUNTIF($C397:J397,"&gt;0")&gt;0,DATE($B$1,8,1)=DATE(YEAR(TODAY()),MONTH(TODAY()),1))),1,0))</f>
        <v/>
      </c>
      <c r="X397">
        <f>IF($A397="","",IF(AND($B397&gt;0,K397&lt;$B397,DATE($B$1,9,1)&lt;=TODAY(),OR($O397="",$O397&gt;=DATE($B$1,9,1)),OR(COUNTIF($C397:K397,"&gt;0")&gt;0,DATE($B$1,9,1)=DATE(YEAR(TODAY()),MONTH(TODAY()),1))),1,0))</f>
        <v/>
      </c>
      <c r="Y397">
        <f>IF($A397="","",IF(AND($B397&gt;0,L397&lt;$B397,DATE($B$1,10,1)&lt;=TODAY(),OR($O397="",$O397&gt;=DATE($B$1,10,1)),OR(COUNTIF($C397:L397,"&gt;0")&gt;0,DATE($B$1,10,1)=DATE(YEAR(TODAY()),MONTH(TODAY()),1))),1,0))</f>
        <v/>
      </c>
      <c r="Z397">
        <f>IF($A397="","",IF(AND($B397&gt;0,M397&lt;$B397,DATE($B$1,11,1)&lt;=TODAY(),OR($O397="",$O397&gt;=DATE($B$1,11,1)),OR(COUNTIF($C397:M397,"&gt;0")&gt;0,DATE($B$1,11,1)=DATE(YEAR(TODAY()),MONTH(TODAY()),1))),1,0))</f>
        <v/>
      </c>
      <c r="AA397">
        <f>IF($A397="","",IF(AND($B397&gt;0,N397&lt;$B397,DATE($B$1,12,1)&lt;=TODAY(),OR($O397="",$O397&gt;=DATE($B$1,12,1)),OR(COUNTIF($C397:N397,"&gt;0")&gt;0,DATE($B$1,12,1)=DATE(YEAR(TODAY()),MONTH(TODAY()),1))),1,0))</f>
        <v/>
      </c>
    </row>
    <row r="398">
      <c r="A398" s="13">
        <f>IF(원생!$A396="","",원생!$A396&amp;IF(원생!$G396="",""," ("&amp;원생!$G396&amp;")"))</f>
        <v/>
      </c>
      <c r="B398" s="8">
        <f>IF(원생!$A396="","",N(원생!$F396))</f>
        <v/>
      </c>
      <c r="C398" s="14">
        <f>IF(원생!$A396="","",SUMIFS(계산!$C:$C,계산!$A:$A,계산!$E396,계산!$B:$B,$B$1*100+1))</f>
        <v/>
      </c>
      <c r="D398" s="14">
        <f>IF(원생!$A396="","",SUMIFS(계산!$C:$C,계산!$A:$A,계산!$E396,계산!$B:$B,$B$1*100+2))</f>
        <v/>
      </c>
      <c r="E398" s="14">
        <f>IF(원생!$A396="","",SUMIFS(계산!$C:$C,계산!$A:$A,계산!$E396,계산!$B:$B,$B$1*100+3))</f>
        <v/>
      </c>
      <c r="F398" s="14">
        <f>IF(원생!$A396="","",SUMIFS(계산!$C:$C,계산!$A:$A,계산!$E396,계산!$B:$B,$B$1*100+4))</f>
        <v/>
      </c>
      <c r="G398" s="14">
        <f>IF(원생!$A396="","",SUMIFS(계산!$C:$C,계산!$A:$A,계산!$E396,계산!$B:$B,$B$1*100+5))</f>
        <v/>
      </c>
      <c r="H398" s="14">
        <f>IF(원생!$A396="","",SUMIFS(계산!$C:$C,계산!$A:$A,계산!$E396,계산!$B:$B,$B$1*100+6))</f>
        <v/>
      </c>
      <c r="I398" s="14">
        <f>IF(원생!$A396="","",SUMIFS(계산!$C:$C,계산!$A:$A,계산!$E396,계산!$B:$B,$B$1*100+7))</f>
        <v/>
      </c>
      <c r="J398" s="14">
        <f>IF(원생!$A396="","",SUMIFS(계산!$C:$C,계산!$A:$A,계산!$E396,계산!$B:$B,$B$1*100+8))</f>
        <v/>
      </c>
      <c r="K398" s="14">
        <f>IF(원생!$A396="","",SUMIFS(계산!$C:$C,계산!$A:$A,계산!$E396,계산!$B:$B,$B$1*100+9))</f>
        <v/>
      </c>
      <c r="L398" s="14">
        <f>IF(원생!$A396="","",SUMIFS(계산!$C:$C,계산!$A:$A,계산!$E396,계산!$B:$B,$B$1*100+10))</f>
        <v/>
      </c>
      <c r="M398" s="14">
        <f>IF(원생!$A396="","",SUMIFS(계산!$C:$C,계산!$A:$A,계산!$E396,계산!$B:$B,$B$1*100+11))</f>
        <v/>
      </c>
      <c r="N398" s="14">
        <f>IF(원생!$A396="","",SUMIFS(계산!$C:$C,계산!$A:$A,계산!$E396,계산!$B:$B,$B$1*100+12))</f>
        <v/>
      </c>
      <c r="O398">
        <f>IF(원생!$I396="","",원생!$I396)</f>
        <v/>
      </c>
      <c r="P398">
        <f>IF($A398="","",IF(AND($B398&gt;0,C398&lt;$B398,DATE($B$1,1,1)&lt;=TODAY(),OR($O398="",$O398&gt;=DATE($B$1,1,1)),OR(COUNTIF($C398:C398,"&gt;0")&gt;0,DATE($B$1,1,1)=DATE(YEAR(TODAY()),MONTH(TODAY()),1))),1,0))</f>
        <v/>
      </c>
      <c r="Q398">
        <f>IF($A398="","",IF(AND($B398&gt;0,D398&lt;$B398,DATE($B$1,2,1)&lt;=TODAY(),OR($O398="",$O398&gt;=DATE($B$1,2,1)),OR(COUNTIF($C398:D398,"&gt;0")&gt;0,DATE($B$1,2,1)=DATE(YEAR(TODAY()),MONTH(TODAY()),1))),1,0))</f>
        <v/>
      </c>
      <c r="R398">
        <f>IF($A398="","",IF(AND($B398&gt;0,E398&lt;$B398,DATE($B$1,3,1)&lt;=TODAY(),OR($O398="",$O398&gt;=DATE($B$1,3,1)),OR(COUNTIF($C398:E398,"&gt;0")&gt;0,DATE($B$1,3,1)=DATE(YEAR(TODAY()),MONTH(TODAY()),1))),1,0))</f>
        <v/>
      </c>
      <c r="S398">
        <f>IF($A398="","",IF(AND($B398&gt;0,F398&lt;$B398,DATE($B$1,4,1)&lt;=TODAY(),OR($O398="",$O398&gt;=DATE($B$1,4,1)),OR(COUNTIF($C398:F398,"&gt;0")&gt;0,DATE($B$1,4,1)=DATE(YEAR(TODAY()),MONTH(TODAY()),1))),1,0))</f>
        <v/>
      </c>
      <c r="T398">
        <f>IF($A398="","",IF(AND($B398&gt;0,G398&lt;$B398,DATE($B$1,5,1)&lt;=TODAY(),OR($O398="",$O398&gt;=DATE($B$1,5,1)),OR(COUNTIF($C398:G398,"&gt;0")&gt;0,DATE($B$1,5,1)=DATE(YEAR(TODAY()),MONTH(TODAY()),1))),1,0))</f>
        <v/>
      </c>
      <c r="U398">
        <f>IF($A398="","",IF(AND($B398&gt;0,H398&lt;$B398,DATE($B$1,6,1)&lt;=TODAY(),OR($O398="",$O398&gt;=DATE($B$1,6,1)),OR(COUNTIF($C398:H398,"&gt;0")&gt;0,DATE($B$1,6,1)=DATE(YEAR(TODAY()),MONTH(TODAY()),1))),1,0))</f>
        <v/>
      </c>
      <c r="V398">
        <f>IF($A398="","",IF(AND($B398&gt;0,I398&lt;$B398,DATE($B$1,7,1)&lt;=TODAY(),OR($O398="",$O398&gt;=DATE($B$1,7,1)),OR(COUNTIF($C398:I398,"&gt;0")&gt;0,DATE($B$1,7,1)=DATE(YEAR(TODAY()),MONTH(TODAY()),1))),1,0))</f>
        <v/>
      </c>
      <c r="W398">
        <f>IF($A398="","",IF(AND($B398&gt;0,J398&lt;$B398,DATE($B$1,8,1)&lt;=TODAY(),OR($O398="",$O398&gt;=DATE($B$1,8,1)),OR(COUNTIF($C398:J398,"&gt;0")&gt;0,DATE($B$1,8,1)=DATE(YEAR(TODAY()),MONTH(TODAY()),1))),1,0))</f>
        <v/>
      </c>
      <c r="X398">
        <f>IF($A398="","",IF(AND($B398&gt;0,K398&lt;$B398,DATE($B$1,9,1)&lt;=TODAY(),OR($O398="",$O398&gt;=DATE($B$1,9,1)),OR(COUNTIF($C398:K398,"&gt;0")&gt;0,DATE($B$1,9,1)=DATE(YEAR(TODAY()),MONTH(TODAY()),1))),1,0))</f>
        <v/>
      </c>
      <c r="Y398">
        <f>IF($A398="","",IF(AND($B398&gt;0,L398&lt;$B398,DATE($B$1,10,1)&lt;=TODAY(),OR($O398="",$O398&gt;=DATE($B$1,10,1)),OR(COUNTIF($C398:L398,"&gt;0")&gt;0,DATE($B$1,10,1)=DATE(YEAR(TODAY()),MONTH(TODAY()),1))),1,0))</f>
        <v/>
      </c>
      <c r="Z398">
        <f>IF($A398="","",IF(AND($B398&gt;0,M398&lt;$B398,DATE($B$1,11,1)&lt;=TODAY(),OR($O398="",$O398&gt;=DATE($B$1,11,1)),OR(COUNTIF($C398:M398,"&gt;0")&gt;0,DATE($B$1,11,1)=DATE(YEAR(TODAY()),MONTH(TODAY()),1))),1,0))</f>
        <v/>
      </c>
      <c r="AA398">
        <f>IF($A398="","",IF(AND($B398&gt;0,N398&lt;$B398,DATE($B$1,12,1)&lt;=TODAY(),OR($O398="",$O398&gt;=DATE($B$1,12,1)),OR(COUNTIF($C398:N398,"&gt;0")&gt;0,DATE($B$1,12,1)=DATE(YEAR(TODAY()),MONTH(TODAY()),1))),1,0))</f>
        <v/>
      </c>
    </row>
    <row r="399">
      <c r="A399" s="13">
        <f>IF(원생!$A397="","",원생!$A397&amp;IF(원생!$G397="",""," ("&amp;원생!$G397&amp;")"))</f>
        <v/>
      </c>
      <c r="B399" s="8">
        <f>IF(원생!$A397="","",N(원생!$F397))</f>
        <v/>
      </c>
      <c r="C399" s="14">
        <f>IF(원생!$A397="","",SUMIFS(계산!$C:$C,계산!$A:$A,계산!$E397,계산!$B:$B,$B$1*100+1))</f>
        <v/>
      </c>
      <c r="D399" s="14">
        <f>IF(원생!$A397="","",SUMIFS(계산!$C:$C,계산!$A:$A,계산!$E397,계산!$B:$B,$B$1*100+2))</f>
        <v/>
      </c>
      <c r="E399" s="14">
        <f>IF(원생!$A397="","",SUMIFS(계산!$C:$C,계산!$A:$A,계산!$E397,계산!$B:$B,$B$1*100+3))</f>
        <v/>
      </c>
      <c r="F399" s="14">
        <f>IF(원생!$A397="","",SUMIFS(계산!$C:$C,계산!$A:$A,계산!$E397,계산!$B:$B,$B$1*100+4))</f>
        <v/>
      </c>
      <c r="G399" s="14">
        <f>IF(원생!$A397="","",SUMIFS(계산!$C:$C,계산!$A:$A,계산!$E397,계산!$B:$B,$B$1*100+5))</f>
        <v/>
      </c>
      <c r="H399" s="14">
        <f>IF(원생!$A397="","",SUMIFS(계산!$C:$C,계산!$A:$A,계산!$E397,계산!$B:$B,$B$1*100+6))</f>
        <v/>
      </c>
      <c r="I399" s="14">
        <f>IF(원생!$A397="","",SUMIFS(계산!$C:$C,계산!$A:$A,계산!$E397,계산!$B:$B,$B$1*100+7))</f>
        <v/>
      </c>
      <c r="J399" s="14">
        <f>IF(원생!$A397="","",SUMIFS(계산!$C:$C,계산!$A:$A,계산!$E397,계산!$B:$B,$B$1*100+8))</f>
        <v/>
      </c>
      <c r="K399" s="14">
        <f>IF(원생!$A397="","",SUMIFS(계산!$C:$C,계산!$A:$A,계산!$E397,계산!$B:$B,$B$1*100+9))</f>
        <v/>
      </c>
      <c r="L399" s="14">
        <f>IF(원생!$A397="","",SUMIFS(계산!$C:$C,계산!$A:$A,계산!$E397,계산!$B:$B,$B$1*100+10))</f>
        <v/>
      </c>
      <c r="M399" s="14">
        <f>IF(원생!$A397="","",SUMIFS(계산!$C:$C,계산!$A:$A,계산!$E397,계산!$B:$B,$B$1*100+11))</f>
        <v/>
      </c>
      <c r="N399" s="14">
        <f>IF(원생!$A397="","",SUMIFS(계산!$C:$C,계산!$A:$A,계산!$E397,계산!$B:$B,$B$1*100+12))</f>
        <v/>
      </c>
      <c r="O399">
        <f>IF(원생!$I397="","",원생!$I397)</f>
        <v/>
      </c>
      <c r="P399">
        <f>IF($A399="","",IF(AND($B399&gt;0,C399&lt;$B399,DATE($B$1,1,1)&lt;=TODAY(),OR($O399="",$O399&gt;=DATE($B$1,1,1)),OR(COUNTIF($C399:C399,"&gt;0")&gt;0,DATE($B$1,1,1)=DATE(YEAR(TODAY()),MONTH(TODAY()),1))),1,0))</f>
        <v/>
      </c>
      <c r="Q399">
        <f>IF($A399="","",IF(AND($B399&gt;0,D399&lt;$B399,DATE($B$1,2,1)&lt;=TODAY(),OR($O399="",$O399&gt;=DATE($B$1,2,1)),OR(COUNTIF($C399:D399,"&gt;0")&gt;0,DATE($B$1,2,1)=DATE(YEAR(TODAY()),MONTH(TODAY()),1))),1,0))</f>
        <v/>
      </c>
      <c r="R399">
        <f>IF($A399="","",IF(AND($B399&gt;0,E399&lt;$B399,DATE($B$1,3,1)&lt;=TODAY(),OR($O399="",$O399&gt;=DATE($B$1,3,1)),OR(COUNTIF($C399:E399,"&gt;0")&gt;0,DATE($B$1,3,1)=DATE(YEAR(TODAY()),MONTH(TODAY()),1))),1,0))</f>
        <v/>
      </c>
      <c r="S399">
        <f>IF($A399="","",IF(AND($B399&gt;0,F399&lt;$B399,DATE($B$1,4,1)&lt;=TODAY(),OR($O399="",$O399&gt;=DATE($B$1,4,1)),OR(COUNTIF($C399:F399,"&gt;0")&gt;0,DATE($B$1,4,1)=DATE(YEAR(TODAY()),MONTH(TODAY()),1))),1,0))</f>
        <v/>
      </c>
      <c r="T399">
        <f>IF($A399="","",IF(AND($B399&gt;0,G399&lt;$B399,DATE($B$1,5,1)&lt;=TODAY(),OR($O399="",$O399&gt;=DATE($B$1,5,1)),OR(COUNTIF($C399:G399,"&gt;0")&gt;0,DATE($B$1,5,1)=DATE(YEAR(TODAY()),MONTH(TODAY()),1))),1,0))</f>
        <v/>
      </c>
      <c r="U399">
        <f>IF($A399="","",IF(AND($B399&gt;0,H399&lt;$B399,DATE($B$1,6,1)&lt;=TODAY(),OR($O399="",$O399&gt;=DATE($B$1,6,1)),OR(COUNTIF($C399:H399,"&gt;0")&gt;0,DATE($B$1,6,1)=DATE(YEAR(TODAY()),MONTH(TODAY()),1))),1,0))</f>
        <v/>
      </c>
      <c r="V399">
        <f>IF($A399="","",IF(AND($B399&gt;0,I399&lt;$B399,DATE($B$1,7,1)&lt;=TODAY(),OR($O399="",$O399&gt;=DATE($B$1,7,1)),OR(COUNTIF($C399:I399,"&gt;0")&gt;0,DATE($B$1,7,1)=DATE(YEAR(TODAY()),MONTH(TODAY()),1))),1,0))</f>
        <v/>
      </c>
      <c r="W399">
        <f>IF($A399="","",IF(AND($B399&gt;0,J399&lt;$B399,DATE($B$1,8,1)&lt;=TODAY(),OR($O399="",$O399&gt;=DATE($B$1,8,1)),OR(COUNTIF($C399:J399,"&gt;0")&gt;0,DATE($B$1,8,1)=DATE(YEAR(TODAY()),MONTH(TODAY()),1))),1,0))</f>
        <v/>
      </c>
      <c r="X399">
        <f>IF($A399="","",IF(AND($B399&gt;0,K399&lt;$B399,DATE($B$1,9,1)&lt;=TODAY(),OR($O399="",$O399&gt;=DATE($B$1,9,1)),OR(COUNTIF($C399:K399,"&gt;0")&gt;0,DATE($B$1,9,1)=DATE(YEAR(TODAY()),MONTH(TODAY()),1))),1,0))</f>
        <v/>
      </c>
      <c r="Y399">
        <f>IF($A399="","",IF(AND($B399&gt;0,L399&lt;$B399,DATE($B$1,10,1)&lt;=TODAY(),OR($O399="",$O399&gt;=DATE($B$1,10,1)),OR(COUNTIF($C399:L399,"&gt;0")&gt;0,DATE($B$1,10,1)=DATE(YEAR(TODAY()),MONTH(TODAY()),1))),1,0))</f>
        <v/>
      </c>
      <c r="Z399">
        <f>IF($A399="","",IF(AND($B399&gt;0,M399&lt;$B399,DATE($B$1,11,1)&lt;=TODAY(),OR($O399="",$O399&gt;=DATE($B$1,11,1)),OR(COUNTIF($C399:M399,"&gt;0")&gt;0,DATE($B$1,11,1)=DATE(YEAR(TODAY()),MONTH(TODAY()),1))),1,0))</f>
        <v/>
      </c>
      <c r="AA399">
        <f>IF($A399="","",IF(AND($B399&gt;0,N399&lt;$B399,DATE($B$1,12,1)&lt;=TODAY(),OR($O399="",$O399&gt;=DATE($B$1,12,1)),OR(COUNTIF($C399:N399,"&gt;0")&gt;0,DATE($B$1,12,1)=DATE(YEAR(TODAY()),MONTH(TODAY()),1))),1,0))</f>
        <v/>
      </c>
    </row>
    <row r="400">
      <c r="A400" s="13">
        <f>IF(원생!$A398="","",원생!$A398&amp;IF(원생!$G398="",""," ("&amp;원생!$G398&amp;")"))</f>
        <v/>
      </c>
      <c r="B400" s="8">
        <f>IF(원생!$A398="","",N(원생!$F398))</f>
        <v/>
      </c>
      <c r="C400" s="14">
        <f>IF(원생!$A398="","",SUMIFS(계산!$C:$C,계산!$A:$A,계산!$E398,계산!$B:$B,$B$1*100+1))</f>
        <v/>
      </c>
      <c r="D400" s="14">
        <f>IF(원생!$A398="","",SUMIFS(계산!$C:$C,계산!$A:$A,계산!$E398,계산!$B:$B,$B$1*100+2))</f>
        <v/>
      </c>
      <c r="E400" s="14">
        <f>IF(원생!$A398="","",SUMIFS(계산!$C:$C,계산!$A:$A,계산!$E398,계산!$B:$B,$B$1*100+3))</f>
        <v/>
      </c>
      <c r="F400" s="14">
        <f>IF(원생!$A398="","",SUMIFS(계산!$C:$C,계산!$A:$A,계산!$E398,계산!$B:$B,$B$1*100+4))</f>
        <v/>
      </c>
      <c r="G400" s="14">
        <f>IF(원생!$A398="","",SUMIFS(계산!$C:$C,계산!$A:$A,계산!$E398,계산!$B:$B,$B$1*100+5))</f>
        <v/>
      </c>
      <c r="H400" s="14">
        <f>IF(원생!$A398="","",SUMIFS(계산!$C:$C,계산!$A:$A,계산!$E398,계산!$B:$B,$B$1*100+6))</f>
        <v/>
      </c>
      <c r="I400" s="14">
        <f>IF(원생!$A398="","",SUMIFS(계산!$C:$C,계산!$A:$A,계산!$E398,계산!$B:$B,$B$1*100+7))</f>
        <v/>
      </c>
      <c r="J400" s="14">
        <f>IF(원생!$A398="","",SUMIFS(계산!$C:$C,계산!$A:$A,계산!$E398,계산!$B:$B,$B$1*100+8))</f>
        <v/>
      </c>
      <c r="K400" s="14">
        <f>IF(원생!$A398="","",SUMIFS(계산!$C:$C,계산!$A:$A,계산!$E398,계산!$B:$B,$B$1*100+9))</f>
        <v/>
      </c>
      <c r="L400" s="14">
        <f>IF(원생!$A398="","",SUMIFS(계산!$C:$C,계산!$A:$A,계산!$E398,계산!$B:$B,$B$1*100+10))</f>
        <v/>
      </c>
      <c r="M400" s="14">
        <f>IF(원생!$A398="","",SUMIFS(계산!$C:$C,계산!$A:$A,계산!$E398,계산!$B:$B,$B$1*100+11))</f>
        <v/>
      </c>
      <c r="N400" s="14">
        <f>IF(원생!$A398="","",SUMIFS(계산!$C:$C,계산!$A:$A,계산!$E398,계산!$B:$B,$B$1*100+12))</f>
        <v/>
      </c>
      <c r="O400">
        <f>IF(원생!$I398="","",원생!$I398)</f>
        <v/>
      </c>
      <c r="P400">
        <f>IF($A400="","",IF(AND($B400&gt;0,C400&lt;$B400,DATE($B$1,1,1)&lt;=TODAY(),OR($O400="",$O400&gt;=DATE($B$1,1,1)),OR(COUNTIF($C400:C400,"&gt;0")&gt;0,DATE($B$1,1,1)=DATE(YEAR(TODAY()),MONTH(TODAY()),1))),1,0))</f>
        <v/>
      </c>
      <c r="Q400">
        <f>IF($A400="","",IF(AND($B400&gt;0,D400&lt;$B400,DATE($B$1,2,1)&lt;=TODAY(),OR($O400="",$O400&gt;=DATE($B$1,2,1)),OR(COUNTIF($C400:D400,"&gt;0")&gt;0,DATE($B$1,2,1)=DATE(YEAR(TODAY()),MONTH(TODAY()),1))),1,0))</f>
        <v/>
      </c>
      <c r="R400">
        <f>IF($A400="","",IF(AND($B400&gt;0,E400&lt;$B400,DATE($B$1,3,1)&lt;=TODAY(),OR($O400="",$O400&gt;=DATE($B$1,3,1)),OR(COUNTIF($C400:E400,"&gt;0")&gt;0,DATE($B$1,3,1)=DATE(YEAR(TODAY()),MONTH(TODAY()),1))),1,0))</f>
        <v/>
      </c>
      <c r="S400">
        <f>IF($A400="","",IF(AND($B400&gt;0,F400&lt;$B400,DATE($B$1,4,1)&lt;=TODAY(),OR($O400="",$O400&gt;=DATE($B$1,4,1)),OR(COUNTIF($C400:F400,"&gt;0")&gt;0,DATE($B$1,4,1)=DATE(YEAR(TODAY()),MONTH(TODAY()),1))),1,0))</f>
        <v/>
      </c>
      <c r="T400">
        <f>IF($A400="","",IF(AND($B400&gt;0,G400&lt;$B400,DATE($B$1,5,1)&lt;=TODAY(),OR($O400="",$O400&gt;=DATE($B$1,5,1)),OR(COUNTIF($C400:G400,"&gt;0")&gt;0,DATE($B$1,5,1)=DATE(YEAR(TODAY()),MONTH(TODAY()),1))),1,0))</f>
        <v/>
      </c>
      <c r="U400">
        <f>IF($A400="","",IF(AND($B400&gt;0,H400&lt;$B400,DATE($B$1,6,1)&lt;=TODAY(),OR($O400="",$O400&gt;=DATE($B$1,6,1)),OR(COUNTIF($C400:H400,"&gt;0")&gt;0,DATE($B$1,6,1)=DATE(YEAR(TODAY()),MONTH(TODAY()),1))),1,0))</f>
        <v/>
      </c>
      <c r="V400">
        <f>IF($A400="","",IF(AND($B400&gt;0,I400&lt;$B400,DATE($B$1,7,1)&lt;=TODAY(),OR($O400="",$O400&gt;=DATE($B$1,7,1)),OR(COUNTIF($C400:I400,"&gt;0")&gt;0,DATE($B$1,7,1)=DATE(YEAR(TODAY()),MONTH(TODAY()),1))),1,0))</f>
        <v/>
      </c>
      <c r="W400">
        <f>IF($A400="","",IF(AND($B400&gt;0,J400&lt;$B400,DATE($B$1,8,1)&lt;=TODAY(),OR($O400="",$O400&gt;=DATE($B$1,8,1)),OR(COUNTIF($C400:J400,"&gt;0")&gt;0,DATE($B$1,8,1)=DATE(YEAR(TODAY()),MONTH(TODAY()),1))),1,0))</f>
        <v/>
      </c>
      <c r="X400">
        <f>IF($A400="","",IF(AND($B400&gt;0,K400&lt;$B400,DATE($B$1,9,1)&lt;=TODAY(),OR($O400="",$O400&gt;=DATE($B$1,9,1)),OR(COUNTIF($C400:K400,"&gt;0")&gt;0,DATE($B$1,9,1)=DATE(YEAR(TODAY()),MONTH(TODAY()),1))),1,0))</f>
        <v/>
      </c>
      <c r="Y400">
        <f>IF($A400="","",IF(AND($B400&gt;0,L400&lt;$B400,DATE($B$1,10,1)&lt;=TODAY(),OR($O400="",$O400&gt;=DATE($B$1,10,1)),OR(COUNTIF($C400:L400,"&gt;0")&gt;0,DATE($B$1,10,1)=DATE(YEAR(TODAY()),MONTH(TODAY()),1))),1,0))</f>
        <v/>
      </c>
      <c r="Z400">
        <f>IF($A400="","",IF(AND($B400&gt;0,M400&lt;$B400,DATE($B$1,11,1)&lt;=TODAY(),OR($O400="",$O400&gt;=DATE($B$1,11,1)),OR(COUNTIF($C400:M400,"&gt;0")&gt;0,DATE($B$1,11,1)=DATE(YEAR(TODAY()),MONTH(TODAY()),1))),1,0))</f>
        <v/>
      </c>
      <c r="AA400">
        <f>IF($A400="","",IF(AND($B400&gt;0,N400&lt;$B400,DATE($B$1,12,1)&lt;=TODAY(),OR($O400="",$O400&gt;=DATE($B$1,12,1)),OR(COUNTIF($C400:N400,"&gt;0")&gt;0,DATE($B$1,12,1)=DATE(YEAR(TODAY()),MONTH(TODAY()),1))),1,0))</f>
        <v/>
      </c>
    </row>
    <row r="401">
      <c r="A401" s="13">
        <f>IF(원생!$A399="","",원생!$A399&amp;IF(원생!$G399="",""," ("&amp;원생!$G399&amp;")"))</f>
        <v/>
      </c>
      <c r="B401" s="8">
        <f>IF(원생!$A399="","",N(원생!$F399))</f>
        <v/>
      </c>
      <c r="C401" s="14">
        <f>IF(원생!$A399="","",SUMIFS(계산!$C:$C,계산!$A:$A,계산!$E399,계산!$B:$B,$B$1*100+1))</f>
        <v/>
      </c>
      <c r="D401" s="14">
        <f>IF(원생!$A399="","",SUMIFS(계산!$C:$C,계산!$A:$A,계산!$E399,계산!$B:$B,$B$1*100+2))</f>
        <v/>
      </c>
      <c r="E401" s="14">
        <f>IF(원생!$A399="","",SUMIFS(계산!$C:$C,계산!$A:$A,계산!$E399,계산!$B:$B,$B$1*100+3))</f>
        <v/>
      </c>
      <c r="F401" s="14">
        <f>IF(원생!$A399="","",SUMIFS(계산!$C:$C,계산!$A:$A,계산!$E399,계산!$B:$B,$B$1*100+4))</f>
        <v/>
      </c>
      <c r="G401" s="14">
        <f>IF(원생!$A399="","",SUMIFS(계산!$C:$C,계산!$A:$A,계산!$E399,계산!$B:$B,$B$1*100+5))</f>
        <v/>
      </c>
      <c r="H401" s="14">
        <f>IF(원생!$A399="","",SUMIFS(계산!$C:$C,계산!$A:$A,계산!$E399,계산!$B:$B,$B$1*100+6))</f>
        <v/>
      </c>
      <c r="I401" s="14">
        <f>IF(원생!$A399="","",SUMIFS(계산!$C:$C,계산!$A:$A,계산!$E399,계산!$B:$B,$B$1*100+7))</f>
        <v/>
      </c>
      <c r="J401" s="14">
        <f>IF(원생!$A399="","",SUMIFS(계산!$C:$C,계산!$A:$A,계산!$E399,계산!$B:$B,$B$1*100+8))</f>
        <v/>
      </c>
      <c r="K401" s="14">
        <f>IF(원생!$A399="","",SUMIFS(계산!$C:$C,계산!$A:$A,계산!$E399,계산!$B:$B,$B$1*100+9))</f>
        <v/>
      </c>
      <c r="L401" s="14">
        <f>IF(원생!$A399="","",SUMIFS(계산!$C:$C,계산!$A:$A,계산!$E399,계산!$B:$B,$B$1*100+10))</f>
        <v/>
      </c>
      <c r="M401" s="14">
        <f>IF(원생!$A399="","",SUMIFS(계산!$C:$C,계산!$A:$A,계산!$E399,계산!$B:$B,$B$1*100+11))</f>
        <v/>
      </c>
      <c r="N401" s="14">
        <f>IF(원생!$A399="","",SUMIFS(계산!$C:$C,계산!$A:$A,계산!$E399,계산!$B:$B,$B$1*100+12))</f>
        <v/>
      </c>
      <c r="O401">
        <f>IF(원생!$I399="","",원생!$I399)</f>
        <v/>
      </c>
      <c r="P401">
        <f>IF($A401="","",IF(AND($B401&gt;0,C401&lt;$B401,DATE($B$1,1,1)&lt;=TODAY(),OR($O401="",$O401&gt;=DATE($B$1,1,1)),OR(COUNTIF($C401:C401,"&gt;0")&gt;0,DATE($B$1,1,1)=DATE(YEAR(TODAY()),MONTH(TODAY()),1))),1,0))</f>
        <v/>
      </c>
      <c r="Q401">
        <f>IF($A401="","",IF(AND($B401&gt;0,D401&lt;$B401,DATE($B$1,2,1)&lt;=TODAY(),OR($O401="",$O401&gt;=DATE($B$1,2,1)),OR(COUNTIF($C401:D401,"&gt;0")&gt;0,DATE($B$1,2,1)=DATE(YEAR(TODAY()),MONTH(TODAY()),1))),1,0))</f>
        <v/>
      </c>
      <c r="R401">
        <f>IF($A401="","",IF(AND($B401&gt;0,E401&lt;$B401,DATE($B$1,3,1)&lt;=TODAY(),OR($O401="",$O401&gt;=DATE($B$1,3,1)),OR(COUNTIF($C401:E401,"&gt;0")&gt;0,DATE($B$1,3,1)=DATE(YEAR(TODAY()),MONTH(TODAY()),1))),1,0))</f>
        <v/>
      </c>
      <c r="S401">
        <f>IF($A401="","",IF(AND($B401&gt;0,F401&lt;$B401,DATE($B$1,4,1)&lt;=TODAY(),OR($O401="",$O401&gt;=DATE($B$1,4,1)),OR(COUNTIF($C401:F401,"&gt;0")&gt;0,DATE($B$1,4,1)=DATE(YEAR(TODAY()),MONTH(TODAY()),1))),1,0))</f>
        <v/>
      </c>
      <c r="T401">
        <f>IF($A401="","",IF(AND($B401&gt;0,G401&lt;$B401,DATE($B$1,5,1)&lt;=TODAY(),OR($O401="",$O401&gt;=DATE($B$1,5,1)),OR(COUNTIF($C401:G401,"&gt;0")&gt;0,DATE($B$1,5,1)=DATE(YEAR(TODAY()),MONTH(TODAY()),1))),1,0))</f>
        <v/>
      </c>
      <c r="U401">
        <f>IF($A401="","",IF(AND($B401&gt;0,H401&lt;$B401,DATE($B$1,6,1)&lt;=TODAY(),OR($O401="",$O401&gt;=DATE($B$1,6,1)),OR(COUNTIF($C401:H401,"&gt;0")&gt;0,DATE($B$1,6,1)=DATE(YEAR(TODAY()),MONTH(TODAY()),1))),1,0))</f>
        <v/>
      </c>
      <c r="V401">
        <f>IF($A401="","",IF(AND($B401&gt;0,I401&lt;$B401,DATE($B$1,7,1)&lt;=TODAY(),OR($O401="",$O401&gt;=DATE($B$1,7,1)),OR(COUNTIF($C401:I401,"&gt;0")&gt;0,DATE($B$1,7,1)=DATE(YEAR(TODAY()),MONTH(TODAY()),1))),1,0))</f>
        <v/>
      </c>
      <c r="W401">
        <f>IF($A401="","",IF(AND($B401&gt;0,J401&lt;$B401,DATE($B$1,8,1)&lt;=TODAY(),OR($O401="",$O401&gt;=DATE($B$1,8,1)),OR(COUNTIF($C401:J401,"&gt;0")&gt;0,DATE($B$1,8,1)=DATE(YEAR(TODAY()),MONTH(TODAY()),1))),1,0))</f>
        <v/>
      </c>
      <c r="X401">
        <f>IF($A401="","",IF(AND($B401&gt;0,K401&lt;$B401,DATE($B$1,9,1)&lt;=TODAY(),OR($O401="",$O401&gt;=DATE($B$1,9,1)),OR(COUNTIF($C401:K401,"&gt;0")&gt;0,DATE($B$1,9,1)=DATE(YEAR(TODAY()),MONTH(TODAY()),1))),1,0))</f>
        <v/>
      </c>
      <c r="Y401">
        <f>IF($A401="","",IF(AND($B401&gt;0,L401&lt;$B401,DATE($B$1,10,1)&lt;=TODAY(),OR($O401="",$O401&gt;=DATE($B$1,10,1)),OR(COUNTIF($C401:L401,"&gt;0")&gt;0,DATE($B$1,10,1)=DATE(YEAR(TODAY()),MONTH(TODAY()),1))),1,0))</f>
        <v/>
      </c>
      <c r="Z401">
        <f>IF($A401="","",IF(AND($B401&gt;0,M401&lt;$B401,DATE($B$1,11,1)&lt;=TODAY(),OR($O401="",$O401&gt;=DATE($B$1,11,1)),OR(COUNTIF($C401:M401,"&gt;0")&gt;0,DATE($B$1,11,1)=DATE(YEAR(TODAY()),MONTH(TODAY()),1))),1,0))</f>
        <v/>
      </c>
      <c r="AA401">
        <f>IF($A401="","",IF(AND($B401&gt;0,N401&lt;$B401,DATE($B$1,12,1)&lt;=TODAY(),OR($O401="",$O401&gt;=DATE($B$1,12,1)),OR(COUNTIF($C401:N401,"&gt;0")&gt;0,DATE($B$1,12,1)=DATE(YEAR(TODAY()),MONTH(TODAY()),1))),1,0))</f>
        <v/>
      </c>
    </row>
    <row r="402">
      <c r="A402" s="13">
        <f>IF(원생!$A400="","",원생!$A400&amp;IF(원생!$G400="",""," ("&amp;원생!$G400&amp;")"))</f>
        <v/>
      </c>
      <c r="B402" s="8">
        <f>IF(원생!$A400="","",N(원생!$F400))</f>
        <v/>
      </c>
      <c r="C402" s="14">
        <f>IF(원생!$A400="","",SUMIFS(계산!$C:$C,계산!$A:$A,계산!$E400,계산!$B:$B,$B$1*100+1))</f>
        <v/>
      </c>
      <c r="D402" s="14">
        <f>IF(원생!$A400="","",SUMIFS(계산!$C:$C,계산!$A:$A,계산!$E400,계산!$B:$B,$B$1*100+2))</f>
        <v/>
      </c>
      <c r="E402" s="14">
        <f>IF(원생!$A400="","",SUMIFS(계산!$C:$C,계산!$A:$A,계산!$E400,계산!$B:$B,$B$1*100+3))</f>
        <v/>
      </c>
      <c r="F402" s="14">
        <f>IF(원생!$A400="","",SUMIFS(계산!$C:$C,계산!$A:$A,계산!$E400,계산!$B:$B,$B$1*100+4))</f>
        <v/>
      </c>
      <c r="G402" s="14">
        <f>IF(원생!$A400="","",SUMIFS(계산!$C:$C,계산!$A:$A,계산!$E400,계산!$B:$B,$B$1*100+5))</f>
        <v/>
      </c>
      <c r="H402" s="14">
        <f>IF(원생!$A400="","",SUMIFS(계산!$C:$C,계산!$A:$A,계산!$E400,계산!$B:$B,$B$1*100+6))</f>
        <v/>
      </c>
      <c r="I402" s="14">
        <f>IF(원생!$A400="","",SUMIFS(계산!$C:$C,계산!$A:$A,계산!$E400,계산!$B:$B,$B$1*100+7))</f>
        <v/>
      </c>
      <c r="J402" s="14">
        <f>IF(원생!$A400="","",SUMIFS(계산!$C:$C,계산!$A:$A,계산!$E400,계산!$B:$B,$B$1*100+8))</f>
        <v/>
      </c>
      <c r="K402" s="14">
        <f>IF(원생!$A400="","",SUMIFS(계산!$C:$C,계산!$A:$A,계산!$E400,계산!$B:$B,$B$1*100+9))</f>
        <v/>
      </c>
      <c r="L402" s="14">
        <f>IF(원생!$A400="","",SUMIFS(계산!$C:$C,계산!$A:$A,계산!$E400,계산!$B:$B,$B$1*100+10))</f>
        <v/>
      </c>
      <c r="M402" s="14">
        <f>IF(원생!$A400="","",SUMIFS(계산!$C:$C,계산!$A:$A,계산!$E400,계산!$B:$B,$B$1*100+11))</f>
        <v/>
      </c>
      <c r="N402" s="14">
        <f>IF(원생!$A400="","",SUMIFS(계산!$C:$C,계산!$A:$A,계산!$E400,계산!$B:$B,$B$1*100+12))</f>
        <v/>
      </c>
      <c r="O402">
        <f>IF(원생!$I400="","",원생!$I400)</f>
        <v/>
      </c>
      <c r="P402">
        <f>IF($A402="","",IF(AND($B402&gt;0,C402&lt;$B402,DATE($B$1,1,1)&lt;=TODAY(),OR($O402="",$O402&gt;=DATE($B$1,1,1)),OR(COUNTIF($C402:C402,"&gt;0")&gt;0,DATE($B$1,1,1)=DATE(YEAR(TODAY()),MONTH(TODAY()),1))),1,0))</f>
        <v/>
      </c>
      <c r="Q402">
        <f>IF($A402="","",IF(AND($B402&gt;0,D402&lt;$B402,DATE($B$1,2,1)&lt;=TODAY(),OR($O402="",$O402&gt;=DATE($B$1,2,1)),OR(COUNTIF($C402:D402,"&gt;0")&gt;0,DATE($B$1,2,1)=DATE(YEAR(TODAY()),MONTH(TODAY()),1))),1,0))</f>
        <v/>
      </c>
      <c r="R402">
        <f>IF($A402="","",IF(AND($B402&gt;0,E402&lt;$B402,DATE($B$1,3,1)&lt;=TODAY(),OR($O402="",$O402&gt;=DATE($B$1,3,1)),OR(COUNTIF($C402:E402,"&gt;0")&gt;0,DATE($B$1,3,1)=DATE(YEAR(TODAY()),MONTH(TODAY()),1))),1,0))</f>
        <v/>
      </c>
      <c r="S402">
        <f>IF($A402="","",IF(AND($B402&gt;0,F402&lt;$B402,DATE($B$1,4,1)&lt;=TODAY(),OR($O402="",$O402&gt;=DATE($B$1,4,1)),OR(COUNTIF($C402:F402,"&gt;0")&gt;0,DATE($B$1,4,1)=DATE(YEAR(TODAY()),MONTH(TODAY()),1))),1,0))</f>
        <v/>
      </c>
      <c r="T402">
        <f>IF($A402="","",IF(AND($B402&gt;0,G402&lt;$B402,DATE($B$1,5,1)&lt;=TODAY(),OR($O402="",$O402&gt;=DATE($B$1,5,1)),OR(COUNTIF($C402:G402,"&gt;0")&gt;0,DATE($B$1,5,1)=DATE(YEAR(TODAY()),MONTH(TODAY()),1))),1,0))</f>
        <v/>
      </c>
      <c r="U402">
        <f>IF($A402="","",IF(AND($B402&gt;0,H402&lt;$B402,DATE($B$1,6,1)&lt;=TODAY(),OR($O402="",$O402&gt;=DATE($B$1,6,1)),OR(COUNTIF($C402:H402,"&gt;0")&gt;0,DATE($B$1,6,1)=DATE(YEAR(TODAY()),MONTH(TODAY()),1))),1,0))</f>
        <v/>
      </c>
      <c r="V402">
        <f>IF($A402="","",IF(AND($B402&gt;0,I402&lt;$B402,DATE($B$1,7,1)&lt;=TODAY(),OR($O402="",$O402&gt;=DATE($B$1,7,1)),OR(COUNTIF($C402:I402,"&gt;0")&gt;0,DATE($B$1,7,1)=DATE(YEAR(TODAY()),MONTH(TODAY()),1))),1,0))</f>
        <v/>
      </c>
      <c r="W402">
        <f>IF($A402="","",IF(AND($B402&gt;0,J402&lt;$B402,DATE($B$1,8,1)&lt;=TODAY(),OR($O402="",$O402&gt;=DATE($B$1,8,1)),OR(COUNTIF($C402:J402,"&gt;0")&gt;0,DATE($B$1,8,1)=DATE(YEAR(TODAY()),MONTH(TODAY()),1))),1,0))</f>
        <v/>
      </c>
      <c r="X402">
        <f>IF($A402="","",IF(AND($B402&gt;0,K402&lt;$B402,DATE($B$1,9,1)&lt;=TODAY(),OR($O402="",$O402&gt;=DATE($B$1,9,1)),OR(COUNTIF($C402:K402,"&gt;0")&gt;0,DATE($B$1,9,1)=DATE(YEAR(TODAY()),MONTH(TODAY()),1))),1,0))</f>
        <v/>
      </c>
      <c r="Y402">
        <f>IF($A402="","",IF(AND($B402&gt;0,L402&lt;$B402,DATE($B$1,10,1)&lt;=TODAY(),OR($O402="",$O402&gt;=DATE($B$1,10,1)),OR(COUNTIF($C402:L402,"&gt;0")&gt;0,DATE($B$1,10,1)=DATE(YEAR(TODAY()),MONTH(TODAY()),1))),1,0))</f>
        <v/>
      </c>
      <c r="Z402">
        <f>IF($A402="","",IF(AND($B402&gt;0,M402&lt;$B402,DATE($B$1,11,1)&lt;=TODAY(),OR($O402="",$O402&gt;=DATE($B$1,11,1)),OR(COUNTIF($C402:M402,"&gt;0")&gt;0,DATE($B$1,11,1)=DATE(YEAR(TODAY()),MONTH(TODAY()),1))),1,0))</f>
        <v/>
      </c>
      <c r="AA402">
        <f>IF($A402="","",IF(AND($B402&gt;0,N402&lt;$B402,DATE($B$1,12,1)&lt;=TODAY(),OR($O402="",$O402&gt;=DATE($B$1,12,1)),OR(COUNTIF($C402:N402,"&gt;0")&gt;0,DATE($B$1,12,1)=DATE(YEAR(TODAY()),MONTH(TODAY()),1))),1,0))</f>
        <v/>
      </c>
    </row>
    <row r="403">
      <c r="A403" s="13">
        <f>IF(원생!$A401="","",원생!$A401&amp;IF(원생!$G401="",""," ("&amp;원생!$G401&amp;")"))</f>
        <v/>
      </c>
      <c r="B403" s="8">
        <f>IF(원생!$A401="","",N(원생!$F401))</f>
        <v/>
      </c>
      <c r="C403" s="14">
        <f>IF(원생!$A401="","",SUMIFS(계산!$C:$C,계산!$A:$A,계산!$E401,계산!$B:$B,$B$1*100+1))</f>
        <v/>
      </c>
      <c r="D403" s="14">
        <f>IF(원생!$A401="","",SUMIFS(계산!$C:$C,계산!$A:$A,계산!$E401,계산!$B:$B,$B$1*100+2))</f>
        <v/>
      </c>
      <c r="E403" s="14">
        <f>IF(원생!$A401="","",SUMIFS(계산!$C:$C,계산!$A:$A,계산!$E401,계산!$B:$B,$B$1*100+3))</f>
        <v/>
      </c>
      <c r="F403" s="14">
        <f>IF(원생!$A401="","",SUMIFS(계산!$C:$C,계산!$A:$A,계산!$E401,계산!$B:$B,$B$1*100+4))</f>
        <v/>
      </c>
      <c r="G403" s="14">
        <f>IF(원생!$A401="","",SUMIFS(계산!$C:$C,계산!$A:$A,계산!$E401,계산!$B:$B,$B$1*100+5))</f>
        <v/>
      </c>
      <c r="H403" s="14">
        <f>IF(원생!$A401="","",SUMIFS(계산!$C:$C,계산!$A:$A,계산!$E401,계산!$B:$B,$B$1*100+6))</f>
        <v/>
      </c>
      <c r="I403" s="14">
        <f>IF(원생!$A401="","",SUMIFS(계산!$C:$C,계산!$A:$A,계산!$E401,계산!$B:$B,$B$1*100+7))</f>
        <v/>
      </c>
      <c r="J403" s="14">
        <f>IF(원생!$A401="","",SUMIFS(계산!$C:$C,계산!$A:$A,계산!$E401,계산!$B:$B,$B$1*100+8))</f>
        <v/>
      </c>
      <c r="K403" s="14">
        <f>IF(원생!$A401="","",SUMIFS(계산!$C:$C,계산!$A:$A,계산!$E401,계산!$B:$B,$B$1*100+9))</f>
        <v/>
      </c>
      <c r="L403" s="14">
        <f>IF(원생!$A401="","",SUMIFS(계산!$C:$C,계산!$A:$A,계산!$E401,계산!$B:$B,$B$1*100+10))</f>
        <v/>
      </c>
      <c r="M403" s="14">
        <f>IF(원생!$A401="","",SUMIFS(계산!$C:$C,계산!$A:$A,계산!$E401,계산!$B:$B,$B$1*100+11))</f>
        <v/>
      </c>
      <c r="N403" s="14">
        <f>IF(원생!$A401="","",SUMIFS(계산!$C:$C,계산!$A:$A,계산!$E401,계산!$B:$B,$B$1*100+12))</f>
        <v/>
      </c>
      <c r="O403">
        <f>IF(원생!$I401="","",원생!$I401)</f>
        <v/>
      </c>
      <c r="P403">
        <f>IF($A403="","",IF(AND($B403&gt;0,C403&lt;$B403,DATE($B$1,1,1)&lt;=TODAY(),OR($O403="",$O403&gt;=DATE($B$1,1,1)),OR(COUNTIF($C403:C403,"&gt;0")&gt;0,DATE($B$1,1,1)=DATE(YEAR(TODAY()),MONTH(TODAY()),1))),1,0))</f>
        <v/>
      </c>
      <c r="Q403">
        <f>IF($A403="","",IF(AND($B403&gt;0,D403&lt;$B403,DATE($B$1,2,1)&lt;=TODAY(),OR($O403="",$O403&gt;=DATE($B$1,2,1)),OR(COUNTIF($C403:D403,"&gt;0")&gt;0,DATE($B$1,2,1)=DATE(YEAR(TODAY()),MONTH(TODAY()),1))),1,0))</f>
        <v/>
      </c>
      <c r="R403">
        <f>IF($A403="","",IF(AND($B403&gt;0,E403&lt;$B403,DATE($B$1,3,1)&lt;=TODAY(),OR($O403="",$O403&gt;=DATE($B$1,3,1)),OR(COUNTIF($C403:E403,"&gt;0")&gt;0,DATE($B$1,3,1)=DATE(YEAR(TODAY()),MONTH(TODAY()),1))),1,0))</f>
        <v/>
      </c>
      <c r="S403">
        <f>IF($A403="","",IF(AND($B403&gt;0,F403&lt;$B403,DATE($B$1,4,1)&lt;=TODAY(),OR($O403="",$O403&gt;=DATE($B$1,4,1)),OR(COUNTIF($C403:F403,"&gt;0")&gt;0,DATE($B$1,4,1)=DATE(YEAR(TODAY()),MONTH(TODAY()),1))),1,0))</f>
        <v/>
      </c>
      <c r="T403">
        <f>IF($A403="","",IF(AND($B403&gt;0,G403&lt;$B403,DATE($B$1,5,1)&lt;=TODAY(),OR($O403="",$O403&gt;=DATE($B$1,5,1)),OR(COUNTIF($C403:G403,"&gt;0")&gt;0,DATE($B$1,5,1)=DATE(YEAR(TODAY()),MONTH(TODAY()),1))),1,0))</f>
        <v/>
      </c>
      <c r="U403">
        <f>IF($A403="","",IF(AND($B403&gt;0,H403&lt;$B403,DATE($B$1,6,1)&lt;=TODAY(),OR($O403="",$O403&gt;=DATE($B$1,6,1)),OR(COUNTIF($C403:H403,"&gt;0")&gt;0,DATE($B$1,6,1)=DATE(YEAR(TODAY()),MONTH(TODAY()),1))),1,0))</f>
        <v/>
      </c>
      <c r="V403">
        <f>IF($A403="","",IF(AND($B403&gt;0,I403&lt;$B403,DATE($B$1,7,1)&lt;=TODAY(),OR($O403="",$O403&gt;=DATE($B$1,7,1)),OR(COUNTIF($C403:I403,"&gt;0")&gt;0,DATE($B$1,7,1)=DATE(YEAR(TODAY()),MONTH(TODAY()),1))),1,0))</f>
        <v/>
      </c>
      <c r="W403">
        <f>IF($A403="","",IF(AND($B403&gt;0,J403&lt;$B403,DATE($B$1,8,1)&lt;=TODAY(),OR($O403="",$O403&gt;=DATE($B$1,8,1)),OR(COUNTIF($C403:J403,"&gt;0")&gt;0,DATE($B$1,8,1)=DATE(YEAR(TODAY()),MONTH(TODAY()),1))),1,0))</f>
        <v/>
      </c>
      <c r="X403">
        <f>IF($A403="","",IF(AND($B403&gt;0,K403&lt;$B403,DATE($B$1,9,1)&lt;=TODAY(),OR($O403="",$O403&gt;=DATE($B$1,9,1)),OR(COUNTIF($C403:K403,"&gt;0")&gt;0,DATE($B$1,9,1)=DATE(YEAR(TODAY()),MONTH(TODAY()),1))),1,0))</f>
        <v/>
      </c>
      <c r="Y403">
        <f>IF($A403="","",IF(AND($B403&gt;0,L403&lt;$B403,DATE($B$1,10,1)&lt;=TODAY(),OR($O403="",$O403&gt;=DATE($B$1,10,1)),OR(COUNTIF($C403:L403,"&gt;0")&gt;0,DATE($B$1,10,1)=DATE(YEAR(TODAY()),MONTH(TODAY()),1))),1,0))</f>
        <v/>
      </c>
      <c r="Z403">
        <f>IF($A403="","",IF(AND($B403&gt;0,M403&lt;$B403,DATE($B$1,11,1)&lt;=TODAY(),OR($O403="",$O403&gt;=DATE($B$1,11,1)),OR(COUNTIF($C403:M403,"&gt;0")&gt;0,DATE($B$1,11,1)=DATE(YEAR(TODAY()),MONTH(TODAY()),1))),1,0))</f>
        <v/>
      </c>
      <c r="AA403">
        <f>IF($A403="","",IF(AND($B403&gt;0,N403&lt;$B403,DATE($B$1,12,1)&lt;=TODAY(),OR($O403="",$O403&gt;=DATE($B$1,12,1)),OR(COUNTIF($C403:N403,"&gt;0")&gt;0,DATE($B$1,12,1)=DATE(YEAR(TODAY()),MONTH(TODAY()),1))),1,0))</f>
        <v/>
      </c>
    </row>
    <row r="404">
      <c r="A404" s="13">
        <f>IF(원생!$A402="","",원생!$A402&amp;IF(원생!$G402="",""," ("&amp;원생!$G402&amp;")"))</f>
        <v/>
      </c>
      <c r="B404" s="8">
        <f>IF(원생!$A402="","",N(원생!$F402))</f>
        <v/>
      </c>
      <c r="C404" s="14">
        <f>IF(원생!$A402="","",SUMIFS(계산!$C:$C,계산!$A:$A,계산!$E402,계산!$B:$B,$B$1*100+1))</f>
        <v/>
      </c>
      <c r="D404" s="14">
        <f>IF(원생!$A402="","",SUMIFS(계산!$C:$C,계산!$A:$A,계산!$E402,계산!$B:$B,$B$1*100+2))</f>
        <v/>
      </c>
      <c r="E404" s="14">
        <f>IF(원생!$A402="","",SUMIFS(계산!$C:$C,계산!$A:$A,계산!$E402,계산!$B:$B,$B$1*100+3))</f>
        <v/>
      </c>
      <c r="F404" s="14">
        <f>IF(원생!$A402="","",SUMIFS(계산!$C:$C,계산!$A:$A,계산!$E402,계산!$B:$B,$B$1*100+4))</f>
        <v/>
      </c>
      <c r="G404" s="14">
        <f>IF(원생!$A402="","",SUMIFS(계산!$C:$C,계산!$A:$A,계산!$E402,계산!$B:$B,$B$1*100+5))</f>
        <v/>
      </c>
      <c r="H404" s="14">
        <f>IF(원생!$A402="","",SUMIFS(계산!$C:$C,계산!$A:$A,계산!$E402,계산!$B:$B,$B$1*100+6))</f>
        <v/>
      </c>
      <c r="I404" s="14">
        <f>IF(원생!$A402="","",SUMIFS(계산!$C:$C,계산!$A:$A,계산!$E402,계산!$B:$B,$B$1*100+7))</f>
        <v/>
      </c>
      <c r="J404" s="14">
        <f>IF(원생!$A402="","",SUMIFS(계산!$C:$C,계산!$A:$A,계산!$E402,계산!$B:$B,$B$1*100+8))</f>
        <v/>
      </c>
      <c r="K404" s="14">
        <f>IF(원생!$A402="","",SUMIFS(계산!$C:$C,계산!$A:$A,계산!$E402,계산!$B:$B,$B$1*100+9))</f>
        <v/>
      </c>
      <c r="L404" s="14">
        <f>IF(원생!$A402="","",SUMIFS(계산!$C:$C,계산!$A:$A,계산!$E402,계산!$B:$B,$B$1*100+10))</f>
        <v/>
      </c>
      <c r="M404" s="14">
        <f>IF(원생!$A402="","",SUMIFS(계산!$C:$C,계산!$A:$A,계산!$E402,계산!$B:$B,$B$1*100+11))</f>
        <v/>
      </c>
      <c r="N404" s="14">
        <f>IF(원생!$A402="","",SUMIFS(계산!$C:$C,계산!$A:$A,계산!$E402,계산!$B:$B,$B$1*100+12))</f>
        <v/>
      </c>
      <c r="O404">
        <f>IF(원생!$I402="","",원생!$I402)</f>
        <v/>
      </c>
      <c r="P404">
        <f>IF($A404="","",IF(AND($B404&gt;0,C404&lt;$B404,DATE($B$1,1,1)&lt;=TODAY(),OR($O404="",$O404&gt;=DATE($B$1,1,1)),OR(COUNTIF($C404:C404,"&gt;0")&gt;0,DATE($B$1,1,1)=DATE(YEAR(TODAY()),MONTH(TODAY()),1))),1,0))</f>
        <v/>
      </c>
      <c r="Q404">
        <f>IF($A404="","",IF(AND($B404&gt;0,D404&lt;$B404,DATE($B$1,2,1)&lt;=TODAY(),OR($O404="",$O404&gt;=DATE($B$1,2,1)),OR(COUNTIF($C404:D404,"&gt;0")&gt;0,DATE($B$1,2,1)=DATE(YEAR(TODAY()),MONTH(TODAY()),1))),1,0))</f>
        <v/>
      </c>
      <c r="R404">
        <f>IF($A404="","",IF(AND($B404&gt;0,E404&lt;$B404,DATE($B$1,3,1)&lt;=TODAY(),OR($O404="",$O404&gt;=DATE($B$1,3,1)),OR(COUNTIF($C404:E404,"&gt;0")&gt;0,DATE($B$1,3,1)=DATE(YEAR(TODAY()),MONTH(TODAY()),1))),1,0))</f>
        <v/>
      </c>
      <c r="S404">
        <f>IF($A404="","",IF(AND($B404&gt;0,F404&lt;$B404,DATE($B$1,4,1)&lt;=TODAY(),OR($O404="",$O404&gt;=DATE($B$1,4,1)),OR(COUNTIF($C404:F404,"&gt;0")&gt;0,DATE($B$1,4,1)=DATE(YEAR(TODAY()),MONTH(TODAY()),1))),1,0))</f>
        <v/>
      </c>
      <c r="T404">
        <f>IF($A404="","",IF(AND($B404&gt;0,G404&lt;$B404,DATE($B$1,5,1)&lt;=TODAY(),OR($O404="",$O404&gt;=DATE($B$1,5,1)),OR(COUNTIF($C404:G404,"&gt;0")&gt;0,DATE($B$1,5,1)=DATE(YEAR(TODAY()),MONTH(TODAY()),1))),1,0))</f>
        <v/>
      </c>
      <c r="U404">
        <f>IF($A404="","",IF(AND($B404&gt;0,H404&lt;$B404,DATE($B$1,6,1)&lt;=TODAY(),OR($O404="",$O404&gt;=DATE($B$1,6,1)),OR(COUNTIF($C404:H404,"&gt;0")&gt;0,DATE($B$1,6,1)=DATE(YEAR(TODAY()),MONTH(TODAY()),1))),1,0))</f>
        <v/>
      </c>
      <c r="V404">
        <f>IF($A404="","",IF(AND($B404&gt;0,I404&lt;$B404,DATE($B$1,7,1)&lt;=TODAY(),OR($O404="",$O404&gt;=DATE($B$1,7,1)),OR(COUNTIF($C404:I404,"&gt;0")&gt;0,DATE($B$1,7,1)=DATE(YEAR(TODAY()),MONTH(TODAY()),1))),1,0))</f>
        <v/>
      </c>
      <c r="W404">
        <f>IF($A404="","",IF(AND($B404&gt;0,J404&lt;$B404,DATE($B$1,8,1)&lt;=TODAY(),OR($O404="",$O404&gt;=DATE($B$1,8,1)),OR(COUNTIF($C404:J404,"&gt;0")&gt;0,DATE($B$1,8,1)=DATE(YEAR(TODAY()),MONTH(TODAY()),1))),1,0))</f>
        <v/>
      </c>
      <c r="X404">
        <f>IF($A404="","",IF(AND($B404&gt;0,K404&lt;$B404,DATE($B$1,9,1)&lt;=TODAY(),OR($O404="",$O404&gt;=DATE($B$1,9,1)),OR(COUNTIF($C404:K404,"&gt;0")&gt;0,DATE($B$1,9,1)=DATE(YEAR(TODAY()),MONTH(TODAY()),1))),1,0))</f>
        <v/>
      </c>
      <c r="Y404">
        <f>IF($A404="","",IF(AND($B404&gt;0,L404&lt;$B404,DATE($B$1,10,1)&lt;=TODAY(),OR($O404="",$O404&gt;=DATE($B$1,10,1)),OR(COUNTIF($C404:L404,"&gt;0")&gt;0,DATE($B$1,10,1)=DATE(YEAR(TODAY()),MONTH(TODAY()),1))),1,0))</f>
        <v/>
      </c>
      <c r="Z404">
        <f>IF($A404="","",IF(AND($B404&gt;0,M404&lt;$B404,DATE($B$1,11,1)&lt;=TODAY(),OR($O404="",$O404&gt;=DATE($B$1,11,1)),OR(COUNTIF($C404:M404,"&gt;0")&gt;0,DATE($B$1,11,1)=DATE(YEAR(TODAY()),MONTH(TODAY()),1))),1,0))</f>
        <v/>
      </c>
      <c r="AA404">
        <f>IF($A404="","",IF(AND($B404&gt;0,N404&lt;$B404,DATE($B$1,12,1)&lt;=TODAY(),OR($O404="",$O404&gt;=DATE($B$1,12,1)),OR(COUNTIF($C404:N404,"&gt;0")&gt;0,DATE($B$1,12,1)=DATE(YEAR(TODAY()),MONTH(TODAY()),1))),1,0))</f>
        <v/>
      </c>
    </row>
    <row r="405">
      <c r="A405" s="13">
        <f>IF(원생!$A403="","",원생!$A403&amp;IF(원생!$G403="",""," ("&amp;원생!$G403&amp;")"))</f>
        <v/>
      </c>
      <c r="B405" s="8">
        <f>IF(원생!$A403="","",N(원생!$F403))</f>
        <v/>
      </c>
      <c r="C405" s="14">
        <f>IF(원생!$A403="","",SUMIFS(계산!$C:$C,계산!$A:$A,계산!$E403,계산!$B:$B,$B$1*100+1))</f>
        <v/>
      </c>
      <c r="D405" s="14">
        <f>IF(원생!$A403="","",SUMIFS(계산!$C:$C,계산!$A:$A,계산!$E403,계산!$B:$B,$B$1*100+2))</f>
        <v/>
      </c>
      <c r="E405" s="14">
        <f>IF(원생!$A403="","",SUMIFS(계산!$C:$C,계산!$A:$A,계산!$E403,계산!$B:$B,$B$1*100+3))</f>
        <v/>
      </c>
      <c r="F405" s="14">
        <f>IF(원생!$A403="","",SUMIFS(계산!$C:$C,계산!$A:$A,계산!$E403,계산!$B:$B,$B$1*100+4))</f>
        <v/>
      </c>
      <c r="G405" s="14">
        <f>IF(원생!$A403="","",SUMIFS(계산!$C:$C,계산!$A:$A,계산!$E403,계산!$B:$B,$B$1*100+5))</f>
        <v/>
      </c>
      <c r="H405" s="14">
        <f>IF(원생!$A403="","",SUMIFS(계산!$C:$C,계산!$A:$A,계산!$E403,계산!$B:$B,$B$1*100+6))</f>
        <v/>
      </c>
      <c r="I405" s="14">
        <f>IF(원생!$A403="","",SUMIFS(계산!$C:$C,계산!$A:$A,계산!$E403,계산!$B:$B,$B$1*100+7))</f>
        <v/>
      </c>
      <c r="J405" s="14">
        <f>IF(원생!$A403="","",SUMIFS(계산!$C:$C,계산!$A:$A,계산!$E403,계산!$B:$B,$B$1*100+8))</f>
        <v/>
      </c>
      <c r="K405" s="14">
        <f>IF(원생!$A403="","",SUMIFS(계산!$C:$C,계산!$A:$A,계산!$E403,계산!$B:$B,$B$1*100+9))</f>
        <v/>
      </c>
      <c r="L405" s="14">
        <f>IF(원생!$A403="","",SUMIFS(계산!$C:$C,계산!$A:$A,계산!$E403,계산!$B:$B,$B$1*100+10))</f>
        <v/>
      </c>
      <c r="M405" s="14">
        <f>IF(원생!$A403="","",SUMIFS(계산!$C:$C,계산!$A:$A,계산!$E403,계산!$B:$B,$B$1*100+11))</f>
        <v/>
      </c>
      <c r="N405" s="14">
        <f>IF(원생!$A403="","",SUMIFS(계산!$C:$C,계산!$A:$A,계산!$E403,계산!$B:$B,$B$1*100+12))</f>
        <v/>
      </c>
      <c r="O405">
        <f>IF(원생!$I403="","",원생!$I403)</f>
        <v/>
      </c>
      <c r="P405">
        <f>IF($A405="","",IF(AND($B405&gt;0,C405&lt;$B405,DATE($B$1,1,1)&lt;=TODAY(),OR($O405="",$O405&gt;=DATE($B$1,1,1)),OR(COUNTIF($C405:C405,"&gt;0")&gt;0,DATE($B$1,1,1)=DATE(YEAR(TODAY()),MONTH(TODAY()),1))),1,0))</f>
        <v/>
      </c>
      <c r="Q405">
        <f>IF($A405="","",IF(AND($B405&gt;0,D405&lt;$B405,DATE($B$1,2,1)&lt;=TODAY(),OR($O405="",$O405&gt;=DATE($B$1,2,1)),OR(COUNTIF($C405:D405,"&gt;0")&gt;0,DATE($B$1,2,1)=DATE(YEAR(TODAY()),MONTH(TODAY()),1))),1,0))</f>
        <v/>
      </c>
      <c r="R405">
        <f>IF($A405="","",IF(AND($B405&gt;0,E405&lt;$B405,DATE($B$1,3,1)&lt;=TODAY(),OR($O405="",$O405&gt;=DATE($B$1,3,1)),OR(COUNTIF($C405:E405,"&gt;0")&gt;0,DATE($B$1,3,1)=DATE(YEAR(TODAY()),MONTH(TODAY()),1))),1,0))</f>
        <v/>
      </c>
      <c r="S405">
        <f>IF($A405="","",IF(AND($B405&gt;0,F405&lt;$B405,DATE($B$1,4,1)&lt;=TODAY(),OR($O405="",$O405&gt;=DATE($B$1,4,1)),OR(COUNTIF($C405:F405,"&gt;0")&gt;0,DATE($B$1,4,1)=DATE(YEAR(TODAY()),MONTH(TODAY()),1))),1,0))</f>
        <v/>
      </c>
      <c r="T405">
        <f>IF($A405="","",IF(AND($B405&gt;0,G405&lt;$B405,DATE($B$1,5,1)&lt;=TODAY(),OR($O405="",$O405&gt;=DATE($B$1,5,1)),OR(COUNTIF($C405:G405,"&gt;0")&gt;0,DATE($B$1,5,1)=DATE(YEAR(TODAY()),MONTH(TODAY()),1))),1,0))</f>
        <v/>
      </c>
      <c r="U405">
        <f>IF($A405="","",IF(AND($B405&gt;0,H405&lt;$B405,DATE($B$1,6,1)&lt;=TODAY(),OR($O405="",$O405&gt;=DATE($B$1,6,1)),OR(COUNTIF($C405:H405,"&gt;0")&gt;0,DATE($B$1,6,1)=DATE(YEAR(TODAY()),MONTH(TODAY()),1))),1,0))</f>
        <v/>
      </c>
      <c r="V405">
        <f>IF($A405="","",IF(AND($B405&gt;0,I405&lt;$B405,DATE($B$1,7,1)&lt;=TODAY(),OR($O405="",$O405&gt;=DATE($B$1,7,1)),OR(COUNTIF($C405:I405,"&gt;0")&gt;0,DATE($B$1,7,1)=DATE(YEAR(TODAY()),MONTH(TODAY()),1))),1,0))</f>
        <v/>
      </c>
      <c r="W405">
        <f>IF($A405="","",IF(AND($B405&gt;0,J405&lt;$B405,DATE($B$1,8,1)&lt;=TODAY(),OR($O405="",$O405&gt;=DATE($B$1,8,1)),OR(COUNTIF($C405:J405,"&gt;0")&gt;0,DATE($B$1,8,1)=DATE(YEAR(TODAY()),MONTH(TODAY()),1))),1,0))</f>
        <v/>
      </c>
      <c r="X405">
        <f>IF($A405="","",IF(AND($B405&gt;0,K405&lt;$B405,DATE($B$1,9,1)&lt;=TODAY(),OR($O405="",$O405&gt;=DATE($B$1,9,1)),OR(COUNTIF($C405:K405,"&gt;0")&gt;0,DATE($B$1,9,1)=DATE(YEAR(TODAY()),MONTH(TODAY()),1))),1,0))</f>
        <v/>
      </c>
      <c r="Y405">
        <f>IF($A405="","",IF(AND($B405&gt;0,L405&lt;$B405,DATE($B$1,10,1)&lt;=TODAY(),OR($O405="",$O405&gt;=DATE($B$1,10,1)),OR(COUNTIF($C405:L405,"&gt;0")&gt;0,DATE($B$1,10,1)=DATE(YEAR(TODAY()),MONTH(TODAY()),1))),1,0))</f>
        <v/>
      </c>
      <c r="Z405">
        <f>IF($A405="","",IF(AND($B405&gt;0,M405&lt;$B405,DATE($B$1,11,1)&lt;=TODAY(),OR($O405="",$O405&gt;=DATE($B$1,11,1)),OR(COUNTIF($C405:M405,"&gt;0")&gt;0,DATE($B$1,11,1)=DATE(YEAR(TODAY()),MONTH(TODAY()),1))),1,0))</f>
        <v/>
      </c>
      <c r="AA405">
        <f>IF($A405="","",IF(AND($B405&gt;0,N405&lt;$B405,DATE($B$1,12,1)&lt;=TODAY(),OR($O405="",$O405&gt;=DATE($B$1,12,1)),OR(COUNTIF($C405:N405,"&gt;0")&gt;0,DATE($B$1,12,1)=DATE(YEAR(TODAY()),MONTH(TODAY()),1))),1,0))</f>
        <v/>
      </c>
    </row>
    <row r="406">
      <c r="A406" s="13">
        <f>IF(원생!$A404="","",원생!$A404&amp;IF(원생!$G404="",""," ("&amp;원생!$G404&amp;")"))</f>
        <v/>
      </c>
      <c r="B406" s="8">
        <f>IF(원생!$A404="","",N(원생!$F404))</f>
        <v/>
      </c>
      <c r="C406" s="14">
        <f>IF(원생!$A404="","",SUMIFS(계산!$C:$C,계산!$A:$A,계산!$E404,계산!$B:$B,$B$1*100+1))</f>
        <v/>
      </c>
      <c r="D406" s="14">
        <f>IF(원생!$A404="","",SUMIFS(계산!$C:$C,계산!$A:$A,계산!$E404,계산!$B:$B,$B$1*100+2))</f>
        <v/>
      </c>
      <c r="E406" s="14">
        <f>IF(원생!$A404="","",SUMIFS(계산!$C:$C,계산!$A:$A,계산!$E404,계산!$B:$B,$B$1*100+3))</f>
        <v/>
      </c>
      <c r="F406" s="14">
        <f>IF(원생!$A404="","",SUMIFS(계산!$C:$C,계산!$A:$A,계산!$E404,계산!$B:$B,$B$1*100+4))</f>
        <v/>
      </c>
      <c r="G406" s="14">
        <f>IF(원생!$A404="","",SUMIFS(계산!$C:$C,계산!$A:$A,계산!$E404,계산!$B:$B,$B$1*100+5))</f>
        <v/>
      </c>
      <c r="H406" s="14">
        <f>IF(원생!$A404="","",SUMIFS(계산!$C:$C,계산!$A:$A,계산!$E404,계산!$B:$B,$B$1*100+6))</f>
        <v/>
      </c>
      <c r="I406" s="14">
        <f>IF(원생!$A404="","",SUMIFS(계산!$C:$C,계산!$A:$A,계산!$E404,계산!$B:$B,$B$1*100+7))</f>
        <v/>
      </c>
      <c r="J406" s="14">
        <f>IF(원생!$A404="","",SUMIFS(계산!$C:$C,계산!$A:$A,계산!$E404,계산!$B:$B,$B$1*100+8))</f>
        <v/>
      </c>
      <c r="K406" s="14">
        <f>IF(원생!$A404="","",SUMIFS(계산!$C:$C,계산!$A:$A,계산!$E404,계산!$B:$B,$B$1*100+9))</f>
        <v/>
      </c>
      <c r="L406" s="14">
        <f>IF(원생!$A404="","",SUMIFS(계산!$C:$C,계산!$A:$A,계산!$E404,계산!$B:$B,$B$1*100+10))</f>
        <v/>
      </c>
      <c r="M406" s="14">
        <f>IF(원생!$A404="","",SUMIFS(계산!$C:$C,계산!$A:$A,계산!$E404,계산!$B:$B,$B$1*100+11))</f>
        <v/>
      </c>
      <c r="N406" s="14">
        <f>IF(원생!$A404="","",SUMIFS(계산!$C:$C,계산!$A:$A,계산!$E404,계산!$B:$B,$B$1*100+12))</f>
        <v/>
      </c>
      <c r="O406">
        <f>IF(원생!$I404="","",원생!$I404)</f>
        <v/>
      </c>
      <c r="P406">
        <f>IF($A406="","",IF(AND($B406&gt;0,C406&lt;$B406,DATE($B$1,1,1)&lt;=TODAY(),OR($O406="",$O406&gt;=DATE($B$1,1,1)),OR(COUNTIF($C406:C406,"&gt;0")&gt;0,DATE($B$1,1,1)=DATE(YEAR(TODAY()),MONTH(TODAY()),1))),1,0))</f>
        <v/>
      </c>
      <c r="Q406">
        <f>IF($A406="","",IF(AND($B406&gt;0,D406&lt;$B406,DATE($B$1,2,1)&lt;=TODAY(),OR($O406="",$O406&gt;=DATE($B$1,2,1)),OR(COUNTIF($C406:D406,"&gt;0")&gt;0,DATE($B$1,2,1)=DATE(YEAR(TODAY()),MONTH(TODAY()),1))),1,0))</f>
        <v/>
      </c>
      <c r="R406">
        <f>IF($A406="","",IF(AND($B406&gt;0,E406&lt;$B406,DATE($B$1,3,1)&lt;=TODAY(),OR($O406="",$O406&gt;=DATE($B$1,3,1)),OR(COUNTIF($C406:E406,"&gt;0")&gt;0,DATE($B$1,3,1)=DATE(YEAR(TODAY()),MONTH(TODAY()),1))),1,0))</f>
        <v/>
      </c>
      <c r="S406">
        <f>IF($A406="","",IF(AND($B406&gt;0,F406&lt;$B406,DATE($B$1,4,1)&lt;=TODAY(),OR($O406="",$O406&gt;=DATE($B$1,4,1)),OR(COUNTIF($C406:F406,"&gt;0")&gt;0,DATE($B$1,4,1)=DATE(YEAR(TODAY()),MONTH(TODAY()),1))),1,0))</f>
        <v/>
      </c>
      <c r="T406">
        <f>IF($A406="","",IF(AND($B406&gt;0,G406&lt;$B406,DATE($B$1,5,1)&lt;=TODAY(),OR($O406="",$O406&gt;=DATE($B$1,5,1)),OR(COUNTIF($C406:G406,"&gt;0")&gt;0,DATE($B$1,5,1)=DATE(YEAR(TODAY()),MONTH(TODAY()),1))),1,0))</f>
        <v/>
      </c>
      <c r="U406">
        <f>IF($A406="","",IF(AND($B406&gt;0,H406&lt;$B406,DATE($B$1,6,1)&lt;=TODAY(),OR($O406="",$O406&gt;=DATE($B$1,6,1)),OR(COUNTIF($C406:H406,"&gt;0")&gt;0,DATE($B$1,6,1)=DATE(YEAR(TODAY()),MONTH(TODAY()),1))),1,0))</f>
        <v/>
      </c>
      <c r="V406">
        <f>IF($A406="","",IF(AND($B406&gt;0,I406&lt;$B406,DATE($B$1,7,1)&lt;=TODAY(),OR($O406="",$O406&gt;=DATE($B$1,7,1)),OR(COUNTIF($C406:I406,"&gt;0")&gt;0,DATE($B$1,7,1)=DATE(YEAR(TODAY()),MONTH(TODAY()),1))),1,0))</f>
        <v/>
      </c>
      <c r="W406">
        <f>IF($A406="","",IF(AND($B406&gt;0,J406&lt;$B406,DATE($B$1,8,1)&lt;=TODAY(),OR($O406="",$O406&gt;=DATE($B$1,8,1)),OR(COUNTIF($C406:J406,"&gt;0")&gt;0,DATE($B$1,8,1)=DATE(YEAR(TODAY()),MONTH(TODAY()),1))),1,0))</f>
        <v/>
      </c>
      <c r="X406">
        <f>IF($A406="","",IF(AND($B406&gt;0,K406&lt;$B406,DATE($B$1,9,1)&lt;=TODAY(),OR($O406="",$O406&gt;=DATE($B$1,9,1)),OR(COUNTIF($C406:K406,"&gt;0")&gt;0,DATE($B$1,9,1)=DATE(YEAR(TODAY()),MONTH(TODAY()),1))),1,0))</f>
        <v/>
      </c>
      <c r="Y406">
        <f>IF($A406="","",IF(AND($B406&gt;0,L406&lt;$B406,DATE($B$1,10,1)&lt;=TODAY(),OR($O406="",$O406&gt;=DATE($B$1,10,1)),OR(COUNTIF($C406:L406,"&gt;0")&gt;0,DATE($B$1,10,1)=DATE(YEAR(TODAY()),MONTH(TODAY()),1))),1,0))</f>
        <v/>
      </c>
      <c r="Z406">
        <f>IF($A406="","",IF(AND($B406&gt;0,M406&lt;$B406,DATE($B$1,11,1)&lt;=TODAY(),OR($O406="",$O406&gt;=DATE($B$1,11,1)),OR(COUNTIF($C406:M406,"&gt;0")&gt;0,DATE($B$1,11,1)=DATE(YEAR(TODAY()),MONTH(TODAY()),1))),1,0))</f>
        <v/>
      </c>
      <c r="AA406">
        <f>IF($A406="","",IF(AND($B406&gt;0,N406&lt;$B406,DATE($B$1,12,1)&lt;=TODAY(),OR($O406="",$O406&gt;=DATE($B$1,12,1)),OR(COUNTIF($C406:N406,"&gt;0")&gt;0,DATE($B$1,12,1)=DATE(YEAR(TODAY()),MONTH(TODAY()),1))),1,0))</f>
        <v/>
      </c>
    </row>
    <row r="407">
      <c r="A407" s="13">
        <f>IF(원생!$A405="","",원생!$A405&amp;IF(원생!$G405="",""," ("&amp;원생!$G405&amp;")"))</f>
        <v/>
      </c>
      <c r="B407" s="8">
        <f>IF(원생!$A405="","",N(원생!$F405))</f>
        <v/>
      </c>
      <c r="C407" s="14">
        <f>IF(원생!$A405="","",SUMIFS(계산!$C:$C,계산!$A:$A,계산!$E405,계산!$B:$B,$B$1*100+1))</f>
        <v/>
      </c>
      <c r="D407" s="14">
        <f>IF(원생!$A405="","",SUMIFS(계산!$C:$C,계산!$A:$A,계산!$E405,계산!$B:$B,$B$1*100+2))</f>
        <v/>
      </c>
      <c r="E407" s="14">
        <f>IF(원생!$A405="","",SUMIFS(계산!$C:$C,계산!$A:$A,계산!$E405,계산!$B:$B,$B$1*100+3))</f>
        <v/>
      </c>
      <c r="F407" s="14">
        <f>IF(원생!$A405="","",SUMIFS(계산!$C:$C,계산!$A:$A,계산!$E405,계산!$B:$B,$B$1*100+4))</f>
        <v/>
      </c>
      <c r="G407" s="14">
        <f>IF(원생!$A405="","",SUMIFS(계산!$C:$C,계산!$A:$A,계산!$E405,계산!$B:$B,$B$1*100+5))</f>
        <v/>
      </c>
      <c r="H407" s="14">
        <f>IF(원생!$A405="","",SUMIFS(계산!$C:$C,계산!$A:$A,계산!$E405,계산!$B:$B,$B$1*100+6))</f>
        <v/>
      </c>
      <c r="I407" s="14">
        <f>IF(원생!$A405="","",SUMIFS(계산!$C:$C,계산!$A:$A,계산!$E405,계산!$B:$B,$B$1*100+7))</f>
        <v/>
      </c>
      <c r="J407" s="14">
        <f>IF(원생!$A405="","",SUMIFS(계산!$C:$C,계산!$A:$A,계산!$E405,계산!$B:$B,$B$1*100+8))</f>
        <v/>
      </c>
      <c r="K407" s="14">
        <f>IF(원생!$A405="","",SUMIFS(계산!$C:$C,계산!$A:$A,계산!$E405,계산!$B:$B,$B$1*100+9))</f>
        <v/>
      </c>
      <c r="L407" s="14">
        <f>IF(원생!$A405="","",SUMIFS(계산!$C:$C,계산!$A:$A,계산!$E405,계산!$B:$B,$B$1*100+10))</f>
        <v/>
      </c>
      <c r="M407" s="14">
        <f>IF(원생!$A405="","",SUMIFS(계산!$C:$C,계산!$A:$A,계산!$E405,계산!$B:$B,$B$1*100+11))</f>
        <v/>
      </c>
      <c r="N407" s="14">
        <f>IF(원생!$A405="","",SUMIFS(계산!$C:$C,계산!$A:$A,계산!$E405,계산!$B:$B,$B$1*100+12))</f>
        <v/>
      </c>
      <c r="O407">
        <f>IF(원생!$I405="","",원생!$I405)</f>
        <v/>
      </c>
      <c r="P407">
        <f>IF($A407="","",IF(AND($B407&gt;0,C407&lt;$B407,DATE($B$1,1,1)&lt;=TODAY(),OR($O407="",$O407&gt;=DATE($B$1,1,1)),OR(COUNTIF($C407:C407,"&gt;0")&gt;0,DATE($B$1,1,1)=DATE(YEAR(TODAY()),MONTH(TODAY()),1))),1,0))</f>
        <v/>
      </c>
      <c r="Q407">
        <f>IF($A407="","",IF(AND($B407&gt;0,D407&lt;$B407,DATE($B$1,2,1)&lt;=TODAY(),OR($O407="",$O407&gt;=DATE($B$1,2,1)),OR(COUNTIF($C407:D407,"&gt;0")&gt;0,DATE($B$1,2,1)=DATE(YEAR(TODAY()),MONTH(TODAY()),1))),1,0))</f>
        <v/>
      </c>
      <c r="R407">
        <f>IF($A407="","",IF(AND($B407&gt;0,E407&lt;$B407,DATE($B$1,3,1)&lt;=TODAY(),OR($O407="",$O407&gt;=DATE($B$1,3,1)),OR(COUNTIF($C407:E407,"&gt;0")&gt;0,DATE($B$1,3,1)=DATE(YEAR(TODAY()),MONTH(TODAY()),1))),1,0))</f>
        <v/>
      </c>
      <c r="S407">
        <f>IF($A407="","",IF(AND($B407&gt;0,F407&lt;$B407,DATE($B$1,4,1)&lt;=TODAY(),OR($O407="",$O407&gt;=DATE($B$1,4,1)),OR(COUNTIF($C407:F407,"&gt;0")&gt;0,DATE($B$1,4,1)=DATE(YEAR(TODAY()),MONTH(TODAY()),1))),1,0))</f>
        <v/>
      </c>
      <c r="T407">
        <f>IF($A407="","",IF(AND($B407&gt;0,G407&lt;$B407,DATE($B$1,5,1)&lt;=TODAY(),OR($O407="",$O407&gt;=DATE($B$1,5,1)),OR(COUNTIF($C407:G407,"&gt;0")&gt;0,DATE($B$1,5,1)=DATE(YEAR(TODAY()),MONTH(TODAY()),1))),1,0))</f>
        <v/>
      </c>
      <c r="U407">
        <f>IF($A407="","",IF(AND($B407&gt;0,H407&lt;$B407,DATE($B$1,6,1)&lt;=TODAY(),OR($O407="",$O407&gt;=DATE($B$1,6,1)),OR(COUNTIF($C407:H407,"&gt;0")&gt;0,DATE($B$1,6,1)=DATE(YEAR(TODAY()),MONTH(TODAY()),1))),1,0))</f>
        <v/>
      </c>
      <c r="V407">
        <f>IF($A407="","",IF(AND($B407&gt;0,I407&lt;$B407,DATE($B$1,7,1)&lt;=TODAY(),OR($O407="",$O407&gt;=DATE($B$1,7,1)),OR(COUNTIF($C407:I407,"&gt;0")&gt;0,DATE($B$1,7,1)=DATE(YEAR(TODAY()),MONTH(TODAY()),1))),1,0))</f>
        <v/>
      </c>
      <c r="W407">
        <f>IF($A407="","",IF(AND($B407&gt;0,J407&lt;$B407,DATE($B$1,8,1)&lt;=TODAY(),OR($O407="",$O407&gt;=DATE($B$1,8,1)),OR(COUNTIF($C407:J407,"&gt;0")&gt;0,DATE($B$1,8,1)=DATE(YEAR(TODAY()),MONTH(TODAY()),1))),1,0))</f>
        <v/>
      </c>
      <c r="X407">
        <f>IF($A407="","",IF(AND($B407&gt;0,K407&lt;$B407,DATE($B$1,9,1)&lt;=TODAY(),OR($O407="",$O407&gt;=DATE($B$1,9,1)),OR(COUNTIF($C407:K407,"&gt;0")&gt;0,DATE($B$1,9,1)=DATE(YEAR(TODAY()),MONTH(TODAY()),1))),1,0))</f>
        <v/>
      </c>
      <c r="Y407">
        <f>IF($A407="","",IF(AND($B407&gt;0,L407&lt;$B407,DATE($B$1,10,1)&lt;=TODAY(),OR($O407="",$O407&gt;=DATE($B$1,10,1)),OR(COUNTIF($C407:L407,"&gt;0")&gt;0,DATE($B$1,10,1)=DATE(YEAR(TODAY()),MONTH(TODAY()),1))),1,0))</f>
        <v/>
      </c>
      <c r="Z407">
        <f>IF($A407="","",IF(AND($B407&gt;0,M407&lt;$B407,DATE($B$1,11,1)&lt;=TODAY(),OR($O407="",$O407&gt;=DATE($B$1,11,1)),OR(COUNTIF($C407:M407,"&gt;0")&gt;0,DATE($B$1,11,1)=DATE(YEAR(TODAY()),MONTH(TODAY()),1))),1,0))</f>
        <v/>
      </c>
      <c r="AA407">
        <f>IF($A407="","",IF(AND($B407&gt;0,N407&lt;$B407,DATE($B$1,12,1)&lt;=TODAY(),OR($O407="",$O407&gt;=DATE($B$1,12,1)),OR(COUNTIF($C407:N407,"&gt;0")&gt;0,DATE($B$1,12,1)=DATE(YEAR(TODAY()),MONTH(TODAY()),1))),1,0))</f>
        <v/>
      </c>
    </row>
    <row r="408">
      <c r="A408" s="13">
        <f>IF(원생!$A406="","",원생!$A406&amp;IF(원생!$G406="",""," ("&amp;원생!$G406&amp;")"))</f>
        <v/>
      </c>
      <c r="B408" s="8">
        <f>IF(원생!$A406="","",N(원생!$F406))</f>
        <v/>
      </c>
      <c r="C408" s="14">
        <f>IF(원생!$A406="","",SUMIFS(계산!$C:$C,계산!$A:$A,계산!$E406,계산!$B:$B,$B$1*100+1))</f>
        <v/>
      </c>
      <c r="D408" s="14">
        <f>IF(원생!$A406="","",SUMIFS(계산!$C:$C,계산!$A:$A,계산!$E406,계산!$B:$B,$B$1*100+2))</f>
        <v/>
      </c>
      <c r="E408" s="14">
        <f>IF(원생!$A406="","",SUMIFS(계산!$C:$C,계산!$A:$A,계산!$E406,계산!$B:$B,$B$1*100+3))</f>
        <v/>
      </c>
      <c r="F408" s="14">
        <f>IF(원생!$A406="","",SUMIFS(계산!$C:$C,계산!$A:$A,계산!$E406,계산!$B:$B,$B$1*100+4))</f>
        <v/>
      </c>
      <c r="G408" s="14">
        <f>IF(원생!$A406="","",SUMIFS(계산!$C:$C,계산!$A:$A,계산!$E406,계산!$B:$B,$B$1*100+5))</f>
        <v/>
      </c>
      <c r="H408" s="14">
        <f>IF(원생!$A406="","",SUMIFS(계산!$C:$C,계산!$A:$A,계산!$E406,계산!$B:$B,$B$1*100+6))</f>
        <v/>
      </c>
      <c r="I408" s="14">
        <f>IF(원생!$A406="","",SUMIFS(계산!$C:$C,계산!$A:$A,계산!$E406,계산!$B:$B,$B$1*100+7))</f>
        <v/>
      </c>
      <c r="J408" s="14">
        <f>IF(원생!$A406="","",SUMIFS(계산!$C:$C,계산!$A:$A,계산!$E406,계산!$B:$B,$B$1*100+8))</f>
        <v/>
      </c>
      <c r="K408" s="14">
        <f>IF(원생!$A406="","",SUMIFS(계산!$C:$C,계산!$A:$A,계산!$E406,계산!$B:$B,$B$1*100+9))</f>
        <v/>
      </c>
      <c r="L408" s="14">
        <f>IF(원생!$A406="","",SUMIFS(계산!$C:$C,계산!$A:$A,계산!$E406,계산!$B:$B,$B$1*100+10))</f>
        <v/>
      </c>
      <c r="M408" s="14">
        <f>IF(원생!$A406="","",SUMIFS(계산!$C:$C,계산!$A:$A,계산!$E406,계산!$B:$B,$B$1*100+11))</f>
        <v/>
      </c>
      <c r="N408" s="14">
        <f>IF(원생!$A406="","",SUMIFS(계산!$C:$C,계산!$A:$A,계산!$E406,계산!$B:$B,$B$1*100+12))</f>
        <v/>
      </c>
      <c r="O408">
        <f>IF(원생!$I406="","",원생!$I406)</f>
        <v/>
      </c>
      <c r="P408">
        <f>IF($A408="","",IF(AND($B408&gt;0,C408&lt;$B408,DATE($B$1,1,1)&lt;=TODAY(),OR($O408="",$O408&gt;=DATE($B$1,1,1)),OR(COUNTIF($C408:C408,"&gt;0")&gt;0,DATE($B$1,1,1)=DATE(YEAR(TODAY()),MONTH(TODAY()),1))),1,0))</f>
        <v/>
      </c>
      <c r="Q408">
        <f>IF($A408="","",IF(AND($B408&gt;0,D408&lt;$B408,DATE($B$1,2,1)&lt;=TODAY(),OR($O408="",$O408&gt;=DATE($B$1,2,1)),OR(COUNTIF($C408:D408,"&gt;0")&gt;0,DATE($B$1,2,1)=DATE(YEAR(TODAY()),MONTH(TODAY()),1))),1,0))</f>
        <v/>
      </c>
      <c r="R408">
        <f>IF($A408="","",IF(AND($B408&gt;0,E408&lt;$B408,DATE($B$1,3,1)&lt;=TODAY(),OR($O408="",$O408&gt;=DATE($B$1,3,1)),OR(COUNTIF($C408:E408,"&gt;0")&gt;0,DATE($B$1,3,1)=DATE(YEAR(TODAY()),MONTH(TODAY()),1))),1,0))</f>
        <v/>
      </c>
      <c r="S408">
        <f>IF($A408="","",IF(AND($B408&gt;0,F408&lt;$B408,DATE($B$1,4,1)&lt;=TODAY(),OR($O408="",$O408&gt;=DATE($B$1,4,1)),OR(COUNTIF($C408:F408,"&gt;0")&gt;0,DATE($B$1,4,1)=DATE(YEAR(TODAY()),MONTH(TODAY()),1))),1,0))</f>
        <v/>
      </c>
      <c r="T408">
        <f>IF($A408="","",IF(AND($B408&gt;0,G408&lt;$B408,DATE($B$1,5,1)&lt;=TODAY(),OR($O408="",$O408&gt;=DATE($B$1,5,1)),OR(COUNTIF($C408:G408,"&gt;0")&gt;0,DATE($B$1,5,1)=DATE(YEAR(TODAY()),MONTH(TODAY()),1))),1,0))</f>
        <v/>
      </c>
      <c r="U408">
        <f>IF($A408="","",IF(AND($B408&gt;0,H408&lt;$B408,DATE($B$1,6,1)&lt;=TODAY(),OR($O408="",$O408&gt;=DATE($B$1,6,1)),OR(COUNTIF($C408:H408,"&gt;0")&gt;0,DATE($B$1,6,1)=DATE(YEAR(TODAY()),MONTH(TODAY()),1))),1,0))</f>
        <v/>
      </c>
      <c r="V408">
        <f>IF($A408="","",IF(AND($B408&gt;0,I408&lt;$B408,DATE($B$1,7,1)&lt;=TODAY(),OR($O408="",$O408&gt;=DATE($B$1,7,1)),OR(COUNTIF($C408:I408,"&gt;0")&gt;0,DATE($B$1,7,1)=DATE(YEAR(TODAY()),MONTH(TODAY()),1))),1,0))</f>
        <v/>
      </c>
      <c r="W408">
        <f>IF($A408="","",IF(AND($B408&gt;0,J408&lt;$B408,DATE($B$1,8,1)&lt;=TODAY(),OR($O408="",$O408&gt;=DATE($B$1,8,1)),OR(COUNTIF($C408:J408,"&gt;0")&gt;0,DATE($B$1,8,1)=DATE(YEAR(TODAY()),MONTH(TODAY()),1))),1,0))</f>
        <v/>
      </c>
      <c r="X408">
        <f>IF($A408="","",IF(AND($B408&gt;0,K408&lt;$B408,DATE($B$1,9,1)&lt;=TODAY(),OR($O408="",$O408&gt;=DATE($B$1,9,1)),OR(COUNTIF($C408:K408,"&gt;0")&gt;0,DATE($B$1,9,1)=DATE(YEAR(TODAY()),MONTH(TODAY()),1))),1,0))</f>
        <v/>
      </c>
      <c r="Y408">
        <f>IF($A408="","",IF(AND($B408&gt;0,L408&lt;$B408,DATE($B$1,10,1)&lt;=TODAY(),OR($O408="",$O408&gt;=DATE($B$1,10,1)),OR(COUNTIF($C408:L408,"&gt;0")&gt;0,DATE($B$1,10,1)=DATE(YEAR(TODAY()),MONTH(TODAY()),1))),1,0))</f>
        <v/>
      </c>
      <c r="Z408">
        <f>IF($A408="","",IF(AND($B408&gt;0,M408&lt;$B408,DATE($B$1,11,1)&lt;=TODAY(),OR($O408="",$O408&gt;=DATE($B$1,11,1)),OR(COUNTIF($C408:M408,"&gt;0")&gt;0,DATE($B$1,11,1)=DATE(YEAR(TODAY()),MONTH(TODAY()),1))),1,0))</f>
        <v/>
      </c>
      <c r="AA408">
        <f>IF($A408="","",IF(AND($B408&gt;0,N408&lt;$B408,DATE($B$1,12,1)&lt;=TODAY(),OR($O408="",$O408&gt;=DATE($B$1,12,1)),OR(COUNTIF($C408:N408,"&gt;0")&gt;0,DATE($B$1,12,1)=DATE(YEAR(TODAY()),MONTH(TODAY()),1))),1,0))</f>
        <v/>
      </c>
    </row>
    <row r="409">
      <c r="A409" s="13">
        <f>IF(원생!$A407="","",원생!$A407&amp;IF(원생!$G407="",""," ("&amp;원생!$G407&amp;")"))</f>
        <v/>
      </c>
      <c r="B409" s="8">
        <f>IF(원생!$A407="","",N(원생!$F407))</f>
        <v/>
      </c>
      <c r="C409" s="14">
        <f>IF(원생!$A407="","",SUMIFS(계산!$C:$C,계산!$A:$A,계산!$E407,계산!$B:$B,$B$1*100+1))</f>
        <v/>
      </c>
      <c r="D409" s="14">
        <f>IF(원생!$A407="","",SUMIFS(계산!$C:$C,계산!$A:$A,계산!$E407,계산!$B:$B,$B$1*100+2))</f>
        <v/>
      </c>
      <c r="E409" s="14">
        <f>IF(원생!$A407="","",SUMIFS(계산!$C:$C,계산!$A:$A,계산!$E407,계산!$B:$B,$B$1*100+3))</f>
        <v/>
      </c>
      <c r="F409" s="14">
        <f>IF(원생!$A407="","",SUMIFS(계산!$C:$C,계산!$A:$A,계산!$E407,계산!$B:$B,$B$1*100+4))</f>
        <v/>
      </c>
      <c r="G409" s="14">
        <f>IF(원생!$A407="","",SUMIFS(계산!$C:$C,계산!$A:$A,계산!$E407,계산!$B:$B,$B$1*100+5))</f>
        <v/>
      </c>
      <c r="H409" s="14">
        <f>IF(원생!$A407="","",SUMIFS(계산!$C:$C,계산!$A:$A,계산!$E407,계산!$B:$B,$B$1*100+6))</f>
        <v/>
      </c>
      <c r="I409" s="14">
        <f>IF(원생!$A407="","",SUMIFS(계산!$C:$C,계산!$A:$A,계산!$E407,계산!$B:$B,$B$1*100+7))</f>
        <v/>
      </c>
      <c r="J409" s="14">
        <f>IF(원생!$A407="","",SUMIFS(계산!$C:$C,계산!$A:$A,계산!$E407,계산!$B:$B,$B$1*100+8))</f>
        <v/>
      </c>
      <c r="K409" s="14">
        <f>IF(원생!$A407="","",SUMIFS(계산!$C:$C,계산!$A:$A,계산!$E407,계산!$B:$B,$B$1*100+9))</f>
        <v/>
      </c>
      <c r="L409" s="14">
        <f>IF(원생!$A407="","",SUMIFS(계산!$C:$C,계산!$A:$A,계산!$E407,계산!$B:$B,$B$1*100+10))</f>
        <v/>
      </c>
      <c r="M409" s="14">
        <f>IF(원생!$A407="","",SUMIFS(계산!$C:$C,계산!$A:$A,계산!$E407,계산!$B:$B,$B$1*100+11))</f>
        <v/>
      </c>
      <c r="N409" s="14">
        <f>IF(원생!$A407="","",SUMIFS(계산!$C:$C,계산!$A:$A,계산!$E407,계산!$B:$B,$B$1*100+12))</f>
        <v/>
      </c>
      <c r="O409">
        <f>IF(원생!$I407="","",원생!$I407)</f>
        <v/>
      </c>
      <c r="P409">
        <f>IF($A409="","",IF(AND($B409&gt;0,C409&lt;$B409,DATE($B$1,1,1)&lt;=TODAY(),OR($O409="",$O409&gt;=DATE($B$1,1,1)),OR(COUNTIF($C409:C409,"&gt;0")&gt;0,DATE($B$1,1,1)=DATE(YEAR(TODAY()),MONTH(TODAY()),1))),1,0))</f>
        <v/>
      </c>
      <c r="Q409">
        <f>IF($A409="","",IF(AND($B409&gt;0,D409&lt;$B409,DATE($B$1,2,1)&lt;=TODAY(),OR($O409="",$O409&gt;=DATE($B$1,2,1)),OR(COUNTIF($C409:D409,"&gt;0")&gt;0,DATE($B$1,2,1)=DATE(YEAR(TODAY()),MONTH(TODAY()),1))),1,0))</f>
        <v/>
      </c>
      <c r="R409">
        <f>IF($A409="","",IF(AND($B409&gt;0,E409&lt;$B409,DATE($B$1,3,1)&lt;=TODAY(),OR($O409="",$O409&gt;=DATE($B$1,3,1)),OR(COUNTIF($C409:E409,"&gt;0")&gt;0,DATE($B$1,3,1)=DATE(YEAR(TODAY()),MONTH(TODAY()),1))),1,0))</f>
        <v/>
      </c>
      <c r="S409">
        <f>IF($A409="","",IF(AND($B409&gt;0,F409&lt;$B409,DATE($B$1,4,1)&lt;=TODAY(),OR($O409="",$O409&gt;=DATE($B$1,4,1)),OR(COUNTIF($C409:F409,"&gt;0")&gt;0,DATE($B$1,4,1)=DATE(YEAR(TODAY()),MONTH(TODAY()),1))),1,0))</f>
        <v/>
      </c>
      <c r="T409">
        <f>IF($A409="","",IF(AND($B409&gt;0,G409&lt;$B409,DATE($B$1,5,1)&lt;=TODAY(),OR($O409="",$O409&gt;=DATE($B$1,5,1)),OR(COUNTIF($C409:G409,"&gt;0")&gt;0,DATE($B$1,5,1)=DATE(YEAR(TODAY()),MONTH(TODAY()),1))),1,0))</f>
        <v/>
      </c>
      <c r="U409">
        <f>IF($A409="","",IF(AND($B409&gt;0,H409&lt;$B409,DATE($B$1,6,1)&lt;=TODAY(),OR($O409="",$O409&gt;=DATE($B$1,6,1)),OR(COUNTIF($C409:H409,"&gt;0")&gt;0,DATE($B$1,6,1)=DATE(YEAR(TODAY()),MONTH(TODAY()),1))),1,0))</f>
        <v/>
      </c>
      <c r="V409">
        <f>IF($A409="","",IF(AND($B409&gt;0,I409&lt;$B409,DATE($B$1,7,1)&lt;=TODAY(),OR($O409="",$O409&gt;=DATE($B$1,7,1)),OR(COUNTIF($C409:I409,"&gt;0")&gt;0,DATE($B$1,7,1)=DATE(YEAR(TODAY()),MONTH(TODAY()),1))),1,0))</f>
        <v/>
      </c>
      <c r="W409">
        <f>IF($A409="","",IF(AND($B409&gt;0,J409&lt;$B409,DATE($B$1,8,1)&lt;=TODAY(),OR($O409="",$O409&gt;=DATE($B$1,8,1)),OR(COUNTIF($C409:J409,"&gt;0")&gt;0,DATE($B$1,8,1)=DATE(YEAR(TODAY()),MONTH(TODAY()),1))),1,0))</f>
        <v/>
      </c>
      <c r="X409">
        <f>IF($A409="","",IF(AND($B409&gt;0,K409&lt;$B409,DATE($B$1,9,1)&lt;=TODAY(),OR($O409="",$O409&gt;=DATE($B$1,9,1)),OR(COUNTIF($C409:K409,"&gt;0")&gt;0,DATE($B$1,9,1)=DATE(YEAR(TODAY()),MONTH(TODAY()),1))),1,0))</f>
        <v/>
      </c>
      <c r="Y409">
        <f>IF($A409="","",IF(AND($B409&gt;0,L409&lt;$B409,DATE($B$1,10,1)&lt;=TODAY(),OR($O409="",$O409&gt;=DATE($B$1,10,1)),OR(COUNTIF($C409:L409,"&gt;0")&gt;0,DATE($B$1,10,1)=DATE(YEAR(TODAY()),MONTH(TODAY()),1))),1,0))</f>
        <v/>
      </c>
      <c r="Z409">
        <f>IF($A409="","",IF(AND($B409&gt;0,M409&lt;$B409,DATE($B$1,11,1)&lt;=TODAY(),OR($O409="",$O409&gt;=DATE($B$1,11,1)),OR(COUNTIF($C409:M409,"&gt;0")&gt;0,DATE($B$1,11,1)=DATE(YEAR(TODAY()),MONTH(TODAY()),1))),1,0))</f>
        <v/>
      </c>
      <c r="AA409">
        <f>IF($A409="","",IF(AND($B409&gt;0,N409&lt;$B409,DATE($B$1,12,1)&lt;=TODAY(),OR($O409="",$O409&gt;=DATE($B$1,12,1)),OR(COUNTIF($C409:N409,"&gt;0")&gt;0,DATE($B$1,12,1)=DATE(YEAR(TODAY()),MONTH(TODAY()),1))),1,0))</f>
        <v/>
      </c>
    </row>
    <row r="410">
      <c r="A410" s="13">
        <f>IF(원생!$A408="","",원생!$A408&amp;IF(원생!$G408="",""," ("&amp;원생!$G408&amp;")"))</f>
        <v/>
      </c>
      <c r="B410" s="8">
        <f>IF(원생!$A408="","",N(원생!$F408))</f>
        <v/>
      </c>
      <c r="C410" s="14">
        <f>IF(원생!$A408="","",SUMIFS(계산!$C:$C,계산!$A:$A,계산!$E408,계산!$B:$B,$B$1*100+1))</f>
        <v/>
      </c>
      <c r="D410" s="14">
        <f>IF(원생!$A408="","",SUMIFS(계산!$C:$C,계산!$A:$A,계산!$E408,계산!$B:$B,$B$1*100+2))</f>
        <v/>
      </c>
      <c r="E410" s="14">
        <f>IF(원생!$A408="","",SUMIFS(계산!$C:$C,계산!$A:$A,계산!$E408,계산!$B:$B,$B$1*100+3))</f>
        <v/>
      </c>
      <c r="F410" s="14">
        <f>IF(원생!$A408="","",SUMIFS(계산!$C:$C,계산!$A:$A,계산!$E408,계산!$B:$B,$B$1*100+4))</f>
        <v/>
      </c>
      <c r="G410" s="14">
        <f>IF(원생!$A408="","",SUMIFS(계산!$C:$C,계산!$A:$A,계산!$E408,계산!$B:$B,$B$1*100+5))</f>
        <v/>
      </c>
      <c r="H410" s="14">
        <f>IF(원생!$A408="","",SUMIFS(계산!$C:$C,계산!$A:$A,계산!$E408,계산!$B:$B,$B$1*100+6))</f>
        <v/>
      </c>
      <c r="I410" s="14">
        <f>IF(원생!$A408="","",SUMIFS(계산!$C:$C,계산!$A:$A,계산!$E408,계산!$B:$B,$B$1*100+7))</f>
        <v/>
      </c>
      <c r="J410" s="14">
        <f>IF(원생!$A408="","",SUMIFS(계산!$C:$C,계산!$A:$A,계산!$E408,계산!$B:$B,$B$1*100+8))</f>
        <v/>
      </c>
      <c r="K410" s="14">
        <f>IF(원생!$A408="","",SUMIFS(계산!$C:$C,계산!$A:$A,계산!$E408,계산!$B:$B,$B$1*100+9))</f>
        <v/>
      </c>
      <c r="L410" s="14">
        <f>IF(원생!$A408="","",SUMIFS(계산!$C:$C,계산!$A:$A,계산!$E408,계산!$B:$B,$B$1*100+10))</f>
        <v/>
      </c>
      <c r="M410" s="14">
        <f>IF(원생!$A408="","",SUMIFS(계산!$C:$C,계산!$A:$A,계산!$E408,계산!$B:$B,$B$1*100+11))</f>
        <v/>
      </c>
      <c r="N410" s="14">
        <f>IF(원생!$A408="","",SUMIFS(계산!$C:$C,계산!$A:$A,계산!$E408,계산!$B:$B,$B$1*100+12))</f>
        <v/>
      </c>
      <c r="O410">
        <f>IF(원생!$I408="","",원생!$I408)</f>
        <v/>
      </c>
      <c r="P410">
        <f>IF($A410="","",IF(AND($B410&gt;0,C410&lt;$B410,DATE($B$1,1,1)&lt;=TODAY(),OR($O410="",$O410&gt;=DATE($B$1,1,1)),OR(COUNTIF($C410:C410,"&gt;0")&gt;0,DATE($B$1,1,1)=DATE(YEAR(TODAY()),MONTH(TODAY()),1))),1,0))</f>
        <v/>
      </c>
      <c r="Q410">
        <f>IF($A410="","",IF(AND($B410&gt;0,D410&lt;$B410,DATE($B$1,2,1)&lt;=TODAY(),OR($O410="",$O410&gt;=DATE($B$1,2,1)),OR(COUNTIF($C410:D410,"&gt;0")&gt;0,DATE($B$1,2,1)=DATE(YEAR(TODAY()),MONTH(TODAY()),1))),1,0))</f>
        <v/>
      </c>
      <c r="R410">
        <f>IF($A410="","",IF(AND($B410&gt;0,E410&lt;$B410,DATE($B$1,3,1)&lt;=TODAY(),OR($O410="",$O410&gt;=DATE($B$1,3,1)),OR(COUNTIF($C410:E410,"&gt;0")&gt;0,DATE($B$1,3,1)=DATE(YEAR(TODAY()),MONTH(TODAY()),1))),1,0))</f>
        <v/>
      </c>
      <c r="S410">
        <f>IF($A410="","",IF(AND($B410&gt;0,F410&lt;$B410,DATE($B$1,4,1)&lt;=TODAY(),OR($O410="",$O410&gt;=DATE($B$1,4,1)),OR(COUNTIF($C410:F410,"&gt;0")&gt;0,DATE($B$1,4,1)=DATE(YEAR(TODAY()),MONTH(TODAY()),1))),1,0))</f>
        <v/>
      </c>
      <c r="T410">
        <f>IF($A410="","",IF(AND($B410&gt;0,G410&lt;$B410,DATE($B$1,5,1)&lt;=TODAY(),OR($O410="",$O410&gt;=DATE($B$1,5,1)),OR(COUNTIF($C410:G410,"&gt;0")&gt;0,DATE($B$1,5,1)=DATE(YEAR(TODAY()),MONTH(TODAY()),1))),1,0))</f>
        <v/>
      </c>
      <c r="U410">
        <f>IF($A410="","",IF(AND($B410&gt;0,H410&lt;$B410,DATE($B$1,6,1)&lt;=TODAY(),OR($O410="",$O410&gt;=DATE($B$1,6,1)),OR(COUNTIF($C410:H410,"&gt;0")&gt;0,DATE($B$1,6,1)=DATE(YEAR(TODAY()),MONTH(TODAY()),1))),1,0))</f>
        <v/>
      </c>
      <c r="V410">
        <f>IF($A410="","",IF(AND($B410&gt;0,I410&lt;$B410,DATE($B$1,7,1)&lt;=TODAY(),OR($O410="",$O410&gt;=DATE($B$1,7,1)),OR(COUNTIF($C410:I410,"&gt;0")&gt;0,DATE($B$1,7,1)=DATE(YEAR(TODAY()),MONTH(TODAY()),1))),1,0))</f>
        <v/>
      </c>
      <c r="W410">
        <f>IF($A410="","",IF(AND($B410&gt;0,J410&lt;$B410,DATE($B$1,8,1)&lt;=TODAY(),OR($O410="",$O410&gt;=DATE($B$1,8,1)),OR(COUNTIF($C410:J410,"&gt;0")&gt;0,DATE($B$1,8,1)=DATE(YEAR(TODAY()),MONTH(TODAY()),1))),1,0))</f>
        <v/>
      </c>
      <c r="X410">
        <f>IF($A410="","",IF(AND($B410&gt;0,K410&lt;$B410,DATE($B$1,9,1)&lt;=TODAY(),OR($O410="",$O410&gt;=DATE($B$1,9,1)),OR(COUNTIF($C410:K410,"&gt;0")&gt;0,DATE($B$1,9,1)=DATE(YEAR(TODAY()),MONTH(TODAY()),1))),1,0))</f>
        <v/>
      </c>
      <c r="Y410">
        <f>IF($A410="","",IF(AND($B410&gt;0,L410&lt;$B410,DATE($B$1,10,1)&lt;=TODAY(),OR($O410="",$O410&gt;=DATE($B$1,10,1)),OR(COUNTIF($C410:L410,"&gt;0")&gt;0,DATE($B$1,10,1)=DATE(YEAR(TODAY()),MONTH(TODAY()),1))),1,0))</f>
        <v/>
      </c>
      <c r="Z410">
        <f>IF($A410="","",IF(AND($B410&gt;0,M410&lt;$B410,DATE($B$1,11,1)&lt;=TODAY(),OR($O410="",$O410&gt;=DATE($B$1,11,1)),OR(COUNTIF($C410:M410,"&gt;0")&gt;0,DATE($B$1,11,1)=DATE(YEAR(TODAY()),MONTH(TODAY()),1))),1,0))</f>
        <v/>
      </c>
      <c r="AA410">
        <f>IF($A410="","",IF(AND($B410&gt;0,N410&lt;$B410,DATE($B$1,12,1)&lt;=TODAY(),OR($O410="",$O410&gt;=DATE($B$1,12,1)),OR(COUNTIF($C410:N410,"&gt;0")&gt;0,DATE($B$1,12,1)=DATE(YEAR(TODAY()),MONTH(TODAY()),1))),1,0))</f>
        <v/>
      </c>
    </row>
    <row r="411">
      <c r="A411" s="13">
        <f>IF(원생!$A409="","",원생!$A409&amp;IF(원생!$G409="",""," ("&amp;원생!$G409&amp;")"))</f>
        <v/>
      </c>
      <c r="B411" s="8">
        <f>IF(원생!$A409="","",N(원생!$F409))</f>
        <v/>
      </c>
      <c r="C411" s="14">
        <f>IF(원생!$A409="","",SUMIFS(계산!$C:$C,계산!$A:$A,계산!$E409,계산!$B:$B,$B$1*100+1))</f>
        <v/>
      </c>
      <c r="D411" s="14">
        <f>IF(원생!$A409="","",SUMIFS(계산!$C:$C,계산!$A:$A,계산!$E409,계산!$B:$B,$B$1*100+2))</f>
        <v/>
      </c>
      <c r="E411" s="14">
        <f>IF(원생!$A409="","",SUMIFS(계산!$C:$C,계산!$A:$A,계산!$E409,계산!$B:$B,$B$1*100+3))</f>
        <v/>
      </c>
      <c r="F411" s="14">
        <f>IF(원생!$A409="","",SUMIFS(계산!$C:$C,계산!$A:$A,계산!$E409,계산!$B:$B,$B$1*100+4))</f>
        <v/>
      </c>
      <c r="G411" s="14">
        <f>IF(원생!$A409="","",SUMIFS(계산!$C:$C,계산!$A:$A,계산!$E409,계산!$B:$B,$B$1*100+5))</f>
        <v/>
      </c>
      <c r="H411" s="14">
        <f>IF(원생!$A409="","",SUMIFS(계산!$C:$C,계산!$A:$A,계산!$E409,계산!$B:$B,$B$1*100+6))</f>
        <v/>
      </c>
      <c r="I411" s="14">
        <f>IF(원생!$A409="","",SUMIFS(계산!$C:$C,계산!$A:$A,계산!$E409,계산!$B:$B,$B$1*100+7))</f>
        <v/>
      </c>
      <c r="J411" s="14">
        <f>IF(원생!$A409="","",SUMIFS(계산!$C:$C,계산!$A:$A,계산!$E409,계산!$B:$B,$B$1*100+8))</f>
        <v/>
      </c>
      <c r="K411" s="14">
        <f>IF(원생!$A409="","",SUMIFS(계산!$C:$C,계산!$A:$A,계산!$E409,계산!$B:$B,$B$1*100+9))</f>
        <v/>
      </c>
      <c r="L411" s="14">
        <f>IF(원생!$A409="","",SUMIFS(계산!$C:$C,계산!$A:$A,계산!$E409,계산!$B:$B,$B$1*100+10))</f>
        <v/>
      </c>
      <c r="M411" s="14">
        <f>IF(원생!$A409="","",SUMIFS(계산!$C:$C,계산!$A:$A,계산!$E409,계산!$B:$B,$B$1*100+11))</f>
        <v/>
      </c>
      <c r="N411" s="14">
        <f>IF(원생!$A409="","",SUMIFS(계산!$C:$C,계산!$A:$A,계산!$E409,계산!$B:$B,$B$1*100+12))</f>
        <v/>
      </c>
      <c r="O411">
        <f>IF(원생!$I409="","",원생!$I409)</f>
        <v/>
      </c>
      <c r="P411">
        <f>IF($A411="","",IF(AND($B411&gt;0,C411&lt;$B411,DATE($B$1,1,1)&lt;=TODAY(),OR($O411="",$O411&gt;=DATE($B$1,1,1)),OR(COUNTIF($C411:C411,"&gt;0")&gt;0,DATE($B$1,1,1)=DATE(YEAR(TODAY()),MONTH(TODAY()),1))),1,0))</f>
        <v/>
      </c>
      <c r="Q411">
        <f>IF($A411="","",IF(AND($B411&gt;0,D411&lt;$B411,DATE($B$1,2,1)&lt;=TODAY(),OR($O411="",$O411&gt;=DATE($B$1,2,1)),OR(COUNTIF($C411:D411,"&gt;0")&gt;0,DATE($B$1,2,1)=DATE(YEAR(TODAY()),MONTH(TODAY()),1))),1,0))</f>
        <v/>
      </c>
      <c r="R411">
        <f>IF($A411="","",IF(AND($B411&gt;0,E411&lt;$B411,DATE($B$1,3,1)&lt;=TODAY(),OR($O411="",$O411&gt;=DATE($B$1,3,1)),OR(COUNTIF($C411:E411,"&gt;0")&gt;0,DATE($B$1,3,1)=DATE(YEAR(TODAY()),MONTH(TODAY()),1))),1,0))</f>
        <v/>
      </c>
      <c r="S411">
        <f>IF($A411="","",IF(AND($B411&gt;0,F411&lt;$B411,DATE($B$1,4,1)&lt;=TODAY(),OR($O411="",$O411&gt;=DATE($B$1,4,1)),OR(COUNTIF($C411:F411,"&gt;0")&gt;0,DATE($B$1,4,1)=DATE(YEAR(TODAY()),MONTH(TODAY()),1))),1,0))</f>
        <v/>
      </c>
      <c r="T411">
        <f>IF($A411="","",IF(AND($B411&gt;0,G411&lt;$B411,DATE($B$1,5,1)&lt;=TODAY(),OR($O411="",$O411&gt;=DATE($B$1,5,1)),OR(COUNTIF($C411:G411,"&gt;0")&gt;0,DATE($B$1,5,1)=DATE(YEAR(TODAY()),MONTH(TODAY()),1))),1,0))</f>
        <v/>
      </c>
      <c r="U411">
        <f>IF($A411="","",IF(AND($B411&gt;0,H411&lt;$B411,DATE($B$1,6,1)&lt;=TODAY(),OR($O411="",$O411&gt;=DATE($B$1,6,1)),OR(COUNTIF($C411:H411,"&gt;0")&gt;0,DATE($B$1,6,1)=DATE(YEAR(TODAY()),MONTH(TODAY()),1))),1,0))</f>
        <v/>
      </c>
      <c r="V411">
        <f>IF($A411="","",IF(AND($B411&gt;0,I411&lt;$B411,DATE($B$1,7,1)&lt;=TODAY(),OR($O411="",$O411&gt;=DATE($B$1,7,1)),OR(COUNTIF($C411:I411,"&gt;0")&gt;0,DATE($B$1,7,1)=DATE(YEAR(TODAY()),MONTH(TODAY()),1))),1,0))</f>
        <v/>
      </c>
      <c r="W411">
        <f>IF($A411="","",IF(AND($B411&gt;0,J411&lt;$B411,DATE($B$1,8,1)&lt;=TODAY(),OR($O411="",$O411&gt;=DATE($B$1,8,1)),OR(COUNTIF($C411:J411,"&gt;0")&gt;0,DATE($B$1,8,1)=DATE(YEAR(TODAY()),MONTH(TODAY()),1))),1,0))</f>
        <v/>
      </c>
      <c r="X411">
        <f>IF($A411="","",IF(AND($B411&gt;0,K411&lt;$B411,DATE($B$1,9,1)&lt;=TODAY(),OR($O411="",$O411&gt;=DATE($B$1,9,1)),OR(COUNTIF($C411:K411,"&gt;0")&gt;0,DATE($B$1,9,1)=DATE(YEAR(TODAY()),MONTH(TODAY()),1))),1,0))</f>
        <v/>
      </c>
      <c r="Y411">
        <f>IF($A411="","",IF(AND($B411&gt;0,L411&lt;$B411,DATE($B$1,10,1)&lt;=TODAY(),OR($O411="",$O411&gt;=DATE($B$1,10,1)),OR(COUNTIF($C411:L411,"&gt;0")&gt;0,DATE($B$1,10,1)=DATE(YEAR(TODAY()),MONTH(TODAY()),1))),1,0))</f>
        <v/>
      </c>
      <c r="Z411">
        <f>IF($A411="","",IF(AND($B411&gt;0,M411&lt;$B411,DATE($B$1,11,1)&lt;=TODAY(),OR($O411="",$O411&gt;=DATE($B$1,11,1)),OR(COUNTIF($C411:M411,"&gt;0")&gt;0,DATE($B$1,11,1)=DATE(YEAR(TODAY()),MONTH(TODAY()),1))),1,0))</f>
        <v/>
      </c>
      <c r="AA411">
        <f>IF($A411="","",IF(AND($B411&gt;0,N411&lt;$B411,DATE($B$1,12,1)&lt;=TODAY(),OR($O411="",$O411&gt;=DATE($B$1,12,1)),OR(COUNTIF($C411:N411,"&gt;0")&gt;0,DATE($B$1,12,1)=DATE(YEAR(TODAY()),MONTH(TODAY()),1))),1,0))</f>
        <v/>
      </c>
    </row>
    <row r="412">
      <c r="A412" s="13">
        <f>IF(원생!$A410="","",원생!$A410&amp;IF(원생!$G410="",""," ("&amp;원생!$G410&amp;")"))</f>
        <v/>
      </c>
      <c r="B412" s="8">
        <f>IF(원생!$A410="","",N(원생!$F410))</f>
        <v/>
      </c>
      <c r="C412" s="14">
        <f>IF(원생!$A410="","",SUMIFS(계산!$C:$C,계산!$A:$A,계산!$E410,계산!$B:$B,$B$1*100+1))</f>
        <v/>
      </c>
      <c r="D412" s="14">
        <f>IF(원생!$A410="","",SUMIFS(계산!$C:$C,계산!$A:$A,계산!$E410,계산!$B:$B,$B$1*100+2))</f>
        <v/>
      </c>
      <c r="E412" s="14">
        <f>IF(원생!$A410="","",SUMIFS(계산!$C:$C,계산!$A:$A,계산!$E410,계산!$B:$B,$B$1*100+3))</f>
        <v/>
      </c>
      <c r="F412" s="14">
        <f>IF(원생!$A410="","",SUMIFS(계산!$C:$C,계산!$A:$A,계산!$E410,계산!$B:$B,$B$1*100+4))</f>
        <v/>
      </c>
      <c r="G412" s="14">
        <f>IF(원생!$A410="","",SUMIFS(계산!$C:$C,계산!$A:$A,계산!$E410,계산!$B:$B,$B$1*100+5))</f>
        <v/>
      </c>
      <c r="H412" s="14">
        <f>IF(원생!$A410="","",SUMIFS(계산!$C:$C,계산!$A:$A,계산!$E410,계산!$B:$B,$B$1*100+6))</f>
        <v/>
      </c>
      <c r="I412" s="14">
        <f>IF(원생!$A410="","",SUMIFS(계산!$C:$C,계산!$A:$A,계산!$E410,계산!$B:$B,$B$1*100+7))</f>
        <v/>
      </c>
      <c r="J412" s="14">
        <f>IF(원생!$A410="","",SUMIFS(계산!$C:$C,계산!$A:$A,계산!$E410,계산!$B:$B,$B$1*100+8))</f>
        <v/>
      </c>
      <c r="K412" s="14">
        <f>IF(원생!$A410="","",SUMIFS(계산!$C:$C,계산!$A:$A,계산!$E410,계산!$B:$B,$B$1*100+9))</f>
        <v/>
      </c>
      <c r="L412" s="14">
        <f>IF(원생!$A410="","",SUMIFS(계산!$C:$C,계산!$A:$A,계산!$E410,계산!$B:$B,$B$1*100+10))</f>
        <v/>
      </c>
      <c r="M412" s="14">
        <f>IF(원생!$A410="","",SUMIFS(계산!$C:$C,계산!$A:$A,계산!$E410,계산!$B:$B,$B$1*100+11))</f>
        <v/>
      </c>
      <c r="N412" s="14">
        <f>IF(원생!$A410="","",SUMIFS(계산!$C:$C,계산!$A:$A,계산!$E410,계산!$B:$B,$B$1*100+12))</f>
        <v/>
      </c>
      <c r="O412">
        <f>IF(원생!$I410="","",원생!$I410)</f>
        <v/>
      </c>
      <c r="P412">
        <f>IF($A412="","",IF(AND($B412&gt;0,C412&lt;$B412,DATE($B$1,1,1)&lt;=TODAY(),OR($O412="",$O412&gt;=DATE($B$1,1,1)),OR(COUNTIF($C412:C412,"&gt;0")&gt;0,DATE($B$1,1,1)=DATE(YEAR(TODAY()),MONTH(TODAY()),1))),1,0))</f>
        <v/>
      </c>
      <c r="Q412">
        <f>IF($A412="","",IF(AND($B412&gt;0,D412&lt;$B412,DATE($B$1,2,1)&lt;=TODAY(),OR($O412="",$O412&gt;=DATE($B$1,2,1)),OR(COUNTIF($C412:D412,"&gt;0")&gt;0,DATE($B$1,2,1)=DATE(YEAR(TODAY()),MONTH(TODAY()),1))),1,0))</f>
        <v/>
      </c>
      <c r="R412">
        <f>IF($A412="","",IF(AND($B412&gt;0,E412&lt;$B412,DATE($B$1,3,1)&lt;=TODAY(),OR($O412="",$O412&gt;=DATE($B$1,3,1)),OR(COUNTIF($C412:E412,"&gt;0")&gt;0,DATE($B$1,3,1)=DATE(YEAR(TODAY()),MONTH(TODAY()),1))),1,0))</f>
        <v/>
      </c>
      <c r="S412">
        <f>IF($A412="","",IF(AND($B412&gt;0,F412&lt;$B412,DATE($B$1,4,1)&lt;=TODAY(),OR($O412="",$O412&gt;=DATE($B$1,4,1)),OR(COUNTIF($C412:F412,"&gt;0")&gt;0,DATE($B$1,4,1)=DATE(YEAR(TODAY()),MONTH(TODAY()),1))),1,0))</f>
        <v/>
      </c>
      <c r="T412">
        <f>IF($A412="","",IF(AND($B412&gt;0,G412&lt;$B412,DATE($B$1,5,1)&lt;=TODAY(),OR($O412="",$O412&gt;=DATE($B$1,5,1)),OR(COUNTIF($C412:G412,"&gt;0")&gt;0,DATE($B$1,5,1)=DATE(YEAR(TODAY()),MONTH(TODAY()),1))),1,0))</f>
        <v/>
      </c>
      <c r="U412">
        <f>IF($A412="","",IF(AND($B412&gt;0,H412&lt;$B412,DATE($B$1,6,1)&lt;=TODAY(),OR($O412="",$O412&gt;=DATE($B$1,6,1)),OR(COUNTIF($C412:H412,"&gt;0")&gt;0,DATE($B$1,6,1)=DATE(YEAR(TODAY()),MONTH(TODAY()),1))),1,0))</f>
        <v/>
      </c>
      <c r="V412">
        <f>IF($A412="","",IF(AND($B412&gt;0,I412&lt;$B412,DATE($B$1,7,1)&lt;=TODAY(),OR($O412="",$O412&gt;=DATE($B$1,7,1)),OR(COUNTIF($C412:I412,"&gt;0")&gt;0,DATE($B$1,7,1)=DATE(YEAR(TODAY()),MONTH(TODAY()),1))),1,0))</f>
        <v/>
      </c>
      <c r="W412">
        <f>IF($A412="","",IF(AND($B412&gt;0,J412&lt;$B412,DATE($B$1,8,1)&lt;=TODAY(),OR($O412="",$O412&gt;=DATE($B$1,8,1)),OR(COUNTIF($C412:J412,"&gt;0")&gt;0,DATE($B$1,8,1)=DATE(YEAR(TODAY()),MONTH(TODAY()),1))),1,0))</f>
        <v/>
      </c>
      <c r="X412">
        <f>IF($A412="","",IF(AND($B412&gt;0,K412&lt;$B412,DATE($B$1,9,1)&lt;=TODAY(),OR($O412="",$O412&gt;=DATE($B$1,9,1)),OR(COUNTIF($C412:K412,"&gt;0")&gt;0,DATE($B$1,9,1)=DATE(YEAR(TODAY()),MONTH(TODAY()),1))),1,0))</f>
        <v/>
      </c>
      <c r="Y412">
        <f>IF($A412="","",IF(AND($B412&gt;0,L412&lt;$B412,DATE($B$1,10,1)&lt;=TODAY(),OR($O412="",$O412&gt;=DATE($B$1,10,1)),OR(COUNTIF($C412:L412,"&gt;0")&gt;0,DATE($B$1,10,1)=DATE(YEAR(TODAY()),MONTH(TODAY()),1))),1,0))</f>
        <v/>
      </c>
      <c r="Z412">
        <f>IF($A412="","",IF(AND($B412&gt;0,M412&lt;$B412,DATE($B$1,11,1)&lt;=TODAY(),OR($O412="",$O412&gt;=DATE($B$1,11,1)),OR(COUNTIF($C412:M412,"&gt;0")&gt;0,DATE($B$1,11,1)=DATE(YEAR(TODAY()),MONTH(TODAY()),1))),1,0))</f>
        <v/>
      </c>
      <c r="AA412">
        <f>IF($A412="","",IF(AND($B412&gt;0,N412&lt;$B412,DATE($B$1,12,1)&lt;=TODAY(),OR($O412="",$O412&gt;=DATE($B$1,12,1)),OR(COUNTIF($C412:N412,"&gt;0")&gt;0,DATE($B$1,12,1)=DATE(YEAR(TODAY()),MONTH(TODAY()),1))),1,0))</f>
        <v/>
      </c>
    </row>
    <row r="413">
      <c r="A413" s="13">
        <f>IF(원생!$A411="","",원생!$A411&amp;IF(원생!$G411="",""," ("&amp;원생!$G411&amp;")"))</f>
        <v/>
      </c>
      <c r="B413" s="8">
        <f>IF(원생!$A411="","",N(원생!$F411))</f>
        <v/>
      </c>
      <c r="C413" s="14">
        <f>IF(원생!$A411="","",SUMIFS(계산!$C:$C,계산!$A:$A,계산!$E411,계산!$B:$B,$B$1*100+1))</f>
        <v/>
      </c>
      <c r="D413" s="14">
        <f>IF(원생!$A411="","",SUMIFS(계산!$C:$C,계산!$A:$A,계산!$E411,계산!$B:$B,$B$1*100+2))</f>
        <v/>
      </c>
      <c r="E413" s="14">
        <f>IF(원생!$A411="","",SUMIFS(계산!$C:$C,계산!$A:$A,계산!$E411,계산!$B:$B,$B$1*100+3))</f>
        <v/>
      </c>
      <c r="F413" s="14">
        <f>IF(원생!$A411="","",SUMIFS(계산!$C:$C,계산!$A:$A,계산!$E411,계산!$B:$B,$B$1*100+4))</f>
        <v/>
      </c>
      <c r="G413" s="14">
        <f>IF(원생!$A411="","",SUMIFS(계산!$C:$C,계산!$A:$A,계산!$E411,계산!$B:$B,$B$1*100+5))</f>
        <v/>
      </c>
      <c r="H413" s="14">
        <f>IF(원생!$A411="","",SUMIFS(계산!$C:$C,계산!$A:$A,계산!$E411,계산!$B:$B,$B$1*100+6))</f>
        <v/>
      </c>
      <c r="I413" s="14">
        <f>IF(원생!$A411="","",SUMIFS(계산!$C:$C,계산!$A:$A,계산!$E411,계산!$B:$B,$B$1*100+7))</f>
        <v/>
      </c>
      <c r="J413" s="14">
        <f>IF(원생!$A411="","",SUMIFS(계산!$C:$C,계산!$A:$A,계산!$E411,계산!$B:$B,$B$1*100+8))</f>
        <v/>
      </c>
      <c r="K413" s="14">
        <f>IF(원생!$A411="","",SUMIFS(계산!$C:$C,계산!$A:$A,계산!$E411,계산!$B:$B,$B$1*100+9))</f>
        <v/>
      </c>
      <c r="L413" s="14">
        <f>IF(원생!$A411="","",SUMIFS(계산!$C:$C,계산!$A:$A,계산!$E411,계산!$B:$B,$B$1*100+10))</f>
        <v/>
      </c>
      <c r="M413" s="14">
        <f>IF(원생!$A411="","",SUMIFS(계산!$C:$C,계산!$A:$A,계산!$E411,계산!$B:$B,$B$1*100+11))</f>
        <v/>
      </c>
      <c r="N413" s="14">
        <f>IF(원생!$A411="","",SUMIFS(계산!$C:$C,계산!$A:$A,계산!$E411,계산!$B:$B,$B$1*100+12))</f>
        <v/>
      </c>
      <c r="O413">
        <f>IF(원생!$I411="","",원생!$I411)</f>
        <v/>
      </c>
      <c r="P413">
        <f>IF($A413="","",IF(AND($B413&gt;0,C413&lt;$B413,DATE($B$1,1,1)&lt;=TODAY(),OR($O413="",$O413&gt;=DATE($B$1,1,1)),OR(COUNTIF($C413:C413,"&gt;0")&gt;0,DATE($B$1,1,1)=DATE(YEAR(TODAY()),MONTH(TODAY()),1))),1,0))</f>
        <v/>
      </c>
      <c r="Q413">
        <f>IF($A413="","",IF(AND($B413&gt;0,D413&lt;$B413,DATE($B$1,2,1)&lt;=TODAY(),OR($O413="",$O413&gt;=DATE($B$1,2,1)),OR(COUNTIF($C413:D413,"&gt;0")&gt;0,DATE($B$1,2,1)=DATE(YEAR(TODAY()),MONTH(TODAY()),1))),1,0))</f>
        <v/>
      </c>
      <c r="R413">
        <f>IF($A413="","",IF(AND($B413&gt;0,E413&lt;$B413,DATE($B$1,3,1)&lt;=TODAY(),OR($O413="",$O413&gt;=DATE($B$1,3,1)),OR(COUNTIF($C413:E413,"&gt;0")&gt;0,DATE($B$1,3,1)=DATE(YEAR(TODAY()),MONTH(TODAY()),1))),1,0))</f>
        <v/>
      </c>
      <c r="S413">
        <f>IF($A413="","",IF(AND($B413&gt;0,F413&lt;$B413,DATE($B$1,4,1)&lt;=TODAY(),OR($O413="",$O413&gt;=DATE($B$1,4,1)),OR(COUNTIF($C413:F413,"&gt;0")&gt;0,DATE($B$1,4,1)=DATE(YEAR(TODAY()),MONTH(TODAY()),1))),1,0))</f>
        <v/>
      </c>
      <c r="T413">
        <f>IF($A413="","",IF(AND($B413&gt;0,G413&lt;$B413,DATE($B$1,5,1)&lt;=TODAY(),OR($O413="",$O413&gt;=DATE($B$1,5,1)),OR(COUNTIF($C413:G413,"&gt;0")&gt;0,DATE($B$1,5,1)=DATE(YEAR(TODAY()),MONTH(TODAY()),1))),1,0))</f>
        <v/>
      </c>
      <c r="U413">
        <f>IF($A413="","",IF(AND($B413&gt;0,H413&lt;$B413,DATE($B$1,6,1)&lt;=TODAY(),OR($O413="",$O413&gt;=DATE($B$1,6,1)),OR(COUNTIF($C413:H413,"&gt;0")&gt;0,DATE($B$1,6,1)=DATE(YEAR(TODAY()),MONTH(TODAY()),1))),1,0))</f>
        <v/>
      </c>
      <c r="V413">
        <f>IF($A413="","",IF(AND($B413&gt;0,I413&lt;$B413,DATE($B$1,7,1)&lt;=TODAY(),OR($O413="",$O413&gt;=DATE($B$1,7,1)),OR(COUNTIF($C413:I413,"&gt;0")&gt;0,DATE($B$1,7,1)=DATE(YEAR(TODAY()),MONTH(TODAY()),1))),1,0))</f>
        <v/>
      </c>
      <c r="W413">
        <f>IF($A413="","",IF(AND($B413&gt;0,J413&lt;$B413,DATE($B$1,8,1)&lt;=TODAY(),OR($O413="",$O413&gt;=DATE($B$1,8,1)),OR(COUNTIF($C413:J413,"&gt;0")&gt;0,DATE($B$1,8,1)=DATE(YEAR(TODAY()),MONTH(TODAY()),1))),1,0))</f>
        <v/>
      </c>
      <c r="X413">
        <f>IF($A413="","",IF(AND($B413&gt;0,K413&lt;$B413,DATE($B$1,9,1)&lt;=TODAY(),OR($O413="",$O413&gt;=DATE($B$1,9,1)),OR(COUNTIF($C413:K413,"&gt;0")&gt;0,DATE($B$1,9,1)=DATE(YEAR(TODAY()),MONTH(TODAY()),1))),1,0))</f>
        <v/>
      </c>
      <c r="Y413">
        <f>IF($A413="","",IF(AND($B413&gt;0,L413&lt;$B413,DATE($B$1,10,1)&lt;=TODAY(),OR($O413="",$O413&gt;=DATE($B$1,10,1)),OR(COUNTIF($C413:L413,"&gt;0")&gt;0,DATE($B$1,10,1)=DATE(YEAR(TODAY()),MONTH(TODAY()),1))),1,0))</f>
        <v/>
      </c>
      <c r="Z413">
        <f>IF($A413="","",IF(AND($B413&gt;0,M413&lt;$B413,DATE($B$1,11,1)&lt;=TODAY(),OR($O413="",$O413&gt;=DATE($B$1,11,1)),OR(COUNTIF($C413:M413,"&gt;0")&gt;0,DATE($B$1,11,1)=DATE(YEAR(TODAY()),MONTH(TODAY()),1))),1,0))</f>
        <v/>
      </c>
      <c r="AA413">
        <f>IF($A413="","",IF(AND($B413&gt;0,N413&lt;$B413,DATE($B$1,12,1)&lt;=TODAY(),OR($O413="",$O413&gt;=DATE($B$1,12,1)),OR(COUNTIF($C413:N413,"&gt;0")&gt;0,DATE($B$1,12,1)=DATE(YEAR(TODAY()),MONTH(TODAY()),1))),1,0))</f>
        <v/>
      </c>
    </row>
    <row r="414">
      <c r="A414" s="13">
        <f>IF(원생!$A412="","",원생!$A412&amp;IF(원생!$G412="",""," ("&amp;원생!$G412&amp;")"))</f>
        <v/>
      </c>
      <c r="B414" s="8">
        <f>IF(원생!$A412="","",N(원생!$F412))</f>
        <v/>
      </c>
      <c r="C414" s="14">
        <f>IF(원생!$A412="","",SUMIFS(계산!$C:$C,계산!$A:$A,계산!$E412,계산!$B:$B,$B$1*100+1))</f>
        <v/>
      </c>
      <c r="D414" s="14">
        <f>IF(원생!$A412="","",SUMIFS(계산!$C:$C,계산!$A:$A,계산!$E412,계산!$B:$B,$B$1*100+2))</f>
        <v/>
      </c>
      <c r="E414" s="14">
        <f>IF(원생!$A412="","",SUMIFS(계산!$C:$C,계산!$A:$A,계산!$E412,계산!$B:$B,$B$1*100+3))</f>
        <v/>
      </c>
      <c r="F414" s="14">
        <f>IF(원생!$A412="","",SUMIFS(계산!$C:$C,계산!$A:$A,계산!$E412,계산!$B:$B,$B$1*100+4))</f>
        <v/>
      </c>
      <c r="G414" s="14">
        <f>IF(원생!$A412="","",SUMIFS(계산!$C:$C,계산!$A:$A,계산!$E412,계산!$B:$B,$B$1*100+5))</f>
        <v/>
      </c>
      <c r="H414" s="14">
        <f>IF(원생!$A412="","",SUMIFS(계산!$C:$C,계산!$A:$A,계산!$E412,계산!$B:$B,$B$1*100+6))</f>
        <v/>
      </c>
      <c r="I414" s="14">
        <f>IF(원생!$A412="","",SUMIFS(계산!$C:$C,계산!$A:$A,계산!$E412,계산!$B:$B,$B$1*100+7))</f>
        <v/>
      </c>
      <c r="J414" s="14">
        <f>IF(원생!$A412="","",SUMIFS(계산!$C:$C,계산!$A:$A,계산!$E412,계산!$B:$B,$B$1*100+8))</f>
        <v/>
      </c>
      <c r="K414" s="14">
        <f>IF(원생!$A412="","",SUMIFS(계산!$C:$C,계산!$A:$A,계산!$E412,계산!$B:$B,$B$1*100+9))</f>
        <v/>
      </c>
      <c r="L414" s="14">
        <f>IF(원생!$A412="","",SUMIFS(계산!$C:$C,계산!$A:$A,계산!$E412,계산!$B:$B,$B$1*100+10))</f>
        <v/>
      </c>
      <c r="M414" s="14">
        <f>IF(원생!$A412="","",SUMIFS(계산!$C:$C,계산!$A:$A,계산!$E412,계산!$B:$B,$B$1*100+11))</f>
        <v/>
      </c>
      <c r="N414" s="14">
        <f>IF(원생!$A412="","",SUMIFS(계산!$C:$C,계산!$A:$A,계산!$E412,계산!$B:$B,$B$1*100+12))</f>
        <v/>
      </c>
      <c r="O414">
        <f>IF(원생!$I412="","",원생!$I412)</f>
        <v/>
      </c>
      <c r="P414">
        <f>IF($A414="","",IF(AND($B414&gt;0,C414&lt;$B414,DATE($B$1,1,1)&lt;=TODAY(),OR($O414="",$O414&gt;=DATE($B$1,1,1)),OR(COUNTIF($C414:C414,"&gt;0")&gt;0,DATE($B$1,1,1)=DATE(YEAR(TODAY()),MONTH(TODAY()),1))),1,0))</f>
        <v/>
      </c>
      <c r="Q414">
        <f>IF($A414="","",IF(AND($B414&gt;0,D414&lt;$B414,DATE($B$1,2,1)&lt;=TODAY(),OR($O414="",$O414&gt;=DATE($B$1,2,1)),OR(COUNTIF($C414:D414,"&gt;0")&gt;0,DATE($B$1,2,1)=DATE(YEAR(TODAY()),MONTH(TODAY()),1))),1,0))</f>
        <v/>
      </c>
      <c r="R414">
        <f>IF($A414="","",IF(AND($B414&gt;0,E414&lt;$B414,DATE($B$1,3,1)&lt;=TODAY(),OR($O414="",$O414&gt;=DATE($B$1,3,1)),OR(COUNTIF($C414:E414,"&gt;0")&gt;0,DATE($B$1,3,1)=DATE(YEAR(TODAY()),MONTH(TODAY()),1))),1,0))</f>
        <v/>
      </c>
      <c r="S414">
        <f>IF($A414="","",IF(AND($B414&gt;0,F414&lt;$B414,DATE($B$1,4,1)&lt;=TODAY(),OR($O414="",$O414&gt;=DATE($B$1,4,1)),OR(COUNTIF($C414:F414,"&gt;0")&gt;0,DATE($B$1,4,1)=DATE(YEAR(TODAY()),MONTH(TODAY()),1))),1,0))</f>
        <v/>
      </c>
      <c r="T414">
        <f>IF($A414="","",IF(AND($B414&gt;0,G414&lt;$B414,DATE($B$1,5,1)&lt;=TODAY(),OR($O414="",$O414&gt;=DATE($B$1,5,1)),OR(COUNTIF($C414:G414,"&gt;0")&gt;0,DATE($B$1,5,1)=DATE(YEAR(TODAY()),MONTH(TODAY()),1))),1,0))</f>
        <v/>
      </c>
      <c r="U414">
        <f>IF($A414="","",IF(AND($B414&gt;0,H414&lt;$B414,DATE($B$1,6,1)&lt;=TODAY(),OR($O414="",$O414&gt;=DATE($B$1,6,1)),OR(COUNTIF($C414:H414,"&gt;0")&gt;0,DATE($B$1,6,1)=DATE(YEAR(TODAY()),MONTH(TODAY()),1))),1,0))</f>
        <v/>
      </c>
      <c r="V414">
        <f>IF($A414="","",IF(AND($B414&gt;0,I414&lt;$B414,DATE($B$1,7,1)&lt;=TODAY(),OR($O414="",$O414&gt;=DATE($B$1,7,1)),OR(COUNTIF($C414:I414,"&gt;0")&gt;0,DATE($B$1,7,1)=DATE(YEAR(TODAY()),MONTH(TODAY()),1))),1,0))</f>
        <v/>
      </c>
      <c r="W414">
        <f>IF($A414="","",IF(AND($B414&gt;0,J414&lt;$B414,DATE($B$1,8,1)&lt;=TODAY(),OR($O414="",$O414&gt;=DATE($B$1,8,1)),OR(COUNTIF($C414:J414,"&gt;0")&gt;0,DATE($B$1,8,1)=DATE(YEAR(TODAY()),MONTH(TODAY()),1))),1,0))</f>
        <v/>
      </c>
      <c r="X414">
        <f>IF($A414="","",IF(AND($B414&gt;0,K414&lt;$B414,DATE($B$1,9,1)&lt;=TODAY(),OR($O414="",$O414&gt;=DATE($B$1,9,1)),OR(COUNTIF($C414:K414,"&gt;0")&gt;0,DATE($B$1,9,1)=DATE(YEAR(TODAY()),MONTH(TODAY()),1))),1,0))</f>
        <v/>
      </c>
      <c r="Y414">
        <f>IF($A414="","",IF(AND($B414&gt;0,L414&lt;$B414,DATE($B$1,10,1)&lt;=TODAY(),OR($O414="",$O414&gt;=DATE($B$1,10,1)),OR(COUNTIF($C414:L414,"&gt;0")&gt;0,DATE($B$1,10,1)=DATE(YEAR(TODAY()),MONTH(TODAY()),1))),1,0))</f>
        <v/>
      </c>
      <c r="Z414">
        <f>IF($A414="","",IF(AND($B414&gt;0,M414&lt;$B414,DATE($B$1,11,1)&lt;=TODAY(),OR($O414="",$O414&gt;=DATE($B$1,11,1)),OR(COUNTIF($C414:M414,"&gt;0")&gt;0,DATE($B$1,11,1)=DATE(YEAR(TODAY()),MONTH(TODAY()),1))),1,0))</f>
        <v/>
      </c>
      <c r="AA414">
        <f>IF($A414="","",IF(AND($B414&gt;0,N414&lt;$B414,DATE($B$1,12,1)&lt;=TODAY(),OR($O414="",$O414&gt;=DATE($B$1,12,1)),OR(COUNTIF($C414:N414,"&gt;0")&gt;0,DATE($B$1,12,1)=DATE(YEAR(TODAY()),MONTH(TODAY()),1))),1,0))</f>
        <v/>
      </c>
    </row>
    <row r="415">
      <c r="A415" s="13">
        <f>IF(원생!$A413="","",원생!$A413&amp;IF(원생!$G413="",""," ("&amp;원생!$G413&amp;")"))</f>
        <v/>
      </c>
      <c r="B415" s="8">
        <f>IF(원생!$A413="","",N(원생!$F413))</f>
        <v/>
      </c>
      <c r="C415" s="14">
        <f>IF(원생!$A413="","",SUMIFS(계산!$C:$C,계산!$A:$A,계산!$E413,계산!$B:$B,$B$1*100+1))</f>
        <v/>
      </c>
      <c r="D415" s="14">
        <f>IF(원생!$A413="","",SUMIFS(계산!$C:$C,계산!$A:$A,계산!$E413,계산!$B:$B,$B$1*100+2))</f>
        <v/>
      </c>
      <c r="E415" s="14">
        <f>IF(원생!$A413="","",SUMIFS(계산!$C:$C,계산!$A:$A,계산!$E413,계산!$B:$B,$B$1*100+3))</f>
        <v/>
      </c>
      <c r="F415" s="14">
        <f>IF(원생!$A413="","",SUMIFS(계산!$C:$C,계산!$A:$A,계산!$E413,계산!$B:$B,$B$1*100+4))</f>
        <v/>
      </c>
      <c r="G415" s="14">
        <f>IF(원생!$A413="","",SUMIFS(계산!$C:$C,계산!$A:$A,계산!$E413,계산!$B:$B,$B$1*100+5))</f>
        <v/>
      </c>
      <c r="H415" s="14">
        <f>IF(원생!$A413="","",SUMIFS(계산!$C:$C,계산!$A:$A,계산!$E413,계산!$B:$B,$B$1*100+6))</f>
        <v/>
      </c>
      <c r="I415" s="14">
        <f>IF(원생!$A413="","",SUMIFS(계산!$C:$C,계산!$A:$A,계산!$E413,계산!$B:$B,$B$1*100+7))</f>
        <v/>
      </c>
      <c r="J415" s="14">
        <f>IF(원생!$A413="","",SUMIFS(계산!$C:$C,계산!$A:$A,계산!$E413,계산!$B:$B,$B$1*100+8))</f>
        <v/>
      </c>
      <c r="K415" s="14">
        <f>IF(원생!$A413="","",SUMIFS(계산!$C:$C,계산!$A:$A,계산!$E413,계산!$B:$B,$B$1*100+9))</f>
        <v/>
      </c>
      <c r="L415" s="14">
        <f>IF(원생!$A413="","",SUMIFS(계산!$C:$C,계산!$A:$A,계산!$E413,계산!$B:$B,$B$1*100+10))</f>
        <v/>
      </c>
      <c r="M415" s="14">
        <f>IF(원생!$A413="","",SUMIFS(계산!$C:$C,계산!$A:$A,계산!$E413,계산!$B:$B,$B$1*100+11))</f>
        <v/>
      </c>
      <c r="N415" s="14">
        <f>IF(원생!$A413="","",SUMIFS(계산!$C:$C,계산!$A:$A,계산!$E413,계산!$B:$B,$B$1*100+12))</f>
        <v/>
      </c>
      <c r="O415">
        <f>IF(원생!$I413="","",원생!$I413)</f>
        <v/>
      </c>
      <c r="P415">
        <f>IF($A415="","",IF(AND($B415&gt;0,C415&lt;$B415,DATE($B$1,1,1)&lt;=TODAY(),OR($O415="",$O415&gt;=DATE($B$1,1,1)),OR(COUNTIF($C415:C415,"&gt;0")&gt;0,DATE($B$1,1,1)=DATE(YEAR(TODAY()),MONTH(TODAY()),1))),1,0))</f>
        <v/>
      </c>
      <c r="Q415">
        <f>IF($A415="","",IF(AND($B415&gt;0,D415&lt;$B415,DATE($B$1,2,1)&lt;=TODAY(),OR($O415="",$O415&gt;=DATE($B$1,2,1)),OR(COUNTIF($C415:D415,"&gt;0")&gt;0,DATE($B$1,2,1)=DATE(YEAR(TODAY()),MONTH(TODAY()),1))),1,0))</f>
        <v/>
      </c>
      <c r="R415">
        <f>IF($A415="","",IF(AND($B415&gt;0,E415&lt;$B415,DATE($B$1,3,1)&lt;=TODAY(),OR($O415="",$O415&gt;=DATE($B$1,3,1)),OR(COUNTIF($C415:E415,"&gt;0")&gt;0,DATE($B$1,3,1)=DATE(YEAR(TODAY()),MONTH(TODAY()),1))),1,0))</f>
        <v/>
      </c>
      <c r="S415">
        <f>IF($A415="","",IF(AND($B415&gt;0,F415&lt;$B415,DATE($B$1,4,1)&lt;=TODAY(),OR($O415="",$O415&gt;=DATE($B$1,4,1)),OR(COUNTIF($C415:F415,"&gt;0")&gt;0,DATE($B$1,4,1)=DATE(YEAR(TODAY()),MONTH(TODAY()),1))),1,0))</f>
        <v/>
      </c>
      <c r="T415">
        <f>IF($A415="","",IF(AND($B415&gt;0,G415&lt;$B415,DATE($B$1,5,1)&lt;=TODAY(),OR($O415="",$O415&gt;=DATE($B$1,5,1)),OR(COUNTIF($C415:G415,"&gt;0")&gt;0,DATE($B$1,5,1)=DATE(YEAR(TODAY()),MONTH(TODAY()),1))),1,0))</f>
        <v/>
      </c>
      <c r="U415">
        <f>IF($A415="","",IF(AND($B415&gt;0,H415&lt;$B415,DATE($B$1,6,1)&lt;=TODAY(),OR($O415="",$O415&gt;=DATE($B$1,6,1)),OR(COUNTIF($C415:H415,"&gt;0")&gt;0,DATE($B$1,6,1)=DATE(YEAR(TODAY()),MONTH(TODAY()),1))),1,0))</f>
        <v/>
      </c>
      <c r="V415">
        <f>IF($A415="","",IF(AND($B415&gt;0,I415&lt;$B415,DATE($B$1,7,1)&lt;=TODAY(),OR($O415="",$O415&gt;=DATE($B$1,7,1)),OR(COUNTIF($C415:I415,"&gt;0")&gt;0,DATE($B$1,7,1)=DATE(YEAR(TODAY()),MONTH(TODAY()),1))),1,0))</f>
        <v/>
      </c>
      <c r="W415">
        <f>IF($A415="","",IF(AND($B415&gt;0,J415&lt;$B415,DATE($B$1,8,1)&lt;=TODAY(),OR($O415="",$O415&gt;=DATE($B$1,8,1)),OR(COUNTIF($C415:J415,"&gt;0")&gt;0,DATE($B$1,8,1)=DATE(YEAR(TODAY()),MONTH(TODAY()),1))),1,0))</f>
        <v/>
      </c>
      <c r="X415">
        <f>IF($A415="","",IF(AND($B415&gt;0,K415&lt;$B415,DATE($B$1,9,1)&lt;=TODAY(),OR($O415="",$O415&gt;=DATE($B$1,9,1)),OR(COUNTIF($C415:K415,"&gt;0")&gt;0,DATE($B$1,9,1)=DATE(YEAR(TODAY()),MONTH(TODAY()),1))),1,0))</f>
        <v/>
      </c>
      <c r="Y415">
        <f>IF($A415="","",IF(AND($B415&gt;0,L415&lt;$B415,DATE($B$1,10,1)&lt;=TODAY(),OR($O415="",$O415&gt;=DATE($B$1,10,1)),OR(COUNTIF($C415:L415,"&gt;0")&gt;0,DATE($B$1,10,1)=DATE(YEAR(TODAY()),MONTH(TODAY()),1))),1,0))</f>
        <v/>
      </c>
      <c r="Z415">
        <f>IF($A415="","",IF(AND($B415&gt;0,M415&lt;$B415,DATE($B$1,11,1)&lt;=TODAY(),OR($O415="",$O415&gt;=DATE($B$1,11,1)),OR(COUNTIF($C415:M415,"&gt;0")&gt;0,DATE($B$1,11,1)=DATE(YEAR(TODAY()),MONTH(TODAY()),1))),1,0))</f>
        <v/>
      </c>
      <c r="AA415">
        <f>IF($A415="","",IF(AND($B415&gt;0,N415&lt;$B415,DATE($B$1,12,1)&lt;=TODAY(),OR($O415="",$O415&gt;=DATE($B$1,12,1)),OR(COUNTIF($C415:N415,"&gt;0")&gt;0,DATE($B$1,12,1)=DATE(YEAR(TODAY()),MONTH(TODAY()),1))),1,0))</f>
        <v/>
      </c>
    </row>
    <row r="416">
      <c r="A416" s="13">
        <f>IF(원생!$A414="","",원생!$A414&amp;IF(원생!$G414="",""," ("&amp;원생!$G414&amp;")"))</f>
        <v/>
      </c>
      <c r="B416" s="8">
        <f>IF(원생!$A414="","",N(원생!$F414))</f>
        <v/>
      </c>
      <c r="C416" s="14">
        <f>IF(원생!$A414="","",SUMIFS(계산!$C:$C,계산!$A:$A,계산!$E414,계산!$B:$B,$B$1*100+1))</f>
        <v/>
      </c>
      <c r="D416" s="14">
        <f>IF(원생!$A414="","",SUMIFS(계산!$C:$C,계산!$A:$A,계산!$E414,계산!$B:$B,$B$1*100+2))</f>
        <v/>
      </c>
      <c r="E416" s="14">
        <f>IF(원생!$A414="","",SUMIFS(계산!$C:$C,계산!$A:$A,계산!$E414,계산!$B:$B,$B$1*100+3))</f>
        <v/>
      </c>
      <c r="F416" s="14">
        <f>IF(원생!$A414="","",SUMIFS(계산!$C:$C,계산!$A:$A,계산!$E414,계산!$B:$B,$B$1*100+4))</f>
        <v/>
      </c>
      <c r="G416" s="14">
        <f>IF(원생!$A414="","",SUMIFS(계산!$C:$C,계산!$A:$A,계산!$E414,계산!$B:$B,$B$1*100+5))</f>
        <v/>
      </c>
      <c r="H416" s="14">
        <f>IF(원생!$A414="","",SUMIFS(계산!$C:$C,계산!$A:$A,계산!$E414,계산!$B:$B,$B$1*100+6))</f>
        <v/>
      </c>
      <c r="I416" s="14">
        <f>IF(원생!$A414="","",SUMIFS(계산!$C:$C,계산!$A:$A,계산!$E414,계산!$B:$B,$B$1*100+7))</f>
        <v/>
      </c>
      <c r="J416" s="14">
        <f>IF(원생!$A414="","",SUMIFS(계산!$C:$C,계산!$A:$A,계산!$E414,계산!$B:$B,$B$1*100+8))</f>
        <v/>
      </c>
      <c r="K416" s="14">
        <f>IF(원생!$A414="","",SUMIFS(계산!$C:$C,계산!$A:$A,계산!$E414,계산!$B:$B,$B$1*100+9))</f>
        <v/>
      </c>
      <c r="L416" s="14">
        <f>IF(원생!$A414="","",SUMIFS(계산!$C:$C,계산!$A:$A,계산!$E414,계산!$B:$B,$B$1*100+10))</f>
        <v/>
      </c>
      <c r="M416" s="14">
        <f>IF(원생!$A414="","",SUMIFS(계산!$C:$C,계산!$A:$A,계산!$E414,계산!$B:$B,$B$1*100+11))</f>
        <v/>
      </c>
      <c r="N416" s="14">
        <f>IF(원생!$A414="","",SUMIFS(계산!$C:$C,계산!$A:$A,계산!$E414,계산!$B:$B,$B$1*100+12))</f>
        <v/>
      </c>
      <c r="O416">
        <f>IF(원생!$I414="","",원생!$I414)</f>
        <v/>
      </c>
      <c r="P416">
        <f>IF($A416="","",IF(AND($B416&gt;0,C416&lt;$B416,DATE($B$1,1,1)&lt;=TODAY(),OR($O416="",$O416&gt;=DATE($B$1,1,1)),OR(COUNTIF($C416:C416,"&gt;0")&gt;0,DATE($B$1,1,1)=DATE(YEAR(TODAY()),MONTH(TODAY()),1))),1,0))</f>
        <v/>
      </c>
      <c r="Q416">
        <f>IF($A416="","",IF(AND($B416&gt;0,D416&lt;$B416,DATE($B$1,2,1)&lt;=TODAY(),OR($O416="",$O416&gt;=DATE($B$1,2,1)),OR(COUNTIF($C416:D416,"&gt;0")&gt;0,DATE($B$1,2,1)=DATE(YEAR(TODAY()),MONTH(TODAY()),1))),1,0))</f>
        <v/>
      </c>
      <c r="R416">
        <f>IF($A416="","",IF(AND($B416&gt;0,E416&lt;$B416,DATE($B$1,3,1)&lt;=TODAY(),OR($O416="",$O416&gt;=DATE($B$1,3,1)),OR(COUNTIF($C416:E416,"&gt;0")&gt;0,DATE($B$1,3,1)=DATE(YEAR(TODAY()),MONTH(TODAY()),1))),1,0))</f>
        <v/>
      </c>
      <c r="S416">
        <f>IF($A416="","",IF(AND($B416&gt;0,F416&lt;$B416,DATE($B$1,4,1)&lt;=TODAY(),OR($O416="",$O416&gt;=DATE($B$1,4,1)),OR(COUNTIF($C416:F416,"&gt;0")&gt;0,DATE($B$1,4,1)=DATE(YEAR(TODAY()),MONTH(TODAY()),1))),1,0))</f>
        <v/>
      </c>
      <c r="T416">
        <f>IF($A416="","",IF(AND($B416&gt;0,G416&lt;$B416,DATE($B$1,5,1)&lt;=TODAY(),OR($O416="",$O416&gt;=DATE($B$1,5,1)),OR(COUNTIF($C416:G416,"&gt;0")&gt;0,DATE($B$1,5,1)=DATE(YEAR(TODAY()),MONTH(TODAY()),1))),1,0))</f>
        <v/>
      </c>
      <c r="U416">
        <f>IF($A416="","",IF(AND($B416&gt;0,H416&lt;$B416,DATE($B$1,6,1)&lt;=TODAY(),OR($O416="",$O416&gt;=DATE($B$1,6,1)),OR(COUNTIF($C416:H416,"&gt;0")&gt;0,DATE($B$1,6,1)=DATE(YEAR(TODAY()),MONTH(TODAY()),1))),1,0))</f>
        <v/>
      </c>
      <c r="V416">
        <f>IF($A416="","",IF(AND($B416&gt;0,I416&lt;$B416,DATE($B$1,7,1)&lt;=TODAY(),OR($O416="",$O416&gt;=DATE($B$1,7,1)),OR(COUNTIF($C416:I416,"&gt;0")&gt;0,DATE($B$1,7,1)=DATE(YEAR(TODAY()),MONTH(TODAY()),1))),1,0))</f>
        <v/>
      </c>
      <c r="W416">
        <f>IF($A416="","",IF(AND($B416&gt;0,J416&lt;$B416,DATE($B$1,8,1)&lt;=TODAY(),OR($O416="",$O416&gt;=DATE($B$1,8,1)),OR(COUNTIF($C416:J416,"&gt;0")&gt;0,DATE($B$1,8,1)=DATE(YEAR(TODAY()),MONTH(TODAY()),1))),1,0))</f>
        <v/>
      </c>
      <c r="X416">
        <f>IF($A416="","",IF(AND($B416&gt;0,K416&lt;$B416,DATE($B$1,9,1)&lt;=TODAY(),OR($O416="",$O416&gt;=DATE($B$1,9,1)),OR(COUNTIF($C416:K416,"&gt;0")&gt;0,DATE($B$1,9,1)=DATE(YEAR(TODAY()),MONTH(TODAY()),1))),1,0))</f>
        <v/>
      </c>
      <c r="Y416">
        <f>IF($A416="","",IF(AND($B416&gt;0,L416&lt;$B416,DATE($B$1,10,1)&lt;=TODAY(),OR($O416="",$O416&gt;=DATE($B$1,10,1)),OR(COUNTIF($C416:L416,"&gt;0")&gt;0,DATE($B$1,10,1)=DATE(YEAR(TODAY()),MONTH(TODAY()),1))),1,0))</f>
        <v/>
      </c>
      <c r="Z416">
        <f>IF($A416="","",IF(AND($B416&gt;0,M416&lt;$B416,DATE($B$1,11,1)&lt;=TODAY(),OR($O416="",$O416&gt;=DATE($B$1,11,1)),OR(COUNTIF($C416:M416,"&gt;0")&gt;0,DATE($B$1,11,1)=DATE(YEAR(TODAY()),MONTH(TODAY()),1))),1,0))</f>
        <v/>
      </c>
      <c r="AA416">
        <f>IF($A416="","",IF(AND($B416&gt;0,N416&lt;$B416,DATE($B$1,12,1)&lt;=TODAY(),OR($O416="",$O416&gt;=DATE($B$1,12,1)),OR(COUNTIF($C416:N416,"&gt;0")&gt;0,DATE($B$1,12,1)=DATE(YEAR(TODAY()),MONTH(TODAY()),1))),1,0))</f>
        <v/>
      </c>
    </row>
    <row r="417">
      <c r="A417" s="13">
        <f>IF(원생!$A415="","",원생!$A415&amp;IF(원생!$G415="",""," ("&amp;원생!$G415&amp;")"))</f>
        <v/>
      </c>
      <c r="B417" s="8">
        <f>IF(원생!$A415="","",N(원생!$F415))</f>
        <v/>
      </c>
      <c r="C417" s="14">
        <f>IF(원생!$A415="","",SUMIFS(계산!$C:$C,계산!$A:$A,계산!$E415,계산!$B:$B,$B$1*100+1))</f>
        <v/>
      </c>
      <c r="D417" s="14">
        <f>IF(원생!$A415="","",SUMIFS(계산!$C:$C,계산!$A:$A,계산!$E415,계산!$B:$B,$B$1*100+2))</f>
        <v/>
      </c>
      <c r="E417" s="14">
        <f>IF(원생!$A415="","",SUMIFS(계산!$C:$C,계산!$A:$A,계산!$E415,계산!$B:$B,$B$1*100+3))</f>
        <v/>
      </c>
      <c r="F417" s="14">
        <f>IF(원생!$A415="","",SUMIFS(계산!$C:$C,계산!$A:$A,계산!$E415,계산!$B:$B,$B$1*100+4))</f>
        <v/>
      </c>
      <c r="G417" s="14">
        <f>IF(원생!$A415="","",SUMIFS(계산!$C:$C,계산!$A:$A,계산!$E415,계산!$B:$B,$B$1*100+5))</f>
        <v/>
      </c>
      <c r="H417" s="14">
        <f>IF(원생!$A415="","",SUMIFS(계산!$C:$C,계산!$A:$A,계산!$E415,계산!$B:$B,$B$1*100+6))</f>
        <v/>
      </c>
      <c r="I417" s="14">
        <f>IF(원생!$A415="","",SUMIFS(계산!$C:$C,계산!$A:$A,계산!$E415,계산!$B:$B,$B$1*100+7))</f>
        <v/>
      </c>
      <c r="J417" s="14">
        <f>IF(원생!$A415="","",SUMIFS(계산!$C:$C,계산!$A:$A,계산!$E415,계산!$B:$B,$B$1*100+8))</f>
        <v/>
      </c>
      <c r="K417" s="14">
        <f>IF(원생!$A415="","",SUMIFS(계산!$C:$C,계산!$A:$A,계산!$E415,계산!$B:$B,$B$1*100+9))</f>
        <v/>
      </c>
      <c r="L417" s="14">
        <f>IF(원생!$A415="","",SUMIFS(계산!$C:$C,계산!$A:$A,계산!$E415,계산!$B:$B,$B$1*100+10))</f>
        <v/>
      </c>
      <c r="M417" s="14">
        <f>IF(원생!$A415="","",SUMIFS(계산!$C:$C,계산!$A:$A,계산!$E415,계산!$B:$B,$B$1*100+11))</f>
        <v/>
      </c>
      <c r="N417" s="14">
        <f>IF(원생!$A415="","",SUMIFS(계산!$C:$C,계산!$A:$A,계산!$E415,계산!$B:$B,$B$1*100+12))</f>
        <v/>
      </c>
      <c r="O417">
        <f>IF(원생!$I415="","",원생!$I415)</f>
        <v/>
      </c>
      <c r="P417">
        <f>IF($A417="","",IF(AND($B417&gt;0,C417&lt;$B417,DATE($B$1,1,1)&lt;=TODAY(),OR($O417="",$O417&gt;=DATE($B$1,1,1)),OR(COUNTIF($C417:C417,"&gt;0")&gt;0,DATE($B$1,1,1)=DATE(YEAR(TODAY()),MONTH(TODAY()),1))),1,0))</f>
        <v/>
      </c>
      <c r="Q417">
        <f>IF($A417="","",IF(AND($B417&gt;0,D417&lt;$B417,DATE($B$1,2,1)&lt;=TODAY(),OR($O417="",$O417&gt;=DATE($B$1,2,1)),OR(COUNTIF($C417:D417,"&gt;0")&gt;0,DATE($B$1,2,1)=DATE(YEAR(TODAY()),MONTH(TODAY()),1))),1,0))</f>
        <v/>
      </c>
      <c r="R417">
        <f>IF($A417="","",IF(AND($B417&gt;0,E417&lt;$B417,DATE($B$1,3,1)&lt;=TODAY(),OR($O417="",$O417&gt;=DATE($B$1,3,1)),OR(COUNTIF($C417:E417,"&gt;0")&gt;0,DATE($B$1,3,1)=DATE(YEAR(TODAY()),MONTH(TODAY()),1))),1,0))</f>
        <v/>
      </c>
      <c r="S417">
        <f>IF($A417="","",IF(AND($B417&gt;0,F417&lt;$B417,DATE($B$1,4,1)&lt;=TODAY(),OR($O417="",$O417&gt;=DATE($B$1,4,1)),OR(COUNTIF($C417:F417,"&gt;0")&gt;0,DATE($B$1,4,1)=DATE(YEAR(TODAY()),MONTH(TODAY()),1))),1,0))</f>
        <v/>
      </c>
      <c r="T417">
        <f>IF($A417="","",IF(AND($B417&gt;0,G417&lt;$B417,DATE($B$1,5,1)&lt;=TODAY(),OR($O417="",$O417&gt;=DATE($B$1,5,1)),OR(COUNTIF($C417:G417,"&gt;0")&gt;0,DATE($B$1,5,1)=DATE(YEAR(TODAY()),MONTH(TODAY()),1))),1,0))</f>
        <v/>
      </c>
      <c r="U417">
        <f>IF($A417="","",IF(AND($B417&gt;0,H417&lt;$B417,DATE($B$1,6,1)&lt;=TODAY(),OR($O417="",$O417&gt;=DATE($B$1,6,1)),OR(COUNTIF($C417:H417,"&gt;0")&gt;0,DATE($B$1,6,1)=DATE(YEAR(TODAY()),MONTH(TODAY()),1))),1,0))</f>
        <v/>
      </c>
      <c r="V417">
        <f>IF($A417="","",IF(AND($B417&gt;0,I417&lt;$B417,DATE($B$1,7,1)&lt;=TODAY(),OR($O417="",$O417&gt;=DATE($B$1,7,1)),OR(COUNTIF($C417:I417,"&gt;0")&gt;0,DATE($B$1,7,1)=DATE(YEAR(TODAY()),MONTH(TODAY()),1))),1,0))</f>
        <v/>
      </c>
      <c r="W417">
        <f>IF($A417="","",IF(AND($B417&gt;0,J417&lt;$B417,DATE($B$1,8,1)&lt;=TODAY(),OR($O417="",$O417&gt;=DATE($B$1,8,1)),OR(COUNTIF($C417:J417,"&gt;0")&gt;0,DATE($B$1,8,1)=DATE(YEAR(TODAY()),MONTH(TODAY()),1))),1,0))</f>
        <v/>
      </c>
      <c r="X417">
        <f>IF($A417="","",IF(AND($B417&gt;0,K417&lt;$B417,DATE($B$1,9,1)&lt;=TODAY(),OR($O417="",$O417&gt;=DATE($B$1,9,1)),OR(COUNTIF($C417:K417,"&gt;0")&gt;0,DATE($B$1,9,1)=DATE(YEAR(TODAY()),MONTH(TODAY()),1))),1,0))</f>
        <v/>
      </c>
      <c r="Y417">
        <f>IF($A417="","",IF(AND($B417&gt;0,L417&lt;$B417,DATE($B$1,10,1)&lt;=TODAY(),OR($O417="",$O417&gt;=DATE($B$1,10,1)),OR(COUNTIF($C417:L417,"&gt;0")&gt;0,DATE($B$1,10,1)=DATE(YEAR(TODAY()),MONTH(TODAY()),1))),1,0))</f>
        <v/>
      </c>
      <c r="Z417">
        <f>IF($A417="","",IF(AND($B417&gt;0,M417&lt;$B417,DATE($B$1,11,1)&lt;=TODAY(),OR($O417="",$O417&gt;=DATE($B$1,11,1)),OR(COUNTIF($C417:M417,"&gt;0")&gt;0,DATE($B$1,11,1)=DATE(YEAR(TODAY()),MONTH(TODAY()),1))),1,0))</f>
        <v/>
      </c>
      <c r="AA417">
        <f>IF($A417="","",IF(AND($B417&gt;0,N417&lt;$B417,DATE($B$1,12,1)&lt;=TODAY(),OR($O417="",$O417&gt;=DATE($B$1,12,1)),OR(COUNTIF($C417:N417,"&gt;0")&gt;0,DATE($B$1,12,1)=DATE(YEAR(TODAY()),MONTH(TODAY()),1))),1,0))</f>
        <v/>
      </c>
    </row>
    <row r="418">
      <c r="A418" s="13">
        <f>IF(원생!$A416="","",원생!$A416&amp;IF(원생!$G416="",""," ("&amp;원생!$G416&amp;")"))</f>
        <v/>
      </c>
      <c r="B418" s="8">
        <f>IF(원생!$A416="","",N(원생!$F416))</f>
        <v/>
      </c>
      <c r="C418" s="14">
        <f>IF(원생!$A416="","",SUMIFS(계산!$C:$C,계산!$A:$A,계산!$E416,계산!$B:$B,$B$1*100+1))</f>
        <v/>
      </c>
      <c r="D418" s="14">
        <f>IF(원생!$A416="","",SUMIFS(계산!$C:$C,계산!$A:$A,계산!$E416,계산!$B:$B,$B$1*100+2))</f>
        <v/>
      </c>
      <c r="E418" s="14">
        <f>IF(원생!$A416="","",SUMIFS(계산!$C:$C,계산!$A:$A,계산!$E416,계산!$B:$B,$B$1*100+3))</f>
        <v/>
      </c>
      <c r="F418" s="14">
        <f>IF(원생!$A416="","",SUMIFS(계산!$C:$C,계산!$A:$A,계산!$E416,계산!$B:$B,$B$1*100+4))</f>
        <v/>
      </c>
      <c r="G418" s="14">
        <f>IF(원생!$A416="","",SUMIFS(계산!$C:$C,계산!$A:$A,계산!$E416,계산!$B:$B,$B$1*100+5))</f>
        <v/>
      </c>
      <c r="H418" s="14">
        <f>IF(원생!$A416="","",SUMIFS(계산!$C:$C,계산!$A:$A,계산!$E416,계산!$B:$B,$B$1*100+6))</f>
        <v/>
      </c>
      <c r="I418" s="14">
        <f>IF(원생!$A416="","",SUMIFS(계산!$C:$C,계산!$A:$A,계산!$E416,계산!$B:$B,$B$1*100+7))</f>
        <v/>
      </c>
      <c r="J418" s="14">
        <f>IF(원생!$A416="","",SUMIFS(계산!$C:$C,계산!$A:$A,계산!$E416,계산!$B:$B,$B$1*100+8))</f>
        <v/>
      </c>
      <c r="K418" s="14">
        <f>IF(원생!$A416="","",SUMIFS(계산!$C:$C,계산!$A:$A,계산!$E416,계산!$B:$B,$B$1*100+9))</f>
        <v/>
      </c>
      <c r="L418" s="14">
        <f>IF(원생!$A416="","",SUMIFS(계산!$C:$C,계산!$A:$A,계산!$E416,계산!$B:$B,$B$1*100+10))</f>
        <v/>
      </c>
      <c r="M418" s="14">
        <f>IF(원생!$A416="","",SUMIFS(계산!$C:$C,계산!$A:$A,계산!$E416,계산!$B:$B,$B$1*100+11))</f>
        <v/>
      </c>
      <c r="N418" s="14">
        <f>IF(원생!$A416="","",SUMIFS(계산!$C:$C,계산!$A:$A,계산!$E416,계산!$B:$B,$B$1*100+12))</f>
        <v/>
      </c>
      <c r="O418">
        <f>IF(원생!$I416="","",원생!$I416)</f>
        <v/>
      </c>
      <c r="P418">
        <f>IF($A418="","",IF(AND($B418&gt;0,C418&lt;$B418,DATE($B$1,1,1)&lt;=TODAY(),OR($O418="",$O418&gt;=DATE($B$1,1,1)),OR(COUNTIF($C418:C418,"&gt;0")&gt;0,DATE($B$1,1,1)=DATE(YEAR(TODAY()),MONTH(TODAY()),1))),1,0))</f>
        <v/>
      </c>
      <c r="Q418">
        <f>IF($A418="","",IF(AND($B418&gt;0,D418&lt;$B418,DATE($B$1,2,1)&lt;=TODAY(),OR($O418="",$O418&gt;=DATE($B$1,2,1)),OR(COUNTIF($C418:D418,"&gt;0")&gt;0,DATE($B$1,2,1)=DATE(YEAR(TODAY()),MONTH(TODAY()),1))),1,0))</f>
        <v/>
      </c>
      <c r="R418">
        <f>IF($A418="","",IF(AND($B418&gt;0,E418&lt;$B418,DATE($B$1,3,1)&lt;=TODAY(),OR($O418="",$O418&gt;=DATE($B$1,3,1)),OR(COUNTIF($C418:E418,"&gt;0")&gt;0,DATE($B$1,3,1)=DATE(YEAR(TODAY()),MONTH(TODAY()),1))),1,0))</f>
        <v/>
      </c>
      <c r="S418">
        <f>IF($A418="","",IF(AND($B418&gt;0,F418&lt;$B418,DATE($B$1,4,1)&lt;=TODAY(),OR($O418="",$O418&gt;=DATE($B$1,4,1)),OR(COUNTIF($C418:F418,"&gt;0")&gt;0,DATE($B$1,4,1)=DATE(YEAR(TODAY()),MONTH(TODAY()),1))),1,0))</f>
        <v/>
      </c>
      <c r="T418">
        <f>IF($A418="","",IF(AND($B418&gt;0,G418&lt;$B418,DATE($B$1,5,1)&lt;=TODAY(),OR($O418="",$O418&gt;=DATE($B$1,5,1)),OR(COUNTIF($C418:G418,"&gt;0")&gt;0,DATE($B$1,5,1)=DATE(YEAR(TODAY()),MONTH(TODAY()),1))),1,0))</f>
        <v/>
      </c>
      <c r="U418">
        <f>IF($A418="","",IF(AND($B418&gt;0,H418&lt;$B418,DATE($B$1,6,1)&lt;=TODAY(),OR($O418="",$O418&gt;=DATE($B$1,6,1)),OR(COUNTIF($C418:H418,"&gt;0")&gt;0,DATE($B$1,6,1)=DATE(YEAR(TODAY()),MONTH(TODAY()),1))),1,0))</f>
        <v/>
      </c>
      <c r="V418">
        <f>IF($A418="","",IF(AND($B418&gt;0,I418&lt;$B418,DATE($B$1,7,1)&lt;=TODAY(),OR($O418="",$O418&gt;=DATE($B$1,7,1)),OR(COUNTIF($C418:I418,"&gt;0")&gt;0,DATE($B$1,7,1)=DATE(YEAR(TODAY()),MONTH(TODAY()),1))),1,0))</f>
        <v/>
      </c>
      <c r="W418">
        <f>IF($A418="","",IF(AND($B418&gt;0,J418&lt;$B418,DATE($B$1,8,1)&lt;=TODAY(),OR($O418="",$O418&gt;=DATE($B$1,8,1)),OR(COUNTIF($C418:J418,"&gt;0")&gt;0,DATE($B$1,8,1)=DATE(YEAR(TODAY()),MONTH(TODAY()),1))),1,0))</f>
        <v/>
      </c>
      <c r="X418">
        <f>IF($A418="","",IF(AND($B418&gt;0,K418&lt;$B418,DATE($B$1,9,1)&lt;=TODAY(),OR($O418="",$O418&gt;=DATE($B$1,9,1)),OR(COUNTIF($C418:K418,"&gt;0")&gt;0,DATE($B$1,9,1)=DATE(YEAR(TODAY()),MONTH(TODAY()),1))),1,0))</f>
        <v/>
      </c>
      <c r="Y418">
        <f>IF($A418="","",IF(AND($B418&gt;0,L418&lt;$B418,DATE($B$1,10,1)&lt;=TODAY(),OR($O418="",$O418&gt;=DATE($B$1,10,1)),OR(COUNTIF($C418:L418,"&gt;0")&gt;0,DATE($B$1,10,1)=DATE(YEAR(TODAY()),MONTH(TODAY()),1))),1,0))</f>
        <v/>
      </c>
      <c r="Z418">
        <f>IF($A418="","",IF(AND($B418&gt;0,M418&lt;$B418,DATE($B$1,11,1)&lt;=TODAY(),OR($O418="",$O418&gt;=DATE($B$1,11,1)),OR(COUNTIF($C418:M418,"&gt;0")&gt;0,DATE($B$1,11,1)=DATE(YEAR(TODAY()),MONTH(TODAY()),1))),1,0))</f>
        <v/>
      </c>
      <c r="AA418">
        <f>IF($A418="","",IF(AND($B418&gt;0,N418&lt;$B418,DATE($B$1,12,1)&lt;=TODAY(),OR($O418="",$O418&gt;=DATE($B$1,12,1)),OR(COUNTIF($C418:N418,"&gt;0")&gt;0,DATE($B$1,12,1)=DATE(YEAR(TODAY()),MONTH(TODAY()),1))),1,0))</f>
        <v/>
      </c>
    </row>
    <row r="419">
      <c r="A419" s="13">
        <f>IF(원생!$A417="","",원생!$A417&amp;IF(원생!$G417="",""," ("&amp;원생!$G417&amp;")"))</f>
        <v/>
      </c>
      <c r="B419" s="8">
        <f>IF(원생!$A417="","",N(원생!$F417))</f>
        <v/>
      </c>
      <c r="C419" s="14">
        <f>IF(원생!$A417="","",SUMIFS(계산!$C:$C,계산!$A:$A,계산!$E417,계산!$B:$B,$B$1*100+1))</f>
        <v/>
      </c>
      <c r="D419" s="14">
        <f>IF(원생!$A417="","",SUMIFS(계산!$C:$C,계산!$A:$A,계산!$E417,계산!$B:$B,$B$1*100+2))</f>
        <v/>
      </c>
      <c r="E419" s="14">
        <f>IF(원생!$A417="","",SUMIFS(계산!$C:$C,계산!$A:$A,계산!$E417,계산!$B:$B,$B$1*100+3))</f>
        <v/>
      </c>
      <c r="F419" s="14">
        <f>IF(원생!$A417="","",SUMIFS(계산!$C:$C,계산!$A:$A,계산!$E417,계산!$B:$B,$B$1*100+4))</f>
        <v/>
      </c>
      <c r="G419" s="14">
        <f>IF(원생!$A417="","",SUMIFS(계산!$C:$C,계산!$A:$A,계산!$E417,계산!$B:$B,$B$1*100+5))</f>
        <v/>
      </c>
      <c r="H419" s="14">
        <f>IF(원생!$A417="","",SUMIFS(계산!$C:$C,계산!$A:$A,계산!$E417,계산!$B:$B,$B$1*100+6))</f>
        <v/>
      </c>
      <c r="I419" s="14">
        <f>IF(원생!$A417="","",SUMIFS(계산!$C:$C,계산!$A:$A,계산!$E417,계산!$B:$B,$B$1*100+7))</f>
        <v/>
      </c>
      <c r="J419" s="14">
        <f>IF(원생!$A417="","",SUMIFS(계산!$C:$C,계산!$A:$A,계산!$E417,계산!$B:$B,$B$1*100+8))</f>
        <v/>
      </c>
      <c r="K419" s="14">
        <f>IF(원생!$A417="","",SUMIFS(계산!$C:$C,계산!$A:$A,계산!$E417,계산!$B:$B,$B$1*100+9))</f>
        <v/>
      </c>
      <c r="L419" s="14">
        <f>IF(원생!$A417="","",SUMIFS(계산!$C:$C,계산!$A:$A,계산!$E417,계산!$B:$B,$B$1*100+10))</f>
        <v/>
      </c>
      <c r="M419" s="14">
        <f>IF(원생!$A417="","",SUMIFS(계산!$C:$C,계산!$A:$A,계산!$E417,계산!$B:$B,$B$1*100+11))</f>
        <v/>
      </c>
      <c r="N419" s="14">
        <f>IF(원생!$A417="","",SUMIFS(계산!$C:$C,계산!$A:$A,계산!$E417,계산!$B:$B,$B$1*100+12))</f>
        <v/>
      </c>
      <c r="O419">
        <f>IF(원생!$I417="","",원생!$I417)</f>
        <v/>
      </c>
      <c r="P419">
        <f>IF($A419="","",IF(AND($B419&gt;0,C419&lt;$B419,DATE($B$1,1,1)&lt;=TODAY(),OR($O419="",$O419&gt;=DATE($B$1,1,1)),OR(COUNTIF($C419:C419,"&gt;0")&gt;0,DATE($B$1,1,1)=DATE(YEAR(TODAY()),MONTH(TODAY()),1))),1,0))</f>
        <v/>
      </c>
      <c r="Q419">
        <f>IF($A419="","",IF(AND($B419&gt;0,D419&lt;$B419,DATE($B$1,2,1)&lt;=TODAY(),OR($O419="",$O419&gt;=DATE($B$1,2,1)),OR(COUNTIF($C419:D419,"&gt;0")&gt;0,DATE($B$1,2,1)=DATE(YEAR(TODAY()),MONTH(TODAY()),1))),1,0))</f>
        <v/>
      </c>
      <c r="R419">
        <f>IF($A419="","",IF(AND($B419&gt;0,E419&lt;$B419,DATE($B$1,3,1)&lt;=TODAY(),OR($O419="",$O419&gt;=DATE($B$1,3,1)),OR(COUNTIF($C419:E419,"&gt;0")&gt;0,DATE($B$1,3,1)=DATE(YEAR(TODAY()),MONTH(TODAY()),1))),1,0))</f>
        <v/>
      </c>
      <c r="S419">
        <f>IF($A419="","",IF(AND($B419&gt;0,F419&lt;$B419,DATE($B$1,4,1)&lt;=TODAY(),OR($O419="",$O419&gt;=DATE($B$1,4,1)),OR(COUNTIF($C419:F419,"&gt;0")&gt;0,DATE($B$1,4,1)=DATE(YEAR(TODAY()),MONTH(TODAY()),1))),1,0))</f>
        <v/>
      </c>
      <c r="T419">
        <f>IF($A419="","",IF(AND($B419&gt;0,G419&lt;$B419,DATE($B$1,5,1)&lt;=TODAY(),OR($O419="",$O419&gt;=DATE($B$1,5,1)),OR(COUNTIF($C419:G419,"&gt;0")&gt;0,DATE($B$1,5,1)=DATE(YEAR(TODAY()),MONTH(TODAY()),1))),1,0))</f>
        <v/>
      </c>
      <c r="U419">
        <f>IF($A419="","",IF(AND($B419&gt;0,H419&lt;$B419,DATE($B$1,6,1)&lt;=TODAY(),OR($O419="",$O419&gt;=DATE($B$1,6,1)),OR(COUNTIF($C419:H419,"&gt;0")&gt;0,DATE($B$1,6,1)=DATE(YEAR(TODAY()),MONTH(TODAY()),1))),1,0))</f>
        <v/>
      </c>
      <c r="V419">
        <f>IF($A419="","",IF(AND($B419&gt;0,I419&lt;$B419,DATE($B$1,7,1)&lt;=TODAY(),OR($O419="",$O419&gt;=DATE($B$1,7,1)),OR(COUNTIF($C419:I419,"&gt;0")&gt;0,DATE($B$1,7,1)=DATE(YEAR(TODAY()),MONTH(TODAY()),1))),1,0))</f>
        <v/>
      </c>
      <c r="W419">
        <f>IF($A419="","",IF(AND($B419&gt;0,J419&lt;$B419,DATE($B$1,8,1)&lt;=TODAY(),OR($O419="",$O419&gt;=DATE($B$1,8,1)),OR(COUNTIF($C419:J419,"&gt;0")&gt;0,DATE($B$1,8,1)=DATE(YEAR(TODAY()),MONTH(TODAY()),1))),1,0))</f>
        <v/>
      </c>
      <c r="X419">
        <f>IF($A419="","",IF(AND($B419&gt;0,K419&lt;$B419,DATE($B$1,9,1)&lt;=TODAY(),OR($O419="",$O419&gt;=DATE($B$1,9,1)),OR(COUNTIF($C419:K419,"&gt;0")&gt;0,DATE($B$1,9,1)=DATE(YEAR(TODAY()),MONTH(TODAY()),1))),1,0))</f>
        <v/>
      </c>
      <c r="Y419">
        <f>IF($A419="","",IF(AND($B419&gt;0,L419&lt;$B419,DATE($B$1,10,1)&lt;=TODAY(),OR($O419="",$O419&gt;=DATE($B$1,10,1)),OR(COUNTIF($C419:L419,"&gt;0")&gt;0,DATE($B$1,10,1)=DATE(YEAR(TODAY()),MONTH(TODAY()),1))),1,0))</f>
        <v/>
      </c>
      <c r="Z419">
        <f>IF($A419="","",IF(AND($B419&gt;0,M419&lt;$B419,DATE($B$1,11,1)&lt;=TODAY(),OR($O419="",$O419&gt;=DATE($B$1,11,1)),OR(COUNTIF($C419:M419,"&gt;0")&gt;0,DATE($B$1,11,1)=DATE(YEAR(TODAY()),MONTH(TODAY()),1))),1,0))</f>
        <v/>
      </c>
      <c r="AA419">
        <f>IF($A419="","",IF(AND($B419&gt;0,N419&lt;$B419,DATE($B$1,12,1)&lt;=TODAY(),OR($O419="",$O419&gt;=DATE($B$1,12,1)),OR(COUNTIF($C419:N419,"&gt;0")&gt;0,DATE($B$1,12,1)=DATE(YEAR(TODAY()),MONTH(TODAY()),1))),1,0))</f>
        <v/>
      </c>
    </row>
    <row r="420">
      <c r="A420" s="13">
        <f>IF(원생!$A418="","",원생!$A418&amp;IF(원생!$G418="",""," ("&amp;원생!$G418&amp;")"))</f>
        <v/>
      </c>
      <c r="B420" s="8">
        <f>IF(원생!$A418="","",N(원생!$F418))</f>
        <v/>
      </c>
      <c r="C420" s="14">
        <f>IF(원생!$A418="","",SUMIFS(계산!$C:$C,계산!$A:$A,계산!$E418,계산!$B:$B,$B$1*100+1))</f>
        <v/>
      </c>
      <c r="D420" s="14">
        <f>IF(원생!$A418="","",SUMIFS(계산!$C:$C,계산!$A:$A,계산!$E418,계산!$B:$B,$B$1*100+2))</f>
        <v/>
      </c>
      <c r="E420" s="14">
        <f>IF(원생!$A418="","",SUMIFS(계산!$C:$C,계산!$A:$A,계산!$E418,계산!$B:$B,$B$1*100+3))</f>
        <v/>
      </c>
      <c r="F420" s="14">
        <f>IF(원생!$A418="","",SUMIFS(계산!$C:$C,계산!$A:$A,계산!$E418,계산!$B:$B,$B$1*100+4))</f>
        <v/>
      </c>
      <c r="G420" s="14">
        <f>IF(원생!$A418="","",SUMIFS(계산!$C:$C,계산!$A:$A,계산!$E418,계산!$B:$B,$B$1*100+5))</f>
        <v/>
      </c>
      <c r="H420" s="14">
        <f>IF(원생!$A418="","",SUMIFS(계산!$C:$C,계산!$A:$A,계산!$E418,계산!$B:$B,$B$1*100+6))</f>
        <v/>
      </c>
      <c r="I420" s="14">
        <f>IF(원생!$A418="","",SUMIFS(계산!$C:$C,계산!$A:$A,계산!$E418,계산!$B:$B,$B$1*100+7))</f>
        <v/>
      </c>
      <c r="J420" s="14">
        <f>IF(원생!$A418="","",SUMIFS(계산!$C:$C,계산!$A:$A,계산!$E418,계산!$B:$B,$B$1*100+8))</f>
        <v/>
      </c>
      <c r="K420" s="14">
        <f>IF(원생!$A418="","",SUMIFS(계산!$C:$C,계산!$A:$A,계산!$E418,계산!$B:$B,$B$1*100+9))</f>
        <v/>
      </c>
      <c r="L420" s="14">
        <f>IF(원생!$A418="","",SUMIFS(계산!$C:$C,계산!$A:$A,계산!$E418,계산!$B:$B,$B$1*100+10))</f>
        <v/>
      </c>
      <c r="M420" s="14">
        <f>IF(원생!$A418="","",SUMIFS(계산!$C:$C,계산!$A:$A,계산!$E418,계산!$B:$B,$B$1*100+11))</f>
        <v/>
      </c>
      <c r="N420" s="14">
        <f>IF(원생!$A418="","",SUMIFS(계산!$C:$C,계산!$A:$A,계산!$E418,계산!$B:$B,$B$1*100+12))</f>
        <v/>
      </c>
      <c r="O420">
        <f>IF(원생!$I418="","",원생!$I418)</f>
        <v/>
      </c>
      <c r="P420">
        <f>IF($A420="","",IF(AND($B420&gt;0,C420&lt;$B420,DATE($B$1,1,1)&lt;=TODAY(),OR($O420="",$O420&gt;=DATE($B$1,1,1)),OR(COUNTIF($C420:C420,"&gt;0")&gt;0,DATE($B$1,1,1)=DATE(YEAR(TODAY()),MONTH(TODAY()),1))),1,0))</f>
        <v/>
      </c>
      <c r="Q420">
        <f>IF($A420="","",IF(AND($B420&gt;0,D420&lt;$B420,DATE($B$1,2,1)&lt;=TODAY(),OR($O420="",$O420&gt;=DATE($B$1,2,1)),OR(COUNTIF($C420:D420,"&gt;0")&gt;0,DATE($B$1,2,1)=DATE(YEAR(TODAY()),MONTH(TODAY()),1))),1,0))</f>
        <v/>
      </c>
      <c r="R420">
        <f>IF($A420="","",IF(AND($B420&gt;0,E420&lt;$B420,DATE($B$1,3,1)&lt;=TODAY(),OR($O420="",$O420&gt;=DATE($B$1,3,1)),OR(COUNTIF($C420:E420,"&gt;0")&gt;0,DATE($B$1,3,1)=DATE(YEAR(TODAY()),MONTH(TODAY()),1))),1,0))</f>
        <v/>
      </c>
      <c r="S420">
        <f>IF($A420="","",IF(AND($B420&gt;0,F420&lt;$B420,DATE($B$1,4,1)&lt;=TODAY(),OR($O420="",$O420&gt;=DATE($B$1,4,1)),OR(COUNTIF($C420:F420,"&gt;0")&gt;0,DATE($B$1,4,1)=DATE(YEAR(TODAY()),MONTH(TODAY()),1))),1,0))</f>
        <v/>
      </c>
      <c r="T420">
        <f>IF($A420="","",IF(AND($B420&gt;0,G420&lt;$B420,DATE($B$1,5,1)&lt;=TODAY(),OR($O420="",$O420&gt;=DATE($B$1,5,1)),OR(COUNTIF($C420:G420,"&gt;0")&gt;0,DATE($B$1,5,1)=DATE(YEAR(TODAY()),MONTH(TODAY()),1))),1,0))</f>
        <v/>
      </c>
      <c r="U420">
        <f>IF($A420="","",IF(AND($B420&gt;0,H420&lt;$B420,DATE($B$1,6,1)&lt;=TODAY(),OR($O420="",$O420&gt;=DATE($B$1,6,1)),OR(COUNTIF($C420:H420,"&gt;0")&gt;0,DATE($B$1,6,1)=DATE(YEAR(TODAY()),MONTH(TODAY()),1))),1,0))</f>
        <v/>
      </c>
      <c r="V420">
        <f>IF($A420="","",IF(AND($B420&gt;0,I420&lt;$B420,DATE($B$1,7,1)&lt;=TODAY(),OR($O420="",$O420&gt;=DATE($B$1,7,1)),OR(COUNTIF($C420:I420,"&gt;0")&gt;0,DATE($B$1,7,1)=DATE(YEAR(TODAY()),MONTH(TODAY()),1))),1,0))</f>
        <v/>
      </c>
      <c r="W420">
        <f>IF($A420="","",IF(AND($B420&gt;0,J420&lt;$B420,DATE($B$1,8,1)&lt;=TODAY(),OR($O420="",$O420&gt;=DATE($B$1,8,1)),OR(COUNTIF($C420:J420,"&gt;0")&gt;0,DATE($B$1,8,1)=DATE(YEAR(TODAY()),MONTH(TODAY()),1))),1,0))</f>
        <v/>
      </c>
      <c r="X420">
        <f>IF($A420="","",IF(AND($B420&gt;0,K420&lt;$B420,DATE($B$1,9,1)&lt;=TODAY(),OR($O420="",$O420&gt;=DATE($B$1,9,1)),OR(COUNTIF($C420:K420,"&gt;0")&gt;0,DATE($B$1,9,1)=DATE(YEAR(TODAY()),MONTH(TODAY()),1))),1,0))</f>
        <v/>
      </c>
      <c r="Y420">
        <f>IF($A420="","",IF(AND($B420&gt;0,L420&lt;$B420,DATE($B$1,10,1)&lt;=TODAY(),OR($O420="",$O420&gt;=DATE($B$1,10,1)),OR(COUNTIF($C420:L420,"&gt;0")&gt;0,DATE($B$1,10,1)=DATE(YEAR(TODAY()),MONTH(TODAY()),1))),1,0))</f>
        <v/>
      </c>
      <c r="Z420">
        <f>IF($A420="","",IF(AND($B420&gt;0,M420&lt;$B420,DATE($B$1,11,1)&lt;=TODAY(),OR($O420="",$O420&gt;=DATE($B$1,11,1)),OR(COUNTIF($C420:M420,"&gt;0")&gt;0,DATE($B$1,11,1)=DATE(YEAR(TODAY()),MONTH(TODAY()),1))),1,0))</f>
        <v/>
      </c>
      <c r="AA420">
        <f>IF($A420="","",IF(AND($B420&gt;0,N420&lt;$B420,DATE($B$1,12,1)&lt;=TODAY(),OR($O420="",$O420&gt;=DATE($B$1,12,1)),OR(COUNTIF($C420:N420,"&gt;0")&gt;0,DATE($B$1,12,1)=DATE(YEAR(TODAY()),MONTH(TODAY()),1))),1,0))</f>
        <v/>
      </c>
    </row>
    <row r="421">
      <c r="A421" s="13">
        <f>IF(원생!$A419="","",원생!$A419&amp;IF(원생!$G419="",""," ("&amp;원생!$G419&amp;")"))</f>
        <v/>
      </c>
      <c r="B421" s="8">
        <f>IF(원생!$A419="","",N(원생!$F419))</f>
        <v/>
      </c>
      <c r="C421" s="14">
        <f>IF(원생!$A419="","",SUMIFS(계산!$C:$C,계산!$A:$A,계산!$E419,계산!$B:$B,$B$1*100+1))</f>
        <v/>
      </c>
      <c r="D421" s="14">
        <f>IF(원생!$A419="","",SUMIFS(계산!$C:$C,계산!$A:$A,계산!$E419,계산!$B:$B,$B$1*100+2))</f>
        <v/>
      </c>
      <c r="E421" s="14">
        <f>IF(원생!$A419="","",SUMIFS(계산!$C:$C,계산!$A:$A,계산!$E419,계산!$B:$B,$B$1*100+3))</f>
        <v/>
      </c>
      <c r="F421" s="14">
        <f>IF(원생!$A419="","",SUMIFS(계산!$C:$C,계산!$A:$A,계산!$E419,계산!$B:$B,$B$1*100+4))</f>
        <v/>
      </c>
      <c r="G421" s="14">
        <f>IF(원생!$A419="","",SUMIFS(계산!$C:$C,계산!$A:$A,계산!$E419,계산!$B:$B,$B$1*100+5))</f>
        <v/>
      </c>
      <c r="H421" s="14">
        <f>IF(원생!$A419="","",SUMIFS(계산!$C:$C,계산!$A:$A,계산!$E419,계산!$B:$B,$B$1*100+6))</f>
        <v/>
      </c>
      <c r="I421" s="14">
        <f>IF(원생!$A419="","",SUMIFS(계산!$C:$C,계산!$A:$A,계산!$E419,계산!$B:$B,$B$1*100+7))</f>
        <v/>
      </c>
      <c r="J421" s="14">
        <f>IF(원생!$A419="","",SUMIFS(계산!$C:$C,계산!$A:$A,계산!$E419,계산!$B:$B,$B$1*100+8))</f>
        <v/>
      </c>
      <c r="K421" s="14">
        <f>IF(원생!$A419="","",SUMIFS(계산!$C:$C,계산!$A:$A,계산!$E419,계산!$B:$B,$B$1*100+9))</f>
        <v/>
      </c>
      <c r="L421" s="14">
        <f>IF(원생!$A419="","",SUMIFS(계산!$C:$C,계산!$A:$A,계산!$E419,계산!$B:$B,$B$1*100+10))</f>
        <v/>
      </c>
      <c r="M421" s="14">
        <f>IF(원생!$A419="","",SUMIFS(계산!$C:$C,계산!$A:$A,계산!$E419,계산!$B:$B,$B$1*100+11))</f>
        <v/>
      </c>
      <c r="N421" s="14">
        <f>IF(원생!$A419="","",SUMIFS(계산!$C:$C,계산!$A:$A,계산!$E419,계산!$B:$B,$B$1*100+12))</f>
        <v/>
      </c>
      <c r="O421">
        <f>IF(원생!$I419="","",원생!$I419)</f>
        <v/>
      </c>
      <c r="P421">
        <f>IF($A421="","",IF(AND($B421&gt;0,C421&lt;$B421,DATE($B$1,1,1)&lt;=TODAY(),OR($O421="",$O421&gt;=DATE($B$1,1,1)),OR(COUNTIF($C421:C421,"&gt;0")&gt;0,DATE($B$1,1,1)=DATE(YEAR(TODAY()),MONTH(TODAY()),1))),1,0))</f>
        <v/>
      </c>
      <c r="Q421">
        <f>IF($A421="","",IF(AND($B421&gt;0,D421&lt;$B421,DATE($B$1,2,1)&lt;=TODAY(),OR($O421="",$O421&gt;=DATE($B$1,2,1)),OR(COUNTIF($C421:D421,"&gt;0")&gt;0,DATE($B$1,2,1)=DATE(YEAR(TODAY()),MONTH(TODAY()),1))),1,0))</f>
        <v/>
      </c>
      <c r="R421">
        <f>IF($A421="","",IF(AND($B421&gt;0,E421&lt;$B421,DATE($B$1,3,1)&lt;=TODAY(),OR($O421="",$O421&gt;=DATE($B$1,3,1)),OR(COUNTIF($C421:E421,"&gt;0")&gt;0,DATE($B$1,3,1)=DATE(YEAR(TODAY()),MONTH(TODAY()),1))),1,0))</f>
        <v/>
      </c>
      <c r="S421">
        <f>IF($A421="","",IF(AND($B421&gt;0,F421&lt;$B421,DATE($B$1,4,1)&lt;=TODAY(),OR($O421="",$O421&gt;=DATE($B$1,4,1)),OR(COUNTIF($C421:F421,"&gt;0")&gt;0,DATE($B$1,4,1)=DATE(YEAR(TODAY()),MONTH(TODAY()),1))),1,0))</f>
        <v/>
      </c>
      <c r="T421">
        <f>IF($A421="","",IF(AND($B421&gt;0,G421&lt;$B421,DATE($B$1,5,1)&lt;=TODAY(),OR($O421="",$O421&gt;=DATE($B$1,5,1)),OR(COUNTIF($C421:G421,"&gt;0")&gt;0,DATE($B$1,5,1)=DATE(YEAR(TODAY()),MONTH(TODAY()),1))),1,0))</f>
        <v/>
      </c>
      <c r="U421">
        <f>IF($A421="","",IF(AND($B421&gt;0,H421&lt;$B421,DATE($B$1,6,1)&lt;=TODAY(),OR($O421="",$O421&gt;=DATE($B$1,6,1)),OR(COUNTIF($C421:H421,"&gt;0")&gt;0,DATE($B$1,6,1)=DATE(YEAR(TODAY()),MONTH(TODAY()),1))),1,0))</f>
        <v/>
      </c>
      <c r="V421">
        <f>IF($A421="","",IF(AND($B421&gt;0,I421&lt;$B421,DATE($B$1,7,1)&lt;=TODAY(),OR($O421="",$O421&gt;=DATE($B$1,7,1)),OR(COUNTIF($C421:I421,"&gt;0")&gt;0,DATE($B$1,7,1)=DATE(YEAR(TODAY()),MONTH(TODAY()),1))),1,0))</f>
        <v/>
      </c>
      <c r="W421">
        <f>IF($A421="","",IF(AND($B421&gt;0,J421&lt;$B421,DATE($B$1,8,1)&lt;=TODAY(),OR($O421="",$O421&gt;=DATE($B$1,8,1)),OR(COUNTIF($C421:J421,"&gt;0")&gt;0,DATE($B$1,8,1)=DATE(YEAR(TODAY()),MONTH(TODAY()),1))),1,0))</f>
        <v/>
      </c>
      <c r="X421">
        <f>IF($A421="","",IF(AND($B421&gt;0,K421&lt;$B421,DATE($B$1,9,1)&lt;=TODAY(),OR($O421="",$O421&gt;=DATE($B$1,9,1)),OR(COUNTIF($C421:K421,"&gt;0")&gt;0,DATE($B$1,9,1)=DATE(YEAR(TODAY()),MONTH(TODAY()),1))),1,0))</f>
        <v/>
      </c>
      <c r="Y421">
        <f>IF($A421="","",IF(AND($B421&gt;0,L421&lt;$B421,DATE($B$1,10,1)&lt;=TODAY(),OR($O421="",$O421&gt;=DATE($B$1,10,1)),OR(COUNTIF($C421:L421,"&gt;0")&gt;0,DATE($B$1,10,1)=DATE(YEAR(TODAY()),MONTH(TODAY()),1))),1,0))</f>
        <v/>
      </c>
      <c r="Z421">
        <f>IF($A421="","",IF(AND($B421&gt;0,M421&lt;$B421,DATE($B$1,11,1)&lt;=TODAY(),OR($O421="",$O421&gt;=DATE($B$1,11,1)),OR(COUNTIF($C421:M421,"&gt;0")&gt;0,DATE($B$1,11,1)=DATE(YEAR(TODAY()),MONTH(TODAY()),1))),1,0))</f>
        <v/>
      </c>
      <c r="AA421">
        <f>IF($A421="","",IF(AND($B421&gt;0,N421&lt;$B421,DATE($B$1,12,1)&lt;=TODAY(),OR($O421="",$O421&gt;=DATE($B$1,12,1)),OR(COUNTIF($C421:N421,"&gt;0")&gt;0,DATE($B$1,12,1)=DATE(YEAR(TODAY()),MONTH(TODAY()),1))),1,0))</f>
        <v/>
      </c>
    </row>
    <row r="422">
      <c r="A422" s="13">
        <f>IF(원생!$A420="","",원생!$A420&amp;IF(원생!$G420="",""," ("&amp;원생!$G420&amp;")"))</f>
        <v/>
      </c>
      <c r="B422" s="8">
        <f>IF(원생!$A420="","",N(원생!$F420))</f>
        <v/>
      </c>
      <c r="C422" s="14">
        <f>IF(원생!$A420="","",SUMIFS(계산!$C:$C,계산!$A:$A,계산!$E420,계산!$B:$B,$B$1*100+1))</f>
        <v/>
      </c>
      <c r="D422" s="14">
        <f>IF(원생!$A420="","",SUMIFS(계산!$C:$C,계산!$A:$A,계산!$E420,계산!$B:$B,$B$1*100+2))</f>
        <v/>
      </c>
      <c r="E422" s="14">
        <f>IF(원생!$A420="","",SUMIFS(계산!$C:$C,계산!$A:$A,계산!$E420,계산!$B:$B,$B$1*100+3))</f>
        <v/>
      </c>
      <c r="F422" s="14">
        <f>IF(원생!$A420="","",SUMIFS(계산!$C:$C,계산!$A:$A,계산!$E420,계산!$B:$B,$B$1*100+4))</f>
        <v/>
      </c>
      <c r="G422" s="14">
        <f>IF(원생!$A420="","",SUMIFS(계산!$C:$C,계산!$A:$A,계산!$E420,계산!$B:$B,$B$1*100+5))</f>
        <v/>
      </c>
      <c r="H422" s="14">
        <f>IF(원생!$A420="","",SUMIFS(계산!$C:$C,계산!$A:$A,계산!$E420,계산!$B:$B,$B$1*100+6))</f>
        <v/>
      </c>
      <c r="I422" s="14">
        <f>IF(원생!$A420="","",SUMIFS(계산!$C:$C,계산!$A:$A,계산!$E420,계산!$B:$B,$B$1*100+7))</f>
        <v/>
      </c>
      <c r="J422" s="14">
        <f>IF(원생!$A420="","",SUMIFS(계산!$C:$C,계산!$A:$A,계산!$E420,계산!$B:$B,$B$1*100+8))</f>
        <v/>
      </c>
      <c r="K422" s="14">
        <f>IF(원생!$A420="","",SUMIFS(계산!$C:$C,계산!$A:$A,계산!$E420,계산!$B:$B,$B$1*100+9))</f>
        <v/>
      </c>
      <c r="L422" s="14">
        <f>IF(원생!$A420="","",SUMIFS(계산!$C:$C,계산!$A:$A,계산!$E420,계산!$B:$B,$B$1*100+10))</f>
        <v/>
      </c>
      <c r="M422" s="14">
        <f>IF(원생!$A420="","",SUMIFS(계산!$C:$C,계산!$A:$A,계산!$E420,계산!$B:$B,$B$1*100+11))</f>
        <v/>
      </c>
      <c r="N422" s="14">
        <f>IF(원생!$A420="","",SUMIFS(계산!$C:$C,계산!$A:$A,계산!$E420,계산!$B:$B,$B$1*100+12))</f>
        <v/>
      </c>
      <c r="O422">
        <f>IF(원생!$I420="","",원생!$I420)</f>
        <v/>
      </c>
      <c r="P422">
        <f>IF($A422="","",IF(AND($B422&gt;0,C422&lt;$B422,DATE($B$1,1,1)&lt;=TODAY(),OR($O422="",$O422&gt;=DATE($B$1,1,1)),OR(COUNTIF($C422:C422,"&gt;0")&gt;0,DATE($B$1,1,1)=DATE(YEAR(TODAY()),MONTH(TODAY()),1))),1,0))</f>
        <v/>
      </c>
      <c r="Q422">
        <f>IF($A422="","",IF(AND($B422&gt;0,D422&lt;$B422,DATE($B$1,2,1)&lt;=TODAY(),OR($O422="",$O422&gt;=DATE($B$1,2,1)),OR(COUNTIF($C422:D422,"&gt;0")&gt;0,DATE($B$1,2,1)=DATE(YEAR(TODAY()),MONTH(TODAY()),1))),1,0))</f>
        <v/>
      </c>
      <c r="R422">
        <f>IF($A422="","",IF(AND($B422&gt;0,E422&lt;$B422,DATE($B$1,3,1)&lt;=TODAY(),OR($O422="",$O422&gt;=DATE($B$1,3,1)),OR(COUNTIF($C422:E422,"&gt;0")&gt;0,DATE($B$1,3,1)=DATE(YEAR(TODAY()),MONTH(TODAY()),1))),1,0))</f>
        <v/>
      </c>
      <c r="S422">
        <f>IF($A422="","",IF(AND($B422&gt;0,F422&lt;$B422,DATE($B$1,4,1)&lt;=TODAY(),OR($O422="",$O422&gt;=DATE($B$1,4,1)),OR(COUNTIF($C422:F422,"&gt;0")&gt;0,DATE($B$1,4,1)=DATE(YEAR(TODAY()),MONTH(TODAY()),1))),1,0))</f>
        <v/>
      </c>
      <c r="T422">
        <f>IF($A422="","",IF(AND($B422&gt;0,G422&lt;$B422,DATE($B$1,5,1)&lt;=TODAY(),OR($O422="",$O422&gt;=DATE($B$1,5,1)),OR(COUNTIF($C422:G422,"&gt;0")&gt;0,DATE($B$1,5,1)=DATE(YEAR(TODAY()),MONTH(TODAY()),1))),1,0))</f>
        <v/>
      </c>
      <c r="U422">
        <f>IF($A422="","",IF(AND($B422&gt;0,H422&lt;$B422,DATE($B$1,6,1)&lt;=TODAY(),OR($O422="",$O422&gt;=DATE($B$1,6,1)),OR(COUNTIF($C422:H422,"&gt;0")&gt;0,DATE($B$1,6,1)=DATE(YEAR(TODAY()),MONTH(TODAY()),1))),1,0))</f>
        <v/>
      </c>
      <c r="V422">
        <f>IF($A422="","",IF(AND($B422&gt;0,I422&lt;$B422,DATE($B$1,7,1)&lt;=TODAY(),OR($O422="",$O422&gt;=DATE($B$1,7,1)),OR(COUNTIF($C422:I422,"&gt;0")&gt;0,DATE($B$1,7,1)=DATE(YEAR(TODAY()),MONTH(TODAY()),1))),1,0))</f>
        <v/>
      </c>
      <c r="W422">
        <f>IF($A422="","",IF(AND($B422&gt;0,J422&lt;$B422,DATE($B$1,8,1)&lt;=TODAY(),OR($O422="",$O422&gt;=DATE($B$1,8,1)),OR(COUNTIF($C422:J422,"&gt;0")&gt;0,DATE($B$1,8,1)=DATE(YEAR(TODAY()),MONTH(TODAY()),1))),1,0))</f>
        <v/>
      </c>
      <c r="X422">
        <f>IF($A422="","",IF(AND($B422&gt;0,K422&lt;$B422,DATE($B$1,9,1)&lt;=TODAY(),OR($O422="",$O422&gt;=DATE($B$1,9,1)),OR(COUNTIF($C422:K422,"&gt;0")&gt;0,DATE($B$1,9,1)=DATE(YEAR(TODAY()),MONTH(TODAY()),1))),1,0))</f>
        <v/>
      </c>
      <c r="Y422">
        <f>IF($A422="","",IF(AND($B422&gt;0,L422&lt;$B422,DATE($B$1,10,1)&lt;=TODAY(),OR($O422="",$O422&gt;=DATE($B$1,10,1)),OR(COUNTIF($C422:L422,"&gt;0")&gt;0,DATE($B$1,10,1)=DATE(YEAR(TODAY()),MONTH(TODAY()),1))),1,0))</f>
        <v/>
      </c>
      <c r="Z422">
        <f>IF($A422="","",IF(AND($B422&gt;0,M422&lt;$B422,DATE($B$1,11,1)&lt;=TODAY(),OR($O422="",$O422&gt;=DATE($B$1,11,1)),OR(COUNTIF($C422:M422,"&gt;0")&gt;0,DATE($B$1,11,1)=DATE(YEAR(TODAY()),MONTH(TODAY()),1))),1,0))</f>
        <v/>
      </c>
      <c r="AA422">
        <f>IF($A422="","",IF(AND($B422&gt;0,N422&lt;$B422,DATE($B$1,12,1)&lt;=TODAY(),OR($O422="",$O422&gt;=DATE($B$1,12,1)),OR(COUNTIF($C422:N422,"&gt;0")&gt;0,DATE($B$1,12,1)=DATE(YEAR(TODAY()),MONTH(TODAY()),1))),1,0))</f>
        <v/>
      </c>
    </row>
    <row r="423">
      <c r="A423" s="13">
        <f>IF(원생!$A421="","",원생!$A421&amp;IF(원생!$G421="",""," ("&amp;원생!$G421&amp;")"))</f>
        <v/>
      </c>
      <c r="B423" s="8">
        <f>IF(원생!$A421="","",N(원생!$F421))</f>
        <v/>
      </c>
      <c r="C423" s="14">
        <f>IF(원생!$A421="","",SUMIFS(계산!$C:$C,계산!$A:$A,계산!$E421,계산!$B:$B,$B$1*100+1))</f>
        <v/>
      </c>
      <c r="D423" s="14">
        <f>IF(원생!$A421="","",SUMIFS(계산!$C:$C,계산!$A:$A,계산!$E421,계산!$B:$B,$B$1*100+2))</f>
        <v/>
      </c>
      <c r="E423" s="14">
        <f>IF(원생!$A421="","",SUMIFS(계산!$C:$C,계산!$A:$A,계산!$E421,계산!$B:$B,$B$1*100+3))</f>
        <v/>
      </c>
      <c r="F423" s="14">
        <f>IF(원생!$A421="","",SUMIFS(계산!$C:$C,계산!$A:$A,계산!$E421,계산!$B:$B,$B$1*100+4))</f>
        <v/>
      </c>
      <c r="G423" s="14">
        <f>IF(원생!$A421="","",SUMIFS(계산!$C:$C,계산!$A:$A,계산!$E421,계산!$B:$B,$B$1*100+5))</f>
        <v/>
      </c>
      <c r="H423" s="14">
        <f>IF(원생!$A421="","",SUMIFS(계산!$C:$C,계산!$A:$A,계산!$E421,계산!$B:$B,$B$1*100+6))</f>
        <v/>
      </c>
      <c r="I423" s="14">
        <f>IF(원생!$A421="","",SUMIFS(계산!$C:$C,계산!$A:$A,계산!$E421,계산!$B:$B,$B$1*100+7))</f>
        <v/>
      </c>
      <c r="J423" s="14">
        <f>IF(원생!$A421="","",SUMIFS(계산!$C:$C,계산!$A:$A,계산!$E421,계산!$B:$B,$B$1*100+8))</f>
        <v/>
      </c>
      <c r="K423" s="14">
        <f>IF(원생!$A421="","",SUMIFS(계산!$C:$C,계산!$A:$A,계산!$E421,계산!$B:$B,$B$1*100+9))</f>
        <v/>
      </c>
      <c r="L423" s="14">
        <f>IF(원생!$A421="","",SUMIFS(계산!$C:$C,계산!$A:$A,계산!$E421,계산!$B:$B,$B$1*100+10))</f>
        <v/>
      </c>
      <c r="M423" s="14">
        <f>IF(원생!$A421="","",SUMIFS(계산!$C:$C,계산!$A:$A,계산!$E421,계산!$B:$B,$B$1*100+11))</f>
        <v/>
      </c>
      <c r="N423" s="14">
        <f>IF(원생!$A421="","",SUMIFS(계산!$C:$C,계산!$A:$A,계산!$E421,계산!$B:$B,$B$1*100+12))</f>
        <v/>
      </c>
      <c r="O423">
        <f>IF(원생!$I421="","",원생!$I421)</f>
        <v/>
      </c>
      <c r="P423">
        <f>IF($A423="","",IF(AND($B423&gt;0,C423&lt;$B423,DATE($B$1,1,1)&lt;=TODAY(),OR($O423="",$O423&gt;=DATE($B$1,1,1)),OR(COUNTIF($C423:C423,"&gt;0")&gt;0,DATE($B$1,1,1)=DATE(YEAR(TODAY()),MONTH(TODAY()),1))),1,0))</f>
        <v/>
      </c>
      <c r="Q423">
        <f>IF($A423="","",IF(AND($B423&gt;0,D423&lt;$B423,DATE($B$1,2,1)&lt;=TODAY(),OR($O423="",$O423&gt;=DATE($B$1,2,1)),OR(COUNTIF($C423:D423,"&gt;0")&gt;0,DATE($B$1,2,1)=DATE(YEAR(TODAY()),MONTH(TODAY()),1))),1,0))</f>
        <v/>
      </c>
      <c r="R423">
        <f>IF($A423="","",IF(AND($B423&gt;0,E423&lt;$B423,DATE($B$1,3,1)&lt;=TODAY(),OR($O423="",$O423&gt;=DATE($B$1,3,1)),OR(COUNTIF($C423:E423,"&gt;0")&gt;0,DATE($B$1,3,1)=DATE(YEAR(TODAY()),MONTH(TODAY()),1))),1,0))</f>
        <v/>
      </c>
      <c r="S423">
        <f>IF($A423="","",IF(AND($B423&gt;0,F423&lt;$B423,DATE($B$1,4,1)&lt;=TODAY(),OR($O423="",$O423&gt;=DATE($B$1,4,1)),OR(COUNTIF($C423:F423,"&gt;0")&gt;0,DATE($B$1,4,1)=DATE(YEAR(TODAY()),MONTH(TODAY()),1))),1,0))</f>
        <v/>
      </c>
      <c r="T423">
        <f>IF($A423="","",IF(AND($B423&gt;0,G423&lt;$B423,DATE($B$1,5,1)&lt;=TODAY(),OR($O423="",$O423&gt;=DATE($B$1,5,1)),OR(COUNTIF($C423:G423,"&gt;0")&gt;0,DATE($B$1,5,1)=DATE(YEAR(TODAY()),MONTH(TODAY()),1))),1,0))</f>
        <v/>
      </c>
      <c r="U423">
        <f>IF($A423="","",IF(AND($B423&gt;0,H423&lt;$B423,DATE($B$1,6,1)&lt;=TODAY(),OR($O423="",$O423&gt;=DATE($B$1,6,1)),OR(COUNTIF($C423:H423,"&gt;0")&gt;0,DATE($B$1,6,1)=DATE(YEAR(TODAY()),MONTH(TODAY()),1))),1,0))</f>
        <v/>
      </c>
      <c r="V423">
        <f>IF($A423="","",IF(AND($B423&gt;0,I423&lt;$B423,DATE($B$1,7,1)&lt;=TODAY(),OR($O423="",$O423&gt;=DATE($B$1,7,1)),OR(COUNTIF($C423:I423,"&gt;0")&gt;0,DATE($B$1,7,1)=DATE(YEAR(TODAY()),MONTH(TODAY()),1))),1,0))</f>
        <v/>
      </c>
      <c r="W423">
        <f>IF($A423="","",IF(AND($B423&gt;0,J423&lt;$B423,DATE($B$1,8,1)&lt;=TODAY(),OR($O423="",$O423&gt;=DATE($B$1,8,1)),OR(COUNTIF($C423:J423,"&gt;0")&gt;0,DATE($B$1,8,1)=DATE(YEAR(TODAY()),MONTH(TODAY()),1))),1,0))</f>
        <v/>
      </c>
      <c r="X423">
        <f>IF($A423="","",IF(AND($B423&gt;0,K423&lt;$B423,DATE($B$1,9,1)&lt;=TODAY(),OR($O423="",$O423&gt;=DATE($B$1,9,1)),OR(COUNTIF($C423:K423,"&gt;0")&gt;0,DATE($B$1,9,1)=DATE(YEAR(TODAY()),MONTH(TODAY()),1))),1,0))</f>
        <v/>
      </c>
      <c r="Y423">
        <f>IF($A423="","",IF(AND($B423&gt;0,L423&lt;$B423,DATE($B$1,10,1)&lt;=TODAY(),OR($O423="",$O423&gt;=DATE($B$1,10,1)),OR(COUNTIF($C423:L423,"&gt;0")&gt;0,DATE($B$1,10,1)=DATE(YEAR(TODAY()),MONTH(TODAY()),1))),1,0))</f>
        <v/>
      </c>
      <c r="Z423">
        <f>IF($A423="","",IF(AND($B423&gt;0,M423&lt;$B423,DATE($B$1,11,1)&lt;=TODAY(),OR($O423="",$O423&gt;=DATE($B$1,11,1)),OR(COUNTIF($C423:M423,"&gt;0")&gt;0,DATE($B$1,11,1)=DATE(YEAR(TODAY()),MONTH(TODAY()),1))),1,0))</f>
        <v/>
      </c>
      <c r="AA423">
        <f>IF($A423="","",IF(AND($B423&gt;0,N423&lt;$B423,DATE($B$1,12,1)&lt;=TODAY(),OR($O423="",$O423&gt;=DATE($B$1,12,1)),OR(COUNTIF($C423:N423,"&gt;0")&gt;0,DATE($B$1,12,1)=DATE(YEAR(TODAY()),MONTH(TODAY()),1))),1,0))</f>
        <v/>
      </c>
    </row>
    <row r="424">
      <c r="A424" s="13">
        <f>IF(원생!$A422="","",원생!$A422&amp;IF(원생!$G422="",""," ("&amp;원생!$G422&amp;")"))</f>
        <v/>
      </c>
      <c r="B424" s="8">
        <f>IF(원생!$A422="","",N(원생!$F422))</f>
        <v/>
      </c>
      <c r="C424" s="14">
        <f>IF(원생!$A422="","",SUMIFS(계산!$C:$C,계산!$A:$A,계산!$E422,계산!$B:$B,$B$1*100+1))</f>
        <v/>
      </c>
      <c r="D424" s="14">
        <f>IF(원생!$A422="","",SUMIFS(계산!$C:$C,계산!$A:$A,계산!$E422,계산!$B:$B,$B$1*100+2))</f>
        <v/>
      </c>
      <c r="E424" s="14">
        <f>IF(원생!$A422="","",SUMIFS(계산!$C:$C,계산!$A:$A,계산!$E422,계산!$B:$B,$B$1*100+3))</f>
        <v/>
      </c>
      <c r="F424" s="14">
        <f>IF(원생!$A422="","",SUMIFS(계산!$C:$C,계산!$A:$A,계산!$E422,계산!$B:$B,$B$1*100+4))</f>
        <v/>
      </c>
      <c r="G424" s="14">
        <f>IF(원생!$A422="","",SUMIFS(계산!$C:$C,계산!$A:$A,계산!$E422,계산!$B:$B,$B$1*100+5))</f>
        <v/>
      </c>
      <c r="H424" s="14">
        <f>IF(원생!$A422="","",SUMIFS(계산!$C:$C,계산!$A:$A,계산!$E422,계산!$B:$B,$B$1*100+6))</f>
        <v/>
      </c>
      <c r="I424" s="14">
        <f>IF(원생!$A422="","",SUMIFS(계산!$C:$C,계산!$A:$A,계산!$E422,계산!$B:$B,$B$1*100+7))</f>
        <v/>
      </c>
      <c r="J424" s="14">
        <f>IF(원생!$A422="","",SUMIFS(계산!$C:$C,계산!$A:$A,계산!$E422,계산!$B:$B,$B$1*100+8))</f>
        <v/>
      </c>
      <c r="K424" s="14">
        <f>IF(원생!$A422="","",SUMIFS(계산!$C:$C,계산!$A:$A,계산!$E422,계산!$B:$B,$B$1*100+9))</f>
        <v/>
      </c>
      <c r="L424" s="14">
        <f>IF(원생!$A422="","",SUMIFS(계산!$C:$C,계산!$A:$A,계산!$E422,계산!$B:$B,$B$1*100+10))</f>
        <v/>
      </c>
      <c r="M424" s="14">
        <f>IF(원생!$A422="","",SUMIFS(계산!$C:$C,계산!$A:$A,계산!$E422,계산!$B:$B,$B$1*100+11))</f>
        <v/>
      </c>
      <c r="N424" s="14">
        <f>IF(원생!$A422="","",SUMIFS(계산!$C:$C,계산!$A:$A,계산!$E422,계산!$B:$B,$B$1*100+12))</f>
        <v/>
      </c>
      <c r="O424">
        <f>IF(원생!$I422="","",원생!$I422)</f>
        <v/>
      </c>
      <c r="P424">
        <f>IF($A424="","",IF(AND($B424&gt;0,C424&lt;$B424,DATE($B$1,1,1)&lt;=TODAY(),OR($O424="",$O424&gt;=DATE($B$1,1,1)),OR(COUNTIF($C424:C424,"&gt;0")&gt;0,DATE($B$1,1,1)=DATE(YEAR(TODAY()),MONTH(TODAY()),1))),1,0))</f>
        <v/>
      </c>
      <c r="Q424">
        <f>IF($A424="","",IF(AND($B424&gt;0,D424&lt;$B424,DATE($B$1,2,1)&lt;=TODAY(),OR($O424="",$O424&gt;=DATE($B$1,2,1)),OR(COUNTIF($C424:D424,"&gt;0")&gt;0,DATE($B$1,2,1)=DATE(YEAR(TODAY()),MONTH(TODAY()),1))),1,0))</f>
        <v/>
      </c>
      <c r="R424">
        <f>IF($A424="","",IF(AND($B424&gt;0,E424&lt;$B424,DATE($B$1,3,1)&lt;=TODAY(),OR($O424="",$O424&gt;=DATE($B$1,3,1)),OR(COUNTIF($C424:E424,"&gt;0")&gt;0,DATE($B$1,3,1)=DATE(YEAR(TODAY()),MONTH(TODAY()),1))),1,0))</f>
        <v/>
      </c>
      <c r="S424">
        <f>IF($A424="","",IF(AND($B424&gt;0,F424&lt;$B424,DATE($B$1,4,1)&lt;=TODAY(),OR($O424="",$O424&gt;=DATE($B$1,4,1)),OR(COUNTIF($C424:F424,"&gt;0")&gt;0,DATE($B$1,4,1)=DATE(YEAR(TODAY()),MONTH(TODAY()),1))),1,0))</f>
        <v/>
      </c>
      <c r="T424">
        <f>IF($A424="","",IF(AND($B424&gt;0,G424&lt;$B424,DATE($B$1,5,1)&lt;=TODAY(),OR($O424="",$O424&gt;=DATE($B$1,5,1)),OR(COUNTIF($C424:G424,"&gt;0")&gt;0,DATE($B$1,5,1)=DATE(YEAR(TODAY()),MONTH(TODAY()),1))),1,0))</f>
        <v/>
      </c>
      <c r="U424">
        <f>IF($A424="","",IF(AND($B424&gt;0,H424&lt;$B424,DATE($B$1,6,1)&lt;=TODAY(),OR($O424="",$O424&gt;=DATE($B$1,6,1)),OR(COUNTIF($C424:H424,"&gt;0")&gt;0,DATE($B$1,6,1)=DATE(YEAR(TODAY()),MONTH(TODAY()),1))),1,0))</f>
        <v/>
      </c>
      <c r="V424">
        <f>IF($A424="","",IF(AND($B424&gt;0,I424&lt;$B424,DATE($B$1,7,1)&lt;=TODAY(),OR($O424="",$O424&gt;=DATE($B$1,7,1)),OR(COUNTIF($C424:I424,"&gt;0")&gt;0,DATE($B$1,7,1)=DATE(YEAR(TODAY()),MONTH(TODAY()),1))),1,0))</f>
        <v/>
      </c>
      <c r="W424">
        <f>IF($A424="","",IF(AND($B424&gt;0,J424&lt;$B424,DATE($B$1,8,1)&lt;=TODAY(),OR($O424="",$O424&gt;=DATE($B$1,8,1)),OR(COUNTIF($C424:J424,"&gt;0")&gt;0,DATE($B$1,8,1)=DATE(YEAR(TODAY()),MONTH(TODAY()),1))),1,0))</f>
        <v/>
      </c>
      <c r="X424">
        <f>IF($A424="","",IF(AND($B424&gt;0,K424&lt;$B424,DATE($B$1,9,1)&lt;=TODAY(),OR($O424="",$O424&gt;=DATE($B$1,9,1)),OR(COUNTIF($C424:K424,"&gt;0")&gt;0,DATE($B$1,9,1)=DATE(YEAR(TODAY()),MONTH(TODAY()),1))),1,0))</f>
        <v/>
      </c>
      <c r="Y424">
        <f>IF($A424="","",IF(AND($B424&gt;0,L424&lt;$B424,DATE($B$1,10,1)&lt;=TODAY(),OR($O424="",$O424&gt;=DATE($B$1,10,1)),OR(COUNTIF($C424:L424,"&gt;0")&gt;0,DATE($B$1,10,1)=DATE(YEAR(TODAY()),MONTH(TODAY()),1))),1,0))</f>
        <v/>
      </c>
      <c r="Z424">
        <f>IF($A424="","",IF(AND($B424&gt;0,M424&lt;$B424,DATE($B$1,11,1)&lt;=TODAY(),OR($O424="",$O424&gt;=DATE($B$1,11,1)),OR(COUNTIF($C424:M424,"&gt;0")&gt;0,DATE($B$1,11,1)=DATE(YEAR(TODAY()),MONTH(TODAY()),1))),1,0))</f>
        <v/>
      </c>
      <c r="AA424">
        <f>IF($A424="","",IF(AND($B424&gt;0,N424&lt;$B424,DATE($B$1,12,1)&lt;=TODAY(),OR($O424="",$O424&gt;=DATE($B$1,12,1)),OR(COUNTIF($C424:N424,"&gt;0")&gt;0,DATE($B$1,12,1)=DATE(YEAR(TODAY()),MONTH(TODAY()),1))),1,0))</f>
        <v/>
      </c>
    </row>
    <row r="425">
      <c r="A425" s="13">
        <f>IF(원생!$A423="","",원생!$A423&amp;IF(원생!$G423="",""," ("&amp;원생!$G423&amp;")"))</f>
        <v/>
      </c>
      <c r="B425" s="8">
        <f>IF(원생!$A423="","",N(원생!$F423))</f>
        <v/>
      </c>
      <c r="C425" s="14">
        <f>IF(원생!$A423="","",SUMIFS(계산!$C:$C,계산!$A:$A,계산!$E423,계산!$B:$B,$B$1*100+1))</f>
        <v/>
      </c>
      <c r="D425" s="14">
        <f>IF(원생!$A423="","",SUMIFS(계산!$C:$C,계산!$A:$A,계산!$E423,계산!$B:$B,$B$1*100+2))</f>
        <v/>
      </c>
      <c r="E425" s="14">
        <f>IF(원생!$A423="","",SUMIFS(계산!$C:$C,계산!$A:$A,계산!$E423,계산!$B:$B,$B$1*100+3))</f>
        <v/>
      </c>
      <c r="F425" s="14">
        <f>IF(원생!$A423="","",SUMIFS(계산!$C:$C,계산!$A:$A,계산!$E423,계산!$B:$B,$B$1*100+4))</f>
        <v/>
      </c>
      <c r="G425" s="14">
        <f>IF(원생!$A423="","",SUMIFS(계산!$C:$C,계산!$A:$A,계산!$E423,계산!$B:$B,$B$1*100+5))</f>
        <v/>
      </c>
      <c r="H425" s="14">
        <f>IF(원생!$A423="","",SUMIFS(계산!$C:$C,계산!$A:$A,계산!$E423,계산!$B:$B,$B$1*100+6))</f>
        <v/>
      </c>
      <c r="I425" s="14">
        <f>IF(원생!$A423="","",SUMIFS(계산!$C:$C,계산!$A:$A,계산!$E423,계산!$B:$B,$B$1*100+7))</f>
        <v/>
      </c>
      <c r="J425" s="14">
        <f>IF(원생!$A423="","",SUMIFS(계산!$C:$C,계산!$A:$A,계산!$E423,계산!$B:$B,$B$1*100+8))</f>
        <v/>
      </c>
      <c r="K425" s="14">
        <f>IF(원생!$A423="","",SUMIFS(계산!$C:$C,계산!$A:$A,계산!$E423,계산!$B:$B,$B$1*100+9))</f>
        <v/>
      </c>
      <c r="L425" s="14">
        <f>IF(원생!$A423="","",SUMIFS(계산!$C:$C,계산!$A:$A,계산!$E423,계산!$B:$B,$B$1*100+10))</f>
        <v/>
      </c>
      <c r="M425" s="14">
        <f>IF(원생!$A423="","",SUMIFS(계산!$C:$C,계산!$A:$A,계산!$E423,계산!$B:$B,$B$1*100+11))</f>
        <v/>
      </c>
      <c r="N425" s="14">
        <f>IF(원생!$A423="","",SUMIFS(계산!$C:$C,계산!$A:$A,계산!$E423,계산!$B:$B,$B$1*100+12))</f>
        <v/>
      </c>
      <c r="O425">
        <f>IF(원생!$I423="","",원생!$I423)</f>
        <v/>
      </c>
      <c r="P425">
        <f>IF($A425="","",IF(AND($B425&gt;0,C425&lt;$B425,DATE($B$1,1,1)&lt;=TODAY(),OR($O425="",$O425&gt;=DATE($B$1,1,1)),OR(COUNTIF($C425:C425,"&gt;0")&gt;0,DATE($B$1,1,1)=DATE(YEAR(TODAY()),MONTH(TODAY()),1))),1,0))</f>
        <v/>
      </c>
      <c r="Q425">
        <f>IF($A425="","",IF(AND($B425&gt;0,D425&lt;$B425,DATE($B$1,2,1)&lt;=TODAY(),OR($O425="",$O425&gt;=DATE($B$1,2,1)),OR(COUNTIF($C425:D425,"&gt;0")&gt;0,DATE($B$1,2,1)=DATE(YEAR(TODAY()),MONTH(TODAY()),1))),1,0))</f>
        <v/>
      </c>
      <c r="R425">
        <f>IF($A425="","",IF(AND($B425&gt;0,E425&lt;$B425,DATE($B$1,3,1)&lt;=TODAY(),OR($O425="",$O425&gt;=DATE($B$1,3,1)),OR(COUNTIF($C425:E425,"&gt;0")&gt;0,DATE($B$1,3,1)=DATE(YEAR(TODAY()),MONTH(TODAY()),1))),1,0))</f>
        <v/>
      </c>
      <c r="S425">
        <f>IF($A425="","",IF(AND($B425&gt;0,F425&lt;$B425,DATE($B$1,4,1)&lt;=TODAY(),OR($O425="",$O425&gt;=DATE($B$1,4,1)),OR(COUNTIF($C425:F425,"&gt;0")&gt;0,DATE($B$1,4,1)=DATE(YEAR(TODAY()),MONTH(TODAY()),1))),1,0))</f>
        <v/>
      </c>
      <c r="T425">
        <f>IF($A425="","",IF(AND($B425&gt;0,G425&lt;$B425,DATE($B$1,5,1)&lt;=TODAY(),OR($O425="",$O425&gt;=DATE($B$1,5,1)),OR(COUNTIF($C425:G425,"&gt;0")&gt;0,DATE($B$1,5,1)=DATE(YEAR(TODAY()),MONTH(TODAY()),1))),1,0))</f>
        <v/>
      </c>
      <c r="U425">
        <f>IF($A425="","",IF(AND($B425&gt;0,H425&lt;$B425,DATE($B$1,6,1)&lt;=TODAY(),OR($O425="",$O425&gt;=DATE($B$1,6,1)),OR(COUNTIF($C425:H425,"&gt;0")&gt;0,DATE($B$1,6,1)=DATE(YEAR(TODAY()),MONTH(TODAY()),1))),1,0))</f>
        <v/>
      </c>
      <c r="V425">
        <f>IF($A425="","",IF(AND($B425&gt;0,I425&lt;$B425,DATE($B$1,7,1)&lt;=TODAY(),OR($O425="",$O425&gt;=DATE($B$1,7,1)),OR(COUNTIF($C425:I425,"&gt;0")&gt;0,DATE($B$1,7,1)=DATE(YEAR(TODAY()),MONTH(TODAY()),1))),1,0))</f>
        <v/>
      </c>
      <c r="W425">
        <f>IF($A425="","",IF(AND($B425&gt;0,J425&lt;$B425,DATE($B$1,8,1)&lt;=TODAY(),OR($O425="",$O425&gt;=DATE($B$1,8,1)),OR(COUNTIF($C425:J425,"&gt;0")&gt;0,DATE($B$1,8,1)=DATE(YEAR(TODAY()),MONTH(TODAY()),1))),1,0))</f>
        <v/>
      </c>
      <c r="X425">
        <f>IF($A425="","",IF(AND($B425&gt;0,K425&lt;$B425,DATE($B$1,9,1)&lt;=TODAY(),OR($O425="",$O425&gt;=DATE($B$1,9,1)),OR(COUNTIF($C425:K425,"&gt;0")&gt;0,DATE($B$1,9,1)=DATE(YEAR(TODAY()),MONTH(TODAY()),1))),1,0))</f>
        <v/>
      </c>
      <c r="Y425">
        <f>IF($A425="","",IF(AND($B425&gt;0,L425&lt;$B425,DATE($B$1,10,1)&lt;=TODAY(),OR($O425="",$O425&gt;=DATE($B$1,10,1)),OR(COUNTIF($C425:L425,"&gt;0")&gt;0,DATE($B$1,10,1)=DATE(YEAR(TODAY()),MONTH(TODAY()),1))),1,0))</f>
        <v/>
      </c>
      <c r="Z425">
        <f>IF($A425="","",IF(AND($B425&gt;0,M425&lt;$B425,DATE($B$1,11,1)&lt;=TODAY(),OR($O425="",$O425&gt;=DATE($B$1,11,1)),OR(COUNTIF($C425:M425,"&gt;0")&gt;0,DATE($B$1,11,1)=DATE(YEAR(TODAY()),MONTH(TODAY()),1))),1,0))</f>
        <v/>
      </c>
      <c r="AA425">
        <f>IF($A425="","",IF(AND($B425&gt;0,N425&lt;$B425,DATE($B$1,12,1)&lt;=TODAY(),OR($O425="",$O425&gt;=DATE($B$1,12,1)),OR(COUNTIF($C425:N425,"&gt;0")&gt;0,DATE($B$1,12,1)=DATE(YEAR(TODAY()),MONTH(TODAY()),1))),1,0))</f>
        <v/>
      </c>
    </row>
    <row r="426">
      <c r="A426" s="13">
        <f>IF(원생!$A424="","",원생!$A424&amp;IF(원생!$G424="",""," ("&amp;원생!$G424&amp;")"))</f>
        <v/>
      </c>
      <c r="B426" s="8">
        <f>IF(원생!$A424="","",N(원생!$F424))</f>
        <v/>
      </c>
      <c r="C426" s="14">
        <f>IF(원생!$A424="","",SUMIFS(계산!$C:$C,계산!$A:$A,계산!$E424,계산!$B:$B,$B$1*100+1))</f>
        <v/>
      </c>
      <c r="D426" s="14">
        <f>IF(원생!$A424="","",SUMIFS(계산!$C:$C,계산!$A:$A,계산!$E424,계산!$B:$B,$B$1*100+2))</f>
        <v/>
      </c>
      <c r="E426" s="14">
        <f>IF(원생!$A424="","",SUMIFS(계산!$C:$C,계산!$A:$A,계산!$E424,계산!$B:$B,$B$1*100+3))</f>
        <v/>
      </c>
      <c r="F426" s="14">
        <f>IF(원생!$A424="","",SUMIFS(계산!$C:$C,계산!$A:$A,계산!$E424,계산!$B:$B,$B$1*100+4))</f>
        <v/>
      </c>
      <c r="G426" s="14">
        <f>IF(원생!$A424="","",SUMIFS(계산!$C:$C,계산!$A:$A,계산!$E424,계산!$B:$B,$B$1*100+5))</f>
        <v/>
      </c>
      <c r="H426" s="14">
        <f>IF(원생!$A424="","",SUMIFS(계산!$C:$C,계산!$A:$A,계산!$E424,계산!$B:$B,$B$1*100+6))</f>
        <v/>
      </c>
      <c r="I426" s="14">
        <f>IF(원생!$A424="","",SUMIFS(계산!$C:$C,계산!$A:$A,계산!$E424,계산!$B:$B,$B$1*100+7))</f>
        <v/>
      </c>
      <c r="J426" s="14">
        <f>IF(원생!$A424="","",SUMIFS(계산!$C:$C,계산!$A:$A,계산!$E424,계산!$B:$B,$B$1*100+8))</f>
        <v/>
      </c>
      <c r="K426" s="14">
        <f>IF(원생!$A424="","",SUMIFS(계산!$C:$C,계산!$A:$A,계산!$E424,계산!$B:$B,$B$1*100+9))</f>
        <v/>
      </c>
      <c r="L426" s="14">
        <f>IF(원생!$A424="","",SUMIFS(계산!$C:$C,계산!$A:$A,계산!$E424,계산!$B:$B,$B$1*100+10))</f>
        <v/>
      </c>
      <c r="M426" s="14">
        <f>IF(원생!$A424="","",SUMIFS(계산!$C:$C,계산!$A:$A,계산!$E424,계산!$B:$B,$B$1*100+11))</f>
        <v/>
      </c>
      <c r="N426" s="14">
        <f>IF(원생!$A424="","",SUMIFS(계산!$C:$C,계산!$A:$A,계산!$E424,계산!$B:$B,$B$1*100+12))</f>
        <v/>
      </c>
      <c r="O426">
        <f>IF(원생!$I424="","",원생!$I424)</f>
        <v/>
      </c>
      <c r="P426">
        <f>IF($A426="","",IF(AND($B426&gt;0,C426&lt;$B426,DATE($B$1,1,1)&lt;=TODAY(),OR($O426="",$O426&gt;=DATE($B$1,1,1)),OR(COUNTIF($C426:C426,"&gt;0")&gt;0,DATE($B$1,1,1)=DATE(YEAR(TODAY()),MONTH(TODAY()),1))),1,0))</f>
        <v/>
      </c>
      <c r="Q426">
        <f>IF($A426="","",IF(AND($B426&gt;0,D426&lt;$B426,DATE($B$1,2,1)&lt;=TODAY(),OR($O426="",$O426&gt;=DATE($B$1,2,1)),OR(COUNTIF($C426:D426,"&gt;0")&gt;0,DATE($B$1,2,1)=DATE(YEAR(TODAY()),MONTH(TODAY()),1))),1,0))</f>
        <v/>
      </c>
      <c r="R426">
        <f>IF($A426="","",IF(AND($B426&gt;0,E426&lt;$B426,DATE($B$1,3,1)&lt;=TODAY(),OR($O426="",$O426&gt;=DATE($B$1,3,1)),OR(COUNTIF($C426:E426,"&gt;0")&gt;0,DATE($B$1,3,1)=DATE(YEAR(TODAY()),MONTH(TODAY()),1))),1,0))</f>
        <v/>
      </c>
      <c r="S426">
        <f>IF($A426="","",IF(AND($B426&gt;0,F426&lt;$B426,DATE($B$1,4,1)&lt;=TODAY(),OR($O426="",$O426&gt;=DATE($B$1,4,1)),OR(COUNTIF($C426:F426,"&gt;0")&gt;0,DATE($B$1,4,1)=DATE(YEAR(TODAY()),MONTH(TODAY()),1))),1,0))</f>
        <v/>
      </c>
      <c r="T426">
        <f>IF($A426="","",IF(AND($B426&gt;0,G426&lt;$B426,DATE($B$1,5,1)&lt;=TODAY(),OR($O426="",$O426&gt;=DATE($B$1,5,1)),OR(COUNTIF($C426:G426,"&gt;0")&gt;0,DATE($B$1,5,1)=DATE(YEAR(TODAY()),MONTH(TODAY()),1))),1,0))</f>
        <v/>
      </c>
      <c r="U426">
        <f>IF($A426="","",IF(AND($B426&gt;0,H426&lt;$B426,DATE($B$1,6,1)&lt;=TODAY(),OR($O426="",$O426&gt;=DATE($B$1,6,1)),OR(COUNTIF($C426:H426,"&gt;0")&gt;0,DATE($B$1,6,1)=DATE(YEAR(TODAY()),MONTH(TODAY()),1))),1,0))</f>
        <v/>
      </c>
      <c r="V426">
        <f>IF($A426="","",IF(AND($B426&gt;0,I426&lt;$B426,DATE($B$1,7,1)&lt;=TODAY(),OR($O426="",$O426&gt;=DATE($B$1,7,1)),OR(COUNTIF($C426:I426,"&gt;0")&gt;0,DATE($B$1,7,1)=DATE(YEAR(TODAY()),MONTH(TODAY()),1))),1,0))</f>
        <v/>
      </c>
      <c r="W426">
        <f>IF($A426="","",IF(AND($B426&gt;0,J426&lt;$B426,DATE($B$1,8,1)&lt;=TODAY(),OR($O426="",$O426&gt;=DATE($B$1,8,1)),OR(COUNTIF($C426:J426,"&gt;0")&gt;0,DATE($B$1,8,1)=DATE(YEAR(TODAY()),MONTH(TODAY()),1))),1,0))</f>
        <v/>
      </c>
      <c r="X426">
        <f>IF($A426="","",IF(AND($B426&gt;0,K426&lt;$B426,DATE($B$1,9,1)&lt;=TODAY(),OR($O426="",$O426&gt;=DATE($B$1,9,1)),OR(COUNTIF($C426:K426,"&gt;0")&gt;0,DATE($B$1,9,1)=DATE(YEAR(TODAY()),MONTH(TODAY()),1))),1,0))</f>
        <v/>
      </c>
      <c r="Y426">
        <f>IF($A426="","",IF(AND($B426&gt;0,L426&lt;$B426,DATE($B$1,10,1)&lt;=TODAY(),OR($O426="",$O426&gt;=DATE($B$1,10,1)),OR(COUNTIF($C426:L426,"&gt;0")&gt;0,DATE($B$1,10,1)=DATE(YEAR(TODAY()),MONTH(TODAY()),1))),1,0))</f>
        <v/>
      </c>
      <c r="Z426">
        <f>IF($A426="","",IF(AND($B426&gt;0,M426&lt;$B426,DATE($B$1,11,1)&lt;=TODAY(),OR($O426="",$O426&gt;=DATE($B$1,11,1)),OR(COUNTIF($C426:M426,"&gt;0")&gt;0,DATE($B$1,11,1)=DATE(YEAR(TODAY()),MONTH(TODAY()),1))),1,0))</f>
        <v/>
      </c>
      <c r="AA426">
        <f>IF($A426="","",IF(AND($B426&gt;0,N426&lt;$B426,DATE($B$1,12,1)&lt;=TODAY(),OR($O426="",$O426&gt;=DATE($B$1,12,1)),OR(COUNTIF($C426:N426,"&gt;0")&gt;0,DATE($B$1,12,1)=DATE(YEAR(TODAY()),MONTH(TODAY()),1))),1,0))</f>
        <v/>
      </c>
    </row>
    <row r="427">
      <c r="A427" s="13">
        <f>IF(원생!$A425="","",원생!$A425&amp;IF(원생!$G425="",""," ("&amp;원생!$G425&amp;")"))</f>
        <v/>
      </c>
      <c r="B427" s="8">
        <f>IF(원생!$A425="","",N(원생!$F425))</f>
        <v/>
      </c>
      <c r="C427" s="14">
        <f>IF(원생!$A425="","",SUMIFS(계산!$C:$C,계산!$A:$A,계산!$E425,계산!$B:$B,$B$1*100+1))</f>
        <v/>
      </c>
      <c r="D427" s="14">
        <f>IF(원생!$A425="","",SUMIFS(계산!$C:$C,계산!$A:$A,계산!$E425,계산!$B:$B,$B$1*100+2))</f>
        <v/>
      </c>
      <c r="E427" s="14">
        <f>IF(원생!$A425="","",SUMIFS(계산!$C:$C,계산!$A:$A,계산!$E425,계산!$B:$B,$B$1*100+3))</f>
        <v/>
      </c>
      <c r="F427" s="14">
        <f>IF(원생!$A425="","",SUMIFS(계산!$C:$C,계산!$A:$A,계산!$E425,계산!$B:$B,$B$1*100+4))</f>
        <v/>
      </c>
      <c r="G427" s="14">
        <f>IF(원생!$A425="","",SUMIFS(계산!$C:$C,계산!$A:$A,계산!$E425,계산!$B:$B,$B$1*100+5))</f>
        <v/>
      </c>
      <c r="H427" s="14">
        <f>IF(원생!$A425="","",SUMIFS(계산!$C:$C,계산!$A:$A,계산!$E425,계산!$B:$B,$B$1*100+6))</f>
        <v/>
      </c>
      <c r="I427" s="14">
        <f>IF(원생!$A425="","",SUMIFS(계산!$C:$C,계산!$A:$A,계산!$E425,계산!$B:$B,$B$1*100+7))</f>
        <v/>
      </c>
      <c r="J427" s="14">
        <f>IF(원생!$A425="","",SUMIFS(계산!$C:$C,계산!$A:$A,계산!$E425,계산!$B:$B,$B$1*100+8))</f>
        <v/>
      </c>
      <c r="K427" s="14">
        <f>IF(원생!$A425="","",SUMIFS(계산!$C:$C,계산!$A:$A,계산!$E425,계산!$B:$B,$B$1*100+9))</f>
        <v/>
      </c>
      <c r="L427" s="14">
        <f>IF(원생!$A425="","",SUMIFS(계산!$C:$C,계산!$A:$A,계산!$E425,계산!$B:$B,$B$1*100+10))</f>
        <v/>
      </c>
      <c r="M427" s="14">
        <f>IF(원생!$A425="","",SUMIFS(계산!$C:$C,계산!$A:$A,계산!$E425,계산!$B:$B,$B$1*100+11))</f>
        <v/>
      </c>
      <c r="N427" s="14">
        <f>IF(원생!$A425="","",SUMIFS(계산!$C:$C,계산!$A:$A,계산!$E425,계산!$B:$B,$B$1*100+12))</f>
        <v/>
      </c>
      <c r="O427">
        <f>IF(원생!$I425="","",원생!$I425)</f>
        <v/>
      </c>
      <c r="P427">
        <f>IF($A427="","",IF(AND($B427&gt;0,C427&lt;$B427,DATE($B$1,1,1)&lt;=TODAY(),OR($O427="",$O427&gt;=DATE($B$1,1,1)),OR(COUNTIF($C427:C427,"&gt;0")&gt;0,DATE($B$1,1,1)=DATE(YEAR(TODAY()),MONTH(TODAY()),1))),1,0))</f>
        <v/>
      </c>
      <c r="Q427">
        <f>IF($A427="","",IF(AND($B427&gt;0,D427&lt;$B427,DATE($B$1,2,1)&lt;=TODAY(),OR($O427="",$O427&gt;=DATE($B$1,2,1)),OR(COUNTIF($C427:D427,"&gt;0")&gt;0,DATE($B$1,2,1)=DATE(YEAR(TODAY()),MONTH(TODAY()),1))),1,0))</f>
        <v/>
      </c>
      <c r="R427">
        <f>IF($A427="","",IF(AND($B427&gt;0,E427&lt;$B427,DATE($B$1,3,1)&lt;=TODAY(),OR($O427="",$O427&gt;=DATE($B$1,3,1)),OR(COUNTIF($C427:E427,"&gt;0")&gt;0,DATE($B$1,3,1)=DATE(YEAR(TODAY()),MONTH(TODAY()),1))),1,0))</f>
        <v/>
      </c>
      <c r="S427">
        <f>IF($A427="","",IF(AND($B427&gt;0,F427&lt;$B427,DATE($B$1,4,1)&lt;=TODAY(),OR($O427="",$O427&gt;=DATE($B$1,4,1)),OR(COUNTIF($C427:F427,"&gt;0")&gt;0,DATE($B$1,4,1)=DATE(YEAR(TODAY()),MONTH(TODAY()),1))),1,0))</f>
        <v/>
      </c>
      <c r="T427">
        <f>IF($A427="","",IF(AND($B427&gt;0,G427&lt;$B427,DATE($B$1,5,1)&lt;=TODAY(),OR($O427="",$O427&gt;=DATE($B$1,5,1)),OR(COUNTIF($C427:G427,"&gt;0")&gt;0,DATE($B$1,5,1)=DATE(YEAR(TODAY()),MONTH(TODAY()),1))),1,0))</f>
        <v/>
      </c>
      <c r="U427">
        <f>IF($A427="","",IF(AND($B427&gt;0,H427&lt;$B427,DATE($B$1,6,1)&lt;=TODAY(),OR($O427="",$O427&gt;=DATE($B$1,6,1)),OR(COUNTIF($C427:H427,"&gt;0")&gt;0,DATE($B$1,6,1)=DATE(YEAR(TODAY()),MONTH(TODAY()),1))),1,0))</f>
        <v/>
      </c>
      <c r="V427">
        <f>IF($A427="","",IF(AND($B427&gt;0,I427&lt;$B427,DATE($B$1,7,1)&lt;=TODAY(),OR($O427="",$O427&gt;=DATE($B$1,7,1)),OR(COUNTIF($C427:I427,"&gt;0")&gt;0,DATE($B$1,7,1)=DATE(YEAR(TODAY()),MONTH(TODAY()),1))),1,0))</f>
        <v/>
      </c>
      <c r="W427">
        <f>IF($A427="","",IF(AND($B427&gt;0,J427&lt;$B427,DATE($B$1,8,1)&lt;=TODAY(),OR($O427="",$O427&gt;=DATE($B$1,8,1)),OR(COUNTIF($C427:J427,"&gt;0")&gt;0,DATE($B$1,8,1)=DATE(YEAR(TODAY()),MONTH(TODAY()),1))),1,0))</f>
        <v/>
      </c>
      <c r="X427">
        <f>IF($A427="","",IF(AND($B427&gt;0,K427&lt;$B427,DATE($B$1,9,1)&lt;=TODAY(),OR($O427="",$O427&gt;=DATE($B$1,9,1)),OR(COUNTIF($C427:K427,"&gt;0")&gt;0,DATE($B$1,9,1)=DATE(YEAR(TODAY()),MONTH(TODAY()),1))),1,0))</f>
        <v/>
      </c>
      <c r="Y427">
        <f>IF($A427="","",IF(AND($B427&gt;0,L427&lt;$B427,DATE($B$1,10,1)&lt;=TODAY(),OR($O427="",$O427&gt;=DATE($B$1,10,1)),OR(COUNTIF($C427:L427,"&gt;0")&gt;0,DATE($B$1,10,1)=DATE(YEAR(TODAY()),MONTH(TODAY()),1))),1,0))</f>
        <v/>
      </c>
      <c r="Z427">
        <f>IF($A427="","",IF(AND($B427&gt;0,M427&lt;$B427,DATE($B$1,11,1)&lt;=TODAY(),OR($O427="",$O427&gt;=DATE($B$1,11,1)),OR(COUNTIF($C427:M427,"&gt;0")&gt;0,DATE($B$1,11,1)=DATE(YEAR(TODAY()),MONTH(TODAY()),1))),1,0))</f>
        <v/>
      </c>
      <c r="AA427">
        <f>IF($A427="","",IF(AND($B427&gt;0,N427&lt;$B427,DATE($B$1,12,1)&lt;=TODAY(),OR($O427="",$O427&gt;=DATE($B$1,12,1)),OR(COUNTIF($C427:N427,"&gt;0")&gt;0,DATE($B$1,12,1)=DATE(YEAR(TODAY()),MONTH(TODAY()),1))),1,0))</f>
        <v/>
      </c>
    </row>
    <row r="428">
      <c r="A428" s="13">
        <f>IF(원생!$A426="","",원생!$A426&amp;IF(원생!$G426="",""," ("&amp;원생!$G426&amp;")"))</f>
        <v/>
      </c>
      <c r="B428" s="8">
        <f>IF(원생!$A426="","",N(원생!$F426))</f>
        <v/>
      </c>
      <c r="C428" s="14">
        <f>IF(원생!$A426="","",SUMIFS(계산!$C:$C,계산!$A:$A,계산!$E426,계산!$B:$B,$B$1*100+1))</f>
        <v/>
      </c>
      <c r="D428" s="14">
        <f>IF(원생!$A426="","",SUMIFS(계산!$C:$C,계산!$A:$A,계산!$E426,계산!$B:$B,$B$1*100+2))</f>
        <v/>
      </c>
      <c r="E428" s="14">
        <f>IF(원생!$A426="","",SUMIFS(계산!$C:$C,계산!$A:$A,계산!$E426,계산!$B:$B,$B$1*100+3))</f>
        <v/>
      </c>
      <c r="F428" s="14">
        <f>IF(원생!$A426="","",SUMIFS(계산!$C:$C,계산!$A:$A,계산!$E426,계산!$B:$B,$B$1*100+4))</f>
        <v/>
      </c>
      <c r="G428" s="14">
        <f>IF(원생!$A426="","",SUMIFS(계산!$C:$C,계산!$A:$A,계산!$E426,계산!$B:$B,$B$1*100+5))</f>
        <v/>
      </c>
      <c r="H428" s="14">
        <f>IF(원생!$A426="","",SUMIFS(계산!$C:$C,계산!$A:$A,계산!$E426,계산!$B:$B,$B$1*100+6))</f>
        <v/>
      </c>
      <c r="I428" s="14">
        <f>IF(원생!$A426="","",SUMIFS(계산!$C:$C,계산!$A:$A,계산!$E426,계산!$B:$B,$B$1*100+7))</f>
        <v/>
      </c>
      <c r="J428" s="14">
        <f>IF(원생!$A426="","",SUMIFS(계산!$C:$C,계산!$A:$A,계산!$E426,계산!$B:$B,$B$1*100+8))</f>
        <v/>
      </c>
      <c r="K428" s="14">
        <f>IF(원생!$A426="","",SUMIFS(계산!$C:$C,계산!$A:$A,계산!$E426,계산!$B:$B,$B$1*100+9))</f>
        <v/>
      </c>
      <c r="L428" s="14">
        <f>IF(원생!$A426="","",SUMIFS(계산!$C:$C,계산!$A:$A,계산!$E426,계산!$B:$B,$B$1*100+10))</f>
        <v/>
      </c>
      <c r="M428" s="14">
        <f>IF(원생!$A426="","",SUMIFS(계산!$C:$C,계산!$A:$A,계산!$E426,계산!$B:$B,$B$1*100+11))</f>
        <v/>
      </c>
      <c r="N428" s="14">
        <f>IF(원생!$A426="","",SUMIFS(계산!$C:$C,계산!$A:$A,계산!$E426,계산!$B:$B,$B$1*100+12))</f>
        <v/>
      </c>
      <c r="O428">
        <f>IF(원생!$I426="","",원생!$I426)</f>
        <v/>
      </c>
      <c r="P428">
        <f>IF($A428="","",IF(AND($B428&gt;0,C428&lt;$B428,DATE($B$1,1,1)&lt;=TODAY(),OR($O428="",$O428&gt;=DATE($B$1,1,1)),OR(COUNTIF($C428:C428,"&gt;0")&gt;0,DATE($B$1,1,1)=DATE(YEAR(TODAY()),MONTH(TODAY()),1))),1,0))</f>
        <v/>
      </c>
      <c r="Q428">
        <f>IF($A428="","",IF(AND($B428&gt;0,D428&lt;$B428,DATE($B$1,2,1)&lt;=TODAY(),OR($O428="",$O428&gt;=DATE($B$1,2,1)),OR(COUNTIF($C428:D428,"&gt;0")&gt;0,DATE($B$1,2,1)=DATE(YEAR(TODAY()),MONTH(TODAY()),1))),1,0))</f>
        <v/>
      </c>
      <c r="R428">
        <f>IF($A428="","",IF(AND($B428&gt;0,E428&lt;$B428,DATE($B$1,3,1)&lt;=TODAY(),OR($O428="",$O428&gt;=DATE($B$1,3,1)),OR(COUNTIF($C428:E428,"&gt;0")&gt;0,DATE($B$1,3,1)=DATE(YEAR(TODAY()),MONTH(TODAY()),1))),1,0))</f>
        <v/>
      </c>
      <c r="S428">
        <f>IF($A428="","",IF(AND($B428&gt;0,F428&lt;$B428,DATE($B$1,4,1)&lt;=TODAY(),OR($O428="",$O428&gt;=DATE($B$1,4,1)),OR(COUNTIF($C428:F428,"&gt;0")&gt;0,DATE($B$1,4,1)=DATE(YEAR(TODAY()),MONTH(TODAY()),1))),1,0))</f>
        <v/>
      </c>
      <c r="T428">
        <f>IF($A428="","",IF(AND($B428&gt;0,G428&lt;$B428,DATE($B$1,5,1)&lt;=TODAY(),OR($O428="",$O428&gt;=DATE($B$1,5,1)),OR(COUNTIF($C428:G428,"&gt;0")&gt;0,DATE($B$1,5,1)=DATE(YEAR(TODAY()),MONTH(TODAY()),1))),1,0))</f>
        <v/>
      </c>
      <c r="U428">
        <f>IF($A428="","",IF(AND($B428&gt;0,H428&lt;$B428,DATE($B$1,6,1)&lt;=TODAY(),OR($O428="",$O428&gt;=DATE($B$1,6,1)),OR(COUNTIF($C428:H428,"&gt;0")&gt;0,DATE($B$1,6,1)=DATE(YEAR(TODAY()),MONTH(TODAY()),1))),1,0))</f>
        <v/>
      </c>
      <c r="V428">
        <f>IF($A428="","",IF(AND($B428&gt;0,I428&lt;$B428,DATE($B$1,7,1)&lt;=TODAY(),OR($O428="",$O428&gt;=DATE($B$1,7,1)),OR(COUNTIF($C428:I428,"&gt;0")&gt;0,DATE($B$1,7,1)=DATE(YEAR(TODAY()),MONTH(TODAY()),1))),1,0))</f>
        <v/>
      </c>
      <c r="W428">
        <f>IF($A428="","",IF(AND($B428&gt;0,J428&lt;$B428,DATE($B$1,8,1)&lt;=TODAY(),OR($O428="",$O428&gt;=DATE($B$1,8,1)),OR(COUNTIF($C428:J428,"&gt;0")&gt;0,DATE($B$1,8,1)=DATE(YEAR(TODAY()),MONTH(TODAY()),1))),1,0))</f>
        <v/>
      </c>
      <c r="X428">
        <f>IF($A428="","",IF(AND($B428&gt;0,K428&lt;$B428,DATE($B$1,9,1)&lt;=TODAY(),OR($O428="",$O428&gt;=DATE($B$1,9,1)),OR(COUNTIF($C428:K428,"&gt;0")&gt;0,DATE($B$1,9,1)=DATE(YEAR(TODAY()),MONTH(TODAY()),1))),1,0))</f>
        <v/>
      </c>
      <c r="Y428">
        <f>IF($A428="","",IF(AND($B428&gt;0,L428&lt;$B428,DATE($B$1,10,1)&lt;=TODAY(),OR($O428="",$O428&gt;=DATE($B$1,10,1)),OR(COUNTIF($C428:L428,"&gt;0")&gt;0,DATE($B$1,10,1)=DATE(YEAR(TODAY()),MONTH(TODAY()),1))),1,0))</f>
        <v/>
      </c>
      <c r="Z428">
        <f>IF($A428="","",IF(AND($B428&gt;0,M428&lt;$B428,DATE($B$1,11,1)&lt;=TODAY(),OR($O428="",$O428&gt;=DATE($B$1,11,1)),OR(COUNTIF($C428:M428,"&gt;0")&gt;0,DATE($B$1,11,1)=DATE(YEAR(TODAY()),MONTH(TODAY()),1))),1,0))</f>
        <v/>
      </c>
      <c r="AA428">
        <f>IF($A428="","",IF(AND($B428&gt;0,N428&lt;$B428,DATE($B$1,12,1)&lt;=TODAY(),OR($O428="",$O428&gt;=DATE($B$1,12,1)),OR(COUNTIF($C428:N428,"&gt;0")&gt;0,DATE($B$1,12,1)=DATE(YEAR(TODAY()),MONTH(TODAY()),1))),1,0))</f>
        <v/>
      </c>
    </row>
    <row r="429">
      <c r="A429" s="13">
        <f>IF(원생!$A427="","",원생!$A427&amp;IF(원생!$G427="",""," ("&amp;원생!$G427&amp;")"))</f>
        <v/>
      </c>
      <c r="B429" s="8">
        <f>IF(원생!$A427="","",N(원생!$F427))</f>
        <v/>
      </c>
      <c r="C429" s="14">
        <f>IF(원생!$A427="","",SUMIFS(계산!$C:$C,계산!$A:$A,계산!$E427,계산!$B:$B,$B$1*100+1))</f>
        <v/>
      </c>
      <c r="D429" s="14">
        <f>IF(원생!$A427="","",SUMIFS(계산!$C:$C,계산!$A:$A,계산!$E427,계산!$B:$B,$B$1*100+2))</f>
        <v/>
      </c>
      <c r="E429" s="14">
        <f>IF(원생!$A427="","",SUMIFS(계산!$C:$C,계산!$A:$A,계산!$E427,계산!$B:$B,$B$1*100+3))</f>
        <v/>
      </c>
      <c r="F429" s="14">
        <f>IF(원생!$A427="","",SUMIFS(계산!$C:$C,계산!$A:$A,계산!$E427,계산!$B:$B,$B$1*100+4))</f>
        <v/>
      </c>
      <c r="G429" s="14">
        <f>IF(원생!$A427="","",SUMIFS(계산!$C:$C,계산!$A:$A,계산!$E427,계산!$B:$B,$B$1*100+5))</f>
        <v/>
      </c>
      <c r="H429" s="14">
        <f>IF(원생!$A427="","",SUMIFS(계산!$C:$C,계산!$A:$A,계산!$E427,계산!$B:$B,$B$1*100+6))</f>
        <v/>
      </c>
      <c r="I429" s="14">
        <f>IF(원생!$A427="","",SUMIFS(계산!$C:$C,계산!$A:$A,계산!$E427,계산!$B:$B,$B$1*100+7))</f>
        <v/>
      </c>
      <c r="J429" s="14">
        <f>IF(원생!$A427="","",SUMIFS(계산!$C:$C,계산!$A:$A,계산!$E427,계산!$B:$B,$B$1*100+8))</f>
        <v/>
      </c>
      <c r="K429" s="14">
        <f>IF(원생!$A427="","",SUMIFS(계산!$C:$C,계산!$A:$A,계산!$E427,계산!$B:$B,$B$1*100+9))</f>
        <v/>
      </c>
      <c r="L429" s="14">
        <f>IF(원생!$A427="","",SUMIFS(계산!$C:$C,계산!$A:$A,계산!$E427,계산!$B:$B,$B$1*100+10))</f>
        <v/>
      </c>
      <c r="M429" s="14">
        <f>IF(원생!$A427="","",SUMIFS(계산!$C:$C,계산!$A:$A,계산!$E427,계산!$B:$B,$B$1*100+11))</f>
        <v/>
      </c>
      <c r="N429" s="14">
        <f>IF(원생!$A427="","",SUMIFS(계산!$C:$C,계산!$A:$A,계산!$E427,계산!$B:$B,$B$1*100+12))</f>
        <v/>
      </c>
      <c r="O429">
        <f>IF(원생!$I427="","",원생!$I427)</f>
        <v/>
      </c>
      <c r="P429">
        <f>IF($A429="","",IF(AND($B429&gt;0,C429&lt;$B429,DATE($B$1,1,1)&lt;=TODAY(),OR($O429="",$O429&gt;=DATE($B$1,1,1)),OR(COUNTIF($C429:C429,"&gt;0")&gt;0,DATE($B$1,1,1)=DATE(YEAR(TODAY()),MONTH(TODAY()),1))),1,0))</f>
        <v/>
      </c>
      <c r="Q429">
        <f>IF($A429="","",IF(AND($B429&gt;0,D429&lt;$B429,DATE($B$1,2,1)&lt;=TODAY(),OR($O429="",$O429&gt;=DATE($B$1,2,1)),OR(COUNTIF($C429:D429,"&gt;0")&gt;0,DATE($B$1,2,1)=DATE(YEAR(TODAY()),MONTH(TODAY()),1))),1,0))</f>
        <v/>
      </c>
      <c r="R429">
        <f>IF($A429="","",IF(AND($B429&gt;0,E429&lt;$B429,DATE($B$1,3,1)&lt;=TODAY(),OR($O429="",$O429&gt;=DATE($B$1,3,1)),OR(COUNTIF($C429:E429,"&gt;0")&gt;0,DATE($B$1,3,1)=DATE(YEAR(TODAY()),MONTH(TODAY()),1))),1,0))</f>
        <v/>
      </c>
      <c r="S429">
        <f>IF($A429="","",IF(AND($B429&gt;0,F429&lt;$B429,DATE($B$1,4,1)&lt;=TODAY(),OR($O429="",$O429&gt;=DATE($B$1,4,1)),OR(COUNTIF($C429:F429,"&gt;0")&gt;0,DATE($B$1,4,1)=DATE(YEAR(TODAY()),MONTH(TODAY()),1))),1,0))</f>
        <v/>
      </c>
      <c r="T429">
        <f>IF($A429="","",IF(AND($B429&gt;0,G429&lt;$B429,DATE($B$1,5,1)&lt;=TODAY(),OR($O429="",$O429&gt;=DATE($B$1,5,1)),OR(COUNTIF($C429:G429,"&gt;0")&gt;0,DATE($B$1,5,1)=DATE(YEAR(TODAY()),MONTH(TODAY()),1))),1,0))</f>
        <v/>
      </c>
      <c r="U429">
        <f>IF($A429="","",IF(AND($B429&gt;0,H429&lt;$B429,DATE($B$1,6,1)&lt;=TODAY(),OR($O429="",$O429&gt;=DATE($B$1,6,1)),OR(COUNTIF($C429:H429,"&gt;0")&gt;0,DATE($B$1,6,1)=DATE(YEAR(TODAY()),MONTH(TODAY()),1))),1,0))</f>
        <v/>
      </c>
      <c r="V429">
        <f>IF($A429="","",IF(AND($B429&gt;0,I429&lt;$B429,DATE($B$1,7,1)&lt;=TODAY(),OR($O429="",$O429&gt;=DATE($B$1,7,1)),OR(COUNTIF($C429:I429,"&gt;0")&gt;0,DATE($B$1,7,1)=DATE(YEAR(TODAY()),MONTH(TODAY()),1))),1,0))</f>
        <v/>
      </c>
      <c r="W429">
        <f>IF($A429="","",IF(AND($B429&gt;0,J429&lt;$B429,DATE($B$1,8,1)&lt;=TODAY(),OR($O429="",$O429&gt;=DATE($B$1,8,1)),OR(COUNTIF($C429:J429,"&gt;0")&gt;0,DATE($B$1,8,1)=DATE(YEAR(TODAY()),MONTH(TODAY()),1))),1,0))</f>
        <v/>
      </c>
      <c r="X429">
        <f>IF($A429="","",IF(AND($B429&gt;0,K429&lt;$B429,DATE($B$1,9,1)&lt;=TODAY(),OR($O429="",$O429&gt;=DATE($B$1,9,1)),OR(COUNTIF($C429:K429,"&gt;0")&gt;0,DATE($B$1,9,1)=DATE(YEAR(TODAY()),MONTH(TODAY()),1))),1,0))</f>
        <v/>
      </c>
      <c r="Y429">
        <f>IF($A429="","",IF(AND($B429&gt;0,L429&lt;$B429,DATE($B$1,10,1)&lt;=TODAY(),OR($O429="",$O429&gt;=DATE($B$1,10,1)),OR(COUNTIF($C429:L429,"&gt;0")&gt;0,DATE($B$1,10,1)=DATE(YEAR(TODAY()),MONTH(TODAY()),1))),1,0))</f>
        <v/>
      </c>
      <c r="Z429">
        <f>IF($A429="","",IF(AND($B429&gt;0,M429&lt;$B429,DATE($B$1,11,1)&lt;=TODAY(),OR($O429="",$O429&gt;=DATE($B$1,11,1)),OR(COUNTIF($C429:M429,"&gt;0")&gt;0,DATE($B$1,11,1)=DATE(YEAR(TODAY()),MONTH(TODAY()),1))),1,0))</f>
        <v/>
      </c>
      <c r="AA429">
        <f>IF($A429="","",IF(AND($B429&gt;0,N429&lt;$B429,DATE($B$1,12,1)&lt;=TODAY(),OR($O429="",$O429&gt;=DATE($B$1,12,1)),OR(COUNTIF($C429:N429,"&gt;0")&gt;0,DATE($B$1,12,1)=DATE(YEAR(TODAY()),MONTH(TODAY()),1))),1,0))</f>
        <v/>
      </c>
    </row>
    <row r="430">
      <c r="A430" s="13">
        <f>IF(원생!$A428="","",원생!$A428&amp;IF(원생!$G428="",""," ("&amp;원생!$G428&amp;")"))</f>
        <v/>
      </c>
      <c r="B430" s="8">
        <f>IF(원생!$A428="","",N(원생!$F428))</f>
        <v/>
      </c>
      <c r="C430" s="14">
        <f>IF(원생!$A428="","",SUMIFS(계산!$C:$C,계산!$A:$A,계산!$E428,계산!$B:$B,$B$1*100+1))</f>
        <v/>
      </c>
      <c r="D430" s="14">
        <f>IF(원생!$A428="","",SUMIFS(계산!$C:$C,계산!$A:$A,계산!$E428,계산!$B:$B,$B$1*100+2))</f>
        <v/>
      </c>
      <c r="E430" s="14">
        <f>IF(원생!$A428="","",SUMIFS(계산!$C:$C,계산!$A:$A,계산!$E428,계산!$B:$B,$B$1*100+3))</f>
        <v/>
      </c>
      <c r="F430" s="14">
        <f>IF(원생!$A428="","",SUMIFS(계산!$C:$C,계산!$A:$A,계산!$E428,계산!$B:$B,$B$1*100+4))</f>
        <v/>
      </c>
      <c r="G430" s="14">
        <f>IF(원생!$A428="","",SUMIFS(계산!$C:$C,계산!$A:$A,계산!$E428,계산!$B:$B,$B$1*100+5))</f>
        <v/>
      </c>
      <c r="H430" s="14">
        <f>IF(원생!$A428="","",SUMIFS(계산!$C:$C,계산!$A:$A,계산!$E428,계산!$B:$B,$B$1*100+6))</f>
        <v/>
      </c>
      <c r="I430" s="14">
        <f>IF(원생!$A428="","",SUMIFS(계산!$C:$C,계산!$A:$A,계산!$E428,계산!$B:$B,$B$1*100+7))</f>
        <v/>
      </c>
      <c r="J430" s="14">
        <f>IF(원생!$A428="","",SUMIFS(계산!$C:$C,계산!$A:$A,계산!$E428,계산!$B:$B,$B$1*100+8))</f>
        <v/>
      </c>
      <c r="K430" s="14">
        <f>IF(원생!$A428="","",SUMIFS(계산!$C:$C,계산!$A:$A,계산!$E428,계산!$B:$B,$B$1*100+9))</f>
        <v/>
      </c>
      <c r="L430" s="14">
        <f>IF(원생!$A428="","",SUMIFS(계산!$C:$C,계산!$A:$A,계산!$E428,계산!$B:$B,$B$1*100+10))</f>
        <v/>
      </c>
      <c r="M430" s="14">
        <f>IF(원생!$A428="","",SUMIFS(계산!$C:$C,계산!$A:$A,계산!$E428,계산!$B:$B,$B$1*100+11))</f>
        <v/>
      </c>
      <c r="N430" s="14">
        <f>IF(원생!$A428="","",SUMIFS(계산!$C:$C,계산!$A:$A,계산!$E428,계산!$B:$B,$B$1*100+12))</f>
        <v/>
      </c>
      <c r="O430">
        <f>IF(원생!$I428="","",원생!$I428)</f>
        <v/>
      </c>
      <c r="P430">
        <f>IF($A430="","",IF(AND($B430&gt;0,C430&lt;$B430,DATE($B$1,1,1)&lt;=TODAY(),OR($O430="",$O430&gt;=DATE($B$1,1,1)),OR(COUNTIF($C430:C430,"&gt;0")&gt;0,DATE($B$1,1,1)=DATE(YEAR(TODAY()),MONTH(TODAY()),1))),1,0))</f>
        <v/>
      </c>
      <c r="Q430">
        <f>IF($A430="","",IF(AND($B430&gt;0,D430&lt;$B430,DATE($B$1,2,1)&lt;=TODAY(),OR($O430="",$O430&gt;=DATE($B$1,2,1)),OR(COUNTIF($C430:D430,"&gt;0")&gt;0,DATE($B$1,2,1)=DATE(YEAR(TODAY()),MONTH(TODAY()),1))),1,0))</f>
        <v/>
      </c>
      <c r="R430">
        <f>IF($A430="","",IF(AND($B430&gt;0,E430&lt;$B430,DATE($B$1,3,1)&lt;=TODAY(),OR($O430="",$O430&gt;=DATE($B$1,3,1)),OR(COUNTIF($C430:E430,"&gt;0")&gt;0,DATE($B$1,3,1)=DATE(YEAR(TODAY()),MONTH(TODAY()),1))),1,0))</f>
        <v/>
      </c>
      <c r="S430">
        <f>IF($A430="","",IF(AND($B430&gt;0,F430&lt;$B430,DATE($B$1,4,1)&lt;=TODAY(),OR($O430="",$O430&gt;=DATE($B$1,4,1)),OR(COUNTIF($C430:F430,"&gt;0")&gt;0,DATE($B$1,4,1)=DATE(YEAR(TODAY()),MONTH(TODAY()),1))),1,0))</f>
        <v/>
      </c>
      <c r="T430">
        <f>IF($A430="","",IF(AND($B430&gt;0,G430&lt;$B430,DATE($B$1,5,1)&lt;=TODAY(),OR($O430="",$O430&gt;=DATE($B$1,5,1)),OR(COUNTIF($C430:G430,"&gt;0")&gt;0,DATE($B$1,5,1)=DATE(YEAR(TODAY()),MONTH(TODAY()),1))),1,0))</f>
        <v/>
      </c>
      <c r="U430">
        <f>IF($A430="","",IF(AND($B430&gt;0,H430&lt;$B430,DATE($B$1,6,1)&lt;=TODAY(),OR($O430="",$O430&gt;=DATE($B$1,6,1)),OR(COUNTIF($C430:H430,"&gt;0")&gt;0,DATE($B$1,6,1)=DATE(YEAR(TODAY()),MONTH(TODAY()),1))),1,0))</f>
        <v/>
      </c>
      <c r="V430">
        <f>IF($A430="","",IF(AND($B430&gt;0,I430&lt;$B430,DATE($B$1,7,1)&lt;=TODAY(),OR($O430="",$O430&gt;=DATE($B$1,7,1)),OR(COUNTIF($C430:I430,"&gt;0")&gt;0,DATE($B$1,7,1)=DATE(YEAR(TODAY()),MONTH(TODAY()),1))),1,0))</f>
        <v/>
      </c>
      <c r="W430">
        <f>IF($A430="","",IF(AND($B430&gt;0,J430&lt;$B430,DATE($B$1,8,1)&lt;=TODAY(),OR($O430="",$O430&gt;=DATE($B$1,8,1)),OR(COUNTIF($C430:J430,"&gt;0")&gt;0,DATE($B$1,8,1)=DATE(YEAR(TODAY()),MONTH(TODAY()),1))),1,0))</f>
        <v/>
      </c>
      <c r="X430">
        <f>IF($A430="","",IF(AND($B430&gt;0,K430&lt;$B430,DATE($B$1,9,1)&lt;=TODAY(),OR($O430="",$O430&gt;=DATE($B$1,9,1)),OR(COUNTIF($C430:K430,"&gt;0")&gt;0,DATE($B$1,9,1)=DATE(YEAR(TODAY()),MONTH(TODAY()),1))),1,0))</f>
        <v/>
      </c>
      <c r="Y430">
        <f>IF($A430="","",IF(AND($B430&gt;0,L430&lt;$B430,DATE($B$1,10,1)&lt;=TODAY(),OR($O430="",$O430&gt;=DATE($B$1,10,1)),OR(COUNTIF($C430:L430,"&gt;0")&gt;0,DATE($B$1,10,1)=DATE(YEAR(TODAY()),MONTH(TODAY()),1))),1,0))</f>
        <v/>
      </c>
      <c r="Z430">
        <f>IF($A430="","",IF(AND($B430&gt;0,M430&lt;$B430,DATE($B$1,11,1)&lt;=TODAY(),OR($O430="",$O430&gt;=DATE($B$1,11,1)),OR(COUNTIF($C430:M430,"&gt;0")&gt;0,DATE($B$1,11,1)=DATE(YEAR(TODAY()),MONTH(TODAY()),1))),1,0))</f>
        <v/>
      </c>
      <c r="AA430">
        <f>IF($A430="","",IF(AND($B430&gt;0,N430&lt;$B430,DATE($B$1,12,1)&lt;=TODAY(),OR($O430="",$O430&gt;=DATE($B$1,12,1)),OR(COUNTIF($C430:N430,"&gt;0")&gt;0,DATE($B$1,12,1)=DATE(YEAR(TODAY()),MONTH(TODAY()),1))),1,0))</f>
        <v/>
      </c>
    </row>
    <row r="431">
      <c r="A431" s="13">
        <f>IF(원생!$A429="","",원생!$A429&amp;IF(원생!$G429="",""," ("&amp;원생!$G429&amp;")"))</f>
        <v/>
      </c>
      <c r="B431" s="8">
        <f>IF(원생!$A429="","",N(원생!$F429))</f>
        <v/>
      </c>
      <c r="C431" s="14">
        <f>IF(원생!$A429="","",SUMIFS(계산!$C:$C,계산!$A:$A,계산!$E429,계산!$B:$B,$B$1*100+1))</f>
        <v/>
      </c>
      <c r="D431" s="14">
        <f>IF(원생!$A429="","",SUMIFS(계산!$C:$C,계산!$A:$A,계산!$E429,계산!$B:$B,$B$1*100+2))</f>
        <v/>
      </c>
      <c r="E431" s="14">
        <f>IF(원생!$A429="","",SUMIFS(계산!$C:$C,계산!$A:$A,계산!$E429,계산!$B:$B,$B$1*100+3))</f>
        <v/>
      </c>
      <c r="F431" s="14">
        <f>IF(원생!$A429="","",SUMIFS(계산!$C:$C,계산!$A:$A,계산!$E429,계산!$B:$B,$B$1*100+4))</f>
        <v/>
      </c>
      <c r="G431" s="14">
        <f>IF(원생!$A429="","",SUMIFS(계산!$C:$C,계산!$A:$A,계산!$E429,계산!$B:$B,$B$1*100+5))</f>
        <v/>
      </c>
      <c r="H431" s="14">
        <f>IF(원생!$A429="","",SUMIFS(계산!$C:$C,계산!$A:$A,계산!$E429,계산!$B:$B,$B$1*100+6))</f>
        <v/>
      </c>
      <c r="I431" s="14">
        <f>IF(원생!$A429="","",SUMIFS(계산!$C:$C,계산!$A:$A,계산!$E429,계산!$B:$B,$B$1*100+7))</f>
        <v/>
      </c>
      <c r="J431" s="14">
        <f>IF(원생!$A429="","",SUMIFS(계산!$C:$C,계산!$A:$A,계산!$E429,계산!$B:$B,$B$1*100+8))</f>
        <v/>
      </c>
      <c r="K431" s="14">
        <f>IF(원생!$A429="","",SUMIFS(계산!$C:$C,계산!$A:$A,계산!$E429,계산!$B:$B,$B$1*100+9))</f>
        <v/>
      </c>
      <c r="L431" s="14">
        <f>IF(원생!$A429="","",SUMIFS(계산!$C:$C,계산!$A:$A,계산!$E429,계산!$B:$B,$B$1*100+10))</f>
        <v/>
      </c>
      <c r="M431" s="14">
        <f>IF(원생!$A429="","",SUMIFS(계산!$C:$C,계산!$A:$A,계산!$E429,계산!$B:$B,$B$1*100+11))</f>
        <v/>
      </c>
      <c r="N431" s="14">
        <f>IF(원생!$A429="","",SUMIFS(계산!$C:$C,계산!$A:$A,계산!$E429,계산!$B:$B,$B$1*100+12))</f>
        <v/>
      </c>
      <c r="O431">
        <f>IF(원생!$I429="","",원생!$I429)</f>
        <v/>
      </c>
      <c r="P431">
        <f>IF($A431="","",IF(AND($B431&gt;0,C431&lt;$B431,DATE($B$1,1,1)&lt;=TODAY(),OR($O431="",$O431&gt;=DATE($B$1,1,1)),OR(COUNTIF($C431:C431,"&gt;0")&gt;0,DATE($B$1,1,1)=DATE(YEAR(TODAY()),MONTH(TODAY()),1))),1,0))</f>
        <v/>
      </c>
      <c r="Q431">
        <f>IF($A431="","",IF(AND($B431&gt;0,D431&lt;$B431,DATE($B$1,2,1)&lt;=TODAY(),OR($O431="",$O431&gt;=DATE($B$1,2,1)),OR(COUNTIF($C431:D431,"&gt;0")&gt;0,DATE($B$1,2,1)=DATE(YEAR(TODAY()),MONTH(TODAY()),1))),1,0))</f>
        <v/>
      </c>
      <c r="R431">
        <f>IF($A431="","",IF(AND($B431&gt;0,E431&lt;$B431,DATE($B$1,3,1)&lt;=TODAY(),OR($O431="",$O431&gt;=DATE($B$1,3,1)),OR(COUNTIF($C431:E431,"&gt;0")&gt;0,DATE($B$1,3,1)=DATE(YEAR(TODAY()),MONTH(TODAY()),1))),1,0))</f>
        <v/>
      </c>
      <c r="S431">
        <f>IF($A431="","",IF(AND($B431&gt;0,F431&lt;$B431,DATE($B$1,4,1)&lt;=TODAY(),OR($O431="",$O431&gt;=DATE($B$1,4,1)),OR(COUNTIF($C431:F431,"&gt;0")&gt;0,DATE($B$1,4,1)=DATE(YEAR(TODAY()),MONTH(TODAY()),1))),1,0))</f>
        <v/>
      </c>
      <c r="T431">
        <f>IF($A431="","",IF(AND($B431&gt;0,G431&lt;$B431,DATE($B$1,5,1)&lt;=TODAY(),OR($O431="",$O431&gt;=DATE($B$1,5,1)),OR(COUNTIF($C431:G431,"&gt;0")&gt;0,DATE($B$1,5,1)=DATE(YEAR(TODAY()),MONTH(TODAY()),1))),1,0))</f>
        <v/>
      </c>
      <c r="U431">
        <f>IF($A431="","",IF(AND($B431&gt;0,H431&lt;$B431,DATE($B$1,6,1)&lt;=TODAY(),OR($O431="",$O431&gt;=DATE($B$1,6,1)),OR(COUNTIF($C431:H431,"&gt;0")&gt;0,DATE($B$1,6,1)=DATE(YEAR(TODAY()),MONTH(TODAY()),1))),1,0))</f>
        <v/>
      </c>
      <c r="V431">
        <f>IF($A431="","",IF(AND($B431&gt;0,I431&lt;$B431,DATE($B$1,7,1)&lt;=TODAY(),OR($O431="",$O431&gt;=DATE($B$1,7,1)),OR(COUNTIF($C431:I431,"&gt;0")&gt;0,DATE($B$1,7,1)=DATE(YEAR(TODAY()),MONTH(TODAY()),1))),1,0))</f>
        <v/>
      </c>
      <c r="W431">
        <f>IF($A431="","",IF(AND($B431&gt;0,J431&lt;$B431,DATE($B$1,8,1)&lt;=TODAY(),OR($O431="",$O431&gt;=DATE($B$1,8,1)),OR(COUNTIF($C431:J431,"&gt;0")&gt;0,DATE($B$1,8,1)=DATE(YEAR(TODAY()),MONTH(TODAY()),1))),1,0))</f>
        <v/>
      </c>
      <c r="X431">
        <f>IF($A431="","",IF(AND($B431&gt;0,K431&lt;$B431,DATE($B$1,9,1)&lt;=TODAY(),OR($O431="",$O431&gt;=DATE($B$1,9,1)),OR(COUNTIF($C431:K431,"&gt;0")&gt;0,DATE($B$1,9,1)=DATE(YEAR(TODAY()),MONTH(TODAY()),1))),1,0))</f>
        <v/>
      </c>
      <c r="Y431">
        <f>IF($A431="","",IF(AND($B431&gt;0,L431&lt;$B431,DATE($B$1,10,1)&lt;=TODAY(),OR($O431="",$O431&gt;=DATE($B$1,10,1)),OR(COUNTIF($C431:L431,"&gt;0")&gt;0,DATE($B$1,10,1)=DATE(YEAR(TODAY()),MONTH(TODAY()),1))),1,0))</f>
        <v/>
      </c>
      <c r="Z431">
        <f>IF($A431="","",IF(AND($B431&gt;0,M431&lt;$B431,DATE($B$1,11,1)&lt;=TODAY(),OR($O431="",$O431&gt;=DATE($B$1,11,1)),OR(COUNTIF($C431:M431,"&gt;0")&gt;0,DATE($B$1,11,1)=DATE(YEAR(TODAY()),MONTH(TODAY()),1))),1,0))</f>
        <v/>
      </c>
      <c r="AA431">
        <f>IF($A431="","",IF(AND($B431&gt;0,N431&lt;$B431,DATE($B$1,12,1)&lt;=TODAY(),OR($O431="",$O431&gt;=DATE($B$1,12,1)),OR(COUNTIF($C431:N431,"&gt;0")&gt;0,DATE($B$1,12,1)=DATE(YEAR(TODAY()),MONTH(TODAY()),1))),1,0))</f>
        <v/>
      </c>
    </row>
    <row r="432">
      <c r="A432" s="13">
        <f>IF(원생!$A430="","",원생!$A430&amp;IF(원생!$G430="",""," ("&amp;원생!$G430&amp;")"))</f>
        <v/>
      </c>
      <c r="B432" s="8">
        <f>IF(원생!$A430="","",N(원생!$F430))</f>
        <v/>
      </c>
      <c r="C432" s="14">
        <f>IF(원생!$A430="","",SUMIFS(계산!$C:$C,계산!$A:$A,계산!$E430,계산!$B:$B,$B$1*100+1))</f>
        <v/>
      </c>
      <c r="D432" s="14">
        <f>IF(원생!$A430="","",SUMIFS(계산!$C:$C,계산!$A:$A,계산!$E430,계산!$B:$B,$B$1*100+2))</f>
        <v/>
      </c>
      <c r="E432" s="14">
        <f>IF(원생!$A430="","",SUMIFS(계산!$C:$C,계산!$A:$A,계산!$E430,계산!$B:$B,$B$1*100+3))</f>
        <v/>
      </c>
      <c r="F432" s="14">
        <f>IF(원생!$A430="","",SUMIFS(계산!$C:$C,계산!$A:$A,계산!$E430,계산!$B:$B,$B$1*100+4))</f>
        <v/>
      </c>
      <c r="G432" s="14">
        <f>IF(원생!$A430="","",SUMIFS(계산!$C:$C,계산!$A:$A,계산!$E430,계산!$B:$B,$B$1*100+5))</f>
        <v/>
      </c>
      <c r="H432" s="14">
        <f>IF(원생!$A430="","",SUMIFS(계산!$C:$C,계산!$A:$A,계산!$E430,계산!$B:$B,$B$1*100+6))</f>
        <v/>
      </c>
      <c r="I432" s="14">
        <f>IF(원생!$A430="","",SUMIFS(계산!$C:$C,계산!$A:$A,계산!$E430,계산!$B:$B,$B$1*100+7))</f>
        <v/>
      </c>
      <c r="J432" s="14">
        <f>IF(원생!$A430="","",SUMIFS(계산!$C:$C,계산!$A:$A,계산!$E430,계산!$B:$B,$B$1*100+8))</f>
        <v/>
      </c>
      <c r="K432" s="14">
        <f>IF(원생!$A430="","",SUMIFS(계산!$C:$C,계산!$A:$A,계산!$E430,계산!$B:$B,$B$1*100+9))</f>
        <v/>
      </c>
      <c r="L432" s="14">
        <f>IF(원생!$A430="","",SUMIFS(계산!$C:$C,계산!$A:$A,계산!$E430,계산!$B:$B,$B$1*100+10))</f>
        <v/>
      </c>
      <c r="M432" s="14">
        <f>IF(원생!$A430="","",SUMIFS(계산!$C:$C,계산!$A:$A,계산!$E430,계산!$B:$B,$B$1*100+11))</f>
        <v/>
      </c>
      <c r="N432" s="14">
        <f>IF(원생!$A430="","",SUMIFS(계산!$C:$C,계산!$A:$A,계산!$E430,계산!$B:$B,$B$1*100+12))</f>
        <v/>
      </c>
      <c r="O432">
        <f>IF(원생!$I430="","",원생!$I430)</f>
        <v/>
      </c>
      <c r="P432">
        <f>IF($A432="","",IF(AND($B432&gt;0,C432&lt;$B432,DATE($B$1,1,1)&lt;=TODAY(),OR($O432="",$O432&gt;=DATE($B$1,1,1)),OR(COUNTIF($C432:C432,"&gt;0")&gt;0,DATE($B$1,1,1)=DATE(YEAR(TODAY()),MONTH(TODAY()),1))),1,0))</f>
        <v/>
      </c>
      <c r="Q432">
        <f>IF($A432="","",IF(AND($B432&gt;0,D432&lt;$B432,DATE($B$1,2,1)&lt;=TODAY(),OR($O432="",$O432&gt;=DATE($B$1,2,1)),OR(COUNTIF($C432:D432,"&gt;0")&gt;0,DATE($B$1,2,1)=DATE(YEAR(TODAY()),MONTH(TODAY()),1))),1,0))</f>
        <v/>
      </c>
      <c r="R432">
        <f>IF($A432="","",IF(AND($B432&gt;0,E432&lt;$B432,DATE($B$1,3,1)&lt;=TODAY(),OR($O432="",$O432&gt;=DATE($B$1,3,1)),OR(COUNTIF($C432:E432,"&gt;0")&gt;0,DATE($B$1,3,1)=DATE(YEAR(TODAY()),MONTH(TODAY()),1))),1,0))</f>
        <v/>
      </c>
      <c r="S432">
        <f>IF($A432="","",IF(AND($B432&gt;0,F432&lt;$B432,DATE($B$1,4,1)&lt;=TODAY(),OR($O432="",$O432&gt;=DATE($B$1,4,1)),OR(COUNTIF($C432:F432,"&gt;0")&gt;0,DATE($B$1,4,1)=DATE(YEAR(TODAY()),MONTH(TODAY()),1))),1,0))</f>
        <v/>
      </c>
      <c r="T432">
        <f>IF($A432="","",IF(AND($B432&gt;0,G432&lt;$B432,DATE($B$1,5,1)&lt;=TODAY(),OR($O432="",$O432&gt;=DATE($B$1,5,1)),OR(COUNTIF($C432:G432,"&gt;0")&gt;0,DATE($B$1,5,1)=DATE(YEAR(TODAY()),MONTH(TODAY()),1))),1,0))</f>
        <v/>
      </c>
      <c r="U432">
        <f>IF($A432="","",IF(AND($B432&gt;0,H432&lt;$B432,DATE($B$1,6,1)&lt;=TODAY(),OR($O432="",$O432&gt;=DATE($B$1,6,1)),OR(COUNTIF($C432:H432,"&gt;0")&gt;0,DATE($B$1,6,1)=DATE(YEAR(TODAY()),MONTH(TODAY()),1))),1,0))</f>
        <v/>
      </c>
      <c r="V432">
        <f>IF($A432="","",IF(AND($B432&gt;0,I432&lt;$B432,DATE($B$1,7,1)&lt;=TODAY(),OR($O432="",$O432&gt;=DATE($B$1,7,1)),OR(COUNTIF($C432:I432,"&gt;0")&gt;0,DATE($B$1,7,1)=DATE(YEAR(TODAY()),MONTH(TODAY()),1))),1,0))</f>
        <v/>
      </c>
      <c r="W432">
        <f>IF($A432="","",IF(AND($B432&gt;0,J432&lt;$B432,DATE($B$1,8,1)&lt;=TODAY(),OR($O432="",$O432&gt;=DATE($B$1,8,1)),OR(COUNTIF($C432:J432,"&gt;0")&gt;0,DATE($B$1,8,1)=DATE(YEAR(TODAY()),MONTH(TODAY()),1))),1,0))</f>
        <v/>
      </c>
      <c r="X432">
        <f>IF($A432="","",IF(AND($B432&gt;0,K432&lt;$B432,DATE($B$1,9,1)&lt;=TODAY(),OR($O432="",$O432&gt;=DATE($B$1,9,1)),OR(COUNTIF($C432:K432,"&gt;0")&gt;0,DATE($B$1,9,1)=DATE(YEAR(TODAY()),MONTH(TODAY()),1))),1,0))</f>
        <v/>
      </c>
      <c r="Y432">
        <f>IF($A432="","",IF(AND($B432&gt;0,L432&lt;$B432,DATE($B$1,10,1)&lt;=TODAY(),OR($O432="",$O432&gt;=DATE($B$1,10,1)),OR(COUNTIF($C432:L432,"&gt;0")&gt;0,DATE($B$1,10,1)=DATE(YEAR(TODAY()),MONTH(TODAY()),1))),1,0))</f>
        <v/>
      </c>
      <c r="Z432">
        <f>IF($A432="","",IF(AND($B432&gt;0,M432&lt;$B432,DATE($B$1,11,1)&lt;=TODAY(),OR($O432="",$O432&gt;=DATE($B$1,11,1)),OR(COUNTIF($C432:M432,"&gt;0")&gt;0,DATE($B$1,11,1)=DATE(YEAR(TODAY()),MONTH(TODAY()),1))),1,0))</f>
        <v/>
      </c>
      <c r="AA432">
        <f>IF($A432="","",IF(AND($B432&gt;0,N432&lt;$B432,DATE($B$1,12,1)&lt;=TODAY(),OR($O432="",$O432&gt;=DATE($B$1,12,1)),OR(COUNTIF($C432:N432,"&gt;0")&gt;0,DATE($B$1,12,1)=DATE(YEAR(TODAY()),MONTH(TODAY()),1))),1,0))</f>
        <v/>
      </c>
    </row>
    <row r="433">
      <c r="A433" s="13">
        <f>IF(원생!$A431="","",원생!$A431&amp;IF(원생!$G431="",""," ("&amp;원생!$G431&amp;")"))</f>
        <v/>
      </c>
      <c r="B433" s="8">
        <f>IF(원생!$A431="","",N(원생!$F431))</f>
        <v/>
      </c>
      <c r="C433" s="14">
        <f>IF(원생!$A431="","",SUMIFS(계산!$C:$C,계산!$A:$A,계산!$E431,계산!$B:$B,$B$1*100+1))</f>
        <v/>
      </c>
      <c r="D433" s="14">
        <f>IF(원생!$A431="","",SUMIFS(계산!$C:$C,계산!$A:$A,계산!$E431,계산!$B:$B,$B$1*100+2))</f>
        <v/>
      </c>
      <c r="E433" s="14">
        <f>IF(원생!$A431="","",SUMIFS(계산!$C:$C,계산!$A:$A,계산!$E431,계산!$B:$B,$B$1*100+3))</f>
        <v/>
      </c>
      <c r="F433" s="14">
        <f>IF(원생!$A431="","",SUMIFS(계산!$C:$C,계산!$A:$A,계산!$E431,계산!$B:$B,$B$1*100+4))</f>
        <v/>
      </c>
      <c r="G433" s="14">
        <f>IF(원생!$A431="","",SUMIFS(계산!$C:$C,계산!$A:$A,계산!$E431,계산!$B:$B,$B$1*100+5))</f>
        <v/>
      </c>
      <c r="H433" s="14">
        <f>IF(원생!$A431="","",SUMIFS(계산!$C:$C,계산!$A:$A,계산!$E431,계산!$B:$B,$B$1*100+6))</f>
        <v/>
      </c>
      <c r="I433" s="14">
        <f>IF(원생!$A431="","",SUMIFS(계산!$C:$C,계산!$A:$A,계산!$E431,계산!$B:$B,$B$1*100+7))</f>
        <v/>
      </c>
      <c r="J433" s="14">
        <f>IF(원생!$A431="","",SUMIFS(계산!$C:$C,계산!$A:$A,계산!$E431,계산!$B:$B,$B$1*100+8))</f>
        <v/>
      </c>
      <c r="K433" s="14">
        <f>IF(원생!$A431="","",SUMIFS(계산!$C:$C,계산!$A:$A,계산!$E431,계산!$B:$B,$B$1*100+9))</f>
        <v/>
      </c>
      <c r="L433" s="14">
        <f>IF(원생!$A431="","",SUMIFS(계산!$C:$C,계산!$A:$A,계산!$E431,계산!$B:$B,$B$1*100+10))</f>
        <v/>
      </c>
      <c r="M433" s="14">
        <f>IF(원생!$A431="","",SUMIFS(계산!$C:$C,계산!$A:$A,계산!$E431,계산!$B:$B,$B$1*100+11))</f>
        <v/>
      </c>
      <c r="N433" s="14">
        <f>IF(원생!$A431="","",SUMIFS(계산!$C:$C,계산!$A:$A,계산!$E431,계산!$B:$B,$B$1*100+12))</f>
        <v/>
      </c>
      <c r="O433">
        <f>IF(원생!$I431="","",원생!$I431)</f>
        <v/>
      </c>
      <c r="P433">
        <f>IF($A433="","",IF(AND($B433&gt;0,C433&lt;$B433,DATE($B$1,1,1)&lt;=TODAY(),OR($O433="",$O433&gt;=DATE($B$1,1,1)),OR(COUNTIF($C433:C433,"&gt;0")&gt;0,DATE($B$1,1,1)=DATE(YEAR(TODAY()),MONTH(TODAY()),1))),1,0))</f>
        <v/>
      </c>
      <c r="Q433">
        <f>IF($A433="","",IF(AND($B433&gt;0,D433&lt;$B433,DATE($B$1,2,1)&lt;=TODAY(),OR($O433="",$O433&gt;=DATE($B$1,2,1)),OR(COUNTIF($C433:D433,"&gt;0")&gt;0,DATE($B$1,2,1)=DATE(YEAR(TODAY()),MONTH(TODAY()),1))),1,0))</f>
        <v/>
      </c>
      <c r="R433">
        <f>IF($A433="","",IF(AND($B433&gt;0,E433&lt;$B433,DATE($B$1,3,1)&lt;=TODAY(),OR($O433="",$O433&gt;=DATE($B$1,3,1)),OR(COUNTIF($C433:E433,"&gt;0")&gt;0,DATE($B$1,3,1)=DATE(YEAR(TODAY()),MONTH(TODAY()),1))),1,0))</f>
        <v/>
      </c>
      <c r="S433">
        <f>IF($A433="","",IF(AND($B433&gt;0,F433&lt;$B433,DATE($B$1,4,1)&lt;=TODAY(),OR($O433="",$O433&gt;=DATE($B$1,4,1)),OR(COUNTIF($C433:F433,"&gt;0")&gt;0,DATE($B$1,4,1)=DATE(YEAR(TODAY()),MONTH(TODAY()),1))),1,0))</f>
        <v/>
      </c>
      <c r="T433">
        <f>IF($A433="","",IF(AND($B433&gt;0,G433&lt;$B433,DATE($B$1,5,1)&lt;=TODAY(),OR($O433="",$O433&gt;=DATE($B$1,5,1)),OR(COUNTIF($C433:G433,"&gt;0")&gt;0,DATE($B$1,5,1)=DATE(YEAR(TODAY()),MONTH(TODAY()),1))),1,0))</f>
        <v/>
      </c>
      <c r="U433">
        <f>IF($A433="","",IF(AND($B433&gt;0,H433&lt;$B433,DATE($B$1,6,1)&lt;=TODAY(),OR($O433="",$O433&gt;=DATE($B$1,6,1)),OR(COUNTIF($C433:H433,"&gt;0")&gt;0,DATE($B$1,6,1)=DATE(YEAR(TODAY()),MONTH(TODAY()),1))),1,0))</f>
        <v/>
      </c>
      <c r="V433">
        <f>IF($A433="","",IF(AND($B433&gt;0,I433&lt;$B433,DATE($B$1,7,1)&lt;=TODAY(),OR($O433="",$O433&gt;=DATE($B$1,7,1)),OR(COUNTIF($C433:I433,"&gt;0")&gt;0,DATE($B$1,7,1)=DATE(YEAR(TODAY()),MONTH(TODAY()),1))),1,0))</f>
        <v/>
      </c>
      <c r="W433">
        <f>IF($A433="","",IF(AND($B433&gt;0,J433&lt;$B433,DATE($B$1,8,1)&lt;=TODAY(),OR($O433="",$O433&gt;=DATE($B$1,8,1)),OR(COUNTIF($C433:J433,"&gt;0")&gt;0,DATE($B$1,8,1)=DATE(YEAR(TODAY()),MONTH(TODAY()),1))),1,0))</f>
        <v/>
      </c>
      <c r="X433">
        <f>IF($A433="","",IF(AND($B433&gt;0,K433&lt;$B433,DATE($B$1,9,1)&lt;=TODAY(),OR($O433="",$O433&gt;=DATE($B$1,9,1)),OR(COUNTIF($C433:K433,"&gt;0")&gt;0,DATE($B$1,9,1)=DATE(YEAR(TODAY()),MONTH(TODAY()),1))),1,0))</f>
        <v/>
      </c>
      <c r="Y433">
        <f>IF($A433="","",IF(AND($B433&gt;0,L433&lt;$B433,DATE($B$1,10,1)&lt;=TODAY(),OR($O433="",$O433&gt;=DATE($B$1,10,1)),OR(COUNTIF($C433:L433,"&gt;0")&gt;0,DATE($B$1,10,1)=DATE(YEAR(TODAY()),MONTH(TODAY()),1))),1,0))</f>
        <v/>
      </c>
      <c r="Z433">
        <f>IF($A433="","",IF(AND($B433&gt;0,M433&lt;$B433,DATE($B$1,11,1)&lt;=TODAY(),OR($O433="",$O433&gt;=DATE($B$1,11,1)),OR(COUNTIF($C433:M433,"&gt;0")&gt;0,DATE($B$1,11,1)=DATE(YEAR(TODAY()),MONTH(TODAY()),1))),1,0))</f>
        <v/>
      </c>
      <c r="AA433">
        <f>IF($A433="","",IF(AND($B433&gt;0,N433&lt;$B433,DATE($B$1,12,1)&lt;=TODAY(),OR($O433="",$O433&gt;=DATE($B$1,12,1)),OR(COUNTIF($C433:N433,"&gt;0")&gt;0,DATE($B$1,12,1)=DATE(YEAR(TODAY()),MONTH(TODAY()),1))),1,0))</f>
        <v/>
      </c>
    </row>
    <row r="434">
      <c r="A434" s="13">
        <f>IF(원생!$A432="","",원생!$A432&amp;IF(원생!$G432="",""," ("&amp;원생!$G432&amp;")"))</f>
        <v/>
      </c>
      <c r="B434" s="8">
        <f>IF(원생!$A432="","",N(원생!$F432))</f>
        <v/>
      </c>
      <c r="C434" s="14">
        <f>IF(원생!$A432="","",SUMIFS(계산!$C:$C,계산!$A:$A,계산!$E432,계산!$B:$B,$B$1*100+1))</f>
        <v/>
      </c>
      <c r="D434" s="14">
        <f>IF(원생!$A432="","",SUMIFS(계산!$C:$C,계산!$A:$A,계산!$E432,계산!$B:$B,$B$1*100+2))</f>
        <v/>
      </c>
      <c r="E434" s="14">
        <f>IF(원생!$A432="","",SUMIFS(계산!$C:$C,계산!$A:$A,계산!$E432,계산!$B:$B,$B$1*100+3))</f>
        <v/>
      </c>
      <c r="F434" s="14">
        <f>IF(원생!$A432="","",SUMIFS(계산!$C:$C,계산!$A:$A,계산!$E432,계산!$B:$B,$B$1*100+4))</f>
        <v/>
      </c>
      <c r="G434" s="14">
        <f>IF(원생!$A432="","",SUMIFS(계산!$C:$C,계산!$A:$A,계산!$E432,계산!$B:$B,$B$1*100+5))</f>
        <v/>
      </c>
      <c r="H434" s="14">
        <f>IF(원생!$A432="","",SUMIFS(계산!$C:$C,계산!$A:$A,계산!$E432,계산!$B:$B,$B$1*100+6))</f>
        <v/>
      </c>
      <c r="I434" s="14">
        <f>IF(원생!$A432="","",SUMIFS(계산!$C:$C,계산!$A:$A,계산!$E432,계산!$B:$B,$B$1*100+7))</f>
        <v/>
      </c>
      <c r="J434" s="14">
        <f>IF(원생!$A432="","",SUMIFS(계산!$C:$C,계산!$A:$A,계산!$E432,계산!$B:$B,$B$1*100+8))</f>
        <v/>
      </c>
      <c r="K434" s="14">
        <f>IF(원생!$A432="","",SUMIFS(계산!$C:$C,계산!$A:$A,계산!$E432,계산!$B:$B,$B$1*100+9))</f>
        <v/>
      </c>
      <c r="L434" s="14">
        <f>IF(원생!$A432="","",SUMIFS(계산!$C:$C,계산!$A:$A,계산!$E432,계산!$B:$B,$B$1*100+10))</f>
        <v/>
      </c>
      <c r="M434" s="14">
        <f>IF(원생!$A432="","",SUMIFS(계산!$C:$C,계산!$A:$A,계산!$E432,계산!$B:$B,$B$1*100+11))</f>
        <v/>
      </c>
      <c r="N434" s="14">
        <f>IF(원생!$A432="","",SUMIFS(계산!$C:$C,계산!$A:$A,계산!$E432,계산!$B:$B,$B$1*100+12))</f>
        <v/>
      </c>
      <c r="O434">
        <f>IF(원생!$I432="","",원생!$I432)</f>
        <v/>
      </c>
      <c r="P434">
        <f>IF($A434="","",IF(AND($B434&gt;0,C434&lt;$B434,DATE($B$1,1,1)&lt;=TODAY(),OR($O434="",$O434&gt;=DATE($B$1,1,1)),OR(COUNTIF($C434:C434,"&gt;0")&gt;0,DATE($B$1,1,1)=DATE(YEAR(TODAY()),MONTH(TODAY()),1))),1,0))</f>
        <v/>
      </c>
      <c r="Q434">
        <f>IF($A434="","",IF(AND($B434&gt;0,D434&lt;$B434,DATE($B$1,2,1)&lt;=TODAY(),OR($O434="",$O434&gt;=DATE($B$1,2,1)),OR(COUNTIF($C434:D434,"&gt;0")&gt;0,DATE($B$1,2,1)=DATE(YEAR(TODAY()),MONTH(TODAY()),1))),1,0))</f>
        <v/>
      </c>
      <c r="R434">
        <f>IF($A434="","",IF(AND($B434&gt;0,E434&lt;$B434,DATE($B$1,3,1)&lt;=TODAY(),OR($O434="",$O434&gt;=DATE($B$1,3,1)),OR(COUNTIF($C434:E434,"&gt;0")&gt;0,DATE($B$1,3,1)=DATE(YEAR(TODAY()),MONTH(TODAY()),1))),1,0))</f>
        <v/>
      </c>
      <c r="S434">
        <f>IF($A434="","",IF(AND($B434&gt;0,F434&lt;$B434,DATE($B$1,4,1)&lt;=TODAY(),OR($O434="",$O434&gt;=DATE($B$1,4,1)),OR(COUNTIF($C434:F434,"&gt;0")&gt;0,DATE($B$1,4,1)=DATE(YEAR(TODAY()),MONTH(TODAY()),1))),1,0))</f>
        <v/>
      </c>
      <c r="T434">
        <f>IF($A434="","",IF(AND($B434&gt;0,G434&lt;$B434,DATE($B$1,5,1)&lt;=TODAY(),OR($O434="",$O434&gt;=DATE($B$1,5,1)),OR(COUNTIF($C434:G434,"&gt;0")&gt;0,DATE($B$1,5,1)=DATE(YEAR(TODAY()),MONTH(TODAY()),1))),1,0))</f>
        <v/>
      </c>
      <c r="U434">
        <f>IF($A434="","",IF(AND($B434&gt;0,H434&lt;$B434,DATE($B$1,6,1)&lt;=TODAY(),OR($O434="",$O434&gt;=DATE($B$1,6,1)),OR(COUNTIF($C434:H434,"&gt;0")&gt;0,DATE($B$1,6,1)=DATE(YEAR(TODAY()),MONTH(TODAY()),1))),1,0))</f>
        <v/>
      </c>
      <c r="V434">
        <f>IF($A434="","",IF(AND($B434&gt;0,I434&lt;$B434,DATE($B$1,7,1)&lt;=TODAY(),OR($O434="",$O434&gt;=DATE($B$1,7,1)),OR(COUNTIF($C434:I434,"&gt;0")&gt;0,DATE($B$1,7,1)=DATE(YEAR(TODAY()),MONTH(TODAY()),1))),1,0))</f>
        <v/>
      </c>
      <c r="W434">
        <f>IF($A434="","",IF(AND($B434&gt;0,J434&lt;$B434,DATE($B$1,8,1)&lt;=TODAY(),OR($O434="",$O434&gt;=DATE($B$1,8,1)),OR(COUNTIF($C434:J434,"&gt;0")&gt;0,DATE($B$1,8,1)=DATE(YEAR(TODAY()),MONTH(TODAY()),1))),1,0))</f>
        <v/>
      </c>
      <c r="X434">
        <f>IF($A434="","",IF(AND($B434&gt;0,K434&lt;$B434,DATE($B$1,9,1)&lt;=TODAY(),OR($O434="",$O434&gt;=DATE($B$1,9,1)),OR(COUNTIF($C434:K434,"&gt;0")&gt;0,DATE($B$1,9,1)=DATE(YEAR(TODAY()),MONTH(TODAY()),1))),1,0))</f>
        <v/>
      </c>
      <c r="Y434">
        <f>IF($A434="","",IF(AND($B434&gt;0,L434&lt;$B434,DATE($B$1,10,1)&lt;=TODAY(),OR($O434="",$O434&gt;=DATE($B$1,10,1)),OR(COUNTIF($C434:L434,"&gt;0")&gt;0,DATE($B$1,10,1)=DATE(YEAR(TODAY()),MONTH(TODAY()),1))),1,0))</f>
        <v/>
      </c>
      <c r="Z434">
        <f>IF($A434="","",IF(AND($B434&gt;0,M434&lt;$B434,DATE($B$1,11,1)&lt;=TODAY(),OR($O434="",$O434&gt;=DATE($B$1,11,1)),OR(COUNTIF($C434:M434,"&gt;0")&gt;0,DATE($B$1,11,1)=DATE(YEAR(TODAY()),MONTH(TODAY()),1))),1,0))</f>
        <v/>
      </c>
      <c r="AA434">
        <f>IF($A434="","",IF(AND($B434&gt;0,N434&lt;$B434,DATE($B$1,12,1)&lt;=TODAY(),OR($O434="",$O434&gt;=DATE($B$1,12,1)),OR(COUNTIF($C434:N434,"&gt;0")&gt;0,DATE($B$1,12,1)=DATE(YEAR(TODAY()),MONTH(TODAY()),1))),1,0))</f>
        <v/>
      </c>
    </row>
    <row r="435">
      <c r="A435" s="13">
        <f>IF(원생!$A433="","",원생!$A433&amp;IF(원생!$G433="",""," ("&amp;원생!$G433&amp;")"))</f>
        <v/>
      </c>
      <c r="B435" s="8">
        <f>IF(원생!$A433="","",N(원생!$F433))</f>
        <v/>
      </c>
      <c r="C435" s="14">
        <f>IF(원생!$A433="","",SUMIFS(계산!$C:$C,계산!$A:$A,계산!$E433,계산!$B:$B,$B$1*100+1))</f>
        <v/>
      </c>
      <c r="D435" s="14">
        <f>IF(원생!$A433="","",SUMIFS(계산!$C:$C,계산!$A:$A,계산!$E433,계산!$B:$B,$B$1*100+2))</f>
        <v/>
      </c>
      <c r="E435" s="14">
        <f>IF(원생!$A433="","",SUMIFS(계산!$C:$C,계산!$A:$A,계산!$E433,계산!$B:$B,$B$1*100+3))</f>
        <v/>
      </c>
      <c r="F435" s="14">
        <f>IF(원생!$A433="","",SUMIFS(계산!$C:$C,계산!$A:$A,계산!$E433,계산!$B:$B,$B$1*100+4))</f>
        <v/>
      </c>
      <c r="G435" s="14">
        <f>IF(원생!$A433="","",SUMIFS(계산!$C:$C,계산!$A:$A,계산!$E433,계산!$B:$B,$B$1*100+5))</f>
        <v/>
      </c>
      <c r="H435" s="14">
        <f>IF(원생!$A433="","",SUMIFS(계산!$C:$C,계산!$A:$A,계산!$E433,계산!$B:$B,$B$1*100+6))</f>
        <v/>
      </c>
      <c r="I435" s="14">
        <f>IF(원생!$A433="","",SUMIFS(계산!$C:$C,계산!$A:$A,계산!$E433,계산!$B:$B,$B$1*100+7))</f>
        <v/>
      </c>
      <c r="J435" s="14">
        <f>IF(원생!$A433="","",SUMIFS(계산!$C:$C,계산!$A:$A,계산!$E433,계산!$B:$B,$B$1*100+8))</f>
        <v/>
      </c>
      <c r="K435" s="14">
        <f>IF(원생!$A433="","",SUMIFS(계산!$C:$C,계산!$A:$A,계산!$E433,계산!$B:$B,$B$1*100+9))</f>
        <v/>
      </c>
      <c r="L435" s="14">
        <f>IF(원생!$A433="","",SUMIFS(계산!$C:$C,계산!$A:$A,계산!$E433,계산!$B:$B,$B$1*100+10))</f>
        <v/>
      </c>
      <c r="M435" s="14">
        <f>IF(원생!$A433="","",SUMIFS(계산!$C:$C,계산!$A:$A,계산!$E433,계산!$B:$B,$B$1*100+11))</f>
        <v/>
      </c>
      <c r="N435" s="14">
        <f>IF(원생!$A433="","",SUMIFS(계산!$C:$C,계산!$A:$A,계산!$E433,계산!$B:$B,$B$1*100+12))</f>
        <v/>
      </c>
      <c r="O435">
        <f>IF(원생!$I433="","",원생!$I433)</f>
        <v/>
      </c>
      <c r="P435">
        <f>IF($A435="","",IF(AND($B435&gt;0,C435&lt;$B435,DATE($B$1,1,1)&lt;=TODAY(),OR($O435="",$O435&gt;=DATE($B$1,1,1)),OR(COUNTIF($C435:C435,"&gt;0")&gt;0,DATE($B$1,1,1)=DATE(YEAR(TODAY()),MONTH(TODAY()),1))),1,0))</f>
        <v/>
      </c>
      <c r="Q435">
        <f>IF($A435="","",IF(AND($B435&gt;0,D435&lt;$B435,DATE($B$1,2,1)&lt;=TODAY(),OR($O435="",$O435&gt;=DATE($B$1,2,1)),OR(COUNTIF($C435:D435,"&gt;0")&gt;0,DATE($B$1,2,1)=DATE(YEAR(TODAY()),MONTH(TODAY()),1))),1,0))</f>
        <v/>
      </c>
      <c r="R435">
        <f>IF($A435="","",IF(AND($B435&gt;0,E435&lt;$B435,DATE($B$1,3,1)&lt;=TODAY(),OR($O435="",$O435&gt;=DATE($B$1,3,1)),OR(COUNTIF($C435:E435,"&gt;0")&gt;0,DATE($B$1,3,1)=DATE(YEAR(TODAY()),MONTH(TODAY()),1))),1,0))</f>
        <v/>
      </c>
      <c r="S435">
        <f>IF($A435="","",IF(AND($B435&gt;0,F435&lt;$B435,DATE($B$1,4,1)&lt;=TODAY(),OR($O435="",$O435&gt;=DATE($B$1,4,1)),OR(COUNTIF($C435:F435,"&gt;0")&gt;0,DATE($B$1,4,1)=DATE(YEAR(TODAY()),MONTH(TODAY()),1))),1,0))</f>
        <v/>
      </c>
      <c r="T435">
        <f>IF($A435="","",IF(AND($B435&gt;0,G435&lt;$B435,DATE($B$1,5,1)&lt;=TODAY(),OR($O435="",$O435&gt;=DATE($B$1,5,1)),OR(COUNTIF($C435:G435,"&gt;0")&gt;0,DATE($B$1,5,1)=DATE(YEAR(TODAY()),MONTH(TODAY()),1))),1,0))</f>
        <v/>
      </c>
      <c r="U435">
        <f>IF($A435="","",IF(AND($B435&gt;0,H435&lt;$B435,DATE($B$1,6,1)&lt;=TODAY(),OR($O435="",$O435&gt;=DATE($B$1,6,1)),OR(COUNTIF($C435:H435,"&gt;0")&gt;0,DATE($B$1,6,1)=DATE(YEAR(TODAY()),MONTH(TODAY()),1))),1,0))</f>
        <v/>
      </c>
      <c r="V435">
        <f>IF($A435="","",IF(AND($B435&gt;0,I435&lt;$B435,DATE($B$1,7,1)&lt;=TODAY(),OR($O435="",$O435&gt;=DATE($B$1,7,1)),OR(COUNTIF($C435:I435,"&gt;0")&gt;0,DATE($B$1,7,1)=DATE(YEAR(TODAY()),MONTH(TODAY()),1))),1,0))</f>
        <v/>
      </c>
      <c r="W435">
        <f>IF($A435="","",IF(AND($B435&gt;0,J435&lt;$B435,DATE($B$1,8,1)&lt;=TODAY(),OR($O435="",$O435&gt;=DATE($B$1,8,1)),OR(COUNTIF($C435:J435,"&gt;0")&gt;0,DATE($B$1,8,1)=DATE(YEAR(TODAY()),MONTH(TODAY()),1))),1,0))</f>
        <v/>
      </c>
      <c r="X435">
        <f>IF($A435="","",IF(AND($B435&gt;0,K435&lt;$B435,DATE($B$1,9,1)&lt;=TODAY(),OR($O435="",$O435&gt;=DATE($B$1,9,1)),OR(COUNTIF($C435:K435,"&gt;0")&gt;0,DATE($B$1,9,1)=DATE(YEAR(TODAY()),MONTH(TODAY()),1))),1,0))</f>
        <v/>
      </c>
      <c r="Y435">
        <f>IF($A435="","",IF(AND($B435&gt;0,L435&lt;$B435,DATE($B$1,10,1)&lt;=TODAY(),OR($O435="",$O435&gt;=DATE($B$1,10,1)),OR(COUNTIF($C435:L435,"&gt;0")&gt;0,DATE($B$1,10,1)=DATE(YEAR(TODAY()),MONTH(TODAY()),1))),1,0))</f>
        <v/>
      </c>
      <c r="Z435">
        <f>IF($A435="","",IF(AND($B435&gt;0,M435&lt;$B435,DATE($B$1,11,1)&lt;=TODAY(),OR($O435="",$O435&gt;=DATE($B$1,11,1)),OR(COUNTIF($C435:M435,"&gt;0")&gt;0,DATE($B$1,11,1)=DATE(YEAR(TODAY()),MONTH(TODAY()),1))),1,0))</f>
        <v/>
      </c>
      <c r="AA435">
        <f>IF($A435="","",IF(AND($B435&gt;0,N435&lt;$B435,DATE($B$1,12,1)&lt;=TODAY(),OR($O435="",$O435&gt;=DATE($B$1,12,1)),OR(COUNTIF($C435:N435,"&gt;0")&gt;0,DATE($B$1,12,1)=DATE(YEAR(TODAY()),MONTH(TODAY()),1))),1,0))</f>
        <v/>
      </c>
    </row>
    <row r="436">
      <c r="A436" s="13">
        <f>IF(원생!$A434="","",원생!$A434&amp;IF(원생!$G434="",""," ("&amp;원생!$G434&amp;")"))</f>
        <v/>
      </c>
      <c r="B436" s="8">
        <f>IF(원생!$A434="","",N(원생!$F434))</f>
        <v/>
      </c>
      <c r="C436" s="14">
        <f>IF(원생!$A434="","",SUMIFS(계산!$C:$C,계산!$A:$A,계산!$E434,계산!$B:$B,$B$1*100+1))</f>
        <v/>
      </c>
      <c r="D436" s="14">
        <f>IF(원생!$A434="","",SUMIFS(계산!$C:$C,계산!$A:$A,계산!$E434,계산!$B:$B,$B$1*100+2))</f>
        <v/>
      </c>
      <c r="E436" s="14">
        <f>IF(원생!$A434="","",SUMIFS(계산!$C:$C,계산!$A:$A,계산!$E434,계산!$B:$B,$B$1*100+3))</f>
        <v/>
      </c>
      <c r="F436" s="14">
        <f>IF(원생!$A434="","",SUMIFS(계산!$C:$C,계산!$A:$A,계산!$E434,계산!$B:$B,$B$1*100+4))</f>
        <v/>
      </c>
      <c r="G436" s="14">
        <f>IF(원생!$A434="","",SUMIFS(계산!$C:$C,계산!$A:$A,계산!$E434,계산!$B:$B,$B$1*100+5))</f>
        <v/>
      </c>
      <c r="H436" s="14">
        <f>IF(원생!$A434="","",SUMIFS(계산!$C:$C,계산!$A:$A,계산!$E434,계산!$B:$B,$B$1*100+6))</f>
        <v/>
      </c>
      <c r="I436" s="14">
        <f>IF(원생!$A434="","",SUMIFS(계산!$C:$C,계산!$A:$A,계산!$E434,계산!$B:$B,$B$1*100+7))</f>
        <v/>
      </c>
      <c r="J436" s="14">
        <f>IF(원생!$A434="","",SUMIFS(계산!$C:$C,계산!$A:$A,계산!$E434,계산!$B:$B,$B$1*100+8))</f>
        <v/>
      </c>
      <c r="K436" s="14">
        <f>IF(원생!$A434="","",SUMIFS(계산!$C:$C,계산!$A:$A,계산!$E434,계산!$B:$B,$B$1*100+9))</f>
        <v/>
      </c>
      <c r="L436" s="14">
        <f>IF(원생!$A434="","",SUMIFS(계산!$C:$C,계산!$A:$A,계산!$E434,계산!$B:$B,$B$1*100+10))</f>
        <v/>
      </c>
      <c r="M436" s="14">
        <f>IF(원생!$A434="","",SUMIFS(계산!$C:$C,계산!$A:$A,계산!$E434,계산!$B:$B,$B$1*100+11))</f>
        <v/>
      </c>
      <c r="N436" s="14">
        <f>IF(원생!$A434="","",SUMIFS(계산!$C:$C,계산!$A:$A,계산!$E434,계산!$B:$B,$B$1*100+12))</f>
        <v/>
      </c>
      <c r="O436">
        <f>IF(원생!$I434="","",원생!$I434)</f>
        <v/>
      </c>
      <c r="P436">
        <f>IF($A436="","",IF(AND($B436&gt;0,C436&lt;$B436,DATE($B$1,1,1)&lt;=TODAY(),OR($O436="",$O436&gt;=DATE($B$1,1,1)),OR(COUNTIF($C436:C436,"&gt;0")&gt;0,DATE($B$1,1,1)=DATE(YEAR(TODAY()),MONTH(TODAY()),1))),1,0))</f>
        <v/>
      </c>
      <c r="Q436">
        <f>IF($A436="","",IF(AND($B436&gt;0,D436&lt;$B436,DATE($B$1,2,1)&lt;=TODAY(),OR($O436="",$O436&gt;=DATE($B$1,2,1)),OR(COUNTIF($C436:D436,"&gt;0")&gt;0,DATE($B$1,2,1)=DATE(YEAR(TODAY()),MONTH(TODAY()),1))),1,0))</f>
        <v/>
      </c>
      <c r="R436">
        <f>IF($A436="","",IF(AND($B436&gt;0,E436&lt;$B436,DATE($B$1,3,1)&lt;=TODAY(),OR($O436="",$O436&gt;=DATE($B$1,3,1)),OR(COUNTIF($C436:E436,"&gt;0")&gt;0,DATE($B$1,3,1)=DATE(YEAR(TODAY()),MONTH(TODAY()),1))),1,0))</f>
        <v/>
      </c>
      <c r="S436">
        <f>IF($A436="","",IF(AND($B436&gt;0,F436&lt;$B436,DATE($B$1,4,1)&lt;=TODAY(),OR($O436="",$O436&gt;=DATE($B$1,4,1)),OR(COUNTIF($C436:F436,"&gt;0")&gt;0,DATE($B$1,4,1)=DATE(YEAR(TODAY()),MONTH(TODAY()),1))),1,0))</f>
        <v/>
      </c>
      <c r="T436">
        <f>IF($A436="","",IF(AND($B436&gt;0,G436&lt;$B436,DATE($B$1,5,1)&lt;=TODAY(),OR($O436="",$O436&gt;=DATE($B$1,5,1)),OR(COUNTIF($C436:G436,"&gt;0")&gt;0,DATE($B$1,5,1)=DATE(YEAR(TODAY()),MONTH(TODAY()),1))),1,0))</f>
        <v/>
      </c>
      <c r="U436">
        <f>IF($A436="","",IF(AND($B436&gt;0,H436&lt;$B436,DATE($B$1,6,1)&lt;=TODAY(),OR($O436="",$O436&gt;=DATE($B$1,6,1)),OR(COUNTIF($C436:H436,"&gt;0")&gt;0,DATE($B$1,6,1)=DATE(YEAR(TODAY()),MONTH(TODAY()),1))),1,0))</f>
        <v/>
      </c>
      <c r="V436">
        <f>IF($A436="","",IF(AND($B436&gt;0,I436&lt;$B436,DATE($B$1,7,1)&lt;=TODAY(),OR($O436="",$O436&gt;=DATE($B$1,7,1)),OR(COUNTIF($C436:I436,"&gt;0")&gt;0,DATE($B$1,7,1)=DATE(YEAR(TODAY()),MONTH(TODAY()),1))),1,0))</f>
        <v/>
      </c>
      <c r="W436">
        <f>IF($A436="","",IF(AND($B436&gt;0,J436&lt;$B436,DATE($B$1,8,1)&lt;=TODAY(),OR($O436="",$O436&gt;=DATE($B$1,8,1)),OR(COUNTIF($C436:J436,"&gt;0")&gt;0,DATE($B$1,8,1)=DATE(YEAR(TODAY()),MONTH(TODAY()),1))),1,0))</f>
        <v/>
      </c>
      <c r="X436">
        <f>IF($A436="","",IF(AND($B436&gt;0,K436&lt;$B436,DATE($B$1,9,1)&lt;=TODAY(),OR($O436="",$O436&gt;=DATE($B$1,9,1)),OR(COUNTIF($C436:K436,"&gt;0")&gt;0,DATE($B$1,9,1)=DATE(YEAR(TODAY()),MONTH(TODAY()),1))),1,0))</f>
        <v/>
      </c>
      <c r="Y436">
        <f>IF($A436="","",IF(AND($B436&gt;0,L436&lt;$B436,DATE($B$1,10,1)&lt;=TODAY(),OR($O436="",$O436&gt;=DATE($B$1,10,1)),OR(COUNTIF($C436:L436,"&gt;0")&gt;0,DATE($B$1,10,1)=DATE(YEAR(TODAY()),MONTH(TODAY()),1))),1,0))</f>
        <v/>
      </c>
      <c r="Z436">
        <f>IF($A436="","",IF(AND($B436&gt;0,M436&lt;$B436,DATE($B$1,11,1)&lt;=TODAY(),OR($O436="",$O436&gt;=DATE($B$1,11,1)),OR(COUNTIF($C436:M436,"&gt;0")&gt;0,DATE($B$1,11,1)=DATE(YEAR(TODAY()),MONTH(TODAY()),1))),1,0))</f>
        <v/>
      </c>
      <c r="AA436">
        <f>IF($A436="","",IF(AND($B436&gt;0,N436&lt;$B436,DATE($B$1,12,1)&lt;=TODAY(),OR($O436="",$O436&gt;=DATE($B$1,12,1)),OR(COUNTIF($C436:N436,"&gt;0")&gt;0,DATE($B$1,12,1)=DATE(YEAR(TODAY()),MONTH(TODAY()),1))),1,0))</f>
        <v/>
      </c>
    </row>
    <row r="437">
      <c r="A437" s="13">
        <f>IF(원생!$A435="","",원생!$A435&amp;IF(원생!$G435="",""," ("&amp;원생!$G435&amp;")"))</f>
        <v/>
      </c>
      <c r="B437" s="8">
        <f>IF(원생!$A435="","",N(원생!$F435))</f>
        <v/>
      </c>
      <c r="C437" s="14">
        <f>IF(원생!$A435="","",SUMIFS(계산!$C:$C,계산!$A:$A,계산!$E435,계산!$B:$B,$B$1*100+1))</f>
        <v/>
      </c>
      <c r="D437" s="14">
        <f>IF(원생!$A435="","",SUMIFS(계산!$C:$C,계산!$A:$A,계산!$E435,계산!$B:$B,$B$1*100+2))</f>
        <v/>
      </c>
      <c r="E437" s="14">
        <f>IF(원생!$A435="","",SUMIFS(계산!$C:$C,계산!$A:$A,계산!$E435,계산!$B:$B,$B$1*100+3))</f>
        <v/>
      </c>
      <c r="F437" s="14">
        <f>IF(원생!$A435="","",SUMIFS(계산!$C:$C,계산!$A:$A,계산!$E435,계산!$B:$B,$B$1*100+4))</f>
        <v/>
      </c>
      <c r="G437" s="14">
        <f>IF(원생!$A435="","",SUMIFS(계산!$C:$C,계산!$A:$A,계산!$E435,계산!$B:$B,$B$1*100+5))</f>
        <v/>
      </c>
      <c r="H437" s="14">
        <f>IF(원생!$A435="","",SUMIFS(계산!$C:$C,계산!$A:$A,계산!$E435,계산!$B:$B,$B$1*100+6))</f>
        <v/>
      </c>
      <c r="I437" s="14">
        <f>IF(원생!$A435="","",SUMIFS(계산!$C:$C,계산!$A:$A,계산!$E435,계산!$B:$B,$B$1*100+7))</f>
        <v/>
      </c>
      <c r="J437" s="14">
        <f>IF(원생!$A435="","",SUMIFS(계산!$C:$C,계산!$A:$A,계산!$E435,계산!$B:$B,$B$1*100+8))</f>
        <v/>
      </c>
      <c r="K437" s="14">
        <f>IF(원생!$A435="","",SUMIFS(계산!$C:$C,계산!$A:$A,계산!$E435,계산!$B:$B,$B$1*100+9))</f>
        <v/>
      </c>
      <c r="L437" s="14">
        <f>IF(원생!$A435="","",SUMIFS(계산!$C:$C,계산!$A:$A,계산!$E435,계산!$B:$B,$B$1*100+10))</f>
        <v/>
      </c>
      <c r="M437" s="14">
        <f>IF(원생!$A435="","",SUMIFS(계산!$C:$C,계산!$A:$A,계산!$E435,계산!$B:$B,$B$1*100+11))</f>
        <v/>
      </c>
      <c r="N437" s="14">
        <f>IF(원생!$A435="","",SUMIFS(계산!$C:$C,계산!$A:$A,계산!$E435,계산!$B:$B,$B$1*100+12))</f>
        <v/>
      </c>
      <c r="O437">
        <f>IF(원생!$I435="","",원생!$I435)</f>
        <v/>
      </c>
      <c r="P437">
        <f>IF($A437="","",IF(AND($B437&gt;0,C437&lt;$B437,DATE($B$1,1,1)&lt;=TODAY(),OR($O437="",$O437&gt;=DATE($B$1,1,1)),OR(COUNTIF($C437:C437,"&gt;0")&gt;0,DATE($B$1,1,1)=DATE(YEAR(TODAY()),MONTH(TODAY()),1))),1,0))</f>
        <v/>
      </c>
      <c r="Q437">
        <f>IF($A437="","",IF(AND($B437&gt;0,D437&lt;$B437,DATE($B$1,2,1)&lt;=TODAY(),OR($O437="",$O437&gt;=DATE($B$1,2,1)),OR(COUNTIF($C437:D437,"&gt;0")&gt;0,DATE($B$1,2,1)=DATE(YEAR(TODAY()),MONTH(TODAY()),1))),1,0))</f>
        <v/>
      </c>
      <c r="R437">
        <f>IF($A437="","",IF(AND($B437&gt;0,E437&lt;$B437,DATE($B$1,3,1)&lt;=TODAY(),OR($O437="",$O437&gt;=DATE($B$1,3,1)),OR(COUNTIF($C437:E437,"&gt;0")&gt;0,DATE($B$1,3,1)=DATE(YEAR(TODAY()),MONTH(TODAY()),1))),1,0))</f>
        <v/>
      </c>
      <c r="S437">
        <f>IF($A437="","",IF(AND($B437&gt;0,F437&lt;$B437,DATE($B$1,4,1)&lt;=TODAY(),OR($O437="",$O437&gt;=DATE($B$1,4,1)),OR(COUNTIF($C437:F437,"&gt;0")&gt;0,DATE($B$1,4,1)=DATE(YEAR(TODAY()),MONTH(TODAY()),1))),1,0))</f>
        <v/>
      </c>
      <c r="T437">
        <f>IF($A437="","",IF(AND($B437&gt;0,G437&lt;$B437,DATE($B$1,5,1)&lt;=TODAY(),OR($O437="",$O437&gt;=DATE($B$1,5,1)),OR(COUNTIF($C437:G437,"&gt;0")&gt;0,DATE($B$1,5,1)=DATE(YEAR(TODAY()),MONTH(TODAY()),1))),1,0))</f>
        <v/>
      </c>
      <c r="U437">
        <f>IF($A437="","",IF(AND($B437&gt;0,H437&lt;$B437,DATE($B$1,6,1)&lt;=TODAY(),OR($O437="",$O437&gt;=DATE($B$1,6,1)),OR(COUNTIF($C437:H437,"&gt;0")&gt;0,DATE($B$1,6,1)=DATE(YEAR(TODAY()),MONTH(TODAY()),1))),1,0))</f>
        <v/>
      </c>
      <c r="V437">
        <f>IF($A437="","",IF(AND($B437&gt;0,I437&lt;$B437,DATE($B$1,7,1)&lt;=TODAY(),OR($O437="",$O437&gt;=DATE($B$1,7,1)),OR(COUNTIF($C437:I437,"&gt;0")&gt;0,DATE($B$1,7,1)=DATE(YEAR(TODAY()),MONTH(TODAY()),1))),1,0))</f>
        <v/>
      </c>
      <c r="W437">
        <f>IF($A437="","",IF(AND($B437&gt;0,J437&lt;$B437,DATE($B$1,8,1)&lt;=TODAY(),OR($O437="",$O437&gt;=DATE($B$1,8,1)),OR(COUNTIF($C437:J437,"&gt;0")&gt;0,DATE($B$1,8,1)=DATE(YEAR(TODAY()),MONTH(TODAY()),1))),1,0))</f>
        <v/>
      </c>
      <c r="X437">
        <f>IF($A437="","",IF(AND($B437&gt;0,K437&lt;$B437,DATE($B$1,9,1)&lt;=TODAY(),OR($O437="",$O437&gt;=DATE($B$1,9,1)),OR(COUNTIF($C437:K437,"&gt;0")&gt;0,DATE($B$1,9,1)=DATE(YEAR(TODAY()),MONTH(TODAY()),1))),1,0))</f>
        <v/>
      </c>
      <c r="Y437">
        <f>IF($A437="","",IF(AND($B437&gt;0,L437&lt;$B437,DATE($B$1,10,1)&lt;=TODAY(),OR($O437="",$O437&gt;=DATE($B$1,10,1)),OR(COUNTIF($C437:L437,"&gt;0")&gt;0,DATE($B$1,10,1)=DATE(YEAR(TODAY()),MONTH(TODAY()),1))),1,0))</f>
        <v/>
      </c>
      <c r="Z437">
        <f>IF($A437="","",IF(AND($B437&gt;0,M437&lt;$B437,DATE($B$1,11,1)&lt;=TODAY(),OR($O437="",$O437&gt;=DATE($B$1,11,1)),OR(COUNTIF($C437:M437,"&gt;0")&gt;0,DATE($B$1,11,1)=DATE(YEAR(TODAY()),MONTH(TODAY()),1))),1,0))</f>
        <v/>
      </c>
      <c r="AA437">
        <f>IF($A437="","",IF(AND($B437&gt;0,N437&lt;$B437,DATE($B$1,12,1)&lt;=TODAY(),OR($O437="",$O437&gt;=DATE($B$1,12,1)),OR(COUNTIF($C437:N437,"&gt;0")&gt;0,DATE($B$1,12,1)=DATE(YEAR(TODAY()),MONTH(TODAY()),1))),1,0))</f>
        <v/>
      </c>
    </row>
    <row r="438">
      <c r="A438" s="13">
        <f>IF(원생!$A436="","",원생!$A436&amp;IF(원생!$G436="",""," ("&amp;원생!$G436&amp;")"))</f>
        <v/>
      </c>
      <c r="B438" s="8">
        <f>IF(원생!$A436="","",N(원생!$F436))</f>
        <v/>
      </c>
      <c r="C438" s="14">
        <f>IF(원생!$A436="","",SUMIFS(계산!$C:$C,계산!$A:$A,계산!$E436,계산!$B:$B,$B$1*100+1))</f>
        <v/>
      </c>
      <c r="D438" s="14">
        <f>IF(원생!$A436="","",SUMIFS(계산!$C:$C,계산!$A:$A,계산!$E436,계산!$B:$B,$B$1*100+2))</f>
        <v/>
      </c>
      <c r="E438" s="14">
        <f>IF(원생!$A436="","",SUMIFS(계산!$C:$C,계산!$A:$A,계산!$E436,계산!$B:$B,$B$1*100+3))</f>
        <v/>
      </c>
      <c r="F438" s="14">
        <f>IF(원생!$A436="","",SUMIFS(계산!$C:$C,계산!$A:$A,계산!$E436,계산!$B:$B,$B$1*100+4))</f>
        <v/>
      </c>
      <c r="G438" s="14">
        <f>IF(원생!$A436="","",SUMIFS(계산!$C:$C,계산!$A:$A,계산!$E436,계산!$B:$B,$B$1*100+5))</f>
        <v/>
      </c>
      <c r="H438" s="14">
        <f>IF(원생!$A436="","",SUMIFS(계산!$C:$C,계산!$A:$A,계산!$E436,계산!$B:$B,$B$1*100+6))</f>
        <v/>
      </c>
      <c r="I438" s="14">
        <f>IF(원생!$A436="","",SUMIFS(계산!$C:$C,계산!$A:$A,계산!$E436,계산!$B:$B,$B$1*100+7))</f>
        <v/>
      </c>
      <c r="J438" s="14">
        <f>IF(원생!$A436="","",SUMIFS(계산!$C:$C,계산!$A:$A,계산!$E436,계산!$B:$B,$B$1*100+8))</f>
        <v/>
      </c>
      <c r="K438" s="14">
        <f>IF(원생!$A436="","",SUMIFS(계산!$C:$C,계산!$A:$A,계산!$E436,계산!$B:$B,$B$1*100+9))</f>
        <v/>
      </c>
      <c r="L438" s="14">
        <f>IF(원생!$A436="","",SUMIFS(계산!$C:$C,계산!$A:$A,계산!$E436,계산!$B:$B,$B$1*100+10))</f>
        <v/>
      </c>
      <c r="M438" s="14">
        <f>IF(원생!$A436="","",SUMIFS(계산!$C:$C,계산!$A:$A,계산!$E436,계산!$B:$B,$B$1*100+11))</f>
        <v/>
      </c>
      <c r="N438" s="14">
        <f>IF(원생!$A436="","",SUMIFS(계산!$C:$C,계산!$A:$A,계산!$E436,계산!$B:$B,$B$1*100+12))</f>
        <v/>
      </c>
      <c r="O438">
        <f>IF(원생!$I436="","",원생!$I436)</f>
        <v/>
      </c>
      <c r="P438">
        <f>IF($A438="","",IF(AND($B438&gt;0,C438&lt;$B438,DATE($B$1,1,1)&lt;=TODAY(),OR($O438="",$O438&gt;=DATE($B$1,1,1)),OR(COUNTIF($C438:C438,"&gt;0")&gt;0,DATE($B$1,1,1)=DATE(YEAR(TODAY()),MONTH(TODAY()),1))),1,0))</f>
        <v/>
      </c>
      <c r="Q438">
        <f>IF($A438="","",IF(AND($B438&gt;0,D438&lt;$B438,DATE($B$1,2,1)&lt;=TODAY(),OR($O438="",$O438&gt;=DATE($B$1,2,1)),OR(COUNTIF($C438:D438,"&gt;0")&gt;0,DATE($B$1,2,1)=DATE(YEAR(TODAY()),MONTH(TODAY()),1))),1,0))</f>
        <v/>
      </c>
      <c r="R438">
        <f>IF($A438="","",IF(AND($B438&gt;0,E438&lt;$B438,DATE($B$1,3,1)&lt;=TODAY(),OR($O438="",$O438&gt;=DATE($B$1,3,1)),OR(COUNTIF($C438:E438,"&gt;0")&gt;0,DATE($B$1,3,1)=DATE(YEAR(TODAY()),MONTH(TODAY()),1))),1,0))</f>
        <v/>
      </c>
      <c r="S438">
        <f>IF($A438="","",IF(AND($B438&gt;0,F438&lt;$B438,DATE($B$1,4,1)&lt;=TODAY(),OR($O438="",$O438&gt;=DATE($B$1,4,1)),OR(COUNTIF($C438:F438,"&gt;0")&gt;0,DATE($B$1,4,1)=DATE(YEAR(TODAY()),MONTH(TODAY()),1))),1,0))</f>
        <v/>
      </c>
      <c r="T438">
        <f>IF($A438="","",IF(AND($B438&gt;0,G438&lt;$B438,DATE($B$1,5,1)&lt;=TODAY(),OR($O438="",$O438&gt;=DATE($B$1,5,1)),OR(COUNTIF($C438:G438,"&gt;0")&gt;0,DATE($B$1,5,1)=DATE(YEAR(TODAY()),MONTH(TODAY()),1))),1,0))</f>
        <v/>
      </c>
      <c r="U438">
        <f>IF($A438="","",IF(AND($B438&gt;0,H438&lt;$B438,DATE($B$1,6,1)&lt;=TODAY(),OR($O438="",$O438&gt;=DATE($B$1,6,1)),OR(COUNTIF($C438:H438,"&gt;0")&gt;0,DATE($B$1,6,1)=DATE(YEAR(TODAY()),MONTH(TODAY()),1))),1,0))</f>
        <v/>
      </c>
      <c r="V438">
        <f>IF($A438="","",IF(AND($B438&gt;0,I438&lt;$B438,DATE($B$1,7,1)&lt;=TODAY(),OR($O438="",$O438&gt;=DATE($B$1,7,1)),OR(COUNTIF($C438:I438,"&gt;0")&gt;0,DATE($B$1,7,1)=DATE(YEAR(TODAY()),MONTH(TODAY()),1))),1,0))</f>
        <v/>
      </c>
      <c r="W438">
        <f>IF($A438="","",IF(AND($B438&gt;0,J438&lt;$B438,DATE($B$1,8,1)&lt;=TODAY(),OR($O438="",$O438&gt;=DATE($B$1,8,1)),OR(COUNTIF($C438:J438,"&gt;0")&gt;0,DATE($B$1,8,1)=DATE(YEAR(TODAY()),MONTH(TODAY()),1))),1,0))</f>
        <v/>
      </c>
      <c r="X438">
        <f>IF($A438="","",IF(AND($B438&gt;0,K438&lt;$B438,DATE($B$1,9,1)&lt;=TODAY(),OR($O438="",$O438&gt;=DATE($B$1,9,1)),OR(COUNTIF($C438:K438,"&gt;0")&gt;0,DATE($B$1,9,1)=DATE(YEAR(TODAY()),MONTH(TODAY()),1))),1,0))</f>
        <v/>
      </c>
      <c r="Y438">
        <f>IF($A438="","",IF(AND($B438&gt;0,L438&lt;$B438,DATE($B$1,10,1)&lt;=TODAY(),OR($O438="",$O438&gt;=DATE($B$1,10,1)),OR(COUNTIF($C438:L438,"&gt;0")&gt;0,DATE($B$1,10,1)=DATE(YEAR(TODAY()),MONTH(TODAY()),1))),1,0))</f>
        <v/>
      </c>
      <c r="Z438">
        <f>IF($A438="","",IF(AND($B438&gt;0,M438&lt;$B438,DATE($B$1,11,1)&lt;=TODAY(),OR($O438="",$O438&gt;=DATE($B$1,11,1)),OR(COUNTIF($C438:M438,"&gt;0")&gt;0,DATE($B$1,11,1)=DATE(YEAR(TODAY()),MONTH(TODAY()),1))),1,0))</f>
        <v/>
      </c>
      <c r="AA438">
        <f>IF($A438="","",IF(AND($B438&gt;0,N438&lt;$B438,DATE($B$1,12,1)&lt;=TODAY(),OR($O438="",$O438&gt;=DATE($B$1,12,1)),OR(COUNTIF($C438:N438,"&gt;0")&gt;0,DATE($B$1,12,1)=DATE(YEAR(TODAY()),MONTH(TODAY()),1))),1,0))</f>
        <v/>
      </c>
    </row>
    <row r="439">
      <c r="A439" s="13">
        <f>IF(원생!$A437="","",원생!$A437&amp;IF(원생!$G437="",""," ("&amp;원생!$G437&amp;")"))</f>
        <v/>
      </c>
      <c r="B439" s="8">
        <f>IF(원생!$A437="","",N(원생!$F437))</f>
        <v/>
      </c>
      <c r="C439" s="14">
        <f>IF(원생!$A437="","",SUMIFS(계산!$C:$C,계산!$A:$A,계산!$E437,계산!$B:$B,$B$1*100+1))</f>
        <v/>
      </c>
      <c r="D439" s="14">
        <f>IF(원생!$A437="","",SUMIFS(계산!$C:$C,계산!$A:$A,계산!$E437,계산!$B:$B,$B$1*100+2))</f>
        <v/>
      </c>
      <c r="E439" s="14">
        <f>IF(원생!$A437="","",SUMIFS(계산!$C:$C,계산!$A:$A,계산!$E437,계산!$B:$B,$B$1*100+3))</f>
        <v/>
      </c>
      <c r="F439" s="14">
        <f>IF(원생!$A437="","",SUMIFS(계산!$C:$C,계산!$A:$A,계산!$E437,계산!$B:$B,$B$1*100+4))</f>
        <v/>
      </c>
      <c r="G439" s="14">
        <f>IF(원생!$A437="","",SUMIFS(계산!$C:$C,계산!$A:$A,계산!$E437,계산!$B:$B,$B$1*100+5))</f>
        <v/>
      </c>
      <c r="H439" s="14">
        <f>IF(원생!$A437="","",SUMIFS(계산!$C:$C,계산!$A:$A,계산!$E437,계산!$B:$B,$B$1*100+6))</f>
        <v/>
      </c>
      <c r="I439" s="14">
        <f>IF(원생!$A437="","",SUMIFS(계산!$C:$C,계산!$A:$A,계산!$E437,계산!$B:$B,$B$1*100+7))</f>
        <v/>
      </c>
      <c r="J439" s="14">
        <f>IF(원생!$A437="","",SUMIFS(계산!$C:$C,계산!$A:$A,계산!$E437,계산!$B:$B,$B$1*100+8))</f>
        <v/>
      </c>
      <c r="K439" s="14">
        <f>IF(원생!$A437="","",SUMIFS(계산!$C:$C,계산!$A:$A,계산!$E437,계산!$B:$B,$B$1*100+9))</f>
        <v/>
      </c>
      <c r="L439" s="14">
        <f>IF(원생!$A437="","",SUMIFS(계산!$C:$C,계산!$A:$A,계산!$E437,계산!$B:$B,$B$1*100+10))</f>
        <v/>
      </c>
      <c r="M439" s="14">
        <f>IF(원생!$A437="","",SUMIFS(계산!$C:$C,계산!$A:$A,계산!$E437,계산!$B:$B,$B$1*100+11))</f>
        <v/>
      </c>
      <c r="N439" s="14">
        <f>IF(원생!$A437="","",SUMIFS(계산!$C:$C,계산!$A:$A,계산!$E437,계산!$B:$B,$B$1*100+12))</f>
        <v/>
      </c>
      <c r="O439">
        <f>IF(원생!$I437="","",원생!$I437)</f>
        <v/>
      </c>
      <c r="P439">
        <f>IF($A439="","",IF(AND($B439&gt;0,C439&lt;$B439,DATE($B$1,1,1)&lt;=TODAY(),OR($O439="",$O439&gt;=DATE($B$1,1,1)),OR(COUNTIF($C439:C439,"&gt;0")&gt;0,DATE($B$1,1,1)=DATE(YEAR(TODAY()),MONTH(TODAY()),1))),1,0))</f>
        <v/>
      </c>
      <c r="Q439">
        <f>IF($A439="","",IF(AND($B439&gt;0,D439&lt;$B439,DATE($B$1,2,1)&lt;=TODAY(),OR($O439="",$O439&gt;=DATE($B$1,2,1)),OR(COUNTIF($C439:D439,"&gt;0")&gt;0,DATE($B$1,2,1)=DATE(YEAR(TODAY()),MONTH(TODAY()),1))),1,0))</f>
        <v/>
      </c>
      <c r="R439">
        <f>IF($A439="","",IF(AND($B439&gt;0,E439&lt;$B439,DATE($B$1,3,1)&lt;=TODAY(),OR($O439="",$O439&gt;=DATE($B$1,3,1)),OR(COUNTIF($C439:E439,"&gt;0")&gt;0,DATE($B$1,3,1)=DATE(YEAR(TODAY()),MONTH(TODAY()),1))),1,0))</f>
        <v/>
      </c>
      <c r="S439">
        <f>IF($A439="","",IF(AND($B439&gt;0,F439&lt;$B439,DATE($B$1,4,1)&lt;=TODAY(),OR($O439="",$O439&gt;=DATE($B$1,4,1)),OR(COUNTIF($C439:F439,"&gt;0")&gt;0,DATE($B$1,4,1)=DATE(YEAR(TODAY()),MONTH(TODAY()),1))),1,0))</f>
        <v/>
      </c>
      <c r="T439">
        <f>IF($A439="","",IF(AND($B439&gt;0,G439&lt;$B439,DATE($B$1,5,1)&lt;=TODAY(),OR($O439="",$O439&gt;=DATE($B$1,5,1)),OR(COUNTIF($C439:G439,"&gt;0")&gt;0,DATE($B$1,5,1)=DATE(YEAR(TODAY()),MONTH(TODAY()),1))),1,0))</f>
        <v/>
      </c>
      <c r="U439">
        <f>IF($A439="","",IF(AND($B439&gt;0,H439&lt;$B439,DATE($B$1,6,1)&lt;=TODAY(),OR($O439="",$O439&gt;=DATE($B$1,6,1)),OR(COUNTIF($C439:H439,"&gt;0")&gt;0,DATE($B$1,6,1)=DATE(YEAR(TODAY()),MONTH(TODAY()),1))),1,0))</f>
        <v/>
      </c>
      <c r="V439">
        <f>IF($A439="","",IF(AND($B439&gt;0,I439&lt;$B439,DATE($B$1,7,1)&lt;=TODAY(),OR($O439="",$O439&gt;=DATE($B$1,7,1)),OR(COUNTIF($C439:I439,"&gt;0")&gt;0,DATE($B$1,7,1)=DATE(YEAR(TODAY()),MONTH(TODAY()),1))),1,0))</f>
        <v/>
      </c>
      <c r="W439">
        <f>IF($A439="","",IF(AND($B439&gt;0,J439&lt;$B439,DATE($B$1,8,1)&lt;=TODAY(),OR($O439="",$O439&gt;=DATE($B$1,8,1)),OR(COUNTIF($C439:J439,"&gt;0")&gt;0,DATE($B$1,8,1)=DATE(YEAR(TODAY()),MONTH(TODAY()),1))),1,0))</f>
        <v/>
      </c>
      <c r="X439">
        <f>IF($A439="","",IF(AND($B439&gt;0,K439&lt;$B439,DATE($B$1,9,1)&lt;=TODAY(),OR($O439="",$O439&gt;=DATE($B$1,9,1)),OR(COUNTIF($C439:K439,"&gt;0")&gt;0,DATE($B$1,9,1)=DATE(YEAR(TODAY()),MONTH(TODAY()),1))),1,0))</f>
        <v/>
      </c>
      <c r="Y439">
        <f>IF($A439="","",IF(AND($B439&gt;0,L439&lt;$B439,DATE($B$1,10,1)&lt;=TODAY(),OR($O439="",$O439&gt;=DATE($B$1,10,1)),OR(COUNTIF($C439:L439,"&gt;0")&gt;0,DATE($B$1,10,1)=DATE(YEAR(TODAY()),MONTH(TODAY()),1))),1,0))</f>
        <v/>
      </c>
      <c r="Z439">
        <f>IF($A439="","",IF(AND($B439&gt;0,M439&lt;$B439,DATE($B$1,11,1)&lt;=TODAY(),OR($O439="",$O439&gt;=DATE($B$1,11,1)),OR(COUNTIF($C439:M439,"&gt;0")&gt;0,DATE($B$1,11,1)=DATE(YEAR(TODAY()),MONTH(TODAY()),1))),1,0))</f>
        <v/>
      </c>
      <c r="AA439">
        <f>IF($A439="","",IF(AND($B439&gt;0,N439&lt;$B439,DATE($B$1,12,1)&lt;=TODAY(),OR($O439="",$O439&gt;=DATE($B$1,12,1)),OR(COUNTIF($C439:N439,"&gt;0")&gt;0,DATE($B$1,12,1)=DATE(YEAR(TODAY()),MONTH(TODAY()),1))),1,0))</f>
        <v/>
      </c>
    </row>
    <row r="440">
      <c r="A440" s="13">
        <f>IF(원생!$A438="","",원생!$A438&amp;IF(원생!$G438="",""," ("&amp;원생!$G438&amp;")"))</f>
        <v/>
      </c>
      <c r="B440" s="8">
        <f>IF(원생!$A438="","",N(원생!$F438))</f>
        <v/>
      </c>
      <c r="C440" s="14">
        <f>IF(원생!$A438="","",SUMIFS(계산!$C:$C,계산!$A:$A,계산!$E438,계산!$B:$B,$B$1*100+1))</f>
        <v/>
      </c>
      <c r="D440" s="14">
        <f>IF(원생!$A438="","",SUMIFS(계산!$C:$C,계산!$A:$A,계산!$E438,계산!$B:$B,$B$1*100+2))</f>
        <v/>
      </c>
      <c r="E440" s="14">
        <f>IF(원생!$A438="","",SUMIFS(계산!$C:$C,계산!$A:$A,계산!$E438,계산!$B:$B,$B$1*100+3))</f>
        <v/>
      </c>
      <c r="F440" s="14">
        <f>IF(원생!$A438="","",SUMIFS(계산!$C:$C,계산!$A:$A,계산!$E438,계산!$B:$B,$B$1*100+4))</f>
        <v/>
      </c>
      <c r="G440" s="14">
        <f>IF(원생!$A438="","",SUMIFS(계산!$C:$C,계산!$A:$A,계산!$E438,계산!$B:$B,$B$1*100+5))</f>
        <v/>
      </c>
      <c r="H440" s="14">
        <f>IF(원생!$A438="","",SUMIFS(계산!$C:$C,계산!$A:$A,계산!$E438,계산!$B:$B,$B$1*100+6))</f>
        <v/>
      </c>
      <c r="I440" s="14">
        <f>IF(원생!$A438="","",SUMIFS(계산!$C:$C,계산!$A:$A,계산!$E438,계산!$B:$B,$B$1*100+7))</f>
        <v/>
      </c>
      <c r="J440" s="14">
        <f>IF(원생!$A438="","",SUMIFS(계산!$C:$C,계산!$A:$A,계산!$E438,계산!$B:$B,$B$1*100+8))</f>
        <v/>
      </c>
      <c r="K440" s="14">
        <f>IF(원생!$A438="","",SUMIFS(계산!$C:$C,계산!$A:$A,계산!$E438,계산!$B:$B,$B$1*100+9))</f>
        <v/>
      </c>
      <c r="L440" s="14">
        <f>IF(원생!$A438="","",SUMIFS(계산!$C:$C,계산!$A:$A,계산!$E438,계산!$B:$B,$B$1*100+10))</f>
        <v/>
      </c>
      <c r="M440" s="14">
        <f>IF(원생!$A438="","",SUMIFS(계산!$C:$C,계산!$A:$A,계산!$E438,계산!$B:$B,$B$1*100+11))</f>
        <v/>
      </c>
      <c r="N440" s="14">
        <f>IF(원생!$A438="","",SUMIFS(계산!$C:$C,계산!$A:$A,계산!$E438,계산!$B:$B,$B$1*100+12))</f>
        <v/>
      </c>
      <c r="O440">
        <f>IF(원생!$I438="","",원생!$I438)</f>
        <v/>
      </c>
      <c r="P440">
        <f>IF($A440="","",IF(AND($B440&gt;0,C440&lt;$B440,DATE($B$1,1,1)&lt;=TODAY(),OR($O440="",$O440&gt;=DATE($B$1,1,1)),OR(COUNTIF($C440:C440,"&gt;0")&gt;0,DATE($B$1,1,1)=DATE(YEAR(TODAY()),MONTH(TODAY()),1))),1,0))</f>
        <v/>
      </c>
      <c r="Q440">
        <f>IF($A440="","",IF(AND($B440&gt;0,D440&lt;$B440,DATE($B$1,2,1)&lt;=TODAY(),OR($O440="",$O440&gt;=DATE($B$1,2,1)),OR(COUNTIF($C440:D440,"&gt;0")&gt;0,DATE($B$1,2,1)=DATE(YEAR(TODAY()),MONTH(TODAY()),1))),1,0))</f>
        <v/>
      </c>
      <c r="R440">
        <f>IF($A440="","",IF(AND($B440&gt;0,E440&lt;$B440,DATE($B$1,3,1)&lt;=TODAY(),OR($O440="",$O440&gt;=DATE($B$1,3,1)),OR(COUNTIF($C440:E440,"&gt;0")&gt;0,DATE($B$1,3,1)=DATE(YEAR(TODAY()),MONTH(TODAY()),1))),1,0))</f>
        <v/>
      </c>
      <c r="S440">
        <f>IF($A440="","",IF(AND($B440&gt;0,F440&lt;$B440,DATE($B$1,4,1)&lt;=TODAY(),OR($O440="",$O440&gt;=DATE($B$1,4,1)),OR(COUNTIF($C440:F440,"&gt;0")&gt;0,DATE($B$1,4,1)=DATE(YEAR(TODAY()),MONTH(TODAY()),1))),1,0))</f>
        <v/>
      </c>
      <c r="T440">
        <f>IF($A440="","",IF(AND($B440&gt;0,G440&lt;$B440,DATE($B$1,5,1)&lt;=TODAY(),OR($O440="",$O440&gt;=DATE($B$1,5,1)),OR(COUNTIF($C440:G440,"&gt;0")&gt;0,DATE($B$1,5,1)=DATE(YEAR(TODAY()),MONTH(TODAY()),1))),1,0))</f>
        <v/>
      </c>
      <c r="U440">
        <f>IF($A440="","",IF(AND($B440&gt;0,H440&lt;$B440,DATE($B$1,6,1)&lt;=TODAY(),OR($O440="",$O440&gt;=DATE($B$1,6,1)),OR(COUNTIF($C440:H440,"&gt;0")&gt;0,DATE($B$1,6,1)=DATE(YEAR(TODAY()),MONTH(TODAY()),1))),1,0))</f>
        <v/>
      </c>
      <c r="V440">
        <f>IF($A440="","",IF(AND($B440&gt;0,I440&lt;$B440,DATE($B$1,7,1)&lt;=TODAY(),OR($O440="",$O440&gt;=DATE($B$1,7,1)),OR(COUNTIF($C440:I440,"&gt;0")&gt;0,DATE($B$1,7,1)=DATE(YEAR(TODAY()),MONTH(TODAY()),1))),1,0))</f>
        <v/>
      </c>
      <c r="W440">
        <f>IF($A440="","",IF(AND($B440&gt;0,J440&lt;$B440,DATE($B$1,8,1)&lt;=TODAY(),OR($O440="",$O440&gt;=DATE($B$1,8,1)),OR(COUNTIF($C440:J440,"&gt;0")&gt;0,DATE($B$1,8,1)=DATE(YEAR(TODAY()),MONTH(TODAY()),1))),1,0))</f>
        <v/>
      </c>
      <c r="X440">
        <f>IF($A440="","",IF(AND($B440&gt;0,K440&lt;$B440,DATE($B$1,9,1)&lt;=TODAY(),OR($O440="",$O440&gt;=DATE($B$1,9,1)),OR(COUNTIF($C440:K440,"&gt;0")&gt;0,DATE($B$1,9,1)=DATE(YEAR(TODAY()),MONTH(TODAY()),1))),1,0))</f>
        <v/>
      </c>
      <c r="Y440">
        <f>IF($A440="","",IF(AND($B440&gt;0,L440&lt;$B440,DATE($B$1,10,1)&lt;=TODAY(),OR($O440="",$O440&gt;=DATE($B$1,10,1)),OR(COUNTIF($C440:L440,"&gt;0")&gt;0,DATE($B$1,10,1)=DATE(YEAR(TODAY()),MONTH(TODAY()),1))),1,0))</f>
        <v/>
      </c>
      <c r="Z440">
        <f>IF($A440="","",IF(AND($B440&gt;0,M440&lt;$B440,DATE($B$1,11,1)&lt;=TODAY(),OR($O440="",$O440&gt;=DATE($B$1,11,1)),OR(COUNTIF($C440:M440,"&gt;0")&gt;0,DATE($B$1,11,1)=DATE(YEAR(TODAY()),MONTH(TODAY()),1))),1,0))</f>
        <v/>
      </c>
      <c r="AA440">
        <f>IF($A440="","",IF(AND($B440&gt;0,N440&lt;$B440,DATE($B$1,12,1)&lt;=TODAY(),OR($O440="",$O440&gt;=DATE($B$1,12,1)),OR(COUNTIF($C440:N440,"&gt;0")&gt;0,DATE($B$1,12,1)=DATE(YEAR(TODAY()),MONTH(TODAY()),1))),1,0))</f>
        <v/>
      </c>
    </row>
    <row r="441">
      <c r="A441" s="13">
        <f>IF(원생!$A439="","",원생!$A439&amp;IF(원생!$G439="",""," ("&amp;원생!$G439&amp;")"))</f>
        <v/>
      </c>
      <c r="B441" s="8">
        <f>IF(원생!$A439="","",N(원생!$F439))</f>
        <v/>
      </c>
      <c r="C441" s="14">
        <f>IF(원생!$A439="","",SUMIFS(계산!$C:$C,계산!$A:$A,계산!$E439,계산!$B:$B,$B$1*100+1))</f>
        <v/>
      </c>
      <c r="D441" s="14">
        <f>IF(원생!$A439="","",SUMIFS(계산!$C:$C,계산!$A:$A,계산!$E439,계산!$B:$B,$B$1*100+2))</f>
        <v/>
      </c>
      <c r="E441" s="14">
        <f>IF(원생!$A439="","",SUMIFS(계산!$C:$C,계산!$A:$A,계산!$E439,계산!$B:$B,$B$1*100+3))</f>
        <v/>
      </c>
      <c r="F441" s="14">
        <f>IF(원생!$A439="","",SUMIFS(계산!$C:$C,계산!$A:$A,계산!$E439,계산!$B:$B,$B$1*100+4))</f>
        <v/>
      </c>
      <c r="G441" s="14">
        <f>IF(원생!$A439="","",SUMIFS(계산!$C:$C,계산!$A:$A,계산!$E439,계산!$B:$B,$B$1*100+5))</f>
        <v/>
      </c>
      <c r="H441" s="14">
        <f>IF(원생!$A439="","",SUMIFS(계산!$C:$C,계산!$A:$A,계산!$E439,계산!$B:$B,$B$1*100+6))</f>
        <v/>
      </c>
      <c r="I441" s="14">
        <f>IF(원생!$A439="","",SUMIFS(계산!$C:$C,계산!$A:$A,계산!$E439,계산!$B:$B,$B$1*100+7))</f>
        <v/>
      </c>
      <c r="J441" s="14">
        <f>IF(원생!$A439="","",SUMIFS(계산!$C:$C,계산!$A:$A,계산!$E439,계산!$B:$B,$B$1*100+8))</f>
        <v/>
      </c>
      <c r="K441" s="14">
        <f>IF(원생!$A439="","",SUMIFS(계산!$C:$C,계산!$A:$A,계산!$E439,계산!$B:$B,$B$1*100+9))</f>
        <v/>
      </c>
      <c r="L441" s="14">
        <f>IF(원생!$A439="","",SUMIFS(계산!$C:$C,계산!$A:$A,계산!$E439,계산!$B:$B,$B$1*100+10))</f>
        <v/>
      </c>
      <c r="M441" s="14">
        <f>IF(원생!$A439="","",SUMIFS(계산!$C:$C,계산!$A:$A,계산!$E439,계산!$B:$B,$B$1*100+11))</f>
        <v/>
      </c>
      <c r="N441" s="14">
        <f>IF(원생!$A439="","",SUMIFS(계산!$C:$C,계산!$A:$A,계산!$E439,계산!$B:$B,$B$1*100+12))</f>
        <v/>
      </c>
      <c r="O441">
        <f>IF(원생!$I439="","",원생!$I439)</f>
        <v/>
      </c>
      <c r="P441">
        <f>IF($A441="","",IF(AND($B441&gt;0,C441&lt;$B441,DATE($B$1,1,1)&lt;=TODAY(),OR($O441="",$O441&gt;=DATE($B$1,1,1)),OR(COUNTIF($C441:C441,"&gt;0")&gt;0,DATE($B$1,1,1)=DATE(YEAR(TODAY()),MONTH(TODAY()),1))),1,0))</f>
        <v/>
      </c>
      <c r="Q441">
        <f>IF($A441="","",IF(AND($B441&gt;0,D441&lt;$B441,DATE($B$1,2,1)&lt;=TODAY(),OR($O441="",$O441&gt;=DATE($B$1,2,1)),OR(COUNTIF($C441:D441,"&gt;0")&gt;0,DATE($B$1,2,1)=DATE(YEAR(TODAY()),MONTH(TODAY()),1))),1,0))</f>
        <v/>
      </c>
      <c r="R441">
        <f>IF($A441="","",IF(AND($B441&gt;0,E441&lt;$B441,DATE($B$1,3,1)&lt;=TODAY(),OR($O441="",$O441&gt;=DATE($B$1,3,1)),OR(COUNTIF($C441:E441,"&gt;0")&gt;0,DATE($B$1,3,1)=DATE(YEAR(TODAY()),MONTH(TODAY()),1))),1,0))</f>
        <v/>
      </c>
      <c r="S441">
        <f>IF($A441="","",IF(AND($B441&gt;0,F441&lt;$B441,DATE($B$1,4,1)&lt;=TODAY(),OR($O441="",$O441&gt;=DATE($B$1,4,1)),OR(COUNTIF($C441:F441,"&gt;0")&gt;0,DATE($B$1,4,1)=DATE(YEAR(TODAY()),MONTH(TODAY()),1))),1,0))</f>
        <v/>
      </c>
      <c r="T441">
        <f>IF($A441="","",IF(AND($B441&gt;0,G441&lt;$B441,DATE($B$1,5,1)&lt;=TODAY(),OR($O441="",$O441&gt;=DATE($B$1,5,1)),OR(COUNTIF($C441:G441,"&gt;0")&gt;0,DATE($B$1,5,1)=DATE(YEAR(TODAY()),MONTH(TODAY()),1))),1,0))</f>
        <v/>
      </c>
      <c r="U441">
        <f>IF($A441="","",IF(AND($B441&gt;0,H441&lt;$B441,DATE($B$1,6,1)&lt;=TODAY(),OR($O441="",$O441&gt;=DATE($B$1,6,1)),OR(COUNTIF($C441:H441,"&gt;0")&gt;0,DATE($B$1,6,1)=DATE(YEAR(TODAY()),MONTH(TODAY()),1))),1,0))</f>
        <v/>
      </c>
      <c r="V441">
        <f>IF($A441="","",IF(AND($B441&gt;0,I441&lt;$B441,DATE($B$1,7,1)&lt;=TODAY(),OR($O441="",$O441&gt;=DATE($B$1,7,1)),OR(COUNTIF($C441:I441,"&gt;0")&gt;0,DATE($B$1,7,1)=DATE(YEAR(TODAY()),MONTH(TODAY()),1))),1,0))</f>
        <v/>
      </c>
      <c r="W441">
        <f>IF($A441="","",IF(AND($B441&gt;0,J441&lt;$B441,DATE($B$1,8,1)&lt;=TODAY(),OR($O441="",$O441&gt;=DATE($B$1,8,1)),OR(COUNTIF($C441:J441,"&gt;0")&gt;0,DATE($B$1,8,1)=DATE(YEAR(TODAY()),MONTH(TODAY()),1))),1,0))</f>
        <v/>
      </c>
      <c r="X441">
        <f>IF($A441="","",IF(AND($B441&gt;0,K441&lt;$B441,DATE($B$1,9,1)&lt;=TODAY(),OR($O441="",$O441&gt;=DATE($B$1,9,1)),OR(COUNTIF($C441:K441,"&gt;0")&gt;0,DATE($B$1,9,1)=DATE(YEAR(TODAY()),MONTH(TODAY()),1))),1,0))</f>
        <v/>
      </c>
      <c r="Y441">
        <f>IF($A441="","",IF(AND($B441&gt;0,L441&lt;$B441,DATE($B$1,10,1)&lt;=TODAY(),OR($O441="",$O441&gt;=DATE($B$1,10,1)),OR(COUNTIF($C441:L441,"&gt;0")&gt;0,DATE($B$1,10,1)=DATE(YEAR(TODAY()),MONTH(TODAY()),1))),1,0))</f>
        <v/>
      </c>
      <c r="Z441">
        <f>IF($A441="","",IF(AND($B441&gt;0,M441&lt;$B441,DATE($B$1,11,1)&lt;=TODAY(),OR($O441="",$O441&gt;=DATE($B$1,11,1)),OR(COUNTIF($C441:M441,"&gt;0")&gt;0,DATE($B$1,11,1)=DATE(YEAR(TODAY()),MONTH(TODAY()),1))),1,0))</f>
        <v/>
      </c>
      <c r="AA441">
        <f>IF($A441="","",IF(AND($B441&gt;0,N441&lt;$B441,DATE($B$1,12,1)&lt;=TODAY(),OR($O441="",$O441&gt;=DATE($B$1,12,1)),OR(COUNTIF($C441:N441,"&gt;0")&gt;0,DATE($B$1,12,1)=DATE(YEAR(TODAY()),MONTH(TODAY()),1))),1,0))</f>
        <v/>
      </c>
    </row>
    <row r="442">
      <c r="A442" s="13">
        <f>IF(원생!$A440="","",원생!$A440&amp;IF(원생!$G440="",""," ("&amp;원생!$G440&amp;")"))</f>
        <v/>
      </c>
      <c r="B442" s="8">
        <f>IF(원생!$A440="","",N(원생!$F440))</f>
        <v/>
      </c>
      <c r="C442" s="14">
        <f>IF(원생!$A440="","",SUMIFS(계산!$C:$C,계산!$A:$A,계산!$E440,계산!$B:$B,$B$1*100+1))</f>
        <v/>
      </c>
      <c r="D442" s="14">
        <f>IF(원생!$A440="","",SUMIFS(계산!$C:$C,계산!$A:$A,계산!$E440,계산!$B:$B,$B$1*100+2))</f>
        <v/>
      </c>
      <c r="E442" s="14">
        <f>IF(원생!$A440="","",SUMIFS(계산!$C:$C,계산!$A:$A,계산!$E440,계산!$B:$B,$B$1*100+3))</f>
        <v/>
      </c>
      <c r="F442" s="14">
        <f>IF(원생!$A440="","",SUMIFS(계산!$C:$C,계산!$A:$A,계산!$E440,계산!$B:$B,$B$1*100+4))</f>
        <v/>
      </c>
      <c r="G442" s="14">
        <f>IF(원생!$A440="","",SUMIFS(계산!$C:$C,계산!$A:$A,계산!$E440,계산!$B:$B,$B$1*100+5))</f>
        <v/>
      </c>
      <c r="H442" s="14">
        <f>IF(원생!$A440="","",SUMIFS(계산!$C:$C,계산!$A:$A,계산!$E440,계산!$B:$B,$B$1*100+6))</f>
        <v/>
      </c>
      <c r="I442" s="14">
        <f>IF(원생!$A440="","",SUMIFS(계산!$C:$C,계산!$A:$A,계산!$E440,계산!$B:$B,$B$1*100+7))</f>
        <v/>
      </c>
      <c r="J442" s="14">
        <f>IF(원생!$A440="","",SUMIFS(계산!$C:$C,계산!$A:$A,계산!$E440,계산!$B:$B,$B$1*100+8))</f>
        <v/>
      </c>
      <c r="K442" s="14">
        <f>IF(원생!$A440="","",SUMIFS(계산!$C:$C,계산!$A:$A,계산!$E440,계산!$B:$B,$B$1*100+9))</f>
        <v/>
      </c>
      <c r="L442" s="14">
        <f>IF(원생!$A440="","",SUMIFS(계산!$C:$C,계산!$A:$A,계산!$E440,계산!$B:$B,$B$1*100+10))</f>
        <v/>
      </c>
      <c r="M442" s="14">
        <f>IF(원생!$A440="","",SUMIFS(계산!$C:$C,계산!$A:$A,계산!$E440,계산!$B:$B,$B$1*100+11))</f>
        <v/>
      </c>
      <c r="N442" s="14">
        <f>IF(원생!$A440="","",SUMIFS(계산!$C:$C,계산!$A:$A,계산!$E440,계산!$B:$B,$B$1*100+12))</f>
        <v/>
      </c>
      <c r="O442">
        <f>IF(원생!$I440="","",원생!$I440)</f>
        <v/>
      </c>
      <c r="P442">
        <f>IF($A442="","",IF(AND($B442&gt;0,C442&lt;$B442,DATE($B$1,1,1)&lt;=TODAY(),OR($O442="",$O442&gt;=DATE($B$1,1,1)),OR(COUNTIF($C442:C442,"&gt;0")&gt;0,DATE($B$1,1,1)=DATE(YEAR(TODAY()),MONTH(TODAY()),1))),1,0))</f>
        <v/>
      </c>
      <c r="Q442">
        <f>IF($A442="","",IF(AND($B442&gt;0,D442&lt;$B442,DATE($B$1,2,1)&lt;=TODAY(),OR($O442="",$O442&gt;=DATE($B$1,2,1)),OR(COUNTIF($C442:D442,"&gt;0")&gt;0,DATE($B$1,2,1)=DATE(YEAR(TODAY()),MONTH(TODAY()),1))),1,0))</f>
        <v/>
      </c>
      <c r="R442">
        <f>IF($A442="","",IF(AND($B442&gt;0,E442&lt;$B442,DATE($B$1,3,1)&lt;=TODAY(),OR($O442="",$O442&gt;=DATE($B$1,3,1)),OR(COUNTIF($C442:E442,"&gt;0")&gt;0,DATE($B$1,3,1)=DATE(YEAR(TODAY()),MONTH(TODAY()),1))),1,0))</f>
        <v/>
      </c>
      <c r="S442">
        <f>IF($A442="","",IF(AND($B442&gt;0,F442&lt;$B442,DATE($B$1,4,1)&lt;=TODAY(),OR($O442="",$O442&gt;=DATE($B$1,4,1)),OR(COUNTIF($C442:F442,"&gt;0")&gt;0,DATE($B$1,4,1)=DATE(YEAR(TODAY()),MONTH(TODAY()),1))),1,0))</f>
        <v/>
      </c>
      <c r="T442">
        <f>IF($A442="","",IF(AND($B442&gt;0,G442&lt;$B442,DATE($B$1,5,1)&lt;=TODAY(),OR($O442="",$O442&gt;=DATE($B$1,5,1)),OR(COUNTIF($C442:G442,"&gt;0")&gt;0,DATE($B$1,5,1)=DATE(YEAR(TODAY()),MONTH(TODAY()),1))),1,0))</f>
        <v/>
      </c>
      <c r="U442">
        <f>IF($A442="","",IF(AND($B442&gt;0,H442&lt;$B442,DATE($B$1,6,1)&lt;=TODAY(),OR($O442="",$O442&gt;=DATE($B$1,6,1)),OR(COUNTIF($C442:H442,"&gt;0")&gt;0,DATE($B$1,6,1)=DATE(YEAR(TODAY()),MONTH(TODAY()),1))),1,0))</f>
        <v/>
      </c>
      <c r="V442">
        <f>IF($A442="","",IF(AND($B442&gt;0,I442&lt;$B442,DATE($B$1,7,1)&lt;=TODAY(),OR($O442="",$O442&gt;=DATE($B$1,7,1)),OR(COUNTIF($C442:I442,"&gt;0")&gt;0,DATE($B$1,7,1)=DATE(YEAR(TODAY()),MONTH(TODAY()),1))),1,0))</f>
        <v/>
      </c>
      <c r="W442">
        <f>IF($A442="","",IF(AND($B442&gt;0,J442&lt;$B442,DATE($B$1,8,1)&lt;=TODAY(),OR($O442="",$O442&gt;=DATE($B$1,8,1)),OR(COUNTIF($C442:J442,"&gt;0")&gt;0,DATE($B$1,8,1)=DATE(YEAR(TODAY()),MONTH(TODAY()),1))),1,0))</f>
        <v/>
      </c>
      <c r="X442">
        <f>IF($A442="","",IF(AND($B442&gt;0,K442&lt;$B442,DATE($B$1,9,1)&lt;=TODAY(),OR($O442="",$O442&gt;=DATE($B$1,9,1)),OR(COUNTIF($C442:K442,"&gt;0")&gt;0,DATE($B$1,9,1)=DATE(YEAR(TODAY()),MONTH(TODAY()),1))),1,0))</f>
        <v/>
      </c>
      <c r="Y442">
        <f>IF($A442="","",IF(AND($B442&gt;0,L442&lt;$B442,DATE($B$1,10,1)&lt;=TODAY(),OR($O442="",$O442&gt;=DATE($B$1,10,1)),OR(COUNTIF($C442:L442,"&gt;0")&gt;0,DATE($B$1,10,1)=DATE(YEAR(TODAY()),MONTH(TODAY()),1))),1,0))</f>
        <v/>
      </c>
      <c r="Z442">
        <f>IF($A442="","",IF(AND($B442&gt;0,M442&lt;$B442,DATE($B$1,11,1)&lt;=TODAY(),OR($O442="",$O442&gt;=DATE($B$1,11,1)),OR(COUNTIF($C442:M442,"&gt;0")&gt;0,DATE($B$1,11,1)=DATE(YEAR(TODAY()),MONTH(TODAY()),1))),1,0))</f>
        <v/>
      </c>
      <c r="AA442">
        <f>IF($A442="","",IF(AND($B442&gt;0,N442&lt;$B442,DATE($B$1,12,1)&lt;=TODAY(),OR($O442="",$O442&gt;=DATE($B$1,12,1)),OR(COUNTIF($C442:N442,"&gt;0")&gt;0,DATE($B$1,12,1)=DATE(YEAR(TODAY()),MONTH(TODAY()),1))),1,0))</f>
        <v/>
      </c>
    </row>
    <row r="443">
      <c r="A443" s="13">
        <f>IF(원생!$A441="","",원생!$A441&amp;IF(원생!$G441="",""," ("&amp;원생!$G441&amp;")"))</f>
        <v/>
      </c>
      <c r="B443" s="8">
        <f>IF(원생!$A441="","",N(원생!$F441))</f>
        <v/>
      </c>
      <c r="C443" s="14">
        <f>IF(원생!$A441="","",SUMIFS(계산!$C:$C,계산!$A:$A,계산!$E441,계산!$B:$B,$B$1*100+1))</f>
        <v/>
      </c>
      <c r="D443" s="14">
        <f>IF(원생!$A441="","",SUMIFS(계산!$C:$C,계산!$A:$A,계산!$E441,계산!$B:$B,$B$1*100+2))</f>
        <v/>
      </c>
      <c r="E443" s="14">
        <f>IF(원생!$A441="","",SUMIFS(계산!$C:$C,계산!$A:$A,계산!$E441,계산!$B:$B,$B$1*100+3))</f>
        <v/>
      </c>
      <c r="F443" s="14">
        <f>IF(원생!$A441="","",SUMIFS(계산!$C:$C,계산!$A:$A,계산!$E441,계산!$B:$B,$B$1*100+4))</f>
        <v/>
      </c>
      <c r="G443" s="14">
        <f>IF(원생!$A441="","",SUMIFS(계산!$C:$C,계산!$A:$A,계산!$E441,계산!$B:$B,$B$1*100+5))</f>
        <v/>
      </c>
      <c r="H443" s="14">
        <f>IF(원생!$A441="","",SUMIFS(계산!$C:$C,계산!$A:$A,계산!$E441,계산!$B:$B,$B$1*100+6))</f>
        <v/>
      </c>
      <c r="I443" s="14">
        <f>IF(원생!$A441="","",SUMIFS(계산!$C:$C,계산!$A:$A,계산!$E441,계산!$B:$B,$B$1*100+7))</f>
        <v/>
      </c>
      <c r="J443" s="14">
        <f>IF(원생!$A441="","",SUMIFS(계산!$C:$C,계산!$A:$A,계산!$E441,계산!$B:$B,$B$1*100+8))</f>
        <v/>
      </c>
      <c r="K443" s="14">
        <f>IF(원생!$A441="","",SUMIFS(계산!$C:$C,계산!$A:$A,계산!$E441,계산!$B:$B,$B$1*100+9))</f>
        <v/>
      </c>
      <c r="L443" s="14">
        <f>IF(원생!$A441="","",SUMIFS(계산!$C:$C,계산!$A:$A,계산!$E441,계산!$B:$B,$B$1*100+10))</f>
        <v/>
      </c>
      <c r="M443" s="14">
        <f>IF(원생!$A441="","",SUMIFS(계산!$C:$C,계산!$A:$A,계산!$E441,계산!$B:$B,$B$1*100+11))</f>
        <v/>
      </c>
      <c r="N443" s="14">
        <f>IF(원생!$A441="","",SUMIFS(계산!$C:$C,계산!$A:$A,계산!$E441,계산!$B:$B,$B$1*100+12))</f>
        <v/>
      </c>
      <c r="O443">
        <f>IF(원생!$I441="","",원생!$I441)</f>
        <v/>
      </c>
      <c r="P443">
        <f>IF($A443="","",IF(AND($B443&gt;0,C443&lt;$B443,DATE($B$1,1,1)&lt;=TODAY(),OR($O443="",$O443&gt;=DATE($B$1,1,1)),OR(COUNTIF($C443:C443,"&gt;0")&gt;0,DATE($B$1,1,1)=DATE(YEAR(TODAY()),MONTH(TODAY()),1))),1,0))</f>
        <v/>
      </c>
      <c r="Q443">
        <f>IF($A443="","",IF(AND($B443&gt;0,D443&lt;$B443,DATE($B$1,2,1)&lt;=TODAY(),OR($O443="",$O443&gt;=DATE($B$1,2,1)),OR(COUNTIF($C443:D443,"&gt;0")&gt;0,DATE($B$1,2,1)=DATE(YEAR(TODAY()),MONTH(TODAY()),1))),1,0))</f>
        <v/>
      </c>
      <c r="R443">
        <f>IF($A443="","",IF(AND($B443&gt;0,E443&lt;$B443,DATE($B$1,3,1)&lt;=TODAY(),OR($O443="",$O443&gt;=DATE($B$1,3,1)),OR(COUNTIF($C443:E443,"&gt;0")&gt;0,DATE($B$1,3,1)=DATE(YEAR(TODAY()),MONTH(TODAY()),1))),1,0))</f>
        <v/>
      </c>
      <c r="S443">
        <f>IF($A443="","",IF(AND($B443&gt;0,F443&lt;$B443,DATE($B$1,4,1)&lt;=TODAY(),OR($O443="",$O443&gt;=DATE($B$1,4,1)),OR(COUNTIF($C443:F443,"&gt;0")&gt;0,DATE($B$1,4,1)=DATE(YEAR(TODAY()),MONTH(TODAY()),1))),1,0))</f>
        <v/>
      </c>
      <c r="T443">
        <f>IF($A443="","",IF(AND($B443&gt;0,G443&lt;$B443,DATE($B$1,5,1)&lt;=TODAY(),OR($O443="",$O443&gt;=DATE($B$1,5,1)),OR(COUNTIF($C443:G443,"&gt;0")&gt;0,DATE($B$1,5,1)=DATE(YEAR(TODAY()),MONTH(TODAY()),1))),1,0))</f>
        <v/>
      </c>
      <c r="U443">
        <f>IF($A443="","",IF(AND($B443&gt;0,H443&lt;$B443,DATE($B$1,6,1)&lt;=TODAY(),OR($O443="",$O443&gt;=DATE($B$1,6,1)),OR(COUNTIF($C443:H443,"&gt;0")&gt;0,DATE($B$1,6,1)=DATE(YEAR(TODAY()),MONTH(TODAY()),1))),1,0))</f>
        <v/>
      </c>
      <c r="V443">
        <f>IF($A443="","",IF(AND($B443&gt;0,I443&lt;$B443,DATE($B$1,7,1)&lt;=TODAY(),OR($O443="",$O443&gt;=DATE($B$1,7,1)),OR(COUNTIF($C443:I443,"&gt;0")&gt;0,DATE($B$1,7,1)=DATE(YEAR(TODAY()),MONTH(TODAY()),1))),1,0))</f>
        <v/>
      </c>
      <c r="W443">
        <f>IF($A443="","",IF(AND($B443&gt;0,J443&lt;$B443,DATE($B$1,8,1)&lt;=TODAY(),OR($O443="",$O443&gt;=DATE($B$1,8,1)),OR(COUNTIF($C443:J443,"&gt;0")&gt;0,DATE($B$1,8,1)=DATE(YEAR(TODAY()),MONTH(TODAY()),1))),1,0))</f>
        <v/>
      </c>
      <c r="X443">
        <f>IF($A443="","",IF(AND($B443&gt;0,K443&lt;$B443,DATE($B$1,9,1)&lt;=TODAY(),OR($O443="",$O443&gt;=DATE($B$1,9,1)),OR(COUNTIF($C443:K443,"&gt;0")&gt;0,DATE($B$1,9,1)=DATE(YEAR(TODAY()),MONTH(TODAY()),1))),1,0))</f>
        <v/>
      </c>
      <c r="Y443">
        <f>IF($A443="","",IF(AND($B443&gt;0,L443&lt;$B443,DATE($B$1,10,1)&lt;=TODAY(),OR($O443="",$O443&gt;=DATE($B$1,10,1)),OR(COUNTIF($C443:L443,"&gt;0")&gt;0,DATE($B$1,10,1)=DATE(YEAR(TODAY()),MONTH(TODAY()),1))),1,0))</f>
        <v/>
      </c>
      <c r="Z443">
        <f>IF($A443="","",IF(AND($B443&gt;0,M443&lt;$B443,DATE($B$1,11,1)&lt;=TODAY(),OR($O443="",$O443&gt;=DATE($B$1,11,1)),OR(COUNTIF($C443:M443,"&gt;0")&gt;0,DATE($B$1,11,1)=DATE(YEAR(TODAY()),MONTH(TODAY()),1))),1,0))</f>
        <v/>
      </c>
      <c r="AA443">
        <f>IF($A443="","",IF(AND($B443&gt;0,N443&lt;$B443,DATE($B$1,12,1)&lt;=TODAY(),OR($O443="",$O443&gt;=DATE($B$1,12,1)),OR(COUNTIF($C443:N443,"&gt;0")&gt;0,DATE($B$1,12,1)=DATE(YEAR(TODAY()),MONTH(TODAY()),1))),1,0))</f>
        <v/>
      </c>
    </row>
    <row r="444">
      <c r="A444" s="13">
        <f>IF(원생!$A442="","",원생!$A442&amp;IF(원생!$G442="",""," ("&amp;원생!$G442&amp;")"))</f>
        <v/>
      </c>
      <c r="B444" s="8">
        <f>IF(원생!$A442="","",N(원생!$F442))</f>
        <v/>
      </c>
      <c r="C444" s="14">
        <f>IF(원생!$A442="","",SUMIFS(계산!$C:$C,계산!$A:$A,계산!$E442,계산!$B:$B,$B$1*100+1))</f>
        <v/>
      </c>
      <c r="D444" s="14">
        <f>IF(원생!$A442="","",SUMIFS(계산!$C:$C,계산!$A:$A,계산!$E442,계산!$B:$B,$B$1*100+2))</f>
        <v/>
      </c>
      <c r="E444" s="14">
        <f>IF(원생!$A442="","",SUMIFS(계산!$C:$C,계산!$A:$A,계산!$E442,계산!$B:$B,$B$1*100+3))</f>
        <v/>
      </c>
      <c r="F444" s="14">
        <f>IF(원생!$A442="","",SUMIFS(계산!$C:$C,계산!$A:$A,계산!$E442,계산!$B:$B,$B$1*100+4))</f>
        <v/>
      </c>
      <c r="G444" s="14">
        <f>IF(원생!$A442="","",SUMIFS(계산!$C:$C,계산!$A:$A,계산!$E442,계산!$B:$B,$B$1*100+5))</f>
        <v/>
      </c>
      <c r="H444" s="14">
        <f>IF(원생!$A442="","",SUMIFS(계산!$C:$C,계산!$A:$A,계산!$E442,계산!$B:$B,$B$1*100+6))</f>
        <v/>
      </c>
      <c r="I444" s="14">
        <f>IF(원생!$A442="","",SUMIFS(계산!$C:$C,계산!$A:$A,계산!$E442,계산!$B:$B,$B$1*100+7))</f>
        <v/>
      </c>
      <c r="J444" s="14">
        <f>IF(원생!$A442="","",SUMIFS(계산!$C:$C,계산!$A:$A,계산!$E442,계산!$B:$B,$B$1*100+8))</f>
        <v/>
      </c>
      <c r="K444" s="14">
        <f>IF(원생!$A442="","",SUMIFS(계산!$C:$C,계산!$A:$A,계산!$E442,계산!$B:$B,$B$1*100+9))</f>
        <v/>
      </c>
      <c r="L444" s="14">
        <f>IF(원생!$A442="","",SUMIFS(계산!$C:$C,계산!$A:$A,계산!$E442,계산!$B:$B,$B$1*100+10))</f>
        <v/>
      </c>
      <c r="M444" s="14">
        <f>IF(원생!$A442="","",SUMIFS(계산!$C:$C,계산!$A:$A,계산!$E442,계산!$B:$B,$B$1*100+11))</f>
        <v/>
      </c>
      <c r="N444" s="14">
        <f>IF(원생!$A442="","",SUMIFS(계산!$C:$C,계산!$A:$A,계산!$E442,계산!$B:$B,$B$1*100+12))</f>
        <v/>
      </c>
      <c r="O444">
        <f>IF(원생!$I442="","",원생!$I442)</f>
        <v/>
      </c>
      <c r="P444">
        <f>IF($A444="","",IF(AND($B444&gt;0,C444&lt;$B444,DATE($B$1,1,1)&lt;=TODAY(),OR($O444="",$O444&gt;=DATE($B$1,1,1)),OR(COUNTIF($C444:C444,"&gt;0")&gt;0,DATE($B$1,1,1)=DATE(YEAR(TODAY()),MONTH(TODAY()),1))),1,0))</f>
        <v/>
      </c>
      <c r="Q444">
        <f>IF($A444="","",IF(AND($B444&gt;0,D444&lt;$B444,DATE($B$1,2,1)&lt;=TODAY(),OR($O444="",$O444&gt;=DATE($B$1,2,1)),OR(COUNTIF($C444:D444,"&gt;0")&gt;0,DATE($B$1,2,1)=DATE(YEAR(TODAY()),MONTH(TODAY()),1))),1,0))</f>
        <v/>
      </c>
      <c r="R444">
        <f>IF($A444="","",IF(AND($B444&gt;0,E444&lt;$B444,DATE($B$1,3,1)&lt;=TODAY(),OR($O444="",$O444&gt;=DATE($B$1,3,1)),OR(COUNTIF($C444:E444,"&gt;0")&gt;0,DATE($B$1,3,1)=DATE(YEAR(TODAY()),MONTH(TODAY()),1))),1,0))</f>
        <v/>
      </c>
      <c r="S444">
        <f>IF($A444="","",IF(AND($B444&gt;0,F444&lt;$B444,DATE($B$1,4,1)&lt;=TODAY(),OR($O444="",$O444&gt;=DATE($B$1,4,1)),OR(COUNTIF($C444:F444,"&gt;0")&gt;0,DATE($B$1,4,1)=DATE(YEAR(TODAY()),MONTH(TODAY()),1))),1,0))</f>
        <v/>
      </c>
      <c r="T444">
        <f>IF($A444="","",IF(AND($B444&gt;0,G444&lt;$B444,DATE($B$1,5,1)&lt;=TODAY(),OR($O444="",$O444&gt;=DATE($B$1,5,1)),OR(COUNTIF($C444:G444,"&gt;0")&gt;0,DATE($B$1,5,1)=DATE(YEAR(TODAY()),MONTH(TODAY()),1))),1,0))</f>
        <v/>
      </c>
      <c r="U444">
        <f>IF($A444="","",IF(AND($B444&gt;0,H444&lt;$B444,DATE($B$1,6,1)&lt;=TODAY(),OR($O444="",$O444&gt;=DATE($B$1,6,1)),OR(COUNTIF($C444:H444,"&gt;0")&gt;0,DATE($B$1,6,1)=DATE(YEAR(TODAY()),MONTH(TODAY()),1))),1,0))</f>
        <v/>
      </c>
      <c r="V444">
        <f>IF($A444="","",IF(AND($B444&gt;0,I444&lt;$B444,DATE($B$1,7,1)&lt;=TODAY(),OR($O444="",$O444&gt;=DATE($B$1,7,1)),OR(COUNTIF($C444:I444,"&gt;0")&gt;0,DATE($B$1,7,1)=DATE(YEAR(TODAY()),MONTH(TODAY()),1))),1,0))</f>
        <v/>
      </c>
      <c r="W444">
        <f>IF($A444="","",IF(AND($B444&gt;0,J444&lt;$B444,DATE($B$1,8,1)&lt;=TODAY(),OR($O444="",$O444&gt;=DATE($B$1,8,1)),OR(COUNTIF($C444:J444,"&gt;0")&gt;0,DATE($B$1,8,1)=DATE(YEAR(TODAY()),MONTH(TODAY()),1))),1,0))</f>
        <v/>
      </c>
      <c r="X444">
        <f>IF($A444="","",IF(AND($B444&gt;0,K444&lt;$B444,DATE($B$1,9,1)&lt;=TODAY(),OR($O444="",$O444&gt;=DATE($B$1,9,1)),OR(COUNTIF($C444:K444,"&gt;0")&gt;0,DATE($B$1,9,1)=DATE(YEAR(TODAY()),MONTH(TODAY()),1))),1,0))</f>
        <v/>
      </c>
      <c r="Y444">
        <f>IF($A444="","",IF(AND($B444&gt;0,L444&lt;$B444,DATE($B$1,10,1)&lt;=TODAY(),OR($O444="",$O444&gt;=DATE($B$1,10,1)),OR(COUNTIF($C444:L444,"&gt;0")&gt;0,DATE($B$1,10,1)=DATE(YEAR(TODAY()),MONTH(TODAY()),1))),1,0))</f>
        <v/>
      </c>
      <c r="Z444">
        <f>IF($A444="","",IF(AND($B444&gt;0,M444&lt;$B444,DATE($B$1,11,1)&lt;=TODAY(),OR($O444="",$O444&gt;=DATE($B$1,11,1)),OR(COUNTIF($C444:M444,"&gt;0")&gt;0,DATE($B$1,11,1)=DATE(YEAR(TODAY()),MONTH(TODAY()),1))),1,0))</f>
        <v/>
      </c>
      <c r="AA444">
        <f>IF($A444="","",IF(AND($B444&gt;0,N444&lt;$B444,DATE($B$1,12,1)&lt;=TODAY(),OR($O444="",$O444&gt;=DATE($B$1,12,1)),OR(COUNTIF($C444:N444,"&gt;0")&gt;0,DATE($B$1,12,1)=DATE(YEAR(TODAY()),MONTH(TODAY()),1))),1,0))</f>
        <v/>
      </c>
    </row>
    <row r="445">
      <c r="A445" s="13">
        <f>IF(원생!$A443="","",원생!$A443&amp;IF(원생!$G443="",""," ("&amp;원생!$G443&amp;")"))</f>
        <v/>
      </c>
      <c r="B445" s="8">
        <f>IF(원생!$A443="","",N(원생!$F443))</f>
        <v/>
      </c>
      <c r="C445" s="14">
        <f>IF(원생!$A443="","",SUMIFS(계산!$C:$C,계산!$A:$A,계산!$E443,계산!$B:$B,$B$1*100+1))</f>
        <v/>
      </c>
      <c r="D445" s="14">
        <f>IF(원생!$A443="","",SUMIFS(계산!$C:$C,계산!$A:$A,계산!$E443,계산!$B:$B,$B$1*100+2))</f>
        <v/>
      </c>
      <c r="E445" s="14">
        <f>IF(원생!$A443="","",SUMIFS(계산!$C:$C,계산!$A:$A,계산!$E443,계산!$B:$B,$B$1*100+3))</f>
        <v/>
      </c>
      <c r="F445" s="14">
        <f>IF(원생!$A443="","",SUMIFS(계산!$C:$C,계산!$A:$A,계산!$E443,계산!$B:$B,$B$1*100+4))</f>
        <v/>
      </c>
      <c r="G445" s="14">
        <f>IF(원생!$A443="","",SUMIFS(계산!$C:$C,계산!$A:$A,계산!$E443,계산!$B:$B,$B$1*100+5))</f>
        <v/>
      </c>
      <c r="H445" s="14">
        <f>IF(원생!$A443="","",SUMIFS(계산!$C:$C,계산!$A:$A,계산!$E443,계산!$B:$B,$B$1*100+6))</f>
        <v/>
      </c>
      <c r="I445" s="14">
        <f>IF(원생!$A443="","",SUMIFS(계산!$C:$C,계산!$A:$A,계산!$E443,계산!$B:$B,$B$1*100+7))</f>
        <v/>
      </c>
      <c r="J445" s="14">
        <f>IF(원생!$A443="","",SUMIFS(계산!$C:$C,계산!$A:$A,계산!$E443,계산!$B:$B,$B$1*100+8))</f>
        <v/>
      </c>
      <c r="K445" s="14">
        <f>IF(원생!$A443="","",SUMIFS(계산!$C:$C,계산!$A:$A,계산!$E443,계산!$B:$B,$B$1*100+9))</f>
        <v/>
      </c>
      <c r="L445" s="14">
        <f>IF(원생!$A443="","",SUMIFS(계산!$C:$C,계산!$A:$A,계산!$E443,계산!$B:$B,$B$1*100+10))</f>
        <v/>
      </c>
      <c r="M445" s="14">
        <f>IF(원생!$A443="","",SUMIFS(계산!$C:$C,계산!$A:$A,계산!$E443,계산!$B:$B,$B$1*100+11))</f>
        <v/>
      </c>
      <c r="N445" s="14">
        <f>IF(원생!$A443="","",SUMIFS(계산!$C:$C,계산!$A:$A,계산!$E443,계산!$B:$B,$B$1*100+12))</f>
        <v/>
      </c>
      <c r="O445">
        <f>IF(원생!$I443="","",원생!$I443)</f>
        <v/>
      </c>
      <c r="P445">
        <f>IF($A445="","",IF(AND($B445&gt;0,C445&lt;$B445,DATE($B$1,1,1)&lt;=TODAY(),OR($O445="",$O445&gt;=DATE($B$1,1,1)),OR(COUNTIF($C445:C445,"&gt;0")&gt;0,DATE($B$1,1,1)=DATE(YEAR(TODAY()),MONTH(TODAY()),1))),1,0))</f>
        <v/>
      </c>
      <c r="Q445">
        <f>IF($A445="","",IF(AND($B445&gt;0,D445&lt;$B445,DATE($B$1,2,1)&lt;=TODAY(),OR($O445="",$O445&gt;=DATE($B$1,2,1)),OR(COUNTIF($C445:D445,"&gt;0")&gt;0,DATE($B$1,2,1)=DATE(YEAR(TODAY()),MONTH(TODAY()),1))),1,0))</f>
        <v/>
      </c>
      <c r="R445">
        <f>IF($A445="","",IF(AND($B445&gt;0,E445&lt;$B445,DATE($B$1,3,1)&lt;=TODAY(),OR($O445="",$O445&gt;=DATE($B$1,3,1)),OR(COUNTIF($C445:E445,"&gt;0")&gt;0,DATE($B$1,3,1)=DATE(YEAR(TODAY()),MONTH(TODAY()),1))),1,0))</f>
        <v/>
      </c>
      <c r="S445">
        <f>IF($A445="","",IF(AND($B445&gt;0,F445&lt;$B445,DATE($B$1,4,1)&lt;=TODAY(),OR($O445="",$O445&gt;=DATE($B$1,4,1)),OR(COUNTIF($C445:F445,"&gt;0")&gt;0,DATE($B$1,4,1)=DATE(YEAR(TODAY()),MONTH(TODAY()),1))),1,0))</f>
        <v/>
      </c>
      <c r="T445">
        <f>IF($A445="","",IF(AND($B445&gt;0,G445&lt;$B445,DATE($B$1,5,1)&lt;=TODAY(),OR($O445="",$O445&gt;=DATE($B$1,5,1)),OR(COUNTIF($C445:G445,"&gt;0")&gt;0,DATE($B$1,5,1)=DATE(YEAR(TODAY()),MONTH(TODAY()),1))),1,0))</f>
        <v/>
      </c>
      <c r="U445">
        <f>IF($A445="","",IF(AND($B445&gt;0,H445&lt;$B445,DATE($B$1,6,1)&lt;=TODAY(),OR($O445="",$O445&gt;=DATE($B$1,6,1)),OR(COUNTIF($C445:H445,"&gt;0")&gt;0,DATE($B$1,6,1)=DATE(YEAR(TODAY()),MONTH(TODAY()),1))),1,0))</f>
        <v/>
      </c>
      <c r="V445">
        <f>IF($A445="","",IF(AND($B445&gt;0,I445&lt;$B445,DATE($B$1,7,1)&lt;=TODAY(),OR($O445="",$O445&gt;=DATE($B$1,7,1)),OR(COUNTIF($C445:I445,"&gt;0")&gt;0,DATE($B$1,7,1)=DATE(YEAR(TODAY()),MONTH(TODAY()),1))),1,0))</f>
        <v/>
      </c>
      <c r="W445">
        <f>IF($A445="","",IF(AND($B445&gt;0,J445&lt;$B445,DATE($B$1,8,1)&lt;=TODAY(),OR($O445="",$O445&gt;=DATE($B$1,8,1)),OR(COUNTIF($C445:J445,"&gt;0")&gt;0,DATE($B$1,8,1)=DATE(YEAR(TODAY()),MONTH(TODAY()),1))),1,0))</f>
        <v/>
      </c>
      <c r="X445">
        <f>IF($A445="","",IF(AND($B445&gt;0,K445&lt;$B445,DATE($B$1,9,1)&lt;=TODAY(),OR($O445="",$O445&gt;=DATE($B$1,9,1)),OR(COUNTIF($C445:K445,"&gt;0")&gt;0,DATE($B$1,9,1)=DATE(YEAR(TODAY()),MONTH(TODAY()),1))),1,0))</f>
        <v/>
      </c>
      <c r="Y445">
        <f>IF($A445="","",IF(AND($B445&gt;0,L445&lt;$B445,DATE($B$1,10,1)&lt;=TODAY(),OR($O445="",$O445&gt;=DATE($B$1,10,1)),OR(COUNTIF($C445:L445,"&gt;0")&gt;0,DATE($B$1,10,1)=DATE(YEAR(TODAY()),MONTH(TODAY()),1))),1,0))</f>
        <v/>
      </c>
      <c r="Z445">
        <f>IF($A445="","",IF(AND($B445&gt;0,M445&lt;$B445,DATE($B$1,11,1)&lt;=TODAY(),OR($O445="",$O445&gt;=DATE($B$1,11,1)),OR(COUNTIF($C445:M445,"&gt;0")&gt;0,DATE($B$1,11,1)=DATE(YEAR(TODAY()),MONTH(TODAY()),1))),1,0))</f>
        <v/>
      </c>
      <c r="AA445">
        <f>IF($A445="","",IF(AND($B445&gt;0,N445&lt;$B445,DATE($B$1,12,1)&lt;=TODAY(),OR($O445="",$O445&gt;=DATE($B$1,12,1)),OR(COUNTIF($C445:N445,"&gt;0")&gt;0,DATE($B$1,12,1)=DATE(YEAR(TODAY()),MONTH(TODAY()),1))),1,0))</f>
        <v/>
      </c>
    </row>
    <row r="446">
      <c r="A446" s="13">
        <f>IF(원생!$A444="","",원생!$A444&amp;IF(원생!$G444="",""," ("&amp;원생!$G444&amp;")"))</f>
        <v/>
      </c>
      <c r="B446" s="8">
        <f>IF(원생!$A444="","",N(원생!$F444))</f>
        <v/>
      </c>
      <c r="C446" s="14">
        <f>IF(원생!$A444="","",SUMIFS(계산!$C:$C,계산!$A:$A,계산!$E444,계산!$B:$B,$B$1*100+1))</f>
        <v/>
      </c>
      <c r="D446" s="14">
        <f>IF(원생!$A444="","",SUMIFS(계산!$C:$C,계산!$A:$A,계산!$E444,계산!$B:$B,$B$1*100+2))</f>
        <v/>
      </c>
      <c r="E446" s="14">
        <f>IF(원생!$A444="","",SUMIFS(계산!$C:$C,계산!$A:$A,계산!$E444,계산!$B:$B,$B$1*100+3))</f>
        <v/>
      </c>
      <c r="F446" s="14">
        <f>IF(원생!$A444="","",SUMIFS(계산!$C:$C,계산!$A:$A,계산!$E444,계산!$B:$B,$B$1*100+4))</f>
        <v/>
      </c>
      <c r="G446" s="14">
        <f>IF(원생!$A444="","",SUMIFS(계산!$C:$C,계산!$A:$A,계산!$E444,계산!$B:$B,$B$1*100+5))</f>
        <v/>
      </c>
      <c r="H446" s="14">
        <f>IF(원생!$A444="","",SUMIFS(계산!$C:$C,계산!$A:$A,계산!$E444,계산!$B:$B,$B$1*100+6))</f>
        <v/>
      </c>
      <c r="I446" s="14">
        <f>IF(원생!$A444="","",SUMIFS(계산!$C:$C,계산!$A:$A,계산!$E444,계산!$B:$B,$B$1*100+7))</f>
        <v/>
      </c>
      <c r="J446" s="14">
        <f>IF(원생!$A444="","",SUMIFS(계산!$C:$C,계산!$A:$A,계산!$E444,계산!$B:$B,$B$1*100+8))</f>
        <v/>
      </c>
      <c r="K446" s="14">
        <f>IF(원생!$A444="","",SUMIFS(계산!$C:$C,계산!$A:$A,계산!$E444,계산!$B:$B,$B$1*100+9))</f>
        <v/>
      </c>
      <c r="L446" s="14">
        <f>IF(원생!$A444="","",SUMIFS(계산!$C:$C,계산!$A:$A,계산!$E444,계산!$B:$B,$B$1*100+10))</f>
        <v/>
      </c>
      <c r="M446" s="14">
        <f>IF(원생!$A444="","",SUMIFS(계산!$C:$C,계산!$A:$A,계산!$E444,계산!$B:$B,$B$1*100+11))</f>
        <v/>
      </c>
      <c r="N446" s="14">
        <f>IF(원생!$A444="","",SUMIFS(계산!$C:$C,계산!$A:$A,계산!$E444,계산!$B:$B,$B$1*100+12))</f>
        <v/>
      </c>
      <c r="O446">
        <f>IF(원생!$I444="","",원생!$I444)</f>
        <v/>
      </c>
      <c r="P446">
        <f>IF($A446="","",IF(AND($B446&gt;0,C446&lt;$B446,DATE($B$1,1,1)&lt;=TODAY(),OR($O446="",$O446&gt;=DATE($B$1,1,1)),OR(COUNTIF($C446:C446,"&gt;0")&gt;0,DATE($B$1,1,1)=DATE(YEAR(TODAY()),MONTH(TODAY()),1))),1,0))</f>
        <v/>
      </c>
      <c r="Q446">
        <f>IF($A446="","",IF(AND($B446&gt;0,D446&lt;$B446,DATE($B$1,2,1)&lt;=TODAY(),OR($O446="",$O446&gt;=DATE($B$1,2,1)),OR(COUNTIF($C446:D446,"&gt;0")&gt;0,DATE($B$1,2,1)=DATE(YEAR(TODAY()),MONTH(TODAY()),1))),1,0))</f>
        <v/>
      </c>
      <c r="R446">
        <f>IF($A446="","",IF(AND($B446&gt;0,E446&lt;$B446,DATE($B$1,3,1)&lt;=TODAY(),OR($O446="",$O446&gt;=DATE($B$1,3,1)),OR(COUNTIF($C446:E446,"&gt;0")&gt;0,DATE($B$1,3,1)=DATE(YEAR(TODAY()),MONTH(TODAY()),1))),1,0))</f>
        <v/>
      </c>
      <c r="S446">
        <f>IF($A446="","",IF(AND($B446&gt;0,F446&lt;$B446,DATE($B$1,4,1)&lt;=TODAY(),OR($O446="",$O446&gt;=DATE($B$1,4,1)),OR(COUNTIF($C446:F446,"&gt;0")&gt;0,DATE($B$1,4,1)=DATE(YEAR(TODAY()),MONTH(TODAY()),1))),1,0))</f>
        <v/>
      </c>
      <c r="T446">
        <f>IF($A446="","",IF(AND($B446&gt;0,G446&lt;$B446,DATE($B$1,5,1)&lt;=TODAY(),OR($O446="",$O446&gt;=DATE($B$1,5,1)),OR(COUNTIF($C446:G446,"&gt;0")&gt;0,DATE($B$1,5,1)=DATE(YEAR(TODAY()),MONTH(TODAY()),1))),1,0))</f>
        <v/>
      </c>
      <c r="U446">
        <f>IF($A446="","",IF(AND($B446&gt;0,H446&lt;$B446,DATE($B$1,6,1)&lt;=TODAY(),OR($O446="",$O446&gt;=DATE($B$1,6,1)),OR(COUNTIF($C446:H446,"&gt;0")&gt;0,DATE($B$1,6,1)=DATE(YEAR(TODAY()),MONTH(TODAY()),1))),1,0))</f>
        <v/>
      </c>
      <c r="V446">
        <f>IF($A446="","",IF(AND($B446&gt;0,I446&lt;$B446,DATE($B$1,7,1)&lt;=TODAY(),OR($O446="",$O446&gt;=DATE($B$1,7,1)),OR(COUNTIF($C446:I446,"&gt;0")&gt;0,DATE($B$1,7,1)=DATE(YEAR(TODAY()),MONTH(TODAY()),1))),1,0))</f>
        <v/>
      </c>
      <c r="W446">
        <f>IF($A446="","",IF(AND($B446&gt;0,J446&lt;$B446,DATE($B$1,8,1)&lt;=TODAY(),OR($O446="",$O446&gt;=DATE($B$1,8,1)),OR(COUNTIF($C446:J446,"&gt;0")&gt;0,DATE($B$1,8,1)=DATE(YEAR(TODAY()),MONTH(TODAY()),1))),1,0))</f>
        <v/>
      </c>
      <c r="X446">
        <f>IF($A446="","",IF(AND($B446&gt;0,K446&lt;$B446,DATE($B$1,9,1)&lt;=TODAY(),OR($O446="",$O446&gt;=DATE($B$1,9,1)),OR(COUNTIF($C446:K446,"&gt;0")&gt;0,DATE($B$1,9,1)=DATE(YEAR(TODAY()),MONTH(TODAY()),1))),1,0))</f>
        <v/>
      </c>
      <c r="Y446">
        <f>IF($A446="","",IF(AND($B446&gt;0,L446&lt;$B446,DATE($B$1,10,1)&lt;=TODAY(),OR($O446="",$O446&gt;=DATE($B$1,10,1)),OR(COUNTIF($C446:L446,"&gt;0")&gt;0,DATE($B$1,10,1)=DATE(YEAR(TODAY()),MONTH(TODAY()),1))),1,0))</f>
        <v/>
      </c>
      <c r="Z446">
        <f>IF($A446="","",IF(AND($B446&gt;0,M446&lt;$B446,DATE($B$1,11,1)&lt;=TODAY(),OR($O446="",$O446&gt;=DATE($B$1,11,1)),OR(COUNTIF($C446:M446,"&gt;0")&gt;0,DATE($B$1,11,1)=DATE(YEAR(TODAY()),MONTH(TODAY()),1))),1,0))</f>
        <v/>
      </c>
      <c r="AA446">
        <f>IF($A446="","",IF(AND($B446&gt;0,N446&lt;$B446,DATE($B$1,12,1)&lt;=TODAY(),OR($O446="",$O446&gt;=DATE($B$1,12,1)),OR(COUNTIF($C446:N446,"&gt;0")&gt;0,DATE($B$1,12,1)=DATE(YEAR(TODAY()),MONTH(TODAY()),1))),1,0))</f>
        <v/>
      </c>
    </row>
    <row r="447">
      <c r="A447" s="13">
        <f>IF(원생!$A445="","",원생!$A445&amp;IF(원생!$G445="",""," ("&amp;원생!$G445&amp;")"))</f>
        <v/>
      </c>
      <c r="B447" s="8">
        <f>IF(원생!$A445="","",N(원생!$F445))</f>
        <v/>
      </c>
      <c r="C447" s="14">
        <f>IF(원생!$A445="","",SUMIFS(계산!$C:$C,계산!$A:$A,계산!$E445,계산!$B:$B,$B$1*100+1))</f>
        <v/>
      </c>
      <c r="D447" s="14">
        <f>IF(원생!$A445="","",SUMIFS(계산!$C:$C,계산!$A:$A,계산!$E445,계산!$B:$B,$B$1*100+2))</f>
        <v/>
      </c>
      <c r="E447" s="14">
        <f>IF(원생!$A445="","",SUMIFS(계산!$C:$C,계산!$A:$A,계산!$E445,계산!$B:$B,$B$1*100+3))</f>
        <v/>
      </c>
      <c r="F447" s="14">
        <f>IF(원생!$A445="","",SUMIFS(계산!$C:$C,계산!$A:$A,계산!$E445,계산!$B:$B,$B$1*100+4))</f>
        <v/>
      </c>
      <c r="G447" s="14">
        <f>IF(원생!$A445="","",SUMIFS(계산!$C:$C,계산!$A:$A,계산!$E445,계산!$B:$B,$B$1*100+5))</f>
        <v/>
      </c>
      <c r="H447" s="14">
        <f>IF(원생!$A445="","",SUMIFS(계산!$C:$C,계산!$A:$A,계산!$E445,계산!$B:$B,$B$1*100+6))</f>
        <v/>
      </c>
      <c r="I447" s="14">
        <f>IF(원생!$A445="","",SUMIFS(계산!$C:$C,계산!$A:$A,계산!$E445,계산!$B:$B,$B$1*100+7))</f>
        <v/>
      </c>
      <c r="J447" s="14">
        <f>IF(원생!$A445="","",SUMIFS(계산!$C:$C,계산!$A:$A,계산!$E445,계산!$B:$B,$B$1*100+8))</f>
        <v/>
      </c>
      <c r="K447" s="14">
        <f>IF(원생!$A445="","",SUMIFS(계산!$C:$C,계산!$A:$A,계산!$E445,계산!$B:$B,$B$1*100+9))</f>
        <v/>
      </c>
      <c r="L447" s="14">
        <f>IF(원생!$A445="","",SUMIFS(계산!$C:$C,계산!$A:$A,계산!$E445,계산!$B:$B,$B$1*100+10))</f>
        <v/>
      </c>
      <c r="M447" s="14">
        <f>IF(원생!$A445="","",SUMIFS(계산!$C:$C,계산!$A:$A,계산!$E445,계산!$B:$B,$B$1*100+11))</f>
        <v/>
      </c>
      <c r="N447" s="14">
        <f>IF(원생!$A445="","",SUMIFS(계산!$C:$C,계산!$A:$A,계산!$E445,계산!$B:$B,$B$1*100+12))</f>
        <v/>
      </c>
      <c r="O447">
        <f>IF(원생!$I445="","",원생!$I445)</f>
        <v/>
      </c>
      <c r="P447">
        <f>IF($A447="","",IF(AND($B447&gt;0,C447&lt;$B447,DATE($B$1,1,1)&lt;=TODAY(),OR($O447="",$O447&gt;=DATE($B$1,1,1)),OR(COUNTIF($C447:C447,"&gt;0")&gt;0,DATE($B$1,1,1)=DATE(YEAR(TODAY()),MONTH(TODAY()),1))),1,0))</f>
        <v/>
      </c>
      <c r="Q447">
        <f>IF($A447="","",IF(AND($B447&gt;0,D447&lt;$B447,DATE($B$1,2,1)&lt;=TODAY(),OR($O447="",$O447&gt;=DATE($B$1,2,1)),OR(COUNTIF($C447:D447,"&gt;0")&gt;0,DATE($B$1,2,1)=DATE(YEAR(TODAY()),MONTH(TODAY()),1))),1,0))</f>
        <v/>
      </c>
      <c r="R447">
        <f>IF($A447="","",IF(AND($B447&gt;0,E447&lt;$B447,DATE($B$1,3,1)&lt;=TODAY(),OR($O447="",$O447&gt;=DATE($B$1,3,1)),OR(COUNTIF($C447:E447,"&gt;0")&gt;0,DATE($B$1,3,1)=DATE(YEAR(TODAY()),MONTH(TODAY()),1))),1,0))</f>
        <v/>
      </c>
      <c r="S447">
        <f>IF($A447="","",IF(AND($B447&gt;0,F447&lt;$B447,DATE($B$1,4,1)&lt;=TODAY(),OR($O447="",$O447&gt;=DATE($B$1,4,1)),OR(COUNTIF($C447:F447,"&gt;0")&gt;0,DATE($B$1,4,1)=DATE(YEAR(TODAY()),MONTH(TODAY()),1))),1,0))</f>
        <v/>
      </c>
      <c r="T447">
        <f>IF($A447="","",IF(AND($B447&gt;0,G447&lt;$B447,DATE($B$1,5,1)&lt;=TODAY(),OR($O447="",$O447&gt;=DATE($B$1,5,1)),OR(COUNTIF($C447:G447,"&gt;0")&gt;0,DATE($B$1,5,1)=DATE(YEAR(TODAY()),MONTH(TODAY()),1))),1,0))</f>
        <v/>
      </c>
      <c r="U447">
        <f>IF($A447="","",IF(AND($B447&gt;0,H447&lt;$B447,DATE($B$1,6,1)&lt;=TODAY(),OR($O447="",$O447&gt;=DATE($B$1,6,1)),OR(COUNTIF($C447:H447,"&gt;0")&gt;0,DATE($B$1,6,1)=DATE(YEAR(TODAY()),MONTH(TODAY()),1))),1,0))</f>
        <v/>
      </c>
      <c r="V447">
        <f>IF($A447="","",IF(AND($B447&gt;0,I447&lt;$B447,DATE($B$1,7,1)&lt;=TODAY(),OR($O447="",$O447&gt;=DATE($B$1,7,1)),OR(COUNTIF($C447:I447,"&gt;0")&gt;0,DATE($B$1,7,1)=DATE(YEAR(TODAY()),MONTH(TODAY()),1))),1,0))</f>
        <v/>
      </c>
      <c r="W447">
        <f>IF($A447="","",IF(AND($B447&gt;0,J447&lt;$B447,DATE($B$1,8,1)&lt;=TODAY(),OR($O447="",$O447&gt;=DATE($B$1,8,1)),OR(COUNTIF($C447:J447,"&gt;0")&gt;0,DATE($B$1,8,1)=DATE(YEAR(TODAY()),MONTH(TODAY()),1))),1,0))</f>
        <v/>
      </c>
      <c r="X447">
        <f>IF($A447="","",IF(AND($B447&gt;0,K447&lt;$B447,DATE($B$1,9,1)&lt;=TODAY(),OR($O447="",$O447&gt;=DATE($B$1,9,1)),OR(COUNTIF($C447:K447,"&gt;0")&gt;0,DATE($B$1,9,1)=DATE(YEAR(TODAY()),MONTH(TODAY()),1))),1,0))</f>
        <v/>
      </c>
      <c r="Y447">
        <f>IF($A447="","",IF(AND($B447&gt;0,L447&lt;$B447,DATE($B$1,10,1)&lt;=TODAY(),OR($O447="",$O447&gt;=DATE($B$1,10,1)),OR(COUNTIF($C447:L447,"&gt;0")&gt;0,DATE($B$1,10,1)=DATE(YEAR(TODAY()),MONTH(TODAY()),1))),1,0))</f>
        <v/>
      </c>
      <c r="Z447">
        <f>IF($A447="","",IF(AND($B447&gt;0,M447&lt;$B447,DATE($B$1,11,1)&lt;=TODAY(),OR($O447="",$O447&gt;=DATE($B$1,11,1)),OR(COUNTIF($C447:M447,"&gt;0")&gt;0,DATE($B$1,11,1)=DATE(YEAR(TODAY()),MONTH(TODAY()),1))),1,0))</f>
        <v/>
      </c>
      <c r="AA447">
        <f>IF($A447="","",IF(AND($B447&gt;0,N447&lt;$B447,DATE($B$1,12,1)&lt;=TODAY(),OR($O447="",$O447&gt;=DATE($B$1,12,1)),OR(COUNTIF($C447:N447,"&gt;0")&gt;0,DATE($B$1,12,1)=DATE(YEAR(TODAY()),MONTH(TODAY()),1))),1,0))</f>
        <v/>
      </c>
    </row>
    <row r="448">
      <c r="A448" s="13">
        <f>IF(원생!$A446="","",원생!$A446&amp;IF(원생!$G446="",""," ("&amp;원생!$G446&amp;")"))</f>
        <v/>
      </c>
      <c r="B448" s="8">
        <f>IF(원생!$A446="","",N(원생!$F446))</f>
        <v/>
      </c>
      <c r="C448" s="14">
        <f>IF(원생!$A446="","",SUMIFS(계산!$C:$C,계산!$A:$A,계산!$E446,계산!$B:$B,$B$1*100+1))</f>
        <v/>
      </c>
      <c r="D448" s="14">
        <f>IF(원생!$A446="","",SUMIFS(계산!$C:$C,계산!$A:$A,계산!$E446,계산!$B:$B,$B$1*100+2))</f>
        <v/>
      </c>
      <c r="E448" s="14">
        <f>IF(원생!$A446="","",SUMIFS(계산!$C:$C,계산!$A:$A,계산!$E446,계산!$B:$B,$B$1*100+3))</f>
        <v/>
      </c>
      <c r="F448" s="14">
        <f>IF(원생!$A446="","",SUMIFS(계산!$C:$C,계산!$A:$A,계산!$E446,계산!$B:$B,$B$1*100+4))</f>
        <v/>
      </c>
      <c r="G448" s="14">
        <f>IF(원생!$A446="","",SUMIFS(계산!$C:$C,계산!$A:$A,계산!$E446,계산!$B:$B,$B$1*100+5))</f>
        <v/>
      </c>
      <c r="H448" s="14">
        <f>IF(원생!$A446="","",SUMIFS(계산!$C:$C,계산!$A:$A,계산!$E446,계산!$B:$B,$B$1*100+6))</f>
        <v/>
      </c>
      <c r="I448" s="14">
        <f>IF(원생!$A446="","",SUMIFS(계산!$C:$C,계산!$A:$A,계산!$E446,계산!$B:$B,$B$1*100+7))</f>
        <v/>
      </c>
      <c r="J448" s="14">
        <f>IF(원생!$A446="","",SUMIFS(계산!$C:$C,계산!$A:$A,계산!$E446,계산!$B:$B,$B$1*100+8))</f>
        <v/>
      </c>
      <c r="K448" s="14">
        <f>IF(원생!$A446="","",SUMIFS(계산!$C:$C,계산!$A:$A,계산!$E446,계산!$B:$B,$B$1*100+9))</f>
        <v/>
      </c>
      <c r="L448" s="14">
        <f>IF(원생!$A446="","",SUMIFS(계산!$C:$C,계산!$A:$A,계산!$E446,계산!$B:$B,$B$1*100+10))</f>
        <v/>
      </c>
      <c r="M448" s="14">
        <f>IF(원생!$A446="","",SUMIFS(계산!$C:$C,계산!$A:$A,계산!$E446,계산!$B:$B,$B$1*100+11))</f>
        <v/>
      </c>
      <c r="N448" s="14">
        <f>IF(원생!$A446="","",SUMIFS(계산!$C:$C,계산!$A:$A,계산!$E446,계산!$B:$B,$B$1*100+12))</f>
        <v/>
      </c>
      <c r="O448">
        <f>IF(원생!$I446="","",원생!$I446)</f>
        <v/>
      </c>
      <c r="P448">
        <f>IF($A448="","",IF(AND($B448&gt;0,C448&lt;$B448,DATE($B$1,1,1)&lt;=TODAY(),OR($O448="",$O448&gt;=DATE($B$1,1,1)),OR(COUNTIF($C448:C448,"&gt;0")&gt;0,DATE($B$1,1,1)=DATE(YEAR(TODAY()),MONTH(TODAY()),1))),1,0))</f>
        <v/>
      </c>
      <c r="Q448">
        <f>IF($A448="","",IF(AND($B448&gt;0,D448&lt;$B448,DATE($B$1,2,1)&lt;=TODAY(),OR($O448="",$O448&gt;=DATE($B$1,2,1)),OR(COUNTIF($C448:D448,"&gt;0")&gt;0,DATE($B$1,2,1)=DATE(YEAR(TODAY()),MONTH(TODAY()),1))),1,0))</f>
        <v/>
      </c>
      <c r="R448">
        <f>IF($A448="","",IF(AND($B448&gt;0,E448&lt;$B448,DATE($B$1,3,1)&lt;=TODAY(),OR($O448="",$O448&gt;=DATE($B$1,3,1)),OR(COUNTIF($C448:E448,"&gt;0")&gt;0,DATE($B$1,3,1)=DATE(YEAR(TODAY()),MONTH(TODAY()),1))),1,0))</f>
        <v/>
      </c>
      <c r="S448">
        <f>IF($A448="","",IF(AND($B448&gt;0,F448&lt;$B448,DATE($B$1,4,1)&lt;=TODAY(),OR($O448="",$O448&gt;=DATE($B$1,4,1)),OR(COUNTIF($C448:F448,"&gt;0")&gt;0,DATE($B$1,4,1)=DATE(YEAR(TODAY()),MONTH(TODAY()),1))),1,0))</f>
        <v/>
      </c>
      <c r="T448">
        <f>IF($A448="","",IF(AND($B448&gt;0,G448&lt;$B448,DATE($B$1,5,1)&lt;=TODAY(),OR($O448="",$O448&gt;=DATE($B$1,5,1)),OR(COUNTIF($C448:G448,"&gt;0")&gt;0,DATE($B$1,5,1)=DATE(YEAR(TODAY()),MONTH(TODAY()),1))),1,0))</f>
        <v/>
      </c>
      <c r="U448">
        <f>IF($A448="","",IF(AND($B448&gt;0,H448&lt;$B448,DATE($B$1,6,1)&lt;=TODAY(),OR($O448="",$O448&gt;=DATE($B$1,6,1)),OR(COUNTIF($C448:H448,"&gt;0")&gt;0,DATE($B$1,6,1)=DATE(YEAR(TODAY()),MONTH(TODAY()),1))),1,0))</f>
        <v/>
      </c>
      <c r="V448">
        <f>IF($A448="","",IF(AND($B448&gt;0,I448&lt;$B448,DATE($B$1,7,1)&lt;=TODAY(),OR($O448="",$O448&gt;=DATE($B$1,7,1)),OR(COUNTIF($C448:I448,"&gt;0")&gt;0,DATE($B$1,7,1)=DATE(YEAR(TODAY()),MONTH(TODAY()),1))),1,0))</f>
        <v/>
      </c>
      <c r="W448">
        <f>IF($A448="","",IF(AND($B448&gt;0,J448&lt;$B448,DATE($B$1,8,1)&lt;=TODAY(),OR($O448="",$O448&gt;=DATE($B$1,8,1)),OR(COUNTIF($C448:J448,"&gt;0")&gt;0,DATE($B$1,8,1)=DATE(YEAR(TODAY()),MONTH(TODAY()),1))),1,0))</f>
        <v/>
      </c>
      <c r="X448">
        <f>IF($A448="","",IF(AND($B448&gt;0,K448&lt;$B448,DATE($B$1,9,1)&lt;=TODAY(),OR($O448="",$O448&gt;=DATE($B$1,9,1)),OR(COUNTIF($C448:K448,"&gt;0")&gt;0,DATE($B$1,9,1)=DATE(YEAR(TODAY()),MONTH(TODAY()),1))),1,0))</f>
        <v/>
      </c>
      <c r="Y448">
        <f>IF($A448="","",IF(AND($B448&gt;0,L448&lt;$B448,DATE($B$1,10,1)&lt;=TODAY(),OR($O448="",$O448&gt;=DATE($B$1,10,1)),OR(COUNTIF($C448:L448,"&gt;0")&gt;0,DATE($B$1,10,1)=DATE(YEAR(TODAY()),MONTH(TODAY()),1))),1,0))</f>
        <v/>
      </c>
      <c r="Z448">
        <f>IF($A448="","",IF(AND($B448&gt;0,M448&lt;$B448,DATE($B$1,11,1)&lt;=TODAY(),OR($O448="",$O448&gt;=DATE($B$1,11,1)),OR(COUNTIF($C448:M448,"&gt;0")&gt;0,DATE($B$1,11,1)=DATE(YEAR(TODAY()),MONTH(TODAY()),1))),1,0))</f>
        <v/>
      </c>
      <c r="AA448">
        <f>IF($A448="","",IF(AND($B448&gt;0,N448&lt;$B448,DATE($B$1,12,1)&lt;=TODAY(),OR($O448="",$O448&gt;=DATE($B$1,12,1)),OR(COUNTIF($C448:N448,"&gt;0")&gt;0,DATE($B$1,12,1)=DATE(YEAR(TODAY()),MONTH(TODAY()),1))),1,0))</f>
        <v/>
      </c>
    </row>
    <row r="449">
      <c r="A449" s="13">
        <f>IF(원생!$A447="","",원생!$A447&amp;IF(원생!$G447="",""," ("&amp;원생!$G447&amp;")"))</f>
        <v/>
      </c>
      <c r="B449" s="8">
        <f>IF(원생!$A447="","",N(원생!$F447))</f>
        <v/>
      </c>
      <c r="C449" s="14">
        <f>IF(원생!$A447="","",SUMIFS(계산!$C:$C,계산!$A:$A,계산!$E447,계산!$B:$B,$B$1*100+1))</f>
        <v/>
      </c>
      <c r="D449" s="14">
        <f>IF(원생!$A447="","",SUMIFS(계산!$C:$C,계산!$A:$A,계산!$E447,계산!$B:$B,$B$1*100+2))</f>
        <v/>
      </c>
      <c r="E449" s="14">
        <f>IF(원생!$A447="","",SUMIFS(계산!$C:$C,계산!$A:$A,계산!$E447,계산!$B:$B,$B$1*100+3))</f>
        <v/>
      </c>
      <c r="F449" s="14">
        <f>IF(원생!$A447="","",SUMIFS(계산!$C:$C,계산!$A:$A,계산!$E447,계산!$B:$B,$B$1*100+4))</f>
        <v/>
      </c>
      <c r="G449" s="14">
        <f>IF(원생!$A447="","",SUMIFS(계산!$C:$C,계산!$A:$A,계산!$E447,계산!$B:$B,$B$1*100+5))</f>
        <v/>
      </c>
      <c r="H449" s="14">
        <f>IF(원생!$A447="","",SUMIFS(계산!$C:$C,계산!$A:$A,계산!$E447,계산!$B:$B,$B$1*100+6))</f>
        <v/>
      </c>
      <c r="I449" s="14">
        <f>IF(원생!$A447="","",SUMIFS(계산!$C:$C,계산!$A:$A,계산!$E447,계산!$B:$B,$B$1*100+7))</f>
        <v/>
      </c>
      <c r="J449" s="14">
        <f>IF(원생!$A447="","",SUMIFS(계산!$C:$C,계산!$A:$A,계산!$E447,계산!$B:$B,$B$1*100+8))</f>
        <v/>
      </c>
      <c r="K449" s="14">
        <f>IF(원생!$A447="","",SUMIFS(계산!$C:$C,계산!$A:$A,계산!$E447,계산!$B:$B,$B$1*100+9))</f>
        <v/>
      </c>
      <c r="L449" s="14">
        <f>IF(원생!$A447="","",SUMIFS(계산!$C:$C,계산!$A:$A,계산!$E447,계산!$B:$B,$B$1*100+10))</f>
        <v/>
      </c>
      <c r="M449" s="14">
        <f>IF(원생!$A447="","",SUMIFS(계산!$C:$C,계산!$A:$A,계산!$E447,계산!$B:$B,$B$1*100+11))</f>
        <v/>
      </c>
      <c r="N449" s="14">
        <f>IF(원생!$A447="","",SUMIFS(계산!$C:$C,계산!$A:$A,계산!$E447,계산!$B:$B,$B$1*100+12))</f>
        <v/>
      </c>
      <c r="O449">
        <f>IF(원생!$I447="","",원생!$I447)</f>
        <v/>
      </c>
      <c r="P449">
        <f>IF($A449="","",IF(AND($B449&gt;0,C449&lt;$B449,DATE($B$1,1,1)&lt;=TODAY(),OR($O449="",$O449&gt;=DATE($B$1,1,1)),OR(COUNTIF($C449:C449,"&gt;0")&gt;0,DATE($B$1,1,1)=DATE(YEAR(TODAY()),MONTH(TODAY()),1))),1,0))</f>
        <v/>
      </c>
      <c r="Q449">
        <f>IF($A449="","",IF(AND($B449&gt;0,D449&lt;$B449,DATE($B$1,2,1)&lt;=TODAY(),OR($O449="",$O449&gt;=DATE($B$1,2,1)),OR(COUNTIF($C449:D449,"&gt;0")&gt;0,DATE($B$1,2,1)=DATE(YEAR(TODAY()),MONTH(TODAY()),1))),1,0))</f>
        <v/>
      </c>
      <c r="R449">
        <f>IF($A449="","",IF(AND($B449&gt;0,E449&lt;$B449,DATE($B$1,3,1)&lt;=TODAY(),OR($O449="",$O449&gt;=DATE($B$1,3,1)),OR(COUNTIF($C449:E449,"&gt;0")&gt;0,DATE($B$1,3,1)=DATE(YEAR(TODAY()),MONTH(TODAY()),1))),1,0))</f>
        <v/>
      </c>
      <c r="S449">
        <f>IF($A449="","",IF(AND($B449&gt;0,F449&lt;$B449,DATE($B$1,4,1)&lt;=TODAY(),OR($O449="",$O449&gt;=DATE($B$1,4,1)),OR(COUNTIF($C449:F449,"&gt;0")&gt;0,DATE($B$1,4,1)=DATE(YEAR(TODAY()),MONTH(TODAY()),1))),1,0))</f>
        <v/>
      </c>
      <c r="T449">
        <f>IF($A449="","",IF(AND($B449&gt;0,G449&lt;$B449,DATE($B$1,5,1)&lt;=TODAY(),OR($O449="",$O449&gt;=DATE($B$1,5,1)),OR(COUNTIF($C449:G449,"&gt;0")&gt;0,DATE($B$1,5,1)=DATE(YEAR(TODAY()),MONTH(TODAY()),1))),1,0))</f>
        <v/>
      </c>
      <c r="U449">
        <f>IF($A449="","",IF(AND($B449&gt;0,H449&lt;$B449,DATE($B$1,6,1)&lt;=TODAY(),OR($O449="",$O449&gt;=DATE($B$1,6,1)),OR(COUNTIF($C449:H449,"&gt;0")&gt;0,DATE($B$1,6,1)=DATE(YEAR(TODAY()),MONTH(TODAY()),1))),1,0))</f>
        <v/>
      </c>
      <c r="V449">
        <f>IF($A449="","",IF(AND($B449&gt;0,I449&lt;$B449,DATE($B$1,7,1)&lt;=TODAY(),OR($O449="",$O449&gt;=DATE($B$1,7,1)),OR(COUNTIF($C449:I449,"&gt;0")&gt;0,DATE($B$1,7,1)=DATE(YEAR(TODAY()),MONTH(TODAY()),1))),1,0))</f>
        <v/>
      </c>
      <c r="W449">
        <f>IF($A449="","",IF(AND($B449&gt;0,J449&lt;$B449,DATE($B$1,8,1)&lt;=TODAY(),OR($O449="",$O449&gt;=DATE($B$1,8,1)),OR(COUNTIF($C449:J449,"&gt;0")&gt;0,DATE($B$1,8,1)=DATE(YEAR(TODAY()),MONTH(TODAY()),1))),1,0))</f>
        <v/>
      </c>
      <c r="X449">
        <f>IF($A449="","",IF(AND($B449&gt;0,K449&lt;$B449,DATE($B$1,9,1)&lt;=TODAY(),OR($O449="",$O449&gt;=DATE($B$1,9,1)),OR(COUNTIF($C449:K449,"&gt;0")&gt;0,DATE($B$1,9,1)=DATE(YEAR(TODAY()),MONTH(TODAY()),1))),1,0))</f>
        <v/>
      </c>
      <c r="Y449">
        <f>IF($A449="","",IF(AND($B449&gt;0,L449&lt;$B449,DATE($B$1,10,1)&lt;=TODAY(),OR($O449="",$O449&gt;=DATE($B$1,10,1)),OR(COUNTIF($C449:L449,"&gt;0")&gt;0,DATE($B$1,10,1)=DATE(YEAR(TODAY()),MONTH(TODAY()),1))),1,0))</f>
        <v/>
      </c>
      <c r="Z449">
        <f>IF($A449="","",IF(AND($B449&gt;0,M449&lt;$B449,DATE($B$1,11,1)&lt;=TODAY(),OR($O449="",$O449&gt;=DATE($B$1,11,1)),OR(COUNTIF($C449:M449,"&gt;0")&gt;0,DATE($B$1,11,1)=DATE(YEAR(TODAY()),MONTH(TODAY()),1))),1,0))</f>
        <v/>
      </c>
      <c r="AA449">
        <f>IF($A449="","",IF(AND($B449&gt;0,N449&lt;$B449,DATE($B$1,12,1)&lt;=TODAY(),OR($O449="",$O449&gt;=DATE($B$1,12,1)),OR(COUNTIF($C449:N449,"&gt;0")&gt;0,DATE($B$1,12,1)=DATE(YEAR(TODAY()),MONTH(TODAY()),1))),1,0))</f>
        <v/>
      </c>
    </row>
    <row r="450">
      <c r="A450" s="13">
        <f>IF(원생!$A448="","",원생!$A448&amp;IF(원생!$G448="",""," ("&amp;원생!$G448&amp;")"))</f>
        <v/>
      </c>
      <c r="B450" s="8">
        <f>IF(원생!$A448="","",N(원생!$F448))</f>
        <v/>
      </c>
      <c r="C450" s="14">
        <f>IF(원생!$A448="","",SUMIFS(계산!$C:$C,계산!$A:$A,계산!$E448,계산!$B:$B,$B$1*100+1))</f>
        <v/>
      </c>
      <c r="D450" s="14">
        <f>IF(원생!$A448="","",SUMIFS(계산!$C:$C,계산!$A:$A,계산!$E448,계산!$B:$B,$B$1*100+2))</f>
        <v/>
      </c>
      <c r="E450" s="14">
        <f>IF(원생!$A448="","",SUMIFS(계산!$C:$C,계산!$A:$A,계산!$E448,계산!$B:$B,$B$1*100+3))</f>
        <v/>
      </c>
      <c r="F450" s="14">
        <f>IF(원생!$A448="","",SUMIFS(계산!$C:$C,계산!$A:$A,계산!$E448,계산!$B:$B,$B$1*100+4))</f>
        <v/>
      </c>
      <c r="G450" s="14">
        <f>IF(원생!$A448="","",SUMIFS(계산!$C:$C,계산!$A:$A,계산!$E448,계산!$B:$B,$B$1*100+5))</f>
        <v/>
      </c>
      <c r="H450" s="14">
        <f>IF(원생!$A448="","",SUMIFS(계산!$C:$C,계산!$A:$A,계산!$E448,계산!$B:$B,$B$1*100+6))</f>
        <v/>
      </c>
      <c r="I450" s="14">
        <f>IF(원생!$A448="","",SUMIFS(계산!$C:$C,계산!$A:$A,계산!$E448,계산!$B:$B,$B$1*100+7))</f>
        <v/>
      </c>
      <c r="J450" s="14">
        <f>IF(원생!$A448="","",SUMIFS(계산!$C:$C,계산!$A:$A,계산!$E448,계산!$B:$B,$B$1*100+8))</f>
        <v/>
      </c>
      <c r="K450" s="14">
        <f>IF(원생!$A448="","",SUMIFS(계산!$C:$C,계산!$A:$A,계산!$E448,계산!$B:$B,$B$1*100+9))</f>
        <v/>
      </c>
      <c r="L450" s="14">
        <f>IF(원생!$A448="","",SUMIFS(계산!$C:$C,계산!$A:$A,계산!$E448,계산!$B:$B,$B$1*100+10))</f>
        <v/>
      </c>
      <c r="M450" s="14">
        <f>IF(원생!$A448="","",SUMIFS(계산!$C:$C,계산!$A:$A,계산!$E448,계산!$B:$B,$B$1*100+11))</f>
        <v/>
      </c>
      <c r="N450" s="14">
        <f>IF(원생!$A448="","",SUMIFS(계산!$C:$C,계산!$A:$A,계산!$E448,계산!$B:$B,$B$1*100+12))</f>
        <v/>
      </c>
      <c r="O450">
        <f>IF(원생!$I448="","",원생!$I448)</f>
        <v/>
      </c>
      <c r="P450">
        <f>IF($A450="","",IF(AND($B450&gt;0,C450&lt;$B450,DATE($B$1,1,1)&lt;=TODAY(),OR($O450="",$O450&gt;=DATE($B$1,1,1)),OR(COUNTIF($C450:C450,"&gt;0")&gt;0,DATE($B$1,1,1)=DATE(YEAR(TODAY()),MONTH(TODAY()),1))),1,0))</f>
        <v/>
      </c>
      <c r="Q450">
        <f>IF($A450="","",IF(AND($B450&gt;0,D450&lt;$B450,DATE($B$1,2,1)&lt;=TODAY(),OR($O450="",$O450&gt;=DATE($B$1,2,1)),OR(COUNTIF($C450:D450,"&gt;0")&gt;0,DATE($B$1,2,1)=DATE(YEAR(TODAY()),MONTH(TODAY()),1))),1,0))</f>
        <v/>
      </c>
      <c r="R450">
        <f>IF($A450="","",IF(AND($B450&gt;0,E450&lt;$B450,DATE($B$1,3,1)&lt;=TODAY(),OR($O450="",$O450&gt;=DATE($B$1,3,1)),OR(COUNTIF($C450:E450,"&gt;0")&gt;0,DATE($B$1,3,1)=DATE(YEAR(TODAY()),MONTH(TODAY()),1))),1,0))</f>
        <v/>
      </c>
      <c r="S450">
        <f>IF($A450="","",IF(AND($B450&gt;0,F450&lt;$B450,DATE($B$1,4,1)&lt;=TODAY(),OR($O450="",$O450&gt;=DATE($B$1,4,1)),OR(COUNTIF($C450:F450,"&gt;0")&gt;0,DATE($B$1,4,1)=DATE(YEAR(TODAY()),MONTH(TODAY()),1))),1,0))</f>
        <v/>
      </c>
      <c r="T450">
        <f>IF($A450="","",IF(AND($B450&gt;0,G450&lt;$B450,DATE($B$1,5,1)&lt;=TODAY(),OR($O450="",$O450&gt;=DATE($B$1,5,1)),OR(COUNTIF($C450:G450,"&gt;0")&gt;0,DATE($B$1,5,1)=DATE(YEAR(TODAY()),MONTH(TODAY()),1))),1,0))</f>
        <v/>
      </c>
      <c r="U450">
        <f>IF($A450="","",IF(AND($B450&gt;0,H450&lt;$B450,DATE($B$1,6,1)&lt;=TODAY(),OR($O450="",$O450&gt;=DATE($B$1,6,1)),OR(COUNTIF($C450:H450,"&gt;0")&gt;0,DATE($B$1,6,1)=DATE(YEAR(TODAY()),MONTH(TODAY()),1))),1,0))</f>
        <v/>
      </c>
      <c r="V450">
        <f>IF($A450="","",IF(AND($B450&gt;0,I450&lt;$B450,DATE($B$1,7,1)&lt;=TODAY(),OR($O450="",$O450&gt;=DATE($B$1,7,1)),OR(COUNTIF($C450:I450,"&gt;0")&gt;0,DATE($B$1,7,1)=DATE(YEAR(TODAY()),MONTH(TODAY()),1))),1,0))</f>
        <v/>
      </c>
      <c r="W450">
        <f>IF($A450="","",IF(AND($B450&gt;0,J450&lt;$B450,DATE($B$1,8,1)&lt;=TODAY(),OR($O450="",$O450&gt;=DATE($B$1,8,1)),OR(COUNTIF($C450:J450,"&gt;0")&gt;0,DATE($B$1,8,1)=DATE(YEAR(TODAY()),MONTH(TODAY()),1))),1,0))</f>
        <v/>
      </c>
      <c r="X450">
        <f>IF($A450="","",IF(AND($B450&gt;0,K450&lt;$B450,DATE($B$1,9,1)&lt;=TODAY(),OR($O450="",$O450&gt;=DATE($B$1,9,1)),OR(COUNTIF($C450:K450,"&gt;0")&gt;0,DATE($B$1,9,1)=DATE(YEAR(TODAY()),MONTH(TODAY()),1))),1,0))</f>
        <v/>
      </c>
      <c r="Y450">
        <f>IF($A450="","",IF(AND($B450&gt;0,L450&lt;$B450,DATE($B$1,10,1)&lt;=TODAY(),OR($O450="",$O450&gt;=DATE($B$1,10,1)),OR(COUNTIF($C450:L450,"&gt;0")&gt;0,DATE($B$1,10,1)=DATE(YEAR(TODAY()),MONTH(TODAY()),1))),1,0))</f>
        <v/>
      </c>
      <c r="Z450">
        <f>IF($A450="","",IF(AND($B450&gt;0,M450&lt;$B450,DATE($B$1,11,1)&lt;=TODAY(),OR($O450="",$O450&gt;=DATE($B$1,11,1)),OR(COUNTIF($C450:M450,"&gt;0")&gt;0,DATE($B$1,11,1)=DATE(YEAR(TODAY()),MONTH(TODAY()),1))),1,0))</f>
        <v/>
      </c>
      <c r="AA450">
        <f>IF($A450="","",IF(AND($B450&gt;0,N450&lt;$B450,DATE($B$1,12,1)&lt;=TODAY(),OR($O450="",$O450&gt;=DATE($B$1,12,1)),OR(COUNTIF($C450:N450,"&gt;0")&gt;0,DATE($B$1,12,1)=DATE(YEAR(TODAY()),MONTH(TODAY()),1))),1,0))</f>
        <v/>
      </c>
    </row>
    <row r="451">
      <c r="A451" s="13">
        <f>IF(원생!$A449="","",원생!$A449&amp;IF(원생!$G449="",""," ("&amp;원생!$G449&amp;")"))</f>
        <v/>
      </c>
      <c r="B451" s="8">
        <f>IF(원생!$A449="","",N(원생!$F449))</f>
        <v/>
      </c>
      <c r="C451" s="14">
        <f>IF(원생!$A449="","",SUMIFS(계산!$C:$C,계산!$A:$A,계산!$E449,계산!$B:$B,$B$1*100+1))</f>
        <v/>
      </c>
      <c r="D451" s="14">
        <f>IF(원생!$A449="","",SUMIFS(계산!$C:$C,계산!$A:$A,계산!$E449,계산!$B:$B,$B$1*100+2))</f>
        <v/>
      </c>
      <c r="E451" s="14">
        <f>IF(원생!$A449="","",SUMIFS(계산!$C:$C,계산!$A:$A,계산!$E449,계산!$B:$B,$B$1*100+3))</f>
        <v/>
      </c>
      <c r="F451" s="14">
        <f>IF(원생!$A449="","",SUMIFS(계산!$C:$C,계산!$A:$A,계산!$E449,계산!$B:$B,$B$1*100+4))</f>
        <v/>
      </c>
      <c r="G451" s="14">
        <f>IF(원생!$A449="","",SUMIFS(계산!$C:$C,계산!$A:$A,계산!$E449,계산!$B:$B,$B$1*100+5))</f>
        <v/>
      </c>
      <c r="H451" s="14">
        <f>IF(원생!$A449="","",SUMIFS(계산!$C:$C,계산!$A:$A,계산!$E449,계산!$B:$B,$B$1*100+6))</f>
        <v/>
      </c>
      <c r="I451" s="14">
        <f>IF(원생!$A449="","",SUMIFS(계산!$C:$C,계산!$A:$A,계산!$E449,계산!$B:$B,$B$1*100+7))</f>
        <v/>
      </c>
      <c r="J451" s="14">
        <f>IF(원생!$A449="","",SUMIFS(계산!$C:$C,계산!$A:$A,계산!$E449,계산!$B:$B,$B$1*100+8))</f>
        <v/>
      </c>
      <c r="K451" s="14">
        <f>IF(원생!$A449="","",SUMIFS(계산!$C:$C,계산!$A:$A,계산!$E449,계산!$B:$B,$B$1*100+9))</f>
        <v/>
      </c>
      <c r="L451" s="14">
        <f>IF(원생!$A449="","",SUMIFS(계산!$C:$C,계산!$A:$A,계산!$E449,계산!$B:$B,$B$1*100+10))</f>
        <v/>
      </c>
      <c r="M451" s="14">
        <f>IF(원생!$A449="","",SUMIFS(계산!$C:$C,계산!$A:$A,계산!$E449,계산!$B:$B,$B$1*100+11))</f>
        <v/>
      </c>
      <c r="N451" s="14">
        <f>IF(원생!$A449="","",SUMIFS(계산!$C:$C,계산!$A:$A,계산!$E449,계산!$B:$B,$B$1*100+12))</f>
        <v/>
      </c>
      <c r="O451">
        <f>IF(원생!$I449="","",원생!$I449)</f>
        <v/>
      </c>
      <c r="P451">
        <f>IF($A451="","",IF(AND($B451&gt;0,C451&lt;$B451,DATE($B$1,1,1)&lt;=TODAY(),OR($O451="",$O451&gt;=DATE($B$1,1,1)),OR(COUNTIF($C451:C451,"&gt;0")&gt;0,DATE($B$1,1,1)=DATE(YEAR(TODAY()),MONTH(TODAY()),1))),1,0))</f>
        <v/>
      </c>
      <c r="Q451">
        <f>IF($A451="","",IF(AND($B451&gt;0,D451&lt;$B451,DATE($B$1,2,1)&lt;=TODAY(),OR($O451="",$O451&gt;=DATE($B$1,2,1)),OR(COUNTIF($C451:D451,"&gt;0")&gt;0,DATE($B$1,2,1)=DATE(YEAR(TODAY()),MONTH(TODAY()),1))),1,0))</f>
        <v/>
      </c>
      <c r="R451">
        <f>IF($A451="","",IF(AND($B451&gt;0,E451&lt;$B451,DATE($B$1,3,1)&lt;=TODAY(),OR($O451="",$O451&gt;=DATE($B$1,3,1)),OR(COUNTIF($C451:E451,"&gt;0")&gt;0,DATE($B$1,3,1)=DATE(YEAR(TODAY()),MONTH(TODAY()),1))),1,0))</f>
        <v/>
      </c>
      <c r="S451">
        <f>IF($A451="","",IF(AND($B451&gt;0,F451&lt;$B451,DATE($B$1,4,1)&lt;=TODAY(),OR($O451="",$O451&gt;=DATE($B$1,4,1)),OR(COUNTIF($C451:F451,"&gt;0")&gt;0,DATE($B$1,4,1)=DATE(YEAR(TODAY()),MONTH(TODAY()),1))),1,0))</f>
        <v/>
      </c>
      <c r="T451">
        <f>IF($A451="","",IF(AND($B451&gt;0,G451&lt;$B451,DATE($B$1,5,1)&lt;=TODAY(),OR($O451="",$O451&gt;=DATE($B$1,5,1)),OR(COUNTIF($C451:G451,"&gt;0")&gt;0,DATE($B$1,5,1)=DATE(YEAR(TODAY()),MONTH(TODAY()),1))),1,0))</f>
        <v/>
      </c>
      <c r="U451">
        <f>IF($A451="","",IF(AND($B451&gt;0,H451&lt;$B451,DATE($B$1,6,1)&lt;=TODAY(),OR($O451="",$O451&gt;=DATE($B$1,6,1)),OR(COUNTIF($C451:H451,"&gt;0")&gt;0,DATE($B$1,6,1)=DATE(YEAR(TODAY()),MONTH(TODAY()),1))),1,0))</f>
        <v/>
      </c>
      <c r="V451">
        <f>IF($A451="","",IF(AND($B451&gt;0,I451&lt;$B451,DATE($B$1,7,1)&lt;=TODAY(),OR($O451="",$O451&gt;=DATE($B$1,7,1)),OR(COUNTIF($C451:I451,"&gt;0")&gt;0,DATE($B$1,7,1)=DATE(YEAR(TODAY()),MONTH(TODAY()),1))),1,0))</f>
        <v/>
      </c>
      <c r="W451">
        <f>IF($A451="","",IF(AND($B451&gt;0,J451&lt;$B451,DATE($B$1,8,1)&lt;=TODAY(),OR($O451="",$O451&gt;=DATE($B$1,8,1)),OR(COUNTIF($C451:J451,"&gt;0")&gt;0,DATE($B$1,8,1)=DATE(YEAR(TODAY()),MONTH(TODAY()),1))),1,0))</f>
        <v/>
      </c>
      <c r="X451">
        <f>IF($A451="","",IF(AND($B451&gt;0,K451&lt;$B451,DATE($B$1,9,1)&lt;=TODAY(),OR($O451="",$O451&gt;=DATE($B$1,9,1)),OR(COUNTIF($C451:K451,"&gt;0")&gt;0,DATE($B$1,9,1)=DATE(YEAR(TODAY()),MONTH(TODAY()),1))),1,0))</f>
        <v/>
      </c>
      <c r="Y451">
        <f>IF($A451="","",IF(AND($B451&gt;0,L451&lt;$B451,DATE($B$1,10,1)&lt;=TODAY(),OR($O451="",$O451&gt;=DATE($B$1,10,1)),OR(COUNTIF($C451:L451,"&gt;0")&gt;0,DATE($B$1,10,1)=DATE(YEAR(TODAY()),MONTH(TODAY()),1))),1,0))</f>
        <v/>
      </c>
      <c r="Z451">
        <f>IF($A451="","",IF(AND($B451&gt;0,M451&lt;$B451,DATE($B$1,11,1)&lt;=TODAY(),OR($O451="",$O451&gt;=DATE($B$1,11,1)),OR(COUNTIF($C451:M451,"&gt;0")&gt;0,DATE($B$1,11,1)=DATE(YEAR(TODAY()),MONTH(TODAY()),1))),1,0))</f>
        <v/>
      </c>
      <c r="AA451">
        <f>IF($A451="","",IF(AND($B451&gt;0,N451&lt;$B451,DATE($B$1,12,1)&lt;=TODAY(),OR($O451="",$O451&gt;=DATE($B$1,12,1)),OR(COUNTIF($C451:N451,"&gt;0")&gt;0,DATE($B$1,12,1)=DATE(YEAR(TODAY()),MONTH(TODAY()),1))),1,0))</f>
        <v/>
      </c>
    </row>
    <row r="452">
      <c r="A452" s="13">
        <f>IF(원생!$A450="","",원생!$A450&amp;IF(원생!$G450="",""," ("&amp;원생!$G450&amp;")"))</f>
        <v/>
      </c>
      <c r="B452" s="8">
        <f>IF(원생!$A450="","",N(원생!$F450))</f>
        <v/>
      </c>
      <c r="C452" s="14">
        <f>IF(원생!$A450="","",SUMIFS(계산!$C:$C,계산!$A:$A,계산!$E450,계산!$B:$B,$B$1*100+1))</f>
        <v/>
      </c>
      <c r="D452" s="14">
        <f>IF(원생!$A450="","",SUMIFS(계산!$C:$C,계산!$A:$A,계산!$E450,계산!$B:$B,$B$1*100+2))</f>
        <v/>
      </c>
      <c r="E452" s="14">
        <f>IF(원생!$A450="","",SUMIFS(계산!$C:$C,계산!$A:$A,계산!$E450,계산!$B:$B,$B$1*100+3))</f>
        <v/>
      </c>
      <c r="F452" s="14">
        <f>IF(원생!$A450="","",SUMIFS(계산!$C:$C,계산!$A:$A,계산!$E450,계산!$B:$B,$B$1*100+4))</f>
        <v/>
      </c>
      <c r="G452" s="14">
        <f>IF(원생!$A450="","",SUMIFS(계산!$C:$C,계산!$A:$A,계산!$E450,계산!$B:$B,$B$1*100+5))</f>
        <v/>
      </c>
      <c r="H452" s="14">
        <f>IF(원생!$A450="","",SUMIFS(계산!$C:$C,계산!$A:$A,계산!$E450,계산!$B:$B,$B$1*100+6))</f>
        <v/>
      </c>
      <c r="I452" s="14">
        <f>IF(원생!$A450="","",SUMIFS(계산!$C:$C,계산!$A:$A,계산!$E450,계산!$B:$B,$B$1*100+7))</f>
        <v/>
      </c>
      <c r="J452" s="14">
        <f>IF(원생!$A450="","",SUMIFS(계산!$C:$C,계산!$A:$A,계산!$E450,계산!$B:$B,$B$1*100+8))</f>
        <v/>
      </c>
      <c r="K452" s="14">
        <f>IF(원생!$A450="","",SUMIFS(계산!$C:$C,계산!$A:$A,계산!$E450,계산!$B:$B,$B$1*100+9))</f>
        <v/>
      </c>
      <c r="L452" s="14">
        <f>IF(원생!$A450="","",SUMIFS(계산!$C:$C,계산!$A:$A,계산!$E450,계산!$B:$B,$B$1*100+10))</f>
        <v/>
      </c>
      <c r="M452" s="14">
        <f>IF(원생!$A450="","",SUMIFS(계산!$C:$C,계산!$A:$A,계산!$E450,계산!$B:$B,$B$1*100+11))</f>
        <v/>
      </c>
      <c r="N452" s="14">
        <f>IF(원생!$A450="","",SUMIFS(계산!$C:$C,계산!$A:$A,계산!$E450,계산!$B:$B,$B$1*100+12))</f>
        <v/>
      </c>
      <c r="O452">
        <f>IF(원생!$I450="","",원생!$I450)</f>
        <v/>
      </c>
      <c r="P452">
        <f>IF($A452="","",IF(AND($B452&gt;0,C452&lt;$B452,DATE($B$1,1,1)&lt;=TODAY(),OR($O452="",$O452&gt;=DATE($B$1,1,1)),OR(COUNTIF($C452:C452,"&gt;0")&gt;0,DATE($B$1,1,1)=DATE(YEAR(TODAY()),MONTH(TODAY()),1))),1,0))</f>
        <v/>
      </c>
      <c r="Q452">
        <f>IF($A452="","",IF(AND($B452&gt;0,D452&lt;$B452,DATE($B$1,2,1)&lt;=TODAY(),OR($O452="",$O452&gt;=DATE($B$1,2,1)),OR(COUNTIF($C452:D452,"&gt;0")&gt;0,DATE($B$1,2,1)=DATE(YEAR(TODAY()),MONTH(TODAY()),1))),1,0))</f>
        <v/>
      </c>
      <c r="R452">
        <f>IF($A452="","",IF(AND($B452&gt;0,E452&lt;$B452,DATE($B$1,3,1)&lt;=TODAY(),OR($O452="",$O452&gt;=DATE($B$1,3,1)),OR(COUNTIF($C452:E452,"&gt;0")&gt;0,DATE($B$1,3,1)=DATE(YEAR(TODAY()),MONTH(TODAY()),1))),1,0))</f>
        <v/>
      </c>
      <c r="S452">
        <f>IF($A452="","",IF(AND($B452&gt;0,F452&lt;$B452,DATE($B$1,4,1)&lt;=TODAY(),OR($O452="",$O452&gt;=DATE($B$1,4,1)),OR(COUNTIF($C452:F452,"&gt;0")&gt;0,DATE($B$1,4,1)=DATE(YEAR(TODAY()),MONTH(TODAY()),1))),1,0))</f>
        <v/>
      </c>
      <c r="T452">
        <f>IF($A452="","",IF(AND($B452&gt;0,G452&lt;$B452,DATE($B$1,5,1)&lt;=TODAY(),OR($O452="",$O452&gt;=DATE($B$1,5,1)),OR(COUNTIF($C452:G452,"&gt;0")&gt;0,DATE($B$1,5,1)=DATE(YEAR(TODAY()),MONTH(TODAY()),1))),1,0))</f>
        <v/>
      </c>
      <c r="U452">
        <f>IF($A452="","",IF(AND($B452&gt;0,H452&lt;$B452,DATE($B$1,6,1)&lt;=TODAY(),OR($O452="",$O452&gt;=DATE($B$1,6,1)),OR(COUNTIF($C452:H452,"&gt;0")&gt;0,DATE($B$1,6,1)=DATE(YEAR(TODAY()),MONTH(TODAY()),1))),1,0))</f>
        <v/>
      </c>
      <c r="V452">
        <f>IF($A452="","",IF(AND($B452&gt;0,I452&lt;$B452,DATE($B$1,7,1)&lt;=TODAY(),OR($O452="",$O452&gt;=DATE($B$1,7,1)),OR(COUNTIF($C452:I452,"&gt;0")&gt;0,DATE($B$1,7,1)=DATE(YEAR(TODAY()),MONTH(TODAY()),1))),1,0))</f>
        <v/>
      </c>
      <c r="W452">
        <f>IF($A452="","",IF(AND($B452&gt;0,J452&lt;$B452,DATE($B$1,8,1)&lt;=TODAY(),OR($O452="",$O452&gt;=DATE($B$1,8,1)),OR(COUNTIF($C452:J452,"&gt;0")&gt;0,DATE($B$1,8,1)=DATE(YEAR(TODAY()),MONTH(TODAY()),1))),1,0))</f>
        <v/>
      </c>
      <c r="X452">
        <f>IF($A452="","",IF(AND($B452&gt;0,K452&lt;$B452,DATE($B$1,9,1)&lt;=TODAY(),OR($O452="",$O452&gt;=DATE($B$1,9,1)),OR(COUNTIF($C452:K452,"&gt;0")&gt;0,DATE($B$1,9,1)=DATE(YEAR(TODAY()),MONTH(TODAY()),1))),1,0))</f>
        <v/>
      </c>
      <c r="Y452">
        <f>IF($A452="","",IF(AND($B452&gt;0,L452&lt;$B452,DATE($B$1,10,1)&lt;=TODAY(),OR($O452="",$O452&gt;=DATE($B$1,10,1)),OR(COUNTIF($C452:L452,"&gt;0")&gt;0,DATE($B$1,10,1)=DATE(YEAR(TODAY()),MONTH(TODAY()),1))),1,0))</f>
        <v/>
      </c>
      <c r="Z452">
        <f>IF($A452="","",IF(AND($B452&gt;0,M452&lt;$B452,DATE($B$1,11,1)&lt;=TODAY(),OR($O452="",$O452&gt;=DATE($B$1,11,1)),OR(COUNTIF($C452:M452,"&gt;0")&gt;0,DATE($B$1,11,1)=DATE(YEAR(TODAY()),MONTH(TODAY()),1))),1,0))</f>
        <v/>
      </c>
      <c r="AA452">
        <f>IF($A452="","",IF(AND($B452&gt;0,N452&lt;$B452,DATE($B$1,12,1)&lt;=TODAY(),OR($O452="",$O452&gt;=DATE($B$1,12,1)),OR(COUNTIF($C452:N452,"&gt;0")&gt;0,DATE($B$1,12,1)=DATE(YEAR(TODAY()),MONTH(TODAY()),1))),1,0))</f>
        <v/>
      </c>
    </row>
    <row r="453">
      <c r="A453" s="13">
        <f>IF(원생!$A451="","",원생!$A451&amp;IF(원생!$G451="",""," ("&amp;원생!$G451&amp;")"))</f>
        <v/>
      </c>
      <c r="B453" s="8">
        <f>IF(원생!$A451="","",N(원생!$F451))</f>
        <v/>
      </c>
      <c r="C453" s="14">
        <f>IF(원생!$A451="","",SUMIFS(계산!$C:$C,계산!$A:$A,계산!$E451,계산!$B:$B,$B$1*100+1))</f>
        <v/>
      </c>
      <c r="D453" s="14">
        <f>IF(원생!$A451="","",SUMIFS(계산!$C:$C,계산!$A:$A,계산!$E451,계산!$B:$B,$B$1*100+2))</f>
        <v/>
      </c>
      <c r="E453" s="14">
        <f>IF(원생!$A451="","",SUMIFS(계산!$C:$C,계산!$A:$A,계산!$E451,계산!$B:$B,$B$1*100+3))</f>
        <v/>
      </c>
      <c r="F453" s="14">
        <f>IF(원생!$A451="","",SUMIFS(계산!$C:$C,계산!$A:$A,계산!$E451,계산!$B:$B,$B$1*100+4))</f>
        <v/>
      </c>
      <c r="G453" s="14">
        <f>IF(원생!$A451="","",SUMIFS(계산!$C:$C,계산!$A:$A,계산!$E451,계산!$B:$B,$B$1*100+5))</f>
        <v/>
      </c>
      <c r="H453" s="14">
        <f>IF(원생!$A451="","",SUMIFS(계산!$C:$C,계산!$A:$A,계산!$E451,계산!$B:$B,$B$1*100+6))</f>
        <v/>
      </c>
      <c r="I453" s="14">
        <f>IF(원생!$A451="","",SUMIFS(계산!$C:$C,계산!$A:$A,계산!$E451,계산!$B:$B,$B$1*100+7))</f>
        <v/>
      </c>
      <c r="J453" s="14">
        <f>IF(원생!$A451="","",SUMIFS(계산!$C:$C,계산!$A:$A,계산!$E451,계산!$B:$B,$B$1*100+8))</f>
        <v/>
      </c>
      <c r="K453" s="14">
        <f>IF(원생!$A451="","",SUMIFS(계산!$C:$C,계산!$A:$A,계산!$E451,계산!$B:$B,$B$1*100+9))</f>
        <v/>
      </c>
      <c r="L453" s="14">
        <f>IF(원생!$A451="","",SUMIFS(계산!$C:$C,계산!$A:$A,계산!$E451,계산!$B:$B,$B$1*100+10))</f>
        <v/>
      </c>
      <c r="M453" s="14">
        <f>IF(원생!$A451="","",SUMIFS(계산!$C:$C,계산!$A:$A,계산!$E451,계산!$B:$B,$B$1*100+11))</f>
        <v/>
      </c>
      <c r="N453" s="14">
        <f>IF(원생!$A451="","",SUMIFS(계산!$C:$C,계산!$A:$A,계산!$E451,계산!$B:$B,$B$1*100+12))</f>
        <v/>
      </c>
      <c r="O453">
        <f>IF(원생!$I451="","",원생!$I451)</f>
        <v/>
      </c>
      <c r="P453">
        <f>IF($A453="","",IF(AND($B453&gt;0,C453&lt;$B453,DATE($B$1,1,1)&lt;=TODAY(),OR($O453="",$O453&gt;=DATE($B$1,1,1)),OR(COUNTIF($C453:C453,"&gt;0")&gt;0,DATE($B$1,1,1)=DATE(YEAR(TODAY()),MONTH(TODAY()),1))),1,0))</f>
        <v/>
      </c>
      <c r="Q453">
        <f>IF($A453="","",IF(AND($B453&gt;0,D453&lt;$B453,DATE($B$1,2,1)&lt;=TODAY(),OR($O453="",$O453&gt;=DATE($B$1,2,1)),OR(COUNTIF($C453:D453,"&gt;0")&gt;0,DATE($B$1,2,1)=DATE(YEAR(TODAY()),MONTH(TODAY()),1))),1,0))</f>
        <v/>
      </c>
      <c r="R453">
        <f>IF($A453="","",IF(AND($B453&gt;0,E453&lt;$B453,DATE($B$1,3,1)&lt;=TODAY(),OR($O453="",$O453&gt;=DATE($B$1,3,1)),OR(COUNTIF($C453:E453,"&gt;0")&gt;0,DATE($B$1,3,1)=DATE(YEAR(TODAY()),MONTH(TODAY()),1))),1,0))</f>
        <v/>
      </c>
      <c r="S453">
        <f>IF($A453="","",IF(AND($B453&gt;0,F453&lt;$B453,DATE($B$1,4,1)&lt;=TODAY(),OR($O453="",$O453&gt;=DATE($B$1,4,1)),OR(COUNTIF($C453:F453,"&gt;0")&gt;0,DATE($B$1,4,1)=DATE(YEAR(TODAY()),MONTH(TODAY()),1))),1,0))</f>
        <v/>
      </c>
      <c r="T453">
        <f>IF($A453="","",IF(AND($B453&gt;0,G453&lt;$B453,DATE($B$1,5,1)&lt;=TODAY(),OR($O453="",$O453&gt;=DATE($B$1,5,1)),OR(COUNTIF($C453:G453,"&gt;0")&gt;0,DATE($B$1,5,1)=DATE(YEAR(TODAY()),MONTH(TODAY()),1))),1,0))</f>
        <v/>
      </c>
      <c r="U453">
        <f>IF($A453="","",IF(AND($B453&gt;0,H453&lt;$B453,DATE($B$1,6,1)&lt;=TODAY(),OR($O453="",$O453&gt;=DATE($B$1,6,1)),OR(COUNTIF($C453:H453,"&gt;0")&gt;0,DATE($B$1,6,1)=DATE(YEAR(TODAY()),MONTH(TODAY()),1))),1,0))</f>
        <v/>
      </c>
      <c r="V453">
        <f>IF($A453="","",IF(AND($B453&gt;0,I453&lt;$B453,DATE($B$1,7,1)&lt;=TODAY(),OR($O453="",$O453&gt;=DATE($B$1,7,1)),OR(COUNTIF($C453:I453,"&gt;0")&gt;0,DATE($B$1,7,1)=DATE(YEAR(TODAY()),MONTH(TODAY()),1))),1,0))</f>
        <v/>
      </c>
      <c r="W453">
        <f>IF($A453="","",IF(AND($B453&gt;0,J453&lt;$B453,DATE($B$1,8,1)&lt;=TODAY(),OR($O453="",$O453&gt;=DATE($B$1,8,1)),OR(COUNTIF($C453:J453,"&gt;0")&gt;0,DATE($B$1,8,1)=DATE(YEAR(TODAY()),MONTH(TODAY()),1))),1,0))</f>
        <v/>
      </c>
      <c r="X453">
        <f>IF($A453="","",IF(AND($B453&gt;0,K453&lt;$B453,DATE($B$1,9,1)&lt;=TODAY(),OR($O453="",$O453&gt;=DATE($B$1,9,1)),OR(COUNTIF($C453:K453,"&gt;0")&gt;0,DATE($B$1,9,1)=DATE(YEAR(TODAY()),MONTH(TODAY()),1))),1,0))</f>
        <v/>
      </c>
      <c r="Y453">
        <f>IF($A453="","",IF(AND($B453&gt;0,L453&lt;$B453,DATE($B$1,10,1)&lt;=TODAY(),OR($O453="",$O453&gt;=DATE($B$1,10,1)),OR(COUNTIF($C453:L453,"&gt;0")&gt;0,DATE($B$1,10,1)=DATE(YEAR(TODAY()),MONTH(TODAY()),1))),1,0))</f>
        <v/>
      </c>
      <c r="Z453">
        <f>IF($A453="","",IF(AND($B453&gt;0,M453&lt;$B453,DATE($B$1,11,1)&lt;=TODAY(),OR($O453="",$O453&gt;=DATE($B$1,11,1)),OR(COUNTIF($C453:M453,"&gt;0")&gt;0,DATE($B$1,11,1)=DATE(YEAR(TODAY()),MONTH(TODAY()),1))),1,0))</f>
        <v/>
      </c>
      <c r="AA453">
        <f>IF($A453="","",IF(AND($B453&gt;0,N453&lt;$B453,DATE($B$1,12,1)&lt;=TODAY(),OR($O453="",$O453&gt;=DATE($B$1,12,1)),OR(COUNTIF($C453:N453,"&gt;0")&gt;0,DATE($B$1,12,1)=DATE(YEAR(TODAY()),MONTH(TODAY()),1))),1,0))</f>
        <v/>
      </c>
    </row>
    <row r="454">
      <c r="A454" s="13">
        <f>IF(원생!$A452="","",원생!$A452&amp;IF(원생!$G452="",""," ("&amp;원생!$G452&amp;")"))</f>
        <v/>
      </c>
      <c r="B454" s="8">
        <f>IF(원생!$A452="","",N(원생!$F452))</f>
        <v/>
      </c>
      <c r="C454" s="14">
        <f>IF(원생!$A452="","",SUMIFS(계산!$C:$C,계산!$A:$A,계산!$E452,계산!$B:$B,$B$1*100+1))</f>
        <v/>
      </c>
      <c r="D454" s="14">
        <f>IF(원생!$A452="","",SUMIFS(계산!$C:$C,계산!$A:$A,계산!$E452,계산!$B:$B,$B$1*100+2))</f>
        <v/>
      </c>
      <c r="E454" s="14">
        <f>IF(원생!$A452="","",SUMIFS(계산!$C:$C,계산!$A:$A,계산!$E452,계산!$B:$B,$B$1*100+3))</f>
        <v/>
      </c>
      <c r="F454" s="14">
        <f>IF(원생!$A452="","",SUMIFS(계산!$C:$C,계산!$A:$A,계산!$E452,계산!$B:$B,$B$1*100+4))</f>
        <v/>
      </c>
      <c r="G454" s="14">
        <f>IF(원생!$A452="","",SUMIFS(계산!$C:$C,계산!$A:$A,계산!$E452,계산!$B:$B,$B$1*100+5))</f>
        <v/>
      </c>
      <c r="H454" s="14">
        <f>IF(원생!$A452="","",SUMIFS(계산!$C:$C,계산!$A:$A,계산!$E452,계산!$B:$B,$B$1*100+6))</f>
        <v/>
      </c>
      <c r="I454" s="14">
        <f>IF(원생!$A452="","",SUMIFS(계산!$C:$C,계산!$A:$A,계산!$E452,계산!$B:$B,$B$1*100+7))</f>
        <v/>
      </c>
      <c r="J454" s="14">
        <f>IF(원생!$A452="","",SUMIFS(계산!$C:$C,계산!$A:$A,계산!$E452,계산!$B:$B,$B$1*100+8))</f>
        <v/>
      </c>
      <c r="K454" s="14">
        <f>IF(원생!$A452="","",SUMIFS(계산!$C:$C,계산!$A:$A,계산!$E452,계산!$B:$B,$B$1*100+9))</f>
        <v/>
      </c>
      <c r="L454" s="14">
        <f>IF(원생!$A452="","",SUMIFS(계산!$C:$C,계산!$A:$A,계산!$E452,계산!$B:$B,$B$1*100+10))</f>
        <v/>
      </c>
      <c r="M454" s="14">
        <f>IF(원생!$A452="","",SUMIFS(계산!$C:$C,계산!$A:$A,계산!$E452,계산!$B:$B,$B$1*100+11))</f>
        <v/>
      </c>
      <c r="N454" s="14">
        <f>IF(원생!$A452="","",SUMIFS(계산!$C:$C,계산!$A:$A,계산!$E452,계산!$B:$B,$B$1*100+12))</f>
        <v/>
      </c>
      <c r="O454">
        <f>IF(원생!$I452="","",원생!$I452)</f>
        <v/>
      </c>
      <c r="P454">
        <f>IF($A454="","",IF(AND($B454&gt;0,C454&lt;$B454,DATE($B$1,1,1)&lt;=TODAY(),OR($O454="",$O454&gt;=DATE($B$1,1,1)),OR(COUNTIF($C454:C454,"&gt;0")&gt;0,DATE($B$1,1,1)=DATE(YEAR(TODAY()),MONTH(TODAY()),1))),1,0))</f>
        <v/>
      </c>
      <c r="Q454">
        <f>IF($A454="","",IF(AND($B454&gt;0,D454&lt;$B454,DATE($B$1,2,1)&lt;=TODAY(),OR($O454="",$O454&gt;=DATE($B$1,2,1)),OR(COUNTIF($C454:D454,"&gt;0")&gt;0,DATE($B$1,2,1)=DATE(YEAR(TODAY()),MONTH(TODAY()),1))),1,0))</f>
        <v/>
      </c>
      <c r="R454">
        <f>IF($A454="","",IF(AND($B454&gt;0,E454&lt;$B454,DATE($B$1,3,1)&lt;=TODAY(),OR($O454="",$O454&gt;=DATE($B$1,3,1)),OR(COUNTIF($C454:E454,"&gt;0")&gt;0,DATE($B$1,3,1)=DATE(YEAR(TODAY()),MONTH(TODAY()),1))),1,0))</f>
        <v/>
      </c>
      <c r="S454">
        <f>IF($A454="","",IF(AND($B454&gt;0,F454&lt;$B454,DATE($B$1,4,1)&lt;=TODAY(),OR($O454="",$O454&gt;=DATE($B$1,4,1)),OR(COUNTIF($C454:F454,"&gt;0")&gt;0,DATE($B$1,4,1)=DATE(YEAR(TODAY()),MONTH(TODAY()),1))),1,0))</f>
        <v/>
      </c>
      <c r="T454">
        <f>IF($A454="","",IF(AND($B454&gt;0,G454&lt;$B454,DATE($B$1,5,1)&lt;=TODAY(),OR($O454="",$O454&gt;=DATE($B$1,5,1)),OR(COUNTIF($C454:G454,"&gt;0")&gt;0,DATE($B$1,5,1)=DATE(YEAR(TODAY()),MONTH(TODAY()),1))),1,0))</f>
        <v/>
      </c>
      <c r="U454">
        <f>IF($A454="","",IF(AND($B454&gt;0,H454&lt;$B454,DATE($B$1,6,1)&lt;=TODAY(),OR($O454="",$O454&gt;=DATE($B$1,6,1)),OR(COUNTIF($C454:H454,"&gt;0")&gt;0,DATE($B$1,6,1)=DATE(YEAR(TODAY()),MONTH(TODAY()),1))),1,0))</f>
        <v/>
      </c>
      <c r="V454">
        <f>IF($A454="","",IF(AND($B454&gt;0,I454&lt;$B454,DATE($B$1,7,1)&lt;=TODAY(),OR($O454="",$O454&gt;=DATE($B$1,7,1)),OR(COUNTIF($C454:I454,"&gt;0")&gt;0,DATE($B$1,7,1)=DATE(YEAR(TODAY()),MONTH(TODAY()),1))),1,0))</f>
        <v/>
      </c>
      <c r="W454">
        <f>IF($A454="","",IF(AND($B454&gt;0,J454&lt;$B454,DATE($B$1,8,1)&lt;=TODAY(),OR($O454="",$O454&gt;=DATE($B$1,8,1)),OR(COUNTIF($C454:J454,"&gt;0")&gt;0,DATE($B$1,8,1)=DATE(YEAR(TODAY()),MONTH(TODAY()),1))),1,0))</f>
        <v/>
      </c>
      <c r="X454">
        <f>IF($A454="","",IF(AND($B454&gt;0,K454&lt;$B454,DATE($B$1,9,1)&lt;=TODAY(),OR($O454="",$O454&gt;=DATE($B$1,9,1)),OR(COUNTIF($C454:K454,"&gt;0")&gt;0,DATE($B$1,9,1)=DATE(YEAR(TODAY()),MONTH(TODAY()),1))),1,0))</f>
        <v/>
      </c>
      <c r="Y454">
        <f>IF($A454="","",IF(AND($B454&gt;0,L454&lt;$B454,DATE($B$1,10,1)&lt;=TODAY(),OR($O454="",$O454&gt;=DATE($B$1,10,1)),OR(COUNTIF($C454:L454,"&gt;0")&gt;0,DATE($B$1,10,1)=DATE(YEAR(TODAY()),MONTH(TODAY()),1))),1,0))</f>
        <v/>
      </c>
      <c r="Z454">
        <f>IF($A454="","",IF(AND($B454&gt;0,M454&lt;$B454,DATE($B$1,11,1)&lt;=TODAY(),OR($O454="",$O454&gt;=DATE($B$1,11,1)),OR(COUNTIF($C454:M454,"&gt;0")&gt;0,DATE($B$1,11,1)=DATE(YEAR(TODAY()),MONTH(TODAY()),1))),1,0))</f>
        <v/>
      </c>
      <c r="AA454">
        <f>IF($A454="","",IF(AND($B454&gt;0,N454&lt;$B454,DATE($B$1,12,1)&lt;=TODAY(),OR($O454="",$O454&gt;=DATE($B$1,12,1)),OR(COUNTIF($C454:N454,"&gt;0")&gt;0,DATE($B$1,12,1)=DATE(YEAR(TODAY()),MONTH(TODAY()),1))),1,0))</f>
        <v/>
      </c>
    </row>
    <row r="455">
      <c r="A455" s="13">
        <f>IF(원생!$A453="","",원생!$A453&amp;IF(원생!$G453="",""," ("&amp;원생!$G453&amp;")"))</f>
        <v/>
      </c>
      <c r="B455" s="8">
        <f>IF(원생!$A453="","",N(원생!$F453))</f>
        <v/>
      </c>
      <c r="C455" s="14">
        <f>IF(원생!$A453="","",SUMIFS(계산!$C:$C,계산!$A:$A,계산!$E453,계산!$B:$B,$B$1*100+1))</f>
        <v/>
      </c>
      <c r="D455" s="14">
        <f>IF(원생!$A453="","",SUMIFS(계산!$C:$C,계산!$A:$A,계산!$E453,계산!$B:$B,$B$1*100+2))</f>
        <v/>
      </c>
      <c r="E455" s="14">
        <f>IF(원생!$A453="","",SUMIFS(계산!$C:$C,계산!$A:$A,계산!$E453,계산!$B:$B,$B$1*100+3))</f>
        <v/>
      </c>
      <c r="F455" s="14">
        <f>IF(원생!$A453="","",SUMIFS(계산!$C:$C,계산!$A:$A,계산!$E453,계산!$B:$B,$B$1*100+4))</f>
        <v/>
      </c>
      <c r="G455" s="14">
        <f>IF(원생!$A453="","",SUMIFS(계산!$C:$C,계산!$A:$A,계산!$E453,계산!$B:$B,$B$1*100+5))</f>
        <v/>
      </c>
      <c r="H455" s="14">
        <f>IF(원생!$A453="","",SUMIFS(계산!$C:$C,계산!$A:$A,계산!$E453,계산!$B:$B,$B$1*100+6))</f>
        <v/>
      </c>
      <c r="I455" s="14">
        <f>IF(원생!$A453="","",SUMIFS(계산!$C:$C,계산!$A:$A,계산!$E453,계산!$B:$B,$B$1*100+7))</f>
        <v/>
      </c>
      <c r="J455" s="14">
        <f>IF(원생!$A453="","",SUMIFS(계산!$C:$C,계산!$A:$A,계산!$E453,계산!$B:$B,$B$1*100+8))</f>
        <v/>
      </c>
      <c r="K455" s="14">
        <f>IF(원생!$A453="","",SUMIFS(계산!$C:$C,계산!$A:$A,계산!$E453,계산!$B:$B,$B$1*100+9))</f>
        <v/>
      </c>
      <c r="L455" s="14">
        <f>IF(원생!$A453="","",SUMIFS(계산!$C:$C,계산!$A:$A,계산!$E453,계산!$B:$B,$B$1*100+10))</f>
        <v/>
      </c>
      <c r="M455" s="14">
        <f>IF(원생!$A453="","",SUMIFS(계산!$C:$C,계산!$A:$A,계산!$E453,계산!$B:$B,$B$1*100+11))</f>
        <v/>
      </c>
      <c r="N455" s="14">
        <f>IF(원생!$A453="","",SUMIFS(계산!$C:$C,계산!$A:$A,계산!$E453,계산!$B:$B,$B$1*100+12))</f>
        <v/>
      </c>
      <c r="O455">
        <f>IF(원생!$I453="","",원생!$I453)</f>
        <v/>
      </c>
      <c r="P455">
        <f>IF($A455="","",IF(AND($B455&gt;0,C455&lt;$B455,DATE($B$1,1,1)&lt;=TODAY(),OR($O455="",$O455&gt;=DATE($B$1,1,1)),OR(COUNTIF($C455:C455,"&gt;0")&gt;0,DATE($B$1,1,1)=DATE(YEAR(TODAY()),MONTH(TODAY()),1))),1,0))</f>
        <v/>
      </c>
      <c r="Q455">
        <f>IF($A455="","",IF(AND($B455&gt;0,D455&lt;$B455,DATE($B$1,2,1)&lt;=TODAY(),OR($O455="",$O455&gt;=DATE($B$1,2,1)),OR(COUNTIF($C455:D455,"&gt;0")&gt;0,DATE($B$1,2,1)=DATE(YEAR(TODAY()),MONTH(TODAY()),1))),1,0))</f>
        <v/>
      </c>
      <c r="R455">
        <f>IF($A455="","",IF(AND($B455&gt;0,E455&lt;$B455,DATE($B$1,3,1)&lt;=TODAY(),OR($O455="",$O455&gt;=DATE($B$1,3,1)),OR(COUNTIF($C455:E455,"&gt;0")&gt;0,DATE($B$1,3,1)=DATE(YEAR(TODAY()),MONTH(TODAY()),1))),1,0))</f>
        <v/>
      </c>
      <c r="S455">
        <f>IF($A455="","",IF(AND($B455&gt;0,F455&lt;$B455,DATE($B$1,4,1)&lt;=TODAY(),OR($O455="",$O455&gt;=DATE($B$1,4,1)),OR(COUNTIF($C455:F455,"&gt;0")&gt;0,DATE($B$1,4,1)=DATE(YEAR(TODAY()),MONTH(TODAY()),1))),1,0))</f>
        <v/>
      </c>
      <c r="T455">
        <f>IF($A455="","",IF(AND($B455&gt;0,G455&lt;$B455,DATE($B$1,5,1)&lt;=TODAY(),OR($O455="",$O455&gt;=DATE($B$1,5,1)),OR(COUNTIF($C455:G455,"&gt;0")&gt;0,DATE($B$1,5,1)=DATE(YEAR(TODAY()),MONTH(TODAY()),1))),1,0))</f>
        <v/>
      </c>
      <c r="U455">
        <f>IF($A455="","",IF(AND($B455&gt;0,H455&lt;$B455,DATE($B$1,6,1)&lt;=TODAY(),OR($O455="",$O455&gt;=DATE($B$1,6,1)),OR(COUNTIF($C455:H455,"&gt;0")&gt;0,DATE($B$1,6,1)=DATE(YEAR(TODAY()),MONTH(TODAY()),1))),1,0))</f>
        <v/>
      </c>
      <c r="V455">
        <f>IF($A455="","",IF(AND($B455&gt;0,I455&lt;$B455,DATE($B$1,7,1)&lt;=TODAY(),OR($O455="",$O455&gt;=DATE($B$1,7,1)),OR(COUNTIF($C455:I455,"&gt;0")&gt;0,DATE($B$1,7,1)=DATE(YEAR(TODAY()),MONTH(TODAY()),1))),1,0))</f>
        <v/>
      </c>
      <c r="W455">
        <f>IF($A455="","",IF(AND($B455&gt;0,J455&lt;$B455,DATE($B$1,8,1)&lt;=TODAY(),OR($O455="",$O455&gt;=DATE($B$1,8,1)),OR(COUNTIF($C455:J455,"&gt;0")&gt;0,DATE($B$1,8,1)=DATE(YEAR(TODAY()),MONTH(TODAY()),1))),1,0))</f>
        <v/>
      </c>
      <c r="X455">
        <f>IF($A455="","",IF(AND($B455&gt;0,K455&lt;$B455,DATE($B$1,9,1)&lt;=TODAY(),OR($O455="",$O455&gt;=DATE($B$1,9,1)),OR(COUNTIF($C455:K455,"&gt;0")&gt;0,DATE($B$1,9,1)=DATE(YEAR(TODAY()),MONTH(TODAY()),1))),1,0))</f>
        <v/>
      </c>
      <c r="Y455">
        <f>IF($A455="","",IF(AND($B455&gt;0,L455&lt;$B455,DATE($B$1,10,1)&lt;=TODAY(),OR($O455="",$O455&gt;=DATE($B$1,10,1)),OR(COUNTIF($C455:L455,"&gt;0")&gt;0,DATE($B$1,10,1)=DATE(YEAR(TODAY()),MONTH(TODAY()),1))),1,0))</f>
        <v/>
      </c>
      <c r="Z455">
        <f>IF($A455="","",IF(AND($B455&gt;0,M455&lt;$B455,DATE($B$1,11,1)&lt;=TODAY(),OR($O455="",$O455&gt;=DATE($B$1,11,1)),OR(COUNTIF($C455:M455,"&gt;0")&gt;0,DATE($B$1,11,1)=DATE(YEAR(TODAY()),MONTH(TODAY()),1))),1,0))</f>
        <v/>
      </c>
      <c r="AA455">
        <f>IF($A455="","",IF(AND($B455&gt;0,N455&lt;$B455,DATE($B$1,12,1)&lt;=TODAY(),OR($O455="",$O455&gt;=DATE($B$1,12,1)),OR(COUNTIF($C455:N455,"&gt;0")&gt;0,DATE($B$1,12,1)=DATE(YEAR(TODAY()),MONTH(TODAY()),1))),1,0))</f>
        <v/>
      </c>
    </row>
    <row r="456">
      <c r="A456" s="13">
        <f>IF(원생!$A454="","",원생!$A454&amp;IF(원생!$G454="",""," ("&amp;원생!$G454&amp;")"))</f>
        <v/>
      </c>
      <c r="B456" s="8">
        <f>IF(원생!$A454="","",N(원생!$F454))</f>
        <v/>
      </c>
      <c r="C456" s="14">
        <f>IF(원생!$A454="","",SUMIFS(계산!$C:$C,계산!$A:$A,계산!$E454,계산!$B:$B,$B$1*100+1))</f>
        <v/>
      </c>
      <c r="D456" s="14">
        <f>IF(원생!$A454="","",SUMIFS(계산!$C:$C,계산!$A:$A,계산!$E454,계산!$B:$B,$B$1*100+2))</f>
        <v/>
      </c>
      <c r="E456" s="14">
        <f>IF(원생!$A454="","",SUMIFS(계산!$C:$C,계산!$A:$A,계산!$E454,계산!$B:$B,$B$1*100+3))</f>
        <v/>
      </c>
      <c r="F456" s="14">
        <f>IF(원생!$A454="","",SUMIFS(계산!$C:$C,계산!$A:$A,계산!$E454,계산!$B:$B,$B$1*100+4))</f>
        <v/>
      </c>
      <c r="G456" s="14">
        <f>IF(원생!$A454="","",SUMIFS(계산!$C:$C,계산!$A:$A,계산!$E454,계산!$B:$B,$B$1*100+5))</f>
        <v/>
      </c>
      <c r="H456" s="14">
        <f>IF(원생!$A454="","",SUMIFS(계산!$C:$C,계산!$A:$A,계산!$E454,계산!$B:$B,$B$1*100+6))</f>
        <v/>
      </c>
      <c r="I456" s="14">
        <f>IF(원생!$A454="","",SUMIFS(계산!$C:$C,계산!$A:$A,계산!$E454,계산!$B:$B,$B$1*100+7))</f>
        <v/>
      </c>
      <c r="J456" s="14">
        <f>IF(원생!$A454="","",SUMIFS(계산!$C:$C,계산!$A:$A,계산!$E454,계산!$B:$B,$B$1*100+8))</f>
        <v/>
      </c>
      <c r="K456" s="14">
        <f>IF(원생!$A454="","",SUMIFS(계산!$C:$C,계산!$A:$A,계산!$E454,계산!$B:$B,$B$1*100+9))</f>
        <v/>
      </c>
      <c r="L456" s="14">
        <f>IF(원생!$A454="","",SUMIFS(계산!$C:$C,계산!$A:$A,계산!$E454,계산!$B:$B,$B$1*100+10))</f>
        <v/>
      </c>
      <c r="M456" s="14">
        <f>IF(원생!$A454="","",SUMIFS(계산!$C:$C,계산!$A:$A,계산!$E454,계산!$B:$B,$B$1*100+11))</f>
        <v/>
      </c>
      <c r="N456" s="14">
        <f>IF(원생!$A454="","",SUMIFS(계산!$C:$C,계산!$A:$A,계산!$E454,계산!$B:$B,$B$1*100+12))</f>
        <v/>
      </c>
      <c r="O456">
        <f>IF(원생!$I454="","",원생!$I454)</f>
        <v/>
      </c>
      <c r="P456">
        <f>IF($A456="","",IF(AND($B456&gt;0,C456&lt;$B456,DATE($B$1,1,1)&lt;=TODAY(),OR($O456="",$O456&gt;=DATE($B$1,1,1)),OR(COUNTIF($C456:C456,"&gt;0")&gt;0,DATE($B$1,1,1)=DATE(YEAR(TODAY()),MONTH(TODAY()),1))),1,0))</f>
        <v/>
      </c>
      <c r="Q456">
        <f>IF($A456="","",IF(AND($B456&gt;0,D456&lt;$B456,DATE($B$1,2,1)&lt;=TODAY(),OR($O456="",$O456&gt;=DATE($B$1,2,1)),OR(COUNTIF($C456:D456,"&gt;0")&gt;0,DATE($B$1,2,1)=DATE(YEAR(TODAY()),MONTH(TODAY()),1))),1,0))</f>
        <v/>
      </c>
      <c r="R456">
        <f>IF($A456="","",IF(AND($B456&gt;0,E456&lt;$B456,DATE($B$1,3,1)&lt;=TODAY(),OR($O456="",$O456&gt;=DATE($B$1,3,1)),OR(COUNTIF($C456:E456,"&gt;0")&gt;0,DATE($B$1,3,1)=DATE(YEAR(TODAY()),MONTH(TODAY()),1))),1,0))</f>
        <v/>
      </c>
      <c r="S456">
        <f>IF($A456="","",IF(AND($B456&gt;0,F456&lt;$B456,DATE($B$1,4,1)&lt;=TODAY(),OR($O456="",$O456&gt;=DATE($B$1,4,1)),OR(COUNTIF($C456:F456,"&gt;0")&gt;0,DATE($B$1,4,1)=DATE(YEAR(TODAY()),MONTH(TODAY()),1))),1,0))</f>
        <v/>
      </c>
      <c r="T456">
        <f>IF($A456="","",IF(AND($B456&gt;0,G456&lt;$B456,DATE($B$1,5,1)&lt;=TODAY(),OR($O456="",$O456&gt;=DATE($B$1,5,1)),OR(COUNTIF($C456:G456,"&gt;0")&gt;0,DATE($B$1,5,1)=DATE(YEAR(TODAY()),MONTH(TODAY()),1))),1,0))</f>
        <v/>
      </c>
      <c r="U456">
        <f>IF($A456="","",IF(AND($B456&gt;0,H456&lt;$B456,DATE($B$1,6,1)&lt;=TODAY(),OR($O456="",$O456&gt;=DATE($B$1,6,1)),OR(COUNTIF($C456:H456,"&gt;0")&gt;0,DATE($B$1,6,1)=DATE(YEAR(TODAY()),MONTH(TODAY()),1))),1,0))</f>
        <v/>
      </c>
      <c r="V456">
        <f>IF($A456="","",IF(AND($B456&gt;0,I456&lt;$B456,DATE($B$1,7,1)&lt;=TODAY(),OR($O456="",$O456&gt;=DATE($B$1,7,1)),OR(COUNTIF($C456:I456,"&gt;0")&gt;0,DATE($B$1,7,1)=DATE(YEAR(TODAY()),MONTH(TODAY()),1))),1,0))</f>
        <v/>
      </c>
      <c r="W456">
        <f>IF($A456="","",IF(AND($B456&gt;0,J456&lt;$B456,DATE($B$1,8,1)&lt;=TODAY(),OR($O456="",$O456&gt;=DATE($B$1,8,1)),OR(COUNTIF($C456:J456,"&gt;0")&gt;0,DATE($B$1,8,1)=DATE(YEAR(TODAY()),MONTH(TODAY()),1))),1,0))</f>
        <v/>
      </c>
      <c r="X456">
        <f>IF($A456="","",IF(AND($B456&gt;0,K456&lt;$B456,DATE($B$1,9,1)&lt;=TODAY(),OR($O456="",$O456&gt;=DATE($B$1,9,1)),OR(COUNTIF($C456:K456,"&gt;0")&gt;0,DATE($B$1,9,1)=DATE(YEAR(TODAY()),MONTH(TODAY()),1))),1,0))</f>
        <v/>
      </c>
      <c r="Y456">
        <f>IF($A456="","",IF(AND($B456&gt;0,L456&lt;$B456,DATE($B$1,10,1)&lt;=TODAY(),OR($O456="",$O456&gt;=DATE($B$1,10,1)),OR(COUNTIF($C456:L456,"&gt;0")&gt;0,DATE($B$1,10,1)=DATE(YEAR(TODAY()),MONTH(TODAY()),1))),1,0))</f>
        <v/>
      </c>
      <c r="Z456">
        <f>IF($A456="","",IF(AND($B456&gt;0,M456&lt;$B456,DATE($B$1,11,1)&lt;=TODAY(),OR($O456="",$O456&gt;=DATE($B$1,11,1)),OR(COUNTIF($C456:M456,"&gt;0")&gt;0,DATE($B$1,11,1)=DATE(YEAR(TODAY()),MONTH(TODAY()),1))),1,0))</f>
        <v/>
      </c>
      <c r="AA456">
        <f>IF($A456="","",IF(AND($B456&gt;0,N456&lt;$B456,DATE($B$1,12,1)&lt;=TODAY(),OR($O456="",$O456&gt;=DATE($B$1,12,1)),OR(COUNTIF($C456:N456,"&gt;0")&gt;0,DATE($B$1,12,1)=DATE(YEAR(TODAY()),MONTH(TODAY()),1))),1,0))</f>
        <v/>
      </c>
    </row>
    <row r="457">
      <c r="A457" s="13">
        <f>IF(원생!$A455="","",원생!$A455&amp;IF(원생!$G455="",""," ("&amp;원생!$G455&amp;")"))</f>
        <v/>
      </c>
      <c r="B457" s="8">
        <f>IF(원생!$A455="","",N(원생!$F455))</f>
        <v/>
      </c>
      <c r="C457" s="14">
        <f>IF(원생!$A455="","",SUMIFS(계산!$C:$C,계산!$A:$A,계산!$E455,계산!$B:$B,$B$1*100+1))</f>
        <v/>
      </c>
      <c r="D457" s="14">
        <f>IF(원생!$A455="","",SUMIFS(계산!$C:$C,계산!$A:$A,계산!$E455,계산!$B:$B,$B$1*100+2))</f>
        <v/>
      </c>
      <c r="E457" s="14">
        <f>IF(원생!$A455="","",SUMIFS(계산!$C:$C,계산!$A:$A,계산!$E455,계산!$B:$B,$B$1*100+3))</f>
        <v/>
      </c>
      <c r="F457" s="14">
        <f>IF(원생!$A455="","",SUMIFS(계산!$C:$C,계산!$A:$A,계산!$E455,계산!$B:$B,$B$1*100+4))</f>
        <v/>
      </c>
      <c r="G457" s="14">
        <f>IF(원생!$A455="","",SUMIFS(계산!$C:$C,계산!$A:$A,계산!$E455,계산!$B:$B,$B$1*100+5))</f>
        <v/>
      </c>
      <c r="H457" s="14">
        <f>IF(원생!$A455="","",SUMIFS(계산!$C:$C,계산!$A:$A,계산!$E455,계산!$B:$B,$B$1*100+6))</f>
        <v/>
      </c>
      <c r="I457" s="14">
        <f>IF(원생!$A455="","",SUMIFS(계산!$C:$C,계산!$A:$A,계산!$E455,계산!$B:$B,$B$1*100+7))</f>
        <v/>
      </c>
      <c r="J457" s="14">
        <f>IF(원생!$A455="","",SUMIFS(계산!$C:$C,계산!$A:$A,계산!$E455,계산!$B:$B,$B$1*100+8))</f>
        <v/>
      </c>
      <c r="K457" s="14">
        <f>IF(원생!$A455="","",SUMIFS(계산!$C:$C,계산!$A:$A,계산!$E455,계산!$B:$B,$B$1*100+9))</f>
        <v/>
      </c>
      <c r="L457" s="14">
        <f>IF(원생!$A455="","",SUMIFS(계산!$C:$C,계산!$A:$A,계산!$E455,계산!$B:$B,$B$1*100+10))</f>
        <v/>
      </c>
      <c r="M457" s="14">
        <f>IF(원생!$A455="","",SUMIFS(계산!$C:$C,계산!$A:$A,계산!$E455,계산!$B:$B,$B$1*100+11))</f>
        <v/>
      </c>
      <c r="N457" s="14">
        <f>IF(원생!$A455="","",SUMIFS(계산!$C:$C,계산!$A:$A,계산!$E455,계산!$B:$B,$B$1*100+12))</f>
        <v/>
      </c>
      <c r="O457">
        <f>IF(원생!$I455="","",원생!$I455)</f>
        <v/>
      </c>
      <c r="P457">
        <f>IF($A457="","",IF(AND($B457&gt;0,C457&lt;$B457,DATE($B$1,1,1)&lt;=TODAY(),OR($O457="",$O457&gt;=DATE($B$1,1,1)),OR(COUNTIF($C457:C457,"&gt;0")&gt;0,DATE($B$1,1,1)=DATE(YEAR(TODAY()),MONTH(TODAY()),1))),1,0))</f>
        <v/>
      </c>
      <c r="Q457">
        <f>IF($A457="","",IF(AND($B457&gt;0,D457&lt;$B457,DATE($B$1,2,1)&lt;=TODAY(),OR($O457="",$O457&gt;=DATE($B$1,2,1)),OR(COUNTIF($C457:D457,"&gt;0")&gt;0,DATE($B$1,2,1)=DATE(YEAR(TODAY()),MONTH(TODAY()),1))),1,0))</f>
        <v/>
      </c>
      <c r="R457">
        <f>IF($A457="","",IF(AND($B457&gt;0,E457&lt;$B457,DATE($B$1,3,1)&lt;=TODAY(),OR($O457="",$O457&gt;=DATE($B$1,3,1)),OR(COUNTIF($C457:E457,"&gt;0")&gt;0,DATE($B$1,3,1)=DATE(YEAR(TODAY()),MONTH(TODAY()),1))),1,0))</f>
        <v/>
      </c>
      <c r="S457">
        <f>IF($A457="","",IF(AND($B457&gt;0,F457&lt;$B457,DATE($B$1,4,1)&lt;=TODAY(),OR($O457="",$O457&gt;=DATE($B$1,4,1)),OR(COUNTIF($C457:F457,"&gt;0")&gt;0,DATE($B$1,4,1)=DATE(YEAR(TODAY()),MONTH(TODAY()),1))),1,0))</f>
        <v/>
      </c>
      <c r="T457">
        <f>IF($A457="","",IF(AND($B457&gt;0,G457&lt;$B457,DATE($B$1,5,1)&lt;=TODAY(),OR($O457="",$O457&gt;=DATE($B$1,5,1)),OR(COUNTIF($C457:G457,"&gt;0")&gt;0,DATE($B$1,5,1)=DATE(YEAR(TODAY()),MONTH(TODAY()),1))),1,0))</f>
        <v/>
      </c>
      <c r="U457">
        <f>IF($A457="","",IF(AND($B457&gt;0,H457&lt;$B457,DATE($B$1,6,1)&lt;=TODAY(),OR($O457="",$O457&gt;=DATE($B$1,6,1)),OR(COUNTIF($C457:H457,"&gt;0")&gt;0,DATE($B$1,6,1)=DATE(YEAR(TODAY()),MONTH(TODAY()),1))),1,0))</f>
        <v/>
      </c>
      <c r="V457">
        <f>IF($A457="","",IF(AND($B457&gt;0,I457&lt;$B457,DATE($B$1,7,1)&lt;=TODAY(),OR($O457="",$O457&gt;=DATE($B$1,7,1)),OR(COUNTIF($C457:I457,"&gt;0")&gt;0,DATE($B$1,7,1)=DATE(YEAR(TODAY()),MONTH(TODAY()),1))),1,0))</f>
        <v/>
      </c>
      <c r="W457">
        <f>IF($A457="","",IF(AND($B457&gt;0,J457&lt;$B457,DATE($B$1,8,1)&lt;=TODAY(),OR($O457="",$O457&gt;=DATE($B$1,8,1)),OR(COUNTIF($C457:J457,"&gt;0")&gt;0,DATE($B$1,8,1)=DATE(YEAR(TODAY()),MONTH(TODAY()),1))),1,0))</f>
        <v/>
      </c>
      <c r="X457">
        <f>IF($A457="","",IF(AND($B457&gt;0,K457&lt;$B457,DATE($B$1,9,1)&lt;=TODAY(),OR($O457="",$O457&gt;=DATE($B$1,9,1)),OR(COUNTIF($C457:K457,"&gt;0")&gt;0,DATE($B$1,9,1)=DATE(YEAR(TODAY()),MONTH(TODAY()),1))),1,0))</f>
        <v/>
      </c>
      <c r="Y457">
        <f>IF($A457="","",IF(AND($B457&gt;0,L457&lt;$B457,DATE($B$1,10,1)&lt;=TODAY(),OR($O457="",$O457&gt;=DATE($B$1,10,1)),OR(COUNTIF($C457:L457,"&gt;0")&gt;0,DATE($B$1,10,1)=DATE(YEAR(TODAY()),MONTH(TODAY()),1))),1,0))</f>
        <v/>
      </c>
      <c r="Z457">
        <f>IF($A457="","",IF(AND($B457&gt;0,M457&lt;$B457,DATE($B$1,11,1)&lt;=TODAY(),OR($O457="",$O457&gt;=DATE($B$1,11,1)),OR(COUNTIF($C457:M457,"&gt;0")&gt;0,DATE($B$1,11,1)=DATE(YEAR(TODAY()),MONTH(TODAY()),1))),1,0))</f>
        <v/>
      </c>
      <c r="AA457">
        <f>IF($A457="","",IF(AND($B457&gt;0,N457&lt;$B457,DATE($B$1,12,1)&lt;=TODAY(),OR($O457="",$O457&gt;=DATE($B$1,12,1)),OR(COUNTIF($C457:N457,"&gt;0")&gt;0,DATE($B$1,12,1)=DATE(YEAR(TODAY()),MONTH(TODAY()),1))),1,0))</f>
        <v/>
      </c>
    </row>
    <row r="458">
      <c r="A458" s="13">
        <f>IF(원생!$A456="","",원생!$A456&amp;IF(원생!$G456="",""," ("&amp;원생!$G456&amp;")"))</f>
        <v/>
      </c>
      <c r="B458" s="8">
        <f>IF(원생!$A456="","",N(원생!$F456))</f>
        <v/>
      </c>
      <c r="C458" s="14">
        <f>IF(원생!$A456="","",SUMIFS(계산!$C:$C,계산!$A:$A,계산!$E456,계산!$B:$B,$B$1*100+1))</f>
        <v/>
      </c>
      <c r="D458" s="14">
        <f>IF(원생!$A456="","",SUMIFS(계산!$C:$C,계산!$A:$A,계산!$E456,계산!$B:$B,$B$1*100+2))</f>
        <v/>
      </c>
      <c r="E458" s="14">
        <f>IF(원생!$A456="","",SUMIFS(계산!$C:$C,계산!$A:$A,계산!$E456,계산!$B:$B,$B$1*100+3))</f>
        <v/>
      </c>
      <c r="F458" s="14">
        <f>IF(원생!$A456="","",SUMIFS(계산!$C:$C,계산!$A:$A,계산!$E456,계산!$B:$B,$B$1*100+4))</f>
        <v/>
      </c>
      <c r="G458" s="14">
        <f>IF(원생!$A456="","",SUMIFS(계산!$C:$C,계산!$A:$A,계산!$E456,계산!$B:$B,$B$1*100+5))</f>
        <v/>
      </c>
      <c r="H458" s="14">
        <f>IF(원생!$A456="","",SUMIFS(계산!$C:$C,계산!$A:$A,계산!$E456,계산!$B:$B,$B$1*100+6))</f>
        <v/>
      </c>
      <c r="I458" s="14">
        <f>IF(원생!$A456="","",SUMIFS(계산!$C:$C,계산!$A:$A,계산!$E456,계산!$B:$B,$B$1*100+7))</f>
        <v/>
      </c>
      <c r="J458" s="14">
        <f>IF(원생!$A456="","",SUMIFS(계산!$C:$C,계산!$A:$A,계산!$E456,계산!$B:$B,$B$1*100+8))</f>
        <v/>
      </c>
      <c r="K458" s="14">
        <f>IF(원생!$A456="","",SUMIFS(계산!$C:$C,계산!$A:$A,계산!$E456,계산!$B:$B,$B$1*100+9))</f>
        <v/>
      </c>
      <c r="L458" s="14">
        <f>IF(원생!$A456="","",SUMIFS(계산!$C:$C,계산!$A:$A,계산!$E456,계산!$B:$B,$B$1*100+10))</f>
        <v/>
      </c>
      <c r="M458" s="14">
        <f>IF(원생!$A456="","",SUMIFS(계산!$C:$C,계산!$A:$A,계산!$E456,계산!$B:$B,$B$1*100+11))</f>
        <v/>
      </c>
      <c r="N458" s="14">
        <f>IF(원생!$A456="","",SUMIFS(계산!$C:$C,계산!$A:$A,계산!$E456,계산!$B:$B,$B$1*100+12))</f>
        <v/>
      </c>
      <c r="O458">
        <f>IF(원생!$I456="","",원생!$I456)</f>
        <v/>
      </c>
      <c r="P458">
        <f>IF($A458="","",IF(AND($B458&gt;0,C458&lt;$B458,DATE($B$1,1,1)&lt;=TODAY(),OR($O458="",$O458&gt;=DATE($B$1,1,1)),OR(COUNTIF($C458:C458,"&gt;0")&gt;0,DATE($B$1,1,1)=DATE(YEAR(TODAY()),MONTH(TODAY()),1))),1,0))</f>
        <v/>
      </c>
      <c r="Q458">
        <f>IF($A458="","",IF(AND($B458&gt;0,D458&lt;$B458,DATE($B$1,2,1)&lt;=TODAY(),OR($O458="",$O458&gt;=DATE($B$1,2,1)),OR(COUNTIF($C458:D458,"&gt;0")&gt;0,DATE($B$1,2,1)=DATE(YEAR(TODAY()),MONTH(TODAY()),1))),1,0))</f>
        <v/>
      </c>
      <c r="R458">
        <f>IF($A458="","",IF(AND($B458&gt;0,E458&lt;$B458,DATE($B$1,3,1)&lt;=TODAY(),OR($O458="",$O458&gt;=DATE($B$1,3,1)),OR(COUNTIF($C458:E458,"&gt;0")&gt;0,DATE($B$1,3,1)=DATE(YEAR(TODAY()),MONTH(TODAY()),1))),1,0))</f>
        <v/>
      </c>
      <c r="S458">
        <f>IF($A458="","",IF(AND($B458&gt;0,F458&lt;$B458,DATE($B$1,4,1)&lt;=TODAY(),OR($O458="",$O458&gt;=DATE($B$1,4,1)),OR(COUNTIF($C458:F458,"&gt;0")&gt;0,DATE($B$1,4,1)=DATE(YEAR(TODAY()),MONTH(TODAY()),1))),1,0))</f>
        <v/>
      </c>
      <c r="T458">
        <f>IF($A458="","",IF(AND($B458&gt;0,G458&lt;$B458,DATE($B$1,5,1)&lt;=TODAY(),OR($O458="",$O458&gt;=DATE($B$1,5,1)),OR(COUNTIF($C458:G458,"&gt;0")&gt;0,DATE($B$1,5,1)=DATE(YEAR(TODAY()),MONTH(TODAY()),1))),1,0))</f>
        <v/>
      </c>
      <c r="U458">
        <f>IF($A458="","",IF(AND($B458&gt;0,H458&lt;$B458,DATE($B$1,6,1)&lt;=TODAY(),OR($O458="",$O458&gt;=DATE($B$1,6,1)),OR(COUNTIF($C458:H458,"&gt;0")&gt;0,DATE($B$1,6,1)=DATE(YEAR(TODAY()),MONTH(TODAY()),1))),1,0))</f>
        <v/>
      </c>
      <c r="V458">
        <f>IF($A458="","",IF(AND($B458&gt;0,I458&lt;$B458,DATE($B$1,7,1)&lt;=TODAY(),OR($O458="",$O458&gt;=DATE($B$1,7,1)),OR(COUNTIF($C458:I458,"&gt;0")&gt;0,DATE($B$1,7,1)=DATE(YEAR(TODAY()),MONTH(TODAY()),1))),1,0))</f>
        <v/>
      </c>
      <c r="W458">
        <f>IF($A458="","",IF(AND($B458&gt;0,J458&lt;$B458,DATE($B$1,8,1)&lt;=TODAY(),OR($O458="",$O458&gt;=DATE($B$1,8,1)),OR(COUNTIF($C458:J458,"&gt;0")&gt;0,DATE($B$1,8,1)=DATE(YEAR(TODAY()),MONTH(TODAY()),1))),1,0))</f>
        <v/>
      </c>
      <c r="X458">
        <f>IF($A458="","",IF(AND($B458&gt;0,K458&lt;$B458,DATE($B$1,9,1)&lt;=TODAY(),OR($O458="",$O458&gt;=DATE($B$1,9,1)),OR(COUNTIF($C458:K458,"&gt;0")&gt;0,DATE($B$1,9,1)=DATE(YEAR(TODAY()),MONTH(TODAY()),1))),1,0))</f>
        <v/>
      </c>
      <c r="Y458">
        <f>IF($A458="","",IF(AND($B458&gt;0,L458&lt;$B458,DATE($B$1,10,1)&lt;=TODAY(),OR($O458="",$O458&gt;=DATE($B$1,10,1)),OR(COUNTIF($C458:L458,"&gt;0")&gt;0,DATE($B$1,10,1)=DATE(YEAR(TODAY()),MONTH(TODAY()),1))),1,0))</f>
        <v/>
      </c>
      <c r="Z458">
        <f>IF($A458="","",IF(AND($B458&gt;0,M458&lt;$B458,DATE($B$1,11,1)&lt;=TODAY(),OR($O458="",$O458&gt;=DATE($B$1,11,1)),OR(COUNTIF($C458:M458,"&gt;0")&gt;0,DATE($B$1,11,1)=DATE(YEAR(TODAY()),MONTH(TODAY()),1))),1,0))</f>
        <v/>
      </c>
      <c r="AA458">
        <f>IF($A458="","",IF(AND($B458&gt;0,N458&lt;$B458,DATE($B$1,12,1)&lt;=TODAY(),OR($O458="",$O458&gt;=DATE($B$1,12,1)),OR(COUNTIF($C458:N458,"&gt;0")&gt;0,DATE($B$1,12,1)=DATE(YEAR(TODAY()),MONTH(TODAY()),1))),1,0))</f>
        <v/>
      </c>
    </row>
    <row r="459">
      <c r="A459" s="13">
        <f>IF(원생!$A457="","",원생!$A457&amp;IF(원생!$G457="",""," ("&amp;원생!$G457&amp;")"))</f>
        <v/>
      </c>
      <c r="B459" s="8">
        <f>IF(원생!$A457="","",N(원생!$F457))</f>
        <v/>
      </c>
      <c r="C459" s="14">
        <f>IF(원생!$A457="","",SUMIFS(계산!$C:$C,계산!$A:$A,계산!$E457,계산!$B:$B,$B$1*100+1))</f>
        <v/>
      </c>
      <c r="D459" s="14">
        <f>IF(원생!$A457="","",SUMIFS(계산!$C:$C,계산!$A:$A,계산!$E457,계산!$B:$B,$B$1*100+2))</f>
        <v/>
      </c>
      <c r="E459" s="14">
        <f>IF(원생!$A457="","",SUMIFS(계산!$C:$C,계산!$A:$A,계산!$E457,계산!$B:$B,$B$1*100+3))</f>
        <v/>
      </c>
      <c r="F459" s="14">
        <f>IF(원생!$A457="","",SUMIFS(계산!$C:$C,계산!$A:$A,계산!$E457,계산!$B:$B,$B$1*100+4))</f>
        <v/>
      </c>
      <c r="G459" s="14">
        <f>IF(원생!$A457="","",SUMIFS(계산!$C:$C,계산!$A:$A,계산!$E457,계산!$B:$B,$B$1*100+5))</f>
        <v/>
      </c>
      <c r="H459" s="14">
        <f>IF(원생!$A457="","",SUMIFS(계산!$C:$C,계산!$A:$A,계산!$E457,계산!$B:$B,$B$1*100+6))</f>
        <v/>
      </c>
      <c r="I459" s="14">
        <f>IF(원생!$A457="","",SUMIFS(계산!$C:$C,계산!$A:$A,계산!$E457,계산!$B:$B,$B$1*100+7))</f>
        <v/>
      </c>
      <c r="J459" s="14">
        <f>IF(원생!$A457="","",SUMIFS(계산!$C:$C,계산!$A:$A,계산!$E457,계산!$B:$B,$B$1*100+8))</f>
        <v/>
      </c>
      <c r="K459" s="14">
        <f>IF(원생!$A457="","",SUMIFS(계산!$C:$C,계산!$A:$A,계산!$E457,계산!$B:$B,$B$1*100+9))</f>
        <v/>
      </c>
      <c r="L459" s="14">
        <f>IF(원생!$A457="","",SUMIFS(계산!$C:$C,계산!$A:$A,계산!$E457,계산!$B:$B,$B$1*100+10))</f>
        <v/>
      </c>
      <c r="M459" s="14">
        <f>IF(원생!$A457="","",SUMIFS(계산!$C:$C,계산!$A:$A,계산!$E457,계산!$B:$B,$B$1*100+11))</f>
        <v/>
      </c>
      <c r="N459" s="14">
        <f>IF(원생!$A457="","",SUMIFS(계산!$C:$C,계산!$A:$A,계산!$E457,계산!$B:$B,$B$1*100+12))</f>
        <v/>
      </c>
      <c r="O459">
        <f>IF(원생!$I457="","",원생!$I457)</f>
        <v/>
      </c>
      <c r="P459">
        <f>IF($A459="","",IF(AND($B459&gt;0,C459&lt;$B459,DATE($B$1,1,1)&lt;=TODAY(),OR($O459="",$O459&gt;=DATE($B$1,1,1)),OR(COUNTIF($C459:C459,"&gt;0")&gt;0,DATE($B$1,1,1)=DATE(YEAR(TODAY()),MONTH(TODAY()),1))),1,0))</f>
        <v/>
      </c>
      <c r="Q459">
        <f>IF($A459="","",IF(AND($B459&gt;0,D459&lt;$B459,DATE($B$1,2,1)&lt;=TODAY(),OR($O459="",$O459&gt;=DATE($B$1,2,1)),OR(COUNTIF($C459:D459,"&gt;0")&gt;0,DATE($B$1,2,1)=DATE(YEAR(TODAY()),MONTH(TODAY()),1))),1,0))</f>
        <v/>
      </c>
      <c r="R459">
        <f>IF($A459="","",IF(AND($B459&gt;0,E459&lt;$B459,DATE($B$1,3,1)&lt;=TODAY(),OR($O459="",$O459&gt;=DATE($B$1,3,1)),OR(COUNTIF($C459:E459,"&gt;0")&gt;0,DATE($B$1,3,1)=DATE(YEAR(TODAY()),MONTH(TODAY()),1))),1,0))</f>
        <v/>
      </c>
      <c r="S459">
        <f>IF($A459="","",IF(AND($B459&gt;0,F459&lt;$B459,DATE($B$1,4,1)&lt;=TODAY(),OR($O459="",$O459&gt;=DATE($B$1,4,1)),OR(COUNTIF($C459:F459,"&gt;0")&gt;0,DATE($B$1,4,1)=DATE(YEAR(TODAY()),MONTH(TODAY()),1))),1,0))</f>
        <v/>
      </c>
      <c r="T459">
        <f>IF($A459="","",IF(AND($B459&gt;0,G459&lt;$B459,DATE($B$1,5,1)&lt;=TODAY(),OR($O459="",$O459&gt;=DATE($B$1,5,1)),OR(COUNTIF($C459:G459,"&gt;0")&gt;0,DATE($B$1,5,1)=DATE(YEAR(TODAY()),MONTH(TODAY()),1))),1,0))</f>
        <v/>
      </c>
      <c r="U459">
        <f>IF($A459="","",IF(AND($B459&gt;0,H459&lt;$B459,DATE($B$1,6,1)&lt;=TODAY(),OR($O459="",$O459&gt;=DATE($B$1,6,1)),OR(COUNTIF($C459:H459,"&gt;0")&gt;0,DATE($B$1,6,1)=DATE(YEAR(TODAY()),MONTH(TODAY()),1))),1,0))</f>
        <v/>
      </c>
      <c r="V459">
        <f>IF($A459="","",IF(AND($B459&gt;0,I459&lt;$B459,DATE($B$1,7,1)&lt;=TODAY(),OR($O459="",$O459&gt;=DATE($B$1,7,1)),OR(COUNTIF($C459:I459,"&gt;0")&gt;0,DATE($B$1,7,1)=DATE(YEAR(TODAY()),MONTH(TODAY()),1))),1,0))</f>
        <v/>
      </c>
      <c r="W459">
        <f>IF($A459="","",IF(AND($B459&gt;0,J459&lt;$B459,DATE($B$1,8,1)&lt;=TODAY(),OR($O459="",$O459&gt;=DATE($B$1,8,1)),OR(COUNTIF($C459:J459,"&gt;0")&gt;0,DATE($B$1,8,1)=DATE(YEAR(TODAY()),MONTH(TODAY()),1))),1,0))</f>
        <v/>
      </c>
      <c r="X459">
        <f>IF($A459="","",IF(AND($B459&gt;0,K459&lt;$B459,DATE($B$1,9,1)&lt;=TODAY(),OR($O459="",$O459&gt;=DATE($B$1,9,1)),OR(COUNTIF($C459:K459,"&gt;0")&gt;0,DATE($B$1,9,1)=DATE(YEAR(TODAY()),MONTH(TODAY()),1))),1,0))</f>
        <v/>
      </c>
      <c r="Y459">
        <f>IF($A459="","",IF(AND($B459&gt;0,L459&lt;$B459,DATE($B$1,10,1)&lt;=TODAY(),OR($O459="",$O459&gt;=DATE($B$1,10,1)),OR(COUNTIF($C459:L459,"&gt;0")&gt;0,DATE($B$1,10,1)=DATE(YEAR(TODAY()),MONTH(TODAY()),1))),1,0))</f>
        <v/>
      </c>
      <c r="Z459">
        <f>IF($A459="","",IF(AND($B459&gt;0,M459&lt;$B459,DATE($B$1,11,1)&lt;=TODAY(),OR($O459="",$O459&gt;=DATE($B$1,11,1)),OR(COUNTIF($C459:M459,"&gt;0")&gt;0,DATE($B$1,11,1)=DATE(YEAR(TODAY()),MONTH(TODAY()),1))),1,0))</f>
        <v/>
      </c>
      <c r="AA459">
        <f>IF($A459="","",IF(AND($B459&gt;0,N459&lt;$B459,DATE($B$1,12,1)&lt;=TODAY(),OR($O459="",$O459&gt;=DATE($B$1,12,1)),OR(COUNTIF($C459:N459,"&gt;0")&gt;0,DATE($B$1,12,1)=DATE(YEAR(TODAY()),MONTH(TODAY()),1))),1,0))</f>
        <v/>
      </c>
    </row>
    <row r="460">
      <c r="A460" s="13">
        <f>IF(원생!$A458="","",원생!$A458&amp;IF(원생!$G458="",""," ("&amp;원생!$G458&amp;")"))</f>
        <v/>
      </c>
      <c r="B460" s="8">
        <f>IF(원생!$A458="","",N(원생!$F458))</f>
        <v/>
      </c>
      <c r="C460" s="14">
        <f>IF(원생!$A458="","",SUMIFS(계산!$C:$C,계산!$A:$A,계산!$E458,계산!$B:$B,$B$1*100+1))</f>
        <v/>
      </c>
      <c r="D460" s="14">
        <f>IF(원생!$A458="","",SUMIFS(계산!$C:$C,계산!$A:$A,계산!$E458,계산!$B:$B,$B$1*100+2))</f>
        <v/>
      </c>
      <c r="E460" s="14">
        <f>IF(원생!$A458="","",SUMIFS(계산!$C:$C,계산!$A:$A,계산!$E458,계산!$B:$B,$B$1*100+3))</f>
        <v/>
      </c>
      <c r="F460" s="14">
        <f>IF(원생!$A458="","",SUMIFS(계산!$C:$C,계산!$A:$A,계산!$E458,계산!$B:$B,$B$1*100+4))</f>
        <v/>
      </c>
      <c r="G460" s="14">
        <f>IF(원생!$A458="","",SUMIFS(계산!$C:$C,계산!$A:$A,계산!$E458,계산!$B:$B,$B$1*100+5))</f>
        <v/>
      </c>
      <c r="H460" s="14">
        <f>IF(원생!$A458="","",SUMIFS(계산!$C:$C,계산!$A:$A,계산!$E458,계산!$B:$B,$B$1*100+6))</f>
        <v/>
      </c>
      <c r="I460" s="14">
        <f>IF(원생!$A458="","",SUMIFS(계산!$C:$C,계산!$A:$A,계산!$E458,계산!$B:$B,$B$1*100+7))</f>
        <v/>
      </c>
      <c r="J460" s="14">
        <f>IF(원생!$A458="","",SUMIFS(계산!$C:$C,계산!$A:$A,계산!$E458,계산!$B:$B,$B$1*100+8))</f>
        <v/>
      </c>
      <c r="K460" s="14">
        <f>IF(원생!$A458="","",SUMIFS(계산!$C:$C,계산!$A:$A,계산!$E458,계산!$B:$B,$B$1*100+9))</f>
        <v/>
      </c>
      <c r="L460" s="14">
        <f>IF(원생!$A458="","",SUMIFS(계산!$C:$C,계산!$A:$A,계산!$E458,계산!$B:$B,$B$1*100+10))</f>
        <v/>
      </c>
      <c r="M460" s="14">
        <f>IF(원생!$A458="","",SUMIFS(계산!$C:$C,계산!$A:$A,계산!$E458,계산!$B:$B,$B$1*100+11))</f>
        <v/>
      </c>
      <c r="N460" s="14">
        <f>IF(원생!$A458="","",SUMIFS(계산!$C:$C,계산!$A:$A,계산!$E458,계산!$B:$B,$B$1*100+12))</f>
        <v/>
      </c>
      <c r="O460">
        <f>IF(원생!$I458="","",원생!$I458)</f>
        <v/>
      </c>
      <c r="P460">
        <f>IF($A460="","",IF(AND($B460&gt;0,C460&lt;$B460,DATE($B$1,1,1)&lt;=TODAY(),OR($O460="",$O460&gt;=DATE($B$1,1,1)),OR(COUNTIF($C460:C460,"&gt;0")&gt;0,DATE($B$1,1,1)=DATE(YEAR(TODAY()),MONTH(TODAY()),1))),1,0))</f>
        <v/>
      </c>
      <c r="Q460">
        <f>IF($A460="","",IF(AND($B460&gt;0,D460&lt;$B460,DATE($B$1,2,1)&lt;=TODAY(),OR($O460="",$O460&gt;=DATE($B$1,2,1)),OR(COUNTIF($C460:D460,"&gt;0")&gt;0,DATE($B$1,2,1)=DATE(YEAR(TODAY()),MONTH(TODAY()),1))),1,0))</f>
        <v/>
      </c>
      <c r="R460">
        <f>IF($A460="","",IF(AND($B460&gt;0,E460&lt;$B460,DATE($B$1,3,1)&lt;=TODAY(),OR($O460="",$O460&gt;=DATE($B$1,3,1)),OR(COUNTIF($C460:E460,"&gt;0")&gt;0,DATE($B$1,3,1)=DATE(YEAR(TODAY()),MONTH(TODAY()),1))),1,0))</f>
        <v/>
      </c>
      <c r="S460">
        <f>IF($A460="","",IF(AND($B460&gt;0,F460&lt;$B460,DATE($B$1,4,1)&lt;=TODAY(),OR($O460="",$O460&gt;=DATE($B$1,4,1)),OR(COUNTIF($C460:F460,"&gt;0")&gt;0,DATE($B$1,4,1)=DATE(YEAR(TODAY()),MONTH(TODAY()),1))),1,0))</f>
        <v/>
      </c>
      <c r="T460">
        <f>IF($A460="","",IF(AND($B460&gt;0,G460&lt;$B460,DATE($B$1,5,1)&lt;=TODAY(),OR($O460="",$O460&gt;=DATE($B$1,5,1)),OR(COUNTIF($C460:G460,"&gt;0")&gt;0,DATE($B$1,5,1)=DATE(YEAR(TODAY()),MONTH(TODAY()),1))),1,0))</f>
        <v/>
      </c>
      <c r="U460">
        <f>IF($A460="","",IF(AND($B460&gt;0,H460&lt;$B460,DATE($B$1,6,1)&lt;=TODAY(),OR($O460="",$O460&gt;=DATE($B$1,6,1)),OR(COUNTIF($C460:H460,"&gt;0")&gt;0,DATE($B$1,6,1)=DATE(YEAR(TODAY()),MONTH(TODAY()),1))),1,0))</f>
        <v/>
      </c>
      <c r="V460">
        <f>IF($A460="","",IF(AND($B460&gt;0,I460&lt;$B460,DATE($B$1,7,1)&lt;=TODAY(),OR($O460="",$O460&gt;=DATE($B$1,7,1)),OR(COUNTIF($C460:I460,"&gt;0")&gt;0,DATE($B$1,7,1)=DATE(YEAR(TODAY()),MONTH(TODAY()),1))),1,0))</f>
        <v/>
      </c>
      <c r="W460">
        <f>IF($A460="","",IF(AND($B460&gt;0,J460&lt;$B460,DATE($B$1,8,1)&lt;=TODAY(),OR($O460="",$O460&gt;=DATE($B$1,8,1)),OR(COUNTIF($C460:J460,"&gt;0")&gt;0,DATE($B$1,8,1)=DATE(YEAR(TODAY()),MONTH(TODAY()),1))),1,0))</f>
        <v/>
      </c>
      <c r="X460">
        <f>IF($A460="","",IF(AND($B460&gt;0,K460&lt;$B460,DATE($B$1,9,1)&lt;=TODAY(),OR($O460="",$O460&gt;=DATE($B$1,9,1)),OR(COUNTIF($C460:K460,"&gt;0")&gt;0,DATE($B$1,9,1)=DATE(YEAR(TODAY()),MONTH(TODAY()),1))),1,0))</f>
        <v/>
      </c>
      <c r="Y460">
        <f>IF($A460="","",IF(AND($B460&gt;0,L460&lt;$B460,DATE($B$1,10,1)&lt;=TODAY(),OR($O460="",$O460&gt;=DATE($B$1,10,1)),OR(COUNTIF($C460:L460,"&gt;0")&gt;0,DATE($B$1,10,1)=DATE(YEAR(TODAY()),MONTH(TODAY()),1))),1,0))</f>
        <v/>
      </c>
      <c r="Z460">
        <f>IF($A460="","",IF(AND($B460&gt;0,M460&lt;$B460,DATE($B$1,11,1)&lt;=TODAY(),OR($O460="",$O460&gt;=DATE($B$1,11,1)),OR(COUNTIF($C460:M460,"&gt;0")&gt;0,DATE($B$1,11,1)=DATE(YEAR(TODAY()),MONTH(TODAY()),1))),1,0))</f>
        <v/>
      </c>
      <c r="AA460">
        <f>IF($A460="","",IF(AND($B460&gt;0,N460&lt;$B460,DATE($B$1,12,1)&lt;=TODAY(),OR($O460="",$O460&gt;=DATE($B$1,12,1)),OR(COUNTIF($C460:N460,"&gt;0")&gt;0,DATE($B$1,12,1)=DATE(YEAR(TODAY()),MONTH(TODAY()),1))),1,0))</f>
        <v/>
      </c>
    </row>
    <row r="461">
      <c r="A461" s="13">
        <f>IF(원생!$A459="","",원생!$A459&amp;IF(원생!$G459="",""," ("&amp;원생!$G459&amp;")"))</f>
        <v/>
      </c>
      <c r="B461" s="8">
        <f>IF(원생!$A459="","",N(원생!$F459))</f>
        <v/>
      </c>
      <c r="C461" s="14">
        <f>IF(원생!$A459="","",SUMIFS(계산!$C:$C,계산!$A:$A,계산!$E459,계산!$B:$B,$B$1*100+1))</f>
        <v/>
      </c>
      <c r="D461" s="14">
        <f>IF(원생!$A459="","",SUMIFS(계산!$C:$C,계산!$A:$A,계산!$E459,계산!$B:$B,$B$1*100+2))</f>
        <v/>
      </c>
      <c r="E461" s="14">
        <f>IF(원생!$A459="","",SUMIFS(계산!$C:$C,계산!$A:$A,계산!$E459,계산!$B:$B,$B$1*100+3))</f>
        <v/>
      </c>
      <c r="F461" s="14">
        <f>IF(원생!$A459="","",SUMIFS(계산!$C:$C,계산!$A:$A,계산!$E459,계산!$B:$B,$B$1*100+4))</f>
        <v/>
      </c>
      <c r="G461" s="14">
        <f>IF(원생!$A459="","",SUMIFS(계산!$C:$C,계산!$A:$A,계산!$E459,계산!$B:$B,$B$1*100+5))</f>
        <v/>
      </c>
      <c r="H461" s="14">
        <f>IF(원생!$A459="","",SUMIFS(계산!$C:$C,계산!$A:$A,계산!$E459,계산!$B:$B,$B$1*100+6))</f>
        <v/>
      </c>
      <c r="I461" s="14">
        <f>IF(원생!$A459="","",SUMIFS(계산!$C:$C,계산!$A:$A,계산!$E459,계산!$B:$B,$B$1*100+7))</f>
        <v/>
      </c>
      <c r="J461" s="14">
        <f>IF(원생!$A459="","",SUMIFS(계산!$C:$C,계산!$A:$A,계산!$E459,계산!$B:$B,$B$1*100+8))</f>
        <v/>
      </c>
      <c r="K461" s="14">
        <f>IF(원생!$A459="","",SUMIFS(계산!$C:$C,계산!$A:$A,계산!$E459,계산!$B:$B,$B$1*100+9))</f>
        <v/>
      </c>
      <c r="L461" s="14">
        <f>IF(원생!$A459="","",SUMIFS(계산!$C:$C,계산!$A:$A,계산!$E459,계산!$B:$B,$B$1*100+10))</f>
        <v/>
      </c>
      <c r="M461" s="14">
        <f>IF(원생!$A459="","",SUMIFS(계산!$C:$C,계산!$A:$A,계산!$E459,계산!$B:$B,$B$1*100+11))</f>
        <v/>
      </c>
      <c r="N461" s="14">
        <f>IF(원생!$A459="","",SUMIFS(계산!$C:$C,계산!$A:$A,계산!$E459,계산!$B:$B,$B$1*100+12))</f>
        <v/>
      </c>
      <c r="O461">
        <f>IF(원생!$I459="","",원생!$I459)</f>
        <v/>
      </c>
      <c r="P461">
        <f>IF($A461="","",IF(AND($B461&gt;0,C461&lt;$B461,DATE($B$1,1,1)&lt;=TODAY(),OR($O461="",$O461&gt;=DATE($B$1,1,1)),OR(COUNTIF($C461:C461,"&gt;0")&gt;0,DATE($B$1,1,1)=DATE(YEAR(TODAY()),MONTH(TODAY()),1))),1,0))</f>
        <v/>
      </c>
      <c r="Q461">
        <f>IF($A461="","",IF(AND($B461&gt;0,D461&lt;$B461,DATE($B$1,2,1)&lt;=TODAY(),OR($O461="",$O461&gt;=DATE($B$1,2,1)),OR(COUNTIF($C461:D461,"&gt;0")&gt;0,DATE($B$1,2,1)=DATE(YEAR(TODAY()),MONTH(TODAY()),1))),1,0))</f>
        <v/>
      </c>
      <c r="R461">
        <f>IF($A461="","",IF(AND($B461&gt;0,E461&lt;$B461,DATE($B$1,3,1)&lt;=TODAY(),OR($O461="",$O461&gt;=DATE($B$1,3,1)),OR(COUNTIF($C461:E461,"&gt;0")&gt;0,DATE($B$1,3,1)=DATE(YEAR(TODAY()),MONTH(TODAY()),1))),1,0))</f>
        <v/>
      </c>
      <c r="S461">
        <f>IF($A461="","",IF(AND($B461&gt;0,F461&lt;$B461,DATE($B$1,4,1)&lt;=TODAY(),OR($O461="",$O461&gt;=DATE($B$1,4,1)),OR(COUNTIF($C461:F461,"&gt;0")&gt;0,DATE($B$1,4,1)=DATE(YEAR(TODAY()),MONTH(TODAY()),1))),1,0))</f>
        <v/>
      </c>
      <c r="T461">
        <f>IF($A461="","",IF(AND($B461&gt;0,G461&lt;$B461,DATE($B$1,5,1)&lt;=TODAY(),OR($O461="",$O461&gt;=DATE($B$1,5,1)),OR(COUNTIF($C461:G461,"&gt;0")&gt;0,DATE($B$1,5,1)=DATE(YEAR(TODAY()),MONTH(TODAY()),1))),1,0))</f>
        <v/>
      </c>
      <c r="U461">
        <f>IF($A461="","",IF(AND($B461&gt;0,H461&lt;$B461,DATE($B$1,6,1)&lt;=TODAY(),OR($O461="",$O461&gt;=DATE($B$1,6,1)),OR(COUNTIF($C461:H461,"&gt;0")&gt;0,DATE($B$1,6,1)=DATE(YEAR(TODAY()),MONTH(TODAY()),1))),1,0))</f>
        <v/>
      </c>
      <c r="V461">
        <f>IF($A461="","",IF(AND($B461&gt;0,I461&lt;$B461,DATE($B$1,7,1)&lt;=TODAY(),OR($O461="",$O461&gt;=DATE($B$1,7,1)),OR(COUNTIF($C461:I461,"&gt;0")&gt;0,DATE($B$1,7,1)=DATE(YEAR(TODAY()),MONTH(TODAY()),1))),1,0))</f>
        <v/>
      </c>
      <c r="W461">
        <f>IF($A461="","",IF(AND($B461&gt;0,J461&lt;$B461,DATE($B$1,8,1)&lt;=TODAY(),OR($O461="",$O461&gt;=DATE($B$1,8,1)),OR(COUNTIF($C461:J461,"&gt;0")&gt;0,DATE($B$1,8,1)=DATE(YEAR(TODAY()),MONTH(TODAY()),1))),1,0))</f>
        <v/>
      </c>
      <c r="X461">
        <f>IF($A461="","",IF(AND($B461&gt;0,K461&lt;$B461,DATE($B$1,9,1)&lt;=TODAY(),OR($O461="",$O461&gt;=DATE($B$1,9,1)),OR(COUNTIF($C461:K461,"&gt;0")&gt;0,DATE($B$1,9,1)=DATE(YEAR(TODAY()),MONTH(TODAY()),1))),1,0))</f>
        <v/>
      </c>
      <c r="Y461">
        <f>IF($A461="","",IF(AND($B461&gt;0,L461&lt;$B461,DATE($B$1,10,1)&lt;=TODAY(),OR($O461="",$O461&gt;=DATE($B$1,10,1)),OR(COUNTIF($C461:L461,"&gt;0")&gt;0,DATE($B$1,10,1)=DATE(YEAR(TODAY()),MONTH(TODAY()),1))),1,0))</f>
        <v/>
      </c>
      <c r="Z461">
        <f>IF($A461="","",IF(AND($B461&gt;0,M461&lt;$B461,DATE($B$1,11,1)&lt;=TODAY(),OR($O461="",$O461&gt;=DATE($B$1,11,1)),OR(COUNTIF($C461:M461,"&gt;0")&gt;0,DATE($B$1,11,1)=DATE(YEAR(TODAY()),MONTH(TODAY()),1))),1,0))</f>
        <v/>
      </c>
      <c r="AA461">
        <f>IF($A461="","",IF(AND($B461&gt;0,N461&lt;$B461,DATE($B$1,12,1)&lt;=TODAY(),OR($O461="",$O461&gt;=DATE($B$1,12,1)),OR(COUNTIF($C461:N461,"&gt;0")&gt;0,DATE($B$1,12,1)=DATE(YEAR(TODAY()),MONTH(TODAY()),1))),1,0))</f>
        <v/>
      </c>
    </row>
    <row r="462">
      <c r="A462" s="13">
        <f>IF(원생!$A460="","",원생!$A460&amp;IF(원생!$G460="",""," ("&amp;원생!$G460&amp;")"))</f>
        <v/>
      </c>
      <c r="B462" s="8">
        <f>IF(원생!$A460="","",N(원생!$F460))</f>
        <v/>
      </c>
      <c r="C462" s="14">
        <f>IF(원생!$A460="","",SUMIFS(계산!$C:$C,계산!$A:$A,계산!$E460,계산!$B:$B,$B$1*100+1))</f>
        <v/>
      </c>
      <c r="D462" s="14">
        <f>IF(원생!$A460="","",SUMIFS(계산!$C:$C,계산!$A:$A,계산!$E460,계산!$B:$B,$B$1*100+2))</f>
        <v/>
      </c>
      <c r="E462" s="14">
        <f>IF(원생!$A460="","",SUMIFS(계산!$C:$C,계산!$A:$A,계산!$E460,계산!$B:$B,$B$1*100+3))</f>
        <v/>
      </c>
      <c r="F462" s="14">
        <f>IF(원생!$A460="","",SUMIFS(계산!$C:$C,계산!$A:$A,계산!$E460,계산!$B:$B,$B$1*100+4))</f>
        <v/>
      </c>
      <c r="G462" s="14">
        <f>IF(원생!$A460="","",SUMIFS(계산!$C:$C,계산!$A:$A,계산!$E460,계산!$B:$B,$B$1*100+5))</f>
        <v/>
      </c>
      <c r="H462" s="14">
        <f>IF(원생!$A460="","",SUMIFS(계산!$C:$C,계산!$A:$A,계산!$E460,계산!$B:$B,$B$1*100+6))</f>
        <v/>
      </c>
      <c r="I462" s="14">
        <f>IF(원생!$A460="","",SUMIFS(계산!$C:$C,계산!$A:$A,계산!$E460,계산!$B:$B,$B$1*100+7))</f>
        <v/>
      </c>
      <c r="J462" s="14">
        <f>IF(원생!$A460="","",SUMIFS(계산!$C:$C,계산!$A:$A,계산!$E460,계산!$B:$B,$B$1*100+8))</f>
        <v/>
      </c>
      <c r="K462" s="14">
        <f>IF(원생!$A460="","",SUMIFS(계산!$C:$C,계산!$A:$A,계산!$E460,계산!$B:$B,$B$1*100+9))</f>
        <v/>
      </c>
      <c r="L462" s="14">
        <f>IF(원생!$A460="","",SUMIFS(계산!$C:$C,계산!$A:$A,계산!$E460,계산!$B:$B,$B$1*100+10))</f>
        <v/>
      </c>
      <c r="M462" s="14">
        <f>IF(원생!$A460="","",SUMIFS(계산!$C:$C,계산!$A:$A,계산!$E460,계산!$B:$B,$B$1*100+11))</f>
        <v/>
      </c>
      <c r="N462" s="14">
        <f>IF(원생!$A460="","",SUMIFS(계산!$C:$C,계산!$A:$A,계산!$E460,계산!$B:$B,$B$1*100+12))</f>
        <v/>
      </c>
      <c r="O462">
        <f>IF(원생!$I460="","",원생!$I460)</f>
        <v/>
      </c>
      <c r="P462">
        <f>IF($A462="","",IF(AND($B462&gt;0,C462&lt;$B462,DATE($B$1,1,1)&lt;=TODAY(),OR($O462="",$O462&gt;=DATE($B$1,1,1)),OR(COUNTIF($C462:C462,"&gt;0")&gt;0,DATE($B$1,1,1)=DATE(YEAR(TODAY()),MONTH(TODAY()),1))),1,0))</f>
        <v/>
      </c>
      <c r="Q462">
        <f>IF($A462="","",IF(AND($B462&gt;0,D462&lt;$B462,DATE($B$1,2,1)&lt;=TODAY(),OR($O462="",$O462&gt;=DATE($B$1,2,1)),OR(COUNTIF($C462:D462,"&gt;0")&gt;0,DATE($B$1,2,1)=DATE(YEAR(TODAY()),MONTH(TODAY()),1))),1,0))</f>
        <v/>
      </c>
      <c r="R462">
        <f>IF($A462="","",IF(AND($B462&gt;0,E462&lt;$B462,DATE($B$1,3,1)&lt;=TODAY(),OR($O462="",$O462&gt;=DATE($B$1,3,1)),OR(COUNTIF($C462:E462,"&gt;0")&gt;0,DATE($B$1,3,1)=DATE(YEAR(TODAY()),MONTH(TODAY()),1))),1,0))</f>
        <v/>
      </c>
      <c r="S462">
        <f>IF($A462="","",IF(AND($B462&gt;0,F462&lt;$B462,DATE($B$1,4,1)&lt;=TODAY(),OR($O462="",$O462&gt;=DATE($B$1,4,1)),OR(COUNTIF($C462:F462,"&gt;0")&gt;0,DATE($B$1,4,1)=DATE(YEAR(TODAY()),MONTH(TODAY()),1))),1,0))</f>
        <v/>
      </c>
      <c r="T462">
        <f>IF($A462="","",IF(AND($B462&gt;0,G462&lt;$B462,DATE($B$1,5,1)&lt;=TODAY(),OR($O462="",$O462&gt;=DATE($B$1,5,1)),OR(COUNTIF($C462:G462,"&gt;0")&gt;0,DATE($B$1,5,1)=DATE(YEAR(TODAY()),MONTH(TODAY()),1))),1,0))</f>
        <v/>
      </c>
      <c r="U462">
        <f>IF($A462="","",IF(AND($B462&gt;0,H462&lt;$B462,DATE($B$1,6,1)&lt;=TODAY(),OR($O462="",$O462&gt;=DATE($B$1,6,1)),OR(COUNTIF($C462:H462,"&gt;0")&gt;0,DATE($B$1,6,1)=DATE(YEAR(TODAY()),MONTH(TODAY()),1))),1,0))</f>
        <v/>
      </c>
      <c r="V462">
        <f>IF($A462="","",IF(AND($B462&gt;0,I462&lt;$B462,DATE($B$1,7,1)&lt;=TODAY(),OR($O462="",$O462&gt;=DATE($B$1,7,1)),OR(COUNTIF($C462:I462,"&gt;0")&gt;0,DATE($B$1,7,1)=DATE(YEAR(TODAY()),MONTH(TODAY()),1))),1,0))</f>
        <v/>
      </c>
      <c r="W462">
        <f>IF($A462="","",IF(AND($B462&gt;0,J462&lt;$B462,DATE($B$1,8,1)&lt;=TODAY(),OR($O462="",$O462&gt;=DATE($B$1,8,1)),OR(COUNTIF($C462:J462,"&gt;0")&gt;0,DATE($B$1,8,1)=DATE(YEAR(TODAY()),MONTH(TODAY()),1))),1,0))</f>
        <v/>
      </c>
      <c r="X462">
        <f>IF($A462="","",IF(AND($B462&gt;0,K462&lt;$B462,DATE($B$1,9,1)&lt;=TODAY(),OR($O462="",$O462&gt;=DATE($B$1,9,1)),OR(COUNTIF($C462:K462,"&gt;0")&gt;0,DATE($B$1,9,1)=DATE(YEAR(TODAY()),MONTH(TODAY()),1))),1,0))</f>
        <v/>
      </c>
      <c r="Y462">
        <f>IF($A462="","",IF(AND($B462&gt;0,L462&lt;$B462,DATE($B$1,10,1)&lt;=TODAY(),OR($O462="",$O462&gt;=DATE($B$1,10,1)),OR(COUNTIF($C462:L462,"&gt;0")&gt;0,DATE($B$1,10,1)=DATE(YEAR(TODAY()),MONTH(TODAY()),1))),1,0))</f>
        <v/>
      </c>
      <c r="Z462">
        <f>IF($A462="","",IF(AND($B462&gt;0,M462&lt;$B462,DATE($B$1,11,1)&lt;=TODAY(),OR($O462="",$O462&gt;=DATE($B$1,11,1)),OR(COUNTIF($C462:M462,"&gt;0")&gt;0,DATE($B$1,11,1)=DATE(YEAR(TODAY()),MONTH(TODAY()),1))),1,0))</f>
        <v/>
      </c>
      <c r="AA462">
        <f>IF($A462="","",IF(AND($B462&gt;0,N462&lt;$B462,DATE($B$1,12,1)&lt;=TODAY(),OR($O462="",$O462&gt;=DATE($B$1,12,1)),OR(COUNTIF($C462:N462,"&gt;0")&gt;0,DATE($B$1,12,1)=DATE(YEAR(TODAY()),MONTH(TODAY()),1))),1,0))</f>
        <v/>
      </c>
    </row>
    <row r="463">
      <c r="A463" s="13">
        <f>IF(원생!$A461="","",원생!$A461&amp;IF(원생!$G461="",""," ("&amp;원생!$G461&amp;")"))</f>
        <v/>
      </c>
      <c r="B463" s="8">
        <f>IF(원생!$A461="","",N(원생!$F461))</f>
        <v/>
      </c>
      <c r="C463" s="14">
        <f>IF(원생!$A461="","",SUMIFS(계산!$C:$C,계산!$A:$A,계산!$E461,계산!$B:$B,$B$1*100+1))</f>
        <v/>
      </c>
      <c r="D463" s="14">
        <f>IF(원생!$A461="","",SUMIFS(계산!$C:$C,계산!$A:$A,계산!$E461,계산!$B:$B,$B$1*100+2))</f>
        <v/>
      </c>
      <c r="E463" s="14">
        <f>IF(원생!$A461="","",SUMIFS(계산!$C:$C,계산!$A:$A,계산!$E461,계산!$B:$B,$B$1*100+3))</f>
        <v/>
      </c>
      <c r="F463" s="14">
        <f>IF(원생!$A461="","",SUMIFS(계산!$C:$C,계산!$A:$A,계산!$E461,계산!$B:$B,$B$1*100+4))</f>
        <v/>
      </c>
      <c r="G463" s="14">
        <f>IF(원생!$A461="","",SUMIFS(계산!$C:$C,계산!$A:$A,계산!$E461,계산!$B:$B,$B$1*100+5))</f>
        <v/>
      </c>
      <c r="H463" s="14">
        <f>IF(원생!$A461="","",SUMIFS(계산!$C:$C,계산!$A:$A,계산!$E461,계산!$B:$B,$B$1*100+6))</f>
        <v/>
      </c>
      <c r="I463" s="14">
        <f>IF(원생!$A461="","",SUMIFS(계산!$C:$C,계산!$A:$A,계산!$E461,계산!$B:$B,$B$1*100+7))</f>
        <v/>
      </c>
      <c r="J463" s="14">
        <f>IF(원생!$A461="","",SUMIFS(계산!$C:$C,계산!$A:$A,계산!$E461,계산!$B:$B,$B$1*100+8))</f>
        <v/>
      </c>
      <c r="K463" s="14">
        <f>IF(원생!$A461="","",SUMIFS(계산!$C:$C,계산!$A:$A,계산!$E461,계산!$B:$B,$B$1*100+9))</f>
        <v/>
      </c>
      <c r="L463" s="14">
        <f>IF(원생!$A461="","",SUMIFS(계산!$C:$C,계산!$A:$A,계산!$E461,계산!$B:$B,$B$1*100+10))</f>
        <v/>
      </c>
      <c r="M463" s="14">
        <f>IF(원생!$A461="","",SUMIFS(계산!$C:$C,계산!$A:$A,계산!$E461,계산!$B:$B,$B$1*100+11))</f>
        <v/>
      </c>
      <c r="N463" s="14">
        <f>IF(원생!$A461="","",SUMIFS(계산!$C:$C,계산!$A:$A,계산!$E461,계산!$B:$B,$B$1*100+12))</f>
        <v/>
      </c>
      <c r="O463">
        <f>IF(원생!$I461="","",원생!$I461)</f>
        <v/>
      </c>
      <c r="P463">
        <f>IF($A463="","",IF(AND($B463&gt;0,C463&lt;$B463,DATE($B$1,1,1)&lt;=TODAY(),OR($O463="",$O463&gt;=DATE($B$1,1,1)),OR(COUNTIF($C463:C463,"&gt;0")&gt;0,DATE($B$1,1,1)=DATE(YEAR(TODAY()),MONTH(TODAY()),1))),1,0))</f>
        <v/>
      </c>
      <c r="Q463">
        <f>IF($A463="","",IF(AND($B463&gt;0,D463&lt;$B463,DATE($B$1,2,1)&lt;=TODAY(),OR($O463="",$O463&gt;=DATE($B$1,2,1)),OR(COUNTIF($C463:D463,"&gt;0")&gt;0,DATE($B$1,2,1)=DATE(YEAR(TODAY()),MONTH(TODAY()),1))),1,0))</f>
        <v/>
      </c>
      <c r="R463">
        <f>IF($A463="","",IF(AND($B463&gt;0,E463&lt;$B463,DATE($B$1,3,1)&lt;=TODAY(),OR($O463="",$O463&gt;=DATE($B$1,3,1)),OR(COUNTIF($C463:E463,"&gt;0")&gt;0,DATE($B$1,3,1)=DATE(YEAR(TODAY()),MONTH(TODAY()),1))),1,0))</f>
        <v/>
      </c>
      <c r="S463">
        <f>IF($A463="","",IF(AND($B463&gt;0,F463&lt;$B463,DATE($B$1,4,1)&lt;=TODAY(),OR($O463="",$O463&gt;=DATE($B$1,4,1)),OR(COUNTIF($C463:F463,"&gt;0")&gt;0,DATE($B$1,4,1)=DATE(YEAR(TODAY()),MONTH(TODAY()),1))),1,0))</f>
        <v/>
      </c>
      <c r="T463">
        <f>IF($A463="","",IF(AND($B463&gt;0,G463&lt;$B463,DATE($B$1,5,1)&lt;=TODAY(),OR($O463="",$O463&gt;=DATE($B$1,5,1)),OR(COUNTIF($C463:G463,"&gt;0")&gt;0,DATE($B$1,5,1)=DATE(YEAR(TODAY()),MONTH(TODAY()),1))),1,0))</f>
        <v/>
      </c>
      <c r="U463">
        <f>IF($A463="","",IF(AND($B463&gt;0,H463&lt;$B463,DATE($B$1,6,1)&lt;=TODAY(),OR($O463="",$O463&gt;=DATE($B$1,6,1)),OR(COUNTIF($C463:H463,"&gt;0")&gt;0,DATE($B$1,6,1)=DATE(YEAR(TODAY()),MONTH(TODAY()),1))),1,0))</f>
        <v/>
      </c>
      <c r="V463">
        <f>IF($A463="","",IF(AND($B463&gt;0,I463&lt;$B463,DATE($B$1,7,1)&lt;=TODAY(),OR($O463="",$O463&gt;=DATE($B$1,7,1)),OR(COUNTIF($C463:I463,"&gt;0")&gt;0,DATE($B$1,7,1)=DATE(YEAR(TODAY()),MONTH(TODAY()),1))),1,0))</f>
        <v/>
      </c>
      <c r="W463">
        <f>IF($A463="","",IF(AND($B463&gt;0,J463&lt;$B463,DATE($B$1,8,1)&lt;=TODAY(),OR($O463="",$O463&gt;=DATE($B$1,8,1)),OR(COUNTIF($C463:J463,"&gt;0")&gt;0,DATE($B$1,8,1)=DATE(YEAR(TODAY()),MONTH(TODAY()),1))),1,0))</f>
        <v/>
      </c>
      <c r="X463">
        <f>IF($A463="","",IF(AND($B463&gt;0,K463&lt;$B463,DATE($B$1,9,1)&lt;=TODAY(),OR($O463="",$O463&gt;=DATE($B$1,9,1)),OR(COUNTIF($C463:K463,"&gt;0")&gt;0,DATE($B$1,9,1)=DATE(YEAR(TODAY()),MONTH(TODAY()),1))),1,0))</f>
        <v/>
      </c>
      <c r="Y463">
        <f>IF($A463="","",IF(AND($B463&gt;0,L463&lt;$B463,DATE($B$1,10,1)&lt;=TODAY(),OR($O463="",$O463&gt;=DATE($B$1,10,1)),OR(COUNTIF($C463:L463,"&gt;0")&gt;0,DATE($B$1,10,1)=DATE(YEAR(TODAY()),MONTH(TODAY()),1))),1,0))</f>
        <v/>
      </c>
      <c r="Z463">
        <f>IF($A463="","",IF(AND($B463&gt;0,M463&lt;$B463,DATE($B$1,11,1)&lt;=TODAY(),OR($O463="",$O463&gt;=DATE($B$1,11,1)),OR(COUNTIF($C463:M463,"&gt;0")&gt;0,DATE($B$1,11,1)=DATE(YEAR(TODAY()),MONTH(TODAY()),1))),1,0))</f>
        <v/>
      </c>
      <c r="AA463">
        <f>IF($A463="","",IF(AND($B463&gt;0,N463&lt;$B463,DATE($B$1,12,1)&lt;=TODAY(),OR($O463="",$O463&gt;=DATE($B$1,12,1)),OR(COUNTIF($C463:N463,"&gt;0")&gt;0,DATE($B$1,12,1)=DATE(YEAR(TODAY()),MONTH(TODAY()),1))),1,0))</f>
        <v/>
      </c>
    </row>
    <row r="464">
      <c r="A464" s="13">
        <f>IF(원생!$A462="","",원생!$A462&amp;IF(원생!$G462="",""," ("&amp;원생!$G462&amp;")"))</f>
        <v/>
      </c>
      <c r="B464" s="8">
        <f>IF(원생!$A462="","",N(원생!$F462))</f>
        <v/>
      </c>
      <c r="C464" s="14">
        <f>IF(원생!$A462="","",SUMIFS(계산!$C:$C,계산!$A:$A,계산!$E462,계산!$B:$B,$B$1*100+1))</f>
        <v/>
      </c>
      <c r="D464" s="14">
        <f>IF(원생!$A462="","",SUMIFS(계산!$C:$C,계산!$A:$A,계산!$E462,계산!$B:$B,$B$1*100+2))</f>
        <v/>
      </c>
      <c r="E464" s="14">
        <f>IF(원생!$A462="","",SUMIFS(계산!$C:$C,계산!$A:$A,계산!$E462,계산!$B:$B,$B$1*100+3))</f>
        <v/>
      </c>
      <c r="F464" s="14">
        <f>IF(원생!$A462="","",SUMIFS(계산!$C:$C,계산!$A:$A,계산!$E462,계산!$B:$B,$B$1*100+4))</f>
        <v/>
      </c>
      <c r="G464" s="14">
        <f>IF(원생!$A462="","",SUMIFS(계산!$C:$C,계산!$A:$A,계산!$E462,계산!$B:$B,$B$1*100+5))</f>
        <v/>
      </c>
      <c r="H464" s="14">
        <f>IF(원생!$A462="","",SUMIFS(계산!$C:$C,계산!$A:$A,계산!$E462,계산!$B:$B,$B$1*100+6))</f>
        <v/>
      </c>
      <c r="I464" s="14">
        <f>IF(원생!$A462="","",SUMIFS(계산!$C:$C,계산!$A:$A,계산!$E462,계산!$B:$B,$B$1*100+7))</f>
        <v/>
      </c>
      <c r="J464" s="14">
        <f>IF(원생!$A462="","",SUMIFS(계산!$C:$C,계산!$A:$A,계산!$E462,계산!$B:$B,$B$1*100+8))</f>
        <v/>
      </c>
      <c r="K464" s="14">
        <f>IF(원생!$A462="","",SUMIFS(계산!$C:$C,계산!$A:$A,계산!$E462,계산!$B:$B,$B$1*100+9))</f>
        <v/>
      </c>
      <c r="L464" s="14">
        <f>IF(원생!$A462="","",SUMIFS(계산!$C:$C,계산!$A:$A,계산!$E462,계산!$B:$B,$B$1*100+10))</f>
        <v/>
      </c>
      <c r="M464" s="14">
        <f>IF(원생!$A462="","",SUMIFS(계산!$C:$C,계산!$A:$A,계산!$E462,계산!$B:$B,$B$1*100+11))</f>
        <v/>
      </c>
      <c r="N464" s="14">
        <f>IF(원생!$A462="","",SUMIFS(계산!$C:$C,계산!$A:$A,계산!$E462,계산!$B:$B,$B$1*100+12))</f>
        <v/>
      </c>
      <c r="O464">
        <f>IF(원생!$I462="","",원생!$I462)</f>
        <v/>
      </c>
      <c r="P464">
        <f>IF($A464="","",IF(AND($B464&gt;0,C464&lt;$B464,DATE($B$1,1,1)&lt;=TODAY(),OR($O464="",$O464&gt;=DATE($B$1,1,1)),OR(COUNTIF($C464:C464,"&gt;0")&gt;0,DATE($B$1,1,1)=DATE(YEAR(TODAY()),MONTH(TODAY()),1))),1,0))</f>
        <v/>
      </c>
      <c r="Q464">
        <f>IF($A464="","",IF(AND($B464&gt;0,D464&lt;$B464,DATE($B$1,2,1)&lt;=TODAY(),OR($O464="",$O464&gt;=DATE($B$1,2,1)),OR(COUNTIF($C464:D464,"&gt;0")&gt;0,DATE($B$1,2,1)=DATE(YEAR(TODAY()),MONTH(TODAY()),1))),1,0))</f>
        <v/>
      </c>
      <c r="R464">
        <f>IF($A464="","",IF(AND($B464&gt;0,E464&lt;$B464,DATE($B$1,3,1)&lt;=TODAY(),OR($O464="",$O464&gt;=DATE($B$1,3,1)),OR(COUNTIF($C464:E464,"&gt;0")&gt;0,DATE($B$1,3,1)=DATE(YEAR(TODAY()),MONTH(TODAY()),1))),1,0))</f>
        <v/>
      </c>
      <c r="S464">
        <f>IF($A464="","",IF(AND($B464&gt;0,F464&lt;$B464,DATE($B$1,4,1)&lt;=TODAY(),OR($O464="",$O464&gt;=DATE($B$1,4,1)),OR(COUNTIF($C464:F464,"&gt;0")&gt;0,DATE($B$1,4,1)=DATE(YEAR(TODAY()),MONTH(TODAY()),1))),1,0))</f>
        <v/>
      </c>
      <c r="T464">
        <f>IF($A464="","",IF(AND($B464&gt;0,G464&lt;$B464,DATE($B$1,5,1)&lt;=TODAY(),OR($O464="",$O464&gt;=DATE($B$1,5,1)),OR(COUNTIF($C464:G464,"&gt;0")&gt;0,DATE($B$1,5,1)=DATE(YEAR(TODAY()),MONTH(TODAY()),1))),1,0))</f>
        <v/>
      </c>
      <c r="U464">
        <f>IF($A464="","",IF(AND($B464&gt;0,H464&lt;$B464,DATE($B$1,6,1)&lt;=TODAY(),OR($O464="",$O464&gt;=DATE($B$1,6,1)),OR(COUNTIF($C464:H464,"&gt;0")&gt;0,DATE($B$1,6,1)=DATE(YEAR(TODAY()),MONTH(TODAY()),1))),1,0))</f>
        <v/>
      </c>
      <c r="V464">
        <f>IF($A464="","",IF(AND($B464&gt;0,I464&lt;$B464,DATE($B$1,7,1)&lt;=TODAY(),OR($O464="",$O464&gt;=DATE($B$1,7,1)),OR(COUNTIF($C464:I464,"&gt;0")&gt;0,DATE($B$1,7,1)=DATE(YEAR(TODAY()),MONTH(TODAY()),1))),1,0))</f>
        <v/>
      </c>
      <c r="W464">
        <f>IF($A464="","",IF(AND($B464&gt;0,J464&lt;$B464,DATE($B$1,8,1)&lt;=TODAY(),OR($O464="",$O464&gt;=DATE($B$1,8,1)),OR(COUNTIF($C464:J464,"&gt;0")&gt;0,DATE($B$1,8,1)=DATE(YEAR(TODAY()),MONTH(TODAY()),1))),1,0))</f>
        <v/>
      </c>
      <c r="X464">
        <f>IF($A464="","",IF(AND($B464&gt;0,K464&lt;$B464,DATE($B$1,9,1)&lt;=TODAY(),OR($O464="",$O464&gt;=DATE($B$1,9,1)),OR(COUNTIF($C464:K464,"&gt;0")&gt;0,DATE($B$1,9,1)=DATE(YEAR(TODAY()),MONTH(TODAY()),1))),1,0))</f>
        <v/>
      </c>
      <c r="Y464">
        <f>IF($A464="","",IF(AND($B464&gt;0,L464&lt;$B464,DATE($B$1,10,1)&lt;=TODAY(),OR($O464="",$O464&gt;=DATE($B$1,10,1)),OR(COUNTIF($C464:L464,"&gt;0")&gt;0,DATE($B$1,10,1)=DATE(YEAR(TODAY()),MONTH(TODAY()),1))),1,0))</f>
        <v/>
      </c>
      <c r="Z464">
        <f>IF($A464="","",IF(AND($B464&gt;0,M464&lt;$B464,DATE($B$1,11,1)&lt;=TODAY(),OR($O464="",$O464&gt;=DATE($B$1,11,1)),OR(COUNTIF($C464:M464,"&gt;0")&gt;0,DATE($B$1,11,1)=DATE(YEAR(TODAY()),MONTH(TODAY()),1))),1,0))</f>
        <v/>
      </c>
      <c r="AA464">
        <f>IF($A464="","",IF(AND($B464&gt;0,N464&lt;$B464,DATE($B$1,12,1)&lt;=TODAY(),OR($O464="",$O464&gt;=DATE($B$1,12,1)),OR(COUNTIF($C464:N464,"&gt;0")&gt;0,DATE($B$1,12,1)=DATE(YEAR(TODAY()),MONTH(TODAY()),1))),1,0))</f>
        <v/>
      </c>
    </row>
    <row r="465">
      <c r="A465" s="13">
        <f>IF(원생!$A463="","",원생!$A463&amp;IF(원생!$G463="",""," ("&amp;원생!$G463&amp;")"))</f>
        <v/>
      </c>
      <c r="B465" s="8">
        <f>IF(원생!$A463="","",N(원생!$F463))</f>
        <v/>
      </c>
      <c r="C465" s="14">
        <f>IF(원생!$A463="","",SUMIFS(계산!$C:$C,계산!$A:$A,계산!$E463,계산!$B:$B,$B$1*100+1))</f>
        <v/>
      </c>
      <c r="D465" s="14">
        <f>IF(원생!$A463="","",SUMIFS(계산!$C:$C,계산!$A:$A,계산!$E463,계산!$B:$B,$B$1*100+2))</f>
        <v/>
      </c>
      <c r="E465" s="14">
        <f>IF(원생!$A463="","",SUMIFS(계산!$C:$C,계산!$A:$A,계산!$E463,계산!$B:$B,$B$1*100+3))</f>
        <v/>
      </c>
      <c r="F465" s="14">
        <f>IF(원생!$A463="","",SUMIFS(계산!$C:$C,계산!$A:$A,계산!$E463,계산!$B:$B,$B$1*100+4))</f>
        <v/>
      </c>
      <c r="G465" s="14">
        <f>IF(원생!$A463="","",SUMIFS(계산!$C:$C,계산!$A:$A,계산!$E463,계산!$B:$B,$B$1*100+5))</f>
        <v/>
      </c>
      <c r="H465" s="14">
        <f>IF(원생!$A463="","",SUMIFS(계산!$C:$C,계산!$A:$A,계산!$E463,계산!$B:$B,$B$1*100+6))</f>
        <v/>
      </c>
      <c r="I465" s="14">
        <f>IF(원생!$A463="","",SUMIFS(계산!$C:$C,계산!$A:$A,계산!$E463,계산!$B:$B,$B$1*100+7))</f>
        <v/>
      </c>
      <c r="J465" s="14">
        <f>IF(원생!$A463="","",SUMIFS(계산!$C:$C,계산!$A:$A,계산!$E463,계산!$B:$B,$B$1*100+8))</f>
        <v/>
      </c>
      <c r="K465" s="14">
        <f>IF(원생!$A463="","",SUMIFS(계산!$C:$C,계산!$A:$A,계산!$E463,계산!$B:$B,$B$1*100+9))</f>
        <v/>
      </c>
      <c r="L465" s="14">
        <f>IF(원생!$A463="","",SUMIFS(계산!$C:$C,계산!$A:$A,계산!$E463,계산!$B:$B,$B$1*100+10))</f>
        <v/>
      </c>
      <c r="M465" s="14">
        <f>IF(원생!$A463="","",SUMIFS(계산!$C:$C,계산!$A:$A,계산!$E463,계산!$B:$B,$B$1*100+11))</f>
        <v/>
      </c>
      <c r="N465" s="14">
        <f>IF(원생!$A463="","",SUMIFS(계산!$C:$C,계산!$A:$A,계산!$E463,계산!$B:$B,$B$1*100+12))</f>
        <v/>
      </c>
      <c r="O465">
        <f>IF(원생!$I463="","",원생!$I463)</f>
        <v/>
      </c>
      <c r="P465">
        <f>IF($A465="","",IF(AND($B465&gt;0,C465&lt;$B465,DATE($B$1,1,1)&lt;=TODAY(),OR($O465="",$O465&gt;=DATE($B$1,1,1)),OR(COUNTIF($C465:C465,"&gt;0")&gt;0,DATE($B$1,1,1)=DATE(YEAR(TODAY()),MONTH(TODAY()),1))),1,0))</f>
        <v/>
      </c>
      <c r="Q465">
        <f>IF($A465="","",IF(AND($B465&gt;0,D465&lt;$B465,DATE($B$1,2,1)&lt;=TODAY(),OR($O465="",$O465&gt;=DATE($B$1,2,1)),OR(COUNTIF($C465:D465,"&gt;0")&gt;0,DATE($B$1,2,1)=DATE(YEAR(TODAY()),MONTH(TODAY()),1))),1,0))</f>
        <v/>
      </c>
      <c r="R465">
        <f>IF($A465="","",IF(AND($B465&gt;0,E465&lt;$B465,DATE($B$1,3,1)&lt;=TODAY(),OR($O465="",$O465&gt;=DATE($B$1,3,1)),OR(COUNTIF($C465:E465,"&gt;0")&gt;0,DATE($B$1,3,1)=DATE(YEAR(TODAY()),MONTH(TODAY()),1))),1,0))</f>
        <v/>
      </c>
      <c r="S465">
        <f>IF($A465="","",IF(AND($B465&gt;0,F465&lt;$B465,DATE($B$1,4,1)&lt;=TODAY(),OR($O465="",$O465&gt;=DATE($B$1,4,1)),OR(COUNTIF($C465:F465,"&gt;0")&gt;0,DATE($B$1,4,1)=DATE(YEAR(TODAY()),MONTH(TODAY()),1))),1,0))</f>
        <v/>
      </c>
      <c r="T465">
        <f>IF($A465="","",IF(AND($B465&gt;0,G465&lt;$B465,DATE($B$1,5,1)&lt;=TODAY(),OR($O465="",$O465&gt;=DATE($B$1,5,1)),OR(COUNTIF($C465:G465,"&gt;0")&gt;0,DATE($B$1,5,1)=DATE(YEAR(TODAY()),MONTH(TODAY()),1))),1,0))</f>
        <v/>
      </c>
      <c r="U465">
        <f>IF($A465="","",IF(AND($B465&gt;0,H465&lt;$B465,DATE($B$1,6,1)&lt;=TODAY(),OR($O465="",$O465&gt;=DATE($B$1,6,1)),OR(COUNTIF($C465:H465,"&gt;0")&gt;0,DATE($B$1,6,1)=DATE(YEAR(TODAY()),MONTH(TODAY()),1))),1,0))</f>
        <v/>
      </c>
      <c r="V465">
        <f>IF($A465="","",IF(AND($B465&gt;0,I465&lt;$B465,DATE($B$1,7,1)&lt;=TODAY(),OR($O465="",$O465&gt;=DATE($B$1,7,1)),OR(COUNTIF($C465:I465,"&gt;0")&gt;0,DATE($B$1,7,1)=DATE(YEAR(TODAY()),MONTH(TODAY()),1))),1,0))</f>
        <v/>
      </c>
      <c r="W465">
        <f>IF($A465="","",IF(AND($B465&gt;0,J465&lt;$B465,DATE($B$1,8,1)&lt;=TODAY(),OR($O465="",$O465&gt;=DATE($B$1,8,1)),OR(COUNTIF($C465:J465,"&gt;0")&gt;0,DATE($B$1,8,1)=DATE(YEAR(TODAY()),MONTH(TODAY()),1))),1,0))</f>
        <v/>
      </c>
      <c r="X465">
        <f>IF($A465="","",IF(AND($B465&gt;0,K465&lt;$B465,DATE($B$1,9,1)&lt;=TODAY(),OR($O465="",$O465&gt;=DATE($B$1,9,1)),OR(COUNTIF($C465:K465,"&gt;0")&gt;0,DATE($B$1,9,1)=DATE(YEAR(TODAY()),MONTH(TODAY()),1))),1,0))</f>
        <v/>
      </c>
      <c r="Y465">
        <f>IF($A465="","",IF(AND($B465&gt;0,L465&lt;$B465,DATE($B$1,10,1)&lt;=TODAY(),OR($O465="",$O465&gt;=DATE($B$1,10,1)),OR(COUNTIF($C465:L465,"&gt;0")&gt;0,DATE($B$1,10,1)=DATE(YEAR(TODAY()),MONTH(TODAY()),1))),1,0))</f>
        <v/>
      </c>
      <c r="Z465">
        <f>IF($A465="","",IF(AND($B465&gt;0,M465&lt;$B465,DATE($B$1,11,1)&lt;=TODAY(),OR($O465="",$O465&gt;=DATE($B$1,11,1)),OR(COUNTIF($C465:M465,"&gt;0")&gt;0,DATE($B$1,11,1)=DATE(YEAR(TODAY()),MONTH(TODAY()),1))),1,0))</f>
        <v/>
      </c>
      <c r="AA465">
        <f>IF($A465="","",IF(AND($B465&gt;0,N465&lt;$B465,DATE($B$1,12,1)&lt;=TODAY(),OR($O465="",$O465&gt;=DATE($B$1,12,1)),OR(COUNTIF($C465:N465,"&gt;0")&gt;0,DATE($B$1,12,1)=DATE(YEAR(TODAY()),MONTH(TODAY()),1))),1,0))</f>
        <v/>
      </c>
    </row>
    <row r="466">
      <c r="A466" s="13">
        <f>IF(원생!$A464="","",원생!$A464&amp;IF(원생!$G464="",""," ("&amp;원생!$G464&amp;")"))</f>
        <v/>
      </c>
      <c r="B466" s="8">
        <f>IF(원생!$A464="","",N(원생!$F464))</f>
        <v/>
      </c>
      <c r="C466" s="14">
        <f>IF(원생!$A464="","",SUMIFS(계산!$C:$C,계산!$A:$A,계산!$E464,계산!$B:$B,$B$1*100+1))</f>
        <v/>
      </c>
      <c r="D466" s="14">
        <f>IF(원생!$A464="","",SUMIFS(계산!$C:$C,계산!$A:$A,계산!$E464,계산!$B:$B,$B$1*100+2))</f>
        <v/>
      </c>
      <c r="E466" s="14">
        <f>IF(원생!$A464="","",SUMIFS(계산!$C:$C,계산!$A:$A,계산!$E464,계산!$B:$B,$B$1*100+3))</f>
        <v/>
      </c>
      <c r="F466" s="14">
        <f>IF(원생!$A464="","",SUMIFS(계산!$C:$C,계산!$A:$A,계산!$E464,계산!$B:$B,$B$1*100+4))</f>
        <v/>
      </c>
      <c r="G466" s="14">
        <f>IF(원생!$A464="","",SUMIFS(계산!$C:$C,계산!$A:$A,계산!$E464,계산!$B:$B,$B$1*100+5))</f>
        <v/>
      </c>
      <c r="H466" s="14">
        <f>IF(원생!$A464="","",SUMIFS(계산!$C:$C,계산!$A:$A,계산!$E464,계산!$B:$B,$B$1*100+6))</f>
        <v/>
      </c>
      <c r="I466" s="14">
        <f>IF(원생!$A464="","",SUMIFS(계산!$C:$C,계산!$A:$A,계산!$E464,계산!$B:$B,$B$1*100+7))</f>
        <v/>
      </c>
      <c r="J466" s="14">
        <f>IF(원생!$A464="","",SUMIFS(계산!$C:$C,계산!$A:$A,계산!$E464,계산!$B:$B,$B$1*100+8))</f>
        <v/>
      </c>
      <c r="K466" s="14">
        <f>IF(원생!$A464="","",SUMIFS(계산!$C:$C,계산!$A:$A,계산!$E464,계산!$B:$B,$B$1*100+9))</f>
        <v/>
      </c>
      <c r="L466" s="14">
        <f>IF(원생!$A464="","",SUMIFS(계산!$C:$C,계산!$A:$A,계산!$E464,계산!$B:$B,$B$1*100+10))</f>
        <v/>
      </c>
      <c r="M466" s="14">
        <f>IF(원생!$A464="","",SUMIFS(계산!$C:$C,계산!$A:$A,계산!$E464,계산!$B:$B,$B$1*100+11))</f>
        <v/>
      </c>
      <c r="N466" s="14">
        <f>IF(원생!$A464="","",SUMIFS(계산!$C:$C,계산!$A:$A,계산!$E464,계산!$B:$B,$B$1*100+12))</f>
        <v/>
      </c>
      <c r="O466">
        <f>IF(원생!$I464="","",원생!$I464)</f>
        <v/>
      </c>
      <c r="P466">
        <f>IF($A466="","",IF(AND($B466&gt;0,C466&lt;$B466,DATE($B$1,1,1)&lt;=TODAY(),OR($O466="",$O466&gt;=DATE($B$1,1,1)),OR(COUNTIF($C466:C466,"&gt;0")&gt;0,DATE($B$1,1,1)=DATE(YEAR(TODAY()),MONTH(TODAY()),1))),1,0))</f>
        <v/>
      </c>
      <c r="Q466">
        <f>IF($A466="","",IF(AND($B466&gt;0,D466&lt;$B466,DATE($B$1,2,1)&lt;=TODAY(),OR($O466="",$O466&gt;=DATE($B$1,2,1)),OR(COUNTIF($C466:D466,"&gt;0")&gt;0,DATE($B$1,2,1)=DATE(YEAR(TODAY()),MONTH(TODAY()),1))),1,0))</f>
        <v/>
      </c>
      <c r="R466">
        <f>IF($A466="","",IF(AND($B466&gt;0,E466&lt;$B466,DATE($B$1,3,1)&lt;=TODAY(),OR($O466="",$O466&gt;=DATE($B$1,3,1)),OR(COUNTIF($C466:E466,"&gt;0")&gt;0,DATE($B$1,3,1)=DATE(YEAR(TODAY()),MONTH(TODAY()),1))),1,0))</f>
        <v/>
      </c>
      <c r="S466">
        <f>IF($A466="","",IF(AND($B466&gt;0,F466&lt;$B466,DATE($B$1,4,1)&lt;=TODAY(),OR($O466="",$O466&gt;=DATE($B$1,4,1)),OR(COUNTIF($C466:F466,"&gt;0")&gt;0,DATE($B$1,4,1)=DATE(YEAR(TODAY()),MONTH(TODAY()),1))),1,0))</f>
        <v/>
      </c>
      <c r="T466">
        <f>IF($A466="","",IF(AND($B466&gt;0,G466&lt;$B466,DATE($B$1,5,1)&lt;=TODAY(),OR($O466="",$O466&gt;=DATE($B$1,5,1)),OR(COUNTIF($C466:G466,"&gt;0")&gt;0,DATE($B$1,5,1)=DATE(YEAR(TODAY()),MONTH(TODAY()),1))),1,0))</f>
        <v/>
      </c>
      <c r="U466">
        <f>IF($A466="","",IF(AND($B466&gt;0,H466&lt;$B466,DATE($B$1,6,1)&lt;=TODAY(),OR($O466="",$O466&gt;=DATE($B$1,6,1)),OR(COUNTIF($C466:H466,"&gt;0")&gt;0,DATE($B$1,6,1)=DATE(YEAR(TODAY()),MONTH(TODAY()),1))),1,0))</f>
        <v/>
      </c>
      <c r="V466">
        <f>IF($A466="","",IF(AND($B466&gt;0,I466&lt;$B466,DATE($B$1,7,1)&lt;=TODAY(),OR($O466="",$O466&gt;=DATE($B$1,7,1)),OR(COUNTIF($C466:I466,"&gt;0")&gt;0,DATE($B$1,7,1)=DATE(YEAR(TODAY()),MONTH(TODAY()),1))),1,0))</f>
        <v/>
      </c>
      <c r="W466">
        <f>IF($A466="","",IF(AND($B466&gt;0,J466&lt;$B466,DATE($B$1,8,1)&lt;=TODAY(),OR($O466="",$O466&gt;=DATE($B$1,8,1)),OR(COUNTIF($C466:J466,"&gt;0")&gt;0,DATE($B$1,8,1)=DATE(YEAR(TODAY()),MONTH(TODAY()),1))),1,0))</f>
        <v/>
      </c>
      <c r="X466">
        <f>IF($A466="","",IF(AND($B466&gt;0,K466&lt;$B466,DATE($B$1,9,1)&lt;=TODAY(),OR($O466="",$O466&gt;=DATE($B$1,9,1)),OR(COUNTIF($C466:K466,"&gt;0")&gt;0,DATE($B$1,9,1)=DATE(YEAR(TODAY()),MONTH(TODAY()),1))),1,0))</f>
        <v/>
      </c>
      <c r="Y466">
        <f>IF($A466="","",IF(AND($B466&gt;0,L466&lt;$B466,DATE($B$1,10,1)&lt;=TODAY(),OR($O466="",$O466&gt;=DATE($B$1,10,1)),OR(COUNTIF($C466:L466,"&gt;0")&gt;0,DATE($B$1,10,1)=DATE(YEAR(TODAY()),MONTH(TODAY()),1))),1,0))</f>
        <v/>
      </c>
      <c r="Z466">
        <f>IF($A466="","",IF(AND($B466&gt;0,M466&lt;$B466,DATE($B$1,11,1)&lt;=TODAY(),OR($O466="",$O466&gt;=DATE($B$1,11,1)),OR(COUNTIF($C466:M466,"&gt;0")&gt;0,DATE($B$1,11,1)=DATE(YEAR(TODAY()),MONTH(TODAY()),1))),1,0))</f>
        <v/>
      </c>
      <c r="AA466">
        <f>IF($A466="","",IF(AND($B466&gt;0,N466&lt;$B466,DATE($B$1,12,1)&lt;=TODAY(),OR($O466="",$O466&gt;=DATE($B$1,12,1)),OR(COUNTIF($C466:N466,"&gt;0")&gt;0,DATE($B$1,12,1)=DATE(YEAR(TODAY()),MONTH(TODAY()),1))),1,0))</f>
        <v/>
      </c>
    </row>
    <row r="467">
      <c r="A467" s="13">
        <f>IF(원생!$A465="","",원생!$A465&amp;IF(원생!$G465="",""," ("&amp;원생!$G465&amp;")"))</f>
        <v/>
      </c>
      <c r="B467" s="8">
        <f>IF(원생!$A465="","",N(원생!$F465))</f>
        <v/>
      </c>
      <c r="C467" s="14">
        <f>IF(원생!$A465="","",SUMIFS(계산!$C:$C,계산!$A:$A,계산!$E465,계산!$B:$B,$B$1*100+1))</f>
        <v/>
      </c>
      <c r="D467" s="14">
        <f>IF(원생!$A465="","",SUMIFS(계산!$C:$C,계산!$A:$A,계산!$E465,계산!$B:$B,$B$1*100+2))</f>
        <v/>
      </c>
      <c r="E467" s="14">
        <f>IF(원생!$A465="","",SUMIFS(계산!$C:$C,계산!$A:$A,계산!$E465,계산!$B:$B,$B$1*100+3))</f>
        <v/>
      </c>
      <c r="F467" s="14">
        <f>IF(원생!$A465="","",SUMIFS(계산!$C:$C,계산!$A:$A,계산!$E465,계산!$B:$B,$B$1*100+4))</f>
        <v/>
      </c>
      <c r="G467" s="14">
        <f>IF(원생!$A465="","",SUMIFS(계산!$C:$C,계산!$A:$A,계산!$E465,계산!$B:$B,$B$1*100+5))</f>
        <v/>
      </c>
      <c r="H467" s="14">
        <f>IF(원생!$A465="","",SUMIFS(계산!$C:$C,계산!$A:$A,계산!$E465,계산!$B:$B,$B$1*100+6))</f>
        <v/>
      </c>
      <c r="I467" s="14">
        <f>IF(원생!$A465="","",SUMIFS(계산!$C:$C,계산!$A:$A,계산!$E465,계산!$B:$B,$B$1*100+7))</f>
        <v/>
      </c>
      <c r="J467" s="14">
        <f>IF(원생!$A465="","",SUMIFS(계산!$C:$C,계산!$A:$A,계산!$E465,계산!$B:$B,$B$1*100+8))</f>
        <v/>
      </c>
      <c r="K467" s="14">
        <f>IF(원생!$A465="","",SUMIFS(계산!$C:$C,계산!$A:$A,계산!$E465,계산!$B:$B,$B$1*100+9))</f>
        <v/>
      </c>
      <c r="L467" s="14">
        <f>IF(원생!$A465="","",SUMIFS(계산!$C:$C,계산!$A:$A,계산!$E465,계산!$B:$B,$B$1*100+10))</f>
        <v/>
      </c>
      <c r="M467" s="14">
        <f>IF(원생!$A465="","",SUMIFS(계산!$C:$C,계산!$A:$A,계산!$E465,계산!$B:$B,$B$1*100+11))</f>
        <v/>
      </c>
      <c r="N467" s="14">
        <f>IF(원생!$A465="","",SUMIFS(계산!$C:$C,계산!$A:$A,계산!$E465,계산!$B:$B,$B$1*100+12))</f>
        <v/>
      </c>
      <c r="O467">
        <f>IF(원생!$I465="","",원생!$I465)</f>
        <v/>
      </c>
      <c r="P467">
        <f>IF($A467="","",IF(AND($B467&gt;0,C467&lt;$B467,DATE($B$1,1,1)&lt;=TODAY(),OR($O467="",$O467&gt;=DATE($B$1,1,1)),OR(COUNTIF($C467:C467,"&gt;0")&gt;0,DATE($B$1,1,1)=DATE(YEAR(TODAY()),MONTH(TODAY()),1))),1,0))</f>
        <v/>
      </c>
      <c r="Q467">
        <f>IF($A467="","",IF(AND($B467&gt;0,D467&lt;$B467,DATE($B$1,2,1)&lt;=TODAY(),OR($O467="",$O467&gt;=DATE($B$1,2,1)),OR(COUNTIF($C467:D467,"&gt;0")&gt;0,DATE($B$1,2,1)=DATE(YEAR(TODAY()),MONTH(TODAY()),1))),1,0))</f>
        <v/>
      </c>
      <c r="R467">
        <f>IF($A467="","",IF(AND($B467&gt;0,E467&lt;$B467,DATE($B$1,3,1)&lt;=TODAY(),OR($O467="",$O467&gt;=DATE($B$1,3,1)),OR(COUNTIF($C467:E467,"&gt;0")&gt;0,DATE($B$1,3,1)=DATE(YEAR(TODAY()),MONTH(TODAY()),1))),1,0))</f>
        <v/>
      </c>
      <c r="S467">
        <f>IF($A467="","",IF(AND($B467&gt;0,F467&lt;$B467,DATE($B$1,4,1)&lt;=TODAY(),OR($O467="",$O467&gt;=DATE($B$1,4,1)),OR(COUNTIF($C467:F467,"&gt;0")&gt;0,DATE($B$1,4,1)=DATE(YEAR(TODAY()),MONTH(TODAY()),1))),1,0))</f>
        <v/>
      </c>
      <c r="T467">
        <f>IF($A467="","",IF(AND($B467&gt;0,G467&lt;$B467,DATE($B$1,5,1)&lt;=TODAY(),OR($O467="",$O467&gt;=DATE($B$1,5,1)),OR(COUNTIF($C467:G467,"&gt;0")&gt;0,DATE($B$1,5,1)=DATE(YEAR(TODAY()),MONTH(TODAY()),1))),1,0))</f>
        <v/>
      </c>
      <c r="U467">
        <f>IF($A467="","",IF(AND($B467&gt;0,H467&lt;$B467,DATE($B$1,6,1)&lt;=TODAY(),OR($O467="",$O467&gt;=DATE($B$1,6,1)),OR(COUNTIF($C467:H467,"&gt;0")&gt;0,DATE($B$1,6,1)=DATE(YEAR(TODAY()),MONTH(TODAY()),1))),1,0))</f>
        <v/>
      </c>
      <c r="V467">
        <f>IF($A467="","",IF(AND($B467&gt;0,I467&lt;$B467,DATE($B$1,7,1)&lt;=TODAY(),OR($O467="",$O467&gt;=DATE($B$1,7,1)),OR(COUNTIF($C467:I467,"&gt;0")&gt;0,DATE($B$1,7,1)=DATE(YEAR(TODAY()),MONTH(TODAY()),1))),1,0))</f>
        <v/>
      </c>
      <c r="W467">
        <f>IF($A467="","",IF(AND($B467&gt;0,J467&lt;$B467,DATE($B$1,8,1)&lt;=TODAY(),OR($O467="",$O467&gt;=DATE($B$1,8,1)),OR(COUNTIF($C467:J467,"&gt;0")&gt;0,DATE($B$1,8,1)=DATE(YEAR(TODAY()),MONTH(TODAY()),1))),1,0))</f>
        <v/>
      </c>
      <c r="X467">
        <f>IF($A467="","",IF(AND($B467&gt;0,K467&lt;$B467,DATE($B$1,9,1)&lt;=TODAY(),OR($O467="",$O467&gt;=DATE($B$1,9,1)),OR(COUNTIF($C467:K467,"&gt;0")&gt;0,DATE($B$1,9,1)=DATE(YEAR(TODAY()),MONTH(TODAY()),1))),1,0))</f>
        <v/>
      </c>
      <c r="Y467">
        <f>IF($A467="","",IF(AND($B467&gt;0,L467&lt;$B467,DATE($B$1,10,1)&lt;=TODAY(),OR($O467="",$O467&gt;=DATE($B$1,10,1)),OR(COUNTIF($C467:L467,"&gt;0")&gt;0,DATE($B$1,10,1)=DATE(YEAR(TODAY()),MONTH(TODAY()),1))),1,0))</f>
        <v/>
      </c>
      <c r="Z467">
        <f>IF($A467="","",IF(AND($B467&gt;0,M467&lt;$B467,DATE($B$1,11,1)&lt;=TODAY(),OR($O467="",$O467&gt;=DATE($B$1,11,1)),OR(COUNTIF($C467:M467,"&gt;0")&gt;0,DATE($B$1,11,1)=DATE(YEAR(TODAY()),MONTH(TODAY()),1))),1,0))</f>
        <v/>
      </c>
      <c r="AA467">
        <f>IF($A467="","",IF(AND($B467&gt;0,N467&lt;$B467,DATE($B$1,12,1)&lt;=TODAY(),OR($O467="",$O467&gt;=DATE($B$1,12,1)),OR(COUNTIF($C467:N467,"&gt;0")&gt;0,DATE($B$1,12,1)=DATE(YEAR(TODAY()),MONTH(TODAY()),1))),1,0))</f>
        <v/>
      </c>
    </row>
    <row r="468">
      <c r="A468" s="13">
        <f>IF(원생!$A466="","",원생!$A466&amp;IF(원생!$G466="",""," ("&amp;원생!$G466&amp;")"))</f>
        <v/>
      </c>
      <c r="B468" s="8">
        <f>IF(원생!$A466="","",N(원생!$F466))</f>
        <v/>
      </c>
      <c r="C468" s="14">
        <f>IF(원생!$A466="","",SUMIFS(계산!$C:$C,계산!$A:$A,계산!$E466,계산!$B:$B,$B$1*100+1))</f>
        <v/>
      </c>
      <c r="D468" s="14">
        <f>IF(원생!$A466="","",SUMIFS(계산!$C:$C,계산!$A:$A,계산!$E466,계산!$B:$B,$B$1*100+2))</f>
        <v/>
      </c>
      <c r="E468" s="14">
        <f>IF(원생!$A466="","",SUMIFS(계산!$C:$C,계산!$A:$A,계산!$E466,계산!$B:$B,$B$1*100+3))</f>
        <v/>
      </c>
      <c r="F468" s="14">
        <f>IF(원생!$A466="","",SUMIFS(계산!$C:$C,계산!$A:$A,계산!$E466,계산!$B:$B,$B$1*100+4))</f>
        <v/>
      </c>
      <c r="G468" s="14">
        <f>IF(원생!$A466="","",SUMIFS(계산!$C:$C,계산!$A:$A,계산!$E466,계산!$B:$B,$B$1*100+5))</f>
        <v/>
      </c>
      <c r="H468" s="14">
        <f>IF(원생!$A466="","",SUMIFS(계산!$C:$C,계산!$A:$A,계산!$E466,계산!$B:$B,$B$1*100+6))</f>
        <v/>
      </c>
      <c r="I468" s="14">
        <f>IF(원생!$A466="","",SUMIFS(계산!$C:$C,계산!$A:$A,계산!$E466,계산!$B:$B,$B$1*100+7))</f>
        <v/>
      </c>
      <c r="J468" s="14">
        <f>IF(원생!$A466="","",SUMIFS(계산!$C:$C,계산!$A:$A,계산!$E466,계산!$B:$B,$B$1*100+8))</f>
        <v/>
      </c>
      <c r="K468" s="14">
        <f>IF(원생!$A466="","",SUMIFS(계산!$C:$C,계산!$A:$A,계산!$E466,계산!$B:$B,$B$1*100+9))</f>
        <v/>
      </c>
      <c r="L468" s="14">
        <f>IF(원생!$A466="","",SUMIFS(계산!$C:$C,계산!$A:$A,계산!$E466,계산!$B:$B,$B$1*100+10))</f>
        <v/>
      </c>
      <c r="M468" s="14">
        <f>IF(원생!$A466="","",SUMIFS(계산!$C:$C,계산!$A:$A,계산!$E466,계산!$B:$B,$B$1*100+11))</f>
        <v/>
      </c>
      <c r="N468" s="14">
        <f>IF(원생!$A466="","",SUMIFS(계산!$C:$C,계산!$A:$A,계산!$E466,계산!$B:$B,$B$1*100+12))</f>
        <v/>
      </c>
      <c r="O468">
        <f>IF(원생!$I466="","",원생!$I466)</f>
        <v/>
      </c>
      <c r="P468">
        <f>IF($A468="","",IF(AND($B468&gt;0,C468&lt;$B468,DATE($B$1,1,1)&lt;=TODAY(),OR($O468="",$O468&gt;=DATE($B$1,1,1)),OR(COUNTIF($C468:C468,"&gt;0")&gt;0,DATE($B$1,1,1)=DATE(YEAR(TODAY()),MONTH(TODAY()),1))),1,0))</f>
        <v/>
      </c>
      <c r="Q468">
        <f>IF($A468="","",IF(AND($B468&gt;0,D468&lt;$B468,DATE($B$1,2,1)&lt;=TODAY(),OR($O468="",$O468&gt;=DATE($B$1,2,1)),OR(COUNTIF($C468:D468,"&gt;0")&gt;0,DATE($B$1,2,1)=DATE(YEAR(TODAY()),MONTH(TODAY()),1))),1,0))</f>
        <v/>
      </c>
      <c r="R468">
        <f>IF($A468="","",IF(AND($B468&gt;0,E468&lt;$B468,DATE($B$1,3,1)&lt;=TODAY(),OR($O468="",$O468&gt;=DATE($B$1,3,1)),OR(COUNTIF($C468:E468,"&gt;0")&gt;0,DATE($B$1,3,1)=DATE(YEAR(TODAY()),MONTH(TODAY()),1))),1,0))</f>
        <v/>
      </c>
      <c r="S468">
        <f>IF($A468="","",IF(AND($B468&gt;0,F468&lt;$B468,DATE($B$1,4,1)&lt;=TODAY(),OR($O468="",$O468&gt;=DATE($B$1,4,1)),OR(COUNTIF($C468:F468,"&gt;0")&gt;0,DATE($B$1,4,1)=DATE(YEAR(TODAY()),MONTH(TODAY()),1))),1,0))</f>
        <v/>
      </c>
      <c r="T468">
        <f>IF($A468="","",IF(AND($B468&gt;0,G468&lt;$B468,DATE($B$1,5,1)&lt;=TODAY(),OR($O468="",$O468&gt;=DATE($B$1,5,1)),OR(COUNTIF($C468:G468,"&gt;0")&gt;0,DATE($B$1,5,1)=DATE(YEAR(TODAY()),MONTH(TODAY()),1))),1,0))</f>
        <v/>
      </c>
      <c r="U468">
        <f>IF($A468="","",IF(AND($B468&gt;0,H468&lt;$B468,DATE($B$1,6,1)&lt;=TODAY(),OR($O468="",$O468&gt;=DATE($B$1,6,1)),OR(COUNTIF($C468:H468,"&gt;0")&gt;0,DATE($B$1,6,1)=DATE(YEAR(TODAY()),MONTH(TODAY()),1))),1,0))</f>
        <v/>
      </c>
      <c r="V468">
        <f>IF($A468="","",IF(AND($B468&gt;0,I468&lt;$B468,DATE($B$1,7,1)&lt;=TODAY(),OR($O468="",$O468&gt;=DATE($B$1,7,1)),OR(COUNTIF($C468:I468,"&gt;0")&gt;0,DATE($B$1,7,1)=DATE(YEAR(TODAY()),MONTH(TODAY()),1))),1,0))</f>
        <v/>
      </c>
      <c r="W468">
        <f>IF($A468="","",IF(AND($B468&gt;0,J468&lt;$B468,DATE($B$1,8,1)&lt;=TODAY(),OR($O468="",$O468&gt;=DATE($B$1,8,1)),OR(COUNTIF($C468:J468,"&gt;0")&gt;0,DATE($B$1,8,1)=DATE(YEAR(TODAY()),MONTH(TODAY()),1))),1,0))</f>
        <v/>
      </c>
      <c r="X468">
        <f>IF($A468="","",IF(AND($B468&gt;0,K468&lt;$B468,DATE($B$1,9,1)&lt;=TODAY(),OR($O468="",$O468&gt;=DATE($B$1,9,1)),OR(COUNTIF($C468:K468,"&gt;0")&gt;0,DATE($B$1,9,1)=DATE(YEAR(TODAY()),MONTH(TODAY()),1))),1,0))</f>
        <v/>
      </c>
      <c r="Y468">
        <f>IF($A468="","",IF(AND($B468&gt;0,L468&lt;$B468,DATE($B$1,10,1)&lt;=TODAY(),OR($O468="",$O468&gt;=DATE($B$1,10,1)),OR(COUNTIF($C468:L468,"&gt;0")&gt;0,DATE($B$1,10,1)=DATE(YEAR(TODAY()),MONTH(TODAY()),1))),1,0))</f>
        <v/>
      </c>
      <c r="Z468">
        <f>IF($A468="","",IF(AND($B468&gt;0,M468&lt;$B468,DATE($B$1,11,1)&lt;=TODAY(),OR($O468="",$O468&gt;=DATE($B$1,11,1)),OR(COUNTIF($C468:M468,"&gt;0")&gt;0,DATE($B$1,11,1)=DATE(YEAR(TODAY()),MONTH(TODAY()),1))),1,0))</f>
        <v/>
      </c>
      <c r="AA468">
        <f>IF($A468="","",IF(AND($B468&gt;0,N468&lt;$B468,DATE($B$1,12,1)&lt;=TODAY(),OR($O468="",$O468&gt;=DATE($B$1,12,1)),OR(COUNTIF($C468:N468,"&gt;0")&gt;0,DATE($B$1,12,1)=DATE(YEAR(TODAY()),MONTH(TODAY()),1))),1,0))</f>
        <v/>
      </c>
    </row>
    <row r="469">
      <c r="A469" s="13">
        <f>IF(원생!$A467="","",원생!$A467&amp;IF(원생!$G467="",""," ("&amp;원생!$G467&amp;")"))</f>
        <v/>
      </c>
      <c r="B469" s="8">
        <f>IF(원생!$A467="","",N(원생!$F467))</f>
        <v/>
      </c>
      <c r="C469" s="14">
        <f>IF(원생!$A467="","",SUMIFS(계산!$C:$C,계산!$A:$A,계산!$E467,계산!$B:$B,$B$1*100+1))</f>
        <v/>
      </c>
      <c r="D469" s="14">
        <f>IF(원생!$A467="","",SUMIFS(계산!$C:$C,계산!$A:$A,계산!$E467,계산!$B:$B,$B$1*100+2))</f>
        <v/>
      </c>
      <c r="E469" s="14">
        <f>IF(원생!$A467="","",SUMIFS(계산!$C:$C,계산!$A:$A,계산!$E467,계산!$B:$B,$B$1*100+3))</f>
        <v/>
      </c>
      <c r="F469" s="14">
        <f>IF(원생!$A467="","",SUMIFS(계산!$C:$C,계산!$A:$A,계산!$E467,계산!$B:$B,$B$1*100+4))</f>
        <v/>
      </c>
      <c r="G469" s="14">
        <f>IF(원생!$A467="","",SUMIFS(계산!$C:$C,계산!$A:$A,계산!$E467,계산!$B:$B,$B$1*100+5))</f>
        <v/>
      </c>
      <c r="H469" s="14">
        <f>IF(원생!$A467="","",SUMIFS(계산!$C:$C,계산!$A:$A,계산!$E467,계산!$B:$B,$B$1*100+6))</f>
        <v/>
      </c>
      <c r="I469" s="14">
        <f>IF(원생!$A467="","",SUMIFS(계산!$C:$C,계산!$A:$A,계산!$E467,계산!$B:$B,$B$1*100+7))</f>
        <v/>
      </c>
      <c r="J469" s="14">
        <f>IF(원생!$A467="","",SUMIFS(계산!$C:$C,계산!$A:$A,계산!$E467,계산!$B:$B,$B$1*100+8))</f>
        <v/>
      </c>
      <c r="K469" s="14">
        <f>IF(원생!$A467="","",SUMIFS(계산!$C:$C,계산!$A:$A,계산!$E467,계산!$B:$B,$B$1*100+9))</f>
        <v/>
      </c>
      <c r="L469" s="14">
        <f>IF(원생!$A467="","",SUMIFS(계산!$C:$C,계산!$A:$A,계산!$E467,계산!$B:$B,$B$1*100+10))</f>
        <v/>
      </c>
      <c r="M469" s="14">
        <f>IF(원생!$A467="","",SUMIFS(계산!$C:$C,계산!$A:$A,계산!$E467,계산!$B:$B,$B$1*100+11))</f>
        <v/>
      </c>
      <c r="N469" s="14">
        <f>IF(원생!$A467="","",SUMIFS(계산!$C:$C,계산!$A:$A,계산!$E467,계산!$B:$B,$B$1*100+12))</f>
        <v/>
      </c>
      <c r="O469">
        <f>IF(원생!$I467="","",원생!$I467)</f>
        <v/>
      </c>
      <c r="P469">
        <f>IF($A469="","",IF(AND($B469&gt;0,C469&lt;$B469,DATE($B$1,1,1)&lt;=TODAY(),OR($O469="",$O469&gt;=DATE($B$1,1,1)),OR(COUNTIF($C469:C469,"&gt;0")&gt;0,DATE($B$1,1,1)=DATE(YEAR(TODAY()),MONTH(TODAY()),1))),1,0))</f>
        <v/>
      </c>
      <c r="Q469">
        <f>IF($A469="","",IF(AND($B469&gt;0,D469&lt;$B469,DATE($B$1,2,1)&lt;=TODAY(),OR($O469="",$O469&gt;=DATE($B$1,2,1)),OR(COUNTIF($C469:D469,"&gt;0")&gt;0,DATE($B$1,2,1)=DATE(YEAR(TODAY()),MONTH(TODAY()),1))),1,0))</f>
        <v/>
      </c>
      <c r="R469">
        <f>IF($A469="","",IF(AND($B469&gt;0,E469&lt;$B469,DATE($B$1,3,1)&lt;=TODAY(),OR($O469="",$O469&gt;=DATE($B$1,3,1)),OR(COUNTIF($C469:E469,"&gt;0")&gt;0,DATE($B$1,3,1)=DATE(YEAR(TODAY()),MONTH(TODAY()),1))),1,0))</f>
        <v/>
      </c>
      <c r="S469">
        <f>IF($A469="","",IF(AND($B469&gt;0,F469&lt;$B469,DATE($B$1,4,1)&lt;=TODAY(),OR($O469="",$O469&gt;=DATE($B$1,4,1)),OR(COUNTIF($C469:F469,"&gt;0")&gt;0,DATE($B$1,4,1)=DATE(YEAR(TODAY()),MONTH(TODAY()),1))),1,0))</f>
        <v/>
      </c>
      <c r="T469">
        <f>IF($A469="","",IF(AND($B469&gt;0,G469&lt;$B469,DATE($B$1,5,1)&lt;=TODAY(),OR($O469="",$O469&gt;=DATE($B$1,5,1)),OR(COUNTIF($C469:G469,"&gt;0")&gt;0,DATE($B$1,5,1)=DATE(YEAR(TODAY()),MONTH(TODAY()),1))),1,0))</f>
        <v/>
      </c>
      <c r="U469">
        <f>IF($A469="","",IF(AND($B469&gt;0,H469&lt;$B469,DATE($B$1,6,1)&lt;=TODAY(),OR($O469="",$O469&gt;=DATE($B$1,6,1)),OR(COUNTIF($C469:H469,"&gt;0")&gt;0,DATE($B$1,6,1)=DATE(YEAR(TODAY()),MONTH(TODAY()),1))),1,0))</f>
        <v/>
      </c>
      <c r="V469">
        <f>IF($A469="","",IF(AND($B469&gt;0,I469&lt;$B469,DATE($B$1,7,1)&lt;=TODAY(),OR($O469="",$O469&gt;=DATE($B$1,7,1)),OR(COUNTIF($C469:I469,"&gt;0")&gt;0,DATE($B$1,7,1)=DATE(YEAR(TODAY()),MONTH(TODAY()),1))),1,0))</f>
        <v/>
      </c>
      <c r="W469">
        <f>IF($A469="","",IF(AND($B469&gt;0,J469&lt;$B469,DATE($B$1,8,1)&lt;=TODAY(),OR($O469="",$O469&gt;=DATE($B$1,8,1)),OR(COUNTIF($C469:J469,"&gt;0")&gt;0,DATE($B$1,8,1)=DATE(YEAR(TODAY()),MONTH(TODAY()),1))),1,0))</f>
        <v/>
      </c>
      <c r="X469">
        <f>IF($A469="","",IF(AND($B469&gt;0,K469&lt;$B469,DATE($B$1,9,1)&lt;=TODAY(),OR($O469="",$O469&gt;=DATE($B$1,9,1)),OR(COUNTIF($C469:K469,"&gt;0")&gt;0,DATE($B$1,9,1)=DATE(YEAR(TODAY()),MONTH(TODAY()),1))),1,0))</f>
        <v/>
      </c>
      <c r="Y469">
        <f>IF($A469="","",IF(AND($B469&gt;0,L469&lt;$B469,DATE($B$1,10,1)&lt;=TODAY(),OR($O469="",$O469&gt;=DATE($B$1,10,1)),OR(COUNTIF($C469:L469,"&gt;0")&gt;0,DATE($B$1,10,1)=DATE(YEAR(TODAY()),MONTH(TODAY()),1))),1,0))</f>
        <v/>
      </c>
      <c r="Z469">
        <f>IF($A469="","",IF(AND($B469&gt;0,M469&lt;$B469,DATE($B$1,11,1)&lt;=TODAY(),OR($O469="",$O469&gt;=DATE($B$1,11,1)),OR(COUNTIF($C469:M469,"&gt;0")&gt;0,DATE($B$1,11,1)=DATE(YEAR(TODAY()),MONTH(TODAY()),1))),1,0))</f>
        <v/>
      </c>
      <c r="AA469">
        <f>IF($A469="","",IF(AND($B469&gt;0,N469&lt;$B469,DATE($B$1,12,1)&lt;=TODAY(),OR($O469="",$O469&gt;=DATE($B$1,12,1)),OR(COUNTIF($C469:N469,"&gt;0")&gt;0,DATE($B$1,12,1)=DATE(YEAR(TODAY()),MONTH(TODAY()),1))),1,0))</f>
        <v/>
      </c>
    </row>
    <row r="470">
      <c r="A470" s="13">
        <f>IF(원생!$A468="","",원생!$A468&amp;IF(원생!$G468="",""," ("&amp;원생!$G468&amp;")"))</f>
        <v/>
      </c>
      <c r="B470" s="8">
        <f>IF(원생!$A468="","",N(원생!$F468))</f>
        <v/>
      </c>
      <c r="C470" s="14">
        <f>IF(원생!$A468="","",SUMIFS(계산!$C:$C,계산!$A:$A,계산!$E468,계산!$B:$B,$B$1*100+1))</f>
        <v/>
      </c>
      <c r="D470" s="14">
        <f>IF(원생!$A468="","",SUMIFS(계산!$C:$C,계산!$A:$A,계산!$E468,계산!$B:$B,$B$1*100+2))</f>
        <v/>
      </c>
      <c r="E470" s="14">
        <f>IF(원생!$A468="","",SUMIFS(계산!$C:$C,계산!$A:$A,계산!$E468,계산!$B:$B,$B$1*100+3))</f>
        <v/>
      </c>
      <c r="F470" s="14">
        <f>IF(원생!$A468="","",SUMIFS(계산!$C:$C,계산!$A:$A,계산!$E468,계산!$B:$B,$B$1*100+4))</f>
        <v/>
      </c>
      <c r="G470" s="14">
        <f>IF(원생!$A468="","",SUMIFS(계산!$C:$C,계산!$A:$A,계산!$E468,계산!$B:$B,$B$1*100+5))</f>
        <v/>
      </c>
      <c r="H470" s="14">
        <f>IF(원생!$A468="","",SUMIFS(계산!$C:$C,계산!$A:$A,계산!$E468,계산!$B:$B,$B$1*100+6))</f>
        <v/>
      </c>
      <c r="I470" s="14">
        <f>IF(원생!$A468="","",SUMIFS(계산!$C:$C,계산!$A:$A,계산!$E468,계산!$B:$B,$B$1*100+7))</f>
        <v/>
      </c>
      <c r="J470" s="14">
        <f>IF(원생!$A468="","",SUMIFS(계산!$C:$C,계산!$A:$A,계산!$E468,계산!$B:$B,$B$1*100+8))</f>
        <v/>
      </c>
      <c r="K470" s="14">
        <f>IF(원생!$A468="","",SUMIFS(계산!$C:$C,계산!$A:$A,계산!$E468,계산!$B:$B,$B$1*100+9))</f>
        <v/>
      </c>
      <c r="L470" s="14">
        <f>IF(원생!$A468="","",SUMIFS(계산!$C:$C,계산!$A:$A,계산!$E468,계산!$B:$B,$B$1*100+10))</f>
        <v/>
      </c>
      <c r="M470" s="14">
        <f>IF(원생!$A468="","",SUMIFS(계산!$C:$C,계산!$A:$A,계산!$E468,계산!$B:$B,$B$1*100+11))</f>
        <v/>
      </c>
      <c r="N470" s="14">
        <f>IF(원생!$A468="","",SUMIFS(계산!$C:$C,계산!$A:$A,계산!$E468,계산!$B:$B,$B$1*100+12))</f>
        <v/>
      </c>
      <c r="O470">
        <f>IF(원생!$I468="","",원생!$I468)</f>
        <v/>
      </c>
      <c r="P470">
        <f>IF($A470="","",IF(AND($B470&gt;0,C470&lt;$B470,DATE($B$1,1,1)&lt;=TODAY(),OR($O470="",$O470&gt;=DATE($B$1,1,1)),OR(COUNTIF($C470:C470,"&gt;0")&gt;0,DATE($B$1,1,1)=DATE(YEAR(TODAY()),MONTH(TODAY()),1))),1,0))</f>
        <v/>
      </c>
      <c r="Q470">
        <f>IF($A470="","",IF(AND($B470&gt;0,D470&lt;$B470,DATE($B$1,2,1)&lt;=TODAY(),OR($O470="",$O470&gt;=DATE($B$1,2,1)),OR(COUNTIF($C470:D470,"&gt;0")&gt;0,DATE($B$1,2,1)=DATE(YEAR(TODAY()),MONTH(TODAY()),1))),1,0))</f>
        <v/>
      </c>
      <c r="R470">
        <f>IF($A470="","",IF(AND($B470&gt;0,E470&lt;$B470,DATE($B$1,3,1)&lt;=TODAY(),OR($O470="",$O470&gt;=DATE($B$1,3,1)),OR(COUNTIF($C470:E470,"&gt;0")&gt;0,DATE($B$1,3,1)=DATE(YEAR(TODAY()),MONTH(TODAY()),1))),1,0))</f>
        <v/>
      </c>
      <c r="S470">
        <f>IF($A470="","",IF(AND($B470&gt;0,F470&lt;$B470,DATE($B$1,4,1)&lt;=TODAY(),OR($O470="",$O470&gt;=DATE($B$1,4,1)),OR(COUNTIF($C470:F470,"&gt;0")&gt;0,DATE($B$1,4,1)=DATE(YEAR(TODAY()),MONTH(TODAY()),1))),1,0))</f>
        <v/>
      </c>
      <c r="T470">
        <f>IF($A470="","",IF(AND($B470&gt;0,G470&lt;$B470,DATE($B$1,5,1)&lt;=TODAY(),OR($O470="",$O470&gt;=DATE($B$1,5,1)),OR(COUNTIF($C470:G470,"&gt;0")&gt;0,DATE($B$1,5,1)=DATE(YEAR(TODAY()),MONTH(TODAY()),1))),1,0))</f>
        <v/>
      </c>
      <c r="U470">
        <f>IF($A470="","",IF(AND($B470&gt;0,H470&lt;$B470,DATE($B$1,6,1)&lt;=TODAY(),OR($O470="",$O470&gt;=DATE($B$1,6,1)),OR(COUNTIF($C470:H470,"&gt;0")&gt;0,DATE($B$1,6,1)=DATE(YEAR(TODAY()),MONTH(TODAY()),1))),1,0))</f>
        <v/>
      </c>
      <c r="V470">
        <f>IF($A470="","",IF(AND($B470&gt;0,I470&lt;$B470,DATE($B$1,7,1)&lt;=TODAY(),OR($O470="",$O470&gt;=DATE($B$1,7,1)),OR(COUNTIF($C470:I470,"&gt;0")&gt;0,DATE($B$1,7,1)=DATE(YEAR(TODAY()),MONTH(TODAY()),1))),1,0))</f>
        <v/>
      </c>
      <c r="W470">
        <f>IF($A470="","",IF(AND($B470&gt;0,J470&lt;$B470,DATE($B$1,8,1)&lt;=TODAY(),OR($O470="",$O470&gt;=DATE($B$1,8,1)),OR(COUNTIF($C470:J470,"&gt;0")&gt;0,DATE($B$1,8,1)=DATE(YEAR(TODAY()),MONTH(TODAY()),1))),1,0))</f>
        <v/>
      </c>
      <c r="X470">
        <f>IF($A470="","",IF(AND($B470&gt;0,K470&lt;$B470,DATE($B$1,9,1)&lt;=TODAY(),OR($O470="",$O470&gt;=DATE($B$1,9,1)),OR(COUNTIF($C470:K470,"&gt;0")&gt;0,DATE($B$1,9,1)=DATE(YEAR(TODAY()),MONTH(TODAY()),1))),1,0))</f>
        <v/>
      </c>
      <c r="Y470">
        <f>IF($A470="","",IF(AND($B470&gt;0,L470&lt;$B470,DATE($B$1,10,1)&lt;=TODAY(),OR($O470="",$O470&gt;=DATE($B$1,10,1)),OR(COUNTIF($C470:L470,"&gt;0")&gt;0,DATE($B$1,10,1)=DATE(YEAR(TODAY()),MONTH(TODAY()),1))),1,0))</f>
        <v/>
      </c>
      <c r="Z470">
        <f>IF($A470="","",IF(AND($B470&gt;0,M470&lt;$B470,DATE($B$1,11,1)&lt;=TODAY(),OR($O470="",$O470&gt;=DATE($B$1,11,1)),OR(COUNTIF($C470:M470,"&gt;0")&gt;0,DATE($B$1,11,1)=DATE(YEAR(TODAY()),MONTH(TODAY()),1))),1,0))</f>
        <v/>
      </c>
      <c r="AA470">
        <f>IF($A470="","",IF(AND($B470&gt;0,N470&lt;$B470,DATE($B$1,12,1)&lt;=TODAY(),OR($O470="",$O470&gt;=DATE($B$1,12,1)),OR(COUNTIF($C470:N470,"&gt;0")&gt;0,DATE($B$1,12,1)=DATE(YEAR(TODAY()),MONTH(TODAY()),1))),1,0))</f>
        <v/>
      </c>
    </row>
    <row r="471">
      <c r="A471" s="13">
        <f>IF(원생!$A469="","",원생!$A469&amp;IF(원생!$G469="",""," ("&amp;원생!$G469&amp;")"))</f>
        <v/>
      </c>
      <c r="B471" s="8">
        <f>IF(원생!$A469="","",N(원생!$F469))</f>
        <v/>
      </c>
      <c r="C471" s="14">
        <f>IF(원생!$A469="","",SUMIFS(계산!$C:$C,계산!$A:$A,계산!$E469,계산!$B:$B,$B$1*100+1))</f>
        <v/>
      </c>
      <c r="D471" s="14">
        <f>IF(원생!$A469="","",SUMIFS(계산!$C:$C,계산!$A:$A,계산!$E469,계산!$B:$B,$B$1*100+2))</f>
        <v/>
      </c>
      <c r="E471" s="14">
        <f>IF(원생!$A469="","",SUMIFS(계산!$C:$C,계산!$A:$A,계산!$E469,계산!$B:$B,$B$1*100+3))</f>
        <v/>
      </c>
      <c r="F471" s="14">
        <f>IF(원생!$A469="","",SUMIFS(계산!$C:$C,계산!$A:$A,계산!$E469,계산!$B:$B,$B$1*100+4))</f>
        <v/>
      </c>
      <c r="G471" s="14">
        <f>IF(원생!$A469="","",SUMIFS(계산!$C:$C,계산!$A:$A,계산!$E469,계산!$B:$B,$B$1*100+5))</f>
        <v/>
      </c>
      <c r="H471" s="14">
        <f>IF(원생!$A469="","",SUMIFS(계산!$C:$C,계산!$A:$A,계산!$E469,계산!$B:$B,$B$1*100+6))</f>
        <v/>
      </c>
      <c r="I471" s="14">
        <f>IF(원생!$A469="","",SUMIFS(계산!$C:$C,계산!$A:$A,계산!$E469,계산!$B:$B,$B$1*100+7))</f>
        <v/>
      </c>
      <c r="J471" s="14">
        <f>IF(원생!$A469="","",SUMIFS(계산!$C:$C,계산!$A:$A,계산!$E469,계산!$B:$B,$B$1*100+8))</f>
        <v/>
      </c>
      <c r="K471" s="14">
        <f>IF(원생!$A469="","",SUMIFS(계산!$C:$C,계산!$A:$A,계산!$E469,계산!$B:$B,$B$1*100+9))</f>
        <v/>
      </c>
      <c r="L471" s="14">
        <f>IF(원생!$A469="","",SUMIFS(계산!$C:$C,계산!$A:$A,계산!$E469,계산!$B:$B,$B$1*100+10))</f>
        <v/>
      </c>
      <c r="M471" s="14">
        <f>IF(원생!$A469="","",SUMIFS(계산!$C:$C,계산!$A:$A,계산!$E469,계산!$B:$B,$B$1*100+11))</f>
        <v/>
      </c>
      <c r="N471" s="14">
        <f>IF(원생!$A469="","",SUMIFS(계산!$C:$C,계산!$A:$A,계산!$E469,계산!$B:$B,$B$1*100+12))</f>
        <v/>
      </c>
      <c r="O471">
        <f>IF(원생!$I469="","",원생!$I469)</f>
        <v/>
      </c>
      <c r="P471">
        <f>IF($A471="","",IF(AND($B471&gt;0,C471&lt;$B471,DATE($B$1,1,1)&lt;=TODAY(),OR($O471="",$O471&gt;=DATE($B$1,1,1)),OR(COUNTIF($C471:C471,"&gt;0")&gt;0,DATE($B$1,1,1)=DATE(YEAR(TODAY()),MONTH(TODAY()),1))),1,0))</f>
        <v/>
      </c>
      <c r="Q471">
        <f>IF($A471="","",IF(AND($B471&gt;0,D471&lt;$B471,DATE($B$1,2,1)&lt;=TODAY(),OR($O471="",$O471&gt;=DATE($B$1,2,1)),OR(COUNTIF($C471:D471,"&gt;0")&gt;0,DATE($B$1,2,1)=DATE(YEAR(TODAY()),MONTH(TODAY()),1))),1,0))</f>
        <v/>
      </c>
      <c r="R471">
        <f>IF($A471="","",IF(AND($B471&gt;0,E471&lt;$B471,DATE($B$1,3,1)&lt;=TODAY(),OR($O471="",$O471&gt;=DATE($B$1,3,1)),OR(COUNTIF($C471:E471,"&gt;0")&gt;0,DATE($B$1,3,1)=DATE(YEAR(TODAY()),MONTH(TODAY()),1))),1,0))</f>
        <v/>
      </c>
      <c r="S471">
        <f>IF($A471="","",IF(AND($B471&gt;0,F471&lt;$B471,DATE($B$1,4,1)&lt;=TODAY(),OR($O471="",$O471&gt;=DATE($B$1,4,1)),OR(COUNTIF($C471:F471,"&gt;0")&gt;0,DATE($B$1,4,1)=DATE(YEAR(TODAY()),MONTH(TODAY()),1))),1,0))</f>
        <v/>
      </c>
      <c r="T471">
        <f>IF($A471="","",IF(AND($B471&gt;0,G471&lt;$B471,DATE($B$1,5,1)&lt;=TODAY(),OR($O471="",$O471&gt;=DATE($B$1,5,1)),OR(COUNTIF($C471:G471,"&gt;0")&gt;0,DATE($B$1,5,1)=DATE(YEAR(TODAY()),MONTH(TODAY()),1))),1,0))</f>
        <v/>
      </c>
      <c r="U471">
        <f>IF($A471="","",IF(AND($B471&gt;0,H471&lt;$B471,DATE($B$1,6,1)&lt;=TODAY(),OR($O471="",$O471&gt;=DATE($B$1,6,1)),OR(COUNTIF($C471:H471,"&gt;0")&gt;0,DATE($B$1,6,1)=DATE(YEAR(TODAY()),MONTH(TODAY()),1))),1,0))</f>
        <v/>
      </c>
      <c r="V471">
        <f>IF($A471="","",IF(AND($B471&gt;0,I471&lt;$B471,DATE($B$1,7,1)&lt;=TODAY(),OR($O471="",$O471&gt;=DATE($B$1,7,1)),OR(COUNTIF($C471:I471,"&gt;0")&gt;0,DATE($B$1,7,1)=DATE(YEAR(TODAY()),MONTH(TODAY()),1))),1,0))</f>
        <v/>
      </c>
      <c r="W471">
        <f>IF($A471="","",IF(AND($B471&gt;0,J471&lt;$B471,DATE($B$1,8,1)&lt;=TODAY(),OR($O471="",$O471&gt;=DATE($B$1,8,1)),OR(COUNTIF($C471:J471,"&gt;0")&gt;0,DATE($B$1,8,1)=DATE(YEAR(TODAY()),MONTH(TODAY()),1))),1,0))</f>
        <v/>
      </c>
      <c r="X471">
        <f>IF($A471="","",IF(AND($B471&gt;0,K471&lt;$B471,DATE($B$1,9,1)&lt;=TODAY(),OR($O471="",$O471&gt;=DATE($B$1,9,1)),OR(COUNTIF($C471:K471,"&gt;0")&gt;0,DATE($B$1,9,1)=DATE(YEAR(TODAY()),MONTH(TODAY()),1))),1,0))</f>
        <v/>
      </c>
      <c r="Y471">
        <f>IF($A471="","",IF(AND($B471&gt;0,L471&lt;$B471,DATE($B$1,10,1)&lt;=TODAY(),OR($O471="",$O471&gt;=DATE($B$1,10,1)),OR(COUNTIF($C471:L471,"&gt;0")&gt;0,DATE($B$1,10,1)=DATE(YEAR(TODAY()),MONTH(TODAY()),1))),1,0))</f>
        <v/>
      </c>
      <c r="Z471">
        <f>IF($A471="","",IF(AND($B471&gt;0,M471&lt;$B471,DATE($B$1,11,1)&lt;=TODAY(),OR($O471="",$O471&gt;=DATE($B$1,11,1)),OR(COUNTIF($C471:M471,"&gt;0")&gt;0,DATE($B$1,11,1)=DATE(YEAR(TODAY()),MONTH(TODAY()),1))),1,0))</f>
        <v/>
      </c>
      <c r="AA471">
        <f>IF($A471="","",IF(AND($B471&gt;0,N471&lt;$B471,DATE($B$1,12,1)&lt;=TODAY(),OR($O471="",$O471&gt;=DATE($B$1,12,1)),OR(COUNTIF($C471:N471,"&gt;0")&gt;0,DATE($B$1,12,1)=DATE(YEAR(TODAY()),MONTH(TODAY()),1))),1,0))</f>
        <v/>
      </c>
    </row>
    <row r="472">
      <c r="A472" s="13">
        <f>IF(원생!$A470="","",원생!$A470&amp;IF(원생!$G470="",""," ("&amp;원생!$G470&amp;")"))</f>
        <v/>
      </c>
      <c r="B472" s="8">
        <f>IF(원생!$A470="","",N(원생!$F470))</f>
        <v/>
      </c>
      <c r="C472" s="14">
        <f>IF(원생!$A470="","",SUMIFS(계산!$C:$C,계산!$A:$A,계산!$E470,계산!$B:$B,$B$1*100+1))</f>
        <v/>
      </c>
      <c r="D472" s="14">
        <f>IF(원생!$A470="","",SUMIFS(계산!$C:$C,계산!$A:$A,계산!$E470,계산!$B:$B,$B$1*100+2))</f>
        <v/>
      </c>
      <c r="E472" s="14">
        <f>IF(원생!$A470="","",SUMIFS(계산!$C:$C,계산!$A:$A,계산!$E470,계산!$B:$B,$B$1*100+3))</f>
        <v/>
      </c>
      <c r="F472" s="14">
        <f>IF(원생!$A470="","",SUMIFS(계산!$C:$C,계산!$A:$A,계산!$E470,계산!$B:$B,$B$1*100+4))</f>
        <v/>
      </c>
      <c r="G472" s="14">
        <f>IF(원생!$A470="","",SUMIFS(계산!$C:$C,계산!$A:$A,계산!$E470,계산!$B:$B,$B$1*100+5))</f>
        <v/>
      </c>
      <c r="H472" s="14">
        <f>IF(원생!$A470="","",SUMIFS(계산!$C:$C,계산!$A:$A,계산!$E470,계산!$B:$B,$B$1*100+6))</f>
        <v/>
      </c>
      <c r="I472" s="14">
        <f>IF(원생!$A470="","",SUMIFS(계산!$C:$C,계산!$A:$A,계산!$E470,계산!$B:$B,$B$1*100+7))</f>
        <v/>
      </c>
      <c r="J472" s="14">
        <f>IF(원생!$A470="","",SUMIFS(계산!$C:$C,계산!$A:$A,계산!$E470,계산!$B:$B,$B$1*100+8))</f>
        <v/>
      </c>
      <c r="K472" s="14">
        <f>IF(원생!$A470="","",SUMIFS(계산!$C:$C,계산!$A:$A,계산!$E470,계산!$B:$B,$B$1*100+9))</f>
        <v/>
      </c>
      <c r="L472" s="14">
        <f>IF(원생!$A470="","",SUMIFS(계산!$C:$C,계산!$A:$A,계산!$E470,계산!$B:$B,$B$1*100+10))</f>
        <v/>
      </c>
      <c r="M472" s="14">
        <f>IF(원생!$A470="","",SUMIFS(계산!$C:$C,계산!$A:$A,계산!$E470,계산!$B:$B,$B$1*100+11))</f>
        <v/>
      </c>
      <c r="N472" s="14">
        <f>IF(원생!$A470="","",SUMIFS(계산!$C:$C,계산!$A:$A,계산!$E470,계산!$B:$B,$B$1*100+12))</f>
        <v/>
      </c>
      <c r="O472">
        <f>IF(원생!$I470="","",원생!$I470)</f>
        <v/>
      </c>
      <c r="P472">
        <f>IF($A472="","",IF(AND($B472&gt;0,C472&lt;$B472,DATE($B$1,1,1)&lt;=TODAY(),OR($O472="",$O472&gt;=DATE($B$1,1,1)),OR(COUNTIF($C472:C472,"&gt;0")&gt;0,DATE($B$1,1,1)=DATE(YEAR(TODAY()),MONTH(TODAY()),1))),1,0))</f>
        <v/>
      </c>
      <c r="Q472">
        <f>IF($A472="","",IF(AND($B472&gt;0,D472&lt;$B472,DATE($B$1,2,1)&lt;=TODAY(),OR($O472="",$O472&gt;=DATE($B$1,2,1)),OR(COUNTIF($C472:D472,"&gt;0")&gt;0,DATE($B$1,2,1)=DATE(YEAR(TODAY()),MONTH(TODAY()),1))),1,0))</f>
        <v/>
      </c>
      <c r="R472">
        <f>IF($A472="","",IF(AND($B472&gt;0,E472&lt;$B472,DATE($B$1,3,1)&lt;=TODAY(),OR($O472="",$O472&gt;=DATE($B$1,3,1)),OR(COUNTIF($C472:E472,"&gt;0")&gt;0,DATE($B$1,3,1)=DATE(YEAR(TODAY()),MONTH(TODAY()),1))),1,0))</f>
        <v/>
      </c>
      <c r="S472">
        <f>IF($A472="","",IF(AND($B472&gt;0,F472&lt;$B472,DATE($B$1,4,1)&lt;=TODAY(),OR($O472="",$O472&gt;=DATE($B$1,4,1)),OR(COUNTIF($C472:F472,"&gt;0")&gt;0,DATE($B$1,4,1)=DATE(YEAR(TODAY()),MONTH(TODAY()),1))),1,0))</f>
        <v/>
      </c>
      <c r="T472">
        <f>IF($A472="","",IF(AND($B472&gt;0,G472&lt;$B472,DATE($B$1,5,1)&lt;=TODAY(),OR($O472="",$O472&gt;=DATE($B$1,5,1)),OR(COUNTIF($C472:G472,"&gt;0")&gt;0,DATE($B$1,5,1)=DATE(YEAR(TODAY()),MONTH(TODAY()),1))),1,0))</f>
        <v/>
      </c>
      <c r="U472">
        <f>IF($A472="","",IF(AND($B472&gt;0,H472&lt;$B472,DATE($B$1,6,1)&lt;=TODAY(),OR($O472="",$O472&gt;=DATE($B$1,6,1)),OR(COUNTIF($C472:H472,"&gt;0")&gt;0,DATE($B$1,6,1)=DATE(YEAR(TODAY()),MONTH(TODAY()),1))),1,0))</f>
        <v/>
      </c>
      <c r="V472">
        <f>IF($A472="","",IF(AND($B472&gt;0,I472&lt;$B472,DATE($B$1,7,1)&lt;=TODAY(),OR($O472="",$O472&gt;=DATE($B$1,7,1)),OR(COUNTIF($C472:I472,"&gt;0")&gt;0,DATE($B$1,7,1)=DATE(YEAR(TODAY()),MONTH(TODAY()),1))),1,0))</f>
        <v/>
      </c>
      <c r="W472">
        <f>IF($A472="","",IF(AND($B472&gt;0,J472&lt;$B472,DATE($B$1,8,1)&lt;=TODAY(),OR($O472="",$O472&gt;=DATE($B$1,8,1)),OR(COUNTIF($C472:J472,"&gt;0")&gt;0,DATE($B$1,8,1)=DATE(YEAR(TODAY()),MONTH(TODAY()),1))),1,0))</f>
        <v/>
      </c>
      <c r="X472">
        <f>IF($A472="","",IF(AND($B472&gt;0,K472&lt;$B472,DATE($B$1,9,1)&lt;=TODAY(),OR($O472="",$O472&gt;=DATE($B$1,9,1)),OR(COUNTIF($C472:K472,"&gt;0")&gt;0,DATE($B$1,9,1)=DATE(YEAR(TODAY()),MONTH(TODAY()),1))),1,0))</f>
        <v/>
      </c>
      <c r="Y472">
        <f>IF($A472="","",IF(AND($B472&gt;0,L472&lt;$B472,DATE($B$1,10,1)&lt;=TODAY(),OR($O472="",$O472&gt;=DATE($B$1,10,1)),OR(COUNTIF($C472:L472,"&gt;0")&gt;0,DATE($B$1,10,1)=DATE(YEAR(TODAY()),MONTH(TODAY()),1))),1,0))</f>
        <v/>
      </c>
      <c r="Z472">
        <f>IF($A472="","",IF(AND($B472&gt;0,M472&lt;$B472,DATE($B$1,11,1)&lt;=TODAY(),OR($O472="",$O472&gt;=DATE($B$1,11,1)),OR(COUNTIF($C472:M472,"&gt;0")&gt;0,DATE($B$1,11,1)=DATE(YEAR(TODAY()),MONTH(TODAY()),1))),1,0))</f>
        <v/>
      </c>
      <c r="AA472">
        <f>IF($A472="","",IF(AND($B472&gt;0,N472&lt;$B472,DATE($B$1,12,1)&lt;=TODAY(),OR($O472="",$O472&gt;=DATE($B$1,12,1)),OR(COUNTIF($C472:N472,"&gt;0")&gt;0,DATE($B$1,12,1)=DATE(YEAR(TODAY()),MONTH(TODAY()),1))),1,0))</f>
        <v/>
      </c>
    </row>
    <row r="473">
      <c r="A473" s="13">
        <f>IF(원생!$A471="","",원생!$A471&amp;IF(원생!$G471="",""," ("&amp;원생!$G471&amp;")"))</f>
        <v/>
      </c>
      <c r="B473" s="8">
        <f>IF(원생!$A471="","",N(원생!$F471))</f>
        <v/>
      </c>
      <c r="C473" s="14">
        <f>IF(원생!$A471="","",SUMIFS(계산!$C:$C,계산!$A:$A,계산!$E471,계산!$B:$B,$B$1*100+1))</f>
        <v/>
      </c>
      <c r="D473" s="14">
        <f>IF(원생!$A471="","",SUMIFS(계산!$C:$C,계산!$A:$A,계산!$E471,계산!$B:$B,$B$1*100+2))</f>
        <v/>
      </c>
      <c r="E473" s="14">
        <f>IF(원생!$A471="","",SUMIFS(계산!$C:$C,계산!$A:$A,계산!$E471,계산!$B:$B,$B$1*100+3))</f>
        <v/>
      </c>
      <c r="F473" s="14">
        <f>IF(원생!$A471="","",SUMIFS(계산!$C:$C,계산!$A:$A,계산!$E471,계산!$B:$B,$B$1*100+4))</f>
        <v/>
      </c>
      <c r="G473" s="14">
        <f>IF(원생!$A471="","",SUMIFS(계산!$C:$C,계산!$A:$A,계산!$E471,계산!$B:$B,$B$1*100+5))</f>
        <v/>
      </c>
      <c r="H473" s="14">
        <f>IF(원생!$A471="","",SUMIFS(계산!$C:$C,계산!$A:$A,계산!$E471,계산!$B:$B,$B$1*100+6))</f>
        <v/>
      </c>
      <c r="I473" s="14">
        <f>IF(원생!$A471="","",SUMIFS(계산!$C:$C,계산!$A:$A,계산!$E471,계산!$B:$B,$B$1*100+7))</f>
        <v/>
      </c>
      <c r="J473" s="14">
        <f>IF(원생!$A471="","",SUMIFS(계산!$C:$C,계산!$A:$A,계산!$E471,계산!$B:$B,$B$1*100+8))</f>
        <v/>
      </c>
      <c r="K473" s="14">
        <f>IF(원생!$A471="","",SUMIFS(계산!$C:$C,계산!$A:$A,계산!$E471,계산!$B:$B,$B$1*100+9))</f>
        <v/>
      </c>
      <c r="L473" s="14">
        <f>IF(원생!$A471="","",SUMIFS(계산!$C:$C,계산!$A:$A,계산!$E471,계산!$B:$B,$B$1*100+10))</f>
        <v/>
      </c>
      <c r="M473" s="14">
        <f>IF(원생!$A471="","",SUMIFS(계산!$C:$C,계산!$A:$A,계산!$E471,계산!$B:$B,$B$1*100+11))</f>
        <v/>
      </c>
      <c r="N473" s="14">
        <f>IF(원생!$A471="","",SUMIFS(계산!$C:$C,계산!$A:$A,계산!$E471,계산!$B:$B,$B$1*100+12))</f>
        <v/>
      </c>
      <c r="O473">
        <f>IF(원생!$I471="","",원생!$I471)</f>
        <v/>
      </c>
      <c r="P473">
        <f>IF($A473="","",IF(AND($B473&gt;0,C473&lt;$B473,DATE($B$1,1,1)&lt;=TODAY(),OR($O473="",$O473&gt;=DATE($B$1,1,1)),OR(COUNTIF($C473:C473,"&gt;0")&gt;0,DATE($B$1,1,1)=DATE(YEAR(TODAY()),MONTH(TODAY()),1))),1,0))</f>
        <v/>
      </c>
      <c r="Q473">
        <f>IF($A473="","",IF(AND($B473&gt;0,D473&lt;$B473,DATE($B$1,2,1)&lt;=TODAY(),OR($O473="",$O473&gt;=DATE($B$1,2,1)),OR(COUNTIF($C473:D473,"&gt;0")&gt;0,DATE($B$1,2,1)=DATE(YEAR(TODAY()),MONTH(TODAY()),1))),1,0))</f>
        <v/>
      </c>
      <c r="R473">
        <f>IF($A473="","",IF(AND($B473&gt;0,E473&lt;$B473,DATE($B$1,3,1)&lt;=TODAY(),OR($O473="",$O473&gt;=DATE($B$1,3,1)),OR(COUNTIF($C473:E473,"&gt;0")&gt;0,DATE($B$1,3,1)=DATE(YEAR(TODAY()),MONTH(TODAY()),1))),1,0))</f>
        <v/>
      </c>
      <c r="S473">
        <f>IF($A473="","",IF(AND($B473&gt;0,F473&lt;$B473,DATE($B$1,4,1)&lt;=TODAY(),OR($O473="",$O473&gt;=DATE($B$1,4,1)),OR(COUNTIF($C473:F473,"&gt;0")&gt;0,DATE($B$1,4,1)=DATE(YEAR(TODAY()),MONTH(TODAY()),1))),1,0))</f>
        <v/>
      </c>
      <c r="T473">
        <f>IF($A473="","",IF(AND($B473&gt;0,G473&lt;$B473,DATE($B$1,5,1)&lt;=TODAY(),OR($O473="",$O473&gt;=DATE($B$1,5,1)),OR(COUNTIF($C473:G473,"&gt;0")&gt;0,DATE($B$1,5,1)=DATE(YEAR(TODAY()),MONTH(TODAY()),1))),1,0))</f>
        <v/>
      </c>
      <c r="U473">
        <f>IF($A473="","",IF(AND($B473&gt;0,H473&lt;$B473,DATE($B$1,6,1)&lt;=TODAY(),OR($O473="",$O473&gt;=DATE($B$1,6,1)),OR(COUNTIF($C473:H473,"&gt;0")&gt;0,DATE($B$1,6,1)=DATE(YEAR(TODAY()),MONTH(TODAY()),1))),1,0))</f>
        <v/>
      </c>
      <c r="V473">
        <f>IF($A473="","",IF(AND($B473&gt;0,I473&lt;$B473,DATE($B$1,7,1)&lt;=TODAY(),OR($O473="",$O473&gt;=DATE($B$1,7,1)),OR(COUNTIF($C473:I473,"&gt;0")&gt;0,DATE($B$1,7,1)=DATE(YEAR(TODAY()),MONTH(TODAY()),1))),1,0))</f>
        <v/>
      </c>
      <c r="W473">
        <f>IF($A473="","",IF(AND($B473&gt;0,J473&lt;$B473,DATE($B$1,8,1)&lt;=TODAY(),OR($O473="",$O473&gt;=DATE($B$1,8,1)),OR(COUNTIF($C473:J473,"&gt;0")&gt;0,DATE($B$1,8,1)=DATE(YEAR(TODAY()),MONTH(TODAY()),1))),1,0))</f>
        <v/>
      </c>
      <c r="X473">
        <f>IF($A473="","",IF(AND($B473&gt;0,K473&lt;$B473,DATE($B$1,9,1)&lt;=TODAY(),OR($O473="",$O473&gt;=DATE($B$1,9,1)),OR(COUNTIF($C473:K473,"&gt;0")&gt;0,DATE($B$1,9,1)=DATE(YEAR(TODAY()),MONTH(TODAY()),1))),1,0))</f>
        <v/>
      </c>
      <c r="Y473">
        <f>IF($A473="","",IF(AND($B473&gt;0,L473&lt;$B473,DATE($B$1,10,1)&lt;=TODAY(),OR($O473="",$O473&gt;=DATE($B$1,10,1)),OR(COUNTIF($C473:L473,"&gt;0")&gt;0,DATE($B$1,10,1)=DATE(YEAR(TODAY()),MONTH(TODAY()),1))),1,0))</f>
        <v/>
      </c>
      <c r="Z473">
        <f>IF($A473="","",IF(AND($B473&gt;0,M473&lt;$B473,DATE($B$1,11,1)&lt;=TODAY(),OR($O473="",$O473&gt;=DATE($B$1,11,1)),OR(COUNTIF($C473:M473,"&gt;0")&gt;0,DATE($B$1,11,1)=DATE(YEAR(TODAY()),MONTH(TODAY()),1))),1,0))</f>
        <v/>
      </c>
      <c r="AA473">
        <f>IF($A473="","",IF(AND($B473&gt;0,N473&lt;$B473,DATE($B$1,12,1)&lt;=TODAY(),OR($O473="",$O473&gt;=DATE($B$1,12,1)),OR(COUNTIF($C473:N473,"&gt;0")&gt;0,DATE($B$1,12,1)=DATE(YEAR(TODAY()),MONTH(TODAY()),1))),1,0))</f>
        <v/>
      </c>
    </row>
    <row r="474">
      <c r="A474" s="13">
        <f>IF(원생!$A472="","",원생!$A472&amp;IF(원생!$G472="",""," ("&amp;원생!$G472&amp;")"))</f>
        <v/>
      </c>
      <c r="B474" s="8">
        <f>IF(원생!$A472="","",N(원생!$F472))</f>
        <v/>
      </c>
      <c r="C474" s="14">
        <f>IF(원생!$A472="","",SUMIFS(계산!$C:$C,계산!$A:$A,계산!$E472,계산!$B:$B,$B$1*100+1))</f>
        <v/>
      </c>
      <c r="D474" s="14">
        <f>IF(원생!$A472="","",SUMIFS(계산!$C:$C,계산!$A:$A,계산!$E472,계산!$B:$B,$B$1*100+2))</f>
        <v/>
      </c>
      <c r="E474" s="14">
        <f>IF(원생!$A472="","",SUMIFS(계산!$C:$C,계산!$A:$A,계산!$E472,계산!$B:$B,$B$1*100+3))</f>
        <v/>
      </c>
      <c r="F474" s="14">
        <f>IF(원생!$A472="","",SUMIFS(계산!$C:$C,계산!$A:$A,계산!$E472,계산!$B:$B,$B$1*100+4))</f>
        <v/>
      </c>
      <c r="G474" s="14">
        <f>IF(원생!$A472="","",SUMIFS(계산!$C:$C,계산!$A:$A,계산!$E472,계산!$B:$B,$B$1*100+5))</f>
        <v/>
      </c>
      <c r="H474" s="14">
        <f>IF(원생!$A472="","",SUMIFS(계산!$C:$C,계산!$A:$A,계산!$E472,계산!$B:$B,$B$1*100+6))</f>
        <v/>
      </c>
      <c r="I474" s="14">
        <f>IF(원생!$A472="","",SUMIFS(계산!$C:$C,계산!$A:$A,계산!$E472,계산!$B:$B,$B$1*100+7))</f>
        <v/>
      </c>
      <c r="J474" s="14">
        <f>IF(원생!$A472="","",SUMIFS(계산!$C:$C,계산!$A:$A,계산!$E472,계산!$B:$B,$B$1*100+8))</f>
        <v/>
      </c>
      <c r="K474" s="14">
        <f>IF(원생!$A472="","",SUMIFS(계산!$C:$C,계산!$A:$A,계산!$E472,계산!$B:$B,$B$1*100+9))</f>
        <v/>
      </c>
      <c r="L474" s="14">
        <f>IF(원생!$A472="","",SUMIFS(계산!$C:$C,계산!$A:$A,계산!$E472,계산!$B:$B,$B$1*100+10))</f>
        <v/>
      </c>
      <c r="M474" s="14">
        <f>IF(원생!$A472="","",SUMIFS(계산!$C:$C,계산!$A:$A,계산!$E472,계산!$B:$B,$B$1*100+11))</f>
        <v/>
      </c>
      <c r="N474" s="14">
        <f>IF(원생!$A472="","",SUMIFS(계산!$C:$C,계산!$A:$A,계산!$E472,계산!$B:$B,$B$1*100+12))</f>
        <v/>
      </c>
      <c r="O474">
        <f>IF(원생!$I472="","",원생!$I472)</f>
        <v/>
      </c>
      <c r="P474">
        <f>IF($A474="","",IF(AND($B474&gt;0,C474&lt;$B474,DATE($B$1,1,1)&lt;=TODAY(),OR($O474="",$O474&gt;=DATE($B$1,1,1)),OR(COUNTIF($C474:C474,"&gt;0")&gt;0,DATE($B$1,1,1)=DATE(YEAR(TODAY()),MONTH(TODAY()),1))),1,0))</f>
        <v/>
      </c>
      <c r="Q474">
        <f>IF($A474="","",IF(AND($B474&gt;0,D474&lt;$B474,DATE($B$1,2,1)&lt;=TODAY(),OR($O474="",$O474&gt;=DATE($B$1,2,1)),OR(COUNTIF($C474:D474,"&gt;0")&gt;0,DATE($B$1,2,1)=DATE(YEAR(TODAY()),MONTH(TODAY()),1))),1,0))</f>
        <v/>
      </c>
      <c r="R474">
        <f>IF($A474="","",IF(AND($B474&gt;0,E474&lt;$B474,DATE($B$1,3,1)&lt;=TODAY(),OR($O474="",$O474&gt;=DATE($B$1,3,1)),OR(COUNTIF($C474:E474,"&gt;0")&gt;0,DATE($B$1,3,1)=DATE(YEAR(TODAY()),MONTH(TODAY()),1))),1,0))</f>
        <v/>
      </c>
      <c r="S474">
        <f>IF($A474="","",IF(AND($B474&gt;0,F474&lt;$B474,DATE($B$1,4,1)&lt;=TODAY(),OR($O474="",$O474&gt;=DATE($B$1,4,1)),OR(COUNTIF($C474:F474,"&gt;0")&gt;0,DATE($B$1,4,1)=DATE(YEAR(TODAY()),MONTH(TODAY()),1))),1,0))</f>
        <v/>
      </c>
      <c r="T474">
        <f>IF($A474="","",IF(AND($B474&gt;0,G474&lt;$B474,DATE($B$1,5,1)&lt;=TODAY(),OR($O474="",$O474&gt;=DATE($B$1,5,1)),OR(COUNTIF($C474:G474,"&gt;0")&gt;0,DATE($B$1,5,1)=DATE(YEAR(TODAY()),MONTH(TODAY()),1))),1,0))</f>
        <v/>
      </c>
      <c r="U474">
        <f>IF($A474="","",IF(AND($B474&gt;0,H474&lt;$B474,DATE($B$1,6,1)&lt;=TODAY(),OR($O474="",$O474&gt;=DATE($B$1,6,1)),OR(COUNTIF($C474:H474,"&gt;0")&gt;0,DATE($B$1,6,1)=DATE(YEAR(TODAY()),MONTH(TODAY()),1))),1,0))</f>
        <v/>
      </c>
      <c r="V474">
        <f>IF($A474="","",IF(AND($B474&gt;0,I474&lt;$B474,DATE($B$1,7,1)&lt;=TODAY(),OR($O474="",$O474&gt;=DATE($B$1,7,1)),OR(COUNTIF($C474:I474,"&gt;0")&gt;0,DATE($B$1,7,1)=DATE(YEAR(TODAY()),MONTH(TODAY()),1))),1,0))</f>
        <v/>
      </c>
      <c r="W474">
        <f>IF($A474="","",IF(AND($B474&gt;0,J474&lt;$B474,DATE($B$1,8,1)&lt;=TODAY(),OR($O474="",$O474&gt;=DATE($B$1,8,1)),OR(COUNTIF($C474:J474,"&gt;0")&gt;0,DATE($B$1,8,1)=DATE(YEAR(TODAY()),MONTH(TODAY()),1))),1,0))</f>
        <v/>
      </c>
      <c r="X474">
        <f>IF($A474="","",IF(AND($B474&gt;0,K474&lt;$B474,DATE($B$1,9,1)&lt;=TODAY(),OR($O474="",$O474&gt;=DATE($B$1,9,1)),OR(COUNTIF($C474:K474,"&gt;0")&gt;0,DATE($B$1,9,1)=DATE(YEAR(TODAY()),MONTH(TODAY()),1))),1,0))</f>
        <v/>
      </c>
      <c r="Y474">
        <f>IF($A474="","",IF(AND($B474&gt;0,L474&lt;$B474,DATE($B$1,10,1)&lt;=TODAY(),OR($O474="",$O474&gt;=DATE($B$1,10,1)),OR(COUNTIF($C474:L474,"&gt;0")&gt;0,DATE($B$1,10,1)=DATE(YEAR(TODAY()),MONTH(TODAY()),1))),1,0))</f>
        <v/>
      </c>
      <c r="Z474">
        <f>IF($A474="","",IF(AND($B474&gt;0,M474&lt;$B474,DATE($B$1,11,1)&lt;=TODAY(),OR($O474="",$O474&gt;=DATE($B$1,11,1)),OR(COUNTIF($C474:M474,"&gt;0")&gt;0,DATE($B$1,11,1)=DATE(YEAR(TODAY()),MONTH(TODAY()),1))),1,0))</f>
        <v/>
      </c>
      <c r="AA474">
        <f>IF($A474="","",IF(AND($B474&gt;0,N474&lt;$B474,DATE($B$1,12,1)&lt;=TODAY(),OR($O474="",$O474&gt;=DATE($B$1,12,1)),OR(COUNTIF($C474:N474,"&gt;0")&gt;0,DATE($B$1,12,1)=DATE(YEAR(TODAY()),MONTH(TODAY()),1))),1,0))</f>
        <v/>
      </c>
    </row>
    <row r="475">
      <c r="A475" s="13">
        <f>IF(원생!$A473="","",원생!$A473&amp;IF(원생!$G473="",""," ("&amp;원생!$G473&amp;")"))</f>
        <v/>
      </c>
      <c r="B475" s="8">
        <f>IF(원생!$A473="","",N(원생!$F473))</f>
        <v/>
      </c>
      <c r="C475" s="14">
        <f>IF(원생!$A473="","",SUMIFS(계산!$C:$C,계산!$A:$A,계산!$E473,계산!$B:$B,$B$1*100+1))</f>
        <v/>
      </c>
      <c r="D475" s="14">
        <f>IF(원생!$A473="","",SUMIFS(계산!$C:$C,계산!$A:$A,계산!$E473,계산!$B:$B,$B$1*100+2))</f>
        <v/>
      </c>
      <c r="E475" s="14">
        <f>IF(원생!$A473="","",SUMIFS(계산!$C:$C,계산!$A:$A,계산!$E473,계산!$B:$B,$B$1*100+3))</f>
        <v/>
      </c>
      <c r="F475" s="14">
        <f>IF(원생!$A473="","",SUMIFS(계산!$C:$C,계산!$A:$A,계산!$E473,계산!$B:$B,$B$1*100+4))</f>
        <v/>
      </c>
      <c r="G475" s="14">
        <f>IF(원생!$A473="","",SUMIFS(계산!$C:$C,계산!$A:$A,계산!$E473,계산!$B:$B,$B$1*100+5))</f>
        <v/>
      </c>
      <c r="H475" s="14">
        <f>IF(원생!$A473="","",SUMIFS(계산!$C:$C,계산!$A:$A,계산!$E473,계산!$B:$B,$B$1*100+6))</f>
        <v/>
      </c>
      <c r="I475" s="14">
        <f>IF(원생!$A473="","",SUMIFS(계산!$C:$C,계산!$A:$A,계산!$E473,계산!$B:$B,$B$1*100+7))</f>
        <v/>
      </c>
      <c r="J475" s="14">
        <f>IF(원생!$A473="","",SUMIFS(계산!$C:$C,계산!$A:$A,계산!$E473,계산!$B:$B,$B$1*100+8))</f>
        <v/>
      </c>
      <c r="K475" s="14">
        <f>IF(원생!$A473="","",SUMIFS(계산!$C:$C,계산!$A:$A,계산!$E473,계산!$B:$B,$B$1*100+9))</f>
        <v/>
      </c>
      <c r="L475" s="14">
        <f>IF(원생!$A473="","",SUMIFS(계산!$C:$C,계산!$A:$A,계산!$E473,계산!$B:$B,$B$1*100+10))</f>
        <v/>
      </c>
      <c r="M475" s="14">
        <f>IF(원생!$A473="","",SUMIFS(계산!$C:$C,계산!$A:$A,계산!$E473,계산!$B:$B,$B$1*100+11))</f>
        <v/>
      </c>
      <c r="N475" s="14">
        <f>IF(원생!$A473="","",SUMIFS(계산!$C:$C,계산!$A:$A,계산!$E473,계산!$B:$B,$B$1*100+12))</f>
        <v/>
      </c>
      <c r="O475">
        <f>IF(원생!$I473="","",원생!$I473)</f>
        <v/>
      </c>
      <c r="P475">
        <f>IF($A475="","",IF(AND($B475&gt;0,C475&lt;$B475,DATE($B$1,1,1)&lt;=TODAY(),OR($O475="",$O475&gt;=DATE($B$1,1,1)),OR(COUNTIF($C475:C475,"&gt;0")&gt;0,DATE($B$1,1,1)=DATE(YEAR(TODAY()),MONTH(TODAY()),1))),1,0))</f>
        <v/>
      </c>
      <c r="Q475">
        <f>IF($A475="","",IF(AND($B475&gt;0,D475&lt;$B475,DATE($B$1,2,1)&lt;=TODAY(),OR($O475="",$O475&gt;=DATE($B$1,2,1)),OR(COUNTIF($C475:D475,"&gt;0")&gt;0,DATE($B$1,2,1)=DATE(YEAR(TODAY()),MONTH(TODAY()),1))),1,0))</f>
        <v/>
      </c>
      <c r="R475">
        <f>IF($A475="","",IF(AND($B475&gt;0,E475&lt;$B475,DATE($B$1,3,1)&lt;=TODAY(),OR($O475="",$O475&gt;=DATE($B$1,3,1)),OR(COUNTIF($C475:E475,"&gt;0")&gt;0,DATE($B$1,3,1)=DATE(YEAR(TODAY()),MONTH(TODAY()),1))),1,0))</f>
        <v/>
      </c>
      <c r="S475">
        <f>IF($A475="","",IF(AND($B475&gt;0,F475&lt;$B475,DATE($B$1,4,1)&lt;=TODAY(),OR($O475="",$O475&gt;=DATE($B$1,4,1)),OR(COUNTIF($C475:F475,"&gt;0")&gt;0,DATE($B$1,4,1)=DATE(YEAR(TODAY()),MONTH(TODAY()),1))),1,0))</f>
        <v/>
      </c>
      <c r="T475">
        <f>IF($A475="","",IF(AND($B475&gt;0,G475&lt;$B475,DATE($B$1,5,1)&lt;=TODAY(),OR($O475="",$O475&gt;=DATE($B$1,5,1)),OR(COUNTIF($C475:G475,"&gt;0")&gt;0,DATE($B$1,5,1)=DATE(YEAR(TODAY()),MONTH(TODAY()),1))),1,0))</f>
        <v/>
      </c>
      <c r="U475">
        <f>IF($A475="","",IF(AND($B475&gt;0,H475&lt;$B475,DATE($B$1,6,1)&lt;=TODAY(),OR($O475="",$O475&gt;=DATE($B$1,6,1)),OR(COUNTIF($C475:H475,"&gt;0")&gt;0,DATE($B$1,6,1)=DATE(YEAR(TODAY()),MONTH(TODAY()),1))),1,0))</f>
        <v/>
      </c>
      <c r="V475">
        <f>IF($A475="","",IF(AND($B475&gt;0,I475&lt;$B475,DATE($B$1,7,1)&lt;=TODAY(),OR($O475="",$O475&gt;=DATE($B$1,7,1)),OR(COUNTIF($C475:I475,"&gt;0")&gt;0,DATE($B$1,7,1)=DATE(YEAR(TODAY()),MONTH(TODAY()),1))),1,0))</f>
        <v/>
      </c>
      <c r="W475">
        <f>IF($A475="","",IF(AND($B475&gt;0,J475&lt;$B475,DATE($B$1,8,1)&lt;=TODAY(),OR($O475="",$O475&gt;=DATE($B$1,8,1)),OR(COUNTIF($C475:J475,"&gt;0")&gt;0,DATE($B$1,8,1)=DATE(YEAR(TODAY()),MONTH(TODAY()),1))),1,0))</f>
        <v/>
      </c>
      <c r="X475">
        <f>IF($A475="","",IF(AND($B475&gt;0,K475&lt;$B475,DATE($B$1,9,1)&lt;=TODAY(),OR($O475="",$O475&gt;=DATE($B$1,9,1)),OR(COUNTIF($C475:K475,"&gt;0")&gt;0,DATE($B$1,9,1)=DATE(YEAR(TODAY()),MONTH(TODAY()),1))),1,0))</f>
        <v/>
      </c>
      <c r="Y475">
        <f>IF($A475="","",IF(AND($B475&gt;0,L475&lt;$B475,DATE($B$1,10,1)&lt;=TODAY(),OR($O475="",$O475&gt;=DATE($B$1,10,1)),OR(COUNTIF($C475:L475,"&gt;0")&gt;0,DATE($B$1,10,1)=DATE(YEAR(TODAY()),MONTH(TODAY()),1))),1,0))</f>
        <v/>
      </c>
      <c r="Z475">
        <f>IF($A475="","",IF(AND($B475&gt;0,M475&lt;$B475,DATE($B$1,11,1)&lt;=TODAY(),OR($O475="",$O475&gt;=DATE($B$1,11,1)),OR(COUNTIF($C475:M475,"&gt;0")&gt;0,DATE($B$1,11,1)=DATE(YEAR(TODAY()),MONTH(TODAY()),1))),1,0))</f>
        <v/>
      </c>
      <c r="AA475">
        <f>IF($A475="","",IF(AND($B475&gt;0,N475&lt;$B475,DATE($B$1,12,1)&lt;=TODAY(),OR($O475="",$O475&gt;=DATE($B$1,12,1)),OR(COUNTIF($C475:N475,"&gt;0")&gt;0,DATE($B$1,12,1)=DATE(YEAR(TODAY()),MONTH(TODAY()),1))),1,0))</f>
        <v/>
      </c>
    </row>
    <row r="476">
      <c r="A476" s="13">
        <f>IF(원생!$A474="","",원생!$A474&amp;IF(원생!$G474="",""," ("&amp;원생!$G474&amp;")"))</f>
        <v/>
      </c>
      <c r="B476" s="8">
        <f>IF(원생!$A474="","",N(원생!$F474))</f>
        <v/>
      </c>
      <c r="C476" s="14">
        <f>IF(원생!$A474="","",SUMIFS(계산!$C:$C,계산!$A:$A,계산!$E474,계산!$B:$B,$B$1*100+1))</f>
        <v/>
      </c>
      <c r="D476" s="14">
        <f>IF(원생!$A474="","",SUMIFS(계산!$C:$C,계산!$A:$A,계산!$E474,계산!$B:$B,$B$1*100+2))</f>
        <v/>
      </c>
      <c r="E476" s="14">
        <f>IF(원생!$A474="","",SUMIFS(계산!$C:$C,계산!$A:$A,계산!$E474,계산!$B:$B,$B$1*100+3))</f>
        <v/>
      </c>
      <c r="F476" s="14">
        <f>IF(원생!$A474="","",SUMIFS(계산!$C:$C,계산!$A:$A,계산!$E474,계산!$B:$B,$B$1*100+4))</f>
        <v/>
      </c>
      <c r="G476" s="14">
        <f>IF(원생!$A474="","",SUMIFS(계산!$C:$C,계산!$A:$A,계산!$E474,계산!$B:$B,$B$1*100+5))</f>
        <v/>
      </c>
      <c r="H476" s="14">
        <f>IF(원생!$A474="","",SUMIFS(계산!$C:$C,계산!$A:$A,계산!$E474,계산!$B:$B,$B$1*100+6))</f>
        <v/>
      </c>
      <c r="I476" s="14">
        <f>IF(원생!$A474="","",SUMIFS(계산!$C:$C,계산!$A:$A,계산!$E474,계산!$B:$B,$B$1*100+7))</f>
        <v/>
      </c>
      <c r="J476" s="14">
        <f>IF(원생!$A474="","",SUMIFS(계산!$C:$C,계산!$A:$A,계산!$E474,계산!$B:$B,$B$1*100+8))</f>
        <v/>
      </c>
      <c r="K476" s="14">
        <f>IF(원생!$A474="","",SUMIFS(계산!$C:$C,계산!$A:$A,계산!$E474,계산!$B:$B,$B$1*100+9))</f>
        <v/>
      </c>
      <c r="L476" s="14">
        <f>IF(원생!$A474="","",SUMIFS(계산!$C:$C,계산!$A:$A,계산!$E474,계산!$B:$B,$B$1*100+10))</f>
        <v/>
      </c>
      <c r="M476" s="14">
        <f>IF(원생!$A474="","",SUMIFS(계산!$C:$C,계산!$A:$A,계산!$E474,계산!$B:$B,$B$1*100+11))</f>
        <v/>
      </c>
      <c r="N476" s="14">
        <f>IF(원생!$A474="","",SUMIFS(계산!$C:$C,계산!$A:$A,계산!$E474,계산!$B:$B,$B$1*100+12))</f>
        <v/>
      </c>
      <c r="O476">
        <f>IF(원생!$I474="","",원생!$I474)</f>
        <v/>
      </c>
      <c r="P476">
        <f>IF($A476="","",IF(AND($B476&gt;0,C476&lt;$B476,DATE($B$1,1,1)&lt;=TODAY(),OR($O476="",$O476&gt;=DATE($B$1,1,1)),OR(COUNTIF($C476:C476,"&gt;0")&gt;0,DATE($B$1,1,1)=DATE(YEAR(TODAY()),MONTH(TODAY()),1))),1,0))</f>
        <v/>
      </c>
      <c r="Q476">
        <f>IF($A476="","",IF(AND($B476&gt;0,D476&lt;$B476,DATE($B$1,2,1)&lt;=TODAY(),OR($O476="",$O476&gt;=DATE($B$1,2,1)),OR(COUNTIF($C476:D476,"&gt;0")&gt;0,DATE($B$1,2,1)=DATE(YEAR(TODAY()),MONTH(TODAY()),1))),1,0))</f>
        <v/>
      </c>
      <c r="R476">
        <f>IF($A476="","",IF(AND($B476&gt;0,E476&lt;$B476,DATE($B$1,3,1)&lt;=TODAY(),OR($O476="",$O476&gt;=DATE($B$1,3,1)),OR(COUNTIF($C476:E476,"&gt;0")&gt;0,DATE($B$1,3,1)=DATE(YEAR(TODAY()),MONTH(TODAY()),1))),1,0))</f>
        <v/>
      </c>
      <c r="S476">
        <f>IF($A476="","",IF(AND($B476&gt;0,F476&lt;$B476,DATE($B$1,4,1)&lt;=TODAY(),OR($O476="",$O476&gt;=DATE($B$1,4,1)),OR(COUNTIF($C476:F476,"&gt;0")&gt;0,DATE($B$1,4,1)=DATE(YEAR(TODAY()),MONTH(TODAY()),1))),1,0))</f>
        <v/>
      </c>
      <c r="T476">
        <f>IF($A476="","",IF(AND($B476&gt;0,G476&lt;$B476,DATE($B$1,5,1)&lt;=TODAY(),OR($O476="",$O476&gt;=DATE($B$1,5,1)),OR(COUNTIF($C476:G476,"&gt;0")&gt;0,DATE($B$1,5,1)=DATE(YEAR(TODAY()),MONTH(TODAY()),1))),1,0))</f>
        <v/>
      </c>
      <c r="U476">
        <f>IF($A476="","",IF(AND($B476&gt;0,H476&lt;$B476,DATE($B$1,6,1)&lt;=TODAY(),OR($O476="",$O476&gt;=DATE($B$1,6,1)),OR(COUNTIF($C476:H476,"&gt;0")&gt;0,DATE($B$1,6,1)=DATE(YEAR(TODAY()),MONTH(TODAY()),1))),1,0))</f>
        <v/>
      </c>
      <c r="V476">
        <f>IF($A476="","",IF(AND($B476&gt;0,I476&lt;$B476,DATE($B$1,7,1)&lt;=TODAY(),OR($O476="",$O476&gt;=DATE($B$1,7,1)),OR(COUNTIF($C476:I476,"&gt;0")&gt;0,DATE($B$1,7,1)=DATE(YEAR(TODAY()),MONTH(TODAY()),1))),1,0))</f>
        <v/>
      </c>
      <c r="W476">
        <f>IF($A476="","",IF(AND($B476&gt;0,J476&lt;$B476,DATE($B$1,8,1)&lt;=TODAY(),OR($O476="",$O476&gt;=DATE($B$1,8,1)),OR(COUNTIF($C476:J476,"&gt;0")&gt;0,DATE($B$1,8,1)=DATE(YEAR(TODAY()),MONTH(TODAY()),1))),1,0))</f>
        <v/>
      </c>
      <c r="X476">
        <f>IF($A476="","",IF(AND($B476&gt;0,K476&lt;$B476,DATE($B$1,9,1)&lt;=TODAY(),OR($O476="",$O476&gt;=DATE($B$1,9,1)),OR(COUNTIF($C476:K476,"&gt;0")&gt;0,DATE($B$1,9,1)=DATE(YEAR(TODAY()),MONTH(TODAY()),1))),1,0))</f>
        <v/>
      </c>
      <c r="Y476">
        <f>IF($A476="","",IF(AND($B476&gt;0,L476&lt;$B476,DATE($B$1,10,1)&lt;=TODAY(),OR($O476="",$O476&gt;=DATE($B$1,10,1)),OR(COUNTIF($C476:L476,"&gt;0")&gt;0,DATE($B$1,10,1)=DATE(YEAR(TODAY()),MONTH(TODAY()),1))),1,0))</f>
        <v/>
      </c>
      <c r="Z476">
        <f>IF($A476="","",IF(AND($B476&gt;0,M476&lt;$B476,DATE($B$1,11,1)&lt;=TODAY(),OR($O476="",$O476&gt;=DATE($B$1,11,1)),OR(COUNTIF($C476:M476,"&gt;0")&gt;0,DATE($B$1,11,1)=DATE(YEAR(TODAY()),MONTH(TODAY()),1))),1,0))</f>
        <v/>
      </c>
      <c r="AA476">
        <f>IF($A476="","",IF(AND($B476&gt;0,N476&lt;$B476,DATE($B$1,12,1)&lt;=TODAY(),OR($O476="",$O476&gt;=DATE($B$1,12,1)),OR(COUNTIF($C476:N476,"&gt;0")&gt;0,DATE($B$1,12,1)=DATE(YEAR(TODAY()),MONTH(TODAY()),1))),1,0))</f>
        <v/>
      </c>
    </row>
    <row r="477">
      <c r="A477" s="13">
        <f>IF(원생!$A475="","",원생!$A475&amp;IF(원생!$G475="",""," ("&amp;원생!$G475&amp;")"))</f>
        <v/>
      </c>
      <c r="B477" s="8">
        <f>IF(원생!$A475="","",N(원생!$F475))</f>
        <v/>
      </c>
      <c r="C477" s="14">
        <f>IF(원생!$A475="","",SUMIFS(계산!$C:$C,계산!$A:$A,계산!$E475,계산!$B:$B,$B$1*100+1))</f>
        <v/>
      </c>
      <c r="D477" s="14">
        <f>IF(원생!$A475="","",SUMIFS(계산!$C:$C,계산!$A:$A,계산!$E475,계산!$B:$B,$B$1*100+2))</f>
        <v/>
      </c>
      <c r="E477" s="14">
        <f>IF(원생!$A475="","",SUMIFS(계산!$C:$C,계산!$A:$A,계산!$E475,계산!$B:$B,$B$1*100+3))</f>
        <v/>
      </c>
      <c r="F477" s="14">
        <f>IF(원생!$A475="","",SUMIFS(계산!$C:$C,계산!$A:$A,계산!$E475,계산!$B:$B,$B$1*100+4))</f>
        <v/>
      </c>
      <c r="G477" s="14">
        <f>IF(원생!$A475="","",SUMIFS(계산!$C:$C,계산!$A:$A,계산!$E475,계산!$B:$B,$B$1*100+5))</f>
        <v/>
      </c>
      <c r="H477" s="14">
        <f>IF(원생!$A475="","",SUMIFS(계산!$C:$C,계산!$A:$A,계산!$E475,계산!$B:$B,$B$1*100+6))</f>
        <v/>
      </c>
      <c r="I477" s="14">
        <f>IF(원생!$A475="","",SUMIFS(계산!$C:$C,계산!$A:$A,계산!$E475,계산!$B:$B,$B$1*100+7))</f>
        <v/>
      </c>
      <c r="J477" s="14">
        <f>IF(원생!$A475="","",SUMIFS(계산!$C:$C,계산!$A:$A,계산!$E475,계산!$B:$B,$B$1*100+8))</f>
        <v/>
      </c>
      <c r="K477" s="14">
        <f>IF(원생!$A475="","",SUMIFS(계산!$C:$C,계산!$A:$A,계산!$E475,계산!$B:$B,$B$1*100+9))</f>
        <v/>
      </c>
      <c r="L477" s="14">
        <f>IF(원생!$A475="","",SUMIFS(계산!$C:$C,계산!$A:$A,계산!$E475,계산!$B:$B,$B$1*100+10))</f>
        <v/>
      </c>
      <c r="M477" s="14">
        <f>IF(원생!$A475="","",SUMIFS(계산!$C:$C,계산!$A:$A,계산!$E475,계산!$B:$B,$B$1*100+11))</f>
        <v/>
      </c>
      <c r="N477" s="14">
        <f>IF(원생!$A475="","",SUMIFS(계산!$C:$C,계산!$A:$A,계산!$E475,계산!$B:$B,$B$1*100+12))</f>
        <v/>
      </c>
      <c r="O477">
        <f>IF(원생!$I475="","",원생!$I475)</f>
        <v/>
      </c>
      <c r="P477">
        <f>IF($A477="","",IF(AND($B477&gt;0,C477&lt;$B477,DATE($B$1,1,1)&lt;=TODAY(),OR($O477="",$O477&gt;=DATE($B$1,1,1)),OR(COUNTIF($C477:C477,"&gt;0")&gt;0,DATE($B$1,1,1)=DATE(YEAR(TODAY()),MONTH(TODAY()),1))),1,0))</f>
        <v/>
      </c>
      <c r="Q477">
        <f>IF($A477="","",IF(AND($B477&gt;0,D477&lt;$B477,DATE($B$1,2,1)&lt;=TODAY(),OR($O477="",$O477&gt;=DATE($B$1,2,1)),OR(COUNTIF($C477:D477,"&gt;0")&gt;0,DATE($B$1,2,1)=DATE(YEAR(TODAY()),MONTH(TODAY()),1))),1,0))</f>
        <v/>
      </c>
      <c r="R477">
        <f>IF($A477="","",IF(AND($B477&gt;0,E477&lt;$B477,DATE($B$1,3,1)&lt;=TODAY(),OR($O477="",$O477&gt;=DATE($B$1,3,1)),OR(COUNTIF($C477:E477,"&gt;0")&gt;0,DATE($B$1,3,1)=DATE(YEAR(TODAY()),MONTH(TODAY()),1))),1,0))</f>
        <v/>
      </c>
      <c r="S477">
        <f>IF($A477="","",IF(AND($B477&gt;0,F477&lt;$B477,DATE($B$1,4,1)&lt;=TODAY(),OR($O477="",$O477&gt;=DATE($B$1,4,1)),OR(COUNTIF($C477:F477,"&gt;0")&gt;0,DATE($B$1,4,1)=DATE(YEAR(TODAY()),MONTH(TODAY()),1))),1,0))</f>
        <v/>
      </c>
      <c r="T477">
        <f>IF($A477="","",IF(AND($B477&gt;0,G477&lt;$B477,DATE($B$1,5,1)&lt;=TODAY(),OR($O477="",$O477&gt;=DATE($B$1,5,1)),OR(COUNTIF($C477:G477,"&gt;0")&gt;0,DATE($B$1,5,1)=DATE(YEAR(TODAY()),MONTH(TODAY()),1))),1,0))</f>
        <v/>
      </c>
      <c r="U477">
        <f>IF($A477="","",IF(AND($B477&gt;0,H477&lt;$B477,DATE($B$1,6,1)&lt;=TODAY(),OR($O477="",$O477&gt;=DATE($B$1,6,1)),OR(COUNTIF($C477:H477,"&gt;0")&gt;0,DATE($B$1,6,1)=DATE(YEAR(TODAY()),MONTH(TODAY()),1))),1,0))</f>
        <v/>
      </c>
      <c r="V477">
        <f>IF($A477="","",IF(AND($B477&gt;0,I477&lt;$B477,DATE($B$1,7,1)&lt;=TODAY(),OR($O477="",$O477&gt;=DATE($B$1,7,1)),OR(COUNTIF($C477:I477,"&gt;0")&gt;0,DATE($B$1,7,1)=DATE(YEAR(TODAY()),MONTH(TODAY()),1))),1,0))</f>
        <v/>
      </c>
      <c r="W477">
        <f>IF($A477="","",IF(AND($B477&gt;0,J477&lt;$B477,DATE($B$1,8,1)&lt;=TODAY(),OR($O477="",$O477&gt;=DATE($B$1,8,1)),OR(COUNTIF($C477:J477,"&gt;0")&gt;0,DATE($B$1,8,1)=DATE(YEAR(TODAY()),MONTH(TODAY()),1))),1,0))</f>
        <v/>
      </c>
      <c r="X477">
        <f>IF($A477="","",IF(AND($B477&gt;0,K477&lt;$B477,DATE($B$1,9,1)&lt;=TODAY(),OR($O477="",$O477&gt;=DATE($B$1,9,1)),OR(COUNTIF($C477:K477,"&gt;0")&gt;0,DATE($B$1,9,1)=DATE(YEAR(TODAY()),MONTH(TODAY()),1))),1,0))</f>
        <v/>
      </c>
      <c r="Y477">
        <f>IF($A477="","",IF(AND($B477&gt;0,L477&lt;$B477,DATE($B$1,10,1)&lt;=TODAY(),OR($O477="",$O477&gt;=DATE($B$1,10,1)),OR(COUNTIF($C477:L477,"&gt;0")&gt;0,DATE($B$1,10,1)=DATE(YEAR(TODAY()),MONTH(TODAY()),1))),1,0))</f>
        <v/>
      </c>
      <c r="Z477">
        <f>IF($A477="","",IF(AND($B477&gt;0,M477&lt;$B477,DATE($B$1,11,1)&lt;=TODAY(),OR($O477="",$O477&gt;=DATE($B$1,11,1)),OR(COUNTIF($C477:M477,"&gt;0")&gt;0,DATE($B$1,11,1)=DATE(YEAR(TODAY()),MONTH(TODAY()),1))),1,0))</f>
        <v/>
      </c>
      <c r="AA477">
        <f>IF($A477="","",IF(AND($B477&gt;0,N477&lt;$B477,DATE($B$1,12,1)&lt;=TODAY(),OR($O477="",$O477&gt;=DATE($B$1,12,1)),OR(COUNTIF($C477:N477,"&gt;0")&gt;0,DATE($B$1,12,1)=DATE(YEAR(TODAY()),MONTH(TODAY()),1))),1,0))</f>
        <v/>
      </c>
    </row>
    <row r="478">
      <c r="A478" s="13">
        <f>IF(원생!$A476="","",원생!$A476&amp;IF(원생!$G476="",""," ("&amp;원생!$G476&amp;")"))</f>
        <v/>
      </c>
      <c r="B478" s="8">
        <f>IF(원생!$A476="","",N(원생!$F476))</f>
        <v/>
      </c>
      <c r="C478" s="14">
        <f>IF(원생!$A476="","",SUMIFS(계산!$C:$C,계산!$A:$A,계산!$E476,계산!$B:$B,$B$1*100+1))</f>
        <v/>
      </c>
      <c r="D478" s="14">
        <f>IF(원생!$A476="","",SUMIFS(계산!$C:$C,계산!$A:$A,계산!$E476,계산!$B:$B,$B$1*100+2))</f>
        <v/>
      </c>
      <c r="E478" s="14">
        <f>IF(원생!$A476="","",SUMIFS(계산!$C:$C,계산!$A:$A,계산!$E476,계산!$B:$B,$B$1*100+3))</f>
        <v/>
      </c>
      <c r="F478" s="14">
        <f>IF(원생!$A476="","",SUMIFS(계산!$C:$C,계산!$A:$A,계산!$E476,계산!$B:$B,$B$1*100+4))</f>
        <v/>
      </c>
      <c r="G478" s="14">
        <f>IF(원생!$A476="","",SUMIFS(계산!$C:$C,계산!$A:$A,계산!$E476,계산!$B:$B,$B$1*100+5))</f>
        <v/>
      </c>
      <c r="H478" s="14">
        <f>IF(원생!$A476="","",SUMIFS(계산!$C:$C,계산!$A:$A,계산!$E476,계산!$B:$B,$B$1*100+6))</f>
        <v/>
      </c>
      <c r="I478" s="14">
        <f>IF(원생!$A476="","",SUMIFS(계산!$C:$C,계산!$A:$A,계산!$E476,계산!$B:$B,$B$1*100+7))</f>
        <v/>
      </c>
      <c r="J478" s="14">
        <f>IF(원생!$A476="","",SUMIFS(계산!$C:$C,계산!$A:$A,계산!$E476,계산!$B:$B,$B$1*100+8))</f>
        <v/>
      </c>
      <c r="K478" s="14">
        <f>IF(원생!$A476="","",SUMIFS(계산!$C:$C,계산!$A:$A,계산!$E476,계산!$B:$B,$B$1*100+9))</f>
        <v/>
      </c>
      <c r="L478" s="14">
        <f>IF(원생!$A476="","",SUMIFS(계산!$C:$C,계산!$A:$A,계산!$E476,계산!$B:$B,$B$1*100+10))</f>
        <v/>
      </c>
      <c r="M478" s="14">
        <f>IF(원생!$A476="","",SUMIFS(계산!$C:$C,계산!$A:$A,계산!$E476,계산!$B:$B,$B$1*100+11))</f>
        <v/>
      </c>
      <c r="N478" s="14">
        <f>IF(원생!$A476="","",SUMIFS(계산!$C:$C,계산!$A:$A,계산!$E476,계산!$B:$B,$B$1*100+12))</f>
        <v/>
      </c>
      <c r="O478">
        <f>IF(원생!$I476="","",원생!$I476)</f>
        <v/>
      </c>
      <c r="P478">
        <f>IF($A478="","",IF(AND($B478&gt;0,C478&lt;$B478,DATE($B$1,1,1)&lt;=TODAY(),OR($O478="",$O478&gt;=DATE($B$1,1,1)),OR(COUNTIF($C478:C478,"&gt;0")&gt;0,DATE($B$1,1,1)=DATE(YEAR(TODAY()),MONTH(TODAY()),1))),1,0))</f>
        <v/>
      </c>
      <c r="Q478">
        <f>IF($A478="","",IF(AND($B478&gt;0,D478&lt;$B478,DATE($B$1,2,1)&lt;=TODAY(),OR($O478="",$O478&gt;=DATE($B$1,2,1)),OR(COUNTIF($C478:D478,"&gt;0")&gt;0,DATE($B$1,2,1)=DATE(YEAR(TODAY()),MONTH(TODAY()),1))),1,0))</f>
        <v/>
      </c>
      <c r="R478">
        <f>IF($A478="","",IF(AND($B478&gt;0,E478&lt;$B478,DATE($B$1,3,1)&lt;=TODAY(),OR($O478="",$O478&gt;=DATE($B$1,3,1)),OR(COUNTIF($C478:E478,"&gt;0")&gt;0,DATE($B$1,3,1)=DATE(YEAR(TODAY()),MONTH(TODAY()),1))),1,0))</f>
        <v/>
      </c>
      <c r="S478">
        <f>IF($A478="","",IF(AND($B478&gt;0,F478&lt;$B478,DATE($B$1,4,1)&lt;=TODAY(),OR($O478="",$O478&gt;=DATE($B$1,4,1)),OR(COUNTIF($C478:F478,"&gt;0")&gt;0,DATE($B$1,4,1)=DATE(YEAR(TODAY()),MONTH(TODAY()),1))),1,0))</f>
        <v/>
      </c>
      <c r="T478">
        <f>IF($A478="","",IF(AND($B478&gt;0,G478&lt;$B478,DATE($B$1,5,1)&lt;=TODAY(),OR($O478="",$O478&gt;=DATE($B$1,5,1)),OR(COUNTIF($C478:G478,"&gt;0")&gt;0,DATE($B$1,5,1)=DATE(YEAR(TODAY()),MONTH(TODAY()),1))),1,0))</f>
        <v/>
      </c>
      <c r="U478">
        <f>IF($A478="","",IF(AND($B478&gt;0,H478&lt;$B478,DATE($B$1,6,1)&lt;=TODAY(),OR($O478="",$O478&gt;=DATE($B$1,6,1)),OR(COUNTIF($C478:H478,"&gt;0")&gt;0,DATE($B$1,6,1)=DATE(YEAR(TODAY()),MONTH(TODAY()),1))),1,0))</f>
        <v/>
      </c>
      <c r="V478">
        <f>IF($A478="","",IF(AND($B478&gt;0,I478&lt;$B478,DATE($B$1,7,1)&lt;=TODAY(),OR($O478="",$O478&gt;=DATE($B$1,7,1)),OR(COUNTIF($C478:I478,"&gt;0")&gt;0,DATE($B$1,7,1)=DATE(YEAR(TODAY()),MONTH(TODAY()),1))),1,0))</f>
        <v/>
      </c>
      <c r="W478">
        <f>IF($A478="","",IF(AND($B478&gt;0,J478&lt;$B478,DATE($B$1,8,1)&lt;=TODAY(),OR($O478="",$O478&gt;=DATE($B$1,8,1)),OR(COUNTIF($C478:J478,"&gt;0")&gt;0,DATE($B$1,8,1)=DATE(YEAR(TODAY()),MONTH(TODAY()),1))),1,0))</f>
        <v/>
      </c>
      <c r="X478">
        <f>IF($A478="","",IF(AND($B478&gt;0,K478&lt;$B478,DATE($B$1,9,1)&lt;=TODAY(),OR($O478="",$O478&gt;=DATE($B$1,9,1)),OR(COUNTIF($C478:K478,"&gt;0")&gt;0,DATE($B$1,9,1)=DATE(YEAR(TODAY()),MONTH(TODAY()),1))),1,0))</f>
        <v/>
      </c>
      <c r="Y478">
        <f>IF($A478="","",IF(AND($B478&gt;0,L478&lt;$B478,DATE($B$1,10,1)&lt;=TODAY(),OR($O478="",$O478&gt;=DATE($B$1,10,1)),OR(COUNTIF($C478:L478,"&gt;0")&gt;0,DATE($B$1,10,1)=DATE(YEAR(TODAY()),MONTH(TODAY()),1))),1,0))</f>
        <v/>
      </c>
      <c r="Z478">
        <f>IF($A478="","",IF(AND($B478&gt;0,M478&lt;$B478,DATE($B$1,11,1)&lt;=TODAY(),OR($O478="",$O478&gt;=DATE($B$1,11,1)),OR(COUNTIF($C478:M478,"&gt;0")&gt;0,DATE($B$1,11,1)=DATE(YEAR(TODAY()),MONTH(TODAY()),1))),1,0))</f>
        <v/>
      </c>
      <c r="AA478">
        <f>IF($A478="","",IF(AND($B478&gt;0,N478&lt;$B478,DATE($B$1,12,1)&lt;=TODAY(),OR($O478="",$O478&gt;=DATE($B$1,12,1)),OR(COUNTIF($C478:N478,"&gt;0")&gt;0,DATE($B$1,12,1)=DATE(YEAR(TODAY()),MONTH(TODAY()),1))),1,0))</f>
        <v/>
      </c>
    </row>
    <row r="479">
      <c r="A479" s="13">
        <f>IF(원생!$A477="","",원생!$A477&amp;IF(원생!$G477="",""," ("&amp;원생!$G477&amp;")"))</f>
        <v/>
      </c>
      <c r="B479" s="8">
        <f>IF(원생!$A477="","",N(원생!$F477))</f>
        <v/>
      </c>
      <c r="C479" s="14">
        <f>IF(원생!$A477="","",SUMIFS(계산!$C:$C,계산!$A:$A,계산!$E477,계산!$B:$B,$B$1*100+1))</f>
        <v/>
      </c>
      <c r="D479" s="14">
        <f>IF(원생!$A477="","",SUMIFS(계산!$C:$C,계산!$A:$A,계산!$E477,계산!$B:$B,$B$1*100+2))</f>
        <v/>
      </c>
      <c r="E479" s="14">
        <f>IF(원생!$A477="","",SUMIFS(계산!$C:$C,계산!$A:$A,계산!$E477,계산!$B:$B,$B$1*100+3))</f>
        <v/>
      </c>
      <c r="F479" s="14">
        <f>IF(원생!$A477="","",SUMIFS(계산!$C:$C,계산!$A:$A,계산!$E477,계산!$B:$B,$B$1*100+4))</f>
        <v/>
      </c>
      <c r="G479" s="14">
        <f>IF(원생!$A477="","",SUMIFS(계산!$C:$C,계산!$A:$A,계산!$E477,계산!$B:$B,$B$1*100+5))</f>
        <v/>
      </c>
      <c r="H479" s="14">
        <f>IF(원생!$A477="","",SUMIFS(계산!$C:$C,계산!$A:$A,계산!$E477,계산!$B:$B,$B$1*100+6))</f>
        <v/>
      </c>
      <c r="I479" s="14">
        <f>IF(원생!$A477="","",SUMIFS(계산!$C:$C,계산!$A:$A,계산!$E477,계산!$B:$B,$B$1*100+7))</f>
        <v/>
      </c>
      <c r="J479" s="14">
        <f>IF(원생!$A477="","",SUMIFS(계산!$C:$C,계산!$A:$A,계산!$E477,계산!$B:$B,$B$1*100+8))</f>
        <v/>
      </c>
      <c r="K479" s="14">
        <f>IF(원생!$A477="","",SUMIFS(계산!$C:$C,계산!$A:$A,계산!$E477,계산!$B:$B,$B$1*100+9))</f>
        <v/>
      </c>
      <c r="L479" s="14">
        <f>IF(원생!$A477="","",SUMIFS(계산!$C:$C,계산!$A:$A,계산!$E477,계산!$B:$B,$B$1*100+10))</f>
        <v/>
      </c>
      <c r="M479" s="14">
        <f>IF(원생!$A477="","",SUMIFS(계산!$C:$C,계산!$A:$A,계산!$E477,계산!$B:$B,$B$1*100+11))</f>
        <v/>
      </c>
      <c r="N479" s="14">
        <f>IF(원생!$A477="","",SUMIFS(계산!$C:$C,계산!$A:$A,계산!$E477,계산!$B:$B,$B$1*100+12))</f>
        <v/>
      </c>
      <c r="O479">
        <f>IF(원생!$I477="","",원생!$I477)</f>
        <v/>
      </c>
      <c r="P479">
        <f>IF($A479="","",IF(AND($B479&gt;0,C479&lt;$B479,DATE($B$1,1,1)&lt;=TODAY(),OR($O479="",$O479&gt;=DATE($B$1,1,1)),OR(COUNTIF($C479:C479,"&gt;0")&gt;0,DATE($B$1,1,1)=DATE(YEAR(TODAY()),MONTH(TODAY()),1))),1,0))</f>
        <v/>
      </c>
      <c r="Q479">
        <f>IF($A479="","",IF(AND($B479&gt;0,D479&lt;$B479,DATE($B$1,2,1)&lt;=TODAY(),OR($O479="",$O479&gt;=DATE($B$1,2,1)),OR(COUNTIF($C479:D479,"&gt;0")&gt;0,DATE($B$1,2,1)=DATE(YEAR(TODAY()),MONTH(TODAY()),1))),1,0))</f>
        <v/>
      </c>
      <c r="R479">
        <f>IF($A479="","",IF(AND($B479&gt;0,E479&lt;$B479,DATE($B$1,3,1)&lt;=TODAY(),OR($O479="",$O479&gt;=DATE($B$1,3,1)),OR(COUNTIF($C479:E479,"&gt;0")&gt;0,DATE($B$1,3,1)=DATE(YEAR(TODAY()),MONTH(TODAY()),1))),1,0))</f>
        <v/>
      </c>
      <c r="S479">
        <f>IF($A479="","",IF(AND($B479&gt;0,F479&lt;$B479,DATE($B$1,4,1)&lt;=TODAY(),OR($O479="",$O479&gt;=DATE($B$1,4,1)),OR(COUNTIF($C479:F479,"&gt;0")&gt;0,DATE($B$1,4,1)=DATE(YEAR(TODAY()),MONTH(TODAY()),1))),1,0))</f>
        <v/>
      </c>
      <c r="T479">
        <f>IF($A479="","",IF(AND($B479&gt;0,G479&lt;$B479,DATE($B$1,5,1)&lt;=TODAY(),OR($O479="",$O479&gt;=DATE($B$1,5,1)),OR(COUNTIF($C479:G479,"&gt;0")&gt;0,DATE($B$1,5,1)=DATE(YEAR(TODAY()),MONTH(TODAY()),1))),1,0))</f>
        <v/>
      </c>
      <c r="U479">
        <f>IF($A479="","",IF(AND($B479&gt;0,H479&lt;$B479,DATE($B$1,6,1)&lt;=TODAY(),OR($O479="",$O479&gt;=DATE($B$1,6,1)),OR(COUNTIF($C479:H479,"&gt;0")&gt;0,DATE($B$1,6,1)=DATE(YEAR(TODAY()),MONTH(TODAY()),1))),1,0))</f>
        <v/>
      </c>
      <c r="V479">
        <f>IF($A479="","",IF(AND($B479&gt;0,I479&lt;$B479,DATE($B$1,7,1)&lt;=TODAY(),OR($O479="",$O479&gt;=DATE($B$1,7,1)),OR(COUNTIF($C479:I479,"&gt;0")&gt;0,DATE($B$1,7,1)=DATE(YEAR(TODAY()),MONTH(TODAY()),1))),1,0))</f>
        <v/>
      </c>
      <c r="W479">
        <f>IF($A479="","",IF(AND($B479&gt;0,J479&lt;$B479,DATE($B$1,8,1)&lt;=TODAY(),OR($O479="",$O479&gt;=DATE($B$1,8,1)),OR(COUNTIF($C479:J479,"&gt;0")&gt;0,DATE($B$1,8,1)=DATE(YEAR(TODAY()),MONTH(TODAY()),1))),1,0))</f>
        <v/>
      </c>
      <c r="X479">
        <f>IF($A479="","",IF(AND($B479&gt;0,K479&lt;$B479,DATE($B$1,9,1)&lt;=TODAY(),OR($O479="",$O479&gt;=DATE($B$1,9,1)),OR(COUNTIF($C479:K479,"&gt;0")&gt;0,DATE($B$1,9,1)=DATE(YEAR(TODAY()),MONTH(TODAY()),1))),1,0))</f>
        <v/>
      </c>
      <c r="Y479">
        <f>IF($A479="","",IF(AND($B479&gt;0,L479&lt;$B479,DATE($B$1,10,1)&lt;=TODAY(),OR($O479="",$O479&gt;=DATE($B$1,10,1)),OR(COUNTIF($C479:L479,"&gt;0")&gt;0,DATE($B$1,10,1)=DATE(YEAR(TODAY()),MONTH(TODAY()),1))),1,0))</f>
        <v/>
      </c>
      <c r="Z479">
        <f>IF($A479="","",IF(AND($B479&gt;0,M479&lt;$B479,DATE($B$1,11,1)&lt;=TODAY(),OR($O479="",$O479&gt;=DATE($B$1,11,1)),OR(COUNTIF($C479:M479,"&gt;0")&gt;0,DATE($B$1,11,1)=DATE(YEAR(TODAY()),MONTH(TODAY()),1))),1,0))</f>
        <v/>
      </c>
      <c r="AA479">
        <f>IF($A479="","",IF(AND($B479&gt;0,N479&lt;$B479,DATE($B$1,12,1)&lt;=TODAY(),OR($O479="",$O479&gt;=DATE($B$1,12,1)),OR(COUNTIF($C479:N479,"&gt;0")&gt;0,DATE($B$1,12,1)=DATE(YEAR(TODAY()),MONTH(TODAY()),1))),1,0))</f>
        <v/>
      </c>
    </row>
    <row r="480">
      <c r="A480" s="13">
        <f>IF(원생!$A478="","",원생!$A478&amp;IF(원생!$G478="",""," ("&amp;원생!$G478&amp;")"))</f>
        <v/>
      </c>
      <c r="B480" s="8">
        <f>IF(원생!$A478="","",N(원생!$F478))</f>
        <v/>
      </c>
      <c r="C480" s="14">
        <f>IF(원생!$A478="","",SUMIFS(계산!$C:$C,계산!$A:$A,계산!$E478,계산!$B:$B,$B$1*100+1))</f>
        <v/>
      </c>
      <c r="D480" s="14">
        <f>IF(원생!$A478="","",SUMIFS(계산!$C:$C,계산!$A:$A,계산!$E478,계산!$B:$B,$B$1*100+2))</f>
        <v/>
      </c>
      <c r="E480" s="14">
        <f>IF(원생!$A478="","",SUMIFS(계산!$C:$C,계산!$A:$A,계산!$E478,계산!$B:$B,$B$1*100+3))</f>
        <v/>
      </c>
      <c r="F480" s="14">
        <f>IF(원생!$A478="","",SUMIFS(계산!$C:$C,계산!$A:$A,계산!$E478,계산!$B:$B,$B$1*100+4))</f>
        <v/>
      </c>
      <c r="G480" s="14">
        <f>IF(원생!$A478="","",SUMIFS(계산!$C:$C,계산!$A:$A,계산!$E478,계산!$B:$B,$B$1*100+5))</f>
        <v/>
      </c>
      <c r="H480" s="14">
        <f>IF(원생!$A478="","",SUMIFS(계산!$C:$C,계산!$A:$A,계산!$E478,계산!$B:$B,$B$1*100+6))</f>
        <v/>
      </c>
      <c r="I480" s="14">
        <f>IF(원생!$A478="","",SUMIFS(계산!$C:$C,계산!$A:$A,계산!$E478,계산!$B:$B,$B$1*100+7))</f>
        <v/>
      </c>
      <c r="J480" s="14">
        <f>IF(원생!$A478="","",SUMIFS(계산!$C:$C,계산!$A:$A,계산!$E478,계산!$B:$B,$B$1*100+8))</f>
        <v/>
      </c>
      <c r="K480" s="14">
        <f>IF(원생!$A478="","",SUMIFS(계산!$C:$C,계산!$A:$A,계산!$E478,계산!$B:$B,$B$1*100+9))</f>
        <v/>
      </c>
      <c r="L480" s="14">
        <f>IF(원생!$A478="","",SUMIFS(계산!$C:$C,계산!$A:$A,계산!$E478,계산!$B:$B,$B$1*100+10))</f>
        <v/>
      </c>
      <c r="M480" s="14">
        <f>IF(원생!$A478="","",SUMIFS(계산!$C:$C,계산!$A:$A,계산!$E478,계산!$B:$B,$B$1*100+11))</f>
        <v/>
      </c>
      <c r="N480" s="14">
        <f>IF(원생!$A478="","",SUMIFS(계산!$C:$C,계산!$A:$A,계산!$E478,계산!$B:$B,$B$1*100+12))</f>
        <v/>
      </c>
      <c r="O480">
        <f>IF(원생!$I478="","",원생!$I478)</f>
        <v/>
      </c>
      <c r="P480">
        <f>IF($A480="","",IF(AND($B480&gt;0,C480&lt;$B480,DATE($B$1,1,1)&lt;=TODAY(),OR($O480="",$O480&gt;=DATE($B$1,1,1)),OR(COUNTIF($C480:C480,"&gt;0")&gt;0,DATE($B$1,1,1)=DATE(YEAR(TODAY()),MONTH(TODAY()),1))),1,0))</f>
        <v/>
      </c>
      <c r="Q480">
        <f>IF($A480="","",IF(AND($B480&gt;0,D480&lt;$B480,DATE($B$1,2,1)&lt;=TODAY(),OR($O480="",$O480&gt;=DATE($B$1,2,1)),OR(COUNTIF($C480:D480,"&gt;0")&gt;0,DATE($B$1,2,1)=DATE(YEAR(TODAY()),MONTH(TODAY()),1))),1,0))</f>
        <v/>
      </c>
      <c r="R480">
        <f>IF($A480="","",IF(AND($B480&gt;0,E480&lt;$B480,DATE($B$1,3,1)&lt;=TODAY(),OR($O480="",$O480&gt;=DATE($B$1,3,1)),OR(COUNTIF($C480:E480,"&gt;0")&gt;0,DATE($B$1,3,1)=DATE(YEAR(TODAY()),MONTH(TODAY()),1))),1,0))</f>
        <v/>
      </c>
      <c r="S480">
        <f>IF($A480="","",IF(AND($B480&gt;0,F480&lt;$B480,DATE($B$1,4,1)&lt;=TODAY(),OR($O480="",$O480&gt;=DATE($B$1,4,1)),OR(COUNTIF($C480:F480,"&gt;0")&gt;0,DATE($B$1,4,1)=DATE(YEAR(TODAY()),MONTH(TODAY()),1))),1,0))</f>
        <v/>
      </c>
      <c r="T480">
        <f>IF($A480="","",IF(AND($B480&gt;0,G480&lt;$B480,DATE($B$1,5,1)&lt;=TODAY(),OR($O480="",$O480&gt;=DATE($B$1,5,1)),OR(COUNTIF($C480:G480,"&gt;0")&gt;0,DATE($B$1,5,1)=DATE(YEAR(TODAY()),MONTH(TODAY()),1))),1,0))</f>
        <v/>
      </c>
      <c r="U480">
        <f>IF($A480="","",IF(AND($B480&gt;0,H480&lt;$B480,DATE($B$1,6,1)&lt;=TODAY(),OR($O480="",$O480&gt;=DATE($B$1,6,1)),OR(COUNTIF($C480:H480,"&gt;0")&gt;0,DATE($B$1,6,1)=DATE(YEAR(TODAY()),MONTH(TODAY()),1))),1,0))</f>
        <v/>
      </c>
      <c r="V480">
        <f>IF($A480="","",IF(AND($B480&gt;0,I480&lt;$B480,DATE($B$1,7,1)&lt;=TODAY(),OR($O480="",$O480&gt;=DATE($B$1,7,1)),OR(COUNTIF($C480:I480,"&gt;0")&gt;0,DATE($B$1,7,1)=DATE(YEAR(TODAY()),MONTH(TODAY()),1))),1,0))</f>
        <v/>
      </c>
      <c r="W480">
        <f>IF($A480="","",IF(AND($B480&gt;0,J480&lt;$B480,DATE($B$1,8,1)&lt;=TODAY(),OR($O480="",$O480&gt;=DATE($B$1,8,1)),OR(COUNTIF($C480:J480,"&gt;0")&gt;0,DATE($B$1,8,1)=DATE(YEAR(TODAY()),MONTH(TODAY()),1))),1,0))</f>
        <v/>
      </c>
      <c r="X480">
        <f>IF($A480="","",IF(AND($B480&gt;0,K480&lt;$B480,DATE($B$1,9,1)&lt;=TODAY(),OR($O480="",$O480&gt;=DATE($B$1,9,1)),OR(COUNTIF($C480:K480,"&gt;0")&gt;0,DATE($B$1,9,1)=DATE(YEAR(TODAY()),MONTH(TODAY()),1))),1,0))</f>
        <v/>
      </c>
      <c r="Y480">
        <f>IF($A480="","",IF(AND($B480&gt;0,L480&lt;$B480,DATE($B$1,10,1)&lt;=TODAY(),OR($O480="",$O480&gt;=DATE($B$1,10,1)),OR(COUNTIF($C480:L480,"&gt;0")&gt;0,DATE($B$1,10,1)=DATE(YEAR(TODAY()),MONTH(TODAY()),1))),1,0))</f>
        <v/>
      </c>
      <c r="Z480">
        <f>IF($A480="","",IF(AND($B480&gt;0,M480&lt;$B480,DATE($B$1,11,1)&lt;=TODAY(),OR($O480="",$O480&gt;=DATE($B$1,11,1)),OR(COUNTIF($C480:M480,"&gt;0")&gt;0,DATE($B$1,11,1)=DATE(YEAR(TODAY()),MONTH(TODAY()),1))),1,0))</f>
        <v/>
      </c>
      <c r="AA480">
        <f>IF($A480="","",IF(AND($B480&gt;0,N480&lt;$B480,DATE($B$1,12,1)&lt;=TODAY(),OR($O480="",$O480&gt;=DATE($B$1,12,1)),OR(COUNTIF($C480:N480,"&gt;0")&gt;0,DATE($B$1,12,1)=DATE(YEAR(TODAY()),MONTH(TODAY()),1))),1,0))</f>
        <v/>
      </c>
    </row>
    <row r="481">
      <c r="A481" s="13">
        <f>IF(원생!$A479="","",원생!$A479&amp;IF(원생!$G479="",""," ("&amp;원생!$G479&amp;")"))</f>
        <v/>
      </c>
      <c r="B481" s="8">
        <f>IF(원생!$A479="","",N(원생!$F479))</f>
        <v/>
      </c>
      <c r="C481" s="14">
        <f>IF(원생!$A479="","",SUMIFS(계산!$C:$C,계산!$A:$A,계산!$E479,계산!$B:$B,$B$1*100+1))</f>
        <v/>
      </c>
      <c r="D481" s="14">
        <f>IF(원생!$A479="","",SUMIFS(계산!$C:$C,계산!$A:$A,계산!$E479,계산!$B:$B,$B$1*100+2))</f>
        <v/>
      </c>
      <c r="E481" s="14">
        <f>IF(원생!$A479="","",SUMIFS(계산!$C:$C,계산!$A:$A,계산!$E479,계산!$B:$B,$B$1*100+3))</f>
        <v/>
      </c>
      <c r="F481" s="14">
        <f>IF(원생!$A479="","",SUMIFS(계산!$C:$C,계산!$A:$A,계산!$E479,계산!$B:$B,$B$1*100+4))</f>
        <v/>
      </c>
      <c r="G481" s="14">
        <f>IF(원생!$A479="","",SUMIFS(계산!$C:$C,계산!$A:$A,계산!$E479,계산!$B:$B,$B$1*100+5))</f>
        <v/>
      </c>
      <c r="H481" s="14">
        <f>IF(원생!$A479="","",SUMIFS(계산!$C:$C,계산!$A:$A,계산!$E479,계산!$B:$B,$B$1*100+6))</f>
        <v/>
      </c>
      <c r="I481" s="14">
        <f>IF(원생!$A479="","",SUMIFS(계산!$C:$C,계산!$A:$A,계산!$E479,계산!$B:$B,$B$1*100+7))</f>
        <v/>
      </c>
      <c r="J481" s="14">
        <f>IF(원생!$A479="","",SUMIFS(계산!$C:$C,계산!$A:$A,계산!$E479,계산!$B:$B,$B$1*100+8))</f>
        <v/>
      </c>
      <c r="K481" s="14">
        <f>IF(원생!$A479="","",SUMIFS(계산!$C:$C,계산!$A:$A,계산!$E479,계산!$B:$B,$B$1*100+9))</f>
        <v/>
      </c>
      <c r="L481" s="14">
        <f>IF(원생!$A479="","",SUMIFS(계산!$C:$C,계산!$A:$A,계산!$E479,계산!$B:$B,$B$1*100+10))</f>
        <v/>
      </c>
      <c r="M481" s="14">
        <f>IF(원생!$A479="","",SUMIFS(계산!$C:$C,계산!$A:$A,계산!$E479,계산!$B:$B,$B$1*100+11))</f>
        <v/>
      </c>
      <c r="N481" s="14">
        <f>IF(원생!$A479="","",SUMIFS(계산!$C:$C,계산!$A:$A,계산!$E479,계산!$B:$B,$B$1*100+12))</f>
        <v/>
      </c>
      <c r="O481">
        <f>IF(원생!$I479="","",원생!$I479)</f>
        <v/>
      </c>
      <c r="P481">
        <f>IF($A481="","",IF(AND($B481&gt;0,C481&lt;$B481,DATE($B$1,1,1)&lt;=TODAY(),OR($O481="",$O481&gt;=DATE($B$1,1,1)),OR(COUNTIF($C481:C481,"&gt;0")&gt;0,DATE($B$1,1,1)=DATE(YEAR(TODAY()),MONTH(TODAY()),1))),1,0))</f>
        <v/>
      </c>
      <c r="Q481">
        <f>IF($A481="","",IF(AND($B481&gt;0,D481&lt;$B481,DATE($B$1,2,1)&lt;=TODAY(),OR($O481="",$O481&gt;=DATE($B$1,2,1)),OR(COUNTIF($C481:D481,"&gt;0")&gt;0,DATE($B$1,2,1)=DATE(YEAR(TODAY()),MONTH(TODAY()),1))),1,0))</f>
        <v/>
      </c>
      <c r="R481">
        <f>IF($A481="","",IF(AND($B481&gt;0,E481&lt;$B481,DATE($B$1,3,1)&lt;=TODAY(),OR($O481="",$O481&gt;=DATE($B$1,3,1)),OR(COUNTIF($C481:E481,"&gt;0")&gt;0,DATE($B$1,3,1)=DATE(YEAR(TODAY()),MONTH(TODAY()),1))),1,0))</f>
        <v/>
      </c>
      <c r="S481">
        <f>IF($A481="","",IF(AND($B481&gt;0,F481&lt;$B481,DATE($B$1,4,1)&lt;=TODAY(),OR($O481="",$O481&gt;=DATE($B$1,4,1)),OR(COUNTIF($C481:F481,"&gt;0")&gt;0,DATE($B$1,4,1)=DATE(YEAR(TODAY()),MONTH(TODAY()),1))),1,0))</f>
        <v/>
      </c>
      <c r="T481">
        <f>IF($A481="","",IF(AND($B481&gt;0,G481&lt;$B481,DATE($B$1,5,1)&lt;=TODAY(),OR($O481="",$O481&gt;=DATE($B$1,5,1)),OR(COUNTIF($C481:G481,"&gt;0")&gt;0,DATE($B$1,5,1)=DATE(YEAR(TODAY()),MONTH(TODAY()),1))),1,0))</f>
        <v/>
      </c>
      <c r="U481">
        <f>IF($A481="","",IF(AND($B481&gt;0,H481&lt;$B481,DATE($B$1,6,1)&lt;=TODAY(),OR($O481="",$O481&gt;=DATE($B$1,6,1)),OR(COUNTIF($C481:H481,"&gt;0")&gt;0,DATE($B$1,6,1)=DATE(YEAR(TODAY()),MONTH(TODAY()),1))),1,0))</f>
        <v/>
      </c>
      <c r="V481">
        <f>IF($A481="","",IF(AND($B481&gt;0,I481&lt;$B481,DATE($B$1,7,1)&lt;=TODAY(),OR($O481="",$O481&gt;=DATE($B$1,7,1)),OR(COUNTIF($C481:I481,"&gt;0")&gt;0,DATE($B$1,7,1)=DATE(YEAR(TODAY()),MONTH(TODAY()),1))),1,0))</f>
        <v/>
      </c>
      <c r="W481">
        <f>IF($A481="","",IF(AND($B481&gt;0,J481&lt;$B481,DATE($B$1,8,1)&lt;=TODAY(),OR($O481="",$O481&gt;=DATE($B$1,8,1)),OR(COUNTIF($C481:J481,"&gt;0")&gt;0,DATE($B$1,8,1)=DATE(YEAR(TODAY()),MONTH(TODAY()),1))),1,0))</f>
        <v/>
      </c>
      <c r="X481">
        <f>IF($A481="","",IF(AND($B481&gt;0,K481&lt;$B481,DATE($B$1,9,1)&lt;=TODAY(),OR($O481="",$O481&gt;=DATE($B$1,9,1)),OR(COUNTIF($C481:K481,"&gt;0")&gt;0,DATE($B$1,9,1)=DATE(YEAR(TODAY()),MONTH(TODAY()),1))),1,0))</f>
        <v/>
      </c>
      <c r="Y481">
        <f>IF($A481="","",IF(AND($B481&gt;0,L481&lt;$B481,DATE($B$1,10,1)&lt;=TODAY(),OR($O481="",$O481&gt;=DATE($B$1,10,1)),OR(COUNTIF($C481:L481,"&gt;0")&gt;0,DATE($B$1,10,1)=DATE(YEAR(TODAY()),MONTH(TODAY()),1))),1,0))</f>
        <v/>
      </c>
      <c r="Z481">
        <f>IF($A481="","",IF(AND($B481&gt;0,M481&lt;$B481,DATE($B$1,11,1)&lt;=TODAY(),OR($O481="",$O481&gt;=DATE($B$1,11,1)),OR(COUNTIF($C481:M481,"&gt;0")&gt;0,DATE($B$1,11,1)=DATE(YEAR(TODAY()),MONTH(TODAY()),1))),1,0))</f>
        <v/>
      </c>
      <c r="AA481">
        <f>IF($A481="","",IF(AND($B481&gt;0,N481&lt;$B481,DATE($B$1,12,1)&lt;=TODAY(),OR($O481="",$O481&gt;=DATE($B$1,12,1)),OR(COUNTIF($C481:N481,"&gt;0")&gt;0,DATE($B$1,12,1)=DATE(YEAR(TODAY()),MONTH(TODAY()),1))),1,0))</f>
        <v/>
      </c>
    </row>
    <row r="482">
      <c r="A482" s="13">
        <f>IF(원생!$A480="","",원생!$A480&amp;IF(원생!$G480="",""," ("&amp;원생!$G480&amp;")"))</f>
        <v/>
      </c>
      <c r="B482" s="8">
        <f>IF(원생!$A480="","",N(원생!$F480))</f>
        <v/>
      </c>
      <c r="C482" s="14">
        <f>IF(원생!$A480="","",SUMIFS(계산!$C:$C,계산!$A:$A,계산!$E480,계산!$B:$B,$B$1*100+1))</f>
        <v/>
      </c>
      <c r="D482" s="14">
        <f>IF(원생!$A480="","",SUMIFS(계산!$C:$C,계산!$A:$A,계산!$E480,계산!$B:$B,$B$1*100+2))</f>
        <v/>
      </c>
      <c r="E482" s="14">
        <f>IF(원생!$A480="","",SUMIFS(계산!$C:$C,계산!$A:$A,계산!$E480,계산!$B:$B,$B$1*100+3))</f>
        <v/>
      </c>
      <c r="F482" s="14">
        <f>IF(원생!$A480="","",SUMIFS(계산!$C:$C,계산!$A:$A,계산!$E480,계산!$B:$B,$B$1*100+4))</f>
        <v/>
      </c>
      <c r="G482" s="14">
        <f>IF(원생!$A480="","",SUMIFS(계산!$C:$C,계산!$A:$A,계산!$E480,계산!$B:$B,$B$1*100+5))</f>
        <v/>
      </c>
      <c r="H482" s="14">
        <f>IF(원생!$A480="","",SUMIFS(계산!$C:$C,계산!$A:$A,계산!$E480,계산!$B:$B,$B$1*100+6))</f>
        <v/>
      </c>
      <c r="I482" s="14">
        <f>IF(원생!$A480="","",SUMIFS(계산!$C:$C,계산!$A:$A,계산!$E480,계산!$B:$B,$B$1*100+7))</f>
        <v/>
      </c>
      <c r="J482" s="14">
        <f>IF(원생!$A480="","",SUMIFS(계산!$C:$C,계산!$A:$A,계산!$E480,계산!$B:$B,$B$1*100+8))</f>
        <v/>
      </c>
      <c r="K482" s="14">
        <f>IF(원생!$A480="","",SUMIFS(계산!$C:$C,계산!$A:$A,계산!$E480,계산!$B:$B,$B$1*100+9))</f>
        <v/>
      </c>
      <c r="L482" s="14">
        <f>IF(원생!$A480="","",SUMIFS(계산!$C:$C,계산!$A:$A,계산!$E480,계산!$B:$B,$B$1*100+10))</f>
        <v/>
      </c>
      <c r="M482" s="14">
        <f>IF(원생!$A480="","",SUMIFS(계산!$C:$C,계산!$A:$A,계산!$E480,계산!$B:$B,$B$1*100+11))</f>
        <v/>
      </c>
      <c r="N482" s="14">
        <f>IF(원생!$A480="","",SUMIFS(계산!$C:$C,계산!$A:$A,계산!$E480,계산!$B:$B,$B$1*100+12))</f>
        <v/>
      </c>
      <c r="O482">
        <f>IF(원생!$I480="","",원생!$I480)</f>
        <v/>
      </c>
      <c r="P482">
        <f>IF($A482="","",IF(AND($B482&gt;0,C482&lt;$B482,DATE($B$1,1,1)&lt;=TODAY(),OR($O482="",$O482&gt;=DATE($B$1,1,1)),OR(COUNTIF($C482:C482,"&gt;0")&gt;0,DATE($B$1,1,1)=DATE(YEAR(TODAY()),MONTH(TODAY()),1))),1,0))</f>
        <v/>
      </c>
      <c r="Q482">
        <f>IF($A482="","",IF(AND($B482&gt;0,D482&lt;$B482,DATE($B$1,2,1)&lt;=TODAY(),OR($O482="",$O482&gt;=DATE($B$1,2,1)),OR(COUNTIF($C482:D482,"&gt;0")&gt;0,DATE($B$1,2,1)=DATE(YEAR(TODAY()),MONTH(TODAY()),1))),1,0))</f>
        <v/>
      </c>
      <c r="R482">
        <f>IF($A482="","",IF(AND($B482&gt;0,E482&lt;$B482,DATE($B$1,3,1)&lt;=TODAY(),OR($O482="",$O482&gt;=DATE($B$1,3,1)),OR(COUNTIF($C482:E482,"&gt;0")&gt;0,DATE($B$1,3,1)=DATE(YEAR(TODAY()),MONTH(TODAY()),1))),1,0))</f>
        <v/>
      </c>
      <c r="S482">
        <f>IF($A482="","",IF(AND($B482&gt;0,F482&lt;$B482,DATE($B$1,4,1)&lt;=TODAY(),OR($O482="",$O482&gt;=DATE($B$1,4,1)),OR(COUNTIF($C482:F482,"&gt;0")&gt;0,DATE($B$1,4,1)=DATE(YEAR(TODAY()),MONTH(TODAY()),1))),1,0))</f>
        <v/>
      </c>
      <c r="T482">
        <f>IF($A482="","",IF(AND($B482&gt;0,G482&lt;$B482,DATE($B$1,5,1)&lt;=TODAY(),OR($O482="",$O482&gt;=DATE($B$1,5,1)),OR(COUNTIF($C482:G482,"&gt;0")&gt;0,DATE($B$1,5,1)=DATE(YEAR(TODAY()),MONTH(TODAY()),1))),1,0))</f>
        <v/>
      </c>
      <c r="U482">
        <f>IF($A482="","",IF(AND($B482&gt;0,H482&lt;$B482,DATE($B$1,6,1)&lt;=TODAY(),OR($O482="",$O482&gt;=DATE($B$1,6,1)),OR(COUNTIF($C482:H482,"&gt;0")&gt;0,DATE($B$1,6,1)=DATE(YEAR(TODAY()),MONTH(TODAY()),1))),1,0))</f>
        <v/>
      </c>
      <c r="V482">
        <f>IF($A482="","",IF(AND($B482&gt;0,I482&lt;$B482,DATE($B$1,7,1)&lt;=TODAY(),OR($O482="",$O482&gt;=DATE($B$1,7,1)),OR(COUNTIF($C482:I482,"&gt;0")&gt;0,DATE($B$1,7,1)=DATE(YEAR(TODAY()),MONTH(TODAY()),1))),1,0))</f>
        <v/>
      </c>
      <c r="W482">
        <f>IF($A482="","",IF(AND($B482&gt;0,J482&lt;$B482,DATE($B$1,8,1)&lt;=TODAY(),OR($O482="",$O482&gt;=DATE($B$1,8,1)),OR(COUNTIF($C482:J482,"&gt;0")&gt;0,DATE($B$1,8,1)=DATE(YEAR(TODAY()),MONTH(TODAY()),1))),1,0))</f>
        <v/>
      </c>
      <c r="X482">
        <f>IF($A482="","",IF(AND($B482&gt;0,K482&lt;$B482,DATE($B$1,9,1)&lt;=TODAY(),OR($O482="",$O482&gt;=DATE($B$1,9,1)),OR(COUNTIF($C482:K482,"&gt;0")&gt;0,DATE($B$1,9,1)=DATE(YEAR(TODAY()),MONTH(TODAY()),1))),1,0))</f>
        <v/>
      </c>
      <c r="Y482">
        <f>IF($A482="","",IF(AND($B482&gt;0,L482&lt;$B482,DATE($B$1,10,1)&lt;=TODAY(),OR($O482="",$O482&gt;=DATE($B$1,10,1)),OR(COUNTIF($C482:L482,"&gt;0")&gt;0,DATE($B$1,10,1)=DATE(YEAR(TODAY()),MONTH(TODAY()),1))),1,0))</f>
        <v/>
      </c>
      <c r="Z482">
        <f>IF($A482="","",IF(AND($B482&gt;0,M482&lt;$B482,DATE($B$1,11,1)&lt;=TODAY(),OR($O482="",$O482&gt;=DATE($B$1,11,1)),OR(COUNTIF($C482:M482,"&gt;0")&gt;0,DATE($B$1,11,1)=DATE(YEAR(TODAY()),MONTH(TODAY()),1))),1,0))</f>
        <v/>
      </c>
      <c r="AA482">
        <f>IF($A482="","",IF(AND($B482&gt;0,N482&lt;$B482,DATE($B$1,12,1)&lt;=TODAY(),OR($O482="",$O482&gt;=DATE($B$1,12,1)),OR(COUNTIF($C482:N482,"&gt;0")&gt;0,DATE($B$1,12,1)=DATE(YEAR(TODAY()),MONTH(TODAY()),1))),1,0))</f>
        <v/>
      </c>
    </row>
    <row r="483">
      <c r="A483" s="13">
        <f>IF(원생!$A481="","",원생!$A481&amp;IF(원생!$G481="",""," ("&amp;원생!$G481&amp;")"))</f>
        <v/>
      </c>
      <c r="B483" s="8">
        <f>IF(원생!$A481="","",N(원생!$F481))</f>
        <v/>
      </c>
      <c r="C483" s="14">
        <f>IF(원생!$A481="","",SUMIFS(계산!$C:$C,계산!$A:$A,계산!$E481,계산!$B:$B,$B$1*100+1))</f>
        <v/>
      </c>
      <c r="D483" s="14">
        <f>IF(원생!$A481="","",SUMIFS(계산!$C:$C,계산!$A:$A,계산!$E481,계산!$B:$B,$B$1*100+2))</f>
        <v/>
      </c>
      <c r="E483" s="14">
        <f>IF(원생!$A481="","",SUMIFS(계산!$C:$C,계산!$A:$A,계산!$E481,계산!$B:$B,$B$1*100+3))</f>
        <v/>
      </c>
      <c r="F483" s="14">
        <f>IF(원생!$A481="","",SUMIFS(계산!$C:$C,계산!$A:$A,계산!$E481,계산!$B:$B,$B$1*100+4))</f>
        <v/>
      </c>
      <c r="G483" s="14">
        <f>IF(원생!$A481="","",SUMIFS(계산!$C:$C,계산!$A:$A,계산!$E481,계산!$B:$B,$B$1*100+5))</f>
        <v/>
      </c>
      <c r="H483" s="14">
        <f>IF(원생!$A481="","",SUMIFS(계산!$C:$C,계산!$A:$A,계산!$E481,계산!$B:$B,$B$1*100+6))</f>
        <v/>
      </c>
      <c r="I483" s="14">
        <f>IF(원생!$A481="","",SUMIFS(계산!$C:$C,계산!$A:$A,계산!$E481,계산!$B:$B,$B$1*100+7))</f>
        <v/>
      </c>
      <c r="J483" s="14">
        <f>IF(원생!$A481="","",SUMIFS(계산!$C:$C,계산!$A:$A,계산!$E481,계산!$B:$B,$B$1*100+8))</f>
        <v/>
      </c>
      <c r="K483" s="14">
        <f>IF(원생!$A481="","",SUMIFS(계산!$C:$C,계산!$A:$A,계산!$E481,계산!$B:$B,$B$1*100+9))</f>
        <v/>
      </c>
      <c r="L483" s="14">
        <f>IF(원생!$A481="","",SUMIFS(계산!$C:$C,계산!$A:$A,계산!$E481,계산!$B:$B,$B$1*100+10))</f>
        <v/>
      </c>
      <c r="M483" s="14">
        <f>IF(원생!$A481="","",SUMIFS(계산!$C:$C,계산!$A:$A,계산!$E481,계산!$B:$B,$B$1*100+11))</f>
        <v/>
      </c>
      <c r="N483" s="14">
        <f>IF(원생!$A481="","",SUMIFS(계산!$C:$C,계산!$A:$A,계산!$E481,계산!$B:$B,$B$1*100+12))</f>
        <v/>
      </c>
      <c r="O483">
        <f>IF(원생!$I481="","",원생!$I481)</f>
        <v/>
      </c>
      <c r="P483">
        <f>IF($A483="","",IF(AND($B483&gt;0,C483&lt;$B483,DATE($B$1,1,1)&lt;=TODAY(),OR($O483="",$O483&gt;=DATE($B$1,1,1)),OR(COUNTIF($C483:C483,"&gt;0")&gt;0,DATE($B$1,1,1)=DATE(YEAR(TODAY()),MONTH(TODAY()),1))),1,0))</f>
        <v/>
      </c>
      <c r="Q483">
        <f>IF($A483="","",IF(AND($B483&gt;0,D483&lt;$B483,DATE($B$1,2,1)&lt;=TODAY(),OR($O483="",$O483&gt;=DATE($B$1,2,1)),OR(COUNTIF($C483:D483,"&gt;0")&gt;0,DATE($B$1,2,1)=DATE(YEAR(TODAY()),MONTH(TODAY()),1))),1,0))</f>
        <v/>
      </c>
      <c r="R483">
        <f>IF($A483="","",IF(AND($B483&gt;0,E483&lt;$B483,DATE($B$1,3,1)&lt;=TODAY(),OR($O483="",$O483&gt;=DATE($B$1,3,1)),OR(COUNTIF($C483:E483,"&gt;0")&gt;0,DATE($B$1,3,1)=DATE(YEAR(TODAY()),MONTH(TODAY()),1))),1,0))</f>
        <v/>
      </c>
      <c r="S483">
        <f>IF($A483="","",IF(AND($B483&gt;0,F483&lt;$B483,DATE($B$1,4,1)&lt;=TODAY(),OR($O483="",$O483&gt;=DATE($B$1,4,1)),OR(COUNTIF($C483:F483,"&gt;0")&gt;0,DATE($B$1,4,1)=DATE(YEAR(TODAY()),MONTH(TODAY()),1))),1,0))</f>
        <v/>
      </c>
      <c r="T483">
        <f>IF($A483="","",IF(AND($B483&gt;0,G483&lt;$B483,DATE($B$1,5,1)&lt;=TODAY(),OR($O483="",$O483&gt;=DATE($B$1,5,1)),OR(COUNTIF($C483:G483,"&gt;0")&gt;0,DATE($B$1,5,1)=DATE(YEAR(TODAY()),MONTH(TODAY()),1))),1,0))</f>
        <v/>
      </c>
      <c r="U483">
        <f>IF($A483="","",IF(AND($B483&gt;0,H483&lt;$B483,DATE($B$1,6,1)&lt;=TODAY(),OR($O483="",$O483&gt;=DATE($B$1,6,1)),OR(COUNTIF($C483:H483,"&gt;0")&gt;0,DATE($B$1,6,1)=DATE(YEAR(TODAY()),MONTH(TODAY()),1))),1,0))</f>
        <v/>
      </c>
      <c r="V483">
        <f>IF($A483="","",IF(AND($B483&gt;0,I483&lt;$B483,DATE($B$1,7,1)&lt;=TODAY(),OR($O483="",$O483&gt;=DATE($B$1,7,1)),OR(COUNTIF($C483:I483,"&gt;0")&gt;0,DATE($B$1,7,1)=DATE(YEAR(TODAY()),MONTH(TODAY()),1))),1,0))</f>
        <v/>
      </c>
      <c r="W483">
        <f>IF($A483="","",IF(AND($B483&gt;0,J483&lt;$B483,DATE($B$1,8,1)&lt;=TODAY(),OR($O483="",$O483&gt;=DATE($B$1,8,1)),OR(COUNTIF($C483:J483,"&gt;0")&gt;0,DATE($B$1,8,1)=DATE(YEAR(TODAY()),MONTH(TODAY()),1))),1,0))</f>
        <v/>
      </c>
      <c r="X483">
        <f>IF($A483="","",IF(AND($B483&gt;0,K483&lt;$B483,DATE($B$1,9,1)&lt;=TODAY(),OR($O483="",$O483&gt;=DATE($B$1,9,1)),OR(COUNTIF($C483:K483,"&gt;0")&gt;0,DATE($B$1,9,1)=DATE(YEAR(TODAY()),MONTH(TODAY()),1))),1,0))</f>
        <v/>
      </c>
      <c r="Y483">
        <f>IF($A483="","",IF(AND($B483&gt;0,L483&lt;$B483,DATE($B$1,10,1)&lt;=TODAY(),OR($O483="",$O483&gt;=DATE($B$1,10,1)),OR(COUNTIF($C483:L483,"&gt;0")&gt;0,DATE($B$1,10,1)=DATE(YEAR(TODAY()),MONTH(TODAY()),1))),1,0))</f>
        <v/>
      </c>
      <c r="Z483">
        <f>IF($A483="","",IF(AND($B483&gt;0,M483&lt;$B483,DATE($B$1,11,1)&lt;=TODAY(),OR($O483="",$O483&gt;=DATE($B$1,11,1)),OR(COUNTIF($C483:M483,"&gt;0")&gt;0,DATE($B$1,11,1)=DATE(YEAR(TODAY()),MONTH(TODAY()),1))),1,0))</f>
        <v/>
      </c>
      <c r="AA483">
        <f>IF($A483="","",IF(AND($B483&gt;0,N483&lt;$B483,DATE($B$1,12,1)&lt;=TODAY(),OR($O483="",$O483&gt;=DATE($B$1,12,1)),OR(COUNTIF($C483:N483,"&gt;0")&gt;0,DATE($B$1,12,1)=DATE(YEAR(TODAY()),MONTH(TODAY()),1))),1,0))</f>
        <v/>
      </c>
    </row>
    <row r="484">
      <c r="A484" s="13">
        <f>IF(원생!$A482="","",원생!$A482&amp;IF(원생!$G482="",""," ("&amp;원생!$G482&amp;")"))</f>
        <v/>
      </c>
      <c r="B484" s="8">
        <f>IF(원생!$A482="","",N(원생!$F482))</f>
        <v/>
      </c>
      <c r="C484" s="14">
        <f>IF(원생!$A482="","",SUMIFS(계산!$C:$C,계산!$A:$A,계산!$E482,계산!$B:$B,$B$1*100+1))</f>
        <v/>
      </c>
      <c r="D484" s="14">
        <f>IF(원생!$A482="","",SUMIFS(계산!$C:$C,계산!$A:$A,계산!$E482,계산!$B:$B,$B$1*100+2))</f>
        <v/>
      </c>
      <c r="E484" s="14">
        <f>IF(원생!$A482="","",SUMIFS(계산!$C:$C,계산!$A:$A,계산!$E482,계산!$B:$B,$B$1*100+3))</f>
        <v/>
      </c>
      <c r="F484" s="14">
        <f>IF(원생!$A482="","",SUMIFS(계산!$C:$C,계산!$A:$A,계산!$E482,계산!$B:$B,$B$1*100+4))</f>
        <v/>
      </c>
      <c r="G484" s="14">
        <f>IF(원생!$A482="","",SUMIFS(계산!$C:$C,계산!$A:$A,계산!$E482,계산!$B:$B,$B$1*100+5))</f>
        <v/>
      </c>
      <c r="H484" s="14">
        <f>IF(원생!$A482="","",SUMIFS(계산!$C:$C,계산!$A:$A,계산!$E482,계산!$B:$B,$B$1*100+6))</f>
        <v/>
      </c>
      <c r="I484" s="14">
        <f>IF(원생!$A482="","",SUMIFS(계산!$C:$C,계산!$A:$A,계산!$E482,계산!$B:$B,$B$1*100+7))</f>
        <v/>
      </c>
      <c r="J484" s="14">
        <f>IF(원생!$A482="","",SUMIFS(계산!$C:$C,계산!$A:$A,계산!$E482,계산!$B:$B,$B$1*100+8))</f>
        <v/>
      </c>
      <c r="K484" s="14">
        <f>IF(원생!$A482="","",SUMIFS(계산!$C:$C,계산!$A:$A,계산!$E482,계산!$B:$B,$B$1*100+9))</f>
        <v/>
      </c>
      <c r="L484" s="14">
        <f>IF(원생!$A482="","",SUMIFS(계산!$C:$C,계산!$A:$A,계산!$E482,계산!$B:$B,$B$1*100+10))</f>
        <v/>
      </c>
      <c r="M484" s="14">
        <f>IF(원생!$A482="","",SUMIFS(계산!$C:$C,계산!$A:$A,계산!$E482,계산!$B:$B,$B$1*100+11))</f>
        <v/>
      </c>
      <c r="N484" s="14">
        <f>IF(원생!$A482="","",SUMIFS(계산!$C:$C,계산!$A:$A,계산!$E482,계산!$B:$B,$B$1*100+12))</f>
        <v/>
      </c>
      <c r="O484">
        <f>IF(원생!$I482="","",원생!$I482)</f>
        <v/>
      </c>
      <c r="P484">
        <f>IF($A484="","",IF(AND($B484&gt;0,C484&lt;$B484,DATE($B$1,1,1)&lt;=TODAY(),OR($O484="",$O484&gt;=DATE($B$1,1,1)),OR(COUNTIF($C484:C484,"&gt;0")&gt;0,DATE($B$1,1,1)=DATE(YEAR(TODAY()),MONTH(TODAY()),1))),1,0))</f>
        <v/>
      </c>
      <c r="Q484">
        <f>IF($A484="","",IF(AND($B484&gt;0,D484&lt;$B484,DATE($B$1,2,1)&lt;=TODAY(),OR($O484="",$O484&gt;=DATE($B$1,2,1)),OR(COUNTIF($C484:D484,"&gt;0")&gt;0,DATE($B$1,2,1)=DATE(YEAR(TODAY()),MONTH(TODAY()),1))),1,0))</f>
        <v/>
      </c>
      <c r="R484">
        <f>IF($A484="","",IF(AND($B484&gt;0,E484&lt;$B484,DATE($B$1,3,1)&lt;=TODAY(),OR($O484="",$O484&gt;=DATE($B$1,3,1)),OR(COUNTIF($C484:E484,"&gt;0")&gt;0,DATE($B$1,3,1)=DATE(YEAR(TODAY()),MONTH(TODAY()),1))),1,0))</f>
        <v/>
      </c>
      <c r="S484">
        <f>IF($A484="","",IF(AND($B484&gt;0,F484&lt;$B484,DATE($B$1,4,1)&lt;=TODAY(),OR($O484="",$O484&gt;=DATE($B$1,4,1)),OR(COUNTIF($C484:F484,"&gt;0")&gt;0,DATE($B$1,4,1)=DATE(YEAR(TODAY()),MONTH(TODAY()),1))),1,0))</f>
        <v/>
      </c>
      <c r="T484">
        <f>IF($A484="","",IF(AND($B484&gt;0,G484&lt;$B484,DATE($B$1,5,1)&lt;=TODAY(),OR($O484="",$O484&gt;=DATE($B$1,5,1)),OR(COUNTIF($C484:G484,"&gt;0")&gt;0,DATE($B$1,5,1)=DATE(YEAR(TODAY()),MONTH(TODAY()),1))),1,0))</f>
        <v/>
      </c>
      <c r="U484">
        <f>IF($A484="","",IF(AND($B484&gt;0,H484&lt;$B484,DATE($B$1,6,1)&lt;=TODAY(),OR($O484="",$O484&gt;=DATE($B$1,6,1)),OR(COUNTIF($C484:H484,"&gt;0")&gt;0,DATE($B$1,6,1)=DATE(YEAR(TODAY()),MONTH(TODAY()),1))),1,0))</f>
        <v/>
      </c>
      <c r="V484">
        <f>IF($A484="","",IF(AND($B484&gt;0,I484&lt;$B484,DATE($B$1,7,1)&lt;=TODAY(),OR($O484="",$O484&gt;=DATE($B$1,7,1)),OR(COUNTIF($C484:I484,"&gt;0")&gt;0,DATE($B$1,7,1)=DATE(YEAR(TODAY()),MONTH(TODAY()),1))),1,0))</f>
        <v/>
      </c>
      <c r="W484">
        <f>IF($A484="","",IF(AND($B484&gt;0,J484&lt;$B484,DATE($B$1,8,1)&lt;=TODAY(),OR($O484="",$O484&gt;=DATE($B$1,8,1)),OR(COUNTIF($C484:J484,"&gt;0")&gt;0,DATE($B$1,8,1)=DATE(YEAR(TODAY()),MONTH(TODAY()),1))),1,0))</f>
        <v/>
      </c>
      <c r="X484">
        <f>IF($A484="","",IF(AND($B484&gt;0,K484&lt;$B484,DATE($B$1,9,1)&lt;=TODAY(),OR($O484="",$O484&gt;=DATE($B$1,9,1)),OR(COUNTIF($C484:K484,"&gt;0")&gt;0,DATE($B$1,9,1)=DATE(YEAR(TODAY()),MONTH(TODAY()),1))),1,0))</f>
        <v/>
      </c>
      <c r="Y484">
        <f>IF($A484="","",IF(AND($B484&gt;0,L484&lt;$B484,DATE($B$1,10,1)&lt;=TODAY(),OR($O484="",$O484&gt;=DATE($B$1,10,1)),OR(COUNTIF($C484:L484,"&gt;0")&gt;0,DATE($B$1,10,1)=DATE(YEAR(TODAY()),MONTH(TODAY()),1))),1,0))</f>
        <v/>
      </c>
      <c r="Z484">
        <f>IF($A484="","",IF(AND($B484&gt;0,M484&lt;$B484,DATE($B$1,11,1)&lt;=TODAY(),OR($O484="",$O484&gt;=DATE($B$1,11,1)),OR(COUNTIF($C484:M484,"&gt;0")&gt;0,DATE($B$1,11,1)=DATE(YEAR(TODAY()),MONTH(TODAY()),1))),1,0))</f>
        <v/>
      </c>
      <c r="AA484">
        <f>IF($A484="","",IF(AND($B484&gt;0,N484&lt;$B484,DATE($B$1,12,1)&lt;=TODAY(),OR($O484="",$O484&gt;=DATE($B$1,12,1)),OR(COUNTIF($C484:N484,"&gt;0")&gt;0,DATE($B$1,12,1)=DATE(YEAR(TODAY()),MONTH(TODAY()),1))),1,0))</f>
        <v/>
      </c>
    </row>
    <row r="485">
      <c r="A485" s="13">
        <f>IF(원생!$A483="","",원생!$A483&amp;IF(원생!$G483="",""," ("&amp;원생!$G483&amp;")"))</f>
        <v/>
      </c>
      <c r="B485" s="8">
        <f>IF(원생!$A483="","",N(원생!$F483))</f>
        <v/>
      </c>
      <c r="C485" s="14">
        <f>IF(원생!$A483="","",SUMIFS(계산!$C:$C,계산!$A:$A,계산!$E483,계산!$B:$B,$B$1*100+1))</f>
        <v/>
      </c>
      <c r="D485" s="14">
        <f>IF(원생!$A483="","",SUMIFS(계산!$C:$C,계산!$A:$A,계산!$E483,계산!$B:$B,$B$1*100+2))</f>
        <v/>
      </c>
      <c r="E485" s="14">
        <f>IF(원생!$A483="","",SUMIFS(계산!$C:$C,계산!$A:$A,계산!$E483,계산!$B:$B,$B$1*100+3))</f>
        <v/>
      </c>
      <c r="F485" s="14">
        <f>IF(원생!$A483="","",SUMIFS(계산!$C:$C,계산!$A:$A,계산!$E483,계산!$B:$B,$B$1*100+4))</f>
        <v/>
      </c>
      <c r="G485" s="14">
        <f>IF(원생!$A483="","",SUMIFS(계산!$C:$C,계산!$A:$A,계산!$E483,계산!$B:$B,$B$1*100+5))</f>
        <v/>
      </c>
      <c r="H485" s="14">
        <f>IF(원생!$A483="","",SUMIFS(계산!$C:$C,계산!$A:$A,계산!$E483,계산!$B:$B,$B$1*100+6))</f>
        <v/>
      </c>
      <c r="I485" s="14">
        <f>IF(원생!$A483="","",SUMIFS(계산!$C:$C,계산!$A:$A,계산!$E483,계산!$B:$B,$B$1*100+7))</f>
        <v/>
      </c>
      <c r="J485" s="14">
        <f>IF(원생!$A483="","",SUMIFS(계산!$C:$C,계산!$A:$A,계산!$E483,계산!$B:$B,$B$1*100+8))</f>
        <v/>
      </c>
      <c r="K485" s="14">
        <f>IF(원생!$A483="","",SUMIFS(계산!$C:$C,계산!$A:$A,계산!$E483,계산!$B:$B,$B$1*100+9))</f>
        <v/>
      </c>
      <c r="L485" s="14">
        <f>IF(원생!$A483="","",SUMIFS(계산!$C:$C,계산!$A:$A,계산!$E483,계산!$B:$B,$B$1*100+10))</f>
        <v/>
      </c>
      <c r="M485" s="14">
        <f>IF(원생!$A483="","",SUMIFS(계산!$C:$C,계산!$A:$A,계산!$E483,계산!$B:$B,$B$1*100+11))</f>
        <v/>
      </c>
      <c r="N485" s="14">
        <f>IF(원생!$A483="","",SUMIFS(계산!$C:$C,계산!$A:$A,계산!$E483,계산!$B:$B,$B$1*100+12))</f>
        <v/>
      </c>
      <c r="O485">
        <f>IF(원생!$I483="","",원생!$I483)</f>
        <v/>
      </c>
      <c r="P485">
        <f>IF($A485="","",IF(AND($B485&gt;0,C485&lt;$B485,DATE($B$1,1,1)&lt;=TODAY(),OR($O485="",$O485&gt;=DATE($B$1,1,1)),OR(COUNTIF($C485:C485,"&gt;0")&gt;0,DATE($B$1,1,1)=DATE(YEAR(TODAY()),MONTH(TODAY()),1))),1,0))</f>
        <v/>
      </c>
      <c r="Q485">
        <f>IF($A485="","",IF(AND($B485&gt;0,D485&lt;$B485,DATE($B$1,2,1)&lt;=TODAY(),OR($O485="",$O485&gt;=DATE($B$1,2,1)),OR(COUNTIF($C485:D485,"&gt;0")&gt;0,DATE($B$1,2,1)=DATE(YEAR(TODAY()),MONTH(TODAY()),1))),1,0))</f>
        <v/>
      </c>
      <c r="R485">
        <f>IF($A485="","",IF(AND($B485&gt;0,E485&lt;$B485,DATE($B$1,3,1)&lt;=TODAY(),OR($O485="",$O485&gt;=DATE($B$1,3,1)),OR(COUNTIF($C485:E485,"&gt;0")&gt;0,DATE($B$1,3,1)=DATE(YEAR(TODAY()),MONTH(TODAY()),1))),1,0))</f>
        <v/>
      </c>
      <c r="S485">
        <f>IF($A485="","",IF(AND($B485&gt;0,F485&lt;$B485,DATE($B$1,4,1)&lt;=TODAY(),OR($O485="",$O485&gt;=DATE($B$1,4,1)),OR(COUNTIF($C485:F485,"&gt;0")&gt;0,DATE($B$1,4,1)=DATE(YEAR(TODAY()),MONTH(TODAY()),1))),1,0))</f>
        <v/>
      </c>
      <c r="T485">
        <f>IF($A485="","",IF(AND($B485&gt;0,G485&lt;$B485,DATE($B$1,5,1)&lt;=TODAY(),OR($O485="",$O485&gt;=DATE($B$1,5,1)),OR(COUNTIF($C485:G485,"&gt;0")&gt;0,DATE($B$1,5,1)=DATE(YEAR(TODAY()),MONTH(TODAY()),1))),1,0))</f>
        <v/>
      </c>
      <c r="U485">
        <f>IF($A485="","",IF(AND($B485&gt;0,H485&lt;$B485,DATE($B$1,6,1)&lt;=TODAY(),OR($O485="",$O485&gt;=DATE($B$1,6,1)),OR(COUNTIF($C485:H485,"&gt;0")&gt;0,DATE($B$1,6,1)=DATE(YEAR(TODAY()),MONTH(TODAY()),1))),1,0))</f>
        <v/>
      </c>
      <c r="V485">
        <f>IF($A485="","",IF(AND($B485&gt;0,I485&lt;$B485,DATE($B$1,7,1)&lt;=TODAY(),OR($O485="",$O485&gt;=DATE($B$1,7,1)),OR(COUNTIF($C485:I485,"&gt;0")&gt;0,DATE($B$1,7,1)=DATE(YEAR(TODAY()),MONTH(TODAY()),1))),1,0))</f>
        <v/>
      </c>
      <c r="W485">
        <f>IF($A485="","",IF(AND($B485&gt;0,J485&lt;$B485,DATE($B$1,8,1)&lt;=TODAY(),OR($O485="",$O485&gt;=DATE($B$1,8,1)),OR(COUNTIF($C485:J485,"&gt;0")&gt;0,DATE($B$1,8,1)=DATE(YEAR(TODAY()),MONTH(TODAY()),1))),1,0))</f>
        <v/>
      </c>
      <c r="X485">
        <f>IF($A485="","",IF(AND($B485&gt;0,K485&lt;$B485,DATE($B$1,9,1)&lt;=TODAY(),OR($O485="",$O485&gt;=DATE($B$1,9,1)),OR(COUNTIF($C485:K485,"&gt;0")&gt;0,DATE($B$1,9,1)=DATE(YEAR(TODAY()),MONTH(TODAY()),1))),1,0))</f>
        <v/>
      </c>
      <c r="Y485">
        <f>IF($A485="","",IF(AND($B485&gt;0,L485&lt;$B485,DATE($B$1,10,1)&lt;=TODAY(),OR($O485="",$O485&gt;=DATE($B$1,10,1)),OR(COUNTIF($C485:L485,"&gt;0")&gt;0,DATE($B$1,10,1)=DATE(YEAR(TODAY()),MONTH(TODAY()),1))),1,0))</f>
        <v/>
      </c>
      <c r="Z485">
        <f>IF($A485="","",IF(AND($B485&gt;0,M485&lt;$B485,DATE($B$1,11,1)&lt;=TODAY(),OR($O485="",$O485&gt;=DATE($B$1,11,1)),OR(COUNTIF($C485:M485,"&gt;0")&gt;0,DATE($B$1,11,1)=DATE(YEAR(TODAY()),MONTH(TODAY()),1))),1,0))</f>
        <v/>
      </c>
      <c r="AA485">
        <f>IF($A485="","",IF(AND($B485&gt;0,N485&lt;$B485,DATE($B$1,12,1)&lt;=TODAY(),OR($O485="",$O485&gt;=DATE($B$1,12,1)),OR(COUNTIF($C485:N485,"&gt;0")&gt;0,DATE($B$1,12,1)=DATE(YEAR(TODAY()),MONTH(TODAY()),1))),1,0))</f>
        <v/>
      </c>
    </row>
    <row r="486">
      <c r="A486" s="13">
        <f>IF(원생!$A484="","",원생!$A484&amp;IF(원생!$G484="",""," ("&amp;원생!$G484&amp;")"))</f>
        <v/>
      </c>
      <c r="B486" s="8">
        <f>IF(원생!$A484="","",N(원생!$F484))</f>
        <v/>
      </c>
      <c r="C486" s="14">
        <f>IF(원생!$A484="","",SUMIFS(계산!$C:$C,계산!$A:$A,계산!$E484,계산!$B:$B,$B$1*100+1))</f>
        <v/>
      </c>
      <c r="D486" s="14">
        <f>IF(원생!$A484="","",SUMIFS(계산!$C:$C,계산!$A:$A,계산!$E484,계산!$B:$B,$B$1*100+2))</f>
        <v/>
      </c>
      <c r="E486" s="14">
        <f>IF(원생!$A484="","",SUMIFS(계산!$C:$C,계산!$A:$A,계산!$E484,계산!$B:$B,$B$1*100+3))</f>
        <v/>
      </c>
      <c r="F486" s="14">
        <f>IF(원생!$A484="","",SUMIFS(계산!$C:$C,계산!$A:$A,계산!$E484,계산!$B:$B,$B$1*100+4))</f>
        <v/>
      </c>
      <c r="G486" s="14">
        <f>IF(원생!$A484="","",SUMIFS(계산!$C:$C,계산!$A:$A,계산!$E484,계산!$B:$B,$B$1*100+5))</f>
        <v/>
      </c>
      <c r="H486" s="14">
        <f>IF(원생!$A484="","",SUMIFS(계산!$C:$C,계산!$A:$A,계산!$E484,계산!$B:$B,$B$1*100+6))</f>
        <v/>
      </c>
      <c r="I486" s="14">
        <f>IF(원생!$A484="","",SUMIFS(계산!$C:$C,계산!$A:$A,계산!$E484,계산!$B:$B,$B$1*100+7))</f>
        <v/>
      </c>
      <c r="J486" s="14">
        <f>IF(원생!$A484="","",SUMIFS(계산!$C:$C,계산!$A:$A,계산!$E484,계산!$B:$B,$B$1*100+8))</f>
        <v/>
      </c>
      <c r="K486" s="14">
        <f>IF(원생!$A484="","",SUMIFS(계산!$C:$C,계산!$A:$A,계산!$E484,계산!$B:$B,$B$1*100+9))</f>
        <v/>
      </c>
      <c r="L486" s="14">
        <f>IF(원생!$A484="","",SUMIFS(계산!$C:$C,계산!$A:$A,계산!$E484,계산!$B:$B,$B$1*100+10))</f>
        <v/>
      </c>
      <c r="M486" s="14">
        <f>IF(원생!$A484="","",SUMIFS(계산!$C:$C,계산!$A:$A,계산!$E484,계산!$B:$B,$B$1*100+11))</f>
        <v/>
      </c>
      <c r="N486" s="14">
        <f>IF(원생!$A484="","",SUMIFS(계산!$C:$C,계산!$A:$A,계산!$E484,계산!$B:$B,$B$1*100+12))</f>
        <v/>
      </c>
      <c r="O486">
        <f>IF(원생!$I484="","",원생!$I484)</f>
        <v/>
      </c>
      <c r="P486">
        <f>IF($A486="","",IF(AND($B486&gt;0,C486&lt;$B486,DATE($B$1,1,1)&lt;=TODAY(),OR($O486="",$O486&gt;=DATE($B$1,1,1)),OR(COUNTIF($C486:C486,"&gt;0")&gt;0,DATE($B$1,1,1)=DATE(YEAR(TODAY()),MONTH(TODAY()),1))),1,0))</f>
        <v/>
      </c>
      <c r="Q486">
        <f>IF($A486="","",IF(AND($B486&gt;0,D486&lt;$B486,DATE($B$1,2,1)&lt;=TODAY(),OR($O486="",$O486&gt;=DATE($B$1,2,1)),OR(COUNTIF($C486:D486,"&gt;0")&gt;0,DATE($B$1,2,1)=DATE(YEAR(TODAY()),MONTH(TODAY()),1))),1,0))</f>
        <v/>
      </c>
      <c r="R486">
        <f>IF($A486="","",IF(AND($B486&gt;0,E486&lt;$B486,DATE($B$1,3,1)&lt;=TODAY(),OR($O486="",$O486&gt;=DATE($B$1,3,1)),OR(COUNTIF($C486:E486,"&gt;0")&gt;0,DATE($B$1,3,1)=DATE(YEAR(TODAY()),MONTH(TODAY()),1))),1,0))</f>
        <v/>
      </c>
      <c r="S486">
        <f>IF($A486="","",IF(AND($B486&gt;0,F486&lt;$B486,DATE($B$1,4,1)&lt;=TODAY(),OR($O486="",$O486&gt;=DATE($B$1,4,1)),OR(COUNTIF($C486:F486,"&gt;0")&gt;0,DATE($B$1,4,1)=DATE(YEAR(TODAY()),MONTH(TODAY()),1))),1,0))</f>
        <v/>
      </c>
      <c r="T486">
        <f>IF($A486="","",IF(AND($B486&gt;0,G486&lt;$B486,DATE($B$1,5,1)&lt;=TODAY(),OR($O486="",$O486&gt;=DATE($B$1,5,1)),OR(COUNTIF($C486:G486,"&gt;0")&gt;0,DATE($B$1,5,1)=DATE(YEAR(TODAY()),MONTH(TODAY()),1))),1,0))</f>
        <v/>
      </c>
      <c r="U486">
        <f>IF($A486="","",IF(AND($B486&gt;0,H486&lt;$B486,DATE($B$1,6,1)&lt;=TODAY(),OR($O486="",$O486&gt;=DATE($B$1,6,1)),OR(COUNTIF($C486:H486,"&gt;0")&gt;0,DATE($B$1,6,1)=DATE(YEAR(TODAY()),MONTH(TODAY()),1))),1,0))</f>
        <v/>
      </c>
      <c r="V486">
        <f>IF($A486="","",IF(AND($B486&gt;0,I486&lt;$B486,DATE($B$1,7,1)&lt;=TODAY(),OR($O486="",$O486&gt;=DATE($B$1,7,1)),OR(COUNTIF($C486:I486,"&gt;0")&gt;0,DATE($B$1,7,1)=DATE(YEAR(TODAY()),MONTH(TODAY()),1))),1,0))</f>
        <v/>
      </c>
      <c r="W486">
        <f>IF($A486="","",IF(AND($B486&gt;0,J486&lt;$B486,DATE($B$1,8,1)&lt;=TODAY(),OR($O486="",$O486&gt;=DATE($B$1,8,1)),OR(COUNTIF($C486:J486,"&gt;0")&gt;0,DATE($B$1,8,1)=DATE(YEAR(TODAY()),MONTH(TODAY()),1))),1,0))</f>
        <v/>
      </c>
      <c r="X486">
        <f>IF($A486="","",IF(AND($B486&gt;0,K486&lt;$B486,DATE($B$1,9,1)&lt;=TODAY(),OR($O486="",$O486&gt;=DATE($B$1,9,1)),OR(COUNTIF($C486:K486,"&gt;0")&gt;0,DATE($B$1,9,1)=DATE(YEAR(TODAY()),MONTH(TODAY()),1))),1,0))</f>
        <v/>
      </c>
      <c r="Y486">
        <f>IF($A486="","",IF(AND($B486&gt;0,L486&lt;$B486,DATE($B$1,10,1)&lt;=TODAY(),OR($O486="",$O486&gt;=DATE($B$1,10,1)),OR(COUNTIF($C486:L486,"&gt;0")&gt;0,DATE($B$1,10,1)=DATE(YEAR(TODAY()),MONTH(TODAY()),1))),1,0))</f>
        <v/>
      </c>
      <c r="Z486">
        <f>IF($A486="","",IF(AND($B486&gt;0,M486&lt;$B486,DATE($B$1,11,1)&lt;=TODAY(),OR($O486="",$O486&gt;=DATE($B$1,11,1)),OR(COUNTIF($C486:M486,"&gt;0")&gt;0,DATE($B$1,11,1)=DATE(YEAR(TODAY()),MONTH(TODAY()),1))),1,0))</f>
        <v/>
      </c>
      <c r="AA486">
        <f>IF($A486="","",IF(AND($B486&gt;0,N486&lt;$B486,DATE($B$1,12,1)&lt;=TODAY(),OR($O486="",$O486&gt;=DATE($B$1,12,1)),OR(COUNTIF($C486:N486,"&gt;0")&gt;0,DATE($B$1,12,1)=DATE(YEAR(TODAY()),MONTH(TODAY()),1))),1,0))</f>
        <v/>
      </c>
    </row>
    <row r="487">
      <c r="A487" s="13">
        <f>IF(원생!$A485="","",원생!$A485&amp;IF(원생!$G485="",""," ("&amp;원생!$G485&amp;")"))</f>
        <v/>
      </c>
      <c r="B487" s="8">
        <f>IF(원생!$A485="","",N(원생!$F485))</f>
        <v/>
      </c>
      <c r="C487" s="14">
        <f>IF(원생!$A485="","",SUMIFS(계산!$C:$C,계산!$A:$A,계산!$E485,계산!$B:$B,$B$1*100+1))</f>
        <v/>
      </c>
      <c r="D487" s="14">
        <f>IF(원생!$A485="","",SUMIFS(계산!$C:$C,계산!$A:$A,계산!$E485,계산!$B:$B,$B$1*100+2))</f>
        <v/>
      </c>
      <c r="E487" s="14">
        <f>IF(원생!$A485="","",SUMIFS(계산!$C:$C,계산!$A:$A,계산!$E485,계산!$B:$B,$B$1*100+3))</f>
        <v/>
      </c>
      <c r="F487" s="14">
        <f>IF(원생!$A485="","",SUMIFS(계산!$C:$C,계산!$A:$A,계산!$E485,계산!$B:$B,$B$1*100+4))</f>
        <v/>
      </c>
      <c r="G487" s="14">
        <f>IF(원생!$A485="","",SUMIFS(계산!$C:$C,계산!$A:$A,계산!$E485,계산!$B:$B,$B$1*100+5))</f>
        <v/>
      </c>
      <c r="H487" s="14">
        <f>IF(원생!$A485="","",SUMIFS(계산!$C:$C,계산!$A:$A,계산!$E485,계산!$B:$B,$B$1*100+6))</f>
        <v/>
      </c>
      <c r="I487" s="14">
        <f>IF(원생!$A485="","",SUMIFS(계산!$C:$C,계산!$A:$A,계산!$E485,계산!$B:$B,$B$1*100+7))</f>
        <v/>
      </c>
      <c r="J487" s="14">
        <f>IF(원생!$A485="","",SUMIFS(계산!$C:$C,계산!$A:$A,계산!$E485,계산!$B:$B,$B$1*100+8))</f>
        <v/>
      </c>
      <c r="K487" s="14">
        <f>IF(원생!$A485="","",SUMIFS(계산!$C:$C,계산!$A:$A,계산!$E485,계산!$B:$B,$B$1*100+9))</f>
        <v/>
      </c>
      <c r="L487" s="14">
        <f>IF(원생!$A485="","",SUMIFS(계산!$C:$C,계산!$A:$A,계산!$E485,계산!$B:$B,$B$1*100+10))</f>
        <v/>
      </c>
      <c r="M487" s="14">
        <f>IF(원생!$A485="","",SUMIFS(계산!$C:$C,계산!$A:$A,계산!$E485,계산!$B:$B,$B$1*100+11))</f>
        <v/>
      </c>
      <c r="N487" s="14">
        <f>IF(원생!$A485="","",SUMIFS(계산!$C:$C,계산!$A:$A,계산!$E485,계산!$B:$B,$B$1*100+12))</f>
        <v/>
      </c>
      <c r="O487">
        <f>IF(원생!$I485="","",원생!$I485)</f>
        <v/>
      </c>
      <c r="P487">
        <f>IF($A487="","",IF(AND($B487&gt;0,C487&lt;$B487,DATE($B$1,1,1)&lt;=TODAY(),OR($O487="",$O487&gt;=DATE($B$1,1,1)),OR(COUNTIF($C487:C487,"&gt;0")&gt;0,DATE($B$1,1,1)=DATE(YEAR(TODAY()),MONTH(TODAY()),1))),1,0))</f>
        <v/>
      </c>
      <c r="Q487">
        <f>IF($A487="","",IF(AND($B487&gt;0,D487&lt;$B487,DATE($B$1,2,1)&lt;=TODAY(),OR($O487="",$O487&gt;=DATE($B$1,2,1)),OR(COUNTIF($C487:D487,"&gt;0")&gt;0,DATE($B$1,2,1)=DATE(YEAR(TODAY()),MONTH(TODAY()),1))),1,0))</f>
        <v/>
      </c>
      <c r="R487">
        <f>IF($A487="","",IF(AND($B487&gt;0,E487&lt;$B487,DATE($B$1,3,1)&lt;=TODAY(),OR($O487="",$O487&gt;=DATE($B$1,3,1)),OR(COUNTIF($C487:E487,"&gt;0")&gt;0,DATE($B$1,3,1)=DATE(YEAR(TODAY()),MONTH(TODAY()),1))),1,0))</f>
        <v/>
      </c>
      <c r="S487">
        <f>IF($A487="","",IF(AND($B487&gt;0,F487&lt;$B487,DATE($B$1,4,1)&lt;=TODAY(),OR($O487="",$O487&gt;=DATE($B$1,4,1)),OR(COUNTIF($C487:F487,"&gt;0")&gt;0,DATE($B$1,4,1)=DATE(YEAR(TODAY()),MONTH(TODAY()),1))),1,0))</f>
        <v/>
      </c>
      <c r="T487">
        <f>IF($A487="","",IF(AND($B487&gt;0,G487&lt;$B487,DATE($B$1,5,1)&lt;=TODAY(),OR($O487="",$O487&gt;=DATE($B$1,5,1)),OR(COUNTIF($C487:G487,"&gt;0")&gt;0,DATE($B$1,5,1)=DATE(YEAR(TODAY()),MONTH(TODAY()),1))),1,0))</f>
        <v/>
      </c>
      <c r="U487">
        <f>IF($A487="","",IF(AND($B487&gt;0,H487&lt;$B487,DATE($B$1,6,1)&lt;=TODAY(),OR($O487="",$O487&gt;=DATE($B$1,6,1)),OR(COUNTIF($C487:H487,"&gt;0")&gt;0,DATE($B$1,6,1)=DATE(YEAR(TODAY()),MONTH(TODAY()),1))),1,0))</f>
        <v/>
      </c>
      <c r="V487">
        <f>IF($A487="","",IF(AND($B487&gt;0,I487&lt;$B487,DATE($B$1,7,1)&lt;=TODAY(),OR($O487="",$O487&gt;=DATE($B$1,7,1)),OR(COUNTIF($C487:I487,"&gt;0")&gt;0,DATE($B$1,7,1)=DATE(YEAR(TODAY()),MONTH(TODAY()),1))),1,0))</f>
        <v/>
      </c>
      <c r="W487">
        <f>IF($A487="","",IF(AND($B487&gt;0,J487&lt;$B487,DATE($B$1,8,1)&lt;=TODAY(),OR($O487="",$O487&gt;=DATE($B$1,8,1)),OR(COUNTIF($C487:J487,"&gt;0")&gt;0,DATE($B$1,8,1)=DATE(YEAR(TODAY()),MONTH(TODAY()),1))),1,0))</f>
        <v/>
      </c>
      <c r="X487">
        <f>IF($A487="","",IF(AND($B487&gt;0,K487&lt;$B487,DATE($B$1,9,1)&lt;=TODAY(),OR($O487="",$O487&gt;=DATE($B$1,9,1)),OR(COUNTIF($C487:K487,"&gt;0")&gt;0,DATE($B$1,9,1)=DATE(YEAR(TODAY()),MONTH(TODAY()),1))),1,0))</f>
        <v/>
      </c>
      <c r="Y487">
        <f>IF($A487="","",IF(AND($B487&gt;0,L487&lt;$B487,DATE($B$1,10,1)&lt;=TODAY(),OR($O487="",$O487&gt;=DATE($B$1,10,1)),OR(COUNTIF($C487:L487,"&gt;0")&gt;0,DATE($B$1,10,1)=DATE(YEAR(TODAY()),MONTH(TODAY()),1))),1,0))</f>
        <v/>
      </c>
      <c r="Z487">
        <f>IF($A487="","",IF(AND($B487&gt;0,M487&lt;$B487,DATE($B$1,11,1)&lt;=TODAY(),OR($O487="",$O487&gt;=DATE($B$1,11,1)),OR(COUNTIF($C487:M487,"&gt;0")&gt;0,DATE($B$1,11,1)=DATE(YEAR(TODAY()),MONTH(TODAY()),1))),1,0))</f>
        <v/>
      </c>
      <c r="AA487">
        <f>IF($A487="","",IF(AND($B487&gt;0,N487&lt;$B487,DATE($B$1,12,1)&lt;=TODAY(),OR($O487="",$O487&gt;=DATE($B$1,12,1)),OR(COUNTIF($C487:N487,"&gt;0")&gt;0,DATE($B$1,12,1)=DATE(YEAR(TODAY()),MONTH(TODAY()),1))),1,0))</f>
        <v/>
      </c>
    </row>
    <row r="488">
      <c r="A488" s="13">
        <f>IF(원생!$A486="","",원생!$A486&amp;IF(원생!$G486="",""," ("&amp;원생!$G486&amp;")"))</f>
        <v/>
      </c>
      <c r="B488" s="8">
        <f>IF(원생!$A486="","",N(원생!$F486))</f>
        <v/>
      </c>
      <c r="C488" s="14">
        <f>IF(원생!$A486="","",SUMIFS(계산!$C:$C,계산!$A:$A,계산!$E486,계산!$B:$B,$B$1*100+1))</f>
        <v/>
      </c>
      <c r="D488" s="14">
        <f>IF(원생!$A486="","",SUMIFS(계산!$C:$C,계산!$A:$A,계산!$E486,계산!$B:$B,$B$1*100+2))</f>
        <v/>
      </c>
      <c r="E488" s="14">
        <f>IF(원생!$A486="","",SUMIFS(계산!$C:$C,계산!$A:$A,계산!$E486,계산!$B:$B,$B$1*100+3))</f>
        <v/>
      </c>
      <c r="F488" s="14">
        <f>IF(원생!$A486="","",SUMIFS(계산!$C:$C,계산!$A:$A,계산!$E486,계산!$B:$B,$B$1*100+4))</f>
        <v/>
      </c>
      <c r="G488" s="14">
        <f>IF(원생!$A486="","",SUMIFS(계산!$C:$C,계산!$A:$A,계산!$E486,계산!$B:$B,$B$1*100+5))</f>
        <v/>
      </c>
      <c r="H488" s="14">
        <f>IF(원생!$A486="","",SUMIFS(계산!$C:$C,계산!$A:$A,계산!$E486,계산!$B:$B,$B$1*100+6))</f>
        <v/>
      </c>
      <c r="I488" s="14">
        <f>IF(원생!$A486="","",SUMIFS(계산!$C:$C,계산!$A:$A,계산!$E486,계산!$B:$B,$B$1*100+7))</f>
        <v/>
      </c>
      <c r="J488" s="14">
        <f>IF(원생!$A486="","",SUMIFS(계산!$C:$C,계산!$A:$A,계산!$E486,계산!$B:$B,$B$1*100+8))</f>
        <v/>
      </c>
      <c r="K488" s="14">
        <f>IF(원생!$A486="","",SUMIFS(계산!$C:$C,계산!$A:$A,계산!$E486,계산!$B:$B,$B$1*100+9))</f>
        <v/>
      </c>
      <c r="L488" s="14">
        <f>IF(원생!$A486="","",SUMIFS(계산!$C:$C,계산!$A:$A,계산!$E486,계산!$B:$B,$B$1*100+10))</f>
        <v/>
      </c>
      <c r="M488" s="14">
        <f>IF(원생!$A486="","",SUMIFS(계산!$C:$C,계산!$A:$A,계산!$E486,계산!$B:$B,$B$1*100+11))</f>
        <v/>
      </c>
      <c r="N488" s="14">
        <f>IF(원생!$A486="","",SUMIFS(계산!$C:$C,계산!$A:$A,계산!$E486,계산!$B:$B,$B$1*100+12))</f>
        <v/>
      </c>
      <c r="O488">
        <f>IF(원생!$I486="","",원생!$I486)</f>
        <v/>
      </c>
      <c r="P488">
        <f>IF($A488="","",IF(AND($B488&gt;0,C488&lt;$B488,DATE($B$1,1,1)&lt;=TODAY(),OR($O488="",$O488&gt;=DATE($B$1,1,1)),OR(COUNTIF($C488:C488,"&gt;0")&gt;0,DATE($B$1,1,1)=DATE(YEAR(TODAY()),MONTH(TODAY()),1))),1,0))</f>
        <v/>
      </c>
      <c r="Q488">
        <f>IF($A488="","",IF(AND($B488&gt;0,D488&lt;$B488,DATE($B$1,2,1)&lt;=TODAY(),OR($O488="",$O488&gt;=DATE($B$1,2,1)),OR(COUNTIF($C488:D488,"&gt;0")&gt;0,DATE($B$1,2,1)=DATE(YEAR(TODAY()),MONTH(TODAY()),1))),1,0))</f>
        <v/>
      </c>
      <c r="R488">
        <f>IF($A488="","",IF(AND($B488&gt;0,E488&lt;$B488,DATE($B$1,3,1)&lt;=TODAY(),OR($O488="",$O488&gt;=DATE($B$1,3,1)),OR(COUNTIF($C488:E488,"&gt;0")&gt;0,DATE($B$1,3,1)=DATE(YEAR(TODAY()),MONTH(TODAY()),1))),1,0))</f>
        <v/>
      </c>
      <c r="S488">
        <f>IF($A488="","",IF(AND($B488&gt;0,F488&lt;$B488,DATE($B$1,4,1)&lt;=TODAY(),OR($O488="",$O488&gt;=DATE($B$1,4,1)),OR(COUNTIF($C488:F488,"&gt;0")&gt;0,DATE($B$1,4,1)=DATE(YEAR(TODAY()),MONTH(TODAY()),1))),1,0))</f>
        <v/>
      </c>
      <c r="T488">
        <f>IF($A488="","",IF(AND($B488&gt;0,G488&lt;$B488,DATE($B$1,5,1)&lt;=TODAY(),OR($O488="",$O488&gt;=DATE($B$1,5,1)),OR(COUNTIF($C488:G488,"&gt;0")&gt;0,DATE($B$1,5,1)=DATE(YEAR(TODAY()),MONTH(TODAY()),1))),1,0))</f>
        <v/>
      </c>
      <c r="U488">
        <f>IF($A488="","",IF(AND($B488&gt;0,H488&lt;$B488,DATE($B$1,6,1)&lt;=TODAY(),OR($O488="",$O488&gt;=DATE($B$1,6,1)),OR(COUNTIF($C488:H488,"&gt;0")&gt;0,DATE($B$1,6,1)=DATE(YEAR(TODAY()),MONTH(TODAY()),1))),1,0))</f>
        <v/>
      </c>
      <c r="V488">
        <f>IF($A488="","",IF(AND($B488&gt;0,I488&lt;$B488,DATE($B$1,7,1)&lt;=TODAY(),OR($O488="",$O488&gt;=DATE($B$1,7,1)),OR(COUNTIF($C488:I488,"&gt;0")&gt;0,DATE($B$1,7,1)=DATE(YEAR(TODAY()),MONTH(TODAY()),1))),1,0))</f>
        <v/>
      </c>
      <c r="W488">
        <f>IF($A488="","",IF(AND($B488&gt;0,J488&lt;$B488,DATE($B$1,8,1)&lt;=TODAY(),OR($O488="",$O488&gt;=DATE($B$1,8,1)),OR(COUNTIF($C488:J488,"&gt;0")&gt;0,DATE($B$1,8,1)=DATE(YEAR(TODAY()),MONTH(TODAY()),1))),1,0))</f>
        <v/>
      </c>
      <c r="X488">
        <f>IF($A488="","",IF(AND($B488&gt;0,K488&lt;$B488,DATE($B$1,9,1)&lt;=TODAY(),OR($O488="",$O488&gt;=DATE($B$1,9,1)),OR(COUNTIF($C488:K488,"&gt;0")&gt;0,DATE($B$1,9,1)=DATE(YEAR(TODAY()),MONTH(TODAY()),1))),1,0))</f>
        <v/>
      </c>
      <c r="Y488">
        <f>IF($A488="","",IF(AND($B488&gt;0,L488&lt;$B488,DATE($B$1,10,1)&lt;=TODAY(),OR($O488="",$O488&gt;=DATE($B$1,10,1)),OR(COUNTIF($C488:L488,"&gt;0")&gt;0,DATE($B$1,10,1)=DATE(YEAR(TODAY()),MONTH(TODAY()),1))),1,0))</f>
        <v/>
      </c>
      <c r="Z488">
        <f>IF($A488="","",IF(AND($B488&gt;0,M488&lt;$B488,DATE($B$1,11,1)&lt;=TODAY(),OR($O488="",$O488&gt;=DATE($B$1,11,1)),OR(COUNTIF($C488:M488,"&gt;0")&gt;0,DATE($B$1,11,1)=DATE(YEAR(TODAY()),MONTH(TODAY()),1))),1,0))</f>
        <v/>
      </c>
      <c r="AA488">
        <f>IF($A488="","",IF(AND($B488&gt;0,N488&lt;$B488,DATE($B$1,12,1)&lt;=TODAY(),OR($O488="",$O488&gt;=DATE($B$1,12,1)),OR(COUNTIF($C488:N488,"&gt;0")&gt;0,DATE($B$1,12,1)=DATE(YEAR(TODAY()),MONTH(TODAY()),1))),1,0))</f>
        <v/>
      </c>
    </row>
    <row r="489">
      <c r="A489" s="13">
        <f>IF(원생!$A487="","",원생!$A487&amp;IF(원생!$G487="",""," ("&amp;원생!$G487&amp;")"))</f>
        <v/>
      </c>
      <c r="B489" s="8">
        <f>IF(원생!$A487="","",N(원생!$F487))</f>
        <v/>
      </c>
      <c r="C489" s="14">
        <f>IF(원생!$A487="","",SUMIFS(계산!$C:$C,계산!$A:$A,계산!$E487,계산!$B:$B,$B$1*100+1))</f>
        <v/>
      </c>
      <c r="D489" s="14">
        <f>IF(원생!$A487="","",SUMIFS(계산!$C:$C,계산!$A:$A,계산!$E487,계산!$B:$B,$B$1*100+2))</f>
        <v/>
      </c>
      <c r="E489" s="14">
        <f>IF(원생!$A487="","",SUMIFS(계산!$C:$C,계산!$A:$A,계산!$E487,계산!$B:$B,$B$1*100+3))</f>
        <v/>
      </c>
      <c r="F489" s="14">
        <f>IF(원생!$A487="","",SUMIFS(계산!$C:$C,계산!$A:$A,계산!$E487,계산!$B:$B,$B$1*100+4))</f>
        <v/>
      </c>
      <c r="G489" s="14">
        <f>IF(원생!$A487="","",SUMIFS(계산!$C:$C,계산!$A:$A,계산!$E487,계산!$B:$B,$B$1*100+5))</f>
        <v/>
      </c>
      <c r="H489" s="14">
        <f>IF(원생!$A487="","",SUMIFS(계산!$C:$C,계산!$A:$A,계산!$E487,계산!$B:$B,$B$1*100+6))</f>
        <v/>
      </c>
      <c r="I489" s="14">
        <f>IF(원생!$A487="","",SUMIFS(계산!$C:$C,계산!$A:$A,계산!$E487,계산!$B:$B,$B$1*100+7))</f>
        <v/>
      </c>
      <c r="J489" s="14">
        <f>IF(원생!$A487="","",SUMIFS(계산!$C:$C,계산!$A:$A,계산!$E487,계산!$B:$B,$B$1*100+8))</f>
        <v/>
      </c>
      <c r="K489" s="14">
        <f>IF(원생!$A487="","",SUMIFS(계산!$C:$C,계산!$A:$A,계산!$E487,계산!$B:$B,$B$1*100+9))</f>
        <v/>
      </c>
      <c r="L489" s="14">
        <f>IF(원생!$A487="","",SUMIFS(계산!$C:$C,계산!$A:$A,계산!$E487,계산!$B:$B,$B$1*100+10))</f>
        <v/>
      </c>
      <c r="M489" s="14">
        <f>IF(원생!$A487="","",SUMIFS(계산!$C:$C,계산!$A:$A,계산!$E487,계산!$B:$B,$B$1*100+11))</f>
        <v/>
      </c>
      <c r="N489" s="14">
        <f>IF(원생!$A487="","",SUMIFS(계산!$C:$C,계산!$A:$A,계산!$E487,계산!$B:$B,$B$1*100+12))</f>
        <v/>
      </c>
      <c r="O489">
        <f>IF(원생!$I487="","",원생!$I487)</f>
        <v/>
      </c>
      <c r="P489">
        <f>IF($A489="","",IF(AND($B489&gt;0,C489&lt;$B489,DATE($B$1,1,1)&lt;=TODAY(),OR($O489="",$O489&gt;=DATE($B$1,1,1)),OR(COUNTIF($C489:C489,"&gt;0")&gt;0,DATE($B$1,1,1)=DATE(YEAR(TODAY()),MONTH(TODAY()),1))),1,0))</f>
        <v/>
      </c>
      <c r="Q489">
        <f>IF($A489="","",IF(AND($B489&gt;0,D489&lt;$B489,DATE($B$1,2,1)&lt;=TODAY(),OR($O489="",$O489&gt;=DATE($B$1,2,1)),OR(COUNTIF($C489:D489,"&gt;0")&gt;0,DATE($B$1,2,1)=DATE(YEAR(TODAY()),MONTH(TODAY()),1))),1,0))</f>
        <v/>
      </c>
      <c r="R489">
        <f>IF($A489="","",IF(AND($B489&gt;0,E489&lt;$B489,DATE($B$1,3,1)&lt;=TODAY(),OR($O489="",$O489&gt;=DATE($B$1,3,1)),OR(COUNTIF($C489:E489,"&gt;0")&gt;0,DATE($B$1,3,1)=DATE(YEAR(TODAY()),MONTH(TODAY()),1))),1,0))</f>
        <v/>
      </c>
      <c r="S489">
        <f>IF($A489="","",IF(AND($B489&gt;0,F489&lt;$B489,DATE($B$1,4,1)&lt;=TODAY(),OR($O489="",$O489&gt;=DATE($B$1,4,1)),OR(COUNTIF($C489:F489,"&gt;0")&gt;0,DATE($B$1,4,1)=DATE(YEAR(TODAY()),MONTH(TODAY()),1))),1,0))</f>
        <v/>
      </c>
      <c r="T489">
        <f>IF($A489="","",IF(AND($B489&gt;0,G489&lt;$B489,DATE($B$1,5,1)&lt;=TODAY(),OR($O489="",$O489&gt;=DATE($B$1,5,1)),OR(COUNTIF($C489:G489,"&gt;0")&gt;0,DATE($B$1,5,1)=DATE(YEAR(TODAY()),MONTH(TODAY()),1))),1,0))</f>
        <v/>
      </c>
      <c r="U489">
        <f>IF($A489="","",IF(AND($B489&gt;0,H489&lt;$B489,DATE($B$1,6,1)&lt;=TODAY(),OR($O489="",$O489&gt;=DATE($B$1,6,1)),OR(COUNTIF($C489:H489,"&gt;0")&gt;0,DATE($B$1,6,1)=DATE(YEAR(TODAY()),MONTH(TODAY()),1))),1,0))</f>
        <v/>
      </c>
      <c r="V489">
        <f>IF($A489="","",IF(AND($B489&gt;0,I489&lt;$B489,DATE($B$1,7,1)&lt;=TODAY(),OR($O489="",$O489&gt;=DATE($B$1,7,1)),OR(COUNTIF($C489:I489,"&gt;0")&gt;0,DATE($B$1,7,1)=DATE(YEAR(TODAY()),MONTH(TODAY()),1))),1,0))</f>
        <v/>
      </c>
      <c r="W489">
        <f>IF($A489="","",IF(AND($B489&gt;0,J489&lt;$B489,DATE($B$1,8,1)&lt;=TODAY(),OR($O489="",$O489&gt;=DATE($B$1,8,1)),OR(COUNTIF($C489:J489,"&gt;0")&gt;0,DATE($B$1,8,1)=DATE(YEAR(TODAY()),MONTH(TODAY()),1))),1,0))</f>
        <v/>
      </c>
      <c r="X489">
        <f>IF($A489="","",IF(AND($B489&gt;0,K489&lt;$B489,DATE($B$1,9,1)&lt;=TODAY(),OR($O489="",$O489&gt;=DATE($B$1,9,1)),OR(COUNTIF($C489:K489,"&gt;0")&gt;0,DATE($B$1,9,1)=DATE(YEAR(TODAY()),MONTH(TODAY()),1))),1,0))</f>
        <v/>
      </c>
      <c r="Y489">
        <f>IF($A489="","",IF(AND($B489&gt;0,L489&lt;$B489,DATE($B$1,10,1)&lt;=TODAY(),OR($O489="",$O489&gt;=DATE($B$1,10,1)),OR(COUNTIF($C489:L489,"&gt;0")&gt;0,DATE($B$1,10,1)=DATE(YEAR(TODAY()),MONTH(TODAY()),1))),1,0))</f>
        <v/>
      </c>
      <c r="Z489">
        <f>IF($A489="","",IF(AND($B489&gt;0,M489&lt;$B489,DATE($B$1,11,1)&lt;=TODAY(),OR($O489="",$O489&gt;=DATE($B$1,11,1)),OR(COUNTIF($C489:M489,"&gt;0")&gt;0,DATE($B$1,11,1)=DATE(YEAR(TODAY()),MONTH(TODAY()),1))),1,0))</f>
        <v/>
      </c>
      <c r="AA489">
        <f>IF($A489="","",IF(AND($B489&gt;0,N489&lt;$B489,DATE($B$1,12,1)&lt;=TODAY(),OR($O489="",$O489&gt;=DATE($B$1,12,1)),OR(COUNTIF($C489:N489,"&gt;0")&gt;0,DATE($B$1,12,1)=DATE(YEAR(TODAY()),MONTH(TODAY()),1))),1,0))</f>
        <v/>
      </c>
    </row>
    <row r="490">
      <c r="A490" s="13">
        <f>IF(원생!$A488="","",원생!$A488&amp;IF(원생!$G488="",""," ("&amp;원생!$G488&amp;")"))</f>
        <v/>
      </c>
      <c r="B490" s="8">
        <f>IF(원생!$A488="","",N(원생!$F488))</f>
        <v/>
      </c>
      <c r="C490" s="14">
        <f>IF(원생!$A488="","",SUMIFS(계산!$C:$C,계산!$A:$A,계산!$E488,계산!$B:$B,$B$1*100+1))</f>
        <v/>
      </c>
      <c r="D490" s="14">
        <f>IF(원생!$A488="","",SUMIFS(계산!$C:$C,계산!$A:$A,계산!$E488,계산!$B:$B,$B$1*100+2))</f>
        <v/>
      </c>
      <c r="E490" s="14">
        <f>IF(원생!$A488="","",SUMIFS(계산!$C:$C,계산!$A:$A,계산!$E488,계산!$B:$B,$B$1*100+3))</f>
        <v/>
      </c>
      <c r="F490" s="14">
        <f>IF(원생!$A488="","",SUMIFS(계산!$C:$C,계산!$A:$A,계산!$E488,계산!$B:$B,$B$1*100+4))</f>
        <v/>
      </c>
      <c r="G490" s="14">
        <f>IF(원생!$A488="","",SUMIFS(계산!$C:$C,계산!$A:$A,계산!$E488,계산!$B:$B,$B$1*100+5))</f>
        <v/>
      </c>
      <c r="H490" s="14">
        <f>IF(원생!$A488="","",SUMIFS(계산!$C:$C,계산!$A:$A,계산!$E488,계산!$B:$B,$B$1*100+6))</f>
        <v/>
      </c>
      <c r="I490" s="14">
        <f>IF(원생!$A488="","",SUMIFS(계산!$C:$C,계산!$A:$A,계산!$E488,계산!$B:$B,$B$1*100+7))</f>
        <v/>
      </c>
      <c r="J490" s="14">
        <f>IF(원생!$A488="","",SUMIFS(계산!$C:$C,계산!$A:$A,계산!$E488,계산!$B:$B,$B$1*100+8))</f>
        <v/>
      </c>
      <c r="K490" s="14">
        <f>IF(원생!$A488="","",SUMIFS(계산!$C:$C,계산!$A:$A,계산!$E488,계산!$B:$B,$B$1*100+9))</f>
        <v/>
      </c>
      <c r="L490" s="14">
        <f>IF(원생!$A488="","",SUMIFS(계산!$C:$C,계산!$A:$A,계산!$E488,계산!$B:$B,$B$1*100+10))</f>
        <v/>
      </c>
      <c r="M490" s="14">
        <f>IF(원생!$A488="","",SUMIFS(계산!$C:$C,계산!$A:$A,계산!$E488,계산!$B:$B,$B$1*100+11))</f>
        <v/>
      </c>
      <c r="N490" s="14">
        <f>IF(원생!$A488="","",SUMIFS(계산!$C:$C,계산!$A:$A,계산!$E488,계산!$B:$B,$B$1*100+12))</f>
        <v/>
      </c>
      <c r="O490">
        <f>IF(원생!$I488="","",원생!$I488)</f>
        <v/>
      </c>
      <c r="P490">
        <f>IF($A490="","",IF(AND($B490&gt;0,C490&lt;$B490,DATE($B$1,1,1)&lt;=TODAY(),OR($O490="",$O490&gt;=DATE($B$1,1,1)),OR(COUNTIF($C490:C490,"&gt;0")&gt;0,DATE($B$1,1,1)=DATE(YEAR(TODAY()),MONTH(TODAY()),1))),1,0))</f>
        <v/>
      </c>
      <c r="Q490">
        <f>IF($A490="","",IF(AND($B490&gt;0,D490&lt;$B490,DATE($B$1,2,1)&lt;=TODAY(),OR($O490="",$O490&gt;=DATE($B$1,2,1)),OR(COUNTIF($C490:D490,"&gt;0")&gt;0,DATE($B$1,2,1)=DATE(YEAR(TODAY()),MONTH(TODAY()),1))),1,0))</f>
        <v/>
      </c>
      <c r="R490">
        <f>IF($A490="","",IF(AND($B490&gt;0,E490&lt;$B490,DATE($B$1,3,1)&lt;=TODAY(),OR($O490="",$O490&gt;=DATE($B$1,3,1)),OR(COUNTIF($C490:E490,"&gt;0")&gt;0,DATE($B$1,3,1)=DATE(YEAR(TODAY()),MONTH(TODAY()),1))),1,0))</f>
        <v/>
      </c>
      <c r="S490">
        <f>IF($A490="","",IF(AND($B490&gt;0,F490&lt;$B490,DATE($B$1,4,1)&lt;=TODAY(),OR($O490="",$O490&gt;=DATE($B$1,4,1)),OR(COUNTIF($C490:F490,"&gt;0")&gt;0,DATE($B$1,4,1)=DATE(YEAR(TODAY()),MONTH(TODAY()),1))),1,0))</f>
        <v/>
      </c>
      <c r="T490">
        <f>IF($A490="","",IF(AND($B490&gt;0,G490&lt;$B490,DATE($B$1,5,1)&lt;=TODAY(),OR($O490="",$O490&gt;=DATE($B$1,5,1)),OR(COUNTIF($C490:G490,"&gt;0")&gt;0,DATE($B$1,5,1)=DATE(YEAR(TODAY()),MONTH(TODAY()),1))),1,0))</f>
        <v/>
      </c>
      <c r="U490">
        <f>IF($A490="","",IF(AND($B490&gt;0,H490&lt;$B490,DATE($B$1,6,1)&lt;=TODAY(),OR($O490="",$O490&gt;=DATE($B$1,6,1)),OR(COUNTIF($C490:H490,"&gt;0")&gt;0,DATE($B$1,6,1)=DATE(YEAR(TODAY()),MONTH(TODAY()),1))),1,0))</f>
        <v/>
      </c>
      <c r="V490">
        <f>IF($A490="","",IF(AND($B490&gt;0,I490&lt;$B490,DATE($B$1,7,1)&lt;=TODAY(),OR($O490="",$O490&gt;=DATE($B$1,7,1)),OR(COUNTIF($C490:I490,"&gt;0")&gt;0,DATE($B$1,7,1)=DATE(YEAR(TODAY()),MONTH(TODAY()),1))),1,0))</f>
        <v/>
      </c>
      <c r="W490">
        <f>IF($A490="","",IF(AND($B490&gt;0,J490&lt;$B490,DATE($B$1,8,1)&lt;=TODAY(),OR($O490="",$O490&gt;=DATE($B$1,8,1)),OR(COUNTIF($C490:J490,"&gt;0")&gt;0,DATE($B$1,8,1)=DATE(YEAR(TODAY()),MONTH(TODAY()),1))),1,0))</f>
        <v/>
      </c>
      <c r="X490">
        <f>IF($A490="","",IF(AND($B490&gt;0,K490&lt;$B490,DATE($B$1,9,1)&lt;=TODAY(),OR($O490="",$O490&gt;=DATE($B$1,9,1)),OR(COUNTIF($C490:K490,"&gt;0")&gt;0,DATE($B$1,9,1)=DATE(YEAR(TODAY()),MONTH(TODAY()),1))),1,0))</f>
        <v/>
      </c>
      <c r="Y490">
        <f>IF($A490="","",IF(AND($B490&gt;0,L490&lt;$B490,DATE($B$1,10,1)&lt;=TODAY(),OR($O490="",$O490&gt;=DATE($B$1,10,1)),OR(COUNTIF($C490:L490,"&gt;0")&gt;0,DATE($B$1,10,1)=DATE(YEAR(TODAY()),MONTH(TODAY()),1))),1,0))</f>
        <v/>
      </c>
      <c r="Z490">
        <f>IF($A490="","",IF(AND($B490&gt;0,M490&lt;$B490,DATE($B$1,11,1)&lt;=TODAY(),OR($O490="",$O490&gt;=DATE($B$1,11,1)),OR(COUNTIF($C490:M490,"&gt;0")&gt;0,DATE($B$1,11,1)=DATE(YEAR(TODAY()),MONTH(TODAY()),1))),1,0))</f>
        <v/>
      </c>
      <c r="AA490">
        <f>IF($A490="","",IF(AND($B490&gt;0,N490&lt;$B490,DATE($B$1,12,1)&lt;=TODAY(),OR($O490="",$O490&gt;=DATE($B$1,12,1)),OR(COUNTIF($C490:N490,"&gt;0")&gt;0,DATE($B$1,12,1)=DATE(YEAR(TODAY()),MONTH(TODAY()),1))),1,0))</f>
        <v/>
      </c>
    </row>
    <row r="491">
      <c r="A491" s="13">
        <f>IF(원생!$A489="","",원생!$A489&amp;IF(원생!$G489="",""," ("&amp;원생!$G489&amp;")"))</f>
        <v/>
      </c>
      <c r="B491" s="8">
        <f>IF(원생!$A489="","",N(원생!$F489))</f>
        <v/>
      </c>
      <c r="C491" s="14">
        <f>IF(원생!$A489="","",SUMIFS(계산!$C:$C,계산!$A:$A,계산!$E489,계산!$B:$B,$B$1*100+1))</f>
        <v/>
      </c>
      <c r="D491" s="14">
        <f>IF(원생!$A489="","",SUMIFS(계산!$C:$C,계산!$A:$A,계산!$E489,계산!$B:$B,$B$1*100+2))</f>
        <v/>
      </c>
      <c r="E491" s="14">
        <f>IF(원생!$A489="","",SUMIFS(계산!$C:$C,계산!$A:$A,계산!$E489,계산!$B:$B,$B$1*100+3))</f>
        <v/>
      </c>
      <c r="F491" s="14">
        <f>IF(원생!$A489="","",SUMIFS(계산!$C:$C,계산!$A:$A,계산!$E489,계산!$B:$B,$B$1*100+4))</f>
        <v/>
      </c>
      <c r="G491" s="14">
        <f>IF(원생!$A489="","",SUMIFS(계산!$C:$C,계산!$A:$A,계산!$E489,계산!$B:$B,$B$1*100+5))</f>
        <v/>
      </c>
      <c r="H491" s="14">
        <f>IF(원생!$A489="","",SUMIFS(계산!$C:$C,계산!$A:$A,계산!$E489,계산!$B:$B,$B$1*100+6))</f>
        <v/>
      </c>
      <c r="I491" s="14">
        <f>IF(원생!$A489="","",SUMIFS(계산!$C:$C,계산!$A:$A,계산!$E489,계산!$B:$B,$B$1*100+7))</f>
        <v/>
      </c>
      <c r="J491" s="14">
        <f>IF(원생!$A489="","",SUMIFS(계산!$C:$C,계산!$A:$A,계산!$E489,계산!$B:$B,$B$1*100+8))</f>
        <v/>
      </c>
      <c r="K491" s="14">
        <f>IF(원생!$A489="","",SUMIFS(계산!$C:$C,계산!$A:$A,계산!$E489,계산!$B:$B,$B$1*100+9))</f>
        <v/>
      </c>
      <c r="L491" s="14">
        <f>IF(원생!$A489="","",SUMIFS(계산!$C:$C,계산!$A:$A,계산!$E489,계산!$B:$B,$B$1*100+10))</f>
        <v/>
      </c>
      <c r="M491" s="14">
        <f>IF(원생!$A489="","",SUMIFS(계산!$C:$C,계산!$A:$A,계산!$E489,계산!$B:$B,$B$1*100+11))</f>
        <v/>
      </c>
      <c r="N491" s="14">
        <f>IF(원생!$A489="","",SUMIFS(계산!$C:$C,계산!$A:$A,계산!$E489,계산!$B:$B,$B$1*100+12))</f>
        <v/>
      </c>
      <c r="O491">
        <f>IF(원생!$I489="","",원생!$I489)</f>
        <v/>
      </c>
      <c r="P491">
        <f>IF($A491="","",IF(AND($B491&gt;0,C491&lt;$B491,DATE($B$1,1,1)&lt;=TODAY(),OR($O491="",$O491&gt;=DATE($B$1,1,1)),OR(COUNTIF($C491:C491,"&gt;0")&gt;0,DATE($B$1,1,1)=DATE(YEAR(TODAY()),MONTH(TODAY()),1))),1,0))</f>
        <v/>
      </c>
      <c r="Q491">
        <f>IF($A491="","",IF(AND($B491&gt;0,D491&lt;$B491,DATE($B$1,2,1)&lt;=TODAY(),OR($O491="",$O491&gt;=DATE($B$1,2,1)),OR(COUNTIF($C491:D491,"&gt;0")&gt;0,DATE($B$1,2,1)=DATE(YEAR(TODAY()),MONTH(TODAY()),1))),1,0))</f>
        <v/>
      </c>
      <c r="R491">
        <f>IF($A491="","",IF(AND($B491&gt;0,E491&lt;$B491,DATE($B$1,3,1)&lt;=TODAY(),OR($O491="",$O491&gt;=DATE($B$1,3,1)),OR(COUNTIF($C491:E491,"&gt;0")&gt;0,DATE($B$1,3,1)=DATE(YEAR(TODAY()),MONTH(TODAY()),1))),1,0))</f>
        <v/>
      </c>
      <c r="S491">
        <f>IF($A491="","",IF(AND($B491&gt;0,F491&lt;$B491,DATE($B$1,4,1)&lt;=TODAY(),OR($O491="",$O491&gt;=DATE($B$1,4,1)),OR(COUNTIF($C491:F491,"&gt;0")&gt;0,DATE($B$1,4,1)=DATE(YEAR(TODAY()),MONTH(TODAY()),1))),1,0))</f>
        <v/>
      </c>
      <c r="T491">
        <f>IF($A491="","",IF(AND($B491&gt;0,G491&lt;$B491,DATE($B$1,5,1)&lt;=TODAY(),OR($O491="",$O491&gt;=DATE($B$1,5,1)),OR(COUNTIF($C491:G491,"&gt;0")&gt;0,DATE($B$1,5,1)=DATE(YEAR(TODAY()),MONTH(TODAY()),1))),1,0))</f>
        <v/>
      </c>
      <c r="U491">
        <f>IF($A491="","",IF(AND($B491&gt;0,H491&lt;$B491,DATE($B$1,6,1)&lt;=TODAY(),OR($O491="",$O491&gt;=DATE($B$1,6,1)),OR(COUNTIF($C491:H491,"&gt;0")&gt;0,DATE($B$1,6,1)=DATE(YEAR(TODAY()),MONTH(TODAY()),1))),1,0))</f>
        <v/>
      </c>
      <c r="V491">
        <f>IF($A491="","",IF(AND($B491&gt;0,I491&lt;$B491,DATE($B$1,7,1)&lt;=TODAY(),OR($O491="",$O491&gt;=DATE($B$1,7,1)),OR(COUNTIF($C491:I491,"&gt;0")&gt;0,DATE($B$1,7,1)=DATE(YEAR(TODAY()),MONTH(TODAY()),1))),1,0))</f>
        <v/>
      </c>
      <c r="W491">
        <f>IF($A491="","",IF(AND($B491&gt;0,J491&lt;$B491,DATE($B$1,8,1)&lt;=TODAY(),OR($O491="",$O491&gt;=DATE($B$1,8,1)),OR(COUNTIF($C491:J491,"&gt;0")&gt;0,DATE($B$1,8,1)=DATE(YEAR(TODAY()),MONTH(TODAY()),1))),1,0))</f>
        <v/>
      </c>
      <c r="X491">
        <f>IF($A491="","",IF(AND($B491&gt;0,K491&lt;$B491,DATE($B$1,9,1)&lt;=TODAY(),OR($O491="",$O491&gt;=DATE($B$1,9,1)),OR(COUNTIF($C491:K491,"&gt;0")&gt;0,DATE($B$1,9,1)=DATE(YEAR(TODAY()),MONTH(TODAY()),1))),1,0))</f>
        <v/>
      </c>
      <c r="Y491">
        <f>IF($A491="","",IF(AND($B491&gt;0,L491&lt;$B491,DATE($B$1,10,1)&lt;=TODAY(),OR($O491="",$O491&gt;=DATE($B$1,10,1)),OR(COUNTIF($C491:L491,"&gt;0")&gt;0,DATE($B$1,10,1)=DATE(YEAR(TODAY()),MONTH(TODAY()),1))),1,0))</f>
        <v/>
      </c>
      <c r="Z491">
        <f>IF($A491="","",IF(AND($B491&gt;0,M491&lt;$B491,DATE($B$1,11,1)&lt;=TODAY(),OR($O491="",$O491&gt;=DATE($B$1,11,1)),OR(COUNTIF($C491:M491,"&gt;0")&gt;0,DATE($B$1,11,1)=DATE(YEAR(TODAY()),MONTH(TODAY()),1))),1,0))</f>
        <v/>
      </c>
      <c r="AA491">
        <f>IF($A491="","",IF(AND($B491&gt;0,N491&lt;$B491,DATE($B$1,12,1)&lt;=TODAY(),OR($O491="",$O491&gt;=DATE($B$1,12,1)),OR(COUNTIF($C491:N491,"&gt;0")&gt;0,DATE($B$1,12,1)=DATE(YEAR(TODAY()),MONTH(TODAY()),1))),1,0))</f>
        <v/>
      </c>
    </row>
    <row r="492">
      <c r="A492" s="13">
        <f>IF(원생!$A490="","",원생!$A490&amp;IF(원생!$G490="",""," ("&amp;원생!$G490&amp;")"))</f>
        <v/>
      </c>
      <c r="B492" s="8">
        <f>IF(원생!$A490="","",N(원생!$F490))</f>
        <v/>
      </c>
      <c r="C492" s="14">
        <f>IF(원생!$A490="","",SUMIFS(계산!$C:$C,계산!$A:$A,계산!$E490,계산!$B:$B,$B$1*100+1))</f>
        <v/>
      </c>
      <c r="D492" s="14">
        <f>IF(원생!$A490="","",SUMIFS(계산!$C:$C,계산!$A:$A,계산!$E490,계산!$B:$B,$B$1*100+2))</f>
        <v/>
      </c>
      <c r="E492" s="14">
        <f>IF(원생!$A490="","",SUMIFS(계산!$C:$C,계산!$A:$A,계산!$E490,계산!$B:$B,$B$1*100+3))</f>
        <v/>
      </c>
      <c r="F492" s="14">
        <f>IF(원생!$A490="","",SUMIFS(계산!$C:$C,계산!$A:$A,계산!$E490,계산!$B:$B,$B$1*100+4))</f>
        <v/>
      </c>
      <c r="G492" s="14">
        <f>IF(원생!$A490="","",SUMIFS(계산!$C:$C,계산!$A:$A,계산!$E490,계산!$B:$B,$B$1*100+5))</f>
        <v/>
      </c>
      <c r="H492" s="14">
        <f>IF(원생!$A490="","",SUMIFS(계산!$C:$C,계산!$A:$A,계산!$E490,계산!$B:$B,$B$1*100+6))</f>
        <v/>
      </c>
      <c r="I492" s="14">
        <f>IF(원생!$A490="","",SUMIFS(계산!$C:$C,계산!$A:$A,계산!$E490,계산!$B:$B,$B$1*100+7))</f>
        <v/>
      </c>
      <c r="J492" s="14">
        <f>IF(원생!$A490="","",SUMIFS(계산!$C:$C,계산!$A:$A,계산!$E490,계산!$B:$B,$B$1*100+8))</f>
        <v/>
      </c>
      <c r="K492" s="14">
        <f>IF(원생!$A490="","",SUMIFS(계산!$C:$C,계산!$A:$A,계산!$E490,계산!$B:$B,$B$1*100+9))</f>
        <v/>
      </c>
      <c r="L492" s="14">
        <f>IF(원생!$A490="","",SUMIFS(계산!$C:$C,계산!$A:$A,계산!$E490,계산!$B:$B,$B$1*100+10))</f>
        <v/>
      </c>
      <c r="M492" s="14">
        <f>IF(원생!$A490="","",SUMIFS(계산!$C:$C,계산!$A:$A,계산!$E490,계산!$B:$B,$B$1*100+11))</f>
        <v/>
      </c>
      <c r="N492" s="14">
        <f>IF(원생!$A490="","",SUMIFS(계산!$C:$C,계산!$A:$A,계산!$E490,계산!$B:$B,$B$1*100+12))</f>
        <v/>
      </c>
      <c r="O492">
        <f>IF(원생!$I490="","",원생!$I490)</f>
        <v/>
      </c>
      <c r="P492">
        <f>IF($A492="","",IF(AND($B492&gt;0,C492&lt;$B492,DATE($B$1,1,1)&lt;=TODAY(),OR($O492="",$O492&gt;=DATE($B$1,1,1)),OR(COUNTIF($C492:C492,"&gt;0")&gt;0,DATE($B$1,1,1)=DATE(YEAR(TODAY()),MONTH(TODAY()),1))),1,0))</f>
        <v/>
      </c>
      <c r="Q492">
        <f>IF($A492="","",IF(AND($B492&gt;0,D492&lt;$B492,DATE($B$1,2,1)&lt;=TODAY(),OR($O492="",$O492&gt;=DATE($B$1,2,1)),OR(COUNTIF($C492:D492,"&gt;0")&gt;0,DATE($B$1,2,1)=DATE(YEAR(TODAY()),MONTH(TODAY()),1))),1,0))</f>
        <v/>
      </c>
      <c r="R492">
        <f>IF($A492="","",IF(AND($B492&gt;0,E492&lt;$B492,DATE($B$1,3,1)&lt;=TODAY(),OR($O492="",$O492&gt;=DATE($B$1,3,1)),OR(COUNTIF($C492:E492,"&gt;0")&gt;0,DATE($B$1,3,1)=DATE(YEAR(TODAY()),MONTH(TODAY()),1))),1,0))</f>
        <v/>
      </c>
      <c r="S492">
        <f>IF($A492="","",IF(AND($B492&gt;0,F492&lt;$B492,DATE($B$1,4,1)&lt;=TODAY(),OR($O492="",$O492&gt;=DATE($B$1,4,1)),OR(COUNTIF($C492:F492,"&gt;0")&gt;0,DATE($B$1,4,1)=DATE(YEAR(TODAY()),MONTH(TODAY()),1))),1,0))</f>
        <v/>
      </c>
      <c r="T492">
        <f>IF($A492="","",IF(AND($B492&gt;0,G492&lt;$B492,DATE($B$1,5,1)&lt;=TODAY(),OR($O492="",$O492&gt;=DATE($B$1,5,1)),OR(COUNTIF($C492:G492,"&gt;0")&gt;0,DATE($B$1,5,1)=DATE(YEAR(TODAY()),MONTH(TODAY()),1))),1,0))</f>
        <v/>
      </c>
      <c r="U492">
        <f>IF($A492="","",IF(AND($B492&gt;0,H492&lt;$B492,DATE($B$1,6,1)&lt;=TODAY(),OR($O492="",$O492&gt;=DATE($B$1,6,1)),OR(COUNTIF($C492:H492,"&gt;0")&gt;0,DATE($B$1,6,1)=DATE(YEAR(TODAY()),MONTH(TODAY()),1))),1,0))</f>
        <v/>
      </c>
      <c r="V492">
        <f>IF($A492="","",IF(AND($B492&gt;0,I492&lt;$B492,DATE($B$1,7,1)&lt;=TODAY(),OR($O492="",$O492&gt;=DATE($B$1,7,1)),OR(COUNTIF($C492:I492,"&gt;0")&gt;0,DATE($B$1,7,1)=DATE(YEAR(TODAY()),MONTH(TODAY()),1))),1,0))</f>
        <v/>
      </c>
      <c r="W492">
        <f>IF($A492="","",IF(AND($B492&gt;0,J492&lt;$B492,DATE($B$1,8,1)&lt;=TODAY(),OR($O492="",$O492&gt;=DATE($B$1,8,1)),OR(COUNTIF($C492:J492,"&gt;0")&gt;0,DATE($B$1,8,1)=DATE(YEAR(TODAY()),MONTH(TODAY()),1))),1,0))</f>
        <v/>
      </c>
      <c r="X492">
        <f>IF($A492="","",IF(AND($B492&gt;0,K492&lt;$B492,DATE($B$1,9,1)&lt;=TODAY(),OR($O492="",$O492&gt;=DATE($B$1,9,1)),OR(COUNTIF($C492:K492,"&gt;0")&gt;0,DATE($B$1,9,1)=DATE(YEAR(TODAY()),MONTH(TODAY()),1))),1,0))</f>
        <v/>
      </c>
      <c r="Y492">
        <f>IF($A492="","",IF(AND($B492&gt;0,L492&lt;$B492,DATE($B$1,10,1)&lt;=TODAY(),OR($O492="",$O492&gt;=DATE($B$1,10,1)),OR(COUNTIF($C492:L492,"&gt;0")&gt;0,DATE($B$1,10,1)=DATE(YEAR(TODAY()),MONTH(TODAY()),1))),1,0))</f>
        <v/>
      </c>
      <c r="Z492">
        <f>IF($A492="","",IF(AND($B492&gt;0,M492&lt;$B492,DATE($B$1,11,1)&lt;=TODAY(),OR($O492="",$O492&gt;=DATE($B$1,11,1)),OR(COUNTIF($C492:M492,"&gt;0")&gt;0,DATE($B$1,11,1)=DATE(YEAR(TODAY()),MONTH(TODAY()),1))),1,0))</f>
        <v/>
      </c>
      <c r="AA492">
        <f>IF($A492="","",IF(AND($B492&gt;0,N492&lt;$B492,DATE($B$1,12,1)&lt;=TODAY(),OR($O492="",$O492&gt;=DATE($B$1,12,1)),OR(COUNTIF($C492:N492,"&gt;0")&gt;0,DATE($B$1,12,1)=DATE(YEAR(TODAY()),MONTH(TODAY()),1))),1,0))</f>
        <v/>
      </c>
    </row>
    <row r="493">
      <c r="A493" s="13">
        <f>IF(원생!$A491="","",원생!$A491&amp;IF(원생!$G491="",""," ("&amp;원생!$G491&amp;")"))</f>
        <v/>
      </c>
      <c r="B493" s="8">
        <f>IF(원생!$A491="","",N(원생!$F491))</f>
        <v/>
      </c>
      <c r="C493" s="14">
        <f>IF(원생!$A491="","",SUMIFS(계산!$C:$C,계산!$A:$A,계산!$E491,계산!$B:$B,$B$1*100+1))</f>
        <v/>
      </c>
      <c r="D493" s="14">
        <f>IF(원생!$A491="","",SUMIFS(계산!$C:$C,계산!$A:$A,계산!$E491,계산!$B:$B,$B$1*100+2))</f>
        <v/>
      </c>
      <c r="E493" s="14">
        <f>IF(원생!$A491="","",SUMIFS(계산!$C:$C,계산!$A:$A,계산!$E491,계산!$B:$B,$B$1*100+3))</f>
        <v/>
      </c>
      <c r="F493" s="14">
        <f>IF(원생!$A491="","",SUMIFS(계산!$C:$C,계산!$A:$A,계산!$E491,계산!$B:$B,$B$1*100+4))</f>
        <v/>
      </c>
      <c r="G493" s="14">
        <f>IF(원생!$A491="","",SUMIFS(계산!$C:$C,계산!$A:$A,계산!$E491,계산!$B:$B,$B$1*100+5))</f>
        <v/>
      </c>
      <c r="H493" s="14">
        <f>IF(원생!$A491="","",SUMIFS(계산!$C:$C,계산!$A:$A,계산!$E491,계산!$B:$B,$B$1*100+6))</f>
        <v/>
      </c>
      <c r="I493" s="14">
        <f>IF(원생!$A491="","",SUMIFS(계산!$C:$C,계산!$A:$A,계산!$E491,계산!$B:$B,$B$1*100+7))</f>
        <v/>
      </c>
      <c r="J493" s="14">
        <f>IF(원생!$A491="","",SUMIFS(계산!$C:$C,계산!$A:$A,계산!$E491,계산!$B:$B,$B$1*100+8))</f>
        <v/>
      </c>
      <c r="K493" s="14">
        <f>IF(원생!$A491="","",SUMIFS(계산!$C:$C,계산!$A:$A,계산!$E491,계산!$B:$B,$B$1*100+9))</f>
        <v/>
      </c>
      <c r="L493" s="14">
        <f>IF(원생!$A491="","",SUMIFS(계산!$C:$C,계산!$A:$A,계산!$E491,계산!$B:$B,$B$1*100+10))</f>
        <v/>
      </c>
      <c r="M493" s="14">
        <f>IF(원생!$A491="","",SUMIFS(계산!$C:$C,계산!$A:$A,계산!$E491,계산!$B:$B,$B$1*100+11))</f>
        <v/>
      </c>
      <c r="N493" s="14">
        <f>IF(원생!$A491="","",SUMIFS(계산!$C:$C,계산!$A:$A,계산!$E491,계산!$B:$B,$B$1*100+12))</f>
        <v/>
      </c>
      <c r="O493">
        <f>IF(원생!$I491="","",원생!$I491)</f>
        <v/>
      </c>
      <c r="P493">
        <f>IF($A493="","",IF(AND($B493&gt;0,C493&lt;$B493,DATE($B$1,1,1)&lt;=TODAY(),OR($O493="",$O493&gt;=DATE($B$1,1,1)),OR(COUNTIF($C493:C493,"&gt;0")&gt;0,DATE($B$1,1,1)=DATE(YEAR(TODAY()),MONTH(TODAY()),1))),1,0))</f>
        <v/>
      </c>
      <c r="Q493">
        <f>IF($A493="","",IF(AND($B493&gt;0,D493&lt;$B493,DATE($B$1,2,1)&lt;=TODAY(),OR($O493="",$O493&gt;=DATE($B$1,2,1)),OR(COUNTIF($C493:D493,"&gt;0")&gt;0,DATE($B$1,2,1)=DATE(YEAR(TODAY()),MONTH(TODAY()),1))),1,0))</f>
        <v/>
      </c>
      <c r="R493">
        <f>IF($A493="","",IF(AND($B493&gt;0,E493&lt;$B493,DATE($B$1,3,1)&lt;=TODAY(),OR($O493="",$O493&gt;=DATE($B$1,3,1)),OR(COUNTIF($C493:E493,"&gt;0")&gt;0,DATE($B$1,3,1)=DATE(YEAR(TODAY()),MONTH(TODAY()),1))),1,0))</f>
        <v/>
      </c>
      <c r="S493">
        <f>IF($A493="","",IF(AND($B493&gt;0,F493&lt;$B493,DATE($B$1,4,1)&lt;=TODAY(),OR($O493="",$O493&gt;=DATE($B$1,4,1)),OR(COUNTIF($C493:F493,"&gt;0")&gt;0,DATE($B$1,4,1)=DATE(YEAR(TODAY()),MONTH(TODAY()),1))),1,0))</f>
        <v/>
      </c>
      <c r="T493">
        <f>IF($A493="","",IF(AND($B493&gt;0,G493&lt;$B493,DATE($B$1,5,1)&lt;=TODAY(),OR($O493="",$O493&gt;=DATE($B$1,5,1)),OR(COUNTIF($C493:G493,"&gt;0")&gt;0,DATE($B$1,5,1)=DATE(YEAR(TODAY()),MONTH(TODAY()),1))),1,0))</f>
        <v/>
      </c>
      <c r="U493">
        <f>IF($A493="","",IF(AND($B493&gt;0,H493&lt;$B493,DATE($B$1,6,1)&lt;=TODAY(),OR($O493="",$O493&gt;=DATE($B$1,6,1)),OR(COUNTIF($C493:H493,"&gt;0")&gt;0,DATE($B$1,6,1)=DATE(YEAR(TODAY()),MONTH(TODAY()),1))),1,0))</f>
        <v/>
      </c>
      <c r="V493">
        <f>IF($A493="","",IF(AND($B493&gt;0,I493&lt;$B493,DATE($B$1,7,1)&lt;=TODAY(),OR($O493="",$O493&gt;=DATE($B$1,7,1)),OR(COUNTIF($C493:I493,"&gt;0")&gt;0,DATE($B$1,7,1)=DATE(YEAR(TODAY()),MONTH(TODAY()),1))),1,0))</f>
        <v/>
      </c>
      <c r="W493">
        <f>IF($A493="","",IF(AND($B493&gt;0,J493&lt;$B493,DATE($B$1,8,1)&lt;=TODAY(),OR($O493="",$O493&gt;=DATE($B$1,8,1)),OR(COUNTIF($C493:J493,"&gt;0")&gt;0,DATE($B$1,8,1)=DATE(YEAR(TODAY()),MONTH(TODAY()),1))),1,0))</f>
        <v/>
      </c>
      <c r="X493">
        <f>IF($A493="","",IF(AND($B493&gt;0,K493&lt;$B493,DATE($B$1,9,1)&lt;=TODAY(),OR($O493="",$O493&gt;=DATE($B$1,9,1)),OR(COUNTIF($C493:K493,"&gt;0")&gt;0,DATE($B$1,9,1)=DATE(YEAR(TODAY()),MONTH(TODAY()),1))),1,0))</f>
        <v/>
      </c>
      <c r="Y493">
        <f>IF($A493="","",IF(AND($B493&gt;0,L493&lt;$B493,DATE($B$1,10,1)&lt;=TODAY(),OR($O493="",$O493&gt;=DATE($B$1,10,1)),OR(COUNTIF($C493:L493,"&gt;0")&gt;0,DATE($B$1,10,1)=DATE(YEAR(TODAY()),MONTH(TODAY()),1))),1,0))</f>
        <v/>
      </c>
      <c r="Z493">
        <f>IF($A493="","",IF(AND($B493&gt;0,M493&lt;$B493,DATE($B$1,11,1)&lt;=TODAY(),OR($O493="",$O493&gt;=DATE($B$1,11,1)),OR(COUNTIF($C493:M493,"&gt;0")&gt;0,DATE($B$1,11,1)=DATE(YEAR(TODAY()),MONTH(TODAY()),1))),1,0))</f>
        <v/>
      </c>
      <c r="AA493">
        <f>IF($A493="","",IF(AND($B493&gt;0,N493&lt;$B493,DATE($B$1,12,1)&lt;=TODAY(),OR($O493="",$O493&gt;=DATE($B$1,12,1)),OR(COUNTIF($C493:N493,"&gt;0")&gt;0,DATE($B$1,12,1)=DATE(YEAR(TODAY()),MONTH(TODAY()),1))),1,0))</f>
        <v/>
      </c>
    </row>
    <row r="494">
      <c r="A494" s="13">
        <f>IF(원생!$A492="","",원생!$A492&amp;IF(원생!$G492="",""," ("&amp;원생!$G492&amp;")"))</f>
        <v/>
      </c>
      <c r="B494" s="8">
        <f>IF(원생!$A492="","",N(원생!$F492))</f>
        <v/>
      </c>
      <c r="C494" s="14">
        <f>IF(원생!$A492="","",SUMIFS(계산!$C:$C,계산!$A:$A,계산!$E492,계산!$B:$B,$B$1*100+1))</f>
        <v/>
      </c>
      <c r="D494" s="14">
        <f>IF(원생!$A492="","",SUMIFS(계산!$C:$C,계산!$A:$A,계산!$E492,계산!$B:$B,$B$1*100+2))</f>
        <v/>
      </c>
      <c r="E494" s="14">
        <f>IF(원생!$A492="","",SUMIFS(계산!$C:$C,계산!$A:$A,계산!$E492,계산!$B:$B,$B$1*100+3))</f>
        <v/>
      </c>
      <c r="F494" s="14">
        <f>IF(원생!$A492="","",SUMIFS(계산!$C:$C,계산!$A:$A,계산!$E492,계산!$B:$B,$B$1*100+4))</f>
        <v/>
      </c>
      <c r="G494" s="14">
        <f>IF(원생!$A492="","",SUMIFS(계산!$C:$C,계산!$A:$A,계산!$E492,계산!$B:$B,$B$1*100+5))</f>
        <v/>
      </c>
      <c r="H494" s="14">
        <f>IF(원생!$A492="","",SUMIFS(계산!$C:$C,계산!$A:$A,계산!$E492,계산!$B:$B,$B$1*100+6))</f>
        <v/>
      </c>
      <c r="I494" s="14">
        <f>IF(원생!$A492="","",SUMIFS(계산!$C:$C,계산!$A:$A,계산!$E492,계산!$B:$B,$B$1*100+7))</f>
        <v/>
      </c>
      <c r="J494" s="14">
        <f>IF(원생!$A492="","",SUMIFS(계산!$C:$C,계산!$A:$A,계산!$E492,계산!$B:$B,$B$1*100+8))</f>
        <v/>
      </c>
      <c r="K494" s="14">
        <f>IF(원생!$A492="","",SUMIFS(계산!$C:$C,계산!$A:$A,계산!$E492,계산!$B:$B,$B$1*100+9))</f>
        <v/>
      </c>
      <c r="L494" s="14">
        <f>IF(원생!$A492="","",SUMIFS(계산!$C:$C,계산!$A:$A,계산!$E492,계산!$B:$B,$B$1*100+10))</f>
        <v/>
      </c>
      <c r="M494" s="14">
        <f>IF(원생!$A492="","",SUMIFS(계산!$C:$C,계산!$A:$A,계산!$E492,계산!$B:$B,$B$1*100+11))</f>
        <v/>
      </c>
      <c r="N494" s="14">
        <f>IF(원생!$A492="","",SUMIFS(계산!$C:$C,계산!$A:$A,계산!$E492,계산!$B:$B,$B$1*100+12))</f>
        <v/>
      </c>
      <c r="O494">
        <f>IF(원생!$I492="","",원생!$I492)</f>
        <v/>
      </c>
      <c r="P494">
        <f>IF($A494="","",IF(AND($B494&gt;0,C494&lt;$B494,DATE($B$1,1,1)&lt;=TODAY(),OR($O494="",$O494&gt;=DATE($B$1,1,1)),OR(COUNTIF($C494:C494,"&gt;0")&gt;0,DATE($B$1,1,1)=DATE(YEAR(TODAY()),MONTH(TODAY()),1))),1,0))</f>
        <v/>
      </c>
      <c r="Q494">
        <f>IF($A494="","",IF(AND($B494&gt;0,D494&lt;$B494,DATE($B$1,2,1)&lt;=TODAY(),OR($O494="",$O494&gt;=DATE($B$1,2,1)),OR(COUNTIF($C494:D494,"&gt;0")&gt;0,DATE($B$1,2,1)=DATE(YEAR(TODAY()),MONTH(TODAY()),1))),1,0))</f>
        <v/>
      </c>
      <c r="R494">
        <f>IF($A494="","",IF(AND($B494&gt;0,E494&lt;$B494,DATE($B$1,3,1)&lt;=TODAY(),OR($O494="",$O494&gt;=DATE($B$1,3,1)),OR(COUNTIF($C494:E494,"&gt;0")&gt;0,DATE($B$1,3,1)=DATE(YEAR(TODAY()),MONTH(TODAY()),1))),1,0))</f>
        <v/>
      </c>
      <c r="S494">
        <f>IF($A494="","",IF(AND($B494&gt;0,F494&lt;$B494,DATE($B$1,4,1)&lt;=TODAY(),OR($O494="",$O494&gt;=DATE($B$1,4,1)),OR(COUNTIF($C494:F494,"&gt;0")&gt;0,DATE($B$1,4,1)=DATE(YEAR(TODAY()),MONTH(TODAY()),1))),1,0))</f>
        <v/>
      </c>
      <c r="T494">
        <f>IF($A494="","",IF(AND($B494&gt;0,G494&lt;$B494,DATE($B$1,5,1)&lt;=TODAY(),OR($O494="",$O494&gt;=DATE($B$1,5,1)),OR(COUNTIF($C494:G494,"&gt;0")&gt;0,DATE($B$1,5,1)=DATE(YEAR(TODAY()),MONTH(TODAY()),1))),1,0))</f>
        <v/>
      </c>
      <c r="U494">
        <f>IF($A494="","",IF(AND($B494&gt;0,H494&lt;$B494,DATE($B$1,6,1)&lt;=TODAY(),OR($O494="",$O494&gt;=DATE($B$1,6,1)),OR(COUNTIF($C494:H494,"&gt;0")&gt;0,DATE($B$1,6,1)=DATE(YEAR(TODAY()),MONTH(TODAY()),1))),1,0))</f>
        <v/>
      </c>
      <c r="V494">
        <f>IF($A494="","",IF(AND($B494&gt;0,I494&lt;$B494,DATE($B$1,7,1)&lt;=TODAY(),OR($O494="",$O494&gt;=DATE($B$1,7,1)),OR(COUNTIF($C494:I494,"&gt;0")&gt;0,DATE($B$1,7,1)=DATE(YEAR(TODAY()),MONTH(TODAY()),1))),1,0))</f>
        <v/>
      </c>
      <c r="W494">
        <f>IF($A494="","",IF(AND($B494&gt;0,J494&lt;$B494,DATE($B$1,8,1)&lt;=TODAY(),OR($O494="",$O494&gt;=DATE($B$1,8,1)),OR(COUNTIF($C494:J494,"&gt;0")&gt;0,DATE($B$1,8,1)=DATE(YEAR(TODAY()),MONTH(TODAY()),1))),1,0))</f>
        <v/>
      </c>
      <c r="X494">
        <f>IF($A494="","",IF(AND($B494&gt;0,K494&lt;$B494,DATE($B$1,9,1)&lt;=TODAY(),OR($O494="",$O494&gt;=DATE($B$1,9,1)),OR(COUNTIF($C494:K494,"&gt;0")&gt;0,DATE($B$1,9,1)=DATE(YEAR(TODAY()),MONTH(TODAY()),1))),1,0))</f>
        <v/>
      </c>
      <c r="Y494">
        <f>IF($A494="","",IF(AND($B494&gt;0,L494&lt;$B494,DATE($B$1,10,1)&lt;=TODAY(),OR($O494="",$O494&gt;=DATE($B$1,10,1)),OR(COUNTIF($C494:L494,"&gt;0")&gt;0,DATE($B$1,10,1)=DATE(YEAR(TODAY()),MONTH(TODAY()),1))),1,0))</f>
        <v/>
      </c>
      <c r="Z494">
        <f>IF($A494="","",IF(AND($B494&gt;0,M494&lt;$B494,DATE($B$1,11,1)&lt;=TODAY(),OR($O494="",$O494&gt;=DATE($B$1,11,1)),OR(COUNTIF($C494:M494,"&gt;0")&gt;0,DATE($B$1,11,1)=DATE(YEAR(TODAY()),MONTH(TODAY()),1))),1,0))</f>
        <v/>
      </c>
      <c r="AA494">
        <f>IF($A494="","",IF(AND($B494&gt;0,N494&lt;$B494,DATE($B$1,12,1)&lt;=TODAY(),OR($O494="",$O494&gt;=DATE($B$1,12,1)),OR(COUNTIF($C494:N494,"&gt;0")&gt;0,DATE($B$1,12,1)=DATE(YEAR(TODAY()),MONTH(TODAY()),1))),1,0))</f>
        <v/>
      </c>
    </row>
    <row r="495">
      <c r="A495" s="13">
        <f>IF(원생!$A493="","",원생!$A493&amp;IF(원생!$G493="",""," ("&amp;원생!$G493&amp;")"))</f>
        <v/>
      </c>
      <c r="B495" s="8">
        <f>IF(원생!$A493="","",N(원생!$F493))</f>
        <v/>
      </c>
      <c r="C495" s="14">
        <f>IF(원생!$A493="","",SUMIFS(계산!$C:$C,계산!$A:$A,계산!$E493,계산!$B:$B,$B$1*100+1))</f>
        <v/>
      </c>
      <c r="D495" s="14">
        <f>IF(원생!$A493="","",SUMIFS(계산!$C:$C,계산!$A:$A,계산!$E493,계산!$B:$B,$B$1*100+2))</f>
        <v/>
      </c>
      <c r="E495" s="14">
        <f>IF(원생!$A493="","",SUMIFS(계산!$C:$C,계산!$A:$A,계산!$E493,계산!$B:$B,$B$1*100+3))</f>
        <v/>
      </c>
      <c r="F495" s="14">
        <f>IF(원생!$A493="","",SUMIFS(계산!$C:$C,계산!$A:$A,계산!$E493,계산!$B:$B,$B$1*100+4))</f>
        <v/>
      </c>
      <c r="G495" s="14">
        <f>IF(원생!$A493="","",SUMIFS(계산!$C:$C,계산!$A:$A,계산!$E493,계산!$B:$B,$B$1*100+5))</f>
        <v/>
      </c>
      <c r="H495" s="14">
        <f>IF(원생!$A493="","",SUMIFS(계산!$C:$C,계산!$A:$A,계산!$E493,계산!$B:$B,$B$1*100+6))</f>
        <v/>
      </c>
      <c r="I495" s="14">
        <f>IF(원생!$A493="","",SUMIFS(계산!$C:$C,계산!$A:$A,계산!$E493,계산!$B:$B,$B$1*100+7))</f>
        <v/>
      </c>
      <c r="J495" s="14">
        <f>IF(원생!$A493="","",SUMIFS(계산!$C:$C,계산!$A:$A,계산!$E493,계산!$B:$B,$B$1*100+8))</f>
        <v/>
      </c>
      <c r="K495" s="14">
        <f>IF(원생!$A493="","",SUMIFS(계산!$C:$C,계산!$A:$A,계산!$E493,계산!$B:$B,$B$1*100+9))</f>
        <v/>
      </c>
      <c r="L495" s="14">
        <f>IF(원생!$A493="","",SUMIFS(계산!$C:$C,계산!$A:$A,계산!$E493,계산!$B:$B,$B$1*100+10))</f>
        <v/>
      </c>
      <c r="M495" s="14">
        <f>IF(원생!$A493="","",SUMIFS(계산!$C:$C,계산!$A:$A,계산!$E493,계산!$B:$B,$B$1*100+11))</f>
        <v/>
      </c>
      <c r="N495" s="14">
        <f>IF(원생!$A493="","",SUMIFS(계산!$C:$C,계산!$A:$A,계산!$E493,계산!$B:$B,$B$1*100+12))</f>
        <v/>
      </c>
      <c r="O495">
        <f>IF(원생!$I493="","",원생!$I493)</f>
        <v/>
      </c>
      <c r="P495">
        <f>IF($A495="","",IF(AND($B495&gt;0,C495&lt;$B495,DATE($B$1,1,1)&lt;=TODAY(),OR($O495="",$O495&gt;=DATE($B$1,1,1)),OR(COUNTIF($C495:C495,"&gt;0")&gt;0,DATE($B$1,1,1)=DATE(YEAR(TODAY()),MONTH(TODAY()),1))),1,0))</f>
        <v/>
      </c>
      <c r="Q495">
        <f>IF($A495="","",IF(AND($B495&gt;0,D495&lt;$B495,DATE($B$1,2,1)&lt;=TODAY(),OR($O495="",$O495&gt;=DATE($B$1,2,1)),OR(COUNTIF($C495:D495,"&gt;0")&gt;0,DATE($B$1,2,1)=DATE(YEAR(TODAY()),MONTH(TODAY()),1))),1,0))</f>
        <v/>
      </c>
      <c r="R495">
        <f>IF($A495="","",IF(AND($B495&gt;0,E495&lt;$B495,DATE($B$1,3,1)&lt;=TODAY(),OR($O495="",$O495&gt;=DATE($B$1,3,1)),OR(COUNTIF($C495:E495,"&gt;0")&gt;0,DATE($B$1,3,1)=DATE(YEAR(TODAY()),MONTH(TODAY()),1))),1,0))</f>
        <v/>
      </c>
      <c r="S495">
        <f>IF($A495="","",IF(AND($B495&gt;0,F495&lt;$B495,DATE($B$1,4,1)&lt;=TODAY(),OR($O495="",$O495&gt;=DATE($B$1,4,1)),OR(COUNTIF($C495:F495,"&gt;0")&gt;0,DATE($B$1,4,1)=DATE(YEAR(TODAY()),MONTH(TODAY()),1))),1,0))</f>
        <v/>
      </c>
      <c r="T495">
        <f>IF($A495="","",IF(AND($B495&gt;0,G495&lt;$B495,DATE($B$1,5,1)&lt;=TODAY(),OR($O495="",$O495&gt;=DATE($B$1,5,1)),OR(COUNTIF($C495:G495,"&gt;0")&gt;0,DATE($B$1,5,1)=DATE(YEAR(TODAY()),MONTH(TODAY()),1))),1,0))</f>
        <v/>
      </c>
      <c r="U495">
        <f>IF($A495="","",IF(AND($B495&gt;0,H495&lt;$B495,DATE($B$1,6,1)&lt;=TODAY(),OR($O495="",$O495&gt;=DATE($B$1,6,1)),OR(COUNTIF($C495:H495,"&gt;0")&gt;0,DATE($B$1,6,1)=DATE(YEAR(TODAY()),MONTH(TODAY()),1))),1,0))</f>
        <v/>
      </c>
      <c r="V495">
        <f>IF($A495="","",IF(AND($B495&gt;0,I495&lt;$B495,DATE($B$1,7,1)&lt;=TODAY(),OR($O495="",$O495&gt;=DATE($B$1,7,1)),OR(COUNTIF($C495:I495,"&gt;0")&gt;0,DATE($B$1,7,1)=DATE(YEAR(TODAY()),MONTH(TODAY()),1))),1,0))</f>
        <v/>
      </c>
      <c r="W495">
        <f>IF($A495="","",IF(AND($B495&gt;0,J495&lt;$B495,DATE($B$1,8,1)&lt;=TODAY(),OR($O495="",$O495&gt;=DATE($B$1,8,1)),OR(COUNTIF($C495:J495,"&gt;0")&gt;0,DATE($B$1,8,1)=DATE(YEAR(TODAY()),MONTH(TODAY()),1))),1,0))</f>
        <v/>
      </c>
      <c r="X495">
        <f>IF($A495="","",IF(AND($B495&gt;0,K495&lt;$B495,DATE($B$1,9,1)&lt;=TODAY(),OR($O495="",$O495&gt;=DATE($B$1,9,1)),OR(COUNTIF($C495:K495,"&gt;0")&gt;0,DATE($B$1,9,1)=DATE(YEAR(TODAY()),MONTH(TODAY()),1))),1,0))</f>
        <v/>
      </c>
      <c r="Y495">
        <f>IF($A495="","",IF(AND($B495&gt;0,L495&lt;$B495,DATE($B$1,10,1)&lt;=TODAY(),OR($O495="",$O495&gt;=DATE($B$1,10,1)),OR(COUNTIF($C495:L495,"&gt;0")&gt;0,DATE($B$1,10,1)=DATE(YEAR(TODAY()),MONTH(TODAY()),1))),1,0))</f>
        <v/>
      </c>
      <c r="Z495">
        <f>IF($A495="","",IF(AND($B495&gt;0,M495&lt;$B495,DATE($B$1,11,1)&lt;=TODAY(),OR($O495="",$O495&gt;=DATE($B$1,11,1)),OR(COUNTIF($C495:M495,"&gt;0")&gt;0,DATE($B$1,11,1)=DATE(YEAR(TODAY()),MONTH(TODAY()),1))),1,0))</f>
        <v/>
      </c>
      <c r="AA495">
        <f>IF($A495="","",IF(AND($B495&gt;0,N495&lt;$B495,DATE($B$1,12,1)&lt;=TODAY(),OR($O495="",$O495&gt;=DATE($B$1,12,1)),OR(COUNTIF($C495:N495,"&gt;0")&gt;0,DATE($B$1,12,1)=DATE(YEAR(TODAY()),MONTH(TODAY()),1))),1,0))</f>
        <v/>
      </c>
    </row>
    <row r="496">
      <c r="A496" s="13">
        <f>IF(원생!$A494="","",원생!$A494&amp;IF(원생!$G494="",""," ("&amp;원생!$G494&amp;")"))</f>
        <v/>
      </c>
      <c r="B496" s="8">
        <f>IF(원생!$A494="","",N(원생!$F494))</f>
        <v/>
      </c>
      <c r="C496" s="14">
        <f>IF(원생!$A494="","",SUMIFS(계산!$C:$C,계산!$A:$A,계산!$E494,계산!$B:$B,$B$1*100+1))</f>
        <v/>
      </c>
      <c r="D496" s="14">
        <f>IF(원생!$A494="","",SUMIFS(계산!$C:$C,계산!$A:$A,계산!$E494,계산!$B:$B,$B$1*100+2))</f>
        <v/>
      </c>
      <c r="E496" s="14">
        <f>IF(원생!$A494="","",SUMIFS(계산!$C:$C,계산!$A:$A,계산!$E494,계산!$B:$B,$B$1*100+3))</f>
        <v/>
      </c>
      <c r="F496" s="14">
        <f>IF(원생!$A494="","",SUMIFS(계산!$C:$C,계산!$A:$A,계산!$E494,계산!$B:$B,$B$1*100+4))</f>
        <v/>
      </c>
      <c r="G496" s="14">
        <f>IF(원생!$A494="","",SUMIFS(계산!$C:$C,계산!$A:$A,계산!$E494,계산!$B:$B,$B$1*100+5))</f>
        <v/>
      </c>
      <c r="H496" s="14">
        <f>IF(원생!$A494="","",SUMIFS(계산!$C:$C,계산!$A:$A,계산!$E494,계산!$B:$B,$B$1*100+6))</f>
        <v/>
      </c>
      <c r="I496" s="14">
        <f>IF(원생!$A494="","",SUMIFS(계산!$C:$C,계산!$A:$A,계산!$E494,계산!$B:$B,$B$1*100+7))</f>
        <v/>
      </c>
      <c r="J496" s="14">
        <f>IF(원생!$A494="","",SUMIFS(계산!$C:$C,계산!$A:$A,계산!$E494,계산!$B:$B,$B$1*100+8))</f>
        <v/>
      </c>
      <c r="K496" s="14">
        <f>IF(원생!$A494="","",SUMIFS(계산!$C:$C,계산!$A:$A,계산!$E494,계산!$B:$B,$B$1*100+9))</f>
        <v/>
      </c>
      <c r="L496" s="14">
        <f>IF(원생!$A494="","",SUMIFS(계산!$C:$C,계산!$A:$A,계산!$E494,계산!$B:$B,$B$1*100+10))</f>
        <v/>
      </c>
      <c r="M496" s="14">
        <f>IF(원생!$A494="","",SUMIFS(계산!$C:$C,계산!$A:$A,계산!$E494,계산!$B:$B,$B$1*100+11))</f>
        <v/>
      </c>
      <c r="N496" s="14">
        <f>IF(원생!$A494="","",SUMIFS(계산!$C:$C,계산!$A:$A,계산!$E494,계산!$B:$B,$B$1*100+12))</f>
        <v/>
      </c>
      <c r="O496">
        <f>IF(원생!$I494="","",원생!$I494)</f>
        <v/>
      </c>
      <c r="P496">
        <f>IF($A496="","",IF(AND($B496&gt;0,C496&lt;$B496,DATE($B$1,1,1)&lt;=TODAY(),OR($O496="",$O496&gt;=DATE($B$1,1,1)),OR(COUNTIF($C496:C496,"&gt;0")&gt;0,DATE($B$1,1,1)=DATE(YEAR(TODAY()),MONTH(TODAY()),1))),1,0))</f>
        <v/>
      </c>
      <c r="Q496">
        <f>IF($A496="","",IF(AND($B496&gt;0,D496&lt;$B496,DATE($B$1,2,1)&lt;=TODAY(),OR($O496="",$O496&gt;=DATE($B$1,2,1)),OR(COUNTIF($C496:D496,"&gt;0")&gt;0,DATE($B$1,2,1)=DATE(YEAR(TODAY()),MONTH(TODAY()),1))),1,0))</f>
        <v/>
      </c>
      <c r="R496">
        <f>IF($A496="","",IF(AND($B496&gt;0,E496&lt;$B496,DATE($B$1,3,1)&lt;=TODAY(),OR($O496="",$O496&gt;=DATE($B$1,3,1)),OR(COUNTIF($C496:E496,"&gt;0")&gt;0,DATE($B$1,3,1)=DATE(YEAR(TODAY()),MONTH(TODAY()),1))),1,0))</f>
        <v/>
      </c>
      <c r="S496">
        <f>IF($A496="","",IF(AND($B496&gt;0,F496&lt;$B496,DATE($B$1,4,1)&lt;=TODAY(),OR($O496="",$O496&gt;=DATE($B$1,4,1)),OR(COUNTIF($C496:F496,"&gt;0")&gt;0,DATE($B$1,4,1)=DATE(YEAR(TODAY()),MONTH(TODAY()),1))),1,0))</f>
        <v/>
      </c>
      <c r="T496">
        <f>IF($A496="","",IF(AND($B496&gt;0,G496&lt;$B496,DATE($B$1,5,1)&lt;=TODAY(),OR($O496="",$O496&gt;=DATE($B$1,5,1)),OR(COUNTIF($C496:G496,"&gt;0")&gt;0,DATE($B$1,5,1)=DATE(YEAR(TODAY()),MONTH(TODAY()),1))),1,0))</f>
        <v/>
      </c>
      <c r="U496">
        <f>IF($A496="","",IF(AND($B496&gt;0,H496&lt;$B496,DATE($B$1,6,1)&lt;=TODAY(),OR($O496="",$O496&gt;=DATE($B$1,6,1)),OR(COUNTIF($C496:H496,"&gt;0")&gt;0,DATE($B$1,6,1)=DATE(YEAR(TODAY()),MONTH(TODAY()),1))),1,0))</f>
        <v/>
      </c>
      <c r="V496">
        <f>IF($A496="","",IF(AND($B496&gt;0,I496&lt;$B496,DATE($B$1,7,1)&lt;=TODAY(),OR($O496="",$O496&gt;=DATE($B$1,7,1)),OR(COUNTIF($C496:I496,"&gt;0")&gt;0,DATE($B$1,7,1)=DATE(YEAR(TODAY()),MONTH(TODAY()),1))),1,0))</f>
        <v/>
      </c>
      <c r="W496">
        <f>IF($A496="","",IF(AND($B496&gt;0,J496&lt;$B496,DATE($B$1,8,1)&lt;=TODAY(),OR($O496="",$O496&gt;=DATE($B$1,8,1)),OR(COUNTIF($C496:J496,"&gt;0")&gt;0,DATE($B$1,8,1)=DATE(YEAR(TODAY()),MONTH(TODAY()),1))),1,0))</f>
        <v/>
      </c>
      <c r="X496">
        <f>IF($A496="","",IF(AND($B496&gt;0,K496&lt;$B496,DATE($B$1,9,1)&lt;=TODAY(),OR($O496="",$O496&gt;=DATE($B$1,9,1)),OR(COUNTIF($C496:K496,"&gt;0")&gt;0,DATE($B$1,9,1)=DATE(YEAR(TODAY()),MONTH(TODAY()),1))),1,0))</f>
        <v/>
      </c>
      <c r="Y496">
        <f>IF($A496="","",IF(AND($B496&gt;0,L496&lt;$B496,DATE($B$1,10,1)&lt;=TODAY(),OR($O496="",$O496&gt;=DATE($B$1,10,1)),OR(COUNTIF($C496:L496,"&gt;0")&gt;0,DATE($B$1,10,1)=DATE(YEAR(TODAY()),MONTH(TODAY()),1))),1,0))</f>
        <v/>
      </c>
      <c r="Z496">
        <f>IF($A496="","",IF(AND($B496&gt;0,M496&lt;$B496,DATE($B$1,11,1)&lt;=TODAY(),OR($O496="",$O496&gt;=DATE($B$1,11,1)),OR(COUNTIF($C496:M496,"&gt;0")&gt;0,DATE($B$1,11,1)=DATE(YEAR(TODAY()),MONTH(TODAY()),1))),1,0))</f>
        <v/>
      </c>
      <c r="AA496">
        <f>IF($A496="","",IF(AND($B496&gt;0,N496&lt;$B496,DATE($B$1,12,1)&lt;=TODAY(),OR($O496="",$O496&gt;=DATE($B$1,12,1)),OR(COUNTIF($C496:N496,"&gt;0")&gt;0,DATE($B$1,12,1)=DATE(YEAR(TODAY()),MONTH(TODAY()),1))),1,0))</f>
        <v/>
      </c>
    </row>
    <row r="497">
      <c r="A497" s="13">
        <f>IF(원생!$A495="","",원생!$A495&amp;IF(원생!$G495="",""," ("&amp;원생!$G495&amp;")"))</f>
        <v/>
      </c>
      <c r="B497" s="8">
        <f>IF(원생!$A495="","",N(원생!$F495))</f>
        <v/>
      </c>
      <c r="C497" s="14">
        <f>IF(원생!$A495="","",SUMIFS(계산!$C:$C,계산!$A:$A,계산!$E495,계산!$B:$B,$B$1*100+1))</f>
        <v/>
      </c>
      <c r="D497" s="14">
        <f>IF(원생!$A495="","",SUMIFS(계산!$C:$C,계산!$A:$A,계산!$E495,계산!$B:$B,$B$1*100+2))</f>
        <v/>
      </c>
      <c r="E497" s="14">
        <f>IF(원생!$A495="","",SUMIFS(계산!$C:$C,계산!$A:$A,계산!$E495,계산!$B:$B,$B$1*100+3))</f>
        <v/>
      </c>
      <c r="F497" s="14">
        <f>IF(원생!$A495="","",SUMIFS(계산!$C:$C,계산!$A:$A,계산!$E495,계산!$B:$B,$B$1*100+4))</f>
        <v/>
      </c>
      <c r="G497" s="14">
        <f>IF(원생!$A495="","",SUMIFS(계산!$C:$C,계산!$A:$A,계산!$E495,계산!$B:$B,$B$1*100+5))</f>
        <v/>
      </c>
      <c r="H497" s="14">
        <f>IF(원생!$A495="","",SUMIFS(계산!$C:$C,계산!$A:$A,계산!$E495,계산!$B:$B,$B$1*100+6))</f>
        <v/>
      </c>
      <c r="I497" s="14">
        <f>IF(원생!$A495="","",SUMIFS(계산!$C:$C,계산!$A:$A,계산!$E495,계산!$B:$B,$B$1*100+7))</f>
        <v/>
      </c>
      <c r="J497" s="14">
        <f>IF(원생!$A495="","",SUMIFS(계산!$C:$C,계산!$A:$A,계산!$E495,계산!$B:$B,$B$1*100+8))</f>
        <v/>
      </c>
      <c r="K497" s="14">
        <f>IF(원생!$A495="","",SUMIFS(계산!$C:$C,계산!$A:$A,계산!$E495,계산!$B:$B,$B$1*100+9))</f>
        <v/>
      </c>
      <c r="L497" s="14">
        <f>IF(원생!$A495="","",SUMIFS(계산!$C:$C,계산!$A:$A,계산!$E495,계산!$B:$B,$B$1*100+10))</f>
        <v/>
      </c>
      <c r="M497" s="14">
        <f>IF(원생!$A495="","",SUMIFS(계산!$C:$C,계산!$A:$A,계산!$E495,계산!$B:$B,$B$1*100+11))</f>
        <v/>
      </c>
      <c r="N497" s="14">
        <f>IF(원생!$A495="","",SUMIFS(계산!$C:$C,계산!$A:$A,계산!$E495,계산!$B:$B,$B$1*100+12))</f>
        <v/>
      </c>
      <c r="O497">
        <f>IF(원생!$I495="","",원생!$I495)</f>
        <v/>
      </c>
      <c r="P497">
        <f>IF($A497="","",IF(AND($B497&gt;0,C497&lt;$B497,DATE($B$1,1,1)&lt;=TODAY(),OR($O497="",$O497&gt;=DATE($B$1,1,1)),OR(COUNTIF($C497:C497,"&gt;0")&gt;0,DATE($B$1,1,1)=DATE(YEAR(TODAY()),MONTH(TODAY()),1))),1,0))</f>
        <v/>
      </c>
      <c r="Q497">
        <f>IF($A497="","",IF(AND($B497&gt;0,D497&lt;$B497,DATE($B$1,2,1)&lt;=TODAY(),OR($O497="",$O497&gt;=DATE($B$1,2,1)),OR(COUNTIF($C497:D497,"&gt;0")&gt;0,DATE($B$1,2,1)=DATE(YEAR(TODAY()),MONTH(TODAY()),1))),1,0))</f>
        <v/>
      </c>
      <c r="R497">
        <f>IF($A497="","",IF(AND($B497&gt;0,E497&lt;$B497,DATE($B$1,3,1)&lt;=TODAY(),OR($O497="",$O497&gt;=DATE($B$1,3,1)),OR(COUNTIF($C497:E497,"&gt;0")&gt;0,DATE($B$1,3,1)=DATE(YEAR(TODAY()),MONTH(TODAY()),1))),1,0))</f>
        <v/>
      </c>
      <c r="S497">
        <f>IF($A497="","",IF(AND($B497&gt;0,F497&lt;$B497,DATE($B$1,4,1)&lt;=TODAY(),OR($O497="",$O497&gt;=DATE($B$1,4,1)),OR(COUNTIF($C497:F497,"&gt;0")&gt;0,DATE($B$1,4,1)=DATE(YEAR(TODAY()),MONTH(TODAY()),1))),1,0))</f>
        <v/>
      </c>
      <c r="T497">
        <f>IF($A497="","",IF(AND($B497&gt;0,G497&lt;$B497,DATE($B$1,5,1)&lt;=TODAY(),OR($O497="",$O497&gt;=DATE($B$1,5,1)),OR(COUNTIF($C497:G497,"&gt;0")&gt;0,DATE($B$1,5,1)=DATE(YEAR(TODAY()),MONTH(TODAY()),1))),1,0))</f>
        <v/>
      </c>
      <c r="U497">
        <f>IF($A497="","",IF(AND($B497&gt;0,H497&lt;$B497,DATE($B$1,6,1)&lt;=TODAY(),OR($O497="",$O497&gt;=DATE($B$1,6,1)),OR(COUNTIF($C497:H497,"&gt;0")&gt;0,DATE($B$1,6,1)=DATE(YEAR(TODAY()),MONTH(TODAY()),1))),1,0))</f>
        <v/>
      </c>
      <c r="V497">
        <f>IF($A497="","",IF(AND($B497&gt;0,I497&lt;$B497,DATE($B$1,7,1)&lt;=TODAY(),OR($O497="",$O497&gt;=DATE($B$1,7,1)),OR(COUNTIF($C497:I497,"&gt;0")&gt;0,DATE($B$1,7,1)=DATE(YEAR(TODAY()),MONTH(TODAY()),1))),1,0))</f>
        <v/>
      </c>
      <c r="W497">
        <f>IF($A497="","",IF(AND($B497&gt;0,J497&lt;$B497,DATE($B$1,8,1)&lt;=TODAY(),OR($O497="",$O497&gt;=DATE($B$1,8,1)),OR(COUNTIF($C497:J497,"&gt;0")&gt;0,DATE($B$1,8,1)=DATE(YEAR(TODAY()),MONTH(TODAY()),1))),1,0))</f>
        <v/>
      </c>
      <c r="X497">
        <f>IF($A497="","",IF(AND($B497&gt;0,K497&lt;$B497,DATE($B$1,9,1)&lt;=TODAY(),OR($O497="",$O497&gt;=DATE($B$1,9,1)),OR(COUNTIF($C497:K497,"&gt;0")&gt;0,DATE($B$1,9,1)=DATE(YEAR(TODAY()),MONTH(TODAY()),1))),1,0))</f>
        <v/>
      </c>
      <c r="Y497">
        <f>IF($A497="","",IF(AND($B497&gt;0,L497&lt;$B497,DATE($B$1,10,1)&lt;=TODAY(),OR($O497="",$O497&gt;=DATE($B$1,10,1)),OR(COUNTIF($C497:L497,"&gt;0")&gt;0,DATE($B$1,10,1)=DATE(YEAR(TODAY()),MONTH(TODAY()),1))),1,0))</f>
        <v/>
      </c>
      <c r="Z497">
        <f>IF($A497="","",IF(AND($B497&gt;0,M497&lt;$B497,DATE($B$1,11,1)&lt;=TODAY(),OR($O497="",$O497&gt;=DATE($B$1,11,1)),OR(COUNTIF($C497:M497,"&gt;0")&gt;0,DATE($B$1,11,1)=DATE(YEAR(TODAY()),MONTH(TODAY()),1))),1,0))</f>
        <v/>
      </c>
      <c r="AA497">
        <f>IF($A497="","",IF(AND($B497&gt;0,N497&lt;$B497,DATE($B$1,12,1)&lt;=TODAY(),OR($O497="",$O497&gt;=DATE($B$1,12,1)),OR(COUNTIF($C497:N497,"&gt;0")&gt;0,DATE($B$1,12,1)=DATE(YEAR(TODAY()),MONTH(TODAY()),1))),1,0))</f>
        <v/>
      </c>
    </row>
    <row r="498">
      <c r="A498" s="13">
        <f>IF(원생!$A496="","",원생!$A496&amp;IF(원생!$G496="",""," ("&amp;원생!$G496&amp;")"))</f>
        <v/>
      </c>
      <c r="B498" s="8">
        <f>IF(원생!$A496="","",N(원생!$F496))</f>
        <v/>
      </c>
      <c r="C498" s="14">
        <f>IF(원생!$A496="","",SUMIFS(계산!$C:$C,계산!$A:$A,계산!$E496,계산!$B:$B,$B$1*100+1))</f>
        <v/>
      </c>
      <c r="D498" s="14">
        <f>IF(원생!$A496="","",SUMIFS(계산!$C:$C,계산!$A:$A,계산!$E496,계산!$B:$B,$B$1*100+2))</f>
        <v/>
      </c>
      <c r="E498" s="14">
        <f>IF(원생!$A496="","",SUMIFS(계산!$C:$C,계산!$A:$A,계산!$E496,계산!$B:$B,$B$1*100+3))</f>
        <v/>
      </c>
      <c r="F498" s="14">
        <f>IF(원생!$A496="","",SUMIFS(계산!$C:$C,계산!$A:$A,계산!$E496,계산!$B:$B,$B$1*100+4))</f>
        <v/>
      </c>
      <c r="G498" s="14">
        <f>IF(원생!$A496="","",SUMIFS(계산!$C:$C,계산!$A:$A,계산!$E496,계산!$B:$B,$B$1*100+5))</f>
        <v/>
      </c>
      <c r="H498" s="14">
        <f>IF(원생!$A496="","",SUMIFS(계산!$C:$C,계산!$A:$A,계산!$E496,계산!$B:$B,$B$1*100+6))</f>
        <v/>
      </c>
      <c r="I498" s="14">
        <f>IF(원생!$A496="","",SUMIFS(계산!$C:$C,계산!$A:$A,계산!$E496,계산!$B:$B,$B$1*100+7))</f>
        <v/>
      </c>
      <c r="J498" s="14">
        <f>IF(원생!$A496="","",SUMIFS(계산!$C:$C,계산!$A:$A,계산!$E496,계산!$B:$B,$B$1*100+8))</f>
        <v/>
      </c>
      <c r="K498" s="14">
        <f>IF(원생!$A496="","",SUMIFS(계산!$C:$C,계산!$A:$A,계산!$E496,계산!$B:$B,$B$1*100+9))</f>
        <v/>
      </c>
      <c r="L498" s="14">
        <f>IF(원생!$A496="","",SUMIFS(계산!$C:$C,계산!$A:$A,계산!$E496,계산!$B:$B,$B$1*100+10))</f>
        <v/>
      </c>
      <c r="M498" s="14">
        <f>IF(원생!$A496="","",SUMIFS(계산!$C:$C,계산!$A:$A,계산!$E496,계산!$B:$B,$B$1*100+11))</f>
        <v/>
      </c>
      <c r="N498" s="14">
        <f>IF(원생!$A496="","",SUMIFS(계산!$C:$C,계산!$A:$A,계산!$E496,계산!$B:$B,$B$1*100+12))</f>
        <v/>
      </c>
      <c r="O498">
        <f>IF(원생!$I496="","",원생!$I496)</f>
        <v/>
      </c>
      <c r="P498">
        <f>IF($A498="","",IF(AND($B498&gt;0,C498&lt;$B498,DATE($B$1,1,1)&lt;=TODAY(),OR($O498="",$O498&gt;=DATE($B$1,1,1)),OR(COUNTIF($C498:C498,"&gt;0")&gt;0,DATE($B$1,1,1)=DATE(YEAR(TODAY()),MONTH(TODAY()),1))),1,0))</f>
        <v/>
      </c>
      <c r="Q498">
        <f>IF($A498="","",IF(AND($B498&gt;0,D498&lt;$B498,DATE($B$1,2,1)&lt;=TODAY(),OR($O498="",$O498&gt;=DATE($B$1,2,1)),OR(COUNTIF($C498:D498,"&gt;0")&gt;0,DATE($B$1,2,1)=DATE(YEAR(TODAY()),MONTH(TODAY()),1))),1,0))</f>
        <v/>
      </c>
      <c r="R498">
        <f>IF($A498="","",IF(AND($B498&gt;0,E498&lt;$B498,DATE($B$1,3,1)&lt;=TODAY(),OR($O498="",$O498&gt;=DATE($B$1,3,1)),OR(COUNTIF($C498:E498,"&gt;0")&gt;0,DATE($B$1,3,1)=DATE(YEAR(TODAY()),MONTH(TODAY()),1))),1,0))</f>
        <v/>
      </c>
      <c r="S498">
        <f>IF($A498="","",IF(AND($B498&gt;0,F498&lt;$B498,DATE($B$1,4,1)&lt;=TODAY(),OR($O498="",$O498&gt;=DATE($B$1,4,1)),OR(COUNTIF($C498:F498,"&gt;0")&gt;0,DATE($B$1,4,1)=DATE(YEAR(TODAY()),MONTH(TODAY()),1))),1,0))</f>
        <v/>
      </c>
      <c r="T498">
        <f>IF($A498="","",IF(AND($B498&gt;0,G498&lt;$B498,DATE($B$1,5,1)&lt;=TODAY(),OR($O498="",$O498&gt;=DATE($B$1,5,1)),OR(COUNTIF($C498:G498,"&gt;0")&gt;0,DATE($B$1,5,1)=DATE(YEAR(TODAY()),MONTH(TODAY()),1))),1,0))</f>
        <v/>
      </c>
      <c r="U498">
        <f>IF($A498="","",IF(AND($B498&gt;0,H498&lt;$B498,DATE($B$1,6,1)&lt;=TODAY(),OR($O498="",$O498&gt;=DATE($B$1,6,1)),OR(COUNTIF($C498:H498,"&gt;0")&gt;0,DATE($B$1,6,1)=DATE(YEAR(TODAY()),MONTH(TODAY()),1))),1,0))</f>
        <v/>
      </c>
      <c r="V498">
        <f>IF($A498="","",IF(AND($B498&gt;0,I498&lt;$B498,DATE($B$1,7,1)&lt;=TODAY(),OR($O498="",$O498&gt;=DATE($B$1,7,1)),OR(COUNTIF($C498:I498,"&gt;0")&gt;0,DATE($B$1,7,1)=DATE(YEAR(TODAY()),MONTH(TODAY()),1))),1,0))</f>
        <v/>
      </c>
      <c r="W498">
        <f>IF($A498="","",IF(AND($B498&gt;0,J498&lt;$B498,DATE($B$1,8,1)&lt;=TODAY(),OR($O498="",$O498&gt;=DATE($B$1,8,1)),OR(COUNTIF($C498:J498,"&gt;0")&gt;0,DATE($B$1,8,1)=DATE(YEAR(TODAY()),MONTH(TODAY()),1))),1,0))</f>
        <v/>
      </c>
      <c r="X498">
        <f>IF($A498="","",IF(AND($B498&gt;0,K498&lt;$B498,DATE($B$1,9,1)&lt;=TODAY(),OR($O498="",$O498&gt;=DATE($B$1,9,1)),OR(COUNTIF($C498:K498,"&gt;0")&gt;0,DATE($B$1,9,1)=DATE(YEAR(TODAY()),MONTH(TODAY()),1))),1,0))</f>
        <v/>
      </c>
      <c r="Y498">
        <f>IF($A498="","",IF(AND($B498&gt;0,L498&lt;$B498,DATE($B$1,10,1)&lt;=TODAY(),OR($O498="",$O498&gt;=DATE($B$1,10,1)),OR(COUNTIF($C498:L498,"&gt;0")&gt;0,DATE($B$1,10,1)=DATE(YEAR(TODAY()),MONTH(TODAY()),1))),1,0))</f>
        <v/>
      </c>
      <c r="Z498">
        <f>IF($A498="","",IF(AND($B498&gt;0,M498&lt;$B498,DATE($B$1,11,1)&lt;=TODAY(),OR($O498="",$O498&gt;=DATE($B$1,11,1)),OR(COUNTIF($C498:M498,"&gt;0")&gt;0,DATE($B$1,11,1)=DATE(YEAR(TODAY()),MONTH(TODAY()),1))),1,0))</f>
        <v/>
      </c>
      <c r="AA498">
        <f>IF($A498="","",IF(AND($B498&gt;0,N498&lt;$B498,DATE($B$1,12,1)&lt;=TODAY(),OR($O498="",$O498&gt;=DATE($B$1,12,1)),OR(COUNTIF($C498:N498,"&gt;0")&gt;0,DATE($B$1,12,1)=DATE(YEAR(TODAY()),MONTH(TODAY()),1))),1,0))</f>
        <v/>
      </c>
    </row>
    <row r="499">
      <c r="A499" s="13">
        <f>IF(원생!$A497="","",원생!$A497&amp;IF(원생!$G497="",""," ("&amp;원생!$G497&amp;")"))</f>
        <v/>
      </c>
      <c r="B499" s="8">
        <f>IF(원생!$A497="","",N(원생!$F497))</f>
        <v/>
      </c>
      <c r="C499" s="14">
        <f>IF(원생!$A497="","",SUMIFS(계산!$C:$C,계산!$A:$A,계산!$E497,계산!$B:$B,$B$1*100+1))</f>
        <v/>
      </c>
      <c r="D499" s="14">
        <f>IF(원생!$A497="","",SUMIFS(계산!$C:$C,계산!$A:$A,계산!$E497,계산!$B:$B,$B$1*100+2))</f>
        <v/>
      </c>
      <c r="E499" s="14">
        <f>IF(원생!$A497="","",SUMIFS(계산!$C:$C,계산!$A:$A,계산!$E497,계산!$B:$B,$B$1*100+3))</f>
        <v/>
      </c>
      <c r="F499" s="14">
        <f>IF(원생!$A497="","",SUMIFS(계산!$C:$C,계산!$A:$A,계산!$E497,계산!$B:$B,$B$1*100+4))</f>
        <v/>
      </c>
      <c r="G499" s="14">
        <f>IF(원생!$A497="","",SUMIFS(계산!$C:$C,계산!$A:$A,계산!$E497,계산!$B:$B,$B$1*100+5))</f>
        <v/>
      </c>
      <c r="H499" s="14">
        <f>IF(원생!$A497="","",SUMIFS(계산!$C:$C,계산!$A:$A,계산!$E497,계산!$B:$B,$B$1*100+6))</f>
        <v/>
      </c>
      <c r="I499" s="14">
        <f>IF(원생!$A497="","",SUMIFS(계산!$C:$C,계산!$A:$A,계산!$E497,계산!$B:$B,$B$1*100+7))</f>
        <v/>
      </c>
      <c r="J499" s="14">
        <f>IF(원생!$A497="","",SUMIFS(계산!$C:$C,계산!$A:$A,계산!$E497,계산!$B:$B,$B$1*100+8))</f>
        <v/>
      </c>
      <c r="K499" s="14">
        <f>IF(원생!$A497="","",SUMIFS(계산!$C:$C,계산!$A:$A,계산!$E497,계산!$B:$B,$B$1*100+9))</f>
        <v/>
      </c>
      <c r="L499" s="14">
        <f>IF(원생!$A497="","",SUMIFS(계산!$C:$C,계산!$A:$A,계산!$E497,계산!$B:$B,$B$1*100+10))</f>
        <v/>
      </c>
      <c r="M499" s="14">
        <f>IF(원생!$A497="","",SUMIFS(계산!$C:$C,계산!$A:$A,계산!$E497,계산!$B:$B,$B$1*100+11))</f>
        <v/>
      </c>
      <c r="N499" s="14">
        <f>IF(원생!$A497="","",SUMIFS(계산!$C:$C,계산!$A:$A,계산!$E497,계산!$B:$B,$B$1*100+12))</f>
        <v/>
      </c>
      <c r="O499">
        <f>IF(원생!$I497="","",원생!$I497)</f>
        <v/>
      </c>
      <c r="P499">
        <f>IF($A499="","",IF(AND($B499&gt;0,C499&lt;$B499,DATE($B$1,1,1)&lt;=TODAY(),OR($O499="",$O499&gt;=DATE($B$1,1,1)),OR(COUNTIF($C499:C499,"&gt;0")&gt;0,DATE($B$1,1,1)=DATE(YEAR(TODAY()),MONTH(TODAY()),1))),1,0))</f>
        <v/>
      </c>
      <c r="Q499">
        <f>IF($A499="","",IF(AND($B499&gt;0,D499&lt;$B499,DATE($B$1,2,1)&lt;=TODAY(),OR($O499="",$O499&gt;=DATE($B$1,2,1)),OR(COUNTIF($C499:D499,"&gt;0")&gt;0,DATE($B$1,2,1)=DATE(YEAR(TODAY()),MONTH(TODAY()),1))),1,0))</f>
        <v/>
      </c>
      <c r="R499">
        <f>IF($A499="","",IF(AND($B499&gt;0,E499&lt;$B499,DATE($B$1,3,1)&lt;=TODAY(),OR($O499="",$O499&gt;=DATE($B$1,3,1)),OR(COUNTIF($C499:E499,"&gt;0")&gt;0,DATE($B$1,3,1)=DATE(YEAR(TODAY()),MONTH(TODAY()),1))),1,0))</f>
        <v/>
      </c>
      <c r="S499">
        <f>IF($A499="","",IF(AND($B499&gt;0,F499&lt;$B499,DATE($B$1,4,1)&lt;=TODAY(),OR($O499="",$O499&gt;=DATE($B$1,4,1)),OR(COUNTIF($C499:F499,"&gt;0")&gt;0,DATE($B$1,4,1)=DATE(YEAR(TODAY()),MONTH(TODAY()),1))),1,0))</f>
        <v/>
      </c>
      <c r="T499">
        <f>IF($A499="","",IF(AND($B499&gt;0,G499&lt;$B499,DATE($B$1,5,1)&lt;=TODAY(),OR($O499="",$O499&gt;=DATE($B$1,5,1)),OR(COUNTIF($C499:G499,"&gt;0")&gt;0,DATE($B$1,5,1)=DATE(YEAR(TODAY()),MONTH(TODAY()),1))),1,0))</f>
        <v/>
      </c>
      <c r="U499">
        <f>IF($A499="","",IF(AND($B499&gt;0,H499&lt;$B499,DATE($B$1,6,1)&lt;=TODAY(),OR($O499="",$O499&gt;=DATE($B$1,6,1)),OR(COUNTIF($C499:H499,"&gt;0")&gt;0,DATE($B$1,6,1)=DATE(YEAR(TODAY()),MONTH(TODAY()),1))),1,0))</f>
        <v/>
      </c>
      <c r="V499">
        <f>IF($A499="","",IF(AND($B499&gt;0,I499&lt;$B499,DATE($B$1,7,1)&lt;=TODAY(),OR($O499="",$O499&gt;=DATE($B$1,7,1)),OR(COUNTIF($C499:I499,"&gt;0")&gt;0,DATE($B$1,7,1)=DATE(YEAR(TODAY()),MONTH(TODAY()),1))),1,0))</f>
        <v/>
      </c>
      <c r="W499">
        <f>IF($A499="","",IF(AND($B499&gt;0,J499&lt;$B499,DATE($B$1,8,1)&lt;=TODAY(),OR($O499="",$O499&gt;=DATE($B$1,8,1)),OR(COUNTIF($C499:J499,"&gt;0")&gt;0,DATE($B$1,8,1)=DATE(YEAR(TODAY()),MONTH(TODAY()),1))),1,0))</f>
        <v/>
      </c>
      <c r="X499">
        <f>IF($A499="","",IF(AND($B499&gt;0,K499&lt;$B499,DATE($B$1,9,1)&lt;=TODAY(),OR($O499="",$O499&gt;=DATE($B$1,9,1)),OR(COUNTIF($C499:K499,"&gt;0")&gt;0,DATE($B$1,9,1)=DATE(YEAR(TODAY()),MONTH(TODAY()),1))),1,0))</f>
        <v/>
      </c>
      <c r="Y499">
        <f>IF($A499="","",IF(AND($B499&gt;0,L499&lt;$B499,DATE($B$1,10,1)&lt;=TODAY(),OR($O499="",$O499&gt;=DATE($B$1,10,1)),OR(COUNTIF($C499:L499,"&gt;0")&gt;0,DATE($B$1,10,1)=DATE(YEAR(TODAY()),MONTH(TODAY()),1))),1,0))</f>
        <v/>
      </c>
      <c r="Z499">
        <f>IF($A499="","",IF(AND($B499&gt;0,M499&lt;$B499,DATE($B$1,11,1)&lt;=TODAY(),OR($O499="",$O499&gt;=DATE($B$1,11,1)),OR(COUNTIF($C499:M499,"&gt;0")&gt;0,DATE($B$1,11,1)=DATE(YEAR(TODAY()),MONTH(TODAY()),1))),1,0))</f>
        <v/>
      </c>
      <c r="AA499">
        <f>IF($A499="","",IF(AND($B499&gt;0,N499&lt;$B499,DATE($B$1,12,1)&lt;=TODAY(),OR($O499="",$O499&gt;=DATE($B$1,12,1)),OR(COUNTIF($C499:N499,"&gt;0")&gt;0,DATE($B$1,12,1)=DATE(YEAR(TODAY()),MONTH(TODAY()),1))),1,0))</f>
        <v/>
      </c>
    </row>
    <row r="500">
      <c r="A500" s="13">
        <f>IF(원생!$A498="","",원생!$A498&amp;IF(원생!$G498="",""," ("&amp;원생!$G498&amp;")"))</f>
        <v/>
      </c>
      <c r="B500" s="8">
        <f>IF(원생!$A498="","",N(원생!$F498))</f>
        <v/>
      </c>
      <c r="C500" s="14">
        <f>IF(원생!$A498="","",SUMIFS(계산!$C:$C,계산!$A:$A,계산!$E498,계산!$B:$B,$B$1*100+1))</f>
        <v/>
      </c>
      <c r="D500" s="14">
        <f>IF(원생!$A498="","",SUMIFS(계산!$C:$C,계산!$A:$A,계산!$E498,계산!$B:$B,$B$1*100+2))</f>
        <v/>
      </c>
      <c r="E500" s="14">
        <f>IF(원생!$A498="","",SUMIFS(계산!$C:$C,계산!$A:$A,계산!$E498,계산!$B:$B,$B$1*100+3))</f>
        <v/>
      </c>
      <c r="F500" s="14">
        <f>IF(원생!$A498="","",SUMIFS(계산!$C:$C,계산!$A:$A,계산!$E498,계산!$B:$B,$B$1*100+4))</f>
        <v/>
      </c>
      <c r="G500" s="14">
        <f>IF(원생!$A498="","",SUMIFS(계산!$C:$C,계산!$A:$A,계산!$E498,계산!$B:$B,$B$1*100+5))</f>
        <v/>
      </c>
      <c r="H500" s="14">
        <f>IF(원생!$A498="","",SUMIFS(계산!$C:$C,계산!$A:$A,계산!$E498,계산!$B:$B,$B$1*100+6))</f>
        <v/>
      </c>
      <c r="I500" s="14">
        <f>IF(원생!$A498="","",SUMIFS(계산!$C:$C,계산!$A:$A,계산!$E498,계산!$B:$B,$B$1*100+7))</f>
        <v/>
      </c>
      <c r="J500" s="14">
        <f>IF(원생!$A498="","",SUMIFS(계산!$C:$C,계산!$A:$A,계산!$E498,계산!$B:$B,$B$1*100+8))</f>
        <v/>
      </c>
      <c r="K500" s="14">
        <f>IF(원생!$A498="","",SUMIFS(계산!$C:$C,계산!$A:$A,계산!$E498,계산!$B:$B,$B$1*100+9))</f>
        <v/>
      </c>
      <c r="L500" s="14">
        <f>IF(원생!$A498="","",SUMIFS(계산!$C:$C,계산!$A:$A,계산!$E498,계산!$B:$B,$B$1*100+10))</f>
        <v/>
      </c>
      <c r="M500" s="14">
        <f>IF(원생!$A498="","",SUMIFS(계산!$C:$C,계산!$A:$A,계산!$E498,계산!$B:$B,$B$1*100+11))</f>
        <v/>
      </c>
      <c r="N500" s="14">
        <f>IF(원생!$A498="","",SUMIFS(계산!$C:$C,계산!$A:$A,계산!$E498,계산!$B:$B,$B$1*100+12))</f>
        <v/>
      </c>
      <c r="O500">
        <f>IF(원생!$I498="","",원생!$I498)</f>
        <v/>
      </c>
      <c r="P500">
        <f>IF($A500="","",IF(AND($B500&gt;0,C500&lt;$B500,DATE($B$1,1,1)&lt;=TODAY(),OR($O500="",$O500&gt;=DATE($B$1,1,1)),OR(COUNTIF($C500:C500,"&gt;0")&gt;0,DATE($B$1,1,1)=DATE(YEAR(TODAY()),MONTH(TODAY()),1))),1,0))</f>
        <v/>
      </c>
      <c r="Q500">
        <f>IF($A500="","",IF(AND($B500&gt;0,D500&lt;$B500,DATE($B$1,2,1)&lt;=TODAY(),OR($O500="",$O500&gt;=DATE($B$1,2,1)),OR(COUNTIF($C500:D500,"&gt;0")&gt;0,DATE($B$1,2,1)=DATE(YEAR(TODAY()),MONTH(TODAY()),1))),1,0))</f>
        <v/>
      </c>
      <c r="R500">
        <f>IF($A500="","",IF(AND($B500&gt;0,E500&lt;$B500,DATE($B$1,3,1)&lt;=TODAY(),OR($O500="",$O500&gt;=DATE($B$1,3,1)),OR(COUNTIF($C500:E500,"&gt;0")&gt;0,DATE($B$1,3,1)=DATE(YEAR(TODAY()),MONTH(TODAY()),1))),1,0))</f>
        <v/>
      </c>
      <c r="S500">
        <f>IF($A500="","",IF(AND($B500&gt;0,F500&lt;$B500,DATE($B$1,4,1)&lt;=TODAY(),OR($O500="",$O500&gt;=DATE($B$1,4,1)),OR(COUNTIF($C500:F500,"&gt;0")&gt;0,DATE($B$1,4,1)=DATE(YEAR(TODAY()),MONTH(TODAY()),1))),1,0))</f>
        <v/>
      </c>
      <c r="T500">
        <f>IF($A500="","",IF(AND($B500&gt;0,G500&lt;$B500,DATE($B$1,5,1)&lt;=TODAY(),OR($O500="",$O500&gt;=DATE($B$1,5,1)),OR(COUNTIF($C500:G500,"&gt;0")&gt;0,DATE($B$1,5,1)=DATE(YEAR(TODAY()),MONTH(TODAY()),1))),1,0))</f>
        <v/>
      </c>
      <c r="U500">
        <f>IF($A500="","",IF(AND($B500&gt;0,H500&lt;$B500,DATE($B$1,6,1)&lt;=TODAY(),OR($O500="",$O500&gt;=DATE($B$1,6,1)),OR(COUNTIF($C500:H500,"&gt;0")&gt;0,DATE($B$1,6,1)=DATE(YEAR(TODAY()),MONTH(TODAY()),1))),1,0))</f>
        <v/>
      </c>
      <c r="V500">
        <f>IF($A500="","",IF(AND($B500&gt;0,I500&lt;$B500,DATE($B$1,7,1)&lt;=TODAY(),OR($O500="",$O500&gt;=DATE($B$1,7,1)),OR(COUNTIF($C500:I500,"&gt;0")&gt;0,DATE($B$1,7,1)=DATE(YEAR(TODAY()),MONTH(TODAY()),1))),1,0))</f>
        <v/>
      </c>
      <c r="W500">
        <f>IF($A500="","",IF(AND($B500&gt;0,J500&lt;$B500,DATE($B$1,8,1)&lt;=TODAY(),OR($O500="",$O500&gt;=DATE($B$1,8,1)),OR(COUNTIF($C500:J500,"&gt;0")&gt;0,DATE($B$1,8,1)=DATE(YEAR(TODAY()),MONTH(TODAY()),1))),1,0))</f>
        <v/>
      </c>
      <c r="X500">
        <f>IF($A500="","",IF(AND($B500&gt;0,K500&lt;$B500,DATE($B$1,9,1)&lt;=TODAY(),OR($O500="",$O500&gt;=DATE($B$1,9,1)),OR(COUNTIF($C500:K500,"&gt;0")&gt;0,DATE($B$1,9,1)=DATE(YEAR(TODAY()),MONTH(TODAY()),1))),1,0))</f>
        <v/>
      </c>
      <c r="Y500">
        <f>IF($A500="","",IF(AND($B500&gt;0,L500&lt;$B500,DATE($B$1,10,1)&lt;=TODAY(),OR($O500="",$O500&gt;=DATE($B$1,10,1)),OR(COUNTIF($C500:L500,"&gt;0")&gt;0,DATE($B$1,10,1)=DATE(YEAR(TODAY()),MONTH(TODAY()),1))),1,0))</f>
        <v/>
      </c>
      <c r="Z500">
        <f>IF($A500="","",IF(AND($B500&gt;0,M500&lt;$B500,DATE($B$1,11,1)&lt;=TODAY(),OR($O500="",$O500&gt;=DATE($B$1,11,1)),OR(COUNTIF($C500:M500,"&gt;0")&gt;0,DATE($B$1,11,1)=DATE(YEAR(TODAY()),MONTH(TODAY()),1))),1,0))</f>
        <v/>
      </c>
      <c r="AA500">
        <f>IF($A500="","",IF(AND($B500&gt;0,N500&lt;$B500,DATE($B$1,12,1)&lt;=TODAY(),OR($O500="",$O500&gt;=DATE($B$1,12,1)),OR(COUNTIF($C500:N500,"&gt;0")&gt;0,DATE($B$1,12,1)=DATE(YEAR(TODAY()),MONTH(TODAY()),1))),1,0))</f>
        <v/>
      </c>
    </row>
    <row r="501">
      <c r="A501" s="13">
        <f>IF(원생!$A499="","",원생!$A499&amp;IF(원생!$G499="",""," ("&amp;원생!$G499&amp;")"))</f>
        <v/>
      </c>
      <c r="B501" s="8">
        <f>IF(원생!$A499="","",N(원생!$F499))</f>
        <v/>
      </c>
      <c r="C501" s="14">
        <f>IF(원생!$A499="","",SUMIFS(계산!$C:$C,계산!$A:$A,계산!$E499,계산!$B:$B,$B$1*100+1))</f>
        <v/>
      </c>
      <c r="D501" s="14">
        <f>IF(원생!$A499="","",SUMIFS(계산!$C:$C,계산!$A:$A,계산!$E499,계산!$B:$B,$B$1*100+2))</f>
        <v/>
      </c>
      <c r="E501" s="14">
        <f>IF(원생!$A499="","",SUMIFS(계산!$C:$C,계산!$A:$A,계산!$E499,계산!$B:$B,$B$1*100+3))</f>
        <v/>
      </c>
      <c r="F501" s="14">
        <f>IF(원생!$A499="","",SUMIFS(계산!$C:$C,계산!$A:$A,계산!$E499,계산!$B:$B,$B$1*100+4))</f>
        <v/>
      </c>
      <c r="G501" s="14">
        <f>IF(원생!$A499="","",SUMIFS(계산!$C:$C,계산!$A:$A,계산!$E499,계산!$B:$B,$B$1*100+5))</f>
        <v/>
      </c>
      <c r="H501" s="14">
        <f>IF(원생!$A499="","",SUMIFS(계산!$C:$C,계산!$A:$A,계산!$E499,계산!$B:$B,$B$1*100+6))</f>
        <v/>
      </c>
      <c r="I501" s="14">
        <f>IF(원생!$A499="","",SUMIFS(계산!$C:$C,계산!$A:$A,계산!$E499,계산!$B:$B,$B$1*100+7))</f>
        <v/>
      </c>
      <c r="J501" s="14">
        <f>IF(원생!$A499="","",SUMIFS(계산!$C:$C,계산!$A:$A,계산!$E499,계산!$B:$B,$B$1*100+8))</f>
        <v/>
      </c>
      <c r="K501" s="14">
        <f>IF(원생!$A499="","",SUMIFS(계산!$C:$C,계산!$A:$A,계산!$E499,계산!$B:$B,$B$1*100+9))</f>
        <v/>
      </c>
      <c r="L501" s="14">
        <f>IF(원생!$A499="","",SUMIFS(계산!$C:$C,계산!$A:$A,계산!$E499,계산!$B:$B,$B$1*100+10))</f>
        <v/>
      </c>
      <c r="M501" s="14">
        <f>IF(원생!$A499="","",SUMIFS(계산!$C:$C,계산!$A:$A,계산!$E499,계산!$B:$B,$B$1*100+11))</f>
        <v/>
      </c>
      <c r="N501" s="14">
        <f>IF(원생!$A499="","",SUMIFS(계산!$C:$C,계산!$A:$A,계산!$E499,계산!$B:$B,$B$1*100+12))</f>
        <v/>
      </c>
      <c r="O501">
        <f>IF(원생!$I499="","",원생!$I499)</f>
        <v/>
      </c>
      <c r="P501">
        <f>IF($A501="","",IF(AND($B501&gt;0,C501&lt;$B501,DATE($B$1,1,1)&lt;=TODAY(),OR($O501="",$O501&gt;=DATE($B$1,1,1)),OR(COUNTIF($C501:C501,"&gt;0")&gt;0,DATE($B$1,1,1)=DATE(YEAR(TODAY()),MONTH(TODAY()),1))),1,0))</f>
        <v/>
      </c>
      <c r="Q501">
        <f>IF($A501="","",IF(AND($B501&gt;0,D501&lt;$B501,DATE($B$1,2,1)&lt;=TODAY(),OR($O501="",$O501&gt;=DATE($B$1,2,1)),OR(COUNTIF($C501:D501,"&gt;0")&gt;0,DATE($B$1,2,1)=DATE(YEAR(TODAY()),MONTH(TODAY()),1))),1,0))</f>
        <v/>
      </c>
      <c r="R501">
        <f>IF($A501="","",IF(AND($B501&gt;0,E501&lt;$B501,DATE($B$1,3,1)&lt;=TODAY(),OR($O501="",$O501&gt;=DATE($B$1,3,1)),OR(COUNTIF($C501:E501,"&gt;0")&gt;0,DATE($B$1,3,1)=DATE(YEAR(TODAY()),MONTH(TODAY()),1))),1,0))</f>
        <v/>
      </c>
      <c r="S501">
        <f>IF($A501="","",IF(AND($B501&gt;0,F501&lt;$B501,DATE($B$1,4,1)&lt;=TODAY(),OR($O501="",$O501&gt;=DATE($B$1,4,1)),OR(COUNTIF($C501:F501,"&gt;0")&gt;0,DATE($B$1,4,1)=DATE(YEAR(TODAY()),MONTH(TODAY()),1))),1,0))</f>
        <v/>
      </c>
      <c r="T501">
        <f>IF($A501="","",IF(AND($B501&gt;0,G501&lt;$B501,DATE($B$1,5,1)&lt;=TODAY(),OR($O501="",$O501&gt;=DATE($B$1,5,1)),OR(COUNTIF($C501:G501,"&gt;0")&gt;0,DATE($B$1,5,1)=DATE(YEAR(TODAY()),MONTH(TODAY()),1))),1,0))</f>
        <v/>
      </c>
      <c r="U501">
        <f>IF($A501="","",IF(AND($B501&gt;0,H501&lt;$B501,DATE($B$1,6,1)&lt;=TODAY(),OR($O501="",$O501&gt;=DATE($B$1,6,1)),OR(COUNTIF($C501:H501,"&gt;0")&gt;0,DATE($B$1,6,1)=DATE(YEAR(TODAY()),MONTH(TODAY()),1))),1,0))</f>
        <v/>
      </c>
      <c r="V501">
        <f>IF($A501="","",IF(AND($B501&gt;0,I501&lt;$B501,DATE($B$1,7,1)&lt;=TODAY(),OR($O501="",$O501&gt;=DATE($B$1,7,1)),OR(COUNTIF($C501:I501,"&gt;0")&gt;0,DATE($B$1,7,1)=DATE(YEAR(TODAY()),MONTH(TODAY()),1))),1,0))</f>
        <v/>
      </c>
      <c r="W501">
        <f>IF($A501="","",IF(AND($B501&gt;0,J501&lt;$B501,DATE($B$1,8,1)&lt;=TODAY(),OR($O501="",$O501&gt;=DATE($B$1,8,1)),OR(COUNTIF($C501:J501,"&gt;0")&gt;0,DATE($B$1,8,1)=DATE(YEAR(TODAY()),MONTH(TODAY()),1))),1,0))</f>
        <v/>
      </c>
      <c r="X501">
        <f>IF($A501="","",IF(AND($B501&gt;0,K501&lt;$B501,DATE($B$1,9,1)&lt;=TODAY(),OR($O501="",$O501&gt;=DATE($B$1,9,1)),OR(COUNTIF($C501:K501,"&gt;0")&gt;0,DATE($B$1,9,1)=DATE(YEAR(TODAY()),MONTH(TODAY()),1))),1,0))</f>
        <v/>
      </c>
      <c r="Y501">
        <f>IF($A501="","",IF(AND($B501&gt;0,L501&lt;$B501,DATE($B$1,10,1)&lt;=TODAY(),OR($O501="",$O501&gt;=DATE($B$1,10,1)),OR(COUNTIF($C501:L501,"&gt;0")&gt;0,DATE($B$1,10,1)=DATE(YEAR(TODAY()),MONTH(TODAY()),1))),1,0))</f>
        <v/>
      </c>
      <c r="Z501">
        <f>IF($A501="","",IF(AND($B501&gt;0,M501&lt;$B501,DATE($B$1,11,1)&lt;=TODAY(),OR($O501="",$O501&gt;=DATE($B$1,11,1)),OR(COUNTIF($C501:M501,"&gt;0")&gt;0,DATE($B$1,11,1)=DATE(YEAR(TODAY()),MONTH(TODAY()),1))),1,0))</f>
        <v/>
      </c>
      <c r="AA501">
        <f>IF($A501="","",IF(AND($B501&gt;0,N501&lt;$B501,DATE($B$1,12,1)&lt;=TODAY(),OR($O501="",$O501&gt;=DATE($B$1,12,1)),OR(COUNTIF($C501:N501,"&gt;0")&gt;0,DATE($B$1,12,1)=DATE(YEAR(TODAY()),MONTH(TODAY()),1))),1,0))</f>
        <v/>
      </c>
    </row>
    <row r="502">
      <c r="A502" s="13">
        <f>IF(원생!$A500="","",원생!$A500&amp;IF(원생!$G500="",""," ("&amp;원생!$G500&amp;")"))</f>
        <v/>
      </c>
      <c r="B502" s="8">
        <f>IF(원생!$A500="","",N(원생!$F500))</f>
        <v/>
      </c>
      <c r="C502" s="14">
        <f>IF(원생!$A500="","",SUMIFS(계산!$C:$C,계산!$A:$A,계산!$E500,계산!$B:$B,$B$1*100+1))</f>
        <v/>
      </c>
      <c r="D502" s="14">
        <f>IF(원생!$A500="","",SUMIFS(계산!$C:$C,계산!$A:$A,계산!$E500,계산!$B:$B,$B$1*100+2))</f>
        <v/>
      </c>
      <c r="E502" s="14">
        <f>IF(원생!$A500="","",SUMIFS(계산!$C:$C,계산!$A:$A,계산!$E500,계산!$B:$B,$B$1*100+3))</f>
        <v/>
      </c>
      <c r="F502" s="14">
        <f>IF(원생!$A500="","",SUMIFS(계산!$C:$C,계산!$A:$A,계산!$E500,계산!$B:$B,$B$1*100+4))</f>
        <v/>
      </c>
      <c r="G502" s="14">
        <f>IF(원생!$A500="","",SUMIFS(계산!$C:$C,계산!$A:$A,계산!$E500,계산!$B:$B,$B$1*100+5))</f>
        <v/>
      </c>
      <c r="H502" s="14">
        <f>IF(원생!$A500="","",SUMIFS(계산!$C:$C,계산!$A:$A,계산!$E500,계산!$B:$B,$B$1*100+6))</f>
        <v/>
      </c>
      <c r="I502" s="14">
        <f>IF(원생!$A500="","",SUMIFS(계산!$C:$C,계산!$A:$A,계산!$E500,계산!$B:$B,$B$1*100+7))</f>
        <v/>
      </c>
      <c r="J502" s="14">
        <f>IF(원생!$A500="","",SUMIFS(계산!$C:$C,계산!$A:$A,계산!$E500,계산!$B:$B,$B$1*100+8))</f>
        <v/>
      </c>
      <c r="K502" s="14">
        <f>IF(원생!$A500="","",SUMIFS(계산!$C:$C,계산!$A:$A,계산!$E500,계산!$B:$B,$B$1*100+9))</f>
        <v/>
      </c>
      <c r="L502" s="14">
        <f>IF(원생!$A500="","",SUMIFS(계산!$C:$C,계산!$A:$A,계산!$E500,계산!$B:$B,$B$1*100+10))</f>
        <v/>
      </c>
      <c r="M502" s="14">
        <f>IF(원생!$A500="","",SUMIFS(계산!$C:$C,계산!$A:$A,계산!$E500,계산!$B:$B,$B$1*100+11))</f>
        <v/>
      </c>
      <c r="N502" s="14">
        <f>IF(원생!$A500="","",SUMIFS(계산!$C:$C,계산!$A:$A,계산!$E500,계산!$B:$B,$B$1*100+12))</f>
        <v/>
      </c>
      <c r="O502">
        <f>IF(원생!$I500="","",원생!$I500)</f>
        <v/>
      </c>
      <c r="P502">
        <f>IF($A502="","",IF(AND($B502&gt;0,C502&lt;$B502,DATE($B$1,1,1)&lt;=TODAY(),OR($O502="",$O502&gt;=DATE($B$1,1,1)),OR(COUNTIF($C502:C502,"&gt;0")&gt;0,DATE($B$1,1,1)=DATE(YEAR(TODAY()),MONTH(TODAY()),1))),1,0))</f>
        <v/>
      </c>
      <c r="Q502">
        <f>IF($A502="","",IF(AND($B502&gt;0,D502&lt;$B502,DATE($B$1,2,1)&lt;=TODAY(),OR($O502="",$O502&gt;=DATE($B$1,2,1)),OR(COUNTIF($C502:D502,"&gt;0")&gt;0,DATE($B$1,2,1)=DATE(YEAR(TODAY()),MONTH(TODAY()),1))),1,0))</f>
        <v/>
      </c>
      <c r="R502">
        <f>IF($A502="","",IF(AND($B502&gt;0,E502&lt;$B502,DATE($B$1,3,1)&lt;=TODAY(),OR($O502="",$O502&gt;=DATE($B$1,3,1)),OR(COUNTIF($C502:E502,"&gt;0")&gt;0,DATE($B$1,3,1)=DATE(YEAR(TODAY()),MONTH(TODAY()),1))),1,0))</f>
        <v/>
      </c>
      <c r="S502">
        <f>IF($A502="","",IF(AND($B502&gt;0,F502&lt;$B502,DATE($B$1,4,1)&lt;=TODAY(),OR($O502="",$O502&gt;=DATE($B$1,4,1)),OR(COUNTIF($C502:F502,"&gt;0")&gt;0,DATE($B$1,4,1)=DATE(YEAR(TODAY()),MONTH(TODAY()),1))),1,0))</f>
        <v/>
      </c>
      <c r="T502">
        <f>IF($A502="","",IF(AND($B502&gt;0,G502&lt;$B502,DATE($B$1,5,1)&lt;=TODAY(),OR($O502="",$O502&gt;=DATE($B$1,5,1)),OR(COUNTIF($C502:G502,"&gt;0")&gt;0,DATE($B$1,5,1)=DATE(YEAR(TODAY()),MONTH(TODAY()),1))),1,0))</f>
        <v/>
      </c>
      <c r="U502">
        <f>IF($A502="","",IF(AND($B502&gt;0,H502&lt;$B502,DATE($B$1,6,1)&lt;=TODAY(),OR($O502="",$O502&gt;=DATE($B$1,6,1)),OR(COUNTIF($C502:H502,"&gt;0")&gt;0,DATE($B$1,6,1)=DATE(YEAR(TODAY()),MONTH(TODAY()),1))),1,0))</f>
        <v/>
      </c>
      <c r="V502">
        <f>IF($A502="","",IF(AND($B502&gt;0,I502&lt;$B502,DATE($B$1,7,1)&lt;=TODAY(),OR($O502="",$O502&gt;=DATE($B$1,7,1)),OR(COUNTIF($C502:I502,"&gt;0")&gt;0,DATE($B$1,7,1)=DATE(YEAR(TODAY()),MONTH(TODAY()),1))),1,0))</f>
        <v/>
      </c>
      <c r="W502">
        <f>IF($A502="","",IF(AND($B502&gt;0,J502&lt;$B502,DATE($B$1,8,1)&lt;=TODAY(),OR($O502="",$O502&gt;=DATE($B$1,8,1)),OR(COUNTIF($C502:J502,"&gt;0")&gt;0,DATE($B$1,8,1)=DATE(YEAR(TODAY()),MONTH(TODAY()),1))),1,0))</f>
        <v/>
      </c>
      <c r="X502">
        <f>IF($A502="","",IF(AND($B502&gt;0,K502&lt;$B502,DATE($B$1,9,1)&lt;=TODAY(),OR($O502="",$O502&gt;=DATE($B$1,9,1)),OR(COUNTIF($C502:K502,"&gt;0")&gt;0,DATE($B$1,9,1)=DATE(YEAR(TODAY()),MONTH(TODAY()),1))),1,0))</f>
        <v/>
      </c>
      <c r="Y502">
        <f>IF($A502="","",IF(AND($B502&gt;0,L502&lt;$B502,DATE($B$1,10,1)&lt;=TODAY(),OR($O502="",$O502&gt;=DATE($B$1,10,1)),OR(COUNTIF($C502:L502,"&gt;0")&gt;0,DATE($B$1,10,1)=DATE(YEAR(TODAY()),MONTH(TODAY()),1))),1,0))</f>
        <v/>
      </c>
      <c r="Z502">
        <f>IF($A502="","",IF(AND($B502&gt;0,M502&lt;$B502,DATE($B$1,11,1)&lt;=TODAY(),OR($O502="",$O502&gt;=DATE($B$1,11,1)),OR(COUNTIF($C502:M502,"&gt;0")&gt;0,DATE($B$1,11,1)=DATE(YEAR(TODAY()),MONTH(TODAY()),1))),1,0))</f>
        <v/>
      </c>
      <c r="AA502">
        <f>IF($A502="","",IF(AND($B502&gt;0,N502&lt;$B502,DATE($B$1,12,1)&lt;=TODAY(),OR($O502="",$O502&gt;=DATE($B$1,12,1)),OR(COUNTIF($C502:N502,"&gt;0")&gt;0,DATE($B$1,12,1)=DATE(YEAR(TODAY()),MONTH(TODAY()),1))),1,0))</f>
        <v/>
      </c>
    </row>
    <row r="503">
      <c r="A503" s="13">
        <f>IF(원생!$A501="","",원생!$A501&amp;IF(원생!$G501="",""," ("&amp;원생!$G501&amp;")"))</f>
        <v/>
      </c>
      <c r="B503" s="8">
        <f>IF(원생!$A501="","",N(원생!$F501))</f>
        <v/>
      </c>
      <c r="C503" s="14">
        <f>IF(원생!$A501="","",SUMIFS(계산!$C:$C,계산!$A:$A,계산!$E501,계산!$B:$B,$B$1*100+1))</f>
        <v/>
      </c>
      <c r="D503" s="14">
        <f>IF(원생!$A501="","",SUMIFS(계산!$C:$C,계산!$A:$A,계산!$E501,계산!$B:$B,$B$1*100+2))</f>
        <v/>
      </c>
      <c r="E503" s="14">
        <f>IF(원생!$A501="","",SUMIFS(계산!$C:$C,계산!$A:$A,계산!$E501,계산!$B:$B,$B$1*100+3))</f>
        <v/>
      </c>
      <c r="F503" s="14">
        <f>IF(원생!$A501="","",SUMIFS(계산!$C:$C,계산!$A:$A,계산!$E501,계산!$B:$B,$B$1*100+4))</f>
        <v/>
      </c>
      <c r="G503" s="14">
        <f>IF(원생!$A501="","",SUMIFS(계산!$C:$C,계산!$A:$A,계산!$E501,계산!$B:$B,$B$1*100+5))</f>
        <v/>
      </c>
      <c r="H503" s="14">
        <f>IF(원생!$A501="","",SUMIFS(계산!$C:$C,계산!$A:$A,계산!$E501,계산!$B:$B,$B$1*100+6))</f>
        <v/>
      </c>
      <c r="I503" s="14">
        <f>IF(원생!$A501="","",SUMIFS(계산!$C:$C,계산!$A:$A,계산!$E501,계산!$B:$B,$B$1*100+7))</f>
        <v/>
      </c>
      <c r="J503" s="14">
        <f>IF(원생!$A501="","",SUMIFS(계산!$C:$C,계산!$A:$A,계산!$E501,계산!$B:$B,$B$1*100+8))</f>
        <v/>
      </c>
      <c r="K503" s="14">
        <f>IF(원생!$A501="","",SUMIFS(계산!$C:$C,계산!$A:$A,계산!$E501,계산!$B:$B,$B$1*100+9))</f>
        <v/>
      </c>
      <c r="L503" s="14">
        <f>IF(원생!$A501="","",SUMIFS(계산!$C:$C,계산!$A:$A,계산!$E501,계산!$B:$B,$B$1*100+10))</f>
        <v/>
      </c>
      <c r="M503" s="14">
        <f>IF(원생!$A501="","",SUMIFS(계산!$C:$C,계산!$A:$A,계산!$E501,계산!$B:$B,$B$1*100+11))</f>
        <v/>
      </c>
      <c r="N503" s="14">
        <f>IF(원생!$A501="","",SUMIFS(계산!$C:$C,계산!$A:$A,계산!$E501,계산!$B:$B,$B$1*100+12))</f>
        <v/>
      </c>
      <c r="O503">
        <f>IF(원생!$I501="","",원생!$I501)</f>
        <v/>
      </c>
      <c r="P503">
        <f>IF($A503="","",IF(AND($B503&gt;0,C503&lt;$B503,DATE($B$1,1,1)&lt;=TODAY(),OR($O503="",$O503&gt;=DATE($B$1,1,1)),OR(COUNTIF($C503:C503,"&gt;0")&gt;0,DATE($B$1,1,1)=DATE(YEAR(TODAY()),MONTH(TODAY()),1))),1,0))</f>
        <v/>
      </c>
      <c r="Q503">
        <f>IF($A503="","",IF(AND($B503&gt;0,D503&lt;$B503,DATE($B$1,2,1)&lt;=TODAY(),OR($O503="",$O503&gt;=DATE($B$1,2,1)),OR(COUNTIF($C503:D503,"&gt;0")&gt;0,DATE($B$1,2,1)=DATE(YEAR(TODAY()),MONTH(TODAY()),1))),1,0))</f>
        <v/>
      </c>
      <c r="R503">
        <f>IF($A503="","",IF(AND($B503&gt;0,E503&lt;$B503,DATE($B$1,3,1)&lt;=TODAY(),OR($O503="",$O503&gt;=DATE($B$1,3,1)),OR(COUNTIF($C503:E503,"&gt;0")&gt;0,DATE($B$1,3,1)=DATE(YEAR(TODAY()),MONTH(TODAY()),1))),1,0))</f>
        <v/>
      </c>
      <c r="S503">
        <f>IF($A503="","",IF(AND($B503&gt;0,F503&lt;$B503,DATE($B$1,4,1)&lt;=TODAY(),OR($O503="",$O503&gt;=DATE($B$1,4,1)),OR(COUNTIF($C503:F503,"&gt;0")&gt;0,DATE($B$1,4,1)=DATE(YEAR(TODAY()),MONTH(TODAY()),1))),1,0))</f>
        <v/>
      </c>
      <c r="T503">
        <f>IF($A503="","",IF(AND($B503&gt;0,G503&lt;$B503,DATE($B$1,5,1)&lt;=TODAY(),OR($O503="",$O503&gt;=DATE($B$1,5,1)),OR(COUNTIF($C503:G503,"&gt;0")&gt;0,DATE($B$1,5,1)=DATE(YEAR(TODAY()),MONTH(TODAY()),1))),1,0))</f>
        <v/>
      </c>
      <c r="U503">
        <f>IF($A503="","",IF(AND($B503&gt;0,H503&lt;$B503,DATE($B$1,6,1)&lt;=TODAY(),OR($O503="",$O503&gt;=DATE($B$1,6,1)),OR(COUNTIF($C503:H503,"&gt;0")&gt;0,DATE($B$1,6,1)=DATE(YEAR(TODAY()),MONTH(TODAY()),1))),1,0))</f>
        <v/>
      </c>
      <c r="V503">
        <f>IF($A503="","",IF(AND($B503&gt;0,I503&lt;$B503,DATE($B$1,7,1)&lt;=TODAY(),OR($O503="",$O503&gt;=DATE($B$1,7,1)),OR(COUNTIF($C503:I503,"&gt;0")&gt;0,DATE($B$1,7,1)=DATE(YEAR(TODAY()),MONTH(TODAY()),1))),1,0))</f>
        <v/>
      </c>
      <c r="W503">
        <f>IF($A503="","",IF(AND($B503&gt;0,J503&lt;$B503,DATE($B$1,8,1)&lt;=TODAY(),OR($O503="",$O503&gt;=DATE($B$1,8,1)),OR(COUNTIF($C503:J503,"&gt;0")&gt;0,DATE($B$1,8,1)=DATE(YEAR(TODAY()),MONTH(TODAY()),1))),1,0))</f>
        <v/>
      </c>
      <c r="X503">
        <f>IF($A503="","",IF(AND($B503&gt;0,K503&lt;$B503,DATE($B$1,9,1)&lt;=TODAY(),OR($O503="",$O503&gt;=DATE($B$1,9,1)),OR(COUNTIF($C503:K503,"&gt;0")&gt;0,DATE($B$1,9,1)=DATE(YEAR(TODAY()),MONTH(TODAY()),1))),1,0))</f>
        <v/>
      </c>
      <c r="Y503">
        <f>IF($A503="","",IF(AND($B503&gt;0,L503&lt;$B503,DATE($B$1,10,1)&lt;=TODAY(),OR($O503="",$O503&gt;=DATE($B$1,10,1)),OR(COUNTIF($C503:L503,"&gt;0")&gt;0,DATE($B$1,10,1)=DATE(YEAR(TODAY()),MONTH(TODAY()),1))),1,0))</f>
        <v/>
      </c>
      <c r="Z503">
        <f>IF($A503="","",IF(AND($B503&gt;0,M503&lt;$B503,DATE($B$1,11,1)&lt;=TODAY(),OR($O503="",$O503&gt;=DATE($B$1,11,1)),OR(COUNTIF($C503:M503,"&gt;0")&gt;0,DATE($B$1,11,1)=DATE(YEAR(TODAY()),MONTH(TODAY()),1))),1,0))</f>
        <v/>
      </c>
      <c r="AA503">
        <f>IF($A503="","",IF(AND($B503&gt;0,N503&lt;$B503,DATE($B$1,12,1)&lt;=TODAY(),OR($O503="",$O503&gt;=DATE($B$1,12,1)),OR(COUNTIF($C503:N503,"&gt;0")&gt;0,DATE($B$1,12,1)=DATE(YEAR(TODAY()),MONTH(TODAY()),1))),1,0))</f>
        <v/>
      </c>
    </row>
    <row r="506">
      <c r="A506" s="10" t="inlineStr">
        <is>
          <t>월별 받은 돈 (받은 날 기준, 수입구분 전체)</t>
        </is>
      </c>
    </row>
    <row r="507">
      <c r="C507" s="15" t="inlineStr">
        <is>
          <t>1월</t>
        </is>
      </c>
      <c r="D507" s="15" t="inlineStr">
        <is>
          <t>2월</t>
        </is>
      </c>
      <c r="E507" s="15" t="inlineStr">
        <is>
          <t>3월</t>
        </is>
      </c>
      <c r="F507" s="15" t="inlineStr">
        <is>
          <t>4월</t>
        </is>
      </c>
      <c r="G507" s="15" t="inlineStr">
        <is>
          <t>5월</t>
        </is>
      </c>
      <c r="H507" s="15" t="inlineStr">
        <is>
          <t>6월</t>
        </is>
      </c>
      <c r="I507" s="15" t="inlineStr">
        <is>
          <t>7월</t>
        </is>
      </c>
      <c r="J507" s="15" t="inlineStr">
        <is>
          <t>8월</t>
        </is>
      </c>
      <c r="K507" s="15" t="inlineStr">
        <is>
          <t>9월</t>
        </is>
      </c>
      <c r="L507" s="15" t="inlineStr">
        <is>
          <t>10월</t>
        </is>
      </c>
      <c r="M507" s="15" t="inlineStr">
        <is>
          <t>11월</t>
        </is>
      </c>
      <c r="N507" s="15" t="inlineStr">
        <is>
          <t>12월</t>
        </is>
      </c>
    </row>
    <row r="508">
      <c r="A508" s="10" t="inlineStr">
        <is>
          <t>카드</t>
        </is>
      </c>
      <c r="C508" s="14">
        <f>SUMIFS(수납!$F:$F,수납!$A:$A,"&gt;="&amp;DATE($B$1,1,1),수납!$A:$A,"&lt;"&amp;DATE($B$1,2,1),수납!$G:$G,"카드")</f>
        <v/>
      </c>
      <c r="D508" s="14">
        <f>SUMIFS(수납!$F:$F,수납!$A:$A,"&gt;="&amp;DATE($B$1,2,1),수납!$A:$A,"&lt;"&amp;DATE($B$1,3,1),수납!$G:$G,"카드")</f>
        <v/>
      </c>
      <c r="E508" s="14">
        <f>SUMIFS(수납!$F:$F,수납!$A:$A,"&gt;="&amp;DATE($B$1,3,1),수납!$A:$A,"&lt;"&amp;DATE($B$1,4,1),수납!$G:$G,"카드")</f>
        <v/>
      </c>
      <c r="F508" s="14">
        <f>SUMIFS(수납!$F:$F,수납!$A:$A,"&gt;="&amp;DATE($B$1,4,1),수납!$A:$A,"&lt;"&amp;DATE($B$1,5,1),수납!$G:$G,"카드")</f>
        <v/>
      </c>
      <c r="G508" s="14">
        <f>SUMIFS(수납!$F:$F,수납!$A:$A,"&gt;="&amp;DATE($B$1,5,1),수납!$A:$A,"&lt;"&amp;DATE($B$1,6,1),수납!$G:$G,"카드")</f>
        <v/>
      </c>
      <c r="H508" s="14">
        <f>SUMIFS(수납!$F:$F,수납!$A:$A,"&gt;="&amp;DATE($B$1,6,1),수납!$A:$A,"&lt;"&amp;DATE($B$1,7,1),수납!$G:$G,"카드")</f>
        <v/>
      </c>
      <c r="I508" s="14">
        <f>SUMIFS(수납!$F:$F,수납!$A:$A,"&gt;="&amp;DATE($B$1,7,1),수납!$A:$A,"&lt;"&amp;DATE($B$1,8,1),수납!$G:$G,"카드")</f>
        <v/>
      </c>
      <c r="J508" s="14">
        <f>SUMIFS(수납!$F:$F,수납!$A:$A,"&gt;="&amp;DATE($B$1,8,1),수납!$A:$A,"&lt;"&amp;DATE($B$1,9,1),수납!$G:$G,"카드")</f>
        <v/>
      </c>
      <c r="K508" s="14">
        <f>SUMIFS(수납!$F:$F,수납!$A:$A,"&gt;="&amp;DATE($B$1,9,1),수납!$A:$A,"&lt;"&amp;DATE($B$1,10,1),수납!$G:$G,"카드")</f>
        <v/>
      </c>
      <c r="L508" s="14">
        <f>SUMIFS(수납!$F:$F,수납!$A:$A,"&gt;="&amp;DATE($B$1,10,1),수납!$A:$A,"&lt;"&amp;DATE($B$1,11,1),수납!$G:$G,"카드")</f>
        <v/>
      </c>
      <c r="M508" s="14">
        <f>SUMIFS(수납!$F:$F,수납!$A:$A,"&gt;="&amp;DATE($B$1,11,1),수납!$A:$A,"&lt;"&amp;DATE($B$1,12,1),수납!$G:$G,"카드")</f>
        <v/>
      </c>
      <c r="N508" s="14">
        <f>SUMIFS(수납!$F:$F,수납!$A:$A,"&gt;="&amp;DATE($B$1,12,1),수납!$A:$A,"&lt;"&amp;DATE($B$1+1,1,1),수납!$G:$G,"카드")</f>
        <v/>
      </c>
    </row>
    <row r="509">
      <c r="A509" s="10" t="inlineStr">
        <is>
          <t>계좌이체</t>
        </is>
      </c>
      <c r="C509" s="14">
        <f>SUMIFS(수납!$F:$F,수납!$A:$A,"&gt;="&amp;DATE($B$1,1,1),수납!$A:$A,"&lt;"&amp;DATE($B$1,2,1),수납!$G:$G,"계좌이체")</f>
        <v/>
      </c>
      <c r="D509" s="14">
        <f>SUMIFS(수납!$F:$F,수납!$A:$A,"&gt;="&amp;DATE($B$1,2,1),수납!$A:$A,"&lt;"&amp;DATE($B$1,3,1),수납!$G:$G,"계좌이체")</f>
        <v/>
      </c>
      <c r="E509" s="14">
        <f>SUMIFS(수납!$F:$F,수납!$A:$A,"&gt;="&amp;DATE($B$1,3,1),수납!$A:$A,"&lt;"&amp;DATE($B$1,4,1),수납!$G:$G,"계좌이체")</f>
        <v/>
      </c>
      <c r="F509" s="14">
        <f>SUMIFS(수납!$F:$F,수납!$A:$A,"&gt;="&amp;DATE($B$1,4,1),수납!$A:$A,"&lt;"&amp;DATE($B$1,5,1),수납!$G:$G,"계좌이체")</f>
        <v/>
      </c>
      <c r="G509" s="14">
        <f>SUMIFS(수납!$F:$F,수납!$A:$A,"&gt;="&amp;DATE($B$1,5,1),수납!$A:$A,"&lt;"&amp;DATE($B$1,6,1),수납!$G:$G,"계좌이체")</f>
        <v/>
      </c>
      <c r="H509" s="14">
        <f>SUMIFS(수납!$F:$F,수납!$A:$A,"&gt;="&amp;DATE($B$1,6,1),수납!$A:$A,"&lt;"&amp;DATE($B$1,7,1),수납!$G:$G,"계좌이체")</f>
        <v/>
      </c>
      <c r="I509" s="14">
        <f>SUMIFS(수납!$F:$F,수납!$A:$A,"&gt;="&amp;DATE($B$1,7,1),수납!$A:$A,"&lt;"&amp;DATE($B$1,8,1),수납!$G:$G,"계좌이체")</f>
        <v/>
      </c>
      <c r="J509" s="14">
        <f>SUMIFS(수납!$F:$F,수납!$A:$A,"&gt;="&amp;DATE($B$1,8,1),수납!$A:$A,"&lt;"&amp;DATE($B$1,9,1),수납!$G:$G,"계좌이체")</f>
        <v/>
      </c>
      <c r="K509" s="14">
        <f>SUMIFS(수납!$F:$F,수납!$A:$A,"&gt;="&amp;DATE($B$1,9,1),수납!$A:$A,"&lt;"&amp;DATE($B$1,10,1),수납!$G:$G,"계좌이체")</f>
        <v/>
      </c>
      <c r="L509" s="14">
        <f>SUMIFS(수납!$F:$F,수납!$A:$A,"&gt;="&amp;DATE($B$1,10,1),수납!$A:$A,"&lt;"&amp;DATE($B$1,11,1),수납!$G:$G,"계좌이체")</f>
        <v/>
      </c>
      <c r="M509" s="14">
        <f>SUMIFS(수납!$F:$F,수납!$A:$A,"&gt;="&amp;DATE($B$1,11,1),수납!$A:$A,"&lt;"&amp;DATE($B$1,12,1),수납!$G:$G,"계좌이체")</f>
        <v/>
      </c>
      <c r="N509" s="14">
        <f>SUMIFS(수납!$F:$F,수납!$A:$A,"&gt;="&amp;DATE($B$1,12,1),수납!$A:$A,"&lt;"&amp;DATE($B$1+1,1,1),수납!$G:$G,"계좌이체")</f>
        <v/>
      </c>
    </row>
    <row r="510">
      <c r="A510" s="10" t="inlineStr">
        <is>
          <t>현금</t>
        </is>
      </c>
      <c r="C510" s="14">
        <f>SUMIFS(수납!$F:$F,수납!$A:$A,"&gt;="&amp;DATE($B$1,1,1),수납!$A:$A,"&lt;"&amp;DATE($B$1,2,1),수납!$G:$G,"현금")</f>
        <v/>
      </c>
      <c r="D510" s="14">
        <f>SUMIFS(수납!$F:$F,수납!$A:$A,"&gt;="&amp;DATE($B$1,2,1),수납!$A:$A,"&lt;"&amp;DATE($B$1,3,1),수납!$G:$G,"현금")</f>
        <v/>
      </c>
      <c r="E510" s="14">
        <f>SUMIFS(수납!$F:$F,수납!$A:$A,"&gt;="&amp;DATE($B$1,3,1),수납!$A:$A,"&lt;"&amp;DATE($B$1,4,1),수납!$G:$G,"현금")</f>
        <v/>
      </c>
      <c r="F510" s="14">
        <f>SUMIFS(수납!$F:$F,수납!$A:$A,"&gt;="&amp;DATE($B$1,4,1),수납!$A:$A,"&lt;"&amp;DATE($B$1,5,1),수납!$G:$G,"현금")</f>
        <v/>
      </c>
      <c r="G510" s="14">
        <f>SUMIFS(수납!$F:$F,수납!$A:$A,"&gt;="&amp;DATE($B$1,5,1),수납!$A:$A,"&lt;"&amp;DATE($B$1,6,1),수납!$G:$G,"현금")</f>
        <v/>
      </c>
      <c r="H510" s="14">
        <f>SUMIFS(수납!$F:$F,수납!$A:$A,"&gt;="&amp;DATE($B$1,6,1),수납!$A:$A,"&lt;"&amp;DATE($B$1,7,1),수납!$G:$G,"현금")</f>
        <v/>
      </c>
      <c r="I510" s="14">
        <f>SUMIFS(수납!$F:$F,수납!$A:$A,"&gt;="&amp;DATE($B$1,7,1),수납!$A:$A,"&lt;"&amp;DATE($B$1,8,1),수납!$G:$G,"현금")</f>
        <v/>
      </c>
      <c r="J510" s="14">
        <f>SUMIFS(수납!$F:$F,수납!$A:$A,"&gt;="&amp;DATE($B$1,8,1),수납!$A:$A,"&lt;"&amp;DATE($B$1,9,1),수납!$G:$G,"현금")</f>
        <v/>
      </c>
      <c r="K510" s="14">
        <f>SUMIFS(수납!$F:$F,수납!$A:$A,"&gt;="&amp;DATE($B$1,9,1),수납!$A:$A,"&lt;"&amp;DATE($B$1,10,1),수납!$G:$G,"현금")</f>
        <v/>
      </c>
      <c r="L510" s="14">
        <f>SUMIFS(수납!$F:$F,수납!$A:$A,"&gt;="&amp;DATE($B$1,10,1),수납!$A:$A,"&lt;"&amp;DATE($B$1,11,1),수납!$G:$G,"현금")</f>
        <v/>
      </c>
      <c r="M510" s="14">
        <f>SUMIFS(수납!$F:$F,수납!$A:$A,"&gt;="&amp;DATE($B$1,11,1),수납!$A:$A,"&lt;"&amp;DATE($B$1,12,1),수납!$G:$G,"현금")</f>
        <v/>
      </c>
      <c r="N510" s="14">
        <f>SUMIFS(수납!$F:$F,수납!$A:$A,"&gt;="&amp;DATE($B$1,12,1),수납!$A:$A,"&lt;"&amp;DATE($B$1+1,1,1),수납!$G:$G,"현금")</f>
        <v/>
      </c>
    </row>
    <row r="511">
      <c r="A511" s="10" t="inlineStr">
        <is>
          <t>합계</t>
        </is>
      </c>
      <c r="C511" s="14">
        <f>SUM(C508:C510)</f>
        <v/>
      </c>
      <c r="D511" s="14">
        <f>SUM(D508:D510)</f>
        <v/>
      </c>
      <c r="E511" s="14">
        <f>SUM(E508:E510)</f>
        <v/>
      </c>
      <c r="F511" s="14">
        <f>SUM(F508:F510)</f>
        <v/>
      </c>
      <c r="G511" s="14">
        <f>SUM(G508:G510)</f>
        <v/>
      </c>
      <c r="H511" s="14">
        <f>SUM(H508:H510)</f>
        <v/>
      </c>
      <c r="I511" s="14">
        <f>SUM(I508:I510)</f>
        <v/>
      </c>
      <c r="J511" s="14">
        <f>SUM(J508:J510)</f>
        <v/>
      </c>
      <c r="K511" s="14">
        <f>SUM(K508:K510)</f>
        <v/>
      </c>
      <c r="L511" s="14">
        <f>SUM(L508:L510)</f>
        <v/>
      </c>
      <c r="M511" s="14">
        <f>SUM(M508:M510)</f>
        <v/>
      </c>
      <c r="N511" s="14">
        <f>SUM(N508:N510)</f>
        <v/>
      </c>
    </row>
    <row r="512">
      <c r="A512" s="10" t="inlineStr">
        <is>
          <t>덜 받은 원생 수</t>
        </is>
      </c>
      <c r="C512" s="14">
        <f>IF(DATE($B$1,1,1)&gt;TODAY(),"",SUM(P4:P503))</f>
        <v/>
      </c>
      <c r="D512" s="14">
        <f>IF(DATE($B$1,2,1)&gt;TODAY(),"",SUM(Q4:Q503))</f>
        <v/>
      </c>
      <c r="E512" s="14">
        <f>IF(DATE($B$1,3,1)&gt;TODAY(),"",SUM(R4:R503))</f>
        <v/>
      </c>
      <c r="F512" s="14">
        <f>IF(DATE($B$1,4,1)&gt;TODAY(),"",SUM(S4:S503))</f>
        <v/>
      </c>
      <c r="G512" s="14">
        <f>IF(DATE($B$1,5,1)&gt;TODAY(),"",SUM(T4:T503))</f>
        <v/>
      </c>
      <c r="H512" s="14">
        <f>IF(DATE($B$1,6,1)&gt;TODAY(),"",SUM(U4:U503))</f>
        <v/>
      </c>
      <c r="I512" s="14">
        <f>IF(DATE($B$1,7,1)&gt;TODAY(),"",SUM(V4:V503))</f>
        <v/>
      </c>
      <c r="J512" s="14">
        <f>IF(DATE($B$1,8,1)&gt;TODAY(),"",SUM(W4:W503))</f>
        <v/>
      </c>
      <c r="K512" s="14">
        <f>IF(DATE($B$1,9,1)&gt;TODAY(),"",SUM(X4:X503))</f>
        <v/>
      </c>
      <c r="L512" s="14">
        <f>IF(DATE($B$1,10,1)&gt;TODAY(),"",SUM(Y4:Y503))</f>
        <v/>
      </c>
      <c r="M512" s="14">
        <f>IF(DATE($B$1,11,1)&gt;TODAY(),"",SUM(Z4:Z503))</f>
        <v/>
      </c>
      <c r="N512" s="14">
        <f>IF(DATE($B$1,12,1)&gt;TODAY(),"",SUM(AA4:AA503))</f>
        <v/>
      </c>
    </row>
  </sheetData>
  <conditionalFormatting sqref="C4:N503">
    <cfRule type="expression" priority="1" dxfId="0">
      <formula>P4=1</formula>
    </cfRule>
    <cfRule type="expression" priority="2" dxfId="1">
      <formula>AND($A4&lt;&gt;"",$B4&gt;0,C4&gt;=$B4)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원생 열쇠</t>
        </is>
      </c>
      <c r="B1" t="inlineStr">
        <is>
          <t>수강월</t>
        </is>
      </c>
      <c r="C1" t="inlineStr">
        <is>
          <t>수강료</t>
        </is>
      </c>
      <c r="E1" t="inlineStr">
        <is>
          <t>원생 시트 열쇠</t>
        </is>
      </c>
    </row>
    <row r="2">
      <c r="A2">
        <f>IF(수납!$C2="","",수납!$C2&amp;"|"&amp;IF(수납!$D2&lt;&gt;"",수납!$D2,IF(COUNTIF(원생!$A$2:$A$501,수납!$C2)=1,INDEX(원생!$G$2:$G$501,MATCH(수납!$C2,원생!$A$2:$A$501,0))&amp;"","")))</f>
        <v/>
      </c>
      <c r="B2">
        <f>IFERROR(IF(수납!$B2="",YEAR(수납!$A2)*100+MONTH(수납!$A2),IF(ISNUMBER(수납!$B2),YEAR(수납!$B2)*100+MONTH(수납!$B2),VALUE(LEFT(수납!$B2,4))*100+VALUE(MID(수납!$B2,6,2)))),"")</f>
        <v/>
      </c>
      <c r="C2">
        <f>IF(OR(수납!$E2="수강료",수납!$E2=""),N(수납!$F2),0)</f>
        <v/>
      </c>
      <c r="E2">
        <f>IF(원생!$A2="","",원생!$A2&amp;"|"&amp;원생!$G2)</f>
        <v/>
      </c>
    </row>
    <row r="3">
      <c r="A3">
        <f>IF(수납!$C3="","",수납!$C3&amp;"|"&amp;IF(수납!$D3&lt;&gt;"",수납!$D3,IF(COUNTIF(원생!$A$2:$A$501,수납!$C3)=1,INDEX(원생!$G$2:$G$501,MATCH(수납!$C3,원생!$A$2:$A$501,0))&amp;"","")))</f>
        <v/>
      </c>
      <c r="B3">
        <f>IFERROR(IF(수납!$B3="",YEAR(수납!$A3)*100+MONTH(수납!$A3),IF(ISNUMBER(수납!$B3),YEAR(수납!$B3)*100+MONTH(수납!$B3),VALUE(LEFT(수납!$B3,4))*100+VALUE(MID(수납!$B3,6,2)))),"")</f>
        <v/>
      </c>
      <c r="C3">
        <f>IF(OR(수납!$E3="수강료",수납!$E3=""),N(수납!$F3),0)</f>
        <v/>
      </c>
      <c r="E3">
        <f>IF(원생!$A3="","",원생!$A3&amp;"|"&amp;원생!$G3)</f>
        <v/>
      </c>
    </row>
    <row r="4">
      <c r="A4">
        <f>IF(수납!$C4="","",수납!$C4&amp;"|"&amp;IF(수납!$D4&lt;&gt;"",수납!$D4,IF(COUNTIF(원생!$A$2:$A$501,수납!$C4)=1,INDEX(원생!$G$2:$G$501,MATCH(수납!$C4,원생!$A$2:$A$501,0))&amp;"","")))</f>
        <v/>
      </c>
      <c r="B4">
        <f>IFERROR(IF(수납!$B4="",YEAR(수납!$A4)*100+MONTH(수납!$A4),IF(ISNUMBER(수납!$B4),YEAR(수납!$B4)*100+MONTH(수납!$B4),VALUE(LEFT(수납!$B4,4))*100+VALUE(MID(수납!$B4,6,2)))),"")</f>
        <v/>
      </c>
      <c r="C4">
        <f>IF(OR(수납!$E4="수강료",수납!$E4=""),N(수납!$F4),0)</f>
        <v/>
      </c>
      <c r="E4">
        <f>IF(원생!$A4="","",원생!$A4&amp;"|"&amp;원생!$G4)</f>
        <v/>
      </c>
    </row>
    <row r="5">
      <c r="A5">
        <f>IF(수납!$C5="","",수납!$C5&amp;"|"&amp;IF(수납!$D5&lt;&gt;"",수납!$D5,IF(COUNTIF(원생!$A$2:$A$501,수납!$C5)=1,INDEX(원생!$G$2:$G$501,MATCH(수납!$C5,원생!$A$2:$A$501,0))&amp;"","")))</f>
        <v/>
      </c>
      <c r="B5">
        <f>IFERROR(IF(수납!$B5="",YEAR(수납!$A5)*100+MONTH(수납!$A5),IF(ISNUMBER(수납!$B5),YEAR(수납!$B5)*100+MONTH(수납!$B5),VALUE(LEFT(수납!$B5,4))*100+VALUE(MID(수납!$B5,6,2)))),"")</f>
        <v/>
      </c>
      <c r="C5">
        <f>IF(OR(수납!$E5="수강료",수납!$E5=""),N(수납!$F5),0)</f>
        <v/>
      </c>
      <c r="E5">
        <f>IF(원생!$A5="","",원생!$A5&amp;"|"&amp;원생!$G5)</f>
        <v/>
      </c>
    </row>
    <row r="6">
      <c r="A6">
        <f>IF(수납!$C6="","",수납!$C6&amp;"|"&amp;IF(수납!$D6&lt;&gt;"",수납!$D6,IF(COUNTIF(원생!$A$2:$A$501,수납!$C6)=1,INDEX(원생!$G$2:$G$501,MATCH(수납!$C6,원생!$A$2:$A$501,0))&amp;"","")))</f>
        <v/>
      </c>
      <c r="B6">
        <f>IFERROR(IF(수납!$B6="",YEAR(수납!$A6)*100+MONTH(수납!$A6),IF(ISNUMBER(수납!$B6),YEAR(수납!$B6)*100+MONTH(수납!$B6),VALUE(LEFT(수납!$B6,4))*100+VALUE(MID(수납!$B6,6,2)))),"")</f>
        <v/>
      </c>
      <c r="C6">
        <f>IF(OR(수납!$E6="수강료",수납!$E6=""),N(수납!$F6),0)</f>
        <v/>
      </c>
      <c r="E6">
        <f>IF(원생!$A6="","",원생!$A6&amp;"|"&amp;원생!$G6)</f>
        <v/>
      </c>
    </row>
    <row r="7">
      <c r="A7">
        <f>IF(수납!$C7="","",수납!$C7&amp;"|"&amp;IF(수납!$D7&lt;&gt;"",수납!$D7,IF(COUNTIF(원생!$A$2:$A$501,수납!$C7)=1,INDEX(원생!$G$2:$G$501,MATCH(수납!$C7,원생!$A$2:$A$501,0))&amp;"","")))</f>
        <v/>
      </c>
      <c r="B7">
        <f>IFERROR(IF(수납!$B7="",YEAR(수납!$A7)*100+MONTH(수납!$A7),IF(ISNUMBER(수납!$B7),YEAR(수납!$B7)*100+MONTH(수납!$B7),VALUE(LEFT(수납!$B7,4))*100+VALUE(MID(수납!$B7,6,2)))),"")</f>
        <v/>
      </c>
      <c r="C7">
        <f>IF(OR(수납!$E7="수강료",수납!$E7=""),N(수납!$F7),0)</f>
        <v/>
      </c>
      <c r="E7">
        <f>IF(원생!$A7="","",원생!$A7&amp;"|"&amp;원생!$G7)</f>
        <v/>
      </c>
    </row>
    <row r="8">
      <c r="A8">
        <f>IF(수납!$C8="","",수납!$C8&amp;"|"&amp;IF(수납!$D8&lt;&gt;"",수납!$D8,IF(COUNTIF(원생!$A$2:$A$501,수납!$C8)=1,INDEX(원생!$G$2:$G$501,MATCH(수납!$C8,원생!$A$2:$A$501,0))&amp;"","")))</f>
        <v/>
      </c>
      <c r="B8">
        <f>IFERROR(IF(수납!$B8="",YEAR(수납!$A8)*100+MONTH(수납!$A8),IF(ISNUMBER(수납!$B8),YEAR(수납!$B8)*100+MONTH(수납!$B8),VALUE(LEFT(수납!$B8,4))*100+VALUE(MID(수납!$B8,6,2)))),"")</f>
        <v/>
      </c>
      <c r="C8">
        <f>IF(OR(수납!$E8="수강료",수납!$E8=""),N(수납!$F8),0)</f>
        <v/>
      </c>
      <c r="E8">
        <f>IF(원생!$A8="","",원생!$A8&amp;"|"&amp;원생!$G8)</f>
        <v/>
      </c>
    </row>
    <row r="9">
      <c r="A9">
        <f>IF(수납!$C9="","",수납!$C9&amp;"|"&amp;IF(수납!$D9&lt;&gt;"",수납!$D9,IF(COUNTIF(원생!$A$2:$A$501,수납!$C9)=1,INDEX(원생!$G$2:$G$501,MATCH(수납!$C9,원생!$A$2:$A$501,0))&amp;"","")))</f>
        <v/>
      </c>
      <c r="B9">
        <f>IFERROR(IF(수납!$B9="",YEAR(수납!$A9)*100+MONTH(수납!$A9),IF(ISNUMBER(수납!$B9),YEAR(수납!$B9)*100+MONTH(수납!$B9),VALUE(LEFT(수납!$B9,4))*100+VALUE(MID(수납!$B9,6,2)))),"")</f>
        <v/>
      </c>
      <c r="C9">
        <f>IF(OR(수납!$E9="수강료",수납!$E9=""),N(수납!$F9),0)</f>
        <v/>
      </c>
      <c r="E9">
        <f>IF(원생!$A9="","",원생!$A9&amp;"|"&amp;원생!$G9)</f>
        <v/>
      </c>
    </row>
    <row r="10">
      <c r="A10">
        <f>IF(수납!$C10="","",수납!$C10&amp;"|"&amp;IF(수납!$D10&lt;&gt;"",수납!$D10,IF(COUNTIF(원생!$A$2:$A$501,수납!$C10)=1,INDEX(원생!$G$2:$G$501,MATCH(수납!$C10,원생!$A$2:$A$501,0))&amp;"","")))</f>
        <v/>
      </c>
      <c r="B10">
        <f>IFERROR(IF(수납!$B10="",YEAR(수납!$A10)*100+MONTH(수납!$A10),IF(ISNUMBER(수납!$B10),YEAR(수납!$B10)*100+MONTH(수납!$B10),VALUE(LEFT(수납!$B10,4))*100+VALUE(MID(수납!$B10,6,2)))),"")</f>
        <v/>
      </c>
      <c r="C10">
        <f>IF(OR(수납!$E10="수강료",수납!$E10=""),N(수납!$F10),0)</f>
        <v/>
      </c>
      <c r="E10">
        <f>IF(원생!$A10="","",원생!$A10&amp;"|"&amp;원생!$G10)</f>
        <v/>
      </c>
    </row>
    <row r="11">
      <c r="A11">
        <f>IF(수납!$C11="","",수납!$C11&amp;"|"&amp;IF(수납!$D11&lt;&gt;"",수납!$D11,IF(COUNTIF(원생!$A$2:$A$501,수납!$C11)=1,INDEX(원생!$G$2:$G$501,MATCH(수납!$C11,원생!$A$2:$A$501,0))&amp;"","")))</f>
        <v/>
      </c>
      <c r="B11">
        <f>IFERROR(IF(수납!$B11="",YEAR(수납!$A11)*100+MONTH(수납!$A11),IF(ISNUMBER(수납!$B11),YEAR(수납!$B11)*100+MONTH(수납!$B11),VALUE(LEFT(수납!$B11,4))*100+VALUE(MID(수납!$B11,6,2)))),"")</f>
        <v/>
      </c>
      <c r="C11">
        <f>IF(OR(수납!$E11="수강료",수납!$E11=""),N(수납!$F11),0)</f>
        <v/>
      </c>
      <c r="E11">
        <f>IF(원생!$A11="","",원생!$A11&amp;"|"&amp;원생!$G11)</f>
        <v/>
      </c>
    </row>
    <row r="12">
      <c r="A12">
        <f>IF(수납!$C12="","",수납!$C12&amp;"|"&amp;IF(수납!$D12&lt;&gt;"",수납!$D12,IF(COUNTIF(원생!$A$2:$A$501,수납!$C12)=1,INDEX(원생!$G$2:$G$501,MATCH(수납!$C12,원생!$A$2:$A$501,0))&amp;"","")))</f>
        <v/>
      </c>
      <c r="B12">
        <f>IFERROR(IF(수납!$B12="",YEAR(수납!$A12)*100+MONTH(수납!$A12),IF(ISNUMBER(수납!$B12),YEAR(수납!$B12)*100+MONTH(수납!$B12),VALUE(LEFT(수납!$B12,4))*100+VALUE(MID(수납!$B12,6,2)))),"")</f>
        <v/>
      </c>
      <c r="C12">
        <f>IF(OR(수납!$E12="수강료",수납!$E12=""),N(수납!$F12),0)</f>
        <v/>
      </c>
      <c r="E12">
        <f>IF(원생!$A12="","",원생!$A12&amp;"|"&amp;원생!$G12)</f>
        <v/>
      </c>
    </row>
    <row r="13">
      <c r="A13">
        <f>IF(수납!$C13="","",수납!$C13&amp;"|"&amp;IF(수납!$D13&lt;&gt;"",수납!$D13,IF(COUNTIF(원생!$A$2:$A$501,수납!$C13)=1,INDEX(원생!$G$2:$G$501,MATCH(수납!$C13,원생!$A$2:$A$501,0))&amp;"","")))</f>
        <v/>
      </c>
      <c r="B13">
        <f>IFERROR(IF(수납!$B13="",YEAR(수납!$A13)*100+MONTH(수납!$A13),IF(ISNUMBER(수납!$B13),YEAR(수납!$B13)*100+MONTH(수납!$B13),VALUE(LEFT(수납!$B13,4))*100+VALUE(MID(수납!$B13,6,2)))),"")</f>
        <v/>
      </c>
      <c r="C13">
        <f>IF(OR(수납!$E13="수강료",수납!$E13=""),N(수납!$F13),0)</f>
        <v/>
      </c>
      <c r="E13">
        <f>IF(원생!$A13="","",원생!$A13&amp;"|"&amp;원생!$G13)</f>
        <v/>
      </c>
    </row>
    <row r="14">
      <c r="A14">
        <f>IF(수납!$C14="","",수납!$C14&amp;"|"&amp;IF(수납!$D14&lt;&gt;"",수납!$D14,IF(COUNTIF(원생!$A$2:$A$501,수납!$C14)=1,INDEX(원생!$G$2:$G$501,MATCH(수납!$C14,원생!$A$2:$A$501,0))&amp;"","")))</f>
        <v/>
      </c>
      <c r="B14">
        <f>IFERROR(IF(수납!$B14="",YEAR(수납!$A14)*100+MONTH(수납!$A14),IF(ISNUMBER(수납!$B14),YEAR(수납!$B14)*100+MONTH(수납!$B14),VALUE(LEFT(수납!$B14,4))*100+VALUE(MID(수납!$B14,6,2)))),"")</f>
        <v/>
      </c>
      <c r="C14">
        <f>IF(OR(수납!$E14="수강료",수납!$E14=""),N(수납!$F14),0)</f>
        <v/>
      </c>
      <c r="E14">
        <f>IF(원생!$A14="","",원생!$A14&amp;"|"&amp;원생!$G14)</f>
        <v/>
      </c>
    </row>
    <row r="15">
      <c r="A15">
        <f>IF(수납!$C15="","",수납!$C15&amp;"|"&amp;IF(수납!$D15&lt;&gt;"",수납!$D15,IF(COUNTIF(원생!$A$2:$A$501,수납!$C15)=1,INDEX(원생!$G$2:$G$501,MATCH(수납!$C15,원생!$A$2:$A$501,0))&amp;"","")))</f>
        <v/>
      </c>
      <c r="B15">
        <f>IFERROR(IF(수납!$B15="",YEAR(수납!$A15)*100+MONTH(수납!$A15),IF(ISNUMBER(수납!$B15),YEAR(수납!$B15)*100+MONTH(수납!$B15),VALUE(LEFT(수납!$B15,4))*100+VALUE(MID(수납!$B15,6,2)))),"")</f>
        <v/>
      </c>
      <c r="C15">
        <f>IF(OR(수납!$E15="수강료",수납!$E15=""),N(수납!$F15),0)</f>
        <v/>
      </c>
      <c r="E15">
        <f>IF(원생!$A15="","",원생!$A15&amp;"|"&amp;원생!$G15)</f>
        <v/>
      </c>
    </row>
    <row r="16">
      <c r="A16">
        <f>IF(수납!$C16="","",수납!$C16&amp;"|"&amp;IF(수납!$D16&lt;&gt;"",수납!$D16,IF(COUNTIF(원생!$A$2:$A$501,수납!$C16)=1,INDEX(원생!$G$2:$G$501,MATCH(수납!$C16,원생!$A$2:$A$501,0))&amp;"","")))</f>
        <v/>
      </c>
      <c r="B16">
        <f>IFERROR(IF(수납!$B16="",YEAR(수납!$A16)*100+MONTH(수납!$A16),IF(ISNUMBER(수납!$B16),YEAR(수납!$B16)*100+MONTH(수납!$B16),VALUE(LEFT(수납!$B16,4))*100+VALUE(MID(수납!$B16,6,2)))),"")</f>
        <v/>
      </c>
      <c r="C16">
        <f>IF(OR(수납!$E16="수강료",수납!$E16=""),N(수납!$F16),0)</f>
        <v/>
      </c>
      <c r="E16">
        <f>IF(원생!$A16="","",원생!$A16&amp;"|"&amp;원생!$G16)</f>
        <v/>
      </c>
    </row>
    <row r="17">
      <c r="A17">
        <f>IF(수납!$C17="","",수납!$C17&amp;"|"&amp;IF(수납!$D17&lt;&gt;"",수납!$D17,IF(COUNTIF(원생!$A$2:$A$501,수납!$C17)=1,INDEX(원생!$G$2:$G$501,MATCH(수납!$C17,원생!$A$2:$A$501,0))&amp;"","")))</f>
        <v/>
      </c>
      <c r="B17">
        <f>IFERROR(IF(수납!$B17="",YEAR(수납!$A17)*100+MONTH(수납!$A17),IF(ISNUMBER(수납!$B17),YEAR(수납!$B17)*100+MONTH(수납!$B17),VALUE(LEFT(수납!$B17,4))*100+VALUE(MID(수납!$B17,6,2)))),"")</f>
        <v/>
      </c>
      <c r="C17">
        <f>IF(OR(수납!$E17="수강료",수납!$E17=""),N(수납!$F17),0)</f>
        <v/>
      </c>
      <c r="E17">
        <f>IF(원생!$A17="","",원생!$A17&amp;"|"&amp;원생!$G17)</f>
        <v/>
      </c>
    </row>
    <row r="18">
      <c r="A18">
        <f>IF(수납!$C18="","",수납!$C18&amp;"|"&amp;IF(수납!$D18&lt;&gt;"",수납!$D18,IF(COUNTIF(원생!$A$2:$A$501,수납!$C18)=1,INDEX(원생!$G$2:$G$501,MATCH(수납!$C18,원생!$A$2:$A$501,0))&amp;"","")))</f>
        <v/>
      </c>
      <c r="B18">
        <f>IFERROR(IF(수납!$B18="",YEAR(수납!$A18)*100+MONTH(수납!$A18),IF(ISNUMBER(수납!$B18),YEAR(수납!$B18)*100+MONTH(수납!$B18),VALUE(LEFT(수납!$B18,4))*100+VALUE(MID(수납!$B18,6,2)))),"")</f>
        <v/>
      </c>
      <c r="C18">
        <f>IF(OR(수납!$E18="수강료",수납!$E18=""),N(수납!$F18),0)</f>
        <v/>
      </c>
      <c r="E18">
        <f>IF(원생!$A18="","",원생!$A18&amp;"|"&amp;원생!$G18)</f>
        <v/>
      </c>
    </row>
    <row r="19">
      <c r="A19">
        <f>IF(수납!$C19="","",수납!$C19&amp;"|"&amp;IF(수납!$D19&lt;&gt;"",수납!$D19,IF(COUNTIF(원생!$A$2:$A$501,수납!$C19)=1,INDEX(원생!$G$2:$G$501,MATCH(수납!$C19,원생!$A$2:$A$501,0))&amp;"","")))</f>
        <v/>
      </c>
      <c r="B19">
        <f>IFERROR(IF(수납!$B19="",YEAR(수납!$A19)*100+MONTH(수납!$A19),IF(ISNUMBER(수납!$B19),YEAR(수납!$B19)*100+MONTH(수납!$B19),VALUE(LEFT(수납!$B19,4))*100+VALUE(MID(수납!$B19,6,2)))),"")</f>
        <v/>
      </c>
      <c r="C19">
        <f>IF(OR(수납!$E19="수강료",수납!$E19=""),N(수납!$F19),0)</f>
        <v/>
      </c>
      <c r="E19">
        <f>IF(원생!$A19="","",원생!$A19&amp;"|"&amp;원생!$G19)</f>
        <v/>
      </c>
    </row>
    <row r="20">
      <c r="A20">
        <f>IF(수납!$C20="","",수납!$C20&amp;"|"&amp;IF(수납!$D20&lt;&gt;"",수납!$D20,IF(COUNTIF(원생!$A$2:$A$501,수납!$C20)=1,INDEX(원생!$G$2:$G$501,MATCH(수납!$C20,원생!$A$2:$A$501,0))&amp;"","")))</f>
        <v/>
      </c>
      <c r="B20">
        <f>IFERROR(IF(수납!$B20="",YEAR(수납!$A20)*100+MONTH(수납!$A20),IF(ISNUMBER(수납!$B20),YEAR(수납!$B20)*100+MONTH(수납!$B20),VALUE(LEFT(수납!$B20,4))*100+VALUE(MID(수납!$B20,6,2)))),"")</f>
        <v/>
      </c>
      <c r="C20">
        <f>IF(OR(수납!$E20="수강료",수납!$E20=""),N(수납!$F20),0)</f>
        <v/>
      </c>
      <c r="E20">
        <f>IF(원생!$A20="","",원생!$A20&amp;"|"&amp;원생!$G20)</f>
        <v/>
      </c>
    </row>
    <row r="21">
      <c r="A21">
        <f>IF(수납!$C21="","",수납!$C21&amp;"|"&amp;IF(수납!$D21&lt;&gt;"",수납!$D21,IF(COUNTIF(원생!$A$2:$A$501,수납!$C21)=1,INDEX(원생!$G$2:$G$501,MATCH(수납!$C21,원생!$A$2:$A$501,0))&amp;"","")))</f>
        <v/>
      </c>
      <c r="B21">
        <f>IFERROR(IF(수납!$B21="",YEAR(수납!$A21)*100+MONTH(수납!$A21),IF(ISNUMBER(수납!$B21),YEAR(수납!$B21)*100+MONTH(수납!$B21),VALUE(LEFT(수납!$B21,4))*100+VALUE(MID(수납!$B21,6,2)))),"")</f>
        <v/>
      </c>
      <c r="C21">
        <f>IF(OR(수납!$E21="수강료",수납!$E21=""),N(수납!$F21),0)</f>
        <v/>
      </c>
      <c r="E21">
        <f>IF(원생!$A21="","",원생!$A21&amp;"|"&amp;원생!$G21)</f>
        <v/>
      </c>
    </row>
    <row r="22">
      <c r="A22">
        <f>IF(수납!$C22="","",수납!$C22&amp;"|"&amp;IF(수납!$D22&lt;&gt;"",수납!$D22,IF(COUNTIF(원생!$A$2:$A$501,수납!$C22)=1,INDEX(원생!$G$2:$G$501,MATCH(수납!$C22,원생!$A$2:$A$501,0))&amp;"","")))</f>
        <v/>
      </c>
      <c r="B22">
        <f>IFERROR(IF(수납!$B22="",YEAR(수납!$A22)*100+MONTH(수납!$A22),IF(ISNUMBER(수납!$B22),YEAR(수납!$B22)*100+MONTH(수납!$B22),VALUE(LEFT(수납!$B22,4))*100+VALUE(MID(수납!$B22,6,2)))),"")</f>
        <v/>
      </c>
      <c r="C22">
        <f>IF(OR(수납!$E22="수강료",수납!$E22=""),N(수납!$F22),0)</f>
        <v/>
      </c>
      <c r="E22">
        <f>IF(원생!$A22="","",원생!$A22&amp;"|"&amp;원생!$G22)</f>
        <v/>
      </c>
    </row>
    <row r="23">
      <c r="A23">
        <f>IF(수납!$C23="","",수납!$C23&amp;"|"&amp;IF(수납!$D23&lt;&gt;"",수납!$D23,IF(COUNTIF(원생!$A$2:$A$501,수납!$C23)=1,INDEX(원생!$G$2:$G$501,MATCH(수납!$C23,원생!$A$2:$A$501,0))&amp;"","")))</f>
        <v/>
      </c>
      <c r="B23">
        <f>IFERROR(IF(수납!$B23="",YEAR(수납!$A23)*100+MONTH(수납!$A23),IF(ISNUMBER(수납!$B23),YEAR(수납!$B23)*100+MONTH(수납!$B23),VALUE(LEFT(수납!$B23,4))*100+VALUE(MID(수납!$B23,6,2)))),"")</f>
        <v/>
      </c>
      <c r="C23">
        <f>IF(OR(수납!$E23="수강료",수납!$E23=""),N(수납!$F23),0)</f>
        <v/>
      </c>
      <c r="E23">
        <f>IF(원생!$A23="","",원생!$A23&amp;"|"&amp;원생!$G23)</f>
        <v/>
      </c>
    </row>
    <row r="24">
      <c r="A24">
        <f>IF(수납!$C24="","",수납!$C24&amp;"|"&amp;IF(수납!$D24&lt;&gt;"",수납!$D24,IF(COUNTIF(원생!$A$2:$A$501,수납!$C24)=1,INDEX(원생!$G$2:$G$501,MATCH(수납!$C24,원생!$A$2:$A$501,0))&amp;"","")))</f>
        <v/>
      </c>
      <c r="B24">
        <f>IFERROR(IF(수납!$B24="",YEAR(수납!$A24)*100+MONTH(수납!$A24),IF(ISNUMBER(수납!$B24),YEAR(수납!$B24)*100+MONTH(수납!$B24),VALUE(LEFT(수납!$B24,4))*100+VALUE(MID(수납!$B24,6,2)))),"")</f>
        <v/>
      </c>
      <c r="C24">
        <f>IF(OR(수납!$E24="수강료",수납!$E24=""),N(수납!$F24),0)</f>
        <v/>
      </c>
      <c r="E24">
        <f>IF(원생!$A24="","",원생!$A24&amp;"|"&amp;원생!$G24)</f>
        <v/>
      </c>
    </row>
    <row r="25">
      <c r="A25">
        <f>IF(수납!$C25="","",수납!$C25&amp;"|"&amp;IF(수납!$D25&lt;&gt;"",수납!$D25,IF(COUNTIF(원생!$A$2:$A$501,수납!$C25)=1,INDEX(원생!$G$2:$G$501,MATCH(수납!$C25,원생!$A$2:$A$501,0))&amp;"","")))</f>
        <v/>
      </c>
      <c r="B25">
        <f>IFERROR(IF(수납!$B25="",YEAR(수납!$A25)*100+MONTH(수납!$A25),IF(ISNUMBER(수납!$B25),YEAR(수납!$B25)*100+MONTH(수납!$B25),VALUE(LEFT(수납!$B25,4))*100+VALUE(MID(수납!$B25,6,2)))),"")</f>
        <v/>
      </c>
      <c r="C25">
        <f>IF(OR(수납!$E25="수강료",수납!$E25=""),N(수납!$F25),0)</f>
        <v/>
      </c>
      <c r="E25">
        <f>IF(원생!$A25="","",원생!$A25&amp;"|"&amp;원생!$G25)</f>
        <v/>
      </c>
    </row>
    <row r="26">
      <c r="A26">
        <f>IF(수납!$C26="","",수납!$C26&amp;"|"&amp;IF(수납!$D26&lt;&gt;"",수납!$D26,IF(COUNTIF(원생!$A$2:$A$501,수납!$C26)=1,INDEX(원생!$G$2:$G$501,MATCH(수납!$C26,원생!$A$2:$A$501,0))&amp;"","")))</f>
        <v/>
      </c>
      <c r="B26">
        <f>IFERROR(IF(수납!$B26="",YEAR(수납!$A26)*100+MONTH(수납!$A26),IF(ISNUMBER(수납!$B26),YEAR(수납!$B26)*100+MONTH(수납!$B26),VALUE(LEFT(수납!$B26,4))*100+VALUE(MID(수납!$B26,6,2)))),"")</f>
        <v/>
      </c>
      <c r="C26">
        <f>IF(OR(수납!$E26="수강료",수납!$E26=""),N(수납!$F26),0)</f>
        <v/>
      </c>
      <c r="E26">
        <f>IF(원생!$A26="","",원생!$A26&amp;"|"&amp;원생!$G26)</f>
        <v/>
      </c>
    </row>
    <row r="27">
      <c r="A27">
        <f>IF(수납!$C27="","",수납!$C27&amp;"|"&amp;IF(수납!$D27&lt;&gt;"",수납!$D27,IF(COUNTIF(원생!$A$2:$A$501,수납!$C27)=1,INDEX(원생!$G$2:$G$501,MATCH(수납!$C27,원생!$A$2:$A$501,0))&amp;"","")))</f>
        <v/>
      </c>
      <c r="B27">
        <f>IFERROR(IF(수납!$B27="",YEAR(수납!$A27)*100+MONTH(수납!$A27),IF(ISNUMBER(수납!$B27),YEAR(수납!$B27)*100+MONTH(수납!$B27),VALUE(LEFT(수납!$B27,4))*100+VALUE(MID(수납!$B27,6,2)))),"")</f>
        <v/>
      </c>
      <c r="C27">
        <f>IF(OR(수납!$E27="수강료",수납!$E27=""),N(수납!$F27),0)</f>
        <v/>
      </c>
      <c r="E27">
        <f>IF(원생!$A27="","",원생!$A27&amp;"|"&amp;원생!$G27)</f>
        <v/>
      </c>
    </row>
    <row r="28">
      <c r="A28">
        <f>IF(수납!$C28="","",수납!$C28&amp;"|"&amp;IF(수납!$D28&lt;&gt;"",수납!$D28,IF(COUNTIF(원생!$A$2:$A$501,수납!$C28)=1,INDEX(원생!$G$2:$G$501,MATCH(수납!$C28,원생!$A$2:$A$501,0))&amp;"","")))</f>
        <v/>
      </c>
      <c r="B28">
        <f>IFERROR(IF(수납!$B28="",YEAR(수납!$A28)*100+MONTH(수납!$A28),IF(ISNUMBER(수납!$B28),YEAR(수납!$B28)*100+MONTH(수납!$B28),VALUE(LEFT(수납!$B28,4))*100+VALUE(MID(수납!$B28,6,2)))),"")</f>
        <v/>
      </c>
      <c r="C28">
        <f>IF(OR(수납!$E28="수강료",수납!$E28=""),N(수납!$F28),0)</f>
        <v/>
      </c>
      <c r="E28">
        <f>IF(원생!$A28="","",원생!$A28&amp;"|"&amp;원생!$G28)</f>
        <v/>
      </c>
    </row>
    <row r="29">
      <c r="A29">
        <f>IF(수납!$C29="","",수납!$C29&amp;"|"&amp;IF(수납!$D29&lt;&gt;"",수납!$D29,IF(COUNTIF(원생!$A$2:$A$501,수납!$C29)=1,INDEX(원생!$G$2:$G$501,MATCH(수납!$C29,원생!$A$2:$A$501,0))&amp;"","")))</f>
        <v/>
      </c>
      <c r="B29">
        <f>IFERROR(IF(수납!$B29="",YEAR(수납!$A29)*100+MONTH(수납!$A29),IF(ISNUMBER(수납!$B29),YEAR(수납!$B29)*100+MONTH(수납!$B29),VALUE(LEFT(수납!$B29,4))*100+VALUE(MID(수납!$B29,6,2)))),"")</f>
        <v/>
      </c>
      <c r="C29">
        <f>IF(OR(수납!$E29="수강료",수납!$E29=""),N(수납!$F29),0)</f>
        <v/>
      </c>
      <c r="E29">
        <f>IF(원생!$A29="","",원생!$A29&amp;"|"&amp;원생!$G29)</f>
        <v/>
      </c>
    </row>
    <row r="30">
      <c r="A30">
        <f>IF(수납!$C30="","",수납!$C30&amp;"|"&amp;IF(수납!$D30&lt;&gt;"",수납!$D30,IF(COUNTIF(원생!$A$2:$A$501,수납!$C30)=1,INDEX(원생!$G$2:$G$501,MATCH(수납!$C30,원생!$A$2:$A$501,0))&amp;"","")))</f>
        <v/>
      </c>
      <c r="B30">
        <f>IFERROR(IF(수납!$B30="",YEAR(수납!$A30)*100+MONTH(수납!$A30),IF(ISNUMBER(수납!$B30),YEAR(수납!$B30)*100+MONTH(수납!$B30),VALUE(LEFT(수납!$B30,4))*100+VALUE(MID(수납!$B30,6,2)))),"")</f>
        <v/>
      </c>
      <c r="C30">
        <f>IF(OR(수납!$E30="수강료",수납!$E30=""),N(수납!$F30),0)</f>
        <v/>
      </c>
      <c r="E30">
        <f>IF(원생!$A30="","",원생!$A30&amp;"|"&amp;원생!$G30)</f>
        <v/>
      </c>
    </row>
    <row r="31">
      <c r="A31">
        <f>IF(수납!$C31="","",수납!$C31&amp;"|"&amp;IF(수납!$D31&lt;&gt;"",수납!$D31,IF(COUNTIF(원생!$A$2:$A$501,수납!$C31)=1,INDEX(원생!$G$2:$G$501,MATCH(수납!$C31,원생!$A$2:$A$501,0))&amp;"","")))</f>
        <v/>
      </c>
      <c r="B31">
        <f>IFERROR(IF(수납!$B31="",YEAR(수납!$A31)*100+MONTH(수납!$A31),IF(ISNUMBER(수납!$B31),YEAR(수납!$B31)*100+MONTH(수납!$B31),VALUE(LEFT(수납!$B31,4))*100+VALUE(MID(수납!$B31,6,2)))),"")</f>
        <v/>
      </c>
      <c r="C31">
        <f>IF(OR(수납!$E31="수강료",수납!$E31=""),N(수납!$F31),0)</f>
        <v/>
      </c>
      <c r="E31">
        <f>IF(원생!$A31="","",원생!$A31&amp;"|"&amp;원생!$G31)</f>
        <v/>
      </c>
    </row>
    <row r="32">
      <c r="A32">
        <f>IF(수납!$C32="","",수납!$C32&amp;"|"&amp;IF(수납!$D32&lt;&gt;"",수납!$D32,IF(COUNTIF(원생!$A$2:$A$501,수납!$C32)=1,INDEX(원생!$G$2:$G$501,MATCH(수납!$C32,원생!$A$2:$A$501,0))&amp;"","")))</f>
        <v/>
      </c>
      <c r="B32">
        <f>IFERROR(IF(수납!$B32="",YEAR(수납!$A32)*100+MONTH(수납!$A32),IF(ISNUMBER(수납!$B32),YEAR(수납!$B32)*100+MONTH(수납!$B32),VALUE(LEFT(수납!$B32,4))*100+VALUE(MID(수납!$B32,6,2)))),"")</f>
        <v/>
      </c>
      <c r="C32">
        <f>IF(OR(수납!$E32="수강료",수납!$E32=""),N(수납!$F32),0)</f>
        <v/>
      </c>
      <c r="E32">
        <f>IF(원생!$A32="","",원생!$A32&amp;"|"&amp;원생!$G32)</f>
        <v/>
      </c>
    </row>
    <row r="33">
      <c r="A33">
        <f>IF(수납!$C33="","",수납!$C33&amp;"|"&amp;IF(수납!$D33&lt;&gt;"",수납!$D33,IF(COUNTIF(원생!$A$2:$A$501,수납!$C33)=1,INDEX(원생!$G$2:$G$501,MATCH(수납!$C33,원생!$A$2:$A$501,0))&amp;"","")))</f>
        <v/>
      </c>
      <c r="B33">
        <f>IFERROR(IF(수납!$B33="",YEAR(수납!$A33)*100+MONTH(수납!$A33),IF(ISNUMBER(수납!$B33),YEAR(수납!$B33)*100+MONTH(수납!$B33),VALUE(LEFT(수납!$B33,4))*100+VALUE(MID(수납!$B33,6,2)))),"")</f>
        <v/>
      </c>
      <c r="C33">
        <f>IF(OR(수납!$E33="수강료",수납!$E33=""),N(수납!$F33),0)</f>
        <v/>
      </c>
      <c r="E33">
        <f>IF(원생!$A33="","",원생!$A33&amp;"|"&amp;원생!$G33)</f>
        <v/>
      </c>
    </row>
    <row r="34">
      <c r="A34">
        <f>IF(수납!$C34="","",수납!$C34&amp;"|"&amp;IF(수납!$D34&lt;&gt;"",수납!$D34,IF(COUNTIF(원생!$A$2:$A$501,수납!$C34)=1,INDEX(원생!$G$2:$G$501,MATCH(수납!$C34,원생!$A$2:$A$501,0))&amp;"","")))</f>
        <v/>
      </c>
      <c r="B34">
        <f>IFERROR(IF(수납!$B34="",YEAR(수납!$A34)*100+MONTH(수납!$A34),IF(ISNUMBER(수납!$B34),YEAR(수납!$B34)*100+MONTH(수납!$B34),VALUE(LEFT(수납!$B34,4))*100+VALUE(MID(수납!$B34,6,2)))),"")</f>
        <v/>
      </c>
      <c r="C34">
        <f>IF(OR(수납!$E34="수강료",수납!$E34=""),N(수납!$F34),0)</f>
        <v/>
      </c>
      <c r="E34">
        <f>IF(원생!$A34="","",원생!$A34&amp;"|"&amp;원생!$G34)</f>
        <v/>
      </c>
    </row>
    <row r="35">
      <c r="A35">
        <f>IF(수납!$C35="","",수납!$C35&amp;"|"&amp;IF(수납!$D35&lt;&gt;"",수납!$D35,IF(COUNTIF(원생!$A$2:$A$501,수납!$C35)=1,INDEX(원생!$G$2:$G$501,MATCH(수납!$C35,원생!$A$2:$A$501,0))&amp;"","")))</f>
        <v/>
      </c>
      <c r="B35">
        <f>IFERROR(IF(수납!$B35="",YEAR(수납!$A35)*100+MONTH(수납!$A35),IF(ISNUMBER(수납!$B35),YEAR(수납!$B35)*100+MONTH(수납!$B35),VALUE(LEFT(수납!$B35,4))*100+VALUE(MID(수납!$B35,6,2)))),"")</f>
        <v/>
      </c>
      <c r="C35">
        <f>IF(OR(수납!$E35="수강료",수납!$E35=""),N(수납!$F35),0)</f>
        <v/>
      </c>
      <c r="E35">
        <f>IF(원생!$A35="","",원생!$A35&amp;"|"&amp;원생!$G35)</f>
        <v/>
      </c>
    </row>
    <row r="36">
      <c r="A36">
        <f>IF(수납!$C36="","",수납!$C36&amp;"|"&amp;IF(수납!$D36&lt;&gt;"",수납!$D36,IF(COUNTIF(원생!$A$2:$A$501,수납!$C36)=1,INDEX(원생!$G$2:$G$501,MATCH(수납!$C36,원생!$A$2:$A$501,0))&amp;"","")))</f>
        <v/>
      </c>
      <c r="B36">
        <f>IFERROR(IF(수납!$B36="",YEAR(수납!$A36)*100+MONTH(수납!$A36),IF(ISNUMBER(수납!$B36),YEAR(수납!$B36)*100+MONTH(수납!$B36),VALUE(LEFT(수납!$B36,4))*100+VALUE(MID(수납!$B36,6,2)))),"")</f>
        <v/>
      </c>
      <c r="C36">
        <f>IF(OR(수납!$E36="수강료",수납!$E36=""),N(수납!$F36),0)</f>
        <v/>
      </c>
      <c r="E36">
        <f>IF(원생!$A36="","",원생!$A36&amp;"|"&amp;원생!$G36)</f>
        <v/>
      </c>
    </row>
    <row r="37">
      <c r="A37">
        <f>IF(수납!$C37="","",수납!$C37&amp;"|"&amp;IF(수납!$D37&lt;&gt;"",수납!$D37,IF(COUNTIF(원생!$A$2:$A$501,수납!$C37)=1,INDEX(원생!$G$2:$G$501,MATCH(수납!$C37,원생!$A$2:$A$501,0))&amp;"","")))</f>
        <v/>
      </c>
      <c r="B37">
        <f>IFERROR(IF(수납!$B37="",YEAR(수납!$A37)*100+MONTH(수납!$A37),IF(ISNUMBER(수납!$B37),YEAR(수납!$B37)*100+MONTH(수납!$B37),VALUE(LEFT(수납!$B37,4))*100+VALUE(MID(수납!$B37,6,2)))),"")</f>
        <v/>
      </c>
      <c r="C37">
        <f>IF(OR(수납!$E37="수강료",수납!$E37=""),N(수납!$F37),0)</f>
        <v/>
      </c>
      <c r="E37">
        <f>IF(원생!$A37="","",원생!$A37&amp;"|"&amp;원생!$G37)</f>
        <v/>
      </c>
    </row>
    <row r="38">
      <c r="A38">
        <f>IF(수납!$C38="","",수납!$C38&amp;"|"&amp;IF(수납!$D38&lt;&gt;"",수납!$D38,IF(COUNTIF(원생!$A$2:$A$501,수납!$C38)=1,INDEX(원생!$G$2:$G$501,MATCH(수납!$C38,원생!$A$2:$A$501,0))&amp;"","")))</f>
        <v/>
      </c>
      <c r="B38">
        <f>IFERROR(IF(수납!$B38="",YEAR(수납!$A38)*100+MONTH(수납!$A38),IF(ISNUMBER(수납!$B38),YEAR(수납!$B38)*100+MONTH(수납!$B38),VALUE(LEFT(수납!$B38,4))*100+VALUE(MID(수납!$B38,6,2)))),"")</f>
        <v/>
      </c>
      <c r="C38">
        <f>IF(OR(수납!$E38="수강료",수납!$E38=""),N(수납!$F38),0)</f>
        <v/>
      </c>
      <c r="E38">
        <f>IF(원생!$A38="","",원생!$A38&amp;"|"&amp;원생!$G38)</f>
        <v/>
      </c>
    </row>
    <row r="39">
      <c r="A39">
        <f>IF(수납!$C39="","",수납!$C39&amp;"|"&amp;IF(수납!$D39&lt;&gt;"",수납!$D39,IF(COUNTIF(원생!$A$2:$A$501,수납!$C39)=1,INDEX(원생!$G$2:$G$501,MATCH(수납!$C39,원생!$A$2:$A$501,0))&amp;"","")))</f>
        <v/>
      </c>
      <c r="B39">
        <f>IFERROR(IF(수납!$B39="",YEAR(수납!$A39)*100+MONTH(수납!$A39),IF(ISNUMBER(수납!$B39),YEAR(수납!$B39)*100+MONTH(수납!$B39),VALUE(LEFT(수납!$B39,4))*100+VALUE(MID(수납!$B39,6,2)))),"")</f>
        <v/>
      </c>
      <c r="C39">
        <f>IF(OR(수납!$E39="수강료",수납!$E39=""),N(수납!$F39),0)</f>
        <v/>
      </c>
      <c r="E39">
        <f>IF(원생!$A39="","",원생!$A39&amp;"|"&amp;원생!$G39)</f>
        <v/>
      </c>
    </row>
    <row r="40">
      <c r="A40">
        <f>IF(수납!$C40="","",수납!$C40&amp;"|"&amp;IF(수납!$D40&lt;&gt;"",수납!$D40,IF(COUNTIF(원생!$A$2:$A$501,수납!$C40)=1,INDEX(원생!$G$2:$G$501,MATCH(수납!$C40,원생!$A$2:$A$501,0))&amp;"","")))</f>
        <v/>
      </c>
      <c r="B40">
        <f>IFERROR(IF(수납!$B40="",YEAR(수납!$A40)*100+MONTH(수납!$A40),IF(ISNUMBER(수납!$B40),YEAR(수납!$B40)*100+MONTH(수납!$B40),VALUE(LEFT(수납!$B40,4))*100+VALUE(MID(수납!$B40,6,2)))),"")</f>
        <v/>
      </c>
      <c r="C40">
        <f>IF(OR(수납!$E40="수강료",수납!$E40=""),N(수납!$F40),0)</f>
        <v/>
      </c>
      <c r="E40">
        <f>IF(원생!$A40="","",원생!$A40&amp;"|"&amp;원생!$G40)</f>
        <v/>
      </c>
    </row>
    <row r="41">
      <c r="A41">
        <f>IF(수납!$C41="","",수납!$C41&amp;"|"&amp;IF(수납!$D41&lt;&gt;"",수납!$D41,IF(COUNTIF(원생!$A$2:$A$501,수납!$C41)=1,INDEX(원생!$G$2:$G$501,MATCH(수납!$C41,원생!$A$2:$A$501,0))&amp;"","")))</f>
        <v/>
      </c>
      <c r="B41">
        <f>IFERROR(IF(수납!$B41="",YEAR(수납!$A41)*100+MONTH(수납!$A41),IF(ISNUMBER(수납!$B41),YEAR(수납!$B41)*100+MONTH(수납!$B41),VALUE(LEFT(수납!$B41,4))*100+VALUE(MID(수납!$B41,6,2)))),"")</f>
        <v/>
      </c>
      <c r="C41">
        <f>IF(OR(수납!$E41="수강료",수납!$E41=""),N(수납!$F41),0)</f>
        <v/>
      </c>
      <c r="E41">
        <f>IF(원생!$A41="","",원생!$A41&amp;"|"&amp;원생!$G41)</f>
        <v/>
      </c>
    </row>
    <row r="42">
      <c r="A42">
        <f>IF(수납!$C42="","",수납!$C42&amp;"|"&amp;IF(수납!$D42&lt;&gt;"",수납!$D42,IF(COUNTIF(원생!$A$2:$A$501,수납!$C42)=1,INDEX(원생!$G$2:$G$501,MATCH(수납!$C42,원생!$A$2:$A$501,0))&amp;"","")))</f>
        <v/>
      </c>
      <c r="B42">
        <f>IFERROR(IF(수납!$B42="",YEAR(수납!$A42)*100+MONTH(수납!$A42),IF(ISNUMBER(수납!$B42),YEAR(수납!$B42)*100+MONTH(수납!$B42),VALUE(LEFT(수납!$B42,4))*100+VALUE(MID(수납!$B42,6,2)))),"")</f>
        <v/>
      </c>
      <c r="C42">
        <f>IF(OR(수납!$E42="수강료",수납!$E42=""),N(수납!$F42),0)</f>
        <v/>
      </c>
      <c r="E42">
        <f>IF(원생!$A42="","",원생!$A42&amp;"|"&amp;원생!$G42)</f>
        <v/>
      </c>
    </row>
    <row r="43">
      <c r="A43">
        <f>IF(수납!$C43="","",수납!$C43&amp;"|"&amp;IF(수납!$D43&lt;&gt;"",수납!$D43,IF(COUNTIF(원생!$A$2:$A$501,수납!$C43)=1,INDEX(원생!$G$2:$G$501,MATCH(수납!$C43,원생!$A$2:$A$501,0))&amp;"","")))</f>
        <v/>
      </c>
      <c r="B43">
        <f>IFERROR(IF(수납!$B43="",YEAR(수납!$A43)*100+MONTH(수납!$A43),IF(ISNUMBER(수납!$B43),YEAR(수납!$B43)*100+MONTH(수납!$B43),VALUE(LEFT(수납!$B43,4))*100+VALUE(MID(수납!$B43,6,2)))),"")</f>
        <v/>
      </c>
      <c r="C43">
        <f>IF(OR(수납!$E43="수강료",수납!$E43=""),N(수납!$F43),0)</f>
        <v/>
      </c>
      <c r="E43">
        <f>IF(원생!$A43="","",원생!$A43&amp;"|"&amp;원생!$G43)</f>
        <v/>
      </c>
    </row>
    <row r="44">
      <c r="A44">
        <f>IF(수납!$C44="","",수납!$C44&amp;"|"&amp;IF(수납!$D44&lt;&gt;"",수납!$D44,IF(COUNTIF(원생!$A$2:$A$501,수납!$C44)=1,INDEX(원생!$G$2:$G$501,MATCH(수납!$C44,원생!$A$2:$A$501,0))&amp;"","")))</f>
        <v/>
      </c>
      <c r="B44">
        <f>IFERROR(IF(수납!$B44="",YEAR(수납!$A44)*100+MONTH(수납!$A44),IF(ISNUMBER(수납!$B44),YEAR(수납!$B44)*100+MONTH(수납!$B44),VALUE(LEFT(수납!$B44,4))*100+VALUE(MID(수납!$B44,6,2)))),"")</f>
        <v/>
      </c>
      <c r="C44">
        <f>IF(OR(수납!$E44="수강료",수납!$E44=""),N(수납!$F44),0)</f>
        <v/>
      </c>
      <c r="E44">
        <f>IF(원생!$A44="","",원생!$A44&amp;"|"&amp;원생!$G44)</f>
        <v/>
      </c>
    </row>
    <row r="45">
      <c r="A45">
        <f>IF(수납!$C45="","",수납!$C45&amp;"|"&amp;IF(수납!$D45&lt;&gt;"",수납!$D45,IF(COUNTIF(원생!$A$2:$A$501,수납!$C45)=1,INDEX(원생!$G$2:$G$501,MATCH(수납!$C45,원생!$A$2:$A$501,0))&amp;"","")))</f>
        <v/>
      </c>
      <c r="B45">
        <f>IFERROR(IF(수납!$B45="",YEAR(수납!$A45)*100+MONTH(수납!$A45),IF(ISNUMBER(수납!$B45),YEAR(수납!$B45)*100+MONTH(수납!$B45),VALUE(LEFT(수납!$B45,4))*100+VALUE(MID(수납!$B45,6,2)))),"")</f>
        <v/>
      </c>
      <c r="C45">
        <f>IF(OR(수납!$E45="수강료",수납!$E45=""),N(수납!$F45),0)</f>
        <v/>
      </c>
      <c r="E45">
        <f>IF(원생!$A45="","",원생!$A45&amp;"|"&amp;원생!$G45)</f>
        <v/>
      </c>
    </row>
    <row r="46">
      <c r="A46">
        <f>IF(수납!$C46="","",수납!$C46&amp;"|"&amp;IF(수납!$D46&lt;&gt;"",수납!$D46,IF(COUNTIF(원생!$A$2:$A$501,수납!$C46)=1,INDEX(원생!$G$2:$G$501,MATCH(수납!$C46,원생!$A$2:$A$501,0))&amp;"","")))</f>
        <v/>
      </c>
      <c r="B46">
        <f>IFERROR(IF(수납!$B46="",YEAR(수납!$A46)*100+MONTH(수납!$A46),IF(ISNUMBER(수납!$B46),YEAR(수납!$B46)*100+MONTH(수납!$B46),VALUE(LEFT(수납!$B46,4))*100+VALUE(MID(수납!$B46,6,2)))),"")</f>
        <v/>
      </c>
      <c r="C46">
        <f>IF(OR(수납!$E46="수강료",수납!$E46=""),N(수납!$F46),0)</f>
        <v/>
      </c>
      <c r="E46">
        <f>IF(원생!$A46="","",원생!$A46&amp;"|"&amp;원생!$G46)</f>
        <v/>
      </c>
    </row>
    <row r="47">
      <c r="A47">
        <f>IF(수납!$C47="","",수납!$C47&amp;"|"&amp;IF(수납!$D47&lt;&gt;"",수납!$D47,IF(COUNTIF(원생!$A$2:$A$501,수납!$C47)=1,INDEX(원생!$G$2:$G$501,MATCH(수납!$C47,원생!$A$2:$A$501,0))&amp;"","")))</f>
        <v/>
      </c>
      <c r="B47">
        <f>IFERROR(IF(수납!$B47="",YEAR(수납!$A47)*100+MONTH(수납!$A47),IF(ISNUMBER(수납!$B47),YEAR(수납!$B47)*100+MONTH(수납!$B47),VALUE(LEFT(수납!$B47,4))*100+VALUE(MID(수납!$B47,6,2)))),"")</f>
        <v/>
      </c>
      <c r="C47">
        <f>IF(OR(수납!$E47="수강료",수납!$E47=""),N(수납!$F47),0)</f>
        <v/>
      </c>
      <c r="E47">
        <f>IF(원생!$A47="","",원생!$A47&amp;"|"&amp;원생!$G47)</f>
        <v/>
      </c>
    </row>
    <row r="48">
      <c r="A48">
        <f>IF(수납!$C48="","",수납!$C48&amp;"|"&amp;IF(수납!$D48&lt;&gt;"",수납!$D48,IF(COUNTIF(원생!$A$2:$A$501,수납!$C48)=1,INDEX(원생!$G$2:$G$501,MATCH(수납!$C48,원생!$A$2:$A$501,0))&amp;"","")))</f>
        <v/>
      </c>
      <c r="B48">
        <f>IFERROR(IF(수납!$B48="",YEAR(수납!$A48)*100+MONTH(수납!$A48),IF(ISNUMBER(수납!$B48),YEAR(수납!$B48)*100+MONTH(수납!$B48),VALUE(LEFT(수납!$B48,4))*100+VALUE(MID(수납!$B48,6,2)))),"")</f>
        <v/>
      </c>
      <c r="C48">
        <f>IF(OR(수납!$E48="수강료",수납!$E48=""),N(수납!$F48),0)</f>
        <v/>
      </c>
      <c r="E48">
        <f>IF(원생!$A48="","",원생!$A48&amp;"|"&amp;원생!$G48)</f>
        <v/>
      </c>
    </row>
    <row r="49">
      <c r="A49">
        <f>IF(수납!$C49="","",수납!$C49&amp;"|"&amp;IF(수납!$D49&lt;&gt;"",수납!$D49,IF(COUNTIF(원생!$A$2:$A$501,수납!$C49)=1,INDEX(원생!$G$2:$G$501,MATCH(수납!$C49,원생!$A$2:$A$501,0))&amp;"","")))</f>
        <v/>
      </c>
      <c r="B49">
        <f>IFERROR(IF(수납!$B49="",YEAR(수납!$A49)*100+MONTH(수납!$A49),IF(ISNUMBER(수납!$B49),YEAR(수납!$B49)*100+MONTH(수납!$B49),VALUE(LEFT(수납!$B49,4))*100+VALUE(MID(수납!$B49,6,2)))),"")</f>
        <v/>
      </c>
      <c r="C49">
        <f>IF(OR(수납!$E49="수강료",수납!$E49=""),N(수납!$F49),0)</f>
        <v/>
      </c>
      <c r="E49">
        <f>IF(원생!$A49="","",원생!$A49&amp;"|"&amp;원생!$G49)</f>
        <v/>
      </c>
    </row>
    <row r="50">
      <c r="A50">
        <f>IF(수납!$C50="","",수납!$C50&amp;"|"&amp;IF(수납!$D50&lt;&gt;"",수납!$D50,IF(COUNTIF(원생!$A$2:$A$501,수납!$C50)=1,INDEX(원생!$G$2:$G$501,MATCH(수납!$C50,원생!$A$2:$A$501,0))&amp;"","")))</f>
        <v/>
      </c>
      <c r="B50">
        <f>IFERROR(IF(수납!$B50="",YEAR(수납!$A50)*100+MONTH(수납!$A50),IF(ISNUMBER(수납!$B50),YEAR(수납!$B50)*100+MONTH(수납!$B50),VALUE(LEFT(수납!$B50,4))*100+VALUE(MID(수납!$B50,6,2)))),"")</f>
        <v/>
      </c>
      <c r="C50">
        <f>IF(OR(수납!$E50="수강료",수납!$E50=""),N(수납!$F50),0)</f>
        <v/>
      </c>
      <c r="E50">
        <f>IF(원생!$A50="","",원생!$A50&amp;"|"&amp;원생!$G50)</f>
        <v/>
      </c>
    </row>
    <row r="51">
      <c r="A51">
        <f>IF(수납!$C51="","",수납!$C51&amp;"|"&amp;IF(수납!$D51&lt;&gt;"",수납!$D51,IF(COUNTIF(원생!$A$2:$A$501,수납!$C51)=1,INDEX(원생!$G$2:$G$501,MATCH(수납!$C51,원생!$A$2:$A$501,0))&amp;"","")))</f>
        <v/>
      </c>
      <c r="B51">
        <f>IFERROR(IF(수납!$B51="",YEAR(수납!$A51)*100+MONTH(수납!$A51),IF(ISNUMBER(수납!$B51),YEAR(수납!$B51)*100+MONTH(수납!$B51),VALUE(LEFT(수납!$B51,4))*100+VALUE(MID(수납!$B51,6,2)))),"")</f>
        <v/>
      </c>
      <c r="C51">
        <f>IF(OR(수납!$E51="수강료",수납!$E51=""),N(수납!$F51),0)</f>
        <v/>
      </c>
      <c r="E51">
        <f>IF(원생!$A51="","",원생!$A51&amp;"|"&amp;원생!$G51)</f>
        <v/>
      </c>
    </row>
    <row r="52">
      <c r="A52">
        <f>IF(수납!$C52="","",수납!$C52&amp;"|"&amp;IF(수납!$D52&lt;&gt;"",수납!$D52,IF(COUNTIF(원생!$A$2:$A$501,수납!$C52)=1,INDEX(원생!$G$2:$G$501,MATCH(수납!$C52,원생!$A$2:$A$501,0))&amp;"","")))</f>
        <v/>
      </c>
      <c r="B52">
        <f>IFERROR(IF(수납!$B52="",YEAR(수납!$A52)*100+MONTH(수납!$A52),IF(ISNUMBER(수납!$B52),YEAR(수납!$B52)*100+MONTH(수납!$B52),VALUE(LEFT(수납!$B52,4))*100+VALUE(MID(수납!$B52,6,2)))),"")</f>
        <v/>
      </c>
      <c r="C52">
        <f>IF(OR(수납!$E52="수강료",수납!$E52=""),N(수납!$F52),0)</f>
        <v/>
      </c>
      <c r="E52">
        <f>IF(원생!$A52="","",원생!$A52&amp;"|"&amp;원생!$G52)</f>
        <v/>
      </c>
    </row>
    <row r="53">
      <c r="A53">
        <f>IF(수납!$C53="","",수납!$C53&amp;"|"&amp;IF(수납!$D53&lt;&gt;"",수납!$D53,IF(COUNTIF(원생!$A$2:$A$501,수납!$C53)=1,INDEX(원생!$G$2:$G$501,MATCH(수납!$C53,원생!$A$2:$A$501,0))&amp;"","")))</f>
        <v/>
      </c>
      <c r="B53">
        <f>IFERROR(IF(수납!$B53="",YEAR(수납!$A53)*100+MONTH(수납!$A53),IF(ISNUMBER(수납!$B53),YEAR(수납!$B53)*100+MONTH(수납!$B53),VALUE(LEFT(수납!$B53,4))*100+VALUE(MID(수납!$B53,6,2)))),"")</f>
        <v/>
      </c>
      <c r="C53">
        <f>IF(OR(수납!$E53="수강료",수납!$E53=""),N(수납!$F53),0)</f>
        <v/>
      </c>
      <c r="E53">
        <f>IF(원생!$A53="","",원생!$A53&amp;"|"&amp;원생!$G53)</f>
        <v/>
      </c>
    </row>
    <row r="54">
      <c r="A54">
        <f>IF(수납!$C54="","",수납!$C54&amp;"|"&amp;IF(수납!$D54&lt;&gt;"",수납!$D54,IF(COUNTIF(원생!$A$2:$A$501,수납!$C54)=1,INDEX(원생!$G$2:$G$501,MATCH(수납!$C54,원생!$A$2:$A$501,0))&amp;"","")))</f>
        <v/>
      </c>
      <c r="B54">
        <f>IFERROR(IF(수납!$B54="",YEAR(수납!$A54)*100+MONTH(수납!$A54),IF(ISNUMBER(수납!$B54),YEAR(수납!$B54)*100+MONTH(수납!$B54),VALUE(LEFT(수납!$B54,4))*100+VALUE(MID(수납!$B54,6,2)))),"")</f>
        <v/>
      </c>
      <c r="C54">
        <f>IF(OR(수납!$E54="수강료",수납!$E54=""),N(수납!$F54),0)</f>
        <v/>
      </c>
      <c r="E54">
        <f>IF(원생!$A54="","",원생!$A54&amp;"|"&amp;원생!$G54)</f>
        <v/>
      </c>
    </row>
    <row r="55">
      <c r="A55">
        <f>IF(수납!$C55="","",수납!$C55&amp;"|"&amp;IF(수납!$D55&lt;&gt;"",수납!$D55,IF(COUNTIF(원생!$A$2:$A$501,수납!$C55)=1,INDEX(원생!$G$2:$G$501,MATCH(수납!$C55,원생!$A$2:$A$501,0))&amp;"","")))</f>
        <v/>
      </c>
      <c r="B55">
        <f>IFERROR(IF(수납!$B55="",YEAR(수납!$A55)*100+MONTH(수납!$A55),IF(ISNUMBER(수납!$B55),YEAR(수납!$B55)*100+MONTH(수납!$B55),VALUE(LEFT(수납!$B55,4))*100+VALUE(MID(수납!$B55,6,2)))),"")</f>
        <v/>
      </c>
      <c r="C55">
        <f>IF(OR(수납!$E55="수강료",수납!$E55=""),N(수납!$F55),0)</f>
        <v/>
      </c>
      <c r="E55">
        <f>IF(원생!$A55="","",원생!$A55&amp;"|"&amp;원생!$G55)</f>
        <v/>
      </c>
    </row>
    <row r="56">
      <c r="A56">
        <f>IF(수납!$C56="","",수납!$C56&amp;"|"&amp;IF(수납!$D56&lt;&gt;"",수납!$D56,IF(COUNTIF(원생!$A$2:$A$501,수납!$C56)=1,INDEX(원생!$G$2:$G$501,MATCH(수납!$C56,원생!$A$2:$A$501,0))&amp;"","")))</f>
        <v/>
      </c>
      <c r="B56">
        <f>IFERROR(IF(수납!$B56="",YEAR(수납!$A56)*100+MONTH(수납!$A56),IF(ISNUMBER(수납!$B56),YEAR(수납!$B56)*100+MONTH(수납!$B56),VALUE(LEFT(수납!$B56,4))*100+VALUE(MID(수납!$B56,6,2)))),"")</f>
        <v/>
      </c>
      <c r="C56">
        <f>IF(OR(수납!$E56="수강료",수납!$E56=""),N(수납!$F56),0)</f>
        <v/>
      </c>
      <c r="E56">
        <f>IF(원생!$A56="","",원생!$A56&amp;"|"&amp;원생!$G56)</f>
        <v/>
      </c>
    </row>
    <row r="57">
      <c r="A57">
        <f>IF(수납!$C57="","",수납!$C57&amp;"|"&amp;IF(수납!$D57&lt;&gt;"",수납!$D57,IF(COUNTIF(원생!$A$2:$A$501,수납!$C57)=1,INDEX(원생!$G$2:$G$501,MATCH(수납!$C57,원생!$A$2:$A$501,0))&amp;"","")))</f>
        <v/>
      </c>
      <c r="B57">
        <f>IFERROR(IF(수납!$B57="",YEAR(수납!$A57)*100+MONTH(수납!$A57),IF(ISNUMBER(수납!$B57),YEAR(수납!$B57)*100+MONTH(수납!$B57),VALUE(LEFT(수납!$B57,4))*100+VALUE(MID(수납!$B57,6,2)))),"")</f>
        <v/>
      </c>
      <c r="C57">
        <f>IF(OR(수납!$E57="수강료",수납!$E57=""),N(수납!$F57),0)</f>
        <v/>
      </c>
      <c r="E57">
        <f>IF(원생!$A57="","",원생!$A57&amp;"|"&amp;원생!$G57)</f>
        <v/>
      </c>
    </row>
    <row r="58">
      <c r="A58">
        <f>IF(수납!$C58="","",수납!$C58&amp;"|"&amp;IF(수납!$D58&lt;&gt;"",수납!$D58,IF(COUNTIF(원생!$A$2:$A$501,수납!$C58)=1,INDEX(원생!$G$2:$G$501,MATCH(수납!$C58,원생!$A$2:$A$501,0))&amp;"","")))</f>
        <v/>
      </c>
      <c r="B58">
        <f>IFERROR(IF(수납!$B58="",YEAR(수납!$A58)*100+MONTH(수납!$A58),IF(ISNUMBER(수납!$B58),YEAR(수납!$B58)*100+MONTH(수납!$B58),VALUE(LEFT(수납!$B58,4))*100+VALUE(MID(수납!$B58,6,2)))),"")</f>
        <v/>
      </c>
      <c r="C58">
        <f>IF(OR(수납!$E58="수강료",수납!$E58=""),N(수납!$F58),0)</f>
        <v/>
      </c>
      <c r="E58">
        <f>IF(원생!$A58="","",원생!$A58&amp;"|"&amp;원생!$G58)</f>
        <v/>
      </c>
    </row>
    <row r="59">
      <c r="A59">
        <f>IF(수납!$C59="","",수납!$C59&amp;"|"&amp;IF(수납!$D59&lt;&gt;"",수납!$D59,IF(COUNTIF(원생!$A$2:$A$501,수납!$C59)=1,INDEX(원생!$G$2:$G$501,MATCH(수납!$C59,원생!$A$2:$A$501,0))&amp;"","")))</f>
        <v/>
      </c>
      <c r="B59">
        <f>IFERROR(IF(수납!$B59="",YEAR(수납!$A59)*100+MONTH(수납!$A59),IF(ISNUMBER(수납!$B59),YEAR(수납!$B59)*100+MONTH(수납!$B59),VALUE(LEFT(수납!$B59,4))*100+VALUE(MID(수납!$B59,6,2)))),"")</f>
        <v/>
      </c>
      <c r="C59">
        <f>IF(OR(수납!$E59="수강료",수납!$E59=""),N(수납!$F59),0)</f>
        <v/>
      </c>
      <c r="E59">
        <f>IF(원생!$A59="","",원생!$A59&amp;"|"&amp;원생!$G59)</f>
        <v/>
      </c>
    </row>
    <row r="60">
      <c r="A60">
        <f>IF(수납!$C60="","",수납!$C60&amp;"|"&amp;IF(수납!$D60&lt;&gt;"",수납!$D60,IF(COUNTIF(원생!$A$2:$A$501,수납!$C60)=1,INDEX(원생!$G$2:$G$501,MATCH(수납!$C60,원생!$A$2:$A$501,0))&amp;"","")))</f>
        <v/>
      </c>
      <c r="B60">
        <f>IFERROR(IF(수납!$B60="",YEAR(수납!$A60)*100+MONTH(수납!$A60),IF(ISNUMBER(수납!$B60),YEAR(수납!$B60)*100+MONTH(수납!$B60),VALUE(LEFT(수납!$B60,4))*100+VALUE(MID(수납!$B60,6,2)))),"")</f>
        <v/>
      </c>
      <c r="C60">
        <f>IF(OR(수납!$E60="수강료",수납!$E60=""),N(수납!$F60),0)</f>
        <v/>
      </c>
      <c r="E60">
        <f>IF(원생!$A60="","",원생!$A60&amp;"|"&amp;원생!$G60)</f>
        <v/>
      </c>
    </row>
    <row r="61">
      <c r="A61">
        <f>IF(수납!$C61="","",수납!$C61&amp;"|"&amp;IF(수납!$D61&lt;&gt;"",수납!$D61,IF(COUNTIF(원생!$A$2:$A$501,수납!$C61)=1,INDEX(원생!$G$2:$G$501,MATCH(수납!$C61,원생!$A$2:$A$501,0))&amp;"","")))</f>
        <v/>
      </c>
      <c r="B61">
        <f>IFERROR(IF(수납!$B61="",YEAR(수납!$A61)*100+MONTH(수납!$A61),IF(ISNUMBER(수납!$B61),YEAR(수납!$B61)*100+MONTH(수납!$B61),VALUE(LEFT(수납!$B61,4))*100+VALUE(MID(수납!$B61,6,2)))),"")</f>
        <v/>
      </c>
      <c r="C61">
        <f>IF(OR(수납!$E61="수강료",수납!$E61=""),N(수납!$F61),0)</f>
        <v/>
      </c>
      <c r="E61">
        <f>IF(원생!$A61="","",원생!$A61&amp;"|"&amp;원생!$G61)</f>
        <v/>
      </c>
    </row>
    <row r="62">
      <c r="A62">
        <f>IF(수납!$C62="","",수납!$C62&amp;"|"&amp;IF(수납!$D62&lt;&gt;"",수납!$D62,IF(COUNTIF(원생!$A$2:$A$501,수납!$C62)=1,INDEX(원생!$G$2:$G$501,MATCH(수납!$C62,원생!$A$2:$A$501,0))&amp;"","")))</f>
        <v/>
      </c>
      <c r="B62">
        <f>IFERROR(IF(수납!$B62="",YEAR(수납!$A62)*100+MONTH(수납!$A62),IF(ISNUMBER(수납!$B62),YEAR(수납!$B62)*100+MONTH(수납!$B62),VALUE(LEFT(수납!$B62,4))*100+VALUE(MID(수납!$B62,6,2)))),"")</f>
        <v/>
      </c>
      <c r="C62">
        <f>IF(OR(수납!$E62="수강료",수납!$E62=""),N(수납!$F62),0)</f>
        <v/>
      </c>
      <c r="E62">
        <f>IF(원생!$A62="","",원생!$A62&amp;"|"&amp;원생!$G62)</f>
        <v/>
      </c>
    </row>
    <row r="63">
      <c r="A63">
        <f>IF(수납!$C63="","",수납!$C63&amp;"|"&amp;IF(수납!$D63&lt;&gt;"",수납!$D63,IF(COUNTIF(원생!$A$2:$A$501,수납!$C63)=1,INDEX(원생!$G$2:$G$501,MATCH(수납!$C63,원생!$A$2:$A$501,0))&amp;"","")))</f>
        <v/>
      </c>
      <c r="B63">
        <f>IFERROR(IF(수납!$B63="",YEAR(수납!$A63)*100+MONTH(수납!$A63),IF(ISNUMBER(수납!$B63),YEAR(수납!$B63)*100+MONTH(수납!$B63),VALUE(LEFT(수납!$B63,4))*100+VALUE(MID(수납!$B63,6,2)))),"")</f>
        <v/>
      </c>
      <c r="C63">
        <f>IF(OR(수납!$E63="수강료",수납!$E63=""),N(수납!$F63),0)</f>
        <v/>
      </c>
      <c r="E63">
        <f>IF(원생!$A63="","",원생!$A63&amp;"|"&amp;원생!$G63)</f>
        <v/>
      </c>
    </row>
    <row r="64">
      <c r="A64">
        <f>IF(수납!$C64="","",수납!$C64&amp;"|"&amp;IF(수납!$D64&lt;&gt;"",수납!$D64,IF(COUNTIF(원생!$A$2:$A$501,수납!$C64)=1,INDEX(원생!$G$2:$G$501,MATCH(수납!$C64,원생!$A$2:$A$501,0))&amp;"","")))</f>
        <v/>
      </c>
      <c r="B64">
        <f>IFERROR(IF(수납!$B64="",YEAR(수납!$A64)*100+MONTH(수납!$A64),IF(ISNUMBER(수납!$B64),YEAR(수납!$B64)*100+MONTH(수납!$B64),VALUE(LEFT(수납!$B64,4))*100+VALUE(MID(수납!$B64,6,2)))),"")</f>
        <v/>
      </c>
      <c r="C64">
        <f>IF(OR(수납!$E64="수강료",수납!$E64=""),N(수납!$F64),0)</f>
        <v/>
      </c>
      <c r="E64">
        <f>IF(원생!$A64="","",원생!$A64&amp;"|"&amp;원생!$G64)</f>
        <v/>
      </c>
    </row>
    <row r="65">
      <c r="A65">
        <f>IF(수납!$C65="","",수납!$C65&amp;"|"&amp;IF(수납!$D65&lt;&gt;"",수납!$D65,IF(COUNTIF(원생!$A$2:$A$501,수납!$C65)=1,INDEX(원생!$G$2:$G$501,MATCH(수납!$C65,원생!$A$2:$A$501,0))&amp;"","")))</f>
        <v/>
      </c>
      <c r="B65">
        <f>IFERROR(IF(수납!$B65="",YEAR(수납!$A65)*100+MONTH(수납!$A65),IF(ISNUMBER(수납!$B65),YEAR(수납!$B65)*100+MONTH(수납!$B65),VALUE(LEFT(수납!$B65,4))*100+VALUE(MID(수납!$B65,6,2)))),"")</f>
        <v/>
      </c>
      <c r="C65">
        <f>IF(OR(수납!$E65="수강료",수납!$E65=""),N(수납!$F65),0)</f>
        <v/>
      </c>
      <c r="E65">
        <f>IF(원생!$A65="","",원생!$A65&amp;"|"&amp;원생!$G65)</f>
        <v/>
      </c>
    </row>
    <row r="66">
      <c r="A66">
        <f>IF(수납!$C66="","",수납!$C66&amp;"|"&amp;IF(수납!$D66&lt;&gt;"",수납!$D66,IF(COUNTIF(원생!$A$2:$A$501,수납!$C66)=1,INDEX(원생!$G$2:$G$501,MATCH(수납!$C66,원생!$A$2:$A$501,0))&amp;"","")))</f>
        <v/>
      </c>
      <c r="B66">
        <f>IFERROR(IF(수납!$B66="",YEAR(수납!$A66)*100+MONTH(수납!$A66),IF(ISNUMBER(수납!$B66),YEAR(수납!$B66)*100+MONTH(수납!$B66),VALUE(LEFT(수납!$B66,4))*100+VALUE(MID(수납!$B66,6,2)))),"")</f>
        <v/>
      </c>
      <c r="C66">
        <f>IF(OR(수납!$E66="수강료",수납!$E66=""),N(수납!$F66),0)</f>
        <v/>
      </c>
      <c r="E66">
        <f>IF(원생!$A66="","",원생!$A66&amp;"|"&amp;원생!$G66)</f>
        <v/>
      </c>
    </row>
    <row r="67">
      <c r="A67">
        <f>IF(수납!$C67="","",수납!$C67&amp;"|"&amp;IF(수납!$D67&lt;&gt;"",수납!$D67,IF(COUNTIF(원생!$A$2:$A$501,수납!$C67)=1,INDEX(원생!$G$2:$G$501,MATCH(수납!$C67,원생!$A$2:$A$501,0))&amp;"","")))</f>
        <v/>
      </c>
      <c r="B67">
        <f>IFERROR(IF(수납!$B67="",YEAR(수납!$A67)*100+MONTH(수납!$A67),IF(ISNUMBER(수납!$B67),YEAR(수납!$B67)*100+MONTH(수납!$B67),VALUE(LEFT(수납!$B67,4))*100+VALUE(MID(수납!$B67,6,2)))),"")</f>
        <v/>
      </c>
      <c r="C67">
        <f>IF(OR(수납!$E67="수강료",수납!$E67=""),N(수납!$F67),0)</f>
        <v/>
      </c>
      <c r="E67">
        <f>IF(원생!$A67="","",원생!$A67&amp;"|"&amp;원생!$G67)</f>
        <v/>
      </c>
    </row>
    <row r="68">
      <c r="A68">
        <f>IF(수납!$C68="","",수납!$C68&amp;"|"&amp;IF(수납!$D68&lt;&gt;"",수납!$D68,IF(COUNTIF(원생!$A$2:$A$501,수납!$C68)=1,INDEX(원생!$G$2:$G$501,MATCH(수납!$C68,원생!$A$2:$A$501,0))&amp;"","")))</f>
        <v/>
      </c>
      <c r="B68">
        <f>IFERROR(IF(수납!$B68="",YEAR(수납!$A68)*100+MONTH(수납!$A68),IF(ISNUMBER(수납!$B68),YEAR(수납!$B68)*100+MONTH(수납!$B68),VALUE(LEFT(수납!$B68,4))*100+VALUE(MID(수납!$B68,6,2)))),"")</f>
        <v/>
      </c>
      <c r="C68">
        <f>IF(OR(수납!$E68="수강료",수납!$E68=""),N(수납!$F68),0)</f>
        <v/>
      </c>
      <c r="E68">
        <f>IF(원생!$A68="","",원생!$A68&amp;"|"&amp;원생!$G68)</f>
        <v/>
      </c>
    </row>
    <row r="69">
      <c r="A69">
        <f>IF(수납!$C69="","",수납!$C69&amp;"|"&amp;IF(수납!$D69&lt;&gt;"",수납!$D69,IF(COUNTIF(원생!$A$2:$A$501,수납!$C69)=1,INDEX(원생!$G$2:$G$501,MATCH(수납!$C69,원생!$A$2:$A$501,0))&amp;"","")))</f>
        <v/>
      </c>
      <c r="B69">
        <f>IFERROR(IF(수납!$B69="",YEAR(수납!$A69)*100+MONTH(수납!$A69),IF(ISNUMBER(수납!$B69),YEAR(수납!$B69)*100+MONTH(수납!$B69),VALUE(LEFT(수납!$B69,4))*100+VALUE(MID(수납!$B69,6,2)))),"")</f>
        <v/>
      </c>
      <c r="C69">
        <f>IF(OR(수납!$E69="수강료",수납!$E69=""),N(수납!$F69),0)</f>
        <v/>
      </c>
      <c r="E69">
        <f>IF(원생!$A69="","",원생!$A69&amp;"|"&amp;원생!$G69)</f>
        <v/>
      </c>
    </row>
    <row r="70">
      <c r="A70">
        <f>IF(수납!$C70="","",수납!$C70&amp;"|"&amp;IF(수납!$D70&lt;&gt;"",수납!$D70,IF(COUNTIF(원생!$A$2:$A$501,수납!$C70)=1,INDEX(원생!$G$2:$G$501,MATCH(수납!$C70,원생!$A$2:$A$501,0))&amp;"","")))</f>
        <v/>
      </c>
      <c r="B70">
        <f>IFERROR(IF(수납!$B70="",YEAR(수납!$A70)*100+MONTH(수납!$A70),IF(ISNUMBER(수납!$B70),YEAR(수납!$B70)*100+MONTH(수납!$B70),VALUE(LEFT(수납!$B70,4))*100+VALUE(MID(수납!$B70,6,2)))),"")</f>
        <v/>
      </c>
      <c r="C70">
        <f>IF(OR(수납!$E70="수강료",수납!$E70=""),N(수납!$F70),0)</f>
        <v/>
      </c>
      <c r="E70">
        <f>IF(원생!$A70="","",원생!$A70&amp;"|"&amp;원생!$G70)</f>
        <v/>
      </c>
    </row>
    <row r="71">
      <c r="A71">
        <f>IF(수납!$C71="","",수납!$C71&amp;"|"&amp;IF(수납!$D71&lt;&gt;"",수납!$D71,IF(COUNTIF(원생!$A$2:$A$501,수납!$C71)=1,INDEX(원생!$G$2:$G$501,MATCH(수납!$C71,원생!$A$2:$A$501,0))&amp;"","")))</f>
        <v/>
      </c>
      <c r="B71">
        <f>IFERROR(IF(수납!$B71="",YEAR(수납!$A71)*100+MONTH(수납!$A71),IF(ISNUMBER(수납!$B71),YEAR(수납!$B71)*100+MONTH(수납!$B71),VALUE(LEFT(수납!$B71,4))*100+VALUE(MID(수납!$B71,6,2)))),"")</f>
        <v/>
      </c>
      <c r="C71">
        <f>IF(OR(수납!$E71="수강료",수납!$E71=""),N(수납!$F71),0)</f>
        <v/>
      </c>
      <c r="E71">
        <f>IF(원생!$A71="","",원생!$A71&amp;"|"&amp;원생!$G71)</f>
        <v/>
      </c>
    </row>
    <row r="72">
      <c r="A72">
        <f>IF(수납!$C72="","",수납!$C72&amp;"|"&amp;IF(수납!$D72&lt;&gt;"",수납!$D72,IF(COUNTIF(원생!$A$2:$A$501,수납!$C72)=1,INDEX(원생!$G$2:$G$501,MATCH(수납!$C72,원생!$A$2:$A$501,0))&amp;"","")))</f>
        <v/>
      </c>
      <c r="B72">
        <f>IFERROR(IF(수납!$B72="",YEAR(수납!$A72)*100+MONTH(수납!$A72),IF(ISNUMBER(수납!$B72),YEAR(수납!$B72)*100+MONTH(수납!$B72),VALUE(LEFT(수납!$B72,4))*100+VALUE(MID(수납!$B72,6,2)))),"")</f>
        <v/>
      </c>
      <c r="C72">
        <f>IF(OR(수납!$E72="수강료",수납!$E72=""),N(수납!$F72),0)</f>
        <v/>
      </c>
      <c r="E72">
        <f>IF(원생!$A72="","",원생!$A72&amp;"|"&amp;원생!$G72)</f>
        <v/>
      </c>
    </row>
    <row r="73">
      <c r="A73">
        <f>IF(수납!$C73="","",수납!$C73&amp;"|"&amp;IF(수납!$D73&lt;&gt;"",수납!$D73,IF(COUNTIF(원생!$A$2:$A$501,수납!$C73)=1,INDEX(원생!$G$2:$G$501,MATCH(수납!$C73,원생!$A$2:$A$501,0))&amp;"","")))</f>
        <v/>
      </c>
      <c r="B73">
        <f>IFERROR(IF(수납!$B73="",YEAR(수납!$A73)*100+MONTH(수납!$A73),IF(ISNUMBER(수납!$B73),YEAR(수납!$B73)*100+MONTH(수납!$B73),VALUE(LEFT(수납!$B73,4))*100+VALUE(MID(수납!$B73,6,2)))),"")</f>
        <v/>
      </c>
      <c r="C73">
        <f>IF(OR(수납!$E73="수강료",수납!$E73=""),N(수납!$F73),0)</f>
        <v/>
      </c>
      <c r="E73">
        <f>IF(원생!$A73="","",원생!$A73&amp;"|"&amp;원생!$G73)</f>
        <v/>
      </c>
    </row>
    <row r="74">
      <c r="A74">
        <f>IF(수납!$C74="","",수납!$C74&amp;"|"&amp;IF(수납!$D74&lt;&gt;"",수납!$D74,IF(COUNTIF(원생!$A$2:$A$501,수납!$C74)=1,INDEX(원생!$G$2:$G$501,MATCH(수납!$C74,원생!$A$2:$A$501,0))&amp;"","")))</f>
        <v/>
      </c>
      <c r="B74">
        <f>IFERROR(IF(수납!$B74="",YEAR(수납!$A74)*100+MONTH(수납!$A74),IF(ISNUMBER(수납!$B74),YEAR(수납!$B74)*100+MONTH(수납!$B74),VALUE(LEFT(수납!$B74,4))*100+VALUE(MID(수납!$B74,6,2)))),"")</f>
        <v/>
      </c>
      <c r="C74">
        <f>IF(OR(수납!$E74="수강료",수납!$E74=""),N(수납!$F74),0)</f>
        <v/>
      </c>
      <c r="E74">
        <f>IF(원생!$A74="","",원생!$A74&amp;"|"&amp;원생!$G74)</f>
        <v/>
      </c>
    </row>
    <row r="75">
      <c r="A75">
        <f>IF(수납!$C75="","",수납!$C75&amp;"|"&amp;IF(수납!$D75&lt;&gt;"",수납!$D75,IF(COUNTIF(원생!$A$2:$A$501,수납!$C75)=1,INDEX(원생!$G$2:$G$501,MATCH(수납!$C75,원생!$A$2:$A$501,0))&amp;"","")))</f>
        <v/>
      </c>
      <c r="B75">
        <f>IFERROR(IF(수납!$B75="",YEAR(수납!$A75)*100+MONTH(수납!$A75),IF(ISNUMBER(수납!$B75),YEAR(수납!$B75)*100+MONTH(수납!$B75),VALUE(LEFT(수납!$B75,4))*100+VALUE(MID(수납!$B75,6,2)))),"")</f>
        <v/>
      </c>
      <c r="C75">
        <f>IF(OR(수납!$E75="수강료",수납!$E75=""),N(수납!$F75),0)</f>
        <v/>
      </c>
      <c r="E75">
        <f>IF(원생!$A75="","",원생!$A75&amp;"|"&amp;원생!$G75)</f>
        <v/>
      </c>
    </row>
    <row r="76">
      <c r="A76">
        <f>IF(수납!$C76="","",수납!$C76&amp;"|"&amp;IF(수납!$D76&lt;&gt;"",수납!$D76,IF(COUNTIF(원생!$A$2:$A$501,수납!$C76)=1,INDEX(원생!$G$2:$G$501,MATCH(수납!$C76,원생!$A$2:$A$501,0))&amp;"","")))</f>
        <v/>
      </c>
      <c r="B76">
        <f>IFERROR(IF(수납!$B76="",YEAR(수납!$A76)*100+MONTH(수납!$A76),IF(ISNUMBER(수납!$B76),YEAR(수납!$B76)*100+MONTH(수납!$B76),VALUE(LEFT(수납!$B76,4))*100+VALUE(MID(수납!$B76,6,2)))),"")</f>
        <v/>
      </c>
      <c r="C76">
        <f>IF(OR(수납!$E76="수강료",수납!$E76=""),N(수납!$F76),0)</f>
        <v/>
      </c>
      <c r="E76">
        <f>IF(원생!$A76="","",원생!$A76&amp;"|"&amp;원생!$G76)</f>
        <v/>
      </c>
    </row>
    <row r="77">
      <c r="A77">
        <f>IF(수납!$C77="","",수납!$C77&amp;"|"&amp;IF(수납!$D77&lt;&gt;"",수납!$D77,IF(COUNTIF(원생!$A$2:$A$501,수납!$C77)=1,INDEX(원생!$G$2:$G$501,MATCH(수납!$C77,원생!$A$2:$A$501,0))&amp;"","")))</f>
        <v/>
      </c>
      <c r="B77">
        <f>IFERROR(IF(수납!$B77="",YEAR(수납!$A77)*100+MONTH(수납!$A77),IF(ISNUMBER(수납!$B77),YEAR(수납!$B77)*100+MONTH(수납!$B77),VALUE(LEFT(수납!$B77,4))*100+VALUE(MID(수납!$B77,6,2)))),"")</f>
        <v/>
      </c>
      <c r="C77">
        <f>IF(OR(수납!$E77="수강료",수납!$E77=""),N(수납!$F77),0)</f>
        <v/>
      </c>
      <c r="E77">
        <f>IF(원생!$A77="","",원생!$A77&amp;"|"&amp;원생!$G77)</f>
        <v/>
      </c>
    </row>
    <row r="78">
      <c r="A78">
        <f>IF(수납!$C78="","",수납!$C78&amp;"|"&amp;IF(수납!$D78&lt;&gt;"",수납!$D78,IF(COUNTIF(원생!$A$2:$A$501,수납!$C78)=1,INDEX(원생!$G$2:$G$501,MATCH(수납!$C78,원생!$A$2:$A$501,0))&amp;"","")))</f>
        <v/>
      </c>
      <c r="B78">
        <f>IFERROR(IF(수납!$B78="",YEAR(수납!$A78)*100+MONTH(수납!$A78),IF(ISNUMBER(수납!$B78),YEAR(수납!$B78)*100+MONTH(수납!$B78),VALUE(LEFT(수납!$B78,4))*100+VALUE(MID(수납!$B78,6,2)))),"")</f>
        <v/>
      </c>
      <c r="C78">
        <f>IF(OR(수납!$E78="수강료",수납!$E78=""),N(수납!$F78),0)</f>
        <v/>
      </c>
      <c r="E78">
        <f>IF(원생!$A78="","",원생!$A78&amp;"|"&amp;원생!$G78)</f>
        <v/>
      </c>
    </row>
    <row r="79">
      <c r="A79">
        <f>IF(수납!$C79="","",수납!$C79&amp;"|"&amp;IF(수납!$D79&lt;&gt;"",수납!$D79,IF(COUNTIF(원생!$A$2:$A$501,수납!$C79)=1,INDEX(원생!$G$2:$G$501,MATCH(수납!$C79,원생!$A$2:$A$501,0))&amp;"","")))</f>
        <v/>
      </c>
      <c r="B79">
        <f>IFERROR(IF(수납!$B79="",YEAR(수납!$A79)*100+MONTH(수납!$A79),IF(ISNUMBER(수납!$B79),YEAR(수납!$B79)*100+MONTH(수납!$B79),VALUE(LEFT(수납!$B79,4))*100+VALUE(MID(수납!$B79,6,2)))),"")</f>
        <v/>
      </c>
      <c r="C79">
        <f>IF(OR(수납!$E79="수강료",수납!$E79=""),N(수납!$F79),0)</f>
        <v/>
      </c>
      <c r="E79">
        <f>IF(원생!$A79="","",원생!$A79&amp;"|"&amp;원생!$G79)</f>
        <v/>
      </c>
    </row>
    <row r="80">
      <c r="A80">
        <f>IF(수납!$C80="","",수납!$C80&amp;"|"&amp;IF(수납!$D80&lt;&gt;"",수납!$D80,IF(COUNTIF(원생!$A$2:$A$501,수납!$C80)=1,INDEX(원생!$G$2:$G$501,MATCH(수납!$C80,원생!$A$2:$A$501,0))&amp;"","")))</f>
        <v/>
      </c>
      <c r="B80">
        <f>IFERROR(IF(수납!$B80="",YEAR(수납!$A80)*100+MONTH(수납!$A80),IF(ISNUMBER(수납!$B80),YEAR(수납!$B80)*100+MONTH(수납!$B80),VALUE(LEFT(수납!$B80,4))*100+VALUE(MID(수납!$B80,6,2)))),"")</f>
        <v/>
      </c>
      <c r="C80">
        <f>IF(OR(수납!$E80="수강료",수납!$E80=""),N(수납!$F80),0)</f>
        <v/>
      </c>
      <c r="E80">
        <f>IF(원생!$A80="","",원생!$A80&amp;"|"&amp;원생!$G80)</f>
        <v/>
      </c>
    </row>
    <row r="81">
      <c r="A81">
        <f>IF(수납!$C81="","",수납!$C81&amp;"|"&amp;IF(수납!$D81&lt;&gt;"",수납!$D81,IF(COUNTIF(원생!$A$2:$A$501,수납!$C81)=1,INDEX(원생!$G$2:$G$501,MATCH(수납!$C81,원생!$A$2:$A$501,0))&amp;"","")))</f>
        <v/>
      </c>
      <c r="B81">
        <f>IFERROR(IF(수납!$B81="",YEAR(수납!$A81)*100+MONTH(수납!$A81),IF(ISNUMBER(수납!$B81),YEAR(수납!$B81)*100+MONTH(수납!$B81),VALUE(LEFT(수납!$B81,4))*100+VALUE(MID(수납!$B81,6,2)))),"")</f>
        <v/>
      </c>
      <c r="C81">
        <f>IF(OR(수납!$E81="수강료",수납!$E81=""),N(수납!$F81),0)</f>
        <v/>
      </c>
      <c r="E81">
        <f>IF(원생!$A81="","",원생!$A81&amp;"|"&amp;원생!$G81)</f>
        <v/>
      </c>
    </row>
    <row r="82">
      <c r="A82">
        <f>IF(수납!$C82="","",수납!$C82&amp;"|"&amp;IF(수납!$D82&lt;&gt;"",수납!$D82,IF(COUNTIF(원생!$A$2:$A$501,수납!$C82)=1,INDEX(원생!$G$2:$G$501,MATCH(수납!$C82,원생!$A$2:$A$501,0))&amp;"","")))</f>
        <v/>
      </c>
      <c r="B82">
        <f>IFERROR(IF(수납!$B82="",YEAR(수납!$A82)*100+MONTH(수납!$A82),IF(ISNUMBER(수납!$B82),YEAR(수납!$B82)*100+MONTH(수납!$B82),VALUE(LEFT(수납!$B82,4))*100+VALUE(MID(수납!$B82,6,2)))),"")</f>
        <v/>
      </c>
      <c r="C82">
        <f>IF(OR(수납!$E82="수강료",수납!$E82=""),N(수납!$F82),0)</f>
        <v/>
      </c>
      <c r="E82">
        <f>IF(원생!$A82="","",원생!$A82&amp;"|"&amp;원생!$G82)</f>
        <v/>
      </c>
    </row>
    <row r="83">
      <c r="A83">
        <f>IF(수납!$C83="","",수납!$C83&amp;"|"&amp;IF(수납!$D83&lt;&gt;"",수납!$D83,IF(COUNTIF(원생!$A$2:$A$501,수납!$C83)=1,INDEX(원생!$G$2:$G$501,MATCH(수납!$C83,원생!$A$2:$A$501,0))&amp;"","")))</f>
        <v/>
      </c>
      <c r="B83">
        <f>IFERROR(IF(수납!$B83="",YEAR(수납!$A83)*100+MONTH(수납!$A83),IF(ISNUMBER(수납!$B83),YEAR(수납!$B83)*100+MONTH(수납!$B83),VALUE(LEFT(수납!$B83,4))*100+VALUE(MID(수납!$B83,6,2)))),"")</f>
        <v/>
      </c>
      <c r="C83">
        <f>IF(OR(수납!$E83="수강료",수납!$E83=""),N(수납!$F83),0)</f>
        <v/>
      </c>
      <c r="E83">
        <f>IF(원생!$A83="","",원생!$A83&amp;"|"&amp;원생!$G83)</f>
        <v/>
      </c>
    </row>
    <row r="84">
      <c r="A84">
        <f>IF(수납!$C84="","",수납!$C84&amp;"|"&amp;IF(수납!$D84&lt;&gt;"",수납!$D84,IF(COUNTIF(원생!$A$2:$A$501,수납!$C84)=1,INDEX(원생!$G$2:$G$501,MATCH(수납!$C84,원생!$A$2:$A$501,0))&amp;"","")))</f>
        <v/>
      </c>
      <c r="B84">
        <f>IFERROR(IF(수납!$B84="",YEAR(수납!$A84)*100+MONTH(수납!$A84),IF(ISNUMBER(수납!$B84),YEAR(수납!$B84)*100+MONTH(수납!$B84),VALUE(LEFT(수납!$B84,4))*100+VALUE(MID(수납!$B84,6,2)))),"")</f>
        <v/>
      </c>
      <c r="C84">
        <f>IF(OR(수납!$E84="수강료",수납!$E84=""),N(수납!$F84),0)</f>
        <v/>
      </c>
      <c r="E84">
        <f>IF(원생!$A84="","",원생!$A84&amp;"|"&amp;원생!$G84)</f>
        <v/>
      </c>
    </row>
    <row r="85">
      <c r="A85">
        <f>IF(수납!$C85="","",수납!$C85&amp;"|"&amp;IF(수납!$D85&lt;&gt;"",수납!$D85,IF(COUNTIF(원생!$A$2:$A$501,수납!$C85)=1,INDEX(원생!$G$2:$G$501,MATCH(수납!$C85,원생!$A$2:$A$501,0))&amp;"","")))</f>
        <v/>
      </c>
      <c r="B85">
        <f>IFERROR(IF(수납!$B85="",YEAR(수납!$A85)*100+MONTH(수납!$A85),IF(ISNUMBER(수납!$B85),YEAR(수납!$B85)*100+MONTH(수납!$B85),VALUE(LEFT(수납!$B85,4))*100+VALUE(MID(수납!$B85,6,2)))),"")</f>
        <v/>
      </c>
      <c r="C85">
        <f>IF(OR(수납!$E85="수강료",수납!$E85=""),N(수납!$F85),0)</f>
        <v/>
      </c>
      <c r="E85">
        <f>IF(원생!$A85="","",원생!$A85&amp;"|"&amp;원생!$G85)</f>
        <v/>
      </c>
    </row>
    <row r="86">
      <c r="A86">
        <f>IF(수납!$C86="","",수납!$C86&amp;"|"&amp;IF(수납!$D86&lt;&gt;"",수납!$D86,IF(COUNTIF(원생!$A$2:$A$501,수납!$C86)=1,INDEX(원생!$G$2:$G$501,MATCH(수납!$C86,원생!$A$2:$A$501,0))&amp;"","")))</f>
        <v/>
      </c>
      <c r="B86">
        <f>IFERROR(IF(수납!$B86="",YEAR(수납!$A86)*100+MONTH(수납!$A86),IF(ISNUMBER(수납!$B86),YEAR(수납!$B86)*100+MONTH(수납!$B86),VALUE(LEFT(수납!$B86,4))*100+VALUE(MID(수납!$B86,6,2)))),"")</f>
        <v/>
      </c>
      <c r="C86">
        <f>IF(OR(수납!$E86="수강료",수납!$E86=""),N(수납!$F86),0)</f>
        <v/>
      </c>
      <c r="E86">
        <f>IF(원생!$A86="","",원생!$A86&amp;"|"&amp;원생!$G86)</f>
        <v/>
      </c>
    </row>
    <row r="87">
      <c r="A87">
        <f>IF(수납!$C87="","",수납!$C87&amp;"|"&amp;IF(수납!$D87&lt;&gt;"",수납!$D87,IF(COUNTIF(원생!$A$2:$A$501,수납!$C87)=1,INDEX(원생!$G$2:$G$501,MATCH(수납!$C87,원생!$A$2:$A$501,0))&amp;"","")))</f>
        <v/>
      </c>
      <c r="B87">
        <f>IFERROR(IF(수납!$B87="",YEAR(수납!$A87)*100+MONTH(수납!$A87),IF(ISNUMBER(수납!$B87),YEAR(수납!$B87)*100+MONTH(수납!$B87),VALUE(LEFT(수납!$B87,4))*100+VALUE(MID(수납!$B87,6,2)))),"")</f>
        <v/>
      </c>
      <c r="C87">
        <f>IF(OR(수납!$E87="수강료",수납!$E87=""),N(수납!$F87),0)</f>
        <v/>
      </c>
      <c r="E87">
        <f>IF(원생!$A87="","",원생!$A87&amp;"|"&amp;원생!$G87)</f>
        <v/>
      </c>
    </row>
    <row r="88">
      <c r="A88">
        <f>IF(수납!$C88="","",수납!$C88&amp;"|"&amp;IF(수납!$D88&lt;&gt;"",수납!$D88,IF(COUNTIF(원생!$A$2:$A$501,수납!$C88)=1,INDEX(원생!$G$2:$G$501,MATCH(수납!$C88,원생!$A$2:$A$501,0))&amp;"","")))</f>
        <v/>
      </c>
      <c r="B88">
        <f>IFERROR(IF(수납!$B88="",YEAR(수납!$A88)*100+MONTH(수납!$A88),IF(ISNUMBER(수납!$B88),YEAR(수납!$B88)*100+MONTH(수납!$B88),VALUE(LEFT(수납!$B88,4))*100+VALUE(MID(수납!$B88,6,2)))),"")</f>
        <v/>
      </c>
      <c r="C88">
        <f>IF(OR(수납!$E88="수강료",수납!$E88=""),N(수납!$F88),0)</f>
        <v/>
      </c>
      <c r="E88">
        <f>IF(원생!$A88="","",원생!$A88&amp;"|"&amp;원생!$G88)</f>
        <v/>
      </c>
    </row>
    <row r="89">
      <c r="A89">
        <f>IF(수납!$C89="","",수납!$C89&amp;"|"&amp;IF(수납!$D89&lt;&gt;"",수납!$D89,IF(COUNTIF(원생!$A$2:$A$501,수납!$C89)=1,INDEX(원생!$G$2:$G$501,MATCH(수납!$C89,원생!$A$2:$A$501,0))&amp;"","")))</f>
        <v/>
      </c>
      <c r="B89">
        <f>IFERROR(IF(수납!$B89="",YEAR(수납!$A89)*100+MONTH(수납!$A89),IF(ISNUMBER(수납!$B89),YEAR(수납!$B89)*100+MONTH(수납!$B89),VALUE(LEFT(수납!$B89,4))*100+VALUE(MID(수납!$B89,6,2)))),"")</f>
        <v/>
      </c>
      <c r="C89">
        <f>IF(OR(수납!$E89="수강료",수납!$E89=""),N(수납!$F89),0)</f>
        <v/>
      </c>
      <c r="E89">
        <f>IF(원생!$A89="","",원생!$A89&amp;"|"&amp;원생!$G89)</f>
        <v/>
      </c>
    </row>
    <row r="90">
      <c r="A90">
        <f>IF(수납!$C90="","",수납!$C90&amp;"|"&amp;IF(수납!$D90&lt;&gt;"",수납!$D90,IF(COUNTIF(원생!$A$2:$A$501,수납!$C90)=1,INDEX(원생!$G$2:$G$501,MATCH(수납!$C90,원생!$A$2:$A$501,0))&amp;"","")))</f>
        <v/>
      </c>
      <c r="B90">
        <f>IFERROR(IF(수납!$B90="",YEAR(수납!$A90)*100+MONTH(수납!$A90),IF(ISNUMBER(수납!$B90),YEAR(수납!$B90)*100+MONTH(수납!$B90),VALUE(LEFT(수납!$B90,4))*100+VALUE(MID(수납!$B90,6,2)))),"")</f>
        <v/>
      </c>
      <c r="C90">
        <f>IF(OR(수납!$E90="수강료",수납!$E90=""),N(수납!$F90),0)</f>
        <v/>
      </c>
      <c r="E90">
        <f>IF(원생!$A90="","",원생!$A90&amp;"|"&amp;원생!$G90)</f>
        <v/>
      </c>
    </row>
    <row r="91">
      <c r="A91">
        <f>IF(수납!$C91="","",수납!$C91&amp;"|"&amp;IF(수납!$D91&lt;&gt;"",수납!$D91,IF(COUNTIF(원생!$A$2:$A$501,수납!$C91)=1,INDEX(원생!$G$2:$G$501,MATCH(수납!$C91,원생!$A$2:$A$501,0))&amp;"","")))</f>
        <v/>
      </c>
      <c r="B91">
        <f>IFERROR(IF(수납!$B91="",YEAR(수납!$A91)*100+MONTH(수납!$A91),IF(ISNUMBER(수납!$B91),YEAR(수납!$B91)*100+MONTH(수납!$B91),VALUE(LEFT(수납!$B91,4))*100+VALUE(MID(수납!$B91,6,2)))),"")</f>
        <v/>
      </c>
      <c r="C91">
        <f>IF(OR(수납!$E91="수강료",수납!$E91=""),N(수납!$F91),0)</f>
        <v/>
      </c>
      <c r="E91">
        <f>IF(원생!$A91="","",원생!$A91&amp;"|"&amp;원생!$G91)</f>
        <v/>
      </c>
    </row>
    <row r="92">
      <c r="A92">
        <f>IF(수납!$C92="","",수납!$C92&amp;"|"&amp;IF(수납!$D92&lt;&gt;"",수납!$D92,IF(COUNTIF(원생!$A$2:$A$501,수납!$C92)=1,INDEX(원생!$G$2:$G$501,MATCH(수납!$C92,원생!$A$2:$A$501,0))&amp;"","")))</f>
        <v/>
      </c>
      <c r="B92">
        <f>IFERROR(IF(수납!$B92="",YEAR(수납!$A92)*100+MONTH(수납!$A92),IF(ISNUMBER(수납!$B92),YEAR(수납!$B92)*100+MONTH(수납!$B92),VALUE(LEFT(수납!$B92,4))*100+VALUE(MID(수납!$B92,6,2)))),"")</f>
        <v/>
      </c>
      <c r="C92">
        <f>IF(OR(수납!$E92="수강료",수납!$E92=""),N(수납!$F92),0)</f>
        <v/>
      </c>
      <c r="E92">
        <f>IF(원생!$A92="","",원생!$A92&amp;"|"&amp;원생!$G92)</f>
        <v/>
      </c>
    </row>
    <row r="93">
      <c r="A93">
        <f>IF(수납!$C93="","",수납!$C93&amp;"|"&amp;IF(수납!$D93&lt;&gt;"",수납!$D93,IF(COUNTIF(원생!$A$2:$A$501,수납!$C93)=1,INDEX(원생!$G$2:$G$501,MATCH(수납!$C93,원생!$A$2:$A$501,0))&amp;"","")))</f>
        <v/>
      </c>
      <c r="B93">
        <f>IFERROR(IF(수납!$B93="",YEAR(수납!$A93)*100+MONTH(수납!$A93),IF(ISNUMBER(수납!$B93),YEAR(수납!$B93)*100+MONTH(수납!$B93),VALUE(LEFT(수납!$B93,4))*100+VALUE(MID(수납!$B93,6,2)))),"")</f>
        <v/>
      </c>
      <c r="C93">
        <f>IF(OR(수납!$E93="수강료",수납!$E93=""),N(수납!$F93),0)</f>
        <v/>
      </c>
      <c r="E93">
        <f>IF(원생!$A93="","",원생!$A93&amp;"|"&amp;원생!$G93)</f>
        <v/>
      </c>
    </row>
    <row r="94">
      <c r="A94">
        <f>IF(수납!$C94="","",수납!$C94&amp;"|"&amp;IF(수납!$D94&lt;&gt;"",수납!$D94,IF(COUNTIF(원생!$A$2:$A$501,수납!$C94)=1,INDEX(원생!$G$2:$G$501,MATCH(수납!$C94,원생!$A$2:$A$501,0))&amp;"","")))</f>
        <v/>
      </c>
      <c r="B94">
        <f>IFERROR(IF(수납!$B94="",YEAR(수납!$A94)*100+MONTH(수납!$A94),IF(ISNUMBER(수납!$B94),YEAR(수납!$B94)*100+MONTH(수납!$B94),VALUE(LEFT(수납!$B94,4))*100+VALUE(MID(수납!$B94,6,2)))),"")</f>
        <v/>
      </c>
      <c r="C94">
        <f>IF(OR(수납!$E94="수강료",수납!$E94=""),N(수납!$F94),0)</f>
        <v/>
      </c>
      <c r="E94">
        <f>IF(원생!$A94="","",원생!$A94&amp;"|"&amp;원생!$G94)</f>
        <v/>
      </c>
    </row>
    <row r="95">
      <c r="A95">
        <f>IF(수납!$C95="","",수납!$C95&amp;"|"&amp;IF(수납!$D95&lt;&gt;"",수납!$D95,IF(COUNTIF(원생!$A$2:$A$501,수납!$C95)=1,INDEX(원생!$G$2:$G$501,MATCH(수납!$C95,원생!$A$2:$A$501,0))&amp;"","")))</f>
        <v/>
      </c>
      <c r="B95">
        <f>IFERROR(IF(수납!$B95="",YEAR(수납!$A95)*100+MONTH(수납!$A95),IF(ISNUMBER(수납!$B95),YEAR(수납!$B95)*100+MONTH(수납!$B95),VALUE(LEFT(수납!$B95,4))*100+VALUE(MID(수납!$B95,6,2)))),"")</f>
        <v/>
      </c>
      <c r="C95">
        <f>IF(OR(수납!$E95="수강료",수납!$E95=""),N(수납!$F95),0)</f>
        <v/>
      </c>
      <c r="E95">
        <f>IF(원생!$A95="","",원생!$A95&amp;"|"&amp;원생!$G95)</f>
        <v/>
      </c>
    </row>
    <row r="96">
      <c r="A96">
        <f>IF(수납!$C96="","",수납!$C96&amp;"|"&amp;IF(수납!$D96&lt;&gt;"",수납!$D96,IF(COUNTIF(원생!$A$2:$A$501,수납!$C96)=1,INDEX(원생!$G$2:$G$501,MATCH(수납!$C96,원생!$A$2:$A$501,0))&amp;"","")))</f>
        <v/>
      </c>
      <c r="B96">
        <f>IFERROR(IF(수납!$B96="",YEAR(수납!$A96)*100+MONTH(수납!$A96),IF(ISNUMBER(수납!$B96),YEAR(수납!$B96)*100+MONTH(수납!$B96),VALUE(LEFT(수납!$B96,4))*100+VALUE(MID(수납!$B96,6,2)))),"")</f>
        <v/>
      </c>
      <c r="C96">
        <f>IF(OR(수납!$E96="수강료",수납!$E96=""),N(수납!$F96),0)</f>
        <v/>
      </c>
      <c r="E96">
        <f>IF(원생!$A96="","",원생!$A96&amp;"|"&amp;원생!$G96)</f>
        <v/>
      </c>
    </row>
    <row r="97">
      <c r="A97">
        <f>IF(수납!$C97="","",수납!$C97&amp;"|"&amp;IF(수납!$D97&lt;&gt;"",수납!$D97,IF(COUNTIF(원생!$A$2:$A$501,수납!$C97)=1,INDEX(원생!$G$2:$G$501,MATCH(수납!$C97,원생!$A$2:$A$501,0))&amp;"","")))</f>
        <v/>
      </c>
      <c r="B97">
        <f>IFERROR(IF(수납!$B97="",YEAR(수납!$A97)*100+MONTH(수납!$A97),IF(ISNUMBER(수납!$B97),YEAR(수납!$B97)*100+MONTH(수납!$B97),VALUE(LEFT(수납!$B97,4))*100+VALUE(MID(수납!$B97,6,2)))),"")</f>
        <v/>
      </c>
      <c r="C97">
        <f>IF(OR(수납!$E97="수강료",수납!$E97=""),N(수납!$F97),0)</f>
        <v/>
      </c>
      <c r="E97">
        <f>IF(원생!$A97="","",원생!$A97&amp;"|"&amp;원생!$G97)</f>
        <v/>
      </c>
    </row>
    <row r="98">
      <c r="A98">
        <f>IF(수납!$C98="","",수납!$C98&amp;"|"&amp;IF(수납!$D98&lt;&gt;"",수납!$D98,IF(COUNTIF(원생!$A$2:$A$501,수납!$C98)=1,INDEX(원생!$G$2:$G$501,MATCH(수납!$C98,원생!$A$2:$A$501,0))&amp;"","")))</f>
        <v/>
      </c>
      <c r="B98">
        <f>IFERROR(IF(수납!$B98="",YEAR(수납!$A98)*100+MONTH(수납!$A98),IF(ISNUMBER(수납!$B98),YEAR(수납!$B98)*100+MONTH(수납!$B98),VALUE(LEFT(수납!$B98,4))*100+VALUE(MID(수납!$B98,6,2)))),"")</f>
        <v/>
      </c>
      <c r="C98">
        <f>IF(OR(수납!$E98="수강료",수납!$E98=""),N(수납!$F98),0)</f>
        <v/>
      </c>
      <c r="E98">
        <f>IF(원생!$A98="","",원생!$A98&amp;"|"&amp;원생!$G98)</f>
        <v/>
      </c>
    </row>
    <row r="99">
      <c r="A99">
        <f>IF(수납!$C99="","",수납!$C99&amp;"|"&amp;IF(수납!$D99&lt;&gt;"",수납!$D99,IF(COUNTIF(원생!$A$2:$A$501,수납!$C99)=1,INDEX(원생!$G$2:$G$501,MATCH(수납!$C99,원생!$A$2:$A$501,0))&amp;"","")))</f>
        <v/>
      </c>
      <c r="B99">
        <f>IFERROR(IF(수납!$B99="",YEAR(수납!$A99)*100+MONTH(수납!$A99),IF(ISNUMBER(수납!$B99),YEAR(수납!$B99)*100+MONTH(수납!$B99),VALUE(LEFT(수납!$B99,4))*100+VALUE(MID(수납!$B99,6,2)))),"")</f>
        <v/>
      </c>
      <c r="C99">
        <f>IF(OR(수납!$E99="수강료",수납!$E99=""),N(수납!$F99),0)</f>
        <v/>
      </c>
      <c r="E99">
        <f>IF(원생!$A99="","",원생!$A99&amp;"|"&amp;원생!$G99)</f>
        <v/>
      </c>
    </row>
    <row r="100">
      <c r="A100">
        <f>IF(수납!$C100="","",수납!$C100&amp;"|"&amp;IF(수납!$D100&lt;&gt;"",수납!$D100,IF(COUNTIF(원생!$A$2:$A$501,수납!$C100)=1,INDEX(원생!$G$2:$G$501,MATCH(수납!$C100,원생!$A$2:$A$501,0))&amp;"","")))</f>
        <v/>
      </c>
      <c r="B100">
        <f>IFERROR(IF(수납!$B100="",YEAR(수납!$A100)*100+MONTH(수납!$A100),IF(ISNUMBER(수납!$B100),YEAR(수납!$B100)*100+MONTH(수납!$B100),VALUE(LEFT(수납!$B100,4))*100+VALUE(MID(수납!$B100,6,2)))),"")</f>
        <v/>
      </c>
      <c r="C100">
        <f>IF(OR(수납!$E100="수강료",수납!$E100=""),N(수납!$F100),0)</f>
        <v/>
      </c>
      <c r="E100">
        <f>IF(원생!$A100="","",원생!$A100&amp;"|"&amp;원생!$G100)</f>
        <v/>
      </c>
    </row>
    <row r="101">
      <c r="A101">
        <f>IF(수납!$C101="","",수납!$C101&amp;"|"&amp;IF(수납!$D101&lt;&gt;"",수납!$D101,IF(COUNTIF(원생!$A$2:$A$501,수납!$C101)=1,INDEX(원생!$G$2:$G$501,MATCH(수납!$C101,원생!$A$2:$A$501,0))&amp;"","")))</f>
        <v/>
      </c>
      <c r="B101">
        <f>IFERROR(IF(수납!$B101="",YEAR(수납!$A101)*100+MONTH(수납!$A101),IF(ISNUMBER(수납!$B101),YEAR(수납!$B101)*100+MONTH(수납!$B101),VALUE(LEFT(수납!$B101,4))*100+VALUE(MID(수납!$B101,6,2)))),"")</f>
        <v/>
      </c>
      <c r="C101">
        <f>IF(OR(수납!$E101="수강료",수납!$E101=""),N(수납!$F101),0)</f>
        <v/>
      </c>
      <c r="E101">
        <f>IF(원생!$A101="","",원생!$A101&amp;"|"&amp;원생!$G101)</f>
        <v/>
      </c>
    </row>
    <row r="102">
      <c r="A102">
        <f>IF(수납!$C102="","",수납!$C102&amp;"|"&amp;IF(수납!$D102&lt;&gt;"",수납!$D102,IF(COUNTIF(원생!$A$2:$A$501,수납!$C102)=1,INDEX(원생!$G$2:$G$501,MATCH(수납!$C102,원생!$A$2:$A$501,0))&amp;"","")))</f>
        <v/>
      </c>
      <c r="B102">
        <f>IFERROR(IF(수납!$B102="",YEAR(수납!$A102)*100+MONTH(수납!$A102),IF(ISNUMBER(수납!$B102),YEAR(수납!$B102)*100+MONTH(수납!$B102),VALUE(LEFT(수납!$B102,4))*100+VALUE(MID(수납!$B102,6,2)))),"")</f>
        <v/>
      </c>
      <c r="C102">
        <f>IF(OR(수납!$E102="수강료",수납!$E102=""),N(수납!$F102),0)</f>
        <v/>
      </c>
      <c r="E102">
        <f>IF(원생!$A102="","",원생!$A102&amp;"|"&amp;원생!$G102)</f>
        <v/>
      </c>
    </row>
    <row r="103">
      <c r="A103">
        <f>IF(수납!$C103="","",수납!$C103&amp;"|"&amp;IF(수납!$D103&lt;&gt;"",수납!$D103,IF(COUNTIF(원생!$A$2:$A$501,수납!$C103)=1,INDEX(원생!$G$2:$G$501,MATCH(수납!$C103,원생!$A$2:$A$501,0))&amp;"","")))</f>
        <v/>
      </c>
      <c r="B103">
        <f>IFERROR(IF(수납!$B103="",YEAR(수납!$A103)*100+MONTH(수납!$A103),IF(ISNUMBER(수납!$B103),YEAR(수납!$B103)*100+MONTH(수납!$B103),VALUE(LEFT(수납!$B103,4))*100+VALUE(MID(수납!$B103,6,2)))),"")</f>
        <v/>
      </c>
      <c r="C103">
        <f>IF(OR(수납!$E103="수강료",수납!$E103=""),N(수납!$F103),0)</f>
        <v/>
      </c>
      <c r="E103">
        <f>IF(원생!$A103="","",원생!$A103&amp;"|"&amp;원생!$G103)</f>
        <v/>
      </c>
    </row>
    <row r="104">
      <c r="A104">
        <f>IF(수납!$C104="","",수납!$C104&amp;"|"&amp;IF(수납!$D104&lt;&gt;"",수납!$D104,IF(COUNTIF(원생!$A$2:$A$501,수납!$C104)=1,INDEX(원생!$G$2:$G$501,MATCH(수납!$C104,원생!$A$2:$A$501,0))&amp;"","")))</f>
        <v/>
      </c>
      <c r="B104">
        <f>IFERROR(IF(수납!$B104="",YEAR(수납!$A104)*100+MONTH(수납!$A104),IF(ISNUMBER(수납!$B104),YEAR(수납!$B104)*100+MONTH(수납!$B104),VALUE(LEFT(수납!$B104,4))*100+VALUE(MID(수납!$B104,6,2)))),"")</f>
        <v/>
      </c>
      <c r="C104">
        <f>IF(OR(수납!$E104="수강료",수납!$E104=""),N(수납!$F104),0)</f>
        <v/>
      </c>
      <c r="E104">
        <f>IF(원생!$A104="","",원생!$A104&amp;"|"&amp;원생!$G104)</f>
        <v/>
      </c>
    </row>
    <row r="105">
      <c r="A105">
        <f>IF(수납!$C105="","",수납!$C105&amp;"|"&amp;IF(수납!$D105&lt;&gt;"",수납!$D105,IF(COUNTIF(원생!$A$2:$A$501,수납!$C105)=1,INDEX(원생!$G$2:$G$501,MATCH(수납!$C105,원생!$A$2:$A$501,0))&amp;"","")))</f>
        <v/>
      </c>
      <c r="B105">
        <f>IFERROR(IF(수납!$B105="",YEAR(수납!$A105)*100+MONTH(수납!$A105),IF(ISNUMBER(수납!$B105),YEAR(수납!$B105)*100+MONTH(수납!$B105),VALUE(LEFT(수납!$B105,4))*100+VALUE(MID(수납!$B105,6,2)))),"")</f>
        <v/>
      </c>
      <c r="C105">
        <f>IF(OR(수납!$E105="수강료",수납!$E105=""),N(수납!$F105),0)</f>
        <v/>
      </c>
      <c r="E105">
        <f>IF(원생!$A105="","",원생!$A105&amp;"|"&amp;원생!$G105)</f>
        <v/>
      </c>
    </row>
    <row r="106">
      <c r="A106">
        <f>IF(수납!$C106="","",수납!$C106&amp;"|"&amp;IF(수납!$D106&lt;&gt;"",수납!$D106,IF(COUNTIF(원생!$A$2:$A$501,수납!$C106)=1,INDEX(원생!$G$2:$G$501,MATCH(수납!$C106,원생!$A$2:$A$501,0))&amp;"","")))</f>
        <v/>
      </c>
      <c r="B106">
        <f>IFERROR(IF(수납!$B106="",YEAR(수납!$A106)*100+MONTH(수납!$A106),IF(ISNUMBER(수납!$B106),YEAR(수납!$B106)*100+MONTH(수납!$B106),VALUE(LEFT(수납!$B106,4))*100+VALUE(MID(수납!$B106,6,2)))),"")</f>
        <v/>
      </c>
      <c r="C106">
        <f>IF(OR(수납!$E106="수강료",수납!$E106=""),N(수납!$F106),0)</f>
        <v/>
      </c>
      <c r="E106">
        <f>IF(원생!$A106="","",원생!$A106&amp;"|"&amp;원생!$G106)</f>
        <v/>
      </c>
    </row>
    <row r="107">
      <c r="A107">
        <f>IF(수납!$C107="","",수납!$C107&amp;"|"&amp;IF(수납!$D107&lt;&gt;"",수납!$D107,IF(COUNTIF(원생!$A$2:$A$501,수납!$C107)=1,INDEX(원생!$G$2:$G$501,MATCH(수납!$C107,원생!$A$2:$A$501,0))&amp;"","")))</f>
        <v/>
      </c>
      <c r="B107">
        <f>IFERROR(IF(수납!$B107="",YEAR(수납!$A107)*100+MONTH(수납!$A107),IF(ISNUMBER(수납!$B107),YEAR(수납!$B107)*100+MONTH(수납!$B107),VALUE(LEFT(수납!$B107,4))*100+VALUE(MID(수납!$B107,6,2)))),"")</f>
        <v/>
      </c>
      <c r="C107">
        <f>IF(OR(수납!$E107="수강료",수납!$E107=""),N(수납!$F107),0)</f>
        <v/>
      </c>
      <c r="E107">
        <f>IF(원생!$A107="","",원생!$A107&amp;"|"&amp;원생!$G107)</f>
        <v/>
      </c>
    </row>
    <row r="108">
      <c r="A108">
        <f>IF(수납!$C108="","",수납!$C108&amp;"|"&amp;IF(수납!$D108&lt;&gt;"",수납!$D108,IF(COUNTIF(원생!$A$2:$A$501,수납!$C108)=1,INDEX(원생!$G$2:$G$501,MATCH(수납!$C108,원생!$A$2:$A$501,0))&amp;"","")))</f>
        <v/>
      </c>
      <c r="B108">
        <f>IFERROR(IF(수납!$B108="",YEAR(수납!$A108)*100+MONTH(수납!$A108),IF(ISNUMBER(수납!$B108),YEAR(수납!$B108)*100+MONTH(수납!$B108),VALUE(LEFT(수납!$B108,4))*100+VALUE(MID(수납!$B108,6,2)))),"")</f>
        <v/>
      </c>
      <c r="C108">
        <f>IF(OR(수납!$E108="수강료",수납!$E108=""),N(수납!$F108),0)</f>
        <v/>
      </c>
      <c r="E108">
        <f>IF(원생!$A108="","",원생!$A108&amp;"|"&amp;원생!$G108)</f>
        <v/>
      </c>
    </row>
    <row r="109">
      <c r="A109">
        <f>IF(수납!$C109="","",수납!$C109&amp;"|"&amp;IF(수납!$D109&lt;&gt;"",수납!$D109,IF(COUNTIF(원생!$A$2:$A$501,수납!$C109)=1,INDEX(원생!$G$2:$G$501,MATCH(수납!$C109,원생!$A$2:$A$501,0))&amp;"","")))</f>
        <v/>
      </c>
      <c r="B109">
        <f>IFERROR(IF(수납!$B109="",YEAR(수납!$A109)*100+MONTH(수납!$A109),IF(ISNUMBER(수납!$B109),YEAR(수납!$B109)*100+MONTH(수납!$B109),VALUE(LEFT(수납!$B109,4))*100+VALUE(MID(수납!$B109,6,2)))),"")</f>
        <v/>
      </c>
      <c r="C109">
        <f>IF(OR(수납!$E109="수강료",수납!$E109=""),N(수납!$F109),0)</f>
        <v/>
      </c>
      <c r="E109">
        <f>IF(원생!$A109="","",원생!$A109&amp;"|"&amp;원생!$G109)</f>
        <v/>
      </c>
    </row>
    <row r="110">
      <c r="A110">
        <f>IF(수납!$C110="","",수납!$C110&amp;"|"&amp;IF(수납!$D110&lt;&gt;"",수납!$D110,IF(COUNTIF(원생!$A$2:$A$501,수납!$C110)=1,INDEX(원생!$G$2:$G$501,MATCH(수납!$C110,원생!$A$2:$A$501,0))&amp;"","")))</f>
        <v/>
      </c>
      <c r="B110">
        <f>IFERROR(IF(수납!$B110="",YEAR(수납!$A110)*100+MONTH(수납!$A110),IF(ISNUMBER(수납!$B110),YEAR(수납!$B110)*100+MONTH(수납!$B110),VALUE(LEFT(수납!$B110,4))*100+VALUE(MID(수납!$B110,6,2)))),"")</f>
        <v/>
      </c>
      <c r="C110">
        <f>IF(OR(수납!$E110="수강료",수납!$E110=""),N(수납!$F110),0)</f>
        <v/>
      </c>
      <c r="E110">
        <f>IF(원생!$A110="","",원생!$A110&amp;"|"&amp;원생!$G110)</f>
        <v/>
      </c>
    </row>
    <row r="111">
      <c r="A111">
        <f>IF(수납!$C111="","",수납!$C111&amp;"|"&amp;IF(수납!$D111&lt;&gt;"",수납!$D111,IF(COUNTIF(원생!$A$2:$A$501,수납!$C111)=1,INDEX(원생!$G$2:$G$501,MATCH(수납!$C111,원생!$A$2:$A$501,0))&amp;"","")))</f>
        <v/>
      </c>
      <c r="B111">
        <f>IFERROR(IF(수납!$B111="",YEAR(수납!$A111)*100+MONTH(수납!$A111),IF(ISNUMBER(수납!$B111),YEAR(수납!$B111)*100+MONTH(수납!$B111),VALUE(LEFT(수납!$B111,4))*100+VALUE(MID(수납!$B111,6,2)))),"")</f>
        <v/>
      </c>
      <c r="C111">
        <f>IF(OR(수납!$E111="수강료",수납!$E111=""),N(수납!$F111),0)</f>
        <v/>
      </c>
      <c r="E111">
        <f>IF(원생!$A111="","",원생!$A111&amp;"|"&amp;원생!$G111)</f>
        <v/>
      </c>
    </row>
    <row r="112">
      <c r="A112">
        <f>IF(수납!$C112="","",수납!$C112&amp;"|"&amp;IF(수납!$D112&lt;&gt;"",수납!$D112,IF(COUNTIF(원생!$A$2:$A$501,수납!$C112)=1,INDEX(원생!$G$2:$G$501,MATCH(수납!$C112,원생!$A$2:$A$501,0))&amp;"","")))</f>
        <v/>
      </c>
      <c r="B112">
        <f>IFERROR(IF(수납!$B112="",YEAR(수납!$A112)*100+MONTH(수납!$A112),IF(ISNUMBER(수납!$B112),YEAR(수납!$B112)*100+MONTH(수납!$B112),VALUE(LEFT(수납!$B112,4))*100+VALUE(MID(수납!$B112,6,2)))),"")</f>
        <v/>
      </c>
      <c r="C112">
        <f>IF(OR(수납!$E112="수강료",수납!$E112=""),N(수납!$F112),0)</f>
        <v/>
      </c>
      <c r="E112">
        <f>IF(원생!$A112="","",원생!$A112&amp;"|"&amp;원생!$G112)</f>
        <v/>
      </c>
    </row>
    <row r="113">
      <c r="A113">
        <f>IF(수납!$C113="","",수납!$C113&amp;"|"&amp;IF(수납!$D113&lt;&gt;"",수납!$D113,IF(COUNTIF(원생!$A$2:$A$501,수납!$C113)=1,INDEX(원생!$G$2:$G$501,MATCH(수납!$C113,원생!$A$2:$A$501,0))&amp;"","")))</f>
        <v/>
      </c>
      <c r="B113">
        <f>IFERROR(IF(수납!$B113="",YEAR(수납!$A113)*100+MONTH(수납!$A113),IF(ISNUMBER(수납!$B113),YEAR(수납!$B113)*100+MONTH(수납!$B113),VALUE(LEFT(수납!$B113,4))*100+VALUE(MID(수납!$B113,6,2)))),"")</f>
        <v/>
      </c>
      <c r="C113">
        <f>IF(OR(수납!$E113="수강료",수납!$E113=""),N(수납!$F113),0)</f>
        <v/>
      </c>
      <c r="E113">
        <f>IF(원생!$A113="","",원생!$A113&amp;"|"&amp;원생!$G113)</f>
        <v/>
      </c>
    </row>
    <row r="114">
      <c r="A114">
        <f>IF(수납!$C114="","",수납!$C114&amp;"|"&amp;IF(수납!$D114&lt;&gt;"",수납!$D114,IF(COUNTIF(원생!$A$2:$A$501,수납!$C114)=1,INDEX(원생!$G$2:$G$501,MATCH(수납!$C114,원생!$A$2:$A$501,0))&amp;"","")))</f>
        <v/>
      </c>
      <c r="B114">
        <f>IFERROR(IF(수납!$B114="",YEAR(수납!$A114)*100+MONTH(수납!$A114),IF(ISNUMBER(수납!$B114),YEAR(수납!$B114)*100+MONTH(수납!$B114),VALUE(LEFT(수납!$B114,4))*100+VALUE(MID(수납!$B114,6,2)))),"")</f>
        <v/>
      </c>
      <c r="C114">
        <f>IF(OR(수납!$E114="수강료",수납!$E114=""),N(수납!$F114),0)</f>
        <v/>
      </c>
      <c r="E114">
        <f>IF(원생!$A114="","",원생!$A114&amp;"|"&amp;원생!$G114)</f>
        <v/>
      </c>
    </row>
    <row r="115">
      <c r="A115">
        <f>IF(수납!$C115="","",수납!$C115&amp;"|"&amp;IF(수납!$D115&lt;&gt;"",수납!$D115,IF(COUNTIF(원생!$A$2:$A$501,수납!$C115)=1,INDEX(원생!$G$2:$G$501,MATCH(수납!$C115,원생!$A$2:$A$501,0))&amp;"","")))</f>
        <v/>
      </c>
      <c r="B115">
        <f>IFERROR(IF(수납!$B115="",YEAR(수납!$A115)*100+MONTH(수납!$A115),IF(ISNUMBER(수납!$B115),YEAR(수납!$B115)*100+MONTH(수납!$B115),VALUE(LEFT(수납!$B115,4))*100+VALUE(MID(수납!$B115,6,2)))),"")</f>
        <v/>
      </c>
      <c r="C115">
        <f>IF(OR(수납!$E115="수강료",수납!$E115=""),N(수납!$F115),0)</f>
        <v/>
      </c>
      <c r="E115">
        <f>IF(원생!$A115="","",원생!$A115&amp;"|"&amp;원생!$G115)</f>
        <v/>
      </c>
    </row>
    <row r="116">
      <c r="A116">
        <f>IF(수납!$C116="","",수납!$C116&amp;"|"&amp;IF(수납!$D116&lt;&gt;"",수납!$D116,IF(COUNTIF(원생!$A$2:$A$501,수납!$C116)=1,INDEX(원생!$G$2:$G$501,MATCH(수납!$C116,원생!$A$2:$A$501,0))&amp;"","")))</f>
        <v/>
      </c>
      <c r="B116">
        <f>IFERROR(IF(수납!$B116="",YEAR(수납!$A116)*100+MONTH(수납!$A116),IF(ISNUMBER(수납!$B116),YEAR(수납!$B116)*100+MONTH(수납!$B116),VALUE(LEFT(수납!$B116,4))*100+VALUE(MID(수납!$B116,6,2)))),"")</f>
        <v/>
      </c>
      <c r="C116">
        <f>IF(OR(수납!$E116="수강료",수납!$E116=""),N(수납!$F116),0)</f>
        <v/>
      </c>
      <c r="E116">
        <f>IF(원생!$A116="","",원생!$A116&amp;"|"&amp;원생!$G116)</f>
        <v/>
      </c>
    </row>
    <row r="117">
      <c r="A117">
        <f>IF(수납!$C117="","",수납!$C117&amp;"|"&amp;IF(수납!$D117&lt;&gt;"",수납!$D117,IF(COUNTIF(원생!$A$2:$A$501,수납!$C117)=1,INDEX(원생!$G$2:$G$501,MATCH(수납!$C117,원생!$A$2:$A$501,0))&amp;"","")))</f>
        <v/>
      </c>
      <c r="B117">
        <f>IFERROR(IF(수납!$B117="",YEAR(수납!$A117)*100+MONTH(수납!$A117),IF(ISNUMBER(수납!$B117),YEAR(수납!$B117)*100+MONTH(수납!$B117),VALUE(LEFT(수납!$B117,4))*100+VALUE(MID(수납!$B117,6,2)))),"")</f>
        <v/>
      </c>
      <c r="C117">
        <f>IF(OR(수납!$E117="수강료",수납!$E117=""),N(수납!$F117),0)</f>
        <v/>
      </c>
      <c r="E117">
        <f>IF(원생!$A117="","",원생!$A117&amp;"|"&amp;원생!$G117)</f>
        <v/>
      </c>
    </row>
    <row r="118">
      <c r="A118">
        <f>IF(수납!$C118="","",수납!$C118&amp;"|"&amp;IF(수납!$D118&lt;&gt;"",수납!$D118,IF(COUNTIF(원생!$A$2:$A$501,수납!$C118)=1,INDEX(원생!$G$2:$G$501,MATCH(수납!$C118,원생!$A$2:$A$501,0))&amp;"","")))</f>
        <v/>
      </c>
      <c r="B118">
        <f>IFERROR(IF(수납!$B118="",YEAR(수납!$A118)*100+MONTH(수납!$A118),IF(ISNUMBER(수납!$B118),YEAR(수납!$B118)*100+MONTH(수납!$B118),VALUE(LEFT(수납!$B118,4))*100+VALUE(MID(수납!$B118,6,2)))),"")</f>
        <v/>
      </c>
      <c r="C118">
        <f>IF(OR(수납!$E118="수강료",수납!$E118=""),N(수납!$F118),0)</f>
        <v/>
      </c>
      <c r="E118">
        <f>IF(원생!$A118="","",원생!$A118&amp;"|"&amp;원생!$G118)</f>
        <v/>
      </c>
    </row>
    <row r="119">
      <c r="A119">
        <f>IF(수납!$C119="","",수납!$C119&amp;"|"&amp;IF(수납!$D119&lt;&gt;"",수납!$D119,IF(COUNTIF(원생!$A$2:$A$501,수납!$C119)=1,INDEX(원생!$G$2:$G$501,MATCH(수납!$C119,원생!$A$2:$A$501,0))&amp;"","")))</f>
        <v/>
      </c>
      <c r="B119">
        <f>IFERROR(IF(수납!$B119="",YEAR(수납!$A119)*100+MONTH(수납!$A119),IF(ISNUMBER(수납!$B119),YEAR(수납!$B119)*100+MONTH(수납!$B119),VALUE(LEFT(수납!$B119,4))*100+VALUE(MID(수납!$B119,6,2)))),"")</f>
        <v/>
      </c>
      <c r="C119">
        <f>IF(OR(수납!$E119="수강료",수납!$E119=""),N(수납!$F119),0)</f>
        <v/>
      </c>
      <c r="E119">
        <f>IF(원생!$A119="","",원생!$A119&amp;"|"&amp;원생!$G119)</f>
        <v/>
      </c>
    </row>
    <row r="120">
      <c r="A120">
        <f>IF(수납!$C120="","",수납!$C120&amp;"|"&amp;IF(수납!$D120&lt;&gt;"",수납!$D120,IF(COUNTIF(원생!$A$2:$A$501,수납!$C120)=1,INDEX(원생!$G$2:$G$501,MATCH(수납!$C120,원생!$A$2:$A$501,0))&amp;"","")))</f>
        <v/>
      </c>
      <c r="B120">
        <f>IFERROR(IF(수납!$B120="",YEAR(수납!$A120)*100+MONTH(수납!$A120),IF(ISNUMBER(수납!$B120),YEAR(수납!$B120)*100+MONTH(수납!$B120),VALUE(LEFT(수납!$B120,4))*100+VALUE(MID(수납!$B120,6,2)))),"")</f>
        <v/>
      </c>
      <c r="C120">
        <f>IF(OR(수납!$E120="수강료",수납!$E120=""),N(수납!$F120),0)</f>
        <v/>
      </c>
      <c r="E120">
        <f>IF(원생!$A120="","",원생!$A120&amp;"|"&amp;원생!$G120)</f>
        <v/>
      </c>
    </row>
    <row r="121">
      <c r="A121">
        <f>IF(수납!$C121="","",수납!$C121&amp;"|"&amp;IF(수납!$D121&lt;&gt;"",수납!$D121,IF(COUNTIF(원생!$A$2:$A$501,수납!$C121)=1,INDEX(원생!$G$2:$G$501,MATCH(수납!$C121,원생!$A$2:$A$501,0))&amp;"","")))</f>
        <v/>
      </c>
      <c r="B121">
        <f>IFERROR(IF(수납!$B121="",YEAR(수납!$A121)*100+MONTH(수납!$A121),IF(ISNUMBER(수납!$B121),YEAR(수납!$B121)*100+MONTH(수납!$B121),VALUE(LEFT(수납!$B121,4))*100+VALUE(MID(수납!$B121,6,2)))),"")</f>
        <v/>
      </c>
      <c r="C121">
        <f>IF(OR(수납!$E121="수강료",수납!$E121=""),N(수납!$F121),0)</f>
        <v/>
      </c>
      <c r="E121">
        <f>IF(원생!$A121="","",원생!$A121&amp;"|"&amp;원생!$G121)</f>
        <v/>
      </c>
    </row>
    <row r="122">
      <c r="A122">
        <f>IF(수납!$C122="","",수납!$C122&amp;"|"&amp;IF(수납!$D122&lt;&gt;"",수납!$D122,IF(COUNTIF(원생!$A$2:$A$501,수납!$C122)=1,INDEX(원생!$G$2:$G$501,MATCH(수납!$C122,원생!$A$2:$A$501,0))&amp;"","")))</f>
        <v/>
      </c>
      <c r="B122">
        <f>IFERROR(IF(수납!$B122="",YEAR(수납!$A122)*100+MONTH(수납!$A122),IF(ISNUMBER(수납!$B122),YEAR(수납!$B122)*100+MONTH(수납!$B122),VALUE(LEFT(수납!$B122,4))*100+VALUE(MID(수납!$B122,6,2)))),"")</f>
        <v/>
      </c>
      <c r="C122">
        <f>IF(OR(수납!$E122="수강료",수납!$E122=""),N(수납!$F122),0)</f>
        <v/>
      </c>
      <c r="E122">
        <f>IF(원생!$A122="","",원생!$A122&amp;"|"&amp;원생!$G122)</f>
        <v/>
      </c>
    </row>
    <row r="123">
      <c r="A123">
        <f>IF(수납!$C123="","",수납!$C123&amp;"|"&amp;IF(수납!$D123&lt;&gt;"",수납!$D123,IF(COUNTIF(원생!$A$2:$A$501,수납!$C123)=1,INDEX(원생!$G$2:$G$501,MATCH(수납!$C123,원생!$A$2:$A$501,0))&amp;"","")))</f>
        <v/>
      </c>
      <c r="B123">
        <f>IFERROR(IF(수납!$B123="",YEAR(수납!$A123)*100+MONTH(수납!$A123),IF(ISNUMBER(수납!$B123),YEAR(수납!$B123)*100+MONTH(수납!$B123),VALUE(LEFT(수납!$B123,4))*100+VALUE(MID(수납!$B123,6,2)))),"")</f>
        <v/>
      </c>
      <c r="C123">
        <f>IF(OR(수납!$E123="수강료",수납!$E123=""),N(수납!$F123),0)</f>
        <v/>
      </c>
      <c r="E123">
        <f>IF(원생!$A123="","",원생!$A123&amp;"|"&amp;원생!$G123)</f>
        <v/>
      </c>
    </row>
    <row r="124">
      <c r="A124">
        <f>IF(수납!$C124="","",수납!$C124&amp;"|"&amp;IF(수납!$D124&lt;&gt;"",수납!$D124,IF(COUNTIF(원생!$A$2:$A$501,수납!$C124)=1,INDEX(원생!$G$2:$G$501,MATCH(수납!$C124,원생!$A$2:$A$501,0))&amp;"","")))</f>
        <v/>
      </c>
      <c r="B124">
        <f>IFERROR(IF(수납!$B124="",YEAR(수납!$A124)*100+MONTH(수납!$A124),IF(ISNUMBER(수납!$B124),YEAR(수납!$B124)*100+MONTH(수납!$B124),VALUE(LEFT(수납!$B124,4))*100+VALUE(MID(수납!$B124,6,2)))),"")</f>
        <v/>
      </c>
      <c r="C124">
        <f>IF(OR(수납!$E124="수강료",수납!$E124=""),N(수납!$F124),0)</f>
        <v/>
      </c>
      <c r="E124">
        <f>IF(원생!$A124="","",원생!$A124&amp;"|"&amp;원생!$G124)</f>
        <v/>
      </c>
    </row>
    <row r="125">
      <c r="A125">
        <f>IF(수납!$C125="","",수납!$C125&amp;"|"&amp;IF(수납!$D125&lt;&gt;"",수납!$D125,IF(COUNTIF(원생!$A$2:$A$501,수납!$C125)=1,INDEX(원생!$G$2:$G$501,MATCH(수납!$C125,원생!$A$2:$A$501,0))&amp;"","")))</f>
        <v/>
      </c>
      <c r="B125">
        <f>IFERROR(IF(수납!$B125="",YEAR(수납!$A125)*100+MONTH(수납!$A125),IF(ISNUMBER(수납!$B125),YEAR(수납!$B125)*100+MONTH(수납!$B125),VALUE(LEFT(수납!$B125,4))*100+VALUE(MID(수납!$B125,6,2)))),"")</f>
        <v/>
      </c>
      <c r="C125">
        <f>IF(OR(수납!$E125="수강료",수납!$E125=""),N(수납!$F125),0)</f>
        <v/>
      </c>
      <c r="E125">
        <f>IF(원생!$A125="","",원생!$A125&amp;"|"&amp;원생!$G125)</f>
        <v/>
      </c>
    </row>
    <row r="126">
      <c r="A126">
        <f>IF(수납!$C126="","",수납!$C126&amp;"|"&amp;IF(수납!$D126&lt;&gt;"",수납!$D126,IF(COUNTIF(원생!$A$2:$A$501,수납!$C126)=1,INDEX(원생!$G$2:$G$501,MATCH(수납!$C126,원생!$A$2:$A$501,0))&amp;"","")))</f>
        <v/>
      </c>
      <c r="B126">
        <f>IFERROR(IF(수납!$B126="",YEAR(수납!$A126)*100+MONTH(수납!$A126),IF(ISNUMBER(수납!$B126),YEAR(수납!$B126)*100+MONTH(수납!$B126),VALUE(LEFT(수납!$B126,4))*100+VALUE(MID(수납!$B126,6,2)))),"")</f>
        <v/>
      </c>
      <c r="C126">
        <f>IF(OR(수납!$E126="수강료",수납!$E126=""),N(수납!$F126),0)</f>
        <v/>
      </c>
      <c r="E126">
        <f>IF(원생!$A126="","",원생!$A126&amp;"|"&amp;원생!$G126)</f>
        <v/>
      </c>
    </row>
    <row r="127">
      <c r="A127">
        <f>IF(수납!$C127="","",수납!$C127&amp;"|"&amp;IF(수납!$D127&lt;&gt;"",수납!$D127,IF(COUNTIF(원생!$A$2:$A$501,수납!$C127)=1,INDEX(원생!$G$2:$G$501,MATCH(수납!$C127,원생!$A$2:$A$501,0))&amp;"","")))</f>
        <v/>
      </c>
      <c r="B127">
        <f>IFERROR(IF(수납!$B127="",YEAR(수납!$A127)*100+MONTH(수납!$A127),IF(ISNUMBER(수납!$B127),YEAR(수납!$B127)*100+MONTH(수납!$B127),VALUE(LEFT(수납!$B127,4))*100+VALUE(MID(수납!$B127,6,2)))),"")</f>
        <v/>
      </c>
      <c r="C127">
        <f>IF(OR(수납!$E127="수강료",수납!$E127=""),N(수납!$F127),0)</f>
        <v/>
      </c>
      <c r="E127">
        <f>IF(원생!$A127="","",원생!$A127&amp;"|"&amp;원생!$G127)</f>
        <v/>
      </c>
    </row>
    <row r="128">
      <c r="A128">
        <f>IF(수납!$C128="","",수납!$C128&amp;"|"&amp;IF(수납!$D128&lt;&gt;"",수납!$D128,IF(COUNTIF(원생!$A$2:$A$501,수납!$C128)=1,INDEX(원생!$G$2:$G$501,MATCH(수납!$C128,원생!$A$2:$A$501,0))&amp;"","")))</f>
        <v/>
      </c>
      <c r="B128">
        <f>IFERROR(IF(수납!$B128="",YEAR(수납!$A128)*100+MONTH(수납!$A128),IF(ISNUMBER(수납!$B128),YEAR(수납!$B128)*100+MONTH(수납!$B128),VALUE(LEFT(수납!$B128,4))*100+VALUE(MID(수납!$B128,6,2)))),"")</f>
        <v/>
      </c>
      <c r="C128">
        <f>IF(OR(수납!$E128="수강료",수납!$E128=""),N(수납!$F128),0)</f>
        <v/>
      </c>
      <c r="E128">
        <f>IF(원생!$A128="","",원생!$A128&amp;"|"&amp;원생!$G128)</f>
        <v/>
      </c>
    </row>
    <row r="129">
      <c r="A129">
        <f>IF(수납!$C129="","",수납!$C129&amp;"|"&amp;IF(수납!$D129&lt;&gt;"",수납!$D129,IF(COUNTIF(원생!$A$2:$A$501,수납!$C129)=1,INDEX(원생!$G$2:$G$501,MATCH(수납!$C129,원생!$A$2:$A$501,0))&amp;"","")))</f>
        <v/>
      </c>
      <c r="B129">
        <f>IFERROR(IF(수납!$B129="",YEAR(수납!$A129)*100+MONTH(수납!$A129),IF(ISNUMBER(수납!$B129),YEAR(수납!$B129)*100+MONTH(수납!$B129),VALUE(LEFT(수납!$B129,4))*100+VALUE(MID(수납!$B129,6,2)))),"")</f>
        <v/>
      </c>
      <c r="C129">
        <f>IF(OR(수납!$E129="수강료",수납!$E129=""),N(수납!$F129),0)</f>
        <v/>
      </c>
      <c r="E129">
        <f>IF(원생!$A129="","",원생!$A129&amp;"|"&amp;원생!$G129)</f>
        <v/>
      </c>
    </row>
    <row r="130">
      <c r="A130">
        <f>IF(수납!$C130="","",수납!$C130&amp;"|"&amp;IF(수납!$D130&lt;&gt;"",수납!$D130,IF(COUNTIF(원생!$A$2:$A$501,수납!$C130)=1,INDEX(원생!$G$2:$G$501,MATCH(수납!$C130,원생!$A$2:$A$501,0))&amp;"","")))</f>
        <v/>
      </c>
      <c r="B130">
        <f>IFERROR(IF(수납!$B130="",YEAR(수납!$A130)*100+MONTH(수납!$A130),IF(ISNUMBER(수납!$B130),YEAR(수납!$B130)*100+MONTH(수납!$B130),VALUE(LEFT(수납!$B130,4))*100+VALUE(MID(수납!$B130,6,2)))),"")</f>
        <v/>
      </c>
      <c r="C130">
        <f>IF(OR(수납!$E130="수강료",수납!$E130=""),N(수납!$F130),0)</f>
        <v/>
      </c>
      <c r="E130">
        <f>IF(원생!$A130="","",원생!$A130&amp;"|"&amp;원생!$G130)</f>
        <v/>
      </c>
    </row>
    <row r="131">
      <c r="A131">
        <f>IF(수납!$C131="","",수납!$C131&amp;"|"&amp;IF(수납!$D131&lt;&gt;"",수납!$D131,IF(COUNTIF(원생!$A$2:$A$501,수납!$C131)=1,INDEX(원생!$G$2:$G$501,MATCH(수납!$C131,원생!$A$2:$A$501,0))&amp;"","")))</f>
        <v/>
      </c>
      <c r="B131">
        <f>IFERROR(IF(수납!$B131="",YEAR(수납!$A131)*100+MONTH(수납!$A131),IF(ISNUMBER(수납!$B131),YEAR(수납!$B131)*100+MONTH(수납!$B131),VALUE(LEFT(수납!$B131,4))*100+VALUE(MID(수납!$B131,6,2)))),"")</f>
        <v/>
      </c>
      <c r="C131">
        <f>IF(OR(수납!$E131="수강료",수납!$E131=""),N(수납!$F131),0)</f>
        <v/>
      </c>
      <c r="E131">
        <f>IF(원생!$A131="","",원생!$A131&amp;"|"&amp;원생!$G131)</f>
        <v/>
      </c>
    </row>
    <row r="132">
      <c r="A132">
        <f>IF(수납!$C132="","",수납!$C132&amp;"|"&amp;IF(수납!$D132&lt;&gt;"",수납!$D132,IF(COUNTIF(원생!$A$2:$A$501,수납!$C132)=1,INDEX(원생!$G$2:$G$501,MATCH(수납!$C132,원생!$A$2:$A$501,0))&amp;"","")))</f>
        <v/>
      </c>
      <c r="B132">
        <f>IFERROR(IF(수납!$B132="",YEAR(수납!$A132)*100+MONTH(수납!$A132),IF(ISNUMBER(수납!$B132),YEAR(수납!$B132)*100+MONTH(수납!$B132),VALUE(LEFT(수납!$B132,4))*100+VALUE(MID(수납!$B132,6,2)))),"")</f>
        <v/>
      </c>
      <c r="C132">
        <f>IF(OR(수납!$E132="수강료",수납!$E132=""),N(수납!$F132),0)</f>
        <v/>
      </c>
      <c r="E132">
        <f>IF(원생!$A132="","",원생!$A132&amp;"|"&amp;원생!$G132)</f>
        <v/>
      </c>
    </row>
    <row r="133">
      <c r="A133">
        <f>IF(수납!$C133="","",수납!$C133&amp;"|"&amp;IF(수납!$D133&lt;&gt;"",수납!$D133,IF(COUNTIF(원생!$A$2:$A$501,수납!$C133)=1,INDEX(원생!$G$2:$G$501,MATCH(수납!$C133,원생!$A$2:$A$501,0))&amp;"","")))</f>
        <v/>
      </c>
      <c r="B133">
        <f>IFERROR(IF(수납!$B133="",YEAR(수납!$A133)*100+MONTH(수납!$A133),IF(ISNUMBER(수납!$B133),YEAR(수납!$B133)*100+MONTH(수납!$B133),VALUE(LEFT(수납!$B133,4))*100+VALUE(MID(수납!$B133,6,2)))),"")</f>
        <v/>
      </c>
      <c r="C133">
        <f>IF(OR(수납!$E133="수강료",수납!$E133=""),N(수납!$F133),0)</f>
        <v/>
      </c>
      <c r="E133">
        <f>IF(원생!$A133="","",원생!$A133&amp;"|"&amp;원생!$G133)</f>
        <v/>
      </c>
    </row>
    <row r="134">
      <c r="A134">
        <f>IF(수납!$C134="","",수납!$C134&amp;"|"&amp;IF(수납!$D134&lt;&gt;"",수납!$D134,IF(COUNTIF(원생!$A$2:$A$501,수납!$C134)=1,INDEX(원생!$G$2:$G$501,MATCH(수납!$C134,원생!$A$2:$A$501,0))&amp;"","")))</f>
        <v/>
      </c>
      <c r="B134">
        <f>IFERROR(IF(수납!$B134="",YEAR(수납!$A134)*100+MONTH(수납!$A134),IF(ISNUMBER(수납!$B134),YEAR(수납!$B134)*100+MONTH(수납!$B134),VALUE(LEFT(수납!$B134,4))*100+VALUE(MID(수납!$B134,6,2)))),"")</f>
        <v/>
      </c>
      <c r="C134">
        <f>IF(OR(수납!$E134="수강료",수납!$E134=""),N(수납!$F134),0)</f>
        <v/>
      </c>
      <c r="E134">
        <f>IF(원생!$A134="","",원생!$A134&amp;"|"&amp;원생!$G134)</f>
        <v/>
      </c>
    </row>
    <row r="135">
      <c r="A135">
        <f>IF(수납!$C135="","",수납!$C135&amp;"|"&amp;IF(수납!$D135&lt;&gt;"",수납!$D135,IF(COUNTIF(원생!$A$2:$A$501,수납!$C135)=1,INDEX(원생!$G$2:$G$501,MATCH(수납!$C135,원생!$A$2:$A$501,0))&amp;"","")))</f>
        <v/>
      </c>
      <c r="B135">
        <f>IFERROR(IF(수납!$B135="",YEAR(수납!$A135)*100+MONTH(수납!$A135),IF(ISNUMBER(수납!$B135),YEAR(수납!$B135)*100+MONTH(수납!$B135),VALUE(LEFT(수납!$B135,4))*100+VALUE(MID(수납!$B135,6,2)))),"")</f>
        <v/>
      </c>
      <c r="C135">
        <f>IF(OR(수납!$E135="수강료",수납!$E135=""),N(수납!$F135),0)</f>
        <v/>
      </c>
      <c r="E135">
        <f>IF(원생!$A135="","",원생!$A135&amp;"|"&amp;원생!$G135)</f>
        <v/>
      </c>
    </row>
    <row r="136">
      <c r="A136">
        <f>IF(수납!$C136="","",수납!$C136&amp;"|"&amp;IF(수납!$D136&lt;&gt;"",수납!$D136,IF(COUNTIF(원생!$A$2:$A$501,수납!$C136)=1,INDEX(원생!$G$2:$G$501,MATCH(수납!$C136,원생!$A$2:$A$501,0))&amp;"","")))</f>
        <v/>
      </c>
      <c r="B136">
        <f>IFERROR(IF(수납!$B136="",YEAR(수납!$A136)*100+MONTH(수납!$A136),IF(ISNUMBER(수납!$B136),YEAR(수납!$B136)*100+MONTH(수납!$B136),VALUE(LEFT(수납!$B136,4))*100+VALUE(MID(수납!$B136,6,2)))),"")</f>
        <v/>
      </c>
      <c r="C136">
        <f>IF(OR(수납!$E136="수강료",수납!$E136=""),N(수납!$F136),0)</f>
        <v/>
      </c>
      <c r="E136">
        <f>IF(원생!$A136="","",원생!$A136&amp;"|"&amp;원생!$G136)</f>
        <v/>
      </c>
    </row>
    <row r="137">
      <c r="A137">
        <f>IF(수납!$C137="","",수납!$C137&amp;"|"&amp;IF(수납!$D137&lt;&gt;"",수납!$D137,IF(COUNTIF(원생!$A$2:$A$501,수납!$C137)=1,INDEX(원생!$G$2:$G$501,MATCH(수납!$C137,원생!$A$2:$A$501,0))&amp;"","")))</f>
        <v/>
      </c>
      <c r="B137">
        <f>IFERROR(IF(수납!$B137="",YEAR(수납!$A137)*100+MONTH(수납!$A137),IF(ISNUMBER(수납!$B137),YEAR(수납!$B137)*100+MONTH(수납!$B137),VALUE(LEFT(수납!$B137,4))*100+VALUE(MID(수납!$B137,6,2)))),"")</f>
        <v/>
      </c>
      <c r="C137">
        <f>IF(OR(수납!$E137="수강료",수납!$E137=""),N(수납!$F137),0)</f>
        <v/>
      </c>
      <c r="E137">
        <f>IF(원생!$A137="","",원생!$A137&amp;"|"&amp;원생!$G137)</f>
        <v/>
      </c>
    </row>
    <row r="138">
      <c r="A138">
        <f>IF(수납!$C138="","",수납!$C138&amp;"|"&amp;IF(수납!$D138&lt;&gt;"",수납!$D138,IF(COUNTIF(원생!$A$2:$A$501,수납!$C138)=1,INDEX(원생!$G$2:$G$501,MATCH(수납!$C138,원생!$A$2:$A$501,0))&amp;"","")))</f>
        <v/>
      </c>
      <c r="B138">
        <f>IFERROR(IF(수납!$B138="",YEAR(수납!$A138)*100+MONTH(수납!$A138),IF(ISNUMBER(수납!$B138),YEAR(수납!$B138)*100+MONTH(수납!$B138),VALUE(LEFT(수납!$B138,4))*100+VALUE(MID(수납!$B138,6,2)))),"")</f>
        <v/>
      </c>
      <c r="C138">
        <f>IF(OR(수납!$E138="수강료",수납!$E138=""),N(수납!$F138),0)</f>
        <v/>
      </c>
      <c r="E138">
        <f>IF(원생!$A138="","",원생!$A138&amp;"|"&amp;원생!$G138)</f>
        <v/>
      </c>
    </row>
    <row r="139">
      <c r="A139">
        <f>IF(수납!$C139="","",수납!$C139&amp;"|"&amp;IF(수납!$D139&lt;&gt;"",수납!$D139,IF(COUNTIF(원생!$A$2:$A$501,수납!$C139)=1,INDEX(원생!$G$2:$G$501,MATCH(수납!$C139,원생!$A$2:$A$501,0))&amp;"","")))</f>
        <v/>
      </c>
      <c r="B139">
        <f>IFERROR(IF(수납!$B139="",YEAR(수납!$A139)*100+MONTH(수납!$A139),IF(ISNUMBER(수납!$B139),YEAR(수납!$B139)*100+MONTH(수납!$B139),VALUE(LEFT(수납!$B139,4))*100+VALUE(MID(수납!$B139,6,2)))),"")</f>
        <v/>
      </c>
      <c r="C139">
        <f>IF(OR(수납!$E139="수강료",수납!$E139=""),N(수납!$F139),0)</f>
        <v/>
      </c>
      <c r="E139">
        <f>IF(원생!$A139="","",원생!$A139&amp;"|"&amp;원생!$G139)</f>
        <v/>
      </c>
    </row>
    <row r="140">
      <c r="A140">
        <f>IF(수납!$C140="","",수납!$C140&amp;"|"&amp;IF(수납!$D140&lt;&gt;"",수납!$D140,IF(COUNTIF(원생!$A$2:$A$501,수납!$C140)=1,INDEX(원생!$G$2:$G$501,MATCH(수납!$C140,원생!$A$2:$A$501,0))&amp;"","")))</f>
        <v/>
      </c>
      <c r="B140">
        <f>IFERROR(IF(수납!$B140="",YEAR(수납!$A140)*100+MONTH(수납!$A140),IF(ISNUMBER(수납!$B140),YEAR(수납!$B140)*100+MONTH(수납!$B140),VALUE(LEFT(수납!$B140,4))*100+VALUE(MID(수납!$B140,6,2)))),"")</f>
        <v/>
      </c>
      <c r="C140">
        <f>IF(OR(수납!$E140="수강료",수납!$E140=""),N(수납!$F140),0)</f>
        <v/>
      </c>
      <c r="E140">
        <f>IF(원생!$A140="","",원생!$A140&amp;"|"&amp;원생!$G140)</f>
        <v/>
      </c>
    </row>
    <row r="141">
      <c r="A141">
        <f>IF(수납!$C141="","",수납!$C141&amp;"|"&amp;IF(수납!$D141&lt;&gt;"",수납!$D141,IF(COUNTIF(원생!$A$2:$A$501,수납!$C141)=1,INDEX(원생!$G$2:$G$501,MATCH(수납!$C141,원생!$A$2:$A$501,0))&amp;"","")))</f>
        <v/>
      </c>
      <c r="B141">
        <f>IFERROR(IF(수납!$B141="",YEAR(수납!$A141)*100+MONTH(수납!$A141),IF(ISNUMBER(수납!$B141),YEAR(수납!$B141)*100+MONTH(수납!$B141),VALUE(LEFT(수납!$B141,4))*100+VALUE(MID(수납!$B141,6,2)))),"")</f>
        <v/>
      </c>
      <c r="C141">
        <f>IF(OR(수납!$E141="수강료",수납!$E141=""),N(수납!$F141),0)</f>
        <v/>
      </c>
      <c r="E141">
        <f>IF(원생!$A141="","",원생!$A141&amp;"|"&amp;원생!$G141)</f>
        <v/>
      </c>
    </row>
    <row r="142">
      <c r="A142">
        <f>IF(수납!$C142="","",수납!$C142&amp;"|"&amp;IF(수납!$D142&lt;&gt;"",수납!$D142,IF(COUNTIF(원생!$A$2:$A$501,수납!$C142)=1,INDEX(원생!$G$2:$G$501,MATCH(수납!$C142,원생!$A$2:$A$501,0))&amp;"","")))</f>
        <v/>
      </c>
      <c r="B142">
        <f>IFERROR(IF(수납!$B142="",YEAR(수납!$A142)*100+MONTH(수납!$A142),IF(ISNUMBER(수납!$B142),YEAR(수납!$B142)*100+MONTH(수납!$B142),VALUE(LEFT(수납!$B142,4))*100+VALUE(MID(수납!$B142,6,2)))),"")</f>
        <v/>
      </c>
      <c r="C142">
        <f>IF(OR(수납!$E142="수강료",수납!$E142=""),N(수납!$F142),0)</f>
        <v/>
      </c>
      <c r="E142">
        <f>IF(원생!$A142="","",원생!$A142&amp;"|"&amp;원생!$G142)</f>
        <v/>
      </c>
    </row>
    <row r="143">
      <c r="A143">
        <f>IF(수납!$C143="","",수납!$C143&amp;"|"&amp;IF(수납!$D143&lt;&gt;"",수납!$D143,IF(COUNTIF(원생!$A$2:$A$501,수납!$C143)=1,INDEX(원생!$G$2:$G$501,MATCH(수납!$C143,원생!$A$2:$A$501,0))&amp;"","")))</f>
        <v/>
      </c>
      <c r="B143">
        <f>IFERROR(IF(수납!$B143="",YEAR(수납!$A143)*100+MONTH(수납!$A143),IF(ISNUMBER(수납!$B143),YEAR(수납!$B143)*100+MONTH(수납!$B143),VALUE(LEFT(수납!$B143,4))*100+VALUE(MID(수납!$B143,6,2)))),"")</f>
        <v/>
      </c>
      <c r="C143">
        <f>IF(OR(수납!$E143="수강료",수납!$E143=""),N(수납!$F143),0)</f>
        <v/>
      </c>
      <c r="E143">
        <f>IF(원생!$A143="","",원생!$A143&amp;"|"&amp;원생!$G143)</f>
        <v/>
      </c>
    </row>
    <row r="144">
      <c r="A144">
        <f>IF(수납!$C144="","",수납!$C144&amp;"|"&amp;IF(수납!$D144&lt;&gt;"",수납!$D144,IF(COUNTIF(원생!$A$2:$A$501,수납!$C144)=1,INDEX(원생!$G$2:$G$501,MATCH(수납!$C144,원생!$A$2:$A$501,0))&amp;"","")))</f>
        <v/>
      </c>
      <c r="B144">
        <f>IFERROR(IF(수납!$B144="",YEAR(수납!$A144)*100+MONTH(수납!$A144),IF(ISNUMBER(수납!$B144),YEAR(수납!$B144)*100+MONTH(수납!$B144),VALUE(LEFT(수납!$B144,4))*100+VALUE(MID(수납!$B144,6,2)))),"")</f>
        <v/>
      </c>
      <c r="C144">
        <f>IF(OR(수납!$E144="수강료",수납!$E144=""),N(수납!$F144),0)</f>
        <v/>
      </c>
      <c r="E144">
        <f>IF(원생!$A144="","",원생!$A144&amp;"|"&amp;원생!$G144)</f>
        <v/>
      </c>
    </row>
    <row r="145">
      <c r="A145">
        <f>IF(수납!$C145="","",수납!$C145&amp;"|"&amp;IF(수납!$D145&lt;&gt;"",수납!$D145,IF(COUNTIF(원생!$A$2:$A$501,수납!$C145)=1,INDEX(원생!$G$2:$G$501,MATCH(수납!$C145,원생!$A$2:$A$501,0))&amp;"","")))</f>
        <v/>
      </c>
      <c r="B145">
        <f>IFERROR(IF(수납!$B145="",YEAR(수납!$A145)*100+MONTH(수납!$A145),IF(ISNUMBER(수납!$B145),YEAR(수납!$B145)*100+MONTH(수납!$B145),VALUE(LEFT(수납!$B145,4))*100+VALUE(MID(수납!$B145,6,2)))),"")</f>
        <v/>
      </c>
      <c r="C145">
        <f>IF(OR(수납!$E145="수강료",수납!$E145=""),N(수납!$F145),0)</f>
        <v/>
      </c>
      <c r="E145">
        <f>IF(원생!$A145="","",원생!$A145&amp;"|"&amp;원생!$G145)</f>
        <v/>
      </c>
    </row>
    <row r="146">
      <c r="A146">
        <f>IF(수납!$C146="","",수납!$C146&amp;"|"&amp;IF(수납!$D146&lt;&gt;"",수납!$D146,IF(COUNTIF(원생!$A$2:$A$501,수납!$C146)=1,INDEX(원생!$G$2:$G$501,MATCH(수납!$C146,원생!$A$2:$A$501,0))&amp;"","")))</f>
        <v/>
      </c>
      <c r="B146">
        <f>IFERROR(IF(수납!$B146="",YEAR(수납!$A146)*100+MONTH(수납!$A146),IF(ISNUMBER(수납!$B146),YEAR(수납!$B146)*100+MONTH(수납!$B146),VALUE(LEFT(수납!$B146,4))*100+VALUE(MID(수납!$B146,6,2)))),"")</f>
        <v/>
      </c>
      <c r="C146">
        <f>IF(OR(수납!$E146="수강료",수납!$E146=""),N(수납!$F146),0)</f>
        <v/>
      </c>
      <c r="E146">
        <f>IF(원생!$A146="","",원생!$A146&amp;"|"&amp;원생!$G146)</f>
        <v/>
      </c>
    </row>
    <row r="147">
      <c r="A147">
        <f>IF(수납!$C147="","",수납!$C147&amp;"|"&amp;IF(수납!$D147&lt;&gt;"",수납!$D147,IF(COUNTIF(원생!$A$2:$A$501,수납!$C147)=1,INDEX(원생!$G$2:$G$501,MATCH(수납!$C147,원생!$A$2:$A$501,0))&amp;"","")))</f>
        <v/>
      </c>
      <c r="B147">
        <f>IFERROR(IF(수납!$B147="",YEAR(수납!$A147)*100+MONTH(수납!$A147),IF(ISNUMBER(수납!$B147),YEAR(수납!$B147)*100+MONTH(수납!$B147),VALUE(LEFT(수납!$B147,4))*100+VALUE(MID(수납!$B147,6,2)))),"")</f>
        <v/>
      </c>
      <c r="C147">
        <f>IF(OR(수납!$E147="수강료",수납!$E147=""),N(수납!$F147),0)</f>
        <v/>
      </c>
      <c r="E147">
        <f>IF(원생!$A147="","",원생!$A147&amp;"|"&amp;원생!$G147)</f>
        <v/>
      </c>
    </row>
    <row r="148">
      <c r="A148">
        <f>IF(수납!$C148="","",수납!$C148&amp;"|"&amp;IF(수납!$D148&lt;&gt;"",수납!$D148,IF(COUNTIF(원생!$A$2:$A$501,수납!$C148)=1,INDEX(원생!$G$2:$G$501,MATCH(수납!$C148,원생!$A$2:$A$501,0))&amp;"","")))</f>
        <v/>
      </c>
      <c r="B148">
        <f>IFERROR(IF(수납!$B148="",YEAR(수납!$A148)*100+MONTH(수납!$A148),IF(ISNUMBER(수납!$B148),YEAR(수납!$B148)*100+MONTH(수납!$B148),VALUE(LEFT(수납!$B148,4))*100+VALUE(MID(수납!$B148,6,2)))),"")</f>
        <v/>
      </c>
      <c r="C148">
        <f>IF(OR(수납!$E148="수강료",수납!$E148=""),N(수납!$F148),0)</f>
        <v/>
      </c>
      <c r="E148">
        <f>IF(원생!$A148="","",원생!$A148&amp;"|"&amp;원생!$G148)</f>
        <v/>
      </c>
    </row>
    <row r="149">
      <c r="A149">
        <f>IF(수납!$C149="","",수납!$C149&amp;"|"&amp;IF(수납!$D149&lt;&gt;"",수납!$D149,IF(COUNTIF(원생!$A$2:$A$501,수납!$C149)=1,INDEX(원생!$G$2:$G$501,MATCH(수납!$C149,원생!$A$2:$A$501,0))&amp;"","")))</f>
        <v/>
      </c>
      <c r="B149">
        <f>IFERROR(IF(수납!$B149="",YEAR(수납!$A149)*100+MONTH(수납!$A149),IF(ISNUMBER(수납!$B149),YEAR(수납!$B149)*100+MONTH(수납!$B149),VALUE(LEFT(수납!$B149,4))*100+VALUE(MID(수납!$B149,6,2)))),"")</f>
        <v/>
      </c>
      <c r="C149">
        <f>IF(OR(수납!$E149="수강료",수납!$E149=""),N(수납!$F149),0)</f>
        <v/>
      </c>
      <c r="E149">
        <f>IF(원생!$A149="","",원생!$A149&amp;"|"&amp;원생!$G149)</f>
        <v/>
      </c>
    </row>
    <row r="150">
      <c r="A150">
        <f>IF(수납!$C150="","",수납!$C150&amp;"|"&amp;IF(수납!$D150&lt;&gt;"",수납!$D150,IF(COUNTIF(원생!$A$2:$A$501,수납!$C150)=1,INDEX(원생!$G$2:$G$501,MATCH(수납!$C150,원생!$A$2:$A$501,0))&amp;"","")))</f>
        <v/>
      </c>
      <c r="B150">
        <f>IFERROR(IF(수납!$B150="",YEAR(수납!$A150)*100+MONTH(수납!$A150),IF(ISNUMBER(수납!$B150),YEAR(수납!$B150)*100+MONTH(수납!$B150),VALUE(LEFT(수납!$B150,4))*100+VALUE(MID(수납!$B150,6,2)))),"")</f>
        <v/>
      </c>
      <c r="C150">
        <f>IF(OR(수납!$E150="수강료",수납!$E150=""),N(수납!$F150),0)</f>
        <v/>
      </c>
      <c r="E150">
        <f>IF(원생!$A150="","",원생!$A150&amp;"|"&amp;원생!$G150)</f>
        <v/>
      </c>
    </row>
    <row r="151">
      <c r="A151">
        <f>IF(수납!$C151="","",수납!$C151&amp;"|"&amp;IF(수납!$D151&lt;&gt;"",수납!$D151,IF(COUNTIF(원생!$A$2:$A$501,수납!$C151)=1,INDEX(원생!$G$2:$G$501,MATCH(수납!$C151,원생!$A$2:$A$501,0))&amp;"","")))</f>
        <v/>
      </c>
      <c r="B151">
        <f>IFERROR(IF(수납!$B151="",YEAR(수납!$A151)*100+MONTH(수납!$A151),IF(ISNUMBER(수납!$B151),YEAR(수납!$B151)*100+MONTH(수납!$B151),VALUE(LEFT(수납!$B151,4))*100+VALUE(MID(수납!$B151,6,2)))),"")</f>
        <v/>
      </c>
      <c r="C151">
        <f>IF(OR(수납!$E151="수강료",수납!$E151=""),N(수납!$F151),0)</f>
        <v/>
      </c>
      <c r="E151">
        <f>IF(원생!$A151="","",원생!$A151&amp;"|"&amp;원생!$G151)</f>
        <v/>
      </c>
    </row>
    <row r="152">
      <c r="A152">
        <f>IF(수납!$C152="","",수납!$C152&amp;"|"&amp;IF(수납!$D152&lt;&gt;"",수납!$D152,IF(COUNTIF(원생!$A$2:$A$501,수납!$C152)=1,INDEX(원생!$G$2:$G$501,MATCH(수납!$C152,원생!$A$2:$A$501,0))&amp;"","")))</f>
        <v/>
      </c>
      <c r="B152">
        <f>IFERROR(IF(수납!$B152="",YEAR(수납!$A152)*100+MONTH(수납!$A152),IF(ISNUMBER(수납!$B152),YEAR(수납!$B152)*100+MONTH(수납!$B152),VALUE(LEFT(수납!$B152,4))*100+VALUE(MID(수납!$B152,6,2)))),"")</f>
        <v/>
      </c>
      <c r="C152">
        <f>IF(OR(수납!$E152="수강료",수납!$E152=""),N(수납!$F152),0)</f>
        <v/>
      </c>
      <c r="E152">
        <f>IF(원생!$A152="","",원생!$A152&amp;"|"&amp;원생!$G152)</f>
        <v/>
      </c>
    </row>
    <row r="153">
      <c r="A153">
        <f>IF(수납!$C153="","",수납!$C153&amp;"|"&amp;IF(수납!$D153&lt;&gt;"",수납!$D153,IF(COUNTIF(원생!$A$2:$A$501,수납!$C153)=1,INDEX(원생!$G$2:$G$501,MATCH(수납!$C153,원생!$A$2:$A$501,0))&amp;"","")))</f>
        <v/>
      </c>
      <c r="B153">
        <f>IFERROR(IF(수납!$B153="",YEAR(수납!$A153)*100+MONTH(수납!$A153),IF(ISNUMBER(수납!$B153),YEAR(수납!$B153)*100+MONTH(수납!$B153),VALUE(LEFT(수납!$B153,4))*100+VALUE(MID(수납!$B153,6,2)))),"")</f>
        <v/>
      </c>
      <c r="C153">
        <f>IF(OR(수납!$E153="수강료",수납!$E153=""),N(수납!$F153),0)</f>
        <v/>
      </c>
      <c r="E153">
        <f>IF(원생!$A153="","",원생!$A153&amp;"|"&amp;원생!$G153)</f>
        <v/>
      </c>
    </row>
    <row r="154">
      <c r="A154">
        <f>IF(수납!$C154="","",수납!$C154&amp;"|"&amp;IF(수납!$D154&lt;&gt;"",수납!$D154,IF(COUNTIF(원생!$A$2:$A$501,수납!$C154)=1,INDEX(원생!$G$2:$G$501,MATCH(수납!$C154,원생!$A$2:$A$501,0))&amp;"","")))</f>
        <v/>
      </c>
      <c r="B154">
        <f>IFERROR(IF(수납!$B154="",YEAR(수납!$A154)*100+MONTH(수납!$A154),IF(ISNUMBER(수납!$B154),YEAR(수납!$B154)*100+MONTH(수납!$B154),VALUE(LEFT(수납!$B154,4))*100+VALUE(MID(수납!$B154,6,2)))),"")</f>
        <v/>
      </c>
      <c r="C154">
        <f>IF(OR(수납!$E154="수강료",수납!$E154=""),N(수납!$F154),0)</f>
        <v/>
      </c>
      <c r="E154">
        <f>IF(원생!$A154="","",원생!$A154&amp;"|"&amp;원생!$G154)</f>
        <v/>
      </c>
    </row>
    <row r="155">
      <c r="A155">
        <f>IF(수납!$C155="","",수납!$C155&amp;"|"&amp;IF(수납!$D155&lt;&gt;"",수납!$D155,IF(COUNTIF(원생!$A$2:$A$501,수납!$C155)=1,INDEX(원생!$G$2:$G$501,MATCH(수납!$C155,원생!$A$2:$A$501,0))&amp;"","")))</f>
        <v/>
      </c>
      <c r="B155">
        <f>IFERROR(IF(수납!$B155="",YEAR(수납!$A155)*100+MONTH(수납!$A155),IF(ISNUMBER(수납!$B155),YEAR(수납!$B155)*100+MONTH(수납!$B155),VALUE(LEFT(수납!$B155,4))*100+VALUE(MID(수납!$B155,6,2)))),"")</f>
        <v/>
      </c>
      <c r="C155">
        <f>IF(OR(수납!$E155="수강료",수납!$E155=""),N(수납!$F155),0)</f>
        <v/>
      </c>
      <c r="E155">
        <f>IF(원생!$A155="","",원생!$A155&amp;"|"&amp;원생!$G155)</f>
        <v/>
      </c>
    </row>
    <row r="156">
      <c r="A156">
        <f>IF(수납!$C156="","",수납!$C156&amp;"|"&amp;IF(수납!$D156&lt;&gt;"",수납!$D156,IF(COUNTIF(원생!$A$2:$A$501,수납!$C156)=1,INDEX(원생!$G$2:$G$501,MATCH(수납!$C156,원생!$A$2:$A$501,0))&amp;"","")))</f>
        <v/>
      </c>
      <c r="B156">
        <f>IFERROR(IF(수납!$B156="",YEAR(수납!$A156)*100+MONTH(수납!$A156),IF(ISNUMBER(수납!$B156),YEAR(수납!$B156)*100+MONTH(수납!$B156),VALUE(LEFT(수납!$B156,4))*100+VALUE(MID(수납!$B156,6,2)))),"")</f>
        <v/>
      </c>
      <c r="C156">
        <f>IF(OR(수납!$E156="수강료",수납!$E156=""),N(수납!$F156),0)</f>
        <v/>
      </c>
      <c r="E156">
        <f>IF(원생!$A156="","",원생!$A156&amp;"|"&amp;원생!$G156)</f>
        <v/>
      </c>
    </row>
    <row r="157">
      <c r="A157">
        <f>IF(수납!$C157="","",수납!$C157&amp;"|"&amp;IF(수납!$D157&lt;&gt;"",수납!$D157,IF(COUNTIF(원생!$A$2:$A$501,수납!$C157)=1,INDEX(원생!$G$2:$G$501,MATCH(수납!$C157,원생!$A$2:$A$501,0))&amp;"","")))</f>
        <v/>
      </c>
      <c r="B157">
        <f>IFERROR(IF(수납!$B157="",YEAR(수납!$A157)*100+MONTH(수납!$A157),IF(ISNUMBER(수납!$B157),YEAR(수납!$B157)*100+MONTH(수납!$B157),VALUE(LEFT(수납!$B157,4))*100+VALUE(MID(수납!$B157,6,2)))),"")</f>
        <v/>
      </c>
      <c r="C157">
        <f>IF(OR(수납!$E157="수강료",수납!$E157=""),N(수납!$F157),0)</f>
        <v/>
      </c>
      <c r="E157">
        <f>IF(원생!$A157="","",원생!$A157&amp;"|"&amp;원생!$G157)</f>
        <v/>
      </c>
    </row>
    <row r="158">
      <c r="A158">
        <f>IF(수납!$C158="","",수납!$C158&amp;"|"&amp;IF(수납!$D158&lt;&gt;"",수납!$D158,IF(COUNTIF(원생!$A$2:$A$501,수납!$C158)=1,INDEX(원생!$G$2:$G$501,MATCH(수납!$C158,원생!$A$2:$A$501,0))&amp;"","")))</f>
        <v/>
      </c>
      <c r="B158">
        <f>IFERROR(IF(수납!$B158="",YEAR(수납!$A158)*100+MONTH(수납!$A158),IF(ISNUMBER(수납!$B158),YEAR(수납!$B158)*100+MONTH(수납!$B158),VALUE(LEFT(수납!$B158,4))*100+VALUE(MID(수납!$B158,6,2)))),"")</f>
        <v/>
      </c>
      <c r="C158">
        <f>IF(OR(수납!$E158="수강료",수납!$E158=""),N(수납!$F158),0)</f>
        <v/>
      </c>
      <c r="E158">
        <f>IF(원생!$A158="","",원생!$A158&amp;"|"&amp;원생!$G158)</f>
        <v/>
      </c>
    </row>
    <row r="159">
      <c r="A159">
        <f>IF(수납!$C159="","",수납!$C159&amp;"|"&amp;IF(수납!$D159&lt;&gt;"",수납!$D159,IF(COUNTIF(원생!$A$2:$A$501,수납!$C159)=1,INDEX(원생!$G$2:$G$501,MATCH(수납!$C159,원생!$A$2:$A$501,0))&amp;"","")))</f>
        <v/>
      </c>
      <c r="B159">
        <f>IFERROR(IF(수납!$B159="",YEAR(수납!$A159)*100+MONTH(수납!$A159),IF(ISNUMBER(수납!$B159),YEAR(수납!$B159)*100+MONTH(수납!$B159),VALUE(LEFT(수납!$B159,4))*100+VALUE(MID(수납!$B159,6,2)))),"")</f>
        <v/>
      </c>
      <c r="C159">
        <f>IF(OR(수납!$E159="수강료",수납!$E159=""),N(수납!$F159),0)</f>
        <v/>
      </c>
      <c r="E159">
        <f>IF(원생!$A159="","",원생!$A159&amp;"|"&amp;원생!$G159)</f>
        <v/>
      </c>
    </row>
    <row r="160">
      <c r="A160">
        <f>IF(수납!$C160="","",수납!$C160&amp;"|"&amp;IF(수납!$D160&lt;&gt;"",수납!$D160,IF(COUNTIF(원생!$A$2:$A$501,수납!$C160)=1,INDEX(원생!$G$2:$G$501,MATCH(수납!$C160,원생!$A$2:$A$501,0))&amp;"","")))</f>
        <v/>
      </c>
      <c r="B160">
        <f>IFERROR(IF(수납!$B160="",YEAR(수납!$A160)*100+MONTH(수납!$A160),IF(ISNUMBER(수납!$B160),YEAR(수납!$B160)*100+MONTH(수납!$B160),VALUE(LEFT(수납!$B160,4))*100+VALUE(MID(수납!$B160,6,2)))),"")</f>
        <v/>
      </c>
      <c r="C160">
        <f>IF(OR(수납!$E160="수강료",수납!$E160=""),N(수납!$F160),0)</f>
        <v/>
      </c>
      <c r="E160">
        <f>IF(원생!$A160="","",원생!$A160&amp;"|"&amp;원생!$G160)</f>
        <v/>
      </c>
    </row>
    <row r="161">
      <c r="A161">
        <f>IF(수납!$C161="","",수납!$C161&amp;"|"&amp;IF(수납!$D161&lt;&gt;"",수납!$D161,IF(COUNTIF(원생!$A$2:$A$501,수납!$C161)=1,INDEX(원생!$G$2:$G$501,MATCH(수납!$C161,원생!$A$2:$A$501,0))&amp;"","")))</f>
        <v/>
      </c>
      <c r="B161">
        <f>IFERROR(IF(수납!$B161="",YEAR(수납!$A161)*100+MONTH(수납!$A161),IF(ISNUMBER(수납!$B161),YEAR(수납!$B161)*100+MONTH(수납!$B161),VALUE(LEFT(수납!$B161,4))*100+VALUE(MID(수납!$B161,6,2)))),"")</f>
        <v/>
      </c>
      <c r="C161">
        <f>IF(OR(수납!$E161="수강료",수납!$E161=""),N(수납!$F161),0)</f>
        <v/>
      </c>
      <c r="E161">
        <f>IF(원생!$A161="","",원생!$A161&amp;"|"&amp;원생!$G161)</f>
        <v/>
      </c>
    </row>
    <row r="162">
      <c r="A162">
        <f>IF(수납!$C162="","",수납!$C162&amp;"|"&amp;IF(수납!$D162&lt;&gt;"",수납!$D162,IF(COUNTIF(원생!$A$2:$A$501,수납!$C162)=1,INDEX(원생!$G$2:$G$501,MATCH(수납!$C162,원생!$A$2:$A$501,0))&amp;"","")))</f>
        <v/>
      </c>
      <c r="B162">
        <f>IFERROR(IF(수납!$B162="",YEAR(수납!$A162)*100+MONTH(수납!$A162),IF(ISNUMBER(수납!$B162),YEAR(수납!$B162)*100+MONTH(수납!$B162),VALUE(LEFT(수납!$B162,4))*100+VALUE(MID(수납!$B162,6,2)))),"")</f>
        <v/>
      </c>
      <c r="C162">
        <f>IF(OR(수납!$E162="수강료",수납!$E162=""),N(수납!$F162),0)</f>
        <v/>
      </c>
      <c r="E162">
        <f>IF(원생!$A162="","",원생!$A162&amp;"|"&amp;원생!$G162)</f>
        <v/>
      </c>
    </row>
    <row r="163">
      <c r="A163">
        <f>IF(수납!$C163="","",수납!$C163&amp;"|"&amp;IF(수납!$D163&lt;&gt;"",수납!$D163,IF(COUNTIF(원생!$A$2:$A$501,수납!$C163)=1,INDEX(원생!$G$2:$G$501,MATCH(수납!$C163,원생!$A$2:$A$501,0))&amp;"","")))</f>
        <v/>
      </c>
      <c r="B163">
        <f>IFERROR(IF(수납!$B163="",YEAR(수납!$A163)*100+MONTH(수납!$A163),IF(ISNUMBER(수납!$B163),YEAR(수납!$B163)*100+MONTH(수납!$B163),VALUE(LEFT(수납!$B163,4))*100+VALUE(MID(수납!$B163,6,2)))),"")</f>
        <v/>
      </c>
      <c r="C163">
        <f>IF(OR(수납!$E163="수강료",수납!$E163=""),N(수납!$F163),0)</f>
        <v/>
      </c>
      <c r="E163">
        <f>IF(원생!$A163="","",원생!$A163&amp;"|"&amp;원생!$G163)</f>
        <v/>
      </c>
    </row>
    <row r="164">
      <c r="A164">
        <f>IF(수납!$C164="","",수납!$C164&amp;"|"&amp;IF(수납!$D164&lt;&gt;"",수납!$D164,IF(COUNTIF(원생!$A$2:$A$501,수납!$C164)=1,INDEX(원생!$G$2:$G$501,MATCH(수납!$C164,원생!$A$2:$A$501,0))&amp;"","")))</f>
        <v/>
      </c>
      <c r="B164">
        <f>IFERROR(IF(수납!$B164="",YEAR(수납!$A164)*100+MONTH(수납!$A164),IF(ISNUMBER(수납!$B164),YEAR(수납!$B164)*100+MONTH(수납!$B164),VALUE(LEFT(수납!$B164,4))*100+VALUE(MID(수납!$B164,6,2)))),"")</f>
        <v/>
      </c>
      <c r="C164">
        <f>IF(OR(수납!$E164="수강료",수납!$E164=""),N(수납!$F164),0)</f>
        <v/>
      </c>
      <c r="E164">
        <f>IF(원생!$A164="","",원생!$A164&amp;"|"&amp;원생!$G164)</f>
        <v/>
      </c>
    </row>
    <row r="165">
      <c r="A165">
        <f>IF(수납!$C165="","",수납!$C165&amp;"|"&amp;IF(수납!$D165&lt;&gt;"",수납!$D165,IF(COUNTIF(원생!$A$2:$A$501,수납!$C165)=1,INDEX(원생!$G$2:$G$501,MATCH(수납!$C165,원생!$A$2:$A$501,0))&amp;"","")))</f>
        <v/>
      </c>
      <c r="B165">
        <f>IFERROR(IF(수납!$B165="",YEAR(수납!$A165)*100+MONTH(수납!$A165),IF(ISNUMBER(수납!$B165),YEAR(수납!$B165)*100+MONTH(수납!$B165),VALUE(LEFT(수납!$B165,4))*100+VALUE(MID(수납!$B165,6,2)))),"")</f>
        <v/>
      </c>
      <c r="C165">
        <f>IF(OR(수납!$E165="수강료",수납!$E165=""),N(수납!$F165),0)</f>
        <v/>
      </c>
      <c r="E165">
        <f>IF(원생!$A165="","",원생!$A165&amp;"|"&amp;원생!$G165)</f>
        <v/>
      </c>
    </row>
    <row r="166">
      <c r="A166">
        <f>IF(수납!$C166="","",수납!$C166&amp;"|"&amp;IF(수납!$D166&lt;&gt;"",수납!$D166,IF(COUNTIF(원생!$A$2:$A$501,수납!$C166)=1,INDEX(원생!$G$2:$G$501,MATCH(수납!$C166,원생!$A$2:$A$501,0))&amp;"","")))</f>
        <v/>
      </c>
      <c r="B166">
        <f>IFERROR(IF(수납!$B166="",YEAR(수납!$A166)*100+MONTH(수납!$A166),IF(ISNUMBER(수납!$B166),YEAR(수납!$B166)*100+MONTH(수납!$B166),VALUE(LEFT(수납!$B166,4))*100+VALUE(MID(수납!$B166,6,2)))),"")</f>
        <v/>
      </c>
      <c r="C166">
        <f>IF(OR(수납!$E166="수강료",수납!$E166=""),N(수납!$F166),0)</f>
        <v/>
      </c>
      <c r="E166">
        <f>IF(원생!$A166="","",원생!$A166&amp;"|"&amp;원생!$G166)</f>
        <v/>
      </c>
    </row>
    <row r="167">
      <c r="A167">
        <f>IF(수납!$C167="","",수납!$C167&amp;"|"&amp;IF(수납!$D167&lt;&gt;"",수납!$D167,IF(COUNTIF(원생!$A$2:$A$501,수납!$C167)=1,INDEX(원생!$G$2:$G$501,MATCH(수납!$C167,원생!$A$2:$A$501,0))&amp;"","")))</f>
        <v/>
      </c>
      <c r="B167">
        <f>IFERROR(IF(수납!$B167="",YEAR(수납!$A167)*100+MONTH(수납!$A167),IF(ISNUMBER(수납!$B167),YEAR(수납!$B167)*100+MONTH(수납!$B167),VALUE(LEFT(수납!$B167,4))*100+VALUE(MID(수납!$B167,6,2)))),"")</f>
        <v/>
      </c>
      <c r="C167">
        <f>IF(OR(수납!$E167="수강료",수납!$E167=""),N(수납!$F167),0)</f>
        <v/>
      </c>
      <c r="E167">
        <f>IF(원생!$A167="","",원생!$A167&amp;"|"&amp;원생!$G167)</f>
        <v/>
      </c>
    </row>
    <row r="168">
      <c r="A168">
        <f>IF(수납!$C168="","",수납!$C168&amp;"|"&amp;IF(수납!$D168&lt;&gt;"",수납!$D168,IF(COUNTIF(원생!$A$2:$A$501,수납!$C168)=1,INDEX(원생!$G$2:$G$501,MATCH(수납!$C168,원생!$A$2:$A$501,0))&amp;"","")))</f>
        <v/>
      </c>
      <c r="B168">
        <f>IFERROR(IF(수납!$B168="",YEAR(수납!$A168)*100+MONTH(수납!$A168),IF(ISNUMBER(수납!$B168),YEAR(수납!$B168)*100+MONTH(수납!$B168),VALUE(LEFT(수납!$B168,4))*100+VALUE(MID(수납!$B168,6,2)))),"")</f>
        <v/>
      </c>
      <c r="C168">
        <f>IF(OR(수납!$E168="수강료",수납!$E168=""),N(수납!$F168),0)</f>
        <v/>
      </c>
      <c r="E168">
        <f>IF(원생!$A168="","",원생!$A168&amp;"|"&amp;원생!$G168)</f>
        <v/>
      </c>
    </row>
    <row r="169">
      <c r="A169">
        <f>IF(수납!$C169="","",수납!$C169&amp;"|"&amp;IF(수납!$D169&lt;&gt;"",수납!$D169,IF(COUNTIF(원생!$A$2:$A$501,수납!$C169)=1,INDEX(원생!$G$2:$G$501,MATCH(수납!$C169,원생!$A$2:$A$501,0))&amp;"","")))</f>
        <v/>
      </c>
      <c r="B169">
        <f>IFERROR(IF(수납!$B169="",YEAR(수납!$A169)*100+MONTH(수납!$A169),IF(ISNUMBER(수납!$B169),YEAR(수납!$B169)*100+MONTH(수납!$B169),VALUE(LEFT(수납!$B169,4))*100+VALUE(MID(수납!$B169,6,2)))),"")</f>
        <v/>
      </c>
      <c r="C169">
        <f>IF(OR(수납!$E169="수강료",수납!$E169=""),N(수납!$F169),0)</f>
        <v/>
      </c>
      <c r="E169">
        <f>IF(원생!$A169="","",원생!$A169&amp;"|"&amp;원생!$G169)</f>
        <v/>
      </c>
    </row>
    <row r="170">
      <c r="A170">
        <f>IF(수납!$C170="","",수납!$C170&amp;"|"&amp;IF(수납!$D170&lt;&gt;"",수납!$D170,IF(COUNTIF(원생!$A$2:$A$501,수납!$C170)=1,INDEX(원생!$G$2:$G$501,MATCH(수납!$C170,원생!$A$2:$A$501,0))&amp;"","")))</f>
        <v/>
      </c>
      <c r="B170">
        <f>IFERROR(IF(수납!$B170="",YEAR(수납!$A170)*100+MONTH(수납!$A170),IF(ISNUMBER(수납!$B170),YEAR(수납!$B170)*100+MONTH(수납!$B170),VALUE(LEFT(수납!$B170,4))*100+VALUE(MID(수납!$B170,6,2)))),"")</f>
        <v/>
      </c>
      <c r="C170">
        <f>IF(OR(수납!$E170="수강료",수납!$E170=""),N(수납!$F170),0)</f>
        <v/>
      </c>
      <c r="E170">
        <f>IF(원생!$A170="","",원생!$A170&amp;"|"&amp;원생!$G170)</f>
        <v/>
      </c>
    </row>
    <row r="171">
      <c r="A171">
        <f>IF(수납!$C171="","",수납!$C171&amp;"|"&amp;IF(수납!$D171&lt;&gt;"",수납!$D171,IF(COUNTIF(원생!$A$2:$A$501,수납!$C171)=1,INDEX(원생!$G$2:$G$501,MATCH(수납!$C171,원생!$A$2:$A$501,0))&amp;"","")))</f>
        <v/>
      </c>
      <c r="B171">
        <f>IFERROR(IF(수납!$B171="",YEAR(수납!$A171)*100+MONTH(수납!$A171),IF(ISNUMBER(수납!$B171),YEAR(수납!$B171)*100+MONTH(수납!$B171),VALUE(LEFT(수납!$B171,4))*100+VALUE(MID(수납!$B171,6,2)))),"")</f>
        <v/>
      </c>
      <c r="C171">
        <f>IF(OR(수납!$E171="수강료",수납!$E171=""),N(수납!$F171),0)</f>
        <v/>
      </c>
      <c r="E171">
        <f>IF(원생!$A171="","",원생!$A171&amp;"|"&amp;원생!$G171)</f>
        <v/>
      </c>
    </row>
    <row r="172">
      <c r="A172">
        <f>IF(수납!$C172="","",수납!$C172&amp;"|"&amp;IF(수납!$D172&lt;&gt;"",수납!$D172,IF(COUNTIF(원생!$A$2:$A$501,수납!$C172)=1,INDEX(원생!$G$2:$G$501,MATCH(수납!$C172,원생!$A$2:$A$501,0))&amp;"","")))</f>
        <v/>
      </c>
      <c r="B172">
        <f>IFERROR(IF(수납!$B172="",YEAR(수납!$A172)*100+MONTH(수납!$A172),IF(ISNUMBER(수납!$B172),YEAR(수납!$B172)*100+MONTH(수납!$B172),VALUE(LEFT(수납!$B172,4))*100+VALUE(MID(수납!$B172,6,2)))),"")</f>
        <v/>
      </c>
      <c r="C172">
        <f>IF(OR(수납!$E172="수강료",수납!$E172=""),N(수납!$F172),0)</f>
        <v/>
      </c>
      <c r="E172">
        <f>IF(원생!$A172="","",원생!$A172&amp;"|"&amp;원생!$G172)</f>
        <v/>
      </c>
    </row>
    <row r="173">
      <c r="A173">
        <f>IF(수납!$C173="","",수납!$C173&amp;"|"&amp;IF(수납!$D173&lt;&gt;"",수납!$D173,IF(COUNTIF(원생!$A$2:$A$501,수납!$C173)=1,INDEX(원생!$G$2:$G$501,MATCH(수납!$C173,원생!$A$2:$A$501,0))&amp;"","")))</f>
        <v/>
      </c>
      <c r="B173">
        <f>IFERROR(IF(수납!$B173="",YEAR(수납!$A173)*100+MONTH(수납!$A173),IF(ISNUMBER(수납!$B173),YEAR(수납!$B173)*100+MONTH(수납!$B173),VALUE(LEFT(수납!$B173,4))*100+VALUE(MID(수납!$B173,6,2)))),"")</f>
        <v/>
      </c>
      <c r="C173">
        <f>IF(OR(수납!$E173="수강료",수납!$E173=""),N(수납!$F173),0)</f>
        <v/>
      </c>
      <c r="E173">
        <f>IF(원생!$A173="","",원생!$A173&amp;"|"&amp;원생!$G173)</f>
        <v/>
      </c>
    </row>
    <row r="174">
      <c r="A174">
        <f>IF(수납!$C174="","",수납!$C174&amp;"|"&amp;IF(수납!$D174&lt;&gt;"",수납!$D174,IF(COUNTIF(원생!$A$2:$A$501,수납!$C174)=1,INDEX(원생!$G$2:$G$501,MATCH(수납!$C174,원생!$A$2:$A$501,0))&amp;"","")))</f>
        <v/>
      </c>
      <c r="B174">
        <f>IFERROR(IF(수납!$B174="",YEAR(수납!$A174)*100+MONTH(수납!$A174),IF(ISNUMBER(수납!$B174),YEAR(수납!$B174)*100+MONTH(수납!$B174),VALUE(LEFT(수납!$B174,4))*100+VALUE(MID(수납!$B174,6,2)))),"")</f>
        <v/>
      </c>
      <c r="C174">
        <f>IF(OR(수납!$E174="수강료",수납!$E174=""),N(수납!$F174),0)</f>
        <v/>
      </c>
      <c r="E174">
        <f>IF(원생!$A174="","",원생!$A174&amp;"|"&amp;원생!$G174)</f>
        <v/>
      </c>
    </row>
    <row r="175">
      <c r="A175">
        <f>IF(수납!$C175="","",수납!$C175&amp;"|"&amp;IF(수납!$D175&lt;&gt;"",수납!$D175,IF(COUNTIF(원생!$A$2:$A$501,수납!$C175)=1,INDEX(원생!$G$2:$G$501,MATCH(수납!$C175,원생!$A$2:$A$501,0))&amp;"","")))</f>
        <v/>
      </c>
      <c r="B175">
        <f>IFERROR(IF(수납!$B175="",YEAR(수납!$A175)*100+MONTH(수납!$A175),IF(ISNUMBER(수납!$B175),YEAR(수납!$B175)*100+MONTH(수납!$B175),VALUE(LEFT(수납!$B175,4))*100+VALUE(MID(수납!$B175,6,2)))),"")</f>
        <v/>
      </c>
      <c r="C175">
        <f>IF(OR(수납!$E175="수강료",수납!$E175=""),N(수납!$F175),0)</f>
        <v/>
      </c>
      <c r="E175">
        <f>IF(원생!$A175="","",원생!$A175&amp;"|"&amp;원생!$G175)</f>
        <v/>
      </c>
    </row>
    <row r="176">
      <c r="A176">
        <f>IF(수납!$C176="","",수납!$C176&amp;"|"&amp;IF(수납!$D176&lt;&gt;"",수납!$D176,IF(COUNTIF(원생!$A$2:$A$501,수납!$C176)=1,INDEX(원생!$G$2:$G$501,MATCH(수납!$C176,원생!$A$2:$A$501,0))&amp;"","")))</f>
        <v/>
      </c>
      <c r="B176">
        <f>IFERROR(IF(수납!$B176="",YEAR(수납!$A176)*100+MONTH(수납!$A176),IF(ISNUMBER(수납!$B176),YEAR(수납!$B176)*100+MONTH(수납!$B176),VALUE(LEFT(수납!$B176,4))*100+VALUE(MID(수납!$B176,6,2)))),"")</f>
        <v/>
      </c>
      <c r="C176">
        <f>IF(OR(수납!$E176="수강료",수납!$E176=""),N(수납!$F176),0)</f>
        <v/>
      </c>
      <c r="E176">
        <f>IF(원생!$A176="","",원생!$A176&amp;"|"&amp;원생!$G176)</f>
        <v/>
      </c>
    </row>
    <row r="177">
      <c r="A177">
        <f>IF(수납!$C177="","",수납!$C177&amp;"|"&amp;IF(수납!$D177&lt;&gt;"",수납!$D177,IF(COUNTIF(원생!$A$2:$A$501,수납!$C177)=1,INDEX(원생!$G$2:$G$501,MATCH(수납!$C177,원생!$A$2:$A$501,0))&amp;"","")))</f>
        <v/>
      </c>
      <c r="B177">
        <f>IFERROR(IF(수납!$B177="",YEAR(수납!$A177)*100+MONTH(수납!$A177),IF(ISNUMBER(수납!$B177),YEAR(수납!$B177)*100+MONTH(수납!$B177),VALUE(LEFT(수납!$B177,4))*100+VALUE(MID(수납!$B177,6,2)))),"")</f>
        <v/>
      </c>
      <c r="C177">
        <f>IF(OR(수납!$E177="수강료",수납!$E177=""),N(수납!$F177),0)</f>
        <v/>
      </c>
      <c r="E177">
        <f>IF(원생!$A177="","",원생!$A177&amp;"|"&amp;원생!$G177)</f>
        <v/>
      </c>
    </row>
    <row r="178">
      <c r="A178">
        <f>IF(수납!$C178="","",수납!$C178&amp;"|"&amp;IF(수납!$D178&lt;&gt;"",수납!$D178,IF(COUNTIF(원생!$A$2:$A$501,수납!$C178)=1,INDEX(원생!$G$2:$G$501,MATCH(수납!$C178,원생!$A$2:$A$501,0))&amp;"","")))</f>
        <v/>
      </c>
      <c r="B178">
        <f>IFERROR(IF(수납!$B178="",YEAR(수납!$A178)*100+MONTH(수납!$A178),IF(ISNUMBER(수납!$B178),YEAR(수납!$B178)*100+MONTH(수납!$B178),VALUE(LEFT(수납!$B178,4))*100+VALUE(MID(수납!$B178,6,2)))),"")</f>
        <v/>
      </c>
      <c r="C178">
        <f>IF(OR(수납!$E178="수강료",수납!$E178=""),N(수납!$F178),0)</f>
        <v/>
      </c>
      <c r="E178">
        <f>IF(원생!$A178="","",원생!$A178&amp;"|"&amp;원생!$G178)</f>
        <v/>
      </c>
    </row>
    <row r="179">
      <c r="A179">
        <f>IF(수납!$C179="","",수납!$C179&amp;"|"&amp;IF(수납!$D179&lt;&gt;"",수납!$D179,IF(COUNTIF(원생!$A$2:$A$501,수납!$C179)=1,INDEX(원생!$G$2:$G$501,MATCH(수납!$C179,원생!$A$2:$A$501,0))&amp;"","")))</f>
        <v/>
      </c>
      <c r="B179">
        <f>IFERROR(IF(수납!$B179="",YEAR(수납!$A179)*100+MONTH(수납!$A179),IF(ISNUMBER(수납!$B179),YEAR(수납!$B179)*100+MONTH(수납!$B179),VALUE(LEFT(수납!$B179,4))*100+VALUE(MID(수납!$B179,6,2)))),"")</f>
        <v/>
      </c>
      <c r="C179">
        <f>IF(OR(수납!$E179="수강료",수납!$E179=""),N(수납!$F179),0)</f>
        <v/>
      </c>
      <c r="E179">
        <f>IF(원생!$A179="","",원생!$A179&amp;"|"&amp;원생!$G179)</f>
        <v/>
      </c>
    </row>
    <row r="180">
      <c r="A180">
        <f>IF(수납!$C180="","",수납!$C180&amp;"|"&amp;IF(수납!$D180&lt;&gt;"",수납!$D180,IF(COUNTIF(원생!$A$2:$A$501,수납!$C180)=1,INDEX(원생!$G$2:$G$501,MATCH(수납!$C180,원생!$A$2:$A$501,0))&amp;"","")))</f>
        <v/>
      </c>
      <c r="B180">
        <f>IFERROR(IF(수납!$B180="",YEAR(수납!$A180)*100+MONTH(수납!$A180),IF(ISNUMBER(수납!$B180),YEAR(수납!$B180)*100+MONTH(수납!$B180),VALUE(LEFT(수납!$B180,4))*100+VALUE(MID(수납!$B180,6,2)))),"")</f>
        <v/>
      </c>
      <c r="C180">
        <f>IF(OR(수납!$E180="수강료",수납!$E180=""),N(수납!$F180),0)</f>
        <v/>
      </c>
      <c r="E180">
        <f>IF(원생!$A180="","",원생!$A180&amp;"|"&amp;원생!$G180)</f>
        <v/>
      </c>
    </row>
    <row r="181">
      <c r="A181">
        <f>IF(수납!$C181="","",수납!$C181&amp;"|"&amp;IF(수납!$D181&lt;&gt;"",수납!$D181,IF(COUNTIF(원생!$A$2:$A$501,수납!$C181)=1,INDEX(원생!$G$2:$G$501,MATCH(수납!$C181,원생!$A$2:$A$501,0))&amp;"","")))</f>
        <v/>
      </c>
      <c r="B181">
        <f>IFERROR(IF(수납!$B181="",YEAR(수납!$A181)*100+MONTH(수납!$A181),IF(ISNUMBER(수납!$B181),YEAR(수납!$B181)*100+MONTH(수납!$B181),VALUE(LEFT(수납!$B181,4))*100+VALUE(MID(수납!$B181,6,2)))),"")</f>
        <v/>
      </c>
      <c r="C181">
        <f>IF(OR(수납!$E181="수강료",수납!$E181=""),N(수납!$F181),0)</f>
        <v/>
      </c>
      <c r="E181">
        <f>IF(원생!$A181="","",원생!$A181&amp;"|"&amp;원생!$G181)</f>
        <v/>
      </c>
    </row>
    <row r="182">
      <c r="A182">
        <f>IF(수납!$C182="","",수납!$C182&amp;"|"&amp;IF(수납!$D182&lt;&gt;"",수납!$D182,IF(COUNTIF(원생!$A$2:$A$501,수납!$C182)=1,INDEX(원생!$G$2:$G$501,MATCH(수납!$C182,원생!$A$2:$A$501,0))&amp;"","")))</f>
        <v/>
      </c>
      <c r="B182">
        <f>IFERROR(IF(수납!$B182="",YEAR(수납!$A182)*100+MONTH(수납!$A182),IF(ISNUMBER(수납!$B182),YEAR(수납!$B182)*100+MONTH(수납!$B182),VALUE(LEFT(수납!$B182,4))*100+VALUE(MID(수납!$B182,6,2)))),"")</f>
        <v/>
      </c>
      <c r="C182">
        <f>IF(OR(수납!$E182="수강료",수납!$E182=""),N(수납!$F182),0)</f>
        <v/>
      </c>
      <c r="E182">
        <f>IF(원생!$A182="","",원생!$A182&amp;"|"&amp;원생!$G182)</f>
        <v/>
      </c>
    </row>
    <row r="183">
      <c r="A183">
        <f>IF(수납!$C183="","",수납!$C183&amp;"|"&amp;IF(수납!$D183&lt;&gt;"",수납!$D183,IF(COUNTIF(원생!$A$2:$A$501,수납!$C183)=1,INDEX(원생!$G$2:$G$501,MATCH(수납!$C183,원생!$A$2:$A$501,0))&amp;"","")))</f>
        <v/>
      </c>
      <c r="B183">
        <f>IFERROR(IF(수납!$B183="",YEAR(수납!$A183)*100+MONTH(수납!$A183),IF(ISNUMBER(수납!$B183),YEAR(수납!$B183)*100+MONTH(수납!$B183),VALUE(LEFT(수납!$B183,4))*100+VALUE(MID(수납!$B183,6,2)))),"")</f>
        <v/>
      </c>
      <c r="C183">
        <f>IF(OR(수납!$E183="수강료",수납!$E183=""),N(수납!$F183),0)</f>
        <v/>
      </c>
      <c r="E183">
        <f>IF(원생!$A183="","",원생!$A183&amp;"|"&amp;원생!$G183)</f>
        <v/>
      </c>
    </row>
    <row r="184">
      <c r="A184">
        <f>IF(수납!$C184="","",수납!$C184&amp;"|"&amp;IF(수납!$D184&lt;&gt;"",수납!$D184,IF(COUNTIF(원생!$A$2:$A$501,수납!$C184)=1,INDEX(원생!$G$2:$G$501,MATCH(수납!$C184,원생!$A$2:$A$501,0))&amp;"","")))</f>
        <v/>
      </c>
      <c r="B184">
        <f>IFERROR(IF(수납!$B184="",YEAR(수납!$A184)*100+MONTH(수납!$A184),IF(ISNUMBER(수납!$B184),YEAR(수납!$B184)*100+MONTH(수납!$B184),VALUE(LEFT(수납!$B184,4))*100+VALUE(MID(수납!$B184,6,2)))),"")</f>
        <v/>
      </c>
      <c r="C184">
        <f>IF(OR(수납!$E184="수강료",수납!$E184=""),N(수납!$F184),0)</f>
        <v/>
      </c>
      <c r="E184">
        <f>IF(원생!$A184="","",원생!$A184&amp;"|"&amp;원생!$G184)</f>
        <v/>
      </c>
    </row>
    <row r="185">
      <c r="A185">
        <f>IF(수납!$C185="","",수납!$C185&amp;"|"&amp;IF(수납!$D185&lt;&gt;"",수납!$D185,IF(COUNTIF(원생!$A$2:$A$501,수납!$C185)=1,INDEX(원생!$G$2:$G$501,MATCH(수납!$C185,원생!$A$2:$A$501,0))&amp;"","")))</f>
        <v/>
      </c>
      <c r="B185">
        <f>IFERROR(IF(수납!$B185="",YEAR(수납!$A185)*100+MONTH(수납!$A185),IF(ISNUMBER(수납!$B185),YEAR(수납!$B185)*100+MONTH(수납!$B185),VALUE(LEFT(수납!$B185,4))*100+VALUE(MID(수납!$B185,6,2)))),"")</f>
        <v/>
      </c>
      <c r="C185">
        <f>IF(OR(수납!$E185="수강료",수납!$E185=""),N(수납!$F185),0)</f>
        <v/>
      </c>
      <c r="E185">
        <f>IF(원생!$A185="","",원생!$A185&amp;"|"&amp;원생!$G185)</f>
        <v/>
      </c>
    </row>
    <row r="186">
      <c r="A186">
        <f>IF(수납!$C186="","",수납!$C186&amp;"|"&amp;IF(수납!$D186&lt;&gt;"",수납!$D186,IF(COUNTIF(원생!$A$2:$A$501,수납!$C186)=1,INDEX(원생!$G$2:$G$501,MATCH(수납!$C186,원생!$A$2:$A$501,0))&amp;"","")))</f>
        <v/>
      </c>
      <c r="B186">
        <f>IFERROR(IF(수납!$B186="",YEAR(수납!$A186)*100+MONTH(수납!$A186),IF(ISNUMBER(수납!$B186),YEAR(수납!$B186)*100+MONTH(수납!$B186),VALUE(LEFT(수납!$B186,4))*100+VALUE(MID(수납!$B186,6,2)))),"")</f>
        <v/>
      </c>
      <c r="C186">
        <f>IF(OR(수납!$E186="수강료",수납!$E186=""),N(수납!$F186),0)</f>
        <v/>
      </c>
      <c r="E186">
        <f>IF(원생!$A186="","",원생!$A186&amp;"|"&amp;원생!$G186)</f>
        <v/>
      </c>
    </row>
    <row r="187">
      <c r="A187">
        <f>IF(수납!$C187="","",수납!$C187&amp;"|"&amp;IF(수납!$D187&lt;&gt;"",수납!$D187,IF(COUNTIF(원생!$A$2:$A$501,수납!$C187)=1,INDEX(원생!$G$2:$G$501,MATCH(수납!$C187,원생!$A$2:$A$501,0))&amp;"","")))</f>
        <v/>
      </c>
      <c r="B187">
        <f>IFERROR(IF(수납!$B187="",YEAR(수납!$A187)*100+MONTH(수납!$A187),IF(ISNUMBER(수납!$B187),YEAR(수납!$B187)*100+MONTH(수납!$B187),VALUE(LEFT(수납!$B187,4))*100+VALUE(MID(수납!$B187,6,2)))),"")</f>
        <v/>
      </c>
      <c r="C187">
        <f>IF(OR(수납!$E187="수강료",수납!$E187=""),N(수납!$F187),0)</f>
        <v/>
      </c>
      <c r="E187">
        <f>IF(원생!$A187="","",원생!$A187&amp;"|"&amp;원생!$G187)</f>
        <v/>
      </c>
    </row>
    <row r="188">
      <c r="A188">
        <f>IF(수납!$C188="","",수납!$C188&amp;"|"&amp;IF(수납!$D188&lt;&gt;"",수납!$D188,IF(COUNTIF(원생!$A$2:$A$501,수납!$C188)=1,INDEX(원생!$G$2:$G$501,MATCH(수납!$C188,원생!$A$2:$A$501,0))&amp;"","")))</f>
        <v/>
      </c>
      <c r="B188">
        <f>IFERROR(IF(수납!$B188="",YEAR(수납!$A188)*100+MONTH(수납!$A188),IF(ISNUMBER(수납!$B188),YEAR(수납!$B188)*100+MONTH(수납!$B188),VALUE(LEFT(수납!$B188,4))*100+VALUE(MID(수납!$B188,6,2)))),"")</f>
        <v/>
      </c>
      <c r="C188">
        <f>IF(OR(수납!$E188="수강료",수납!$E188=""),N(수납!$F188),0)</f>
        <v/>
      </c>
      <c r="E188">
        <f>IF(원생!$A188="","",원생!$A188&amp;"|"&amp;원생!$G188)</f>
        <v/>
      </c>
    </row>
    <row r="189">
      <c r="A189">
        <f>IF(수납!$C189="","",수납!$C189&amp;"|"&amp;IF(수납!$D189&lt;&gt;"",수납!$D189,IF(COUNTIF(원생!$A$2:$A$501,수납!$C189)=1,INDEX(원생!$G$2:$G$501,MATCH(수납!$C189,원생!$A$2:$A$501,0))&amp;"","")))</f>
        <v/>
      </c>
      <c r="B189">
        <f>IFERROR(IF(수납!$B189="",YEAR(수납!$A189)*100+MONTH(수납!$A189),IF(ISNUMBER(수납!$B189),YEAR(수납!$B189)*100+MONTH(수납!$B189),VALUE(LEFT(수납!$B189,4))*100+VALUE(MID(수납!$B189,6,2)))),"")</f>
        <v/>
      </c>
      <c r="C189">
        <f>IF(OR(수납!$E189="수강료",수납!$E189=""),N(수납!$F189),0)</f>
        <v/>
      </c>
      <c r="E189">
        <f>IF(원생!$A189="","",원생!$A189&amp;"|"&amp;원생!$G189)</f>
        <v/>
      </c>
    </row>
    <row r="190">
      <c r="A190">
        <f>IF(수납!$C190="","",수납!$C190&amp;"|"&amp;IF(수납!$D190&lt;&gt;"",수납!$D190,IF(COUNTIF(원생!$A$2:$A$501,수납!$C190)=1,INDEX(원생!$G$2:$G$501,MATCH(수납!$C190,원생!$A$2:$A$501,0))&amp;"","")))</f>
        <v/>
      </c>
      <c r="B190">
        <f>IFERROR(IF(수납!$B190="",YEAR(수납!$A190)*100+MONTH(수납!$A190),IF(ISNUMBER(수납!$B190),YEAR(수납!$B190)*100+MONTH(수납!$B190),VALUE(LEFT(수납!$B190,4))*100+VALUE(MID(수납!$B190,6,2)))),"")</f>
        <v/>
      </c>
      <c r="C190">
        <f>IF(OR(수납!$E190="수강료",수납!$E190=""),N(수납!$F190),0)</f>
        <v/>
      </c>
      <c r="E190">
        <f>IF(원생!$A190="","",원생!$A190&amp;"|"&amp;원생!$G190)</f>
        <v/>
      </c>
    </row>
    <row r="191">
      <c r="A191">
        <f>IF(수납!$C191="","",수납!$C191&amp;"|"&amp;IF(수납!$D191&lt;&gt;"",수납!$D191,IF(COUNTIF(원생!$A$2:$A$501,수납!$C191)=1,INDEX(원생!$G$2:$G$501,MATCH(수납!$C191,원생!$A$2:$A$501,0))&amp;"","")))</f>
        <v/>
      </c>
      <c r="B191">
        <f>IFERROR(IF(수납!$B191="",YEAR(수납!$A191)*100+MONTH(수납!$A191),IF(ISNUMBER(수납!$B191),YEAR(수납!$B191)*100+MONTH(수납!$B191),VALUE(LEFT(수납!$B191,4))*100+VALUE(MID(수납!$B191,6,2)))),"")</f>
        <v/>
      </c>
      <c r="C191">
        <f>IF(OR(수납!$E191="수강료",수납!$E191=""),N(수납!$F191),0)</f>
        <v/>
      </c>
      <c r="E191">
        <f>IF(원생!$A191="","",원생!$A191&amp;"|"&amp;원생!$G191)</f>
        <v/>
      </c>
    </row>
    <row r="192">
      <c r="A192">
        <f>IF(수납!$C192="","",수납!$C192&amp;"|"&amp;IF(수납!$D192&lt;&gt;"",수납!$D192,IF(COUNTIF(원생!$A$2:$A$501,수납!$C192)=1,INDEX(원생!$G$2:$G$501,MATCH(수납!$C192,원생!$A$2:$A$501,0))&amp;"","")))</f>
        <v/>
      </c>
      <c r="B192">
        <f>IFERROR(IF(수납!$B192="",YEAR(수납!$A192)*100+MONTH(수납!$A192),IF(ISNUMBER(수납!$B192),YEAR(수납!$B192)*100+MONTH(수납!$B192),VALUE(LEFT(수납!$B192,4))*100+VALUE(MID(수납!$B192,6,2)))),"")</f>
        <v/>
      </c>
      <c r="C192">
        <f>IF(OR(수납!$E192="수강료",수납!$E192=""),N(수납!$F192),0)</f>
        <v/>
      </c>
      <c r="E192">
        <f>IF(원생!$A192="","",원생!$A192&amp;"|"&amp;원생!$G192)</f>
        <v/>
      </c>
    </row>
    <row r="193">
      <c r="A193">
        <f>IF(수납!$C193="","",수납!$C193&amp;"|"&amp;IF(수납!$D193&lt;&gt;"",수납!$D193,IF(COUNTIF(원생!$A$2:$A$501,수납!$C193)=1,INDEX(원생!$G$2:$G$501,MATCH(수납!$C193,원생!$A$2:$A$501,0))&amp;"","")))</f>
        <v/>
      </c>
      <c r="B193">
        <f>IFERROR(IF(수납!$B193="",YEAR(수납!$A193)*100+MONTH(수납!$A193),IF(ISNUMBER(수납!$B193),YEAR(수납!$B193)*100+MONTH(수납!$B193),VALUE(LEFT(수납!$B193,4))*100+VALUE(MID(수납!$B193,6,2)))),"")</f>
        <v/>
      </c>
      <c r="C193">
        <f>IF(OR(수납!$E193="수강료",수납!$E193=""),N(수납!$F193),0)</f>
        <v/>
      </c>
      <c r="E193">
        <f>IF(원생!$A193="","",원생!$A193&amp;"|"&amp;원생!$G193)</f>
        <v/>
      </c>
    </row>
    <row r="194">
      <c r="A194">
        <f>IF(수납!$C194="","",수납!$C194&amp;"|"&amp;IF(수납!$D194&lt;&gt;"",수납!$D194,IF(COUNTIF(원생!$A$2:$A$501,수납!$C194)=1,INDEX(원생!$G$2:$G$501,MATCH(수납!$C194,원생!$A$2:$A$501,0))&amp;"","")))</f>
        <v/>
      </c>
      <c r="B194">
        <f>IFERROR(IF(수납!$B194="",YEAR(수납!$A194)*100+MONTH(수납!$A194),IF(ISNUMBER(수납!$B194),YEAR(수납!$B194)*100+MONTH(수납!$B194),VALUE(LEFT(수납!$B194,4))*100+VALUE(MID(수납!$B194,6,2)))),"")</f>
        <v/>
      </c>
      <c r="C194">
        <f>IF(OR(수납!$E194="수강료",수납!$E194=""),N(수납!$F194),0)</f>
        <v/>
      </c>
      <c r="E194">
        <f>IF(원생!$A194="","",원생!$A194&amp;"|"&amp;원생!$G194)</f>
        <v/>
      </c>
    </row>
    <row r="195">
      <c r="A195">
        <f>IF(수납!$C195="","",수납!$C195&amp;"|"&amp;IF(수납!$D195&lt;&gt;"",수납!$D195,IF(COUNTIF(원생!$A$2:$A$501,수납!$C195)=1,INDEX(원생!$G$2:$G$501,MATCH(수납!$C195,원생!$A$2:$A$501,0))&amp;"","")))</f>
        <v/>
      </c>
      <c r="B195">
        <f>IFERROR(IF(수납!$B195="",YEAR(수납!$A195)*100+MONTH(수납!$A195),IF(ISNUMBER(수납!$B195),YEAR(수납!$B195)*100+MONTH(수납!$B195),VALUE(LEFT(수납!$B195,4))*100+VALUE(MID(수납!$B195,6,2)))),"")</f>
        <v/>
      </c>
      <c r="C195">
        <f>IF(OR(수납!$E195="수강료",수납!$E195=""),N(수납!$F195),0)</f>
        <v/>
      </c>
      <c r="E195">
        <f>IF(원생!$A195="","",원생!$A195&amp;"|"&amp;원생!$G195)</f>
        <v/>
      </c>
    </row>
    <row r="196">
      <c r="A196">
        <f>IF(수납!$C196="","",수납!$C196&amp;"|"&amp;IF(수납!$D196&lt;&gt;"",수납!$D196,IF(COUNTIF(원생!$A$2:$A$501,수납!$C196)=1,INDEX(원생!$G$2:$G$501,MATCH(수납!$C196,원생!$A$2:$A$501,0))&amp;"","")))</f>
        <v/>
      </c>
      <c r="B196">
        <f>IFERROR(IF(수납!$B196="",YEAR(수납!$A196)*100+MONTH(수납!$A196),IF(ISNUMBER(수납!$B196),YEAR(수납!$B196)*100+MONTH(수납!$B196),VALUE(LEFT(수납!$B196,4))*100+VALUE(MID(수납!$B196,6,2)))),"")</f>
        <v/>
      </c>
      <c r="C196">
        <f>IF(OR(수납!$E196="수강료",수납!$E196=""),N(수납!$F196),0)</f>
        <v/>
      </c>
      <c r="E196">
        <f>IF(원생!$A196="","",원생!$A196&amp;"|"&amp;원생!$G196)</f>
        <v/>
      </c>
    </row>
    <row r="197">
      <c r="A197">
        <f>IF(수납!$C197="","",수납!$C197&amp;"|"&amp;IF(수납!$D197&lt;&gt;"",수납!$D197,IF(COUNTIF(원생!$A$2:$A$501,수납!$C197)=1,INDEX(원생!$G$2:$G$501,MATCH(수납!$C197,원생!$A$2:$A$501,0))&amp;"","")))</f>
        <v/>
      </c>
      <c r="B197">
        <f>IFERROR(IF(수납!$B197="",YEAR(수납!$A197)*100+MONTH(수납!$A197),IF(ISNUMBER(수납!$B197),YEAR(수납!$B197)*100+MONTH(수납!$B197),VALUE(LEFT(수납!$B197,4))*100+VALUE(MID(수납!$B197,6,2)))),"")</f>
        <v/>
      </c>
      <c r="C197">
        <f>IF(OR(수납!$E197="수강료",수납!$E197=""),N(수납!$F197),0)</f>
        <v/>
      </c>
      <c r="E197">
        <f>IF(원생!$A197="","",원생!$A197&amp;"|"&amp;원생!$G197)</f>
        <v/>
      </c>
    </row>
    <row r="198">
      <c r="A198">
        <f>IF(수납!$C198="","",수납!$C198&amp;"|"&amp;IF(수납!$D198&lt;&gt;"",수납!$D198,IF(COUNTIF(원생!$A$2:$A$501,수납!$C198)=1,INDEX(원생!$G$2:$G$501,MATCH(수납!$C198,원생!$A$2:$A$501,0))&amp;"","")))</f>
        <v/>
      </c>
      <c r="B198">
        <f>IFERROR(IF(수납!$B198="",YEAR(수납!$A198)*100+MONTH(수납!$A198),IF(ISNUMBER(수납!$B198),YEAR(수납!$B198)*100+MONTH(수납!$B198),VALUE(LEFT(수납!$B198,4))*100+VALUE(MID(수납!$B198,6,2)))),"")</f>
        <v/>
      </c>
      <c r="C198">
        <f>IF(OR(수납!$E198="수강료",수납!$E198=""),N(수납!$F198),0)</f>
        <v/>
      </c>
      <c r="E198">
        <f>IF(원생!$A198="","",원생!$A198&amp;"|"&amp;원생!$G198)</f>
        <v/>
      </c>
    </row>
    <row r="199">
      <c r="A199">
        <f>IF(수납!$C199="","",수납!$C199&amp;"|"&amp;IF(수납!$D199&lt;&gt;"",수납!$D199,IF(COUNTIF(원생!$A$2:$A$501,수납!$C199)=1,INDEX(원생!$G$2:$G$501,MATCH(수납!$C199,원생!$A$2:$A$501,0))&amp;"","")))</f>
        <v/>
      </c>
      <c r="B199">
        <f>IFERROR(IF(수납!$B199="",YEAR(수납!$A199)*100+MONTH(수납!$A199),IF(ISNUMBER(수납!$B199),YEAR(수납!$B199)*100+MONTH(수납!$B199),VALUE(LEFT(수납!$B199,4))*100+VALUE(MID(수납!$B199,6,2)))),"")</f>
        <v/>
      </c>
      <c r="C199">
        <f>IF(OR(수납!$E199="수강료",수납!$E199=""),N(수납!$F199),0)</f>
        <v/>
      </c>
      <c r="E199">
        <f>IF(원생!$A199="","",원생!$A199&amp;"|"&amp;원생!$G199)</f>
        <v/>
      </c>
    </row>
    <row r="200">
      <c r="A200">
        <f>IF(수납!$C200="","",수납!$C200&amp;"|"&amp;IF(수납!$D200&lt;&gt;"",수납!$D200,IF(COUNTIF(원생!$A$2:$A$501,수납!$C200)=1,INDEX(원생!$G$2:$G$501,MATCH(수납!$C200,원생!$A$2:$A$501,0))&amp;"","")))</f>
        <v/>
      </c>
      <c r="B200">
        <f>IFERROR(IF(수납!$B200="",YEAR(수납!$A200)*100+MONTH(수납!$A200),IF(ISNUMBER(수납!$B200),YEAR(수납!$B200)*100+MONTH(수납!$B200),VALUE(LEFT(수납!$B200,4))*100+VALUE(MID(수납!$B200,6,2)))),"")</f>
        <v/>
      </c>
      <c r="C200">
        <f>IF(OR(수납!$E200="수강료",수납!$E200=""),N(수납!$F200),0)</f>
        <v/>
      </c>
      <c r="E200">
        <f>IF(원생!$A200="","",원생!$A200&amp;"|"&amp;원생!$G200)</f>
        <v/>
      </c>
    </row>
    <row r="201">
      <c r="A201">
        <f>IF(수납!$C201="","",수납!$C201&amp;"|"&amp;IF(수납!$D201&lt;&gt;"",수납!$D201,IF(COUNTIF(원생!$A$2:$A$501,수납!$C201)=1,INDEX(원생!$G$2:$G$501,MATCH(수납!$C201,원생!$A$2:$A$501,0))&amp;"","")))</f>
        <v/>
      </c>
      <c r="B201">
        <f>IFERROR(IF(수납!$B201="",YEAR(수납!$A201)*100+MONTH(수납!$A201),IF(ISNUMBER(수납!$B201),YEAR(수납!$B201)*100+MONTH(수납!$B201),VALUE(LEFT(수납!$B201,4))*100+VALUE(MID(수납!$B201,6,2)))),"")</f>
        <v/>
      </c>
      <c r="C201">
        <f>IF(OR(수납!$E201="수강료",수납!$E201=""),N(수납!$F201),0)</f>
        <v/>
      </c>
      <c r="E201">
        <f>IF(원생!$A201="","",원생!$A201&amp;"|"&amp;원생!$G201)</f>
        <v/>
      </c>
    </row>
    <row r="202">
      <c r="A202">
        <f>IF(수납!$C202="","",수납!$C202&amp;"|"&amp;IF(수납!$D202&lt;&gt;"",수납!$D202,IF(COUNTIF(원생!$A$2:$A$501,수납!$C202)=1,INDEX(원생!$G$2:$G$501,MATCH(수납!$C202,원생!$A$2:$A$501,0))&amp;"","")))</f>
        <v/>
      </c>
      <c r="B202">
        <f>IFERROR(IF(수납!$B202="",YEAR(수납!$A202)*100+MONTH(수납!$A202),IF(ISNUMBER(수납!$B202),YEAR(수납!$B202)*100+MONTH(수납!$B202),VALUE(LEFT(수납!$B202,4))*100+VALUE(MID(수납!$B202,6,2)))),"")</f>
        <v/>
      </c>
      <c r="C202">
        <f>IF(OR(수납!$E202="수강료",수납!$E202=""),N(수납!$F202),0)</f>
        <v/>
      </c>
      <c r="E202">
        <f>IF(원생!$A202="","",원생!$A202&amp;"|"&amp;원생!$G202)</f>
        <v/>
      </c>
    </row>
    <row r="203">
      <c r="A203">
        <f>IF(수납!$C203="","",수납!$C203&amp;"|"&amp;IF(수납!$D203&lt;&gt;"",수납!$D203,IF(COUNTIF(원생!$A$2:$A$501,수납!$C203)=1,INDEX(원생!$G$2:$G$501,MATCH(수납!$C203,원생!$A$2:$A$501,0))&amp;"","")))</f>
        <v/>
      </c>
      <c r="B203">
        <f>IFERROR(IF(수납!$B203="",YEAR(수납!$A203)*100+MONTH(수납!$A203),IF(ISNUMBER(수납!$B203),YEAR(수납!$B203)*100+MONTH(수납!$B203),VALUE(LEFT(수납!$B203,4))*100+VALUE(MID(수납!$B203,6,2)))),"")</f>
        <v/>
      </c>
      <c r="C203">
        <f>IF(OR(수납!$E203="수강료",수납!$E203=""),N(수납!$F203),0)</f>
        <v/>
      </c>
      <c r="E203">
        <f>IF(원생!$A203="","",원생!$A203&amp;"|"&amp;원생!$G203)</f>
        <v/>
      </c>
    </row>
    <row r="204">
      <c r="A204">
        <f>IF(수납!$C204="","",수납!$C204&amp;"|"&amp;IF(수납!$D204&lt;&gt;"",수납!$D204,IF(COUNTIF(원생!$A$2:$A$501,수납!$C204)=1,INDEX(원생!$G$2:$G$501,MATCH(수납!$C204,원생!$A$2:$A$501,0))&amp;"","")))</f>
        <v/>
      </c>
      <c r="B204">
        <f>IFERROR(IF(수납!$B204="",YEAR(수납!$A204)*100+MONTH(수납!$A204),IF(ISNUMBER(수납!$B204),YEAR(수납!$B204)*100+MONTH(수납!$B204),VALUE(LEFT(수납!$B204,4))*100+VALUE(MID(수납!$B204,6,2)))),"")</f>
        <v/>
      </c>
      <c r="C204">
        <f>IF(OR(수납!$E204="수강료",수납!$E204=""),N(수납!$F204),0)</f>
        <v/>
      </c>
      <c r="E204">
        <f>IF(원생!$A204="","",원생!$A204&amp;"|"&amp;원생!$G204)</f>
        <v/>
      </c>
    </row>
    <row r="205">
      <c r="A205">
        <f>IF(수납!$C205="","",수납!$C205&amp;"|"&amp;IF(수납!$D205&lt;&gt;"",수납!$D205,IF(COUNTIF(원생!$A$2:$A$501,수납!$C205)=1,INDEX(원생!$G$2:$G$501,MATCH(수납!$C205,원생!$A$2:$A$501,0))&amp;"","")))</f>
        <v/>
      </c>
      <c r="B205">
        <f>IFERROR(IF(수납!$B205="",YEAR(수납!$A205)*100+MONTH(수납!$A205),IF(ISNUMBER(수납!$B205),YEAR(수납!$B205)*100+MONTH(수납!$B205),VALUE(LEFT(수납!$B205,4))*100+VALUE(MID(수납!$B205,6,2)))),"")</f>
        <v/>
      </c>
      <c r="C205">
        <f>IF(OR(수납!$E205="수강료",수납!$E205=""),N(수납!$F205),0)</f>
        <v/>
      </c>
      <c r="E205">
        <f>IF(원생!$A205="","",원생!$A205&amp;"|"&amp;원생!$G205)</f>
        <v/>
      </c>
    </row>
    <row r="206">
      <c r="A206">
        <f>IF(수납!$C206="","",수납!$C206&amp;"|"&amp;IF(수납!$D206&lt;&gt;"",수납!$D206,IF(COUNTIF(원생!$A$2:$A$501,수납!$C206)=1,INDEX(원생!$G$2:$G$501,MATCH(수납!$C206,원생!$A$2:$A$501,0))&amp;"","")))</f>
        <v/>
      </c>
      <c r="B206">
        <f>IFERROR(IF(수납!$B206="",YEAR(수납!$A206)*100+MONTH(수납!$A206),IF(ISNUMBER(수납!$B206),YEAR(수납!$B206)*100+MONTH(수납!$B206),VALUE(LEFT(수납!$B206,4))*100+VALUE(MID(수납!$B206,6,2)))),"")</f>
        <v/>
      </c>
      <c r="C206">
        <f>IF(OR(수납!$E206="수강료",수납!$E206=""),N(수납!$F206),0)</f>
        <v/>
      </c>
      <c r="E206">
        <f>IF(원생!$A206="","",원생!$A206&amp;"|"&amp;원생!$G206)</f>
        <v/>
      </c>
    </row>
    <row r="207">
      <c r="A207">
        <f>IF(수납!$C207="","",수납!$C207&amp;"|"&amp;IF(수납!$D207&lt;&gt;"",수납!$D207,IF(COUNTIF(원생!$A$2:$A$501,수납!$C207)=1,INDEX(원생!$G$2:$G$501,MATCH(수납!$C207,원생!$A$2:$A$501,0))&amp;"","")))</f>
        <v/>
      </c>
      <c r="B207">
        <f>IFERROR(IF(수납!$B207="",YEAR(수납!$A207)*100+MONTH(수납!$A207),IF(ISNUMBER(수납!$B207),YEAR(수납!$B207)*100+MONTH(수납!$B207),VALUE(LEFT(수납!$B207,4))*100+VALUE(MID(수납!$B207,6,2)))),"")</f>
        <v/>
      </c>
      <c r="C207">
        <f>IF(OR(수납!$E207="수강료",수납!$E207=""),N(수납!$F207),0)</f>
        <v/>
      </c>
      <c r="E207">
        <f>IF(원생!$A207="","",원생!$A207&amp;"|"&amp;원생!$G207)</f>
        <v/>
      </c>
    </row>
    <row r="208">
      <c r="A208">
        <f>IF(수납!$C208="","",수납!$C208&amp;"|"&amp;IF(수납!$D208&lt;&gt;"",수납!$D208,IF(COUNTIF(원생!$A$2:$A$501,수납!$C208)=1,INDEX(원생!$G$2:$G$501,MATCH(수납!$C208,원생!$A$2:$A$501,0))&amp;"","")))</f>
        <v/>
      </c>
      <c r="B208">
        <f>IFERROR(IF(수납!$B208="",YEAR(수납!$A208)*100+MONTH(수납!$A208),IF(ISNUMBER(수납!$B208),YEAR(수납!$B208)*100+MONTH(수납!$B208),VALUE(LEFT(수납!$B208,4))*100+VALUE(MID(수납!$B208,6,2)))),"")</f>
        <v/>
      </c>
      <c r="C208">
        <f>IF(OR(수납!$E208="수강료",수납!$E208=""),N(수납!$F208),0)</f>
        <v/>
      </c>
      <c r="E208">
        <f>IF(원생!$A208="","",원생!$A208&amp;"|"&amp;원생!$G208)</f>
        <v/>
      </c>
    </row>
    <row r="209">
      <c r="A209">
        <f>IF(수납!$C209="","",수납!$C209&amp;"|"&amp;IF(수납!$D209&lt;&gt;"",수납!$D209,IF(COUNTIF(원생!$A$2:$A$501,수납!$C209)=1,INDEX(원생!$G$2:$G$501,MATCH(수납!$C209,원생!$A$2:$A$501,0))&amp;"","")))</f>
        <v/>
      </c>
      <c r="B209">
        <f>IFERROR(IF(수납!$B209="",YEAR(수납!$A209)*100+MONTH(수납!$A209),IF(ISNUMBER(수납!$B209),YEAR(수납!$B209)*100+MONTH(수납!$B209),VALUE(LEFT(수납!$B209,4))*100+VALUE(MID(수납!$B209,6,2)))),"")</f>
        <v/>
      </c>
      <c r="C209">
        <f>IF(OR(수납!$E209="수강료",수납!$E209=""),N(수납!$F209),0)</f>
        <v/>
      </c>
      <c r="E209">
        <f>IF(원생!$A209="","",원생!$A209&amp;"|"&amp;원생!$G209)</f>
        <v/>
      </c>
    </row>
    <row r="210">
      <c r="A210">
        <f>IF(수납!$C210="","",수납!$C210&amp;"|"&amp;IF(수납!$D210&lt;&gt;"",수납!$D210,IF(COUNTIF(원생!$A$2:$A$501,수납!$C210)=1,INDEX(원생!$G$2:$G$501,MATCH(수납!$C210,원생!$A$2:$A$501,0))&amp;"","")))</f>
        <v/>
      </c>
      <c r="B210">
        <f>IFERROR(IF(수납!$B210="",YEAR(수납!$A210)*100+MONTH(수납!$A210),IF(ISNUMBER(수납!$B210),YEAR(수납!$B210)*100+MONTH(수납!$B210),VALUE(LEFT(수납!$B210,4))*100+VALUE(MID(수납!$B210,6,2)))),"")</f>
        <v/>
      </c>
      <c r="C210">
        <f>IF(OR(수납!$E210="수강료",수납!$E210=""),N(수납!$F210),0)</f>
        <v/>
      </c>
      <c r="E210">
        <f>IF(원생!$A210="","",원생!$A210&amp;"|"&amp;원생!$G210)</f>
        <v/>
      </c>
    </row>
    <row r="211">
      <c r="A211">
        <f>IF(수납!$C211="","",수납!$C211&amp;"|"&amp;IF(수납!$D211&lt;&gt;"",수납!$D211,IF(COUNTIF(원생!$A$2:$A$501,수납!$C211)=1,INDEX(원생!$G$2:$G$501,MATCH(수납!$C211,원생!$A$2:$A$501,0))&amp;"","")))</f>
        <v/>
      </c>
      <c r="B211">
        <f>IFERROR(IF(수납!$B211="",YEAR(수납!$A211)*100+MONTH(수납!$A211),IF(ISNUMBER(수납!$B211),YEAR(수납!$B211)*100+MONTH(수납!$B211),VALUE(LEFT(수납!$B211,4))*100+VALUE(MID(수납!$B211,6,2)))),"")</f>
        <v/>
      </c>
      <c r="C211">
        <f>IF(OR(수납!$E211="수강료",수납!$E211=""),N(수납!$F211),0)</f>
        <v/>
      </c>
      <c r="E211">
        <f>IF(원생!$A211="","",원생!$A211&amp;"|"&amp;원생!$G211)</f>
        <v/>
      </c>
    </row>
    <row r="212">
      <c r="A212">
        <f>IF(수납!$C212="","",수납!$C212&amp;"|"&amp;IF(수납!$D212&lt;&gt;"",수납!$D212,IF(COUNTIF(원생!$A$2:$A$501,수납!$C212)=1,INDEX(원생!$G$2:$G$501,MATCH(수납!$C212,원생!$A$2:$A$501,0))&amp;"","")))</f>
        <v/>
      </c>
      <c r="B212">
        <f>IFERROR(IF(수납!$B212="",YEAR(수납!$A212)*100+MONTH(수납!$A212),IF(ISNUMBER(수납!$B212),YEAR(수납!$B212)*100+MONTH(수납!$B212),VALUE(LEFT(수납!$B212,4))*100+VALUE(MID(수납!$B212,6,2)))),"")</f>
        <v/>
      </c>
      <c r="C212">
        <f>IF(OR(수납!$E212="수강료",수납!$E212=""),N(수납!$F212),0)</f>
        <v/>
      </c>
      <c r="E212">
        <f>IF(원생!$A212="","",원생!$A212&amp;"|"&amp;원생!$G212)</f>
        <v/>
      </c>
    </row>
    <row r="213">
      <c r="A213">
        <f>IF(수납!$C213="","",수납!$C213&amp;"|"&amp;IF(수납!$D213&lt;&gt;"",수납!$D213,IF(COUNTIF(원생!$A$2:$A$501,수납!$C213)=1,INDEX(원생!$G$2:$G$501,MATCH(수납!$C213,원생!$A$2:$A$501,0))&amp;"","")))</f>
        <v/>
      </c>
      <c r="B213">
        <f>IFERROR(IF(수납!$B213="",YEAR(수납!$A213)*100+MONTH(수납!$A213),IF(ISNUMBER(수납!$B213),YEAR(수납!$B213)*100+MONTH(수납!$B213),VALUE(LEFT(수납!$B213,4))*100+VALUE(MID(수납!$B213,6,2)))),"")</f>
        <v/>
      </c>
      <c r="C213">
        <f>IF(OR(수납!$E213="수강료",수납!$E213=""),N(수납!$F213),0)</f>
        <v/>
      </c>
      <c r="E213">
        <f>IF(원생!$A213="","",원생!$A213&amp;"|"&amp;원생!$G213)</f>
        <v/>
      </c>
    </row>
    <row r="214">
      <c r="A214">
        <f>IF(수납!$C214="","",수납!$C214&amp;"|"&amp;IF(수납!$D214&lt;&gt;"",수납!$D214,IF(COUNTIF(원생!$A$2:$A$501,수납!$C214)=1,INDEX(원생!$G$2:$G$501,MATCH(수납!$C214,원생!$A$2:$A$501,0))&amp;"","")))</f>
        <v/>
      </c>
      <c r="B214">
        <f>IFERROR(IF(수납!$B214="",YEAR(수납!$A214)*100+MONTH(수납!$A214),IF(ISNUMBER(수납!$B214),YEAR(수납!$B214)*100+MONTH(수납!$B214),VALUE(LEFT(수납!$B214,4))*100+VALUE(MID(수납!$B214,6,2)))),"")</f>
        <v/>
      </c>
      <c r="C214">
        <f>IF(OR(수납!$E214="수강료",수납!$E214=""),N(수납!$F214),0)</f>
        <v/>
      </c>
      <c r="E214">
        <f>IF(원생!$A214="","",원생!$A214&amp;"|"&amp;원생!$G214)</f>
        <v/>
      </c>
    </row>
    <row r="215">
      <c r="A215">
        <f>IF(수납!$C215="","",수납!$C215&amp;"|"&amp;IF(수납!$D215&lt;&gt;"",수납!$D215,IF(COUNTIF(원생!$A$2:$A$501,수납!$C215)=1,INDEX(원생!$G$2:$G$501,MATCH(수납!$C215,원생!$A$2:$A$501,0))&amp;"","")))</f>
        <v/>
      </c>
      <c r="B215">
        <f>IFERROR(IF(수납!$B215="",YEAR(수납!$A215)*100+MONTH(수납!$A215),IF(ISNUMBER(수납!$B215),YEAR(수납!$B215)*100+MONTH(수납!$B215),VALUE(LEFT(수납!$B215,4))*100+VALUE(MID(수납!$B215,6,2)))),"")</f>
        <v/>
      </c>
      <c r="C215">
        <f>IF(OR(수납!$E215="수강료",수납!$E215=""),N(수납!$F215),0)</f>
        <v/>
      </c>
      <c r="E215">
        <f>IF(원생!$A215="","",원생!$A215&amp;"|"&amp;원생!$G215)</f>
        <v/>
      </c>
    </row>
    <row r="216">
      <c r="A216">
        <f>IF(수납!$C216="","",수납!$C216&amp;"|"&amp;IF(수납!$D216&lt;&gt;"",수납!$D216,IF(COUNTIF(원생!$A$2:$A$501,수납!$C216)=1,INDEX(원생!$G$2:$G$501,MATCH(수납!$C216,원생!$A$2:$A$501,0))&amp;"","")))</f>
        <v/>
      </c>
      <c r="B216">
        <f>IFERROR(IF(수납!$B216="",YEAR(수납!$A216)*100+MONTH(수납!$A216),IF(ISNUMBER(수납!$B216),YEAR(수납!$B216)*100+MONTH(수납!$B216),VALUE(LEFT(수납!$B216,4))*100+VALUE(MID(수납!$B216,6,2)))),"")</f>
        <v/>
      </c>
      <c r="C216">
        <f>IF(OR(수납!$E216="수강료",수납!$E216=""),N(수납!$F216),0)</f>
        <v/>
      </c>
      <c r="E216">
        <f>IF(원생!$A216="","",원생!$A216&amp;"|"&amp;원생!$G216)</f>
        <v/>
      </c>
    </row>
    <row r="217">
      <c r="A217">
        <f>IF(수납!$C217="","",수납!$C217&amp;"|"&amp;IF(수납!$D217&lt;&gt;"",수납!$D217,IF(COUNTIF(원생!$A$2:$A$501,수납!$C217)=1,INDEX(원생!$G$2:$G$501,MATCH(수납!$C217,원생!$A$2:$A$501,0))&amp;"","")))</f>
        <v/>
      </c>
      <c r="B217">
        <f>IFERROR(IF(수납!$B217="",YEAR(수납!$A217)*100+MONTH(수납!$A217),IF(ISNUMBER(수납!$B217),YEAR(수납!$B217)*100+MONTH(수납!$B217),VALUE(LEFT(수납!$B217,4))*100+VALUE(MID(수납!$B217,6,2)))),"")</f>
        <v/>
      </c>
      <c r="C217">
        <f>IF(OR(수납!$E217="수강료",수납!$E217=""),N(수납!$F217),0)</f>
        <v/>
      </c>
      <c r="E217">
        <f>IF(원생!$A217="","",원생!$A217&amp;"|"&amp;원생!$G217)</f>
        <v/>
      </c>
    </row>
    <row r="218">
      <c r="A218">
        <f>IF(수납!$C218="","",수납!$C218&amp;"|"&amp;IF(수납!$D218&lt;&gt;"",수납!$D218,IF(COUNTIF(원생!$A$2:$A$501,수납!$C218)=1,INDEX(원생!$G$2:$G$501,MATCH(수납!$C218,원생!$A$2:$A$501,0))&amp;"","")))</f>
        <v/>
      </c>
      <c r="B218">
        <f>IFERROR(IF(수납!$B218="",YEAR(수납!$A218)*100+MONTH(수납!$A218),IF(ISNUMBER(수납!$B218),YEAR(수납!$B218)*100+MONTH(수납!$B218),VALUE(LEFT(수납!$B218,4))*100+VALUE(MID(수납!$B218,6,2)))),"")</f>
        <v/>
      </c>
      <c r="C218">
        <f>IF(OR(수납!$E218="수강료",수납!$E218=""),N(수납!$F218),0)</f>
        <v/>
      </c>
      <c r="E218">
        <f>IF(원생!$A218="","",원생!$A218&amp;"|"&amp;원생!$G218)</f>
        <v/>
      </c>
    </row>
    <row r="219">
      <c r="A219">
        <f>IF(수납!$C219="","",수납!$C219&amp;"|"&amp;IF(수납!$D219&lt;&gt;"",수납!$D219,IF(COUNTIF(원생!$A$2:$A$501,수납!$C219)=1,INDEX(원생!$G$2:$G$501,MATCH(수납!$C219,원생!$A$2:$A$501,0))&amp;"","")))</f>
        <v/>
      </c>
      <c r="B219">
        <f>IFERROR(IF(수납!$B219="",YEAR(수납!$A219)*100+MONTH(수납!$A219),IF(ISNUMBER(수납!$B219),YEAR(수납!$B219)*100+MONTH(수납!$B219),VALUE(LEFT(수납!$B219,4))*100+VALUE(MID(수납!$B219,6,2)))),"")</f>
        <v/>
      </c>
      <c r="C219">
        <f>IF(OR(수납!$E219="수강료",수납!$E219=""),N(수납!$F219),0)</f>
        <v/>
      </c>
      <c r="E219">
        <f>IF(원생!$A219="","",원생!$A219&amp;"|"&amp;원생!$G219)</f>
        <v/>
      </c>
    </row>
    <row r="220">
      <c r="A220">
        <f>IF(수납!$C220="","",수납!$C220&amp;"|"&amp;IF(수납!$D220&lt;&gt;"",수납!$D220,IF(COUNTIF(원생!$A$2:$A$501,수납!$C220)=1,INDEX(원생!$G$2:$G$501,MATCH(수납!$C220,원생!$A$2:$A$501,0))&amp;"","")))</f>
        <v/>
      </c>
      <c r="B220">
        <f>IFERROR(IF(수납!$B220="",YEAR(수납!$A220)*100+MONTH(수납!$A220),IF(ISNUMBER(수납!$B220),YEAR(수납!$B220)*100+MONTH(수납!$B220),VALUE(LEFT(수납!$B220,4))*100+VALUE(MID(수납!$B220,6,2)))),"")</f>
        <v/>
      </c>
      <c r="C220">
        <f>IF(OR(수납!$E220="수강료",수납!$E220=""),N(수납!$F220),0)</f>
        <v/>
      </c>
      <c r="E220">
        <f>IF(원생!$A220="","",원생!$A220&amp;"|"&amp;원생!$G220)</f>
        <v/>
      </c>
    </row>
    <row r="221">
      <c r="A221">
        <f>IF(수납!$C221="","",수납!$C221&amp;"|"&amp;IF(수납!$D221&lt;&gt;"",수납!$D221,IF(COUNTIF(원생!$A$2:$A$501,수납!$C221)=1,INDEX(원생!$G$2:$G$501,MATCH(수납!$C221,원생!$A$2:$A$501,0))&amp;"","")))</f>
        <v/>
      </c>
      <c r="B221">
        <f>IFERROR(IF(수납!$B221="",YEAR(수납!$A221)*100+MONTH(수납!$A221),IF(ISNUMBER(수납!$B221),YEAR(수납!$B221)*100+MONTH(수납!$B221),VALUE(LEFT(수납!$B221,4))*100+VALUE(MID(수납!$B221,6,2)))),"")</f>
        <v/>
      </c>
      <c r="C221">
        <f>IF(OR(수납!$E221="수강료",수납!$E221=""),N(수납!$F221),0)</f>
        <v/>
      </c>
      <c r="E221">
        <f>IF(원생!$A221="","",원생!$A221&amp;"|"&amp;원생!$G221)</f>
        <v/>
      </c>
    </row>
    <row r="222">
      <c r="A222">
        <f>IF(수납!$C222="","",수납!$C222&amp;"|"&amp;IF(수납!$D222&lt;&gt;"",수납!$D222,IF(COUNTIF(원생!$A$2:$A$501,수납!$C222)=1,INDEX(원생!$G$2:$G$501,MATCH(수납!$C222,원생!$A$2:$A$501,0))&amp;"","")))</f>
        <v/>
      </c>
      <c r="B222">
        <f>IFERROR(IF(수납!$B222="",YEAR(수납!$A222)*100+MONTH(수납!$A222),IF(ISNUMBER(수납!$B222),YEAR(수납!$B222)*100+MONTH(수납!$B222),VALUE(LEFT(수납!$B222,4))*100+VALUE(MID(수납!$B222,6,2)))),"")</f>
        <v/>
      </c>
      <c r="C222">
        <f>IF(OR(수납!$E222="수강료",수납!$E222=""),N(수납!$F222),0)</f>
        <v/>
      </c>
      <c r="E222">
        <f>IF(원생!$A222="","",원생!$A222&amp;"|"&amp;원생!$G222)</f>
        <v/>
      </c>
    </row>
    <row r="223">
      <c r="A223">
        <f>IF(수납!$C223="","",수납!$C223&amp;"|"&amp;IF(수납!$D223&lt;&gt;"",수납!$D223,IF(COUNTIF(원생!$A$2:$A$501,수납!$C223)=1,INDEX(원생!$G$2:$G$501,MATCH(수납!$C223,원생!$A$2:$A$501,0))&amp;"","")))</f>
        <v/>
      </c>
      <c r="B223">
        <f>IFERROR(IF(수납!$B223="",YEAR(수납!$A223)*100+MONTH(수납!$A223),IF(ISNUMBER(수납!$B223),YEAR(수납!$B223)*100+MONTH(수납!$B223),VALUE(LEFT(수납!$B223,4))*100+VALUE(MID(수납!$B223,6,2)))),"")</f>
        <v/>
      </c>
      <c r="C223">
        <f>IF(OR(수납!$E223="수강료",수납!$E223=""),N(수납!$F223),0)</f>
        <v/>
      </c>
      <c r="E223">
        <f>IF(원생!$A223="","",원생!$A223&amp;"|"&amp;원생!$G223)</f>
        <v/>
      </c>
    </row>
    <row r="224">
      <c r="A224">
        <f>IF(수납!$C224="","",수납!$C224&amp;"|"&amp;IF(수납!$D224&lt;&gt;"",수납!$D224,IF(COUNTIF(원생!$A$2:$A$501,수납!$C224)=1,INDEX(원생!$G$2:$G$501,MATCH(수납!$C224,원생!$A$2:$A$501,0))&amp;"","")))</f>
        <v/>
      </c>
      <c r="B224">
        <f>IFERROR(IF(수납!$B224="",YEAR(수납!$A224)*100+MONTH(수납!$A224),IF(ISNUMBER(수납!$B224),YEAR(수납!$B224)*100+MONTH(수납!$B224),VALUE(LEFT(수납!$B224,4))*100+VALUE(MID(수납!$B224,6,2)))),"")</f>
        <v/>
      </c>
      <c r="C224">
        <f>IF(OR(수납!$E224="수강료",수납!$E224=""),N(수납!$F224),0)</f>
        <v/>
      </c>
      <c r="E224">
        <f>IF(원생!$A224="","",원생!$A224&amp;"|"&amp;원생!$G224)</f>
        <v/>
      </c>
    </row>
    <row r="225">
      <c r="A225">
        <f>IF(수납!$C225="","",수납!$C225&amp;"|"&amp;IF(수납!$D225&lt;&gt;"",수납!$D225,IF(COUNTIF(원생!$A$2:$A$501,수납!$C225)=1,INDEX(원생!$G$2:$G$501,MATCH(수납!$C225,원생!$A$2:$A$501,0))&amp;"","")))</f>
        <v/>
      </c>
      <c r="B225">
        <f>IFERROR(IF(수납!$B225="",YEAR(수납!$A225)*100+MONTH(수납!$A225),IF(ISNUMBER(수납!$B225),YEAR(수납!$B225)*100+MONTH(수납!$B225),VALUE(LEFT(수납!$B225,4))*100+VALUE(MID(수납!$B225,6,2)))),"")</f>
        <v/>
      </c>
      <c r="C225">
        <f>IF(OR(수납!$E225="수강료",수납!$E225=""),N(수납!$F225),0)</f>
        <v/>
      </c>
      <c r="E225">
        <f>IF(원생!$A225="","",원생!$A225&amp;"|"&amp;원생!$G225)</f>
        <v/>
      </c>
    </row>
    <row r="226">
      <c r="A226">
        <f>IF(수납!$C226="","",수납!$C226&amp;"|"&amp;IF(수납!$D226&lt;&gt;"",수납!$D226,IF(COUNTIF(원생!$A$2:$A$501,수납!$C226)=1,INDEX(원생!$G$2:$G$501,MATCH(수납!$C226,원생!$A$2:$A$501,0))&amp;"","")))</f>
        <v/>
      </c>
      <c r="B226">
        <f>IFERROR(IF(수납!$B226="",YEAR(수납!$A226)*100+MONTH(수납!$A226),IF(ISNUMBER(수납!$B226),YEAR(수납!$B226)*100+MONTH(수납!$B226),VALUE(LEFT(수납!$B226,4))*100+VALUE(MID(수납!$B226,6,2)))),"")</f>
        <v/>
      </c>
      <c r="C226">
        <f>IF(OR(수납!$E226="수강료",수납!$E226=""),N(수납!$F226),0)</f>
        <v/>
      </c>
      <c r="E226">
        <f>IF(원생!$A226="","",원생!$A226&amp;"|"&amp;원생!$G226)</f>
        <v/>
      </c>
    </row>
    <row r="227">
      <c r="A227">
        <f>IF(수납!$C227="","",수납!$C227&amp;"|"&amp;IF(수납!$D227&lt;&gt;"",수납!$D227,IF(COUNTIF(원생!$A$2:$A$501,수납!$C227)=1,INDEX(원생!$G$2:$G$501,MATCH(수납!$C227,원생!$A$2:$A$501,0))&amp;"","")))</f>
        <v/>
      </c>
      <c r="B227">
        <f>IFERROR(IF(수납!$B227="",YEAR(수납!$A227)*100+MONTH(수납!$A227),IF(ISNUMBER(수납!$B227),YEAR(수납!$B227)*100+MONTH(수납!$B227),VALUE(LEFT(수납!$B227,4))*100+VALUE(MID(수납!$B227,6,2)))),"")</f>
        <v/>
      </c>
      <c r="C227">
        <f>IF(OR(수납!$E227="수강료",수납!$E227=""),N(수납!$F227),0)</f>
        <v/>
      </c>
      <c r="E227">
        <f>IF(원생!$A227="","",원생!$A227&amp;"|"&amp;원생!$G227)</f>
        <v/>
      </c>
    </row>
    <row r="228">
      <c r="A228">
        <f>IF(수납!$C228="","",수납!$C228&amp;"|"&amp;IF(수납!$D228&lt;&gt;"",수납!$D228,IF(COUNTIF(원생!$A$2:$A$501,수납!$C228)=1,INDEX(원생!$G$2:$G$501,MATCH(수납!$C228,원생!$A$2:$A$501,0))&amp;"","")))</f>
        <v/>
      </c>
      <c r="B228">
        <f>IFERROR(IF(수납!$B228="",YEAR(수납!$A228)*100+MONTH(수납!$A228),IF(ISNUMBER(수납!$B228),YEAR(수납!$B228)*100+MONTH(수납!$B228),VALUE(LEFT(수납!$B228,4))*100+VALUE(MID(수납!$B228,6,2)))),"")</f>
        <v/>
      </c>
      <c r="C228">
        <f>IF(OR(수납!$E228="수강료",수납!$E228=""),N(수납!$F228),0)</f>
        <v/>
      </c>
      <c r="E228">
        <f>IF(원생!$A228="","",원생!$A228&amp;"|"&amp;원생!$G228)</f>
        <v/>
      </c>
    </row>
    <row r="229">
      <c r="A229">
        <f>IF(수납!$C229="","",수납!$C229&amp;"|"&amp;IF(수납!$D229&lt;&gt;"",수납!$D229,IF(COUNTIF(원생!$A$2:$A$501,수납!$C229)=1,INDEX(원생!$G$2:$G$501,MATCH(수납!$C229,원생!$A$2:$A$501,0))&amp;"","")))</f>
        <v/>
      </c>
      <c r="B229">
        <f>IFERROR(IF(수납!$B229="",YEAR(수납!$A229)*100+MONTH(수납!$A229),IF(ISNUMBER(수납!$B229),YEAR(수납!$B229)*100+MONTH(수납!$B229),VALUE(LEFT(수납!$B229,4))*100+VALUE(MID(수납!$B229,6,2)))),"")</f>
        <v/>
      </c>
      <c r="C229">
        <f>IF(OR(수납!$E229="수강료",수납!$E229=""),N(수납!$F229),0)</f>
        <v/>
      </c>
      <c r="E229">
        <f>IF(원생!$A229="","",원생!$A229&amp;"|"&amp;원생!$G229)</f>
        <v/>
      </c>
    </row>
    <row r="230">
      <c r="A230">
        <f>IF(수납!$C230="","",수납!$C230&amp;"|"&amp;IF(수납!$D230&lt;&gt;"",수납!$D230,IF(COUNTIF(원생!$A$2:$A$501,수납!$C230)=1,INDEX(원생!$G$2:$G$501,MATCH(수납!$C230,원생!$A$2:$A$501,0))&amp;"","")))</f>
        <v/>
      </c>
      <c r="B230">
        <f>IFERROR(IF(수납!$B230="",YEAR(수납!$A230)*100+MONTH(수납!$A230),IF(ISNUMBER(수납!$B230),YEAR(수납!$B230)*100+MONTH(수납!$B230),VALUE(LEFT(수납!$B230,4))*100+VALUE(MID(수납!$B230,6,2)))),"")</f>
        <v/>
      </c>
      <c r="C230">
        <f>IF(OR(수납!$E230="수강료",수납!$E230=""),N(수납!$F230),0)</f>
        <v/>
      </c>
      <c r="E230">
        <f>IF(원생!$A230="","",원생!$A230&amp;"|"&amp;원생!$G230)</f>
        <v/>
      </c>
    </row>
    <row r="231">
      <c r="A231">
        <f>IF(수납!$C231="","",수납!$C231&amp;"|"&amp;IF(수납!$D231&lt;&gt;"",수납!$D231,IF(COUNTIF(원생!$A$2:$A$501,수납!$C231)=1,INDEX(원생!$G$2:$G$501,MATCH(수납!$C231,원생!$A$2:$A$501,0))&amp;"","")))</f>
        <v/>
      </c>
      <c r="B231">
        <f>IFERROR(IF(수납!$B231="",YEAR(수납!$A231)*100+MONTH(수납!$A231),IF(ISNUMBER(수납!$B231),YEAR(수납!$B231)*100+MONTH(수납!$B231),VALUE(LEFT(수납!$B231,4))*100+VALUE(MID(수납!$B231,6,2)))),"")</f>
        <v/>
      </c>
      <c r="C231">
        <f>IF(OR(수납!$E231="수강료",수납!$E231=""),N(수납!$F231),0)</f>
        <v/>
      </c>
      <c r="E231">
        <f>IF(원생!$A231="","",원생!$A231&amp;"|"&amp;원생!$G231)</f>
        <v/>
      </c>
    </row>
    <row r="232">
      <c r="A232">
        <f>IF(수납!$C232="","",수납!$C232&amp;"|"&amp;IF(수납!$D232&lt;&gt;"",수납!$D232,IF(COUNTIF(원생!$A$2:$A$501,수납!$C232)=1,INDEX(원생!$G$2:$G$501,MATCH(수납!$C232,원생!$A$2:$A$501,0))&amp;"","")))</f>
        <v/>
      </c>
      <c r="B232">
        <f>IFERROR(IF(수납!$B232="",YEAR(수납!$A232)*100+MONTH(수납!$A232),IF(ISNUMBER(수납!$B232),YEAR(수납!$B232)*100+MONTH(수납!$B232),VALUE(LEFT(수납!$B232,4))*100+VALUE(MID(수납!$B232,6,2)))),"")</f>
        <v/>
      </c>
      <c r="C232">
        <f>IF(OR(수납!$E232="수강료",수납!$E232=""),N(수납!$F232),0)</f>
        <v/>
      </c>
      <c r="E232">
        <f>IF(원생!$A232="","",원생!$A232&amp;"|"&amp;원생!$G232)</f>
        <v/>
      </c>
    </row>
    <row r="233">
      <c r="A233">
        <f>IF(수납!$C233="","",수납!$C233&amp;"|"&amp;IF(수납!$D233&lt;&gt;"",수납!$D233,IF(COUNTIF(원생!$A$2:$A$501,수납!$C233)=1,INDEX(원생!$G$2:$G$501,MATCH(수납!$C233,원생!$A$2:$A$501,0))&amp;"","")))</f>
        <v/>
      </c>
      <c r="B233">
        <f>IFERROR(IF(수납!$B233="",YEAR(수납!$A233)*100+MONTH(수납!$A233),IF(ISNUMBER(수납!$B233),YEAR(수납!$B233)*100+MONTH(수납!$B233),VALUE(LEFT(수납!$B233,4))*100+VALUE(MID(수납!$B233,6,2)))),"")</f>
        <v/>
      </c>
      <c r="C233">
        <f>IF(OR(수납!$E233="수강료",수납!$E233=""),N(수납!$F233),0)</f>
        <v/>
      </c>
      <c r="E233">
        <f>IF(원생!$A233="","",원생!$A233&amp;"|"&amp;원생!$G233)</f>
        <v/>
      </c>
    </row>
    <row r="234">
      <c r="A234">
        <f>IF(수납!$C234="","",수납!$C234&amp;"|"&amp;IF(수납!$D234&lt;&gt;"",수납!$D234,IF(COUNTIF(원생!$A$2:$A$501,수납!$C234)=1,INDEX(원생!$G$2:$G$501,MATCH(수납!$C234,원생!$A$2:$A$501,0))&amp;"","")))</f>
        <v/>
      </c>
      <c r="B234">
        <f>IFERROR(IF(수납!$B234="",YEAR(수납!$A234)*100+MONTH(수납!$A234),IF(ISNUMBER(수납!$B234),YEAR(수납!$B234)*100+MONTH(수납!$B234),VALUE(LEFT(수납!$B234,4))*100+VALUE(MID(수납!$B234,6,2)))),"")</f>
        <v/>
      </c>
      <c r="C234">
        <f>IF(OR(수납!$E234="수강료",수납!$E234=""),N(수납!$F234),0)</f>
        <v/>
      </c>
      <c r="E234">
        <f>IF(원생!$A234="","",원생!$A234&amp;"|"&amp;원생!$G234)</f>
        <v/>
      </c>
    </row>
    <row r="235">
      <c r="A235">
        <f>IF(수납!$C235="","",수납!$C235&amp;"|"&amp;IF(수납!$D235&lt;&gt;"",수납!$D235,IF(COUNTIF(원생!$A$2:$A$501,수납!$C235)=1,INDEX(원생!$G$2:$G$501,MATCH(수납!$C235,원생!$A$2:$A$501,0))&amp;"","")))</f>
        <v/>
      </c>
      <c r="B235">
        <f>IFERROR(IF(수납!$B235="",YEAR(수납!$A235)*100+MONTH(수납!$A235),IF(ISNUMBER(수납!$B235),YEAR(수납!$B235)*100+MONTH(수납!$B235),VALUE(LEFT(수납!$B235,4))*100+VALUE(MID(수납!$B235,6,2)))),"")</f>
        <v/>
      </c>
      <c r="C235">
        <f>IF(OR(수납!$E235="수강료",수납!$E235=""),N(수납!$F235),0)</f>
        <v/>
      </c>
      <c r="E235">
        <f>IF(원생!$A235="","",원생!$A235&amp;"|"&amp;원생!$G235)</f>
        <v/>
      </c>
    </row>
    <row r="236">
      <c r="A236">
        <f>IF(수납!$C236="","",수납!$C236&amp;"|"&amp;IF(수납!$D236&lt;&gt;"",수납!$D236,IF(COUNTIF(원생!$A$2:$A$501,수납!$C236)=1,INDEX(원생!$G$2:$G$501,MATCH(수납!$C236,원생!$A$2:$A$501,0))&amp;"","")))</f>
        <v/>
      </c>
      <c r="B236">
        <f>IFERROR(IF(수납!$B236="",YEAR(수납!$A236)*100+MONTH(수납!$A236),IF(ISNUMBER(수납!$B236),YEAR(수납!$B236)*100+MONTH(수납!$B236),VALUE(LEFT(수납!$B236,4))*100+VALUE(MID(수납!$B236,6,2)))),"")</f>
        <v/>
      </c>
      <c r="C236">
        <f>IF(OR(수납!$E236="수강료",수납!$E236=""),N(수납!$F236),0)</f>
        <v/>
      </c>
      <c r="E236">
        <f>IF(원생!$A236="","",원생!$A236&amp;"|"&amp;원생!$G236)</f>
        <v/>
      </c>
    </row>
    <row r="237">
      <c r="A237">
        <f>IF(수납!$C237="","",수납!$C237&amp;"|"&amp;IF(수납!$D237&lt;&gt;"",수납!$D237,IF(COUNTIF(원생!$A$2:$A$501,수납!$C237)=1,INDEX(원생!$G$2:$G$501,MATCH(수납!$C237,원생!$A$2:$A$501,0))&amp;"","")))</f>
        <v/>
      </c>
      <c r="B237">
        <f>IFERROR(IF(수납!$B237="",YEAR(수납!$A237)*100+MONTH(수납!$A237),IF(ISNUMBER(수납!$B237),YEAR(수납!$B237)*100+MONTH(수납!$B237),VALUE(LEFT(수납!$B237,4))*100+VALUE(MID(수납!$B237,6,2)))),"")</f>
        <v/>
      </c>
      <c r="C237">
        <f>IF(OR(수납!$E237="수강료",수납!$E237=""),N(수납!$F237),0)</f>
        <v/>
      </c>
      <c r="E237">
        <f>IF(원생!$A237="","",원생!$A237&amp;"|"&amp;원생!$G237)</f>
        <v/>
      </c>
    </row>
    <row r="238">
      <c r="A238">
        <f>IF(수납!$C238="","",수납!$C238&amp;"|"&amp;IF(수납!$D238&lt;&gt;"",수납!$D238,IF(COUNTIF(원생!$A$2:$A$501,수납!$C238)=1,INDEX(원생!$G$2:$G$501,MATCH(수납!$C238,원생!$A$2:$A$501,0))&amp;"","")))</f>
        <v/>
      </c>
      <c r="B238">
        <f>IFERROR(IF(수납!$B238="",YEAR(수납!$A238)*100+MONTH(수납!$A238),IF(ISNUMBER(수납!$B238),YEAR(수납!$B238)*100+MONTH(수납!$B238),VALUE(LEFT(수납!$B238,4))*100+VALUE(MID(수납!$B238,6,2)))),"")</f>
        <v/>
      </c>
      <c r="C238">
        <f>IF(OR(수납!$E238="수강료",수납!$E238=""),N(수납!$F238),0)</f>
        <v/>
      </c>
      <c r="E238">
        <f>IF(원생!$A238="","",원생!$A238&amp;"|"&amp;원생!$G238)</f>
        <v/>
      </c>
    </row>
    <row r="239">
      <c r="A239">
        <f>IF(수납!$C239="","",수납!$C239&amp;"|"&amp;IF(수납!$D239&lt;&gt;"",수납!$D239,IF(COUNTIF(원생!$A$2:$A$501,수납!$C239)=1,INDEX(원생!$G$2:$G$501,MATCH(수납!$C239,원생!$A$2:$A$501,0))&amp;"","")))</f>
        <v/>
      </c>
      <c r="B239">
        <f>IFERROR(IF(수납!$B239="",YEAR(수납!$A239)*100+MONTH(수납!$A239),IF(ISNUMBER(수납!$B239),YEAR(수납!$B239)*100+MONTH(수납!$B239),VALUE(LEFT(수납!$B239,4))*100+VALUE(MID(수납!$B239,6,2)))),"")</f>
        <v/>
      </c>
      <c r="C239">
        <f>IF(OR(수납!$E239="수강료",수납!$E239=""),N(수납!$F239),0)</f>
        <v/>
      </c>
      <c r="E239">
        <f>IF(원생!$A239="","",원생!$A239&amp;"|"&amp;원생!$G239)</f>
        <v/>
      </c>
    </row>
    <row r="240">
      <c r="A240">
        <f>IF(수납!$C240="","",수납!$C240&amp;"|"&amp;IF(수납!$D240&lt;&gt;"",수납!$D240,IF(COUNTIF(원생!$A$2:$A$501,수납!$C240)=1,INDEX(원생!$G$2:$G$501,MATCH(수납!$C240,원생!$A$2:$A$501,0))&amp;"","")))</f>
        <v/>
      </c>
      <c r="B240">
        <f>IFERROR(IF(수납!$B240="",YEAR(수납!$A240)*100+MONTH(수납!$A240),IF(ISNUMBER(수납!$B240),YEAR(수납!$B240)*100+MONTH(수납!$B240),VALUE(LEFT(수납!$B240,4))*100+VALUE(MID(수납!$B240,6,2)))),"")</f>
        <v/>
      </c>
      <c r="C240">
        <f>IF(OR(수납!$E240="수강료",수납!$E240=""),N(수납!$F240),0)</f>
        <v/>
      </c>
      <c r="E240">
        <f>IF(원생!$A240="","",원생!$A240&amp;"|"&amp;원생!$G240)</f>
        <v/>
      </c>
    </row>
    <row r="241">
      <c r="A241">
        <f>IF(수납!$C241="","",수납!$C241&amp;"|"&amp;IF(수납!$D241&lt;&gt;"",수납!$D241,IF(COUNTIF(원생!$A$2:$A$501,수납!$C241)=1,INDEX(원생!$G$2:$G$501,MATCH(수납!$C241,원생!$A$2:$A$501,0))&amp;"","")))</f>
        <v/>
      </c>
      <c r="B241">
        <f>IFERROR(IF(수납!$B241="",YEAR(수납!$A241)*100+MONTH(수납!$A241),IF(ISNUMBER(수납!$B241),YEAR(수납!$B241)*100+MONTH(수납!$B241),VALUE(LEFT(수납!$B241,4))*100+VALUE(MID(수납!$B241,6,2)))),"")</f>
        <v/>
      </c>
      <c r="C241">
        <f>IF(OR(수납!$E241="수강료",수납!$E241=""),N(수납!$F241),0)</f>
        <v/>
      </c>
      <c r="E241">
        <f>IF(원생!$A241="","",원생!$A241&amp;"|"&amp;원생!$G241)</f>
        <v/>
      </c>
    </row>
    <row r="242">
      <c r="A242">
        <f>IF(수납!$C242="","",수납!$C242&amp;"|"&amp;IF(수납!$D242&lt;&gt;"",수납!$D242,IF(COUNTIF(원생!$A$2:$A$501,수납!$C242)=1,INDEX(원생!$G$2:$G$501,MATCH(수납!$C242,원생!$A$2:$A$501,0))&amp;"","")))</f>
        <v/>
      </c>
      <c r="B242">
        <f>IFERROR(IF(수납!$B242="",YEAR(수납!$A242)*100+MONTH(수납!$A242),IF(ISNUMBER(수납!$B242),YEAR(수납!$B242)*100+MONTH(수납!$B242),VALUE(LEFT(수납!$B242,4))*100+VALUE(MID(수납!$B242,6,2)))),"")</f>
        <v/>
      </c>
      <c r="C242">
        <f>IF(OR(수납!$E242="수강료",수납!$E242=""),N(수납!$F242),0)</f>
        <v/>
      </c>
      <c r="E242">
        <f>IF(원생!$A242="","",원생!$A242&amp;"|"&amp;원생!$G242)</f>
        <v/>
      </c>
    </row>
    <row r="243">
      <c r="A243">
        <f>IF(수납!$C243="","",수납!$C243&amp;"|"&amp;IF(수납!$D243&lt;&gt;"",수납!$D243,IF(COUNTIF(원생!$A$2:$A$501,수납!$C243)=1,INDEX(원생!$G$2:$G$501,MATCH(수납!$C243,원생!$A$2:$A$501,0))&amp;"","")))</f>
        <v/>
      </c>
      <c r="B243">
        <f>IFERROR(IF(수납!$B243="",YEAR(수납!$A243)*100+MONTH(수납!$A243),IF(ISNUMBER(수납!$B243),YEAR(수납!$B243)*100+MONTH(수납!$B243),VALUE(LEFT(수납!$B243,4))*100+VALUE(MID(수납!$B243,6,2)))),"")</f>
        <v/>
      </c>
      <c r="C243">
        <f>IF(OR(수납!$E243="수강료",수납!$E243=""),N(수납!$F243),0)</f>
        <v/>
      </c>
      <c r="E243">
        <f>IF(원생!$A243="","",원생!$A243&amp;"|"&amp;원생!$G243)</f>
        <v/>
      </c>
    </row>
    <row r="244">
      <c r="A244">
        <f>IF(수납!$C244="","",수납!$C244&amp;"|"&amp;IF(수납!$D244&lt;&gt;"",수납!$D244,IF(COUNTIF(원생!$A$2:$A$501,수납!$C244)=1,INDEX(원생!$G$2:$G$501,MATCH(수납!$C244,원생!$A$2:$A$501,0))&amp;"","")))</f>
        <v/>
      </c>
      <c r="B244">
        <f>IFERROR(IF(수납!$B244="",YEAR(수납!$A244)*100+MONTH(수납!$A244),IF(ISNUMBER(수납!$B244),YEAR(수납!$B244)*100+MONTH(수납!$B244),VALUE(LEFT(수납!$B244,4))*100+VALUE(MID(수납!$B244,6,2)))),"")</f>
        <v/>
      </c>
      <c r="C244">
        <f>IF(OR(수납!$E244="수강료",수납!$E244=""),N(수납!$F244),0)</f>
        <v/>
      </c>
      <c r="E244">
        <f>IF(원생!$A244="","",원생!$A244&amp;"|"&amp;원생!$G244)</f>
        <v/>
      </c>
    </row>
    <row r="245">
      <c r="A245">
        <f>IF(수납!$C245="","",수납!$C245&amp;"|"&amp;IF(수납!$D245&lt;&gt;"",수납!$D245,IF(COUNTIF(원생!$A$2:$A$501,수납!$C245)=1,INDEX(원생!$G$2:$G$501,MATCH(수납!$C245,원생!$A$2:$A$501,0))&amp;"","")))</f>
        <v/>
      </c>
      <c r="B245">
        <f>IFERROR(IF(수납!$B245="",YEAR(수납!$A245)*100+MONTH(수납!$A245),IF(ISNUMBER(수납!$B245),YEAR(수납!$B245)*100+MONTH(수납!$B245),VALUE(LEFT(수납!$B245,4))*100+VALUE(MID(수납!$B245,6,2)))),"")</f>
        <v/>
      </c>
      <c r="C245">
        <f>IF(OR(수납!$E245="수강료",수납!$E245=""),N(수납!$F245),0)</f>
        <v/>
      </c>
      <c r="E245">
        <f>IF(원생!$A245="","",원생!$A245&amp;"|"&amp;원생!$G245)</f>
        <v/>
      </c>
    </row>
    <row r="246">
      <c r="A246">
        <f>IF(수납!$C246="","",수납!$C246&amp;"|"&amp;IF(수납!$D246&lt;&gt;"",수납!$D246,IF(COUNTIF(원생!$A$2:$A$501,수납!$C246)=1,INDEX(원생!$G$2:$G$501,MATCH(수납!$C246,원생!$A$2:$A$501,0))&amp;"","")))</f>
        <v/>
      </c>
      <c r="B246">
        <f>IFERROR(IF(수납!$B246="",YEAR(수납!$A246)*100+MONTH(수납!$A246),IF(ISNUMBER(수납!$B246),YEAR(수납!$B246)*100+MONTH(수납!$B246),VALUE(LEFT(수납!$B246,4))*100+VALUE(MID(수납!$B246,6,2)))),"")</f>
        <v/>
      </c>
      <c r="C246">
        <f>IF(OR(수납!$E246="수강료",수납!$E246=""),N(수납!$F246),0)</f>
        <v/>
      </c>
      <c r="E246">
        <f>IF(원생!$A246="","",원생!$A246&amp;"|"&amp;원생!$G246)</f>
        <v/>
      </c>
    </row>
    <row r="247">
      <c r="A247">
        <f>IF(수납!$C247="","",수납!$C247&amp;"|"&amp;IF(수납!$D247&lt;&gt;"",수납!$D247,IF(COUNTIF(원생!$A$2:$A$501,수납!$C247)=1,INDEX(원생!$G$2:$G$501,MATCH(수납!$C247,원생!$A$2:$A$501,0))&amp;"","")))</f>
        <v/>
      </c>
      <c r="B247">
        <f>IFERROR(IF(수납!$B247="",YEAR(수납!$A247)*100+MONTH(수납!$A247),IF(ISNUMBER(수납!$B247),YEAR(수납!$B247)*100+MONTH(수납!$B247),VALUE(LEFT(수납!$B247,4))*100+VALUE(MID(수납!$B247,6,2)))),"")</f>
        <v/>
      </c>
      <c r="C247">
        <f>IF(OR(수납!$E247="수강료",수납!$E247=""),N(수납!$F247),0)</f>
        <v/>
      </c>
      <c r="E247">
        <f>IF(원생!$A247="","",원생!$A247&amp;"|"&amp;원생!$G247)</f>
        <v/>
      </c>
    </row>
    <row r="248">
      <c r="A248">
        <f>IF(수납!$C248="","",수납!$C248&amp;"|"&amp;IF(수납!$D248&lt;&gt;"",수납!$D248,IF(COUNTIF(원생!$A$2:$A$501,수납!$C248)=1,INDEX(원생!$G$2:$G$501,MATCH(수납!$C248,원생!$A$2:$A$501,0))&amp;"","")))</f>
        <v/>
      </c>
      <c r="B248">
        <f>IFERROR(IF(수납!$B248="",YEAR(수납!$A248)*100+MONTH(수납!$A248),IF(ISNUMBER(수납!$B248),YEAR(수납!$B248)*100+MONTH(수납!$B248),VALUE(LEFT(수납!$B248,4))*100+VALUE(MID(수납!$B248,6,2)))),"")</f>
        <v/>
      </c>
      <c r="C248">
        <f>IF(OR(수납!$E248="수강료",수납!$E248=""),N(수납!$F248),0)</f>
        <v/>
      </c>
      <c r="E248">
        <f>IF(원생!$A248="","",원생!$A248&amp;"|"&amp;원생!$G248)</f>
        <v/>
      </c>
    </row>
    <row r="249">
      <c r="A249">
        <f>IF(수납!$C249="","",수납!$C249&amp;"|"&amp;IF(수납!$D249&lt;&gt;"",수납!$D249,IF(COUNTIF(원생!$A$2:$A$501,수납!$C249)=1,INDEX(원생!$G$2:$G$501,MATCH(수납!$C249,원생!$A$2:$A$501,0))&amp;"","")))</f>
        <v/>
      </c>
      <c r="B249">
        <f>IFERROR(IF(수납!$B249="",YEAR(수납!$A249)*100+MONTH(수납!$A249),IF(ISNUMBER(수납!$B249),YEAR(수납!$B249)*100+MONTH(수납!$B249),VALUE(LEFT(수납!$B249,4))*100+VALUE(MID(수납!$B249,6,2)))),"")</f>
        <v/>
      </c>
      <c r="C249">
        <f>IF(OR(수납!$E249="수강료",수납!$E249=""),N(수납!$F249),0)</f>
        <v/>
      </c>
      <c r="E249">
        <f>IF(원생!$A249="","",원생!$A249&amp;"|"&amp;원생!$G249)</f>
        <v/>
      </c>
    </row>
    <row r="250">
      <c r="A250">
        <f>IF(수납!$C250="","",수납!$C250&amp;"|"&amp;IF(수납!$D250&lt;&gt;"",수납!$D250,IF(COUNTIF(원생!$A$2:$A$501,수납!$C250)=1,INDEX(원생!$G$2:$G$501,MATCH(수납!$C250,원생!$A$2:$A$501,0))&amp;"","")))</f>
        <v/>
      </c>
      <c r="B250">
        <f>IFERROR(IF(수납!$B250="",YEAR(수납!$A250)*100+MONTH(수납!$A250),IF(ISNUMBER(수납!$B250),YEAR(수납!$B250)*100+MONTH(수납!$B250),VALUE(LEFT(수납!$B250,4))*100+VALUE(MID(수납!$B250,6,2)))),"")</f>
        <v/>
      </c>
      <c r="C250">
        <f>IF(OR(수납!$E250="수강료",수납!$E250=""),N(수납!$F250),0)</f>
        <v/>
      </c>
      <c r="E250">
        <f>IF(원생!$A250="","",원생!$A250&amp;"|"&amp;원생!$G250)</f>
        <v/>
      </c>
    </row>
    <row r="251">
      <c r="A251">
        <f>IF(수납!$C251="","",수납!$C251&amp;"|"&amp;IF(수납!$D251&lt;&gt;"",수납!$D251,IF(COUNTIF(원생!$A$2:$A$501,수납!$C251)=1,INDEX(원생!$G$2:$G$501,MATCH(수납!$C251,원생!$A$2:$A$501,0))&amp;"","")))</f>
        <v/>
      </c>
      <c r="B251">
        <f>IFERROR(IF(수납!$B251="",YEAR(수납!$A251)*100+MONTH(수납!$A251),IF(ISNUMBER(수납!$B251),YEAR(수납!$B251)*100+MONTH(수납!$B251),VALUE(LEFT(수납!$B251,4))*100+VALUE(MID(수납!$B251,6,2)))),"")</f>
        <v/>
      </c>
      <c r="C251">
        <f>IF(OR(수납!$E251="수강료",수납!$E251=""),N(수납!$F251),0)</f>
        <v/>
      </c>
      <c r="E251">
        <f>IF(원생!$A251="","",원생!$A251&amp;"|"&amp;원생!$G251)</f>
        <v/>
      </c>
    </row>
    <row r="252">
      <c r="A252">
        <f>IF(수납!$C252="","",수납!$C252&amp;"|"&amp;IF(수납!$D252&lt;&gt;"",수납!$D252,IF(COUNTIF(원생!$A$2:$A$501,수납!$C252)=1,INDEX(원생!$G$2:$G$501,MATCH(수납!$C252,원생!$A$2:$A$501,0))&amp;"","")))</f>
        <v/>
      </c>
      <c r="B252">
        <f>IFERROR(IF(수납!$B252="",YEAR(수납!$A252)*100+MONTH(수납!$A252),IF(ISNUMBER(수납!$B252),YEAR(수납!$B252)*100+MONTH(수납!$B252),VALUE(LEFT(수납!$B252,4))*100+VALUE(MID(수납!$B252,6,2)))),"")</f>
        <v/>
      </c>
      <c r="C252">
        <f>IF(OR(수납!$E252="수강료",수납!$E252=""),N(수납!$F252),0)</f>
        <v/>
      </c>
      <c r="E252">
        <f>IF(원생!$A252="","",원생!$A252&amp;"|"&amp;원생!$G252)</f>
        <v/>
      </c>
    </row>
    <row r="253">
      <c r="A253">
        <f>IF(수납!$C253="","",수납!$C253&amp;"|"&amp;IF(수납!$D253&lt;&gt;"",수납!$D253,IF(COUNTIF(원생!$A$2:$A$501,수납!$C253)=1,INDEX(원생!$G$2:$G$501,MATCH(수납!$C253,원생!$A$2:$A$501,0))&amp;"","")))</f>
        <v/>
      </c>
      <c r="B253">
        <f>IFERROR(IF(수납!$B253="",YEAR(수납!$A253)*100+MONTH(수납!$A253),IF(ISNUMBER(수납!$B253),YEAR(수납!$B253)*100+MONTH(수납!$B253),VALUE(LEFT(수납!$B253,4))*100+VALUE(MID(수납!$B253,6,2)))),"")</f>
        <v/>
      </c>
      <c r="C253">
        <f>IF(OR(수납!$E253="수강료",수납!$E253=""),N(수납!$F253),0)</f>
        <v/>
      </c>
      <c r="E253">
        <f>IF(원생!$A253="","",원생!$A253&amp;"|"&amp;원생!$G253)</f>
        <v/>
      </c>
    </row>
    <row r="254">
      <c r="A254">
        <f>IF(수납!$C254="","",수납!$C254&amp;"|"&amp;IF(수납!$D254&lt;&gt;"",수납!$D254,IF(COUNTIF(원생!$A$2:$A$501,수납!$C254)=1,INDEX(원생!$G$2:$G$501,MATCH(수납!$C254,원생!$A$2:$A$501,0))&amp;"","")))</f>
        <v/>
      </c>
      <c r="B254">
        <f>IFERROR(IF(수납!$B254="",YEAR(수납!$A254)*100+MONTH(수납!$A254),IF(ISNUMBER(수납!$B254),YEAR(수납!$B254)*100+MONTH(수납!$B254),VALUE(LEFT(수납!$B254,4))*100+VALUE(MID(수납!$B254,6,2)))),"")</f>
        <v/>
      </c>
      <c r="C254">
        <f>IF(OR(수납!$E254="수강료",수납!$E254=""),N(수납!$F254),0)</f>
        <v/>
      </c>
      <c r="E254">
        <f>IF(원생!$A254="","",원생!$A254&amp;"|"&amp;원생!$G254)</f>
        <v/>
      </c>
    </row>
    <row r="255">
      <c r="A255">
        <f>IF(수납!$C255="","",수납!$C255&amp;"|"&amp;IF(수납!$D255&lt;&gt;"",수납!$D255,IF(COUNTIF(원생!$A$2:$A$501,수납!$C255)=1,INDEX(원생!$G$2:$G$501,MATCH(수납!$C255,원생!$A$2:$A$501,0))&amp;"","")))</f>
        <v/>
      </c>
      <c r="B255">
        <f>IFERROR(IF(수납!$B255="",YEAR(수납!$A255)*100+MONTH(수납!$A255),IF(ISNUMBER(수납!$B255),YEAR(수납!$B255)*100+MONTH(수납!$B255),VALUE(LEFT(수납!$B255,4))*100+VALUE(MID(수납!$B255,6,2)))),"")</f>
        <v/>
      </c>
      <c r="C255">
        <f>IF(OR(수납!$E255="수강료",수납!$E255=""),N(수납!$F255),0)</f>
        <v/>
      </c>
      <c r="E255">
        <f>IF(원생!$A255="","",원생!$A255&amp;"|"&amp;원생!$G255)</f>
        <v/>
      </c>
    </row>
    <row r="256">
      <c r="A256">
        <f>IF(수납!$C256="","",수납!$C256&amp;"|"&amp;IF(수납!$D256&lt;&gt;"",수납!$D256,IF(COUNTIF(원생!$A$2:$A$501,수납!$C256)=1,INDEX(원생!$G$2:$G$501,MATCH(수납!$C256,원생!$A$2:$A$501,0))&amp;"","")))</f>
        <v/>
      </c>
      <c r="B256">
        <f>IFERROR(IF(수납!$B256="",YEAR(수납!$A256)*100+MONTH(수납!$A256),IF(ISNUMBER(수납!$B256),YEAR(수납!$B256)*100+MONTH(수납!$B256),VALUE(LEFT(수납!$B256,4))*100+VALUE(MID(수납!$B256,6,2)))),"")</f>
        <v/>
      </c>
      <c r="C256">
        <f>IF(OR(수납!$E256="수강료",수납!$E256=""),N(수납!$F256),0)</f>
        <v/>
      </c>
      <c r="E256">
        <f>IF(원생!$A256="","",원생!$A256&amp;"|"&amp;원생!$G256)</f>
        <v/>
      </c>
    </row>
    <row r="257">
      <c r="A257">
        <f>IF(수납!$C257="","",수납!$C257&amp;"|"&amp;IF(수납!$D257&lt;&gt;"",수납!$D257,IF(COUNTIF(원생!$A$2:$A$501,수납!$C257)=1,INDEX(원생!$G$2:$G$501,MATCH(수납!$C257,원생!$A$2:$A$501,0))&amp;"","")))</f>
        <v/>
      </c>
      <c r="B257">
        <f>IFERROR(IF(수납!$B257="",YEAR(수납!$A257)*100+MONTH(수납!$A257),IF(ISNUMBER(수납!$B257),YEAR(수납!$B257)*100+MONTH(수납!$B257),VALUE(LEFT(수납!$B257,4))*100+VALUE(MID(수납!$B257,6,2)))),"")</f>
        <v/>
      </c>
      <c r="C257">
        <f>IF(OR(수납!$E257="수강료",수납!$E257=""),N(수납!$F257),0)</f>
        <v/>
      </c>
      <c r="E257">
        <f>IF(원생!$A257="","",원생!$A257&amp;"|"&amp;원생!$G257)</f>
        <v/>
      </c>
    </row>
    <row r="258">
      <c r="A258">
        <f>IF(수납!$C258="","",수납!$C258&amp;"|"&amp;IF(수납!$D258&lt;&gt;"",수납!$D258,IF(COUNTIF(원생!$A$2:$A$501,수납!$C258)=1,INDEX(원생!$G$2:$G$501,MATCH(수납!$C258,원생!$A$2:$A$501,0))&amp;"","")))</f>
        <v/>
      </c>
      <c r="B258">
        <f>IFERROR(IF(수납!$B258="",YEAR(수납!$A258)*100+MONTH(수납!$A258),IF(ISNUMBER(수납!$B258),YEAR(수납!$B258)*100+MONTH(수납!$B258),VALUE(LEFT(수납!$B258,4))*100+VALUE(MID(수납!$B258,6,2)))),"")</f>
        <v/>
      </c>
      <c r="C258">
        <f>IF(OR(수납!$E258="수강료",수납!$E258=""),N(수납!$F258),0)</f>
        <v/>
      </c>
      <c r="E258">
        <f>IF(원생!$A258="","",원생!$A258&amp;"|"&amp;원생!$G258)</f>
        <v/>
      </c>
    </row>
    <row r="259">
      <c r="A259">
        <f>IF(수납!$C259="","",수납!$C259&amp;"|"&amp;IF(수납!$D259&lt;&gt;"",수납!$D259,IF(COUNTIF(원생!$A$2:$A$501,수납!$C259)=1,INDEX(원생!$G$2:$G$501,MATCH(수납!$C259,원생!$A$2:$A$501,0))&amp;"","")))</f>
        <v/>
      </c>
      <c r="B259">
        <f>IFERROR(IF(수납!$B259="",YEAR(수납!$A259)*100+MONTH(수납!$A259),IF(ISNUMBER(수납!$B259),YEAR(수납!$B259)*100+MONTH(수납!$B259),VALUE(LEFT(수납!$B259,4))*100+VALUE(MID(수납!$B259,6,2)))),"")</f>
        <v/>
      </c>
      <c r="C259">
        <f>IF(OR(수납!$E259="수강료",수납!$E259=""),N(수납!$F259),0)</f>
        <v/>
      </c>
      <c r="E259">
        <f>IF(원생!$A259="","",원생!$A259&amp;"|"&amp;원생!$G259)</f>
        <v/>
      </c>
    </row>
    <row r="260">
      <c r="A260">
        <f>IF(수납!$C260="","",수납!$C260&amp;"|"&amp;IF(수납!$D260&lt;&gt;"",수납!$D260,IF(COUNTIF(원생!$A$2:$A$501,수납!$C260)=1,INDEX(원생!$G$2:$G$501,MATCH(수납!$C260,원생!$A$2:$A$501,0))&amp;"","")))</f>
        <v/>
      </c>
      <c r="B260">
        <f>IFERROR(IF(수납!$B260="",YEAR(수납!$A260)*100+MONTH(수납!$A260),IF(ISNUMBER(수납!$B260),YEAR(수납!$B260)*100+MONTH(수납!$B260),VALUE(LEFT(수납!$B260,4))*100+VALUE(MID(수납!$B260,6,2)))),"")</f>
        <v/>
      </c>
      <c r="C260">
        <f>IF(OR(수납!$E260="수강료",수납!$E260=""),N(수납!$F260),0)</f>
        <v/>
      </c>
      <c r="E260">
        <f>IF(원생!$A260="","",원생!$A260&amp;"|"&amp;원생!$G260)</f>
        <v/>
      </c>
    </row>
    <row r="261">
      <c r="A261">
        <f>IF(수납!$C261="","",수납!$C261&amp;"|"&amp;IF(수납!$D261&lt;&gt;"",수납!$D261,IF(COUNTIF(원생!$A$2:$A$501,수납!$C261)=1,INDEX(원생!$G$2:$G$501,MATCH(수납!$C261,원생!$A$2:$A$501,0))&amp;"","")))</f>
        <v/>
      </c>
      <c r="B261">
        <f>IFERROR(IF(수납!$B261="",YEAR(수납!$A261)*100+MONTH(수납!$A261),IF(ISNUMBER(수납!$B261),YEAR(수납!$B261)*100+MONTH(수납!$B261),VALUE(LEFT(수납!$B261,4))*100+VALUE(MID(수납!$B261,6,2)))),"")</f>
        <v/>
      </c>
      <c r="C261">
        <f>IF(OR(수납!$E261="수강료",수납!$E261=""),N(수납!$F261),0)</f>
        <v/>
      </c>
      <c r="E261">
        <f>IF(원생!$A261="","",원생!$A261&amp;"|"&amp;원생!$G261)</f>
        <v/>
      </c>
    </row>
    <row r="262">
      <c r="A262">
        <f>IF(수납!$C262="","",수납!$C262&amp;"|"&amp;IF(수납!$D262&lt;&gt;"",수납!$D262,IF(COUNTIF(원생!$A$2:$A$501,수납!$C262)=1,INDEX(원생!$G$2:$G$501,MATCH(수납!$C262,원생!$A$2:$A$501,0))&amp;"","")))</f>
        <v/>
      </c>
      <c r="B262">
        <f>IFERROR(IF(수납!$B262="",YEAR(수납!$A262)*100+MONTH(수납!$A262),IF(ISNUMBER(수납!$B262),YEAR(수납!$B262)*100+MONTH(수납!$B262),VALUE(LEFT(수납!$B262,4))*100+VALUE(MID(수납!$B262,6,2)))),"")</f>
        <v/>
      </c>
      <c r="C262">
        <f>IF(OR(수납!$E262="수강료",수납!$E262=""),N(수납!$F262),0)</f>
        <v/>
      </c>
      <c r="E262">
        <f>IF(원생!$A262="","",원생!$A262&amp;"|"&amp;원생!$G262)</f>
        <v/>
      </c>
    </row>
    <row r="263">
      <c r="A263">
        <f>IF(수납!$C263="","",수납!$C263&amp;"|"&amp;IF(수납!$D263&lt;&gt;"",수납!$D263,IF(COUNTIF(원생!$A$2:$A$501,수납!$C263)=1,INDEX(원생!$G$2:$G$501,MATCH(수납!$C263,원생!$A$2:$A$501,0))&amp;"","")))</f>
        <v/>
      </c>
      <c r="B263">
        <f>IFERROR(IF(수납!$B263="",YEAR(수납!$A263)*100+MONTH(수납!$A263),IF(ISNUMBER(수납!$B263),YEAR(수납!$B263)*100+MONTH(수납!$B263),VALUE(LEFT(수납!$B263,4))*100+VALUE(MID(수납!$B263,6,2)))),"")</f>
        <v/>
      </c>
      <c r="C263">
        <f>IF(OR(수납!$E263="수강료",수납!$E263=""),N(수납!$F263),0)</f>
        <v/>
      </c>
      <c r="E263">
        <f>IF(원생!$A263="","",원생!$A263&amp;"|"&amp;원생!$G263)</f>
        <v/>
      </c>
    </row>
    <row r="264">
      <c r="A264">
        <f>IF(수납!$C264="","",수납!$C264&amp;"|"&amp;IF(수납!$D264&lt;&gt;"",수납!$D264,IF(COUNTIF(원생!$A$2:$A$501,수납!$C264)=1,INDEX(원생!$G$2:$G$501,MATCH(수납!$C264,원생!$A$2:$A$501,0))&amp;"","")))</f>
        <v/>
      </c>
      <c r="B264">
        <f>IFERROR(IF(수납!$B264="",YEAR(수납!$A264)*100+MONTH(수납!$A264),IF(ISNUMBER(수납!$B264),YEAR(수납!$B264)*100+MONTH(수납!$B264),VALUE(LEFT(수납!$B264,4))*100+VALUE(MID(수납!$B264,6,2)))),"")</f>
        <v/>
      </c>
      <c r="C264">
        <f>IF(OR(수납!$E264="수강료",수납!$E264=""),N(수납!$F264),0)</f>
        <v/>
      </c>
      <c r="E264">
        <f>IF(원생!$A264="","",원생!$A264&amp;"|"&amp;원생!$G264)</f>
        <v/>
      </c>
    </row>
    <row r="265">
      <c r="A265">
        <f>IF(수납!$C265="","",수납!$C265&amp;"|"&amp;IF(수납!$D265&lt;&gt;"",수납!$D265,IF(COUNTIF(원생!$A$2:$A$501,수납!$C265)=1,INDEX(원생!$G$2:$G$501,MATCH(수납!$C265,원생!$A$2:$A$501,0))&amp;"","")))</f>
        <v/>
      </c>
      <c r="B265">
        <f>IFERROR(IF(수납!$B265="",YEAR(수납!$A265)*100+MONTH(수납!$A265),IF(ISNUMBER(수납!$B265),YEAR(수납!$B265)*100+MONTH(수납!$B265),VALUE(LEFT(수납!$B265,4))*100+VALUE(MID(수납!$B265,6,2)))),"")</f>
        <v/>
      </c>
      <c r="C265">
        <f>IF(OR(수납!$E265="수강료",수납!$E265=""),N(수납!$F265),0)</f>
        <v/>
      </c>
      <c r="E265">
        <f>IF(원생!$A265="","",원생!$A265&amp;"|"&amp;원생!$G265)</f>
        <v/>
      </c>
    </row>
    <row r="266">
      <c r="A266">
        <f>IF(수납!$C266="","",수납!$C266&amp;"|"&amp;IF(수납!$D266&lt;&gt;"",수납!$D266,IF(COUNTIF(원생!$A$2:$A$501,수납!$C266)=1,INDEX(원생!$G$2:$G$501,MATCH(수납!$C266,원생!$A$2:$A$501,0))&amp;"","")))</f>
        <v/>
      </c>
      <c r="B266">
        <f>IFERROR(IF(수납!$B266="",YEAR(수납!$A266)*100+MONTH(수납!$A266),IF(ISNUMBER(수납!$B266),YEAR(수납!$B266)*100+MONTH(수납!$B266),VALUE(LEFT(수납!$B266,4))*100+VALUE(MID(수납!$B266,6,2)))),"")</f>
        <v/>
      </c>
      <c r="C266">
        <f>IF(OR(수납!$E266="수강료",수납!$E266=""),N(수납!$F266),0)</f>
        <v/>
      </c>
      <c r="E266">
        <f>IF(원생!$A266="","",원생!$A266&amp;"|"&amp;원생!$G266)</f>
        <v/>
      </c>
    </row>
    <row r="267">
      <c r="A267">
        <f>IF(수납!$C267="","",수납!$C267&amp;"|"&amp;IF(수납!$D267&lt;&gt;"",수납!$D267,IF(COUNTIF(원생!$A$2:$A$501,수납!$C267)=1,INDEX(원생!$G$2:$G$501,MATCH(수납!$C267,원생!$A$2:$A$501,0))&amp;"","")))</f>
        <v/>
      </c>
      <c r="B267">
        <f>IFERROR(IF(수납!$B267="",YEAR(수납!$A267)*100+MONTH(수납!$A267),IF(ISNUMBER(수납!$B267),YEAR(수납!$B267)*100+MONTH(수납!$B267),VALUE(LEFT(수납!$B267,4))*100+VALUE(MID(수납!$B267,6,2)))),"")</f>
        <v/>
      </c>
      <c r="C267">
        <f>IF(OR(수납!$E267="수강료",수납!$E267=""),N(수납!$F267),0)</f>
        <v/>
      </c>
      <c r="E267">
        <f>IF(원생!$A267="","",원생!$A267&amp;"|"&amp;원생!$G267)</f>
        <v/>
      </c>
    </row>
    <row r="268">
      <c r="A268">
        <f>IF(수납!$C268="","",수납!$C268&amp;"|"&amp;IF(수납!$D268&lt;&gt;"",수납!$D268,IF(COUNTIF(원생!$A$2:$A$501,수납!$C268)=1,INDEX(원생!$G$2:$G$501,MATCH(수납!$C268,원생!$A$2:$A$501,0))&amp;"","")))</f>
        <v/>
      </c>
      <c r="B268">
        <f>IFERROR(IF(수납!$B268="",YEAR(수납!$A268)*100+MONTH(수납!$A268),IF(ISNUMBER(수납!$B268),YEAR(수납!$B268)*100+MONTH(수납!$B268),VALUE(LEFT(수납!$B268,4))*100+VALUE(MID(수납!$B268,6,2)))),"")</f>
        <v/>
      </c>
      <c r="C268">
        <f>IF(OR(수납!$E268="수강료",수납!$E268=""),N(수납!$F268),0)</f>
        <v/>
      </c>
      <c r="E268">
        <f>IF(원생!$A268="","",원생!$A268&amp;"|"&amp;원생!$G268)</f>
        <v/>
      </c>
    </row>
    <row r="269">
      <c r="A269">
        <f>IF(수납!$C269="","",수납!$C269&amp;"|"&amp;IF(수납!$D269&lt;&gt;"",수납!$D269,IF(COUNTIF(원생!$A$2:$A$501,수납!$C269)=1,INDEX(원생!$G$2:$G$501,MATCH(수납!$C269,원생!$A$2:$A$501,0))&amp;"","")))</f>
        <v/>
      </c>
      <c r="B269">
        <f>IFERROR(IF(수납!$B269="",YEAR(수납!$A269)*100+MONTH(수납!$A269),IF(ISNUMBER(수납!$B269),YEAR(수납!$B269)*100+MONTH(수납!$B269),VALUE(LEFT(수납!$B269,4))*100+VALUE(MID(수납!$B269,6,2)))),"")</f>
        <v/>
      </c>
      <c r="C269">
        <f>IF(OR(수납!$E269="수강료",수납!$E269=""),N(수납!$F269),0)</f>
        <v/>
      </c>
      <c r="E269">
        <f>IF(원생!$A269="","",원생!$A269&amp;"|"&amp;원생!$G269)</f>
        <v/>
      </c>
    </row>
    <row r="270">
      <c r="A270">
        <f>IF(수납!$C270="","",수납!$C270&amp;"|"&amp;IF(수납!$D270&lt;&gt;"",수납!$D270,IF(COUNTIF(원생!$A$2:$A$501,수납!$C270)=1,INDEX(원생!$G$2:$G$501,MATCH(수납!$C270,원생!$A$2:$A$501,0))&amp;"","")))</f>
        <v/>
      </c>
      <c r="B270">
        <f>IFERROR(IF(수납!$B270="",YEAR(수납!$A270)*100+MONTH(수납!$A270),IF(ISNUMBER(수납!$B270),YEAR(수납!$B270)*100+MONTH(수납!$B270),VALUE(LEFT(수납!$B270,4))*100+VALUE(MID(수납!$B270,6,2)))),"")</f>
        <v/>
      </c>
      <c r="C270">
        <f>IF(OR(수납!$E270="수강료",수납!$E270=""),N(수납!$F270),0)</f>
        <v/>
      </c>
      <c r="E270">
        <f>IF(원생!$A270="","",원생!$A270&amp;"|"&amp;원생!$G270)</f>
        <v/>
      </c>
    </row>
    <row r="271">
      <c r="A271">
        <f>IF(수납!$C271="","",수납!$C271&amp;"|"&amp;IF(수납!$D271&lt;&gt;"",수납!$D271,IF(COUNTIF(원생!$A$2:$A$501,수납!$C271)=1,INDEX(원생!$G$2:$G$501,MATCH(수납!$C271,원생!$A$2:$A$501,0))&amp;"","")))</f>
        <v/>
      </c>
      <c r="B271">
        <f>IFERROR(IF(수납!$B271="",YEAR(수납!$A271)*100+MONTH(수납!$A271),IF(ISNUMBER(수납!$B271),YEAR(수납!$B271)*100+MONTH(수납!$B271),VALUE(LEFT(수납!$B271,4))*100+VALUE(MID(수납!$B271,6,2)))),"")</f>
        <v/>
      </c>
      <c r="C271">
        <f>IF(OR(수납!$E271="수강료",수납!$E271=""),N(수납!$F271),0)</f>
        <v/>
      </c>
      <c r="E271">
        <f>IF(원생!$A271="","",원생!$A271&amp;"|"&amp;원생!$G271)</f>
        <v/>
      </c>
    </row>
    <row r="272">
      <c r="A272">
        <f>IF(수납!$C272="","",수납!$C272&amp;"|"&amp;IF(수납!$D272&lt;&gt;"",수납!$D272,IF(COUNTIF(원생!$A$2:$A$501,수납!$C272)=1,INDEX(원생!$G$2:$G$501,MATCH(수납!$C272,원생!$A$2:$A$501,0))&amp;"","")))</f>
        <v/>
      </c>
      <c r="B272">
        <f>IFERROR(IF(수납!$B272="",YEAR(수납!$A272)*100+MONTH(수납!$A272),IF(ISNUMBER(수납!$B272),YEAR(수납!$B272)*100+MONTH(수납!$B272),VALUE(LEFT(수납!$B272,4))*100+VALUE(MID(수납!$B272,6,2)))),"")</f>
        <v/>
      </c>
      <c r="C272">
        <f>IF(OR(수납!$E272="수강료",수납!$E272=""),N(수납!$F272),0)</f>
        <v/>
      </c>
      <c r="E272">
        <f>IF(원생!$A272="","",원생!$A272&amp;"|"&amp;원생!$G272)</f>
        <v/>
      </c>
    </row>
    <row r="273">
      <c r="A273">
        <f>IF(수납!$C273="","",수납!$C273&amp;"|"&amp;IF(수납!$D273&lt;&gt;"",수납!$D273,IF(COUNTIF(원생!$A$2:$A$501,수납!$C273)=1,INDEX(원생!$G$2:$G$501,MATCH(수납!$C273,원생!$A$2:$A$501,0))&amp;"","")))</f>
        <v/>
      </c>
      <c r="B273">
        <f>IFERROR(IF(수납!$B273="",YEAR(수납!$A273)*100+MONTH(수납!$A273),IF(ISNUMBER(수납!$B273),YEAR(수납!$B273)*100+MONTH(수납!$B273),VALUE(LEFT(수납!$B273,4))*100+VALUE(MID(수납!$B273,6,2)))),"")</f>
        <v/>
      </c>
      <c r="C273">
        <f>IF(OR(수납!$E273="수강료",수납!$E273=""),N(수납!$F273),0)</f>
        <v/>
      </c>
      <c r="E273">
        <f>IF(원생!$A273="","",원생!$A273&amp;"|"&amp;원생!$G273)</f>
        <v/>
      </c>
    </row>
    <row r="274">
      <c r="A274">
        <f>IF(수납!$C274="","",수납!$C274&amp;"|"&amp;IF(수납!$D274&lt;&gt;"",수납!$D274,IF(COUNTIF(원생!$A$2:$A$501,수납!$C274)=1,INDEX(원생!$G$2:$G$501,MATCH(수납!$C274,원생!$A$2:$A$501,0))&amp;"","")))</f>
        <v/>
      </c>
      <c r="B274">
        <f>IFERROR(IF(수납!$B274="",YEAR(수납!$A274)*100+MONTH(수납!$A274),IF(ISNUMBER(수납!$B274),YEAR(수납!$B274)*100+MONTH(수납!$B274),VALUE(LEFT(수납!$B274,4))*100+VALUE(MID(수납!$B274,6,2)))),"")</f>
        <v/>
      </c>
      <c r="C274">
        <f>IF(OR(수납!$E274="수강료",수납!$E274=""),N(수납!$F274),0)</f>
        <v/>
      </c>
      <c r="E274">
        <f>IF(원생!$A274="","",원생!$A274&amp;"|"&amp;원생!$G274)</f>
        <v/>
      </c>
    </row>
    <row r="275">
      <c r="A275">
        <f>IF(수납!$C275="","",수납!$C275&amp;"|"&amp;IF(수납!$D275&lt;&gt;"",수납!$D275,IF(COUNTIF(원생!$A$2:$A$501,수납!$C275)=1,INDEX(원생!$G$2:$G$501,MATCH(수납!$C275,원생!$A$2:$A$501,0))&amp;"","")))</f>
        <v/>
      </c>
      <c r="B275">
        <f>IFERROR(IF(수납!$B275="",YEAR(수납!$A275)*100+MONTH(수납!$A275),IF(ISNUMBER(수납!$B275),YEAR(수납!$B275)*100+MONTH(수납!$B275),VALUE(LEFT(수납!$B275,4))*100+VALUE(MID(수납!$B275,6,2)))),"")</f>
        <v/>
      </c>
      <c r="C275">
        <f>IF(OR(수납!$E275="수강료",수납!$E275=""),N(수납!$F275),0)</f>
        <v/>
      </c>
      <c r="E275">
        <f>IF(원생!$A275="","",원생!$A275&amp;"|"&amp;원생!$G275)</f>
        <v/>
      </c>
    </row>
    <row r="276">
      <c r="A276">
        <f>IF(수납!$C276="","",수납!$C276&amp;"|"&amp;IF(수납!$D276&lt;&gt;"",수납!$D276,IF(COUNTIF(원생!$A$2:$A$501,수납!$C276)=1,INDEX(원생!$G$2:$G$501,MATCH(수납!$C276,원생!$A$2:$A$501,0))&amp;"","")))</f>
        <v/>
      </c>
      <c r="B276">
        <f>IFERROR(IF(수납!$B276="",YEAR(수납!$A276)*100+MONTH(수납!$A276),IF(ISNUMBER(수납!$B276),YEAR(수납!$B276)*100+MONTH(수납!$B276),VALUE(LEFT(수납!$B276,4))*100+VALUE(MID(수납!$B276,6,2)))),"")</f>
        <v/>
      </c>
      <c r="C276">
        <f>IF(OR(수납!$E276="수강료",수납!$E276=""),N(수납!$F276),0)</f>
        <v/>
      </c>
      <c r="E276">
        <f>IF(원생!$A276="","",원생!$A276&amp;"|"&amp;원생!$G276)</f>
        <v/>
      </c>
    </row>
    <row r="277">
      <c r="A277">
        <f>IF(수납!$C277="","",수납!$C277&amp;"|"&amp;IF(수납!$D277&lt;&gt;"",수납!$D277,IF(COUNTIF(원생!$A$2:$A$501,수납!$C277)=1,INDEX(원생!$G$2:$G$501,MATCH(수납!$C277,원생!$A$2:$A$501,0))&amp;"","")))</f>
        <v/>
      </c>
      <c r="B277">
        <f>IFERROR(IF(수납!$B277="",YEAR(수납!$A277)*100+MONTH(수납!$A277),IF(ISNUMBER(수납!$B277),YEAR(수납!$B277)*100+MONTH(수납!$B277),VALUE(LEFT(수납!$B277,4))*100+VALUE(MID(수납!$B277,6,2)))),"")</f>
        <v/>
      </c>
      <c r="C277">
        <f>IF(OR(수납!$E277="수강료",수납!$E277=""),N(수납!$F277),0)</f>
        <v/>
      </c>
      <c r="E277">
        <f>IF(원생!$A277="","",원생!$A277&amp;"|"&amp;원생!$G277)</f>
        <v/>
      </c>
    </row>
    <row r="278">
      <c r="A278">
        <f>IF(수납!$C278="","",수납!$C278&amp;"|"&amp;IF(수납!$D278&lt;&gt;"",수납!$D278,IF(COUNTIF(원생!$A$2:$A$501,수납!$C278)=1,INDEX(원생!$G$2:$G$501,MATCH(수납!$C278,원생!$A$2:$A$501,0))&amp;"","")))</f>
        <v/>
      </c>
      <c r="B278">
        <f>IFERROR(IF(수납!$B278="",YEAR(수납!$A278)*100+MONTH(수납!$A278),IF(ISNUMBER(수납!$B278),YEAR(수납!$B278)*100+MONTH(수납!$B278),VALUE(LEFT(수납!$B278,4))*100+VALUE(MID(수납!$B278,6,2)))),"")</f>
        <v/>
      </c>
      <c r="C278">
        <f>IF(OR(수납!$E278="수강료",수납!$E278=""),N(수납!$F278),0)</f>
        <v/>
      </c>
      <c r="E278">
        <f>IF(원생!$A278="","",원생!$A278&amp;"|"&amp;원생!$G278)</f>
        <v/>
      </c>
    </row>
    <row r="279">
      <c r="A279">
        <f>IF(수납!$C279="","",수납!$C279&amp;"|"&amp;IF(수납!$D279&lt;&gt;"",수납!$D279,IF(COUNTIF(원생!$A$2:$A$501,수납!$C279)=1,INDEX(원생!$G$2:$G$501,MATCH(수납!$C279,원생!$A$2:$A$501,0))&amp;"","")))</f>
        <v/>
      </c>
      <c r="B279">
        <f>IFERROR(IF(수납!$B279="",YEAR(수납!$A279)*100+MONTH(수납!$A279),IF(ISNUMBER(수납!$B279),YEAR(수납!$B279)*100+MONTH(수납!$B279),VALUE(LEFT(수납!$B279,4))*100+VALUE(MID(수납!$B279,6,2)))),"")</f>
        <v/>
      </c>
      <c r="C279">
        <f>IF(OR(수납!$E279="수강료",수납!$E279=""),N(수납!$F279),0)</f>
        <v/>
      </c>
      <c r="E279">
        <f>IF(원생!$A279="","",원생!$A279&amp;"|"&amp;원생!$G279)</f>
        <v/>
      </c>
    </row>
    <row r="280">
      <c r="A280">
        <f>IF(수납!$C280="","",수납!$C280&amp;"|"&amp;IF(수납!$D280&lt;&gt;"",수납!$D280,IF(COUNTIF(원생!$A$2:$A$501,수납!$C280)=1,INDEX(원생!$G$2:$G$501,MATCH(수납!$C280,원생!$A$2:$A$501,0))&amp;"","")))</f>
        <v/>
      </c>
      <c r="B280">
        <f>IFERROR(IF(수납!$B280="",YEAR(수납!$A280)*100+MONTH(수납!$A280),IF(ISNUMBER(수납!$B280),YEAR(수납!$B280)*100+MONTH(수납!$B280),VALUE(LEFT(수납!$B280,4))*100+VALUE(MID(수납!$B280,6,2)))),"")</f>
        <v/>
      </c>
      <c r="C280">
        <f>IF(OR(수납!$E280="수강료",수납!$E280=""),N(수납!$F280),0)</f>
        <v/>
      </c>
      <c r="E280">
        <f>IF(원생!$A280="","",원생!$A280&amp;"|"&amp;원생!$G280)</f>
        <v/>
      </c>
    </row>
    <row r="281">
      <c r="A281">
        <f>IF(수납!$C281="","",수납!$C281&amp;"|"&amp;IF(수납!$D281&lt;&gt;"",수납!$D281,IF(COUNTIF(원생!$A$2:$A$501,수납!$C281)=1,INDEX(원생!$G$2:$G$501,MATCH(수납!$C281,원생!$A$2:$A$501,0))&amp;"","")))</f>
        <v/>
      </c>
      <c r="B281">
        <f>IFERROR(IF(수납!$B281="",YEAR(수납!$A281)*100+MONTH(수납!$A281),IF(ISNUMBER(수납!$B281),YEAR(수납!$B281)*100+MONTH(수납!$B281),VALUE(LEFT(수납!$B281,4))*100+VALUE(MID(수납!$B281,6,2)))),"")</f>
        <v/>
      </c>
      <c r="C281">
        <f>IF(OR(수납!$E281="수강료",수납!$E281=""),N(수납!$F281),0)</f>
        <v/>
      </c>
      <c r="E281">
        <f>IF(원생!$A281="","",원생!$A281&amp;"|"&amp;원생!$G281)</f>
        <v/>
      </c>
    </row>
    <row r="282">
      <c r="A282">
        <f>IF(수납!$C282="","",수납!$C282&amp;"|"&amp;IF(수납!$D282&lt;&gt;"",수납!$D282,IF(COUNTIF(원생!$A$2:$A$501,수납!$C282)=1,INDEX(원생!$G$2:$G$501,MATCH(수납!$C282,원생!$A$2:$A$501,0))&amp;"","")))</f>
        <v/>
      </c>
      <c r="B282">
        <f>IFERROR(IF(수납!$B282="",YEAR(수납!$A282)*100+MONTH(수납!$A282),IF(ISNUMBER(수납!$B282),YEAR(수납!$B282)*100+MONTH(수납!$B282),VALUE(LEFT(수납!$B282,4))*100+VALUE(MID(수납!$B282,6,2)))),"")</f>
        <v/>
      </c>
      <c r="C282">
        <f>IF(OR(수납!$E282="수강료",수납!$E282=""),N(수납!$F282),0)</f>
        <v/>
      </c>
      <c r="E282">
        <f>IF(원생!$A282="","",원생!$A282&amp;"|"&amp;원생!$G282)</f>
        <v/>
      </c>
    </row>
    <row r="283">
      <c r="A283">
        <f>IF(수납!$C283="","",수납!$C283&amp;"|"&amp;IF(수납!$D283&lt;&gt;"",수납!$D283,IF(COUNTIF(원생!$A$2:$A$501,수납!$C283)=1,INDEX(원생!$G$2:$G$501,MATCH(수납!$C283,원생!$A$2:$A$501,0))&amp;"","")))</f>
        <v/>
      </c>
      <c r="B283">
        <f>IFERROR(IF(수납!$B283="",YEAR(수납!$A283)*100+MONTH(수납!$A283),IF(ISNUMBER(수납!$B283),YEAR(수납!$B283)*100+MONTH(수납!$B283),VALUE(LEFT(수납!$B283,4))*100+VALUE(MID(수납!$B283,6,2)))),"")</f>
        <v/>
      </c>
      <c r="C283">
        <f>IF(OR(수납!$E283="수강료",수납!$E283=""),N(수납!$F283),0)</f>
        <v/>
      </c>
      <c r="E283">
        <f>IF(원생!$A283="","",원생!$A283&amp;"|"&amp;원생!$G283)</f>
        <v/>
      </c>
    </row>
    <row r="284">
      <c r="A284">
        <f>IF(수납!$C284="","",수납!$C284&amp;"|"&amp;IF(수납!$D284&lt;&gt;"",수납!$D284,IF(COUNTIF(원생!$A$2:$A$501,수납!$C284)=1,INDEX(원생!$G$2:$G$501,MATCH(수납!$C284,원생!$A$2:$A$501,0))&amp;"","")))</f>
        <v/>
      </c>
      <c r="B284">
        <f>IFERROR(IF(수납!$B284="",YEAR(수납!$A284)*100+MONTH(수납!$A284),IF(ISNUMBER(수납!$B284),YEAR(수납!$B284)*100+MONTH(수납!$B284),VALUE(LEFT(수납!$B284,4))*100+VALUE(MID(수납!$B284,6,2)))),"")</f>
        <v/>
      </c>
      <c r="C284">
        <f>IF(OR(수납!$E284="수강료",수납!$E284=""),N(수납!$F284),0)</f>
        <v/>
      </c>
      <c r="E284">
        <f>IF(원생!$A284="","",원생!$A284&amp;"|"&amp;원생!$G284)</f>
        <v/>
      </c>
    </row>
    <row r="285">
      <c r="A285">
        <f>IF(수납!$C285="","",수납!$C285&amp;"|"&amp;IF(수납!$D285&lt;&gt;"",수납!$D285,IF(COUNTIF(원생!$A$2:$A$501,수납!$C285)=1,INDEX(원생!$G$2:$G$501,MATCH(수납!$C285,원생!$A$2:$A$501,0))&amp;"","")))</f>
        <v/>
      </c>
      <c r="B285">
        <f>IFERROR(IF(수납!$B285="",YEAR(수납!$A285)*100+MONTH(수납!$A285),IF(ISNUMBER(수납!$B285),YEAR(수납!$B285)*100+MONTH(수납!$B285),VALUE(LEFT(수납!$B285,4))*100+VALUE(MID(수납!$B285,6,2)))),"")</f>
        <v/>
      </c>
      <c r="C285">
        <f>IF(OR(수납!$E285="수강료",수납!$E285=""),N(수납!$F285),0)</f>
        <v/>
      </c>
      <c r="E285">
        <f>IF(원생!$A285="","",원생!$A285&amp;"|"&amp;원생!$G285)</f>
        <v/>
      </c>
    </row>
    <row r="286">
      <c r="A286">
        <f>IF(수납!$C286="","",수납!$C286&amp;"|"&amp;IF(수납!$D286&lt;&gt;"",수납!$D286,IF(COUNTIF(원생!$A$2:$A$501,수납!$C286)=1,INDEX(원생!$G$2:$G$501,MATCH(수납!$C286,원생!$A$2:$A$501,0))&amp;"","")))</f>
        <v/>
      </c>
      <c r="B286">
        <f>IFERROR(IF(수납!$B286="",YEAR(수납!$A286)*100+MONTH(수납!$A286),IF(ISNUMBER(수납!$B286),YEAR(수납!$B286)*100+MONTH(수납!$B286),VALUE(LEFT(수납!$B286,4))*100+VALUE(MID(수납!$B286,6,2)))),"")</f>
        <v/>
      </c>
      <c r="C286">
        <f>IF(OR(수납!$E286="수강료",수납!$E286=""),N(수납!$F286),0)</f>
        <v/>
      </c>
      <c r="E286">
        <f>IF(원생!$A286="","",원생!$A286&amp;"|"&amp;원생!$G286)</f>
        <v/>
      </c>
    </row>
    <row r="287">
      <c r="A287">
        <f>IF(수납!$C287="","",수납!$C287&amp;"|"&amp;IF(수납!$D287&lt;&gt;"",수납!$D287,IF(COUNTIF(원생!$A$2:$A$501,수납!$C287)=1,INDEX(원생!$G$2:$G$501,MATCH(수납!$C287,원생!$A$2:$A$501,0))&amp;"","")))</f>
        <v/>
      </c>
      <c r="B287">
        <f>IFERROR(IF(수납!$B287="",YEAR(수납!$A287)*100+MONTH(수납!$A287),IF(ISNUMBER(수납!$B287),YEAR(수납!$B287)*100+MONTH(수납!$B287),VALUE(LEFT(수납!$B287,4))*100+VALUE(MID(수납!$B287,6,2)))),"")</f>
        <v/>
      </c>
      <c r="C287">
        <f>IF(OR(수납!$E287="수강료",수납!$E287=""),N(수납!$F287),0)</f>
        <v/>
      </c>
      <c r="E287">
        <f>IF(원생!$A287="","",원생!$A287&amp;"|"&amp;원생!$G287)</f>
        <v/>
      </c>
    </row>
    <row r="288">
      <c r="A288">
        <f>IF(수납!$C288="","",수납!$C288&amp;"|"&amp;IF(수납!$D288&lt;&gt;"",수납!$D288,IF(COUNTIF(원생!$A$2:$A$501,수납!$C288)=1,INDEX(원생!$G$2:$G$501,MATCH(수납!$C288,원생!$A$2:$A$501,0))&amp;"","")))</f>
        <v/>
      </c>
      <c r="B288">
        <f>IFERROR(IF(수납!$B288="",YEAR(수납!$A288)*100+MONTH(수납!$A288),IF(ISNUMBER(수납!$B288),YEAR(수납!$B288)*100+MONTH(수납!$B288),VALUE(LEFT(수납!$B288,4))*100+VALUE(MID(수납!$B288,6,2)))),"")</f>
        <v/>
      </c>
      <c r="C288">
        <f>IF(OR(수납!$E288="수강료",수납!$E288=""),N(수납!$F288),0)</f>
        <v/>
      </c>
      <c r="E288">
        <f>IF(원생!$A288="","",원생!$A288&amp;"|"&amp;원생!$G288)</f>
        <v/>
      </c>
    </row>
    <row r="289">
      <c r="A289">
        <f>IF(수납!$C289="","",수납!$C289&amp;"|"&amp;IF(수납!$D289&lt;&gt;"",수납!$D289,IF(COUNTIF(원생!$A$2:$A$501,수납!$C289)=1,INDEX(원생!$G$2:$G$501,MATCH(수납!$C289,원생!$A$2:$A$501,0))&amp;"","")))</f>
        <v/>
      </c>
      <c r="B289">
        <f>IFERROR(IF(수납!$B289="",YEAR(수납!$A289)*100+MONTH(수납!$A289),IF(ISNUMBER(수납!$B289),YEAR(수납!$B289)*100+MONTH(수납!$B289),VALUE(LEFT(수납!$B289,4))*100+VALUE(MID(수납!$B289,6,2)))),"")</f>
        <v/>
      </c>
      <c r="C289">
        <f>IF(OR(수납!$E289="수강료",수납!$E289=""),N(수납!$F289),0)</f>
        <v/>
      </c>
      <c r="E289">
        <f>IF(원생!$A289="","",원생!$A289&amp;"|"&amp;원생!$G289)</f>
        <v/>
      </c>
    </row>
    <row r="290">
      <c r="A290">
        <f>IF(수납!$C290="","",수납!$C290&amp;"|"&amp;IF(수납!$D290&lt;&gt;"",수납!$D290,IF(COUNTIF(원생!$A$2:$A$501,수납!$C290)=1,INDEX(원생!$G$2:$G$501,MATCH(수납!$C290,원생!$A$2:$A$501,0))&amp;"","")))</f>
        <v/>
      </c>
      <c r="B290">
        <f>IFERROR(IF(수납!$B290="",YEAR(수납!$A290)*100+MONTH(수납!$A290),IF(ISNUMBER(수납!$B290),YEAR(수납!$B290)*100+MONTH(수납!$B290),VALUE(LEFT(수납!$B290,4))*100+VALUE(MID(수납!$B290,6,2)))),"")</f>
        <v/>
      </c>
      <c r="C290">
        <f>IF(OR(수납!$E290="수강료",수납!$E290=""),N(수납!$F290),0)</f>
        <v/>
      </c>
      <c r="E290">
        <f>IF(원생!$A290="","",원생!$A290&amp;"|"&amp;원생!$G290)</f>
        <v/>
      </c>
    </row>
    <row r="291">
      <c r="A291">
        <f>IF(수납!$C291="","",수납!$C291&amp;"|"&amp;IF(수납!$D291&lt;&gt;"",수납!$D291,IF(COUNTIF(원생!$A$2:$A$501,수납!$C291)=1,INDEX(원생!$G$2:$G$501,MATCH(수납!$C291,원생!$A$2:$A$501,0))&amp;"","")))</f>
        <v/>
      </c>
      <c r="B291">
        <f>IFERROR(IF(수납!$B291="",YEAR(수납!$A291)*100+MONTH(수납!$A291),IF(ISNUMBER(수납!$B291),YEAR(수납!$B291)*100+MONTH(수납!$B291),VALUE(LEFT(수납!$B291,4))*100+VALUE(MID(수납!$B291,6,2)))),"")</f>
        <v/>
      </c>
      <c r="C291">
        <f>IF(OR(수납!$E291="수강료",수납!$E291=""),N(수납!$F291),0)</f>
        <v/>
      </c>
      <c r="E291">
        <f>IF(원생!$A291="","",원생!$A291&amp;"|"&amp;원생!$G291)</f>
        <v/>
      </c>
    </row>
    <row r="292">
      <c r="A292">
        <f>IF(수납!$C292="","",수납!$C292&amp;"|"&amp;IF(수납!$D292&lt;&gt;"",수납!$D292,IF(COUNTIF(원생!$A$2:$A$501,수납!$C292)=1,INDEX(원생!$G$2:$G$501,MATCH(수납!$C292,원생!$A$2:$A$501,0))&amp;"","")))</f>
        <v/>
      </c>
      <c r="B292">
        <f>IFERROR(IF(수납!$B292="",YEAR(수납!$A292)*100+MONTH(수납!$A292),IF(ISNUMBER(수납!$B292),YEAR(수납!$B292)*100+MONTH(수납!$B292),VALUE(LEFT(수납!$B292,4))*100+VALUE(MID(수납!$B292,6,2)))),"")</f>
        <v/>
      </c>
      <c r="C292">
        <f>IF(OR(수납!$E292="수강료",수납!$E292=""),N(수납!$F292),0)</f>
        <v/>
      </c>
      <c r="E292">
        <f>IF(원생!$A292="","",원생!$A292&amp;"|"&amp;원생!$G292)</f>
        <v/>
      </c>
    </row>
    <row r="293">
      <c r="A293">
        <f>IF(수납!$C293="","",수납!$C293&amp;"|"&amp;IF(수납!$D293&lt;&gt;"",수납!$D293,IF(COUNTIF(원생!$A$2:$A$501,수납!$C293)=1,INDEX(원생!$G$2:$G$501,MATCH(수납!$C293,원생!$A$2:$A$501,0))&amp;"","")))</f>
        <v/>
      </c>
      <c r="B293">
        <f>IFERROR(IF(수납!$B293="",YEAR(수납!$A293)*100+MONTH(수납!$A293),IF(ISNUMBER(수납!$B293),YEAR(수납!$B293)*100+MONTH(수납!$B293),VALUE(LEFT(수납!$B293,4))*100+VALUE(MID(수납!$B293,6,2)))),"")</f>
        <v/>
      </c>
      <c r="C293">
        <f>IF(OR(수납!$E293="수강료",수납!$E293=""),N(수납!$F293),0)</f>
        <v/>
      </c>
      <c r="E293">
        <f>IF(원생!$A293="","",원생!$A293&amp;"|"&amp;원생!$G293)</f>
        <v/>
      </c>
    </row>
    <row r="294">
      <c r="A294">
        <f>IF(수납!$C294="","",수납!$C294&amp;"|"&amp;IF(수납!$D294&lt;&gt;"",수납!$D294,IF(COUNTIF(원생!$A$2:$A$501,수납!$C294)=1,INDEX(원생!$G$2:$G$501,MATCH(수납!$C294,원생!$A$2:$A$501,0))&amp;"","")))</f>
        <v/>
      </c>
      <c r="B294">
        <f>IFERROR(IF(수납!$B294="",YEAR(수납!$A294)*100+MONTH(수납!$A294),IF(ISNUMBER(수납!$B294),YEAR(수납!$B294)*100+MONTH(수납!$B294),VALUE(LEFT(수납!$B294,4))*100+VALUE(MID(수납!$B294,6,2)))),"")</f>
        <v/>
      </c>
      <c r="C294">
        <f>IF(OR(수납!$E294="수강료",수납!$E294=""),N(수납!$F294),0)</f>
        <v/>
      </c>
      <c r="E294">
        <f>IF(원생!$A294="","",원생!$A294&amp;"|"&amp;원생!$G294)</f>
        <v/>
      </c>
    </row>
    <row r="295">
      <c r="A295">
        <f>IF(수납!$C295="","",수납!$C295&amp;"|"&amp;IF(수납!$D295&lt;&gt;"",수납!$D295,IF(COUNTIF(원생!$A$2:$A$501,수납!$C295)=1,INDEX(원생!$G$2:$G$501,MATCH(수납!$C295,원생!$A$2:$A$501,0))&amp;"","")))</f>
        <v/>
      </c>
      <c r="B295">
        <f>IFERROR(IF(수납!$B295="",YEAR(수납!$A295)*100+MONTH(수납!$A295),IF(ISNUMBER(수납!$B295),YEAR(수납!$B295)*100+MONTH(수납!$B295),VALUE(LEFT(수납!$B295,4))*100+VALUE(MID(수납!$B295,6,2)))),"")</f>
        <v/>
      </c>
      <c r="C295">
        <f>IF(OR(수납!$E295="수강료",수납!$E295=""),N(수납!$F295),0)</f>
        <v/>
      </c>
      <c r="E295">
        <f>IF(원생!$A295="","",원생!$A295&amp;"|"&amp;원생!$G295)</f>
        <v/>
      </c>
    </row>
    <row r="296">
      <c r="A296">
        <f>IF(수납!$C296="","",수납!$C296&amp;"|"&amp;IF(수납!$D296&lt;&gt;"",수납!$D296,IF(COUNTIF(원생!$A$2:$A$501,수납!$C296)=1,INDEX(원생!$G$2:$G$501,MATCH(수납!$C296,원생!$A$2:$A$501,0))&amp;"","")))</f>
        <v/>
      </c>
      <c r="B296">
        <f>IFERROR(IF(수납!$B296="",YEAR(수납!$A296)*100+MONTH(수납!$A296),IF(ISNUMBER(수납!$B296),YEAR(수납!$B296)*100+MONTH(수납!$B296),VALUE(LEFT(수납!$B296,4))*100+VALUE(MID(수납!$B296,6,2)))),"")</f>
        <v/>
      </c>
      <c r="C296">
        <f>IF(OR(수납!$E296="수강료",수납!$E296=""),N(수납!$F296),0)</f>
        <v/>
      </c>
      <c r="E296">
        <f>IF(원생!$A296="","",원생!$A296&amp;"|"&amp;원생!$G296)</f>
        <v/>
      </c>
    </row>
    <row r="297">
      <c r="A297">
        <f>IF(수납!$C297="","",수납!$C297&amp;"|"&amp;IF(수납!$D297&lt;&gt;"",수납!$D297,IF(COUNTIF(원생!$A$2:$A$501,수납!$C297)=1,INDEX(원생!$G$2:$G$501,MATCH(수납!$C297,원생!$A$2:$A$501,0))&amp;"","")))</f>
        <v/>
      </c>
      <c r="B297">
        <f>IFERROR(IF(수납!$B297="",YEAR(수납!$A297)*100+MONTH(수납!$A297),IF(ISNUMBER(수납!$B297),YEAR(수납!$B297)*100+MONTH(수납!$B297),VALUE(LEFT(수납!$B297,4))*100+VALUE(MID(수납!$B297,6,2)))),"")</f>
        <v/>
      </c>
      <c r="C297">
        <f>IF(OR(수납!$E297="수강료",수납!$E297=""),N(수납!$F297),0)</f>
        <v/>
      </c>
      <c r="E297">
        <f>IF(원생!$A297="","",원생!$A297&amp;"|"&amp;원생!$G297)</f>
        <v/>
      </c>
    </row>
    <row r="298">
      <c r="A298">
        <f>IF(수납!$C298="","",수납!$C298&amp;"|"&amp;IF(수납!$D298&lt;&gt;"",수납!$D298,IF(COUNTIF(원생!$A$2:$A$501,수납!$C298)=1,INDEX(원생!$G$2:$G$501,MATCH(수납!$C298,원생!$A$2:$A$501,0))&amp;"","")))</f>
        <v/>
      </c>
      <c r="B298">
        <f>IFERROR(IF(수납!$B298="",YEAR(수납!$A298)*100+MONTH(수납!$A298),IF(ISNUMBER(수납!$B298),YEAR(수납!$B298)*100+MONTH(수납!$B298),VALUE(LEFT(수납!$B298,4))*100+VALUE(MID(수납!$B298,6,2)))),"")</f>
        <v/>
      </c>
      <c r="C298">
        <f>IF(OR(수납!$E298="수강료",수납!$E298=""),N(수납!$F298),0)</f>
        <v/>
      </c>
      <c r="E298">
        <f>IF(원생!$A298="","",원생!$A298&amp;"|"&amp;원생!$G298)</f>
        <v/>
      </c>
    </row>
    <row r="299">
      <c r="A299">
        <f>IF(수납!$C299="","",수납!$C299&amp;"|"&amp;IF(수납!$D299&lt;&gt;"",수납!$D299,IF(COUNTIF(원생!$A$2:$A$501,수납!$C299)=1,INDEX(원생!$G$2:$G$501,MATCH(수납!$C299,원생!$A$2:$A$501,0))&amp;"","")))</f>
        <v/>
      </c>
      <c r="B299">
        <f>IFERROR(IF(수납!$B299="",YEAR(수납!$A299)*100+MONTH(수납!$A299),IF(ISNUMBER(수납!$B299),YEAR(수납!$B299)*100+MONTH(수납!$B299),VALUE(LEFT(수납!$B299,4))*100+VALUE(MID(수납!$B299,6,2)))),"")</f>
        <v/>
      </c>
      <c r="C299">
        <f>IF(OR(수납!$E299="수강료",수납!$E299=""),N(수납!$F299),0)</f>
        <v/>
      </c>
      <c r="E299">
        <f>IF(원생!$A299="","",원생!$A299&amp;"|"&amp;원생!$G299)</f>
        <v/>
      </c>
    </row>
    <row r="300">
      <c r="A300">
        <f>IF(수납!$C300="","",수납!$C300&amp;"|"&amp;IF(수납!$D300&lt;&gt;"",수납!$D300,IF(COUNTIF(원생!$A$2:$A$501,수납!$C300)=1,INDEX(원생!$G$2:$G$501,MATCH(수납!$C300,원생!$A$2:$A$501,0))&amp;"","")))</f>
        <v/>
      </c>
      <c r="B300">
        <f>IFERROR(IF(수납!$B300="",YEAR(수납!$A300)*100+MONTH(수납!$A300),IF(ISNUMBER(수납!$B300),YEAR(수납!$B300)*100+MONTH(수납!$B300),VALUE(LEFT(수납!$B300,4))*100+VALUE(MID(수납!$B300,6,2)))),"")</f>
        <v/>
      </c>
      <c r="C300">
        <f>IF(OR(수납!$E300="수강료",수납!$E300=""),N(수납!$F300),0)</f>
        <v/>
      </c>
      <c r="E300">
        <f>IF(원생!$A300="","",원생!$A300&amp;"|"&amp;원생!$G300)</f>
        <v/>
      </c>
    </row>
    <row r="301">
      <c r="A301">
        <f>IF(수납!$C301="","",수납!$C301&amp;"|"&amp;IF(수납!$D301&lt;&gt;"",수납!$D301,IF(COUNTIF(원생!$A$2:$A$501,수납!$C301)=1,INDEX(원생!$G$2:$G$501,MATCH(수납!$C301,원생!$A$2:$A$501,0))&amp;"","")))</f>
        <v/>
      </c>
      <c r="B301">
        <f>IFERROR(IF(수납!$B301="",YEAR(수납!$A301)*100+MONTH(수납!$A301),IF(ISNUMBER(수납!$B301),YEAR(수납!$B301)*100+MONTH(수납!$B301),VALUE(LEFT(수납!$B301,4))*100+VALUE(MID(수납!$B301,6,2)))),"")</f>
        <v/>
      </c>
      <c r="C301">
        <f>IF(OR(수납!$E301="수강료",수납!$E301=""),N(수납!$F301),0)</f>
        <v/>
      </c>
      <c r="E301">
        <f>IF(원생!$A301="","",원생!$A301&amp;"|"&amp;원생!$G301)</f>
        <v/>
      </c>
    </row>
    <row r="302">
      <c r="A302">
        <f>IF(수납!$C302="","",수납!$C302&amp;"|"&amp;IF(수납!$D302&lt;&gt;"",수납!$D302,IF(COUNTIF(원생!$A$2:$A$501,수납!$C302)=1,INDEX(원생!$G$2:$G$501,MATCH(수납!$C302,원생!$A$2:$A$501,0))&amp;"","")))</f>
        <v/>
      </c>
      <c r="B302">
        <f>IFERROR(IF(수납!$B302="",YEAR(수납!$A302)*100+MONTH(수납!$A302),IF(ISNUMBER(수납!$B302),YEAR(수납!$B302)*100+MONTH(수납!$B302),VALUE(LEFT(수납!$B302,4))*100+VALUE(MID(수납!$B302,6,2)))),"")</f>
        <v/>
      </c>
      <c r="C302">
        <f>IF(OR(수납!$E302="수강료",수납!$E302=""),N(수납!$F302),0)</f>
        <v/>
      </c>
      <c r="E302">
        <f>IF(원생!$A302="","",원생!$A302&amp;"|"&amp;원생!$G302)</f>
        <v/>
      </c>
    </row>
    <row r="303">
      <c r="A303">
        <f>IF(수납!$C303="","",수납!$C303&amp;"|"&amp;IF(수납!$D303&lt;&gt;"",수납!$D303,IF(COUNTIF(원생!$A$2:$A$501,수납!$C303)=1,INDEX(원생!$G$2:$G$501,MATCH(수납!$C303,원생!$A$2:$A$501,0))&amp;"","")))</f>
        <v/>
      </c>
      <c r="B303">
        <f>IFERROR(IF(수납!$B303="",YEAR(수납!$A303)*100+MONTH(수납!$A303),IF(ISNUMBER(수납!$B303),YEAR(수납!$B303)*100+MONTH(수납!$B303),VALUE(LEFT(수납!$B303,4))*100+VALUE(MID(수납!$B303,6,2)))),"")</f>
        <v/>
      </c>
      <c r="C303">
        <f>IF(OR(수납!$E303="수강료",수납!$E303=""),N(수납!$F303),0)</f>
        <v/>
      </c>
      <c r="E303">
        <f>IF(원생!$A303="","",원생!$A303&amp;"|"&amp;원생!$G303)</f>
        <v/>
      </c>
    </row>
    <row r="304">
      <c r="A304">
        <f>IF(수납!$C304="","",수납!$C304&amp;"|"&amp;IF(수납!$D304&lt;&gt;"",수납!$D304,IF(COUNTIF(원생!$A$2:$A$501,수납!$C304)=1,INDEX(원생!$G$2:$G$501,MATCH(수납!$C304,원생!$A$2:$A$501,0))&amp;"","")))</f>
        <v/>
      </c>
      <c r="B304">
        <f>IFERROR(IF(수납!$B304="",YEAR(수납!$A304)*100+MONTH(수납!$A304),IF(ISNUMBER(수납!$B304),YEAR(수납!$B304)*100+MONTH(수납!$B304),VALUE(LEFT(수납!$B304,4))*100+VALUE(MID(수납!$B304,6,2)))),"")</f>
        <v/>
      </c>
      <c r="C304">
        <f>IF(OR(수납!$E304="수강료",수납!$E304=""),N(수납!$F304),0)</f>
        <v/>
      </c>
      <c r="E304">
        <f>IF(원생!$A304="","",원생!$A304&amp;"|"&amp;원생!$G304)</f>
        <v/>
      </c>
    </row>
    <row r="305">
      <c r="A305">
        <f>IF(수납!$C305="","",수납!$C305&amp;"|"&amp;IF(수납!$D305&lt;&gt;"",수납!$D305,IF(COUNTIF(원생!$A$2:$A$501,수납!$C305)=1,INDEX(원생!$G$2:$G$501,MATCH(수납!$C305,원생!$A$2:$A$501,0))&amp;"","")))</f>
        <v/>
      </c>
      <c r="B305">
        <f>IFERROR(IF(수납!$B305="",YEAR(수납!$A305)*100+MONTH(수납!$A305),IF(ISNUMBER(수납!$B305),YEAR(수납!$B305)*100+MONTH(수납!$B305),VALUE(LEFT(수납!$B305,4))*100+VALUE(MID(수납!$B305,6,2)))),"")</f>
        <v/>
      </c>
      <c r="C305">
        <f>IF(OR(수납!$E305="수강료",수납!$E305=""),N(수납!$F305),0)</f>
        <v/>
      </c>
      <c r="E305">
        <f>IF(원생!$A305="","",원생!$A305&amp;"|"&amp;원생!$G305)</f>
        <v/>
      </c>
    </row>
    <row r="306">
      <c r="A306">
        <f>IF(수납!$C306="","",수납!$C306&amp;"|"&amp;IF(수납!$D306&lt;&gt;"",수납!$D306,IF(COUNTIF(원생!$A$2:$A$501,수납!$C306)=1,INDEX(원생!$G$2:$G$501,MATCH(수납!$C306,원생!$A$2:$A$501,0))&amp;"","")))</f>
        <v/>
      </c>
      <c r="B306">
        <f>IFERROR(IF(수납!$B306="",YEAR(수납!$A306)*100+MONTH(수납!$A306),IF(ISNUMBER(수납!$B306),YEAR(수납!$B306)*100+MONTH(수납!$B306),VALUE(LEFT(수납!$B306,4))*100+VALUE(MID(수납!$B306,6,2)))),"")</f>
        <v/>
      </c>
      <c r="C306">
        <f>IF(OR(수납!$E306="수강료",수납!$E306=""),N(수납!$F306),0)</f>
        <v/>
      </c>
      <c r="E306">
        <f>IF(원생!$A306="","",원생!$A306&amp;"|"&amp;원생!$G306)</f>
        <v/>
      </c>
    </row>
    <row r="307">
      <c r="A307">
        <f>IF(수납!$C307="","",수납!$C307&amp;"|"&amp;IF(수납!$D307&lt;&gt;"",수납!$D307,IF(COUNTIF(원생!$A$2:$A$501,수납!$C307)=1,INDEX(원생!$G$2:$G$501,MATCH(수납!$C307,원생!$A$2:$A$501,0))&amp;"","")))</f>
        <v/>
      </c>
      <c r="B307">
        <f>IFERROR(IF(수납!$B307="",YEAR(수납!$A307)*100+MONTH(수납!$A307),IF(ISNUMBER(수납!$B307),YEAR(수납!$B307)*100+MONTH(수납!$B307),VALUE(LEFT(수납!$B307,4))*100+VALUE(MID(수납!$B307,6,2)))),"")</f>
        <v/>
      </c>
      <c r="C307">
        <f>IF(OR(수납!$E307="수강료",수납!$E307=""),N(수납!$F307),0)</f>
        <v/>
      </c>
      <c r="E307">
        <f>IF(원생!$A307="","",원생!$A307&amp;"|"&amp;원생!$G307)</f>
        <v/>
      </c>
    </row>
    <row r="308">
      <c r="A308">
        <f>IF(수납!$C308="","",수납!$C308&amp;"|"&amp;IF(수납!$D308&lt;&gt;"",수납!$D308,IF(COUNTIF(원생!$A$2:$A$501,수납!$C308)=1,INDEX(원생!$G$2:$G$501,MATCH(수납!$C308,원생!$A$2:$A$501,0))&amp;"","")))</f>
        <v/>
      </c>
      <c r="B308">
        <f>IFERROR(IF(수납!$B308="",YEAR(수납!$A308)*100+MONTH(수납!$A308),IF(ISNUMBER(수납!$B308),YEAR(수납!$B308)*100+MONTH(수납!$B308),VALUE(LEFT(수납!$B308,4))*100+VALUE(MID(수납!$B308,6,2)))),"")</f>
        <v/>
      </c>
      <c r="C308">
        <f>IF(OR(수납!$E308="수강료",수납!$E308=""),N(수납!$F308),0)</f>
        <v/>
      </c>
      <c r="E308">
        <f>IF(원생!$A308="","",원생!$A308&amp;"|"&amp;원생!$G308)</f>
        <v/>
      </c>
    </row>
    <row r="309">
      <c r="A309">
        <f>IF(수납!$C309="","",수납!$C309&amp;"|"&amp;IF(수납!$D309&lt;&gt;"",수납!$D309,IF(COUNTIF(원생!$A$2:$A$501,수납!$C309)=1,INDEX(원생!$G$2:$G$501,MATCH(수납!$C309,원생!$A$2:$A$501,0))&amp;"","")))</f>
        <v/>
      </c>
      <c r="B309">
        <f>IFERROR(IF(수납!$B309="",YEAR(수납!$A309)*100+MONTH(수납!$A309),IF(ISNUMBER(수납!$B309),YEAR(수납!$B309)*100+MONTH(수납!$B309),VALUE(LEFT(수납!$B309,4))*100+VALUE(MID(수납!$B309,6,2)))),"")</f>
        <v/>
      </c>
      <c r="C309">
        <f>IF(OR(수납!$E309="수강료",수납!$E309=""),N(수납!$F309),0)</f>
        <v/>
      </c>
      <c r="E309">
        <f>IF(원생!$A309="","",원생!$A309&amp;"|"&amp;원생!$G309)</f>
        <v/>
      </c>
    </row>
    <row r="310">
      <c r="A310">
        <f>IF(수납!$C310="","",수납!$C310&amp;"|"&amp;IF(수납!$D310&lt;&gt;"",수납!$D310,IF(COUNTIF(원생!$A$2:$A$501,수납!$C310)=1,INDEX(원생!$G$2:$G$501,MATCH(수납!$C310,원생!$A$2:$A$501,0))&amp;"","")))</f>
        <v/>
      </c>
      <c r="B310">
        <f>IFERROR(IF(수납!$B310="",YEAR(수납!$A310)*100+MONTH(수납!$A310),IF(ISNUMBER(수납!$B310),YEAR(수납!$B310)*100+MONTH(수납!$B310),VALUE(LEFT(수납!$B310,4))*100+VALUE(MID(수납!$B310,6,2)))),"")</f>
        <v/>
      </c>
      <c r="C310">
        <f>IF(OR(수납!$E310="수강료",수납!$E310=""),N(수납!$F310),0)</f>
        <v/>
      </c>
      <c r="E310">
        <f>IF(원생!$A310="","",원생!$A310&amp;"|"&amp;원생!$G310)</f>
        <v/>
      </c>
    </row>
    <row r="311">
      <c r="A311">
        <f>IF(수납!$C311="","",수납!$C311&amp;"|"&amp;IF(수납!$D311&lt;&gt;"",수납!$D311,IF(COUNTIF(원생!$A$2:$A$501,수납!$C311)=1,INDEX(원생!$G$2:$G$501,MATCH(수납!$C311,원생!$A$2:$A$501,0))&amp;"","")))</f>
        <v/>
      </c>
      <c r="B311">
        <f>IFERROR(IF(수납!$B311="",YEAR(수납!$A311)*100+MONTH(수납!$A311),IF(ISNUMBER(수납!$B311),YEAR(수납!$B311)*100+MONTH(수납!$B311),VALUE(LEFT(수납!$B311,4))*100+VALUE(MID(수납!$B311,6,2)))),"")</f>
        <v/>
      </c>
      <c r="C311">
        <f>IF(OR(수납!$E311="수강료",수납!$E311=""),N(수납!$F311),0)</f>
        <v/>
      </c>
      <c r="E311">
        <f>IF(원생!$A311="","",원생!$A311&amp;"|"&amp;원생!$G311)</f>
        <v/>
      </c>
    </row>
    <row r="312">
      <c r="A312">
        <f>IF(수납!$C312="","",수납!$C312&amp;"|"&amp;IF(수납!$D312&lt;&gt;"",수납!$D312,IF(COUNTIF(원생!$A$2:$A$501,수납!$C312)=1,INDEX(원생!$G$2:$G$501,MATCH(수납!$C312,원생!$A$2:$A$501,0))&amp;"","")))</f>
        <v/>
      </c>
      <c r="B312">
        <f>IFERROR(IF(수납!$B312="",YEAR(수납!$A312)*100+MONTH(수납!$A312),IF(ISNUMBER(수납!$B312),YEAR(수납!$B312)*100+MONTH(수납!$B312),VALUE(LEFT(수납!$B312,4))*100+VALUE(MID(수납!$B312,6,2)))),"")</f>
        <v/>
      </c>
      <c r="C312">
        <f>IF(OR(수납!$E312="수강료",수납!$E312=""),N(수납!$F312),0)</f>
        <v/>
      </c>
      <c r="E312">
        <f>IF(원생!$A312="","",원생!$A312&amp;"|"&amp;원생!$G312)</f>
        <v/>
      </c>
    </row>
    <row r="313">
      <c r="A313">
        <f>IF(수납!$C313="","",수납!$C313&amp;"|"&amp;IF(수납!$D313&lt;&gt;"",수납!$D313,IF(COUNTIF(원생!$A$2:$A$501,수납!$C313)=1,INDEX(원생!$G$2:$G$501,MATCH(수납!$C313,원생!$A$2:$A$501,0))&amp;"","")))</f>
        <v/>
      </c>
      <c r="B313">
        <f>IFERROR(IF(수납!$B313="",YEAR(수납!$A313)*100+MONTH(수납!$A313),IF(ISNUMBER(수납!$B313),YEAR(수납!$B313)*100+MONTH(수납!$B313),VALUE(LEFT(수납!$B313,4))*100+VALUE(MID(수납!$B313,6,2)))),"")</f>
        <v/>
      </c>
      <c r="C313">
        <f>IF(OR(수납!$E313="수강료",수납!$E313=""),N(수납!$F313),0)</f>
        <v/>
      </c>
      <c r="E313">
        <f>IF(원생!$A313="","",원생!$A313&amp;"|"&amp;원생!$G313)</f>
        <v/>
      </c>
    </row>
    <row r="314">
      <c r="A314">
        <f>IF(수납!$C314="","",수납!$C314&amp;"|"&amp;IF(수납!$D314&lt;&gt;"",수납!$D314,IF(COUNTIF(원생!$A$2:$A$501,수납!$C314)=1,INDEX(원생!$G$2:$G$501,MATCH(수납!$C314,원생!$A$2:$A$501,0))&amp;"","")))</f>
        <v/>
      </c>
      <c r="B314">
        <f>IFERROR(IF(수납!$B314="",YEAR(수납!$A314)*100+MONTH(수납!$A314),IF(ISNUMBER(수납!$B314),YEAR(수납!$B314)*100+MONTH(수납!$B314),VALUE(LEFT(수납!$B314,4))*100+VALUE(MID(수납!$B314,6,2)))),"")</f>
        <v/>
      </c>
      <c r="C314">
        <f>IF(OR(수납!$E314="수강료",수납!$E314=""),N(수납!$F314),0)</f>
        <v/>
      </c>
      <c r="E314">
        <f>IF(원생!$A314="","",원생!$A314&amp;"|"&amp;원생!$G314)</f>
        <v/>
      </c>
    </row>
    <row r="315">
      <c r="A315">
        <f>IF(수납!$C315="","",수납!$C315&amp;"|"&amp;IF(수납!$D315&lt;&gt;"",수납!$D315,IF(COUNTIF(원생!$A$2:$A$501,수납!$C315)=1,INDEX(원생!$G$2:$G$501,MATCH(수납!$C315,원생!$A$2:$A$501,0))&amp;"","")))</f>
        <v/>
      </c>
      <c r="B315">
        <f>IFERROR(IF(수납!$B315="",YEAR(수납!$A315)*100+MONTH(수납!$A315),IF(ISNUMBER(수납!$B315),YEAR(수납!$B315)*100+MONTH(수납!$B315),VALUE(LEFT(수납!$B315,4))*100+VALUE(MID(수납!$B315,6,2)))),"")</f>
        <v/>
      </c>
      <c r="C315">
        <f>IF(OR(수납!$E315="수강료",수납!$E315=""),N(수납!$F315),0)</f>
        <v/>
      </c>
      <c r="E315">
        <f>IF(원생!$A315="","",원생!$A315&amp;"|"&amp;원생!$G315)</f>
        <v/>
      </c>
    </row>
    <row r="316">
      <c r="A316">
        <f>IF(수납!$C316="","",수납!$C316&amp;"|"&amp;IF(수납!$D316&lt;&gt;"",수납!$D316,IF(COUNTIF(원생!$A$2:$A$501,수납!$C316)=1,INDEX(원생!$G$2:$G$501,MATCH(수납!$C316,원생!$A$2:$A$501,0))&amp;"","")))</f>
        <v/>
      </c>
      <c r="B316">
        <f>IFERROR(IF(수납!$B316="",YEAR(수납!$A316)*100+MONTH(수납!$A316),IF(ISNUMBER(수납!$B316),YEAR(수납!$B316)*100+MONTH(수납!$B316),VALUE(LEFT(수납!$B316,4))*100+VALUE(MID(수납!$B316,6,2)))),"")</f>
        <v/>
      </c>
      <c r="C316">
        <f>IF(OR(수납!$E316="수강료",수납!$E316=""),N(수납!$F316),0)</f>
        <v/>
      </c>
      <c r="E316">
        <f>IF(원생!$A316="","",원생!$A316&amp;"|"&amp;원생!$G316)</f>
        <v/>
      </c>
    </row>
    <row r="317">
      <c r="A317">
        <f>IF(수납!$C317="","",수납!$C317&amp;"|"&amp;IF(수납!$D317&lt;&gt;"",수납!$D317,IF(COUNTIF(원생!$A$2:$A$501,수납!$C317)=1,INDEX(원생!$G$2:$G$501,MATCH(수납!$C317,원생!$A$2:$A$501,0))&amp;"","")))</f>
        <v/>
      </c>
      <c r="B317">
        <f>IFERROR(IF(수납!$B317="",YEAR(수납!$A317)*100+MONTH(수납!$A317),IF(ISNUMBER(수납!$B317),YEAR(수납!$B317)*100+MONTH(수납!$B317),VALUE(LEFT(수납!$B317,4))*100+VALUE(MID(수납!$B317,6,2)))),"")</f>
        <v/>
      </c>
      <c r="C317">
        <f>IF(OR(수납!$E317="수강료",수납!$E317=""),N(수납!$F317),0)</f>
        <v/>
      </c>
      <c r="E317">
        <f>IF(원생!$A317="","",원생!$A317&amp;"|"&amp;원생!$G317)</f>
        <v/>
      </c>
    </row>
    <row r="318">
      <c r="A318">
        <f>IF(수납!$C318="","",수납!$C318&amp;"|"&amp;IF(수납!$D318&lt;&gt;"",수납!$D318,IF(COUNTIF(원생!$A$2:$A$501,수납!$C318)=1,INDEX(원생!$G$2:$G$501,MATCH(수납!$C318,원생!$A$2:$A$501,0))&amp;"","")))</f>
        <v/>
      </c>
      <c r="B318">
        <f>IFERROR(IF(수납!$B318="",YEAR(수납!$A318)*100+MONTH(수납!$A318),IF(ISNUMBER(수납!$B318),YEAR(수납!$B318)*100+MONTH(수납!$B318),VALUE(LEFT(수납!$B318,4))*100+VALUE(MID(수납!$B318,6,2)))),"")</f>
        <v/>
      </c>
      <c r="C318">
        <f>IF(OR(수납!$E318="수강료",수납!$E318=""),N(수납!$F318),0)</f>
        <v/>
      </c>
      <c r="E318">
        <f>IF(원생!$A318="","",원생!$A318&amp;"|"&amp;원생!$G318)</f>
        <v/>
      </c>
    </row>
    <row r="319">
      <c r="A319">
        <f>IF(수납!$C319="","",수납!$C319&amp;"|"&amp;IF(수납!$D319&lt;&gt;"",수납!$D319,IF(COUNTIF(원생!$A$2:$A$501,수납!$C319)=1,INDEX(원생!$G$2:$G$501,MATCH(수납!$C319,원생!$A$2:$A$501,0))&amp;"","")))</f>
        <v/>
      </c>
      <c r="B319">
        <f>IFERROR(IF(수납!$B319="",YEAR(수납!$A319)*100+MONTH(수납!$A319),IF(ISNUMBER(수납!$B319),YEAR(수납!$B319)*100+MONTH(수납!$B319),VALUE(LEFT(수납!$B319,4))*100+VALUE(MID(수납!$B319,6,2)))),"")</f>
        <v/>
      </c>
      <c r="C319">
        <f>IF(OR(수납!$E319="수강료",수납!$E319=""),N(수납!$F319),0)</f>
        <v/>
      </c>
      <c r="E319">
        <f>IF(원생!$A319="","",원생!$A319&amp;"|"&amp;원생!$G319)</f>
        <v/>
      </c>
    </row>
    <row r="320">
      <c r="A320">
        <f>IF(수납!$C320="","",수납!$C320&amp;"|"&amp;IF(수납!$D320&lt;&gt;"",수납!$D320,IF(COUNTIF(원생!$A$2:$A$501,수납!$C320)=1,INDEX(원생!$G$2:$G$501,MATCH(수납!$C320,원생!$A$2:$A$501,0))&amp;"","")))</f>
        <v/>
      </c>
      <c r="B320">
        <f>IFERROR(IF(수납!$B320="",YEAR(수납!$A320)*100+MONTH(수납!$A320),IF(ISNUMBER(수납!$B320),YEAR(수납!$B320)*100+MONTH(수납!$B320),VALUE(LEFT(수납!$B320,4))*100+VALUE(MID(수납!$B320,6,2)))),"")</f>
        <v/>
      </c>
      <c r="C320">
        <f>IF(OR(수납!$E320="수강료",수납!$E320=""),N(수납!$F320),0)</f>
        <v/>
      </c>
      <c r="E320">
        <f>IF(원생!$A320="","",원생!$A320&amp;"|"&amp;원생!$G320)</f>
        <v/>
      </c>
    </row>
    <row r="321">
      <c r="A321">
        <f>IF(수납!$C321="","",수납!$C321&amp;"|"&amp;IF(수납!$D321&lt;&gt;"",수납!$D321,IF(COUNTIF(원생!$A$2:$A$501,수납!$C321)=1,INDEX(원생!$G$2:$G$501,MATCH(수납!$C321,원생!$A$2:$A$501,0))&amp;"","")))</f>
        <v/>
      </c>
      <c r="B321">
        <f>IFERROR(IF(수납!$B321="",YEAR(수납!$A321)*100+MONTH(수납!$A321),IF(ISNUMBER(수납!$B321),YEAR(수납!$B321)*100+MONTH(수납!$B321),VALUE(LEFT(수납!$B321,4))*100+VALUE(MID(수납!$B321,6,2)))),"")</f>
        <v/>
      </c>
      <c r="C321">
        <f>IF(OR(수납!$E321="수강료",수납!$E321=""),N(수납!$F321),0)</f>
        <v/>
      </c>
      <c r="E321">
        <f>IF(원생!$A321="","",원생!$A321&amp;"|"&amp;원생!$G321)</f>
        <v/>
      </c>
    </row>
    <row r="322">
      <c r="A322">
        <f>IF(수납!$C322="","",수납!$C322&amp;"|"&amp;IF(수납!$D322&lt;&gt;"",수납!$D322,IF(COUNTIF(원생!$A$2:$A$501,수납!$C322)=1,INDEX(원생!$G$2:$G$501,MATCH(수납!$C322,원생!$A$2:$A$501,0))&amp;"","")))</f>
        <v/>
      </c>
      <c r="B322">
        <f>IFERROR(IF(수납!$B322="",YEAR(수납!$A322)*100+MONTH(수납!$A322),IF(ISNUMBER(수납!$B322),YEAR(수납!$B322)*100+MONTH(수납!$B322),VALUE(LEFT(수납!$B322,4))*100+VALUE(MID(수납!$B322,6,2)))),"")</f>
        <v/>
      </c>
      <c r="C322">
        <f>IF(OR(수납!$E322="수강료",수납!$E322=""),N(수납!$F322),0)</f>
        <v/>
      </c>
      <c r="E322">
        <f>IF(원생!$A322="","",원생!$A322&amp;"|"&amp;원생!$G322)</f>
        <v/>
      </c>
    </row>
    <row r="323">
      <c r="A323">
        <f>IF(수납!$C323="","",수납!$C323&amp;"|"&amp;IF(수납!$D323&lt;&gt;"",수납!$D323,IF(COUNTIF(원생!$A$2:$A$501,수납!$C323)=1,INDEX(원생!$G$2:$G$501,MATCH(수납!$C323,원생!$A$2:$A$501,0))&amp;"","")))</f>
        <v/>
      </c>
      <c r="B323">
        <f>IFERROR(IF(수납!$B323="",YEAR(수납!$A323)*100+MONTH(수납!$A323),IF(ISNUMBER(수납!$B323),YEAR(수납!$B323)*100+MONTH(수납!$B323),VALUE(LEFT(수납!$B323,4))*100+VALUE(MID(수납!$B323,6,2)))),"")</f>
        <v/>
      </c>
      <c r="C323">
        <f>IF(OR(수납!$E323="수강료",수납!$E323=""),N(수납!$F323),0)</f>
        <v/>
      </c>
      <c r="E323">
        <f>IF(원생!$A323="","",원생!$A323&amp;"|"&amp;원생!$G323)</f>
        <v/>
      </c>
    </row>
    <row r="324">
      <c r="A324">
        <f>IF(수납!$C324="","",수납!$C324&amp;"|"&amp;IF(수납!$D324&lt;&gt;"",수납!$D324,IF(COUNTIF(원생!$A$2:$A$501,수납!$C324)=1,INDEX(원생!$G$2:$G$501,MATCH(수납!$C324,원생!$A$2:$A$501,0))&amp;"","")))</f>
        <v/>
      </c>
      <c r="B324">
        <f>IFERROR(IF(수납!$B324="",YEAR(수납!$A324)*100+MONTH(수납!$A324),IF(ISNUMBER(수납!$B324),YEAR(수납!$B324)*100+MONTH(수납!$B324),VALUE(LEFT(수납!$B324,4))*100+VALUE(MID(수납!$B324,6,2)))),"")</f>
        <v/>
      </c>
      <c r="C324">
        <f>IF(OR(수납!$E324="수강료",수납!$E324=""),N(수납!$F324),0)</f>
        <v/>
      </c>
      <c r="E324">
        <f>IF(원생!$A324="","",원생!$A324&amp;"|"&amp;원생!$G324)</f>
        <v/>
      </c>
    </row>
    <row r="325">
      <c r="A325">
        <f>IF(수납!$C325="","",수납!$C325&amp;"|"&amp;IF(수납!$D325&lt;&gt;"",수납!$D325,IF(COUNTIF(원생!$A$2:$A$501,수납!$C325)=1,INDEX(원생!$G$2:$G$501,MATCH(수납!$C325,원생!$A$2:$A$501,0))&amp;"","")))</f>
        <v/>
      </c>
      <c r="B325">
        <f>IFERROR(IF(수납!$B325="",YEAR(수납!$A325)*100+MONTH(수납!$A325),IF(ISNUMBER(수납!$B325),YEAR(수납!$B325)*100+MONTH(수납!$B325),VALUE(LEFT(수납!$B325,4))*100+VALUE(MID(수납!$B325,6,2)))),"")</f>
        <v/>
      </c>
      <c r="C325">
        <f>IF(OR(수납!$E325="수강료",수납!$E325=""),N(수납!$F325),0)</f>
        <v/>
      </c>
      <c r="E325">
        <f>IF(원생!$A325="","",원생!$A325&amp;"|"&amp;원생!$G325)</f>
        <v/>
      </c>
    </row>
    <row r="326">
      <c r="A326">
        <f>IF(수납!$C326="","",수납!$C326&amp;"|"&amp;IF(수납!$D326&lt;&gt;"",수납!$D326,IF(COUNTIF(원생!$A$2:$A$501,수납!$C326)=1,INDEX(원생!$G$2:$G$501,MATCH(수납!$C326,원생!$A$2:$A$501,0))&amp;"","")))</f>
        <v/>
      </c>
      <c r="B326">
        <f>IFERROR(IF(수납!$B326="",YEAR(수납!$A326)*100+MONTH(수납!$A326),IF(ISNUMBER(수납!$B326),YEAR(수납!$B326)*100+MONTH(수납!$B326),VALUE(LEFT(수납!$B326,4))*100+VALUE(MID(수납!$B326,6,2)))),"")</f>
        <v/>
      </c>
      <c r="C326">
        <f>IF(OR(수납!$E326="수강료",수납!$E326=""),N(수납!$F326),0)</f>
        <v/>
      </c>
      <c r="E326">
        <f>IF(원생!$A326="","",원생!$A326&amp;"|"&amp;원생!$G326)</f>
        <v/>
      </c>
    </row>
    <row r="327">
      <c r="A327">
        <f>IF(수납!$C327="","",수납!$C327&amp;"|"&amp;IF(수납!$D327&lt;&gt;"",수납!$D327,IF(COUNTIF(원생!$A$2:$A$501,수납!$C327)=1,INDEX(원생!$G$2:$G$501,MATCH(수납!$C327,원생!$A$2:$A$501,0))&amp;"","")))</f>
        <v/>
      </c>
      <c r="B327">
        <f>IFERROR(IF(수납!$B327="",YEAR(수납!$A327)*100+MONTH(수납!$A327),IF(ISNUMBER(수납!$B327),YEAR(수납!$B327)*100+MONTH(수납!$B327),VALUE(LEFT(수납!$B327,4))*100+VALUE(MID(수납!$B327,6,2)))),"")</f>
        <v/>
      </c>
      <c r="C327">
        <f>IF(OR(수납!$E327="수강료",수납!$E327=""),N(수납!$F327),0)</f>
        <v/>
      </c>
      <c r="E327">
        <f>IF(원생!$A327="","",원생!$A327&amp;"|"&amp;원생!$G327)</f>
        <v/>
      </c>
    </row>
    <row r="328">
      <c r="A328">
        <f>IF(수납!$C328="","",수납!$C328&amp;"|"&amp;IF(수납!$D328&lt;&gt;"",수납!$D328,IF(COUNTIF(원생!$A$2:$A$501,수납!$C328)=1,INDEX(원생!$G$2:$G$501,MATCH(수납!$C328,원생!$A$2:$A$501,0))&amp;"","")))</f>
        <v/>
      </c>
      <c r="B328">
        <f>IFERROR(IF(수납!$B328="",YEAR(수납!$A328)*100+MONTH(수납!$A328),IF(ISNUMBER(수납!$B328),YEAR(수납!$B328)*100+MONTH(수납!$B328),VALUE(LEFT(수납!$B328,4))*100+VALUE(MID(수납!$B328,6,2)))),"")</f>
        <v/>
      </c>
      <c r="C328">
        <f>IF(OR(수납!$E328="수강료",수납!$E328=""),N(수납!$F328),0)</f>
        <v/>
      </c>
      <c r="E328">
        <f>IF(원생!$A328="","",원생!$A328&amp;"|"&amp;원생!$G328)</f>
        <v/>
      </c>
    </row>
    <row r="329">
      <c r="A329">
        <f>IF(수납!$C329="","",수납!$C329&amp;"|"&amp;IF(수납!$D329&lt;&gt;"",수납!$D329,IF(COUNTIF(원생!$A$2:$A$501,수납!$C329)=1,INDEX(원생!$G$2:$G$501,MATCH(수납!$C329,원생!$A$2:$A$501,0))&amp;"","")))</f>
        <v/>
      </c>
      <c r="B329">
        <f>IFERROR(IF(수납!$B329="",YEAR(수납!$A329)*100+MONTH(수납!$A329),IF(ISNUMBER(수납!$B329),YEAR(수납!$B329)*100+MONTH(수납!$B329),VALUE(LEFT(수납!$B329,4))*100+VALUE(MID(수납!$B329,6,2)))),"")</f>
        <v/>
      </c>
      <c r="C329">
        <f>IF(OR(수납!$E329="수강료",수납!$E329=""),N(수납!$F329),0)</f>
        <v/>
      </c>
      <c r="E329">
        <f>IF(원생!$A329="","",원생!$A329&amp;"|"&amp;원생!$G329)</f>
        <v/>
      </c>
    </row>
    <row r="330">
      <c r="A330">
        <f>IF(수납!$C330="","",수납!$C330&amp;"|"&amp;IF(수납!$D330&lt;&gt;"",수납!$D330,IF(COUNTIF(원생!$A$2:$A$501,수납!$C330)=1,INDEX(원생!$G$2:$G$501,MATCH(수납!$C330,원생!$A$2:$A$501,0))&amp;"","")))</f>
        <v/>
      </c>
      <c r="B330">
        <f>IFERROR(IF(수납!$B330="",YEAR(수납!$A330)*100+MONTH(수납!$A330),IF(ISNUMBER(수납!$B330),YEAR(수납!$B330)*100+MONTH(수납!$B330),VALUE(LEFT(수납!$B330,4))*100+VALUE(MID(수납!$B330,6,2)))),"")</f>
        <v/>
      </c>
      <c r="C330">
        <f>IF(OR(수납!$E330="수강료",수납!$E330=""),N(수납!$F330),0)</f>
        <v/>
      </c>
      <c r="E330">
        <f>IF(원생!$A330="","",원생!$A330&amp;"|"&amp;원생!$G330)</f>
        <v/>
      </c>
    </row>
    <row r="331">
      <c r="A331">
        <f>IF(수납!$C331="","",수납!$C331&amp;"|"&amp;IF(수납!$D331&lt;&gt;"",수납!$D331,IF(COUNTIF(원생!$A$2:$A$501,수납!$C331)=1,INDEX(원생!$G$2:$G$501,MATCH(수납!$C331,원생!$A$2:$A$501,0))&amp;"","")))</f>
        <v/>
      </c>
      <c r="B331">
        <f>IFERROR(IF(수납!$B331="",YEAR(수납!$A331)*100+MONTH(수납!$A331),IF(ISNUMBER(수납!$B331),YEAR(수납!$B331)*100+MONTH(수납!$B331),VALUE(LEFT(수납!$B331,4))*100+VALUE(MID(수납!$B331,6,2)))),"")</f>
        <v/>
      </c>
      <c r="C331">
        <f>IF(OR(수납!$E331="수강료",수납!$E331=""),N(수납!$F331),0)</f>
        <v/>
      </c>
      <c r="E331">
        <f>IF(원생!$A331="","",원생!$A331&amp;"|"&amp;원생!$G331)</f>
        <v/>
      </c>
    </row>
    <row r="332">
      <c r="A332">
        <f>IF(수납!$C332="","",수납!$C332&amp;"|"&amp;IF(수납!$D332&lt;&gt;"",수납!$D332,IF(COUNTIF(원생!$A$2:$A$501,수납!$C332)=1,INDEX(원생!$G$2:$G$501,MATCH(수납!$C332,원생!$A$2:$A$501,0))&amp;"","")))</f>
        <v/>
      </c>
      <c r="B332">
        <f>IFERROR(IF(수납!$B332="",YEAR(수납!$A332)*100+MONTH(수납!$A332),IF(ISNUMBER(수납!$B332),YEAR(수납!$B332)*100+MONTH(수납!$B332),VALUE(LEFT(수납!$B332,4))*100+VALUE(MID(수납!$B332,6,2)))),"")</f>
        <v/>
      </c>
      <c r="C332">
        <f>IF(OR(수납!$E332="수강료",수납!$E332=""),N(수납!$F332),0)</f>
        <v/>
      </c>
      <c r="E332">
        <f>IF(원생!$A332="","",원생!$A332&amp;"|"&amp;원생!$G332)</f>
        <v/>
      </c>
    </row>
    <row r="333">
      <c r="A333">
        <f>IF(수납!$C333="","",수납!$C333&amp;"|"&amp;IF(수납!$D333&lt;&gt;"",수납!$D333,IF(COUNTIF(원생!$A$2:$A$501,수납!$C333)=1,INDEX(원생!$G$2:$G$501,MATCH(수납!$C333,원생!$A$2:$A$501,0))&amp;"","")))</f>
        <v/>
      </c>
      <c r="B333">
        <f>IFERROR(IF(수납!$B333="",YEAR(수납!$A333)*100+MONTH(수납!$A333),IF(ISNUMBER(수납!$B333),YEAR(수납!$B333)*100+MONTH(수납!$B333),VALUE(LEFT(수납!$B333,4))*100+VALUE(MID(수납!$B333,6,2)))),"")</f>
        <v/>
      </c>
      <c r="C333">
        <f>IF(OR(수납!$E333="수강료",수납!$E333=""),N(수납!$F333),0)</f>
        <v/>
      </c>
      <c r="E333">
        <f>IF(원생!$A333="","",원생!$A333&amp;"|"&amp;원생!$G333)</f>
        <v/>
      </c>
    </row>
    <row r="334">
      <c r="A334">
        <f>IF(수납!$C334="","",수납!$C334&amp;"|"&amp;IF(수납!$D334&lt;&gt;"",수납!$D334,IF(COUNTIF(원생!$A$2:$A$501,수납!$C334)=1,INDEX(원생!$G$2:$G$501,MATCH(수납!$C334,원생!$A$2:$A$501,0))&amp;"","")))</f>
        <v/>
      </c>
      <c r="B334">
        <f>IFERROR(IF(수납!$B334="",YEAR(수납!$A334)*100+MONTH(수납!$A334),IF(ISNUMBER(수납!$B334),YEAR(수납!$B334)*100+MONTH(수납!$B334),VALUE(LEFT(수납!$B334,4))*100+VALUE(MID(수납!$B334,6,2)))),"")</f>
        <v/>
      </c>
      <c r="C334">
        <f>IF(OR(수납!$E334="수강료",수납!$E334=""),N(수납!$F334),0)</f>
        <v/>
      </c>
      <c r="E334">
        <f>IF(원생!$A334="","",원생!$A334&amp;"|"&amp;원생!$G334)</f>
        <v/>
      </c>
    </row>
    <row r="335">
      <c r="A335">
        <f>IF(수납!$C335="","",수납!$C335&amp;"|"&amp;IF(수납!$D335&lt;&gt;"",수납!$D335,IF(COUNTIF(원생!$A$2:$A$501,수납!$C335)=1,INDEX(원생!$G$2:$G$501,MATCH(수납!$C335,원생!$A$2:$A$501,0))&amp;"","")))</f>
        <v/>
      </c>
      <c r="B335">
        <f>IFERROR(IF(수납!$B335="",YEAR(수납!$A335)*100+MONTH(수납!$A335),IF(ISNUMBER(수납!$B335),YEAR(수납!$B335)*100+MONTH(수납!$B335),VALUE(LEFT(수납!$B335,4))*100+VALUE(MID(수납!$B335,6,2)))),"")</f>
        <v/>
      </c>
      <c r="C335">
        <f>IF(OR(수납!$E335="수강료",수납!$E335=""),N(수납!$F335),0)</f>
        <v/>
      </c>
      <c r="E335">
        <f>IF(원생!$A335="","",원생!$A335&amp;"|"&amp;원생!$G335)</f>
        <v/>
      </c>
    </row>
    <row r="336">
      <c r="A336">
        <f>IF(수납!$C336="","",수납!$C336&amp;"|"&amp;IF(수납!$D336&lt;&gt;"",수납!$D336,IF(COUNTIF(원생!$A$2:$A$501,수납!$C336)=1,INDEX(원생!$G$2:$G$501,MATCH(수납!$C336,원생!$A$2:$A$501,0))&amp;"","")))</f>
        <v/>
      </c>
      <c r="B336">
        <f>IFERROR(IF(수납!$B336="",YEAR(수납!$A336)*100+MONTH(수납!$A336),IF(ISNUMBER(수납!$B336),YEAR(수납!$B336)*100+MONTH(수납!$B336),VALUE(LEFT(수납!$B336,4))*100+VALUE(MID(수납!$B336,6,2)))),"")</f>
        <v/>
      </c>
      <c r="C336">
        <f>IF(OR(수납!$E336="수강료",수납!$E336=""),N(수납!$F336),0)</f>
        <v/>
      </c>
      <c r="E336">
        <f>IF(원생!$A336="","",원생!$A336&amp;"|"&amp;원생!$G336)</f>
        <v/>
      </c>
    </row>
    <row r="337">
      <c r="A337">
        <f>IF(수납!$C337="","",수납!$C337&amp;"|"&amp;IF(수납!$D337&lt;&gt;"",수납!$D337,IF(COUNTIF(원생!$A$2:$A$501,수납!$C337)=1,INDEX(원생!$G$2:$G$501,MATCH(수납!$C337,원생!$A$2:$A$501,0))&amp;"","")))</f>
        <v/>
      </c>
      <c r="B337">
        <f>IFERROR(IF(수납!$B337="",YEAR(수납!$A337)*100+MONTH(수납!$A337),IF(ISNUMBER(수납!$B337),YEAR(수납!$B337)*100+MONTH(수납!$B337),VALUE(LEFT(수납!$B337,4))*100+VALUE(MID(수납!$B337,6,2)))),"")</f>
        <v/>
      </c>
      <c r="C337">
        <f>IF(OR(수납!$E337="수강료",수납!$E337=""),N(수납!$F337),0)</f>
        <v/>
      </c>
      <c r="E337">
        <f>IF(원생!$A337="","",원생!$A337&amp;"|"&amp;원생!$G337)</f>
        <v/>
      </c>
    </row>
    <row r="338">
      <c r="A338">
        <f>IF(수납!$C338="","",수납!$C338&amp;"|"&amp;IF(수납!$D338&lt;&gt;"",수납!$D338,IF(COUNTIF(원생!$A$2:$A$501,수납!$C338)=1,INDEX(원생!$G$2:$G$501,MATCH(수납!$C338,원생!$A$2:$A$501,0))&amp;"","")))</f>
        <v/>
      </c>
      <c r="B338">
        <f>IFERROR(IF(수납!$B338="",YEAR(수납!$A338)*100+MONTH(수납!$A338),IF(ISNUMBER(수납!$B338),YEAR(수납!$B338)*100+MONTH(수납!$B338),VALUE(LEFT(수납!$B338,4))*100+VALUE(MID(수납!$B338,6,2)))),"")</f>
        <v/>
      </c>
      <c r="C338">
        <f>IF(OR(수납!$E338="수강료",수납!$E338=""),N(수납!$F338),0)</f>
        <v/>
      </c>
      <c r="E338">
        <f>IF(원생!$A338="","",원생!$A338&amp;"|"&amp;원생!$G338)</f>
        <v/>
      </c>
    </row>
    <row r="339">
      <c r="A339">
        <f>IF(수납!$C339="","",수납!$C339&amp;"|"&amp;IF(수납!$D339&lt;&gt;"",수납!$D339,IF(COUNTIF(원생!$A$2:$A$501,수납!$C339)=1,INDEX(원생!$G$2:$G$501,MATCH(수납!$C339,원생!$A$2:$A$501,0))&amp;"","")))</f>
        <v/>
      </c>
      <c r="B339">
        <f>IFERROR(IF(수납!$B339="",YEAR(수납!$A339)*100+MONTH(수납!$A339),IF(ISNUMBER(수납!$B339),YEAR(수납!$B339)*100+MONTH(수납!$B339),VALUE(LEFT(수납!$B339,4))*100+VALUE(MID(수납!$B339,6,2)))),"")</f>
        <v/>
      </c>
      <c r="C339">
        <f>IF(OR(수납!$E339="수강료",수납!$E339=""),N(수납!$F339),0)</f>
        <v/>
      </c>
      <c r="E339">
        <f>IF(원생!$A339="","",원생!$A339&amp;"|"&amp;원생!$G339)</f>
        <v/>
      </c>
    </row>
    <row r="340">
      <c r="A340">
        <f>IF(수납!$C340="","",수납!$C340&amp;"|"&amp;IF(수납!$D340&lt;&gt;"",수납!$D340,IF(COUNTIF(원생!$A$2:$A$501,수납!$C340)=1,INDEX(원생!$G$2:$G$501,MATCH(수납!$C340,원생!$A$2:$A$501,0))&amp;"","")))</f>
        <v/>
      </c>
      <c r="B340">
        <f>IFERROR(IF(수납!$B340="",YEAR(수납!$A340)*100+MONTH(수납!$A340),IF(ISNUMBER(수납!$B340),YEAR(수납!$B340)*100+MONTH(수납!$B340),VALUE(LEFT(수납!$B340,4))*100+VALUE(MID(수납!$B340,6,2)))),"")</f>
        <v/>
      </c>
      <c r="C340">
        <f>IF(OR(수납!$E340="수강료",수납!$E340=""),N(수납!$F340),0)</f>
        <v/>
      </c>
      <c r="E340">
        <f>IF(원생!$A340="","",원생!$A340&amp;"|"&amp;원생!$G340)</f>
        <v/>
      </c>
    </row>
    <row r="341">
      <c r="A341">
        <f>IF(수납!$C341="","",수납!$C341&amp;"|"&amp;IF(수납!$D341&lt;&gt;"",수납!$D341,IF(COUNTIF(원생!$A$2:$A$501,수납!$C341)=1,INDEX(원생!$G$2:$G$501,MATCH(수납!$C341,원생!$A$2:$A$501,0))&amp;"","")))</f>
        <v/>
      </c>
      <c r="B341">
        <f>IFERROR(IF(수납!$B341="",YEAR(수납!$A341)*100+MONTH(수납!$A341),IF(ISNUMBER(수납!$B341),YEAR(수납!$B341)*100+MONTH(수납!$B341),VALUE(LEFT(수납!$B341,4))*100+VALUE(MID(수납!$B341,6,2)))),"")</f>
        <v/>
      </c>
      <c r="C341">
        <f>IF(OR(수납!$E341="수강료",수납!$E341=""),N(수납!$F341),0)</f>
        <v/>
      </c>
      <c r="E341">
        <f>IF(원생!$A341="","",원생!$A341&amp;"|"&amp;원생!$G341)</f>
        <v/>
      </c>
    </row>
    <row r="342">
      <c r="A342">
        <f>IF(수납!$C342="","",수납!$C342&amp;"|"&amp;IF(수납!$D342&lt;&gt;"",수납!$D342,IF(COUNTIF(원생!$A$2:$A$501,수납!$C342)=1,INDEX(원생!$G$2:$G$501,MATCH(수납!$C342,원생!$A$2:$A$501,0))&amp;"","")))</f>
        <v/>
      </c>
      <c r="B342">
        <f>IFERROR(IF(수납!$B342="",YEAR(수납!$A342)*100+MONTH(수납!$A342),IF(ISNUMBER(수납!$B342),YEAR(수납!$B342)*100+MONTH(수납!$B342),VALUE(LEFT(수납!$B342,4))*100+VALUE(MID(수납!$B342,6,2)))),"")</f>
        <v/>
      </c>
      <c r="C342">
        <f>IF(OR(수납!$E342="수강료",수납!$E342=""),N(수납!$F342),0)</f>
        <v/>
      </c>
      <c r="E342">
        <f>IF(원생!$A342="","",원생!$A342&amp;"|"&amp;원생!$G342)</f>
        <v/>
      </c>
    </row>
    <row r="343">
      <c r="A343">
        <f>IF(수납!$C343="","",수납!$C343&amp;"|"&amp;IF(수납!$D343&lt;&gt;"",수납!$D343,IF(COUNTIF(원생!$A$2:$A$501,수납!$C343)=1,INDEX(원생!$G$2:$G$501,MATCH(수납!$C343,원생!$A$2:$A$501,0))&amp;"","")))</f>
        <v/>
      </c>
      <c r="B343">
        <f>IFERROR(IF(수납!$B343="",YEAR(수납!$A343)*100+MONTH(수납!$A343),IF(ISNUMBER(수납!$B343),YEAR(수납!$B343)*100+MONTH(수납!$B343),VALUE(LEFT(수납!$B343,4))*100+VALUE(MID(수납!$B343,6,2)))),"")</f>
        <v/>
      </c>
      <c r="C343">
        <f>IF(OR(수납!$E343="수강료",수납!$E343=""),N(수납!$F343),0)</f>
        <v/>
      </c>
      <c r="E343">
        <f>IF(원생!$A343="","",원생!$A343&amp;"|"&amp;원생!$G343)</f>
        <v/>
      </c>
    </row>
    <row r="344">
      <c r="A344">
        <f>IF(수납!$C344="","",수납!$C344&amp;"|"&amp;IF(수납!$D344&lt;&gt;"",수납!$D344,IF(COUNTIF(원생!$A$2:$A$501,수납!$C344)=1,INDEX(원생!$G$2:$G$501,MATCH(수납!$C344,원생!$A$2:$A$501,0))&amp;"","")))</f>
        <v/>
      </c>
      <c r="B344">
        <f>IFERROR(IF(수납!$B344="",YEAR(수납!$A344)*100+MONTH(수납!$A344),IF(ISNUMBER(수납!$B344),YEAR(수납!$B344)*100+MONTH(수납!$B344),VALUE(LEFT(수납!$B344,4))*100+VALUE(MID(수납!$B344,6,2)))),"")</f>
        <v/>
      </c>
      <c r="C344">
        <f>IF(OR(수납!$E344="수강료",수납!$E344=""),N(수납!$F344),0)</f>
        <v/>
      </c>
      <c r="E344">
        <f>IF(원생!$A344="","",원생!$A344&amp;"|"&amp;원생!$G344)</f>
        <v/>
      </c>
    </row>
    <row r="345">
      <c r="A345">
        <f>IF(수납!$C345="","",수납!$C345&amp;"|"&amp;IF(수납!$D345&lt;&gt;"",수납!$D345,IF(COUNTIF(원생!$A$2:$A$501,수납!$C345)=1,INDEX(원생!$G$2:$G$501,MATCH(수납!$C345,원생!$A$2:$A$501,0))&amp;"","")))</f>
        <v/>
      </c>
      <c r="B345">
        <f>IFERROR(IF(수납!$B345="",YEAR(수납!$A345)*100+MONTH(수납!$A345),IF(ISNUMBER(수납!$B345),YEAR(수납!$B345)*100+MONTH(수납!$B345),VALUE(LEFT(수납!$B345,4))*100+VALUE(MID(수납!$B345,6,2)))),"")</f>
        <v/>
      </c>
      <c r="C345">
        <f>IF(OR(수납!$E345="수강료",수납!$E345=""),N(수납!$F345),0)</f>
        <v/>
      </c>
      <c r="E345">
        <f>IF(원생!$A345="","",원생!$A345&amp;"|"&amp;원생!$G345)</f>
        <v/>
      </c>
    </row>
    <row r="346">
      <c r="A346">
        <f>IF(수납!$C346="","",수납!$C346&amp;"|"&amp;IF(수납!$D346&lt;&gt;"",수납!$D346,IF(COUNTIF(원생!$A$2:$A$501,수납!$C346)=1,INDEX(원생!$G$2:$G$501,MATCH(수납!$C346,원생!$A$2:$A$501,0))&amp;"","")))</f>
        <v/>
      </c>
      <c r="B346">
        <f>IFERROR(IF(수납!$B346="",YEAR(수납!$A346)*100+MONTH(수납!$A346),IF(ISNUMBER(수납!$B346),YEAR(수납!$B346)*100+MONTH(수납!$B346),VALUE(LEFT(수납!$B346,4))*100+VALUE(MID(수납!$B346,6,2)))),"")</f>
        <v/>
      </c>
      <c r="C346">
        <f>IF(OR(수납!$E346="수강료",수납!$E346=""),N(수납!$F346),0)</f>
        <v/>
      </c>
      <c r="E346">
        <f>IF(원생!$A346="","",원생!$A346&amp;"|"&amp;원생!$G346)</f>
        <v/>
      </c>
    </row>
    <row r="347">
      <c r="A347">
        <f>IF(수납!$C347="","",수납!$C347&amp;"|"&amp;IF(수납!$D347&lt;&gt;"",수납!$D347,IF(COUNTIF(원생!$A$2:$A$501,수납!$C347)=1,INDEX(원생!$G$2:$G$501,MATCH(수납!$C347,원생!$A$2:$A$501,0))&amp;"","")))</f>
        <v/>
      </c>
      <c r="B347">
        <f>IFERROR(IF(수납!$B347="",YEAR(수납!$A347)*100+MONTH(수납!$A347),IF(ISNUMBER(수납!$B347),YEAR(수납!$B347)*100+MONTH(수납!$B347),VALUE(LEFT(수납!$B347,4))*100+VALUE(MID(수납!$B347,6,2)))),"")</f>
        <v/>
      </c>
      <c r="C347">
        <f>IF(OR(수납!$E347="수강료",수납!$E347=""),N(수납!$F347),0)</f>
        <v/>
      </c>
      <c r="E347">
        <f>IF(원생!$A347="","",원생!$A347&amp;"|"&amp;원생!$G347)</f>
        <v/>
      </c>
    </row>
    <row r="348">
      <c r="A348">
        <f>IF(수납!$C348="","",수납!$C348&amp;"|"&amp;IF(수납!$D348&lt;&gt;"",수납!$D348,IF(COUNTIF(원생!$A$2:$A$501,수납!$C348)=1,INDEX(원생!$G$2:$G$501,MATCH(수납!$C348,원생!$A$2:$A$501,0))&amp;"","")))</f>
        <v/>
      </c>
      <c r="B348">
        <f>IFERROR(IF(수납!$B348="",YEAR(수납!$A348)*100+MONTH(수납!$A348),IF(ISNUMBER(수납!$B348),YEAR(수납!$B348)*100+MONTH(수납!$B348),VALUE(LEFT(수납!$B348,4))*100+VALUE(MID(수납!$B348,6,2)))),"")</f>
        <v/>
      </c>
      <c r="C348">
        <f>IF(OR(수납!$E348="수강료",수납!$E348=""),N(수납!$F348),0)</f>
        <v/>
      </c>
      <c r="E348">
        <f>IF(원생!$A348="","",원생!$A348&amp;"|"&amp;원생!$G348)</f>
        <v/>
      </c>
    </row>
    <row r="349">
      <c r="A349">
        <f>IF(수납!$C349="","",수납!$C349&amp;"|"&amp;IF(수납!$D349&lt;&gt;"",수납!$D349,IF(COUNTIF(원생!$A$2:$A$501,수납!$C349)=1,INDEX(원생!$G$2:$G$501,MATCH(수납!$C349,원생!$A$2:$A$501,0))&amp;"","")))</f>
        <v/>
      </c>
      <c r="B349">
        <f>IFERROR(IF(수납!$B349="",YEAR(수납!$A349)*100+MONTH(수납!$A349),IF(ISNUMBER(수납!$B349),YEAR(수납!$B349)*100+MONTH(수납!$B349),VALUE(LEFT(수납!$B349,4))*100+VALUE(MID(수납!$B349,6,2)))),"")</f>
        <v/>
      </c>
      <c r="C349">
        <f>IF(OR(수납!$E349="수강료",수납!$E349=""),N(수납!$F349),0)</f>
        <v/>
      </c>
      <c r="E349">
        <f>IF(원생!$A349="","",원생!$A349&amp;"|"&amp;원생!$G349)</f>
        <v/>
      </c>
    </row>
    <row r="350">
      <c r="A350">
        <f>IF(수납!$C350="","",수납!$C350&amp;"|"&amp;IF(수납!$D350&lt;&gt;"",수납!$D350,IF(COUNTIF(원생!$A$2:$A$501,수납!$C350)=1,INDEX(원생!$G$2:$G$501,MATCH(수납!$C350,원생!$A$2:$A$501,0))&amp;"","")))</f>
        <v/>
      </c>
      <c r="B350">
        <f>IFERROR(IF(수납!$B350="",YEAR(수납!$A350)*100+MONTH(수납!$A350),IF(ISNUMBER(수납!$B350),YEAR(수납!$B350)*100+MONTH(수납!$B350),VALUE(LEFT(수납!$B350,4))*100+VALUE(MID(수납!$B350,6,2)))),"")</f>
        <v/>
      </c>
      <c r="C350">
        <f>IF(OR(수납!$E350="수강료",수납!$E350=""),N(수납!$F350),0)</f>
        <v/>
      </c>
      <c r="E350">
        <f>IF(원생!$A350="","",원생!$A350&amp;"|"&amp;원생!$G350)</f>
        <v/>
      </c>
    </row>
    <row r="351">
      <c r="A351">
        <f>IF(수납!$C351="","",수납!$C351&amp;"|"&amp;IF(수납!$D351&lt;&gt;"",수납!$D351,IF(COUNTIF(원생!$A$2:$A$501,수납!$C351)=1,INDEX(원생!$G$2:$G$501,MATCH(수납!$C351,원생!$A$2:$A$501,0))&amp;"","")))</f>
        <v/>
      </c>
      <c r="B351">
        <f>IFERROR(IF(수납!$B351="",YEAR(수납!$A351)*100+MONTH(수납!$A351),IF(ISNUMBER(수납!$B351),YEAR(수납!$B351)*100+MONTH(수납!$B351),VALUE(LEFT(수납!$B351,4))*100+VALUE(MID(수납!$B351,6,2)))),"")</f>
        <v/>
      </c>
      <c r="C351">
        <f>IF(OR(수납!$E351="수강료",수납!$E351=""),N(수납!$F351),0)</f>
        <v/>
      </c>
      <c r="E351">
        <f>IF(원생!$A351="","",원생!$A351&amp;"|"&amp;원생!$G351)</f>
        <v/>
      </c>
    </row>
    <row r="352">
      <c r="A352">
        <f>IF(수납!$C352="","",수납!$C352&amp;"|"&amp;IF(수납!$D352&lt;&gt;"",수납!$D352,IF(COUNTIF(원생!$A$2:$A$501,수납!$C352)=1,INDEX(원생!$G$2:$G$501,MATCH(수납!$C352,원생!$A$2:$A$501,0))&amp;"","")))</f>
        <v/>
      </c>
      <c r="B352">
        <f>IFERROR(IF(수납!$B352="",YEAR(수납!$A352)*100+MONTH(수납!$A352),IF(ISNUMBER(수납!$B352),YEAR(수납!$B352)*100+MONTH(수납!$B352),VALUE(LEFT(수납!$B352,4))*100+VALUE(MID(수납!$B352,6,2)))),"")</f>
        <v/>
      </c>
      <c r="C352">
        <f>IF(OR(수납!$E352="수강료",수납!$E352=""),N(수납!$F352),0)</f>
        <v/>
      </c>
      <c r="E352">
        <f>IF(원생!$A352="","",원생!$A352&amp;"|"&amp;원생!$G352)</f>
        <v/>
      </c>
    </row>
    <row r="353">
      <c r="A353">
        <f>IF(수납!$C353="","",수납!$C353&amp;"|"&amp;IF(수납!$D353&lt;&gt;"",수납!$D353,IF(COUNTIF(원생!$A$2:$A$501,수납!$C353)=1,INDEX(원생!$G$2:$G$501,MATCH(수납!$C353,원생!$A$2:$A$501,0))&amp;"","")))</f>
        <v/>
      </c>
      <c r="B353">
        <f>IFERROR(IF(수납!$B353="",YEAR(수납!$A353)*100+MONTH(수납!$A353),IF(ISNUMBER(수납!$B353),YEAR(수납!$B353)*100+MONTH(수납!$B353),VALUE(LEFT(수납!$B353,4))*100+VALUE(MID(수납!$B353,6,2)))),"")</f>
        <v/>
      </c>
      <c r="C353">
        <f>IF(OR(수납!$E353="수강료",수납!$E353=""),N(수납!$F353),0)</f>
        <v/>
      </c>
      <c r="E353">
        <f>IF(원생!$A353="","",원생!$A353&amp;"|"&amp;원생!$G353)</f>
        <v/>
      </c>
    </row>
    <row r="354">
      <c r="A354">
        <f>IF(수납!$C354="","",수납!$C354&amp;"|"&amp;IF(수납!$D354&lt;&gt;"",수납!$D354,IF(COUNTIF(원생!$A$2:$A$501,수납!$C354)=1,INDEX(원생!$G$2:$G$501,MATCH(수납!$C354,원생!$A$2:$A$501,0))&amp;"","")))</f>
        <v/>
      </c>
      <c r="B354">
        <f>IFERROR(IF(수납!$B354="",YEAR(수납!$A354)*100+MONTH(수납!$A354),IF(ISNUMBER(수납!$B354),YEAR(수납!$B354)*100+MONTH(수납!$B354),VALUE(LEFT(수납!$B354,4))*100+VALUE(MID(수납!$B354,6,2)))),"")</f>
        <v/>
      </c>
      <c r="C354">
        <f>IF(OR(수납!$E354="수강료",수납!$E354=""),N(수납!$F354),0)</f>
        <v/>
      </c>
      <c r="E354">
        <f>IF(원생!$A354="","",원생!$A354&amp;"|"&amp;원생!$G354)</f>
        <v/>
      </c>
    </row>
    <row r="355">
      <c r="A355">
        <f>IF(수납!$C355="","",수납!$C355&amp;"|"&amp;IF(수납!$D355&lt;&gt;"",수납!$D355,IF(COUNTIF(원생!$A$2:$A$501,수납!$C355)=1,INDEX(원생!$G$2:$G$501,MATCH(수납!$C355,원생!$A$2:$A$501,0))&amp;"","")))</f>
        <v/>
      </c>
      <c r="B355">
        <f>IFERROR(IF(수납!$B355="",YEAR(수납!$A355)*100+MONTH(수납!$A355),IF(ISNUMBER(수납!$B355),YEAR(수납!$B355)*100+MONTH(수납!$B355),VALUE(LEFT(수납!$B355,4))*100+VALUE(MID(수납!$B355,6,2)))),"")</f>
        <v/>
      </c>
      <c r="C355">
        <f>IF(OR(수납!$E355="수강료",수납!$E355=""),N(수납!$F355),0)</f>
        <v/>
      </c>
      <c r="E355">
        <f>IF(원생!$A355="","",원생!$A355&amp;"|"&amp;원생!$G355)</f>
        <v/>
      </c>
    </row>
    <row r="356">
      <c r="A356">
        <f>IF(수납!$C356="","",수납!$C356&amp;"|"&amp;IF(수납!$D356&lt;&gt;"",수납!$D356,IF(COUNTIF(원생!$A$2:$A$501,수납!$C356)=1,INDEX(원생!$G$2:$G$501,MATCH(수납!$C356,원생!$A$2:$A$501,0))&amp;"","")))</f>
        <v/>
      </c>
      <c r="B356">
        <f>IFERROR(IF(수납!$B356="",YEAR(수납!$A356)*100+MONTH(수납!$A356),IF(ISNUMBER(수납!$B356),YEAR(수납!$B356)*100+MONTH(수납!$B356),VALUE(LEFT(수납!$B356,4))*100+VALUE(MID(수납!$B356,6,2)))),"")</f>
        <v/>
      </c>
      <c r="C356">
        <f>IF(OR(수납!$E356="수강료",수납!$E356=""),N(수납!$F356),0)</f>
        <v/>
      </c>
      <c r="E356">
        <f>IF(원생!$A356="","",원생!$A356&amp;"|"&amp;원생!$G356)</f>
        <v/>
      </c>
    </row>
    <row r="357">
      <c r="A357">
        <f>IF(수납!$C357="","",수납!$C357&amp;"|"&amp;IF(수납!$D357&lt;&gt;"",수납!$D357,IF(COUNTIF(원생!$A$2:$A$501,수납!$C357)=1,INDEX(원생!$G$2:$G$501,MATCH(수납!$C357,원생!$A$2:$A$501,0))&amp;"","")))</f>
        <v/>
      </c>
      <c r="B357">
        <f>IFERROR(IF(수납!$B357="",YEAR(수납!$A357)*100+MONTH(수납!$A357),IF(ISNUMBER(수납!$B357),YEAR(수납!$B357)*100+MONTH(수납!$B357),VALUE(LEFT(수납!$B357,4))*100+VALUE(MID(수납!$B357,6,2)))),"")</f>
        <v/>
      </c>
      <c r="C357">
        <f>IF(OR(수납!$E357="수강료",수납!$E357=""),N(수납!$F357),0)</f>
        <v/>
      </c>
      <c r="E357">
        <f>IF(원생!$A357="","",원생!$A357&amp;"|"&amp;원생!$G357)</f>
        <v/>
      </c>
    </row>
    <row r="358">
      <c r="A358">
        <f>IF(수납!$C358="","",수납!$C358&amp;"|"&amp;IF(수납!$D358&lt;&gt;"",수납!$D358,IF(COUNTIF(원생!$A$2:$A$501,수납!$C358)=1,INDEX(원생!$G$2:$G$501,MATCH(수납!$C358,원생!$A$2:$A$501,0))&amp;"","")))</f>
        <v/>
      </c>
      <c r="B358">
        <f>IFERROR(IF(수납!$B358="",YEAR(수납!$A358)*100+MONTH(수납!$A358),IF(ISNUMBER(수납!$B358),YEAR(수납!$B358)*100+MONTH(수납!$B358),VALUE(LEFT(수납!$B358,4))*100+VALUE(MID(수납!$B358,6,2)))),"")</f>
        <v/>
      </c>
      <c r="C358">
        <f>IF(OR(수납!$E358="수강료",수납!$E358=""),N(수납!$F358),0)</f>
        <v/>
      </c>
      <c r="E358">
        <f>IF(원생!$A358="","",원생!$A358&amp;"|"&amp;원생!$G358)</f>
        <v/>
      </c>
    </row>
    <row r="359">
      <c r="A359">
        <f>IF(수납!$C359="","",수납!$C359&amp;"|"&amp;IF(수납!$D359&lt;&gt;"",수납!$D359,IF(COUNTIF(원생!$A$2:$A$501,수납!$C359)=1,INDEX(원생!$G$2:$G$501,MATCH(수납!$C359,원생!$A$2:$A$501,0))&amp;"","")))</f>
        <v/>
      </c>
      <c r="B359">
        <f>IFERROR(IF(수납!$B359="",YEAR(수납!$A359)*100+MONTH(수납!$A359),IF(ISNUMBER(수납!$B359),YEAR(수납!$B359)*100+MONTH(수납!$B359),VALUE(LEFT(수납!$B359,4))*100+VALUE(MID(수납!$B359,6,2)))),"")</f>
        <v/>
      </c>
      <c r="C359">
        <f>IF(OR(수납!$E359="수강료",수납!$E359=""),N(수납!$F359),0)</f>
        <v/>
      </c>
      <c r="E359">
        <f>IF(원생!$A359="","",원생!$A359&amp;"|"&amp;원생!$G359)</f>
        <v/>
      </c>
    </row>
    <row r="360">
      <c r="A360">
        <f>IF(수납!$C360="","",수납!$C360&amp;"|"&amp;IF(수납!$D360&lt;&gt;"",수납!$D360,IF(COUNTIF(원생!$A$2:$A$501,수납!$C360)=1,INDEX(원생!$G$2:$G$501,MATCH(수납!$C360,원생!$A$2:$A$501,0))&amp;"","")))</f>
        <v/>
      </c>
      <c r="B360">
        <f>IFERROR(IF(수납!$B360="",YEAR(수납!$A360)*100+MONTH(수납!$A360),IF(ISNUMBER(수납!$B360),YEAR(수납!$B360)*100+MONTH(수납!$B360),VALUE(LEFT(수납!$B360,4))*100+VALUE(MID(수납!$B360,6,2)))),"")</f>
        <v/>
      </c>
      <c r="C360">
        <f>IF(OR(수납!$E360="수강료",수납!$E360=""),N(수납!$F360),0)</f>
        <v/>
      </c>
      <c r="E360">
        <f>IF(원생!$A360="","",원생!$A360&amp;"|"&amp;원생!$G360)</f>
        <v/>
      </c>
    </row>
    <row r="361">
      <c r="A361">
        <f>IF(수납!$C361="","",수납!$C361&amp;"|"&amp;IF(수납!$D361&lt;&gt;"",수납!$D361,IF(COUNTIF(원생!$A$2:$A$501,수납!$C361)=1,INDEX(원생!$G$2:$G$501,MATCH(수납!$C361,원생!$A$2:$A$501,0))&amp;"","")))</f>
        <v/>
      </c>
      <c r="B361">
        <f>IFERROR(IF(수납!$B361="",YEAR(수납!$A361)*100+MONTH(수납!$A361),IF(ISNUMBER(수납!$B361),YEAR(수납!$B361)*100+MONTH(수납!$B361),VALUE(LEFT(수납!$B361,4))*100+VALUE(MID(수납!$B361,6,2)))),"")</f>
        <v/>
      </c>
      <c r="C361">
        <f>IF(OR(수납!$E361="수강료",수납!$E361=""),N(수납!$F361),0)</f>
        <v/>
      </c>
      <c r="E361">
        <f>IF(원생!$A361="","",원생!$A361&amp;"|"&amp;원생!$G361)</f>
        <v/>
      </c>
    </row>
    <row r="362">
      <c r="A362">
        <f>IF(수납!$C362="","",수납!$C362&amp;"|"&amp;IF(수납!$D362&lt;&gt;"",수납!$D362,IF(COUNTIF(원생!$A$2:$A$501,수납!$C362)=1,INDEX(원생!$G$2:$G$501,MATCH(수납!$C362,원생!$A$2:$A$501,0))&amp;"","")))</f>
        <v/>
      </c>
      <c r="B362">
        <f>IFERROR(IF(수납!$B362="",YEAR(수납!$A362)*100+MONTH(수납!$A362),IF(ISNUMBER(수납!$B362),YEAR(수납!$B362)*100+MONTH(수납!$B362),VALUE(LEFT(수납!$B362,4))*100+VALUE(MID(수납!$B362,6,2)))),"")</f>
        <v/>
      </c>
      <c r="C362">
        <f>IF(OR(수납!$E362="수강료",수납!$E362=""),N(수납!$F362),0)</f>
        <v/>
      </c>
      <c r="E362">
        <f>IF(원생!$A362="","",원생!$A362&amp;"|"&amp;원생!$G362)</f>
        <v/>
      </c>
    </row>
    <row r="363">
      <c r="A363">
        <f>IF(수납!$C363="","",수납!$C363&amp;"|"&amp;IF(수납!$D363&lt;&gt;"",수납!$D363,IF(COUNTIF(원생!$A$2:$A$501,수납!$C363)=1,INDEX(원생!$G$2:$G$501,MATCH(수납!$C363,원생!$A$2:$A$501,0))&amp;"","")))</f>
        <v/>
      </c>
      <c r="B363">
        <f>IFERROR(IF(수납!$B363="",YEAR(수납!$A363)*100+MONTH(수납!$A363),IF(ISNUMBER(수납!$B363),YEAR(수납!$B363)*100+MONTH(수납!$B363),VALUE(LEFT(수납!$B363,4))*100+VALUE(MID(수납!$B363,6,2)))),"")</f>
        <v/>
      </c>
      <c r="C363">
        <f>IF(OR(수납!$E363="수강료",수납!$E363=""),N(수납!$F363),0)</f>
        <v/>
      </c>
      <c r="E363">
        <f>IF(원생!$A363="","",원생!$A363&amp;"|"&amp;원생!$G363)</f>
        <v/>
      </c>
    </row>
    <row r="364">
      <c r="A364">
        <f>IF(수납!$C364="","",수납!$C364&amp;"|"&amp;IF(수납!$D364&lt;&gt;"",수납!$D364,IF(COUNTIF(원생!$A$2:$A$501,수납!$C364)=1,INDEX(원생!$G$2:$G$501,MATCH(수납!$C364,원생!$A$2:$A$501,0))&amp;"","")))</f>
        <v/>
      </c>
      <c r="B364">
        <f>IFERROR(IF(수납!$B364="",YEAR(수납!$A364)*100+MONTH(수납!$A364),IF(ISNUMBER(수납!$B364),YEAR(수납!$B364)*100+MONTH(수납!$B364),VALUE(LEFT(수납!$B364,4))*100+VALUE(MID(수납!$B364,6,2)))),"")</f>
        <v/>
      </c>
      <c r="C364">
        <f>IF(OR(수납!$E364="수강료",수납!$E364=""),N(수납!$F364),0)</f>
        <v/>
      </c>
      <c r="E364">
        <f>IF(원생!$A364="","",원생!$A364&amp;"|"&amp;원생!$G364)</f>
        <v/>
      </c>
    </row>
    <row r="365">
      <c r="A365">
        <f>IF(수납!$C365="","",수납!$C365&amp;"|"&amp;IF(수납!$D365&lt;&gt;"",수납!$D365,IF(COUNTIF(원생!$A$2:$A$501,수납!$C365)=1,INDEX(원생!$G$2:$G$501,MATCH(수납!$C365,원생!$A$2:$A$501,0))&amp;"","")))</f>
        <v/>
      </c>
      <c r="B365">
        <f>IFERROR(IF(수납!$B365="",YEAR(수납!$A365)*100+MONTH(수납!$A365),IF(ISNUMBER(수납!$B365),YEAR(수납!$B365)*100+MONTH(수납!$B365),VALUE(LEFT(수납!$B365,4))*100+VALUE(MID(수납!$B365,6,2)))),"")</f>
        <v/>
      </c>
      <c r="C365">
        <f>IF(OR(수납!$E365="수강료",수납!$E365=""),N(수납!$F365),0)</f>
        <v/>
      </c>
      <c r="E365">
        <f>IF(원생!$A365="","",원생!$A365&amp;"|"&amp;원생!$G365)</f>
        <v/>
      </c>
    </row>
    <row r="366">
      <c r="A366">
        <f>IF(수납!$C366="","",수납!$C366&amp;"|"&amp;IF(수납!$D366&lt;&gt;"",수납!$D366,IF(COUNTIF(원생!$A$2:$A$501,수납!$C366)=1,INDEX(원생!$G$2:$G$501,MATCH(수납!$C366,원생!$A$2:$A$501,0))&amp;"","")))</f>
        <v/>
      </c>
      <c r="B366">
        <f>IFERROR(IF(수납!$B366="",YEAR(수납!$A366)*100+MONTH(수납!$A366),IF(ISNUMBER(수납!$B366),YEAR(수납!$B366)*100+MONTH(수납!$B366),VALUE(LEFT(수납!$B366,4))*100+VALUE(MID(수납!$B366,6,2)))),"")</f>
        <v/>
      </c>
      <c r="C366">
        <f>IF(OR(수납!$E366="수강료",수납!$E366=""),N(수납!$F366),0)</f>
        <v/>
      </c>
      <c r="E366">
        <f>IF(원생!$A366="","",원생!$A366&amp;"|"&amp;원생!$G366)</f>
        <v/>
      </c>
    </row>
    <row r="367">
      <c r="A367">
        <f>IF(수납!$C367="","",수납!$C367&amp;"|"&amp;IF(수납!$D367&lt;&gt;"",수납!$D367,IF(COUNTIF(원생!$A$2:$A$501,수납!$C367)=1,INDEX(원생!$G$2:$G$501,MATCH(수납!$C367,원생!$A$2:$A$501,0))&amp;"","")))</f>
        <v/>
      </c>
      <c r="B367">
        <f>IFERROR(IF(수납!$B367="",YEAR(수납!$A367)*100+MONTH(수납!$A367),IF(ISNUMBER(수납!$B367),YEAR(수납!$B367)*100+MONTH(수납!$B367),VALUE(LEFT(수납!$B367,4))*100+VALUE(MID(수납!$B367,6,2)))),"")</f>
        <v/>
      </c>
      <c r="C367">
        <f>IF(OR(수납!$E367="수강료",수납!$E367=""),N(수납!$F367),0)</f>
        <v/>
      </c>
      <c r="E367">
        <f>IF(원생!$A367="","",원생!$A367&amp;"|"&amp;원생!$G367)</f>
        <v/>
      </c>
    </row>
    <row r="368">
      <c r="A368">
        <f>IF(수납!$C368="","",수납!$C368&amp;"|"&amp;IF(수납!$D368&lt;&gt;"",수납!$D368,IF(COUNTIF(원생!$A$2:$A$501,수납!$C368)=1,INDEX(원생!$G$2:$G$501,MATCH(수납!$C368,원생!$A$2:$A$501,0))&amp;"","")))</f>
        <v/>
      </c>
      <c r="B368">
        <f>IFERROR(IF(수납!$B368="",YEAR(수납!$A368)*100+MONTH(수납!$A368),IF(ISNUMBER(수납!$B368),YEAR(수납!$B368)*100+MONTH(수납!$B368),VALUE(LEFT(수납!$B368,4))*100+VALUE(MID(수납!$B368,6,2)))),"")</f>
        <v/>
      </c>
      <c r="C368">
        <f>IF(OR(수납!$E368="수강료",수납!$E368=""),N(수납!$F368),0)</f>
        <v/>
      </c>
      <c r="E368">
        <f>IF(원생!$A368="","",원생!$A368&amp;"|"&amp;원생!$G368)</f>
        <v/>
      </c>
    </row>
    <row r="369">
      <c r="A369">
        <f>IF(수납!$C369="","",수납!$C369&amp;"|"&amp;IF(수납!$D369&lt;&gt;"",수납!$D369,IF(COUNTIF(원생!$A$2:$A$501,수납!$C369)=1,INDEX(원생!$G$2:$G$501,MATCH(수납!$C369,원생!$A$2:$A$501,0))&amp;"","")))</f>
        <v/>
      </c>
      <c r="B369">
        <f>IFERROR(IF(수납!$B369="",YEAR(수납!$A369)*100+MONTH(수납!$A369),IF(ISNUMBER(수납!$B369),YEAR(수납!$B369)*100+MONTH(수납!$B369),VALUE(LEFT(수납!$B369,4))*100+VALUE(MID(수납!$B369,6,2)))),"")</f>
        <v/>
      </c>
      <c r="C369">
        <f>IF(OR(수납!$E369="수강료",수납!$E369=""),N(수납!$F369),0)</f>
        <v/>
      </c>
      <c r="E369">
        <f>IF(원생!$A369="","",원생!$A369&amp;"|"&amp;원생!$G369)</f>
        <v/>
      </c>
    </row>
    <row r="370">
      <c r="A370">
        <f>IF(수납!$C370="","",수납!$C370&amp;"|"&amp;IF(수납!$D370&lt;&gt;"",수납!$D370,IF(COUNTIF(원생!$A$2:$A$501,수납!$C370)=1,INDEX(원생!$G$2:$G$501,MATCH(수납!$C370,원생!$A$2:$A$501,0))&amp;"","")))</f>
        <v/>
      </c>
      <c r="B370">
        <f>IFERROR(IF(수납!$B370="",YEAR(수납!$A370)*100+MONTH(수납!$A370),IF(ISNUMBER(수납!$B370),YEAR(수납!$B370)*100+MONTH(수납!$B370),VALUE(LEFT(수납!$B370,4))*100+VALUE(MID(수납!$B370,6,2)))),"")</f>
        <v/>
      </c>
      <c r="C370">
        <f>IF(OR(수납!$E370="수강료",수납!$E370=""),N(수납!$F370),0)</f>
        <v/>
      </c>
      <c r="E370">
        <f>IF(원생!$A370="","",원생!$A370&amp;"|"&amp;원생!$G370)</f>
        <v/>
      </c>
    </row>
    <row r="371">
      <c r="A371">
        <f>IF(수납!$C371="","",수납!$C371&amp;"|"&amp;IF(수납!$D371&lt;&gt;"",수납!$D371,IF(COUNTIF(원생!$A$2:$A$501,수납!$C371)=1,INDEX(원생!$G$2:$G$501,MATCH(수납!$C371,원생!$A$2:$A$501,0))&amp;"","")))</f>
        <v/>
      </c>
      <c r="B371">
        <f>IFERROR(IF(수납!$B371="",YEAR(수납!$A371)*100+MONTH(수납!$A371),IF(ISNUMBER(수납!$B371),YEAR(수납!$B371)*100+MONTH(수납!$B371),VALUE(LEFT(수납!$B371,4))*100+VALUE(MID(수납!$B371,6,2)))),"")</f>
        <v/>
      </c>
      <c r="C371">
        <f>IF(OR(수납!$E371="수강료",수납!$E371=""),N(수납!$F371),0)</f>
        <v/>
      </c>
      <c r="E371">
        <f>IF(원생!$A371="","",원생!$A371&amp;"|"&amp;원생!$G371)</f>
        <v/>
      </c>
    </row>
    <row r="372">
      <c r="A372">
        <f>IF(수납!$C372="","",수납!$C372&amp;"|"&amp;IF(수납!$D372&lt;&gt;"",수납!$D372,IF(COUNTIF(원생!$A$2:$A$501,수납!$C372)=1,INDEX(원생!$G$2:$G$501,MATCH(수납!$C372,원생!$A$2:$A$501,0))&amp;"","")))</f>
        <v/>
      </c>
      <c r="B372">
        <f>IFERROR(IF(수납!$B372="",YEAR(수납!$A372)*100+MONTH(수납!$A372),IF(ISNUMBER(수납!$B372),YEAR(수납!$B372)*100+MONTH(수납!$B372),VALUE(LEFT(수납!$B372,4))*100+VALUE(MID(수납!$B372,6,2)))),"")</f>
        <v/>
      </c>
      <c r="C372">
        <f>IF(OR(수납!$E372="수강료",수납!$E372=""),N(수납!$F372),0)</f>
        <v/>
      </c>
      <c r="E372">
        <f>IF(원생!$A372="","",원생!$A372&amp;"|"&amp;원생!$G372)</f>
        <v/>
      </c>
    </row>
    <row r="373">
      <c r="A373">
        <f>IF(수납!$C373="","",수납!$C373&amp;"|"&amp;IF(수납!$D373&lt;&gt;"",수납!$D373,IF(COUNTIF(원생!$A$2:$A$501,수납!$C373)=1,INDEX(원생!$G$2:$G$501,MATCH(수납!$C373,원생!$A$2:$A$501,0))&amp;"","")))</f>
        <v/>
      </c>
      <c r="B373">
        <f>IFERROR(IF(수납!$B373="",YEAR(수납!$A373)*100+MONTH(수납!$A373),IF(ISNUMBER(수납!$B373),YEAR(수납!$B373)*100+MONTH(수납!$B373),VALUE(LEFT(수납!$B373,4))*100+VALUE(MID(수납!$B373,6,2)))),"")</f>
        <v/>
      </c>
      <c r="C373">
        <f>IF(OR(수납!$E373="수강료",수납!$E373=""),N(수납!$F373),0)</f>
        <v/>
      </c>
      <c r="E373">
        <f>IF(원생!$A373="","",원생!$A373&amp;"|"&amp;원생!$G373)</f>
        <v/>
      </c>
    </row>
    <row r="374">
      <c r="A374">
        <f>IF(수납!$C374="","",수납!$C374&amp;"|"&amp;IF(수납!$D374&lt;&gt;"",수납!$D374,IF(COUNTIF(원생!$A$2:$A$501,수납!$C374)=1,INDEX(원생!$G$2:$G$501,MATCH(수납!$C374,원생!$A$2:$A$501,0))&amp;"","")))</f>
        <v/>
      </c>
      <c r="B374">
        <f>IFERROR(IF(수납!$B374="",YEAR(수납!$A374)*100+MONTH(수납!$A374),IF(ISNUMBER(수납!$B374),YEAR(수납!$B374)*100+MONTH(수납!$B374),VALUE(LEFT(수납!$B374,4))*100+VALUE(MID(수납!$B374,6,2)))),"")</f>
        <v/>
      </c>
      <c r="C374">
        <f>IF(OR(수납!$E374="수강료",수납!$E374=""),N(수납!$F374),0)</f>
        <v/>
      </c>
      <c r="E374">
        <f>IF(원생!$A374="","",원생!$A374&amp;"|"&amp;원생!$G374)</f>
        <v/>
      </c>
    </row>
    <row r="375">
      <c r="A375">
        <f>IF(수납!$C375="","",수납!$C375&amp;"|"&amp;IF(수납!$D375&lt;&gt;"",수납!$D375,IF(COUNTIF(원생!$A$2:$A$501,수납!$C375)=1,INDEX(원생!$G$2:$G$501,MATCH(수납!$C375,원생!$A$2:$A$501,0))&amp;"","")))</f>
        <v/>
      </c>
      <c r="B375">
        <f>IFERROR(IF(수납!$B375="",YEAR(수납!$A375)*100+MONTH(수납!$A375),IF(ISNUMBER(수납!$B375),YEAR(수납!$B375)*100+MONTH(수납!$B375),VALUE(LEFT(수납!$B375,4))*100+VALUE(MID(수납!$B375,6,2)))),"")</f>
        <v/>
      </c>
      <c r="C375">
        <f>IF(OR(수납!$E375="수강료",수납!$E375=""),N(수납!$F375),0)</f>
        <v/>
      </c>
      <c r="E375">
        <f>IF(원생!$A375="","",원생!$A375&amp;"|"&amp;원생!$G375)</f>
        <v/>
      </c>
    </row>
    <row r="376">
      <c r="A376">
        <f>IF(수납!$C376="","",수납!$C376&amp;"|"&amp;IF(수납!$D376&lt;&gt;"",수납!$D376,IF(COUNTIF(원생!$A$2:$A$501,수납!$C376)=1,INDEX(원생!$G$2:$G$501,MATCH(수납!$C376,원생!$A$2:$A$501,0))&amp;"","")))</f>
        <v/>
      </c>
      <c r="B376">
        <f>IFERROR(IF(수납!$B376="",YEAR(수납!$A376)*100+MONTH(수납!$A376),IF(ISNUMBER(수납!$B376),YEAR(수납!$B376)*100+MONTH(수납!$B376),VALUE(LEFT(수납!$B376,4))*100+VALUE(MID(수납!$B376,6,2)))),"")</f>
        <v/>
      </c>
      <c r="C376">
        <f>IF(OR(수납!$E376="수강료",수납!$E376=""),N(수납!$F376),0)</f>
        <v/>
      </c>
      <c r="E376">
        <f>IF(원생!$A376="","",원생!$A376&amp;"|"&amp;원생!$G376)</f>
        <v/>
      </c>
    </row>
    <row r="377">
      <c r="A377">
        <f>IF(수납!$C377="","",수납!$C377&amp;"|"&amp;IF(수납!$D377&lt;&gt;"",수납!$D377,IF(COUNTIF(원생!$A$2:$A$501,수납!$C377)=1,INDEX(원생!$G$2:$G$501,MATCH(수납!$C377,원생!$A$2:$A$501,0))&amp;"","")))</f>
        <v/>
      </c>
      <c r="B377">
        <f>IFERROR(IF(수납!$B377="",YEAR(수납!$A377)*100+MONTH(수납!$A377),IF(ISNUMBER(수납!$B377),YEAR(수납!$B377)*100+MONTH(수납!$B377),VALUE(LEFT(수납!$B377,4))*100+VALUE(MID(수납!$B377,6,2)))),"")</f>
        <v/>
      </c>
      <c r="C377">
        <f>IF(OR(수납!$E377="수강료",수납!$E377=""),N(수납!$F377),0)</f>
        <v/>
      </c>
      <c r="E377">
        <f>IF(원생!$A377="","",원생!$A377&amp;"|"&amp;원생!$G377)</f>
        <v/>
      </c>
    </row>
    <row r="378">
      <c r="A378">
        <f>IF(수납!$C378="","",수납!$C378&amp;"|"&amp;IF(수납!$D378&lt;&gt;"",수납!$D378,IF(COUNTIF(원생!$A$2:$A$501,수납!$C378)=1,INDEX(원생!$G$2:$G$501,MATCH(수납!$C378,원생!$A$2:$A$501,0))&amp;"","")))</f>
        <v/>
      </c>
      <c r="B378">
        <f>IFERROR(IF(수납!$B378="",YEAR(수납!$A378)*100+MONTH(수납!$A378),IF(ISNUMBER(수납!$B378),YEAR(수납!$B378)*100+MONTH(수납!$B378),VALUE(LEFT(수납!$B378,4))*100+VALUE(MID(수납!$B378,6,2)))),"")</f>
        <v/>
      </c>
      <c r="C378">
        <f>IF(OR(수납!$E378="수강료",수납!$E378=""),N(수납!$F378),0)</f>
        <v/>
      </c>
      <c r="E378">
        <f>IF(원생!$A378="","",원생!$A378&amp;"|"&amp;원생!$G378)</f>
        <v/>
      </c>
    </row>
    <row r="379">
      <c r="A379">
        <f>IF(수납!$C379="","",수납!$C379&amp;"|"&amp;IF(수납!$D379&lt;&gt;"",수납!$D379,IF(COUNTIF(원생!$A$2:$A$501,수납!$C379)=1,INDEX(원생!$G$2:$G$501,MATCH(수납!$C379,원생!$A$2:$A$501,0))&amp;"","")))</f>
        <v/>
      </c>
      <c r="B379">
        <f>IFERROR(IF(수납!$B379="",YEAR(수납!$A379)*100+MONTH(수납!$A379),IF(ISNUMBER(수납!$B379),YEAR(수납!$B379)*100+MONTH(수납!$B379),VALUE(LEFT(수납!$B379,4))*100+VALUE(MID(수납!$B379,6,2)))),"")</f>
        <v/>
      </c>
      <c r="C379">
        <f>IF(OR(수납!$E379="수강료",수납!$E379=""),N(수납!$F379),0)</f>
        <v/>
      </c>
      <c r="E379">
        <f>IF(원생!$A379="","",원생!$A379&amp;"|"&amp;원생!$G379)</f>
        <v/>
      </c>
    </row>
    <row r="380">
      <c r="A380">
        <f>IF(수납!$C380="","",수납!$C380&amp;"|"&amp;IF(수납!$D380&lt;&gt;"",수납!$D380,IF(COUNTIF(원생!$A$2:$A$501,수납!$C380)=1,INDEX(원생!$G$2:$G$501,MATCH(수납!$C380,원생!$A$2:$A$501,0))&amp;"","")))</f>
        <v/>
      </c>
      <c r="B380">
        <f>IFERROR(IF(수납!$B380="",YEAR(수납!$A380)*100+MONTH(수납!$A380),IF(ISNUMBER(수납!$B380),YEAR(수납!$B380)*100+MONTH(수납!$B380),VALUE(LEFT(수납!$B380,4))*100+VALUE(MID(수납!$B380,6,2)))),"")</f>
        <v/>
      </c>
      <c r="C380">
        <f>IF(OR(수납!$E380="수강료",수납!$E380=""),N(수납!$F380),0)</f>
        <v/>
      </c>
      <c r="E380">
        <f>IF(원생!$A380="","",원생!$A380&amp;"|"&amp;원생!$G380)</f>
        <v/>
      </c>
    </row>
    <row r="381">
      <c r="A381">
        <f>IF(수납!$C381="","",수납!$C381&amp;"|"&amp;IF(수납!$D381&lt;&gt;"",수납!$D381,IF(COUNTIF(원생!$A$2:$A$501,수납!$C381)=1,INDEX(원생!$G$2:$G$501,MATCH(수납!$C381,원생!$A$2:$A$501,0))&amp;"","")))</f>
        <v/>
      </c>
      <c r="B381">
        <f>IFERROR(IF(수납!$B381="",YEAR(수납!$A381)*100+MONTH(수납!$A381),IF(ISNUMBER(수납!$B381),YEAR(수납!$B381)*100+MONTH(수납!$B381),VALUE(LEFT(수납!$B381,4))*100+VALUE(MID(수납!$B381,6,2)))),"")</f>
        <v/>
      </c>
      <c r="C381">
        <f>IF(OR(수납!$E381="수강료",수납!$E381=""),N(수납!$F381),0)</f>
        <v/>
      </c>
      <c r="E381">
        <f>IF(원생!$A381="","",원생!$A381&amp;"|"&amp;원생!$G381)</f>
        <v/>
      </c>
    </row>
    <row r="382">
      <c r="A382">
        <f>IF(수납!$C382="","",수납!$C382&amp;"|"&amp;IF(수납!$D382&lt;&gt;"",수납!$D382,IF(COUNTIF(원생!$A$2:$A$501,수납!$C382)=1,INDEX(원생!$G$2:$G$501,MATCH(수납!$C382,원생!$A$2:$A$501,0))&amp;"","")))</f>
        <v/>
      </c>
      <c r="B382">
        <f>IFERROR(IF(수납!$B382="",YEAR(수납!$A382)*100+MONTH(수납!$A382),IF(ISNUMBER(수납!$B382),YEAR(수납!$B382)*100+MONTH(수납!$B382),VALUE(LEFT(수납!$B382,4))*100+VALUE(MID(수납!$B382,6,2)))),"")</f>
        <v/>
      </c>
      <c r="C382">
        <f>IF(OR(수납!$E382="수강료",수납!$E382=""),N(수납!$F382),0)</f>
        <v/>
      </c>
      <c r="E382">
        <f>IF(원생!$A382="","",원생!$A382&amp;"|"&amp;원생!$G382)</f>
        <v/>
      </c>
    </row>
    <row r="383">
      <c r="A383">
        <f>IF(수납!$C383="","",수납!$C383&amp;"|"&amp;IF(수납!$D383&lt;&gt;"",수납!$D383,IF(COUNTIF(원생!$A$2:$A$501,수납!$C383)=1,INDEX(원생!$G$2:$G$501,MATCH(수납!$C383,원생!$A$2:$A$501,0))&amp;"","")))</f>
        <v/>
      </c>
      <c r="B383">
        <f>IFERROR(IF(수납!$B383="",YEAR(수납!$A383)*100+MONTH(수납!$A383),IF(ISNUMBER(수납!$B383),YEAR(수납!$B383)*100+MONTH(수납!$B383),VALUE(LEFT(수납!$B383,4))*100+VALUE(MID(수납!$B383,6,2)))),"")</f>
        <v/>
      </c>
      <c r="C383">
        <f>IF(OR(수납!$E383="수강료",수납!$E383=""),N(수납!$F383),0)</f>
        <v/>
      </c>
      <c r="E383">
        <f>IF(원생!$A383="","",원생!$A383&amp;"|"&amp;원생!$G383)</f>
        <v/>
      </c>
    </row>
    <row r="384">
      <c r="A384">
        <f>IF(수납!$C384="","",수납!$C384&amp;"|"&amp;IF(수납!$D384&lt;&gt;"",수납!$D384,IF(COUNTIF(원생!$A$2:$A$501,수납!$C384)=1,INDEX(원생!$G$2:$G$501,MATCH(수납!$C384,원생!$A$2:$A$501,0))&amp;"","")))</f>
        <v/>
      </c>
      <c r="B384">
        <f>IFERROR(IF(수납!$B384="",YEAR(수납!$A384)*100+MONTH(수납!$A384),IF(ISNUMBER(수납!$B384),YEAR(수납!$B384)*100+MONTH(수납!$B384),VALUE(LEFT(수납!$B384,4))*100+VALUE(MID(수납!$B384,6,2)))),"")</f>
        <v/>
      </c>
      <c r="C384">
        <f>IF(OR(수납!$E384="수강료",수납!$E384=""),N(수납!$F384),0)</f>
        <v/>
      </c>
      <c r="E384">
        <f>IF(원생!$A384="","",원생!$A384&amp;"|"&amp;원생!$G384)</f>
        <v/>
      </c>
    </row>
    <row r="385">
      <c r="A385">
        <f>IF(수납!$C385="","",수납!$C385&amp;"|"&amp;IF(수납!$D385&lt;&gt;"",수납!$D385,IF(COUNTIF(원생!$A$2:$A$501,수납!$C385)=1,INDEX(원생!$G$2:$G$501,MATCH(수납!$C385,원생!$A$2:$A$501,0))&amp;"","")))</f>
        <v/>
      </c>
      <c r="B385">
        <f>IFERROR(IF(수납!$B385="",YEAR(수납!$A385)*100+MONTH(수납!$A385),IF(ISNUMBER(수납!$B385),YEAR(수납!$B385)*100+MONTH(수납!$B385),VALUE(LEFT(수납!$B385,4))*100+VALUE(MID(수납!$B385,6,2)))),"")</f>
        <v/>
      </c>
      <c r="C385">
        <f>IF(OR(수납!$E385="수강료",수납!$E385=""),N(수납!$F385),0)</f>
        <v/>
      </c>
      <c r="E385">
        <f>IF(원생!$A385="","",원생!$A385&amp;"|"&amp;원생!$G385)</f>
        <v/>
      </c>
    </row>
    <row r="386">
      <c r="A386">
        <f>IF(수납!$C386="","",수납!$C386&amp;"|"&amp;IF(수납!$D386&lt;&gt;"",수납!$D386,IF(COUNTIF(원생!$A$2:$A$501,수납!$C386)=1,INDEX(원생!$G$2:$G$501,MATCH(수납!$C386,원생!$A$2:$A$501,0))&amp;"","")))</f>
        <v/>
      </c>
      <c r="B386">
        <f>IFERROR(IF(수납!$B386="",YEAR(수납!$A386)*100+MONTH(수납!$A386),IF(ISNUMBER(수납!$B386),YEAR(수납!$B386)*100+MONTH(수납!$B386),VALUE(LEFT(수납!$B386,4))*100+VALUE(MID(수납!$B386,6,2)))),"")</f>
        <v/>
      </c>
      <c r="C386">
        <f>IF(OR(수납!$E386="수강료",수납!$E386=""),N(수납!$F386),0)</f>
        <v/>
      </c>
      <c r="E386">
        <f>IF(원생!$A386="","",원생!$A386&amp;"|"&amp;원생!$G386)</f>
        <v/>
      </c>
    </row>
    <row r="387">
      <c r="A387">
        <f>IF(수납!$C387="","",수납!$C387&amp;"|"&amp;IF(수납!$D387&lt;&gt;"",수납!$D387,IF(COUNTIF(원생!$A$2:$A$501,수납!$C387)=1,INDEX(원생!$G$2:$G$501,MATCH(수납!$C387,원생!$A$2:$A$501,0))&amp;"","")))</f>
        <v/>
      </c>
      <c r="B387">
        <f>IFERROR(IF(수납!$B387="",YEAR(수납!$A387)*100+MONTH(수납!$A387),IF(ISNUMBER(수납!$B387),YEAR(수납!$B387)*100+MONTH(수납!$B387),VALUE(LEFT(수납!$B387,4))*100+VALUE(MID(수납!$B387,6,2)))),"")</f>
        <v/>
      </c>
      <c r="C387">
        <f>IF(OR(수납!$E387="수강료",수납!$E387=""),N(수납!$F387),0)</f>
        <v/>
      </c>
      <c r="E387">
        <f>IF(원생!$A387="","",원생!$A387&amp;"|"&amp;원생!$G387)</f>
        <v/>
      </c>
    </row>
    <row r="388">
      <c r="A388">
        <f>IF(수납!$C388="","",수납!$C388&amp;"|"&amp;IF(수납!$D388&lt;&gt;"",수납!$D388,IF(COUNTIF(원생!$A$2:$A$501,수납!$C388)=1,INDEX(원생!$G$2:$G$501,MATCH(수납!$C388,원생!$A$2:$A$501,0))&amp;"","")))</f>
        <v/>
      </c>
      <c r="B388">
        <f>IFERROR(IF(수납!$B388="",YEAR(수납!$A388)*100+MONTH(수납!$A388),IF(ISNUMBER(수납!$B388),YEAR(수납!$B388)*100+MONTH(수납!$B388),VALUE(LEFT(수납!$B388,4))*100+VALUE(MID(수납!$B388,6,2)))),"")</f>
        <v/>
      </c>
      <c r="C388">
        <f>IF(OR(수납!$E388="수강료",수납!$E388=""),N(수납!$F388),0)</f>
        <v/>
      </c>
      <c r="E388">
        <f>IF(원생!$A388="","",원생!$A388&amp;"|"&amp;원생!$G388)</f>
        <v/>
      </c>
    </row>
    <row r="389">
      <c r="A389">
        <f>IF(수납!$C389="","",수납!$C389&amp;"|"&amp;IF(수납!$D389&lt;&gt;"",수납!$D389,IF(COUNTIF(원생!$A$2:$A$501,수납!$C389)=1,INDEX(원생!$G$2:$G$501,MATCH(수납!$C389,원생!$A$2:$A$501,0))&amp;"","")))</f>
        <v/>
      </c>
      <c r="B389">
        <f>IFERROR(IF(수납!$B389="",YEAR(수납!$A389)*100+MONTH(수납!$A389),IF(ISNUMBER(수납!$B389),YEAR(수납!$B389)*100+MONTH(수납!$B389),VALUE(LEFT(수납!$B389,4))*100+VALUE(MID(수납!$B389,6,2)))),"")</f>
        <v/>
      </c>
      <c r="C389">
        <f>IF(OR(수납!$E389="수강료",수납!$E389=""),N(수납!$F389),0)</f>
        <v/>
      </c>
      <c r="E389">
        <f>IF(원생!$A389="","",원생!$A389&amp;"|"&amp;원생!$G389)</f>
        <v/>
      </c>
    </row>
    <row r="390">
      <c r="A390">
        <f>IF(수납!$C390="","",수납!$C390&amp;"|"&amp;IF(수납!$D390&lt;&gt;"",수납!$D390,IF(COUNTIF(원생!$A$2:$A$501,수납!$C390)=1,INDEX(원생!$G$2:$G$501,MATCH(수납!$C390,원생!$A$2:$A$501,0))&amp;"","")))</f>
        <v/>
      </c>
      <c r="B390">
        <f>IFERROR(IF(수납!$B390="",YEAR(수납!$A390)*100+MONTH(수납!$A390),IF(ISNUMBER(수납!$B390),YEAR(수납!$B390)*100+MONTH(수납!$B390),VALUE(LEFT(수납!$B390,4))*100+VALUE(MID(수납!$B390,6,2)))),"")</f>
        <v/>
      </c>
      <c r="C390">
        <f>IF(OR(수납!$E390="수강료",수납!$E390=""),N(수납!$F390),0)</f>
        <v/>
      </c>
      <c r="E390">
        <f>IF(원생!$A390="","",원생!$A390&amp;"|"&amp;원생!$G390)</f>
        <v/>
      </c>
    </row>
    <row r="391">
      <c r="A391">
        <f>IF(수납!$C391="","",수납!$C391&amp;"|"&amp;IF(수납!$D391&lt;&gt;"",수납!$D391,IF(COUNTIF(원생!$A$2:$A$501,수납!$C391)=1,INDEX(원생!$G$2:$G$501,MATCH(수납!$C391,원생!$A$2:$A$501,0))&amp;"","")))</f>
        <v/>
      </c>
      <c r="B391">
        <f>IFERROR(IF(수납!$B391="",YEAR(수납!$A391)*100+MONTH(수납!$A391),IF(ISNUMBER(수납!$B391),YEAR(수납!$B391)*100+MONTH(수납!$B391),VALUE(LEFT(수납!$B391,4))*100+VALUE(MID(수납!$B391,6,2)))),"")</f>
        <v/>
      </c>
      <c r="C391">
        <f>IF(OR(수납!$E391="수강료",수납!$E391=""),N(수납!$F391),0)</f>
        <v/>
      </c>
      <c r="E391">
        <f>IF(원생!$A391="","",원생!$A391&amp;"|"&amp;원생!$G391)</f>
        <v/>
      </c>
    </row>
    <row r="392">
      <c r="A392">
        <f>IF(수납!$C392="","",수납!$C392&amp;"|"&amp;IF(수납!$D392&lt;&gt;"",수납!$D392,IF(COUNTIF(원생!$A$2:$A$501,수납!$C392)=1,INDEX(원생!$G$2:$G$501,MATCH(수납!$C392,원생!$A$2:$A$501,0))&amp;"","")))</f>
        <v/>
      </c>
      <c r="B392">
        <f>IFERROR(IF(수납!$B392="",YEAR(수납!$A392)*100+MONTH(수납!$A392),IF(ISNUMBER(수납!$B392),YEAR(수납!$B392)*100+MONTH(수납!$B392),VALUE(LEFT(수납!$B392,4))*100+VALUE(MID(수납!$B392,6,2)))),"")</f>
        <v/>
      </c>
      <c r="C392">
        <f>IF(OR(수납!$E392="수강료",수납!$E392=""),N(수납!$F392),0)</f>
        <v/>
      </c>
      <c r="E392">
        <f>IF(원생!$A392="","",원생!$A392&amp;"|"&amp;원생!$G392)</f>
        <v/>
      </c>
    </row>
    <row r="393">
      <c r="A393">
        <f>IF(수납!$C393="","",수납!$C393&amp;"|"&amp;IF(수납!$D393&lt;&gt;"",수납!$D393,IF(COUNTIF(원생!$A$2:$A$501,수납!$C393)=1,INDEX(원생!$G$2:$G$501,MATCH(수납!$C393,원생!$A$2:$A$501,0))&amp;"","")))</f>
        <v/>
      </c>
      <c r="B393">
        <f>IFERROR(IF(수납!$B393="",YEAR(수납!$A393)*100+MONTH(수납!$A393),IF(ISNUMBER(수납!$B393),YEAR(수납!$B393)*100+MONTH(수납!$B393),VALUE(LEFT(수납!$B393,4))*100+VALUE(MID(수납!$B393,6,2)))),"")</f>
        <v/>
      </c>
      <c r="C393">
        <f>IF(OR(수납!$E393="수강료",수납!$E393=""),N(수납!$F393),0)</f>
        <v/>
      </c>
      <c r="E393">
        <f>IF(원생!$A393="","",원생!$A393&amp;"|"&amp;원생!$G393)</f>
        <v/>
      </c>
    </row>
    <row r="394">
      <c r="A394">
        <f>IF(수납!$C394="","",수납!$C394&amp;"|"&amp;IF(수납!$D394&lt;&gt;"",수납!$D394,IF(COUNTIF(원생!$A$2:$A$501,수납!$C394)=1,INDEX(원생!$G$2:$G$501,MATCH(수납!$C394,원생!$A$2:$A$501,0))&amp;"","")))</f>
        <v/>
      </c>
      <c r="B394">
        <f>IFERROR(IF(수납!$B394="",YEAR(수납!$A394)*100+MONTH(수납!$A394),IF(ISNUMBER(수납!$B394),YEAR(수납!$B394)*100+MONTH(수납!$B394),VALUE(LEFT(수납!$B394,4))*100+VALUE(MID(수납!$B394,6,2)))),"")</f>
        <v/>
      </c>
      <c r="C394">
        <f>IF(OR(수납!$E394="수강료",수납!$E394=""),N(수납!$F394),0)</f>
        <v/>
      </c>
      <c r="E394">
        <f>IF(원생!$A394="","",원생!$A394&amp;"|"&amp;원생!$G394)</f>
        <v/>
      </c>
    </row>
    <row r="395">
      <c r="A395">
        <f>IF(수납!$C395="","",수납!$C395&amp;"|"&amp;IF(수납!$D395&lt;&gt;"",수납!$D395,IF(COUNTIF(원생!$A$2:$A$501,수납!$C395)=1,INDEX(원생!$G$2:$G$501,MATCH(수납!$C395,원생!$A$2:$A$501,0))&amp;"","")))</f>
        <v/>
      </c>
      <c r="B395">
        <f>IFERROR(IF(수납!$B395="",YEAR(수납!$A395)*100+MONTH(수납!$A395),IF(ISNUMBER(수납!$B395),YEAR(수납!$B395)*100+MONTH(수납!$B395),VALUE(LEFT(수납!$B395,4))*100+VALUE(MID(수납!$B395,6,2)))),"")</f>
        <v/>
      </c>
      <c r="C395">
        <f>IF(OR(수납!$E395="수강료",수납!$E395=""),N(수납!$F395),0)</f>
        <v/>
      </c>
      <c r="E395">
        <f>IF(원생!$A395="","",원생!$A395&amp;"|"&amp;원생!$G395)</f>
        <v/>
      </c>
    </row>
    <row r="396">
      <c r="A396">
        <f>IF(수납!$C396="","",수납!$C396&amp;"|"&amp;IF(수납!$D396&lt;&gt;"",수납!$D396,IF(COUNTIF(원생!$A$2:$A$501,수납!$C396)=1,INDEX(원생!$G$2:$G$501,MATCH(수납!$C396,원생!$A$2:$A$501,0))&amp;"","")))</f>
        <v/>
      </c>
      <c r="B396">
        <f>IFERROR(IF(수납!$B396="",YEAR(수납!$A396)*100+MONTH(수납!$A396),IF(ISNUMBER(수납!$B396),YEAR(수납!$B396)*100+MONTH(수납!$B396),VALUE(LEFT(수납!$B396,4))*100+VALUE(MID(수납!$B396,6,2)))),"")</f>
        <v/>
      </c>
      <c r="C396">
        <f>IF(OR(수납!$E396="수강료",수납!$E396=""),N(수납!$F396),0)</f>
        <v/>
      </c>
      <c r="E396">
        <f>IF(원생!$A396="","",원생!$A396&amp;"|"&amp;원생!$G396)</f>
        <v/>
      </c>
    </row>
    <row r="397">
      <c r="A397">
        <f>IF(수납!$C397="","",수납!$C397&amp;"|"&amp;IF(수납!$D397&lt;&gt;"",수납!$D397,IF(COUNTIF(원생!$A$2:$A$501,수납!$C397)=1,INDEX(원생!$G$2:$G$501,MATCH(수납!$C397,원생!$A$2:$A$501,0))&amp;"","")))</f>
        <v/>
      </c>
      <c r="B397">
        <f>IFERROR(IF(수납!$B397="",YEAR(수납!$A397)*100+MONTH(수납!$A397),IF(ISNUMBER(수납!$B397),YEAR(수납!$B397)*100+MONTH(수납!$B397),VALUE(LEFT(수납!$B397,4))*100+VALUE(MID(수납!$B397,6,2)))),"")</f>
        <v/>
      </c>
      <c r="C397">
        <f>IF(OR(수납!$E397="수강료",수납!$E397=""),N(수납!$F397),0)</f>
        <v/>
      </c>
      <c r="E397">
        <f>IF(원생!$A397="","",원생!$A397&amp;"|"&amp;원생!$G397)</f>
        <v/>
      </c>
    </row>
    <row r="398">
      <c r="A398">
        <f>IF(수납!$C398="","",수납!$C398&amp;"|"&amp;IF(수납!$D398&lt;&gt;"",수납!$D398,IF(COUNTIF(원생!$A$2:$A$501,수납!$C398)=1,INDEX(원생!$G$2:$G$501,MATCH(수납!$C398,원생!$A$2:$A$501,0))&amp;"","")))</f>
        <v/>
      </c>
      <c r="B398">
        <f>IFERROR(IF(수납!$B398="",YEAR(수납!$A398)*100+MONTH(수납!$A398),IF(ISNUMBER(수납!$B398),YEAR(수납!$B398)*100+MONTH(수납!$B398),VALUE(LEFT(수납!$B398,4))*100+VALUE(MID(수납!$B398,6,2)))),"")</f>
        <v/>
      </c>
      <c r="C398">
        <f>IF(OR(수납!$E398="수강료",수납!$E398=""),N(수납!$F398),0)</f>
        <v/>
      </c>
      <c r="E398">
        <f>IF(원생!$A398="","",원생!$A398&amp;"|"&amp;원생!$G398)</f>
        <v/>
      </c>
    </row>
    <row r="399">
      <c r="A399">
        <f>IF(수납!$C399="","",수납!$C399&amp;"|"&amp;IF(수납!$D399&lt;&gt;"",수납!$D399,IF(COUNTIF(원생!$A$2:$A$501,수납!$C399)=1,INDEX(원생!$G$2:$G$501,MATCH(수납!$C399,원생!$A$2:$A$501,0))&amp;"","")))</f>
        <v/>
      </c>
      <c r="B399">
        <f>IFERROR(IF(수납!$B399="",YEAR(수납!$A399)*100+MONTH(수납!$A399),IF(ISNUMBER(수납!$B399),YEAR(수납!$B399)*100+MONTH(수납!$B399),VALUE(LEFT(수납!$B399,4))*100+VALUE(MID(수납!$B399,6,2)))),"")</f>
        <v/>
      </c>
      <c r="C399">
        <f>IF(OR(수납!$E399="수강료",수납!$E399=""),N(수납!$F399),0)</f>
        <v/>
      </c>
      <c r="E399">
        <f>IF(원생!$A399="","",원생!$A399&amp;"|"&amp;원생!$G399)</f>
        <v/>
      </c>
    </row>
    <row r="400">
      <c r="A400">
        <f>IF(수납!$C400="","",수납!$C400&amp;"|"&amp;IF(수납!$D400&lt;&gt;"",수납!$D400,IF(COUNTIF(원생!$A$2:$A$501,수납!$C400)=1,INDEX(원생!$G$2:$G$501,MATCH(수납!$C400,원생!$A$2:$A$501,0))&amp;"","")))</f>
        <v/>
      </c>
      <c r="B400">
        <f>IFERROR(IF(수납!$B400="",YEAR(수납!$A400)*100+MONTH(수납!$A400),IF(ISNUMBER(수납!$B400),YEAR(수납!$B400)*100+MONTH(수납!$B400),VALUE(LEFT(수납!$B400,4))*100+VALUE(MID(수납!$B400,6,2)))),"")</f>
        <v/>
      </c>
      <c r="C400">
        <f>IF(OR(수납!$E400="수강료",수납!$E400=""),N(수납!$F400),0)</f>
        <v/>
      </c>
      <c r="E400">
        <f>IF(원생!$A400="","",원생!$A400&amp;"|"&amp;원생!$G400)</f>
        <v/>
      </c>
    </row>
    <row r="401">
      <c r="A401">
        <f>IF(수납!$C401="","",수납!$C401&amp;"|"&amp;IF(수납!$D401&lt;&gt;"",수납!$D401,IF(COUNTIF(원생!$A$2:$A$501,수납!$C401)=1,INDEX(원생!$G$2:$G$501,MATCH(수납!$C401,원생!$A$2:$A$501,0))&amp;"","")))</f>
        <v/>
      </c>
      <c r="B401">
        <f>IFERROR(IF(수납!$B401="",YEAR(수납!$A401)*100+MONTH(수납!$A401),IF(ISNUMBER(수납!$B401),YEAR(수납!$B401)*100+MONTH(수납!$B401),VALUE(LEFT(수납!$B401,4))*100+VALUE(MID(수납!$B401,6,2)))),"")</f>
        <v/>
      </c>
      <c r="C401">
        <f>IF(OR(수납!$E401="수강료",수납!$E401=""),N(수납!$F401),0)</f>
        <v/>
      </c>
      <c r="E401">
        <f>IF(원생!$A401="","",원생!$A401&amp;"|"&amp;원생!$G401)</f>
        <v/>
      </c>
    </row>
    <row r="402">
      <c r="A402">
        <f>IF(수납!$C402="","",수납!$C402&amp;"|"&amp;IF(수납!$D402&lt;&gt;"",수납!$D402,IF(COUNTIF(원생!$A$2:$A$501,수납!$C402)=1,INDEX(원생!$G$2:$G$501,MATCH(수납!$C402,원생!$A$2:$A$501,0))&amp;"","")))</f>
        <v/>
      </c>
      <c r="B402">
        <f>IFERROR(IF(수납!$B402="",YEAR(수납!$A402)*100+MONTH(수납!$A402),IF(ISNUMBER(수납!$B402),YEAR(수납!$B402)*100+MONTH(수납!$B402),VALUE(LEFT(수납!$B402,4))*100+VALUE(MID(수납!$B402,6,2)))),"")</f>
        <v/>
      </c>
      <c r="C402">
        <f>IF(OR(수납!$E402="수강료",수납!$E402=""),N(수납!$F402),0)</f>
        <v/>
      </c>
      <c r="E402">
        <f>IF(원생!$A402="","",원생!$A402&amp;"|"&amp;원생!$G402)</f>
        <v/>
      </c>
    </row>
    <row r="403">
      <c r="A403">
        <f>IF(수납!$C403="","",수납!$C403&amp;"|"&amp;IF(수납!$D403&lt;&gt;"",수납!$D403,IF(COUNTIF(원생!$A$2:$A$501,수납!$C403)=1,INDEX(원생!$G$2:$G$501,MATCH(수납!$C403,원생!$A$2:$A$501,0))&amp;"","")))</f>
        <v/>
      </c>
      <c r="B403">
        <f>IFERROR(IF(수납!$B403="",YEAR(수납!$A403)*100+MONTH(수납!$A403),IF(ISNUMBER(수납!$B403),YEAR(수납!$B403)*100+MONTH(수납!$B403),VALUE(LEFT(수납!$B403,4))*100+VALUE(MID(수납!$B403,6,2)))),"")</f>
        <v/>
      </c>
      <c r="C403">
        <f>IF(OR(수납!$E403="수강료",수납!$E403=""),N(수납!$F403),0)</f>
        <v/>
      </c>
      <c r="E403">
        <f>IF(원생!$A403="","",원생!$A403&amp;"|"&amp;원생!$G403)</f>
        <v/>
      </c>
    </row>
    <row r="404">
      <c r="A404">
        <f>IF(수납!$C404="","",수납!$C404&amp;"|"&amp;IF(수납!$D404&lt;&gt;"",수납!$D404,IF(COUNTIF(원생!$A$2:$A$501,수납!$C404)=1,INDEX(원생!$G$2:$G$501,MATCH(수납!$C404,원생!$A$2:$A$501,0))&amp;"","")))</f>
        <v/>
      </c>
      <c r="B404">
        <f>IFERROR(IF(수납!$B404="",YEAR(수납!$A404)*100+MONTH(수납!$A404),IF(ISNUMBER(수납!$B404),YEAR(수납!$B404)*100+MONTH(수납!$B404),VALUE(LEFT(수납!$B404,4))*100+VALUE(MID(수납!$B404,6,2)))),"")</f>
        <v/>
      </c>
      <c r="C404">
        <f>IF(OR(수납!$E404="수강료",수납!$E404=""),N(수납!$F404),0)</f>
        <v/>
      </c>
      <c r="E404">
        <f>IF(원생!$A404="","",원생!$A404&amp;"|"&amp;원생!$G404)</f>
        <v/>
      </c>
    </row>
    <row r="405">
      <c r="A405">
        <f>IF(수납!$C405="","",수납!$C405&amp;"|"&amp;IF(수납!$D405&lt;&gt;"",수납!$D405,IF(COUNTIF(원생!$A$2:$A$501,수납!$C405)=1,INDEX(원생!$G$2:$G$501,MATCH(수납!$C405,원생!$A$2:$A$501,0))&amp;"","")))</f>
        <v/>
      </c>
      <c r="B405">
        <f>IFERROR(IF(수납!$B405="",YEAR(수납!$A405)*100+MONTH(수납!$A405),IF(ISNUMBER(수납!$B405),YEAR(수납!$B405)*100+MONTH(수납!$B405),VALUE(LEFT(수납!$B405,4))*100+VALUE(MID(수납!$B405,6,2)))),"")</f>
        <v/>
      </c>
      <c r="C405">
        <f>IF(OR(수납!$E405="수강료",수납!$E405=""),N(수납!$F405),0)</f>
        <v/>
      </c>
      <c r="E405">
        <f>IF(원생!$A405="","",원생!$A405&amp;"|"&amp;원생!$G405)</f>
        <v/>
      </c>
    </row>
    <row r="406">
      <c r="A406">
        <f>IF(수납!$C406="","",수납!$C406&amp;"|"&amp;IF(수납!$D406&lt;&gt;"",수납!$D406,IF(COUNTIF(원생!$A$2:$A$501,수납!$C406)=1,INDEX(원생!$G$2:$G$501,MATCH(수납!$C406,원생!$A$2:$A$501,0))&amp;"","")))</f>
        <v/>
      </c>
      <c r="B406">
        <f>IFERROR(IF(수납!$B406="",YEAR(수납!$A406)*100+MONTH(수납!$A406),IF(ISNUMBER(수납!$B406),YEAR(수납!$B406)*100+MONTH(수납!$B406),VALUE(LEFT(수납!$B406,4))*100+VALUE(MID(수납!$B406,6,2)))),"")</f>
        <v/>
      </c>
      <c r="C406">
        <f>IF(OR(수납!$E406="수강료",수납!$E406=""),N(수납!$F406),0)</f>
        <v/>
      </c>
      <c r="E406">
        <f>IF(원생!$A406="","",원생!$A406&amp;"|"&amp;원생!$G406)</f>
        <v/>
      </c>
    </row>
    <row r="407">
      <c r="A407">
        <f>IF(수납!$C407="","",수납!$C407&amp;"|"&amp;IF(수납!$D407&lt;&gt;"",수납!$D407,IF(COUNTIF(원생!$A$2:$A$501,수납!$C407)=1,INDEX(원생!$G$2:$G$501,MATCH(수납!$C407,원생!$A$2:$A$501,0))&amp;"","")))</f>
        <v/>
      </c>
      <c r="B407">
        <f>IFERROR(IF(수납!$B407="",YEAR(수납!$A407)*100+MONTH(수납!$A407),IF(ISNUMBER(수납!$B407),YEAR(수납!$B407)*100+MONTH(수납!$B407),VALUE(LEFT(수납!$B407,4))*100+VALUE(MID(수납!$B407,6,2)))),"")</f>
        <v/>
      </c>
      <c r="C407">
        <f>IF(OR(수납!$E407="수강료",수납!$E407=""),N(수납!$F407),0)</f>
        <v/>
      </c>
      <c r="E407">
        <f>IF(원생!$A407="","",원생!$A407&amp;"|"&amp;원생!$G407)</f>
        <v/>
      </c>
    </row>
    <row r="408">
      <c r="A408">
        <f>IF(수납!$C408="","",수납!$C408&amp;"|"&amp;IF(수납!$D408&lt;&gt;"",수납!$D408,IF(COUNTIF(원생!$A$2:$A$501,수납!$C408)=1,INDEX(원생!$G$2:$G$501,MATCH(수납!$C408,원생!$A$2:$A$501,0))&amp;"","")))</f>
        <v/>
      </c>
      <c r="B408">
        <f>IFERROR(IF(수납!$B408="",YEAR(수납!$A408)*100+MONTH(수납!$A408),IF(ISNUMBER(수납!$B408),YEAR(수납!$B408)*100+MONTH(수납!$B408),VALUE(LEFT(수납!$B408,4))*100+VALUE(MID(수납!$B408,6,2)))),"")</f>
        <v/>
      </c>
      <c r="C408">
        <f>IF(OR(수납!$E408="수강료",수납!$E408=""),N(수납!$F408),0)</f>
        <v/>
      </c>
      <c r="E408">
        <f>IF(원생!$A408="","",원생!$A408&amp;"|"&amp;원생!$G408)</f>
        <v/>
      </c>
    </row>
    <row r="409">
      <c r="A409">
        <f>IF(수납!$C409="","",수납!$C409&amp;"|"&amp;IF(수납!$D409&lt;&gt;"",수납!$D409,IF(COUNTIF(원생!$A$2:$A$501,수납!$C409)=1,INDEX(원생!$G$2:$G$501,MATCH(수납!$C409,원생!$A$2:$A$501,0))&amp;"","")))</f>
        <v/>
      </c>
      <c r="B409">
        <f>IFERROR(IF(수납!$B409="",YEAR(수납!$A409)*100+MONTH(수납!$A409),IF(ISNUMBER(수납!$B409),YEAR(수납!$B409)*100+MONTH(수납!$B409),VALUE(LEFT(수납!$B409,4))*100+VALUE(MID(수납!$B409,6,2)))),"")</f>
        <v/>
      </c>
      <c r="C409">
        <f>IF(OR(수납!$E409="수강료",수납!$E409=""),N(수납!$F409),0)</f>
        <v/>
      </c>
      <c r="E409">
        <f>IF(원생!$A409="","",원생!$A409&amp;"|"&amp;원생!$G409)</f>
        <v/>
      </c>
    </row>
    <row r="410">
      <c r="A410">
        <f>IF(수납!$C410="","",수납!$C410&amp;"|"&amp;IF(수납!$D410&lt;&gt;"",수납!$D410,IF(COUNTIF(원생!$A$2:$A$501,수납!$C410)=1,INDEX(원생!$G$2:$G$501,MATCH(수납!$C410,원생!$A$2:$A$501,0))&amp;"","")))</f>
        <v/>
      </c>
      <c r="B410">
        <f>IFERROR(IF(수납!$B410="",YEAR(수납!$A410)*100+MONTH(수납!$A410),IF(ISNUMBER(수납!$B410),YEAR(수납!$B410)*100+MONTH(수납!$B410),VALUE(LEFT(수납!$B410,4))*100+VALUE(MID(수납!$B410,6,2)))),"")</f>
        <v/>
      </c>
      <c r="C410">
        <f>IF(OR(수납!$E410="수강료",수납!$E410=""),N(수납!$F410),0)</f>
        <v/>
      </c>
      <c r="E410">
        <f>IF(원생!$A410="","",원생!$A410&amp;"|"&amp;원생!$G410)</f>
        <v/>
      </c>
    </row>
    <row r="411">
      <c r="A411">
        <f>IF(수납!$C411="","",수납!$C411&amp;"|"&amp;IF(수납!$D411&lt;&gt;"",수납!$D411,IF(COUNTIF(원생!$A$2:$A$501,수납!$C411)=1,INDEX(원생!$G$2:$G$501,MATCH(수납!$C411,원생!$A$2:$A$501,0))&amp;"","")))</f>
        <v/>
      </c>
      <c r="B411">
        <f>IFERROR(IF(수납!$B411="",YEAR(수납!$A411)*100+MONTH(수납!$A411),IF(ISNUMBER(수납!$B411),YEAR(수납!$B411)*100+MONTH(수납!$B411),VALUE(LEFT(수납!$B411,4))*100+VALUE(MID(수납!$B411,6,2)))),"")</f>
        <v/>
      </c>
      <c r="C411">
        <f>IF(OR(수납!$E411="수강료",수납!$E411=""),N(수납!$F411),0)</f>
        <v/>
      </c>
      <c r="E411">
        <f>IF(원생!$A411="","",원생!$A411&amp;"|"&amp;원생!$G411)</f>
        <v/>
      </c>
    </row>
    <row r="412">
      <c r="A412">
        <f>IF(수납!$C412="","",수납!$C412&amp;"|"&amp;IF(수납!$D412&lt;&gt;"",수납!$D412,IF(COUNTIF(원생!$A$2:$A$501,수납!$C412)=1,INDEX(원생!$G$2:$G$501,MATCH(수납!$C412,원생!$A$2:$A$501,0))&amp;"","")))</f>
        <v/>
      </c>
      <c r="B412">
        <f>IFERROR(IF(수납!$B412="",YEAR(수납!$A412)*100+MONTH(수납!$A412),IF(ISNUMBER(수납!$B412),YEAR(수납!$B412)*100+MONTH(수납!$B412),VALUE(LEFT(수납!$B412,4))*100+VALUE(MID(수납!$B412,6,2)))),"")</f>
        <v/>
      </c>
      <c r="C412">
        <f>IF(OR(수납!$E412="수강료",수납!$E412=""),N(수납!$F412),0)</f>
        <v/>
      </c>
      <c r="E412">
        <f>IF(원생!$A412="","",원생!$A412&amp;"|"&amp;원생!$G412)</f>
        <v/>
      </c>
    </row>
    <row r="413">
      <c r="A413">
        <f>IF(수납!$C413="","",수납!$C413&amp;"|"&amp;IF(수납!$D413&lt;&gt;"",수납!$D413,IF(COUNTIF(원생!$A$2:$A$501,수납!$C413)=1,INDEX(원생!$G$2:$G$501,MATCH(수납!$C413,원생!$A$2:$A$501,0))&amp;"","")))</f>
        <v/>
      </c>
      <c r="B413">
        <f>IFERROR(IF(수납!$B413="",YEAR(수납!$A413)*100+MONTH(수납!$A413),IF(ISNUMBER(수납!$B413),YEAR(수납!$B413)*100+MONTH(수납!$B413),VALUE(LEFT(수납!$B413,4))*100+VALUE(MID(수납!$B413,6,2)))),"")</f>
        <v/>
      </c>
      <c r="C413">
        <f>IF(OR(수납!$E413="수강료",수납!$E413=""),N(수납!$F413),0)</f>
        <v/>
      </c>
      <c r="E413">
        <f>IF(원생!$A413="","",원생!$A413&amp;"|"&amp;원생!$G413)</f>
        <v/>
      </c>
    </row>
    <row r="414">
      <c r="A414">
        <f>IF(수납!$C414="","",수납!$C414&amp;"|"&amp;IF(수납!$D414&lt;&gt;"",수납!$D414,IF(COUNTIF(원생!$A$2:$A$501,수납!$C414)=1,INDEX(원생!$G$2:$G$501,MATCH(수납!$C414,원생!$A$2:$A$501,0))&amp;"","")))</f>
        <v/>
      </c>
      <c r="B414">
        <f>IFERROR(IF(수납!$B414="",YEAR(수납!$A414)*100+MONTH(수납!$A414),IF(ISNUMBER(수납!$B414),YEAR(수납!$B414)*100+MONTH(수납!$B414),VALUE(LEFT(수납!$B414,4))*100+VALUE(MID(수납!$B414,6,2)))),"")</f>
        <v/>
      </c>
      <c r="C414">
        <f>IF(OR(수납!$E414="수강료",수납!$E414=""),N(수납!$F414),0)</f>
        <v/>
      </c>
      <c r="E414">
        <f>IF(원생!$A414="","",원생!$A414&amp;"|"&amp;원생!$G414)</f>
        <v/>
      </c>
    </row>
    <row r="415">
      <c r="A415">
        <f>IF(수납!$C415="","",수납!$C415&amp;"|"&amp;IF(수납!$D415&lt;&gt;"",수납!$D415,IF(COUNTIF(원생!$A$2:$A$501,수납!$C415)=1,INDEX(원생!$G$2:$G$501,MATCH(수납!$C415,원생!$A$2:$A$501,0))&amp;"","")))</f>
        <v/>
      </c>
      <c r="B415">
        <f>IFERROR(IF(수납!$B415="",YEAR(수납!$A415)*100+MONTH(수납!$A415),IF(ISNUMBER(수납!$B415),YEAR(수납!$B415)*100+MONTH(수납!$B415),VALUE(LEFT(수납!$B415,4))*100+VALUE(MID(수납!$B415,6,2)))),"")</f>
        <v/>
      </c>
      <c r="C415">
        <f>IF(OR(수납!$E415="수강료",수납!$E415=""),N(수납!$F415),0)</f>
        <v/>
      </c>
      <c r="E415">
        <f>IF(원생!$A415="","",원생!$A415&amp;"|"&amp;원생!$G415)</f>
        <v/>
      </c>
    </row>
    <row r="416">
      <c r="A416">
        <f>IF(수납!$C416="","",수납!$C416&amp;"|"&amp;IF(수납!$D416&lt;&gt;"",수납!$D416,IF(COUNTIF(원생!$A$2:$A$501,수납!$C416)=1,INDEX(원생!$G$2:$G$501,MATCH(수납!$C416,원생!$A$2:$A$501,0))&amp;"","")))</f>
        <v/>
      </c>
      <c r="B416">
        <f>IFERROR(IF(수납!$B416="",YEAR(수납!$A416)*100+MONTH(수납!$A416),IF(ISNUMBER(수납!$B416),YEAR(수납!$B416)*100+MONTH(수납!$B416),VALUE(LEFT(수납!$B416,4))*100+VALUE(MID(수납!$B416,6,2)))),"")</f>
        <v/>
      </c>
      <c r="C416">
        <f>IF(OR(수납!$E416="수강료",수납!$E416=""),N(수납!$F416),0)</f>
        <v/>
      </c>
      <c r="E416">
        <f>IF(원생!$A416="","",원생!$A416&amp;"|"&amp;원생!$G416)</f>
        <v/>
      </c>
    </row>
    <row r="417">
      <c r="A417">
        <f>IF(수납!$C417="","",수납!$C417&amp;"|"&amp;IF(수납!$D417&lt;&gt;"",수납!$D417,IF(COUNTIF(원생!$A$2:$A$501,수납!$C417)=1,INDEX(원생!$G$2:$G$501,MATCH(수납!$C417,원생!$A$2:$A$501,0))&amp;"","")))</f>
        <v/>
      </c>
      <c r="B417">
        <f>IFERROR(IF(수납!$B417="",YEAR(수납!$A417)*100+MONTH(수납!$A417),IF(ISNUMBER(수납!$B417),YEAR(수납!$B417)*100+MONTH(수납!$B417),VALUE(LEFT(수납!$B417,4))*100+VALUE(MID(수납!$B417,6,2)))),"")</f>
        <v/>
      </c>
      <c r="C417">
        <f>IF(OR(수납!$E417="수강료",수납!$E417=""),N(수납!$F417),0)</f>
        <v/>
      </c>
      <c r="E417">
        <f>IF(원생!$A417="","",원생!$A417&amp;"|"&amp;원생!$G417)</f>
        <v/>
      </c>
    </row>
    <row r="418">
      <c r="A418">
        <f>IF(수납!$C418="","",수납!$C418&amp;"|"&amp;IF(수납!$D418&lt;&gt;"",수납!$D418,IF(COUNTIF(원생!$A$2:$A$501,수납!$C418)=1,INDEX(원생!$G$2:$G$501,MATCH(수납!$C418,원생!$A$2:$A$501,0))&amp;"","")))</f>
        <v/>
      </c>
      <c r="B418">
        <f>IFERROR(IF(수납!$B418="",YEAR(수납!$A418)*100+MONTH(수납!$A418),IF(ISNUMBER(수납!$B418),YEAR(수납!$B418)*100+MONTH(수납!$B418),VALUE(LEFT(수납!$B418,4))*100+VALUE(MID(수납!$B418,6,2)))),"")</f>
        <v/>
      </c>
      <c r="C418">
        <f>IF(OR(수납!$E418="수강료",수납!$E418=""),N(수납!$F418),0)</f>
        <v/>
      </c>
      <c r="E418">
        <f>IF(원생!$A418="","",원생!$A418&amp;"|"&amp;원생!$G418)</f>
        <v/>
      </c>
    </row>
    <row r="419">
      <c r="A419">
        <f>IF(수납!$C419="","",수납!$C419&amp;"|"&amp;IF(수납!$D419&lt;&gt;"",수납!$D419,IF(COUNTIF(원생!$A$2:$A$501,수납!$C419)=1,INDEX(원생!$G$2:$G$501,MATCH(수납!$C419,원생!$A$2:$A$501,0))&amp;"","")))</f>
        <v/>
      </c>
      <c r="B419">
        <f>IFERROR(IF(수납!$B419="",YEAR(수납!$A419)*100+MONTH(수납!$A419),IF(ISNUMBER(수납!$B419),YEAR(수납!$B419)*100+MONTH(수납!$B419),VALUE(LEFT(수납!$B419,4))*100+VALUE(MID(수납!$B419,6,2)))),"")</f>
        <v/>
      </c>
      <c r="C419">
        <f>IF(OR(수납!$E419="수강료",수납!$E419=""),N(수납!$F419),0)</f>
        <v/>
      </c>
      <c r="E419">
        <f>IF(원생!$A419="","",원생!$A419&amp;"|"&amp;원생!$G419)</f>
        <v/>
      </c>
    </row>
    <row r="420">
      <c r="A420">
        <f>IF(수납!$C420="","",수납!$C420&amp;"|"&amp;IF(수납!$D420&lt;&gt;"",수납!$D420,IF(COUNTIF(원생!$A$2:$A$501,수납!$C420)=1,INDEX(원생!$G$2:$G$501,MATCH(수납!$C420,원생!$A$2:$A$501,0))&amp;"","")))</f>
        <v/>
      </c>
      <c r="B420">
        <f>IFERROR(IF(수납!$B420="",YEAR(수납!$A420)*100+MONTH(수납!$A420),IF(ISNUMBER(수납!$B420),YEAR(수납!$B420)*100+MONTH(수납!$B420),VALUE(LEFT(수납!$B420,4))*100+VALUE(MID(수납!$B420,6,2)))),"")</f>
        <v/>
      </c>
      <c r="C420">
        <f>IF(OR(수납!$E420="수강료",수납!$E420=""),N(수납!$F420),0)</f>
        <v/>
      </c>
      <c r="E420">
        <f>IF(원생!$A420="","",원생!$A420&amp;"|"&amp;원생!$G420)</f>
        <v/>
      </c>
    </row>
    <row r="421">
      <c r="A421">
        <f>IF(수납!$C421="","",수납!$C421&amp;"|"&amp;IF(수납!$D421&lt;&gt;"",수납!$D421,IF(COUNTIF(원생!$A$2:$A$501,수납!$C421)=1,INDEX(원생!$G$2:$G$501,MATCH(수납!$C421,원생!$A$2:$A$501,0))&amp;"","")))</f>
        <v/>
      </c>
      <c r="B421">
        <f>IFERROR(IF(수납!$B421="",YEAR(수납!$A421)*100+MONTH(수납!$A421),IF(ISNUMBER(수납!$B421),YEAR(수납!$B421)*100+MONTH(수납!$B421),VALUE(LEFT(수납!$B421,4))*100+VALUE(MID(수납!$B421,6,2)))),"")</f>
        <v/>
      </c>
      <c r="C421">
        <f>IF(OR(수납!$E421="수강료",수납!$E421=""),N(수납!$F421),0)</f>
        <v/>
      </c>
      <c r="E421">
        <f>IF(원생!$A421="","",원생!$A421&amp;"|"&amp;원생!$G421)</f>
        <v/>
      </c>
    </row>
    <row r="422">
      <c r="A422">
        <f>IF(수납!$C422="","",수납!$C422&amp;"|"&amp;IF(수납!$D422&lt;&gt;"",수납!$D422,IF(COUNTIF(원생!$A$2:$A$501,수납!$C422)=1,INDEX(원생!$G$2:$G$501,MATCH(수납!$C422,원생!$A$2:$A$501,0))&amp;"","")))</f>
        <v/>
      </c>
      <c r="B422">
        <f>IFERROR(IF(수납!$B422="",YEAR(수납!$A422)*100+MONTH(수납!$A422),IF(ISNUMBER(수납!$B422),YEAR(수납!$B422)*100+MONTH(수납!$B422),VALUE(LEFT(수납!$B422,4))*100+VALUE(MID(수납!$B422,6,2)))),"")</f>
        <v/>
      </c>
      <c r="C422">
        <f>IF(OR(수납!$E422="수강료",수납!$E422=""),N(수납!$F422),0)</f>
        <v/>
      </c>
      <c r="E422">
        <f>IF(원생!$A422="","",원생!$A422&amp;"|"&amp;원생!$G422)</f>
        <v/>
      </c>
    </row>
    <row r="423">
      <c r="A423">
        <f>IF(수납!$C423="","",수납!$C423&amp;"|"&amp;IF(수납!$D423&lt;&gt;"",수납!$D423,IF(COUNTIF(원생!$A$2:$A$501,수납!$C423)=1,INDEX(원생!$G$2:$G$501,MATCH(수납!$C423,원생!$A$2:$A$501,0))&amp;"","")))</f>
        <v/>
      </c>
      <c r="B423">
        <f>IFERROR(IF(수납!$B423="",YEAR(수납!$A423)*100+MONTH(수납!$A423),IF(ISNUMBER(수납!$B423),YEAR(수납!$B423)*100+MONTH(수납!$B423),VALUE(LEFT(수납!$B423,4))*100+VALUE(MID(수납!$B423,6,2)))),"")</f>
        <v/>
      </c>
      <c r="C423">
        <f>IF(OR(수납!$E423="수강료",수납!$E423=""),N(수납!$F423),0)</f>
        <v/>
      </c>
      <c r="E423">
        <f>IF(원생!$A423="","",원생!$A423&amp;"|"&amp;원생!$G423)</f>
        <v/>
      </c>
    </row>
    <row r="424">
      <c r="A424">
        <f>IF(수납!$C424="","",수납!$C424&amp;"|"&amp;IF(수납!$D424&lt;&gt;"",수납!$D424,IF(COUNTIF(원생!$A$2:$A$501,수납!$C424)=1,INDEX(원생!$G$2:$G$501,MATCH(수납!$C424,원생!$A$2:$A$501,0))&amp;"","")))</f>
        <v/>
      </c>
      <c r="B424">
        <f>IFERROR(IF(수납!$B424="",YEAR(수납!$A424)*100+MONTH(수납!$A424),IF(ISNUMBER(수납!$B424),YEAR(수납!$B424)*100+MONTH(수납!$B424),VALUE(LEFT(수납!$B424,4))*100+VALUE(MID(수납!$B424,6,2)))),"")</f>
        <v/>
      </c>
      <c r="C424">
        <f>IF(OR(수납!$E424="수강료",수납!$E424=""),N(수납!$F424),0)</f>
        <v/>
      </c>
      <c r="E424">
        <f>IF(원생!$A424="","",원생!$A424&amp;"|"&amp;원생!$G424)</f>
        <v/>
      </c>
    </row>
    <row r="425">
      <c r="A425">
        <f>IF(수납!$C425="","",수납!$C425&amp;"|"&amp;IF(수납!$D425&lt;&gt;"",수납!$D425,IF(COUNTIF(원생!$A$2:$A$501,수납!$C425)=1,INDEX(원생!$G$2:$G$501,MATCH(수납!$C425,원생!$A$2:$A$501,0))&amp;"","")))</f>
        <v/>
      </c>
      <c r="B425">
        <f>IFERROR(IF(수납!$B425="",YEAR(수납!$A425)*100+MONTH(수납!$A425),IF(ISNUMBER(수납!$B425),YEAR(수납!$B425)*100+MONTH(수납!$B425),VALUE(LEFT(수납!$B425,4))*100+VALUE(MID(수납!$B425,6,2)))),"")</f>
        <v/>
      </c>
      <c r="C425">
        <f>IF(OR(수납!$E425="수강료",수납!$E425=""),N(수납!$F425),0)</f>
        <v/>
      </c>
      <c r="E425">
        <f>IF(원생!$A425="","",원생!$A425&amp;"|"&amp;원생!$G425)</f>
        <v/>
      </c>
    </row>
    <row r="426">
      <c r="A426">
        <f>IF(수납!$C426="","",수납!$C426&amp;"|"&amp;IF(수납!$D426&lt;&gt;"",수납!$D426,IF(COUNTIF(원생!$A$2:$A$501,수납!$C426)=1,INDEX(원생!$G$2:$G$501,MATCH(수납!$C426,원생!$A$2:$A$501,0))&amp;"","")))</f>
        <v/>
      </c>
      <c r="B426">
        <f>IFERROR(IF(수납!$B426="",YEAR(수납!$A426)*100+MONTH(수납!$A426),IF(ISNUMBER(수납!$B426),YEAR(수납!$B426)*100+MONTH(수납!$B426),VALUE(LEFT(수납!$B426,4))*100+VALUE(MID(수납!$B426,6,2)))),"")</f>
        <v/>
      </c>
      <c r="C426">
        <f>IF(OR(수납!$E426="수강료",수납!$E426=""),N(수납!$F426),0)</f>
        <v/>
      </c>
      <c r="E426">
        <f>IF(원생!$A426="","",원생!$A426&amp;"|"&amp;원생!$G426)</f>
        <v/>
      </c>
    </row>
    <row r="427">
      <c r="A427">
        <f>IF(수납!$C427="","",수납!$C427&amp;"|"&amp;IF(수납!$D427&lt;&gt;"",수납!$D427,IF(COUNTIF(원생!$A$2:$A$501,수납!$C427)=1,INDEX(원생!$G$2:$G$501,MATCH(수납!$C427,원생!$A$2:$A$501,0))&amp;"","")))</f>
        <v/>
      </c>
      <c r="B427">
        <f>IFERROR(IF(수납!$B427="",YEAR(수납!$A427)*100+MONTH(수납!$A427),IF(ISNUMBER(수납!$B427),YEAR(수납!$B427)*100+MONTH(수납!$B427),VALUE(LEFT(수납!$B427,4))*100+VALUE(MID(수납!$B427,6,2)))),"")</f>
        <v/>
      </c>
      <c r="C427">
        <f>IF(OR(수납!$E427="수강료",수납!$E427=""),N(수납!$F427),0)</f>
        <v/>
      </c>
      <c r="E427">
        <f>IF(원생!$A427="","",원생!$A427&amp;"|"&amp;원생!$G427)</f>
        <v/>
      </c>
    </row>
    <row r="428">
      <c r="A428">
        <f>IF(수납!$C428="","",수납!$C428&amp;"|"&amp;IF(수납!$D428&lt;&gt;"",수납!$D428,IF(COUNTIF(원생!$A$2:$A$501,수납!$C428)=1,INDEX(원생!$G$2:$G$501,MATCH(수납!$C428,원생!$A$2:$A$501,0))&amp;"","")))</f>
        <v/>
      </c>
      <c r="B428">
        <f>IFERROR(IF(수납!$B428="",YEAR(수납!$A428)*100+MONTH(수납!$A428),IF(ISNUMBER(수납!$B428),YEAR(수납!$B428)*100+MONTH(수납!$B428),VALUE(LEFT(수납!$B428,4))*100+VALUE(MID(수납!$B428,6,2)))),"")</f>
        <v/>
      </c>
      <c r="C428">
        <f>IF(OR(수납!$E428="수강료",수납!$E428=""),N(수납!$F428),0)</f>
        <v/>
      </c>
      <c r="E428">
        <f>IF(원생!$A428="","",원생!$A428&amp;"|"&amp;원생!$G428)</f>
        <v/>
      </c>
    </row>
    <row r="429">
      <c r="A429">
        <f>IF(수납!$C429="","",수납!$C429&amp;"|"&amp;IF(수납!$D429&lt;&gt;"",수납!$D429,IF(COUNTIF(원생!$A$2:$A$501,수납!$C429)=1,INDEX(원생!$G$2:$G$501,MATCH(수납!$C429,원생!$A$2:$A$501,0))&amp;"","")))</f>
        <v/>
      </c>
      <c r="B429">
        <f>IFERROR(IF(수납!$B429="",YEAR(수납!$A429)*100+MONTH(수납!$A429),IF(ISNUMBER(수납!$B429),YEAR(수납!$B429)*100+MONTH(수납!$B429),VALUE(LEFT(수납!$B429,4))*100+VALUE(MID(수납!$B429,6,2)))),"")</f>
        <v/>
      </c>
      <c r="C429">
        <f>IF(OR(수납!$E429="수강료",수납!$E429=""),N(수납!$F429),0)</f>
        <v/>
      </c>
      <c r="E429">
        <f>IF(원생!$A429="","",원생!$A429&amp;"|"&amp;원생!$G429)</f>
        <v/>
      </c>
    </row>
    <row r="430">
      <c r="A430">
        <f>IF(수납!$C430="","",수납!$C430&amp;"|"&amp;IF(수납!$D430&lt;&gt;"",수납!$D430,IF(COUNTIF(원생!$A$2:$A$501,수납!$C430)=1,INDEX(원생!$G$2:$G$501,MATCH(수납!$C430,원생!$A$2:$A$501,0))&amp;"","")))</f>
        <v/>
      </c>
      <c r="B430">
        <f>IFERROR(IF(수납!$B430="",YEAR(수납!$A430)*100+MONTH(수납!$A430),IF(ISNUMBER(수납!$B430),YEAR(수납!$B430)*100+MONTH(수납!$B430),VALUE(LEFT(수납!$B430,4))*100+VALUE(MID(수납!$B430,6,2)))),"")</f>
        <v/>
      </c>
      <c r="C430">
        <f>IF(OR(수납!$E430="수강료",수납!$E430=""),N(수납!$F430),0)</f>
        <v/>
      </c>
      <c r="E430">
        <f>IF(원생!$A430="","",원생!$A430&amp;"|"&amp;원생!$G430)</f>
        <v/>
      </c>
    </row>
    <row r="431">
      <c r="A431">
        <f>IF(수납!$C431="","",수납!$C431&amp;"|"&amp;IF(수납!$D431&lt;&gt;"",수납!$D431,IF(COUNTIF(원생!$A$2:$A$501,수납!$C431)=1,INDEX(원생!$G$2:$G$501,MATCH(수납!$C431,원생!$A$2:$A$501,0))&amp;"","")))</f>
        <v/>
      </c>
      <c r="B431">
        <f>IFERROR(IF(수납!$B431="",YEAR(수납!$A431)*100+MONTH(수납!$A431),IF(ISNUMBER(수납!$B431),YEAR(수납!$B431)*100+MONTH(수납!$B431),VALUE(LEFT(수납!$B431,4))*100+VALUE(MID(수납!$B431,6,2)))),"")</f>
        <v/>
      </c>
      <c r="C431">
        <f>IF(OR(수납!$E431="수강료",수납!$E431=""),N(수납!$F431),0)</f>
        <v/>
      </c>
      <c r="E431">
        <f>IF(원생!$A431="","",원생!$A431&amp;"|"&amp;원생!$G431)</f>
        <v/>
      </c>
    </row>
    <row r="432">
      <c r="A432">
        <f>IF(수납!$C432="","",수납!$C432&amp;"|"&amp;IF(수납!$D432&lt;&gt;"",수납!$D432,IF(COUNTIF(원생!$A$2:$A$501,수납!$C432)=1,INDEX(원생!$G$2:$G$501,MATCH(수납!$C432,원생!$A$2:$A$501,0))&amp;"","")))</f>
        <v/>
      </c>
      <c r="B432">
        <f>IFERROR(IF(수납!$B432="",YEAR(수납!$A432)*100+MONTH(수납!$A432),IF(ISNUMBER(수납!$B432),YEAR(수납!$B432)*100+MONTH(수납!$B432),VALUE(LEFT(수납!$B432,4))*100+VALUE(MID(수납!$B432,6,2)))),"")</f>
        <v/>
      </c>
      <c r="C432">
        <f>IF(OR(수납!$E432="수강료",수납!$E432=""),N(수납!$F432),0)</f>
        <v/>
      </c>
      <c r="E432">
        <f>IF(원생!$A432="","",원생!$A432&amp;"|"&amp;원생!$G432)</f>
        <v/>
      </c>
    </row>
    <row r="433">
      <c r="A433">
        <f>IF(수납!$C433="","",수납!$C433&amp;"|"&amp;IF(수납!$D433&lt;&gt;"",수납!$D433,IF(COUNTIF(원생!$A$2:$A$501,수납!$C433)=1,INDEX(원생!$G$2:$G$501,MATCH(수납!$C433,원생!$A$2:$A$501,0))&amp;"","")))</f>
        <v/>
      </c>
      <c r="B433">
        <f>IFERROR(IF(수납!$B433="",YEAR(수납!$A433)*100+MONTH(수납!$A433),IF(ISNUMBER(수납!$B433),YEAR(수납!$B433)*100+MONTH(수납!$B433),VALUE(LEFT(수납!$B433,4))*100+VALUE(MID(수납!$B433,6,2)))),"")</f>
        <v/>
      </c>
      <c r="C433">
        <f>IF(OR(수납!$E433="수강료",수납!$E433=""),N(수납!$F433),0)</f>
        <v/>
      </c>
      <c r="E433">
        <f>IF(원생!$A433="","",원생!$A433&amp;"|"&amp;원생!$G433)</f>
        <v/>
      </c>
    </row>
    <row r="434">
      <c r="A434">
        <f>IF(수납!$C434="","",수납!$C434&amp;"|"&amp;IF(수납!$D434&lt;&gt;"",수납!$D434,IF(COUNTIF(원생!$A$2:$A$501,수납!$C434)=1,INDEX(원생!$G$2:$G$501,MATCH(수납!$C434,원생!$A$2:$A$501,0))&amp;"","")))</f>
        <v/>
      </c>
      <c r="B434">
        <f>IFERROR(IF(수납!$B434="",YEAR(수납!$A434)*100+MONTH(수납!$A434),IF(ISNUMBER(수납!$B434),YEAR(수납!$B434)*100+MONTH(수납!$B434),VALUE(LEFT(수납!$B434,4))*100+VALUE(MID(수납!$B434,6,2)))),"")</f>
        <v/>
      </c>
      <c r="C434">
        <f>IF(OR(수납!$E434="수강료",수납!$E434=""),N(수납!$F434),0)</f>
        <v/>
      </c>
      <c r="E434">
        <f>IF(원생!$A434="","",원생!$A434&amp;"|"&amp;원생!$G434)</f>
        <v/>
      </c>
    </row>
    <row r="435">
      <c r="A435">
        <f>IF(수납!$C435="","",수납!$C435&amp;"|"&amp;IF(수납!$D435&lt;&gt;"",수납!$D435,IF(COUNTIF(원생!$A$2:$A$501,수납!$C435)=1,INDEX(원생!$G$2:$G$501,MATCH(수납!$C435,원생!$A$2:$A$501,0))&amp;"","")))</f>
        <v/>
      </c>
      <c r="B435">
        <f>IFERROR(IF(수납!$B435="",YEAR(수납!$A435)*100+MONTH(수납!$A435),IF(ISNUMBER(수납!$B435),YEAR(수납!$B435)*100+MONTH(수납!$B435),VALUE(LEFT(수납!$B435,4))*100+VALUE(MID(수납!$B435,6,2)))),"")</f>
        <v/>
      </c>
      <c r="C435">
        <f>IF(OR(수납!$E435="수강료",수납!$E435=""),N(수납!$F435),0)</f>
        <v/>
      </c>
      <c r="E435">
        <f>IF(원생!$A435="","",원생!$A435&amp;"|"&amp;원생!$G435)</f>
        <v/>
      </c>
    </row>
    <row r="436">
      <c r="A436">
        <f>IF(수납!$C436="","",수납!$C436&amp;"|"&amp;IF(수납!$D436&lt;&gt;"",수납!$D436,IF(COUNTIF(원생!$A$2:$A$501,수납!$C436)=1,INDEX(원생!$G$2:$G$501,MATCH(수납!$C436,원생!$A$2:$A$501,0))&amp;"","")))</f>
        <v/>
      </c>
      <c r="B436">
        <f>IFERROR(IF(수납!$B436="",YEAR(수납!$A436)*100+MONTH(수납!$A436),IF(ISNUMBER(수납!$B436),YEAR(수납!$B436)*100+MONTH(수납!$B436),VALUE(LEFT(수납!$B436,4))*100+VALUE(MID(수납!$B436,6,2)))),"")</f>
        <v/>
      </c>
      <c r="C436">
        <f>IF(OR(수납!$E436="수강료",수납!$E436=""),N(수납!$F436),0)</f>
        <v/>
      </c>
      <c r="E436">
        <f>IF(원생!$A436="","",원생!$A436&amp;"|"&amp;원생!$G436)</f>
        <v/>
      </c>
    </row>
    <row r="437">
      <c r="A437">
        <f>IF(수납!$C437="","",수납!$C437&amp;"|"&amp;IF(수납!$D437&lt;&gt;"",수납!$D437,IF(COUNTIF(원생!$A$2:$A$501,수납!$C437)=1,INDEX(원생!$G$2:$G$501,MATCH(수납!$C437,원생!$A$2:$A$501,0))&amp;"","")))</f>
        <v/>
      </c>
      <c r="B437">
        <f>IFERROR(IF(수납!$B437="",YEAR(수납!$A437)*100+MONTH(수납!$A437),IF(ISNUMBER(수납!$B437),YEAR(수납!$B437)*100+MONTH(수납!$B437),VALUE(LEFT(수납!$B437,4))*100+VALUE(MID(수납!$B437,6,2)))),"")</f>
        <v/>
      </c>
      <c r="C437">
        <f>IF(OR(수납!$E437="수강료",수납!$E437=""),N(수납!$F437),0)</f>
        <v/>
      </c>
      <c r="E437">
        <f>IF(원생!$A437="","",원생!$A437&amp;"|"&amp;원생!$G437)</f>
        <v/>
      </c>
    </row>
    <row r="438">
      <c r="A438">
        <f>IF(수납!$C438="","",수납!$C438&amp;"|"&amp;IF(수납!$D438&lt;&gt;"",수납!$D438,IF(COUNTIF(원생!$A$2:$A$501,수납!$C438)=1,INDEX(원생!$G$2:$G$501,MATCH(수납!$C438,원생!$A$2:$A$501,0))&amp;"","")))</f>
        <v/>
      </c>
      <c r="B438">
        <f>IFERROR(IF(수납!$B438="",YEAR(수납!$A438)*100+MONTH(수납!$A438),IF(ISNUMBER(수납!$B438),YEAR(수납!$B438)*100+MONTH(수납!$B438),VALUE(LEFT(수납!$B438,4))*100+VALUE(MID(수납!$B438,6,2)))),"")</f>
        <v/>
      </c>
      <c r="C438">
        <f>IF(OR(수납!$E438="수강료",수납!$E438=""),N(수납!$F438),0)</f>
        <v/>
      </c>
      <c r="E438">
        <f>IF(원생!$A438="","",원생!$A438&amp;"|"&amp;원생!$G438)</f>
        <v/>
      </c>
    </row>
    <row r="439">
      <c r="A439">
        <f>IF(수납!$C439="","",수납!$C439&amp;"|"&amp;IF(수납!$D439&lt;&gt;"",수납!$D439,IF(COUNTIF(원생!$A$2:$A$501,수납!$C439)=1,INDEX(원생!$G$2:$G$501,MATCH(수납!$C439,원생!$A$2:$A$501,0))&amp;"","")))</f>
        <v/>
      </c>
      <c r="B439">
        <f>IFERROR(IF(수납!$B439="",YEAR(수납!$A439)*100+MONTH(수납!$A439),IF(ISNUMBER(수납!$B439),YEAR(수납!$B439)*100+MONTH(수납!$B439),VALUE(LEFT(수납!$B439,4))*100+VALUE(MID(수납!$B439,6,2)))),"")</f>
        <v/>
      </c>
      <c r="C439">
        <f>IF(OR(수납!$E439="수강료",수납!$E439=""),N(수납!$F439),0)</f>
        <v/>
      </c>
      <c r="E439">
        <f>IF(원생!$A439="","",원생!$A439&amp;"|"&amp;원생!$G439)</f>
        <v/>
      </c>
    </row>
    <row r="440">
      <c r="A440">
        <f>IF(수납!$C440="","",수납!$C440&amp;"|"&amp;IF(수납!$D440&lt;&gt;"",수납!$D440,IF(COUNTIF(원생!$A$2:$A$501,수납!$C440)=1,INDEX(원생!$G$2:$G$501,MATCH(수납!$C440,원생!$A$2:$A$501,0))&amp;"","")))</f>
        <v/>
      </c>
      <c r="B440">
        <f>IFERROR(IF(수납!$B440="",YEAR(수납!$A440)*100+MONTH(수납!$A440),IF(ISNUMBER(수납!$B440),YEAR(수납!$B440)*100+MONTH(수납!$B440),VALUE(LEFT(수납!$B440,4))*100+VALUE(MID(수납!$B440,6,2)))),"")</f>
        <v/>
      </c>
      <c r="C440">
        <f>IF(OR(수납!$E440="수강료",수납!$E440=""),N(수납!$F440),0)</f>
        <v/>
      </c>
      <c r="E440">
        <f>IF(원생!$A440="","",원생!$A440&amp;"|"&amp;원생!$G440)</f>
        <v/>
      </c>
    </row>
    <row r="441">
      <c r="A441">
        <f>IF(수납!$C441="","",수납!$C441&amp;"|"&amp;IF(수납!$D441&lt;&gt;"",수납!$D441,IF(COUNTIF(원생!$A$2:$A$501,수납!$C441)=1,INDEX(원생!$G$2:$G$501,MATCH(수납!$C441,원생!$A$2:$A$501,0))&amp;"","")))</f>
        <v/>
      </c>
      <c r="B441">
        <f>IFERROR(IF(수납!$B441="",YEAR(수납!$A441)*100+MONTH(수납!$A441),IF(ISNUMBER(수납!$B441),YEAR(수납!$B441)*100+MONTH(수납!$B441),VALUE(LEFT(수납!$B441,4))*100+VALUE(MID(수납!$B441,6,2)))),"")</f>
        <v/>
      </c>
      <c r="C441">
        <f>IF(OR(수납!$E441="수강료",수납!$E441=""),N(수납!$F441),0)</f>
        <v/>
      </c>
      <c r="E441">
        <f>IF(원생!$A441="","",원생!$A441&amp;"|"&amp;원생!$G441)</f>
        <v/>
      </c>
    </row>
    <row r="442">
      <c r="A442">
        <f>IF(수납!$C442="","",수납!$C442&amp;"|"&amp;IF(수납!$D442&lt;&gt;"",수납!$D442,IF(COUNTIF(원생!$A$2:$A$501,수납!$C442)=1,INDEX(원생!$G$2:$G$501,MATCH(수납!$C442,원생!$A$2:$A$501,0))&amp;"","")))</f>
        <v/>
      </c>
      <c r="B442">
        <f>IFERROR(IF(수납!$B442="",YEAR(수납!$A442)*100+MONTH(수납!$A442),IF(ISNUMBER(수납!$B442),YEAR(수납!$B442)*100+MONTH(수납!$B442),VALUE(LEFT(수납!$B442,4))*100+VALUE(MID(수납!$B442,6,2)))),"")</f>
        <v/>
      </c>
      <c r="C442">
        <f>IF(OR(수납!$E442="수강료",수납!$E442=""),N(수납!$F442),0)</f>
        <v/>
      </c>
      <c r="E442">
        <f>IF(원생!$A442="","",원생!$A442&amp;"|"&amp;원생!$G442)</f>
        <v/>
      </c>
    </row>
    <row r="443">
      <c r="A443">
        <f>IF(수납!$C443="","",수납!$C443&amp;"|"&amp;IF(수납!$D443&lt;&gt;"",수납!$D443,IF(COUNTIF(원생!$A$2:$A$501,수납!$C443)=1,INDEX(원생!$G$2:$G$501,MATCH(수납!$C443,원생!$A$2:$A$501,0))&amp;"","")))</f>
        <v/>
      </c>
      <c r="B443">
        <f>IFERROR(IF(수납!$B443="",YEAR(수납!$A443)*100+MONTH(수납!$A443),IF(ISNUMBER(수납!$B443),YEAR(수납!$B443)*100+MONTH(수납!$B443),VALUE(LEFT(수납!$B443,4))*100+VALUE(MID(수납!$B443,6,2)))),"")</f>
        <v/>
      </c>
      <c r="C443">
        <f>IF(OR(수납!$E443="수강료",수납!$E443=""),N(수납!$F443),0)</f>
        <v/>
      </c>
      <c r="E443">
        <f>IF(원생!$A443="","",원생!$A443&amp;"|"&amp;원생!$G443)</f>
        <v/>
      </c>
    </row>
    <row r="444">
      <c r="A444">
        <f>IF(수납!$C444="","",수납!$C444&amp;"|"&amp;IF(수납!$D444&lt;&gt;"",수납!$D444,IF(COUNTIF(원생!$A$2:$A$501,수납!$C444)=1,INDEX(원생!$G$2:$G$501,MATCH(수납!$C444,원생!$A$2:$A$501,0))&amp;"","")))</f>
        <v/>
      </c>
      <c r="B444">
        <f>IFERROR(IF(수납!$B444="",YEAR(수납!$A444)*100+MONTH(수납!$A444),IF(ISNUMBER(수납!$B444),YEAR(수납!$B444)*100+MONTH(수납!$B444),VALUE(LEFT(수납!$B444,4))*100+VALUE(MID(수납!$B444,6,2)))),"")</f>
        <v/>
      </c>
      <c r="C444">
        <f>IF(OR(수납!$E444="수강료",수납!$E444=""),N(수납!$F444),0)</f>
        <v/>
      </c>
      <c r="E444">
        <f>IF(원생!$A444="","",원생!$A444&amp;"|"&amp;원생!$G444)</f>
        <v/>
      </c>
    </row>
    <row r="445">
      <c r="A445">
        <f>IF(수납!$C445="","",수납!$C445&amp;"|"&amp;IF(수납!$D445&lt;&gt;"",수납!$D445,IF(COUNTIF(원생!$A$2:$A$501,수납!$C445)=1,INDEX(원생!$G$2:$G$501,MATCH(수납!$C445,원생!$A$2:$A$501,0))&amp;"","")))</f>
        <v/>
      </c>
      <c r="B445">
        <f>IFERROR(IF(수납!$B445="",YEAR(수납!$A445)*100+MONTH(수납!$A445),IF(ISNUMBER(수납!$B445),YEAR(수납!$B445)*100+MONTH(수납!$B445),VALUE(LEFT(수납!$B445,4))*100+VALUE(MID(수납!$B445,6,2)))),"")</f>
        <v/>
      </c>
      <c r="C445">
        <f>IF(OR(수납!$E445="수강료",수납!$E445=""),N(수납!$F445),0)</f>
        <v/>
      </c>
      <c r="E445">
        <f>IF(원생!$A445="","",원생!$A445&amp;"|"&amp;원생!$G445)</f>
        <v/>
      </c>
    </row>
    <row r="446">
      <c r="A446">
        <f>IF(수납!$C446="","",수납!$C446&amp;"|"&amp;IF(수납!$D446&lt;&gt;"",수납!$D446,IF(COUNTIF(원생!$A$2:$A$501,수납!$C446)=1,INDEX(원생!$G$2:$G$501,MATCH(수납!$C446,원생!$A$2:$A$501,0))&amp;"","")))</f>
        <v/>
      </c>
      <c r="B446">
        <f>IFERROR(IF(수납!$B446="",YEAR(수납!$A446)*100+MONTH(수납!$A446),IF(ISNUMBER(수납!$B446),YEAR(수납!$B446)*100+MONTH(수납!$B446),VALUE(LEFT(수납!$B446,4))*100+VALUE(MID(수납!$B446,6,2)))),"")</f>
        <v/>
      </c>
      <c r="C446">
        <f>IF(OR(수납!$E446="수강료",수납!$E446=""),N(수납!$F446),0)</f>
        <v/>
      </c>
      <c r="E446">
        <f>IF(원생!$A446="","",원생!$A446&amp;"|"&amp;원생!$G446)</f>
        <v/>
      </c>
    </row>
    <row r="447">
      <c r="A447">
        <f>IF(수납!$C447="","",수납!$C447&amp;"|"&amp;IF(수납!$D447&lt;&gt;"",수납!$D447,IF(COUNTIF(원생!$A$2:$A$501,수납!$C447)=1,INDEX(원생!$G$2:$G$501,MATCH(수납!$C447,원생!$A$2:$A$501,0))&amp;"","")))</f>
        <v/>
      </c>
      <c r="B447">
        <f>IFERROR(IF(수납!$B447="",YEAR(수납!$A447)*100+MONTH(수납!$A447),IF(ISNUMBER(수납!$B447),YEAR(수납!$B447)*100+MONTH(수납!$B447),VALUE(LEFT(수납!$B447,4))*100+VALUE(MID(수납!$B447,6,2)))),"")</f>
        <v/>
      </c>
      <c r="C447">
        <f>IF(OR(수납!$E447="수강료",수납!$E447=""),N(수납!$F447),0)</f>
        <v/>
      </c>
      <c r="E447">
        <f>IF(원생!$A447="","",원생!$A447&amp;"|"&amp;원생!$G447)</f>
        <v/>
      </c>
    </row>
    <row r="448">
      <c r="A448">
        <f>IF(수납!$C448="","",수납!$C448&amp;"|"&amp;IF(수납!$D448&lt;&gt;"",수납!$D448,IF(COUNTIF(원생!$A$2:$A$501,수납!$C448)=1,INDEX(원생!$G$2:$G$501,MATCH(수납!$C448,원생!$A$2:$A$501,0))&amp;"","")))</f>
        <v/>
      </c>
      <c r="B448">
        <f>IFERROR(IF(수납!$B448="",YEAR(수납!$A448)*100+MONTH(수납!$A448),IF(ISNUMBER(수납!$B448),YEAR(수납!$B448)*100+MONTH(수납!$B448),VALUE(LEFT(수납!$B448,4))*100+VALUE(MID(수납!$B448,6,2)))),"")</f>
        <v/>
      </c>
      <c r="C448">
        <f>IF(OR(수납!$E448="수강료",수납!$E448=""),N(수납!$F448),0)</f>
        <v/>
      </c>
      <c r="E448">
        <f>IF(원생!$A448="","",원생!$A448&amp;"|"&amp;원생!$G448)</f>
        <v/>
      </c>
    </row>
    <row r="449">
      <c r="A449">
        <f>IF(수납!$C449="","",수납!$C449&amp;"|"&amp;IF(수납!$D449&lt;&gt;"",수납!$D449,IF(COUNTIF(원생!$A$2:$A$501,수납!$C449)=1,INDEX(원생!$G$2:$G$501,MATCH(수납!$C449,원생!$A$2:$A$501,0))&amp;"","")))</f>
        <v/>
      </c>
      <c r="B449">
        <f>IFERROR(IF(수납!$B449="",YEAR(수납!$A449)*100+MONTH(수납!$A449),IF(ISNUMBER(수납!$B449),YEAR(수납!$B449)*100+MONTH(수납!$B449),VALUE(LEFT(수납!$B449,4))*100+VALUE(MID(수납!$B449,6,2)))),"")</f>
        <v/>
      </c>
      <c r="C449">
        <f>IF(OR(수납!$E449="수강료",수납!$E449=""),N(수납!$F449),0)</f>
        <v/>
      </c>
      <c r="E449">
        <f>IF(원생!$A449="","",원생!$A449&amp;"|"&amp;원생!$G449)</f>
        <v/>
      </c>
    </row>
    <row r="450">
      <c r="A450">
        <f>IF(수납!$C450="","",수납!$C450&amp;"|"&amp;IF(수납!$D450&lt;&gt;"",수납!$D450,IF(COUNTIF(원생!$A$2:$A$501,수납!$C450)=1,INDEX(원생!$G$2:$G$501,MATCH(수납!$C450,원생!$A$2:$A$501,0))&amp;"","")))</f>
        <v/>
      </c>
      <c r="B450">
        <f>IFERROR(IF(수납!$B450="",YEAR(수납!$A450)*100+MONTH(수납!$A450),IF(ISNUMBER(수납!$B450),YEAR(수납!$B450)*100+MONTH(수납!$B450),VALUE(LEFT(수납!$B450,4))*100+VALUE(MID(수납!$B450,6,2)))),"")</f>
        <v/>
      </c>
      <c r="C450">
        <f>IF(OR(수납!$E450="수강료",수납!$E450=""),N(수납!$F450),0)</f>
        <v/>
      </c>
      <c r="E450">
        <f>IF(원생!$A450="","",원생!$A450&amp;"|"&amp;원생!$G450)</f>
        <v/>
      </c>
    </row>
    <row r="451">
      <c r="A451">
        <f>IF(수납!$C451="","",수납!$C451&amp;"|"&amp;IF(수납!$D451&lt;&gt;"",수납!$D451,IF(COUNTIF(원생!$A$2:$A$501,수납!$C451)=1,INDEX(원생!$G$2:$G$501,MATCH(수납!$C451,원생!$A$2:$A$501,0))&amp;"","")))</f>
        <v/>
      </c>
      <c r="B451">
        <f>IFERROR(IF(수납!$B451="",YEAR(수납!$A451)*100+MONTH(수납!$A451),IF(ISNUMBER(수납!$B451),YEAR(수납!$B451)*100+MONTH(수납!$B451),VALUE(LEFT(수납!$B451,4))*100+VALUE(MID(수납!$B451,6,2)))),"")</f>
        <v/>
      </c>
      <c r="C451">
        <f>IF(OR(수납!$E451="수강료",수납!$E451=""),N(수납!$F451),0)</f>
        <v/>
      </c>
      <c r="E451">
        <f>IF(원생!$A451="","",원생!$A451&amp;"|"&amp;원생!$G451)</f>
        <v/>
      </c>
    </row>
    <row r="452">
      <c r="A452">
        <f>IF(수납!$C452="","",수납!$C452&amp;"|"&amp;IF(수납!$D452&lt;&gt;"",수납!$D452,IF(COUNTIF(원생!$A$2:$A$501,수납!$C452)=1,INDEX(원생!$G$2:$G$501,MATCH(수납!$C452,원생!$A$2:$A$501,0))&amp;"","")))</f>
        <v/>
      </c>
      <c r="B452">
        <f>IFERROR(IF(수납!$B452="",YEAR(수납!$A452)*100+MONTH(수납!$A452),IF(ISNUMBER(수납!$B452),YEAR(수납!$B452)*100+MONTH(수납!$B452),VALUE(LEFT(수납!$B452,4))*100+VALUE(MID(수납!$B452,6,2)))),"")</f>
        <v/>
      </c>
      <c r="C452">
        <f>IF(OR(수납!$E452="수강료",수납!$E452=""),N(수납!$F452),0)</f>
        <v/>
      </c>
      <c r="E452">
        <f>IF(원생!$A452="","",원생!$A452&amp;"|"&amp;원생!$G452)</f>
        <v/>
      </c>
    </row>
    <row r="453">
      <c r="A453">
        <f>IF(수납!$C453="","",수납!$C453&amp;"|"&amp;IF(수납!$D453&lt;&gt;"",수납!$D453,IF(COUNTIF(원생!$A$2:$A$501,수납!$C453)=1,INDEX(원생!$G$2:$G$501,MATCH(수납!$C453,원생!$A$2:$A$501,0))&amp;"","")))</f>
        <v/>
      </c>
      <c r="B453">
        <f>IFERROR(IF(수납!$B453="",YEAR(수납!$A453)*100+MONTH(수납!$A453),IF(ISNUMBER(수납!$B453),YEAR(수납!$B453)*100+MONTH(수납!$B453),VALUE(LEFT(수납!$B453,4))*100+VALUE(MID(수납!$B453,6,2)))),"")</f>
        <v/>
      </c>
      <c r="C453">
        <f>IF(OR(수납!$E453="수강료",수납!$E453=""),N(수납!$F453),0)</f>
        <v/>
      </c>
      <c r="E453">
        <f>IF(원생!$A453="","",원생!$A453&amp;"|"&amp;원생!$G453)</f>
        <v/>
      </c>
    </row>
    <row r="454">
      <c r="A454">
        <f>IF(수납!$C454="","",수납!$C454&amp;"|"&amp;IF(수납!$D454&lt;&gt;"",수납!$D454,IF(COUNTIF(원생!$A$2:$A$501,수납!$C454)=1,INDEX(원생!$G$2:$G$501,MATCH(수납!$C454,원생!$A$2:$A$501,0))&amp;"","")))</f>
        <v/>
      </c>
      <c r="B454">
        <f>IFERROR(IF(수납!$B454="",YEAR(수납!$A454)*100+MONTH(수납!$A454),IF(ISNUMBER(수납!$B454),YEAR(수납!$B454)*100+MONTH(수납!$B454),VALUE(LEFT(수납!$B454,4))*100+VALUE(MID(수납!$B454,6,2)))),"")</f>
        <v/>
      </c>
      <c r="C454">
        <f>IF(OR(수납!$E454="수강료",수납!$E454=""),N(수납!$F454),0)</f>
        <v/>
      </c>
      <c r="E454">
        <f>IF(원생!$A454="","",원생!$A454&amp;"|"&amp;원생!$G454)</f>
        <v/>
      </c>
    </row>
    <row r="455">
      <c r="A455">
        <f>IF(수납!$C455="","",수납!$C455&amp;"|"&amp;IF(수납!$D455&lt;&gt;"",수납!$D455,IF(COUNTIF(원생!$A$2:$A$501,수납!$C455)=1,INDEX(원생!$G$2:$G$501,MATCH(수납!$C455,원생!$A$2:$A$501,0))&amp;"","")))</f>
        <v/>
      </c>
      <c r="B455">
        <f>IFERROR(IF(수납!$B455="",YEAR(수납!$A455)*100+MONTH(수납!$A455),IF(ISNUMBER(수납!$B455),YEAR(수납!$B455)*100+MONTH(수납!$B455),VALUE(LEFT(수납!$B455,4))*100+VALUE(MID(수납!$B455,6,2)))),"")</f>
        <v/>
      </c>
      <c r="C455">
        <f>IF(OR(수납!$E455="수강료",수납!$E455=""),N(수납!$F455),0)</f>
        <v/>
      </c>
      <c r="E455">
        <f>IF(원생!$A455="","",원생!$A455&amp;"|"&amp;원생!$G455)</f>
        <v/>
      </c>
    </row>
    <row r="456">
      <c r="A456">
        <f>IF(수납!$C456="","",수납!$C456&amp;"|"&amp;IF(수납!$D456&lt;&gt;"",수납!$D456,IF(COUNTIF(원생!$A$2:$A$501,수납!$C456)=1,INDEX(원생!$G$2:$G$501,MATCH(수납!$C456,원생!$A$2:$A$501,0))&amp;"","")))</f>
        <v/>
      </c>
      <c r="B456">
        <f>IFERROR(IF(수납!$B456="",YEAR(수납!$A456)*100+MONTH(수납!$A456),IF(ISNUMBER(수납!$B456),YEAR(수납!$B456)*100+MONTH(수납!$B456),VALUE(LEFT(수납!$B456,4))*100+VALUE(MID(수납!$B456,6,2)))),"")</f>
        <v/>
      </c>
      <c r="C456">
        <f>IF(OR(수납!$E456="수강료",수납!$E456=""),N(수납!$F456),0)</f>
        <v/>
      </c>
      <c r="E456">
        <f>IF(원생!$A456="","",원생!$A456&amp;"|"&amp;원생!$G456)</f>
        <v/>
      </c>
    </row>
    <row r="457">
      <c r="A457">
        <f>IF(수납!$C457="","",수납!$C457&amp;"|"&amp;IF(수납!$D457&lt;&gt;"",수납!$D457,IF(COUNTIF(원생!$A$2:$A$501,수납!$C457)=1,INDEX(원생!$G$2:$G$501,MATCH(수납!$C457,원생!$A$2:$A$501,0))&amp;"","")))</f>
        <v/>
      </c>
      <c r="B457">
        <f>IFERROR(IF(수납!$B457="",YEAR(수납!$A457)*100+MONTH(수납!$A457),IF(ISNUMBER(수납!$B457),YEAR(수납!$B457)*100+MONTH(수납!$B457),VALUE(LEFT(수납!$B457,4))*100+VALUE(MID(수납!$B457,6,2)))),"")</f>
        <v/>
      </c>
      <c r="C457">
        <f>IF(OR(수납!$E457="수강료",수납!$E457=""),N(수납!$F457),0)</f>
        <v/>
      </c>
      <c r="E457">
        <f>IF(원생!$A457="","",원생!$A457&amp;"|"&amp;원생!$G457)</f>
        <v/>
      </c>
    </row>
    <row r="458">
      <c r="A458">
        <f>IF(수납!$C458="","",수납!$C458&amp;"|"&amp;IF(수납!$D458&lt;&gt;"",수납!$D458,IF(COUNTIF(원생!$A$2:$A$501,수납!$C458)=1,INDEX(원생!$G$2:$G$501,MATCH(수납!$C458,원생!$A$2:$A$501,0))&amp;"","")))</f>
        <v/>
      </c>
      <c r="B458">
        <f>IFERROR(IF(수납!$B458="",YEAR(수납!$A458)*100+MONTH(수납!$A458),IF(ISNUMBER(수납!$B458),YEAR(수납!$B458)*100+MONTH(수납!$B458),VALUE(LEFT(수납!$B458,4))*100+VALUE(MID(수납!$B458,6,2)))),"")</f>
        <v/>
      </c>
      <c r="C458">
        <f>IF(OR(수납!$E458="수강료",수납!$E458=""),N(수납!$F458),0)</f>
        <v/>
      </c>
      <c r="E458">
        <f>IF(원생!$A458="","",원생!$A458&amp;"|"&amp;원생!$G458)</f>
        <v/>
      </c>
    </row>
    <row r="459">
      <c r="A459">
        <f>IF(수납!$C459="","",수납!$C459&amp;"|"&amp;IF(수납!$D459&lt;&gt;"",수납!$D459,IF(COUNTIF(원생!$A$2:$A$501,수납!$C459)=1,INDEX(원생!$G$2:$G$501,MATCH(수납!$C459,원생!$A$2:$A$501,0))&amp;"","")))</f>
        <v/>
      </c>
      <c r="B459">
        <f>IFERROR(IF(수납!$B459="",YEAR(수납!$A459)*100+MONTH(수납!$A459),IF(ISNUMBER(수납!$B459),YEAR(수납!$B459)*100+MONTH(수납!$B459),VALUE(LEFT(수납!$B459,4))*100+VALUE(MID(수납!$B459,6,2)))),"")</f>
        <v/>
      </c>
      <c r="C459">
        <f>IF(OR(수납!$E459="수강료",수납!$E459=""),N(수납!$F459),0)</f>
        <v/>
      </c>
      <c r="E459">
        <f>IF(원생!$A459="","",원생!$A459&amp;"|"&amp;원생!$G459)</f>
        <v/>
      </c>
    </row>
    <row r="460">
      <c r="A460">
        <f>IF(수납!$C460="","",수납!$C460&amp;"|"&amp;IF(수납!$D460&lt;&gt;"",수납!$D460,IF(COUNTIF(원생!$A$2:$A$501,수납!$C460)=1,INDEX(원생!$G$2:$G$501,MATCH(수납!$C460,원생!$A$2:$A$501,0))&amp;"","")))</f>
        <v/>
      </c>
      <c r="B460">
        <f>IFERROR(IF(수납!$B460="",YEAR(수납!$A460)*100+MONTH(수납!$A460),IF(ISNUMBER(수납!$B460),YEAR(수납!$B460)*100+MONTH(수납!$B460),VALUE(LEFT(수납!$B460,4))*100+VALUE(MID(수납!$B460,6,2)))),"")</f>
        <v/>
      </c>
      <c r="C460">
        <f>IF(OR(수납!$E460="수강료",수납!$E460=""),N(수납!$F460),0)</f>
        <v/>
      </c>
      <c r="E460">
        <f>IF(원생!$A460="","",원생!$A460&amp;"|"&amp;원생!$G460)</f>
        <v/>
      </c>
    </row>
    <row r="461">
      <c r="A461">
        <f>IF(수납!$C461="","",수납!$C461&amp;"|"&amp;IF(수납!$D461&lt;&gt;"",수납!$D461,IF(COUNTIF(원생!$A$2:$A$501,수납!$C461)=1,INDEX(원생!$G$2:$G$501,MATCH(수납!$C461,원생!$A$2:$A$501,0))&amp;"","")))</f>
        <v/>
      </c>
      <c r="B461">
        <f>IFERROR(IF(수납!$B461="",YEAR(수납!$A461)*100+MONTH(수납!$A461),IF(ISNUMBER(수납!$B461),YEAR(수납!$B461)*100+MONTH(수납!$B461),VALUE(LEFT(수납!$B461,4))*100+VALUE(MID(수납!$B461,6,2)))),"")</f>
        <v/>
      </c>
      <c r="C461">
        <f>IF(OR(수납!$E461="수강료",수납!$E461=""),N(수납!$F461),0)</f>
        <v/>
      </c>
      <c r="E461">
        <f>IF(원생!$A461="","",원생!$A461&amp;"|"&amp;원생!$G461)</f>
        <v/>
      </c>
    </row>
    <row r="462">
      <c r="A462">
        <f>IF(수납!$C462="","",수납!$C462&amp;"|"&amp;IF(수납!$D462&lt;&gt;"",수납!$D462,IF(COUNTIF(원생!$A$2:$A$501,수납!$C462)=1,INDEX(원생!$G$2:$G$501,MATCH(수납!$C462,원생!$A$2:$A$501,0))&amp;"","")))</f>
        <v/>
      </c>
      <c r="B462">
        <f>IFERROR(IF(수납!$B462="",YEAR(수납!$A462)*100+MONTH(수납!$A462),IF(ISNUMBER(수납!$B462),YEAR(수납!$B462)*100+MONTH(수납!$B462),VALUE(LEFT(수납!$B462,4))*100+VALUE(MID(수납!$B462,6,2)))),"")</f>
        <v/>
      </c>
      <c r="C462">
        <f>IF(OR(수납!$E462="수강료",수납!$E462=""),N(수납!$F462),0)</f>
        <v/>
      </c>
      <c r="E462">
        <f>IF(원생!$A462="","",원생!$A462&amp;"|"&amp;원생!$G462)</f>
        <v/>
      </c>
    </row>
    <row r="463">
      <c r="A463">
        <f>IF(수납!$C463="","",수납!$C463&amp;"|"&amp;IF(수납!$D463&lt;&gt;"",수납!$D463,IF(COUNTIF(원생!$A$2:$A$501,수납!$C463)=1,INDEX(원생!$G$2:$G$501,MATCH(수납!$C463,원생!$A$2:$A$501,0))&amp;"","")))</f>
        <v/>
      </c>
      <c r="B463">
        <f>IFERROR(IF(수납!$B463="",YEAR(수납!$A463)*100+MONTH(수납!$A463),IF(ISNUMBER(수납!$B463),YEAR(수납!$B463)*100+MONTH(수납!$B463),VALUE(LEFT(수납!$B463,4))*100+VALUE(MID(수납!$B463,6,2)))),"")</f>
        <v/>
      </c>
      <c r="C463">
        <f>IF(OR(수납!$E463="수강료",수납!$E463=""),N(수납!$F463),0)</f>
        <v/>
      </c>
      <c r="E463">
        <f>IF(원생!$A463="","",원생!$A463&amp;"|"&amp;원생!$G463)</f>
        <v/>
      </c>
    </row>
    <row r="464">
      <c r="A464">
        <f>IF(수납!$C464="","",수납!$C464&amp;"|"&amp;IF(수납!$D464&lt;&gt;"",수납!$D464,IF(COUNTIF(원생!$A$2:$A$501,수납!$C464)=1,INDEX(원생!$G$2:$G$501,MATCH(수납!$C464,원생!$A$2:$A$501,0))&amp;"","")))</f>
        <v/>
      </c>
      <c r="B464">
        <f>IFERROR(IF(수납!$B464="",YEAR(수납!$A464)*100+MONTH(수납!$A464),IF(ISNUMBER(수납!$B464),YEAR(수납!$B464)*100+MONTH(수납!$B464),VALUE(LEFT(수납!$B464,4))*100+VALUE(MID(수납!$B464,6,2)))),"")</f>
        <v/>
      </c>
      <c r="C464">
        <f>IF(OR(수납!$E464="수강료",수납!$E464=""),N(수납!$F464),0)</f>
        <v/>
      </c>
      <c r="E464">
        <f>IF(원생!$A464="","",원생!$A464&amp;"|"&amp;원생!$G464)</f>
        <v/>
      </c>
    </row>
    <row r="465">
      <c r="A465">
        <f>IF(수납!$C465="","",수납!$C465&amp;"|"&amp;IF(수납!$D465&lt;&gt;"",수납!$D465,IF(COUNTIF(원생!$A$2:$A$501,수납!$C465)=1,INDEX(원생!$G$2:$G$501,MATCH(수납!$C465,원생!$A$2:$A$501,0))&amp;"","")))</f>
        <v/>
      </c>
      <c r="B465">
        <f>IFERROR(IF(수납!$B465="",YEAR(수납!$A465)*100+MONTH(수납!$A465),IF(ISNUMBER(수납!$B465),YEAR(수납!$B465)*100+MONTH(수납!$B465),VALUE(LEFT(수납!$B465,4))*100+VALUE(MID(수납!$B465,6,2)))),"")</f>
        <v/>
      </c>
      <c r="C465">
        <f>IF(OR(수납!$E465="수강료",수납!$E465=""),N(수납!$F465),0)</f>
        <v/>
      </c>
      <c r="E465">
        <f>IF(원생!$A465="","",원생!$A465&amp;"|"&amp;원생!$G465)</f>
        <v/>
      </c>
    </row>
    <row r="466">
      <c r="A466">
        <f>IF(수납!$C466="","",수납!$C466&amp;"|"&amp;IF(수납!$D466&lt;&gt;"",수납!$D466,IF(COUNTIF(원생!$A$2:$A$501,수납!$C466)=1,INDEX(원생!$G$2:$G$501,MATCH(수납!$C466,원생!$A$2:$A$501,0))&amp;"","")))</f>
        <v/>
      </c>
      <c r="B466">
        <f>IFERROR(IF(수납!$B466="",YEAR(수납!$A466)*100+MONTH(수납!$A466),IF(ISNUMBER(수납!$B466),YEAR(수납!$B466)*100+MONTH(수납!$B466),VALUE(LEFT(수납!$B466,4))*100+VALUE(MID(수납!$B466,6,2)))),"")</f>
        <v/>
      </c>
      <c r="C466">
        <f>IF(OR(수납!$E466="수강료",수납!$E466=""),N(수납!$F466),0)</f>
        <v/>
      </c>
      <c r="E466">
        <f>IF(원생!$A466="","",원생!$A466&amp;"|"&amp;원생!$G466)</f>
        <v/>
      </c>
    </row>
    <row r="467">
      <c r="A467">
        <f>IF(수납!$C467="","",수납!$C467&amp;"|"&amp;IF(수납!$D467&lt;&gt;"",수납!$D467,IF(COUNTIF(원생!$A$2:$A$501,수납!$C467)=1,INDEX(원생!$G$2:$G$501,MATCH(수납!$C467,원생!$A$2:$A$501,0))&amp;"","")))</f>
        <v/>
      </c>
      <c r="B467">
        <f>IFERROR(IF(수납!$B467="",YEAR(수납!$A467)*100+MONTH(수납!$A467),IF(ISNUMBER(수납!$B467),YEAR(수납!$B467)*100+MONTH(수납!$B467),VALUE(LEFT(수납!$B467,4))*100+VALUE(MID(수납!$B467,6,2)))),"")</f>
        <v/>
      </c>
      <c r="C467">
        <f>IF(OR(수납!$E467="수강료",수납!$E467=""),N(수납!$F467),0)</f>
        <v/>
      </c>
      <c r="E467">
        <f>IF(원생!$A467="","",원생!$A467&amp;"|"&amp;원생!$G467)</f>
        <v/>
      </c>
    </row>
    <row r="468">
      <c r="A468">
        <f>IF(수납!$C468="","",수납!$C468&amp;"|"&amp;IF(수납!$D468&lt;&gt;"",수납!$D468,IF(COUNTIF(원생!$A$2:$A$501,수납!$C468)=1,INDEX(원생!$G$2:$G$501,MATCH(수납!$C468,원생!$A$2:$A$501,0))&amp;"","")))</f>
        <v/>
      </c>
      <c r="B468">
        <f>IFERROR(IF(수납!$B468="",YEAR(수납!$A468)*100+MONTH(수납!$A468),IF(ISNUMBER(수납!$B468),YEAR(수납!$B468)*100+MONTH(수납!$B468),VALUE(LEFT(수납!$B468,4))*100+VALUE(MID(수납!$B468,6,2)))),"")</f>
        <v/>
      </c>
      <c r="C468">
        <f>IF(OR(수납!$E468="수강료",수납!$E468=""),N(수납!$F468),0)</f>
        <v/>
      </c>
      <c r="E468">
        <f>IF(원생!$A468="","",원생!$A468&amp;"|"&amp;원생!$G468)</f>
        <v/>
      </c>
    </row>
    <row r="469">
      <c r="A469">
        <f>IF(수납!$C469="","",수납!$C469&amp;"|"&amp;IF(수납!$D469&lt;&gt;"",수납!$D469,IF(COUNTIF(원생!$A$2:$A$501,수납!$C469)=1,INDEX(원생!$G$2:$G$501,MATCH(수납!$C469,원생!$A$2:$A$501,0))&amp;"","")))</f>
        <v/>
      </c>
      <c r="B469">
        <f>IFERROR(IF(수납!$B469="",YEAR(수납!$A469)*100+MONTH(수납!$A469),IF(ISNUMBER(수납!$B469),YEAR(수납!$B469)*100+MONTH(수납!$B469),VALUE(LEFT(수납!$B469,4))*100+VALUE(MID(수납!$B469,6,2)))),"")</f>
        <v/>
      </c>
      <c r="C469">
        <f>IF(OR(수납!$E469="수강료",수납!$E469=""),N(수납!$F469),0)</f>
        <v/>
      </c>
      <c r="E469">
        <f>IF(원생!$A469="","",원생!$A469&amp;"|"&amp;원생!$G469)</f>
        <v/>
      </c>
    </row>
    <row r="470">
      <c r="A470">
        <f>IF(수납!$C470="","",수납!$C470&amp;"|"&amp;IF(수납!$D470&lt;&gt;"",수납!$D470,IF(COUNTIF(원생!$A$2:$A$501,수납!$C470)=1,INDEX(원생!$G$2:$G$501,MATCH(수납!$C470,원생!$A$2:$A$501,0))&amp;"","")))</f>
        <v/>
      </c>
      <c r="B470">
        <f>IFERROR(IF(수납!$B470="",YEAR(수납!$A470)*100+MONTH(수납!$A470),IF(ISNUMBER(수납!$B470),YEAR(수납!$B470)*100+MONTH(수납!$B470),VALUE(LEFT(수납!$B470,4))*100+VALUE(MID(수납!$B470,6,2)))),"")</f>
        <v/>
      </c>
      <c r="C470">
        <f>IF(OR(수납!$E470="수강료",수납!$E470=""),N(수납!$F470),0)</f>
        <v/>
      </c>
      <c r="E470">
        <f>IF(원생!$A470="","",원생!$A470&amp;"|"&amp;원생!$G470)</f>
        <v/>
      </c>
    </row>
    <row r="471">
      <c r="A471">
        <f>IF(수납!$C471="","",수납!$C471&amp;"|"&amp;IF(수납!$D471&lt;&gt;"",수납!$D471,IF(COUNTIF(원생!$A$2:$A$501,수납!$C471)=1,INDEX(원생!$G$2:$G$501,MATCH(수납!$C471,원생!$A$2:$A$501,0))&amp;"","")))</f>
        <v/>
      </c>
      <c r="B471">
        <f>IFERROR(IF(수납!$B471="",YEAR(수납!$A471)*100+MONTH(수납!$A471),IF(ISNUMBER(수납!$B471),YEAR(수납!$B471)*100+MONTH(수납!$B471),VALUE(LEFT(수납!$B471,4))*100+VALUE(MID(수납!$B471,6,2)))),"")</f>
        <v/>
      </c>
      <c r="C471">
        <f>IF(OR(수납!$E471="수강료",수납!$E471=""),N(수납!$F471),0)</f>
        <v/>
      </c>
      <c r="E471">
        <f>IF(원생!$A471="","",원생!$A471&amp;"|"&amp;원생!$G471)</f>
        <v/>
      </c>
    </row>
    <row r="472">
      <c r="A472">
        <f>IF(수납!$C472="","",수납!$C472&amp;"|"&amp;IF(수납!$D472&lt;&gt;"",수납!$D472,IF(COUNTIF(원생!$A$2:$A$501,수납!$C472)=1,INDEX(원생!$G$2:$G$501,MATCH(수납!$C472,원생!$A$2:$A$501,0))&amp;"","")))</f>
        <v/>
      </c>
      <c r="B472">
        <f>IFERROR(IF(수납!$B472="",YEAR(수납!$A472)*100+MONTH(수납!$A472),IF(ISNUMBER(수납!$B472),YEAR(수납!$B472)*100+MONTH(수납!$B472),VALUE(LEFT(수납!$B472,4))*100+VALUE(MID(수납!$B472,6,2)))),"")</f>
        <v/>
      </c>
      <c r="C472">
        <f>IF(OR(수납!$E472="수강료",수납!$E472=""),N(수납!$F472),0)</f>
        <v/>
      </c>
      <c r="E472">
        <f>IF(원생!$A472="","",원생!$A472&amp;"|"&amp;원생!$G472)</f>
        <v/>
      </c>
    </row>
    <row r="473">
      <c r="A473">
        <f>IF(수납!$C473="","",수납!$C473&amp;"|"&amp;IF(수납!$D473&lt;&gt;"",수납!$D473,IF(COUNTIF(원생!$A$2:$A$501,수납!$C473)=1,INDEX(원생!$G$2:$G$501,MATCH(수납!$C473,원생!$A$2:$A$501,0))&amp;"","")))</f>
        <v/>
      </c>
      <c r="B473">
        <f>IFERROR(IF(수납!$B473="",YEAR(수납!$A473)*100+MONTH(수납!$A473),IF(ISNUMBER(수납!$B473),YEAR(수납!$B473)*100+MONTH(수납!$B473),VALUE(LEFT(수납!$B473,4))*100+VALUE(MID(수납!$B473,6,2)))),"")</f>
        <v/>
      </c>
      <c r="C473">
        <f>IF(OR(수납!$E473="수강료",수납!$E473=""),N(수납!$F473),0)</f>
        <v/>
      </c>
      <c r="E473">
        <f>IF(원생!$A473="","",원생!$A473&amp;"|"&amp;원생!$G473)</f>
        <v/>
      </c>
    </row>
    <row r="474">
      <c r="A474">
        <f>IF(수납!$C474="","",수납!$C474&amp;"|"&amp;IF(수납!$D474&lt;&gt;"",수납!$D474,IF(COUNTIF(원생!$A$2:$A$501,수납!$C474)=1,INDEX(원생!$G$2:$G$501,MATCH(수납!$C474,원생!$A$2:$A$501,0))&amp;"","")))</f>
        <v/>
      </c>
      <c r="B474">
        <f>IFERROR(IF(수납!$B474="",YEAR(수납!$A474)*100+MONTH(수납!$A474),IF(ISNUMBER(수납!$B474),YEAR(수납!$B474)*100+MONTH(수납!$B474),VALUE(LEFT(수납!$B474,4))*100+VALUE(MID(수납!$B474,6,2)))),"")</f>
        <v/>
      </c>
      <c r="C474">
        <f>IF(OR(수납!$E474="수강료",수납!$E474=""),N(수납!$F474),0)</f>
        <v/>
      </c>
      <c r="E474">
        <f>IF(원생!$A474="","",원생!$A474&amp;"|"&amp;원생!$G474)</f>
        <v/>
      </c>
    </row>
    <row r="475">
      <c r="A475">
        <f>IF(수납!$C475="","",수납!$C475&amp;"|"&amp;IF(수납!$D475&lt;&gt;"",수납!$D475,IF(COUNTIF(원생!$A$2:$A$501,수납!$C475)=1,INDEX(원생!$G$2:$G$501,MATCH(수납!$C475,원생!$A$2:$A$501,0))&amp;"","")))</f>
        <v/>
      </c>
      <c r="B475">
        <f>IFERROR(IF(수납!$B475="",YEAR(수납!$A475)*100+MONTH(수납!$A475),IF(ISNUMBER(수납!$B475),YEAR(수납!$B475)*100+MONTH(수납!$B475),VALUE(LEFT(수납!$B475,4))*100+VALUE(MID(수납!$B475,6,2)))),"")</f>
        <v/>
      </c>
      <c r="C475">
        <f>IF(OR(수납!$E475="수강료",수납!$E475=""),N(수납!$F475),0)</f>
        <v/>
      </c>
      <c r="E475">
        <f>IF(원생!$A475="","",원생!$A475&amp;"|"&amp;원생!$G475)</f>
        <v/>
      </c>
    </row>
    <row r="476">
      <c r="A476">
        <f>IF(수납!$C476="","",수납!$C476&amp;"|"&amp;IF(수납!$D476&lt;&gt;"",수납!$D476,IF(COUNTIF(원생!$A$2:$A$501,수납!$C476)=1,INDEX(원생!$G$2:$G$501,MATCH(수납!$C476,원생!$A$2:$A$501,0))&amp;"","")))</f>
        <v/>
      </c>
      <c r="B476">
        <f>IFERROR(IF(수납!$B476="",YEAR(수납!$A476)*100+MONTH(수납!$A476),IF(ISNUMBER(수납!$B476),YEAR(수납!$B476)*100+MONTH(수납!$B476),VALUE(LEFT(수납!$B476,4))*100+VALUE(MID(수납!$B476,6,2)))),"")</f>
        <v/>
      </c>
      <c r="C476">
        <f>IF(OR(수납!$E476="수강료",수납!$E476=""),N(수납!$F476),0)</f>
        <v/>
      </c>
      <c r="E476">
        <f>IF(원생!$A476="","",원생!$A476&amp;"|"&amp;원생!$G476)</f>
        <v/>
      </c>
    </row>
    <row r="477">
      <c r="A477">
        <f>IF(수납!$C477="","",수납!$C477&amp;"|"&amp;IF(수납!$D477&lt;&gt;"",수납!$D477,IF(COUNTIF(원생!$A$2:$A$501,수납!$C477)=1,INDEX(원생!$G$2:$G$501,MATCH(수납!$C477,원생!$A$2:$A$501,0))&amp;"","")))</f>
        <v/>
      </c>
      <c r="B477">
        <f>IFERROR(IF(수납!$B477="",YEAR(수납!$A477)*100+MONTH(수납!$A477),IF(ISNUMBER(수납!$B477),YEAR(수납!$B477)*100+MONTH(수납!$B477),VALUE(LEFT(수납!$B477,4))*100+VALUE(MID(수납!$B477,6,2)))),"")</f>
        <v/>
      </c>
      <c r="C477">
        <f>IF(OR(수납!$E477="수강료",수납!$E477=""),N(수납!$F477),0)</f>
        <v/>
      </c>
      <c r="E477">
        <f>IF(원생!$A477="","",원생!$A477&amp;"|"&amp;원생!$G477)</f>
        <v/>
      </c>
    </row>
    <row r="478">
      <c r="A478">
        <f>IF(수납!$C478="","",수납!$C478&amp;"|"&amp;IF(수납!$D478&lt;&gt;"",수납!$D478,IF(COUNTIF(원생!$A$2:$A$501,수납!$C478)=1,INDEX(원생!$G$2:$G$501,MATCH(수납!$C478,원생!$A$2:$A$501,0))&amp;"","")))</f>
        <v/>
      </c>
      <c r="B478">
        <f>IFERROR(IF(수납!$B478="",YEAR(수납!$A478)*100+MONTH(수납!$A478),IF(ISNUMBER(수납!$B478),YEAR(수납!$B478)*100+MONTH(수납!$B478),VALUE(LEFT(수납!$B478,4))*100+VALUE(MID(수납!$B478,6,2)))),"")</f>
        <v/>
      </c>
      <c r="C478">
        <f>IF(OR(수납!$E478="수강료",수납!$E478=""),N(수납!$F478),0)</f>
        <v/>
      </c>
      <c r="E478">
        <f>IF(원생!$A478="","",원생!$A478&amp;"|"&amp;원생!$G478)</f>
        <v/>
      </c>
    </row>
    <row r="479">
      <c r="A479">
        <f>IF(수납!$C479="","",수납!$C479&amp;"|"&amp;IF(수납!$D479&lt;&gt;"",수납!$D479,IF(COUNTIF(원생!$A$2:$A$501,수납!$C479)=1,INDEX(원생!$G$2:$G$501,MATCH(수납!$C479,원생!$A$2:$A$501,0))&amp;"","")))</f>
        <v/>
      </c>
      <c r="B479">
        <f>IFERROR(IF(수납!$B479="",YEAR(수납!$A479)*100+MONTH(수납!$A479),IF(ISNUMBER(수납!$B479),YEAR(수납!$B479)*100+MONTH(수납!$B479),VALUE(LEFT(수납!$B479,4))*100+VALUE(MID(수납!$B479,6,2)))),"")</f>
        <v/>
      </c>
      <c r="C479">
        <f>IF(OR(수납!$E479="수강료",수납!$E479=""),N(수납!$F479),0)</f>
        <v/>
      </c>
      <c r="E479">
        <f>IF(원생!$A479="","",원생!$A479&amp;"|"&amp;원생!$G479)</f>
        <v/>
      </c>
    </row>
    <row r="480">
      <c r="A480">
        <f>IF(수납!$C480="","",수납!$C480&amp;"|"&amp;IF(수납!$D480&lt;&gt;"",수납!$D480,IF(COUNTIF(원생!$A$2:$A$501,수납!$C480)=1,INDEX(원생!$G$2:$G$501,MATCH(수납!$C480,원생!$A$2:$A$501,0))&amp;"","")))</f>
        <v/>
      </c>
      <c r="B480">
        <f>IFERROR(IF(수납!$B480="",YEAR(수납!$A480)*100+MONTH(수납!$A480),IF(ISNUMBER(수납!$B480),YEAR(수납!$B480)*100+MONTH(수납!$B480),VALUE(LEFT(수납!$B480,4))*100+VALUE(MID(수납!$B480,6,2)))),"")</f>
        <v/>
      </c>
      <c r="C480">
        <f>IF(OR(수납!$E480="수강료",수납!$E480=""),N(수납!$F480),0)</f>
        <v/>
      </c>
      <c r="E480">
        <f>IF(원생!$A480="","",원생!$A480&amp;"|"&amp;원생!$G480)</f>
        <v/>
      </c>
    </row>
    <row r="481">
      <c r="A481">
        <f>IF(수납!$C481="","",수납!$C481&amp;"|"&amp;IF(수납!$D481&lt;&gt;"",수납!$D481,IF(COUNTIF(원생!$A$2:$A$501,수납!$C481)=1,INDEX(원생!$G$2:$G$501,MATCH(수납!$C481,원생!$A$2:$A$501,0))&amp;"","")))</f>
        <v/>
      </c>
      <c r="B481">
        <f>IFERROR(IF(수납!$B481="",YEAR(수납!$A481)*100+MONTH(수납!$A481),IF(ISNUMBER(수납!$B481),YEAR(수납!$B481)*100+MONTH(수납!$B481),VALUE(LEFT(수납!$B481,4))*100+VALUE(MID(수납!$B481,6,2)))),"")</f>
        <v/>
      </c>
      <c r="C481">
        <f>IF(OR(수납!$E481="수강료",수납!$E481=""),N(수납!$F481),0)</f>
        <v/>
      </c>
      <c r="E481">
        <f>IF(원생!$A481="","",원생!$A481&amp;"|"&amp;원생!$G481)</f>
        <v/>
      </c>
    </row>
    <row r="482">
      <c r="A482">
        <f>IF(수납!$C482="","",수납!$C482&amp;"|"&amp;IF(수납!$D482&lt;&gt;"",수납!$D482,IF(COUNTIF(원생!$A$2:$A$501,수납!$C482)=1,INDEX(원생!$G$2:$G$501,MATCH(수납!$C482,원생!$A$2:$A$501,0))&amp;"","")))</f>
        <v/>
      </c>
      <c r="B482">
        <f>IFERROR(IF(수납!$B482="",YEAR(수납!$A482)*100+MONTH(수납!$A482),IF(ISNUMBER(수납!$B482),YEAR(수납!$B482)*100+MONTH(수납!$B482),VALUE(LEFT(수납!$B482,4))*100+VALUE(MID(수납!$B482,6,2)))),"")</f>
        <v/>
      </c>
      <c r="C482">
        <f>IF(OR(수납!$E482="수강료",수납!$E482=""),N(수납!$F482),0)</f>
        <v/>
      </c>
      <c r="E482">
        <f>IF(원생!$A482="","",원생!$A482&amp;"|"&amp;원생!$G482)</f>
        <v/>
      </c>
    </row>
    <row r="483">
      <c r="A483">
        <f>IF(수납!$C483="","",수납!$C483&amp;"|"&amp;IF(수납!$D483&lt;&gt;"",수납!$D483,IF(COUNTIF(원생!$A$2:$A$501,수납!$C483)=1,INDEX(원생!$G$2:$G$501,MATCH(수납!$C483,원생!$A$2:$A$501,0))&amp;"","")))</f>
        <v/>
      </c>
      <c r="B483">
        <f>IFERROR(IF(수납!$B483="",YEAR(수납!$A483)*100+MONTH(수납!$A483),IF(ISNUMBER(수납!$B483),YEAR(수납!$B483)*100+MONTH(수납!$B483),VALUE(LEFT(수납!$B483,4))*100+VALUE(MID(수납!$B483,6,2)))),"")</f>
        <v/>
      </c>
      <c r="C483">
        <f>IF(OR(수납!$E483="수강료",수납!$E483=""),N(수납!$F483),0)</f>
        <v/>
      </c>
      <c r="E483">
        <f>IF(원생!$A483="","",원생!$A483&amp;"|"&amp;원생!$G483)</f>
        <v/>
      </c>
    </row>
    <row r="484">
      <c r="A484">
        <f>IF(수납!$C484="","",수납!$C484&amp;"|"&amp;IF(수납!$D484&lt;&gt;"",수납!$D484,IF(COUNTIF(원생!$A$2:$A$501,수납!$C484)=1,INDEX(원생!$G$2:$G$501,MATCH(수납!$C484,원생!$A$2:$A$501,0))&amp;"","")))</f>
        <v/>
      </c>
      <c r="B484">
        <f>IFERROR(IF(수납!$B484="",YEAR(수납!$A484)*100+MONTH(수납!$A484),IF(ISNUMBER(수납!$B484),YEAR(수납!$B484)*100+MONTH(수납!$B484),VALUE(LEFT(수납!$B484,4))*100+VALUE(MID(수납!$B484,6,2)))),"")</f>
        <v/>
      </c>
      <c r="C484">
        <f>IF(OR(수납!$E484="수강료",수납!$E484=""),N(수납!$F484),0)</f>
        <v/>
      </c>
      <c r="E484">
        <f>IF(원생!$A484="","",원생!$A484&amp;"|"&amp;원생!$G484)</f>
        <v/>
      </c>
    </row>
    <row r="485">
      <c r="A485">
        <f>IF(수납!$C485="","",수납!$C485&amp;"|"&amp;IF(수납!$D485&lt;&gt;"",수납!$D485,IF(COUNTIF(원생!$A$2:$A$501,수납!$C485)=1,INDEX(원생!$G$2:$G$501,MATCH(수납!$C485,원생!$A$2:$A$501,0))&amp;"","")))</f>
        <v/>
      </c>
      <c r="B485">
        <f>IFERROR(IF(수납!$B485="",YEAR(수납!$A485)*100+MONTH(수납!$A485),IF(ISNUMBER(수납!$B485),YEAR(수납!$B485)*100+MONTH(수납!$B485),VALUE(LEFT(수납!$B485,4))*100+VALUE(MID(수납!$B485,6,2)))),"")</f>
        <v/>
      </c>
      <c r="C485">
        <f>IF(OR(수납!$E485="수강료",수납!$E485=""),N(수납!$F485),0)</f>
        <v/>
      </c>
      <c r="E485">
        <f>IF(원생!$A485="","",원생!$A485&amp;"|"&amp;원생!$G485)</f>
        <v/>
      </c>
    </row>
    <row r="486">
      <c r="A486">
        <f>IF(수납!$C486="","",수납!$C486&amp;"|"&amp;IF(수납!$D486&lt;&gt;"",수납!$D486,IF(COUNTIF(원생!$A$2:$A$501,수납!$C486)=1,INDEX(원생!$G$2:$G$501,MATCH(수납!$C486,원생!$A$2:$A$501,0))&amp;"","")))</f>
        <v/>
      </c>
      <c r="B486">
        <f>IFERROR(IF(수납!$B486="",YEAR(수납!$A486)*100+MONTH(수납!$A486),IF(ISNUMBER(수납!$B486),YEAR(수납!$B486)*100+MONTH(수납!$B486),VALUE(LEFT(수납!$B486,4))*100+VALUE(MID(수납!$B486,6,2)))),"")</f>
        <v/>
      </c>
      <c r="C486">
        <f>IF(OR(수납!$E486="수강료",수납!$E486=""),N(수납!$F486),0)</f>
        <v/>
      </c>
      <c r="E486">
        <f>IF(원생!$A486="","",원생!$A486&amp;"|"&amp;원생!$G486)</f>
        <v/>
      </c>
    </row>
    <row r="487">
      <c r="A487">
        <f>IF(수납!$C487="","",수납!$C487&amp;"|"&amp;IF(수납!$D487&lt;&gt;"",수납!$D487,IF(COUNTIF(원생!$A$2:$A$501,수납!$C487)=1,INDEX(원생!$G$2:$G$501,MATCH(수납!$C487,원생!$A$2:$A$501,0))&amp;"","")))</f>
        <v/>
      </c>
      <c r="B487">
        <f>IFERROR(IF(수납!$B487="",YEAR(수납!$A487)*100+MONTH(수납!$A487),IF(ISNUMBER(수납!$B487),YEAR(수납!$B487)*100+MONTH(수납!$B487),VALUE(LEFT(수납!$B487,4))*100+VALUE(MID(수납!$B487,6,2)))),"")</f>
        <v/>
      </c>
      <c r="C487">
        <f>IF(OR(수납!$E487="수강료",수납!$E487=""),N(수납!$F487),0)</f>
        <v/>
      </c>
      <c r="E487">
        <f>IF(원생!$A487="","",원생!$A487&amp;"|"&amp;원생!$G487)</f>
        <v/>
      </c>
    </row>
    <row r="488">
      <c r="A488">
        <f>IF(수납!$C488="","",수납!$C488&amp;"|"&amp;IF(수납!$D488&lt;&gt;"",수납!$D488,IF(COUNTIF(원생!$A$2:$A$501,수납!$C488)=1,INDEX(원생!$G$2:$G$501,MATCH(수납!$C488,원생!$A$2:$A$501,0))&amp;"","")))</f>
        <v/>
      </c>
      <c r="B488">
        <f>IFERROR(IF(수납!$B488="",YEAR(수납!$A488)*100+MONTH(수납!$A488),IF(ISNUMBER(수납!$B488),YEAR(수납!$B488)*100+MONTH(수납!$B488),VALUE(LEFT(수납!$B488,4))*100+VALUE(MID(수납!$B488,6,2)))),"")</f>
        <v/>
      </c>
      <c r="C488">
        <f>IF(OR(수납!$E488="수강료",수납!$E488=""),N(수납!$F488),0)</f>
        <v/>
      </c>
      <c r="E488">
        <f>IF(원생!$A488="","",원생!$A488&amp;"|"&amp;원생!$G488)</f>
        <v/>
      </c>
    </row>
    <row r="489">
      <c r="A489">
        <f>IF(수납!$C489="","",수납!$C489&amp;"|"&amp;IF(수납!$D489&lt;&gt;"",수납!$D489,IF(COUNTIF(원생!$A$2:$A$501,수납!$C489)=1,INDEX(원생!$G$2:$G$501,MATCH(수납!$C489,원생!$A$2:$A$501,0))&amp;"","")))</f>
        <v/>
      </c>
      <c r="B489">
        <f>IFERROR(IF(수납!$B489="",YEAR(수납!$A489)*100+MONTH(수납!$A489),IF(ISNUMBER(수납!$B489),YEAR(수납!$B489)*100+MONTH(수납!$B489),VALUE(LEFT(수납!$B489,4))*100+VALUE(MID(수납!$B489,6,2)))),"")</f>
        <v/>
      </c>
      <c r="C489">
        <f>IF(OR(수납!$E489="수강료",수납!$E489=""),N(수납!$F489),0)</f>
        <v/>
      </c>
      <c r="E489">
        <f>IF(원생!$A489="","",원생!$A489&amp;"|"&amp;원생!$G489)</f>
        <v/>
      </c>
    </row>
    <row r="490">
      <c r="A490">
        <f>IF(수납!$C490="","",수납!$C490&amp;"|"&amp;IF(수납!$D490&lt;&gt;"",수납!$D490,IF(COUNTIF(원생!$A$2:$A$501,수납!$C490)=1,INDEX(원생!$G$2:$G$501,MATCH(수납!$C490,원생!$A$2:$A$501,0))&amp;"","")))</f>
        <v/>
      </c>
      <c r="B490">
        <f>IFERROR(IF(수납!$B490="",YEAR(수납!$A490)*100+MONTH(수납!$A490),IF(ISNUMBER(수납!$B490),YEAR(수납!$B490)*100+MONTH(수납!$B490),VALUE(LEFT(수납!$B490,4))*100+VALUE(MID(수납!$B490,6,2)))),"")</f>
        <v/>
      </c>
      <c r="C490">
        <f>IF(OR(수납!$E490="수강료",수납!$E490=""),N(수납!$F490),0)</f>
        <v/>
      </c>
      <c r="E490">
        <f>IF(원생!$A490="","",원생!$A490&amp;"|"&amp;원생!$G490)</f>
        <v/>
      </c>
    </row>
    <row r="491">
      <c r="A491">
        <f>IF(수납!$C491="","",수납!$C491&amp;"|"&amp;IF(수납!$D491&lt;&gt;"",수납!$D491,IF(COUNTIF(원생!$A$2:$A$501,수납!$C491)=1,INDEX(원생!$G$2:$G$501,MATCH(수납!$C491,원생!$A$2:$A$501,0))&amp;"","")))</f>
        <v/>
      </c>
      <c r="B491">
        <f>IFERROR(IF(수납!$B491="",YEAR(수납!$A491)*100+MONTH(수납!$A491),IF(ISNUMBER(수납!$B491),YEAR(수납!$B491)*100+MONTH(수납!$B491),VALUE(LEFT(수납!$B491,4))*100+VALUE(MID(수납!$B491,6,2)))),"")</f>
        <v/>
      </c>
      <c r="C491">
        <f>IF(OR(수납!$E491="수강료",수납!$E491=""),N(수납!$F491),0)</f>
        <v/>
      </c>
      <c r="E491">
        <f>IF(원생!$A491="","",원생!$A491&amp;"|"&amp;원생!$G491)</f>
        <v/>
      </c>
    </row>
    <row r="492">
      <c r="A492">
        <f>IF(수납!$C492="","",수납!$C492&amp;"|"&amp;IF(수납!$D492&lt;&gt;"",수납!$D492,IF(COUNTIF(원생!$A$2:$A$501,수납!$C492)=1,INDEX(원생!$G$2:$G$501,MATCH(수납!$C492,원생!$A$2:$A$501,0))&amp;"","")))</f>
        <v/>
      </c>
      <c r="B492">
        <f>IFERROR(IF(수납!$B492="",YEAR(수납!$A492)*100+MONTH(수납!$A492),IF(ISNUMBER(수납!$B492),YEAR(수납!$B492)*100+MONTH(수납!$B492),VALUE(LEFT(수납!$B492,4))*100+VALUE(MID(수납!$B492,6,2)))),"")</f>
        <v/>
      </c>
      <c r="C492">
        <f>IF(OR(수납!$E492="수강료",수납!$E492=""),N(수납!$F492),0)</f>
        <v/>
      </c>
      <c r="E492">
        <f>IF(원생!$A492="","",원생!$A492&amp;"|"&amp;원생!$G492)</f>
        <v/>
      </c>
    </row>
    <row r="493">
      <c r="A493">
        <f>IF(수납!$C493="","",수납!$C493&amp;"|"&amp;IF(수납!$D493&lt;&gt;"",수납!$D493,IF(COUNTIF(원생!$A$2:$A$501,수납!$C493)=1,INDEX(원생!$G$2:$G$501,MATCH(수납!$C493,원생!$A$2:$A$501,0))&amp;"","")))</f>
        <v/>
      </c>
      <c r="B493">
        <f>IFERROR(IF(수납!$B493="",YEAR(수납!$A493)*100+MONTH(수납!$A493),IF(ISNUMBER(수납!$B493),YEAR(수납!$B493)*100+MONTH(수납!$B493),VALUE(LEFT(수납!$B493,4))*100+VALUE(MID(수납!$B493,6,2)))),"")</f>
        <v/>
      </c>
      <c r="C493">
        <f>IF(OR(수납!$E493="수강료",수납!$E493=""),N(수납!$F493),0)</f>
        <v/>
      </c>
      <c r="E493">
        <f>IF(원생!$A493="","",원생!$A493&amp;"|"&amp;원생!$G493)</f>
        <v/>
      </c>
    </row>
    <row r="494">
      <c r="A494">
        <f>IF(수납!$C494="","",수납!$C494&amp;"|"&amp;IF(수납!$D494&lt;&gt;"",수납!$D494,IF(COUNTIF(원생!$A$2:$A$501,수납!$C494)=1,INDEX(원생!$G$2:$G$501,MATCH(수납!$C494,원생!$A$2:$A$501,0))&amp;"","")))</f>
        <v/>
      </c>
      <c r="B494">
        <f>IFERROR(IF(수납!$B494="",YEAR(수납!$A494)*100+MONTH(수납!$A494),IF(ISNUMBER(수납!$B494),YEAR(수납!$B494)*100+MONTH(수납!$B494),VALUE(LEFT(수납!$B494,4))*100+VALUE(MID(수납!$B494,6,2)))),"")</f>
        <v/>
      </c>
      <c r="C494">
        <f>IF(OR(수납!$E494="수강료",수납!$E494=""),N(수납!$F494),0)</f>
        <v/>
      </c>
      <c r="E494">
        <f>IF(원생!$A494="","",원생!$A494&amp;"|"&amp;원생!$G494)</f>
        <v/>
      </c>
    </row>
    <row r="495">
      <c r="A495">
        <f>IF(수납!$C495="","",수납!$C495&amp;"|"&amp;IF(수납!$D495&lt;&gt;"",수납!$D495,IF(COUNTIF(원생!$A$2:$A$501,수납!$C495)=1,INDEX(원생!$G$2:$G$501,MATCH(수납!$C495,원생!$A$2:$A$501,0))&amp;"","")))</f>
        <v/>
      </c>
      <c r="B495">
        <f>IFERROR(IF(수납!$B495="",YEAR(수납!$A495)*100+MONTH(수납!$A495),IF(ISNUMBER(수납!$B495),YEAR(수납!$B495)*100+MONTH(수납!$B495),VALUE(LEFT(수납!$B495,4))*100+VALUE(MID(수납!$B495,6,2)))),"")</f>
        <v/>
      </c>
      <c r="C495">
        <f>IF(OR(수납!$E495="수강료",수납!$E495=""),N(수납!$F495),0)</f>
        <v/>
      </c>
      <c r="E495">
        <f>IF(원생!$A495="","",원생!$A495&amp;"|"&amp;원생!$G495)</f>
        <v/>
      </c>
    </row>
    <row r="496">
      <c r="A496">
        <f>IF(수납!$C496="","",수납!$C496&amp;"|"&amp;IF(수납!$D496&lt;&gt;"",수납!$D496,IF(COUNTIF(원생!$A$2:$A$501,수납!$C496)=1,INDEX(원생!$G$2:$G$501,MATCH(수납!$C496,원생!$A$2:$A$501,0))&amp;"","")))</f>
        <v/>
      </c>
      <c r="B496">
        <f>IFERROR(IF(수납!$B496="",YEAR(수납!$A496)*100+MONTH(수납!$A496),IF(ISNUMBER(수납!$B496),YEAR(수납!$B496)*100+MONTH(수납!$B496),VALUE(LEFT(수납!$B496,4))*100+VALUE(MID(수납!$B496,6,2)))),"")</f>
        <v/>
      </c>
      <c r="C496">
        <f>IF(OR(수납!$E496="수강료",수납!$E496=""),N(수납!$F496),0)</f>
        <v/>
      </c>
      <c r="E496">
        <f>IF(원생!$A496="","",원생!$A496&amp;"|"&amp;원생!$G496)</f>
        <v/>
      </c>
    </row>
    <row r="497">
      <c r="A497">
        <f>IF(수납!$C497="","",수납!$C497&amp;"|"&amp;IF(수납!$D497&lt;&gt;"",수납!$D497,IF(COUNTIF(원생!$A$2:$A$501,수납!$C497)=1,INDEX(원생!$G$2:$G$501,MATCH(수납!$C497,원생!$A$2:$A$501,0))&amp;"","")))</f>
        <v/>
      </c>
      <c r="B497">
        <f>IFERROR(IF(수납!$B497="",YEAR(수납!$A497)*100+MONTH(수납!$A497),IF(ISNUMBER(수납!$B497),YEAR(수납!$B497)*100+MONTH(수납!$B497),VALUE(LEFT(수납!$B497,4))*100+VALUE(MID(수납!$B497,6,2)))),"")</f>
        <v/>
      </c>
      <c r="C497">
        <f>IF(OR(수납!$E497="수강료",수납!$E497=""),N(수납!$F497),0)</f>
        <v/>
      </c>
      <c r="E497">
        <f>IF(원생!$A497="","",원생!$A497&amp;"|"&amp;원생!$G497)</f>
        <v/>
      </c>
    </row>
    <row r="498">
      <c r="A498">
        <f>IF(수납!$C498="","",수납!$C498&amp;"|"&amp;IF(수납!$D498&lt;&gt;"",수납!$D498,IF(COUNTIF(원생!$A$2:$A$501,수납!$C498)=1,INDEX(원생!$G$2:$G$501,MATCH(수납!$C498,원생!$A$2:$A$501,0))&amp;"","")))</f>
        <v/>
      </c>
      <c r="B498">
        <f>IFERROR(IF(수납!$B498="",YEAR(수납!$A498)*100+MONTH(수납!$A498),IF(ISNUMBER(수납!$B498),YEAR(수납!$B498)*100+MONTH(수납!$B498),VALUE(LEFT(수납!$B498,4))*100+VALUE(MID(수납!$B498,6,2)))),"")</f>
        <v/>
      </c>
      <c r="C498">
        <f>IF(OR(수납!$E498="수강료",수납!$E498=""),N(수납!$F498),0)</f>
        <v/>
      </c>
      <c r="E498">
        <f>IF(원생!$A498="","",원생!$A498&amp;"|"&amp;원생!$G498)</f>
        <v/>
      </c>
    </row>
    <row r="499">
      <c r="A499">
        <f>IF(수납!$C499="","",수납!$C499&amp;"|"&amp;IF(수납!$D499&lt;&gt;"",수납!$D499,IF(COUNTIF(원생!$A$2:$A$501,수납!$C499)=1,INDEX(원생!$G$2:$G$501,MATCH(수납!$C499,원생!$A$2:$A$501,0))&amp;"","")))</f>
        <v/>
      </c>
      <c r="B499">
        <f>IFERROR(IF(수납!$B499="",YEAR(수납!$A499)*100+MONTH(수납!$A499),IF(ISNUMBER(수납!$B499),YEAR(수납!$B499)*100+MONTH(수납!$B499),VALUE(LEFT(수납!$B499,4))*100+VALUE(MID(수납!$B499,6,2)))),"")</f>
        <v/>
      </c>
      <c r="C499">
        <f>IF(OR(수납!$E499="수강료",수납!$E499=""),N(수납!$F499),0)</f>
        <v/>
      </c>
      <c r="E499">
        <f>IF(원생!$A499="","",원생!$A499&amp;"|"&amp;원생!$G499)</f>
        <v/>
      </c>
    </row>
    <row r="500">
      <c r="A500">
        <f>IF(수납!$C500="","",수납!$C500&amp;"|"&amp;IF(수납!$D500&lt;&gt;"",수납!$D500,IF(COUNTIF(원생!$A$2:$A$501,수납!$C500)=1,INDEX(원생!$G$2:$G$501,MATCH(수납!$C500,원생!$A$2:$A$501,0))&amp;"","")))</f>
        <v/>
      </c>
      <c r="B500">
        <f>IFERROR(IF(수납!$B500="",YEAR(수납!$A500)*100+MONTH(수납!$A500),IF(ISNUMBER(수납!$B500),YEAR(수납!$B500)*100+MONTH(수납!$B500),VALUE(LEFT(수납!$B500,4))*100+VALUE(MID(수납!$B500,6,2)))),"")</f>
        <v/>
      </c>
      <c r="C500">
        <f>IF(OR(수납!$E500="수강료",수납!$E500=""),N(수납!$F500),0)</f>
        <v/>
      </c>
      <c r="E500">
        <f>IF(원생!$A500="","",원생!$A500&amp;"|"&amp;원생!$G500)</f>
        <v/>
      </c>
    </row>
    <row r="501">
      <c r="A501">
        <f>IF(수납!$C501="","",수납!$C501&amp;"|"&amp;IF(수납!$D501&lt;&gt;"",수납!$D501,IF(COUNTIF(원생!$A$2:$A$501,수납!$C501)=1,INDEX(원생!$G$2:$G$501,MATCH(수납!$C501,원생!$A$2:$A$501,0))&amp;"","")))</f>
        <v/>
      </c>
      <c r="B501">
        <f>IFERROR(IF(수납!$B501="",YEAR(수납!$A501)*100+MONTH(수납!$A501),IF(ISNUMBER(수납!$B501),YEAR(수납!$B501)*100+MONTH(수납!$B501),VALUE(LEFT(수납!$B501,4))*100+VALUE(MID(수납!$B501,6,2)))),"")</f>
        <v/>
      </c>
      <c r="C501">
        <f>IF(OR(수납!$E501="수강료",수납!$E501=""),N(수납!$F501),0)</f>
        <v/>
      </c>
      <c r="E501">
        <f>IF(원생!$A501="","",원생!$A501&amp;"|"&amp;원생!$G501)</f>
        <v/>
      </c>
    </row>
    <row r="502">
      <c r="A502">
        <f>IF(수납!$C502="","",수납!$C502&amp;"|"&amp;IF(수납!$D502&lt;&gt;"",수납!$D502,IF(COUNTIF(원생!$A$2:$A$501,수납!$C502)=1,INDEX(원생!$G$2:$G$501,MATCH(수납!$C502,원생!$A$2:$A$501,0))&amp;"","")))</f>
        <v/>
      </c>
      <c r="B502">
        <f>IFERROR(IF(수납!$B502="",YEAR(수납!$A502)*100+MONTH(수납!$A502),IF(ISNUMBER(수납!$B502),YEAR(수납!$B502)*100+MONTH(수납!$B502),VALUE(LEFT(수납!$B502,4))*100+VALUE(MID(수납!$B502,6,2)))),"")</f>
        <v/>
      </c>
      <c r="C502">
        <f>IF(OR(수납!$E502="수강료",수납!$E502=""),N(수납!$F502),0)</f>
        <v/>
      </c>
    </row>
    <row r="503">
      <c r="A503">
        <f>IF(수납!$C503="","",수납!$C503&amp;"|"&amp;IF(수납!$D503&lt;&gt;"",수납!$D503,IF(COUNTIF(원생!$A$2:$A$501,수납!$C503)=1,INDEX(원생!$G$2:$G$501,MATCH(수납!$C503,원생!$A$2:$A$501,0))&amp;"","")))</f>
        <v/>
      </c>
      <c r="B503">
        <f>IFERROR(IF(수납!$B503="",YEAR(수납!$A503)*100+MONTH(수납!$A503),IF(ISNUMBER(수납!$B503),YEAR(수납!$B503)*100+MONTH(수납!$B503),VALUE(LEFT(수납!$B503,4))*100+VALUE(MID(수납!$B503,6,2)))),"")</f>
        <v/>
      </c>
      <c r="C503">
        <f>IF(OR(수납!$E503="수강료",수납!$E503=""),N(수납!$F503),0)</f>
        <v/>
      </c>
    </row>
    <row r="504">
      <c r="A504">
        <f>IF(수납!$C504="","",수납!$C504&amp;"|"&amp;IF(수납!$D504&lt;&gt;"",수납!$D504,IF(COUNTIF(원생!$A$2:$A$501,수납!$C504)=1,INDEX(원생!$G$2:$G$501,MATCH(수납!$C504,원생!$A$2:$A$501,0))&amp;"","")))</f>
        <v/>
      </c>
      <c r="B504">
        <f>IFERROR(IF(수납!$B504="",YEAR(수납!$A504)*100+MONTH(수납!$A504),IF(ISNUMBER(수납!$B504),YEAR(수납!$B504)*100+MONTH(수납!$B504),VALUE(LEFT(수납!$B504,4))*100+VALUE(MID(수납!$B504,6,2)))),"")</f>
        <v/>
      </c>
      <c r="C504">
        <f>IF(OR(수납!$E504="수강료",수납!$E504=""),N(수납!$F504),0)</f>
        <v/>
      </c>
    </row>
    <row r="505">
      <c r="A505">
        <f>IF(수납!$C505="","",수납!$C505&amp;"|"&amp;IF(수납!$D505&lt;&gt;"",수납!$D505,IF(COUNTIF(원생!$A$2:$A$501,수납!$C505)=1,INDEX(원생!$G$2:$G$501,MATCH(수납!$C505,원생!$A$2:$A$501,0))&amp;"","")))</f>
        <v/>
      </c>
      <c r="B505">
        <f>IFERROR(IF(수납!$B505="",YEAR(수납!$A505)*100+MONTH(수납!$A505),IF(ISNUMBER(수납!$B505),YEAR(수납!$B505)*100+MONTH(수납!$B505),VALUE(LEFT(수납!$B505,4))*100+VALUE(MID(수납!$B505,6,2)))),"")</f>
        <v/>
      </c>
      <c r="C505">
        <f>IF(OR(수납!$E505="수강료",수납!$E505=""),N(수납!$F505),0)</f>
        <v/>
      </c>
    </row>
    <row r="506">
      <c r="A506">
        <f>IF(수납!$C506="","",수납!$C506&amp;"|"&amp;IF(수납!$D506&lt;&gt;"",수납!$D506,IF(COUNTIF(원생!$A$2:$A$501,수납!$C506)=1,INDEX(원생!$G$2:$G$501,MATCH(수납!$C506,원생!$A$2:$A$501,0))&amp;"","")))</f>
        <v/>
      </c>
      <c r="B506">
        <f>IFERROR(IF(수납!$B506="",YEAR(수납!$A506)*100+MONTH(수납!$A506),IF(ISNUMBER(수납!$B506),YEAR(수납!$B506)*100+MONTH(수납!$B506),VALUE(LEFT(수납!$B506,4))*100+VALUE(MID(수납!$B506,6,2)))),"")</f>
        <v/>
      </c>
      <c r="C506">
        <f>IF(OR(수납!$E506="수강료",수납!$E506=""),N(수납!$F506),0)</f>
        <v/>
      </c>
    </row>
    <row r="507">
      <c r="A507">
        <f>IF(수납!$C507="","",수납!$C507&amp;"|"&amp;IF(수납!$D507&lt;&gt;"",수납!$D507,IF(COUNTIF(원생!$A$2:$A$501,수납!$C507)=1,INDEX(원생!$G$2:$G$501,MATCH(수납!$C507,원생!$A$2:$A$501,0))&amp;"","")))</f>
        <v/>
      </c>
      <c r="B507">
        <f>IFERROR(IF(수납!$B507="",YEAR(수납!$A507)*100+MONTH(수납!$A507),IF(ISNUMBER(수납!$B507),YEAR(수납!$B507)*100+MONTH(수납!$B507),VALUE(LEFT(수납!$B507,4))*100+VALUE(MID(수납!$B507,6,2)))),"")</f>
        <v/>
      </c>
      <c r="C507">
        <f>IF(OR(수납!$E507="수강료",수납!$E507=""),N(수납!$F507),0)</f>
        <v/>
      </c>
    </row>
    <row r="508">
      <c r="A508">
        <f>IF(수납!$C508="","",수납!$C508&amp;"|"&amp;IF(수납!$D508&lt;&gt;"",수납!$D508,IF(COUNTIF(원생!$A$2:$A$501,수납!$C508)=1,INDEX(원생!$G$2:$G$501,MATCH(수납!$C508,원생!$A$2:$A$501,0))&amp;"","")))</f>
        <v/>
      </c>
      <c r="B508">
        <f>IFERROR(IF(수납!$B508="",YEAR(수납!$A508)*100+MONTH(수납!$A508),IF(ISNUMBER(수납!$B508),YEAR(수납!$B508)*100+MONTH(수납!$B508),VALUE(LEFT(수납!$B508,4))*100+VALUE(MID(수납!$B508,6,2)))),"")</f>
        <v/>
      </c>
      <c r="C508">
        <f>IF(OR(수납!$E508="수강료",수납!$E508=""),N(수납!$F508),0)</f>
        <v/>
      </c>
    </row>
    <row r="509">
      <c r="A509">
        <f>IF(수납!$C509="","",수납!$C509&amp;"|"&amp;IF(수납!$D509&lt;&gt;"",수납!$D509,IF(COUNTIF(원생!$A$2:$A$501,수납!$C509)=1,INDEX(원생!$G$2:$G$501,MATCH(수납!$C509,원생!$A$2:$A$501,0))&amp;"","")))</f>
        <v/>
      </c>
      <c r="B509">
        <f>IFERROR(IF(수납!$B509="",YEAR(수납!$A509)*100+MONTH(수납!$A509),IF(ISNUMBER(수납!$B509),YEAR(수납!$B509)*100+MONTH(수납!$B509),VALUE(LEFT(수납!$B509,4))*100+VALUE(MID(수납!$B509,6,2)))),"")</f>
        <v/>
      </c>
      <c r="C509">
        <f>IF(OR(수납!$E509="수강료",수납!$E509=""),N(수납!$F509),0)</f>
        <v/>
      </c>
    </row>
    <row r="510">
      <c r="A510">
        <f>IF(수납!$C510="","",수납!$C510&amp;"|"&amp;IF(수납!$D510&lt;&gt;"",수납!$D510,IF(COUNTIF(원생!$A$2:$A$501,수납!$C510)=1,INDEX(원생!$G$2:$G$501,MATCH(수납!$C510,원생!$A$2:$A$501,0))&amp;"","")))</f>
        <v/>
      </c>
      <c r="B510">
        <f>IFERROR(IF(수납!$B510="",YEAR(수납!$A510)*100+MONTH(수납!$A510),IF(ISNUMBER(수납!$B510),YEAR(수납!$B510)*100+MONTH(수납!$B510),VALUE(LEFT(수납!$B510,4))*100+VALUE(MID(수납!$B510,6,2)))),"")</f>
        <v/>
      </c>
      <c r="C510">
        <f>IF(OR(수납!$E510="수강료",수납!$E510=""),N(수납!$F510),0)</f>
        <v/>
      </c>
    </row>
    <row r="511">
      <c r="A511">
        <f>IF(수납!$C511="","",수납!$C511&amp;"|"&amp;IF(수납!$D511&lt;&gt;"",수납!$D511,IF(COUNTIF(원생!$A$2:$A$501,수납!$C511)=1,INDEX(원생!$G$2:$G$501,MATCH(수납!$C511,원생!$A$2:$A$501,0))&amp;"","")))</f>
        <v/>
      </c>
      <c r="B511">
        <f>IFERROR(IF(수납!$B511="",YEAR(수납!$A511)*100+MONTH(수납!$A511),IF(ISNUMBER(수납!$B511),YEAR(수납!$B511)*100+MONTH(수납!$B511),VALUE(LEFT(수납!$B511,4))*100+VALUE(MID(수납!$B511,6,2)))),"")</f>
        <v/>
      </c>
      <c r="C511">
        <f>IF(OR(수납!$E511="수강료",수납!$E511=""),N(수납!$F511),0)</f>
        <v/>
      </c>
    </row>
    <row r="512">
      <c r="A512">
        <f>IF(수납!$C512="","",수납!$C512&amp;"|"&amp;IF(수납!$D512&lt;&gt;"",수납!$D512,IF(COUNTIF(원생!$A$2:$A$501,수납!$C512)=1,INDEX(원생!$G$2:$G$501,MATCH(수납!$C512,원생!$A$2:$A$501,0))&amp;"","")))</f>
        <v/>
      </c>
      <c r="B512">
        <f>IFERROR(IF(수납!$B512="",YEAR(수납!$A512)*100+MONTH(수납!$A512),IF(ISNUMBER(수납!$B512),YEAR(수납!$B512)*100+MONTH(수납!$B512),VALUE(LEFT(수납!$B512,4))*100+VALUE(MID(수납!$B512,6,2)))),"")</f>
        <v/>
      </c>
      <c r="C512">
        <f>IF(OR(수납!$E512="수강료",수납!$E512=""),N(수납!$F512),0)</f>
        <v/>
      </c>
    </row>
    <row r="513">
      <c r="A513">
        <f>IF(수납!$C513="","",수납!$C513&amp;"|"&amp;IF(수납!$D513&lt;&gt;"",수납!$D513,IF(COUNTIF(원생!$A$2:$A$501,수납!$C513)=1,INDEX(원생!$G$2:$G$501,MATCH(수납!$C513,원생!$A$2:$A$501,0))&amp;"","")))</f>
        <v/>
      </c>
      <c r="B513">
        <f>IFERROR(IF(수납!$B513="",YEAR(수납!$A513)*100+MONTH(수납!$A513),IF(ISNUMBER(수납!$B513),YEAR(수납!$B513)*100+MONTH(수납!$B513),VALUE(LEFT(수납!$B513,4))*100+VALUE(MID(수납!$B513,6,2)))),"")</f>
        <v/>
      </c>
      <c r="C513">
        <f>IF(OR(수납!$E513="수강료",수납!$E513=""),N(수납!$F513),0)</f>
        <v/>
      </c>
    </row>
    <row r="514">
      <c r="A514">
        <f>IF(수납!$C514="","",수납!$C514&amp;"|"&amp;IF(수납!$D514&lt;&gt;"",수납!$D514,IF(COUNTIF(원생!$A$2:$A$501,수납!$C514)=1,INDEX(원생!$G$2:$G$501,MATCH(수납!$C514,원생!$A$2:$A$501,0))&amp;"","")))</f>
        <v/>
      </c>
      <c r="B514">
        <f>IFERROR(IF(수납!$B514="",YEAR(수납!$A514)*100+MONTH(수납!$A514),IF(ISNUMBER(수납!$B514),YEAR(수납!$B514)*100+MONTH(수납!$B514),VALUE(LEFT(수납!$B514,4))*100+VALUE(MID(수납!$B514,6,2)))),"")</f>
        <v/>
      </c>
      <c r="C514">
        <f>IF(OR(수납!$E514="수강료",수납!$E514=""),N(수납!$F514),0)</f>
        <v/>
      </c>
    </row>
    <row r="515">
      <c r="A515">
        <f>IF(수납!$C515="","",수납!$C515&amp;"|"&amp;IF(수납!$D515&lt;&gt;"",수납!$D515,IF(COUNTIF(원생!$A$2:$A$501,수납!$C515)=1,INDEX(원생!$G$2:$G$501,MATCH(수납!$C515,원생!$A$2:$A$501,0))&amp;"","")))</f>
        <v/>
      </c>
      <c r="B515">
        <f>IFERROR(IF(수납!$B515="",YEAR(수납!$A515)*100+MONTH(수납!$A515),IF(ISNUMBER(수납!$B515),YEAR(수납!$B515)*100+MONTH(수납!$B515),VALUE(LEFT(수납!$B515,4))*100+VALUE(MID(수납!$B515,6,2)))),"")</f>
        <v/>
      </c>
      <c r="C515">
        <f>IF(OR(수납!$E515="수강료",수납!$E515=""),N(수납!$F515),0)</f>
        <v/>
      </c>
    </row>
    <row r="516">
      <c r="A516">
        <f>IF(수납!$C516="","",수납!$C516&amp;"|"&amp;IF(수납!$D516&lt;&gt;"",수납!$D516,IF(COUNTIF(원생!$A$2:$A$501,수납!$C516)=1,INDEX(원생!$G$2:$G$501,MATCH(수납!$C516,원생!$A$2:$A$501,0))&amp;"","")))</f>
        <v/>
      </c>
      <c r="B516">
        <f>IFERROR(IF(수납!$B516="",YEAR(수납!$A516)*100+MONTH(수납!$A516),IF(ISNUMBER(수납!$B516),YEAR(수납!$B516)*100+MONTH(수납!$B516),VALUE(LEFT(수납!$B516,4))*100+VALUE(MID(수납!$B516,6,2)))),"")</f>
        <v/>
      </c>
      <c r="C516">
        <f>IF(OR(수납!$E516="수강료",수납!$E516=""),N(수납!$F516),0)</f>
        <v/>
      </c>
    </row>
    <row r="517">
      <c r="A517">
        <f>IF(수납!$C517="","",수납!$C517&amp;"|"&amp;IF(수납!$D517&lt;&gt;"",수납!$D517,IF(COUNTIF(원생!$A$2:$A$501,수납!$C517)=1,INDEX(원생!$G$2:$G$501,MATCH(수납!$C517,원생!$A$2:$A$501,0))&amp;"","")))</f>
        <v/>
      </c>
      <c r="B517">
        <f>IFERROR(IF(수납!$B517="",YEAR(수납!$A517)*100+MONTH(수납!$A517),IF(ISNUMBER(수납!$B517),YEAR(수납!$B517)*100+MONTH(수납!$B517),VALUE(LEFT(수납!$B517,4))*100+VALUE(MID(수납!$B517,6,2)))),"")</f>
        <v/>
      </c>
      <c r="C517">
        <f>IF(OR(수납!$E517="수강료",수납!$E517=""),N(수납!$F517),0)</f>
        <v/>
      </c>
    </row>
    <row r="518">
      <c r="A518">
        <f>IF(수납!$C518="","",수납!$C518&amp;"|"&amp;IF(수납!$D518&lt;&gt;"",수납!$D518,IF(COUNTIF(원생!$A$2:$A$501,수납!$C518)=1,INDEX(원생!$G$2:$G$501,MATCH(수납!$C518,원생!$A$2:$A$501,0))&amp;"","")))</f>
        <v/>
      </c>
      <c r="B518">
        <f>IFERROR(IF(수납!$B518="",YEAR(수납!$A518)*100+MONTH(수납!$A518),IF(ISNUMBER(수납!$B518),YEAR(수납!$B518)*100+MONTH(수납!$B518),VALUE(LEFT(수납!$B518,4))*100+VALUE(MID(수납!$B518,6,2)))),"")</f>
        <v/>
      </c>
      <c r="C518">
        <f>IF(OR(수납!$E518="수강료",수납!$E518=""),N(수납!$F518),0)</f>
        <v/>
      </c>
    </row>
    <row r="519">
      <c r="A519">
        <f>IF(수납!$C519="","",수납!$C519&amp;"|"&amp;IF(수납!$D519&lt;&gt;"",수납!$D519,IF(COUNTIF(원생!$A$2:$A$501,수납!$C519)=1,INDEX(원생!$G$2:$G$501,MATCH(수납!$C519,원생!$A$2:$A$501,0))&amp;"","")))</f>
        <v/>
      </c>
      <c r="B519">
        <f>IFERROR(IF(수납!$B519="",YEAR(수납!$A519)*100+MONTH(수납!$A519),IF(ISNUMBER(수납!$B519),YEAR(수납!$B519)*100+MONTH(수납!$B519),VALUE(LEFT(수납!$B519,4))*100+VALUE(MID(수납!$B519,6,2)))),"")</f>
        <v/>
      </c>
      <c r="C519">
        <f>IF(OR(수납!$E519="수강료",수납!$E519=""),N(수납!$F519),0)</f>
        <v/>
      </c>
    </row>
    <row r="520">
      <c r="A520">
        <f>IF(수납!$C520="","",수납!$C520&amp;"|"&amp;IF(수납!$D520&lt;&gt;"",수납!$D520,IF(COUNTIF(원생!$A$2:$A$501,수납!$C520)=1,INDEX(원생!$G$2:$G$501,MATCH(수납!$C520,원생!$A$2:$A$501,0))&amp;"","")))</f>
        <v/>
      </c>
      <c r="B520">
        <f>IFERROR(IF(수납!$B520="",YEAR(수납!$A520)*100+MONTH(수납!$A520),IF(ISNUMBER(수납!$B520),YEAR(수납!$B520)*100+MONTH(수납!$B520),VALUE(LEFT(수납!$B520,4))*100+VALUE(MID(수납!$B520,6,2)))),"")</f>
        <v/>
      </c>
      <c r="C520">
        <f>IF(OR(수납!$E520="수강료",수납!$E520=""),N(수납!$F520),0)</f>
        <v/>
      </c>
    </row>
    <row r="521">
      <c r="A521">
        <f>IF(수납!$C521="","",수납!$C521&amp;"|"&amp;IF(수납!$D521&lt;&gt;"",수납!$D521,IF(COUNTIF(원생!$A$2:$A$501,수납!$C521)=1,INDEX(원생!$G$2:$G$501,MATCH(수납!$C521,원생!$A$2:$A$501,0))&amp;"","")))</f>
        <v/>
      </c>
      <c r="B521">
        <f>IFERROR(IF(수납!$B521="",YEAR(수납!$A521)*100+MONTH(수납!$A521),IF(ISNUMBER(수납!$B521),YEAR(수납!$B521)*100+MONTH(수납!$B521),VALUE(LEFT(수납!$B521,4))*100+VALUE(MID(수납!$B521,6,2)))),"")</f>
        <v/>
      </c>
      <c r="C521">
        <f>IF(OR(수납!$E521="수강료",수납!$E521=""),N(수납!$F521),0)</f>
        <v/>
      </c>
    </row>
    <row r="522">
      <c r="A522">
        <f>IF(수납!$C522="","",수납!$C522&amp;"|"&amp;IF(수납!$D522&lt;&gt;"",수납!$D522,IF(COUNTIF(원생!$A$2:$A$501,수납!$C522)=1,INDEX(원생!$G$2:$G$501,MATCH(수납!$C522,원생!$A$2:$A$501,0))&amp;"","")))</f>
        <v/>
      </c>
      <c r="B522">
        <f>IFERROR(IF(수납!$B522="",YEAR(수납!$A522)*100+MONTH(수납!$A522),IF(ISNUMBER(수납!$B522),YEAR(수납!$B522)*100+MONTH(수납!$B522),VALUE(LEFT(수납!$B522,4))*100+VALUE(MID(수납!$B522,6,2)))),"")</f>
        <v/>
      </c>
      <c r="C522">
        <f>IF(OR(수납!$E522="수강료",수납!$E522=""),N(수납!$F522),0)</f>
        <v/>
      </c>
    </row>
    <row r="523">
      <c r="A523">
        <f>IF(수납!$C523="","",수납!$C523&amp;"|"&amp;IF(수납!$D523&lt;&gt;"",수납!$D523,IF(COUNTIF(원생!$A$2:$A$501,수납!$C523)=1,INDEX(원생!$G$2:$G$501,MATCH(수납!$C523,원생!$A$2:$A$501,0))&amp;"","")))</f>
        <v/>
      </c>
      <c r="B523">
        <f>IFERROR(IF(수납!$B523="",YEAR(수납!$A523)*100+MONTH(수납!$A523),IF(ISNUMBER(수납!$B523),YEAR(수납!$B523)*100+MONTH(수납!$B523),VALUE(LEFT(수납!$B523,4))*100+VALUE(MID(수납!$B523,6,2)))),"")</f>
        <v/>
      </c>
      <c r="C523">
        <f>IF(OR(수납!$E523="수강료",수납!$E523=""),N(수납!$F523),0)</f>
        <v/>
      </c>
    </row>
    <row r="524">
      <c r="A524">
        <f>IF(수납!$C524="","",수납!$C524&amp;"|"&amp;IF(수납!$D524&lt;&gt;"",수납!$D524,IF(COUNTIF(원생!$A$2:$A$501,수납!$C524)=1,INDEX(원생!$G$2:$G$501,MATCH(수납!$C524,원생!$A$2:$A$501,0))&amp;"","")))</f>
        <v/>
      </c>
      <c r="B524">
        <f>IFERROR(IF(수납!$B524="",YEAR(수납!$A524)*100+MONTH(수납!$A524),IF(ISNUMBER(수납!$B524),YEAR(수납!$B524)*100+MONTH(수납!$B524),VALUE(LEFT(수납!$B524,4))*100+VALUE(MID(수납!$B524,6,2)))),"")</f>
        <v/>
      </c>
      <c r="C524">
        <f>IF(OR(수납!$E524="수강료",수납!$E524=""),N(수납!$F524),0)</f>
        <v/>
      </c>
    </row>
    <row r="525">
      <c r="A525">
        <f>IF(수납!$C525="","",수납!$C525&amp;"|"&amp;IF(수납!$D525&lt;&gt;"",수납!$D525,IF(COUNTIF(원생!$A$2:$A$501,수납!$C525)=1,INDEX(원생!$G$2:$G$501,MATCH(수납!$C525,원생!$A$2:$A$501,0))&amp;"","")))</f>
        <v/>
      </c>
      <c r="B525">
        <f>IFERROR(IF(수납!$B525="",YEAR(수납!$A525)*100+MONTH(수납!$A525),IF(ISNUMBER(수납!$B525),YEAR(수납!$B525)*100+MONTH(수납!$B525),VALUE(LEFT(수납!$B525,4))*100+VALUE(MID(수납!$B525,6,2)))),"")</f>
        <v/>
      </c>
      <c r="C525">
        <f>IF(OR(수납!$E525="수강료",수납!$E525=""),N(수납!$F525),0)</f>
        <v/>
      </c>
    </row>
    <row r="526">
      <c r="A526">
        <f>IF(수납!$C526="","",수납!$C526&amp;"|"&amp;IF(수납!$D526&lt;&gt;"",수납!$D526,IF(COUNTIF(원생!$A$2:$A$501,수납!$C526)=1,INDEX(원생!$G$2:$G$501,MATCH(수납!$C526,원생!$A$2:$A$501,0))&amp;"","")))</f>
        <v/>
      </c>
      <c r="B526">
        <f>IFERROR(IF(수납!$B526="",YEAR(수납!$A526)*100+MONTH(수납!$A526),IF(ISNUMBER(수납!$B526),YEAR(수납!$B526)*100+MONTH(수납!$B526),VALUE(LEFT(수납!$B526,4))*100+VALUE(MID(수납!$B526,6,2)))),"")</f>
        <v/>
      </c>
      <c r="C526">
        <f>IF(OR(수납!$E526="수강료",수납!$E526=""),N(수납!$F526),0)</f>
        <v/>
      </c>
    </row>
    <row r="527">
      <c r="A527">
        <f>IF(수납!$C527="","",수납!$C527&amp;"|"&amp;IF(수납!$D527&lt;&gt;"",수납!$D527,IF(COUNTIF(원생!$A$2:$A$501,수납!$C527)=1,INDEX(원생!$G$2:$G$501,MATCH(수납!$C527,원생!$A$2:$A$501,0))&amp;"","")))</f>
        <v/>
      </c>
      <c r="B527">
        <f>IFERROR(IF(수납!$B527="",YEAR(수납!$A527)*100+MONTH(수납!$A527),IF(ISNUMBER(수납!$B527),YEAR(수납!$B527)*100+MONTH(수납!$B527),VALUE(LEFT(수납!$B527,4))*100+VALUE(MID(수납!$B527,6,2)))),"")</f>
        <v/>
      </c>
      <c r="C527">
        <f>IF(OR(수납!$E527="수강료",수납!$E527=""),N(수납!$F527),0)</f>
        <v/>
      </c>
    </row>
    <row r="528">
      <c r="A528">
        <f>IF(수납!$C528="","",수납!$C528&amp;"|"&amp;IF(수납!$D528&lt;&gt;"",수납!$D528,IF(COUNTIF(원생!$A$2:$A$501,수납!$C528)=1,INDEX(원생!$G$2:$G$501,MATCH(수납!$C528,원생!$A$2:$A$501,0))&amp;"","")))</f>
        <v/>
      </c>
      <c r="B528">
        <f>IFERROR(IF(수납!$B528="",YEAR(수납!$A528)*100+MONTH(수납!$A528),IF(ISNUMBER(수납!$B528),YEAR(수납!$B528)*100+MONTH(수납!$B528),VALUE(LEFT(수납!$B528,4))*100+VALUE(MID(수납!$B528,6,2)))),"")</f>
        <v/>
      </c>
      <c r="C528">
        <f>IF(OR(수납!$E528="수강료",수납!$E528=""),N(수납!$F528),0)</f>
        <v/>
      </c>
    </row>
    <row r="529">
      <c r="A529">
        <f>IF(수납!$C529="","",수납!$C529&amp;"|"&amp;IF(수납!$D529&lt;&gt;"",수납!$D529,IF(COUNTIF(원생!$A$2:$A$501,수납!$C529)=1,INDEX(원생!$G$2:$G$501,MATCH(수납!$C529,원생!$A$2:$A$501,0))&amp;"","")))</f>
        <v/>
      </c>
      <c r="B529">
        <f>IFERROR(IF(수납!$B529="",YEAR(수납!$A529)*100+MONTH(수납!$A529),IF(ISNUMBER(수납!$B529),YEAR(수납!$B529)*100+MONTH(수납!$B529),VALUE(LEFT(수납!$B529,4))*100+VALUE(MID(수납!$B529,6,2)))),"")</f>
        <v/>
      </c>
      <c r="C529">
        <f>IF(OR(수납!$E529="수강료",수납!$E529=""),N(수납!$F529),0)</f>
        <v/>
      </c>
    </row>
    <row r="530">
      <c r="A530">
        <f>IF(수납!$C530="","",수납!$C530&amp;"|"&amp;IF(수납!$D530&lt;&gt;"",수납!$D530,IF(COUNTIF(원생!$A$2:$A$501,수납!$C530)=1,INDEX(원생!$G$2:$G$501,MATCH(수납!$C530,원생!$A$2:$A$501,0))&amp;"","")))</f>
        <v/>
      </c>
      <c r="B530">
        <f>IFERROR(IF(수납!$B530="",YEAR(수납!$A530)*100+MONTH(수납!$A530),IF(ISNUMBER(수납!$B530),YEAR(수납!$B530)*100+MONTH(수납!$B530),VALUE(LEFT(수납!$B530,4))*100+VALUE(MID(수납!$B530,6,2)))),"")</f>
        <v/>
      </c>
      <c r="C530">
        <f>IF(OR(수납!$E530="수강료",수납!$E530=""),N(수납!$F530),0)</f>
        <v/>
      </c>
    </row>
    <row r="531">
      <c r="A531">
        <f>IF(수납!$C531="","",수납!$C531&amp;"|"&amp;IF(수납!$D531&lt;&gt;"",수납!$D531,IF(COUNTIF(원생!$A$2:$A$501,수납!$C531)=1,INDEX(원생!$G$2:$G$501,MATCH(수납!$C531,원생!$A$2:$A$501,0))&amp;"","")))</f>
        <v/>
      </c>
      <c r="B531">
        <f>IFERROR(IF(수납!$B531="",YEAR(수납!$A531)*100+MONTH(수납!$A531),IF(ISNUMBER(수납!$B531),YEAR(수납!$B531)*100+MONTH(수납!$B531),VALUE(LEFT(수납!$B531,4))*100+VALUE(MID(수납!$B531,6,2)))),"")</f>
        <v/>
      </c>
      <c r="C531">
        <f>IF(OR(수납!$E531="수강료",수납!$E531=""),N(수납!$F531),0)</f>
        <v/>
      </c>
    </row>
    <row r="532">
      <c r="A532">
        <f>IF(수납!$C532="","",수납!$C532&amp;"|"&amp;IF(수납!$D532&lt;&gt;"",수납!$D532,IF(COUNTIF(원생!$A$2:$A$501,수납!$C532)=1,INDEX(원생!$G$2:$G$501,MATCH(수납!$C532,원생!$A$2:$A$501,0))&amp;"","")))</f>
        <v/>
      </c>
      <c r="B532">
        <f>IFERROR(IF(수납!$B532="",YEAR(수납!$A532)*100+MONTH(수납!$A532),IF(ISNUMBER(수납!$B532),YEAR(수납!$B532)*100+MONTH(수납!$B532),VALUE(LEFT(수납!$B532,4))*100+VALUE(MID(수납!$B532,6,2)))),"")</f>
        <v/>
      </c>
      <c r="C532">
        <f>IF(OR(수납!$E532="수강료",수납!$E532=""),N(수납!$F532),0)</f>
        <v/>
      </c>
    </row>
    <row r="533">
      <c r="A533">
        <f>IF(수납!$C533="","",수납!$C533&amp;"|"&amp;IF(수납!$D533&lt;&gt;"",수납!$D533,IF(COUNTIF(원생!$A$2:$A$501,수납!$C533)=1,INDEX(원생!$G$2:$G$501,MATCH(수납!$C533,원생!$A$2:$A$501,0))&amp;"","")))</f>
        <v/>
      </c>
      <c r="B533">
        <f>IFERROR(IF(수납!$B533="",YEAR(수납!$A533)*100+MONTH(수납!$A533),IF(ISNUMBER(수납!$B533),YEAR(수납!$B533)*100+MONTH(수납!$B533),VALUE(LEFT(수납!$B533,4))*100+VALUE(MID(수납!$B533,6,2)))),"")</f>
        <v/>
      </c>
      <c r="C533">
        <f>IF(OR(수납!$E533="수강료",수납!$E533=""),N(수납!$F533),0)</f>
        <v/>
      </c>
    </row>
    <row r="534">
      <c r="A534">
        <f>IF(수납!$C534="","",수납!$C534&amp;"|"&amp;IF(수납!$D534&lt;&gt;"",수납!$D534,IF(COUNTIF(원생!$A$2:$A$501,수납!$C534)=1,INDEX(원생!$G$2:$G$501,MATCH(수납!$C534,원생!$A$2:$A$501,0))&amp;"","")))</f>
        <v/>
      </c>
      <c r="B534">
        <f>IFERROR(IF(수납!$B534="",YEAR(수납!$A534)*100+MONTH(수납!$A534),IF(ISNUMBER(수납!$B534),YEAR(수납!$B534)*100+MONTH(수납!$B534),VALUE(LEFT(수납!$B534,4))*100+VALUE(MID(수납!$B534,6,2)))),"")</f>
        <v/>
      </c>
      <c r="C534">
        <f>IF(OR(수납!$E534="수강료",수납!$E534=""),N(수납!$F534),0)</f>
        <v/>
      </c>
    </row>
    <row r="535">
      <c r="A535">
        <f>IF(수납!$C535="","",수납!$C535&amp;"|"&amp;IF(수납!$D535&lt;&gt;"",수납!$D535,IF(COUNTIF(원생!$A$2:$A$501,수납!$C535)=1,INDEX(원생!$G$2:$G$501,MATCH(수납!$C535,원생!$A$2:$A$501,0))&amp;"","")))</f>
        <v/>
      </c>
      <c r="B535">
        <f>IFERROR(IF(수납!$B535="",YEAR(수납!$A535)*100+MONTH(수납!$A535),IF(ISNUMBER(수납!$B535),YEAR(수납!$B535)*100+MONTH(수납!$B535),VALUE(LEFT(수납!$B535,4))*100+VALUE(MID(수납!$B535,6,2)))),"")</f>
        <v/>
      </c>
      <c r="C535">
        <f>IF(OR(수납!$E535="수강료",수납!$E535=""),N(수납!$F535),0)</f>
        <v/>
      </c>
    </row>
    <row r="536">
      <c r="A536">
        <f>IF(수납!$C536="","",수납!$C536&amp;"|"&amp;IF(수납!$D536&lt;&gt;"",수납!$D536,IF(COUNTIF(원생!$A$2:$A$501,수납!$C536)=1,INDEX(원생!$G$2:$G$501,MATCH(수납!$C536,원생!$A$2:$A$501,0))&amp;"","")))</f>
        <v/>
      </c>
      <c r="B536">
        <f>IFERROR(IF(수납!$B536="",YEAR(수납!$A536)*100+MONTH(수납!$A536),IF(ISNUMBER(수납!$B536),YEAR(수납!$B536)*100+MONTH(수납!$B536),VALUE(LEFT(수납!$B536,4))*100+VALUE(MID(수납!$B536,6,2)))),"")</f>
        <v/>
      </c>
      <c r="C536">
        <f>IF(OR(수납!$E536="수강료",수납!$E536=""),N(수납!$F536),0)</f>
        <v/>
      </c>
    </row>
    <row r="537">
      <c r="A537">
        <f>IF(수납!$C537="","",수납!$C537&amp;"|"&amp;IF(수납!$D537&lt;&gt;"",수납!$D537,IF(COUNTIF(원생!$A$2:$A$501,수납!$C537)=1,INDEX(원생!$G$2:$G$501,MATCH(수납!$C537,원생!$A$2:$A$501,0))&amp;"","")))</f>
        <v/>
      </c>
      <c r="B537">
        <f>IFERROR(IF(수납!$B537="",YEAR(수납!$A537)*100+MONTH(수납!$A537),IF(ISNUMBER(수납!$B537),YEAR(수납!$B537)*100+MONTH(수납!$B537),VALUE(LEFT(수납!$B537,4))*100+VALUE(MID(수납!$B537,6,2)))),"")</f>
        <v/>
      </c>
      <c r="C537">
        <f>IF(OR(수납!$E537="수강료",수납!$E537=""),N(수납!$F537),0)</f>
        <v/>
      </c>
    </row>
    <row r="538">
      <c r="A538">
        <f>IF(수납!$C538="","",수납!$C538&amp;"|"&amp;IF(수납!$D538&lt;&gt;"",수납!$D538,IF(COUNTIF(원생!$A$2:$A$501,수납!$C538)=1,INDEX(원생!$G$2:$G$501,MATCH(수납!$C538,원생!$A$2:$A$501,0))&amp;"","")))</f>
        <v/>
      </c>
      <c r="B538">
        <f>IFERROR(IF(수납!$B538="",YEAR(수납!$A538)*100+MONTH(수납!$A538),IF(ISNUMBER(수납!$B538),YEAR(수납!$B538)*100+MONTH(수납!$B538),VALUE(LEFT(수납!$B538,4))*100+VALUE(MID(수납!$B538,6,2)))),"")</f>
        <v/>
      </c>
      <c r="C538">
        <f>IF(OR(수납!$E538="수강료",수납!$E538=""),N(수납!$F538),0)</f>
        <v/>
      </c>
    </row>
    <row r="539">
      <c r="A539">
        <f>IF(수납!$C539="","",수납!$C539&amp;"|"&amp;IF(수납!$D539&lt;&gt;"",수납!$D539,IF(COUNTIF(원생!$A$2:$A$501,수납!$C539)=1,INDEX(원생!$G$2:$G$501,MATCH(수납!$C539,원생!$A$2:$A$501,0))&amp;"","")))</f>
        <v/>
      </c>
      <c r="B539">
        <f>IFERROR(IF(수납!$B539="",YEAR(수납!$A539)*100+MONTH(수납!$A539),IF(ISNUMBER(수납!$B539),YEAR(수납!$B539)*100+MONTH(수납!$B539),VALUE(LEFT(수납!$B539,4))*100+VALUE(MID(수납!$B539,6,2)))),"")</f>
        <v/>
      </c>
      <c r="C539">
        <f>IF(OR(수납!$E539="수강료",수납!$E539=""),N(수납!$F539),0)</f>
        <v/>
      </c>
    </row>
    <row r="540">
      <c r="A540">
        <f>IF(수납!$C540="","",수납!$C540&amp;"|"&amp;IF(수납!$D540&lt;&gt;"",수납!$D540,IF(COUNTIF(원생!$A$2:$A$501,수납!$C540)=1,INDEX(원생!$G$2:$G$501,MATCH(수납!$C540,원생!$A$2:$A$501,0))&amp;"","")))</f>
        <v/>
      </c>
      <c r="B540">
        <f>IFERROR(IF(수납!$B540="",YEAR(수납!$A540)*100+MONTH(수납!$A540),IF(ISNUMBER(수납!$B540),YEAR(수납!$B540)*100+MONTH(수납!$B540),VALUE(LEFT(수납!$B540,4))*100+VALUE(MID(수납!$B540,6,2)))),"")</f>
        <v/>
      </c>
      <c r="C540">
        <f>IF(OR(수납!$E540="수강료",수납!$E540=""),N(수납!$F540),0)</f>
        <v/>
      </c>
    </row>
    <row r="541">
      <c r="A541">
        <f>IF(수납!$C541="","",수납!$C541&amp;"|"&amp;IF(수납!$D541&lt;&gt;"",수납!$D541,IF(COUNTIF(원생!$A$2:$A$501,수납!$C541)=1,INDEX(원생!$G$2:$G$501,MATCH(수납!$C541,원생!$A$2:$A$501,0))&amp;"","")))</f>
        <v/>
      </c>
      <c r="B541">
        <f>IFERROR(IF(수납!$B541="",YEAR(수납!$A541)*100+MONTH(수납!$A541),IF(ISNUMBER(수납!$B541),YEAR(수납!$B541)*100+MONTH(수납!$B541),VALUE(LEFT(수납!$B541,4))*100+VALUE(MID(수납!$B541,6,2)))),"")</f>
        <v/>
      </c>
      <c r="C541">
        <f>IF(OR(수납!$E541="수강료",수납!$E541=""),N(수납!$F541),0)</f>
        <v/>
      </c>
    </row>
    <row r="542">
      <c r="A542">
        <f>IF(수납!$C542="","",수납!$C542&amp;"|"&amp;IF(수납!$D542&lt;&gt;"",수납!$D542,IF(COUNTIF(원생!$A$2:$A$501,수납!$C542)=1,INDEX(원생!$G$2:$G$501,MATCH(수납!$C542,원생!$A$2:$A$501,0))&amp;"","")))</f>
        <v/>
      </c>
      <c r="B542">
        <f>IFERROR(IF(수납!$B542="",YEAR(수납!$A542)*100+MONTH(수납!$A542),IF(ISNUMBER(수납!$B542),YEAR(수납!$B542)*100+MONTH(수납!$B542),VALUE(LEFT(수납!$B542,4))*100+VALUE(MID(수납!$B542,6,2)))),"")</f>
        <v/>
      </c>
      <c r="C542">
        <f>IF(OR(수납!$E542="수강료",수납!$E542=""),N(수납!$F542),0)</f>
        <v/>
      </c>
    </row>
    <row r="543">
      <c r="A543">
        <f>IF(수납!$C543="","",수납!$C543&amp;"|"&amp;IF(수납!$D543&lt;&gt;"",수납!$D543,IF(COUNTIF(원생!$A$2:$A$501,수납!$C543)=1,INDEX(원생!$G$2:$G$501,MATCH(수납!$C543,원생!$A$2:$A$501,0))&amp;"","")))</f>
        <v/>
      </c>
      <c r="B543">
        <f>IFERROR(IF(수납!$B543="",YEAR(수납!$A543)*100+MONTH(수납!$A543),IF(ISNUMBER(수납!$B543),YEAR(수납!$B543)*100+MONTH(수납!$B543),VALUE(LEFT(수납!$B543,4))*100+VALUE(MID(수납!$B543,6,2)))),"")</f>
        <v/>
      </c>
      <c r="C543">
        <f>IF(OR(수납!$E543="수강료",수납!$E543=""),N(수납!$F543),0)</f>
        <v/>
      </c>
    </row>
    <row r="544">
      <c r="A544">
        <f>IF(수납!$C544="","",수납!$C544&amp;"|"&amp;IF(수납!$D544&lt;&gt;"",수납!$D544,IF(COUNTIF(원생!$A$2:$A$501,수납!$C544)=1,INDEX(원생!$G$2:$G$501,MATCH(수납!$C544,원생!$A$2:$A$501,0))&amp;"","")))</f>
        <v/>
      </c>
      <c r="B544">
        <f>IFERROR(IF(수납!$B544="",YEAR(수납!$A544)*100+MONTH(수납!$A544),IF(ISNUMBER(수납!$B544),YEAR(수납!$B544)*100+MONTH(수납!$B544),VALUE(LEFT(수납!$B544,4))*100+VALUE(MID(수납!$B544,6,2)))),"")</f>
        <v/>
      </c>
      <c r="C544">
        <f>IF(OR(수납!$E544="수강료",수납!$E544=""),N(수납!$F544),0)</f>
        <v/>
      </c>
    </row>
    <row r="545">
      <c r="A545">
        <f>IF(수납!$C545="","",수납!$C545&amp;"|"&amp;IF(수납!$D545&lt;&gt;"",수납!$D545,IF(COUNTIF(원생!$A$2:$A$501,수납!$C545)=1,INDEX(원생!$G$2:$G$501,MATCH(수납!$C545,원생!$A$2:$A$501,0))&amp;"","")))</f>
        <v/>
      </c>
      <c r="B545">
        <f>IFERROR(IF(수납!$B545="",YEAR(수납!$A545)*100+MONTH(수납!$A545),IF(ISNUMBER(수납!$B545),YEAR(수납!$B545)*100+MONTH(수납!$B545),VALUE(LEFT(수납!$B545,4))*100+VALUE(MID(수납!$B545,6,2)))),"")</f>
        <v/>
      </c>
      <c r="C545">
        <f>IF(OR(수납!$E545="수강료",수납!$E545=""),N(수납!$F545),0)</f>
        <v/>
      </c>
    </row>
    <row r="546">
      <c r="A546">
        <f>IF(수납!$C546="","",수납!$C546&amp;"|"&amp;IF(수납!$D546&lt;&gt;"",수납!$D546,IF(COUNTIF(원생!$A$2:$A$501,수납!$C546)=1,INDEX(원생!$G$2:$G$501,MATCH(수납!$C546,원생!$A$2:$A$501,0))&amp;"","")))</f>
        <v/>
      </c>
      <c r="B546">
        <f>IFERROR(IF(수납!$B546="",YEAR(수납!$A546)*100+MONTH(수납!$A546),IF(ISNUMBER(수납!$B546),YEAR(수납!$B546)*100+MONTH(수납!$B546),VALUE(LEFT(수납!$B546,4))*100+VALUE(MID(수납!$B546,6,2)))),"")</f>
        <v/>
      </c>
      <c r="C546">
        <f>IF(OR(수납!$E546="수강료",수납!$E546=""),N(수납!$F546),0)</f>
        <v/>
      </c>
    </row>
    <row r="547">
      <c r="A547">
        <f>IF(수납!$C547="","",수납!$C547&amp;"|"&amp;IF(수납!$D547&lt;&gt;"",수납!$D547,IF(COUNTIF(원생!$A$2:$A$501,수납!$C547)=1,INDEX(원생!$G$2:$G$501,MATCH(수납!$C547,원생!$A$2:$A$501,0))&amp;"","")))</f>
        <v/>
      </c>
      <c r="B547">
        <f>IFERROR(IF(수납!$B547="",YEAR(수납!$A547)*100+MONTH(수납!$A547),IF(ISNUMBER(수납!$B547),YEAR(수납!$B547)*100+MONTH(수납!$B547),VALUE(LEFT(수납!$B547,4))*100+VALUE(MID(수납!$B547,6,2)))),"")</f>
        <v/>
      </c>
      <c r="C547">
        <f>IF(OR(수납!$E547="수강료",수납!$E547=""),N(수납!$F547),0)</f>
        <v/>
      </c>
    </row>
    <row r="548">
      <c r="A548">
        <f>IF(수납!$C548="","",수납!$C548&amp;"|"&amp;IF(수납!$D548&lt;&gt;"",수납!$D548,IF(COUNTIF(원생!$A$2:$A$501,수납!$C548)=1,INDEX(원생!$G$2:$G$501,MATCH(수납!$C548,원생!$A$2:$A$501,0))&amp;"","")))</f>
        <v/>
      </c>
      <c r="B548">
        <f>IFERROR(IF(수납!$B548="",YEAR(수납!$A548)*100+MONTH(수납!$A548),IF(ISNUMBER(수납!$B548),YEAR(수납!$B548)*100+MONTH(수납!$B548),VALUE(LEFT(수납!$B548,4))*100+VALUE(MID(수납!$B548,6,2)))),"")</f>
        <v/>
      </c>
      <c r="C548">
        <f>IF(OR(수납!$E548="수강료",수납!$E548=""),N(수납!$F548),0)</f>
        <v/>
      </c>
    </row>
    <row r="549">
      <c r="A549">
        <f>IF(수납!$C549="","",수납!$C549&amp;"|"&amp;IF(수납!$D549&lt;&gt;"",수납!$D549,IF(COUNTIF(원생!$A$2:$A$501,수납!$C549)=1,INDEX(원생!$G$2:$G$501,MATCH(수납!$C549,원생!$A$2:$A$501,0))&amp;"","")))</f>
        <v/>
      </c>
      <c r="B549">
        <f>IFERROR(IF(수납!$B549="",YEAR(수납!$A549)*100+MONTH(수납!$A549),IF(ISNUMBER(수납!$B549),YEAR(수납!$B549)*100+MONTH(수납!$B549),VALUE(LEFT(수납!$B549,4))*100+VALUE(MID(수납!$B549,6,2)))),"")</f>
        <v/>
      </c>
      <c r="C549">
        <f>IF(OR(수납!$E549="수강료",수납!$E549=""),N(수납!$F549),0)</f>
        <v/>
      </c>
    </row>
    <row r="550">
      <c r="A550">
        <f>IF(수납!$C550="","",수납!$C550&amp;"|"&amp;IF(수납!$D550&lt;&gt;"",수납!$D550,IF(COUNTIF(원생!$A$2:$A$501,수납!$C550)=1,INDEX(원생!$G$2:$G$501,MATCH(수납!$C550,원생!$A$2:$A$501,0))&amp;"","")))</f>
        <v/>
      </c>
      <c r="B550">
        <f>IFERROR(IF(수납!$B550="",YEAR(수납!$A550)*100+MONTH(수납!$A550),IF(ISNUMBER(수납!$B550),YEAR(수납!$B550)*100+MONTH(수납!$B550),VALUE(LEFT(수납!$B550,4))*100+VALUE(MID(수납!$B550,6,2)))),"")</f>
        <v/>
      </c>
      <c r="C550">
        <f>IF(OR(수납!$E550="수강료",수납!$E550=""),N(수납!$F550),0)</f>
        <v/>
      </c>
    </row>
    <row r="551">
      <c r="A551">
        <f>IF(수납!$C551="","",수납!$C551&amp;"|"&amp;IF(수납!$D551&lt;&gt;"",수납!$D551,IF(COUNTIF(원생!$A$2:$A$501,수납!$C551)=1,INDEX(원생!$G$2:$G$501,MATCH(수납!$C551,원생!$A$2:$A$501,0))&amp;"","")))</f>
        <v/>
      </c>
      <c r="B551">
        <f>IFERROR(IF(수납!$B551="",YEAR(수납!$A551)*100+MONTH(수납!$A551),IF(ISNUMBER(수납!$B551),YEAR(수납!$B551)*100+MONTH(수납!$B551),VALUE(LEFT(수납!$B551,4))*100+VALUE(MID(수납!$B551,6,2)))),"")</f>
        <v/>
      </c>
      <c r="C551">
        <f>IF(OR(수납!$E551="수강료",수납!$E551=""),N(수납!$F551),0)</f>
        <v/>
      </c>
    </row>
    <row r="552">
      <c r="A552">
        <f>IF(수납!$C552="","",수납!$C552&amp;"|"&amp;IF(수납!$D552&lt;&gt;"",수납!$D552,IF(COUNTIF(원생!$A$2:$A$501,수납!$C552)=1,INDEX(원생!$G$2:$G$501,MATCH(수납!$C552,원생!$A$2:$A$501,0))&amp;"","")))</f>
        <v/>
      </c>
      <c r="B552">
        <f>IFERROR(IF(수납!$B552="",YEAR(수납!$A552)*100+MONTH(수납!$A552),IF(ISNUMBER(수납!$B552),YEAR(수납!$B552)*100+MONTH(수납!$B552),VALUE(LEFT(수납!$B552,4))*100+VALUE(MID(수납!$B552,6,2)))),"")</f>
        <v/>
      </c>
      <c r="C552">
        <f>IF(OR(수납!$E552="수강료",수납!$E552=""),N(수납!$F552),0)</f>
        <v/>
      </c>
    </row>
    <row r="553">
      <c r="A553">
        <f>IF(수납!$C553="","",수납!$C553&amp;"|"&amp;IF(수납!$D553&lt;&gt;"",수납!$D553,IF(COUNTIF(원생!$A$2:$A$501,수납!$C553)=1,INDEX(원생!$G$2:$G$501,MATCH(수납!$C553,원생!$A$2:$A$501,0))&amp;"","")))</f>
        <v/>
      </c>
      <c r="B553">
        <f>IFERROR(IF(수납!$B553="",YEAR(수납!$A553)*100+MONTH(수납!$A553),IF(ISNUMBER(수납!$B553),YEAR(수납!$B553)*100+MONTH(수납!$B553),VALUE(LEFT(수납!$B553,4))*100+VALUE(MID(수납!$B553,6,2)))),"")</f>
        <v/>
      </c>
      <c r="C553">
        <f>IF(OR(수납!$E553="수강료",수납!$E553=""),N(수납!$F553),0)</f>
        <v/>
      </c>
    </row>
    <row r="554">
      <c r="A554">
        <f>IF(수납!$C554="","",수납!$C554&amp;"|"&amp;IF(수납!$D554&lt;&gt;"",수납!$D554,IF(COUNTIF(원생!$A$2:$A$501,수납!$C554)=1,INDEX(원생!$G$2:$G$501,MATCH(수납!$C554,원생!$A$2:$A$501,0))&amp;"","")))</f>
        <v/>
      </c>
      <c r="B554">
        <f>IFERROR(IF(수납!$B554="",YEAR(수납!$A554)*100+MONTH(수납!$A554),IF(ISNUMBER(수납!$B554),YEAR(수납!$B554)*100+MONTH(수납!$B554),VALUE(LEFT(수납!$B554,4))*100+VALUE(MID(수납!$B554,6,2)))),"")</f>
        <v/>
      </c>
      <c r="C554">
        <f>IF(OR(수납!$E554="수강료",수납!$E554=""),N(수납!$F554),0)</f>
        <v/>
      </c>
    </row>
    <row r="555">
      <c r="A555">
        <f>IF(수납!$C555="","",수납!$C555&amp;"|"&amp;IF(수납!$D555&lt;&gt;"",수납!$D555,IF(COUNTIF(원생!$A$2:$A$501,수납!$C555)=1,INDEX(원생!$G$2:$G$501,MATCH(수납!$C555,원생!$A$2:$A$501,0))&amp;"","")))</f>
        <v/>
      </c>
      <c r="B555">
        <f>IFERROR(IF(수납!$B555="",YEAR(수납!$A555)*100+MONTH(수납!$A555),IF(ISNUMBER(수납!$B555),YEAR(수납!$B555)*100+MONTH(수납!$B555),VALUE(LEFT(수납!$B555,4))*100+VALUE(MID(수납!$B555,6,2)))),"")</f>
        <v/>
      </c>
      <c r="C555">
        <f>IF(OR(수납!$E555="수강료",수납!$E555=""),N(수납!$F555),0)</f>
        <v/>
      </c>
    </row>
    <row r="556">
      <c r="A556">
        <f>IF(수납!$C556="","",수납!$C556&amp;"|"&amp;IF(수납!$D556&lt;&gt;"",수납!$D556,IF(COUNTIF(원생!$A$2:$A$501,수납!$C556)=1,INDEX(원생!$G$2:$G$501,MATCH(수납!$C556,원생!$A$2:$A$501,0))&amp;"","")))</f>
        <v/>
      </c>
      <c r="B556">
        <f>IFERROR(IF(수납!$B556="",YEAR(수납!$A556)*100+MONTH(수납!$A556),IF(ISNUMBER(수납!$B556),YEAR(수납!$B556)*100+MONTH(수납!$B556),VALUE(LEFT(수납!$B556,4))*100+VALUE(MID(수납!$B556,6,2)))),"")</f>
        <v/>
      </c>
      <c r="C556">
        <f>IF(OR(수납!$E556="수강료",수납!$E556=""),N(수납!$F556),0)</f>
        <v/>
      </c>
    </row>
    <row r="557">
      <c r="A557">
        <f>IF(수납!$C557="","",수납!$C557&amp;"|"&amp;IF(수납!$D557&lt;&gt;"",수납!$D557,IF(COUNTIF(원생!$A$2:$A$501,수납!$C557)=1,INDEX(원생!$G$2:$G$501,MATCH(수납!$C557,원생!$A$2:$A$501,0))&amp;"","")))</f>
        <v/>
      </c>
      <c r="B557">
        <f>IFERROR(IF(수납!$B557="",YEAR(수납!$A557)*100+MONTH(수납!$A557),IF(ISNUMBER(수납!$B557),YEAR(수납!$B557)*100+MONTH(수납!$B557),VALUE(LEFT(수납!$B557,4))*100+VALUE(MID(수납!$B557,6,2)))),"")</f>
        <v/>
      </c>
      <c r="C557">
        <f>IF(OR(수납!$E557="수강료",수납!$E557=""),N(수납!$F557),0)</f>
        <v/>
      </c>
    </row>
    <row r="558">
      <c r="A558">
        <f>IF(수납!$C558="","",수납!$C558&amp;"|"&amp;IF(수납!$D558&lt;&gt;"",수납!$D558,IF(COUNTIF(원생!$A$2:$A$501,수납!$C558)=1,INDEX(원생!$G$2:$G$501,MATCH(수납!$C558,원생!$A$2:$A$501,0))&amp;"","")))</f>
        <v/>
      </c>
      <c r="B558">
        <f>IFERROR(IF(수납!$B558="",YEAR(수납!$A558)*100+MONTH(수납!$A558),IF(ISNUMBER(수납!$B558),YEAR(수납!$B558)*100+MONTH(수납!$B558),VALUE(LEFT(수납!$B558,4))*100+VALUE(MID(수납!$B558,6,2)))),"")</f>
        <v/>
      </c>
      <c r="C558">
        <f>IF(OR(수납!$E558="수강료",수납!$E558=""),N(수납!$F558),0)</f>
        <v/>
      </c>
    </row>
    <row r="559">
      <c r="A559">
        <f>IF(수납!$C559="","",수납!$C559&amp;"|"&amp;IF(수납!$D559&lt;&gt;"",수납!$D559,IF(COUNTIF(원생!$A$2:$A$501,수납!$C559)=1,INDEX(원생!$G$2:$G$501,MATCH(수납!$C559,원생!$A$2:$A$501,0))&amp;"","")))</f>
        <v/>
      </c>
      <c r="B559">
        <f>IFERROR(IF(수납!$B559="",YEAR(수납!$A559)*100+MONTH(수납!$A559),IF(ISNUMBER(수납!$B559),YEAR(수납!$B559)*100+MONTH(수납!$B559),VALUE(LEFT(수납!$B559,4))*100+VALUE(MID(수납!$B559,6,2)))),"")</f>
        <v/>
      </c>
      <c r="C559">
        <f>IF(OR(수납!$E559="수강료",수납!$E559=""),N(수납!$F559),0)</f>
        <v/>
      </c>
    </row>
    <row r="560">
      <c r="A560">
        <f>IF(수납!$C560="","",수납!$C560&amp;"|"&amp;IF(수납!$D560&lt;&gt;"",수납!$D560,IF(COUNTIF(원생!$A$2:$A$501,수납!$C560)=1,INDEX(원생!$G$2:$G$501,MATCH(수납!$C560,원생!$A$2:$A$501,0))&amp;"","")))</f>
        <v/>
      </c>
      <c r="B560">
        <f>IFERROR(IF(수납!$B560="",YEAR(수납!$A560)*100+MONTH(수납!$A560),IF(ISNUMBER(수납!$B560),YEAR(수납!$B560)*100+MONTH(수납!$B560),VALUE(LEFT(수납!$B560,4))*100+VALUE(MID(수납!$B560,6,2)))),"")</f>
        <v/>
      </c>
      <c r="C560">
        <f>IF(OR(수납!$E560="수강료",수납!$E560=""),N(수납!$F560),0)</f>
        <v/>
      </c>
    </row>
    <row r="561">
      <c r="A561">
        <f>IF(수납!$C561="","",수납!$C561&amp;"|"&amp;IF(수납!$D561&lt;&gt;"",수납!$D561,IF(COUNTIF(원생!$A$2:$A$501,수납!$C561)=1,INDEX(원생!$G$2:$G$501,MATCH(수납!$C561,원생!$A$2:$A$501,0))&amp;"","")))</f>
        <v/>
      </c>
      <c r="B561">
        <f>IFERROR(IF(수납!$B561="",YEAR(수납!$A561)*100+MONTH(수납!$A561),IF(ISNUMBER(수납!$B561),YEAR(수납!$B561)*100+MONTH(수납!$B561),VALUE(LEFT(수납!$B561,4))*100+VALUE(MID(수납!$B561,6,2)))),"")</f>
        <v/>
      </c>
      <c r="C561">
        <f>IF(OR(수납!$E561="수강료",수납!$E561=""),N(수납!$F561),0)</f>
        <v/>
      </c>
    </row>
    <row r="562">
      <c r="A562">
        <f>IF(수납!$C562="","",수납!$C562&amp;"|"&amp;IF(수납!$D562&lt;&gt;"",수납!$D562,IF(COUNTIF(원생!$A$2:$A$501,수납!$C562)=1,INDEX(원생!$G$2:$G$501,MATCH(수납!$C562,원생!$A$2:$A$501,0))&amp;"","")))</f>
        <v/>
      </c>
      <c r="B562">
        <f>IFERROR(IF(수납!$B562="",YEAR(수납!$A562)*100+MONTH(수납!$A562),IF(ISNUMBER(수납!$B562),YEAR(수납!$B562)*100+MONTH(수납!$B562),VALUE(LEFT(수납!$B562,4))*100+VALUE(MID(수납!$B562,6,2)))),"")</f>
        <v/>
      </c>
      <c r="C562">
        <f>IF(OR(수납!$E562="수강료",수납!$E562=""),N(수납!$F562),0)</f>
        <v/>
      </c>
    </row>
    <row r="563">
      <c r="A563">
        <f>IF(수납!$C563="","",수납!$C563&amp;"|"&amp;IF(수납!$D563&lt;&gt;"",수납!$D563,IF(COUNTIF(원생!$A$2:$A$501,수납!$C563)=1,INDEX(원생!$G$2:$G$501,MATCH(수납!$C563,원생!$A$2:$A$501,0))&amp;"","")))</f>
        <v/>
      </c>
      <c r="B563">
        <f>IFERROR(IF(수납!$B563="",YEAR(수납!$A563)*100+MONTH(수납!$A563),IF(ISNUMBER(수납!$B563),YEAR(수납!$B563)*100+MONTH(수납!$B563),VALUE(LEFT(수납!$B563,4))*100+VALUE(MID(수납!$B563,6,2)))),"")</f>
        <v/>
      </c>
      <c r="C563">
        <f>IF(OR(수납!$E563="수강료",수납!$E563=""),N(수납!$F563),0)</f>
        <v/>
      </c>
    </row>
    <row r="564">
      <c r="A564">
        <f>IF(수납!$C564="","",수납!$C564&amp;"|"&amp;IF(수납!$D564&lt;&gt;"",수납!$D564,IF(COUNTIF(원생!$A$2:$A$501,수납!$C564)=1,INDEX(원생!$G$2:$G$501,MATCH(수납!$C564,원생!$A$2:$A$501,0))&amp;"","")))</f>
        <v/>
      </c>
      <c r="B564">
        <f>IFERROR(IF(수납!$B564="",YEAR(수납!$A564)*100+MONTH(수납!$A564),IF(ISNUMBER(수납!$B564),YEAR(수납!$B564)*100+MONTH(수납!$B564),VALUE(LEFT(수납!$B564,4))*100+VALUE(MID(수납!$B564,6,2)))),"")</f>
        <v/>
      </c>
      <c r="C564">
        <f>IF(OR(수납!$E564="수강료",수납!$E564=""),N(수납!$F564),0)</f>
        <v/>
      </c>
    </row>
    <row r="565">
      <c r="A565">
        <f>IF(수납!$C565="","",수납!$C565&amp;"|"&amp;IF(수납!$D565&lt;&gt;"",수납!$D565,IF(COUNTIF(원생!$A$2:$A$501,수납!$C565)=1,INDEX(원생!$G$2:$G$501,MATCH(수납!$C565,원생!$A$2:$A$501,0))&amp;"","")))</f>
        <v/>
      </c>
      <c r="B565">
        <f>IFERROR(IF(수납!$B565="",YEAR(수납!$A565)*100+MONTH(수납!$A565),IF(ISNUMBER(수납!$B565),YEAR(수납!$B565)*100+MONTH(수납!$B565),VALUE(LEFT(수납!$B565,4))*100+VALUE(MID(수납!$B565,6,2)))),"")</f>
        <v/>
      </c>
      <c r="C565">
        <f>IF(OR(수납!$E565="수강료",수납!$E565=""),N(수납!$F565),0)</f>
        <v/>
      </c>
    </row>
    <row r="566">
      <c r="A566">
        <f>IF(수납!$C566="","",수납!$C566&amp;"|"&amp;IF(수납!$D566&lt;&gt;"",수납!$D566,IF(COUNTIF(원생!$A$2:$A$501,수납!$C566)=1,INDEX(원생!$G$2:$G$501,MATCH(수납!$C566,원생!$A$2:$A$501,0))&amp;"","")))</f>
        <v/>
      </c>
      <c r="B566">
        <f>IFERROR(IF(수납!$B566="",YEAR(수납!$A566)*100+MONTH(수납!$A566),IF(ISNUMBER(수납!$B566),YEAR(수납!$B566)*100+MONTH(수납!$B566),VALUE(LEFT(수납!$B566,4))*100+VALUE(MID(수납!$B566,6,2)))),"")</f>
        <v/>
      </c>
      <c r="C566">
        <f>IF(OR(수납!$E566="수강료",수납!$E566=""),N(수납!$F566),0)</f>
        <v/>
      </c>
    </row>
    <row r="567">
      <c r="A567">
        <f>IF(수납!$C567="","",수납!$C567&amp;"|"&amp;IF(수납!$D567&lt;&gt;"",수납!$D567,IF(COUNTIF(원생!$A$2:$A$501,수납!$C567)=1,INDEX(원생!$G$2:$G$501,MATCH(수납!$C567,원생!$A$2:$A$501,0))&amp;"","")))</f>
        <v/>
      </c>
      <c r="B567">
        <f>IFERROR(IF(수납!$B567="",YEAR(수납!$A567)*100+MONTH(수납!$A567),IF(ISNUMBER(수납!$B567),YEAR(수납!$B567)*100+MONTH(수납!$B567),VALUE(LEFT(수납!$B567,4))*100+VALUE(MID(수납!$B567,6,2)))),"")</f>
        <v/>
      </c>
      <c r="C567">
        <f>IF(OR(수납!$E567="수강료",수납!$E567=""),N(수납!$F567),0)</f>
        <v/>
      </c>
    </row>
    <row r="568">
      <c r="A568">
        <f>IF(수납!$C568="","",수납!$C568&amp;"|"&amp;IF(수납!$D568&lt;&gt;"",수납!$D568,IF(COUNTIF(원생!$A$2:$A$501,수납!$C568)=1,INDEX(원생!$G$2:$G$501,MATCH(수납!$C568,원생!$A$2:$A$501,0))&amp;"","")))</f>
        <v/>
      </c>
      <c r="B568">
        <f>IFERROR(IF(수납!$B568="",YEAR(수납!$A568)*100+MONTH(수납!$A568),IF(ISNUMBER(수납!$B568),YEAR(수납!$B568)*100+MONTH(수납!$B568),VALUE(LEFT(수납!$B568,4))*100+VALUE(MID(수납!$B568,6,2)))),"")</f>
        <v/>
      </c>
      <c r="C568">
        <f>IF(OR(수납!$E568="수강료",수납!$E568=""),N(수납!$F568),0)</f>
        <v/>
      </c>
    </row>
    <row r="569">
      <c r="A569">
        <f>IF(수납!$C569="","",수납!$C569&amp;"|"&amp;IF(수납!$D569&lt;&gt;"",수납!$D569,IF(COUNTIF(원생!$A$2:$A$501,수납!$C569)=1,INDEX(원생!$G$2:$G$501,MATCH(수납!$C569,원생!$A$2:$A$501,0))&amp;"","")))</f>
        <v/>
      </c>
      <c r="B569">
        <f>IFERROR(IF(수납!$B569="",YEAR(수납!$A569)*100+MONTH(수납!$A569),IF(ISNUMBER(수납!$B569),YEAR(수납!$B569)*100+MONTH(수납!$B569),VALUE(LEFT(수납!$B569,4))*100+VALUE(MID(수납!$B569,6,2)))),"")</f>
        <v/>
      </c>
      <c r="C569">
        <f>IF(OR(수납!$E569="수강료",수납!$E569=""),N(수납!$F569),0)</f>
        <v/>
      </c>
    </row>
    <row r="570">
      <c r="A570">
        <f>IF(수납!$C570="","",수납!$C570&amp;"|"&amp;IF(수납!$D570&lt;&gt;"",수납!$D570,IF(COUNTIF(원생!$A$2:$A$501,수납!$C570)=1,INDEX(원생!$G$2:$G$501,MATCH(수납!$C570,원생!$A$2:$A$501,0))&amp;"","")))</f>
        <v/>
      </c>
      <c r="B570">
        <f>IFERROR(IF(수납!$B570="",YEAR(수납!$A570)*100+MONTH(수납!$A570),IF(ISNUMBER(수납!$B570),YEAR(수납!$B570)*100+MONTH(수납!$B570),VALUE(LEFT(수납!$B570,4))*100+VALUE(MID(수납!$B570,6,2)))),"")</f>
        <v/>
      </c>
      <c r="C570">
        <f>IF(OR(수납!$E570="수강료",수납!$E570=""),N(수납!$F570),0)</f>
        <v/>
      </c>
    </row>
    <row r="571">
      <c r="A571">
        <f>IF(수납!$C571="","",수납!$C571&amp;"|"&amp;IF(수납!$D571&lt;&gt;"",수납!$D571,IF(COUNTIF(원생!$A$2:$A$501,수납!$C571)=1,INDEX(원생!$G$2:$G$501,MATCH(수납!$C571,원생!$A$2:$A$501,0))&amp;"","")))</f>
        <v/>
      </c>
      <c r="B571">
        <f>IFERROR(IF(수납!$B571="",YEAR(수납!$A571)*100+MONTH(수납!$A571),IF(ISNUMBER(수납!$B571),YEAR(수납!$B571)*100+MONTH(수납!$B571),VALUE(LEFT(수납!$B571,4))*100+VALUE(MID(수납!$B571,6,2)))),"")</f>
        <v/>
      </c>
      <c r="C571">
        <f>IF(OR(수납!$E571="수강료",수납!$E571=""),N(수납!$F571),0)</f>
        <v/>
      </c>
    </row>
    <row r="572">
      <c r="A572">
        <f>IF(수납!$C572="","",수납!$C572&amp;"|"&amp;IF(수납!$D572&lt;&gt;"",수납!$D572,IF(COUNTIF(원생!$A$2:$A$501,수납!$C572)=1,INDEX(원생!$G$2:$G$501,MATCH(수납!$C572,원생!$A$2:$A$501,0))&amp;"","")))</f>
        <v/>
      </c>
      <c r="B572">
        <f>IFERROR(IF(수납!$B572="",YEAR(수납!$A572)*100+MONTH(수납!$A572),IF(ISNUMBER(수납!$B572),YEAR(수납!$B572)*100+MONTH(수납!$B572),VALUE(LEFT(수납!$B572,4))*100+VALUE(MID(수납!$B572,6,2)))),"")</f>
        <v/>
      </c>
      <c r="C572">
        <f>IF(OR(수납!$E572="수강료",수납!$E572=""),N(수납!$F572),0)</f>
        <v/>
      </c>
    </row>
    <row r="573">
      <c r="A573">
        <f>IF(수납!$C573="","",수납!$C573&amp;"|"&amp;IF(수납!$D573&lt;&gt;"",수납!$D573,IF(COUNTIF(원생!$A$2:$A$501,수납!$C573)=1,INDEX(원생!$G$2:$G$501,MATCH(수납!$C573,원생!$A$2:$A$501,0))&amp;"","")))</f>
        <v/>
      </c>
      <c r="B573">
        <f>IFERROR(IF(수납!$B573="",YEAR(수납!$A573)*100+MONTH(수납!$A573),IF(ISNUMBER(수납!$B573),YEAR(수납!$B573)*100+MONTH(수납!$B573),VALUE(LEFT(수납!$B573,4))*100+VALUE(MID(수납!$B573,6,2)))),"")</f>
        <v/>
      </c>
      <c r="C573">
        <f>IF(OR(수납!$E573="수강료",수납!$E573=""),N(수납!$F573),0)</f>
        <v/>
      </c>
    </row>
    <row r="574">
      <c r="A574">
        <f>IF(수납!$C574="","",수납!$C574&amp;"|"&amp;IF(수납!$D574&lt;&gt;"",수납!$D574,IF(COUNTIF(원생!$A$2:$A$501,수납!$C574)=1,INDEX(원생!$G$2:$G$501,MATCH(수납!$C574,원생!$A$2:$A$501,0))&amp;"","")))</f>
        <v/>
      </c>
      <c r="B574">
        <f>IFERROR(IF(수납!$B574="",YEAR(수납!$A574)*100+MONTH(수납!$A574),IF(ISNUMBER(수납!$B574),YEAR(수납!$B574)*100+MONTH(수납!$B574),VALUE(LEFT(수납!$B574,4))*100+VALUE(MID(수납!$B574,6,2)))),"")</f>
        <v/>
      </c>
      <c r="C574">
        <f>IF(OR(수납!$E574="수강료",수납!$E574=""),N(수납!$F574),0)</f>
        <v/>
      </c>
    </row>
    <row r="575">
      <c r="A575">
        <f>IF(수납!$C575="","",수납!$C575&amp;"|"&amp;IF(수납!$D575&lt;&gt;"",수납!$D575,IF(COUNTIF(원생!$A$2:$A$501,수납!$C575)=1,INDEX(원생!$G$2:$G$501,MATCH(수납!$C575,원생!$A$2:$A$501,0))&amp;"","")))</f>
        <v/>
      </c>
      <c r="B575">
        <f>IFERROR(IF(수납!$B575="",YEAR(수납!$A575)*100+MONTH(수납!$A575),IF(ISNUMBER(수납!$B575),YEAR(수납!$B575)*100+MONTH(수납!$B575),VALUE(LEFT(수납!$B575,4))*100+VALUE(MID(수납!$B575,6,2)))),"")</f>
        <v/>
      </c>
      <c r="C575">
        <f>IF(OR(수납!$E575="수강료",수납!$E575=""),N(수납!$F575),0)</f>
        <v/>
      </c>
    </row>
    <row r="576">
      <c r="A576">
        <f>IF(수납!$C576="","",수납!$C576&amp;"|"&amp;IF(수납!$D576&lt;&gt;"",수납!$D576,IF(COUNTIF(원생!$A$2:$A$501,수납!$C576)=1,INDEX(원생!$G$2:$G$501,MATCH(수납!$C576,원생!$A$2:$A$501,0))&amp;"","")))</f>
        <v/>
      </c>
      <c r="B576">
        <f>IFERROR(IF(수납!$B576="",YEAR(수납!$A576)*100+MONTH(수납!$A576),IF(ISNUMBER(수납!$B576),YEAR(수납!$B576)*100+MONTH(수납!$B576),VALUE(LEFT(수납!$B576,4))*100+VALUE(MID(수납!$B576,6,2)))),"")</f>
        <v/>
      </c>
      <c r="C576">
        <f>IF(OR(수납!$E576="수강료",수납!$E576=""),N(수납!$F576),0)</f>
        <v/>
      </c>
    </row>
    <row r="577">
      <c r="A577">
        <f>IF(수납!$C577="","",수납!$C577&amp;"|"&amp;IF(수납!$D577&lt;&gt;"",수납!$D577,IF(COUNTIF(원생!$A$2:$A$501,수납!$C577)=1,INDEX(원생!$G$2:$G$501,MATCH(수납!$C577,원생!$A$2:$A$501,0))&amp;"","")))</f>
        <v/>
      </c>
      <c r="B577">
        <f>IFERROR(IF(수납!$B577="",YEAR(수납!$A577)*100+MONTH(수납!$A577),IF(ISNUMBER(수납!$B577),YEAR(수납!$B577)*100+MONTH(수납!$B577),VALUE(LEFT(수납!$B577,4))*100+VALUE(MID(수납!$B577,6,2)))),"")</f>
        <v/>
      </c>
      <c r="C577">
        <f>IF(OR(수납!$E577="수강료",수납!$E577=""),N(수납!$F577),0)</f>
        <v/>
      </c>
    </row>
    <row r="578">
      <c r="A578">
        <f>IF(수납!$C578="","",수납!$C578&amp;"|"&amp;IF(수납!$D578&lt;&gt;"",수납!$D578,IF(COUNTIF(원생!$A$2:$A$501,수납!$C578)=1,INDEX(원생!$G$2:$G$501,MATCH(수납!$C578,원생!$A$2:$A$501,0))&amp;"","")))</f>
        <v/>
      </c>
      <c r="B578">
        <f>IFERROR(IF(수납!$B578="",YEAR(수납!$A578)*100+MONTH(수납!$A578),IF(ISNUMBER(수납!$B578),YEAR(수납!$B578)*100+MONTH(수납!$B578),VALUE(LEFT(수납!$B578,4))*100+VALUE(MID(수납!$B578,6,2)))),"")</f>
        <v/>
      </c>
      <c r="C578">
        <f>IF(OR(수납!$E578="수강료",수납!$E578=""),N(수납!$F578),0)</f>
        <v/>
      </c>
    </row>
    <row r="579">
      <c r="A579">
        <f>IF(수납!$C579="","",수납!$C579&amp;"|"&amp;IF(수납!$D579&lt;&gt;"",수납!$D579,IF(COUNTIF(원생!$A$2:$A$501,수납!$C579)=1,INDEX(원생!$G$2:$G$501,MATCH(수납!$C579,원생!$A$2:$A$501,0))&amp;"","")))</f>
        <v/>
      </c>
      <c r="B579">
        <f>IFERROR(IF(수납!$B579="",YEAR(수납!$A579)*100+MONTH(수납!$A579),IF(ISNUMBER(수납!$B579),YEAR(수납!$B579)*100+MONTH(수납!$B579),VALUE(LEFT(수납!$B579,4))*100+VALUE(MID(수납!$B579,6,2)))),"")</f>
        <v/>
      </c>
      <c r="C579">
        <f>IF(OR(수납!$E579="수강료",수납!$E579=""),N(수납!$F579),0)</f>
        <v/>
      </c>
    </row>
    <row r="580">
      <c r="A580">
        <f>IF(수납!$C580="","",수납!$C580&amp;"|"&amp;IF(수납!$D580&lt;&gt;"",수납!$D580,IF(COUNTIF(원생!$A$2:$A$501,수납!$C580)=1,INDEX(원생!$G$2:$G$501,MATCH(수납!$C580,원생!$A$2:$A$501,0))&amp;"","")))</f>
        <v/>
      </c>
      <c r="B580">
        <f>IFERROR(IF(수납!$B580="",YEAR(수납!$A580)*100+MONTH(수납!$A580),IF(ISNUMBER(수납!$B580),YEAR(수납!$B580)*100+MONTH(수납!$B580),VALUE(LEFT(수납!$B580,4))*100+VALUE(MID(수납!$B580,6,2)))),"")</f>
        <v/>
      </c>
      <c r="C580">
        <f>IF(OR(수납!$E580="수강료",수납!$E580=""),N(수납!$F580),0)</f>
        <v/>
      </c>
    </row>
    <row r="581">
      <c r="A581">
        <f>IF(수납!$C581="","",수납!$C581&amp;"|"&amp;IF(수납!$D581&lt;&gt;"",수납!$D581,IF(COUNTIF(원생!$A$2:$A$501,수납!$C581)=1,INDEX(원생!$G$2:$G$501,MATCH(수납!$C581,원생!$A$2:$A$501,0))&amp;"","")))</f>
        <v/>
      </c>
      <c r="B581">
        <f>IFERROR(IF(수납!$B581="",YEAR(수납!$A581)*100+MONTH(수납!$A581),IF(ISNUMBER(수납!$B581),YEAR(수납!$B581)*100+MONTH(수납!$B581),VALUE(LEFT(수납!$B581,4))*100+VALUE(MID(수납!$B581,6,2)))),"")</f>
        <v/>
      </c>
      <c r="C581">
        <f>IF(OR(수납!$E581="수강료",수납!$E581=""),N(수납!$F581),0)</f>
        <v/>
      </c>
    </row>
    <row r="582">
      <c r="A582">
        <f>IF(수납!$C582="","",수납!$C582&amp;"|"&amp;IF(수납!$D582&lt;&gt;"",수납!$D582,IF(COUNTIF(원생!$A$2:$A$501,수납!$C582)=1,INDEX(원생!$G$2:$G$501,MATCH(수납!$C582,원생!$A$2:$A$501,0))&amp;"","")))</f>
        <v/>
      </c>
      <c r="B582">
        <f>IFERROR(IF(수납!$B582="",YEAR(수납!$A582)*100+MONTH(수납!$A582),IF(ISNUMBER(수납!$B582),YEAR(수납!$B582)*100+MONTH(수납!$B582),VALUE(LEFT(수납!$B582,4))*100+VALUE(MID(수납!$B582,6,2)))),"")</f>
        <v/>
      </c>
      <c r="C582">
        <f>IF(OR(수납!$E582="수강료",수납!$E582=""),N(수납!$F582),0)</f>
        <v/>
      </c>
    </row>
    <row r="583">
      <c r="A583">
        <f>IF(수납!$C583="","",수납!$C583&amp;"|"&amp;IF(수납!$D583&lt;&gt;"",수납!$D583,IF(COUNTIF(원생!$A$2:$A$501,수납!$C583)=1,INDEX(원생!$G$2:$G$501,MATCH(수납!$C583,원생!$A$2:$A$501,0))&amp;"","")))</f>
        <v/>
      </c>
      <c r="B583">
        <f>IFERROR(IF(수납!$B583="",YEAR(수납!$A583)*100+MONTH(수납!$A583),IF(ISNUMBER(수납!$B583),YEAR(수납!$B583)*100+MONTH(수납!$B583),VALUE(LEFT(수납!$B583,4))*100+VALUE(MID(수납!$B583,6,2)))),"")</f>
        <v/>
      </c>
      <c r="C583">
        <f>IF(OR(수납!$E583="수강료",수납!$E583=""),N(수납!$F583),0)</f>
        <v/>
      </c>
    </row>
    <row r="584">
      <c r="A584">
        <f>IF(수납!$C584="","",수납!$C584&amp;"|"&amp;IF(수납!$D584&lt;&gt;"",수납!$D584,IF(COUNTIF(원생!$A$2:$A$501,수납!$C584)=1,INDEX(원생!$G$2:$G$501,MATCH(수납!$C584,원생!$A$2:$A$501,0))&amp;"","")))</f>
        <v/>
      </c>
      <c r="B584">
        <f>IFERROR(IF(수납!$B584="",YEAR(수납!$A584)*100+MONTH(수납!$A584),IF(ISNUMBER(수납!$B584),YEAR(수납!$B584)*100+MONTH(수납!$B584),VALUE(LEFT(수납!$B584,4))*100+VALUE(MID(수납!$B584,6,2)))),"")</f>
        <v/>
      </c>
      <c r="C584">
        <f>IF(OR(수납!$E584="수강료",수납!$E584=""),N(수납!$F584),0)</f>
        <v/>
      </c>
    </row>
    <row r="585">
      <c r="A585">
        <f>IF(수납!$C585="","",수납!$C585&amp;"|"&amp;IF(수납!$D585&lt;&gt;"",수납!$D585,IF(COUNTIF(원생!$A$2:$A$501,수납!$C585)=1,INDEX(원생!$G$2:$G$501,MATCH(수납!$C585,원생!$A$2:$A$501,0))&amp;"","")))</f>
        <v/>
      </c>
      <c r="B585">
        <f>IFERROR(IF(수납!$B585="",YEAR(수납!$A585)*100+MONTH(수납!$A585),IF(ISNUMBER(수납!$B585),YEAR(수납!$B585)*100+MONTH(수납!$B585),VALUE(LEFT(수납!$B585,4))*100+VALUE(MID(수납!$B585,6,2)))),"")</f>
        <v/>
      </c>
      <c r="C585">
        <f>IF(OR(수납!$E585="수강료",수납!$E585=""),N(수납!$F585),0)</f>
        <v/>
      </c>
    </row>
    <row r="586">
      <c r="A586">
        <f>IF(수납!$C586="","",수납!$C586&amp;"|"&amp;IF(수납!$D586&lt;&gt;"",수납!$D586,IF(COUNTIF(원생!$A$2:$A$501,수납!$C586)=1,INDEX(원생!$G$2:$G$501,MATCH(수납!$C586,원생!$A$2:$A$501,0))&amp;"","")))</f>
        <v/>
      </c>
      <c r="B586">
        <f>IFERROR(IF(수납!$B586="",YEAR(수납!$A586)*100+MONTH(수납!$A586),IF(ISNUMBER(수납!$B586),YEAR(수납!$B586)*100+MONTH(수납!$B586),VALUE(LEFT(수납!$B586,4))*100+VALUE(MID(수납!$B586,6,2)))),"")</f>
        <v/>
      </c>
      <c r="C586">
        <f>IF(OR(수납!$E586="수강료",수납!$E586=""),N(수납!$F586),0)</f>
        <v/>
      </c>
    </row>
    <row r="587">
      <c r="A587">
        <f>IF(수납!$C587="","",수납!$C587&amp;"|"&amp;IF(수납!$D587&lt;&gt;"",수납!$D587,IF(COUNTIF(원생!$A$2:$A$501,수납!$C587)=1,INDEX(원생!$G$2:$G$501,MATCH(수납!$C587,원생!$A$2:$A$501,0))&amp;"","")))</f>
        <v/>
      </c>
      <c r="B587">
        <f>IFERROR(IF(수납!$B587="",YEAR(수납!$A587)*100+MONTH(수납!$A587),IF(ISNUMBER(수납!$B587),YEAR(수납!$B587)*100+MONTH(수납!$B587),VALUE(LEFT(수납!$B587,4))*100+VALUE(MID(수납!$B587,6,2)))),"")</f>
        <v/>
      </c>
      <c r="C587">
        <f>IF(OR(수납!$E587="수강료",수납!$E587=""),N(수납!$F587),0)</f>
        <v/>
      </c>
    </row>
    <row r="588">
      <c r="A588">
        <f>IF(수납!$C588="","",수납!$C588&amp;"|"&amp;IF(수납!$D588&lt;&gt;"",수납!$D588,IF(COUNTIF(원생!$A$2:$A$501,수납!$C588)=1,INDEX(원생!$G$2:$G$501,MATCH(수납!$C588,원생!$A$2:$A$501,0))&amp;"","")))</f>
        <v/>
      </c>
      <c r="B588">
        <f>IFERROR(IF(수납!$B588="",YEAR(수납!$A588)*100+MONTH(수납!$A588),IF(ISNUMBER(수납!$B588),YEAR(수납!$B588)*100+MONTH(수납!$B588),VALUE(LEFT(수납!$B588,4))*100+VALUE(MID(수납!$B588,6,2)))),"")</f>
        <v/>
      </c>
      <c r="C588">
        <f>IF(OR(수납!$E588="수강료",수납!$E588=""),N(수납!$F588),0)</f>
        <v/>
      </c>
    </row>
    <row r="589">
      <c r="A589">
        <f>IF(수납!$C589="","",수납!$C589&amp;"|"&amp;IF(수납!$D589&lt;&gt;"",수납!$D589,IF(COUNTIF(원생!$A$2:$A$501,수납!$C589)=1,INDEX(원생!$G$2:$G$501,MATCH(수납!$C589,원생!$A$2:$A$501,0))&amp;"","")))</f>
        <v/>
      </c>
      <c r="B589">
        <f>IFERROR(IF(수납!$B589="",YEAR(수납!$A589)*100+MONTH(수납!$A589),IF(ISNUMBER(수납!$B589),YEAR(수납!$B589)*100+MONTH(수납!$B589),VALUE(LEFT(수납!$B589,4))*100+VALUE(MID(수납!$B589,6,2)))),"")</f>
        <v/>
      </c>
      <c r="C589">
        <f>IF(OR(수납!$E589="수강료",수납!$E589=""),N(수납!$F589),0)</f>
        <v/>
      </c>
    </row>
    <row r="590">
      <c r="A590">
        <f>IF(수납!$C590="","",수납!$C590&amp;"|"&amp;IF(수납!$D590&lt;&gt;"",수납!$D590,IF(COUNTIF(원생!$A$2:$A$501,수납!$C590)=1,INDEX(원생!$G$2:$G$501,MATCH(수납!$C590,원생!$A$2:$A$501,0))&amp;"","")))</f>
        <v/>
      </c>
      <c r="B590">
        <f>IFERROR(IF(수납!$B590="",YEAR(수납!$A590)*100+MONTH(수납!$A590),IF(ISNUMBER(수납!$B590),YEAR(수납!$B590)*100+MONTH(수납!$B590),VALUE(LEFT(수납!$B590,4))*100+VALUE(MID(수납!$B590,6,2)))),"")</f>
        <v/>
      </c>
      <c r="C590">
        <f>IF(OR(수납!$E590="수강료",수납!$E590=""),N(수납!$F590),0)</f>
        <v/>
      </c>
    </row>
    <row r="591">
      <c r="A591">
        <f>IF(수납!$C591="","",수납!$C591&amp;"|"&amp;IF(수납!$D591&lt;&gt;"",수납!$D591,IF(COUNTIF(원생!$A$2:$A$501,수납!$C591)=1,INDEX(원생!$G$2:$G$501,MATCH(수납!$C591,원생!$A$2:$A$501,0))&amp;"","")))</f>
        <v/>
      </c>
      <c r="B591">
        <f>IFERROR(IF(수납!$B591="",YEAR(수납!$A591)*100+MONTH(수납!$A591),IF(ISNUMBER(수납!$B591),YEAR(수납!$B591)*100+MONTH(수납!$B591),VALUE(LEFT(수납!$B591,4))*100+VALUE(MID(수납!$B591,6,2)))),"")</f>
        <v/>
      </c>
      <c r="C591">
        <f>IF(OR(수납!$E591="수강료",수납!$E591=""),N(수납!$F591),0)</f>
        <v/>
      </c>
    </row>
    <row r="592">
      <c r="A592">
        <f>IF(수납!$C592="","",수납!$C592&amp;"|"&amp;IF(수납!$D592&lt;&gt;"",수납!$D592,IF(COUNTIF(원생!$A$2:$A$501,수납!$C592)=1,INDEX(원생!$G$2:$G$501,MATCH(수납!$C592,원생!$A$2:$A$501,0))&amp;"","")))</f>
        <v/>
      </c>
      <c r="B592">
        <f>IFERROR(IF(수납!$B592="",YEAR(수납!$A592)*100+MONTH(수납!$A592),IF(ISNUMBER(수납!$B592),YEAR(수납!$B592)*100+MONTH(수납!$B592),VALUE(LEFT(수납!$B592,4))*100+VALUE(MID(수납!$B592,6,2)))),"")</f>
        <v/>
      </c>
      <c r="C592">
        <f>IF(OR(수납!$E592="수강료",수납!$E592=""),N(수납!$F592),0)</f>
        <v/>
      </c>
    </row>
    <row r="593">
      <c r="A593">
        <f>IF(수납!$C593="","",수납!$C593&amp;"|"&amp;IF(수납!$D593&lt;&gt;"",수납!$D593,IF(COUNTIF(원생!$A$2:$A$501,수납!$C593)=1,INDEX(원생!$G$2:$G$501,MATCH(수납!$C593,원생!$A$2:$A$501,0))&amp;"","")))</f>
        <v/>
      </c>
      <c r="B593">
        <f>IFERROR(IF(수납!$B593="",YEAR(수납!$A593)*100+MONTH(수납!$A593),IF(ISNUMBER(수납!$B593),YEAR(수납!$B593)*100+MONTH(수납!$B593),VALUE(LEFT(수납!$B593,4))*100+VALUE(MID(수납!$B593,6,2)))),"")</f>
        <v/>
      </c>
      <c r="C593">
        <f>IF(OR(수납!$E593="수강료",수납!$E593=""),N(수납!$F593),0)</f>
        <v/>
      </c>
    </row>
    <row r="594">
      <c r="A594">
        <f>IF(수납!$C594="","",수납!$C594&amp;"|"&amp;IF(수납!$D594&lt;&gt;"",수납!$D594,IF(COUNTIF(원생!$A$2:$A$501,수납!$C594)=1,INDEX(원생!$G$2:$G$501,MATCH(수납!$C594,원생!$A$2:$A$501,0))&amp;"","")))</f>
        <v/>
      </c>
      <c r="B594">
        <f>IFERROR(IF(수납!$B594="",YEAR(수납!$A594)*100+MONTH(수납!$A594),IF(ISNUMBER(수납!$B594),YEAR(수납!$B594)*100+MONTH(수납!$B594),VALUE(LEFT(수납!$B594,4))*100+VALUE(MID(수납!$B594,6,2)))),"")</f>
        <v/>
      </c>
      <c r="C594">
        <f>IF(OR(수납!$E594="수강료",수납!$E594=""),N(수납!$F594),0)</f>
        <v/>
      </c>
    </row>
    <row r="595">
      <c r="A595">
        <f>IF(수납!$C595="","",수납!$C595&amp;"|"&amp;IF(수납!$D595&lt;&gt;"",수납!$D595,IF(COUNTIF(원생!$A$2:$A$501,수납!$C595)=1,INDEX(원생!$G$2:$G$501,MATCH(수납!$C595,원생!$A$2:$A$501,0))&amp;"","")))</f>
        <v/>
      </c>
      <c r="B595">
        <f>IFERROR(IF(수납!$B595="",YEAR(수납!$A595)*100+MONTH(수납!$A595),IF(ISNUMBER(수납!$B595),YEAR(수납!$B595)*100+MONTH(수납!$B595),VALUE(LEFT(수납!$B595,4))*100+VALUE(MID(수납!$B595,6,2)))),"")</f>
        <v/>
      </c>
      <c r="C595">
        <f>IF(OR(수납!$E595="수강료",수납!$E595=""),N(수납!$F595),0)</f>
        <v/>
      </c>
    </row>
    <row r="596">
      <c r="A596">
        <f>IF(수납!$C596="","",수납!$C596&amp;"|"&amp;IF(수납!$D596&lt;&gt;"",수납!$D596,IF(COUNTIF(원생!$A$2:$A$501,수납!$C596)=1,INDEX(원생!$G$2:$G$501,MATCH(수납!$C596,원생!$A$2:$A$501,0))&amp;"","")))</f>
        <v/>
      </c>
      <c r="B596">
        <f>IFERROR(IF(수납!$B596="",YEAR(수납!$A596)*100+MONTH(수납!$A596),IF(ISNUMBER(수납!$B596),YEAR(수납!$B596)*100+MONTH(수납!$B596),VALUE(LEFT(수납!$B596,4))*100+VALUE(MID(수납!$B596,6,2)))),"")</f>
        <v/>
      </c>
      <c r="C596">
        <f>IF(OR(수납!$E596="수강료",수납!$E596=""),N(수납!$F596),0)</f>
        <v/>
      </c>
    </row>
    <row r="597">
      <c r="A597">
        <f>IF(수납!$C597="","",수납!$C597&amp;"|"&amp;IF(수납!$D597&lt;&gt;"",수납!$D597,IF(COUNTIF(원생!$A$2:$A$501,수납!$C597)=1,INDEX(원생!$G$2:$G$501,MATCH(수납!$C597,원생!$A$2:$A$501,0))&amp;"","")))</f>
        <v/>
      </c>
      <c r="B597">
        <f>IFERROR(IF(수납!$B597="",YEAR(수납!$A597)*100+MONTH(수납!$A597),IF(ISNUMBER(수납!$B597),YEAR(수납!$B597)*100+MONTH(수납!$B597),VALUE(LEFT(수납!$B597,4))*100+VALUE(MID(수납!$B597,6,2)))),"")</f>
        <v/>
      </c>
      <c r="C597">
        <f>IF(OR(수납!$E597="수강료",수납!$E597=""),N(수납!$F597),0)</f>
        <v/>
      </c>
    </row>
    <row r="598">
      <c r="A598">
        <f>IF(수납!$C598="","",수납!$C598&amp;"|"&amp;IF(수납!$D598&lt;&gt;"",수납!$D598,IF(COUNTIF(원생!$A$2:$A$501,수납!$C598)=1,INDEX(원생!$G$2:$G$501,MATCH(수납!$C598,원생!$A$2:$A$501,0))&amp;"","")))</f>
        <v/>
      </c>
      <c r="B598">
        <f>IFERROR(IF(수납!$B598="",YEAR(수납!$A598)*100+MONTH(수납!$A598),IF(ISNUMBER(수납!$B598),YEAR(수납!$B598)*100+MONTH(수납!$B598),VALUE(LEFT(수납!$B598,4))*100+VALUE(MID(수납!$B598,6,2)))),"")</f>
        <v/>
      </c>
      <c r="C598">
        <f>IF(OR(수납!$E598="수강료",수납!$E598=""),N(수납!$F598),0)</f>
        <v/>
      </c>
    </row>
    <row r="599">
      <c r="A599">
        <f>IF(수납!$C599="","",수납!$C599&amp;"|"&amp;IF(수납!$D599&lt;&gt;"",수납!$D599,IF(COUNTIF(원생!$A$2:$A$501,수납!$C599)=1,INDEX(원생!$G$2:$G$501,MATCH(수납!$C599,원생!$A$2:$A$501,0))&amp;"","")))</f>
        <v/>
      </c>
      <c r="B599">
        <f>IFERROR(IF(수납!$B599="",YEAR(수납!$A599)*100+MONTH(수납!$A599),IF(ISNUMBER(수납!$B599),YEAR(수납!$B599)*100+MONTH(수납!$B599),VALUE(LEFT(수납!$B599,4))*100+VALUE(MID(수납!$B599,6,2)))),"")</f>
        <v/>
      </c>
      <c r="C599">
        <f>IF(OR(수납!$E599="수강료",수납!$E599=""),N(수납!$F599),0)</f>
        <v/>
      </c>
    </row>
    <row r="600">
      <c r="A600">
        <f>IF(수납!$C600="","",수납!$C600&amp;"|"&amp;IF(수납!$D600&lt;&gt;"",수납!$D600,IF(COUNTIF(원생!$A$2:$A$501,수납!$C600)=1,INDEX(원생!$G$2:$G$501,MATCH(수납!$C600,원생!$A$2:$A$501,0))&amp;"","")))</f>
        <v/>
      </c>
      <c r="B600">
        <f>IFERROR(IF(수납!$B600="",YEAR(수납!$A600)*100+MONTH(수납!$A600),IF(ISNUMBER(수납!$B600),YEAR(수납!$B600)*100+MONTH(수납!$B600),VALUE(LEFT(수납!$B600,4))*100+VALUE(MID(수납!$B600,6,2)))),"")</f>
        <v/>
      </c>
      <c r="C600">
        <f>IF(OR(수납!$E600="수강료",수납!$E600=""),N(수납!$F600),0)</f>
        <v/>
      </c>
    </row>
    <row r="601">
      <c r="A601">
        <f>IF(수납!$C601="","",수납!$C601&amp;"|"&amp;IF(수납!$D601&lt;&gt;"",수납!$D601,IF(COUNTIF(원생!$A$2:$A$501,수납!$C601)=1,INDEX(원생!$G$2:$G$501,MATCH(수납!$C601,원생!$A$2:$A$501,0))&amp;"","")))</f>
        <v/>
      </c>
      <c r="B601">
        <f>IFERROR(IF(수납!$B601="",YEAR(수납!$A601)*100+MONTH(수납!$A601),IF(ISNUMBER(수납!$B601),YEAR(수납!$B601)*100+MONTH(수납!$B601),VALUE(LEFT(수납!$B601,4))*100+VALUE(MID(수납!$B601,6,2)))),"")</f>
        <v/>
      </c>
      <c r="C601">
        <f>IF(OR(수납!$E601="수강료",수납!$E601=""),N(수납!$F601),0)</f>
        <v/>
      </c>
    </row>
    <row r="602">
      <c r="A602">
        <f>IF(수납!$C602="","",수납!$C602&amp;"|"&amp;IF(수납!$D602&lt;&gt;"",수납!$D602,IF(COUNTIF(원생!$A$2:$A$501,수납!$C602)=1,INDEX(원생!$G$2:$G$501,MATCH(수납!$C602,원생!$A$2:$A$501,0))&amp;"","")))</f>
        <v/>
      </c>
      <c r="B602">
        <f>IFERROR(IF(수납!$B602="",YEAR(수납!$A602)*100+MONTH(수납!$A602),IF(ISNUMBER(수납!$B602),YEAR(수납!$B602)*100+MONTH(수납!$B602),VALUE(LEFT(수납!$B602,4))*100+VALUE(MID(수납!$B602,6,2)))),"")</f>
        <v/>
      </c>
      <c r="C602">
        <f>IF(OR(수납!$E602="수강료",수납!$E602=""),N(수납!$F602),0)</f>
        <v/>
      </c>
    </row>
    <row r="603">
      <c r="A603">
        <f>IF(수납!$C603="","",수납!$C603&amp;"|"&amp;IF(수납!$D603&lt;&gt;"",수납!$D603,IF(COUNTIF(원생!$A$2:$A$501,수납!$C603)=1,INDEX(원생!$G$2:$G$501,MATCH(수납!$C603,원생!$A$2:$A$501,0))&amp;"","")))</f>
        <v/>
      </c>
      <c r="B603">
        <f>IFERROR(IF(수납!$B603="",YEAR(수납!$A603)*100+MONTH(수납!$A603),IF(ISNUMBER(수납!$B603),YEAR(수납!$B603)*100+MONTH(수납!$B603),VALUE(LEFT(수납!$B603,4))*100+VALUE(MID(수납!$B603,6,2)))),"")</f>
        <v/>
      </c>
      <c r="C603">
        <f>IF(OR(수납!$E603="수강료",수납!$E603=""),N(수납!$F603),0)</f>
        <v/>
      </c>
    </row>
    <row r="604">
      <c r="A604">
        <f>IF(수납!$C604="","",수납!$C604&amp;"|"&amp;IF(수납!$D604&lt;&gt;"",수납!$D604,IF(COUNTIF(원생!$A$2:$A$501,수납!$C604)=1,INDEX(원생!$G$2:$G$501,MATCH(수납!$C604,원생!$A$2:$A$501,0))&amp;"","")))</f>
        <v/>
      </c>
      <c r="B604">
        <f>IFERROR(IF(수납!$B604="",YEAR(수납!$A604)*100+MONTH(수납!$A604),IF(ISNUMBER(수납!$B604),YEAR(수납!$B604)*100+MONTH(수납!$B604),VALUE(LEFT(수납!$B604,4))*100+VALUE(MID(수납!$B604,6,2)))),"")</f>
        <v/>
      </c>
      <c r="C604">
        <f>IF(OR(수납!$E604="수강료",수납!$E604=""),N(수납!$F604),0)</f>
        <v/>
      </c>
    </row>
    <row r="605">
      <c r="A605">
        <f>IF(수납!$C605="","",수납!$C605&amp;"|"&amp;IF(수납!$D605&lt;&gt;"",수납!$D605,IF(COUNTIF(원생!$A$2:$A$501,수납!$C605)=1,INDEX(원생!$G$2:$G$501,MATCH(수납!$C605,원생!$A$2:$A$501,0))&amp;"","")))</f>
        <v/>
      </c>
      <c r="B605">
        <f>IFERROR(IF(수납!$B605="",YEAR(수납!$A605)*100+MONTH(수납!$A605),IF(ISNUMBER(수납!$B605),YEAR(수납!$B605)*100+MONTH(수납!$B605),VALUE(LEFT(수납!$B605,4))*100+VALUE(MID(수납!$B605,6,2)))),"")</f>
        <v/>
      </c>
      <c r="C605">
        <f>IF(OR(수납!$E605="수강료",수납!$E605=""),N(수납!$F605),0)</f>
        <v/>
      </c>
    </row>
    <row r="606">
      <c r="A606">
        <f>IF(수납!$C606="","",수납!$C606&amp;"|"&amp;IF(수납!$D606&lt;&gt;"",수납!$D606,IF(COUNTIF(원생!$A$2:$A$501,수납!$C606)=1,INDEX(원생!$G$2:$G$501,MATCH(수납!$C606,원생!$A$2:$A$501,0))&amp;"","")))</f>
        <v/>
      </c>
      <c r="B606">
        <f>IFERROR(IF(수납!$B606="",YEAR(수납!$A606)*100+MONTH(수납!$A606),IF(ISNUMBER(수납!$B606),YEAR(수납!$B606)*100+MONTH(수납!$B606),VALUE(LEFT(수납!$B606,4))*100+VALUE(MID(수납!$B606,6,2)))),"")</f>
        <v/>
      </c>
      <c r="C606">
        <f>IF(OR(수납!$E606="수강료",수납!$E606=""),N(수납!$F606),0)</f>
        <v/>
      </c>
    </row>
    <row r="607">
      <c r="A607">
        <f>IF(수납!$C607="","",수납!$C607&amp;"|"&amp;IF(수납!$D607&lt;&gt;"",수납!$D607,IF(COUNTIF(원생!$A$2:$A$501,수납!$C607)=1,INDEX(원생!$G$2:$G$501,MATCH(수납!$C607,원생!$A$2:$A$501,0))&amp;"","")))</f>
        <v/>
      </c>
      <c r="B607">
        <f>IFERROR(IF(수납!$B607="",YEAR(수납!$A607)*100+MONTH(수납!$A607),IF(ISNUMBER(수납!$B607),YEAR(수납!$B607)*100+MONTH(수납!$B607),VALUE(LEFT(수납!$B607,4))*100+VALUE(MID(수납!$B607,6,2)))),"")</f>
        <v/>
      </c>
      <c r="C607">
        <f>IF(OR(수납!$E607="수강료",수납!$E607=""),N(수납!$F607),0)</f>
        <v/>
      </c>
    </row>
    <row r="608">
      <c r="A608">
        <f>IF(수납!$C608="","",수납!$C608&amp;"|"&amp;IF(수납!$D608&lt;&gt;"",수납!$D608,IF(COUNTIF(원생!$A$2:$A$501,수납!$C608)=1,INDEX(원생!$G$2:$G$501,MATCH(수납!$C608,원생!$A$2:$A$501,0))&amp;"","")))</f>
        <v/>
      </c>
      <c r="B608">
        <f>IFERROR(IF(수납!$B608="",YEAR(수납!$A608)*100+MONTH(수납!$A608),IF(ISNUMBER(수납!$B608),YEAR(수납!$B608)*100+MONTH(수납!$B608),VALUE(LEFT(수납!$B608,4))*100+VALUE(MID(수납!$B608,6,2)))),"")</f>
        <v/>
      </c>
      <c r="C608">
        <f>IF(OR(수납!$E608="수강료",수납!$E608=""),N(수납!$F608),0)</f>
        <v/>
      </c>
    </row>
    <row r="609">
      <c r="A609">
        <f>IF(수납!$C609="","",수납!$C609&amp;"|"&amp;IF(수납!$D609&lt;&gt;"",수납!$D609,IF(COUNTIF(원생!$A$2:$A$501,수납!$C609)=1,INDEX(원생!$G$2:$G$501,MATCH(수납!$C609,원생!$A$2:$A$501,0))&amp;"","")))</f>
        <v/>
      </c>
      <c r="B609">
        <f>IFERROR(IF(수납!$B609="",YEAR(수납!$A609)*100+MONTH(수납!$A609),IF(ISNUMBER(수납!$B609),YEAR(수납!$B609)*100+MONTH(수납!$B609),VALUE(LEFT(수납!$B609,4))*100+VALUE(MID(수납!$B609,6,2)))),"")</f>
        <v/>
      </c>
      <c r="C609">
        <f>IF(OR(수납!$E609="수강료",수납!$E609=""),N(수납!$F609),0)</f>
        <v/>
      </c>
    </row>
    <row r="610">
      <c r="A610">
        <f>IF(수납!$C610="","",수납!$C610&amp;"|"&amp;IF(수납!$D610&lt;&gt;"",수납!$D610,IF(COUNTIF(원생!$A$2:$A$501,수납!$C610)=1,INDEX(원생!$G$2:$G$501,MATCH(수납!$C610,원생!$A$2:$A$501,0))&amp;"","")))</f>
        <v/>
      </c>
      <c r="B610">
        <f>IFERROR(IF(수납!$B610="",YEAR(수납!$A610)*100+MONTH(수납!$A610),IF(ISNUMBER(수납!$B610),YEAR(수납!$B610)*100+MONTH(수납!$B610),VALUE(LEFT(수납!$B610,4))*100+VALUE(MID(수납!$B610,6,2)))),"")</f>
        <v/>
      </c>
      <c r="C610">
        <f>IF(OR(수납!$E610="수강료",수납!$E610=""),N(수납!$F610),0)</f>
        <v/>
      </c>
    </row>
    <row r="611">
      <c r="A611">
        <f>IF(수납!$C611="","",수납!$C611&amp;"|"&amp;IF(수납!$D611&lt;&gt;"",수납!$D611,IF(COUNTIF(원생!$A$2:$A$501,수납!$C611)=1,INDEX(원생!$G$2:$G$501,MATCH(수납!$C611,원생!$A$2:$A$501,0))&amp;"","")))</f>
        <v/>
      </c>
      <c r="B611">
        <f>IFERROR(IF(수납!$B611="",YEAR(수납!$A611)*100+MONTH(수납!$A611),IF(ISNUMBER(수납!$B611),YEAR(수납!$B611)*100+MONTH(수납!$B611),VALUE(LEFT(수납!$B611,4))*100+VALUE(MID(수납!$B611,6,2)))),"")</f>
        <v/>
      </c>
      <c r="C611">
        <f>IF(OR(수납!$E611="수강료",수납!$E611=""),N(수납!$F611),0)</f>
        <v/>
      </c>
    </row>
    <row r="612">
      <c r="A612">
        <f>IF(수납!$C612="","",수납!$C612&amp;"|"&amp;IF(수납!$D612&lt;&gt;"",수납!$D612,IF(COUNTIF(원생!$A$2:$A$501,수납!$C612)=1,INDEX(원생!$G$2:$G$501,MATCH(수납!$C612,원생!$A$2:$A$501,0))&amp;"","")))</f>
        <v/>
      </c>
      <c r="B612">
        <f>IFERROR(IF(수납!$B612="",YEAR(수납!$A612)*100+MONTH(수납!$A612),IF(ISNUMBER(수납!$B612),YEAR(수납!$B612)*100+MONTH(수납!$B612),VALUE(LEFT(수납!$B612,4))*100+VALUE(MID(수납!$B612,6,2)))),"")</f>
        <v/>
      </c>
      <c r="C612">
        <f>IF(OR(수납!$E612="수강료",수납!$E612=""),N(수납!$F612),0)</f>
        <v/>
      </c>
    </row>
    <row r="613">
      <c r="A613">
        <f>IF(수납!$C613="","",수납!$C613&amp;"|"&amp;IF(수납!$D613&lt;&gt;"",수납!$D613,IF(COUNTIF(원생!$A$2:$A$501,수납!$C613)=1,INDEX(원생!$G$2:$G$501,MATCH(수납!$C613,원생!$A$2:$A$501,0))&amp;"","")))</f>
        <v/>
      </c>
      <c r="B613">
        <f>IFERROR(IF(수납!$B613="",YEAR(수납!$A613)*100+MONTH(수납!$A613),IF(ISNUMBER(수납!$B613),YEAR(수납!$B613)*100+MONTH(수납!$B613),VALUE(LEFT(수납!$B613,4))*100+VALUE(MID(수납!$B613,6,2)))),"")</f>
        <v/>
      </c>
      <c r="C613">
        <f>IF(OR(수납!$E613="수강료",수납!$E613=""),N(수납!$F613),0)</f>
        <v/>
      </c>
    </row>
    <row r="614">
      <c r="A614">
        <f>IF(수납!$C614="","",수납!$C614&amp;"|"&amp;IF(수납!$D614&lt;&gt;"",수납!$D614,IF(COUNTIF(원생!$A$2:$A$501,수납!$C614)=1,INDEX(원생!$G$2:$G$501,MATCH(수납!$C614,원생!$A$2:$A$501,0))&amp;"","")))</f>
        <v/>
      </c>
      <c r="B614">
        <f>IFERROR(IF(수납!$B614="",YEAR(수납!$A614)*100+MONTH(수납!$A614),IF(ISNUMBER(수납!$B614),YEAR(수납!$B614)*100+MONTH(수납!$B614),VALUE(LEFT(수납!$B614,4))*100+VALUE(MID(수납!$B614,6,2)))),"")</f>
        <v/>
      </c>
      <c r="C614">
        <f>IF(OR(수납!$E614="수강료",수납!$E614=""),N(수납!$F614),0)</f>
        <v/>
      </c>
    </row>
    <row r="615">
      <c r="A615">
        <f>IF(수납!$C615="","",수납!$C615&amp;"|"&amp;IF(수납!$D615&lt;&gt;"",수납!$D615,IF(COUNTIF(원생!$A$2:$A$501,수납!$C615)=1,INDEX(원생!$G$2:$G$501,MATCH(수납!$C615,원생!$A$2:$A$501,0))&amp;"","")))</f>
        <v/>
      </c>
      <c r="B615">
        <f>IFERROR(IF(수납!$B615="",YEAR(수납!$A615)*100+MONTH(수납!$A615),IF(ISNUMBER(수납!$B615),YEAR(수납!$B615)*100+MONTH(수납!$B615),VALUE(LEFT(수납!$B615,4))*100+VALUE(MID(수납!$B615,6,2)))),"")</f>
        <v/>
      </c>
      <c r="C615">
        <f>IF(OR(수납!$E615="수강료",수납!$E615=""),N(수납!$F615),0)</f>
        <v/>
      </c>
    </row>
    <row r="616">
      <c r="A616">
        <f>IF(수납!$C616="","",수납!$C616&amp;"|"&amp;IF(수납!$D616&lt;&gt;"",수납!$D616,IF(COUNTIF(원생!$A$2:$A$501,수납!$C616)=1,INDEX(원생!$G$2:$G$501,MATCH(수납!$C616,원생!$A$2:$A$501,0))&amp;"","")))</f>
        <v/>
      </c>
      <c r="B616">
        <f>IFERROR(IF(수납!$B616="",YEAR(수납!$A616)*100+MONTH(수납!$A616),IF(ISNUMBER(수납!$B616),YEAR(수납!$B616)*100+MONTH(수납!$B616),VALUE(LEFT(수납!$B616,4))*100+VALUE(MID(수납!$B616,6,2)))),"")</f>
        <v/>
      </c>
      <c r="C616">
        <f>IF(OR(수납!$E616="수강료",수납!$E616=""),N(수납!$F616),0)</f>
        <v/>
      </c>
    </row>
    <row r="617">
      <c r="A617">
        <f>IF(수납!$C617="","",수납!$C617&amp;"|"&amp;IF(수납!$D617&lt;&gt;"",수납!$D617,IF(COUNTIF(원생!$A$2:$A$501,수납!$C617)=1,INDEX(원생!$G$2:$G$501,MATCH(수납!$C617,원생!$A$2:$A$501,0))&amp;"","")))</f>
        <v/>
      </c>
      <c r="B617">
        <f>IFERROR(IF(수납!$B617="",YEAR(수납!$A617)*100+MONTH(수납!$A617),IF(ISNUMBER(수납!$B617),YEAR(수납!$B617)*100+MONTH(수납!$B617),VALUE(LEFT(수납!$B617,4))*100+VALUE(MID(수납!$B617,6,2)))),"")</f>
        <v/>
      </c>
      <c r="C617">
        <f>IF(OR(수납!$E617="수강료",수납!$E617=""),N(수납!$F617),0)</f>
        <v/>
      </c>
    </row>
    <row r="618">
      <c r="A618">
        <f>IF(수납!$C618="","",수납!$C618&amp;"|"&amp;IF(수납!$D618&lt;&gt;"",수납!$D618,IF(COUNTIF(원생!$A$2:$A$501,수납!$C618)=1,INDEX(원생!$G$2:$G$501,MATCH(수납!$C618,원생!$A$2:$A$501,0))&amp;"","")))</f>
        <v/>
      </c>
      <c r="B618">
        <f>IFERROR(IF(수납!$B618="",YEAR(수납!$A618)*100+MONTH(수납!$A618),IF(ISNUMBER(수납!$B618),YEAR(수납!$B618)*100+MONTH(수납!$B618),VALUE(LEFT(수납!$B618,4))*100+VALUE(MID(수납!$B618,6,2)))),"")</f>
        <v/>
      </c>
      <c r="C618">
        <f>IF(OR(수납!$E618="수강료",수납!$E618=""),N(수납!$F618),0)</f>
        <v/>
      </c>
    </row>
    <row r="619">
      <c r="A619">
        <f>IF(수납!$C619="","",수납!$C619&amp;"|"&amp;IF(수납!$D619&lt;&gt;"",수납!$D619,IF(COUNTIF(원생!$A$2:$A$501,수납!$C619)=1,INDEX(원생!$G$2:$G$501,MATCH(수납!$C619,원생!$A$2:$A$501,0))&amp;"","")))</f>
        <v/>
      </c>
      <c r="B619">
        <f>IFERROR(IF(수납!$B619="",YEAR(수납!$A619)*100+MONTH(수납!$A619),IF(ISNUMBER(수납!$B619),YEAR(수납!$B619)*100+MONTH(수납!$B619),VALUE(LEFT(수납!$B619,4))*100+VALUE(MID(수납!$B619,6,2)))),"")</f>
        <v/>
      </c>
      <c r="C619">
        <f>IF(OR(수납!$E619="수강료",수납!$E619=""),N(수납!$F619),0)</f>
        <v/>
      </c>
    </row>
    <row r="620">
      <c r="A620">
        <f>IF(수납!$C620="","",수납!$C620&amp;"|"&amp;IF(수납!$D620&lt;&gt;"",수납!$D620,IF(COUNTIF(원생!$A$2:$A$501,수납!$C620)=1,INDEX(원생!$G$2:$G$501,MATCH(수납!$C620,원생!$A$2:$A$501,0))&amp;"","")))</f>
        <v/>
      </c>
      <c r="B620">
        <f>IFERROR(IF(수납!$B620="",YEAR(수납!$A620)*100+MONTH(수납!$A620),IF(ISNUMBER(수납!$B620),YEAR(수납!$B620)*100+MONTH(수납!$B620),VALUE(LEFT(수납!$B620,4))*100+VALUE(MID(수납!$B620,6,2)))),"")</f>
        <v/>
      </c>
      <c r="C620">
        <f>IF(OR(수납!$E620="수강료",수납!$E620=""),N(수납!$F620),0)</f>
        <v/>
      </c>
    </row>
    <row r="621">
      <c r="A621">
        <f>IF(수납!$C621="","",수납!$C621&amp;"|"&amp;IF(수납!$D621&lt;&gt;"",수납!$D621,IF(COUNTIF(원생!$A$2:$A$501,수납!$C621)=1,INDEX(원생!$G$2:$G$501,MATCH(수납!$C621,원생!$A$2:$A$501,0))&amp;"","")))</f>
        <v/>
      </c>
      <c r="B621">
        <f>IFERROR(IF(수납!$B621="",YEAR(수납!$A621)*100+MONTH(수납!$A621),IF(ISNUMBER(수납!$B621),YEAR(수납!$B621)*100+MONTH(수납!$B621),VALUE(LEFT(수납!$B621,4))*100+VALUE(MID(수납!$B621,6,2)))),"")</f>
        <v/>
      </c>
      <c r="C621">
        <f>IF(OR(수납!$E621="수강료",수납!$E621=""),N(수납!$F621),0)</f>
        <v/>
      </c>
    </row>
    <row r="622">
      <c r="A622">
        <f>IF(수납!$C622="","",수납!$C622&amp;"|"&amp;IF(수납!$D622&lt;&gt;"",수납!$D622,IF(COUNTIF(원생!$A$2:$A$501,수납!$C622)=1,INDEX(원생!$G$2:$G$501,MATCH(수납!$C622,원생!$A$2:$A$501,0))&amp;"","")))</f>
        <v/>
      </c>
      <c r="B622">
        <f>IFERROR(IF(수납!$B622="",YEAR(수납!$A622)*100+MONTH(수납!$A622),IF(ISNUMBER(수납!$B622),YEAR(수납!$B622)*100+MONTH(수납!$B622),VALUE(LEFT(수납!$B622,4))*100+VALUE(MID(수납!$B622,6,2)))),"")</f>
        <v/>
      </c>
      <c r="C622">
        <f>IF(OR(수납!$E622="수강료",수납!$E622=""),N(수납!$F622),0)</f>
        <v/>
      </c>
    </row>
    <row r="623">
      <c r="A623">
        <f>IF(수납!$C623="","",수납!$C623&amp;"|"&amp;IF(수납!$D623&lt;&gt;"",수납!$D623,IF(COUNTIF(원생!$A$2:$A$501,수납!$C623)=1,INDEX(원생!$G$2:$G$501,MATCH(수납!$C623,원생!$A$2:$A$501,0))&amp;"","")))</f>
        <v/>
      </c>
      <c r="B623">
        <f>IFERROR(IF(수납!$B623="",YEAR(수납!$A623)*100+MONTH(수납!$A623),IF(ISNUMBER(수납!$B623),YEAR(수납!$B623)*100+MONTH(수납!$B623),VALUE(LEFT(수납!$B623,4))*100+VALUE(MID(수납!$B623,6,2)))),"")</f>
        <v/>
      </c>
      <c r="C623">
        <f>IF(OR(수납!$E623="수강료",수납!$E623=""),N(수납!$F623),0)</f>
        <v/>
      </c>
    </row>
    <row r="624">
      <c r="A624">
        <f>IF(수납!$C624="","",수납!$C624&amp;"|"&amp;IF(수납!$D624&lt;&gt;"",수납!$D624,IF(COUNTIF(원생!$A$2:$A$501,수납!$C624)=1,INDEX(원생!$G$2:$G$501,MATCH(수납!$C624,원생!$A$2:$A$501,0))&amp;"","")))</f>
        <v/>
      </c>
      <c r="B624">
        <f>IFERROR(IF(수납!$B624="",YEAR(수납!$A624)*100+MONTH(수납!$A624),IF(ISNUMBER(수납!$B624),YEAR(수납!$B624)*100+MONTH(수납!$B624),VALUE(LEFT(수납!$B624,4))*100+VALUE(MID(수납!$B624,6,2)))),"")</f>
        <v/>
      </c>
      <c r="C624">
        <f>IF(OR(수납!$E624="수강료",수납!$E624=""),N(수납!$F624),0)</f>
        <v/>
      </c>
    </row>
    <row r="625">
      <c r="A625">
        <f>IF(수납!$C625="","",수납!$C625&amp;"|"&amp;IF(수납!$D625&lt;&gt;"",수납!$D625,IF(COUNTIF(원생!$A$2:$A$501,수납!$C625)=1,INDEX(원생!$G$2:$G$501,MATCH(수납!$C625,원생!$A$2:$A$501,0))&amp;"","")))</f>
        <v/>
      </c>
      <c r="B625">
        <f>IFERROR(IF(수납!$B625="",YEAR(수납!$A625)*100+MONTH(수납!$A625),IF(ISNUMBER(수납!$B625),YEAR(수납!$B625)*100+MONTH(수납!$B625),VALUE(LEFT(수납!$B625,4))*100+VALUE(MID(수납!$B625,6,2)))),"")</f>
        <v/>
      </c>
      <c r="C625">
        <f>IF(OR(수납!$E625="수강료",수납!$E625=""),N(수납!$F625),0)</f>
        <v/>
      </c>
    </row>
    <row r="626">
      <c r="A626">
        <f>IF(수납!$C626="","",수납!$C626&amp;"|"&amp;IF(수납!$D626&lt;&gt;"",수납!$D626,IF(COUNTIF(원생!$A$2:$A$501,수납!$C626)=1,INDEX(원생!$G$2:$G$501,MATCH(수납!$C626,원생!$A$2:$A$501,0))&amp;"","")))</f>
        <v/>
      </c>
      <c r="B626">
        <f>IFERROR(IF(수납!$B626="",YEAR(수납!$A626)*100+MONTH(수납!$A626),IF(ISNUMBER(수납!$B626),YEAR(수납!$B626)*100+MONTH(수납!$B626),VALUE(LEFT(수납!$B626,4))*100+VALUE(MID(수납!$B626,6,2)))),"")</f>
        <v/>
      </c>
      <c r="C626">
        <f>IF(OR(수납!$E626="수강료",수납!$E626=""),N(수납!$F626),0)</f>
        <v/>
      </c>
    </row>
    <row r="627">
      <c r="A627">
        <f>IF(수납!$C627="","",수납!$C627&amp;"|"&amp;IF(수납!$D627&lt;&gt;"",수납!$D627,IF(COUNTIF(원생!$A$2:$A$501,수납!$C627)=1,INDEX(원생!$G$2:$G$501,MATCH(수납!$C627,원생!$A$2:$A$501,0))&amp;"","")))</f>
        <v/>
      </c>
      <c r="B627">
        <f>IFERROR(IF(수납!$B627="",YEAR(수납!$A627)*100+MONTH(수납!$A627),IF(ISNUMBER(수납!$B627),YEAR(수납!$B627)*100+MONTH(수납!$B627),VALUE(LEFT(수납!$B627,4))*100+VALUE(MID(수납!$B627,6,2)))),"")</f>
        <v/>
      </c>
      <c r="C627">
        <f>IF(OR(수납!$E627="수강료",수납!$E627=""),N(수납!$F627),0)</f>
        <v/>
      </c>
    </row>
    <row r="628">
      <c r="A628">
        <f>IF(수납!$C628="","",수납!$C628&amp;"|"&amp;IF(수납!$D628&lt;&gt;"",수납!$D628,IF(COUNTIF(원생!$A$2:$A$501,수납!$C628)=1,INDEX(원생!$G$2:$G$501,MATCH(수납!$C628,원생!$A$2:$A$501,0))&amp;"","")))</f>
        <v/>
      </c>
      <c r="B628">
        <f>IFERROR(IF(수납!$B628="",YEAR(수납!$A628)*100+MONTH(수납!$A628),IF(ISNUMBER(수납!$B628),YEAR(수납!$B628)*100+MONTH(수납!$B628),VALUE(LEFT(수납!$B628,4))*100+VALUE(MID(수납!$B628,6,2)))),"")</f>
        <v/>
      </c>
      <c r="C628">
        <f>IF(OR(수납!$E628="수강료",수납!$E628=""),N(수납!$F628),0)</f>
        <v/>
      </c>
    </row>
    <row r="629">
      <c r="A629">
        <f>IF(수납!$C629="","",수납!$C629&amp;"|"&amp;IF(수납!$D629&lt;&gt;"",수납!$D629,IF(COUNTIF(원생!$A$2:$A$501,수납!$C629)=1,INDEX(원생!$G$2:$G$501,MATCH(수납!$C629,원생!$A$2:$A$501,0))&amp;"","")))</f>
        <v/>
      </c>
      <c r="B629">
        <f>IFERROR(IF(수납!$B629="",YEAR(수납!$A629)*100+MONTH(수납!$A629),IF(ISNUMBER(수납!$B629),YEAR(수납!$B629)*100+MONTH(수납!$B629),VALUE(LEFT(수납!$B629,4))*100+VALUE(MID(수납!$B629,6,2)))),"")</f>
        <v/>
      </c>
      <c r="C629">
        <f>IF(OR(수납!$E629="수강료",수납!$E629=""),N(수납!$F629),0)</f>
        <v/>
      </c>
    </row>
    <row r="630">
      <c r="A630">
        <f>IF(수납!$C630="","",수납!$C630&amp;"|"&amp;IF(수납!$D630&lt;&gt;"",수납!$D630,IF(COUNTIF(원생!$A$2:$A$501,수납!$C630)=1,INDEX(원생!$G$2:$G$501,MATCH(수납!$C630,원생!$A$2:$A$501,0))&amp;"","")))</f>
        <v/>
      </c>
      <c r="B630">
        <f>IFERROR(IF(수납!$B630="",YEAR(수납!$A630)*100+MONTH(수납!$A630),IF(ISNUMBER(수납!$B630),YEAR(수납!$B630)*100+MONTH(수납!$B630),VALUE(LEFT(수납!$B630,4))*100+VALUE(MID(수납!$B630,6,2)))),"")</f>
        <v/>
      </c>
      <c r="C630">
        <f>IF(OR(수납!$E630="수강료",수납!$E630=""),N(수납!$F630),0)</f>
        <v/>
      </c>
    </row>
    <row r="631">
      <c r="A631">
        <f>IF(수납!$C631="","",수납!$C631&amp;"|"&amp;IF(수납!$D631&lt;&gt;"",수납!$D631,IF(COUNTIF(원생!$A$2:$A$501,수납!$C631)=1,INDEX(원생!$G$2:$G$501,MATCH(수납!$C631,원생!$A$2:$A$501,0))&amp;"","")))</f>
        <v/>
      </c>
      <c r="B631">
        <f>IFERROR(IF(수납!$B631="",YEAR(수납!$A631)*100+MONTH(수납!$A631),IF(ISNUMBER(수납!$B631),YEAR(수납!$B631)*100+MONTH(수납!$B631),VALUE(LEFT(수납!$B631,4))*100+VALUE(MID(수납!$B631,6,2)))),"")</f>
        <v/>
      </c>
      <c r="C631">
        <f>IF(OR(수납!$E631="수강료",수납!$E631=""),N(수납!$F631),0)</f>
        <v/>
      </c>
    </row>
    <row r="632">
      <c r="A632">
        <f>IF(수납!$C632="","",수납!$C632&amp;"|"&amp;IF(수납!$D632&lt;&gt;"",수납!$D632,IF(COUNTIF(원생!$A$2:$A$501,수납!$C632)=1,INDEX(원생!$G$2:$G$501,MATCH(수납!$C632,원생!$A$2:$A$501,0))&amp;"","")))</f>
        <v/>
      </c>
      <c r="B632">
        <f>IFERROR(IF(수납!$B632="",YEAR(수납!$A632)*100+MONTH(수납!$A632),IF(ISNUMBER(수납!$B632),YEAR(수납!$B632)*100+MONTH(수납!$B632),VALUE(LEFT(수납!$B632,4))*100+VALUE(MID(수납!$B632,6,2)))),"")</f>
        <v/>
      </c>
      <c r="C632">
        <f>IF(OR(수납!$E632="수강료",수납!$E632=""),N(수납!$F632),0)</f>
        <v/>
      </c>
    </row>
    <row r="633">
      <c r="A633">
        <f>IF(수납!$C633="","",수납!$C633&amp;"|"&amp;IF(수납!$D633&lt;&gt;"",수납!$D633,IF(COUNTIF(원생!$A$2:$A$501,수납!$C633)=1,INDEX(원생!$G$2:$G$501,MATCH(수납!$C633,원생!$A$2:$A$501,0))&amp;"","")))</f>
        <v/>
      </c>
      <c r="B633">
        <f>IFERROR(IF(수납!$B633="",YEAR(수납!$A633)*100+MONTH(수납!$A633),IF(ISNUMBER(수납!$B633),YEAR(수납!$B633)*100+MONTH(수납!$B633),VALUE(LEFT(수납!$B633,4))*100+VALUE(MID(수납!$B633,6,2)))),"")</f>
        <v/>
      </c>
      <c r="C633">
        <f>IF(OR(수납!$E633="수강료",수납!$E633=""),N(수납!$F633),0)</f>
        <v/>
      </c>
    </row>
    <row r="634">
      <c r="A634">
        <f>IF(수납!$C634="","",수납!$C634&amp;"|"&amp;IF(수납!$D634&lt;&gt;"",수납!$D634,IF(COUNTIF(원생!$A$2:$A$501,수납!$C634)=1,INDEX(원생!$G$2:$G$501,MATCH(수납!$C634,원생!$A$2:$A$501,0))&amp;"","")))</f>
        <v/>
      </c>
      <c r="B634">
        <f>IFERROR(IF(수납!$B634="",YEAR(수납!$A634)*100+MONTH(수납!$A634),IF(ISNUMBER(수납!$B634),YEAR(수납!$B634)*100+MONTH(수납!$B634),VALUE(LEFT(수납!$B634,4))*100+VALUE(MID(수납!$B634,6,2)))),"")</f>
        <v/>
      </c>
      <c r="C634">
        <f>IF(OR(수납!$E634="수강료",수납!$E634=""),N(수납!$F634),0)</f>
        <v/>
      </c>
    </row>
    <row r="635">
      <c r="A635">
        <f>IF(수납!$C635="","",수납!$C635&amp;"|"&amp;IF(수납!$D635&lt;&gt;"",수납!$D635,IF(COUNTIF(원생!$A$2:$A$501,수납!$C635)=1,INDEX(원생!$G$2:$G$501,MATCH(수납!$C635,원생!$A$2:$A$501,0))&amp;"","")))</f>
        <v/>
      </c>
      <c r="B635">
        <f>IFERROR(IF(수납!$B635="",YEAR(수납!$A635)*100+MONTH(수납!$A635),IF(ISNUMBER(수납!$B635),YEAR(수납!$B635)*100+MONTH(수납!$B635),VALUE(LEFT(수납!$B635,4))*100+VALUE(MID(수납!$B635,6,2)))),"")</f>
        <v/>
      </c>
      <c r="C635">
        <f>IF(OR(수납!$E635="수강료",수납!$E635=""),N(수납!$F635),0)</f>
        <v/>
      </c>
    </row>
    <row r="636">
      <c r="A636">
        <f>IF(수납!$C636="","",수납!$C636&amp;"|"&amp;IF(수납!$D636&lt;&gt;"",수납!$D636,IF(COUNTIF(원생!$A$2:$A$501,수납!$C636)=1,INDEX(원생!$G$2:$G$501,MATCH(수납!$C636,원생!$A$2:$A$501,0))&amp;"","")))</f>
        <v/>
      </c>
      <c r="B636">
        <f>IFERROR(IF(수납!$B636="",YEAR(수납!$A636)*100+MONTH(수납!$A636),IF(ISNUMBER(수납!$B636),YEAR(수납!$B636)*100+MONTH(수납!$B636),VALUE(LEFT(수납!$B636,4))*100+VALUE(MID(수납!$B636,6,2)))),"")</f>
        <v/>
      </c>
      <c r="C636">
        <f>IF(OR(수납!$E636="수강료",수납!$E636=""),N(수납!$F636),0)</f>
        <v/>
      </c>
    </row>
    <row r="637">
      <c r="A637">
        <f>IF(수납!$C637="","",수납!$C637&amp;"|"&amp;IF(수납!$D637&lt;&gt;"",수납!$D637,IF(COUNTIF(원생!$A$2:$A$501,수납!$C637)=1,INDEX(원생!$G$2:$G$501,MATCH(수납!$C637,원생!$A$2:$A$501,0))&amp;"","")))</f>
        <v/>
      </c>
      <c r="B637">
        <f>IFERROR(IF(수납!$B637="",YEAR(수납!$A637)*100+MONTH(수납!$A637),IF(ISNUMBER(수납!$B637),YEAR(수납!$B637)*100+MONTH(수납!$B637),VALUE(LEFT(수납!$B637,4))*100+VALUE(MID(수납!$B637,6,2)))),"")</f>
        <v/>
      </c>
      <c r="C637">
        <f>IF(OR(수납!$E637="수강료",수납!$E637=""),N(수납!$F637),0)</f>
        <v/>
      </c>
    </row>
    <row r="638">
      <c r="A638">
        <f>IF(수납!$C638="","",수납!$C638&amp;"|"&amp;IF(수납!$D638&lt;&gt;"",수납!$D638,IF(COUNTIF(원생!$A$2:$A$501,수납!$C638)=1,INDEX(원생!$G$2:$G$501,MATCH(수납!$C638,원생!$A$2:$A$501,0))&amp;"","")))</f>
        <v/>
      </c>
      <c r="B638">
        <f>IFERROR(IF(수납!$B638="",YEAR(수납!$A638)*100+MONTH(수납!$A638),IF(ISNUMBER(수납!$B638),YEAR(수납!$B638)*100+MONTH(수납!$B638),VALUE(LEFT(수납!$B638,4))*100+VALUE(MID(수납!$B638,6,2)))),"")</f>
        <v/>
      </c>
      <c r="C638">
        <f>IF(OR(수납!$E638="수강료",수납!$E638=""),N(수납!$F638),0)</f>
        <v/>
      </c>
    </row>
    <row r="639">
      <c r="A639">
        <f>IF(수납!$C639="","",수납!$C639&amp;"|"&amp;IF(수납!$D639&lt;&gt;"",수납!$D639,IF(COUNTIF(원생!$A$2:$A$501,수납!$C639)=1,INDEX(원생!$G$2:$G$501,MATCH(수납!$C639,원생!$A$2:$A$501,0))&amp;"","")))</f>
        <v/>
      </c>
      <c r="B639">
        <f>IFERROR(IF(수납!$B639="",YEAR(수납!$A639)*100+MONTH(수납!$A639),IF(ISNUMBER(수납!$B639),YEAR(수납!$B639)*100+MONTH(수납!$B639),VALUE(LEFT(수납!$B639,4))*100+VALUE(MID(수납!$B639,6,2)))),"")</f>
        <v/>
      </c>
      <c r="C639">
        <f>IF(OR(수납!$E639="수강료",수납!$E639=""),N(수납!$F639),0)</f>
        <v/>
      </c>
    </row>
    <row r="640">
      <c r="A640">
        <f>IF(수납!$C640="","",수납!$C640&amp;"|"&amp;IF(수납!$D640&lt;&gt;"",수납!$D640,IF(COUNTIF(원생!$A$2:$A$501,수납!$C640)=1,INDEX(원생!$G$2:$G$501,MATCH(수납!$C640,원생!$A$2:$A$501,0))&amp;"","")))</f>
        <v/>
      </c>
      <c r="B640">
        <f>IFERROR(IF(수납!$B640="",YEAR(수납!$A640)*100+MONTH(수납!$A640),IF(ISNUMBER(수납!$B640),YEAR(수납!$B640)*100+MONTH(수납!$B640),VALUE(LEFT(수납!$B640,4))*100+VALUE(MID(수납!$B640,6,2)))),"")</f>
        <v/>
      </c>
      <c r="C640">
        <f>IF(OR(수납!$E640="수강료",수납!$E640=""),N(수납!$F640),0)</f>
        <v/>
      </c>
    </row>
    <row r="641">
      <c r="A641">
        <f>IF(수납!$C641="","",수납!$C641&amp;"|"&amp;IF(수납!$D641&lt;&gt;"",수납!$D641,IF(COUNTIF(원생!$A$2:$A$501,수납!$C641)=1,INDEX(원생!$G$2:$G$501,MATCH(수납!$C641,원생!$A$2:$A$501,0))&amp;"","")))</f>
        <v/>
      </c>
      <c r="B641">
        <f>IFERROR(IF(수납!$B641="",YEAR(수납!$A641)*100+MONTH(수납!$A641),IF(ISNUMBER(수납!$B641),YEAR(수납!$B641)*100+MONTH(수납!$B641),VALUE(LEFT(수납!$B641,4))*100+VALUE(MID(수납!$B641,6,2)))),"")</f>
        <v/>
      </c>
      <c r="C641">
        <f>IF(OR(수납!$E641="수강료",수납!$E641=""),N(수납!$F641),0)</f>
        <v/>
      </c>
    </row>
    <row r="642">
      <c r="A642">
        <f>IF(수납!$C642="","",수납!$C642&amp;"|"&amp;IF(수납!$D642&lt;&gt;"",수납!$D642,IF(COUNTIF(원생!$A$2:$A$501,수납!$C642)=1,INDEX(원생!$G$2:$G$501,MATCH(수납!$C642,원생!$A$2:$A$501,0))&amp;"","")))</f>
        <v/>
      </c>
      <c r="B642">
        <f>IFERROR(IF(수납!$B642="",YEAR(수납!$A642)*100+MONTH(수납!$A642),IF(ISNUMBER(수납!$B642),YEAR(수납!$B642)*100+MONTH(수납!$B642),VALUE(LEFT(수납!$B642,4))*100+VALUE(MID(수납!$B642,6,2)))),"")</f>
        <v/>
      </c>
      <c r="C642">
        <f>IF(OR(수납!$E642="수강료",수납!$E642=""),N(수납!$F642),0)</f>
        <v/>
      </c>
    </row>
    <row r="643">
      <c r="A643">
        <f>IF(수납!$C643="","",수납!$C643&amp;"|"&amp;IF(수납!$D643&lt;&gt;"",수납!$D643,IF(COUNTIF(원생!$A$2:$A$501,수납!$C643)=1,INDEX(원생!$G$2:$G$501,MATCH(수납!$C643,원생!$A$2:$A$501,0))&amp;"","")))</f>
        <v/>
      </c>
      <c r="B643">
        <f>IFERROR(IF(수납!$B643="",YEAR(수납!$A643)*100+MONTH(수납!$A643),IF(ISNUMBER(수납!$B643),YEAR(수납!$B643)*100+MONTH(수납!$B643),VALUE(LEFT(수납!$B643,4))*100+VALUE(MID(수납!$B643,6,2)))),"")</f>
        <v/>
      </c>
      <c r="C643">
        <f>IF(OR(수납!$E643="수강료",수납!$E643=""),N(수납!$F643),0)</f>
        <v/>
      </c>
    </row>
    <row r="644">
      <c r="A644">
        <f>IF(수납!$C644="","",수납!$C644&amp;"|"&amp;IF(수납!$D644&lt;&gt;"",수납!$D644,IF(COUNTIF(원생!$A$2:$A$501,수납!$C644)=1,INDEX(원생!$G$2:$G$501,MATCH(수납!$C644,원생!$A$2:$A$501,0))&amp;"","")))</f>
        <v/>
      </c>
      <c r="B644">
        <f>IFERROR(IF(수납!$B644="",YEAR(수납!$A644)*100+MONTH(수납!$A644),IF(ISNUMBER(수납!$B644),YEAR(수납!$B644)*100+MONTH(수납!$B644),VALUE(LEFT(수납!$B644,4))*100+VALUE(MID(수납!$B644,6,2)))),"")</f>
        <v/>
      </c>
      <c r="C644">
        <f>IF(OR(수납!$E644="수강료",수납!$E644=""),N(수납!$F644),0)</f>
        <v/>
      </c>
    </row>
    <row r="645">
      <c r="A645">
        <f>IF(수납!$C645="","",수납!$C645&amp;"|"&amp;IF(수납!$D645&lt;&gt;"",수납!$D645,IF(COUNTIF(원생!$A$2:$A$501,수납!$C645)=1,INDEX(원생!$G$2:$G$501,MATCH(수납!$C645,원생!$A$2:$A$501,0))&amp;"","")))</f>
        <v/>
      </c>
      <c r="B645">
        <f>IFERROR(IF(수납!$B645="",YEAR(수납!$A645)*100+MONTH(수납!$A645),IF(ISNUMBER(수납!$B645),YEAR(수납!$B645)*100+MONTH(수납!$B645),VALUE(LEFT(수납!$B645,4))*100+VALUE(MID(수납!$B645,6,2)))),"")</f>
        <v/>
      </c>
      <c r="C645">
        <f>IF(OR(수납!$E645="수강료",수납!$E645=""),N(수납!$F645),0)</f>
        <v/>
      </c>
    </row>
    <row r="646">
      <c r="A646">
        <f>IF(수납!$C646="","",수납!$C646&amp;"|"&amp;IF(수납!$D646&lt;&gt;"",수납!$D646,IF(COUNTIF(원생!$A$2:$A$501,수납!$C646)=1,INDEX(원생!$G$2:$G$501,MATCH(수납!$C646,원생!$A$2:$A$501,0))&amp;"","")))</f>
        <v/>
      </c>
      <c r="B646">
        <f>IFERROR(IF(수납!$B646="",YEAR(수납!$A646)*100+MONTH(수납!$A646),IF(ISNUMBER(수납!$B646),YEAR(수납!$B646)*100+MONTH(수납!$B646),VALUE(LEFT(수납!$B646,4))*100+VALUE(MID(수납!$B646,6,2)))),"")</f>
        <v/>
      </c>
      <c r="C646">
        <f>IF(OR(수납!$E646="수강료",수납!$E646=""),N(수납!$F646),0)</f>
        <v/>
      </c>
    </row>
    <row r="647">
      <c r="A647">
        <f>IF(수납!$C647="","",수납!$C647&amp;"|"&amp;IF(수납!$D647&lt;&gt;"",수납!$D647,IF(COUNTIF(원생!$A$2:$A$501,수납!$C647)=1,INDEX(원생!$G$2:$G$501,MATCH(수납!$C647,원생!$A$2:$A$501,0))&amp;"","")))</f>
        <v/>
      </c>
      <c r="B647">
        <f>IFERROR(IF(수납!$B647="",YEAR(수납!$A647)*100+MONTH(수납!$A647),IF(ISNUMBER(수납!$B647),YEAR(수납!$B647)*100+MONTH(수납!$B647),VALUE(LEFT(수납!$B647,4))*100+VALUE(MID(수납!$B647,6,2)))),"")</f>
        <v/>
      </c>
      <c r="C647">
        <f>IF(OR(수납!$E647="수강료",수납!$E647=""),N(수납!$F647),0)</f>
        <v/>
      </c>
    </row>
    <row r="648">
      <c r="A648">
        <f>IF(수납!$C648="","",수납!$C648&amp;"|"&amp;IF(수납!$D648&lt;&gt;"",수납!$D648,IF(COUNTIF(원생!$A$2:$A$501,수납!$C648)=1,INDEX(원생!$G$2:$G$501,MATCH(수납!$C648,원생!$A$2:$A$501,0))&amp;"","")))</f>
        <v/>
      </c>
      <c r="B648">
        <f>IFERROR(IF(수납!$B648="",YEAR(수납!$A648)*100+MONTH(수납!$A648),IF(ISNUMBER(수납!$B648),YEAR(수납!$B648)*100+MONTH(수납!$B648),VALUE(LEFT(수납!$B648,4))*100+VALUE(MID(수납!$B648,6,2)))),"")</f>
        <v/>
      </c>
      <c r="C648">
        <f>IF(OR(수납!$E648="수강료",수납!$E648=""),N(수납!$F648),0)</f>
        <v/>
      </c>
    </row>
    <row r="649">
      <c r="A649">
        <f>IF(수납!$C649="","",수납!$C649&amp;"|"&amp;IF(수납!$D649&lt;&gt;"",수납!$D649,IF(COUNTIF(원생!$A$2:$A$501,수납!$C649)=1,INDEX(원생!$G$2:$G$501,MATCH(수납!$C649,원생!$A$2:$A$501,0))&amp;"","")))</f>
        <v/>
      </c>
      <c r="B649">
        <f>IFERROR(IF(수납!$B649="",YEAR(수납!$A649)*100+MONTH(수납!$A649),IF(ISNUMBER(수납!$B649),YEAR(수납!$B649)*100+MONTH(수납!$B649),VALUE(LEFT(수납!$B649,4))*100+VALUE(MID(수납!$B649,6,2)))),"")</f>
        <v/>
      </c>
      <c r="C649">
        <f>IF(OR(수납!$E649="수강료",수납!$E649=""),N(수납!$F649),0)</f>
        <v/>
      </c>
    </row>
    <row r="650">
      <c r="A650">
        <f>IF(수납!$C650="","",수납!$C650&amp;"|"&amp;IF(수납!$D650&lt;&gt;"",수납!$D650,IF(COUNTIF(원생!$A$2:$A$501,수납!$C650)=1,INDEX(원생!$G$2:$G$501,MATCH(수납!$C650,원생!$A$2:$A$501,0))&amp;"","")))</f>
        <v/>
      </c>
      <c r="B650">
        <f>IFERROR(IF(수납!$B650="",YEAR(수납!$A650)*100+MONTH(수납!$A650),IF(ISNUMBER(수납!$B650),YEAR(수납!$B650)*100+MONTH(수납!$B650),VALUE(LEFT(수납!$B650,4))*100+VALUE(MID(수납!$B650,6,2)))),"")</f>
        <v/>
      </c>
      <c r="C650">
        <f>IF(OR(수납!$E650="수강료",수납!$E650=""),N(수납!$F650),0)</f>
        <v/>
      </c>
    </row>
    <row r="651">
      <c r="A651">
        <f>IF(수납!$C651="","",수납!$C651&amp;"|"&amp;IF(수납!$D651&lt;&gt;"",수납!$D651,IF(COUNTIF(원생!$A$2:$A$501,수납!$C651)=1,INDEX(원생!$G$2:$G$501,MATCH(수납!$C651,원생!$A$2:$A$501,0))&amp;"","")))</f>
        <v/>
      </c>
      <c r="B651">
        <f>IFERROR(IF(수납!$B651="",YEAR(수납!$A651)*100+MONTH(수납!$A651),IF(ISNUMBER(수납!$B651),YEAR(수납!$B651)*100+MONTH(수납!$B651),VALUE(LEFT(수납!$B651,4))*100+VALUE(MID(수납!$B651,6,2)))),"")</f>
        <v/>
      </c>
      <c r="C651">
        <f>IF(OR(수납!$E651="수강료",수납!$E651=""),N(수납!$F651),0)</f>
        <v/>
      </c>
    </row>
    <row r="652">
      <c r="A652">
        <f>IF(수납!$C652="","",수납!$C652&amp;"|"&amp;IF(수납!$D652&lt;&gt;"",수납!$D652,IF(COUNTIF(원생!$A$2:$A$501,수납!$C652)=1,INDEX(원생!$G$2:$G$501,MATCH(수납!$C652,원생!$A$2:$A$501,0))&amp;"","")))</f>
        <v/>
      </c>
      <c r="B652">
        <f>IFERROR(IF(수납!$B652="",YEAR(수납!$A652)*100+MONTH(수납!$A652),IF(ISNUMBER(수납!$B652),YEAR(수납!$B652)*100+MONTH(수납!$B652),VALUE(LEFT(수납!$B652,4))*100+VALUE(MID(수납!$B652,6,2)))),"")</f>
        <v/>
      </c>
      <c r="C652">
        <f>IF(OR(수납!$E652="수강료",수납!$E652=""),N(수납!$F652),0)</f>
        <v/>
      </c>
    </row>
    <row r="653">
      <c r="A653">
        <f>IF(수납!$C653="","",수납!$C653&amp;"|"&amp;IF(수납!$D653&lt;&gt;"",수납!$D653,IF(COUNTIF(원생!$A$2:$A$501,수납!$C653)=1,INDEX(원생!$G$2:$G$501,MATCH(수납!$C653,원생!$A$2:$A$501,0))&amp;"","")))</f>
        <v/>
      </c>
      <c r="B653">
        <f>IFERROR(IF(수납!$B653="",YEAR(수납!$A653)*100+MONTH(수납!$A653),IF(ISNUMBER(수납!$B653),YEAR(수납!$B653)*100+MONTH(수납!$B653),VALUE(LEFT(수납!$B653,4))*100+VALUE(MID(수납!$B653,6,2)))),"")</f>
        <v/>
      </c>
      <c r="C653">
        <f>IF(OR(수납!$E653="수강료",수납!$E653=""),N(수납!$F653),0)</f>
        <v/>
      </c>
    </row>
    <row r="654">
      <c r="A654">
        <f>IF(수납!$C654="","",수납!$C654&amp;"|"&amp;IF(수납!$D654&lt;&gt;"",수납!$D654,IF(COUNTIF(원생!$A$2:$A$501,수납!$C654)=1,INDEX(원생!$G$2:$G$501,MATCH(수납!$C654,원생!$A$2:$A$501,0))&amp;"","")))</f>
        <v/>
      </c>
      <c r="B654">
        <f>IFERROR(IF(수납!$B654="",YEAR(수납!$A654)*100+MONTH(수납!$A654),IF(ISNUMBER(수납!$B654),YEAR(수납!$B654)*100+MONTH(수납!$B654),VALUE(LEFT(수납!$B654,4))*100+VALUE(MID(수납!$B654,6,2)))),"")</f>
        <v/>
      </c>
      <c r="C654">
        <f>IF(OR(수납!$E654="수강료",수납!$E654=""),N(수납!$F654),0)</f>
        <v/>
      </c>
    </row>
    <row r="655">
      <c r="A655">
        <f>IF(수납!$C655="","",수납!$C655&amp;"|"&amp;IF(수납!$D655&lt;&gt;"",수납!$D655,IF(COUNTIF(원생!$A$2:$A$501,수납!$C655)=1,INDEX(원생!$G$2:$G$501,MATCH(수납!$C655,원생!$A$2:$A$501,0))&amp;"","")))</f>
        <v/>
      </c>
      <c r="B655">
        <f>IFERROR(IF(수납!$B655="",YEAR(수납!$A655)*100+MONTH(수납!$A655),IF(ISNUMBER(수납!$B655),YEAR(수납!$B655)*100+MONTH(수납!$B655),VALUE(LEFT(수납!$B655,4))*100+VALUE(MID(수납!$B655,6,2)))),"")</f>
        <v/>
      </c>
      <c r="C655">
        <f>IF(OR(수납!$E655="수강료",수납!$E655=""),N(수납!$F655),0)</f>
        <v/>
      </c>
    </row>
    <row r="656">
      <c r="A656">
        <f>IF(수납!$C656="","",수납!$C656&amp;"|"&amp;IF(수납!$D656&lt;&gt;"",수납!$D656,IF(COUNTIF(원생!$A$2:$A$501,수납!$C656)=1,INDEX(원생!$G$2:$G$501,MATCH(수납!$C656,원생!$A$2:$A$501,0))&amp;"","")))</f>
        <v/>
      </c>
      <c r="B656">
        <f>IFERROR(IF(수납!$B656="",YEAR(수납!$A656)*100+MONTH(수납!$A656),IF(ISNUMBER(수납!$B656),YEAR(수납!$B656)*100+MONTH(수납!$B656),VALUE(LEFT(수납!$B656,4))*100+VALUE(MID(수납!$B656,6,2)))),"")</f>
        <v/>
      </c>
      <c r="C656">
        <f>IF(OR(수납!$E656="수강료",수납!$E656=""),N(수납!$F656),0)</f>
        <v/>
      </c>
    </row>
    <row r="657">
      <c r="A657">
        <f>IF(수납!$C657="","",수납!$C657&amp;"|"&amp;IF(수납!$D657&lt;&gt;"",수납!$D657,IF(COUNTIF(원생!$A$2:$A$501,수납!$C657)=1,INDEX(원생!$G$2:$G$501,MATCH(수납!$C657,원생!$A$2:$A$501,0))&amp;"","")))</f>
        <v/>
      </c>
      <c r="B657">
        <f>IFERROR(IF(수납!$B657="",YEAR(수납!$A657)*100+MONTH(수납!$A657),IF(ISNUMBER(수납!$B657),YEAR(수납!$B657)*100+MONTH(수납!$B657),VALUE(LEFT(수납!$B657,4))*100+VALUE(MID(수납!$B657,6,2)))),"")</f>
        <v/>
      </c>
      <c r="C657">
        <f>IF(OR(수납!$E657="수강료",수납!$E657=""),N(수납!$F657),0)</f>
        <v/>
      </c>
    </row>
    <row r="658">
      <c r="A658">
        <f>IF(수납!$C658="","",수납!$C658&amp;"|"&amp;IF(수납!$D658&lt;&gt;"",수납!$D658,IF(COUNTIF(원생!$A$2:$A$501,수납!$C658)=1,INDEX(원생!$G$2:$G$501,MATCH(수납!$C658,원생!$A$2:$A$501,0))&amp;"","")))</f>
        <v/>
      </c>
      <c r="B658">
        <f>IFERROR(IF(수납!$B658="",YEAR(수납!$A658)*100+MONTH(수납!$A658),IF(ISNUMBER(수납!$B658),YEAR(수납!$B658)*100+MONTH(수납!$B658),VALUE(LEFT(수납!$B658,4))*100+VALUE(MID(수납!$B658,6,2)))),"")</f>
        <v/>
      </c>
      <c r="C658">
        <f>IF(OR(수납!$E658="수강료",수납!$E658=""),N(수납!$F658),0)</f>
        <v/>
      </c>
    </row>
    <row r="659">
      <c r="A659">
        <f>IF(수납!$C659="","",수납!$C659&amp;"|"&amp;IF(수납!$D659&lt;&gt;"",수납!$D659,IF(COUNTIF(원생!$A$2:$A$501,수납!$C659)=1,INDEX(원생!$G$2:$G$501,MATCH(수납!$C659,원생!$A$2:$A$501,0))&amp;"","")))</f>
        <v/>
      </c>
      <c r="B659">
        <f>IFERROR(IF(수납!$B659="",YEAR(수납!$A659)*100+MONTH(수납!$A659),IF(ISNUMBER(수납!$B659),YEAR(수납!$B659)*100+MONTH(수납!$B659),VALUE(LEFT(수납!$B659,4))*100+VALUE(MID(수납!$B659,6,2)))),"")</f>
        <v/>
      </c>
      <c r="C659">
        <f>IF(OR(수납!$E659="수강료",수납!$E659=""),N(수납!$F659),0)</f>
        <v/>
      </c>
    </row>
    <row r="660">
      <c r="A660">
        <f>IF(수납!$C660="","",수납!$C660&amp;"|"&amp;IF(수납!$D660&lt;&gt;"",수납!$D660,IF(COUNTIF(원생!$A$2:$A$501,수납!$C660)=1,INDEX(원생!$G$2:$G$501,MATCH(수납!$C660,원생!$A$2:$A$501,0))&amp;"","")))</f>
        <v/>
      </c>
      <c r="B660">
        <f>IFERROR(IF(수납!$B660="",YEAR(수납!$A660)*100+MONTH(수납!$A660),IF(ISNUMBER(수납!$B660),YEAR(수납!$B660)*100+MONTH(수납!$B660),VALUE(LEFT(수납!$B660,4))*100+VALUE(MID(수납!$B660,6,2)))),"")</f>
        <v/>
      </c>
      <c r="C660">
        <f>IF(OR(수납!$E660="수강료",수납!$E660=""),N(수납!$F660),0)</f>
        <v/>
      </c>
    </row>
    <row r="661">
      <c r="A661">
        <f>IF(수납!$C661="","",수납!$C661&amp;"|"&amp;IF(수납!$D661&lt;&gt;"",수납!$D661,IF(COUNTIF(원생!$A$2:$A$501,수납!$C661)=1,INDEX(원생!$G$2:$G$501,MATCH(수납!$C661,원생!$A$2:$A$501,0))&amp;"","")))</f>
        <v/>
      </c>
      <c r="B661">
        <f>IFERROR(IF(수납!$B661="",YEAR(수납!$A661)*100+MONTH(수납!$A661),IF(ISNUMBER(수납!$B661),YEAR(수납!$B661)*100+MONTH(수납!$B661),VALUE(LEFT(수납!$B661,4))*100+VALUE(MID(수납!$B661,6,2)))),"")</f>
        <v/>
      </c>
      <c r="C661">
        <f>IF(OR(수납!$E661="수강료",수납!$E661=""),N(수납!$F661),0)</f>
        <v/>
      </c>
    </row>
    <row r="662">
      <c r="A662">
        <f>IF(수납!$C662="","",수납!$C662&amp;"|"&amp;IF(수납!$D662&lt;&gt;"",수납!$D662,IF(COUNTIF(원생!$A$2:$A$501,수납!$C662)=1,INDEX(원생!$G$2:$G$501,MATCH(수납!$C662,원생!$A$2:$A$501,0))&amp;"","")))</f>
        <v/>
      </c>
      <c r="B662">
        <f>IFERROR(IF(수납!$B662="",YEAR(수납!$A662)*100+MONTH(수납!$A662),IF(ISNUMBER(수납!$B662),YEAR(수납!$B662)*100+MONTH(수납!$B662),VALUE(LEFT(수납!$B662,4))*100+VALUE(MID(수납!$B662,6,2)))),"")</f>
        <v/>
      </c>
      <c r="C662">
        <f>IF(OR(수납!$E662="수강료",수납!$E662=""),N(수납!$F662),0)</f>
        <v/>
      </c>
    </row>
    <row r="663">
      <c r="A663">
        <f>IF(수납!$C663="","",수납!$C663&amp;"|"&amp;IF(수납!$D663&lt;&gt;"",수납!$D663,IF(COUNTIF(원생!$A$2:$A$501,수납!$C663)=1,INDEX(원생!$G$2:$G$501,MATCH(수납!$C663,원생!$A$2:$A$501,0))&amp;"","")))</f>
        <v/>
      </c>
      <c r="B663">
        <f>IFERROR(IF(수납!$B663="",YEAR(수납!$A663)*100+MONTH(수납!$A663),IF(ISNUMBER(수납!$B663),YEAR(수납!$B663)*100+MONTH(수납!$B663),VALUE(LEFT(수납!$B663,4))*100+VALUE(MID(수납!$B663,6,2)))),"")</f>
        <v/>
      </c>
      <c r="C663">
        <f>IF(OR(수납!$E663="수강료",수납!$E663=""),N(수납!$F663),0)</f>
        <v/>
      </c>
    </row>
    <row r="664">
      <c r="A664">
        <f>IF(수납!$C664="","",수납!$C664&amp;"|"&amp;IF(수납!$D664&lt;&gt;"",수납!$D664,IF(COUNTIF(원생!$A$2:$A$501,수납!$C664)=1,INDEX(원생!$G$2:$G$501,MATCH(수납!$C664,원생!$A$2:$A$501,0))&amp;"","")))</f>
        <v/>
      </c>
      <c r="B664">
        <f>IFERROR(IF(수납!$B664="",YEAR(수납!$A664)*100+MONTH(수납!$A664),IF(ISNUMBER(수납!$B664),YEAR(수납!$B664)*100+MONTH(수납!$B664),VALUE(LEFT(수납!$B664,4))*100+VALUE(MID(수납!$B664,6,2)))),"")</f>
        <v/>
      </c>
      <c r="C664">
        <f>IF(OR(수납!$E664="수강료",수납!$E664=""),N(수납!$F664),0)</f>
        <v/>
      </c>
    </row>
    <row r="665">
      <c r="A665">
        <f>IF(수납!$C665="","",수납!$C665&amp;"|"&amp;IF(수납!$D665&lt;&gt;"",수납!$D665,IF(COUNTIF(원생!$A$2:$A$501,수납!$C665)=1,INDEX(원생!$G$2:$G$501,MATCH(수납!$C665,원생!$A$2:$A$501,0))&amp;"","")))</f>
        <v/>
      </c>
      <c r="B665">
        <f>IFERROR(IF(수납!$B665="",YEAR(수납!$A665)*100+MONTH(수납!$A665),IF(ISNUMBER(수납!$B665),YEAR(수납!$B665)*100+MONTH(수납!$B665),VALUE(LEFT(수납!$B665,4))*100+VALUE(MID(수납!$B665,6,2)))),"")</f>
        <v/>
      </c>
      <c r="C665">
        <f>IF(OR(수납!$E665="수강료",수납!$E665=""),N(수납!$F665),0)</f>
        <v/>
      </c>
    </row>
    <row r="666">
      <c r="A666">
        <f>IF(수납!$C666="","",수납!$C666&amp;"|"&amp;IF(수납!$D666&lt;&gt;"",수납!$D666,IF(COUNTIF(원생!$A$2:$A$501,수납!$C666)=1,INDEX(원생!$G$2:$G$501,MATCH(수납!$C666,원생!$A$2:$A$501,0))&amp;"","")))</f>
        <v/>
      </c>
      <c r="B666">
        <f>IFERROR(IF(수납!$B666="",YEAR(수납!$A666)*100+MONTH(수납!$A666),IF(ISNUMBER(수납!$B666),YEAR(수납!$B666)*100+MONTH(수납!$B666),VALUE(LEFT(수납!$B666,4))*100+VALUE(MID(수납!$B666,6,2)))),"")</f>
        <v/>
      </c>
      <c r="C666">
        <f>IF(OR(수납!$E666="수강료",수납!$E666=""),N(수납!$F666),0)</f>
        <v/>
      </c>
    </row>
    <row r="667">
      <c r="A667">
        <f>IF(수납!$C667="","",수납!$C667&amp;"|"&amp;IF(수납!$D667&lt;&gt;"",수납!$D667,IF(COUNTIF(원생!$A$2:$A$501,수납!$C667)=1,INDEX(원생!$G$2:$G$501,MATCH(수납!$C667,원생!$A$2:$A$501,0))&amp;"","")))</f>
        <v/>
      </c>
      <c r="B667">
        <f>IFERROR(IF(수납!$B667="",YEAR(수납!$A667)*100+MONTH(수납!$A667),IF(ISNUMBER(수납!$B667),YEAR(수납!$B667)*100+MONTH(수납!$B667),VALUE(LEFT(수납!$B667,4))*100+VALUE(MID(수납!$B667,6,2)))),"")</f>
        <v/>
      </c>
      <c r="C667">
        <f>IF(OR(수납!$E667="수강료",수납!$E667=""),N(수납!$F667),0)</f>
        <v/>
      </c>
    </row>
    <row r="668">
      <c r="A668">
        <f>IF(수납!$C668="","",수납!$C668&amp;"|"&amp;IF(수납!$D668&lt;&gt;"",수납!$D668,IF(COUNTIF(원생!$A$2:$A$501,수납!$C668)=1,INDEX(원생!$G$2:$G$501,MATCH(수납!$C668,원생!$A$2:$A$501,0))&amp;"","")))</f>
        <v/>
      </c>
      <c r="B668">
        <f>IFERROR(IF(수납!$B668="",YEAR(수납!$A668)*100+MONTH(수납!$A668),IF(ISNUMBER(수납!$B668),YEAR(수납!$B668)*100+MONTH(수납!$B668),VALUE(LEFT(수납!$B668,4))*100+VALUE(MID(수납!$B668,6,2)))),"")</f>
        <v/>
      </c>
      <c r="C668">
        <f>IF(OR(수납!$E668="수강료",수납!$E668=""),N(수납!$F668),0)</f>
        <v/>
      </c>
    </row>
    <row r="669">
      <c r="A669">
        <f>IF(수납!$C669="","",수납!$C669&amp;"|"&amp;IF(수납!$D669&lt;&gt;"",수납!$D669,IF(COUNTIF(원생!$A$2:$A$501,수납!$C669)=1,INDEX(원생!$G$2:$G$501,MATCH(수납!$C669,원생!$A$2:$A$501,0))&amp;"","")))</f>
        <v/>
      </c>
      <c r="B669">
        <f>IFERROR(IF(수납!$B669="",YEAR(수납!$A669)*100+MONTH(수납!$A669),IF(ISNUMBER(수납!$B669),YEAR(수납!$B669)*100+MONTH(수납!$B669),VALUE(LEFT(수납!$B669,4))*100+VALUE(MID(수납!$B669,6,2)))),"")</f>
        <v/>
      </c>
      <c r="C669">
        <f>IF(OR(수납!$E669="수강료",수납!$E669=""),N(수납!$F669),0)</f>
        <v/>
      </c>
    </row>
    <row r="670">
      <c r="A670">
        <f>IF(수납!$C670="","",수납!$C670&amp;"|"&amp;IF(수납!$D670&lt;&gt;"",수납!$D670,IF(COUNTIF(원생!$A$2:$A$501,수납!$C670)=1,INDEX(원생!$G$2:$G$501,MATCH(수납!$C670,원생!$A$2:$A$501,0))&amp;"","")))</f>
        <v/>
      </c>
      <c r="B670">
        <f>IFERROR(IF(수납!$B670="",YEAR(수납!$A670)*100+MONTH(수납!$A670),IF(ISNUMBER(수납!$B670),YEAR(수납!$B670)*100+MONTH(수납!$B670),VALUE(LEFT(수납!$B670,4))*100+VALUE(MID(수납!$B670,6,2)))),"")</f>
        <v/>
      </c>
      <c r="C670">
        <f>IF(OR(수납!$E670="수강료",수납!$E670=""),N(수납!$F670),0)</f>
        <v/>
      </c>
    </row>
    <row r="671">
      <c r="A671">
        <f>IF(수납!$C671="","",수납!$C671&amp;"|"&amp;IF(수납!$D671&lt;&gt;"",수납!$D671,IF(COUNTIF(원생!$A$2:$A$501,수납!$C671)=1,INDEX(원생!$G$2:$G$501,MATCH(수납!$C671,원생!$A$2:$A$501,0))&amp;"","")))</f>
        <v/>
      </c>
      <c r="B671">
        <f>IFERROR(IF(수납!$B671="",YEAR(수납!$A671)*100+MONTH(수납!$A671),IF(ISNUMBER(수납!$B671),YEAR(수납!$B671)*100+MONTH(수납!$B671),VALUE(LEFT(수납!$B671,4))*100+VALUE(MID(수납!$B671,6,2)))),"")</f>
        <v/>
      </c>
      <c r="C671">
        <f>IF(OR(수납!$E671="수강료",수납!$E671=""),N(수납!$F671),0)</f>
        <v/>
      </c>
    </row>
    <row r="672">
      <c r="A672">
        <f>IF(수납!$C672="","",수납!$C672&amp;"|"&amp;IF(수납!$D672&lt;&gt;"",수납!$D672,IF(COUNTIF(원생!$A$2:$A$501,수납!$C672)=1,INDEX(원생!$G$2:$G$501,MATCH(수납!$C672,원생!$A$2:$A$501,0))&amp;"","")))</f>
        <v/>
      </c>
      <c r="B672">
        <f>IFERROR(IF(수납!$B672="",YEAR(수납!$A672)*100+MONTH(수납!$A672),IF(ISNUMBER(수납!$B672),YEAR(수납!$B672)*100+MONTH(수납!$B672),VALUE(LEFT(수납!$B672,4))*100+VALUE(MID(수납!$B672,6,2)))),"")</f>
        <v/>
      </c>
      <c r="C672">
        <f>IF(OR(수납!$E672="수강료",수납!$E672=""),N(수납!$F672),0)</f>
        <v/>
      </c>
    </row>
    <row r="673">
      <c r="A673">
        <f>IF(수납!$C673="","",수납!$C673&amp;"|"&amp;IF(수납!$D673&lt;&gt;"",수납!$D673,IF(COUNTIF(원생!$A$2:$A$501,수납!$C673)=1,INDEX(원생!$G$2:$G$501,MATCH(수납!$C673,원생!$A$2:$A$501,0))&amp;"","")))</f>
        <v/>
      </c>
      <c r="B673">
        <f>IFERROR(IF(수납!$B673="",YEAR(수납!$A673)*100+MONTH(수납!$A673),IF(ISNUMBER(수납!$B673),YEAR(수납!$B673)*100+MONTH(수납!$B673),VALUE(LEFT(수납!$B673,4))*100+VALUE(MID(수납!$B673,6,2)))),"")</f>
        <v/>
      </c>
      <c r="C673">
        <f>IF(OR(수납!$E673="수강료",수납!$E673=""),N(수납!$F673),0)</f>
        <v/>
      </c>
    </row>
    <row r="674">
      <c r="A674">
        <f>IF(수납!$C674="","",수납!$C674&amp;"|"&amp;IF(수납!$D674&lt;&gt;"",수납!$D674,IF(COUNTIF(원생!$A$2:$A$501,수납!$C674)=1,INDEX(원생!$G$2:$G$501,MATCH(수납!$C674,원생!$A$2:$A$501,0))&amp;"","")))</f>
        <v/>
      </c>
      <c r="B674">
        <f>IFERROR(IF(수납!$B674="",YEAR(수납!$A674)*100+MONTH(수납!$A674),IF(ISNUMBER(수납!$B674),YEAR(수납!$B674)*100+MONTH(수납!$B674),VALUE(LEFT(수납!$B674,4))*100+VALUE(MID(수납!$B674,6,2)))),"")</f>
        <v/>
      </c>
      <c r="C674">
        <f>IF(OR(수납!$E674="수강료",수납!$E674=""),N(수납!$F674),0)</f>
        <v/>
      </c>
    </row>
    <row r="675">
      <c r="A675">
        <f>IF(수납!$C675="","",수납!$C675&amp;"|"&amp;IF(수납!$D675&lt;&gt;"",수납!$D675,IF(COUNTIF(원생!$A$2:$A$501,수납!$C675)=1,INDEX(원생!$G$2:$G$501,MATCH(수납!$C675,원생!$A$2:$A$501,0))&amp;"","")))</f>
        <v/>
      </c>
      <c r="B675">
        <f>IFERROR(IF(수납!$B675="",YEAR(수납!$A675)*100+MONTH(수납!$A675),IF(ISNUMBER(수납!$B675),YEAR(수납!$B675)*100+MONTH(수납!$B675),VALUE(LEFT(수납!$B675,4))*100+VALUE(MID(수납!$B675,6,2)))),"")</f>
        <v/>
      </c>
      <c r="C675">
        <f>IF(OR(수납!$E675="수강료",수납!$E675=""),N(수납!$F675),0)</f>
        <v/>
      </c>
    </row>
    <row r="676">
      <c r="A676">
        <f>IF(수납!$C676="","",수납!$C676&amp;"|"&amp;IF(수납!$D676&lt;&gt;"",수납!$D676,IF(COUNTIF(원생!$A$2:$A$501,수납!$C676)=1,INDEX(원생!$G$2:$G$501,MATCH(수납!$C676,원생!$A$2:$A$501,0))&amp;"","")))</f>
        <v/>
      </c>
      <c r="B676">
        <f>IFERROR(IF(수납!$B676="",YEAR(수납!$A676)*100+MONTH(수납!$A676),IF(ISNUMBER(수납!$B676),YEAR(수납!$B676)*100+MONTH(수납!$B676),VALUE(LEFT(수납!$B676,4))*100+VALUE(MID(수납!$B676,6,2)))),"")</f>
        <v/>
      </c>
      <c r="C676">
        <f>IF(OR(수납!$E676="수강료",수납!$E676=""),N(수납!$F676),0)</f>
        <v/>
      </c>
    </row>
    <row r="677">
      <c r="A677">
        <f>IF(수납!$C677="","",수납!$C677&amp;"|"&amp;IF(수납!$D677&lt;&gt;"",수납!$D677,IF(COUNTIF(원생!$A$2:$A$501,수납!$C677)=1,INDEX(원생!$G$2:$G$501,MATCH(수납!$C677,원생!$A$2:$A$501,0))&amp;"","")))</f>
        <v/>
      </c>
      <c r="B677">
        <f>IFERROR(IF(수납!$B677="",YEAR(수납!$A677)*100+MONTH(수납!$A677),IF(ISNUMBER(수납!$B677),YEAR(수납!$B677)*100+MONTH(수납!$B677),VALUE(LEFT(수납!$B677,4))*100+VALUE(MID(수납!$B677,6,2)))),"")</f>
        <v/>
      </c>
      <c r="C677">
        <f>IF(OR(수납!$E677="수강료",수납!$E677=""),N(수납!$F677),0)</f>
        <v/>
      </c>
    </row>
    <row r="678">
      <c r="A678">
        <f>IF(수납!$C678="","",수납!$C678&amp;"|"&amp;IF(수납!$D678&lt;&gt;"",수납!$D678,IF(COUNTIF(원생!$A$2:$A$501,수납!$C678)=1,INDEX(원생!$G$2:$G$501,MATCH(수납!$C678,원생!$A$2:$A$501,0))&amp;"","")))</f>
        <v/>
      </c>
      <c r="B678">
        <f>IFERROR(IF(수납!$B678="",YEAR(수납!$A678)*100+MONTH(수납!$A678),IF(ISNUMBER(수납!$B678),YEAR(수납!$B678)*100+MONTH(수납!$B678),VALUE(LEFT(수납!$B678,4))*100+VALUE(MID(수납!$B678,6,2)))),"")</f>
        <v/>
      </c>
      <c r="C678">
        <f>IF(OR(수납!$E678="수강료",수납!$E678=""),N(수납!$F678),0)</f>
        <v/>
      </c>
    </row>
    <row r="679">
      <c r="A679">
        <f>IF(수납!$C679="","",수납!$C679&amp;"|"&amp;IF(수납!$D679&lt;&gt;"",수납!$D679,IF(COUNTIF(원생!$A$2:$A$501,수납!$C679)=1,INDEX(원생!$G$2:$G$501,MATCH(수납!$C679,원생!$A$2:$A$501,0))&amp;"","")))</f>
        <v/>
      </c>
      <c r="B679">
        <f>IFERROR(IF(수납!$B679="",YEAR(수납!$A679)*100+MONTH(수납!$A679),IF(ISNUMBER(수납!$B679),YEAR(수납!$B679)*100+MONTH(수납!$B679),VALUE(LEFT(수납!$B679,4))*100+VALUE(MID(수납!$B679,6,2)))),"")</f>
        <v/>
      </c>
      <c r="C679">
        <f>IF(OR(수납!$E679="수강료",수납!$E679=""),N(수납!$F679),0)</f>
        <v/>
      </c>
    </row>
    <row r="680">
      <c r="A680">
        <f>IF(수납!$C680="","",수납!$C680&amp;"|"&amp;IF(수납!$D680&lt;&gt;"",수납!$D680,IF(COUNTIF(원생!$A$2:$A$501,수납!$C680)=1,INDEX(원생!$G$2:$G$501,MATCH(수납!$C680,원생!$A$2:$A$501,0))&amp;"","")))</f>
        <v/>
      </c>
      <c r="B680">
        <f>IFERROR(IF(수납!$B680="",YEAR(수납!$A680)*100+MONTH(수납!$A680),IF(ISNUMBER(수납!$B680),YEAR(수납!$B680)*100+MONTH(수납!$B680),VALUE(LEFT(수납!$B680,4))*100+VALUE(MID(수납!$B680,6,2)))),"")</f>
        <v/>
      </c>
      <c r="C680">
        <f>IF(OR(수납!$E680="수강료",수납!$E680=""),N(수납!$F680),0)</f>
        <v/>
      </c>
    </row>
    <row r="681">
      <c r="A681">
        <f>IF(수납!$C681="","",수납!$C681&amp;"|"&amp;IF(수납!$D681&lt;&gt;"",수납!$D681,IF(COUNTIF(원생!$A$2:$A$501,수납!$C681)=1,INDEX(원생!$G$2:$G$501,MATCH(수납!$C681,원생!$A$2:$A$501,0))&amp;"","")))</f>
        <v/>
      </c>
      <c r="B681">
        <f>IFERROR(IF(수납!$B681="",YEAR(수납!$A681)*100+MONTH(수납!$A681),IF(ISNUMBER(수납!$B681),YEAR(수납!$B681)*100+MONTH(수납!$B681),VALUE(LEFT(수납!$B681,4))*100+VALUE(MID(수납!$B681,6,2)))),"")</f>
        <v/>
      </c>
      <c r="C681">
        <f>IF(OR(수납!$E681="수강료",수납!$E681=""),N(수납!$F681),0)</f>
        <v/>
      </c>
    </row>
    <row r="682">
      <c r="A682">
        <f>IF(수납!$C682="","",수납!$C682&amp;"|"&amp;IF(수납!$D682&lt;&gt;"",수납!$D682,IF(COUNTIF(원생!$A$2:$A$501,수납!$C682)=1,INDEX(원생!$G$2:$G$501,MATCH(수납!$C682,원생!$A$2:$A$501,0))&amp;"","")))</f>
        <v/>
      </c>
      <c r="B682">
        <f>IFERROR(IF(수납!$B682="",YEAR(수납!$A682)*100+MONTH(수납!$A682),IF(ISNUMBER(수납!$B682),YEAR(수납!$B682)*100+MONTH(수납!$B682),VALUE(LEFT(수납!$B682,4))*100+VALUE(MID(수납!$B682,6,2)))),"")</f>
        <v/>
      </c>
      <c r="C682">
        <f>IF(OR(수납!$E682="수강료",수납!$E682=""),N(수납!$F682),0)</f>
        <v/>
      </c>
    </row>
    <row r="683">
      <c r="A683">
        <f>IF(수납!$C683="","",수납!$C683&amp;"|"&amp;IF(수납!$D683&lt;&gt;"",수납!$D683,IF(COUNTIF(원생!$A$2:$A$501,수납!$C683)=1,INDEX(원생!$G$2:$G$501,MATCH(수납!$C683,원생!$A$2:$A$501,0))&amp;"","")))</f>
        <v/>
      </c>
      <c r="B683">
        <f>IFERROR(IF(수납!$B683="",YEAR(수납!$A683)*100+MONTH(수납!$A683),IF(ISNUMBER(수납!$B683),YEAR(수납!$B683)*100+MONTH(수납!$B683),VALUE(LEFT(수납!$B683,4))*100+VALUE(MID(수납!$B683,6,2)))),"")</f>
        <v/>
      </c>
      <c r="C683">
        <f>IF(OR(수납!$E683="수강료",수납!$E683=""),N(수납!$F683),0)</f>
        <v/>
      </c>
    </row>
    <row r="684">
      <c r="A684">
        <f>IF(수납!$C684="","",수납!$C684&amp;"|"&amp;IF(수납!$D684&lt;&gt;"",수납!$D684,IF(COUNTIF(원생!$A$2:$A$501,수납!$C684)=1,INDEX(원생!$G$2:$G$501,MATCH(수납!$C684,원생!$A$2:$A$501,0))&amp;"","")))</f>
        <v/>
      </c>
      <c r="B684">
        <f>IFERROR(IF(수납!$B684="",YEAR(수납!$A684)*100+MONTH(수납!$A684),IF(ISNUMBER(수납!$B684),YEAR(수납!$B684)*100+MONTH(수납!$B684),VALUE(LEFT(수납!$B684,4))*100+VALUE(MID(수납!$B684,6,2)))),"")</f>
        <v/>
      </c>
      <c r="C684">
        <f>IF(OR(수납!$E684="수강료",수납!$E684=""),N(수납!$F684),0)</f>
        <v/>
      </c>
    </row>
    <row r="685">
      <c r="A685">
        <f>IF(수납!$C685="","",수납!$C685&amp;"|"&amp;IF(수납!$D685&lt;&gt;"",수납!$D685,IF(COUNTIF(원생!$A$2:$A$501,수납!$C685)=1,INDEX(원생!$G$2:$G$501,MATCH(수납!$C685,원생!$A$2:$A$501,0))&amp;"","")))</f>
        <v/>
      </c>
      <c r="B685">
        <f>IFERROR(IF(수납!$B685="",YEAR(수납!$A685)*100+MONTH(수납!$A685),IF(ISNUMBER(수납!$B685),YEAR(수납!$B685)*100+MONTH(수납!$B685),VALUE(LEFT(수납!$B685,4))*100+VALUE(MID(수납!$B685,6,2)))),"")</f>
        <v/>
      </c>
      <c r="C685">
        <f>IF(OR(수납!$E685="수강료",수납!$E685=""),N(수납!$F685),0)</f>
        <v/>
      </c>
    </row>
    <row r="686">
      <c r="A686">
        <f>IF(수납!$C686="","",수납!$C686&amp;"|"&amp;IF(수납!$D686&lt;&gt;"",수납!$D686,IF(COUNTIF(원생!$A$2:$A$501,수납!$C686)=1,INDEX(원생!$G$2:$G$501,MATCH(수납!$C686,원생!$A$2:$A$501,0))&amp;"","")))</f>
        <v/>
      </c>
      <c r="B686">
        <f>IFERROR(IF(수납!$B686="",YEAR(수납!$A686)*100+MONTH(수납!$A686),IF(ISNUMBER(수납!$B686),YEAR(수납!$B686)*100+MONTH(수납!$B686),VALUE(LEFT(수납!$B686,4))*100+VALUE(MID(수납!$B686,6,2)))),"")</f>
        <v/>
      </c>
      <c r="C686">
        <f>IF(OR(수납!$E686="수강료",수납!$E686=""),N(수납!$F686),0)</f>
        <v/>
      </c>
    </row>
    <row r="687">
      <c r="A687">
        <f>IF(수납!$C687="","",수납!$C687&amp;"|"&amp;IF(수납!$D687&lt;&gt;"",수납!$D687,IF(COUNTIF(원생!$A$2:$A$501,수납!$C687)=1,INDEX(원생!$G$2:$G$501,MATCH(수납!$C687,원생!$A$2:$A$501,0))&amp;"","")))</f>
        <v/>
      </c>
      <c r="B687">
        <f>IFERROR(IF(수납!$B687="",YEAR(수납!$A687)*100+MONTH(수납!$A687),IF(ISNUMBER(수납!$B687),YEAR(수납!$B687)*100+MONTH(수납!$B687),VALUE(LEFT(수납!$B687,4))*100+VALUE(MID(수납!$B687,6,2)))),"")</f>
        <v/>
      </c>
      <c r="C687">
        <f>IF(OR(수납!$E687="수강료",수납!$E687=""),N(수납!$F687),0)</f>
        <v/>
      </c>
    </row>
    <row r="688">
      <c r="A688">
        <f>IF(수납!$C688="","",수납!$C688&amp;"|"&amp;IF(수납!$D688&lt;&gt;"",수납!$D688,IF(COUNTIF(원생!$A$2:$A$501,수납!$C688)=1,INDEX(원생!$G$2:$G$501,MATCH(수납!$C688,원생!$A$2:$A$501,0))&amp;"","")))</f>
        <v/>
      </c>
      <c r="B688">
        <f>IFERROR(IF(수납!$B688="",YEAR(수납!$A688)*100+MONTH(수납!$A688),IF(ISNUMBER(수납!$B688),YEAR(수납!$B688)*100+MONTH(수납!$B688),VALUE(LEFT(수납!$B688,4))*100+VALUE(MID(수납!$B688,6,2)))),"")</f>
        <v/>
      </c>
      <c r="C688">
        <f>IF(OR(수납!$E688="수강료",수납!$E688=""),N(수납!$F688),0)</f>
        <v/>
      </c>
    </row>
    <row r="689">
      <c r="A689">
        <f>IF(수납!$C689="","",수납!$C689&amp;"|"&amp;IF(수납!$D689&lt;&gt;"",수납!$D689,IF(COUNTIF(원생!$A$2:$A$501,수납!$C689)=1,INDEX(원생!$G$2:$G$501,MATCH(수납!$C689,원생!$A$2:$A$501,0))&amp;"","")))</f>
        <v/>
      </c>
      <c r="B689">
        <f>IFERROR(IF(수납!$B689="",YEAR(수납!$A689)*100+MONTH(수납!$A689),IF(ISNUMBER(수납!$B689),YEAR(수납!$B689)*100+MONTH(수납!$B689),VALUE(LEFT(수납!$B689,4))*100+VALUE(MID(수납!$B689,6,2)))),"")</f>
        <v/>
      </c>
      <c r="C689">
        <f>IF(OR(수납!$E689="수강료",수납!$E689=""),N(수납!$F689),0)</f>
        <v/>
      </c>
    </row>
    <row r="690">
      <c r="A690">
        <f>IF(수납!$C690="","",수납!$C690&amp;"|"&amp;IF(수납!$D690&lt;&gt;"",수납!$D690,IF(COUNTIF(원생!$A$2:$A$501,수납!$C690)=1,INDEX(원생!$G$2:$G$501,MATCH(수납!$C690,원생!$A$2:$A$501,0))&amp;"","")))</f>
        <v/>
      </c>
      <c r="B690">
        <f>IFERROR(IF(수납!$B690="",YEAR(수납!$A690)*100+MONTH(수납!$A690),IF(ISNUMBER(수납!$B690),YEAR(수납!$B690)*100+MONTH(수납!$B690),VALUE(LEFT(수납!$B690,4))*100+VALUE(MID(수납!$B690,6,2)))),"")</f>
        <v/>
      </c>
      <c r="C690">
        <f>IF(OR(수납!$E690="수강료",수납!$E690=""),N(수납!$F690),0)</f>
        <v/>
      </c>
    </row>
    <row r="691">
      <c r="A691">
        <f>IF(수납!$C691="","",수납!$C691&amp;"|"&amp;IF(수납!$D691&lt;&gt;"",수납!$D691,IF(COUNTIF(원생!$A$2:$A$501,수납!$C691)=1,INDEX(원생!$G$2:$G$501,MATCH(수납!$C691,원생!$A$2:$A$501,0))&amp;"","")))</f>
        <v/>
      </c>
      <c r="B691">
        <f>IFERROR(IF(수납!$B691="",YEAR(수납!$A691)*100+MONTH(수납!$A691),IF(ISNUMBER(수납!$B691),YEAR(수납!$B691)*100+MONTH(수납!$B691),VALUE(LEFT(수납!$B691,4))*100+VALUE(MID(수납!$B691,6,2)))),"")</f>
        <v/>
      </c>
      <c r="C691">
        <f>IF(OR(수납!$E691="수강료",수납!$E691=""),N(수납!$F691),0)</f>
        <v/>
      </c>
    </row>
    <row r="692">
      <c r="A692">
        <f>IF(수납!$C692="","",수납!$C692&amp;"|"&amp;IF(수납!$D692&lt;&gt;"",수납!$D692,IF(COUNTIF(원생!$A$2:$A$501,수납!$C692)=1,INDEX(원생!$G$2:$G$501,MATCH(수납!$C692,원생!$A$2:$A$501,0))&amp;"","")))</f>
        <v/>
      </c>
      <c r="B692">
        <f>IFERROR(IF(수납!$B692="",YEAR(수납!$A692)*100+MONTH(수납!$A692),IF(ISNUMBER(수납!$B692),YEAR(수납!$B692)*100+MONTH(수납!$B692),VALUE(LEFT(수납!$B692,4))*100+VALUE(MID(수납!$B692,6,2)))),"")</f>
        <v/>
      </c>
      <c r="C692">
        <f>IF(OR(수납!$E692="수강료",수납!$E692=""),N(수납!$F692),0)</f>
        <v/>
      </c>
    </row>
    <row r="693">
      <c r="A693">
        <f>IF(수납!$C693="","",수납!$C693&amp;"|"&amp;IF(수납!$D693&lt;&gt;"",수납!$D693,IF(COUNTIF(원생!$A$2:$A$501,수납!$C693)=1,INDEX(원생!$G$2:$G$501,MATCH(수납!$C693,원생!$A$2:$A$501,0))&amp;"","")))</f>
        <v/>
      </c>
      <c r="B693">
        <f>IFERROR(IF(수납!$B693="",YEAR(수납!$A693)*100+MONTH(수납!$A693),IF(ISNUMBER(수납!$B693),YEAR(수납!$B693)*100+MONTH(수납!$B693),VALUE(LEFT(수납!$B693,4))*100+VALUE(MID(수납!$B693,6,2)))),"")</f>
        <v/>
      </c>
      <c r="C693">
        <f>IF(OR(수납!$E693="수강료",수납!$E693=""),N(수납!$F693),0)</f>
        <v/>
      </c>
    </row>
    <row r="694">
      <c r="A694">
        <f>IF(수납!$C694="","",수납!$C694&amp;"|"&amp;IF(수납!$D694&lt;&gt;"",수납!$D694,IF(COUNTIF(원생!$A$2:$A$501,수납!$C694)=1,INDEX(원생!$G$2:$G$501,MATCH(수납!$C694,원생!$A$2:$A$501,0))&amp;"","")))</f>
        <v/>
      </c>
      <c r="B694">
        <f>IFERROR(IF(수납!$B694="",YEAR(수납!$A694)*100+MONTH(수납!$A694),IF(ISNUMBER(수납!$B694),YEAR(수납!$B694)*100+MONTH(수납!$B694),VALUE(LEFT(수납!$B694,4))*100+VALUE(MID(수납!$B694,6,2)))),"")</f>
        <v/>
      </c>
      <c r="C694">
        <f>IF(OR(수납!$E694="수강료",수납!$E694=""),N(수납!$F694),0)</f>
        <v/>
      </c>
    </row>
    <row r="695">
      <c r="A695">
        <f>IF(수납!$C695="","",수납!$C695&amp;"|"&amp;IF(수납!$D695&lt;&gt;"",수납!$D695,IF(COUNTIF(원생!$A$2:$A$501,수납!$C695)=1,INDEX(원생!$G$2:$G$501,MATCH(수납!$C695,원생!$A$2:$A$501,0))&amp;"","")))</f>
        <v/>
      </c>
      <c r="B695">
        <f>IFERROR(IF(수납!$B695="",YEAR(수납!$A695)*100+MONTH(수납!$A695),IF(ISNUMBER(수납!$B695),YEAR(수납!$B695)*100+MONTH(수납!$B695),VALUE(LEFT(수납!$B695,4))*100+VALUE(MID(수납!$B695,6,2)))),"")</f>
        <v/>
      </c>
      <c r="C695">
        <f>IF(OR(수납!$E695="수강료",수납!$E695=""),N(수납!$F695),0)</f>
        <v/>
      </c>
    </row>
    <row r="696">
      <c r="A696">
        <f>IF(수납!$C696="","",수납!$C696&amp;"|"&amp;IF(수납!$D696&lt;&gt;"",수납!$D696,IF(COUNTIF(원생!$A$2:$A$501,수납!$C696)=1,INDEX(원생!$G$2:$G$501,MATCH(수납!$C696,원생!$A$2:$A$501,0))&amp;"","")))</f>
        <v/>
      </c>
      <c r="B696">
        <f>IFERROR(IF(수납!$B696="",YEAR(수납!$A696)*100+MONTH(수납!$A696),IF(ISNUMBER(수납!$B696),YEAR(수납!$B696)*100+MONTH(수납!$B696),VALUE(LEFT(수납!$B696,4))*100+VALUE(MID(수납!$B696,6,2)))),"")</f>
        <v/>
      </c>
      <c r="C696">
        <f>IF(OR(수납!$E696="수강료",수납!$E696=""),N(수납!$F696),0)</f>
        <v/>
      </c>
    </row>
    <row r="697">
      <c r="A697">
        <f>IF(수납!$C697="","",수납!$C697&amp;"|"&amp;IF(수납!$D697&lt;&gt;"",수납!$D697,IF(COUNTIF(원생!$A$2:$A$501,수납!$C697)=1,INDEX(원생!$G$2:$G$501,MATCH(수납!$C697,원생!$A$2:$A$501,0))&amp;"","")))</f>
        <v/>
      </c>
      <c r="B697">
        <f>IFERROR(IF(수납!$B697="",YEAR(수납!$A697)*100+MONTH(수납!$A697),IF(ISNUMBER(수납!$B697),YEAR(수납!$B697)*100+MONTH(수납!$B697),VALUE(LEFT(수납!$B697,4))*100+VALUE(MID(수납!$B697,6,2)))),"")</f>
        <v/>
      </c>
      <c r="C697">
        <f>IF(OR(수납!$E697="수강료",수납!$E697=""),N(수납!$F697),0)</f>
        <v/>
      </c>
    </row>
    <row r="698">
      <c r="A698">
        <f>IF(수납!$C698="","",수납!$C698&amp;"|"&amp;IF(수납!$D698&lt;&gt;"",수납!$D698,IF(COUNTIF(원생!$A$2:$A$501,수납!$C698)=1,INDEX(원생!$G$2:$G$501,MATCH(수납!$C698,원생!$A$2:$A$501,0))&amp;"","")))</f>
        <v/>
      </c>
      <c r="B698">
        <f>IFERROR(IF(수납!$B698="",YEAR(수납!$A698)*100+MONTH(수납!$A698),IF(ISNUMBER(수납!$B698),YEAR(수납!$B698)*100+MONTH(수납!$B698),VALUE(LEFT(수납!$B698,4))*100+VALUE(MID(수납!$B698,6,2)))),"")</f>
        <v/>
      </c>
      <c r="C698">
        <f>IF(OR(수납!$E698="수강료",수납!$E698=""),N(수납!$F698),0)</f>
        <v/>
      </c>
    </row>
    <row r="699">
      <c r="A699">
        <f>IF(수납!$C699="","",수납!$C699&amp;"|"&amp;IF(수납!$D699&lt;&gt;"",수납!$D699,IF(COUNTIF(원생!$A$2:$A$501,수납!$C699)=1,INDEX(원생!$G$2:$G$501,MATCH(수납!$C699,원생!$A$2:$A$501,0))&amp;"","")))</f>
        <v/>
      </c>
      <c r="B699">
        <f>IFERROR(IF(수납!$B699="",YEAR(수납!$A699)*100+MONTH(수납!$A699),IF(ISNUMBER(수납!$B699),YEAR(수납!$B699)*100+MONTH(수납!$B699),VALUE(LEFT(수납!$B699,4))*100+VALUE(MID(수납!$B699,6,2)))),"")</f>
        <v/>
      </c>
      <c r="C699">
        <f>IF(OR(수납!$E699="수강료",수납!$E699=""),N(수납!$F699),0)</f>
        <v/>
      </c>
    </row>
    <row r="700">
      <c r="A700">
        <f>IF(수납!$C700="","",수납!$C700&amp;"|"&amp;IF(수납!$D700&lt;&gt;"",수납!$D700,IF(COUNTIF(원생!$A$2:$A$501,수납!$C700)=1,INDEX(원생!$G$2:$G$501,MATCH(수납!$C700,원생!$A$2:$A$501,0))&amp;"","")))</f>
        <v/>
      </c>
      <c r="B700">
        <f>IFERROR(IF(수납!$B700="",YEAR(수납!$A700)*100+MONTH(수납!$A700),IF(ISNUMBER(수납!$B700),YEAR(수납!$B700)*100+MONTH(수납!$B700),VALUE(LEFT(수납!$B700,4))*100+VALUE(MID(수납!$B700,6,2)))),"")</f>
        <v/>
      </c>
      <c r="C700">
        <f>IF(OR(수납!$E700="수강료",수납!$E700=""),N(수납!$F700),0)</f>
        <v/>
      </c>
    </row>
    <row r="701">
      <c r="A701">
        <f>IF(수납!$C701="","",수납!$C701&amp;"|"&amp;IF(수납!$D701&lt;&gt;"",수납!$D701,IF(COUNTIF(원생!$A$2:$A$501,수납!$C701)=1,INDEX(원생!$G$2:$G$501,MATCH(수납!$C701,원생!$A$2:$A$501,0))&amp;"","")))</f>
        <v/>
      </c>
      <c r="B701">
        <f>IFERROR(IF(수납!$B701="",YEAR(수납!$A701)*100+MONTH(수납!$A701),IF(ISNUMBER(수납!$B701),YEAR(수납!$B701)*100+MONTH(수납!$B701),VALUE(LEFT(수납!$B701,4))*100+VALUE(MID(수납!$B701,6,2)))),"")</f>
        <v/>
      </c>
      <c r="C701">
        <f>IF(OR(수납!$E701="수강료",수납!$E701=""),N(수납!$F701),0)</f>
        <v/>
      </c>
    </row>
    <row r="702">
      <c r="A702">
        <f>IF(수납!$C702="","",수납!$C702&amp;"|"&amp;IF(수납!$D702&lt;&gt;"",수납!$D702,IF(COUNTIF(원생!$A$2:$A$501,수납!$C702)=1,INDEX(원생!$G$2:$G$501,MATCH(수납!$C702,원생!$A$2:$A$501,0))&amp;"","")))</f>
        <v/>
      </c>
      <c r="B702">
        <f>IFERROR(IF(수납!$B702="",YEAR(수납!$A702)*100+MONTH(수납!$A702),IF(ISNUMBER(수납!$B702),YEAR(수납!$B702)*100+MONTH(수납!$B702),VALUE(LEFT(수납!$B702,4))*100+VALUE(MID(수납!$B702,6,2)))),"")</f>
        <v/>
      </c>
      <c r="C702">
        <f>IF(OR(수납!$E702="수강료",수납!$E702=""),N(수납!$F702),0)</f>
        <v/>
      </c>
    </row>
    <row r="703">
      <c r="A703">
        <f>IF(수납!$C703="","",수납!$C703&amp;"|"&amp;IF(수납!$D703&lt;&gt;"",수납!$D703,IF(COUNTIF(원생!$A$2:$A$501,수납!$C703)=1,INDEX(원생!$G$2:$G$501,MATCH(수납!$C703,원생!$A$2:$A$501,0))&amp;"","")))</f>
        <v/>
      </c>
      <c r="B703">
        <f>IFERROR(IF(수납!$B703="",YEAR(수납!$A703)*100+MONTH(수납!$A703),IF(ISNUMBER(수납!$B703),YEAR(수납!$B703)*100+MONTH(수납!$B703),VALUE(LEFT(수납!$B703,4))*100+VALUE(MID(수납!$B703,6,2)))),"")</f>
        <v/>
      </c>
      <c r="C703">
        <f>IF(OR(수납!$E703="수강료",수납!$E703=""),N(수납!$F703),0)</f>
        <v/>
      </c>
    </row>
    <row r="704">
      <c r="A704">
        <f>IF(수납!$C704="","",수납!$C704&amp;"|"&amp;IF(수납!$D704&lt;&gt;"",수납!$D704,IF(COUNTIF(원생!$A$2:$A$501,수납!$C704)=1,INDEX(원생!$G$2:$G$501,MATCH(수납!$C704,원생!$A$2:$A$501,0))&amp;"","")))</f>
        <v/>
      </c>
      <c r="B704">
        <f>IFERROR(IF(수납!$B704="",YEAR(수납!$A704)*100+MONTH(수납!$A704),IF(ISNUMBER(수납!$B704),YEAR(수납!$B704)*100+MONTH(수납!$B704),VALUE(LEFT(수납!$B704,4))*100+VALUE(MID(수납!$B704,6,2)))),"")</f>
        <v/>
      </c>
      <c r="C704">
        <f>IF(OR(수납!$E704="수강료",수납!$E704=""),N(수납!$F704),0)</f>
        <v/>
      </c>
    </row>
    <row r="705">
      <c r="A705">
        <f>IF(수납!$C705="","",수납!$C705&amp;"|"&amp;IF(수납!$D705&lt;&gt;"",수납!$D705,IF(COUNTIF(원생!$A$2:$A$501,수납!$C705)=1,INDEX(원생!$G$2:$G$501,MATCH(수납!$C705,원생!$A$2:$A$501,0))&amp;"","")))</f>
        <v/>
      </c>
      <c r="B705">
        <f>IFERROR(IF(수납!$B705="",YEAR(수납!$A705)*100+MONTH(수납!$A705),IF(ISNUMBER(수납!$B705),YEAR(수납!$B705)*100+MONTH(수납!$B705),VALUE(LEFT(수납!$B705,4))*100+VALUE(MID(수납!$B705,6,2)))),"")</f>
        <v/>
      </c>
      <c r="C705">
        <f>IF(OR(수납!$E705="수강료",수납!$E705=""),N(수납!$F705),0)</f>
        <v/>
      </c>
    </row>
    <row r="706">
      <c r="A706">
        <f>IF(수납!$C706="","",수납!$C706&amp;"|"&amp;IF(수납!$D706&lt;&gt;"",수납!$D706,IF(COUNTIF(원생!$A$2:$A$501,수납!$C706)=1,INDEX(원생!$G$2:$G$501,MATCH(수납!$C706,원생!$A$2:$A$501,0))&amp;"","")))</f>
        <v/>
      </c>
      <c r="B706">
        <f>IFERROR(IF(수납!$B706="",YEAR(수납!$A706)*100+MONTH(수납!$A706),IF(ISNUMBER(수납!$B706),YEAR(수납!$B706)*100+MONTH(수납!$B706),VALUE(LEFT(수납!$B706,4))*100+VALUE(MID(수납!$B706,6,2)))),"")</f>
        <v/>
      </c>
      <c r="C706">
        <f>IF(OR(수납!$E706="수강료",수납!$E706=""),N(수납!$F706),0)</f>
        <v/>
      </c>
    </row>
    <row r="707">
      <c r="A707">
        <f>IF(수납!$C707="","",수납!$C707&amp;"|"&amp;IF(수납!$D707&lt;&gt;"",수납!$D707,IF(COUNTIF(원생!$A$2:$A$501,수납!$C707)=1,INDEX(원생!$G$2:$G$501,MATCH(수납!$C707,원생!$A$2:$A$501,0))&amp;"","")))</f>
        <v/>
      </c>
      <c r="B707">
        <f>IFERROR(IF(수납!$B707="",YEAR(수납!$A707)*100+MONTH(수납!$A707),IF(ISNUMBER(수납!$B707),YEAR(수납!$B707)*100+MONTH(수납!$B707),VALUE(LEFT(수납!$B707,4))*100+VALUE(MID(수납!$B707,6,2)))),"")</f>
        <v/>
      </c>
      <c r="C707">
        <f>IF(OR(수납!$E707="수강료",수납!$E707=""),N(수납!$F707),0)</f>
        <v/>
      </c>
    </row>
    <row r="708">
      <c r="A708">
        <f>IF(수납!$C708="","",수납!$C708&amp;"|"&amp;IF(수납!$D708&lt;&gt;"",수납!$D708,IF(COUNTIF(원생!$A$2:$A$501,수납!$C708)=1,INDEX(원생!$G$2:$G$501,MATCH(수납!$C708,원생!$A$2:$A$501,0))&amp;"","")))</f>
        <v/>
      </c>
      <c r="B708">
        <f>IFERROR(IF(수납!$B708="",YEAR(수납!$A708)*100+MONTH(수납!$A708),IF(ISNUMBER(수납!$B708),YEAR(수납!$B708)*100+MONTH(수납!$B708),VALUE(LEFT(수납!$B708,4))*100+VALUE(MID(수납!$B708,6,2)))),"")</f>
        <v/>
      </c>
      <c r="C708">
        <f>IF(OR(수납!$E708="수강료",수납!$E708=""),N(수납!$F708),0)</f>
        <v/>
      </c>
    </row>
    <row r="709">
      <c r="A709">
        <f>IF(수납!$C709="","",수납!$C709&amp;"|"&amp;IF(수납!$D709&lt;&gt;"",수납!$D709,IF(COUNTIF(원생!$A$2:$A$501,수납!$C709)=1,INDEX(원생!$G$2:$G$501,MATCH(수납!$C709,원생!$A$2:$A$501,0))&amp;"","")))</f>
        <v/>
      </c>
      <c r="B709">
        <f>IFERROR(IF(수납!$B709="",YEAR(수납!$A709)*100+MONTH(수납!$A709),IF(ISNUMBER(수납!$B709),YEAR(수납!$B709)*100+MONTH(수납!$B709),VALUE(LEFT(수납!$B709,4))*100+VALUE(MID(수납!$B709,6,2)))),"")</f>
        <v/>
      </c>
      <c r="C709">
        <f>IF(OR(수납!$E709="수강료",수납!$E709=""),N(수납!$F709),0)</f>
        <v/>
      </c>
    </row>
    <row r="710">
      <c r="A710">
        <f>IF(수납!$C710="","",수납!$C710&amp;"|"&amp;IF(수납!$D710&lt;&gt;"",수납!$D710,IF(COUNTIF(원생!$A$2:$A$501,수납!$C710)=1,INDEX(원생!$G$2:$G$501,MATCH(수납!$C710,원생!$A$2:$A$501,0))&amp;"","")))</f>
        <v/>
      </c>
      <c r="B710">
        <f>IFERROR(IF(수납!$B710="",YEAR(수납!$A710)*100+MONTH(수납!$A710),IF(ISNUMBER(수납!$B710),YEAR(수납!$B710)*100+MONTH(수납!$B710),VALUE(LEFT(수납!$B710,4))*100+VALUE(MID(수납!$B710,6,2)))),"")</f>
        <v/>
      </c>
      <c r="C710">
        <f>IF(OR(수납!$E710="수강료",수납!$E710=""),N(수납!$F710),0)</f>
        <v/>
      </c>
    </row>
    <row r="711">
      <c r="A711">
        <f>IF(수납!$C711="","",수납!$C711&amp;"|"&amp;IF(수납!$D711&lt;&gt;"",수납!$D711,IF(COUNTIF(원생!$A$2:$A$501,수납!$C711)=1,INDEX(원생!$G$2:$G$501,MATCH(수납!$C711,원생!$A$2:$A$501,0))&amp;"","")))</f>
        <v/>
      </c>
      <c r="B711">
        <f>IFERROR(IF(수납!$B711="",YEAR(수납!$A711)*100+MONTH(수납!$A711),IF(ISNUMBER(수납!$B711),YEAR(수납!$B711)*100+MONTH(수납!$B711),VALUE(LEFT(수납!$B711,4))*100+VALUE(MID(수납!$B711,6,2)))),"")</f>
        <v/>
      </c>
      <c r="C711">
        <f>IF(OR(수납!$E711="수강료",수납!$E711=""),N(수납!$F711),0)</f>
        <v/>
      </c>
    </row>
    <row r="712">
      <c r="A712">
        <f>IF(수납!$C712="","",수납!$C712&amp;"|"&amp;IF(수납!$D712&lt;&gt;"",수납!$D712,IF(COUNTIF(원생!$A$2:$A$501,수납!$C712)=1,INDEX(원생!$G$2:$G$501,MATCH(수납!$C712,원생!$A$2:$A$501,0))&amp;"","")))</f>
        <v/>
      </c>
      <c r="B712">
        <f>IFERROR(IF(수납!$B712="",YEAR(수납!$A712)*100+MONTH(수납!$A712),IF(ISNUMBER(수납!$B712),YEAR(수납!$B712)*100+MONTH(수납!$B712),VALUE(LEFT(수납!$B712,4))*100+VALUE(MID(수납!$B712,6,2)))),"")</f>
        <v/>
      </c>
      <c r="C712">
        <f>IF(OR(수납!$E712="수강료",수납!$E712=""),N(수납!$F712),0)</f>
        <v/>
      </c>
    </row>
    <row r="713">
      <c r="A713">
        <f>IF(수납!$C713="","",수납!$C713&amp;"|"&amp;IF(수납!$D713&lt;&gt;"",수납!$D713,IF(COUNTIF(원생!$A$2:$A$501,수납!$C713)=1,INDEX(원생!$G$2:$G$501,MATCH(수납!$C713,원생!$A$2:$A$501,0))&amp;"","")))</f>
        <v/>
      </c>
      <c r="B713">
        <f>IFERROR(IF(수납!$B713="",YEAR(수납!$A713)*100+MONTH(수납!$A713),IF(ISNUMBER(수납!$B713),YEAR(수납!$B713)*100+MONTH(수납!$B713),VALUE(LEFT(수납!$B713,4))*100+VALUE(MID(수납!$B713,6,2)))),"")</f>
        <v/>
      </c>
      <c r="C713">
        <f>IF(OR(수납!$E713="수강료",수납!$E713=""),N(수납!$F713),0)</f>
        <v/>
      </c>
    </row>
    <row r="714">
      <c r="A714">
        <f>IF(수납!$C714="","",수납!$C714&amp;"|"&amp;IF(수납!$D714&lt;&gt;"",수납!$D714,IF(COUNTIF(원생!$A$2:$A$501,수납!$C714)=1,INDEX(원생!$G$2:$G$501,MATCH(수납!$C714,원생!$A$2:$A$501,0))&amp;"","")))</f>
        <v/>
      </c>
      <c r="B714">
        <f>IFERROR(IF(수납!$B714="",YEAR(수납!$A714)*100+MONTH(수납!$A714),IF(ISNUMBER(수납!$B714),YEAR(수납!$B714)*100+MONTH(수납!$B714),VALUE(LEFT(수납!$B714,4))*100+VALUE(MID(수납!$B714,6,2)))),"")</f>
        <v/>
      </c>
      <c r="C714">
        <f>IF(OR(수납!$E714="수강료",수납!$E714=""),N(수납!$F714),0)</f>
        <v/>
      </c>
    </row>
    <row r="715">
      <c r="A715">
        <f>IF(수납!$C715="","",수납!$C715&amp;"|"&amp;IF(수납!$D715&lt;&gt;"",수납!$D715,IF(COUNTIF(원생!$A$2:$A$501,수납!$C715)=1,INDEX(원생!$G$2:$G$501,MATCH(수납!$C715,원생!$A$2:$A$501,0))&amp;"","")))</f>
        <v/>
      </c>
      <c r="B715">
        <f>IFERROR(IF(수납!$B715="",YEAR(수납!$A715)*100+MONTH(수납!$A715),IF(ISNUMBER(수납!$B715),YEAR(수납!$B715)*100+MONTH(수납!$B715),VALUE(LEFT(수납!$B715,4))*100+VALUE(MID(수납!$B715,6,2)))),"")</f>
        <v/>
      </c>
      <c r="C715">
        <f>IF(OR(수납!$E715="수강료",수납!$E715=""),N(수납!$F715),0)</f>
        <v/>
      </c>
    </row>
    <row r="716">
      <c r="A716">
        <f>IF(수납!$C716="","",수납!$C716&amp;"|"&amp;IF(수납!$D716&lt;&gt;"",수납!$D716,IF(COUNTIF(원생!$A$2:$A$501,수납!$C716)=1,INDEX(원생!$G$2:$G$501,MATCH(수납!$C716,원생!$A$2:$A$501,0))&amp;"","")))</f>
        <v/>
      </c>
      <c r="B716">
        <f>IFERROR(IF(수납!$B716="",YEAR(수납!$A716)*100+MONTH(수납!$A716),IF(ISNUMBER(수납!$B716),YEAR(수납!$B716)*100+MONTH(수납!$B716),VALUE(LEFT(수납!$B716,4))*100+VALUE(MID(수납!$B716,6,2)))),"")</f>
        <v/>
      </c>
      <c r="C716">
        <f>IF(OR(수납!$E716="수강료",수납!$E716=""),N(수납!$F716),0)</f>
        <v/>
      </c>
    </row>
    <row r="717">
      <c r="A717">
        <f>IF(수납!$C717="","",수납!$C717&amp;"|"&amp;IF(수납!$D717&lt;&gt;"",수납!$D717,IF(COUNTIF(원생!$A$2:$A$501,수납!$C717)=1,INDEX(원생!$G$2:$G$501,MATCH(수납!$C717,원생!$A$2:$A$501,0))&amp;"","")))</f>
        <v/>
      </c>
      <c r="B717">
        <f>IFERROR(IF(수납!$B717="",YEAR(수납!$A717)*100+MONTH(수납!$A717),IF(ISNUMBER(수납!$B717),YEAR(수납!$B717)*100+MONTH(수납!$B717),VALUE(LEFT(수납!$B717,4))*100+VALUE(MID(수납!$B717,6,2)))),"")</f>
        <v/>
      </c>
      <c r="C717">
        <f>IF(OR(수납!$E717="수강료",수납!$E717=""),N(수납!$F717),0)</f>
        <v/>
      </c>
    </row>
    <row r="718">
      <c r="A718">
        <f>IF(수납!$C718="","",수납!$C718&amp;"|"&amp;IF(수납!$D718&lt;&gt;"",수납!$D718,IF(COUNTIF(원생!$A$2:$A$501,수납!$C718)=1,INDEX(원생!$G$2:$G$501,MATCH(수납!$C718,원생!$A$2:$A$501,0))&amp;"","")))</f>
        <v/>
      </c>
      <c r="B718">
        <f>IFERROR(IF(수납!$B718="",YEAR(수납!$A718)*100+MONTH(수납!$A718),IF(ISNUMBER(수납!$B718),YEAR(수납!$B718)*100+MONTH(수납!$B718),VALUE(LEFT(수납!$B718,4))*100+VALUE(MID(수납!$B718,6,2)))),"")</f>
        <v/>
      </c>
      <c r="C718">
        <f>IF(OR(수납!$E718="수강료",수납!$E718=""),N(수납!$F718),0)</f>
        <v/>
      </c>
    </row>
    <row r="719">
      <c r="A719">
        <f>IF(수납!$C719="","",수납!$C719&amp;"|"&amp;IF(수납!$D719&lt;&gt;"",수납!$D719,IF(COUNTIF(원생!$A$2:$A$501,수납!$C719)=1,INDEX(원생!$G$2:$G$501,MATCH(수납!$C719,원생!$A$2:$A$501,0))&amp;"","")))</f>
        <v/>
      </c>
      <c r="B719">
        <f>IFERROR(IF(수납!$B719="",YEAR(수납!$A719)*100+MONTH(수납!$A719),IF(ISNUMBER(수납!$B719),YEAR(수납!$B719)*100+MONTH(수납!$B719),VALUE(LEFT(수납!$B719,4))*100+VALUE(MID(수납!$B719,6,2)))),"")</f>
        <v/>
      </c>
      <c r="C719">
        <f>IF(OR(수납!$E719="수강료",수납!$E719=""),N(수납!$F719),0)</f>
        <v/>
      </c>
    </row>
    <row r="720">
      <c r="A720">
        <f>IF(수납!$C720="","",수납!$C720&amp;"|"&amp;IF(수납!$D720&lt;&gt;"",수납!$D720,IF(COUNTIF(원생!$A$2:$A$501,수납!$C720)=1,INDEX(원생!$G$2:$G$501,MATCH(수납!$C720,원생!$A$2:$A$501,0))&amp;"","")))</f>
        <v/>
      </c>
      <c r="B720">
        <f>IFERROR(IF(수납!$B720="",YEAR(수납!$A720)*100+MONTH(수납!$A720),IF(ISNUMBER(수납!$B720),YEAR(수납!$B720)*100+MONTH(수납!$B720),VALUE(LEFT(수납!$B720,4))*100+VALUE(MID(수납!$B720,6,2)))),"")</f>
        <v/>
      </c>
      <c r="C720">
        <f>IF(OR(수납!$E720="수강료",수납!$E720=""),N(수납!$F720),0)</f>
        <v/>
      </c>
    </row>
    <row r="721">
      <c r="A721">
        <f>IF(수납!$C721="","",수납!$C721&amp;"|"&amp;IF(수납!$D721&lt;&gt;"",수납!$D721,IF(COUNTIF(원생!$A$2:$A$501,수납!$C721)=1,INDEX(원생!$G$2:$G$501,MATCH(수납!$C721,원생!$A$2:$A$501,0))&amp;"","")))</f>
        <v/>
      </c>
      <c r="B721">
        <f>IFERROR(IF(수납!$B721="",YEAR(수납!$A721)*100+MONTH(수납!$A721),IF(ISNUMBER(수납!$B721),YEAR(수납!$B721)*100+MONTH(수납!$B721),VALUE(LEFT(수납!$B721,4))*100+VALUE(MID(수납!$B721,6,2)))),"")</f>
        <v/>
      </c>
      <c r="C721">
        <f>IF(OR(수납!$E721="수강료",수납!$E721=""),N(수납!$F721),0)</f>
        <v/>
      </c>
    </row>
    <row r="722">
      <c r="A722">
        <f>IF(수납!$C722="","",수납!$C722&amp;"|"&amp;IF(수납!$D722&lt;&gt;"",수납!$D722,IF(COUNTIF(원생!$A$2:$A$501,수납!$C722)=1,INDEX(원생!$G$2:$G$501,MATCH(수납!$C722,원생!$A$2:$A$501,0))&amp;"","")))</f>
        <v/>
      </c>
      <c r="B722">
        <f>IFERROR(IF(수납!$B722="",YEAR(수납!$A722)*100+MONTH(수납!$A722),IF(ISNUMBER(수납!$B722),YEAR(수납!$B722)*100+MONTH(수납!$B722),VALUE(LEFT(수납!$B722,4))*100+VALUE(MID(수납!$B722,6,2)))),"")</f>
        <v/>
      </c>
      <c r="C722">
        <f>IF(OR(수납!$E722="수강료",수납!$E722=""),N(수납!$F722),0)</f>
        <v/>
      </c>
    </row>
    <row r="723">
      <c r="A723">
        <f>IF(수납!$C723="","",수납!$C723&amp;"|"&amp;IF(수납!$D723&lt;&gt;"",수납!$D723,IF(COUNTIF(원생!$A$2:$A$501,수납!$C723)=1,INDEX(원생!$G$2:$G$501,MATCH(수납!$C723,원생!$A$2:$A$501,0))&amp;"","")))</f>
        <v/>
      </c>
      <c r="B723">
        <f>IFERROR(IF(수납!$B723="",YEAR(수납!$A723)*100+MONTH(수납!$A723),IF(ISNUMBER(수납!$B723),YEAR(수납!$B723)*100+MONTH(수납!$B723),VALUE(LEFT(수납!$B723,4))*100+VALUE(MID(수납!$B723,6,2)))),"")</f>
        <v/>
      </c>
      <c r="C723">
        <f>IF(OR(수납!$E723="수강료",수납!$E723=""),N(수납!$F723),0)</f>
        <v/>
      </c>
    </row>
    <row r="724">
      <c r="A724">
        <f>IF(수납!$C724="","",수납!$C724&amp;"|"&amp;IF(수납!$D724&lt;&gt;"",수납!$D724,IF(COUNTIF(원생!$A$2:$A$501,수납!$C724)=1,INDEX(원생!$G$2:$G$501,MATCH(수납!$C724,원생!$A$2:$A$501,0))&amp;"","")))</f>
        <v/>
      </c>
      <c r="B724">
        <f>IFERROR(IF(수납!$B724="",YEAR(수납!$A724)*100+MONTH(수납!$A724),IF(ISNUMBER(수납!$B724),YEAR(수납!$B724)*100+MONTH(수납!$B724),VALUE(LEFT(수납!$B724,4))*100+VALUE(MID(수납!$B724,6,2)))),"")</f>
        <v/>
      </c>
      <c r="C724">
        <f>IF(OR(수납!$E724="수강료",수납!$E724=""),N(수납!$F724),0)</f>
        <v/>
      </c>
    </row>
    <row r="725">
      <c r="A725">
        <f>IF(수납!$C725="","",수납!$C725&amp;"|"&amp;IF(수납!$D725&lt;&gt;"",수납!$D725,IF(COUNTIF(원생!$A$2:$A$501,수납!$C725)=1,INDEX(원생!$G$2:$G$501,MATCH(수납!$C725,원생!$A$2:$A$501,0))&amp;"","")))</f>
        <v/>
      </c>
      <c r="B725">
        <f>IFERROR(IF(수납!$B725="",YEAR(수납!$A725)*100+MONTH(수납!$A725),IF(ISNUMBER(수납!$B725),YEAR(수납!$B725)*100+MONTH(수납!$B725),VALUE(LEFT(수납!$B725,4))*100+VALUE(MID(수납!$B725,6,2)))),"")</f>
        <v/>
      </c>
      <c r="C725">
        <f>IF(OR(수납!$E725="수강료",수납!$E725=""),N(수납!$F725),0)</f>
        <v/>
      </c>
    </row>
    <row r="726">
      <c r="A726">
        <f>IF(수납!$C726="","",수납!$C726&amp;"|"&amp;IF(수납!$D726&lt;&gt;"",수납!$D726,IF(COUNTIF(원생!$A$2:$A$501,수납!$C726)=1,INDEX(원생!$G$2:$G$501,MATCH(수납!$C726,원생!$A$2:$A$501,0))&amp;"","")))</f>
        <v/>
      </c>
      <c r="B726">
        <f>IFERROR(IF(수납!$B726="",YEAR(수납!$A726)*100+MONTH(수납!$A726),IF(ISNUMBER(수납!$B726),YEAR(수납!$B726)*100+MONTH(수납!$B726),VALUE(LEFT(수납!$B726,4))*100+VALUE(MID(수납!$B726,6,2)))),"")</f>
        <v/>
      </c>
      <c r="C726">
        <f>IF(OR(수납!$E726="수강료",수납!$E726=""),N(수납!$F726),0)</f>
        <v/>
      </c>
    </row>
    <row r="727">
      <c r="A727">
        <f>IF(수납!$C727="","",수납!$C727&amp;"|"&amp;IF(수납!$D727&lt;&gt;"",수납!$D727,IF(COUNTIF(원생!$A$2:$A$501,수납!$C727)=1,INDEX(원생!$G$2:$G$501,MATCH(수납!$C727,원생!$A$2:$A$501,0))&amp;"","")))</f>
        <v/>
      </c>
      <c r="B727">
        <f>IFERROR(IF(수납!$B727="",YEAR(수납!$A727)*100+MONTH(수납!$A727),IF(ISNUMBER(수납!$B727),YEAR(수납!$B727)*100+MONTH(수납!$B727),VALUE(LEFT(수납!$B727,4))*100+VALUE(MID(수납!$B727,6,2)))),"")</f>
        <v/>
      </c>
      <c r="C727">
        <f>IF(OR(수납!$E727="수강료",수납!$E727=""),N(수납!$F727),0)</f>
        <v/>
      </c>
    </row>
    <row r="728">
      <c r="A728">
        <f>IF(수납!$C728="","",수납!$C728&amp;"|"&amp;IF(수납!$D728&lt;&gt;"",수납!$D728,IF(COUNTIF(원생!$A$2:$A$501,수납!$C728)=1,INDEX(원생!$G$2:$G$501,MATCH(수납!$C728,원생!$A$2:$A$501,0))&amp;"","")))</f>
        <v/>
      </c>
      <c r="B728">
        <f>IFERROR(IF(수납!$B728="",YEAR(수납!$A728)*100+MONTH(수납!$A728),IF(ISNUMBER(수납!$B728),YEAR(수납!$B728)*100+MONTH(수납!$B728),VALUE(LEFT(수납!$B728,4))*100+VALUE(MID(수납!$B728,6,2)))),"")</f>
        <v/>
      </c>
      <c r="C728">
        <f>IF(OR(수납!$E728="수강료",수납!$E728=""),N(수납!$F728),0)</f>
        <v/>
      </c>
    </row>
    <row r="729">
      <c r="A729">
        <f>IF(수납!$C729="","",수납!$C729&amp;"|"&amp;IF(수납!$D729&lt;&gt;"",수납!$D729,IF(COUNTIF(원생!$A$2:$A$501,수납!$C729)=1,INDEX(원생!$G$2:$G$501,MATCH(수납!$C729,원생!$A$2:$A$501,0))&amp;"","")))</f>
        <v/>
      </c>
      <c r="B729">
        <f>IFERROR(IF(수납!$B729="",YEAR(수납!$A729)*100+MONTH(수납!$A729),IF(ISNUMBER(수납!$B729),YEAR(수납!$B729)*100+MONTH(수납!$B729),VALUE(LEFT(수납!$B729,4))*100+VALUE(MID(수납!$B729,6,2)))),"")</f>
        <v/>
      </c>
      <c r="C729">
        <f>IF(OR(수납!$E729="수강료",수납!$E729=""),N(수납!$F729),0)</f>
        <v/>
      </c>
    </row>
    <row r="730">
      <c r="A730">
        <f>IF(수납!$C730="","",수납!$C730&amp;"|"&amp;IF(수납!$D730&lt;&gt;"",수납!$D730,IF(COUNTIF(원생!$A$2:$A$501,수납!$C730)=1,INDEX(원생!$G$2:$G$501,MATCH(수납!$C730,원생!$A$2:$A$501,0))&amp;"","")))</f>
        <v/>
      </c>
      <c r="B730">
        <f>IFERROR(IF(수납!$B730="",YEAR(수납!$A730)*100+MONTH(수납!$A730),IF(ISNUMBER(수납!$B730),YEAR(수납!$B730)*100+MONTH(수납!$B730),VALUE(LEFT(수납!$B730,4))*100+VALUE(MID(수납!$B730,6,2)))),"")</f>
        <v/>
      </c>
      <c r="C730">
        <f>IF(OR(수납!$E730="수강료",수납!$E730=""),N(수납!$F730),0)</f>
        <v/>
      </c>
    </row>
    <row r="731">
      <c r="A731">
        <f>IF(수납!$C731="","",수납!$C731&amp;"|"&amp;IF(수납!$D731&lt;&gt;"",수납!$D731,IF(COUNTIF(원생!$A$2:$A$501,수납!$C731)=1,INDEX(원생!$G$2:$G$501,MATCH(수납!$C731,원생!$A$2:$A$501,0))&amp;"","")))</f>
        <v/>
      </c>
      <c r="B731">
        <f>IFERROR(IF(수납!$B731="",YEAR(수납!$A731)*100+MONTH(수납!$A731),IF(ISNUMBER(수납!$B731),YEAR(수납!$B731)*100+MONTH(수납!$B731),VALUE(LEFT(수납!$B731,4))*100+VALUE(MID(수납!$B731,6,2)))),"")</f>
        <v/>
      </c>
      <c r="C731">
        <f>IF(OR(수납!$E731="수강료",수납!$E731=""),N(수납!$F731),0)</f>
        <v/>
      </c>
    </row>
    <row r="732">
      <c r="A732">
        <f>IF(수납!$C732="","",수납!$C732&amp;"|"&amp;IF(수납!$D732&lt;&gt;"",수납!$D732,IF(COUNTIF(원생!$A$2:$A$501,수납!$C732)=1,INDEX(원생!$G$2:$G$501,MATCH(수납!$C732,원생!$A$2:$A$501,0))&amp;"","")))</f>
        <v/>
      </c>
      <c r="B732">
        <f>IFERROR(IF(수납!$B732="",YEAR(수납!$A732)*100+MONTH(수납!$A732),IF(ISNUMBER(수납!$B732),YEAR(수납!$B732)*100+MONTH(수납!$B732),VALUE(LEFT(수납!$B732,4))*100+VALUE(MID(수납!$B732,6,2)))),"")</f>
        <v/>
      </c>
      <c r="C732">
        <f>IF(OR(수납!$E732="수강료",수납!$E732=""),N(수납!$F732),0)</f>
        <v/>
      </c>
    </row>
    <row r="733">
      <c r="A733">
        <f>IF(수납!$C733="","",수납!$C733&amp;"|"&amp;IF(수납!$D733&lt;&gt;"",수납!$D733,IF(COUNTIF(원생!$A$2:$A$501,수납!$C733)=1,INDEX(원생!$G$2:$G$501,MATCH(수납!$C733,원생!$A$2:$A$501,0))&amp;"","")))</f>
        <v/>
      </c>
      <c r="B733">
        <f>IFERROR(IF(수납!$B733="",YEAR(수납!$A733)*100+MONTH(수납!$A733),IF(ISNUMBER(수납!$B733),YEAR(수납!$B733)*100+MONTH(수납!$B733),VALUE(LEFT(수납!$B733,4))*100+VALUE(MID(수납!$B733,6,2)))),"")</f>
        <v/>
      </c>
      <c r="C733">
        <f>IF(OR(수납!$E733="수강료",수납!$E733=""),N(수납!$F733),0)</f>
        <v/>
      </c>
    </row>
    <row r="734">
      <c r="A734">
        <f>IF(수납!$C734="","",수납!$C734&amp;"|"&amp;IF(수납!$D734&lt;&gt;"",수납!$D734,IF(COUNTIF(원생!$A$2:$A$501,수납!$C734)=1,INDEX(원생!$G$2:$G$501,MATCH(수납!$C734,원생!$A$2:$A$501,0))&amp;"","")))</f>
        <v/>
      </c>
      <c r="B734">
        <f>IFERROR(IF(수납!$B734="",YEAR(수납!$A734)*100+MONTH(수납!$A734),IF(ISNUMBER(수납!$B734),YEAR(수납!$B734)*100+MONTH(수납!$B734),VALUE(LEFT(수납!$B734,4))*100+VALUE(MID(수납!$B734,6,2)))),"")</f>
        <v/>
      </c>
      <c r="C734">
        <f>IF(OR(수납!$E734="수강료",수납!$E734=""),N(수납!$F734),0)</f>
        <v/>
      </c>
    </row>
    <row r="735">
      <c r="A735">
        <f>IF(수납!$C735="","",수납!$C735&amp;"|"&amp;IF(수납!$D735&lt;&gt;"",수납!$D735,IF(COUNTIF(원생!$A$2:$A$501,수납!$C735)=1,INDEX(원생!$G$2:$G$501,MATCH(수납!$C735,원생!$A$2:$A$501,0))&amp;"","")))</f>
        <v/>
      </c>
      <c r="B735">
        <f>IFERROR(IF(수납!$B735="",YEAR(수납!$A735)*100+MONTH(수납!$A735),IF(ISNUMBER(수납!$B735),YEAR(수납!$B735)*100+MONTH(수납!$B735),VALUE(LEFT(수납!$B735,4))*100+VALUE(MID(수납!$B735,6,2)))),"")</f>
        <v/>
      </c>
      <c r="C735">
        <f>IF(OR(수납!$E735="수강료",수납!$E735=""),N(수납!$F735),0)</f>
        <v/>
      </c>
    </row>
    <row r="736">
      <c r="A736">
        <f>IF(수납!$C736="","",수납!$C736&amp;"|"&amp;IF(수납!$D736&lt;&gt;"",수납!$D736,IF(COUNTIF(원생!$A$2:$A$501,수납!$C736)=1,INDEX(원생!$G$2:$G$501,MATCH(수납!$C736,원생!$A$2:$A$501,0))&amp;"","")))</f>
        <v/>
      </c>
      <c r="B736">
        <f>IFERROR(IF(수납!$B736="",YEAR(수납!$A736)*100+MONTH(수납!$A736),IF(ISNUMBER(수납!$B736),YEAR(수납!$B736)*100+MONTH(수납!$B736),VALUE(LEFT(수납!$B736,4))*100+VALUE(MID(수납!$B736,6,2)))),"")</f>
        <v/>
      </c>
      <c r="C736">
        <f>IF(OR(수납!$E736="수강료",수납!$E736=""),N(수납!$F736),0)</f>
        <v/>
      </c>
    </row>
    <row r="737">
      <c r="A737">
        <f>IF(수납!$C737="","",수납!$C737&amp;"|"&amp;IF(수납!$D737&lt;&gt;"",수납!$D737,IF(COUNTIF(원생!$A$2:$A$501,수납!$C737)=1,INDEX(원생!$G$2:$G$501,MATCH(수납!$C737,원생!$A$2:$A$501,0))&amp;"","")))</f>
        <v/>
      </c>
      <c r="B737">
        <f>IFERROR(IF(수납!$B737="",YEAR(수납!$A737)*100+MONTH(수납!$A737),IF(ISNUMBER(수납!$B737),YEAR(수납!$B737)*100+MONTH(수납!$B737),VALUE(LEFT(수납!$B737,4))*100+VALUE(MID(수납!$B737,6,2)))),"")</f>
        <v/>
      </c>
      <c r="C737">
        <f>IF(OR(수납!$E737="수강료",수납!$E737=""),N(수납!$F737),0)</f>
        <v/>
      </c>
    </row>
    <row r="738">
      <c r="A738">
        <f>IF(수납!$C738="","",수납!$C738&amp;"|"&amp;IF(수납!$D738&lt;&gt;"",수납!$D738,IF(COUNTIF(원생!$A$2:$A$501,수납!$C738)=1,INDEX(원생!$G$2:$G$501,MATCH(수납!$C738,원생!$A$2:$A$501,0))&amp;"","")))</f>
        <v/>
      </c>
      <c r="B738">
        <f>IFERROR(IF(수납!$B738="",YEAR(수납!$A738)*100+MONTH(수납!$A738),IF(ISNUMBER(수납!$B738),YEAR(수납!$B738)*100+MONTH(수납!$B738),VALUE(LEFT(수납!$B738,4))*100+VALUE(MID(수납!$B738,6,2)))),"")</f>
        <v/>
      </c>
      <c r="C738">
        <f>IF(OR(수납!$E738="수강료",수납!$E738=""),N(수납!$F738),0)</f>
        <v/>
      </c>
    </row>
    <row r="739">
      <c r="A739">
        <f>IF(수납!$C739="","",수납!$C739&amp;"|"&amp;IF(수납!$D739&lt;&gt;"",수납!$D739,IF(COUNTIF(원생!$A$2:$A$501,수납!$C739)=1,INDEX(원생!$G$2:$G$501,MATCH(수납!$C739,원생!$A$2:$A$501,0))&amp;"","")))</f>
        <v/>
      </c>
      <c r="B739">
        <f>IFERROR(IF(수납!$B739="",YEAR(수납!$A739)*100+MONTH(수납!$A739),IF(ISNUMBER(수납!$B739),YEAR(수납!$B739)*100+MONTH(수납!$B739),VALUE(LEFT(수납!$B739,4))*100+VALUE(MID(수납!$B739,6,2)))),"")</f>
        <v/>
      </c>
      <c r="C739">
        <f>IF(OR(수납!$E739="수강료",수납!$E739=""),N(수납!$F739),0)</f>
        <v/>
      </c>
    </row>
    <row r="740">
      <c r="A740">
        <f>IF(수납!$C740="","",수납!$C740&amp;"|"&amp;IF(수납!$D740&lt;&gt;"",수납!$D740,IF(COUNTIF(원생!$A$2:$A$501,수납!$C740)=1,INDEX(원생!$G$2:$G$501,MATCH(수납!$C740,원생!$A$2:$A$501,0))&amp;"","")))</f>
        <v/>
      </c>
      <c r="B740">
        <f>IFERROR(IF(수납!$B740="",YEAR(수납!$A740)*100+MONTH(수납!$A740),IF(ISNUMBER(수납!$B740),YEAR(수납!$B740)*100+MONTH(수납!$B740),VALUE(LEFT(수납!$B740,4))*100+VALUE(MID(수납!$B740,6,2)))),"")</f>
        <v/>
      </c>
      <c r="C740">
        <f>IF(OR(수납!$E740="수강료",수납!$E740=""),N(수납!$F740),0)</f>
        <v/>
      </c>
    </row>
    <row r="741">
      <c r="A741">
        <f>IF(수납!$C741="","",수납!$C741&amp;"|"&amp;IF(수납!$D741&lt;&gt;"",수납!$D741,IF(COUNTIF(원생!$A$2:$A$501,수납!$C741)=1,INDEX(원생!$G$2:$G$501,MATCH(수납!$C741,원생!$A$2:$A$501,0))&amp;"","")))</f>
        <v/>
      </c>
      <c r="B741">
        <f>IFERROR(IF(수납!$B741="",YEAR(수납!$A741)*100+MONTH(수납!$A741),IF(ISNUMBER(수납!$B741),YEAR(수납!$B741)*100+MONTH(수납!$B741),VALUE(LEFT(수납!$B741,4))*100+VALUE(MID(수납!$B741,6,2)))),"")</f>
        <v/>
      </c>
      <c r="C741">
        <f>IF(OR(수납!$E741="수강료",수납!$E741=""),N(수납!$F741),0)</f>
        <v/>
      </c>
    </row>
    <row r="742">
      <c r="A742">
        <f>IF(수납!$C742="","",수납!$C742&amp;"|"&amp;IF(수납!$D742&lt;&gt;"",수납!$D742,IF(COUNTIF(원생!$A$2:$A$501,수납!$C742)=1,INDEX(원생!$G$2:$G$501,MATCH(수납!$C742,원생!$A$2:$A$501,0))&amp;"","")))</f>
        <v/>
      </c>
      <c r="B742">
        <f>IFERROR(IF(수납!$B742="",YEAR(수납!$A742)*100+MONTH(수납!$A742),IF(ISNUMBER(수납!$B742),YEAR(수납!$B742)*100+MONTH(수납!$B742),VALUE(LEFT(수납!$B742,4))*100+VALUE(MID(수납!$B742,6,2)))),"")</f>
        <v/>
      </c>
      <c r="C742">
        <f>IF(OR(수납!$E742="수강료",수납!$E742=""),N(수납!$F742),0)</f>
        <v/>
      </c>
    </row>
    <row r="743">
      <c r="A743">
        <f>IF(수납!$C743="","",수납!$C743&amp;"|"&amp;IF(수납!$D743&lt;&gt;"",수납!$D743,IF(COUNTIF(원생!$A$2:$A$501,수납!$C743)=1,INDEX(원생!$G$2:$G$501,MATCH(수납!$C743,원생!$A$2:$A$501,0))&amp;"","")))</f>
        <v/>
      </c>
      <c r="B743">
        <f>IFERROR(IF(수납!$B743="",YEAR(수납!$A743)*100+MONTH(수납!$A743),IF(ISNUMBER(수납!$B743),YEAR(수납!$B743)*100+MONTH(수납!$B743),VALUE(LEFT(수납!$B743,4))*100+VALUE(MID(수납!$B743,6,2)))),"")</f>
        <v/>
      </c>
      <c r="C743">
        <f>IF(OR(수납!$E743="수강료",수납!$E743=""),N(수납!$F743),0)</f>
        <v/>
      </c>
    </row>
    <row r="744">
      <c r="A744">
        <f>IF(수납!$C744="","",수납!$C744&amp;"|"&amp;IF(수납!$D744&lt;&gt;"",수납!$D744,IF(COUNTIF(원생!$A$2:$A$501,수납!$C744)=1,INDEX(원생!$G$2:$G$501,MATCH(수납!$C744,원생!$A$2:$A$501,0))&amp;"","")))</f>
        <v/>
      </c>
      <c r="B744">
        <f>IFERROR(IF(수납!$B744="",YEAR(수납!$A744)*100+MONTH(수납!$A744),IF(ISNUMBER(수납!$B744),YEAR(수납!$B744)*100+MONTH(수납!$B744),VALUE(LEFT(수납!$B744,4))*100+VALUE(MID(수납!$B744,6,2)))),"")</f>
        <v/>
      </c>
      <c r="C744">
        <f>IF(OR(수납!$E744="수강료",수납!$E744=""),N(수납!$F744),0)</f>
        <v/>
      </c>
    </row>
    <row r="745">
      <c r="A745">
        <f>IF(수납!$C745="","",수납!$C745&amp;"|"&amp;IF(수납!$D745&lt;&gt;"",수납!$D745,IF(COUNTIF(원생!$A$2:$A$501,수납!$C745)=1,INDEX(원생!$G$2:$G$501,MATCH(수납!$C745,원생!$A$2:$A$501,0))&amp;"","")))</f>
        <v/>
      </c>
      <c r="B745">
        <f>IFERROR(IF(수납!$B745="",YEAR(수납!$A745)*100+MONTH(수납!$A745),IF(ISNUMBER(수납!$B745),YEAR(수납!$B745)*100+MONTH(수납!$B745),VALUE(LEFT(수납!$B745,4))*100+VALUE(MID(수납!$B745,6,2)))),"")</f>
        <v/>
      </c>
      <c r="C745">
        <f>IF(OR(수납!$E745="수강료",수납!$E745=""),N(수납!$F745),0)</f>
        <v/>
      </c>
    </row>
    <row r="746">
      <c r="A746">
        <f>IF(수납!$C746="","",수납!$C746&amp;"|"&amp;IF(수납!$D746&lt;&gt;"",수납!$D746,IF(COUNTIF(원생!$A$2:$A$501,수납!$C746)=1,INDEX(원생!$G$2:$G$501,MATCH(수납!$C746,원생!$A$2:$A$501,0))&amp;"","")))</f>
        <v/>
      </c>
      <c r="B746">
        <f>IFERROR(IF(수납!$B746="",YEAR(수납!$A746)*100+MONTH(수납!$A746),IF(ISNUMBER(수납!$B746),YEAR(수납!$B746)*100+MONTH(수납!$B746),VALUE(LEFT(수납!$B746,4))*100+VALUE(MID(수납!$B746,6,2)))),"")</f>
        <v/>
      </c>
      <c r="C746">
        <f>IF(OR(수납!$E746="수강료",수납!$E746=""),N(수납!$F746),0)</f>
        <v/>
      </c>
    </row>
    <row r="747">
      <c r="A747">
        <f>IF(수납!$C747="","",수납!$C747&amp;"|"&amp;IF(수납!$D747&lt;&gt;"",수납!$D747,IF(COUNTIF(원생!$A$2:$A$501,수납!$C747)=1,INDEX(원생!$G$2:$G$501,MATCH(수납!$C747,원생!$A$2:$A$501,0))&amp;"","")))</f>
        <v/>
      </c>
      <c r="B747">
        <f>IFERROR(IF(수납!$B747="",YEAR(수납!$A747)*100+MONTH(수납!$A747),IF(ISNUMBER(수납!$B747),YEAR(수납!$B747)*100+MONTH(수납!$B747),VALUE(LEFT(수납!$B747,4))*100+VALUE(MID(수납!$B747,6,2)))),"")</f>
        <v/>
      </c>
      <c r="C747">
        <f>IF(OR(수납!$E747="수강료",수납!$E747=""),N(수납!$F747),0)</f>
        <v/>
      </c>
    </row>
    <row r="748">
      <c r="A748">
        <f>IF(수납!$C748="","",수납!$C748&amp;"|"&amp;IF(수납!$D748&lt;&gt;"",수납!$D748,IF(COUNTIF(원생!$A$2:$A$501,수납!$C748)=1,INDEX(원생!$G$2:$G$501,MATCH(수납!$C748,원생!$A$2:$A$501,0))&amp;"","")))</f>
        <v/>
      </c>
      <c r="B748">
        <f>IFERROR(IF(수납!$B748="",YEAR(수납!$A748)*100+MONTH(수납!$A748),IF(ISNUMBER(수납!$B748),YEAR(수납!$B748)*100+MONTH(수납!$B748),VALUE(LEFT(수납!$B748,4))*100+VALUE(MID(수납!$B748,6,2)))),"")</f>
        <v/>
      </c>
      <c r="C748">
        <f>IF(OR(수납!$E748="수강료",수납!$E748=""),N(수납!$F748),0)</f>
        <v/>
      </c>
    </row>
    <row r="749">
      <c r="A749">
        <f>IF(수납!$C749="","",수납!$C749&amp;"|"&amp;IF(수납!$D749&lt;&gt;"",수납!$D749,IF(COUNTIF(원생!$A$2:$A$501,수납!$C749)=1,INDEX(원생!$G$2:$G$501,MATCH(수납!$C749,원생!$A$2:$A$501,0))&amp;"","")))</f>
        <v/>
      </c>
      <c r="B749">
        <f>IFERROR(IF(수납!$B749="",YEAR(수납!$A749)*100+MONTH(수납!$A749),IF(ISNUMBER(수납!$B749),YEAR(수납!$B749)*100+MONTH(수납!$B749),VALUE(LEFT(수납!$B749,4))*100+VALUE(MID(수납!$B749,6,2)))),"")</f>
        <v/>
      </c>
      <c r="C749">
        <f>IF(OR(수납!$E749="수강료",수납!$E749=""),N(수납!$F749),0)</f>
        <v/>
      </c>
    </row>
    <row r="750">
      <c r="A750">
        <f>IF(수납!$C750="","",수납!$C750&amp;"|"&amp;IF(수납!$D750&lt;&gt;"",수납!$D750,IF(COUNTIF(원생!$A$2:$A$501,수납!$C750)=1,INDEX(원생!$G$2:$G$501,MATCH(수납!$C750,원생!$A$2:$A$501,0))&amp;"","")))</f>
        <v/>
      </c>
      <c r="B750">
        <f>IFERROR(IF(수납!$B750="",YEAR(수납!$A750)*100+MONTH(수납!$A750),IF(ISNUMBER(수납!$B750),YEAR(수납!$B750)*100+MONTH(수납!$B750),VALUE(LEFT(수납!$B750,4))*100+VALUE(MID(수납!$B750,6,2)))),"")</f>
        <v/>
      </c>
      <c r="C750">
        <f>IF(OR(수납!$E750="수강료",수납!$E750=""),N(수납!$F750),0)</f>
        <v/>
      </c>
    </row>
    <row r="751">
      <c r="A751">
        <f>IF(수납!$C751="","",수납!$C751&amp;"|"&amp;IF(수납!$D751&lt;&gt;"",수납!$D751,IF(COUNTIF(원생!$A$2:$A$501,수납!$C751)=1,INDEX(원생!$G$2:$G$501,MATCH(수납!$C751,원생!$A$2:$A$501,0))&amp;"","")))</f>
        <v/>
      </c>
      <c r="B751">
        <f>IFERROR(IF(수납!$B751="",YEAR(수납!$A751)*100+MONTH(수납!$A751),IF(ISNUMBER(수납!$B751),YEAR(수납!$B751)*100+MONTH(수납!$B751),VALUE(LEFT(수납!$B751,4))*100+VALUE(MID(수납!$B751,6,2)))),"")</f>
        <v/>
      </c>
      <c r="C751">
        <f>IF(OR(수납!$E751="수강료",수납!$E751=""),N(수납!$F751),0)</f>
        <v/>
      </c>
    </row>
    <row r="752">
      <c r="A752">
        <f>IF(수납!$C752="","",수납!$C752&amp;"|"&amp;IF(수납!$D752&lt;&gt;"",수납!$D752,IF(COUNTIF(원생!$A$2:$A$501,수납!$C752)=1,INDEX(원생!$G$2:$G$501,MATCH(수납!$C752,원생!$A$2:$A$501,0))&amp;"","")))</f>
        <v/>
      </c>
      <c r="B752">
        <f>IFERROR(IF(수납!$B752="",YEAR(수납!$A752)*100+MONTH(수납!$A752),IF(ISNUMBER(수납!$B752),YEAR(수납!$B752)*100+MONTH(수납!$B752),VALUE(LEFT(수납!$B752,4))*100+VALUE(MID(수납!$B752,6,2)))),"")</f>
        <v/>
      </c>
      <c r="C752">
        <f>IF(OR(수납!$E752="수강료",수납!$E752=""),N(수납!$F752),0)</f>
        <v/>
      </c>
    </row>
    <row r="753">
      <c r="A753">
        <f>IF(수납!$C753="","",수납!$C753&amp;"|"&amp;IF(수납!$D753&lt;&gt;"",수납!$D753,IF(COUNTIF(원생!$A$2:$A$501,수납!$C753)=1,INDEX(원생!$G$2:$G$501,MATCH(수납!$C753,원생!$A$2:$A$501,0))&amp;"","")))</f>
        <v/>
      </c>
      <c r="B753">
        <f>IFERROR(IF(수납!$B753="",YEAR(수납!$A753)*100+MONTH(수납!$A753),IF(ISNUMBER(수납!$B753),YEAR(수납!$B753)*100+MONTH(수납!$B753),VALUE(LEFT(수납!$B753,4))*100+VALUE(MID(수납!$B753,6,2)))),"")</f>
        <v/>
      </c>
      <c r="C753">
        <f>IF(OR(수납!$E753="수강료",수납!$E753=""),N(수납!$F753),0)</f>
        <v/>
      </c>
    </row>
    <row r="754">
      <c r="A754">
        <f>IF(수납!$C754="","",수납!$C754&amp;"|"&amp;IF(수납!$D754&lt;&gt;"",수납!$D754,IF(COUNTIF(원생!$A$2:$A$501,수납!$C754)=1,INDEX(원생!$G$2:$G$501,MATCH(수납!$C754,원생!$A$2:$A$501,0))&amp;"","")))</f>
        <v/>
      </c>
      <c r="B754">
        <f>IFERROR(IF(수납!$B754="",YEAR(수납!$A754)*100+MONTH(수납!$A754),IF(ISNUMBER(수납!$B754),YEAR(수납!$B754)*100+MONTH(수납!$B754),VALUE(LEFT(수납!$B754,4))*100+VALUE(MID(수납!$B754,6,2)))),"")</f>
        <v/>
      </c>
      <c r="C754">
        <f>IF(OR(수납!$E754="수강료",수납!$E754=""),N(수납!$F754),0)</f>
        <v/>
      </c>
    </row>
    <row r="755">
      <c r="A755">
        <f>IF(수납!$C755="","",수납!$C755&amp;"|"&amp;IF(수납!$D755&lt;&gt;"",수납!$D755,IF(COUNTIF(원생!$A$2:$A$501,수납!$C755)=1,INDEX(원생!$G$2:$G$501,MATCH(수납!$C755,원생!$A$2:$A$501,0))&amp;"","")))</f>
        <v/>
      </c>
      <c r="B755">
        <f>IFERROR(IF(수납!$B755="",YEAR(수납!$A755)*100+MONTH(수납!$A755),IF(ISNUMBER(수납!$B755),YEAR(수납!$B755)*100+MONTH(수납!$B755),VALUE(LEFT(수납!$B755,4))*100+VALUE(MID(수납!$B755,6,2)))),"")</f>
        <v/>
      </c>
      <c r="C755">
        <f>IF(OR(수납!$E755="수강료",수납!$E755=""),N(수납!$F755),0)</f>
        <v/>
      </c>
    </row>
    <row r="756">
      <c r="A756">
        <f>IF(수납!$C756="","",수납!$C756&amp;"|"&amp;IF(수납!$D756&lt;&gt;"",수납!$D756,IF(COUNTIF(원생!$A$2:$A$501,수납!$C756)=1,INDEX(원생!$G$2:$G$501,MATCH(수납!$C756,원생!$A$2:$A$501,0))&amp;"","")))</f>
        <v/>
      </c>
      <c r="B756">
        <f>IFERROR(IF(수납!$B756="",YEAR(수납!$A756)*100+MONTH(수납!$A756),IF(ISNUMBER(수납!$B756),YEAR(수납!$B756)*100+MONTH(수납!$B756),VALUE(LEFT(수납!$B756,4))*100+VALUE(MID(수납!$B756,6,2)))),"")</f>
        <v/>
      </c>
      <c r="C756">
        <f>IF(OR(수납!$E756="수강료",수납!$E756=""),N(수납!$F756),0)</f>
        <v/>
      </c>
    </row>
    <row r="757">
      <c r="A757">
        <f>IF(수납!$C757="","",수납!$C757&amp;"|"&amp;IF(수납!$D757&lt;&gt;"",수납!$D757,IF(COUNTIF(원생!$A$2:$A$501,수납!$C757)=1,INDEX(원생!$G$2:$G$501,MATCH(수납!$C757,원생!$A$2:$A$501,0))&amp;"","")))</f>
        <v/>
      </c>
      <c r="B757">
        <f>IFERROR(IF(수납!$B757="",YEAR(수납!$A757)*100+MONTH(수납!$A757),IF(ISNUMBER(수납!$B757),YEAR(수납!$B757)*100+MONTH(수납!$B757),VALUE(LEFT(수납!$B757,4))*100+VALUE(MID(수납!$B757,6,2)))),"")</f>
        <v/>
      </c>
      <c r="C757">
        <f>IF(OR(수납!$E757="수강료",수납!$E757=""),N(수납!$F757),0)</f>
        <v/>
      </c>
    </row>
    <row r="758">
      <c r="A758">
        <f>IF(수납!$C758="","",수납!$C758&amp;"|"&amp;IF(수납!$D758&lt;&gt;"",수납!$D758,IF(COUNTIF(원생!$A$2:$A$501,수납!$C758)=1,INDEX(원생!$G$2:$G$501,MATCH(수납!$C758,원생!$A$2:$A$501,0))&amp;"","")))</f>
        <v/>
      </c>
      <c r="B758">
        <f>IFERROR(IF(수납!$B758="",YEAR(수납!$A758)*100+MONTH(수납!$A758),IF(ISNUMBER(수납!$B758),YEAR(수납!$B758)*100+MONTH(수납!$B758),VALUE(LEFT(수납!$B758,4))*100+VALUE(MID(수납!$B758,6,2)))),"")</f>
        <v/>
      </c>
      <c r="C758">
        <f>IF(OR(수납!$E758="수강료",수납!$E758=""),N(수납!$F758),0)</f>
        <v/>
      </c>
    </row>
    <row r="759">
      <c r="A759">
        <f>IF(수납!$C759="","",수납!$C759&amp;"|"&amp;IF(수납!$D759&lt;&gt;"",수납!$D759,IF(COUNTIF(원생!$A$2:$A$501,수납!$C759)=1,INDEX(원생!$G$2:$G$501,MATCH(수납!$C759,원생!$A$2:$A$501,0))&amp;"","")))</f>
        <v/>
      </c>
      <c r="B759">
        <f>IFERROR(IF(수납!$B759="",YEAR(수납!$A759)*100+MONTH(수납!$A759),IF(ISNUMBER(수납!$B759),YEAR(수납!$B759)*100+MONTH(수납!$B759),VALUE(LEFT(수납!$B759,4))*100+VALUE(MID(수납!$B759,6,2)))),"")</f>
        <v/>
      </c>
      <c r="C759">
        <f>IF(OR(수납!$E759="수강료",수납!$E759=""),N(수납!$F759),0)</f>
        <v/>
      </c>
    </row>
    <row r="760">
      <c r="A760">
        <f>IF(수납!$C760="","",수납!$C760&amp;"|"&amp;IF(수납!$D760&lt;&gt;"",수납!$D760,IF(COUNTIF(원생!$A$2:$A$501,수납!$C760)=1,INDEX(원생!$G$2:$G$501,MATCH(수납!$C760,원생!$A$2:$A$501,0))&amp;"","")))</f>
        <v/>
      </c>
      <c r="B760">
        <f>IFERROR(IF(수납!$B760="",YEAR(수납!$A760)*100+MONTH(수납!$A760),IF(ISNUMBER(수납!$B760),YEAR(수납!$B760)*100+MONTH(수납!$B760),VALUE(LEFT(수납!$B760,4))*100+VALUE(MID(수납!$B760,6,2)))),"")</f>
        <v/>
      </c>
      <c r="C760">
        <f>IF(OR(수납!$E760="수강료",수납!$E760=""),N(수납!$F760),0)</f>
        <v/>
      </c>
    </row>
    <row r="761">
      <c r="A761">
        <f>IF(수납!$C761="","",수납!$C761&amp;"|"&amp;IF(수납!$D761&lt;&gt;"",수납!$D761,IF(COUNTIF(원생!$A$2:$A$501,수납!$C761)=1,INDEX(원생!$G$2:$G$501,MATCH(수납!$C761,원생!$A$2:$A$501,0))&amp;"","")))</f>
        <v/>
      </c>
      <c r="B761">
        <f>IFERROR(IF(수납!$B761="",YEAR(수납!$A761)*100+MONTH(수납!$A761),IF(ISNUMBER(수납!$B761),YEAR(수납!$B761)*100+MONTH(수납!$B761),VALUE(LEFT(수납!$B761,4))*100+VALUE(MID(수납!$B761,6,2)))),"")</f>
        <v/>
      </c>
      <c r="C761">
        <f>IF(OR(수납!$E761="수강료",수납!$E761=""),N(수납!$F761),0)</f>
        <v/>
      </c>
    </row>
    <row r="762">
      <c r="A762">
        <f>IF(수납!$C762="","",수납!$C762&amp;"|"&amp;IF(수납!$D762&lt;&gt;"",수납!$D762,IF(COUNTIF(원생!$A$2:$A$501,수납!$C762)=1,INDEX(원생!$G$2:$G$501,MATCH(수납!$C762,원생!$A$2:$A$501,0))&amp;"","")))</f>
        <v/>
      </c>
      <c r="B762">
        <f>IFERROR(IF(수납!$B762="",YEAR(수납!$A762)*100+MONTH(수납!$A762),IF(ISNUMBER(수납!$B762),YEAR(수납!$B762)*100+MONTH(수납!$B762),VALUE(LEFT(수납!$B762,4))*100+VALUE(MID(수납!$B762,6,2)))),"")</f>
        <v/>
      </c>
      <c r="C762">
        <f>IF(OR(수납!$E762="수강료",수납!$E762=""),N(수납!$F762),0)</f>
        <v/>
      </c>
    </row>
    <row r="763">
      <c r="A763">
        <f>IF(수납!$C763="","",수납!$C763&amp;"|"&amp;IF(수납!$D763&lt;&gt;"",수납!$D763,IF(COUNTIF(원생!$A$2:$A$501,수납!$C763)=1,INDEX(원생!$G$2:$G$501,MATCH(수납!$C763,원생!$A$2:$A$501,0))&amp;"","")))</f>
        <v/>
      </c>
      <c r="B763">
        <f>IFERROR(IF(수납!$B763="",YEAR(수납!$A763)*100+MONTH(수납!$A763),IF(ISNUMBER(수납!$B763),YEAR(수납!$B763)*100+MONTH(수납!$B763),VALUE(LEFT(수납!$B763,4))*100+VALUE(MID(수납!$B763,6,2)))),"")</f>
        <v/>
      </c>
      <c r="C763">
        <f>IF(OR(수납!$E763="수강료",수납!$E763=""),N(수납!$F763),0)</f>
        <v/>
      </c>
    </row>
    <row r="764">
      <c r="A764">
        <f>IF(수납!$C764="","",수납!$C764&amp;"|"&amp;IF(수납!$D764&lt;&gt;"",수납!$D764,IF(COUNTIF(원생!$A$2:$A$501,수납!$C764)=1,INDEX(원생!$G$2:$G$501,MATCH(수납!$C764,원생!$A$2:$A$501,0))&amp;"","")))</f>
        <v/>
      </c>
      <c r="B764">
        <f>IFERROR(IF(수납!$B764="",YEAR(수납!$A764)*100+MONTH(수납!$A764),IF(ISNUMBER(수납!$B764),YEAR(수납!$B764)*100+MONTH(수납!$B764),VALUE(LEFT(수납!$B764,4))*100+VALUE(MID(수납!$B764,6,2)))),"")</f>
        <v/>
      </c>
      <c r="C764">
        <f>IF(OR(수납!$E764="수강료",수납!$E764=""),N(수납!$F764),0)</f>
        <v/>
      </c>
    </row>
    <row r="765">
      <c r="A765">
        <f>IF(수납!$C765="","",수납!$C765&amp;"|"&amp;IF(수납!$D765&lt;&gt;"",수납!$D765,IF(COUNTIF(원생!$A$2:$A$501,수납!$C765)=1,INDEX(원생!$G$2:$G$501,MATCH(수납!$C765,원생!$A$2:$A$501,0))&amp;"","")))</f>
        <v/>
      </c>
      <c r="B765">
        <f>IFERROR(IF(수납!$B765="",YEAR(수납!$A765)*100+MONTH(수납!$A765),IF(ISNUMBER(수납!$B765),YEAR(수납!$B765)*100+MONTH(수납!$B765),VALUE(LEFT(수납!$B765,4))*100+VALUE(MID(수납!$B765,6,2)))),"")</f>
        <v/>
      </c>
      <c r="C765">
        <f>IF(OR(수납!$E765="수강료",수납!$E765=""),N(수납!$F765),0)</f>
        <v/>
      </c>
    </row>
    <row r="766">
      <c r="A766">
        <f>IF(수납!$C766="","",수납!$C766&amp;"|"&amp;IF(수납!$D766&lt;&gt;"",수납!$D766,IF(COUNTIF(원생!$A$2:$A$501,수납!$C766)=1,INDEX(원생!$G$2:$G$501,MATCH(수납!$C766,원생!$A$2:$A$501,0))&amp;"","")))</f>
        <v/>
      </c>
      <c r="B766">
        <f>IFERROR(IF(수납!$B766="",YEAR(수납!$A766)*100+MONTH(수납!$A766),IF(ISNUMBER(수납!$B766),YEAR(수납!$B766)*100+MONTH(수납!$B766),VALUE(LEFT(수납!$B766,4))*100+VALUE(MID(수납!$B766,6,2)))),"")</f>
        <v/>
      </c>
      <c r="C766">
        <f>IF(OR(수납!$E766="수강료",수납!$E766=""),N(수납!$F766),0)</f>
        <v/>
      </c>
    </row>
    <row r="767">
      <c r="A767">
        <f>IF(수납!$C767="","",수납!$C767&amp;"|"&amp;IF(수납!$D767&lt;&gt;"",수납!$D767,IF(COUNTIF(원생!$A$2:$A$501,수납!$C767)=1,INDEX(원생!$G$2:$G$501,MATCH(수납!$C767,원생!$A$2:$A$501,0))&amp;"","")))</f>
        <v/>
      </c>
      <c r="B767">
        <f>IFERROR(IF(수납!$B767="",YEAR(수납!$A767)*100+MONTH(수납!$A767),IF(ISNUMBER(수납!$B767),YEAR(수납!$B767)*100+MONTH(수납!$B767),VALUE(LEFT(수납!$B767,4))*100+VALUE(MID(수납!$B767,6,2)))),"")</f>
        <v/>
      </c>
      <c r="C767">
        <f>IF(OR(수납!$E767="수강료",수납!$E767=""),N(수납!$F767),0)</f>
        <v/>
      </c>
    </row>
    <row r="768">
      <c r="A768">
        <f>IF(수납!$C768="","",수납!$C768&amp;"|"&amp;IF(수납!$D768&lt;&gt;"",수납!$D768,IF(COUNTIF(원생!$A$2:$A$501,수납!$C768)=1,INDEX(원생!$G$2:$G$501,MATCH(수납!$C768,원생!$A$2:$A$501,0))&amp;"","")))</f>
        <v/>
      </c>
      <c r="B768">
        <f>IFERROR(IF(수납!$B768="",YEAR(수납!$A768)*100+MONTH(수납!$A768),IF(ISNUMBER(수납!$B768),YEAR(수납!$B768)*100+MONTH(수납!$B768),VALUE(LEFT(수납!$B768,4))*100+VALUE(MID(수납!$B768,6,2)))),"")</f>
        <v/>
      </c>
      <c r="C768">
        <f>IF(OR(수납!$E768="수강료",수납!$E768=""),N(수납!$F768),0)</f>
        <v/>
      </c>
    </row>
    <row r="769">
      <c r="A769">
        <f>IF(수납!$C769="","",수납!$C769&amp;"|"&amp;IF(수납!$D769&lt;&gt;"",수납!$D769,IF(COUNTIF(원생!$A$2:$A$501,수납!$C769)=1,INDEX(원생!$G$2:$G$501,MATCH(수납!$C769,원생!$A$2:$A$501,0))&amp;"","")))</f>
        <v/>
      </c>
      <c r="B769">
        <f>IFERROR(IF(수납!$B769="",YEAR(수납!$A769)*100+MONTH(수납!$A769),IF(ISNUMBER(수납!$B769),YEAR(수납!$B769)*100+MONTH(수납!$B769),VALUE(LEFT(수납!$B769,4))*100+VALUE(MID(수납!$B769,6,2)))),"")</f>
        <v/>
      </c>
      <c r="C769">
        <f>IF(OR(수납!$E769="수강료",수납!$E769=""),N(수납!$F769),0)</f>
        <v/>
      </c>
    </row>
    <row r="770">
      <c r="A770">
        <f>IF(수납!$C770="","",수납!$C770&amp;"|"&amp;IF(수납!$D770&lt;&gt;"",수납!$D770,IF(COUNTIF(원생!$A$2:$A$501,수납!$C770)=1,INDEX(원생!$G$2:$G$501,MATCH(수납!$C770,원생!$A$2:$A$501,0))&amp;"","")))</f>
        <v/>
      </c>
      <c r="B770">
        <f>IFERROR(IF(수납!$B770="",YEAR(수납!$A770)*100+MONTH(수납!$A770),IF(ISNUMBER(수납!$B770),YEAR(수납!$B770)*100+MONTH(수납!$B770),VALUE(LEFT(수납!$B770,4))*100+VALUE(MID(수납!$B770,6,2)))),"")</f>
        <v/>
      </c>
      <c r="C770">
        <f>IF(OR(수납!$E770="수강료",수납!$E770=""),N(수납!$F770),0)</f>
        <v/>
      </c>
    </row>
    <row r="771">
      <c r="A771">
        <f>IF(수납!$C771="","",수납!$C771&amp;"|"&amp;IF(수납!$D771&lt;&gt;"",수납!$D771,IF(COUNTIF(원생!$A$2:$A$501,수납!$C771)=1,INDEX(원생!$G$2:$G$501,MATCH(수납!$C771,원생!$A$2:$A$501,0))&amp;"","")))</f>
        <v/>
      </c>
      <c r="B771">
        <f>IFERROR(IF(수납!$B771="",YEAR(수납!$A771)*100+MONTH(수납!$A771),IF(ISNUMBER(수납!$B771),YEAR(수납!$B771)*100+MONTH(수납!$B771),VALUE(LEFT(수납!$B771,4))*100+VALUE(MID(수납!$B771,6,2)))),"")</f>
        <v/>
      </c>
      <c r="C771">
        <f>IF(OR(수납!$E771="수강료",수납!$E771=""),N(수납!$F771),0)</f>
        <v/>
      </c>
    </row>
    <row r="772">
      <c r="A772">
        <f>IF(수납!$C772="","",수납!$C772&amp;"|"&amp;IF(수납!$D772&lt;&gt;"",수납!$D772,IF(COUNTIF(원생!$A$2:$A$501,수납!$C772)=1,INDEX(원생!$G$2:$G$501,MATCH(수납!$C772,원생!$A$2:$A$501,0))&amp;"","")))</f>
        <v/>
      </c>
      <c r="B772">
        <f>IFERROR(IF(수납!$B772="",YEAR(수납!$A772)*100+MONTH(수납!$A772),IF(ISNUMBER(수납!$B772),YEAR(수납!$B772)*100+MONTH(수납!$B772),VALUE(LEFT(수납!$B772,4))*100+VALUE(MID(수납!$B772,6,2)))),"")</f>
        <v/>
      </c>
      <c r="C772">
        <f>IF(OR(수납!$E772="수강료",수납!$E772=""),N(수납!$F772),0)</f>
        <v/>
      </c>
    </row>
    <row r="773">
      <c r="A773">
        <f>IF(수납!$C773="","",수납!$C773&amp;"|"&amp;IF(수납!$D773&lt;&gt;"",수납!$D773,IF(COUNTIF(원생!$A$2:$A$501,수납!$C773)=1,INDEX(원생!$G$2:$G$501,MATCH(수납!$C773,원생!$A$2:$A$501,0))&amp;"","")))</f>
        <v/>
      </c>
      <c r="B773">
        <f>IFERROR(IF(수납!$B773="",YEAR(수납!$A773)*100+MONTH(수납!$A773),IF(ISNUMBER(수납!$B773),YEAR(수납!$B773)*100+MONTH(수납!$B773),VALUE(LEFT(수납!$B773,4))*100+VALUE(MID(수납!$B773,6,2)))),"")</f>
        <v/>
      </c>
      <c r="C773">
        <f>IF(OR(수납!$E773="수강료",수납!$E773=""),N(수납!$F773),0)</f>
        <v/>
      </c>
    </row>
    <row r="774">
      <c r="A774">
        <f>IF(수납!$C774="","",수납!$C774&amp;"|"&amp;IF(수납!$D774&lt;&gt;"",수납!$D774,IF(COUNTIF(원생!$A$2:$A$501,수납!$C774)=1,INDEX(원생!$G$2:$G$501,MATCH(수납!$C774,원생!$A$2:$A$501,0))&amp;"","")))</f>
        <v/>
      </c>
      <c r="B774">
        <f>IFERROR(IF(수납!$B774="",YEAR(수납!$A774)*100+MONTH(수납!$A774),IF(ISNUMBER(수납!$B774),YEAR(수납!$B774)*100+MONTH(수납!$B774),VALUE(LEFT(수납!$B774,4))*100+VALUE(MID(수납!$B774,6,2)))),"")</f>
        <v/>
      </c>
      <c r="C774">
        <f>IF(OR(수납!$E774="수강료",수납!$E774=""),N(수납!$F774),0)</f>
        <v/>
      </c>
    </row>
    <row r="775">
      <c r="A775">
        <f>IF(수납!$C775="","",수납!$C775&amp;"|"&amp;IF(수납!$D775&lt;&gt;"",수납!$D775,IF(COUNTIF(원생!$A$2:$A$501,수납!$C775)=1,INDEX(원생!$G$2:$G$501,MATCH(수납!$C775,원생!$A$2:$A$501,0))&amp;"","")))</f>
        <v/>
      </c>
      <c r="B775">
        <f>IFERROR(IF(수납!$B775="",YEAR(수납!$A775)*100+MONTH(수납!$A775),IF(ISNUMBER(수납!$B775),YEAR(수납!$B775)*100+MONTH(수납!$B775),VALUE(LEFT(수납!$B775,4))*100+VALUE(MID(수납!$B775,6,2)))),"")</f>
        <v/>
      </c>
      <c r="C775">
        <f>IF(OR(수납!$E775="수강료",수납!$E775=""),N(수납!$F775),0)</f>
        <v/>
      </c>
    </row>
    <row r="776">
      <c r="A776">
        <f>IF(수납!$C776="","",수납!$C776&amp;"|"&amp;IF(수납!$D776&lt;&gt;"",수납!$D776,IF(COUNTIF(원생!$A$2:$A$501,수납!$C776)=1,INDEX(원생!$G$2:$G$501,MATCH(수납!$C776,원생!$A$2:$A$501,0))&amp;"","")))</f>
        <v/>
      </c>
      <c r="B776">
        <f>IFERROR(IF(수납!$B776="",YEAR(수납!$A776)*100+MONTH(수납!$A776),IF(ISNUMBER(수납!$B776),YEAR(수납!$B776)*100+MONTH(수납!$B776),VALUE(LEFT(수납!$B776,4))*100+VALUE(MID(수납!$B776,6,2)))),"")</f>
        <v/>
      </c>
      <c r="C776">
        <f>IF(OR(수납!$E776="수강료",수납!$E776=""),N(수납!$F776),0)</f>
        <v/>
      </c>
    </row>
    <row r="777">
      <c r="A777">
        <f>IF(수납!$C777="","",수납!$C777&amp;"|"&amp;IF(수납!$D777&lt;&gt;"",수납!$D777,IF(COUNTIF(원생!$A$2:$A$501,수납!$C777)=1,INDEX(원생!$G$2:$G$501,MATCH(수납!$C777,원생!$A$2:$A$501,0))&amp;"","")))</f>
        <v/>
      </c>
      <c r="B777">
        <f>IFERROR(IF(수납!$B777="",YEAR(수납!$A777)*100+MONTH(수납!$A777),IF(ISNUMBER(수납!$B777),YEAR(수납!$B777)*100+MONTH(수납!$B777),VALUE(LEFT(수납!$B777,4))*100+VALUE(MID(수납!$B777,6,2)))),"")</f>
        <v/>
      </c>
      <c r="C777">
        <f>IF(OR(수납!$E777="수강료",수납!$E777=""),N(수납!$F777),0)</f>
        <v/>
      </c>
    </row>
    <row r="778">
      <c r="A778">
        <f>IF(수납!$C778="","",수납!$C778&amp;"|"&amp;IF(수납!$D778&lt;&gt;"",수납!$D778,IF(COUNTIF(원생!$A$2:$A$501,수납!$C778)=1,INDEX(원생!$G$2:$G$501,MATCH(수납!$C778,원생!$A$2:$A$501,0))&amp;"","")))</f>
        <v/>
      </c>
      <c r="B778">
        <f>IFERROR(IF(수납!$B778="",YEAR(수납!$A778)*100+MONTH(수납!$A778),IF(ISNUMBER(수납!$B778),YEAR(수납!$B778)*100+MONTH(수납!$B778),VALUE(LEFT(수납!$B778,4))*100+VALUE(MID(수납!$B778,6,2)))),"")</f>
        <v/>
      </c>
      <c r="C778">
        <f>IF(OR(수납!$E778="수강료",수납!$E778=""),N(수납!$F778),0)</f>
        <v/>
      </c>
    </row>
    <row r="779">
      <c r="A779">
        <f>IF(수납!$C779="","",수납!$C779&amp;"|"&amp;IF(수납!$D779&lt;&gt;"",수납!$D779,IF(COUNTIF(원생!$A$2:$A$501,수납!$C779)=1,INDEX(원생!$G$2:$G$501,MATCH(수납!$C779,원생!$A$2:$A$501,0))&amp;"","")))</f>
        <v/>
      </c>
      <c r="B779">
        <f>IFERROR(IF(수납!$B779="",YEAR(수납!$A779)*100+MONTH(수납!$A779),IF(ISNUMBER(수납!$B779),YEAR(수납!$B779)*100+MONTH(수납!$B779),VALUE(LEFT(수납!$B779,4))*100+VALUE(MID(수납!$B779,6,2)))),"")</f>
        <v/>
      </c>
      <c r="C779">
        <f>IF(OR(수납!$E779="수강료",수납!$E779=""),N(수납!$F779),0)</f>
        <v/>
      </c>
    </row>
    <row r="780">
      <c r="A780">
        <f>IF(수납!$C780="","",수납!$C780&amp;"|"&amp;IF(수납!$D780&lt;&gt;"",수납!$D780,IF(COUNTIF(원생!$A$2:$A$501,수납!$C780)=1,INDEX(원생!$G$2:$G$501,MATCH(수납!$C780,원생!$A$2:$A$501,0))&amp;"","")))</f>
        <v/>
      </c>
      <c r="B780">
        <f>IFERROR(IF(수납!$B780="",YEAR(수납!$A780)*100+MONTH(수납!$A780),IF(ISNUMBER(수납!$B780),YEAR(수납!$B780)*100+MONTH(수납!$B780),VALUE(LEFT(수납!$B780,4))*100+VALUE(MID(수납!$B780,6,2)))),"")</f>
        <v/>
      </c>
      <c r="C780">
        <f>IF(OR(수납!$E780="수강료",수납!$E780=""),N(수납!$F780),0)</f>
        <v/>
      </c>
    </row>
    <row r="781">
      <c r="A781">
        <f>IF(수납!$C781="","",수납!$C781&amp;"|"&amp;IF(수납!$D781&lt;&gt;"",수납!$D781,IF(COUNTIF(원생!$A$2:$A$501,수납!$C781)=1,INDEX(원생!$G$2:$G$501,MATCH(수납!$C781,원생!$A$2:$A$501,0))&amp;"","")))</f>
        <v/>
      </c>
      <c r="B781">
        <f>IFERROR(IF(수납!$B781="",YEAR(수납!$A781)*100+MONTH(수납!$A781),IF(ISNUMBER(수납!$B781),YEAR(수납!$B781)*100+MONTH(수납!$B781),VALUE(LEFT(수납!$B781,4))*100+VALUE(MID(수납!$B781,6,2)))),"")</f>
        <v/>
      </c>
      <c r="C781">
        <f>IF(OR(수납!$E781="수강료",수납!$E781=""),N(수납!$F781),0)</f>
        <v/>
      </c>
    </row>
    <row r="782">
      <c r="A782">
        <f>IF(수납!$C782="","",수납!$C782&amp;"|"&amp;IF(수납!$D782&lt;&gt;"",수납!$D782,IF(COUNTIF(원생!$A$2:$A$501,수납!$C782)=1,INDEX(원생!$G$2:$G$501,MATCH(수납!$C782,원생!$A$2:$A$501,0))&amp;"","")))</f>
        <v/>
      </c>
      <c r="B782">
        <f>IFERROR(IF(수납!$B782="",YEAR(수납!$A782)*100+MONTH(수납!$A782),IF(ISNUMBER(수납!$B782),YEAR(수납!$B782)*100+MONTH(수납!$B782),VALUE(LEFT(수납!$B782,4))*100+VALUE(MID(수납!$B782,6,2)))),"")</f>
        <v/>
      </c>
      <c r="C782">
        <f>IF(OR(수납!$E782="수강료",수납!$E782=""),N(수납!$F782),0)</f>
        <v/>
      </c>
    </row>
    <row r="783">
      <c r="A783">
        <f>IF(수납!$C783="","",수납!$C783&amp;"|"&amp;IF(수납!$D783&lt;&gt;"",수납!$D783,IF(COUNTIF(원생!$A$2:$A$501,수납!$C783)=1,INDEX(원생!$G$2:$G$501,MATCH(수납!$C783,원생!$A$2:$A$501,0))&amp;"","")))</f>
        <v/>
      </c>
      <c r="B783">
        <f>IFERROR(IF(수납!$B783="",YEAR(수납!$A783)*100+MONTH(수납!$A783),IF(ISNUMBER(수납!$B783),YEAR(수납!$B783)*100+MONTH(수납!$B783),VALUE(LEFT(수납!$B783,4))*100+VALUE(MID(수납!$B783,6,2)))),"")</f>
        <v/>
      </c>
      <c r="C783">
        <f>IF(OR(수납!$E783="수강료",수납!$E783=""),N(수납!$F783),0)</f>
        <v/>
      </c>
    </row>
    <row r="784">
      <c r="A784">
        <f>IF(수납!$C784="","",수납!$C784&amp;"|"&amp;IF(수납!$D784&lt;&gt;"",수납!$D784,IF(COUNTIF(원생!$A$2:$A$501,수납!$C784)=1,INDEX(원생!$G$2:$G$501,MATCH(수납!$C784,원생!$A$2:$A$501,0))&amp;"","")))</f>
        <v/>
      </c>
      <c r="B784">
        <f>IFERROR(IF(수납!$B784="",YEAR(수납!$A784)*100+MONTH(수납!$A784),IF(ISNUMBER(수납!$B784),YEAR(수납!$B784)*100+MONTH(수납!$B784),VALUE(LEFT(수납!$B784,4))*100+VALUE(MID(수납!$B784,6,2)))),"")</f>
        <v/>
      </c>
      <c r="C784">
        <f>IF(OR(수납!$E784="수강료",수납!$E784=""),N(수납!$F784),0)</f>
        <v/>
      </c>
    </row>
    <row r="785">
      <c r="A785">
        <f>IF(수납!$C785="","",수납!$C785&amp;"|"&amp;IF(수납!$D785&lt;&gt;"",수납!$D785,IF(COUNTIF(원생!$A$2:$A$501,수납!$C785)=1,INDEX(원생!$G$2:$G$501,MATCH(수납!$C785,원생!$A$2:$A$501,0))&amp;"","")))</f>
        <v/>
      </c>
      <c r="B785">
        <f>IFERROR(IF(수납!$B785="",YEAR(수납!$A785)*100+MONTH(수납!$A785),IF(ISNUMBER(수납!$B785),YEAR(수납!$B785)*100+MONTH(수납!$B785),VALUE(LEFT(수납!$B785,4))*100+VALUE(MID(수납!$B785,6,2)))),"")</f>
        <v/>
      </c>
      <c r="C785">
        <f>IF(OR(수납!$E785="수강료",수납!$E785=""),N(수납!$F785),0)</f>
        <v/>
      </c>
    </row>
    <row r="786">
      <c r="A786">
        <f>IF(수납!$C786="","",수납!$C786&amp;"|"&amp;IF(수납!$D786&lt;&gt;"",수납!$D786,IF(COUNTIF(원생!$A$2:$A$501,수납!$C786)=1,INDEX(원생!$G$2:$G$501,MATCH(수납!$C786,원생!$A$2:$A$501,0))&amp;"","")))</f>
        <v/>
      </c>
      <c r="B786">
        <f>IFERROR(IF(수납!$B786="",YEAR(수납!$A786)*100+MONTH(수납!$A786),IF(ISNUMBER(수납!$B786),YEAR(수납!$B786)*100+MONTH(수납!$B786),VALUE(LEFT(수납!$B786,4))*100+VALUE(MID(수납!$B786,6,2)))),"")</f>
        <v/>
      </c>
      <c r="C786">
        <f>IF(OR(수납!$E786="수강료",수납!$E786=""),N(수납!$F786),0)</f>
        <v/>
      </c>
    </row>
    <row r="787">
      <c r="A787">
        <f>IF(수납!$C787="","",수납!$C787&amp;"|"&amp;IF(수납!$D787&lt;&gt;"",수납!$D787,IF(COUNTIF(원생!$A$2:$A$501,수납!$C787)=1,INDEX(원생!$G$2:$G$501,MATCH(수납!$C787,원생!$A$2:$A$501,0))&amp;"","")))</f>
        <v/>
      </c>
      <c r="B787">
        <f>IFERROR(IF(수납!$B787="",YEAR(수납!$A787)*100+MONTH(수납!$A787),IF(ISNUMBER(수납!$B787),YEAR(수납!$B787)*100+MONTH(수납!$B787),VALUE(LEFT(수납!$B787,4))*100+VALUE(MID(수납!$B787,6,2)))),"")</f>
        <v/>
      </c>
      <c r="C787">
        <f>IF(OR(수납!$E787="수강료",수납!$E787=""),N(수납!$F787),0)</f>
        <v/>
      </c>
    </row>
    <row r="788">
      <c r="A788">
        <f>IF(수납!$C788="","",수납!$C788&amp;"|"&amp;IF(수납!$D788&lt;&gt;"",수납!$D788,IF(COUNTIF(원생!$A$2:$A$501,수납!$C788)=1,INDEX(원생!$G$2:$G$501,MATCH(수납!$C788,원생!$A$2:$A$501,0))&amp;"","")))</f>
        <v/>
      </c>
      <c r="B788">
        <f>IFERROR(IF(수납!$B788="",YEAR(수납!$A788)*100+MONTH(수납!$A788),IF(ISNUMBER(수납!$B788),YEAR(수납!$B788)*100+MONTH(수납!$B788),VALUE(LEFT(수납!$B788,4))*100+VALUE(MID(수납!$B788,6,2)))),"")</f>
        <v/>
      </c>
      <c r="C788">
        <f>IF(OR(수납!$E788="수강료",수납!$E788=""),N(수납!$F788),0)</f>
        <v/>
      </c>
    </row>
    <row r="789">
      <c r="A789">
        <f>IF(수납!$C789="","",수납!$C789&amp;"|"&amp;IF(수납!$D789&lt;&gt;"",수납!$D789,IF(COUNTIF(원생!$A$2:$A$501,수납!$C789)=1,INDEX(원생!$G$2:$G$501,MATCH(수납!$C789,원생!$A$2:$A$501,0))&amp;"","")))</f>
        <v/>
      </c>
      <c r="B789">
        <f>IFERROR(IF(수납!$B789="",YEAR(수납!$A789)*100+MONTH(수납!$A789),IF(ISNUMBER(수납!$B789),YEAR(수납!$B789)*100+MONTH(수납!$B789),VALUE(LEFT(수납!$B789,4))*100+VALUE(MID(수납!$B789,6,2)))),"")</f>
        <v/>
      </c>
      <c r="C789">
        <f>IF(OR(수납!$E789="수강료",수납!$E789=""),N(수납!$F789),0)</f>
        <v/>
      </c>
    </row>
    <row r="790">
      <c r="A790">
        <f>IF(수납!$C790="","",수납!$C790&amp;"|"&amp;IF(수납!$D790&lt;&gt;"",수납!$D790,IF(COUNTIF(원생!$A$2:$A$501,수납!$C790)=1,INDEX(원생!$G$2:$G$501,MATCH(수납!$C790,원생!$A$2:$A$501,0))&amp;"","")))</f>
        <v/>
      </c>
      <c r="B790">
        <f>IFERROR(IF(수납!$B790="",YEAR(수납!$A790)*100+MONTH(수납!$A790),IF(ISNUMBER(수납!$B790),YEAR(수납!$B790)*100+MONTH(수납!$B790),VALUE(LEFT(수납!$B790,4))*100+VALUE(MID(수납!$B790,6,2)))),"")</f>
        <v/>
      </c>
      <c r="C790">
        <f>IF(OR(수납!$E790="수강료",수납!$E790=""),N(수납!$F790),0)</f>
        <v/>
      </c>
    </row>
    <row r="791">
      <c r="A791">
        <f>IF(수납!$C791="","",수납!$C791&amp;"|"&amp;IF(수납!$D791&lt;&gt;"",수납!$D791,IF(COUNTIF(원생!$A$2:$A$501,수납!$C791)=1,INDEX(원생!$G$2:$G$501,MATCH(수납!$C791,원생!$A$2:$A$501,0))&amp;"","")))</f>
        <v/>
      </c>
      <c r="B791">
        <f>IFERROR(IF(수납!$B791="",YEAR(수납!$A791)*100+MONTH(수납!$A791),IF(ISNUMBER(수납!$B791),YEAR(수납!$B791)*100+MONTH(수납!$B791),VALUE(LEFT(수납!$B791,4))*100+VALUE(MID(수납!$B791,6,2)))),"")</f>
        <v/>
      </c>
      <c r="C791">
        <f>IF(OR(수납!$E791="수강료",수납!$E791=""),N(수납!$F791),0)</f>
        <v/>
      </c>
    </row>
    <row r="792">
      <c r="A792">
        <f>IF(수납!$C792="","",수납!$C792&amp;"|"&amp;IF(수납!$D792&lt;&gt;"",수납!$D792,IF(COUNTIF(원생!$A$2:$A$501,수납!$C792)=1,INDEX(원생!$G$2:$G$501,MATCH(수납!$C792,원생!$A$2:$A$501,0))&amp;"","")))</f>
        <v/>
      </c>
      <c r="B792">
        <f>IFERROR(IF(수납!$B792="",YEAR(수납!$A792)*100+MONTH(수납!$A792),IF(ISNUMBER(수납!$B792),YEAR(수납!$B792)*100+MONTH(수납!$B792),VALUE(LEFT(수납!$B792,4))*100+VALUE(MID(수납!$B792,6,2)))),"")</f>
        <v/>
      </c>
      <c r="C792">
        <f>IF(OR(수납!$E792="수강료",수납!$E792=""),N(수납!$F792),0)</f>
        <v/>
      </c>
    </row>
    <row r="793">
      <c r="A793">
        <f>IF(수납!$C793="","",수납!$C793&amp;"|"&amp;IF(수납!$D793&lt;&gt;"",수납!$D793,IF(COUNTIF(원생!$A$2:$A$501,수납!$C793)=1,INDEX(원생!$G$2:$G$501,MATCH(수납!$C793,원생!$A$2:$A$501,0))&amp;"","")))</f>
        <v/>
      </c>
      <c r="B793">
        <f>IFERROR(IF(수납!$B793="",YEAR(수납!$A793)*100+MONTH(수납!$A793),IF(ISNUMBER(수납!$B793),YEAR(수납!$B793)*100+MONTH(수납!$B793),VALUE(LEFT(수납!$B793,4))*100+VALUE(MID(수납!$B793,6,2)))),"")</f>
        <v/>
      </c>
      <c r="C793">
        <f>IF(OR(수납!$E793="수강료",수납!$E793=""),N(수납!$F793),0)</f>
        <v/>
      </c>
    </row>
    <row r="794">
      <c r="A794">
        <f>IF(수납!$C794="","",수납!$C794&amp;"|"&amp;IF(수납!$D794&lt;&gt;"",수납!$D794,IF(COUNTIF(원생!$A$2:$A$501,수납!$C794)=1,INDEX(원생!$G$2:$G$501,MATCH(수납!$C794,원생!$A$2:$A$501,0))&amp;"","")))</f>
        <v/>
      </c>
      <c r="B794">
        <f>IFERROR(IF(수납!$B794="",YEAR(수납!$A794)*100+MONTH(수납!$A794),IF(ISNUMBER(수납!$B794),YEAR(수납!$B794)*100+MONTH(수납!$B794),VALUE(LEFT(수납!$B794,4))*100+VALUE(MID(수납!$B794,6,2)))),"")</f>
        <v/>
      </c>
      <c r="C794">
        <f>IF(OR(수납!$E794="수강료",수납!$E794=""),N(수납!$F794),0)</f>
        <v/>
      </c>
    </row>
    <row r="795">
      <c r="A795">
        <f>IF(수납!$C795="","",수납!$C795&amp;"|"&amp;IF(수납!$D795&lt;&gt;"",수납!$D795,IF(COUNTIF(원생!$A$2:$A$501,수납!$C795)=1,INDEX(원생!$G$2:$G$501,MATCH(수납!$C795,원생!$A$2:$A$501,0))&amp;"","")))</f>
        <v/>
      </c>
      <c r="B795">
        <f>IFERROR(IF(수납!$B795="",YEAR(수납!$A795)*100+MONTH(수납!$A795),IF(ISNUMBER(수납!$B795),YEAR(수납!$B795)*100+MONTH(수납!$B795),VALUE(LEFT(수납!$B795,4))*100+VALUE(MID(수납!$B795,6,2)))),"")</f>
        <v/>
      </c>
      <c r="C795">
        <f>IF(OR(수납!$E795="수강료",수납!$E795=""),N(수납!$F795),0)</f>
        <v/>
      </c>
    </row>
    <row r="796">
      <c r="A796">
        <f>IF(수납!$C796="","",수납!$C796&amp;"|"&amp;IF(수납!$D796&lt;&gt;"",수납!$D796,IF(COUNTIF(원생!$A$2:$A$501,수납!$C796)=1,INDEX(원생!$G$2:$G$501,MATCH(수납!$C796,원생!$A$2:$A$501,0))&amp;"","")))</f>
        <v/>
      </c>
      <c r="B796">
        <f>IFERROR(IF(수납!$B796="",YEAR(수납!$A796)*100+MONTH(수납!$A796),IF(ISNUMBER(수납!$B796),YEAR(수납!$B796)*100+MONTH(수납!$B796),VALUE(LEFT(수납!$B796,4))*100+VALUE(MID(수납!$B796,6,2)))),"")</f>
        <v/>
      </c>
      <c r="C796">
        <f>IF(OR(수납!$E796="수강료",수납!$E796=""),N(수납!$F796),0)</f>
        <v/>
      </c>
    </row>
    <row r="797">
      <c r="A797">
        <f>IF(수납!$C797="","",수납!$C797&amp;"|"&amp;IF(수납!$D797&lt;&gt;"",수납!$D797,IF(COUNTIF(원생!$A$2:$A$501,수납!$C797)=1,INDEX(원생!$G$2:$G$501,MATCH(수납!$C797,원생!$A$2:$A$501,0))&amp;"","")))</f>
        <v/>
      </c>
      <c r="B797">
        <f>IFERROR(IF(수납!$B797="",YEAR(수납!$A797)*100+MONTH(수납!$A797),IF(ISNUMBER(수납!$B797),YEAR(수납!$B797)*100+MONTH(수납!$B797),VALUE(LEFT(수납!$B797,4))*100+VALUE(MID(수납!$B797,6,2)))),"")</f>
        <v/>
      </c>
      <c r="C797">
        <f>IF(OR(수납!$E797="수강료",수납!$E797=""),N(수납!$F797),0)</f>
        <v/>
      </c>
    </row>
    <row r="798">
      <c r="A798">
        <f>IF(수납!$C798="","",수납!$C798&amp;"|"&amp;IF(수납!$D798&lt;&gt;"",수납!$D798,IF(COUNTIF(원생!$A$2:$A$501,수납!$C798)=1,INDEX(원생!$G$2:$G$501,MATCH(수납!$C798,원생!$A$2:$A$501,0))&amp;"","")))</f>
        <v/>
      </c>
      <c r="B798">
        <f>IFERROR(IF(수납!$B798="",YEAR(수납!$A798)*100+MONTH(수납!$A798),IF(ISNUMBER(수납!$B798),YEAR(수납!$B798)*100+MONTH(수납!$B798),VALUE(LEFT(수납!$B798,4))*100+VALUE(MID(수납!$B798,6,2)))),"")</f>
        <v/>
      </c>
      <c r="C798">
        <f>IF(OR(수납!$E798="수강료",수납!$E798=""),N(수납!$F798),0)</f>
        <v/>
      </c>
    </row>
    <row r="799">
      <c r="A799">
        <f>IF(수납!$C799="","",수납!$C799&amp;"|"&amp;IF(수납!$D799&lt;&gt;"",수납!$D799,IF(COUNTIF(원생!$A$2:$A$501,수납!$C799)=1,INDEX(원생!$G$2:$G$501,MATCH(수납!$C799,원생!$A$2:$A$501,0))&amp;"","")))</f>
        <v/>
      </c>
      <c r="B799">
        <f>IFERROR(IF(수납!$B799="",YEAR(수납!$A799)*100+MONTH(수납!$A799),IF(ISNUMBER(수납!$B799),YEAR(수납!$B799)*100+MONTH(수납!$B799),VALUE(LEFT(수납!$B799,4))*100+VALUE(MID(수납!$B799,6,2)))),"")</f>
        <v/>
      </c>
      <c r="C799">
        <f>IF(OR(수납!$E799="수강료",수납!$E799=""),N(수납!$F799),0)</f>
        <v/>
      </c>
    </row>
    <row r="800">
      <c r="A800">
        <f>IF(수납!$C800="","",수납!$C800&amp;"|"&amp;IF(수납!$D800&lt;&gt;"",수납!$D800,IF(COUNTIF(원생!$A$2:$A$501,수납!$C800)=1,INDEX(원생!$G$2:$G$501,MATCH(수납!$C800,원생!$A$2:$A$501,0))&amp;"","")))</f>
        <v/>
      </c>
      <c r="B800">
        <f>IFERROR(IF(수납!$B800="",YEAR(수납!$A800)*100+MONTH(수납!$A800),IF(ISNUMBER(수납!$B800),YEAR(수납!$B800)*100+MONTH(수납!$B800),VALUE(LEFT(수납!$B800,4))*100+VALUE(MID(수납!$B800,6,2)))),"")</f>
        <v/>
      </c>
      <c r="C800">
        <f>IF(OR(수납!$E800="수강료",수납!$E800=""),N(수납!$F800),0)</f>
        <v/>
      </c>
    </row>
    <row r="801">
      <c r="A801">
        <f>IF(수납!$C801="","",수납!$C801&amp;"|"&amp;IF(수납!$D801&lt;&gt;"",수납!$D801,IF(COUNTIF(원생!$A$2:$A$501,수납!$C801)=1,INDEX(원생!$G$2:$G$501,MATCH(수납!$C801,원생!$A$2:$A$501,0))&amp;"","")))</f>
        <v/>
      </c>
      <c r="B801">
        <f>IFERROR(IF(수납!$B801="",YEAR(수납!$A801)*100+MONTH(수납!$A801),IF(ISNUMBER(수납!$B801),YEAR(수납!$B801)*100+MONTH(수납!$B801),VALUE(LEFT(수납!$B801,4))*100+VALUE(MID(수납!$B801,6,2)))),"")</f>
        <v/>
      </c>
      <c r="C801">
        <f>IF(OR(수납!$E801="수강료",수납!$E801=""),N(수납!$F801),0)</f>
        <v/>
      </c>
    </row>
    <row r="802">
      <c r="A802">
        <f>IF(수납!$C802="","",수납!$C802&amp;"|"&amp;IF(수납!$D802&lt;&gt;"",수납!$D802,IF(COUNTIF(원생!$A$2:$A$501,수납!$C802)=1,INDEX(원생!$G$2:$G$501,MATCH(수납!$C802,원생!$A$2:$A$501,0))&amp;"","")))</f>
        <v/>
      </c>
      <c r="B802">
        <f>IFERROR(IF(수납!$B802="",YEAR(수납!$A802)*100+MONTH(수납!$A802),IF(ISNUMBER(수납!$B802),YEAR(수납!$B802)*100+MONTH(수납!$B802),VALUE(LEFT(수납!$B802,4))*100+VALUE(MID(수납!$B802,6,2)))),"")</f>
        <v/>
      </c>
      <c r="C802">
        <f>IF(OR(수납!$E802="수강료",수납!$E802=""),N(수납!$F802),0)</f>
        <v/>
      </c>
    </row>
    <row r="803">
      <c r="A803">
        <f>IF(수납!$C803="","",수납!$C803&amp;"|"&amp;IF(수납!$D803&lt;&gt;"",수납!$D803,IF(COUNTIF(원생!$A$2:$A$501,수납!$C803)=1,INDEX(원생!$G$2:$G$501,MATCH(수납!$C803,원생!$A$2:$A$501,0))&amp;"","")))</f>
        <v/>
      </c>
      <c r="B803">
        <f>IFERROR(IF(수납!$B803="",YEAR(수납!$A803)*100+MONTH(수납!$A803),IF(ISNUMBER(수납!$B803),YEAR(수납!$B803)*100+MONTH(수납!$B803),VALUE(LEFT(수납!$B803,4))*100+VALUE(MID(수납!$B803,6,2)))),"")</f>
        <v/>
      </c>
      <c r="C803">
        <f>IF(OR(수납!$E803="수강료",수납!$E803=""),N(수납!$F803),0)</f>
        <v/>
      </c>
    </row>
    <row r="804">
      <c r="A804">
        <f>IF(수납!$C804="","",수납!$C804&amp;"|"&amp;IF(수납!$D804&lt;&gt;"",수납!$D804,IF(COUNTIF(원생!$A$2:$A$501,수납!$C804)=1,INDEX(원생!$G$2:$G$501,MATCH(수납!$C804,원생!$A$2:$A$501,0))&amp;"","")))</f>
        <v/>
      </c>
      <c r="B804">
        <f>IFERROR(IF(수납!$B804="",YEAR(수납!$A804)*100+MONTH(수납!$A804),IF(ISNUMBER(수납!$B804),YEAR(수납!$B804)*100+MONTH(수납!$B804),VALUE(LEFT(수납!$B804,4))*100+VALUE(MID(수납!$B804,6,2)))),"")</f>
        <v/>
      </c>
      <c r="C804">
        <f>IF(OR(수납!$E804="수강료",수납!$E804=""),N(수납!$F804),0)</f>
        <v/>
      </c>
    </row>
    <row r="805">
      <c r="A805">
        <f>IF(수납!$C805="","",수납!$C805&amp;"|"&amp;IF(수납!$D805&lt;&gt;"",수납!$D805,IF(COUNTIF(원생!$A$2:$A$501,수납!$C805)=1,INDEX(원생!$G$2:$G$501,MATCH(수납!$C805,원생!$A$2:$A$501,0))&amp;"","")))</f>
        <v/>
      </c>
      <c r="B805">
        <f>IFERROR(IF(수납!$B805="",YEAR(수납!$A805)*100+MONTH(수납!$A805),IF(ISNUMBER(수납!$B805),YEAR(수납!$B805)*100+MONTH(수납!$B805),VALUE(LEFT(수납!$B805,4))*100+VALUE(MID(수납!$B805,6,2)))),"")</f>
        <v/>
      </c>
      <c r="C805">
        <f>IF(OR(수납!$E805="수강료",수납!$E805=""),N(수납!$F805),0)</f>
        <v/>
      </c>
    </row>
    <row r="806">
      <c r="A806">
        <f>IF(수납!$C806="","",수납!$C806&amp;"|"&amp;IF(수납!$D806&lt;&gt;"",수납!$D806,IF(COUNTIF(원생!$A$2:$A$501,수납!$C806)=1,INDEX(원생!$G$2:$G$501,MATCH(수납!$C806,원생!$A$2:$A$501,0))&amp;"","")))</f>
        <v/>
      </c>
      <c r="B806">
        <f>IFERROR(IF(수납!$B806="",YEAR(수납!$A806)*100+MONTH(수납!$A806),IF(ISNUMBER(수납!$B806),YEAR(수납!$B806)*100+MONTH(수납!$B806),VALUE(LEFT(수납!$B806,4))*100+VALUE(MID(수납!$B806,6,2)))),"")</f>
        <v/>
      </c>
      <c r="C806">
        <f>IF(OR(수납!$E806="수강료",수납!$E806=""),N(수납!$F806),0)</f>
        <v/>
      </c>
    </row>
    <row r="807">
      <c r="A807">
        <f>IF(수납!$C807="","",수납!$C807&amp;"|"&amp;IF(수납!$D807&lt;&gt;"",수납!$D807,IF(COUNTIF(원생!$A$2:$A$501,수납!$C807)=1,INDEX(원생!$G$2:$G$501,MATCH(수납!$C807,원생!$A$2:$A$501,0))&amp;"","")))</f>
        <v/>
      </c>
      <c r="B807">
        <f>IFERROR(IF(수납!$B807="",YEAR(수납!$A807)*100+MONTH(수납!$A807),IF(ISNUMBER(수납!$B807),YEAR(수납!$B807)*100+MONTH(수납!$B807),VALUE(LEFT(수납!$B807,4))*100+VALUE(MID(수납!$B807,6,2)))),"")</f>
        <v/>
      </c>
      <c r="C807">
        <f>IF(OR(수납!$E807="수강료",수납!$E807=""),N(수납!$F807),0)</f>
        <v/>
      </c>
    </row>
    <row r="808">
      <c r="A808">
        <f>IF(수납!$C808="","",수납!$C808&amp;"|"&amp;IF(수납!$D808&lt;&gt;"",수납!$D808,IF(COUNTIF(원생!$A$2:$A$501,수납!$C808)=1,INDEX(원생!$G$2:$G$501,MATCH(수납!$C808,원생!$A$2:$A$501,0))&amp;"","")))</f>
        <v/>
      </c>
      <c r="B808">
        <f>IFERROR(IF(수납!$B808="",YEAR(수납!$A808)*100+MONTH(수납!$A808),IF(ISNUMBER(수납!$B808),YEAR(수납!$B808)*100+MONTH(수납!$B808),VALUE(LEFT(수납!$B808,4))*100+VALUE(MID(수납!$B808,6,2)))),"")</f>
        <v/>
      </c>
      <c r="C808">
        <f>IF(OR(수납!$E808="수강료",수납!$E808=""),N(수납!$F808),0)</f>
        <v/>
      </c>
    </row>
    <row r="809">
      <c r="A809">
        <f>IF(수납!$C809="","",수납!$C809&amp;"|"&amp;IF(수납!$D809&lt;&gt;"",수납!$D809,IF(COUNTIF(원생!$A$2:$A$501,수납!$C809)=1,INDEX(원생!$G$2:$G$501,MATCH(수납!$C809,원생!$A$2:$A$501,0))&amp;"","")))</f>
        <v/>
      </c>
      <c r="B809">
        <f>IFERROR(IF(수납!$B809="",YEAR(수납!$A809)*100+MONTH(수납!$A809),IF(ISNUMBER(수납!$B809),YEAR(수납!$B809)*100+MONTH(수납!$B809),VALUE(LEFT(수납!$B809,4))*100+VALUE(MID(수납!$B809,6,2)))),"")</f>
        <v/>
      </c>
      <c r="C809">
        <f>IF(OR(수납!$E809="수강료",수납!$E809=""),N(수납!$F809),0)</f>
        <v/>
      </c>
    </row>
    <row r="810">
      <c r="A810">
        <f>IF(수납!$C810="","",수납!$C810&amp;"|"&amp;IF(수납!$D810&lt;&gt;"",수납!$D810,IF(COUNTIF(원생!$A$2:$A$501,수납!$C810)=1,INDEX(원생!$G$2:$G$501,MATCH(수납!$C810,원생!$A$2:$A$501,0))&amp;"","")))</f>
        <v/>
      </c>
      <c r="B810">
        <f>IFERROR(IF(수납!$B810="",YEAR(수납!$A810)*100+MONTH(수납!$A810),IF(ISNUMBER(수납!$B810),YEAR(수납!$B810)*100+MONTH(수납!$B810),VALUE(LEFT(수납!$B810,4))*100+VALUE(MID(수납!$B810,6,2)))),"")</f>
        <v/>
      </c>
      <c r="C810">
        <f>IF(OR(수납!$E810="수강료",수납!$E810=""),N(수납!$F810),0)</f>
        <v/>
      </c>
    </row>
    <row r="811">
      <c r="A811">
        <f>IF(수납!$C811="","",수납!$C811&amp;"|"&amp;IF(수납!$D811&lt;&gt;"",수납!$D811,IF(COUNTIF(원생!$A$2:$A$501,수납!$C811)=1,INDEX(원생!$G$2:$G$501,MATCH(수납!$C811,원생!$A$2:$A$501,0))&amp;"","")))</f>
        <v/>
      </c>
      <c r="B811">
        <f>IFERROR(IF(수납!$B811="",YEAR(수납!$A811)*100+MONTH(수납!$A811),IF(ISNUMBER(수납!$B811),YEAR(수납!$B811)*100+MONTH(수납!$B811),VALUE(LEFT(수납!$B811,4))*100+VALUE(MID(수납!$B811,6,2)))),"")</f>
        <v/>
      </c>
      <c r="C811">
        <f>IF(OR(수납!$E811="수강료",수납!$E811=""),N(수납!$F811),0)</f>
        <v/>
      </c>
    </row>
    <row r="812">
      <c r="A812">
        <f>IF(수납!$C812="","",수납!$C812&amp;"|"&amp;IF(수납!$D812&lt;&gt;"",수납!$D812,IF(COUNTIF(원생!$A$2:$A$501,수납!$C812)=1,INDEX(원생!$G$2:$G$501,MATCH(수납!$C812,원생!$A$2:$A$501,0))&amp;"","")))</f>
        <v/>
      </c>
      <c r="B812">
        <f>IFERROR(IF(수납!$B812="",YEAR(수납!$A812)*100+MONTH(수납!$A812),IF(ISNUMBER(수납!$B812),YEAR(수납!$B812)*100+MONTH(수납!$B812),VALUE(LEFT(수납!$B812,4))*100+VALUE(MID(수납!$B812,6,2)))),"")</f>
        <v/>
      </c>
      <c r="C812">
        <f>IF(OR(수납!$E812="수강료",수납!$E812=""),N(수납!$F812),0)</f>
        <v/>
      </c>
    </row>
    <row r="813">
      <c r="A813">
        <f>IF(수납!$C813="","",수납!$C813&amp;"|"&amp;IF(수납!$D813&lt;&gt;"",수납!$D813,IF(COUNTIF(원생!$A$2:$A$501,수납!$C813)=1,INDEX(원생!$G$2:$G$501,MATCH(수납!$C813,원생!$A$2:$A$501,0))&amp;"","")))</f>
        <v/>
      </c>
      <c r="B813">
        <f>IFERROR(IF(수납!$B813="",YEAR(수납!$A813)*100+MONTH(수납!$A813),IF(ISNUMBER(수납!$B813),YEAR(수납!$B813)*100+MONTH(수납!$B813),VALUE(LEFT(수납!$B813,4))*100+VALUE(MID(수납!$B813,6,2)))),"")</f>
        <v/>
      </c>
      <c r="C813">
        <f>IF(OR(수납!$E813="수강료",수납!$E813=""),N(수납!$F813),0)</f>
        <v/>
      </c>
    </row>
    <row r="814">
      <c r="A814">
        <f>IF(수납!$C814="","",수납!$C814&amp;"|"&amp;IF(수납!$D814&lt;&gt;"",수납!$D814,IF(COUNTIF(원생!$A$2:$A$501,수납!$C814)=1,INDEX(원생!$G$2:$G$501,MATCH(수납!$C814,원생!$A$2:$A$501,0))&amp;"","")))</f>
        <v/>
      </c>
      <c r="B814">
        <f>IFERROR(IF(수납!$B814="",YEAR(수납!$A814)*100+MONTH(수납!$A814),IF(ISNUMBER(수납!$B814),YEAR(수납!$B814)*100+MONTH(수납!$B814),VALUE(LEFT(수납!$B814,4))*100+VALUE(MID(수납!$B814,6,2)))),"")</f>
        <v/>
      </c>
      <c r="C814">
        <f>IF(OR(수납!$E814="수강료",수납!$E814=""),N(수납!$F814),0)</f>
        <v/>
      </c>
    </row>
    <row r="815">
      <c r="A815">
        <f>IF(수납!$C815="","",수납!$C815&amp;"|"&amp;IF(수납!$D815&lt;&gt;"",수납!$D815,IF(COUNTIF(원생!$A$2:$A$501,수납!$C815)=1,INDEX(원생!$G$2:$G$501,MATCH(수납!$C815,원생!$A$2:$A$501,0))&amp;"","")))</f>
        <v/>
      </c>
      <c r="B815">
        <f>IFERROR(IF(수납!$B815="",YEAR(수납!$A815)*100+MONTH(수납!$A815),IF(ISNUMBER(수납!$B815),YEAR(수납!$B815)*100+MONTH(수납!$B815),VALUE(LEFT(수납!$B815,4))*100+VALUE(MID(수납!$B815,6,2)))),"")</f>
        <v/>
      </c>
      <c r="C815">
        <f>IF(OR(수납!$E815="수강료",수납!$E815=""),N(수납!$F815),0)</f>
        <v/>
      </c>
    </row>
    <row r="816">
      <c r="A816">
        <f>IF(수납!$C816="","",수납!$C816&amp;"|"&amp;IF(수납!$D816&lt;&gt;"",수납!$D816,IF(COUNTIF(원생!$A$2:$A$501,수납!$C816)=1,INDEX(원생!$G$2:$G$501,MATCH(수납!$C816,원생!$A$2:$A$501,0))&amp;"","")))</f>
        <v/>
      </c>
      <c r="B816">
        <f>IFERROR(IF(수납!$B816="",YEAR(수납!$A816)*100+MONTH(수납!$A816),IF(ISNUMBER(수납!$B816),YEAR(수납!$B816)*100+MONTH(수납!$B816),VALUE(LEFT(수납!$B816,4))*100+VALUE(MID(수납!$B816,6,2)))),"")</f>
        <v/>
      </c>
      <c r="C816">
        <f>IF(OR(수납!$E816="수강료",수납!$E816=""),N(수납!$F816),0)</f>
        <v/>
      </c>
    </row>
    <row r="817">
      <c r="A817">
        <f>IF(수납!$C817="","",수납!$C817&amp;"|"&amp;IF(수납!$D817&lt;&gt;"",수납!$D817,IF(COUNTIF(원생!$A$2:$A$501,수납!$C817)=1,INDEX(원생!$G$2:$G$501,MATCH(수납!$C817,원생!$A$2:$A$501,0))&amp;"","")))</f>
        <v/>
      </c>
      <c r="B817">
        <f>IFERROR(IF(수납!$B817="",YEAR(수납!$A817)*100+MONTH(수납!$A817),IF(ISNUMBER(수납!$B817),YEAR(수납!$B817)*100+MONTH(수납!$B817),VALUE(LEFT(수납!$B817,4))*100+VALUE(MID(수납!$B817,6,2)))),"")</f>
        <v/>
      </c>
      <c r="C817">
        <f>IF(OR(수납!$E817="수강료",수납!$E817=""),N(수납!$F817),0)</f>
        <v/>
      </c>
    </row>
    <row r="818">
      <c r="A818">
        <f>IF(수납!$C818="","",수납!$C818&amp;"|"&amp;IF(수납!$D818&lt;&gt;"",수납!$D818,IF(COUNTIF(원생!$A$2:$A$501,수납!$C818)=1,INDEX(원생!$G$2:$G$501,MATCH(수납!$C818,원생!$A$2:$A$501,0))&amp;"","")))</f>
        <v/>
      </c>
      <c r="B818">
        <f>IFERROR(IF(수납!$B818="",YEAR(수납!$A818)*100+MONTH(수납!$A818),IF(ISNUMBER(수납!$B818),YEAR(수납!$B818)*100+MONTH(수납!$B818),VALUE(LEFT(수납!$B818,4))*100+VALUE(MID(수납!$B818,6,2)))),"")</f>
        <v/>
      </c>
      <c r="C818">
        <f>IF(OR(수납!$E818="수강료",수납!$E818=""),N(수납!$F818),0)</f>
        <v/>
      </c>
    </row>
    <row r="819">
      <c r="A819">
        <f>IF(수납!$C819="","",수납!$C819&amp;"|"&amp;IF(수납!$D819&lt;&gt;"",수납!$D819,IF(COUNTIF(원생!$A$2:$A$501,수납!$C819)=1,INDEX(원생!$G$2:$G$501,MATCH(수납!$C819,원생!$A$2:$A$501,0))&amp;"","")))</f>
        <v/>
      </c>
      <c r="B819">
        <f>IFERROR(IF(수납!$B819="",YEAR(수납!$A819)*100+MONTH(수납!$A819),IF(ISNUMBER(수납!$B819),YEAR(수납!$B819)*100+MONTH(수납!$B819),VALUE(LEFT(수납!$B819,4))*100+VALUE(MID(수납!$B819,6,2)))),"")</f>
        <v/>
      </c>
      <c r="C819">
        <f>IF(OR(수납!$E819="수강료",수납!$E819=""),N(수납!$F819),0)</f>
        <v/>
      </c>
    </row>
    <row r="820">
      <c r="A820">
        <f>IF(수납!$C820="","",수납!$C820&amp;"|"&amp;IF(수납!$D820&lt;&gt;"",수납!$D820,IF(COUNTIF(원생!$A$2:$A$501,수납!$C820)=1,INDEX(원생!$G$2:$G$501,MATCH(수납!$C820,원생!$A$2:$A$501,0))&amp;"","")))</f>
        <v/>
      </c>
      <c r="B820">
        <f>IFERROR(IF(수납!$B820="",YEAR(수납!$A820)*100+MONTH(수납!$A820),IF(ISNUMBER(수납!$B820),YEAR(수납!$B820)*100+MONTH(수납!$B820),VALUE(LEFT(수납!$B820,4))*100+VALUE(MID(수납!$B820,6,2)))),"")</f>
        <v/>
      </c>
      <c r="C820">
        <f>IF(OR(수납!$E820="수강료",수납!$E820=""),N(수납!$F820),0)</f>
        <v/>
      </c>
    </row>
    <row r="821">
      <c r="A821">
        <f>IF(수납!$C821="","",수납!$C821&amp;"|"&amp;IF(수납!$D821&lt;&gt;"",수납!$D821,IF(COUNTIF(원생!$A$2:$A$501,수납!$C821)=1,INDEX(원생!$G$2:$G$501,MATCH(수납!$C821,원생!$A$2:$A$501,0))&amp;"","")))</f>
        <v/>
      </c>
      <c r="B821">
        <f>IFERROR(IF(수납!$B821="",YEAR(수납!$A821)*100+MONTH(수납!$A821),IF(ISNUMBER(수납!$B821),YEAR(수납!$B821)*100+MONTH(수납!$B821),VALUE(LEFT(수납!$B821,4))*100+VALUE(MID(수납!$B821,6,2)))),"")</f>
        <v/>
      </c>
      <c r="C821">
        <f>IF(OR(수납!$E821="수강료",수납!$E821=""),N(수납!$F821),0)</f>
        <v/>
      </c>
    </row>
    <row r="822">
      <c r="A822">
        <f>IF(수납!$C822="","",수납!$C822&amp;"|"&amp;IF(수납!$D822&lt;&gt;"",수납!$D822,IF(COUNTIF(원생!$A$2:$A$501,수납!$C822)=1,INDEX(원생!$G$2:$G$501,MATCH(수납!$C822,원생!$A$2:$A$501,0))&amp;"","")))</f>
        <v/>
      </c>
      <c r="B822">
        <f>IFERROR(IF(수납!$B822="",YEAR(수납!$A822)*100+MONTH(수납!$A822),IF(ISNUMBER(수납!$B822),YEAR(수납!$B822)*100+MONTH(수납!$B822),VALUE(LEFT(수납!$B822,4))*100+VALUE(MID(수납!$B822,6,2)))),"")</f>
        <v/>
      </c>
      <c r="C822">
        <f>IF(OR(수납!$E822="수강료",수납!$E822=""),N(수납!$F822),0)</f>
        <v/>
      </c>
    </row>
    <row r="823">
      <c r="A823">
        <f>IF(수납!$C823="","",수납!$C823&amp;"|"&amp;IF(수납!$D823&lt;&gt;"",수납!$D823,IF(COUNTIF(원생!$A$2:$A$501,수납!$C823)=1,INDEX(원생!$G$2:$G$501,MATCH(수납!$C823,원생!$A$2:$A$501,0))&amp;"","")))</f>
        <v/>
      </c>
      <c r="B823">
        <f>IFERROR(IF(수납!$B823="",YEAR(수납!$A823)*100+MONTH(수납!$A823),IF(ISNUMBER(수납!$B823),YEAR(수납!$B823)*100+MONTH(수납!$B823),VALUE(LEFT(수납!$B823,4))*100+VALUE(MID(수납!$B823,6,2)))),"")</f>
        <v/>
      </c>
      <c r="C823">
        <f>IF(OR(수납!$E823="수강료",수납!$E823=""),N(수납!$F823),0)</f>
        <v/>
      </c>
    </row>
    <row r="824">
      <c r="A824">
        <f>IF(수납!$C824="","",수납!$C824&amp;"|"&amp;IF(수납!$D824&lt;&gt;"",수납!$D824,IF(COUNTIF(원생!$A$2:$A$501,수납!$C824)=1,INDEX(원생!$G$2:$G$501,MATCH(수납!$C824,원생!$A$2:$A$501,0))&amp;"","")))</f>
        <v/>
      </c>
      <c r="B824">
        <f>IFERROR(IF(수납!$B824="",YEAR(수납!$A824)*100+MONTH(수납!$A824),IF(ISNUMBER(수납!$B824),YEAR(수납!$B824)*100+MONTH(수납!$B824),VALUE(LEFT(수납!$B824,4))*100+VALUE(MID(수납!$B824,6,2)))),"")</f>
        <v/>
      </c>
      <c r="C824">
        <f>IF(OR(수납!$E824="수강료",수납!$E824=""),N(수납!$F824),0)</f>
        <v/>
      </c>
    </row>
    <row r="825">
      <c r="A825">
        <f>IF(수납!$C825="","",수납!$C825&amp;"|"&amp;IF(수납!$D825&lt;&gt;"",수납!$D825,IF(COUNTIF(원생!$A$2:$A$501,수납!$C825)=1,INDEX(원생!$G$2:$G$501,MATCH(수납!$C825,원생!$A$2:$A$501,0))&amp;"","")))</f>
        <v/>
      </c>
      <c r="B825">
        <f>IFERROR(IF(수납!$B825="",YEAR(수납!$A825)*100+MONTH(수납!$A825),IF(ISNUMBER(수납!$B825),YEAR(수납!$B825)*100+MONTH(수납!$B825),VALUE(LEFT(수납!$B825,4))*100+VALUE(MID(수납!$B825,6,2)))),"")</f>
        <v/>
      </c>
      <c r="C825">
        <f>IF(OR(수납!$E825="수강료",수납!$E825=""),N(수납!$F825),0)</f>
        <v/>
      </c>
    </row>
    <row r="826">
      <c r="A826">
        <f>IF(수납!$C826="","",수납!$C826&amp;"|"&amp;IF(수납!$D826&lt;&gt;"",수납!$D826,IF(COUNTIF(원생!$A$2:$A$501,수납!$C826)=1,INDEX(원생!$G$2:$G$501,MATCH(수납!$C826,원생!$A$2:$A$501,0))&amp;"","")))</f>
        <v/>
      </c>
      <c r="B826">
        <f>IFERROR(IF(수납!$B826="",YEAR(수납!$A826)*100+MONTH(수납!$A826),IF(ISNUMBER(수납!$B826),YEAR(수납!$B826)*100+MONTH(수납!$B826),VALUE(LEFT(수납!$B826,4))*100+VALUE(MID(수납!$B826,6,2)))),"")</f>
        <v/>
      </c>
      <c r="C826">
        <f>IF(OR(수납!$E826="수강료",수납!$E826=""),N(수납!$F826),0)</f>
        <v/>
      </c>
    </row>
    <row r="827">
      <c r="A827">
        <f>IF(수납!$C827="","",수납!$C827&amp;"|"&amp;IF(수납!$D827&lt;&gt;"",수납!$D827,IF(COUNTIF(원생!$A$2:$A$501,수납!$C827)=1,INDEX(원생!$G$2:$G$501,MATCH(수납!$C827,원생!$A$2:$A$501,0))&amp;"","")))</f>
        <v/>
      </c>
      <c r="B827">
        <f>IFERROR(IF(수납!$B827="",YEAR(수납!$A827)*100+MONTH(수납!$A827),IF(ISNUMBER(수납!$B827),YEAR(수납!$B827)*100+MONTH(수납!$B827),VALUE(LEFT(수납!$B827,4))*100+VALUE(MID(수납!$B827,6,2)))),"")</f>
        <v/>
      </c>
      <c r="C827">
        <f>IF(OR(수납!$E827="수강료",수납!$E827=""),N(수납!$F827),0)</f>
        <v/>
      </c>
    </row>
    <row r="828">
      <c r="A828">
        <f>IF(수납!$C828="","",수납!$C828&amp;"|"&amp;IF(수납!$D828&lt;&gt;"",수납!$D828,IF(COUNTIF(원생!$A$2:$A$501,수납!$C828)=1,INDEX(원생!$G$2:$G$501,MATCH(수납!$C828,원생!$A$2:$A$501,0))&amp;"","")))</f>
        <v/>
      </c>
      <c r="B828">
        <f>IFERROR(IF(수납!$B828="",YEAR(수납!$A828)*100+MONTH(수납!$A828),IF(ISNUMBER(수납!$B828),YEAR(수납!$B828)*100+MONTH(수납!$B828),VALUE(LEFT(수납!$B828,4))*100+VALUE(MID(수납!$B828,6,2)))),"")</f>
        <v/>
      </c>
      <c r="C828">
        <f>IF(OR(수납!$E828="수강료",수납!$E828=""),N(수납!$F828),0)</f>
        <v/>
      </c>
    </row>
    <row r="829">
      <c r="A829">
        <f>IF(수납!$C829="","",수납!$C829&amp;"|"&amp;IF(수납!$D829&lt;&gt;"",수납!$D829,IF(COUNTIF(원생!$A$2:$A$501,수납!$C829)=1,INDEX(원생!$G$2:$G$501,MATCH(수납!$C829,원생!$A$2:$A$501,0))&amp;"","")))</f>
        <v/>
      </c>
      <c r="B829">
        <f>IFERROR(IF(수납!$B829="",YEAR(수납!$A829)*100+MONTH(수납!$A829),IF(ISNUMBER(수납!$B829),YEAR(수납!$B829)*100+MONTH(수납!$B829),VALUE(LEFT(수납!$B829,4))*100+VALUE(MID(수납!$B829,6,2)))),"")</f>
        <v/>
      </c>
      <c r="C829">
        <f>IF(OR(수납!$E829="수강료",수납!$E829=""),N(수납!$F829),0)</f>
        <v/>
      </c>
    </row>
    <row r="830">
      <c r="A830">
        <f>IF(수납!$C830="","",수납!$C830&amp;"|"&amp;IF(수납!$D830&lt;&gt;"",수납!$D830,IF(COUNTIF(원생!$A$2:$A$501,수납!$C830)=1,INDEX(원생!$G$2:$G$501,MATCH(수납!$C830,원생!$A$2:$A$501,0))&amp;"","")))</f>
        <v/>
      </c>
      <c r="B830">
        <f>IFERROR(IF(수납!$B830="",YEAR(수납!$A830)*100+MONTH(수납!$A830),IF(ISNUMBER(수납!$B830),YEAR(수납!$B830)*100+MONTH(수납!$B830),VALUE(LEFT(수납!$B830,4))*100+VALUE(MID(수납!$B830,6,2)))),"")</f>
        <v/>
      </c>
      <c r="C830">
        <f>IF(OR(수납!$E830="수강료",수납!$E830=""),N(수납!$F830),0)</f>
        <v/>
      </c>
    </row>
    <row r="831">
      <c r="A831">
        <f>IF(수납!$C831="","",수납!$C831&amp;"|"&amp;IF(수납!$D831&lt;&gt;"",수납!$D831,IF(COUNTIF(원생!$A$2:$A$501,수납!$C831)=1,INDEX(원생!$G$2:$G$501,MATCH(수납!$C831,원생!$A$2:$A$501,0))&amp;"","")))</f>
        <v/>
      </c>
      <c r="B831">
        <f>IFERROR(IF(수납!$B831="",YEAR(수납!$A831)*100+MONTH(수납!$A831),IF(ISNUMBER(수납!$B831),YEAR(수납!$B831)*100+MONTH(수납!$B831),VALUE(LEFT(수납!$B831,4))*100+VALUE(MID(수납!$B831,6,2)))),"")</f>
        <v/>
      </c>
      <c r="C831">
        <f>IF(OR(수납!$E831="수강료",수납!$E831=""),N(수납!$F831),0)</f>
        <v/>
      </c>
    </row>
    <row r="832">
      <c r="A832">
        <f>IF(수납!$C832="","",수납!$C832&amp;"|"&amp;IF(수납!$D832&lt;&gt;"",수납!$D832,IF(COUNTIF(원생!$A$2:$A$501,수납!$C832)=1,INDEX(원생!$G$2:$G$501,MATCH(수납!$C832,원생!$A$2:$A$501,0))&amp;"","")))</f>
        <v/>
      </c>
      <c r="B832">
        <f>IFERROR(IF(수납!$B832="",YEAR(수납!$A832)*100+MONTH(수납!$A832),IF(ISNUMBER(수납!$B832),YEAR(수납!$B832)*100+MONTH(수납!$B832),VALUE(LEFT(수납!$B832,4))*100+VALUE(MID(수납!$B832,6,2)))),"")</f>
        <v/>
      </c>
      <c r="C832">
        <f>IF(OR(수납!$E832="수강료",수납!$E832=""),N(수납!$F832),0)</f>
        <v/>
      </c>
    </row>
    <row r="833">
      <c r="A833">
        <f>IF(수납!$C833="","",수납!$C833&amp;"|"&amp;IF(수납!$D833&lt;&gt;"",수납!$D833,IF(COUNTIF(원생!$A$2:$A$501,수납!$C833)=1,INDEX(원생!$G$2:$G$501,MATCH(수납!$C833,원생!$A$2:$A$501,0))&amp;"","")))</f>
        <v/>
      </c>
      <c r="B833">
        <f>IFERROR(IF(수납!$B833="",YEAR(수납!$A833)*100+MONTH(수납!$A833),IF(ISNUMBER(수납!$B833),YEAR(수납!$B833)*100+MONTH(수납!$B833),VALUE(LEFT(수납!$B833,4))*100+VALUE(MID(수납!$B833,6,2)))),"")</f>
        <v/>
      </c>
      <c r="C833">
        <f>IF(OR(수납!$E833="수강료",수납!$E833=""),N(수납!$F833),0)</f>
        <v/>
      </c>
    </row>
    <row r="834">
      <c r="A834">
        <f>IF(수납!$C834="","",수납!$C834&amp;"|"&amp;IF(수납!$D834&lt;&gt;"",수납!$D834,IF(COUNTIF(원생!$A$2:$A$501,수납!$C834)=1,INDEX(원생!$G$2:$G$501,MATCH(수납!$C834,원생!$A$2:$A$501,0))&amp;"","")))</f>
        <v/>
      </c>
      <c r="B834">
        <f>IFERROR(IF(수납!$B834="",YEAR(수납!$A834)*100+MONTH(수납!$A834),IF(ISNUMBER(수납!$B834),YEAR(수납!$B834)*100+MONTH(수납!$B834),VALUE(LEFT(수납!$B834,4))*100+VALUE(MID(수납!$B834,6,2)))),"")</f>
        <v/>
      </c>
      <c r="C834">
        <f>IF(OR(수납!$E834="수강료",수납!$E834=""),N(수납!$F834),0)</f>
        <v/>
      </c>
    </row>
    <row r="835">
      <c r="A835">
        <f>IF(수납!$C835="","",수납!$C835&amp;"|"&amp;IF(수납!$D835&lt;&gt;"",수납!$D835,IF(COUNTIF(원생!$A$2:$A$501,수납!$C835)=1,INDEX(원생!$G$2:$G$501,MATCH(수납!$C835,원생!$A$2:$A$501,0))&amp;"","")))</f>
        <v/>
      </c>
      <c r="B835">
        <f>IFERROR(IF(수납!$B835="",YEAR(수납!$A835)*100+MONTH(수납!$A835),IF(ISNUMBER(수납!$B835),YEAR(수납!$B835)*100+MONTH(수납!$B835),VALUE(LEFT(수납!$B835,4))*100+VALUE(MID(수납!$B835,6,2)))),"")</f>
        <v/>
      </c>
      <c r="C835">
        <f>IF(OR(수납!$E835="수강료",수납!$E835=""),N(수납!$F835),0)</f>
        <v/>
      </c>
    </row>
    <row r="836">
      <c r="A836">
        <f>IF(수납!$C836="","",수납!$C836&amp;"|"&amp;IF(수납!$D836&lt;&gt;"",수납!$D836,IF(COUNTIF(원생!$A$2:$A$501,수납!$C836)=1,INDEX(원생!$G$2:$G$501,MATCH(수납!$C836,원생!$A$2:$A$501,0))&amp;"","")))</f>
        <v/>
      </c>
      <c r="B836">
        <f>IFERROR(IF(수납!$B836="",YEAR(수납!$A836)*100+MONTH(수납!$A836),IF(ISNUMBER(수납!$B836),YEAR(수납!$B836)*100+MONTH(수납!$B836),VALUE(LEFT(수납!$B836,4))*100+VALUE(MID(수납!$B836,6,2)))),"")</f>
        <v/>
      </c>
      <c r="C836">
        <f>IF(OR(수납!$E836="수강료",수납!$E836=""),N(수납!$F836),0)</f>
        <v/>
      </c>
    </row>
    <row r="837">
      <c r="A837">
        <f>IF(수납!$C837="","",수납!$C837&amp;"|"&amp;IF(수납!$D837&lt;&gt;"",수납!$D837,IF(COUNTIF(원생!$A$2:$A$501,수납!$C837)=1,INDEX(원생!$G$2:$G$501,MATCH(수납!$C837,원생!$A$2:$A$501,0))&amp;"","")))</f>
        <v/>
      </c>
      <c r="B837">
        <f>IFERROR(IF(수납!$B837="",YEAR(수납!$A837)*100+MONTH(수납!$A837),IF(ISNUMBER(수납!$B837),YEAR(수납!$B837)*100+MONTH(수납!$B837),VALUE(LEFT(수납!$B837,4))*100+VALUE(MID(수납!$B837,6,2)))),"")</f>
        <v/>
      </c>
      <c r="C837">
        <f>IF(OR(수납!$E837="수강료",수납!$E837=""),N(수납!$F837),0)</f>
        <v/>
      </c>
    </row>
    <row r="838">
      <c r="A838">
        <f>IF(수납!$C838="","",수납!$C838&amp;"|"&amp;IF(수납!$D838&lt;&gt;"",수납!$D838,IF(COUNTIF(원생!$A$2:$A$501,수납!$C838)=1,INDEX(원생!$G$2:$G$501,MATCH(수납!$C838,원생!$A$2:$A$501,0))&amp;"","")))</f>
        <v/>
      </c>
      <c r="B838">
        <f>IFERROR(IF(수납!$B838="",YEAR(수납!$A838)*100+MONTH(수납!$A838),IF(ISNUMBER(수납!$B838),YEAR(수납!$B838)*100+MONTH(수납!$B838),VALUE(LEFT(수납!$B838,4))*100+VALUE(MID(수납!$B838,6,2)))),"")</f>
        <v/>
      </c>
      <c r="C838">
        <f>IF(OR(수납!$E838="수강료",수납!$E838=""),N(수납!$F838),0)</f>
        <v/>
      </c>
    </row>
    <row r="839">
      <c r="A839">
        <f>IF(수납!$C839="","",수납!$C839&amp;"|"&amp;IF(수납!$D839&lt;&gt;"",수납!$D839,IF(COUNTIF(원생!$A$2:$A$501,수납!$C839)=1,INDEX(원생!$G$2:$G$501,MATCH(수납!$C839,원생!$A$2:$A$501,0))&amp;"","")))</f>
        <v/>
      </c>
      <c r="B839">
        <f>IFERROR(IF(수납!$B839="",YEAR(수납!$A839)*100+MONTH(수납!$A839),IF(ISNUMBER(수납!$B839),YEAR(수납!$B839)*100+MONTH(수납!$B839),VALUE(LEFT(수납!$B839,4))*100+VALUE(MID(수납!$B839,6,2)))),"")</f>
        <v/>
      </c>
      <c r="C839">
        <f>IF(OR(수납!$E839="수강료",수납!$E839=""),N(수납!$F839),0)</f>
        <v/>
      </c>
    </row>
    <row r="840">
      <c r="A840">
        <f>IF(수납!$C840="","",수납!$C840&amp;"|"&amp;IF(수납!$D840&lt;&gt;"",수납!$D840,IF(COUNTIF(원생!$A$2:$A$501,수납!$C840)=1,INDEX(원생!$G$2:$G$501,MATCH(수납!$C840,원생!$A$2:$A$501,0))&amp;"","")))</f>
        <v/>
      </c>
      <c r="B840">
        <f>IFERROR(IF(수납!$B840="",YEAR(수납!$A840)*100+MONTH(수납!$A840),IF(ISNUMBER(수납!$B840),YEAR(수납!$B840)*100+MONTH(수납!$B840),VALUE(LEFT(수납!$B840,4))*100+VALUE(MID(수납!$B840,6,2)))),"")</f>
        <v/>
      </c>
      <c r="C840">
        <f>IF(OR(수납!$E840="수강료",수납!$E840=""),N(수납!$F840),0)</f>
        <v/>
      </c>
    </row>
    <row r="841">
      <c r="A841">
        <f>IF(수납!$C841="","",수납!$C841&amp;"|"&amp;IF(수납!$D841&lt;&gt;"",수납!$D841,IF(COUNTIF(원생!$A$2:$A$501,수납!$C841)=1,INDEX(원생!$G$2:$G$501,MATCH(수납!$C841,원생!$A$2:$A$501,0))&amp;"","")))</f>
        <v/>
      </c>
      <c r="B841">
        <f>IFERROR(IF(수납!$B841="",YEAR(수납!$A841)*100+MONTH(수납!$A841),IF(ISNUMBER(수납!$B841),YEAR(수납!$B841)*100+MONTH(수납!$B841),VALUE(LEFT(수납!$B841,4))*100+VALUE(MID(수납!$B841,6,2)))),"")</f>
        <v/>
      </c>
      <c r="C841">
        <f>IF(OR(수납!$E841="수강료",수납!$E841=""),N(수납!$F841),0)</f>
        <v/>
      </c>
    </row>
    <row r="842">
      <c r="A842">
        <f>IF(수납!$C842="","",수납!$C842&amp;"|"&amp;IF(수납!$D842&lt;&gt;"",수납!$D842,IF(COUNTIF(원생!$A$2:$A$501,수납!$C842)=1,INDEX(원생!$G$2:$G$501,MATCH(수납!$C842,원생!$A$2:$A$501,0))&amp;"","")))</f>
        <v/>
      </c>
      <c r="B842">
        <f>IFERROR(IF(수납!$B842="",YEAR(수납!$A842)*100+MONTH(수납!$A842),IF(ISNUMBER(수납!$B842),YEAR(수납!$B842)*100+MONTH(수납!$B842),VALUE(LEFT(수납!$B842,4))*100+VALUE(MID(수납!$B842,6,2)))),"")</f>
        <v/>
      </c>
      <c r="C842">
        <f>IF(OR(수납!$E842="수강료",수납!$E842=""),N(수납!$F842),0)</f>
        <v/>
      </c>
    </row>
    <row r="843">
      <c r="A843">
        <f>IF(수납!$C843="","",수납!$C843&amp;"|"&amp;IF(수납!$D843&lt;&gt;"",수납!$D843,IF(COUNTIF(원생!$A$2:$A$501,수납!$C843)=1,INDEX(원생!$G$2:$G$501,MATCH(수납!$C843,원생!$A$2:$A$501,0))&amp;"","")))</f>
        <v/>
      </c>
      <c r="B843">
        <f>IFERROR(IF(수납!$B843="",YEAR(수납!$A843)*100+MONTH(수납!$A843),IF(ISNUMBER(수납!$B843),YEAR(수납!$B843)*100+MONTH(수납!$B843),VALUE(LEFT(수납!$B843,4))*100+VALUE(MID(수납!$B843,6,2)))),"")</f>
        <v/>
      </c>
      <c r="C843">
        <f>IF(OR(수납!$E843="수강료",수납!$E843=""),N(수납!$F843),0)</f>
        <v/>
      </c>
    </row>
    <row r="844">
      <c r="A844">
        <f>IF(수납!$C844="","",수납!$C844&amp;"|"&amp;IF(수납!$D844&lt;&gt;"",수납!$D844,IF(COUNTIF(원생!$A$2:$A$501,수납!$C844)=1,INDEX(원생!$G$2:$G$501,MATCH(수납!$C844,원생!$A$2:$A$501,0))&amp;"","")))</f>
        <v/>
      </c>
      <c r="B844">
        <f>IFERROR(IF(수납!$B844="",YEAR(수납!$A844)*100+MONTH(수납!$A844),IF(ISNUMBER(수납!$B844),YEAR(수납!$B844)*100+MONTH(수납!$B844),VALUE(LEFT(수납!$B844,4))*100+VALUE(MID(수납!$B844,6,2)))),"")</f>
        <v/>
      </c>
      <c r="C844">
        <f>IF(OR(수납!$E844="수강료",수납!$E844=""),N(수납!$F844),0)</f>
        <v/>
      </c>
    </row>
    <row r="845">
      <c r="A845">
        <f>IF(수납!$C845="","",수납!$C845&amp;"|"&amp;IF(수납!$D845&lt;&gt;"",수납!$D845,IF(COUNTIF(원생!$A$2:$A$501,수납!$C845)=1,INDEX(원생!$G$2:$G$501,MATCH(수납!$C845,원생!$A$2:$A$501,0))&amp;"","")))</f>
        <v/>
      </c>
      <c r="B845">
        <f>IFERROR(IF(수납!$B845="",YEAR(수납!$A845)*100+MONTH(수납!$A845),IF(ISNUMBER(수납!$B845),YEAR(수납!$B845)*100+MONTH(수납!$B845),VALUE(LEFT(수납!$B845,4))*100+VALUE(MID(수납!$B845,6,2)))),"")</f>
        <v/>
      </c>
      <c r="C845">
        <f>IF(OR(수납!$E845="수강료",수납!$E845=""),N(수납!$F845),0)</f>
        <v/>
      </c>
    </row>
    <row r="846">
      <c r="A846">
        <f>IF(수납!$C846="","",수납!$C846&amp;"|"&amp;IF(수납!$D846&lt;&gt;"",수납!$D846,IF(COUNTIF(원생!$A$2:$A$501,수납!$C846)=1,INDEX(원생!$G$2:$G$501,MATCH(수납!$C846,원생!$A$2:$A$501,0))&amp;"","")))</f>
        <v/>
      </c>
      <c r="B846">
        <f>IFERROR(IF(수납!$B846="",YEAR(수납!$A846)*100+MONTH(수납!$A846),IF(ISNUMBER(수납!$B846),YEAR(수납!$B846)*100+MONTH(수납!$B846),VALUE(LEFT(수납!$B846,4))*100+VALUE(MID(수납!$B846,6,2)))),"")</f>
        <v/>
      </c>
      <c r="C846">
        <f>IF(OR(수납!$E846="수강료",수납!$E846=""),N(수납!$F846),0)</f>
        <v/>
      </c>
    </row>
    <row r="847">
      <c r="A847">
        <f>IF(수납!$C847="","",수납!$C847&amp;"|"&amp;IF(수납!$D847&lt;&gt;"",수납!$D847,IF(COUNTIF(원생!$A$2:$A$501,수납!$C847)=1,INDEX(원생!$G$2:$G$501,MATCH(수납!$C847,원생!$A$2:$A$501,0))&amp;"","")))</f>
        <v/>
      </c>
      <c r="B847">
        <f>IFERROR(IF(수납!$B847="",YEAR(수납!$A847)*100+MONTH(수납!$A847),IF(ISNUMBER(수납!$B847),YEAR(수납!$B847)*100+MONTH(수납!$B847),VALUE(LEFT(수납!$B847,4))*100+VALUE(MID(수납!$B847,6,2)))),"")</f>
        <v/>
      </c>
      <c r="C847">
        <f>IF(OR(수납!$E847="수강료",수납!$E847=""),N(수납!$F847),0)</f>
        <v/>
      </c>
    </row>
    <row r="848">
      <c r="A848">
        <f>IF(수납!$C848="","",수납!$C848&amp;"|"&amp;IF(수납!$D848&lt;&gt;"",수납!$D848,IF(COUNTIF(원생!$A$2:$A$501,수납!$C848)=1,INDEX(원생!$G$2:$G$501,MATCH(수납!$C848,원생!$A$2:$A$501,0))&amp;"","")))</f>
        <v/>
      </c>
      <c r="B848">
        <f>IFERROR(IF(수납!$B848="",YEAR(수납!$A848)*100+MONTH(수납!$A848),IF(ISNUMBER(수납!$B848),YEAR(수납!$B848)*100+MONTH(수납!$B848),VALUE(LEFT(수납!$B848,4))*100+VALUE(MID(수납!$B848,6,2)))),"")</f>
        <v/>
      </c>
      <c r="C848">
        <f>IF(OR(수납!$E848="수강료",수납!$E848=""),N(수납!$F848),0)</f>
        <v/>
      </c>
    </row>
    <row r="849">
      <c r="A849">
        <f>IF(수납!$C849="","",수납!$C849&amp;"|"&amp;IF(수납!$D849&lt;&gt;"",수납!$D849,IF(COUNTIF(원생!$A$2:$A$501,수납!$C849)=1,INDEX(원생!$G$2:$G$501,MATCH(수납!$C849,원생!$A$2:$A$501,0))&amp;"","")))</f>
        <v/>
      </c>
      <c r="B849">
        <f>IFERROR(IF(수납!$B849="",YEAR(수납!$A849)*100+MONTH(수납!$A849),IF(ISNUMBER(수납!$B849),YEAR(수납!$B849)*100+MONTH(수납!$B849),VALUE(LEFT(수납!$B849,4))*100+VALUE(MID(수납!$B849,6,2)))),"")</f>
        <v/>
      </c>
      <c r="C849">
        <f>IF(OR(수납!$E849="수강료",수납!$E849=""),N(수납!$F849),0)</f>
        <v/>
      </c>
    </row>
    <row r="850">
      <c r="A850">
        <f>IF(수납!$C850="","",수납!$C850&amp;"|"&amp;IF(수납!$D850&lt;&gt;"",수납!$D850,IF(COUNTIF(원생!$A$2:$A$501,수납!$C850)=1,INDEX(원생!$G$2:$G$501,MATCH(수납!$C850,원생!$A$2:$A$501,0))&amp;"","")))</f>
        <v/>
      </c>
      <c r="B850">
        <f>IFERROR(IF(수납!$B850="",YEAR(수납!$A850)*100+MONTH(수납!$A850),IF(ISNUMBER(수납!$B850),YEAR(수납!$B850)*100+MONTH(수납!$B850),VALUE(LEFT(수납!$B850,4))*100+VALUE(MID(수납!$B850,6,2)))),"")</f>
        <v/>
      </c>
      <c r="C850">
        <f>IF(OR(수납!$E850="수강료",수납!$E850=""),N(수납!$F850),0)</f>
        <v/>
      </c>
    </row>
    <row r="851">
      <c r="A851">
        <f>IF(수납!$C851="","",수납!$C851&amp;"|"&amp;IF(수납!$D851&lt;&gt;"",수납!$D851,IF(COUNTIF(원생!$A$2:$A$501,수납!$C851)=1,INDEX(원생!$G$2:$G$501,MATCH(수납!$C851,원생!$A$2:$A$501,0))&amp;"","")))</f>
        <v/>
      </c>
      <c r="B851">
        <f>IFERROR(IF(수납!$B851="",YEAR(수납!$A851)*100+MONTH(수납!$A851),IF(ISNUMBER(수납!$B851),YEAR(수납!$B851)*100+MONTH(수납!$B851),VALUE(LEFT(수납!$B851,4))*100+VALUE(MID(수납!$B851,6,2)))),"")</f>
        <v/>
      </c>
      <c r="C851">
        <f>IF(OR(수납!$E851="수강료",수납!$E851=""),N(수납!$F851),0)</f>
        <v/>
      </c>
    </row>
    <row r="852">
      <c r="A852">
        <f>IF(수납!$C852="","",수납!$C852&amp;"|"&amp;IF(수납!$D852&lt;&gt;"",수납!$D852,IF(COUNTIF(원생!$A$2:$A$501,수납!$C852)=1,INDEX(원생!$G$2:$G$501,MATCH(수납!$C852,원생!$A$2:$A$501,0))&amp;"","")))</f>
        <v/>
      </c>
      <c r="B852">
        <f>IFERROR(IF(수납!$B852="",YEAR(수납!$A852)*100+MONTH(수납!$A852),IF(ISNUMBER(수납!$B852),YEAR(수납!$B852)*100+MONTH(수납!$B852),VALUE(LEFT(수납!$B852,4))*100+VALUE(MID(수납!$B852,6,2)))),"")</f>
        <v/>
      </c>
      <c r="C852">
        <f>IF(OR(수납!$E852="수강료",수납!$E852=""),N(수납!$F852),0)</f>
        <v/>
      </c>
    </row>
    <row r="853">
      <c r="A853">
        <f>IF(수납!$C853="","",수납!$C853&amp;"|"&amp;IF(수납!$D853&lt;&gt;"",수납!$D853,IF(COUNTIF(원생!$A$2:$A$501,수납!$C853)=1,INDEX(원생!$G$2:$G$501,MATCH(수납!$C853,원생!$A$2:$A$501,0))&amp;"","")))</f>
        <v/>
      </c>
      <c r="B853">
        <f>IFERROR(IF(수납!$B853="",YEAR(수납!$A853)*100+MONTH(수납!$A853),IF(ISNUMBER(수납!$B853),YEAR(수납!$B853)*100+MONTH(수납!$B853),VALUE(LEFT(수납!$B853,4))*100+VALUE(MID(수납!$B853,6,2)))),"")</f>
        <v/>
      </c>
      <c r="C853">
        <f>IF(OR(수납!$E853="수강료",수납!$E853=""),N(수납!$F853),0)</f>
        <v/>
      </c>
    </row>
    <row r="854">
      <c r="A854">
        <f>IF(수납!$C854="","",수납!$C854&amp;"|"&amp;IF(수납!$D854&lt;&gt;"",수납!$D854,IF(COUNTIF(원생!$A$2:$A$501,수납!$C854)=1,INDEX(원생!$G$2:$G$501,MATCH(수납!$C854,원생!$A$2:$A$501,0))&amp;"","")))</f>
        <v/>
      </c>
      <c r="B854">
        <f>IFERROR(IF(수납!$B854="",YEAR(수납!$A854)*100+MONTH(수납!$A854),IF(ISNUMBER(수납!$B854),YEAR(수납!$B854)*100+MONTH(수납!$B854),VALUE(LEFT(수납!$B854,4))*100+VALUE(MID(수납!$B854,6,2)))),"")</f>
        <v/>
      </c>
      <c r="C854">
        <f>IF(OR(수납!$E854="수강료",수납!$E854=""),N(수납!$F854),0)</f>
        <v/>
      </c>
    </row>
    <row r="855">
      <c r="A855">
        <f>IF(수납!$C855="","",수납!$C855&amp;"|"&amp;IF(수납!$D855&lt;&gt;"",수납!$D855,IF(COUNTIF(원생!$A$2:$A$501,수납!$C855)=1,INDEX(원생!$G$2:$G$501,MATCH(수납!$C855,원생!$A$2:$A$501,0))&amp;"","")))</f>
        <v/>
      </c>
      <c r="B855">
        <f>IFERROR(IF(수납!$B855="",YEAR(수납!$A855)*100+MONTH(수납!$A855),IF(ISNUMBER(수납!$B855),YEAR(수납!$B855)*100+MONTH(수납!$B855),VALUE(LEFT(수납!$B855,4))*100+VALUE(MID(수납!$B855,6,2)))),"")</f>
        <v/>
      </c>
      <c r="C855">
        <f>IF(OR(수납!$E855="수강료",수납!$E855=""),N(수납!$F855),0)</f>
        <v/>
      </c>
    </row>
    <row r="856">
      <c r="A856">
        <f>IF(수납!$C856="","",수납!$C856&amp;"|"&amp;IF(수납!$D856&lt;&gt;"",수납!$D856,IF(COUNTIF(원생!$A$2:$A$501,수납!$C856)=1,INDEX(원생!$G$2:$G$501,MATCH(수납!$C856,원생!$A$2:$A$501,0))&amp;"","")))</f>
        <v/>
      </c>
      <c r="B856">
        <f>IFERROR(IF(수납!$B856="",YEAR(수납!$A856)*100+MONTH(수납!$A856),IF(ISNUMBER(수납!$B856),YEAR(수납!$B856)*100+MONTH(수납!$B856),VALUE(LEFT(수납!$B856,4))*100+VALUE(MID(수납!$B856,6,2)))),"")</f>
        <v/>
      </c>
      <c r="C856">
        <f>IF(OR(수납!$E856="수강료",수납!$E856=""),N(수납!$F856),0)</f>
        <v/>
      </c>
    </row>
    <row r="857">
      <c r="A857">
        <f>IF(수납!$C857="","",수납!$C857&amp;"|"&amp;IF(수납!$D857&lt;&gt;"",수납!$D857,IF(COUNTIF(원생!$A$2:$A$501,수납!$C857)=1,INDEX(원생!$G$2:$G$501,MATCH(수납!$C857,원생!$A$2:$A$501,0))&amp;"","")))</f>
        <v/>
      </c>
      <c r="B857">
        <f>IFERROR(IF(수납!$B857="",YEAR(수납!$A857)*100+MONTH(수납!$A857),IF(ISNUMBER(수납!$B857),YEAR(수납!$B857)*100+MONTH(수납!$B857),VALUE(LEFT(수납!$B857,4))*100+VALUE(MID(수납!$B857,6,2)))),"")</f>
        <v/>
      </c>
      <c r="C857">
        <f>IF(OR(수납!$E857="수강료",수납!$E857=""),N(수납!$F857),0)</f>
        <v/>
      </c>
    </row>
    <row r="858">
      <c r="A858">
        <f>IF(수납!$C858="","",수납!$C858&amp;"|"&amp;IF(수납!$D858&lt;&gt;"",수납!$D858,IF(COUNTIF(원생!$A$2:$A$501,수납!$C858)=1,INDEX(원생!$G$2:$G$501,MATCH(수납!$C858,원생!$A$2:$A$501,0))&amp;"","")))</f>
        <v/>
      </c>
      <c r="B858">
        <f>IFERROR(IF(수납!$B858="",YEAR(수납!$A858)*100+MONTH(수납!$A858),IF(ISNUMBER(수납!$B858),YEAR(수납!$B858)*100+MONTH(수납!$B858),VALUE(LEFT(수납!$B858,4))*100+VALUE(MID(수납!$B858,6,2)))),"")</f>
        <v/>
      </c>
      <c r="C858">
        <f>IF(OR(수납!$E858="수강료",수납!$E858=""),N(수납!$F858),0)</f>
        <v/>
      </c>
    </row>
    <row r="859">
      <c r="A859">
        <f>IF(수납!$C859="","",수납!$C859&amp;"|"&amp;IF(수납!$D859&lt;&gt;"",수납!$D859,IF(COUNTIF(원생!$A$2:$A$501,수납!$C859)=1,INDEX(원생!$G$2:$G$501,MATCH(수납!$C859,원생!$A$2:$A$501,0))&amp;"","")))</f>
        <v/>
      </c>
      <c r="B859">
        <f>IFERROR(IF(수납!$B859="",YEAR(수납!$A859)*100+MONTH(수납!$A859),IF(ISNUMBER(수납!$B859),YEAR(수납!$B859)*100+MONTH(수납!$B859),VALUE(LEFT(수납!$B859,4))*100+VALUE(MID(수납!$B859,6,2)))),"")</f>
        <v/>
      </c>
      <c r="C859">
        <f>IF(OR(수납!$E859="수강료",수납!$E859=""),N(수납!$F859),0)</f>
        <v/>
      </c>
    </row>
    <row r="860">
      <c r="A860">
        <f>IF(수납!$C860="","",수납!$C860&amp;"|"&amp;IF(수납!$D860&lt;&gt;"",수납!$D860,IF(COUNTIF(원생!$A$2:$A$501,수납!$C860)=1,INDEX(원생!$G$2:$G$501,MATCH(수납!$C860,원생!$A$2:$A$501,0))&amp;"","")))</f>
        <v/>
      </c>
      <c r="B860">
        <f>IFERROR(IF(수납!$B860="",YEAR(수납!$A860)*100+MONTH(수납!$A860),IF(ISNUMBER(수납!$B860),YEAR(수납!$B860)*100+MONTH(수납!$B860),VALUE(LEFT(수납!$B860,4))*100+VALUE(MID(수납!$B860,6,2)))),"")</f>
        <v/>
      </c>
      <c r="C860">
        <f>IF(OR(수납!$E860="수강료",수납!$E860=""),N(수납!$F860),0)</f>
        <v/>
      </c>
    </row>
    <row r="861">
      <c r="A861">
        <f>IF(수납!$C861="","",수납!$C861&amp;"|"&amp;IF(수납!$D861&lt;&gt;"",수납!$D861,IF(COUNTIF(원생!$A$2:$A$501,수납!$C861)=1,INDEX(원생!$G$2:$G$501,MATCH(수납!$C861,원생!$A$2:$A$501,0))&amp;"","")))</f>
        <v/>
      </c>
      <c r="B861">
        <f>IFERROR(IF(수납!$B861="",YEAR(수납!$A861)*100+MONTH(수납!$A861),IF(ISNUMBER(수납!$B861),YEAR(수납!$B861)*100+MONTH(수납!$B861),VALUE(LEFT(수납!$B861,4))*100+VALUE(MID(수납!$B861,6,2)))),"")</f>
        <v/>
      </c>
      <c r="C861">
        <f>IF(OR(수납!$E861="수강료",수납!$E861=""),N(수납!$F861),0)</f>
        <v/>
      </c>
    </row>
    <row r="862">
      <c r="A862">
        <f>IF(수납!$C862="","",수납!$C862&amp;"|"&amp;IF(수납!$D862&lt;&gt;"",수납!$D862,IF(COUNTIF(원생!$A$2:$A$501,수납!$C862)=1,INDEX(원생!$G$2:$G$501,MATCH(수납!$C862,원생!$A$2:$A$501,0))&amp;"","")))</f>
        <v/>
      </c>
      <c r="B862">
        <f>IFERROR(IF(수납!$B862="",YEAR(수납!$A862)*100+MONTH(수납!$A862),IF(ISNUMBER(수납!$B862),YEAR(수납!$B862)*100+MONTH(수납!$B862),VALUE(LEFT(수납!$B862,4))*100+VALUE(MID(수납!$B862,6,2)))),"")</f>
        <v/>
      </c>
      <c r="C862">
        <f>IF(OR(수납!$E862="수강료",수납!$E862=""),N(수납!$F862),0)</f>
        <v/>
      </c>
    </row>
    <row r="863">
      <c r="A863">
        <f>IF(수납!$C863="","",수납!$C863&amp;"|"&amp;IF(수납!$D863&lt;&gt;"",수납!$D863,IF(COUNTIF(원생!$A$2:$A$501,수납!$C863)=1,INDEX(원생!$G$2:$G$501,MATCH(수납!$C863,원생!$A$2:$A$501,0))&amp;"","")))</f>
        <v/>
      </c>
      <c r="B863">
        <f>IFERROR(IF(수납!$B863="",YEAR(수납!$A863)*100+MONTH(수납!$A863),IF(ISNUMBER(수납!$B863),YEAR(수납!$B863)*100+MONTH(수납!$B863),VALUE(LEFT(수납!$B863,4))*100+VALUE(MID(수납!$B863,6,2)))),"")</f>
        <v/>
      </c>
      <c r="C863">
        <f>IF(OR(수납!$E863="수강료",수납!$E863=""),N(수납!$F863),0)</f>
        <v/>
      </c>
    </row>
    <row r="864">
      <c r="A864">
        <f>IF(수납!$C864="","",수납!$C864&amp;"|"&amp;IF(수납!$D864&lt;&gt;"",수납!$D864,IF(COUNTIF(원생!$A$2:$A$501,수납!$C864)=1,INDEX(원생!$G$2:$G$501,MATCH(수납!$C864,원생!$A$2:$A$501,0))&amp;"","")))</f>
        <v/>
      </c>
      <c r="B864">
        <f>IFERROR(IF(수납!$B864="",YEAR(수납!$A864)*100+MONTH(수납!$A864),IF(ISNUMBER(수납!$B864),YEAR(수납!$B864)*100+MONTH(수납!$B864),VALUE(LEFT(수납!$B864,4))*100+VALUE(MID(수납!$B864,6,2)))),"")</f>
        <v/>
      </c>
      <c r="C864">
        <f>IF(OR(수납!$E864="수강료",수납!$E864=""),N(수납!$F864),0)</f>
        <v/>
      </c>
    </row>
    <row r="865">
      <c r="A865">
        <f>IF(수납!$C865="","",수납!$C865&amp;"|"&amp;IF(수납!$D865&lt;&gt;"",수납!$D865,IF(COUNTIF(원생!$A$2:$A$501,수납!$C865)=1,INDEX(원생!$G$2:$G$501,MATCH(수납!$C865,원생!$A$2:$A$501,0))&amp;"","")))</f>
        <v/>
      </c>
      <c r="B865">
        <f>IFERROR(IF(수납!$B865="",YEAR(수납!$A865)*100+MONTH(수납!$A865),IF(ISNUMBER(수납!$B865),YEAR(수납!$B865)*100+MONTH(수납!$B865),VALUE(LEFT(수납!$B865,4))*100+VALUE(MID(수납!$B865,6,2)))),"")</f>
        <v/>
      </c>
      <c r="C865">
        <f>IF(OR(수납!$E865="수강료",수납!$E865=""),N(수납!$F865),0)</f>
        <v/>
      </c>
    </row>
    <row r="866">
      <c r="A866">
        <f>IF(수납!$C866="","",수납!$C866&amp;"|"&amp;IF(수납!$D866&lt;&gt;"",수납!$D866,IF(COUNTIF(원생!$A$2:$A$501,수납!$C866)=1,INDEX(원생!$G$2:$G$501,MATCH(수납!$C866,원생!$A$2:$A$501,0))&amp;"","")))</f>
        <v/>
      </c>
      <c r="B866">
        <f>IFERROR(IF(수납!$B866="",YEAR(수납!$A866)*100+MONTH(수납!$A866),IF(ISNUMBER(수납!$B866),YEAR(수납!$B866)*100+MONTH(수납!$B866),VALUE(LEFT(수납!$B866,4))*100+VALUE(MID(수납!$B866,6,2)))),"")</f>
        <v/>
      </c>
      <c r="C866">
        <f>IF(OR(수납!$E866="수강료",수납!$E866=""),N(수납!$F866),0)</f>
        <v/>
      </c>
    </row>
    <row r="867">
      <c r="A867">
        <f>IF(수납!$C867="","",수납!$C867&amp;"|"&amp;IF(수납!$D867&lt;&gt;"",수납!$D867,IF(COUNTIF(원생!$A$2:$A$501,수납!$C867)=1,INDEX(원생!$G$2:$G$501,MATCH(수납!$C867,원생!$A$2:$A$501,0))&amp;"","")))</f>
        <v/>
      </c>
      <c r="B867">
        <f>IFERROR(IF(수납!$B867="",YEAR(수납!$A867)*100+MONTH(수납!$A867),IF(ISNUMBER(수납!$B867),YEAR(수납!$B867)*100+MONTH(수납!$B867),VALUE(LEFT(수납!$B867,4))*100+VALUE(MID(수납!$B867,6,2)))),"")</f>
        <v/>
      </c>
      <c r="C867">
        <f>IF(OR(수납!$E867="수강료",수납!$E867=""),N(수납!$F867),0)</f>
        <v/>
      </c>
    </row>
    <row r="868">
      <c r="A868">
        <f>IF(수납!$C868="","",수납!$C868&amp;"|"&amp;IF(수납!$D868&lt;&gt;"",수납!$D868,IF(COUNTIF(원생!$A$2:$A$501,수납!$C868)=1,INDEX(원생!$G$2:$G$501,MATCH(수납!$C868,원생!$A$2:$A$501,0))&amp;"","")))</f>
        <v/>
      </c>
      <c r="B868">
        <f>IFERROR(IF(수납!$B868="",YEAR(수납!$A868)*100+MONTH(수납!$A868),IF(ISNUMBER(수납!$B868),YEAR(수납!$B868)*100+MONTH(수납!$B868),VALUE(LEFT(수납!$B868,4))*100+VALUE(MID(수납!$B868,6,2)))),"")</f>
        <v/>
      </c>
      <c r="C868">
        <f>IF(OR(수납!$E868="수강료",수납!$E868=""),N(수납!$F868),0)</f>
        <v/>
      </c>
    </row>
    <row r="869">
      <c r="A869">
        <f>IF(수납!$C869="","",수납!$C869&amp;"|"&amp;IF(수납!$D869&lt;&gt;"",수납!$D869,IF(COUNTIF(원생!$A$2:$A$501,수납!$C869)=1,INDEX(원생!$G$2:$G$501,MATCH(수납!$C869,원생!$A$2:$A$501,0))&amp;"","")))</f>
        <v/>
      </c>
      <c r="B869">
        <f>IFERROR(IF(수납!$B869="",YEAR(수납!$A869)*100+MONTH(수납!$A869),IF(ISNUMBER(수납!$B869),YEAR(수납!$B869)*100+MONTH(수납!$B869),VALUE(LEFT(수납!$B869,4))*100+VALUE(MID(수납!$B869,6,2)))),"")</f>
        <v/>
      </c>
      <c r="C869">
        <f>IF(OR(수납!$E869="수강료",수납!$E869=""),N(수납!$F869),0)</f>
        <v/>
      </c>
    </row>
    <row r="870">
      <c r="A870">
        <f>IF(수납!$C870="","",수납!$C870&amp;"|"&amp;IF(수납!$D870&lt;&gt;"",수납!$D870,IF(COUNTIF(원생!$A$2:$A$501,수납!$C870)=1,INDEX(원생!$G$2:$G$501,MATCH(수납!$C870,원생!$A$2:$A$501,0))&amp;"","")))</f>
        <v/>
      </c>
      <c r="B870">
        <f>IFERROR(IF(수납!$B870="",YEAR(수납!$A870)*100+MONTH(수납!$A870),IF(ISNUMBER(수납!$B870),YEAR(수납!$B870)*100+MONTH(수납!$B870),VALUE(LEFT(수납!$B870,4))*100+VALUE(MID(수납!$B870,6,2)))),"")</f>
        <v/>
      </c>
      <c r="C870">
        <f>IF(OR(수납!$E870="수강료",수납!$E870=""),N(수납!$F870),0)</f>
        <v/>
      </c>
    </row>
    <row r="871">
      <c r="A871">
        <f>IF(수납!$C871="","",수납!$C871&amp;"|"&amp;IF(수납!$D871&lt;&gt;"",수납!$D871,IF(COUNTIF(원생!$A$2:$A$501,수납!$C871)=1,INDEX(원생!$G$2:$G$501,MATCH(수납!$C871,원생!$A$2:$A$501,0))&amp;"","")))</f>
        <v/>
      </c>
      <c r="B871">
        <f>IFERROR(IF(수납!$B871="",YEAR(수납!$A871)*100+MONTH(수납!$A871),IF(ISNUMBER(수납!$B871),YEAR(수납!$B871)*100+MONTH(수납!$B871),VALUE(LEFT(수납!$B871,4))*100+VALUE(MID(수납!$B871,6,2)))),"")</f>
        <v/>
      </c>
      <c r="C871">
        <f>IF(OR(수납!$E871="수강료",수납!$E871=""),N(수납!$F871),0)</f>
        <v/>
      </c>
    </row>
    <row r="872">
      <c r="A872">
        <f>IF(수납!$C872="","",수납!$C872&amp;"|"&amp;IF(수납!$D872&lt;&gt;"",수납!$D872,IF(COUNTIF(원생!$A$2:$A$501,수납!$C872)=1,INDEX(원생!$G$2:$G$501,MATCH(수납!$C872,원생!$A$2:$A$501,0))&amp;"","")))</f>
        <v/>
      </c>
      <c r="B872">
        <f>IFERROR(IF(수납!$B872="",YEAR(수납!$A872)*100+MONTH(수납!$A872),IF(ISNUMBER(수납!$B872),YEAR(수납!$B872)*100+MONTH(수납!$B872),VALUE(LEFT(수납!$B872,4))*100+VALUE(MID(수납!$B872,6,2)))),"")</f>
        <v/>
      </c>
      <c r="C872">
        <f>IF(OR(수납!$E872="수강료",수납!$E872=""),N(수납!$F872),0)</f>
        <v/>
      </c>
    </row>
    <row r="873">
      <c r="A873">
        <f>IF(수납!$C873="","",수납!$C873&amp;"|"&amp;IF(수납!$D873&lt;&gt;"",수납!$D873,IF(COUNTIF(원생!$A$2:$A$501,수납!$C873)=1,INDEX(원생!$G$2:$G$501,MATCH(수납!$C873,원생!$A$2:$A$501,0))&amp;"","")))</f>
        <v/>
      </c>
      <c r="B873">
        <f>IFERROR(IF(수납!$B873="",YEAR(수납!$A873)*100+MONTH(수납!$A873),IF(ISNUMBER(수납!$B873),YEAR(수납!$B873)*100+MONTH(수납!$B873),VALUE(LEFT(수납!$B873,4))*100+VALUE(MID(수납!$B873,6,2)))),"")</f>
        <v/>
      </c>
      <c r="C873">
        <f>IF(OR(수납!$E873="수강료",수납!$E873=""),N(수납!$F873),0)</f>
        <v/>
      </c>
    </row>
    <row r="874">
      <c r="A874">
        <f>IF(수납!$C874="","",수납!$C874&amp;"|"&amp;IF(수납!$D874&lt;&gt;"",수납!$D874,IF(COUNTIF(원생!$A$2:$A$501,수납!$C874)=1,INDEX(원생!$G$2:$G$501,MATCH(수납!$C874,원생!$A$2:$A$501,0))&amp;"","")))</f>
        <v/>
      </c>
      <c r="B874">
        <f>IFERROR(IF(수납!$B874="",YEAR(수납!$A874)*100+MONTH(수납!$A874),IF(ISNUMBER(수납!$B874),YEAR(수납!$B874)*100+MONTH(수납!$B874),VALUE(LEFT(수납!$B874,4))*100+VALUE(MID(수납!$B874,6,2)))),"")</f>
        <v/>
      </c>
      <c r="C874">
        <f>IF(OR(수납!$E874="수강료",수납!$E874=""),N(수납!$F874),0)</f>
        <v/>
      </c>
    </row>
    <row r="875">
      <c r="A875">
        <f>IF(수납!$C875="","",수납!$C875&amp;"|"&amp;IF(수납!$D875&lt;&gt;"",수납!$D875,IF(COUNTIF(원생!$A$2:$A$501,수납!$C875)=1,INDEX(원생!$G$2:$G$501,MATCH(수납!$C875,원생!$A$2:$A$501,0))&amp;"","")))</f>
        <v/>
      </c>
      <c r="B875">
        <f>IFERROR(IF(수납!$B875="",YEAR(수납!$A875)*100+MONTH(수납!$A875),IF(ISNUMBER(수납!$B875),YEAR(수납!$B875)*100+MONTH(수납!$B875),VALUE(LEFT(수납!$B875,4))*100+VALUE(MID(수납!$B875,6,2)))),"")</f>
        <v/>
      </c>
      <c r="C875">
        <f>IF(OR(수납!$E875="수강료",수납!$E875=""),N(수납!$F875),0)</f>
        <v/>
      </c>
    </row>
    <row r="876">
      <c r="A876">
        <f>IF(수납!$C876="","",수납!$C876&amp;"|"&amp;IF(수납!$D876&lt;&gt;"",수납!$D876,IF(COUNTIF(원생!$A$2:$A$501,수납!$C876)=1,INDEX(원생!$G$2:$G$501,MATCH(수납!$C876,원생!$A$2:$A$501,0))&amp;"","")))</f>
        <v/>
      </c>
      <c r="B876">
        <f>IFERROR(IF(수납!$B876="",YEAR(수납!$A876)*100+MONTH(수납!$A876),IF(ISNUMBER(수납!$B876),YEAR(수납!$B876)*100+MONTH(수납!$B876),VALUE(LEFT(수납!$B876,4))*100+VALUE(MID(수납!$B876,6,2)))),"")</f>
        <v/>
      </c>
      <c r="C876">
        <f>IF(OR(수납!$E876="수강료",수납!$E876=""),N(수납!$F876),0)</f>
        <v/>
      </c>
    </row>
    <row r="877">
      <c r="A877">
        <f>IF(수납!$C877="","",수납!$C877&amp;"|"&amp;IF(수납!$D877&lt;&gt;"",수납!$D877,IF(COUNTIF(원생!$A$2:$A$501,수납!$C877)=1,INDEX(원생!$G$2:$G$501,MATCH(수납!$C877,원생!$A$2:$A$501,0))&amp;"","")))</f>
        <v/>
      </c>
      <c r="B877">
        <f>IFERROR(IF(수납!$B877="",YEAR(수납!$A877)*100+MONTH(수납!$A877),IF(ISNUMBER(수납!$B877),YEAR(수납!$B877)*100+MONTH(수납!$B877),VALUE(LEFT(수납!$B877,4))*100+VALUE(MID(수납!$B877,6,2)))),"")</f>
        <v/>
      </c>
      <c r="C877">
        <f>IF(OR(수납!$E877="수강료",수납!$E877=""),N(수납!$F877),0)</f>
        <v/>
      </c>
    </row>
    <row r="878">
      <c r="A878">
        <f>IF(수납!$C878="","",수납!$C878&amp;"|"&amp;IF(수납!$D878&lt;&gt;"",수납!$D878,IF(COUNTIF(원생!$A$2:$A$501,수납!$C878)=1,INDEX(원생!$G$2:$G$501,MATCH(수납!$C878,원생!$A$2:$A$501,0))&amp;"","")))</f>
        <v/>
      </c>
      <c r="B878">
        <f>IFERROR(IF(수납!$B878="",YEAR(수납!$A878)*100+MONTH(수납!$A878),IF(ISNUMBER(수납!$B878),YEAR(수납!$B878)*100+MONTH(수납!$B878),VALUE(LEFT(수납!$B878,4))*100+VALUE(MID(수납!$B878,6,2)))),"")</f>
        <v/>
      </c>
      <c r="C878">
        <f>IF(OR(수납!$E878="수강료",수납!$E878=""),N(수납!$F878),0)</f>
        <v/>
      </c>
    </row>
    <row r="879">
      <c r="A879">
        <f>IF(수납!$C879="","",수납!$C879&amp;"|"&amp;IF(수납!$D879&lt;&gt;"",수납!$D879,IF(COUNTIF(원생!$A$2:$A$501,수납!$C879)=1,INDEX(원생!$G$2:$G$501,MATCH(수납!$C879,원생!$A$2:$A$501,0))&amp;"","")))</f>
        <v/>
      </c>
      <c r="B879">
        <f>IFERROR(IF(수납!$B879="",YEAR(수납!$A879)*100+MONTH(수납!$A879),IF(ISNUMBER(수납!$B879),YEAR(수납!$B879)*100+MONTH(수납!$B879),VALUE(LEFT(수납!$B879,4))*100+VALUE(MID(수납!$B879,6,2)))),"")</f>
        <v/>
      </c>
      <c r="C879">
        <f>IF(OR(수납!$E879="수강료",수납!$E879=""),N(수납!$F879),0)</f>
        <v/>
      </c>
    </row>
    <row r="880">
      <c r="A880">
        <f>IF(수납!$C880="","",수납!$C880&amp;"|"&amp;IF(수납!$D880&lt;&gt;"",수납!$D880,IF(COUNTIF(원생!$A$2:$A$501,수납!$C880)=1,INDEX(원생!$G$2:$G$501,MATCH(수납!$C880,원생!$A$2:$A$501,0))&amp;"","")))</f>
        <v/>
      </c>
      <c r="B880">
        <f>IFERROR(IF(수납!$B880="",YEAR(수납!$A880)*100+MONTH(수납!$A880),IF(ISNUMBER(수납!$B880),YEAR(수납!$B880)*100+MONTH(수납!$B880),VALUE(LEFT(수납!$B880,4))*100+VALUE(MID(수납!$B880,6,2)))),"")</f>
        <v/>
      </c>
      <c r="C880">
        <f>IF(OR(수납!$E880="수강료",수납!$E880=""),N(수납!$F880),0)</f>
        <v/>
      </c>
    </row>
    <row r="881">
      <c r="A881">
        <f>IF(수납!$C881="","",수납!$C881&amp;"|"&amp;IF(수납!$D881&lt;&gt;"",수납!$D881,IF(COUNTIF(원생!$A$2:$A$501,수납!$C881)=1,INDEX(원생!$G$2:$G$501,MATCH(수납!$C881,원생!$A$2:$A$501,0))&amp;"","")))</f>
        <v/>
      </c>
      <c r="B881">
        <f>IFERROR(IF(수납!$B881="",YEAR(수납!$A881)*100+MONTH(수납!$A881),IF(ISNUMBER(수납!$B881),YEAR(수납!$B881)*100+MONTH(수납!$B881),VALUE(LEFT(수납!$B881,4))*100+VALUE(MID(수납!$B881,6,2)))),"")</f>
        <v/>
      </c>
      <c r="C881">
        <f>IF(OR(수납!$E881="수강료",수납!$E881=""),N(수납!$F881),0)</f>
        <v/>
      </c>
    </row>
    <row r="882">
      <c r="A882">
        <f>IF(수납!$C882="","",수납!$C882&amp;"|"&amp;IF(수납!$D882&lt;&gt;"",수납!$D882,IF(COUNTIF(원생!$A$2:$A$501,수납!$C882)=1,INDEX(원생!$G$2:$G$501,MATCH(수납!$C882,원생!$A$2:$A$501,0))&amp;"","")))</f>
        <v/>
      </c>
      <c r="B882">
        <f>IFERROR(IF(수납!$B882="",YEAR(수납!$A882)*100+MONTH(수납!$A882),IF(ISNUMBER(수납!$B882),YEAR(수납!$B882)*100+MONTH(수납!$B882),VALUE(LEFT(수납!$B882,4))*100+VALUE(MID(수납!$B882,6,2)))),"")</f>
        <v/>
      </c>
      <c r="C882">
        <f>IF(OR(수납!$E882="수강료",수납!$E882=""),N(수납!$F882),0)</f>
        <v/>
      </c>
    </row>
    <row r="883">
      <c r="A883">
        <f>IF(수납!$C883="","",수납!$C883&amp;"|"&amp;IF(수납!$D883&lt;&gt;"",수납!$D883,IF(COUNTIF(원생!$A$2:$A$501,수납!$C883)=1,INDEX(원생!$G$2:$G$501,MATCH(수납!$C883,원생!$A$2:$A$501,0))&amp;"","")))</f>
        <v/>
      </c>
      <c r="B883">
        <f>IFERROR(IF(수납!$B883="",YEAR(수납!$A883)*100+MONTH(수납!$A883),IF(ISNUMBER(수납!$B883),YEAR(수납!$B883)*100+MONTH(수납!$B883),VALUE(LEFT(수납!$B883,4))*100+VALUE(MID(수납!$B883,6,2)))),"")</f>
        <v/>
      </c>
      <c r="C883">
        <f>IF(OR(수납!$E883="수강료",수납!$E883=""),N(수납!$F883),0)</f>
        <v/>
      </c>
    </row>
    <row r="884">
      <c r="A884">
        <f>IF(수납!$C884="","",수납!$C884&amp;"|"&amp;IF(수납!$D884&lt;&gt;"",수납!$D884,IF(COUNTIF(원생!$A$2:$A$501,수납!$C884)=1,INDEX(원생!$G$2:$G$501,MATCH(수납!$C884,원생!$A$2:$A$501,0))&amp;"","")))</f>
        <v/>
      </c>
      <c r="B884">
        <f>IFERROR(IF(수납!$B884="",YEAR(수납!$A884)*100+MONTH(수납!$A884),IF(ISNUMBER(수납!$B884),YEAR(수납!$B884)*100+MONTH(수납!$B884),VALUE(LEFT(수납!$B884,4))*100+VALUE(MID(수납!$B884,6,2)))),"")</f>
        <v/>
      </c>
      <c r="C884">
        <f>IF(OR(수납!$E884="수강료",수납!$E884=""),N(수납!$F884),0)</f>
        <v/>
      </c>
    </row>
    <row r="885">
      <c r="A885">
        <f>IF(수납!$C885="","",수납!$C885&amp;"|"&amp;IF(수납!$D885&lt;&gt;"",수납!$D885,IF(COUNTIF(원생!$A$2:$A$501,수납!$C885)=1,INDEX(원생!$G$2:$G$501,MATCH(수납!$C885,원생!$A$2:$A$501,0))&amp;"","")))</f>
        <v/>
      </c>
      <c r="B885">
        <f>IFERROR(IF(수납!$B885="",YEAR(수납!$A885)*100+MONTH(수납!$A885),IF(ISNUMBER(수납!$B885),YEAR(수납!$B885)*100+MONTH(수납!$B885),VALUE(LEFT(수납!$B885,4))*100+VALUE(MID(수납!$B885,6,2)))),"")</f>
        <v/>
      </c>
      <c r="C885">
        <f>IF(OR(수납!$E885="수강료",수납!$E885=""),N(수납!$F885),0)</f>
        <v/>
      </c>
    </row>
    <row r="886">
      <c r="A886">
        <f>IF(수납!$C886="","",수납!$C886&amp;"|"&amp;IF(수납!$D886&lt;&gt;"",수납!$D886,IF(COUNTIF(원생!$A$2:$A$501,수납!$C886)=1,INDEX(원생!$G$2:$G$501,MATCH(수납!$C886,원생!$A$2:$A$501,0))&amp;"","")))</f>
        <v/>
      </c>
      <c r="B886">
        <f>IFERROR(IF(수납!$B886="",YEAR(수납!$A886)*100+MONTH(수납!$A886),IF(ISNUMBER(수납!$B886),YEAR(수납!$B886)*100+MONTH(수납!$B886),VALUE(LEFT(수납!$B886,4))*100+VALUE(MID(수납!$B886,6,2)))),"")</f>
        <v/>
      </c>
      <c r="C886">
        <f>IF(OR(수납!$E886="수강료",수납!$E886=""),N(수납!$F886),0)</f>
        <v/>
      </c>
    </row>
    <row r="887">
      <c r="A887">
        <f>IF(수납!$C887="","",수납!$C887&amp;"|"&amp;IF(수납!$D887&lt;&gt;"",수납!$D887,IF(COUNTIF(원생!$A$2:$A$501,수납!$C887)=1,INDEX(원생!$G$2:$G$501,MATCH(수납!$C887,원생!$A$2:$A$501,0))&amp;"","")))</f>
        <v/>
      </c>
      <c r="B887">
        <f>IFERROR(IF(수납!$B887="",YEAR(수납!$A887)*100+MONTH(수납!$A887),IF(ISNUMBER(수납!$B887),YEAR(수납!$B887)*100+MONTH(수납!$B887),VALUE(LEFT(수납!$B887,4))*100+VALUE(MID(수납!$B887,6,2)))),"")</f>
        <v/>
      </c>
      <c r="C887">
        <f>IF(OR(수납!$E887="수강료",수납!$E887=""),N(수납!$F887),0)</f>
        <v/>
      </c>
    </row>
    <row r="888">
      <c r="A888">
        <f>IF(수납!$C888="","",수납!$C888&amp;"|"&amp;IF(수납!$D888&lt;&gt;"",수납!$D888,IF(COUNTIF(원생!$A$2:$A$501,수납!$C888)=1,INDEX(원생!$G$2:$G$501,MATCH(수납!$C888,원생!$A$2:$A$501,0))&amp;"","")))</f>
        <v/>
      </c>
      <c r="B888">
        <f>IFERROR(IF(수납!$B888="",YEAR(수납!$A888)*100+MONTH(수납!$A888),IF(ISNUMBER(수납!$B888),YEAR(수납!$B888)*100+MONTH(수납!$B888),VALUE(LEFT(수납!$B888,4))*100+VALUE(MID(수납!$B888,6,2)))),"")</f>
        <v/>
      </c>
      <c r="C888">
        <f>IF(OR(수납!$E888="수강료",수납!$E888=""),N(수납!$F888),0)</f>
        <v/>
      </c>
    </row>
    <row r="889">
      <c r="A889">
        <f>IF(수납!$C889="","",수납!$C889&amp;"|"&amp;IF(수납!$D889&lt;&gt;"",수납!$D889,IF(COUNTIF(원생!$A$2:$A$501,수납!$C889)=1,INDEX(원생!$G$2:$G$501,MATCH(수납!$C889,원생!$A$2:$A$501,0))&amp;"","")))</f>
        <v/>
      </c>
      <c r="B889">
        <f>IFERROR(IF(수납!$B889="",YEAR(수납!$A889)*100+MONTH(수납!$A889),IF(ISNUMBER(수납!$B889),YEAR(수납!$B889)*100+MONTH(수납!$B889),VALUE(LEFT(수납!$B889,4))*100+VALUE(MID(수납!$B889,6,2)))),"")</f>
        <v/>
      </c>
      <c r="C889">
        <f>IF(OR(수납!$E889="수강료",수납!$E889=""),N(수납!$F889),0)</f>
        <v/>
      </c>
    </row>
    <row r="890">
      <c r="A890">
        <f>IF(수납!$C890="","",수납!$C890&amp;"|"&amp;IF(수납!$D890&lt;&gt;"",수납!$D890,IF(COUNTIF(원생!$A$2:$A$501,수납!$C890)=1,INDEX(원생!$G$2:$G$501,MATCH(수납!$C890,원생!$A$2:$A$501,0))&amp;"","")))</f>
        <v/>
      </c>
      <c r="B890">
        <f>IFERROR(IF(수납!$B890="",YEAR(수납!$A890)*100+MONTH(수납!$A890),IF(ISNUMBER(수납!$B890),YEAR(수납!$B890)*100+MONTH(수납!$B890),VALUE(LEFT(수납!$B890,4))*100+VALUE(MID(수납!$B890,6,2)))),"")</f>
        <v/>
      </c>
      <c r="C890">
        <f>IF(OR(수납!$E890="수강료",수납!$E890=""),N(수납!$F890),0)</f>
        <v/>
      </c>
    </row>
    <row r="891">
      <c r="A891">
        <f>IF(수납!$C891="","",수납!$C891&amp;"|"&amp;IF(수납!$D891&lt;&gt;"",수납!$D891,IF(COUNTIF(원생!$A$2:$A$501,수납!$C891)=1,INDEX(원생!$G$2:$G$501,MATCH(수납!$C891,원생!$A$2:$A$501,0))&amp;"","")))</f>
        <v/>
      </c>
      <c r="B891">
        <f>IFERROR(IF(수납!$B891="",YEAR(수납!$A891)*100+MONTH(수납!$A891),IF(ISNUMBER(수납!$B891),YEAR(수납!$B891)*100+MONTH(수납!$B891),VALUE(LEFT(수납!$B891,4))*100+VALUE(MID(수납!$B891,6,2)))),"")</f>
        <v/>
      </c>
      <c r="C891">
        <f>IF(OR(수납!$E891="수강료",수납!$E891=""),N(수납!$F891),0)</f>
        <v/>
      </c>
    </row>
    <row r="892">
      <c r="A892">
        <f>IF(수납!$C892="","",수납!$C892&amp;"|"&amp;IF(수납!$D892&lt;&gt;"",수납!$D892,IF(COUNTIF(원생!$A$2:$A$501,수납!$C892)=1,INDEX(원생!$G$2:$G$501,MATCH(수납!$C892,원생!$A$2:$A$501,0))&amp;"","")))</f>
        <v/>
      </c>
      <c r="B892">
        <f>IFERROR(IF(수납!$B892="",YEAR(수납!$A892)*100+MONTH(수납!$A892),IF(ISNUMBER(수납!$B892),YEAR(수납!$B892)*100+MONTH(수납!$B892),VALUE(LEFT(수납!$B892,4))*100+VALUE(MID(수납!$B892,6,2)))),"")</f>
        <v/>
      </c>
      <c r="C892">
        <f>IF(OR(수납!$E892="수강료",수납!$E892=""),N(수납!$F892),0)</f>
        <v/>
      </c>
    </row>
    <row r="893">
      <c r="A893">
        <f>IF(수납!$C893="","",수납!$C893&amp;"|"&amp;IF(수납!$D893&lt;&gt;"",수납!$D893,IF(COUNTIF(원생!$A$2:$A$501,수납!$C893)=1,INDEX(원생!$G$2:$G$501,MATCH(수납!$C893,원생!$A$2:$A$501,0))&amp;"","")))</f>
        <v/>
      </c>
      <c r="B893">
        <f>IFERROR(IF(수납!$B893="",YEAR(수납!$A893)*100+MONTH(수납!$A893),IF(ISNUMBER(수납!$B893),YEAR(수납!$B893)*100+MONTH(수납!$B893),VALUE(LEFT(수납!$B893,4))*100+VALUE(MID(수납!$B893,6,2)))),"")</f>
        <v/>
      </c>
      <c r="C893">
        <f>IF(OR(수납!$E893="수강료",수납!$E893=""),N(수납!$F893),0)</f>
        <v/>
      </c>
    </row>
    <row r="894">
      <c r="A894">
        <f>IF(수납!$C894="","",수납!$C894&amp;"|"&amp;IF(수납!$D894&lt;&gt;"",수납!$D894,IF(COUNTIF(원생!$A$2:$A$501,수납!$C894)=1,INDEX(원생!$G$2:$G$501,MATCH(수납!$C894,원생!$A$2:$A$501,0))&amp;"","")))</f>
        <v/>
      </c>
      <c r="B894">
        <f>IFERROR(IF(수납!$B894="",YEAR(수납!$A894)*100+MONTH(수납!$A894),IF(ISNUMBER(수납!$B894),YEAR(수납!$B894)*100+MONTH(수납!$B894),VALUE(LEFT(수납!$B894,4))*100+VALUE(MID(수납!$B894,6,2)))),"")</f>
        <v/>
      </c>
      <c r="C894">
        <f>IF(OR(수납!$E894="수강료",수납!$E894=""),N(수납!$F894),0)</f>
        <v/>
      </c>
    </row>
    <row r="895">
      <c r="A895">
        <f>IF(수납!$C895="","",수납!$C895&amp;"|"&amp;IF(수납!$D895&lt;&gt;"",수납!$D895,IF(COUNTIF(원생!$A$2:$A$501,수납!$C895)=1,INDEX(원생!$G$2:$G$501,MATCH(수납!$C895,원생!$A$2:$A$501,0))&amp;"","")))</f>
        <v/>
      </c>
      <c r="B895">
        <f>IFERROR(IF(수납!$B895="",YEAR(수납!$A895)*100+MONTH(수납!$A895),IF(ISNUMBER(수납!$B895),YEAR(수납!$B895)*100+MONTH(수납!$B895),VALUE(LEFT(수납!$B895,4))*100+VALUE(MID(수납!$B895,6,2)))),"")</f>
        <v/>
      </c>
      <c r="C895">
        <f>IF(OR(수납!$E895="수강료",수납!$E895=""),N(수납!$F895),0)</f>
        <v/>
      </c>
    </row>
    <row r="896">
      <c r="A896">
        <f>IF(수납!$C896="","",수납!$C896&amp;"|"&amp;IF(수납!$D896&lt;&gt;"",수납!$D896,IF(COUNTIF(원생!$A$2:$A$501,수납!$C896)=1,INDEX(원생!$G$2:$G$501,MATCH(수납!$C896,원생!$A$2:$A$501,0))&amp;"","")))</f>
        <v/>
      </c>
      <c r="B896">
        <f>IFERROR(IF(수납!$B896="",YEAR(수납!$A896)*100+MONTH(수납!$A896),IF(ISNUMBER(수납!$B896),YEAR(수납!$B896)*100+MONTH(수납!$B896),VALUE(LEFT(수납!$B896,4))*100+VALUE(MID(수납!$B896,6,2)))),"")</f>
        <v/>
      </c>
      <c r="C896">
        <f>IF(OR(수납!$E896="수강료",수납!$E896=""),N(수납!$F896),0)</f>
        <v/>
      </c>
    </row>
    <row r="897">
      <c r="A897">
        <f>IF(수납!$C897="","",수납!$C897&amp;"|"&amp;IF(수납!$D897&lt;&gt;"",수납!$D897,IF(COUNTIF(원생!$A$2:$A$501,수납!$C897)=1,INDEX(원생!$G$2:$G$501,MATCH(수납!$C897,원생!$A$2:$A$501,0))&amp;"","")))</f>
        <v/>
      </c>
      <c r="B897">
        <f>IFERROR(IF(수납!$B897="",YEAR(수납!$A897)*100+MONTH(수납!$A897),IF(ISNUMBER(수납!$B897),YEAR(수납!$B897)*100+MONTH(수납!$B897),VALUE(LEFT(수납!$B897,4))*100+VALUE(MID(수납!$B897,6,2)))),"")</f>
        <v/>
      </c>
      <c r="C897">
        <f>IF(OR(수납!$E897="수강료",수납!$E897=""),N(수납!$F897),0)</f>
        <v/>
      </c>
    </row>
    <row r="898">
      <c r="A898">
        <f>IF(수납!$C898="","",수납!$C898&amp;"|"&amp;IF(수납!$D898&lt;&gt;"",수납!$D898,IF(COUNTIF(원생!$A$2:$A$501,수납!$C898)=1,INDEX(원생!$G$2:$G$501,MATCH(수납!$C898,원생!$A$2:$A$501,0))&amp;"","")))</f>
        <v/>
      </c>
      <c r="B898">
        <f>IFERROR(IF(수납!$B898="",YEAR(수납!$A898)*100+MONTH(수납!$A898),IF(ISNUMBER(수납!$B898),YEAR(수납!$B898)*100+MONTH(수납!$B898),VALUE(LEFT(수납!$B898,4))*100+VALUE(MID(수납!$B898,6,2)))),"")</f>
        <v/>
      </c>
      <c r="C898">
        <f>IF(OR(수납!$E898="수강료",수납!$E898=""),N(수납!$F898),0)</f>
        <v/>
      </c>
    </row>
    <row r="899">
      <c r="A899">
        <f>IF(수납!$C899="","",수납!$C899&amp;"|"&amp;IF(수납!$D899&lt;&gt;"",수납!$D899,IF(COUNTIF(원생!$A$2:$A$501,수납!$C899)=1,INDEX(원생!$G$2:$G$501,MATCH(수납!$C899,원생!$A$2:$A$501,0))&amp;"","")))</f>
        <v/>
      </c>
      <c r="B899">
        <f>IFERROR(IF(수납!$B899="",YEAR(수납!$A899)*100+MONTH(수납!$A899),IF(ISNUMBER(수납!$B899),YEAR(수납!$B899)*100+MONTH(수납!$B899),VALUE(LEFT(수납!$B899,4))*100+VALUE(MID(수납!$B899,6,2)))),"")</f>
        <v/>
      </c>
      <c r="C899">
        <f>IF(OR(수납!$E899="수강료",수납!$E899=""),N(수납!$F899),0)</f>
        <v/>
      </c>
    </row>
    <row r="900">
      <c r="A900">
        <f>IF(수납!$C900="","",수납!$C900&amp;"|"&amp;IF(수납!$D900&lt;&gt;"",수납!$D900,IF(COUNTIF(원생!$A$2:$A$501,수납!$C900)=1,INDEX(원생!$G$2:$G$501,MATCH(수납!$C900,원생!$A$2:$A$501,0))&amp;"","")))</f>
        <v/>
      </c>
      <c r="B900">
        <f>IFERROR(IF(수납!$B900="",YEAR(수납!$A900)*100+MONTH(수납!$A900),IF(ISNUMBER(수납!$B900),YEAR(수납!$B900)*100+MONTH(수납!$B900),VALUE(LEFT(수납!$B900,4))*100+VALUE(MID(수납!$B900,6,2)))),"")</f>
        <v/>
      </c>
      <c r="C900">
        <f>IF(OR(수납!$E900="수강료",수납!$E900=""),N(수납!$F900),0)</f>
        <v/>
      </c>
    </row>
    <row r="901">
      <c r="A901">
        <f>IF(수납!$C901="","",수납!$C901&amp;"|"&amp;IF(수납!$D901&lt;&gt;"",수납!$D901,IF(COUNTIF(원생!$A$2:$A$501,수납!$C901)=1,INDEX(원생!$G$2:$G$501,MATCH(수납!$C901,원생!$A$2:$A$501,0))&amp;"","")))</f>
        <v/>
      </c>
      <c r="B901">
        <f>IFERROR(IF(수납!$B901="",YEAR(수납!$A901)*100+MONTH(수납!$A901),IF(ISNUMBER(수납!$B901),YEAR(수납!$B901)*100+MONTH(수납!$B901),VALUE(LEFT(수납!$B901,4))*100+VALUE(MID(수납!$B901,6,2)))),"")</f>
        <v/>
      </c>
      <c r="C901">
        <f>IF(OR(수납!$E901="수강료",수납!$E901=""),N(수납!$F901),0)</f>
        <v/>
      </c>
    </row>
    <row r="902">
      <c r="A902">
        <f>IF(수납!$C902="","",수납!$C902&amp;"|"&amp;IF(수납!$D902&lt;&gt;"",수납!$D902,IF(COUNTIF(원생!$A$2:$A$501,수납!$C902)=1,INDEX(원생!$G$2:$G$501,MATCH(수납!$C902,원생!$A$2:$A$501,0))&amp;"","")))</f>
        <v/>
      </c>
      <c r="B902">
        <f>IFERROR(IF(수납!$B902="",YEAR(수납!$A902)*100+MONTH(수납!$A902),IF(ISNUMBER(수납!$B902),YEAR(수납!$B902)*100+MONTH(수납!$B902),VALUE(LEFT(수납!$B902,4))*100+VALUE(MID(수납!$B902,6,2)))),"")</f>
        <v/>
      </c>
      <c r="C902">
        <f>IF(OR(수납!$E902="수강료",수납!$E902=""),N(수납!$F902),0)</f>
        <v/>
      </c>
    </row>
    <row r="903">
      <c r="A903">
        <f>IF(수납!$C903="","",수납!$C903&amp;"|"&amp;IF(수납!$D903&lt;&gt;"",수납!$D903,IF(COUNTIF(원생!$A$2:$A$501,수납!$C903)=1,INDEX(원생!$G$2:$G$501,MATCH(수납!$C903,원생!$A$2:$A$501,0))&amp;"","")))</f>
        <v/>
      </c>
      <c r="B903">
        <f>IFERROR(IF(수납!$B903="",YEAR(수납!$A903)*100+MONTH(수납!$A903),IF(ISNUMBER(수납!$B903),YEAR(수납!$B903)*100+MONTH(수납!$B903),VALUE(LEFT(수납!$B903,4))*100+VALUE(MID(수납!$B903,6,2)))),"")</f>
        <v/>
      </c>
      <c r="C903">
        <f>IF(OR(수납!$E903="수강료",수납!$E903=""),N(수납!$F903),0)</f>
        <v/>
      </c>
    </row>
    <row r="904">
      <c r="A904">
        <f>IF(수납!$C904="","",수납!$C904&amp;"|"&amp;IF(수납!$D904&lt;&gt;"",수납!$D904,IF(COUNTIF(원생!$A$2:$A$501,수납!$C904)=1,INDEX(원생!$G$2:$G$501,MATCH(수납!$C904,원생!$A$2:$A$501,0))&amp;"","")))</f>
        <v/>
      </c>
      <c r="B904">
        <f>IFERROR(IF(수납!$B904="",YEAR(수납!$A904)*100+MONTH(수납!$A904),IF(ISNUMBER(수납!$B904),YEAR(수납!$B904)*100+MONTH(수납!$B904),VALUE(LEFT(수납!$B904,4))*100+VALUE(MID(수납!$B904,6,2)))),"")</f>
        <v/>
      </c>
      <c r="C904">
        <f>IF(OR(수납!$E904="수강료",수납!$E904=""),N(수납!$F904),0)</f>
        <v/>
      </c>
    </row>
    <row r="905">
      <c r="A905">
        <f>IF(수납!$C905="","",수납!$C905&amp;"|"&amp;IF(수납!$D905&lt;&gt;"",수납!$D905,IF(COUNTIF(원생!$A$2:$A$501,수납!$C905)=1,INDEX(원생!$G$2:$G$501,MATCH(수납!$C905,원생!$A$2:$A$501,0))&amp;"","")))</f>
        <v/>
      </c>
      <c r="B905">
        <f>IFERROR(IF(수납!$B905="",YEAR(수납!$A905)*100+MONTH(수납!$A905),IF(ISNUMBER(수납!$B905),YEAR(수납!$B905)*100+MONTH(수납!$B905),VALUE(LEFT(수납!$B905,4))*100+VALUE(MID(수납!$B905,6,2)))),"")</f>
        <v/>
      </c>
      <c r="C905">
        <f>IF(OR(수납!$E905="수강료",수납!$E905=""),N(수납!$F905),0)</f>
        <v/>
      </c>
    </row>
    <row r="906">
      <c r="A906">
        <f>IF(수납!$C906="","",수납!$C906&amp;"|"&amp;IF(수납!$D906&lt;&gt;"",수납!$D906,IF(COUNTIF(원생!$A$2:$A$501,수납!$C906)=1,INDEX(원생!$G$2:$G$501,MATCH(수납!$C906,원생!$A$2:$A$501,0))&amp;"","")))</f>
        <v/>
      </c>
      <c r="B906">
        <f>IFERROR(IF(수납!$B906="",YEAR(수납!$A906)*100+MONTH(수납!$A906),IF(ISNUMBER(수납!$B906),YEAR(수납!$B906)*100+MONTH(수납!$B906),VALUE(LEFT(수납!$B906,4))*100+VALUE(MID(수납!$B906,6,2)))),"")</f>
        <v/>
      </c>
      <c r="C906">
        <f>IF(OR(수납!$E906="수강료",수납!$E906=""),N(수납!$F906),0)</f>
        <v/>
      </c>
    </row>
    <row r="907">
      <c r="A907">
        <f>IF(수납!$C907="","",수납!$C907&amp;"|"&amp;IF(수납!$D907&lt;&gt;"",수납!$D907,IF(COUNTIF(원생!$A$2:$A$501,수납!$C907)=1,INDEX(원생!$G$2:$G$501,MATCH(수납!$C907,원생!$A$2:$A$501,0))&amp;"","")))</f>
        <v/>
      </c>
      <c r="B907">
        <f>IFERROR(IF(수납!$B907="",YEAR(수납!$A907)*100+MONTH(수납!$A907),IF(ISNUMBER(수납!$B907),YEAR(수납!$B907)*100+MONTH(수납!$B907),VALUE(LEFT(수납!$B907,4))*100+VALUE(MID(수납!$B907,6,2)))),"")</f>
        <v/>
      </c>
      <c r="C907">
        <f>IF(OR(수납!$E907="수강료",수납!$E907=""),N(수납!$F907),0)</f>
        <v/>
      </c>
    </row>
    <row r="908">
      <c r="A908">
        <f>IF(수납!$C908="","",수납!$C908&amp;"|"&amp;IF(수납!$D908&lt;&gt;"",수납!$D908,IF(COUNTIF(원생!$A$2:$A$501,수납!$C908)=1,INDEX(원생!$G$2:$G$501,MATCH(수납!$C908,원생!$A$2:$A$501,0))&amp;"","")))</f>
        <v/>
      </c>
      <c r="B908">
        <f>IFERROR(IF(수납!$B908="",YEAR(수납!$A908)*100+MONTH(수납!$A908),IF(ISNUMBER(수납!$B908),YEAR(수납!$B908)*100+MONTH(수납!$B908),VALUE(LEFT(수납!$B908,4))*100+VALUE(MID(수납!$B908,6,2)))),"")</f>
        <v/>
      </c>
      <c r="C908">
        <f>IF(OR(수납!$E908="수강료",수납!$E908=""),N(수납!$F908),0)</f>
        <v/>
      </c>
    </row>
    <row r="909">
      <c r="A909">
        <f>IF(수납!$C909="","",수납!$C909&amp;"|"&amp;IF(수납!$D909&lt;&gt;"",수납!$D909,IF(COUNTIF(원생!$A$2:$A$501,수납!$C909)=1,INDEX(원생!$G$2:$G$501,MATCH(수납!$C909,원생!$A$2:$A$501,0))&amp;"","")))</f>
        <v/>
      </c>
      <c r="B909">
        <f>IFERROR(IF(수납!$B909="",YEAR(수납!$A909)*100+MONTH(수납!$A909),IF(ISNUMBER(수납!$B909),YEAR(수납!$B909)*100+MONTH(수납!$B909),VALUE(LEFT(수납!$B909,4))*100+VALUE(MID(수납!$B909,6,2)))),"")</f>
        <v/>
      </c>
      <c r="C909">
        <f>IF(OR(수납!$E909="수강료",수납!$E909=""),N(수납!$F909),0)</f>
        <v/>
      </c>
    </row>
    <row r="910">
      <c r="A910">
        <f>IF(수납!$C910="","",수납!$C910&amp;"|"&amp;IF(수납!$D910&lt;&gt;"",수납!$D910,IF(COUNTIF(원생!$A$2:$A$501,수납!$C910)=1,INDEX(원생!$G$2:$G$501,MATCH(수납!$C910,원생!$A$2:$A$501,0))&amp;"","")))</f>
        <v/>
      </c>
      <c r="B910">
        <f>IFERROR(IF(수납!$B910="",YEAR(수납!$A910)*100+MONTH(수납!$A910),IF(ISNUMBER(수납!$B910),YEAR(수납!$B910)*100+MONTH(수납!$B910),VALUE(LEFT(수납!$B910,4))*100+VALUE(MID(수납!$B910,6,2)))),"")</f>
        <v/>
      </c>
      <c r="C910">
        <f>IF(OR(수납!$E910="수강료",수납!$E910=""),N(수납!$F910),0)</f>
        <v/>
      </c>
    </row>
    <row r="911">
      <c r="A911">
        <f>IF(수납!$C911="","",수납!$C911&amp;"|"&amp;IF(수납!$D911&lt;&gt;"",수납!$D911,IF(COUNTIF(원생!$A$2:$A$501,수납!$C911)=1,INDEX(원생!$G$2:$G$501,MATCH(수납!$C911,원생!$A$2:$A$501,0))&amp;"","")))</f>
        <v/>
      </c>
      <c r="B911">
        <f>IFERROR(IF(수납!$B911="",YEAR(수납!$A911)*100+MONTH(수납!$A911),IF(ISNUMBER(수납!$B911),YEAR(수납!$B911)*100+MONTH(수납!$B911),VALUE(LEFT(수납!$B911,4))*100+VALUE(MID(수납!$B911,6,2)))),"")</f>
        <v/>
      </c>
      <c r="C911">
        <f>IF(OR(수납!$E911="수강료",수납!$E911=""),N(수납!$F911),0)</f>
        <v/>
      </c>
    </row>
    <row r="912">
      <c r="A912">
        <f>IF(수납!$C912="","",수납!$C912&amp;"|"&amp;IF(수납!$D912&lt;&gt;"",수납!$D912,IF(COUNTIF(원생!$A$2:$A$501,수납!$C912)=1,INDEX(원생!$G$2:$G$501,MATCH(수납!$C912,원생!$A$2:$A$501,0))&amp;"","")))</f>
        <v/>
      </c>
      <c r="B912">
        <f>IFERROR(IF(수납!$B912="",YEAR(수납!$A912)*100+MONTH(수납!$A912),IF(ISNUMBER(수납!$B912),YEAR(수납!$B912)*100+MONTH(수납!$B912),VALUE(LEFT(수납!$B912,4))*100+VALUE(MID(수납!$B912,6,2)))),"")</f>
        <v/>
      </c>
      <c r="C912">
        <f>IF(OR(수납!$E912="수강료",수납!$E912=""),N(수납!$F912),0)</f>
        <v/>
      </c>
    </row>
    <row r="913">
      <c r="A913">
        <f>IF(수납!$C913="","",수납!$C913&amp;"|"&amp;IF(수납!$D913&lt;&gt;"",수납!$D913,IF(COUNTIF(원생!$A$2:$A$501,수납!$C913)=1,INDEX(원생!$G$2:$G$501,MATCH(수납!$C913,원생!$A$2:$A$501,0))&amp;"","")))</f>
        <v/>
      </c>
      <c r="B913">
        <f>IFERROR(IF(수납!$B913="",YEAR(수납!$A913)*100+MONTH(수납!$A913),IF(ISNUMBER(수납!$B913),YEAR(수납!$B913)*100+MONTH(수납!$B913),VALUE(LEFT(수납!$B913,4))*100+VALUE(MID(수납!$B913,6,2)))),"")</f>
        <v/>
      </c>
      <c r="C913">
        <f>IF(OR(수납!$E913="수강료",수납!$E913=""),N(수납!$F913),0)</f>
        <v/>
      </c>
    </row>
    <row r="914">
      <c r="A914">
        <f>IF(수납!$C914="","",수납!$C914&amp;"|"&amp;IF(수납!$D914&lt;&gt;"",수납!$D914,IF(COUNTIF(원생!$A$2:$A$501,수납!$C914)=1,INDEX(원생!$G$2:$G$501,MATCH(수납!$C914,원생!$A$2:$A$501,0))&amp;"","")))</f>
        <v/>
      </c>
      <c r="B914">
        <f>IFERROR(IF(수납!$B914="",YEAR(수납!$A914)*100+MONTH(수납!$A914),IF(ISNUMBER(수납!$B914),YEAR(수납!$B914)*100+MONTH(수납!$B914),VALUE(LEFT(수납!$B914,4))*100+VALUE(MID(수납!$B914,6,2)))),"")</f>
        <v/>
      </c>
      <c r="C914">
        <f>IF(OR(수납!$E914="수강료",수납!$E914=""),N(수납!$F914),0)</f>
        <v/>
      </c>
    </row>
    <row r="915">
      <c r="A915">
        <f>IF(수납!$C915="","",수납!$C915&amp;"|"&amp;IF(수납!$D915&lt;&gt;"",수납!$D915,IF(COUNTIF(원생!$A$2:$A$501,수납!$C915)=1,INDEX(원생!$G$2:$G$501,MATCH(수납!$C915,원생!$A$2:$A$501,0))&amp;"","")))</f>
        <v/>
      </c>
      <c r="B915">
        <f>IFERROR(IF(수납!$B915="",YEAR(수납!$A915)*100+MONTH(수납!$A915),IF(ISNUMBER(수납!$B915),YEAR(수납!$B915)*100+MONTH(수납!$B915),VALUE(LEFT(수납!$B915,4))*100+VALUE(MID(수납!$B915,6,2)))),"")</f>
        <v/>
      </c>
      <c r="C915">
        <f>IF(OR(수납!$E915="수강료",수납!$E915=""),N(수납!$F915),0)</f>
        <v/>
      </c>
    </row>
    <row r="916">
      <c r="A916">
        <f>IF(수납!$C916="","",수납!$C916&amp;"|"&amp;IF(수납!$D916&lt;&gt;"",수납!$D916,IF(COUNTIF(원생!$A$2:$A$501,수납!$C916)=1,INDEX(원생!$G$2:$G$501,MATCH(수납!$C916,원생!$A$2:$A$501,0))&amp;"","")))</f>
        <v/>
      </c>
      <c r="B916">
        <f>IFERROR(IF(수납!$B916="",YEAR(수납!$A916)*100+MONTH(수납!$A916),IF(ISNUMBER(수납!$B916),YEAR(수납!$B916)*100+MONTH(수납!$B916),VALUE(LEFT(수납!$B916,4))*100+VALUE(MID(수납!$B916,6,2)))),"")</f>
        <v/>
      </c>
      <c r="C916">
        <f>IF(OR(수납!$E916="수강료",수납!$E916=""),N(수납!$F916),0)</f>
        <v/>
      </c>
    </row>
    <row r="917">
      <c r="A917">
        <f>IF(수납!$C917="","",수납!$C917&amp;"|"&amp;IF(수납!$D917&lt;&gt;"",수납!$D917,IF(COUNTIF(원생!$A$2:$A$501,수납!$C917)=1,INDEX(원생!$G$2:$G$501,MATCH(수납!$C917,원생!$A$2:$A$501,0))&amp;"","")))</f>
        <v/>
      </c>
      <c r="B917">
        <f>IFERROR(IF(수납!$B917="",YEAR(수납!$A917)*100+MONTH(수납!$A917),IF(ISNUMBER(수납!$B917),YEAR(수납!$B917)*100+MONTH(수납!$B917),VALUE(LEFT(수납!$B917,4))*100+VALUE(MID(수납!$B917,6,2)))),"")</f>
        <v/>
      </c>
      <c r="C917">
        <f>IF(OR(수납!$E917="수강료",수납!$E917=""),N(수납!$F917),0)</f>
        <v/>
      </c>
    </row>
    <row r="918">
      <c r="A918">
        <f>IF(수납!$C918="","",수납!$C918&amp;"|"&amp;IF(수납!$D918&lt;&gt;"",수납!$D918,IF(COUNTIF(원생!$A$2:$A$501,수납!$C918)=1,INDEX(원생!$G$2:$G$501,MATCH(수납!$C918,원생!$A$2:$A$501,0))&amp;"","")))</f>
        <v/>
      </c>
      <c r="B918">
        <f>IFERROR(IF(수납!$B918="",YEAR(수납!$A918)*100+MONTH(수납!$A918),IF(ISNUMBER(수납!$B918),YEAR(수납!$B918)*100+MONTH(수납!$B918),VALUE(LEFT(수납!$B918,4))*100+VALUE(MID(수납!$B918,6,2)))),"")</f>
        <v/>
      </c>
      <c r="C918">
        <f>IF(OR(수납!$E918="수강료",수납!$E918=""),N(수납!$F918),0)</f>
        <v/>
      </c>
    </row>
    <row r="919">
      <c r="A919">
        <f>IF(수납!$C919="","",수납!$C919&amp;"|"&amp;IF(수납!$D919&lt;&gt;"",수납!$D919,IF(COUNTIF(원생!$A$2:$A$501,수납!$C919)=1,INDEX(원생!$G$2:$G$501,MATCH(수납!$C919,원생!$A$2:$A$501,0))&amp;"","")))</f>
        <v/>
      </c>
      <c r="B919">
        <f>IFERROR(IF(수납!$B919="",YEAR(수납!$A919)*100+MONTH(수납!$A919),IF(ISNUMBER(수납!$B919),YEAR(수납!$B919)*100+MONTH(수납!$B919),VALUE(LEFT(수납!$B919,4))*100+VALUE(MID(수납!$B919,6,2)))),"")</f>
        <v/>
      </c>
      <c r="C919">
        <f>IF(OR(수납!$E919="수강료",수납!$E919=""),N(수납!$F919),0)</f>
        <v/>
      </c>
    </row>
    <row r="920">
      <c r="A920">
        <f>IF(수납!$C920="","",수납!$C920&amp;"|"&amp;IF(수납!$D920&lt;&gt;"",수납!$D920,IF(COUNTIF(원생!$A$2:$A$501,수납!$C920)=1,INDEX(원생!$G$2:$G$501,MATCH(수납!$C920,원생!$A$2:$A$501,0))&amp;"","")))</f>
        <v/>
      </c>
      <c r="B920">
        <f>IFERROR(IF(수납!$B920="",YEAR(수납!$A920)*100+MONTH(수납!$A920),IF(ISNUMBER(수납!$B920),YEAR(수납!$B920)*100+MONTH(수납!$B920),VALUE(LEFT(수납!$B920,4))*100+VALUE(MID(수납!$B920,6,2)))),"")</f>
        <v/>
      </c>
      <c r="C920">
        <f>IF(OR(수납!$E920="수강료",수납!$E920=""),N(수납!$F920),0)</f>
        <v/>
      </c>
    </row>
    <row r="921">
      <c r="A921">
        <f>IF(수납!$C921="","",수납!$C921&amp;"|"&amp;IF(수납!$D921&lt;&gt;"",수납!$D921,IF(COUNTIF(원생!$A$2:$A$501,수납!$C921)=1,INDEX(원생!$G$2:$G$501,MATCH(수납!$C921,원생!$A$2:$A$501,0))&amp;"","")))</f>
        <v/>
      </c>
      <c r="B921">
        <f>IFERROR(IF(수납!$B921="",YEAR(수납!$A921)*100+MONTH(수납!$A921),IF(ISNUMBER(수납!$B921),YEAR(수납!$B921)*100+MONTH(수납!$B921),VALUE(LEFT(수납!$B921,4))*100+VALUE(MID(수납!$B921,6,2)))),"")</f>
        <v/>
      </c>
      <c r="C921">
        <f>IF(OR(수납!$E921="수강료",수납!$E921=""),N(수납!$F921),0)</f>
        <v/>
      </c>
    </row>
    <row r="922">
      <c r="A922">
        <f>IF(수납!$C922="","",수납!$C922&amp;"|"&amp;IF(수납!$D922&lt;&gt;"",수납!$D922,IF(COUNTIF(원생!$A$2:$A$501,수납!$C922)=1,INDEX(원생!$G$2:$G$501,MATCH(수납!$C922,원생!$A$2:$A$501,0))&amp;"","")))</f>
        <v/>
      </c>
      <c r="B922">
        <f>IFERROR(IF(수납!$B922="",YEAR(수납!$A922)*100+MONTH(수납!$A922),IF(ISNUMBER(수납!$B922),YEAR(수납!$B922)*100+MONTH(수납!$B922),VALUE(LEFT(수납!$B922,4))*100+VALUE(MID(수납!$B922,6,2)))),"")</f>
        <v/>
      </c>
      <c r="C922">
        <f>IF(OR(수납!$E922="수강료",수납!$E922=""),N(수납!$F922),0)</f>
        <v/>
      </c>
    </row>
    <row r="923">
      <c r="A923">
        <f>IF(수납!$C923="","",수납!$C923&amp;"|"&amp;IF(수납!$D923&lt;&gt;"",수납!$D923,IF(COUNTIF(원생!$A$2:$A$501,수납!$C923)=1,INDEX(원생!$G$2:$G$501,MATCH(수납!$C923,원생!$A$2:$A$501,0))&amp;"","")))</f>
        <v/>
      </c>
      <c r="B923">
        <f>IFERROR(IF(수납!$B923="",YEAR(수납!$A923)*100+MONTH(수납!$A923),IF(ISNUMBER(수납!$B923),YEAR(수납!$B923)*100+MONTH(수납!$B923),VALUE(LEFT(수납!$B923,4))*100+VALUE(MID(수납!$B923,6,2)))),"")</f>
        <v/>
      </c>
      <c r="C923">
        <f>IF(OR(수납!$E923="수강료",수납!$E923=""),N(수납!$F923),0)</f>
        <v/>
      </c>
    </row>
    <row r="924">
      <c r="A924">
        <f>IF(수납!$C924="","",수납!$C924&amp;"|"&amp;IF(수납!$D924&lt;&gt;"",수납!$D924,IF(COUNTIF(원생!$A$2:$A$501,수납!$C924)=1,INDEX(원생!$G$2:$G$501,MATCH(수납!$C924,원생!$A$2:$A$501,0))&amp;"","")))</f>
        <v/>
      </c>
      <c r="B924">
        <f>IFERROR(IF(수납!$B924="",YEAR(수납!$A924)*100+MONTH(수납!$A924),IF(ISNUMBER(수납!$B924),YEAR(수납!$B924)*100+MONTH(수납!$B924),VALUE(LEFT(수납!$B924,4))*100+VALUE(MID(수납!$B924,6,2)))),"")</f>
        <v/>
      </c>
      <c r="C924">
        <f>IF(OR(수납!$E924="수강료",수납!$E924=""),N(수납!$F924),0)</f>
        <v/>
      </c>
    </row>
    <row r="925">
      <c r="A925">
        <f>IF(수납!$C925="","",수납!$C925&amp;"|"&amp;IF(수납!$D925&lt;&gt;"",수납!$D925,IF(COUNTIF(원생!$A$2:$A$501,수납!$C925)=1,INDEX(원생!$G$2:$G$501,MATCH(수납!$C925,원생!$A$2:$A$501,0))&amp;"","")))</f>
        <v/>
      </c>
      <c r="B925">
        <f>IFERROR(IF(수납!$B925="",YEAR(수납!$A925)*100+MONTH(수납!$A925),IF(ISNUMBER(수납!$B925),YEAR(수납!$B925)*100+MONTH(수납!$B925),VALUE(LEFT(수납!$B925,4))*100+VALUE(MID(수납!$B925,6,2)))),"")</f>
        <v/>
      </c>
      <c r="C925">
        <f>IF(OR(수납!$E925="수강료",수납!$E925=""),N(수납!$F925),0)</f>
        <v/>
      </c>
    </row>
    <row r="926">
      <c r="A926">
        <f>IF(수납!$C926="","",수납!$C926&amp;"|"&amp;IF(수납!$D926&lt;&gt;"",수납!$D926,IF(COUNTIF(원생!$A$2:$A$501,수납!$C926)=1,INDEX(원생!$G$2:$G$501,MATCH(수납!$C926,원생!$A$2:$A$501,0))&amp;"","")))</f>
        <v/>
      </c>
      <c r="B926">
        <f>IFERROR(IF(수납!$B926="",YEAR(수납!$A926)*100+MONTH(수납!$A926),IF(ISNUMBER(수납!$B926),YEAR(수납!$B926)*100+MONTH(수납!$B926),VALUE(LEFT(수납!$B926,4))*100+VALUE(MID(수납!$B926,6,2)))),"")</f>
        <v/>
      </c>
      <c r="C926">
        <f>IF(OR(수납!$E926="수강료",수납!$E926=""),N(수납!$F926),0)</f>
        <v/>
      </c>
    </row>
    <row r="927">
      <c r="A927">
        <f>IF(수납!$C927="","",수납!$C927&amp;"|"&amp;IF(수납!$D927&lt;&gt;"",수납!$D927,IF(COUNTIF(원생!$A$2:$A$501,수납!$C927)=1,INDEX(원생!$G$2:$G$501,MATCH(수납!$C927,원생!$A$2:$A$501,0))&amp;"","")))</f>
        <v/>
      </c>
      <c r="B927">
        <f>IFERROR(IF(수납!$B927="",YEAR(수납!$A927)*100+MONTH(수납!$A927),IF(ISNUMBER(수납!$B927),YEAR(수납!$B927)*100+MONTH(수납!$B927),VALUE(LEFT(수납!$B927,4))*100+VALUE(MID(수납!$B927,6,2)))),"")</f>
        <v/>
      </c>
      <c r="C927">
        <f>IF(OR(수납!$E927="수강료",수납!$E927=""),N(수납!$F927),0)</f>
        <v/>
      </c>
    </row>
    <row r="928">
      <c r="A928">
        <f>IF(수납!$C928="","",수납!$C928&amp;"|"&amp;IF(수납!$D928&lt;&gt;"",수납!$D928,IF(COUNTIF(원생!$A$2:$A$501,수납!$C928)=1,INDEX(원생!$G$2:$G$501,MATCH(수납!$C928,원생!$A$2:$A$501,0))&amp;"","")))</f>
        <v/>
      </c>
      <c r="B928">
        <f>IFERROR(IF(수납!$B928="",YEAR(수납!$A928)*100+MONTH(수납!$A928),IF(ISNUMBER(수납!$B928),YEAR(수납!$B928)*100+MONTH(수납!$B928),VALUE(LEFT(수납!$B928,4))*100+VALUE(MID(수납!$B928,6,2)))),"")</f>
        <v/>
      </c>
      <c r="C928">
        <f>IF(OR(수납!$E928="수강료",수납!$E928=""),N(수납!$F928),0)</f>
        <v/>
      </c>
    </row>
    <row r="929">
      <c r="A929">
        <f>IF(수납!$C929="","",수납!$C929&amp;"|"&amp;IF(수납!$D929&lt;&gt;"",수납!$D929,IF(COUNTIF(원생!$A$2:$A$501,수납!$C929)=1,INDEX(원생!$G$2:$G$501,MATCH(수납!$C929,원생!$A$2:$A$501,0))&amp;"","")))</f>
        <v/>
      </c>
      <c r="B929">
        <f>IFERROR(IF(수납!$B929="",YEAR(수납!$A929)*100+MONTH(수납!$A929),IF(ISNUMBER(수납!$B929),YEAR(수납!$B929)*100+MONTH(수납!$B929),VALUE(LEFT(수납!$B929,4))*100+VALUE(MID(수납!$B929,6,2)))),"")</f>
        <v/>
      </c>
      <c r="C929">
        <f>IF(OR(수납!$E929="수강료",수납!$E929=""),N(수납!$F929),0)</f>
        <v/>
      </c>
    </row>
    <row r="930">
      <c r="A930">
        <f>IF(수납!$C930="","",수납!$C930&amp;"|"&amp;IF(수납!$D930&lt;&gt;"",수납!$D930,IF(COUNTIF(원생!$A$2:$A$501,수납!$C930)=1,INDEX(원생!$G$2:$G$501,MATCH(수납!$C930,원생!$A$2:$A$501,0))&amp;"","")))</f>
        <v/>
      </c>
      <c r="B930">
        <f>IFERROR(IF(수납!$B930="",YEAR(수납!$A930)*100+MONTH(수납!$A930),IF(ISNUMBER(수납!$B930),YEAR(수납!$B930)*100+MONTH(수납!$B930),VALUE(LEFT(수납!$B930,4))*100+VALUE(MID(수납!$B930,6,2)))),"")</f>
        <v/>
      </c>
      <c r="C930">
        <f>IF(OR(수납!$E930="수강료",수납!$E930=""),N(수납!$F930),0)</f>
        <v/>
      </c>
    </row>
    <row r="931">
      <c r="A931">
        <f>IF(수납!$C931="","",수납!$C931&amp;"|"&amp;IF(수납!$D931&lt;&gt;"",수납!$D931,IF(COUNTIF(원생!$A$2:$A$501,수납!$C931)=1,INDEX(원생!$G$2:$G$501,MATCH(수납!$C931,원생!$A$2:$A$501,0))&amp;"","")))</f>
        <v/>
      </c>
      <c r="B931">
        <f>IFERROR(IF(수납!$B931="",YEAR(수납!$A931)*100+MONTH(수납!$A931),IF(ISNUMBER(수납!$B931),YEAR(수납!$B931)*100+MONTH(수납!$B931),VALUE(LEFT(수납!$B931,4))*100+VALUE(MID(수납!$B931,6,2)))),"")</f>
        <v/>
      </c>
      <c r="C931">
        <f>IF(OR(수납!$E931="수강료",수납!$E931=""),N(수납!$F931),0)</f>
        <v/>
      </c>
    </row>
    <row r="932">
      <c r="A932">
        <f>IF(수납!$C932="","",수납!$C932&amp;"|"&amp;IF(수납!$D932&lt;&gt;"",수납!$D932,IF(COUNTIF(원생!$A$2:$A$501,수납!$C932)=1,INDEX(원생!$G$2:$G$501,MATCH(수납!$C932,원생!$A$2:$A$501,0))&amp;"","")))</f>
        <v/>
      </c>
      <c r="B932">
        <f>IFERROR(IF(수납!$B932="",YEAR(수납!$A932)*100+MONTH(수납!$A932),IF(ISNUMBER(수납!$B932),YEAR(수납!$B932)*100+MONTH(수납!$B932),VALUE(LEFT(수납!$B932,4))*100+VALUE(MID(수납!$B932,6,2)))),"")</f>
        <v/>
      </c>
      <c r="C932">
        <f>IF(OR(수납!$E932="수강료",수납!$E932=""),N(수납!$F932),0)</f>
        <v/>
      </c>
    </row>
    <row r="933">
      <c r="A933">
        <f>IF(수납!$C933="","",수납!$C933&amp;"|"&amp;IF(수납!$D933&lt;&gt;"",수납!$D933,IF(COUNTIF(원생!$A$2:$A$501,수납!$C933)=1,INDEX(원생!$G$2:$G$501,MATCH(수납!$C933,원생!$A$2:$A$501,0))&amp;"","")))</f>
        <v/>
      </c>
      <c r="B933">
        <f>IFERROR(IF(수납!$B933="",YEAR(수납!$A933)*100+MONTH(수납!$A933),IF(ISNUMBER(수납!$B933),YEAR(수납!$B933)*100+MONTH(수납!$B933),VALUE(LEFT(수납!$B933,4))*100+VALUE(MID(수납!$B933,6,2)))),"")</f>
        <v/>
      </c>
      <c r="C933">
        <f>IF(OR(수납!$E933="수강료",수납!$E933=""),N(수납!$F933),0)</f>
        <v/>
      </c>
    </row>
    <row r="934">
      <c r="A934">
        <f>IF(수납!$C934="","",수납!$C934&amp;"|"&amp;IF(수납!$D934&lt;&gt;"",수납!$D934,IF(COUNTIF(원생!$A$2:$A$501,수납!$C934)=1,INDEX(원생!$G$2:$G$501,MATCH(수납!$C934,원생!$A$2:$A$501,0))&amp;"","")))</f>
        <v/>
      </c>
      <c r="B934">
        <f>IFERROR(IF(수납!$B934="",YEAR(수납!$A934)*100+MONTH(수납!$A934),IF(ISNUMBER(수납!$B934),YEAR(수납!$B934)*100+MONTH(수납!$B934),VALUE(LEFT(수납!$B934,4))*100+VALUE(MID(수납!$B934,6,2)))),"")</f>
        <v/>
      </c>
      <c r="C934">
        <f>IF(OR(수납!$E934="수강료",수납!$E934=""),N(수납!$F934),0)</f>
        <v/>
      </c>
    </row>
    <row r="935">
      <c r="A935">
        <f>IF(수납!$C935="","",수납!$C935&amp;"|"&amp;IF(수납!$D935&lt;&gt;"",수납!$D935,IF(COUNTIF(원생!$A$2:$A$501,수납!$C935)=1,INDEX(원생!$G$2:$G$501,MATCH(수납!$C935,원생!$A$2:$A$501,0))&amp;"","")))</f>
        <v/>
      </c>
      <c r="B935">
        <f>IFERROR(IF(수납!$B935="",YEAR(수납!$A935)*100+MONTH(수납!$A935),IF(ISNUMBER(수납!$B935),YEAR(수납!$B935)*100+MONTH(수납!$B935),VALUE(LEFT(수납!$B935,4))*100+VALUE(MID(수납!$B935,6,2)))),"")</f>
        <v/>
      </c>
      <c r="C935">
        <f>IF(OR(수납!$E935="수강료",수납!$E935=""),N(수납!$F935),0)</f>
        <v/>
      </c>
    </row>
    <row r="936">
      <c r="A936">
        <f>IF(수납!$C936="","",수납!$C936&amp;"|"&amp;IF(수납!$D936&lt;&gt;"",수납!$D936,IF(COUNTIF(원생!$A$2:$A$501,수납!$C936)=1,INDEX(원생!$G$2:$G$501,MATCH(수납!$C936,원생!$A$2:$A$501,0))&amp;"","")))</f>
        <v/>
      </c>
      <c r="B936">
        <f>IFERROR(IF(수납!$B936="",YEAR(수납!$A936)*100+MONTH(수납!$A936),IF(ISNUMBER(수납!$B936),YEAR(수납!$B936)*100+MONTH(수납!$B936),VALUE(LEFT(수납!$B936,4))*100+VALUE(MID(수납!$B936,6,2)))),"")</f>
        <v/>
      </c>
      <c r="C936">
        <f>IF(OR(수납!$E936="수강료",수납!$E936=""),N(수납!$F936),0)</f>
        <v/>
      </c>
    </row>
    <row r="937">
      <c r="A937">
        <f>IF(수납!$C937="","",수납!$C937&amp;"|"&amp;IF(수납!$D937&lt;&gt;"",수납!$D937,IF(COUNTIF(원생!$A$2:$A$501,수납!$C937)=1,INDEX(원생!$G$2:$G$501,MATCH(수납!$C937,원생!$A$2:$A$501,0))&amp;"","")))</f>
        <v/>
      </c>
      <c r="B937">
        <f>IFERROR(IF(수납!$B937="",YEAR(수납!$A937)*100+MONTH(수납!$A937),IF(ISNUMBER(수납!$B937),YEAR(수납!$B937)*100+MONTH(수납!$B937),VALUE(LEFT(수납!$B937,4))*100+VALUE(MID(수납!$B937,6,2)))),"")</f>
        <v/>
      </c>
      <c r="C937">
        <f>IF(OR(수납!$E937="수강료",수납!$E937=""),N(수납!$F937),0)</f>
        <v/>
      </c>
    </row>
    <row r="938">
      <c r="A938">
        <f>IF(수납!$C938="","",수납!$C938&amp;"|"&amp;IF(수납!$D938&lt;&gt;"",수납!$D938,IF(COUNTIF(원생!$A$2:$A$501,수납!$C938)=1,INDEX(원생!$G$2:$G$501,MATCH(수납!$C938,원생!$A$2:$A$501,0))&amp;"","")))</f>
        <v/>
      </c>
      <c r="B938">
        <f>IFERROR(IF(수납!$B938="",YEAR(수납!$A938)*100+MONTH(수납!$A938),IF(ISNUMBER(수납!$B938),YEAR(수납!$B938)*100+MONTH(수납!$B938),VALUE(LEFT(수납!$B938,4))*100+VALUE(MID(수납!$B938,6,2)))),"")</f>
        <v/>
      </c>
      <c r="C938">
        <f>IF(OR(수납!$E938="수강료",수납!$E938=""),N(수납!$F938),0)</f>
        <v/>
      </c>
    </row>
    <row r="939">
      <c r="A939">
        <f>IF(수납!$C939="","",수납!$C939&amp;"|"&amp;IF(수납!$D939&lt;&gt;"",수납!$D939,IF(COUNTIF(원생!$A$2:$A$501,수납!$C939)=1,INDEX(원생!$G$2:$G$501,MATCH(수납!$C939,원생!$A$2:$A$501,0))&amp;"","")))</f>
        <v/>
      </c>
      <c r="B939">
        <f>IFERROR(IF(수납!$B939="",YEAR(수납!$A939)*100+MONTH(수납!$A939),IF(ISNUMBER(수납!$B939),YEAR(수납!$B939)*100+MONTH(수납!$B939),VALUE(LEFT(수납!$B939,4))*100+VALUE(MID(수납!$B939,6,2)))),"")</f>
        <v/>
      </c>
      <c r="C939">
        <f>IF(OR(수납!$E939="수강료",수납!$E939=""),N(수납!$F939),0)</f>
        <v/>
      </c>
    </row>
    <row r="940">
      <c r="A940">
        <f>IF(수납!$C940="","",수납!$C940&amp;"|"&amp;IF(수납!$D940&lt;&gt;"",수납!$D940,IF(COUNTIF(원생!$A$2:$A$501,수납!$C940)=1,INDEX(원생!$G$2:$G$501,MATCH(수납!$C940,원생!$A$2:$A$501,0))&amp;"","")))</f>
        <v/>
      </c>
      <c r="B940">
        <f>IFERROR(IF(수납!$B940="",YEAR(수납!$A940)*100+MONTH(수납!$A940),IF(ISNUMBER(수납!$B940),YEAR(수납!$B940)*100+MONTH(수납!$B940),VALUE(LEFT(수납!$B940,4))*100+VALUE(MID(수납!$B940,6,2)))),"")</f>
        <v/>
      </c>
      <c r="C940">
        <f>IF(OR(수납!$E940="수강료",수납!$E940=""),N(수납!$F940),0)</f>
        <v/>
      </c>
    </row>
    <row r="941">
      <c r="A941">
        <f>IF(수납!$C941="","",수납!$C941&amp;"|"&amp;IF(수납!$D941&lt;&gt;"",수납!$D941,IF(COUNTIF(원생!$A$2:$A$501,수납!$C941)=1,INDEX(원생!$G$2:$G$501,MATCH(수납!$C941,원생!$A$2:$A$501,0))&amp;"","")))</f>
        <v/>
      </c>
      <c r="B941">
        <f>IFERROR(IF(수납!$B941="",YEAR(수납!$A941)*100+MONTH(수납!$A941),IF(ISNUMBER(수납!$B941),YEAR(수납!$B941)*100+MONTH(수납!$B941),VALUE(LEFT(수납!$B941,4))*100+VALUE(MID(수납!$B941,6,2)))),"")</f>
        <v/>
      </c>
      <c r="C941">
        <f>IF(OR(수납!$E941="수강료",수납!$E941=""),N(수납!$F941),0)</f>
        <v/>
      </c>
    </row>
    <row r="942">
      <c r="A942">
        <f>IF(수납!$C942="","",수납!$C942&amp;"|"&amp;IF(수납!$D942&lt;&gt;"",수납!$D942,IF(COUNTIF(원생!$A$2:$A$501,수납!$C942)=1,INDEX(원생!$G$2:$G$501,MATCH(수납!$C942,원생!$A$2:$A$501,0))&amp;"","")))</f>
        <v/>
      </c>
      <c r="B942">
        <f>IFERROR(IF(수납!$B942="",YEAR(수납!$A942)*100+MONTH(수납!$A942),IF(ISNUMBER(수납!$B942),YEAR(수납!$B942)*100+MONTH(수납!$B942),VALUE(LEFT(수납!$B942,4))*100+VALUE(MID(수납!$B942,6,2)))),"")</f>
        <v/>
      </c>
      <c r="C942">
        <f>IF(OR(수납!$E942="수강료",수납!$E942=""),N(수납!$F942),0)</f>
        <v/>
      </c>
    </row>
    <row r="943">
      <c r="A943">
        <f>IF(수납!$C943="","",수납!$C943&amp;"|"&amp;IF(수납!$D943&lt;&gt;"",수납!$D943,IF(COUNTIF(원생!$A$2:$A$501,수납!$C943)=1,INDEX(원생!$G$2:$G$501,MATCH(수납!$C943,원생!$A$2:$A$501,0))&amp;"","")))</f>
        <v/>
      </c>
      <c r="B943">
        <f>IFERROR(IF(수납!$B943="",YEAR(수납!$A943)*100+MONTH(수납!$A943),IF(ISNUMBER(수납!$B943),YEAR(수납!$B943)*100+MONTH(수납!$B943),VALUE(LEFT(수납!$B943,4))*100+VALUE(MID(수납!$B943,6,2)))),"")</f>
        <v/>
      </c>
      <c r="C943">
        <f>IF(OR(수납!$E943="수강료",수납!$E943=""),N(수납!$F943),0)</f>
        <v/>
      </c>
    </row>
    <row r="944">
      <c r="A944">
        <f>IF(수납!$C944="","",수납!$C944&amp;"|"&amp;IF(수납!$D944&lt;&gt;"",수납!$D944,IF(COUNTIF(원생!$A$2:$A$501,수납!$C944)=1,INDEX(원생!$G$2:$G$501,MATCH(수납!$C944,원생!$A$2:$A$501,0))&amp;"","")))</f>
        <v/>
      </c>
      <c r="B944">
        <f>IFERROR(IF(수납!$B944="",YEAR(수납!$A944)*100+MONTH(수납!$A944),IF(ISNUMBER(수납!$B944),YEAR(수납!$B944)*100+MONTH(수납!$B944),VALUE(LEFT(수납!$B944,4))*100+VALUE(MID(수납!$B944,6,2)))),"")</f>
        <v/>
      </c>
      <c r="C944">
        <f>IF(OR(수납!$E944="수강료",수납!$E944=""),N(수납!$F944),0)</f>
        <v/>
      </c>
    </row>
    <row r="945">
      <c r="A945">
        <f>IF(수납!$C945="","",수납!$C945&amp;"|"&amp;IF(수납!$D945&lt;&gt;"",수납!$D945,IF(COUNTIF(원생!$A$2:$A$501,수납!$C945)=1,INDEX(원생!$G$2:$G$501,MATCH(수납!$C945,원생!$A$2:$A$501,0))&amp;"","")))</f>
        <v/>
      </c>
      <c r="B945">
        <f>IFERROR(IF(수납!$B945="",YEAR(수납!$A945)*100+MONTH(수납!$A945),IF(ISNUMBER(수납!$B945),YEAR(수납!$B945)*100+MONTH(수납!$B945),VALUE(LEFT(수납!$B945,4))*100+VALUE(MID(수납!$B945,6,2)))),"")</f>
        <v/>
      </c>
      <c r="C945">
        <f>IF(OR(수납!$E945="수강료",수납!$E945=""),N(수납!$F945),0)</f>
        <v/>
      </c>
    </row>
    <row r="946">
      <c r="A946">
        <f>IF(수납!$C946="","",수납!$C946&amp;"|"&amp;IF(수납!$D946&lt;&gt;"",수납!$D946,IF(COUNTIF(원생!$A$2:$A$501,수납!$C946)=1,INDEX(원생!$G$2:$G$501,MATCH(수납!$C946,원생!$A$2:$A$501,0))&amp;"","")))</f>
        <v/>
      </c>
      <c r="B946">
        <f>IFERROR(IF(수납!$B946="",YEAR(수납!$A946)*100+MONTH(수납!$A946),IF(ISNUMBER(수납!$B946),YEAR(수납!$B946)*100+MONTH(수납!$B946),VALUE(LEFT(수납!$B946,4))*100+VALUE(MID(수납!$B946,6,2)))),"")</f>
        <v/>
      </c>
      <c r="C946">
        <f>IF(OR(수납!$E946="수강료",수납!$E946=""),N(수납!$F946),0)</f>
        <v/>
      </c>
    </row>
    <row r="947">
      <c r="A947">
        <f>IF(수납!$C947="","",수납!$C947&amp;"|"&amp;IF(수납!$D947&lt;&gt;"",수납!$D947,IF(COUNTIF(원생!$A$2:$A$501,수납!$C947)=1,INDEX(원생!$G$2:$G$501,MATCH(수납!$C947,원생!$A$2:$A$501,0))&amp;"","")))</f>
        <v/>
      </c>
      <c r="B947">
        <f>IFERROR(IF(수납!$B947="",YEAR(수납!$A947)*100+MONTH(수납!$A947),IF(ISNUMBER(수납!$B947),YEAR(수납!$B947)*100+MONTH(수납!$B947),VALUE(LEFT(수납!$B947,4))*100+VALUE(MID(수납!$B947,6,2)))),"")</f>
        <v/>
      </c>
      <c r="C947">
        <f>IF(OR(수납!$E947="수강료",수납!$E947=""),N(수납!$F947),0)</f>
        <v/>
      </c>
    </row>
    <row r="948">
      <c r="A948">
        <f>IF(수납!$C948="","",수납!$C948&amp;"|"&amp;IF(수납!$D948&lt;&gt;"",수납!$D948,IF(COUNTIF(원생!$A$2:$A$501,수납!$C948)=1,INDEX(원생!$G$2:$G$501,MATCH(수납!$C948,원생!$A$2:$A$501,0))&amp;"","")))</f>
        <v/>
      </c>
      <c r="B948">
        <f>IFERROR(IF(수납!$B948="",YEAR(수납!$A948)*100+MONTH(수납!$A948),IF(ISNUMBER(수납!$B948),YEAR(수납!$B948)*100+MONTH(수납!$B948),VALUE(LEFT(수납!$B948,4))*100+VALUE(MID(수납!$B948,6,2)))),"")</f>
        <v/>
      </c>
      <c r="C948">
        <f>IF(OR(수납!$E948="수강료",수납!$E948=""),N(수납!$F948),0)</f>
        <v/>
      </c>
    </row>
    <row r="949">
      <c r="A949">
        <f>IF(수납!$C949="","",수납!$C949&amp;"|"&amp;IF(수납!$D949&lt;&gt;"",수납!$D949,IF(COUNTIF(원생!$A$2:$A$501,수납!$C949)=1,INDEX(원생!$G$2:$G$501,MATCH(수납!$C949,원생!$A$2:$A$501,0))&amp;"","")))</f>
        <v/>
      </c>
      <c r="B949">
        <f>IFERROR(IF(수납!$B949="",YEAR(수납!$A949)*100+MONTH(수납!$A949),IF(ISNUMBER(수납!$B949),YEAR(수납!$B949)*100+MONTH(수납!$B949),VALUE(LEFT(수납!$B949,4))*100+VALUE(MID(수납!$B949,6,2)))),"")</f>
        <v/>
      </c>
      <c r="C949">
        <f>IF(OR(수납!$E949="수강료",수납!$E949=""),N(수납!$F949),0)</f>
        <v/>
      </c>
    </row>
    <row r="950">
      <c r="A950">
        <f>IF(수납!$C950="","",수납!$C950&amp;"|"&amp;IF(수납!$D950&lt;&gt;"",수납!$D950,IF(COUNTIF(원생!$A$2:$A$501,수납!$C950)=1,INDEX(원생!$G$2:$G$501,MATCH(수납!$C950,원생!$A$2:$A$501,0))&amp;"","")))</f>
        <v/>
      </c>
      <c r="B950">
        <f>IFERROR(IF(수납!$B950="",YEAR(수납!$A950)*100+MONTH(수납!$A950),IF(ISNUMBER(수납!$B950),YEAR(수납!$B950)*100+MONTH(수납!$B950),VALUE(LEFT(수납!$B950,4))*100+VALUE(MID(수납!$B950,6,2)))),"")</f>
        <v/>
      </c>
      <c r="C950">
        <f>IF(OR(수납!$E950="수강료",수납!$E950=""),N(수납!$F950),0)</f>
        <v/>
      </c>
    </row>
    <row r="951">
      <c r="A951">
        <f>IF(수납!$C951="","",수납!$C951&amp;"|"&amp;IF(수납!$D951&lt;&gt;"",수납!$D951,IF(COUNTIF(원생!$A$2:$A$501,수납!$C951)=1,INDEX(원생!$G$2:$G$501,MATCH(수납!$C951,원생!$A$2:$A$501,0))&amp;"","")))</f>
        <v/>
      </c>
      <c r="B951">
        <f>IFERROR(IF(수납!$B951="",YEAR(수납!$A951)*100+MONTH(수납!$A951),IF(ISNUMBER(수납!$B951),YEAR(수납!$B951)*100+MONTH(수납!$B951),VALUE(LEFT(수납!$B951,4))*100+VALUE(MID(수납!$B951,6,2)))),"")</f>
        <v/>
      </c>
      <c r="C951">
        <f>IF(OR(수납!$E951="수강료",수납!$E951=""),N(수납!$F951),0)</f>
        <v/>
      </c>
    </row>
    <row r="952">
      <c r="A952">
        <f>IF(수납!$C952="","",수납!$C952&amp;"|"&amp;IF(수납!$D952&lt;&gt;"",수납!$D952,IF(COUNTIF(원생!$A$2:$A$501,수납!$C952)=1,INDEX(원생!$G$2:$G$501,MATCH(수납!$C952,원생!$A$2:$A$501,0))&amp;"","")))</f>
        <v/>
      </c>
      <c r="B952">
        <f>IFERROR(IF(수납!$B952="",YEAR(수납!$A952)*100+MONTH(수납!$A952),IF(ISNUMBER(수납!$B952),YEAR(수납!$B952)*100+MONTH(수납!$B952),VALUE(LEFT(수납!$B952,4))*100+VALUE(MID(수납!$B952,6,2)))),"")</f>
        <v/>
      </c>
      <c r="C952">
        <f>IF(OR(수납!$E952="수강료",수납!$E952=""),N(수납!$F952),0)</f>
        <v/>
      </c>
    </row>
    <row r="953">
      <c r="A953">
        <f>IF(수납!$C953="","",수납!$C953&amp;"|"&amp;IF(수납!$D953&lt;&gt;"",수납!$D953,IF(COUNTIF(원생!$A$2:$A$501,수납!$C953)=1,INDEX(원생!$G$2:$G$501,MATCH(수납!$C953,원생!$A$2:$A$501,0))&amp;"","")))</f>
        <v/>
      </c>
      <c r="B953">
        <f>IFERROR(IF(수납!$B953="",YEAR(수납!$A953)*100+MONTH(수납!$A953),IF(ISNUMBER(수납!$B953),YEAR(수납!$B953)*100+MONTH(수납!$B953),VALUE(LEFT(수납!$B953,4))*100+VALUE(MID(수납!$B953,6,2)))),"")</f>
        <v/>
      </c>
      <c r="C953">
        <f>IF(OR(수납!$E953="수강료",수납!$E953=""),N(수납!$F953),0)</f>
        <v/>
      </c>
    </row>
    <row r="954">
      <c r="A954">
        <f>IF(수납!$C954="","",수납!$C954&amp;"|"&amp;IF(수납!$D954&lt;&gt;"",수납!$D954,IF(COUNTIF(원생!$A$2:$A$501,수납!$C954)=1,INDEX(원생!$G$2:$G$501,MATCH(수납!$C954,원생!$A$2:$A$501,0))&amp;"","")))</f>
        <v/>
      </c>
      <c r="B954">
        <f>IFERROR(IF(수납!$B954="",YEAR(수납!$A954)*100+MONTH(수납!$A954),IF(ISNUMBER(수납!$B954),YEAR(수납!$B954)*100+MONTH(수납!$B954),VALUE(LEFT(수납!$B954,4))*100+VALUE(MID(수납!$B954,6,2)))),"")</f>
        <v/>
      </c>
      <c r="C954">
        <f>IF(OR(수납!$E954="수강료",수납!$E954=""),N(수납!$F954),0)</f>
        <v/>
      </c>
    </row>
    <row r="955">
      <c r="A955">
        <f>IF(수납!$C955="","",수납!$C955&amp;"|"&amp;IF(수납!$D955&lt;&gt;"",수납!$D955,IF(COUNTIF(원생!$A$2:$A$501,수납!$C955)=1,INDEX(원생!$G$2:$G$501,MATCH(수납!$C955,원생!$A$2:$A$501,0))&amp;"","")))</f>
        <v/>
      </c>
      <c r="B955">
        <f>IFERROR(IF(수납!$B955="",YEAR(수납!$A955)*100+MONTH(수납!$A955),IF(ISNUMBER(수납!$B955),YEAR(수납!$B955)*100+MONTH(수납!$B955),VALUE(LEFT(수납!$B955,4))*100+VALUE(MID(수납!$B955,6,2)))),"")</f>
        <v/>
      </c>
      <c r="C955">
        <f>IF(OR(수납!$E955="수강료",수납!$E955=""),N(수납!$F955),0)</f>
        <v/>
      </c>
    </row>
    <row r="956">
      <c r="A956">
        <f>IF(수납!$C956="","",수납!$C956&amp;"|"&amp;IF(수납!$D956&lt;&gt;"",수납!$D956,IF(COUNTIF(원생!$A$2:$A$501,수납!$C956)=1,INDEX(원생!$G$2:$G$501,MATCH(수납!$C956,원생!$A$2:$A$501,0))&amp;"","")))</f>
        <v/>
      </c>
      <c r="B956">
        <f>IFERROR(IF(수납!$B956="",YEAR(수납!$A956)*100+MONTH(수납!$A956),IF(ISNUMBER(수납!$B956),YEAR(수납!$B956)*100+MONTH(수납!$B956),VALUE(LEFT(수납!$B956,4))*100+VALUE(MID(수납!$B956,6,2)))),"")</f>
        <v/>
      </c>
      <c r="C956">
        <f>IF(OR(수납!$E956="수강료",수납!$E956=""),N(수납!$F956),0)</f>
        <v/>
      </c>
    </row>
    <row r="957">
      <c r="A957">
        <f>IF(수납!$C957="","",수납!$C957&amp;"|"&amp;IF(수납!$D957&lt;&gt;"",수납!$D957,IF(COUNTIF(원생!$A$2:$A$501,수납!$C957)=1,INDEX(원생!$G$2:$G$501,MATCH(수납!$C957,원생!$A$2:$A$501,0))&amp;"","")))</f>
        <v/>
      </c>
      <c r="B957">
        <f>IFERROR(IF(수납!$B957="",YEAR(수납!$A957)*100+MONTH(수납!$A957),IF(ISNUMBER(수납!$B957),YEAR(수납!$B957)*100+MONTH(수납!$B957),VALUE(LEFT(수납!$B957,4))*100+VALUE(MID(수납!$B957,6,2)))),"")</f>
        <v/>
      </c>
      <c r="C957">
        <f>IF(OR(수납!$E957="수강료",수납!$E957=""),N(수납!$F957),0)</f>
        <v/>
      </c>
    </row>
    <row r="958">
      <c r="A958">
        <f>IF(수납!$C958="","",수납!$C958&amp;"|"&amp;IF(수납!$D958&lt;&gt;"",수납!$D958,IF(COUNTIF(원생!$A$2:$A$501,수납!$C958)=1,INDEX(원생!$G$2:$G$501,MATCH(수납!$C958,원생!$A$2:$A$501,0))&amp;"","")))</f>
        <v/>
      </c>
      <c r="B958">
        <f>IFERROR(IF(수납!$B958="",YEAR(수납!$A958)*100+MONTH(수납!$A958),IF(ISNUMBER(수납!$B958),YEAR(수납!$B958)*100+MONTH(수납!$B958),VALUE(LEFT(수납!$B958,4))*100+VALUE(MID(수납!$B958,6,2)))),"")</f>
        <v/>
      </c>
      <c r="C958">
        <f>IF(OR(수납!$E958="수강료",수납!$E958=""),N(수납!$F958),0)</f>
        <v/>
      </c>
    </row>
    <row r="959">
      <c r="A959">
        <f>IF(수납!$C959="","",수납!$C959&amp;"|"&amp;IF(수납!$D959&lt;&gt;"",수납!$D959,IF(COUNTIF(원생!$A$2:$A$501,수납!$C959)=1,INDEX(원생!$G$2:$G$501,MATCH(수납!$C959,원생!$A$2:$A$501,0))&amp;"","")))</f>
        <v/>
      </c>
      <c r="B959">
        <f>IFERROR(IF(수납!$B959="",YEAR(수납!$A959)*100+MONTH(수납!$A959),IF(ISNUMBER(수납!$B959),YEAR(수납!$B959)*100+MONTH(수납!$B959),VALUE(LEFT(수납!$B959,4))*100+VALUE(MID(수납!$B959,6,2)))),"")</f>
        <v/>
      </c>
      <c r="C959">
        <f>IF(OR(수납!$E959="수강료",수납!$E959=""),N(수납!$F959),0)</f>
        <v/>
      </c>
    </row>
    <row r="960">
      <c r="A960">
        <f>IF(수납!$C960="","",수납!$C960&amp;"|"&amp;IF(수납!$D960&lt;&gt;"",수납!$D960,IF(COUNTIF(원생!$A$2:$A$501,수납!$C960)=1,INDEX(원생!$G$2:$G$501,MATCH(수납!$C960,원생!$A$2:$A$501,0))&amp;"","")))</f>
        <v/>
      </c>
      <c r="B960">
        <f>IFERROR(IF(수납!$B960="",YEAR(수납!$A960)*100+MONTH(수납!$A960),IF(ISNUMBER(수납!$B960),YEAR(수납!$B960)*100+MONTH(수납!$B960),VALUE(LEFT(수납!$B960,4))*100+VALUE(MID(수납!$B960,6,2)))),"")</f>
        <v/>
      </c>
      <c r="C960">
        <f>IF(OR(수납!$E960="수강료",수납!$E960=""),N(수납!$F960),0)</f>
        <v/>
      </c>
    </row>
    <row r="961">
      <c r="A961">
        <f>IF(수납!$C961="","",수납!$C961&amp;"|"&amp;IF(수납!$D961&lt;&gt;"",수납!$D961,IF(COUNTIF(원생!$A$2:$A$501,수납!$C961)=1,INDEX(원생!$G$2:$G$501,MATCH(수납!$C961,원생!$A$2:$A$501,0))&amp;"","")))</f>
        <v/>
      </c>
      <c r="B961">
        <f>IFERROR(IF(수납!$B961="",YEAR(수납!$A961)*100+MONTH(수납!$A961),IF(ISNUMBER(수납!$B961),YEAR(수납!$B961)*100+MONTH(수납!$B961),VALUE(LEFT(수납!$B961,4))*100+VALUE(MID(수납!$B961,6,2)))),"")</f>
        <v/>
      </c>
      <c r="C961">
        <f>IF(OR(수납!$E961="수강료",수납!$E961=""),N(수납!$F961),0)</f>
        <v/>
      </c>
    </row>
    <row r="962">
      <c r="A962">
        <f>IF(수납!$C962="","",수납!$C962&amp;"|"&amp;IF(수납!$D962&lt;&gt;"",수납!$D962,IF(COUNTIF(원생!$A$2:$A$501,수납!$C962)=1,INDEX(원생!$G$2:$G$501,MATCH(수납!$C962,원생!$A$2:$A$501,0))&amp;"","")))</f>
        <v/>
      </c>
      <c r="B962">
        <f>IFERROR(IF(수납!$B962="",YEAR(수납!$A962)*100+MONTH(수납!$A962),IF(ISNUMBER(수납!$B962),YEAR(수납!$B962)*100+MONTH(수납!$B962),VALUE(LEFT(수납!$B962,4))*100+VALUE(MID(수납!$B962,6,2)))),"")</f>
        <v/>
      </c>
      <c r="C962">
        <f>IF(OR(수납!$E962="수강료",수납!$E962=""),N(수납!$F962),0)</f>
        <v/>
      </c>
    </row>
    <row r="963">
      <c r="A963">
        <f>IF(수납!$C963="","",수납!$C963&amp;"|"&amp;IF(수납!$D963&lt;&gt;"",수납!$D963,IF(COUNTIF(원생!$A$2:$A$501,수납!$C963)=1,INDEX(원생!$G$2:$G$501,MATCH(수납!$C963,원생!$A$2:$A$501,0))&amp;"","")))</f>
        <v/>
      </c>
      <c r="B963">
        <f>IFERROR(IF(수납!$B963="",YEAR(수납!$A963)*100+MONTH(수납!$A963),IF(ISNUMBER(수납!$B963),YEAR(수납!$B963)*100+MONTH(수납!$B963),VALUE(LEFT(수납!$B963,4))*100+VALUE(MID(수납!$B963,6,2)))),"")</f>
        <v/>
      </c>
      <c r="C963">
        <f>IF(OR(수납!$E963="수강료",수납!$E963=""),N(수납!$F963),0)</f>
        <v/>
      </c>
    </row>
    <row r="964">
      <c r="A964">
        <f>IF(수납!$C964="","",수납!$C964&amp;"|"&amp;IF(수납!$D964&lt;&gt;"",수납!$D964,IF(COUNTIF(원생!$A$2:$A$501,수납!$C964)=1,INDEX(원생!$G$2:$G$501,MATCH(수납!$C964,원생!$A$2:$A$501,0))&amp;"","")))</f>
        <v/>
      </c>
      <c r="B964">
        <f>IFERROR(IF(수납!$B964="",YEAR(수납!$A964)*100+MONTH(수납!$A964),IF(ISNUMBER(수납!$B964),YEAR(수납!$B964)*100+MONTH(수납!$B964),VALUE(LEFT(수납!$B964,4))*100+VALUE(MID(수납!$B964,6,2)))),"")</f>
        <v/>
      </c>
      <c r="C964">
        <f>IF(OR(수납!$E964="수강료",수납!$E964=""),N(수납!$F964),0)</f>
        <v/>
      </c>
    </row>
    <row r="965">
      <c r="A965">
        <f>IF(수납!$C965="","",수납!$C965&amp;"|"&amp;IF(수납!$D965&lt;&gt;"",수납!$D965,IF(COUNTIF(원생!$A$2:$A$501,수납!$C965)=1,INDEX(원생!$G$2:$G$501,MATCH(수납!$C965,원생!$A$2:$A$501,0))&amp;"","")))</f>
        <v/>
      </c>
      <c r="B965">
        <f>IFERROR(IF(수납!$B965="",YEAR(수납!$A965)*100+MONTH(수납!$A965),IF(ISNUMBER(수납!$B965),YEAR(수납!$B965)*100+MONTH(수납!$B965),VALUE(LEFT(수납!$B965,4))*100+VALUE(MID(수납!$B965,6,2)))),"")</f>
        <v/>
      </c>
      <c r="C965">
        <f>IF(OR(수납!$E965="수강료",수납!$E965=""),N(수납!$F965),0)</f>
        <v/>
      </c>
    </row>
    <row r="966">
      <c r="A966">
        <f>IF(수납!$C966="","",수납!$C966&amp;"|"&amp;IF(수납!$D966&lt;&gt;"",수납!$D966,IF(COUNTIF(원생!$A$2:$A$501,수납!$C966)=1,INDEX(원생!$G$2:$G$501,MATCH(수납!$C966,원생!$A$2:$A$501,0))&amp;"","")))</f>
        <v/>
      </c>
      <c r="B966">
        <f>IFERROR(IF(수납!$B966="",YEAR(수납!$A966)*100+MONTH(수납!$A966),IF(ISNUMBER(수납!$B966),YEAR(수납!$B966)*100+MONTH(수납!$B966),VALUE(LEFT(수납!$B966,4))*100+VALUE(MID(수납!$B966,6,2)))),"")</f>
        <v/>
      </c>
      <c r="C966">
        <f>IF(OR(수납!$E966="수강료",수납!$E966=""),N(수납!$F966),0)</f>
        <v/>
      </c>
    </row>
    <row r="967">
      <c r="A967">
        <f>IF(수납!$C967="","",수납!$C967&amp;"|"&amp;IF(수납!$D967&lt;&gt;"",수납!$D967,IF(COUNTIF(원생!$A$2:$A$501,수납!$C967)=1,INDEX(원생!$G$2:$G$501,MATCH(수납!$C967,원생!$A$2:$A$501,0))&amp;"","")))</f>
        <v/>
      </c>
      <c r="B967">
        <f>IFERROR(IF(수납!$B967="",YEAR(수납!$A967)*100+MONTH(수납!$A967),IF(ISNUMBER(수납!$B967),YEAR(수납!$B967)*100+MONTH(수납!$B967),VALUE(LEFT(수납!$B967,4))*100+VALUE(MID(수납!$B967,6,2)))),"")</f>
        <v/>
      </c>
      <c r="C967">
        <f>IF(OR(수납!$E967="수강료",수납!$E967=""),N(수납!$F967),0)</f>
        <v/>
      </c>
    </row>
    <row r="968">
      <c r="A968">
        <f>IF(수납!$C968="","",수납!$C968&amp;"|"&amp;IF(수납!$D968&lt;&gt;"",수납!$D968,IF(COUNTIF(원생!$A$2:$A$501,수납!$C968)=1,INDEX(원생!$G$2:$G$501,MATCH(수납!$C968,원생!$A$2:$A$501,0))&amp;"","")))</f>
        <v/>
      </c>
      <c r="B968">
        <f>IFERROR(IF(수납!$B968="",YEAR(수납!$A968)*100+MONTH(수납!$A968),IF(ISNUMBER(수납!$B968),YEAR(수납!$B968)*100+MONTH(수납!$B968),VALUE(LEFT(수납!$B968,4))*100+VALUE(MID(수납!$B968,6,2)))),"")</f>
        <v/>
      </c>
      <c r="C968">
        <f>IF(OR(수납!$E968="수강료",수납!$E968=""),N(수납!$F968),0)</f>
        <v/>
      </c>
    </row>
    <row r="969">
      <c r="A969">
        <f>IF(수납!$C969="","",수납!$C969&amp;"|"&amp;IF(수납!$D969&lt;&gt;"",수납!$D969,IF(COUNTIF(원생!$A$2:$A$501,수납!$C969)=1,INDEX(원생!$G$2:$G$501,MATCH(수납!$C969,원생!$A$2:$A$501,0))&amp;"","")))</f>
        <v/>
      </c>
      <c r="B969">
        <f>IFERROR(IF(수납!$B969="",YEAR(수납!$A969)*100+MONTH(수납!$A969),IF(ISNUMBER(수납!$B969),YEAR(수납!$B969)*100+MONTH(수납!$B969),VALUE(LEFT(수납!$B969,4))*100+VALUE(MID(수납!$B969,6,2)))),"")</f>
        <v/>
      </c>
      <c r="C969">
        <f>IF(OR(수납!$E969="수강료",수납!$E969=""),N(수납!$F969),0)</f>
        <v/>
      </c>
    </row>
    <row r="970">
      <c r="A970">
        <f>IF(수납!$C970="","",수납!$C970&amp;"|"&amp;IF(수납!$D970&lt;&gt;"",수납!$D970,IF(COUNTIF(원생!$A$2:$A$501,수납!$C970)=1,INDEX(원생!$G$2:$G$501,MATCH(수납!$C970,원생!$A$2:$A$501,0))&amp;"","")))</f>
        <v/>
      </c>
      <c r="B970">
        <f>IFERROR(IF(수납!$B970="",YEAR(수납!$A970)*100+MONTH(수납!$A970),IF(ISNUMBER(수납!$B970),YEAR(수납!$B970)*100+MONTH(수납!$B970),VALUE(LEFT(수납!$B970,4))*100+VALUE(MID(수납!$B970,6,2)))),"")</f>
        <v/>
      </c>
      <c r="C970">
        <f>IF(OR(수납!$E970="수강료",수납!$E970=""),N(수납!$F970),0)</f>
        <v/>
      </c>
    </row>
    <row r="971">
      <c r="A971">
        <f>IF(수납!$C971="","",수납!$C971&amp;"|"&amp;IF(수납!$D971&lt;&gt;"",수납!$D971,IF(COUNTIF(원생!$A$2:$A$501,수납!$C971)=1,INDEX(원생!$G$2:$G$501,MATCH(수납!$C971,원생!$A$2:$A$501,0))&amp;"","")))</f>
        <v/>
      </c>
      <c r="B971">
        <f>IFERROR(IF(수납!$B971="",YEAR(수납!$A971)*100+MONTH(수납!$A971),IF(ISNUMBER(수납!$B971),YEAR(수납!$B971)*100+MONTH(수납!$B971),VALUE(LEFT(수납!$B971,4))*100+VALUE(MID(수납!$B971,6,2)))),"")</f>
        <v/>
      </c>
      <c r="C971">
        <f>IF(OR(수납!$E971="수강료",수납!$E971=""),N(수납!$F971),0)</f>
        <v/>
      </c>
    </row>
    <row r="972">
      <c r="A972">
        <f>IF(수납!$C972="","",수납!$C972&amp;"|"&amp;IF(수납!$D972&lt;&gt;"",수납!$D972,IF(COUNTIF(원생!$A$2:$A$501,수납!$C972)=1,INDEX(원생!$G$2:$G$501,MATCH(수납!$C972,원생!$A$2:$A$501,0))&amp;"","")))</f>
        <v/>
      </c>
      <c r="B972">
        <f>IFERROR(IF(수납!$B972="",YEAR(수납!$A972)*100+MONTH(수납!$A972),IF(ISNUMBER(수납!$B972),YEAR(수납!$B972)*100+MONTH(수납!$B972),VALUE(LEFT(수납!$B972,4))*100+VALUE(MID(수납!$B972,6,2)))),"")</f>
        <v/>
      </c>
      <c r="C972">
        <f>IF(OR(수납!$E972="수강료",수납!$E972=""),N(수납!$F972),0)</f>
        <v/>
      </c>
    </row>
    <row r="973">
      <c r="A973">
        <f>IF(수납!$C973="","",수납!$C973&amp;"|"&amp;IF(수납!$D973&lt;&gt;"",수납!$D973,IF(COUNTIF(원생!$A$2:$A$501,수납!$C973)=1,INDEX(원생!$G$2:$G$501,MATCH(수납!$C973,원생!$A$2:$A$501,0))&amp;"","")))</f>
        <v/>
      </c>
      <c r="B973">
        <f>IFERROR(IF(수납!$B973="",YEAR(수납!$A973)*100+MONTH(수납!$A973),IF(ISNUMBER(수납!$B973),YEAR(수납!$B973)*100+MONTH(수납!$B973),VALUE(LEFT(수납!$B973,4))*100+VALUE(MID(수납!$B973,6,2)))),"")</f>
        <v/>
      </c>
      <c r="C973">
        <f>IF(OR(수납!$E973="수강료",수납!$E973=""),N(수납!$F973),0)</f>
        <v/>
      </c>
    </row>
    <row r="974">
      <c r="A974">
        <f>IF(수납!$C974="","",수납!$C974&amp;"|"&amp;IF(수납!$D974&lt;&gt;"",수납!$D974,IF(COUNTIF(원생!$A$2:$A$501,수납!$C974)=1,INDEX(원생!$G$2:$G$501,MATCH(수납!$C974,원생!$A$2:$A$501,0))&amp;"","")))</f>
        <v/>
      </c>
      <c r="B974">
        <f>IFERROR(IF(수납!$B974="",YEAR(수납!$A974)*100+MONTH(수납!$A974),IF(ISNUMBER(수납!$B974),YEAR(수납!$B974)*100+MONTH(수납!$B974),VALUE(LEFT(수납!$B974,4))*100+VALUE(MID(수납!$B974,6,2)))),"")</f>
        <v/>
      </c>
      <c r="C974">
        <f>IF(OR(수납!$E974="수강료",수납!$E974=""),N(수납!$F974),0)</f>
        <v/>
      </c>
    </row>
    <row r="975">
      <c r="A975">
        <f>IF(수납!$C975="","",수납!$C975&amp;"|"&amp;IF(수납!$D975&lt;&gt;"",수납!$D975,IF(COUNTIF(원생!$A$2:$A$501,수납!$C975)=1,INDEX(원생!$G$2:$G$501,MATCH(수납!$C975,원생!$A$2:$A$501,0))&amp;"","")))</f>
        <v/>
      </c>
      <c r="B975">
        <f>IFERROR(IF(수납!$B975="",YEAR(수납!$A975)*100+MONTH(수납!$A975),IF(ISNUMBER(수납!$B975),YEAR(수납!$B975)*100+MONTH(수납!$B975),VALUE(LEFT(수납!$B975,4))*100+VALUE(MID(수납!$B975,6,2)))),"")</f>
        <v/>
      </c>
      <c r="C975">
        <f>IF(OR(수납!$E975="수강료",수납!$E975=""),N(수납!$F975),0)</f>
        <v/>
      </c>
    </row>
    <row r="976">
      <c r="A976">
        <f>IF(수납!$C976="","",수납!$C976&amp;"|"&amp;IF(수납!$D976&lt;&gt;"",수납!$D976,IF(COUNTIF(원생!$A$2:$A$501,수납!$C976)=1,INDEX(원생!$G$2:$G$501,MATCH(수납!$C976,원생!$A$2:$A$501,0))&amp;"","")))</f>
        <v/>
      </c>
      <c r="B976">
        <f>IFERROR(IF(수납!$B976="",YEAR(수납!$A976)*100+MONTH(수납!$A976),IF(ISNUMBER(수납!$B976),YEAR(수납!$B976)*100+MONTH(수납!$B976),VALUE(LEFT(수납!$B976,4))*100+VALUE(MID(수납!$B976,6,2)))),"")</f>
        <v/>
      </c>
      <c r="C976">
        <f>IF(OR(수납!$E976="수강료",수납!$E976=""),N(수납!$F976),0)</f>
        <v/>
      </c>
    </row>
    <row r="977">
      <c r="A977">
        <f>IF(수납!$C977="","",수납!$C977&amp;"|"&amp;IF(수납!$D977&lt;&gt;"",수납!$D977,IF(COUNTIF(원생!$A$2:$A$501,수납!$C977)=1,INDEX(원생!$G$2:$G$501,MATCH(수납!$C977,원생!$A$2:$A$501,0))&amp;"","")))</f>
        <v/>
      </c>
      <c r="B977">
        <f>IFERROR(IF(수납!$B977="",YEAR(수납!$A977)*100+MONTH(수납!$A977),IF(ISNUMBER(수납!$B977),YEAR(수납!$B977)*100+MONTH(수납!$B977),VALUE(LEFT(수납!$B977,4))*100+VALUE(MID(수납!$B977,6,2)))),"")</f>
        <v/>
      </c>
      <c r="C977">
        <f>IF(OR(수납!$E977="수강료",수납!$E977=""),N(수납!$F977),0)</f>
        <v/>
      </c>
    </row>
    <row r="978">
      <c r="A978">
        <f>IF(수납!$C978="","",수납!$C978&amp;"|"&amp;IF(수납!$D978&lt;&gt;"",수납!$D978,IF(COUNTIF(원생!$A$2:$A$501,수납!$C978)=1,INDEX(원생!$G$2:$G$501,MATCH(수납!$C978,원생!$A$2:$A$501,0))&amp;"","")))</f>
        <v/>
      </c>
      <c r="B978">
        <f>IFERROR(IF(수납!$B978="",YEAR(수납!$A978)*100+MONTH(수납!$A978),IF(ISNUMBER(수납!$B978),YEAR(수납!$B978)*100+MONTH(수납!$B978),VALUE(LEFT(수납!$B978,4))*100+VALUE(MID(수납!$B978,6,2)))),"")</f>
        <v/>
      </c>
      <c r="C978">
        <f>IF(OR(수납!$E978="수강료",수납!$E978=""),N(수납!$F978),0)</f>
        <v/>
      </c>
    </row>
    <row r="979">
      <c r="A979">
        <f>IF(수납!$C979="","",수납!$C979&amp;"|"&amp;IF(수납!$D979&lt;&gt;"",수납!$D979,IF(COUNTIF(원생!$A$2:$A$501,수납!$C979)=1,INDEX(원생!$G$2:$G$501,MATCH(수납!$C979,원생!$A$2:$A$501,0))&amp;"","")))</f>
        <v/>
      </c>
      <c r="B979">
        <f>IFERROR(IF(수납!$B979="",YEAR(수납!$A979)*100+MONTH(수납!$A979),IF(ISNUMBER(수납!$B979),YEAR(수납!$B979)*100+MONTH(수납!$B979),VALUE(LEFT(수납!$B979,4))*100+VALUE(MID(수납!$B979,6,2)))),"")</f>
        <v/>
      </c>
      <c r="C979">
        <f>IF(OR(수납!$E979="수강료",수납!$E979=""),N(수납!$F979),0)</f>
        <v/>
      </c>
    </row>
    <row r="980">
      <c r="A980">
        <f>IF(수납!$C980="","",수납!$C980&amp;"|"&amp;IF(수납!$D980&lt;&gt;"",수납!$D980,IF(COUNTIF(원생!$A$2:$A$501,수납!$C980)=1,INDEX(원생!$G$2:$G$501,MATCH(수납!$C980,원생!$A$2:$A$501,0))&amp;"","")))</f>
        <v/>
      </c>
      <c r="B980">
        <f>IFERROR(IF(수납!$B980="",YEAR(수납!$A980)*100+MONTH(수납!$A980),IF(ISNUMBER(수납!$B980),YEAR(수납!$B980)*100+MONTH(수납!$B980),VALUE(LEFT(수납!$B980,4))*100+VALUE(MID(수납!$B980,6,2)))),"")</f>
        <v/>
      </c>
      <c r="C980">
        <f>IF(OR(수납!$E980="수강료",수납!$E980=""),N(수납!$F980),0)</f>
        <v/>
      </c>
    </row>
    <row r="981">
      <c r="A981">
        <f>IF(수납!$C981="","",수납!$C981&amp;"|"&amp;IF(수납!$D981&lt;&gt;"",수납!$D981,IF(COUNTIF(원생!$A$2:$A$501,수납!$C981)=1,INDEX(원생!$G$2:$G$501,MATCH(수납!$C981,원생!$A$2:$A$501,0))&amp;"","")))</f>
        <v/>
      </c>
      <c r="B981">
        <f>IFERROR(IF(수납!$B981="",YEAR(수납!$A981)*100+MONTH(수납!$A981),IF(ISNUMBER(수납!$B981),YEAR(수납!$B981)*100+MONTH(수납!$B981),VALUE(LEFT(수납!$B981,4))*100+VALUE(MID(수납!$B981,6,2)))),"")</f>
        <v/>
      </c>
      <c r="C981">
        <f>IF(OR(수납!$E981="수강료",수납!$E981=""),N(수납!$F981),0)</f>
        <v/>
      </c>
    </row>
    <row r="982">
      <c r="A982">
        <f>IF(수납!$C982="","",수납!$C982&amp;"|"&amp;IF(수납!$D982&lt;&gt;"",수납!$D982,IF(COUNTIF(원생!$A$2:$A$501,수납!$C982)=1,INDEX(원생!$G$2:$G$501,MATCH(수납!$C982,원생!$A$2:$A$501,0))&amp;"","")))</f>
        <v/>
      </c>
      <c r="B982">
        <f>IFERROR(IF(수납!$B982="",YEAR(수납!$A982)*100+MONTH(수납!$A982),IF(ISNUMBER(수납!$B982),YEAR(수납!$B982)*100+MONTH(수납!$B982),VALUE(LEFT(수납!$B982,4))*100+VALUE(MID(수납!$B982,6,2)))),"")</f>
        <v/>
      </c>
      <c r="C982">
        <f>IF(OR(수납!$E982="수강료",수납!$E982=""),N(수납!$F982),0)</f>
        <v/>
      </c>
    </row>
    <row r="983">
      <c r="A983">
        <f>IF(수납!$C983="","",수납!$C983&amp;"|"&amp;IF(수납!$D983&lt;&gt;"",수납!$D983,IF(COUNTIF(원생!$A$2:$A$501,수납!$C983)=1,INDEX(원생!$G$2:$G$501,MATCH(수납!$C983,원생!$A$2:$A$501,0))&amp;"","")))</f>
        <v/>
      </c>
      <c r="B983">
        <f>IFERROR(IF(수납!$B983="",YEAR(수납!$A983)*100+MONTH(수납!$A983),IF(ISNUMBER(수납!$B983),YEAR(수납!$B983)*100+MONTH(수납!$B983),VALUE(LEFT(수납!$B983,4))*100+VALUE(MID(수납!$B983,6,2)))),"")</f>
        <v/>
      </c>
      <c r="C983">
        <f>IF(OR(수납!$E983="수강료",수납!$E983=""),N(수납!$F983),0)</f>
        <v/>
      </c>
    </row>
    <row r="984">
      <c r="A984">
        <f>IF(수납!$C984="","",수납!$C984&amp;"|"&amp;IF(수납!$D984&lt;&gt;"",수납!$D984,IF(COUNTIF(원생!$A$2:$A$501,수납!$C984)=1,INDEX(원생!$G$2:$G$501,MATCH(수납!$C984,원생!$A$2:$A$501,0))&amp;"","")))</f>
        <v/>
      </c>
      <c r="B984">
        <f>IFERROR(IF(수납!$B984="",YEAR(수납!$A984)*100+MONTH(수납!$A984),IF(ISNUMBER(수납!$B984),YEAR(수납!$B984)*100+MONTH(수납!$B984),VALUE(LEFT(수납!$B984,4))*100+VALUE(MID(수납!$B984,6,2)))),"")</f>
        <v/>
      </c>
      <c r="C984">
        <f>IF(OR(수납!$E984="수강료",수납!$E984=""),N(수납!$F984),0)</f>
        <v/>
      </c>
    </row>
    <row r="985">
      <c r="A985">
        <f>IF(수납!$C985="","",수납!$C985&amp;"|"&amp;IF(수납!$D985&lt;&gt;"",수납!$D985,IF(COUNTIF(원생!$A$2:$A$501,수납!$C985)=1,INDEX(원생!$G$2:$G$501,MATCH(수납!$C985,원생!$A$2:$A$501,0))&amp;"","")))</f>
        <v/>
      </c>
      <c r="B985">
        <f>IFERROR(IF(수납!$B985="",YEAR(수납!$A985)*100+MONTH(수납!$A985),IF(ISNUMBER(수납!$B985),YEAR(수납!$B985)*100+MONTH(수납!$B985),VALUE(LEFT(수납!$B985,4))*100+VALUE(MID(수납!$B985,6,2)))),"")</f>
        <v/>
      </c>
      <c r="C985">
        <f>IF(OR(수납!$E985="수강료",수납!$E985=""),N(수납!$F985),0)</f>
        <v/>
      </c>
    </row>
    <row r="986">
      <c r="A986">
        <f>IF(수납!$C986="","",수납!$C986&amp;"|"&amp;IF(수납!$D986&lt;&gt;"",수납!$D986,IF(COUNTIF(원생!$A$2:$A$501,수납!$C986)=1,INDEX(원생!$G$2:$G$501,MATCH(수납!$C986,원생!$A$2:$A$501,0))&amp;"","")))</f>
        <v/>
      </c>
      <c r="B986">
        <f>IFERROR(IF(수납!$B986="",YEAR(수납!$A986)*100+MONTH(수납!$A986),IF(ISNUMBER(수납!$B986),YEAR(수납!$B986)*100+MONTH(수납!$B986),VALUE(LEFT(수납!$B986,4))*100+VALUE(MID(수납!$B986,6,2)))),"")</f>
        <v/>
      </c>
      <c r="C986">
        <f>IF(OR(수납!$E986="수강료",수납!$E986=""),N(수납!$F986),0)</f>
        <v/>
      </c>
    </row>
    <row r="987">
      <c r="A987">
        <f>IF(수납!$C987="","",수납!$C987&amp;"|"&amp;IF(수납!$D987&lt;&gt;"",수납!$D987,IF(COUNTIF(원생!$A$2:$A$501,수납!$C987)=1,INDEX(원생!$G$2:$G$501,MATCH(수납!$C987,원생!$A$2:$A$501,0))&amp;"","")))</f>
        <v/>
      </c>
      <c r="B987">
        <f>IFERROR(IF(수납!$B987="",YEAR(수납!$A987)*100+MONTH(수납!$A987),IF(ISNUMBER(수납!$B987),YEAR(수납!$B987)*100+MONTH(수납!$B987),VALUE(LEFT(수납!$B987,4))*100+VALUE(MID(수납!$B987,6,2)))),"")</f>
        <v/>
      </c>
      <c r="C987">
        <f>IF(OR(수납!$E987="수강료",수납!$E987=""),N(수납!$F987),0)</f>
        <v/>
      </c>
    </row>
    <row r="988">
      <c r="A988">
        <f>IF(수납!$C988="","",수납!$C988&amp;"|"&amp;IF(수납!$D988&lt;&gt;"",수납!$D988,IF(COUNTIF(원생!$A$2:$A$501,수납!$C988)=1,INDEX(원생!$G$2:$G$501,MATCH(수납!$C988,원생!$A$2:$A$501,0))&amp;"","")))</f>
        <v/>
      </c>
      <c r="B988">
        <f>IFERROR(IF(수납!$B988="",YEAR(수납!$A988)*100+MONTH(수납!$A988),IF(ISNUMBER(수납!$B988),YEAR(수납!$B988)*100+MONTH(수납!$B988),VALUE(LEFT(수납!$B988,4))*100+VALUE(MID(수납!$B988,6,2)))),"")</f>
        <v/>
      </c>
      <c r="C988">
        <f>IF(OR(수납!$E988="수강료",수납!$E988=""),N(수납!$F988),0)</f>
        <v/>
      </c>
    </row>
    <row r="989">
      <c r="A989">
        <f>IF(수납!$C989="","",수납!$C989&amp;"|"&amp;IF(수납!$D989&lt;&gt;"",수납!$D989,IF(COUNTIF(원생!$A$2:$A$501,수납!$C989)=1,INDEX(원생!$G$2:$G$501,MATCH(수납!$C989,원생!$A$2:$A$501,0))&amp;"","")))</f>
        <v/>
      </c>
      <c r="B989">
        <f>IFERROR(IF(수납!$B989="",YEAR(수납!$A989)*100+MONTH(수납!$A989),IF(ISNUMBER(수납!$B989),YEAR(수납!$B989)*100+MONTH(수납!$B989),VALUE(LEFT(수납!$B989,4))*100+VALUE(MID(수납!$B989,6,2)))),"")</f>
        <v/>
      </c>
      <c r="C989">
        <f>IF(OR(수납!$E989="수강료",수납!$E989=""),N(수납!$F989),0)</f>
        <v/>
      </c>
    </row>
    <row r="990">
      <c r="A990">
        <f>IF(수납!$C990="","",수납!$C990&amp;"|"&amp;IF(수납!$D990&lt;&gt;"",수납!$D990,IF(COUNTIF(원생!$A$2:$A$501,수납!$C990)=1,INDEX(원생!$G$2:$G$501,MATCH(수납!$C990,원생!$A$2:$A$501,0))&amp;"","")))</f>
        <v/>
      </c>
      <c r="B990">
        <f>IFERROR(IF(수납!$B990="",YEAR(수납!$A990)*100+MONTH(수납!$A990),IF(ISNUMBER(수납!$B990),YEAR(수납!$B990)*100+MONTH(수납!$B990),VALUE(LEFT(수납!$B990,4))*100+VALUE(MID(수납!$B990,6,2)))),"")</f>
        <v/>
      </c>
      <c r="C990">
        <f>IF(OR(수납!$E990="수강료",수납!$E990=""),N(수납!$F990),0)</f>
        <v/>
      </c>
    </row>
    <row r="991">
      <c r="A991">
        <f>IF(수납!$C991="","",수납!$C991&amp;"|"&amp;IF(수납!$D991&lt;&gt;"",수납!$D991,IF(COUNTIF(원생!$A$2:$A$501,수납!$C991)=1,INDEX(원생!$G$2:$G$501,MATCH(수납!$C991,원생!$A$2:$A$501,0))&amp;"","")))</f>
        <v/>
      </c>
      <c r="B991">
        <f>IFERROR(IF(수납!$B991="",YEAR(수납!$A991)*100+MONTH(수납!$A991),IF(ISNUMBER(수납!$B991),YEAR(수납!$B991)*100+MONTH(수납!$B991),VALUE(LEFT(수납!$B991,4))*100+VALUE(MID(수납!$B991,6,2)))),"")</f>
        <v/>
      </c>
      <c r="C991">
        <f>IF(OR(수납!$E991="수강료",수납!$E991=""),N(수납!$F991),0)</f>
        <v/>
      </c>
    </row>
    <row r="992">
      <c r="A992">
        <f>IF(수납!$C992="","",수납!$C992&amp;"|"&amp;IF(수납!$D992&lt;&gt;"",수납!$D992,IF(COUNTIF(원생!$A$2:$A$501,수납!$C992)=1,INDEX(원생!$G$2:$G$501,MATCH(수납!$C992,원생!$A$2:$A$501,0))&amp;"","")))</f>
        <v/>
      </c>
      <c r="B992">
        <f>IFERROR(IF(수납!$B992="",YEAR(수납!$A992)*100+MONTH(수납!$A992),IF(ISNUMBER(수납!$B992),YEAR(수납!$B992)*100+MONTH(수납!$B992),VALUE(LEFT(수납!$B992,4))*100+VALUE(MID(수납!$B992,6,2)))),"")</f>
        <v/>
      </c>
      <c r="C992">
        <f>IF(OR(수납!$E992="수강료",수납!$E992=""),N(수납!$F992),0)</f>
        <v/>
      </c>
    </row>
    <row r="993">
      <c r="A993">
        <f>IF(수납!$C993="","",수납!$C993&amp;"|"&amp;IF(수납!$D993&lt;&gt;"",수납!$D993,IF(COUNTIF(원생!$A$2:$A$501,수납!$C993)=1,INDEX(원생!$G$2:$G$501,MATCH(수납!$C993,원생!$A$2:$A$501,0))&amp;"","")))</f>
        <v/>
      </c>
      <c r="B993">
        <f>IFERROR(IF(수납!$B993="",YEAR(수납!$A993)*100+MONTH(수납!$A993),IF(ISNUMBER(수납!$B993),YEAR(수납!$B993)*100+MONTH(수납!$B993),VALUE(LEFT(수납!$B993,4))*100+VALUE(MID(수납!$B993,6,2)))),"")</f>
        <v/>
      </c>
      <c r="C993">
        <f>IF(OR(수납!$E993="수강료",수납!$E993=""),N(수납!$F993),0)</f>
        <v/>
      </c>
    </row>
    <row r="994">
      <c r="A994">
        <f>IF(수납!$C994="","",수납!$C994&amp;"|"&amp;IF(수납!$D994&lt;&gt;"",수납!$D994,IF(COUNTIF(원생!$A$2:$A$501,수납!$C994)=1,INDEX(원생!$G$2:$G$501,MATCH(수납!$C994,원생!$A$2:$A$501,0))&amp;"","")))</f>
        <v/>
      </c>
      <c r="B994">
        <f>IFERROR(IF(수납!$B994="",YEAR(수납!$A994)*100+MONTH(수납!$A994),IF(ISNUMBER(수납!$B994),YEAR(수납!$B994)*100+MONTH(수납!$B994),VALUE(LEFT(수납!$B994,4))*100+VALUE(MID(수납!$B994,6,2)))),"")</f>
        <v/>
      </c>
      <c r="C994">
        <f>IF(OR(수납!$E994="수강료",수납!$E994=""),N(수납!$F994),0)</f>
        <v/>
      </c>
    </row>
    <row r="995">
      <c r="A995">
        <f>IF(수납!$C995="","",수납!$C995&amp;"|"&amp;IF(수납!$D995&lt;&gt;"",수납!$D995,IF(COUNTIF(원생!$A$2:$A$501,수납!$C995)=1,INDEX(원생!$G$2:$G$501,MATCH(수납!$C995,원생!$A$2:$A$501,0))&amp;"","")))</f>
        <v/>
      </c>
      <c r="B995">
        <f>IFERROR(IF(수납!$B995="",YEAR(수납!$A995)*100+MONTH(수납!$A995),IF(ISNUMBER(수납!$B995),YEAR(수납!$B995)*100+MONTH(수납!$B995),VALUE(LEFT(수납!$B995,4))*100+VALUE(MID(수납!$B995,6,2)))),"")</f>
        <v/>
      </c>
      <c r="C995">
        <f>IF(OR(수납!$E995="수강료",수납!$E995=""),N(수납!$F995),0)</f>
        <v/>
      </c>
    </row>
    <row r="996">
      <c r="A996">
        <f>IF(수납!$C996="","",수납!$C996&amp;"|"&amp;IF(수납!$D996&lt;&gt;"",수납!$D996,IF(COUNTIF(원생!$A$2:$A$501,수납!$C996)=1,INDEX(원생!$G$2:$G$501,MATCH(수납!$C996,원생!$A$2:$A$501,0))&amp;"","")))</f>
        <v/>
      </c>
      <c r="B996">
        <f>IFERROR(IF(수납!$B996="",YEAR(수납!$A996)*100+MONTH(수납!$A996),IF(ISNUMBER(수납!$B996),YEAR(수납!$B996)*100+MONTH(수납!$B996),VALUE(LEFT(수납!$B996,4))*100+VALUE(MID(수납!$B996,6,2)))),"")</f>
        <v/>
      </c>
      <c r="C996">
        <f>IF(OR(수납!$E996="수강료",수납!$E996=""),N(수납!$F996),0)</f>
        <v/>
      </c>
    </row>
    <row r="997">
      <c r="A997">
        <f>IF(수납!$C997="","",수납!$C997&amp;"|"&amp;IF(수납!$D997&lt;&gt;"",수납!$D997,IF(COUNTIF(원생!$A$2:$A$501,수납!$C997)=1,INDEX(원생!$G$2:$G$501,MATCH(수납!$C997,원생!$A$2:$A$501,0))&amp;"","")))</f>
        <v/>
      </c>
      <c r="B997">
        <f>IFERROR(IF(수납!$B997="",YEAR(수납!$A997)*100+MONTH(수납!$A997),IF(ISNUMBER(수납!$B997),YEAR(수납!$B997)*100+MONTH(수납!$B997),VALUE(LEFT(수납!$B997,4))*100+VALUE(MID(수납!$B997,6,2)))),"")</f>
        <v/>
      </c>
      <c r="C997">
        <f>IF(OR(수납!$E997="수강료",수납!$E997=""),N(수납!$F997),0)</f>
        <v/>
      </c>
    </row>
    <row r="998">
      <c r="A998">
        <f>IF(수납!$C998="","",수납!$C998&amp;"|"&amp;IF(수납!$D998&lt;&gt;"",수납!$D998,IF(COUNTIF(원생!$A$2:$A$501,수납!$C998)=1,INDEX(원생!$G$2:$G$501,MATCH(수납!$C998,원생!$A$2:$A$501,0))&amp;"","")))</f>
        <v/>
      </c>
      <c r="B998">
        <f>IFERROR(IF(수납!$B998="",YEAR(수납!$A998)*100+MONTH(수납!$A998),IF(ISNUMBER(수납!$B998),YEAR(수납!$B998)*100+MONTH(수납!$B998),VALUE(LEFT(수납!$B998,4))*100+VALUE(MID(수납!$B998,6,2)))),"")</f>
        <v/>
      </c>
      <c r="C998">
        <f>IF(OR(수납!$E998="수강료",수납!$E998=""),N(수납!$F998),0)</f>
        <v/>
      </c>
    </row>
    <row r="999">
      <c r="A999">
        <f>IF(수납!$C999="","",수납!$C999&amp;"|"&amp;IF(수납!$D999&lt;&gt;"",수납!$D999,IF(COUNTIF(원생!$A$2:$A$501,수납!$C999)=1,INDEX(원생!$G$2:$G$501,MATCH(수납!$C999,원생!$A$2:$A$501,0))&amp;"","")))</f>
        <v/>
      </c>
      <c r="B999">
        <f>IFERROR(IF(수납!$B999="",YEAR(수납!$A999)*100+MONTH(수납!$A999),IF(ISNUMBER(수납!$B999),YEAR(수납!$B999)*100+MONTH(수납!$B999),VALUE(LEFT(수납!$B999,4))*100+VALUE(MID(수납!$B999,6,2)))),"")</f>
        <v/>
      </c>
      <c r="C999">
        <f>IF(OR(수납!$E999="수강료",수납!$E999=""),N(수납!$F999),0)</f>
        <v/>
      </c>
    </row>
    <row r="1000">
      <c r="A1000">
        <f>IF(수납!$C1000="","",수납!$C1000&amp;"|"&amp;IF(수납!$D1000&lt;&gt;"",수납!$D1000,IF(COUNTIF(원생!$A$2:$A$501,수납!$C1000)=1,INDEX(원생!$G$2:$G$501,MATCH(수납!$C1000,원생!$A$2:$A$501,0))&amp;"","")))</f>
        <v/>
      </c>
      <c r="B1000">
        <f>IFERROR(IF(수납!$B1000="",YEAR(수납!$A1000)*100+MONTH(수납!$A1000),IF(ISNUMBER(수납!$B1000),YEAR(수납!$B1000)*100+MONTH(수납!$B1000),VALUE(LEFT(수납!$B1000,4))*100+VALUE(MID(수납!$B1000,6,2)))),"")</f>
        <v/>
      </c>
      <c r="C1000">
        <f>IF(OR(수납!$E1000="수강료",수납!$E1000=""),N(수납!$F1000),0)</f>
        <v/>
      </c>
    </row>
    <row r="1001">
      <c r="A1001">
        <f>IF(수납!$C1001="","",수납!$C1001&amp;"|"&amp;IF(수납!$D1001&lt;&gt;"",수납!$D1001,IF(COUNTIF(원생!$A$2:$A$501,수납!$C1001)=1,INDEX(원생!$G$2:$G$501,MATCH(수납!$C1001,원생!$A$2:$A$501,0))&amp;"","")))</f>
        <v/>
      </c>
      <c r="B1001">
        <f>IFERROR(IF(수납!$B1001="",YEAR(수납!$A1001)*100+MONTH(수납!$A1001),IF(ISNUMBER(수납!$B1001),YEAR(수납!$B1001)*100+MONTH(수납!$B1001),VALUE(LEFT(수납!$B1001,4))*100+VALUE(MID(수납!$B1001,6,2)))),"")</f>
        <v/>
      </c>
      <c r="C1001">
        <f>IF(OR(수납!$E1001="수강료",수납!$E1001=""),N(수납!$F1001),0)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2026-10-26T06:54:06Z</dcterms:created>
  <dcterms:modified xmlns:dcterms="http://purl.org/dc/terms/" xmlns:xsi="http://www.w3.org/2001/XMLSchema-instance" xsi:type="dcterms:W3CDTF">2026-10-26T06:54:07Z</dcterms:modified>
</cp:coreProperties>
</file>