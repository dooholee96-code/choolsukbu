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사용법" sheetId="1" state="visible" r:id="rId1"/>
    <sheet xmlns:r="http://schemas.openxmlformats.org/officeDocument/2006/relationships" name="원생" sheetId="2" state="visible" r:id="rId2"/>
    <sheet xmlns:r="http://schemas.openxmlformats.org/officeDocument/2006/relationships" name="수납" sheetId="3" state="visible" r:id="rId3"/>
    <sheet xmlns:r="http://schemas.openxmlformats.org/officeDocument/2006/relationships" name="월별 현황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#,##0;-#,##0;-"/>
  </numFmts>
  <fonts count="8">
    <font>
      <name val="Calibri"/>
      <family val="2"/>
      <color theme="1"/>
      <sz val="11"/>
      <scheme val="minor"/>
    </font>
    <font>
      <name val="맑은 고딕"/>
      <b val="1"/>
      <color rgb="004B3B53"/>
      <sz val="16"/>
    </font>
    <font>
      <name val="맑은 고딕"/>
      <color rgb="00776A7E"/>
      <sz val="10"/>
    </font>
    <font>
      <name val="맑은 고딕"/>
      <b val="1"/>
      <color rgb="004B3B53"/>
    </font>
    <font>
      <name val="맑은 고딕"/>
      <color rgb="004B3B53"/>
      <sz val="11"/>
    </font>
    <font>
      <name val="맑은 고딕"/>
      <b val="1"/>
      <color rgb="004A7585"/>
    </font>
    <font>
      <name val="맑은 고딕"/>
      <b val="1"/>
      <color rgb="00FFFFFF"/>
      <sz val="11"/>
    </font>
    <font>
      <name val="맑은 고딕"/>
      <b val="1"/>
      <color rgb="004B3B53"/>
      <sz val="13"/>
    </font>
  </fonts>
  <fills count="4">
    <fill>
      <patternFill/>
    </fill>
    <fill>
      <patternFill patternType="gray125"/>
    </fill>
    <fill>
      <patternFill patternType="solid">
        <fgColor rgb="004A7585"/>
      </patternFill>
    </fill>
    <fill>
      <patternFill patternType="solid">
        <fgColor rgb="00FBE9B7"/>
      </patternFill>
    </fill>
  </fills>
  <borders count="2">
    <border>
      <left/>
      <right/>
      <top/>
      <bottom/>
      <diagonal/>
    </border>
    <border>
      <left style="thin">
        <color rgb="00E7DEE6"/>
      </left>
      <right style="thin">
        <color rgb="00E7DEE6"/>
      </right>
      <top style="thin">
        <color rgb="00E7DEE6"/>
      </top>
      <bottom style="thin">
        <color rgb="00E7DEE6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/>
    </xf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2" borderId="1" applyAlignment="1" pivotButton="0" quotePrefix="0" xfId="0">
      <alignment horizontal="center" vertical="center"/>
    </xf>
    <xf numFmtId="49" fontId="4" fillId="0" borderId="1" pivotButton="0" quotePrefix="0" xfId="0"/>
    <xf numFmtId="3" fontId="4" fillId="0" borderId="1" pivotButton="0" quotePrefix="0" xfId="0"/>
    <xf numFmtId="164" fontId="4" fillId="0" borderId="1" pivotButton="0" quotePrefix="0" xfId="0"/>
    <xf numFmtId="0" fontId="3" fillId="0" borderId="0" pivotButton="0" quotePrefix="0" xfId="0"/>
    <xf numFmtId="0" fontId="7" fillId="3" borderId="1" pivotButton="0" quotePrefix="0" xfId="0"/>
    <xf numFmtId="0" fontId="6" fillId="2" borderId="1" applyAlignment="1" pivotButton="0" quotePrefix="0" xfId="0">
      <alignment horizontal="center"/>
    </xf>
    <xf numFmtId="0" fontId="4" fillId="0" borderId="1" pivotButton="0" quotePrefix="0" xfId="0"/>
    <xf numFmtId="165" fontId="4" fillId="0" borderId="1" pivotButton="0" quotePrefix="0" xfId="0"/>
    <xf numFmtId="0" fontId="6" fillId="2" borderId="0" applyAlignment="1" pivotButton="0" quotePrefix="0" xfId="0">
      <alignment horizontal="center"/>
    </xf>
  </cellXfs>
  <cellStyles count="1">
    <cellStyle name="Normal" xfId="0" builtinId="0" hidden="0"/>
  </cellStyles>
  <dxfs count="2">
    <dxf>
      <fill>
        <patternFill patternType="solid">
          <fgColor rgb="00F6D5DA"/>
        </patternFill>
      </fill>
    </dxf>
    <dxf>
      <fill>
        <patternFill patternType="solid">
          <fgColor rgb="00D7EBDF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출석부</author>
  </authors>
  <commentList>
    <comment ref="A1" authorId="0" shapeId="0">
      <text>
        <t>원생 이름</t>
      </text>
    </comment>
    <comment ref="B1" authorId="0" shapeId="0">
      <text>
        <t>예: 7세, 초3, 중1</t>
      </text>
    </comment>
    <comment ref="C1" authorId="0" shapeId="0">
      <text>
        <t>예: 월,수  또는  월수금</t>
      </text>
    </comment>
    <comment ref="D1" authorId="0" shapeId="0">
      <text>
        <t>수업 시작 16:00</t>
      </text>
    </comment>
    <comment ref="E1" authorId="0" shapeId="0">
      <text>
        <t>수업 끝 17:00</t>
      </text>
    </comment>
    <comment ref="F1" authorId="0" shapeId="0">
      <text>
        <t>원</t>
      </text>
    </comment>
    <comment ref="G1" authorId="0" shapeId="0">
      <text>
        <t>동명이인일 때만: 월수반, 강북초</t>
      </text>
    </comment>
    <comment ref="H1" authorId="0" shapeId="0">
      <text>
        <t>초등학교 입학 전이면 예</t>
      </text>
    </comment>
    <comment ref="I1" authorId="0" shapeId="0">
      <text>
        <t>그만둔 날 (비우면 재원)</t>
      </text>
    </comment>
  </commentList>
</comments>
</file>

<file path=xl/comments/comment2.xml><?xml version="1.0" encoding="utf-8"?>
<comments xmlns="http://schemas.openxmlformats.org/spreadsheetml/2006/main">
  <authors>
    <author>출석부</author>
  </authors>
  <commentList>
    <comment ref="A1" authorId="0" shapeId="0">
      <text>
        <t>돈을 받은 날</t>
      </text>
    </comment>
    <comment ref="B1" authorId="0" shapeId="0">
      <text>
        <t>어느 달 수강료인가 2026-03 (비우면 받은 달)</t>
      </text>
    </comment>
    <comment ref="C1" authorId="0" shapeId="0">
      <text>
        <t>원생 시트의 이름</t>
      </text>
    </comment>
    <comment ref="D1" authorId="0" shapeId="0">
      <text>
        <t>동명이인일 때만</t>
      </text>
    </comment>
    <comment ref="E1" authorId="0" shapeId="0">
      <text>
        <t>비우면 수강료</t>
      </text>
    </comment>
    <comment ref="F1" authorId="0" shapeId="0">
      <text>
        <t>원. 환불은 -50000</t>
      </text>
    </comment>
    <comment ref="G1" authorId="0" shapeId="0">
      <text>
        <t>카드·계좌이체·현금</t>
      </text>
    </comment>
    <comment ref="H1" authorId="0" shapeId="0">
      <text>
        <t>계좌이체·현금일 때 발급 여부</t>
      </text>
    </comment>
    <comment ref="I1" authorId="0" shapeId="0">
      <text>
        <t>원생 시트에서 자동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2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8" customWidth="1" min="2" max="2"/>
    <col width="96" customWidth="1" min="3" max="3"/>
  </cols>
  <sheetData>
    <row r="2">
      <c r="B2" s="1" t="inlineStr">
        <is>
          <t>출석부 엑셀 양식</t>
        </is>
      </c>
    </row>
    <row r="3">
      <c r="B3" s="2" t="inlineStr">
        <is>
          <t>원생과 받은 돈을 적고, 달마다 누가 냈는지 봅니다. 나중에 출석부 앱으로 그대로 옮길 수 있습니다.</t>
        </is>
      </c>
    </row>
    <row r="5">
      <c r="B5" s="3" t="inlineStr">
        <is>
          <t>1. 원생</t>
        </is>
      </c>
      <c r="C5" s="4" t="inlineStr">
        <is>
          <t>원생 시트에 한 줄에 한 명씩 적습니다. 요일은 "월,수"처럼, 시간은 "16:00"처럼 적습니다.</t>
        </is>
      </c>
    </row>
    <row r="6">
      <c r="B6" s="3" t="inlineStr"/>
      <c r="C6" s="4" t="inlineStr">
        <is>
          <t>동명이인이 있으면 구분 칸에 "월수반"처럼 짧게 구별할 말을 적습니다.</t>
        </is>
      </c>
    </row>
    <row r="7">
      <c r="B7" s="3" t="inlineStr">
        <is>
          <t>2. 수납</t>
        </is>
      </c>
      <c r="C7" s="4" t="inlineStr">
        <is>
          <t>돈을 받을 때마다 한 줄씩 적습니다. 원생·수입구분·결제수단은 칸을 누르면 목록에서 고를 수 있습니다.</t>
        </is>
      </c>
    </row>
    <row r="8">
      <c r="B8" s="3" t="inlineStr"/>
      <c r="C8" s="4" t="inlineStr">
        <is>
          <t>수강월은 "어느 달 수강료인가"입니다. 9월 말에 받은 10월분은 2026-10 으로 적습니다.</t>
        </is>
      </c>
    </row>
    <row r="9">
      <c r="B9" s="3" t="inlineStr"/>
      <c r="C9" s="4" t="inlineStr">
        <is>
          <t>돌려준 돈은 지우지 말고 금액을 -50000 처럼 음수로 한 줄 더 적습니다.</t>
        </is>
      </c>
    </row>
    <row r="10">
      <c r="B10" s="3" t="inlineStr"/>
      <c r="C10" s="4" t="inlineStr">
        <is>
          <t>계좌이체·현금으로 한 번에 10만 원 이상 받으면 달라는 말이 없어도 받은 날부터 5일 안에 현금영수증을 발급합니다.</t>
        </is>
      </c>
    </row>
    <row r="11">
      <c r="B11" s="3" t="inlineStr">
        <is>
          <t>3. 월별 현황</t>
        </is>
      </c>
      <c r="C11" s="4" t="inlineStr">
        <is>
          <t>위쪽 노란 칸에 연도를 적으면 원생별로 달마다 낸 수강료가 나옵니다.</t>
        </is>
      </c>
    </row>
    <row r="12">
      <c r="B12" s="3" t="inlineStr"/>
      <c r="C12" s="4" t="inlineStr">
        <is>
          <t>빨간 칸은 그 달 수강료보다 덜 받은 곳, 초록 칸은 다 받은 곳입니다.</t>
        </is>
      </c>
    </row>
    <row r="13">
      <c r="B13" s="3" t="inlineStr"/>
      <c r="C13" s="4" t="inlineStr">
        <is>
          <t>새로 온 원생은 처음 낸 달부터, 그만둔 원생은 퇴원일이 든 달까지만 빨갛게 칠합니다. 이번 달은 아직 안 냈으면 빨갛습니다.</t>
        </is>
      </c>
    </row>
    <row r="14">
      <c r="B14" s="3" t="inlineStr"/>
      <c r="C14" s="4" t="inlineStr">
        <is>
          <t>아래 표는 달마다 받은 돈을 결제수단별로 더한 것입니다(받은 날 기준).</t>
        </is>
      </c>
    </row>
    <row r="15">
      <c r="B15" s="3" t="inlineStr">
        <is>
          <t>앱으로 옮기기</t>
        </is>
      </c>
      <c r="C15" s="4" t="inlineStr">
        <is>
          <t>원생 시트를 열고 [파일 → 다른 이름으로 저장 → CSV UTF-8(쉼표로 분리)]로 저장합니다.</t>
        </is>
      </c>
    </row>
    <row r="16">
      <c r="B16" s="3" t="inlineStr"/>
      <c r="C16" s="4" t="inlineStr">
        <is>
          <t>수납 시트도 같은 방법으로 따로 저장합니다(CSV는 한 번에 한 시트만 저장됩니다).</t>
        </is>
      </c>
    </row>
    <row r="17">
      <c r="B17" s="3" t="inlineStr"/>
      <c r="C17" s="4" t="inlineStr">
        <is>
          <t>앱의 [설정 → 가져오기]에서 원생 명단을 먼저, 수납 기록을 그다음에 가져옵니다.</t>
        </is>
      </c>
    </row>
    <row r="18">
      <c r="B18" s="3" t="inlineStr"/>
      <c r="C18" s="4" t="inlineStr">
        <is>
          <t>같은 파일을 두 번 가져와도 같은 기록은 한 번만 들어갑니다.</t>
        </is>
      </c>
    </row>
    <row r="19">
      <c r="B19" s="3" t="inlineStr">
        <is>
          <t>주의</t>
        </is>
      </c>
      <c r="C19" s="4" t="inlineStr">
        <is>
          <t>원생·수납 시트의 첫 줄(머리글)은 고치지 마세요. 앱이 이 글자로 칸을 알아봅니다.</t>
        </is>
      </c>
    </row>
    <row r="20">
      <c r="B20" s="3" t="inlineStr"/>
      <c r="C20" s="4" t="inlineStr">
        <is>
          <t>열 순서를 바꾸거나 열을 더하는 것은 괜찮습니다. 앱은 머리글 이름으로 읽습니다.</t>
        </is>
      </c>
    </row>
    <row r="22">
      <c r="B22" s="5" t="inlineStr">
        <is>
          <t>앱에만 있는 것</t>
        </is>
      </c>
    </row>
    <row r="23">
      <c r="C23" s="2" t="inlineStr">
        <is>
          <t>· 아이패드로 등원·결석을 누르는 출결과 보충 관리</t>
        </is>
      </c>
    </row>
    <row r="24">
      <c r="C24" s="2" t="inlineStr">
        <is>
          <t>· 신고 일정 알림(사업장현황신고·종합소득세)과 현금영수증 빠진 건 모아 보기</t>
        </is>
      </c>
    </row>
    <row r="25">
      <c r="C25" s="2" t="inlineStr">
        <is>
          <t>· 홈택스 신고용 숫자와 교육비 납입 증명서를 한 번에 뽑기</t>
        </is>
      </c>
    </row>
    <row r="26">
      <c r="C26" s="2" t="inlineStr">
        <is>
          <t>· 아이폰·아이패드 사이 자동 동기화와 앱 잠금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4A7585"/>
    <outlinePr summaryBelow="1" summaryRight="1"/>
    <pageSetUpPr/>
  </sheetPr>
  <dimension ref="A1:I5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12" customWidth="1" min="3" max="3"/>
    <col width="8" customWidth="1" min="4" max="4"/>
    <col width="8" customWidth="1" min="5" max="5"/>
    <col width="12" customWidth="1" min="6" max="6"/>
    <col width="10" customWidth="1" min="7" max="7"/>
    <col width="8" customWidth="1" min="8" max="8"/>
    <col width="13" customWidth="1" min="9" max="9"/>
  </cols>
  <sheetData>
    <row r="1" ht="24" customHeight="1">
      <c r="A1" s="6" t="inlineStr">
        <is>
          <t>이름</t>
        </is>
      </c>
      <c r="B1" s="6" t="inlineStr">
        <is>
          <t>학년</t>
        </is>
      </c>
      <c r="C1" s="6" t="inlineStr">
        <is>
          <t>요일</t>
        </is>
      </c>
      <c r="D1" s="6" t="inlineStr">
        <is>
          <t>시작</t>
        </is>
      </c>
      <c r="E1" s="6" t="inlineStr">
        <is>
          <t>끝</t>
        </is>
      </c>
      <c r="F1" s="6" t="inlineStr">
        <is>
          <t>월 수강료</t>
        </is>
      </c>
      <c r="G1" s="6" t="inlineStr">
        <is>
          <t>구분</t>
        </is>
      </c>
      <c r="H1" s="6" t="inlineStr">
        <is>
          <t>미취학</t>
        </is>
      </c>
      <c r="I1" s="6" t="inlineStr">
        <is>
          <t>퇴원일</t>
        </is>
      </c>
    </row>
    <row r="2">
      <c r="A2" s="7" t="n"/>
      <c r="B2" s="7" t="n"/>
      <c r="C2" s="7" t="n"/>
      <c r="D2" s="7" t="n"/>
      <c r="E2" s="7" t="n"/>
      <c r="F2" s="8" t="n"/>
      <c r="G2" s="7" t="n"/>
      <c r="H2" s="7" t="n"/>
      <c r="I2" s="9" t="n"/>
    </row>
    <row r="3">
      <c r="A3" s="7" t="n"/>
      <c r="B3" s="7" t="n"/>
      <c r="C3" s="7" t="n"/>
      <c r="D3" s="7" t="n"/>
      <c r="E3" s="7" t="n"/>
      <c r="F3" s="8" t="n"/>
      <c r="G3" s="7" t="n"/>
      <c r="H3" s="7" t="n"/>
      <c r="I3" s="9" t="n"/>
    </row>
    <row r="4">
      <c r="A4" s="7" t="n"/>
      <c r="B4" s="7" t="n"/>
      <c r="C4" s="7" t="n"/>
      <c r="D4" s="7" t="n"/>
      <c r="E4" s="7" t="n"/>
      <c r="F4" s="8" t="n"/>
      <c r="G4" s="7" t="n"/>
      <c r="H4" s="7" t="n"/>
      <c r="I4" s="9" t="n"/>
    </row>
    <row r="5">
      <c r="A5" s="7" t="n"/>
      <c r="B5" s="7" t="n"/>
      <c r="C5" s="7" t="n"/>
      <c r="D5" s="7" t="n"/>
      <c r="E5" s="7" t="n"/>
      <c r="F5" s="8" t="n"/>
      <c r="G5" s="7" t="n"/>
      <c r="H5" s="7" t="n"/>
      <c r="I5" s="9" t="n"/>
    </row>
    <row r="6">
      <c r="A6" s="7" t="n"/>
      <c r="B6" s="7" t="n"/>
      <c r="C6" s="7" t="n"/>
      <c r="D6" s="7" t="n"/>
      <c r="E6" s="7" t="n"/>
      <c r="F6" s="8" t="n"/>
      <c r="G6" s="7" t="n"/>
      <c r="H6" s="7" t="n"/>
      <c r="I6" s="9" t="n"/>
    </row>
    <row r="7">
      <c r="A7" s="7" t="n"/>
      <c r="B7" s="7" t="n"/>
      <c r="C7" s="7" t="n"/>
      <c r="D7" s="7" t="n"/>
      <c r="E7" s="7" t="n"/>
      <c r="F7" s="8" t="n"/>
      <c r="G7" s="7" t="n"/>
      <c r="H7" s="7" t="n"/>
      <c r="I7" s="9" t="n"/>
    </row>
    <row r="8">
      <c r="A8" s="7" t="n"/>
      <c r="B8" s="7" t="n"/>
      <c r="C8" s="7" t="n"/>
      <c r="D8" s="7" t="n"/>
      <c r="E8" s="7" t="n"/>
      <c r="F8" s="8" t="n"/>
      <c r="G8" s="7" t="n"/>
      <c r="H8" s="7" t="n"/>
      <c r="I8" s="9" t="n"/>
    </row>
    <row r="9">
      <c r="A9" s="7" t="n"/>
      <c r="B9" s="7" t="n"/>
      <c r="C9" s="7" t="n"/>
      <c r="D9" s="7" t="n"/>
      <c r="E9" s="7" t="n"/>
      <c r="F9" s="8" t="n"/>
      <c r="G9" s="7" t="n"/>
      <c r="H9" s="7" t="n"/>
      <c r="I9" s="9" t="n"/>
    </row>
    <row r="10">
      <c r="A10" s="7" t="n"/>
      <c r="B10" s="7" t="n"/>
      <c r="C10" s="7" t="n"/>
      <c r="D10" s="7" t="n"/>
      <c r="E10" s="7" t="n"/>
      <c r="F10" s="8" t="n"/>
      <c r="G10" s="7" t="n"/>
      <c r="H10" s="7" t="n"/>
      <c r="I10" s="9" t="n"/>
    </row>
    <row r="11">
      <c r="A11" s="7" t="n"/>
      <c r="B11" s="7" t="n"/>
      <c r="C11" s="7" t="n"/>
      <c r="D11" s="7" t="n"/>
      <c r="E11" s="7" t="n"/>
      <c r="F11" s="8" t="n"/>
      <c r="G11" s="7" t="n"/>
      <c r="H11" s="7" t="n"/>
      <c r="I11" s="9" t="n"/>
    </row>
    <row r="12">
      <c r="A12" s="7" t="n"/>
      <c r="B12" s="7" t="n"/>
      <c r="C12" s="7" t="n"/>
      <c r="D12" s="7" t="n"/>
      <c r="E12" s="7" t="n"/>
      <c r="F12" s="8" t="n"/>
      <c r="G12" s="7" t="n"/>
      <c r="H12" s="7" t="n"/>
      <c r="I12" s="9" t="n"/>
    </row>
    <row r="13">
      <c r="A13" s="7" t="n"/>
      <c r="B13" s="7" t="n"/>
      <c r="C13" s="7" t="n"/>
      <c r="D13" s="7" t="n"/>
      <c r="E13" s="7" t="n"/>
      <c r="F13" s="8" t="n"/>
      <c r="G13" s="7" t="n"/>
      <c r="H13" s="7" t="n"/>
      <c r="I13" s="9" t="n"/>
    </row>
    <row r="14">
      <c r="A14" s="7" t="n"/>
      <c r="B14" s="7" t="n"/>
      <c r="C14" s="7" t="n"/>
      <c r="D14" s="7" t="n"/>
      <c r="E14" s="7" t="n"/>
      <c r="F14" s="8" t="n"/>
      <c r="G14" s="7" t="n"/>
      <c r="H14" s="7" t="n"/>
      <c r="I14" s="9" t="n"/>
    </row>
    <row r="15">
      <c r="A15" s="7" t="n"/>
      <c r="B15" s="7" t="n"/>
      <c r="C15" s="7" t="n"/>
      <c r="D15" s="7" t="n"/>
      <c r="E15" s="7" t="n"/>
      <c r="F15" s="8" t="n"/>
      <c r="G15" s="7" t="n"/>
      <c r="H15" s="7" t="n"/>
      <c r="I15" s="9" t="n"/>
    </row>
    <row r="16">
      <c r="A16" s="7" t="n"/>
      <c r="B16" s="7" t="n"/>
      <c r="C16" s="7" t="n"/>
      <c r="D16" s="7" t="n"/>
      <c r="E16" s="7" t="n"/>
      <c r="F16" s="8" t="n"/>
      <c r="G16" s="7" t="n"/>
      <c r="H16" s="7" t="n"/>
      <c r="I16" s="9" t="n"/>
    </row>
    <row r="17">
      <c r="A17" s="7" t="n"/>
      <c r="B17" s="7" t="n"/>
      <c r="C17" s="7" t="n"/>
      <c r="D17" s="7" t="n"/>
      <c r="E17" s="7" t="n"/>
      <c r="F17" s="8" t="n"/>
      <c r="G17" s="7" t="n"/>
      <c r="H17" s="7" t="n"/>
      <c r="I17" s="9" t="n"/>
    </row>
    <row r="18">
      <c r="A18" s="7" t="n"/>
      <c r="B18" s="7" t="n"/>
      <c r="C18" s="7" t="n"/>
      <c r="D18" s="7" t="n"/>
      <c r="E18" s="7" t="n"/>
      <c r="F18" s="8" t="n"/>
      <c r="G18" s="7" t="n"/>
      <c r="H18" s="7" t="n"/>
      <c r="I18" s="9" t="n"/>
    </row>
    <row r="19">
      <c r="A19" s="7" t="n"/>
      <c r="B19" s="7" t="n"/>
      <c r="C19" s="7" t="n"/>
      <c r="D19" s="7" t="n"/>
      <c r="E19" s="7" t="n"/>
      <c r="F19" s="8" t="n"/>
      <c r="G19" s="7" t="n"/>
      <c r="H19" s="7" t="n"/>
      <c r="I19" s="9" t="n"/>
    </row>
    <row r="20">
      <c r="A20" s="7" t="n"/>
      <c r="B20" s="7" t="n"/>
      <c r="C20" s="7" t="n"/>
      <c r="D20" s="7" t="n"/>
      <c r="E20" s="7" t="n"/>
      <c r="F20" s="8" t="n"/>
      <c r="G20" s="7" t="n"/>
      <c r="H20" s="7" t="n"/>
      <c r="I20" s="9" t="n"/>
    </row>
    <row r="21">
      <c r="A21" s="7" t="n"/>
      <c r="B21" s="7" t="n"/>
      <c r="C21" s="7" t="n"/>
      <c r="D21" s="7" t="n"/>
      <c r="E21" s="7" t="n"/>
      <c r="F21" s="8" t="n"/>
      <c r="G21" s="7" t="n"/>
      <c r="H21" s="7" t="n"/>
      <c r="I21" s="9" t="n"/>
    </row>
    <row r="22">
      <c r="A22" s="7" t="n"/>
      <c r="B22" s="7" t="n"/>
      <c r="C22" s="7" t="n"/>
      <c r="D22" s="7" t="n"/>
      <c r="E22" s="7" t="n"/>
      <c r="F22" s="8" t="n"/>
      <c r="G22" s="7" t="n"/>
      <c r="H22" s="7" t="n"/>
      <c r="I22" s="9" t="n"/>
    </row>
    <row r="23">
      <c r="A23" s="7" t="n"/>
      <c r="B23" s="7" t="n"/>
      <c r="C23" s="7" t="n"/>
      <c r="D23" s="7" t="n"/>
      <c r="E23" s="7" t="n"/>
      <c r="F23" s="8" t="n"/>
      <c r="G23" s="7" t="n"/>
      <c r="H23" s="7" t="n"/>
      <c r="I23" s="9" t="n"/>
    </row>
    <row r="24">
      <c r="A24" s="7" t="n"/>
      <c r="B24" s="7" t="n"/>
      <c r="C24" s="7" t="n"/>
      <c r="D24" s="7" t="n"/>
      <c r="E24" s="7" t="n"/>
      <c r="F24" s="8" t="n"/>
      <c r="G24" s="7" t="n"/>
      <c r="H24" s="7" t="n"/>
      <c r="I24" s="9" t="n"/>
    </row>
    <row r="25">
      <c r="A25" s="7" t="n"/>
      <c r="B25" s="7" t="n"/>
      <c r="C25" s="7" t="n"/>
      <c r="D25" s="7" t="n"/>
      <c r="E25" s="7" t="n"/>
      <c r="F25" s="8" t="n"/>
      <c r="G25" s="7" t="n"/>
      <c r="H25" s="7" t="n"/>
      <c r="I25" s="9" t="n"/>
    </row>
    <row r="26">
      <c r="A26" s="7" t="n"/>
      <c r="B26" s="7" t="n"/>
      <c r="C26" s="7" t="n"/>
      <c r="D26" s="7" t="n"/>
      <c r="E26" s="7" t="n"/>
      <c r="F26" s="8" t="n"/>
      <c r="G26" s="7" t="n"/>
      <c r="H26" s="7" t="n"/>
      <c r="I26" s="9" t="n"/>
    </row>
    <row r="27">
      <c r="A27" s="7" t="n"/>
      <c r="B27" s="7" t="n"/>
      <c r="C27" s="7" t="n"/>
      <c r="D27" s="7" t="n"/>
      <c r="E27" s="7" t="n"/>
      <c r="F27" s="8" t="n"/>
      <c r="G27" s="7" t="n"/>
      <c r="H27" s="7" t="n"/>
      <c r="I27" s="9" t="n"/>
    </row>
    <row r="28">
      <c r="A28" s="7" t="n"/>
      <c r="B28" s="7" t="n"/>
      <c r="C28" s="7" t="n"/>
      <c r="D28" s="7" t="n"/>
      <c r="E28" s="7" t="n"/>
      <c r="F28" s="8" t="n"/>
      <c r="G28" s="7" t="n"/>
      <c r="H28" s="7" t="n"/>
      <c r="I28" s="9" t="n"/>
    </row>
    <row r="29">
      <c r="A29" s="7" t="n"/>
      <c r="B29" s="7" t="n"/>
      <c r="C29" s="7" t="n"/>
      <c r="D29" s="7" t="n"/>
      <c r="E29" s="7" t="n"/>
      <c r="F29" s="8" t="n"/>
      <c r="G29" s="7" t="n"/>
      <c r="H29" s="7" t="n"/>
      <c r="I29" s="9" t="n"/>
    </row>
    <row r="30">
      <c r="A30" s="7" t="n"/>
      <c r="B30" s="7" t="n"/>
      <c r="C30" s="7" t="n"/>
      <c r="D30" s="7" t="n"/>
      <c r="E30" s="7" t="n"/>
      <c r="F30" s="8" t="n"/>
      <c r="G30" s="7" t="n"/>
      <c r="H30" s="7" t="n"/>
      <c r="I30" s="9" t="n"/>
    </row>
    <row r="31">
      <c r="A31" s="7" t="n"/>
      <c r="B31" s="7" t="n"/>
      <c r="C31" s="7" t="n"/>
      <c r="D31" s="7" t="n"/>
      <c r="E31" s="7" t="n"/>
      <c r="F31" s="8" t="n"/>
      <c r="G31" s="7" t="n"/>
      <c r="H31" s="7" t="n"/>
      <c r="I31" s="9" t="n"/>
    </row>
    <row r="32">
      <c r="A32" s="7" t="n"/>
      <c r="B32" s="7" t="n"/>
      <c r="C32" s="7" t="n"/>
      <c r="D32" s="7" t="n"/>
      <c r="E32" s="7" t="n"/>
      <c r="F32" s="8" t="n"/>
      <c r="G32" s="7" t="n"/>
      <c r="H32" s="7" t="n"/>
      <c r="I32" s="9" t="n"/>
    </row>
    <row r="33">
      <c r="A33" s="7" t="n"/>
      <c r="B33" s="7" t="n"/>
      <c r="C33" s="7" t="n"/>
      <c r="D33" s="7" t="n"/>
      <c r="E33" s="7" t="n"/>
      <c r="F33" s="8" t="n"/>
      <c r="G33" s="7" t="n"/>
      <c r="H33" s="7" t="n"/>
      <c r="I33" s="9" t="n"/>
    </row>
    <row r="34">
      <c r="A34" s="7" t="n"/>
      <c r="B34" s="7" t="n"/>
      <c r="C34" s="7" t="n"/>
      <c r="D34" s="7" t="n"/>
      <c r="E34" s="7" t="n"/>
      <c r="F34" s="8" t="n"/>
      <c r="G34" s="7" t="n"/>
      <c r="H34" s="7" t="n"/>
      <c r="I34" s="9" t="n"/>
    </row>
    <row r="35">
      <c r="A35" s="7" t="n"/>
      <c r="B35" s="7" t="n"/>
      <c r="C35" s="7" t="n"/>
      <c r="D35" s="7" t="n"/>
      <c r="E35" s="7" t="n"/>
      <c r="F35" s="8" t="n"/>
      <c r="G35" s="7" t="n"/>
      <c r="H35" s="7" t="n"/>
      <c r="I35" s="9" t="n"/>
    </row>
    <row r="36">
      <c r="A36" s="7" t="n"/>
      <c r="B36" s="7" t="n"/>
      <c r="C36" s="7" t="n"/>
      <c r="D36" s="7" t="n"/>
      <c r="E36" s="7" t="n"/>
      <c r="F36" s="8" t="n"/>
      <c r="G36" s="7" t="n"/>
      <c r="H36" s="7" t="n"/>
      <c r="I36" s="9" t="n"/>
    </row>
    <row r="37">
      <c r="A37" s="7" t="n"/>
      <c r="B37" s="7" t="n"/>
      <c r="C37" s="7" t="n"/>
      <c r="D37" s="7" t="n"/>
      <c r="E37" s="7" t="n"/>
      <c r="F37" s="8" t="n"/>
      <c r="G37" s="7" t="n"/>
      <c r="H37" s="7" t="n"/>
      <c r="I37" s="9" t="n"/>
    </row>
    <row r="38">
      <c r="A38" s="7" t="n"/>
      <c r="B38" s="7" t="n"/>
      <c r="C38" s="7" t="n"/>
      <c r="D38" s="7" t="n"/>
      <c r="E38" s="7" t="n"/>
      <c r="F38" s="8" t="n"/>
      <c r="G38" s="7" t="n"/>
      <c r="H38" s="7" t="n"/>
      <c r="I38" s="9" t="n"/>
    </row>
    <row r="39">
      <c r="A39" s="7" t="n"/>
      <c r="B39" s="7" t="n"/>
      <c r="C39" s="7" t="n"/>
      <c r="D39" s="7" t="n"/>
      <c r="E39" s="7" t="n"/>
      <c r="F39" s="8" t="n"/>
      <c r="G39" s="7" t="n"/>
      <c r="H39" s="7" t="n"/>
      <c r="I39" s="9" t="n"/>
    </row>
    <row r="40">
      <c r="A40" s="7" t="n"/>
      <c r="B40" s="7" t="n"/>
      <c r="C40" s="7" t="n"/>
      <c r="D40" s="7" t="n"/>
      <c r="E40" s="7" t="n"/>
      <c r="F40" s="8" t="n"/>
      <c r="G40" s="7" t="n"/>
      <c r="H40" s="7" t="n"/>
      <c r="I40" s="9" t="n"/>
    </row>
    <row r="41">
      <c r="A41" s="7" t="n"/>
      <c r="B41" s="7" t="n"/>
      <c r="C41" s="7" t="n"/>
      <c r="D41" s="7" t="n"/>
      <c r="E41" s="7" t="n"/>
      <c r="F41" s="8" t="n"/>
      <c r="G41" s="7" t="n"/>
      <c r="H41" s="7" t="n"/>
      <c r="I41" s="9" t="n"/>
    </row>
    <row r="42">
      <c r="A42" s="7" t="n"/>
      <c r="B42" s="7" t="n"/>
      <c r="C42" s="7" t="n"/>
      <c r="D42" s="7" t="n"/>
      <c r="E42" s="7" t="n"/>
      <c r="F42" s="8" t="n"/>
      <c r="G42" s="7" t="n"/>
      <c r="H42" s="7" t="n"/>
      <c r="I42" s="9" t="n"/>
    </row>
    <row r="43">
      <c r="A43" s="7" t="n"/>
      <c r="B43" s="7" t="n"/>
      <c r="C43" s="7" t="n"/>
      <c r="D43" s="7" t="n"/>
      <c r="E43" s="7" t="n"/>
      <c r="F43" s="8" t="n"/>
      <c r="G43" s="7" t="n"/>
      <c r="H43" s="7" t="n"/>
      <c r="I43" s="9" t="n"/>
    </row>
    <row r="44">
      <c r="A44" s="7" t="n"/>
      <c r="B44" s="7" t="n"/>
      <c r="C44" s="7" t="n"/>
      <c r="D44" s="7" t="n"/>
      <c r="E44" s="7" t="n"/>
      <c r="F44" s="8" t="n"/>
      <c r="G44" s="7" t="n"/>
      <c r="H44" s="7" t="n"/>
      <c r="I44" s="9" t="n"/>
    </row>
    <row r="45">
      <c r="A45" s="7" t="n"/>
      <c r="B45" s="7" t="n"/>
      <c r="C45" s="7" t="n"/>
      <c r="D45" s="7" t="n"/>
      <c r="E45" s="7" t="n"/>
      <c r="F45" s="8" t="n"/>
      <c r="G45" s="7" t="n"/>
      <c r="H45" s="7" t="n"/>
      <c r="I45" s="9" t="n"/>
    </row>
    <row r="46">
      <c r="A46" s="7" t="n"/>
      <c r="B46" s="7" t="n"/>
      <c r="C46" s="7" t="n"/>
      <c r="D46" s="7" t="n"/>
      <c r="E46" s="7" t="n"/>
      <c r="F46" s="8" t="n"/>
      <c r="G46" s="7" t="n"/>
      <c r="H46" s="7" t="n"/>
      <c r="I46" s="9" t="n"/>
    </row>
    <row r="47">
      <c r="A47" s="7" t="n"/>
      <c r="B47" s="7" t="n"/>
      <c r="C47" s="7" t="n"/>
      <c r="D47" s="7" t="n"/>
      <c r="E47" s="7" t="n"/>
      <c r="F47" s="8" t="n"/>
      <c r="G47" s="7" t="n"/>
      <c r="H47" s="7" t="n"/>
      <c r="I47" s="9" t="n"/>
    </row>
    <row r="48">
      <c r="A48" s="7" t="n"/>
      <c r="B48" s="7" t="n"/>
      <c r="C48" s="7" t="n"/>
      <c r="D48" s="7" t="n"/>
      <c r="E48" s="7" t="n"/>
      <c r="F48" s="8" t="n"/>
      <c r="G48" s="7" t="n"/>
      <c r="H48" s="7" t="n"/>
      <c r="I48" s="9" t="n"/>
    </row>
    <row r="49">
      <c r="A49" s="7" t="n"/>
      <c r="B49" s="7" t="n"/>
      <c r="C49" s="7" t="n"/>
      <c r="D49" s="7" t="n"/>
      <c r="E49" s="7" t="n"/>
      <c r="F49" s="8" t="n"/>
      <c r="G49" s="7" t="n"/>
      <c r="H49" s="7" t="n"/>
      <c r="I49" s="9" t="n"/>
    </row>
    <row r="50">
      <c r="A50" s="7" t="n"/>
      <c r="B50" s="7" t="n"/>
      <c r="C50" s="7" t="n"/>
      <c r="D50" s="7" t="n"/>
      <c r="E50" s="7" t="n"/>
      <c r="F50" s="8" t="n"/>
      <c r="G50" s="7" t="n"/>
      <c r="H50" s="7" t="n"/>
      <c r="I50" s="9" t="n"/>
    </row>
    <row r="51">
      <c r="A51" s="7" t="n"/>
      <c r="B51" s="7" t="n"/>
      <c r="C51" s="7" t="n"/>
      <c r="D51" s="7" t="n"/>
      <c r="E51" s="7" t="n"/>
      <c r="F51" s="8" t="n"/>
      <c r="G51" s="7" t="n"/>
      <c r="H51" s="7" t="n"/>
      <c r="I51" s="9" t="n"/>
    </row>
    <row r="52">
      <c r="A52" s="7" t="n"/>
      <c r="B52" s="7" t="n"/>
      <c r="C52" s="7" t="n"/>
      <c r="D52" s="7" t="n"/>
      <c r="E52" s="7" t="n"/>
      <c r="F52" s="8" t="n"/>
      <c r="G52" s="7" t="n"/>
      <c r="H52" s="7" t="n"/>
      <c r="I52" s="9" t="n"/>
    </row>
    <row r="53">
      <c r="A53" s="7" t="n"/>
      <c r="B53" s="7" t="n"/>
      <c r="C53" s="7" t="n"/>
      <c r="D53" s="7" t="n"/>
      <c r="E53" s="7" t="n"/>
      <c r="F53" s="8" t="n"/>
      <c r="G53" s="7" t="n"/>
      <c r="H53" s="7" t="n"/>
      <c r="I53" s="9" t="n"/>
    </row>
    <row r="54">
      <c r="A54" s="7" t="n"/>
      <c r="B54" s="7" t="n"/>
      <c r="C54" s="7" t="n"/>
      <c r="D54" s="7" t="n"/>
      <c r="E54" s="7" t="n"/>
      <c r="F54" s="8" t="n"/>
      <c r="G54" s="7" t="n"/>
      <c r="H54" s="7" t="n"/>
      <c r="I54" s="9" t="n"/>
    </row>
    <row r="55">
      <c r="A55" s="7" t="n"/>
      <c r="B55" s="7" t="n"/>
      <c r="C55" s="7" t="n"/>
      <c r="D55" s="7" t="n"/>
      <c r="E55" s="7" t="n"/>
      <c r="F55" s="8" t="n"/>
      <c r="G55" s="7" t="n"/>
      <c r="H55" s="7" t="n"/>
      <c r="I55" s="9" t="n"/>
    </row>
    <row r="56">
      <c r="A56" s="7" t="n"/>
      <c r="B56" s="7" t="n"/>
      <c r="C56" s="7" t="n"/>
      <c r="D56" s="7" t="n"/>
      <c r="E56" s="7" t="n"/>
      <c r="F56" s="8" t="n"/>
      <c r="G56" s="7" t="n"/>
      <c r="H56" s="7" t="n"/>
      <c r="I56" s="9" t="n"/>
    </row>
    <row r="57">
      <c r="A57" s="7" t="n"/>
      <c r="B57" s="7" t="n"/>
      <c r="C57" s="7" t="n"/>
      <c r="D57" s="7" t="n"/>
      <c r="E57" s="7" t="n"/>
      <c r="F57" s="8" t="n"/>
      <c r="G57" s="7" t="n"/>
      <c r="H57" s="7" t="n"/>
      <c r="I57" s="9" t="n"/>
    </row>
    <row r="58">
      <c r="A58" s="7" t="n"/>
      <c r="B58" s="7" t="n"/>
      <c r="C58" s="7" t="n"/>
      <c r="D58" s="7" t="n"/>
      <c r="E58" s="7" t="n"/>
      <c r="F58" s="8" t="n"/>
      <c r="G58" s="7" t="n"/>
      <c r="H58" s="7" t="n"/>
      <c r="I58" s="9" t="n"/>
    </row>
    <row r="59">
      <c r="A59" s="7" t="n"/>
      <c r="B59" s="7" t="n"/>
      <c r="C59" s="7" t="n"/>
      <c r="D59" s="7" t="n"/>
      <c r="E59" s="7" t="n"/>
      <c r="F59" s="8" t="n"/>
      <c r="G59" s="7" t="n"/>
      <c r="H59" s="7" t="n"/>
      <c r="I59" s="9" t="n"/>
    </row>
    <row r="60">
      <c r="A60" s="7" t="n"/>
      <c r="B60" s="7" t="n"/>
      <c r="C60" s="7" t="n"/>
      <c r="D60" s="7" t="n"/>
      <c r="E60" s="7" t="n"/>
      <c r="F60" s="8" t="n"/>
      <c r="G60" s="7" t="n"/>
      <c r="H60" s="7" t="n"/>
      <c r="I60" s="9" t="n"/>
    </row>
    <row r="61">
      <c r="A61" s="7" t="n"/>
      <c r="B61" s="7" t="n"/>
      <c r="C61" s="7" t="n"/>
      <c r="D61" s="7" t="n"/>
      <c r="E61" s="7" t="n"/>
      <c r="F61" s="8" t="n"/>
      <c r="G61" s="7" t="n"/>
      <c r="H61" s="7" t="n"/>
      <c r="I61" s="9" t="n"/>
    </row>
    <row r="62">
      <c r="A62" s="7" t="n"/>
      <c r="B62" s="7" t="n"/>
      <c r="C62" s="7" t="n"/>
      <c r="D62" s="7" t="n"/>
      <c r="E62" s="7" t="n"/>
      <c r="F62" s="8" t="n"/>
      <c r="G62" s="7" t="n"/>
      <c r="H62" s="7" t="n"/>
      <c r="I62" s="9" t="n"/>
    </row>
    <row r="63">
      <c r="A63" s="7" t="n"/>
      <c r="B63" s="7" t="n"/>
      <c r="C63" s="7" t="n"/>
      <c r="D63" s="7" t="n"/>
      <c r="E63" s="7" t="n"/>
      <c r="F63" s="8" t="n"/>
      <c r="G63" s="7" t="n"/>
      <c r="H63" s="7" t="n"/>
      <c r="I63" s="9" t="n"/>
    </row>
    <row r="64">
      <c r="A64" s="7" t="n"/>
      <c r="B64" s="7" t="n"/>
      <c r="C64" s="7" t="n"/>
      <c r="D64" s="7" t="n"/>
      <c r="E64" s="7" t="n"/>
      <c r="F64" s="8" t="n"/>
      <c r="G64" s="7" t="n"/>
      <c r="H64" s="7" t="n"/>
      <c r="I64" s="9" t="n"/>
    </row>
    <row r="65">
      <c r="A65" s="7" t="n"/>
      <c r="B65" s="7" t="n"/>
      <c r="C65" s="7" t="n"/>
      <c r="D65" s="7" t="n"/>
      <c r="E65" s="7" t="n"/>
      <c r="F65" s="8" t="n"/>
      <c r="G65" s="7" t="n"/>
      <c r="H65" s="7" t="n"/>
      <c r="I65" s="9" t="n"/>
    </row>
    <row r="66">
      <c r="A66" s="7" t="n"/>
      <c r="B66" s="7" t="n"/>
      <c r="C66" s="7" t="n"/>
      <c r="D66" s="7" t="n"/>
      <c r="E66" s="7" t="n"/>
      <c r="F66" s="8" t="n"/>
      <c r="G66" s="7" t="n"/>
      <c r="H66" s="7" t="n"/>
      <c r="I66" s="9" t="n"/>
    </row>
    <row r="67">
      <c r="A67" s="7" t="n"/>
      <c r="B67" s="7" t="n"/>
      <c r="C67" s="7" t="n"/>
      <c r="D67" s="7" t="n"/>
      <c r="E67" s="7" t="n"/>
      <c r="F67" s="8" t="n"/>
      <c r="G67" s="7" t="n"/>
      <c r="H67" s="7" t="n"/>
      <c r="I67" s="9" t="n"/>
    </row>
    <row r="68">
      <c r="A68" s="7" t="n"/>
      <c r="B68" s="7" t="n"/>
      <c r="C68" s="7" t="n"/>
      <c r="D68" s="7" t="n"/>
      <c r="E68" s="7" t="n"/>
      <c r="F68" s="8" t="n"/>
      <c r="G68" s="7" t="n"/>
      <c r="H68" s="7" t="n"/>
      <c r="I68" s="9" t="n"/>
    </row>
    <row r="69">
      <c r="A69" s="7" t="n"/>
      <c r="B69" s="7" t="n"/>
      <c r="C69" s="7" t="n"/>
      <c r="D69" s="7" t="n"/>
      <c r="E69" s="7" t="n"/>
      <c r="F69" s="8" t="n"/>
      <c r="G69" s="7" t="n"/>
      <c r="H69" s="7" t="n"/>
      <c r="I69" s="9" t="n"/>
    </row>
    <row r="70">
      <c r="A70" s="7" t="n"/>
      <c r="B70" s="7" t="n"/>
      <c r="C70" s="7" t="n"/>
      <c r="D70" s="7" t="n"/>
      <c r="E70" s="7" t="n"/>
      <c r="F70" s="8" t="n"/>
      <c r="G70" s="7" t="n"/>
      <c r="H70" s="7" t="n"/>
      <c r="I70" s="9" t="n"/>
    </row>
    <row r="71">
      <c r="A71" s="7" t="n"/>
      <c r="B71" s="7" t="n"/>
      <c r="C71" s="7" t="n"/>
      <c r="D71" s="7" t="n"/>
      <c r="E71" s="7" t="n"/>
      <c r="F71" s="8" t="n"/>
      <c r="G71" s="7" t="n"/>
      <c r="H71" s="7" t="n"/>
      <c r="I71" s="9" t="n"/>
    </row>
    <row r="72">
      <c r="A72" s="7" t="n"/>
      <c r="B72" s="7" t="n"/>
      <c r="C72" s="7" t="n"/>
      <c r="D72" s="7" t="n"/>
      <c r="E72" s="7" t="n"/>
      <c r="F72" s="8" t="n"/>
      <c r="G72" s="7" t="n"/>
      <c r="H72" s="7" t="n"/>
      <c r="I72" s="9" t="n"/>
    </row>
    <row r="73">
      <c r="A73" s="7" t="n"/>
      <c r="B73" s="7" t="n"/>
      <c r="C73" s="7" t="n"/>
      <c r="D73" s="7" t="n"/>
      <c r="E73" s="7" t="n"/>
      <c r="F73" s="8" t="n"/>
      <c r="G73" s="7" t="n"/>
      <c r="H73" s="7" t="n"/>
      <c r="I73" s="9" t="n"/>
    </row>
    <row r="74">
      <c r="A74" s="7" t="n"/>
      <c r="B74" s="7" t="n"/>
      <c r="C74" s="7" t="n"/>
      <c r="D74" s="7" t="n"/>
      <c r="E74" s="7" t="n"/>
      <c r="F74" s="8" t="n"/>
      <c r="G74" s="7" t="n"/>
      <c r="H74" s="7" t="n"/>
      <c r="I74" s="9" t="n"/>
    </row>
    <row r="75">
      <c r="A75" s="7" t="n"/>
      <c r="B75" s="7" t="n"/>
      <c r="C75" s="7" t="n"/>
      <c r="D75" s="7" t="n"/>
      <c r="E75" s="7" t="n"/>
      <c r="F75" s="8" t="n"/>
      <c r="G75" s="7" t="n"/>
      <c r="H75" s="7" t="n"/>
      <c r="I75" s="9" t="n"/>
    </row>
    <row r="76">
      <c r="A76" s="7" t="n"/>
      <c r="B76" s="7" t="n"/>
      <c r="C76" s="7" t="n"/>
      <c r="D76" s="7" t="n"/>
      <c r="E76" s="7" t="n"/>
      <c r="F76" s="8" t="n"/>
      <c r="G76" s="7" t="n"/>
      <c r="H76" s="7" t="n"/>
      <c r="I76" s="9" t="n"/>
    </row>
    <row r="77">
      <c r="A77" s="7" t="n"/>
      <c r="B77" s="7" t="n"/>
      <c r="C77" s="7" t="n"/>
      <c r="D77" s="7" t="n"/>
      <c r="E77" s="7" t="n"/>
      <c r="F77" s="8" t="n"/>
      <c r="G77" s="7" t="n"/>
      <c r="H77" s="7" t="n"/>
      <c r="I77" s="9" t="n"/>
    </row>
    <row r="78">
      <c r="A78" s="7" t="n"/>
      <c r="B78" s="7" t="n"/>
      <c r="C78" s="7" t="n"/>
      <c r="D78" s="7" t="n"/>
      <c r="E78" s="7" t="n"/>
      <c r="F78" s="8" t="n"/>
      <c r="G78" s="7" t="n"/>
      <c r="H78" s="7" t="n"/>
      <c r="I78" s="9" t="n"/>
    </row>
    <row r="79">
      <c r="A79" s="7" t="n"/>
      <c r="B79" s="7" t="n"/>
      <c r="C79" s="7" t="n"/>
      <c r="D79" s="7" t="n"/>
      <c r="E79" s="7" t="n"/>
      <c r="F79" s="8" t="n"/>
      <c r="G79" s="7" t="n"/>
      <c r="H79" s="7" t="n"/>
      <c r="I79" s="9" t="n"/>
    </row>
    <row r="80">
      <c r="A80" s="7" t="n"/>
      <c r="B80" s="7" t="n"/>
      <c r="C80" s="7" t="n"/>
      <c r="D80" s="7" t="n"/>
      <c r="E80" s="7" t="n"/>
      <c r="F80" s="8" t="n"/>
      <c r="G80" s="7" t="n"/>
      <c r="H80" s="7" t="n"/>
      <c r="I80" s="9" t="n"/>
    </row>
    <row r="81">
      <c r="A81" s="7" t="n"/>
      <c r="B81" s="7" t="n"/>
      <c r="C81" s="7" t="n"/>
      <c r="D81" s="7" t="n"/>
      <c r="E81" s="7" t="n"/>
      <c r="F81" s="8" t="n"/>
      <c r="G81" s="7" t="n"/>
      <c r="H81" s="7" t="n"/>
      <c r="I81" s="9" t="n"/>
    </row>
    <row r="82">
      <c r="A82" s="7" t="n"/>
      <c r="B82" s="7" t="n"/>
      <c r="C82" s="7" t="n"/>
      <c r="D82" s="7" t="n"/>
      <c r="E82" s="7" t="n"/>
      <c r="F82" s="8" t="n"/>
      <c r="G82" s="7" t="n"/>
      <c r="H82" s="7" t="n"/>
      <c r="I82" s="9" t="n"/>
    </row>
    <row r="83">
      <c r="A83" s="7" t="n"/>
      <c r="B83" s="7" t="n"/>
      <c r="C83" s="7" t="n"/>
      <c r="D83" s="7" t="n"/>
      <c r="E83" s="7" t="n"/>
      <c r="F83" s="8" t="n"/>
      <c r="G83" s="7" t="n"/>
      <c r="H83" s="7" t="n"/>
      <c r="I83" s="9" t="n"/>
    </row>
    <row r="84">
      <c r="A84" s="7" t="n"/>
      <c r="B84" s="7" t="n"/>
      <c r="C84" s="7" t="n"/>
      <c r="D84" s="7" t="n"/>
      <c r="E84" s="7" t="n"/>
      <c r="F84" s="8" t="n"/>
      <c r="G84" s="7" t="n"/>
      <c r="H84" s="7" t="n"/>
      <c r="I84" s="9" t="n"/>
    </row>
    <row r="85">
      <c r="A85" s="7" t="n"/>
      <c r="B85" s="7" t="n"/>
      <c r="C85" s="7" t="n"/>
      <c r="D85" s="7" t="n"/>
      <c r="E85" s="7" t="n"/>
      <c r="F85" s="8" t="n"/>
      <c r="G85" s="7" t="n"/>
      <c r="H85" s="7" t="n"/>
      <c r="I85" s="9" t="n"/>
    </row>
    <row r="86">
      <c r="A86" s="7" t="n"/>
      <c r="B86" s="7" t="n"/>
      <c r="C86" s="7" t="n"/>
      <c r="D86" s="7" t="n"/>
      <c r="E86" s="7" t="n"/>
      <c r="F86" s="8" t="n"/>
      <c r="G86" s="7" t="n"/>
      <c r="H86" s="7" t="n"/>
      <c r="I86" s="9" t="n"/>
    </row>
    <row r="87">
      <c r="A87" s="7" t="n"/>
      <c r="B87" s="7" t="n"/>
      <c r="C87" s="7" t="n"/>
      <c r="D87" s="7" t="n"/>
      <c r="E87" s="7" t="n"/>
      <c r="F87" s="8" t="n"/>
      <c r="G87" s="7" t="n"/>
      <c r="H87" s="7" t="n"/>
      <c r="I87" s="9" t="n"/>
    </row>
    <row r="88">
      <c r="A88" s="7" t="n"/>
      <c r="B88" s="7" t="n"/>
      <c r="C88" s="7" t="n"/>
      <c r="D88" s="7" t="n"/>
      <c r="E88" s="7" t="n"/>
      <c r="F88" s="8" t="n"/>
      <c r="G88" s="7" t="n"/>
      <c r="H88" s="7" t="n"/>
      <c r="I88" s="9" t="n"/>
    </row>
    <row r="89">
      <c r="A89" s="7" t="n"/>
      <c r="B89" s="7" t="n"/>
      <c r="C89" s="7" t="n"/>
      <c r="D89" s="7" t="n"/>
      <c r="E89" s="7" t="n"/>
      <c r="F89" s="8" t="n"/>
      <c r="G89" s="7" t="n"/>
      <c r="H89" s="7" t="n"/>
      <c r="I89" s="9" t="n"/>
    </row>
    <row r="90">
      <c r="A90" s="7" t="n"/>
      <c r="B90" s="7" t="n"/>
      <c r="C90" s="7" t="n"/>
      <c r="D90" s="7" t="n"/>
      <c r="E90" s="7" t="n"/>
      <c r="F90" s="8" t="n"/>
      <c r="G90" s="7" t="n"/>
      <c r="H90" s="7" t="n"/>
      <c r="I90" s="9" t="n"/>
    </row>
    <row r="91">
      <c r="A91" s="7" t="n"/>
      <c r="B91" s="7" t="n"/>
      <c r="C91" s="7" t="n"/>
      <c r="D91" s="7" t="n"/>
      <c r="E91" s="7" t="n"/>
      <c r="F91" s="8" t="n"/>
      <c r="G91" s="7" t="n"/>
      <c r="H91" s="7" t="n"/>
      <c r="I91" s="9" t="n"/>
    </row>
    <row r="92">
      <c r="A92" s="7" t="n"/>
      <c r="B92" s="7" t="n"/>
      <c r="C92" s="7" t="n"/>
      <c r="D92" s="7" t="n"/>
      <c r="E92" s="7" t="n"/>
      <c r="F92" s="8" t="n"/>
      <c r="G92" s="7" t="n"/>
      <c r="H92" s="7" t="n"/>
      <c r="I92" s="9" t="n"/>
    </row>
    <row r="93">
      <c r="A93" s="7" t="n"/>
      <c r="B93" s="7" t="n"/>
      <c r="C93" s="7" t="n"/>
      <c r="D93" s="7" t="n"/>
      <c r="E93" s="7" t="n"/>
      <c r="F93" s="8" t="n"/>
      <c r="G93" s="7" t="n"/>
      <c r="H93" s="7" t="n"/>
      <c r="I93" s="9" t="n"/>
    </row>
    <row r="94">
      <c r="A94" s="7" t="n"/>
      <c r="B94" s="7" t="n"/>
      <c r="C94" s="7" t="n"/>
      <c r="D94" s="7" t="n"/>
      <c r="E94" s="7" t="n"/>
      <c r="F94" s="8" t="n"/>
      <c r="G94" s="7" t="n"/>
      <c r="H94" s="7" t="n"/>
      <c r="I94" s="9" t="n"/>
    </row>
    <row r="95">
      <c r="A95" s="7" t="n"/>
      <c r="B95" s="7" t="n"/>
      <c r="C95" s="7" t="n"/>
      <c r="D95" s="7" t="n"/>
      <c r="E95" s="7" t="n"/>
      <c r="F95" s="8" t="n"/>
      <c r="G95" s="7" t="n"/>
      <c r="H95" s="7" t="n"/>
      <c r="I95" s="9" t="n"/>
    </row>
    <row r="96">
      <c r="A96" s="7" t="n"/>
      <c r="B96" s="7" t="n"/>
      <c r="C96" s="7" t="n"/>
      <c r="D96" s="7" t="n"/>
      <c r="E96" s="7" t="n"/>
      <c r="F96" s="8" t="n"/>
      <c r="G96" s="7" t="n"/>
      <c r="H96" s="7" t="n"/>
      <c r="I96" s="9" t="n"/>
    </row>
    <row r="97">
      <c r="A97" s="7" t="n"/>
      <c r="B97" s="7" t="n"/>
      <c r="C97" s="7" t="n"/>
      <c r="D97" s="7" t="n"/>
      <c r="E97" s="7" t="n"/>
      <c r="F97" s="8" t="n"/>
      <c r="G97" s="7" t="n"/>
      <c r="H97" s="7" t="n"/>
      <c r="I97" s="9" t="n"/>
    </row>
    <row r="98">
      <c r="A98" s="7" t="n"/>
      <c r="B98" s="7" t="n"/>
      <c r="C98" s="7" t="n"/>
      <c r="D98" s="7" t="n"/>
      <c r="E98" s="7" t="n"/>
      <c r="F98" s="8" t="n"/>
      <c r="G98" s="7" t="n"/>
      <c r="H98" s="7" t="n"/>
      <c r="I98" s="9" t="n"/>
    </row>
    <row r="99">
      <c r="A99" s="7" t="n"/>
      <c r="B99" s="7" t="n"/>
      <c r="C99" s="7" t="n"/>
      <c r="D99" s="7" t="n"/>
      <c r="E99" s="7" t="n"/>
      <c r="F99" s="8" t="n"/>
      <c r="G99" s="7" t="n"/>
      <c r="H99" s="7" t="n"/>
      <c r="I99" s="9" t="n"/>
    </row>
    <row r="100">
      <c r="A100" s="7" t="n"/>
      <c r="B100" s="7" t="n"/>
      <c r="C100" s="7" t="n"/>
      <c r="D100" s="7" t="n"/>
      <c r="E100" s="7" t="n"/>
      <c r="F100" s="8" t="n"/>
      <c r="G100" s="7" t="n"/>
      <c r="H100" s="7" t="n"/>
      <c r="I100" s="9" t="n"/>
    </row>
    <row r="101">
      <c r="A101" s="7" t="n"/>
      <c r="B101" s="7" t="n"/>
      <c r="C101" s="7" t="n"/>
      <c r="D101" s="7" t="n"/>
      <c r="E101" s="7" t="n"/>
      <c r="F101" s="8" t="n"/>
      <c r="G101" s="7" t="n"/>
      <c r="H101" s="7" t="n"/>
      <c r="I101" s="9" t="n"/>
    </row>
    <row r="102">
      <c r="A102" s="7" t="n"/>
      <c r="B102" s="7" t="n"/>
      <c r="C102" s="7" t="n"/>
      <c r="D102" s="7" t="n"/>
      <c r="E102" s="7" t="n"/>
      <c r="F102" s="8" t="n"/>
      <c r="G102" s="7" t="n"/>
      <c r="H102" s="7" t="n"/>
      <c r="I102" s="9" t="n"/>
    </row>
    <row r="103">
      <c r="A103" s="7" t="n"/>
      <c r="B103" s="7" t="n"/>
      <c r="C103" s="7" t="n"/>
      <c r="D103" s="7" t="n"/>
      <c r="E103" s="7" t="n"/>
      <c r="F103" s="8" t="n"/>
      <c r="G103" s="7" t="n"/>
      <c r="H103" s="7" t="n"/>
      <c r="I103" s="9" t="n"/>
    </row>
    <row r="104">
      <c r="A104" s="7" t="n"/>
      <c r="B104" s="7" t="n"/>
      <c r="C104" s="7" t="n"/>
      <c r="D104" s="7" t="n"/>
      <c r="E104" s="7" t="n"/>
      <c r="F104" s="8" t="n"/>
      <c r="G104" s="7" t="n"/>
      <c r="H104" s="7" t="n"/>
      <c r="I104" s="9" t="n"/>
    </row>
    <row r="105">
      <c r="A105" s="7" t="n"/>
      <c r="B105" s="7" t="n"/>
      <c r="C105" s="7" t="n"/>
      <c r="D105" s="7" t="n"/>
      <c r="E105" s="7" t="n"/>
      <c r="F105" s="8" t="n"/>
      <c r="G105" s="7" t="n"/>
      <c r="H105" s="7" t="n"/>
      <c r="I105" s="9" t="n"/>
    </row>
    <row r="106">
      <c r="A106" s="7" t="n"/>
      <c r="B106" s="7" t="n"/>
      <c r="C106" s="7" t="n"/>
      <c r="D106" s="7" t="n"/>
      <c r="E106" s="7" t="n"/>
      <c r="F106" s="8" t="n"/>
      <c r="G106" s="7" t="n"/>
      <c r="H106" s="7" t="n"/>
      <c r="I106" s="9" t="n"/>
    </row>
    <row r="107">
      <c r="A107" s="7" t="n"/>
      <c r="B107" s="7" t="n"/>
      <c r="C107" s="7" t="n"/>
      <c r="D107" s="7" t="n"/>
      <c r="E107" s="7" t="n"/>
      <c r="F107" s="8" t="n"/>
      <c r="G107" s="7" t="n"/>
      <c r="H107" s="7" t="n"/>
      <c r="I107" s="9" t="n"/>
    </row>
    <row r="108">
      <c r="A108" s="7" t="n"/>
      <c r="B108" s="7" t="n"/>
      <c r="C108" s="7" t="n"/>
      <c r="D108" s="7" t="n"/>
      <c r="E108" s="7" t="n"/>
      <c r="F108" s="8" t="n"/>
      <c r="G108" s="7" t="n"/>
      <c r="H108" s="7" t="n"/>
      <c r="I108" s="9" t="n"/>
    </row>
    <row r="109">
      <c r="A109" s="7" t="n"/>
      <c r="B109" s="7" t="n"/>
      <c r="C109" s="7" t="n"/>
      <c r="D109" s="7" t="n"/>
      <c r="E109" s="7" t="n"/>
      <c r="F109" s="8" t="n"/>
      <c r="G109" s="7" t="n"/>
      <c r="H109" s="7" t="n"/>
      <c r="I109" s="9" t="n"/>
    </row>
    <row r="110">
      <c r="A110" s="7" t="n"/>
      <c r="B110" s="7" t="n"/>
      <c r="C110" s="7" t="n"/>
      <c r="D110" s="7" t="n"/>
      <c r="E110" s="7" t="n"/>
      <c r="F110" s="8" t="n"/>
      <c r="G110" s="7" t="n"/>
      <c r="H110" s="7" t="n"/>
      <c r="I110" s="9" t="n"/>
    </row>
    <row r="111">
      <c r="A111" s="7" t="n"/>
      <c r="B111" s="7" t="n"/>
      <c r="C111" s="7" t="n"/>
      <c r="D111" s="7" t="n"/>
      <c r="E111" s="7" t="n"/>
      <c r="F111" s="8" t="n"/>
      <c r="G111" s="7" t="n"/>
      <c r="H111" s="7" t="n"/>
      <c r="I111" s="9" t="n"/>
    </row>
    <row r="112">
      <c r="A112" s="7" t="n"/>
      <c r="B112" s="7" t="n"/>
      <c r="C112" s="7" t="n"/>
      <c r="D112" s="7" t="n"/>
      <c r="E112" s="7" t="n"/>
      <c r="F112" s="8" t="n"/>
      <c r="G112" s="7" t="n"/>
      <c r="H112" s="7" t="n"/>
      <c r="I112" s="9" t="n"/>
    </row>
    <row r="113">
      <c r="A113" s="7" t="n"/>
      <c r="B113" s="7" t="n"/>
      <c r="C113" s="7" t="n"/>
      <c r="D113" s="7" t="n"/>
      <c r="E113" s="7" t="n"/>
      <c r="F113" s="8" t="n"/>
      <c r="G113" s="7" t="n"/>
      <c r="H113" s="7" t="n"/>
      <c r="I113" s="9" t="n"/>
    </row>
    <row r="114">
      <c r="A114" s="7" t="n"/>
      <c r="B114" s="7" t="n"/>
      <c r="C114" s="7" t="n"/>
      <c r="D114" s="7" t="n"/>
      <c r="E114" s="7" t="n"/>
      <c r="F114" s="8" t="n"/>
      <c r="G114" s="7" t="n"/>
      <c r="H114" s="7" t="n"/>
      <c r="I114" s="9" t="n"/>
    </row>
    <row r="115">
      <c r="A115" s="7" t="n"/>
      <c r="B115" s="7" t="n"/>
      <c r="C115" s="7" t="n"/>
      <c r="D115" s="7" t="n"/>
      <c r="E115" s="7" t="n"/>
      <c r="F115" s="8" t="n"/>
      <c r="G115" s="7" t="n"/>
      <c r="H115" s="7" t="n"/>
      <c r="I115" s="9" t="n"/>
    </row>
    <row r="116">
      <c r="A116" s="7" t="n"/>
      <c r="B116" s="7" t="n"/>
      <c r="C116" s="7" t="n"/>
      <c r="D116" s="7" t="n"/>
      <c r="E116" s="7" t="n"/>
      <c r="F116" s="8" t="n"/>
      <c r="G116" s="7" t="n"/>
      <c r="H116" s="7" t="n"/>
      <c r="I116" s="9" t="n"/>
    </row>
    <row r="117">
      <c r="A117" s="7" t="n"/>
      <c r="B117" s="7" t="n"/>
      <c r="C117" s="7" t="n"/>
      <c r="D117" s="7" t="n"/>
      <c r="E117" s="7" t="n"/>
      <c r="F117" s="8" t="n"/>
      <c r="G117" s="7" t="n"/>
      <c r="H117" s="7" t="n"/>
      <c r="I117" s="9" t="n"/>
    </row>
    <row r="118">
      <c r="A118" s="7" t="n"/>
      <c r="B118" s="7" t="n"/>
      <c r="C118" s="7" t="n"/>
      <c r="D118" s="7" t="n"/>
      <c r="E118" s="7" t="n"/>
      <c r="F118" s="8" t="n"/>
      <c r="G118" s="7" t="n"/>
      <c r="H118" s="7" t="n"/>
      <c r="I118" s="9" t="n"/>
    </row>
    <row r="119">
      <c r="A119" s="7" t="n"/>
      <c r="B119" s="7" t="n"/>
      <c r="C119" s="7" t="n"/>
      <c r="D119" s="7" t="n"/>
      <c r="E119" s="7" t="n"/>
      <c r="F119" s="8" t="n"/>
      <c r="G119" s="7" t="n"/>
      <c r="H119" s="7" t="n"/>
      <c r="I119" s="9" t="n"/>
    </row>
    <row r="120">
      <c r="A120" s="7" t="n"/>
      <c r="B120" s="7" t="n"/>
      <c r="C120" s="7" t="n"/>
      <c r="D120" s="7" t="n"/>
      <c r="E120" s="7" t="n"/>
      <c r="F120" s="8" t="n"/>
      <c r="G120" s="7" t="n"/>
      <c r="H120" s="7" t="n"/>
      <c r="I120" s="9" t="n"/>
    </row>
    <row r="121">
      <c r="A121" s="7" t="n"/>
      <c r="B121" s="7" t="n"/>
      <c r="C121" s="7" t="n"/>
      <c r="D121" s="7" t="n"/>
      <c r="E121" s="7" t="n"/>
      <c r="F121" s="8" t="n"/>
      <c r="G121" s="7" t="n"/>
      <c r="H121" s="7" t="n"/>
      <c r="I121" s="9" t="n"/>
    </row>
    <row r="122">
      <c r="A122" s="7" t="n"/>
      <c r="B122" s="7" t="n"/>
      <c r="C122" s="7" t="n"/>
      <c r="D122" s="7" t="n"/>
      <c r="E122" s="7" t="n"/>
      <c r="F122" s="8" t="n"/>
      <c r="G122" s="7" t="n"/>
      <c r="H122" s="7" t="n"/>
      <c r="I122" s="9" t="n"/>
    </row>
    <row r="123">
      <c r="A123" s="7" t="n"/>
      <c r="B123" s="7" t="n"/>
      <c r="C123" s="7" t="n"/>
      <c r="D123" s="7" t="n"/>
      <c r="E123" s="7" t="n"/>
      <c r="F123" s="8" t="n"/>
      <c r="G123" s="7" t="n"/>
      <c r="H123" s="7" t="n"/>
      <c r="I123" s="9" t="n"/>
    </row>
    <row r="124">
      <c r="A124" s="7" t="n"/>
      <c r="B124" s="7" t="n"/>
      <c r="C124" s="7" t="n"/>
      <c r="D124" s="7" t="n"/>
      <c r="E124" s="7" t="n"/>
      <c r="F124" s="8" t="n"/>
      <c r="G124" s="7" t="n"/>
      <c r="H124" s="7" t="n"/>
      <c r="I124" s="9" t="n"/>
    </row>
    <row r="125">
      <c r="A125" s="7" t="n"/>
      <c r="B125" s="7" t="n"/>
      <c r="C125" s="7" t="n"/>
      <c r="D125" s="7" t="n"/>
      <c r="E125" s="7" t="n"/>
      <c r="F125" s="8" t="n"/>
      <c r="G125" s="7" t="n"/>
      <c r="H125" s="7" t="n"/>
      <c r="I125" s="9" t="n"/>
    </row>
    <row r="126">
      <c r="A126" s="7" t="n"/>
      <c r="B126" s="7" t="n"/>
      <c r="C126" s="7" t="n"/>
      <c r="D126" s="7" t="n"/>
      <c r="E126" s="7" t="n"/>
      <c r="F126" s="8" t="n"/>
      <c r="G126" s="7" t="n"/>
      <c r="H126" s="7" t="n"/>
      <c r="I126" s="9" t="n"/>
    </row>
    <row r="127">
      <c r="A127" s="7" t="n"/>
      <c r="B127" s="7" t="n"/>
      <c r="C127" s="7" t="n"/>
      <c r="D127" s="7" t="n"/>
      <c r="E127" s="7" t="n"/>
      <c r="F127" s="8" t="n"/>
      <c r="G127" s="7" t="n"/>
      <c r="H127" s="7" t="n"/>
      <c r="I127" s="9" t="n"/>
    </row>
    <row r="128">
      <c r="A128" s="7" t="n"/>
      <c r="B128" s="7" t="n"/>
      <c r="C128" s="7" t="n"/>
      <c r="D128" s="7" t="n"/>
      <c r="E128" s="7" t="n"/>
      <c r="F128" s="8" t="n"/>
      <c r="G128" s="7" t="n"/>
      <c r="H128" s="7" t="n"/>
      <c r="I128" s="9" t="n"/>
    </row>
    <row r="129">
      <c r="A129" s="7" t="n"/>
      <c r="B129" s="7" t="n"/>
      <c r="C129" s="7" t="n"/>
      <c r="D129" s="7" t="n"/>
      <c r="E129" s="7" t="n"/>
      <c r="F129" s="8" t="n"/>
      <c r="G129" s="7" t="n"/>
      <c r="H129" s="7" t="n"/>
      <c r="I129" s="9" t="n"/>
    </row>
    <row r="130">
      <c r="A130" s="7" t="n"/>
      <c r="B130" s="7" t="n"/>
      <c r="C130" s="7" t="n"/>
      <c r="D130" s="7" t="n"/>
      <c r="E130" s="7" t="n"/>
      <c r="F130" s="8" t="n"/>
      <c r="G130" s="7" t="n"/>
      <c r="H130" s="7" t="n"/>
      <c r="I130" s="9" t="n"/>
    </row>
    <row r="131">
      <c r="A131" s="7" t="n"/>
      <c r="B131" s="7" t="n"/>
      <c r="C131" s="7" t="n"/>
      <c r="D131" s="7" t="n"/>
      <c r="E131" s="7" t="n"/>
      <c r="F131" s="8" t="n"/>
      <c r="G131" s="7" t="n"/>
      <c r="H131" s="7" t="n"/>
      <c r="I131" s="9" t="n"/>
    </row>
    <row r="132">
      <c r="A132" s="7" t="n"/>
      <c r="B132" s="7" t="n"/>
      <c r="C132" s="7" t="n"/>
      <c r="D132" s="7" t="n"/>
      <c r="E132" s="7" t="n"/>
      <c r="F132" s="8" t="n"/>
      <c r="G132" s="7" t="n"/>
      <c r="H132" s="7" t="n"/>
      <c r="I132" s="9" t="n"/>
    </row>
    <row r="133">
      <c r="A133" s="7" t="n"/>
      <c r="B133" s="7" t="n"/>
      <c r="C133" s="7" t="n"/>
      <c r="D133" s="7" t="n"/>
      <c r="E133" s="7" t="n"/>
      <c r="F133" s="8" t="n"/>
      <c r="G133" s="7" t="n"/>
      <c r="H133" s="7" t="n"/>
      <c r="I133" s="9" t="n"/>
    </row>
    <row r="134">
      <c r="A134" s="7" t="n"/>
      <c r="B134" s="7" t="n"/>
      <c r="C134" s="7" t="n"/>
      <c r="D134" s="7" t="n"/>
      <c r="E134" s="7" t="n"/>
      <c r="F134" s="8" t="n"/>
      <c r="G134" s="7" t="n"/>
      <c r="H134" s="7" t="n"/>
      <c r="I134" s="9" t="n"/>
    </row>
    <row r="135">
      <c r="A135" s="7" t="n"/>
      <c r="B135" s="7" t="n"/>
      <c r="C135" s="7" t="n"/>
      <c r="D135" s="7" t="n"/>
      <c r="E135" s="7" t="n"/>
      <c r="F135" s="8" t="n"/>
      <c r="G135" s="7" t="n"/>
      <c r="H135" s="7" t="n"/>
      <c r="I135" s="9" t="n"/>
    </row>
    <row r="136">
      <c r="A136" s="7" t="n"/>
      <c r="B136" s="7" t="n"/>
      <c r="C136" s="7" t="n"/>
      <c r="D136" s="7" t="n"/>
      <c r="E136" s="7" t="n"/>
      <c r="F136" s="8" t="n"/>
      <c r="G136" s="7" t="n"/>
      <c r="H136" s="7" t="n"/>
      <c r="I136" s="9" t="n"/>
    </row>
    <row r="137">
      <c r="A137" s="7" t="n"/>
      <c r="B137" s="7" t="n"/>
      <c r="C137" s="7" t="n"/>
      <c r="D137" s="7" t="n"/>
      <c r="E137" s="7" t="n"/>
      <c r="F137" s="8" t="n"/>
      <c r="G137" s="7" t="n"/>
      <c r="H137" s="7" t="n"/>
      <c r="I137" s="9" t="n"/>
    </row>
    <row r="138">
      <c r="A138" s="7" t="n"/>
      <c r="B138" s="7" t="n"/>
      <c r="C138" s="7" t="n"/>
      <c r="D138" s="7" t="n"/>
      <c r="E138" s="7" t="n"/>
      <c r="F138" s="8" t="n"/>
      <c r="G138" s="7" t="n"/>
      <c r="H138" s="7" t="n"/>
      <c r="I138" s="9" t="n"/>
    </row>
    <row r="139">
      <c r="A139" s="7" t="n"/>
      <c r="B139" s="7" t="n"/>
      <c r="C139" s="7" t="n"/>
      <c r="D139" s="7" t="n"/>
      <c r="E139" s="7" t="n"/>
      <c r="F139" s="8" t="n"/>
      <c r="G139" s="7" t="n"/>
      <c r="H139" s="7" t="n"/>
      <c r="I139" s="9" t="n"/>
    </row>
    <row r="140">
      <c r="A140" s="7" t="n"/>
      <c r="B140" s="7" t="n"/>
      <c r="C140" s="7" t="n"/>
      <c r="D140" s="7" t="n"/>
      <c r="E140" s="7" t="n"/>
      <c r="F140" s="8" t="n"/>
      <c r="G140" s="7" t="n"/>
      <c r="H140" s="7" t="n"/>
      <c r="I140" s="9" t="n"/>
    </row>
    <row r="141">
      <c r="A141" s="7" t="n"/>
      <c r="B141" s="7" t="n"/>
      <c r="C141" s="7" t="n"/>
      <c r="D141" s="7" t="n"/>
      <c r="E141" s="7" t="n"/>
      <c r="F141" s="8" t="n"/>
      <c r="G141" s="7" t="n"/>
      <c r="H141" s="7" t="n"/>
      <c r="I141" s="9" t="n"/>
    </row>
    <row r="142">
      <c r="A142" s="7" t="n"/>
      <c r="B142" s="7" t="n"/>
      <c r="C142" s="7" t="n"/>
      <c r="D142" s="7" t="n"/>
      <c r="E142" s="7" t="n"/>
      <c r="F142" s="8" t="n"/>
      <c r="G142" s="7" t="n"/>
      <c r="H142" s="7" t="n"/>
      <c r="I142" s="9" t="n"/>
    </row>
    <row r="143">
      <c r="A143" s="7" t="n"/>
      <c r="B143" s="7" t="n"/>
      <c r="C143" s="7" t="n"/>
      <c r="D143" s="7" t="n"/>
      <c r="E143" s="7" t="n"/>
      <c r="F143" s="8" t="n"/>
      <c r="G143" s="7" t="n"/>
      <c r="H143" s="7" t="n"/>
      <c r="I143" s="9" t="n"/>
    </row>
    <row r="144">
      <c r="A144" s="7" t="n"/>
      <c r="B144" s="7" t="n"/>
      <c r="C144" s="7" t="n"/>
      <c r="D144" s="7" t="n"/>
      <c r="E144" s="7" t="n"/>
      <c r="F144" s="8" t="n"/>
      <c r="G144" s="7" t="n"/>
      <c r="H144" s="7" t="n"/>
      <c r="I144" s="9" t="n"/>
    </row>
    <row r="145">
      <c r="A145" s="7" t="n"/>
      <c r="B145" s="7" t="n"/>
      <c r="C145" s="7" t="n"/>
      <c r="D145" s="7" t="n"/>
      <c r="E145" s="7" t="n"/>
      <c r="F145" s="8" t="n"/>
      <c r="G145" s="7" t="n"/>
      <c r="H145" s="7" t="n"/>
      <c r="I145" s="9" t="n"/>
    </row>
    <row r="146">
      <c r="A146" s="7" t="n"/>
      <c r="B146" s="7" t="n"/>
      <c r="C146" s="7" t="n"/>
      <c r="D146" s="7" t="n"/>
      <c r="E146" s="7" t="n"/>
      <c r="F146" s="8" t="n"/>
      <c r="G146" s="7" t="n"/>
      <c r="H146" s="7" t="n"/>
      <c r="I146" s="9" t="n"/>
    </row>
    <row r="147">
      <c r="A147" s="7" t="n"/>
      <c r="B147" s="7" t="n"/>
      <c r="C147" s="7" t="n"/>
      <c r="D147" s="7" t="n"/>
      <c r="E147" s="7" t="n"/>
      <c r="F147" s="8" t="n"/>
      <c r="G147" s="7" t="n"/>
      <c r="H147" s="7" t="n"/>
      <c r="I147" s="9" t="n"/>
    </row>
    <row r="148">
      <c r="A148" s="7" t="n"/>
      <c r="B148" s="7" t="n"/>
      <c r="C148" s="7" t="n"/>
      <c r="D148" s="7" t="n"/>
      <c r="E148" s="7" t="n"/>
      <c r="F148" s="8" t="n"/>
      <c r="G148" s="7" t="n"/>
      <c r="H148" s="7" t="n"/>
      <c r="I148" s="9" t="n"/>
    </row>
    <row r="149">
      <c r="A149" s="7" t="n"/>
      <c r="B149" s="7" t="n"/>
      <c r="C149" s="7" t="n"/>
      <c r="D149" s="7" t="n"/>
      <c r="E149" s="7" t="n"/>
      <c r="F149" s="8" t="n"/>
      <c r="G149" s="7" t="n"/>
      <c r="H149" s="7" t="n"/>
      <c r="I149" s="9" t="n"/>
    </row>
    <row r="150">
      <c r="A150" s="7" t="n"/>
      <c r="B150" s="7" t="n"/>
      <c r="C150" s="7" t="n"/>
      <c r="D150" s="7" t="n"/>
      <c r="E150" s="7" t="n"/>
      <c r="F150" s="8" t="n"/>
      <c r="G150" s="7" t="n"/>
      <c r="H150" s="7" t="n"/>
      <c r="I150" s="9" t="n"/>
    </row>
    <row r="151">
      <c r="A151" s="7" t="n"/>
      <c r="B151" s="7" t="n"/>
      <c r="C151" s="7" t="n"/>
      <c r="D151" s="7" t="n"/>
      <c r="E151" s="7" t="n"/>
      <c r="F151" s="8" t="n"/>
      <c r="G151" s="7" t="n"/>
      <c r="H151" s="7" t="n"/>
      <c r="I151" s="9" t="n"/>
    </row>
    <row r="152">
      <c r="A152" s="7" t="n"/>
      <c r="B152" s="7" t="n"/>
      <c r="C152" s="7" t="n"/>
      <c r="D152" s="7" t="n"/>
      <c r="E152" s="7" t="n"/>
      <c r="F152" s="8" t="n"/>
      <c r="G152" s="7" t="n"/>
      <c r="H152" s="7" t="n"/>
      <c r="I152" s="9" t="n"/>
    </row>
    <row r="153">
      <c r="A153" s="7" t="n"/>
      <c r="B153" s="7" t="n"/>
      <c r="C153" s="7" t="n"/>
      <c r="D153" s="7" t="n"/>
      <c r="E153" s="7" t="n"/>
      <c r="F153" s="8" t="n"/>
      <c r="G153" s="7" t="n"/>
      <c r="H153" s="7" t="n"/>
      <c r="I153" s="9" t="n"/>
    </row>
    <row r="154">
      <c r="A154" s="7" t="n"/>
      <c r="B154" s="7" t="n"/>
      <c r="C154" s="7" t="n"/>
      <c r="D154" s="7" t="n"/>
      <c r="E154" s="7" t="n"/>
      <c r="F154" s="8" t="n"/>
      <c r="G154" s="7" t="n"/>
      <c r="H154" s="7" t="n"/>
      <c r="I154" s="9" t="n"/>
    </row>
    <row r="155">
      <c r="A155" s="7" t="n"/>
      <c r="B155" s="7" t="n"/>
      <c r="C155" s="7" t="n"/>
      <c r="D155" s="7" t="n"/>
      <c r="E155" s="7" t="n"/>
      <c r="F155" s="8" t="n"/>
      <c r="G155" s="7" t="n"/>
      <c r="H155" s="7" t="n"/>
      <c r="I155" s="9" t="n"/>
    </row>
    <row r="156">
      <c r="A156" s="7" t="n"/>
      <c r="B156" s="7" t="n"/>
      <c r="C156" s="7" t="n"/>
      <c r="D156" s="7" t="n"/>
      <c r="E156" s="7" t="n"/>
      <c r="F156" s="8" t="n"/>
      <c r="G156" s="7" t="n"/>
      <c r="H156" s="7" t="n"/>
      <c r="I156" s="9" t="n"/>
    </row>
    <row r="157">
      <c r="A157" s="7" t="n"/>
      <c r="B157" s="7" t="n"/>
      <c r="C157" s="7" t="n"/>
      <c r="D157" s="7" t="n"/>
      <c r="E157" s="7" t="n"/>
      <c r="F157" s="8" t="n"/>
      <c r="G157" s="7" t="n"/>
      <c r="H157" s="7" t="n"/>
      <c r="I157" s="9" t="n"/>
    </row>
    <row r="158">
      <c r="A158" s="7" t="n"/>
      <c r="B158" s="7" t="n"/>
      <c r="C158" s="7" t="n"/>
      <c r="D158" s="7" t="n"/>
      <c r="E158" s="7" t="n"/>
      <c r="F158" s="8" t="n"/>
      <c r="G158" s="7" t="n"/>
      <c r="H158" s="7" t="n"/>
      <c r="I158" s="9" t="n"/>
    </row>
    <row r="159">
      <c r="A159" s="7" t="n"/>
      <c r="B159" s="7" t="n"/>
      <c r="C159" s="7" t="n"/>
      <c r="D159" s="7" t="n"/>
      <c r="E159" s="7" t="n"/>
      <c r="F159" s="8" t="n"/>
      <c r="G159" s="7" t="n"/>
      <c r="H159" s="7" t="n"/>
      <c r="I159" s="9" t="n"/>
    </row>
    <row r="160">
      <c r="A160" s="7" t="n"/>
      <c r="B160" s="7" t="n"/>
      <c r="C160" s="7" t="n"/>
      <c r="D160" s="7" t="n"/>
      <c r="E160" s="7" t="n"/>
      <c r="F160" s="8" t="n"/>
      <c r="G160" s="7" t="n"/>
      <c r="H160" s="7" t="n"/>
      <c r="I160" s="9" t="n"/>
    </row>
    <row r="161">
      <c r="A161" s="7" t="n"/>
      <c r="B161" s="7" t="n"/>
      <c r="C161" s="7" t="n"/>
      <c r="D161" s="7" t="n"/>
      <c r="E161" s="7" t="n"/>
      <c r="F161" s="8" t="n"/>
      <c r="G161" s="7" t="n"/>
      <c r="H161" s="7" t="n"/>
      <c r="I161" s="9" t="n"/>
    </row>
    <row r="162">
      <c r="A162" s="7" t="n"/>
      <c r="B162" s="7" t="n"/>
      <c r="C162" s="7" t="n"/>
      <c r="D162" s="7" t="n"/>
      <c r="E162" s="7" t="n"/>
      <c r="F162" s="8" t="n"/>
      <c r="G162" s="7" t="n"/>
      <c r="H162" s="7" t="n"/>
      <c r="I162" s="9" t="n"/>
    </row>
    <row r="163">
      <c r="A163" s="7" t="n"/>
      <c r="B163" s="7" t="n"/>
      <c r="C163" s="7" t="n"/>
      <c r="D163" s="7" t="n"/>
      <c r="E163" s="7" t="n"/>
      <c r="F163" s="8" t="n"/>
      <c r="G163" s="7" t="n"/>
      <c r="H163" s="7" t="n"/>
      <c r="I163" s="9" t="n"/>
    </row>
    <row r="164">
      <c r="A164" s="7" t="n"/>
      <c r="B164" s="7" t="n"/>
      <c r="C164" s="7" t="n"/>
      <c r="D164" s="7" t="n"/>
      <c r="E164" s="7" t="n"/>
      <c r="F164" s="8" t="n"/>
      <c r="G164" s="7" t="n"/>
      <c r="H164" s="7" t="n"/>
      <c r="I164" s="9" t="n"/>
    </row>
    <row r="165">
      <c r="A165" s="7" t="n"/>
      <c r="B165" s="7" t="n"/>
      <c r="C165" s="7" t="n"/>
      <c r="D165" s="7" t="n"/>
      <c r="E165" s="7" t="n"/>
      <c r="F165" s="8" t="n"/>
      <c r="G165" s="7" t="n"/>
      <c r="H165" s="7" t="n"/>
      <c r="I165" s="9" t="n"/>
    </row>
    <row r="166">
      <c r="A166" s="7" t="n"/>
      <c r="B166" s="7" t="n"/>
      <c r="C166" s="7" t="n"/>
      <c r="D166" s="7" t="n"/>
      <c r="E166" s="7" t="n"/>
      <c r="F166" s="8" t="n"/>
      <c r="G166" s="7" t="n"/>
      <c r="H166" s="7" t="n"/>
      <c r="I166" s="9" t="n"/>
    </row>
    <row r="167">
      <c r="A167" s="7" t="n"/>
      <c r="B167" s="7" t="n"/>
      <c r="C167" s="7" t="n"/>
      <c r="D167" s="7" t="n"/>
      <c r="E167" s="7" t="n"/>
      <c r="F167" s="8" t="n"/>
      <c r="G167" s="7" t="n"/>
      <c r="H167" s="7" t="n"/>
      <c r="I167" s="9" t="n"/>
    </row>
    <row r="168">
      <c r="A168" s="7" t="n"/>
      <c r="B168" s="7" t="n"/>
      <c r="C168" s="7" t="n"/>
      <c r="D168" s="7" t="n"/>
      <c r="E168" s="7" t="n"/>
      <c r="F168" s="8" t="n"/>
      <c r="G168" s="7" t="n"/>
      <c r="H168" s="7" t="n"/>
      <c r="I168" s="9" t="n"/>
    </row>
    <row r="169">
      <c r="A169" s="7" t="n"/>
      <c r="B169" s="7" t="n"/>
      <c r="C169" s="7" t="n"/>
      <c r="D169" s="7" t="n"/>
      <c r="E169" s="7" t="n"/>
      <c r="F169" s="8" t="n"/>
      <c r="G169" s="7" t="n"/>
      <c r="H169" s="7" t="n"/>
      <c r="I169" s="9" t="n"/>
    </row>
    <row r="170">
      <c r="A170" s="7" t="n"/>
      <c r="B170" s="7" t="n"/>
      <c r="C170" s="7" t="n"/>
      <c r="D170" s="7" t="n"/>
      <c r="E170" s="7" t="n"/>
      <c r="F170" s="8" t="n"/>
      <c r="G170" s="7" t="n"/>
      <c r="H170" s="7" t="n"/>
      <c r="I170" s="9" t="n"/>
    </row>
    <row r="171">
      <c r="A171" s="7" t="n"/>
      <c r="B171" s="7" t="n"/>
      <c r="C171" s="7" t="n"/>
      <c r="D171" s="7" t="n"/>
      <c r="E171" s="7" t="n"/>
      <c r="F171" s="8" t="n"/>
      <c r="G171" s="7" t="n"/>
      <c r="H171" s="7" t="n"/>
      <c r="I171" s="9" t="n"/>
    </row>
    <row r="172">
      <c r="A172" s="7" t="n"/>
      <c r="B172" s="7" t="n"/>
      <c r="C172" s="7" t="n"/>
      <c r="D172" s="7" t="n"/>
      <c r="E172" s="7" t="n"/>
      <c r="F172" s="8" t="n"/>
      <c r="G172" s="7" t="n"/>
      <c r="H172" s="7" t="n"/>
      <c r="I172" s="9" t="n"/>
    </row>
    <row r="173">
      <c r="A173" s="7" t="n"/>
      <c r="B173" s="7" t="n"/>
      <c r="C173" s="7" t="n"/>
      <c r="D173" s="7" t="n"/>
      <c r="E173" s="7" t="n"/>
      <c r="F173" s="8" t="n"/>
      <c r="G173" s="7" t="n"/>
      <c r="H173" s="7" t="n"/>
      <c r="I173" s="9" t="n"/>
    </row>
    <row r="174">
      <c r="A174" s="7" t="n"/>
      <c r="B174" s="7" t="n"/>
      <c r="C174" s="7" t="n"/>
      <c r="D174" s="7" t="n"/>
      <c r="E174" s="7" t="n"/>
      <c r="F174" s="8" t="n"/>
      <c r="G174" s="7" t="n"/>
      <c r="H174" s="7" t="n"/>
      <c r="I174" s="9" t="n"/>
    </row>
    <row r="175">
      <c r="A175" s="7" t="n"/>
      <c r="B175" s="7" t="n"/>
      <c r="C175" s="7" t="n"/>
      <c r="D175" s="7" t="n"/>
      <c r="E175" s="7" t="n"/>
      <c r="F175" s="8" t="n"/>
      <c r="G175" s="7" t="n"/>
      <c r="H175" s="7" t="n"/>
      <c r="I175" s="9" t="n"/>
    </row>
    <row r="176">
      <c r="A176" s="7" t="n"/>
      <c r="B176" s="7" t="n"/>
      <c r="C176" s="7" t="n"/>
      <c r="D176" s="7" t="n"/>
      <c r="E176" s="7" t="n"/>
      <c r="F176" s="8" t="n"/>
      <c r="G176" s="7" t="n"/>
      <c r="H176" s="7" t="n"/>
      <c r="I176" s="9" t="n"/>
    </row>
    <row r="177">
      <c r="A177" s="7" t="n"/>
      <c r="B177" s="7" t="n"/>
      <c r="C177" s="7" t="n"/>
      <c r="D177" s="7" t="n"/>
      <c r="E177" s="7" t="n"/>
      <c r="F177" s="8" t="n"/>
      <c r="G177" s="7" t="n"/>
      <c r="H177" s="7" t="n"/>
      <c r="I177" s="9" t="n"/>
    </row>
    <row r="178">
      <c r="A178" s="7" t="n"/>
      <c r="B178" s="7" t="n"/>
      <c r="C178" s="7" t="n"/>
      <c r="D178" s="7" t="n"/>
      <c r="E178" s="7" t="n"/>
      <c r="F178" s="8" t="n"/>
      <c r="G178" s="7" t="n"/>
      <c r="H178" s="7" t="n"/>
      <c r="I178" s="9" t="n"/>
    </row>
    <row r="179">
      <c r="A179" s="7" t="n"/>
      <c r="B179" s="7" t="n"/>
      <c r="C179" s="7" t="n"/>
      <c r="D179" s="7" t="n"/>
      <c r="E179" s="7" t="n"/>
      <c r="F179" s="8" t="n"/>
      <c r="G179" s="7" t="n"/>
      <c r="H179" s="7" t="n"/>
      <c r="I179" s="9" t="n"/>
    </row>
    <row r="180">
      <c r="A180" s="7" t="n"/>
      <c r="B180" s="7" t="n"/>
      <c r="C180" s="7" t="n"/>
      <c r="D180" s="7" t="n"/>
      <c r="E180" s="7" t="n"/>
      <c r="F180" s="8" t="n"/>
      <c r="G180" s="7" t="n"/>
      <c r="H180" s="7" t="n"/>
      <c r="I180" s="9" t="n"/>
    </row>
    <row r="181">
      <c r="A181" s="7" t="n"/>
      <c r="B181" s="7" t="n"/>
      <c r="C181" s="7" t="n"/>
      <c r="D181" s="7" t="n"/>
      <c r="E181" s="7" t="n"/>
      <c r="F181" s="8" t="n"/>
      <c r="G181" s="7" t="n"/>
      <c r="H181" s="7" t="n"/>
      <c r="I181" s="9" t="n"/>
    </row>
    <row r="182">
      <c r="A182" s="7" t="n"/>
      <c r="B182" s="7" t="n"/>
      <c r="C182" s="7" t="n"/>
      <c r="D182" s="7" t="n"/>
      <c r="E182" s="7" t="n"/>
      <c r="F182" s="8" t="n"/>
      <c r="G182" s="7" t="n"/>
      <c r="H182" s="7" t="n"/>
      <c r="I182" s="9" t="n"/>
    </row>
    <row r="183">
      <c r="A183" s="7" t="n"/>
      <c r="B183" s="7" t="n"/>
      <c r="C183" s="7" t="n"/>
      <c r="D183" s="7" t="n"/>
      <c r="E183" s="7" t="n"/>
      <c r="F183" s="8" t="n"/>
      <c r="G183" s="7" t="n"/>
      <c r="H183" s="7" t="n"/>
      <c r="I183" s="9" t="n"/>
    </row>
    <row r="184">
      <c r="A184" s="7" t="n"/>
      <c r="B184" s="7" t="n"/>
      <c r="C184" s="7" t="n"/>
      <c r="D184" s="7" t="n"/>
      <c r="E184" s="7" t="n"/>
      <c r="F184" s="8" t="n"/>
      <c r="G184" s="7" t="n"/>
      <c r="H184" s="7" t="n"/>
      <c r="I184" s="9" t="n"/>
    </row>
    <row r="185">
      <c r="A185" s="7" t="n"/>
      <c r="B185" s="7" t="n"/>
      <c r="C185" s="7" t="n"/>
      <c r="D185" s="7" t="n"/>
      <c r="E185" s="7" t="n"/>
      <c r="F185" s="8" t="n"/>
      <c r="G185" s="7" t="n"/>
      <c r="H185" s="7" t="n"/>
      <c r="I185" s="9" t="n"/>
    </row>
    <row r="186">
      <c r="A186" s="7" t="n"/>
      <c r="B186" s="7" t="n"/>
      <c r="C186" s="7" t="n"/>
      <c r="D186" s="7" t="n"/>
      <c r="E186" s="7" t="n"/>
      <c r="F186" s="8" t="n"/>
      <c r="G186" s="7" t="n"/>
      <c r="H186" s="7" t="n"/>
      <c r="I186" s="9" t="n"/>
    </row>
    <row r="187">
      <c r="A187" s="7" t="n"/>
      <c r="B187" s="7" t="n"/>
      <c r="C187" s="7" t="n"/>
      <c r="D187" s="7" t="n"/>
      <c r="E187" s="7" t="n"/>
      <c r="F187" s="8" t="n"/>
      <c r="G187" s="7" t="n"/>
      <c r="H187" s="7" t="n"/>
      <c r="I187" s="9" t="n"/>
    </row>
    <row r="188">
      <c r="A188" s="7" t="n"/>
      <c r="B188" s="7" t="n"/>
      <c r="C188" s="7" t="n"/>
      <c r="D188" s="7" t="n"/>
      <c r="E188" s="7" t="n"/>
      <c r="F188" s="8" t="n"/>
      <c r="G188" s="7" t="n"/>
      <c r="H188" s="7" t="n"/>
      <c r="I188" s="9" t="n"/>
    </row>
    <row r="189">
      <c r="A189" s="7" t="n"/>
      <c r="B189" s="7" t="n"/>
      <c r="C189" s="7" t="n"/>
      <c r="D189" s="7" t="n"/>
      <c r="E189" s="7" t="n"/>
      <c r="F189" s="8" t="n"/>
      <c r="G189" s="7" t="n"/>
      <c r="H189" s="7" t="n"/>
      <c r="I189" s="9" t="n"/>
    </row>
    <row r="190">
      <c r="A190" s="7" t="n"/>
      <c r="B190" s="7" t="n"/>
      <c r="C190" s="7" t="n"/>
      <c r="D190" s="7" t="n"/>
      <c r="E190" s="7" t="n"/>
      <c r="F190" s="8" t="n"/>
      <c r="G190" s="7" t="n"/>
      <c r="H190" s="7" t="n"/>
      <c r="I190" s="9" t="n"/>
    </row>
    <row r="191">
      <c r="A191" s="7" t="n"/>
      <c r="B191" s="7" t="n"/>
      <c r="C191" s="7" t="n"/>
      <c r="D191" s="7" t="n"/>
      <c r="E191" s="7" t="n"/>
      <c r="F191" s="8" t="n"/>
      <c r="G191" s="7" t="n"/>
      <c r="H191" s="7" t="n"/>
      <c r="I191" s="9" t="n"/>
    </row>
    <row r="192">
      <c r="A192" s="7" t="n"/>
      <c r="B192" s="7" t="n"/>
      <c r="C192" s="7" t="n"/>
      <c r="D192" s="7" t="n"/>
      <c r="E192" s="7" t="n"/>
      <c r="F192" s="8" t="n"/>
      <c r="G192" s="7" t="n"/>
      <c r="H192" s="7" t="n"/>
      <c r="I192" s="9" t="n"/>
    </row>
    <row r="193">
      <c r="A193" s="7" t="n"/>
      <c r="B193" s="7" t="n"/>
      <c r="C193" s="7" t="n"/>
      <c r="D193" s="7" t="n"/>
      <c r="E193" s="7" t="n"/>
      <c r="F193" s="8" t="n"/>
      <c r="G193" s="7" t="n"/>
      <c r="H193" s="7" t="n"/>
      <c r="I193" s="9" t="n"/>
    </row>
    <row r="194">
      <c r="A194" s="7" t="n"/>
      <c r="B194" s="7" t="n"/>
      <c r="C194" s="7" t="n"/>
      <c r="D194" s="7" t="n"/>
      <c r="E194" s="7" t="n"/>
      <c r="F194" s="8" t="n"/>
      <c r="G194" s="7" t="n"/>
      <c r="H194" s="7" t="n"/>
      <c r="I194" s="9" t="n"/>
    </row>
    <row r="195">
      <c r="A195" s="7" t="n"/>
      <c r="B195" s="7" t="n"/>
      <c r="C195" s="7" t="n"/>
      <c r="D195" s="7" t="n"/>
      <c r="E195" s="7" t="n"/>
      <c r="F195" s="8" t="n"/>
      <c r="G195" s="7" t="n"/>
      <c r="H195" s="7" t="n"/>
      <c r="I195" s="9" t="n"/>
    </row>
    <row r="196">
      <c r="A196" s="7" t="n"/>
      <c r="B196" s="7" t="n"/>
      <c r="C196" s="7" t="n"/>
      <c r="D196" s="7" t="n"/>
      <c r="E196" s="7" t="n"/>
      <c r="F196" s="8" t="n"/>
      <c r="G196" s="7" t="n"/>
      <c r="H196" s="7" t="n"/>
      <c r="I196" s="9" t="n"/>
    </row>
    <row r="197">
      <c r="A197" s="7" t="n"/>
      <c r="B197" s="7" t="n"/>
      <c r="C197" s="7" t="n"/>
      <c r="D197" s="7" t="n"/>
      <c r="E197" s="7" t="n"/>
      <c r="F197" s="8" t="n"/>
      <c r="G197" s="7" t="n"/>
      <c r="H197" s="7" t="n"/>
      <c r="I197" s="9" t="n"/>
    </row>
    <row r="198">
      <c r="A198" s="7" t="n"/>
      <c r="B198" s="7" t="n"/>
      <c r="C198" s="7" t="n"/>
      <c r="D198" s="7" t="n"/>
      <c r="E198" s="7" t="n"/>
      <c r="F198" s="8" t="n"/>
      <c r="G198" s="7" t="n"/>
      <c r="H198" s="7" t="n"/>
      <c r="I198" s="9" t="n"/>
    </row>
    <row r="199">
      <c r="A199" s="7" t="n"/>
      <c r="B199" s="7" t="n"/>
      <c r="C199" s="7" t="n"/>
      <c r="D199" s="7" t="n"/>
      <c r="E199" s="7" t="n"/>
      <c r="F199" s="8" t="n"/>
      <c r="G199" s="7" t="n"/>
      <c r="H199" s="7" t="n"/>
      <c r="I199" s="9" t="n"/>
    </row>
    <row r="200">
      <c r="A200" s="7" t="n"/>
      <c r="B200" s="7" t="n"/>
      <c r="C200" s="7" t="n"/>
      <c r="D200" s="7" t="n"/>
      <c r="E200" s="7" t="n"/>
      <c r="F200" s="8" t="n"/>
      <c r="G200" s="7" t="n"/>
      <c r="H200" s="7" t="n"/>
      <c r="I200" s="9" t="n"/>
    </row>
    <row r="201">
      <c r="A201" s="7" t="n"/>
      <c r="B201" s="7" t="n"/>
      <c r="C201" s="7" t="n"/>
      <c r="D201" s="7" t="n"/>
      <c r="E201" s="7" t="n"/>
      <c r="F201" s="8" t="n"/>
      <c r="G201" s="7" t="n"/>
      <c r="H201" s="7" t="n"/>
      <c r="I201" s="9" t="n"/>
    </row>
    <row r="202">
      <c r="A202" s="7" t="n"/>
      <c r="B202" s="7" t="n"/>
      <c r="C202" s="7" t="n"/>
      <c r="D202" s="7" t="n"/>
      <c r="E202" s="7" t="n"/>
      <c r="F202" s="8" t="n"/>
      <c r="G202" s="7" t="n"/>
      <c r="H202" s="7" t="n"/>
      <c r="I202" s="9" t="n"/>
    </row>
    <row r="203">
      <c r="A203" s="7" t="n"/>
      <c r="B203" s="7" t="n"/>
      <c r="C203" s="7" t="n"/>
      <c r="D203" s="7" t="n"/>
      <c r="E203" s="7" t="n"/>
      <c r="F203" s="8" t="n"/>
      <c r="G203" s="7" t="n"/>
      <c r="H203" s="7" t="n"/>
      <c r="I203" s="9" t="n"/>
    </row>
    <row r="204">
      <c r="A204" s="7" t="n"/>
      <c r="B204" s="7" t="n"/>
      <c r="C204" s="7" t="n"/>
      <c r="D204" s="7" t="n"/>
      <c r="E204" s="7" t="n"/>
      <c r="F204" s="8" t="n"/>
      <c r="G204" s="7" t="n"/>
      <c r="H204" s="7" t="n"/>
      <c r="I204" s="9" t="n"/>
    </row>
    <row r="205">
      <c r="A205" s="7" t="n"/>
      <c r="B205" s="7" t="n"/>
      <c r="C205" s="7" t="n"/>
      <c r="D205" s="7" t="n"/>
      <c r="E205" s="7" t="n"/>
      <c r="F205" s="8" t="n"/>
      <c r="G205" s="7" t="n"/>
      <c r="H205" s="7" t="n"/>
      <c r="I205" s="9" t="n"/>
    </row>
    <row r="206">
      <c r="A206" s="7" t="n"/>
      <c r="B206" s="7" t="n"/>
      <c r="C206" s="7" t="n"/>
      <c r="D206" s="7" t="n"/>
      <c r="E206" s="7" t="n"/>
      <c r="F206" s="8" t="n"/>
      <c r="G206" s="7" t="n"/>
      <c r="H206" s="7" t="n"/>
      <c r="I206" s="9" t="n"/>
    </row>
    <row r="207">
      <c r="A207" s="7" t="n"/>
      <c r="B207" s="7" t="n"/>
      <c r="C207" s="7" t="n"/>
      <c r="D207" s="7" t="n"/>
      <c r="E207" s="7" t="n"/>
      <c r="F207" s="8" t="n"/>
      <c r="G207" s="7" t="n"/>
      <c r="H207" s="7" t="n"/>
      <c r="I207" s="9" t="n"/>
    </row>
    <row r="208">
      <c r="A208" s="7" t="n"/>
      <c r="B208" s="7" t="n"/>
      <c r="C208" s="7" t="n"/>
      <c r="D208" s="7" t="n"/>
      <c r="E208" s="7" t="n"/>
      <c r="F208" s="8" t="n"/>
      <c r="G208" s="7" t="n"/>
      <c r="H208" s="7" t="n"/>
      <c r="I208" s="9" t="n"/>
    </row>
    <row r="209">
      <c r="A209" s="7" t="n"/>
      <c r="B209" s="7" t="n"/>
      <c r="C209" s="7" t="n"/>
      <c r="D209" s="7" t="n"/>
      <c r="E209" s="7" t="n"/>
      <c r="F209" s="8" t="n"/>
      <c r="G209" s="7" t="n"/>
      <c r="H209" s="7" t="n"/>
      <c r="I209" s="9" t="n"/>
    </row>
    <row r="210">
      <c r="A210" s="7" t="n"/>
      <c r="B210" s="7" t="n"/>
      <c r="C210" s="7" t="n"/>
      <c r="D210" s="7" t="n"/>
      <c r="E210" s="7" t="n"/>
      <c r="F210" s="8" t="n"/>
      <c r="G210" s="7" t="n"/>
      <c r="H210" s="7" t="n"/>
      <c r="I210" s="9" t="n"/>
    </row>
    <row r="211">
      <c r="A211" s="7" t="n"/>
      <c r="B211" s="7" t="n"/>
      <c r="C211" s="7" t="n"/>
      <c r="D211" s="7" t="n"/>
      <c r="E211" s="7" t="n"/>
      <c r="F211" s="8" t="n"/>
      <c r="G211" s="7" t="n"/>
      <c r="H211" s="7" t="n"/>
      <c r="I211" s="9" t="n"/>
    </row>
    <row r="212">
      <c r="A212" s="7" t="n"/>
      <c r="B212" s="7" t="n"/>
      <c r="C212" s="7" t="n"/>
      <c r="D212" s="7" t="n"/>
      <c r="E212" s="7" t="n"/>
      <c r="F212" s="8" t="n"/>
      <c r="G212" s="7" t="n"/>
      <c r="H212" s="7" t="n"/>
      <c r="I212" s="9" t="n"/>
    </row>
    <row r="213">
      <c r="A213" s="7" t="n"/>
      <c r="B213" s="7" t="n"/>
      <c r="C213" s="7" t="n"/>
      <c r="D213" s="7" t="n"/>
      <c r="E213" s="7" t="n"/>
      <c r="F213" s="8" t="n"/>
      <c r="G213" s="7" t="n"/>
      <c r="H213" s="7" t="n"/>
      <c r="I213" s="9" t="n"/>
    </row>
    <row r="214">
      <c r="A214" s="7" t="n"/>
      <c r="B214" s="7" t="n"/>
      <c r="C214" s="7" t="n"/>
      <c r="D214" s="7" t="n"/>
      <c r="E214" s="7" t="n"/>
      <c r="F214" s="8" t="n"/>
      <c r="G214" s="7" t="n"/>
      <c r="H214" s="7" t="n"/>
      <c r="I214" s="9" t="n"/>
    </row>
    <row r="215">
      <c r="A215" s="7" t="n"/>
      <c r="B215" s="7" t="n"/>
      <c r="C215" s="7" t="n"/>
      <c r="D215" s="7" t="n"/>
      <c r="E215" s="7" t="n"/>
      <c r="F215" s="8" t="n"/>
      <c r="G215" s="7" t="n"/>
      <c r="H215" s="7" t="n"/>
      <c r="I215" s="9" t="n"/>
    </row>
    <row r="216">
      <c r="A216" s="7" t="n"/>
      <c r="B216" s="7" t="n"/>
      <c r="C216" s="7" t="n"/>
      <c r="D216" s="7" t="n"/>
      <c r="E216" s="7" t="n"/>
      <c r="F216" s="8" t="n"/>
      <c r="G216" s="7" t="n"/>
      <c r="H216" s="7" t="n"/>
      <c r="I216" s="9" t="n"/>
    </row>
    <row r="217">
      <c r="A217" s="7" t="n"/>
      <c r="B217" s="7" t="n"/>
      <c r="C217" s="7" t="n"/>
      <c r="D217" s="7" t="n"/>
      <c r="E217" s="7" t="n"/>
      <c r="F217" s="8" t="n"/>
      <c r="G217" s="7" t="n"/>
      <c r="H217" s="7" t="n"/>
      <c r="I217" s="9" t="n"/>
    </row>
    <row r="218">
      <c r="A218" s="7" t="n"/>
      <c r="B218" s="7" t="n"/>
      <c r="C218" s="7" t="n"/>
      <c r="D218" s="7" t="n"/>
      <c r="E218" s="7" t="n"/>
      <c r="F218" s="8" t="n"/>
      <c r="G218" s="7" t="n"/>
      <c r="H218" s="7" t="n"/>
      <c r="I218" s="9" t="n"/>
    </row>
    <row r="219">
      <c r="A219" s="7" t="n"/>
      <c r="B219" s="7" t="n"/>
      <c r="C219" s="7" t="n"/>
      <c r="D219" s="7" t="n"/>
      <c r="E219" s="7" t="n"/>
      <c r="F219" s="8" t="n"/>
      <c r="G219" s="7" t="n"/>
      <c r="H219" s="7" t="n"/>
      <c r="I219" s="9" t="n"/>
    </row>
    <row r="220">
      <c r="A220" s="7" t="n"/>
      <c r="B220" s="7" t="n"/>
      <c r="C220" s="7" t="n"/>
      <c r="D220" s="7" t="n"/>
      <c r="E220" s="7" t="n"/>
      <c r="F220" s="8" t="n"/>
      <c r="G220" s="7" t="n"/>
      <c r="H220" s="7" t="n"/>
      <c r="I220" s="9" t="n"/>
    </row>
    <row r="221">
      <c r="A221" s="7" t="n"/>
      <c r="B221" s="7" t="n"/>
      <c r="C221" s="7" t="n"/>
      <c r="D221" s="7" t="n"/>
      <c r="E221" s="7" t="n"/>
      <c r="F221" s="8" t="n"/>
      <c r="G221" s="7" t="n"/>
      <c r="H221" s="7" t="n"/>
      <c r="I221" s="9" t="n"/>
    </row>
    <row r="222">
      <c r="A222" s="7" t="n"/>
      <c r="B222" s="7" t="n"/>
      <c r="C222" s="7" t="n"/>
      <c r="D222" s="7" t="n"/>
      <c r="E222" s="7" t="n"/>
      <c r="F222" s="8" t="n"/>
      <c r="G222" s="7" t="n"/>
      <c r="H222" s="7" t="n"/>
      <c r="I222" s="9" t="n"/>
    </row>
    <row r="223">
      <c r="A223" s="7" t="n"/>
      <c r="B223" s="7" t="n"/>
      <c r="C223" s="7" t="n"/>
      <c r="D223" s="7" t="n"/>
      <c r="E223" s="7" t="n"/>
      <c r="F223" s="8" t="n"/>
      <c r="G223" s="7" t="n"/>
      <c r="H223" s="7" t="n"/>
      <c r="I223" s="9" t="n"/>
    </row>
    <row r="224">
      <c r="A224" s="7" t="n"/>
      <c r="B224" s="7" t="n"/>
      <c r="C224" s="7" t="n"/>
      <c r="D224" s="7" t="n"/>
      <c r="E224" s="7" t="n"/>
      <c r="F224" s="8" t="n"/>
      <c r="G224" s="7" t="n"/>
      <c r="H224" s="7" t="n"/>
      <c r="I224" s="9" t="n"/>
    </row>
    <row r="225">
      <c r="A225" s="7" t="n"/>
      <c r="B225" s="7" t="n"/>
      <c r="C225" s="7" t="n"/>
      <c r="D225" s="7" t="n"/>
      <c r="E225" s="7" t="n"/>
      <c r="F225" s="8" t="n"/>
      <c r="G225" s="7" t="n"/>
      <c r="H225" s="7" t="n"/>
      <c r="I225" s="9" t="n"/>
    </row>
    <row r="226">
      <c r="A226" s="7" t="n"/>
      <c r="B226" s="7" t="n"/>
      <c r="C226" s="7" t="n"/>
      <c r="D226" s="7" t="n"/>
      <c r="E226" s="7" t="n"/>
      <c r="F226" s="8" t="n"/>
      <c r="G226" s="7" t="n"/>
      <c r="H226" s="7" t="n"/>
      <c r="I226" s="9" t="n"/>
    </row>
    <row r="227">
      <c r="A227" s="7" t="n"/>
      <c r="B227" s="7" t="n"/>
      <c r="C227" s="7" t="n"/>
      <c r="D227" s="7" t="n"/>
      <c r="E227" s="7" t="n"/>
      <c r="F227" s="8" t="n"/>
      <c r="G227" s="7" t="n"/>
      <c r="H227" s="7" t="n"/>
      <c r="I227" s="9" t="n"/>
    </row>
    <row r="228">
      <c r="A228" s="7" t="n"/>
      <c r="B228" s="7" t="n"/>
      <c r="C228" s="7" t="n"/>
      <c r="D228" s="7" t="n"/>
      <c r="E228" s="7" t="n"/>
      <c r="F228" s="8" t="n"/>
      <c r="G228" s="7" t="n"/>
      <c r="H228" s="7" t="n"/>
      <c r="I228" s="9" t="n"/>
    </row>
    <row r="229">
      <c r="A229" s="7" t="n"/>
      <c r="B229" s="7" t="n"/>
      <c r="C229" s="7" t="n"/>
      <c r="D229" s="7" t="n"/>
      <c r="E229" s="7" t="n"/>
      <c r="F229" s="8" t="n"/>
      <c r="G229" s="7" t="n"/>
      <c r="H229" s="7" t="n"/>
      <c r="I229" s="9" t="n"/>
    </row>
    <row r="230">
      <c r="A230" s="7" t="n"/>
      <c r="B230" s="7" t="n"/>
      <c r="C230" s="7" t="n"/>
      <c r="D230" s="7" t="n"/>
      <c r="E230" s="7" t="n"/>
      <c r="F230" s="8" t="n"/>
      <c r="G230" s="7" t="n"/>
      <c r="H230" s="7" t="n"/>
      <c r="I230" s="9" t="n"/>
    </row>
    <row r="231">
      <c r="A231" s="7" t="n"/>
      <c r="B231" s="7" t="n"/>
      <c r="C231" s="7" t="n"/>
      <c r="D231" s="7" t="n"/>
      <c r="E231" s="7" t="n"/>
      <c r="F231" s="8" t="n"/>
      <c r="G231" s="7" t="n"/>
      <c r="H231" s="7" t="n"/>
      <c r="I231" s="9" t="n"/>
    </row>
    <row r="232">
      <c r="A232" s="7" t="n"/>
      <c r="B232" s="7" t="n"/>
      <c r="C232" s="7" t="n"/>
      <c r="D232" s="7" t="n"/>
      <c r="E232" s="7" t="n"/>
      <c r="F232" s="8" t="n"/>
      <c r="G232" s="7" t="n"/>
      <c r="H232" s="7" t="n"/>
      <c r="I232" s="9" t="n"/>
    </row>
    <row r="233">
      <c r="A233" s="7" t="n"/>
      <c r="B233" s="7" t="n"/>
      <c r="C233" s="7" t="n"/>
      <c r="D233" s="7" t="n"/>
      <c r="E233" s="7" t="n"/>
      <c r="F233" s="8" t="n"/>
      <c r="G233" s="7" t="n"/>
      <c r="H233" s="7" t="n"/>
      <c r="I233" s="9" t="n"/>
    </row>
    <row r="234">
      <c r="A234" s="7" t="n"/>
      <c r="B234" s="7" t="n"/>
      <c r="C234" s="7" t="n"/>
      <c r="D234" s="7" t="n"/>
      <c r="E234" s="7" t="n"/>
      <c r="F234" s="8" t="n"/>
      <c r="G234" s="7" t="n"/>
      <c r="H234" s="7" t="n"/>
      <c r="I234" s="9" t="n"/>
    </row>
    <row r="235">
      <c r="A235" s="7" t="n"/>
      <c r="B235" s="7" t="n"/>
      <c r="C235" s="7" t="n"/>
      <c r="D235" s="7" t="n"/>
      <c r="E235" s="7" t="n"/>
      <c r="F235" s="8" t="n"/>
      <c r="G235" s="7" t="n"/>
      <c r="H235" s="7" t="n"/>
      <c r="I235" s="9" t="n"/>
    </row>
    <row r="236">
      <c r="A236" s="7" t="n"/>
      <c r="B236" s="7" t="n"/>
      <c r="C236" s="7" t="n"/>
      <c r="D236" s="7" t="n"/>
      <c r="E236" s="7" t="n"/>
      <c r="F236" s="8" t="n"/>
      <c r="G236" s="7" t="n"/>
      <c r="H236" s="7" t="n"/>
      <c r="I236" s="9" t="n"/>
    </row>
    <row r="237">
      <c r="A237" s="7" t="n"/>
      <c r="B237" s="7" t="n"/>
      <c r="C237" s="7" t="n"/>
      <c r="D237" s="7" t="n"/>
      <c r="E237" s="7" t="n"/>
      <c r="F237" s="8" t="n"/>
      <c r="G237" s="7" t="n"/>
      <c r="H237" s="7" t="n"/>
      <c r="I237" s="9" t="n"/>
    </row>
    <row r="238">
      <c r="A238" s="7" t="n"/>
      <c r="B238" s="7" t="n"/>
      <c r="C238" s="7" t="n"/>
      <c r="D238" s="7" t="n"/>
      <c r="E238" s="7" t="n"/>
      <c r="F238" s="8" t="n"/>
      <c r="G238" s="7" t="n"/>
      <c r="H238" s="7" t="n"/>
      <c r="I238" s="9" t="n"/>
    </row>
    <row r="239">
      <c r="A239" s="7" t="n"/>
      <c r="B239" s="7" t="n"/>
      <c r="C239" s="7" t="n"/>
      <c r="D239" s="7" t="n"/>
      <c r="E239" s="7" t="n"/>
      <c r="F239" s="8" t="n"/>
      <c r="G239" s="7" t="n"/>
      <c r="H239" s="7" t="n"/>
      <c r="I239" s="9" t="n"/>
    </row>
    <row r="240">
      <c r="A240" s="7" t="n"/>
      <c r="B240" s="7" t="n"/>
      <c r="C240" s="7" t="n"/>
      <c r="D240" s="7" t="n"/>
      <c r="E240" s="7" t="n"/>
      <c r="F240" s="8" t="n"/>
      <c r="G240" s="7" t="n"/>
      <c r="H240" s="7" t="n"/>
      <c r="I240" s="9" t="n"/>
    </row>
    <row r="241">
      <c r="A241" s="7" t="n"/>
      <c r="B241" s="7" t="n"/>
      <c r="C241" s="7" t="n"/>
      <c r="D241" s="7" t="n"/>
      <c r="E241" s="7" t="n"/>
      <c r="F241" s="8" t="n"/>
      <c r="G241" s="7" t="n"/>
      <c r="H241" s="7" t="n"/>
      <c r="I241" s="9" t="n"/>
    </row>
    <row r="242">
      <c r="A242" s="7" t="n"/>
      <c r="B242" s="7" t="n"/>
      <c r="C242" s="7" t="n"/>
      <c r="D242" s="7" t="n"/>
      <c r="E242" s="7" t="n"/>
      <c r="F242" s="8" t="n"/>
      <c r="G242" s="7" t="n"/>
      <c r="H242" s="7" t="n"/>
      <c r="I242" s="9" t="n"/>
    </row>
    <row r="243">
      <c r="A243" s="7" t="n"/>
      <c r="B243" s="7" t="n"/>
      <c r="C243" s="7" t="n"/>
      <c r="D243" s="7" t="n"/>
      <c r="E243" s="7" t="n"/>
      <c r="F243" s="8" t="n"/>
      <c r="G243" s="7" t="n"/>
      <c r="H243" s="7" t="n"/>
      <c r="I243" s="9" t="n"/>
    </row>
    <row r="244">
      <c r="A244" s="7" t="n"/>
      <c r="B244" s="7" t="n"/>
      <c r="C244" s="7" t="n"/>
      <c r="D244" s="7" t="n"/>
      <c r="E244" s="7" t="n"/>
      <c r="F244" s="8" t="n"/>
      <c r="G244" s="7" t="n"/>
      <c r="H244" s="7" t="n"/>
      <c r="I244" s="9" t="n"/>
    </row>
    <row r="245">
      <c r="A245" s="7" t="n"/>
      <c r="B245" s="7" t="n"/>
      <c r="C245" s="7" t="n"/>
      <c r="D245" s="7" t="n"/>
      <c r="E245" s="7" t="n"/>
      <c r="F245" s="8" t="n"/>
      <c r="G245" s="7" t="n"/>
      <c r="H245" s="7" t="n"/>
      <c r="I245" s="9" t="n"/>
    </row>
    <row r="246">
      <c r="A246" s="7" t="n"/>
      <c r="B246" s="7" t="n"/>
      <c r="C246" s="7" t="n"/>
      <c r="D246" s="7" t="n"/>
      <c r="E246" s="7" t="n"/>
      <c r="F246" s="8" t="n"/>
      <c r="G246" s="7" t="n"/>
      <c r="H246" s="7" t="n"/>
      <c r="I246" s="9" t="n"/>
    </row>
    <row r="247">
      <c r="A247" s="7" t="n"/>
      <c r="B247" s="7" t="n"/>
      <c r="C247" s="7" t="n"/>
      <c r="D247" s="7" t="n"/>
      <c r="E247" s="7" t="n"/>
      <c r="F247" s="8" t="n"/>
      <c r="G247" s="7" t="n"/>
      <c r="H247" s="7" t="n"/>
      <c r="I247" s="9" t="n"/>
    </row>
    <row r="248">
      <c r="A248" s="7" t="n"/>
      <c r="B248" s="7" t="n"/>
      <c r="C248" s="7" t="n"/>
      <c r="D248" s="7" t="n"/>
      <c r="E248" s="7" t="n"/>
      <c r="F248" s="8" t="n"/>
      <c r="G248" s="7" t="n"/>
      <c r="H248" s="7" t="n"/>
      <c r="I248" s="9" t="n"/>
    </row>
    <row r="249">
      <c r="A249" s="7" t="n"/>
      <c r="B249" s="7" t="n"/>
      <c r="C249" s="7" t="n"/>
      <c r="D249" s="7" t="n"/>
      <c r="E249" s="7" t="n"/>
      <c r="F249" s="8" t="n"/>
      <c r="G249" s="7" t="n"/>
      <c r="H249" s="7" t="n"/>
      <c r="I249" s="9" t="n"/>
    </row>
    <row r="250">
      <c r="A250" s="7" t="n"/>
      <c r="B250" s="7" t="n"/>
      <c r="C250" s="7" t="n"/>
      <c r="D250" s="7" t="n"/>
      <c r="E250" s="7" t="n"/>
      <c r="F250" s="8" t="n"/>
      <c r="G250" s="7" t="n"/>
      <c r="H250" s="7" t="n"/>
      <c r="I250" s="9" t="n"/>
    </row>
    <row r="251">
      <c r="A251" s="7" t="n"/>
      <c r="B251" s="7" t="n"/>
      <c r="C251" s="7" t="n"/>
      <c r="D251" s="7" t="n"/>
      <c r="E251" s="7" t="n"/>
      <c r="F251" s="8" t="n"/>
      <c r="G251" s="7" t="n"/>
      <c r="H251" s="7" t="n"/>
      <c r="I251" s="9" t="n"/>
    </row>
    <row r="252">
      <c r="A252" s="7" t="n"/>
      <c r="B252" s="7" t="n"/>
      <c r="C252" s="7" t="n"/>
      <c r="D252" s="7" t="n"/>
      <c r="E252" s="7" t="n"/>
      <c r="F252" s="8" t="n"/>
      <c r="G252" s="7" t="n"/>
      <c r="H252" s="7" t="n"/>
      <c r="I252" s="9" t="n"/>
    </row>
    <row r="253">
      <c r="A253" s="7" t="n"/>
      <c r="B253" s="7" t="n"/>
      <c r="C253" s="7" t="n"/>
      <c r="D253" s="7" t="n"/>
      <c r="E253" s="7" t="n"/>
      <c r="F253" s="8" t="n"/>
      <c r="G253" s="7" t="n"/>
      <c r="H253" s="7" t="n"/>
      <c r="I253" s="9" t="n"/>
    </row>
    <row r="254">
      <c r="A254" s="7" t="n"/>
      <c r="B254" s="7" t="n"/>
      <c r="C254" s="7" t="n"/>
      <c r="D254" s="7" t="n"/>
      <c r="E254" s="7" t="n"/>
      <c r="F254" s="8" t="n"/>
      <c r="G254" s="7" t="n"/>
      <c r="H254" s="7" t="n"/>
      <c r="I254" s="9" t="n"/>
    </row>
    <row r="255">
      <c r="A255" s="7" t="n"/>
      <c r="B255" s="7" t="n"/>
      <c r="C255" s="7" t="n"/>
      <c r="D255" s="7" t="n"/>
      <c r="E255" s="7" t="n"/>
      <c r="F255" s="8" t="n"/>
      <c r="G255" s="7" t="n"/>
      <c r="H255" s="7" t="n"/>
      <c r="I255" s="9" t="n"/>
    </row>
    <row r="256">
      <c r="A256" s="7" t="n"/>
      <c r="B256" s="7" t="n"/>
      <c r="C256" s="7" t="n"/>
      <c r="D256" s="7" t="n"/>
      <c r="E256" s="7" t="n"/>
      <c r="F256" s="8" t="n"/>
      <c r="G256" s="7" t="n"/>
      <c r="H256" s="7" t="n"/>
      <c r="I256" s="9" t="n"/>
    </row>
    <row r="257">
      <c r="A257" s="7" t="n"/>
      <c r="B257" s="7" t="n"/>
      <c r="C257" s="7" t="n"/>
      <c r="D257" s="7" t="n"/>
      <c r="E257" s="7" t="n"/>
      <c r="F257" s="8" t="n"/>
      <c r="G257" s="7" t="n"/>
      <c r="H257" s="7" t="n"/>
      <c r="I257" s="9" t="n"/>
    </row>
    <row r="258">
      <c r="A258" s="7" t="n"/>
      <c r="B258" s="7" t="n"/>
      <c r="C258" s="7" t="n"/>
      <c r="D258" s="7" t="n"/>
      <c r="E258" s="7" t="n"/>
      <c r="F258" s="8" t="n"/>
      <c r="G258" s="7" t="n"/>
      <c r="H258" s="7" t="n"/>
      <c r="I258" s="9" t="n"/>
    </row>
    <row r="259">
      <c r="A259" s="7" t="n"/>
      <c r="B259" s="7" t="n"/>
      <c r="C259" s="7" t="n"/>
      <c r="D259" s="7" t="n"/>
      <c r="E259" s="7" t="n"/>
      <c r="F259" s="8" t="n"/>
      <c r="G259" s="7" t="n"/>
      <c r="H259" s="7" t="n"/>
      <c r="I259" s="9" t="n"/>
    </row>
    <row r="260">
      <c r="A260" s="7" t="n"/>
      <c r="B260" s="7" t="n"/>
      <c r="C260" s="7" t="n"/>
      <c r="D260" s="7" t="n"/>
      <c r="E260" s="7" t="n"/>
      <c r="F260" s="8" t="n"/>
      <c r="G260" s="7" t="n"/>
      <c r="H260" s="7" t="n"/>
      <c r="I260" s="9" t="n"/>
    </row>
    <row r="261">
      <c r="A261" s="7" t="n"/>
      <c r="B261" s="7" t="n"/>
      <c r="C261" s="7" t="n"/>
      <c r="D261" s="7" t="n"/>
      <c r="E261" s="7" t="n"/>
      <c r="F261" s="8" t="n"/>
      <c r="G261" s="7" t="n"/>
      <c r="H261" s="7" t="n"/>
      <c r="I261" s="9" t="n"/>
    </row>
    <row r="262">
      <c r="A262" s="7" t="n"/>
      <c r="B262" s="7" t="n"/>
      <c r="C262" s="7" t="n"/>
      <c r="D262" s="7" t="n"/>
      <c r="E262" s="7" t="n"/>
      <c r="F262" s="8" t="n"/>
      <c r="G262" s="7" t="n"/>
      <c r="H262" s="7" t="n"/>
      <c r="I262" s="9" t="n"/>
    </row>
    <row r="263">
      <c r="A263" s="7" t="n"/>
      <c r="B263" s="7" t="n"/>
      <c r="C263" s="7" t="n"/>
      <c r="D263" s="7" t="n"/>
      <c r="E263" s="7" t="n"/>
      <c r="F263" s="8" t="n"/>
      <c r="G263" s="7" t="n"/>
      <c r="H263" s="7" t="n"/>
      <c r="I263" s="9" t="n"/>
    </row>
    <row r="264">
      <c r="A264" s="7" t="n"/>
      <c r="B264" s="7" t="n"/>
      <c r="C264" s="7" t="n"/>
      <c r="D264" s="7" t="n"/>
      <c r="E264" s="7" t="n"/>
      <c r="F264" s="8" t="n"/>
      <c r="G264" s="7" t="n"/>
      <c r="H264" s="7" t="n"/>
      <c r="I264" s="9" t="n"/>
    </row>
    <row r="265">
      <c r="A265" s="7" t="n"/>
      <c r="B265" s="7" t="n"/>
      <c r="C265" s="7" t="n"/>
      <c r="D265" s="7" t="n"/>
      <c r="E265" s="7" t="n"/>
      <c r="F265" s="8" t="n"/>
      <c r="G265" s="7" t="n"/>
      <c r="H265" s="7" t="n"/>
      <c r="I265" s="9" t="n"/>
    </row>
    <row r="266">
      <c r="A266" s="7" t="n"/>
      <c r="B266" s="7" t="n"/>
      <c r="C266" s="7" t="n"/>
      <c r="D266" s="7" t="n"/>
      <c r="E266" s="7" t="n"/>
      <c r="F266" s="8" t="n"/>
      <c r="G266" s="7" t="n"/>
      <c r="H266" s="7" t="n"/>
      <c r="I266" s="9" t="n"/>
    </row>
    <row r="267">
      <c r="A267" s="7" t="n"/>
      <c r="B267" s="7" t="n"/>
      <c r="C267" s="7" t="n"/>
      <c r="D267" s="7" t="n"/>
      <c r="E267" s="7" t="n"/>
      <c r="F267" s="8" t="n"/>
      <c r="G267" s="7" t="n"/>
      <c r="H267" s="7" t="n"/>
      <c r="I267" s="9" t="n"/>
    </row>
    <row r="268">
      <c r="A268" s="7" t="n"/>
      <c r="B268" s="7" t="n"/>
      <c r="C268" s="7" t="n"/>
      <c r="D268" s="7" t="n"/>
      <c r="E268" s="7" t="n"/>
      <c r="F268" s="8" t="n"/>
      <c r="G268" s="7" t="n"/>
      <c r="H268" s="7" t="n"/>
      <c r="I268" s="9" t="n"/>
    </row>
    <row r="269">
      <c r="A269" s="7" t="n"/>
      <c r="B269" s="7" t="n"/>
      <c r="C269" s="7" t="n"/>
      <c r="D269" s="7" t="n"/>
      <c r="E269" s="7" t="n"/>
      <c r="F269" s="8" t="n"/>
      <c r="G269" s="7" t="n"/>
      <c r="H269" s="7" t="n"/>
      <c r="I269" s="9" t="n"/>
    </row>
    <row r="270">
      <c r="A270" s="7" t="n"/>
      <c r="B270" s="7" t="n"/>
      <c r="C270" s="7" t="n"/>
      <c r="D270" s="7" t="n"/>
      <c r="E270" s="7" t="n"/>
      <c r="F270" s="8" t="n"/>
      <c r="G270" s="7" t="n"/>
      <c r="H270" s="7" t="n"/>
      <c r="I270" s="9" t="n"/>
    </row>
    <row r="271">
      <c r="A271" s="7" t="n"/>
      <c r="B271" s="7" t="n"/>
      <c r="C271" s="7" t="n"/>
      <c r="D271" s="7" t="n"/>
      <c r="E271" s="7" t="n"/>
      <c r="F271" s="8" t="n"/>
      <c r="G271" s="7" t="n"/>
      <c r="H271" s="7" t="n"/>
      <c r="I271" s="9" t="n"/>
    </row>
    <row r="272">
      <c r="A272" s="7" t="n"/>
      <c r="B272" s="7" t="n"/>
      <c r="C272" s="7" t="n"/>
      <c r="D272" s="7" t="n"/>
      <c r="E272" s="7" t="n"/>
      <c r="F272" s="8" t="n"/>
      <c r="G272" s="7" t="n"/>
      <c r="H272" s="7" t="n"/>
      <c r="I272" s="9" t="n"/>
    </row>
    <row r="273">
      <c r="A273" s="7" t="n"/>
      <c r="B273" s="7" t="n"/>
      <c r="C273" s="7" t="n"/>
      <c r="D273" s="7" t="n"/>
      <c r="E273" s="7" t="n"/>
      <c r="F273" s="8" t="n"/>
      <c r="G273" s="7" t="n"/>
      <c r="H273" s="7" t="n"/>
      <c r="I273" s="9" t="n"/>
    </row>
    <row r="274">
      <c r="A274" s="7" t="n"/>
      <c r="B274" s="7" t="n"/>
      <c r="C274" s="7" t="n"/>
      <c r="D274" s="7" t="n"/>
      <c r="E274" s="7" t="n"/>
      <c r="F274" s="8" t="n"/>
      <c r="G274" s="7" t="n"/>
      <c r="H274" s="7" t="n"/>
      <c r="I274" s="9" t="n"/>
    </row>
    <row r="275">
      <c r="A275" s="7" t="n"/>
      <c r="B275" s="7" t="n"/>
      <c r="C275" s="7" t="n"/>
      <c r="D275" s="7" t="n"/>
      <c r="E275" s="7" t="n"/>
      <c r="F275" s="8" t="n"/>
      <c r="G275" s="7" t="n"/>
      <c r="H275" s="7" t="n"/>
      <c r="I275" s="9" t="n"/>
    </row>
    <row r="276">
      <c r="A276" s="7" t="n"/>
      <c r="B276" s="7" t="n"/>
      <c r="C276" s="7" t="n"/>
      <c r="D276" s="7" t="n"/>
      <c r="E276" s="7" t="n"/>
      <c r="F276" s="8" t="n"/>
      <c r="G276" s="7" t="n"/>
      <c r="H276" s="7" t="n"/>
      <c r="I276" s="9" t="n"/>
    </row>
    <row r="277">
      <c r="A277" s="7" t="n"/>
      <c r="B277" s="7" t="n"/>
      <c r="C277" s="7" t="n"/>
      <c r="D277" s="7" t="n"/>
      <c r="E277" s="7" t="n"/>
      <c r="F277" s="8" t="n"/>
      <c r="G277" s="7" t="n"/>
      <c r="H277" s="7" t="n"/>
      <c r="I277" s="9" t="n"/>
    </row>
    <row r="278">
      <c r="A278" s="7" t="n"/>
      <c r="B278" s="7" t="n"/>
      <c r="C278" s="7" t="n"/>
      <c r="D278" s="7" t="n"/>
      <c r="E278" s="7" t="n"/>
      <c r="F278" s="8" t="n"/>
      <c r="G278" s="7" t="n"/>
      <c r="H278" s="7" t="n"/>
      <c r="I278" s="9" t="n"/>
    </row>
    <row r="279">
      <c r="A279" s="7" t="n"/>
      <c r="B279" s="7" t="n"/>
      <c r="C279" s="7" t="n"/>
      <c r="D279" s="7" t="n"/>
      <c r="E279" s="7" t="n"/>
      <c r="F279" s="8" t="n"/>
      <c r="G279" s="7" t="n"/>
      <c r="H279" s="7" t="n"/>
      <c r="I279" s="9" t="n"/>
    </row>
    <row r="280">
      <c r="A280" s="7" t="n"/>
      <c r="B280" s="7" t="n"/>
      <c r="C280" s="7" t="n"/>
      <c r="D280" s="7" t="n"/>
      <c r="E280" s="7" t="n"/>
      <c r="F280" s="8" t="n"/>
      <c r="G280" s="7" t="n"/>
      <c r="H280" s="7" t="n"/>
      <c r="I280" s="9" t="n"/>
    </row>
    <row r="281">
      <c r="A281" s="7" t="n"/>
      <c r="B281" s="7" t="n"/>
      <c r="C281" s="7" t="n"/>
      <c r="D281" s="7" t="n"/>
      <c r="E281" s="7" t="n"/>
      <c r="F281" s="8" t="n"/>
      <c r="G281" s="7" t="n"/>
      <c r="H281" s="7" t="n"/>
      <c r="I281" s="9" t="n"/>
    </row>
    <row r="282">
      <c r="A282" s="7" t="n"/>
      <c r="B282" s="7" t="n"/>
      <c r="C282" s="7" t="n"/>
      <c r="D282" s="7" t="n"/>
      <c r="E282" s="7" t="n"/>
      <c r="F282" s="8" t="n"/>
      <c r="G282" s="7" t="n"/>
      <c r="H282" s="7" t="n"/>
      <c r="I282" s="9" t="n"/>
    </row>
    <row r="283">
      <c r="A283" s="7" t="n"/>
      <c r="B283" s="7" t="n"/>
      <c r="C283" s="7" t="n"/>
      <c r="D283" s="7" t="n"/>
      <c r="E283" s="7" t="n"/>
      <c r="F283" s="8" t="n"/>
      <c r="G283" s="7" t="n"/>
      <c r="H283" s="7" t="n"/>
      <c r="I283" s="9" t="n"/>
    </row>
    <row r="284">
      <c r="A284" s="7" t="n"/>
      <c r="B284" s="7" t="n"/>
      <c r="C284" s="7" t="n"/>
      <c r="D284" s="7" t="n"/>
      <c r="E284" s="7" t="n"/>
      <c r="F284" s="8" t="n"/>
      <c r="G284" s="7" t="n"/>
      <c r="H284" s="7" t="n"/>
      <c r="I284" s="9" t="n"/>
    </row>
    <row r="285">
      <c r="A285" s="7" t="n"/>
      <c r="B285" s="7" t="n"/>
      <c r="C285" s="7" t="n"/>
      <c r="D285" s="7" t="n"/>
      <c r="E285" s="7" t="n"/>
      <c r="F285" s="8" t="n"/>
      <c r="G285" s="7" t="n"/>
      <c r="H285" s="7" t="n"/>
      <c r="I285" s="9" t="n"/>
    </row>
    <row r="286">
      <c r="A286" s="7" t="n"/>
      <c r="B286" s="7" t="n"/>
      <c r="C286" s="7" t="n"/>
      <c r="D286" s="7" t="n"/>
      <c r="E286" s="7" t="n"/>
      <c r="F286" s="8" t="n"/>
      <c r="G286" s="7" t="n"/>
      <c r="H286" s="7" t="n"/>
      <c r="I286" s="9" t="n"/>
    </row>
    <row r="287">
      <c r="A287" s="7" t="n"/>
      <c r="B287" s="7" t="n"/>
      <c r="C287" s="7" t="n"/>
      <c r="D287" s="7" t="n"/>
      <c r="E287" s="7" t="n"/>
      <c r="F287" s="8" t="n"/>
      <c r="G287" s="7" t="n"/>
      <c r="H287" s="7" t="n"/>
      <c r="I287" s="9" t="n"/>
    </row>
    <row r="288">
      <c r="A288" s="7" t="n"/>
      <c r="B288" s="7" t="n"/>
      <c r="C288" s="7" t="n"/>
      <c r="D288" s="7" t="n"/>
      <c r="E288" s="7" t="n"/>
      <c r="F288" s="8" t="n"/>
      <c r="G288" s="7" t="n"/>
      <c r="H288" s="7" t="n"/>
      <c r="I288" s="9" t="n"/>
    </row>
    <row r="289">
      <c r="A289" s="7" t="n"/>
      <c r="B289" s="7" t="n"/>
      <c r="C289" s="7" t="n"/>
      <c r="D289" s="7" t="n"/>
      <c r="E289" s="7" t="n"/>
      <c r="F289" s="8" t="n"/>
      <c r="G289" s="7" t="n"/>
      <c r="H289" s="7" t="n"/>
      <c r="I289" s="9" t="n"/>
    </row>
    <row r="290">
      <c r="A290" s="7" t="n"/>
      <c r="B290" s="7" t="n"/>
      <c r="C290" s="7" t="n"/>
      <c r="D290" s="7" t="n"/>
      <c r="E290" s="7" t="n"/>
      <c r="F290" s="8" t="n"/>
      <c r="G290" s="7" t="n"/>
      <c r="H290" s="7" t="n"/>
      <c r="I290" s="9" t="n"/>
    </row>
    <row r="291">
      <c r="A291" s="7" t="n"/>
      <c r="B291" s="7" t="n"/>
      <c r="C291" s="7" t="n"/>
      <c r="D291" s="7" t="n"/>
      <c r="E291" s="7" t="n"/>
      <c r="F291" s="8" t="n"/>
      <c r="G291" s="7" t="n"/>
      <c r="H291" s="7" t="n"/>
      <c r="I291" s="9" t="n"/>
    </row>
    <row r="292">
      <c r="A292" s="7" t="n"/>
      <c r="B292" s="7" t="n"/>
      <c r="C292" s="7" t="n"/>
      <c r="D292" s="7" t="n"/>
      <c r="E292" s="7" t="n"/>
      <c r="F292" s="8" t="n"/>
      <c r="G292" s="7" t="n"/>
      <c r="H292" s="7" t="n"/>
      <c r="I292" s="9" t="n"/>
    </row>
    <row r="293">
      <c r="A293" s="7" t="n"/>
      <c r="B293" s="7" t="n"/>
      <c r="C293" s="7" t="n"/>
      <c r="D293" s="7" t="n"/>
      <c r="E293" s="7" t="n"/>
      <c r="F293" s="8" t="n"/>
      <c r="G293" s="7" t="n"/>
      <c r="H293" s="7" t="n"/>
      <c r="I293" s="9" t="n"/>
    </row>
    <row r="294">
      <c r="A294" s="7" t="n"/>
      <c r="B294" s="7" t="n"/>
      <c r="C294" s="7" t="n"/>
      <c r="D294" s="7" t="n"/>
      <c r="E294" s="7" t="n"/>
      <c r="F294" s="8" t="n"/>
      <c r="G294" s="7" t="n"/>
      <c r="H294" s="7" t="n"/>
      <c r="I294" s="9" t="n"/>
    </row>
    <row r="295">
      <c r="A295" s="7" t="n"/>
      <c r="B295" s="7" t="n"/>
      <c r="C295" s="7" t="n"/>
      <c r="D295" s="7" t="n"/>
      <c r="E295" s="7" t="n"/>
      <c r="F295" s="8" t="n"/>
      <c r="G295" s="7" t="n"/>
      <c r="H295" s="7" t="n"/>
      <c r="I295" s="9" t="n"/>
    </row>
    <row r="296">
      <c r="A296" s="7" t="n"/>
      <c r="B296" s="7" t="n"/>
      <c r="C296" s="7" t="n"/>
      <c r="D296" s="7" t="n"/>
      <c r="E296" s="7" t="n"/>
      <c r="F296" s="8" t="n"/>
      <c r="G296" s="7" t="n"/>
      <c r="H296" s="7" t="n"/>
      <c r="I296" s="9" t="n"/>
    </row>
    <row r="297">
      <c r="A297" s="7" t="n"/>
      <c r="B297" s="7" t="n"/>
      <c r="C297" s="7" t="n"/>
      <c r="D297" s="7" t="n"/>
      <c r="E297" s="7" t="n"/>
      <c r="F297" s="8" t="n"/>
      <c r="G297" s="7" t="n"/>
      <c r="H297" s="7" t="n"/>
      <c r="I297" s="9" t="n"/>
    </row>
    <row r="298">
      <c r="A298" s="7" t="n"/>
      <c r="B298" s="7" t="n"/>
      <c r="C298" s="7" t="n"/>
      <c r="D298" s="7" t="n"/>
      <c r="E298" s="7" t="n"/>
      <c r="F298" s="8" t="n"/>
      <c r="G298" s="7" t="n"/>
      <c r="H298" s="7" t="n"/>
      <c r="I298" s="9" t="n"/>
    </row>
    <row r="299">
      <c r="A299" s="7" t="n"/>
      <c r="B299" s="7" t="n"/>
      <c r="C299" s="7" t="n"/>
      <c r="D299" s="7" t="n"/>
      <c r="E299" s="7" t="n"/>
      <c r="F299" s="8" t="n"/>
      <c r="G299" s="7" t="n"/>
      <c r="H299" s="7" t="n"/>
      <c r="I299" s="9" t="n"/>
    </row>
    <row r="300">
      <c r="A300" s="7" t="n"/>
      <c r="B300" s="7" t="n"/>
      <c r="C300" s="7" t="n"/>
      <c r="D300" s="7" t="n"/>
      <c r="E300" s="7" t="n"/>
      <c r="F300" s="8" t="n"/>
      <c r="G300" s="7" t="n"/>
      <c r="H300" s="7" t="n"/>
      <c r="I300" s="9" t="n"/>
    </row>
    <row r="301">
      <c r="A301" s="7" t="n"/>
      <c r="B301" s="7" t="n"/>
      <c r="C301" s="7" t="n"/>
      <c r="D301" s="7" t="n"/>
      <c r="E301" s="7" t="n"/>
      <c r="F301" s="8" t="n"/>
      <c r="G301" s="7" t="n"/>
      <c r="H301" s="7" t="n"/>
      <c r="I301" s="9" t="n"/>
    </row>
    <row r="302">
      <c r="A302" s="7" t="n"/>
      <c r="B302" s="7" t="n"/>
      <c r="C302" s="7" t="n"/>
      <c r="D302" s="7" t="n"/>
      <c r="E302" s="7" t="n"/>
      <c r="F302" s="8" t="n"/>
      <c r="G302" s="7" t="n"/>
      <c r="H302" s="7" t="n"/>
      <c r="I302" s="9" t="n"/>
    </row>
    <row r="303">
      <c r="A303" s="7" t="n"/>
      <c r="B303" s="7" t="n"/>
      <c r="C303" s="7" t="n"/>
      <c r="D303" s="7" t="n"/>
      <c r="E303" s="7" t="n"/>
      <c r="F303" s="8" t="n"/>
      <c r="G303" s="7" t="n"/>
      <c r="H303" s="7" t="n"/>
      <c r="I303" s="9" t="n"/>
    </row>
    <row r="304">
      <c r="A304" s="7" t="n"/>
      <c r="B304" s="7" t="n"/>
      <c r="C304" s="7" t="n"/>
      <c r="D304" s="7" t="n"/>
      <c r="E304" s="7" t="n"/>
      <c r="F304" s="8" t="n"/>
      <c r="G304" s="7" t="n"/>
      <c r="H304" s="7" t="n"/>
      <c r="I304" s="9" t="n"/>
    </row>
    <row r="305">
      <c r="A305" s="7" t="n"/>
      <c r="B305" s="7" t="n"/>
      <c r="C305" s="7" t="n"/>
      <c r="D305" s="7" t="n"/>
      <c r="E305" s="7" t="n"/>
      <c r="F305" s="8" t="n"/>
      <c r="G305" s="7" t="n"/>
      <c r="H305" s="7" t="n"/>
      <c r="I305" s="9" t="n"/>
    </row>
    <row r="306">
      <c r="A306" s="7" t="n"/>
      <c r="B306" s="7" t="n"/>
      <c r="C306" s="7" t="n"/>
      <c r="D306" s="7" t="n"/>
      <c r="E306" s="7" t="n"/>
      <c r="F306" s="8" t="n"/>
      <c r="G306" s="7" t="n"/>
      <c r="H306" s="7" t="n"/>
      <c r="I306" s="9" t="n"/>
    </row>
    <row r="307">
      <c r="A307" s="7" t="n"/>
      <c r="B307" s="7" t="n"/>
      <c r="C307" s="7" t="n"/>
      <c r="D307" s="7" t="n"/>
      <c r="E307" s="7" t="n"/>
      <c r="F307" s="8" t="n"/>
      <c r="G307" s="7" t="n"/>
      <c r="H307" s="7" t="n"/>
      <c r="I307" s="9" t="n"/>
    </row>
    <row r="308">
      <c r="A308" s="7" t="n"/>
      <c r="B308" s="7" t="n"/>
      <c r="C308" s="7" t="n"/>
      <c r="D308" s="7" t="n"/>
      <c r="E308" s="7" t="n"/>
      <c r="F308" s="8" t="n"/>
      <c r="G308" s="7" t="n"/>
      <c r="H308" s="7" t="n"/>
      <c r="I308" s="9" t="n"/>
    </row>
    <row r="309">
      <c r="A309" s="7" t="n"/>
      <c r="B309" s="7" t="n"/>
      <c r="C309" s="7" t="n"/>
      <c r="D309" s="7" t="n"/>
      <c r="E309" s="7" t="n"/>
      <c r="F309" s="8" t="n"/>
      <c r="G309" s="7" t="n"/>
      <c r="H309" s="7" t="n"/>
      <c r="I309" s="9" t="n"/>
    </row>
    <row r="310">
      <c r="A310" s="7" t="n"/>
      <c r="B310" s="7" t="n"/>
      <c r="C310" s="7" t="n"/>
      <c r="D310" s="7" t="n"/>
      <c r="E310" s="7" t="n"/>
      <c r="F310" s="8" t="n"/>
      <c r="G310" s="7" t="n"/>
      <c r="H310" s="7" t="n"/>
      <c r="I310" s="9" t="n"/>
    </row>
    <row r="311">
      <c r="A311" s="7" t="n"/>
      <c r="B311" s="7" t="n"/>
      <c r="C311" s="7" t="n"/>
      <c r="D311" s="7" t="n"/>
      <c r="E311" s="7" t="n"/>
      <c r="F311" s="8" t="n"/>
      <c r="G311" s="7" t="n"/>
      <c r="H311" s="7" t="n"/>
      <c r="I311" s="9" t="n"/>
    </row>
    <row r="312">
      <c r="A312" s="7" t="n"/>
      <c r="B312" s="7" t="n"/>
      <c r="C312" s="7" t="n"/>
      <c r="D312" s="7" t="n"/>
      <c r="E312" s="7" t="n"/>
      <c r="F312" s="8" t="n"/>
      <c r="G312" s="7" t="n"/>
      <c r="H312" s="7" t="n"/>
      <c r="I312" s="9" t="n"/>
    </row>
    <row r="313">
      <c r="A313" s="7" t="n"/>
      <c r="B313" s="7" t="n"/>
      <c r="C313" s="7" t="n"/>
      <c r="D313" s="7" t="n"/>
      <c r="E313" s="7" t="n"/>
      <c r="F313" s="8" t="n"/>
      <c r="G313" s="7" t="n"/>
      <c r="H313" s="7" t="n"/>
      <c r="I313" s="9" t="n"/>
    </row>
    <row r="314">
      <c r="A314" s="7" t="n"/>
      <c r="B314" s="7" t="n"/>
      <c r="C314" s="7" t="n"/>
      <c r="D314" s="7" t="n"/>
      <c r="E314" s="7" t="n"/>
      <c r="F314" s="8" t="n"/>
      <c r="G314" s="7" t="n"/>
      <c r="H314" s="7" t="n"/>
      <c r="I314" s="9" t="n"/>
    </row>
    <row r="315">
      <c r="A315" s="7" t="n"/>
      <c r="B315" s="7" t="n"/>
      <c r="C315" s="7" t="n"/>
      <c r="D315" s="7" t="n"/>
      <c r="E315" s="7" t="n"/>
      <c r="F315" s="8" t="n"/>
      <c r="G315" s="7" t="n"/>
      <c r="H315" s="7" t="n"/>
      <c r="I315" s="9" t="n"/>
    </row>
    <row r="316">
      <c r="A316" s="7" t="n"/>
      <c r="B316" s="7" t="n"/>
      <c r="C316" s="7" t="n"/>
      <c r="D316" s="7" t="n"/>
      <c r="E316" s="7" t="n"/>
      <c r="F316" s="8" t="n"/>
      <c r="G316" s="7" t="n"/>
      <c r="H316" s="7" t="n"/>
      <c r="I316" s="9" t="n"/>
    </row>
    <row r="317">
      <c r="A317" s="7" t="n"/>
      <c r="B317" s="7" t="n"/>
      <c r="C317" s="7" t="n"/>
      <c r="D317" s="7" t="n"/>
      <c r="E317" s="7" t="n"/>
      <c r="F317" s="8" t="n"/>
      <c r="G317" s="7" t="n"/>
      <c r="H317" s="7" t="n"/>
      <c r="I317" s="9" t="n"/>
    </row>
    <row r="318">
      <c r="A318" s="7" t="n"/>
      <c r="B318" s="7" t="n"/>
      <c r="C318" s="7" t="n"/>
      <c r="D318" s="7" t="n"/>
      <c r="E318" s="7" t="n"/>
      <c r="F318" s="8" t="n"/>
      <c r="G318" s="7" t="n"/>
      <c r="H318" s="7" t="n"/>
      <c r="I318" s="9" t="n"/>
    </row>
    <row r="319">
      <c r="A319" s="7" t="n"/>
      <c r="B319" s="7" t="n"/>
      <c r="C319" s="7" t="n"/>
      <c r="D319" s="7" t="n"/>
      <c r="E319" s="7" t="n"/>
      <c r="F319" s="8" t="n"/>
      <c r="G319" s="7" t="n"/>
      <c r="H319" s="7" t="n"/>
      <c r="I319" s="9" t="n"/>
    </row>
    <row r="320">
      <c r="A320" s="7" t="n"/>
      <c r="B320" s="7" t="n"/>
      <c r="C320" s="7" t="n"/>
      <c r="D320" s="7" t="n"/>
      <c r="E320" s="7" t="n"/>
      <c r="F320" s="8" t="n"/>
      <c r="G320" s="7" t="n"/>
      <c r="H320" s="7" t="n"/>
      <c r="I320" s="9" t="n"/>
    </row>
    <row r="321">
      <c r="A321" s="7" t="n"/>
      <c r="B321" s="7" t="n"/>
      <c r="C321" s="7" t="n"/>
      <c r="D321" s="7" t="n"/>
      <c r="E321" s="7" t="n"/>
      <c r="F321" s="8" t="n"/>
      <c r="G321" s="7" t="n"/>
      <c r="H321" s="7" t="n"/>
      <c r="I321" s="9" t="n"/>
    </row>
    <row r="322">
      <c r="A322" s="7" t="n"/>
      <c r="B322" s="7" t="n"/>
      <c r="C322" s="7" t="n"/>
      <c r="D322" s="7" t="n"/>
      <c r="E322" s="7" t="n"/>
      <c r="F322" s="8" t="n"/>
      <c r="G322" s="7" t="n"/>
      <c r="H322" s="7" t="n"/>
      <c r="I322" s="9" t="n"/>
    </row>
    <row r="323">
      <c r="A323" s="7" t="n"/>
      <c r="B323" s="7" t="n"/>
      <c r="C323" s="7" t="n"/>
      <c r="D323" s="7" t="n"/>
      <c r="E323" s="7" t="n"/>
      <c r="F323" s="8" t="n"/>
      <c r="G323" s="7" t="n"/>
      <c r="H323" s="7" t="n"/>
      <c r="I323" s="9" t="n"/>
    </row>
    <row r="324">
      <c r="A324" s="7" t="n"/>
      <c r="B324" s="7" t="n"/>
      <c r="C324" s="7" t="n"/>
      <c r="D324" s="7" t="n"/>
      <c r="E324" s="7" t="n"/>
      <c r="F324" s="8" t="n"/>
      <c r="G324" s="7" t="n"/>
      <c r="H324" s="7" t="n"/>
      <c r="I324" s="9" t="n"/>
    </row>
    <row r="325">
      <c r="A325" s="7" t="n"/>
      <c r="B325" s="7" t="n"/>
      <c r="C325" s="7" t="n"/>
      <c r="D325" s="7" t="n"/>
      <c r="E325" s="7" t="n"/>
      <c r="F325" s="8" t="n"/>
      <c r="G325" s="7" t="n"/>
      <c r="H325" s="7" t="n"/>
      <c r="I325" s="9" t="n"/>
    </row>
    <row r="326">
      <c r="A326" s="7" t="n"/>
      <c r="B326" s="7" t="n"/>
      <c r="C326" s="7" t="n"/>
      <c r="D326" s="7" t="n"/>
      <c r="E326" s="7" t="n"/>
      <c r="F326" s="8" t="n"/>
      <c r="G326" s="7" t="n"/>
      <c r="H326" s="7" t="n"/>
      <c r="I326" s="9" t="n"/>
    </row>
    <row r="327">
      <c r="A327" s="7" t="n"/>
      <c r="B327" s="7" t="n"/>
      <c r="C327" s="7" t="n"/>
      <c r="D327" s="7" t="n"/>
      <c r="E327" s="7" t="n"/>
      <c r="F327" s="8" t="n"/>
      <c r="G327" s="7" t="n"/>
      <c r="H327" s="7" t="n"/>
      <c r="I327" s="9" t="n"/>
    </row>
    <row r="328">
      <c r="A328" s="7" t="n"/>
      <c r="B328" s="7" t="n"/>
      <c r="C328" s="7" t="n"/>
      <c r="D328" s="7" t="n"/>
      <c r="E328" s="7" t="n"/>
      <c r="F328" s="8" t="n"/>
      <c r="G328" s="7" t="n"/>
      <c r="H328" s="7" t="n"/>
      <c r="I328" s="9" t="n"/>
    </row>
    <row r="329">
      <c r="A329" s="7" t="n"/>
      <c r="B329" s="7" t="n"/>
      <c r="C329" s="7" t="n"/>
      <c r="D329" s="7" t="n"/>
      <c r="E329" s="7" t="n"/>
      <c r="F329" s="8" t="n"/>
      <c r="G329" s="7" t="n"/>
      <c r="H329" s="7" t="n"/>
      <c r="I329" s="9" t="n"/>
    </row>
    <row r="330">
      <c r="A330" s="7" t="n"/>
      <c r="B330" s="7" t="n"/>
      <c r="C330" s="7" t="n"/>
      <c r="D330" s="7" t="n"/>
      <c r="E330" s="7" t="n"/>
      <c r="F330" s="8" t="n"/>
      <c r="G330" s="7" t="n"/>
      <c r="H330" s="7" t="n"/>
      <c r="I330" s="9" t="n"/>
    </row>
    <row r="331">
      <c r="A331" s="7" t="n"/>
      <c r="B331" s="7" t="n"/>
      <c r="C331" s="7" t="n"/>
      <c r="D331" s="7" t="n"/>
      <c r="E331" s="7" t="n"/>
      <c r="F331" s="8" t="n"/>
      <c r="G331" s="7" t="n"/>
      <c r="H331" s="7" t="n"/>
      <c r="I331" s="9" t="n"/>
    </row>
    <row r="332">
      <c r="A332" s="7" t="n"/>
      <c r="B332" s="7" t="n"/>
      <c r="C332" s="7" t="n"/>
      <c r="D332" s="7" t="n"/>
      <c r="E332" s="7" t="n"/>
      <c r="F332" s="8" t="n"/>
      <c r="G332" s="7" t="n"/>
      <c r="H332" s="7" t="n"/>
      <c r="I332" s="9" t="n"/>
    </row>
    <row r="333">
      <c r="A333" s="7" t="n"/>
      <c r="B333" s="7" t="n"/>
      <c r="C333" s="7" t="n"/>
      <c r="D333" s="7" t="n"/>
      <c r="E333" s="7" t="n"/>
      <c r="F333" s="8" t="n"/>
      <c r="G333" s="7" t="n"/>
      <c r="H333" s="7" t="n"/>
      <c r="I333" s="9" t="n"/>
    </row>
    <row r="334">
      <c r="A334" s="7" t="n"/>
      <c r="B334" s="7" t="n"/>
      <c r="C334" s="7" t="n"/>
      <c r="D334" s="7" t="n"/>
      <c r="E334" s="7" t="n"/>
      <c r="F334" s="8" t="n"/>
      <c r="G334" s="7" t="n"/>
      <c r="H334" s="7" t="n"/>
      <c r="I334" s="9" t="n"/>
    </row>
    <row r="335">
      <c r="A335" s="7" t="n"/>
      <c r="B335" s="7" t="n"/>
      <c r="C335" s="7" t="n"/>
      <c r="D335" s="7" t="n"/>
      <c r="E335" s="7" t="n"/>
      <c r="F335" s="8" t="n"/>
      <c r="G335" s="7" t="n"/>
      <c r="H335" s="7" t="n"/>
      <c r="I335" s="9" t="n"/>
    </row>
    <row r="336">
      <c r="A336" s="7" t="n"/>
      <c r="B336" s="7" t="n"/>
      <c r="C336" s="7" t="n"/>
      <c r="D336" s="7" t="n"/>
      <c r="E336" s="7" t="n"/>
      <c r="F336" s="8" t="n"/>
      <c r="G336" s="7" t="n"/>
      <c r="H336" s="7" t="n"/>
      <c r="I336" s="9" t="n"/>
    </row>
    <row r="337">
      <c r="A337" s="7" t="n"/>
      <c r="B337" s="7" t="n"/>
      <c r="C337" s="7" t="n"/>
      <c r="D337" s="7" t="n"/>
      <c r="E337" s="7" t="n"/>
      <c r="F337" s="8" t="n"/>
      <c r="G337" s="7" t="n"/>
      <c r="H337" s="7" t="n"/>
      <c r="I337" s="9" t="n"/>
    </row>
    <row r="338">
      <c r="A338" s="7" t="n"/>
      <c r="B338" s="7" t="n"/>
      <c r="C338" s="7" t="n"/>
      <c r="D338" s="7" t="n"/>
      <c r="E338" s="7" t="n"/>
      <c r="F338" s="8" t="n"/>
      <c r="G338" s="7" t="n"/>
      <c r="H338" s="7" t="n"/>
      <c r="I338" s="9" t="n"/>
    </row>
    <row r="339">
      <c r="A339" s="7" t="n"/>
      <c r="B339" s="7" t="n"/>
      <c r="C339" s="7" t="n"/>
      <c r="D339" s="7" t="n"/>
      <c r="E339" s="7" t="n"/>
      <c r="F339" s="8" t="n"/>
      <c r="G339" s="7" t="n"/>
      <c r="H339" s="7" t="n"/>
      <c r="I339" s="9" t="n"/>
    </row>
    <row r="340">
      <c r="A340" s="7" t="n"/>
      <c r="B340" s="7" t="n"/>
      <c r="C340" s="7" t="n"/>
      <c r="D340" s="7" t="n"/>
      <c r="E340" s="7" t="n"/>
      <c r="F340" s="8" t="n"/>
      <c r="G340" s="7" t="n"/>
      <c r="H340" s="7" t="n"/>
      <c r="I340" s="9" t="n"/>
    </row>
    <row r="341">
      <c r="A341" s="7" t="n"/>
      <c r="B341" s="7" t="n"/>
      <c r="C341" s="7" t="n"/>
      <c r="D341" s="7" t="n"/>
      <c r="E341" s="7" t="n"/>
      <c r="F341" s="8" t="n"/>
      <c r="G341" s="7" t="n"/>
      <c r="H341" s="7" t="n"/>
      <c r="I341" s="9" t="n"/>
    </row>
    <row r="342">
      <c r="A342" s="7" t="n"/>
      <c r="B342" s="7" t="n"/>
      <c r="C342" s="7" t="n"/>
      <c r="D342" s="7" t="n"/>
      <c r="E342" s="7" t="n"/>
      <c r="F342" s="8" t="n"/>
      <c r="G342" s="7" t="n"/>
      <c r="H342" s="7" t="n"/>
      <c r="I342" s="9" t="n"/>
    </row>
    <row r="343">
      <c r="A343" s="7" t="n"/>
      <c r="B343" s="7" t="n"/>
      <c r="C343" s="7" t="n"/>
      <c r="D343" s="7" t="n"/>
      <c r="E343" s="7" t="n"/>
      <c r="F343" s="8" t="n"/>
      <c r="G343" s="7" t="n"/>
      <c r="H343" s="7" t="n"/>
      <c r="I343" s="9" t="n"/>
    </row>
    <row r="344">
      <c r="A344" s="7" t="n"/>
      <c r="B344" s="7" t="n"/>
      <c r="C344" s="7" t="n"/>
      <c r="D344" s="7" t="n"/>
      <c r="E344" s="7" t="n"/>
      <c r="F344" s="8" t="n"/>
      <c r="G344" s="7" t="n"/>
      <c r="H344" s="7" t="n"/>
      <c r="I344" s="9" t="n"/>
    </row>
    <row r="345">
      <c r="A345" s="7" t="n"/>
      <c r="B345" s="7" t="n"/>
      <c r="C345" s="7" t="n"/>
      <c r="D345" s="7" t="n"/>
      <c r="E345" s="7" t="n"/>
      <c r="F345" s="8" t="n"/>
      <c r="G345" s="7" t="n"/>
      <c r="H345" s="7" t="n"/>
      <c r="I345" s="9" t="n"/>
    </row>
    <row r="346">
      <c r="A346" s="7" t="n"/>
      <c r="B346" s="7" t="n"/>
      <c r="C346" s="7" t="n"/>
      <c r="D346" s="7" t="n"/>
      <c r="E346" s="7" t="n"/>
      <c r="F346" s="8" t="n"/>
      <c r="G346" s="7" t="n"/>
      <c r="H346" s="7" t="n"/>
      <c r="I346" s="9" t="n"/>
    </row>
    <row r="347">
      <c r="A347" s="7" t="n"/>
      <c r="B347" s="7" t="n"/>
      <c r="C347" s="7" t="n"/>
      <c r="D347" s="7" t="n"/>
      <c r="E347" s="7" t="n"/>
      <c r="F347" s="8" t="n"/>
      <c r="G347" s="7" t="n"/>
      <c r="H347" s="7" t="n"/>
      <c r="I347" s="9" t="n"/>
    </row>
    <row r="348">
      <c r="A348" s="7" t="n"/>
      <c r="B348" s="7" t="n"/>
      <c r="C348" s="7" t="n"/>
      <c r="D348" s="7" t="n"/>
      <c r="E348" s="7" t="n"/>
      <c r="F348" s="8" t="n"/>
      <c r="G348" s="7" t="n"/>
      <c r="H348" s="7" t="n"/>
      <c r="I348" s="9" t="n"/>
    </row>
    <row r="349">
      <c r="A349" s="7" t="n"/>
      <c r="B349" s="7" t="n"/>
      <c r="C349" s="7" t="n"/>
      <c r="D349" s="7" t="n"/>
      <c r="E349" s="7" t="n"/>
      <c r="F349" s="8" t="n"/>
      <c r="G349" s="7" t="n"/>
      <c r="H349" s="7" t="n"/>
      <c r="I349" s="9" t="n"/>
    </row>
    <row r="350">
      <c r="A350" s="7" t="n"/>
      <c r="B350" s="7" t="n"/>
      <c r="C350" s="7" t="n"/>
      <c r="D350" s="7" t="n"/>
      <c r="E350" s="7" t="n"/>
      <c r="F350" s="8" t="n"/>
      <c r="G350" s="7" t="n"/>
      <c r="H350" s="7" t="n"/>
      <c r="I350" s="9" t="n"/>
    </row>
    <row r="351">
      <c r="A351" s="7" t="n"/>
      <c r="B351" s="7" t="n"/>
      <c r="C351" s="7" t="n"/>
      <c r="D351" s="7" t="n"/>
      <c r="E351" s="7" t="n"/>
      <c r="F351" s="8" t="n"/>
      <c r="G351" s="7" t="n"/>
      <c r="H351" s="7" t="n"/>
      <c r="I351" s="9" t="n"/>
    </row>
    <row r="352">
      <c r="A352" s="7" t="n"/>
      <c r="B352" s="7" t="n"/>
      <c r="C352" s="7" t="n"/>
      <c r="D352" s="7" t="n"/>
      <c r="E352" s="7" t="n"/>
      <c r="F352" s="8" t="n"/>
      <c r="G352" s="7" t="n"/>
      <c r="H352" s="7" t="n"/>
      <c r="I352" s="9" t="n"/>
    </row>
    <row r="353">
      <c r="A353" s="7" t="n"/>
      <c r="B353" s="7" t="n"/>
      <c r="C353" s="7" t="n"/>
      <c r="D353" s="7" t="n"/>
      <c r="E353" s="7" t="n"/>
      <c r="F353" s="8" t="n"/>
      <c r="G353" s="7" t="n"/>
      <c r="H353" s="7" t="n"/>
      <c r="I353" s="9" t="n"/>
    </row>
    <row r="354">
      <c r="A354" s="7" t="n"/>
      <c r="B354" s="7" t="n"/>
      <c r="C354" s="7" t="n"/>
      <c r="D354" s="7" t="n"/>
      <c r="E354" s="7" t="n"/>
      <c r="F354" s="8" t="n"/>
      <c r="G354" s="7" t="n"/>
      <c r="H354" s="7" t="n"/>
      <c r="I354" s="9" t="n"/>
    </row>
    <row r="355">
      <c r="A355" s="7" t="n"/>
      <c r="B355" s="7" t="n"/>
      <c r="C355" s="7" t="n"/>
      <c r="D355" s="7" t="n"/>
      <c r="E355" s="7" t="n"/>
      <c r="F355" s="8" t="n"/>
      <c r="G355" s="7" t="n"/>
      <c r="H355" s="7" t="n"/>
      <c r="I355" s="9" t="n"/>
    </row>
    <row r="356">
      <c r="A356" s="7" t="n"/>
      <c r="B356" s="7" t="n"/>
      <c r="C356" s="7" t="n"/>
      <c r="D356" s="7" t="n"/>
      <c r="E356" s="7" t="n"/>
      <c r="F356" s="8" t="n"/>
      <c r="G356" s="7" t="n"/>
      <c r="H356" s="7" t="n"/>
      <c r="I356" s="9" t="n"/>
    </row>
    <row r="357">
      <c r="A357" s="7" t="n"/>
      <c r="B357" s="7" t="n"/>
      <c r="C357" s="7" t="n"/>
      <c r="D357" s="7" t="n"/>
      <c r="E357" s="7" t="n"/>
      <c r="F357" s="8" t="n"/>
      <c r="G357" s="7" t="n"/>
      <c r="H357" s="7" t="n"/>
      <c r="I357" s="9" t="n"/>
    </row>
    <row r="358">
      <c r="A358" s="7" t="n"/>
      <c r="B358" s="7" t="n"/>
      <c r="C358" s="7" t="n"/>
      <c r="D358" s="7" t="n"/>
      <c r="E358" s="7" t="n"/>
      <c r="F358" s="8" t="n"/>
      <c r="G358" s="7" t="n"/>
      <c r="H358" s="7" t="n"/>
      <c r="I358" s="9" t="n"/>
    </row>
    <row r="359">
      <c r="A359" s="7" t="n"/>
      <c r="B359" s="7" t="n"/>
      <c r="C359" s="7" t="n"/>
      <c r="D359" s="7" t="n"/>
      <c r="E359" s="7" t="n"/>
      <c r="F359" s="8" t="n"/>
      <c r="G359" s="7" t="n"/>
      <c r="H359" s="7" t="n"/>
      <c r="I359" s="9" t="n"/>
    </row>
    <row r="360">
      <c r="A360" s="7" t="n"/>
      <c r="B360" s="7" t="n"/>
      <c r="C360" s="7" t="n"/>
      <c r="D360" s="7" t="n"/>
      <c r="E360" s="7" t="n"/>
      <c r="F360" s="8" t="n"/>
      <c r="G360" s="7" t="n"/>
      <c r="H360" s="7" t="n"/>
      <c r="I360" s="9" t="n"/>
    </row>
    <row r="361">
      <c r="A361" s="7" t="n"/>
      <c r="B361" s="7" t="n"/>
      <c r="C361" s="7" t="n"/>
      <c r="D361" s="7" t="n"/>
      <c r="E361" s="7" t="n"/>
      <c r="F361" s="8" t="n"/>
      <c r="G361" s="7" t="n"/>
      <c r="H361" s="7" t="n"/>
      <c r="I361" s="9" t="n"/>
    </row>
    <row r="362">
      <c r="A362" s="7" t="n"/>
      <c r="B362" s="7" t="n"/>
      <c r="C362" s="7" t="n"/>
      <c r="D362" s="7" t="n"/>
      <c r="E362" s="7" t="n"/>
      <c r="F362" s="8" t="n"/>
      <c r="G362" s="7" t="n"/>
      <c r="H362" s="7" t="n"/>
      <c r="I362" s="9" t="n"/>
    </row>
    <row r="363">
      <c r="A363" s="7" t="n"/>
      <c r="B363" s="7" t="n"/>
      <c r="C363" s="7" t="n"/>
      <c r="D363" s="7" t="n"/>
      <c r="E363" s="7" t="n"/>
      <c r="F363" s="8" t="n"/>
      <c r="G363" s="7" t="n"/>
      <c r="H363" s="7" t="n"/>
      <c r="I363" s="9" t="n"/>
    </row>
    <row r="364">
      <c r="A364" s="7" t="n"/>
      <c r="B364" s="7" t="n"/>
      <c r="C364" s="7" t="n"/>
      <c r="D364" s="7" t="n"/>
      <c r="E364" s="7" t="n"/>
      <c r="F364" s="8" t="n"/>
      <c r="G364" s="7" t="n"/>
      <c r="H364" s="7" t="n"/>
      <c r="I364" s="9" t="n"/>
    </row>
    <row r="365">
      <c r="A365" s="7" t="n"/>
      <c r="B365" s="7" t="n"/>
      <c r="C365" s="7" t="n"/>
      <c r="D365" s="7" t="n"/>
      <c r="E365" s="7" t="n"/>
      <c r="F365" s="8" t="n"/>
      <c r="G365" s="7" t="n"/>
      <c r="H365" s="7" t="n"/>
      <c r="I365" s="9" t="n"/>
    </row>
    <row r="366">
      <c r="A366" s="7" t="n"/>
      <c r="B366" s="7" t="n"/>
      <c r="C366" s="7" t="n"/>
      <c r="D366" s="7" t="n"/>
      <c r="E366" s="7" t="n"/>
      <c r="F366" s="8" t="n"/>
      <c r="G366" s="7" t="n"/>
      <c r="H366" s="7" t="n"/>
      <c r="I366" s="9" t="n"/>
    </row>
    <row r="367">
      <c r="A367" s="7" t="n"/>
      <c r="B367" s="7" t="n"/>
      <c r="C367" s="7" t="n"/>
      <c r="D367" s="7" t="n"/>
      <c r="E367" s="7" t="n"/>
      <c r="F367" s="8" t="n"/>
      <c r="G367" s="7" t="n"/>
      <c r="H367" s="7" t="n"/>
      <c r="I367" s="9" t="n"/>
    </row>
    <row r="368">
      <c r="A368" s="7" t="n"/>
      <c r="B368" s="7" t="n"/>
      <c r="C368" s="7" t="n"/>
      <c r="D368" s="7" t="n"/>
      <c r="E368" s="7" t="n"/>
      <c r="F368" s="8" t="n"/>
      <c r="G368" s="7" t="n"/>
      <c r="H368" s="7" t="n"/>
      <c r="I368" s="9" t="n"/>
    </row>
    <row r="369">
      <c r="A369" s="7" t="n"/>
      <c r="B369" s="7" t="n"/>
      <c r="C369" s="7" t="n"/>
      <c r="D369" s="7" t="n"/>
      <c r="E369" s="7" t="n"/>
      <c r="F369" s="8" t="n"/>
      <c r="G369" s="7" t="n"/>
      <c r="H369" s="7" t="n"/>
      <c r="I369" s="9" t="n"/>
    </row>
    <row r="370">
      <c r="A370" s="7" t="n"/>
      <c r="B370" s="7" t="n"/>
      <c r="C370" s="7" t="n"/>
      <c r="D370" s="7" t="n"/>
      <c r="E370" s="7" t="n"/>
      <c r="F370" s="8" t="n"/>
      <c r="G370" s="7" t="n"/>
      <c r="H370" s="7" t="n"/>
      <c r="I370" s="9" t="n"/>
    </row>
    <row r="371">
      <c r="A371" s="7" t="n"/>
      <c r="B371" s="7" t="n"/>
      <c r="C371" s="7" t="n"/>
      <c r="D371" s="7" t="n"/>
      <c r="E371" s="7" t="n"/>
      <c r="F371" s="8" t="n"/>
      <c r="G371" s="7" t="n"/>
      <c r="H371" s="7" t="n"/>
      <c r="I371" s="9" t="n"/>
    </row>
    <row r="372">
      <c r="A372" s="7" t="n"/>
      <c r="B372" s="7" t="n"/>
      <c r="C372" s="7" t="n"/>
      <c r="D372" s="7" t="n"/>
      <c r="E372" s="7" t="n"/>
      <c r="F372" s="8" t="n"/>
      <c r="G372" s="7" t="n"/>
      <c r="H372" s="7" t="n"/>
      <c r="I372" s="9" t="n"/>
    </row>
    <row r="373">
      <c r="A373" s="7" t="n"/>
      <c r="B373" s="7" t="n"/>
      <c r="C373" s="7" t="n"/>
      <c r="D373" s="7" t="n"/>
      <c r="E373" s="7" t="n"/>
      <c r="F373" s="8" t="n"/>
      <c r="G373" s="7" t="n"/>
      <c r="H373" s="7" t="n"/>
      <c r="I373" s="9" t="n"/>
    </row>
    <row r="374">
      <c r="A374" s="7" t="n"/>
      <c r="B374" s="7" t="n"/>
      <c r="C374" s="7" t="n"/>
      <c r="D374" s="7" t="n"/>
      <c r="E374" s="7" t="n"/>
      <c r="F374" s="8" t="n"/>
      <c r="G374" s="7" t="n"/>
      <c r="H374" s="7" t="n"/>
      <c r="I374" s="9" t="n"/>
    </row>
    <row r="375">
      <c r="A375" s="7" t="n"/>
      <c r="B375" s="7" t="n"/>
      <c r="C375" s="7" t="n"/>
      <c r="D375" s="7" t="n"/>
      <c r="E375" s="7" t="n"/>
      <c r="F375" s="8" t="n"/>
      <c r="G375" s="7" t="n"/>
      <c r="H375" s="7" t="n"/>
      <c r="I375" s="9" t="n"/>
    </row>
    <row r="376">
      <c r="A376" s="7" t="n"/>
      <c r="B376" s="7" t="n"/>
      <c r="C376" s="7" t="n"/>
      <c r="D376" s="7" t="n"/>
      <c r="E376" s="7" t="n"/>
      <c r="F376" s="8" t="n"/>
      <c r="G376" s="7" t="n"/>
      <c r="H376" s="7" t="n"/>
      <c r="I376" s="9" t="n"/>
    </row>
    <row r="377">
      <c r="A377" s="7" t="n"/>
      <c r="B377" s="7" t="n"/>
      <c r="C377" s="7" t="n"/>
      <c r="D377" s="7" t="n"/>
      <c r="E377" s="7" t="n"/>
      <c r="F377" s="8" t="n"/>
      <c r="G377" s="7" t="n"/>
      <c r="H377" s="7" t="n"/>
      <c r="I377" s="9" t="n"/>
    </row>
    <row r="378">
      <c r="A378" s="7" t="n"/>
      <c r="B378" s="7" t="n"/>
      <c r="C378" s="7" t="n"/>
      <c r="D378" s="7" t="n"/>
      <c r="E378" s="7" t="n"/>
      <c r="F378" s="8" t="n"/>
      <c r="G378" s="7" t="n"/>
      <c r="H378" s="7" t="n"/>
      <c r="I378" s="9" t="n"/>
    </row>
    <row r="379">
      <c r="A379" s="7" t="n"/>
      <c r="B379" s="7" t="n"/>
      <c r="C379" s="7" t="n"/>
      <c r="D379" s="7" t="n"/>
      <c r="E379" s="7" t="n"/>
      <c r="F379" s="8" t="n"/>
      <c r="G379" s="7" t="n"/>
      <c r="H379" s="7" t="n"/>
      <c r="I379" s="9" t="n"/>
    </row>
    <row r="380">
      <c r="A380" s="7" t="n"/>
      <c r="B380" s="7" t="n"/>
      <c r="C380" s="7" t="n"/>
      <c r="D380" s="7" t="n"/>
      <c r="E380" s="7" t="n"/>
      <c r="F380" s="8" t="n"/>
      <c r="G380" s="7" t="n"/>
      <c r="H380" s="7" t="n"/>
      <c r="I380" s="9" t="n"/>
    </row>
    <row r="381">
      <c r="A381" s="7" t="n"/>
      <c r="B381" s="7" t="n"/>
      <c r="C381" s="7" t="n"/>
      <c r="D381" s="7" t="n"/>
      <c r="E381" s="7" t="n"/>
      <c r="F381" s="8" t="n"/>
      <c r="G381" s="7" t="n"/>
      <c r="H381" s="7" t="n"/>
      <c r="I381" s="9" t="n"/>
    </row>
    <row r="382">
      <c r="A382" s="7" t="n"/>
      <c r="B382" s="7" t="n"/>
      <c r="C382" s="7" t="n"/>
      <c r="D382" s="7" t="n"/>
      <c r="E382" s="7" t="n"/>
      <c r="F382" s="8" t="n"/>
      <c r="G382" s="7" t="n"/>
      <c r="H382" s="7" t="n"/>
      <c r="I382" s="9" t="n"/>
    </row>
    <row r="383">
      <c r="A383" s="7" t="n"/>
      <c r="B383" s="7" t="n"/>
      <c r="C383" s="7" t="n"/>
      <c r="D383" s="7" t="n"/>
      <c r="E383" s="7" t="n"/>
      <c r="F383" s="8" t="n"/>
      <c r="G383" s="7" t="n"/>
      <c r="H383" s="7" t="n"/>
      <c r="I383" s="9" t="n"/>
    </row>
    <row r="384">
      <c r="A384" s="7" t="n"/>
      <c r="B384" s="7" t="n"/>
      <c r="C384" s="7" t="n"/>
      <c r="D384" s="7" t="n"/>
      <c r="E384" s="7" t="n"/>
      <c r="F384" s="8" t="n"/>
      <c r="G384" s="7" t="n"/>
      <c r="H384" s="7" t="n"/>
      <c r="I384" s="9" t="n"/>
    </row>
    <row r="385">
      <c r="A385" s="7" t="n"/>
      <c r="B385" s="7" t="n"/>
      <c r="C385" s="7" t="n"/>
      <c r="D385" s="7" t="n"/>
      <c r="E385" s="7" t="n"/>
      <c r="F385" s="8" t="n"/>
      <c r="G385" s="7" t="n"/>
      <c r="H385" s="7" t="n"/>
      <c r="I385" s="9" t="n"/>
    </row>
    <row r="386">
      <c r="A386" s="7" t="n"/>
      <c r="B386" s="7" t="n"/>
      <c r="C386" s="7" t="n"/>
      <c r="D386" s="7" t="n"/>
      <c r="E386" s="7" t="n"/>
      <c r="F386" s="8" t="n"/>
      <c r="G386" s="7" t="n"/>
      <c r="H386" s="7" t="n"/>
      <c r="I386" s="9" t="n"/>
    </row>
    <row r="387">
      <c r="A387" s="7" t="n"/>
      <c r="B387" s="7" t="n"/>
      <c r="C387" s="7" t="n"/>
      <c r="D387" s="7" t="n"/>
      <c r="E387" s="7" t="n"/>
      <c r="F387" s="8" t="n"/>
      <c r="G387" s="7" t="n"/>
      <c r="H387" s="7" t="n"/>
      <c r="I387" s="9" t="n"/>
    </row>
    <row r="388">
      <c r="A388" s="7" t="n"/>
      <c r="B388" s="7" t="n"/>
      <c r="C388" s="7" t="n"/>
      <c r="D388" s="7" t="n"/>
      <c r="E388" s="7" t="n"/>
      <c r="F388" s="8" t="n"/>
      <c r="G388" s="7" t="n"/>
      <c r="H388" s="7" t="n"/>
      <c r="I388" s="9" t="n"/>
    </row>
    <row r="389">
      <c r="A389" s="7" t="n"/>
      <c r="B389" s="7" t="n"/>
      <c r="C389" s="7" t="n"/>
      <c r="D389" s="7" t="n"/>
      <c r="E389" s="7" t="n"/>
      <c r="F389" s="8" t="n"/>
      <c r="G389" s="7" t="n"/>
      <c r="H389" s="7" t="n"/>
      <c r="I389" s="9" t="n"/>
    </row>
    <row r="390">
      <c r="A390" s="7" t="n"/>
      <c r="B390" s="7" t="n"/>
      <c r="C390" s="7" t="n"/>
      <c r="D390" s="7" t="n"/>
      <c r="E390" s="7" t="n"/>
      <c r="F390" s="8" t="n"/>
      <c r="G390" s="7" t="n"/>
      <c r="H390" s="7" t="n"/>
      <c r="I390" s="9" t="n"/>
    </row>
    <row r="391">
      <c r="A391" s="7" t="n"/>
      <c r="B391" s="7" t="n"/>
      <c r="C391" s="7" t="n"/>
      <c r="D391" s="7" t="n"/>
      <c r="E391" s="7" t="n"/>
      <c r="F391" s="8" t="n"/>
      <c r="G391" s="7" t="n"/>
      <c r="H391" s="7" t="n"/>
      <c r="I391" s="9" t="n"/>
    </row>
    <row r="392">
      <c r="A392" s="7" t="n"/>
      <c r="B392" s="7" t="n"/>
      <c r="C392" s="7" t="n"/>
      <c r="D392" s="7" t="n"/>
      <c r="E392" s="7" t="n"/>
      <c r="F392" s="8" t="n"/>
      <c r="G392" s="7" t="n"/>
      <c r="H392" s="7" t="n"/>
      <c r="I392" s="9" t="n"/>
    </row>
    <row r="393">
      <c r="A393" s="7" t="n"/>
      <c r="B393" s="7" t="n"/>
      <c r="C393" s="7" t="n"/>
      <c r="D393" s="7" t="n"/>
      <c r="E393" s="7" t="n"/>
      <c r="F393" s="8" t="n"/>
      <c r="G393" s="7" t="n"/>
      <c r="H393" s="7" t="n"/>
      <c r="I393" s="9" t="n"/>
    </row>
    <row r="394">
      <c r="A394" s="7" t="n"/>
      <c r="B394" s="7" t="n"/>
      <c r="C394" s="7" t="n"/>
      <c r="D394" s="7" t="n"/>
      <c r="E394" s="7" t="n"/>
      <c r="F394" s="8" t="n"/>
      <c r="G394" s="7" t="n"/>
      <c r="H394" s="7" t="n"/>
      <c r="I394" s="9" t="n"/>
    </row>
    <row r="395">
      <c r="A395" s="7" t="n"/>
      <c r="B395" s="7" t="n"/>
      <c r="C395" s="7" t="n"/>
      <c r="D395" s="7" t="n"/>
      <c r="E395" s="7" t="n"/>
      <c r="F395" s="8" t="n"/>
      <c r="G395" s="7" t="n"/>
      <c r="H395" s="7" t="n"/>
      <c r="I395" s="9" t="n"/>
    </row>
    <row r="396">
      <c r="A396" s="7" t="n"/>
      <c r="B396" s="7" t="n"/>
      <c r="C396" s="7" t="n"/>
      <c r="D396" s="7" t="n"/>
      <c r="E396" s="7" t="n"/>
      <c r="F396" s="8" t="n"/>
      <c r="G396" s="7" t="n"/>
      <c r="H396" s="7" t="n"/>
      <c r="I396" s="9" t="n"/>
    </row>
    <row r="397">
      <c r="A397" s="7" t="n"/>
      <c r="B397" s="7" t="n"/>
      <c r="C397" s="7" t="n"/>
      <c r="D397" s="7" t="n"/>
      <c r="E397" s="7" t="n"/>
      <c r="F397" s="8" t="n"/>
      <c r="G397" s="7" t="n"/>
      <c r="H397" s="7" t="n"/>
      <c r="I397" s="9" t="n"/>
    </row>
    <row r="398">
      <c r="A398" s="7" t="n"/>
      <c r="B398" s="7" t="n"/>
      <c r="C398" s="7" t="n"/>
      <c r="D398" s="7" t="n"/>
      <c r="E398" s="7" t="n"/>
      <c r="F398" s="8" t="n"/>
      <c r="G398" s="7" t="n"/>
      <c r="H398" s="7" t="n"/>
      <c r="I398" s="9" t="n"/>
    </row>
    <row r="399">
      <c r="A399" s="7" t="n"/>
      <c r="B399" s="7" t="n"/>
      <c r="C399" s="7" t="n"/>
      <c r="D399" s="7" t="n"/>
      <c r="E399" s="7" t="n"/>
      <c r="F399" s="8" t="n"/>
      <c r="G399" s="7" t="n"/>
      <c r="H399" s="7" t="n"/>
      <c r="I399" s="9" t="n"/>
    </row>
    <row r="400">
      <c r="A400" s="7" t="n"/>
      <c r="B400" s="7" t="n"/>
      <c r="C400" s="7" t="n"/>
      <c r="D400" s="7" t="n"/>
      <c r="E400" s="7" t="n"/>
      <c r="F400" s="8" t="n"/>
      <c r="G400" s="7" t="n"/>
      <c r="H400" s="7" t="n"/>
      <c r="I400" s="9" t="n"/>
    </row>
    <row r="401">
      <c r="A401" s="7" t="n"/>
      <c r="B401" s="7" t="n"/>
      <c r="C401" s="7" t="n"/>
      <c r="D401" s="7" t="n"/>
      <c r="E401" s="7" t="n"/>
      <c r="F401" s="8" t="n"/>
      <c r="G401" s="7" t="n"/>
      <c r="H401" s="7" t="n"/>
      <c r="I401" s="9" t="n"/>
    </row>
    <row r="402">
      <c r="A402" s="7" t="n"/>
      <c r="B402" s="7" t="n"/>
      <c r="C402" s="7" t="n"/>
      <c r="D402" s="7" t="n"/>
      <c r="E402" s="7" t="n"/>
      <c r="F402" s="8" t="n"/>
      <c r="G402" s="7" t="n"/>
      <c r="H402" s="7" t="n"/>
      <c r="I402" s="9" t="n"/>
    </row>
    <row r="403">
      <c r="A403" s="7" t="n"/>
      <c r="B403" s="7" t="n"/>
      <c r="C403" s="7" t="n"/>
      <c r="D403" s="7" t="n"/>
      <c r="E403" s="7" t="n"/>
      <c r="F403" s="8" t="n"/>
      <c r="G403" s="7" t="n"/>
      <c r="H403" s="7" t="n"/>
      <c r="I403" s="9" t="n"/>
    </row>
    <row r="404">
      <c r="A404" s="7" t="n"/>
      <c r="B404" s="7" t="n"/>
      <c r="C404" s="7" t="n"/>
      <c r="D404" s="7" t="n"/>
      <c r="E404" s="7" t="n"/>
      <c r="F404" s="8" t="n"/>
      <c r="G404" s="7" t="n"/>
      <c r="H404" s="7" t="n"/>
      <c r="I404" s="9" t="n"/>
    </row>
    <row r="405">
      <c r="A405" s="7" t="n"/>
      <c r="B405" s="7" t="n"/>
      <c r="C405" s="7" t="n"/>
      <c r="D405" s="7" t="n"/>
      <c r="E405" s="7" t="n"/>
      <c r="F405" s="8" t="n"/>
      <c r="G405" s="7" t="n"/>
      <c r="H405" s="7" t="n"/>
      <c r="I405" s="9" t="n"/>
    </row>
    <row r="406">
      <c r="A406" s="7" t="n"/>
      <c r="B406" s="7" t="n"/>
      <c r="C406" s="7" t="n"/>
      <c r="D406" s="7" t="n"/>
      <c r="E406" s="7" t="n"/>
      <c r="F406" s="8" t="n"/>
      <c r="G406" s="7" t="n"/>
      <c r="H406" s="7" t="n"/>
      <c r="I406" s="9" t="n"/>
    </row>
    <row r="407">
      <c r="A407" s="7" t="n"/>
      <c r="B407" s="7" t="n"/>
      <c r="C407" s="7" t="n"/>
      <c r="D407" s="7" t="n"/>
      <c r="E407" s="7" t="n"/>
      <c r="F407" s="8" t="n"/>
      <c r="G407" s="7" t="n"/>
      <c r="H407" s="7" t="n"/>
      <c r="I407" s="9" t="n"/>
    </row>
    <row r="408">
      <c r="A408" s="7" t="n"/>
      <c r="B408" s="7" t="n"/>
      <c r="C408" s="7" t="n"/>
      <c r="D408" s="7" t="n"/>
      <c r="E408" s="7" t="n"/>
      <c r="F408" s="8" t="n"/>
      <c r="G408" s="7" t="n"/>
      <c r="H408" s="7" t="n"/>
      <c r="I408" s="9" t="n"/>
    </row>
    <row r="409">
      <c r="A409" s="7" t="n"/>
      <c r="B409" s="7" t="n"/>
      <c r="C409" s="7" t="n"/>
      <c r="D409" s="7" t="n"/>
      <c r="E409" s="7" t="n"/>
      <c r="F409" s="8" t="n"/>
      <c r="G409" s="7" t="n"/>
      <c r="H409" s="7" t="n"/>
      <c r="I409" s="9" t="n"/>
    </row>
    <row r="410">
      <c r="A410" s="7" t="n"/>
      <c r="B410" s="7" t="n"/>
      <c r="C410" s="7" t="n"/>
      <c r="D410" s="7" t="n"/>
      <c r="E410" s="7" t="n"/>
      <c r="F410" s="8" t="n"/>
      <c r="G410" s="7" t="n"/>
      <c r="H410" s="7" t="n"/>
      <c r="I410" s="9" t="n"/>
    </row>
    <row r="411">
      <c r="A411" s="7" t="n"/>
      <c r="B411" s="7" t="n"/>
      <c r="C411" s="7" t="n"/>
      <c r="D411" s="7" t="n"/>
      <c r="E411" s="7" t="n"/>
      <c r="F411" s="8" t="n"/>
      <c r="G411" s="7" t="n"/>
      <c r="H411" s="7" t="n"/>
      <c r="I411" s="9" t="n"/>
    </row>
    <row r="412">
      <c r="A412" s="7" t="n"/>
      <c r="B412" s="7" t="n"/>
      <c r="C412" s="7" t="n"/>
      <c r="D412" s="7" t="n"/>
      <c r="E412" s="7" t="n"/>
      <c r="F412" s="8" t="n"/>
      <c r="G412" s="7" t="n"/>
      <c r="H412" s="7" t="n"/>
      <c r="I412" s="9" t="n"/>
    </row>
    <row r="413">
      <c r="A413" s="7" t="n"/>
      <c r="B413" s="7" t="n"/>
      <c r="C413" s="7" t="n"/>
      <c r="D413" s="7" t="n"/>
      <c r="E413" s="7" t="n"/>
      <c r="F413" s="8" t="n"/>
      <c r="G413" s="7" t="n"/>
      <c r="H413" s="7" t="n"/>
      <c r="I413" s="9" t="n"/>
    </row>
    <row r="414">
      <c r="A414" s="7" t="n"/>
      <c r="B414" s="7" t="n"/>
      <c r="C414" s="7" t="n"/>
      <c r="D414" s="7" t="n"/>
      <c r="E414" s="7" t="n"/>
      <c r="F414" s="8" t="n"/>
      <c r="G414" s="7" t="n"/>
      <c r="H414" s="7" t="n"/>
      <c r="I414" s="9" t="n"/>
    </row>
    <row r="415">
      <c r="A415" s="7" t="n"/>
      <c r="B415" s="7" t="n"/>
      <c r="C415" s="7" t="n"/>
      <c r="D415" s="7" t="n"/>
      <c r="E415" s="7" t="n"/>
      <c r="F415" s="8" t="n"/>
      <c r="G415" s="7" t="n"/>
      <c r="H415" s="7" t="n"/>
      <c r="I415" s="9" t="n"/>
    </row>
    <row r="416">
      <c r="A416" s="7" t="n"/>
      <c r="B416" s="7" t="n"/>
      <c r="C416" s="7" t="n"/>
      <c r="D416" s="7" t="n"/>
      <c r="E416" s="7" t="n"/>
      <c r="F416" s="8" t="n"/>
      <c r="G416" s="7" t="n"/>
      <c r="H416" s="7" t="n"/>
      <c r="I416" s="9" t="n"/>
    </row>
    <row r="417">
      <c r="A417" s="7" t="n"/>
      <c r="B417" s="7" t="n"/>
      <c r="C417" s="7" t="n"/>
      <c r="D417" s="7" t="n"/>
      <c r="E417" s="7" t="n"/>
      <c r="F417" s="8" t="n"/>
      <c r="G417" s="7" t="n"/>
      <c r="H417" s="7" t="n"/>
      <c r="I417" s="9" t="n"/>
    </row>
    <row r="418">
      <c r="A418" s="7" t="n"/>
      <c r="B418" s="7" t="n"/>
      <c r="C418" s="7" t="n"/>
      <c r="D418" s="7" t="n"/>
      <c r="E418" s="7" t="n"/>
      <c r="F418" s="8" t="n"/>
      <c r="G418" s="7" t="n"/>
      <c r="H418" s="7" t="n"/>
      <c r="I418" s="9" t="n"/>
    </row>
    <row r="419">
      <c r="A419" s="7" t="n"/>
      <c r="B419" s="7" t="n"/>
      <c r="C419" s="7" t="n"/>
      <c r="D419" s="7" t="n"/>
      <c r="E419" s="7" t="n"/>
      <c r="F419" s="8" t="n"/>
      <c r="G419" s="7" t="n"/>
      <c r="H419" s="7" t="n"/>
      <c r="I419" s="9" t="n"/>
    </row>
    <row r="420">
      <c r="A420" s="7" t="n"/>
      <c r="B420" s="7" t="n"/>
      <c r="C420" s="7" t="n"/>
      <c r="D420" s="7" t="n"/>
      <c r="E420" s="7" t="n"/>
      <c r="F420" s="8" t="n"/>
      <c r="G420" s="7" t="n"/>
      <c r="H420" s="7" t="n"/>
      <c r="I420" s="9" t="n"/>
    </row>
    <row r="421">
      <c r="A421" s="7" t="n"/>
      <c r="B421" s="7" t="n"/>
      <c r="C421" s="7" t="n"/>
      <c r="D421" s="7" t="n"/>
      <c r="E421" s="7" t="n"/>
      <c r="F421" s="8" t="n"/>
      <c r="G421" s="7" t="n"/>
      <c r="H421" s="7" t="n"/>
      <c r="I421" s="9" t="n"/>
    </row>
    <row r="422">
      <c r="A422" s="7" t="n"/>
      <c r="B422" s="7" t="n"/>
      <c r="C422" s="7" t="n"/>
      <c r="D422" s="7" t="n"/>
      <c r="E422" s="7" t="n"/>
      <c r="F422" s="8" t="n"/>
      <c r="G422" s="7" t="n"/>
      <c r="H422" s="7" t="n"/>
      <c r="I422" s="9" t="n"/>
    </row>
    <row r="423">
      <c r="A423" s="7" t="n"/>
      <c r="B423" s="7" t="n"/>
      <c r="C423" s="7" t="n"/>
      <c r="D423" s="7" t="n"/>
      <c r="E423" s="7" t="n"/>
      <c r="F423" s="8" t="n"/>
      <c r="G423" s="7" t="n"/>
      <c r="H423" s="7" t="n"/>
      <c r="I423" s="9" t="n"/>
    </row>
    <row r="424">
      <c r="A424" s="7" t="n"/>
      <c r="B424" s="7" t="n"/>
      <c r="C424" s="7" t="n"/>
      <c r="D424" s="7" t="n"/>
      <c r="E424" s="7" t="n"/>
      <c r="F424" s="8" t="n"/>
      <c r="G424" s="7" t="n"/>
      <c r="H424" s="7" t="n"/>
      <c r="I424" s="9" t="n"/>
    </row>
    <row r="425">
      <c r="A425" s="7" t="n"/>
      <c r="B425" s="7" t="n"/>
      <c r="C425" s="7" t="n"/>
      <c r="D425" s="7" t="n"/>
      <c r="E425" s="7" t="n"/>
      <c r="F425" s="8" t="n"/>
      <c r="G425" s="7" t="n"/>
      <c r="H425" s="7" t="n"/>
      <c r="I425" s="9" t="n"/>
    </row>
    <row r="426">
      <c r="A426" s="7" t="n"/>
      <c r="B426" s="7" t="n"/>
      <c r="C426" s="7" t="n"/>
      <c r="D426" s="7" t="n"/>
      <c r="E426" s="7" t="n"/>
      <c r="F426" s="8" t="n"/>
      <c r="G426" s="7" t="n"/>
      <c r="H426" s="7" t="n"/>
      <c r="I426" s="9" t="n"/>
    </row>
    <row r="427">
      <c r="A427" s="7" t="n"/>
      <c r="B427" s="7" t="n"/>
      <c r="C427" s="7" t="n"/>
      <c r="D427" s="7" t="n"/>
      <c r="E427" s="7" t="n"/>
      <c r="F427" s="8" t="n"/>
      <c r="G427" s="7" t="n"/>
      <c r="H427" s="7" t="n"/>
      <c r="I427" s="9" t="n"/>
    </row>
    <row r="428">
      <c r="A428" s="7" t="n"/>
      <c r="B428" s="7" t="n"/>
      <c r="C428" s="7" t="n"/>
      <c r="D428" s="7" t="n"/>
      <c r="E428" s="7" t="n"/>
      <c r="F428" s="8" t="n"/>
      <c r="G428" s="7" t="n"/>
      <c r="H428" s="7" t="n"/>
      <c r="I428" s="9" t="n"/>
    </row>
    <row r="429">
      <c r="A429" s="7" t="n"/>
      <c r="B429" s="7" t="n"/>
      <c r="C429" s="7" t="n"/>
      <c r="D429" s="7" t="n"/>
      <c r="E429" s="7" t="n"/>
      <c r="F429" s="8" t="n"/>
      <c r="G429" s="7" t="n"/>
      <c r="H429" s="7" t="n"/>
      <c r="I429" s="9" t="n"/>
    </row>
    <row r="430">
      <c r="A430" s="7" t="n"/>
      <c r="B430" s="7" t="n"/>
      <c r="C430" s="7" t="n"/>
      <c r="D430" s="7" t="n"/>
      <c r="E430" s="7" t="n"/>
      <c r="F430" s="8" t="n"/>
      <c r="G430" s="7" t="n"/>
      <c r="H430" s="7" t="n"/>
      <c r="I430" s="9" t="n"/>
    </row>
    <row r="431">
      <c r="A431" s="7" t="n"/>
      <c r="B431" s="7" t="n"/>
      <c r="C431" s="7" t="n"/>
      <c r="D431" s="7" t="n"/>
      <c r="E431" s="7" t="n"/>
      <c r="F431" s="8" t="n"/>
      <c r="G431" s="7" t="n"/>
      <c r="H431" s="7" t="n"/>
      <c r="I431" s="9" t="n"/>
    </row>
    <row r="432">
      <c r="A432" s="7" t="n"/>
      <c r="B432" s="7" t="n"/>
      <c r="C432" s="7" t="n"/>
      <c r="D432" s="7" t="n"/>
      <c r="E432" s="7" t="n"/>
      <c r="F432" s="8" t="n"/>
      <c r="G432" s="7" t="n"/>
      <c r="H432" s="7" t="n"/>
      <c r="I432" s="9" t="n"/>
    </row>
    <row r="433">
      <c r="A433" s="7" t="n"/>
      <c r="B433" s="7" t="n"/>
      <c r="C433" s="7" t="n"/>
      <c r="D433" s="7" t="n"/>
      <c r="E433" s="7" t="n"/>
      <c r="F433" s="8" t="n"/>
      <c r="G433" s="7" t="n"/>
      <c r="H433" s="7" t="n"/>
      <c r="I433" s="9" t="n"/>
    </row>
    <row r="434">
      <c r="A434" s="7" t="n"/>
      <c r="B434" s="7" t="n"/>
      <c r="C434" s="7" t="n"/>
      <c r="D434" s="7" t="n"/>
      <c r="E434" s="7" t="n"/>
      <c r="F434" s="8" t="n"/>
      <c r="G434" s="7" t="n"/>
      <c r="H434" s="7" t="n"/>
      <c r="I434" s="9" t="n"/>
    </row>
    <row r="435">
      <c r="A435" s="7" t="n"/>
      <c r="B435" s="7" t="n"/>
      <c r="C435" s="7" t="n"/>
      <c r="D435" s="7" t="n"/>
      <c r="E435" s="7" t="n"/>
      <c r="F435" s="8" t="n"/>
      <c r="G435" s="7" t="n"/>
      <c r="H435" s="7" t="n"/>
      <c r="I435" s="9" t="n"/>
    </row>
    <row r="436">
      <c r="A436" s="7" t="n"/>
      <c r="B436" s="7" t="n"/>
      <c r="C436" s="7" t="n"/>
      <c r="D436" s="7" t="n"/>
      <c r="E436" s="7" t="n"/>
      <c r="F436" s="8" t="n"/>
      <c r="G436" s="7" t="n"/>
      <c r="H436" s="7" t="n"/>
      <c r="I436" s="9" t="n"/>
    </row>
    <row r="437">
      <c r="A437" s="7" t="n"/>
      <c r="B437" s="7" t="n"/>
      <c r="C437" s="7" t="n"/>
      <c r="D437" s="7" t="n"/>
      <c r="E437" s="7" t="n"/>
      <c r="F437" s="8" t="n"/>
      <c r="G437" s="7" t="n"/>
      <c r="H437" s="7" t="n"/>
      <c r="I437" s="9" t="n"/>
    </row>
    <row r="438">
      <c r="A438" s="7" t="n"/>
      <c r="B438" s="7" t="n"/>
      <c r="C438" s="7" t="n"/>
      <c r="D438" s="7" t="n"/>
      <c r="E438" s="7" t="n"/>
      <c r="F438" s="8" t="n"/>
      <c r="G438" s="7" t="n"/>
      <c r="H438" s="7" t="n"/>
      <c r="I438" s="9" t="n"/>
    </row>
    <row r="439">
      <c r="A439" s="7" t="n"/>
      <c r="B439" s="7" t="n"/>
      <c r="C439" s="7" t="n"/>
      <c r="D439" s="7" t="n"/>
      <c r="E439" s="7" t="n"/>
      <c r="F439" s="8" t="n"/>
      <c r="G439" s="7" t="n"/>
      <c r="H439" s="7" t="n"/>
      <c r="I439" s="9" t="n"/>
    </row>
    <row r="440">
      <c r="A440" s="7" t="n"/>
      <c r="B440" s="7" t="n"/>
      <c r="C440" s="7" t="n"/>
      <c r="D440" s="7" t="n"/>
      <c r="E440" s="7" t="n"/>
      <c r="F440" s="8" t="n"/>
      <c r="G440" s="7" t="n"/>
      <c r="H440" s="7" t="n"/>
      <c r="I440" s="9" t="n"/>
    </row>
    <row r="441">
      <c r="A441" s="7" t="n"/>
      <c r="B441" s="7" t="n"/>
      <c r="C441" s="7" t="n"/>
      <c r="D441" s="7" t="n"/>
      <c r="E441" s="7" t="n"/>
      <c r="F441" s="8" t="n"/>
      <c r="G441" s="7" t="n"/>
      <c r="H441" s="7" t="n"/>
      <c r="I441" s="9" t="n"/>
    </row>
    <row r="442">
      <c r="A442" s="7" t="n"/>
      <c r="B442" s="7" t="n"/>
      <c r="C442" s="7" t="n"/>
      <c r="D442" s="7" t="n"/>
      <c r="E442" s="7" t="n"/>
      <c r="F442" s="8" t="n"/>
      <c r="G442" s="7" t="n"/>
      <c r="H442" s="7" t="n"/>
      <c r="I442" s="9" t="n"/>
    </row>
    <row r="443">
      <c r="A443" s="7" t="n"/>
      <c r="B443" s="7" t="n"/>
      <c r="C443" s="7" t="n"/>
      <c r="D443" s="7" t="n"/>
      <c r="E443" s="7" t="n"/>
      <c r="F443" s="8" t="n"/>
      <c r="G443" s="7" t="n"/>
      <c r="H443" s="7" t="n"/>
      <c r="I443" s="9" t="n"/>
    </row>
    <row r="444">
      <c r="A444" s="7" t="n"/>
      <c r="B444" s="7" t="n"/>
      <c r="C444" s="7" t="n"/>
      <c r="D444" s="7" t="n"/>
      <c r="E444" s="7" t="n"/>
      <c r="F444" s="8" t="n"/>
      <c r="G444" s="7" t="n"/>
      <c r="H444" s="7" t="n"/>
      <c r="I444" s="9" t="n"/>
    </row>
    <row r="445">
      <c r="A445" s="7" t="n"/>
      <c r="B445" s="7" t="n"/>
      <c r="C445" s="7" t="n"/>
      <c r="D445" s="7" t="n"/>
      <c r="E445" s="7" t="n"/>
      <c r="F445" s="8" t="n"/>
      <c r="G445" s="7" t="n"/>
      <c r="H445" s="7" t="n"/>
      <c r="I445" s="9" t="n"/>
    </row>
    <row r="446">
      <c r="A446" s="7" t="n"/>
      <c r="B446" s="7" t="n"/>
      <c r="C446" s="7" t="n"/>
      <c r="D446" s="7" t="n"/>
      <c r="E446" s="7" t="n"/>
      <c r="F446" s="8" t="n"/>
      <c r="G446" s="7" t="n"/>
      <c r="H446" s="7" t="n"/>
      <c r="I446" s="9" t="n"/>
    </row>
    <row r="447">
      <c r="A447" s="7" t="n"/>
      <c r="B447" s="7" t="n"/>
      <c r="C447" s="7" t="n"/>
      <c r="D447" s="7" t="n"/>
      <c r="E447" s="7" t="n"/>
      <c r="F447" s="8" t="n"/>
      <c r="G447" s="7" t="n"/>
      <c r="H447" s="7" t="n"/>
      <c r="I447" s="9" t="n"/>
    </row>
    <row r="448">
      <c r="A448" s="7" t="n"/>
      <c r="B448" s="7" t="n"/>
      <c r="C448" s="7" t="n"/>
      <c r="D448" s="7" t="n"/>
      <c r="E448" s="7" t="n"/>
      <c r="F448" s="8" t="n"/>
      <c r="G448" s="7" t="n"/>
      <c r="H448" s="7" t="n"/>
      <c r="I448" s="9" t="n"/>
    </row>
    <row r="449">
      <c r="A449" s="7" t="n"/>
      <c r="B449" s="7" t="n"/>
      <c r="C449" s="7" t="n"/>
      <c r="D449" s="7" t="n"/>
      <c r="E449" s="7" t="n"/>
      <c r="F449" s="8" t="n"/>
      <c r="G449" s="7" t="n"/>
      <c r="H449" s="7" t="n"/>
      <c r="I449" s="9" t="n"/>
    </row>
    <row r="450">
      <c r="A450" s="7" t="n"/>
      <c r="B450" s="7" t="n"/>
      <c r="C450" s="7" t="n"/>
      <c r="D450" s="7" t="n"/>
      <c r="E450" s="7" t="n"/>
      <c r="F450" s="8" t="n"/>
      <c r="G450" s="7" t="n"/>
      <c r="H450" s="7" t="n"/>
      <c r="I450" s="9" t="n"/>
    </row>
    <row r="451">
      <c r="A451" s="7" t="n"/>
      <c r="B451" s="7" t="n"/>
      <c r="C451" s="7" t="n"/>
      <c r="D451" s="7" t="n"/>
      <c r="E451" s="7" t="n"/>
      <c r="F451" s="8" t="n"/>
      <c r="G451" s="7" t="n"/>
      <c r="H451" s="7" t="n"/>
      <c r="I451" s="9" t="n"/>
    </row>
    <row r="452">
      <c r="A452" s="7" t="n"/>
      <c r="B452" s="7" t="n"/>
      <c r="C452" s="7" t="n"/>
      <c r="D452" s="7" t="n"/>
      <c r="E452" s="7" t="n"/>
      <c r="F452" s="8" t="n"/>
      <c r="G452" s="7" t="n"/>
      <c r="H452" s="7" t="n"/>
      <c r="I452" s="9" t="n"/>
    </row>
    <row r="453">
      <c r="A453" s="7" t="n"/>
      <c r="B453" s="7" t="n"/>
      <c r="C453" s="7" t="n"/>
      <c r="D453" s="7" t="n"/>
      <c r="E453" s="7" t="n"/>
      <c r="F453" s="8" t="n"/>
      <c r="G453" s="7" t="n"/>
      <c r="H453" s="7" t="n"/>
      <c r="I453" s="9" t="n"/>
    </row>
    <row r="454">
      <c r="A454" s="7" t="n"/>
      <c r="B454" s="7" t="n"/>
      <c r="C454" s="7" t="n"/>
      <c r="D454" s="7" t="n"/>
      <c r="E454" s="7" t="n"/>
      <c r="F454" s="8" t="n"/>
      <c r="G454" s="7" t="n"/>
      <c r="H454" s="7" t="n"/>
      <c r="I454" s="9" t="n"/>
    </row>
    <row r="455">
      <c r="A455" s="7" t="n"/>
      <c r="B455" s="7" t="n"/>
      <c r="C455" s="7" t="n"/>
      <c r="D455" s="7" t="n"/>
      <c r="E455" s="7" t="n"/>
      <c r="F455" s="8" t="n"/>
      <c r="G455" s="7" t="n"/>
      <c r="H455" s="7" t="n"/>
      <c r="I455" s="9" t="n"/>
    </row>
    <row r="456">
      <c r="A456" s="7" t="n"/>
      <c r="B456" s="7" t="n"/>
      <c r="C456" s="7" t="n"/>
      <c r="D456" s="7" t="n"/>
      <c r="E456" s="7" t="n"/>
      <c r="F456" s="8" t="n"/>
      <c r="G456" s="7" t="n"/>
      <c r="H456" s="7" t="n"/>
      <c r="I456" s="9" t="n"/>
    </row>
    <row r="457">
      <c r="A457" s="7" t="n"/>
      <c r="B457" s="7" t="n"/>
      <c r="C457" s="7" t="n"/>
      <c r="D457" s="7" t="n"/>
      <c r="E457" s="7" t="n"/>
      <c r="F457" s="8" t="n"/>
      <c r="G457" s="7" t="n"/>
      <c r="H457" s="7" t="n"/>
      <c r="I457" s="9" t="n"/>
    </row>
    <row r="458">
      <c r="A458" s="7" t="n"/>
      <c r="B458" s="7" t="n"/>
      <c r="C458" s="7" t="n"/>
      <c r="D458" s="7" t="n"/>
      <c r="E458" s="7" t="n"/>
      <c r="F458" s="8" t="n"/>
      <c r="G458" s="7" t="n"/>
      <c r="H458" s="7" t="n"/>
      <c r="I458" s="9" t="n"/>
    </row>
    <row r="459">
      <c r="A459" s="7" t="n"/>
      <c r="B459" s="7" t="n"/>
      <c r="C459" s="7" t="n"/>
      <c r="D459" s="7" t="n"/>
      <c r="E459" s="7" t="n"/>
      <c r="F459" s="8" t="n"/>
      <c r="G459" s="7" t="n"/>
      <c r="H459" s="7" t="n"/>
      <c r="I459" s="9" t="n"/>
    </row>
    <row r="460">
      <c r="A460" s="7" t="n"/>
      <c r="B460" s="7" t="n"/>
      <c r="C460" s="7" t="n"/>
      <c r="D460" s="7" t="n"/>
      <c r="E460" s="7" t="n"/>
      <c r="F460" s="8" t="n"/>
      <c r="G460" s="7" t="n"/>
      <c r="H460" s="7" t="n"/>
      <c r="I460" s="9" t="n"/>
    </row>
    <row r="461">
      <c r="A461" s="7" t="n"/>
      <c r="B461" s="7" t="n"/>
      <c r="C461" s="7" t="n"/>
      <c r="D461" s="7" t="n"/>
      <c r="E461" s="7" t="n"/>
      <c r="F461" s="8" t="n"/>
      <c r="G461" s="7" t="n"/>
      <c r="H461" s="7" t="n"/>
      <c r="I461" s="9" t="n"/>
    </row>
    <row r="462">
      <c r="A462" s="7" t="n"/>
      <c r="B462" s="7" t="n"/>
      <c r="C462" s="7" t="n"/>
      <c r="D462" s="7" t="n"/>
      <c r="E462" s="7" t="n"/>
      <c r="F462" s="8" t="n"/>
      <c r="G462" s="7" t="n"/>
      <c r="H462" s="7" t="n"/>
      <c r="I462" s="9" t="n"/>
    </row>
    <row r="463">
      <c r="A463" s="7" t="n"/>
      <c r="B463" s="7" t="n"/>
      <c r="C463" s="7" t="n"/>
      <c r="D463" s="7" t="n"/>
      <c r="E463" s="7" t="n"/>
      <c r="F463" s="8" t="n"/>
      <c r="G463" s="7" t="n"/>
      <c r="H463" s="7" t="n"/>
      <c r="I463" s="9" t="n"/>
    </row>
    <row r="464">
      <c r="A464" s="7" t="n"/>
      <c r="B464" s="7" t="n"/>
      <c r="C464" s="7" t="n"/>
      <c r="D464" s="7" t="n"/>
      <c r="E464" s="7" t="n"/>
      <c r="F464" s="8" t="n"/>
      <c r="G464" s="7" t="n"/>
      <c r="H464" s="7" t="n"/>
      <c r="I464" s="9" t="n"/>
    </row>
    <row r="465">
      <c r="A465" s="7" t="n"/>
      <c r="B465" s="7" t="n"/>
      <c r="C465" s="7" t="n"/>
      <c r="D465" s="7" t="n"/>
      <c r="E465" s="7" t="n"/>
      <c r="F465" s="8" t="n"/>
      <c r="G465" s="7" t="n"/>
      <c r="H465" s="7" t="n"/>
      <c r="I465" s="9" t="n"/>
    </row>
    <row r="466">
      <c r="A466" s="7" t="n"/>
      <c r="B466" s="7" t="n"/>
      <c r="C466" s="7" t="n"/>
      <c r="D466" s="7" t="n"/>
      <c r="E466" s="7" t="n"/>
      <c r="F466" s="8" t="n"/>
      <c r="G466" s="7" t="n"/>
      <c r="H466" s="7" t="n"/>
      <c r="I466" s="9" t="n"/>
    </row>
    <row r="467">
      <c r="A467" s="7" t="n"/>
      <c r="B467" s="7" t="n"/>
      <c r="C467" s="7" t="n"/>
      <c r="D467" s="7" t="n"/>
      <c r="E467" s="7" t="n"/>
      <c r="F467" s="8" t="n"/>
      <c r="G467" s="7" t="n"/>
      <c r="H467" s="7" t="n"/>
      <c r="I467" s="9" t="n"/>
    </row>
    <row r="468">
      <c r="A468" s="7" t="n"/>
      <c r="B468" s="7" t="n"/>
      <c r="C468" s="7" t="n"/>
      <c r="D468" s="7" t="n"/>
      <c r="E468" s="7" t="n"/>
      <c r="F468" s="8" t="n"/>
      <c r="G468" s="7" t="n"/>
      <c r="H468" s="7" t="n"/>
      <c r="I468" s="9" t="n"/>
    </row>
    <row r="469">
      <c r="A469" s="7" t="n"/>
      <c r="B469" s="7" t="n"/>
      <c r="C469" s="7" t="n"/>
      <c r="D469" s="7" t="n"/>
      <c r="E469" s="7" t="n"/>
      <c r="F469" s="8" t="n"/>
      <c r="G469" s="7" t="n"/>
      <c r="H469" s="7" t="n"/>
      <c r="I469" s="9" t="n"/>
    </row>
    <row r="470">
      <c r="A470" s="7" t="n"/>
      <c r="B470" s="7" t="n"/>
      <c r="C470" s="7" t="n"/>
      <c r="D470" s="7" t="n"/>
      <c r="E470" s="7" t="n"/>
      <c r="F470" s="8" t="n"/>
      <c r="G470" s="7" t="n"/>
      <c r="H470" s="7" t="n"/>
      <c r="I470" s="9" t="n"/>
    </row>
    <row r="471">
      <c r="A471" s="7" t="n"/>
      <c r="B471" s="7" t="n"/>
      <c r="C471" s="7" t="n"/>
      <c r="D471" s="7" t="n"/>
      <c r="E471" s="7" t="n"/>
      <c r="F471" s="8" t="n"/>
      <c r="G471" s="7" t="n"/>
      <c r="H471" s="7" t="n"/>
      <c r="I471" s="9" t="n"/>
    </row>
    <row r="472">
      <c r="A472" s="7" t="n"/>
      <c r="B472" s="7" t="n"/>
      <c r="C472" s="7" t="n"/>
      <c r="D472" s="7" t="n"/>
      <c r="E472" s="7" t="n"/>
      <c r="F472" s="8" t="n"/>
      <c r="G472" s="7" t="n"/>
      <c r="H472" s="7" t="n"/>
      <c r="I472" s="9" t="n"/>
    </row>
    <row r="473">
      <c r="A473" s="7" t="n"/>
      <c r="B473" s="7" t="n"/>
      <c r="C473" s="7" t="n"/>
      <c r="D473" s="7" t="n"/>
      <c r="E473" s="7" t="n"/>
      <c r="F473" s="8" t="n"/>
      <c r="G473" s="7" t="n"/>
      <c r="H473" s="7" t="n"/>
      <c r="I473" s="9" t="n"/>
    </row>
    <row r="474">
      <c r="A474" s="7" t="n"/>
      <c r="B474" s="7" t="n"/>
      <c r="C474" s="7" t="n"/>
      <c r="D474" s="7" t="n"/>
      <c r="E474" s="7" t="n"/>
      <c r="F474" s="8" t="n"/>
      <c r="G474" s="7" t="n"/>
      <c r="H474" s="7" t="n"/>
      <c r="I474" s="9" t="n"/>
    </row>
    <row r="475">
      <c r="A475" s="7" t="n"/>
      <c r="B475" s="7" t="n"/>
      <c r="C475" s="7" t="n"/>
      <c r="D475" s="7" t="n"/>
      <c r="E475" s="7" t="n"/>
      <c r="F475" s="8" t="n"/>
      <c r="G475" s="7" t="n"/>
      <c r="H475" s="7" t="n"/>
      <c r="I475" s="9" t="n"/>
    </row>
    <row r="476">
      <c r="A476" s="7" t="n"/>
      <c r="B476" s="7" t="n"/>
      <c r="C476" s="7" t="n"/>
      <c r="D476" s="7" t="n"/>
      <c r="E476" s="7" t="n"/>
      <c r="F476" s="8" t="n"/>
      <c r="G476" s="7" t="n"/>
      <c r="H476" s="7" t="n"/>
      <c r="I476" s="9" t="n"/>
    </row>
    <row r="477">
      <c r="A477" s="7" t="n"/>
      <c r="B477" s="7" t="n"/>
      <c r="C477" s="7" t="n"/>
      <c r="D477" s="7" t="n"/>
      <c r="E477" s="7" t="n"/>
      <c r="F477" s="8" t="n"/>
      <c r="G477" s="7" t="n"/>
      <c r="H477" s="7" t="n"/>
      <c r="I477" s="9" t="n"/>
    </row>
    <row r="478">
      <c r="A478" s="7" t="n"/>
      <c r="B478" s="7" t="n"/>
      <c r="C478" s="7" t="n"/>
      <c r="D478" s="7" t="n"/>
      <c r="E478" s="7" t="n"/>
      <c r="F478" s="8" t="n"/>
      <c r="G478" s="7" t="n"/>
      <c r="H478" s="7" t="n"/>
      <c r="I478" s="9" t="n"/>
    </row>
    <row r="479">
      <c r="A479" s="7" t="n"/>
      <c r="B479" s="7" t="n"/>
      <c r="C479" s="7" t="n"/>
      <c r="D479" s="7" t="n"/>
      <c r="E479" s="7" t="n"/>
      <c r="F479" s="8" t="n"/>
      <c r="G479" s="7" t="n"/>
      <c r="H479" s="7" t="n"/>
      <c r="I479" s="9" t="n"/>
    </row>
    <row r="480">
      <c r="A480" s="7" t="n"/>
      <c r="B480" s="7" t="n"/>
      <c r="C480" s="7" t="n"/>
      <c r="D480" s="7" t="n"/>
      <c r="E480" s="7" t="n"/>
      <c r="F480" s="8" t="n"/>
      <c r="G480" s="7" t="n"/>
      <c r="H480" s="7" t="n"/>
      <c r="I480" s="9" t="n"/>
    </row>
    <row r="481">
      <c r="A481" s="7" t="n"/>
      <c r="B481" s="7" t="n"/>
      <c r="C481" s="7" t="n"/>
      <c r="D481" s="7" t="n"/>
      <c r="E481" s="7" t="n"/>
      <c r="F481" s="8" t="n"/>
      <c r="G481" s="7" t="n"/>
      <c r="H481" s="7" t="n"/>
      <c r="I481" s="9" t="n"/>
    </row>
    <row r="482">
      <c r="A482" s="7" t="n"/>
      <c r="B482" s="7" t="n"/>
      <c r="C482" s="7" t="n"/>
      <c r="D482" s="7" t="n"/>
      <c r="E482" s="7" t="n"/>
      <c r="F482" s="8" t="n"/>
      <c r="G482" s="7" t="n"/>
      <c r="H482" s="7" t="n"/>
      <c r="I482" s="9" t="n"/>
    </row>
    <row r="483">
      <c r="A483" s="7" t="n"/>
      <c r="B483" s="7" t="n"/>
      <c r="C483" s="7" t="n"/>
      <c r="D483" s="7" t="n"/>
      <c r="E483" s="7" t="n"/>
      <c r="F483" s="8" t="n"/>
      <c r="G483" s="7" t="n"/>
      <c r="H483" s="7" t="n"/>
      <c r="I483" s="9" t="n"/>
    </row>
    <row r="484">
      <c r="A484" s="7" t="n"/>
      <c r="B484" s="7" t="n"/>
      <c r="C484" s="7" t="n"/>
      <c r="D484" s="7" t="n"/>
      <c r="E484" s="7" t="n"/>
      <c r="F484" s="8" t="n"/>
      <c r="G484" s="7" t="n"/>
      <c r="H484" s="7" t="n"/>
      <c r="I484" s="9" t="n"/>
    </row>
    <row r="485">
      <c r="A485" s="7" t="n"/>
      <c r="B485" s="7" t="n"/>
      <c r="C485" s="7" t="n"/>
      <c r="D485" s="7" t="n"/>
      <c r="E485" s="7" t="n"/>
      <c r="F485" s="8" t="n"/>
      <c r="G485" s="7" t="n"/>
      <c r="H485" s="7" t="n"/>
      <c r="I485" s="9" t="n"/>
    </row>
    <row r="486">
      <c r="A486" s="7" t="n"/>
      <c r="B486" s="7" t="n"/>
      <c r="C486" s="7" t="n"/>
      <c r="D486" s="7" t="n"/>
      <c r="E486" s="7" t="n"/>
      <c r="F486" s="8" t="n"/>
      <c r="G486" s="7" t="n"/>
      <c r="H486" s="7" t="n"/>
      <c r="I486" s="9" t="n"/>
    </row>
    <row r="487">
      <c r="A487" s="7" t="n"/>
      <c r="B487" s="7" t="n"/>
      <c r="C487" s="7" t="n"/>
      <c r="D487" s="7" t="n"/>
      <c r="E487" s="7" t="n"/>
      <c r="F487" s="8" t="n"/>
      <c r="G487" s="7" t="n"/>
      <c r="H487" s="7" t="n"/>
      <c r="I487" s="9" t="n"/>
    </row>
    <row r="488">
      <c r="A488" s="7" t="n"/>
      <c r="B488" s="7" t="n"/>
      <c r="C488" s="7" t="n"/>
      <c r="D488" s="7" t="n"/>
      <c r="E488" s="7" t="n"/>
      <c r="F488" s="8" t="n"/>
      <c r="G488" s="7" t="n"/>
      <c r="H488" s="7" t="n"/>
      <c r="I488" s="9" t="n"/>
    </row>
    <row r="489">
      <c r="A489" s="7" t="n"/>
      <c r="B489" s="7" t="n"/>
      <c r="C489" s="7" t="n"/>
      <c r="D489" s="7" t="n"/>
      <c r="E489" s="7" t="n"/>
      <c r="F489" s="8" t="n"/>
      <c r="G489" s="7" t="n"/>
      <c r="H489" s="7" t="n"/>
      <c r="I489" s="9" t="n"/>
    </row>
    <row r="490">
      <c r="A490" s="7" t="n"/>
      <c r="B490" s="7" t="n"/>
      <c r="C490" s="7" t="n"/>
      <c r="D490" s="7" t="n"/>
      <c r="E490" s="7" t="n"/>
      <c r="F490" s="8" t="n"/>
      <c r="G490" s="7" t="n"/>
      <c r="H490" s="7" t="n"/>
      <c r="I490" s="9" t="n"/>
    </row>
    <row r="491">
      <c r="A491" s="7" t="n"/>
      <c r="B491" s="7" t="n"/>
      <c r="C491" s="7" t="n"/>
      <c r="D491" s="7" t="n"/>
      <c r="E491" s="7" t="n"/>
      <c r="F491" s="8" t="n"/>
      <c r="G491" s="7" t="n"/>
      <c r="H491" s="7" t="n"/>
      <c r="I491" s="9" t="n"/>
    </row>
    <row r="492">
      <c r="A492" s="7" t="n"/>
      <c r="B492" s="7" t="n"/>
      <c r="C492" s="7" t="n"/>
      <c r="D492" s="7" t="n"/>
      <c r="E492" s="7" t="n"/>
      <c r="F492" s="8" t="n"/>
      <c r="G492" s="7" t="n"/>
      <c r="H492" s="7" t="n"/>
      <c r="I492" s="9" t="n"/>
    </row>
    <row r="493">
      <c r="A493" s="7" t="n"/>
      <c r="B493" s="7" t="n"/>
      <c r="C493" s="7" t="n"/>
      <c r="D493" s="7" t="n"/>
      <c r="E493" s="7" t="n"/>
      <c r="F493" s="8" t="n"/>
      <c r="G493" s="7" t="n"/>
      <c r="H493" s="7" t="n"/>
      <c r="I493" s="9" t="n"/>
    </row>
    <row r="494">
      <c r="A494" s="7" t="n"/>
      <c r="B494" s="7" t="n"/>
      <c r="C494" s="7" t="n"/>
      <c r="D494" s="7" t="n"/>
      <c r="E494" s="7" t="n"/>
      <c r="F494" s="8" t="n"/>
      <c r="G494" s="7" t="n"/>
      <c r="H494" s="7" t="n"/>
      <c r="I494" s="9" t="n"/>
    </row>
    <row r="495">
      <c r="A495" s="7" t="n"/>
      <c r="B495" s="7" t="n"/>
      <c r="C495" s="7" t="n"/>
      <c r="D495" s="7" t="n"/>
      <c r="E495" s="7" t="n"/>
      <c r="F495" s="8" t="n"/>
      <c r="G495" s="7" t="n"/>
      <c r="H495" s="7" t="n"/>
      <c r="I495" s="9" t="n"/>
    </row>
    <row r="496">
      <c r="A496" s="7" t="n"/>
      <c r="B496" s="7" t="n"/>
      <c r="C496" s="7" t="n"/>
      <c r="D496" s="7" t="n"/>
      <c r="E496" s="7" t="n"/>
      <c r="F496" s="8" t="n"/>
      <c r="G496" s="7" t="n"/>
      <c r="H496" s="7" t="n"/>
      <c r="I496" s="9" t="n"/>
    </row>
    <row r="497">
      <c r="A497" s="7" t="n"/>
      <c r="B497" s="7" t="n"/>
      <c r="C497" s="7" t="n"/>
      <c r="D497" s="7" t="n"/>
      <c r="E497" s="7" t="n"/>
      <c r="F497" s="8" t="n"/>
      <c r="G497" s="7" t="n"/>
      <c r="H497" s="7" t="n"/>
      <c r="I497" s="9" t="n"/>
    </row>
    <row r="498">
      <c r="A498" s="7" t="n"/>
      <c r="B498" s="7" t="n"/>
      <c r="C498" s="7" t="n"/>
      <c r="D498" s="7" t="n"/>
      <c r="E498" s="7" t="n"/>
      <c r="F498" s="8" t="n"/>
      <c r="G498" s="7" t="n"/>
      <c r="H498" s="7" t="n"/>
      <c r="I498" s="9" t="n"/>
    </row>
    <row r="499">
      <c r="A499" s="7" t="n"/>
      <c r="B499" s="7" t="n"/>
      <c r="C499" s="7" t="n"/>
      <c r="D499" s="7" t="n"/>
      <c r="E499" s="7" t="n"/>
      <c r="F499" s="8" t="n"/>
      <c r="G499" s="7" t="n"/>
      <c r="H499" s="7" t="n"/>
      <c r="I499" s="9" t="n"/>
    </row>
    <row r="500">
      <c r="A500" s="7" t="n"/>
      <c r="B500" s="7" t="n"/>
      <c r="C500" s="7" t="n"/>
      <c r="D500" s="7" t="n"/>
      <c r="E500" s="7" t="n"/>
      <c r="F500" s="8" t="n"/>
      <c r="G500" s="7" t="n"/>
      <c r="H500" s="7" t="n"/>
      <c r="I500" s="9" t="n"/>
    </row>
    <row r="501">
      <c r="A501" s="7" t="n"/>
      <c r="B501" s="7" t="n"/>
      <c r="C501" s="7" t="n"/>
      <c r="D501" s="7" t="n"/>
      <c r="E501" s="7" t="n"/>
      <c r="F501" s="8" t="n"/>
      <c r="G501" s="7" t="n"/>
      <c r="H501" s="7" t="n"/>
      <c r="I501" s="9" t="n"/>
    </row>
  </sheetData>
  <dataValidations count="1">
    <dataValidation sqref="H2:H501" showDropDown="0" showInputMessage="1" showErrorMessage="0" allowBlank="1" errorTitle="목록에 없는 값" error="목록에서 골라 주세요." promptTitle="미취학" prompt="초등학교 입학 전이면 예" type="list">
      <formula1>"예"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00E8B27A"/>
    <outlinePr summaryBelow="1" summaryRight="1"/>
    <pageSetUpPr/>
  </sheetPr>
  <dimension ref="A1:J5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12" customWidth="1" min="3" max="3"/>
    <col width="10" customWidth="1" min="4" max="4"/>
    <col width="11" customWidth="1" min="5" max="5"/>
    <col width="12" customWidth="1" min="6" max="6"/>
    <col width="10" customWidth="1" min="7" max="7"/>
    <col width="11" customWidth="1" min="8" max="8"/>
    <col width="8" customWidth="1" min="9" max="9"/>
    <col width="24" customWidth="1" min="10" max="10"/>
  </cols>
  <sheetData>
    <row r="1" ht="24" customHeight="1">
      <c r="A1" s="6" t="inlineStr">
        <is>
          <t>받은날</t>
        </is>
      </c>
      <c r="B1" s="6" t="inlineStr">
        <is>
          <t>수강월</t>
        </is>
      </c>
      <c r="C1" s="6" t="inlineStr">
        <is>
          <t>원생</t>
        </is>
      </c>
      <c r="D1" s="6" t="inlineStr">
        <is>
          <t>구분</t>
        </is>
      </c>
      <c r="E1" s="6" t="inlineStr">
        <is>
          <t>수입구분</t>
        </is>
      </c>
      <c r="F1" s="6" t="inlineStr">
        <is>
          <t>금액</t>
        </is>
      </c>
      <c r="G1" s="6" t="inlineStr">
        <is>
          <t>결제수단</t>
        </is>
      </c>
      <c r="H1" s="6" t="inlineStr">
        <is>
          <t>현금영수증</t>
        </is>
      </c>
      <c r="I1" s="6" t="inlineStr">
        <is>
          <t>미취학</t>
        </is>
      </c>
      <c r="J1" s="6" t="inlineStr">
        <is>
          <t>메모</t>
        </is>
      </c>
    </row>
    <row r="2">
      <c r="A2" s="9" t="n"/>
      <c r="B2" s="7" t="n"/>
      <c r="C2" s="7" t="n"/>
      <c r="D2" s="7" t="n"/>
      <c r="E2" s="7" t="n"/>
      <c r="F2" s="8" t="n"/>
      <c r="G2" s="7" t="n"/>
      <c r="H2" s="7" t="n"/>
      <c r="I2" s="7">
        <f>IF(C2="","",IFERROR(IF(INDEX(원생!$H:$H,MATCH(C2,원생!$A:$A,0))="예","예",""),""))</f>
        <v/>
      </c>
      <c r="J2" s="7" t="n"/>
    </row>
    <row r="3">
      <c r="A3" s="9" t="n"/>
      <c r="B3" s="7" t="n"/>
      <c r="C3" s="7" t="n"/>
      <c r="D3" s="7" t="n"/>
      <c r="E3" s="7" t="n"/>
      <c r="F3" s="8" t="n"/>
      <c r="G3" s="7" t="n"/>
      <c r="H3" s="7" t="n"/>
      <c r="I3" s="7">
        <f>IF(C3="","",IFERROR(IF(INDEX(원생!$H:$H,MATCH(C3,원생!$A:$A,0))="예","예",""),""))</f>
        <v/>
      </c>
      <c r="J3" s="7" t="n"/>
    </row>
    <row r="4">
      <c r="A4" s="9" t="n"/>
      <c r="B4" s="7" t="n"/>
      <c r="C4" s="7" t="n"/>
      <c r="D4" s="7" t="n"/>
      <c r="E4" s="7" t="n"/>
      <c r="F4" s="8" t="n"/>
      <c r="G4" s="7" t="n"/>
      <c r="H4" s="7" t="n"/>
      <c r="I4" s="7">
        <f>IF(C4="","",IFERROR(IF(INDEX(원생!$H:$H,MATCH(C4,원생!$A:$A,0))="예","예",""),""))</f>
        <v/>
      </c>
      <c r="J4" s="7" t="n"/>
    </row>
    <row r="5">
      <c r="A5" s="9" t="n"/>
      <c r="B5" s="7" t="n"/>
      <c r="C5" s="7" t="n"/>
      <c r="D5" s="7" t="n"/>
      <c r="E5" s="7" t="n"/>
      <c r="F5" s="8" t="n"/>
      <c r="G5" s="7" t="n"/>
      <c r="H5" s="7" t="n"/>
      <c r="I5" s="7">
        <f>IF(C5="","",IFERROR(IF(INDEX(원생!$H:$H,MATCH(C5,원생!$A:$A,0))="예","예",""),""))</f>
        <v/>
      </c>
      <c r="J5" s="7" t="n"/>
    </row>
    <row r="6">
      <c r="A6" s="9" t="n"/>
      <c r="B6" s="7" t="n"/>
      <c r="C6" s="7" t="n"/>
      <c r="D6" s="7" t="n"/>
      <c r="E6" s="7" t="n"/>
      <c r="F6" s="8" t="n"/>
      <c r="G6" s="7" t="n"/>
      <c r="H6" s="7" t="n"/>
      <c r="I6" s="7">
        <f>IF(C6="","",IFERROR(IF(INDEX(원생!$H:$H,MATCH(C6,원생!$A:$A,0))="예","예",""),""))</f>
        <v/>
      </c>
      <c r="J6" s="7" t="n"/>
    </row>
    <row r="7">
      <c r="A7" s="9" t="n"/>
      <c r="B7" s="7" t="n"/>
      <c r="C7" s="7" t="n"/>
      <c r="D7" s="7" t="n"/>
      <c r="E7" s="7" t="n"/>
      <c r="F7" s="8" t="n"/>
      <c r="G7" s="7" t="n"/>
      <c r="H7" s="7" t="n"/>
      <c r="I7" s="7">
        <f>IF(C7="","",IFERROR(IF(INDEX(원생!$H:$H,MATCH(C7,원생!$A:$A,0))="예","예",""),""))</f>
        <v/>
      </c>
      <c r="J7" s="7" t="n"/>
    </row>
    <row r="8">
      <c r="A8" s="9" t="n"/>
      <c r="B8" s="7" t="n"/>
      <c r="C8" s="7" t="n"/>
      <c r="D8" s="7" t="n"/>
      <c r="E8" s="7" t="n"/>
      <c r="F8" s="8" t="n"/>
      <c r="G8" s="7" t="n"/>
      <c r="H8" s="7" t="n"/>
      <c r="I8" s="7">
        <f>IF(C8="","",IFERROR(IF(INDEX(원생!$H:$H,MATCH(C8,원생!$A:$A,0))="예","예",""),""))</f>
        <v/>
      </c>
      <c r="J8" s="7" t="n"/>
    </row>
    <row r="9">
      <c r="A9" s="9" t="n"/>
      <c r="B9" s="7" t="n"/>
      <c r="C9" s="7" t="n"/>
      <c r="D9" s="7" t="n"/>
      <c r="E9" s="7" t="n"/>
      <c r="F9" s="8" t="n"/>
      <c r="G9" s="7" t="n"/>
      <c r="H9" s="7" t="n"/>
      <c r="I9" s="7">
        <f>IF(C9="","",IFERROR(IF(INDEX(원생!$H:$H,MATCH(C9,원생!$A:$A,0))="예","예",""),""))</f>
        <v/>
      </c>
      <c r="J9" s="7" t="n"/>
    </row>
    <row r="10">
      <c r="A10" s="9" t="n"/>
      <c r="B10" s="7" t="n"/>
      <c r="C10" s="7" t="n"/>
      <c r="D10" s="7" t="n"/>
      <c r="E10" s="7" t="n"/>
      <c r="F10" s="8" t="n"/>
      <c r="G10" s="7" t="n"/>
      <c r="H10" s="7" t="n"/>
      <c r="I10" s="7">
        <f>IF(C10="","",IFERROR(IF(INDEX(원생!$H:$H,MATCH(C10,원생!$A:$A,0))="예","예",""),""))</f>
        <v/>
      </c>
      <c r="J10" s="7" t="n"/>
    </row>
    <row r="11">
      <c r="A11" s="9" t="n"/>
      <c r="B11" s="7" t="n"/>
      <c r="C11" s="7" t="n"/>
      <c r="D11" s="7" t="n"/>
      <c r="E11" s="7" t="n"/>
      <c r="F11" s="8" t="n"/>
      <c r="G11" s="7" t="n"/>
      <c r="H11" s="7" t="n"/>
      <c r="I11" s="7">
        <f>IF(C11="","",IFERROR(IF(INDEX(원생!$H:$H,MATCH(C11,원생!$A:$A,0))="예","예",""),""))</f>
        <v/>
      </c>
      <c r="J11" s="7" t="n"/>
    </row>
    <row r="12">
      <c r="A12" s="9" t="n"/>
      <c r="B12" s="7" t="n"/>
      <c r="C12" s="7" t="n"/>
      <c r="D12" s="7" t="n"/>
      <c r="E12" s="7" t="n"/>
      <c r="F12" s="8" t="n"/>
      <c r="G12" s="7" t="n"/>
      <c r="H12" s="7" t="n"/>
      <c r="I12" s="7">
        <f>IF(C12="","",IFERROR(IF(INDEX(원생!$H:$H,MATCH(C12,원생!$A:$A,0))="예","예",""),""))</f>
        <v/>
      </c>
      <c r="J12" s="7" t="n"/>
    </row>
    <row r="13">
      <c r="A13" s="9" t="n"/>
      <c r="B13" s="7" t="n"/>
      <c r="C13" s="7" t="n"/>
      <c r="D13" s="7" t="n"/>
      <c r="E13" s="7" t="n"/>
      <c r="F13" s="8" t="n"/>
      <c r="G13" s="7" t="n"/>
      <c r="H13" s="7" t="n"/>
      <c r="I13" s="7">
        <f>IF(C13="","",IFERROR(IF(INDEX(원생!$H:$H,MATCH(C13,원생!$A:$A,0))="예","예",""),""))</f>
        <v/>
      </c>
      <c r="J13" s="7" t="n"/>
    </row>
    <row r="14">
      <c r="A14" s="9" t="n"/>
      <c r="B14" s="7" t="n"/>
      <c r="C14" s="7" t="n"/>
      <c r="D14" s="7" t="n"/>
      <c r="E14" s="7" t="n"/>
      <c r="F14" s="8" t="n"/>
      <c r="G14" s="7" t="n"/>
      <c r="H14" s="7" t="n"/>
      <c r="I14" s="7">
        <f>IF(C14="","",IFERROR(IF(INDEX(원생!$H:$H,MATCH(C14,원생!$A:$A,0))="예","예",""),""))</f>
        <v/>
      </c>
      <c r="J14" s="7" t="n"/>
    </row>
    <row r="15">
      <c r="A15" s="9" t="n"/>
      <c r="B15" s="7" t="n"/>
      <c r="C15" s="7" t="n"/>
      <c r="D15" s="7" t="n"/>
      <c r="E15" s="7" t="n"/>
      <c r="F15" s="8" t="n"/>
      <c r="G15" s="7" t="n"/>
      <c r="H15" s="7" t="n"/>
      <c r="I15" s="7">
        <f>IF(C15="","",IFERROR(IF(INDEX(원생!$H:$H,MATCH(C15,원생!$A:$A,0))="예","예",""),""))</f>
        <v/>
      </c>
      <c r="J15" s="7" t="n"/>
    </row>
    <row r="16">
      <c r="A16" s="9" t="n"/>
      <c r="B16" s="7" t="n"/>
      <c r="C16" s="7" t="n"/>
      <c r="D16" s="7" t="n"/>
      <c r="E16" s="7" t="n"/>
      <c r="F16" s="8" t="n"/>
      <c r="G16" s="7" t="n"/>
      <c r="H16" s="7" t="n"/>
      <c r="I16" s="7">
        <f>IF(C16="","",IFERROR(IF(INDEX(원생!$H:$H,MATCH(C16,원생!$A:$A,0))="예","예",""),""))</f>
        <v/>
      </c>
      <c r="J16" s="7" t="n"/>
    </row>
    <row r="17">
      <c r="A17" s="9" t="n"/>
      <c r="B17" s="7" t="n"/>
      <c r="C17" s="7" t="n"/>
      <c r="D17" s="7" t="n"/>
      <c r="E17" s="7" t="n"/>
      <c r="F17" s="8" t="n"/>
      <c r="G17" s="7" t="n"/>
      <c r="H17" s="7" t="n"/>
      <c r="I17" s="7">
        <f>IF(C17="","",IFERROR(IF(INDEX(원생!$H:$H,MATCH(C17,원생!$A:$A,0))="예","예",""),""))</f>
        <v/>
      </c>
      <c r="J17" s="7" t="n"/>
    </row>
    <row r="18">
      <c r="A18" s="9" t="n"/>
      <c r="B18" s="7" t="n"/>
      <c r="C18" s="7" t="n"/>
      <c r="D18" s="7" t="n"/>
      <c r="E18" s="7" t="n"/>
      <c r="F18" s="8" t="n"/>
      <c r="G18" s="7" t="n"/>
      <c r="H18" s="7" t="n"/>
      <c r="I18" s="7">
        <f>IF(C18="","",IFERROR(IF(INDEX(원생!$H:$H,MATCH(C18,원생!$A:$A,0))="예","예",""),""))</f>
        <v/>
      </c>
      <c r="J18" s="7" t="n"/>
    </row>
    <row r="19">
      <c r="A19" s="9" t="n"/>
      <c r="B19" s="7" t="n"/>
      <c r="C19" s="7" t="n"/>
      <c r="D19" s="7" t="n"/>
      <c r="E19" s="7" t="n"/>
      <c r="F19" s="8" t="n"/>
      <c r="G19" s="7" t="n"/>
      <c r="H19" s="7" t="n"/>
      <c r="I19" s="7">
        <f>IF(C19="","",IFERROR(IF(INDEX(원생!$H:$H,MATCH(C19,원생!$A:$A,0))="예","예",""),""))</f>
        <v/>
      </c>
      <c r="J19" s="7" t="n"/>
    </row>
    <row r="20">
      <c r="A20" s="9" t="n"/>
      <c r="B20" s="7" t="n"/>
      <c r="C20" s="7" t="n"/>
      <c r="D20" s="7" t="n"/>
      <c r="E20" s="7" t="n"/>
      <c r="F20" s="8" t="n"/>
      <c r="G20" s="7" t="n"/>
      <c r="H20" s="7" t="n"/>
      <c r="I20" s="7">
        <f>IF(C20="","",IFERROR(IF(INDEX(원생!$H:$H,MATCH(C20,원생!$A:$A,0))="예","예",""),""))</f>
        <v/>
      </c>
      <c r="J20" s="7" t="n"/>
    </row>
    <row r="21">
      <c r="A21" s="9" t="n"/>
      <c r="B21" s="7" t="n"/>
      <c r="C21" s="7" t="n"/>
      <c r="D21" s="7" t="n"/>
      <c r="E21" s="7" t="n"/>
      <c r="F21" s="8" t="n"/>
      <c r="G21" s="7" t="n"/>
      <c r="H21" s="7" t="n"/>
      <c r="I21" s="7">
        <f>IF(C21="","",IFERROR(IF(INDEX(원생!$H:$H,MATCH(C21,원생!$A:$A,0))="예","예",""),""))</f>
        <v/>
      </c>
      <c r="J21" s="7" t="n"/>
    </row>
    <row r="22">
      <c r="A22" s="9" t="n"/>
      <c r="B22" s="7" t="n"/>
      <c r="C22" s="7" t="n"/>
      <c r="D22" s="7" t="n"/>
      <c r="E22" s="7" t="n"/>
      <c r="F22" s="8" t="n"/>
      <c r="G22" s="7" t="n"/>
      <c r="H22" s="7" t="n"/>
      <c r="I22" s="7">
        <f>IF(C22="","",IFERROR(IF(INDEX(원생!$H:$H,MATCH(C22,원생!$A:$A,0))="예","예",""),""))</f>
        <v/>
      </c>
      <c r="J22" s="7" t="n"/>
    </row>
    <row r="23">
      <c r="A23" s="9" t="n"/>
      <c r="B23" s="7" t="n"/>
      <c r="C23" s="7" t="n"/>
      <c r="D23" s="7" t="n"/>
      <c r="E23" s="7" t="n"/>
      <c r="F23" s="8" t="n"/>
      <c r="G23" s="7" t="n"/>
      <c r="H23" s="7" t="n"/>
      <c r="I23" s="7">
        <f>IF(C23="","",IFERROR(IF(INDEX(원생!$H:$H,MATCH(C23,원생!$A:$A,0))="예","예",""),""))</f>
        <v/>
      </c>
      <c r="J23" s="7" t="n"/>
    </row>
    <row r="24">
      <c r="A24" s="9" t="n"/>
      <c r="B24" s="7" t="n"/>
      <c r="C24" s="7" t="n"/>
      <c r="D24" s="7" t="n"/>
      <c r="E24" s="7" t="n"/>
      <c r="F24" s="8" t="n"/>
      <c r="G24" s="7" t="n"/>
      <c r="H24" s="7" t="n"/>
      <c r="I24" s="7">
        <f>IF(C24="","",IFERROR(IF(INDEX(원생!$H:$H,MATCH(C24,원생!$A:$A,0))="예","예",""),""))</f>
        <v/>
      </c>
      <c r="J24" s="7" t="n"/>
    </row>
    <row r="25">
      <c r="A25" s="9" t="n"/>
      <c r="B25" s="7" t="n"/>
      <c r="C25" s="7" t="n"/>
      <c r="D25" s="7" t="n"/>
      <c r="E25" s="7" t="n"/>
      <c r="F25" s="8" t="n"/>
      <c r="G25" s="7" t="n"/>
      <c r="H25" s="7" t="n"/>
      <c r="I25" s="7">
        <f>IF(C25="","",IFERROR(IF(INDEX(원생!$H:$H,MATCH(C25,원생!$A:$A,0))="예","예",""),""))</f>
        <v/>
      </c>
      <c r="J25" s="7" t="n"/>
    </row>
    <row r="26">
      <c r="A26" s="9" t="n"/>
      <c r="B26" s="7" t="n"/>
      <c r="C26" s="7" t="n"/>
      <c r="D26" s="7" t="n"/>
      <c r="E26" s="7" t="n"/>
      <c r="F26" s="8" t="n"/>
      <c r="G26" s="7" t="n"/>
      <c r="H26" s="7" t="n"/>
      <c r="I26" s="7">
        <f>IF(C26="","",IFERROR(IF(INDEX(원생!$H:$H,MATCH(C26,원생!$A:$A,0))="예","예",""),""))</f>
        <v/>
      </c>
      <c r="J26" s="7" t="n"/>
    </row>
    <row r="27">
      <c r="A27" s="9" t="n"/>
      <c r="B27" s="7" t="n"/>
      <c r="C27" s="7" t="n"/>
      <c r="D27" s="7" t="n"/>
      <c r="E27" s="7" t="n"/>
      <c r="F27" s="8" t="n"/>
      <c r="G27" s="7" t="n"/>
      <c r="H27" s="7" t="n"/>
      <c r="I27" s="7">
        <f>IF(C27="","",IFERROR(IF(INDEX(원생!$H:$H,MATCH(C27,원생!$A:$A,0))="예","예",""),""))</f>
        <v/>
      </c>
      <c r="J27" s="7" t="n"/>
    </row>
    <row r="28">
      <c r="A28" s="9" t="n"/>
      <c r="B28" s="7" t="n"/>
      <c r="C28" s="7" t="n"/>
      <c r="D28" s="7" t="n"/>
      <c r="E28" s="7" t="n"/>
      <c r="F28" s="8" t="n"/>
      <c r="G28" s="7" t="n"/>
      <c r="H28" s="7" t="n"/>
      <c r="I28" s="7">
        <f>IF(C28="","",IFERROR(IF(INDEX(원생!$H:$H,MATCH(C28,원생!$A:$A,0))="예","예",""),""))</f>
        <v/>
      </c>
      <c r="J28" s="7" t="n"/>
    </row>
    <row r="29">
      <c r="A29" s="9" t="n"/>
      <c r="B29" s="7" t="n"/>
      <c r="C29" s="7" t="n"/>
      <c r="D29" s="7" t="n"/>
      <c r="E29" s="7" t="n"/>
      <c r="F29" s="8" t="n"/>
      <c r="G29" s="7" t="n"/>
      <c r="H29" s="7" t="n"/>
      <c r="I29" s="7">
        <f>IF(C29="","",IFERROR(IF(INDEX(원생!$H:$H,MATCH(C29,원생!$A:$A,0))="예","예",""),""))</f>
        <v/>
      </c>
      <c r="J29" s="7" t="n"/>
    </row>
    <row r="30">
      <c r="A30" s="9" t="n"/>
      <c r="B30" s="7" t="n"/>
      <c r="C30" s="7" t="n"/>
      <c r="D30" s="7" t="n"/>
      <c r="E30" s="7" t="n"/>
      <c r="F30" s="8" t="n"/>
      <c r="G30" s="7" t="n"/>
      <c r="H30" s="7" t="n"/>
      <c r="I30" s="7">
        <f>IF(C30="","",IFERROR(IF(INDEX(원생!$H:$H,MATCH(C30,원생!$A:$A,0))="예","예",""),""))</f>
        <v/>
      </c>
      <c r="J30" s="7" t="n"/>
    </row>
    <row r="31">
      <c r="A31" s="9" t="n"/>
      <c r="B31" s="7" t="n"/>
      <c r="C31" s="7" t="n"/>
      <c r="D31" s="7" t="n"/>
      <c r="E31" s="7" t="n"/>
      <c r="F31" s="8" t="n"/>
      <c r="G31" s="7" t="n"/>
      <c r="H31" s="7" t="n"/>
      <c r="I31" s="7">
        <f>IF(C31="","",IFERROR(IF(INDEX(원생!$H:$H,MATCH(C31,원생!$A:$A,0))="예","예",""),""))</f>
        <v/>
      </c>
      <c r="J31" s="7" t="n"/>
    </row>
    <row r="32">
      <c r="A32" s="9" t="n"/>
      <c r="B32" s="7" t="n"/>
      <c r="C32" s="7" t="n"/>
      <c r="D32" s="7" t="n"/>
      <c r="E32" s="7" t="n"/>
      <c r="F32" s="8" t="n"/>
      <c r="G32" s="7" t="n"/>
      <c r="H32" s="7" t="n"/>
      <c r="I32" s="7">
        <f>IF(C32="","",IFERROR(IF(INDEX(원생!$H:$H,MATCH(C32,원생!$A:$A,0))="예","예",""),""))</f>
        <v/>
      </c>
      <c r="J32" s="7" t="n"/>
    </row>
    <row r="33">
      <c r="A33" s="9" t="n"/>
      <c r="B33" s="7" t="n"/>
      <c r="C33" s="7" t="n"/>
      <c r="D33" s="7" t="n"/>
      <c r="E33" s="7" t="n"/>
      <c r="F33" s="8" t="n"/>
      <c r="G33" s="7" t="n"/>
      <c r="H33" s="7" t="n"/>
      <c r="I33" s="7">
        <f>IF(C33="","",IFERROR(IF(INDEX(원생!$H:$H,MATCH(C33,원생!$A:$A,0))="예","예",""),""))</f>
        <v/>
      </c>
      <c r="J33" s="7" t="n"/>
    </row>
    <row r="34">
      <c r="A34" s="9" t="n"/>
      <c r="B34" s="7" t="n"/>
      <c r="C34" s="7" t="n"/>
      <c r="D34" s="7" t="n"/>
      <c r="E34" s="7" t="n"/>
      <c r="F34" s="8" t="n"/>
      <c r="G34" s="7" t="n"/>
      <c r="H34" s="7" t="n"/>
      <c r="I34" s="7">
        <f>IF(C34="","",IFERROR(IF(INDEX(원생!$H:$H,MATCH(C34,원생!$A:$A,0))="예","예",""),""))</f>
        <v/>
      </c>
      <c r="J34" s="7" t="n"/>
    </row>
    <row r="35">
      <c r="A35" s="9" t="n"/>
      <c r="B35" s="7" t="n"/>
      <c r="C35" s="7" t="n"/>
      <c r="D35" s="7" t="n"/>
      <c r="E35" s="7" t="n"/>
      <c r="F35" s="8" t="n"/>
      <c r="G35" s="7" t="n"/>
      <c r="H35" s="7" t="n"/>
      <c r="I35" s="7">
        <f>IF(C35="","",IFERROR(IF(INDEX(원생!$H:$H,MATCH(C35,원생!$A:$A,0))="예","예",""),""))</f>
        <v/>
      </c>
      <c r="J35" s="7" t="n"/>
    </row>
    <row r="36">
      <c r="A36" s="9" t="n"/>
      <c r="B36" s="7" t="n"/>
      <c r="C36" s="7" t="n"/>
      <c r="D36" s="7" t="n"/>
      <c r="E36" s="7" t="n"/>
      <c r="F36" s="8" t="n"/>
      <c r="G36" s="7" t="n"/>
      <c r="H36" s="7" t="n"/>
      <c r="I36" s="7">
        <f>IF(C36="","",IFERROR(IF(INDEX(원생!$H:$H,MATCH(C36,원생!$A:$A,0))="예","예",""),""))</f>
        <v/>
      </c>
      <c r="J36" s="7" t="n"/>
    </row>
    <row r="37">
      <c r="A37" s="9" t="n"/>
      <c r="B37" s="7" t="n"/>
      <c r="C37" s="7" t="n"/>
      <c r="D37" s="7" t="n"/>
      <c r="E37" s="7" t="n"/>
      <c r="F37" s="8" t="n"/>
      <c r="G37" s="7" t="n"/>
      <c r="H37" s="7" t="n"/>
      <c r="I37" s="7">
        <f>IF(C37="","",IFERROR(IF(INDEX(원생!$H:$H,MATCH(C37,원생!$A:$A,0))="예","예",""),""))</f>
        <v/>
      </c>
      <c r="J37" s="7" t="n"/>
    </row>
    <row r="38">
      <c r="A38" s="9" t="n"/>
      <c r="B38" s="7" t="n"/>
      <c r="C38" s="7" t="n"/>
      <c r="D38" s="7" t="n"/>
      <c r="E38" s="7" t="n"/>
      <c r="F38" s="8" t="n"/>
      <c r="G38" s="7" t="n"/>
      <c r="H38" s="7" t="n"/>
      <c r="I38" s="7">
        <f>IF(C38="","",IFERROR(IF(INDEX(원생!$H:$H,MATCH(C38,원생!$A:$A,0))="예","예",""),""))</f>
        <v/>
      </c>
      <c r="J38" s="7" t="n"/>
    </row>
    <row r="39">
      <c r="A39" s="9" t="n"/>
      <c r="B39" s="7" t="n"/>
      <c r="C39" s="7" t="n"/>
      <c r="D39" s="7" t="n"/>
      <c r="E39" s="7" t="n"/>
      <c r="F39" s="8" t="n"/>
      <c r="G39" s="7" t="n"/>
      <c r="H39" s="7" t="n"/>
      <c r="I39" s="7">
        <f>IF(C39="","",IFERROR(IF(INDEX(원생!$H:$H,MATCH(C39,원생!$A:$A,0))="예","예",""),""))</f>
        <v/>
      </c>
      <c r="J39" s="7" t="n"/>
    </row>
    <row r="40">
      <c r="A40" s="9" t="n"/>
      <c r="B40" s="7" t="n"/>
      <c r="C40" s="7" t="n"/>
      <c r="D40" s="7" t="n"/>
      <c r="E40" s="7" t="n"/>
      <c r="F40" s="8" t="n"/>
      <c r="G40" s="7" t="n"/>
      <c r="H40" s="7" t="n"/>
      <c r="I40" s="7">
        <f>IF(C40="","",IFERROR(IF(INDEX(원생!$H:$H,MATCH(C40,원생!$A:$A,0))="예","예",""),""))</f>
        <v/>
      </c>
      <c r="J40" s="7" t="n"/>
    </row>
    <row r="41">
      <c r="A41" s="9" t="n"/>
      <c r="B41" s="7" t="n"/>
      <c r="C41" s="7" t="n"/>
      <c r="D41" s="7" t="n"/>
      <c r="E41" s="7" t="n"/>
      <c r="F41" s="8" t="n"/>
      <c r="G41" s="7" t="n"/>
      <c r="H41" s="7" t="n"/>
      <c r="I41" s="7">
        <f>IF(C41="","",IFERROR(IF(INDEX(원생!$H:$H,MATCH(C41,원생!$A:$A,0))="예","예",""),""))</f>
        <v/>
      </c>
      <c r="J41" s="7" t="n"/>
    </row>
    <row r="42">
      <c r="A42" s="9" t="n"/>
      <c r="B42" s="7" t="n"/>
      <c r="C42" s="7" t="n"/>
      <c r="D42" s="7" t="n"/>
      <c r="E42" s="7" t="n"/>
      <c r="F42" s="8" t="n"/>
      <c r="G42" s="7" t="n"/>
      <c r="H42" s="7" t="n"/>
      <c r="I42" s="7">
        <f>IF(C42="","",IFERROR(IF(INDEX(원생!$H:$H,MATCH(C42,원생!$A:$A,0))="예","예",""),""))</f>
        <v/>
      </c>
      <c r="J42" s="7" t="n"/>
    </row>
    <row r="43">
      <c r="A43" s="9" t="n"/>
      <c r="B43" s="7" t="n"/>
      <c r="C43" s="7" t="n"/>
      <c r="D43" s="7" t="n"/>
      <c r="E43" s="7" t="n"/>
      <c r="F43" s="8" t="n"/>
      <c r="G43" s="7" t="n"/>
      <c r="H43" s="7" t="n"/>
      <c r="I43" s="7">
        <f>IF(C43="","",IFERROR(IF(INDEX(원생!$H:$H,MATCH(C43,원생!$A:$A,0))="예","예",""),""))</f>
        <v/>
      </c>
      <c r="J43" s="7" t="n"/>
    </row>
    <row r="44">
      <c r="A44" s="9" t="n"/>
      <c r="B44" s="7" t="n"/>
      <c r="C44" s="7" t="n"/>
      <c r="D44" s="7" t="n"/>
      <c r="E44" s="7" t="n"/>
      <c r="F44" s="8" t="n"/>
      <c r="G44" s="7" t="n"/>
      <c r="H44" s="7" t="n"/>
      <c r="I44" s="7">
        <f>IF(C44="","",IFERROR(IF(INDEX(원생!$H:$H,MATCH(C44,원생!$A:$A,0))="예","예",""),""))</f>
        <v/>
      </c>
      <c r="J44" s="7" t="n"/>
    </row>
    <row r="45">
      <c r="A45" s="9" t="n"/>
      <c r="B45" s="7" t="n"/>
      <c r="C45" s="7" t="n"/>
      <c r="D45" s="7" t="n"/>
      <c r="E45" s="7" t="n"/>
      <c r="F45" s="8" t="n"/>
      <c r="G45" s="7" t="n"/>
      <c r="H45" s="7" t="n"/>
      <c r="I45" s="7">
        <f>IF(C45="","",IFERROR(IF(INDEX(원생!$H:$H,MATCH(C45,원생!$A:$A,0))="예","예",""),""))</f>
        <v/>
      </c>
      <c r="J45" s="7" t="n"/>
    </row>
    <row r="46">
      <c r="A46" s="9" t="n"/>
      <c r="B46" s="7" t="n"/>
      <c r="C46" s="7" t="n"/>
      <c r="D46" s="7" t="n"/>
      <c r="E46" s="7" t="n"/>
      <c r="F46" s="8" t="n"/>
      <c r="G46" s="7" t="n"/>
      <c r="H46" s="7" t="n"/>
      <c r="I46" s="7">
        <f>IF(C46="","",IFERROR(IF(INDEX(원생!$H:$H,MATCH(C46,원생!$A:$A,0))="예","예",""),""))</f>
        <v/>
      </c>
      <c r="J46" s="7" t="n"/>
    </row>
    <row r="47">
      <c r="A47" s="9" t="n"/>
      <c r="B47" s="7" t="n"/>
      <c r="C47" s="7" t="n"/>
      <c r="D47" s="7" t="n"/>
      <c r="E47" s="7" t="n"/>
      <c r="F47" s="8" t="n"/>
      <c r="G47" s="7" t="n"/>
      <c r="H47" s="7" t="n"/>
      <c r="I47" s="7">
        <f>IF(C47="","",IFERROR(IF(INDEX(원생!$H:$H,MATCH(C47,원생!$A:$A,0))="예","예",""),""))</f>
        <v/>
      </c>
      <c r="J47" s="7" t="n"/>
    </row>
    <row r="48">
      <c r="A48" s="9" t="n"/>
      <c r="B48" s="7" t="n"/>
      <c r="C48" s="7" t="n"/>
      <c r="D48" s="7" t="n"/>
      <c r="E48" s="7" t="n"/>
      <c r="F48" s="8" t="n"/>
      <c r="G48" s="7" t="n"/>
      <c r="H48" s="7" t="n"/>
      <c r="I48" s="7">
        <f>IF(C48="","",IFERROR(IF(INDEX(원생!$H:$H,MATCH(C48,원생!$A:$A,0))="예","예",""),""))</f>
        <v/>
      </c>
      <c r="J48" s="7" t="n"/>
    </row>
    <row r="49">
      <c r="A49" s="9" t="n"/>
      <c r="B49" s="7" t="n"/>
      <c r="C49" s="7" t="n"/>
      <c r="D49" s="7" t="n"/>
      <c r="E49" s="7" t="n"/>
      <c r="F49" s="8" t="n"/>
      <c r="G49" s="7" t="n"/>
      <c r="H49" s="7" t="n"/>
      <c r="I49" s="7">
        <f>IF(C49="","",IFERROR(IF(INDEX(원생!$H:$H,MATCH(C49,원생!$A:$A,0))="예","예",""),""))</f>
        <v/>
      </c>
      <c r="J49" s="7" t="n"/>
    </row>
    <row r="50">
      <c r="A50" s="9" t="n"/>
      <c r="B50" s="7" t="n"/>
      <c r="C50" s="7" t="n"/>
      <c r="D50" s="7" t="n"/>
      <c r="E50" s="7" t="n"/>
      <c r="F50" s="8" t="n"/>
      <c r="G50" s="7" t="n"/>
      <c r="H50" s="7" t="n"/>
      <c r="I50" s="7">
        <f>IF(C50="","",IFERROR(IF(INDEX(원생!$H:$H,MATCH(C50,원생!$A:$A,0))="예","예",""),""))</f>
        <v/>
      </c>
      <c r="J50" s="7" t="n"/>
    </row>
    <row r="51">
      <c r="A51" s="9" t="n"/>
      <c r="B51" s="7" t="n"/>
      <c r="C51" s="7" t="n"/>
      <c r="D51" s="7" t="n"/>
      <c r="E51" s="7" t="n"/>
      <c r="F51" s="8" t="n"/>
      <c r="G51" s="7" t="n"/>
      <c r="H51" s="7" t="n"/>
      <c r="I51" s="7">
        <f>IF(C51="","",IFERROR(IF(INDEX(원생!$H:$H,MATCH(C51,원생!$A:$A,0))="예","예",""),""))</f>
        <v/>
      </c>
      <c r="J51" s="7" t="n"/>
    </row>
    <row r="52">
      <c r="A52" s="9" t="n"/>
      <c r="B52" s="7" t="n"/>
      <c r="C52" s="7" t="n"/>
      <c r="D52" s="7" t="n"/>
      <c r="E52" s="7" t="n"/>
      <c r="F52" s="8" t="n"/>
      <c r="G52" s="7" t="n"/>
      <c r="H52" s="7" t="n"/>
      <c r="I52" s="7">
        <f>IF(C52="","",IFERROR(IF(INDEX(원생!$H:$H,MATCH(C52,원생!$A:$A,0))="예","예",""),""))</f>
        <v/>
      </c>
      <c r="J52" s="7" t="n"/>
    </row>
    <row r="53">
      <c r="A53" s="9" t="n"/>
      <c r="B53" s="7" t="n"/>
      <c r="C53" s="7" t="n"/>
      <c r="D53" s="7" t="n"/>
      <c r="E53" s="7" t="n"/>
      <c r="F53" s="8" t="n"/>
      <c r="G53" s="7" t="n"/>
      <c r="H53" s="7" t="n"/>
      <c r="I53" s="7">
        <f>IF(C53="","",IFERROR(IF(INDEX(원생!$H:$H,MATCH(C53,원생!$A:$A,0))="예","예",""),""))</f>
        <v/>
      </c>
      <c r="J53" s="7" t="n"/>
    </row>
    <row r="54">
      <c r="A54" s="9" t="n"/>
      <c r="B54" s="7" t="n"/>
      <c r="C54" s="7" t="n"/>
      <c r="D54" s="7" t="n"/>
      <c r="E54" s="7" t="n"/>
      <c r="F54" s="8" t="n"/>
      <c r="G54" s="7" t="n"/>
      <c r="H54" s="7" t="n"/>
      <c r="I54" s="7">
        <f>IF(C54="","",IFERROR(IF(INDEX(원생!$H:$H,MATCH(C54,원생!$A:$A,0))="예","예",""),""))</f>
        <v/>
      </c>
      <c r="J54" s="7" t="n"/>
    </row>
    <row r="55">
      <c r="A55" s="9" t="n"/>
      <c r="B55" s="7" t="n"/>
      <c r="C55" s="7" t="n"/>
      <c r="D55" s="7" t="n"/>
      <c r="E55" s="7" t="n"/>
      <c r="F55" s="8" t="n"/>
      <c r="G55" s="7" t="n"/>
      <c r="H55" s="7" t="n"/>
      <c r="I55" s="7">
        <f>IF(C55="","",IFERROR(IF(INDEX(원생!$H:$H,MATCH(C55,원생!$A:$A,0))="예","예",""),""))</f>
        <v/>
      </c>
      <c r="J55" s="7" t="n"/>
    </row>
    <row r="56">
      <c r="A56" s="9" t="n"/>
      <c r="B56" s="7" t="n"/>
      <c r="C56" s="7" t="n"/>
      <c r="D56" s="7" t="n"/>
      <c r="E56" s="7" t="n"/>
      <c r="F56" s="8" t="n"/>
      <c r="G56" s="7" t="n"/>
      <c r="H56" s="7" t="n"/>
      <c r="I56" s="7">
        <f>IF(C56="","",IFERROR(IF(INDEX(원생!$H:$H,MATCH(C56,원생!$A:$A,0))="예","예",""),""))</f>
        <v/>
      </c>
      <c r="J56" s="7" t="n"/>
    </row>
    <row r="57">
      <c r="A57" s="9" t="n"/>
      <c r="B57" s="7" t="n"/>
      <c r="C57" s="7" t="n"/>
      <c r="D57" s="7" t="n"/>
      <c r="E57" s="7" t="n"/>
      <c r="F57" s="8" t="n"/>
      <c r="G57" s="7" t="n"/>
      <c r="H57" s="7" t="n"/>
      <c r="I57" s="7">
        <f>IF(C57="","",IFERROR(IF(INDEX(원생!$H:$H,MATCH(C57,원생!$A:$A,0))="예","예",""),""))</f>
        <v/>
      </c>
      <c r="J57" s="7" t="n"/>
    </row>
    <row r="58">
      <c r="A58" s="9" t="n"/>
      <c r="B58" s="7" t="n"/>
      <c r="C58" s="7" t="n"/>
      <c r="D58" s="7" t="n"/>
      <c r="E58" s="7" t="n"/>
      <c r="F58" s="8" t="n"/>
      <c r="G58" s="7" t="n"/>
      <c r="H58" s="7" t="n"/>
      <c r="I58" s="7">
        <f>IF(C58="","",IFERROR(IF(INDEX(원생!$H:$H,MATCH(C58,원생!$A:$A,0))="예","예",""),""))</f>
        <v/>
      </c>
      <c r="J58" s="7" t="n"/>
    </row>
    <row r="59">
      <c r="A59" s="9" t="n"/>
      <c r="B59" s="7" t="n"/>
      <c r="C59" s="7" t="n"/>
      <c r="D59" s="7" t="n"/>
      <c r="E59" s="7" t="n"/>
      <c r="F59" s="8" t="n"/>
      <c r="G59" s="7" t="n"/>
      <c r="H59" s="7" t="n"/>
      <c r="I59" s="7">
        <f>IF(C59="","",IFERROR(IF(INDEX(원생!$H:$H,MATCH(C59,원생!$A:$A,0))="예","예",""),""))</f>
        <v/>
      </c>
      <c r="J59" s="7" t="n"/>
    </row>
    <row r="60">
      <c r="A60" s="9" t="n"/>
      <c r="B60" s="7" t="n"/>
      <c r="C60" s="7" t="n"/>
      <c r="D60" s="7" t="n"/>
      <c r="E60" s="7" t="n"/>
      <c r="F60" s="8" t="n"/>
      <c r="G60" s="7" t="n"/>
      <c r="H60" s="7" t="n"/>
      <c r="I60" s="7">
        <f>IF(C60="","",IFERROR(IF(INDEX(원생!$H:$H,MATCH(C60,원생!$A:$A,0))="예","예",""),""))</f>
        <v/>
      </c>
      <c r="J60" s="7" t="n"/>
    </row>
    <row r="61">
      <c r="A61" s="9" t="n"/>
      <c r="B61" s="7" t="n"/>
      <c r="C61" s="7" t="n"/>
      <c r="D61" s="7" t="n"/>
      <c r="E61" s="7" t="n"/>
      <c r="F61" s="8" t="n"/>
      <c r="G61" s="7" t="n"/>
      <c r="H61" s="7" t="n"/>
      <c r="I61" s="7">
        <f>IF(C61="","",IFERROR(IF(INDEX(원생!$H:$H,MATCH(C61,원생!$A:$A,0))="예","예",""),""))</f>
        <v/>
      </c>
      <c r="J61" s="7" t="n"/>
    </row>
    <row r="62">
      <c r="A62" s="9" t="n"/>
      <c r="B62" s="7" t="n"/>
      <c r="C62" s="7" t="n"/>
      <c r="D62" s="7" t="n"/>
      <c r="E62" s="7" t="n"/>
      <c r="F62" s="8" t="n"/>
      <c r="G62" s="7" t="n"/>
      <c r="H62" s="7" t="n"/>
      <c r="I62" s="7">
        <f>IF(C62="","",IFERROR(IF(INDEX(원생!$H:$H,MATCH(C62,원생!$A:$A,0))="예","예",""),""))</f>
        <v/>
      </c>
      <c r="J62" s="7" t="n"/>
    </row>
    <row r="63">
      <c r="A63" s="9" t="n"/>
      <c r="B63" s="7" t="n"/>
      <c r="C63" s="7" t="n"/>
      <c r="D63" s="7" t="n"/>
      <c r="E63" s="7" t="n"/>
      <c r="F63" s="8" t="n"/>
      <c r="G63" s="7" t="n"/>
      <c r="H63" s="7" t="n"/>
      <c r="I63" s="7">
        <f>IF(C63="","",IFERROR(IF(INDEX(원생!$H:$H,MATCH(C63,원생!$A:$A,0))="예","예",""),""))</f>
        <v/>
      </c>
      <c r="J63" s="7" t="n"/>
    </row>
    <row r="64">
      <c r="A64" s="9" t="n"/>
      <c r="B64" s="7" t="n"/>
      <c r="C64" s="7" t="n"/>
      <c r="D64" s="7" t="n"/>
      <c r="E64" s="7" t="n"/>
      <c r="F64" s="8" t="n"/>
      <c r="G64" s="7" t="n"/>
      <c r="H64" s="7" t="n"/>
      <c r="I64" s="7">
        <f>IF(C64="","",IFERROR(IF(INDEX(원생!$H:$H,MATCH(C64,원생!$A:$A,0))="예","예",""),""))</f>
        <v/>
      </c>
      <c r="J64" s="7" t="n"/>
    </row>
    <row r="65">
      <c r="A65" s="9" t="n"/>
      <c r="B65" s="7" t="n"/>
      <c r="C65" s="7" t="n"/>
      <c r="D65" s="7" t="n"/>
      <c r="E65" s="7" t="n"/>
      <c r="F65" s="8" t="n"/>
      <c r="G65" s="7" t="n"/>
      <c r="H65" s="7" t="n"/>
      <c r="I65" s="7">
        <f>IF(C65="","",IFERROR(IF(INDEX(원생!$H:$H,MATCH(C65,원생!$A:$A,0))="예","예",""),""))</f>
        <v/>
      </c>
      <c r="J65" s="7" t="n"/>
    </row>
    <row r="66">
      <c r="A66" s="9" t="n"/>
      <c r="B66" s="7" t="n"/>
      <c r="C66" s="7" t="n"/>
      <c r="D66" s="7" t="n"/>
      <c r="E66" s="7" t="n"/>
      <c r="F66" s="8" t="n"/>
      <c r="G66" s="7" t="n"/>
      <c r="H66" s="7" t="n"/>
      <c r="I66" s="7">
        <f>IF(C66="","",IFERROR(IF(INDEX(원생!$H:$H,MATCH(C66,원생!$A:$A,0))="예","예",""),""))</f>
        <v/>
      </c>
      <c r="J66" s="7" t="n"/>
    </row>
    <row r="67">
      <c r="A67" s="9" t="n"/>
      <c r="B67" s="7" t="n"/>
      <c r="C67" s="7" t="n"/>
      <c r="D67" s="7" t="n"/>
      <c r="E67" s="7" t="n"/>
      <c r="F67" s="8" t="n"/>
      <c r="G67" s="7" t="n"/>
      <c r="H67" s="7" t="n"/>
      <c r="I67" s="7">
        <f>IF(C67="","",IFERROR(IF(INDEX(원생!$H:$H,MATCH(C67,원생!$A:$A,0))="예","예",""),""))</f>
        <v/>
      </c>
      <c r="J67" s="7" t="n"/>
    </row>
    <row r="68">
      <c r="A68" s="9" t="n"/>
      <c r="B68" s="7" t="n"/>
      <c r="C68" s="7" t="n"/>
      <c r="D68" s="7" t="n"/>
      <c r="E68" s="7" t="n"/>
      <c r="F68" s="8" t="n"/>
      <c r="G68" s="7" t="n"/>
      <c r="H68" s="7" t="n"/>
      <c r="I68" s="7">
        <f>IF(C68="","",IFERROR(IF(INDEX(원생!$H:$H,MATCH(C68,원생!$A:$A,0))="예","예",""),""))</f>
        <v/>
      </c>
      <c r="J68" s="7" t="n"/>
    </row>
    <row r="69">
      <c r="A69" s="9" t="n"/>
      <c r="B69" s="7" t="n"/>
      <c r="C69" s="7" t="n"/>
      <c r="D69" s="7" t="n"/>
      <c r="E69" s="7" t="n"/>
      <c r="F69" s="8" t="n"/>
      <c r="G69" s="7" t="n"/>
      <c r="H69" s="7" t="n"/>
      <c r="I69" s="7">
        <f>IF(C69="","",IFERROR(IF(INDEX(원생!$H:$H,MATCH(C69,원생!$A:$A,0))="예","예",""),""))</f>
        <v/>
      </c>
      <c r="J69" s="7" t="n"/>
    </row>
    <row r="70">
      <c r="A70" s="9" t="n"/>
      <c r="B70" s="7" t="n"/>
      <c r="C70" s="7" t="n"/>
      <c r="D70" s="7" t="n"/>
      <c r="E70" s="7" t="n"/>
      <c r="F70" s="8" t="n"/>
      <c r="G70" s="7" t="n"/>
      <c r="H70" s="7" t="n"/>
      <c r="I70" s="7">
        <f>IF(C70="","",IFERROR(IF(INDEX(원생!$H:$H,MATCH(C70,원생!$A:$A,0))="예","예",""),""))</f>
        <v/>
      </c>
      <c r="J70" s="7" t="n"/>
    </row>
    <row r="71">
      <c r="A71" s="9" t="n"/>
      <c r="B71" s="7" t="n"/>
      <c r="C71" s="7" t="n"/>
      <c r="D71" s="7" t="n"/>
      <c r="E71" s="7" t="n"/>
      <c r="F71" s="8" t="n"/>
      <c r="G71" s="7" t="n"/>
      <c r="H71" s="7" t="n"/>
      <c r="I71" s="7">
        <f>IF(C71="","",IFERROR(IF(INDEX(원생!$H:$H,MATCH(C71,원생!$A:$A,0))="예","예",""),""))</f>
        <v/>
      </c>
      <c r="J71" s="7" t="n"/>
    </row>
    <row r="72">
      <c r="A72" s="9" t="n"/>
      <c r="B72" s="7" t="n"/>
      <c r="C72" s="7" t="n"/>
      <c r="D72" s="7" t="n"/>
      <c r="E72" s="7" t="n"/>
      <c r="F72" s="8" t="n"/>
      <c r="G72" s="7" t="n"/>
      <c r="H72" s="7" t="n"/>
      <c r="I72" s="7">
        <f>IF(C72="","",IFERROR(IF(INDEX(원생!$H:$H,MATCH(C72,원생!$A:$A,0))="예","예",""),""))</f>
        <v/>
      </c>
      <c r="J72" s="7" t="n"/>
    </row>
    <row r="73">
      <c r="A73" s="9" t="n"/>
      <c r="B73" s="7" t="n"/>
      <c r="C73" s="7" t="n"/>
      <c r="D73" s="7" t="n"/>
      <c r="E73" s="7" t="n"/>
      <c r="F73" s="8" t="n"/>
      <c r="G73" s="7" t="n"/>
      <c r="H73" s="7" t="n"/>
      <c r="I73" s="7">
        <f>IF(C73="","",IFERROR(IF(INDEX(원생!$H:$H,MATCH(C73,원생!$A:$A,0))="예","예",""),""))</f>
        <v/>
      </c>
      <c r="J73" s="7" t="n"/>
    </row>
    <row r="74">
      <c r="A74" s="9" t="n"/>
      <c r="B74" s="7" t="n"/>
      <c r="C74" s="7" t="n"/>
      <c r="D74" s="7" t="n"/>
      <c r="E74" s="7" t="n"/>
      <c r="F74" s="8" t="n"/>
      <c r="G74" s="7" t="n"/>
      <c r="H74" s="7" t="n"/>
      <c r="I74" s="7">
        <f>IF(C74="","",IFERROR(IF(INDEX(원생!$H:$H,MATCH(C74,원생!$A:$A,0))="예","예",""),""))</f>
        <v/>
      </c>
      <c r="J74" s="7" t="n"/>
    </row>
    <row r="75">
      <c r="A75" s="9" t="n"/>
      <c r="B75" s="7" t="n"/>
      <c r="C75" s="7" t="n"/>
      <c r="D75" s="7" t="n"/>
      <c r="E75" s="7" t="n"/>
      <c r="F75" s="8" t="n"/>
      <c r="G75" s="7" t="n"/>
      <c r="H75" s="7" t="n"/>
      <c r="I75" s="7">
        <f>IF(C75="","",IFERROR(IF(INDEX(원생!$H:$H,MATCH(C75,원생!$A:$A,0))="예","예",""),""))</f>
        <v/>
      </c>
      <c r="J75" s="7" t="n"/>
    </row>
    <row r="76">
      <c r="A76" s="9" t="n"/>
      <c r="B76" s="7" t="n"/>
      <c r="C76" s="7" t="n"/>
      <c r="D76" s="7" t="n"/>
      <c r="E76" s="7" t="n"/>
      <c r="F76" s="8" t="n"/>
      <c r="G76" s="7" t="n"/>
      <c r="H76" s="7" t="n"/>
      <c r="I76" s="7">
        <f>IF(C76="","",IFERROR(IF(INDEX(원생!$H:$H,MATCH(C76,원생!$A:$A,0))="예","예",""),""))</f>
        <v/>
      </c>
      <c r="J76" s="7" t="n"/>
    </row>
    <row r="77">
      <c r="A77" s="9" t="n"/>
      <c r="B77" s="7" t="n"/>
      <c r="C77" s="7" t="n"/>
      <c r="D77" s="7" t="n"/>
      <c r="E77" s="7" t="n"/>
      <c r="F77" s="8" t="n"/>
      <c r="G77" s="7" t="n"/>
      <c r="H77" s="7" t="n"/>
      <c r="I77" s="7">
        <f>IF(C77="","",IFERROR(IF(INDEX(원생!$H:$H,MATCH(C77,원생!$A:$A,0))="예","예",""),""))</f>
        <v/>
      </c>
      <c r="J77" s="7" t="n"/>
    </row>
    <row r="78">
      <c r="A78" s="9" t="n"/>
      <c r="B78" s="7" t="n"/>
      <c r="C78" s="7" t="n"/>
      <c r="D78" s="7" t="n"/>
      <c r="E78" s="7" t="n"/>
      <c r="F78" s="8" t="n"/>
      <c r="G78" s="7" t="n"/>
      <c r="H78" s="7" t="n"/>
      <c r="I78" s="7">
        <f>IF(C78="","",IFERROR(IF(INDEX(원생!$H:$H,MATCH(C78,원생!$A:$A,0))="예","예",""),""))</f>
        <v/>
      </c>
      <c r="J78" s="7" t="n"/>
    </row>
    <row r="79">
      <c r="A79" s="9" t="n"/>
      <c r="B79" s="7" t="n"/>
      <c r="C79" s="7" t="n"/>
      <c r="D79" s="7" t="n"/>
      <c r="E79" s="7" t="n"/>
      <c r="F79" s="8" t="n"/>
      <c r="G79" s="7" t="n"/>
      <c r="H79" s="7" t="n"/>
      <c r="I79" s="7">
        <f>IF(C79="","",IFERROR(IF(INDEX(원생!$H:$H,MATCH(C79,원생!$A:$A,0))="예","예",""),""))</f>
        <v/>
      </c>
      <c r="J79" s="7" t="n"/>
    </row>
    <row r="80">
      <c r="A80" s="9" t="n"/>
      <c r="B80" s="7" t="n"/>
      <c r="C80" s="7" t="n"/>
      <c r="D80" s="7" t="n"/>
      <c r="E80" s="7" t="n"/>
      <c r="F80" s="8" t="n"/>
      <c r="G80" s="7" t="n"/>
      <c r="H80" s="7" t="n"/>
      <c r="I80" s="7">
        <f>IF(C80="","",IFERROR(IF(INDEX(원생!$H:$H,MATCH(C80,원생!$A:$A,0))="예","예",""),""))</f>
        <v/>
      </c>
      <c r="J80" s="7" t="n"/>
    </row>
    <row r="81">
      <c r="A81" s="9" t="n"/>
      <c r="B81" s="7" t="n"/>
      <c r="C81" s="7" t="n"/>
      <c r="D81" s="7" t="n"/>
      <c r="E81" s="7" t="n"/>
      <c r="F81" s="8" t="n"/>
      <c r="G81" s="7" t="n"/>
      <c r="H81" s="7" t="n"/>
      <c r="I81" s="7">
        <f>IF(C81="","",IFERROR(IF(INDEX(원생!$H:$H,MATCH(C81,원생!$A:$A,0))="예","예",""),""))</f>
        <v/>
      </c>
      <c r="J81" s="7" t="n"/>
    </row>
    <row r="82">
      <c r="A82" s="9" t="n"/>
      <c r="B82" s="7" t="n"/>
      <c r="C82" s="7" t="n"/>
      <c r="D82" s="7" t="n"/>
      <c r="E82" s="7" t="n"/>
      <c r="F82" s="8" t="n"/>
      <c r="G82" s="7" t="n"/>
      <c r="H82" s="7" t="n"/>
      <c r="I82" s="7">
        <f>IF(C82="","",IFERROR(IF(INDEX(원생!$H:$H,MATCH(C82,원생!$A:$A,0))="예","예",""),""))</f>
        <v/>
      </c>
      <c r="J82" s="7" t="n"/>
    </row>
    <row r="83">
      <c r="A83" s="9" t="n"/>
      <c r="B83" s="7" t="n"/>
      <c r="C83" s="7" t="n"/>
      <c r="D83" s="7" t="n"/>
      <c r="E83" s="7" t="n"/>
      <c r="F83" s="8" t="n"/>
      <c r="G83" s="7" t="n"/>
      <c r="H83" s="7" t="n"/>
      <c r="I83" s="7">
        <f>IF(C83="","",IFERROR(IF(INDEX(원생!$H:$H,MATCH(C83,원생!$A:$A,0))="예","예",""),""))</f>
        <v/>
      </c>
      <c r="J83" s="7" t="n"/>
    </row>
    <row r="84">
      <c r="A84" s="9" t="n"/>
      <c r="B84" s="7" t="n"/>
      <c r="C84" s="7" t="n"/>
      <c r="D84" s="7" t="n"/>
      <c r="E84" s="7" t="n"/>
      <c r="F84" s="8" t="n"/>
      <c r="G84" s="7" t="n"/>
      <c r="H84" s="7" t="n"/>
      <c r="I84" s="7">
        <f>IF(C84="","",IFERROR(IF(INDEX(원생!$H:$H,MATCH(C84,원생!$A:$A,0))="예","예",""),""))</f>
        <v/>
      </c>
      <c r="J84" s="7" t="n"/>
    </row>
    <row r="85">
      <c r="A85" s="9" t="n"/>
      <c r="B85" s="7" t="n"/>
      <c r="C85" s="7" t="n"/>
      <c r="D85" s="7" t="n"/>
      <c r="E85" s="7" t="n"/>
      <c r="F85" s="8" t="n"/>
      <c r="G85" s="7" t="n"/>
      <c r="H85" s="7" t="n"/>
      <c r="I85" s="7">
        <f>IF(C85="","",IFERROR(IF(INDEX(원생!$H:$H,MATCH(C85,원생!$A:$A,0))="예","예",""),""))</f>
        <v/>
      </c>
      <c r="J85" s="7" t="n"/>
    </row>
    <row r="86">
      <c r="A86" s="9" t="n"/>
      <c r="B86" s="7" t="n"/>
      <c r="C86" s="7" t="n"/>
      <c r="D86" s="7" t="n"/>
      <c r="E86" s="7" t="n"/>
      <c r="F86" s="8" t="n"/>
      <c r="G86" s="7" t="n"/>
      <c r="H86" s="7" t="n"/>
      <c r="I86" s="7">
        <f>IF(C86="","",IFERROR(IF(INDEX(원생!$H:$H,MATCH(C86,원생!$A:$A,0))="예","예",""),""))</f>
        <v/>
      </c>
      <c r="J86" s="7" t="n"/>
    </row>
    <row r="87">
      <c r="A87" s="9" t="n"/>
      <c r="B87" s="7" t="n"/>
      <c r="C87" s="7" t="n"/>
      <c r="D87" s="7" t="n"/>
      <c r="E87" s="7" t="n"/>
      <c r="F87" s="8" t="n"/>
      <c r="G87" s="7" t="n"/>
      <c r="H87" s="7" t="n"/>
      <c r="I87" s="7">
        <f>IF(C87="","",IFERROR(IF(INDEX(원생!$H:$H,MATCH(C87,원생!$A:$A,0))="예","예",""),""))</f>
        <v/>
      </c>
      <c r="J87" s="7" t="n"/>
    </row>
    <row r="88">
      <c r="A88" s="9" t="n"/>
      <c r="B88" s="7" t="n"/>
      <c r="C88" s="7" t="n"/>
      <c r="D88" s="7" t="n"/>
      <c r="E88" s="7" t="n"/>
      <c r="F88" s="8" t="n"/>
      <c r="G88" s="7" t="n"/>
      <c r="H88" s="7" t="n"/>
      <c r="I88" s="7">
        <f>IF(C88="","",IFERROR(IF(INDEX(원생!$H:$H,MATCH(C88,원생!$A:$A,0))="예","예",""),""))</f>
        <v/>
      </c>
      <c r="J88" s="7" t="n"/>
    </row>
    <row r="89">
      <c r="A89" s="9" t="n"/>
      <c r="B89" s="7" t="n"/>
      <c r="C89" s="7" t="n"/>
      <c r="D89" s="7" t="n"/>
      <c r="E89" s="7" t="n"/>
      <c r="F89" s="8" t="n"/>
      <c r="G89" s="7" t="n"/>
      <c r="H89" s="7" t="n"/>
      <c r="I89" s="7">
        <f>IF(C89="","",IFERROR(IF(INDEX(원생!$H:$H,MATCH(C89,원생!$A:$A,0))="예","예",""),""))</f>
        <v/>
      </c>
      <c r="J89" s="7" t="n"/>
    </row>
    <row r="90">
      <c r="A90" s="9" t="n"/>
      <c r="B90" s="7" t="n"/>
      <c r="C90" s="7" t="n"/>
      <c r="D90" s="7" t="n"/>
      <c r="E90" s="7" t="n"/>
      <c r="F90" s="8" t="n"/>
      <c r="G90" s="7" t="n"/>
      <c r="H90" s="7" t="n"/>
      <c r="I90" s="7">
        <f>IF(C90="","",IFERROR(IF(INDEX(원생!$H:$H,MATCH(C90,원생!$A:$A,0))="예","예",""),""))</f>
        <v/>
      </c>
      <c r="J90" s="7" t="n"/>
    </row>
    <row r="91">
      <c r="A91" s="9" t="n"/>
      <c r="B91" s="7" t="n"/>
      <c r="C91" s="7" t="n"/>
      <c r="D91" s="7" t="n"/>
      <c r="E91" s="7" t="n"/>
      <c r="F91" s="8" t="n"/>
      <c r="G91" s="7" t="n"/>
      <c r="H91" s="7" t="n"/>
      <c r="I91" s="7">
        <f>IF(C91="","",IFERROR(IF(INDEX(원생!$H:$H,MATCH(C91,원생!$A:$A,0))="예","예",""),""))</f>
        <v/>
      </c>
      <c r="J91" s="7" t="n"/>
    </row>
    <row r="92">
      <c r="A92" s="9" t="n"/>
      <c r="B92" s="7" t="n"/>
      <c r="C92" s="7" t="n"/>
      <c r="D92" s="7" t="n"/>
      <c r="E92" s="7" t="n"/>
      <c r="F92" s="8" t="n"/>
      <c r="G92" s="7" t="n"/>
      <c r="H92" s="7" t="n"/>
      <c r="I92" s="7">
        <f>IF(C92="","",IFERROR(IF(INDEX(원생!$H:$H,MATCH(C92,원생!$A:$A,0))="예","예",""),""))</f>
        <v/>
      </c>
      <c r="J92" s="7" t="n"/>
    </row>
    <row r="93">
      <c r="A93" s="9" t="n"/>
      <c r="B93" s="7" t="n"/>
      <c r="C93" s="7" t="n"/>
      <c r="D93" s="7" t="n"/>
      <c r="E93" s="7" t="n"/>
      <c r="F93" s="8" t="n"/>
      <c r="G93" s="7" t="n"/>
      <c r="H93" s="7" t="n"/>
      <c r="I93" s="7">
        <f>IF(C93="","",IFERROR(IF(INDEX(원생!$H:$H,MATCH(C93,원생!$A:$A,0))="예","예",""),""))</f>
        <v/>
      </c>
      <c r="J93" s="7" t="n"/>
    </row>
    <row r="94">
      <c r="A94" s="9" t="n"/>
      <c r="B94" s="7" t="n"/>
      <c r="C94" s="7" t="n"/>
      <c r="D94" s="7" t="n"/>
      <c r="E94" s="7" t="n"/>
      <c r="F94" s="8" t="n"/>
      <c r="G94" s="7" t="n"/>
      <c r="H94" s="7" t="n"/>
      <c r="I94" s="7">
        <f>IF(C94="","",IFERROR(IF(INDEX(원생!$H:$H,MATCH(C94,원생!$A:$A,0))="예","예",""),""))</f>
        <v/>
      </c>
      <c r="J94" s="7" t="n"/>
    </row>
    <row r="95">
      <c r="A95" s="9" t="n"/>
      <c r="B95" s="7" t="n"/>
      <c r="C95" s="7" t="n"/>
      <c r="D95" s="7" t="n"/>
      <c r="E95" s="7" t="n"/>
      <c r="F95" s="8" t="n"/>
      <c r="G95" s="7" t="n"/>
      <c r="H95" s="7" t="n"/>
      <c r="I95" s="7">
        <f>IF(C95="","",IFERROR(IF(INDEX(원생!$H:$H,MATCH(C95,원생!$A:$A,0))="예","예",""),""))</f>
        <v/>
      </c>
      <c r="J95" s="7" t="n"/>
    </row>
    <row r="96">
      <c r="A96" s="9" t="n"/>
      <c r="B96" s="7" t="n"/>
      <c r="C96" s="7" t="n"/>
      <c r="D96" s="7" t="n"/>
      <c r="E96" s="7" t="n"/>
      <c r="F96" s="8" t="n"/>
      <c r="G96" s="7" t="n"/>
      <c r="H96" s="7" t="n"/>
      <c r="I96" s="7">
        <f>IF(C96="","",IFERROR(IF(INDEX(원생!$H:$H,MATCH(C96,원생!$A:$A,0))="예","예",""),""))</f>
        <v/>
      </c>
      <c r="J96" s="7" t="n"/>
    </row>
    <row r="97">
      <c r="A97" s="9" t="n"/>
      <c r="B97" s="7" t="n"/>
      <c r="C97" s="7" t="n"/>
      <c r="D97" s="7" t="n"/>
      <c r="E97" s="7" t="n"/>
      <c r="F97" s="8" t="n"/>
      <c r="G97" s="7" t="n"/>
      <c r="H97" s="7" t="n"/>
      <c r="I97" s="7">
        <f>IF(C97="","",IFERROR(IF(INDEX(원생!$H:$H,MATCH(C97,원생!$A:$A,0))="예","예",""),""))</f>
        <v/>
      </c>
      <c r="J97" s="7" t="n"/>
    </row>
    <row r="98">
      <c r="A98" s="9" t="n"/>
      <c r="B98" s="7" t="n"/>
      <c r="C98" s="7" t="n"/>
      <c r="D98" s="7" t="n"/>
      <c r="E98" s="7" t="n"/>
      <c r="F98" s="8" t="n"/>
      <c r="G98" s="7" t="n"/>
      <c r="H98" s="7" t="n"/>
      <c r="I98" s="7">
        <f>IF(C98="","",IFERROR(IF(INDEX(원생!$H:$H,MATCH(C98,원생!$A:$A,0))="예","예",""),""))</f>
        <v/>
      </c>
      <c r="J98" s="7" t="n"/>
    </row>
    <row r="99">
      <c r="A99" s="9" t="n"/>
      <c r="B99" s="7" t="n"/>
      <c r="C99" s="7" t="n"/>
      <c r="D99" s="7" t="n"/>
      <c r="E99" s="7" t="n"/>
      <c r="F99" s="8" t="n"/>
      <c r="G99" s="7" t="n"/>
      <c r="H99" s="7" t="n"/>
      <c r="I99" s="7">
        <f>IF(C99="","",IFERROR(IF(INDEX(원생!$H:$H,MATCH(C99,원생!$A:$A,0))="예","예",""),""))</f>
        <v/>
      </c>
      <c r="J99" s="7" t="n"/>
    </row>
    <row r="100">
      <c r="A100" s="9" t="n"/>
      <c r="B100" s="7" t="n"/>
      <c r="C100" s="7" t="n"/>
      <c r="D100" s="7" t="n"/>
      <c r="E100" s="7" t="n"/>
      <c r="F100" s="8" t="n"/>
      <c r="G100" s="7" t="n"/>
      <c r="H100" s="7" t="n"/>
      <c r="I100" s="7">
        <f>IF(C100="","",IFERROR(IF(INDEX(원생!$H:$H,MATCH(C100,원생!$A:$A,0))="예","예",""),""))</f>
        <v/>
      </c>
      <c r="J100" s="7" t="n"/>
    </row>
    <row r="101">
      <c r="A101" s="9" t="n"/>
      <c r="B101" s="7" t="n"/>
      <c r="C101" s="7" t="n"/>
      <c r="D101" s="7" t="n"/>
      <c r="E101" s="7" t="n"/>
      <c r="F101" s="8" t="n"/>
      <c r="G101" s="7" t="n"/>
      <c r="H101" s="7" t="n"/>
      <c r="I101" s="7">
        <f>IF(C101="","",IFERROR(IF(INDEX(원생!$H:$H,MATCH(C101,원생!$A:$A,0))="예","예",""),""))</f>
        <v/>
      </c>
      <c r="J101" s="7" t="n"/>
    </row>
    <row r="102">
      <c r="A102" s="9" t="n"/>
      <c r="B102" s="7" t="n"/>
      <c r="C102" s="7" t="n"/>
      <c r="D102" s="7" t="n"/>
      <c r="E102" s="7" t="n"/>
      <c r="F102" s="8" t="n"/>
      <c r="G102" s="7" t="n"/>
      <c r="H102" s="7" t="n"/>
      <c r="I102" s="7">
        <f>IF(C102="","",IFERROR(IF(INDEX(원생!$H:$H,MATCH(C102,원생!$A:$A,0))="예","예",""),""))</f>
        <v/>
      </c>
      <c r="J102" s="7" t="n"/>
    </row>
    <row r="103">
      <c r="A103" s="9" t="n"/>
      <c r="B103" s="7" t="n"/>
      <c r="C103" s="7" t="n"/>
      <c r="D103" s="7" t="n"/>
      <c r="E103" s="7" t="n"/>
      <c r="F103" s="8" t="n"/>
      <c r="G103" s="7" t="n"/>
      <c r="H103" s="7" t="n"/>
      <c r="I103" s="7">
        <f>IF(C103="","",IFERROR(IF(INDEX(원생!$H:$H,MATCH(C103,원생!$A:$A,0))="예","예",""),""))</f>
        <v/>
      </c>
      <c r="J103" s="7" t="n"/>
    </row>
    <row r="104">
      <c r="A104" s="9" t="n"/>
      <c r="B104" s="7" t="n"/>
      <c r="C104" s="7" t="n"/>
      <c r="D104" s="7" t="n"/>
      <c r="E104" s="7" t="n"/>
      <c r="F104" s="8" t="n"/>
      <c r="G104" s="7" t="n"/>
      <c r="H104" s="7" t="n"/>
      <c r="I104" s="7">
        <f>IF(C104="","",IFERROR(IF(INDEX(원생!$H:$H,MATCH(C104,원생!$A:$A,0))="예","예",""),""))</f>
        <v/>
      </c>
      <c r="J104" s="7" t="n"/>
    </row>
    <row r="105">
      <c r="A105" s="9" t="n"/>
      <c r="B105" s="7" t="n"/>
      <c r="C105" s="7" t="n"/>
      <c r="D105" s="7" t="n"/>
      <c r="E105" s="7" t="n"/>
      <c r="F105" s="8" t="n"/>
      <c r="G105" s="7" t="n"/>
      <c r="H105" s="7" t="n"/>
      <c r="I105" s="7">
        <f>IF(C105="","",IFERROR(IF(INDEX(원생!$H:$H,MATCH(C105,원생!$A:$A,0))="예","예",""),""))</f>
        <v/>
      </c>
      <c r="J105" s="7" t="n"/>
    </row>
    <row r="106">
      <c r="A106" s="9" t="n"/>
      <c r="B106" s="7" t="n"/>
      <c r="C106" s="7" t="n"/>
      <c r="D106" s="7" t="n"/>
      <c r="E106" s="7" t="n"/>
      <c r="F106" s="8" t="n"/>
      <c r="G106" s="7" t="n"/>
      <c r="H106" s="7" t="n"/>
      <c r="I106" s="7">
        <f>IF(C106="","",IFERROR(IF(INDEX(원생!$H:$H,MATCH(C106,원생!$A:$A,0))="예","예",""),""))</f>
        <v/>
      </c>
      <c r="J106" s="7" t="n"/>
    </row>
    <row r="107">
      <c r="A107" s="9" t="n"/>
      <c r="B107" s="7" t="n"/>
      <c r="C107" s="7" t="n"/>
      <c r="D107" s="7" t="n"/>
      <c r="E107" s="7" t="n"/>
      <c r="F107" s="8" t="n"/>
      <c r="G107" s="7" t="n"/>
      <c r="H107" s="7" t="n"/>
      <c r="I107" s="7">
        <f>IF(C107="","",IFERROR(IF(INDEX(원생!$H:$H,MATCH(C107,원생!$A:$A,0))="예","예",""),""))</f>
        <v/>
      </c>
      <c r="J107" s="7" t="n"/>
    </row>
    <row r="108">
      <c r="A108" s="9" t="n"/>
      <c r="B108" s="7" t="n"/>
      <c r="C108" s="7" t="n"/>
      <c r="D108" s="7" t="n"/>
      <c r="E108" s="7" t="n"/>
      <c r="F108" s="8" t="n"/>
      <c r="G108" s="7" t="n"/>
      <c r="H108" s="7" t="n"/>
      <c r="I108" s="7">
        <f>IF(C108="","",IFERROR(IF(INDEX(원생!$H:$H,MATCH(C108,원생!$A:$A,0))="예","예",""),""))</f>
        <v/>
      </c>
      <c r="J108" s="7" t="n"/>
    </row>
    <row r="109">
      <c r="A109" s="9" t="n"/>
      <c r="B109" s="7" t="n"/>
      <c r="C109" s="7" t="n"/>
      <c r="D109" s="7" t="n"/>
      <c r="E109" s="7" t="n"/>
      <c r="F109" s="8" t="n"/>
      <c r="G109" s="7" t="n"/>
      <c r="H109" s="7" t="n"/>
      <c r="I109" s="7">
        <f>IF(C109="","",IFERROR(IF(INDEX(원생!$H:$H,MATCH(C109,원생!$A:$A,0))="예","예",""),""))</f>
        <v/>
      </c>
      <c r="J109" s="7" t="n"/>
    </row>
    <row r="110">
      <c r="A110" s="9" t="n"/>
      <c r="B110" s="7" t="n"/>
      <c r="C110" s="7" t="n"/>
      <c r="D110" s="7" t="n"/>
      <c r="E110" s="7" t="n"/>
      <c r="F110" s="8" t="n"/>
      <c r="G110" s="7" t="n"/>
      <c r="H110" s="7" t="n"/>
      <c r="I110" s="7">
        <f>IF(C110="","",IFERROR(IF(INDEX(원생!$H:$H,MATCH(C110,원생!$A:$A,0))="예","예",""),""))</f>
        <v/>
      </c>
      <c r="J110" s="7" t="n"/>
    </row>
    <row r="111">
      <c r="A111" s="9" t="n"/>
      <c r="B111" s="7" t="n"/>
      <c r="C111" s="7" t="n"/>
      <c r="D111" s="7" t="n"/>
      <c r="E111" s="7" t="n"/>
      <c r="F111" s="8" t="n"/>
      <c r="G111" s="7" t="n"/>
      <c r="H111" s="7" t="n"/>
      <c r="I111" s="7">
        <f>IF(C111="","",IFERROR(IF(INDEX(원생!$H:$H,MATCH(C111,원생!$A:$A,0))="예","예",""),""))</f>
        <v/>
      </c>
      <c r="J111" s="7" t="n"/>
    </row>
    <row r="112">
      <c r="A112" s="9" t="n"/>
      <c r="B112" s="7" t="n"/>
      <c r="C112" s="7" t="n"/>
      <c r="D112" s="7" t="n"/>
      <c r="E112" s="7" t="n"/>
      <c r="F112" s="8" t="n"/>
      <c r="G112" s="7" t="n"/>
      <c r="H112" s="7" t="n"/>
      <c r="I112" s="7">
        <f>IF(C112="","",IFERROR(IF(INDEX(원생!$H:$H,MATCH(C112,원생!$A:$A,0))="예","예",""),""))</f>
        <v/>
      </c>
      <c r="J112" s="7" t="n"/>
    </row>
    <row r="113">
      <c r="A113" s="9" t="n"/>
      <c r="B113" s="7" t="n"/>
      <c r="C113" s="7" t="n"/>
      <c r="D113" s="7" t="n"/>
      <c r="E113" s="7" t="n"/>
      <c r="F113" s="8" t="n"/>
      <c r="G113" s="7" t="n"/>
      <c r="H113" s="7" t="n"/>
      <c r="I113" s="7">
        <f>IF(C113="","",IFERROR(IF(INDEX(원생!$H:$H,MATCH(C113,원생!$A:$A,0))="예","예",""),""))</f>
        <v/>
      </c>
      <c r="J113" s="7" t="n"/>
    </row>
    <row r="114">
      <c r="A114" s="9" t="n"/>
      <c r="B114" s="7" t="n"/>
      <c r="C114" s="7" t="n"/>
      <c r="D114" s="7" t="n"/>
      <c r="E114" s="7" t="n"/>
      <c r="F114" s="8" t="n"/>
      <c r="G114" s="7" t="n"/>
      <c r="H114" s="7" t="n"/>
      <c r="I114" s="7">
        <f>IF(C114="","",IFERROR(IF(INDEX(원생!$H:$H,MATCH(C114,원생!$A:$A,0))="예","예",""),""))</f>
        <v/>
      </c>
      <c r="J114" s="7" t="n"/>
    </row>
    <row r="115">
      <c r="A115" s="9" t="n"/>
      <c r="B115" s="7" t="n"/>
      <c r="C115" s="7" t="n"/>
      <c r="D115" s="7" t="n"/>
      <c r="E115" s="7" t="n"/>
      <c r="F115" s="8" t="n"/>
      <c r="G115" s="7" t="n"/>
      <c r="H115" s="7" t="n"/>
      <c r="I115" s="7">
        <f>IF(C115="","",IFERROR(IF(INDEX(원생!$H:$H,MATCH(C115,원생!$A:$A,0))="예","예",""),""))</f>
        <v/>
      </c>
      <c r="J115" s="7" t="n"/>
    </row>
    <row r="116">
      <c r="A116" s="9" t="n"/>
      <c r="B116" s="7" t="n"/>
      <c r="C116" s="7" t="n"/>
      <c r="D116" s="7" t="n"/>
      <c r="E116" s="7" t="n"/>
      <c r="F116" s="8" t="n"/>
      <c r="G116" s="7" t="n"/>
      <c r="H116" s="7" t="n"/>
      <c r="I116" s="7">
        <f>IF(C116="","",IFERROR(IF(INDEX(원생!$H:$H,MATCH(C116,원생!$A:$A,0))="예","예",""),""))</f>
        <v/>
      </c>
      <c r="J116" s="7" t="n"/>
    </row>
    <row r="117">
      <c r="A117" s="9" t="n"/>
      <c r="B117" s="7" t="n"/>
      <c r="C117" s="7" t="n"/>
      <c r="D117" s="7" t="n"/>
      <c r="E117" s="7" t="n"/>
      <c r="F117" s="8" t="n"/>
      <c r="G117" s="7" t="n"/>
      <c r="H117" s="7" t="n"/>
      <c r="I117" s="7">
        <f>IF(C117="","",IFERROR(IF(INDEX(원생!$H:$H,MATCH(C117,원생!$A:$A,0))="예","예",""),""))</f>
        <v/>
      </c>
      <c r="J117" s="7" t="n"/>
    </row>
    <row r="118">
      <c r="A118" s="9" t="n"/>
      <c r="B118" s="7" t="n"/>
      <c r="C118" s="7" t="n"/>
      <c r="D118" s="7" t="n"/>
      <c r="E118" s="7" t="n"/>
      <c r="F118" s="8" t="n"/>
      <c r="G118" s="7" t="n"/>
      <c r="H118" s="7" t="n"/>
      <c r="I118" s="7">
        <f>IF(C118="","",IFERROR(IF(INDEX(원생!$H:$H,MATCH(C118,원생!$A:$A,0))="예","예",""),""))</f>
        <v/>
      </c>
      <c r="J118" s="7" t="n"/>
    </row>
    <row r="119">
      <c r="A119" s="9" t="n"/>
      <c r="B119" s="7" t="n"/>
      <c r="C119" s="7" t="n"/>
      <c r="D119" s="7" t="n"/>
      <c r="E119" s="7" t="n"/>
      <c r="F119" s="8" t="n"/>
      <c r="G119" s="7" t="n"/>
      <c r="H119" s="7" t="n"/>
      <c r="I119" s="7">
        <f>IF(C119="","",IFERROR(IF(INDEX(원생!$H:$H,MATCH(C119,원생!$A:$A,0))="예","예",""),""))</f>
        <v/>
      </c>
      <c r="J119" s="7" t="n"/>
    </row>
    <row r="120">
      <c r="A120" s="9" t="n"/>
      <c r="B120" s="7" t="n"/>
      <c r="C120" s="7" t="n"/>
      <c r="D120" s="7" t="n"/>
      <c r="E120" s="7" t="n"/>
      <c r="F120" s="8" t="n"/>
      <c r="G120" s="7" t="n"/>
      <c r="H120" s="7" t="n"/>
      <c r="I120" s="7">
        <f>IF(C120="","",IFERROR(IF(INDEX(원생!$H:$H,MATCH(C120,원생!$A:$A,0))="예","예",""),""))</f>
        <v/>
      </c>
      <c r="J120" s="7" t="n"/>
    </row>
    <row r="121">
      <c r="A121" s="9" t="n"/>
      <c r="B121" s="7" t="n"/>
      <c r="C121" s="7" t="n"/>
      <c r="D121" s="7" t="n"/>
      <c r="E121" s="7" t="n"/>
      <c r="F121" s="8" t="n"/>
      <c r="G121" s="7" t="n"/>
      <c r="H121" s="7" t="n"/>
      <c r="I121" s="7">
        <f>IF(C121="","",IFERROR(IF(INDEX(원생!$H:$H,MATCH(C121,원생!$A:$A,0))="예","예",""),""))</f>
        <v/>
      </c>
      <c r="J121" s="7" t="n"/>
    </row>
    <row r="122">
      <c r="A122" s="9" t="n"/>
      <c r="B122" s="7" t="n"/>
      <c r="C122" s="7" t="n"/>
      <c r="D122" s="7" t="n"/>
      <c r="E122" s="7" t="n"/>
      <c r="F122" s="8" t="n"/>
      <c r="G122" s="7" t="n"/>
      <c r="H122" s="7" t="n"/>
      <c r="I122" s="7">
        <f>IF(C122="","",IFERROR(IF(INDEX(원생!$H:$H,MATCH(C122,원생!$A:$A,0))="예","예",""),""))</f>
        <v/>
      </c>
      <c r="J122" s="7" t="n"/>
    </row>
    <row r="123">
      <c r="A123" s="9" t="n"/>
      <c r="B123" s="7" t="n"/>
      <c r="C123" s="7" t="n"/>
      <c r="D123" s="7" t="n"/>
      <c r="E123" s="7" t="n"/>
      <c r="F123" s="8" t="n"/>
      <c r="G123" s="7" t="n"/>
      <c r="H123" s="7" t="n"/>
      <c r="I123" s="7">
        <f>IF(C123="","",IFERROR(IF(INDEX(원생!$H:$H,MATCH(C123,원생!$A:$A,0))="예","예",""),""))</f>
        <v/>
      </c>
      <c r="J123" s="7" t="n"/>
    </row>
    <row r="124">
      <c r="A124" s="9" t="n"/>
      <c r="B124" s="7" t="n"/>
      <c r="C124" s="7" t="n"/>
      <c r="D124" s="7" t="n"/>
      <c r="E124" s="7" t="n"/>
      <c r="F124" s="8" t="n"/>
      <c r="G124" s="7" t="n"/>
      <c r="H124" s="7" t="n"/>
      <c r="I124" s="7">
        <f>IF(C124="","",IFERROR(IF(INDEX(원생!$H:$H,MATCH(C124,원생!$A:$A,0))="예","예",""),""))</f>
        <v/>
      </c>
      <c r="J124" s="7" t="n"/>
    </row>
    <row r="125">
      <c r="A125" s="9" t="n"/>
      <c r="B125" s="7" t="n"/>
      <c r="C125" s="7" t="n"/>
      <c r="D125" s="7" t="n"/>
      <c r="E125" s="7" t="n"/>
      <c r="F125" s="8" t="n"/>
      <c r="G125" s="7" t="n"/>
      <c r="H125" s="7" t="n"/>
      <c r="I125" s="7">
        <f>IF(C125="","",IFERROR(IF(INDEX(원생!$H:$H,MATCH(C125,원생!$A:$A,0))="예","예",""),""))</f>
        <v/>
      </c>
      <c r="J125" s="7" t="n"/>
    </row>
    <row r="126">
      <c r="A126" s="9" t="n"/>
      <c r="B126" s="7" t="n"/>
      <c r="C126" s="7" t="n"/>
      <c r="D126" s="7" t="n"/>
      <c r="E126" s="7" t="n"/>
      <c r="F126" s="8" t="n"/>
      <c r="G126" s="7" t="n"/>
      <c r="H126" s="7" t="n"/>
      <c r="I126" s="7">
        <f>IF(C126="","",IFERROR(IF(INDEX(원생!$H:$H,MATCH(C126,원생!$A:$A,0))="예","예",""),""))</f>
        <v/>
      </c>
      <c r="J126" s="7" t="n"/>
    </row>
    <row r="127">
      <c r="A127" s="9" t="n"/>
      <c r="B127" s="7" t="n"/>
      <c r="C127" s="7" t="n"/>
      <c r="D127" s="7" t="n"/>
      <c r="E127" s="7" t="n"/>
      <c r="F127" s="8" t="n"/>
      <c r="G127" s="7" t="n"/>
      <c r="H127" s="7" t="n"/>
      <c r="I127" s="7">
        <f>IF(C127="","",IFERROR(IF(INDEX(원생!$H:$H,MATCH(C127,원생!$A:$A,0))="예","예",""),""))</f>
        <v/>
      </c>
      <c r="J127" s="7" t="n"/>
    </row>
    <row r="128">
      <c r="A128" s="9" t="n"/>
      <c r="B128" s="7" t="n"/>
      <c r="C128" s="7" t="n"/>
      <c r="D128" s="7" t="n"/>
      <c r="E128" s="7" t="n"/>
      <c r="F128" s="8" t="n"/>
      <c r="G128" s="7" t="n"/>
      <c r="H128" s="7" t="n"/>
      <c r="I128" s="7">
        <f>IF(C128="","",IFERROR(IF(INDEX(원생!$H:$H,MATCH(C128,원생!$A:$A,0))="예","예",""),""))</f>
        <v/>
      </c>
      <c r="J128" s="7" t="n"/>
    </row>
    <row r="129">
      <c r="A129" s="9" t="n"/>
      <c r="B129" s="7" t="n"/>
      <c r="C129" s="7" t="n"/>
      <c r="D129" s="7" t="n"/>
      <c r="E129" s="7" t="n"/>
      <c r="F129" s="8" t="n"/>
      <c r="G129" s="7" t="n"/>
      <c r="H129" s="7" t="n"/>
      <c r="I129" s="7">
        <f>IF(C129="","",IFERROR(IF(INDEX(원생!$H:$H,MATCH(C129,원생!$A:$A,0))="예","예",""),""))</f>
        <v/>
      </c>
      <c r="J129" s="7" t="n"/>
    </row>
    <row r="130">
      <c r="A130" s="9" t="n"/>
      <c r="B130" s="7" t="n"/>
      <c r="C130" s="7" t="n"/>
      <c r="D130" s="7" t="n"/>
      <c r="E130" s="7" t="n"/>
      <c r="F130" s="8" t="n"/>
      <c r="G130" s="7" t="n"/>
      <c r="H130" s="7" t="n"/>
      <c r="I130" s="7">
        <f>IF(C130="","",IFERROR(IF(INDEX(원생!$H:$H,MATCH(C130,원생!$A:$A,0))="예","예",""),""))</f>
        <v/>
      </c>
      <c r="J130" s="7" t="n"/>
    </row>
    <row r="131">
      <c r="A131" s="9" t="n"/>
      <c r="B131" s="7" t="n"/>
      <c r="C131" s="7" t="n"/>
      <c r="D131" s="7" t="n"/>
      <c r="E131" s="7" t="n"/>
      <c r="F131" s="8" t="n"/>
      <c r="G131" s="7" t="n"/>
      <c r="H131" s="7" t="n"/>
      <c r="I131" s="7">
        <f>IF(C131="","",IFERROR(IF(INDEX(원생!$H:$H,MATCH(C131,원생!$A:$A,0))="예","예",""),""))</f>
        <v/>
      </c>
      <c r="J131" s="7" t="n"/>
    </row>
    <row r="132">
      <c r="A132" s="9" t="n"/>
      <c r="B132" s="7" t="n"/>
      <c r="C132" s="7" t="n"/>
      <c r="D132" s="7" t="n"/>
      <c r="E132" s="7" t="n"/>
      <c r="F132" s="8" t="n"/>
      <c r="G132" s="7" t="n"/>
      <c r="H132" s="7" t="n"/>
      <c r="I132" s="7">
        <f>IF(C132="","",IFERROR(IF(INDEX(원생!$H:$H,MATCH(C132,원생!$A:$A,0))="예","예",""),""))</f>
        <v/>
      </c>
      <c r="J132" s="7" t="n"/>
    </row>
    <row r="133">
      <c r="A133" s="9" t="n"/>
      <c r="B133" s="7" t="n"/>
      <c r="C133" s="7" t="n"/>
      <c r="D133" s="7" t="n"/>
      <c r="E133" s="7" t="n"/>
      <c r="F133" s="8" t="n"/>
      <c r="G133" s="7" t="n"/>
      <c r="H133" s="7" t="n"/>
      <c r="I133" s="7">
        <f>IF(C133="","",IFERROR(IF(INDEX(원생!$H:$H,MATCH(C133,원생!$A:$A,0))="예","예",""),""))</f>
        <v/>
      </c>
      <c r="J133" s="7" t="n"/>
    </row>
    <row r="134">
      <c r="A134" s="9" t="n"/>
      <c r="B134" s="7" t="n"/>
      <c r="C134" s="7" t="n"/>
      <c r="D134" s="7" t="n"/>
      <c r="E134" s="7" t="n"/>
      <c r="F134" s="8" t="n"/>
      <c r="G134" s="7" t="n"/>
      <c r="H134" s="7" t="n"/>
      <c r="I134" s="7">
        <f>IF(C134="","",IFERROR(IF(INDEX(원생!$H:$H,MATCH(C134,원생!$A:$A,0))="예","예",""),""))</f>
        <v/>
      </c>
      <c r="J134" s="7" t="n"/>
    </row>
    <row r="135">
      <c r="A135" s="9" t="n"/>
      <c r="B135" s="7" t="n"/>
      <c r="C135" s="7" t="n"/>
      <c r="D135" s="7" t="n"/>
      <c r="E135" s="7" t="n"/>
      <c r="F135" s="8" t="n"/>
      <c r="G135" s="7" t="n"/>
      <c r="H135" s="7" t="n"/>
      <c r="I135" s="7">
        <f>IF(C135="","",IFERROR(IF(INDEX(원생!$H:$H,MATCH(C135,원생!$A:$A,0))="예","예",""),""))</f>
        <v/>
      </c>
      <c r="J135" s="7" t="n"/>
    </row>
    <row r="136">
      <c r="A136" s="9" t="n"/>
      <c r="B136" s="7" t="n"/>
      <c r="C136" s="7" t="n"/>
      <c r="D136" s="7" t="n"/>
      <c r="E136" s="7" t="n"/>
      <c r="F136" s="8" t="n"/>
      <c r="G136" s="7" t="n"/>
      <c r="H136" s="7" t="n"/>
      <c r="I136" s="7">
        <f>IF(C136="","",IFERROR(IF(INDEX(원생!$H:$H,MATCH(C136,원생!$A:$A,0))="예","예",""),""))</f>
        <v/>
      </c>
      <c r="J136" s="7" t="n"/>
    </row>
    <row r="137">
      <c r="A137" s="9" t="n"/>
      <c r="B137" s="7" t="n"/>
      <c r="C137" s="7" t="n"/>
      <c r="D137" s="7" t="n"/>
      <c r="E137" s="7" t="n"/>
      <c r="F137" s="8" t="n"/>
      <c r="G137" s="7" t="n"/>
      <c r="H137" s="7" t="n"/>
      <c r="I137" s="7">
        <f>IF(C137="","",IFERROR(IF(INDEX(원생!$H:$H,MATCH(C137,원생!$A:$A,0))="예","예",""),""))</f>
        <v/>
      </c>
      <c r="J137" s="7" t="n"/>
    </row>
    <row r="138">
      <c r="A138" s="9" t="n"/>
      <c r="B138" s="7" t="n"/>
      <c r="C138" s="7" t="n"/>
      <c r="D138" s="7" t="n"/>
      <c r="E138" s="7" t="n"/>
      <c r="F138" s="8" t="n"/>
      <c r="G138" s="7" t="n"/>
      <c r="H138" s="7" t="n"/>
      <c r="I138" s="7">
        <f>IF(C138="","",IFERROR(IF(INDEX(원생!$H:$H,MATCH(C138,원생!$A:$A,0))="예","예",""),""))</f>
        <v/>
      </c>
      <c r="J138" s="7" t="n"/>
    </row>
    <row r="139">
      <c r="A139" s="9" t="n"/>
      <c r="B139" s="7" t="n"/>
      <c r="C139" s="7" t="n"/>
      <c r="D139" s="7" t="n"/>
      <c r="E139" s="7" t="n"/>
      <c r="F139" s="8" t="n"/>
      <c r="G139" s="7" t="n"/>
      <c r="H139" s="7" t="n"/>
      <c r="I139" s="7">
        <f>IF(C139="","",IFERROR(IF(INDEX(원생!$H:$H,MATCH(C139,원생!$A:$A,0))="예","예",""),""))</f>
        <v/>
      </c>
      <c r="J139" s="7" t="n"/>
    </row>
    <row r="140">
      <c r="A140" s="9" t="n"/>
      <c r="B140" s="7" t="n"/>
      <c r="C140" s="7" t="n"/>
      <c r="D140" s="7" t="n"/>
      <c r="E140" s="7" t="n"/>
      <c r="F140" s="8" t="n"/>
      <c r="G140" s="7" t="n"/>
      <c r="H140" s="7" t="n"/>
      <c r="I140" s="7">
        <f>IF(C140="","",IFERROR(IF(INDEX(원생!$H:$H,MATCH(C140,원생!$A:$A,0))="예","예",""),""))</f>
        <v/>
      </c>
      <c r="J140" s="7" t="n"/>
    </row>
    <row r="141">
      <c r="A141" s="9" t="n"/>
      <c r="B141" s="7" t="n"/>
      <c r="C141" s="7" t="n"/>
      <c r="D141" s="7" t="n"/>
      <c r="E141" s="7" t="n"/>
      <c r="F141" s="8" t="n"/>
      <c r="G141" s="7" t="n"/>
      <c r="H141" s="7" t="n"/>
      <c r="I141" s="7">
        <f>IF(C141="","",IFERROR(IF(INDEX(원생!$H:$H,MATCH(C141,원생!$A:$A,0))="예","예",""),""))</f>
        <v/>
      </c>
      <c r="J141" s="7" t="n"/>
    </row>
    <row r="142">
      <c r="A142" s="9" t="n"/>
      <c r="B142" s="7" t="n"/>
      <c r="C142" s="7" t="n"/>
      <c r="D142" s="7" t="n"/>
      <c r="E142" s="7" t="n"/>
      <c r="F142" s="8" t="n"/>
      <c r="G142" s="7" t="n"/>
      <c r="H142" s="7" t="n"/>
      <c r="I142" s="7">
        <f>IF(C142="","",IFERROR(IF(INDEX(원생!$H:$H,MATCH(C142,원생!$A:$A,0))="예","예",""),""))</f>
        <v/>
      </c>
      <c r="J142" s="7" t="n"/>
    </row>
    <row r="143">
      <c r="A143" s="9" t="n"/>
      <c r="B143" s="7" t="n"/>
      <c r="C143" s="7" t="n"/>
      <c r="D143" s="7" t="n"/>
      <c r="E143" s="7" t="n"/>
      <c r="F143" s="8" t="n"/>
      <c r="G143" s="7" t="n"/>
      <c r="H143" s="7" t="n"/>
      <c r="I143" s="7">
        <f>IF(C143="","",IFERROR(IF(INDEX(원생!$H:$H,MATCH(C143,원생!$A:$A,0))="예","예",""),""))</f>
        <v/>
      </c>
      <c r="J143" s="7" t="n"/>
    </row>
    <row r="144">
      <c r="A144" s="9" t="n"/>
      <c r="B144" s="7" t="n"/>
      <c r="C144" s="7" t="n"/>
      <c r="D144" s="7" t="n"/>
      <c r="E144" s="7" t="n"/>
      <c r="F144" s="8" t="n"/>
      <c r="G144" s="7" t="n"/>
      <c r="H144" s="7" t="n"/>
      <c r="I144" s="7">
        <f>IF(C144="","",IFERROR(IF(INDEX(원생!$H:$H,MATCH(C144,원생!$A:$A,0))="예","예",""),""))</f>
        <v/>
      </c>
      <c r="J144" s="7" t="n"/>
    </row>
    <row r="145">
      <c r="A145" s="9" t="n"/>
      <c r="B145" s="7" t="n"/>
      <c r="C145" s="7" t="n"/>
      <c r="D145" s="7" t="n"/>
      <c r="E145" s="7" t="n"/>
      <c r="F145" s="8" t="n"/>
      <c r="G145" s="7" t="n"/>
      <c r="H145" s="7" t="n"/>
      <c r="I145" s="7">
        <f>IF(C145="","",IFERROR(IF(INDEX(원생!$H:$H,MATCH(C145,원생!$A:$A,0))="예","예",""),""))</f>
        <v/>
      </c>
      <c r="J145" s="7" t="n"/>
    </row>
    <row r="146">
      <c r="A146" s="9" t="n"/>
      <c r="B146" s="7" t="n"/>
      <c r="C146" s="7" t="n"/>
      <c r="D146" s="7" t="n"/>
      <c r="E146" s="7" t="n"/>
      <c r="F146" s="8" t="n"/>
      <c r="G146" s="7" t="n"/>
      <c r="H146" s="7" t="n"/>
      <c r="I146" s="7">
        <f>IF(C146="","",IFERROR(IF(INDEX(원생!$H:$H,MATCH(C146,원생!$A:$A,0))="예","예",""),""))</f>
        <v/>
      </c>
      <c r="J146" s="7" t="n"/>
    </row>
    <row r="147">
      <c r="A147" s="9" t="n"/>
      <c r="B147" s="7" t="n"/>
      <c r="C147" s="7" t="n"/>
      <c r="D147" s="7" t="n"/>
      <c r="E147" s="7" t="n"/>
      <c r="F147" s="8" t="n"/>
      <c r="G147" s="7" t="n"/>
      <c r="H147" s="7" t="n"/>
      <c r="I147" s="7">
        <f>IF(C147="","",IFERROR(IF(INDEX(원생!$H:$H,MATCH(C147,원생!$A:$A,0))="예","예",""),""))</f>
        <v/>
      </c>
      <c r="J147" s="7" t="n"/>
    </row>
    <row r="148">
      <c r="A148" s="9" t="n"/>
      <c r="B148" s="7" t="n"/>
      <c r="C148" s="7" t="n"/>
      <c r="D148" s="7" t="n"/>
      <c r="E148" s="7" t="n"/>
      <c r="F148" s="8" t="n"/>
      <c r="G148" s="7" t="n"/>
      <c r="H148" s="7" t="n"/>
      <c r="I148" s="7">
        <f>IF(C148="","",IFERROR(IF(INDEX(원생!$H:$H,MATCH(C148,원생!$A:$A,0))="예","예",""),""))</f>
        <v/>
      </c>
      <c r="J148" s="7" t="n"/>
    </row>
    <row r="149">
      <c r="A149" s="9" t="n"/>
      <c r="B149" s="7" t="n"/>
      <c r="C149" s="7" t="n"/>
      <c r="D149" s="7" t="n"/>
      <c r="E149" s="7" t="n"/>
      <c r="F149" s="8" t="n"/>
      <c r="G149" s="7" t="n"/>
      <c r="H149" s="7" t="n"/>
      <c r="I149" s="7">
        <f>IF(C149="","",IFERROR(IF(INDEX(원생!$H:$H,MATCH(C149,원생!$A:$A,0))="예","예",""),""))</f>
        <v/>
      </c>
      <c r="J149" s="7" t="n"/>
    </row>
    <row r="150">
      <c r="A150" s="9" t="n"/>
      <c r="B150" s="7" t="n"/>
      <c r="C150" s="7" t="n"/>
      <c r="D150" s="7" t="n"/>
      <c r="E150" s="7" t="n"/>
      <c r="F150" s="8" t="n"/>
      <c r="G150" s="7" t="n"/>
      <c r="H150" s="7" t="n"/>
      <c r="I150" s="7">
        <f>IF(C150="","",IFERROR(IF(INDEX(원생!$H:$H,MATCH(C150,원생!$A:$A,0))="예","예",""),""))</f>
        <v/>
      </c>
      <c r="J150" s="7" t="n"/>
    </row>
    <row r="151">
      <c r="A151" s="9" t="n"/>
      <c r="B151" s="7" t="n"/>
      <c r="C151" s="7" t="n"/>
      <c r="D151" s="7" t="n"/>
      <c r="E151" s="7" t="n"/>
      <c r="F151" s="8" t="n"/>
      <c r="G151" s="7" t="n"/>
      <c r="H151" s="7" t="n"/>
      <c r="I151" s="7">
        <f>IF(C151="","",IFERROR(IF(INDEX(원생!$H:$H,MATCH(C151,원생!$A:$A,0))="예","예",""),""))</f>
        <v/>
      </c>
      <c r="J151" s="7" t="n"/>
    </row>
    <row r="152">
      <c r="A152" s="9" t="n"/>
      <c r="B152" s="7" t="n"/>
      <c r="C152" s="7" t="n"/>
      <c r="D152" s="7" t="n"/>
      <c r="E152" s="7" t="n"/>
      <c r="F152" s="8" t="n"/>
      <c r="G152" s="7" t="n"/>
      <c r="H152" s="7" t="n"/>
      <c r="I152" s="7">
        <f>IF(C152="","",IFERROR(IF(INDEX(원생!$H:$H,MATCH(C152,원생!$A:$A,0))="예","예",""),""))</f>
        <v/>
      </c>
      <c r="J152" s="7" t="n"/>
    </row>
    <row r="153">
      <c r="A153" s="9" t="n"/>
      <c r="B153" s="7" t="n"/>
      <c r="C153" s="7" t="n"/>
      <c r="D153" s="7" t="n"/>
      <c r="E153" s="7" t="n"/>
      <c r="F153" s="8" t="n"/>
      <c r="G153" s="7" t="n"/>
      <c r="H153" s="7" t="n"/>
      <c r="I153" s="7">
        <f>IF(C153="","",IFERROR(IF(INDEX(원생!$H:$H,MATCH(C153,원생!$A:$A,0))="예","예",""),""))</f>
        <v/>
      </c>
      <c r="J153" s="7" t="n"/>
    </row>
    <row r="154">
      <c r="A154" s="9" t="n"/>
      <c r="B154" s="7" t="n"/>
      <c r="C154" s="7" t="n"/>
      <c r="D154" s="7" t="n"/>
      <c r="E154" s="7" t="n"/>
      <c r="F154" s="8" t="n"/>
      <c r="G154" s="7" t="n"/>
      <c r="H154" s="7" t="n"/>
      <c r="I154" s="7">
        <f>IF(C154="","",IFERROR(IF(INDEX(원생!$H:$H,MATCH(C154,원생!$A:$A,0))="예","예",""),""))</f>
        <v/>
      </c>
      <c r="J154" s="7" t="n"/>
    </row>
    <row r="155">
      <c r="A155" s="9" t="n"/>
      <c r="B155" s="7" t="n"/>
      <c r="C155" s="7" t="n"/>
      <c r="D155" s="7" t="n"/>
      <c r="E155" s="7" t="n"/>
      <c r="F155" s="8" t="n"/>
      <c r="G155" s="7" t="n"/>
      <c r="H155" s="7" t="n"/>
      <c r="I155" s="7">
        <f>IF(C155="","",IFERROR(IF(INDEX(원생!$H:$H,MATCH(C155,원생!$A:$A,0))="예","예",""),""))</f>
        <v/>
      </c>
      <c r="J155" s="7" t="n"/>
    </row>
    <row r="156">
      <c r="A156" s="9" t="n"/>
      <c r="B156" s="7" t="n"/>
      <c r="C156" s="7" t="n"/>
      <c r="D156" s="7" t="n"/>
      <c r="E156" s="7" t="n"/>
      <c r="F156" s="8" t="n"/>
      <c r="G156" s="7" t="n"/>
      <c r="H156" s="7" t="n"/>
      <c r="I156" s="7">
        <f>IF(C156="","",IFERROR(IF(INDEX(원생!$H:$H,MATCH(C156,원생!$A:$A,0))="예","예",""),""))</f>
        <v/>
      </c>
      <c r="J156" s="7" t="n"/>
    </row>
    <row r="157">
      <c r="A157" s="9" t="n"/>
      <c r="B157" s="7" t="n"/>
      <c r="C157" s="7" t="n"/>
      <c r="D157" s="7" t="n"/>
      <c r="E157" s="7" t="n"/>
      <c r="F157" s="8" t="n"/>
      <c r="G157" s="7" t="n"/>
      <c r="H157" s="7" t="n"/>
      <c r="I157" s="7">
        <f>IF(C157="","",IFERROR(IF(INDEX(원생!$H:$H,MATCH(C157,원생!$A:$A,0))="예","예",""),""))</f>
        <v/>
      </c>
      <c r="J157" s="7" t="n"/>
    </row>
    <row r="158">
      <c r="A158" s="9" t="n"/>
      <c r="B158" s="7" t="n"/>
      <c r="C158" s="7" t="n"/>
      <c r="D158" s="7" t="n"/>
      <c r="E158" s="7" t="n"/>
      <c r="F158" s="8" t="n"/>
      <c r="G158" s="7" t="n"/>
      <c r="H158" s="7" t="n"/>
      <c r="I158" s="7">
        <f>IF(C158="","",IFERROR(IF(INDEX(원생!$H:$H,MATCH(C158,원생!$A:$A,0))="예","예",""),""))</f>
        <v/>
      </c>
      <c r="J158" s="7" t="n"/>
    </row>
    <row r="159">
      <c r="A159" s="9" t="n"/>
      <c r="B159" s="7" t="n"/>
      <c r="C159" s="7" t="n"/>
      <c r="D159" s="7" t="n"/>
      <c r="E159" s="7" t="n"/>
      <c r="F159" s="8" t="n"/>
      <c r="G159" s="7" t="n"/>
      <c r="H159" s="7" t="n"/>
      <c r="I159" s="7">
        <f>IF(C159="","",IFERROR(IF(INDEX(원생!$H:$H,MATCH(C159,원생!$A:$A,0))="예","예",""),""))</f>
        <v/>
      </c>
      <c r="J159" s="7" t="n"/>
    </row>
    <row r="160">
      <c r="A160" s="9" t="n"/>
      <c r="B160" s="7" t="n"/>
      <c r="C160" s="7" t="n"/>
      <c r="D160" s="7" t="n"/>
      <c r="E160" s="7" t="n"/>
      <c r="F160" s="8" t="n"/>
      <c r="G160" s="7" t="n"/>
      <c r="H160" s="7" t="n"/>
      <c r="I160" s="7">
        <f>IF(C160="","",IFERROR(IF(INDEX(원생!$H:$H,MATCH(C160,원생!$A:$A,0))="예","예",""),""))</f>
        <v/>
      </c>
      <c r="J160" s="7" t="n"/>
    </row>
    <row r="161">
      <c r="A161" s="9" t="n"/>
      <c r="B161" s="7" t="n"/>
      <c r="C161" s="7" t="n"/>
      <c r="D161" s="7" t="n"/>
      <c r="E161" s="7" t="n"/>
      <c r="F161" s="8" t="n"/>
      <c r="G161" s="7" t="n"/>
      <c r="H161" s="7" t="n"/>
      <c r="I161" s="7">
        <f>IF(C161="","",IFERROR(IF(INDEX(원생!$H:$H,MATCH(C161,원생!$A:$A,0))="예","예",""),""))</f>
        <v/>
      </c>
      <c r="J161" s="7" t="n"/>
    </row>
    <row r="162">
      <c r="A162" s="9" t="n"/>
      <c r="B162" s="7" t="n"/>
      <c r="C162" s="7" t="n"/>
      <c r="D162" s="7" t="n"/>
      <c r="E162" s="7" t="n"/>
      <c r="F162" s="8" t="n"/>
      <c r="G162" s="7" t="n"/>
      <c r="H162" s="7" t="n"/>
      <c r="I162" s="7">
        <f>IF(C162="","",IFERROR(IF(INDEX(원생!$H:$H,MATCH(C162,원생!$A:$A,0))="예","예",""),""))</f>
        <v/>
      </c>
      <c r="J162" s="7" t="n"/>
    </row>
    <row r="163">
      <c r="A163" s="9" t="n"/>
      <c r="B163" s="7" t="n"/>
      <c r="C163" s="7" t="n"/>
      <c r="D163" s="7" t="n"/>
      <c r="E163" s="7" t="n"/>
      <c r="F163" s="8" t="n"/>
      <c r="G163" s="7" t="n"/>
      <c r="H163" s="7" t="n"/>
      <c r="I163" s="7">
        <f>IF(C163="","",IFERROR(IF(INDEX(원생!$H:$H,MATCH(C163,원생!$A:$A,0))="예","예",""),""))</f>
        <v/>
      </c>
      <c r="J163" s="7" t="n"/>
    </row>
    <row r="164">
      <c r="A164" s="9" t="n"/>
      <c r="B164" s="7" t="n"/>
      <c r="C164" s="7" t="n"/>
      <c r="D164" s="7" t="n"/>
      <c r="E164" s="7" t="n"/>
      <c r="F164" s="8" t="n"/>
      <c r="G164" s="7" t="n"/>
      <c r="H164" s="7" t="n"/>
      <c r="I164" s="7">
        <f>IF(C164="","",IFERROR(IF(INDEX(원생!$H:$H,MATCH(C164,원생!$A:$A,0))="예","예",""),""))</f>
        <v/>
      </c>
      <c r="J164" s="7" t="n"/>
    </row>
    <row r="165">
      <c r="A165" s="9" t="n"/>
      <c r="B165" s="7" t="n"/>
      <c r="C165" s="7" t="n"/>
      <c r="D165" s="7" t="n"/>
      <c r="E165" s="7" t="n"/>
      <c r="F165" s="8" t="n"/>
      <c r="G165" s="7" t="n"/>
      <c r="H165" s="7" t="n"/>
      <c r="I165" s="7">
        <f>IF(C165="","",IFERROR(IF(INDEX(원생!$H:$H,MATCH(C165,원생!$A:$A,0))="예","예",""),""))</f>
        <v/>
      </c>
      <c r="J165" s="7" t="n"/>
    </row>
    <row r="166">
      <c r="A166" s="9" t="n"/>
      <c r="B166" s="7" t="n"/>
      <c r="C166" s="7" t="n"/>
      <c r="D166" s="7" t="n"/>
      <c r="E166" s="7" t="n"/>
      <c r="F166" s="8" t="n"/>
      <c r="G166" s="7" t="n"/>
      <c r="H166" s="7" t="n"/>
      <c r="I166" s="7">
        <f>IF(C166="","",IFERROR(IF(INDEX(원생!$H:$H,MATCH(C166,원생!$A:$A,0))="예","예",""),""))</f>
        <v/>
      </c>
      <c r="J166" s="7" t="n"/>
    </row>
    <row r="167">
      <c r="A167" s="9" t="n"/>
      <c r="B167" s="7" t="n"/>
      <c r="C167" s="7" t="n"/>
      <c r="D167" s="7" t="n"/>
      <c r="E167" s="7" t="n"/>
      <c r="F167" s="8" t="n"/>
      <c r="G167" s="7" t="n"/>
      <c r="H167" s="7" t="n"/>
      <c r="I167" s="7">
        <f>IF(C167="","",IFERROR(IF(INDEX(원생!$H:$H,MATCH(C167,원생!$A:$A,0))="예","예",""),""))</f>
        <v/>
      </c>
      <c r="J167" s="7" t="n"/>
    </row>
    <row r="168">
      <c r="A168" s="9" t="n"/>
      <c r="B168" s="7" t="n"/>
      <c r="C168" s="7" t="n"/>
      <c r="D168" s="7" t="n"/>
      <c r="E168" s="7" t="n"/>
      <c r="F168" s="8" t="n"/>
      <c r="G168" s="7" t="n"/>
      <c r="H168" s="7" t="n"/>
      <c r="I168" s="7">
        <f>IF(C168="","",IFERROR(IF(INDEX(원생!$H:$H,MATCH(C168,원생!$A:$A,0))="예","예",""),""))</f>
        <v/>
      </c>
      <c r="J168" s="7" t="n"/>
    </row>
    <row r="169">
      <c r="A169" s="9" t="n"/>
      <c r="B169" s="7" t="n"/>
      <c r="C169" s="7" t="n"/>
      <c r="D169" s="7" t="n"/>
      <c r="E169" s="7" t="n"/>
      <c r="F169" s="8" t="n"/>
      <c r="G169" s="7" t="n"/>
      <c r="H169" s="7" t="n"/>
      <c r="I169" s="7">
        <f>IF(C169="","",IFERROR(IF(INDEX(원생!$H:$H,MATCH(C169,원생!$A:$A,0))="예","예",""),""))</f>
        <v/>
      </c>
      <c r="J169" s="7" t="n"/>
    </row>
    <row r="170">
      <c r="A170" s="9" t="n"/>
      <c r="B170" s="7" t="n"/>
      <c r="C170" s="7" t="n"/>
      <c r="D170" s="7" t="n"/>
      <c r="E170" s="7" t="n"/>
      <c r="F170" s="8" t="n"/>
      <c r="G170" s="7" t="n"/>
      <c r="H170" s="7" t="n"/>
      <c r="I170" s="7">
        <f>IF(C170="","",IFERROR(IF(INDEX(원생!$H:$H,MATCH(C170,원생!$A:$A,0))="예","예",""),""))</f>
        <v/>
      </c>
      <c r="J170" s="7" t="n"/>
    </row>
    <row r="171">
      <c r="A171" s="9" t="n"/>
      <c r="B171" s="7" t="n"/>
      <c r="C171" s="7" t="n"/>
      <c r="D171" s="7" t="n"/>
      <c r="E171" s="7" t="n"/>
      <c r="F171" s="8" t="n"/>
      <c r="G171" s="7" t="n"/>
      <c r="H171" s="7" t="n"/>
      <c r="I171" s="7">
        <f>IF(C171="","",IFERROR(IF(INDEX(원생!$H:$H,MATCH(C171,원생!$A:$A,0))="예","예",""),""))</f>
        <v/>
      </c>
      <c r="J171" s="7" t="n"/>
    </row>
    <row r="172">
      <c r="A172" s="9" t="n"/>
      <c r="B172" s="7" t="n"/>
      <c r="C172" s="7" t="n"/>
      <c r="D172" s="7" t="n"/>
      <c r="E172" s="7" t="n"/>
      <c r="F172" s="8" t="n"/>
      <c r="G172" s="7" t="n"/>
      <c r="H172" s="7" t="n"/>
      <c r="I172" s="7">
        <f>IF(C172="","",IFERROR(IF(INDEX(원생!$H:$H,MATCH(C172,원생!$A:$A,0))="예","예",""),""))</f>
        <v/>
      </c>
      <c r="J172" s="7" t="n"/>
    </row>
    <row r="173">
      <c r="A173" s="9" t="n"/>
      <c r="B173" s="7" t="n"/>
      <c r="C173" s="7" t="n"/>
      <c r="D173" s="7" t="n"/>
      <c r="E173" s="7" t="n"/>
      <c r="F173" s="8" t="n"/>
      <c r="G173" s="7" t="n"/>
      <c r="H173" s="7" t="n"/>
      <c r="I173" s="7">
        <f>IF(C173="","",IFERROR(IF(INDEX(원생!$H:$H,MATCH(C173,원생!$A:$A,0))="예","예",""),""))</f>
        <v/>
      </c>
      <c r="J173" s="7" t="n"/>
    </row>
    <row r="174">
      <c r="A174" s="9" t="n"/>
      <c r="B174" s="7" t="n"/>
      <c r="C174" s="7" t="n"/>
      <c r="D174" s="7" t="n"/>
      <c r="E174" s="7" t="n"/>
      <c r="F174" s="8" t="n"/>
      <c r="G174" s="7" t="n"/>
      <c r="H174" s="7" t="n"/>
      <c r="I174" s="7">
        <f>IF(C174="","",IFERROR(IF(INDEX(원생!$H:$H,MATCH(C174,원생!$A:$A,0))="예","예",""),""))</f>
        <v/>
      </c>
      <c r="J174" s="7" t="n"/>
    </row>
    <row r="175">
      <c r="A175" s="9" t="n"/>
      <c r="B175" s="7" t="n"/>
      <c r="C175" s="7" t="n"/>
      <c r="D175" s="7" t="n"/>
      <c r="E175" s="7" t="n"/>
      <c r="F175" s="8" t="n"/>
      <c r="G175" s="7" t="n"/>
      <c r="H175" s="7" t="n"/>
      <c r="I175" s="7">
        <f>IF(C175="","",IFERROR(IF(INDEX(원생!$H:$H,MATCH(C175,원생!$A:$A,0))="예","예",""),""))</f>
        <v/>
      </c>
      <c r="J175" s="7" t="n"/>
    </row>
    <row r="176">
      <c r="A176" s="9" t="n"/>
      <c r="B176" s="7" t="n"/>
      <c r="C176" s="7" t="n"/>
      <c r="D176" s="7" t="n"/>
      <c r="E176" s="7" t="n"/>
      <c r="F176" s="8" t="n"/>
      <c r="G176" s="7" t="n"/>
      <c r="H176" s="7" t="n"/>
      <c r="I176" s="7">
        <f>IF(C176="","",IFERROR(IF(INDEX(원생!$H:$H,MATCH(C176,원생!$A:$A,0))="예","예",""),""))</f>
        <v/>
      </c>
      <c r="J176" s="7" t="n"/>
    </row>
    <row r="177">
      <c r="A177" s="9" t="n"/>
      <c r="B177" s="7" t="n"/>
      <c r="C177" s="7" t="n"/>
      <c r="D177" s="7" t="n"/>
      <c r="E177" s="7" t="n"/>
      <c r="F177" s="8" t="n"/>
      <c r="G177" s="7" t="n"/>
      <c r="H177" s="7" t="n"/>
      <c r="I177" s="7">
        <f>IF(C177="","",IFERROR(IF(INDEX(원생!$H:$H,MATCH(C177,원생!$A:$A,0))="예","예",""),""))</f>
        <v/>
      </c>
      <c r="J177" s="7" t="n"/>
    </row>
    <row r="178">
      <c r="A178" s="9" t="n"/>
      <c r="B178" s="7" t="n"/>
      <c r="C178" s="7" t="n"/>
      <c r="D178" s="7" t="n"/>
      <c r="E178" s="7" t="n"/>
      <c r="F178" s="8" t="n"/>
      <c r="G178" s="7" t="n"/>
      <c r="H178" s="7" t="n"/>
      <c r="I178" s="7">
        <f>IF(C178="","",IFERROR(IF(INDEX(원생!$H:$H,MATCH(C178,원생!$A:$A,0))="예","예",""),""))</f>
        <v/>
      </c>
      <c r="J178" s="7" t="n"/>
    </row>
    <row r="179">
      <c r="A179" s="9" t="n"/>
      <c r="B179" s="7" t="n"/>
      <c r="C179" s="7" t="n"/>
      <c r="D179" s="7" t="n"/>
      <c r="E179" s="7" t="n"/>
      <c r="F179" s="8" t="n"/>
      <c r="G179" s="7" t="n"/>
      <c r="H179" s="7" t="n"/>
      <c r="I179" s="7">
        <f>IF(C179="","",IFERROR(IF(INDEX(원생!$H:$H,MATCH(C179,원생!$A:$A,0))="예","예",""),""))</f>
        <v/>
      </c>
      <c r="J179" s="7" t="n"/>
    </row>
    <row r="180">
      <c r="A180" s="9" t="n"/>
      <c r="B180" s="7" t="n"/>
      <c r="C180" s="7" t="n"/>
      <c r="D180" s="7" t="n"/>
      <c r="E180" s="7" t="n"/>
      <c r="F180" s="8" t="n"/>
      <c r="G180" s="7" t="n"/>
      <c r="H180" s="7" t="n"/>
      <c r="I180" s="7">
        <f>IF(C180="","",IFERROR(IF(INDEX(원생!$H:$H,MATCH(C180,원생!$A:$A,0))="예","예",""),""))</f>
        <v/>
      </c>
      <c r="J180" s="7" t="n"/>
    </row>
    <row r="181">
      <c r="A181" s="9" t="n"/>
      <c r="B181" s="7" t="n"/>
      <c r="C181" s="7" t="n"/>
      <c r="D181" s="7" t="n"/>
      <c r="E181" s="7" t="n"/>
      <c r="F181" s="8" t="n"/>
      <c r="G181" s="7" t="n"/>
      <c r="H181" s="7" t="n"/>
      <c r="I181" s="7">
        <f>IF(C181="","",IFERROR(IF(INDEX(원생!$H:$H,MATCH(C181,원생!$A:$A,0))="예","예",""),""))</f>
        <v/>
      </c>
      <c r="J181" s="7" t="n"/>
    </row>
    <row r="182">
      <c r="A182" s="9" t="n"/>
      <c r="B182" s="7" t="n"/>
      <c r="C182" s="7" t="n"/>
      <c r="D182" s="7" t="n"/>
      <c r="E182" s="7" t="n"/>
      <c r="F182" s="8" t="n"/>
      <c r="G182" s="7" t="n"/>
      <c r="H182" s="7" t="n"/>
      <c r="I182" s="7">
        <f>IF(C182="","",IFERROR(IF(INDEX(원생!$H:$H,MATCH(C182,원생!$A:$A,0))="예","예",""),""))</f>
        <v/>
      </c>
      <c r="J182" s="7" t="n"/>
    </row>
    <row r="183">
      <c r="A183" s="9" t="n"/>
      <c r="B183" s="7" t="n"/>
      <c r="C183" s="7" t="n"/>
      <c r="D183" s="7" t="n"/>
      <c r="E183" s="7" t="n"/>
      <c r="F183" s="8" t="n"/>
      <c r="G183" s="7" t="n"/>
      <c r="H183" s="7" t="n"/>
      <c r="I183" s="7">
        <f>IF(C183="","",IFERROR(IF(INDEX(원생!$H:$H,MATCH(C183,원생!$A:$A,0))="예","예",""),""))</f>
        <v/>
      </c>
      <c r="J183" s="7" t="n"/>
    </row>
    <row r="184">
      <c r="A184" s="9" t="n"/>
      <c r="B184" s="7" t="n"/>
      <c r="C184" s="7" t="n"/>
      <c r="D184" s="7" t="n"/>
      <c r="E184" s="7" t="n"/>
      <c r="F184" s="8" t="n"/>
      <c r="G184" s="7" t="n"/>
      <c r="H184" s="7" t="n"/>
      <c r="I184" s="7">
        <f>IF(C184="","",IFERROR(IF(INDEX(원생!$H:$H,MATCH(C184,원생!$A:$A,0))="예","예",""),""))</f>
        <v/>
      </c>
      <c r="J184" s="7" t="n"/>
    </row>
    <row r="185">
      <c r="A185" s="9" t="n"/>
      <c r="B185" s="7" t="n"/>
      <c r="C185" s="7" t="n"/>
      <c r="D185" s="7" t="n"/>
      <c r="E185" s="7" t="n"/>
      <c r="F185" s="8" t="n"/>
      <c r="G185" s="7" t="n"/>
      <c r="H185" s="7" t="n"/>
      <c r="I185" s="7">
        <f>IF(C185="","",IFERROR(IF(INDEX(원생!$H:$H,MATCH(C185,원생!$A:$A,0))="예","예",""),""))</f>
        <v/>
      </c>
      <c r="J185" s="7" t="n"/>
    </row>
    <row r="186">
      <c r="A186" s="9" t="n"/>
      <c r="B186" s="7" t="n"/>
      <c r="C186" s="7" t="n"/>
      <c r="D186" s="7" t="n"/>
      <c r="E186" s="7" t="n"/>
      <c r="F186" s="8" t="n"/>
      <c r="G186" s="7" t="n"/>
      <c r="H186" s="7" t="n"/>
      <c r="I186" s="7">
        <f>IF(C186="","",IFERROR(IF(INDEX(원생!$H:$H,MATCH(C186,원생!$A:$A,0))="예","예",""),""))</f>
        <v/>
      </c>
      <c r="J186" s="7" t="n"/>
    </row>
    <row r="187">
      <c r="A187" s="9" t="n"/>
      <c r="B187" s="7" t="n"/>
      <c r="C187" s="7" t="n"/>
      <c r="D187" s="7" t="n"/>
      <c r="E187" s="7" t="n"/>
      <c r="F187" s="8" t="n"/>
      <c r="G187" s="7" t="n"/>
      <c r="H187" s="7" t="n"/>
      <c r="I187" s="7">
        <f>IF(C187="","",IFERROR(IF(INDEX(원생!$H:$H,MATCH(C187,원생!$A:$A,0))="예","예",""),""))</f>
        <v/>
      </c>
      <c r="J187" s="7" t="n"/>
    </row>
    <row r="188">
      <c r="A188" s="9" t="n"/>
      <c r="B188" s="7" t="n"/>
      <c r="C188" s="7" t="n"/>
      <c r="D188" s="7" t="n"/>
      <c r="E188" s="7" t="n"/>
      <c r="F188" s="8" t="n"/>
      <c r="G188" s="7" t="n"/>
      <c r="H188" s="7" t="n"/>
      <c r="I188" s="7">
        <f>IF(C188="","",IFERROR(IF(INDEX(원생!$H:$H,MATCH(C188,원생!$A:$A,0))="예","예",""),""))</f>
        <v/>
      </c>
      <c r="J188" s="7" t="n"/>
    </row>
    <row r="189">
      <c r="A189" s="9" t="n"/>
      <c r="B189" s="7" t="n"/>
      <c r="C189" s="7" t="n"/>
      <c r="D189" s="7" t="n"/>
      <c r="E189" s="7" t="n"/>
      <c r="F189" s="8" t="n"/>
      <c r="G189" s="7" t="n"/>
      <c r="H189" s="7" t="n"/>
      <c r="I189" s="7">
        <f>IF(C189="","",IFERROR(IF(INDEX(원생!$H:$H,MATCH(C189,원생!$A:$A,0))="예","예",""),""))</f>
        <v/>
      </c>
      <c r="J189" s="7" t="n"/>
    </row>
    <row r="190">
      <c r="A190" s="9" t="n"/>
      <c r="B190" s="7" t="n"/>
      <c r="C190" s="7" t="n"/>
      <c r="D190" s="7" t="n"/>
      <c r="E190" s="7" t="n"/>
      <c r="F190" s="8" t="n"/>
      <c r="G190" s="7" t="n"/>
      <c r="H190" s="7" t="n"/>
      <c r="I190" s="7">
        <f>IF(C190="","",IFERROR(IF(INDEX(원생!$H:$H,MATCH(C190,원생!$A:$A,0))="예","예",""),""))</f>
        <v/>
      </c>
      <c r="J190" s="7" t="n"/>
    </row>
    <row r="191">
      <c r="A191" s="9" t="n"/>
      <c r="B191" s="7" t="n"/>
      <c r="C191" s="7" t="n"/>
      <c r="D191" s="7" t="n"/>
      <c r="E191" s="7" t="n"/>
      <c r="F191" s="8" t="n"/>
      <c r="G191" s="7" t="n"/>
      <c r="H191" s="7" t="n"/>
      <c r="I191" s="7">
        <f>IF(C191="","",IFERROR(IF(INDEX(원생!$H:$H,MATCH(C191,원생!$A:$A,0))="예","예",""),""))</f>
        <v/>
      </c>
      <c r="J191" s="7" t="n"/>
    </row>
    <row r="192">
      <c r="A192" s="9" t="n"/>
      <c r="B192" s="7" t="n"/>
      <c r="C192" s="7" t="n"/>
      <c r="D192" s="7" t="n"/>
      <c r="E192" s="7" t="n"/>
      <c r="F192" s="8" t="n"/>
      <c r="G192" s="7" t="n"/>
      <c r="H192" s="7" t="n"/>
      <c r="I192" s="7">
        <f>IF(C192="","",IFERROR(IF(INDEX(원생!$H:$H,MATCH(C192,원생!$A:$A,0))="예","예",""),""))</f>
        <v/>
      </c>
      <c r="J192" s="7" t="n"/>
    </row>
    <row r="193">
      <c r="A193" s="9" t="n"/>
      <c r="B193" s="7" t="n"/>
      <c r="C193" s="7" t="n"/>
      <c r="D193" s="7" t="n"/>
      <c r="E193" s="7" t="n"/>
      <c r="F193" s="8" t="n"/>
      <c r="G193" s="7" t="n"/>
      <c r="H193" s="7" t="n"/>
      <c r="I193" s="7">
        <f>IF(C193="","",IFERROR(IF(INDEX(원생!$H:$H,MATCH(C193,원생!$A:$A,0))="예","예",""),""))</f>
        <v/>
      </c>
      <c r="J193" s="7" t="n"/>
    </row>
    <row r="194">
      <c r="A194" s="9" t="n"/>
      <c r="B194" s="7" t="n"/>
      <c r="C194" s="7" t="n"/>
      <c r="D194" s="7" t="n"/>
      <c r="E194" s="7" t="n"/>
      <c r="F194" s="8" t="n"/>
      <c r="G194" s="7" t="n"/>
      <c r="H194" s="7" t="n"/>
      <c r="I194" s="7">
        <f>IF(C194="","",IFERROR(IF(INDEX(원생!$H:$H,MATCH(C194,원생!$A:$A,0))="예","예",""),""))</f>
        <v/>
      </c>
      <c r="J194" s="7" t="n"/>
    </row>
    <row r="195">
      <c r="A195" s="9" t="n"/>
      <c r="B195" s="7" t="n"/>
      <c r="C195" s="7" t="n"/>
      <c r="D195" s="7" t="n"/>
      <c r="E195" s="7" t="n"/>
      <c r="F195" s="8" t="n"/>
      <c r="G195" s="7" t="n"/>
      <c r="H195" s="7" t="n"/>
      <c r="I195" s="7">
        <f>IF(C195="","",IFERROR(IF(INDEX(원생!$H:$H,MATCH(C195,원생!$A:$A,0))="예","예",""),""))</f>
        <v/>
      </c>
      <c r="J195" s="7" t="n"/>
    </row>
    <row r="196">
      <c r="A196" s="9" t="n"/>
      <c r="B196" s="7" t="n"/>
      <c r="C196" s="7" t="n"/>
      <c r="D196" s="7" t="n"/>
      <c r="E196" s="7" t="n"/>
      <c r="F196" s="8" t="n"/>
      <c r="G196" s="7" t="n"/>
      <c r="H196" s="7" t="n"/>
      <c r="I196" s="7">
        <f>IF(C196="","",IFERROR(IF(INDEX(원생!$H:$H,MATCH(C196,원생!$A:$A,0))="예","예",""),""))</f>
        <v/>
      </c>
      <c r="J196" s="7" t="n"/>
    </row>
    <row r="197">
      <c r="A197" s="9" t="n"/>
      <c r="B197" s="7" t="n"/>
      <c r="C197" s="7" t="n"/>
      <c r="D197" s="7" t="n"/>
      <c r="E197" s="7" t="n"/>
      <c r="F197" s="8" t="n"/>
      <c r="G197" s="7" t="n"/>
      <c r="H197" s="7" t="n"/>
      <c r="I197" s="7">
        <f>IF(C197="","",IFERROR(IF(INDEX(원생!$H:$H,MATCH(C197,원생!$A:$A,0))="예","예",""),""))</f>
        <v/>
      </c>
      <c r="J197" s="7" t="n"/>
    </row>
    <row r="198">
      <c r="A198" s="9" t="n"/>
      <c r="B198" s="7" t="n"/>
      <c r="C198" s="7" t="n"/>
      <c r="D198" s="7" t="n"/>
      <c r="E198" s="7" t="n"/>
      <c r="F198" s="8" t="n"/>
      <c r="G198" s="7" t="n"/>
      <c r="H198" s="7" t="n"/>
      <c r="I198" s="7">
        <f>IF(C198="","",IFERROR(IF(INDEX(원생!$H:$H,MATCH(C198,원생!$A:$A,0))="예","예",""),""))</f>
        <v/>
      </c>
      <c r="J198" s="7" t="n"/>
    </row>
    <row r="199">
      <c r="A199" s="9" t="n"/>
      <c r="B199" s="7" t="n"/>
      <c r="C199" s="7" t="n"/>
      <c r="D199" s="7" t="n"/>
      <c r="E199" s="7" t="n"/>
      <c r="F199" s="8" t="n"/>
      <c r="G199" s="7" t="n"/>
      <c r="H199" s="7" t="n"/>
      <c r="I199" s="7">
        <f>IF(C199="","",IFERROR(IF(INDEX(원생!$H:$H,MATCH(C199,원생!$A:$A,0))="예","예",""),""))</f>
        <v/>
      </c>
      <c r="J199" s="7" t="n"/>
    </row>
    <row r="200">
      <c r="A200" s="9" t="n"/>
      <c r="B200" s="7" t="n"/>
      <c r="C200" s="7" t="n"/>
      <c r="D200" s="7" t="n"/>
      <c r="E200" s="7" t="n"/>
      <c r="F200" s="8" t="n"/>
      <c r="G200" s="7" t="n"/>
      <c r="H200" s="7" t="n"/>
      <c r="I200" s="7">
        <f>IF(C200="","",IFERROR(IF(INDEX(원생!$H:$H,MATCH(C200,원생!$A:$A,0))="예","예",""),""))</f>
        <v/>
      </c>
      <c r="J200" s="7" t="n"/>
    </row>
    <row r="201">
      <c r="A201" s="9" t="n"/>
      <c r="B201" s="7" t="n"/>
      <c r="C201" s="7" t="n"/>
      <c r="D201" s="7" t="n"/>
      <c r="E201" s="7" t="n"/>
      <c r="F201" s="8" t="n"/>
      <c r="G201" s="7" t="n"/>
      <c r="H201" s="7" t="n"/>
      <c r="I201" s="7">
        <f>IF(C201="","",IFERROR(IF(INDEX(원생!$H:$H,MATCH(C201,원생!$A:$A,0))="예","예",""),""))</f>
        <v/>
      </c>
      <c r="J201" s="7" t="n"/>
    </row>
    <row r="202">
      <c r="A202" s="9" t="n"/>
      <c r="B202" s="7" t="n"/>
      <c r="C202" s="7" t="n"/>
      <c r="D202" s="7" t="n"/>
      <c r="E202" s="7" t="n"/>
      <c r="F202" s="8" t="n"/>
      <c r="G202" s="7" t="n"/>
      <c r="H202" s="7" t="n"/>
      <c r="I202" s="7">
        <f>IF(C202="","",IFERROR(IF(INDEX(원생!$H:$H,MATCH(C202,원생!$A:$A,0))="예","예",""),""))</f>
        <v/>
      </c>
      <c r="J202" s="7" t="n"/>
    </row>
    <row r="203">
      <c r="A203" s="9" t="n"/>
      <c r="B203" s="7" t="n"/>
      <c r="C203" s="7" t="n"/>
      <c r="D203" s="7" t="n"/>
      <c r="E203" s="7" t="n"/>
      <c r="F203" s="8" t="n"/>
      <c r="G203" s="7" t="n"/>
      <c r="H203" s="7" t="n"/>
      <c r="I203" s="7">
        <f>IF(C203="","",IFERROR(IF(INDEX(원생!$H:$H,MATCH(C203,원생!$A:$A,0))="예","예",""),""))</f>
        <v/>
      </c>
      <c r="J203" s="7" t="n"/>
    </row>
    <row r="204">
      <c r="A204" s="9" t="n"/>
      <c r="B204" s="7" t="n"/>
      <c r="C204" s="7" t="n"/>
      <c r="D204" s="7" t="n"/>
      <c r="E204" s="7" t="n"/>
      <c r="F204" s="8" t="n"/>
      <c r="G204" s="7" t="n"/>
      <c r="H204" s="7" t="n"/>
      <c r="I204" s="7">
        <f>IF(C204="","",IFERROR(IF(INDEX(원생!$H:$H,MATCH(C204,원생!$A:$A,0))="예","예",""),""))</f>
        <v/>
      </c>
      <c r="J204" s="7" t="n"/>
    </row>
    <row r="205">
      <c r="A205" s="9" t="n"/>
      <c r="B205" s="7" t="n"/>
      <c r="C205" s="7" t="n"/>
      <c r="D205" s="7" t="n"/>
      <c r="E205" s="7" t="n"/>
      <c r="F205" s="8" t="n"/>
      <c r="G205" s="7" t="n"/>
      <c r="H205" s="7" t="n"/>
      <c r="I205" s="7">
        <f>IF(C205="","",IFERROR(IF(INDEX(원생!$H:$H,MATCH(C205,원생!$A:$A,0))="예","예",""),""))</f>
        <v/>
      </c>
      <c r="J205" s="7" t="n"/>
    </row>
    <row r="206">
      <c r="A206" s="9" t="n"/>
      <c r="B206" s="7" t="n"/>
      <c r="C206" s="7" t="n"/>
      <c r="D206" s="7" t="n"/>
      <c r="E206" s="7" t="n"/>
      <c r="F206" s="8" t="n"/>
      <c r="G206" s="7" t="n"/>
      <c r="H206" s="7" t="n"/>
      <c r="I206" s="7">
        <f>IF(C206="","",IFERROR(IF(INDEX(원생!$H:$H,MATCH(C206,원생!$A:$A,0))="예","예",""),""))</f>
        <v/>
      </c>
      <c r="J206" s="7" t="n"/>
    </row>
    <row r="207">
      <c r="A207" s="9" t="n"/>
      <c r="B207" s="7" t="n"/>
      <c r="C207" s="7" t="n"/>
      <c r="D207" s="7" t="n"/>
      <c r="E207" s="7" t="n"/>
      <c r="F207" s="8" t="n"/>
      <c r="G207" s="7" t="n"/>
      <c r="H207" s="7" t="n"/>
      <c r="I207" s="7">
        <f>IF(C207="","",IFERROR(IF(INDEX(원생!$H:$H,MATCH(C207,원생!$A:$A,0))="예","예",""),""))</f>
        <v/>
      </c>
      <c r="J207" s="7" t="n"/>
    </row>
    <row r="208">
      <c r="A208" s="9" t="n"/>
      <c r="B208" s="7" t="n"/>
      <c r="C208" s="7" t="n"/>
      <c r="D208" s="7" t="n"/>
      <c r="E208" s="7" t="n"/>
      <c r="F208" s="8" t="n"/>
      <c r="G208" s="7" t="n"/>
      <c r="H208" s="7" t="n"/>
      <c r="I208" s="7">
        <f>IF(C208="","",IFERROR(IF(INDEX(원생!$H:$H,MATCH(C208,원생!$A:$A,0))="예","예",""),""))</f>
        <v/>
      </c>
      <c r="J208" s="7" t="n"/>
    </row>
    <row r="209">
      <c r="A209" s="9" t="n"/>
      <c r="B209" s="7" t="n"/>
      <c r="C209" s="7" t="n"/>
      <c r="D209" s="7" t="n"/>
      <c r="E209" s="7" t="n"/>
      <c r="F209" s="8" t="n"/>
      <c r="G209" s="7" t="n"/>
      <c r="H209" s="7" t="n"/>
      <c r="I209" s="7">
        <f>IF(C209="","",IFERROR(IF(INDEX(원생!$H:$H,MATCH(C209,원생!$A:$A,0))="예","예",""),""))</f>
        <v/>
      </c>
      <c r="J209" s="7" t="n"/>
    </row>
    <row r="210">
      <c r="A210" s="9" t="n"/>
      <c r="B210" s="7" t="n"/>
      <c r="C210" s="7" t="n"/>
      <c r="D210" s="7" t="n"/>
      <c r="E210" s="7" t="n"/>
      <c r="F210" s="8" t="n"/>
      <c r="G210" s="7" t="n"/>
      <c r="H210" s="7" t="n"/>
      <c r="I210" s="7">
        <f>IF(C210="","",IFERROR(IF(INDEX(원생!$H:$H,MATCH(C210,원생!$A:$A,0))="예","예",""),""))</f>
        <v/>
      </c>
      <c r="J210" s="7" t="n"/>
    </row>
    <row r="211">
      <c r="A211" s="9" t="n"/>
      <c r="B211" s="7" t="n"/>
      <c r="C211" s="7" t="n"/>
      <c r="D211" s="7" t="n"/>
      <c r="E211" s="7" t="n"/>
      <c r="F211" s="8" t="n"/>
      <c r="G211" s="7" t="n"/>
      <c r="H211" s="7" t="n"/>
      <c r="I211" s="7">
        <f>IF(C211="","",IFERROR(IF(INDEX(원생!$H:$H,MATCH(C211,원생!$A:$A,0))="예","예",""),""))</f>
        <v/>
      </c>
      <c r="J211" s="7" t="n"/>
    </row>
    <row r="212">
      <c r="A212" s="9" t="n"/>
      <c r="B212" s="7" t="n"/>
      <c r="C212" s="7" t="n"/>
      <c r="D212" s="7" t="n"/>
      <c r="E212" s="7" t="n"/>
      <c r="F212" s="8" t="n"/>
      <c r="G212" s="7" t="n"/>
      <c r="H212" s="7" t="n"/>
      <c r="I212" s="7">
        <f>IF(C212="","",IFERROR(IF(INDEX(원생!$H:$H,MATCH(C212,원생!$A:$A,0))="예","예",""),""))</f>
        <v/>
      </c>
      <c r="J212" s="7" t="n"/>
    </row>
    <row r="213">
      <c r="A213" s="9" t="n"/>
      <c r="B213" s="7" t="n"/>
      <c r="C213" s="7" t="n"/>
      <c r="D213" s="7" t="n"/>
      <c r="E213" s="7" t="n"/>
      <c r="F213" s="8" t="n"/>
      <c r="G213" s="7" t="n"/>
      <c r="H213" s="7" t="n"/>
      <c r="I213" s="7">
        <f>IF(C213="","",IFERROR(IF(INDEX(원생!$H:$H,MATCH(C213,원생!$A:$A,0))="예","예",""),""))</f>
        <v/>
      </c>
      <c r="J213" s="7" t="n"/>
    </row>
    <row r="214">
      <c r="A214" s="9" t="n"/>
      <c r="B214" s="7" t="n"/>
      <c r="C214" s="7" t="n"/>
      <c r="D214" s="7" t="n"/>
      <c r="E214" s="7" t="n"/>
      <c r="F214" s="8" t="n"/>
      <c r="G214" s="7" t="n"/>
      <c r="H214" s="7" t="n"/>
      <c r="I214" s="7">
        <f>IF(C214="","",IFERROR(IF(INDEX(원생!$H:$H,MATCH(C214,원생!$A:$A,0))="예","예",""),""))</f>
        <v/>
      </c>
      <c r="J214" s="7" t="n"/>
    </row>
    <row r="215">
      <c r="A215" s="9" t="n"/>
      <c r="B215" s="7" t="n"/>
      <c r="C215" s="7" t="n"/>
      <c r="D215" s="7" t="n"/>
      <c r="E215" s="7" t="n"/>
      <c r="F215" s="8" t="n"/>
      <c r="G215" s="7" t="n"/>
      <c r="H215" s="7" t="n"/>
      <c r="I215" s="7">
        <f>IF(C215="","",IFERROR(IF(INDEX(원생!$H:$H,MATCH(C215,원생!$A:$A,0))="예","예",""),""))</f>
        <v/>
      </c>
      <c r="J215" s="7" t="n"/>
    </row>
    <row r="216">
      <c r="A216" s="9" t="n"/>
      <c r="B216" s="7" t="n"/>
      <c r="C216" s="7" t="n"/>
      <c r="D216" s="7" t="n"/>
      <c r="E216" s="7" t="n"/>
      <c r="F216" s="8" t="n"/>
      <c r="G216" s="7" t="n"/>
      <c r="H216" s="7" t="n"/>
      <c r="I216" s="7">
        <f>IF(C216="","",IFERROR(IF(INDEX(원생!$H:$H,MATCH(C216,원생!$A:$A,0))="예","예",""),""))</f>
        <v/>
      </c>
      <c r="J216" s="7" t="n"/>
    </row>
    <row r="217">
      <c r="A217" s="9" t="n"/>
      <c r="B217" s="7" t="n"/>
      <c r="C217" s="7" t="n"/>
      <c r="D217" s="7" t="n"/>
      <c r="E217" s="7" t="n"/>
      <c r="F217" s="8" t="n"/>
      <c r="G217" s="7" t="n"/>
      <c r="H217" s="7" t="n"/>
      <c r="I217" s="7">
        <f>IF(C217="","",IFERROR(IF(INDEX(원생!$H:$H,MATCH(C217,원생!$A:$A,0))="예","예",""),""))</f>
        <v/>
      </c>
      <c r="J217" s="7" t="n"/>
    </row>
    <row r="218">
      <c r="A218" s="9" t="n"/>
      <c r="B218" s="7" t="n"/>
      <c r="C218" s="7" t="n"/>
      <c r="D218" s="7" t="n"/>
      <c r="E218" s="7" t="n"/>
      <c r="F218" s="8" t="n"/>
      <c r="G218" s="7" t="n"/>
      <c r="H218" s="7" t="n"/>
      <c r="I218" s="7">
        <f>IF(C218="","",IFERROR(IF(INDEX(원생!$H:$H,MATCH(C218,원생!$A:$A,0))="예","예",""),""))</f>
        <v/>
      </c>
      <c r="J218" s="7" t="n"/>
    </row>
    <row r="219">
      <c r="A219" s="9" t="n"/>
      <c r="B219" s="7" t="n"/>
      <c r="C219" s="7" t="n"/>
      <c r="D219" s="7" t="n"/>
      <c r="E219" s="7" t="n"/>
      <c r="F219" s="8" t="n"/>
      <c r="G219" s="7" t="n"/>
      <c r="H219" s="7" t="n"/>
      <c r="I219" s="7">
        <f>IF(C219="","",IFERROR(IF(INDEX(원생!$H:$H,MATCH(C219,원생!$A:$A,0))="예","예",""),""))</f>
        <v/>
      </c>
      <c r="J219" s="7" t="n"/>
    </row>
    <row r="220">
      <c r="A220" s="9" t="n"/>
      <c r="B220" s="7" t="n"/>
      <c r="C220" s="7" t="n"/>
      <c r="D220" s="7" t="n"/>
      <c r="E220" s="7" t="n"/>
      <c r="F220" s="8" t="n"/>
      <c r="G220" s="7" t="n"/>
      <c r="H220" s="7" t="n"/>
      <c r="I220" s="7">
        <f>IF(C220="","",IFERROR(IF(INDEX(원생!$H:$H,MATCH(C220,원생!$A:$A,0))="예","예",""),""))</f>
        <v/>
      </c>
      <c r="J220" s="7" t="n"/>
    </row>
    <row r="221">
      <c r="A221" s="9" t="n"/>
      <c r="B221" s="7" t="n"/>
      <c r="C221" s="7" t="n"/>
      <c r="D221" s="7" t="n"/>
      <c r="E221" s="7" t="n"/>
      <c r="F221" s="8" t="n"/>
      <c r="G221" s="7" t="n"/>
      <c r="H221" s="7" t="n"/>
      <c r="I221" s="7">
        <f>IF(C221="","",IFERROR(IF(INDEX(원생!$H:$H,MATCH(C221,원생!$A:$A,0))="예","예",""),""))</f>
        <v/>
      </c>
      <c r="J221" s="7" t="n"/>
    </row>
    <row r="222">
      <c r="A222" s="9" t="n"/>
      <c r="B222" s="7" t="n"/>
      <c r="C222" s="7" t="n"/>
      <c r="D222" s="7" t="n"/>
      <c r="E222" s="7" t="n"/>
      <c r="F222" s="8" t="n"/>
      <c r="G222" s="7" t="n"/>
      <c r="H222" s="7" t="n"/>
      <c r="I222" s="7">
        <f>IF(C222="","",IFERROR(IF(INDEX(원생!$H:$H,MATCH(C222,원생!$A:$A,0))="예","예",""),""))</f>
        <v/>
      </c>
      <c r="J222" s="7" t="n"/>
    </row>
    <row r="223">
      <c r="A223" s="9" t="n"/>
      <c r="B223" s="7" t="n"/>
      <c r="C223" s="7" t="n"/>
      <c r="D223" s="7" t="n"/>
      <c r="E223" s="7" t="n"/>
      <c r="F223" s="8" t="n"/>
      <c r="G223" s="7" t="n"/>
      <c r="H223" s="7" t="n"/>
      <c r="I223" s="7">
        <f>IF(C223="","",IFERROR(IF(INDEX(원생!$H:$H,MATCH(C223,원생!$A:$A,0))="예","예",""),""))</f>
        <v/>
      </c>
      <c r="J223" s="7" t="n"/>
    </row>
    <row r="224">
      <c r="A224" s="9" t="n"/>
      <c r="B224" s="7" t="n"/>
      <c r="C224" s="7" t="n"/>
      <c r="D224" s="7" t="n"/>
      <c r="E224" s="7" t="n"/>
      <c r="F224" s="8" t="n"/>
      <c r="G224" s="7" t="n"/>
      <c r="H224" s="7" t="n"/>
      <c r="I224" s="7">
        <f>IF(C224="","",IFERROR(IF(INDEX(원생!$H:$H,MATCH(C224,원생!$A:$A,0))="예","예",""),""))</f>
        <v/>
      </c>
      <c r="J224" s="7" t="n"/>
    </row>
    <row r="225">
      <c r="A225" s="9" t="n"/>
      <c r="B225" s="7" t="n"/>
      <c r="C225" s="7" t="n"/>
      <c r="D225" s="7" t="n"/>
      <c r="E225" s="7" t="n"/>
      <c r="F225" s="8" t="n"/>
      <c r="G225" s="7" t="n"/>
      <c r="H225" s="7" t="n"/>
      <c r="I225" s="7">
        <f>IF(C225="","",IFERROR(IF(INDEX(원생!$H:$H,MATCH(C225,원생!$A:$A,0))="예","예",""),""))</f>
        <v/>
      </c>
      <c r="J225" s="7" t="n"/>
    </row>
    <row r="226">
      <c r="A226" s="9" t="n"/>
      <c r="B226" s="7" t="n"/>
      <c r="C226" s="7" t="n"/>
      <c r="D226" s="7" t="n"/>
      <c r="E226" s="7" t="n"/>
      <c r="F226" s="8" t="n"/>
      <c r="G226" s="7" t="n"/>
      <c r="H226" s="7" t="n"/>
      <c r="I226" s="7">
        <f>IF(C226="","",IFERROR(IF(INDEX(원생!$H:$H,MATCH(C226,원생!$A:$A,0))="예","예",""),""))</f>
        <v/>
      </c>
      <c r="J226" s="7" t="n"/>
    </row>
    <row r="227">
      <c r="A227" s="9" t="n"/>
      <c r="B227" s="7" t="n"/>
      <c r="C227" s="7" t="n"/>
      <c r="D227" s="7" t="n"/>
      <c r="E227" s="7" t="n"/>
      <c r="F227" s="8" t="n"/>
      <c r="G227" s="7" t="n"/>
      <c r="H227" s="7" t="n"/>
      <c r="I227" s="7">
        <f>IF(C227="","",IFERROR(IF(INDEX(원생!$H:$H,MATCH(C227,원생!$A:$A,0))="예","예",""),""))</f>
        <v/>
      </c>
      <c r="J227" s="7" t="n"/>
    </row>
    <row r="228">
      <c r="A228" s="9" t="n"/>
      <c r="B228" s="7" t="n"/>
      <c r="C228" s="7" t="n"/>
      <c r="D228" s="7" t="n"/>
      <c r="E228" s="7" t="n"/>
      <c r="F228" s="8" t="n"/>
      <c r="G228" s="7" t="n"/>
      <c r="H228" s="7" t="n"/>
      <c r="I228" s="7">
        <f>IF(C228="","",IFERROR(IF(INDEX(원생!$H:$H,MATCH(C228,원생!$A:$A,0))="예","예",""),""))</f>
        <v/>
      </c>
      <c r="J228" s="7" t="n"/>
    </row>
    <row r="229">
      <c r="A229" s="9" t="n"/>
      <c r="B229" s="7" t="n"/>
      <c r="C229" s="7" t="n"/>
      <c r="D229" s="7" t="n"/>
      <c r="E229" s="7" t="n"/>
      <c r="F229" s="8" t="n"/>
      <c r="G229" s="7" t="n"/>
      <c r="H229" s="7" t="n"/>
      <c r="I229" s="7">
        <f>IF(C229="","",IFERROR(IF(INDEX(원생!$H:$H,MATCH(C229,원생!$A:$A,0))="예","예",""),""))</f>
        <v/>
      </c>
      <c r="J229" s="7" t="n"/>
    </row>
    <row r="230">
      <c r="A230" s="9" t="n"/>
      <c r="B230" s="7" t="n"/>
      <c r="C230" s="7" t="n"/>
      <c r="D230" s="7" t="n"/>
      <c r="E230" s="7" t="n"/>
      <c r="F230" s="8" t="n"/>
      <c r="G230" s="7" t="n"/>
      <c r="H230" s="7" t="n"/>
      <c r="I230" s="7">
        <f>IF(C230="","",IFERROR(IF(INDEX(원생!$H:$H,MATCH(C230,원생!$A:$A,0))="예","예",""),""))</f>
        <v/>
      </c>
      <c r="J230" s="7" t="n"/>
    </row>
    <row r="231">
      <c r="A231" s="9" t="n"/>
      <c r="B231" s="7" t="n"/>
      <c r="C231" s="7" t="n"/>
      <c r="D231" s="7" t="n"/>
      <c r="E231" s="7" t="n"/>
      <c r="F231" s="8" t="n"/>
      <c r="G231" s="7" t="n"/>
      <c r="H231" s="7" t="n"/>
      <c r="I231" s="7">
        <f>IF(C231="","",IFERROR(IF(INDEX(원생!$H:$H,MATCH(C231,원생!$A:$A,0))="예","예",""),""))</f>
        <v/>
      </c>
      <c r="J231" s="7" t="n"/>
    </row>
    <row r="232">
      <c r="A232" s="9" t="n"/>
      <c r="B232" s="7" t="n"/>
      <c r="C232" s="7" t="n"/>
      <c r="D232" s="7" t="n"/>
      <c r="E232" s="7" t="n"/>
      <c r="F232" s="8" t="n"/>
      <c r="G232" s="7" t="n"/>
      <c r="H232" s="7" t="n"/>
      <c r="I232" s="7">
        <f>IF(C232="","",IFERROR(IF(INDEX(원생!$H:$H,MATCH(C232,원생!$A:$A,0))="예","예",""),""))</f>
        <v/>
      </c>
      <c r="J232" s="7" t="n"/>
    </row>
    <row r="233">
      <c r="A233" s="9" t="n"/>
      <c r="B233" s="7" t="n"/>
      <c r="C233" s="7" t="n"/>
      <c r="D233" s="7" t="n"/>
      <c r="E233" s="7" t="n"/>
      <c r="F233" s="8" t="n"/>
      <c r="G233" s="7" t="n"/>
      <c r="H233" s="7" t="n"/>
      <c r="I233" s="7">
        <f>IF(C233="","",IFERROR(IF(INDEX(원생!$H:$H,MATCH(C233,원생!$A:$A,0))="예","예",""),""))</f>
        <v/>
      </c>
      <c r="J233" s="7" t="n"/>
    </row>
    <row r="234">
      <c r="A234" s="9" t="n"/>
      <c r="B234" s="7" t="n"/>
      <c r="C234" s="7" t="n"/>
      <c r="D234" s="7" t="n"/>
      <c r="E234" s="7" t="n"/>
      <c r="F234" s="8" t="n"/>
      <c r="G234" s="7" t="n"/>
      <c r="H234" s="7" t="n"/>
      <c r="I234" s="7">
        <f>IF(C234="","",IFERROR(IF(INDEX(원생!$H:$H,MATCH(C234,원생!$A:$A,0))="예","예",""),""))</f>
        <v/>
      </c>
      <c r="J234" s="7" t="n"/>
    </row>
    <row r="235">
      <c r="A235" s="9" t="n"/>
      <c r="B235" s="7" t="n"/>
      <c r="C235" s="7" t="n"/>
      <c r="D235" s="7" t="n"/>
      <c r="E235" s="7" t="n"/>
      <c r="F235" s="8" t="n"/>
      <c r="G235" s="7" t="n"/>
      <c r="H235" s="7" t="n"/>
      <c r="I235" s="7">
        <f>IF(C235="","",IFERROR(IF(INDEX(원생!$H:$H,MATCH(C235,원생!$A:$A,0))="예","예",""),""))</f>
        <v/>
      </c>
      <c r="J235" s="7" t="n"/>
    </row>
    <row r="236">
      <c r="A236" s="9" t="n"/>
      <c r="B236" s="7" t="n"/>
      <c r="C236" s="7" t="n"/>
      <c r="D236" s="7" t="n"/>
      <c r="E236" s="7" t="n"/>
      <c r="F236" s="8" t="n"/>
      <c r="G236" s="7" t="n"/>
      <c r="H236" s="7" t="n"/>
      <c r="I236" s="7">
        <f>IF(C236="","",IFERROR(IF(INDEX(원생!$H:$H,MATCH(C236,원생!$A:$A,0))="예","예",""),""))</f>
        <v/>
      </c>
      <c r="J236" s="7" t="n"/>
    </row>
    <row r="237">
      <c r="A237" s="9" t="n"/>
      <c r="B237" s="7" t="n"/>
      <c r="C237" s="7" t="n"/>
      <c r="D237" s="7" t="n"/>
      <c r="E237" s="7" t="n"/>
      <c r="F237" s="8" t="n"/>
      <c r="G237" s="7" t="n"/>
      <c r="H237" s="7" t="n"/>
      <c r="I237" s="7">
        <f>IF(C237="","",IFERROR(IF(INDEX(원생!$H:$H,MATCH(C237,원생!$A:$A,0))="예","예",""),""))</f>
        <v/>
      </c>
      <c r="J237" s="7" t="n"/>
    </row>
    <row r="238">
      <c r="A238" s="9" t="n"/>
      <c r="B238" s="7" t="n"/>
      <c r="C238" s="7" t="n"/>
      <c r="D238" s="7" t="n"/>
      <c r="E238" s="7" t="n"/>
      <c r="F238" s="8" t="n"/>
      <c r="G238" s="7" t="n"/>
      <c r="H238" s="7" t="n"/>
      <c r="I238" s="7">
        <f>IF(C238="","",IFERROR(IF(INDEX(원생!$H:$H,MATCH(C238,원생!$A:$A,0))="예","예",""),""))</f>
        <v/>
      </c>
      <c r="J238" s="7" t="n"/>
    </row>
    <row r="239">
      <c r="A239" s="9" t="n"/>
      <c r="B239" s="7" t="n"/>
      <c r="C239" s="7" t="n"/>
      <c r="D239" s="7" t="n"/>
      <c r="E239" s="7" t="n"/>
      <c r="F239" s="8" t="n"/>
      <c r="G239" s="7" t="n"/>
      <c r="H239" s="7" t="n"/>
      <c r="I239" s="7">
        <f>IF(C239="","",IFERROR(IF(INDEX(원생!$H:$H,MATCH(C239,원생!$A:$A,0))="예","예",""),""))</f>
        <v/>
      </c>
      <c r="J239" s="7" t="n"/>
    </row>
    <row r="240">
      <c r="A240" s="9" t="n"/>
      <c r="B240" s="7" t="n"/>
      <c r="C240" s="7" t="n"/>
      <c r="D240" s="7" t="n"/>
      <c r="E240" s="7" t="n"/>
      <c r="F240" s="8" t="n"/>
      <c r="G240" s="7" t="n"/>
      <c r="H240" s="7" t="n"/>
      <c r="I240" s="7">
        <f>IF(C240="","",IFERROR(IF(INDEX(원생!$H:$H,MATCH(C240,원생!$A:$A,0))="예","예",""),""))</f>
        <v/>
      </c>
      <c r="J240" s="7" t="n"/>
    </row>
    <row r="241">
      <c r="A241" s="9" t="n"/>
      <c r="B241" s="7" t="n"/>
      <c r="C241" s="7" t="n"/>
      <c r="D241" s="7" t="n"/>
      <c r="E241" s="7" t="n"/>
      <c r="F241" s="8" t="n"/>
      <c r="G241" s="7" t="n"/>
      <c r="H241" s="7" t="n"/>
      <c r="I241" s="7">
        <f>IF(C241="","",IFERROR(IF(INDEX(원생!$H:$H,MATCH(C241,원생!$A:$A,0))="예","예",""),""))</f>
        <v/>
      </c>
      <c r="J241" s="7" t="n"/>
    </row>
    <row r="242">
      <c r="A242" s="9" t="n"/>
      <c r="B242" s="7" t="n"/>
      <c r="C242" s="7" t="n"/>
      <c r="D242" s="7" t="n"/>
      <c r="E242" s="7" t="n"/>
      <c r="F242" s="8" t="n"/>
      <c r="G242" s="7" t="n"/>
      <c r="H242" s="7" t="n"/>
      <c r="I242" s="7">
        <f>IF(C242="","",IFERROR(IF(INDEX(원생!$H:$H,MATCH(C242,원생!$A:$A,0))="예","예",""),""))</f>
        <v/>
      </c>
      <c r="J242" s="7" t="n"/>
    </row>
    <row r="243">
      <c r="A243" s="9" t="n"/>
      <c r="B243" s="7" t="n"/>
      <c r="C243" s="7" t="n"/>
      <c r="D243" s="7" t="n"/>
      <c r="E243" s="7" t="n"/>
      <c r="F243" s="8" t="n"/>
      <c r="G243" s="7" t="n"/>
      <c r="H243" s="7" t="n"/>
      <c r="I243" s="7">
        <f>IF(C243="","",IFERROR(IF(INDEX(원생!$H:$H,MATCH(C243,원생!$A:$A,0))="예","예",""),""))</f>
        <v/>
      </c>
      <c r="J243" s="7" t="n"/>
    </row>
    <row r="244">
      <c r="A244" s="9" t="n"/>
      <c r="B244" s="7" t="n"/>
      <c r="C244" s="7" t="n"/>
      <c r="D244" s="7" t="n"/>
      <c r="E244" s="7" t="n"/>
      <c r="F244" s="8" t="n"/>
      <c r="G244" s="7" t="n"/>
      <c r="H244" s="7" t="n"/>
      <c r="I244" s="7">
        <f>IF(C244="","",IFERROR(IF(INDEX(원생!$H:$H,MATCH(C244,원생!$A:$A,0))="예","예",""),""))</f>
        <v/>
      </c>
      <c r="J244" s="7" t="n"/>
    </row>
    <row r="245">
      <c r="A245" s="9" t="n"/>
      <c r="B245" s="7" t="n"/>
      <c r="C245" s="7" t="n"/>
      <c r="D245" s="7" t="n"/>
      <c r="E245" s="7" t="n"/>
      <c r="F245" s="8" t="n"/>
      <c r="G245" s="7" t="n"/>
      <c r="H245" s="7" t="n"/>
      <c r="I245" s="7">
        <f>IF(C245="","",IFERROR(IF(INDEX(원생!$H:$H,MATCH(C245,원생!$A:$A,0))="예","예",""),""))</f>
        <v/>
      </c>
      <c r="J245" s="7" t="n"/>
    </row>
    <row r="246">
      <c r="A246" s="9" t="n"/>
      <c r="B246" s="7" t="n"/>
      <c r="C246" s="7" t="n"/>
      <c r="D246" s="7" t="n"/>
      <c r="E246" s="7" t="n"/>
      <c r="F246" s="8" t="n"/>
      <c r="G246" s="7" t="n"/>
      <c r="H246" s="7" t="n"/>
      <c r="I246" s="7">
        <f>IF(C246="","",IFERROR(IF(INDEX(원생!$H:$H,MATCH(C246,원생!$A:$A,0))="예","예",""),""))</f>
        <v/>
      </c>
      <c r="J246" s="7" t="n"/>
    </row>
    <row r="247">
      <c r="A247" s="9" t="n"/>
      <c r="B247" s="7" t="n"/>
      <c r="C247" s="7" t="n"/>
      <c r="D247" s="7" t="n"/>
      <c r="E247" s="7" t="n"/>
      <c r="F247" s="8" t="n"/>
      <c r="G247" s="7" t="n"/>
      <c r="H247" s="7" t="n"/>
      <c r="I247" s="7">
        <f>IF(C247="","",IFERROR(IF(INDEX(원생!$H:$H,MATCH(C247,원생!$A:$A,0))="예","예",""),""))</f>
        <v/>
      </c>
      <c r="J247" s="7" t="n"/>
    </row>
    <row r="248">
      <c r="A248" s="9" t="n"/>
      <c r="B248" s="7" t="n"/>
      <c r="C248" s="7" t="n"/>
      <c r="D248" s="7" t="n"/>
      <c r="E248" s="7" t="n"/>
      <c r="F248" s="8" t="n"/>
      <c r="G248" s="7" t="n"/>
      <c r="H248" s="7" t="n"/>
      <c r="I248" s="7">
        <f>IF(C248="","",IFERROR(IF(INDEX(원생!$H:$H,MATCH(C248,원생!$A:$A,0))="예","예",""),""))</f>
        <v/>
      </c>
      <c r="J248" s="7" t="n"/>
    </row>
    <row r="249">
      <c r="A249" s="9" t="n"/>
      <c r="B249" s="7" t="n"/>
      <c r="C249" s="7" t="n"/>
      <c r="D249" s="7" t="n"/>
      <c r="E249" s="7" t="n"/>
      <c r="F249" s="8" t="n"/>
      <c r="G249" s="7" t="n"/>
      <c r="H249" s="7" t="n"/>
      <c r="I249" s="7">
        <f>IF(C249="","",IFERROR(IF(INDEX(원생!$H:$H,MATCH(C249,원생!$A:$A,0))="예","예",""),""))</f>
        <v/>
      </c>
      <c r="J249" s="7" t="n"/>
    </row>
    <row r="250">
      <c r="A250" s="9" t="n"/>
      <c r="B250" s="7" t="n"/>
      <c r="C250" s="7" t="n"/>
      <c r="D250" s="7" t="n"/>
      <c r="E250" s="7" t="n"/>
      <c r="F250" s="8" t="n"/>
      <c r="G250" s="7" t="n"/>
      <c r="H250" s="7" t="n"/>
      <c r="I250" s="7">
        <f>IF(C250="","",IFERROR(IF(INDEX(원생!$H:$H,MATCH(C250,원생!$A:$A,0))="예","예",""),""))</f>
        <v/>
      </c>
      <c r="J250" s="7" t="n"/>
    </row>
    <row r="251">
      <c r="A251" s="9" t="n"/>
      <c r="B251" s="7" t="n"/>
      <c r="C251" s="7" t="n"/>
      <c r="D251" s="7" t="n"/>
      <c r="E251" s="7" t="n"/>
      <c r="F251" s="8" t="n"/>
      <c r="G251" s="7" t="n"/>
      <c r="H251" s="7" t="n"/>
      <c r="I251" s="7">
        <f>IF(C251="","",IFERROR(IF(INDEX(원생!$H:$H,MATCH(C251,원생!$A:$A,0))="예","예",""),""))</f>
        <v/>
      </c>
      <c r="J251" s="7" t="n"/>
    </row>
    <row r="252">
      <c r="A252" s="9" t="n"/>
      <c r="B252" s="7" t="n"/>
      <c r="C252" s="7" t="n"/>
      <c r="D252" s="7" t="n"/>
      <c r="E252" s="7" t="n"/>
      <c r="F252" s="8" t="n"/>
      <c r="G252" s="7" t="n"/>
      <c r="H252" s="7" t="n"/>
      <c r="I252" s="7">
        <f>IF(C252="","",IFERROR(IF(INDEX(원생!$H:$H,MATCH(C252,원생!$A:$A,0))="예","예",""),""))</f>
        <v/>
      </c>
      <c r="J252" s="7" t="n"/>
    </row>
    <row r="253">
      <c r="A253" s="9" t="n"/>
      <c r="B253" s="7" t="n"/>
      <c r="C253" s="7" t="n"/>
      <c r="D253" s="7" t="n"/>
      <c r="E253" s="7" t="n"/>
      <c r="F253" s="8" t="n"/>
      <c r="G253" s="7" t="n"/>
      <c r="H253" s="7" t="n"/>
      <c r="I253" s="7">
        <f>IF(C253="","",IFERROR(IF(INDEX(원생!$H:$H,MATCH(C253,원생!$A:$A,0))="예","예",""),""))</f>
        <v/>
      </c>
      <c r="J253" s="7" t="n"/>
    </row>
    <row r="254">
      <c r="A254" s="9" t="n"/>
      <c r="B254" s="7" t="n"/>
      <c r="C254" s="7" t="n"/>
      <c r="D254" s="7" t="n"/>
      <c r="E254" s="7" t="n"/>
      <c r="F254" s="8" t="n"/>
      <c r="G254" s="7" t="n"/>
      <c r="H254" s="7" t="n"/>
      <c r="I254" s="7">
        <f>IF(C254="","",IFERROR(IF(INDEX(원생!$H:$H,MATCH(C254,원생!$A:$A,0))="예","예",""),""))</f>
        <v/>
      </c>
      <c r="J254" s="7" t="n"/>
    </row>
    <row r="255">
      <c r="A255" s="9" t="n"/>
      <c r="B255" s="7" t="n"/>
      <c r="C255" s="7" t="n"/>
      <c r="D255" s="7" t="n"/>
      <c r="E255" s="7" t="n"/>
      <c r="F255" s="8" t="n"/>
      <c r="G255" s="7" t="n"/>
      <c r="H255" s="7" t="n"/>
      <c r="I255" s="7">
        <f>IF(C255="","",IFERROR(IF(INDEX(원생!$H:$H,MATCH(C255,원생!$A:$A,0))="예","예",""),""))</f>
        <v/>
      </c>
      <c r="J255" s="7" t="n"/>
    </row>
    <row r="256">
      <c r="A256" s="9" t="n"/>
      <c r="B256" s="7" t="n"/>
      <c r="C256" s="7" t="n"/>
      <c r="D256" s="7" t="n"/>
      <c r="E256" s="7" t="n"/>
      <c r="F256" s="8" t="n"/>
      <c r="G256" s="7" t="n"/>
      <c r="H256" s="7" t="n"/>
      <c r="I256" s="7">
        <f>IF(C256="","",IFERROR(IF(INDEX(원생!$H:$H,MATCH(C256,원생!$A:$A,0))="예","예",""),""))</f>
        <v/>
      </c>
      <c r="J256" s="7" t="n"/>
    </row>
    <row r="257">
      <c r="A257" s="9" t="n"/>
      <c r="B257" s="7" t="n"/>
      <c r="C257" s="7" t="n"/>
      <c r="D257" s="7" t="n"/>
      <c r="E257" s="7" t="n"/>
      <c r="F257" s="8" t="n"/>
      <c r="G257" s="7" t="n"/>
      <c r="H257" s="7" t="n"/>
      <c r="I257" s="7">
        <f>IF(C257="","",IFERROR(IF(INDEX(원생!$H:$H,MATCH(C257,원생!$A:$A,0))="예","예",""),""))</f>
        <v/>
      </c>
      <c r="J257" s="7" t="n"/>
    </row>
    <row r="258">
      <c r="A258" s="9" t="n"/>
      <c r="B258" s="7" t="n"/>
      <c r="C258" s="7" t="n"/>
      <c r="D258" s="7" t="n"/>
      <c r="E258" s="7" t="n"/>
      <c r="F258" s="8" t="n"/>
      <c r="G258" s="7" t="n"/>
      <c r="H258" s="7" t="n"/>
      <c r="I258" s="7">
        <f>IF(C258="","",IFERROR(IF(INDEX(원생!$H:$H,MATCH(C258,원생!$A:$A,0))="예","예",""),""))</f>
        <v/>
      </c>
      <c r="J258" s="7" t="n"/>
    </row>
    <row r="259">
      <c r="A259" s="9" t="n"/>
      <c r="B259" s="7" t="n"/>
      <c r="C259" s="7" t="n"/>
      <c r="D259" s="7" t="n"/>
      <c r="E259" s="7" t="n"/>
      <c r="F259" s="8" t="n"/>
      <c r="G259" s="7" t="n"/>
      <c r="H259" s="7" t="n"/>
      <c r="I259" s="7">
        <f>IF(C259="","",IFERROR(IF(INDEX(원생!$H:$H,MATCH(C259,원생!$A:$A,0))="예","예",""),""))</f>
        <v/>
      </c>
      <c r="J259" s="7" t="n"/>
    </row>
    <row r="260">
      <c r="A260" s="9" t="n"/>
      <c r="B260" s="7" t="n"/>
      <c r="C260" s="7" t="n"/>
      <c r="D260" s="7" t="n"/>
      <c r="E260" s="7" t="n"/>
      <c r="F260" s="8" t="n"/>
      <c r="G260" s="7" t="n"/>
      <c r="H260" s="7" t="n"/>
      <c r="I260" s="7">
        <f>IF(C260="","",IFERROR(IF(INDEX(원생!$H:$H,MATCH(C260,원생!$A:$A,0))="예","예",""),""))</f>
        <v/>
      </c>
      <c r="J260" s="7" t="n"/>
    </row>
    <row r="261">
      <c r="A261" s="9" t="n"/>
      <c r="B261" s="7" t="n"/>
      <c r="C261" s="7" t="n"/>
      <c r="D261" s="7" t="n"/>
      <c r="E261" s="7" t="n"/>
      <c r="F261" s="8" t="n"/>
      <c r="G261" s="7" t="n"/>
      <c r="H261" s="7" t="n"/>
      <c r="I261" s="7">
        <f>IF(C261="","",IFERROR(IF(INDEX(원생!$H:$H,MATCH(C261,원생!$A:$A,0))="예","예",""),""))</f>
        <v/>
      </c>
      <c r="J261" s="7" t="n"/>
    </row>
    <row r="262">
      <c r="A262" s="9" t="n"/>
      <c r="B262" s="7" t="n"/>
      <c r="C262" s="7" t="n"/>
      <c r="D262" s="7" t="n"/>
      <c r="E262" s="7" t="n"/>
      <c r="F262" s="8" t="n"/>
      <c r="G262" s="7" t="n"/>
      <c r="H262" s="7" t="n"/>
      <c r="I262" s="7">
        <f>IF(C262="","",IFERROR(IF(INDEX(원생!$H:$H,MATCH(C262,원생!$A:$A,0))="예","예",""),""))</f>
        <v/>
      </c>
      <c r="J262" s="7" t="n"/>
    </row>
    <row r="263">
      <c r="A263" s="9" t="n"/>
      <c r="B263" s="7" t="n"/>
      <c r="C263" s="7" t="n"/>
      <c r="D263" s="7" t="n"/>
      <c r="E263" s="7" t="n"/>
      <c r="F263" s="8" t="n"/>
      <c r="G263" s="7" t="n"/>
      <c r="H263" s="7" t="n"/>
      <c r="I263" s="7">
        <f>IF(C263="","",IFERROR(IF(INDEX(원생!$H:$H,MATCH(C263,원생!$A:$A,0))="예","예",""),""))</f>
        <v/>
      </c>
      <c r="J263" s="7" t="n"/>
    </row>
    <row r="264">
      <c r="A264" s="9" t="n"/>
      <c r="B264" s="7" t="n"/>
      <c r="C264" s="7" t="n"/>
      <c r="D264" s="7" t="n"/>
      <c r="E264" s="7" t="n"/>
      <c r="F264" s="8" t="n"/>
      <c r="G264" s="7" t="n"/>
      <c r="H264" s="7" t="n"/>
      <c r="I264" s="7">
        <f>IF(C264="","",IFERROR(IF(INDEX(원생!$H:$H,MATCH(C264,원생!$A:$A,0))="예","예",""),""))</f>
        <v/>
      </c>
      <c r="J264" s="7" t="n"/>
    </row>
    <row r="265">
      <c r="A265" s="9" t="n"/>
      <c r="B265" s="7" t="n"/>
      <c r="C265" s="7" t="n"/>
      <c r="D265" s="7" t="n"/>
      <c r="E265" s="7" t="n"/>
      <c r="F265" s="8" t="n"/>
      <c r="G265" s="7" t="n"/>
      <c r="H265" s="7" t="n"/>
      <c r="I265" s="7">
        <f>IF(C265="","",IFERROR(IF(INDEX(원생!$H:$H,MATCH(C265,원생!$A:$A,0))="예","예",""),""))</f>
        <v/>
      </c>
      <c r="J265" s="7" t="n"/>
    </row>
    <row r="266">
      <c r="A266" s="9" t="n"/>
      <c r="B266" s="7" t="n"/>
      <c r="C266" s="7" t="n"/>
      <c r="D266" s="7" t="n"/>
      <c r="E266" s="7" t="n"/>
      <c r="F266" s="8" t="n"/>
      <c r="G266" s="7" t="n"/>
      <c r="H266" s="7" t="n"/>
      <c r="I266" s="7">
        <f>IF(C266="","",IFERROR(IF(INDEX(원생!$H:$H,MATCH(C266,원생!$A:$A,0))="예","예",""),""))</f>
        <v/>
      </c>
      <c r="J266" s="7" t="n"/>
    </row>
    <row r="267">
      <c r="A267" s="9" t="n"/>
      <c r="B267" s="7" t="n"/>
      <c r="C267" s="7" t="n"/>
      <c r="D267" s="7" t="n"/>
      <c r="E267" s="7" t="n"/>
      <c r="F267" s="8" t="n"/>
      <c r="G267" s="7" t="n"/>
      <c r="H267" s="7" t="n"/>
      <c r="I267" s="7">
        <f>IF(C267="","",IFERROR(IF(INDEX(원생!$H:$H,MATCH(C267,원생!$A:$A,0))="예","예",""),""))</f>
        <v/>
      </c>
      <c r="J267" s="7" t="n"/>
    </row>
    <row r="268">
      <c r="A268" s="9" t="n"/>
      <c r="B268" s="7" t="n"/>
      <c r="C268" s="7" t="n"/>
      <c r="D268" s="7" t="n"/>
      <c r="E268" s="7" t="n"/>
      <c r="F268" s="8" t="n"/>
      <c r="G268" s="7" t="n"/>
      <c r="H268" s="7" t="n"/>
      <c r="I268" s="7">
        <f>IF(C268="","",IFERROR(IF(INDEX(원생!$H:$H,MATCH(C268,원생!$A:$A,0))="예","예",""),""))</f>
        <v/>
      </c>
      <c r="J268" s="7" t="n"/>
    </row>
    <row r="269">
      <c r="A269" s="9" t="n"/>
      <c r="B269" s="7" t="n"/>
      <c r="C269" s="7" t="n"/>
      <c r="D269" s="7" t="n"/>
      <c r="E269" s="7" t="n"/>
      <c r="F269" s="8" t="n"/>
      <c r="G269" s="7" t="n"/>
      <c r="H269" s="7" t="n"/>
      <c r="I269" s="7">
        <f>IF(C269="","",IFERROR(IF(INDEX(원생!$H:$H,MATCH(C269,원생!$A:$A,0))="예","예",""),""))</f>
        <v/>
      </c>
      <c r="J269" s="7" t="n"/>
    </row>
    <row r="270">
      <c r="A270" s="9" t="n"/>
      <c r="B270" s="7" t="n"/>
      <c r="C270" s="7" t="n"/>
      <c r="D270" s="7" t="n"/>
      <c r="E270" s="7" t="n"/>
      <c r="F270" s="8" t="n"/>
      <c r="G270" s="7" t="n"/>
      <c r="H270" s="7" t="n"/>
      <c r="I270" s="7">
        <f>IF(C270="","",IFERROR(IF(INDEX(원생!$H:$H,MATCH(C270,원생!$A:$A,0))="예","예",""),""))</f>
        <v/>
      </c>
      <c r="J270" s="7" t="n"/>
    </row>
    <row r="271">
      <c r="A271" s="9" t="n"/>
      <c r="B271" s="7" t="n"/>
      <c r="C271" s="7" t="n"/>
      <c r="D271" s="7" t="n"/>
      <c r="E271" s="7" t="n"/>
      <c r="F271" s="8" t="n"/>
      <c r="G271" s="7" t="n"/>
      <c r="H271" s="7" t="n"/>
      <c r="I271" s="7">
        <f>IF(C271="","",IFERROR(IF(INDEX(원생!$H:$H,MATCH(C271,원생!$A:$A,0))="예","예",""),""))</f>
        <v/>
      </c>
      <c r="J271" s="7" t="n"/>
    </row>
    <row r="272">
      <c r="A272" s="9" t="n"/>
      <c r="B272" s="7" t="n"/>
      <c r="C272" s="7" t="n"/>
      <c r="D272" s="7" t="n"/>
      <c r="E272" s="7" t="n"/>
      <c r="F272" s="8" t="n"/>
      <c r="G272" s="7" t="n"/>
      <c r="H272" s="7" t="n"/>
      <c r="I272" s="7">
        <f>IF(C272="","",IFERROR(IF(INDEX(원생!$H:$H,MATCH(C272,원생!$A:$A,0))="예","예",""),""))</f>
        <v/>
      </c>
      <c r="J272" s="7" t="n"/>
    </row>
    <row r="273">
      <c r="A273" s="9" t="n"/>
      <c r="B273" s="7" t="n"/>
      <c r="C273" s="7" t="n"/>
      <c r="D273" s="7" t="n"/>
      <c r="E273" s="7" t="n"/>
      <c r="F273" s="8" t="n"/>
      <c r="G273" s="7" t="n"/>
      <c r="H273" s="7" t="n"/>
      <c r="I273" s="7">
        <f>IF(C273="","",IFERROR(IF(INDEX(원생!$H:$H,MATCH(C273,원생!$A:$A,0))="예","예",""),""))</f>
        <v/>
      </c>
      <c r="J273" s="7" t="n"/>
    </row>
    <row r="274">
      <c r="A274" s="9" t="n"/>
      <c r="B274" s="7" t="n"/>
      <c r="C274" s="7" t="n"/>
      <c r="D274" s="7" t="n"/>
      <c r="E274" s="7" t="n"/>
      <c r="F274" s="8" t="n"/>
      <c r="G274" s="7" t="n"/>
      <c r="H274" s="7" t="n"/>
      <c r="I274" s="7">
        <f>IF(C274="","",IFERROR(IF(INDEX(원생!$H:$H,MATCH(C274,원생!$A:$A,0))="예","예",""),""))</f>
        <v/>
      </c>
      <c r="J274" s="7" t="n"/>
    </row>
    <row r="275">
      <c r="A275" s="9" t="n"/>
      <c r="B275" s="7" t="n"/>
      <c r="C275" s="7" t="n"/>
      <c r="D275" s="7" t="n"/>
      <c r="E275" s="7" t="n"/>
      <c r="F275" s="8" t="n"/>
      <c r="G275" s="7" t="n"/>
      <c r="H275" s="7" t="n"/>
      <c r="I275" s="7">
        <f>IF(C275="","",IFERROR(IF(INDEX(원생!$H:$H,MATCH(C275,원생!$A:$A,0))="예","예",""),""))</f>
        <v/>
      </c>
      <c r="J275" s="7" t="n"/>
    </row>
    <row r="276">
      <c r="A276" s="9" t="n"/>
      <c r="B276" s="7" t="n"/>
      <c r="C276" s="7" t="n"/>
      <c r="D276" s="7" t="n"/>
      <c r="E276" s="7" t="n"/>
      <c r="F276" s="8" t="n"/>
      <c r="G276" s="7" t="n"/>
      <c r="H276" s="7" t="n"/>
      <c r="I276" s="7">
        <f>IF(C276="","",IFERROR(IF(INDEX(원생!$H:$H,MATCH(C276,원생!$A:$A,0))="예","예",""),""))</f>
        <v/>
      </c>
      <c r="J276" s="7" t="n"/>
    </row>
    <row r="277">
      <c r="A277" s="9" t="n"/>
      <c r="B277" s="7" t="n"/>
      <c r="C277" s="7" t="n"/>
      <c r="D277" s="7" t="n"/>
      <c r="E277" s="7" t="n"/>
      <c r="F277" s="8" t="n"/>
      <c r="G277" s="7" t="n"/>
      <c r="H277" s="7" t="n"/>
      <c r="I277" s="7">
        <f>IF(C277="","",IFERROR(IF(INDEX(원생!$H:$H,MATCH(C277,원생!$A:$A,0))="예","예",""),""))</f>
        <v/>
      </c>
      <c r="J277" s="7" t="n"/>
    </row>
    <row r="278">
      <c r="A278" s="9" t="n"/>
      <c r="B278" s="7" t="n"/>
      <c r="C278" s="7" t="n"/>
      <c r="D278" s="7" t="n"/>
      <c r="E278" s="7" t="n"/>
      <c r="F278" s="8" t="n"/>
      <c r="G278" s="7" t="n"/>
      <c r="H278" s="7" t="n"/>
      <c r="I278" s="7">
        <f>IF(C278="","",IFERROR(IF(INDEX(원생!$H:$H,MATCH(C278,원생!$A:$A,0))="예","예",""),""))</f>
        <v/>
      </c>
      <c r="J278" s="7" t="n"/>
    </row>
    <row r="279">
      <c r="A279" s="9" t="n"/>
      <c r="B279" s="7" t="n"/>
      <c r="C279" s="7" t="n"/>
      <c r="D279" s="7" t="n"/>
      <c r="E279" s="7" t="n"/>
      <c r="F279" s="8" t="n"/>
      <c r="G279" s="7" t="n"/>
      <c r="H279" s="7" t="n"/>
      <c r="I279" s="7">
        <f>IF(C279="","",IFERROR(IF(INDEX(원생!$H:$H,MATCH(C279,원생!$A:$A,0))="예","예",""),""))</f>
        <v/>
      </c>
      <c r="J279" s="7" t="n"/>
    </row>
    <row r="280">
      <c r="A280" s="9" t="n"/>
      <c r="B280" s="7" t="n"/>
      <c r="C280" s="7" t="n"/>
      <c r="D280" s="7" t="n"/>
      <c r="E280" s="7" t="n"/>
      <c r="F280" s="8" t="n"/>
      <c r="G280" s="7" t="n"/>
      <c r="H280" s="7" t="n"/>
      <c r="I280" s="7">
        <f>IF(C280="","",IFERROR(IF(INDEX(원생!$H:$H,MATCH(C280,원생!$A:$A,0))="예","예",""),""))</f>
        <v/>
      </c>
      <c r="J280" s="7" t="n"/>
    </row>
    <row r="281">
      <c r="A281" s="9" t="n"/>
      <c r="B281" s="7" t="n"/>
      <c r="C281" s="7" t="n"/>
      <c r="D281" s="7" t="n"/>
      <c r="E281" s="7" t="n"/>
      <c r="F281" s="8" t="n"/>
      <c r="G281" s="7" t="n"/>
      <c r="H281" s="7" t="n"/>
      <c r="I281" s="7">
        <f>IF(C281="","",IFERROR(IF(INDEX(원생!$H:$H,MATCH(C281,원생!$A:$A,0))="예","예",""),""))</f>
        <v/>
      </c>
      <c r="J281" s="7" t="n"/>
    </row>
    <row r="282">
      <c r="A282" s="9" t="n"/>
      <c r="B282" s="7" t="n"/>
      <c r="C282" s="7" t="n"/>
      <c r="D282" s="7" t="n"/>
      <c r="E282" s="7" t="n"/>
      <c r="F282" s="8" t="n"/>
      <c r="G282" s="7" t="n"/>
      <c r="H282" s="7" t="n"/>
      <c r="I282" s="7">
        <f>IF(C282="","",IFERROR(IF(INDEX(원생!$H:$H,MATCH(C282,원생!$A:$A,0))="예","예",""),""))</f>
        <v/>
      </c>
      <c r="J282" s="7" t="n"/>
    </row>
    <row r="283">
      <c r="A283" s="9" t="n"/>
      <c r="B283" s="7" t="n"/>
      <c r="C283" s="7" t="n"/>
      <c r="D283" s="7" t="n"/>
      <c r="E283" s="7" t="n"/>
      <c r="F283" s="8" t="n"/>
      <c r="G283" s="7" t="n"/>
      <c r="H283" s="7" t="n"/>
      <c r="I283" s="7">
        <f>IF(C283="","",IFERROR(IF(INDEX(원생!$H:$H,MATCH(C283,원생!$A:$A,0))="예","예",""),""))</f>
        <v/>
      </c>
      <c r="J283" s="7" t="n"/>
    </row>
    <row r="284">
      <c r="A284" s="9" t="n"/>
      <c r="B284" s="7" t="n"/>
      <c r="C284" s="7" t="n"/>
      <c r="D284" s="7" t="n"/>
      <c r="E284" s="7" t="n"/>
      <c r="F284" s="8" t="n"/>
      <c r="G284" s="7" t="n"/>
      <c r="H284" s="7" t="n"/>
      <c r="I284" s="7">
        <f>IF(C284="","",IFERROR(IF(INDEX(원생!$H:$H,MATCH(C284,원생!$A:$A,0))="예","예",""),""))</f>
        <v/>
      </c>
      <c r="J284" s="7" t="n"/>
    </row>
    <row r="285">
      <c r="A285" s="9" t="n"/>
      <c r="B285" s="7" t="n"/>
      <c r="C285" s="7" t="n"/>
      <c r="D285" s="7" t="n"/>
      <c r="E285" s="7" t="n"/>
      <c r="F285" s="8" t="n"/>
      <c r="G285" s="7" t="n"/>
      <c r="H285" s="7" t="n"/>
      <c r="I285" s="7">
        <f>IF(C285="","",IFERROR(IF(INDEX(원생!$H:$H,MATCH(C285,원생!$A:$A,0))="예","예",""),""))</f>
        <v/>
      </c>
      <c r="J285" s="7" t="n"/>
    </row>
    <row r="286">
      <c r="A286" s="9" t="n"/>
      <c r="B286" s="7" t="n"/>
      <c r="C286" s="7" t="n"/>
      <c r="D286" s="7" t="n"/>
      <c r="E286" s="7" t="n"/>
      <c r="F286" s="8" t="n"/>
      <c r="G286" s="7" t="n"/>
      <c r="H286" s="7" t="n"/>
      <c r="I286" s="7">
        <f>IF(C286="","",IFERROR(IF(INDEX(원생!$H:$H,MATCH(C286,원생!$A:$A,0))="예","예",""),""))</f>
        <v/>
      </c>
      <c r="J286" s="7" t="n"/>
    </row>
    <row r="287">
      <c r="A287" s="9" t="n"/>
      <c r="B287" s="7" t="n"/>
      <c r="C287" s="7" t="n"/>
      <c r="D287" s="7" t="n"/>
      <c r="E287" s="7" t="n"/>
      <c r="F287" s="8" t="n"/>
      <c r="G287" s="7" t="n"/>
      <c r="H287" s="7" t="n"/>
      <c r="I287" s="7">
        <f>IF(C287="","",IFERROR(IF(INDEX(원생!$H:$H,MATCH(C287,원생!$A:$A,0))="예","예",""),""))</f>
        <v/>
      </c>
      <c r="J287" s="7" t="n"/>
    </row>
    <row r="288">
      <c r="A288" s="9" t="n"/>
      <c r="B288" s="7" t="n"/>
      <c r="C288" s="7" t="n"/>
      <c r="D288" s="7" t="n"/>
      <c r="E288" s="7" t="n"/>
      <c r="F288" s="8" t="n"/>
      <c r="G288" s="7" t="n"/>
      <c r="H288" s="7" t="n"/>
      <c r="I288" s="7">
        <f>IF(C288="","",IFERROR(IF(INDEX(원생!$H:$H,MATCH(C288,원생!$A:$A,0))="예","예",""),""))</f>
        <v/>
      </c>
      <c r="J288" s="7" t="n"/>
    </row>
    <row r="289">
      <c r="A289" s="9" t="n"/>
      <c r="B289" s="7" t="n"/>
      <c r="C289" s="7" t="n"/>
      <c r="D289" s="7" t="n"/>
      <c r="E289" s="7" t="n"/>
      <c r="F289" s="8" t="n"/>
      <c r="G289" s="7" t="n"/>
      <c r="H289" s="7" t="n"/>
      <c r="I289" s="7">
        <f>IF(C289="","",IFERROR(IF(INDEX(원생!$H:$H,MATCH(C289,원생!$A:$A,0))="예","예",""),""))</f>
        <v/>
      </c>
      <c r="J289" s="7" t="n"/>
    </row>
    <row r="290">
      <c r="A290" s="9" t="n"/>
      <c r="B290" s="7" t="n"/>
      <c r="C290" s="7" t="n"/>
      <c r="D290" s="7" t="n"/>
      <c r="E290" s="7" t="n"/>
      <c r="F290" s="8" t="n"/>
      <c r="G290" s="7" t="n"/>
      <c r="H290" s="7" t="n"/>
      <c r="I290" s="7">
        <f>IF(C290="","",IFERROR(IF(INDEX(원생!$H:$H,MATCH(C290,원생!$A:$A,0))="예","예",""),""))</f>
        <v/>
      </c>
      <c r="J290" s="7" t="n"/>
    </row>
    <row r="291">
      <c r="A291" s="9" t="n"/>
      <c r="B291" s="7" t="n"/>
      <c r="C291" s="7" t="n"/>
      <c r="D291" s="7" t="n"/>
      <c r="E291" s="7" t="n"/>
      <c r="F291" s="8" t="n"/>
      <c r="G291" s="7" t="n"/>
      <c r="H291" s="7" t="n"/>
      <c r="I291" s="7">
        <f>IF(C291="","",IFERROR(IF(INDEX(원생!$H:$H,MATCH(C291,원생!$A:$A,0))="예","예",""),""))</f>
        <v/>
      </c>
      <c r="J291" s="7" t="n"/>
    </row>
    <row r="292">
      <c r="A292" s="9" t="n"/>
      <c r="B292" s="7" t="n"/>
      <c r="C292" s="7" t="n"/>
      <c r="D292" s="7" t="n"/>
      <c r="E292" s="7" t="n"/>
      <c r="F292" s="8" t="n"/>
      <c r="G292" s="7" t="n"/>
      <c r="H292" s="7" t="n"/>
      <c r="I292" s="7">
        <f>IF(C292="","",IFERROR(IF(INDEX(원생!$H:$H,MATCH(C292,원생!$A:$A,0))="예","예",""),""))</f>
        <v/>
      </c>
      <c r="J292" s="7" t="n"/>
    </row>
    <row r="293">
      <c r="A293" s="9" t="n"/>
      <c r="B293" s="7" t="n"/>
      <c r="C293" s="7" t="n"/>
      <c r="D293" s="7" t="n"/>
      <c r="E293" s="7" t="n"/>
      <c r="F293" s="8" t="n"/>
      <c r="G293" s="7" t="n"/>
      <c r="H293" s="7" t="n"/>
      <c r="I293" s="7">
        <f>IF(C293="","",IFERROR(IF(INDEX(원생!$H:$H,MATCH(C293,원생!$A:$A,0))="예","예",""),""))</f>
        <v/>
      </c>
      <c r="J293" s="7" t="n"/>
    </row>
    <row r="294">
      <c r="A294" s="9" t="n"/>
      <c r="B294" s="7" t="n"/>
      <c r="C294" s="7" t="n"/>
      <c r="D294" s="7" t="n"/>
      <c r="E294" s="7" t="n"/>
      <c r="F294" s="8" t="n"/>
      <c r="G294" s="7" t="n"/>
      <c r="H294" s="7" t="n"/>
      <c r="I294" s="7">
        <f>IF(C294="","",IFERROR(IF(INDEX(원생!$H:$H,MATCH(C294,원생!$A:$A,0))="예","예",""),""))</f>
        <v/>
      </c>
      <c r="J294" s="7" t="n"/>
    </row>
    <row r="295">
      <c r="A295" s="9" t="n"/>
      <c r="B295" s="7" t="n"/>
      <c r="C295" s="7" t="n"/>
      <c r="D295" s="7" t="n"/>
      <c r="E295" s="7" t="n"/>
      <c r="F295" s="8" t="n"/>
      <c r="G295" s="7" t="n"/>
      <c r="H295" s="7" t="n"/>
      <c r="I295" s="7">
        <f>IF(C295="","",IFERROR(IF(INDEX(원생!$H:$H,MATCH(C295,원생!$A:$A,0))="예","예",""),""))</f>
        <v/>
      </c>
      <c r="J295" s="7" t="n"/>
    </row>
    <row r="296">
      <c r="A296" s="9" t="n"/>
      <c r="B296" s="7" t="n"/>
      <c r="C296" s="7" t="n"/>
      <c r="D296" s="7" t="n"/>
      <c r="E296" s="7" t="n"/>
      <c r="F296" s="8" t="n"/>
      <c r="G296" s="7" t="n"/>
      <c r="H296" s="7" t="n"/>
      <c r="I296" s="7">
        <f>IF(C296="","",IFERROR(IF(INDEX(원생!$H:$H,MATCH(C296,원생!$A:$A,0))="예","예",""),""))</f>
        <v/>
      </c>
      <c r="J296" s="7" t="n"/>
    </row>
    <row r="297">
      <c r="A297" s="9" t="n"/>
      <c r="B297" s="7" t="n"/>
      <c r="C297" s="7" t="n"/>
      <c r="D297" s="7" t="n"/>
      <c r="E297" s="7" t="n"/>
      <c r="F297" s="8" t="n"/>
      <c r="G297" s="7" t="n"/>
      <c r="H297" s="7" t="n"/>
      <c r="I297" s="7">
        <f>IF(C297="","",IFERROR(IF(INDEX(원생!$H:$H,MATCH(C297,원생!$A:$A,0))="예","예",""),""))</f>
        <v/>
      </c>
      <c r="J297" s="7" t="n"/>
    </row>
    <row r="298">
      <c r="A298" s="9" t="n"/>
      <c r="B298" s="7" t="n"/>
      <c r="C298" s="7" t="n"/>
      <c r="D298" s="7" t="n"/>
      <c r="E298" s="7" t="n"/>
      <c r="F298" s="8" t="n"/>
      <c r="G298" s="7" t="n"/>
      <c r="H298" s="7" t="n"/>
      <c r="I298" s="7">
        <f>IF(C298="","",IFERROR(IF(INDEX(원생!$H:$H,MATCH(C298,원생!$A:$A,0))="예","예",""),""))</f>
        <v/>
      </c>
      <c r="J298" s="7" t="n"/>
    </row>
    <row r="299">
      <c r="A299" s="9" t="n"/>
      <c r="B299" s="7" t="n"/>
      <c r="C299" s="7" t="n"/>
      <c r="D299" s="7" t="n"/>
      <c r="E299" s="7" t="n"/>
      <c r="F299" s="8" t="n"/>
      <c r="G299" s="7" t="n"/>
      <c r="H299" s="7" t="n"/>
      <c r="I299" s="7">
        <f>IF(C299="","",IFERROR(IF(INDEX(원생!$H:$H,MATCH(C299,원생!$A:$A,0))="예","예",""),""))</f>
        <v/>
      </c>
      <c r="J299" s="7" t="n"/>
    </row>
    <row r="300">
      <c r="A300" s="9" t="n"/>
      <c r="B300" s="7" t="n"/>
      <c r="C300" s="7" t="n"/>
      <c r="D300" s="7" t="n"/>
      <c r="E300" s="7" t="n"/>
      <c r="F300" s="8" t="n"/>
      <c r="G300" s="7" t="n"/>
      <c r="H300" s="7" t="n"/>
      <c r="I300" s="7">
        <f>IF(C300="","",IFERROR(IF(INDEX(원생!$H:$H,MATCH(C300,원생!$A:$A,0))="예","예",""),""))</f>
        <v/>
      </c>
      <c r="J300" s="7" t="n"/>
    </row>
    <row r="301">
      <c r="A301" s="9" t="n"/>
      <c r="B301" s="7" t="n"/>
      <c r="C301" s="7" t="n"/>
      <c r="D301" s="7" t="n"/>
      <c r="E301" s="7" t="n"/>
      <c r="F301" s="8" t="n"/>
      <c r="G301" s="7" t="n"/>
      <c r="H301" s="7" t="n"/>
      <c r="I301" s="7">
        <f>IF(C301="","",IFERROR(IF(INDEX(원생!$H:$H,MATCH(C301,원생!$A:$A,0))="예","예",""),""))</f>
        <v/>
      </c>
      <c r="J301" s="7" t="n"/>
    </row>
    <row r="302">
      <c r="A302" s="9" t="n"/>
      <c r="B302" s="7" t="n"/>
      <c r="C302" s="7" t="n"/>
      <c r="D302" s="7" t="n"/>
      <c r="E302" s="7" t="n"/>
      <c r="F302" s="8" t="n"/>
      <c r="G302" s="7" t="n"/>
      <c r="H302" s="7" t="n"/>
      <c r="I302" s="7">
        <f>IF(C302="","",IFERROR(IF(INDEX(원생!$H:$H,MATCH(C302,원생!$A:$A,0))="예","예",""),""))</f>
        <v/>
      </c>
      <c r="J302" s="7" t="n"/>
    </row>
    <row r="303">
      <c r="A303" s="9" t="n"/>
      <c r="B303" s="7" t="n"/>
      <c r="C303" s="7" t="n"/>
      <c r="D303" s="7" t="n"/>
      <c r="E303" s="7" t="n"/>
      <c r="F303" s="8" t="n"/>
      <c r="G303" s="7" t="n"/>
      <c r="H303" s="7" t="n"/>
      <c r="I303" s="7">
        <f>IF(C303="","",IFERROR(IF(INDEX(원생!$H:$H,MATCH(C303,원생!$A:$A,0))="예","예",""),""))</f>
        <v/>
      </c>
      <c r="J303" s="7" t="n"/>
    </row>
    <row r="304">
      <c r="A304" s="9" t="n"/>
      <c r="B304" s="7" t="n"/>
      <c r="C304" s="7" t="n"/>
      <c r="D304" s="7" t="n"/>
      <c r="E304" s="7" t="n"/>
      <c r="F304" s="8" t="n"/>
      <c r="G304" s="7" t="n"/>
      <c r="H304" s="7" t="n"/>
      <c r="I304" s="7">
        <f>IF(C304="","",IFERROR(IF(INDEX(원생!$H:$H,MATCH(C304,원생!$A:$A,0))="예","예",""),""))</f>
        <v/>
      </c>
      <c r="J304" s="7" t="n"/>
    </row>
    <row r="305">
      <c r="A305" s="9" t="n"/>
      <c r="B305" s="7" t="n"/>
      <c r="C305" s="7" t="n"/>
      <c r="D305" s="7" t="n"/>
      <c r="E305" s="7" t="n"/>
      <c r="F305" s="8" t="n"/>
      <c r="G305" s="7" t="n"/>
      <c r="H305" s="7" t="n"/>
      <c r="I305" s="7">
        <f>IF(C305="","",IFERROR(IF(INDEX(원생!$H:$H,MATCH(C305,원생!$A:$A,0))="예","예",""),""))</f>
        <v/>
      </c>
      <c r="J305" s="7" t="n"/>
    </row>
    <row r="306">
      <c r="A306" s="9" t="n"/>
      <c r="B306" s="7" t="n"/>
      <c r="C306" s="7" t="n"/>
      <c r="D306" s="7" t="n"/>
      <c r="E306" s="7" t="n"/>
      <c r="F306" s="8" t="n"/>
      <c r="G306" s="7" t="n"/>
      <c r="H306" s="7" t="n"/>
      <c r="I306" s="7">
        <f>IF(C306="","",IFERROR(IF(INDEX(원생!$H:$H,MATCH(C306,원생!$A:$A,0))="예","예",""),""))</f>
        <v/>
      </c>
      <c r="J306" s="7" t="n"/>
    </row>
    <row r="307">
      <c r="A307" s="9" t="n"/>
      <c r="B307" s="7" t="n"/>
      <c r="C307" s="7" t="n"/>
      <c r="D307" s="7" t="n"/>
      <c r="E307" s="7" t="n"/>
      <c r="F307" s="8" t="n"/>
      <c r="G307" s="7" t="n"/>
      <c r="H307" s="7" t="n"/>
      <c r="I307" s="7">
        <f>IF(C307="","",IFERROR(IF(INDEX(원생!$H:$H,MATCH(C307,원생!$A:$A,0))="예","예",""),""))</f>
        <v/>
      </c>
      <c r="J307" s="7" t="n"/>
    </row>
    <row r="308">
      <c r="A308" s="9" t="n"/>
      <c r="B308" s="7" t="n"/>
      <c r="C308" s="7" t="n"/>
      <c r="D308" s="7" t="n"/>
      <c r="E308" s="7" t="n"/>
      <c r="F308" s="8" t="n"/>
      <c r="G308" s="7" t="n"/>
      <c r="H308" s="7" t="n"/>
      <c r="I308" s="7">
        <f>IF(C308="","",IFERROR(IF(INDEX(원생!$H:$H,MATCH(C308,원생!$A:$A,0))="예","예",""),""))</f>
        <v/>
      </c>
      <c r="J308" s="7" t="n"/>
    </row>
    <row r="309">
      <c r="A309" s="9" t="n"/>
      <c r="B309" s="7" t="n"/>
      <c r="C309" s="7" t="n"/>
      <c r="D309" s="7" t="n"/>
      <c r="E309" s="7" t="n"/>
      <c r="F309" s="8" t="n"/>
      <c r="G309" s="7" t="n"/>
      <c r="H309" s="7" t="n"/>
      <c r="I309" s="7">
        <f>IF(C309="","",IFERROR(IF(INDEX(원생!$H:$H,MATCH(C309,원생!$A:$A,0))="예","예",""),""))</f>
        <v/>
      </c>
      <c r="J309" s="7" t="n"/>
    </row>
    <row r="310">
      <c r="A310" s="9" t="n"/>
      <c r="B310" s="7" t="n"/>
      <c r="C310" s="7" t="n"/>
      <c r="D310" s="7" t="n"/>
      <c r="E310" s="7" t="n"/>
      <c r="F310" s="8" t="n"/>
      <c r="G310" s="7" t="n"/>
      <c r="H310" s="7" t="n"/>
      <c r="I310" s="7">
        <f>IF(C310="","",IFERROR(IF(INDEX(원생!$H:$H,MATCH(C310,원생!$A:$A,0))="예","예",""),""))</f>
        <v/>
      </c>
      <c r="J310" s="7" t="n"/>
    </row>
    <row r="311">
      <c r="A311" s="9" t="n"/>
      <c r="B311" s="7" t="n"/>
      <c r="C311" s="7" t="n"/>
      <c r="D311" s="7" t="n"/>
      <c r="E311" s="7" t="n"/>
      <c r="F311" s="8" t="n"/>
      <c r="G311" s="7" t="n"/>
      <c r="H311" s="7" t="n"/>
      <c r="I311" s="7">
        <f>IF(C311="","",IFERROR(IF(INDEX(원생!$H:$H,MATCH(C311,원생!$A:$A,0))="예","예",""),""))</f>
        <v/>
      </c>
      <c r="J311" s="7" t="n"/>
    </row>
    <row r="312">
      <c r="A312" s="9" t="n"/>
      <c r="B312" s="7" t="n"/>
      <c r="C312" s="7" t="n"/>
      <c r="D312" s="7" t="n"/>
      <c r="E312" s="7" t="n"/>
      <c r="F312" s="8" t="n"/>
      <c r="G312" s="7" t="n"/>
      <c r="H312" s="7" t="n"/>
      <c r="I312" s="7">
        <f>IF(C312="","",IFERROR(IF(INDEX(원생!$H:$H,MATCH(C312,원생!$A:$A,0))="예","예",""),""))</f>
        <v/>
      </c>
      <c r="J312" s="7" t="n"/>
    </row>
    <row r="313">
      <c r="A313" s="9" t="n"/>
      <c r="B313" s="7" t="n"/>
      <c r="C313" s="7" t="n"/>
      <c r="D313" s="7" t="n"/>
      <c r="E313" s="7" t="n"/>
      <c r="F313" s="8" t="n"/>
      <c r="G313" s="7" t="n"/>
      <c r="H313" s="7" t="n"/>
      <c r="I313" s="7">
        <f>IF(C313="","",IFERROR(IF(INDEX(원생!$H:$H,MATCH(C313,원생!$A:$A,0))="예","예",""),""))</f>
        <v/>
      </c>
      <c r="J313" s="7" t="n"/>
    </row>
    <row r="314">
      <c r="A314" s="9" t="n"/>
      <c r="B314" s="7" t="n"/>
      <c r="C314" s="7" t="n"/>
      <c r="D314" s="7" t="n"/>
      <c r="E314" s="7" t="n"/>
      <c r="F314" s="8" t="n"/>
      <c r="G314" s="7" t="n"/>
      <c r="H314" s="7" t="n"/>
      <c r="I314" s="7">
        <f>IF(C314="","",IFERROR(IF(INDEX(원생!$H:$H,MATCH(C314,원생!$A:$A,0))="예","예",""),""))</f>
        <v/>
      </c>
      <c r="J314" s="7" t="n"/>
    </row>
    <row r="315">
      <c r="A315" s="9" t="n"/>
      <c r="B315" s="7" t="n"/>
      <c r="C315" s="7" t="n"/>
      <c r="D315" s="7" t="n"/>
      <c r="E315" s="7" t="n"/>
      <c r="F315" s="8" t="n"/>
      <c r="G315" s="7" t="n"/>
      <c r="H315" s="7" t="n"/>
      <c r="I315" s="7">
        <f>IF(C315="","",IFERROR(IF(INDEX(원생!$H:$H,MATCH(C315,원생!$A:$A,0))="예","예",""),""))</f>
        <v/>
      </c>
      <c r="J315" s="7" t="n"/>
    </row>
    <row r="316">
      <c r="A316" s="9" t="n"/>
      <c r="B316" s="7" t="n"/>
      <c r="C316" s="7" t="n"/>
      <c r="D316" s="7" t="n"/>
      <c r="E316" s="7" t="n"/>
      <c r="F316" s="8" t="n"/>
      <c r="G316" s="7" t="n"/>
      <c r="H316" s="7" t="n"/>
      <c r="I316" s="7">
        <f>IF(C316="","",IFERROR(IF(INDEX(원생!$H:$H,MATCH(C316,원생!$A:$A,0))="예","예",""),""))</f>
        <v/>
      </c>
      <c r="J316" s="7" t="n"/>
    </row>
    <row r="317">
      <c r="A317" s="9" t="n"/>
      <c r="B317" s="7" t="n"/>
      <c r="C317" s="7" t="n"/>
      <c r="D317" s="7" t="n"/>
      <c r="E317" s="7" t="n"/>
      <c r="F317" s="8" t="n"/>
      <c r="G317" s="7" t="n"/>
      <c r="H317" s="7" t="n"/>
      <c r="I317" s="7">
        <f>IF(C317="","",IFERROR(IF(INDEX(원생!$H:$H,MATCH(C317,원생!$A:$A,0))="예","예",""),""))</f>
        <v/>
      </c>
      <c r="J317" s="7" t="n"/>
    </row>
    <row r="318">
      <c r="A318" s="9" t="n"/>
      <c r="B318" s="7" t="n"/>
      <c r="C318" s="7" t="n"/>
      <c r="D318" s="7" t="n"/>
      <c r="E318" s="7" t="n"/>
      <c r="F318" s="8" t="n"/>
      <c r="G318" s="7" t="n"/>
      <c r="H318" s="7" t="n"/>
      <c r="I318" s="7">
        <f>IF(C318="","",IFERROR(IF(INDEX(원생!$H:$H,MATCH(C318,원생!$A:$A,0))="예","예",""),""))</f>
        <v/>
      </c>
      <c r="J318" s="7" t="n"/>
    </row>
    <row r="319">
      <c r="A319" s="9" t="n"/>
      <c r="B319" s="7" t="n"/>
      <c r="C319" s="7" t="n"/>
      <c r="D319" s="7" t="n"/>
      <c r="E319" s="7" t="n"/>
      <c r="F319" s="8" t="n"/>
      <c r="G319" s="7" t="n"/>
      <c r="H319" s="7" t="n"/>
      <c r="I319" s="7">
        <f>IF(C319="","",IFERROR(IF(INDEX(원생!$H:$H,MATCH(C319,원생!$A:$A,0))="예","예",""),""))</f>
        <v/>
      </c>
      <c r="J319" s="7" t="n"/>
    </row>
    <row r="320">
      <c r="A320" s="9" t="n"/>
      <c r="B320" s="7" t="n"/>
      <c r="C320" s="7" t="n"/>
      <c r="D320" s="7" t="n"/>
      <c r="E320" s="7" t="n"/>
      <c r="F320" s="8" t="n"/>
      <c r="G320" s="7" t="n"/>
      <c r="H320" s="7" t="n"/>
      <c r="I320" s="7">
        <f>IF(C320="","",IFERROR(IF(INDEX(원생!$H:$H,MATCH(C320,원생!$A:$A,0))="예","예",""),""))</f>
        <v/>
      </c>
      <c r="J320" s="7" t="n"/>
    </row>
    <row r="321">
      <c r="A321" s="9" t="n"/>
      <c r="B321" s="7" t="n"/>
      <c r="C321" s="7" t="n"/>
      <c r="D321" s="7" t="n"/>
      <c r="E321" s="7" t="n"/>
      <c r="F321" s="8" t="n"/>
      <c r="G321" s="7" t="n"/>
      <c r="H321" s="7" t="n"/>
      <c r="I321" s="7">
        <f>IF(C321="","",IFERROR(IF(INDEX(원생!$H:$H,MATCH(C321,원생!$A:$A,0))="예","예",""),""))</f>
        <v/>
      </c>
      <c r="J321" s="7" t="n"/>
    </row>
    <row r="322">
      <c r="A322" s="9" t="n"/>
      <c r="B322" s="7" t="n"/>
      <c r="C322" s="7" t="n"/>
      <c r="D322" s="7" t="n"/>
      <c r="E322" s="7" t="n"/>
      <c r="F322" s="8" t="n"/>
      <c r="G322" s="7" t="n"/>
      <c r="H322" s="7" t="n"/>
      <c r="I322" s="7">
        <f>IF(C322="","",IFERROR(IF(INDEX(원생!$H:$H,MATCH(C322,원생!$A:$A,0))="예","예",""),""))</f>
        <v/>
      </c>
      <c r="J322" s="7" t="n"/>
    </row>
    <row r="323">
      <c r="A323" s="9" t="n"/>
      <c r="B323" s="7" t="n"/>
      <c r="C323" s="7" t="n"/>
      <c r="D323" s="7" t="n"/>
      <c r="E323" s="7" t="n"/>
      <c r="F323" s="8" t="n"/>
      <c r="G323" s="7" t="n"/>
      <c r="H323" s="7" t="n"/>
      <c r="I323" s="7">
        <f>IF(C323="","",IFERROR(IF(INDEX(원생!$H:$H,MATCH(C323,원생!$A:$A,0))="예","예",""),""))</f>
        <v/>
      </c>
      <c r="J323" s="7" t="n"/>
    </row>
    <row r="324">
      <c r="A324" s="9" t="n"/>
      <c r="B324" s="7" t="n"/>
      <c r="C324" s="7" t="n"/>
      <c r="D324" s="7" t="n"/>
      <c r="E324" s="7" t="n"/>
      <c r="F324" s="8" t="n"/>
      <c r="G324" s="7" t="n"/>
      <c r="H324" s="7" t="n"/>
      <c r="I324" s="7">
        <f>IF(C324="","",IFERROR(IF(INDEX(원생!$H:$H,MATCH(C324,원생!$A:$A,0))="예","예",""),""))</f>
        <v/>
      </c>
      <c r="J324" s="7" t="n"/>
    </row>
    <row r="325">
      <c r="A325" s="9" t="n"/>
      <c r="B325" s="7" t="n"/>
      <c r="C325" s="7" t="n"/>
      <c r="D325" s="7" t="n"/>
      <c r="E325" s="7" t="n"/>
      <c r="F325" s="8" t="n"/>
      <c r="G325" s="7" t="n"/>
      <c r="H325" s="7" t="n"/>
      <c r="I325" s="7">
        <f>IF(C325="","",IFERROR(IF(INDEX(원생!$H:$H,MATCH(C325,원생!$A:$A,0))="예","예",""),""))</f>
        <v/>
      </c>
      <c r="J325" s="7" t="n"/>
    </row>
    <row r="326">
      <c r="A326" s="9" t="n"/>
      <c r="B326" s="7" t="n"/>
      <c r="C326" s="7" t="n"/>
      <c r="D326" s="7" t="n"/>
      <c r="E326" s="7" t="n"/>
      <c r="F326" s="8" t="n"/>
      <c r="G326" s="7" t="n"/>
      <c r="H326" s="7" t="n"/>
      <c r="I326" s="7">
        <f>IF(C326="","",IFERROR(IF(INDEX(원생!$H:$H,MATCH(C326,원생!$A:$A,0))="예","예",""),""))</f>
        <v/>
      </c>
      <c r="J326" s="7" t="n"/>
    </row>
    <row r="327">
      <c r="A327" s="9" t="n"/>
      <c r="B327" s="7" t="n"/>
      <c r="C327" s="7" t="n"/>
      <c r="D327" s="7" t="n"/>
      <c r="E327" s="7" t="n"/>
      <c r="F327" s="8" t="n"/>
      <c r="G327" s="7" t="n"/>
      <c r="H327" s="7" t="n"/>
      <c r="I327" s="7">
        <f>IF(C327="","",IFERROR(IF(INDEX(원생!$H:$H,MATCH(C327,원생!$A:$A,0))="예","예",""),""))</f>
        <v/>
      </c>
      <c r="J327" s="7" t="n"/>
    </row>
    <row r="328">
      <c r="A328" s="9" t="n"/>
      <c r="B328" s="7" t="n"/>
      <c r="C328" s="7" t="n"/>
      <c r="D328" s="7" t="n"/>
      <c r="E328" s="7" t="n"/>
      <c r="F328" s="8" t="n"/>
      <c r="G328" s="7" t="n"/>
      <c r="H328" s="7" t="n"/>
      <c r="I328" s="7">
        <f>IF(C328="","",IFERROR(IF(INDEX(원생!$H:$H,MATCH(C328,원생!$A:$A,0))="예","예",""),""))</f>
        <v/>
      </c>
      <c r="J328" s="7" t="n"/>
    </row>
    <row r="329">
      <c r="A329" s="9" t="n"/>
      <c r="B329" s="7" t="n"/>
      <c r="C329" s="7" t="n"/>
      <c r="D329" s="7" t="n"/>
      <c r="E329" s="7" t="n"/>
      <c r="F329" s="8" t="n"/>
      <c r="G329" s="7" t="n"/>
      <c r="H329" s="7" t="n"/>
      <c r="I329" s="7">
        <f>IF(C329="","",IFERROR(IF(INDEX(원생!$H:$H,MATCH(C329,원생!$A:$A,0))="예","예",""),""))</f>
        <v/>
      </c>
      <c r="J329" s="7" t="n"/>
    </row>
    <row r="330">
      <c r="A330" s="9" t="n"/>
      <c r="B330" s="7" t="n"/>
      <c r="C330" s="7" t="n"/>
      <c r="D330" s="7" t="n"/>
      <c r="E330" s="7" t="n"/>
      <c r="F330" s="8" t="n"/>
      <c r="G330" s="7" t="n"/>
      <c r="H330" s="7" t="n"/>
      <c r="I330" s="7">
        <f>IF(C330="","",IFERROR(IF(INDEX(원생!$H:$H,MATCH(C330,원생!$A:$A,0))="예","예",""),""))</f>
        <v/>
      </c>
      <c r="J330" s="7" t="n"/>
    </row>
    <row r="331">
      <c r="A331" s="9" t="n"/>
      <c r="B331" s="7" t="n"/>
      <c r="C331" s="7" t="n"/>
      <c r="D331" s="7" t="n"/>
      <c r="E331" s="7" t="n"/>
      <c r="F331" s="8" t="n"/>
      <c r="G331" s="7" t="n"/>
      <c r="H331" s="7" t="n"/>
      <c r="I331" s="7">
        <f>IF(C331="","",IFERROR(IF(INDEX(원생!$H:$H,MATCH(C331,원생!$A:$A,0))="예","예",""),""))</f>
        <v/>
      </c>
      <c r="J331" s="7" t="n"/>
    </row>
    <row r="332">
      <c r="A332" s="9" t="n"/>
      <c r="B332" s="7" t="n"/>
      <c r="C332" s="7" t="n"/>
      <c r="D332" s="7" t="n"/>
      <c r="E332" s="7" t="n"/>
      <c r="F332" s="8" t="n"/>
      <c r="G332" s="7" t="n"/>
      <c r="H332" s="7" t="n"/>
      <c r="I332" s="7">
        <f>IF(C332="","",IFERROR(IF(INDEX(원생!$H:$H,MATCH(C332,원생!$A:$A,0))="예","예",""),""))</f>
        <v/>
      </c>
      <c r="J332" s="7" t="n"/>
    </row>
    <row r="333">
      <c r="A333" s="9" t="n"/>
      <c r="B333" s="7" t="n"/>
      <c r="C333" s="7" t="n"/>
      <c r="D333" s="7" t="n"/>
      <c r="E333" s="7" t="n"/>
      <c r="F333" s="8" t="n"/>
      <c r="G333" s="7" t="n"/>
      <c r="H333" s="7" t="n"/>
      <c r="I333" s="7">
        <f>IF(C333="","",IFERROR(IF(INDEX(원생!$H:$H,MATCH(C333,원생!$A:$A,0))="예","예",""),""))</f>
        <v/>
      </c>
      <c r="J333" s="7" t="n"/>
    </row>
    <row r="334">
      <c r="A334" s="9" t="n"/>
      <c r="B334" s="7" t="n"/>
      <c r="C334" s="7" t="n"/>
      <c r="D334" s="7" t="n"/>
      <c r="E334" s="7" t="n"/>
      <c r="F334" s="8" t="n"/>
      <c r="G334" s="7" t="n"/>
      <c r="H334" s="7" t="n"/>
      <c r="I334" s="7">
        <f>IF(C334="","",IFERROR(IF(INDEX(원생!$H:$H,MATCH(C334,원생!$A:$A,0))="예","예",""),""))</f>
        <v/>
      </c>
      <c r="J334" s="7" t="n"/>
    </row>
    <row r="335">
      <c r="A335" s="9" t="n"/>
      <c r="B335" s="7" t="n"/>
      <c r="C335" s="7" t="n"/>
      <c r="D335" s="7" t="n"/>
      <c r="E335" s="7" t="n"/>
      <c r="F335" s="8" t="n"/>
      <c r="G335" s="7" t="n"/>
      <c r="H335" s="7" t="n"/>
      <c r="I335" s="7">
        <f>IF(C335="","",IFERROR(IF(INDEX(원생!$H:$H,MATCH(C335,원생!$A:$A,0))="예","예",""),""))</f>
        <v/>
      </c>
      <c r="J335" s="7" t="n"/>
    </row>
    <row r="336">
      <c r="A336" s="9" t="n"/>
      <c r="B336" s="7" t="n"/>
      <c r="C336" s="7" t="n"/>
      <c r="D336" s="7" t="n"/>
      <c r="E336" s="7" t="n"/>
      <c r="F336" s="8" t="n"/>
      <c r="G336" s="7" t="n"/>
      <c r="H336" s="7" t="n"/>
      <c r="I336" s="7">
        <f>IF(C336="","",IFERROR(IF(INDEX(원생!$H:$H,MATCH(C336,원생!$A:$A,0))="예","예",""),""))</f>
        <v/>
      </c>
      <c r="J336" s="7" t="n"/>
    </row>
    <row r="337">
      <c r="A337" s="9" t="n"/>
      <c r="B337" s="7" t="n"/>
      <c r="C337" s="7" t="n"/>
      <c r="D337" s="7" t="n"/>
      <c r="E337" s="7" t="n"/>
      <c r="F337" s="8" t="n"/>
      <c r="G337" s="7" t="n"/>
      <c r="H337" s="7" t="n"/>
      <c r="I337" s="7">
        <f>IF(C337="","",IFERROR(IF(INDEX(원생!$H:$H,MATCH(C337,원생!$A:$A,0))="예","예",""),""))</f>
        <v/>
      </c>
      <c r="J337" s="7" t="n"/>
    </row>
    <row r="338">
      <c r="A338" s="9" t="n"/>
      <c r="B338" s="7" t="n"/>
      <c r="C338" s="7" t="n"/>
      <c r="D338" s="7" t="n"/>
      <c r="E338" s="7" t="n"/>
      <c r="F338" s="8" t="n"/>
      <c r="G338" s="7" t="n"/>
      <c r="H338" s="7" t="n"/>
      <c r="I338" s="7">
        <f>IF(C338="","",IFERROR(IF(INDEX(원생!$H:$H,MATCH(C338,원생!$A:$A,0))="예","예",""),""))</f>
        <v/>
      </c>
      <c r="J338" s="7" t="n"/>
    </row>
    <row r="339">
      <c r="A339" s="9" t="n"/>
      <c r="B339" s="7" t="n"/>
      <c r="C339" s="7" t="n"/>
      <c r="D339" s="7" t="n"/>
      <c r="E339" s="7" t="n"/>
      <c r="F339" s="8" t="n"/>
      <c r="G339" s="7" t="n"/>
      <c r="H339" s="7" t="n"/>
      <c r="I339" s="7">
        <f>IF(C339="","",IFERROR(IF(INDEX(원생!$H:$H,MATCH(C339,원생!$A:$A,0))="예","예",""),""))</f>
        <v/>
      </c>
      <c r="J339" s="7" t="n"/>
    </row>
    <row r="340">
      <c r="A340" s="9" t="n"/>
      <c r="B340" s="7" t="n"/>
      <c r="C340" s="7" t="n"/>
      <c r="D340" s="7" t="n"/>
      <c r="E340" s="7" t="n"/>
      <c r="F340" s="8" t="n"/>
      <c r="G340" s="7" t="n"/>
      <c r="H340" s="7" t="n"/>
      <c r="I340" s="7">
        <f>IF(C340="","",IFERROR(IF(INDEX(원생!$H:$H,MATCH(C340,원생!$A:$A,0))="예","예",""),""))</f>
        <v/>
      </c>
      <c r="J340" s="7" t="n"/>
    </row>
    <row r="341">
      <c r="A341" s="9" t="n"/>
      <c r="B341" s="7" t="n"/>
      <c r="C341" s="7" t="n"/>
      <c r="D341" s="7" t="n"/>
      <c r="E341" s="7" t="n"/>
      <c r="F341" s="8" t="n"/>
      <c r="G341" s="7" t="n"/>
      <c r="H341" s="7" t="n"/>
      <c r="I341" s="7">
        <f>IF(C341="","",IFERROR(IF(INDEX(원생!$H:$H,MATCH(C341,원생!$A:$A,0))="예","예",""),""))</f>
        <v/>
      </c>
      <c r="J341" s="7" t="n"/>
    </row>
    <row r="342">
      <c r="A342" s="9" t="n"/>
      <c r="B342" s="7" t="n"/>
      <c r="C342" s="7" t="n"/>
      <c r="D342" s="7" t="n"/>
      <c r="E342" s="7" t="n"/>
      <c r="F342" s="8" t="n"/>
      <c r="G342" s="7" t="n"/>
      <c r="H342" s="7" t="n"/>
      <c r="I342" s="7">
        <f>IF(C342="","",IFERROR(IF(INDEX(원생!$H:$H,MATCH(C342,원생!$A:$A,0))="예","예",""),""))</f>
        <v/>
      </c>
      <c r="J342" s="7" t="n"/>
    </row>
    <row r="343">
      <c r="A343" s="9" t="n"/>
      <c r="B343" s="7" t="n"/>
      <c r="C343" s="7" t="n"/>
      <c r="D343" s="7" t="n"/>
      <c r="E343" s="7" t="n"/>
      <c r="F343" s="8" t="n"/>
      <c r="G343" s="7" t="n"/>
      <c r="H343" s="7" t="n"/>
      <c r="I343" s="7">
        <f>IF(C343="","",IFERROR(IF(INDEX(원생!$H:$H,MATCH(C343,원생!$A:$A,0))="예","예",""),""))</f>
        <v/>
      </c>
      <c r="J343" s="7" t="n"/>
    </row>
    <row r="344">
      <c r="A344" s="9" t="n"/>
      <c r="B344" s="7" t="n"/>
      <c r="C344" s="7" t="n"/>
      <c r="D344" s="7" t="n"/>
      <c r="E344" s="7" t="n"/>
      <c r="F344" s="8" t="n"/>
      <c r="G344" s="7" t="n"/>
      <c r="H344" s="7" t="n"/>
      <c r="I344" s="7">
        <f>IF(C344="","",IFERROR(IF(INDEX(원생!$H:$H,MATCH(C344,원생!$A:$A,0))="예","예",""),""))</f>
        <v/>
      </c>
      <c r="J344" s="7" t="n"/>
    </row>
    <row r="345">
      <c r="A345" s="9" t="n"/>
      <c r="B345" s="7" t="n"/>
      <c r="C345" s="7" t="n"/>
      <c r="D345" s="7" t="n"/>
      <c r="E345" s="7" t="n"/>
      <c r="F345" s="8" t="n"/>
      <c r="G345" s="7" t="n"/>
      <c r="H345" s="7" t="n"/>
      <c r="I345" s="7">
        <f>IF(C345="","",IFERROR(IF(INDEX(원생!$H:$H,MATCH(C345,원생!$A:$A,0))="예","예",""),""))</f>
        <v/>
      </c>
      <c r="J345" s="7" t="n"/>
    </row>
    <row r="346">
      <c r="A346" s="9" t="n"/>
      <c r="B346" s="7" t="n"/>
      <c r="C346" s="7" t="n"/>
      <c r="D346" s="7" t="n"/>
      <c r="E346" s="7" t="n"/>
      <c r="F346" s="8" t="n"/>
      <c r="G346" s="7" t="n"/>
      <c r="H346" s="7" t="n"/>
      <c r="I346" s="7">
        <f>IF(C346="","",IFERROR(IF(INDEX(원생!$H:$H,MATCH(C346,원생!$A:$A,0))="예","예",""),""))</f>
        <v/>
      </c>
      <c r="J346" s="7" t="n"/>
    </row>
    <row r="347">
      <c r="A347" s="9" t="n"/>
      <c r="B347" s="7" t="n"/>
      <c r="C347" s="7" t="n"/>
      <c r="D347" s="7" t="n"/>
      <c r="E347" s="7" t="n"/>
      <c r="F347" s="8" t="n"/>
      <c r="G347" s="7" t="n"/>
      <c r="H347" s="7" t="n"/>
      <c r="I347" s="7">
        <f>IF(C347="","",IFERROR(IF(INDEX(원생!$H:$H,MATCH(C347,원생!$A:$A,0))="예","예",""),""))</f>
        <v/>
      </c>
      <c r="J347" s="7" t="n"/>
    </row>
    <row r="348">
      <c r="A348" s="9" t="n"/>
      <c r="B348" s="7" t="n"/>
      <c r="C348" s="7" t="n"/>
      <c r="D348" s="7" t="n"/>
      <c r="E348" s="7" t="n"/>
      <c r="F348" s="8" t="n"/>
      <c r="G348" s="7" t="n"/>
      <c r="H348" s="7" t="n"/>
      <c r="I348" s="7">
        <f>IF(C348="","",IFERROR(IF(INDEX(원생!$H:$H,MATCH(C348,원생!$A:$A,0))="예","예",""),""))</f>
        <v/>
      </c>
      <c r="J348" s="7" t="n"/>
    </row>
    <row r="349">
      <c r="A349" s="9" t="n"/>
      <c r="B349" s="7" t="n"/>
      <c r="C349" s="7" t="n"/>
      <c r="D349" s="7" t="n"/>
      <c r="E349" s="7" t="n"/>
      <c r="F349" s="8" t="n"/>
      <c r="G349" s="7" t="n"/>
      <c r="H349" s="7" t="n"/>
      <c r="I349" s="7">
        <f>IF(C349="","",IFERROR(IF(INDEX(원생!$H:$H,MATCH(C349,원생!$A:$A,0))="예","예",""),""))</f>
        <v/>
      </c>
      <c r="J349" s="7" t="n"/>
    </row>
    <row r="350">
      <c r="A350" s="9" t="n"/>
      <c r="B350" s="7" t="n"/>
      <c r="C350" s="7" t="n"/>
      <c r="D350" s="7" t="n"/>
      <c r="E350" s="7" t="n"/>
      <c r="F350" s="8" t="n"/>
      <c r="G350" s="7" t="n"/>
      <c r="H350" s="7" t="n"/>
      <c r="I350" s="7">
        <f>IF(C350="","",IFERROR(IF(INDEX(원생!$H:$H,MATCH(C350,원생!$A:$A,0))="예","예",""),""))</f>
        <v/>
      </c>
      <c r="J350" s="7" t="n"/>
    </row>
    <row r="351">
      <c r="A351" s="9" t="n"/>
      <c r="B351" s="7" t="n"/>
      <c r="C351" s="7" t="n"/>
      <c r="D351" s="7" t="n"/>
      <c r="E351" s="7" t="n"/>
      <c r="F351" s="8" t="n"/>
      <c r="G351" s="7" t="n"/>
      <c r="H351" s="7" t="n"/>
      <c r="I351" s="7">
        <f>IF(C351="","",IFERROR(IF(INDEX(원생!$H:$H,MATCH(C351,원생!$A:$A,0))="예","예",""),""))</f>
        <v/>
      </c>
      <c r="J351" s="7" t="n"/>
    </row>
    <row r="352">
      <c r="A352" s="9" t="n"/>
      <c r="B352" s="7" t="n"/>
      <c r="C352" s="7" t="n"/>
      <c r="D352" s="7" t="n"/>
      <c r="E352" s="7" t="n"/>
      <c r="F352" s="8" t="n"/>
      <c r="G352" s="7" t="n"/>
      <c r="H352" s="7" t="n"/>
      <c r="I352" s="7">
        <f>IF(C352="","",IFERROR(IF(INDEX(원생!$H:$H,MATCH(C352,원생!$A:$A,0))="예","예",""),""))</f>
        <v/>
      </c>
      <c r="J352" s="7" t="n"/>
    </row>
    <row r="353">
      <c r="A353" s="9" t="n"/>
      <c r="B353" s="7" t="n"/>
      <c r="C353" s="7" t="n"/>
      <c r="D353" s="7" t="n"/>
      <c r="E353" s="7" t="n"/>
      <c r="F353" s="8" t="n"/>
      <c r="G353" s="7" t="n"/>
      <c r="H353" s="7" t="n"/>
      <c r="I353" s="7">
        <f>IF(C353="","",IFERROR(IF(INDEX(원생!$H:$H,MATCH(C353,원생!$A:$A,0))="예","예",""),""))</f>
        <v/>
      </c>
      <c r="J353" s="7" t="n"/>
    </row>
    <row r="354">
      <c r="A354" s="9" t="n"/>
      <c r="B354" s="7" t="n"/>
      <c r="C354" s="7" t="n"/>
      <c r="D354" s="7" t="n"/>
      <c r="E354" s="7" t="n"/>
      <c r="F354" s="8" t="n"/>
      <c r="G354" s="7" t="n"/>
      <c r="H354" s="7" t="n"/>
      <c r="I354" s="7">
        <f>IF(C354="","",IFERROR(IF(INDEX(원생!$H:$H,MATCH(C354,원생!$A:$A,0))="예","예",""),""))</f>
        <v/>
      </c>
      <c r="J354" s="7" t="n"/>
    </row>
    <row r="355">
      <c r="A355" s="9" t="n"/>
      <c r="B355" s="7" t="n"/>
      <c r="C355" s="7" t="n"/>
      <c r="D355" s="7" t="n"/>
      <c r="E355" s="7" t="n"/>
      <c r="F355" s="8" t="n"/>
      <c r="G355" s="7" t="n"/>
      <c r="H355" s="7" t="n"/>
      <c r="I355" s="7">
        <f>IF(C355="","",IFERROR(IF(INDEX(원생!$H:$H,MATCH(C355,원생!$A:$A,0))="예","예",""),""))</f>
        <v/>
      </c>
      <c r="J355" s="7" t="n"/>
    </row>
    <row r="356">
      <c r="A356" s="9" t="n"/>
      <c r="B356" s="7" t="n"/>
      <c r="C356" s="7" t="n"/>
      <c r="D356" s="7" t="n"/>
      <c r="E356" s="7" t="n"/>
      <c r="F356" s="8" t="n"/>
      <c r="G356" s="7" t="n"/>
      <c r="H356" s="7" t="n"/>
      <c r="I356" s="7">
        <f>IF(C356="","",IFERROR(IF(INDEX(원생!$H:$H,MATCH(C356,원생!$A:$A,0))="예","예",""),""))</f>
        <v/>
      </c>
      <c r="J356" s="7" t="n"/>
    </row>
    <row r="357">
      <c r="A357" s="9" t="n"/>
      <c r="B357" s="7" t="n"/>
      <c r="C357" s="7" t="n"/>
      <c r="D357" s="7" t="n"/>
      <c r="E357" s="7" t="n"/>
      <c r="F357" s="8" t="n"/>
      <c r="G357" s="7" t="n"/>
      <c r="H357" s="7" t="n"/>
      <c r="I357" s="7">
        <f>IF(C357="","",IFERROR(IF(INDEX(원생!$H:$H,MATCH(C357,원생!$A:$A,0))="예","예",""),""))</f>
        <v/>
      </c>
      <c r="J357" s="7" t="n"/>
    </row>
    <row r="358">
      <c r="A358" s="9" t="n"/>
      <c r="B358" s="7" t="n"/>
      <c r="C358" s="7" t="n"/>
      <c r="D358" s="7" t="n"/>
      <c r="E358" s="7" t="n"/>
      <c r="F358" s="8" t="n"/>
      <c r="G358" s="7" t="n"/>
      <c r="H358" s="7" t="n"/>
      <c r="I358" s="7">
        <f>IF(C358="","",IFERROR(IF(INDEX(원생!$H:$H,MATCH(C358,원생!$A:$A,0))="예","예",""),""))</f>
        <v/>
      </c>
      <c r="J358" s="7" t="n"/>
    </row>
    <row r="359">
      <c r="A359" s="9" t="n"/>
      <c r="B359" s="7" t="n"/>
      <c r="C359" s="7" t="n"/>
      <c r="D359" s="7" t="n"/>
      <c r="E359" s="7" t="n"/>
      <c r="F359" s="8" t="n"/>
      <c r="G359" s="7" t="n"/>
      <c r="H359" s="7" t="n"/>
      <c r="I359" s="7">
        <f>IF(C359="","",IFERROR(IF(INDEX(원생!$H:$H,MATCH(C359,원생!$A:$A,0))="예","예",""),""))</f>
        <v/>
      </c>
      <c r="J359" s="7" t="n"/>
    </row>
    <row r="360">
      <c r="A360" s="9" t="n"/>
      <c r="B360" s="7" t="n"/>
      <c r="C360" s="7" t="n"/>
      <c r="D360" s="7" t="n"/>
      <c r="E360" s="7" t="n"/>
      <c r="F360" s="8" t="n"/>
      <c r="G360" s="7" t="n"/>
      <c r="H360" s="7" t="n"/>
      <c r="I360" s="7">
        <f>IF(C360="","",IFERROR(IF(INDEX(원생!$H:$H,MATCH(C360,원생!$A:$A,0))="예","예",""),""))</f>
        <v/>
      </c>
      <c r="J360" s="7" t="n"/>
    </row>
    <row r="361">
      <c r="A361" s="9" t="n"/>
      <c r="B361" s="7" t="n"/>
      <c r="C361" s="7" t="n"/>
      <c r="D361" s="7" t="n"/>
      <c r="E361" s="7" t="n"/>
      <c r="F361" s="8" t="n"/>
      <c r="G361" s="7" t="n"/>
      <c r="H361" s="7" t="n"/>
      <c r="I361" s="7">
        <f>IF(C361="","",IFERROR(IF(INDEX(원생!$H:$H,MATCH(C361,원생!$A:$A,0))="예","예",""),""))</f>
        <v/>
      </c>
      <c r="J361" s="7" t="n"/>
    </row>
    <row r="362">
      <c r="A362" s="9" t="n"/>
      <c r="B362" s="7" t="n"/>
      <c r="C362" s="7" t="n"/>
      <c r="D362" s="7" t="n"/>
      <c r="E362" s="7" t="n"/>
      <c r="F362" s="8" t="n"/>
      <c r="G362" s="7" t="n"/>
      <c r="H362" s="7" t="n"/>
      <c r="I362" s="7">
        <f>IF(C362="","",IFERROR(IF(INDEX(원생!$H:$H,MATCH(C362,원생!$A:$A,0))="예","예",""),""))</f>
        <v/>
      </c>
      <c r="J362" s="7" t="n"/>
    </row>
    <row r="363">
      <c r="A363" s="9" t="n"/>
      <c r="B363" s="7" t="n"/>
      <c r="C363" s="7" t="n"/>
      <c r="D363" s="7" t="n"/>
      <c r="E363" s="7" t="n"/>
      <c r="F363" s="8" t="n"/>
      <c r="G363" s="7" t="n"/>
      <c r="H363" s="7" t="n"/>
      <c r="I363" s="7">
        <f>IF(C363="","",IFERROR(IF(INDEX(원생!$H:$H,MATCH(C363,원생!$A:$A,0))="예","예",""),""))</f>
        <v/>
      </c>
      <c r="J363" s="7" t="n"/>
    </row>
    <row r="364">
      <c r="A364" s="9" t="n"/>
      <c r="B364" s="7" t="n"/>
      <c r="C364" s="7" t="n"/>
      <c r="D364" s="7" t="n"/>
      <c r="E364" s="7" t="n"/>
      <c r="F364" s="8" t="n"/>
      <c r="G364" s="7" t="n"/>
      <c r="H364" s="7" t="n"/>
      <c r="I364" s="7">
        <f>IF(C364="","",IFERROR(IF(INDEX(원생!$H:$H,MATCH(C364,원생!$A:$A,0))="예","예",""),""))</f>
        <v/>
      </c>
      <c r="J364" s="7" t="n"/>
    </row>
    <row r="365">
      <c r="A365" s="9" t="n"/>
      <c r="B365" s="7" t="n"/>
      <c r="C365" s="7" t="n"/>
      <c r="D365" s="7" t="n"/>
      <c r="E365" s="7" t="n"/>
      <c r="F365" s="8" t="n"/>
      <c r="G365" s="7" t="n"/>
      <c r="H365" s="7" t="n"/>
      <c r="I365" s="7">
        <f>IF(C365="","",IFERROR(IF(INDEX(원생!$H:$H,MATCH(C365,원생!$A:$A,0))="예","예",""),""))</f>
        <v/>
      </c>
      <c r="J365" s="7" t="n"/>
    </row>
    <row r="366">
      <c r="A366" s="9" t="n"/>
      <c r="B366" s="7" t="n"/>
      <c r="C366" s="7" t="n"/>
      <c r="D366" s="7" t="n"/>
      <c r="E366" s="7" t="n"/>
      <c r="F366" s="8" t="n"/>
      <c r="G366" s="7" t="n"/>
      <c r="H366" s="7" t="n"/>
      <c r="I366" s="7">
        <f>IF(C366="","",IFERROR(IF(INDEX(원생!$H:$H,MATCH(C366,원생!$A:$A,0))="예","예",""),""))</f>
        <v/>
      </c>
      <c r="J366" s="7" t="n"/>
    </row>
    <row r="367">
      <c r="A367" s="9" t="n"/>
      <c r="B367" s="7" t="n"/>
      <c r="C367" s="7" t="n"/>
      <c r="D367" s="7" t="n"/>
      <c r="E367" s="7" t="n"/>
      <c r="F367" s="8" t="n"/>
      <c r="G367" s="7" t="n"/>
      <c r="H367" s="7" t="n"/>
      <c r="I367" s="7">
        <f>IF(C367="","",IFERROR(IF(INDEX(원생!$H:$H,MATCH(C367,원생!$A:$A,0))="예","예",""),""))</f>
        <v/>
      </c>
      <c r="J367" s="7" t="n"/>
    </row>
    <row r="368">
      <c r="A368" s="9" t="n"/>
      <c r="B368" s="7" t="n"/>
      <c r="C368" s="7" t="n"/>
      <c r="D368" s="7" t="n"/>
      <c r="E368" s="7" t="n"/>
      <c r="F368" s="8" t="n"/>
      <c r="G368" s="7" t="n"/>
      <c r="H368" s="7" t="n"/>
      <c r="I368" s="7">
        <f>IF(C368="","",IFERROR(IF(INDEX(원생!$H:$H,MATCH(C368,원생!$A:$A,0))="예","예",""),""))</f>
        <v/>
      </c>
      <c r="J368" s="7" t="n"/>
    </row>
    <row r="369">
      <c r="A369" s="9" t="n"/>
      <c r="B369" s="7" t="n"/>
      <c r="C369" s="7" t="n"/>
      <c r="D369" s="7" t="n"/>
      <c r="E369" s="7" t="n"/>
      <c r="F369" s="8" t="n"/>
      <c r="G369" s="7" t="n"/>
      <c r="H369" s="7" t="n"/>
      <c r="I369" s="7">
        <f>IF(C369="","",IFERROR(IF(INDEX(원생!$H:$H,MATCH(C369,원생!$A:$A,0))="예","예",""),""))</f>
        <v/>
      </c>
      <c r="J369" s="7" t="n"/>
    </row>
    <row r="370">
      <c r="A370" s="9" t="n"/>
      <c r="B370" s="7" t="n"/>
      <c r="C370" s="7" t="n"/>
      <c r="D370" s="7" t="n"/>
      <c r="E370" s="7" t="n"/>
      <c r="F370" s="8" t="n"/>
      <c r="G370" s="7" t="n"/>
      <c r="H370" s="7" t="n"/>
      <c r="I370" s="7">
        <f>IF(C370="","",IFERROR(IF(INDEX(원생!$H:$H,MATCH(C370,원생!$A:$A,0))="예","예",""),""))</f>
        <v/>
      </c>
      <c r="J370" s="7" t="n"/>
    </row>
    <row r="371">
      <c r="A371" s="9" t="n"/>
      <c r="B371" s="7" t="n"/>
      <c r="C371" s="7" t="n"/>
      <c r="D371" s="7" t="n"/>
      <c r="E371" s="7" t="n"/>
      <c r="F371" s="8" t="n"/>
      <c r="G371" s="7" t="n"/>
      <c r="H371" s="7" t="n"/>
      <c r="I371" s="7">
        <f>IF(C371="","",IFERROR(IF(INDEX(원생!$H:$H,MATCH(C371,원생!$A:$A,0))="예","예",""),""))</f>
        <v/>
      </c>
      <c r="J371" s="7" t="n"/>
    </row>
    <row r="372">
      <c r="A372" s="9" t="n"/>
      <c r="B372" s="7" t="n"/>
      <c r="C372" s="7" t="n"/>
      <c r="D372" s="7" t="n"/>
      <c r="E372" s="7" t="n"/>
      <c r="F372" s="8" t="n"/>
      <c r="G372" s="7" t="n"/>
      <c r="H372" s="7" t="n"/>
      <c r="I372" s="7">
        <f>IF(C372="","",IFERROR(IF(INDEX(원생!$H:$H,MATCH(C372,원생!$A:$A,0))="예","예",""),""))</f>
        <v/>
      </c>
      <c r="J372" s="7" t="n"/>
    </row>
    <row r="373">
      <c r="A373" s="9" t="n"/>
      <c r="B373" s="7" t="n"/>
      <c r="C373" s="7" t="n"/>
      <c r="D373" s="7" t="n"/>
      <c r="E373" s="7" t="n"/>
      <c r="F373" s="8" t="n"/>
      <c r="G373" s="7" t="n"/>
      <c r="H373" s="7" t="n"/>
      <c r="I373" s="7">
        <f>IF(C373="","",IFERROR(IF(INDEX(원생!$H:$H,MATCH(C373,원생!$A:$A,0))="예","예",""),""))</f>
        <v/>
      </c>
      <c r="J373" s="7" t="n"/>
    </row>
    <row r="374">
      <c r="A374" s="9" t="n"/>
      <c r="B374" s="7" t="n"/>
      <c r="C374" s="7" t="n"/>
      <c r="D374" s="7" t="n"/>
      <c r="E374" s="7" t="n"/>
      <c r="F374" s="8" t="n"/>
      <c r="G374" s="7" t="n"/>
      <c r="H374" s="7" t="n"/>
      <c r="I374" s="7">
        <f>IF(C374="","",IFERROR(IF(INDEX(원생!$H:$H,MATCH(C374,원생!$A:$A,0))="예","예",""),""))</f>
        <v/>
      </c>
      <c r="J374" s="7" t="n"/>
    </row>
    <row r="375">
      <c r="A375" s="9" t="n"/>
      <c r="B375" s="7" t="n"/>
      <c r="C375" s="7" t="n"/>
      <c r="D375" s="7" t="n"/>
      <c r="E375" s="7" t="n"/>
      <c r="F375" s="8" t="n"/>
      <c r="G375" s="7" t="n"/>
      <c r="H375" s="7" t="n"/>
      <c r="I375" s="7">
        <f>IF(C375="","",IFERROR(IF(INDEX(원생!$H:$H,MATCH(C375,원생!$A:$A,0))="예","예",""),""))</f>
        <v/>
      </c>
      <c r="J375" s="7" t="n"/>
    </row>
    <row r="376">
      <c r="A376" s="9" t="n"/>
      <c r="B376" s="7" t="n"/>
      <c r="C376" s="7" t="n"/>
      <c r="D376" s="7" t="n"/>
      <c r="E376" s="7" t="n"/>
      <c r="F376" s="8" t="n"/>
      <c r="G376" s="7" t="n"/>
      <c r="H376" s="7" t="n"/>
      <c r="I376" s="7">
        <f>IF(C376="","",IFERROR(IF(INDEX(원생!$H:$H,MATCH(C376,원생!$A:$A,0))="예","예",""),""))</f>
        <v/>
      </c>
      <c r="J376" s="7" t="n"/>
    </row>
    <row r="377">
      <c r="A377" s="9" t="n"/>
      <c r="B377" s="7" t="n"/>
      <c r="C377" s="7" t="n"/>
      <c r="D377" s="7" t="n"/>
      <c r="E377" s="7" t="n"/>
      <c r="F377" s="8" t="n"/>
      <c r="G377" s="7" t="n"/>
      <c r="H377" s="7" t="n"/>
      <c r="I377" s="7">
        <f>IF(C377="","",IFERROR(IF(INDEX(원생!$H:$H,MATCH(C377,원생!$A:$A,0))="예","예",""),""))</f>
        <v/>
      </c>
      <c r="J377" s="7" t="n"/>
    </row>
    <row r="378">
      <c r="A378" s="9" t="n"/>
      <c r="B378" s="7" t="n"/>
      <c r="C378" s="7" t="n"/>
      <c r="D378" s="7" t="n"/>
      <c r="E378" s="7" t="n"/>
      <c r="F378" s="8" t="n"/>
      <c r="G378" s="7" t="n"/>
      <c r="H378" s="7" t="n"/>
      <c r="I378" s="7">
        <f>IF(C378="","",IFERROR(IF(INDEX(원생!$H:$H,MATCH(C378,원생!$A:$A,0))="예","예",""),""))</f>
        <v/>
      </c>
      <c r="J378" s="7" t="n"/>
    </row>
    <row r="379">
      <c r="A379" s="9" t="n"/>
      <c r="B379" s="7" t="n"/>
      <c r="C379" s="7" t="n"/>
      <c r="D379" s="7" t="n"/>
      <c r="E379" s="7" t="n"/>
      <c r="F379" s="8" t="n"/>
      <c r="G379" s="7" t="n"/>
      <c r="H379" s="7" t="n"/>
      <c r="I379" s="7">
        <f>IF(C379="","",IFERROR(IF(INDEX(원생!$H:$H,MATCH(C379,원생!$A:$A,0))="예","예",""),""))</f>
        <v/>
      </c>
      <c r="J379" s="7" t="n"/>
    </row>
    <row r="380">
      <c r="A380" s="9" t="n"/>
      <c r="B380" s="7" t="n"/>
      <c r="C380" s="7" t="n"/>
      <c r="D380" s="7" t="n"/>
      <c r="E380" s="7" t="n"/>
      <c r="F380" s="8" t="n"/>
      <c r="G380" s="7" t="n"/>
      <c r="H380" s="7" t="n"/>
      <c r="I380" s="7">
        <f>IF(C380="","",IFERROR(IF(INDEX(원생!$H:$H,MATCH(C380,원생!$A:$A,0))="예","예",""),""))</f>
        <v/>
      </c>
      <c r="J380" s="7" t="n"/>
    </row>
    <row r="381">
      <c r="A381" s="9" t="n"/>
      <c r="B381" s="7" t="n"/>
      <c r="C381" s="7" t="n"/>
      <c r="D381" s="7" t="n"/>
      <c r="E381" s="7" t="n"/>
      <c r="F381" s="8" t="n"/>
      <c r="G381" s="7" t="n"/>
      <c r="H381" s="7" t="n"/>
      <c r="I381" s="7">
        <f>IF(C381="","",IFERROR(IF(INDEX(원생!$H:$H,MATCH(C381,원생!$A:$A,0))="예","예",""),""))</f>
        <v/>
      </c>
      <c r="J381" s="7" t="n"/>
    </row>
    <row r="382">
      <c r="A382" s="9" t="n"/>
      <c r="B382" s="7" t="n"/>
      <c r="C382" s="7" t="n"/>
      <c r="D382" s="7" t="n"/>
      <c r="E382" s="7" t="n"/>
      <c r="F382" s="8" t="n"/>
      <c r="G382" s="7" t="n"/>
      <c r="H382" s="7" t="n"/>
      <c r="I382" s="7">
        <f>IF(C382="","",IFERROR(IF(INDEX(원생!$H:$H,MATCH(C382,원생!$A:$A,0))="예","예",""),""))</f>
        <v/>
      </c>
      <c r="J382" s="7" t="n"/>
    </row>
    <row r="383">
      <c r="A383" s="9" t="n"/>
      <c r="B383" s="7" t="n"/>
      <c r="C383" s="7" t="n"/>
      <c r="D383" s="7" t="n"/>
      <c r="E383" s="7" t="n"/>
      <c r="F383" s="8" t="n"/>
      <c r="G383" s="7" t="n"/>
      <c r="H383" s="7" t="n"/>
      <c r="I383" s="7">
        <f>IF(C383="","",IFERROR(IF(INDEX(원생!$H:$H,MATCH(C383,원생!$A:$A,0))="예","예",""),""))</f>
        <v/>
      </c>
      <c r="J383" s="7" t="n"/>
    </row>
    <row r="384">
      <c r="A384" s="9" t="n"/>
      <c r="B384" s="7" t="n"/>
      <c r="C384" s="7" t="n"/>
      <c r="D384" s="7" t="n"/>
      <c r="E384" s="7" t="n"/>
      <c r="F384" s="8" t="n"/>
      <c r="G384" s="7" t="n"/>
      <c r="H384" s="7" t="n"/>
      <c r="I384" s="7">
        <f>IF(C384="","",IFERROR(IF(INDEX(원생!$H:$H,MATCH(C384,원생!$A:$A,0))="예","예",""),""))</f>
        <v/>
      </c>
      <c r="J384" s="7" t="n"/>
    </row>
    <row r="385">
      <c r="A385" s="9" t="n"/>
      <c r="B385" s="7" t="n"/>
      <c r="C385" s="7" t="n"/>
      <c r="D385" s="7" t="n"/>
      <c r="E385" s="7" t="n"/>
      <c r="F385" s="8" t="n"/>
      <c r="G385" s="7" t="n"/>
      <c r="H385" s="7" t="n"/>
      <c r="I385" s="7">
        <f>IF(C385="","",IFERROR(IF(INDEX(원생!$H:$H,MATCH(C385,원생!$A:$A,0))="예","예",""),""))</f>
        <v/>
      </c>
      <c r="J385" s="7" t="n"/>
    </row>
    <row r="386">
      <c r="A386" s="9" t="n"/>
      <c r="B386" s="7" t="n"/>
      <c r="C386" s="7" t="n"/>
      <c r="D386" s="7" t="n"/>
      <c r="E386" s="7" t="n"/>
      <c r="F386" s="8" t="n"/>
      <c r="G386" s="7" t="n"/>
      <c r="H386" s="7" t="n"/>
      <c r="I386" s="7">
        <f>IF(C386="","",IFERROR(IF(INDEX(원생!$H:$H,MATCH(C386,원생!$A:$A,0))="예","예",""),""))</f>
        <v/>
      </c>
      <c r="J386" s="7" t="n"/>
    </row>
    <row r="387">
      <c r="A387" s="9" t="n"/>
      <c r="B387" s="7" t="n"/>
      <c r="C387" s="7" t="n"/>
      <c r="D387" s="7" t="n"/>
      <c r="E387" s="7" t="n"/>
      <c r="F387" s="8" t="n"/>
      <c r="G387" s="7" t="n"/>
      <c r="H387" s="7" t="n"/>
      <c r="I387" s="7">
        <f>IF(C387="","",IFERROR(IF(INDEX(원생!$H:$H,MATCH(C387,원생!$A:$A,0))="예","예",""),""))</f>
        <v/>
      </c>
      <c r="J387" s="7" t="n"/>
    </row>
    <row r="388">
      <c r="A388" s="9" t="n"/>
      <c r="B388" s="7" t="n"/>
      <c r="C388" s="7" t="n"/>
      <c r="D388" s="7" t="n"/>
      <c r="E388" s="7" t="n"/>
      <c r="F388" s="8" t="n"/>
      <c r="G388" s="7" t="n"/>
      <c r="H388" s="7" t="n"/>
      <c r="I388" s="7">
        <f>IF(C388="","",IFERROR(IF(INDEX(원생!$H:$H,MATCH(C388,원생!$A:$A,0))="예","예",""),""))</f>
        <v/>
      </c>
      <c r="J388" s="7" t="n"/>
    </row>
    <row r="389">
      <c r="A389" s="9" t="n"/>
      <c r="B389" s="7" t="n"/>
      <c r="C389" s="7" t="n"/>
      <c r="D389" s="7" t="n"/>
      <c r="E389" s="7" t="n"/>
      <c r="F389" s="8" t="n"/>
      <c r="G389" s="7" t="n"/>
      <c r="H389" s="7" t="n"/>
      <c r="I389" s="7">
        <f>IF(C389="","",IFERROR(IF(INDEX(원생!$H:$H,MATCH(C389,원생!$A:$A,0))="예","예",""),""))</f>
        <v/>
      </c>
      <c r="J389" s="7" t="n"/>
    </row>
    <row r="390">
      <c r="A390" s="9" t="n"/>
      <c r="B390" s="7" t="n"/>
      <c r="C390" s="7" t="n"/>
      <c r="D390" s="7" t="n"/>
      <c r="E390" s="7" t="n"/>
      <c r="F390" s="8" t="n"/>
      <c r="G390" s="7" t="n"/>
      <c r="H390" s="7" t="n"/>
      <c r="I390" s="7">
        <f>IF(C390="","",IFERROR(IF(INDEX(원생!$H:$H,MATCH(C390,원생!$A:$A,0))="예","예",""),""))</f>
        <v/>
      </c>
      <c r="J390" s="7" t="n"/>
    </row>
    <row r="391">
      <c r="A391" s="9" t="n"/>
      <c r="B391" s="7" t="n"/>
      <c r="C391" s="7" t="n"/>
      <c r="D391" s="7" t="n"/>
      <c r="E391" s="7" t="n"/>
      <c r="F391" s="8" t="n"/>
      <c r="G391" s="7" t="n"/>
      <c r="H391" s="7" t="n"/>
      <c r="I391" s="7">
        <f>IF(C391="","",IFERROR(IF(INDEX(원생!$H:$H,MATCH(C391,원생!$A:$A,0))="예","예",""),""))</f>
        <v/>
      </c>
      <c r="J391" s="7" t="n"/>
    </row>
    <row r="392">
      <c r="A392" s="9" t="n"/>
      <c r="B392" s="7" t="n"/>
      <c r="C392" s="7" t="n"/>
      <c r="D392" s="7" t="n"/>
      <c r="E392" s="7" t="n"/>
      <c r="F392" s="8" t="n"/>
      <c r="G392" s="7" t="n"/>
      <c r="H392" s="7" t="n"/>
      <c r="I392" s="7">
        <f>IF(C392="","",IFERROR(IF(INDEX(원생!$H:$H,MATCH(C392,원생!$A:$A,0))="예","예",""),""))</f>
        <v/>
      </c>
      <c r="J392" s="7" t="n"/>
    </row>
    <row r="393">
      <c r="A393" s="9" t="n"/>
      <c r="B393" s="7" t="n"/>
      <c r="C393" s="7" t="n"/>
      <c r="D393" s="7" t="n"/>
      <c r="E393" s="7" t="n"/>
      <c r="F393" s="8" t="n"/>
      <c r="G393" s="7" t="n"/>
      <c r="H393" s="7" t="n"/>
      <c r="I393" s="7">
        <f>IF(C393="","",IFERROR(IF(INDEX(원생!$H:$H,MATCH(C393,원생!$A:$A,0))="예","예",""),""))</f>
        <v/>
      </c>
      <c r="J393" s="7" t="n"/>
    </row>
    <row r="394">
      <c r="A394" s="9" t="n"/>
      <c r="B394" s="7" t="n"/>
      <c r="C394" s="7" t="n"/>
      <c r="D394" s="7" t="n"/>
      <c r="E394" s="7" t="n"/>
      <c r="F394" s="8" t="n"/>
      <c r="G394" s="7" t="n"/>
      <c r="H394" s="7" t="n"/>
      <c r="I394" s="7">
        <f>IF(C394="","",IFERROR(IF(INDEX(원생!$H:$H,MATCH(C394,원생!$A:$A,0))="예","예",""),""))</f>
        <v/>
      </c>
      <c r="J394" s="7" t="n"/>
    </row>
    <row r="395">
      <c r="A395" s="9" t="n"/>
      <c r="B395" s="7" t="n"/>
      <c r="C395" s="7" t="n"/>
      <c r="D395" s="7" t="n"/>
      <c r="E395" s="7" t="n"/>
      <c r="F395" s="8" t="n"/>
      <c r="G395" s="7" t="n"/>
      <c r="H395" s="7" t="n"/>
      <c r="I395" s="7">
        <f>IF(C395="","",IFERROR(IF(INDEX(원생!$H:$H,MATCH(C395,원생!$A:$A,0))="예","예",""),""))</f>
        <v/>
      </c>
      <c r="J395" s="7" t="n"/>
    </row>
    <row r="396">
      <c r="A396" s="9" t="n"/>
      <c r="B396" s="7" t="n"/>
      <c r="C396" s="7" t="n"/>
      <c r="D396" s="7" t="n"/>
      <c r="E396" s="7" t="n"/>
      <c r="F396" s="8" t="n"/>
      <c r="G396" s="7" t="n"/>
      <c r="H396" s="7" t="n"/>
      <c r="I396" s="7">
        <f>IF(C396="","",IFERROR(IF(INDEX(원생!$H:$H,MATCH(C396,원생!$A:$A,0))="예","예",""),""))</f>
        <v/>
      </c>
      <c r="J396" s="7" t="n"/>
    </row>
    <row r="397">
      <c r="A397" s="9" t="n"/>
      <c r="B397" s="7" t="n"/>
      <c r="C397" s="7" t="n"/>
      <c r="D397" s="7" t="n"/>
      <c r="E397" s="7" t="n"/>
      <c r="F397" s="8" t="n"/>
      <c r="G397" s="7" t="n"/>
      <c r="H397" s="7" t="n"/>
      <c r="I397" s="7">
        <f>IF(C397="","",IFERROR(IF(INDEX(원생!$H:$H,MATCH(C397,원생!$A:$A,0))="예","예",""),""))</f>
        <v/>
      </c>
      <c r="J397" s="7" t="n"/>
    </row>
    <row r="398">
      <c r="A398" s="9" t="n"/>
      <c r="B398" s="7" t="n"/>
      <c r="C398" s="7" t="n"/>
      <c r="D398" s="7" t="n"/>
      <c r="E398" s="7" t="n"/>
      <c r="F398" s="8" t="n"/>
      <c r="G398" s="7" t="n"/>
      <c r="H398" s="7" t="n"/>
      <c r="I398" s="7">
        <f>IF(C398="","",IFERROR(IF(INDEX(원생!$H:$H,MATCH(C398,원생!$A:$A,0))="예","예",""),""))</f>
        <v/>
      </c>
      <c r="J398" s="7" t="n"/>
    </row>
    <row r="399">
      <c r="A399" s="9" t="n"/>
      <c r="B399" s="7" t="n"/>
      <c r="C399" s="7" t="n"/>
      <c r="D399" s="7" t="n"/>
      <c r="E399" s="7" t="n"/>
      <c r="F399" s="8" t="n"/>
      <c r="G399" s="7" t="n"/>
      <c r="H399" s="7" t="n"/>
      <c r="I399" s="7">
        <f>IF(C399="","",IFERROR(IF(INDEX(원생!$H:$H,MATCH(C399,원생!$A:$A,0))="예","예",""),""))</f>
        <v/>
      </c>
      <c r="J399" s="7" t="n"/>
    </row>
    <row r="400">
      <c r="A400" s="9" t="n"/>
      <c r="B400" s="7" t="n"/>
      <c r="C400" s="7" t="n"/>
      <c r="D400" s="7" t="n"/>
      <c r="E400" s="7" t="n"/>
      <c r="F400" s="8" t="n"/>
      <c r="G400" s="7" t="n"/>
      <c r="H400" s="7" t="n"/>
      <c r="I400" s="7">
        <f>IF(C400="","",IFERROR(IF(INDEX(원생!$H:$H,MATCH(C400,원생!$A:$A,0))="예","예",""),""))</f>
        <v/>
      </c>
      <c r="J400" s="7" t="n"/>
    </row>
    <row r="401">
      <c r="A401" s="9" t="n"/>
      <c r="B401" s="7" t="n"/>
      <c r="C401" s="7" t="n"/>
      <c r="D401" s="7" t="n"/>
      <c r="E401" s="7" t="n"/>
      <c r="F401" s="8" t="n"/>
      <c r="G401" s="7" t="n"/>
      <c r="H401" s="7" t="n"/>
      <c r="I401" s="7">
        <f>IF(C401="","",IFERROR(IF(INDEX(원생!$H:$H,MATCH(C401,원생!$A:$A,0))="예","예",""),""))</f>
        <v/>
      </c>
      <c r="J401" s="7" t="n"/>
    </row>
    <row r="402">
      <c r="A402" s="9" t="n"/>
      <c r="B402" s="7" t="n"/>
      <c r="C402" s="7" t="n"/>
      <c r="D402" s="7" t="n"/>
      <c r="E402" s="7" t="n"/>
      <c r="F402" s="8" t="n"/>
      <c r="G402" s="7" t="n"/>
      <c r="H402" s="7" t="n"/>
      <c r="I402" s="7">
        <f>IF(C402="","",IFERROR(IF(INDEX(원생!$H:$H,MATCH(C402,원생!$A:$A,0))="예","예",""),""))</f>
        <v/>
      </c>
      <c r="J402" s="7" t="n"/>
    </row>
    <row r="403">
      <c r="A403" s="9" t="n"/>
      <c r="B403" s="7" t="n"/>
      <c r="C403" s="7" t="n"/>
      <c r="D403" s="7" t="n"/>
      <c r="E403" s="7" t="n"/>
      <c r="F403" s="8" t="n"/>
      <c r="G403" s="7" t="n"/>
      <c r="H403" s="7" t="n"/>
      <c r="I403" s="7">
        <f>IF(C403="","",IFERROR(IF(INDEX(원생!$H:$H,MATCH(C403,원생!$A:$A,0))="예","예",""),""))</f>
        <v/>
      </c>
      <c r="J403" s="7" t="n"/>
    </row>
    <row r="404">
      <c r="A404" s="9" t="n"/>
      <c r="B404" s="7" t="n"/>
      <c r="C404" s="7" t="n"/>
      <c r="D404" s="7" t="n"/>
      <c r="E404" s="7" t="n"/>
      <c r="F404" s="8" t="n"/>
      <c r="G404" s="7" t="n"/>
      <c r="H404" s="7" t="n"/>
      <c r="I404" s="7">
        <f>IF(C404="","",IFERROR(IF(INDEX(원생!$H:$H,MATCH(C404,원생!$A:$A,0))="예","예",""),""))</f>
        <v/>
      </c>
      <c r="J404" s="7" t="n"/>
    </row>
    <row r="405">
      <c r="A405" s="9" t="n"/>
      <c r="B405" s="7" t="n"/>
      <c r="C405" s="7" t="n"/>
      <c r="D405" s="7" t="n"/>
      <c r="E405" s="7" t="n"/>
      <c r="F405" s="8" t="n"/>
      <c r="G405" s="7" t="n"/>
      <c r="H405" s="7" t="n"/>
      <c r="I405" s="7">
        <f>IF(C405="","",IFERROR(IF(INDEX(원생!$H:$H,MATCH(C405,원생!$A:$A,0))="예","예",""),""))</f>
        <v/>
      </c>
      <c r="J405" s="7" t="n"/>
    </row>
    <row r="406">
      <c r="A406" s="9" t="n"/>
      <c r="B406" s="7" t="n"/>
      <c r="C406" s="7" t="n"/>
      <c r="D406" s="7" t="n"/>
      <c r="E406" s="7" t="n"/>
      <c r="F406" s="8" t="n"/>
      <c r="G406" s="7" t="n"/>
      <c r="H406" s="7" t="n"/>
      <c r="I406" s="7">
        <f>IF(C406="","",IFERROR(IF(INDEX(원생!$H:$H,MATCH(C406,원생!$A:$A,0))="예","예",""),""))</f>
        <v/>
      </c>
      <c r="J406" s="7" t="n"/>
    </row>
    <row r="407">
      <c r="A407" s="9" t="n"/>
      <c r="B407" s="7" t="n"/>
      <c r="C407" s="7" t="n"/>
      <c r="D407" s="7" t="n"/>
      <c r="E407" s="7" t="n"/>
      <c r="F407" s="8" t="n"/>
      <c r="G407" s="7" t="n"/>
      <c r="H407" s="7" t="n"/>
      <c r="I407" s="7">
        <f>IF(C407="","",IFERROR(IF(INDEX(원생!$H:$H,MATCH(C407,원생!$A:$A,0))="예","예",""),""))</f>
        <v/>
      </c>
      <c r="J407" s="7" t="n"/>
    </row>
    <row r="408">
      <c r="A408" s="9" t="n"/>
      <c r="B408" s="7" t="n"/>
      <c r="C408" s="7" t="n"/>
      <c r="D408" s="7" t="n"/>
      <c r="E408" s="7" t="n"/>
      <c r="F408" s="8" t="n"/>
      <c r="G408" s="7" t="n"/>
      <c r="H408" s="7" t="n"/>
      <c r="I408" s="7">
        <f>IF(C408="","",IFERROR(IF(INDEX(원생!$H:$H,MATCH(C408,원생!$A:$A,0))="예","예",""),""))</f>
        <v/>
      </c>
      <c r="J408" s="7" t="n"/>
    </row>
    <row r="409">
      <c r="A409" s="9" t="n"/>
      <c r="B409" s="7" t="n"/>
      <c r="C409" s="7" t="n"/>
      <c r="D409" s="7" t="n"/>
      <c r="E409" s="7" t="n"/>
      <c r="F409" s="8" t="n"/>
      <c r="G409" s="7" t="n"/>
      <c r="H409" s="7" t="n"/>
      <c r="I409" s="7">
        <f>IF(C409="","",IFERROR(IF(INDEX(원생!$H:$H,MATCH(C409,원생!$A:$A,0))="예","예",""),""))</f>
        <v/>
      </c>
      <c r="J409" s="7" t="n"/>
    </row>
    <row r="410">
      <c r="A410" s="9" t="n"/>
      <c r="B410" s="7" t="n"/>
      <c r="C410" s="7" t="n"/>
      <c r="D410" s="7" t="n"/>
      <c r="E410" s="7" t="n"/>
      <c r="F410" s="8" t="n"/>
      <c r="G410" s="7" t="n"/>
      <c r="H410" s="7" t="n"/>
      <c r="I410" s="7">
        <f>IF(C410="","",IFERROR(IF(INDEX(원생!$H:$H,MATCH(C410,원생!$A:$A,0))="예","예",""),""))</f>
        <v/>
      </c>
      <c r="J410" s="7" t="n"/>
    </row>
    <row r="411">
      <c r="A411" s="9" t="n"/>
      <c r="B411" s="7" t="n"/>
      <c r="C411" s="7" t="n"/>
      <c r="D411" s="7" t="n"/>
      <c r="E411" s="7" t="n"/>
      <c r="F411" s="8" t="n"/>
      <c r="G411" s="7" t="n"/>
      <c r="H411" s="7" t="n"/>
      <c r="I411" s="7">
        <f>IF(C411="","",IFERROR(IF(INDEX(원생!$H:$H,MATCH(C411,원생!$A:$A,0))="예","예",""),""))</f>
        <v/>
      </c>
      <c r="J411" s="7" t="n"/>
    </row>
    <row r="412">
      <c r="A412" s="9" t="n"/>
      <c r="B412" s="7" t="n"/>
      <c r="C412" s="7" t="n"/>
      <c r="D412" s="7" t="n"/>
      <c r="E412" s="7" t="n"/>
      <c r="F412" s="8" t="n"/>
      <c r="G412" s="7" t="n"/>
      <c r="H412" s="7" t="n"/>
      <c r="I412" s="7">
        <f>IF(C412="","",IFERROR(IF(INDEX(원생!$H:$H,MATCH(C412,원생!$A:$A,0))="예","예",""),""))</f>
        <v/>
      </c>
      <c r="J412" s="7" t="n"/>
    </row>
    <row r="413">
      <c r="A413" s="9" t="n"/>
      <c r="B413" s="7" t="n"/>
      <c r="C413" s="7" t="n"/>
      <c r="D413" s="7" t="n"/>
      <c r="E413" s="7" t="n"/>
      <c r="F413" s="8" t="n"/>
      <c r="G413" s="7" t="n"/>
      <c r="H413" s="7" t="n"/>
      <c r="I413" s="7">
        <f>IF(C413="","",IFERROR(IF(INDEX(원생!$H:$H,MATCH(C413,원생!$A:$A,0))="예","예",""),""))</f>
        <v/>
      </c>
      <c r="J413" s="7" t="n"/>
    </row>
    <row r="414">
      <c r="A414" s="9" t="n"/>
      <c r="B414" s="7" t="n"/>
      <c r="C414" s="7" t="n"/>
      <c r="D414" s="7" t="n"/>
      <c r="E414" s="7" t="n"/>
      <c r="F414" s="8" t="n"/>
      <c r="G414" s="7" t="n"/>
      <c r="H414" s="7" t="n"/>
      <c r="I414" s="7">
        <f>IF(C414="","",IFERROR(IF(INDEX(원생!$H:$H,MATCH(C414,원생!$A:$A,0))="예","예",""),""))</f>
        <v/>
      </c>
      <c r="J414" s="7" t="n"/>
    </row>
    <row r="415">
      <c r="A415" s="9" t="n"/>
      <c r="B415" s="7" t="n"/>
      <c r="C415" s="7" t="n"/>
      <c r="D415" s="7" t="n"/>
      <c r="E415" s="7" t="n"/>
      <c r="F415" s="8" t="n"/>
      <c r="G415" s="7" t="n"/>
      <c r="H415" s="7" t="n"/>
      <c r="I415" s="7">
        <f>IF(C415="","",IFERROR(IF(INDEX(원생!$H:$H,MATCH(C415,원생!$A:$A,0))="예","예",""),""))</f>
        <v/>
      </c>
      <c r="J415" s="7" t="n"/>
    </row>
    <row r="416">
      <c r="A416" s="9" t="n"/>
      <c r="B416" s="7" t="n"/>
      <c r="C416" s="7" t="n"/>
      <c r="D416" s="7" t="n"/>
      <c r="E416" s="7" t="n"/>
      <c r="F416" s="8" t="n"/>
      <c r="G416" s="7" t="n"/>
      <c r="H416" s="7" t="n"/>
      <c r="I416" s="7">
        <f>IF(C416="","",IFERROR(IF(INDEX(원생!$H:$H,MATCH(C416,원생!$A:$A,0))="예","예",""),""))</f>
        <v/>
      </c>
      <c r="J416" s="7" t="n"/>
    </row>
    <row r="417">
      <c r="A417" s="9" t="n"/>
      <c r="B417" s="7" t="n"/>
      <c r="C417" s="7" t="n"/>
      <c r="D417" s="7" t="n"/>
      <c r="E417" s="7" t="n"/>
      <c r="F417" s="8" t="n"/>
      <c r="G417" s="7" t="n"/>
      <c r="H417" s="7" t="n"/>
      <c r="I417" s="7">
        <f>IF(C417="","",IFERROR(IF(INDEX(원생!$H:$H,MATCH(C417,원생!$A:$A,0))="예","예",""),""))</f>
        <v/>
      </c>
      <c r="J417" s="7" t="n"/>
    </row>
    <row r="418">
      <c r="A418" s="9" t="n"/>
      <c r="B418" s="7" t="n"/>
      <c r="C418" s="7" t="n"/>
      <c r="D418" s="7" t="n"/>
      <c r="E418" s="7" t="n"/>
      <c r="F418" s="8" t="n"/>
      <c r="G418" s="7" t="n"/>
      <c r="H418" s="7" t="n"/>
      <c r="I418" s="7">
        <f>IF(C418="","",IFERROR(IF(INDEX(원생!$H:$H,MATCH(C418,원생!$A:$A,0))="예","예",""),""))</f>
        <v/>
      </c>
      <c r="J418" s="7" t="n"/>
    </row>
    <row r="419">
      <c r="A419" s="9" t="n"/>
      <c r="B419" s="7" t="n"/>
      <c r="C419" s="7" t="n"/>
      <c r="D419" s="7" t="n"/>
      <c r="E419" s="7" t="n"/>
      <c r="F419" s="8" t="n"/>
      <c r="G419" s="7" t="n"/>
      <c r="H419" s="7" t="n"/>
      <c r="I419" s="7">
        <f>IF(C419="","",IFERROR(IF(INDEX(원생!$H:$H,MATCH(C419,원생!$A:$A,0))="예","예",""),""))</f>
        <v/>
      </c>
      <c r="J419" s="7" t="n"/>
    </row>
    <row r="420">
      <c r="A420" s="9" t="n"/>
      <c r="B420" s="7" t="n"/>
      <c r="C420" s="7" t="n"/>
      <c r="D420" s="7" t="n"/>
      <c r="E420" s="7" t="n"/>
      <c r="F420" s="8" t="n"/>
      <c r="G420" s="7" t="n"/>
      <c r="H420" s="7" t="n"/>
      <c r="I420" s="7">
        <f>IF(C420="","",IFERROR(IF(INDEX(원생!$H:$H,MATCH(C420,원생!$A:$A,0))="예","예",""),""))</f>
        <v/>
      </c>
      <c r="J420" s="7" t="n"/>
    </row>
    <row r="421">
      <c r="A421" s="9" t="n"/>
      <c r="B421" s="7" t="n"/>
      <c r="C421" s="7" t="n"/>
      <c r="D421" s="7" t="n"/>
      <c r="E421" s="7" t="n"/>
      <c r="F421" s="8" t="n"/>
      <c r="G421" s="7" t="n"/>
      <c r="H421" s="7" t="n"/>
      <c r="I421" s="7">
        <f>IF(C421="","",IFERROR(IF(INDEX(원생!$H:$H,MATCH(C421,원생!$A:$A,0))="예","예",""),""))</f>
        <v/>
      </c>
      <c r="J421" s="7" t="n"/>
    </row>
    <row r="422">
      <c r="A422" s="9" t="n"/>
      <c r="B422" s="7" t="n"/>
      <c r="C422" s="7" t="n"/>
      <c r="D422" s="7" t="n"/>
      <c r="E422" s="7" t="n"/>
      <c r="F422" s="8" t="n"/>
      <c r="G422" s="7" t="n"/>
      <c r="H422" s="7" t="n"/>
      <c r="I422" s="7">
        <f>IF(C422="","",IFERROR(IF(INDEX(원생!$H:$H,MATCH(C422,원생!$A:$A,0))="예","예",""),""))</f>
        <v/>
      </c>
      <c r="J422" s="7" t="n"/>
    </row>
    <row r="423">
      <c r="A423" s="9" t="n"/>
      <c r="B423" s="7" t="n"/>
      <c r="C423" s="7" t="n"/>
      <c r="D423" s="7" t="n"/>
      <c r="E423" s="7" t="n"/>
      <c r="F423" s="8" t="n"/>
      <c r="G423" s="7" t="n"/>
      <c r="H423" s="7" t="n"/>
      <c r="I423" s="7">
        <f>IF(C423="","",IFERROR(IF(INDEX(원생!$H:$H,MATCH(C423,원생!$A:$A,0))="예","예",""),""))</f>
        <v/>
      </c>
      <c r="J423" s="7" t="n"/>
    </row>
    <row r="424">
      <c r="A424" s="9" t="n"/>
      <c r="B424" s="7" t="n"/>
      <c r="C424" s="7" t="n"/>
      <c r="D424" s="7" t="n"/>
      <c r="E424" s="7" t="n"/>
      <c r="F424" s="8" t="n"/>
      <c r="G424" s="7" t="n"/>
      <c r="H424" s="7" t="n"/>
      <c r="I424" s="7">
        <f>IF(C424="","",IFERROR(IF(INDEX(원생!$H:$H,MATCH(C424,원생!$A:$A,0))="예","예",""),""))</f>
        <v/>
      </c>
      <c r="J424" s="7" t="n"/>
    </row>
    <row r="425">
      <c r="A425" s="9" t="n"/>
      <c r="B425" s="7" t="n"/>
      <c r="C425" s="7" t="n"/>
      <c r="D425" s="7" t="n"/>
      <c r="E425" s="7" t="n"/>
      <c r="F425" s="8" t="n"/>
      <c r="G425" s="7" t="n"/>
      <c r="H425" s="7" t="n"/>
      <c r="I425" s="7">
        <f>IF(C425="","",IFERROR(IF(INDEX(원생!$H:$H,MATCH(C425,원생!$A:$A,0))="예","예",""),""))</f>
        <v/>
      </c>
      <c r="J425" s="7" t="n"/>
    </row>
    <row r="426">
      <c r="A426" s="9" t="n"/>
      <c r="B426" s="7" t="n"/>
      <c r="C426" s="7" t="n"/>
      <c r="D426" s="7" t="n"/>
      <c r="E426" s="7" t="n"/>
      <c r="F426" s="8" t="n"/>
      <c r="G426" s="7" t="n"/>
      <c r="H426" s="7" t="n"/>
      <c r="I426" s="7">
        <f>IF(C426="","",IFERROR(IF(INDEX(원생!$H:$H,MATCH(C426,원생!$A:$A,0))="예","예",""),""))</f>
        <v/>
      </c>
      <c r="J426" s="7" t="n"/>
    </row>
    <row r="427">
      <c r="A427" s="9" t="n"/>
      <c r="B427" s="7" t="n"/>
      <c r="C427" s="7" t="n"/>
      <c r="D427" s="7" t="n"/>
      <c r="E427" s="7" t="n"/>
      <c r="F427" s="8" t="n"/>
      <c r="G427" s="7" t="n"/>
      <c r="H427" s="7" t="n"/>
      <c r="I427" s="7">
        <f>IF(C427="","",IFERROR(IF(INDEX(원생!$H:$H,MATCH(C427,원생!$A:$A,0))="예","예",""),""))</f>
        <v/>
      </c>
      <c r="J427" s="7" t="n"/>
    </row>
    <row r="428">
      <c r="A428" s="9" t="n"/>
      <c r="B428" s="7" t="n"/>
      <c r="C428" s="7" t="n"/>
      <c r="D428" s="7" t="n"/>
      <c r="E428" s="7" t="n"/>
      <c r="F428" s="8" t="n"/>
      <c r="G428" s="7" t="n"/>
      <c r="H428" s="7" t="n"/>
      <c r="I428" s="7">
        <f>IF(C428="","",IFERROR(IF(INDEX(원생!$H:$H,MATCH(C428,원생!$A:$A,0))="예","예",""),""))</f>
        <v/>
      </c>
      <c r="J428" s="7" t="n"/>
    </row>
    <row r="429">
      <c r="A429" s="9" t="n"/>
      <c r="B429" s="7" t="n"/>
      <c r="C429" s="7" t="n"/>
      <c r="D429" s="7" t="n"/>
      <c r="E429" s="7" t="n"/>
      <c r="F429" s="8" t="n"/>
      <c r="G429" s="7" t="n"/>
      <c r="H429" s="7" t="n"/>
      <c r="I429" s="7">
        <f>IF(C429="","",IFERROR(IF(INDEX(원생!$H:$H,MATCH(C429,원생!$A:$A,0))="예","예",""),""))</f>
        <v/>
      </c>
      <c r="J429" s="7" t="n"/>
    </row>
    <row r="430">
      <c r="A430" s="9" t="n"/>
      <c r="B430" s="7" t="n"/>
      <c r="C430" s="7" t="n"/>
      <c r="D430" s="7" t="n"/>
      <c r="E430" s="7" t="n"/>
      <c r="F430" s="8" t="n"/>
      <c r="G430" s="7" t="n"/>
      <c r="H430" s="7" t="n"/>
      <c r="I430" s="7">
        <f>IF(C430="","",IFERROR(IF(INDEX(원생!$H:$H,MATCH(C430,원생!$A:$A,0))="예","예",""),""))</f>
        <v/>
      </c>
      <c r="J430" s="7" t="n"/>
    </row>
    <row r="431">
      <c r="A431" s="9" t="n"/>
      <c r="B431" s="7" t="n"/>
      <c r="C431" s="7" t="n"/>
      <c r="D431" s="7" t="n"/>
      <c r="E431" s="7" t="n"/>
      <c r="F431" s="8" t="n"/>
      <c r="G431" s="7" t="n"/>
      <c r="H431" s="7" t="n"/>
      <c r="I431" s="7">
        <f>IF(C431="","",IFERROR(IF(INDEX(원생!$H:$H,MATCH(C431,원생!$A:$A,0))="예","예",""),""))</f>
        <v/>
      </c>
      <c r="J431" s="7" t="n"/>
    </row>
    <row r="432">
      <c r="A432" s="9" t="n"/>
      <c r="B432" s="7" t="n"/>
      <c r="C432" s="7" t="n"/>
      <c r="D432" s="7" t="n"/>
      <c r="E432" s="7" t="n"/>
      <c r="F432" s="8" t="n"/>
      <c r="G432" s="7" t="n"/>
      <c r="H432" s="7" t="n"/>
      <c r="I432" s="7">
        <f>IF(C432="","",IFERROR(IF(INDEX(원생!$H:$H,MATCH(C432,원생!$A:$A,0))="예","예",""),""))</f>
        <v/>
      </c>
      <c r="J432" s="7" t="n"/>
    </row>
    <row r="433">
      <c r="A433" s="9" t="n"/>
      <c r="B433" s="7" t="n"/>
      <c r="C433" s="7" t="n"/>
      <c r="D433" s="7" t="n"/>
      <c r="E433" s="7" t="n"/>
      <c r="F433" s="8" t="n"/>
      <c r="G433" s="7" t="n"/>
      <c r="H433" s="7" t="n"/>
      <c r="I433" s="7">
        <f>IF(C433="","",IFERROR(IF(INDEX(원생!$H:$H,MATCH(C433,원생!$A:$A,0))="예","예",""),""))</f>
        <v/>
      </c>
      <c r="J433" s="7" t="n"/>
    </row>
    <row r="434">
      <c r="A434" s="9" t="n"/>
      <c r="B434" s="7" t="n"/>
      <c r="C434" s="7" t="n"/>
      <c r="D434" s="7" t="n"/>
      <c r="E434" s="7" t="n"/>
      <c r="F434" s="8" t="n"/>
      <c r="G434" s="7" t="n"/>
      <c r="H434" s="7" t="n"/>
      <c r="I434" s="7">
        <f>IF(C434="","",IFERROR(IF(INDEX(원생!$H:$H,MATCH(C434,원생!$A:$A,0))="예","예",""),""))</f>
        <v/>
      </c>
      <c r="J434" s="7" t="n"/>
    </row>
    <row r="435">
      <c r="A435" s="9" t="n"/>
      <c r="B435" s="7" t="n"/>
      <c r="C435" s="7" t="n"/>
      <c r="D435" s="7" t="n"/>
      <c r="E435" s="7" t="n"/>
      <c r="F435" s="8" t="n"/>
      <c r="G435" s="7" t="n"/>
      <c r="H435" s="7" t="n"/>
      <c r="I435" s="7">
        <f>IF(C435="","",IFERROR(IF(INDEX(원생!$H:$H,MATCH(C435,원생!$A:$A,0))="예","예",""),""))</f>
        <v/>
      </c>
      <c r="J435" s="7" t="n"/>
    </row>
    <row r="436">
      <c r="A436" s="9" t="n"/>
      <c r="B436" s="7" t="n"/>
      <c r="C436" s="7" t="n"/>
      <c r="D436" s="7" t="n"/>
      <c r="E436" s="7" t="n"/>
      <c r="F436" s="8" t="n"/>
      <c r="G436" s="7" t="n"/>
      <c r="H436" s="7" t="n"/>
      <c r="I436" s="7">
        <f>IF(C436="","",IFERROR(IF(INDEX(원생!$H:$H,MATCH(C436,원생!$A:$A,0))="예","예",""),""))</f>
        <v/>
      </c>
      <c r="J436" s="7" t="n"/>
    </row>
    <row r="437">
      <c r="A437" s="9" t="n"/>
      <c r="B437" s="7" t="n"/>
      <c r="C437" s="7" t="n"/>
      <c r="D437" s="7" t="n"/>
      <c r="E437" s="7" t="n"/>
      <c r="F437" s="8" t="n"/>
      <c r="G437" s="7" t="n"/>
      <c r="H437" s="7" t="n"/>
      <c r="I437" s="7">
        <f>IF(C437="","",IFERROR(IF(INDEX(원생!$H:$H,MATCH(C437,원생!$A:$A,0))="예","예",""),""))</f>
        <v/>
      </c>
      <c r="J437" s="7" t="n"/>
    </row>
    <row r="438">
      <c r="A438" s="9" t="n"/>
      <c r="B438" s="7" t="n"/>
      <c r="C438" s="7" t="n"/>
      <c r="D438" s="7" t="n"/>
      <c r="E438" s="7" t="n"/>
      <c r="F438" s="8" t="n"/>
      <c r="G438" s="7" t="n"/>
      <c r="H438" s="7" t="n"/>
      <c r="I438" s="7">
        <f>IF(C438="","",IFERROR(IF(INDEX(원생!$H:$H,MATCH(C438,원생!$A:$A,0))="예","예",""),""))</f>
        <v/>
      </c>
      <c r="J438" s="7" t="n"/>
    </row>
    <row r="439">
      <c r="A439" s="9" t="n"/>
      <c r="B439" s="7" t="n"/>
      <c r="C439" s="7" t="n"/>
      <c r="D439" s="7" t="n"/>
      <c r="E439" s="7" t="n"/>
      <c r="F439" s="8" t="n"/>
      <c r="G439" s="7" t="n"/>
      <c r="H439" s="7" t="n"/>
      <c r="I439" s="7">
        <f>IF(C439="","",IFERROR(IF(INDEX(원생!$H:$H,MATCH(C439,원생!$A:$A,0))="예","예",""),""))</f>
        <v/>
      </c>
      <c r="J439" s="7" t="n"/>
    </row>
    <row r="440">
      <c r="A440" s="9" t="n"/>
      <c r="B440" s="7" t="n"/>
      <c r="C440" s="7" t="n"/>
      <c r="D440" s="7" t="n"/>
      <c r="E440" s="7" t="n"/>
      <c r="F440" s="8" t="n"/>
      <c r="G440" s="7" t="n"/>
      <c r="H440" s="7" t="n"/>
      <c r="I440" s="7">
        <f>IF(C440="","",IFERROR(IF(INDEX(원생!$H:$H,MATCH(C440,원생!$A:$A,0))="예","예",""),""))</f>
        <v/>
      </c>
      <c r="J440" s="7" t="n"/>
    </row>
    <row r="441">
      <c r="A441" s="9" t="n"/>
      <c r="B441" s="7" t="n"/>
      <c r="C441" s="7" t="n"/>
      <c r="D441" s="7" t="n"/>
      <c r="E441" s="7" t="n"/>
      <c r="F441" s="8" t="n"/>
      <c r="G441" s="7" t="n"/>
      <c r="H441" s="7" t="n"/>
      <c r="I441" s="7">
        <f>IF(C441="","",IFERROR(IF(INDEX(원생!$H:$H,MATCH(C441,원생!$A:$A,0))="예","예",""),""))</f>
        <v/>
      </c>
      <c r="J441" s="7" t="n"/>
    </row>
    <row r="442">
      <c r="A442" s="9" t="n"/>
      <c r="B442" s="7" t="n"/>
      <c r="C442" s="7" t="n"/>
      <c r="D442" s="7" t="n"/>
      <c r="E442" s="7" t="n"/>
      <c r="F442" s="8" t="n"/>
      <c r="G442" s="7" t="n"/>
      <c r="H442" s="7" t="n"/>
      <c r="I442" s="7">
        <f>IF(C442="","",IFERROR(IF(INDEX(원생!$H:$H,MATCH(C442,원생!$A:$A,0))="예","예",""),""))</f>
        <v/>
      </c>
      <c r="J442" s="7" t="n"/>
    </row>
    <row r="443">
      <c r="A443" s="9" t="n"/>
      <c r="B443" s="7" t="n"/>
      <c r="C443" s="7" t="n"/>
      <c r="D443" s="7" t="n"/>
      <c r="E443" s="7" t="n"/>
      <c r="F443" s="8" t="n"/>
      <c r="G443" s="7" t="n"/>
      <c r="H443" s="7" t="n"/>
      <c r="I443" s="7">
        <f>IF(C443="","",IFERROR(IF(INDEX(원생!$H:$H,MATCH(C443,원생!$A:$A,0))="예","예",""),""))</f>
        <v/>
      </c>
      <c r="J443" s="7" t="n"/>
    </row>
    <row r="444">
      <c r="A444" s="9" t="n"/>
      <c r="B444" s="7" t="n"/>
      <c r="C444" s="7" t="n"/>
      <c r="D444" s="7" t="n"/>
      <c r="E444" s="7" t="n"/>
      <c r="F444" s="8" t="n"/>
      <c r="G444" s="7" t="n"/>
      <c r="H444" s="7" t="n"/>
      <c r="I444" s="7">
        <f>IF(C444="","",IFERROR(IF(INDEX(원생!$H:$H,MATCH(C444,원생!$A:$A,0))="예","예",""),""))</f>
        <v/>
      </c>
      <c r="J444" s="7" t="n"/>
    </row>
    <row r="445">
      <c r="A445" s="9" t="n"/>
      <c r="B445" s="7" t="n"/>
      <c r="C445" s="7" t="n"/>
      <c r="D445" s="7" t="n"/>
      <c r="E445" s="7" t="n"/>
      <c r="F445" s="8" t="n"/>
      <c r="G445" s="7" t="n"/>
      <c r="H445" s="7" t="n"/>
      <c r="I445" s="7">
        <f>IF(C445="","",IFERROR(IF(INDEX(원생!$H:$H,MATCH(C445,원생!$A:$A,0))="예","예",""),""))</f>
        <v/>
      </c>
      <c r="J445" s="7" t="n"/>
    </row>
    <row r="446">
      <c r="A446" s="9" t="n"/>
      <c r="B446" s="7" t="n"/>
      <c r="C446" s="7" t="n"/>
      <c r="D446" s="7" t="n"/>
      <c r="E446" s="7" t="n"/>
      <c r="F446" s="8" t="n"/>
      <c r="G446" s="7" t="n"/>
      <c r="H446" s="7" t="n"/>
      <c r="I446" s="7">
        <f>IF(C446="","",IFERROR(IF(INDEX(원생!$H:$H,MATCH(C446,원생!$A:$A,0))="예","예",""),""))</f>
        <v/>
      </c>
      <c r="J446" s="7" t="n"/>
    </row>
    <row r="447">
      <c r="A447" s="9" t="n"/>
      <c r="B447" s="7" t="n"/>
      <c r="C447" s="7" t="n"/>
      <c r="D447" s="7" t="n"/>
      <c r="E447" s="7" t="n"/>
      <c r="F447" s="8" t="n"/>
      <c r="G447" s="7" t="n"/>
      <c r="H447" s="7" t="n"/>
      <c r="I447" s="7">
        <f>IF(C447="","",IFERROR(IF(INDEX(원생!$H:$H,MATCH(C447,원생!$A:$A,0))="예","예",""),""))</f>
        <v/>
      </c>
      <c r="J447" s="7" t="n"/>
    </row>
    <row r="448">
      <c r="A448" s="9" t="n"/>
      <c r="B448" s="7" t="n"/>
      <c r="C448" s="7" t="n"/>
      <c r="D448" s="7" t="n"/>
      <c r="E448" s="7" t="n"/>
      <c r="F448" s="8" t="n"/>
      <c r="G448" s="7" t="n"/>
      <c r="H448" s="7" t="n"/>
      <c r="I448" s="7">
        <f>IF(C448="","",IFERROR(IF(INDEX(원생!$H:$H,MATCH(C448,원생!$A:$A,0))="예","예",""),""))</f>
        <v/>
      </c>
      <c r="J448" s="7" t="n"/>
    </row>
    <row r="449">
      <c r="A449" s="9" t="n"/>
      <c r="B449" s="7" t="n"/>
      <c r="C449" s="7" t="n"/>
      <c r="D449" s="7" t="n"/>
      <c r="E449" s="7" t="n"/>
      <c r="F449" s="8" t="n"/>
      <c r="G449" s="7" t="n"/>
      <c r="H449" s="7" t="n"/>
      <c r="I449" s="7">
        <f>IF(C449="","",IFERROR(IF(INDEX(원생!$H:$H,MATCH(C449,원생!$A:$A,0))="예","예",""),""))</f>
        <v/>
      </c>
      <c r="J449" s="7" t="n"/>
    </row>
    <row r="450">
      <c r="A450" s="9" t="n"/>
      <c r="B450" s="7" t="n"/>
      <c r="C450" s="7" t="n"/>
      <c r="D450" s="7" t="n"/>
      <c r="E450" s="7" t="n"/>
      <c r="F450" s="8" t="n"/>
      <c r="G450" s="7" t="n"/>
      <c r="H450" s="7" t="n"/>
      <c r="I450" s="7">
        <f>IF(C450="","",IFERROR(IF(INDEX(원생!$H:$H,MATCH(C450,원생!$A:$A,0))="예","예",""),""))</f>
        <v/>
      </c>
      <c r="J450" s="7" t="n"/>
    </row>
    <row r="451">
      <c r="A451" s="9" t="n"/>
      <c r="B451" s="7" t="n"/>
      <c r="C451" s="7" t="n"/>
      <c r="D451" s="7" t="n"/>
      <c r="E451" s="7" t="n"/>
      <c r="F451" s="8" t="n"/>
      <c r="G451" s="7" t="n"/>
      <c r="H451" s="7" t="n"/>
      <c r="I451" s="7">
        <f>IF(C451="","",IFERROR(IF(INDEX(원생!$H:$H,MATCH(C451,원생!$A:$A,0))="예","예",""),""))</f>
        <v/>
      </c>
      <c r="J451" s="7" t="n"/>
    </row>
    <row r="452">
      <c r="A452" s="9" t="n"/>
      <c r="B452" s="7" t="n"/>
      <c r="C452" s="7" t="n"/>
      <c r="D452" s="7" t="n"/>
      <c r="E452" s="7" t="n"/>
      <c r="F452" s="8" t="n"/>
      <c r="G452" s="7" t="n"/>
      <c r="H452" s="7" t="n"/>
      <c r="I452" s="7">
        <f>IF(C452="","",IFERROR(IF(INDEX(원생!$H:$H,MATCH(C452,원생!$A:$A,0))="예","예",""),""))</f>
        <v/>
      </c>
      <c r="J452" s="7" t="n"/>
    </row>
    <row r="453">
      <c r="A453" s="9" t="n"/>
      <c r="B453" s="7" t="n"/>
      <c r="C453" s="7" t="n"/>
      <c r="D453" s="7" t="n"/>
      <c r="E453" s="7" t="n"/>
      <c r="F453" s="8" t="n"/>
      <c r="G453" s="7" t="n"/>
      <c r="H453" s="7" t="n"/>
      <c r="I453" s="7">
        <f>IF(C453="","",IFERROR(IF(INDEX(원생!$H:$H,MATCH(C453,원생!$A:$A,0))="예","예",""),""))</f>
        <v/>
      </c>
      <c r="J453" s="7" t="n"/>
    </row>
    <row r="454">
      <c r="A454" s="9" t="n"/>
      <c r="B454" s="7" t="n"/>
      <c r="C454" s="7" t="n"/>
      <c r="D454" s="7" t="n"/>
      <c r="E454" s="7" t="n"/>
      <c r="F454" s="8" t="n"/>
      <c r="G454" s="7" t="n"/>
      <c r="H454" s="7" t="n"/>
      <c r="I454" s="7">
        <f>IF(C454="","",IFERROR(IF(INDEX(원생!$H:$H,MATCH(C454,원생!$A:$A,0))="예","예",""),""))</f>
        <v/>
      </c>
      <c r="J454" s="7" t="n"/>
    </row>
    <row r="455">
      <c r="A455" s="9" t="n"/>
      <c r="B455" s="7" t="n"/>
      <c r="C455" s="7" t="n"/>
      <c r="D455" s="7" t="n"/>
      <c r="E455" s="7" t="n"/>
      <c r="F455" s="8" t="n"/>
      <c r="G455" s="7" t="n"/>
      <c r="H455" s="7" t="n"/>
      <c r="I455" s="7">
        <f>IF(C455="","",IFERROR(IF(INDEX(원생!$H:$H,MATCH(C455,원생!$A:$A,0))="예","예",""),""))</f>
        <v/>
      </c>
      <c r="J455" s="7" t="n"/>
    </row>
    <row r="456">
      <c r="A456" s="9" t="n"/>
      <c r="B456" s="7" t="n"/>
      <c r="C456" s="7" t="n"/>
      <c r="D456" s="7" t="n"/>
      <c r="E456" s="7" t="n"/>
      <c r="F456" s="8" t="n"/>
      <c r="G456" s="7" t="n"/>
      <c r="H456" s="7" t="n"/>
      <c r="I456" s="7">
        <f>IF(C456="","",IFERROR(IF(INDEX(원생!$H:$H,MATCH(C456,원생!$A:$A,0))="예","예",""),""))</f>
        <v/>
      </c>
      <c r="J456" s="7" t="n"/>
    </row>
    <row r="457">
      <c r="A457" s="9" t="n"/>
      <c r="B457" s="7" t="n"/>
      <c r="C457" s="7" t="n"/>
      <c r="D457" s="7" t="n"/>
      <c r="E457" s="7" t="n"/>
      <c r="F457" s="8" t="n"/>
      <c r="G457" s="7" t="n"/>
      <c r="H457" s="7" t="n"/>
      <c r="I457" s="7">
        <f>IF(C457="","",IFERROR(IF(INDEX(원생!$H:$H,MATCH(C457,원생!$A:$A,0))="예","예",""),""))</f>
        <v/>
      </c>
      <c r="J457" s="7" t="n"/>
    </row>
    <row r="458">
      <c r="A458" s="9" t="n"/>
      <c r="B458" s="7" t="n"/>
      <c r="C458" s="7" t="n"/>
      <c r="D458" s="7" t="n"/>
      <c r="E458" s="7" t="n"/>
      <c r="F458" s="8" t="n"/>
      <c r="G458" s="7" t="n"/>
      <c r="H458" s="7" t="n"/>
      <c r="I458" s="7">
        <f>IF(C458="","",IFERROR(IF(INDEX(원생!$H:$H,MATCH(C458,원생!$A:$A,0))="예","예",""),""))</f>
        <v/>
      </c>
      <c r="J458" s="7" t="n"/>
    </row>
    <row r="459">
      <c r="A459" s="9" t="n"/>
      <c r="B459" s="7" t="n"/>
      <c r="C459" s="7" t="n"/>
      <c r="D459" s="7" t="n"/>
      <c r="E459" s="7" t="n"/>
      <c r="F459" s="8" t="n"/>
      <c r="G459" s="7" t="n"/>
      <c r="H459" s="7" t="n"/>
      <c r="I459" s="7">
        <f>IF(C459="","",IFERROR(IF(INDEX(원생!$H:$H,MATCH(C459,원생!$A:$A,0))="예","예",""),""))</f>
        <v/>
      </c>
      <c r="J459" s="7" t="n"/>
    </row>
    <row r="460">
      <c r="A460" s="9" t="n"/>
      <c r="B460" s="7" t="n"/>
      <c r="C460" s="7" t="n"/>
      <c r="D460" s="7" t="n"/>
      <c r="E460" s="7" t="n"/>
      <c r="F460" s="8" t="n"/>
      <c r="G460" s="7" t="n"/>
      <c r="H460" s="7" t="n"/>
      <c r="I460" s="7">
        <f>IF(C460="","",IFERROR(IF(INDEX(원생!$H:$H,MATCH(C460,원생!$A:$A,0))="예","예",""),""))</f>
        <v/>
      </c>
      <c r="J460" s="7" t="n"/>
    </row>
    <row r="461">
      <c r="A461" s="9" t="n"/>
      <c r="B461" s="7" t="n"/>
      <c r="C461" s="7" t="n"/>
      <c r="D461" s="7" t="n"/>
      <c r="E461" s="7" t="n"/>
      <c r="F461" s="8" t="n"/>
      <c r="G461" s="7" t="n"/>
      <c r="H461" s="7" t="n"/>
      <c r="I461" s="7">
        <f>IF(C461="","",IFERROR(IF(INDEX(원생!$H:$H,MATCH(C461,원생!$A:$A,0))="예","예",""),""))</f>
        <v/>
      </c>
      <c r="J461" s="7" t="n"/>
    </row>
    <row r="462">
      <c r="A462" s="9" t="n"/>
      <c r="B462" s="7" t="n"/>
      <c r="C462" s="7" t="n"/>
      <c r="D462" s="7" t="n"/>
      <c r="E462" s="7" t="n"/>
      <c r="F462" s="8" t="n"/>
      <c r="G462" s="7" t="n"/>
      <c r="H462" s="7" t="n"/>
      <c r="I462" s="7">
        <f>IF(C462="","",IFERROR(IF(INDEX(원생!$H:$H,MATCH(C462,원생!$A:$A,0))="예","예",""),""))</f>
        <v/>
      </c>
      <c r="J462" s="7" t="n"/>
    </row>
    <row r="463">
      <c r="A463" s="9" t="n"/>
      <c r="B463" s="7" t="n"/>
      <c r="C463" s="7" t="n"/>
      <c r="D463" s="7" t="n"/>
      <c r="E463" s="7" t="n"/>
      <c r="F463" s="8" t="n"/>
      <c r="G463" s="7" t="n"/>
      <c r="H463" s="7" t="n"/>
      <c r="I463" s="7">
        <f>IF(C463="","",IFERROR(IF(INDEX(원생!$H:$H,MATCH(C463,원생!$A:$A,0))="예","예",""),""))</f>
        <v/>
      </c>
      <c r="J463" s="7" t="n"/>
    </row>
    <row r="464">
      <c r="A464" s="9" t="n"/>
      <c r="B464" s="7" t="n"/>
      <c r="C464" s="7" t="n"/>
      <c r="D464" s="7" t="n"/>
      <c r="E464" s="7" t="n"/>
      <c r="F464" s="8" t="n"/>
      <c r="G464" s="7" t="n"/>
      <c r="H464" s="7" t="n"/>
      <c r="I464" s="7">
        <f>IF(C464="","",IFERROR(IF(INDEX(원생!$H:$H,MATCH(C464,원생!$A:$A,0))="예","예",""),""))</f>
        <v/>
      </c>
      <c r="J464" s="7" t="n"/>
    </row>
    <row r="465">
      <c r="A465" s="9" t="n"/>
      <c r="B465" s="7" t="n"/>
      <c r="C465" s="7" t="n"/>
      <c r="D465" s="7" t="n"/>
      <c r="E465" s="7" t="n"/>
      <c r="F465" s="8" t="n"/>
      <c r="G465" s="7" t="n"/>
      <c r="H465" s="7" t="n"/>
      <c r="I465" s="7">
        <f>IF(C465="","",IFERROR(IF(INDEX(원생!$H:$H,MATCH(C465,원생!$A:$A,0))="예","예",""),""))</f>
        <v/>
      </c>
      <c r="J465" s="7" t="n"/>
    </row>
    <row r="466">
      <c r="A466" s="9" t="n"/>
      <c r="B466" s="7" t="n"/>
      <c r="C466" s="7" t="n"/>
      <c r="D466" s="7" t="n"/>
      <c r="E466" s="7" t="n"/>
      <c r="F466" s="8" t="n"/>
      <c r="G466" s="7" t="n"/>
      <c r="H466" s="7" t="n"/>
      <c r="I466" s="7">
        <f>IF(C466="","",IFERROR(IF(INDEX(원생!$H:$H,MATCH(C466,원생!$A:$A,0))="예","예",""),""))</f>
        <v/>
      </c>
      <c r="J466" s="7" t="n"/>
    </row>
    <row r="467">
      <c r="A467" s="9" t="n"/>
      <c r="B467" s="7" t="n"/>
      <c r="C467" s="7" t="n"/>
      <c r="D467" s="7" t="n"/>
      <c r="E467" s="7" t="n"/>
      <c r="F467" s="8" t="n"/>
      <c r="G467" s="7" t="n"/>
      <c r="H467" s="7" t="n"/>
      <c r="I467" s="7">
        <f>IF(C467="","",IFERROR(IF(INDEX(원생!$H:$H,MATCH(C467,원생!$A:$A,0))="예","예",""),""))</f>
        <v/>
      </c>
      <c r="J467" s="7" t="n"/>
    </row>
    <row r="468">
      <c r="A468" s="9" t="n"/>
      <c r="B468" s="7" t="n"/>
      <c r="C468" s="7" t="n"/>
      <c r="D468" s="7" t="n"/>
      <c r="E468" s="7" t="n"/>
      <c r="F468" s="8" t="n"/>
      <c r="G468" s="7" t="n"/>
      <c r="H468" s="7" t="n"/>
      <c r="I468" s="7">
        <f>IF(C468="","",IFERROR(IF(INDEX(원생!$H:$H,MATCH(C468,원생!$A:$A,0))="예","예",""),""))</f>
        <v/>
      </c>
      <c r="J468" s="7" t="n"/>
    </row>
    <row r="469">
      <c r="A469" s="9" t="n"/>
      <c r="B469" s="7" t="n"/>
      <c r="C469" s="7" t="n"/>
      <c r="D469" s="7" t="n"/>
      <c r="E469" s="7" t="n"/>
      <c r="F469" s="8" t="n"/>
      <c r="G469" s="7" t="n"/>
      <c r="H469" s="7" t="n"/>
      <c r="I469" s="7">
        <f>IF(C469="","",IFERROR(IF(INDEX(원생!$H:$H,MATCH(C469,원생!$A:$A,0))="예","예",""),""))</f>
        <v/>
      </c>
      <c r="J469" s="7" t="n"/>
    </row>
    <row r="470">
      <c r="A470" s="9" t="n"/>
      <c r="B470" s="7" t="n"/>
      <c r="C470" s="7" t="n"/>
      <c r="D470" s="7" t="n"/>
      <c r="E470" s="7" t="n"/>
      <c r="F470" s="8" t="n"/>
      <c r="G470" s="7" t="n"/>
      <c r="H470" s="7" t="n"/>
      <c r="I470" s="7">
        <f>IF(C470="","",IFERROR(IF(INDEX(원생!$H:$H,MATCH(C470,원생!$A:$A,0))="예","예",""),""))</f>
        <v/>
      </c>
      <c r="J470" s="7" t="n"/>
    </row>
    <row r="471">
      <c r="A471" s="9" t="n"/>
      <c r="B471" s="7" t="n"/>
      <c r="C471" s="7" t="n"/>
      <c r="D471" s="7" t="n"/>
      <c r="E471" s="7" t="n"/>
      <c r="F471" s="8" t="n"/>
      <c r="G471" s="7" t="n"/>
      <c r="H471" s="7" t="n"/>
      <c r="I471" s="7">
        <f>IF(C471="","",IFERROR(IF(INDEX(원생!$H:$H,MATCH(C471,원생!$A:$A,0))="예","예",""),""))</f>
        <v/>
      </c>
      <c r="J471" s="7" t="n"/>
    </row>
    <row r="472">
      <c r="A472" s="9" t="n"/>
      <c r="B472" s="7" t="n"/>
      <c r="C472" s="7" t="n"/>
      <c r="D472" s="7" t="n"/>
      <c r="E472" s="7" t="n"/>
      <c r="F472" s="8" t="n"/>
      <c r="G472" s="7" t="n"/>
      <c r="H472" s="7" t="n"/>
      <c r="I472" s="7">
        <f>IF(C472="","",IFERROR(IF(INDEX(원생!$H:$H,MATCH(C472,원생!$A:$A,0))="예","예",""),""))</f>
        <v/>
      </c>
      <c r="J472" s="7" t="n"/>
    </row>
    <row r="473">
      <c r="A473" s="9" t="n"/>
      <c r="B473" s="7" t="n"/>
      <c r="C473" s="7" t="n"/>
      <c r="D473" s="7" t="n"/>
      <c r="E473" s="7" t="n"/>
      <c r="F473" s="8" t="n"/>
      <c r="G473" s="7" t="n"/>
      <c r="H473" s="7" t="n"/>
      <c r="I473" s="7">
        <f>IF(C473="","",IFERROR(IF(INDEX(원생!$H:$H,MATCH(C473,원생!$A:$A,0))="예","예",""),""))</f>
        <v/>
      </c>
      <c r="J473" s="7" t="n"/>
    </row>
    <row r="474">
      <c r="A474" s="9" t="n"/>
      <c r="B474" s="7" t="n"/>
      <c r="C474" s="7" t="n"/>
      <c r="D474" s="7" t="n"/>
      <c r="E474" s="7" t="n"/>
      <c r="F474" s="8" t="n"/>
      <c r="G474" s="7" t="n"/>
      <c r="H474" s="7" t="n"/>
      <c r="I474" s="7">
        <f>IF(C474="","",IFERROR(IF(INDEX(원생!$H:$H,MATCH(C474,원생!$A:$A,0))="예","예",""),""))</f>
        <v/>
      </c>
      <c r="J474" s="7" t="n"/>
    </row>
    <row r="475">
      <c r="A475" s="9" t="n"/>
      <c r="B475" s="7" t="n"/>
      <c r="C475" s="7" t="n"/>
      <c r="D475" s="7" t="n"/>
      <c r="E475" s="7" t="n"/>
      <c r="F475" s="8" t="n"/>
      <c r="G475" s="7" t="n"/>
      <c r="H475" s="7" t="n"/>
      <c r="I475" s="7">
        <f>IF(C475="","",IFERROR(IF(INDEX(원생!$H:$H,MATCH(C475,원생!$A:$A,0))="예","예",""),""))</f>
        <v/>
      </c>
      <c r="J475" s="7" t="n"/>
    </row>
    <row r="476">
      <c r="A476" s="9" t="n"/>
      <c r="B476" s="7" t="n"/>
      <c r="C476" s="7" t="n"/>
      <c r="D476" s="7" t="n"/>
      <c r="E476" s="7" t="n"/>
      <c r="F476" s="8" t="n"/>
      <c r="G476" s="7" t="n"/>
      <c r="H476" s="7" t="n"/>
      <c r="I476" s="7">
        <f>IF(C476="","",IFERROR(IF(INDEX(원생!$H:$H,MATCH(C476,원생!$A:$A,0))="예","예",""),""))</f>
        <v/>
      </c>
      <c r="J476" s="7" t="n"/>
    </row>
    <row r="477">
      <c r="A477" s="9" t="n"/>
      <c r="B477" s="7" t="n"/>
      <c r="C477" s="7" t="n"/>
      <c r="D477" s="7" t="n"/>
      <c r="E477" s="7" t="n"/>
      <c r="F477" s="8" t="n"/>
      <c r="G477" s="7" t="n"/>
      <c r="H477" s="7" t="n"/>
      <c r="I477" s="7">
        <f>IF(C477="","",IFERROR(IF(INDEX(원생!$H:$H,MATCH(C477,원생!$A:$A,0))="예","예",""),""))</f>
        <v/>
      </c>
      <c r="J477" s="7" t="n"/>
    </row>
    <row r="478">
      <c r="A478" s="9" t="n"/>
      <c r="B478" s="7" t="n"/>
      <c r="C478" s="7" t="n"/>
      <c r="D478" s="7" t="n"/>
      <c r="E478" s="7" t="n"/>
      <c r="F478" s="8" t="n"/>
      <c r="G478" s="7" t="n"/>
      <c r="H478" s="7" t="n"/>
      <c r="I478" s="7">
        <f>IF(C478="","",IFERROR(IF(INDEX(원생!$H:$H,MATCH(C478,원생!$A:$A,0))="예","예",""),""))</f>
        <v/>
      </c>
      <c r="J478" s="7" t="n"/>
    </row>
    <row r="479">
      <c r="A479" s="9" t="n"/>
      <c r="B479" s="7" t="n"/>
      <c r="C479" s="7" t="n"/>
      <c r="D479" s="7" t="n"/>
      <c r="E479" s="7" t="n"/>
      <c r="F479" s="8" t="n"/>
      <c r="G479" s="7" t="n"/>
      <c r="H479" s="7" t="n"/>
      <c r="I479" s="7">
        <f>IF(C479="","",IFERROR(IF(INDEX(원생!$H:$H,MATCH(C479,원생!$A:$A,0))="예","예",""),""))</f>
        <v/>
      </c>
      <c r="J479" s="7" t="n"/>
    </row>
    <row r="480">
      <c r="A480" s="9" t="n"/>
      <c r="B480" s="7" t="n"/>
      <c r="C480" s="7" t="n"/>
      <c r="D480" s="7" t="n"/>
      <c r="E480" s="7" t="n"/>
      <c r="F480" s="8" t="n"/>
      <c r="G480" s="7" t="n"/>
      <c r="H480" s="7" t="n"/>
      <c r="I480" s="7">
        <f>IF(C480="","",IFERROR(IF(INDEX(원생!$H:$H,MATCH(C480,원생!$A:$A,0))="예","예",""),""))</f>
        <v/>
      </c>
      <c r="J480" s="7" t="n"/>
    </row>
    <row r="481">
      <c r="A481" s="9" t="n"/>
      <c r="B481" s="7" t="n"/>
      <c r="C481" s="7" t="n"/>
      <c r="D481" s="7" t="n"/>
      <c r="E481" s="7" t="n"/>
      <c r="F481" s="8" t="n"/>
      <c r="G481" s="7" t="n"/>
      <c r="H481" s="7" t="n"/>
      <c r="I481" s="7">
        <f>IF(C481="","",IFERROR(IF(INDEX(원생!$H:$H,MATCH(C481,원생!$A:$A,0))="예","예",""),""))</f>
        <v/>
      </c>
      <c r="J481" s="7" t="n"/>
    </row>
    <row r="482">
      <c r="A482" s="9" t="n"/>
      <c r="B482" s="7" t="n"/>
      <c r="C482" s="7" t="n"/>
      <c r="D482" s="7" t="n"/>
      <c r="E482" s="7" t="n"/>
      <c r="F482" s="8" t="n"/>
      <c r="G482" s="7" t="n"/>
      <c r="H482" s="7" t="n"/>
      <c r="I482" s="7">
        <f>IF(C482="","",IFERROR(IF(INDEX(원생!$H:$H,MATCH(C482,원생!$A:$A,0))="예","예",""),""))</f>
        <v/>
      </c>
      <c r="J482" s="7" t="n"/>
    </row>
    <row r="483">
      <c r="A483" s="9" t="n"/>
      <c r="B483" s="7" t="n"/>
      <c r="C483" s="7" t="n"/>
      <c r="D483" s="7" t="n"/>
      <c r="E483" s="7" t="n"/>
      <c r="F483" s="8" t="n"/>
      <c r="G483" s="7" t="n"/>
      <c r="H483" s="7" t="n"/>
      <c r="I483" s="7">
        <f>IF(C483="","",IFERROR(IF(INDEX(원생!$H:$H,MATCH(C483,원생!$A:$A,0))="예","예",""),""))</f>
        <v/>
      </c>
      <c r="J483" s="7" t="n"/>
    </row>
    <row r="484">
      <c r="A484" s="9" t="n"/>
      <c r="B484" s="7" t="n"/>
      <c r="C484" s="7" t="n"/>
      <c r="D484" s="7" t="n"/>
      <c r="E484" s="7" t="n"/>
      <c r="F484" s="8" t="n"/>
      <c r="G484" s="7" t="n"/>
      <c r="H484" s="7" t="n"/>
      <c r="I484" s="7">
        <f>IF(C484="","",IFERROR(IF(INDEX(원생!$H:$H,MATCH(C484,원생!$A:$A,0))="예","예",""),""))</f>
        <v/>
      </c>
      <c r="J484" s="7" t="n"/>
    </row>
    <row r="485">
      <c r="A485" s="9" t="n"/>
      <c r="B485" s="7" t="n"/>
      <c r="C485" s="7" t="n"/>
      <c r="D485" s="7" t="n"/>
      <c r="E485" s="7" t="n"/>
      <c r="F485" s="8" t="n"/>
      <c r="G485" s="7" t="n"/>
      <c r="H485" s="7" t="n"/>
      <c r="I485" s="7">
        <f>IF(C485="","",IFERROR(IF(INDEX(원생!$H:$H,MATCH(C485,원생!$A:$A,0))="예","예",""),""))</f>
        <v/>
      </c>
      <c r="J485" s="7" t="n"/>
    </row>
    <row r="486">
      <c r="A486" s="9" t="n"/>
      <c r="B486" s="7" t="n"/>
      <c r="C486" s="7" t="n"/>
      <c r="D486" s="7" t="n"/>
      <c r="E486" s="7" t="n"/>
      <c r="F486" s="8" t="n"/>
      <c r="G486" s="7" t="n"/>
      <c r="H486" s="7" t="n"/>
      <c r="I486" s="7">
        <f>IF(C486="","",IFERROR(IF(INDEX(원생!$H:$H,MATCH(C486,원생!$A:$A,0))="예","예",""),""))</f>
        <v/>
      </c>
      <c r="J486" s="7" t="n"/>
    </row>
    <row r="487">
      <c r="A487" s="9" t="n"/>
      <c r="B487" s="7" t="n"/>
      <c r="C487" s="7" t="n"/>
      <c r="D487" s="7" t="n"/>
      <c r="E487" s="7" t="n"/>
      <c r="F487" s="8" t="n"/>
      <c r="G487" s="7" t="n"/>
      <c r="H487" s="7" t="n"/>
      <c r="I487" s="7">
        <f>IF(C487="","",IFERROR(IF(INDEX(원생!$H:$H,MATCH(C487,원생!$A:$A,0))="예","예",""),""))</f>
        <v/>
      </c>
      <c r="J487" s="7" t="n"/>
    </row>
    <row r="488">
      <c r="A488" s="9" t="n"/>
      <c r="B488" s="7" t="n"/>
      <c r="C488" s="7" t="n"/>
      <c r="D488" s="7" t="n"/>
      <c r="E488" s="7" t="n"/>
      <c r="F488" s="8" t="n"/>
      <c r="G488" s="7" t="n"/>
      <c r="H488" s="7" t="n"/>
      <c r="I488" s="7">
        <f>IF(C488="","",IFERROR(IF(INDEX(원생!$H:$H,MATCH(C488,원생!$A:$A,0))="예","예",""),""))</f>
        <v/>
      </c>
      <c r="J488" s="7" t="n"/>
    </row>
    <row r="489">
      <c r="A489" s="9" t="n"/>
      <c r="B489" s="7" t="n"/>
      <c r="C489" s="7" t="n"/>
      <c r="D489" s="7" t="n"/>
      <c r="E489" s="7" t="n"/>
      <c r="F489" s="8" t="n"/>
      <c r="G489" s="7" t="n"/>
      <c r="H489" s="7" t="n"/>
      <c r="I489" s="7">
        <f>IF(C489="","",IFERROR(IF(INDEX(원생!$H:$H,MATCH(C489,원생!$A:$A,0))="예","예",""),""))</f>
        <v/>
      </c>
      <c r="J489" s="7" t="n"/>
    </row>
    <row r="490">
      <c r="A490" s="9" t="n"/>
      <c r="B490" s="7" t="n"/>
      <c r="C490" s="7" t="n"/>
      <c r="D490" s="7" t="n"/>
      <c r="E490" s="7" t="n"/>
      <c r="F490" s="8" t="n"/>
      <c r="G490" s="7" t="n"/>
      <c r="H490" s="7" t="n"/>
      <c r="I490" s="7">
        <f>IF(C490="","",IFERROR(IF(INDEX(원생!$H:$H,MATCH(C490,원생!$A:$A,0))="예","예",""),""))</f>
        <v/>
      </c>
      <c r="J490" s="7" t="n"/>
    </row>
    <row r="491">
      <c r="A491" s="9" t="n"/>
      <c r="B491" s="7" t="n"/>
      <c r="C491" s="7" t="n"/>
      <c r="D491" s="7" t="n"/>
      <c r="E491" s="7" t="n"/>
      <c r="F491" s="8" t="n"/>
      <c r="G491" s="7" t="n"/>
      <c r="H491" s="7" t="n"/>
      <c r="I491" s="7">
        <f>IF(C491="","",IFERROR(IF(INDEX(원생!$H:$H,MATCH(C491,원생!$A:$A,0))="예","예",""),""))</f>
        <v/>
      </c>
      <c r="J491" s="7" t="n"/>
    </row>
    <row r="492">
      <c r="A492" s="9" t="n"/>
      <c r="B492" s="7" t="n"/>
      <c r="C492" s="7" t="n"/>
      <c r="D492" s="7" t="n"/>
      <c r="E492" s="7" t="n"/>
      <c r="F492" s="8" t="n"/>
      <c r="G492" s="7" t="n"/>
      <c r="H492" s="7" t="n"/>
      <c r="I492" s="7">
        <f>IF(C492="","",IFERROR(IF(INDEX(원생!$H:$H,MATCH(C492,원생!$A:$A,0))="예","예",""),""))</f>
        <v/>
      </c>
      <c r="J492" s="7" t="n"/>
    </row>
    <row r="493">
      <c r="A493" s="9" t="n"/>
      <c r="B493" s="7" t="n"/>
      <c r="C493" s="7" t="n"/>
      <c r="D493" s="7" t="n"/>
      <c r="E493" s="7" t="n"/>
      <c r="F493" s="8" t="n"/>
      <c r="G493" s="7" t="n"/>
      <c r="H493" s="7" t="n"/>
      <c r="I493" s="7">
        <f>IF(C493="","",IFERROR(IF(INDEX(원생!$H:$H,MATCH(C493,원생!$A:$A,0))="예","예",""),""))</f>
        <v/>
      </c>
      <c r="J493" s="7" t="n"/>
    </row>
    <row r="494">
      <c r="A494" s="9" t="n"/>
      <c r="B494" s="7" t="n"/>
      <c r="C494" s="7" t="n"/>
      <c r="D494" s="7" t="n"/>
      <c r="E494" s="7" t="n"/>
      <c r="F494" s="8" t="n"/>
      <c r="G494" s="7" t="n"/>
      <c r="H494" s="7" t="n"/>
      <c r="I494" s="7">
        <f>IF(C494="","",IFERROR(IF(INDEX(원생!$H:$H,MATCH(C494,원생!$A:$A,0))="예","예",""),""))</f>
        <v/>
      </c>
      <c r="J494" s="7" t="n"/>
    </row>
    <row r="495">
      <c r="A495" s="9" t="n"/>
      <c r="B495" s="7" t="n"/>
      <c r="C495" s="7" t="n"/>
      <c r="D495" s="7" t="n"/>
      <c r="E495" s="7" t="n"/>
      <c r="F495" s="8" t="n"/>
      <c r="G495" s="7" t="n"/>
      <c r="H495" s="7" t="n"/>
      <c r="I495" s="7">
        <f>IF(C495="","",IFERROR(IF(INDEX(원생!$H:$H,MATCH(C495,원생!$A:$A,0))="예","예",""),""))</f>
        <v/>
      </c>
      <c r="J495" s="7" t="n"/>
    </row>
    <row r="496">
      <c r="A496" s="9" t="n"/>
      <c r="B496" s="7" t="n"/>
      <c r="C496" s="7" t="n"/>
      <c r="D496" s="7" t="n"/>
      <c r="E496" s="7" t="n"/>
      <c r="F496" s="8" t="n"/>
      <c r="G496" s="7" t="n"/>
      <c r="H496" s="7" t="n"/>
      <c r="I496" s="7">
        <f>IF(C496="","",IFERROR(IF(INDEX(원생!$H:$H,MATCH(C496,원생!$A:$A,0))="예","예",""),""))</f>
        <v/>
      </c>
      <c r="J496" s="7" t="n"/>
    </row>
    <row r="497">
      <c r="A497" s="9" t="n"/>
      <c r="B497" s="7" t="n"/>
      <c r="C497" s="7" t="n"/>
      <c r="D497" s="7" t="n"/>
      <c r="E497" s="7" t="n"/>
      <c r="F497" s="8" t="n"/>
      <c r="G497" s="7" t="n"/>
      <c r="H497" s="7" t="n"/>
      <c r="I497" s="7">
        <f>IF(C497="","",IFERROR(IF(INDEX(원생!$H:$H,MATCH(C497,원생!$A:$A,0))="예","예",""),""))</f>
        <v/>
      </c>
      <c r="J497" s="7" t="n"/>
    </row>
    <row r="498">
      <c r="A498" s="9" t="n"/>
      <c r="B498" s="7" t="n"/>
      <c r="C498" s="7" t="n"/>
      <c r="D498" s="7" t="n"/>
      <c r="E498" s="7" t="n"/>
      <c r="F498" s="8" t="n"/>
      <c r="G498" s="7" t="n"/>
      <c r="H498" s="7" t="n"/>
      <c r="I498" s="7">
        <f>IF(C498="","",IFERROR(IF(INDEX(원생!$H:$H,MATCH(C498,원생!$A:$A,0))="예","예",""),""))</f>
        <v/>
      </c>
      <c r="J498" s="7" t="n"/>
    </row>
    <row r="499">
      <c r="A499" s="9" t="n"/>
      <c r="B499" s="7" t="n"/>
      <c r="C499" s="7" t="n"/>
      <c r="D499" s="7" t="n"/>
      <c r="E499" s="7" t="n"/>
      <c r="F499" s="8" t="n"/>
      <c r="G499" s="7" t="n"/>
      <c r="H499" s="7" t="n"/>
      <c r="I499" s="7">
        <f>IF(C499="","",IFERROR(IF(INDEX(원생!$H:$H,MATCH(C499,원생!$A:$A,0))="예","예",""),""))</f>
        <v/>
      </c>
      <c r="J499" s="7" t="n"/>
    </row>
    <row r="500">
      <c r="A500" s="9" t="n"/>
      <c r="B500" s="7" t="n"/>
      <c r="C500" s="7" t="n"/>
      <c r="D500" s="7" t="n"/>
      <c r="E500" s="7" t="n"/>
      <c r="F500" s="8" t="n"/>
      <c r="G500" s="7" t="n"/>
      <c r="H500" s="7" t="n"/>
      <c r="I500" s="7">
        <f>IF(C500="","",IFERROR(IF(INDEX(원생!$H:$H,MATCH(C500,원생!$A:$A,0))="예","예",""),""))</f>
        <v/>
      </c>
      <c r="J500" s="7" t="n"/>
    </row>
    <row r="501">
      <c r="A501" s="9" t="n"/>
      <c r="B501" s="7" t="n"/>
      <c r="C501" s="7" t="n"/>
      <c r="D501" s="7" t="n"/>
      <c r="E501" s="7" t="n"/>
      <c r="F501" s="8" t="n"/>
      <c r="G501" s="7" t="n"/>
      <c r="H501" s="7" t="n"/>
      <c r="I501" s="7">
        <f>IF(C501="","",IFERROR(IF(INDEX(원생!$H:$H,MATCH(C501,원생!$A:$A,0))="예","예",""),""))</f>
        <v/>
      </c>
      <c r="J501" s="7" t="n"/>
    </row>
  </sheetData>
  <dataValidations count="4">
    <dataValidation sqref="C2:C501" showDropDown="0" showInputMessage="1" showErrorMessage="0" allowBlank="1" errorTitle="목록에 없는 값" error="목록에서 골라 주세요." promptTitle="원생" prompt="원생 시트의 이름에서 고릅니다" type="list">
      <formula1>원생!$A$2:$A$501</formula1>
    </dataValidation>
    <dataValidation sqref="E2:E501" showDropDown="0" showInputMessage="1" showErrorMessage="0" allowBlank="1" errorTitle="목록에 없는 값" error="목록에서 골라 주세요." promptTitle="수입구분" prompt="비우면 수강료" type="list">
      <formula1>"수강료,특강비,입학금,교재대,모의고사비,기타수입"</formula1>
    </dataValidation>
    <dataValidation sqref="G2:G501" showDropDown="0" showInputMessage="1" showErrorMessage="0" allowBlank="1" errorTitle="목록에 없는 값" error="목록에서 골라 주세요." promptTitle="결제수단" prompt="카드·계좌이체·현금" type="list">
      <formula1>"카드,계좌이체,현금"</formula1>
    </dataValidation>
    <dataValidation sqref="H2:H501" showDropDown="0" showInputMessage="1" showErrorMessage="0" allowBlank="1" errorTitle="목록에 없는 값" error="목록에서 골라 주세요." promptTitle="현금영수증" prompt="계좌이체·현금일 때만" type="list">
      <formula1>"발급,미발급"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007FBFA1"/>
    <outlinePr summaryBelow="1" summaryRight="1"/>
    <pageSetUpPr/>
  </sheetPr>
  <dimension ref="A1:AA512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2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</cols>
  <sheetData>
    <row r="1">
      <c r="A1" s="10" t="inlineStr">
        <is>
          <t>연도</t>
        </is>
      </c>
      <c r="B1" s="11" t="n">
        <v>2026</v>
      </c>
      <c r="C1" s="2" t="inlineStr">
        <is>
          <t>← 연도를 바꾸면 아래가 다시 계산됩니다. 수강료(수입구분)만 셉니다.</t>
        </is>
      </c>
    </row>
    <row r="3">
      <c r="A3" s="12" t="inlineStr">
        <is>
          <t>원생</t>
        </is>
      </c>
      <c r="B3" s="12" t="inlineStr">
        <is>
          <t>월 수강료</t>
        </is>
      </c>
      <c r="C3" s="12" t="inlineStr">
        <is>
          <t>1월</t>
        </is>
      </c>
      <c r="D3" s="12" t="inlineStr">
        <is>
          <t>2월</t>
        </is>
      </c>
      <c r="E3" s="12" t="inlineStr">
        <is>
          <t>3월</t>
        </is>
      </c>
      <c r="F3" s="12" t="inlineStr">
        <is>
          <t>4월</t>
        </is>
      </c>
      <c r="G3" s="12" t="inlineStr">
        <is>
          <t>5월</t>
        </is>
      </c>
      <c r="H3" s="12" t="inlineStr">
        <is>
          <t>6월</t>
        </is>
      </c>
      <c r="I3" s="12" t="inlineStr">
        <is>
          <t>7월</t>
        </is>
      </c>
      <c r="J3" s="12" t="inlineStr">
        <is>
          <t>8월</t>
        </is>
      </c>
      <c r="K3" s="12" t="inlineStr">
        <is>
          <t>9월</t>
        </is>
      </c>
      <c r="L3" s="12" t="inlineStr">
        <is>
          <t>10월</t>
        </is>
      </c>
      <c r="M3" s="12" t="inlineStr">
        <is>
          <t>11월</t>
        </is>
      </c>
      <c r="N3" s="12" t="inlineStr">
        <is>
          <t>12월</t>
        </is>
      </c>
    </row>
    <row r="4">
      <c r="A4" s="13">
        <f>IF(원생!$A2="","",원생!$A2&amp;IF(원생!$G2="",""," ("&amp;원생!$G2&amp;")"))</f>
        <v/>
      </c>
      <c r="B4" s="8">
        <f>IF(원생!$A2="","",원생!$F2)</f>
        <v/>
      </c>
      <c r="C4" s="14">
        <f>IF(원생!$A2="","",SUMIFS(수납!$F:$F,수납!$C:$C,원생!$A2,수납!$D:$D,IF(원생!$G2="","",원생!$G2),수납!$B:$B,$B$1&amp;"-"&amp;TEXT(1,"00")&amp;"*",수납!$E:$E,"수강료")+SUMIFS(수납!$F:$F,수납!$C:$C,원생!$A2,수납!$D:$D,IF(원생!$G2="","",원생!$G2),수납!$B:$B,$B$1&amp;"-"&amp;TEXT(1,"00")&amp;"*",수납!$E:$E,""))</f>
        <v/>
      </c>
      <c r="D4" s="14">
        <f>IF(원생!$A2="","",SUMIFS(수납!$F:$F,수납!$C:$C,원생!$A2,수납!$D:$D,IF(원생!$G2="","",원생!$G2),수납!$B:$B,$B$1&amp;"-"&amp;TEXT(2,"00")&amp;"*",수납!$E:$E,"수강료")+SUMIFS(수납!$F:$F,수납!$C:$C,원생!$A2,수납!$D:$D,IF(원생!$G2="","",원생!$G2),수납!$B:$B,$B$1&amp;"-"&amp;TEXT(2,"00")&amp;"*",수납!$E:$E,""))</f>
        <v/>
      </c>
      <c r="E4" s="14">
        <f>IF(원생!$A2="","",SUMIFS(수납!$F:$F,수납!$C:$C,원생!$A2,수납!$D:$D,IF(원생!$G2="","",원생!$G2),수납!$B:$B,$B$1&amp;"-"&amp;TEXT(3,"00")&amp;"*",수납!$E:$E,"수강료")+SUMIFS(수납!$F:$F,수납!$C:$C,원생!$A2,수납!$D:$D,IF(원생!$G2="","",원생!$G2),수납!$B:$B,$B$1&amp;"-"&amp;TEXT(3,"00")&amp;"*",수납!$E:$E,""))</f>
        <v/>
      </c>
      <c r="F4" s="14">
        <f>IF(원생!$A2="","",SUMIFS(수납!$F:$F,수납!$C:$C,원생!$A2,수납!$D:$D,IF(원생!$G2="","",원생!$G2),수납!$B:$B,$B$1&amp;"-"&amp;TEXT(4,"00")&amp;"*",수납!$E:$E,"수강료")+SUMIFS(수납!$F:$F,수납!$C:$C,원생!$A2,수납!$D:$D,IF(원생!$G2="","",원생!$G2),수납!$B:$B,$B$1&amp;"-"&amp;TEXT(4,"00")&amp;"*",수납!$E:$E,""))</f>
        <v/>
      </c>
      <c r="G4" s="14">
        <f>IF(원생!$A2="","",SUMIFS(수납!$F:$F,수납!$C:$C,원생!$A2,수납!$D:$D,IF(원생!$G2="","",원생!$G2),수납!$B:$B,$B$1&amp;"-"&amp;TEXT(5,"00")&amp;"*",수납!$E:$E,"수강료")+SUMIFS(수납!$F:$F,수납!$C:$C,원생!$A2,수납!$D:$D,IF(원생!$G2="","",원생!$G2),수납!$B:$B,$B$1&amp;"-"&amp;TEXT(5,"00")&amp;"*",수납!$E:$E,""))</f>
        <v/>
      </c>
      <c r="H4" s="14">
        <f>IF(원생!$A2="","",SUMIFS(수납!$F:$F,수납!$C:$C,원생!$A2,수납!$D:$D,IF(원생!$G2="","",원생!$G2),수납!$B:$B,$B$1&amp;"-"&amp;TEXT(6,"00")&amp;"*",수납!$E:$E,"수강료")+SUMIFS(수납!$F:$F,수납!$C:$C,원생!$A2,수납!$D:$D,IF(원생!$G2="","",원생!$G2),수납!$B:$B,$B$1&amp;"-"&amp;TEXT(6,"00")&amp;"*",수납!$E:$E,""))</f>
        <v/>
      </c>
      <c r="I4" s="14">
        <f>IF(원생!$A2="","",SUMIFS(수납!$F:$F,수납!$C:$C,원생!$A2,수납!$D:$D,IF(원생!$G2="","",원생!$G2),수납!$B:$B,$B$1&amp;"-"&amp;TEXT(7,"00")&amp;"*",수납!$E:$E,"수강료")+SUMIFS(수납!$F:$F,수납!$C:$C,원생!$A2,수납!$D:$D,IF(원생!$G2="","",원생!$G2),수납!$B:$B,$B$1&amp;"-"&amp;TEXT(7,"00")&amp;"*",수납!$E:$E,""))</f>
        <v/>
      </c>
      <c r="J4" s="14">
        <f>IF(원생!$A2="","",SUMIFS(수납!$F:$F,수납!$C:$C,원생!$A2,수납!$D:$D,IF(원생!$G2="","",원생!$G2),수납!$B:$B,$B$1&amp;"-"&amp;TEXT(8,"00")&amp;"*",수납!$E:$E,"수강료")+SUMIFS(수납!$F:$F,수납!$C:$C,원생!$A2,수납!$D:$D,IF(원생!$G2="","",원생!$G2),수납!$B:$B,$B$1&amp;"-"&amp;TEXT(8,"00")&amp;"*",수납!$E:$E,""))</f>
        <v/>
      </c>
      <c r="K4" s="14">
        <f>IF(원생!$A2="","",SUMIFS(수납!$F:$F,수납!$C:$C,원생!$A2,수납!$D:$D,IF(원생!$G2="","",원생!$G2),수납!$B:$B,$B$1&amp;"-"&amp;TEXT(9,"00")&amp;"*",수납!$E:$E,"수강료")+SUMIFS(수납!$F:$F,수납!$C:$C,원생!$A2,수납!$D:$D,IF(원생!$G2="","",원생!$G2),수납!$B:$B,$B$1&amp;"-"&amp;TEXT(9,"00")&amp;"*",수납!$E:$E,""))</f>
        <v/>
      </c>
      <c r="L4" s="14">
        <f>IF(원생!$A2="","",SUMIFS(수납!$F:$F,수납!$C:$C,원생!$A2,수납!$D:$D,IF(원생!$G2="","",원생!$G2),수납!$B:$B,$B$1&amp;"-"&amp;TEXT(10,"00")&amp;"*",수납!$E:$E,"수강료")+SUMIFS(수납!$F:$F,수납!$C:$C,원생!$A2,수납!$D:$D,IF(원생!$G2="","",원생!$G2),수납!$B:$B,$B$1&amp;"-"&amp;TEXT(10,"00")&amp;"*",수납!$E:$E,""))</f>
        <v/>
      </c>
      <c r="M4" s="14">
        <f>IF(원생!$A2="","",SUMIFS(수납!$F:$F,수납!$C:$C,원생!$A2,수납!$D:$D,IF(원생!$G2="","",원생!$G2),수납!$B:$B,$B$1&amp;"-"&amp;TEXT(11,"00")&amp;"*",수납!$E:$E,"수강료")+SUMIFS(수납!$F:$F,수납!$C:$C,원생!$A2,수납!$D:$D,IF(원생!$G2="","",원생!$G2),수납!$B:$B,$B$1&amp;"-"&amp;TEXT(11,"00")&amp;"*",수납!$E:$E,""))</f>
        <v/>
      </c>
      <c r="N4" s="14">
        <f>IF(원생!$A2="","",SUMIFS(수납!$F:$F,수납!$C:$C,원생!$A2,수납!$D:$D,IF(원생!$G2="","",원생!$G2),수납!$B:$B,$B$1&amp;"-"&amp;TEXT(12,"00")&amp;"*",수납!$E:$E,"수강료")+SUMIFS(수납!$F:$F,수납!$C:$C,원생!$A2,수납!$D:$D,IF(원생!$G2="","",원생!$G2),수납!$B:$B,$B$1&amp;"-"&amp;TEXT(12,"00")&amp;"*",수납!$E:$E,""))</f>
        <v/>
      </c>
      <c r="O4">
        <f>IF(원생!$I2="","",원생!$I2)</f>
        <v/>
      </c>
      <c r="P4">
        <f>IF($A4="","",IF(AND($B4&gt;0,C4&lt;$B4,DATE($B$1,1,1)&lt;=TODAY(),OR($O4="",$O4&gt;=DATE($B$1,1,1)),OR(COUNTIF($C4:C4,"&gt;0")&gt;0,DATE($B$1,1,1)=DATE(YEAR(TODAY()),MONTH(TODAY()),1))),1,0))</f>
        <v/>
      </c>
      <c r="Q4">
        <f>IF($A4="","",IF(AND($B4&gt;0,D4&lt;$B4,DATE($B$1,2,1)&lt;=TODAY(),OR($O4="",$O4&gt;=DATE($B$1,2,1)),OR(COUNTIF($C4:D4,"&gt;0")&gt;0,DATE($B$1,2,1)=DATE(YEAR(TODAY()),MONTH(TODAY()),1))),1,0))</f>
        <v/>
      </c>
      <c r="R4">
        <f>IF($A4="","",IF(AND($B4&gt;0,E4&lt;$B4,DATE($B$1,3,1)&lt;=TODAY(),OR($O4="",$O4&gt;=DATE($B$1,3,1)),OR(COUNTIF($C4:E4,"&gt;0")&gt;0,DATE($B$1,3,1)=DATE(YEAR(TODAY()),MONTH(TODAY()),1))),1,0))</f>
        <v/>
      </c>
      <c r="S4">
        <f>IF($A4="","",IF(AND($B4&gt;0,F4&lt;$B4,DATE($B$1,4,1)&lt;=TODAY(),OR($O4="",$O4&gt;=DATE($B$1,4,1)),OR(COUNTIF($C4:F4,"&gt;0")&gt;0,DATE($B$1,4,1)=DATE(YEAR(TODAY()),MONTH(TODAY()),1))),1,0))</f>
        <v/>
      </c>
      <c r="T4">
        <f>IF($A4="","",IF(AND($B4&gt;0,G4&lt;$B4,DATE($B$1,5,1)&lt;=TODAY(),OR($O4="",$O4&gt;=DATE($B$1,5,1)),OR(COUNTIF($C4:G4,"&gt;0")&gt;0,DATE($B$1,5,1)=DATE(YEAR(TODAY()),MONTH(TODAY()),1))),1,0))</f>
        <v/>
      </c>
      <c r="U4">
        <f>IF($A4="","",IF(AND($B4&gt;0,H4&lt;$B4,DATE($B$1,6,1)&lt;=TODAY(),OR($O4="",$O4&gt;=DATE($B$1,6,1)),OR(COUNTIF($C4:H4,"&gt;0")&gt;0,DATE($B$1,6,1)=DATE(YEAR(TODAY()),MONTH(TODAY()),1))),1,0))</f>
        <v/>
      </c>
      <c r="V4">
        <f>IF($A4="","",IF(AND($B4&gt;0,I4&lt;$B4,DATE($B$1,7,1)&lt;=TODAY(),OR($O4="",$O4&gt;=DATE($B$1,7,1)),OR(COUNTIF($C4:I4,"&gt;0")&gt;0,DATE($B$1,7,1)=DATE(YEAR(TODAY()),MONTH(TODAY()),1))),1,0))</f>
        <v/>
      </c>
      <c r="W4">
        <f>IF($A4="","",IF(AND($B4&gt;0,J4&lt;$B4,DATE($B$1,8,1)&lt;=TODAY(),OR($O4="",$O4&gt;=DATE($B$1,8,1)),OR(COUNTIF($C4:J4,"&gt;0")&gt;0,DATE($B$1,8,1)=DATE(YEAR(TODAY()),MONTH(TODAY()),1))),1,0))</f>
        <v/>
      </c>
      <c r="X4">
        <f>IF($A4="","",IF(AND($B4&gt;0,K4&lt;$B4,DATE($B$1,9,1)&lt;=TODAY(),OR($O4="",$O4&gt;=DATE($B$1,9,1)),OR(COUNTIF($C4:K4,"&gt;0")&gt;0,DATE($B$1,9,1)=DATE(YEAR(TODAY()),MONTH(TODAY()),1))),1,0))</f>
        <v/>
      </c>
      <c r="Y4">
        <f>IF($A4="","",IF(AND($B4&gt;0,L4&lt;$B4,DATE($B$1,10,1)&lt;=TODAY(),OR($O4="",$O4&gt;=DATE($B$1,10,1)),OR(COUNTIF($C4:L4,"&gt;0")&gt;0,DATE($B$1,10,1)=DATE(YEAR(TODAY()),MONTH(TODAY()),1))),1,0))</f>
        <v/>
      </c>
      <c r="Z4">
        <f>IF($A4="","",IF(AND($B4&gt;0,M4&lt;$B4,DATE($B$1,11,1)&lt;=TODAY(),OR($O4="",$O4&gt;=DATE($B$1,11,1)),OR(COUNTIF($C4:M4,"&gt;0")&gt;0,DATE($B$1,11,1)=DATE(YEAR(TODAY()),MONTH(TODAY()),1))),1,0))</f>
        <v/>
      </c>
      <c r="AA4">
        <f>IF($A4="","",IF(AND($B4&gt;0,N4&lt;$B4,DATE($B$1,12,1)&lt;=TODAY(),OR($O4="",$O4&gt;=DATE($B$1,12,1)),OR(COUNTIF($C4:N4,"&gt;0")&gt;0,DATE($B$1,12,1)=DATE(YEAR(TODAY()),MONTH(TODAY()),1))),1,0))</f>
        <v/>
      </c>
    </row>
    <row r="5">
      <c r="A5" s="13">
        <f>IF(원생!$A3="","",원생!$A3&amp;IF(원생!$G3="",""," ("&amp;원생!$G3&amp;")"))</f>
        <v/>
      </c>
      <c r="B5" s="8">
        <f>IF(원생!$A3="","",원생!$F3)</f>
        <v/>
      </c>
      <c r="C5" s="14">
        <f>IF(원생!$A3="","",SUMIFS(수납!$F:$F,수납!$C:$C,원생!$A3,수납!$D:$D,IF(원생!$G3="","",원생!$G3),수납!$B:$B,$B$1&amp;"-"&amp;TEXT(1,"00")&amp;"*",수납!$E:$E,"수강료")+SUMIFS(수납!$F:$F,수납!$C:$C,원생!$A3,수납!$D:$D,IF(원생!$G3="","",원생!$G3),수납!$B:$B,$B$1&amp;"-"&amp;TEXT(1,"00")&amp;"*",수납!$E:$E,""))</f>
        <v/>
      </c>
      <c r="D5" s="14">
        <f>IF(원생!$A3="","",SUMIFS(수납!$F:$F,수납!$C:$C,원생!$A3,수납!$D:$D,IF(원생!$G3="","",원생!$G3),수납!$B:$B,$B$1&amp;"-"&amp;TEXT(2,"00")&amp;"*",수납!$E:$E,"수강료")+SUMIFS(수납!$F:$F,수납!$C:$C,원생!$A3,수납!$D:$D,IF(원생!$G3="","",원생!$G3),수납!$B:$B,$B$1&amp;"-"&amp;TEXT(2,"00")&amp;"*",수납!$E:$E,""))</f>
        <v/>
      </c>
      <c r="E5" s="14">
        <f>IF(원생!$A3="","",SUMIFS(수납!$F:$F,수납!$C:$C,원생!$A3,수납!$D:$D,IF(원생!$G3="","",원생!$G3),수납!$B:$B,$B$1&amp;"-"&amp;TEXT(3,"00")&amp;"*",수납!$E:$E,"수강료")+SUMIFS(수납!$F:$F,수납!$C:$C,원생!$A3,수납!$D:$D,IF(원생!$G3="","",원생!$G3),수납!$B:$B,$B$1&amp;"-"&amp;TEXT(3,"00")&amp;"*",수납!$E:$E,""))</f>
        <v/>
      </c>
      <c r="F5" s="14">
        <f>IF(원생!$A3="","",SUMIFS(수납!$F:$F,수납!$C:$C,원생!$A3,수납!$D:$D,IF(원생!$G3="","",원생!$G3),수납!$B:$B,$B$1&amp;"-"&amp;TEXT(4,"00")&amp;"*",수납!$E:$E,"수강료")+SUMIFS(수납!$F:$F,수납!$C:$C,원생!$A3,수납!$D:$D,IF(원생!$G3="","",원생!$G3),수납!$B:$B,$B$1&amp;"-"&amp;TEXT(4,"00")&amp;"*",수납!$E:$E,""))</f>
        <v/>
      </c>
      <c r="G5" s="14">
        <f>IF(원생!$A3="","",SUMIFS(수납!$F:$F,수납!$C:$C,원생!$A3,수납!$D:$D,IF(원생!$G3="","",원생!$G3),수납!$B:$B,$B$1&amp;"-"&amp;TEXT(5,"00")&amp;"*",수납!$E:$E,"수강료")+SUMIFS(수납!$F:$F,수납!$C:$C,원생!$A3,수납!$D:$D,IF(원생!$G3="","",원생!$G3),수납!$B:$B,$B$1&amp;"-"&amp;TEXT(5,"00")&amp;"*",수납!$E:$E,""))</f>
        <v/>
      </c>
      <c r="H5" s="14">
        <f>IF(원생!$A3="","",SUMIFS(수납!$F:$F,수납!$C:$C,원생!$A3,수납!$D:$D,IF(원생!$G3="","",원생!$G3),수납!$B:$B,$B$1&amp;"-"&amp;TEXT(6,"00")&amp;"*",수납!$E:$E,"수강료")+SUMIFS(수납!$F:$F,수납!$C:$C,원생!$A3,수납!$D:$D,IF(원생!$G3="","",원생!$G3),수납!$B:$B,$B$1&amp;"-"&amp;TEXT(6,"00")&amp;"*",수납!$E:$E,""))</f>
        <v/>
      </c>
      <c r="I5" s="14">
        <f>IF(원생!$A3="","",SUMIFS(수납!$F:$F,수납!$C:$C,원생!$A3,수납!$D:$D,IF(원생!$G3="","",원생!$G3),수납!$B:$B,$B$1&amp;"-"&amp;TEXT(7,"00")&amp;"*",수납!$E:$E,"수강료")+SUMIFS(수납!$F:$F,수납!$C:$C,원생!$A3,수납!$D:$D,IF(원생!$G3="","",원생!$G3),수납!$B:$B,$B$1&amp;"-"&amp;TEXT(7,"00")&amp;"*",수납!$E:$E,""))</f>
        <v/>
      </c>
      <c r="J5" s="14">
        <f>IF(원생!$A3="","",SUMIFS(수납!$F:$F,수납!$C:$C,원생!$A3,수납!$D:$D,IF(원생!$G3="","",원생!$G3),수납!$B:$B,$B$1&amp;"-"&amp;TEXT(8,"00")&amp;"*",수납!$E:$E,"수강료")+SUMIFS(수납!$F:$F,수납!$C:$C,원생!$A3,수납!$D:$D,IF(원생!$G3="","",원생!$G3),수납!$B:$B,$B$1&amp;"-"&amp;TEXT(8,"00")&amp;"*",수납!$E:$E,""))</f>
        <v/>
      </c>
      <c r="K5" s="14">
        <f>IF(원생!$A3="","",SUMIFS(수납!$F:$F,수납!$C:$C,원생!$A3,수납!$D:$D,IF(원생!$G3="","",원생!$G3),수납!$B:$B,$B$1&amp;"-"&amp;TEXT(9,"00")&amp;"*",수납!$E:$E,"수강료")+SUMIFS(수납!$F:$F,수납!$C:$C,원생!$A3,수납!$D:$D,IF(원생!$G3="","",원생!$G3),수납!$B:$B,$B$1&amp;"-"&amp;TEXT(9,"00")&amp;"*",수납!$E:$E,""))</f>
        <v/>
      </c>
      <c r="L5" s="14">
        <f>IF(원생!$A3="","",SUMIFS(수납!$F:$F,수납!$C:$C,원생!$A3,수납!$D:$D,IF(원생!$G3="","",원생!$G3),수납!$B:$B,$B$1&amp;"-"&amp;TEXT(10,"00")&amp;"*",수납!$E:$E,"수강료")+SUMIFS(수납!$F:$F,수납!$C:$C,원생!$A3,수납!$D:$D,IF(원생!$G3="","",원생!$G3),수납!$B:$B,$B$1&amp;"-"&amp;TEXT(10,"00")&amp;"*",수납!$E:$E,""))</f>
        <v/>
      </c>
      <c r="M5" s="14">
        <f>IF(원생!$A3="","",SUMIFS(수납!$F:$F,수납!$C:$C,원생!$A3,수납!$D:$D,IF(원생!$G3="","",원생!$G3),수납!$B:$B,$B$1&amp;"-"&amp;TEXT(11,"00")&amp;"*",수납!$E:$E,"수강료")+SUMIFS(수납!$F:$F,수납!$C:$C,원생!$A3,수납!$D:$D,IF(원생!$G3="","",원생!$G3),수납!$B:$B,$B$1&amp;"-"&amp;TEXT(11,"00")&amp;"*",수납!$E:$E,""))</f>
        <v/>
      </c>
      <c r="N5" s="14">
        <f>IF(원생!$A3="","",SUMIFS(수납!$F:$F,수납!$C:$C,원생!$A3,수납!$D:$D,IF(원생!$G3="","",원생!$G3),수납!$B:$B,$B$1&amp;"-"&amp;TEXT(12,"00")&amp;"*",수납!$E:$E,"수강료")+SUMIFS(수납!$F:$F,수납!$C:$C,원생!$A3,수납!$D:$D,IF(원생!$G3="","",원생!$G3),수납!$B:$B,$B$1&amp;"-"&amp;TEXT(12,"00")&amp;"*",수납!$E:$E,""))</f>
        <v/>
      </c>
      <c r="O5">
        <f>IF(원생!$I3="","",원생!$I3)</f>
        <v/>
      </c>
      <c r="P5">
        <f>IF($A5="","",IF(AND($B5&gt;0,C5&lt;$B5,DATE($B$1,1,1)&lt;=TODAY(),OR($O5="",$O5&gt;=DATE($B$1,1,1)),OR(COUNTIF($C5:C5,"&gt;0")&gt;0,DATE($B$1,1,1)=DATE(YEAR(TODAY()),MONTH(TODAY()),1))),1,0))</f>
        <v/>
      </c>
      <c r="Q5">
        <f>IF($A5="","",IF(AND($B5&gt;0,D5&lt;$B5,DATE($B$1,2,1)&lt;=TODAY(),OR($O5="",$O5&gt;=DATE($B$1,2,1)),OR(COUNTIF($C5:D5,"&gt;0")&gt;0,DATE($B$1,2,1)=DATE(YEAR(TODAY()),MONTH(TODAY()),1))),1,0))</f>
        <v/>
      </c>
      <c r="R5">
        <f>IF($A5="","",IF(AND($B5&gt;0,E5&lt;$B5,DATE($B$1,3,1)&lt;=TODAY(),OR($O5="",$O5&gt;=DATE($B$1,3,1)),OR(COUNTIF($C5:E5,"&gt;0")&gt;0,DATE($B$1,3,1)=DATE(YEAR(TODAY()),MONTH(TODAY()),1))),1,0))</f>
        <v/>
      </c>
      <c r="S5">
        <f>IF($A5="","",IF(AND($B5&gt;0,F5&lt;$B5,DATE($B$1,4,1)&lt;=TODAY(),OR($O5="",$O5&gt;=DATE($B$1,4,1)),OR(COUNTIF($C5:F5,"&gt;0")&gt;0,DATE($B$1,4,1)=DATE(YEAR(TODAY()),MONTH(TODAY()),1))),1,0))</f>
        <v/>
      </c>
      <c r="T5">
        <f>IF($A5="","",IF(AND($B5&gt;0,G5&lt;$B5,DATE($B$1,5,1)&lt;=TODAY(),OR($O5="",$O5&gt;=DATE($B$1,5,1)),OR(COUNTIF($C5:G5,"&gt;0")&gt;0,DATE($B$1,5,1)=DATE(YEAR(TODAY()),MONTH(TODAY()),1))),1,0))</f>
        <v/>
      </c>
      <c r="U5">
        <f>IF($A5="","",IF(AND($B5&gt;0,H5&lt;$B5,DATE($B$1,6,1)&lt;=TODAY(),OR($O5="",$O5&gt;=DATE($B$1,6,1)),OR(COUNTIF($C5:H5,"&gt;0")&gt;0,DATE($B$1,6,1)=DATE(YEAR(TODAY()),MONTH(TODAY()),1))),1,0))</f>
        <v/>
      </c>
      <c r="V5">
        <f>IF($A5="","",IF(AND($B5&gt;0,I5&lt;$B5,DATE($B$1,7,1)&lt;=TODAY(),OR($O5="",$O5&gt;=DATE($B$1,7,1)),OR(COUNTIF($C5:I5,"&gt;0")&gt;0,DATE($B$1,7,1)=DATE(YEAR(TODAY()),MONTH(TODAY()),1))),1,0))</f>
        <v/>
      </c>
      <c r="W5">
        <f>IF($A5="","",IF(AND($B5&gt;0,J5&lt;$B5,DATE($B$1,8,1)&lt;=TODAY(),OR($O5="",$O5&gt;=DATE($B$1,8,1)),OR(COUNTIF($C5:J5,"&gt;0")&gt;0,DATE($B$1,8,1)=DATE(YEAR(TODAY()),MONTH(TODAY()),1))),1,0))</f>
        <v/>
      </c>
      <c r="X5">
        <f>IF($A5="","",IF(AND($B5&gt;0,K5&lt;$B5,DATE($B$1,9,1)&lt;=TODAY(),OR($O5="",$O5&gt;=DATE($B$1,9,1)),OR(COUNTIF($C5:K5,"&gt;0")&gt;0,DATE($B$1,9,1)=DATE(YEAR(TODAY()),MONTH(TODAY()),1))),1,0))</f>
        <v/>
      </c>
      <c r="Y5">
        <f>IF($A5="","",IF(AND($B5&gt;0,L5&lt;$B5,DATE($B$1,10,1)&lt;=TODAY(),OR($O5="",$O5&gt;=DATE($B$1,10,1)),OR(COUNTIF($C5:L5,"&gt;0")&gt;0,DATE($B$1,10,1)=DATE(YEAR(TODAY()),MONTH(TODAY()),1))),1,0))</f>
        <v/>
      </c>
      <c r="Z5">
        <f>IF($A5="","",IF(AND($B5&gt;0,M5&lt;$B5,DATE($B$1,11,1)&lt;=TODAY(),OR($O5="",$O5&gt;=DATE($B$1,11,1)),OR(COUNTIF($C5:M5,"&gt;0")&gt;0,DATE($B$1,11,1)=DATE(YEAR(TODAY()),MONTH(TODAY()),1))),1,0))</f>
        <v/>
      </c>
      <c r="AA5">
        <f>IF($A5="","",IF(AND($B5&gt;0,N5&lt;$B5,DATE($B$1,12,1)&lt;=TODAY(),OR($O5="",$O5&gt;=DATE($B$1,12,1)),OR(COUNTIF($C5:N5,"&gt;0")&gt;0,DATE($B$1,12,1)=DATE(YEAR(TODAY()),MONTH(TODAY()),1))),1,0))</f>
        <v/>
      </c>
    </row>
    <row r="6">
      <c r="A6" s="13">
        <f>IF(원생!$A4="","",원생!$A4&amp;IF(원생!$G4="",""," ("&amp;원생!$G4&amp;")"))</f>
        <v/>
      </c>
      <c r="B6" s="8">
        <f>IF(원생!$A4="","",원생!$F4)</f>
        <v/>
      </c>
      <c r="C6" s="14">
        <f>IF(원생!$A4="","",SUMIFS(수납!$F:$F,수납!$C:$C,원생!$A4,수납!$D:$D,IF(원생!$G4="","",원생!$G4),수납!$B:$B,$B$1&amp;"-"&amp;TEXT(1,"00")&amp;"*",수납!$E:$E,"수강료")+SUMIFS(수납!$F:$F,수납!$C:$C,원생!$A4,수납!$D:$D,IF(원생!$G4="","",원생!$G4),수납!$B:$B,$B$1&amp;"-"&amp;TEXT(1,"00")&amp;"*",수납!$E:$E,""))</f>
        <v/>
      </c>
      <c r="D6" s="14">
        <f>IF(원생!$A4="","",SUMIFS(수납!$F:$F,수납!$C:$C,원생!$A4,수납!$D:$D,IF(원생!$G4="","",원생!$G4),수납!$B:$B,$B$1&amp;"-"&amp;TEXT(2,"00")&amp;"*",수납!$E:$E,"수강료")+SUMIFS(수납!$F:$F,수납!$C:$C,원생!$A4,수납!$D:$D,IF(원생!$G4="","",원생!$G4),수납!$B:$B,$B$1&amp;"-"&amp;TEXT(2,"00")&amp;"*",수납!$E:$E,""))</f>
        <v/>
      </c>
      <c r="E6" s="14">
        <f>IF(원생!$A4="","",SUMIFS(수납!$F:$F,수납!$C:$C,원생!$A4,수납!$D:$D,IF(원생!$G4="","",원생!$G4),수납!$B:$B,$B$1&amp;"-"&amp;TEXT(3,"00")&amp;"*",수납!$E:$E,"수강료")+SUMIFS(수납!$F:$F,수납!$C:$C,원생!$A4,수납!$D:$D,IF(원생!$G4="","",원생!$G4),수납!$B:$B,$B$1&amp;"-"&amp;TEXT(3,"00")&amp;"*",수납!$E:$E,""))</f>
        <v/>
      </c>
      <c r="F6" s="14">
        <f>IF(원생!$A4="","",SUMIFS(수납!$F:$F,수납!$C:$C,원생!$A4,수납!$D:$D,IF(원생!$G4="","",원생!$G4),수납!$B:$B,$B$1&amp;"-"&amp;TEXT(4,"00")&amp;"*",수납!$E:$E,"수강료")+SUMIFS(수납!$F:$F,수납!$C:$C,원생!$A4,수납!$D:$D,IF(원생!$G4="","",원생!$G4),수납!$B:$B,$B$1&amp;"-"&amp;TEXT(4,"00")&amp;"*",수납!$E:$E,""))</f>
        <v/>
      </c>
      <c r="G6" s="14">
        <f>IF(원생!$A4="","",SUMIFS(수납!$F:$F,수납!$C:$C,원생!$A4,수납!$D:$D,IF(원생!$G4="","",원생!$G4),수납!$B:$B,$B$1&amp;"-"&amp;TEXT(5,"00")&amp;"*",수납!$E:$E,"수강료")+SUMIFS(수납!$F:$F,수납!$C:$C,원생!$A4,수납!$D:$D,IF(원생!$G4="","",원생!$G4),수납!$B:$B,$B$1&amp;"-"&amp;TEXT(5,"00")&amp;"*",수납!$E:$E,""))</f>
        <v/>
      </c>
      <c r="H6" s="14">
        <f>IF(원생!$A4="","",SUMIFS(수납!$F:$F,수납!$C:$C,원생!$A4,수납!$D:$D,IF(원생!$G4="","",원생!$G4),수납!$B:$B,$B$1&amp;"-"&amp;TEXT(6,"00")&amp;"*",수납!$E:$E,"수강료")+SUMIFS(수납!$F:$F,수납!$C:$C,원생!$A4,수납!$D:$D,IF(원생!$G4="","",원생!$G4),수납!$B:$B,$B$1&amp;"-"&amp;TEXT(6,"00")&amp;"*",수납!$E:$E,""))</f>
        <v/>
      </c>
      <c r="I6" s="14">
        <f>IF(원생!$A4="","",SUMIFS(수납!$F:$F,수납!$C:$C,원생!$A4,수납!$D:$D,IF(원생!$G4="","",원생!$G4),수납!$B:$B,$B$1&amp;"-"&amp;TEXT(7,"00")&amp;"*",수납!$E:$E,"수강료")+SUMIFS(수납!$F:$F,수납!$C:$C,원생!$A4,수납!$D:$D,IF(원생!$G4="","",원생!$G4),수납!$B:$B,$B$1&amp;"-"&amp;TEXT(7,"00")&amp;"*",수납!$E:$E,""))</f>
        <v/>
      </c>
      <c r="J6" s="14">
        <f>IF(원생!$A4="","",SUMIFS(수납!$F:$F,수납!$C:$C,원생!$A4,수납!$D:$D,IF(원생!$G4="","",원생!$G4),수납!$B:$B,$B$1&amp;"-"&amp;TEXT(8,"00")&amp;"*",수납!$E:$E,"수강료")+SUMIFS(수납!$F:$F,수납!$C:$C,원생!$A4,수납!$D:$D,IF(원생!$G4="","",원생!$G4),수납!$B:$B,$B$1&amp;"-"&amp;TEXT(8,"00")&amp;"*",수납!$E:$E,""))</f>
        <v/>
      </c>
      <c r="K6" s="14">
        <f>IF(원생!$A4="","",SUMIFS(수납!$F:$F,수납!$C:$C,원생!$A4,수납!$D:$D,IF(원생!$G4="","",원생!$G4),수납!$B:$B,$B$1&amp;"-"&amp;TEXT(9,"00")&amp;"*",수납!$E:$E,"수강료")+SUMIFS(수납!$F:$F,수납!$C:$C,원생!$A4,수납!$D:$D,IF(원생!$G4="","",원생!$G4),수납!$B:$B,$B$1&amp;"-"&amp;TEXT(9,"00")&amp;"*",수납!$E:$E,""))</f>
        <v/>
      </c>
      <c r="L6" s="14">
        <f>IF(원생!$A4="","",SUMIFS(수납!$F:$F,수납!$C:$C,원생!$A4,수납!$D:$D,IF(원생!$G4="","",원생!$G4),수납!$B:$B,$B$1&amp;"-"&amp;TEXT(10,"00")&amp;"*",수납!$E:$E,"수강료")+SUMIFS(수납!$F:$F,수납!$C:$C,원생!$A4,수납!$D:$D,IF(원생!$G4="","",원생!$G4),수납!$B:$B,$B$1&amp;"-"&amp;TEXT(10,"00")&amp;"*",수납!$E:$E,""))</f>
        <v/>
      </c>
      <c r="M6" s="14">
        <f>IF(원생!$A4="","",SUMIFS(수납!$F:$F,수납!$C:$C,원생!$A4,수납!$D:$D,IF(원생!$G4="","",원생!$G4),수납!$B:$B,$B$1&amp;"-"&amp;TEXT(11,"00")&amp;"*",수납!$E:$E,"수강료")+SUMIFS(수납!$F:$F,수납!$C:$C,원생!$A4,수납!$D:$D,IF(원생!$G4="","",원생!$G4),수납!$B:$B,$B$1&amp;"-"&amp;TEXT(11,"00")&amp;"*",수납!$E:$E,""))</f>
        <v/>
      </c>
      <c r="N6" s="14">
        <f>IF(원생!$A4="","",SUMIFS(수납!$F:$F,수납!$C:$C,원생!$A4,수납!$D:$D,IF(원생!$G4="","",원생!$G4),수납!$B:$B,$B$1&amp;"-"&amp;TEXT(12,"00")&amp;"*",수납!$E:$E,"수강료")+SUMIFS(수납!$F:$F,수납!$C:$C,원생!$A4,수납!$D:$D,IF(원생!$G4="","",원생!$G4),수납!$B:$B,$B$1&amp;"-"&amp;TEXT(12,"00")&amp;"*",수납!$E:$E,""))</f>
        <v/>
      </c>
      <c r="O6">
        <f>IF(원생!$I4="","",원생!$I4)</f>
        <v/>
      </c>
      <c r="P6">
        <f>IF($A6="","",IF(AND($B6&gt;0,C6&lt;$B6,DATE($B$1,1,1)&lt;=TODAY(),OR($O6="",$O6&gt;=DATE($B$1,1,1)),OR(COUNTIF($C6:C6,"&gt;0")&gt;0,DATE($B$1,1,1)=DATE(YEAR(TODAY()),MONTH(TODAY()),1))),1,0))</f>
        <v/>
      </c>
      <c r="Q6">
        <f>IF($A6="","",IF(AND($B6&gt;0,D6&lt;$B6,DATE($B$1,2,1)&lt;=TODAY(),OR($O6="",$O6&gt;=DATE($B$1,2,1)),OR(COUNTIF($C6:D6,"&gt;0")&gt;0,DATE($B$1,2,1)=DATE(YEAR(TODAY()),MONTH(TODAY()),1))),1,0))</f>
        <v/>
      </c>
      <c r="R6">
        <f>IF($A6="","",IF(AND($B6&gt;0,E6&lt;$B6,DATE($B$1,3,1)&lt;=TODAY(),OR($O6="",$O6&gt;=DATE($B$1,3,1)),OR(COUNTIF($C6:E6,"&gt;0")&gt;0,DATE($B$1,3,1)=DATE(YEAR(TODAY()),MONTH(TODAY()),1))),1,0))</f>
        <v/>
      </c>
      <c r="S6">
        <f>IF($A6="","",IF(AND($B6&gt;0,F6&lt;$B6,DATE($B$1,4,1)&lt;=TODAY(),OR($O6="",$O6&gt;=DATE($B$1,4,1)),OR(COUNTIF($C6:F6,"&gt;0")&gt;0,DATE($B$1,4,1)=DATE(YEAR(TODAY()),MONTH(TODAY()),1))),1,0))</f>
        <v/>
      </c>
      <c r="T6">
        <f>IF($A6="","",IF(AND($B6&gt;0,G6&lt;$B6,DATE($B$1,5,1)&lt;=TODAY(),OR($O6="",$O6&gt;=DATE($B$1,5,1)),OR(COUNTIF($C6:G6,"&gt;0")&gt;0,DATE($B$1,5,1)=DATE(YEAR(TODAY()),MONTH(TODAY()),1))),1,0))</f>
        <v/>
      </c>
      <c r="U6">
        <f>IF($A6="","",IF(AND($B6&gt;0,H6&lt;$B6,DATE($B$1,6,1)&lt;=TODAY(),OR($O6="",$O6&gt;=DATE($B$1,6,1)),OR(COUNTIF($C6:H6,"&gt;0")&gt;0,DATE($B$1,6,1)=DATE(YEAR(TODAY()),MONTH(TODAY()),1))),1,0))</f>
        <v/>
      </c>
      <c r="V6">
        <f>IF($A6="","",IF(AND($B6&gt;0,I6&lt;$B6,DATE($B$1,7,1)&lt;=TODAY(),OR($O6="",$O6&gt;=DATE($B$1,7,1)),OR(COUNTIF($C6:I6,"&gt;0")&gt;0,DATE($B$1,7,1)=DATE(YEAR(TODAY()),MONTH(TODAY()),1))),1,0))</f>
        <v/>
      </c>
      <c r="W6">
        <f>IF($A6="","",IF(AND($B6&gt;0,J6&lt;$B6,DATE($B$1,8,1)&lt;=TODAY(),OR($O6="",$O6&gt;=DATE($B$1,8,1)),OR(COUNTIF($C6:J6,"&gt;0")&gt;0,DATE($B$1,8,1)=DATE(YEAR(TODAY()),MONTH(TODAY()),1))),1,0))</f>
        <v/>
      </c>
      <c r="X6">
        <f>IF($A6="","",IF(AND($B6&gt;0,K6&lt;$B6,DATE($B$1,9,1)&lt;=TODAY(),OR($O6="",$O6&gt;=DATE($B$1,9,1)),OR(COUNTIF($C6:K6,"&gt;0")&gt;0,DATE($B$1,9,1)=DATE(YEAR(TODAY()),MONTH(TODAY()),1))),1,0))</f>
        <v/>
      </c>
      <c r="Y6">
        <f>IF($A6="","",IF(AND($B6&gt;0,L6&lt;$B6,DATE($B$1,10,1)&lt;=TODAY(),OR($O6="",$O6&gt;=DATE($B$1,10,1)),OR(COUNTIF($C6:L6,"&gt;0")&gt;0,DATE($B$1,10,1)=DATE(YEAR(TODAY()),MONTH(TODAY()),1))),1,0))</f>
        <v/>
      </c>
      <c r="Z6">
        <f>IF($A6="","",IF(AND($B6&gt;0,M6&lt;$B6,DATE($B$1,11,1)&lt;=TODAY(),OR($O6="",$O6&gt;=DATE($B$1,11,1)),OR(COUNTIF($C6:M6,"&gt;0")&gt;0,DATE($B$1,11,1)=DATE(YEAR(TODAY()),MONTH(TODAY()),1))),1,0))</f>
        <v/>
      </c>
      <c r="AA6">
        <f>IF($A6="","",IF(AND($B6&gt;0,N6&lt;$B6,DATE($B$1,12,1)&lt;=TODAY(),OR($O6="",$O6&gt;=DATE($B$1,12,1)),OR(COUNTIF($C6:N6,"&gt;0")&gt;0,DATE($B$1,12,1)=DATE(YEAR(TODAY()),MONTH(TODAY()),1))),1,0))</f>
        <v/>
      </c>
    </row>
    <row r="7">
      <c r="A7" s="13">
        <f>IF(원생!$A5="","",원생!$A5&amp;IF(원생!$G5="",""," ("&amp;원생!$G5&amp;")"))</f>
        <v/>
      </c>
      <c r="B7" s="8">
        <f>IF(원생!$A5="","",원생!$F5)</f>
        <v/>
      </c>
      <c r="C7" s="14">
        <f>IF(원생!$A5="","",SUMIFS(수납!$F:$F,수납!$C:$C,원생!$A5,수납!$D:$D,IF(원생!$G5="","",원생!$G5),수납!$B:$B,$B$1&amp;"-"&amp;TEXT(1,"00")&amp;"*",수납!$E:$E,"수강료")+SUMIFS(수납!$F:$F,수납!$C:$C,원생!$A5,수납!$D:$D,IF(원생!$G5="","",원생!$G5),수납!$B:$B,$B$1&amp;"-"&amp;TEXT(1,"00")&amp;"*",수납!$E:$E,""))</f>
        <v/>
      </c>
      <c r="D7" s="14">
        <f>IF(원생!$A5="","",SUMIFS(수납!$F:$F,수납!$C:$C,원생!$A5,수납!$D:$D,IF(원생!$G5="","",원생!$G5),수납!$B:$B,$B$1&amp;"-"&amp;TEXT(2,"00")&amp;"*",수납!$E:$E,"수강료")+SUMIFS(수납!$F:$F,수납!$C:$C,원생!$A5,수납!$D:$D,IF(원생!$G5="","",원생!$G5),수납!$B:$B,$B$1&amp;"-"&amp;TEXT(2,"00")&amp;"*",수납!$E:$E,""))</f>
        <v/>
      </c>
      <c r="E7" s="14">
        <f>IF(원생!$A5="","",SUMIFS(수납!$F:$F,수납!$C:$C,원생!$A5,수납!$D:$D,IF(원생!$G5="","",원생!$G5),수납!$B:$B,$B$1&amp;"-"&amp;TEXT(3,"00")&amp;"*",수납!$E:$E,"수강료")+SUMIFS(수납!$F:$F,수납!$C:$C,원생!$A5,수납!$D:$D,IF(원생!$G5="","",원생!$G5),수납!$B:$B,$B$1&amp;"-"&amp;TEXT(3,"00")&amp;"*",수납!$E:$E,""))</f>
        <v/>
      </c>
      <c r="F7" s="14">
        <f>IF(원생!$A5="","",SUMIFS(수납!$F:$F,수납!$C:$C,원생!$A5,수납!$D:$D,IF(원생!$G5="","",원생!$G5),수납!$B:$B,$B$1&amp;"-"&amp;TEXT(4,"00")&amp;"*",수납!$E:$E,"수강료")+SUMIFS(수납!$F:$F,수납!$C:$C,원생!$A5,수납!$D:$D,IF(원생!$G5="","",원생!$G5),수납!$B:$B,$B$1&amp;"-"&amp;TEXT(4,"00")&amp;"*",수납!$E:$E,""))</f>
        <v/>
      </c>
      <c r="G7" s="14">
        <f>IF(원생!$A5="","",SUMIFS(수납!$F:$F,수납!$C:$C,원생!$A5,수납!$D:$D,IF(원생!$G5="","",원생!$G5),수납!$B:$B,$B$1&amp;"-"&amp;TEXT(5,"00")&amp;"*",수납!$E:$E,"수강료")+SUMIFS(수납!$F:$F,수납!$C:$C,원생!$A5,수납!$D:$D,IF(원생!$G5="","",원생!$G5),수납!$B:$B,$B$1&amp;"-"&amp;TEXT(5,"00")&amp;"*",수납!$E:$E,""))</f>
        <v/>
      </c>
      <c r="H7" s="14">
        <f>IF(원생!$A5="","",SUMIFS(수납!$F:$F,수납!$C:$C,원생!$A5,수납!$D:$D,IF(원생!$G5="","",원생!$G5),수납!$B:$B,$B$1&amp;"-"&amp;TEXT(6,"00")&amp;"*",수납!$E:$E,"수강료")+SUMIFS(수납!$F:$F,수납!$C:$C,원생!$A5,수납!$D:$D,IF(원생!$G5="","",원생!$G5),수납!$B:$B,$B$1&amp;"-"&amp;TEXT(6,"00")&amp;"*",수납!$E:$E,""))</f>
        <v/>
      </c>
      <c r="I7" s="14">
        <f>IF(원생!$A5="","",SUMIFS(수납!$F:$F,수납!$C:$C,원생!$A5,수납!$D:$D,IF(원생!$G5="","",원생!$G5),수납!$B:$B,$B$1&amp;"-"&amp;TEXT(7,"00")&amp;"*",수납!$E:$E,"수강료")+SUMIFS(수납!$F:$F,수납!$C:$C,원생!$A5,수납!$D:$D,IF(원생!$G5="","",원생!$G5),수납!$B:$B,$B$1&amp;"-"&amp;TEXT(7,"00")&amp;"*",수납!$E:$E,""))</f>
        <v/>
      </c>
      <c r="J7" s="14">
        <f>IF(원생!$A5="","",SUMIFS(수납!$F:$F,수납!$C:$C,원생!$A5,수납!$D:$D,IF(원생!$G5="","",원생!$G5),수납!$B:$B,$B$1&amp;"-"&amp;TEXT(8,"00")&amp;"*",수납!$E:$E,"수강료")+SUMIFS(수납!$F:$F,수납!$C:$C,원생!$A5,수납!$D:$D,IF(원생!$G5="","",원생!$G5),수납!$B:$B,$B$1&amp;"-"&amp;TEXT(8,"00")&amp;"*",수납!$E:$E,""))</f>
        <v/>
      </c>
      <c r="K7" s="14">
        <f>IF(원생!$A5="","",SUMIFS(수납!$F:$F,수납!$C:$C,원생!$A5,수납!$D:$D,IF(원생!$G5="","",원생!$G5),수납!$B:$B,$B$1&amp;"-"&amp;TEXT(9,"00")&amp;"*",수납!$E:$E,"수강료")+SUMIFS(수납!$F:$F,수납!$C:$C,원생!$A5,수납!$D:$D,IF(원생!$G5="","",원생!$G5),수납!$B:$B,$B$1&amp;"-"&amp;TEXT(9,"00")&amp;"*",수납!$E:$E,""))</f>
        <v/>
      </c>
      <c r="L7" s="14">
        <f>IF(원생!$A5="","",SUMIFS(수납!$F:$F,수납!$C:$C,원생!$A5,수납!$D:$D,IF(원생!$G5="","",원생!$G5),수납!$B:$B,$B$1&amp;"-"&amp;TEXT(10,"00")&amp;"*",수납!$E:$E,"수강료")+SUMIFS(수납!$F:$F,수납!$C:$C,원생!$A5,수납!$D:$D,IF(원생!$G5="","",원생!$G5),수납!$B:$B,$B$1&amp;"-"&amp;TEXT(10,"00")&amp;"*",수납!$E:$E,""))</f>
        <v/>
      </c>
      <c r="M7" s="14">
        <f>IF(원생!$A5="","",SUMIFS(수납!$F:$F,수납!$C:$C,원생!$A5,수납!$D:$D,IF(원생!$G5="","",원생!$G5),수납!$B:$B,$B$1&amp;"-"&amp;TEXT(11,"00")&amp;"*",수납!$E:$E,"수강료")+SUMIFS(수납!$F:$F,수납!$C:$C,원생!$A5,수납!$D:$D,IF(원생!$G5="","",원생!$G5),수납!$B:$B,$B$1&amp;"-"&amp;TEXT(11,"00")&amp;"*",수납!$E:$E,""))</f>
        <v/>
      </c>
      <c r="N7" s="14">
        <f>IF(원생!$A5="","",SUMIFS(수납!$F:$F,수납!$C:$C,원생!$A5,수납!$D:$D,IF(원생!$G5="","",원생!$G5),수납!$B:$B,$B$1&amp;"-"&amp;TEXT(12,"00")&amp;"*",수납!$E:$E,"수강료")+SUMIFS(수납!$F:$F,수납!$C:$C,원생!$A5,수납!$D:$D,IF(원생!$G5="","",원생!$G5),수납!$B:$B,$B$1&amp;"-"&amp;TEXT(12,"00")&amp;"*",수납!$E:$E,""))</f>
        <v/>
      </c>
      <c r="O7">
        <f>IF(원생!$I5="","",원생!$I5)</f>
        <v/>
      </c>
      <c r="P7">
        <f>IF($A7="","",IF(AND($B7&gt;0,C7&lt;$B7,DATE($B$1,1,1)&lt;=TODAY(),OR($O7="",$O7&gt;=DATE($B$1,1,1)),OR(COUNTIF($C7:C7,"&gt;0")&gt;0,DATE($B$1,1,1)=DATE(YEAR(TODAY()),MONTH(TODAY()),1))),1,0))</f>
        <v/>
      </c>
      <c r="Q7">
        <f>IF($A7="","",IF(AND($B7&gt;0,D7&lt;$B7,DATE($B$1,2,1)&lt;=TODAY(),OR($O7="",$O7&gt;=DATE($B$1,2,1)),OR(COUNTIF($C7:D7,"&gt;0")&gt;0,DATE($B$1,2,1)=DATE(YEAR(TODAY()),MONTH(TODAY()),1))),1,0))</f>
        <v/>
      </c>
      <c r="R7">
        <f>IF($A7="","",IF(AND($B7&gt;0,E7&lt;$B7,DATE($B$1,3,1)&lt;=TODAY(),OR($O7="",$O7&gt;=DATE($B$1,3,1)),OR(COUNTIF($C7:E7,"&gt;0")&gt;0,DATE($B$1,3,1)=DATE(YEAR(TODAY()),MONTH(TODAY()),1))),1,0))</f>
        <v/>
      </c>
      <c r="S7">
        <f>IF($A7="","",IF(AND($B7&gt;0,F7&lt;$B7,DATE($B$1,4,1)&lt;=TODAY(),OR($O7="",$O7&gt;=DATE($B$1,4,1)),OR(COUNTIF($C7:F7,"&gt;0")&gt;0,DATE($B$1,4,1)=DATE(YEAR(TODAY()),MONTH(TODAY()),1))),1,0))</f>
        <v/>
      </c>
      <c r="T7">
        <f>IF($A7="","",IF(AND($B7&gt;0,G7&lt;$B7,DATE($B$1,5,1)&lt;=TODAY(),OR($O7="",$O7&gt;=DATE($B$1,5,1)),OR(COUNTIF($C7:G7,"&gt;0")&gt;0,DATE($B$1,5,1)=DATE(YEAR(TODAY()),MONTH(TODAY()),1))),1,0))</f>
        <v/>
      </c>
      <c r="U7">
        <f>IF($A7="","",IF(AND($B7&gt;0,H7&lt;$B7,DATE($B$1,6,1)&lt;=TODAY(),OR($O7="",$O7&gt;=DATE($B$1,6,1)),OR(COUNTIF($C7:H7,"&gt;0")&gt;0,DATE($B$1,6,1)=DATE(YEAR(TODAY()),MONTH(TODAY()),1))),1,0))</f>
        <v/>
      </c>
      <c r="V7">
        <f>IF($A7="","",IF(AND($B7&gt;0,I7&lt;$B7,DATE($B$1,7,1)&lt;=TODAY(),OR($O7="",$O7&gt;=DATE($B$1,7,1)),OR(COUNTIF($C7:I7,"&gt;0")&gt;0,DATE($B$1,7,1)=DATE(YEAR(TODAY()),MONTH(TODAY()),1))),1,0))</f>
        <v/>
      </c>
      <c r="W7">
        <f>IF($A7="","",IF(AND($B7&gt;0,J7&lt;$B7,DATE($B$1,8,1)&lt;=TODAY(),OR($O7="",$O7&gt;=DATE($B$1,8,1)),OR(COUNTIF($C7:J7,"&gt;0")&gt;0,DATE($B$1,8,1)=DATE(YEAR(TODAY()),MONTH(TODAY()),1))),1,0))</f>
        <v/>
      </c>
      <c r="X7">
        <f>IF($A7="","",IF(AND($B7&gt;0,K7&lt;$B7,DATE($B$1,9,1)&lt;=TODAY(),OR($O7="",$O7&gt;=DATE($B$1,9,1)),OR(COUNTIF($C7:K7,"&gt;0")&gt;0,DATE($B$1,9,1)=DATE(YEAR(TODAY()),MONTH(TODAY()),1))),1,0))</f>
        <v/>
      </c>
      <c r="Y7">
        <f>IF($A7="","",IF(AND($B7&gt;0,L7&lt;$B7,DATE($B$1,10,1)&lt;=TODAY(),OR($O7="",$O7&gt;=DATE($B$1,10,1)),OR(COUNTIF($C7:L7,"&gt;0")&gt;0,DATE($B$1,10,1)=DATE(YEAR(TODAY()),MONTH(TODAY()),1))),1,0))</f>
        <v/>
      </c>
      <c r="Z7">
        <f>IF($A7="","",IF(AND($B7&gt;0,M7&lt;$B7,DATE($B$1,11,1)&lt;=TODAY(),OR($O7="",$O7&gt;=DATE($B$1,11,1)),OR(COUNTIF($C7:M7,"&gt;0")&gt;0,DATE($B$1,11,1)=DATE(YEAR(TODAY()),MONTH(TODAY()),1))),1,0))</f>
        <v/>
      </c>
      <c r="AA7">
        <f>IF($A7="","",IF(AND($B7&gt;0,N7&lt;$B7,DATE($B$1,12,1)&lt;=TODAY(),OR($O7="",$O7&gt;=DATE($B$1,12,1)),OR(COUNTIF($C7:N7,"&gt;0")&gt;0,DATE($B$1,12,1)=DATE(YEAR(TODAY()),MONTH(TODAY()),1))),1,0))</f>
        <v/>
      </c>
    </row>
    <row r="8">
      <c r="A8" s="13">
        <f>IF(원생!$A6="","",원생!$A6&amp;IF(원생!$G6="",""," ("&amp;원생!$G6&amp;")"))</f>
        <v/>
      </c>
      <c r="B8" s="8">
        <f>IF(원생!$A6="","",원생!$F6)</f>
        <v/>
      </c>
      <c r="C8" s="14">
        <f>IF(원생!$A6="","",SUMIFS(수납!$F:$F,수납!$C:$C,원생!$A6,수납!$D:$D,IF(원생!$G6="","",원생!$G6),수납!$B:$B,$B$1&amp;"-"&amp;TEXT(1,"00")&amp;"*",수납!$E:$E,"수강료")+SUMIFS(수납!$F:$F,수납!$C:$C,원생!$A6,수납!$D:$D,IF(원생!$G6="","",원생!$G6),수납!$B:$B,$B$1&amp;"-"&amp;TEXT(1,"00")&amp;"*",수납!$E:$E,""))</f>
        <v/>
      </c>
      <c r="D8" s="14">
        <f>IF(원생!$A6="","",SUMIFS(수납!$F:$F,수납!$C:$C,원생!$A6,수납!$D:$D,IF(원생!$G6="","",원생!$G6),수납!$B:$B,$B$1&amp;"-"&amp;TEXT(2,"00")&amp;"*",수납!$E:$E,"수강료")+SUMIFS(수납!$F:$F,수납!$C:$C,원생!$A6,수납!$D:$D,IF(원생!$G6="","",원생!$G6),수납!$B:$B,$B$1&amp;"-"&amp;TEXT(2,"00")&amp;"*",수납!$E:$E,""))</f>
        <v/>
      </c>
      <c r="E8" s="14">
        <f>IF(원생!$A6="","",SUMIFS(수납!$F:$F,수납!$C:$C,원생!$A6,수납!$D:$D,IF(원생!$G6="","",원생!$G6),수납!$B:$B,$B$1&amp;"-"&amp;TEXT(3,"00")&amp;"*",수납!$E:$E,"수강료")+SUMIFS(수납!$F:$F,수납!$C:$C,원생!$A6,수납!$D:$D,IF(원생!$G6="","",원생!$G6),수납!$B:$B,$B$1&amp;"-"&amp;TEXT(3,"00")&amp;"*",수납!$E:$E,""))</f>
        <v/>
      </c>
      <c r="F8" s="14">
        <f>IF(원생!$A6="","",SUMIFS(수납!$F:$F,수납!$C:$C,원생!$A6,수납!$D:$D,IF(원생!$G6="","",원생!$G6),수납!$B:$B,$B$1&amp;"-"&amp;TEXT(4,"00")&amp;"*",수납!$E:$E,"수강료")+SUMIFS(수납!$F:$F,수납!$C:$C,원생!$A6,수납!$D:$D,IF(원생!$G6="","",원생!$G6),수납!$B:$B,$B$1&amp;"-"&amp;TEXT(4,"00")&amp;"*",수납!$E:$E,""))</f>
        <v/>
      </c>
      <c r="G8" s="14">
        <f>IF(원생!$A6="","",SUMIFS(수납!$F:$F,수납!$C:$C,원생!$A6,수납!$D:$D,IF(원생!$G6="","",원생!$G6),수납!$B:$B,$B$1&amp;"-"&amp;TEXT(5,"00")&amp;"*",수납!$E:$E,"수강료")+SUMIFS(수납!$F:$F,수납!$C:$C,원생!$A6,수납!$D:$D,IF(원생!$G6="","",원생!$G6),수납!$B:$B,$B$1&amp;"-"&amp;TEXT(5,"00")&amp;"*",수납!$E:$E,""))</f>
        <v/>
      </c>
      <c r="H8" s="14">
        <f>IF(원생!$A6="","",SUMIFS(수납!$F:$F,수납!$C:$C,원생!$A6,수납!$D:$D,IF(원생!$G6="","",원생!$G6),수납!$B:$B,$B$1&amp;"-"&amp;TEXT(6,"00")&amp;"*",수납!$E:$E,"수강료")+SUMIFS(수납!$F:$F,수납!$C:$C,원생!$A6,수납!$D:$D,IF(원생!$G6="","",원생!$G6),수납!$B:$B,$B$1&amp;"-"&amp;TEXT(6,"00")&amp;"*",수납!$E:$E,""))</f>
        <v/>
      </c>
      <c r="I8" s="14">
        <f>IF(원생!$A6="","",SUMIFS(수납!$F:$F,수납!$C:$C,원생!$A6,수납!$D:$D,IF(원생!$G6="","",원생!$G6),수납!$B:$B,$B$1&amp;"-"&amp;TEXT(7,"00")&amp;"*",수납!$E:$E,"수강료")+SUMIFS(수납!$F:$F,수납!$C:$C,원생!$A6,수납!$D:$D,IF(원생!$G6="","",원생!$G6),수납!$B:$B,$B$1&amp;"-"&amp;TEXT(7,"00")&amp;"*",수납!$E:$E,""))</f>
        <v/>
      </c>
      <c r="J8" s="14">
        <f>IF(원생!$A6="","",SUMIFS(수납!$F:$F,수납!$C:$C,원생!$A6,수납!$D:$D,IF(원생!$G6="","",원생!$G6),수납!$B:$B,$B$1&amp;"-"&amp;TEXT(8,"00")&amp;"*",수납!$E:$E,"수강료")+SUMIFS(수납!$F:$F,수납!$C:$C,원생!$A6,수납!$D:$D,IF(원생!$G6="","",원생!$G6),수납!$B:$B,$B$1&amp;"-"&amp;TEXT(8,"00")&amp;"*",수납!$E:$E,""))</f>
        <v/>
      </c>
      <c r="K8" s="14">
        <f>IF(원생!$A6="","",SUMIFS(수납!$F:$F,수납!$C:$C,원생!$A6,수납!$D:$D,IF(원생!$G6="","",원생!$G6),수납!$B:$B,$B$1&amp;"-"&amp;TEXT(9,"00")&amp;"*",수납!$E:$E,"수강료")+SUMIFS(수납!$F:$F,수납!$C:$C,원생!$A6,수납!$D:$D,IF(원생!$G6="","",원생!$G6),수납!$B:$B,$B$1&amp;"-"&amp;TEXT(9,"00")&amp;"*",수납!$E:$E,""))</f>
        <v/>
      </c>
      <c r="L8" s="14">
        <f>IF(원생!$A6="","",SUMIFS(수납!$F:$F,수납!$C:$C,원생!$A6,수납!$D:$D,IF(원생!$G6="","",원생!$G6),수납!$B:$B,$B$1&amp;"-"&amp;TEXT(10,"00")&amp;"*",수납!$E:$E,"수강료")+SUMIFS(수납!$F:$F,수납!$C:$C,원생!$A6,수납!$D:$D,IF(원생!$G6="","",원생!$G6),수납!$B:$B,$B$1&amp;"-"&amp;TEXT(10,"00")&amp;"*",수납!$E:$E,""))</f>
        <v/>
      </c>
      <c r="M8" s="14">
        <f>IF(원생!$A6="","",SUMIFS(수납!$F:$F,수납!$C:$C,원생!$A6,수납!$D:$D,IF(원생!$G6="","",원생!$G6),수납!$B:$B,$B$1&amp;"-"&amp;TEXT(11,"00")&amp;"*",수납!$E:$E,"수강료")+SUMIFS(수납!$F:$F,수납!$C:$C,원생!$A6,수납!$D:$D,IF(원생!$G6="","",원생!$G6),수납!$B:$B,$B$1&amp;"-"&amp;TEXT(11,"00")&amp;"*",수납!$E:$E,""))</f>
        <v/>
      </c>
      <c r="N8" s="14">
        <f>IF(원생!$A6="","",SUMIFS(수납!$F:$F,수납!$C:$C,원생!$A6,수납!$D:$D,IF(원생!$G6="","",원생!$G6),수납!$B:$B,$B$1&amp;"-"&amp;TEXT(12,"00")&amp;"*",수납!$E:$E,"수강료")+SUMIFS(수납!$F:$F,수납!$C:$C,원생!$A6,수납!$D:$D,IF(원생!$G6="","",원생!$G6),수납!$B:$B,$B$1&amp;"-"&amp;TEXT(12,"00")&amp;"*",수납!$E:$E,""))</f>
        <v/>
      </c>
      <c r="O8">
        <f>IF(원생!$I6="","",원생!$I6)</f>
        <v/>
      </c>
      <c r="P8">
        <f>IF($A8="","",IF(AND($B8&gt;0,C8&lt;$B8,DATE($B$1,1,1)&lt;=TODAY(),OR($O8="",$O8&gt;=DATE($B$1,1,1)),OR(COUNTIF($C8:C8,"&gt;0")&gt;0,DATE($B$1,1,1)=DATE(YEAR(TODAY()),MONTH(TODAY()),1))),1,0))</f>
        <v/>
      </c>
      <c r="Q8">
        <f>IF($A8="","",IF(AND($B8&gt;0,D8&lt;$B8,DATE($B$1,2,1)&lt;=TODAY(),OR($O8="",$O8&gt;=DATE($B$1,2,1)),OR(COUNTIF($C8:D8,"&gt;0")&gt;0,DATE($B$1,2,1)=DATE(YEAR(TODAY()),MONTH(TODAY()),1))),1,0))</f>
        <v/>
      </c>
      <c r="R8">
        <f>IF($A8="","",IF(AND($B8&gt;0,E8&lt;$B8,DATE($B$1,3,1)&lt;=TODAY(),OR($O8="",$O8&gt;=DATE($B$1,3,1)),OR(COUNTIF($C8:E8,"&gt;0")&gt;0,DATE($B$1,3,1)=DATE(YEAR(TODAY()),MONTH(TODAY()),1))),1,0))</f>
        <v/>
      </c>
      <c r="S8">
        <f>IF($A8="","",IF(AND($B8&gt;0,F8&lt;$B8,DATE($B$1,4,1)&lt;=TODAY(),OR($O8="",$O8&gt;=DATE($B$1,4,1)),OR(COUNTIF($C8:F8,"&gt;0")&gt;0,DATE($B$1,4,1)=DATE(YEAR(TODAY()),MONTH(TODAY()),1))),1,0))</f>
        <v/>
      </c>
      <c r="T8">
        <f>IF($A8="","",IF(AND($B8&gt;0,G8&lt;$B8,DATE($B$1,5,1)&lt;=TODAY(),OR($O8="",$O8&gt;=DATE($B$1,5,1)),OR(COUNTIF($C8:G8,"&gt;0")&gt;0,DATE($B$1,5,1)=DATE(YEAR(TODAY()),MONTH(TODAY()),1))),1,0))</f>
        <v/>
      </c>
      <c r="U8">
        <f>IF($A8="","",IF(AND($B8&gt;0,H8&lt;$B8,DATE($B$1,6,1)&lt;=TODAY(),OR($O8="",$O8&gt;=DATE($B$1,6,1)),OR(COUNTIF($C8:H8,"&gt;0")&gt;0,DATE($B$1,6,1)=DATE(YEAR(TODAY()),MONTH(TODAY()),1))),1,0))</f>
        <v/>
      </c>
      <c r="V8">
        <f>IF($A8="","",IF(AND($B8&gt;0,I8&lt;$B8,DATE($B$1,7,1)&lt;=TODAY(),OR($O8="",$O8&gt;=DATE($B$1,7,1)),OR(COUNTIF($C8:I8,"&gt;0")&gt;0,DATE($B$1,7,1)=DATE(YEAR(TODAY()),MONTH(TODAY()),1))),1,0))</f>
        <v/>
      </c>
      <c r="W8">
        <f>IF($A8="","",IF(AND($B8&gt;0,J8&lt;$B8,DATE($B$1,8,1)&lt;=TODAY(),OR($O8="",$O8&gt;=DATE($B$1,8,1)),OR(COUNTIF($C8:J8,"&gt;0")&gt;0,DATE($B$1,8,1)=DATE(YEAR(TODAY()),MONTH(TODAY()),1))),1,0))</f>
        <v/>
      </c>
      <c r="X8">
        <f>IF($A8="","",IF(AND($B8&gt;0,K8&lt;$B8,DATE($B$1,9,1)&lt;=TODAY(),OR($O8="",$O8&gt;=DATE($B$1,9,1)),OR(COUNTIF($C8:K8,"&gt;0")&gt;0,DATE($B$1,9,1)=DATE(YEAR(TODAY()),MONTH(TODAY()),1))),1,0))</f>
        <v/>
      </c>
      <c r="Y8">
        <f>IF($A8="","",IF(AND($B8&gt;0,L8&lt;$B8,DATE($B$1,10,1)&lt;=TODAY(),OR($O8="",$O8&gt;=DATE($B$1,10,1)),OR(COUNTIF($C8:L8,"&gt;0")&gt;0,DATE($B$1,10,1)=DATE(YEAR(TODAY()),MONTH(TODAY()),1))),1,0))</f>
        <v/>
      </c>
      <c r="Z8">
        <f>IF($A8="","",IF(AND($B8&gt;0,M8&lt;$B8,DATE($B$1,11,1)&lt;=TODAY(),OR($O8="",$O8&gt;=DATE($B$1,11,1)),OR(COUNTIF($C8:M8,"&gt;0")&gt;0,DATE($B$1,11,1)=DATE(YEAR(TODAY()),MONTH(TODAY()),1))),1,0))</f>
        <v/>
      </c>
      <c r="AA8">
        <f>IF($A8="","",IF(AND($B8&gt;0,N8&lt;$B8,DATE($B$1,12,1)&lt;=TODAY(),OR($O8="",$O8&gt;=DATE($B$1,12,1)),OR(COUNTIF($C8:N8,"&gt;0")&gt;0,DATE($B$1,12,1)=DATE(YEAR(TODAY()),MONTH(TODAY()),1))),1,0))</f>
        <v/>
      </c>
    </row>
    <row r="9">
      <c r="A9" s="13">
        <f>IF(원생!$A7="","",원생!$A7&amp;IF(원생!$G7="",""," ("&amp;원생!$G7&amp;")"))</f>
        <v/>
      </c>
      <c r="B9" s="8">
        <f>IF(원생!$A7="","",원생!$F7)</f>
        <v/>
      </c>
      <c r="C9" s="14">
        <f>IF(원생!$A7="","",SUMIFS(수납!$F:$F,수납!$C:$C,원생!$A7,수납!$D:$D,IF(원생!$G7="","",원생!$G7),수납!$B:$B,$B$1&amp;"-"&amp;TEXT(1,"00")&amp;"*",수납!$E:$E,"수강료")+SUMIFS(수납!$F:$F,수납!$C:$C,원생!$A7,수납!$D:$D,IF(원생!$G7="","",원생!$G7),수납!$B:$B,$B$1&amp;"-"&amp;TEXT(1,"00")&amp;"*",수납!$E:$E,""))</f>
        <v/>
      </c>
      <c r="D9" s="14">
        <f>IF(원생!$A7="","",SUMIFS(수납!$F:$F,수납!$C:$C,원생!$A7,수납!$D:$D,IF(원생!$G7="","",원생!$G7),수납!$B:$B,$B$1&amp;"-"&amp;TEXT(2,"00")&amp;"*",수납!$E:$E,"수강료")+SUMIFS(수납!$F:$F,수납!$C:$C,원생!$A7,수납!$D:$D,IF(원생!$G7="","",원생!$G7),수납!$B:$B,$B$1&amp;"-"&amp;TEXT(2,"00")&amp;"*",수납!$E:$E,""))</f>
        <v/>
      </c>
      <c r="E9" s="14">
        <f>IF(원생!$A7="","",SUMIFS(수납!$F:$F,수납!$C:$C,원생!$A7,수납!$D:$D,IF(원생!$G7="","",원생!$G7),수납!$B:$B,$B$1&amp;"-"&amp;TEXT(3,"00")&amp;"*",수납!$E:$E,"수강료")+SUMIFS(수납!$F:$F,수납!$C:$C,원생!$A7,수납!$D:$D,IF(원생!$G7="","",원생!$G7),수납!$B:$B,$B$1&amp;"-"&amp;TEXT(3,"00")&amp;"*",수납!$E:$E,""))</f>
        <v/>
      </c>
      <c r="F9" s="14">
        <f>IF(원생!$A7="","",SUMIFS(수납!$F:$F,수납!$C:$C,원생!$A7,수납!$D:$D,IF(원생!$G7="","",원생!$G7),수납!$B:$B,$B$1&amp;"-"&amp;TEXT(4,"00")&amp;"*",수납!$E:$E,"수강료")+SUMIFS(수납!$F:$F,수납!$C:$C,원생!$A7,수납!$D:$D,IF(원생!$G7="","",원생!$G7),수납!$B:$B,$B$1&amp;"-"&amp;TEXT(4,"00")&amp;"*",수납!$E:$E,""))</f>
        <v/>
      </c>
      <c r="G9" s="14">
        <f>IF(원생!$A7="","",SUMIFS(수납!$F:$F,수납!$C:$C,원생!$A7,수납!$D:$D,IF(원생!$G7="","",원생!$G7),수납!$B:$B,$B$1&amp;"-"&amp;TEXT(5,"00")&amp;"*",수납!$E:$E,"수강료")+SUMIFS(수납!$F:$F,수납!$C:$C,원생!$A7,수납!$D:$D,IF(원생!$G7="","",원생!$G7),수납!$B:$B,$B$1&amp;"-"&amp;TEXT(5,"00")&amp;"*",수납!$E:$E,""))</f>
        <v/>
      </c>
      <c r="H9" s="14">
        <f>IF(원생!$A7="","",SUMIFS(수납!$F:$F,수납!$C:$C,원생!$A7,수납!$D:$D,IF(원생!$G7="","",원생!$G7),수납!$B:$B,$B$1&amp;"-"&amp;TEXT(6,"00")&amp;"*",수납!$E:$E,"수강료")+SUMIFS(수납!$F:$F,수납!$C:$C,원생!$A7,수납!$D:$D,IF(원생!$G7="","",원생!$G7),수납!$B:$B,$B$1&amp;"-"&amp;TEXT(6,"00")&amp;"*",수납!$E:$E,""))</f>
        <v/>
      </c>
      <c r="I9" s="14">
        <f>IF(원생!$A7="","",SUMIFS(수납!$F:$F,수납!$C:$C,원생!$A7,수납!$D:$D,IF(원생!$G7="","",원생!$G7),수납!$B:$B,$B$1&amp;"-"&amp;TEXT(7,"00")&amp;"*",수납!$E:$E,"수강료")+SUMIFS(수납!$F:$F,수납!$C:$C,원생!$A7,수납!$D:$D,IF(원생!$G7="","",원생!$G7),수납!$B:$B,$B$1&amp;"-"&amp;TEXT(7,"00")&amp;"*",수납!$E:$E,""))</f>
        <v/>
      </c>
      <c r="J9" s="14">
        <f>IF(원생!$A7="","",SUMIFS(수납!$F:$F,수납!$C:$C,원생!$A7,수납!$D:$D,IF(원생!$G7="","",원생!$G7),수납!$B:$B,$B$1&amp;"-"&amp;TEXT(8,"00")&amp;"*",수납!$E:$E,"수강료")+SUMIFS(수납!$F:$F,수납!$C:$C,원생!$A7,수납!$D:$D,IF(원생!$G7="","",원생!$G7),수납!$B:$B,$B$1&amp;"-"&amp;TEXT(8,"00")&amp;"*",수납!$E:$E,""))</f>
        <v/>
      </c>
      <c r="K9" s="14">
        <f>IF(원생!$A7="","",SUMIFS(수납!$F:$F,수납!$C:$C,원생!$A7,수납!$D:$D,IF(원생!$G7="","",원생!$G7),수납!$B:$B,$B$1&amp;"-"&amp;TEXT(9,"00")&amp;"*",수납!$E:$E,"수강료")+SUMIFS(수납!$F:$F,수납!$C:$C,원생!$A7,수납!$D:$D,IF(원생!$G7="","",원생!$G7),수납!$B:$B,$B$1&amp;"-"&amp;TEXT(9,"00")&amp;"*",수납!$E:$E,""))</f>
        <v/>
      </c>
      <c r="L9" s="14">
        <f>IF(원생!$A7="","",SUMIFS(수납!$F:$F,수납!$C:$C,원생!$A7,수납!$D:$D,IF(원생!$G7="","",원생!$G7),수납!$B:$B,$B$1&amp;"-"&amp;TEXT(10,"00")&amp;"*",수납!$E:$E,"수강료")+SUMIFS(수납!$F:$F,수납!$C:$C,원생!$A7,수납!$D:$D,IF(원생!$G7="","",원생!$G7),수납!$B:$B,$B$1&amp;"-"&amp;TEXT(10,"00")&amp;"*",수납!$E:$E,""))</f>
        <v/>
      </c>
      <c r="M9" s="14">
        <f>IF(원생!$A7="","",SUMIFS(수납!$F:$F,수납!$C:$C,원생!$A7,수납!$D:$D,IF(원생!$G7="","",원생!$G7),수납!$B:$B,$B$1&amp;"-"&amp;TEXT(11,"00")&amp;"*",수납!$E:$E,"수강료")+SUMIFS(수납!$F:$F,수납!$C:$C,원생!$A7,수납!$D:$D,IF(원생!$G7="","",원생!$G7),수납!$B:$B,$B$1&amp;"-"&amp;TEXT(11,"00")&amp;"*",수납!$E:$E,""))</f>
        <v/>
      </c>
      <c r="N9" s="14">
        <f>IF(원생!$A7="","",SUMIFS(수납!$F:$F,수납!$C:$C,원생!$A7,수납!$D:$D,IF(원생!$G7="","",원생!$G7),수납!$B:$B,$B$1&amp;"-"&amp;TEXT(12,"00")&amp;"*",수납!$E:$E,"수강료")+SUMIFS(수납!$F:$F,수납!$C:$C,원생!$A7,수납!$D:$D,IF(원생!$G7="","",원생!$G7),수납!$B:$B,$B$1&amp;"-"&amp;TEXT(12,"00")&amp;"*",수납!$E:$E,""))</f>
        <v/>
      </c>
      <c r="O9">
        <f>IF(원생!$I7="","",원생!$I7)</f>
        <v/>
      </c>
      <c r="P9">
        <f>IF($A9="","",IF(AND($B9&gt;0,C9&lt;$B9,DATE($B$1,1,1)&lt;=TODAY(),OR($O9="",$O9&gt;=DATE($B$1,1,1)),OR(COUNTIF($C9:C9,"&gt;0")&gt;0,DATE($B$1,1,1)=DATE(YEAR(TODAY()),MONTH(TODAY()),1))),1,0))</f>
        <v/>
      </c>
      <c r="Q9">
        <f>IF($A9="","",IF(AND($B9&gt;0,D9&lt;$B9,DATE($B$1,2,1)&lt;=TODAY(),OR($O9="",$O9&gt;=DATE($B$1,2,1)),OR(COUNTIF($C9:D9,"&gt;0")&gt;0,DATE($B$1,2,1)=DATE(YEAR(TODAY()),MONTH(TODAY()),1))),1,0))</f>
        <v/>
      </c>
      <c r="R9">
        <f>IF($A9="","",IF(AND($B9&gt;0,E9&lt;$B9,DATE($B$1,3,1)&lt;=TODAY(),OR($O9="",$O9&gt;=DATE($B$1,3,1)),OR(COUNTIF($C9:E9,"&gt;0")&gt;0,DATE($B$1,3,1)=DATE(YEAR(TODAY()),MONTH(TODAY()),1))),1,0))</f>
        <v/>
      </c>
      <c r="S9">
        <f>IF($A9="","",IF(AND($B9&gt;0,F9&lt;$B9,DATE($B$1,4,1)&lt;=TODAY(),OR($O9="",$O9&gt;=DATE($B$1,4,1)),OR(COUNTIF($C9:F9,"&gt;0")&gt;0,DATE($B$1,4,1)=DATE(YEAR(TODAY()),MONTH(TODAY()),1))),1,0))</f>
        <v/>
      </c>
      <c r="T9">
        <f>IF($A9="","",IF(AND($B9&gt;0,G9&lt;$B9,DATE($B$1,5,1)&lt;=TODAY(),OR($O9="",$O9&gt;=DATE($B$1,5,1)),OR(COUNTIF($C9:G9,"&gt;0")&gt;0,DATE($B$1,5,1)=DATE(YEAR(TODAY()),MONTH(TODAY()),1))),1,0))</f>
        <v/>
      </c>
      <c r="U9">
        <f>IF($A9="","",IF(AND($B9&gt;0,H9&lt;$B9,DATE($B$1,6,1)&lt;=TODAY(),OR($O9="",$O9&gt;=DATE($B$1,6,1)),OR(COUNTIF($C9:H9,"&gt;0")&gt;0,DATE($B$1,6,1)=DATE(YEAR(TODAY()),MONTH(TODAY()),1))),1,0))</f>
        <v/>
      </c>
      <c r="V9">
        <f>IF($A9="","",IF(AND($B9&gt;0,I9&lt;$B9,DATE($B$1,7,1)&lt;=TODAY(),OR($O9="",$O9&gt;=DATE($B$1,7,1)),OR(COUNTIF($C9:I9,"&gt;0")&gt;0,DATE($B$1,7,1)=DATE(YEAR(TODAY()),MONTH(TODAY()),1))),1,0))</f>
        <v/>
      </c>
      <c r="W9">
        <f>IF($A9="","",IF(AND($B9&gt;0,J9&lt;$B9,DATE($B$1,8,1)&lt;=TODAY(),OR($O9="",$O9&gt;=DATE($B$1,8,1)),OR(COUNTIF($C9:J9,"&gt;0")&gt;0,DATE($B$1,8,1)=DATE(YEAR(TODAY()),MONTH(TODAY()),1))),1,0))</f>
        <v/>
      </c>
      <c r="X9">
        <f>IF($A9="","",IF(AND($B9&gt;0,K9&lt;$B9,DATE($B$1,9,1)&lt;=TODAY(),OR($O9="",$O9&gt;=DATE($B$1,9,1)),OR(COUNTIF($C9:K9,"&gt;0")&gt;0,DATE($B$1,9,1)=DATE(YEAR(TODAY()),MONTH(TODAY()),1))),1,0))</f>
        <v/>
      </c>
      <c r="Y9">
        <f>IF($A9="","",IF(AND($B9&gt;0,L9&lt;$B9,DATE($B$1,10,1)&lt;=TODAY(),OR($O9="",$O9&gt;=DATE($B$1,10,1)),OR(COUNTIF($C9:L9,"&gt;0")&gt;0,DATE($B$1,10,1)=DATE(YEAR(TODAY()),MONTH(TODAY()),1))),1,0))</f>
        <v/>
      </c>
      <c r="Z9">
        <f>IF($A9="","",IF(AND($B9&gt;0,M9&lt;$B9,DATE($B$1,11,1)&lt;=TODAY(),OR($O9="",$O9&gt;=DATE($B$1,11,1)),OR(COUNTIF($C9:M9,"&gt;0")&gt;0,DATE($B$1,11,1)=DATE(YEAR(TODAY()),MONTH(TODAY()),1))),1,0))</f>
        <v/>
      </c>
      <c r="AA9">
        <f>IF($A9="","",IF(AND($B9&gt;0,N9&lt;$B9,DATE($B$1,12,1)&lt;=TODAY(),OR($O9="",$O9&gt;=DATE($B$1,12,1)),OR(COUNTIF($C9:N9,"&gt;0")&gt;0,DATE($B$1,12,1)=DATE(YEAR(TODAY()),MONTH(TODAY()),1))),1,0))</f>
        <v/>
      </c>
    </row>
    <row r="10">
      <c r="A10" s="13">
        <f>IF(원생!$A8="","",원생!$A8&amp;IF(원생!$G8="",""," ("&amp;원생!$G8&amp;")"))</f>
        <v/>
      </c>
      <c r="B10" s="8">
        <f>IF(원생!$A8="","",원생!$F8)</f>
        <v/>
      </c>
      <c r="C10" s="14">
        <f>IF(원생!$A8="","",SUMIFS(수납!$F:$F,수납!$C:$C,원생!$A8,수납!$D:$D,IF(원생!$G8="","",원생!$G8),수납!$B:$B,$B$1&amp;"-"&amp;TEXT(1,"00")&amp;"*",수납!$E:$E,"수강료")+SUMIFS(수납!$F:$F,수납!$C:$C,원생!$A8,수납!$D:$D,IF(원생!$G8="","",원생!$G8),수납!$B:$B,$B$1&amp;"-"&amp;TEXT(1,"00")&amp;"*",수납!$E:$E,""))</f>
        <v/>
      </c>
      <c r="D10" s="14">
        <f>IF(원생!$A8="","",SUMIFS(수납!$F:$F,수납!$C:$C,원생!$A8,수납!$D:$D,IF(원생!$G8="","",원생!$G8),수납!$B:$B,$B$1&amp;"-"&amp;TEXT(2,"00")&amp;"*",수납!$E:$E,"수강료")+SUMIFS(수납!$F:$F,수납!$C:$C,원생!$A8,수납!$D:$D,IF(원생!$G8="","",원생!$G8),수납!$B:$B,$B$1&amp;"-"&amp;TEXT(2,"00")&amp;"*",수납!$E:$E,""))</f>
        <v/>
      </c>
      <c r="E10" s="14">
        <f>IF(원생!$A8="","",SUMIFS(수납!$F:$F,수납!$C:$C,원생!$A8,수납!$D:$D,IF(원생!$G8="","",원생!$G8),수납!$B:$B,$B$1&amp;"-"&amp;TEXT(3,"00")&amp;"*",수납!$E:$E,"수강료")+SUMIFS(수납!$F:$F,수납!$C:$C,원생!$A8,수납!$D:$D,IF(원생!$G8="","",원생!$G8),수납!$B:$B,$B$1&amp;"-"&amp;TEXT(3,"00")&amp;"*",수납!$E:$E,""))</f>
        <v/>
      </c>
      <c r="F10" s="14">
        <f>IF(원생!$A8="","",SUMIFS(수납!$F:$F,수납!$C:$C,원생!$A8,수납!$D:$D,IF(원생!$G8="","",원생!$G8),수납!$B:$B,$B$1&amp;"-"&amp;TEXT(4,"00")&amp;"*",수납!$E:$E,"수강료")+SUMIFS(수납!$F:$F,수납!$C:$C,원생!$A8,수납!$D:$D,IF(원생!$G8="","",원생!$G8),수납!$B:$B,$B$1&amp;"-"&amp;TEXT(4,"00")&amp;"*",수납!$E:$E,""))</f>
        <v/>
      </c>
      <c r="G10" s="14">
        <f>IF(원생!$A8="","",SUMIFS(수납!$F:$F,수납!$C:$C,원생!$A8,수납!$D:$D,IF(원생!$G8="","",원생!$G8),수납!$B:$B,$B$1&amp;"-"&amp;TEXT(5,"00")&amp;"*",수납!$E:$E,"수강료")+SUMIFS(수납!$F:$F,수납!$C:$C,원생!$A8,수납!$D:$D,IF(원생!$G8="","",원생!$G8),수납!$B:$B,$B$1&amp;"-"&amp;TEXT(5,"00")&amp;"*",수납!$E:$E,""))</f>
        <v/>
      </c>
      <c r="H10" s="14">
        <f>IF(원생!$A8="","",SUMIFS(수납!$F:$F,수납!$C:$C,원생!$A8,수납!$D:$D,IF(원생!$G8="","",원생!$G8),수납!$B:$B,$B$1&amp;"-"&amp;TEXT(6,"00")&amp;"*",수납!$E:$E,"수강료")+SUMIFS(수납!$F:$F,수납!$C:$C,원생!$A8,수납!$D:$D,IF(원생!$G8="","",원생!$G8),수납!$B:$B,$B$1&amp;"-"&amp;TEXT(6,"00")&amp;"*",수납!$E:$E,""))</f>
        <v/>
      </c>
      <c r="I10" s="14">
        <f>IF(원생!$A8="","",SUMIFS(수납!$F:$F,수납!$C:$C,원생!$A8,수납!$D:$D,IF(원생!$G8="","",원생!$G8),수납!$B:$B,$B$1&amp;"-"&amp;TEXT(7,"00")&amp;"*",수납!$E:$E,"수강료")+SUMIFS(수납!$F:$F,수납!$C:$C,원생!$A8,수납!$D:$D,IF(원생!$G8="","",원생!$G8),수납!$B:$B,$B$1&amp;"-"&amp;TEXT(7,"00")&amp;"*",수납!$E:$E,""))</f>
        <v/>
      </c>
      <c r="J10" s="14">
        <f>IF(원생!$A8="","",SUMIFS(수납!$F:$F,수납!$C:$C,원생!$A8,수납!$D:$D,IF(원생!$G8="","",원생!$G8),수납!$B:$B,$B$1&amp;"-"&amp;TEXT(8,"00")&amp;"*",수납!$E:$E,"수강료")+SUMIFS(수납!$F:$F,수납!$C:$C,원생!$A8,수납!$D:$D,IF(원생!$G8="","",원생!$G8),수납!$B:$B,$B$1&amp;"-"&amp;TEXT(8,"00")&amp;"*",수납!$E:$E,""))</f>
        <v/>
      </c>
      <c r="K10" s="14">
        <f>IF(원생!$A8="","",SUMIFS(수납!$F:$F,수납!$C:$C,원생!$A8,수납!$D:$D,IF(원생!$G8="","",원생!$G8),수납!$B:$B,$B$1&amp;"-"&amp;TEXT(9,"00")&amp;"*",수납!$E:$E,"수강료")+SUMIFS(수납!$F:$F,수납!$C:$C,원생!$A8,수납!$D:$D,IF(원생!$G8="","",원생!$G8),수납!$B:$B,$B$1&amp;"-"&amp;TEXT(9,"00")&amp;"*",수납!$E:$E,""))</f>
        <v/>
      </c>
      <c r="L10" s="14">
        <f>IF(원생!$A8="","",SUMIFS(수납!$F:$F,수납!$C:$C,원생!$A8,수납!$D:$D,IF(원생!$G8="","",원생!$G8),수납!$B:$B,$B$1&amp;"-"&amp;TEXT(10,"00")&amp;"*",수납!$E:$E,"수강료")+SUMIFS(수납!$F:$F,수납!$C:$C,원생!$A8,수납!$D:$D,IF(원생!$G8="","",원생!$G8),수납!$B:$B,$B$1&amp;"-"&amp;TEXT(10,"00")&amp;"*",수납!$E:$E,""))</f>
        <v/>
      </c>
      <c r="M10" s="14">
        <f>IF(원생!$A8="","",SUMIFS(수납!$F:$F,수납!$C:$C,원생!$A8,수납!$D:$D,IF(원생!$G8="","",원생!$G8),수납!$B:$B,$B$1&amp;"-"&amp;TEXT(11,"00")&amp;"*",수납!$E:$E,"수강료")+SUMIFS(수납!$F:$F,수납!$C:$C,원생!$A8,수납!$D:$D,IF(원생!$G8="","",원생!$G8),수납!$B:$B,$B$1&amp;"-"&amp;TEXT(11,"00")&amp;"*",수납!$E:$E,""))</f>
        <v/>
      </c>
      <c r="N10" s="14">
        <f>IF(원생!$A8="","",SUMIFS(수납!$F:$F,수납!$C:$C,원생!$A8,수납!$D:$D,IF(원생!$G8="","",원생!$G8),수납!$B:$B,$B$1&amp;"-"&amp;TEXT(12,"00")&amp;"*",수납!$E:$E,"수강료")+SUMIFS(수납!$F:$F,수납!$C:$C,원생!$A8,수납!$D:$D,IF(원생!$G8="","",원생!$G8),수납!$B:$B,$B$1&amp;"-"&amp;TEXT(12,"00")&amp;"*",수납!$E:$E,""))</f>
        <v/>
      </c>
      <c r="O10">
        <f>IF(원생!$I8="","",원생!$I8)</f>
        <v/>
      </c>
      <c r="P10">
        <f>IF($A10="","",IF(AND($B10&gt;0,C10&lt;$B10,DATE($B$1,1,1)&lt;=TODAY(),OR($O10="",$O10&gt;=DATE($B$1,1,1)),OR(COUNTIF($C10:C10,"&gt;0")&gt;0,DATE($B$1,1,1)=DATE(YEAR(TODAY()),MONTH(TODAY()),1))),1,0))</f>
        <v/>
      </c>
      <c r="Q10">
        <f>IF($A10="","",IF(AND($B10&gt;0,D10&lt;$B10,DATE($B$1,2,1)&lt;=TODAY(),OR($O10="",$O10&gt;=DATE($B$1,2,1)),OR(COUNTIF($C10:D10,"&gt;0")&gt;0,DATE($B$1,2,1)=DATE(YEAR(TODAY()),MONTH(TODAY()),1))),1,0))</f>
        <v/>
      </c>
      <c r="R10">
        <f>IF($A10="","",IF(AND($B10&gt;0,E10&lt;$B10,DATE($B$1,3,1)&lt;=TODAY(),OR($O10="",$O10&gt;=DATE($B$1,3,1)),OR(COUNTIF($C10:E10,"&gt;0")&gt;0,DATE($B$1,3,1)=DATE(YEAR(TODAY()),MONTH(TODAY()),1))),1,0))</f>
        <v/>
      </c>
      <c r="S10">
        <f>IF($A10="","",IF(AND($B10&gt;0,F10&lt;$B10,DATE($B$1,4,1)&lt;=TODAY(),OR($O10="",$O10&gt;=DATE($B$1,4,1)),OR(COUNTIF($C10:F10,"&gt;0")&gt;0,DATE($B$1,4,1)=DATE(YEAR(TODAY()),MONTH(TODAY()),1))),1,0))</f>
        <v/>
      </c>
      <c r="T10">
        <f>IF($A10="","",IF(AND($B10&gt;0,G10&lt;$B10,DATE($B$1,5,1)&lt;=TODAY(),OR($O10="",$O10&gt;=DATE($B$1,5,1)),OR(COUNTIF($C10:G10,"&gt;0")&gt;0,DATE($B$1,5,1)=DATE(YEAR(TODAY()),MONTH(TODAY()),1))),1,0))</f>
        <v/>
      </c>
      <c r="U10">
        <f>IF($A10="","",IF(AND($B10&gt;0,H10&lt;$B10,DATE($B$1,6,1)&lt;=TODAY(),OR($O10="",$O10&gt;=DATE($B$1,6,1)),OR(COUNTIF($C10:H10,"&gt;0")&gt;0,DATE($B$1,6,1)=DATE(YEAR(TODAY()),MONTH(TODAY()),1))),1,0))</f>
        <v/>
      </c>
      <c r="V10">
        <f>IF($A10="","",IF(AND($B10&gt;0,I10&lt;$B10,DATE($B$1,7,1)&lt;=TODAY(),OR($O10="",$O10&gt;=DATE($B$1,7,1)),OR(COUNTIF($C10:I10,"&gt;0")&gt;0,DATE($B$1,7,1)=DATE(YEAR(TODAY()),MONTH(TODAY()),1))),1,0))</f>
        <v/>
      </c>
      <c r="W10">
        <f>IF($A10="","",IF(AND($B10&gt;0,J10&lt;$B10,DATE($B$1,8,1)&lt;=TODAY(),OR($O10="",$O10&gt;=DATE($B$1,8,1)),OR(COUNTIF($C10:J10,"&gt;0")&gt;0,DATE($B$1,8,1)=DATE(YEAR(TODAY()),MONTH(TODAY()),1))),1,0))</f>
        <v/>
      </c>
      <c r="X10">
        <f>IF($A10="","",IF(AND($B10&gt;0,K10&lt;$B10,DATE($B$1,9,1)&lt;=TODAY(),OR($O10="",$O10&gt;=DATE($B$1,9,1)),OR(COUNTIF($C10:K10,"&gt;0")&gt;0,DATE($B$1,9,1)=DATE(YEAR(TODAY()),MONTH(TODAY()),1))),1,0))</f>
        <v/>
      </c>
      <c r="Y10">
        <f>IF($A10="","",IF(AND($B10&gt;0,L10&lt;$B10,DATE($B$1,10,1)&lt;=TODAY(),OR($O10="",$O10&gt;=DATE($B$1,10,1)),OR(COUNTIF($C10:L10,"&gt;0")&gt;0,DATE($B$1,10,1)=DATE(YEAR(TODAY()),MONTH(TODAY()),1))),1,0))</f>
        <v/>
      </c>
      <c r="Z10">
        <f>IF($A10="","",IF(AND($B10&gt;0,M10&lt;$B10,DATE($B$1,11,1)&lt;=TODAY(),OR($O10="",$O10&gt;=DATE($B$1,11,1)),OR(COUNTIF($C10:M10,"&gt;0")&gt;0,DATE($B$1,11,1)=DATE(YEAR(TODAY()),MONTH(TODAY()),1))),1,0))</f>
        <v/>
      </c>
      <c r="AA10">
        <f>IF($A10="","",IF(AND($B10&gt;0,N10&lt;$B10,DATE($B$1,12,1)&lt;=TODAY(),OR($O10="",$O10&gt;=DATE($B$1,12,1)),OR(COUNTIF($C10:N10,"&gt;0")&gt;0,DATE($B$1,12,1)=DATE(YEAR(TODAY()),MONTH(TODAY()),1))),1,0))</f>
        <v/>
      </c>
    </row>
    <row r="11">
      <c r="A11" s="13">
        <f>IF(원생!$A9="","",원생!$A9&amp;IF(원생!$G9="",""," ("&amp;원생!$G9&amp;")"))</f>
        <v/>
      </c>
      <c r="B11" s="8">
        <f>IF(원생!$A9="","",원생!$F9)</f>
        <v/>
      </c>
      <c r="C11" s="14">
        <f>IF(원생!$A9="","",SUMIFS(수납!$F:$F,수납!$C:$C,원생!$A9,수납!$D:$D,IF(원생!$G9="","",원생!$G9),수납!$B:$B,$B$1&amp;"-"&amp;TEXT(1,"00")&amp;"*",수납!$E:$E,"수강료")+SUMIFS(수납!$F:$F,수납!$C:$C,원생!$A9,수납!$D:$D,IF(원생!$G9="","",원생!$G9),수납!$B:$B,$B$1&amp;"-"&amp;TEXT(1,"00")&amp;"*",수납!$E:$E,""))</f>
        <v/>
      </c>
      <c r="D11" s="14">
        <f>IF(원생!$A9="","",SUMIFS(수납!$F:$F,수납!$C:$C,원생!$A9,수납!$D:$D,IF(원생!$G9="","",원생!$G9),수납!$B:$B,$B$1&amp;"-"&amp;TEXT(2,"00")&amp;"*",수납!$E:$E,"수강료")+SUMIFS(수납!$F:$F,수납!$C:$C,원생!$A9,수납!$D:$D,IF(원생!$G9="","",원생!$G9),수납!$B:$B,$B$1&amp;"-"&amp;TEXT(2,"00")&amp;"*",수납!$E:$E,""))</f>
        <v/>
      </c>
      <c r="E11" s="14">
        <f>IF(원생!$A9="","",SUMIFS(수납!$F:$F,수납!$C:$C,원생!$A9,수납!$D:$D,IF(원생!$G9="","",원생!$G9),수납!$B:$B,$B$1&amp;"-"&amp;TEXT(3,"00")&amp;"*",수납!$E:$E,"수강료")+SUMIFS(수납!$F:$F,수납!$C:$C,원생!$A9,수납!$D:$D,IF(원생!$G9="","",원생!$G9),수납!$B:$B,$B$1&amp;"-"&amp;TEXT(3,"00")&amp;"*",수납!$E:$E,""))</f>
        <v/>
      </c>
      <c r="F11" s="14">
        <f>IF(원생!$A9="","",SUMIFS(수납!$F:$F,수납!$C:$C,원생!$A9,수납!$D:$D,IF(원생!$G9="","",원생!$G9),수납!$B:$B,$B$1&amp;"-"&amp;TEXT(4,"00")&amp;"*",수납!$E:$E,"수강료")+SUMIFS(수납!$F:$F,수납!$C:$C,원생!$A9,수납!$D:$D,IF(원생!$G9="","",원생!$G9),수납!$B:$B,$B$1&amp;"-"&amp;TEXT(4,"00")&amp;"*",수납!$E:$E,""))</f>
        <v/>
      </c>
      <c r="G11" s="14">
        <f>IF(원생!$A9="","",SUMIFS(수납!$F:$F,수납!$C:$C,원생!$A9,수납!$D:$D,IF(원생!$G9="","",원생!$G9),수납!$B:$B,$B$1&amp;"-"&amp;TEXT(5,"00")&amp;"*",수납!$E:$E,"수강료")+SUMIFS(수납!$F:$F,수납!$C:$C,원생!$A9,수납!$D:$D,IF(원생!$G9="","",원생!$G9),수납!$B:$B,$B$1&amp;"-"&amp;TEXT(5,"00")&amp;"*",수납!$E:$E,""))</f>
        <v/>
      </c>
      <c r="H11" s="14">
        <f>IF(원생!$A9="","",SUMIFS(수납!$F:$F,수납!$C:$C,원생!$A9,수납!$D:$D,IF(원생!$G9="","",원생!$G9),수납!$B:$B,$B$1&amp;"-"&amp;TEXT(6,"00")&amp;"*",수납!$E:$E,"수강료")+SUMIFS(수납!$F:$F,수납!$C:$C,원생!$A9,수납!$D:$D,IF(원생!$G9="","",원생!$G9),수납!$B:$B,$B$1&amp;"-"&amp;TEXT(6,"00")&amp;"*",수납!$E:$E,""))</f>
        <v/>
      </c>
      <c r="I11" s="14">
        <f>IF(원생!$A9="","",SUMIFS(수납!$F:$F,수납!$C:$C,원생!$A9,수납!$D:$D,IF(원생!$G9="","",원생!$G9),수납!$B:$B,$B$1&amp;"-"&amp;TEXT(7,"00")&amp;"*",수납!$E:$E,"수강료")+SUMIFS(수납!$F:$F,수납!$C:$C,원생!$A9,수납!$D:$D,IF(원생!$G9="","",원생!$G9),수납!$B:$B,$B$1&amp;"-"&amp;TEXT(7,"00")&amp;"*",수납!$E:$E,""))</f>
        <v/>
      </c>
      <c r="J11" s="14">
        <f>IF(원생!$A9="","",SUMIFS(수납!$F:$F,수납!$C:$C,원생!$A9,수납!$D:$D,IF(원생!$G9="","",원생!$G9),수납!$B:$B,$B$1&amp;"-"&amp;TEXT(8,"00")&amp;"*",수납!$E:$E,"수강료")+SUMIFS(수납!$F:$F,수납!$C:$C,원생!$A9,수납!$D:$D,IF(원생!$G9="","",원생!$G9),수납!$B:$B,$B$1&amp;"-"&amp;TEXT(8,"00")&amp;"*",수납!$E:$E,""))</f>
        <v/>
      </c>
      <c r="K11" s="14">
        <f>IF(원생!$A9="","",SUMIFS(수납!$F:$F,수납!$C:$C,원생!$A9,수납!$D:$D,IF(원생!$G9="","",원생!$G9),수납!$B:$B,$B$1&amp;"-"&amp;TEXT(9,"00")&amp;"*",수납!$E:$E,"수강료")+SUMIFS(수납!$F:$F,수납!$C:$C,원생!$A9,수납!$D:$D,IF(원생!$G9="","",원생!$G9),수납!$B:$B,$B$1&amp;"-"&amp;TEXT(9,"00")&amp;"*",수납!$E:$E,""))</f>
        <v/>
      </c>
      <c r="L11" s="14">
        <f>IF(원생!$A9="","",SUMIFS(수납!$F:$F,수납!$C:$C,원생!$A9,수납!$D:$D,IF(원생!$G9="","",원생!$G9),수납!$B:$B,$B$1&amp;"-"&amp;TEXT(10,"00")&amp;"*",수납!$E:$E,"수강료")+SUMIFS(수납!$F:$F,수납!$C:$C,원생!$A9,수납!$D:$D,IF(원생!$G9="","",원생!$G9),수납!$B:$B,$B$1&amp;"-"&amp;TEXT(10,"00")&amp;"*",수납!$E:$E,""))</f>
        <v/>
      </c>
      <c r="M11" s="14">
        <f>IF(원생!$A9="","",SUMIFS(수납!$F:$F,수납!$C:$C,원생!$A9,수납!$D:$D,IF(원생!$G9="","",원생!$G9),수납!$B:$B,$B$1&amp;"-"&amp;TEXT(11,"00")&amp;"*",수납!$E:$E,"수강료")+SUMIFS(수납!$F:$F,수납!$C:$C,원생!$A9,수납!$D:$D,IF(원생!$G9="","",원생!$G9),수납!$B:$B,$B$1&amp;"-"&amp;TEXT(11,"00")&amp;"*",수납!$E:$E,""))</f>
        <v/>
      </c>
      <c r="N11" s="14">
        <f>IF(원생!$A9="","",SUMIFS(수납!$F:$F,수납!$C:$C,원생!$A9,수납!$D:$D,IF(원생!$G9="","",원생!$G9),수납!$B:$B,$B$1&amp;"-"&amp;TEXT(12,"00")&amp;"*",수납!$E:$E,"수강료")+SUMIFS(수납!$F:$F,수납!$C:$C,원생!$A9,수납!$D:$D,IF(원생!$G9="","",원생!$G9),수납!$B:$B,$B$1&amp;"-"&amp;TEXT(12,"00")&amp;"*",수납!$E:$E,""))</f>
        <v/>
      </c>
      <c r="O11">
        <f>IF(원생!$I9="","",원생!$I9)</f>
        <v/>
      </c>
      <c r="P11">
        <f>IF($A11="","",IF(AND($B11&gt;0,C11&lt;$B11,DATE($B$1,1,1)&lt;=TODAY(),OR($O11="",$O11&gt;=DATE($B$1,1,1)),OR(COUNTIF($C11:C11,"&gt;0")&gt;0,DATE($B$1,1,1)=DATE(YEAR(TODAY()),MONTH(TODAY()),1))),1,0))</f>
        <v/>
      </c>
      <c r="Q11">
        <f>IF($A11="","",IF(AND($B11&gt;0,D11&lt;$B11,DATE($B$1,2,1)&lt;=TODAY(),OR($O11="",$O11&gt;=DATE($B$1,2,1)),OR(COUNTIF($C11:D11,"&gt;0")&gt;0,DATE($B$1,2,1)=DATE(YEAR(TODAY()),MONTH(TODAY()),1))),1,0))</f>
        <v/>
      </c>
      <c r="R11">
        <f>IF($A11="","",IF(AND($B11&gt;0,E11&lt;$B11,DATE($B$1,3,1)&lt;=TODAY(),OR($O11="",$O11&gt;=DATE($B$1,3,1)),OR(COUNTIF($C11:E11,"&gt;0")&gt;0,DATE($B$1,3,1)=DATE(YEAR(TODAY()),MONTH(TODAY()),1))),1,0))</f>
        <v/>
      </c>
      <c r="S11">
        <f>IF($A11="","",IF(AND($B11&gt;0,F11&lt;$B11,DATE($B$1,4,1)&lt;=TODAY(),OR($O11="",$O11&gt;=DATE($B$1,4,1)),OR(COUNTIF($C11:F11,"&gt;0")&gt;0,DATE($B$1,4,1)=DATE(YEAR(TODAY()),MONTH(TODAY()),1))),1,0))</f>
        <v/>
      </c>
      <c r="T11">
        <f>IF($A11="","",IF(AND($B11&gt;0,G11&lt;$B11,DATE($B$1,5,1)&lt;=TODAY(),OR($O11="",$O11&gt;=DATE($B$1,5,1)),OR(COUNTIF($C11:G11,"&gt;0")&gt;0,DATE($B$1,5,1)=DATE(YEAR(TODAY()),MONTH(TODAY()),1))),1,0))</f>
        <v/>
      </c>
      <c r="U11">
        <f>IF($A11="","",IF(AND($B11&gt;0,H11&lt;$B11,DATE($B$1,6,1)&lt;=TODAY(),OR($O11="",$O11&gt;=DATE($B$1,6,1)),OR(COUNTIF($C11:H11,"&gt;0")&gt;0,DATE($B$1,6,1)=DATE(YEAR(TODAY()),MONTH(TODAY()),1))),1,0))</f>
        <v/>
      </c>
      <c r="V11">
        <f>IF($A11="","",IF(AND($B11&gt;0,I11&lt;$B11,DATE($B$1,7,1)&lt;=TODAY(),OR($O11="",$O11&gt;=DATE($B$1,7,1)),OR(COUNTIF($C11:I11,"&gt;0")&gt;0,DATE($B$1,7,1)=DATE(YEAR(TODAY()),MONTH(TODAY()),1))),1,0))</f>
        <v/>
      </c>
      <c r="W11">
        <f>IF($A11="","",IF(AND($B11&gt;0,J11&lt;$B11,DATE($B$1,8,1)&lt;=TODAY(),OR($O11="",$O11&gt;=DATE($B$1,8,1)),OR(COUNTIF($C11:J11,"&gt;0")&gt;0,DATE($B$1,8,1)=DATE(YEAR(TODAY()),MONTH(TODAY()),1))),1,0))</f>
        <v/>
      </c>
      <c r="X11">
        <f>IF($A11="","",IF(AND($B11&gt;0,K11&lt;$B11,DATE($B$1,9,1)&lt;=TODAY(),OR($O11="",$O11&gt;=DATE($B$1,9,1)),OR(COUNTIF($C11:K11,"&gt;0")&gt;0,DATE($B$1,9,1)=DATE(YEAR(TODAY()),MONTH(TODAY()),1))),1,0))</f>
        <v/>
      </c>
      <c r="Y11">
        <f>IF($A11="","",IF(AND($B11&gt;0,L11&lt;$B11,DATE($B$1,10,1)&lt;=TODAY(),OR($O11="",$O11&gt;=DATE($B$1,10,1)),OR(COUNTIF($C11:L11,"&gt;0")&gt;0,DATE($B$1,10,1)=DATE(YEAR(TODAY()),MONTH(TODAY()),1))),1,0))</f>
        <v/>
      </c>
      <c r="Z11">
        <f>IF($A11="","",IF(AND($B11&gt;0,M11&lt;$B11,DATE($B$1,11,1)&lt;=TODAY(),OR($O11="",$O11&gt;=DATE($B$1,11,1)),OR(COUNTIF($C11:M11,"&gt;0")&gt;0,DATE($B$1,11,1)=DATE(YEAR(TODAY()),MONTH(TODAY()),1))),1,0))</f>
        <v/>
      </c>
      <c r="AA11">
        <f>IF($A11="","",IF(AND($B11&gt;0,N11&lt;$B11,DATE($B$1,12,1)&lt;=TODAY(),OR($O11="",$O11&gt;=DATE($B$1,12,1)),OR(COUNTIF($C11:N11,"&gt;0")&gt;0,DATE($B$1,12,1)=DATE(YEAR(TODAY()),MONTH(TODAY()),1))),1,0))</f>
        <v/>
      </c>
    </row>
    <row r="12">
      <c r="A12" s="13">
        <f>IF(원생!$A10="","",원생!$A10&amp;IF(원생!$G10="",""," ("&amp;원생!$G10&amp;")"))</f>
        <v/>
      </c>
      <c r="B12" s="8">
        <f>IF(원생!$A10="","",원생!$F10)</f>
        <v/>
      </c>
      <c r="C12" s="14">
        <f>IF(원생!$A10="","",SUMIFS(수납!$F:$F,수납!$C:$C,원생!$A10,수납!$D:$D,IF(원생!$G10="","",원생!$G10),수납!$B:$B,$B$1&amp;"-"&amp;TEXT(1,"00")&amp;"*",수납!$E:$E,"수강료")+SUMIFS(수납!$F:$F,수납!$C:$C,원생!$A10,수납!$D:$D,IF(원생!$G10="","",원생!$G10),수납!$B:$B,$B$1&amp;"-"&amp;TEXT(1,"00")&amp;"*",수납!$E:$E,""))</f>
        <v/>
      </c>
      <c r="D12" s="14">
        <f>IF(원생!$A10="","",SUMIFS(수납!$F:$F,수납!$C:$C,원생!$A10,수납!$D:$D,IF(원생!$G10="","",원생!$G10),수납!$B:$B,$B$1&amp;"-"&amp;TEXT(2,"00")&amp;"*",수납!$E:$E,"수강료")+SUMIFS(수납!$F:$F,수납!$C:$C,원생!$A10,수납!$D:$D,IF(원생!$G10="","",원생!$G10),수납!$B:$B,$B$1&amp;"-"&amp;TEXT(2,"00")&amp;"*",수납!$E:$E,""))</f>
        <v/>
      </c>
      <c r="E12" s="14">
        <f>IF(원생!$A10="","",SUMIFS(수납!$F:$F,수납!$C:$C,원생!$A10,수납!$D:$D,IF(원생!$G10="","",원생!$G10),수납!$B:$B,$B$1&amp;"-"&amp;TEXT(3,"00")&amp;"*",수납!$E:$E,"수강료")+SUMIFS(수납!$F:$F,수납!$C:$C,원생!$A10,수납!$D:$D,IF(원생!$G10="","",원생!$G10),수납!$B:$B,$B$1&amp;"-"&amp;TEXT(3,"00")&amp;"*",수납!$E:$E,""))</f>
        <v/>
      </c>
      <c r="F12" s="14">
        <f>IF(원생!$A10="","",SUMIFS(수납!$F:$F,수납!$C:$C,원생!$A10,수납!$D:$D,IF(원생!$G10="","",원생!$G10),수납!$B:$B,$B$1&amp;"-"&amp;TEXT(4,"00")&amp;"*",수납!$E:$E,"수강료")+SUMIFS(수납!$F:$F,수납!$C:$C,원생!$A10,수납!$D:$D,IF(원생!$G10="","",원생!$G10),수납!$B:$B,$B$1&amp;"-"&amp;TEXT(4,"00")&amp;"*",수납!$E:$E,""))</f>
        <v/>
      </c>
      <c r="G12" s="14">
        <f>IF(원생!$A10="","",SUMIFS(수납!$F:$F,수납!$C:$C,원생!$A10,수납!$D:$D,IF(원생!$G10="","",원생!$G10),수납!$B:$B,$B$1&amp;"-"&amp;TEXT(5,"00")&amp;"*",수납!$E:$E,"수강료")+SUMIFS(수납!$F:$F,수납!$C:$C,원생!$A10,수납!$D:$D,IF(원생!$G10="","",원생!$G10),수납!$B:$B,$B$1&amp;"-"&amp;TEXT(5,"00")&amp;"*",수납!$E:$E,""))</f>
        <v/>
      </c>
      <c r="H12" s="14">
        <f>IF(원생!$A10="","",SUMIFS(수납!$F:$F,수납!$C:$C,원생!$A10,수납!$D:$D,IF(원생!$G10="","",원생!$G10),수납!$B:$B,$B$1&amp;"-"&amp;TEXT(6,"00")&amp;"*",수납!$E:$E,"수강료")+SUMIFS(수납!$F:$F,수납!$C:$C,원생!$A10,수납!$D:$D,IF(원생!$G10="","",원생!$G10),수납!$B:$B,$B$1&amp;"-"&amp;TEXT(6,"00")&amp;"*",수납!$E:$E,""))</f>
        <v/>
      </c>
      <c r="I12" s="14">
        <f>IF(원생!$A10="","",SUMIFS(수납!$F:$F,수납!$C:$C,원생!$A10,수납!$D:$D,IF(원생!$G10="","",원생!$G10),수납!$B:$B,$B$1&amp;"-"&amp;TEXT(7,"00")&amp;"*",수납!$E:$E,"수강료")+SUMIFS(수납!$F:$F,수납!$C:$C,원생!$A10,수납!$D:$D,IF(원생!$G10="","",원생!$G10),수납!$B:$B,$B$1&amp;"-"&amp;TEXT(7,"00")&amp;"*",수납!$E:$E,""))</f>
        <v/>
      </c>
      <c r="J12" s="14">
        <f>IF(원생!$A10="","",SUMIFS(수납!$F:$F,수납!$C:$C,원생!$A10,수납!$D:$D,IF(원생!$G10="","",원생!$G10),수납!$B:$B,$B$1&amp;"-"&amp;TEXT(8,"00")&amp;"*",수납!$E:$E,"수강료")+SUMIFS(수납!$F:$F,수납!$C:$C,원생!$A10,수납!$D:$D,IF(원생!$G10="","",원생!$G10),수납!$B:$B,$B$1&amp;"-"&amp;TEXT(8,"00")&amp;"*",수납!$E:$E,""))</f>
        <v/>
      </c>
      <c r="K12" s="14">
        <f>IF(원생!$A10="","",SUMIFS(수납!$F:$F,수납!$C:$C,원생!$A10,수납!$D:$D,IF(원생!$G10="","",원생!$G10),수납!$B:$B,$B$1&amp;"-"&amp;TEXT(9,"00")&amp;"*",수납!$E:$E,"수강료")+SUMIFS(수납!$F:$F,수납!$C:$C,원생!$A10,수납!$D:$D,IF(원생!$G10="","",원생!$G10),수납!$B:$B,$B$1&amp;"-"&amp;TEXT(9,"00")&amp;"*",수납!$E:$E,""))</f>
        <v/>
      </c>
      <c r="L12" s="14">
        <f>IF(원생!$A10="","",SUMIFS(수납!$F:$F,수납!$C:$C,원생!$A10,수납!$D:$D,IF(원생!$G10="","",원생!$G10),수납!$B:$B,$B$1&amp;"-"&amp;TEXT(10,"00")&amp;"*",수납!$E:$E,"수강료")+SUMIFS(수납!$F:$F,수납!$C:$C,원생!$A10,수납!$D:$D,IF(원생!$G10="","",원생!$G10),수납!$B:$B,$B$1&amp;"-"&amp;TEXT(10,"00")&amp;"*",수납!$E:$E,""))</f>
        <v/>
      </c>
      <c r="M12" s="14">
        <f>IF(원생!$A10="","",SUMIFS(수납!$F:$F,수납!$C:$C,원생!$A10,수납!$D:$D,IF(원생!$G10="","",원생!$G10),수납!$B:$B,$B$1&amp;"-"&amp;TEXT(11,"00")&amp;"*",수납!$E:$E,"수강료")+SUMIFS(수납!$F:$F,수납!$C:$C,원생!$A10,수납!$D:$D,IF(원생!$G10="","",원생!$G10),수납!$B:$B,$B$1&amp;"-"&amp;TEXT(11,"00")&amp;"*",수납!$E:$E,""))</f>
        <v/>
      </c>
      <c r="N12" s="14">
        <f>IF(원생!$A10="","",SUMIFS(수납!$F:$F,수납!$C:$C,원생!$A10,수납!$D:$D,IF(원생!$G10="","",원생!$G10),수납!$B:$B,$B$1&amp;"-"&amp;TEXT(12,"00")&amp;"*",수납!$E:$E,"수강료")+SUMIFS(수납!$F:$F,수납!$C:$C,원생!$A10,수납!$D:$D,IF(원생!$G10="","",원생!$G10),수납!$B:$B,$B$1&amp;"-"&amp;TEXT(12,"00")&amp;"*",수납!$E:$E,""))</f>
        <v/>
      </c>
      <c r="O12">
        <f>IF(원생!$I10="","",원생!$I10)</f>
        <v/>
      </c>
      <c r="P12">
        <f>IF($A12="","",IF(AND($B12&gt;0,C12&lt;$B12,DATE($B$1,1,1)&lt;=TODAY(),OR($O12="",$O12&gt;=DATE($B$1,1,1)),OR(COUNTIF($C12:C12,"&gt;0")&gt;0,DATE($B$1,1,1)=DATE(YEAR(TODAY()),MONTH(TODAY()),1))),1,0))</f>
        <v/>
      </c>
      <c r="Q12">
        <f>IF($A12="","",IF(AND($B12&gt;0,D12&lt;$B12,DATE($B$1,2,1)&lt;=TODAY(),OR($O12="",$O12&gt;=DATE($B$1,2,1)),OR(COUNTIF($C12:D12,"&gt;0")&gt;0,DATE($B$1,2,1)=DATE(YEAR(TODAY()),MONTH(TODAY()),1))),1,0))</f>
        <v/>
      </c>
      <c r="R12">
        <f>IF($A12="","",IF(AND($B12&gt;0,E12&lt;$B12,DATE($B$1,3,1)&lt;=TODAY(),OR($O12="",$O12&gt;=DATE($B$1,3,1)),OR(COUNTIF($C12:E12,"&gt;0")&gt;0,DATE($B$1,3,1)=DATE(YEAR(TODAY()),MONTH(TODAY()),1))),1,0))</f>
        <v/>
      </c>
      <c r="S12">
        <f>IF($A12="","",IF(AND($B12&gt;0,F12&lt;$B12,DATE($B$1,4,1)&lt;=TODAY(),OR($O12="",$O12&gt;=DATE($B$1,4,1)),OR(COUNTIF($C12:F12,"&gt;0")&gt;0,DATE($B$1,4,1)=DATE(YEAR(TODAY()),MONTH(TODAY()),1))),1,0))</f>
        <v/>
      </c>
      <c r="T12">
        <f>IF($A12="","",IF(AND($B12&gt;0,G12&lt;$B12,DATE($B$1,5,1)&lt;=TODAY(),OR($O12="",$O12&gt;=DATE($B$1,5,1)),OR(COUNTIF($C12:G12,"&gt;0")&gt;0,DATE($B$1,5,1)=DATE(YEAR(TODAY()),MONTH(TODAY()),1))),1,0))</f>
        <v/>
      </c>
      <c r="U12">
        <f>IF($A12="","",IF(AND($B12&gt;0,H12&lt;$B12,DATE($B$1,6,1)&lt;=TODAY(),OR($O12="",$O12&gt;=DATE($B$1,6,1)),OR(COUNTIF($C12:H12,"&gt;0")&gt;0,DATE($B$1,6,1)=DATE(YEAR(TODAY()),MONTH(TODAY()),1))),1,0))</f>
        <v/>
      </c>
      <c r="V12">
        <f>IF($A12="","",IF(AND($B12&gt;0,I12&lt;$B12,DATE($B$1,7,1)&lt;=TODAY(),OR($O12="",$O12&gt;=DATE($B$1,7,1)),OR(COUNTIF($C12:I12,"&gt;0")&gt;0,DATE($B$1,7,1)=DATE(YEAR(TODAY()),MONTH(TODAY()),1))),1,0))</f>
        <v/>
      </c>
      <c r="W12">
        <f>IF($A12="","",IF(AND($B12&gt;0,J12&lt;$B12,DATE($B$1,8,1)&lt;=TODAY(),OR($O12="",$O12&gt;=DATE($B$1,8,1)),OR(COUNTIF($C12:J12,"&gt;0")&gt;0,DATE($B$1,8,1)=DATE(YEAR(TODAY()),MONTH(TODAY()),1))),1,0))</f>
        <v/>
      </c>
      <c r="X12">
        <f>IF($A12="","",IF(AND($B12&gt;0,K12&lt;$B12,DATE($B$1,9,1)&lt;=TODAY(),OR($O12="",$O12&gt;=DATE($B$1,9,1)),OR(COUNTIF($C12:K12,"&gt;0")&gt;0,DATE($B$1,9,1)=DATE(YEAR(TODAY()),MONTH(TODAY()),1))),1,0))</f>
        <v/>
      </c>
      <c r="Y12">
        <f>IF($A12="","",IF(AND($B12&gt;0,L12&lt;$B12,DATE($B$1,10,1)&lt;=TODAY(),OR($O12="",$O12&gt;=DATE($B$1,10,1)),OR(COUNTIF($C12:L12,"&gt;0")&gt;0,DATE($B$1,10,1)=DATE(YEAR(TODAY()),MONTH(TODAY()),1))),1,0))</f>
        <v/>
      </c>
      <c r="Z12">
        <f>IF($A12="","",IF(AND($B12&gt;0,M12&lt;$B12,DATE($B$1,11,1)&lt;=TODAY(),OR($O12="",$O12&gt;=DATE($B$1,11,1)),OR(COUNTIF($C12:M12,"&gt;0")&gt;0,DATE($B$1,11,1)=DATE(YEAR(TODAY()),MONTH(TODAY()),1))),1,0))</f>
        <v/>
      </c>
      <c r="AA12">
        <f>IF($A12="","",IF(AND($B12&gt;0,N12&lt;$B12,DATE($B$1,12,1)&lt;=TODAY(),OR($O12="",$O12&gt;=DATE($B$1,12,1)),OR(COUNTIF($C12:N12,"&gt;0")&gt;0,DATE($B$1,12,1)=DATE(YEAR(TODAY()),MONTH(TODAY()),1))),1,0))</f>
        <v/>
      </c>
    </row>
    <row r="13">
      <c r="A13" s="13">
        <f>IF(원생!$A11="","",원생!$A11&amp;IF(원생!$G11="",""," ("&amp;원생!$G11&amp;")"))</f>
        <v/>
      </c>
      <c r="B13" s="8">
        <f>IF(원생!$A11="","",원생!$F11)</f>
        <v/>
      </c>
      <c r="C13" s="14">
        <f>IF(원생!$A11="","",SUMIFS(수납!$F:$F,수납!$C:$C,원생!$A11,수납!$D:$D,IF(원생!$G11="","",원생!$G11),수납!$B:$B,$B$1&amp;"-"&amp;TEXT(1,"00")&amp;"*",수납!$E:$E,"수강료")+SUMIFS(수납!$F:$F,수납!$C:$C,원생!$A11,수납!$D:$D,IF(원생!$G11="","",원생!$G11),수납!$B:$B,$B$1&amp;"-"&amp;TEXT(1,"00")&amp;"*",수납!$E:$E,""))</f>
        <v/>
      </c>
      <c r="D13" s="14">
        <f>IF(원생!$A11="","",SUMIFS(수납!$F:$F,수납!$C:$C,원생!$A11,수납!$D:$D,IF(원생!$G11="","",원생!$G11),수납!$B:$B,$B$1&amp;"-"&amp;TEXT(2,"00")&amp;"*",수납!$E:$E,"수강료")+SUMIFS(수납!$F:$F,수납!$C:$C,원생!$A11,수납!$D:$D,IF(원생!$G11="","",원생!$G11),수납!$B:$B,$B$1&amp;"-"&amp;TEXT(2,"00")&amp;"*",수납!$E:$E,""))</f>
        <v/>
      </c>
      <c r="E13" s="14">
        <f>IF(원생!$A11="","",SUMIFS(수납!$F:$F,수납!$C:$C,원생!$A11,수납!$D:$D,IF(원생!$G11="","",원생!$G11),수납!$B:$B,$B$1&amp;"-"&amp;TEXT(3,"00")&amp;"*",수납!$E:$E,"수강료")+SUMIFS(수납!$F:$F,수납!$C:$C,원생!$A11,수납!$D:$D,IF(원생!$G11="","",원생!$G11),수납!$B:$B,$B$1&amp;"-"&amp;TEXT(3,"00")&amp;"*",수납!$E:$E,""))</f>
        <v/>
      </c>
      <c r="F13" s="14">
        <f>IF(원생!$A11="","",SUMIFS(수납!$F:$F,수납!$C:$C,원생!$A11,수납!$D:$D,IF(원생!$G11="","",원생!$G11),수납!$B:$B,$B$1&amp;"-"&amp;TEXT(4,"00")&amp;"*",수납!$E:$E,"수강료")+SUMIFS(수납!$F:$F,수납!$C:$C,원생!$A11,수납!$D:$D,IF(원생!$G11="","",원생!$G11),수납!$B:$B,$B$1&amp;"-"&amp;TEXT(4,"00")&amp;"*",수납!$E:$E,""))</f>
        <v/>
      </c>
      <c r="G13" s="14">
        <f>IF(원생!$A11="","",SUMIFS(수납!$F:$F,수납!$C:$C,원생!$A11,수납!$D:$D,IF(원생!$G11="","",원생!$G11),수납!$B:$B,$B$1&amp;"-"&amp;TEXT(5,"00")&amp;"*",수납!$E:$E,"수강료")+SUMIFS(수납!$F:$F,수납!$C:$C,원생!$A11,수납!$D:$D,IF(원생!$G11="","",원생!$G11),수납!$B:$B,$B$1&amp;"-"&amp;TEXT(5,"00")&amp;"*",수납!$E:$E,""))</f>
        <v/>
      </c>
      <c r="H13" s="14">
        <f>IF(원생!$A11="","",SUMIFS(수납!$F:$F,수납!$C:$C,원생!$A11,수납!$D:$D,IF(원생!$G11="","",원생!$G11),수납!$B:$B,$B$1&amp;"-"&amp;TEXT(6,"00")&amp;"*",수납!$E:$E,"수강료")+SUMIFS(수납!$F:$F,수납!$C:$C,원생!$A11,수납!$D:$D,IF(원생!$G11="","",원생!$G11),수납!$B:$B,$B$1&amp;"-"&amp;TEXT(6,"00")&amp;"*",수납!$E:$E,""))</f>
        <v/>
      </c>
      <c r="I13" s="14">
        <f>IF(원생!$A11="","",SUMIFS(수납!$F:$F,수납!$C:$C,원생!$A11,수납!$D:$D,IF(원생!$G11="","",원생!$G11),수납!$B:$B,$B$1&amp;"-"&amp;TEXT(7,"00")&amp;"*",수납!$E:$E,"수강료")+SUMIFS(수납!$F:$F,수납!$C:$C,원생!$A11,수납!$D:$D,IF(원생!$G11="","",원생!$G11),수납!$B:$B,$B$1&amp;"-"&amp;TEXT(7,"00")&amp;"*",수납!$E:$E,""))</f>
        <v/>
      </c>
      <c r="J13" s="14">
        <f>IF(원생!$A11="","",SUMIFS(수납!$F:$F,수납!$C:$C,원생!$A11,수납!$D:$D,IF(원생!$G11="","",원생!$G11),수납!$B:$B,$B$1&amp;"-"&amp;TEXT(8,"00")&amp;"*",수납!$E:$E,"수강료")+SUMIFS(수납!$F:$F,수납!$C:$C,원생!$A11,수납!$D:$D,IF(원생!$G11="","",원생!$G11),수납!$B:$B,$B$1&amp;"-"&amp;TEXT(8,"00")&amp;"*",수납!$E:$E,""))</f>
        <v/>
      </c>
      <c r="K13" s="14">
        <f>IF(원생!$A11="","",SUMIFS(수납!$F:$F,수납!$C:$C,원생!$A11,수납!$D:$D,IF(원생!$G11="","",원생!$G11),수납!$B:$B,$B$1&amp;"-"&amp;TEXT(9,"00")&amp;"*",수납!$E:$E,"수강료")+SUMIFS(수납!$F:$F,수납!$C:$C,원생!$A11,수납!$D:$D,IF(원생!$G11="","",원생!$G11),수납!$B:$B,$B$1&amp;"-"&amp;TEXT(9,"00")&amp;"*",수납!$E:$E,""))</f>
        <v/>
      </c>
      <c r="L13" s="14">
        <f>IF(원생!$A11="","",SUMIFS(수납!$F:$F,수납!$C:$C,원생!$A11,수납!$D:$D,IF(원생!$G11="","",원생!$G11),수납!$B:$B,$B$1&amp;"-"&amp;TEXT(10,"00")&amp;"*",수납!$E:$E,"수강료")+SUMIFS(수납!$F:$F,수납!$C:$C,원생!$A11,수납!$D:$D,IF(원생!$G11="","",원생!$G11),수납!$B:$B,$B$1&amp;"-"&amp;TEXT(10,"00")&amp;"*",수납!$E:$E,""))</f>
        <v/>
      </c>
      <c r="M13" s="14">
        <f>IF(원생!$A11="","",SUMIFS(수납!$F:$F,수납!$C:$C,원생!$A11,수납!$D:$D,IF(원생!$G11="","",원생!$G11),수납!$B:$B,$B$1&amp;"-"&amp;TEXT(11,"00")&amp;"*",수납!$E:$E,"수강료")+SUMIFS(수납!$F:$F,수납!$C:$C,원생!$A11,수납!$D:$D,IF(원생!$G11="","",원생!$G11),수납!$B:$B,$B$1&amp;"-"&amp;TEXT(11,"00")&amp;"*",수납!$E:$E,""))</f>
        <v/>
      </c>
      <c r="N13" s="14">
        <f>IF(원생!$A11="","",SUMIFS(수납!$F:$F,수납!$C:$C,원생!$A11,수납!$D:$D,IF(원생!$G11="","",원생!$G11),수납!$B:$B,$B$1&amp;"-"&amp;TEXT(12,"00")&amp;"*",수납!$E:$E,"수강료")+SUMIFS(수납!$F:$F,수납!$C:$C,원생!$A11,수납!$D:$D,IF(원생!$G11="","",원생!$G11),수납!$B:$B,$B$1&amp;"-"&amp;TEXT(12,"00")&amp;"*",수납!$E:$E,""))</f>
        <v/>
      </c>
      <c r="O13">
        <f>IF(원생!$I11="","",원생!$I11)</f>
        <v/>
      </c>
      <c r="P13">
        <f>IF($A13="","",IF(AND($B13&gt;0,C13&lt;$B13,DATE($B$1,1,1)&lt;=TODAY(),OR($O13="",$O13&gt;=DATE($B$1,1,1)),OR(COUNTIF($C13:C13,"&gt;0")&gt;0,DATE($B$1,1,1)=DATE(YEAR(TODAY()),MONTH(TODAY()),1))),1,0))</f>
        <v/>
      </c>
      <c r="Q13">
        <f>IF($A13="","",IF(AND($B13&gt;0,D13&lt;$B13,DATE($B$1,2,1)&lt;=TODAY(),OR($O13="",$O13&gt;=DATE($B$1,2,1)),OR(COUNTIF($C13:D13,"&gt;0")&gt;0,DATE($B$1,2,1)=DATE(YEAR(TODAY()),MONTH(TODAY()),1))),1,0))</f>
        <v/>
      </c>
      <c r="R13">
        <f>IF($A13="","",IF(AND($B13&gt;0,E13&lt;$B13,DATE($B$1,3,1)&lt;=TODAY(),OR($O13="",$O13&gt;=DATE($B$1,3,1)),OR(COUNTIF($C13:E13,"&gt;0")&gt;0,DATE($B$1,3,1)=DATE(YEAR(TODAY()),MONTH(TODAY()),1))),1,0))</f>
        <v/>
      </c>
      <c r="S13">
        <f>IF($A13="","",IF(AND($B13&gt;0,F13&lt;$B13,DATE($B$1,4,1)&lt;=TODAY(),OR($O13="",$O13&gt;=DATE($B$1,4,1)),OR(COUNTIF($C13:F13,"&gt;0")&gt;0,DATE($B$1,4,1)=DATE(YEAR(TODAY()),MONTH(TODAY()),1))),1,0))</f>
        <v/>
      </c>
      <c r="T13">
        <f>IF($A13="","",IF(AND($B13&gt;0,G13&lt;$B13,DATE($B$1,5,1)&lt;=TODAY(),OR($O13="",$O13&gt;=DATE($B$1,5,1)),OR(COUNTIF($C13:G13,"&gt;0")&gt;0,DATE($B$1,5,1)=DATE(YEAR(TODAY()),MONTH(TODAY()),1))),1,0))</f>
        <v/>
      </c>
      <c r="U13">
        <f>IF($A13="","",IF(AND($B13&gt;0,H13&lt;$B13,DATE($B$1,6,1)&lt;=TODAY(),OR($O13="",$O13&gt;=DATE($B$1,6,1)),OR(COUNTIF($C13:H13,"&gt;0")&gt;0,DATE($B$1,6,1)=DATE(YEAR(TODAY()),MONTH(TODAY()),1))),1,0))</f>
        <v/>
      </c>
      <c r="V13">
        <f>IF($A13="","",IF(AND($B13&gt;0,I13&lt;$B13,DATE($B$1,7,1)&lt;=TODAY(),OR($O13="",$O13&gt;=DATE($B$1,7,1)),OR(COUNTIF($C13:I13,"&gt;0")&gt;0,DATE($B$1,7,1)=DATE(YEAR(TODAY()),MONTH(TODAY()),1))),1,0))</f>
        <v/>
      </c>
      <c r="W13">
        <f>IF($A13="","",IF(AND($B13&gt;0,J13&lt;$B13,DATE($B$1,8,1)&lt;=TODAY(),OR($O13="",$O13&gt;=DATE($B$1,8,1)),OR(COUNTIF($C13:J13,"&gt;0")&gt;0,DATE($B$1,8,1)=DATE(YEAR(TODAY()),MONTH(TODAY()),1))),1,0))</f>
        <v/>
      </c>
      <c r="X13">
        <f>IF($A13="","",IF(AND($B13&gt;0,K13&lt;$B13,DATE($B$1,9,1)&lt;=TODAY(),OR($O13="",$O13&gt;=DATE($B$1,9,1)),OR(COUNTIF($C13:K13,"&gt;0")&gt;0,DATE($B$1,9,1)=DATE(YEAR(TODAY()),MONTH(TODAY()),1))),1,0))</f>
        <v/>
      </c>
      <c r="Y13">
        <f>IF($A13="","",IF(AND($B13&gt;0,L13&lt;$B13,DATE($B$1,10,1)&lt;=TODAY(),OR($O13="",$O13&gt;=DATE($B$1,10,1)),OR(COUNTIF($C13:L13,"&gt;0")&gt;0,DATE($B$1,10,1)=DATE(YEAR(TODAY()),MONTH(TODAY()),1))),1,0))</f>
        <v/>
      </c>
      <c r="Z13">
        <f>IF($A13="","",IF(AND($B13&gt;0,M13&lt;$B13,DATE($B$1,11,1)&lt;=TODAY(),OR($O13="",$O13&gt;=DATE($B$1,11,1)),OR(COUNTIF($C13:M13,"&gt;0")&gt;0,DATE($B$1,11,1)=DATE(YEAR(TODAY()),MONTH(TODAY()),1))),1,0))</f>
        <v/>
      </c>
      <c r="AA13">
        <f>IF($A13="","",IF(AND($B13&gt;0,N13&lt;$B13,DATE($B$1,12,1)&lt;=TODAY(),OR($O13="",$O13&gt;=DATE($B$1,12,1)),OR(COUNTIF($C13:N13,"&gt;0")&gt;0,DATE($B$1,12,1)=DATE(YEAR(TODAY()),MONTH(TODAY()),1))),1,0))</f>
        <v/>
      </c>
    </row>
    <row r="14">
      <c r="A14" s="13">
        <f>IF(원생!$A12="","",원생!$A12&amp;IF(원생!$G12="",""," ("&amp;원생!$G12&amp;")"))</f>
        <v/>
      </c>
      <c r="B14" s="8">
        <f>IF(원생!$A12="","",원생!$F12)</f>
        <v/>
      </c>
      <c r="C14" s="14">
        <f>IF(원생!$A12="","",SUMIFS(수납!$F:$F,수납!$C:$C,원생!$A12,수납!$D:$D,IF(원생!$G12="","",원생!$G12),수납!$B:$B,$B$1&amp;"-"&amp;TEXT(1,"00")&amp;"*",수납!$E:$E,"수강료")+SUMIFS(수납!$F:$F,수납!$C:$C,원생!$A12,수납!$D:$D,IF(원생!$G12="","",원생!$G12),수납!$B:$B,$B$1&amp;"-"&amp;TEXT(1,"00")&amp;"*",수납!$E:$E,""))</f>
        <v/>
      </c>
      <c r="D14" s="14">
        <f>IF(원생!$A12="","",SUMIFS(수납!$F:$F,수납!$C:$C,원생!$A12,수납!$D:$D,IF(원생!$G12="","",원생!$G12),수납!$B:$B,$B$1&amp;"-"&amp;TEXT(2,"00")&amp;"*",수납!$E:$E,"수강료")+SUMIFS(수납!$F:$F,수납!$C:$C,원생!$A12,수납!$D:$D,IF(원생!$G12="","",원생!$G12),수납!$B:$B,$B$1&amp;"-"&amp;TEXT(2,"00")&amp;"*",수납!$E:$E,""))</f>
        <v/>
      </c>
      <c r="E14" s="14">
        <f>IF(원생!$A12="","",SUMIFS(수납!$F:$F,수납!$C:$C,원생!$A12,수납!$D:$D,IF(원생!$G12="","",원생!$G12),수납!$B:$B,$B$1&amp;"-"&amp;TEXT(3,"00")&amp;"*",수납!$E:$E,"수강료")+SUMIFS(수납!$F:$F,수납!$C:$C,원생!$A12,수납!$D:$D,IF(원생!$G12="","",원생!$G12),수납!$B:$B,$B$1&amp;"-"&amp;TEXT(3,"00")&amp;"*",수납!$E:$E,""))</f>
        <v/>
      </c>
      <c r="F14" s="14">
        <f>IF(원생!$A12="","",SUMIFS(수납!$F:$F,수납!$C:$C,원생!$A12,수납!$D:$D,IF(원생!$G12="","",원생!$G12),수납!$B:$B,$B$1&amp;"-"&amp;TEXT(4,"00")&amp;"*",수납!$E:$E,"수강료")+SUMIFS(수납!$F:$F,수납!$C:$C,원생!$A12,수납!$D:$D,IF(원생!$G12="","",원생!$G12),수납!$B:$B,$B$1&amp;"-"&amp;TEXT(4,"00")&amp;"*",수납!$E:$E,""))</f>
        <v/>
      </c>
      <c r="G14" s="14">
        <f>IF(원생!$A12="","",SUMIFS(수납!$F:$F,수납!$C:$C,원생!$A12,수납!$D:$D,IF(원생!$G12="","",원생!$G12),수납!$B:$B,$B$1&amp;"-"&amp;TEXT(5,"00")&amp;"*",수납!$E:$E,"수강료")+SUMIFS(수납!$F:$F,수납!$C:$C,원생!$A12,수납!$D:$D,IF(원생!$G12="","",원생!$G12),수납!$B:$B,$B$1&amp;"-"&amp;TEXT(5,"00")&amp;"*",수납!$E:$E,""))</f>
        <v/>
      </c>
      <c r="H14" s="14">
        <f>IF(원생!$A12="","",SUMIFS(수납!$F:$F,수납!$C:$C,원생!$A12,수납!$D:$D,IF(원생!$G12="","",원생!$G12),수납!$B:$B,$B$1&amp;"-"&amp;TEXT(6,"00")&amp;"*",수납!$E:$E,"수강료")+SUMIFS(수납!$F:$F,수납!$C:$C,원생!$A12,수납!$D:$D,IF(원생!$G12="","",원생!$G12),수납!$B:$B,$B$1&amp;"-"&amp;TEXT(6,"00")&amp;"*",수납!$E:$E,""))</f>
        <v/>
      </c>
      <c r="I14" s="14">
        <f>IF(원생!$A12="","",SUMIFS(수납!$F:$F,수납!$C:$C,원생!$A12,수납!$D:$D,IF(원생!$G12="","",원생!$G12),수납!$B:$B,$B$1&amp;"-"&amp;TEXT(7,"00")&amp;"*",수납!$E:$E,"수강료")+SUMIFS(수납!$F:$F,수납!$C:$C,원생!$A12,수납!$D:$D,IF(원생!$G12="","",원생!$G12),수납!$B:$B,$B$1&amp;"-"&amp;TEXT(7,"00")&amp;"*",수납!$E:$E,""))</f>
        <v/>
      </c>
      <c r="J14" s="14">
        <f>IF(원생!$A12="","",SUMIFS(수납!$F:$F,수납!$C:$C,원생!$A12,수납!$D:$D,IF(원생!$G12="","",원생!$G12),수납!$B:$B,$B$1&amp;"-"&amp;TEXT(8,"00")&amp;"*",수납!$E:$E,"수강료")+SUMIFS(수납!$F:$F,수납!$C:$C,원생!$A12,수납!$D:$D,IF(원생!$G12="","",원생!$G12),수납!$B:$B,$B$1&amp;"-"&amp;TEXT(8,"00")&amp;"*",수납!$E:$E,""))</f>
        <v/>
      </c>
      <c r="K14" s="14">
        <f>IF(원생!$A12="","",SUMIFS(수납!$F:$F,수납!$C:$C,원생!$A12,수납!$D:$D,IF(원생!$G12="","",원생!$G12),수납!$B:$B,$B$1&amp;"-"&amp;TEXT(9,"00")&amp;"*",수납!$E:$E,"수강료")+SUMIFS(수납!$F:$F,수납!$C:$C,원생!$A12,수납!$D:$D,IF(원생!$G12="","",원생!$G12),수납!$B:$B,$B$1&amp;"-"&amp;TEXT(9,"00")&amp;"*",수납!$E:$E,""))</f>
        <v/>
      </c>
      <c r="L14" s="14">
        <f>IF(원생!$A12="","",SUMIFS(수납!$F:$F,수납!$C:$C,원생!$A12,수납!$D:$D,IF(원생!$G12="","",원생!$G12),수납!$B:$B,$B$1&amp;"-"&amp;TEXT(10,"00")&amp;"*",수납!$E:$E,"수강료")+SUMIFS(수납!$F:$F,수납!$C:$C,원생!$A12,수납!$D:$D,IF(원생!$G12="","",원생!$G12),수납!$B:$B,$B$1&amp;"-"&amp;TEXT(10,"00")&amp;"*",수납!$E:$E,""))</f>
        <v/>
      </c>
      <c r="M14" s="14">
        <f>IF(원생!$A12="","",SUMIFS(수납!$F:$F,수납!$C:$C,원생!$A12,수납!$D:$D,IF(원생!$G12="","",원생!$G12),수납!$B:$B,$B$1&amp;"-"&amp;TEXT(11,"00")&amp;"*",수납!$E:$E,"수강료")+SUMIFS(수납!$F:$F,수납!$C:$C,원생!$A12,수납!$D:$D,IF(원생!$G12="","",원생!$G12),수납!$B:$B,$B$1&amp;"-"&amp;TEXT(11,"00")&amp;"*",수납!$E:$E,""))</f>
        <v/>
      </c>
      <c r="N14" s="14">
        <f>IF(원생!$A12="","",SUMIFS(수납!$F:$F,수납!$C:$C,원생!$A12,수납!$D:$D,IF(원생!$G12="","",원생!$G12),수납!$B:$B,$B$1&amp;"-"&amp;TEXT(12,"00")&amp;"*",수납!$E:$E,"수강료")+SUMIFS(수납!$F:$F,수납!$C:$C,원생!$A12,수납!$D:$D,IF(원생!$G12="","",원생!$G12),수납!$B:$B,$B$1&amp;"-"&amp;TEXT(12,"00")&amp;"*",수납!$E:$E,""))</f>
        <v/>
      </c>
      <c r="O14">
        <f>IF(원생!$I12="","",원생!$I12)</f>
        <v/>
      </c>
      <c r="P14">
        <f>IF($A14="","",IF(AND($B14&gt;0,C14&lt;$B14,DATE($B$1,1,1)&lt;=TODAY(),OR($O14="",$O14&gt;=DATE($B$1,1,1)),OR(COUNTIF($C14:C14,"&gt;0")&gt;0,DATE($B$1,1,1)=DATE(YEAR(TODAY()),MONTH(TODAY()),1))),1,0))</f>
        <v/>
      </c>
      <c r="Q14">
        <f>IF($A14="","",IF(AND($B14&gt;0,D14&lt;$B14,DATE($B$1,2,1)&lt;=TODAY(),OR($O14="",$O14&gt;=DATE($B$1,2,1)),OR(COUNTIF($C14:D14,"&gt;0")&gt;0,DATE($B$1,2,1)=DATE(YEAR(TODAY()),MONTH(TODAY()),1))),1,0))</f>
        <v/>
      </c>
      <c r="R14">
        <f>IF($A14="","",IF(AND($B14&gt;0,E14&lt;$B14,DATE($B$1,3,1)&lt;=TODAY(),OR($O14="",$O14&gt;=DATE($B$1,3,1)),OR(COUNTIF($C14:E14,"&gt;0")&gt;0,DATE($B$1,3,1)=DATE(YEAR(TODAY()),MONTH(TODAY()),1))),1,0))</f>
        <v/>
      </c>
      <c r="S14">
        <f>IF($A14="","",IF(AND($B14&gt;0,F14&lt;$B14,DATE($B$1,4,1)&lt;=TODAY(),OR($O14="",$O14&gt;=DATE($B$1,4,1)),OR(COUNTIF($C14:F14,"&gt;0")&gt;0,DATE($B$1,4,1)=DATE(YEAR(TODAY()),MONTH(TODAY()),1))),1,0))</f>
        <v/>
      </c>
      <c r="T14">
        <f>IF($A14="","",IF(AND($B14&gt;0,G14&lt;$B14,DATE($B$1,5,1)&lt;=TODAY(),OR($O14="",$O14&gt;=DATE($B$1,5,1)),OR(COUNTIF($C14:G14,"&gt;0")&gt;0,DATE($B$1,5,1)=DATE(YEAR(TODAY()),MONTH(TODAY()),1))),1,0))</f>
        <v/>
      </c>
      <c r="U14">
        <f>IF($A14="","",IF(AND($B14&gt;0,H14&lt;$B14,DATE($B$1,6,1)&lt;=TODAY(),OR($O14="",$O14&gt;=DATE($B$1,6,1)),OR(COUNTIF($C14:H14,"&gt;0")&gt;0,DATE($B$1,6,1)=DATE(YEAR(TODAY()),MONTH(TODAY()),1))),1,0))</f>
        <v/>
      </c>
      <c r="V14">
        <f>IF($A14="","",IF(AND($B14&gt;0,I14&lt;$B14,DATE($B$1,7,1)&lt;=TODAY(),OR($O14="",$O14&gt;=DATE($B$1,7,1)),OR(COUNTIF($C14:I14,"&gt;0")&gt;0,DATE($B$1,7,1)=DATE(YEAR(TODAY()),MONTH(TODAY()),1))),1,0))</f>
        <v/>
      </c>
      <c r="W14">
        <f>IF($A14="","",IF(AND($B14&gt;0,J14&lt;$B14,DATE($B$1,8,1)&lt;=TODAY(),OR($O14="",$O14&gt;=DATE($B$1,8,1)),OR(COUNTIF($C14:J14,"&gt;0")&gt;0,DATE($B$1,8,1)=DATE(YEAR(TODAY()),MONTH(TODAY()),1))),1,0))</f>
        <v/>
      </c>
      <c r="X14">
        <f>IF($A14="","",IF(AND($B14&gt;0,K14&lt;$B14,DATE($B$1,9,1)&lt;=TODAY(),OR($O14="",$O14&gt;=DATE($B$1,9,1)),OR(COUNTIF($C14:K14,"&gt;0")&gt;0,DATE($B$1,9,1)=DATE(YEAR(TODAY()),MONTH(TODAY()),1))),1,0))</f>
        <v/>
      </c>
      <c r="Y14">
        <f>IF($A14="","",IF(AND($B14&gt;0,L14&lt;$B14,DATE($B$1,10,1)&lt;=TODAY(),OR($O14="",$O14&gt;=DATE($B$1,10,1)),OR(COUNTIF($C14:L14,"&gt;0")&gt;0,DATE($B$1,10,1)=DATE(YEAR(TODAY()),MONTH(TODAY()),1))),1,0))</f>
        <v/>
      </c>
      <c r="Z14">
        <f>IF($A14="","",IF(AND($B14&gt;0,M14&lt;$B14,DATE($B$1,11,1)&lt;=TODAY(),OR($O14="",$O14&gt;=DATE($B$1,11,1)),OR(COUNTIF($C14:M14,"&gt;0")&gt;0,DATE($B$1,11,1)=DATE(YEAR(TODAY()),MONTH(TODAY()),1))),1,0))</f>
        <v/>
      </c>
      <c r="AA14">
        <f>IF($A14="","",IF(AND($B14&gt;0,N14&lt;$B14,DATE($B$1,12,1)&lt;=TODAY(),OR($O14="",$O14&gt;=DATE($B$1,12,1)),OR(COUNTIF($C14:N14,"&gt;0")&gt;0,DATE($B$1,12,1)=DATE(YEAR(TODAY()),MONTH(TODAY()),1))),1,0))</f>
        <v/>
      </c>
    </row>
    <row r="15">
      <c r="A15" s="13">
        <f>IF(원생!$A13="","",원생!$A13&amp;IF(원생!$G13="",""," ("&amp;원생!$G13&amp;")"))</f>
        <v/>
      </c>
      <c r="B15" s="8">
        <f>IF(원생!$A13="","",원생!$F13)</f>
        <v/>
      </c>
      <c r="C15" s="14">
        <f>IF(원생!$A13="","",SUMIFS(수납!$F:$F,수납!$C:$C,원생!$A13,수납!$D:$D,IF(원생!$G13="","",원생!$G13),수납!$B:$B,$B$1&amp;"-"&amp;TEXT(1,"00")&amp;"*",수납!$E:$E,"수강료")+SUMIFS(수납!$F:$F,수납!$C:$C,원생!$A13,수납!$D:$D,IF(원생!$G13="","",원생!$G13),수납!$B:$B,$B$1&amp;"-"&amp;TEXT(1,"00")&amp;"*",수납!$E:$E,""))</f>
        <v/>
      </c>
      <c r="D15" s="14">
        <f>IF(원생!$A13="","",SUMIFS(수납!$F:$F,수납!$C:$C,원생!$A13,수납!$D:$D,IF(원생!$G13="","",원생!$G13),수납!$B:$B,$B$1&amp;"-"&amp;TEXT(2,"00")&amp;"*",수납!$E:$E,"수강료")+SUMIFS(수납!$F:$F,수납!$C:$C,원생!$A13,수납!$D:$D,IF(원생!$G13="","",원생!$G13),수납!$B:$B,$B$1&amp;"-"&amp;TEXT(2,"00")&amp;"*",수납!$E:$E,""))</f>
        <v/>
      </c>
      <c r="E15" s="14">
        <f>IF(원생!$A13="","",SUMIFS(수납!$F:$F,수납!$C:$C,원생!$A13,수납!$D:$D,IF(원생!$G13="","",원생!$G13),수납!$B:$B,$B$1&amp;"-"&amp;TEXT(3,"00")&amp;"*",수납!$E:$E,"수강료")+SUMIFS(수납!$F:$F,수납!$C:$C,원생!$A13,수납!$D:$D,IF(원생!$G13="","",원생!$G13),수납!$B:$B,$B$1&amp;"-"&amp;TEXT(3,"00")&amp;"*",수납!$E:$E,""))</f>
        <v/>
      </c>
      <c r="F15" s="14">
        <f>IF(원생!$A13="","",SUMIFS(수납!$F:$F,수납!$C:$C,원생!$A13,수납!$D:$D,IF(원생!$G13="","",원생!$G13),수납!$B:$B,$B$1&amp;"-"&amp;TEXT(4,"00")&amp;"*",수납!$E:$E,"수강료")+SUMIFS(수납!$F:$F,수납!$C:$C,원생!$A13,수납!$D:$D,IF(원생!$G13="","",원생!$G13),수납!$B:$B,$B$1&amp;"-"&amp;TEXT(4,"00")&amp;"*",수납!$E:$E,""))</f>
        <v/>
      </c>
      <c r="G15" s="14">
        <f>IF(원생!$A13="","",SUMIFS(수납!$F:$F,수납!$C:$C,원생!$A13,수납!$D:$D,IF(원생!$G13="","",원생!$G13),수납!$B:$B,$B$1&amp;"-"&amp;TEXT(5,"00")&amp;"*",수납!$E:$E,"수강료")+SUMIFS(수납!$F:$F,수납!$C:$C,원생!$A13,수납!$D:$D,IF(원생!$G13="","",원생!$G13),수납!$B:$B,$B$1&amp;"-"&amp;TEXT(5,"00")&amp;"*",수납!$E:$E,""))</f>
        <v/>
      </c>
      <c r="H15" s="14">
        <f>IF(원생!$A13="","",SUMIFS(수납!$F:$F,수납!$C:$C,원생!$A13,수납!$D:$D,IF(원생!$G13="","",원생!$G13),수납!$B:$B,$B$1&amp;"-"&amp;TEXT(6,"00")&amp;"*",수납!$E:$E,"수강료")+SUMIFS(수납!$F:$F,수납!$C:$C,원생!$A13,수납!$D:$D,IF(원생!$G13="","",원생!$G13),수납!$B:$B,$B$1&amp;"-"&amp;TEXT(6,"00")&amp;"*",수납!$E:$E,""))</f>
        <v/>
      </c>
      <c r="I15" s="14">
        <f>IF(원생!$A13="","",SUMIFS(수납!$F:$F,수납!$C:$C,원생!$A13,수납!$D:$D,IF(원생!$G13="","",원생!$G13),수납!$B:$B,$B$1&amp;"-"&amp;TEXT(7,"00")&amp;"*",수납!$E:$E,"수강료")+SUMIFS(수납!$F:$F,수납!$C:$C,원생!$A13,수납!$D:$D,IF(원생!$G13="","",원생!$G13),수납!$B:$B,$B$1&amp;"-"&amp;TEXT(7,"00")&amp;"*",수납!$E:$E,""))</f>
        <v/>
      </c>
      <c r="J15" s="14">
        <f>IF(원생!$A13="","",SUMIFS(수납!$F:$F,수납!$C:$C,원생!$A13,수납!$D:$D,IF(원생!$G13="","",원생!$G13),수납!$B:$B,$B$1&amp;"-"&amp;TEXT(8,"00")&amp;"*",수납!$E:$E,"수강료")+SUMIFS(수납!$F:$F,수납!$C:$C,원생!$A13,수납!$D:$D,IF(원생!$G13="","",원생!$G13),수납!$B:$B,$B$1&amp;"-"&amp;TEXT(8,"00")&amp;"*",수납!$E:$E,""))</f>
        <v/>
      </c>
      <c r="K15" s="14">
        <f>IF(원생!$A13="","",SUMIFS(수납!$F:$F,수납!$C:$C,원생!$A13,수납!$D:$D,IF(원생!$G13="","",원생!$G13),수납!$B:$B,$B$1&amp;"-"&amp;TEXT(9,"00")&amp;"*",수납!$E:$E,"수강료")+SUMIFS(수납!$F:$F,수납!$C:$C,원생!$A13,수납!$D:$D,IF(원생!$G13="","",원생!$G13),수납!$B:$B,$B$1&amp;"-"&amp;TEXT(9,"00")&amp;"*",수납!$E:$E,""))</f>
        <v/>
      </c>
      <c r="L15" s="14">
        <f>IF(원생!$A13="","",SUMIFS(수납!$F:$F,수납!$C:$C,원생!$A13,수납!$D:$D,IF(원생!$G13="","",원생!$G13),수납!$B:$B,$B$1&amp;"-"&amp;TEXT(10,"00")&amp;"*",수납!$E:$E,"수강료")+SUMIFS(수납!$F:$F,수납!$C:$C,원생!$A13,수납!$D:$D,IF(원생!$G13="","",원생!$G13),수납!$B:$B,$B$1&amp;"-"&amp;TEXT(10,"00")&amp;"*",수납!$E:$E,""))</f>
        <v/>
      </c>
      <c r="M15" s="14">
        <f>IF(원생!$A13="","",SUMIFS(수납!$F:$F,수납!$C:$C,원생!$A13,수납!$D:$D,IF(원생!$G13="","",원생!$G13),수납!$B:$B,$B$1&amp;"-"&amp;TEXT(11,"00")&amp;"*",수납!$E:$E,"수강료")+SUMIFS(수납!$F:$F,수납!$C:$C,원생!$A13,수납!$D:$D,IF(원생!$G13="","",원생!$G13),수납!$B:$B,$B$1&amp;"-"&amp;TEXT(11,"00")&amp;"*",수납!$E:$E,""))</f>
        <v/>
      </c>
      <c r="N15" s="14">
        <f>IF(원생!$A13="","",SUMIFS(수납!$F:$F,수납!$C:$C,원생!$A13,수납!$D:$D,IF(원생!$G13="","",원생!$G13),수납!$B:$B,$B$1&amp;"-"&amp;TEXT(12,"00")&amp;"*",수납!$E:$E,"수강료")+SUMIFS(수납!$F:$F,수납!$C:$C,원생!$A13,수납!$D:$D,IF(원생!$G13="","",원생!$G13),수납!$B:$B,$B$1&amp;"-"&amp;TEXT(12,"00")&amp;"*",수납!$E:$E,""))</f>
        <v/>
      </c>
      <c r="O15">
        <f>IF(원생!$I13="","",원생!$I13)</f>
        <v/>
      </c>
      <c r="P15">
        <f>IF($A15="","",IF(AND($B15&gt;0,C15&lt;$B15,DATE($B$1,1,1)&lt;=TODAY(),OR($O15="",$O15&gt;=DATE($B$1,1,1)),OR(COUNTIF($C15:C15,"&gt;0")&gt;0,DATE($B$1,1,1)=DATE(YEAR(TODAY()),MONTH(TODAY()),1))),1,0))</f>
        <v/>
      </c>
      <c r="Q15">
        <f>IF($A15="","",IF(AND($B15&gt;0,D15&lt;$B15,DATE($B$1,2,1)&lt;=TODAY(),OR($O15="",$O15&gt;=DATE($B$1,2,1)),OR(COUNTIF($C15:D15,"&gt;0")&gt;0,DATE($B$1,2,1)=DATE(YEAR(TODAY()),MONTH(TODAY()),1))),1,0))</f>
        <v/>
      </c>
      <c r="R15">
        <f>IF($A15="","",IF(AND($B15&gt;0,E15&lt;$B15,DATE($B$1,3,1)&lt;=TODAY(),OR($O15="",$O15&gt;=DATE($B$1,3,1)),OR(COUNTIF($C15:E15,"&gt;0")&gt;0,DATE($B$1,3,1)=DATE(YEAR(TODAY()),MONTH(TODAY()),1))),1,0))</f>
        <v/>
      </c>
      <c r="S15">
        <f>IF($A15="","",IF(AND($B15&gt;0,F15&lt;$B15,DATE($B$1,4,1)&lt;=TODAY(),OR($O15="",$O15&gt;=DATE($B$1,4,1)),OR(COUNTIF($C15:F15,"&gt;0")&gt;0,DATE($B$1,4,1)=DATE(YEAR(TODAY()),MONTH(TODAY()),1))),1,0))</f>
        <v/>
      </c>
      <c r="T15">
        <f>IF($A15="","",IF(AND($B15&gt;0,G15&lt;$B15,DATE($B$1,5,1)&lt;=TODAY(),OR($O15="",$O15&gt;=DATE($B$1,5,1)),OR(COUNTIF($C15:G15,"&gt;0")&gt;0,DATE($B$1,5,1)=DATE(YEAR(TODAY()),MONTH(TODAY()),1))),1,0))</f>
        <v/>
      </c>
      <c r="U15">
        <f>IF($A15="","",IF(AND($B15&gt;0,H15&lt;$B15,DATE($B$1,6,1)&lt;=TODAY(),OR($O15="",$O15&gt;=DATE($B$1,6,1)),OR(COUNTIF($C15:H15,"&gt;0")&gt;0,DATE($B$1,6,1)=DATE(YEAR(TODAY()),MONTH(TODAY()),1))),1,0))</f>
        <v/>
      </c>
      <c r="V15">
        <f>IF($A15="","",IF(AND($B15&gt;0,I15&lt;$B15,DATE($B$1,7,1)&lt;=TODAY(),OR($O15="",$O15&gt;=DATE($B$1,7,1)),OR(COUNTIF($C15:I15,"&gt;0")&gt;0,DATE($B$1,7,1)=DATE(YEAR(TODAY()),MONTH(TODAY()),1))),1,0))</f>
        <v/>
      </c>
      <c r="W15">
        <f>IF($A15="","",IF(AND($B15&gt;0,J15&lt;$B15,DATE($B$1,8,1)&lt;=TODAY(),OR($O15="",$O15&gt;=DATE($B$1,8,1)),OR(COUNTIF($C15:J15,"&gt;0")&gt;0,DATE($B$1,8,1)=DATE(YEAR(TODAY()),MONTH(TODAY()),1))),1,0))</f>
        <v/>
      </c>
      <c r="X15">
        <f>IF($A15="","",IF(AND($B15&gt;0,K15&lt;$B15,DATE($B$1,9,1)&lt;=TODAY(),OR($O15="",$O15&gt;=DATE($B$1,9,1)),OR(COUNTIF($C15:K15,"&gt;0")&gt;0,DATE($B$1,9,1)=DATE(YEAR(TODAY()),MONTH(TODAY()),1))),1,0))</f>
        <v/>
      </c>
      <c r="Y15">
        <f>IF($A15="","",IF(AND($B15&gt;0,L15&lt;$B15,DATE($B$1,10,1)&lt;=TODAY(),OR($O15="",$O15&gt;=DATE($B$1,10,1)),OR(COUNTIF($C15:L15,"&gt;0")&gt;0,DATE($B$1,10,1)=DATE(YEAR(TODAY()),MONTH(TODAY()),1))),1,0))</f>
        <v/>
      </c>
      <c r="Z15">
        <f>IF($A15="","",IF(AND($B15&gt;0,M15&lt;$B15,DATE($B$1,11,1)&lt;=TODAY(),OR($O15="",$O15&gt;=DATE($B$1,11,1)),OR(COUNTIF($C15:M15,"&gt;0")&gt;0,DATE($B$1,11,1)=DATE(YEAR(TODAY()),MONTH(TODAY()),1))),1,0))</f>
        <v/>
      </c>
      <c r="AA15">
        <f>IF($A15="","",IF(AND($B15&gt;0,N15&lt;$B15,DATE($B$1,12,1)&lt;=TODAY(),OR($O15="",$O15&gt;=DATE($B$1,12,1)),OR(COUNTIF($C15:N15,"&gt;0")&gt;0,DATE($B$1,12,1)=DATE(YEAR(TODAY()),MONTH(TODAY()),1))),1,0))</f>
        <v/>
      </c>
    </row>
    <row r="16">
      <c r="A16" s="13">
        <f>IF(원생!$A14="","",원생!$A14&amp;IF(원생!$G14="",""," ("&amp;원생!$G14&amp;")"))</f>
        <v/>
      </c>
      <c r="B16" s="8">
        <f>IF(원생!$A14="","",원생!$F14)</f>
        <v/>
      </c>
      <c r="C16" s="14">
        <f>IF(원생!$A14="","",SUMIFS(수납!$F:$F,수납!$C:$C,원생!$A14,수납!$D:$D,IF(원생!$G14="","",원생!$G14),수납!$B:$B,$B$1&amp;"-"&amp;TEXT(1,"00")&amp;"*",수납!$E:$E,"수강료")+SUMIFS(수납!$F:$F,수납!$C:$C,원생!$A14,수납!$D:$D,IF(원생!$G14="","",원생!$G14),수납!$B:$B,$B$1&amp;"-"&amp;TEXT(1,"00")&amp;"*",수납!$E:$E,""))</f>
        <v/>
      </c>
      <c r="D16" s="14">
        <f>IF(원생!$A14="","",SUMIFS(수납!$F:$F,수납!$C:$C,원생!$A14,수납!$D:$D,IF(원생!$G14="","",원생!$G14),수납!$B:$B,$B$1&amp;"-"&amp;TEXT(2,"00")&amp;"*",수납!$E:$E,"수강료")+SUMIFS(수납!$F:$F,수납!$C:$C,원생!$A14,수납!$D:$D,IF(원생!$G14="","",원생!$G14),수납!$B:$B,$B$1&amp;"-"&amp;TEXT(2,"00")&amp;"*",수납!$E:$E,""))</f>
        <v/>
      </c>
      <c r="E16" s="14">
        <f>IF(원생!$A14="","",SUMIFS(수납!$F:$F,수납!$C:$C,원생!$A14,수납!$D:$D,IF(원생!$G14="","",원생!$G14),수납!$B:$B,$B$1&amp;"-"&amp;TEXT(3,"00")&amp;"*",수납!$E:$E,"수강료")+SUMIFS(수납!$F:$F,수납!$C:$C,원생!$A14,수납!$D:$D,IF(원생!$G14="","",원생!$G14),수납!$B:$B,$B$1&amp;"-"&amp;TEXT(3,"00")&amp;"*",수납!$E:$E,""))</f>
        <v/>
      </c>
      <c r="F16" s="14">
        <f>IF(원생!$A14="","",SUMIFS(수납!$F:$F,수납!$C:$C,원생!$A14,수납!$D:$D,IF(원생!$G14="","",원생!$G14),수납!$B:$B,$B$1&amp;"-"&amp;TEXT(4,"00")&amp;"*",수납!$E:$E,"수강료")+SUMIFS(수납!$F:$F,수납!$C:$C,원생!$A14,수납!$D:$D,IF(원생!$G14="","",원생!$G14),수납!$B:$B,$B$1&amp;"-"&amp;TEXT(4,"00")&amp;"*",수납!$E:$E,""))</f>
        <v/>
      </c>
      <c r="G16" s="14">
        <f>IF(원생!$A14="","",SUMIFS(수납!$F:$F,수납!$C:$C,원생!$A14,수납!$D:$D,IF(원생!$G14="","",원생!$G14),수납!$B:$B,$B$1&amp;"-"&amp;TEXT(5,"00")&amp;"*",수납!$E:$E,"수강료")+SUMIFS(수납!$F:$F,수납!$C:$C,원생!$A14,수납!$D:$D,IF(원생!$G14="","",원생!$G14),수납!$B:$B,$B$1&amp;"-"&amp;TEXT(5,"00")&amp;"*",수납!$E:$E,""))</f>
        <v/>
      </c>
      <c r="H16" s="14">
        <f>IF(원생!$A14="","",SUMIFS(수납!$F:$F,수납!$C:$C,원생!$A14,수납!$D:$D,IF(원생!$G14="","",원생!$G14),수납!$B:$B,$B$1&amp;"-"&amp;TEXT(6,"00")&amp;"*",수납!$E:$E,"수강료")+SUMIFS(수납!$F:$F,수납!$C:$C,원생!$A14,수납!$D:$D,IF(원생!$G14="","",원생!$G14),수납!$B:$B,$B$1&amp;"-"&amp;TEXT(6,"00")&amp;"*",수납!$E:$E,""))</f>
        <v/>
      </c>
      <c r="I16" s="14">
        <f>IF(원생!$A14="","",SUMIFS(수납!$F:$F,수납!$C:$C,원생!$A14,수납!$D:$D,IF(원생!$G14="","",원생!$G14),수납!$B:$B,$B$1&amp;"-"&amp;TEXT(7,"00")&amp;"*",수납!$E:$E,"수강료")+SUMIFS(수납!$F:$F,수납!$C:$C,원생!$A14,수납!$D:$D,IF(원생!$G14="","",원생!$G14),수납!$B:$B,$B$1&amp;"-"&amp;TEXT(7,"00")&amp;"*",수납!$E:$E,""))</f>
        <v/>
      </c>
      <c r="J16" s="14">
        <f>IF(원생!$A14="","",SUMIFS(수납!$F:$F,수납!$C:$C,원생!$A14,수납!$D:$D,IF(원생!$G14="","",원생!$G14),수납!$B:$B,$B$1&amp;"-"&amp;TEXT(8,"00")&amp;"*",수납!$E:$E,"수강료")+SUMIFS(수납!$F:$F,수납!$C:$C,원생!$A14,수납!$D:$D,IF(원생!$G14="","",원생!$G14),수납!$B:$B,$B$1&amp;"-"&amp;TEXT(8,"00")&amp;"*",수납!$E:$E,""))</f>
        <v/>
      </c>
      <c r="K16" s="14">
        <f>IF(원생!$A14="","",SUMIFS(수납!$F:$F,수납!$C:$C,원생!$A14,수납!$D:$D,IF(원생!$G14="","",원생!$G14),수납!$B:$B,$B$1&amp;"-"&amp;TEXT(9,"00")&amp;"*",수납!$E:$E,"수강료")+SUMIFS(수납!$F:$F,수납!$C:$C,원생!$A14,수납!$D:$D,IF(원생!$G14="","",원생!$G14),수납!$B:$B,$B$1&amp;"-"&amp;TEXT(9,"00")&amp;"*",수납!$E:$E,""))</f>
        <v/>
      </c>
      <c r="L16" s="14">
        <f>IF(원생!$A14="","",SUMIFS(수납!$F:$F,수납!$C:$C,원생!$A14,수납!$D:$D,IF(원생!$G14="","",원생!$G14),수납!$B:$B,$B$1&amp;"-"&amp;TEXT(10,"00")&amp;"*",수납!$E:$E,"수강료")+SUMIFS(수납!$F:$F,수납!$C:$C,원생!$A14,수납!$D:$D,IF(원생!$G14="","",원생!$G14),수납!$B:$B,$B$1&amp;"-"&amp;TEXT(10,"00")&amp;"*",수납!$E:$E,""))</f>
        <v/>
      </c>
      <c r="M16" s="14">
        <f>IF(원생!$A14="","",SUMIFS(수납!$F:$F,수납!$C:$C,원생!$A14,수납!$D:$D,IF(원생!$G14="","",원생!$G14),수납!$B:$B,$B$1&amp;"-"&amp;TEXT(11,"00")&amp;"*",수납!$E:$E,"수강료")+SUMIFS(수납!$F:$F,수납!$C:$C,원생!$A14,수납!$D:$D,IF(원생!$G14="","",원생!$G14),수납!$B:$B,$B$1&amp;"-"&amp;TEXT(11,"00")&amp;"*",수납!$E:$E,""))</f>
        <v/>
      </c>
      <c r="N16" s="14">
        <f>IF(원생!$A14="","",SUMIFS(수납!$F:$F,수납!$C:$C,원생!$A14,수납!$D:$D,IF(원생!$G14="","",원생!$G14),수납!$B:$B,$B$1&amp;"-"&amp;TEXT(12,"00")&amp;"*",수납!$E:$E,"수강료")+SUMIFS(수납!$F:$F,수납!$C:$C,원생!$A14,수납!$D:$D,IF(원생!$G14="","",원생!$G14),수납!$B:$B,$B$1&amp;"-"&amp;TEXT(12,"00")&amp;"*",수납!$E:$E,""))</f>
        <v/>
      </c>
      <c r="O16">
        <f>IF(원생!$I14="","",원생!$I14)</f>
        <v/>
      </c>
      <c r="P16">
        <f>IF($A16="","",IF(AND($B16&gt;0,C16&lt;$B16,DATE($B$1,1,1)&lt;=TODAY(),OR($O16="",$O16&gt;=DATE($B$1,1,1)),OR(COUNTIF($C16:C16,"&gt;0")&gt;0,DATE($B$1,1,1)=DATE(YEAR(TODAY()),MONTH(TODAY()),1))),1,0))</f>
        <v/>
      </c>
      <c r="Q16">
        <f>IF($A16="","",IF(AND($B16&gt;0,D16&lt;$B16,DATE($B$1,2,1)&lt;=TODAY(),OR($O16="",$O16&gt;=DATE($B$1,2,1)),OR(COUNTIF($C16:D16,"&gt;0")&gt;0,DATE($B$1,2,1)=DATE(YEAR(TODAY()),MONTH(TODAY()),1))),1,0))</f>
        <v/>
      </c>
      <c r="R16">
        <f>IF($A16="","",IF(AND($B16&gt;0,E16&lt;$B16,DATE($B$1,3,1)&lt;=TODAY(),OR($O16="",$O16&gt;=DATE($B$1,3,1)),OR(COUNTIF($C16:E16,"&gt;0")&gt;0,DATE($B$1,3,1)=DATE(YEAR(TODAY()),MONTH(TODAY()),1))),1,0))</f>
        <v/>
      </c>
      <c r="S16">
        <f>IF($A16="","",IF(AND($B16&gt;0,F16&lt;$B16,DATE($B$1,4,1)&lt;=TODAY(),OR($O16="",$O16&gt;=DATE($B$1,4,1)),OR(COUNTIF($C16:F16,"&gt;0")&gt;0,DATE($B$1,4,1)=DATE(YEAR(TODAY()),MONTH(TODAY()),1))),1,0))</f>
        <v/>
      </c>
      <c r="T16">
        <f>IF($A16="","",IF(AND($B16&gt;0,G16&lt;$B16,DATE($B$1,5,1)&lt;=TODAY(),OR($O16="",$O16&gt;=DATE($B$1,5,1)),OR(COUNTIF($C16:G16,"&gt;0")&gt;0,DATE($B$1,5,1)=DATE(YEAR(TODAY()),MONTH(TODAY()),1))),1,0))</f>
        <v/>
      </c>
      <c r="U16">
        <f>IF($A16="","",IF(AND($B16&gt;0,H16&lt;$B16,DATE($B$1,6,1)&lt;=TODAY(),OR($O16="",$O16&gt;=DATE($B$1,6,1)),OR(COUNTIF($C16:H16,"&gt;0")&gt;0,DATE($B$1,6,1)=DATE(YEAR(TODAY()),MONTH(TODAY()),1))),1,0))</f>
        <v/>
      </c>
      <c r="V16">
        <f>IF($A16="","",IF(AND($B16&gt;0,I16&lt;$B16,DATE($B$1,7,1)&lt;=TODAY(),OR($O16="",$O16&gt;=DATE($B$1,7,1)),OR(COUNTIF($C16:I16,"&gt;0")&gt;0,DATE($B$1,7,1)=DATE(YEAR(TODAY()),MONTH(TODAY()),1))),1,0))</f>
        <v/>
      </c>
      <c r="W16">
        <f>IF($A16="","",IF(AND($B16&gt;0,J16&lt;$B16,DATE($B$1,8,1)&lt;=TODAY(),OR($O16="",$O16&gt;=DATE($B$1,8,1)),OR(COUNTIF($C16:J16,"&gt;0")&gt;0,DATE($B$1,8,1)=DATE(YEAR(TODAY()),MONTH(TODAY()),1))),1,0))</f>
        <v/>
      </c>
      <c r="X16">
        <f>IF($A16="","",IF(AND($B16&gt;0,K16&lt;$B16,DATE($B$1,9,1)&lt;=TODAY(),OR($O16="",$O16&gt;=DATE($B$1,9,1)),OR(COUNTIF($C16:K16,"&gt;0")&gt;0,DATE($B$1,9,1)=DATE(YEAR(TODAY()),MONTH(TODAY()),1))),1,0))</f>
        <v/>
      </c>
      <c r="Y16">
        <f>IF($A16="","",IF(AND($B16&gt;0,L16&lt;$B16,DATE($B$1,10,1)&lt;=TODAY(),OR($O16="",$O16&gt;=DATE($B$1,10,1)),OR(COUNTIF($C16:L16,"&gt;0")&gt;0,DATE($B$1,10,1)=DATE(YEAR(TODAY()),MONTH(TODAY()),1))),1,0))</f>
        <v/>
      </c>
      <c r="Z16">
        <f>IF($A16="","",IF(AND($B16&gt;0,M16&lt;$B16,DATE($B$1,11,1)&lt;=TODAY(),OR($O16="",$O16&gt;=DATE($B$1,11,1)),OR(COUNTIF($C16:M16,"&gt;0")&gt;0,DATE($B$1,11,1)=DATE(YEAR(TODAY()),MONTH(TODAY()),1))),1,0))</f>
        <v/>
      </c>
      <c r="AA16">
        <f>IF($A16="","",IF(AND($B16&gt;0,N16&lt;$B16,DATE($B$1,12,1)&lt;=TODAY(),OR($O16="",$O16&gt;=DATE($B$1,12,1)),OR(COUNTIF($C16:N16,"&gt;0")&gt;0,DATE($B$1,12,1)=DATE(YEAR(TODAY()),MONTH(TODAY()),1))),1,0))</f>
        <v/>
      </c>
    </row>
    <row r="17">
      <c r="A17" s="13">
        <f>IF(원생!$A15="","",원생!$A15&amp;IF(원생!$G15="",""," ("&amp;원생!$G15&amp;")"))</f>
        <v/>
      </c>
      <c r="B17" s="8">
        <f>IF(원생!$A15="","",원생!$F15)</f>
        <v/>
      </c>
      <c r="C17" s="14">
        <f>IF(원생!$A15="","",SUMIFS(수납!$F:$F,수납!$C:$C,원생!$A15,수납!$D:$D,IF(원생!$G15="","",원생!$G15),수납!$B:$B,$B$1&amp;"-"&amp;TEXT(1,"00")&amp;"*",수납!$E:$E,"수강료")+SUMIFS(수납!$F:$F,수납!$C:$C,원생!$A15,수납!$D:$D,IF(원생!$G15="","",원생!$G15),수납!$B:$B,$B$1&amp;"-"&amp;TEXT(1,"00")&amp;"*",수납!$E:$E,""))</f>
        <v/>
      </c>
      <c r="D17" s="14">
        <f>IF(원생!$A15="","",SUMIFS(수납!$F:$F,수납!$C:$C,원생!$A15,수납!$D:$D,IF(원생!$G15="","",원생!$G15),수납!$B:$B,$B$1&amp;"-"&amp;TEXT(2,"00")&amp;"*",수납!$E:$E,"수강료")+SUMIFS(수납!$F:$F,수납!$C:$C,원생!$A15,수납!$D:$D,IF(원생!$G15="","",원생!$G15),수납!$B:$B,$B$1&amp;"-"&amp;TEXT(2,"00")&amp;"*",수납!$E:$E,""))</f>
        <v/>
      </c>
      <c r="E17" s="14">
        <f>IF(원생!$A15="","",SUMIFS(수납!$F:$F,수납!$C:$C,원생!$A15,수납!$D:$D,IF(원생!$G15="","",원생!$G15),수납!$B:$B,$B$1&amp;"-"&amp;TEXT(3,"00")&amp;"*",수납!$E:$E,"수강료")+SUMIFS(수납!$F:$F,수납!$C:$C,원생!$A15,수납!$D:$D,IF(원생!$G15="","",원생!$G15),수납!$B:$B,$B$1&amp;"-"&amp;TEXT(3,"00")&amp;"*",수납!$E:$E,""))</f>
        <v/>
      </c>
      <c r="F17" s="14">
        <f>IF(원생!$A15="","",SUMIFS(수납!$F:$F,수납!$C:$C,원생!$A15,수납!$D:$D,IF(원생!$G15="","",원생!$G15),수납!$B:$B,$B$1&amp;"-"&amp;TEXT(4,"00")&amp;"*",수납!$E:$E,"수강료")+SUMIFS(수납!$F:$F,수납!$C:$C,원생!$A15,수납!$D:$D,IF(원생!$G15="","",원생!$G15),수납!$B:$B,$B$1&amp;"-"&amp;TEXT(4,"00")&amp;"*",수납!$E:$E,""))</f>
        <v/>
      </c>
      <c r="G17" s="14">
        <f>IF(원생!$A15="","",SUMIFS(수납!$F:$F,수납!$C:$C,원생!$A15,수납!$D:$D,IF(원생!$G15="","",원생!$G15),수납!$B:$B,$B$1&amp;"-"&amp;TEXT(5,"00")&amp;"*",수납!$E:$E,"수강료")+SUMIFS(수납!$F:$F,수납!$C:$C,원생!$A15,수납!$D:$D,IF(원생!$G15="","",원생!$G15),수납!$B:$B,$B$1&amp;"-"&amp;TEXT(5,"00")&amp;"*",수납!$E:$E,""))</f>
        <v/>
      </c>
      <c r="H17" s="14">
        <f>IF(원생!$A15="","",SUMIFS(수납!$F:$F,수납!$C:$C,원생!$A15,수납!$D:$D,IF(원생!$G15="","",원생!$G15),수납!$B:$B,$B$1&amp;"-"&amp;TEXT(6,"00")&amp;"*",수납!$E:$E,"수강료")+SUMIFS(수납!$F:$F,수납!$C:$C,원생!$A15,수납!$D:$D,IF(원생!$G15="","",원생!$G15),수납!$B:$B,$B$1&amp;"-"&amp;TEXT(6,"00")&amp;"*",수납!$E:$E,""))</f>
        <v/>
      </c>
      <c r="I17" s="14">
        <f>IF(원생!$A15="","",SUMIFS(수납!$F:$F,수납!$C:$C,원생!$A15,수납!$D:$D,IF(원생!$G15="","",원생!$G15),수납!$B:$B,$B$1&amp;"-"&amp;TEXT(7,"00")&amp;"*",수납!$E:$E,"수강료")+SUMIFS(수납!$F:$F,수납!$C:$C,원생!$A15,수납!$D:$D,IF(원생!$G15="","",원생!$G15),수납!$B:$B,$B$1&amp;"-"&amp;TEXT(7,"00")&amp;"*",수납!$E:$E,""))</f>
        <v/>
      </c>
      <c r="J17" s="14">
        <f>IF(원생!$A15="","",SUMIFS(수납!$F:$F,수납!$C:$C,원생!$A15,수납!$D:$D,IF(원생!$G15="","",원생!$G15),수납!$B:$B,$B$1&amp;"-"&amp;TEXT(8,"00")&amp;"*",수납!$E:$E,"수강료")+SUMIFS(수납!$F:$F,수납!$C:$C,원생!$A15,수납!$D:$D,IF(원생!$G15="","",원생!$G15),수납!$B:$B,$B$1&amp;"-"&amp;TEXT(8,"00")&amp;"*",수납!$E:$E,""))</f>
        <v/>
      </c>
      <c r="K17" s="14">
        <f>IF(원생!$A15="","",SUMIFS(수납!$F:$F,수납!$C:$C,원생!$A15,수납!$D:$D,IF(원생!$G15="","",원생!$G15),수납!$B:$B,$B$1&amp;"-"&amp;TEXT(9,"00")&amp;"*",수납!$E:$E,"수강료")+SUMIFS(수납!$F:$F,수납!$C:$C,원생!$A15,수납!$D:$D,IF(원생!$G15="","",원생!$G15),수납!$B:$B,$B$1&amp;"-"&amp;TEXT(9,"00")&amp;"*",수납!$E:$E,""))</f>
        <v/>
      </c>
      <c r="L17" s="14">
        <f>IF(원생!$A15="","",SUMIFS(수납!$F:$F,수납!$C:$C,원생!$A15,수납!$D:$D,IF(원생!$G15="","",원생!$G15),수납!$B:$B,$B$1&amp;"-"&amp;TEXT(10,"00")&amp;"*",수납!$E:$E,"수강료")+SUMIFS(수납!$F:$F,수납!$C:$C,원생!$A15,수납!$D:$D,IF(원생!$G15="","",원생!$G15),수납!$B:$B,$B$1&amp;"-"&amp;TEXT(10,"00")&amp;"*",수납!$E:$E,""))</f>
        <v/>
      </c>
      <c r="M17" s="14">
        <f>IF(원생!$A15="","",SUMIFS(수납!$F:$F,수납!$C:$C,원생!$A15,수납!$D:$D,IF(원생!$G15="","",원생!$G15),수납!$B:$B,$B$1&amp;"-"&amp;TEXT(11,"00")&amp;"*",수납!$E:$E,"수강료")+SUMIFS(수납!$F:$F,수납!$C:$C,원생!$A15,수납!$D:$D,IF(원생!$G15="","",원생!$G15),수납!$B:$B,$B$1&amp;"-"&amp;TEXT(11,"00")&amp;"*",수납!$E:$E,""))</f>
        <v/>
      </c>
      <c r="N17" s="14">
        <f>IF(원생!$A15="","",SUMIFS(수납!$F:$F,수납!$C:$C,원생!$A15,수납!$D:$D,IF(원생!$G15="","",원생!$G15),수납!$B:$B,$B$1&amp;"-"&amp;TEXT(12,"00")&amp;"*",수납!$E:$E,"수강료")+SUMIFS(수납!$F:$F,수납!$C:$C,원생!$A15,수납!$D:$D,IF(원생!$G15="","",원생!$G15),수납!$B:$B,$B$1&amp;"-"&amp;TEXT(12,"00")&amp;"*",수납!$E:$E,""))</f>
        <v/>
      </c>
      <c r="O17">
        <f>IF(원생!$I15="","",원생!$I15)</f>
        <v/>
      </c>
      <c r="P17">
        <f>IF($A17="","",IF(AND($B17&gt;0,C17&lt;$B17,DATE($B$1,1,1)&lt;=TODAY(),OR($O17="",$O17&gt;=DATE($B$1,1,1)),OR(COUNTIF($C17:C17,"&gt;0")&gt;0,DATE($B$1,1,1)=DATE(YEAR(TODAY()),MONTH(TODAY()),1))),1,0))</f>
        <v/>
      </c>
      <c r="Q17">
        <f>IF($A17="","",IF(AND($B17&gt;0,D17&lt;$B17,DATE($B$1,2,1)&lt;=TODAY(),OR($O17="",$O17&gt;=DATE($B$1,2,1)),OR(COUNTIF($C17:D17,"&gt;0")&gt;0,DATE($B$1,2,1)=DATE(YEAR(TODAY()),MONTH(TODAY()),1))),1,0))</f>
        <v/>
      </c>
      <c r="R17">
        <f>IF($A17="","",IF(AND($B17&gt;0,E17&lt;$B17,DATE($B$1,3,1)&lt;=TODAY(),OR($O17="",$O17&gt;=DATE($B$1,3,1)),OR(COUNTIF($C17:E17,"&gt;0")&gt;0,DATE($B$1,3,1)=DATE(YEAR(TODAY()),MONTH(TODAY()),1))),1,0))</f>
        <v/>
      </c>
      <c r="S17">
        <f>IF($A17="","",IF(AND($B17&gt;0,F17&lt;$B17,DATE($B$1,4,1)&lt;=TODAY(),OR($O17="",$O17&gt;=DATE($B$1,4,1)),OR(COUNTIF($C17:F17,"&gt;0")&gt;0,DATE($B$1,4,1)=DATE(YEAR(TODAY()),MONTH(TODAY()),1))),1,0))</f>
        <v/>
      </c>
      <c r="T17">
        <f>IF($A17="","",IF(AND($B17&gt;0,G17&lt;$B17,DATE($B$1,5,1)&lt;=TODAY(),OR($O17="",$O17&gt;=DATE($B$1,5,1)),OR(COUNTIF($C17:G17,"&gt;0")&gt;0,DATE($B$1,5,1)=DATE(YEAR(TODAY()),MONTH(TODAY()),1))),1,0))</f>
        <v/>
      </c>
      <c r="U17">
        <f>IF($A17="","",IF(AND($B17&gt;0,H17&lt;$B17,DATE($B$1,6,1)&lt;=TODAY(),OR($O17="",$O17&gt;=DATE($B$1,6,1)),OR(COUNTIF($C17:H17,"&gt;0")&gt;0,DATE($B$1,6,1)=DATE(YEAR(TODAY()),MONTH(TODAY()),1))),1,0))</f>
        <v/>
      </c>
      <c r="V17">
        <f>IF($A17="","",IF(AND($B17&gt;0,I17&lt;$B17,DATE($B$1,7,1)&lt;=TODAY(),OR($O17="",$O17&gt;=DATE($B$1,7,1)),OR(COUNTIF($C17:I17,"&gt;0")&gt;0,DATE($B$1,7,1)=DATE(YEAR(TODAY()),MONTH(TODAY()),1))),1,0))</f>
        <v/>
      </c>
      <c r="W17">
        <f>IF($A17="","",IF(AND($B17&gt;0,J17&lt;$B17,DATE($B$1,8,1)&lt;=TODAY(),OR($O17="",$O17&gt;=DATE($B$1,8,1)),OR(COUNTIF($C17:J17,"&gt;0")&gt;0,DATE($B$1,8,1)=DATE(YEAR(TODAY()),MONTH(TODAY()),1))),1,0))</f>
        <v/>
      </c>
      <c r="X17">
        <f>IF($A17="","",IF(AND($B17&gt;0,K17&lt;$B17,DATE($B$1,9,1)&lt;=TODAY(),OR($O17="",$O17&gt;=DATE($B$1,9,1)),OR(COUNTIF($C17:K17,"&gt;0")&gt;0,DATE($B$1,9,1)=DATE(YEAR(TODAY()),MONTH(TODAY()),1))),1,0))</f>
        <v/>
      </c>
      <c r="Y17">
        <f>IF($A17="","",IF(AND($B17&gt;0,L17&lt;$B17,DATE($B$1,10,1)&lt;=TODAY(),OR($O17="",$O17&gt;=DATE($B$1,10,1)),OR(COUNTIF($C17:L17,"&gt;0")&gt;0,DATE($B$1,10,1)=DATE(YEAR(TODAY()),MONTH(TODAY()),1))),1,0))</f>
        <v/>
      </c>
      <c r="Z17">
        <f>IF($A17="","",IF(AND($B17&gt;0,M17&lt;$B17,DATE($B$1,11,1)&lt;=TODAY(),OR($O17="",$O17&gt;=DATE($B$1,11,1)),OR(COUNTIF($C17:M17,"&gt;0")&gt;0,DATE($B$1,11,1)=DATE(YEAR(TODAY()),MONTH(TODAY()),1))),1,0))</f>
        <v/>
      </c>
      <c r="AA17">
        <f>IF($A17="","",IF(AND($B17&gt;0,N17&lt;$B17,DATE($B$1,12,1)&lt;=TODAY(),OR($O17="",$O17&gt;=DATE($B$1,12,1)),OR(COUNTIF($C17:N17,"&gt;0")&gt;0,DATE($B$1,12,1)=DATE(YEAR(TODAY()),MONTH(TODAY()),1))),1,0))</f>
        <v/>
      </c>
    </row>
    <row r="18">
      <c r="A18" s="13">
        <f>IF(원생!$A16="","",원생!$A16&amp;IF(원생!$G16="",""," ("&amp;원생!$G16&amp;")"))</f>
        <v/>
      </c>
      <c r="B18" s="8">
        <f>IF(원생!$A16="","",원생!$F16)</f>
        <v/>
      </c>
      <c r="C18" s="14">
        <f>IF(원생!$A16="","",SUMIFS(수납!$F:$F,수납!$C:$C,원생!$A16,수납!$D:$D,IF(원생!$G16="","",원생!$G16),수납!$B:$B,$B$1&amp;"-"&amp;TEXT(1,"00")&amp;"*",수납!$E:$E,"수강료")+SUMIFS(수납!$F:$F,수납!$C:$C,원생!$A16,수납!$D:$D,IF(원생!$G16="","",원생!$G16),수납!$B:$B,$B$1&amp;"-"&amp;TEXT(1,"00")&amp;"*",수납!$E:$E,""))</f>
        <v/>
      </c>
      <c r="D18" s="14">
        <f>IF(원생!$A16="","",SUMIFS(수납!$F:$F,수납!$C:$C,원생!$A16,수납!$D:$D,IF(원생!$G16="","",원생!$G16),수납!$B:$B,$B$1&amp;"-"&amp;TEXT(2,"00")&amp;"*",수납!$E:$E,"수강료")+SUMIFS(수납!$F:$F,수납!$C:$C,원생!$A16,수납!$D:$D,IF(원생!$G16="","",원생!$G16),수납!$B:$B,$B$1&amp;"-"&amp;TEXT(2,"00")&amp;"*",수납!$E:$E,""))</f>
        <v/>
      </c>
      <c r="E18" s="14">
        <f>IF(원생!$A16="","",SUMIFS(수납!$F:$F,수납!$C:$C,원생!$A16,수납!$D:$D,IF(원생!$G16="","",원생!$G16),수납!$B:$B,$B$1&amp;"-"&amp;TEXT(3,"00")&amp;"*",수납!$E:$E,"수강료")+SUMIFS(수납!$F:$F,수납!$C:$C,원생!$A16,수납!$D:$D,IF(원생!$G16="","",원생!$G16),수납!$B:$B,$B$1&amp;"-"&amp;TEXT(3,"00")&amp;"*",수납!$E:$E,""))</f>
        <v/>
      </c>
      <c r="F18" s="14">
        <f>IF(원생!$A16="","",SUMIFS(수납!$F:$F,수납!$C:$C,원생!$A16,수납!$D:$D,IF(원생!$G16="","",원생!$G16),수납!$B:$B,$B$1&amp;"-"&amp;TEXT(4,"00")&amp;"*",수납!$E:$E,"수강료")+SUMIFS(수납!$F:$F,수납!$C:$C,원생!$A16,수납!$D:$D,IF(원생!$G16="","",원생!$G16),수납!$B:$B,$B$1&amp;"-"&amp;TEXT(4,"00")&amp;"*",수납!$E:$E,""))</f>
        <v/>
      </c>
      <c r="G18" s="14">
        <f>IF(원생!$A16="","",SUMIFS(수납!$F:$F,수납!$C:$C,원생!$A16,수납!$D:$D,IF(원생!$G16="","",원생!$G16),수납!$B:$B,$B$1&amp;"-"&amp;TEXT(5,"00")&amp;"*",수납!$E:$E,"수강료")+SUMIFS(수납!$F:$F,수납!$C:$C,원생!$A16,수납!$D:$D,IF(원생!$G16="","",원생!$G16),수납!$B:$B,$B$1&amp;"-"&amp;TEXT(5,"00")&amp;"*",수납!$E:$E,""))</f>
        <v/>
      </c>
      <c r="H18" s="14">
        <f>IF(원생!$A16="","",SUMIFS(수납!$F:$F,수납!$C:$C,원생!$A16,수납!$D:$D,IF(원생!$G16="","",원생!$G16),수납!$B:$B,$B$1&amp;"-"&amp;TEXT(6,"00")&amp;"*",수납!$E:$E,"수강료")+SUMIFS(수납!$F:$F,수납!$C:$C,원생!$A16,수납!$D:$D,IF(원생!$G16="","",원생!$G16),수납!$B:$B,$B$1&amp;"-"&amp;TEXT(6,"00")&amp;"*",수납!$E:$E,""))</f>
        <v/>
      </c>
      <c r="I18" s="14">
        <f>IF(원생!$A16="","",SUMIFS(수납!$F:$F,수납!$C:$C,원생!$A16,수납!$D:$D,IF(원생!$G16="","",원생!$G16),수납!$B:$B,$B$1&amp;"-"&amp;TEXT(7,"00")&amp;"*",수납!$E:$E,"수강료")+SUMIFS(수납!$F:$F,수납!$C:$C,원생!$A16,수납!$D:$D,IF(원생!$G16="","",원생!$G16),수납!$B:$B,$B$1&amp;"-"&amp;TEXT(7,"00")&amp;"*",수납!$E:$E,""))</f>
        <v/>
      </c>
      <c r="J18" s="14">
        <f>IF(원생!$A16="","",SUMIFS(수납!$F:$F,수납!$C:$C,원생!$A16,수납!$D:$D,IF(원생!$G16="","",원생!$G16),수납!$B:$B,$B$1&amp;"-"&amp;TEXT(8,"00")&amp;"*",수납!$E:$E,"수강료")+SUMIFS(수납!$F:$F,수납!$C:$C,원생!$A16,수납!$D:$D,IF(원생!$G16="","",원생!$G16),수납!$B:$B,$B$1&amp;"-"&amp;TEXT(8,"00")&amp;"*",수납!$E:$E,""))</f>
        <v/>
      </c>
      <c r="K18" s="14">
        <f>IF(원생!$A16="","",SUMIFS(수납!$F:$F,수납!$C:$C,원생!$A16,수납!$D:$D,IF(원생!$G16="","",원생!$G16),수납!$B:$B,$B$1&amp;"-"&amp;TEXT(9,"00")&amp;"*",수납!$E:$E,"수강료")+SUMIFS(수납!$F:$F,수납!$C:$C,원생!$A16,수납!$D:$D,IF(원생!$G16="","",원생!$G16),수납!$B:$B,$B$1&amp;"-"&amp;TEXT(9,"00")&amp;"*",수납!$E:$E,""))</f>
        <v/>
      </c>
      <c r="L18" s="14">
        <f>IF(원생!$A16="","",SUMIFS(수납!$F:$F,수납!$C:$C,원생!$A16,수납!$D:$D,IF(원생!$G16="","",원생!$G16),수납!$B:$B,$B$1&amp;"-"&amp;TEXT(10,"00")&amp;"*",수납!$E:$E,"수강료")+SUMIFS(수납!$F:$F,수납!$C:$C,원생!$A16,수납!$D:$D,IF(원생!$G16="","",원생!$G16),수납!$B:$B,$B$1&amp;"-"&amp;TEXT(10,"00")&amp;"*",수납!$E:$E,""))</f>
        <v/>
      </c>
      <c r="M18" s="14">
        <f>IF(원생!$A16="","",SUMIFS(수납!$F:$F,수납!$C:$C,원생!$A16,수납!$D:$D,IF(원생!$G16="","",원생!$G16),수납!$B:$B,$B$1&amp;"-"&amp;TEXT(11,"00")&amp;"*",수납!$E:$E,"수강료")+SUMIFS(수납!$F:$F,수납!$C:$C,원생!$A16,수납!$D:$D,IF(원생!$G16="","",원생!$G16),수납!$B:$B,$B$1&amp;"-"&amp;TEXT(11,"00")&amp;"*",수납!$E:$E,""))</f>
        <v/>
      </c>
      <c r="N18" s="14">
        <f>IF(원생!$A16="","",SUMIFS(수납!$F:$F,수납!$C:$C,원생!$A16,수납!$D:$D,IF(원생!$G16="","",원생!$G16),수납!$B:$B,$B$1&amp;"-"&amp;TEXT(12,"00")&amp;"*",수납!$E:$E,"수강료")+SUMIFS(수납!$F:$F,수납!$C:$C,원생!$A16,수납!$D:$D,IF(원생!$G16="","",원생!$G16),수납!$B:$B,$B$1&amp;"-"&amp;TEXT(12,"00")&amp;"*",수납!$E:$E,""))</f>
        <v/>
      </c>
      <c r="O18">
        <f>IF(원생!$I16="","",원생!$I16)</f>
        <v/>
      </c>
      <c r="P18">
        <f>IF($A18="","",IF(AND($B18&gt;0,C18&lt;$B18,DATE($B$1,1,1)&lt;=TODAY(),OR($O18="",$O18&gt;=DATE($B$1,1,1)),OR(COUNTIF($C18:C18,"&gt;0")&gt;0,DATE($B$1,1,1)=DATE(YEAR(TODAY()),MONTH(TODAY()),1))),1,0))</f>
        <v/>
      </c>
      <c r="Q18">
        <f>IF($A18="","",IF(AND($B18&gt;0,D18&lt;$B18,DATE($B$1,2,1)&lt;=TODAY(),OR($O18="",$O18&gt;=DATE($B$1,2,1)),OR(COUNTIF($C18:D18,"&gt;0")&gt;0,DATE($B$1,2,1)=DATE(YEAR(TODAY()),MONTH(TODAY()),1))),1,0))</f>
        <v/>
      </c>
      <c r="R18">
        <f>IF($A18="","",IF(AND($B18&gt;0,E18&lt;$B18,DATE($B$1,3,1)&lt;=TODAY(),OR($O18="",$O18&gt;=DATE($B$1,3,1)),OR(COUNTIF($C18:E18,"&gt;0")&gt;0,DATE($B$1,3,1)=DATE(YEAR(TODAY()),MONTH(TODAY()),1))),1,0))</f>
        <v/>
      </c>
      <c r="S18">
        <f>IF($A18="","",IF(AND($B18&gt;0,F18&lt;$B18,DATE($B$1,4,1)&lt;=TODAY(),OR($O18="",$O18&gt;=DATE($B$1,4,1)),OR(COUNTIF($C18:F18,"&gt;0")&gt;0,DATE($B$1,4,1)=DATE(YEAR(TODAY()),MONTH(TODAY()),1))),1,0))</f>
        <v/>
      </c>
      <c r="T18">
        <f>IF($A18="","",IF(AND($B18&gt;0,G18&lt;$B18,DATE($B$1,5,1)&lt;=TODAY(),OR($O18="",$O18&gt;=DATE($B$1,5,1)),OR(COUNTIF($C18:G18,"&gt;0")&gt;0,DATE($B$1,5,1)=DATE(YEAR(TODAY()),MONTH(TODAY()),1))),1,0))</f>
        <v/>
      </c>
      <c r="U18">
        <f>IF($A18="","",IF(AND($B18&gt;0,H18&lt;$B18,DATE($B$1,6,1)&lt;=TODAY(),OR($O18="",$O18&gt;=DATE($B$1,6,1)),OR(COUNTIF($C18:H18,"&gt;0")&gt;0,DATE($B$1,6,1)=DATE(YEAR(TODAY()),MONTH(TODAY()),1))),1,0))</f>
        <v/>
      </c>
      <c r="V18">
        <f>IF($A18="","",IF(AND($B18&gt;0,I18&lt;$B18,DATE($B$1,7,1)&lt;=TODAY(),OR($O18="",$O18&gt;=DATE($B$1,7,1)),OR(COUNTIF($C18:I18,"&gt;0")&gt;0,DATE($B$1,7,1)=DATE(YEAR(TODAY()),MONTH(TODAY()),1))),1,0))</f>
        <v/>
      </c>
      <c r="W18">
        <f>IF($A18="","",IF(AND($B18&gt;0,J18&lt;$B18,DATE($B$1,8,1)&lt;=TODAY(),OR($O18="",$O18&gt;=DATE($B$1,8,1)),OR(COUNTIF($C18:J18,"&gt;0")&gt;0,DATE($B$1,8,1)=DATE(YEAR(TODAY()),MONTH(TODAY()),1))),1,0))</f>
        <v/>
      </c>
      <c r="X18">
        <f>IF($A18="","",IF(AND($B18&gt;0,K18&lt;$B18,DATE($B$1,9,1)&lt;=TODAY(),OR($O18="",$O18&gt;=DATE($B$1,9,1)),OR(COUNTIF($C18:K18,"&gt;0")&gt;0,DATE($B$1,9,1)=DATE(YEAR(TODAY()),MONTH(TODAY()),1))),1,0))</f>
        <v/>
      </c>
      <c r="Y18">
        <f>IF($A18="","",IF(AND($B18&gt;0,L18&lt;$B18,DATE($B$1,10,1)&lt;=TODAY(),OR($O18="",$O18&gt;=DATE($B$1,10,1)),OR(COUNTIF($C18:L18,"&gt;0")&gt;0,DATE($B$1,10,1)=DATE(YEAR(TODAY()),MONTH(TODAY()),1))),1,0))</f>
        <v/>
      </c>
      <c r="Z18">
        <f>IF($A18="","",IF(AND($B18&gt;0,M18&lt;$B18,DATE($B$1,11,1)&lt;=TODAY(),OR($O18="",$O18&gt;=DATE($B$1,11,1)),OR(COUNTIF($C18:M18,"&gt;0")&gt;0,DATE($B$1,11,1)=DATE(YEAR(TODAY()),MONTH(TODAY()),1))),1,0))</f>
        <v/>
      </c>
      <c r="AA18">
        <f>IF($A18="","",IF(AND($B18&gt;0,N18&lt;$B18,DATE($B$1,12,1)&lt;=TODAY(),OR($O18="",$O18&gt;=DATE($B$1,12,1)),OR(COUNTIF($C18:N18,"&gt;0")&gt;0,DATE($B$1,12,1)=DATE(YEAR(TODAY()),MONTH(TODAY()),1))),1,0))</f>
        <v/>
      </c>
    </row>
    <row r="19">
      <c r="A19" s="13">
        <f>IF(원생!$A17="","",원생!$A17&amp;IF(원생!$G17="",""," ("&amp;원생!$G17&amp;")"))</f>
        <v/>
      </c>
      <c r="B19" s="8">
        <f>IF(원생!$A17="","",원생!$F17)</f>
        <v/>
      </c>
      <c r="C19" s="14">
        <f>IF(원생!$A17="","",SUMIFS(수납!$F:$F,수납!$C:$C,원생!$A17,수납!$D:$D,IF(원생!$G17="","",원생!$G17),수납!$B:$B,$B$1&amp;"-"&amp;TEXT(1,"00")&amp;"*",수납!$E:$E,"수강료")+SUMIFS(수납!$F:$F,수납!$C:$C,원생!$A17,수납!$D:$D,IF(원생!$G17="","",원생!$G17),수납!$B:$B,$B$1&amp;"-"&amp;TEXT(1,"00")&amp;"*",수납!$E:$E,""))</f>
        <v/>
      </c>
      <c r="D19" s="14">
        <f>IF(원생!$A17="","",SUMIFS(수납!$F:$F,수납!$C:$C,원생!$A17,수납!$D:$D,IF(원생!$G17="","",원생!$G17),수납!$B:$B,$B$1&amp;"-"&amp;TEXT(2,"00")&amp;"*",수납!$E:$E,"수강료")+SUMIFS(수납!$F:$F,수납!$C:$C,원생!$A17,수납!$D:$D,IF(원생!$G17="","",원생!$G17),수납!$B:$B,$B$1&amp;"-"&amp;TEXT(2,"00")&amp;"*",수납!$E:$E,""))</f>
        <v/>
      </c>
      <c r="E19" s="14">
        <f>IF(원생!$A17="","",SUMIFS(수납!$F:$F,수납!$C:$C,원생!$A17,수납!$D:$D,IF(원생!$G17="","",원생!$G17),수납!$B:$B,$B$1&amp;"-"&amp;TEXT(3,"00")&amp;"*",수납!$E:$E,"수강료")+SUMIFS(수납!$F:$F,수납!$C:$C,원생!$A17,수납!$D:$D,IF(원생!$G17="","",원생!$G17),수납!$B:$B,$B$1&amp;"-"&amp;TEXT(3,"00")&amp;"*",수납!$E:$E,""))</f>
        <v/>
      </c>
      <c r="F19" s="14">
        <f>IF(원생!$A17="","",SUMIFS(수납!$F:$F,수납!$C:$C,원생!$A17,수납!$D:$D,IF(원생!$G17="","",원생!$G17),수납!$B:$B,$B$1&amp;"-"&amp;TEXT(4,"00")&amp;"*",수납!$E:$E,"수강료")+SUMIFS(수납!$F:$F,수납!$C:$C,원생!$A17,수납!$D:$D,IF(원생!$G17="","",원생!$G17),수납!$B:$B,$B$1&amp;"-"&amp;TEXT(4,"00")&amp;"*",수납!$E:$E,""))</f>
        <v/>
      </c>
      <c r="G19" s="14">
        <f>IF(원생!$A17="","",SUMIFS(수납!$F:$F,수납!$C:$C,원생!$A17,수납!$D:$D,IF(원생!$G17="","",원생!$G17),수납!$B:$B,$B$1&amp;"-"&amp;TEXT(5,"00")&amp;"*",수납!$E:$E,"수강료")+SUMIFS(수납!$F:$F,수납!$C:$C,원생!$A17,수납!$D:$D,IF(원생!$G17="","",원생!$G17),수납!$B:$B,$B$1&amp;"-"&amp;TEXT(5,"00")&amp;"*",수납!$E:$E,""))</f>
        <v/>
      </c>
      <c r="H19" s="14">
        <f>IF(원생!$A17="","",SUMIFS(수납!$F:$F,수납!$C:$C,원생!$A17,수납!$D:$D,IF(원생!$G17="","",원생!$G17),수납!$B:$B,$B$1&amp;"-"&amp;TEXT(6,"00")&amp;"*",수납!$E:$E,"수강료")+SUMIFS(수납!$F:$F,수납!$C:$C,원생!$A17,수납!$D:$D,IF(원생!$G17="","",원생!$G17),수납!$B:$B,$B$1&amp;"-"&amp;TEXT(6,"00")&amp;"*",수납!$E:$E,""))</f>
        <v/>
      </c>
      <c r="I19" s="14">
        <f>IF(원생!$A17="","",SUMIFS(수납!$F:$F,수납!$C:$C,원생!$A17,수납!$D:$D,IF(원생!$G17="","",원생!$G17),수납!$B:$B,$B$1&amp;"-"&amp;TEXT(7,"00")&amp;"*",수납!$E:$E,"수강료")+SUMIFS(수납!$F:$F,수납!$C:$C,원생!$A17,수납!$D:$D,IF(원생!$G17="","",원생!$G17),수납!$B:$B,$B$1&amp;"-"&amp;TEXT(7,"00")&amp;"*",수납!$E:$E,""))</f>
        <v/>
      </c>
      <c r="J19" s="14">
        <f>IF(원생!$A17="","",SUMIFS(수납!$F:$F,수납!$C:$C,원생!$A17,수납!$D:$D,IF(원생!$G17="","",원생!$G17),수납!$B:$B,$B$1&amp;"-"&amp;TEXT(8,"00")&amp;"*",수납!$E:$E,"수강료")+SUMIFS(수납!$F:$F,수납!$C:$C,원생!$A17,수납!$D:$D,IF(원생!$G17="","",원생!$G17),수납!$B:$B,$B$1&amp;"-"&amp;TEXT(8,"00")&amp;"*",수납!$E:$E,""))</f>
        <v/>
      </c>
      <c r="K19" s="14">
        <f>IF(원생!$A17="","",SUMIFS(수납!$F:$F,수납!$C:$C,원생!$A17,수납!$D:$D,IF(원생!$G17="","",원생!$G17),수납!$B:$B,$B$1&amp;"-"&amp;TEXT(9,"00")&amp;"*",수납!$E:$E,"수강료")+SUMIFS(수납!$F:$F,수납!$C:$C,원생!$A17,수납!$D:$D,IF(원생!$G17="","",원생!$G17),수납!$B:$B,$B$1&amp;"-"&amp;TEXT(9,"00")&amp;"*",수납!$E:$E,""))</f>
        <v/>
      </c>
      <c r="L19" s="14">
        <f>IF(원생!$A17="","",SUMIFS(수납!$F:$F,수납!$C:$C,원생!$A17,수납!$D:$D,IF(원생!$G17="","",원생!$G17),수납!$B:$B,$B$1&amp;"-"&amp;TEXT(10,"00")&amp;"*",수납!$E:$E,"수강료")+SUMIFS(수납!$F:$F,수납!$C:$C,원생!$A17,수납!$D:$D,IF(원생!$G17="","",원생!$G17),수납!$B:$B,$B$1&amp;"-"&amp;TEXT(10,"00")&amp;"*",수납!$E:$E,""))</f>
        <v/>
      </c>
      <c r="M19" s="14">
        <f>IF(원생!$A17="","",SUMIFS(수납!$F:$F,수납!$C:$C,원생!$A17,수납!$D:$D,IF(원생!$G17="","",원생!$G17),수납!$B:$B,$B$1&amp;"-"&amp;TEXT(11,"00")&amp;"*",수납!$E:$E,"수강료")+SUMIFS(수납!$F:$F,수납!$C:$C,원생!$A17,수납!$D:$D,IF(원생!$G17="","",원생!$G17),수납!$B:$B,$B$1&amp;"-"&amp;TEXT(11,"00")&amp;"*",수납!$E:$E,""))</f>
        <v/>
      </c>
      <c r="N19" s="14">
        <f>IF(원생!$A17="","",SUMIFS(수납!$F:$F,수납!$C:$C,원생!$A17,수납!$D:$D,IF(원생!$G17="","",원생!$G17),수납!$B:$B,$B$1&amp;"-"&amp;TEXT(12,"00")&amp;"*",수납!$E:$E,"수강료")+SUMIFS(수납!$F:$F,수납!$C:$C,원생!$A17,수납!$D:$D,IF(원생!$G17="","",원생!$G17),수납!$B:$B,$B$1&amp;"-"&amp;TEXT(12,"00")&amp;"*",수납!$E:$E,""))</f>
        <v/>
      </c>
      <c r="O19">
        <f>IF(원생!$I17="","",원생!$I17)</f>
        <v/>
      </c>
      <c r="P19">
        <f>IF($A19="","",IF(AND($B19&gt;0,C19&lt;$B19,DATE($B$1,1,1)&lt;=TODAY(),OR($O19="",$O19&gt;=DATE($B$1,1,1)),OR(COUNTIF($C19:C19,"&gt;0")&gt;0,DATE($B$1,1,1)=DATE(YEAR(TODAY()),MONTH(TODAY()),1))),1,0))</f>
        <v/>
      </c>
      <c r="Q19">
        <f>IF($A19="","",IF(AND($B19&gt;0,D19&lt;$B19,DATE($B$1,2,1)&lt;=TODAY(),OR($O19="",$O19&gt;=DATE($B$1,2,1)),OR(COUNTIF($C19:D19,"&gt;0")&gt;0,DATE($B$1,2,1)=DATE(YEAR(TODAY()),MONTH(TODAY()),1))),1,0))</f>
        <v/>
      </c>
      <c r="R19">
        <f>IF($A19="","",IF(AND($B19&gt;0,E19&lt;$B19,DATE($B$1,3,1)&lt;=TODAY(),OR($O19="",$O19&gt;=DATE($B$1,3,1)),OR(COUNTIF($C19:E19,"&gt;0")&gt;0,DATE($B$1,3,1)=DATE(YEAR(TODAY()),MONTH(TODAY()),1))),1,0))</f>
        <v/>
      </c>
      <c r="S19">
        <f>IF($A19="","",IF(AND($B19&gt;0,F19&lt;$B19,DATE($B$1,4,1)&lt;=TODAY(),OR($O19="",$O19&gt;=DATE($B$1,4,1)),OR(COUNTIF($C19:F19,"&gt;0")&gt;0,DATE($B$1,4,1)=DATE(YEAR(TODAY()),MONTH(TODAY()),1))),1,0))</f>
        <v/>
      </c>
      <c r="T19">
        <f>IF($A19="","",IF(AND($B19&gt;0,G19&lt;$B19,DATE($B$1,5,1)&lt;=TODAY(),OR($O19="",$O19&gt;=DATE($B$1,5,1)),OR(COUNTIF($C19:G19,"&gt;0")&gt;0,DATE($B$1,5,1)=DATE(YEAR(TODAY()),MONTH(TODAY()),1))),1,0))</f>
        <v/>
      </c>
      <c r="U19">
        <f>IF($A19="","",IF(AND($B19&gt;0,H19&lt;$B19,DATE($B$1,6,1)&lt;=TODAY(),OR($O19="",$O19&gt;=DATE($B$1,6,1)),OR(COUNTIF($C19:H19,"&gt;0")&gt;0,DATE($B$1,6,1)=DATE(YEAR(TODAY()),MONTH(TODAY()),1))),1,0))</f>
        <v/>
      </c>
      <c r="V19">
        <f>IF($A19="","",IF(AND($B19&gt;0,I19&lt;$B19,DATE($B$1,7,1)&lt;=TODAY(),OR($O19="",$O19&gt;=DATE($B$1,7,1)),OR(COUNTIF($C19:I19,"&gt;0")&gt;0,DATE($B$1,7,1)=DATE(YEAR(TODAY()),MONTH(TODAY()),1))),1,0))</f>
        <v/>
      </c>
      <c r="W19">
        <f>IF($A19="","",IF(AND($B19&gt;0,J19&lt;$B19,DATE($B$1,8,1)&lt;=TODAY(),OR($O19="",$O19&gt;=DATE($B$1,8,1)),OR(COUNTIF($C19:J19,"&gt;0")&gt;0,DATE($B$1,8,1)=DATE(YEAR(TODAY()),MONTH(TODAY()),1))),1,0))</f>
        <v/>
      </c>
      <c r="X19">
        <f>IF($A19="","",IF(AND($B19&gt;0,K19&lt;$B19,DATE($B$1,9,1)&lt;=TODAY(),OR($O19="",$O19&gt;=DATE($B$1,9,1)),OR(COUNTIF($C19:K19,"&gt;0")&gt;0,DATE($B$1,9,1)=DATE(YEAR(TODAY()),MONTH(TODAY()),1))),1,0))</f>
        <v/>
      </c>
      <c r="Y19">
        <f>IF($A19="","",IF(AND($B19&gt;0,L19&lt;$B19,DATE($B$1,10,1)&lt;=TODAY(),OR($O19="",$O19&gt;=DATE($B$1,10,1)),OR(COUNTIF($C19:L19,"&gt;0")&gt;0,DATE($B$1,10,1)=DATE(YEAR(TODAY()),MONTH(TODAY()),1))),1,0))</f>
        <v/>
      </c>
      <c r="Z19">
        <f>IF($A19="","",IF(AND($B19&gt;0,M19&lt;$B19,DATE($B$1,11,1)&lt;=TODAY(),OR($O19="",$O19&gt;=DATE($B$1,11,1)),OR(COUNTIF($C19:M19,"&gt;0")&gt;0,DATE($B$1,11,1)=DATE(YEAR(TODAY()),MONTH(TODAY()),1))),1,0))</f>
        <v/>
      </c>
      <c r="AA19">
        <f>IF($A19="","",IF(AND($B19&gt;0,N19&lt;$B19,DATE($B$1,12,1)&lt;=TODAY(),OR($O19="",$O19&gt;=DATE($B$1,12,1)),OR(COUNTIF($C19:N19,"&gt;0")&gt;0,DATE($B$1,12,1)=DATE(YEAR(TODAY()),MONTH(TODAY()),1))),1,0))</f>
        <v/>
      </c>
    </row>
    <row r="20">
      <c r="A20" s="13">
        <f>IF(원생!$A18="","",원생!$A18&amp;IF(원생!$G18="",""," ("&amp;원생!$G18&amp;")"))</f>
        <v/>
      </c>
      <c r="B20" s="8">
        <f>IF(원생!$A18="","",원생!$F18)</f>
        <v/>
      </c>
      <c r="C20" s="14">
        <f>IF(원생!$A18="","",SUMIFS(수납!$F:$F,수납!$C:$C,원생!$A18,수납!$D:$D,IF(원생!$G18="","",원생!$G18),수납!$B:$B,$B$1&amp;"-"&amp;TEXT(1,"00")&amp;"*",수납!$E:$E,"수강료")+SUMIFS(수납!$F:$F,수납!$C:$C,원생!$A18,수납!$D:$D,IF(원생!$G18="","",원생!$G18),수납!$B:$B,$B$1&amp;"-"&amp;TEXT(1,"00")&amp;"*",수납!$E:$E,""))</f>
        <v/>
      </c>
      <c r="D20" s="14">
        <f>IF(원생!$A18="","",SUMIFS(수납!$F:$F,수납!$C:$C,원생!$A18,수납!$D:$D,IF(원생!$G18="","",원생!$G18),수납!$B:$B,$B$1&amp;"-"&amp;TEXT(2,"00")&amp;"*",수납!$E:$E,"수강료")+SUMIFS(수납!$F:$F,수납!$C:$C,원생!$A18,수납!$D:$D,IF(원생!$G18="","",원생!$G18),수납!$B:$B,$B$1&amp;"-"&amp;TEXT(2,"00")&amp;"*",수납!$E:$E,""))</f>
        <v/>
      </c>
      <c r="E20" s="14">
        <f>IF(원생!$A18="","",SUMIFS(수납!$F:$F,수납!$C:$C,원생!$A18,수납!$D:$D,IF(원생!$G18="","",원생!$G18),수납!$B:$B,$B$1&amp;"-"&amp;TEXT(3,"00")&amp;"*",수납!$E:$E,"수강료")+SUMIFS(수납!$F:$F,수납!$C:$C,원생!$A18,수납!$D:$D,IF(원생!$G18="","",원생!$G18),수납!$B:$B,$B$1&amp;"-"&amp;TEXT(3,"00")&amp;"*",수납!$E:$E,""))</f>
        <v/>
      </c>
      <c r="F20" s="14">
        <f>IF(원생!$A18="","",SUMIFS(수납!$F:$F,수납!$C:$C,원생!$A18,수납!$D:$D,IF(원생!$G18="","",원생!$G18),수납!$B:$B,$B$1&amp;"-"&amp;TEXT(4,"00")&amp;"*",수납!$E:$E,"수강료")+SUMIFS(수납!$F:$F,수납!$C:$C,원생!$A18,수납!$D:$D,IF(원생!$G18="","",원생!$G18),수납!$B:$B,$B$1&amp;"-"&amp;TEXT(4,"00")&amp;"*",수납!$E:$E,""))</f>
        <v/>
      </c>
      <c r="G20" s="14">
        <f>IF(원생!$A18="","",SUMIFS(수납!$F:$F,수납!$C:$C,원생!$A18,수납!$D:$D,IF(원생!$G18="","",원생!$G18),수납!$B:$B,$B$1&amp;"-"&amp;TEXT(5,"00")&amp;"*",수납!$E:$E,"수강료")+SUMIFS(수납!$F:$F,수납!$C:$C,원생!$A18,수납!$D:$D,IF(원생!$G18="","",원생!$G18),수납!$B:$B,$B$1&amp;"-"&amp;TEXT(5,"00")&amp;"*",수납!$E:$E,""))</f>
        <v/>
      </c>
      <c r="H20" s="14">
        <f>IF(원생!$A18="","",SUMIFS(수납!$F:$F,수납!$C:$C,원생!$A18,수납!$D:$D,IF(원생!$G18="","",원생!$G18),수납!$B:$B,$B$1&amp;"-"&amp;TEXT(6,"00")&amp;"*",수납!$E:$E,"수강료")+SUMIFS(수납!$F:$F,수납!$C:$C,원생!$A18,수납!$D:$D,IF(원생!$G18="","",원생!$G18),수납!$B:$B,$B$1&amp;"-"&amp;TEXT(6,"00")&amp;"*",수납!$E:$E,""))</f>
        <v/>
      </c>
      <c r="I20" s="14">
        <f>IF(원생!$A18="","",SUMIFS(수납!$F:$F,수납!$C:$C,원생!$A18,수납!$D:$D,IF(원생!$G18="","",원생!$G18),수납!$B:$B,$B$1&amp;"-"&amp;TEXT(7,"00")&amp;"*",수납!$E:$E,"수강료")+SUMIFS(수납!$F:$F,수납!$C:$C,원생!$A18,수납!$D:$D,IF(원생!$G18="","",원생!$G18),수납!$B:$B,$B$1&amp;"-"&amp;TEXT(7,"00")&amp;"*",수납!$E:$E,""))</f>
        <v/>
      </c>
      <c r="J20" s="14">
        <f>IF(원생!$A18="","",SUMIFS(수납!$F:$F,수납!$C:$C,원생!$A18,수납!$D:$D,IF(원생!$G18="","",원생!$G18),수납!$B:$B,$B$1&amp;"-"&amp;TEXT(8,"00")&amp;"*",수납!$E:$E,"수강료")+SUMIFS(수납!$F:$F,수납!$C:$C,원생!$A18,수납!$D:$D,IF(원생!$G18="","",원생!$G18),수납!$B:$B,$B$1&amp;"-"&amp;TEXT(8,"00")&amp;"*",수납!$E:$E,""))</f>
        <v/>
      </c>
      <c r="K20" s="14">
        <f>IF(원생!$A18="","",SUMIFS(수납!$F:$F,수납!$C:$C,원생!$A18,수납!$D:$D,IF(원생!$G18="","",원생!$G18),수납!$B:$B,$B$1&amp;"-"&amp;TEXT(9,"00")&amp;"*",수납!$E:$E,"수강료")+SUMIFS(수납!$F:$F,수납!$C:$C,원생!$A18,수납!$D:$D,IF(원생!$G18="","",원생!$G18),수납!$B:$B,$B$1&amp;"-"&amp;TEXT(9,"00")&amp;"*",수납!$E:$E,""))</f>
        <v/>
      </c>
      <c r="L20" s="14">
        <f>IF(원생!$A18="","",SUMIFS(수납!$F:$F,수납!$C:$C,원생!$A18,수납!$D:$D,IF(원생!$G18="","",원생!$G18),수납!$B:$B,$B$1&amp;"-"&amp;TEXT(10,"00")&amp;"*",수납!$E:$E,"수강료")+SUMIFS(수납!$F:$F,수납!$C:$C,원생!$A18,수납!$D:$D,IF(원생!$G18="","",원생!$G18),수납!$B:$B,$B$1&amp;"-"&amp;TEXT(10,"00")&amp;"*",수납!$E:$E,""))</f>
        <v/>
      </c>
      <c r="M20" s="14">
        <f>IF(원생!$A18="","",SUMIFS(수납!$F:$F,수납!$C:$C,원생!$A18,수납!$D:$D,IF(원생!$G18="","",원생!$G18),수납!$B:$B,$B$1&amp;"-"&amp;TEXT(11,"00")&amp;"*",수납!$E:$E,"수강료")+SUMIFS(수납!$F:$F,수납!$C:$C,원생!$A18,수납!$D:$D,IF(원생!$G18="","",원생!$G18),수납!$B:$B,$B$1&amp;"-"&amp;TEXT(11,"00")&amp;"*",수납!$E:$E,""))</f>
        <v/>
      </c>
      <c r="N20" s="14">
        <f>IF(원생!$A18="","",SUMIFS(수납!$F:$F,수납!$C:$C,원생!$A18,수납!$D:$D,IF(원생!$G18="","",원생!$G18),수납!$B:$B,$B$1&amp;"-"&amp;TEXT(12,"00")&amp;"*",수납!$E:$E,"수강료")+SUMIFS(수납!$F:$F,수납!$C:$C,원생!$A18,수납!$D:$D,IF(원생!$G18="","",원생!$G18),수납!$B:$B,$B$1&amp;"-"&amp;TEXT(12,"00")&amp;"*",수납!$E:$E,""))</f>
        <v/>
      </c>
      <c r="O20">
        <f>IF(원생!$I18="","",원생!$I18)</f>
        <v/>
      </c>
      <c r="P20">
        <f>IF($A20="","",IF(AND($B20&gt;0,C20&lt;$B20,DATE($B$1,1,1)&lt;=TODAY(),OR($O20="",$O20&gt;=DATE($B$1,1,1)),OR(COUNTIF($C20:C20,"&gt;0")&gt;0,DATE($B$1,1,1)=DATE(YEAR(TODAY()),MONTH(TODAY()),1))),1,0))</f>
        <v/>
      </c>
      <c r="Q20">
        <f>IF($A20="","",IF(AND($B20&gt;0,D20&lt;$B20,DATE($B$1,2,1)&lt;=TODAY(),OR($O20="",$O20&gt;=DATE($B$1,2,1)),OR(COUNTIF($C20:D20,"&gt;0")&gt;0,DATE($B$1,2,1)=DATE(YEAR(TODAY()),MONTH(TODAY()),1))),1,0))</f>
        <v/>
      </c>
      <c r="R20">
        <f>IF($A20="","",IF(AND($B20&gt;0,E20&lt;$B20,DATE($B$1,3,1)&lt;=TODAY(),OR($O20="",$O20&gt;=DATE($B$1,3,1)),OR(COUNTIF($C20:E20,"&gt;0")&gt;0,DATE($B$1,3,1)=DATE(YEAR(TODAY()),MONTH(TODAY()),1))),1,0))</f>
        <v/>
      </c>
      <c r="S20">
        <f>IF($A20="","",IF(AND($B20&gt;0,F20&lt;$B20,DATE($B$1,4,1)&lt;=TODAY(),OR($O20="",$O20&gt;=DATE($B$1,4,1)),OR(COUNTIF($C20:F20,"&gt;0")&gt;0,DATE($B$1,4,1)=DATE(YEAR(TODAY()),MONTH(TODAY()),1))),1,0))</f>
        <v/>
      </c>
      <c r="T20">
        <f>IF($A20="","",IF(AND($B20&gt;0,G20&lt;$B20,DATE($B$1,5,1)&lt;=TODAY(),OR($O20="",$O20&gt;=DATE($B$1,5,1)),OR(COUNTIF($C20:G20,"&gt;0")&gt;0,DATE($B$1,5,1)=DATE(YEAR(TODAY()),MONTH(TODAY()),1))),1,0))</f>
        <v/>
      </c>
      <c r="U20">
        <f>IF($A20="","",IF(AND($B20&gt;0,H20&lt;$B20,DATE($B$1,6,1)&lt;=TODAY(),OR($O20="",$O20&gt;=DATE($B$1,6,1)),OR(COUNTIF($C20:H20,"&gt;0")&gt;0,DATE($B$1,6,1)=DATE(YEAR(TODAY()),MONTH(TODAY()),1))),1,0))</f>
        <v/>
      </c>
      <c r="V20">
        <f>IF($A20="","",IF(AND($B20&gt;0,I20&lt;$B20,DATE($B$1,7,1)&lt;=TODAY(),OR($O20="",$O20&gt;=DATE($B$1,7,1)),OR(COUNTIF($C20:I20,"&gt;0")&gt;0,DATE($B$1,7,1)=DATE(YEAR(TODAY()),MONTH(TODAY()),1))),1,0))</f>
        <v/>
      </c>
      <c r="W20">
        <f>IF($A20="","",IF(AND($B20&gt;0,J20&lt;$B20,DATE($B$1,8,1)&lt;=TODAY(),OR($O20="",$O20&gt;=DATE($B$1,8,1)),OR(COUNTIF($C20:J20,"&gt;0")&gt;0,DATE($B$1,8,1)=DATE(YEAR(TODAY()),MONTH(TODAY()),1))),1,0))</f>
        <v/>
      </c>
      <c r="X20">
        <f>IF($A20="","",IF(AND($B20&gt;0,K20&lt;$B20,DATE($B$1,9,1)&lt;=TODAY(),OR($O20="",$O20&gt;=DATE($B$1,9,1)),OR(COUNTIF($C20:K20,"&gt;0")&gt;0,DATE($B$1,9,1)=DATE(YEAR(TODAY()),MONTH(TODAY()),1))),1,0))</f>
        <v/>
      </c>
      <c r="Y20">
        <f>IF($A20="","",IF(AND($B20&gt;0,L20&lt;$B20,DATE($B$1,10,1)&lt;=TODAY(),OR($O20="",$O20&gt;=DATE($B$1,10,1)),OR(COUNTIF($C20:L20,"&gt;0")&gt;0,DATE($B$1,10,1)=DATE(YEAR(TODAY()),MONTH(TODAY()),1))),1,0))</f>
        <v/>
      </c>
      <c r="Z20">
        <f>IF($A20="","",IF(AND($B20&gt;0,M20&lt;$B20,DATE($B$1,11,1)&lt;=TODAY(),OR($O20="",$O20&gt;=DATE($B$1,11,1)),OR(COUNTIF($C20:M20,"&gt;0")&gt;0,DATE($B$1,11,1)=DATE(YEAR(TODAY()),MONTH(TODAY()),1))),1,0))</f>
        <v/>
      </c>
      <c r="AA20">
        <f>IF($A20="","",IF(AND($B20&gt;0,N20&lt;$B20,DATE($B$1,12,1)&lt;=TODAY(),OR($O20="",$O20&gt;=DATE($B$1,12,1)),OR(COUNTIF($C20:N20,"&gt;0")&gt;0,DATE($B$1,12,1)=DATE(YEAR(TODAY()),MONTH(TODAY()),1))),1,0))</f>
        <v/>
      </c>
    </row>
    <row r="21">
      <c r="A21" s="13">
        <f>IF(원생!$A19="","",원생!$A19&amp;IF(원생!$G19="",""," ("&amp;원생!$G19&amp;")"))</f>
        <v/>
      </c>
      <c r="B21" s="8">
        <f>IF(원생!$A19="","",원생!$F19)</f>
        <v/>
      </c>
      <c r="C21" s="14">
        <f>IF(원생!$A19="","",SUMIFS(수납!$F:$F,수납!$C:$C,원생!$A19,수납!$D:$D,IF(원생!$G19="","",원생!$G19),수납!$B:$B,$B$1&amp;"-"&amp;TEXT(1,"00")&amp;"*",수납!$E:$E,"수강료")+SUMIFS(수납!$F:$F,수납!$C:$C,원생!$A19,수납!$D:$D,IF(원생!$G19="","",원생!$G19),수납!$B:$B,$B$1&amp;"-"&amp;TEXT(1,"00")&amp;"*",수납!$E:$E,""))</f>
        <v/>
      </c>
      <c r="D21" s="14">
        <f>IF(원생!$A19="","",SUMIFS(수납!$F:$F,수납!$C:$C,원생!$A19,수납!$D:$D,IF(원생!$G19="","",원생!$G19),수납!$B:$B,$B$1&amp;"-"&amp;TEXT(2,"00")&amp;"*",수납!$E:$E,"수강료")+SUMIFS(수납!$F:$F,수납!$C:$C,원생!$A19,수납!$D:$D,IF(원생!$G19="","",원생!$G19),수납!$B:$B,$B$1&amp;"-"&amp;TEXT(2,"00")&amp;"*",수납!$E:$E,""))</f>
        <v/>
      </c>
      <c r="E21" s="14">
        <f>IF(원생!$A19="","",SUMIFS(수납!$F:$F,수납!$C:$C,원생!$A19,수납!$D:$D,IF(원생!$G19="","",원생!$G19),수납!$B:$B,$B$1&amp;"-"&amp;TEXT(3,"00")&amp;"*",수납!$E:$E,"수강료")+SUMIFS(수납!$F:$F,수납!$C:$C,원생!$A19,수납!$D:$D,IF(원생!$G19="","",원생!$G19),수납!$B:$B,$B$1&amp;"-"&amp;TEXT(3,"00")&amp;"*",수납!$E:$E,""))</f>
        <v/>
      </c>
      <c r="F21" s="14">
        <f>IF(원생!$A19="","",SUMIFS(수납!$F:$F,수납!$C:$C,원생!$A19,수납!$D:$D,IF(원생!$G19="","",원생!$G19),수납!$B:$B,$B$1&amp;"-"&amp;TEXT(4,"00")&amp;"*",수납!$E:$E,"수강료")+SUMIFS(수납!$F:$F,수납!$C:$C,원생!$A19,수납!$D:$D,IF(원생!$G19="","",원생!$G19),수납!$B:$B,$B$1&amp;"-"&amp;TEXT(4,"00")&amp;"*",수납!$E:$E,""))</f>
        <v/>
      </c>
      <c r="G21" s="14">
        <f>IF(원생!$A19="","",SUMIFS(수납!$F:$F,수납!$C:$C,원생!$A19,수납!$D:$D,IF(원생!$G19="","",원생!$G19),수납!$B:$B,$B$1&amp;"-"&amp;TEXT(5,"00")&amp;"*",수납!$E:$E,"수강료")+SUMIFS(수납!$F:$F,수납!$C:$C,원생!$A19,수납!$D:$D,IF(원생!$G19="","",원생!$G19),수납!$B:$B,$B$1&amp;"-"&amp;TEXT(5,"00")&amp;"*",수납!$E:$E,""))</f>
        <v/>
      </c>
      <c r="H21" s="14">
        <f>IF(원생!$A19="","",SUMIFS(수납!$F:$F,수납!$C:$C,원생!$A19,수납!$D:$D,IF(원생!$G19="","",원생!$G19),수납!$B:$B,$B$1&amp;"-"&amp;TEXT(6,"00")&amp;"*",수납!$E:$E,"수강료")+SUMIFS(수납!$F:$F,수납!$C:$C,원생!$A19,수납!$D:$D,IF(원생!$G19="","",원생!$G19),수납!$B:$B,$B$1&amp;"-"&amp;TEXT(6,"00")&amp;"*",수납!$E:$E,""))</f>
        <v/>
      </c>
      <c r="I21" s="14">
        <f>IF(원생!$A19="","",SUMIFS(수납!$F:$F,수납!$C:$C,원생!$A19,수납!$D:$D,IF(원생!$G19="","",원생!$G19),수납!$B:$B,$B$1&amp;"-"&amp;TEXT(7,"00")&amp;"*",수납!$E:$E,"수강료")+SUMIFS(수납!$F:$F,수납!$C:$C,원생!$A19,수납!$D:$D,IF(원생!$G19="","",원생!$G19),수납!$B:$B,$B$1&amp;"-"&amp;TEXT(7,"00")&amp;"*",수납!$E:$E,""))</f>
        <v/>
      </c>
      <c r="J21" s="14">
        <f>IF(원생!$A19="","",SUMIFS(수납!$F:$F,수납!$C:$C,원생!$A19,수납!$D:$D,IF(원생!$G19="","",원생!$G19),수납!$B:$B,$B$1&amp;"-"&amp;TEXT(8,"00")&amp;"*",수납!$E:$E,"수강료")+SUMIFS(수납!$F:$F,수납!$C:$C,원생!$A19,수납!$D:$D,IF(원생!$G19="","",원생!$G19),수납!$B:$B,$B$1&amp;"-"&amp;TEXT(8,"00")&amp;"*",수납!$E:$E,""))</f>
        <v/>
      </c>
      <c r="K21" s="14">
        <f>IF(원생!$A19="","",SUMIFS(수납!$F:$F,수납!$C:$C,원생!$A19,수납!$D:$D,IF(원생!$G19="","",원생!$G19),수납!$B:$B,$B$1&amp;"-"&amp;TEXT(9,"00")&amp;"*",수납!$E:$E,"수강료")+SUMIFS(수납!$F:$F,수납!$C:$C,원생!$A19,수납!$D:$D,IF(원생!$G19="","",원생!$G19),수납!$B:$B,$B$1&amp;"-"&amp;TEXT(9,"00")&amp;"*",수납!$E:$E,""))</f>
        <v/>
      </c>
      <c r="L21" s="14">
        <f>IF(원생!$A19="","",SUMIFS(수납!$F:$F,수납!$C:$C,원생!$A19,수납!$D:$D,IF(원생!$G19="","",원생!$G19),수납!$B:$B,$B$1&amp;"-"&amp;TEXT(10,"00")&amp;"*",수납!$E:$E,"수강료")+SUMIFS(수납!$F:$F,수납!$C:$C,원생!$A19,수납!$D:$D,IF(원생!$G19="","",원생!$G19),수납!$B:$B,$B$1&amp;"-"&amp;TEXT(10,"00")&amp;"*",수납!$E:$E,""))</f>
        <v/>
      </c>
      <c r="M21" s="14">
        <f>IF(원생!$A19="","",SUMIFS(수납!$F:$F,수납!$C:$C,원생!$A19,수납!$D:$D,IF(원생!$G19="","",원생!$G19),수납!$B:$B,$B$1&amp;"-"&amp;TEXT(11,"00")&amp;"*",수납!$E:$E,"수강료")+SUMIFS(수납!$F:$F,수납!$C:$C,원생!$A19,수납!$D:$D,IF(원생!$G19="","",원생!$G19),수납!$B:$B,$B$1&amp;"-"&amp;TEXT(11,"00")&amp;"*",수납!$E:$E,""))</f>
        <v/>
      </c>
      <c r="N21" s="14">
        <f>IF(원생!$A19="","",SUMIFS(수납!$F:$F,수납!$C:$C,원생!$A19,수납!$D:$D,IF(원생!$G19="","",원생!$G19),수납!$B:$B,$B$1&amp;"-"&amp;TEXT(12,"00")&amp;"*",수납!$E:$E,"수강료")+SUMIFS(수납!$F:$F,수납!$C:$C,원생!$A19,수납!$D:$D,IF(원생!$G19="","",원생!$G19),수납!$B:$B,$B$1&amp;"-"&amp;TEXT(12,"00")&amp;"*",수납!$E:$E,""))</f>
        <v/>
      </c>
      <c r="O21">
        <f>IF(원생!$I19="","",원생!$I19)</f>
        <v/>
      </c>
      <c r="P21">
        <f>IF($A21="","",IF(AND($B21&gt;0,C21&lt;$B21,DATE($B$1,1,1)&lt;=TODAY(),OR($O21="",$O21&gt;=DATE($B$1,1,1)),OR(COUNTIF($C21:C21,"&gt;0")&gt;0,DATE($B$1,1,1)=DATE(YEAR(TODAY()),MONTH(TODAY()),1))),1,0))</f>
        <v/>
      </c>
      <c r="Q21">
        <f>IF($A21="","",IF(AND($B21&gt;0,D21&lt;$B21,DATE($B$1,2,1)&lt;=TODAY(),OR($O21="",$O21&gt;=DATE($B$1,2,1)),OR(COUNTIF($C21:D21,"&gt;0")&gt;0,DATE($B$1,2,1)=DATE(YEAR(TODAY()),MONTH(TODAY()),1))),1,0))</f>
        <v/>
      </c>
      <c r="R21">
        <f>IF($A21="","",IF(AND($B21&gt;0,E21&lt;$B21,DATE($B$1,3,1)&lt;=TODAY(),OR($O21="",$O21&gt;=DATE($B$1,3,1)),OR(COUNTIF($C21:E21,"&gt;0")&gt;0,DATE($B$1,3,1)=DATE(YEAR(TODAY()),MONTH(TODAY()),1))),1,0))</f>
        <v/>
      </c>
      <c r="S21">
        <f>IF($A21="","",IF(AND($B21&gt;0,F21&lt;$B21,DATE($B$1,4,1)&lt;=TODAY(),OR($O21="",$O21&gt;=DATE($B$1,4,1)),OR(COUNTIF($C21:F21,"&gt;0")&gt;0,DATE($B$1,4,1)=DATE(YEAR(TODAY()),MONTH(TODAY()),1))),1,0))</f>
        <v/>
      </c>
      <c r="T21">
        <f>IF($A21="","",IF(AND($B21&gt;0,G21&lt;$B21,DATE($B$1,5,1)&lt;=TODAY(),OR($O21="",$O21&gt;=DATE($B$1,5,1)),OR(COUNTIF($C21:G21,"&gt;0")&gt;0,DATE($B$1,5,1)=DATE(YEAR(TODAY()),MONTH(TODAY()),1))),1,0))</f>
        <v/>
      </c>
      <c r="U21">
        <f>IF($A21="","",IF(AND($B21&gt;0,H21&lt;$B21,DATE($B$1,6,1)&lt;=TODAY(),OR($O21="",$O21&gt;=DATE($B$1,6,1)),OR(COUNTIF($C21:H21,"&gt;0")&gt;0,DATE($B$1,6,1)=DATE(YEAR(TODAY()),MONTH(TODAY()),1))),1,0))</f>
        <v/>
      </c>
      <c r="V21">
        <f>IF($A21="","",IF(AND($B21&gt;0,I21&lt;$B21,DATE($B$1,7,1)&lt;=TODAY(),OR($O21="",$O21&gt;=DATE($B$1,7,1)),OR(COUNTIF($C21:I21,"&gt;0")&gt;0,DATE($B$1,7,1)=DATE(YEAR(TODAY()),MONTH(TODAY()),1))),1,0))</f>
        <v/>
      </c>
      <c r="W21">
        <f>IF($A21="","",IF(AND($B21&gt;0,J21&lt;$B21,DATE($B$1,8,1)&lt;=TODAY(),OR($O21="",$O21&gt;=DATE($B$1,8,1)),OR(COUNTIF($C21:J21,"&gt;0")&gt;0,DATE($B$1,8,1)=DATE(YEAR(TODAY()),MONTH(TODAY()),1))),1,0))</f>
        <v/>
      </c>
      <c r="X21">
        <f>IF($A21="","",IF(AND($B21&gt;0,K21&lt;$B21,DATE($B$1,9,1)&lt;=TODAY(),OR($O21="",$O21&gt;=DATE($B$1,9,1)),OR(COUNTIF($C21:K21,"&gt;0")&gt;0,DATE($B$1,9,1)=DATE(YEAR(TODAY()),MONTH(TODAY()),1))),1,0))</f>
        <v/>
      </c>
      <c r="Y21">
        <f>IF($A21="","",IF(AND($B21&gt;0,L21&lt;$B21,DATE($B$1,10,1)&lt;=TODAY(),OR($O21="",$O21&gt;=DATE($B$1,10,1)),OR(COUNTIF($C21:L21,"&gt;0")&gt;0,DATE($B$1,10,1)=DATE(YEAR(TODAY()),MONTH(TODAY()),1))),1,0))</f>
        <v/>
      </c>
      <c r="Z21">
        <f>IF($A21="","",IF(AND($B21&gt;0,M21&lt;$B21,DATE($B$1,11,1)&lt;=TODAY(),OR($O21="",$O21&gt;=DATE($B$1,11,1)),OR(COUNTIF($C21:M21,"&gt;0")&gt;0,DATE($B$1,11,1)=DATE(YEAR(TODAY()),MONTH(TODAY()),1))),1,0))</f>
        <v/>
      </c>
      <c r="AA21">
        <f>IF($A21="","",IF(AND($B21&gt;0,N21&lt;$B21,DATE($B$1,12,1)&lt;=TODAY(),OR($O21="",$O21&gt;=DATE($B$1,12,1)),OR(COUNTIF($C21:N21,"&gt;0")&gt;0,DATE($B$1,12,1)=DATE(YEAR(TODAY()),MONTH(TODAY()),1))),1,0))</f>
        <v/>
      </c>
    </row>
    <row r="22">
      <c r="A22" s="13">
        <f>IF(원생!$A20="","",원생!$A20&amp;IF(원생!$G20="",""," ("&amp;원생!$G20&amp;")"))</f>
        <v/>
      </c>
      <c r="B22" s="8">
        <f>IF(원생!$A20="","",원생!$F20)</f>
        <v/>
      </c>
      <c r="C22" s="14">
        <f>IF(원생!$A20="","",SUMIFS(수납!$F:$F,수납!$C:$C,원생!$A20,수납!$D:$D,IF(원생!$G20="","",원생!$G20),수납!$B:$B,$B$1&amp;"-"&amp;TEXT(1,"00")&amp;"*",수납!$E:$E,"수강료")+SUMIFS(수납!$F:$F,수납!$C:$C,원생!$A20,수납!$D:$D,IF(원생!$G20="","",원생!$G20),수납!$B:$B,$B$1&amp;"-"&amp;TEXT(1,"00")&amp;"*",수납!$E:$E,""))</f>
        <v/>
      </c>
      <c r="D22" s="14">
        <f>IF(원생!$A20="","",SUMIFS(수납!$F:$F,수납!$C:$C,원생!$A20,수납!$D:$D,IF(원생!$G20="","",원생!$G20),수납!$B:$B,$B$1&amp;"-"&amp;TEXT(2,"00")&amp;"*",수납!$E:$E,"수강료")+SUMIFS(수납!$F:$F,수납!$C:$C,원생!$A20,수납!$D:$D,IF(원생!$G20="","",원생!$G20),수납!$B:$B,$B$1&amp;"-"&amp;TEXT(2,"00")&amp;"*",수납!$E:$E,""))</f>
        <v/>
      </c>
      <c r="E22" s="14">
        <f>IF(원생!$A20="","",SUMIFS(수납!$F:$F,수납!$C:$C,원생!$A20,수납!$D:$D,IF(원생!$G20="","",원생!$G20),수납!$B:$B,$B$1&amp;"-"&amp;TEXT(3,"00")&amp;"*",수납!$E:$E,"수강료")+SUMIFS(수납!$F:$F,수납!$C:$C,원생!$A20,수납!$D:$D,IF(원생!$G20="","",원생!$G20),수납!$B:$B,$B$1&amp;"-"&amp;TEXT(3,"00")&amp;"*",수납!$E:$E,""))</f>
        <v/>
      </c>
      <c r="F22" s="14">
        <f>IF(원생!$A20="","",SUMIFS(수납!$F:$F,수납!$C:$C,원생!$A20,수납!$D:$D,IF(원생!$G20="","",원생!$G20),수납!$B:$B,$B$1&amp;"-"&amp;TEXT(4,"00")&amp;"*",수납!$E:$E,"수강료")+SUMIFS(수납!$F:$F,수납!$C:$C,원생!$A20,수납!$D:$D,IF(원생!$G20="","",원생!$G20),수납!$B:$B,$B$1&amp;"-"&amp;TEXT(4,"00")&amp;"*",수납!$E:$E,""))</f>
        <v/>
      </c>
      <c r="G22" s="14">
        <f>IF(원생!$A20="","",SUMIFS(수납!$F:$F,수납!$C:$C,원생!$A20,수납!$D:$D,IF(원생!$G20="","",원생!$G20),수납!$B:$B,$B$1&amp;"-"&amp;TEXT(5,"00")&amp;"*",수납!$E:$E,"수강료")+SUMIFS(수납!$F:$F,수납!$C:$C,원생!$A20,수납!$D:$D,IF(원생!$G20="","",원생!$G20),수납!$B:$B,$B$1&amp;"-"&amp;TEXT(5,"00")&amp;"*",수납!$E:$E,""))</f>
        <v/>
      </c>
      <c r="H22" s="14">
        <f>IF(원생!$A20="","",SUMIFS(수납!$F:$F,수납!$C:$C,원생!$A20,수납!$D:$D,IF(원생!$G20="","",원생!$G20),수납!$B:$B,$B$1&amp;"-"&amp;TEXT(6,"00")&amp;"*",수납!$E:$E,"수강료")+SUMIFS(수납!$F:$F,수납!$C:$C,원생!$A20,수납!$D:$D,IF(원생!$G20="","",원생!$G20),수납!$B:$B,$B$1&amp;"-"&amp;TEXT(6,"00")&amp;"*",수납!$E:$E,""))</f>
        <v/>
      </c>
      <c r="I22" s="14">
        <f>IF(원생!$A20="","",SUMIFS(수납!$F:$F,수납!$C:$C,원생!$A20,수납!$D:$D,IF(원생!$G20="","",원생!$G20),수납!$B:$B,$B$1&amp;"-"&amp;TEXT(7,"00")&amp;"*",수납!$E:$E,"수강료")+SUMIFS(수납!$F:$F,수납!$C:$C,원생!$A20,수납!$D:$D,IF(원생!$G20="","",원생!$G20),수납!$B:$B,$B$1&amp;"-"&amp;TEXT(7,"00")&amp;"*",수납!$E:$E,""))</f>
        <v/>
      </c>
      <c r="J22" s="14">
        <f>IF(원생!$A20="","",SUMIFS(수납!$F:$F,수납!$C:$C,원생!$A20,수납!$D:$D,IF(원생!$G20="","",원생!$G20),수납!$B:$B,$B$1&amp;"-"&amp;TEXT(8,"00")&amp;"*",수납!$E:$E,"수강료")+SUMIFS(수납!$F:$F,수납!$C:$C,원생!$A20,수납!$D:$D,IF(원생!$G20="","",원생!$G20),수납!$B:$B,$B$1&amp;"-"&amp;TEXT(8,"00")&amp;"*",수납!$E:$E,""))</f>
        <v/>
      </c>
      <c r="K22" s="14">
        <f>IF(원생!$A20="","",SUMIFS(수납!$F:$F,수납!$C:$C,원생!$A20,수납!$D:$D,IF(원생!$G20="","",원생!$G20),수납!$B:$B,$B$1&amp;"-"&amp;TEXT(9,"00")&amp;"*",수납!$E:$E,"수강료")+SUMIFS(수납!$F:$F,수납!$C:$C,원생!$A20,수납!$D:$D,IF(원생!$G20="","",원생!$G20),수납!$B:$B,$B$1&amp;"-"&amp;TEXT(9,"00")&amp;"*",수납!$E:$E,""))</f>
        <v/>
      </c>
      <c r="L22" s="14">
        <f>IF(원생!$A20="","",SUMIFS(수납!$F:$F,수납!$C:$C,원생!$A20,수납!$D:$D,IF(원생!$G20="","",원생!$G20),수납!$B:$B,$B$1&amp;"-"&amp;TEXT(10,"00")&amp;"*",수납!$E:$E,"수강료")+SUMIFS(수납!$F:$F,수납!$C:$C,원생!$A20,수납!$D:$D,IF(원생!$G20="","",원생!$G20),수납!$B:$B,$B$1&amp;"-"&amp;TEXT(10,"00")&amp;"*",수납!$E:$E,""))</f>
        <v/>
      </c>
      <c r="M22" s="14">
        <f>IF(원생!$A20="","",SUMIFS(수납!$F:$F,수납!$C:$C,원생!$A20,수납!$D:$D,IF(원생!$G20="","",원생!$G20),수납!$B:$B,$B$1&amp;"-"&amp;TEXT(11,"00")&amp;"*",수납!$E:$E,"수강료")+SUMIFS(수납!$F:$F,수납!$C:$C,원생!$A20,수납!$D:$D,IF(원생!$G20="","",원생!$G20),수납!$B:$B,$B$1&amp;"-"&amp;TEXT(11,"00")&amp;"*",수납!$E:$E,""))</f>
        <v/>
      </c>
      <c r="N22" s="14">
        <f>IF(원생!$A20="","",SUMIFS(수납!$F:$F,수납!$C:$C,원생!$A20,수납!$D:$D,IF(원생!$G20="","",원생!$G20),수납!$B:$B,$B$1&amp;"-"&amp;TEXT(12,"00")&amp;"*",수납!$E:$E,"수강료")+SUMIFS(수납!$F:$F,수납!$C:$C,원생!$A20,수납!$D:$D,IF(원생!$G20="","",원생!$G20),수납!$B:$B,$B$1&amp;"-"&amp;TEXT(12,"00")&amp;"*",수납!$E:$E,""))</f>
        <v/>
      </c>
      <c r="O22">
        <f>IF(원생!$I20="","",원생!$I20)</f>
        <v/>
      </c>
      <c r="P22">
        <f>IF($A22="","",IF(AND($B22&gt;0,C22&lt;$B22,DATE($B$1,1,1)&lt;=TODAY(),OR($O22="",$O22&gt;=DATE($B$1,1,1)),OR(COUNTIF($C22:C22,"&gt;0")&gt;0,DATE($B$1,1,1)=DATE(YEAR(TODAY()),MONTH(TODAY()),1))),1,0))</f>
        <v/>
      </c>
      <c r="Q22">
        <f>IF($A22="","",IF(AND($B22&gt;0,D22&lt;$B22,DATE($B$1,2,1)&lt;=TODAY(),OR($O22="",$O22&gt;=DATE($B$1,2,1)),OR(COUNTIF($C22:D22,"&gt;0")&gt;0,DATE($B$1,2,1)=DATE(YEAR(TODAY()),MONTH(TODAY()),1))),1,0))</f>
        <v/>
      </c>
      <c r="R22">
        <f>IF($A22="","",IF(AND($B22&gt;0,E22&lt;$B22,DATE($B$1,3,1)&lt;=TODAY(),OR($O22="",$O22&gt;=DATE($B$1,3,1)),OR(COUNTIF($C22:E22,"&gt;0")&gt;0,DATE($B$1,3,1)=DATE(YEAR(TODAY()),MONTH(TODAY()),1))),1,0))</f>
        <v/>
      </c>
      <c r="S22">
        <f>IF($A22="","",IF(AND($B22&gt;0,F22&lt;$B22,DATE($B$1,4,1)&lt;=TODAY(),OR($O22="",$O22&gt;=DATE($B$1,4,1)),OR(COUNTIF($C22:F22,"&gt;0")&gt;0,DATE($B$1,4,1)=DATE(YEAR(TODAY()),MONTH(TODAY()),1))),1,0))</f>
        <v/>
      </c>
      <c r="T22">
        <f>IF($A22="","",IF(AND($B22&gt;0,G22&lt;$B22,DATE($B$1,5,1)&lt;=TODAY(),OR($O22="",$O22&gt;=DATE($B$1,5,1)),OR(COUNTIF($C22:G22,"&gt;0")&gt;0,DATE($B$1,5,1)=DATE(YEAR(TODAY()),MONTH(TODAY()),1))),1,0))</f>
        <v/>
      </c>
      <c r="U22">
        <f>IF($A22="","",IF(AND($B22&gt;0,H22&lt;$B22,DATE($B$1,6,1)&lt;=TODAY(),OR($O22="",$O22&gt;=DATE($B$1,6,1)),OR(COUNTIF($C22:H22,"&gt;0")&gt;0,DATE($B$1,6,1)=DATE(YEAR(TODAY()),MONTH(TODAY()),1))),1,0))</f>
        <v/>
      </c>
      <c r="V22">
        <f>IF($A22="","",IF(AND($B22&gt;0,I22&lt;$B22,DATE($B$1,7,1)&lt;=TODAY(),OR($O22="",$O22&gt;=DATE($B$1,7,1)),OR(COUNTIF($C22:I22,"&gt;0")&gt;0,DATE($B$1,7,1)=DATE(YEAR(TODAY()),MONTH(TODAY()),1))),1,0))</f>
        <v/>
      </c>
      <c r="W22">
        <f>IF($A22="","",IF(AND($B22&gt;0,J22&lt;$B22,DATE($B$1,8,1)&lt;=TODAY(),OR($O22="",$O22&gt;=DATE($B$1,8,1)),OR(COUNTIF($C22:J22,"&gt;0")&gt;0,DATE($B$1,8,1)=DATE(YEAR(TODAY()),MONTH(TODAY()),1))),1,0))</f>
        <v/>
      </c>
      <c r="X22">
        <f>IF($A22="","",IF(AND($B22&gt;0,K22&lt;$B22,DATE($B$1,9,1)&lt;=TODAY(),OR($O22="",$O22&gt;=DATE($B$1,9,1)),OR(COUNTIF($C22:K22,"&gt;0")&gt;0,DATE($B$1,9,1)=DATE(YEAR(TODAY()),MONTH(TODAY()),1))),1,0))</f>
        <v/>
      </c>
      <c r="Y22">
        <f>IF($A22="","",IF(AND($B22&gt;0,L22&lt;$B22,DATE($B$1,10,1)&lt;=TODAY(),OR($O22="",$O22&gt;=DATE($B$1,10,1)),OR(COUNTIF($C22:L22,"&gt;0")&gt;0,DATE($B$1,10,1)=DATE(YEAR(TODAY()),MONTH(TODAY()),1))),1,0))</f>
        <v/>
      </c>
      <c r="Z22">
        <f>IF($A22="","",IF(AND($B22&gt;0,M22&lt;$B22,DATE($B$1,11,1)&lt;=TODAY(),OR($O22="",$O22&gt;=DATE($B$1,11,1)),OR(COUNTIF($C22:M22,"&gt;0")&gt;0,DATE($B$1,11,1)=DATE(YEAR(TODAY()),MONTH(TODAY()),1))),1,0))</f>
        <v/>
      </c>
      <c r="AA22">
        <f>IF($A22="","",IF(AND($B22&gt;0,N22&lt;$B22,DATE($B$1,12,1)&lt;=TODAY(),OR($O22="",$O22&gt;=DATE($B$1,12,1)),OR(COUNTIF($C22:N22,"&gt;0")&gt;0,DATE($B$1,12,1)=DATE(YEAR(TODAY()),MONTH(TODAY()),1))),1,0))</f>
        <v/>
      </c>
    </row>
    <row r="23">
      <c r="A23" s="13">
        <f>IF(원생!$A21="","",원생!$A21&amp;IF(원생!$G21="",""," ("&amp;원생!$G21&amp;")"))</f>
        <v/>
      </c>
      <c r="B23" s="8">
        <f>IF(원생!$A21="","",원생!$F21)</f>
        <v/>
      </c>
      <c r="C23" s="14">
        <f>IF(원생!$A21="","",SUMIFS(수납!$F:$F,수납!$C:$C,원생!$A21,수납!$D:$D,IF(원생!$G21="","",원생!$G21),수납!$B:$B,$B$1&amp;"-"&amp;TEXT(1,"00")&amp;"*",수납!$E:$E,"수강료")+SUMIFS(수납!$F:$F,수납!$C:$C,원생!$A21,수납!$D:$D,IF(원생!$G21="","",원생!$G21),수납!$B:$B,$B$1&amp;"-"&amp;TEXT(1,"00")&amp;"*",수납!$E:$E,""))</f>
        <v/>
      </c>
      <c r="D23" s="14">
        <f>IF(원생!$A21="","",SUMIFS(수납!$F:$F,수납!$C:$C,원생!$A21,수납!$D:$D,IF(원생!$G21="","",원생!$G21),수납!$B:$B,$B$1&amp;"-"&amp;TEXT(2,"00")&amp;"*",수납!$E:$E,"수강료")+SUMIFS(수납!$F:$F,수납!$C:$C,원생!$A21,수납!$D:$D,IF(원생!$G21="","",원생!$G21),수납!$B:$B,$B$1&amp;"-"&amp;TEXT(2,"00")&amp;"*",수납!$E:$E,""))</f>
        <v/>
      </c>
      <c r="E23" s="14">
        <f>IF(원생!$A21="","",SUMIFS(수납!$F:$F,수납!$C:$C,원생!$A21,수납!$D:$D,IF(원생!$G21="","",원생!$G21),수납!$B:$B,$B$1&amp;"-"&amp;TEXT(3,"00")&amp;"*",수납!$E:$E,"수강료")+SUMIFS(수납!$F:$F,수납!$C:$C,원생!$A21,수납!$D:$D,IF(원생!$G21="","",원생!$G21),수납!$B:$B,$B$1&amp;"-"&amp;TEXT(3,"00")&amp;"*",수납!$E:$E,""))</f>
        <v/>
      </c>
      <c r="F23" s="14">
        <f>IF(원생!$A21="","",SUMIFS(수납!$F:$F,수납!$C:$C,원생!$A21,수납!$D:$D,IF(원생!$G21="","",원생!$G21),수납!$B:$B,$B$1&amp;"-"&amp;TEXT(4,"00")&amp;"*",수납!$E:$E,"수강료")+SUMIFS(수납!$F:$F,수납!$C:$C,원생!$A21,수납!$D:$D,IF(원생!$G21="","",원생!$G21),수납!$B:$B,$B$1&amp;"-"&amp;TEXT(4,"00")&amp;"*",수납!$E:$E,""))</f>
        <v/>
      </c>
      <c r="G23" s="14">
        <f>IF(원생!$A21="","",SUMIFS(수납!$F:$F,수납!$C:$C,원생!$A21,수납!$D:$D,IF(원생!$G21="","",원생!$G21),수납!$B:$B,$B$1&amp;"-"&amp;TEXT(5,"00")&amp;"*",수납!$E:$E,"수강료")+SUMIFS(수납!$F:$F,수납!$C:$C,원생!$A21,수납!$D:$D,IF(원생!$G21="","",원생!$G21),수납!$B:$B,$B$1&amp;"-"&amp;TEXT(5,"00")&amp;"*",수납!$E:$E,""))</f>
        <v/>
      </c>
      <c r="H23" s="14">
        <f>IF(원생!$A21="","",SUMIFS(수납!$F:$F,수납!$C:$C,원생!$A21,수납!$D:$D,IF(원생!$G21="","",원생!$G21),수납!$B:$B,$B$1&amp;"-"&amp;TEXT(6,"00")&amp;"*",수납!$E:$E,"수강료")+SUMIFS(수납!$F:$F,수납!$C:$C,원생!$A21,수납!$D:$D,IF(원생!$G21="","",원생!$G21),수납!$B:$B,$B$1&amp;"-"&amp;TEXT(6,"00")&amp;"*",수납!$E:$E,""))</f>
        <v/>
      </c>
      <c r="I23" s="14">
        <f>IF(원생!$A21="","",SUMIFS(수납!$F:$F,수납!$C:$C,원생!$A21,수납!$D:$D,IF(원생!$G21="","",원생!$G21),수납!$B:$B,$B$1&amp;"-"&amp;TEXT(7,"00")&amp;"*",수납!$E:$E,"수강료")+SUMIFS(수납!$F:$F,수납!$C:$C,원생!$A21,수납!$D:$D,IF(원생!$G21="","",원생!$G21),수납!$B:$B,$B$1&amp;"-"&amp;TEXT(7,"00")&amp;"*",수납!$E:$E,""))</f>
        <v/>
      </c>
      <c r="J23" s="14">
        <f>IF(원생!$A21="","",SUMIFS(수납!$F:$F,수납!$C:$C,원생!$A21,수납!$D:$D,IF(원생!$G21="","",원생!$G21),수납!$B:$B,$B$1&amp;"-"&amp;TEXT(8,"00")&amp;"*",수납!$E:$E,"수강료")+SUMIFS(수납!$F:$F,수납!$C:$C,원생!$A21,수납!$D:$D,IF(원생!$G21="","",원생!$G21),수납!$B:$B,$B$1&amp;"-"&amp;TEXT(8,"00")&amp;"*",수납!$E:$E,""))</f>
        <v/>
      </c>
      <c r="K23" s="14">
        <f>IF(원생!$A21="","",SUMIFS(수납!$F:$F,수납!$C:$C,원생!$A21,수납!$D:$D,IF(원생!$G21="","",원생!$G21),수납!$B:$B,$B$1&amp;"-"&amp;TEXT(9,"00")&amp;"*",수납!$E:$E,"수강료")+SUMIFS(수납!$F:$F,수납!$C:$C,원생!$A21,수납!$D:$D,IF(원생!$G21="","",원생!$G21),수납!$B:$B,$B$1&amp;"-"&amp;TEXT(9,"00")&amp;"*",수납!$E:$E,""))</f>
        <v/>
      </c>
      <c r="L23" s="14">
        <f>IF(원생!$A21="","",SUMIFS(수납!$F:$F,수납!$C:$C,원생!$A21,수납!$D:$D,IF(원생!$G21="","",원생!$G21),수납!$B:$B,$B$1&amp;"-"&amp;TEXT(10,"00")&amp;"*",수납!$E:$E,"수강료")+SUMIFS(수납!$F:$F,수납!$C:$C,원생!$A21,수납!$D:$D,IF(원생!$G21="","",원생!$G21),수납!$B:$B,$B$1&amp;"-"&amp;TEXT(10,"00")&amp;"*",수납!$E:$E,""))</f>
        <v/>
      </c>
      <c r="M23" s="14">
        <f>IF(원생!$A21="","",SUMIFS(수납!$F:$F,수납!$C:$C,원생!$A21,수납!$D:$D,IF(원생!$G21="","",원생!$G21),수납!$B:$B,$B$1&amp;"-"&amp;TEXT(11,"00")&amp;"*",수납!$E:$E,"수강료")+SUMIFS(수납!$F:$F,수납!$C:$C,원생!$A21,수납!$D:$D,IF(원생!$G21="","",원생!$G21),수납!$B:$B,$B$1&amp;"-"&amp;TEXT(11,"00")&amp;"*",수납!$E:$E,""))</f>
        <v/>
      </c>
      <c r="N23" s="14">
        <f>IF(원생!$A21="","",SUMIFS(수납!$F:$F,수납!$C:$C,원생!$A21,수납!$D:$D,IF(원생!$G21="","",원생!$G21),수납!$B:$B,$B$1&amp;"-"&amp;TEXT(12,"00")&amp;"*",수납!$E:$E,"수강료")+SUMIFS(수납!$F:$F,수납!$C:$C,원생!$A21,수납!$D:$D,IF(원생!$G21="","",원생!$G21),수납!$B:$B,$B$1&amp;"-"&amp;TEXT(12,"00")&amp;"*",수납!$E:$E,""))</f>
        <v/>
      </c>
      <c r="O23">
        <f>IF(원생!$I21="","",원생!$I21)</f>
        <v/>
      </c>
      <c r="P23">
        <f>IF($A23="","",IF(AND($B23&gt;0,C23&lt;$B23,DATE($B$1,1,1)&lt;=TODAY(),OR($O23="",$O23&gt;=DATE($B$1,1,1)),OR(COUNTIF($C23:C23,"&gt;0")&gt;0,DATE($B$1,1,1)=DATE(YEAR(TODAY()),MONTH(TODAY()),1))),1,0))</f>
        <v/>
      </c>
      <c r="Q23">
        <f>IF($A23="","",IF(AND($B23&gt;0,D23&lt;$B23,DATE($B$1,2,1)&lt;=TODAY(),OR($O23="",$O23&gt;=DATE($B$1,2,1)),OR(COUNTIF($C23:D23,"&gt;0")&gt;0,DATE($B$1,2,1)=DATE(YEAR(TODAY()),MONTH(TODAY()),1))),1,0))</f>
        <v/>
      </c>
      <c r="R23">
        <f>IF($A23="","",IF(AND($B23&gt;0,E23&lt;$B23,DATE($B$1,3,1)&lt;=TODAY(),OR($O23="",$O23&gt;=DATE($B$1,3,1)),OR(COUNTIF($C23:E23,"&gt;0")&gt;0,DATE($B$1,3,1)=DATE(YEAR(TODAY()),MONTH(TODAY()),1))),1,0))</f>
        <v/>
      </c>
      <c r="S23">
        <f>IF($A23="","",IF(AND($B23&gt;0,F23&lt;$B23,DATE($B$1,4,1)&lt;=TODAY(),OR($O23="",$O23&gt;=DATE($B$1,4,1)),OR(COUNTIF($C23:F23,"&gt;0")&gt;0,DATE($B$1,4,1)=DATE(YEAR(TODAY()),MONTH(TODAY()),1))),1,0))</f>
        <v/>
      </c>
      <c r="T23">
        <f>IF($A23="","",IF(AND($B23&gt;0,G23&lt;$B23,DATE($B$1,5,1)&lt;=TODAY(),OR($O23="",$O23&gt;=DATE($B$1,5,1)),OR(COUNTIF($C23:G23,"&gt;0")&gt;0,DATE($B$1,5,1)=DATE(YEAR(TODAY()),MONTH(TODAY()),1))),1,0))</f>
        <v/>
      </c>
      <c r="U23">
        <f>IF($A23="","",IF(AND($B23&gt;0,H23&lt;$B23,DATE($B$1,6,1)&lt;=TODAY(),OR($O23="",$O23&gt;=DATE($B$1,6,1)),OR(COUNTIF($C23:H23,"&gt;0")&gt;0,DATE($B$1,6,1)=DATE(YEAR(TODAY()),MONTH(TODAY()),1))),1,0))</f>
        <v/>
      </c>
      <c r="V23">
        <f>IF($A23="","",IF(AND($B23&gt;0,I23&lt;$B23,DATE($B$1,7,1)&lt;=TODAY(),OR($O23="",$O23&gt;=DATE($B$1,7,1)),OR(COUNTIF($C23:I23,"&gt;0")&gt;0,DATE($B$1,7,1)=DATE(YEAR(TODAY()),MONTH(TODAY()),1))),1,0))</f>
        <v/>
      </c>
      <c r="W23">
        <f>IF($A23="","",IF(AND($B23&gt;0,J23&lt;$B23,DATE($B$1,8,1)&lt;=TODAY(),OR($O23="",$O23&gt;=DATE($B$1,8,1)),OR(COUNTIF($C23:J23,"&gt;0")&gt;0,DATE($B$1,8,1)=DATE(YEAR(TODAY()),MONTH(TODAY()),1))),1,0))</f>
        <v/>
      </c>
      <c r="X23">
        <f>IF($A23="","",IF(AND($B23&gt;0,K23&lt;$B23,DATE($B$1,9,1)&lt;=TODAY(),OR($O23="",$O23&gt;=DATE($B$1,9,1)),OR(COUNTIF($C23:K23,"&gt;0")&gt;0,DATE($B$1,9,1)=DATE(YEAR(TODAY()),MONTH(TODAY()),1))),1,0))</f>
        <v/>
      </c>
      <c r="Y23">
        <f>IF($A23="","",IF(AND($B23&gt;0,L23&lt;$B23,DATE($B$1,10,1)&lt;=TODAY(),OR($O23="",$O23&gt;=DATE($B$1,10,1)),OR(COUNTIF($C23:L23,"&gt;0")&gt;0,DATE($B$1,10,1)=DATE(YEAR(TODAY()),MONTH(TODAY()),1))),1,0))</f>
        <v/>
      </c>
      <c r="Z23">
        <f>IF($A23="","",IF(AND($B23&gt;0,M23&lt;$B23,DATE($B$1,11,1)&lt;=TODAY(),OR($O23="",$O23&gt;=DATE($B$1,11,1)),OR(COUNTIF($C23:M23,"&gt;0")&gt;0,DATE($B$1,11,1)=DATE(YEAR(TODAY()),MONTH(TODAY()),1))),1,0))</f>
        <v/>
      </c>
      <c r="AA23">
        <f>IF($A23="","",IF(AND($B23&gt;0,N23&lt;$B23,DATE($B$1,12,1)&lt;=TODAY(),OR($O23="",$O23&gt;=DATE($B$1,12,1)),OR(COUNTIF($C23:N23,"&gt;0")&gt;0,DATE($B$1,12,1)=DATE(YEAR(TODAY()),MONTH(TODAY()),1))),1,0))</f>
        <v/>
      </c>
    </row>
    <row r="24">
      <c r="A24" s="13">
        <f>IF(원생!$A22="","",원생!$A22&amp;IF(원생!$G22="",""," ("&amp;원생!$G22&amp;")"))</f>
        <v/>
      </c>
      <c r="B24" s="8">
        <f>IF(원생!$A22="","",원생!$F22)</f>
        <v/>
      </c>
      <c r="C24" s="14">
        <f>IF(원생!$A22="","",SUMIFS(수납!$F:$F,수납!$C:$C,원생!$A22,수납!$D:$D,IF(원생!$G22="","",원생!$G22),수납!$B:$B,$B$1&amp;"-"&amp;TEXT(1,"00")&amp;"*",수납!$E:$E,"수강료")+SUMIFS(수납!$F:$F,수납!$C:$C,원생!$A22,수납!$D:$D,IF(원생!$G22="","",원생!$G22),수납!$B:$B,$B$1&amp;"-"&amp;TEXT(1,"00")&amp;"*",수납!$E:$E,""))</f>
        <v/>
      </c>
      <c r="D24" s="14">
        <f>IF(원생!$A22="","",SUMIFS(수납!$F:$F,수납!$C:$C,원생!$A22,수납!$D:$D,IF(원생!$G22="","",원생!$G22),수납!$B:$B,$B$1&amp;"-"&amp;TEXT(2,"00")&amp;"*",수납!$E:$E,"수강료")+SUMIFS(수납!$F:$F,수납!$C:$C,원생!$A22,수납!$D:$D,IF(원생!$G22="","",원생!$G22),수납!$B:$B,$B$1&amp;"-"&amp;TEXT(2,"00")&amp;"*",수납!$E:$E,""))</f>
        <v/>
      </c>
      <c r="E24" s="14">
        <f>IF(원생!$A22="","",SUMIFS(수납!$F:$F,수납!$C:$C,원생!$A22,수납!$D:$D,IF(원생!$G22="","",원생!$G22),수납!$B:$B,$B$1&amp;"-"&amp;TEXT(3,"00")&amp;"*",수납!$E:$E,"수강료")+SUMIFS(수납!$F:$F,수납!$C:$C,원생!$A22,수납!$D:$D,IF(원생!$G22="","",원생!$G22),수납!$B:$B,$B$1&amp;"-"&amp;TEXT(3,"00")&amp;"*",수납!$E:$E,""))</f>
        <v/>
      </c>
      <c r="F24" s="14">
        <f>IF(원생!$A22="","",SUMIFS(수납!$F:$F,수납!$C:$C,원생!$A22,수납!$D:$D,IF(원생!$G22="","",원생!$G22),수납!$B:$B,$B$1&amp;"-"&amp;TEXT(4,"00")&amp;"*",수납!$E:$E,"수강료")+SUMIFS(수납!$F:$F,수납!$C:$C,원생!$A22,수납!$D:$D,IF(원생!$G22="","",원생!$G22),수납!$B:$B,$B$1&amp;"-"&amp;TEXT(4,"00")&amp;"*",수납!$E:$E,""))</f>
        <v/>
      </c>
      <c r="G24" s="14">
        <f>IF(원생!$A22="","",SUMIFS(수납!$F:$F,수납!$C:$C,원생!$A22,수납!$D:$D,IF(원생!$G22="","",원생!$G22),수납!$B:$B,$B$1&amp;"-"&amp;TEXT(5,"00")&amp;"*",수납!$E:$E,"수강료")+SUMIFS(수납!$F:$F,수납!$C:$C,원생!$A22,수납!$D:$D,IF(원생!$G22="","",원생!$G22),수납!$B:$B,$B$1&amp;"-"&amp;TEXT(5,"00")&amp;"*",수납!$E:$E,""))</f>
        <v/>
      </c>
      <c r="H24" s="14">
        <f>IF(원생!$A22="","",SUMIFS(수납!$F:$F,수납!$C:$C,원생!$A22,수납!$D:$D,IF(원생!$G22="","",원생!$G22),수납!$B:$B,$B$1&amp;"-"&amp;TEXT(6,"00")&amp;"*",수납!$E:$E,"수강료")+SUMIFS(수납!$F:$F,수납!$C:$C,원생!$A22,수납!$D:$D,IF(원생!$G22="","",원생!$G22),수납!$B:$B,$B$1&amp;"-"&amp;TEXT(6,"00")&amp;"*",수납!$E:$E,""))</f>
        <v/>
      </c>
      <c r="I24" s="14">
        <f>IF(원생!$A22="","",SUMIFS(수납!$F:$F,수납!$C:$C,원생!$A22,수납!$D:$D,IF(원생!$G22="","",원생!$G22),수납!$B:$B,$B$1&amp;"-"&amp;TEXT(7,"00")&amp;"*",수납!$E:$E,"수강료")+SUMIFS(수납!$F:$F,수납!$C:$C,원생!$A22,수납!$D:$D,IF(원생!$G22="","",원생!$G22),수납!$B:$B,$B$1&amp;"-"&amp;TEXT(7,"00")&amp;"*",수납!$E:$E,""))</f>
        <v/>
      </c>
      <c r="J24" s="14">
        <f>IF(원생!$A22="","",SUMIFS(수납!$F:$F,수납!$C:$C,원생!$A22,수납!$D:$D,IF(원생!$G22="","",원생!$G22),수납!$B:$B,$B$1&amp;"-"&amp;TEXT(8,"00")&amp;"*",수납!$E:$E,"수강료")+SUMIFS(수납!$F:$F,수납!$C:$C,원생!$A22,수납!$D:$D,IF(원생!$G22="","",원생!$G22),수납!$B:$B,$B$1&amp;"-"&amp;TEXT(8,"00")&amp;"*",수납!$E:$E,""))</f>
        <v/>
      </c>
      <c r="K24" s="14">
        <f>IF(원생!$A22="","",SUMIFS(수납!$F:$F,수납!$C:$C,원생!$A22,수납!$D:$D,IF(원생!$G22="","",원생!$G22),수납!$B:$B,$B$1&amp;"-"&amp;TEXT(9,"00")&amp;"*",수납!$E:$E,"수강료")+SUMIFS(수납!$F:$F,수납!$C:$C,원생!$A22,수납!$D:$D,IF(원생!$G22="","",원생!$G22),수납!$B:$B,$B$1&amp;"-"&amp;TEXT(9,"00")&amp;"*",수납!$E:$E,""))</f>
        <v/>
      </c>
      <c r="L24" s="14">
        <f>IF(원생!$A22="","",SUMIFS(수납!$F:$F,수납!$C:$C,원생!$A22,수납!$D:$D,IF(원생!$G22="","",원생!$G22),수납!$B:$B,$B$1&amp;"-"&amp;TEXT(10,"00")&amp;"*",수납!$E:$E,"수강료")+SUMIFS(수납!$F:$F,수납!$C:$C,원생!$A22,수납!$D:$D,IF(원생!$G22="","",원생!$G22),수납!$B:$B,$B$1&amp;"-"&amp;TEXT(10,"00")&amp;"*",수납!$E:$E,""))</f>
        <v/>
      </c>
      <c r="M24" s="14">
        <f>IF(원생!$A22="","",SUMIFS(수납!$F:$F,수납!$C:$C,원생!$A22,수납!$D:$D,IF(원생!$G22="","",원생!$G22),수납!$B:$B,$B$1&amp;"-"&amp;TEXT(11,"00")&amp;"*",수납!$E:$E,"수강료")+SUMIFS(수납!$F:$F,수납!$C:$C,원생!$A22,수납!$D:$D,IF(원생!$G22="","",원생!$G22),수납!$B:$B,$B$1&amp;"-"&amp;TEXT(11,"00")&amp;"*",수납!$E:$E,""))</f>
        <v/>
      </c>
      <c r="N24" s="14">
        <f>IF(원생!$A22="","",SUMIFS(수납!$F:$F,수납!$C:$C,원생!$A22,수납!$D:$D,IF(원생!$G22="","",원생!$G22),수납!$B:$B,$B$1&amp;"-"&amp;TEXT(12,"00")&amp;"*",수납!$E:$E,"수강료")+SUMIFS(수납!$F:$F,수납!$C:$C,원생!$A22,수납!$D:$D,IF(원생!$G22="","",원생!$G22),수납!$B:$B,$B$1&amp;"-"&amp;TEXT(12,"00")&amp;"*",수납!$E:$E,""))</f>
        <v/>
      </c>
      <c r="O24">
        <f>IF(원생!$I22="","",원생!$I22)</f>
        <v/>
      </c>
      <c r="P24">
        <f>IF($A24="","",IF(AND($B24&gt;0,C24&lt;$B24,DATE($B$1,1,1)&lt;=TODAY(),OR($O24="",$O24&gt;=DATE($B$1,1,1)),OR(COUNTIF($C24:C24,"&gt;0")&gt;0,DATE($B$1,1,1)=DATE(YEAR(TODAY()),MONTH(TODAY()),1))),1,0))</f>
        <v/>
      </c>
      <c r="Q24">
        <f>IF($A24="","",IF(AND($B24&gt;0,D24&lt;$B24,DATE($B$1,2,1)&lt;=TODAY(),OR($O24="",$O24&gt;=DATE($B$1,2,1)),OR(COUNTIF($C24:D24,"&gt;0")&gt;0,DATE($B$1,2,1)=DATE(YEAR(TODAY()),MONTH(TODAY()),1))),1,0))</f>
        <v/>
      </c>
      <c r="R24">
        <f>IF($A24="","",IF(AND($B24&gt;0,E24&lt;$B24,DATE($B$1,3,1)&lt;=TODAY(),OR($O24="",$O24&gt;=DATE($B$1,3,1)),OR(COUNTIF($C24:E24,"&gt;0")&gt;0,DATE($B$1,3,1)=DATE(YEAR(TODAY()),MONTH(TODAY()),1))),1,0))</f>
        <v/>
      </c>
      <c r="S24">
        <f>IF($A24="","",IF(AND($B24&gt;0,F24&lt;$B24,DATE($B$1,4,1)&lt;=TODAY(),OR($O24="",$O24&gt;=DATE($B$1,4,1)),OR(COUNTIF($C24:F24,"&gt;0")&gt;0,DATE($B$1,4,1)=DATE(YEAR(TODAY()),MONTH(TODAY()),1))),1,0))</f>
        <v/>
      </c>
      <c r="T24">
        <f>IF($A24="","",IF(AND($B24&gt;0,G24&lt;$B24,DATE($B$1,5,1)&lt;=TODAY(),OR($O24="",$O24&gt;=DATE($B$1,5,1)),OR(COUNTIF($C24:G24,"&gt;0")&gt;0,DATE($B$1,5,1)=DATE(YEAR(TODAY()),MONTH(TODAY()),1))),1,0))</f>
        <v/>
      </c>
      <c r="U24">
        <f>IF($A24="","",IF(AND($B24&gt;0,H24&lt;$B24,DATE($B$1,6,1)&lt;=TODAY(),OR($O24="",$O24&gt;=DATE($B$1,6,1)),OR(COUNTIF($C24:H24,"&gt;0")&gt;0,DATE($B$1,6,1)=DATE(YEAR(TODAY()),MONTH(TODAY()),1))),1,0))</f>
        <v/>
      </c>
      <c r="V24">
        <f>IF($A24="","",IF(AND($B24&gt;0,I24&lt;$B24,DATE($B$1,7,1)&lt;=TODAY(),OR($O24="",$O24&gt;=DATE($B$1,7,1)),OR(COUNTIF($C24:I24,"&gt;0")&gt;0,DATE($B$1,7,1)=DATE(YEAR(TODAY()),MONTH(TODAY()),1))),1,0))</f>
        <v/>
      </c>
      <c r="W24">
        <f>IF($A24="","",IF(AND($B24&gt;0,J24&lt;$B24,DATE($B$1,8,1)&lt;=TODAY(),OR($O24="",$O24&gt;=DATE($B$1,8,1)),OR(COUNTIF($C24:J24,"&gt;0")&gt;0,DATE($B$1,8,1)=DATE(YEAR(TODAY()),MONTH(TODAY()),1))),1,0))</f>
        <v/>
      </c>
      <c r="X24">
        <f>IF($A24="","",IF(AND($B24&gt;0,K24&lt;$B24,DATE($B$1,9,1)&lt;=TODAY(),OR($O24="",$O24&gt;=DATE($B$1,9,1)),OR(COUNTIF($C24:K24,"&gt;0")&gt;0,DATE($B$1,9,1)=DATE(YEAR(TODAY()),MONTH(TODAY()),1))),1,0))</f>
        <v/>
      </c>
      <c r="Y24">
        <f>IF($A24="","",IF(AND($B24&gt;0,L24&lt;$B24,DATE($B$1,10,1)&lt;=TODAY(),OR($O24="",$O24&gt;=DATE($B$1,10,1)),OR(COUNTIF($C24:L24,"&gt;0")&gt;0,DATE($B$1,10,1)=DATE(YEAR(TODAY()),MONTH(TODAY()),1))),1,0))</f>
        <v/>
      </c>
      <c r="Z24">
        <f>IF($A24="","",IF(AND($B24&gt;0,M24&lt;$B24,DATE($B$1,11,1)&lt;=TODAY(),OR($O24="",$O24&gt;=DATE($B$1,11,1)),OR(COUNTIF($C24:M24,"&gt;0")&gt;0,DATE($B$1,11,1)=DATE(YEAR(TODAY()),MONTH(TODAY()),1))),1,0))</f>
        <v/>
      </c>
      <c r="AA24">
        <f>IF($A24="","",IF(AND($B24&gt;0,N24&lt;$B24,DATE($B$1,12,1)&lt;=TODAY(),OR($O24="",$O24&gt;=DATE($B$1,12,1)),OR(COUNTIF($C24:N24,"&gt;0")&gt;0,DATE($B$1,12,1)=DATE(YEAR(TODAY()),MONTH(TODAY()),1))),1,0))</f>
        <v/>
      </c>
    </row>
    <row r="25">
      <c r="A25" s="13">
        <f>IF(원생!$A23="","",원생!$A23&amp;IF(원생!$G23="",""," ("&amp;원생!$G23&amp;")"))</f>
        <v/>
      </c>
      <c r="B25" s="8">
        <f>IF(원생!$A23="","",원생!$F23)</f>
        <v/>
      </c>
      <c r="C25" s="14">
        <f>IF(원생!$A23="","",SUMIFS(수납!$F:$F,수납!$C:$C,원생!$A23,수납!$D:$D,IF(원생!$G23="","",원생!$G23),수납!$B:$B,$B$1&amp;"-"&amp;TEXT(1,"00")&amp;"*",수납!$E:$E,"수강료")+SUMIFS(수납!$F:$F,수납!$C:$C,원생!$A23,수납!$D:$D,IF(원생!$G23="","",원생!$G23),수납!$B:$B,$B$1&amp;"-"&amp;TEXT(1,"00")&amp;"*",수납!$E:$E,""))</f>
        <v/>
      </c>
      <c r="D25" s="14">
        <f>IF(원생!$A23="","",SUMIFS(수납!$F:$F,수납!$C:$C,원생!$A23,수납!$D:$D,IF(원생!$G23="","",원생!$G23),수납!$B:$B,$B$1&amp;"-"&amp;TEXT(2,"00")&amp;"*",수납!$E:$E,"수강료")+SUMIFS(수납!$F:$F,수납!$C:$C,원생!$A23,수납!$D:$D,IF(원생!$G23="","",원생!$G23),수납!$B:$B,$B$1&amp;"-"&amp;TEXT(2,"00")&amp;"*",수납!$E:$E,""))</f>
        <v/>
      </c>
      <c r="E25" s="14">
        <f>IF(원생!$A23="","",SUMIFS(수납!$F:$F,수납!$C:$C,원생!$A23,수납!$D:$D,IF(원생!$G23="","",원생!$G23),수납!$B:$B,$B$1&amp;"-"&amp;TEXT(3,"00")&amp;"*",수납!$E:$E,"수강료")+SUMIFS(수납!$F:$F,수납!$C:$C,원생!$A23,수납!$D:$D,IF(원생!$G23="","",원생!$G23),수납!$B:$B,$B$1&amp;"-"&amp;TEXT(3,"00")&amp;"*",수납!$E:$E,""))</f>
        <v/>
      </c>
      <c r="F25" s="14">
        <f>IF(원생!$A23="","",SUMIFS(수납!$F:$F,수납!$C:$C,원생!$A23,수납!$D:$D,IF(원생!$G23="","",원생!$G23),수납!$B:$B,$B$1&amp;"-"&amp;TEXT(4,"00")&amp;"*",수납!$E:$E,"수강료")+SUMIFS(수납!$F:$F,수납!$C:$C,원생!$A23,수납!$D:$D,IF(원생!$G23="","",원생!$G23),수납!$B:$B,$B$1&amp;"-"&amp;TEXT(4,"00")&amp;"*",수납!$E:$E,""))</f>
        <v/>
      </c>
      <c r="G25" s="14">
        <f>IF(원생!$A23="","",SUMIFS(수납!$F:$F,수납!$C:$C,원생!$A23,수납!$D:$D,IF(원생!$G23="","",원생!$G23),수납!$B:$B,$B$1&amp;"-"&amp;TEXT(5,"00")&amp;"*",수납!$E:$E,"수강료")+SUMIFS(수납!$F:$F,수납!$C:$C,원생!$A23,수납!$D:$D,IF(원생!$G23="","",원생!$G23),수납!$B:$B,$B$1&amp;"-"&amp;TEXT(5,"00")&amp;"*",수납!$E:$E,""))</f>
        <v/>
      </c>
      <c r="H25" s="14">
        <f>IF(원생!$A23="","",SUMIFS(수납!$F:$F,수납!$C:$C,원생!$A23,수납!$D:$D,IF(원생!$G23="","",원생!$G23),수납!$B:$B,$B$1&amp;"-"&amp;TEXT(6,"00")&amp;"*",수납!$E:$E,"수강료")+SUMIFS(수납!$F:$F,수납!$C:$C,원생!$A23,수납!$D:$D,IF(원생!$G23="","",원생!$G23),수납!$B:$B,$B$1&amp;"-"&amp;TEXT(6,"00")&amp;"*",수납!$E:$E,""))</f>
        <v/>
      </c>
      <c r="I25" s="14">
        <f>IF(원생!$A23="","",SUMIFS(수납!$F:$F,수납!$C:$C,원생!$A23,수납!$D:$D,IF(원생!$G23="","",원생!$G23),수납!$B:$B,$B$1&amp;"-"&amp;TEXT(7,"00")&amp;"*",수납!$E:$E,"수강료")+SUMIFS(수납!$F:$F,수납!$C:$C,원생!$A23,수납!$D:$D,IF(원생!$G23="","",원생!$G23),수납!$B:$B,$B$1&amp;"-"&amp;TEXT(7,"00")&amp;"*",수납!$E:$E,""))</f>
        <v/>
      </c>
      <c r="J25" s="14">
        <f>IF(원생!$A23="","",SUMIFS(수납!$F:$F,수납!$C:$C,원생!$A23,수납!$D:$D,IF(원생!$G23="","",원생!$G23),수납!$B:$B,$B$1&amp;"-"&amp;TEXT(8,"00")&amp;"*",수납!$E:$E,"수강료")+SUMIFS(수납!$F:$F,수납!$C:$C,원생!$A23,수납!$D:$D,IF(원생!$G23="","",원생!$G23),수납!$B:$B,$B$1&amp;"-"&amp;TEXT(8,"00")&amp;"*",수납!$E:$E,""))</f>
        <v/>
      </c>
      <c r="K25" s="14">
        <f>IF(원생!$A23="","",SUMIFS(수납!$F:$F,수납!$C:$C,원생!$A23,수납!$D:$D,IF(원생!$G23="","",원생!$G23),수납!$B:$B,$B$1&amp;"-"&amp;TEXT(9,"00")&amp;"*",수납!$E:$E,"수강료")+SUMIFS(수납!$F:$F,수납!$C:$C,원생!$A23,수납!$D:$D,IF(원생!$G23="","",원생!$G23),수납!$B:$B,$B$1&amp;"-"&amp;TEXT(9,"00")&amp;"*",수납!$E:$E,""))</f>
        <v/>
      </c>
      <c r="L25" s="14">
        <f>IF(원생!$A23="","",SUMIFS(수납!$F:$F,수납!$C:$C,원생!$A23,수납!$D:$D,IF(원생!$G23="","",원생!$G23),수납!$B:$B,$B$1&amp;"-"&amp;TEXT(10,"00")&amp;"*",수납!$E:$E,"수강료")+SUMIFS(수납!$F:$F,수납!$C:$C,원생!$A23,수납!$D:$D,IF(원생!$G23="","",원생!$G23),수납!$B:$B,$B$1&amp;"-"&amp;TEXT(10,"00")&amp;"*",수납!$E:$E,""))</f>
        <v/>
      </c>
      <c r="M25" s="14">
        <f>IF(원생!$A23="","",SUMIFS(수납!$F:$F,수납!$C:$C,원생!$A23,수납!$D:$D,IF(원생!$G23="","",원생!$G23),수납!$B:$B,$B$1&amp;"-"&amp;TEXT(11,"00")&amp;"*",수납!$E:$E,"수강료")+SUMIFS(수납!$F:$F,수납!$C:$C,원생!$A23,수납!$D:$D,IF(원생!$G23="","",원생!$G23),수납!$B:$B,$B$1&amp;"-"&amp;TEXT(11,"00")&amp;"*",수납!$E:$E,""))</f>
        <v/>
      </c>
      <c r="N25" s="14">
        <f>IF(원생!$A23="","",SUMIFS(수납!$F:$F,수납!$C:$C,원생!$A23,수납!$D:$D,IF(원생!$G23="","",원생!$G23),수납!$B:$B,$B$1&amp;"-"&amp;TEXT(12,"00")&amp;"*",수납!$E:$E,"수강료")+SUMIFS(수납!$F:$F,수납!$C:$C,원생!$A23,수납!$D:$D,IF(원생!$G23="","",원생!$G23),수납!$B:$B,$B$1&amp;"-"&amp;TEXT(12,"00")&amp;"*",수납!$E:$E,""))</f>
        <v/>
      </c>
      <c r="O25">
        <f>IF(원생!$I23="","",원생!$I23)</f>
        <v/>
      </c>
      <c r="P25">
        <f>IF($A25="","",IF(AND($B25&gt;0,C25&lt;$B25,DATE($B$1,1,1)&lt;=TODAY(),OR($O25="",$O25&gt;=DATE($B$1,1,1)),OR(COUNTIF($C25:C25,"&gt;0")&gt;0,DATE($B$1,1,1)=DATE(YEAR(TODAY()),MONTH(TODAY()),1))),1,0))</f>
        <v/>
      </c>
      <c r="Q25">
        <f>IF($A25="","",IF(AND($B25&gt;0,D25&lt;$B25,DATE($B$1,2,1)&lt;=TODAY(),OR($O25="",$O25&gt;=DATE($B$1,2,1)),OR(COUNTIF($C25:D25,"&gt;0")&gt;0,DATE($B$1,2,1)=DATE(YEAR(TODAY()),MONTH(TODAY()),1))),1,0))</f>
        <v/>
      </c>
      <c r="R25">
        <f>IF($A25="","",IF(AND($B25&gt;0,E25&lt;$B25,DATE($B$1,3,1)&lt;=TODAY(),OR($O25="",$O25&gt;=DATE($B$1,3,1)),OR(COUNTIF($C25:E25,"&gt;0")&gt;0,DATE($B$1,3,1)=DATE(YEAR(TODAY()),MONTH(TODAY()),1))),1,0))</f>
        <v/>
      </c>
      <c r="S25">
        <f>IF($A25="","",IF(AND($B25&gt;0,F25&lt;$B25,DATE($B$1,4,1)&lt;=TODAY(),OR($O25="",$O25&gt;=DATE($B$1,4,1)),OR(COUNTIF($C25:F25,"&gt;0")&gt;0,DATE($B$1,4,1)=DATE(YEAR(TODAY()),MONTH(TODAY()),1))),1,0))</f>
        <v/>
      </c>
      <c r="T25">
        <f>IF($A25="","",IF(AND($B25&gt;0,G25&lt;$B25,DATE($B$1,5,1)&lt;=TODAY(),OR($O25="",$O25&gt;=DATE($B$1,5,1)),OR(COUNTIF($C25:G25,"&gt;0")&gt;0,DATE($B$1,5,1)=DATE(YEAR(TODAY()),MONTH(TODAY()),1))),1,0))</f>
        <v/>
      </c>
      <c r="U25">
        <f>IF($A25="","",IF(AND($B25&gt;0,H25&lt;$B25,DATE($B$1,6,1)&lt;=TODAY(),OR($O25="",$O25&gt;=DATE($B$1,6,1)),OR(COUNTIF($C25:H25,"&gt;0")&gt;0,DATE($B$1,6,1)=DATE(YEAR(TODAY()),MONTH(TODAY()),1))),1,0))</f>
        <v/>
      </c>
      <c r="V25">
        <f>IF($A25="","",IF(AND($B25&gt;0,I25&lt;$B25,DATE($B$1,7,1)&lt;=TODAY(),OR($O25="",$O25&gt;=DATE($B$1,7,1)),OR(COUNTIF($C25:I25,"&gt;0")&gt;0,DATE($B$1,7,1)=DATE(YEAR(TODAY()),MONTH(TODAY()),1))),1,0))</f>
        <v/>
      </c>
      <c r="W25">
        <f>IF($A25="","",IF(AND($B25&gt;0,J25&lt;$B25,DATE($B$1,8,1)&lt;=TODAY(),OR($O25="",$O25&gt;=DATE($B$1,8,1)),OR(COUNTIF($C25:J25,"&gt;0")&gt;0,DATE($B$1,8,1)=DATE(YEAR(TODAY()),MONTH(TODAY()),1))),1,0))</f>
        <v/>
      </c>
      <c r="X25">
        <f>IF($A25="","",IF(AND($B25&gt;0,K25&lt;$B25,DATE($B$1,9,1)&lt;=TODAY(),OR($O25="",$O25&gt;=DATE($B$1,9,1)),OR(COUNTIF($C25:K25,"&gt;0")&gt;0,DATE($B$1,9,1)=DATE(YEAR(TODAY()),MONTH(TODAY()),1))),1,0))</f>
        <v/>
      </c>
      <c r="Y25">
        <f>IF($A25="","",IF(AND($B25&gt;0,L25&lt;$B25,DATE($B$1,10,1)&lt;=TODAY(),OR($O25="",$O25&gt;=DATE($B$1,10,1)),OR(COUNTIF($C25:L25,"&gt;0")&gt;0,DATE($B$1,10,1)=DATE(YEAR(TODAY()),MONTH(TODAY()),1))),1,0))</f>
        <v/>
      </c>
      <c r="Z25">
        <f>IF($A25="","",IF(AND($B25&gt;0,M25&lt;$B25,DATE($B$1,11,1)&lt;=TODAY(),OR($O25="",$O25&gt;=DATE($B$1,11,1)),OR(COUNTIF($C25:M25,"&gt;0")&gt;0,DATE($B$1,11,1)=DATE(YEAR(TODAY()),MONTH(TODAY()),1))),1,0))</f>
        <v/>
      </c>
      <c r="AA25">
        <f>IF($A25="","",IF(AND($B25&gt;0,N25&lt;$B25,DATE($B$1,12,1)&lt;=TODAY(),OR($O25="",$O25&gt;=DATE($B$1,12,1)),OR(COUNTIF($C25:N25,"&gt;0")&gt;0,DATE($B$1,12,1)=DATE(YEAR(TODAY()),MONTH(TODAY()),1))),1,0))</f>
        <v/>
      </c>
    </row>
    <row r="26">
      <c r="A26" s="13">
        <f>IF(원생!$A24="","",원생!$A24&amp;IF(원생!$G24="",""," ("&amp;원생!$G24&amp;")"))</f>
        <v/>
      </c>
      <c r="B26" s="8">
        <f>IF(원생!$A24="","",원생!$F24)</f>
        <v/>
      </c>
      <c r="C26" s="14">
        <f>IF(원생!$A24="","",SUMIFS(수납!$F:$F,수납!$C:$C,원생!$A24,수납!$D:$D,IF(원생!$G24="","",원생!$G24),수납!$B:$B,$B$1&amp;"-"&amp;TEXT(1,"00")&amp;"*",수납!$E:$E,"수강료")+SUMIFS(수납!$F:$F,수납!$C:$C,원생!$A24,수납!$D:$D,IF(원생!$G24="","",원생!$G24),수납!$B:$B,$B$1&amp;"-"&amp;TEXT(1,"00")&amp;"*",수납!$E:$E,""))</f>
        <v/>
      </c>
      <c r="D26" s="14">
        <f>IF(원생!$A24="","",SUMIFS(수납!$F:$F,수납!$C:$C,원생!$A24,수납!$D:$D,IF(원생!$G24="","",원생!$G24),수납!$B:$B,$B$1&amp;"-"&amp;TEXT(2,"00")&amp;"*",수납!$E:$E,"수강료")+SUMIFS(수납!$F:$F,수납!$C:$C,원생!$A24,수납!$D:$D,IF(원생!$G24="","",원생!$G24),수납!$B:$B,$B$1&amp;"-"&amp;TEXT(2,"00")&amp;"*",수납!$E:$E,""))</f>
        <v/>
      </c>
      <c r="E26" s="14">
        <f>IF(원생!$A24="","",SUMIFS(수납!$F:$F,수납!$C:$C,원생!$A24,수납!$D:$D,IF(원생!$G24="","",원생!$G24),수납!$B:$B,$B$1&amp;"-"&amp;TEXT(3,"00")&amp;"*",수납!$E:$E,"수강료")+SUMIFS(수납!$F:$F,수납!$C:$C,원생!$A24,수납!$D:$D,IF(원생!$G24="","",원생!$G24),수납!$B:$B,$B$1&amp;"-"&amp;TEXT(3,"00")&amp;"*",수납!$E:$E,""))</f>
        <v/>
      </c>
      <c r="F26" s="14">
        <f>IF(원생!$A24="","",SUMIFS(수납!$F:$F,수납!$C:$C,원생!$A24,수납!$D:$D,IF(원생!$G24="","",원생!$G24),수납!$B:$B,$B$1&amp;"-"&amp;TEXT(4,"00")&amp;"*",수납!$E:$E,"수강료")+SUMIFS(수납!$F:$F,수납!$C:$C,원생!$A24,수납!$D:$D,IF(원생!$G24="","",원생!$G24),수납!$B:$B,$B$1&amp;"-"&amp;TEXT(4,"00")&amp;"*",수납!$E:$E,""))</f>
        <v/>
      </c>
      <c r="G26" s="14">
        <f>IF(원생!$A24="","",SUMIFS(수납!$F:$F,수납!$C:$C,원생!$A24,수납!$D:$D,IF(원생!$G24="","",원생!$G24),수납!$B:$B,$B$1&amp;"-"&amp;TEXT(5,"00")&amp;"*",수납!$E:$E,"수강료")+SUMIFS(수납!$F:$F,수납!$C:$C,원생!$A24,수납!$D:$D,IF(원생!$G24="","",원생!$G24),수납!$B:$B,$B$1&amp;"-"&amp;TEXT(5,"00")&amp;"*",수납!$E:$E,""))</f>
        <v/>
      </c>
      <c r="H26" s="14">
        <f>IF(원생!$A24="","",SUMIFS(수납!$F:$F,수납!$C:$C,원생!$A24,수납!$D:$D,IF(원생!$G24="","",원생!$G24),수납!$B:$B,$B$1&amp;"-"&amp;TEXT(6,"00")&amp;"*",수납!$E:$E,"수강료")+SUMIFS(수납!$F:$F,수납!$C:$C,원생!$A24,수납!$D:$D,IF(원생!$G24="","",원생!$G24),수납!$B:$B,$B$1&amp;"-"&amp;TEXT(6,"00")&amp;"*",수납!$E:$E,""))</f>
        <v/>
      </c>
      <c r="I26" s="14">
        <f>IF(원생!$A24="","",SUMIFS(수납!$F:$F,수납!$C:$C,원생!$A24,수납!$D:$D,IF(원생!$G24="","",원생!$G24),수납!$B:$B,$B$1&amp;"-"&amp;TEXT(7,"00")&amp;"*",수납!$E:$E,"수강료")+SUMIFS(수납!$F:$F,수납!$C:$C,원생!$A24,수납!$D:$D,IF(원생!$G24="","",원생!$G24),수납!$B:$B,$B$1&amp;"-"&amp;TEXT(7,"00")&amp;"*",수납!$E:$E,""))</f>
        <v/>
      </c>
      <c r="J26" s="14">
        <f>IF(원생!$A24="","",SUMIFS(수납!$F:$F,수납!$C:$C,원생!$A24,수납!$D:$D,IF(원생!$G24="","",원생!$G24),수납!$B:$B,$B$1&amp;"-"&amp;TEXT(8,"00")&amp;"*",수납!$E:$E,"수강료")+SUMIFS(수납!$F:$F,수납!$C:$C,원생!$A24,수납!$D:$D,IF(원생!$G24="","",원생!$G24),수납!$B:$B,$B$1&amp;"-"&amp;TEXT(8,"00")&amp;"*",수납!$E:$E,""))</f>
        <v/>
      </c>
      <c r="K26" s="14">
        <f>IF(원생!$A24="","",SUMIFS(수납!$F:$F,수납!$C:$C,원생!$A24,수납!$D:$D,IF(원생!$G24="","",원생!$G24),수납!$B:$B,$B$1&amp;"-"&amp;TEXT(9,"00")&amp;"*",수납!$E:$E,"수강료")+SUMIFS(수납!$F:$F,수납!$C:$C,원생!$A24,수납!$D:$D,IF(원생!$G24="","",원생!$G24),수납!$B:$B,$B$1&amp;"-"&amp;TEXT(9,"00")&amp;"*",수납!$E:$E,""))</f>
        <v/>
      </c>
      <c r="L26" s="14">
        <f>IF(원생!$A24="","",SUMIFS(수납!$F:$F,수납!$C:$C,원생!$A24,수납!$D:$D,IF(원생!$G24="","",원생!$G24),수납!$B:$B,$B$1&amp;"-"&amp;TEXT(10,"00")&amp;"*",수납!$E:$E,"수강료")+SUMIFS(수납!$F:$F,수납!$C:$C,원생!$A24,수납!$D:$D,IF(원생!$G24="","",원생!$G24),수납!$B:$B,$B$1&amp;"-"&amp;TEXT(10,"00")&amp;"*",수납!$E:$E,""))</f>
        <v/>
      </c>
      <c r="M26" s="14">
        <f>IF(원생!$A24="","",SUMIFS(수납!$F:$F,수납!$C:$C,원생!$A24,수납!$D:$D,IF(원생!$G24="","",원생!$G24),수납!$B:$B,$B$1&amp;"-"&amp;TEXT(11,"00")&amp;"*",수납!$E:$E,"수강료")+SUMIFS(수납!$F:$F,수납!$C:$C,원생!$A24,수납!$D:$D,IF(원생!$G24="","",원생!$G24),수납!$B:$B,$B$1&amp;"-"&amp;TEXT(11,"00")&amp;"*",수납!$E:$E,""))</f>
        <v/>
      </c>
      <c r="N26" s="14">
        <f>IF(원생!$A24="","",SUMIFS(수납!$F:$F,수납!$C:$C,원생!$A24,수납!$D:$D,IF(원생!$G24="","",원생!$G24),수납!$B:$B,$B$1&amp;"-"&amp;TEXT(12,"00")&amp;"*",수납!$E:$E,"수강료")+SUMIFS(수납!$F:$F,수납!$C:$C,원생!$A24,수납!$D:$D,IF(원생!$G24="","",원생!$G24),수납!$B:$B,$B$1&amp;"-"&amp;TEXT(12,"00")&amp;"*",수납!$E:$E,""))</f>
        <v/>
      </c>
      <c r="O26">
        <f>IF(원생!$I24="","",원생!$I24)</f>
        <v/>
      </c>
      <c r="P26">
        <f>IF($A26="","",IF(AND($B26&gt;0,C26&lt;$B26,DATE($B$1,1,1)&lt;=TODAY(),OR($O26="",$O26&gt;=DATE($B$1,1,1)),OR(COUNTIF($C26:C26,"&gt;0")&gt;0,DATE($B$1,1,1)=DATE(YEAR(TODAY()),MONTH(TODAY()),1))),1,0))</f>
        <v/>
      </c>
      <c r="Q26">
        <f>IF($A26="","",IF(AND($B26&gt;0,D26&lt;$B26,DATE($B$1,2,1)&lt;=TODAY(),OR($O26="",$O26&gt;=DATE($B$1,2,1)),OR(COUNTIF($C26:D26,"&gt;0")&gt;0,DATE($B$1,2,1)=DATE(YEAR(TODAY()),MONTH(TODAY()),1))),1,0))</f>
        <v/>
      </c>
      <c r="R26">
        <f>IF($A26="","",IF(AND($B26&gt;0,E26&lt;$B26,DATE($B$1,3,1)&lt;=TODAY(),OR($O26="",$O26&gt;=DATE($B$1,3,1)),OR(COUNTIF($C26:E26,"&gt;0")&gt;0,DATE($B$1,3,1)=DATE(YEAR(TODAY()),MONTH(TODAY()),1))),1,0))</f>
        <v/>
      </c>
      <c r="S26">
        <f>IF($A26="","",IF(AND($B26&gt;0,F26&lt;$B26,DATE($B$1,4,1)&lt;=TODAY(),OR($O26="",$O26&gt;=DATE($B$1,4,1)),OR(COUNTIF($C26:F26,"&gt;0")&gt;0,DATE($B$1,4,1)=DATE(YEAR(TODAY()),MONTH(TODAY()),1))),1,0))</f>
        <v/>
      </c>
      <c r="T26">
        <f>IF($A26="","",IF(AND($B26&gt;0,G26&lt;$B26,DATE($B$1,5,1)&lt;=TODAY(),OR($O26="",$O26&gt;=DATE($B$1,5,1)),OR(COUNTIF($C26:G26,"&gt;0")&gt;0,DATE($B$1,5,1)=DATE(YEAR(TODAY()),MONTH(TODAY()),1))),1,0))</f>
        <v/>
      </c>
      <c r="U26">
        <f>IF($A26="","",IF(AND($B26&gt;0,H26&lt;$B26,DATE($B$1,6,1)&lt;=TODAY(),OR($O26="",$O26&gt;=DATE($B$1,6,1)),OR(COUNTIF($C26:H26,"&gt;0")&gt;0,DATE($B$1,6,1)=DATE(YEAR(TODAY()),MONTH(TODAY()),1))),1,0))</f>
        <v/>
      </c>
      <c r="V26">
        <f>IF($A26="","",IF(AND($B26&gt;0,I26&lt;$B26,DATE($B$1,7,1)&lt;=TODAY(),OR($O26="",$O26&gt;=DATE($B$1,7,1)),OR(COUNTIF($C26:I26,"&gt;0")&gt;0,DATE($B$1,7,1)=DATE(YEAR(TODAY()),MONTH(TODAY()),1))),1,0))</f>
        <v/>
      </c>
      <c r="W26">
        <f>IF($A26="","",IF(AND($B26&gt;0,J26&lt;$B26,DATE($B$1,8,1)&lt;=TODAY(),OR($O26="",$O26&gt;=DATE($B$1,8,1)),OR(COUNTIF($C26:J26,"&gt;0")&gt;0,DATE($B$1,8,1)=DATE(YEAR(TODAY()),MONTH(TODAY()),1))),1,0))</f>
        <v/>
      </c>
      <c r="X26">
        <f>IF($A26="","",IF(AND($B26&gt;0,K26&lt;$B26,DATE($B$1,9,1)&lt;=TODAY(),OR($O26="",$O26&gt;=DATE($B$1,9,1)),OR(COUNTIF($C26:K26,"&gt;0")&gt;0,DATE($B$1,9,1)=DATE(YEAR(TODAY()),MONTH(TODAY()),1))),1,0))</f>
        <v/>
      </c>
      <c r="Y26">
        <f>IF($A26="","",IF(AND($B26&gt;0,L26&lt;$B26,DATE($B$1,10,1)&lt;=TODAY(),OR($O26="",$O26&gt;=DATE($B$1,10,1)),OR(COUNTIF($C26:L26,"&gt;0")&gt;0,DATE($B$1,10,1)=DATE(YEAR(TODAY()),MONTH(TODAY()),1))),1,0))</f>
        <v/>
      </c>
      <c r="Z26">
        <f>IF($A26="","",IF(AND($B26&gt;0,M26&lt;$B26,DATE($B$1,11,1)&lt;=TODAY(),OR($O26="",$O26&gt;=DATE($B$1,11,1)),OR(COUNTIF($C26:M26,"&gt;0")&gt;0,DATE($B$1,11,1)=DATE(YEAR(TODAY()),MONTH(TODAY()),1))),1,0))</f>
        <v/>
      </c>
      <c r="AA26">
        <f>IF($A26="","",IF(AND($B26&gt;0,N26&lt;$B26,DATE($B$1,12,1)&lt;=TODAY(),OR($O26="",$O26&gt;=DATE($B$1,12,1)),OR(COUNTIF($C26:N26,"&gt;0")&gt;0,DATE($B$1,12,1)=DATE(YEAR(TODAY()),MONTH(TODAY()),1))),1,0))</f>
        <v/>
      </c>
    </row>
    <row r="27">
      <c r="A27" s="13">
        <f>IF(원생!$A25="","",원생!$A25&amp;IF(원생!$G25="",""," ("&amp;원생!$G25&amp;")"))</f>
        <v/>
      </c>
      <c r="B27" s="8">
        <f>IF(원생!$A25="","",원생!$F25)</f>
        <v/>
      </c>
      <c r="C27" s="14">
        <f>IF(원생!$A25="","",SUMIFS(수납!$F:$F,수납!$C:$C,원생!$A25,수납!$D:$D,IF(원생!$G25="","",원생!$G25),수납!$B:$B,$B$1&amp;"-"&amp;TEXT(1,"00")&amp;"*",수납!$E:$E,"수강료")+SUMIFS(수납!$F:$F,수납!$C:$C,원생!$A25,수납!$D:$D,IF(원생!$G25="","",원생!$G25),수납!$B:$B,$B$1&amp;"-"&amp;TEXT(1,"00")&amp;"*",수납!$E:$E,""))</f>
        <v/>
      </c>
      <c r="D27" s="14">
        <f>IF(원생!$A25="","",SUMIFS(수납!$F:$F,수납!$C:$C,원생!$A25,수납!$D:$D,IF(원생!$G25="","",원생!$G25),수납!$B:$B,$B$1&amp;"-"&amp;TEXT(2,"00")&amp;"*",수납!$E:$E,"수강료")+SUMIFS(수납!$F:$F,수납!$C:$C,원생!$A25,수납!$D:$D,IF(원생!$G25="","",원생!$G25),수납!$B:$B,$B$1&amp;"-"&amp;TEXT(2,"00")&amp;"*",수납!$E:$E,""))</f>
        <v/>
      </c>
      <c r="E27" s="14">
        <f>IF(원생!$A25="","",SUMIFS(수납!$F:$F,수납!$C:$C,원생!$A25,수납!$D:$D,IF(원생!$G25="","",원생!$G25),수납!$B:$B,$B$1&amp;"-"&amp;TEXT(3,"00")&amp;"*",수납!$E:$E,"수강료")+SUMIFS(수납!$F:$F,수납!$C:$C,원생!$A25,수납!$D:$D,IF(원생!$G25="","",원생!$G25),수납!$B:$B,$B$1&amp;"-"&amp;TEXT(3,"00")&amp;"*",수납!$E:$E,""))</f>
        <v/>
      </c>
      <c r="F27" s="14">
        <f>IF(원생!$A25="","",SUMIFS(수납!$F:$F,수납!$C:$C,원생!$A25,수납!$D:$D,IF(원생!$G25="","",원생!$G25),수납!$B:$B,$B$1&amp;"-"&amp;TEXT(4,"00")&amp;"*",수납!$E:$E,"수강료")+SUMIFS(수납!$F:$F,수납!$C:$C,원생!$A25,수납!$D:$D,IF(원생!$G25="","",원생!$G25),수납!$B:$B,$B$1&amp;"-"&amp;TEXT(4,"00")&amp;"*",수납!$E:$E,""))</f>
        <v/>
      </c>
      <c r="G27" s="14">
        <f>IF(원생!$A25="","",SUMIFS(수납!$F:$F,수납!$C:$C,원생!$A25,수납!$D:$D,IF(원생!$G25="","",원생!$G25),수납!$B:$B,$B$1&amp;"-"&amp;TEXT(5,"00")&amp;"*",수납!$E:$E,"수강료")+SUMIFS(수납!$F:$F,수납!$C:$C,원생!$A25,수납!$D:$D,IF(원생!$G25="","",원생!$G25),수납!$B:$B,$B$1&amp;"-"&amp;TEXT(5,"00")&amp;"*",수납!$E:$E,""))</f>
        <v/>
      </c>
      <c r="H27" s="14">
        <f>IF(원생!$A25="","",SUMIFS(수납!$F:$F,수납!$C:$C,원생!$A25,수납!$D:$D,IF(원생!$G25="","",원생!$G25),수납!$B:$B,$B$1&amp;"-"&amp;TEXT(6,"00")&amp;"*",수납!$E:$E,"수강료")+SUMIFS(수납!$F:$F,수납!$C:$C,원생!$A25,수납!$D:$D,IF(원생!$G25="","",원생!$G25),수납!$B:$B,$B$1&amp;"-"&amp;TEXT(6,"00")&amp;"*",수납!$E:$E,""))</f>
        <v/>
      </c>
      <c r="I27" s="14">
        <f>IF(원생!$A25="","",SUMIFS(수납!$F:$F,수납!$C:$C,원생!$A25,수납!$D:$D,IF(원생!$G25="","",원생!$G25),수납!$B:$B,$B$1&amp;"-"&amp;TEXT(7,"00")&amp;"*",수납!$E:$E,"수강료")+SUMIFS(수납!$F:$F,수납!$C:$C,원생!$A25,수납!$D:$D,IF(원생!$G25="","",원생!$G25),수납!$B:$B,$B$1&amp;"-"&amp;TEXT(7,"00")&amp;"*",수납!$E:$E,""))</f>
        <v/>
      </c>
      <c r="J27" s="14">
        <f>IF(원생!$A25="","",SUMIFS(수납!$F:$F,수납!$C:$C,원생!$A25,수납!$D:$D,IF(원생!$G25="","",원생!$G25),수납!$B:$B,$B$1&amp;"-"&amp;TEXT(8,"00")&amp;"*",수납!$E:$E,"수강료")+SUMIFS(수납!$F:$F,수납!$C:$C,원생!$A25,수납!$D:$D,IF(원생!$G25="","",원생!$G25),수납!$B:$B,$B$1&amp;"-"&amp;TEXT(8,"00")&amp;"*",수납!$E:$E,""))</f>
        <v/>
      </c>
      <c r="K27" s="14">
        <f>IF(원생!$A25="","",SUMIFS(수납!$F:$F,수납!$C:$C,원생!$A25,수납!$D:$D,IF(원생!$G25="","",원생!$G25),수납!$B:$B,$B$1&amp;"-"&amp;TEXT(9,"00")&amp;"*",수납!$E:$E,"수강료")+SUMIFS(수납!$F:$F,수납!$C:$C,원생!$A25,수납!$D:$D,IF(원생!$G25="","",원생!$G25),수납!$B:$B,$B$1&amp;"-"&amp;TEXT(9,"00")&amp;"*",수납!$E:$E,""))</f>
        <v/>
      </c>
      <c r="L27" s="14">
        <f>IF(원생!$A25="","",SUMIFS(수납!$F:$F,수납!$C:$C,원생!$A25,수납!$D:$D,IF(원생!$G25="","",원생!$G25),수납!$B:$B,$B$1&amp;"-"&amp;TEXT(10,"00")&amp;"*",수납!$E:$E,"수강료")+SUMIFS(수납!$F:$F,수납!$C:$C,원생!$A25,수납!$D:$D,IF(원생!$G25="","",원생!$G25),수납!$B:$B,$B$1&amp;"-"&amp;TEXT(10,"00")&amp;"*",수납!$E:$E,""))</f>
        <v/>
      </c>
      <c r="M27" s="14">
        <f>IF(원생!$A25="","",SUMIFS(수납!$F:$F,수납!$C:$C,원생!$A25,수납!$D:$D,IF(원생!$G25="","",원생!$G25),수납!$B:$B,$B$1&amp;"-"&amp;TEXT(11,"00")&amp;"*",수납!$E:$E,"수강료")+SUMIFS(수납!$F:$F,수납!$C:$C,원생!$A25,수납!$D:$D,IF(원생!$G25="","",원생!$G25),수납!$B:$B,$B$1&amp;"-"&amp;TEXT(11,"00")&amp;"*",수납!$E:$E,""))</f>
        <v/>
      </c>
      <c r="N27" s="14">
        <f>IF(원생!$A25="","",SUMIFS(수납!$F:$F,수납!$C:$C,원생!$A25,수납!$D:$D,IF(원생!$G25="","",원생!$G25),수납!$B:$B,$B$1&amp;"-"&amp;TEXT(12,"00")&amp;"*",수납!$E:$E,"수강료")+SUMIFS(수납!$F:$F,수납!$C:$C,원생!$A25,수납!$D:$D,IF(원생!$G25="","",원생!$G25),수납!$B:$B,$B$1&amp;"-"&amp;TEXT(12,"00")&amp;"*",수납!$E:$E,""))</f>
        <v/>
      </c>
      <c r="O27">
        <f>IF(원생!$I25="","",원생!$I25)</f>
        <v/>
      </c>
      <c r="P27">
        <f>IF($A27="","",IF(AND($B27&gt;0,C27&lt;$B27,DATE($B$1,1,1)&lt;=TODAY(),OR($O27="",$O27&gt;=DATE($B$1,1,1)),OR(COUNTIF($C27:C27,"&gt;0")&gt;0,DATE($B$1,1,1)=DATE(YEAR(TODAY()),MONTH(TODAY()),1))),1,0))</f>
        <v/>
      </c>
      <c r="Q27">
        <f>IF($A27="","",IF(AND($B27&gt;0,D27&lt;$B27,DATE($B$1,2,1)&lt;=TODAY(),OR($O27="",$O27&gt;=DATE($B$1,2,1)),OR(COUNTIF($C27:D27,"&gt;0")&gt;0,DATE($B$1,2,1)=DATE(YEAR(TODAY()),MONTH(TODAY()),1))),1,0))</f>
        <v/>
      </c>
      <c r="R27">
        <f>IF($A27="","",IF(AND($B27&gt;0,E27&lt;$B27,DATE($B$1,3,1)&lt;=TODAY(),OR($O27="",$O27&gt;=DATE($B$1,3,1)),OR(COUNTIF($C27:E27,"&gt;0")&gt;0,DATE($B$1,3,1)=DATE(YEAR(TODAY()),MONTH(TODAY()),1))),1,0))</f>
        <v/>
      </c>
      <c r="S27">
        <f>IF($A27="","",IF(AND($B27&gt;0,F27&lt;$B27,DATE($B$1,4,1)&lt;=TODAY(),OR($O27="",$O27&gt;=DATE($B$1,4,1)),OR(COUNTIF($C27:F27,"&gt;0")&gt;0,DATE($B$1,4,1)=DATE(YEAR(TODAY()),MONTH(TODAY()),1))),1,0))</f>
        <v/>
      </c>
      <c r="T27">
        <f>IF($A27="","",IF(AND($B27&gt;0,G27&lt;$B27,DATE($B$1,5,1)&lt;=TODAY(),OR($O27="",$O27&gt;=DATE($B$1,5,1)),OR(COUNTIF($C27:G27,"&gt;0")&gt;0,DATE($B$1,5,1)=DATE(YEAR(TODAY()),MONTH(TODAY()),1))),1,0))</f>
        <v/>
      </c>
      <c r="U27">
        <f>IF($A27="","",IF(AND($B27&gt;0,H27&lt;$B27,DATE($B$1,6,1)&lt;=TODAY(),OR($O27="",$O27&gt;=DATE($B$1,6,1)),OR(COUNTIF($C27:H27,"&gt;0")&gt;0,DATE($B$1,6,1)=DATE(YEAR(TODAY()),MONTH(TODAY()),1))),1,0))</f>
        <v/>
      </c>
      <c r="V27">
        <f>IF($A27="","",IF(AND($B27&gt;0,I27&lt;$B27,DATE($B$1,7,1)&lt;=TODAY(),OR($O27="",$O27&gt;=DATE($B$1,7,1)),OR(COUNTIF($C27:I27,"&gt;0")&gt;0,DATE($B$1,7,1)=DATE(YEAR(TODAY()),MONTH(TODAY()),1))),1,0))</f>
        <v/>
      </c>
      <c r="W27">
        <f>IF($A27="","",IF(AND($B27&gt;0,J27&lt;$B27,DATE($B$1,8,1)&lt;=TODAY(),OR($O27="",$O27&gt;=DATE($B$1,8,1)),OR(COUNTIF($C27:J27,"&gt;0")&gt;0,DATE($B$1,8,1)=DATE(YEAR(TODAY()),MONTH(TODAY()),1))),1,0))</f>
        <v/>
      </c>
      <c r="X27">
        <f>IF($A27="","",IF(AND($B27&gt;0,K27&lt;$B27,DATE($B$1,9,1)&lt;=TODAY(),OR($O27="",$O27&gt;=DATE($B$1,9,1)),OR(COUNTIF($C27:K27,"&gt;0")&gt;0,DATE($B$1,9,1)=DATE(YEAR(TODAY()),MONTH(TODAY()),1))),1,0))</f>
        <v/>
      </c>
      <c r="Y27">
        <f>IF($A27="","",IF(AND($B27&gt;0,L27&lt;$B27,DATE($B$1,10,1)&lt;=TODAY(),OR($O27="",$O27&gt;=DATE($B$1,10,1)),OR(COUNTIF($C27:L27,"&gt;0")&gt;0,DATE($B$1,10,1)=DATE(YEAR(TODAY()),MONTH(TODAY()),1))),1,0))</f>
        <v/>
      </c>
      <c r="Z27">
        <f>IF($A27="","",IF(AND($B27&gt;0,M27&lt;$B27,DATE($B$1,11,1)&lt;=TODAY(),OR($O27="",$O27&gt;=DATE($B$1,11,1)),OR(COUNTIF($C27:M27,"&gt;0")&gt;0,DATE($B$1,11,1)=DATE(YEAR(TODAY()),MONTH(TODAY()),1))),1,0))</f>
        <v/>
      </c>
      <c r="AA27">
        <f>IF($A27="","",IF(AND($B27&gt;0,N27&lt;$B27,DATE($B$1,12,1)&lt;=TODAY(),OR($O27="",$O27&gt;=DATE($B$1,12,1)),OR(COUNTIF($C27:N27,"&gt;0")&gt;0,DATE($B$1,12,1)=DATE(YEAR(TODAY()),MONTH(TODAY()),1))),1,0))</f>
        <v/>
      </c>
    </row>
    <row r="28">
      <c r="A28" s="13">
        <f>IF(원생!$A26="","",원생!$A26&amp;IF(원생!$G26="",""," ("&amp;원생!$G26&amp;")"))</f>
        <v/>
      </c>
      <c r="B28" s="8">
        <f>IF(원생!$A26="","",원생!$F26)</f>
        <v/>
      </c>
      <c r="C28" s="14">
        <f>IF(원생!$A26="","",SUMIFS(수납!$F:$F,수납!$C:$C,원생!$A26,수납!$D:$D,IF(원생!$G26="","",원생!$G26),수납!$B:$B,$B$1&amp;"-"&amp;TEXT(1,"00")&amp;"*",수납!$E:$E,"수강료")+SUMIFS(수납!$F:$F,수납!$C:$C,원생!$A26,수납!$D:$D,IF(원생!$G26="","",원생!$G26),수납!$B:$B,$B$1&amp;"-"&amp;TEXT(1,"00")&amp;"*",수납!$E:$E,""))</f>
        <v/>
      </c>
      <c r="D28" s="14">
        <f>IF(원생!$A26="","",SUMIFS(수납!$F:$F,수납!$C:$C,원생!$A26,수납!$D:$D,IF(원생!$G26="","",원생!$G26),수납!$B:$B,$B$1&amp;"-"&amp;TEXT(2,"00")&amp;"*",수납!$E:$E,"수강료")+SUMIFS(수납!$F:$F,수납!$C:$C,원생!$A26,수납!$D:$D,IF(원생!$G26="","",원생!$G26),수납!$B:$B,$B$1&amp;"-"&amp;TEXT(2,"00")&amp;"*",수납!$E:$E,""))</f>
        <v/>
      </c>
      <c r="E28" s="14">
        <f>IF(원생!$A26="","",SUMIFS(수납!$F:$F,수납!$C:$C,원생!$A26,수납!$D:$D,IF(원생!$G26="","",원생!$G26),수납!$B:$B,$B$1&amp;"-"&amp;TEXT(3,"00")&amp;"*",수납!$E:$E,"수강료")+SUMIFS(수납!$F:$F,수납!$C:$C,원생!$A26,수납!$D:$D,IF(원생!$G26="","",원생!$G26),수납!$B:$B,$B$1&amp;"-"&amp;TEXT(3,"00")&amp;"*",수납!$E:$E,""))</f>
        <v/>
      </c>
      <c r="F28" s="14">
        <f>IF(원생!$A26="","",SUMIFS(수납!$F:$F,수납!$C:$C,원생!$A26,수납!$D:$D,IF(원생!$G26="","",원생!$G26),수납!$B:$B,$B$1&amp;"-"&amp;TEXT(4,"00")&amp;"*",수납!$E:$E,"수강료")+SUMIFS(수납!$F:$F,수납!$C:$C,원생!$A26,수납!$D:$D,IF(원생!$G26="","",원생!$G26),수납!$B:$B,$B$1&amp;"-"&amp;TEXT(4,"00")&amp;"*",수납!$E:$E,""))</f>
        <v/>
      </c>
      <c r="G28" s="14">
        <f>IF(원생!$A26="","",SUMIFS(수납!$F:$F,수납!$C:$C,원생!$A26,수납!$D:$D,IF(원생!$G26="","",원생!$G26),수납!$B:$B,$B$1&amp;"-"&amp;TEXT(5,"00")&amp;"*",수납!$E:$E,"수강료")+SUMIFS(수납!$F:$F,수납!$C:$C,원생!$A26,수납!$D:$D,IF(원생!$G26="","",원생!$G26),수납!$B:$B,$B$1&amp;"-"&amp;TEXT(5,"00")&amp;"*",수납!$E:$E,""))</f>
        <v/>
      </c>
      <c r="H28" s="14">
        <f>IF(원생!$A26="","",SUMIFS(수납!$F:$F,수납!$C:$C,원생!$A26,수납!$D:$D,IF(원생!$G26="","",원생!$G26),수납!$B:$B,$B$1&amp;"-"&amp;TEXT(6,"00")&amp;"*",수납!$E:$E,"수강료")+SUMIFS(수납!$F:$F,수납!$C:$C,원생!$A26,수납!$D:$D,IF(원생!$G26="","",원생!$G26),수납!$B:$B,$B$1&amp;"-"&amp;TEXT(6,"00")&amp;"*",수납!$E:$E,""))</f>
        <v/>
      </c>
      <c r="I28" s="14">
        <f>IF(원생!$A26="","",SUMIFS(수납!$F:$F,수납!$C:$C,원생!$A26,수납!$D:$D,IF(원생!$G26="","",원생!$G26),수납!$B:$B,$B$1&amp;"-"&amp;TEXT(7,"00")&amp;"*",수납!$E:$E,"수강료")+SUMIFS(수납!$F:$F,수납!$C:$C,원생!$A26,수납!$D:$D,IF(원생!$G26="","",원생!$G26),수납!$B:$B,$B$1&amp;"-"&amp;TEXT(7,"00")&amp;"*",수납!$E:$E,""))</f>
        <v/>
      </c>
      <c r="J28" s="14">
        <f>IF(원생!$A26="","",SUMIFS(수납!$F:$F,수납!$C:$C,원생!$A26,수납!$D:$D,IF(원생!$G26="","",원생!$G26),수납!$B:$B,$B$1&amp;"-"&amp;TEXT(8,"00")&amp;"*",수납!$E:$E,"수강료")+SUMIFS(수납!$F:$F,수납!$C:$C,원생!$A26,수납!$D:$D,IF(원생!$G26="","",원생!$G26),수납!$B:$B,$B$1&amp;"-"&amp;TEXT(8,"00")&amp;"*",수납!$E:$E,""))</f>
        <v/>
      </c>
      <c r="K28" s="14">
        <f>IF(원생!$A26="","",SUMIFS(수납!$F:$F,수납!$C:$C,원생!$A26,수납!$D:$D,IF(원생!$G26="","",원생!$G26),수납!$B:$B,$B$1&amp;"-"&amp;TEXT(9,"00")&amp;"*",수납!$E:$E,"수강료")+SUMIFS(수납!$F:$F,수납!$C:$C,원생!$A26,수납!$D:$D,IF(원생!$G26="","",원생!$G26),수납!$B:$B,$B$1&amp;"-"&amp;TEXT(9,"00")&amp;"*",수납!$E:$E,""))</f>
        <v/>
      </c>
      <c r="L28" s="14">
        <f>IF(원생!$A26="","",SUMIFS(수납!$F:$F,수납!$C:$C,원생!$A26,수납!$D:$D,IF(원생!$G26="","",원생!$G26),수납!$B:$B,$B$1&amp;"-"&amp;TEXT(10,"00")&amp;"*",수납!$E:$E,"수강료")+SUMIFS(수납!$F:$F,수납!$C:$C,원생!$A26,수납!$D:$D,IF(원생!$G26="","",원생!$G26),수납!$B:$B,$B$1&amp;"-"&amp;TEXT(10,"00")&amp;"*",수납!$E:$E,""))</f>
        <v/>
      </c>
      <c r="M28" s="14">
        <f>IF(원생!$A26="","",SUMIFS(수납!$F:$F,수납!$C:$C,원생!$A26,수납!$D:$D,IF(원생!$G26="","",원생!$G26),수납!$B:$B,$B$1&amp;"-"&amp;TEXT(11,"00")&amp;"*",수납!$E:$E,"수강료")+SUMIFS(수납!$F:$F,수납!$C:$C,원생!$A26,수납!$D:$D,IF(원생!$G26="","",원생!$G26),수납!$B:$B,$B$1&amp;"-"&amp;TEXT(11,"00")&amp;"*",수납!$E:$E,""))</f>
        <v/>
      </c>
      <c r="N28" s="14">
        <f>IF(원생!$A26="","",SUMIFS(수납!$F:$F,수납!$C:$C,원생!$A26,수납!$D:$D,IF(원생!$G26="","",원생!$G26),수납!$B:$B,$B$1&amp;"-"&amp;TEXT(12,"00")&amp;"*",수납!$E:$E,"수강료")+SUMIFS(수납!$F:$F,수납!$C:$C,원생!$A26,수납!$D:$D,IF(원생!$G26="","",원생!$G26),수납!$B:$B,$B$1&amp;"-"&amp;TEXT(12,"00")&amp;"*",수납!$E:$E,""))</f>
        <v/>
      </c>
      <c r="O28">
        <f>IF(원생!$I26="","",원생!$I26)</f>
        <v/>
      </c>
      <c r="P28">
        <f>IF($A28="","",IF(AND($B28&gt;0,C28&lt;$B28,DATE($B$1,1,1)&lt;=TODAY(),OR($O28="",$O28&gt;=DATE($B$1,1,1)),OR(COUNTIF($C28:C28,"&gt;0")&gt;0,DATE($B$1,1,1)=DATE(YEAR(TODAY()),MONTH(TODAY()),1))),1,0))</f>
        <v/>
      </c>
      <c r="Q28">
        <f>IF($A28="","",IF(AND($B28&gt;0,D28&lt;$B28,DATE($B$1,2,1)&lt;=TODAY(),OR($O28="",$O28&gt;=DATE($B$1,2,1)),OR(COUNTIF($C28:D28,"&gt;0")&gt;0,DATE($B$1,2,1)=DATE(YEAR(TODAY()),MONTH(TODAY()),1))),1,0))</f>
        <v/>
      </c>
      <c r="R28">
        <f>IF($A28="","",IF(AND($B28&gt;0,E28&lt;$B28,DATE($B$1,3,1)&lt;=TODAY(),OR($O28="",$O28&gt;=DATE($B$1,3,1)),OR(COUNTIF($C28:E28,"&gt;0")&gt;0,DATE($B$1,3,1)=DATE(YEAR(TODAY()),MONTH(TODAY()),1))),1,0))</f>
        <v/>
      </c>
      <c r="S28">
        <f>IF($A28="","",IF(AND($B28&gt;0,F28&lt;$B28,DATE($B$1,4,1)&lt;=TODAY(),OR($O28="",$O28&gt;=DATE($B$1,4,1)),OR(COUNTIF($C28:F28,"&gt;0")&gt;0,DATE($B$1,4,1)=DATE(YEAR(TODAY()),MONTH(TODAY()),1))),1,0))</f>
        <v/>
      </c>
      <c r="T28">
        <f>IF($A28="","",IF(AND($B28&gt;0,G28&lt;$B28,DATE($B$1,5,1)&lt;=TODAY(),OR($O28="",$O28&gt;=DATE($B$1,5,1)),OR(COUNTIF($C28:G28,"&gt;0")&gt;0,DATE($B$1,5,1)=DATE(YEAR(TODAY()),MONTH(TODAY()),1))),1,0))</f>
        <v/>
      </c>
      <c r="U28">
        <f>IF($A28="","",IF(AND($B28&gt;0,H28&lt;$B28,DATE($B$1,6,1)&lt;=TODAY(),OR($O28="",$O28&gt;=DATE($B$1,6,1)),OR(COUNTIF($C28:H28,"&gt;0")&gt;0,DATE($B$1,6,1)=DATE(YEAR(TODAY()),MONTH(TODAY()),1))),1,0))</f>
        <v/>
      </c>
      <c r="V28">
        <f>IF($A28="","",IF(AND($B28&gt;0,I28&lt;$B28,DATE($B$1,7,1)&lt;=TODAY(),OR($O28="",$O28&gt;=DATE($B$1,7,1)),OR(COUNTIF($C28:I28,"&gt;0")&gt;0,DATE($B$1,7,1)=DATE(YEAR(TODAY()),MONTH(TODAY()),1))),1,0))</f>
        <v/>
      </c>
      <c r="W28">
        <f>IF($A28="","",IF(AND($B28&gt;0,J28&lt;$B28,DATE($B$1,8,1)&lt;=TODAY(),OR($O28="",$O28&gt;=DATE($B$1,8,1)),OR(COUNTIF($C28:J28,"&gt;0")&gt;0,DATE($B$1,8,1)=DATE(YEAR(TODAY()),MONTH(TODAY()),1))),1,0))</f>
        <v/>
      </c>
      <c r="X28">
        <f>IF($A28="","",IF(AND($B28&gt;0,K28&lt;$B28,DATE($B$1,9,1)&lt;=TODAY(),OR($O28="",$O28&gt;=DATE($B$1,9,1)),OR(COUNTIF($C28:K28,"&gt;0")&gt;0,DATE($B$1,9,1)=DATE(YEAR(TODAY()),MONTH(TODAY()),1))),1,0))</f>
        <v/>
      </c>
      <c r="Y28">
        <f>IF($A28="","",IF(AND($B28&gt;0,L28&lt;$B28,DATE($B$1,10,1)&lt;=TODAY(),OR($O28="",$O28&gt;=DATE($B$1,10,1)),OR(COUNTIF($C28:L28,"&gt;0")&gt;0,DATE($B$1,10,1)=DATE(YEAR(TODAY()),MONTH(TODAY()),1))),1,0))</f>
        <v/>
      </c>
      <c r="Z28">
        <f>IF($A28="","",IF(AND($B28&gt;0,M28&lt;$B28,DATE($B$1,11,1)&lt;=TODAY(),OR($O28="",$O28&gt;=DATE($B$1,11,1)),OR(COUNTIF($C28:M28,"&gt;0")&gt;0,DATE($B$1,11,1)=DATE(YEAR(TODAY()),MONTH(TODAY()),1))),1,0))</f>
        <v/>
      </c>
      <c r="AA28">
        <f>IF($A28="","",IF(AND($B28&gt;0,N28&lt;$B28,DATE($B$1,12,1)&lt;=TODAY(),OR($O28="",$O28&gt;=DATE($B$1,12,1)),OR(COUNTIF($C28:N28,"&gt;0")&gt;0,DATE($B$1,12,1)=DATE(YEAR(TODAY()),MONTH(TODAY()),1))),1,0))</f>
        <v/>
      </c>
    </row>
    <row r="29">
      <c r="A29" s="13">
        <f>IF(원생!$A27="","",원생!$A27&amp;IF(원생!$G27="",""," ("&amp;원생!$G27&amp;")"))</f>
        <v/>
      </c>
      <c r="B29" s="8">
        <f>IF(원생!$A27="","",원생!$F27)</f>
        <v/>
      </c>
      <c r="C29" s="14">
        <f>IF(원생!$A27="","",SUMIFS(수납!$F:$F,수납!$C:$C,원생!$A27,수납!$D:$D,IF(원생!$G27="","",원생!$G27),수납!$B:$B,$B$1&amp;"-"&amp;TEXT(1,"00")&amp;"*",수납!$E:$E,"수강료")+SUMIFS(수납!$F:$F,수납!$C:$C,원생!$A27,수납!$D:$D,IF(원생!$G27="","",원생!$G27),수납!$B:$B,$B$1&amp;"-"&amp;TEXT(1,"00")&amp;"*",수납!$E:$E,""))</f>
        <v/>
      </c>
      <c r="D29" s="14">
        <f>IF(원생!$A27="","",SUMIFS(수납!$F:$F,수납!$C:$C,원생!$A27,수납!$D:$D,IF(원생!$G27="","",원생!$G27),수납!$B:$B,$B$1&amp;"-"&amp;TEXT(2,"00")&amp;"*",수납!$E:$E,"수강료")+SUMIFS(수납!$F:$F,수납!$C:$C,원생!$A27,수납!$D:$D,IF(원생!$G27="","",원생!$G27),수납!$B:$B,$B$1&amp;"-"&amp;TEXT(2,"00")&amp;"*",수납!$E:$E,""))</f>
        <v/>
      </c>
      <c r="E29" s="14">
        <f>IF(원생!$A27="","",SUMIFS(수납!$F:$F,수납!$C:$C,원생!$A27,수납!$D:$D,IF(원생!$G27="","",원생!$G27),수납!$B:$B,$B$1&amp;"-"&amp;TEXT(3,"00")&amp;"*",수납!$E:$E,"수강료")+SUMIFS(수납!$F:$F,수납!$C:$C,원생!$A27,수납!$D:$D,IF(원생!$G27="","",원생!$G27),수납!$B:$B,$B$1&amp;"-"&amp;TEXT(3,"00")&amp;"*",수납!$E:$E,""))</f>
        <v/>
      </c>
      <c r="F29" s="14">
        <f>IF(원생!$A27="","",SUMIFS(수납!$F:$F,수납!$C:$C,원생!$A27,수납!$D:$D,IF(원생!$G27="","",원생!$G27),수납!$B:$B,$B$1&amp;"-"&amp;TEXT(4,"00")&amp;"*",수납!$E:$E,"수강료")+SUMIFS(수납!$F:$F,수납!$C:$C,원생!$A27,수납!$D:$D,IF(원생!$G27="","",원생!$G27),수납!$B:$B,$B$1&amp;"-"&amp;TEXT(4,"00")&amp;"*",수납!$E:$E,""))</f>
        <v/>
      </c>
      <c r="G29" s="14">
        <f>IF(원생!$A27="","",SUMIFS(수납!$F:$F,수납!$C:$C,원생!$A27,수납!$D:$D,IF(원생!$G27="","",원생!$G27),수납!$B:$B,$B$1&amp;"-"&amp;TEXT(5,"00")&amp;"*",수납!$E:$E,"수강료")+SUMIFS(수납!$F:$F,수납!$C:$C,원생!$A27,수납!$D:$D,IF(원생!$G27="","",원생!$G27),수납!$B:$B,$B$1&amp;"-"&amp;TEXT(5,"00")&amp;"*",수납!$E:$E,""))</f>
        <v/>
      </c>
      <c r="H29" s="14">
        <f>IF(원생!$A27="","",SUMIFS(수납!$F:$F,수납!$C:$C,원생!$A27,수납!$D:$D,IF(원생!$G27="","",원생!$G27),수납!$B:$B,$B$1&amp;"-"&amp;TEXT(6,"00")&amp;"*",수납!$E:$E,"수강료")+SUMIFS(수납!$F:$F,수납!$C:$C,원생!$A27,수납!$D:$D,IF(원생!$G27="","",원생!$G27),수납!$B:$B,$B$1&amp;"-"&amp;TEXT(6,"00")&amp;"*",수납!$E:$E,""))</f>
        <v/>
      </c>
      <c r="I29" s="14">
        <f>IF(원생!$A27="","",SUMIFS(수납!$F:$F,수납!$C:$C,원생!$A27,수납!$D:$D,IF(원생!$G27="","",원생!$G27),수납!$B:$B,$B$1&amp;"-"&amp;TEXT(7,"00")&amp;"*",수납!$E:$E,"수강료")+SUMIFS(수납!$F:$F,수납!$C:$C,원생!$A27,수납!$D:$D,IF(원생!$G27="","",원생!$G27),수납!$B:$B,$B$1&amp;"-"&amp;TEXT(7,"00")&amp;"*",수납!$E:$E,""))</f>
        <v/>
      </c>
      <c r="J29" s="14">
        <f>IF(원생!$A27="","",SUMIFS(수납!$F:$F,수납!$C:$C,원생!$A27,수납!$D:$D,IF(원생!$G27="","",원생!$G27),수납!$B:$B,$B$1&amp;"-"&amp;TEXT(8,"00")&amp;"*",수납!$E:$E,"수강료")+SUMIFS(수납!$F:$F,수납!$C:$C,원생!$A27,수납!$D:$D,IF(원생!$G27="","",원생!$G27),수납!$B:$B,$B$1&amp;"-"&amp;TEXT(8,"00")&amp;"*",수납!$E:$E,""))</f>
        <v/>
      </c>
      <c r="K29" s="14">
        <f>IF(원생!$A27="","",SUMIFS(수납!$F:$F,수납!$C:$C,원생!$A27,수납!$D:$D,IF(원생!$G27="","",원생!$G27),수납!$B:$B,$B$1&amp;"-"&amp;TEXT(9,"00")&amp;"*",수납!$E:$E,"수강료")+SUMIFS(수납!$F:$F,수납!$C:$C,원생!$A27,수납!$D:$D,IF(원생!$G27="","",원생!$G27),수납!$B:$B,$B$1&amp;"-"&amp;TEXT(9,"00")&amp;"*",수납!$E:$E,""))</f>
        <v/>
      </c>
      <c r="L29" s="14">
        <f>IF(원생!$A27="","",SUMIFS(수납!$F:$F,수납!$C:$C,원생!$A27,수납!$D:$D,IF(원생!$G27="","",원생!$G27),수납!$B:$B,$B$1&amp;"-"&amp;TEXT(10,"00")&amp;"*",수납!$E:$E,"수강료")+SUMIFS(수납!$F:$F,수납!$C:$C,원생!$A27,수납!$D:$D,IF(원생!$G27="","",원생!$G27),수납!$B:$B,$B$1&amp;"-"&amp;TEXT(10,"00")&amp;"*",수납!$E:$E,""))</f>
        <v/>
      </c>
      <c r="M29" s="14">
        <f>IF(원생!$A27="","",SUMIFS(수납!$F:$F,수납!$C:$C,원생!$A27,수납!$D:$D,IF(원생!$G27="","",원생!$G27),수납!$B:$B,$B$1&amp;"-"&amp;TEXT(11,"00")&amp;"*",수납!$E:$E,"수강료")+SUMIFS(수납!$F:$F,수납!$C:$C,원생!$A27,수납!$D:$D,IF(원생!$G27="","",원생!$G27),수납!$B:$B,$B$1&amp;"-"&amp;TEXT(11,"00")&amp;"*",수납!$E:$E,""))</f>
        <v/>
      </c>
      <c r="N29" s="14">
        <f>IF(원생!$A27="","",SUMIFS(수납!$F:$F,수납!$C:$C,원생!$A27,수납!$D:$D,IF(원생!$G27="","",원생!$G27),수납!$B:$B,$B$1&amp;"-"&amp;TEXT(12,"00")&amp;"*",수납!$E:$E,"수강료")+SUMIFS(수납!$F:$F,수납!$C:$C,원생!$A27,수납!$D:$D,IF(원생!$G27="","",원생!$G27),수납!$B:$B,$B$1&amp;"-"&amp;TEXT(12,"00")&amp;"*",수납!$E:$E,""))</f>
        <v/>
      </c>
      <c r="O29">
        <f>IF(원생!$I27="","",원생!$I27)</f>
        <v/>
      </c>
      <c r="P29">
        <f>IF($A29="","",IF(AND($B29&gt;0,C29&lt;$B29,DATE($B$1,1,1)&lt;=TODAY(),OR($O29="",$O29&gt;=DATE($B$1,1,1)),OR(COUNTIF($C29:C29,"&gt;0")&gt;0,DATE($B$1,1,1)=DATE(YEAR(TODAY()),MONTH(TODAY()),1))),1,0))</f>
        <v/>
      </c>
      <c r="Q29">
        <f>IF($A29="","",IF(AND($B29&gt;0,D29&lt;$B29,DATE($B$1,2,1)&lt;=TODAY(),OR($O29="",$O29&gt;=DATE($B$1,2,1)),OR(COUNTIF($C29:D29,"&gt;0")&gt;0,DATE($B$1,2,1)=DATE(YEAR(TODAY()),MONTH(TODAY()),1))),1,0))</f>
        <v/>
      </c>
      <c r="R29">
        <f>IF($A29="","",IF(AND($B29&gt;0,E29&lt;$B29,DATE($B$1,3,1)&lt;=TODAY(),OR($O29="",$O29&gt;=DATE($B$1,3,1)),OR(COUNTIF($C29:E29,"&gt;0")&gt;0,DATE($B$1,3,1)=DATE(YEAR(TODAY()),MONTH(TODAY()),1))),1,0))</f>
        <v/>
      </c>
      <c r="S29">
        <f>IF($A29="","",IF(AND($B29&gt;0,F29&lt;$B29,DATE($B$1,4,1)&lt;=TODAY(),OR($O29="",$O29&gt;=DATE($B$1,4,1)),OR(COUNTIF($C29:F29,"&gt;0")&gt;0,DATE($B$1,4,1)=DATE(YEAR(TODAY()),MONTH(TODAY()),1))),1,0))</f>
        <v/>
      </c>
      <c r="T29">
        <f>IF($A29="","",IF(AND($B29&gt;0,G29&lt;$B29,DATE($B$1,5,1)&lt;=TODAY(),OR($O29="",$O29&gt;=DATE($B$1,5,1)),OR(COUNTIF($C29:G29,"&gt;0")&gt;0,DATE($B$1,5,1)=DATE(YEAR(TODAY()),MONTH(TODAY()),1))),1,0))</f>
        <v/>
      </c>
      <c r="U29">
        <f>IF($A29="","",IF(AND($B29&gt;0,H29&lt;$B29,DATE($B$1,6,1)&lt;=TODAY(),OR($O29="",$O29&gt;=DATE($B$1,6,1)),OR(COUNTIF($C29:H29,"&gt;0")&gt;0,DATE($B$1,6,1)=DATE(YEAR(TODAY()),MONTH(TODAY()),1))),1,0))</f>
        <v/>
      </c>
      <c r="V29">
        <f>IF($A29="","",IF(AND($B29&gt;0,I29&lt;$B29,DATE($B$1,7,1)&lt;=TODAY(),OR($O29="",$O29&gt;=DATE($B$1,7,1)),OR(COUNTIF($C29:I29,"&gt;0")&gt;0,DATE($B$1,7,1)=DATE(YEAR(TODAY()),MONTH(TODAY()),1))),1,0))</f>
        <v/>
      </c>
      <c r="W29">
        <f>IF($A29="","",IF(AND($B29&gt;0,J29&lt;$B29,DATE($B$1,8,1)&lt;=TODAY(),OR($O29="",$O29&gt;=DATE($B$1,8,1)),OR(COUNTIF($C29:J29,"&gt;0")&gt;0,DATE($B$1,8,1)=DATE(YEAR(TODAY()),MONTH(TODAY()),1))),1,0))</f>
        <v/>
      </c>
      <c r="X29">
        <f>IF($A29="","",IF(AND($B29&gt;0,K29&lt;$B29,DATE($B$1,9,1)&lt;=TODAY(),OR($O29="",$O29&gt;=DATE($B$1,9,1)),OR(COUNTIF($C29:K29,"&gt;0")&gt;0,DATE($B$1,9,1)=DATE(YEAR(TODAY()),MONTH(TODAY()),1))),1,0))</f>
        <v/>
      </c>
      <c r="Y29">
        <f>IF($A29="","",IF(AND($B29&gt;0,L29&lt;$B29,DATE($B$1,10,1)&lt;=TODAY(),OR($O29="",$O29&gt;=DATE($B$1,10,1)),OR(COUNTIF($C29:L29,"&gt;0")&gt;0,DATE($B$1,10,1)=DATE(YEAR(TODAY()),MONTH(TODAY()),1))),1,0))</f>
        <v/>
      </c>
      <c r="Z29">
        <f>IF($A29="","",IF(AND($B29&gt;0,M29&lt;$B29,DATE($B$1,11,1)&lt;=TODAY(),OR($O29="",$O29&gt;=DATE($B$1,11,1)),OR(COUNTIF($C29:M29,"&gt;0")&gt;0,DATE($B$1,11,1)=DATE(YEAR(TODAY()),MONTH(TODAY()),1))),1,0))</f>
        <v/>
      </c>
      <c r="AA29">
        <f>IF($A29="","",IF(AND($B29&gt;0,N29&lt;$B29,DATE($B$1,12,1)&lt;=TODAY(),OR($O29="",$O29&gt;=DATE($B$1,12,1)),OR(COUNTIF($C29:N29,"&gt;0")&gt;0,DATE($B$1,12,1)=DATE(YEAR(TODAY()),MONTH(TODAY()),1))),1,0))</f>
        <v/>
      </c>
    </row>
    <row r="30">
      <c r="A30" s="13">
        <f>IF(원생!$A28="","",원생!$A28&amp;IF(원생!$G28="",""," ("&amp;원생!$G28&amp;")"))</f>
        <v/>
      </c>
      <c r="B30" s="8">
        <f>IF(원생!$A28="","",원생!$F28)</f>
        <v/>
      </c>
      <c r="C30" s="14">
        <f>IF(원생!$A28="","",SUMIFS(수납!$F:$F,수납!$C:$C,원생!$A28,수납!$D:$D,IF(원생!$G28="","",원생!$G28),수납!$B:$B,$B$1&amp;"-"&amp;TEXT(1,"00")&amp;"*",수납!$E:$E,"수강료")+SUMIFS(수납!$F:$F,수납!$C:$C,원생!$A28,수납!$D:$D,IF(원생!$G28="","",원생!$G28),수납!$B:$B,$B$1&amp;"-"&amp;TEXT(1,"00")&amp;"*",수납!$E:$E,""))</f>
        <v/>
      </c>
      <c r="D30" s="14">
        <f>IF(원생!$A28="","",SUMIFS(수납!$F:$F,수납!$C:$C,원생!$A28,수납!$D:$D,IF(원생!$G28="","",원생!$G28),수납!$B:$B,$B$1&amp;"-"&amp;TEXT(2,"00")&amp;"*",수납!$E:$E,"수강료")+SUMIFS(수납!$F:$F,수납!$C:$C,원생!$A28,수납!$D:$D,IF(원생!$G28="","",원생!$G28),수납!$B:$B,$B$1&amp;"-"&amp;TEXT(2,"00")&amp;"*",수납!$E:$E,""))</f>
        <v/>
      </c>
      <c r="E30" s="14">
        <f>IF(원생!$A28="","",SUMIFS(수납!$F:$F,수납!$C:$C,원생!$A28,수납!$D:$D,IF(원생!$G28="","",원생!$G28),수납!$B:$B,$B$1&amp;"-"&amp;TEXT(3,"00")&amp;"*",수납!$E:$E,"수강료")+SUMIFS(수납!$F:$F,수납!$C:$C,원생!$A28,수납!$D:$D,IF(원생!$G28="","",원생!$G28),수납!$B:$B,$B$1&amp;"-"&amp;TEXT(3,"00")&amp;"*",수납!$E:$E,""))</f>
        <v/>
      </c>
      <c r="F30" s="14">
        <f>IF(원생!$A28="","",SUMIFS(수납!$F:$F,수납!$C:$C,원생!$A28,수납!$D:$D,IF(원생!$G28="","",원생!$G28),수납!$B:$B,$B$1&amp;"-"&amp;TEXT(4,"00")&amp;"*",수납!$E:$E,"수강료")+SUMIFS(수납!$F:$F,수납!$C:$C,원생!$A28,수납!$D:$D,IF(원생!$G28="","",원생!$G28),수납!$B:$B,$B$1&amp;"-"&amp;TEXT(4,"00")&amp;"*",수납!$E:$E,""))</f>
        <v/>
      </c>
      <c r="G30" s="14">
        <f>IF(원생!$A28="","",SUMIFS(수납!$F:$F,수납!$C:$C,원생!$A28,수납!$D:$D,IF(원생!$G28="","",원생!$G28),수납!$B:$B,$B$1&amp;"-"&amp;TEXT(5,"00")&amp;"*",수납!$E:$E,"수강료")+SUMIFS(수납!$F:$F,수납!$C:$C,원생!$A28,수납!$D:$D,IF(원생!$G28="","",원생!$G28),수납!$B:$B,$B$1&amp;"-"&amp;TEXT(5,"00")&amp;"*",수납!$E:$E,""))</f>
        <v/>
      </c>
      <c r="H30" s="14">
        <f>IF(원생!$A28="","",SUMIFS(수납!$F:$F,수납!$C:$C,원생!$A28,수납!$D:$D,IF(원생!$G28="","",원생!$G28),수납!$B:$B,$B$1&amp;"-"&amp;TEXT(6,"00")&amp;"*",수납!$E:$E,"수강료")+SUMIFS(수납!$F:$F,수납!$C:$C,원생!$A28,수납!$D:$D,IF(원생!$G28="","",원생!$G28),수납!$B:$B,$B$1&amp;"-"&amp;TEXT(6,"00")&amp;"*",수납!$E:$E,""))</f>
        <v/>
      </c>
      <c r="I30" s="14">
        <f>IF(원생!$A28="","",SUMIFS(수납!$F:$F,수납!$C:$C,원생!$A28,수납!$D:$D,IF(원생!$G28="","",원생!$G28),수납!$B:$B,$B$1&amp;"-"&amp;TEXT(7,"00")&amp;"*",수납!$E:$E,"수강료")+SUMIFS(수납!$F:$F,수납!$C:$C,원생!$A28,수납!$D:$D,IF(원생!$G28="","",원생!$G28),수납!$B:$B,$B$1&amp;"-"&amp;TEXT(7,"00")&amp;"*",수납!$E:$E,""))</f>
        <v/>
      </c>
      <c r="J30" s="14">
        <f>IF(원생!$A28="","",SUMIFS(수납!$F:$F,수납!$C:$C,원생!$A28,수납!$D:$D,IF(원생!$G28="","",원생!$G28),수납!$B:$B,$B$1&amp;"-"&amp;TEXT(8,"00")&amp;"*",수납!$E:$E,"수강료")+SUMIFS(수납!$F:$F,수납!$C:$C,원생!$A28,수납!$D:$D,IF(원생!$G28="","",원생!$G28),수납!$B:$B,$B$1&amp;"-"&amp;TEXT(8,"00")&amp;"*",수납!$E:$E,""))</f>
        <v/>
      </c>
      <c r="K30" s="14">
        <f>IF(원생!$A28="","",SUMIFS(수납!$F:$F,수납!$C:$C,원생!$A28,수납!$D:$D,IF(원생!$G28="","",원생!$G28),수납!$B:$B,$B$1&amp;"-"&amp;TEXT(9,"00")&amp;"*",수납!$E:$E,"수강료")+SUMIFS(수납!$F:$F,수납!$C:$C,원생!$A28,수납!$D:$D,IF(원생!$G28="","",원생!$G28),수납!$B:$B,$B$1&amp;"-"&amp;TEXT(9,"00")&amp;"*",수납!$E:$E,""))</f>
        <v/>
      </c>
      <c r="L30" s="14">
        <f>IF(원생!$A28="","",SUMIFS(수납!$F:$F,수납!$C:$C,원생!$A28,수납!$D:$D,IF(원생!$G28="","",원생!$G28),수납!$B:$B,$B$1&amp;"-"&amp;TEXT(10,"00")&amp;"*",수납!$E:$E,"수강료")+SUMIFS(수납!$F:$F,수납!$C:$C,원생!$A28,수납!$D:$D,IF(원생!$G28="","",원생!$G28),수납!$B:$B,$B$1&amp;"-"&amp;TEXT(10,"00")&amp;"*",수납!$E:$E,""))</f>
        <v/>
      </c>
      <c r="M30" s="14">
        <f>IF(원생!$A28="","",SUMIFS(수납!$F:$F,수납!$C:$C,원생!$A28,수납!$D:$D,IF(원생!$G28="","",원생!$G28),수납!$B:$B,$B$1&amp;"-"&amp;TEXT(11,"00")&amp;"*",수납!$E:$E,"수강료")+SUMIFS(수납!$F:$F,수납!$C:$C,원생!$A28,수납!$D:$D,IF(원생!$G28="","",원생!$G28),수납!$B:$B,$B$1&amp;"-"&amp;TEXT(11,"00")&amp;"*",수납!$E:$E,""))</f>
        <v/>
      </c>
      <c r="N30" s="14">
        <f>IF(원생!$A28="","",SUMIFS(수납!$F:$F,수납!$C:$C,원생!$A28,수납!$D:$D,IF(원생!$G28="","",원생!$G28),수납!$B:$B,$B$1&amp;"-"&amp;TEXT(12,"00")&amp;"*",수납!$E:$E,"수강료")+SUMIFS(수납!$F:$F,수납!$C:$C,원생!$A28,수납!$D:$D,IF(원생!$G28="","",원생!$G28),수납!$B:$B,$B$1&amp;"-"&amp;TEXT(12,"00")&amp;"*",수납!$E:$E,""))</f>
        <v/>
      </c>
      <c r="O30">
        <f>IF(원생!$I28="","",원생!$I28)</f>
        <v/>
      </c>
      <c r="P30">
        <f>IF($A30="","",IF(AND($B30&gt;0,C30&lt;$B30,DATE($B$1,1,1)&lt;=TODAY(),OR($O30="",$O30&gt;=DATE($B$1,1,1)),OR(COUNTIF($C30:C30,"&gt;0")&gt;0,DATE($B$1,1,1)=DATE(YEAR(TODAY()),MONTH(TODAY()),1))),1,0))</f>
        <v/>
      </c>
      <c r="Q30">
        <f>IF($A30="","",IF(AND($B30&gt;0,D30&lt;$B30,DATE($B$1,2,1)&lt;=TODAY(),OR($O30="",$O30&gt;=DATE($B$1,2,1)),OR(COUNTIF($C30:D30,"&gt;0")&gt;0,DATE($B$1,2,1)=DATE(YEAR(TODAY()),MONTH(TODAY()),1))),1,0))</f>
        <v/>
      </c>
      <c r="R30">
        <f>IF($A30="","",IF(AND($B30&gt;0,E30&lt;$B30,DATE($B$1,3,1)&lt;=TODAY(),OR($O30="",$O30&gt;=DATE($B$1,3,1)),OR(COUNTIF($C30:E30,"&gt;0")&gt;0,DATE($B$1,3,1)=DATE(YEAR(TODAY()),MONTH(TODAY()),1))),1,0))</f>
        <v/>
      </c>
      <c r="S30">
        <f>IF($A30="","",IF(AND($B30&gt;0,F30&lt;$B30,DATE($B$1,4,1)&lt;=TODAY(),OR($O30="",$O30&gt;=DATE($B$1,4,1)),OR(COUNTIF($C30:F30,"&gt;0")&gt;0,DATE($B$1,4,1)=DATE(YEAR(TODAY()),MONTH(TODAY()),1))),1,0))</f>
        <v/>
      </c>
      <c r="T30">
        <f>IF($A30="","",IF(AND($B30&gt;0,G30&lt;$B30,DATE($B$1,5,1)&lt;=TODAY(),OR($O30="",$O30&gt;=DATE($B$1,5,1)),OR(COUNTIF($C30:G30,"&gt;0")&gt;0,DATE($B$1,5,1)=DATE(YEAR(TODAY()),MONTH(TODAY()),1))),1,0))</f>
        <v/>
      </c>
      <c r="U30">
        <f>IF($A30="","",IF(AND($B30&gt;0,H30&lt;$B30,DATE($B$1,6,1)&lt;=TODAY(),OR($O30="",$O30&gt;=DATE($B$1,6,1)),OR(COUNTIF($C30:H30,"&gt;0")&gt;0,DATE($B$1,6,1)=DATE(YEAR(TODAY()),MONTH(TODAY()),1))),1,0))</f>
        <v/>
      </c>
      <c r="V30">
        <f>IF($A30="","",IF(AND($B30&gt;0,I30&lt;$B30,DATE($B$1,7,1)&lt;=TODAY(),OR($O30="",$O30&gt;=DATE($B$1,7,1)),OR(COUNTIF($C30:I30,"&gt;0")&gt;0,DATE($B$1,7,1)=DATE(YEAR(TODAY()),MONTH(TODAY()),1))),1,0))</f>
        <v/>
      </c>
      <c r="W30">
        <f>IF($A30="","",IF(AND($B30&gt;0,J30&lt;$B30,DATE($B$1,8,1)&lt;=TODAY(),OR($O30="",$O30&gt;=DATE($B$1,8,1)),OR(COUNTIF($C30:J30,"&gt;0")&gt;0,DATE($B$1,8,1)=DATE(YEAR(TODAY()),MONTH(TODAY()),1))),1,0))</f>
        <v/>
      </c>
      <c r="X30">
        <f>IF($A30="","",IF(AND($B30&gt;0,K30&lt;$B30,DATE($B$1,9,1)&lt;=TODAY(),OR($O30="",$O30&gt;=DATE($B$1,9,1)),OR(COUNTIF($C30:K30,"&gt;0")&gt;0,DATE($B$1,9,1)=DATE(YEAR(TODAY()),MONTH(TODAY()),1))),1,0))</f>
        <v/>
      </c>
      <c r="Y30">
        <f>IF($A30="","",IF(AND($B30&gt;0,L30&lt;$B30,DATE($B$1,10,1)&lt;=TODAY(),OR($O30="",$O30&gt;=DATE($B$1,10,1)),OR(COUNTIF($C30:L30,"&gt;0")&gt;0,DATE($B$1,10,1)=DATE(YEAR(TODAY()),MONTH(TODAY()),1))),1,0))</f>
        <v/>
      </c>
      <c r="Z30">
        <f>IF($A30="","",IF(AND($B30&gt;0,M30&lt;$B30,DATE($B$1,11,1)&lt;=TODAY(),OR($O30="",$O30&gt;=DATE($B$1,11,1)),OR(COUNTIF($C30:M30,"&gt;0")&gt;0,DATE($B$1,11,1)=DATE(YEAR(TODAY()),MONTH(TODAY()),1))),1,0))</f>
        <v/>
      </c>
      <c r="AA30">
        <f>IF($A30="","",IF(AND($B30&gt;0,N30&lt;$B30,DATE($B$1,12,1)&lt;=TODAY(),OR($O30="",$O30&gt;=DATE($B$1,12,1)),OR(COUNTIF($C30:N30,"&gt;0")&gt;0,DATE($B$1,12,1)=DATE(YEAR(TODAY()),MONTH(TODAY()),1))),1,0))</f>
        <v/>
      </c>
    </row>
    <row r="31">
      <c r="A31" s="13">
        <f>IF(원생!$A29="","",원생!$A29&amp;IF(원생!$G29="",""," ("&amp;원생!$G29&amp;")"))</f>
        <v/>
      </c>
      <c r="B31" s="8">
        <f>IF(원생!$A29="","",원생!$F29)</f>
        <v/>
      </c>
      <c r="C31" s="14">
        <f>IF(원생!$A29="","",SUMIFS(수납!$F:$F,수납!$C:$C,원생!$A29,수납!$D:$D,IF(원생!$G29="","",원생!$G29),수납!$B:$B,$B$1&amp;"-"&amp;TEXT(1,"00")&amp;"*",수납!$E:$E,"수강료")+SUMIFS(수납!$F:$F,수납!$C:$C,원생!$A29,수납!$D:$D,IF(원생!$G29="","",원생!$G29),수납!$B:$B,$B$1&amp;"-"&amp;TEXT(1,"00")&amp;"*",수납!$E:$E,""))</f>
        <v/>
      </c>
      <c r="D31" s="14">
        <f>IF(원생!$A29="","",SUMIFS(수납!$F:$F,수납!$C:$C,원생!$A29,수납!$D:$D,IF(원생!$G29="","",원생!$G29),수납!$B:$B,$B$1&amp;"-"&amp;TEXT(2,"00")&amp;"*",수납!$E:$E,"수강료")+SUMIFS(수납!$F:$F,수납!$C:$C,원생!$A29,수납!$D:$D,IF(원생!$G29="","",원생!$G29),수납!$B:$B,$B$1&amp;"-"&amp;TEXT(2,"00")&amp;"*",수납!$E:$E,""))</f>
        <v/>
      </c>
      <c r="E31" s="14">
        <f>IF(원생!$A29="","",SUMIFS(수납!$F:$F,수납!$C:$C,원생!$A29,수납!$D:$D,IF(원생!$G29="","",원생!$G29),수납!$B:$B,$B$1&amp;"-"&amp;TEXT(3,"00")&amp;"*",수납!$E:$E,"수강료")+SUMIFS(수납!$F:$F,수납!$C:$C,원생!$A29,수납!$D:$D,IF(원생!$G29="","",원생!$G29),수납!$B:$B,$B$1&amp;"-"&amp;TEXT(3,"00")&amp;"*",수납!$E:$E,""))</f>
        <v/>
      </c>
      <c r="F31" s="14">
        <f>IF(원생!$A29="","",SUMIFS(수납!$F:$F,수납!$C:$C,원생!$A29,수납!$D:$D,IF(원생!$G29="","",원생!$G29),수납!$B:$B,$B$1&amp;"-"&amp;TEXT(4,"00")&amp;"*",수납!$E:$E,"수강료")+SUMIFS(수납!$F:$F,수납!$C:$C,원생!$A29,수납!$D:$D,IF(원생!$G29="","",원생!$G29),수납!$B:$B,$B$1&amp;"-"&amp;TEXT(4,"00")&amp;"*",수납!$E:$E,""))</f>
        <v/>
      </c>
      <c r="G31" s="14">
        <f>IF(원생!$A29="","",SUMIFS(수납!$F:$F,수납!$C:$C,원생!$A29,수납!$D:$D,IF(원생!$G29="","",원생!$G29),수납!$B:$B,$B$1&amp;"-"&amp;TEXT(5,"00")&amp;"*",수납!$E:$E,"수강료")+SUMIFS(수납!$F:$F,수납!$C:$C,원생!$A29,수납!$D:$D,IF(원생!$G29="","",원생!$G29),수납!$B:$B,$B$1&amp;"-"&amp;TEXT(5,"00")&amp;"*",수납!$E:$E,""))</f>
        <v/>
      </c>
      <c r="H31" s="14">
        <f>IF(원생!$A29="","",SUMIFS(수납!$F:$F,수납!$C:$C,원생!$A29,수납!$D:$D,IF(원생!$G29="","",원생!$G29),수납!$B:$B,$B$1&amp;"-"&amp;TEXT(6,"00")&amp;"*",수납!$E:$E,"수강료")+SUMIFS(수납!$F:$F,수납!$C:$C,원생!$A29,수납!$D:$D,IF(원생!$G29="","",원생!$G29),수납!$B:$B,$B$1&amp;"-"&amp;TEXT(6,"00")&amp;"*",수납!$E:$E,""))</f>
        <v/>
      </c>
      <c r="I31" s="14">
        <f>IF(원생!$A29="","",SUMIFS(수납!$F:$F,수납!$C:$C,원생!$A29,수납!$D:$D,IF(원생!$G29="","",원생!$G29),수납!$B:$B,$B$1&amp;"-"&amp;TEXT(7,"00")&amp;"*",수납!$E:$E,"수강료")+SUMIFS(수납!$F:$F,수납!$C:$C,원생!$A29,수납!$D:$D,IF(원생!$G29="","",원생!$G29),수납!$B:$B,$B$1&amp;"-"&amp;TEXT(7,"00")&amp;"*",수납!$E:$E,""))</f>
        <v/>
      </c>
      <c r="J31" s="14">
        <f>IF(원생!$A29="","",SUMIFS(수납!$F:$F,수납!$C:$C,원생!$A29,수납!$D:$D,IF(원생!$G29="","",원생!$G29),수납!$B:$B,$B$1&amp;"-"&amp;TEXT(8,"00")&amp;"*",수납!$E:$E,"수강료")+SUMIFS(수납!$F:$F,수납!$C:$C,원생!$A29,수납!$D:$D,IF(원생!$G29="","",원생!$G29),수납!$B:$B,$B$1&amp;"-"&amp;TEXT(8,"00")&amp;"*",수납!$E:$E,""))</f>
        <v/>
      </c>
      <c r="K31" s="14">
        <f>IF(원생!$A29="","",SUMIFS(수납!$F:$F,수납!$C:$C,원생!$A29,수납!$D:$D,IF(원생!$G29="","",원생!$G29),수납!$B:$B,$B$1&amp;"-"&amp;TEXT(9,"00")&amp;"*",수납!$E:$E,"수강료")+SUMIFS(수납!$F:$F,수납!$C:$C,원생!$A29,수납!$D:$D,IF(원생!$G29="","",원생!$G29),수납!$B:$B,$B$1&amp;"-"&amp;TEXT(9,"00")&amp;"*",수납!$E:$E,""))</f>
        <v/>
      </c>
      <c r="L31" s="14">
        <f>IF(원생!$A29="","",SUMIFS(수납!$F:$F,수납!$C:$C,원생!$A29,수납!$D:$D,IF(원생!$G29="","",원생!$G29),수납!$B:$B,$B$1&amp;"-"&amp;TEXT(10,"00")&amp;"*",수납!$E:$E,"수강료")+SUMIFS(수납!$F:$F,수납!$C:$C,원생!$A29,수납!$D:$D,IF(원생!$G29="","",원생!$G29),수납!$B:$B,$B$1&amp;"-"&amp;TEXT(10,"00")&amp;"*",수납!$E:$E,""))</f>
        <v/>
      </c>
      <c r="M31" s="14">
        <f>IF(원생!$A29="","",SUMIFS(수납!$F:$F,수납!$C:$C,원생!$A29,수납!$D:$D,IF(원생!$G29="","",원생!$G29),수납!$B:$B,$B$1&amp;"-"&amp;TEXT(11,"00")&amp;"*",수납!$E:$E,"수강료")+SUMIFS(수납!$F:$F,수납!$C:$C,원생!$A29,수납!$D:$D,IF(원생!$G29="","",원생!$G29),수납!$B:$B,$B$1&amp;"-"&amp;TEXT(11,"00")&amp;"*",수납!$E:$E,""))</f>
        <v/>
      </c>
      <c r="N31" s="14">
        <f>IF(원생!$A29="","",SUMIFS(수납!$F:$F,수납!$C:$C,원생!$A29,수납!$D:$D,IF(원생!$G29="","",원생!$G29),수납!$B:$B,$B$1&amp;"-"&amp;TEXT(12,"00")&amp;"*",수납!$E:$E,"수강료")+SUMIFS(수납!$F:$F,수납!$C:$C,원생!$A29,수납!$D:$D,IF(원생!$G29="","",원생!$G29),수납!$B:$B,$B$1&amp;"-"&amp;TEXT(12,"00")&amp;"*",수납!$E:$E,""))</f>
        <v/>
      </c>
      <c r="O31">
        <f>IF(원생!$I29="","",원생!$I29)</f>
        <v/>
      </c>
      <c r="P31">
        <f>IF($A31="","",IF(AND($B31&gt;0,C31&lt;$B31,DATE($B$1,1,1)&lt;=TODAY(),OR($O31="",$O31&gt;=DATE($B$1,1,1)),OR(COUNTIF($C31:C31,"&gt;0")&gt;0,DATE($B$1,1,1)=DATE(YEAR(TODAY()),MONTH(TODAY()),1))),1,0))</f>
        <v/>
      </c>
      <c r="Q31">
        <f>IF($A31="","",IF(AND($B31&gt;0,D31&lt;$B31,DATE($B$1,2,1)&lt;=TODAY(),OR($O31="",$O31&gt;=DATE($B$1,2,1)),OR(COUNTIF($C31:D31,"&gt;0")&gt;0,DATE($B$1,2,1)=DATE(YEAR(TODAY()),MONTH(TODAY()),1))),1,0))</f>
        <v/>
      </c>
      <c r="R31">
        <f>IF($A31="","",IF(AND($B31&gt;0,E31&lt;$B31,DATE($B$1,3,1)&lt;=TODAY(),OR($O31="",$O31&gt;=DATE($B$1,3,1)),OR(COUNTIF($C31:E31,"&gt;0")&gt;0,DATE($B$1,3,1)=DATE(YEAR(TODAY()),MONTH(TODAY()),1))),1,0))</f>
        <v/>
      </c>
      <c r="S31">
        <f>IF($A31="","",IF(AND($B31&gt;0,F31&lt;$B31,DATE($B$1,4,1)&lt;=TODAY(),OR($O31="",$O31&gt;=DATE($B$1,4,1)),OR(COUNTIF($C31:F31,"&gt;0")&gt;0,DATE($B$1,4,1)=DATE(YEAR(TODAY()),MONTH(TODAY()),1))),1,0))</f>
        <v/>
      </c>
      <c r="T31">
        <f>IF($A31="","",IF(AND($B31&gt;0,G31&lt;$B31,DATE($B$1,5,1)&lt;=TODAY(),OR($O31="",$O31&gt;=DATE($B$1,5,1)),OR(COUNTIF($C31:G31,"&gt;0")&gt;0,DATE($B$1,5,1)=DATE(YEAR(TODAY()),MONTH(TODAY()),1))),1,0))</f>
        <v/>
      </c>
      <c r="U31">
        <f>IF($A31="","",IF(AND($B31&gt;0,H31&lt;$B31,DATE($B$1,6,1)&lt;=TODAY(),OR($O31="",$O31&gt;=DATE($B$1,6,1)),OR(COUNTIF($C31:H31,"&gt;0")&gt;0,DATE($B$1,6,1)=DATE(YEAR(TODAY()),MONTH(TODAY()),1))),1,0))</f>
        <v/>
      </c>
      <c r="V31">
        <f>IF($A31="","",IF(AND($B31&gt;0,I31&lt;$B31,DATE($B$1,7,1)&lt;=TODAY(),OR($O31="",$O31&gt;=DATE($B$1,7,1)),OR(COUNTIF($C31:I31,"&gt;0")&gt;0,DATE($B$1,7,1)=DATE(YEAR(TODAY()),MONTH(TODAY()),1))),1,0))</f>
        <v/>
      </c>
      <c r="W31">
        <f>IF($A31="","",IF(AND($B31&gt;0,J31&lt;$B31,DATE($B$1,8,1)&lt;=TODAY(),OR($O31="",$O31&gt;=DATE($B$1,8,1)),OR(COUNTIF($C31:J31,"&gt;0")&gt;0,DATE($B$1,8,1)=DATE(YEAR(TODAY()),MONTH(TODAY()),1))),1,0))</f>
        <v/>
      </c>
      <c r="X31">
        <f>IF($A31="","",IF(AND($B31&gt;0,K31&lt;$B31,DATE($B$1,9,1)&lt;=TODAY(),OR($O31="",$O31&gt;=DATE($B$1,9,1)),OR(COUNTIF($C31:K31,"&gt;0")&gt;0,DATE($B$1,9,1)=DATE(YEAR(TODAY()),MONTH(TODAY()),1))),1,0))</f>
        <v/>
      </c>
      <c r="Y31">
        <f>IF($A31="","",IF(AND($B31&gt;0,L31&lt;$B31,DATE($B$1,10,1)&lt;=TODAY(),OR($O31="",$O31&gt;=DATE($B$1,10,1)),OR(COUNTIF($C31:L31,"&gt;0")&gt;0,DATE($B$1,10,1)=DATE(YEAR(TODAY()),MONTH(TODAY()),1))),1,0))</f>
        <v/>
      </c>
      <c r="Z31">
        <f>IF($A31="","",IF(AND($B31&gt;0,M31&lt;$B31,DATE($B$1,11,1)&lt;=TODAY(),OR($O31="",$O31&gt;=DATE($B$1,11,1)),OR(COUNTIF($C31:M31,"&gt;0")&gt;0,DATE($B$1,11,1)=DATE(YEAR(TODAY()),MONTH(TODAY()),1))),1,0))</f>
        <v/>
      </c>
      <c r="AA31">
        <f>IF($A31="","",IF(AND($B31&gt;0,N31&lt;$B31,DATE($B$1,12,1)&lt;=TODAY(),OR($O31="",$O31&gt;=DATE($B$1,12,1)),OR(COUNTIF($C31:N31,"&gt;0")&gt;0,DATE($B$1,12,1)=DATE(YEAR(TODAY()),MONTH(TODAY()),1))),1,0))</f>
        <v/>
      </c>
    </row>
    <row r="32">
      <c r="A32" s="13">
        <f>IF(원생!$A30="","",원생!$A30&amp;IF(원생!$G30="",""," ("&amp;원생!$G30&amp;")"))</f>
        <v/>
      </c>
      <c r="B32" s="8">
        <f>IF(원생!$A30="","",원생!$F30)</f>
        <v/>
      </c>
      <c r="C32" s="14">
        <f>IF(원생!$A30="","",SUMIFS(수납!$F:$F,수납!$C:$C,원생!$A30,수납!$D:$D,IF(원생!$G30="","",원생!$G30),수납!$B:$B,$B$1&amp;"-"&amp;TEXT(1,"00")&amp;"*",수납!$E:$E,"수강료")+SUMIFS(수납!$F:$F,수납!$C:$C,원생!$A30,수납!$D:$D,IF(원생!$G30="","",원생!$G30),수납!$B:$B,$B$1&amp;"-"&amp;TEXT(1,"00")&amp;"*",수납!$E:$E,""))</f>
        <v/>
      </c>
      <c r="D32" s="14">
        <f>IF(원생!$A30="","",SUMIFS(수납!$F:$F,수납!$C:$C,원생!$A30,수납!$D:$D,IF(원생!$G30="","",원생!$G30),수납!$B:$B,$B$1&amp;"-"&amp;TEXT(2,"00")&amp;"*",수납!$E:$E,"수강료")+SUMIFS(수납!$F:$F,수납!$C:$C,원생!$A30,수납!$D:$D,IF(원생!$G30="","",원생!$G30),수납!$B:$B,$B$1&amp;"-"&amp;TEXT(2,"00")&amp;"*",수납!$E:$E,""))</f>
        <v/>
      </c>
      <c r="E32" s="14">
        <f>IF(원생!$A30="","",SUMIFS(수납!$F:$F,수납!$C:$C,원생!$A30,수납!$D:$D,IF(원생!$G30="","",원생!$G30),수납!$B:$B,$B$1&amp;"-"&amp;TEXT(3,"00")&amp;"*",수납!$E:$E,"수강료")+SUMIFS(수납!$F:$F,수납!$C:$C,원생!$A30,수납!$D:$D,IF(원생!$G30="","",원생!$G30),수납!$B:$B,$B$1&amp;"-"&amp;TEXT(3,"00")&amp;"*",수납!$E:$E,""))</f>
        <v/>
      </c>
      <c r="F32" s="14">
        <f>IF(원생!$A30="","",SUMIFS(수납!$F:$F,수납!$C:$C,원생!$A30,수납!$D:$D,IF(원생!$G30="","",원생!$G30),수납!$B:$B,$B$1&amp;"-"&amp;TEXT(4,"00")&amp;"*",수납!$E:$E,"수강료")+SUMIFS(수납!$F:$F,수납!$C:$C,원생!$A30,수납!$D:$D,IF(원생!$G30="","",원생!$G30),수납!$B:$B,$B$1&amp;"-"&amp;TEXT(4,"00")&amp;"*",수납!$E:$E,""))</f>
        <v/>
      </c>
      <c r="G32" s="14">
        <f>IF(원생!$A30="","",SUMIFS(수납!$F:$F,수납!$C:$C,원생!$A30,수납!$D:$D,IF(원생!$G30="","",원생!$G30),수납!$B:$B,$B$1&amp;"-"&amp;TEXT(5,"00")&amp;"*",수납!$E:$E,"수강료")+SUMIFS(수납!$F:$F,수납!$C:$C,원생!$A30,수납!$D:$D,IF(원생!$G30="","",원생!$G30),수납!$B:$B,$B$1&amp;"-"&amp;TEXT(5,"00")&amp;"*",수납!$E:$E,""))</f>
        <v/>
      </c>
      <c r="H32" s="14">
        <f>IF(원생!$A30="","",SUMIFS(수납!$F:$F,수납!$C:$C,원생!$A30,수납!$D:$D,IF(원생!$G30="","",원생!$G30),수납!$B:$B,$B$1&amp;"-"&amp;TEXT(6,"00")&amp;"*",수납!$E:$E,"수강료")+SUMIFS(수납!$F:$F,수납!$C:$C,원생!$A30,수납!$D:$D,IF(원생!$G30="","",원생!$G30),수납!$B:$B,$B$1&amp;"-"&amp;TEXT(6,"00")&amp;"*",수납!$E:$E,""))</f>
        <v/>
      </c>
      <c r="I32" s="14">
        <f>IF(원생!$A30="","",SUMIFS(수납!$F:$F,수납!$C:$C,원생!$A30,수납!$D:$D,IF(원생!$G30="","",원생!$G30),수납!$B:$B,$B$1&amp;"-"&amp;TEXT(7,"00")&amp;"*",수납!$E:$E,"수강료")+SUMIFS(수납!$F:$F,수납!$C:$C,원생!$A30,수납!$D:$D,IF(원생!$G30="","",원생!$G30),수납!$B:$B,$B$1&amp;"-"&amp;TEXT(7,"00")&amp;"*",수납!$E:$E,""))</f>
        <v/>
      </c>
      <c r="J32" s="14">
        <f>IF(원생!$A30="","",SUMIFS(수납!$F:$F,수납!$C:$C,원생!$A30,수납!$D:$D,IF(원생!$G30="","",원생!$G30),수납!$B:$B,$B$1&amp;"-"&amp;TEXT(8,"00")&amp;"*",수납!$E:$E,"수강료")+SUMIFS(수납!$F:$F,수납!$C:$C,원생!$A30,수납!$D:$D,IF(원생!$G30="","",원생!$G30),수납!$B:$B,$B$1&amp;"-"&amp;TEXT(8,"00")&amp;"*",수납!$E:$E,""))</f>
        <v/>
      </c>
      <c r="K32" s="14">
        <f>IF(원생!$A30="","",SUMIFS(수납!$F:$F,수납!$C:$C,원생!$A30,수납!$D:$D,IF(원생!$G30="","",원생!$G30),수납!$B:$B,$B$1&amp;"-"&amp;TEXT(9,"00")&amp;"*",수납!$E:$E,"수강료")+SUMIFS(수납!$F:$F,수납!$C:$C,원생!$A30,수납!$D:$D,IF(원생!$G30="","",원생!$G30),수납!$B:$B,$B$1&amp;"-"&amp;TEXT(9,"00")&amp;"*",수납!$E:$E,""))</f>
        <v/>
      </c>
      <c r="L32" s="14">
        <f>IF(원생!$A30="","",SUMIFS(수납!$F:$F,수납!$C:$C,원생!$A30,수납!$D:$D,IF(원생!$G30="","",원생!$G30),수납!$B:$B,$B$1&amp;"-"&amp;TEXT(10,"00")&amp;"*",수납!$E:$E,"수강료")+SUMIFS(수납!$F:$F,수납!$C:$C,원생!$A30,수납!$D:$D,IF(원생!$G30="","",원생!$G30),수납!$B:$B,$B$1&amp;"-"&amp;TEXT(10,"00")&amp;"*",수납!$E:$E,""))</f>
        <v/>
      </c>
      <c r="M32" s="14">
        <f>IF(원생!$A30="","",SUMIFS(수납!$F:$F,수납!$C:$C,원생!$A30,수납!$D:$D,IF(원생!$G30="","",원생!$G30),수납!$B:$B,$B$1&amp;"-"&amp;TEXT(11,"00")&amp;"*",수납!$E:$E,"수강료")+SUMIFS(수납!$F:$F,수납!$C:$C,원생!$A30,수납!$D:$D,IF(원생!$G30="","",원생!$G30),수납!$B:$B,$B$1&amp;"-"&amp;TEXT(11,"00")&amp;"*",수납!$E:$E,""))</f>
        <v/>
      </c>
      <c r="N32" s="14">
        <f>IF(원생!$A30="","",SUMIFS(수납!$F:$F,수납!$C:$C,원생!$A30,수납!$D:$D,IF(원생!$G30="","",원생!$G30),수납!$B:$B,$B$1&amp;"-"&amp;TEXT(12,"00")&amp;"*",수납!$E:$E,"수강료")+SUMIFS(수납!$F:$F,수납!$C:$C,원생!$A30,수납!$D:$D,IF(원생!$G30="","",원생!$G30),수납!$B:$B,$B$1&amp;"-"&amp;TEXT(12,"00")&amp;"*",수납!$E:$E,""))</f>
        <v/>
      </c>
      <c r="O32">
        <f>IF(원생!$I30="","",원생!$I30)</f>
        <v/>
      </c>
      <c r="P32">
        <f>IF($A32="","",IF(AND($B32&gt;0,C32&lt;$B32,DATE($B$1,1,1)&lt;=TODAY(),OR($O32="",$O32&gt;=DATE($B$1,1,1)),OR(COUNTIF($C32:C32,"&gt;0")&gt;0,DATE($B$1,1,1)=DATE(YEAR(TODAY()),MONTH(TODAY()),1))),1,0))</f>
        <v/>
      </c>
      <c r="Q32">
        <f>IF($A32="","",IF(AND($B32&gt;0,D32&lt;$B32,DATE($B$1,2,1)&lt;=TODAY(),OR($O32="",$O32&gt;=DATE($B$1,2,1)),OR(COUNTIF($C32:D32,"&gt;0")&gt;0,DATE($B$1,2,1)=DATE(YEAR(TODAY()),MONTH(TODAY()),1))),1,0))</f>
        <v/>
      </c>
      <c r="R32">
        <f>IF($A32="","",IF(AND($B32&gt;0,E32&lt;$B32,DATE($B$1,3,1)&lt;=TODAY(),OR($O32="",$O32&gt;=DATE($B$1,3,1)),OR(COUNTIF($C32:E32,"&gt;0")&gt;0,DATE($B$1,3,1)=DATE(YEAR(TODAY()),MONTH(TODAY()),1))),1,0))</f>
        <v/>
      </c>
      <c r="S32">
        <f>IF($A32="","",IF(AND($B32&gt;0,F32&lt;$B32,DATE($B$1,4,1)&lt;=TODAY(),OR($O32="",$O32&gt;=DATE($B$1,4,1)),OR(COUNTIF($C32:F32,"&gt;0")&gt;0,DATE($B$1,4,1)=DATE(YEAR(TODAY()),MONTH(TODAY()),1))),1,0))</f>
        <v/>
      </c>
      <c r="T32">
        <f>IF($A32="","",IF(AND($B32&gt;0,G32&lt;$B32,DATE($B$1,5,1)&lt;=TODAY(),OR($O32="",$O32&gt;=DATE($B$1,5,1)),OR(COUNTIF($C32:G32,"&gt;0")&gt;0,DATE($B$1,5,1)=DATE(YEAR(TODAY()),MONTH(TODAY()),1))),1,0))</f>
        <v/>
      </c>
      <c r="U32">
        <f>IF($A32="","",IF(AND($B32&gt;0,H32&lt;$B32,DATE($B$1,6,1)&lt;=TODAY(),OR($O32="",$O32&gt;=DATE($B$1,6,1)),OR(COUNTIF($C32:H32,"&gt;0")&gt;0,DATE($B$1,6,1)=DATE(YEAR(TODAY()),MONTH(TODAY()),1))),1,0))</f>
        <v/>
      </c>
      <c r="V32">
        <f>IF($A32="","",IF(AND($B32&gt;0,I32&lt;$B32,DATE($B$1,7,1)&lt;=TODAY(),OR($O32="",$O32&gt;=DATE($B$1,7,1)),OR(COUNTIF($C32:I32,"&gt;0")&gt;0,DATE($B$1,7,1)=DATE(YEAR(TODAY()),MONTH(TODAY()),1))),1,0))</f>
        <v/>
      </c>
      <c r="W32">
        <f>IF($A32="","",IF(AND($B32&gt;0,J32&lt;$B32,DATE($B$1,8,1)&lt;=TODAY(),OR($O32="",$O32&gt;=DATE($B$1,8,1)),OR(COUNTIF($C32:J32,"&gt;0")&gt;0,DATE($B$1,8,1)=DATE(YEAR(TODAY()),MONTH(TODAY()),1))),1,0))</f>
        <v/>
      </c>
      <c r="X32">
        <f>IF($A32="","",IF(AND($B32&gt;0,K32&lt;$B32,DATE($B$1,9,1)&lt;=TODAY(),OR($O32="",$O32&gt;=DATE($B$1,9,1)),OR(COUNTIF($C32:K32,"&gt;0")&gt;0,DATE($B$1,9,1)=DATE(YEAR(TODAY()),MONTH(TODAY()),1))),1,0))</f>
        <v/>
      </c>
      <c r="Y32">
        <f>IF($A32="","",IF(AND($B32&gt;0,L32&lt;$B32,DATE($B$1,10,1)&lt;=TODAY(),OR($O32="",$O32&gt;=DATE($B$1,10,1)),OR(COUNTIF($C32:L32,"&gt;0")&gt;0,DATE($B$1,10,1)=DATE(YEAR(TODAY()),MONTH(TODAY()),1))),1,0))</f>
        <v/>
      </c>
      <c r="Z32">
        <f>IF($A32="","",IF(AND($B32&gt;0,M32&lt;$B32,DATE($B$1,11,1)&lt;=TODAY(),OR($O32="",$O32&gt;=DATE($B$1,11,1)),OR(COUNTIF($C32:M32,"&gt;0")&gt;0,DATE($B$1,11,1)=DATE(YEAR(TODAY()),MONTH(TODAY()),1))),1,0))</f>
        <v/>
      </c>
      <c r="AA32">
        <f>IF($A32="","",IF(AND($B32&gt;0,N32&lt;$B32,DATE($B$1,12,1)&lt;=TODAY(),OR($O32="",$O32&gt;=DATE($B$1,12,1)),OR(COUNTIF($C32:N32,"&gt;0")&gt;0,DATE($B$1,12,1)=DATE(YEAR(TODAY()),MONTH(TODAY()),1))),1,0))</f>
        <v/>
      </c>
    </row>
    <row r="33">
      <c r="A33" s="13">
        <f>IF(원생!$A31="","",원생!$A31&amp;IF(원생!$G31="",""," ("&amp;원생!$G31&amp;")"))</f>
        <v/>
      </c>
      <c r="B33" s="8">
        <f>IF(원생!$A31="","",원생!$F31)</f>
        <v/>
      </c>
      <c r="C33" s="14">
        <f>IF(원생!$A31="","",SUMIFS(수납!$F:$F,수납!$C:$C,원생!$A31,수납!$D:$D,IF(원생!$G31="","",원생!$G31),수납!$B:$B,$B$1&amp;"-"&amp;TEXT(1,"00")&amp;"*",수납!$E:$E,"수강료")+SUMIFS(수납!$F:$F,수납!$C:$C,원생!$A31,수납!$D:$D,IF(원생!$G31="","",원생!$G31),수납!$B:$B,$B$1&amp;"-"&amp;TEXT(1,"00")&amp;"*",수납!$E:$E,""))</f>
        <v/>
      </c>
      <c r="D33" s="14">
        <f>IF(원생!$A31="","",SUMIFS(수납!$F:$F,수납!$C:$C,원생!$A31,수납!$D:$D,IF(원생!$G31="","",원생!$G31),수납!$B:$B,$B$1&amp;"-"&amp;TEXT(2,"00")&amp;"*",수납!$E:$E,"수강료")+SUMIFS(수납!$F:$F,수납!$C:$C,원생!$A31,수납!$D:$D,IF(원생!$G31="","",원생!$G31),수납!$B:$B,$B$1&amp;"-"&amp;TEXT(2,"00")&amp;"*",수납!$E:$E,""))</f>
        <v/>
      </c>
      <c r="E33" s="14">
        <f>IF(원생!$A31="","",SUMIFS(수납!$F:$F,수납!$C:$C,원생!$A31,수납!$D:$D,IF(원생!$G31="","",원생!$G31),수납!$B:$B,$B$1&amp;"-"&amp;TEXT(3,"00")&amp;"*",수납!$E:$E,"수강료")+SUMIFS(수납!$F:$F,수납!$C:$C,원생!$A31,수납!$D:$D,IF(원생!$G31="","",원생!$G31),수납!$B:$B,$B$1&amp;"-"&amp;TEXT(3,"00")&amp;"*",수납!$E:$E,""))</f>
        <v/>
      </c>
      <c r="F33" s="14">
        <f>IF(원생!$A31="","",SUMIFS(수납!$F:$F,수납!$C:$C,원생!$A31,수납!$D:$D,IF(원생!$G31="","",원생!$G31),수납!$B:$B,$B$1&amp;"-"&amp;TEXT(4,"00")&amp;"*",수납!$E:$E,"수강료")+SUMIFS(수납!$F:$F,수납!$C:$C,원생!$A31,수납!$D:$D,IF(원생!$G31="","",원생!$G31),수납!$B:$B,$B$1&amp;"-"&amp;TEXT(4,"00")&amp;"*",수납!$E:$E,""))</f>
        <v/>
      </c>
      <c r="G33" s="14">
        <f>IF(원생!$A31="","",SUMIFS(수납!$F:$F,수납!$C:$C,원생!$A31,수납!$D:$D,IF(원생!$G31="","",원생!$G31),수납!$B:$B,$B$1&amp;"-"&amp;TEXT(5,"00")&amp;"*",수납!$E:$E,"수강료")+SUMIFS(수납!$F:$F,수납!$C:$C,원생!$A31,수납!$D:$D,IF(원생!$G31="","",원생!$G31),수납!$B:$B,$B$1&amp;"-"&amp;TEXT(5,"00")&amp;"*",수납!$E:$E,""))</f>
        <v/>
      </c>
      <c r="H33" s="14">
        <f>IF(원생!$A31="","",SUMIFS(수납!$F:$F,수납!$C:$C,원생!$A31,수납!$D:$D,IF(원생!$G31="","",원생!$G31),수납!$B:$B,$B$1&amp;"-"&amp;TEXT(6,"00")&amp;"*",수납!$E:$E,"수강료")+SUMIFS(수납!$F:$F,수납!$C:$C,원생!$A31,수납!$D:$D,IF(원생!$G31="","",원생!$G31),수납!$B:$B,$B$1&amp;"-"&amp;TEXT(6,"00")&amp;"*",수납!$E:$E,""))</f>
        <v/>
      </c>
      <c r="I33" s="14">
        <f>IF(원생!$A31="","",SUMIFS(수납!$F:$F,수납!$C:$C,원생!$A31,수납!$D:$D,IF(원생!$G31="","",원생!$G31),수납!$B:$B,$B$1&amp;"-"&amp;TEXT(7,"00")&amp;"*",수납!$E:$E,"수강료")+SUMIFS(수납!$F:$F,수납!$C:$C,원생!$A31,수납!$D:$D,IF(원생!$G31="","",원생!$G31),수납!$B:$B,$B$1&amp;"-"&amp;TEXT(7,"00")&amp;"*",수납!$E:$E,""))</f>
        <v/>
      </c>
      <c r="J33" s="14">
        <f>IF(원생!$A31="","",SUMIFS(수납!$F:$F,수납!$C:$C,원생!$A31,수납!$D:$D,IF(원생!$G31="","",원생!$G31),수납!$B:$B,$B$1&amp;"-"&amp;TEXT(8,"00")&amp;"*",수납!$E:$E,"수강료")+SUMIFS(수납!$F:$F,수납!$C:$C,원생!$A31,수납!$D:$D,IF(원생!$G31="","",원생!$G31),수납!$B:$B,$B$1&amp;"-"&amp;TEXT(8,"00")&amp;"*",수납!$E:$E,""))</f>
        <v/>
      </c>
      <c r="K33" s="14">
        <f>IF(원생!$A31="","",SUMIFS(수납!$F:$F,수납!$C:$C,원생!$A31,수납!$D:$D,IF(원생!$G31="","",원생!$G31),수납!$B:$B,$B$1&amp;"-"&amp;TEXT(9,"00")&amp;"*",수납!$E:$E,"수강료")+SUMIFS(수납!$F:$F,수납!$C:$C,원생!$A31,수납!$D:$D,IF(원생!$G31="","",원생!$G31),수납!$B:$B,$B$1&amp;"-"&amp;TEXT(9,"00")&amp;"*",수납!$E:$E,""))</f>
        <v/>
      </c>
      <c r="L33" s="14">
        <f>IF(원생!$A31="","",SUMIFS(수납!$F:$F,수납!$C:$C,원생!$A31,수납!$D:$D,IF(원생!$G31="","",원생!$G31),수납!$B:$B,$B$1&amp;"-"&amp;TEXT(10,"00")&amp;"*",수납!$E:$E,"수강료")+SUMIFS(수납!$F:$F,수납!$C:$C,원생!$A31,수납!$D:$D,IF(원생!$G31="","",원생!$G31),수납!$B:$B,$B$1&amp;"-"&amp;TEXT(10,"00")&amp;"*",수납!$E:$E,""))</f>
        <v/>
      </c>
      <c r="M33" s="14">
        <f>IF(원생!$A31="","",SUMIFS(수납!$F:$F,수납!$C:$C,원생!$A31,수납!$D:$D,IF(원생!$G31="","",원생!$G31),수납!$B:$B,$B$1&amp;"-"&amp;TEXT(11,"00")&amp;"*",수납!$E:$E,"수강료")+SUMIFS(수납!$F:$F,수납!$C:$C,원생!$A31,수납!$D:$D,IF(원생!$G31="","",원생!$G31),수납!$B:$B,$B$1&amp;"-"&amp;TEXT(11,"00")&amp;"*",수납!$E:$E,""))</f>
        <v/>
      </c>
      <c r="N33" s="14">
        <f>IF(원생!$A31="","",SUMIFS(수납!$F:$F,수납!$C:$C,원생!$A31,수납!$D:$D,IF(원생!$G31="","",원생!$G31),수납!$B:$B,$B$1&amp;"-"&amp;TEXT(12,"00")&amp;"*",수납!$E:$E,"수강료")+SUMIFS(수납!$F:$F,수납!$C:$C,원생!$A31,수납!$D:$D,IF(원생!$G31="","",원생!$G31),수납!$B:$B,$B$1&amp;"-"&amp;TEXT(12,"00")&amp;"*",수납!$E:$E,""))</f>
        <v/>
      </c>
      <c r="O33">
        <f>IF(원생!$I31="","",원생!$I31)</f>
        <v/>
      </c>
      <c r="P33">
        <f>IF($A33="","",IF(AND($B33&gt;0,C33&lt;$B33,DATE($B$1,1,1)&lt;=TODAY(),OR($O33="",$O33&gt;=DATE($B$1,1,1)),OR(COUNTIF($C33:C33,"&gt;0")&gt;0,DATE($B$1,1,1)=DATE(YEAR(TODAY()),MONTH(TODAY()),1))),1,0))</f>
        <v/>
      </c>
      <c r="Q33">
        <f>IF($A33="","",IF(AND($B33&gt;0,D33&lt;$B33,DATE($B$1,2,1)&lt;=TODAY(),OR($O33="",$O33&gt;=DATE($B$1,2,1)),OR(COUNTIF($C33:D33,"&gt;0")&gt;0,DATE($B$1,2,1)=DATE(YEAR(TODAY()),MONTH(TODAY()),1))),1,0))</f>
        <v/>
      </c>
      <c r="R33">
        <f>IF($A33="","",IF(AND($B33&gt;0,E33&lt;$B33,DATE($B$1,3,1)&lt;=TODAY(),OR($O33="",$O33&gt;=DATE($B$1,3,1)),OR(COUNTIF($C33:E33,"&gt;0")&gt;0,DATE($B$1,3,1)=DATE(YEAR(TODAY()),MONTH(TODAY()),1))),1,0))</f>
        <v/>
      </c>
      <c r="S33">
        <f>IF($A33="","",IF(AND($B33&gt;0,F33&lt;$B33,DATE($B$1,4,1)&lt;=TODAY(),OR($O33="",$O33&gt;=DATE($B$1,4,1)),OR(COUNTIF($C33:F33,"&gt;0")&gt;0,DATE($B$1,4,1)=DATE(YEAR(TODAY()),MONTH(TODAY()),1))),1,0))</f>
        <v/>
      </c>
      <c r="T33">
        <f>IF($A33="","",IF(AND($B33&gt;0,G33&lt;$B33,DATE($B$1,5,1)&lt;=TODAY(),OR($O33="",$O33&gt;=DATE($B$1,5,1)),OR(COUNTIF($C33:G33,"&gt;0")&gt;0,DATE($B$1,5,1)=DATE(YEAR(TODAY()),MONTH(TODAY()),1))),1,0))</f>
        <v/>
      </c>
      <c r="U33">
        <f>IF($A33="","",IF(AND($B33&gt;0,H33&lt;$B33,DATE($B$1,6,1)&lt;=TODAY(),OR($O33="",$O33&gt;=DATE($B$1,6,1)),OR(COUNTIF($C33:H33,"&gt;0")&gt;0,DATE($B$1,6,1)=DATE(YEAR(TODAY()),MONTH(TODAY()),1))),1,0))</f>
        <v/>
      </c>
      <c r="V33">
        <f>IF($A33="","",IF(AND($B33&gt;0,I33&lt;$B33,DATE($B$1,7,1)&lt;=TODAY(),OR($O33="",$O33&gt;=DATE($B$1,7,1)),OR(COUNTIF($C33:I33,"&gt;0")&gt;0,DATE($B$1,7,1)=DATE(YEAR(TODAY()),MONTH(TODAY()),1))),1,0))</f>
        <v/>
      </c>
      <c r="W33">
        <f>IF($A33="","",IF(AND($B33&gt;0,J33&lt;$B33,DATE($B$1,8,1)&lt;=TODAY(),OR($O33="",$O33&gt;=DATE($B$1,8,1)),OR(COUNTIF($C33:J33,"&gt;0")&gt;0,DATE($B$1,8,1)=DATE(YEAR(TODAY()),MONTH(TODAY()),1))),1,0))</f>
        <v/>
      </c>
      <c r="X33">
        <f>IF($A33="","",IF(AND($B33&gt;0,K33&lt;$B33,DATE($B$1,9,1)&lt;=TODAY(),OR($O33="",$O33&gt;=DATE($B$1,9,1)),OR(COUNTIF($C33:K33,"&gt;0")&gt;0,DATE($B$1,9,1)=DATE(YEAR(TODAY()),MONTH(TODAY()),1))),1,0))</f>
        <v/>
      </c>
      <c r="Y33">
        <f>IF($A33="","",IF(AND($B33&gt;0,L33&lt;$B33,DATE($B$1,10,1)&lt;=TODAY(),OR($O33="",$O33&gt;=DATE($B$1,10,1)),OR(COUNTIF($C33:L33,"&gt;0")&gt;0,DATE($B$1,10,1)=DATE(YEAR(TODAY()),MONTH(TODAY()),1))),1,0))</f>
        <v/>
      </c>
      <c r="Z33">
        <f>IF($A33="","",IF(AND($B33&gt;0,M33&lt;$B33,DATE($B$1,11,1)&lt;=TODAY(),OR($O33="",$O33&gt;=DATE($B$1,11,1)),OR(COUNTIF($C33:M33,"&gt;0")&gt;0,DATE($B$1,11,1)=DATE(YEAR(TODAY()),MONTH(TODAY()),1))),1,0))</f>
        <v/>
      </c>
      <c r="AA33">
        <f>IF($A33="","",IF(AND($B33&gt;0,N33&lt;$B33,DATE($B$1,12,1)&lt;=TODAY(),OR($O33="",$O33&gt;=DATE($B$1,12,1)),OR(COUNTIF($C33:N33,"&gt;0")&gt;0,DATE($B$1,12,1)=DATE(YEAR(TODAY()),MONTH(TODAY()),1))),1,0))</f>
        <v/>
      </c>
    </row>
    <row r="34">
      <c r="A34" s="13">
        <f>IF(원생!$A32="","",원생!$A32&amp;IF(원생!$G32="",""," ("&amp;원생!$G32&amp;")"))</f>
        <v/>
      </c>
      <c r="B34" s="8">
        <f>IF(원생!$A32="","",원생!$F32)</f>
        <v/>
      </c>
      <c r="C34" s="14">
        <f>IF(원생!$A32="","",SUMIFS(수납!$F:$F,수납!$C:$C,원생!$A32,수납!$D:$D,IF(원생!$G32="","",원생!$G32),수납!$B:$B,$B$1&amp;"-"&amp;TEXT(1,"00")&amp;"*",수납!$E:$E,"수강료")+SUMIFS(수납!$F:$F,수납!$C:$C,원생!$A32,수납!$D:$D,IF(원생!$G32="","",원생!$G32),수납!$B:$B,$B$1&amp;"-"&amp;TEXT(1,"00")&amp;"*",수납!$E:$E,""))</f>
        <v/>
      </c>
      <c r="D34" s="14">
        <f>IF(원생!$A32="","",SUMIFS(수납!$F:$F,수납!$C:$C,원생!$A32,수납!$D:$D,IF(원생!$G32="","",원생!$G32),수납!$B:$B,$B$1&amp;"-"&amp;TEXT(2,"00")&amp;"*",수납!$E:$E,"수강료")+SUMIFS(수납!$F:$F,수납!$C:$C,원생!$A32,수납!$D:$D,IF(원생!$G32="","",원생!$G32),수납!$B:$B,$B$1&amp;"-"&amp;TEXT(2,"00")&amp;"*",수납!$E:$E,""))</f>
        <v/>
      </c>
      <c r="E34" s="14">
        <f>IF(원생!$A32="","",SUMIFS(수납!$F:$F,수납!$C:$C,원생!$A32,수납!$D:$D,IF(원생!$G32="","",원생!$G32),수납!$B:$B,$B$1&amp;"-"&amp;TEXT(3,"00")&amp;"*",수납!$E:$E,"수강료")+SUMIFS(수납!$F:$F,수납!$C:$C,원생!$A32,수납!$D:$D,IF(원생!$G32="","",원생!$G32),수납!$B:$B,$B$1&amp;"-"&amp;TEXT(3,"00")&amp;"*",수납!$E:$E,""))</f>
        <v/>
      </c>
      <c r="F34" s="14">
        <f>IF(원생!$A32="","",SUMIFS(수납!$F:$F,수납!$C:$C,원생!$A32,수납!$D:$D,IF(원생!$G32="","",원생!$G32),수납!$B:$B,$B$1&amp;"-"&amp;TEXT(4,"00")&amp;"*",수납!$E:$E,"수강료")+SUMIFS(수납!$F:$F,수납!$C:$C,원생!$A32,수납!$D:$D,IF(원생!$G32="","",원생!$G32),수납!$B:$B,$B$1&amp;"-"&amp;TEXT(4,"00")&amp;"*",수납!$E:$E,""))</f>
        <v/>
      </c>
      <c r="G34" s="14">
        <f>IF(원생!$A32="","",SUMIFS(수납!$F:$F,수납!$C:$C,원생!$A32,수납!$D:$D,IF(원생!$G32="","",원생!$G32),수납!$B:$B,$B$1&amp;"-"&amp;TEXT(5,"00")&amp;"*",수납!$E:$E,"수강료")+SUMIFS(수납!$F:$F,수납!$C:$C,원생!$A32,수납!$D:$D,IF(원생!$G32="","",원생!$G32),수납!$B:$B,$B$1&amp;"-"&amp;TEXT(5,"00")&amp;"*",수납!$E:$E,""))</f>
        <v/>
      </c>
      <c r="H34" s="14">
        <f>IF(원생!$A32="","",SUMIFS(수납!$F:$F,수납!$C:$C,원생!$A32,수납!$D:$D,IF(원생!$G32="","",원생!$G32),수납!$B:$B,$B$1&amp;"-"&amp;TEXT(6,"00")&amp;"*",수납!$E:$E,"수강료")+SUMIFS(수납!$F:$F,수납!$C:$C,원생!$A32,수납!$D:$D,IF(원생!$G32="","",원생!$G32),수납!$B:$B,$B$1&amp;"-"&amp;TEXT(6,"00")&amp;"*",수납!$E:$E,""))</f>
        <v/>
      </c>
      <c r="I34" s="14">
        <f>IF(원생!$A32="","",SUMIFS(수납!$F:$F,수납!$C:$C,원생!$A32,수납!$D:$D,IF(원생!$G32="","",원생!$G32),수납!$B:$B,$B$1&amp;"-"&amp;TEXT(7,"00")&amp;"*",수납!$E:$E,"수강료")+SUMIFS(수납!$F:$F,수납!$C:$C,원생!$A32,수납!$D:$D,IF(원생!$G32="","",원생!$G32),수납!$B:$B,$B$1&amp;"-"&amp;TEXT(7,"00")&amp;"*",수납!$E:$E,""))</f>
        <v/>
      </c>
      <c r="J34" s="14">
        <f>IF(원생!$A32="","",SUMIFS(수납!$F:$F,수납!$C:$C,원생!$A32,수납!$D:$D,IF(원생!$G32="","",원생!$G32),수납!$B:$B,$B$1&amp;"-"&amp;TEXT(8,"00")&amp;"*",수납!$E:$E,"수강료")+SUMIFS(수납!$F:$F,수납!$C:$C,원생!$A32,수납!$D:$D,IF(원생!$G32="","",원생!$G32),수납!$B:$B,$B$1&amp;"-"&amp;TEXT(8,"00")&amp;"*",수납!$E:$E,""))</f>
        <v/>
      </c>
      <c r="K34" s="14">
        <f>IF(원생!$A32="","",SUMIFS(수납!$F:$F,수납!$C:$C,원생!$A32,수납!$D:$D,IF(원생!$G32="","",원생!$G32),수납!$B:$B,$B$1&amp;"-"&amp;TEXT(9,"00")&amp;"*",수납!$E:$E,"수강료")+SUMIFS(수납!$F:$F,수납!$C:$C,원생!$A32,수납!$D:$D,IF(원생!$G32="","",원생!$G32),수납!$B:$B,$B$1&amp;"-"&amp;TEXT(9,"00")&amp;"*",수납!$E:$E,""))</f>
        <v/>
      </c>
      <c r="L34" s="14">
        <f>IF(원생!$A32="","",SUMIFS(수납!$F:$F,수납!$C:$C,원생!$A32,수납!$D:$D,IF(원생!$G32="","",원생!$G32),수납!$B:$B,$B$1&amp;"-"&amp;TEXT(10,"00")&amp;"*",수납!$E:$E,"수강료")+SUMIFS(수납!$F:$F,수납!$C:$C,원생!$A32,수납!$D:$D,IF(원생!$G32="","",원생!$G32),수납!$B:$B,$B$1&amp;"-"&amp;TEXT(10,"00")&amp;"*",수납!$E:$E,""))</f>
        <v/>
      </c>
      <c r="M34" s="14">
        <f>IF(원생!$A32="","",SUMIFS(수납!$F:$F,수납!$C:$C,원생!$A32,수납!$D:$D,IF(원생!$G32="","",원생!$G32),수납!$B:$B,$B$1&amp;"-"&amp;TEXT(11,"00")&amp;"*",수납!$E:$E,"수강료")+SUMIFS(수납!$F:$F,수납!$C:$C,원생!$A32,수납!$D:$D,IF(원생!$G32="","",원생!$G32),수납!$B:$B,$B$1&amp;"-"&amp;TEXT(11,"00")&amp;"*",수납!$E:$E,""))</f>
        <v/>
      </c>
      <c r="N34" s="14">
        <f>IF(원생!$A32="","",SUMIFS(수납!$F:$F,수납!$C:$C,원생!$A32,수납!$D:$D,IF(원생!$G32="","",원생!$G32),수납!$B:$B,$B$1&amp;"-"&amp;TEXT(12,"00")&amp;"*",수납!$E:$E,"수강료")+SUMIFS(수납!$F:$F,수납!$C:$C,원생!$A32,수납!$D:$D,IF(원생!$G32="","",원생!$G32),수납!$B:$B,$B$1&amp;"-"&amp;TEXT(12,"00")&amp;"*",수납!$E:$E,""))</f>
        <v/>
      </c>
      <c r="O34">
        <f>IF(원생!$I32="","",원생!$I32)</f>
        <v/>
      </c>
      <c r="P34">
        <f>IF($A34="","",IF(AND($B34&gt;0,C34&lt;$B34,DATE($B$1,1,1)&lt;=TODAY(),OR($O34="",$O34&gt;=DATE($B$1,1,1)),OR(COUNTIF($C34:C34,"&gt;0")&gt;0,DATE($B$1,1,1)=DATE(YEAR(TODAY()),MONTH(TODAY()),1))),1,0))</f>
        <v/>
      </c>
      <c r="Q34">
        <f>IF($A34="","",IF(AND($B34&gt;0,D34&lt;$B34,DATE($B$1,2,1)&lt;=TODAY(),OR($O34="",$O34&gt;=DATE($B$1,2,1)),OR(COUNTIF($C34:D34,"&gt;0")&gt;0,DATE($B$1,2,1)=DATE(YEAR(TODAY()),MONTH(TODAY()),1))),1,0))</f>
        <v/>
      </c>
      <c r="R34">
        <f>IF($A34="","",IF(AND($B34&gt;0,E34&lt;$B34,DATE($B$1,3,1)&lt;=TODAY(),OR($O34="",$O34&gt;=DATE($B$1,3,1)),OR(COUNTIF($C34:E34,"&gt;0")&gt;0,DATE($B$1,3,1)=DATE(YEAR(TODAY()),MONTH(TODAY()),1))),1,0))</f>
        <v/>
      </c>
      <c r="S34">
        <f>IF($A34="","",IF(AND($B34&gt;0,F34&lt;$B34,DATE($B$1,4,1)&lt;=TODAY(),OR($O34="",$O34&gt;=DATE($B$1,4,1)),OR(COUNTIF($C34:F34,"&gt;0")&gt;0,DATE($B$1,4,1)=DATE(YEAR(TODAY()),MONTH(TODAY()),1))),1,0))</f>
        <v/>
      </c>
      <c r="T34">
        <f>IF($A34="","",IF(AND($B34&gt;0,G34&lt;$B34,DATE($B$1,5,1)&lt;=TODAY(),OR($O34="",$O34&gt;=DATE($B$1,5,1)),OR(COUNTIF($C34:G34,"&gt;0")&gt;0,DATE($B$1,5,1)=DATE(YEAR(TODAY()),MONTH(TODAY()),1))),1,0))</f>
        <v/>
      </c>
      <c r="U34">
        <f>IF($A34="","",IF(AND($B34&gt;0,H34&lt;$B34,DATE($B$1,6,1)&lt;=TODAY(),OR($O34="",$O34&gt;=DATE($B$1,6,1)),OR(COUNTIF($C34:H34,"&gt;0")&gt;0,DATE($B$1,6,1)=DATE(YEAR(TODAY()),MONTH(TODAY()),1))),1,0))</f>
        <v/>
      </c>
      <c r="V34">
        <f>IF($A34="","",IF(AND($B34&gt;0,I34&lt;$B34,DATE($B$1,7,1)&lt;=TODAY(),OR($O34="",$O34&gt;=DATE($B$1,7,1)),OR(COUNTIF($C34:I34,"&gt;0")&gt;0,DATE($B$1,7,1)=DATE(YEAR(TODAY()),MONTH(TODAY()),1))),1,0))</f>
        <v/>
      </c>
      <c r="W34">
        <f>IF($A34="","",IF(AND($B34&gt;0,J34&lt;$B34,DATE($B$1,8,1)&lt;=TODAY(),OR($O34="",$O34&gt;=DATE($B$1,8,1)),OR(COUNTIF($C34:J34,"&gt;0")&gt;0,DATE($B$1,8,1)=DATE(YEAR(TODAY()),MONTH(TODAY()),1))),1,0))</f>
        <v/>
      </c>
      <c r="X34">
        <f>IF($A34="","",IF(AND($B34&gt;0,K34&lt;$B34,DATE($B$1,9,1)&lt;=TODAY(),OR($O34="",$O34&gt;=DATE($B$1,9,1)),OR(COUNTIF($C34:K34,"&gt;0")&gt;0,DATE($B$1,9,1)=DATE(YEAR(TODAY()),MONTH(TODAY()),1))),1,0))</f>
        <v/>
      </c>
      <c r="Y34">
        <f>IF($A34="","",IF(AND($B34&gt;0,L34&lt;$B34,DATE($B$1,10,1)&lt;=TODAY(),OR($O34="",$O34&gt;=DATE($B$1,10,1)),OR(COUNTIF($C34:L34,"&gt;0")&gt;0,DATE($B$1,10,1)=DATE(YEAR(TODAY()),MONTH(TODAY()),1))),1,0))</f>
        <v/>
      </c>
      <c r="Z34">
        <f>IF($A34="","",IF(AND($B34&gt;0,M34&lt;$B34,DATE($B$1,11,1)&lt;=TODAY(),OR($O34="",$O34&gt;=DATE($B$1,11,1)),OR(COUNTIF($C34:M34,"&gt;0")&gt;0,DATE($B$1,11,1)=DATE(YEAR(TODAY()),MONTH(TODAY()),1))),1,0))</f>
        <v/>
      </c>
      <c r="AA34">
        <f>IF($A34="","",IF(AND($B34&gt;0,N34&lt;$B34,DATE($B$1,12,1)&lt;=TODAY(),OR($O34="",$O34&gt;=DATE($B$1,12,1)),OR(COUNTIF($C34:N34,"&gt;0")&gt;0,DATE($B$1,12,1)=DATE(YEAR(TODAY()),MONTH(TODAY()),1))),1,0))</f>
        <v/>
      </c>
    </row>
    <row r="35">
      <c r="A35" s="13">
        <f>IF(원생!$A33="","",원생!$A33&amp;IF(원생!$G33="",""," ("&amp;원생!$G33&amp;")"))</f>
        <v/>
      </c>
      <c r="B35" s="8">
        <f>IF(원생!$A33="","",원생!$F33)</f>
        <v/>
      </c>
      <c r="C35" s="14">
        <f>IF(원생!$A33="","",SUMIFS(수납!$F:$F,수납!$C:$C,원생!$A33,수납!$D:$D,IF(원생!$G33="","",원생!$G33),수납!$B:$B,$B$1&amp;"-"&amp;TEXT(1,"00")&amp;"*",수납!$E:$E,"수강료")+SUMIFS(수납!$F:$F,수납!$C:$C,원생!$A33,수납!$D:$D,IF(원생!$G33="","",원생!$G33),수납!$B:$B,$B$1&amp;"-"&amp;TEXT(1,"00")&amp;"*",수납!$E:$E,""))</f>
        <v/>
      </c>
      <c r="D35" s="14">
        <f>IF(원생!$A33="","",SUMIFS(수납!$F:$F,수납!$C:$C,원생!$A33,수납!$D:$D,IF(원생!$G33="","",원생!$G33),수납!$B:$B,$B$1&amp;"-"&amp;TEXT(2,"00")&amp;"*",수납!$E:$E,"수강료")+SUMIFS(수납!$F:$F,수납!$C:$C,원생!$A33,수납!$D:$D,IF(원생!$G33="","",원생!$G33),수납!$B:$B,$B$1&amp;"-"&amp;TEXT(2,"00")&amp;"*",수납!$E:$E,""))</f>
        <v/>
      </c>
      <c r="E35" s="14">
        <f>IF(원생!$A33="","",SUMIFS(수납!$F:$F,수납!$C:$C,원생!$A33,수납!$D:$D,IF(원생!$G33="","",원생!$G33),수납!$B:$B,$B$1&amp;"-"&amp;TEXT(3,"00")&amp;"*",수납!$E:$E,"수강료")+SUMIFS(수납!$F:$F,수납!$C:$C,원생!$A33,수납!$D:$D,IF(원생!$G33="","",원생!$G33),수납!$B:$B,$B$1&amp;"-"&amp;TEXT(3,"00")&amp;"*",수납!$E:$E,""))</f>
        <v/>
      </c>
      <c r="F35" s="14">
        <f>IF(원생!$A33="","",SUMIFS(수납!$F:$F,수납!$C:$C,원생!$A33,수납!$D:$D,IF(원생!$G33="","",원생!$G33),수납!$B:$B,$B$1&amp;"-"&amp;TEXT(4,"00")&amp;"*",수납!$E:$E,"수강료")+SUMIFS(수납!$F:$F,수납!$C:$C,원생!$A33,수납!$D:$D,IF(원생!$G33="","",원생!$G33),수납!$B:$B,$B$1&amp;"-"&amp;TEXT(4,"00")&amp;"*",수납!$E:$E,""))</f>
        <v/>
      </c>
      <c r="G35" s="14">
        <f>IF(원생!$A33="","",SUMIFS(수납!$F:$F,수납!$C:$C,원생!$A33,수납!$D:$D,IF(원생!$G33="","",원생!$G33),수납!$B:$B,$B$1&amp;"-"&amp;TEXT(5,"00")&amp;"*",수납!$E:$E,"수강료")+SUMIFS(수납!$F:$F,수납!$C:$C,원생!$A33,수납!$D:$D,IF(원생!$G33="","",원생!$G33),수납!$B:$B,$B$1&amp;"-"&amp;TEXT(5,"00")&amp;"*",수납!$E:$E,""))</f>
        <v/>
      </c>
      <c r="H35" s="14">
        <f>IF(원생!$A33="","",SUMIFS(수납!$F:$F,수납!$C:$C,원생!$A33,수납!$D:$D,IF(원생!$G33="","",원생!$G33),수납!$B:$B,$B$1&amp;"-"&amp;TEXT(6,"00")&amp;"*",수납!$E:$E,"수강료")+SUMIFS(수납!$F:$F,수납!$C:$C,원생!$A33,수납!$D:$D,IF(원생!$G33="","",원생!$G33),수납!$B:$B,$B$1&amp;"-"&amp;TEXT(6,"00")&amp;"*",수납!$E:$E,""))</f>
        <v/>
      </c>
      <c r="I35" s="14">
        <f>IF(원생!$A33="","",SUMIFS(수납!$F:$F,수납!$C:$C,원생!$A33,수납!$D:$D,IF(원생!$G33="","",원생!$G33),수납!$B:$B,$B$1&amp;"-"&amp;TEXT(7,"00")&amp;"*",수납!$E:$E,"수강료")+SUMIFS(수납!$F:$F,수납!$C:$C,원생!$A33,수납!$D:$D,IF(원생!$G33="","",원생!$G33),수납!$B:$B,$B$1&amp;"-"&amp;TEXT(7,"00")&amp;"*",수납!$E:$E,""))</f>
        <v/>
      </c>
      <c r="J35" s="14">
        <f>IF(원생!$A33="","",SUMIFS(수납!$F:$F,수납!$C:$C,원생!$A33,수납!$D:$D,IF(원생!$G33="","",원생!$G33),수납!$B:$B,$B$1&amp;"-"&amp;TEXT(8,"00")&amp;"*",수납!$E:$E,"수강료")+SUMIFS(수납!$F:$F,수납!$C:$C,원생!$A33,수납!$D:$D,IF(원생!$G33="","",원생!$G33),수납!$B:$B,$B$1&amp;"-"&amp;TEXT(8,"00")&amp;"*",수납!$E:$E,""))</f>
        <v/>
      </c>
      <c r="K35" s="14">
        <f>IF(원생!$A33="","",SUMIFS(수납!$F:$F,수납!$C:$C,원생!$A33,수납!$D:$D,IF(원생!$G33="","",원생!$G33),수납!$B:$B,$B$1&amp;"-"&amp;TEXT(9,"00")&amp;"*",수납!$E:$E,"수강료")+SUMIFS(수납!$F:$F,수납!$C:$C,원생!$A33,수납!$D:$D,IF(원생!$G33="","",원생!$G33),수납!$B:$B,$B$1&amp;"-"&amp;TEXT(9,"00")&amp;"*",수납!$E:$E,""))</f>
        <v/>
      </c>
      <c r="L35" s="14">
        <f>IF(원생!$A33="","",SUMIFS(수납!$F:$F,수납!$C:$C,원생!$A33,수납!$D:$D,IF(원생!$G33="","",원생!$G33),수납!$B:$B,$B$1&amp;"-"&amp;TEXT(10,"00")&amp;"*",수납!$E:$E,"수강료")+SUMIFS(수납!$F:$F,수납!$C:$C,원생!$A33,수납!$D:$D,IF(원생!$G33="","",원생!$G33),수납!$B:$B,$B$1&amp;"-"&amp;TEXT(10,"00")&amp;"*",수납!$E:$E,""))</f>
        <v/>
      </c>
      <c r="M35" s="14">
        <f>IF(원생!$A33="","",SUMIFS(수납!$F:$F,수납!$C:$C,원생!$A33,수납!$D:$D,IF(원생!$G33="","",원생!$G33),수납!$B:$B,$B$1&amp;"-"&amp;TEXT(11,"00")&amp;"*",수납!$E:$E,"수강료")+SUMIFS(수납!$F:$F,수납!$C:$C,원생!$A33,수납!$D:$D,IF(원생!$G33="","",원생!$G33),수납!$B:$B,$B$1&amp;"-"&amp;TEXT(11,"00")&amp;"*",수납!$E:$E,""))</f>
        <v/>
      </c>
      <c r="N35" s="14">
        <f>IF(원생!$A33="","",SUMIFS(수납!$F:$F,수납!$C:$C,원생!$A33,수납!$D:$D,IF(원생!$G33="","",원생!$G33),수납!$B:$B,$B$1&amp;"-"&amp;TEXT(12,"00")&amp;"*",수납!$E:$E,"수강료")+SUMIFS(수납!$F:$F,수납!$C:$C,원생!$A33,수납!$D:$D,IF(원생!$G33="","",원생!$G33),수납!$B:$B,$B$1&amp;"-"&amp;TEXT(12,"00")&amp;"*",수납!$E:$E,""))</f>
        <v/>
      </c>
      <c r="O35">
        <f>IF(원생!$I33="","",원생!$I33)</f>
        <v/>
      </c>
      <c r="P35">
        <f>IF($A35="","",IF(AND($B35&gt;0,C35&lt;$B35,DATE($B$1,1,1)&lt;=TODAY(),OR($O35="",$O35&gt;=DATE($B$1,1,1)),OR(COUNTIF($C35:C35,"&gt;0")&gt;0,DATE($B$1,1,1)=DATE(YEAR(TODAY()),MONTH(TODAY()),1))),1,0))</f>
        <v/>
      </c>
      <c r="Q35">
        <f>IF($A35="","",IF(AND($B35&gt;0,D35&lt;$B35,DATE($B$1,2,1)&lt;=TODAY(),OR($O35="",$O35&gt;=DATE($B$1,2,1)),OR(COUNTIF($C35:D35,"&gt;0")&gt;0,DATE($B$1,2,1)=DATE(YEAR(TODAY()),MONTH(TODAY()),1))),1,0))</f>
        <v/>
      </c>
      <c r="R35">
        <f>IF($A35="","",IF(AND($B35&gt;0,E35&lt;$B35,DATE($B$1,3,1)&lt;=TODAY(),OR($O35="",$O35&gt;=DATE($B$1,3,1)),OR(COUNTIF($C35:E35,"&gt;0")&gt;0,DATE($B$1,3,1)=DATE(YEAR(TODAY()),MONTH(TODAY()),1))),1,0))</f>
        <v/>
      </c>
      <c r="S35">
        <f>IF($A35="","",IF(AND($B35&gt;0,F35&lt;$B35,DATE($B$1,4,1)&lt;=TODAY(),OR($O35="",$O35&gt;=DATE($B$1,4,1)),OR(COUNTIF($C35:F35,"&gt;0")&gt;0,DATE($B$1,4,1)=DATE(YEAR(TODAY()),MONTH(TODAY()),1))),1,0))</f>
        <v/>
      </c>
      <c r="T35">
        <f>IF($A35="","",IF(AND($B35&gt;0,G35&lt;$B35,DATE($B$1,5,1)&lt;=TODAY(),OR($O35="",$O35&gt;=DATE($B$1,5,1)),OR(COUNTIF($C35:G35,"&gt;0")&gt;0,DATE($B$1,5,1)=DATE(YEAR(TODAY()),MONTH(TODAY()),1))),1,0))</f>
        <v/>
      </c>
      <c r="U35">
        <f>IF($A35="","",IF(AND($B35&gt;0,H35&lt;$B35,DATE($B$1,6,1)&lt;=TODAY(),OR($O35="",$O35&gt;=DATE($B$1,6,1)),OR(COUNTIF($C35:H35,"&gt;0")&gt;0,DATE($B$1,6,1)=DATE(YEAR(TODAY()),MONTH(TODAY()),1))),1,0))</f>
        <v/>
      </c>
      <c r="V35">
        <f>IF($A35="","",IF(AND($B35&gt;0,I35&lt;$B35,DATE($B$1,7,1)&lt;=TODAY(),OR($O35="",$O35&gt;=DATE($B$1,7,1)),OR(COUNTIF($C35:I35,"&gt;0")&gt;0,DATE($B$1,7,1)=DATE(YEAR(TODAY()),MONTH(TODAY()),1))),1,0))</f>
        <v/>
      </c>
      <c r="W35">
        <f>IF($A35="","",IF(AND($B35&gt;0,J35&lt;$B35,DATE($B$1,8,1)&lt;=TODAY(),OR($O35="",$O35&gt;=DATE($B$1,8,1)),OR(COUNTIF($C35:J35,"&gt;0")&gt;0,DATE($B$1,8,1)=DATE(YEAR(TODAY()),MONTH(TODAY()),1))),1,0))</f>
        <v/>
      </c>
      <c r="X35">
        <f>IF($A35="","",IF(AND($B35&gt;0,K35&lt;$B35,DATE($B$1,9,1)&lt;=TODAY(),OR($O35="",$O35&gt;=DATE($B$1,9,1)),OR(COUNTIF($C35:K35,"&gt;0")&gt;0,DATE($B$1,9,1)=DATE(YEAR(TODAY()),MONTH(TODAY()),1))),1,0))</f>
        <v/>
      </c>
      <c r="Y35">
        <f>IF($A35="","",IF(AND($B35&gt;0,L35&lt;$B35,DATE($B$1,10,1)&lt;=TODAY(),OR($O35="",$O35&gt;=DATE($B$1,10,1)),OR(COUNTIF($C35:L35,"&gt;0")&gt;0,DATE($B$1,10,1)=DATE(YEAR(TODAY()),MONTH(TODAY()),1))),1,0))</f>
        <v/>
      </c>
      <c r="Z35">
        <f>IF($A35="","",IF(AND($B35&gt;0,M35&lt;$B35,DATE($B$1,11,1)&lt;=TODAY(),OR($O35="",$O35&gt;=DATE($B$1,11,1)),OR(COUNTIF($C35:M35,"&gt;0")&gt;0,DATE($B$1,11,1)=DATE(YEAR(TODAY()),MONTH(TODAY()),1))),1,0))</f>
        <v/>
      </c>
      <c r="AA35">
        <f>IF($A35="","",IF(AND($B35&gt;0,N35&lt;$B35,DATE($B$1,12,1)&lt;=TODAY(),OR($O35="",$O35&gt;=DATE($B$1,12,1)),OR(COUNTIF($C35:N35,"&gt;0")&gt;0,DATE($B$1,12,1)=DATE(YEAR(TODAY()),MONTH(TODAY()),1))),1,0))</f>
        <v/>
      </c>
    </row>
    <row r="36">
      <c r="A36" s="13">
        <f>IF(원생!$A34="","",원생!$A34&amp;IF(원생!$G34="",""," ("&amp;원생!$G34&amp;")"))</f>
        <v/>
      </c>
      <c r="B36" s="8">
        <f>IF(원생!$A34="","",원생!$F34)</f>
        <v/>
      </c>
      <c r="C36" s="14">
        <f>IF(원생!$A34="","",SUMIFS(수납!$F:$F,수납!$C:$C,원생!$A34,수납!$D:$D,IF(원생!$G34="","",원생!$G34),수납!$B:$B,$B$1&amp;"-"&amp;TEXT(1,"00")&amp;"*",수납!$E:$E,"수강료")+SUMIFS(수납!$F:$F,수납!$C:$C,원생!$A34,수납!$D:$D,IF(원생!$G34="","",원생!$G34),수납!$B:$B,$B$1&amp;"-"&amp;TEXT(1,"00")&amp;"*",수납!$E:$E,""))</f>
        <v/>
      </c>
      <c r="D36" s="14">
        <f>IF(원생!$A34="","",SUMIFS(수납!$F:$F,수납!$C:$C,원생!$A34,수납!$D:$D,IF(원생!$G34="","",원생!$G34),수납!$B:$B,$B$1&amp;"-"&amp;TEXT(2,"00")&amp;"*",수납!$E:$E,"수강료")+SUMIFS(수납!$F:$F,수납!$C:$C,원생!$A34,수납!$D:$D,IF(원생!$G34="","",원생!$G34),수납!$B:$B,$B$1&amp;"-"&amp;TEXT(2,"00")&amp;"*",수납!$E:$E,""))</f>
        <v/>
      </c>
      <c r="E36" s="14">
        <f>IF(원생!$A34="","",SUMIFS(수납!$F:$F,수납!$C:$C,원생!$A34,수납!$D:$D,IF(원생!$G34="","",원생!$G34),수납!$B:$B,$B$1&amp;"-"&amp;TEXT(3,"00")&amp;"*",수납!$E:$E,"수강료")+SUMIFS(수납!$F:$F,수납!$C:$C,원생!$A34,수납!$D:$D,IF(원생!$G34="","",원생!$G34),수납!$B:$B,$B$1&amp;"-"&amp;TEXT(3,"00")&amp;"*",수납!$E:$E,""))</f>
        <v/>
      </c>
      <c r="F36" s="14">
        <f>IF(원생!$A34="","",SUMIFS(수납!$F:$F,수납!$C:$C,원생!$A34,수납!$D:$D,IF(원생!$G34="","",원생!$G34),수납!$B:$B,$B$1&amp;"-"&amp;TEXT(4,"00")&amp;"*",수납!$E:$E,"수강료")+SUMIFS(수납!$F:$F,수납!$C:$C,원생!$A34,수납!$D:$D,IF(원생!$G34="","",원생!$G34),수납!$B:$B,$B$1&amp;"-"&amp;TEXT(4,"00")&amp;"*",수납!$E:$E,""))</f>
        <v/>
      </c>
      <c r="G36" s="14">
        <f>IF(원생!$A34="","",SUMIFS(수납!$F:$F,수납!$C:$C,원생!$A34,수납!$D:$D,IF(원생!$G34="","",원생!$G34),수납!$B:$B,$B$1&amp;"-"&amp;TEXT(5,"00")&amp;"*",수납!$E:$E,"수강료")+SUMIFS(수납!$F:$F,수납!$C:$C,원생!$A34,수납!$D:$D,IF(원생!$G34="","",원생!$G34),수납!$B:$B,$B$1&amp;"-"&amp;TEXT(5,"00")&amp;"*",수납!$E:$E,""))</f>
        <v/>
      </c>
      <c r="H36" s="14">
        <f>IF(원생!$A34="","",SUMIFS(수납!$F:$F,수납!$C:$C,원생!$A34,수납!$D:$D,IF(원생!$G34="","",원생!$G34),수납!$B:$B,$B$1&amp;"-"&amp;TEXT(6,"00")&amp;"*",수납!$E:$E,"수강료")+SUMIFS(수납!$F:$F,수납!$C:$C,원생!$A34,수납!$D:$D,IF(원생!$G34="","",원생!$G34),수납!$B:$B,$B$1&amp;"-"&amp;TEXT(6,"00")&amp;"*",수납!$E:$E,""))</f>
        <v/>
      </c>
      <c r="I36" s="14">
        <f>IF(원생!$A34="","",SUMIFS(수납!$F:$F,수납!$C:$C,원생!$A34,수납!$D:$D,IF(원생!$G34="","",원생!$G34),수납!$B:$B,$B$1&amp;"-"&amp;TEXT(7,"00")&amp;"*",수납!$E:$E,"수강료")+SUMIFS(수납!$F:$F,수납!$C:$C,원생!$A34,수납!$D:$D,IF(원생!$G34="","",원생!$G34),수납!$B:$B,$B$1&amp;"-"&amp;TEXT(7,"00")&amp;"*",수납!$E:$E,""))</f>
        <v/>
      </c>
      <c r="J36" s="14">
        <f>IF(원생!$A34="","",SUMIFS(수납!$F:$F,수납!$C:$C,원생!$A34,수납!$D:$D,IF(원생!$G34="","",원생!$G34),수납!$B:$B,$B$1&amp;"-"&amp;TEXT(8,"00")&amp;"*",수납!$E:$E,"수강료")+SUMIFS(수납!$F:$F,수납!$C:$C,원생!$A34,수납!$D:$D,IF(원생!$G34="","",원생!$G34),수납!$B:$B,$B$1&amp;"-"&amp;TEXT(8,"00")&amp;"*",수납!$E:$E,""))</f>
        <v/>
      </c>
      <c r="K36" s="14">
        <f>IF(원생!$A34="","",SUMIFS(수납!$F:$F,수납!$C:$C,원생!$A34,수납!$D:$D,IF(원생!$G34="","",원생!$G34),수납!$B:$B,$B$1&amp;"-"&amp;TEXT(9,"00")&amp;"*",수납!$E:$E,"수강료")+SUMIFS(수납!$F:$F,수납!$C:$C,원생!$A34,수납!$D:$D,IF(원생!$G34="","",원생!$G34),수납!$B:$B,$B$1&amp;"-"&amp;TEXT(9,"00")&amp;"*",수납!$E:$E,""))</f>
        <v/>
      </c>
      <c r="L36" s="14">
        <f>IF(원생!$A34="","",SUMIFS(수납!$F:$F,수납!$C:$C,원생!$A34,수납!$D:$D,IF(원생!$G34="","",원생!$G34),수납!$B:$B,$B$1&amp;"-"&amp;TEXT(10,"00")&amp;"*",수납!$E:$E,"수강료")+SUMIFS(수납!$F:$F,수납!$C:$C,원생!$A34,수납!$D:$D,IF(원생!$G34="","",원생!$G34),수납!$B:$B,$B$1&amp;"-"&amp;TEXT(10,"00")&amp;"*",수납!$E:$E,""))</f>
        <v/>
      </c>
      <c r="M36" s="14">
        <f>IF(원생!$A34="","",SUMIFS(수납!$F:$F,수납!$C:$C,원생!$A34,수납!$D:$D,IF(원생!$G34="","",원생!$G34),수납!$B:$B,$B$1&amp;"-"&amp;TEXT(11,"00")&amp;"*",수납!$E:$E,"수강료")+SUMIFS(수납!$F:$F,수납!$C:$C,원생!$A34,수납!$D:$D,IF(원생!$G34="","",원생!$G34),수납!$B:$B,$B$1&amp;"-"&amp;TEXT(11,"00")&amp;"*",수납!$E:$E,""))</f>
        <v/>
      </c>
      <c r="N36" s="14">
        <f>IF(원생!$A34="","",SUMIFS(수납!$F:$F,수납!$C:$C,원생!$A34,수납!$D:$D,IF(원생!$G34="","",원생!$G34),수납!$B:$B,$B$1&amp;"-"&amp;TEXT(12,"00")&amp;"*",수납!$E:$E,"수강료")+SUMIFS(수납!$F:$F,수납!$C:$C,원생!$A34,수납!$D:$D,IF(원생!$G34="","",원생!$G34),수납!$B:$B,$B$1&amp;"-"&amp;TEXT(12,"00")&amp;"*",수납!$E:$E,""))</f>
        <v/>
      </c>
      <c r="O36">
        <f>IF(원생!$I34="","",원생!$I34)</f>
        <v/>
      </c>
      <c r="P36">
        <f>IF($A36="","",IF(AND($B36&gt;0,C36&lt;$B36,DATE($B$1,1,1)&lt;=TODAY(),OR($O36="",$O36&gt;=DATE($B$1,1,1)),OR(COUNTIF($C36:C36,"&gt;0")&gt;0,DATE($B$1,1,1)=DATE(YEAR(TODAY()),MONTH(TODAY()),1))),1,0))</f>
        <v/>
      </c>
      <c r="Q36">
        <f>IF($A36="","",IF(AND($B36&gt;0,D36&lt;$B36,DATE($B$1,2,1)&lt;=TODAY(),OR($O36="",$O36&gt;=DATE($B$1,2,1)),OR(COUNTIF($C36:D36,"&gt;0")&gt;0,DATE($B$1,2,1)=DATE(YEAR(TODAY()),MONTH(TODAY()),1))),1,0))</f>
        <v/>
      </c>
      <c r="R36">
        <f>IF($A36="","",IF(AND($B36&gt;0,E36&lt;$B36,DATE($B$1,3,1)&lt;=TODAY(),OR($O36="",$O36&gt;=DATE($B$1,3,1)),OR(COUNTIF($C36:E36,"&gt;0")&gt;0,DATE($B$1,3,1)=DATE(YEAR(TODAY()),MONTH(TODAY()),1))),1,0))</f>
        <v/>
      </c>
      <c r="S36">
        <f>IF($A36="","",IF(AND($B36&gt;0,F36&lt;$B36,DATE($B$1,4,1)&lt;=TODAY(),OR($O36="",$O36&gt;=DATE($B$1,4,1)),OR(COUNTIF($C36:F36,"&gt;0")&gt;0,DATE($B$1,4,1)=DATE(YEAR(TODAY()),MONTH(TODAY()),1))),1,0))</f>
        <v/>
      </c>
      <c r="T36">
        <f>IF($A36="","",IF(AND($B36&gt;0,G36&lt;$B36,DATE($B$1,5,1)&lt;=TODAY(),OR($O36="",$O36&gt;=DATE($B$1,5,1)),OR(COUNTIF($C36:G36,"&gt;0")&gt;0,DATE($B$1,5,1)=DATE(YEAR(TODAY()),MONTH(TODAY()),1))),1,0))</f>
        <v/>
      </c>
      <c r="U36">
        <f>IF($A36="","",IF(AND($B36&gt;0,H36&lt;$B36,DATE($B$1,6,1)&lt;=TODAY(),OR($O36="",$O36&gt;=DATE($B$1,6,1)),OR(COUNTIF($C36:H36,"&gt;0")&gt;0,DATE($B$1,6,1)=DATE(YEAR(TODAY()),MONTH(TODAY()),1))),1,0))</f>
        <v/>
      </c>
      <c r="V36">
        <f>IF($A36="","",IF(AND($B36&gt;0,I36&lt;$B36,DATE($B$1,7,1)&lt;=TODAY(),OR($O36="",$O36&gt;=DATE($B$1,7,1)),OR(COUNTIF($C36:I36,"&gt;0")&gt;0,DATE($B$1,7,1)=DATE(YEAR(TODAY()),MONTH(TODAY()),1))),1,0))</f>
        <v/>
      </c>
      <c r="W36">
        <f>IF($A36="","",IF(AND($B36&gt;0,J36&lt;$B36,DATE($B$1,8,1)&lt;=TODAY(),OR($O36="",$O36&gt;=DATE($B$1,8,1)),OR(COUNTIF($C36:J36,"&gt;0")&gt;0,DATE($B$1,8,1)=DATE(YEAR(TODAY()),MONTH(TODAY()),1))),1,0))</f>
        <v/>
      </c>
      <c r="X36">
        <f>IF($A36="","",IF(AND($B36&gt;0,K36&lt;$B36,DATE($B$1,9,1)&lt;=TODAY(),OR($O36="",$O36&gt;=DATE($B$1,9,1)),OR(COUNTIF($C36:K36,"&gt;0")&gt;0,DATE($B$1,9,1)=DATE(YEAR(TODAY()),MONTH(TODAY()),1))),1,0))</f>
        <v/>
      </c>
      <c r="Y36">
        <f>IF($A36="","",IF(AND($B36&gt;0,L36&lt;$B36,DATE($B$1,10,1)&lt;=TODAY(),OR($O36="",$O36&gt;=DATE($B$1,10,1)),OR(COUNTIF($C36:L36,"&gt;0")&gt;0,DATE($B$1,10,1)=DATE(YEAR(TODAY()),MONTH(TODAY()),1))),1,0))</f>
        <v/>
      </c>
      <c r="Z36">
        <f>IF($A36="","",IF(AND($B36&gt;0,M36&lt;$B36,DATE($B$1,11,1)&lt;=TODAY(),OR($O36="",$O36&gt;=DATE($B$1,11,1)),OR(COUNTIF($C36:M36,"&gt;0")&gt;0,DATE($B$1,11,1)=DATE(YEAR(TODAY()),MONTH(TODAY()),1))),1,0))</f>
        <v/>
      </c>
      <c r="AA36">
        <f>IF($A36="","",IF(AND($B36&gt;0,N36&lt;$B36,DATE($B$1,12,1)&lt;=TODAY(),OR($O36="",$O36&gt;=DATE($B$1,12,1)),OR(COUNTIF($C36:N36,"&gt;0")&gt;0,DATE($B$1,12,1)=DATE(YEAR(TODAY()),MONTH(TODAY()),1))),1,0))</f>
        <v/>
      </c>
    </row>
    <row r="37">
      <c r="A37" s="13">
        <f>IF(원생!$A35="","",원생!$A35&amp;IF(원생!$G35="",""," ("&amp;원생!$G35&amp;")"))</f>
        <v/>
      </c>
      <c r="B37" s="8">
        <f>IF(원생!$A35="","",원생!$F35)</f>
        <v/>
      </c>
      <c r="C37" s="14">
        <f>IF(원생!$A35="","",SUMIFS(수납!$F:$F,수납!$C:$C,원생!$A35,수납!$D:$D,IF(원생!$G35="","",원생!$G35),수납!$B:$B,$B$1&amp;"-"&amp;TEXT(1,"00")&amp;"*",수납!$E:$E,"수강료")+SUMIFS(수납!$F:$F,수납!$C:$C,원생!$A35,수납!$D:$D,IF(원생!$G35="","",원생!$G35),수납!$B:$B,$B$1&amp;"-"&amp;TEXT(1,"00")&amp;"*",수납!$E:$E,""))</f>
        <v/>
      </c>
      <c r="D37" s="14">
        <f>IF(원생!$A35="","",SUMIFS(수납!$F:$F,수납!$C:$C,원생!$A35,수납!$D:$D,IF(원생!$G35="","",원생!$G35),수납!$B:$B,$B$1&amp;"-"&amp;TEXT(2,"00")&amp;"*",수납!$E:$E,"수강료")+SUMIFS(수납!$F:$F,수납!$C:$C,원생!$A35,수납!$D:$D,IF(원생!$G35="","",원생!$G35),수납!$B:$B,$B$1&amp;"-"&amp;TEXT(2,"00")&amp;"*",수납!$E:$E,""))</f>
        <v/>
      </c>
      <c r="E37" s="14">
        <f>IF(원생!$A35="","",SUMIFS(수납!$F:$F,수납!$C:$C,원생!$A35,수납!$D:$D,IF(원생!$G35="","",원생!$G35),수납!$B:$B,$B$1&amp;"-"&amp;TEXT(3,"00")&amp;"*",수납!$E:$E,"수강료")+SUMIFS(수납!$F:$F,수납!$C:$C,원생!$A35,수납!$D:$D,IF(원생!$G35="","",원생!$G35),수납!$B:$B,$B$1&amp;"-"&amp;TEXT(3,"00")&amp;"*",수납!$E:$E,""))</f>
        <v/>
      </c>
      <c r="F37" s="14">
        <f>IF(원생!$A35="","",SUMIFS(수납!$F:$F,수납!$C:$C,원생!$A35,수납!$D:$D,IF(원생!$G35="","",원생!$G35),수납!$B:$B,$B$1&amp;"-"&amp;TEXT(4,"00")&amp;"*",수납!$E:$E,"수강료")+SUMIFS(수납!$F:$F,수납!$C:$C,원생!$A35,수납!$D:$D,IF(원생!$G35="","",원생!$G35),수납!$B:$B,$B$1&amp;"-"&amp;TEXT(4,"00")&amp;"*",수납!$E:$E,""))</f>
        <v/>
      </c>
      <c r="G37" s="14">
        <f>IF(원생!$A35="","",SUMIFS(수납!$F:$F,수납!$C:$C,원생!$A35,수납!$D:$D,IF(원생!$G35="","",원생!$G35),수납!$B:$B,$B$1&amp;"-"&amp;TEXT(5,"00")&amp;"*",수납!$E:$E,"수강료")+SUMIFS(수납!$F:$F,수납!$C:$C,원생!$A35,수납!$D:$D,IF(원생!$G35="","",원생!$G35),수납!$B:$B,$B$1&amp;"-"&amp;TEXT(5,"00")&amp;"*",수납!$E:$E,""))</f>
        <v/>
      </c>
      <c r="H37" s="14">
        <f>IF(원생!$A35="","",SUMIFS(수납!$F:$F,수납!$C:$C,원생!$A35,수납!$D:$D,IF(원생!$G35="","",원생!$G35),수납!$B:$B,$B$1&amp;"-"&amp;TEXT(6,"00")&amp;"*",수납!$E:$E,"수강료")+SUMIFS(수납!$F:$F,수납!$C:$C,원생!$A35,수납!$D:$D,IF(원생!$G35="","",원생!$G35),수납!$B:$B,$B$1&amp;"-"&amp;TEXT(6,"00")&amp;"*",수납!$E:$E,""))</f>
        <v/>
      </c>
      <c r="I37" s="14">
        <f>IF(원생!$A35="","",SUMIFS(수납!$F:$F,수납!$C:$C,원생!$A35,수납!$D:$D,IF(원생!$G35="","",원생!$G35),수납!$B:$B,$B$1&amp;"-"&amp;TEXT(7,"00")&amp;"*",수납!$E:$E,"수강료")+SUMIFS(수납!$F:$F,수납!$C:$C,원생!$A35,수납!$D:$D,IF(원생!$G35="","",원생!$G35),수납!$B:$B,$B$1&amp;"-"&amp;TEXT(7,"00")&amp;"*",수납!$E:$E,""))</f>
        <v/>
      </c>
      <c r="J37" s="14">
        <f>IF(원생!$A35="","",SUMIFS(수납!$F:$F,수납!$C:$C,원생!$A35,수납!$D:$D,IF(원생!$G35="","",원생!$G35),수납!$B:$B,$B$1&amp;"-"&amp;TEXT(8,"00")&amp;"*",수납!$E:$E,"수강료")+SUMIFS(수납!$F:$F,수납!$C:$C,원생!$A35,수납!$D:$D,IF(원생!$G35="","",원생!$G35),수납!$B:$B,$B$1&amp;"-"&amp;TEXT(8,"00")&amp;"*",수납!$E:$E,""))</f>
        <v/>
      </c>
      <c r="K37" s="14">
        <f>IF(원생!$A35="","",SUMIFS(수납!$F:$F,수납!$C:$C,원생!$A35,수납!$D:$D,IF(원생!$G35="","",원생!$G35),수납!$B:$B,$B$1&amp;"-"&amp;TEXT(9,"00")&amp;"*",수납!$E:$E,"수강료")+SUMIFS(수납!$F:$F,수납!$C:$C,원생!$A35,수납!$D:$D,IF(원생!$G35="","",원생!$G35),수납!$B:$B,$B$1&amp;"-"&amp;TEXT(9,"00")&amp;"*",수납!$E:$E,""))</f>
        <v/>
      </c>
      <c r="L37" s="14">
        <f>IF(원생!$A35="","",SUMIFS(수납!$F:$F,수납!$C:$C,원생!$A35,수납!$D:$D,IF(원생!$G35="","",원생!$G35),수납!$B:$B,$B$1&amp;"-"&amp;TEXT(10,"00")&amp;"*",수납!$E:$E,"수강료")+SUMIFS(수납!$F:$F,수납!$C:$C,원생!$A35,수납!$D:$D,IF(원생!$G35="","",원생!$G35),수납!$B:$B,$B$1&amp;"-"&amp;TEXT(10,"00")&amp;"*",수납!$E:$E,""))</f>
        <v/>
      </c>
      <c r="M37" s="14">
        <f>IF(원생!$A35="","",SUMIFS(수납!$F:$F,수납!$C:$C,원생!$A35,수납!$D:$D,IF(원생!$G35="","",원생!$G35),수납!$B:$B,$B$1&amp;"-"&amp;TEXT(11,"00")&amp;"*",수납!$E:$E,"수강료")+SUMIFS(수납!$F:$F,수납!$C:$C,원생!$A35,수납!$D:$D,IF(원생!$G35="","",원생!$G35),수납!$B:$B,$B$1&amp;"-"&amp;TEXT(11,"00")&amp;"*",수납!$E:$E,""))</f>
        <v/>
      </c>
      <c r="N37" s="14">
        <f>IF(원생!$A35="","",SUMIFS(수납!$F:$F,수납!$C:$C,원생!$A35,수납!$D:$D,IF(원생!$G35="","",원생!$G35),수납!$B:$B,$B$1&amp;"-"&amp;TEXT(12,"00")&amp;"*",수납!$E:$E,"수강료")+SUMIFS(수납!$F:$F,수납!$C:$C,원생!$A35,수납!$D:$D,IF(원생!$G35="","",원생!$G35),수납!$B:$B,$B$1&amp;"-"&amp;TEXT(12,"00")&amp;"*",수납!$E:$E,""))</f>
        <v/>
      </c>
      <c r="O37">
        <f>IF(원생!$I35="","",원생!$I35)</f>
        <v/>
      </c>
      <c r="P37">
        <f>IF($A37="","",IF(AND($B37&gt;0,C37&lt;$B37,DATE($B$1,1,1)&lt;=TODAY(),OR($O37="",$O37&gt;=DATE($B$1,1,1)),OR(COUNTIF($C37:C37,"&gt;0")&gt;0,DATE($B$1,1,1)=DATE(YEAR(TODAY()),MONTH(TODAY()),1))),1,0))</f>
        <v/>
      </c>
      <c r="Q37">
        <f>IF($A37="","",IF(AND($B37&gt;0,D37&lt;$B37,DATE($B$1,2,1)&lt;=TODAY(),OR($O37="",$O37&gt;=DATE($B$1,2,1)),OR(COUNTIF($C37:D37,"&gt;0")&gt;0,DATE($B$1,2,1)=DATE(YEAR(TODAY()),MONTH(TODAY()),1))),1,0))</f>
        <v/>
      </c>
      <c r="R37">
        <f>IF($A37="","",IF(AND($B37&gt;0,E37&lt;$B37,DATE($B$1,3,1)&lt;=TODAY(),OR($O37="",$O37&gt;=DATE($B$1,3,1)),OR(COUNTIF($C37:E37,"&gt;0")&gt;0,DATE($B$1,3,1)=DATE(YEAR(TODAY()),MONTH(TODAY()),1))),1,0))</f>
        <v/>
      </c>
      <c r="S37">
        <f>IF($A37="","",IF(AND($B37&gt;0,F37&lt;$B37,DATE($B$1,4,1)&lt;=TODAY(),OR($O37="",$O37&gt;=DATE($B$1,4,1)),OR(COUNTIF($C37:F37,"&gt;0")&gt;0,DATE($B$1,4,1)=DATE(YEAR(TODAY()),MONTH(TODAY()),1))),1,0))</f>
        <v/>
      </c>
      <c r="T37">
        <f>IF($A37="","",IF(AND($B37&gt;0,G37&lt;$B37,DATE($B$1,5,1)&lt;=TODAY(),OR($O37="",$O37&gt;=DATE($B$1,5,1)),OR(COUNTIF($C37:G37,"&gt;0")&gt;0,DATE($B$1,5,1)=DATE(YEAR(TODAY()),MONTH(TODAY()),1))),1,0))</f>
        <v/>
      </c>
      <c r="U37">
        <f>IF($A37="","",IF(AND($B37&gt;0,H37&lt;$B37,DATE($B$1,6,1)&lt;=TODAY(),OR($O37="",$O37&gt;=DATE($B$1,6,1)),OR(COUNTIF($C37:H37,"&gt;0")&gt;0,DATE($B$1,6,1)=DATE(YEAR(TODAY()),MONTH(TODAY()),1))),1,0))</f>
        <v/>
      </c>
      <c r="V37">
        <f>IF($A37="","",IF(AND($B37&gt;0,I37&lt;$B37,DATE($B$1,7,1)&lt;=TODAY(),OR($O37="",$O37&gt;=DATE($B$1,7,1)),OR(COUNTIF($C37:I37,"&gt;0")&gt;0,DATE($B$1,7,1)=DATE(YEAR(TODAY()),MONTH(TODAY()),1))),1,0))</f>
        <v/>
      </c>
      <c r="W37">
        <f>IF($A37="","",IF(AND($B37&gt;0,J37&lt;$B37,DATE($B$1,8,1)&lt;=TODAY(),OR($O37="",$O37&gt;=DATE($B$1,8,1)),OR(COUNTIF($C37:J37,"&gt;0")&gt;0,DATE($B$1,8,1)=DATE(YEAR(TODAY()),MONTH(TODAY()),1))),1,0))</f>
        <v/>
      </c>
      <c r="X37">
        <f>IF($A37="","",IF(AND($B37&gt;0,K37&lt;$B37,DATE($B$1,9,1)&lt;=TODAY(),OR($O37="",$O37&gt;=DATE($B$1,9,1)),OR(COUNTIF($C37:K37,"&gt;0")&gt;0,DATE($B$1,9,1)=DATE(YEAR(TODAY()),MONTH(TODAY()),1))),1,0))</f>
        <v/>
      </c>
      <c r="Y37">
        <f>IF($A37="","",IF(AND($B37&gt;0,L37&lt;$B37,DATE($B$1,10,1)&lt;=TODAY(),OR($O37="",$O37&gt;=DATE($B$1,10,1)),OR(COUNTIF($C37:L37,"&gt;0")&gt;0,DATE($B$1,10,1)=DATE(YEAR(TODAY()),MONTH(TODAY()),1))),1,0))</f>
        <v/>
      </c>
      <c r="Z37">
        <f>IF($A37="","",IF(AND($B37&gt;0,M37&lt;$B37,DATE($B$1,11,1)&lt;=TODAY(),OR($O37="",$O37&gt;=DATE($B$1,11,1)),OR(COUNTIF($C37:M37,"&gt;0")&gt;0,DATE($B$1,11,1)=DATE(YEAR(TODAY()),MONTH(TODAY()),1))),1,0))</f>
        <v/>
      </c>
      <c r="AA37">
        <f>IF($A37="","",IF(AND($B37&gt;0,N37&lt;$B37,DATE($B$1,12,1)&lt;=TODAY(),OR($O37="",$O37&gt;=DATE($B$1,12,1)),OR(COUNTIF($C37:N37,"&gt;0")&gt;0,DATE($B$1,12,1)=DATE(YEAR(TODAY()),MONTH(TODAY()),1))),1,0))</f>
        <v/>
      </c>
    </row>
    <row r="38">
      <c r="A38" s="13">
        <f>IF(원생!$A36="","",원생!$A36&amp;IF(원생!$G36="",""," ("&amp;원생!$G36&amp;")"))</f>
        <v/>
      </c>
      <c r="B38" s="8">
        <f>IF(원생!$A36="","",원생!$F36)</f>
        <v/>
      </c>
      <c r="C38" s="14">
        <f>IF(원생!$A36="","",SUMIFS(수납!$F:$F,수납!$C:$C,원생!$A36,수납!$D:$D,IF(원생!$G36="","",원생!$G36),수납!$B:$B,$B$1&amp;"-"&amp;TEXT(1,"00")&amp;"*",수납!$E:$E,"수강료")+SUMIFS(수납!$F:$F,수납!$C:$C,원생!$A36,수납!$D:$D,IF(원생!$G36="","",원생!$G36),수납!$B:$B,$B$1&amp;"-"&amp;TEXT(1,"00")&amp;"*",수납!$E:$E,""))</f>
        <v/>
      </c>
      <c r="D38" s="14">
        <f>IF(원생!$A36="","",SUMIFS(수납!$F:$F,수납!$C:$C,원생!$A36,수납!$D:$D,IF(원생!$G36="","",원생!$G36),수납!$B:$B,$B$1&amp;"-"&amp;TEXT(2,"00")&amp;"*",수납!$E:$E,"수강료")+SUMIFS(수납!$F:$F,수납!$C:$C,원생!$A36,수납!$D:$D,IF(원생!$G36="","",원생!$G36),수납!$B:$B,$B$1&amp;"-"&amp;TEXT(2,"00")&amp;"*",수납!$E:$E,""))</f>
        <v/>
      </c>
      <c r="E38" s="14">
        <f>IF(원생!$A36="","",SUMIFS(수납!$F:$F,수납!$C:$C,원생!$A36,수납!$D:$D,IF(원생!$G36="","",원생!$G36),수납!$B:$B,$B$1&amp;"-"&amp;TEXT(3,"00")&amp;"*",수납!$E:$E,"수강료")+SUMIFS(수납!$F:$F,수납!$C:$C,원생!$A36,수납!$D:$D,IF(원생!$G36="","",원생!$G36),수납!$B:$B,$B$1&amp;"-"&amp;TEXT(3,"00")&amp;"*",수납!$E:$E,""))</f>
        <v/>
      </c>
      <c r="F38" s="14">
        <f>IF(원생!$A36="","",SUMIFS(수납!$F:$F,수납!$C:$C,원생!$A36,수납!$D:$D,IF(원생!$G36="","",원생!$G36),수납!$B:$B,$B$1&amp;"-"&amp;TEXT(4,"00")&amp;"*",수납!$E:$E,"수강료")+SUMIFS(수납!$F:$F,수납!$C:$C,원생!$A36,수납!$D:$D,IF(원생!$G36="","",원생!$G36),수납!$B:$B,$B$1&amp;"-"&amp;TEXT(4,"00")&amp;"*",수납!$E:$E,""))</f>
        <v/>
      </c>
      <c r="G38" s="14">
        <f>IF(원생!$A36="","",SUMIFS(수납!$F:$F,수납!$C:$C,원생!$A36,수납!$D:$D,IF(원생!$G36="","",원생!$G36),수납!$B:$B,$B$1&amp;"-"&amp;TEXT(5,"00")&amp;"*",수납!$E:$E,"수강료")+SUMIFS(수납!$F:$F,수납!$C:$C,원생!$A36,수납!$D:$D,IF(원생!$G36="","",원생!$G36),수납!$B:$B,$B$1&amp;"-"&amp;TEXT(5,"00")&amp;"*",수납!$E:$E,""))</f>
        <v/>
      </c>
      <c r="H38" s="14">
        <f>IF(원생!$A36="","",SUMIFS(수납!$F:$F,수납!$C:$C,원생!$A36,수납!$D:$D,IF(원생!$G36="","",원생!$G36),수납!$B:$B,$B$1&amp;"-"&amp;TEXT(6,"00")&amp;"*",수납!$E:$E,"수강료")+SUMIFS(수납!$F:$F,수납!$C:$C,원생!$A36,수납!$D:$D,IF(원생!$G36="","",원생!$G36),수납!$B:$B,$B$1&amp;"-"&amp;TEXT(6,"00")&amp;"*",수납!$E:$E,""))</f>
        <v/>
      </c>
      <c r="I38" s="14">
        <f>IF(원생!$A36="","",SUMIFS(수납!$F:$F,수납!$C:$C,원생!$A36,수납!$D:$D,IF(원생!$G36="","",원생!$G36),수납!$B:$B,$B$1&amp;"-"&amp;TEXT(7,"00")&amp;"*",수납!$E:$E,"수강료")+SUMIFS(수납!$F:$F,수납!$C:$C,원생!$A36,수납!$D:$D,IF(원생!$G36="","",원생!$G36),수납!$B:$B,$B$1&amp;"-"&amp;TEXT(7,"00")&amp;"*",수납!$E:$E,""))</f>
        <v/>
      </c>
      <c r="J38" s="14">
        <f>IF(원생!$A36="","",SUMIFS(수납!$F:$F,수납!$C:$C,원생!$A36,수납!$D:$D,IF(원생!$G36="","",원생!$G36),수납!$B:$B,$B$1&amp;"-"&amp;TEXT(8,"00")&amp;"*",수납!$E:$E,"수강료")+SUMIFS(수납!$F:$F,수납!$C:$C,원생!$A36,수납!$D:$D,IF(원생!$G36="","",원생!$G36),수납!$B:$B,$B$1&amp;"-"&amp;TEXT(8,"00")&amp;"*",수납!$E:$E,""))</f>
        <v/>
      </c>
      <c r="K38" s="14">
        <f>IF(원생!$A36="","",SUMIFS(수납!$F:$F,수납!$C:$C,원생!$A36,수납!$D:$D,IF(원생!$G36="","",원생!$G36),수납!$B:$B,$B$1&amp;"-"&amp;TEXT(9,"00")&amp;"*",수납!$E:$E,"수강료")+SUMIFS(수납!$F:$F,수납!$C:$C,원생!$A36,수납!$D:$D,IF(원생!$G36="","",원생!$G36),수납!$B:$B,$B$1&amp;"-"&amp;TEXT(9,"00")&amp;"*",수납!$E:$E,""))</f>
        <v/>
      </c>
      <c r="L38" s="14">
        <f>IF(원생!$A36="","",SUMIFS(수납!$F:$F,수납!$C:$C,원생!$A36,수납!$D:$D,IF(원생!$G36="","",원생!$G36),수납!$B:$B,$B$1&amp;"-"&amp;TEXT(10,"00")&amp;"*",수납!$E:$E,"수강료")+SUMIFS(수납!$F:$F,수납!$C:$C,원생!$A36,수납!$D:$D,IF(원생!$G36="","",원생!$G36),수납!$B:$B,$B$1&amp;"-"&amp;TEXT(10,"00")&amp;"*",수납!$E:$E,""))</f>
        <v/>
      </c>
      <c r="M38" s="14">
        <f>IF(원생!$A36="","",SUMIFS(수납!$F:$F,수납!$C:$C,원생!$A36,수납!$D:$D,IF(원생!$G36="","",원생!$G36),수납!$B:$B,$B$1&amp;"-"&amp;TEXT(11,"00")&amp;"*",수납!$E:$E,"수강료")+SUMIFS(수납!$F:$F,수납!$C:$C,원생!$A36,수납!$D:$D,IF(원생!$G36="","",원생!$G36),수납!$B:$B,$B$1&amp;"-"&amp;TEXT(11,"00")&amp;"*",수납!$E:$E,""))</f>
        <v/>
      </c>
      <c r="N38" s="14">
        <f>IF(원생!$A36="","",SUMIFS(수납!$F:$F,수납!$C:$C,원생!$A36,수납!$D:$D,IF(원생!$G36="","",원생!$G36),수납!$B:$B,$B$1&amp;"-"&amp;TEXT(12,"00")&amp;"*",수납!$E:$E,"수강료")+SUMIFS(수납!$F:$F,수납!$C:$C,원생!$A36,수납!$D:$D,IF(원생!$G36="","",원생!$G36),수납!$B:$B,$B$1&amp;"-"&amp;TEXT(12,"00")&amp;"*",수납!$E:$E,""))</f>
        <v/>
      </c>
      <c r="O38">
        <f>IF(원생!$I36="","",원생!$I36)</f>
        <v/>
      </c>
      <c r="P38">
        <f>IF($A38="","",IF(AND($B38&gt;0,C38&lt;$B38,DATE($B$1,1,1)&lt;=TODAY(),OR($O38="",$O38&gt;=DATE($B$1,1,1)),OR(COUNTIF($C38:C38,"&gt;0")&gt;0,DATE($B$1,1,1)=DATE(YEAR(TODAY()),MONTH(TODAY()),1))),1,0))</f>
        <v/>
      </c>
      <c r="Q38">
        <f>IF($A38="","",IF(AND($B38&gt;0,D38&lt;$B38,DATE($B$1,2,1)&lt;=TODAY(),OR($O38="",$O38&gt;=DATE($B$1,2,1)),OR(COUNTIF($C38:D38,"&gt;0")&gt;0,DATE($B$1,2,1)=DATE(YEAR(TODAY()),MONTH(TODAY()),1))),1,0))</f>
        <v/>
      </c>
      <c r="R38">
        <f>IF($A38="","",IF(AND($B38&gt;0,E38&lt;$B38,DATE($B$1,3,1)&lt;=TODAY(),OR($O38="",$O38&gt;=DATE($B$1,3,1)),OR(COUNTIF($C38:E38,"&gt;0")&gt;0,DATE($B$1,3,1)=DATE(YEAR(TODAY()),MONTH(TODAY()),1))),1,0))</f>
        <v/>
      </c>
      <c r="S38">
        <f>IF($A38="","",IF(AND($B38&gt;0,F38&lt;$B38,DATE($B$1,4,1)&lt;=TODAY(),OR($O38="",$O38&gt;=DATE($B$1,4,1)),OR(COUNTIF($C38:F38,"&gt;0")&gt;0,DATE($B$1,4,1)=DATE(YEAR(TODAY()),MONTH(TODAY()),1))),1,0))</f>
        <v/>
      </c>
      <c r="T38">
        <f>IF($A38="","",IF(AND($B38&gt;0,G38&lt;$B38,DATE($B$1,5,1)&lt;=TODAY(),OR($O38="",$O38&gt;=DATE($B$1,5,1)),OR(COUNTIF($C38:G38,"&gt;0")&gt;0,DATE($B$1,5,1)=DATE(YEAR(TODAY()),MONTH(TODAY()),1))),1,0))</f>
        <v/>
      </c>
      <c r="U38">
        <f>IF($A38="","",IF(AND($B38&gt;0,H38&lt;$B38,DATE($B$1,6,1)&lt;=TODAY(),OR($O38="",$O38&gt;=DATE($B$1,6,1)),OR(COUNTIF($C38:H38,"&gt;0")&gt;0,DATE($B$1,6,1)=DATE(YEAR(TODAY()),MONTH(TODAY()),1))),1,0))</f>
        <v/>
      </c>
      <c r="V38">
        <f>IF($A38="","",IF(AND($B38&gt;0,I38&lt;$B38,DATE($B$1,7,1)&lt;=TODAY(),OR($O38="",$O38&gt;=DATE($B$1,7,1)),OR(COUNTIF($C38:I38,"&gt;0")&gt;0,DATE($B$1,7,1)=DATE(YEAR(TODAY()),MONTH(TODAY()),1))),1,0))</f>
        <v/>
      </c>
      <c r="W38">
        <f>IF($A38="","",IF(AND($B38&gt;0,J38&lt;$B38,DATE($B$1,8,1)&lt;=TODAY(),OR($O38="",$O38&gt;=DATE($B$1,8,1)),OR(COUNTIF($C38:J38,"&gt;0")&gt;0,DATE($B$1,8,1)=DATE(YEAR(TODAY()),MONTH(TODAY()),1))),1,0))</f>
        <v/>
      </c>
      <c r="X38">
        <f>IF($A38="","",IF(AND($B38&gt;0,K38&lt;$B38,DATE($B$1,9,1)&lt;=TODAY(),OR($O38="",$O38&gt;=DATE($B$1,9,1)),OR(COUNTIF($C38:K38,"&gt;0")&gt;0,DATE($B$1,9,1)=DATE(YEAR(TODAY()),MONTH(TODAY()),1))),1,0))</f>
        <v/>
      </c>
      <c r="Y38">
        <f>IF($A38="","",IF(AND($B38&gt;0,L38&lt;$B38,DATE($B$1,10,1)&lt;=TODAY(),OR($O38="",$O38&gt;=DATE($B$1,10,1)),OR(COUNTIF($C38:L38,"&gt;0")&gt;0,DATE($B$1,10,1)=DATE(YEAR(TODAY()),MONTH(TODAY()),1))),1,0))</f>
        <v/>
      </c>
      <c r="Z38">
        <f>IF($A38="","",IF(AND($B38&gt;0,M38&lt;$B38,DATE($B$1,11,1)&lt;=TODAY(),OR($O38="",$O38&gt;=DATE($B$1,11,1)),OR(COUNTIF($C38:M38,"&gt;0")&gt;0,DATE($B$1,11,1)=DATE(YEAR(TODAY()),MONTH(TODAY()),1))),1,0))</f>
        <v/>
      </c>
      <c r="AA38">
        <f>IF($A38="","",IF(AND($B38&gt;0,N38&lt;$B38,DATE($B$1,12,1)&lt;=TODAY(),OR($O38="",$O38&gt;=DATE($B$1,12,1)),OR(COUNTIF($C38:N38,"&gt;0")&gt;0,DATE($B$1,12,1)=DATE(YEAR(TODAY()),MONTH(TODAY()),1))),1,0))</f>
        <v/>
      </c>
    </row>
    <row r="39">
      <c r="A39" s="13">
        <f>IF(원생!$A37="","",원생!$A37&amp;IF(원생!$G37="",""," ("&amp;원생!$G37&amp;")"))</f>
        <v/>
      </c>
      <c r="B39" s="8">
        <f>IF(원생!$A37="","",원생!$F37)</f>
        <v/>
      </c>
      <c r="C39" s="14">
        <f>IF(원생!$A37="","",SUMIFS(수납!$F:$F,수납!$C:$C,원생!$A37,수납!$D:$D,IF(원생!$G37="","",원생!$G37),수납!$B:$B,$B$1&amp;"-"&amp;TEXT(1,"00")&amp;"*",수납!$E:$E,"수강료")+SUMIFS(수납!$F:$F,수납!$C:$C,원생!$A37,수납!$D:$D,IF(원생!$G37="","",원생!$G37),수납!$B:$B,$B$1&amp;"-"&amp;TEXT(1,"00")&amp;"*",수납!$E:$E,""))</f>
        <v/>
      </c>
      <c r="D39" s="14">
        <f>IF(원생!$A37="","",SUMIFS(수납!$F:$F,수납!$C:$C,원생!$A37,수납!$D:$D,IF(원생!$G37="","",원생!$G37),수납!$B:$B,$B$1&amp;"-"&amp;TEXT(2,"00")&amp;"*",수납!$E:$E,"수강료")+SUMIFS(수납!$F:$F,수납!$C:$C,원생!$A37,수납!$D:$D,IF(원생!$G37="","",원생!$G37),수납!$B:$B,$B$1&amp;"-"&amp;TEXT(2,"00")&amp;"*",수납!$E:$E,""))</f>
        <v/>
      </c>
      <c r="E39" s="14">
        <f>IF(원생!$A37="","",SUMIFS(수납!$F:$F,수납!$C:$C,원생!$A37,수납!$D:$D,IF(원생!$G37="","",원생!$G37),수납!$B:$B,$B$1&amp;"-"&amp;TEXT(3,"00")&amp;"*",수납!$E:$E,"수강료")+SUMIFS(수납!$F:$F,수납!$C:$C,원생!$A37,수납!$D:$D,IF(원생!$G37="","",원생!$G37),수납!$B:$B,$B$1&amp;"-"&amp;TEXT(3,"00")&amp;"*",수납!$E:$E,""))</f>
        <v/>
      </c>
      <c r="F39" s="14">
        <f>IF(원생!$A37="","",SUMIFS(수납!$F:$F,수납!$C:$C,원생!$A37,수납!$D:$D,IF(원생!$G37="","",원생!$G37),수납!$B:$B,$B$1&amp;"-"&amp;TEXT(4,"00")&amp;"*",수납!$E:$E,"수강료")+SUMIFS(수납!$F:$F,수납!$C:$C,원생!$A37,수납!$D:$D,IF(원생!$G37="","",원생!$G37),수납!$B:$B,$B$1&amp;"-"&amp;TEXT(4,"00")&amp;"*",수납!$E:$E,""))</f>
        <v/>
      </c>
      <c r="G39" s="14">
        <f>IF(원생!$A37="","",SUMIFS(수납!$F:$F,수납!$C:$C,원생!$A37,수납!$D:$D,IF(원생!$G37="","",원생!$G37),수납!$B:$B,$B$1&amp;"-"&amp;TEXT(5,"00")&amp;"*",수납!$E:$E,"수강료")+SUMIFS(수납!$F:$F,수납!$C:$C,원생!$A37,수납!$D:$D,IF(원생!$G37="","",원생!$G37),수납!$B:$B,$B$1&amp;"-"&amp;TEXT(5,"00")&amp;"*",수납!$E:$E,""))</f>
        <v/>
      </c>
      <c r="H39" s="14">
        <f>IF(원생!$A37="","",SUMIFS(수납!$F:$F,수납!$C:$C,원생!$A37,수납!$D:$D,IF(원생!$G37="","",원생!$G37),수납!$B:$B,$B$1&amp;"-"&amp;TEXT(6,"00")&amp;"*",수납!$E:$E,"수강료")+SUMIFS(수납!$F:$F,수납!$C:$C,원생!$A37,수납!$D:$D,IF(원생!$G37="","",원생!$G37),수납!$B:$B,$B$1&amp;"-"&amp;TEXT(6,"00")&amp;"*",수납!$E:$E,""))</f>
        <v/>
      </c>
      <c r="I39" s="14">
        <f>IF(원생!$A37="","",SUMIFS(수납!$F:$F,수납!$C:$C,원생!$A37,수납!$D:$D,IF(원생!$G37="","",원생!$G37),수납!$B:$B,$B$1&amp;"-"&amp;TEXT(7,"00")&amp;"*",수납!$E:$E,"수강료")+SUMIFS(수납!$F:$F,수납!$C:$C,원생!$A37,수납!$D:$D,IF(원생!$G37="","",원생!$G37),수납!$B:$B,$B$1&amp;"-"&amp;TEXT(7,"00")&amp;"*",수납!$E:$E,""))</f>
        <v/>
      </c>
      <c r="J39" s="14">
        <f>IF(원생!$A37="","",SUMIFS(수납!$F:$F,수납!$C:$C,원생!$A37,수납!$D:$D,IF(원생!$G37="","",원생!$G37),수납!$B:$B,$B$1&amp;"-"&amp;TEXT(8,"00")&amp;"*",수납!$E:$E,"수강료")+SUMIFS(수납!$F:$F,수납!$C:$C,원생!$A37,수납!$D:$D,IF(원생!$G37="","",원생!$G37),수납!$B:$B,$B$1&amp;"-"&amp;TEXT(8,"00")&amp;"*",수납!$E:$E,""))</f>
        <v/>
      </c>
      <c r="K39" s="14">
        <f>IF(원생!$A37="","",SUMIFS(수납!$F:$F,수납!$C:$C,원생!$A37,수납!$D:$D,IF(원생!$G37="","",원생!$G37),수납!$B:$B,$B$1&amp;"-"&amp;TEXT(9,"00")&amp;"*",수납!$E:$E,"수강료")+SUMIFS(수납!$F:$F,수납!$C:$C,원생!$A37,수납!$D:$D,IF(원생!$G37="","",원생!$G37),수납!$B:$B,$B$1&amp;"-"&amp;TEXT(9,"00")&amp;"*",수납!$E:$E,""))</f>
        <v/>
      </c>
      <c r="L39" s="14">
        <f>IF(원생!$A37="","",SUMIFS(수납!$F:$F,수납!$C:$C,원생!$A37,수납!$D:$D,IF(원생!$G37="","",원생!$G37),수납!$B:$B,$B$1&amp;"-"&amp;TEXT(10,"00")&amp;"*",수납!$E:$E,"수강료")+SUMIFS(수납!$F:$F,수납!$C:$C,원생!$A37,수납!$D:$D,IF(원생!$G37="","",원생!$G37),수납!$B:$B,$B$1&amp;"-"&amp;TEXT(10,"00")&amp;"*",수납!$E:$E,""))</f>
        <v/>
      </c>
      <c r="M39" s="14">
        <f>IF(원생!$A37="","",SUMIFS(수납!$F:$F,수납!$C:$C,원생!$A37,수납!$D:$D,IF(원생!$G37="","",원생!$G37),수납!$B:$B,$B$1&amp;"-"&amp;TEXT(11,"00")&amp;"*",수납!$E:$E,"수강료")+SUMIFS(수납!$F:$F,수납!$C:$C,원생!$A37,수납!$D:$D,IF(원생!$G37="","",원생!$G37),수납!$B:$B,$B$1&amp;"-"&amp;TEXT(11,"00")&amp;"*",수납!$E:$E,""))</f>
        <v/>
      </c>
      <c r="N39" s="14">
        <f>IF(원생!$A37="","",SUMIFS(수납!$F:$F,수납!$C:$C,원생!$A37,수납!$D:$D,IF(원생!$G37="","",원생!$G37),수납!$B:$B,$B$1&amp;"-"&amp;TEXT(12,"00")&amp;"*",수납!$E:$E,"수강료")+SUMIFS(수납!$F:$F,수납!$C:$C,원생!$A37,수납!$D:$D,IF(원생!$G37="","",원생!$G37),수납!$B:$B,$B$1&amp;"-"&amp;TEXT(12,"00")&amp;"*",수납!$E:$E,""))</f>
        <v/>
      </c>
      <c r="O39">
        <f>IF(원생!$I37="","",원생!$I37)</f>
        <v/>
      </c>
      <c r="P39">
        <f>IF($A39="","",IF(AND($B39&gt;0,C39&lt;$B39,DATE($B$1,1,1)&lt;=TODAY(),OR($O39="",$O39&gt;=DATE($B$1,1,1)),OR(COUNTIF($C39:C39,"&gt;0")&gt;0,DATE($B$1,1,1)=DATE(YEAR(TODAY()),MONTH(TODAY()),1))),1,0))</f>
        <v/>
      </c>
      <c r="Q39">
        <f>IF($A39="","",IF(AND($B39&gt;0,D39&lt;$B39,DATE($B$1,2,1)&lt;=TODAY(),OR($O39="",$O39&gt;=DATE($B$1,2,1)),OR(COUNTIF($C39:D39,"&gt;0")&gt;0,DATE($B$1,2,1)=DATE(YEAR(TODAY()),MONTH(TODAY()),1))),1,0))</f>
        <v/>
      </c>
      <c r="R39">
        <f>IF($A39="","",IF(AND($B39&gt;0,E39&lt;$B39,DATE($B$1,3,1)&lt;=TODAY(),OR($O39="",$O39&gt;=DATE($B$1,3,1)),OR(COUNTIF($C39:E39,"&gt;0")&gt;0,DATE($B$1,3,1)=DATE(YEAR(TODAY()),MONTH(TODAY()),1))),1,0))</f>
        <v/>
      </c>
      <c r="S39">
        <f>IF($A39="","",IF(AND($B39&gt;0,F39&lt;$B39,DATE($B$1,4,1)&lt;=TODAY(),OR($O39="",$O39&gt;=DATE($B$1,4,1)),OR(COUNTIF($C39:F39,"&gt;0")&gt;0,DATE($B$1,4,1)=DATE(YEAR(TODAY()),MONTH(TODAY()),1))),1,0))</f>
        <v/>
      </c>
      <c r="T39">
        <f>IF($A39="","",IF(AND($B39&gt;0,G39&lt;$B39,DATE($B$1,5,1)&lt;=TODAY(),OR($O39="",$O39&gt;=DATE($B$1,5,1)),OR(COUNTIF($C39:G39,"&gt;0")&gt;0,DATE($B$1,5,1)=DATE(YEAR(TODAY()),MONTH(TODAY()),1))),1,0))</f>
        <v/>
      </c>
      <c r="U39">
        <f>IF($A39="","",IF(AND($B39&gt;0,H39&lt;$B39,DATE($B$1,6,1)&lt;=TODAY(),OR($O39="",$O39&gt;=DATE($B$1,6,1)),OR(COUNTIF($C39:H39,"&gt;0")&gt;0,DATE($B$1,6,1)=DATE(YEAR(TODAY()),MONTH(TODAY()),1))),1,0))</f>
        <v/>
      </c>
      <c r="V39">
        <f>IF($A39="","",IF(AND($B39&gt;0,I39&lt;$B39,DATE($B$1,7,1)&lt;=TODAY(),OR($O39="",$O39&gt;=DATE($B$1,7,1)),OR(COUNTIF($C39:I39,"&gt;0")&gt;0,DATE($B$1,7,1)=DATE(YEAR(TODAY()),MONTH(TODAY()),1))),1,0))</f>
        <v/>
      </c>
      <c r="W39">
        <f>IF($A39="","",IF(AND($B39&gt;0,J39&lt;$B39,DATE($B$1,8,1)&lt;=TODAY(),OR($O39="",$O39&gt;=DATE($B$1,8,1)),OR(COUNTIF($C39:J39,"&gt;0")&gt;0,DATE($B$1,8,1)=DATE(YEAR(TODAY()),MONTH(TODAY()),1))),1,0))</f>
        <v/>
      </c>
      <c r="X39">
        <f>IF($A39="","",IF(AND($B39&gt;0,K39&lt;$B39,DATE($B$1,9,1)&lt;=TODAY(),OR($O39="",$O39&gt;=DATE($B$1,9,1)),OR(COUNTIF($C39:K39,"&gt;0")&gt;0,DATE($B$1,9,1)=DATE(YEAR(TODAY()),MONTH(TODAY()),1))),1,0))</f>
        <v/>
      </c>
      <c r="Y39">
        <f>IF($A39="","",IF(AND($B39&gt;0,L39&lt;$B39,DATE($B$1,10,1)&lt;=TODAY(),OR($O39="",$O39&gt;=DATE($B$1,10,1)),OR(COUNTIF($C39:L39,"&gt;0")&gt;0,DATE($B$1,10,1)=DATE(YEAR(TODAY()),MONTH(TODAY()),1))),1,0))</f>
        <v/>
      </c>
      <c r="Z39">
        <f>IF($A39="","",IF(AND($B39&gt;0,M39&lt;$B39,DATE($B$1,11,1)&lt;=TODAY(),OR($O39="",$O39&gt;=DATE($B$1,11,1)),OR(COUNTIF($C39:M39,"&gt;0")&gt;0,DATE($B$1,11,1)=DATE(YEAR(TODAY()),MONTH(TODAY()),1))),1,0))</f>
        <v/>
      </c>
      <c r="AA39">
        <f>IF($A39="","",IF(AND($B39&gt;0,N39&lt;$B39,DATE($B$1,12,1)&lt;=TODAY(),OR($O39="",$O39&gt;=DATE($B$1,12,1)),OR(COUNTIF($C39:N39,"&gt;0")&gt;0,DATE($B$1,12,1)=DATE(YEAR(TODAY()),MONTH(TODAY()),1))),1,0))</f>
        <v/>
      </c>
    </row>
    <row r="40">
      <c r="A40" s="13">
        <f>IF(원생!$A38="","",원생!$A38&amp;IF(원생!$G38="",""," ("&amp;원생!$G38&amp;")"))</f>
        <v/>
      </c>
      <c r="B40" s="8">
        <f>IF(원생!$A38="","",원생!$F38)</f>
        <v/>
      </c>
      <c r="C40" s="14">
        <f>IF(원생!$A38="","",SUMIFS(수납!$F:$F,수납!$C:$C,원생!$A38,수납!$D:$D,IF(원생!$G38="","",원생!$G38),수납!$B:$B,$B$1&amp;"-"&amp;TEXT(1,"00")&amp;"*",수납!$E:$E,"수강료")+SUMIFS(수납!$F:$F,수납!$C:$C,원생!$A38,수납!$D:$D,IF(원생!$G38="","",원생!$G38),수납!$B:$B,$B$1&amp;"-"&amp;TEXT(1,"00")&amp;"*",수납!$E:$E,""))</f>
        <v/>
      </c>
      <c r="D40" s="14">
        <f>IF(원생!$A38="","",SUMIFS(수납!$F:$F,수납!$C:$C,원생!$A38,수납!$D:$D,IF(원생!$G38="","",원생!$G38),수납!$B:$B,$B$1&amp;"-"&amp;TEXT(2,"00")&amp;"*",수납!$E:$E,"수강료")+SUMIFS(수납!$F:$F,수납!$C:$C,원생!$A38,수납!$D:$D,IF(원생!$G38="","",원생!$G38),수납!$B:$B,$B$1&amp;"-"&amp;TEXT(2,"00")&amp;"*",수납!$E:$E,""))</f>
        <v/>
      </c>
      <c r="E40" s="14">
        <f>IF(원생!$A38="","",SUMIFS(수납!$F:$F,수납!$C:$C,원생!$A38,수납!$D:$D,IF(원생!$G38="","",원생!$G38),수납!$B:$B,$B$1&amp;"-"&amp;TEXT(3,"00")&amp;"*",수납!$E:$E,"수강료")+SUMIFS(수납!$F:$F,수납!$C:$C,원생!$A38,수납!$D:$D,IF(원생!$G38="","",원생!$G38),수납!$B:$B,$B$1&amp;"-"&amp;TEXT(3,"00")&amp;"*",수납!$E:$E,""))</f>
        <v/>
      </c>
      <c r="F40" s="14">
        <f>IF(원생!$A38="","",SUMIFS(수납!$F:$F,수납!$C:$C,원생!$A38,수납!$D:$D,IF(원생!$G38="","",원생!$G38),수납!$B:$B,$B$1&amp;"-"&amp;TEXT(4,"00")&amp;"*",수납!$E:$E,"수강료")+SUMIFS(수납!$F:$F,수납!$C:$C,원생!$A38,수납!$D:$D,IF(원생!$G38="","",원생!$G38),수납!$B:$B,$B$1&amp;"-"&amp;TEXT(4,"00")&amp;"*",수납!$E:$E,""))</f>
        <v/>
      </c>
      <c r="G40" s="14">
        <f>IF(원생!$A38="","",SUMIFS(수납!$F:$F,수납!$C:$C,원생!$A38,수납!$D:$D,IF(원생!$G38="","",원생!$G38),수납!$B:$B,$B$1&amp;"-"&amp;TEXT(5,"00")&amp;"*",수납!$E:$E,"수강료")+SUMIFS(수납!$F:$F,수납!$C:$C,원생!$A38,수납!$D:$D,IF(원생!$G38="","",원생!$G38),수납!$B:$B,$B$1&amp;"-"&amp;TEXT(5,"00")&amp;"*",수납!$E:$E,""))</f>
        <v/>
      </c>
      <c r="H40" s="14">
        <f>IF(원생!$A38="","",SUMIFS(수납!$F:$F,수납!$C:$C,원생!$A38,수납!$D:$D,IF(원생!$G38="","",원생!$G38),수납!$B:$B,$B$1&amp;"-"&amp;TEXT(6,"00")&amp;"*",수납!$E:$E,"수강료")+SUMIFS(수납!$F:$F,수납!$C:$C,원생!$A38,수납!$D:$D,IF(원생!$G38="","",원생!$G38),수납!$B:$B,$B$1&amp;"-"&amp;TEXT(6,"00")&amp;"*",수납!$E:$E,""))</f>
        <v/>
      </c>
      <c r="I40" s="14">
        <f>IF(원생!$A38="","",SUMIFS(수납!$F:$F,수납!$C:$C,원생!$A38,수납!$D:$D,IF(원생!$G38="","",원생!$G38),수납!$B:$B,$B$1&amp;"-"&amp;TEXT(7,"00")&amp;"*",수납!$E:$E,"수강료")+SUMIFS(수납!$F:$F,수납!$C:$C,원생!$A38,수납!$D:$D,IF(원생!$G38="","",원생!$G38),수납!$B:$B,$B$1&amp;"-"&amp;TEXT(7,"00")&amp;"*",수납!$E:$E,""))</f>
        <v/>
      </c>
      <c r="J40" s="14">
        <f>IF(원생!$A38="","",SUMIFS(수납!$F:$F,수납!$C:$C,원생!$A38,수납!$D:$D,IF(원생!$G38="","",원생!$G38),수납!$B:$B,$B$1&amp;"-"&amp;TEXT(8,"00")&amp;"*",수납!$E:$E,"수강료")+SUMIFS(수납!$F:$F,수납!$C:$C,원생!$A38,수납!$D:$D,IF(원생!$G38="","",원생!$G38),수납!$B:$B,$B$1&amp;"-"&amp;TEXT(8,"00")&amp;"*",수납!$E:$E,""))</f>
        <v/>
      </c>
      <c r="K40" s="14">
        <f>IF(원생!$A38="","",SUMIFS(수납!$F:$F,수납!$C:$C,원생!$A38,수납!$D:$D,IF(원생!$G38="","",원생!$G38),수납!$B:$B,$B$1&amp;"-"&amp;TEXT(9,"00")&amp;"*",수납!$E:$E,"수강료")+SUMIFS(수납!$F:$F,수납!$C:$C,원생!$A38,수납!$D:$D,IF(원생!$G38="","",원생!$G38),수납!$B:$B,$B$1&amp;"-"&amp;TEXT(9,"00")&amp;"*",수납!$E:$E,""))</f>
        <v/>
      </c>
      <c r="L40" s="14">
        <f>IF(원생!$A38="","",SUMIFS(수납!$F:$F,수납!$C:$C,원생!$A38,수납!$D:$D,IF(원생!$G38="","",원생!$G38),수납!$B:$B,$B$1&amp;"-"&amp;TEXT(10,"00")&amp;"*",수납!$E:$E,"수강료")+SUMIFS(수납!$F:$F,수납!$C:$C,원생!$A38,수납!$D:$D,IF(원생!$G38="","",원생!$G38),수납!$B:$B,$B$1&amp;"-"&amp;TEXT(10,"00")&amp;"*",수납!$E:$E,""))</f>
        <v/>
      </c>
      <c r="M40" s="14">
        <f>IF(원생!$A38="","",SUMIFS(수납!$F:$F,수납!$C:$C,원생!$A38,수납!$D:$D,IF(원생!$G38="","",원생!$G38),수납!$B:$B,$B$1&amp;"-"&amp;TEXT(11,"00")&amp;"*",수납!$E:$E,"수강료")+SUMIFS(수납!$F:$F,수납!$C:$C,원생!$A38,수납!$D:$D,IF(원생!$G38="","",원생!$G38),수납!$B:$B,$B$1&amp;"-"&amp;TEXT(11,"00")&amp;"*",수납!$E:$E,""))</f>
        <v/>
      </c>
      <c r="N40" s="14">
        <f>IF(원생!$A38="","",SUMIFS(수납!$F:$F,수납!$C:$C,원생!$A38,수납!$D:$D,IF(원생!$G38="","",원생!$G38),수납!$B:$B,$B$1&amp;"-"&amp;TEXT(12,"00")&amp;"*",수납!$E:$E,"수강료")+SUMIFS(수납!$F:$F,수납!$C:$C,원생!$A38,수납!$D:$D,IF(원생!$G38="","",원생!$G38),수납!$B:$B,$B$1&amp;"-"&amp;TEXT(12,"00")&amp;"*",수납!$E:$E,""))</f>
        <v/>
      </c>
      <c r="O40">
        <f>IF(원생!$I38="","",원생!$I38)</f>
        <v/>
      </c>
      <c r="P40">
        <f>IF($A40="","",IF(AND($B40&gt;0,C40&lt;$B40,DATE($B$1,1,1)&lt;=TODAY(),OR($O40="",$O40&gt;=DATE($B$1,1,1)),OR(COUNTIF($C40:C40,"&gt;0")&gt;0,DATE($B$1,1,1)=DATE(YEAR(TODAY()),MONTH(TODAY()),1))),1,0))</f>
        <v/>
      </c>
      <c r="Q40">
        <f>IF($A40="","",IF(AND($B40&gt;0,D40&lt;$B40,DATE($B$1,2,1)&lt;=TODAY(),OR($O40="",$O40&gt;=DATE($B$1,2,1)),OR(COUNTIF($C40:D40,"&gt;0")&gt;0,DATE($B$1,2,1)=DATE(YEAR(TODAY()),MONTH(TODAY()),1))),1,0))</f>
        <v/>
      </c>
      <c r="R40">
        <f>IF($A40="","",IF(AND($B40&gt;0,E40&lt;$B40,DATE($B$1,3,1)&lt;=TODAY(),OR($O40="",$O40&gt;=DATE($B$1,3,1)),OR(COUNTIF($C40:E40,"&gt;0")&gt;0,DATE($B$1,3,1)=DATE(YEAR(TODAY()),MONTH(TODAY()),1))),1,0))</f>
        <v/>
      </c>
      <c r="S40">
        <f>IF($A40="","",IF(AND($B40&gt;0,F40&lt;$B40,DATE($B$1,4,1)&lt;=TODAY(),OR($O40="",$O40&gt;=DATE($B$1,4,1)),OR(COUNTIF($C40:F40,"&gt;0")&gt;0,DATE($B$1,4,1)=DATE(YEAR(TODAY()),MONTH(TODAY()),1))),1,0))</f>
        <v/>
      </c>
      <c r="T40">
        <f>IF($A40="","",IF(AND($B40&gt;0,G40&lt;$B40,DATE($B$1,5,1)&lt;=TODAY(),OR($O40="",$O40&gt;=DATE($B$1,5,1)),OR(COUNTIF($C40:G40,"&gt;0")&gt;0,DATE($B$1,5,1)=DATE(YEAR(TODAY()),MONTH(TODAY()),1))),1,0))</f>
        <v/>
      </c>
      <c r="U40">
        <f>IF($A40="","",IF(AND($B40&gt;0,H40&lt;$B40,DATE($B$1,6,1)&lt;=TODAY(),OR($O40="",$O40&gt;=DATE($B$1,6,1)),OR(COUNTIF($C40:H40,"&gt;0")&gt;0,DATE($B$1,6,1)=DATE(YEAR(TODAY()),MONTH(TODAY()),1))),1,0))</f>
        <v/>
      </c>
      <c r="V40">
        <f>IF($A40="","",IF(AND($B40&gt;0,I40&lt;$B40,DATE($B$1,7,1)&lt;=TODAY(),OR($O40="",$O40&gt;=DATE($B$1,7,1)),OR(COUNTIF($C40:I40,"&gt;0")&gt;0,DATE($B$1,7,1)=DATE(YEAR(TODAY()),MONTH(TODAY()),1))),1,0))</f>
        <v/>
      </c>
      <c r="W40">
        <f>IF($A40="","",IF(AND($B40&gt;0,J40&lt;$B40,DATE($B$1,8,1)&lt;=TODAY(),OR($O40="",$O40&gt;=DATE($B$1,8,1)),OR(COUNTIF($C40:J40,"&gt;0")&gt;0,DATE($B$1,8,1)=DATE(YEAR(TODAY()),MONTH(TODAY()),1))),1,0))</f>
        <v/>
      </c>
      <c r="X40">
        <f>IF($A40="","",IF(AND($B40&gt;0,K40&lt;$B40,DATE($B$1,9,1)&lt;=TODAY(),OR($O40="",$O40&gt;=DATE($B$1,9,1)),OR(COUNTIF($C40:K40,"&gt;0")&gt;0,DATE($B$1,9,1)=DATE(YEAR(TODAY()),MONTH(TODAY()),1))),1,0))</f>
        <v/>
      </c>
      <c r="Y40">
        <f>IF($A40="","",IF(AND($B40&gt;0,L40&lt;$B40,DATE($B$1,10,1)&lt;=TODAY(),OR($O40="",$O40&gt;=DATE($B$1,10,1)),OR(COUNTIF($C40:L40,"&gt;0")&gt;0,DATE($B$1,10,1)=DATE(YEAR(TODAY()),MONTH(TODAY()),1))),1,0))</f>
        <v/>
      </c>
      <c r="Z40">
        <f>IF($A40="","",IF(AND($B40&gt;0,M40&lt;$B40,DATE($B$1,11,1)&lt;=TODAY(),OR($O40="",$O40&gt;=DATE($B$1,11,1)),OR(COUNTIF($C40:M40,"&gt;0")&gt;0,DATE($B$1,11,1)=DATE(YEAR(TODAY()),MONTH(TODAY()),1))),1,0))</f>
        <v/>
      </c>
      <c r="AA40">
        <f>IF($A40="","",IF(AND($B40&gt;0,N40&lt;$B40,DATE($B$1,12,1)&lt;=TODAY(),OR($O40="",$O40&gt;=DATE($B$1,12,1)),OR(COUNTIF($C40:N40,"&gt;0")&gt;0,DATE($B$1,12,1)=DATE(YEAR(TODAY()),MONTH(TODAY()),1))),1,0))</f>
        <v/>
      </c>
    </row>
    <row r="41">
      <c r="A41" s="13">
        <f>IF(원생!$A39="","",원생!$A39&amp;IF(원생!$G39="",""," ("&amp;원생!$G39&amp;")"))</f>
        <v/>
      </c>
      <c r="B41" s="8">
        <f>IF(원생!$A39="","",원생!$F39)</f>
        <v/>
      </c>
      <c r="C41" s="14">
        <f>IF(원생!$A39="","",SUMIFS(수납!$F:$F,수납!$C:$C,원생!$A39,수납!$D:$D,IF(원생!$G39="","",원생!$G39),수납!$B:$B,$B$1&amp;"-"&amp;TEXT(1,"00")&amp;"*",수납!$E:$E,"수강료")+SUMIFS(수납!$F:$F,수납!$C:$C,원생!$A39,수납!$D:$D,IF(원생!$G39="","",원생!$G39),수납!$B:$B,$B$1&amp;"-"&amp;TEXT(1,"00")&amp;"*",수납!$E:$E,""))</f>
        <v/>
      </c>
      <c r="D41" s="14">
        <f>IF(원생!$A39="","",SUMIFS(수납!$F:$F,수납!$C:$C,원생!$A39,수납!$D:$D,IF(원생!$G39="","",원생!$G39),수납!$B:$B,$B$1&amp;"-"&amp;TEXT(2,"00")&amp;"*",수납!$E:$E,"수강료")+SUMIFS(수납!$F:$F,수납!$C:$C,원생!$A39,수납!$D:$D,IF(원생!$G39="","",원생!$G39),수납!$B:$B,$B$1&amp;"-"&amp;TEXT(2,"00")&amp;"*",수납!$E:$E,""))</f>
        <v/>
      </c>
      <c r="E41" s="14">
        <f>IF(원생!$A39="","",SUMIFS(수납!$F:$F,수납!$C:$C,원생!$A39,수납!$D:$D,IF(원생!$G39="","",원생!$G39),수납!$B:$B,$B$1&amp;"-"&amp;TEXT(3,"00")&amp;"*",수납!$E:$E,"수강료")+SUMIFS(수납!$F:$F,수납!$C:$C,원생!$A39,수납!$D:$D,IF(원생!$G39="","",원생!$G39),수납!$B:$B,$B$1&amp;"-"&amp;TEXT(3,"00")&amp;"*",수납!$E:$E,""))</f>
        <v/>
      </c>
      <c r="F41" s="14">
        <f>IF(원생!$A39="","",SUMIFS(수납!$F:$F,수납!$C:$C,원생!$A39,수납!$D:$D,IF(원생!$G39="","",원생!$G39),수납!$B:$B,$B$1&amp;"-"&amp;TEXT(4,"00")&amp;"*",수납!$E:$E,"수강료")+SUMIFS(수납!$F:$F,수납!$C:$C,원생!$A39,수납!$D:$D,IF(원생!$G39="","",원생!$G39),수납!$B:$B,$B$1&amp;"-"&amp;TEXT(4,"00")&amp;"*",수납!$E:$E,""))</f>
        <v/>
      </c>
      <c r="G41" s="14">
        <f>IF(원생!$A39="","",SUMIFS(수납!$F:$F,수납!$C:$C,원생!$A39,수납!$D:$D,IF(원생!$G39="","",원생!$G39),수납!$B:$B,$B$1&amp;"-"&amp;TEXT(5,"00")&amp;"*",수납!$E:$E,"수강료")+SUMIFS(수납!$F:$F,수납!$C:$C,원생!$A39,수납!$D:$D,IF(원생!$G39="","",원생!$G39),수납!$B:$B,$B$1&amp;"-"&amp;TEXT(5,"00")&amp;"*",수납!$E:$E,""))</f>
        <v/>
      </c>
      <c r="H41" s="14">
        <f>IF(원생!$A39="","",SUMIFS(수납!$F:$F,수납!$C:$C,원생!$A39,수납!$D:$D,IF(원생!$G39="","",원생!$G39),수납!$B:$B,$B$1&amp;"-"&amp;TEXT(6,"00")&amp;"*",수납!$E:$E,"수강료")+SUMIFS(수납!$F:$F,수납!$C:$C,원생!$A39,수납!$D:$D,IF(원생!$G39="","",원생!$G39),수납!$B:$B,$B$1&amp;"-"&amp;TEXT(6,"00")&amp;"*",수납!$E:$E,""))</f>
        <v/>
      </c>
      <c r="I41" s="14">
        <f>IF(원생!$A39="","",SUMIFS(수납!$F:$F,수납!$C:$C,원생!$A39,수납!$D:$D,IF(원생!$G39="","",원생!$G39),수납!$B:$B,$B$1&amp;"-"&amp;TEXT(7,"00")&amp;"*",수납!$E:$E,"수강료")+SUMIFS(수납!$F:$F,수납!$C:$C,원생!$A39,수납!$D:$D,IF(원생!$G39="","",원생!$G39),수납!$B:$B,$B$1&amp;"-"&amp;TEXT(7,"00")&amp;"*",수납!$E:$E,""))</f>
        <v/>
      </c>
      <c r="J41" s="14">
        <f>IF(원생!$A39="","",SUMIFS(수납!$F:$F,수납!$C:$C,원생!$A39,수납!$D:$D,IF(원생!$G39="","",원생!$G39),수납!$B:$B,$B$1&amp;"-"&amp;TEXT(8,"00")&amp;"*",수납!$E:$E,"수강료")+SUMIFS(수납!$F:$F,수납!$C:$C,원생!$A39,수납!$D:$D,IF(원생!$G39="","",원생!$G39),수납!$B:$B,$B$1&amp;"-"&amp;TEXT(8,"00")&amp;"*",수납!$E:$E,""))</f>
        <v/>
      </c>
      <c r="K41" s="14">
        <f>IF(원생!$A39="","",SUMIFS(수납!$F:$F,수납!$C:$C,원생!$A39,수납!$D:$D,IF(원생!$G39="","",원생!$G39),수납!$B:$B,$B$1&amp;"-"&amp;TEXT(9,"00")&amp;"*",수납!$E:$E,"수강료")+SUMIFS(수납!$F:$F,수납!$C:$C,원생!$A39,수납!$D:$D,IF(원생!$G39="","",원생!$G39),수납!$B:$B,$B$1&amp;"-"&amp;TEXT(9,"00")&amp;"*",수납!$E:$E,""))</f>
        <v/>
      </c>
      <c r="L41" s="14">
        <f>IF(원생!$A39="","",SUMIFS(수납!$F:$F,수납!$C:$C,원생!$A39,수납!$D:$D,IF(원생!$G39="","",원생!$G39),수납!$B:$B,$B$1&amp;"-"&amp;TEXT(10,"00")&amp;"*",수납!$E:$E,"수강료")+SUMIFS(수납!$F:$F,수납!$C:$C,원생!$A39,수납!$D:$D,IF(원생!$G39="","",원생!$G39),수납!$B:$B,$B$1&amp;"-"&amp;TEXT(10,"00")&amp;"*",수납!$E:$E,""))</f>
        <v/>
      </c>
      <c r="M41" s="14">
        <f>IF(원생!$A39="","",SUMIFS(수납!$F:$F,수납!$C:$C,원생!$A39,수납!$D:$D,IF(원생!$G39="","",원생!$G39),수납!$B:$B,$B$1&amp;"-"&amp;TEXT(11,"00")&amp;"*",수납!$E:$E,"수강료")+SUMIFS(수납!$F:$F,수납!$C:$C,원생!$A39,수납!$D:$D,IF(원생!$G39="","",원생!$G39),수납!$B:$B,$B$1&amp;"-"&amp;TEXT(11,"00")&amp;"*",수납!$E:$E,""))</f>
        <v/>
      </c>
      <c r="N41" s="14">
        <f>IF(원생!$A39="","",SUMIFS(수납!$F:$F,수납!$C:$C,원생!$A39,수납!$D:$D,IF(원생!$G39="","",원생!$G39),수납!$B:$B,$B$1&amp;"-"&amp;TEXT(12,"00")&amp;"*",수납!$E:$E,"수강료")+SUMIFS(수납!$F:$F,수납!$C:$C,원생!$A39,수납!$D:$D,IF(원생!$G39="","",원생!$G39),수납!$B:$B,$B$1&amp;"-"&amp;TEXT(12,"00")&amp;"*",수납!$E:$E,""))</f>
        <v/>
      </c>
      <c r="O41">
        <f>IF(원생!$I39="","",원생!$I39)</f>
        <v/>
      </c>
      <c r="P41">
        <f>IF($A41="","",IF(AND($B41&gt;0,C41&lt;$B41,DATE($B$1,1,1)&lt;=TODAY(),OR($O41="",$O41&gt;=DATE($B$1,1,1)),OR(COUNTIF($C41:C41,"&gt;0")&gt;0,DATE($B$1,1,1)=DATE(YEAR(TODAY()),MONTH(TODAY()),1))),1,0))</f>
        <v/>
      </c>
      <c r="Q41">
        <f>IF($A41="","",IF(AND($B41&gt;0,D41&lt;$B41,DATE($B$1,2,1)&lt;=TODAY(),OR($O41="",$O41&gt;=DATE($B$1,2,1)),OR(COUNTIF($C41:D41,"&gt;0")&gt;0,DATE($B$1,2,1)=DATE(YEAR(TODAY()),MONTH(TODAY()),1))),1,0))</f>
        <v/>
      </c>
      <c r="R41">
        <f>IF($A41="","",IF(AND($B41&gt;0,E41&lt;$B41,DATE($B$1,3,1)&lt;=TODAY(),OR($O41="",$O41&gt;=DATE($B$1,3,1)),OR(COUNTIF($C41:E41,"&gt;0")&gt;0,DATE($B$1,3,1)=DATE(YEAR(TODAY()),MONTH(TODAY()),1))),1,0))</f>
        <v/>
      </c>
      <c r="S41">
        <f>IF($A41="","",IF(AND($B41&gt;0,F41&lt;$B41,DATE($B$1,4,1)&lt;=TODAY(),OR($O41="",$O41&gt;=DATE($B$1,4,1)),OR(COUNTIF($C41:F41,"&gt;0")&gt;0,DATE($B$1,4,1)=DATE(YEAR(TODAY()),MONTH(TODAY()),1))),1,0))</f>
        <v/>
      </c>
      <c r="T41">
        <f>IF($A41="","",IF(AND($B41&gt;0,G41&lt;$B41,DATE($B$1,5,1)&lt;=TODAY(),OR($O41="",$O41&gt;=DATE($B$1,5,1)),OR(COUNTIF($C41:G41,"&gt;0")&gt;0,DATE($B$1,5,1)=DATE(YEAR(TODAY()),MONTH(TODAY()),1))),1,0))</f>
        <v/>
      </c>
      <c r="U41">
        <f>IF($A41="","",IF(AND($B41&gt;0,H41&lt;$B41,DATE($B$1,6,1)&lt;=TODAY(),OR($O41="",$O41&gt;=DATE($B$1,6,1)),OR(COUNTIF($C41:H41,"&gt;0")&gt;0,DATE($B$1,6,1)=DATE(YEAR(TODAY()),MONTH(TODAY()),1))),1,0))</f>
        <v/>
      </c>
      <c r="V41">
        <f>IF($A41="","",IF(AND($B41&gt;0,I41&lt;$B41,DATE($B$1,7,1)&lt;=TODAY(),OR($O41="",$O41&gt;=DATE($B$1,7,1)),OR(COUNTIF($C41:I41,"&gt;0")&gt;0,DATE($B$1,7,1)=DATE(YEAR(TODAY()),MONTH(TODAY()),1))),1,0))</f>
        <v/>
      </c>
      <c r="W41">
        <f>IF($A41="","",IF(AND($B41&gt;0,J41&lt;$B41,DATE($B$1,8,1)&lt;=TODAY(),OR($O41="",$O41&gt;=DATE($B$1,8,1)),OR(COUNTIF($C41:J41,"&gt;0")&gt;0,DATE($B$1,8,1)=DATE(YEAR(TODAY()),MONTH(TODAY()),1))),1,0))</f>
        <v/>
      </c>
      <c r="X41">
        <f>IF($A41="","",IF(AND($B41&gt;0,K41&lt;$B41,DATE($B$1,9,1)&lt;=TODAY(),OR($O41="",$O41&gt;=DATE($B$1,9,1)),OR(COUNTIF($C41:K41,"&gt;0")&gt;0,DATE($B$1,9,1)=DATE(YEAR(TODAY()),MONTH(TODAY()),1))),1,0))</f>
        <v/>
      </c>
      <c r="Y41">
        <f>IF($A41="","",IF(AND($B41&gt;0,L41&lt;$B41,DATE($B$1,10,1)&lt;=TODAY(),OR($O41="",$O41&gt;=DATE($B$1,10,1)),OR(COUNTIF($C41:L41,"&gt;0")&gt;0,DATE($B$1,10,1)=DATE(YEAR(TODAY()),MONTH(TODAY()),1))),1,0))</f>
        <v/>
      </c>
      <c r="Z41">
        <f>IF($A41="","",IF(AND($B41&gt;0,M41&lt;$B41,DATE($B$1,11,1)&lt;=TODAY(),OR($O41="",$O41&gt;=DATE($B$1,11,1)),OR(COUNTIF($C41:M41,"&gt;0")&gt;0,DATE($B$1,11,1)=DATE(YEAR(TODAY()),MONTH(TODAY()),1))),1,0))</f>
        <v/>
      </c>
      <c r="AA41">
        <f>IF($A41="","",IF(AND($B41&gt;0,N41&lt;$B41,DATE($B$1,12,1)&lt;=TODAY(),OR($O41="",$O41&gt;=DATE($B$1,12,1)),OR(COUNTIF($C41:N41,"&gt;0")&gt;0,DATE($B$1,12,1)=DATE(YEAR(TODAY()),MONTH(TODAY()),1))),1,0))</f>
        <v/>
      </c>
    </row>
    <row r="42">
      <c r="A42" s="13">
        <f>IF(원생!$A40="","",원생!$A40&amp;IF(원생!$G40="",""," ("&amp;원생!$G40&amp;")"))</f>
        <v/>
      </c>
      <c r="B42" s="8">
        <f>IF(원생!$A40="","",원생!$F40)</f>
        <v/>
      </c>
      <c r="C42" s="14">
        <f>IF(원생!$A40="","",SUMIFS(수납!$F:$F,수납!$C:$C,원생!$A40,수납!$D:$D,IF(원생!$G40="","",원생!$G40),수납!$B:$B,$B$1&amp;"-"&amp;TEXT(1,"00")&amp;"*",수납!$E:$E,"수강료")+SUMIFS(수납!$F:$F,수납!$C:$C,원생!$A40,수납!$D:$D,IF(원생!$G40="","",원생!$G40),수납!$B:$B,$B$1&amp;"-"&amp;TEXT(1,"00")&amp;"*",수납!$E:$E,""))</f>
        <v/>
      </c>
      <c r="D42" s="14">
        <f>IF(원생!$A40="","",SUMIFS(수납!$F:$F,수납!$C:$C,원생!$A40,수납!$D:$D,IF(원생!$G40="","",원생!$G40),수납!$B:$B,$B$1&amp;"-"&amp;TEXT(2,"00")&amp;"*",수납!$E:$E,"수강료")+SUMIFS(수납!$F:$F,수납!$C:$C,원생!$A40,수납!$D:$D,IF(원생!$G40="","",원생!$G40),수납!$B:$B,$B$1&amp;"-"&amp;TEXT(2,"00")&amp;"*",수납!$E:$E,""))</f>
        <v/>
      </c>
      <c r="E42" s="14">
        <f>IF(원생!$A40="","",SUMIFS(수납!$F:$F,수납!$C:$C,원생!$A40,수납!$D:$D,IF(원생!$G40="","",원생!$G40),수납!$B:$B,$B$1&amp;"-"&amp;TEXT(3,"00")&amp;"*",수납!$E:$E,"수강료")+SUMIFS(수납!$F:$F,수납!$C:$C,원생!$A40,수납!$D:$D,IF(원생!$G40="","",원생!$G40),수납!$B:$B,$B$1&amp;"-"&amp;TEXT(3,"00")&amp;"*",수납!$E:$E,""))</f>
        <v/>
      </c>
      <c r="F42" s="14">
        <f>IF(원생!$A40="","",SUMIFS(수납!$F:$F,수납!$C:$C,원생!$A40,수납!$D:$D,IF(원생!$G40="","",원생!$G40),수납!$B:$B,$B$1&amp;"-"&amp;TEXT(4,"00")&amp;"*",수납!$E:$E,"수강료")+SUMIFS(수납!$F:$F,수납!$C:$C,원생!$A40,수납!$D:$D,IF(원생!$G40="","",원생!$G40),수납!$B:$B,$B$1&amp;"-"&amp;TEXT(4,"00")&amp;"*",수납!$E:$E,""))</f>
        <v/>
      </c>
      <c r="G42" s="14">
        <f>IF(원생!$A40="","",SUMIFS(수납!$F:$F,수납!$C:$C,원생!$A40,수납!$D:$D,IF(원생!$G40="","",원생!$G40),수납!$B:$B,$B$1&amp;"-"&amp;TEXT(5,"00")&amp;"*",수납!$E:$E,"수강료")+SUMIFS(수납!$F:$F,수납!$C:$C,원생!$A40,수납!$D:$D,IF(원생!$G40="","",원생!$G40),수납!$B:$B,$B$1&amp;"-"&amp;TEXT(5,"00")&amp;"*",수납!$E:$E,""))</f>
        <v/>
      </c>
      <c r="H42" s="14">
        <f>IF(원생!$A40="","",SUMIFS(수납!$F:$F,수납!$C:$C,원생!$A40,수납!$D:$D,IF(원생!$G40="","",원생!$G40),수납!$B:$B,$B$1&amp;"-"&amp;TEXT(6,"00")&amp;"*",수납!$E:$E,"수강료")+SUMIFS(수납!$F:$F,수납!$C:$C,원생!$A40,수납!$D:$D,IF(원생!$G40="","",원생!$G40),수납!$B:$B,$B$1&amp;"-"&amp;TEXT(6,"00")&amp;"*",수납!$E:$E,""))</f>
        <v/>
      </c>
      <c r="I42" s="14">
        <f>IF(원생!$A40="","",SUMIFS(수납!$F:$F,수납!$C:$C,원생!$A40,수납!$D:$D,IF(원생!$G40="","",원생!$G40),수납!$B:$B,$B$1&amp;"-"&amp;TEXT(7,"00")&amp;"*",수납!$E:$E,"수강료")+SUMIFS(수납!$F:$F,수납!$C:$C,원생!$A40,수납!$D:$D,IF(원생!$G40="","",원생!$G40),수납!$B:$B,$B$1&amp;"-"&amp;TEXT(7,"00")&amp;"*",수납!$E:$E,""))</f>
        <v/>
      </c>
      <c r="J42" s="14">
        <f>IF(원생!$A40="","",SUMIFS(수납!$F:$F,수납!$C:$C,원생!$A40,수납!$D:$D,IF(원생!$G40="","",원생!$G40),수납!$B:$B,$B$1&amp;"-"&amp;TEXT(8,"00")&amp;"*",수납!$E:$E,"수강료")+SUMIFS(수납!$F:$F,수납!$C:$C,원생!$A40,수납!$D:$D,IF(원생!$G40="","",원생!$G40),수납!$B:$B,$B$1&amp;"-"&amp;TEXT(8,"00")&amp;"*",수납!$E:$E,""))</f>
        <v/>
      </c>
      <c r="K42" s="14">
        <f>IF(원생!$A40="","",SUMIFS(수납!$F:$F,수납!$C:$C,원생!$A40,수납!$D:$D,IF(원생!$G40="","",원생!$G40),수납!$B:$B,$B$1&amp;"-"&amp;TEXT(9,"00")&amp;"*",수납!$E:$E,"수강료")+SUMIFS(수납!$F:$F,수납!$C:$C,원생!$A40,수납!$D:$D,IF(원생!$G40="","",원생!$G40),수납!$B:$B,$B$1&amp;"-"&amp;TEXT(9,"00")&amp;"*",수납!$E:$E,""))</f>
        <v/>
      </c>
      <c r="L42" s="14">
        <f>IF(원생!$A40="","",SUMIFS(수납!$F:$F,수납!$C:$C,원생!$A40,수납!$D:$D,IF(원생!$G40="","",원생!$G40),수납!$B:$B,$B$1&amp;"-"&amp;TEXT(10,"00")&amp;"*",수납!$E:$E,"수강료")+SUMIFS(수납!$F:$F,수납!$C:$C,원생!$A40,수납!$D:$D,IF(원생!$G40="","",원생!$G40),수납!$B:$B,$B$1&amp;"-"&amp;TEXT(10,"00")&amp;"*",수납!$E:$E,""))</f>
        <v/>
      </c>
      <c r="M42" s="14">
        <f>IF(원생!$A40="","",SUMIFS(수납!$F:$F,수납!$C:$C,원생!$A40,수납!$D:$D,IF(원생!$G40="","",원생!$G40),수납!$B:$B,$B$1&amp;"-"&amp;TEXT(11,"00")&amp;"*",수납!$E:$E,"수강료")+SUMIFS(수납!$F:$F,수납!$C:$C,원생!$A40,수납!$D:$D,IF(원생!$G40="","",원생!$G40),수납!$B:$B,$B$1&amp;"-"&amp;TEXT(11,"00")&amp;"*",수납!$E:$E,""))</f>
        <v/>
      </c>
      <c r="N42" s="14">
        <f>IF(원생!$A40="","",SUMIFS(수납!$F:$F,수납!$C:$C,원생!$A40,수납!$D:$D,IF(원생!$G40="","",원생!$G40),수납!$B:$B,$B$1&amp;"-"&amp;TEXT(12,"00")&amp;"*",수납!$E:$E,"수강료")+SUMIFS(수납!$F:$F,수납!$C:$C,원생!$A40,수납!$D:$D,IF(원생!$G40="","",원생!$G40),수납!$B:$B,$B$1&amp;"-"&amp;TEXT(12,"00")&amp;"*",수납!$E:$E,""))</f>
        <v/>
      </c>
      <c r="O42">
        <f>IF(원생!$I40="","",원생!$I40)</f>
        <v/>
      </c>
      <c r="P42">
        <f>IF($A42="","",IF(AND($B42&gt;0,C42&lt;$B42,DATE($B$1,1,1)&lt;=TODAY(),OR($O42="",$O42&gt;=DATE($B$1,1,1)),OR(COUNTIF($C42:C42,"&gt;0")&gt;0,DATE($B$1,1,1)=DATE(YEAR(TODAY()),MONTH(TODAY()),1))),1,0))</f>
        <v/>
      </c>
      <c r="Q42">
        <f>IF($A42="","",IF(AND($B42&gt;0,D42&lt;$B42,DATE($B$1,2,1)&lt;=TODAY(),OR($O42="",$O42&gt;=DATE($B$1,2,1)),OR(COUNTIF($C42:D42,"&gt;0")&gt;0,DATE($B$1,2,1)=DATE(YEAR(TODAY()),MONTH(TODAY()),1))),1,0))</f>
        <v/>
      </c>
      <c r="R42">
        <f>IF($A42="","",IF(AND($B42&gt;0,E42&lt;$B42,DATE($B$1,3,1)&lt;=TODAY(),OR($O42="",$O42&gt;=DATE($B$1,3,1)),OR(COUNTIF($C42:E42,"&gt;0")&gt;0,DATE($B$1,3,1)=DATE(YEAR(TODAY()),MONTH(TODAY()),1))),1,0))</f>
        <v/>
      </c>
      <c r="S42">
        <f>IF($A42="","",IF(AND($B42&gt;0,F42&lt;$B42,DATE($B$1,4,1)&lt;=TODAY(),OR($O42="",$O42&gt;=DATE($B$1,4,1)),OR(COUNTIF($C42:F42,"&gt;0")&gt;0,DATE($B$1,4,1)=DATE(YEAR(TODAY()),MONTH(TODAY()),1))),1,0))</f>
        <v/>
      </c>
      <c r="T42">
        <f>IF($A42="","",IF(AND($B42&gt;0,G42&lt;$B42,DATE($B$1,5,1)&lt;=TODAY(),OR($O42="",$O42&gt;=DATE($B$1,5,1)),OR(COUNTIF($C42:G42,"&gt;0")&gt;0,DATE($B$1,5,1)=DATE(YEAR(TODAY()),MONTH(TODAY()),1))),1,0))</f>
        <v/>
      </c>
      <c r="U42">
        <f>IF($A42="","",IF(AND($B42&gt;0,H42&lt;$B42,DATE($B$1,6,1)&lt;=TODAY(),OR($O42="",$O42&gt;=DATE($B$1,6,1)),OR(COUNTIF($C42:H42,"&gt;0")&gt;0,DATE($B$1,6,1)=DATE(YEAR(TODAY()),MONTH(TODAY()),1))),1,0))</f>
        <v/>
      </c>
      <c r="V42">
        <f>IF($A42="","",IF(AND($B42&gt;0,I42&lt;$B42,DATE($B$1,7,1)&lt;=TODAY(),OR($O42="",$O42&gt;=DATE($B$1,7,1)),OR(COUNTIF($C42:I42,"&gt;0")&gt;0,DATE($B$1,7,1)=DATE(YEAR(TODAY()),MONTH(TODAY()),1))),1,0))</f>
        <v/>
      </c>
      <c r="W42">
        <f>IF($A42="","",IF(AND($B42&gt;0,J42&lt;$B42,DATE($B$1,8,1)&lt;=TODAY(),OR($O42="",$O42&gt;=DATE($B$1,8,1)),OR(COUNTIF($C42:J42,"&gt;0")&gt;0,DATE($B$1,8,1)=DATE(YEAR(TODAY()),MONTH(TODAY()),1))),1,0))</f>
        <v/>
      </c>
      <c r="X42">
        <f>IF($A42="","",IF(AND($B42&gt;0,K42&lt;$B42,DATE($B$1,9,1)&lt;=TODAY(),OR($O42="",$O42&gt;=DATE($B$1,9,1)),OR(COUNTIF($C42:K42,"&gt;0")&gt;0,DATE($B$1,9,1)=DATE(YEAR(TODAY()),MONTH(TODAY()),1))),1,0))</f>
        <v/>
      </c>
      <c r="Y42">
        <f>IF($A42="","",IF(AND($B42&gt;0,L42&lt;$B42,DATE($B$1,10,1)&lt;=TODAY(),OR($O42="",$O42&gt;=DATE($B$1,10,1)),OR(COUNTIF($C42:L42,"&gt;0")&gt;0,DATE($B$1,10,1)=DATE(YEAR(TODAY()),MONTH(TODAY()),1))),1,0))</f>
        <v/>
      </c>
      <c r="Z42">
        <f>IF($A42="","",IF(AND($B42&gt;0,M42&lt;$B42,DATE($B$1,11,1)&lt;=TODAY(),OR($O42="",$O42&gt;=DATE($B$1,11,1)),OR(COUNTIF($C42:M42,"&gt;0")&gt;0,DATE($B$1,11,1)=DATE(YEAR(TODAY()),MONTH(TODAY()),1))),1,0))</f>
        <v/>
      </c>
      <c r="AA42">
        <f>IF($A42="","",IF(AND($B42&gt;0,N42&lt;$B42,DATE($B$1,12,1)&lt;=TODAY(),OR($O42="",$O42&gt;=DATE($B$1,12,1)),OR(COUNTIF($C42:N42,"&gt;0")&gt;0,DATE($B$1,12,1)=DATE(YEAR(TODAY()),MONTH(TODAY()),1))),1,0))</f>
        <v/>
      </c>
    </row>
    <row r="43">
      <c r="A43" s="13">
        <f>IF(원생!$A41="","",원생!$A41&amp;IF(원생!$G41="",""," ("&amp;원생!$G41&amp;")"))</f>
        <v/>
      </c>
      <c r="B43" s="8">
        <f>IF(원생!$A41="","",원생!$F41)</f>
        <v/>
      </c>
      <c r="C43" s="14">
        <f>IF(원생!$A41="","",SUMIFS(수납!$F:$F,수납!$C:$C,원생!$A41,수납!$D:$D,IF(원생!$G41="","",원생!$G41),수납!$B:$B,$B$1&amp;"-"&amp;TEXT(1,"00")&amp;"*",수납!$E:$E,"수강료")+SUMIFS(수납!$F:$F,수납!$C:$C,원생!$A41,수납!$D:$D,IF(원생!$G41="","",원생!$G41),수납!$B:$B,$B$1&amp;"-"&amp;TEXT(1,"00")&amp;"*",수납!$E:$E,""))</f>
        <v/>
      </c>
      <c r="D43" s="14">
        <f>IF(원생!$A41="","",SUMIFS(수납!$F:$F,수납!$C:$C,원생!$A41,수납!$D:$D,IF(원생!$G41="","",원생!$G41),수납!$B:$B,$B$1&amp;"-"&amp;TEXT(2,"00")&amp;"*",수납!$E:$E,"수강료")+SUMIFS(수납!$F:$F,수납!$C:$C,원생!$A41,수납!$D:$D,IF(원생!$G41="","",원생!$G41),수납!$B:$B,$B$1&amp;"-"&amp;TEXT(2,"00")&amp;"*",수납!$E:$E,""))</f>
        <v/>
      </c>
      <c r="E43" s="14">
        <f>IF(원생!$A41="","",SUMIFS(수납!$F:$F,수납!$C:$C,원생!$A41,수납!$D:$D,IF(원생!$G41="","",원생!$G41),수납!$B:$B,$B$1&amp;"-"&amp;TEXT(3,"00")&amp;"*",수납!$E:$E,"수강료")+SUMIFS(수납!$F:$F,수납!$C:$C,원생!$A41,수납!$D:$D,IF(원생!$G41="","",원생!$G41),수납!$B:$B,$B$1&amp;"-"&amp;TEXT(3,"00")&amp;"*",수납!$E:$E,""))</f>
        <v/>
      </c>
      <c r="F43" s="14">
        <f>IF(원생!$A41="","",SUMIFS(수납!$F:$F,수납!$C:$C,원생!$A41,수납!$D:$D,IF(원생!$G41="","",원생!$G41),수납!$B:$B,$B$1&amp;"-"&amp;TEXT(4,"00")&amp;"*",수납!$E:$E,"수강료")+SUMIFS(수납!$F:$F,수납!$C:$C,원생!$A41,수납!$D:$D,IF(원생!$G41="","",원생!$G41),수납!$B:$B,$B$1&amp;"-"&amp;TEXT(4,"00")&amp;"*",수납!$E:$E,""))</f>
        <v/>
      </c>
      <c r="G43" s="14">
        <f>IF(원생!$A41="","",SUMIFS(수납!$F:$F,수납!$C:$C,원생!$A41,수납!$D:$D,IF(원생!$G41="","",원생!$G41),수납!$B:$B,$B$1&amp;"-"&amp;TEXT(5,"00")&amp;"*",수납!$E:$E,"수강료")+SUMIFS(수납!$F:$F,수납!$C:$C,원생!$A41,수납!$D:$D,IF(원생!$G41="","",원생!$G41),수납!$B:$B,$B$1&amp;"-"&amp;TEXT(5,"00")&amp;"*",수납!$E:$E,""))</f>
        <v/>
      </c>
      <c r="H43" s="14">
        <f>IF(원생!$A41="","",SUMIFS(수납!$F:$F,수납!$C:$C,원생!$A41,수납!$D:$D,IF(원생!$G41="","",원생!$G41),수납!$B:$B,$B$1&amp;"-"&amp;TEXT(6,"00")&amp;"*",수납!$E:$E,"수강료")+SUMIFS(수납!$F:$F,수납!$C:$C,원생!$A41,수납!$D:$D,IF(원생!$G41="","",원생!$G41),수납!$B:$B,$B$1&amp;"-"&amp;TEXT(6,"00")&amp;"*",수납!$E:$E,""))</f>
        <v/>
      </c>
      <c r="I43" s="14">
        <f>IF(원생!$A41="","",SUMIFS(수납!$F:$F,수납!$C:$C,원생!$A41,수납!$D:$D,IF(원생!$G41="","",원생!$G41),수납!$B:$B,$B$1&amp;"-"&amp;TEXT(7,"00")&amp;"*",수납!$E:$E,"수강료")+SUMIFS(수납!$F:$F,수납!$C:$C,원생!$A41,수납!$D:$D,IF(원생!$G41="","",원생!$G41),수납!$B:$B,$B$1&amp;"-"&amp;TEXT(7,"00")&amp;"*",수납!$E:$E,""))</f>
        <v/>
      </c>
      <c r="J43" s="14">
        <f>IF(원생!$A41="","",SUMIFS(수납!$F:$F,수납!$C:$C,원생!$A41,수납!$D:$D,IF(원생!$G41="","",원생!$G41),수납!$B:$B,$B$1&amp;"-"&amp;TEXT(8,"00")&amp;"*",수납!$E:$E,"수강료")+SUMIFS(수납!$F:$F,수납!$C:$C,원생!$A41,수납!$D:$D,IF(원생!$G41="","",원생!$G41),수납!$B:$B,$B$1&amp;"-"&amp;TEXT(8,"00")&amp;"*",수납!$E:$E,""))</f>
        <v/>
      </c>
      <c r="K43" s="14">
        <f>IF(원생!$A41="","",SUMIFS(수납!$F:$F,수납!$C:$C,원생!$A41,수납!$D:$D,IF(원생!$G41="","",원생!$G41),수납!$B:$B,$B$1&amp;"-"&amp;TEXT(9,"00")&amp;"*",수납!$E:$E,"수강료")+SUMIFS(수납!$F:$F,수납!$C:$C,원생!$A41,수납!$D:$D,IF(원생!$G41="","",원생!$G41),수납!$B:$B,$B$1&amp;"-"&amp;TEXT(9,"00")&amp;"*",수납!$E:$E,""))</f>
        <v/>
      </c>
      <c r="L43" s="14">
        <f>IF(원생!$A41="","",SUMIFS(수납!$F:$F,수납!$C:$C,원생!$A41,수납!$D:$D,IF(원생!$G41="","",원생!$G41),수납!$B:$B,$B$1&amp;"-"&amp;TEXT(10,"00")&amp;"*",수납!$E:$E,"수강료")+SUMIFS(수납!$F:$F,수납!$C:$C,원생!$A41,수납!$D:$D,IF(원생!$G41="","",원생!$G41),수납!$B:$B,$B$1&amp;"-"&amp;TEXT(10,"00")&amp;"*",수납!$E:$E,""))</f>
        <v/>
      </c>
      <c r="M43" s="14">
        <f>IF(원생!$A41="","",SUMIFS(수납!$F:$F,수납!$C:$C,원생!$A41,수납!$D:$D,IF(원생!$G41="","",원생!$G41),수납!$B:$B,$B$1&amp;"-"&amp;TEXT(11,"00")&amp;"*",수납!$E:$E,"수강료")+SUMIFS(수납!$F:$F,수납!$C:$C,원생!$A41,수납!$D:$D,IF(원생!$G41="","",원생!$G41),수납!$B:$B,$B$1&amp;"-"&amp;TEXT(11,"00")&amp;"*",수납!$E:$E,""))</f>
        <v/>
      </c>
      <c r="N43" s="14">
        <f>IF(원생!$A41="","",SUMIFS(수납!$F:$F,수납!$C:$C,원생!$A41,수납!$D:$D,IF(원생!$G41="","",원생!$G41),수납!$B:$B,$B$1&amp;"-"&amp;TEXT(12,"00")&amp;"*",수납!$E:$E,"수강료")+SUMIFS(수납!$F:$F,수납!$C:$C,원생!$A41,수납!$D:$D,IF(원생!$G41="","",원생!$G41),수납!$B:$B,$B$1&amp;"-"&amp;TEXT(12,"00")&amp;"*",수납!$E:$E,""))</f>
        <v/>
      </c>
      <c r="O43">
        <f>IF(원생!$I41="","",원생!$I41)</f>
        <v/>
      </c>
      <c r="P43">
        <f>IF($A43="","",IF(AND($B43&gt;0,C43&lt;$B43,DATE($B$1,1,1)&lt;=TODAY(),OR($O43="",$O43&gt;=DATE($B$1,1,1)),OR(COUNTIF($C43:C43,"&gt;0")&gt;0,DATE($B$1,1,1)=DATE(YEAR(TODAY()),MONTH(TODAY()),1))),1,0))</f>
        <v/>
      </c>
      <c r="Q43">
        <f>IF($A43="","",IF(AND($B43&gt;0,D43&lt;$B43,DATE($B$1,2,1)&lt;=TODAY(),OR($O43="",$O43&gt;=DATE($B$1,2,1)),OR(COUNTIF($C43:D43,"&gt;0")&gt;0,DATE($B$1,2,1)=DATE(YEAR(TODAY()),MONTH(TODAY()),1))),1,0))</f>
        <v/>
      </c>
      <c r="R43">
        <f>IF($A43="","",IF(AND($B43&gt;0,E43&lt;$B43,DATE($B$1,3,1)&lt;=TODAY(),OR($O43="",$O43&gt;=DATE($B$1,3,1)),OR(COUNTIF($C43:E43,"&gt;0")&gt;0,DATE($B$1,3,1)=DATE(YEAR(TODAY()),MONTH(TODAY()),1))),1,0))</f>
        <v/>
      </c>
      <c r="S43">
        <f>IF($A43="","",IF(AND($B43&gt;0,F43&lt;$B43,DATE($B$1,4,1)&lt;=TODAY(),OR($O43="",$O43&gt;=DATE($B$1,4,1)),OR(COUNTIF($C43:F43,"&gt;0")&gt;0,DATE($B$1,4,1)=DATE(YEAR(TODAY()),MONTH(TODAY()),1))),1,0))</f>
        <v/>
      </c>
      <c r="T43">
        <f>IF($A43="","",IF(AND($B43&gt;0,G43&lt;$B43,DATE($B$1,5,1)&lt;=TODAY(),OR($O43="",$O43&gt;=DATE($B$1,5,1)),OR(COUNTIF($C43:G43,"&gt;0")&gt;0,DATE($B$1,5,1)=DATE(YEAR(TODAY()),MONTH(TODAY()),1))),1,0))</f>
        <v/>
      </c>
      <c r="U43">
        <f>IF($A43="","",IF(AND($B43&gt;0,H43&lt;$B43,DATE($B$1,6,1)&lt;=TODAY(),OR($O43="",$O43&gt;=DATE($B$1,6,1)),OR(COUNTIF($C43:H43,"&gt;0")&gt;0,DATE($B$1,6,1)=DATE(YEAR(TODAY()),MONTH(TODAY()),1))),1,0))</f>
        <v/>
      </c>
      <c r="V43">
        <f>IF($A43="","",IF(AND($B43&gt;0,I43&lt;$B43,DATE($B$1,7,1)&lt;=TODAY(),OR($O43="",$O43&gt;=DATE($B$1,7,1)),OR(COUNTIF($C43:I43,"&gt;0")&gt;0,DATE($B$1,7,1)=DATE(YEAR(TODAY()),MONTH(TODAY()),1))),1,0))</f>
        <v/>
      </c>
      <c r="W43">
        <f>IF($A43="","",IF(AND($B43&gt;0,J43&lt;$B43,DATE($B$1,8,1)&lt;=TODAY(),OR($O43="",$O43&gt;=DATE($B$1,8,1)),OR(COUNTIF($C43:J43,"&gt;0")&gt;0,DATE($B$1,8,1)=DATE(YEAR(TODAY()),MONTH(TODAY()),1))),1,0))</f>
        <v/>
      </c>
      <c r="X43">
        <f>IF($A43="","",IF(AND($B43&gt;0,K43&lt;$B43,DATE($B$1,9,1)&lt;=TODAY(),OR($O43="",$O43&gt;=DATE($B$1,9,1)),OR(COUNTIF($C43:K43,"&gt;0")&gt;0,DATE($B$1,9,1)=DATE(YEAR(TODAY()),MONTH(TODAY()),1))),1,0))</f>
        <v/>
      </c>
      <c r="Y43">
        <f>IF($A43="","",IF(AND($B43&gt;0,L43&lt;$B43,DATE($B$1,10,1)&lt;=TODAY(),OR($O43="",$O43&gt;=DATE($B$1,10,1)),OR(COUNTIF($C43:L43,"&gt;0")&gt;0,DATE($B$1,10,1)=DATE(YEAR(TODAY()),MONTH(TODAY()),1))),1,0))</f>
        <v/>
      </c>
      <c r="Z43">
        <f>IF($A43="","",IF(AND($B43&gt;0,M43&lt;$B43,DATE($B$1,11,1)&lt;=TODAY(),OR($O43="",$O43&gt;=DATE($B$1,11,1)),OR(COUNTIF($C43:M43,"&gt;0")&gt;0,DATE($B$1,11,1)=DATE(YEAR(TODAY()),MONTH(TODAY()),1))),1,0))</f>
        <v/>
      </c>
      <c r="AA43">
        <f>IF($A43="","",IF(AND($B43&gt;0,N43&lt;$B43,DATE($B$1,12,1)&lt;=TODAY(),OR($O43="",$O43&gt;=DATE($B$1,12,1)),OR(COUNTIF($C43:N43,"&gt;0")&gt;0,DATE($B$1,12,1)=DATE(YEAR(TODAY()),MONTH(TODAY()),1))),1,0))</f>
        <v/>
      </c>
    </row>
    <row r="44">
      <c r="A44" s="13">
        <f>IF(원생!$A42="","",원생!$A42&amp;IF(원생!$G42="",""," ("&amp;원생!$G42&amp;")"))</f>
        <v/>
      </c>
      <c r="B44" s="8">
        <f>IF(원생!$A42="","",원생!$F42)</f>
        <v/>
      </c>
      <c r="C44" s="14">
        <f>IF(원생!$A42="","",SUMIFS(수납!$F:$F,수납!$C:$C,원생!$A42,수납!$D:$D,IF(원생!$G42="","",원생!$G42),수납!$B:$B,$B$1&amp;"-"&amp;TEXT(1,"00")&amp;"*",수납!$E:$E,"수강료")+SUMIFS(수납!$F:$F,수납!$C:$C,원생!$A42,수납!$D:$D,IF(원생!$G42="","",원생!$G42),수납!$B:$B,$B$1&amp;"-"&amp;TEXT(1,"00")&amp;"*",수납!$E:$E,""))</f>
        <v/>
      </c>
      <c r="D44" s="14">
        <f>IF(원생!$A42="","",SUMIFS(수납!$F:$F,수납!$C:$C,원생!$A42,수납!$D:$D,IF(원생!$G42="","",원생!$G42),수납!$B:$B,$B$1&amp;"-"&amp;TEXT(2,"00")&amp;"*",수납!$E:$E,"수강료")+SUMIFS(수납!$F:$F,수납!$C:$C,원생!$A42,수납!$D:$D,IF(원생!$G42="","",원생!$G42),수납!$B:$B,$B$1&amp;"-"&amp;TEXT(2,"00")&amp;"*",수납!$E:$E,""))</f>
        <v/>
      </c>
      <c r="E44" s="14">
        <f>IF(원생!$A42="","",SUMIFS(수납!$F:$F,수납!$C:$C,원생!$A42,수납!$D:$D,IF(원생!$G42="","",원생!$G42),수납!$B:$B,$B$1&amp;"-"&amp;TEXT(3,"00")&amp;"*",수납!$E:$E,"수강료")+SUMIFS(수납!$F:$F,수납!$C:$C,원생!$A42,수납!$D:$D,IF(원생!$G42="","",원생!$G42),수납!$B:$B,$B$1&amp;"-"&amp;TEXT(3,"00")&amp;"*",수납!$E:$E,""))</f>
        <v/>
      </c>
      <c r="F44" s="14">
        <f>IF(원생!$A42="","",SUMIFS(수납!$F:$F,수납!$C:$C,원생!$A42,수납!$D:$D,IF(원생!$G42="","",원생!$G42),수납!$B:$B,$B$1&amp;"-"&amp;TEXT(4,"00")&amp;"*",수납!$E:$E,"수강료")+SUMIFS(수납!$F:$F,수납!$C:$C,원생!$A42,수납!$D:$D,IF(원생!$G42="","",원생!$G42),수납!$B:$B,$B$1&amp;"-"&amp;TEXT(4,"00")&amp;"*",수납!$E:$E,""))</f>
        <v/>
      </c>
      <c r="G44" s="14">
        <f>IF(원생!$A42="","",SUMIFS(수납!$F:$F,수납!$C:$C,원생!$A42,수납!$D:$D,IF(원생!$G42="","",원생!$G42),수납!$B:$B,$B$1&amp;"-"&amp;TEXT(5,"00")&amp;"*",수납!$E:$E,"수강료")+SUMIFS(수납!$F:$F,수납!$C:$C,원생!$A42,수납!$D:$D,IF(원생!$G42="","",원생!$G42),수납!$B:$B,$B$1&amp;"-"&amp;TEXT(5,"00")&amp;"*",수납!$E:$E,""))</f>
        <v/>
      </c>
      <c r="H44" s="14">
        <f>IF(원생!$A42="","",SUMIFS(수납!$F:$F,수납!$C:$C,원생!$A42,수납!$D:$D,IF(원생!$G42="","",원생!$G42),수납!$B:$B,$B$1&amp;"-"&amp;TEXT(6,"00")&amp;"*",수납!$E:$E,"수강료")+SUMIFS(수납!$F:$F,수납!$C:$C,원생!$A42,수납!$D:$D,IF(원생!$G42="","",원생!$G42),수납!$B:$B,$B$1&amp;"-"&amp;TEXT(6,"00")&amp;"*",수납!$E:$E,""))</f>
        <v/>
      </c>
      <c r="I44" s="14">
        <f>IF(원생!$A42="","",SUMIFS(수납!$F:$F,수납!$C:$C,원생!$A42,수납!$D:$D,IF(원생!$G42="","",원생!$G42),수납!$B:$B,$B$1&amp;"-"&amp;TEXT(7,"00")&amp;"*",수납!$E:$E,"수강료")+SUMIFS(수납!$F:$F,수납!$C:$C,원생!$A42,수납!$D:$D,IF(원생!$G42="","",원생!$G42),수납!$B:$B,$B$1&amp;"-"&amp;TEXT(7,"00")&amp;"*",수납!$E:$E,""))</f>
        <v/>
      </c>
      <c r="J44" s="14">
        <f>IF(원생!$A42="","",SUMIFS(수납!$F:$F,수납!$C:$C,원생!$A42,수납!$D:$D,IF(원생!$G42="","",원생!$G42),수납!$B:$B,$B$1&amp;"-"&amp;TEXT(8,"00")&amp;"*",수납!$E:$E,"수강료")+SUMIFS(수납!$F:$F,수납!$C:$C,원생!$A42,수납!$D:$D,IF(원생!$G42="","",원생!$G42),수납!$B:$B,$B$1&amp;"-"&amp;TEXT(8,"00")&amp;"*",수납!$E:$E,""))</f>
        <v/>
      </c>
      <c r="K44" s="14">
        <f>IF(원생!$A42="","",SUMIFS(수납!$F:$F,수납!$C:$C,원생!$A42,수납!$D:$D,IF(원생!$G42="","",원생!$G42),수납!$B:$B,$B$1&amp;"-"&amp;TEXT(9,"00")&amp;"*",수납!$E:$E,"수강료")+SUMIFS(수납!$F:$F,수납!$C:$C,원생!$A42,수납!$D:$D,IF(원생!$G42="","",원생!$G42),수납!$B:$B,$B$1&amp;"-"&amp;TEXT(9,"00")&amp;"*",수납!$E:$E,""))</f>
        <v/>
      </c>
      <c r="L44" s="14">
        <f>IF(원생!$A42="","",SUMIFS(수납!$F:$F,수납!$C:$C,원생!$A42,수납!$D:$D,IF(원생!$G42="","",원생!$G42),수납!$B:$B,$B$1&amp;"-"&amp;TEXT(10,"00")&amp;"*",수납!$E:$E,"수강료")+SUMIFS(수납!$F:$F,수납!$C:$C,원생!$A42,수납!$D:$D,IF(원생!$G42="","",원생!$G42),수납!$B:$B,$B$1&amp;"-"&amp;TEXT(10,"00")&amp;"*",수납!$E:$E,""))</f>
        <v/>
      </c>
      <c r="M44" s="14">
        <f>IF(원생!$A42="","",SUMIFS(수납!$F:$F,수납!$C:$C,원생!$A42,수납!$D:$D,IF(원생!$G42="","",원생!$G42),수납!$B:$B,$B$1&amp;"-"&amp;TEXT(11,"00")&amp;"*",수납!$E:$E,"수강료")+SUMIFS(수납!$F:$F,수납!$C:$C,원생!$A42,수납!$D:$D,IF(원생!$G42="","",원생!$G42),수납!$B:$B,$B$1&amp;"-"&amp;TEXT(11,"00")&amp;"*",수납!$E:$E,""))</f>
        <v/>
      </c>
      <c r="N44" s="14">
        <f>IF(원생!$A42="","",SUMIFS(수납!$F:$F,수납!$C:$C,원생!$A42,수납!$D:$D,IF(원생!$G42="","",원생!$G42),수납!$B:$B,$B$1&amp;"-"&amp;TEXT(12,"00")&amp;"*",수납!$E:$E,"수강료")+SUMIFS(수납!$F:$F,수납!$C:$C,원생!$A42,수납!$D:$D,IF(원생!$G42="","",원생!$G42),수납!$B:$B,$B$1&amp;"-"&amp;TEXT(12,"00")&amp;"*",수납!$E:$E,""))</f>
        <v/>
      </c>
      <c r="O44">
        <f>IF(원생!$I42="","",원생!$I42)</f>
        <v/>
      </c>
      <c r="P44">
        <f>IF($A44="","",IF(AND($B44&gt;0,C44&lt;$B44,DATE($B$1,1,1)&lt;=TODAY(),OR($O44="",$O44&gt;=DATE($B$1,1,1)),OR(COUNTIF($C44:C44,"&gt;0")&gt;0,DATE($B$1,1,1)=DATE(YEAR(TODAY()),MONTH(TODAY()),1))),1,0))</f>
        <v/>
      </c>
      <c r="Q44">
        <f>IF($A44="","",IF(AND($B44&gt;0,D44&lt;$B44,DATE($B$1,2,1)&lt;=TODAY(),OR($O44="",$O44&gt;=DATE($B$1,2,1)),OR(COUNTIF($C44:D44,"&gt;0")&gt;0,DATE($B$1,2,1)=DATE(YEAR(TODAY()),MONTH(TODAY()),1))),1,0))</f>
        <v/>
      </c>
      <c r="R44">
        <f>IF($A44="","",IF(AND($B44&gt;0,E44&lt;$B44,DATE($B$1,3,1)&lt;=TODAY(),OR($O44="",$O44&gt;=DATE($B$1,3,1)),OR(COUNTIF($C44:E44,"&gt;0")&gt;0,DATE($B$1,3,1)=DATE(YEAR(TODAY()),MONTH(TODAY()),1))),1,0))</f>
        <v/>
      </c>
      <c r="S44">
        <f>IF($A44="","",IF(AND($B44&gt;0,F44&lt;$B44,DATE($B$1,4,1)&lt;=TODAY(),OR($O44="",$O44&gt;=DATE($B$1,4,1)),OR(COUNTIF($C44:F44,"&gt;0")&gt;0,DATE($B$1,4,1)=DATE(YEAR(TODAY()),MONTH(TODAY()),1))),1,0))</f>
        <v/>
      </c>
      <c r="T44">
        <f>IF($A44="","",IF(AND($B44&gt;0,G44&lt;$B44,DATE($B$1,5,1)&lt;=TODAY(),OR($O44="",$O44&gt;=DATE($B$1,5,1)),OR(COUNTIF($C44:G44,"&gt;0")&gt;0,DATE($B$1,5,1)=DATE(YEAR(TODAY()),MONTH(TODAY()),1))),1,0))</f>
        <v/>
      </c>
      <c r="U44">
        <f>IF($A44="","",IF(AND($B44&gt;0,H44&lt;$B44,DATE($B$1,6,1)&lt;=TODAY(),OR($O44="",$O44&gt;=DATE($B$1,6,1)),OR(COUNTIF($C44:H44,"&gt;0")&gt;0,DATE($B$1,6,1)=DATE(YEAR(TODAY()),MONTH(TODAY()),1))),1,0))</f>
        <v/>
      </c>
      <c r="V44">
        <f>IF($A44="","",IF(AND($B44&gt;0,I44&lt;$B44,DATE($B$1,7,1)&lt;=TODAY(),OR($O44="",$O44&gt;=DATE($B$1,7,1)),OR(COUNTIF($C44:I44,"&gt;0")&gt;0,DATE($B$1,7,1)=DATE(YEAR(TODAY()),MONTH(TODAY()),1))),1,0))</f>
        <v/>
      </c>
      <c r="W44">
        <f>IF($A44="","",IF(AND($B44&gt;0,J44&lt;$B44,DATE($B$1,8,1)&lt;=TODAY(),OR($O44="",$O44&gt;=DATE($B$1,8,1)),OR(COUNTIF($C44:J44,"&gt;0")&gt;0,DATE($B$1,8,1)=DATE(YEAR(TODAY()),MONTH(TODAY()),1))),1,0))</f>
        <v/>
      </c>
      <c r="X44">
        <f>IF($A44="","",IF(AND($B44&gt;0,K44&lt;$B44,DATE($B$1,9,1)&lt;=TODAY(),OR($O44="",$O44&gt;=DATE($B$1,9,1)),OR(COUNTIF($C44:K44,"&gt;0")&gt;0,DATE($B$1,9,1)=DATE(YEAR(TODAY()),MONTH(TODAY()),1))),1,0))</f>
        <v/>
      </c>
      <c r="Y44">
        <f>IF($A44="","",IF(AND($B44&gt;0,L44&lt;$B44,DATE($B$1,10,1)&lt;=TODAY(),OR($O44="",$O44&gt;=DATE($B$1,10,1)),OR(COUNTIF($C44:L44,"&gt;0")&gt;0,DATE($B$1,10,1)=DATE(YEAR(TODAY()),MONTH(TODAY()),1))),1,0))</f>
        <v/>
      </c>
      <c r="Z44">
        <f>IF($A44="","",IF(AND($B44&gt;0,M44&lt;$B44,DATE($B$1,11,1)&lt;=TODAY(),OR($O44="",$O44&gt;=DATE($B$1,11,1)),OR(COUNTIF($C44:M44,"&gt;0")&gt;0,DATE($B$1,11,1)=DATE(YEAR(TODAY()),MONTH(TODAY()),1))),1,0))</f>
        <v/>
      </c>
      <c r="AA44">
        <f>IF($A44="","",IF(AND($B44&gt;0,N44&lt;$B44,DATE($B$1,12,1)&lt;=TODAY(),OR($O44="",$O44&gt;=DATE($B$1,12,1)),OR(COUNTIF($C44:N44,"&gt;0")&gt;0,DATE($B$1,12,1)=DATE(YEAR(TODAY()),MONTH(TODAY()),1))),1,0))</f>
        <v/>
      </c>
    </row>
    <row r="45">
      <c r="A45" s="13">
        <f>IF(원생!$A43="","",원생!$A43&amp;IF(원생!$G43="",""," ("&amp;원생!$G43&amp;")"))</f>
        <v/>
      </c>
      <c r="B45" s="8">
        <f>IF(원생!$A43="","",원생!$F43)</f>
        <v/>
      </c>
      <c r="C45" s="14">
        <f>IF(원생!$A43="","",SUMIFS(수납!$F:$F,수납!$C:$C,원생!$A43,수납!$D:$D,IF(원생!$G43="","",원생!$G43),수납!$B:$B,$B$1&amp;"-"&amp;TEXT(1,"00")&amp;"*",수납!$E:$E,"수강료")+SUMIFS(수납!$F:$F,수납!$C:$C,원생!$A43,수납!$D:$D,IF(원생!$G43="","",원생!$G43),수납!$B:$B,$B$1&amp;"-"&amp;TEXT(1,"00")&amp;"*",수납!$E:$E,""))</f>
        <v/>
      </c>
      <c r="D45" s="14">
        <f>IF(원생!$A43="","",SUMIFS(수납!$F:$F,수납!$C:$C,원생!$A43,수납!$D:$D,IF(원생!$G43="","",원생!$G43),수납!$B:$B,$B$1&amp;"-"&amp;TEXT(2,"00")&amp;"*",수납!$E:$E,"수강료")+SUMIFS(수납!$F:$F,수납!$C:$C,원생!$A43,수납!$D:$D,IF(원생!$G43="","",원생!$G43),수납!$B:$B,$B$1&amp;"-"&amp;TEXT(2,"00")&amp;"*",수납!$E:$E,""))</f>
        <v/>
      </c>
      <c r="E45" s="14">
        <f>IF(원생!$A43="","",SUMIFS(수납!$F:$F,수납!$C:$C,원생!$A43,수납!$D:$D,IF(원생!$G43="","",원생!$G43),수납!$B:$B,$B$1&amp;"-"&amp;TEXT(3,"00")&amp;"*",수납!$E:$E,"수강료")+SUMIFS(수납!$F:$F,수납!$C:$C,원생!$A43,수납!$D:$D,IF(원생!$G43="","",원생!$G43),수납!$B:$B,$B$1&amp;"-"&amp;TEXT(3,"00")&amp;"*",수납!$E:$E,""))</f>
        <v/>
      </c>
      <c r="F45" s="14">
        <f>IF(원생!$A43="","",SUMIFS(수납!$F:$F,수납!$C:$C,원생!$A43,수납!$D:$D,IF(원생!$G43="","",원생!$G43),수납!$B:$B,$B$1&amp;"-"&amp;TEXT(4,"00")&amp;"*",수납!$E:$E,"수강료")+SUMIFS(수납!$F:$F,수납!$C:$C,원생!$A43,수납!$D:$D,IF(원생!$G43="","",원생!$G43),수납!$B:$B,$B$1&amp;"-"&amp;TEXT(4,"00")&amp;"*",수납!$E:$E,""))</f>
        <v/>
      </c>
      <c r="G45" s="14">
        <f>IF(원생!$A43="","",SUMIFS(수납!$F:$F,수납!$C:$C,원생!$A43,수납!$D:$D,IF(원생!$G43="","",원생!$G43),수납!$B:$B,$B$1&amp;"-"&amp;TEXT(5,"00")&amp;"*",수납!$E:$E,"수강료")+SUMIFS(수납!$F:$F,수납!$C:$C,원생!$A43,수납!$D:$D,IF(원생!$G43="","",원생!$G43),수납!$B:$B,$B$1&amp;"-"&amp;TEXT(5,"00")&amp;"*",수납!$E:$E,""))</f>
        <v/>
      </c>
      <c r="H45" s="14">
        <f>IF(원생!$A43="","",SUMIFS(수납!$F:$F,수납!$C:$C,원생!$A43,수납!$D:$D,IF(원생!$G43="","",원생!$G43),수납!$B:$B,$B$1&amp;"-"&amp;TEXT(6,"00")&amp;"*",수납!$E:$E,"수강료")+SUMIFS(수납!$F:$F,수납!$C:$C,원생!$A43,수납!$D:$D,IF(원생!$G43="","",원생!$G43),수납!$B:$B,$B$1&amp;"-"&amp;TEXT(6,"00")&amp;"*",수납!$E:$E,""))</f>
        <v/>
      </c>
      <c r="I45" s="14">
        <f>IF(원생!$A43="","",SUMIFS(수납!$F:$F,수납!$C:$C,원생!$A43,수납!$D:$D,IF(원생!$G43="","",원생!$G43),수납!$B:$B,$B$1&amp;"-"&amp;TEXT(7,"00")&amp;"*",수납!$E:$E,"수강료")+SUMIFS(수납!$F:$F,수납!$C:$C,원생!$A43,수납!$D:$D,IF(원생!$G43="","",원생!$G43),수납!$B:$B,$B$1&amp;"-"&amp;TEXT(7,"00")&amp;"*",수납!$E:$E,""))</f>
        <v/>
      </c>
      <c r="J45" s="14">
        <f>IF(원생!$A43="","",SUMIFS(수납!$F:$F,수납!$C:$C,원생!$A43,수납!$D:$D,IF(원생!$G43="","",원생!$G43),수납!$B:$B,$B$1&amp;"-"&amp;TEXT(8,"00")&amp;"*",수납!$E:$E,"수강료")+SUMIFS(수납!$F:$F,수납!$C:$C,원생!$A43,수납!$D:$D,IF(원생!$G43="","",원생!$G43),수납!$B:$B,$B$1&amp;"-"&amp;TEXT(8,"00")&amp;"*",수납!$E:$E,""))</f>
        <v/>
      </c>
      <c r="K45" s="14">
        <f>IF(원생!$A43="","",SUMIFS(수납!$F:$F,수납!$C:$C,원생!$A43,수납!$D:$D,IF(원생!$G43="","",원생!$G43),수납!$B:$B,$B$1&amp;"-"&amp;TEXT(9,"00")&amp;"*",수납!$E:$E,"수강료")+SUMIFS(수납!$F:$F,수납!$C:$C,원생!$A43,수납!$D:$D,IF(원생!$G43="","",원생!$G43),수납!$B:$B,$B$1&amp;"-"&amp;TEXT(9,"00")&amp;"*",수납!$E:$E,""))</f>
        <v/>
      </c>
      <c r="L45" s="14">
        <f>IF(원생!$A43="","",SUMIFS(수납!$F:$F,수납!$C:$C,원생!$A43,수납!$D:$D,IF(원생!$G43="","",원생!$G43),수납!$B:$B,$B$1&amp;"-"&amp;TEXT(10,"00")&amp;"*",수납!$E:$E,"수강료")+SUMIFS(수납!$F:$F,수납!$C:$C,원생!$A43,수납!$D:$D,IF(원생!$G43="","",원생!$G43),수납!$B:$B,$B$1&amp;"-"&amp;TEXT(10,"00")&amp;"*",수납!$E:$E,""))</f>
        <v/>
      </c>
      <c r="M45" s="14">
        <f>IF(원생!$A43="","",SUMIFS(수납!$F:$F,수납!$C:$C,원생!$A43,수납!$D:$D,IF(원생!$G43="","",원생!$G43),수납!$B:$B,$B$1&amp;"-"&amp;TEXT(11,"00")&amp;"*",수납!$E:$E,"수강료")+SUMIFS(수납!$F:$F,수납!$C:$C,원생!$A43,수납!$D:$D,IF(원생!$G43="","",원생!$G43),수납!$B:$B,$B$1&amp;"-"&amp;TEXT(11,"00")&amp;"*",수납!$E:$E,""))</f>
        <v/>
      </c>
      <c r="N45" s="14">
        <f>IF(원생!$A43="","",SUMIFS(수납!$F:$F,수납!$C:$C,원생!$A43,수납!$D:$D,IF(원생!$G43="","",원생!$G43),수납!$B:$B,$B$1&amp;"-"&amp;TEXT(12,"00")&amp;"*",수납!$E:$E,"수강료")+SUMIFS(수납!$F:$F,수납!$C:$C,원생!$A43,수납!$D:$D,IF(원생!$G43="","",원생!$G43),수납!$B:$B,$B$1&amp;"-"&amp;TEXT(12,"00")&amp;"*",수납!$E:$E,""))</f>
        <v/>
      </c>
      <c r="O45">
        <f>IF(원생!$I43="","",원생!$I43)</f>
        <v/>
      </c>
      <c r="P45">
        <f>IF($A45="","",IF(AND($B45&gt;0,C45&lt;$B45,DATE($B$1,1,1)&lt;=TODAY(),OR($O45="",$O45&gt;=DATE($B$1,1,1)),OR(COUNTIF($C45:C45,"&gt;0")&gt;0,DATE($B$1,1,1)=DATE(YEAR(TODAY()),MONTH(TODAY()),1))),1,0))</f>
        <v/>
      </c>
      <c r="Q45">
        <f>IF($A45="","",IF(AND($B45&gt;0,D45&lt;$B45,DATE($B$1,2,1)&lt;=TODAY(),OR($O45="",$O45&gt;=DATE($B$1,2,1)),OR(COUNTIF($C45:D45,"&gt;0")&gt;0,DATE($B$1,2,1)=DATE(YEAR(TODAY()),MONTH(TODAY()),1))),1,0))</f>
        <v/>
      </c>
      <c r="R45">
        <f>IF($A45="","",IF(AND($B45&gt;0,E45&lt;$B45,DATE($B$1,3,1)&lt;=TODAY(),OR($O45="",$O45&gt;=DATE($B$1,3,1)),OR(COUNTIF($C45:E45,"&gt;0")&gt;0,DATE($B$1,3,1)=DATE(YEAR(TODAY()),MONTH(TODAY()),1))),1,0))</f>
        <v/>
      </c>
      <c r="S45">
        <f>IF($A45="","",IF(AND($B45&gt;0,F45&lt;$B45,DATE($B$1,4,1)&lt;=TODAY(),OR($O45="",$O45&gt;=DATE($B$1,4,1)),OR(COUNTIF($C45:F45,"&gt;0")&gt;0,DATE($B$1,4,1)=DATE(YEAR(TODAY()),MONTH(TODAY()),1))),1,0))</f>
        <v/>
      </c>
      <c r="T45">
        <f>IF($A45="","",IF(AND($B45&gt;0,G45&lt;$B45,DATE($B$1,5,1)&lt;=TODAY(),OR($O45="",$O45&gt;=DATE($B$1,5,1)),OR(COUNTIF($C45:G45,"&gt;0")&gt;0,DATE($B$1,5,1)=DATE(YEAR(TODAY()),MONTH(TODAY()),1))),1,0))</f>
        <v/>
      </c>
      <c r="U45">
        <f>IF($A45="","",IF(AND($B45&gt;0,H45&lt;$B45,DATE($B$1,6,1)&lt;=TODAY(),OR($O45="",$O45&gt;=DATE($B$1,6,1)),OR(COUNTIF($C45:H45,"&gt;0")&gt;0,DATE($B$1,6,1)=DATE(YEAR(TODAY()),MONTH(TODAY()),1))),1,0))</f>
        <v/>
      </c>
      <c r="V45">
        <f>IF($A45="","",IF(AND($B45&gt;0,I45&lt;$B45,DATE($B$1,7,1)&lt;=TODAY(),OR($O45="",$O45&gt;=DATE($B$1,7,1)),OR(COUNTIF($C45:I45,"&gt;0")&gt;0,DATE($B$1,7,1)=DATE(YEAR(TODAY()),MONTH(TODAY()),1))),1,0))</f>
        <v/>
      </c>
      <c r="W45">
        <f>IF($A45="","",IF(AND($B45&gt;0,J45&lt;$B45,DATE($B$1,8,1)&lt;=TODAY(),OR($O45="",$O45&gt;=DATE($B$1,8,1)),OR(COUNTIF($C45:J45,"&gt;0")&gt;0,DATE($B$1,8,1)=DATE(YEAR(TODAY()),MONTH(TODAY()),1))),1,0))</f>
        <v/>
      </c>
      <c r="X45">
        <f>IF($A45="","",IF(AND($B45&gt;0,K45&lt;$B45,DATE($B$1,9,1)&lt;=TODAY(),OR($O45="",$O45&gt;=DATE($B$1,9,1)),OR(COUNTIF($C45:K45,"&gt;0")&gt;0,DATE($B$1,9,1)=DATE(YEAR(TODAY()),MONTH(TODAY()),1))),1,0))</f>
        <v/>
      </c>
      <c r="Y45">
        <f>IF($A45="","",IF(AND($B45&gt;0,L45&lt;$B45,DATE($B$1,10,1)&lt;=TODAY(),OR($O45="",$O45&gt;=DATE($B$1,10,1)),OR(COUNTIF($C45:L45,"&gt;0")&gt;0,DATE($B$1,10,1)=DATE(YEAR(TODAY()),MONTH(TODAY()),1))),1,0))</f>
        <v/>
      </c>
      <c r="Z45">
        <f>IF($A45="","",IF(AND($B45&gt;0,M45&lt;$B45,DATE($B$1,11,1)&lt;=TODAY(),OR($O45="",$O45&gt;=DATE($B$1,11,1)),OR(COUNTIF($C45:M45,"&gt;0")&gt;0,DATE($B$1,11,1)=DATE(YEAR(TODAY()),MONTH(TODAY()),1))),1,0))</f>
        <v/>
      </c>
      <c r="AA45">
        <f>IF($A45="","",IF(AND($B45&gt;0,N45&lt;$B45,DATE($B$1,12,1)&lt;=TODAY(),OR($O45="",$O45&gt;=DATE($B$1,12,1)),OR(COUNTIF($C45:N45,"&gt;0")&gt;0,DATE($B$1,12,1)=DATE(YEAR(TODAY()),MONTH(TODAY()),1))),1,0))</f>
        <v/>
      </c>
    </row>
    <row r="46">
      <c r="A46" s="13">
        <f>IF(원생!$A44="","",원생!$A44&amp;IF(원생!$G44="",""," ("&amp;원생!$G44&amp;")"))</f>
        <v/>
      </c>
      <c r="B46" s="8">
        <f>IF(원생!$A44="","",원생!$F44)</f>
        <v/>
      </c>
      <c r="C46" s="14">
        <f>IF(원생!$A44="","",SUMIFS(수납!$F:$F,수납!$C:$C,원생!$A44,수납!$D:$D,IF(원생!$G44="","",원생!$G44),수납!$B:$B,$B$1&amp;"-"&amp;TEXT(1,"00")&amp;"*",수납!$E:$E,"수강료")+SUMIFS(수납!$F:$F,수납!$C:$C,원생!$A44,수납!$D:$D,IF(원생!$G44="","",원생!$G44),수납!$B:$B,$B$1&amp;"-"&amp;TEXT(1,"00")&amp;"*",수납!$E:$E,""))</f>
        <v/>
      </c>
      <c r="D46" s="14">
        <f>IF(원생!$A44="","",SUMIFS(수납!$F:$F,수납!$C:$C,원생!$A44,수납!$D:$D,IF(원생!$G44="","",원생!$G44),수납!$B:$B,$B$1&amp;"-"&amp;TEXT(2,"00")&amp;"*",수납!$E:$E,"수강료")+SUMIFS(수납!$F:$F,수납!$C:$C,원생!$A44,수납!$D:$D,IF(원생!$G44="","",원생!$G44),수납!$B:$B,$B$1&amp;"-"&amp;TEXT(2,"00")&amp;"*",수납!$E:$E,""))</f>
        <v/>
      </c>
      <c r="E46" s="14">
        <f>IF(원생!$A44="","",SUMIFS(수납!$F:$F,수납!$C:$C,원생!$A44,수납!$D:$D,IF(원생!$G44="","",원생!$G44),수납!$B:$B,$B$1&amp;"-"&amp;TEXT(3,"00")&amp;"*",수납!$E:$E,"수강료")+SUMIFS(수납!$F:$F,수납!$C:$C,원생!$A44,수납!$D:$D,IF(원생!$G44="","",원생!$G44),수납!$B:$B,$B$1&amp;"-"&amp;TEXT(3,"00")&amp;"*",수납!$E:$E,""))</f>
        <v/>
      </c>
      <c r="F46" s="14">
        <f>IF(원생!$A44="","",SUMIFS(수납!$F:$F,수납!$C:$C,원생!$A44,수납!$D:$D,IF(원생!$G44="","",원생!$G44),수납!$B:$B,$B$1&amp;"-"&amp;TEXT(4,"00")&amp;"*",수납!$E:$E,"수강료")+SUMIFS(수납!$F:$F,수납!$C:$C,원생!$A44,수납!$D:$D,IF(원생!$G44="","",원생!$G44),수납!$B:$B,$B$1&amp;"-"&amp;TEXT(4,"00")&amp;"*",수납!$E:$E,""))</f>
        <v/>
      </c>
      <c r="G46" s="14">
        <f>IF(원생!$A44="","",SUMIFS(수납!$F:$F,수납!$C:$C,원생!$A44,수납!$D:$D,IF(원생!$G44="","",원생!$G44),수납!$B:$B,$B$1&amp;"-"&amp;TEXT(5,"00")&amp;"*",수납!$E:$E,"수강료")+SUMIFS(수납!$F:$F,수납!$C:$C,원생!$A44,수납!$D:$D,IF(원생!$G44="","",원생!$G44),수납!$B:$B,$B$1&amp;"-"&amp;TEXT(5,"00")&amp;"*",수납!$E:$E,""))</f>
        <v/>
      </c>
      <c r="H46" s="14">
        <f>IF(원생!$A44="","",SUMIFS(수납!$F:$F,수납!$C:$C,원생!$A44,수납!$D:$D,IF(원생!$G44="","",원생!$G44),수납!$B:$B,$B$1&amp;"-"&amp;TEXT(6,"00")&amp;"*",수납!$E:$E,"수강료")+SUMIFS(수납!$F:$F,수납!$C:$C,원생!$A44,수납!$D:$D,IF(원생!$G44="","",원생!$G44),수납!$B:$B,$B$1&amp;"-"&amp;TEXT(6,"00")&amp;"*",수납!$E:$E,""))</f>
        <v/>
      </c>
      <c r="I46" s="14">
        <f>IF(원생!$A44="","",SUMIFS(수납!$F:$F,수납!$C:$C,원생!$A44,수납!$D:$D,IF(원생!$G44="","",원생!$G44),수납!$B:$B,$B$1&amp;"-"&amp;TEXT(7,"00")&amp;"*",수납!$E:$E,"수강료")+SUMIFS(수납!$F:$F,수납!$C:$C,원생!$A44,수납!$D:$D,IF(원생!$G44="","",원생!$G44),수납!$B:$B,$B$1&amp;"-"&amp;TEXT(7,"00")&amp;"*",수납!$E:$E,""))</f>
        <v/>
      </c>
      <c r="J46" s="14">
        <f>IF(원생!$A44="","",SUMIFS(수납!$F:$F,수납!$C:$C,원생!$A44,수납!$D:$D,IF(원생!$G44="","",원생!$G44),수납!$B:$B,$B$1&amp;"-"&amp;TEXT(8,"00")&amp;"*",수납!$E:$E,"수강료")+SUMIFS(수납!$F:$F,수납!$C:$C,원생!$A44,수납!$D:$D,IF(원생!$G44="","",원생!$G44),수납!$B:$B,$B$1&amp;"-"&amp;TEXT(8,"00")&amp;"*",수납!$E:$E,""))</f>
        <v/>
      </c>
      <c r="K46" s="14">
        <f>IF(원생!$A44="","",SUMIFS(수납!$F:$F,수납!$C:$C,원생!$A44,수납!$D:$D,IF(원생!$G44="","",원생!$G44),수납!$B:$B,$B$1&amp;"-"&amp;TEXT(9,"00")&amp;"*",수납!$E:$E,"수강료")+SUMIFS(수납!$F:$F,수납!$C:$C,원생!$A44,수납!$D:$D,IF(원생!$G44="","",원생!$G44),수납!$B:$B,$B$1&amp;"-"&amp;TEXT(9,"00")&amp;"*",수납!$E:$E,""))</f>
        <v/>
      </c>
      <c r="L46" s="14">
        <f>IF(원생!$A44="","",SUMIFS(수납!$F:$F,수납!$C:$C,원생!$A44,수납!$D:$D,IF(원생!$G44="","",원생!$G44),수납!$B:$B,$B$1&amp;"-"&amp;TEXT(10,"00")&amp;"*",수납!$E:$E,"수강료")+SUMIFS(수납!$F:$F,수납!$C:$C,원생!$A44,수납!$D:$D,IF(원생!$G44="","",원생!$G44),수납!$B:$B,$B$1&amp;"-"&amp;TEXT(10,"00")&amp;"*",수납!$E:$E,""))</f>
        <v/>
      </c>
      <c r="M46" s="14">
        <f>IF(원생!$A44="","",SUMIFS(수납!$F:$F,수납!$C:$C,원생!$A44,수납!$D:$D,IF(원생!$G44="","",원생!$G44),수납!$B:$B,$B$1&amp;"-"&amp;TEXT(11,"00")&amp;"*",수납!$E:$E,"수강료")+SUMIFS(수납!$F:$F,수납!$C:$C,원생!$A44,수납!$D:$D,IF(원생!$G44="","",원생!$G44),수납!$B:$B,$B$1&amp;"-"&amp;TEXT(11,"00")&amp;"*",수납!$E:$E,""))</f>
        <v/>
      </c>
      <c r="N46" s="14">
        <f>IF(원생!$A44="","",SUMIFS(수납!$F:$F,수납!$C:$C,원생!$A44,수납!$D:$D,IF(원생!$G44="","",원생!$G44),수납!$B:$B,$B$1&amp;"-"&amp;TEXT(12,"00")&amp;"*",수납!$E:$E,"수강료")+SUMIFS(수납!$F:$F,수납!$C:$C,원생!$A44,수납!$D:$D,IF(원생!$G44="","",원생!$G44),수납!$B:$B,$B$1&amp;"-"&amp;TEXT(12,"00")&amp;"*",수납!$E:$E,""))</f>
        <v/>
      </c>
      <c r="O46">
        <f>IF(원생!$I44="","",원생!$I44)</f>
        <v/>
      </c>
      <c r="P46">
        <f>IF($A46="","",IF(AND($B46&gt;0,C46&lt;$B46,DATE($B$1,1,1)&lt;=TODAY(),OR($O46="",$O46&gt;=DATE($B$1,1,1)),OR(COUNTIF($C46:C46,"&gt;0")&gt;0,DATE($B$1,1,1)=DATE(YEAR(TODAY()),MONTH(TODAY()),1))),1,0))</f>
        <v/>
      </c>
      <c r="Q46">
        <f>IF($A46="","",IF(AND($B46&gt;0,D46&lt;$B46,DATE($B$1,2,1)&lt;=TODAY(),OR($O46="",$O46&gt;=DATE($B$1,2,1)),OR(COUNTIF($C46:D46,"&gt;0")&gt;0,DATE($B$1,2,1)=DATE(YEAR(TODAY()),MONTH(TODAY()),1))),1,0))</f>
        <v/>
      </c>
      <c r="R46">
        <f>IF($A46="","",IF(AND($B46&gt;0,E46&lt;$B46,DATE($B$1,3,1)&lt;=TODAY(),OR($O46="",$O46&gt;=DATE($B$1,3,1)),OR(COUNTIF($C46:E46,"&gt;0")&gt;0,DATE($B$1,3,1)=DATE(YEAR(TODAY()),MONTH(TODAY()),1))),1,0))</f>
        <v/>
      </c>
      <c r="S46">
        <f>IF($A46="","",IF(AND($B46&gt;0,F46&lt;$B46,DATE($B$1,4,1)&lt;=TODAY(),OR($O46="",$O46&gt;=DATE($B$1,4,1)),OR(COUNTIF($C46:F46,"&gt;0")&gt;0,DATE($B$1,4,1)=DATE(YEAR(TODAY()),MONTH(TODAY()),1))),1,0))</f>
        <v/>
      </c>
      <c r="T46">
        <f>IF($A46="","",IF(AND($B46&gt;0,G46&lt;$B46,DATE($B$1,5,1)&lt;=TODAY(),OR($O46="",$O46&gt;=DATE($B$1,5,1)),OR(COUNTIF($C46:G46,"&gt;0")&gt;0,DATE($B$1,5,1)=DATE(YEAR(TODAY()),MONTH(TODAY()),1))),1,0))</f>
        <v/>
      </c>
      <c r="U46">
        <f>IF($A46="","",IF(AND($B46&gt;0,H46&lt;$B46,DATE($B$1,6,1)&lt;=TODAY(),OR($O46="",$O46&gt;=DATE($B$1,6,1)),OR(COUNTIF($C46:H46,"&gt;0")&gt;0,DATE($B$1,6,1)=DATE(YEAR(TODAY()),MONTH(TODAY()),1))),1,0))</f>
        <v/>
      </c>
      <c r="V46">
        <f>IF($A46="","",IF(AND($B46&gt;0,I46&lt;$B46,DATE($B$1,7,1)&lt;=TODAY(),OR($O46="",$O46&gt;=DATE($B$1,7,1)),OR(COUNTIF($C46:I46,"&gt;0")&gt;0,DATE($B$1,7,1)=DATE(YEAR(TODAY()),MONTH(TODAY()),1))),1,0))</f>
        <v/>
      </c>
      <c r="W46">
        <f>IF($A46="","",IF(AND($B46&gt;0,J46&lt;$B46,DATE($B$1,8,1)&lt;=TODAY(),OR($O46="",$O46&gt;=DATE($B$1,8,1)),OR(COUNTIF($C46:J46,"&gt;0")&gt;0,DATE($B$1,8,1)=DATE(YEAR(TODAY()),MONTH(TODAY()),1))),1,0))</f>
        <v/>
      </c>
      <c r="X46">
        <f>IF($A46="","",IF(AND($B46&gt;0,K46&lt;$B46,DATE($B$1,9,1)&lt;=TODAY(),OR($O46="",$O46&gt;=DATE($B$1,9,1)),OR(COUNTIF($C46:K46,"&gt;0")&gt;0,DATE($B$1,9,1)=DATE(YEAR(TODAY()),MONTH(TODAY()),1))),1,0))</f>
        <v/>
      </c>
      <c r="Y46">
        <f>IF($A46="","",IF(AND($B46&gt;0,L46&lt;$B46,DATE($B$1,10,1)&lt;=TODAY(),OR($O46="",$O46&gt;=DATE($B$1,10,1)),OR(COUNTIF($C46:L46,"&gt;0")&gt;0,DATE($B$1,10,1)=DATE(YEAR(TODAY()),MONTH(TODAY()),1))),1,0))</f>
        <v/>
      </c>
      <c r="Z46">
        <f>IF($A46="","",IF(AND($B46&gt;0,M46&lt;$B46,DATE($B$1,11,1)&lt;=TODAY(),OR($O46="",$O46&gt;=DATE($B$1,11,1)),OR(COUNTIF($C46:M46,"&gt;0")&gt;0,DATE($B$1,11,1)=DATE(YEAR(TODAY()),MONTH(TODAY()),1))),1,0))</f>
        <v/>
      </c>
      <c r="AA46">
        <f>IF($A46="","",IF(AND($B46&gt;0,N46&lt;$B46,DATE($B$1,12,1)&lt;=TODAY(),OR($O46="",$O46&gt;=DATE($B$1,12,1)),OR(COUNTIF($C46:N46,"&gt;0")&gt;0,DATE($B$1,12,1)=DATE(YEAR(TODAY()),MONTH(TODAY()),1))),1,0))</f>
        <v/>
      </c>
    </row>
    <row r="47">
      <c r="A47" s="13">
        <f>IF(원생!$A45="","",원생!$A45&amp;IF(원생!$G45="",""," ("&amp;원생!$G45&amp;")"))</f>
        <v/>
      </c>
      <c r="B47" s="8">
        <f>IF(원생!$A45="","",원생!$F45)</f>
        <v/>
      </c>
      <c r="C47" s="14">
        <f>IF(원생!$A45="","",SUMIFS(수납!$F:$F,수납!$C:$C,원생!$A45,수납!$D:$D,IF(원생!$G45="","",원생!$G45),수납!$B:$B,$B$1&amp;"-"&amp;TEXT(1,"00")&amp;"*",수납!$E:$E,"수강료")+SUMIFS(수납!$F:$F,수납!$C:$C,원생!$A45,수납!$D:$D,IF(원생!$G45="","",원생!$G45),수납!$B:$B,$B$1&amp;"-"&amp;TEXT(1,"00")&amp;"*",수납!$E:$E,""))</f>
        <v/>
      </c>
      <c r="D47" s="14">
        <f>IF(원생!$A45="","",SUMIFS(수납!$F:$F,수납!$C:$C,원생!$A45,수납!$D:$D,IF(원생!$G45="","",원생!$G45),수납!$B:$B,$B$1&amp;"-"&amp;TEXT(2,"00")&amp;"*",수납!$E:$E,"수강료")+SUMIFS(수납!$F:$F,수납!$C:$C,원생!$A45,수납!$D:$D,IF(원생!$G45="","",원생!$G45),수납!$B:$B,$B$1&amp;"-"&amp;TEXT(2,"00")&amp;"*",수납!$E:$E,""))</f>
        <v/>
      </c>
      <c r="E47" s="14">
        <f>IF(원생!$A45="","",SUMIFS(수납!$F:$F,수납!$C:$C,원생!$A45,수납!$D:$D,IF(원생!$G45="","",원생!$G45),수납!$B:$B,$B$1&amp;"-"&amp;TEXT(3,"00")&amp;"*",수납!$E:$E,"수강료")+SUMIFS(수납!$F:$F,수납!$C:$C,원생!$A45,수납!$D:$D,IF(원생!$G45="","",원생!$G45),수납!$B:$B,$B$1&amp;"-"&amp;TEXT(3,"00")&amp;"*",수납!$E:$E,""))</f>
        <v/>
      </c>
      <c r="F47" s="14">
        <f>IF(원생!$A45="","",SUMIFS(수납!$F:$F,수납!$C:$C,원생!$A45,수납!$D:$D,IF(원생!$G45="","",원생!$G45),수납!$B:$B,$B$1&amp;"-"&amp;TEXT(4,"00")&amp;"*",수납!$E:$E,"수강료")+SUMIFS(수납!$F:$F,수납!$C:$C,원생!$A45,수납!$D:$D,IF(원생!$G45="","",원생!$G45),수납!$B:$B,$B$1&amp;"-"&amp;TEXT(4,"00")&amp;"*",수납!$E:$E,""))</f>
        <v/>
      </c>
      <c r="G47" s="14">
        <f>IF(원생!$A45="","",SUMIFS(수납!$F:$F,수납!$C:$C,원생!$A45,수납!$D:$D,IF(원생!$G45="","",원생!$G45),수납!$B:$B,$B$1&amp;"-"&amp;TEXT(5,"00")&amp;"*",수납!$E:$E,"수강료")+SUMIFS(수납!$F:$F,수납!$C:$C,원생!$A45,수납!$D:$D,IF(원생!$G45="","",원생!$G45),수납!$B:$B,$B$1&amp;"-"&amp;TEXT(5,"00")&amp;"*",수납!$E:$E,""))</f>
        <v/>
      </c>
      <c r="H47" s="14">
        <f>IF(원생!$A45="","",SUMIFS(수납!$F:$F,수납!$C:$C,원생!$A45,수납!$D:$D,IF(원생!$G45="","",원생!$G45),수납!$B:$B,$B$1&amp;"-"&amp;TEXT(6,"00")&amp;"*",수납!$E:$E,"수강료")+SUMIFS(수납!$F:$F,수납!$C:$C,원생!$A45,수납!$D:$D,IF(원생!$G45="","",원생!$G45),수납!$B:$B,$B$1&amp;"-"&amp;TEXT(6,"00")&amp;"*",수납!$E:$E,""))</f>
        <v/>
      </c>
      <c r="I47" s="14">
        <f>IF(원생!$A45="","",SUMIFS(수납!$F:$F,수납!$C:$C,원생!$A45,수납!$D:$D,IF(원생!$G45="","",원생!$G45),수납!$B:$B,$B$1&amp;"-"&amp;TEXT(7,"00")&amp;"*",수납!$E:$E,"수강료")+SUMIFS(수납!$F:$F,수납!$C:$C,원생!$A45,수납!$D:$D,IF(원생!$G45="","",원생!$G45),수납!$B:$B,$B$1&amp;"-"&amp;TEXT(7,"00")&amp;"*",수납!$E:$E,""))</f>
        <v/>
      </c>
      <c r="J47" s="14">
        <f>IF(원생!$A45="","",SUMIFS(수납!$F:$F,수납!$C:$C,원생!$A45,수납!$D:$D,IF(원생!$G45="","",원생!$G45),수납!$B:$B,$B$1&amp;"-"&amp;TEXT(8,"00")&amp;"*",수납!$E:$E,"수강료")+SUMIFS(수납!$F:$F,수납!$C:$C,원생!$A45,수납!$D:$D,IF(원생!$G45="","",원생!$G45),수납!$B:$B,$B$1&amp;"-"&amp;TEXT(8,"00")&amp;"*",수납!$E:$E,""))</f>
        <v/>
      </c>
      <c r="K47" s="14">
        <f>IF(원생!$A45="","",SUMIFS(수납!$F:$F,수납!$C:$C,원생!$A45,수납!$D:$D,IF(원생!$G45="","",원생!$G45),수납!$B:$B,$B$1&amp;"-"&amp;TEXT(9,"00")&amp;"*",수납!$E:$E,"수강료")+SUMIFS(수납!$F:$F,수납!$C:$C,원생!$A45,수납!$D:$D,IF(원생!$G45="","",원생!$G45),수납!$B:$B,$B$1&amp;"-"&amp;TEXT(9,"00")&amp;"*",수납!$E:$E,""))</f>
        <v/>
      </c>
      <c r="L47" s="14">
        <f>IF(원생!$A45="","",SUMIFS(수납!$F:$F,수납!$C:$C,원생!$A45,수납!$D:$D,IF(원생!$G45="","",원생!$G45),수납!$B:$B,$B$1&amp;"-"&amp;TEXT(10,"00")&amp;"*",수납!$E:$E,"수강료")+SUMIFS(수납!$F:$F,수납!$C:$C,원생!$A45,수납!$D:$D,IF(원생!$G45="","",원생!$G45),수납!$B:$B,$B$1&amp;"-"&amp;TEXT(10,"00")&amp;"*",수납!$E:$E,""))</f>
        <v/>
      </c>
      <c r="M47" s="14">
        <f>IF(원생!$A45="","",SUMIFS(수납!$F:$F,수납!$C:$C,원생!$A45,수납!$D:$D,IF(원생!$G45="","",원생!$G45),수납!$B:$B,$B$1&amp;"-"&amp;TEXT(11,"00")&amp;"*",수납!$E:$E,"수강료")+SUMIFS(수납!$F:$F,수납!$C:$C,원생!$A45,수납!$D:$D,IF(원생!$G45="","",원생!$G45),수납!$B:$B,$B$1&amp;"-"&amp;TEXT(11,"00")&amp;"*",수납!$E:$E,""))</f>
        <v/>
      </c>
      <c r="N47" s="14">
        <f>IF(원생!$A45="","",SUMIFS(수납!$F:$F,수납!$C:$C,원생!$A45,수납!$D:$D,IF(원생!$G45="","",원생!$G45),수납!$B:$B,$B$1&amp;"-"&amp;TEXT(12,"00")&amp;"*",수납!$E:$E,"수강료")+SUMIFS(수납!$F:$F,수납!$C:$C,원생!$A45,수납!$D:$D,IF(원생!$G45="","",원생!$G45),수납!$B:$B,$B$1&amp;"-"&amp;TEXT(12,"00")&amp;"*",수납!$E:$E,""))</f>
        <v/>
      </c>
      <c r="O47">
        <f>IF(원생!$I45="","",원생!$I45)</f>
        <v/>
      </c>
      <c r="P47">
        <f>IF($A47="","",IF(AND($B47&gt;0,C47&lt;$B47,DATE($B$1,1,1)&lt;=TODAY(),OR($O47="",$O47&gt;=DATE($B$1,1,1)),OR(COUNTIF($C47:C47,"&gt;0")&gt;0,DATE($B$1,1,1)=DATE(YEAR(TODAY()),MONTH(TODAY()),1))),1,0))</f>
        <v/>
      </c>
      <c r="Q47">
        <f>IF($A47="","",IF(AND($B47&gt;0,D47&lt;$B47,DATE($B$1,2,1)&lt;=TODAY(),OR($O47="",$O47&gt;=DATE($B$1,2,1)),OR(COUNTIF($C47:D47,"&gt;0")&gt;0,DATE($B$1,2,1)=DATE(YEAR(TODAY()),MONTH(TODAY()),1))),1,0))</f>
        <v/>
      </c>
      <c r="R47">
        <f>IF($A47="","",IF(AND($B47&gt;0,E47&lt;$B47,DATE($B$1,3,1)&lt;=TODAY(),OR($O47="",$O47&gt;=DATE($B$1,3,1)),OR(COUNTIF($C47:E47,"&gt;0")&gt;0,DATE($B$1,3,1)=DATE(YEAR(TODAY()),MONTH(TODAY()),1))),1,0))</f>
        <v/>
      </c>
      <c r="S47">
        <f>IF($A47="","",IF(AND($B47&gt;0,F47&lt;$B47,DATE($B$1,4,1)&lt;=TODAY(),OR($O47="",$O47&gt;=DATE($B$1,4,1)),OR(COUNTIF($C47:F47,"&gt;0")&gt;0,DATE($B$1,4,1)=DATE(YEAR(TODAY()),MONTH(TODAY()),1))),1,0))</f>
        <v/>
      </c>
      <c r="T47">
        <f>IF($A47="","",IF(AND($B47&gt;0,G47&lt;$B47,DATE($B$1,5,1)&lt;=TODAY(),OR($O47="",$O47&gt;=DATE($B$1,5,1)),OR(COUNTIF($C47:G47,"&gt;0")&gt;0,DATE($B$1,5,1)=DATE(YEAR(TODAY()),MONTH(TODAY()),1))),1,0))</f>
        <v/>
      </c>
      <c r="U47">
        <f>IF($A47="","",IF(AND($B47&gt;0,H47&lt;$B47,DATE($B$1,6,1)&lt;=TODAY(),OR($O47="",$O47&gt;=DATE($B$1,6,1)),OR(COUNTIF($C47:H47,"&gt;0")&gt;0,DATE($B$1,6,1)=DATE(YEAR(TODAY()),MONTH(TODAY()),1))),1,0))</f>
        <v/>
      </c>
      <c r="V47">
        <f>IF($A47="","",IF(AND($B47&gt;0,I47&lt;$B47,DATE($B$1,7,1)&lt;=TODAY(),OR($O47="",$O47&gt;=DATE($B$1,7,1)),OR(COUNTIF($C47:I47,"&gt;0")&gt;0,DATE($B$1,7,1)=DATE(YEAR(TODAY()),MONTH(TODAY()),1))),1,0))</f>
        <v/>
      </c>
      <c r="W47">
        <f>IF($A47="","",IF(AND($B47&gt;0,J47&lt;$B47,DATE($B$1,8,1)&lt;=TODAY(),OR($O47="",$O47&gt;=DATE($B$1,8,1)),OR(COUNTIF($C47:J47,"&gt;0")&gt;0,DATE($B$1,8,1)=DATE(YEAR(TODAY()),MONTH(TODAY()),1))),1,0))</f>
        <v/>
      </c>
      <c r="X47">
        <f>IF($A47="","",IF(AND($B47&gt;0,K47&lt;$B47,DATE($B$1,9,1)&lt;=TODAY(),OR($O47="",$O47&gt;=DATE($B$1,9,1)),OR(COUNTIF($C47:K47,"&gt;0")&gt;0,DATE($B$1,9,1)=DATE(YEAR(TODAY()),MONTH(TODAY()),1))),1,0))</f>
        <v/>
      </c>
      <c r="Y47">
        <f>IF($A47="","",IF(AND($B47&gt;0,L47&lt;$B47,DATE($B$1,10,1)&lt;=TODAY(),OR($O47="",$O47&gt;=DATE($B$1,10,1)),OR(COUNTIF($C47:L47,"&gt;0")&gt;0,DATE($B$1,10,1)=DATE(YEAR(TODAY()),MONTH(TODAY()),1))),1,0))</f>
        <v/>
      </c>
      <c r="Z47">
        <f>IF($A47="","",IF(AND($B47&gt;0,M47&lt;$B47,DATE($B$1,11,1)&lt;=TODAY(),OR($O47="",$O47&gt;=DATE($B$1,11,1)),OR(COUNTIF($C47:M47,"&gt;0")&gt;0,DATE($B$1,11,1)=DATE(YEAR(TODAY()),MONTH(TODAY()),1))),1,0))</f>
        <v/>
      </c>
      <c r="AA47">
        <f>IF($A47="","",IF(AND($B47&gt;0,N47&lt;$B47,DATE($B$1,12,1)&lt;=TODAY(),OR($O47="",$O47&gt;=DATE($B$1,12,1)),OR(COUNTIF($C47:N47,"&gt;0")&gt;0,DATE($B$1,12,1)=DATE(YEAR(TODAY()),MONTH(TODAY()),1))),1,0))</f>
        <v/>
      </c>
    </row>
    <row r="48">
      <c r="A48" s="13">
        <f>IF(원생!$A46="","",원생!$A46&amp;IF(원생!$G46="",""," ("&amp;원생!$G46&amp;")"))</f>
        <v/>
      </c>
      <c r="B48" s="8">
        <f>IF(원생!$A46="","",원생!$F46)</f>
        <v/>
      </c>
      <c r="C48" s="14">
        <f>IF(원생!$A46="","",SUMIFS(수납!$F:$F,수납!$C:$C,원생!$A46,수납!$D:$D,IF(원생!$G46="","",원생!$G46),수납!$B:$B,$B$1&amp;"-"&amp;TEXT(1,"00")&amp;"*",수납!$E:$E,"수강료")+SUMIFS(수납!$F:$F,수납!$C:$C,원생!$A46,수납!$D:$D,IF(원생!$G46="","",원생!$G46),수납!$B:$B,$B$1&amp;"-"&amp;TEXT(1,"00")&amp;"*",수납!$E:$E,""))</f>
        <v/>
      </c>
      <c r="D48" s="14">
        <f>IF(원생!$A46="","",SUMIFS(수납!$F:$F,수납!$C:$C,원생!$A46,수납!$D:$D,IF(원생!$G46="","",원생!$G46),수납!$B:$B,$B$1&amp;"-"&amp;TEXT(2,"00")&amp;"*",수납!$E:$E,"수강료")+SUMIFS(수납!$F:$F,수납!$C:$C,원생!$A46,수납!$D:$D,IF(원생!$G46="","",원생!$G46),수납!$B:$B,$B$1&amp;"-"&amp;TEXT(2,"00")&amp;"*",수납!$E:$E,""))</f>
        <v/>
      </c>
      <c r="E48" s="14">
        <f>IF(원생!$A46="","",SUMIFS(수납!$F:$F,수납!$C:$C,원생!$A46,수납!$D:$D,IF(원생!$G46="","",원생!$G46),수납!$B:$B,$B$1&amp;"-"&amp;TEXT(3,"00")&amp;"*",수납!$E:$E,"수강료")+SUMIFS(수납!$F:$F,수납!$C:$C,원생!$A46,수납!$D:$D,IF(원생!$G46="","",원생!$G46),수납!$B:$B,$B$1&amp;"-"&amp;TEXT(3,"00")&amp;"*",수납!$E:$E,""))</f>
        <v/>
      </c>
      <c r="F48" s="14">
        <f>IF(원생!$A46="","",SUMIFS(수납!$F:$F,수납!$C:$C,원생!$A46,수납!$D:$D,IF(원생!$G46="","",원생!$G46),수납!$B:$B,$B$1&amp;"-"&amp;TEXT(4,"00")&amp;"*",수납!$E:$E,"수강료")+SUMIFS(수납!$F:$F,수납!$C:$C,원생!$A46,수납!$D:$D,IF(원생!$G46="","",원생!$G46),수납!$B:$B,$B$1&amp;"-"&amp;TEXT(4,"00")&amp;"*",수납!$E:$E,""))</f>
        <v/>
      </c>
      <c r="G48" s="14">
        <f>IF(원생!$A46="","",SUMIFS(수납!$F:$F,수납!$C:$C,원생!$A46,수납!$D:$D,IF(원생!$G46="","",원생!$G46),수납!$B:$B,$B$1&amp;"-"&amp;TEXT(5,"00")&amp;"*",수납!$E:$E,"수강료")+SUMIFS(수납!$F:$F,수납!$C:$C,원생!$A46,수납!$D:$D,IF(원생!$G46="","",원생!$G46),수납!$B:$B,$B$1&amp;"-"&amp;TEXT(5,"00")&amp;"*",수납!$E:$E,""))</f>
        <v/>
      </c>
      <c r="H48" s="14">
        <f>IF(원생!$A46="","",SUMIFS(수납!$F:$F,수납!$C:$C,원생!$A46,수납!$D:$D,IF(원생!$G46="","",원생!$G46),수납!$B:$B,$B$1&amp;"-"&amp;TEXT(6,"00")&amp;"*",수납!$E:$E,"수강료")+SUMIFS(수납!$F:$F,수납!$C:$C,원생!$A46,수납!$D:$D,IF(원생!$G46="","",원생!$G46),수납!$B:$B,$B$1&amp;"-"&amp;TEXT(6,"00")&amp;"*",수납!$E:$E,""))</f>
        <v/>
      </c>
      <c r="I48" s="14">
        <f>IF(원생!$A46="","",SUMIFS(수납!$F:$F,수납!$C:$C,원생!$A46,수납!$D:$D,IF(원생!$G46="","",원생!$G46),수납!$B:$B,$B$1&amp;"-"&amp;TEXT(7,"00")&amp;"*",수납!$E:$E,"수강료")+SUMIFS(수납!$F:$F,수납!$C:$C,원생!$A46,수납!$D:$D,IF(원생!$G46="","",원생!$G46),수납!$B:$B,$B$1&amp;"-"&amp;TEXT(7,"00")&amp;"*",수납!$E:$E,""))</f>
        <v/>
      </c>
      <c r="J48" s="14">
        <f>IF(원생!$A46="","",SUMIFS(수납!$F:$F,수납!$C:$C,원생!$A46,수납!$D:$D,IF(원생!$G46="","",원생!$G46),수납!$B:$B,$B$1&amp;"-"&amp;TEXT(8,"00")&amp;"*",수납!$E:$E,"수강료")+SUMIFS(수납!$F:$F,수납!$C:$C,원생!$A46,수납!$D:$D,IF(원생!$G46="","",원생!$G46),수납!$B:$B,$B$1&amp;"-"&amp;TEXT(8,"00")&amp;"*",수납!$E:$E,""))</f>
        <v/>
      </c>
      <c r="K48" s="14">
        <f>IF(원생!$A46="","",SUMIFS(수납!$F:$F,수납!$C:$C,원생!$A46,수납!$D:$D,IF(원생!$G46="","",원생!$G46),수납!$B:$B,$B$1&amp;"-"&amp;TEXT(9,"00")&amp;"*",수납!$E:$E,"수강료")+SUMIFS(수납!$F:$F,수납!$C:$C,원생!$A46,수납!$D:$D,IF(원생!$G46="","",원생!$G46),수납!$B:$B,$B$1&amp;"-"&amp;TEXT(9,"00")&amp;"*",수납!$E:$E,""))</f>
        <v/>
      </c>
      <c r="L48" s="14">
        <f>IF(원생!$A46="","",SUMIFS(수납!$F:$F,수납!$C:$C,원생!$A46,수납!$D:$D,IF(원생!$G46="","",원생!$G46),수납!$B:$B,$B$1&amp;"-"&amp;TEXT(10,"00")&amp;"*",수납!$E:$E,"수강료")+SUMIFS(수납!$F:$F,수납!$C:$C,원생!$A46,수납!$D:$D,IF(원생!$G46="","",원생!$G46),수납!$B:$B,$B$1&amp;"-"&amp;TEXT(10,"00")&amp;"*",수납!$E:$E,""))</f>
        <v/>
      </c>
      <c r="M48" s="14">
        <f>IF(원생!$A46="","",SUMIFS(수납!$F:$F,수납!$C:$C,원생!$A46,수납!$D:$D,IF(원생!$G46="","",원생!$G46),수납!$B:$B,$B$1&amp;"-"&amp;TEXT(11,"00")&amp;"*",수납!$E:$E,"수강료")+SUMIFS(수납!$F:$F,수납!$C:$C,원생!$A46,수납!$D:$D,IF(원생!$G46="","",원생!$G46),수납!$B:$B,$B$1&amp;"-"&amp;TEXT(11,"00")&amp;"*",수납!$E:$E,""))</f>
        <v/>
      </c>
      <c r="N48" s="14">
        <f>IF(원생!$A46="","",SUMIFS(수납!$F:$F,수납!$C:$C,원생!$A46,수납!$D:$D,IF(원생!$G46="","",원생!$G46),수납!$B:$B,$B$1&amp;"-"&amp;TEXT(12,"00")&amp;"*",수납!$E:$E,"수강료")+SUMIFS(수납!$F:$F,수납!$C:$C,원생!$A46,수납!$D:$D,IF(원생!$G46="","",원생!$G46),수납!$B:$B,$B$1&amp;"-"&amp;TEXT(12,"00")&amp;"*",수납!$E:$E,""))</f>
        <v/>
      </c>
      <c r="O48">
        <f>IF(원생!$I46="","",원생!$I46)</f>
        <v/>
      </c>
      <c r="P48">
        <f>IF($A48="","",IF(AND($B48&gt;0,C48&lt;$B48,DATE($B$1,1,1)&lt;=TODAY(),OR($O48="",$O48&gt;=DATE($B$1,1,1)),OR(COUNTIF($C48:C48,"&gt;0")&gt;0,DATE($B$1,1,1)=DATE(YEAR(TODAY()),MONTH(TODAY()),1))),1,0))</f>
        <v/>
      </c>
      <c r="Q48">
        <f>IF($A48="","",IF(AND($B48&gt;0,D48&lt;$B48,DATE($B$1,2,1)&lt;=TODAY(),OR($O48="",$O48&gt;=DATE($B$1,2,1)),OR(COUNTIF($C48:D48,"&gt;0")&gt;0,DATE($B$1,2,1)=DATE(YEAR(TODAY()),MONTH(TODAY()),1))),1,0))</f>
        <v/>
      </c>
      <c r="R48">
        <f>IF($A48="","",IF(AND($B48&gt;0,E48&lt;$B48,DATE($B$1,3,1)&lt;=TODAY(),OR($O48="",$O48&gt;=DATE($B$1,3,1)),OR(COUNTIF($C48:E48,"&gt;0")&gt;0,DATE($B$1,3,1)=DATE(YEAR(TODAY()),MONTH(TODAY()),1))),1,0))</f>
        <v/>
      </c>
      <c r="S48">
        <f>IF($A48="","",IF(AND($B48&gt;0,F48&lt;$B48,DATE($B$1,4,1)&lt;=TODAY(),OR($O48="",$O48&gt;=DATE($B$1,4,1)),OR(COUNTIF($C48:F48,"&gt;0")&gt;0,DATE($B$1,4,1)=DATE(YEAR(TODAY()),MONTH(TODAY()),1))),1,0))</f>
        <v/>
      </c>
      <c r="T48">
        <f>IF($A48="","",IF(AND($B48&gt;0,G48&lt;$B48,DATE($B$1,5,1)&lt;=TODAY(),OR($O48="",$O48&gt;=DATE($B$1,5,1)),OR(COUNTIF($C48:G48,"&gt;0")&gt;0,DATE($B$1,5,1)=DATE(YEAR(TODAY()),MONTH(TODAY()),1))),1,0))</f>
        <v/>
      </c>
      <c r="U48">
        <f>IF($A48="","",IF(AND($B48&gt;0,H48&lt;$B48,DATE($B$1,6,1)&lt;=TODAY(),OR($O48="",$O48&gt;=DATE($B$1,6,1)),OR(COUNTIF($C48:H48,"&gt;0")&gt;0,DATE($B$1,6,1)=DATE(YEAR(TODAY()),MONTH(TODAY()),1))),1,0))</f>
        <v/>
      </c>
      <c r="V48">
        <f>IF($A48="","",IF(AND($B48&gt;0,I48&lt;$B48,DATE($B$1,7,1)&lt;=TODAY(),OR($O48="",$O48&gt;=DATE($B$1,7,1)),OR(COUNTIF($C48:I48,"&gt;0")&gt;0,DATE($B$1,7,1)=DATE(YEAR(TODAY()),MONTH(TODAY()),1))),1,0))</f>
        <v/>
      </c>
      <c r="W48">
        <f>IF($A48="","",IF(AND($B48&gt;0,J48&lt;$B48,DATE($B$1,8,1)&lt;=TODAY(),OR($O48="",$O48&gt;=DATE($B$1,8,1)),OR(COUNTIF($C48:J48,"&gt;0")&gt;0,DATE($B$1,8,1)=DATE(YEAR(TODAY()),MONTH(TODAY()),1))),1,0))</f>
        <v/>
      </c>
      <c r="X48">
        <f>IF($A48="","",IF(AND($B48&gt;0,K48&lt;$B48,DATE($B$1,9,1)&lt;=TODAY(),OR($O48="",$O48&gt;=DATE($B$1,9,1)),OR(COUNTIF($C48:K48,"&gt;0")&gt;0,DATE($B$1,9,1)=DATE(YEAR(TODAY()),MONTH(TODAY()),1))),1,0))</f>
        <v/>
      </c>
      <c r="Y48">
        <f>IF($A48="","",IF(AND($B48&gt;0,L48&lt;$B48,DATE($B$1,10,1)&lt;=TODAY(),OR($O48="",$O48&gt;=DATE($B$1,10,1)),OR(COUNTIF($C48:L48,"&gt;0")&gt;0,DATE($B$1,10,1)=DATE(YEAR(TODAY()),MONTH(TODAY()),1))),1,0))</f>
        <v/>
      </c>
      <c r="Z48">
        <f>IF($A48="","",IF(AND($B48&gt;0,M48&lt;$B48,DATE($B$1,11,1)&lt;=TODAY(),OR($O48="",$O48&gt;=DATE($B$1,11,1)),OR(COUNTIF($C48:M48,"&gt;0")&gt;0,DATE($B$1,11,1)=DATE(YEAR(TODAY()),MONTH(TODAY()),1))),1,0))</f>
        <v/>
      </c>
      <c r="AA48">
        <f>IF($A48="","",IF(AND($B48&gt;0,N48&lt;$B48,DATE($B$1,12,1)&lt;=TODAY(),OR($O48="",$O48&gt;=DATE($B$1,12,1)),OR(COUNTIF($C48:N48,"&gt;0")&gt;0,DATE($B$1,12,1)=DATE(YEAR(TODAY()),MONTH(TODAY()),1))),1,0))</f>
        <v/>
      </c>
    </row>
    <row r="49">
      <c r="A49" s="13">
        <f>IF(원생!$A47="","",원생!$A47&amp;IF(원생!$G47="",""," ("&amp;원생!$G47&amp;")"))</f>
        <v/>
      </c>
      <c r="B49" s="8">
        <f>IF(원생!$A47="","",원생!$F47)</f>
        <v/>
      </c>
      <c r="C49" s="14">
        <f>IF(원생!$A47="","",SUMIFS(수납!$F:$F,수납!$C:$C,원생!$A47,수납!$D:$D,IF(원생!$G47="","",원생!$G47),수납!$B:$B,$B$1&amp;"-"&amp;TEXT(1,"00")&amp;"*",수납!$E:$E,"수강료")+SUMIFS(수납!$F:$F,수납!$C:$C,원생!$A47,수납!$D:$D,IF(원생!$G47="","",원생!$G47),수납!$B:$B,$B$1&amp;"-"&amp;TEXT(1,"00")&amp;"*",수납!$E:$E,""))</f>
        <v/>
      </c>
      <c r="D49" s="14">
        <f>IF(원생!$A47="","",SUMIFS(수납!$F:$F,수납!$C:$C,원생!$A47,수납!$D:$D,IF(원생!$G47="","",원생!$G47),수납!$B:$B,$B$1&amp;"-"&amp;TEXT(2,"00")&amp;"*",수납!$E:$E,"수강료")+SUMIFS(수납!$F:$F,수납!$C:$C,원생!$A47,수납!$D:$D,IF(원생!$G47="","",원생!$G47),수납!$B:$B,$B$1&amp;"-"&amp;TEXT(2,"00")&amp;"*",수납!$E:$E,""))</f>
        <v/>
      </c>
      <c r="E49" s="14">
        <f>IF(원생!$A47="","",SUMIFS(수납!$F:$F,수납!$C:$C,원생!$A47,수납!$D:$D,IF(원생!$G47="","",원생!$G47),수납!$B:$B,$B$1&amp;"-"&amp;TEXT(3,"00")&amp;"*",수납!$E:$E,"수강료")+SUMIFS(수납!$F:$F,수납!$C:$C,원생!$A47,수납!$D:$D,IF(원생!$G47="","",원생!$G47),수납!$B:$B,$B$1&amp;"-"&amp;TEXT(3,"00")&amp;"*",수납!$E:$E,""))</f>
        <v/>
      </c>
      <c r="F49" s="14">
        <f>IF(원생!$A47="","",SUMIFS(수납!$F:$F,수납!$C:$C,원생!$A47,수납!$D:$D,IF(원생!$G47="","",원생!$G47),수납!$B:$B,$B$1&amp;"-"&amp;TEXT(4,"00")&amp;"*",수납!$E:$E,"수강료")+SUMIFS(수납!$F:$F,수납!$C:$C,원생!$A47,수납!$D:$D,IF(원생!$G47="","",원생!$G47),수납!$B:$B,$B$1&amp;"-"&amp;TEXT(4,"00")&amp;"*",수납!$E:$E,""))</f>
        <v/>
      </c>
      <c r="G49" s="14">
        <f>IF(원생!$A47="","",SUMIFS(수납!$F:$F,수납!$C:$C,원생!$A47,수납!$D:$D,IF(원생!$G47="","",원생!$G47),수납!$B:$B,$B$1&amp;"-"&amp;TEXT(5,"00")&amp;"*",수납!$E:$E,"수강료")+SUMIFS(수납!$F:$F,수납!$C:$C,원생!$A47,수납!$D:$D,IF(원생!$G47="","",원생!$G47),수납!$B:$B,$B$1&amp;"-"&amp;TEXT(5,"00")&amp;"*",수납!$E:$E,""))</f>
        <v/>
      </c>
      <c r="H49" s="14">
        <f>IF(원생!$A47="","",SUMIFS(수납!$F:$F,수납!$C:$C,원생!$A47,수납!$D:$D,IF(원생!$G47="","",원생!$G47),수납!$B:$B,$B$1&amp;"-"&amp;TEXT(6,"00")&amp;"*",수납!$E:$E,"수강료")+SUMIFS(수납!$F:$F,수납!$C:$C,원생!$A47,수납!$D:$D,IF(원생!$G47="","",원생!$G47),수납!$B:$B,$B$1&amp;"-"&amp;TEXT(6,"00")&amp;"*",수납!$E:$E,""))</f>
        <v/>
      </c>
      <c r="I49" s="14">
        <f>IF(원생!$A47="","",SUMIFS(수납!$F:$F,수납!$C:$C,원생!$A47,수납!$D:$D,IF(원생!$G47="","",원생!$G47),수납!$B:$B,$B$1&amp;"-"&amp;TEXT(7,"00")&amp;"*",수납!$E:$E,"수강료")+SUMIFS(수납!$F:$F,수납!$C:$C,원생!$A47,수납!$D:$D,IF(원생!$G47="","",원생!$G47),수납!$B:$B,$B$1&amp;"-"&amp;TEXT(7,"00")&amp;"*",수납!$E:$E,""))</f>
        <v/>
      </c>
      <c r="J49" s="14">
        <f>IF(원생!$A47="","",SUMIFS(수납!$F:$F,수납!$C:$C,원생!$A47,수납!$D:$D,IF(원생!$G47="","",원생!$G47),수납!$B:$B,$B$1&amp;"-"&amp;TEXT(8,"00")&amp;"*",수납!$E:$E,"수강료")+SUMIFS(수납!$F:$F,수납!$C:$C,원생!$A47,수납!$D:$D,IF(원생!$G47="","",원생!$G47),수납!$B:$B,$B$1&amp;"-"&amp;TEXT(8,"00")&amp;"*",수납!$E:$E,""))</f>
        <v/>
      </c>
      <c r="K49" s="14">
        <f>IF(원생!$A47="","",SUMIFS(수납!$F:$F,수납!$C:$C,원생!$A47,수납!$D:$D,IF(원생!$G47="","",원생!$G47),수납!$B:$B,$B$1&amp;"-"&amp;TEXT(9,"00")&amp;"*",수납!$E:$E,"수강료")+SUMIFS(수납!$F:$F,수납!$C:$C,원생!$A47,수납!$D:$D,IF(원생!$G47="","",원생!$G47),수납!$B:$B,$B$1&amp;"-"&amp;TEXT(9,"00")&amp;"*",수납!$E:$E,""))</f>
        <v/>
      </c>
      <c r="L49" s="14">
        <f>IF(원생!$A47="","",SUMIFS(수납!$F:$F,수납!$C:$C,원생!$A47,수납!$D:$D,IF(원생!$G47="","",원생!$G47),수납!$B:$B,$B$1&amp;"-"&amp;TEXT(10,"00")&amp;"*",수납!$E:$E,"수강료")+SUMIFS(수납!$F:$F,수납!$C:$C,원생!$A47,수납!$D:$D,IF(원생!$G47="","",원생!$G47),수납!$B:$B,$B$1&amp;"-"&amp;TEXT(10,"00")&amp;"*",수납!$E:$E,""))</f>
        <v/>
      </c>
      <c r="M49" s="14">
        <f>IF(원생!$A47="","",SUMIFS(수납!$F:$F,수납!$C:$C,원생!$A47,수납!$D:$D,IF(원생!$G47="","",원생!$G47),수납!$B:$B,$B$1&amp;"-"&amp;TEXT(11,"00")&amp;"*",수납!$E:$E,"수강료")+SUMIFS(수납!$F:$F,수납!$C:$C,원생!$A47,수납!$D:$D,IF(원생!$G47="","",원생!$G47),수납!$B:$B,$B$1&amp;"-"&amp;TEXT(11,"00")&amp;"*",수납!$E:$E,""))</f>
        <v/>
      </c>
      <c r="N49" s="14">
        <f>IF(원생!$A47="","",SUMIFS(수납!$F:$F,수납!$C:$C,원생!$A47,수납!$D:$D,IF(원생!$G47="","",원생!$G47),수납!$B:$B,$B$1&amp;"-"&amp;TEXT(12,"00")&amp;"*",수납!$E:$E,"수강료")+SUMIFS(수납!$F:$F,수납!$C:$C,원생!$A47,수납!$D:$D,IF(원생!$G47="","",원생!$G47),수납!$B:$B,$B$1&amp;"-"&amp;TEXT(12,"00")&amp;"*",수납!$E:$E,""))</f>
        <v/>
      </c>
      <c r="O49">
        <f>IF(원생!$I47="","",원생!$I47)</f>
        <v/>
      </c>
      <c r="P49">
        <f>IF($A49="","",IF(AND($B49&gt;0,C49&lt;$B49,DATE($B$1,1,1)&lt;=TODAY(),OR($O49="",$O49&gt;=DATE($B$1,1,1)),OR(COUNTIF($C49:C49,"&gt;0")&gt;0,DATE($B$1,1,1)=DATE(YEAR(TODAY()),MONTH(TODAY()),1))),1,0))</f>
        <v/>
      </c>
      <c r="Q49">
        <f>IF($A49="","",IF(AND($B49&gt;0,D49&lt;$B49,DATE($B$1,2,1)&lt;=TODAY(),OR($O49="",$O49&gt;=DATE($B$1,2,1)),OR(COUNTIF($C49:D49,"&gt;0")&gt;0,DATE($B$1,2,1)=DATE(YEAR(TODAY()),MONTH(TODAY()),1))),1,0))</f>
        <v/>
      </c>
      <c r="R49">
        <f>IF($A49="","",IF(AND($B49&gt;0,E49&lt;$B49,DATE($B$1,3,1)&lt;=TODAY(),OR($O49="",$O49&gt;=DATE($B$1,3,1)),OR(COUNTIF($C49:E49,"&gt;0")&gt;0,DATE($B$1,3,1)=DATE(YEAR(TODAY()),MONTH(TODAY()),1))),1,0))</f>
        <v/>
      </c>
      <c r="S49">
        <f>IF($A49="","",IF(AND($B49&gt;0,F49&lt;$B49,DATE($B$1,4,1)&lt;=TODAY(),OR($O49="",$O49&gt;=DATE($B$1,4,1)),OR(COUNTIF($C49:F49,"&gt;0")&gt;0,DATE($B$1,4,1)=DATE(YEAR(TODAY()),MONTH(TODAY()),1))),1,0))</f>
        <v/>
      </c>
      <c r="T49">
        <f>IF($A49="","",IF(AND($B49&gt;0,G49&lt;$B49,DATE($B$1,5,1)&lt;=TODAY(),OR($O49="",$O49&gt;=DATE($B$1,5,1)),OR(COUNTIF($C49:G49,"&gt;0")&gt;0,DATE($B$1,5,1)=DATE(YEAR(TODAY()),MONTH(TODAY()),1))),1,0))</f>
        <v/>
      </c>
      <c r="U49">
        <f>IF($A49="","",IF(AND($B49&gt;0,H49&lt;$B49,DATE($B$1,6,1)&lt;=TODAY(),OR($O49="",$O49&gt;=DATE($B$1,6,1)),OR(COUNTIF($C49:H49,"&gt;0")&gt;0,DATE($B$1,6,1)=DATE(YEAR(TODAY()),MONTH(TODAY()),1))),1,0))</f>
        <v/>
      </c>
      <c r="V49">
        <f>IF($A49="","",IF(AND($B49&gt;0,I49&lt;$B49,DATE($B$1,7,1)&lt;=TODAY(),OR($O49="",$O49&gt;=DATE($B$1,7,1)),OR(COUNTIF($C49:I49,"&gt;0")&gt;0,DATE($B$1,7,1)=DATE(YEAR(TODAY()),MONTH(TODAY()),1))),1,0))</f>
        <v/>
      </c>
      <c r="W49">
        <f>IF($A49="","",IF(AND($B49&gt;0,J49&lt;$B49,DATE($B$1,8,1)&lt;=TODAY(),OR($O49="",$O49&gt;=DATE($B$1,8,1)),OR(COUNTIF($C49:J49,"&gt;0")&gt;0,DATE($B$1,8,1)=DATE(YEAR(TODAY()),MONTH(TODAY()),1))),1,0))</f>
        <v/>
      </c>
      <c r="X49">
        <f>IF($A49="","",IF(AND($B49&gt;0,K49&lt;$B49,DATE($B$1,9,1)&lt;=TODAY(),OR($O49="",$O49&gt;=DATE($B$1,9,1)),OR(COUNTIF($C49:K49,"&gt;0")&gt;0,DATE($B$1,9,1)=DATE(YEAR(TODAY()),MONTH(TODAY()),1))),1,0))</f>
        <v/>
      </c>
      <c r="Y49">
        <f>IF($A49="","",IF(AND($B49&gt;0,L49&lt;$B49,DATE($B$1,10,1)&lt;=TODAY(),OR($O49="",$O49&gt;=DATE($B$1,10,1)),OR(COUNTIF($C49:L49,"&gt;0")&gt;0,DATE($B$1,10,1)=DATE(YEAR(TODAY()),MONTH(TODAY()),1))),1,0))</f>
        <v/>
      </c>
      <c r="Z49">
        <f>IF($A49="","",IF(AND($B49&gt;0,M49&lt;$B49,DATE($B$1,11,1)&lt;=TODAY(),OR($O49="",$O49&gt;=DATE($B$1,11,1)),OR(COUNTIF($C49:M49,"&gt;0")&gt;0,DATE($B$1,11,1)=DATE(YEAR(TODAY()),MONTH(TODAY()),1))),1,0))</f>
        <v/>
      </c>
      <c r="AA49">
        <f>IF($A49="","",IF(AND($B49&gt;0,N49&lt;$B49,DATE($B$1,12,1)&lt;=TODAY(),OR($O49="",$O49&gt;=DATE($B$1,12,1)),OR(COUNTIF($C49:N49,"&gt;0")&gt;0,DATE($B$1,12,1)=DATE(YEAR(TODAY()),MONTH(TODAY()),1))),1,0))</f>
        <v/>
      </c>
    </row>
    <row r="50">
      <c r="A50" s="13">
        <f>IF(원생!$A48="","",원생!$A48&amp;IF(원생!$G48="",""," ("&amp;원생!$G48&amp;")"))</f>
        <v/>
      </c>
      <c r="B50" s="8">
        <f>IF(원생!$A48="","",원생!$F48)</f>
        <v/>
      </c>
      <c r="C50" s="14">
        <f>IF(원생!$A48="","",SUMIFS(수납!$F:$F,수납!$C:$C,원생!$A48,수납!$D:$D,IF(원생!$G48="","",원생!$G48),수납!$B:$B,$B$1&amp;"-"&amp;TEXT(1,"00")&amp;"*",수납!$E:$E,"수강료")+SUMIFS(수납!$F:$F,수납!$C:$C,원생!$A48,수납!$D:$D,IF(원생!$G48="","",원생!$G48),수납!$B:$B,$B$1&amp;"-"&amp;TEXT(1,"00")&amp;"*",수납!$E:$E,""))</f>
        <v/>
      </c>
      <c r="D50" s="14">
        <f>IF(원생!$A48="","",SUMIFS(수납!$F:$F,수납!$C:$C,원생!$A48,수납!$D:$D,IF(원생!$G48="","",원생!$G48),수납!$B:$B,$B$1&amp;"-"&amp;TEXT(2,"00")&amp;"*",수납!$E:$E,"수강료")+SUMIFS(수납!$F:$F,수납!$C:$C,원생!$A48,수납!$D:$D,IF(원생!$G48="","",원생!$G48),수납!$B:$B,$B$1&amp;"-"&amp;TEXT(2,"00")&amp;"*",수납!$E:$E,""))</f>
        <v/>
      </c>
      <c r="E50" s="14">
        <f>IF(원생!$A48="","",SUMIFS(수납!$F:$F,수납!$C:$C,원생!$A48,수납!$D:$D,IF(원생!$G48="","",원생!$G48),수납!$B:$B,$B$1&amp;"-"&amp;TEXT(3,"00")&amp;"*",수납!$E:$E,"수강료")+SUMIFS(수납!$F:$F,수납!$C:$C,원생!$A48,수납!$D:$D,IF(원생!$G48="","",원생!$G48),수납!$B:$B,$B$1&amp;"-"&amp;TEXT(3,"00")&amp;"*",수납!$E:$E,""))</f>
        <v/>
      </c>
      <c r="F50" s="14">
        <f>IF(원생!$A48="","",SUMIFS(수납!$F:$F,수납!$C:$C,원생!$A48,수납!$D:$D,IF(원생!$G48="","",원생!$G48),수납!$B:$B,$B$1&amp;"-"&amp;TEXT(4,"00")&amp;"*",수납!$E:$E,"수강료")+SUMIFS(수납!$F:$F,수납!$C:$C,원생!$A48,수납!$D:$D,IF(원생!$G48="","",원생!$G48),수납!$B:$B,$B$1&amp;"-"&amp;TEXT(4,"00")&amp;"*",수납!$E:$E,""))</f>
        <v/>
      </c>
      <c r="G50" s="14">
        <f>IF(원생!$A48="","",SUMIFS(수납!$F:$F,수납!$C:$C,원생!$A48,수납!$D:$D,IF(원생!$G48="","",원생!$G48),수납!$B:$B,$B$1&amp;"-"&amp;TEXT(5,"00")&amp;"*",수납!$E:$E,"수강료")+SUMIFS(수납!$F:$F,수납!$C:$C,원생!$A48,수납!$D:$D,IF(원생!$G48="","",원생!$G48),수납!$B:$B,$B$1&amp;"-"&amp;TEXT(5,"00")&amp;"*",수납!$E:$E,""))</f>
        <v/>
      </c>
      <c r="H50" s="14">
        <f>IF(원생!$A48="","",SUMIFS(수납!$F:$F,수납!$C:$C,원생!$A48,수납!$D:$D,IF(원생!$G48="","",원생!$G48),수납!$B:$B,$B$1&amp;"-"&amp;TEXT(6,"00")&amp;"*",수납!$E:$E,"수강료")+SUMIFS(수납!$F:$F,수납!$C:$C,원생!$A48,수납!$D:$D,IF(원생!$G48="","",원생!$G48),수납!$B:$B,$B$1&amp;"-"&amp;TEXT(6,"00")&amp;"*",수납!$E:$E,""))</f>
        <v/>
      </c>
      <c r="I50" s="14">
        <f>IF(원생!$A48="","",SUMIFS(수납!$F:$F,수납!$C:$C,원생!$A48,수납!$D:$D,IF(원생!$G48="","",원생!$G48),수납!$B:$B,$B$1&amp;"-"&amp;TEXT(7,"00")&amp;"*",수납!$E:$E,"수강료")+SUMIFS(수납!$F:$F,수납!$C:$C,원생!$A48,수납!$D:$D,IF(원생!$G48="","",원생!$G48),수납!$B:$B,$B$1&amp;"-"&amp;TEXT(7,"00")&amp;"*",수납!$E:$E,""))</f>
        <v/>
      </c>
      <c r="J50" s="14">
        <f>IF(원생!$A48="","",SUMIFS(수납!$F:$F,수납!$C:$C,원생!$A48,수납!$D:$D,IF(원생!$G48="","",원생!$G48),수납!$B:$B,$B$1&amp;"-"&amp;TEXT(8,"00")&amp;"*",수납!$E:$E,"수강료")+SUMIFS(수납!$F:$F,수납!$C:$C,원생!$A48,수납!$D:$D,IF(원생!$G48="","",원생!$G48),수납!$B:$B,$B$1&amp;"-"&amp;TEXT(8,"00")&amp;"*",수납!$E:$E,""))</f>
        <v/>
      </c>
      <c r="K50" s="14">
        <f>IF(원생!$A48="","",SUMIFS(수납!$F:$F,수납!$C:$C,원생!$A48,수납!$D:$D,IF(원생!$G48="","",원생!$G48),수납!$B:$B,$B$1&amp;"-"&amp;TEXT(9,"00")&amp;"*",수납!$E:$E,"수강료")+SUMIFS(수납!$F:$F,수납!$C:$C,원생!$A48,수납!$D:$D,IF(원생!$G48="","",원생!$G48),수납!$B:$B,$B$1&amp;"-"&amp;TEXT(9,"00")&amp;"*",수납!$E:$E,""))</f>
        <v/>
      </c>
      <c r="L50" s="14">
        <f>IF(원생!$A48="","",SUMIFS(수납!$F:$F,수납!$C:$C,원생!$A48,수납!$D:$D,IF(원생!$G48="","",원생!$G48),수납!$B:$B,$B$1&amp;"-"&amp;TEXT(10,"00")&amp;"*",수납!$E:$E,"수강료")+SUMIFS(수납!$F:$F,수납!$C:$C,원생!$A48,수납!$D:$D,IF(원생!$G48="","",원생!$G48),수납!$B:$B,$B$1&amp;"-"&amp;TEXT(10,"00")&amp;"*",수납!$E:$E,""))</f>
        <v/>
      </c>
      <c r="M50" s="14">
        <f>IF(원생!$A48="","",SUMIFS(수납!$F:$F,수납!$C:$C,원생!$A48,수납!$D:$D,IF(원생!$G48="","",원생!$G48),수납!$B:$B,$B$1&amp;"-"&amp;TEXT(11,"00")&amp;"*",수납!$E:$E,"수강료")+SUMIFS(수납!$F:$F,수납!$C:$C,원생!$A48,수납!$D:$D,IF(원생!$G48="","",원생!$G48),수납!$B:$B,$B$1&amp;"-"&amp;TEXT(11,"00")&amp;"*",수납!$E:$E,""))</f>
        <v/>
      </c>
      <c r="N50" s="14">
        <f>IF(원생!$A48="","",SUMIFS(수납!$F:$F,수납!$C:$C,원생!$A48,수납!$D:$D,IF(원생!$G48="","",원생!$G48),수납!$B:$B,$B$1&amp;"-"&amp;TEXT(12,"00")&amp;"*",수납!$E:$E,"수강료")+SUMIFS(수납!$F:$F,수납!$C:$C,원생!$A48,수납!$D:$D,IF(원생!$G48="","",원생!$G48),수납!$B:$B,$B$1&amp;"-"&amp;TEXT(12,"00")&amp;"*",수납!$E:$E,""))</f>
        <v/>
      </c>
      <c r="O50">
        <f>IF(원생!$I48="","",원생!$I48)</f>
        <v/>
      </c>
      <c r="P50">
        <f>IF($A50="","",IF(AND($B50&gt;0,C50&lt;$B50,DATE($B$1,1,1)&lt;=TODAY(),OR($O50="",$O50&gt;=DATE($B$1,1,1)),OR(COUNTIF($C50:C50,"&gt;0")&gt;0,DATE($B$1,1,1)=DATE(YEAR(TODAY()),MONTH(TODAY()),1))),1,0))</f>
        <v/>
      </c>
      <c r="Q50">
        <f>IF($A50="","",IF(AND($B50&gt;0,D50&lt;$B50,DATE($B$1,2,1)&lt;=TODAY(),OR($O50="",$O50&gt;=DATE($B$1,2,1)),OR(COUNTIF($C50:D50,"&gt;0")&gt;0,DATE($B$1,2,1)=DATE(YEAR(TODAY()),MONTH(TODAY()),1))),1,0))</f>
        <v/>
      </c>
      <c r="R50">
        <f>IF($A50="","",IF(AND($B50&gt;0,E50&lt;$B50,DATE($B$1,3,1)&lt;=TODAY(),OR($O50="",$O50&gt;=DATE($B$1,3,1)),OR(COUNTIF($C50:E50,"&gt;0")&gt;0,DATE($B$1,3,1)=DATE(YEAR(TODAY()),MONTH(TODAY()),1))),1,0))</f>
        <v/>
      </c>
      <c r="S50">
        <f>IF($A50="","",IF(AND($B50&gt;0,F50&lt;$B50,DATE($B$1,4,1)&lt;=TODAY(),OR($O50="",$O50&gt;=DATE($B$1,4,1)),OR(COUNTIF($C50:F50,"&gt;0")&gt;0,DATE($B$1,4,1)=DATE(YEAR(TODAY()),MONTH(TODAY()),1))),1,0))</f>
        <v/>
      </c>
      <c r="T50">
        <f>IF($A50="","",IF(AND($B50&gt;0,G50&lt;$B50,DATE($B$1,5,1)&lt;=TODAY(),OR($O50="",$O50&gt;=DATE($B$1,5,1)),OR(COUNTIF($C50:G50,"&gt;0")&gt;0,DATE($B$1,5,1)=DATE(YEAR(TODAY()),MONTH(TODAY()),1))),1,0))</f>
        <v/>
      </c>
      <c r="U50">
        <f>IF($A50="","",IF(AND($B50&gt;0,H50&lt;$B50,DATE($B$1,6,1)&lt;=TODAY(),OR($O50="",$O50&gt;=DATE($B$1,6,1)),OR(COUNTIF($C50:H50,"&gt;0")&gt;0,DATE($B$1,6,1)=DATE(YEAR(TODAY()),MONTH(TODAY()),1))),1,0))</f>
        <v/>
      </c>
      <c r="V50">
        <f>IF($A50="","",IF(AND($B50&gt;0,I50&lt;$B50,DATE($B$1,7,1)&lt;=TODAY(),OR($O50="",$O50&gt;=DATE($B$1,7,1)),OR(COUNTIF($C50:I50,"&gt;0")&gt;0,DATE($B$1,7,1)=DATE(YEAR(TODAY()),MONTH(TODAY()),1))),1,0))</f>
        <v/>
      </c>
      <c r="W50">
        <f>IF($A50="","",IF(AND($B50&gt;0,J50&lt;$B50,DATE($B$1,8,1)&lt;=TODAY(),OR($O50="",$O50&gt;=DATE($B$1,8,1)),OR(COUNTIF($C50:J50,"&gt;0")&gt;0,DATE($B$1,8,1)=DATE(YEAR(TODAY()),MONTH(TODAY()),1))),1,0))</f>
        <v/>
      </c>
      <c r="X50">
        <f>IF($A50="","",IF(AND($B50&gt;0,K50&lt;$B50,DATE($B$1,9,1)&lt;=TODAY(),OR($O50="",$O50&gt;=DATE($B$1,9,1)),OR(COUNTIF($C50:K50,"&gt;0")&gt;0,DATE($B$1,9,1)=DATE(YEAR(TODAY()),MONTH(TODAY()),1))),1,0))</f>
        <v/>
      </c>
      <c r="Y50">
        <f>IF($A50="","",IF(AND($B50&gt;0,L50&lt;$B50,DATE($B$1,10,1)&lt;=TODAY(),OR($O50="",$O50&gt;=DATE($B$1,10,1)),OR(COUNTIF($C50:L50,"&gt;0")&gt;0,DATE($B$1,10,1)=DATE(YEAR(TODAY()),MONTH(TODAY()),1))),1,0))</f>
        <v/>
      </c>
      <c r="Z50">
        <f>IF($A50="","",IF(AND($B50&gt;0,M50&lt;$B50,DATE($B$1,11,1)&lt;=TODAY(),OR($O50="",$O50&gt;=DATE($B$1,11,1)),OR(COUNTIF($C50:M50,"&gt;0")&gt;0,DATE($B$1,11,1)=DATE(YEAR(TODAY()),MONTH(TODAY()),1))),1,0))</f>
        <v/>
      </c>
      <c r="AA50">
        <f>IF($A50="","",IF(AND($B50&gt;0,N50&lt;$B50,DATE($B$1,12,1)&lt;=TODAY(),OR($O50="",$O50&gt;=DATE($B$1,12,1)),OR(COUNTIF($C50:N50,"&gt;0")&gt;0,DATE($B$1,12,1)=DATE(YEAR(TODAY()),MONTH(TODAY()),1))),1,0))</f>
        <v/>
      </c>
    </row>
    <row r="51">
      <c r="A51" s="13">
        <f>IF(원생!$A49="","",원생!$A49&amp;IF(원생!$G49="",""," ("&amp;원생!$G49&amp;")"))</f>
        <v/>
      </c>
      <c r="B51" s="8">
        <f>IF(원생!$A49="","",원생!$F49)</f>
        <v/>
      </c>
      <c r="C51" s="14">
        <f>IF(원생!$A49="","",SUMIFS(수납!$F:$F,수납!$C:$C,원생!$A49,수납!$D:$D,IF(원생!$G49="","",원생!$G49),수납!$B:$B,$B$1&amp;"-"&amp;TEXT(1,"00")&amp;"*",수납!$E:$E,"수강료")+SUMIFS(수납!$F:$F,수납!$C:$C,원생!$A49,수납!$D:$D,IF(원생!$G49="","",원생!$G49),수납!$B:$B,$B$1&amp;"-"&amp;TEXT(1,"00")&amp;"*",수납!$E:$E,""))</f>
        <v/>
      </c>
      <c r="D51" s="14">
        <f>IF(원생!$A49="","",SUMIFS(수납!$F:$F,수납!$C:$C,원생!$A49,수납!$D:$D,IF(원생!$G49="","",원생!$G49),수납!$B:$B,$B$1&amp;"-"&amp;TEXT(2,"00")&amp;"*",수납!$E:$E,"수강료")+SUMIFS(수납!$F:$F,수납!$C:$C,원생!$A49,수납!$D:$D,IF(원생!$G49="","",원생!$G49),수납!$B:$B,$B$1&amp;"-"&amp;TEXT(2,"00")&amp;"*",수납!$E:$E,""))</f>
        <v/>
      </c>
      <c r="E51" s="14">
        <f>IF(원생!$A49="","",SUMIFS(수납!$F:$F,수납!$C:$C,원생!$A49,수납!$D:$D,IF(원생!$G49="","",원생!$G49),수납!$B:$B,$B$1&amp;"-"&amp;TEXT(3,"00")&amp;"*",수납!$E:$E,"수강료")+SUMIFS(수납!$F:$F,수납!$C:$C,원생!$A49,수납!$D:$D,IF(원생!$G49="","",원생!$G49),수납!$B:$B,$B$1&amp;"-"&amp;TEXT(3,"00")&amp;"*",수납!$E:$E,""))</f>
        <v/>
      </c>
      <c r="F51" s="14">
        <f>IF(원생!$A49="","",SUMIFS(수납!$F:$F,수납!$C:$C,원생!$A49,수납!$D:$D,IF(원생!$G49="","",원생!$G49),수납!$B:$B,$B$1&amp;"-"&amp;TEXT(4,"00")&amp;"*",수납!$E:$E,"수강료")+SUMIFS(수납!$F:$F,수납!$C:$C,원생!$A49,수납!$D:$D,IF(원생!$G49="","",원생!$G49),수납!$B:$B,$B$1&amp;"-"&amp;TEXT(4,"00")&amp;"*",수납!$E:$E,""))</f>
        <v/>
      </c>
      <c r="G51" s="14">
        <f>IF(원생!$A49="","",SUMIFS(수납!$F:$F,수납!$C:$C,원생!$A49,수납!$D:$D,IF(원생!$G49="","",원생!$G49),수납!$B:$B,$B$1&amp;"-"&amp;TEXT(5,"00")&amp;"*",수납!$E:$E,"수강료")+SUMIFS(수납!$F:$F,수납!$C:$C,원생!$A49,수납!$D:$D,IF(원생!$G49="","",원생!$G49),수납!$B:$B,$B$1&amp;"-"&amp;TEXT(5,"00")&amp;"*",수납!$E:$E,""))</f>
        <v/>
      </c>
      <c r="H51" s="14">
        <f>IF(원생!$A49="","",SUMIFS(수납!$F:$F,수납!$C:$C,원생!$A49,수납!$D:$D,IF(원생!$G49="","",원생!$G49),수납!$B:$B,$B$1&amp;"-"&amp;TEXT(6,"00")&amp;"*",수납!$E:$E,"수강료")+SUMIFS(수납!$F:$F,수납!$C:$C,원생!$A49,수납!$D:$D,IF(원생!$G49="","",원생!$G49),수납!$B:$B,$B$1&amp;"-"&amp;TEXT(6,"00")&amp;"*",수납!$E:$E,""))</f>
        <v/>
      </c>
      <c r="I51" s="14">
        <f>IF(원생!$A49="","",SUMIFS(수납!$F:$F,수납!$C:$C,원생!$A49,수납!$D:$D,IF(원생!$G49="","",원생!$G49),수납!$B:$B,$B$1&amp;"-"&amp;TEXT(7,"00")&amp;"*",수납!$E:$E,"수강료")+SUMIFS(수납!$F:$F,수납!$C:$C,원생!$A49,수납!$D:$D,IF(원생!$G49="","",원생!$G49),수납!$B:$B,$B$1&amp;"-"&amp;TEXT(7,"00")&amp;"*",수납!$E:$E,""))</f>
        <v/>
      </c>
      <c r="J51" s="14">
        <f>IF(원생!$A49="","",SUMIFS(수납!$F:$F,수납!$C:$C,원생!$A49,수납!$D:$D,IF(원생!$G49="","",원생!$G49),수납!$B:$B,$B$1&amp;"-"&amp;TEXT(8,"00")&amp;"*",수납!$E:$E,"수강료")+SUMIFS(수납!$F:$F,수납!$C:$C,원생!$A49,수납!$D:$D,IF(원생!$G49="","",원생!$G49),수납!$B:$B,$B$1&amp;"-"&amp;TEXT(8,"00")&amp;"*",수납!$E:$E,""))</f>
        <v/>
      </c>
      <c r="K51" s="14">
        <f>IF(원생!$A49="","",SUMIFS(수납!$F:$F,수납!$C:$C,원생!$A49,수납!$D:$D,IF(원생!$G49="","",원생!$G49),수납!$B:$B,$B$1&amp;"-"&amp;TEXT(9,"00")&amp;"*",수납!$E:$E,"수강료")+SUMIFS(수납!$F:$F,수납!$C:$C,원생!$A49,수납!$D:$D,IF(원생!$G49="","",원생!$G49),수납!$B:$B,$B$1&amp;"-"&amp;TEXT(9,"00")&amp;"*",수납!$E:$E,""))</f>
        <v/>
      </c>
      <c r="L51" s="14">
        <f>IF(원생!$A49="","",SUMIFS(수납!$F:$F,수납!$C:$C,원생!$A49,수납!$D:$D,IF(원생!$G49="","",원생!$G49),수납!$B:$B,$B$1&amp;"-"&amp;TEXT(10,"00")&amp;"*",수납!$E:$E,"수강료")+SUMIFS(수납!$F:$F,수납!$C:$C,원생!$A49,수납!$D:$D,IF(원생!$G49="","",원생!$G49),수납!$B:$B,$B$1&amp;"-"&amp;TEXT(10,"00")&amp;"*",수납!$E:$E,""))</f>
        <v/>
      </c>
      <c r="M51" s="14">
        <f>IF(원생!$A49="","",SUMIFS(수납!$F:$F,수납!$C:$C,원생!$A49,수납!$D:$D,IF(원생!$G49="","",원생!$G49),수납!$B:$B,$B$1&amp;"-"&amp;TEXT(11,"00")&amp;"*",수납!$E:$E,"수강료")+SUMIFS(수납!$F:$F,수납!$C:$C,원생!$A49,수납!$D:$D,IF(원생!$G49="","",원생!$G49),수납!$B:$B,$B$1&amp;"-"&amp;TEXT(11,"00")&amp;"*",수납!$E:$E,""))</f>
        <v/>
      </c>
      <c r="N51" s="14">
        <f>IF(원생!$A49="","",SUMIFS(수납!$F:$F,수납!$C:$C,원생!$A49,수납!$D:$D,IF(원생!$G49="","",원생!$G49),수납!$B:$B,$B$1&amp;"-"&amp;TEXT(12,"00")&amp;"*",수납!$E:$E,"수강료")+SUMIFS(수납!$F:$F,수납!$C:$C,원생!$A49,수납!$D:$D,IF(원생!$G49="","",원생!$G49),수납!$B:$B,$B$1&amp;"-"&amp;TEXT(12,"00")&amp;"*",수납!$E:$E,""))</f>
        <v/>
      </c>
      <c r="O51">
        <f>IF(원생!$I49="","",원생!$I49)</f>
        <v/>
      </c>
      <c r="P51">
        <f>IF($A51="","",IF(AND($B51&gt;0,C51&lt;$B51,DATE($B$1,1,1)&lt;=TODAY(),OR($O51="",$O51&gt;=DATE($B$1,1,1)),OR(COUNTIF($C51:C51,"&gt;0")&gt;0,DATE($B$1,1,1)=DATE(YEAR(TODAY()),MONTH(TODAY()),1))),1,0))</f>
        <v/>
      </c>
      <c r="Q51">
        <f>IF($A51="","",IF(AND($B51&gt;0,D51&lt;$B51,DATE($B$1,2,1)&lt;=TODAY(),OR($O51="",$O51&gt;=DATE($B$1,2,1)),OR(COUNTIF($C51:D51,"&gt;0")&gt;0,DATE($B$1,2,1)=DATE(YEAR(TODAY()),MONTH(TODAY()),1))),1,0))</f>
        <v/>
      </c>
      <c r="R51">
        <f>IF($A51="","",IF(AND($B51&gt;0,E51&lt;$B51,DATE($B$1,3,1)&lt;=TODAY(),OR($O51="",$O51&gt;=DATE($B$1,3,1)),OR(COUNTIF($C51:E51,"&gt;0")&gt;0,DATE($B$1,3,1)=DATE(YEAR(TODAY()),MONTH(TODAY()),1))),1,0))</f>
        <v/>
      </c>
      <c r="S51">
        <f>IF($A51="","",IF(AND($B51&gt;0,F51&lt;$B51,DATE($B$1,4,1)&lt;=TODAY(),OR($O51="",$O51&gt;=DATE($B$1,4,1)),OR(COUNTIF($C51:F51,"&gt;0")&gt;0,DATE($B$1,4,1)=DATE(YEAR(TODAY()),MONTH(TODAY()),1))),1,0))</f>
        <v/>
      </c>
      <c r="T51">
        <f>IF($A51="","",IF(AND($B51&gt;0,G51&lt;$B51,DATE($B$1,5,1)&lt;=TODAY(),OR($O51="",$O51&gt;=DATE($B$1,5,1)),OR(COUNTIF($C51:G51,"&gt;0")&gt;0,DATE($B$1,5,1)=DATE(YEAR(TODAY()),MONTH(TODAY()),1))),1,0))</f>
        <v/>
      </c>
      <c r="U51">
        <f>IF($A51="","",IF(AND($B51&gt;0,H51&lt;$B51,DATE($B$1,6,1)&lt;=TODAY(),OR($O51="",$O51&gt;=DATE($B$1,6,1)),OR(COUNTIF($C51:H51,"&gt;0")&gt;0,DATE($B$1,6,1)=DATE(YEAR(TODAY()),MONTH(TODAY()),1))),1,0))</f>
        <v/>
      </c>
      <c r="V51">
        <f>IF($A51="","",IF(AND($B51&gt;0,I51&lt;$B51,DATE($B$1,7,1)&lt;=TODAY(),OR($O51="",$O51&gt;=DATE($B$1,7,1)),OR(COUNTIF($C51:I51,"&gt;0")&gt;0,DATE($B$1,7,1)=DATE(YEAR(TODAY()),MONTH(TODAY()),1))),1,0))</f>
        <v/>
      </c>
      <c r="W51">
        <f>IF($A51="","",IF(AND($B51&gt;0,J51&lt;$B51,DATE($B$1,8,1)&lt;=TODAY(),OR($O51="",$O51&gt;=DATE($B$1,8,1)),OR(COUNTIF($C51:J51,"&gt;0")&gt;0,DATE($B$1,8,1)=DATE(YEAR(TODAY()),MONTH(TODAY()),1))),1,0))</f>
        <v/>
      </c>
      <c r="X51">
        <f>IF($A51="","",IF(AND($B51&gt;0,K51&lt;$B51,DATE($B$1,9,1)&lt;=TODAY(),OR($O51="",$O51&gt;=DATE($B$1,9,1)),OR(COUNTIF($C51:K51,"&gt;0")&gt;0,DATE($B$1,9,1)=DATE(YEAR(TODAY()),MONTH(TODAY()),1))),1,0))</f>
        <v/>
      </c>
      <c r="Y51">
        <f>IF($A51="","",IF(AND($B51&gt;0,L51&lt;$B51,DATE($B$1,10,1)&lt;=TODAY(),OR($O51="",$O51&gt;=DATE($B$1,10,1)),OR(COUNTIF($C51:L51,"&gt;0")&gt;0,DATE($B$1,10,1)=DATE(YEAR(TODAY()),MONTH(TODAY()),1))),1,0))</f>
        <v/>
      </c>
      <c r="Z51">
        <f>IF($A51="","",IF(AND($B51&gt;0,M51&lt;$B51,DATE($B$1,11,1)&lt;=TODAY(),OR($O51="",$O51&gt;=DATE($B$1,11,1)),OR(COUNTIF($C51:M51,"&gt;0")&gt;0,DATE($B$1,11,1)=DATE(YEAR(TODAY()),MONTH(TODAY()),1))),1,0))</f>
        <v/>
      </c>
      <c r="AA51">
        <f>IF($A51="","",IF(AND($B51&gt;0,N51&lt;$B51,DATE($B$1,12,1)&lt;=TODAY(),OR($O51="",$O51&gt;=DATE($B$1,12,1)),OR(COUNTIF($C51:N51,"&gt;0")&gt;0,DATE($B$1,12,1)=DATE(YEAR(TODAY()),MONTH(TODAY()),1))),1,0))</f>
        <v/>
      </c>
    </row>
    <row r="52">
      <c r="A52" s="13">
        <f>IF(원생!$A50="","",원생!$A50&amp;IF(원생!$G50="",""," ("&amp;원생!$G50&amp;")"))</f>
        <v/>
      </c>
      <c r="B52" s="8">
        <f>IF(원생!$A50="","",원생!$F50)</f>
        <v/>
      </c>
      <c r="C52" s="14">
        <f>IF(원생!$A50="","",SUMIFS(수납!$F:$F,수납!$C:$C,원생!$A50,수납!$D:$D,IF(원생!$G50="","",원생!$G50),수납!$B:$B,$B$1&amp;"-"&amp;TEXT(1,"00")&amp;"*",수납!$E:$E,"수강료")+SUMIFS(수납!$F:$F,수납!$C:$C,원생!$A50,수납!$D:$D,IF(원생!$G50="","",원생!$G50),수납!$B:$B,$B$1&amp;"-"&amp;TEXT(1,"00")&amp;"*",수납!$E:$E,""))</f>
        <v/>
      </c>
      <c r="D52" s="14">
        <f>IF(원생!$A50="","",SUMIFS(수납!$F:$F,수납!$C:$C,원생!$A50,수납!$D:$D,IF(원생!$G50="","",원생!$G50),수납!$B:$B,$B$1&amp;"-"&amp;TEXT(2,"00")&amp;"*",수납!$E:$E,"수강료")+SUMIFS(수납!$F:$F,수납!$C:$C,원생!$A50,수납!$D:$D,IF(원생!$G50="","",원생!$G50),수납!$B:$B,$B$1&amp;"-"&amp;TEXT(2,"00")&amp;"*",수납!$E:$E,""))</f>
        <v/>
      </c>
      <c r="E52" s="14">
        <f>IF(원생!$A50="","",SUMIFS(수납!$F:$F,수납!$C:$C,원생!$A50,수납!$D:$D,IF(원생!$G50="","",원생!$G50),수납!$B:$B,$B$1&amp;"-"&amp;TEXT(3,"00")&amp;"*",수납!$E:$E,"수강료")+SUMIFS(수납!$F:$F,수납!$C:$C,원생!$A50,수납!$D:$D,IF(원생!$G50="","",원생!$G50),수납!$B:$B,$B$1&amp;"-"&amp;TEXT(3,"00")&amp;"*",수납!$E:$E,""))</f>
        <v/>
      </c>
      <c r="F52" s="14">
        <f>IF(원생!$A50="","",SUMIFS(수납!$F:$F,수납!$C:$C,원생!$A50,수납!$D:$D,IF(원생!$G50="","",원생!$G50),수납!$B:$B,$B$1&amp;"-"&amp;TEXT(4,"00")&amp;"*",수납!$E:$E,"수강료")+SUMIFS(수납!$F:$F,수납!$C:$C,원생!$A50,수납!$D:$D,IF(원생!$G50="","",원생!$G50),수납!$B:$B,$B$1&amp;"-"&amp;TEXT(4,"00")&amp;"*",수납!$E:$E,""))</f>
        <v/>
      </c>
      <c r="G52" s="14">
        <f>IF(원생!$A50="","",SUMIFS(수납!$F:$F,수납!$C:$C,원생!$A50,수납!$D:$D,IF(원생!$G50="","",원생!$G50),수납!$B:$B,$B$1&amp;"-"&amp;TEXT(5,"00")&amp;"*",수납!$E:$E,"수강료")+SUMIFS(수납!$F:$F,수납!$C:$C,원생!$A50,수납!$D:$D,IF(원생!$G50="","",원생!$G50),수납!$B:$B,$B$1&amp;"-"&amp;TEXT(5,"00")&amp;"*",수납!$E:$E,""))</f>
        <v/>
      </c>
      <c r="H52" s="14">
        <f>IF(원생!$A50="","",SUMIFS(수납!$F:$F,수납!$C:$C,원생!$A50,수납!$D:$D,IF(원생!$G50="","",원생!$G50),수납!$B:$B,$B$1&amp;"-"&amp;TEXT(6,"00")&amp;"*",수납!$E:$E,"수강료")+SUMIFS(수납!$F:$F,수납!$C:$C,원생!$A50,수납!$D:$D,IF(원생!$G50="","",원생!$G50),수납!$B:$B,$B$1&amp;"-"&amp;TEXT(6,"00")&amp;"*",수납!$E:$E,""))</f>
        <v/>
      </c>
      <c r="I52" s="14">
        <f>IF(원생!$A50="","",SUMIFS(수납!$F:$F,수납!$C:$C,원생!$A50,수납!$D:$D,IF(원생!$G50="","",원생!$G50),수납!$B:$B,$B$1&amp;"-"&amp;TEXT(7,"00")&amp;"*",수납!$E:$E,"수강료")+SUMIFS(수납!$F:$F,수납!$C:$C,원생!$A50,수납!$D:$D,IF(원생!$G50="","",원생!$G50),수납!$B:$B,$B$1&amp;"-"&amp;TEXT(7,"00")&amp;"*",수납!$E:$E,""))</f>
        <v/>
      </c>
      <c r="J52" s="14">
        <f>IF(원생!$A50="","",SUMIFS(수납!$F:$F,수납!$C:$C,원생!$A50,수납!$D:$D,IF(원생!$G50="","",원생!$G50),수납!$B:$B,$B$1&amp;"-"&amp;TEXT(8,"00")&amp;"*",수납!$E:$E,"수강료")+SUMIFS(수납!$F:$F,수납!$C:$C,원생!$A50,수납!$D:$D,IF(원생!$G50="","",원생!$G50),수납!$B:$B,$B$1&amp;"-"&amp;TEXT(8,"00")&amp;"*",수납!$E:$E,""))</f>
        <v/>
      </c>
      <c r="K52" s="14">
        <f>IF(원생!$A50="","",SUMIFS(수납!$F:$F,수납!$C:$C,원생!$A50,수납!$D:$D,IF(원생!$G50="","",원생!$G50),수납!$B:$B,$B$1&amp;"-"&amp;TEXT(9,"00")&amp;"*",수납!$E:$E,"수강료")+SUMIFS(수납!$F:$F,수납!$C:$C,원생!$A50,수납!$D:$D,IF(원생!$G50="","",원생!$G50),수납!$B:$B,$B$1&amp;"-"&amp;TEXT(9,"00")&amp;"*",수납!$E:$E,""))</f>
        <v/>
      </c>
      <c r="L52" s="14">
        <f>IF(원생!$A50="","",SUMIFS(수납!$F:$F,수납!$C:$C,원생!$A50,수납!$D:$D,IF(원생!$G50="","",원생!$G50),수납!$B:$B,$B$1&amp;"-"&amp;TEXT(10,"00")&amp;"*",수납!$E:$E,"수강료")+SUMIFS(수납!$F:$F,수납!$C:$C,원생!$A50,수납!$D:$D,IF(원생!$G50="","",원생!$G50),수납!$B:$B,$B$1&amp;"-"&amp;TEXT(10,"00")&amp;"*",수납!$E:$E,""))</f>
        <v/>
      </c>
      <c r="M52" s="14">
        <f>IF(원생!$A50="","",SUMIFS(수납!$F:$F,수납!$C:$C,원생!$A50,수납!$D:$D,IF(원생!$G50="","",원생!$G50),수납!$B:$B,$B$1&amp;"-"&amp;TEXT(11,"00")&amp;"*",수납!$E:$E,"수강료")+SUMIFS(수납!$F:$F,수납!$C:$C,원생!$A50,수납!$D:$D,IF(원생!$G50="","",원생!$G50),수납!$B:$B,$B$1&amp;"-"&amp;TEXT(11,"00")&amp;"*",수납!$E:$E,""))</f>
        <v/>
      </c>
      <c r="N52" s="14">
        <f>IF(원생!$A50="","",SUMIFS(수납!$F:$F,수납!$C:$C,원생!$A50,수납!$D:$D,IF(원생!$G50="","",원생!$G50),수납!$B:$B,$B$1&amp;"-"&amp;TEXT(12,"00")&amp;"*",수납!$E:$E,"수강료")+SUMIFS(수납!$F:$F,수납!$C:$C,원생!$A50,수납!$D:$D,IF(원생!$G50="","",원생!$G50),수납!$B:$B,$B$1&amp;"-"&amp;TEXT(12,"00")&amp;"*",수납!$E:$E,""))</f>
        <v/>
      </c>
      <c r="O52">
        <f>IF(원생!$I50="","",원생!$I50)</f>
        <v/>
      </c>
      <c r="P52">
        <f>IF($A52="","",IF(AND($B52&gt;0,C52&lt;$B52,DATE($B$1,1,1)&lt;=TODAY(),OR($O52="",$O52&gt;=DATE($B$1,1,1)),OR(COUNTIF($C52:C52,"&gt;0")&gt;0,DATE($B$1,1,1)=DATE(YEAR(TODAY()),MONTH(TODAY()),1))),1,0))</f>
        <v/>
      </c>
      <c r="Q52">
        <f>IF($A52="","",IF(AND($B52&gt;0,D52&lt;$B52,DATE($B$1,2,1)&lt;=TODAY(),OR($O52="",$O52&gt;=DATE($B$1,2,1)),OR(COUNTIF($C52:D52,"&gt;0")&gt;0,DATE($B$1,2,1)=DATE(YEAR(TODAY()),MONTH(TODAY()),1))),1,0))</f>
        <v/>
      </c>
      <c r="R52">
        <f>IF($A52="","",IF(AND($B52&gt;0,E52&lt;$B52,DATE($B$1,3,1)&lt;=TODAY(),OR($O52="",$O52&gt;=DATE($B$1,3,1)),OR(COUNTIF($C52:E52,"&gt;0")&gt;0,DATE($B$1,3,1)=DATE(YEAR(TODAY()),MONTH(TODAY()),1))),1,0))</f>
        <v/>
      </c>
      <c r="S52">
        <f>IF($A52="","",IF(AND($B52&gt;0,F52&lt;$B52,DATE($B$1,4,1)&lt;=TODAY(),OR($O52="",$O52&gt;=DATE($B$1,4,1)),OR(COUNTIF($C52:F52,"&gt;0")&gt;0,DATE($B$1,4,1)=DATE(YEAR(TODAY()),MONTH(TODAY()),1))),1,0))</f>
        <v/>
      </c>
      <c r="T52">
        <f>IF($A52="","",IF(AND($B52&gt;0,G52&lt;$B52,DATE($B$1,5,1)&lt;=TODAY(),OR($O52="",$O52&gt;=DATE($B$1,5,1)),OR(COUNTIF($C52:G52,"&gt;0")&gt;0,DATE($B$1,5,1)=DATE(YEAR(TODAY()),MONTH(TODAY()),1))),1,0))</f>
        <v/>
      </c>
      <c r="U52">
        <f>IF($A52="","",IF(AND($B52&gt;0,H52&lt;$B52,DATE($B$1,6,1)&lt;=TODAY(),OR($O52="",$O52&gt;=DATE($B$1,6,1)),OR(COUNTIF($C52:H52,"&gt;0")&gt;0,DATE($B$1,6,1)=DATE(YEAR(TODAY()),MONTH(TODAY()),1))),1,0))</f>
        <v/>
      </c>
      <c r="V52">
        <f>IF($A52="","",IF(AND($B52&gt;0,I52&lt;$B52,DATE($B$1,7,1)&lt;=TODAY(),OR($O52="",$O52&gt;=DATE($B$1,7,1)),OR(COUNTIF($C52:I52,"&gt;0")&gt;0,DATE($B$1,7,1)=DATE(YEAR(TODAY()),MONTH(TODAY()),1))),1,0))</f>
        <v/>
      </c>
      <c r="W52">
        <f>IF($A52="","",IF(AND($B52&gt;0,J52&lt;$B52,DATE($B$1,8,1)&lt;=TODAY(),OR($O52="",$O52&gt;=DATE($B$1,8,1)),OR(COUNTIF($C52:J52,"&gt;0")&gt;0,DATE($B$1,8,1)=DATE(YEAR(TODAY()),MONTH(TODAY()),1))),1,0))</f>
        <v/>
      </c>
      <c r="X52">
        <f>IF($A52="","",IF(AND($B52&gt;0,K52&lt;$B52,DATE($B$1,9,1)&lt;=TODAY(),OR($O52="",$O52&gt;=DATE($B$1,9,1)),OR(COUNTIF($C52:K52,"&gt;0")&gt;0,DATE($B$1,9,1)=DATE(YEAR(TODAY()),MONTH(TODAY()),1))),1,0))</f>
        <v/>
      </c>
      <c r="Y52">
        <f>IF($A52="","",IF(AND($B52&gt;0,L52&lt;$B52,DATE($B$1,10,1)&lt;=TODAY(),OR($O52="",$O52&gt;=DATE($B$1,10,1)),OR(COUNTIF($C52:L52,"&gt;0")&gt;0,DATE($B$1,10,1)=DATE(YEAR(TODAY()),MONTH(TODAY()),1))),1,0))</f>
        <v/>
      </c>
      <c r="Z52">
        <f>IF($A52="","",IF(AND($B52&gt;0,M52&lt;$B52,DATE($B$1,11,1)&lt;=TODAY(),OR($O52="",$O52&gt;=DATE($B$1,11,1)),OR(COUNTIF($C52:M52,"&gt;0")&gt;0,DATE($B$1,11,1)=DATE(YEAR(TODAY()),MONTH(TODAY()),1))),1,0))</f>
        <v/>
      </c>
      <c r="AA52">
        <f>IF($A52="","",IF(AND($B52&gt;0,N52&lt;$B52,DATE($B$1,12,1)&lt;=TODAY(),OR($O52="",$O52&gt;=DATE($B$1,12,1)),OR(COUNTIF($C52:N52,"&gt;0")&gt;0,DATE($B$1,12,1)=DATE(YEAR(TODAY()),MONTH(TODAY()),1))),1,0))</f>
        <v/>
      </c>
    </row>
    <row r="53">
      <c r="A53" s="13">
        <f>IF(원생!$A51="","",원생!$A51&amp;IF(원생!$G51="",""," ("&amp;원생!$G51&amp;")"))</f>
        <v/>
      </c>
      <c r="B53" s="8">
        <f>IF(원생!$A51="","",원생!$F51)</f>
        <v/>
      </c>
      <c r="C53" s="14">
        <f>IF(원생!$A51="","",SUMIFS(수납!$F:$F,수납!$C:$C,원생!$A51,수납!$D:$D,IF(원생!$G51="","",원생!$G51),수납!$B:$B,$B$1&amp;"-"&amp;TEXT(1,"00")&amp;"*",수납!$E:$E,"수강료")+SUMIFS(수납!$F:$F,수납!$C:$C,원생!$A51,수납!$D:$D,IF(원생!$G51="","",원생!$G51),수납!$B:$B,$B$1&amp;"-"&amp;TEXT(1,"00")&amp;"*",수납!$E:$E,""))</f>
        <v/>
      </c>
      <c r="D53" s="14">
        <f>IF(원생!$A51="","",SUMIFS(수납!$F:$F,수납!$C:$C,원생!$A51,수납!$D:$D,IF(원생!$G51="","",원생!$G51),수납!$B:$B,$B$1&amp;"-"&amp;TEXT(2,"00")&amp;"*",수납!$E:$E,"수강료")+SUMIFS(수납!$F:$F,수납!$C:$C,원생!$A51,수납!$D:$D,IF(원생!$G51="","",원생!$G51),수납!$B:$B,$B$1&amp;"-"&amp;TEXT(2,"00")&amp;"*",수납!$E:$E,""))</f>
        <v/>
      </c>
      <c r="E53" s="14">
        <f>IF(원생!$A51="","",SUMIFS(수납!$F:$F,수납!$C:$C,원생!$A51,수납!$D:$D,IF(원생!$G51="","",원생!$G51),수납!$B:$B,$B$1&amp;"-"&amp;TEXT(3,"00")&amp;"*",수납!$E:$E,"수강료")+SUMIFS(수납!$F:$F,수납!$C:$C,원생!$A51,수납!$D:$D,IF(원생!$G51="","",원생!$G51),수납!$B:$B,$B$1&amp;"-"&amp;TEXT(3,"00")&amp;"*",수납!$E:$E,""))</f>
        <v/>
      </c>
      <c r="F53" s="14">
        <f>IF(원생!$A51="","",SUMIFS(수납!$F:$F,수납!$C:$C,원생!$A51,수납!$D:$D,IF(원생!$G51="","",원생!$G51),수납!$B:$B,$B$1&amp;"-"&amp;TEXT(4,"00")&amp;"*",수납!$E:$E,"수강료")+SUMIFS(수납!$F:$F,수납!$C:$C,원생!$A51,수납!$D:$D,IF(원생!$G51="","",원생!$G51),수납!$B:$B,$B$1&amp;"-"&amp;TEXT(4,"00")&amp;"*",수납!$E:$E,""))</f>
        <v/>
      </c>
      <c r="G53" s="14">
        <f>IF(원생!$A51="","",SUMIFS(수납!$F:$F,수납!$C:$C,원생!$A51,수납!$D:$D,IF(원생!$G51="","",원생!$G51),수납!$B:$B,$B$1&amp;"-"&amp;TEXT(5,"00")&amp;"*",수납!$E:$E,"수강료")+SUMIFS(수납!$F:$F,수납!$C:$C,원생!$A51,수납!$D:$D,IF(원생!$G51="","",원생!$G51),수납!$B:$B,$B$1&amp;"-"&amp;TEXT(5,"00")&amp;"*",수납!$E:$E,""))</f>
        <v/>
      </c>
      <c r="H53" s="14">
        <f>IF(원생!$A51="","",SUMIFS(수납!$F:$F,수납!$C:$C,원생!$A51,수납!$D:$D,IF(원생!$G51="","",원생!$G51),수납!$B:$B,$B$1&amp;"-"&amp;TEXT(6,"00")&amp;"*",수납!$E:$E,"수강료")+SUMIFS(수납!$F:$F,수납!$C:$C,원생!$A51,수납!$D:$D,IF(원생!$G51="","",원생!$G51),수납!$B:$B,$B$1&amp;"-"&amp;TEXT(6,"00")&amp;"*",수납!$E:$E,""))</f>
        <v/>
      </c>
      <c r="I53" s="14">
        <f>IF(원생!$A51="","",SUMIFS(수납!$F:$F,수납!$C:$C,원생!$A51,수납!$D:$D,IF(원생!$G51="","",원생!$G51),수납!$B:$B,$B$1&amp;"-"&amp;TEXT(7,"00")&amp;"*",수납!$E:$E,"수강료")+SUMIFS(수납!$F:$F,수납!$C:$C,원생!$A51,수납!$D:$D,IF(원생!$G51="","",원생!$G51),수납!$B:$B,$B$1&amp;"-"&amp;TEXT(7,"00")&amp;"*",수납!$E:$E,""))</f>
        <v/>
      </c>
      <c r="J53" s="14">
        <f>IF(원생!$A51="","",SUMIFS(수납!$F:$F,수납!$C:$C,원생!$A51,수납!$D:$D,IF(원생!$G51="","",원생!$G51),수납!$B:$B,$B$1&amp;"-"&amp;TEXT(8,"00")&amp;"*",수납!$E:$E,"수강료")+SUMIFS(수납!$F:$F,수납!$C:$C,원생!$A51,수납!$D:$D,IF(원생!$G51="","",원생!$G51),수납!$B:$B,$B$1&amp;"-"&amp;TEXT(8,"00")&amp;"*",수납!$E:$E,""))</f>
        <v/>
      </c>
      <c r="K53" s="14">
        <f>IF(원생!$A51="","",SUMIFS(수납!$F:$F,수납!$C:$C,원생!$A51,수납!$D:$D,IF(원생!$G51="","",원생!$G51),수납!$B:$B,$B$1&amp;"-"&amp;TEXT(9,"00")&amp;"*",수납!$E:$E,"수강료")+SUMIFS(수납!$F:$F,수납!$C:$C,원생!$A51,수납!$D:$D,IF(원생!$G51="","",원생!$G51),수납!$B:$B,$B$1&amp;"-"&amp;TEXT(9,"00")&amp;"*",수납!$E:$E,""))</f>
        <v/>
      </c>
      <c r="L53" s="14">
        <f>IF(원생!$A51="","",SUMIFS(수납!$F:$F,수납!$C:$C,원생!$A51,수납!$D:$D,IF(원생!$G51="","",원생!$G51),수납!$B:$B,$B$1&amp;"-"&amp;TEXT(10,"00")&amp;"*",수납!$E:$E,"수강료")+SUMIFS(수납!$F:$F,수납!$C:$C,원생!$A51,수납!$D:$D,IF(원생!$G51="","",원생!$G51),수납!$B:$B,$B$1&amp;"-"&amp;TEXT(10,"00")&amp;"*",수납!$E:$E,""))</f>
        <v/>
      </c>
      <c r="M53" s="14">
        <f>IF(원생!$A51="","",SUMIFS(수납!$F:$F,수납!$C:$C,원생!$A51,수납!$D:$D,IF(원생!$G51="","",원생!$G51),수납!$B:$B,$B$1&amp;"-"&amp;TEXT(11,"00")&amp;"*",수납!$E:$E,"수강료")+SUMIFS(수납!$F:$F,수납!$C:$C,원생!$A51,수납!$D:$D,IF(원생!$G51="","",원생!$G51),수납!$B:$B,$B$1&amp;"-"&amp;TEXT(11,"00")&amp;"*",수납!$E:$E,""))</f>
        <v/>
      </c>
      <c r="N53" s="14">
        <f>IF(원생!$A51="","",SUMIFS(수납!$F:$F,수납!$C:$C,원생!$A51,수납!$D:$D,IF(원생!$G51="","",원생!$G51),수납!$B:$B,$B$1&amp;"-"&amp;TEXT(12,"00")&amp;"*",수납!$E:$E,"수강료")+SUMIFS(수납!$F:$F,수납!$C:$C,원생!$A51,수납!$D:$D,IF(원생!$G51="","",원생!$G51),수납!$B:$B,$B$1&amp;"-"&amp;TEXT(12,"00")&amp;"*",수납!$E:$E,""))</f>
        <v/>
      </c>
      <c r="O53">
        <f>IF(원생!$I51="","",원생!$I51)</f>
        <v/>
      </c>
      <c r="P53">
        <f>IF($A53="","",IF(AND($B53&gt;0,C53&lt;$B53,DATE($B$1,1,1)&lt;=TODAY(),OR($O53="",$O53&gt;=DATE($B$1,1,1)),OR(COUNTIF($C53:C53,"&gt;0")&gt;0,DATE($B$1,1,1)=DATE(YEAR(TODAY()),MONTH(TODAY()),1))),1,0))</f>
        <v/>
      </c>
      <c r="Q53">
        <f>IF($A53="","",IF(AND($B53&gt;0,D53&lt;$B53,DATE($B$1,2,1)&lt;=TODAY(),OR($O53="",$O53&gt;=DATE($B$1,2,1)),OR(COUNTIF($C53:D53,"&gt;0")&gt;0,DATE($B$1,2,1)=DATE(YEAR(TODAY()),MONTH(TODAY()),1))),1,0))</f>
        <v/>
      </c>
      <c r="R53">
        <f>IF($A53="","",IF(AND($B53&gt;0,E53&lt;$B53,DATE($B$1,3,1)&lt;=TODAY(),OR($O53="",$O53&gt;=DATE($B$1,3,1)),OR(COUNTIF($C53:E53,"&gt;0")&gt;0,DATE($B$1,3,1)=DATE(YEAR(TODAY()),MONTH(TODAY()),1))),1,0))</f>
        <v/>
      </c>
      <c r="S53">
        <f>IF($A53="","",IF(AND($B53&gt;0,F53&lt;$B53,DATE($B$1,4,1)&lt;=TODAY(),OR($O53="",$O53&gt;=DATE($B$1,4,1)),OR(COUNTIF($C53:F53,"&gt;0")&gt;0,DATE($B$1,4,1)=DATE(YEAR(TODAY()),MONTH(TODAY()),1))),1,0))</f>
        <v/>
      </c>
      <c r="T53">
        <f>IF($A53="","",IF(AND($B53&gt;0,G53&lt;$B53,DATE($B$1,5,1)&lt;=TODAY(),OR($O53="",$O53&gt;=DATE($B$1,5,1)),OR(COUNTIF($C53:G53,"&gt;0")&gt;0,DATE($B$1,5,1)=DATE(YEAR(TODAY()),MONTH(TODAY()),1))),1,0))</f>
        <v/>
      </c>
      <c r="U53">
        <f>IF($A53="","",IF(AND($B53&gt;0,H53&lt;$B53,DATE($B$1,6,1)&lt;=TODAY(),OR($O53="",$O53&gt;=DATE($B$1,6,1)),OR(COUNTIF($C53:H53,"&gt;0")&gt;0,DATE($B$1,6,1)=DATE(YEAR(TODAY()),MONTH(TODAY()),1))),1,0))</f>
        <v/>
      </c>
      <c r="V53">
        <f>IF($A53="","",IF(AND($B53&gt;0,I53&lt;$B53,DATE($B$1,7,1)&lt;=TODAY(),OR($O53="",$O53&gt;=DATE($B$1,7,1)),OR(COUNTIF($C53:I53,"&gt;0")&gt;0,DATE($B$1,7,1)=DATE(YEAR(TODAY()),MONTH(TODAY()),1))),1,0))</f>
        <v/>
      </c>
      <c r="W53">
        <f>IF($A53="","",IF(AND($B53&gt;0,J53&lt;$B53,DATE($B$1,8,1)&lt;=TODAY(),OR($O53="",$O53&gt;=DATE($B$1,8,1)),OR(COUNTIF($C53:J53,"&gt;0")&gt;0,DATE($B$1,8,1)=DATE(YEAR(TODAY()),MONTH(TODAY()),1))),1,0))</f>
        <v/>
      </c>
      <c r="X53">
        <f>IF($A53="","",IF(AND($B53&gt;0,K53&lt;$B53,DATE($B$1,9,1)&lt;=TODAY(),OR($O53="",$O53&gt;=DATE($B$1,9,1)),OR(COUNTIF($C53:K53,"&gt;0")&gt;0,DATE($B$1,9,1)=DATE(YEAR(TODAY()),MONTH(TODAY()),1))),1,0))</f>
        <v/>
      </c>
      <c r="Y53">
        <f>IF($A53="","",IF(AND($B53&gt;0,L53&lt;$B53,DATE($B$1,10,1)&lt;=TODAY(),OR($O53="",$O53&gt;=DATE($B$1,10,1)),OR(COUNTIF($C53:L53,"&gt;0")&gt;0,DATE($B$1,10,1)=DATE(YEAR(TODAY()),MONTH(TODAY()),1))),1,0))</f>
        <v/>
      </c>
      <c r="Z53">
        <f>IF($A53="","",IF(AND($B53&gt;0,M53&lt;$B53,DATE($B$1,11,1)&lt;=TODAY(),OR($O53="",$O53&gt;=DATE($B$1,11,1)),OR(COUNTIF($C53:M53,"&gt;0")&gt;0,DATE($B$1,11,1)=DATE(YEAR(TODAY()),MONTH(TODAY()),1))),1,0))</f>
        <v/>
      </c>
      <c r="AA53">
        <f>IF($A53="","",IF(AND($B53&gt;0,N53&lt;$B53,DATE($B$1,12,1)&lt;=TODAY(),OR($O53="",$O53&gt;=DATE($B$1,12,1)),OR(COUNTIF($C53:N53,"&gt;0")&gt;0,DATE($B$1,12,1)=DATE(YEAR(TODAY()),MONTH(TODAY()),1))),1,0))</f>
        <v/>
      </c>
    </row>
    <row r="54">
      <c r="A54" s="13">
        <f>IF(원생!$A52="","",원생!$A52&amp;IF(원생!$G52="",""," ("&amp;원생!$G52&amp;")"))</f>
        <v/>
      </c>
      <c r="B54" s="8">
        <f>IF(원생!$A52="","",원생!$F52)</f>
        <v/>
      </c>
      <c r="C54" s="14">
        <f>IF(원생!$A52="","",SUMIFS(수납!$F:$F,수납!$C:$C,원생!$A52,수납!$D:$D,IF(원생!$G52="","",원생!$G52),수납!$B:$B,$B$1&amp;"-"&amp;TEXT(1,"00")&amp;"*",수납!$E:$E,"수강료")+SUMIFS(수납!$F:$F,수납!$C:$C,원생!$A52,수납!$D:$D,IF(원생!$G52="","",원생!$G52),수납!$B:$B,$B$1&amp;"-"&amp;TEXT(1,"00")&amp;"*",수납!$E:$E,""))</f>
        <v/>
      </c>
      <c r="D54" s="14">
        <f>IF(원생!$A52="","",SUMIFS(수납!$F:$F,수납!$C:$C,원생!$A52,수납!$D:$D,IF(원생!$G52="","",원생!$G52),수납!$B:$B,$B$1&amp;"-"&amp;TEXT(2,"00")&amp;"*",수납!$E:$E,"수강료")+SUMIFS(수납!$F:$F,수납!$C:$C,원생!$A52,수납!$D:$D,IF(원생!$G52="","",원생!$G52),수납!$B:$B,$B$1&amp;"-"&amp;TEXT(2,"00")&amp;"*",수납!$E:$E,""))</f>
        <v/>
      </c>
      <c r="E54" s="14">
        <f>IF(원생!$A52="","",SUMIFS(수납!$F:$F,수납!$C:$C,원생!$A52,수납!$D:$D,IF(원생!$G52="","",원생!$G52),수납!$B:$B,$B$1&amp;"-"&amp;TEXT(3,"00")&amp;"*",수납!$E:$E,"수강료")+SUMIFS(수납!$F:$F,수납!$C:$C,원생!$A52,수납!$D:$D,IF(원생!$G52="","",원생!$G52),수납!$B:$B,$B$1&amp;"-"&amp;TEXT(3,"00")&amp;"*",수납!$E:$E,""))</f>
        <v/>
      </c>
      <c r="F54" s="14">
        <f>IF(원생!$A52="","",SUMIFS(수납!$F:$F,수납!$C:$C,원생!$A52,수납!$D:$D,IF(원생!$G52="","",원생!$G52),수납!$B:$B,$B$1&amp;"-"&amp;TEXT(4,"00")&amp;"*",수납!$E:$E,"수강료")+SUMIFS(수납!$F:$F,수납!$C:$C,원생!$A52,수납!$D:$D,IF(원생!$G52="","",원생!$G52),수납!$B:$B,$B$1&amp;"-"&amp;TEXT(4,"00")&amp;"*",수납!$E:$E,""))</f>
        <v/>
      </c>
      <c r="G54" s="14">
        <f>IF(원생!$A52="","",SUMIFS(수납!$F:$F,수납!$C:$C,원생!$A52,수납!$D:$D,IF(원생!$G52="","",원생!$G52),수납!$B:$B,$B$1&amp;"-"&amp;TEXT(5,"00")&amp;"*",수납!$E:$E,"수강료")+SUMIFS(수납!$F:$F,수납!$C:$C,원생!$A52,수납!$D:$D,IF(원생!$G52="","",원생!$G52),수납!$B:$B,$B$1&amp;"-"&amp;TEXT(5,"00")&amp;"*",수납!$E:$E,""))</f>
        <v/>
      </c>
      <c r="H54" s="14">
        <f>IF(원생!$A52="","",SUMIFS(수납!$F:$F,수납!$C:$C,원생!$A52,수납!$D:$D,IF(원생!$G52="","",원생!$G52),수납!$B:$B,$B$1&amp;"-"&amp;TEXT(6,"00")&amp;"*",수납!$E:$E,"수강료")+SUMIFS(수납!$F:$F,수납!$C:$C,원생!$A52,수납!$D:$D,IF(원생!$G52="","",원생!$G52),수납!$B:$B,$B$1&amp;"-"&amp;TEXT(6,"00")&amp;"*",수납!$E:$E,""))</f>
        <v/>
      </c>
      <c r="I54" s="14">
        <f>IF(원생!$A52="","",SUMIFS(수납!$F:$F,수납!$C:$C,원생!$A52,수납!$D:$D,IF(원생!$G52="","",원생!$G52),수납!$B:$B,$B$1&amp;"-"&amp;TEXT(7,"00")&amp;"*",수납!$E:$E,"수강료")+SUMIFS(수납!$F:$F,수납!$C:$C,원생!$A52,수납!$D:$D,IF(원생!$G52="","",원생!$G52),수납!$B:$B,$B$1&amp;"-"&amp;TEXT(7,"00")&amp;"*",수납!$E:$E,""))</f>
        <v/>
      </c>
      <c r="J54" s="14">
        <f>IF(원생!$A52="","",SUMIFS(수납!$F:$F,수납!$C:$C,원생!$A52,수납!$D:$D,IF(원생!$G52="","",원생!$G52),수납!$B:$B,$B$1&amp;"-"&amp;TEXT(8,"00")&amp;"*",수납!$E:$E,"수강료")+SUMIFS(수납!$F:$F,수납!$C:$C,원생!$A52,수납!$D:$D,IF(원생!$G52="","",원생!$G52),수납!$B:$B,$B$1&amp;"-"&amp;TEXT(8,"00")&amp;"*",수납!$E:$E,""))</f>
        <v/>
      </c>
      <c r="K54" s="14">
        <f>IF(원생!$A52="","",SUMIFS(수납!$F:$F,수납!$C:$C,원생!$A52,수납!$D:$D,IF(원생!$G52="","",원생!$G52),수납!$B:$B,$B$1&amp;"-"&amp;TEXT(9,"00")&amp;"*",수납!$E:$E,"수강료")+SUMIFS(수납!$F:$F,수납!$C:$C,원생!$A52,수납!$D:$D,IF(원생!$G52="","",원생!$G52),수납!$B:$B,$B$1&amp;"-"&amp;TEXT(9,"00")&amp;"*",수납!$E:$E,""))</f>
        <v/>
      </c>
      <c r="L54" s="14">
        <f>IF(원생!$A52="","",SUMIFS(수납!$F:$F,수납!$C:$C,원생!$A52,수납!$D:$D,IF(원생!$G52="","",원생!$G52),수납!$B:$B,$B$1&amp;"-"&amp;TEXT(10,"00")&amp;"*",수납!$E:$E,"수강료")+SUMIFS(수납!$F:$F,수납!$C:$C,원생!$A52,수납!$D:$D,IF(원생!$G52="","",원생!$G52),수납!$B:$B,$B$1&amp;"-"&amp;TEXT(10,"00")&amp;"*",수납!$E:$E,""))</f>
        <v/>
      </c>
      <c r="M54" s="14">
        <f>IF(원생!$A52="","",SUMIFS(수납!$F:$F,수납!$C:$C,원생!$A52,수납!$D:$D,IF(원생!$G52="","",원생!$G52),수납!$B:$B,$B$1&amp;"-"&amp;TEXT(11,"00")&amp;"*",수납!$E:$E,"수강료")+SUMIFS(수납!$F:$F,수납!$C:$C,원생!$A52,수납!$D:$D,IF(원생!$G52="","",원생!$G52),수납!$B:$B,$B$1&amp;"-"&amp;TEXT(11,"00")&amp;"*",수납!$E:$E,""))</f>
        <v/>
      </c>
      <c r="N54" s="14">
        <f>IF(원생!$A52="","",SUMIFS(수납!$F:$F,수납!$C:$C,원생!$A52,수납!$D:$D,IF(원생!$G52="","",원생!$G52),수납!$B:$B,$B$1&amp;"-"&amp;TEXT(12,"00")&amp;"*",수납!$E:$E,"수강료")+SUMIFS(수납!$F:$F,수납!$C:$C,원생!$A52,수납!$D:$D,IF(원생!$G52="","",원생!$G52),수납!$B:$B,$B$1&amp;"-"&amp;TEXT(12,"00")&amp;"*",수납!$E:$E,""))</f>
        <v/>
      </c>
      <c r="O54">
        <f>IF(원생!$I52="","",원생!$I52)</f>
        <v/>
      </c>
      <c r="P54">
        <f>IF($A54="","",IF(AND($B54&gt;0,C54&lt;$B54,DATE($B$1,1,1)&lt;=TODAY(),OR($O54="",$O54&gt;=DATE($B$1,1,1)),OR(COUNTIF($C54:C54,"&gt;0")&gt;0,DATE($B$1,1,1)=DATE(YEAR(TODAY()),MONTH(TODAY()),1))),1,0))</f>
        <v/>
      </c>
      <c r="Q54">
        <f>IF($A54="","",IF(AND($B54&gt;0,D54&lt;$B54,DATE($B$1,2,1)&lt;=TODAY(),OR($O54="",$O54&gt;=DATE($B$1,2,1)),OR(COUNTIF($C54:D54,"&gt;0")&gt;0,DATE($B$1,2,1)=DATE(YEAR(TODAY()),MONTH(TODAY()),1))),1,0))</f>
        <v/>
      </c>
      <c r="R54">
        <f>IF($A54="","",IF(AND($B54&gt;0,E54&lt;$B54,DATE($B$1,3,1)&lt;=TODAY(),OR($O54="",$O54&gt;=DATE($B$1,3,1)),OR(COUNTIF($C54:E54,"&gt;0")&gt;0,DATE($B$1,3,1)=DATE(YEAR(TODAY()),MONTH(TODAY()),1))),1,0))</f>
        <v/>
      </c>
      <c r="S54">
        <f>IF($A54="","",IF(AND($B54&gt;0,F54&lt;$B54,DATE($B$1,4,1)&lt;=TODAY(),OR($O54="",$O54&gt;=DATE($B$1,4,1)),OR(COUNTIF($C54:F54,"&gt;0")&gt;0,DATE($B$1,4,1)=DATE(YEAR(TODAY()),MONTH(TODAY()),1))),1,0))</f>
        <v/>
      </c>
      <c r="T54">
        <f>IF($A54="","",IF(AND($B54&gt;0,G54&lt;$B54,DATE($B$1,5,1)&lt;=TODAY(),OR($O54="",$O54&gt;=DATE($B$1,5,1)),OR(COUNTIF($C54:G54,"&gt;0")&gt;0,DATE($B$1,5,1)=DATE(YEAR(TODAY()),MONTH(TODAY()),1))),1,0))</f>
        <v/>
      </c>
      <c r="U54">
        <f>IF($A54="","",IF(AND($B54&gt;0,H54&lt;$B54,DATE($B$1,6,1)&lt;=TODAY(),OR($O54="",$O54&gt;=DATE($B$1,6,1)),OR(COUNTIF($C54:H54,"&gt;0")&gt;0,DATE($B$1,6,1)=DATE(YEAR(TODAY()),MONTH(TODAY()),1))),1,0))</f>
        <v/>
      </c>
      <c r="V54">
        <f>IF($A54="","",IF(AND($B54&gt;0,I54&lt;$B54,DATE($B$1,7,1)&lt;=TODAY(),OR($O54="",$O54&gt;=DATE($B$1,7,1)),OR(COUNTIF($C54:I54,"&gt;0")&gt;0,DATE($B$1,7,1)=DATE(YEAR(TODAY()),MONTH(TODAY()),1))),1,0))</f>
        <v/>
      </c>
      <c r="W54">
        <f>IF($A54="","",IF(AND($B54&gt;0,J54&lt;$B54,DATE($B$1,8,1)&lt;=TODAY(),OR($O54="",$O54&gt;=DATE($B$1,8,1)),OR(COUNTIF($C54:J54,"&gt;0")&gt;0,DATE($B$1,8,1)=DATE(YEAR(TODAY()),MONTH(TODAY()),1))),1,0))</f>
        <v/>
      </c>
      <c r="X54">
        <f>IF($A54="","",IF(AND($B54&gt;0,K54&lt;$B54,DATE($B$1,9,1)&lt;=TODAY(),OR($O54="",$O54&gt;=DATE($B$1,9,1)),OR(COUNTIF($C54:K54,"&gt;0")&gt;0,DATE($B$1,9,1)=DATE(YEAR(TODAY()),MONTH(TODAY()),1))),1,0))</f>
        <v/>
      </c>
      <c r="Y54">
        <f>IF($A54="","",IF(AND($B54&gt;0,L54&lt;$B54,DATE($B$1,10,1)&lt;=TODAY(),OR($O54="",$O54&gt;=DATE($B$1,10,1)),OR(COUNTIF($C54:L54,"&gt;0")&gt;0,DATE($B$1,10,1)=DATE(YEAR(TODAY()),MONTH(TODAY()),1))),1,0))</f>
        <v/>
      </c>
      <c r="Z54">
        <f>IF($A54="","",IF(AND($B54&gt;0,M54&lt;$B54,DATE($B$1,11,1)&lt;=TODAY(),OR($O54="",$O54&gt;=DATE($B$1,11,1)),OR(COUNTIF($C54:M54,"&gt;0")&gt;0,DATE($B$1,11,1)=DATE(YEAR(TODAY()),MONTH(TODAY()),1))),1,0))</f>
        <v/>
      </c>
      <c r="AA54">
        <f>IF($A54="","",IF(AND($B54&gt;0,N54&lt;$B54,DATE($B$1,12,1)&lt;=TODAY(),OR($O54="",$O54&gt;=DATE($B$1,12,1)),OR(COUNTIF($C54:N54,"&gt;0")&gt;0,DATE($B$1,12,1)=DATE(YEAR(TODAY()),MONTH(TODAY()),1))),1,0))</f>
        <v/>
      </c>
    </row>
    <row r="55">
      <c r="A55" s="13">
        <f>IF(원생!$A53="","",원생!$A53&amp;IF(원생!$G53="",""," ("&amp;원생!$G53&amp;")"))</f>
        <v/>
      </c>
      <c r="B55" s="8">
        <f>IF(원생!$A53="","",원생!$F53)</f>
        <v/>
      </c>
      <c r="C55" s="14">
        <f>IF(원생!$A53="","",SUMIFS(수납!$F:$F,수납!$C:$C,원생!$A53,수납!$D:$D,IF(원생!$G53="","",원생!$G53),수납!$B:$B,$B$1&amp;"-"&amp;TEXT(1,"00")&amp;"*",수납!$E:$E,"수강료")+SUMIFS(수납!$F:$F,수납!$C:$C,원생!$A53,수납!$D:$D,IF(원생!$G53="","",원생!$G53),수납!$B:$B,$B$1&amp;"-"&amp;TEXT(1,"00")&amp;"*",수납!$E:$E,""))</f>
        <v/>
      </c>
      <c r="D55" s="14">
        <f>IF(원생!$A53="","",SUMIFS(수납!$F:$F,수납!$C:$C,원생!$A53,수납!$D:$D,IF(원생!$G53="","",원생!$G53),수납!$B:$B,$B$1&amp;"-"&amp;TEXT(2,"00")&amp;"*",수납!$E:$E,"수강료")+SUMIFS(수납!$F:$F,수납!$C:$C,원생!$A53,수납!$D:$D,IF(원생!$G53="","",원생!$G53),수납!$B:$B,$B$1&amp;"-"&amp;TEXT(2,"00")&amp;"*",수납!$E:$E,""))</f>
        <v/>
      </c>
      <c r="E55" s="14">
        <f>IF(원생!$A53="","",SUMIFS(수납!$F:$F,수납!$C:$C,원생!$A53,수납!$D:$D,IF(원생!$G53="","",원생!$G53),수납!$B:$B,$B$1&amp;"-"&amp;TEXT(3,"00")&amp;"*",수납!$E:$E,"수강료")+SUMIFS(수납!$F:$F,수납!$C:$C,원생!$A53,수납!$D:$D,IF(원생!$G53="","",원생!$G53),수납!$B:$B,$B$1&amp;"-"&amp;TEXT(3,"00")&amp;"*",수납!$E:$E,""))</f>
        <v/>
      </c>
      <c r="F55" s="14">
        <f>IF(원생!$A53="","",SUMIFS(수납!$F:$F,수납!$C:$C,원생!$A53,수납!$D:$D,IF(원생!$G53="","",원생!$G53),수납!$B:$B,$B$1&amp;"-"&amp;TEXT(4,"00")&amp;"*",수납!$E:$E,"수강료")+SUMIFS(수납!$F:$F,수납!$C:$C,원생!$A53,수납!$D:$D,IF(원생!$G53="","",원생!$G53),수납!$B:$B,$B$1&amp;"-"&amp;TEXT(4,"00")&amp;"*",수납!$E:$E,""))</f>
        <v/>
      </c>
      <c r="G55" s="14">
        <f>IF(원생!$A53="","",SUMIFS(수납!$F:$F,수납!$C:$C,원생!$A53,수납!$D:$D,IF(원생!$G53="","",원생!$G53),수납!$B:$B,$B$1&amp;"-"&amp;TEXT(5,"00")&amp;"*",수납!$E:$E,"수강료")+SUMIFS(수납!$F:$F,수납!$C:$C,원생!$A53,수납!$D:$D,IF(원생!$G53="","",원생!$G53),수납!$B:$B,$B$1&amp;"-"&amp;TEXT(5,"00")&amp;"*",수납!$E:$E,""))</f>
        <v/>
      </c>
      <c r="H55" s="14">
        <f>IF(원생!$A53="","",SUMIFS(수납!$F:$F,수납!$C:$C,원생!$A53,수납!$D:$D,IF(원생!$G53="","",원생!$G53),수납!$B:$B,$B$1&amp;"-"&amp;TEXT(6,"00")&amp;"*",수납!$E:$E,"수강료")+SUMIFS(수납!$F:$F,수납!$C:$C,원생!$A53,수납!$D:$D,IF(원생!$G53="","",원생!$G53),수납!$B:$B,$B$1&amp;"-"&amp;TEXT(6,"00")&amp;"*",수납!$E:$E,""))</f>
        <v/>
      </c>
      <c r="I55" s="14">
        <f>IF(원생!$A53="","",SUMIFS(수납!$F:$F,수납!$C:$C,원생!$A53,수납!$D:$D,IF(원생!$G53="","",원생!$G53),수납!$B:$B,$B$1&amp;"-"&amp;TEXT(7,"00")&amp;"*",수납!$E:$E,"수강료")+SUMIFS(수납!$F:$F,수납!$C:$C,원생!$A53,수납!$D:$D,IF(원생!$G53="","",원생!$G53),수납!$B:$B,$B$1&amp;"-"&amp;TEXT(7,"00")&amp;"*",수납!$E:$E,""))</f>
        <v/>
      </c>
      <c r="J55" s="14">
        <f>IF(원생!$A53="","",SUMIFS(수납!$F:$F,수납!$C:$C,원생!$A53,수납!$D:$D,IF(원생!$G53="","",원생!$G53),수납!$B:$B,$B$1&amp;"-"&amp;TEXT(8,"00")&amp;"*",수납!$E:$E,"수강료")+SUMIFS(수납!$F:$F,수납!$C:$C,원생!$A53,수납!$D:$D,IF(원생!$G53="","",원생!$G53),수납!$B:$B,$B$1&amp;"-"&amp;TEXT(8,"00")&amp;"*",수납!$E:$E,""))</f>
        <v/>
      </c>
      <c r="K55" s="14">
        <f>IF(원생!$A53="","",SUMIFS(수납!$F:$F,수납!$C:$C,원생!$A53,수납!$D:$D,IF(원생!$G53="","",원생!$G53),수납!$B:$B,$B$1&amp;"-"&amp;TEXT(9,"00")&amp;"*",수납!$E:$E,"수강료")+SUMIFS(수납!$F:$F,수납!$C:$C,원생!$A53,수납!$D:$D,IF(원생!$G53="","",원생!$G53),수납!$B:$B,$B$1&amp;"-"&amp;TEXT(9,"00")&amp;"*",수납!$E:$E,""))</f>
        <v/>
      </c>
      <c r="L55" s="14">
        <f>IF(원생!$A53="","",SUMIFS(수납!$F:$F,수납!$C:$C,원생!$A53,수납!$D:$D,IF(원생!$G53="","",원생!$G53),수납!$B:$B,$B$1&amp;"-"&amp;TEXT(10,"00")&amp;"*",수납!$E:$E,"수강료")+SUMIFS(수납!$F:$F,수납!$C:$C,원생!$A53,수납!$D:$D,IF(원생!$G53="","",원생!$G53),수납!$B:$B,$B$1&amp;"-"&amp;TEXT(10,"00")&amp;"*",수납!$E:$E,""))</f>
        <v/>
      </c>
      <c r="M55" s="14">
        <f>IF(원생!$A53="","",SUMIFS(수납!$F:$F,수납!$C:$C,원생!$A53,수납!$D:$D,IF(원생!$G53="","",원생!$G53),수납!$B:$B,$B$1&amp;"-"&amp;TEXT(11,"00")&amp;"*",수납!$E:$E,"수강료")+SUMIFS(수납!$F:$F,수납!$C:$C,원생!$A53,수납!$D:$D,IF(원생!$G53="","",원생!$G53),수납!$B:$B,$B$1&amp;"-"&amp;TEXT(11,"00")&amp;"*",수납!$E:$E,""))</f>
        <v/>
      </c>
      <c r="N55" s="14">
        <f>IF(원생!$A53="","",SUMIFS(수납!$F:$F,수납!$C:$C,원생!$A53,수납!$D:$D,IF(원생!$G53="","",원생!$G53),수납!$B:$B,$B$1&amp;"-"&amp;TEXT(12,"00")&amp;"*",수납!$E:$E,"수강료")+SUMIFS(수납!$F:$F,수납!$C:$C,원생!$A53,수납!$D:$D,IF(원생!$G53="","",원생!$G53),수납!$B:$B,$B$1&amp;"-"&amp;TEXT(12,"00")&amp;"*",수납!$E:$E,""))</f>
        <v/>
      </c>
      <c r="O55">
        <f>IF(원생!$I53="","",원생!$I53)</f>
        <v/>
      </c>
      <c r="P55">
        <f>IF($A55="","",IF(AND($B55&gt;0,C55&lt;$B55,DATE($B$1,1,1)&lt;=TODAY(),OR($O55="",$O55&gt;=DATE($B$1,1,1)),OR(COUNTIF($C55:C55,"&gt;0")&gt;0,DATE($B$1,1,1)=DATE(YEAR(TODAY()),MONTH(TODAY()),1))),1,0))</f>
        <v/>
      </c>
      <c r="Q55">
        <f>IF($A55="","",IF(AND($B55&gt;0,D55&lt;$B55,DATE($B$1,2,1)&lt;=TODAY(),OR($O55="",$O55&gt;=DATE($B$1,2,1)),OR(COUNTIF($C55:D55,"&gt;0")&gt;0,DATE($B$1,2,1)=DATE(YEAR(TODAY()),MONTH(TODAY()),1))),1,0))</f>
        <v/>
      </c>
      <c r="R55">
        <f>IF($A55="","",IF(AND($B55&gt;0,E55&lt;$B55,DATE($B$1,3,1)&lt;=TODAY(),OR($O55="",$O55&gt;=DATE($B$1,3,1)),OR(COUNTIF($C55:E55,"&gt;0")&gt;0,DATE($B$1,3,1)=DATE(YEAR(TODAY()),MONTH(TODAY()),1))),1,0))</f>
        <v/>
      </c>
      <c r="S55">
        <f>IF($A55="","",IF(AND($B55&gt;0,F55&lt;$B55,DATE($B$1,4,1)&lt;=TODAY(),OR($O55="",$O55&gt;=DATE($B$1,4,1)),OR(COUNTIF($C55:F55,"&gt;0")&gt;0,DATE($B$1,4,1)=DATE(YEAR(TODAY()),MONTH(TODAY()),1))),1,0))</f>
        <v/>
      </c>
      <c r="T55">
        <f>IF($A55="","",IF(AND($B55&gt;0,G55&lt;$B55,DATE($B$1,5,1)&lt;=TODAY(),OR($O55="",$O55&gt;=DATE($B$1,5,1)),OR(COUNTIF($C55:G55,"&gt;0")&gt;0,DATE($B$1,5,1)=DATE(YEAR(TODAY()),MONTH(TODAY()),1))),1,0))</f>
        <v/>
      </c>
      <c r="U55">
        <f>IF($A55="","",IF(AND($B55&gt;0,H55&lt;$B55,DATE($B$1,6,1)&lt;=TODAY(),OR($O55="",$O55&gt;=DATE($B$1,6,1)),OR(COUNTIF($C55:H55,"&gt;0")&gt;0,DATE($B$1,6,1)=DATE(YEAR(TODAY()),MONTH(TODAY()),1))),1,0))</f>
        <v/>
      </c>
      <c r="V55">
        <f>IF($A55="","",IF(AND($B55&gt;0,I55&lt;$B55,DATE($B$1,7,1)&lt;=TODAY(),OR($O55="",$O55&gt;=DATE($B$1,7,1)),OR(COUNTIF($C55:I55,"&gt;0")&gt;0,DATE($B$1,7,1)=DATE(YEAR(TODAY()),MONTH(TODAY()),1))),1,0))</f>
        <v/>
      </c>
      <c r="W55">
        <f>IF($A55="","",IF(AND($B55&gt;0,J55&lt;$B55,DATE($B$1,8,1)&lt;=TODAY(),OR($O55="",$O55&gt;=DATE($B$1,8,1)),OR(COUNTIF($C55:J55,"&gt;0")&gt;0,DATE($B$1,8,1)=DATE(YEAR(TODAY()),MONTH(TODAY()),1))),1,0))</f>
        <v/>
      </c>
      <c r="X55">
        <f>IF($A55="","",IF(AND($B55&gt;0,K55&lt;$B55,DATE($B$1,9,1)&lt;=TODAY(),OR($O55="",$O55&gt;=DATE($B$1,9,1)),OR(COUNTIF($C55:K55,"&gt;0")&gt;0,DATE($B$1,9,1)=DATE(YEAR(TODAY()),MONTH(TODAY()),1))),1,0))</f>
        <v/>
      </c>
      <c r="Y55">
        <f>IF($A55="","",IF(AND($B55&gt;0,L55&lt;$B55,DATE($B$1,10,1)&lt;=TODAY(),OR($O55="",$O55&gt;=DATE($B$1,10,1)),OR(COUNTIF($C55:L55,"&gt;0")&gt;0,DATE($B$1,10,1)=DATE(YEAR(TODAY()),MONTH(TODAY()),1))),1,0))</f>
        <v/>
      </c>
      <c r="Z55">
        <f>IF($A55="","",IF(AND($B55&gt;0,M55&lt;$B55,DATE($B$1,11,1)&lt;=TODAY(),OR($O55="",$O55&gt;=DATE($B$1,11,1)),OR(COUNTIF($C55:M55,"&gt;0")&gt;0,DATE($B$1,11,1)=DATE(YEAR(TODAY()),MONTH(TODAY()),1))),1,0))</f>
        <v/>
      </c>
      <c r="AA55">
        <f>IF($A55="","",IF(AND($B55&gt;0,N55&lt;$B55,DATE($B$1,12,1)&lt;=TODAY(),OR($O55="",$O55&gt;=DATE($B$1,12,1)),OR(COUNTIF($C55:N55,"&gt;0")&gt;0,DATE($B$1,12,1)=DATE(YEAR(TODAY()),MONTH(TODAY()),1))),1,0))</f>
        <v/>
      </c>
    </row>
    <row r="56">
      <c r="A56" s="13">
        <f>IF(원생!$A54="","",원생!$A54&amp;IF(원생!$G54="",""," ("&amp;원생!$G54&amp;")"))</f>
        <v/>
      </c>
      <c r="B56" s="8">
        <f>IF(원생!$A54="","",원생!$F54)</f>
        <v/>
      </c>
      <c r="C56" s="14">
        <f>IF(원생!$A54="","",SUMIFS(수납!$F:$F,수납!$C:$C,원생!$A54,수납!$D:$D,IF(원생!$G54="","",원생!$G54),수납!$B:$B,$B$1&amp;"-"&amp;TEXT(1,"00")&amp;"*",수납!$E:$E,"수강료")+SUMIFS(수납!$F:$F,수납!$C:$C,원생!$A54,수납!$D:$D,IF(원생!$G54="","",원생!$G54),수납!$B:$B,$B$1&amp;"-"&amp;TEXT(1,"00")&amp;"*",수납!$E:$E,""))</f>
        <v/>
      </c>
      <c r="D56" s="14">
        <f>IF(원생!$A54="","",SUMIFS(수납!$F:$F,수납!$C:$C,원생!$A54,수납!$D:$D,IF(원생!$G54="","",원생!$G54),수납!$B:$B,$B$1&amp;"-"&amp;TEXT(2,"00")&amp;"*",수납!$E:$E,"수강료")+SUMIFS(수납!$F:$F,수납!$C:$C,원생!$A54,수납!$D:$D,IF(원생!$G54="","",원생!$G54),수납!$B:$B,$B$1&amp;"-"&amp;TEXT(2,"00")&amp;"*",수납!$E:$E,""))</f>
        <v/>
      </c>
      <c r="E56" s="14">
        <f>IF(원생!$A54="","",SUMIFS(수납!$F:$F,수납!$C:$C,원생!$A54,수납!$D:$D,IF(원생!$G54="","",원생!$G54),수납!$B:$B,$B$1&amp;"-"&amp;TEXT(3,"00")&amp;"*",수납!$E:$E,"수강료")+SUMIFS(수납!$F:$F,수납!$C:$C,원생!$A54,수납!$D:$D,IF(원생!$G54="","",원생!$G54),수납!$B:$B,$B$1&amp;"-"&amp;TEXT(3,"00")&amp;"*",수납!$E:$E,""))</f>
        <v/>
      </c>
      <c r="F56" s="14">
        <f>IF(원생!$A54="","",SUMIFS(수납!$F:$F,수납!$C:$C,원생!$A54,수납!$D:$D,IF(원생!$G54="","",원생!$G54),수납!$B:$B,$B$1&amp;"-"&amp;TEXT(4,"00")&amp;"*",수납!$E:$E,"수강료")+SUMIFS(수납!$F:$F,수납!$C:$C,원생!$A54,수납!$D:$D,IF(원생!$G54="","",원생!$G54),수납!$B:$B,$B$1&amp;"-"&amp;TEXT(4,"00")&amp;"*",수납!$E:$E,""))</f>
        <v/>
      </c>
      <c r="G56" s="14">
        <f>IF(원생!$A54="","",SUMIFS(수납!$F:$F,수납!$C:$C,원생!$A54,수납!$D:$D,IF(원생!$G54="","",원생!$G54),수납!$B:$B,$B$1&amp;"-"&amp;TEXT(5,"00")&amp;"*",수납!$E:$E,"수강료")+SUMIFS(수납!$F:$F,수납!$C:$C,원생!$A54,수납!$D:$D,IF(원생!$G54="","",원생!$G54),수납!$B:$B,$B$1&amp;"-"&amp;TEXT(5,"00")&amp;"*",수납!$E:$E,""))</f>
        <v/>
      </c>
      <c r="H56" s="14">
        <f>IF(원생!$A54="","",SUMIFS(수납!$F:$F,수납!$C:$C,원생!$A54,수납!$D:$D,IF(원생!$G54="","",원생!$G54),수납!$B:$B,$B$1&amp;"-"&amp;TEXT(6,"00")&amp;"*",수납!$E:$E,"수강료")+SUMIFS(수납!$F:$F,수납!$C:$C,원생!$A54,수납!$D:$D,IF(원생!$G54="","",원생!$G54),수납!$B:$B,$B$1&amp;"-"&amp;TEXT(6,"00")&amp;"*",수납!$E:$E,""))</f>
        <v/>
      </c>
      <c r="I56" s="14">
        <f>IF(원생!$A54="","",SUMIFS(수납!$F:$F,수납!$C:$C,원생!$A54,수납!$D:$D,IF(원생!$G54="","",원생!$G54),수납!$B:$B,$B$1&amp;"-"&amp;TEXT(7,"00")&amp;"*",수납!$E:$E,"수강료")+SUMIFS(수납!$F:$F,수납!$C:$C,원생!$A54,수납!$D:$D,IF(원생!$G54="","",원생!$G54),수납!$B:$B,$B$1&amp;"-"&amp;TEXT(7,"00")&amp;"*",수납!$E:$E,""))</f>
        <v/>
      </c>
      <c r="J56" s="14">
        <f>IF(원생!$A54="","",SUMIFS(수납!$F:$F,수납!$C:$C,원생!$A54,수납!$D:$D,IF(원생!$G54="","",원생!$G54),수납!$B:$B,$B$1&amp;"-"&amp;TEXT(8,"00")&amp;"*",수납!$E:$E,"수강료")+SUMIFS(수납!$F:$F,수납!$C:$C,원생!$A54,수납!$D:$D,IF(원생!$G54="","",원생!$G54),수납!$B:$B,$B$1&amp;"-"&amp;TEXT(8,"00")&amp;"*",수납!$E:$E,""))</f>
        <v/>
      </c>
      <c r="K56" s="14">
        <f>IF(원생!$A54="","",SUMIFS(수납!$F:$F,수납!$C:$C,원생!$A54,수납!$D:$D,IF(원생!$G54="","",원생!$G54),수납!$B:$B,$B$1&amp;"-"&amp;TEXT(9,"00")&amp;"*",수납!$E:$E,"수강료")+SUMIFS(수납!$F:$F,수납!$C:$C,원생!$A54,수납!$D:$D,IF(원생!$G54="","",원생!$G54),수납!$B:$B,$B$1&amp;"-"&amp;TEXT(9,"00")&amp;"*",수납!$E:$E,""))</f>
        <v/>
      </c>
      <c r="L56" s="14">
        <f>IF(원생!$A54="","",SUMIFS(수납!$F:$F,수납!$C:$C,원생!$A54,수납!$D:$D,IF(원생!$G54="","",원생!$G54),수납!$B:$B,$B$1&amp;"-"&amp;TEXT(10,"00")&amp;"*",수납!$E:$E,"수강료")+SUMIFS(수납!$F:$F,수납!$C:$C,원생!$A54,수납!$D:$D,IF(원생!$G54="","",원생!$G54),수납!$B:$B,$B$1&amp;"-"&amp;TEXT(10,"00")&amp;"*",수납!$E:$E,""))</f>
        <v/>
      </c>
      <c r="M56" s="14">
        <f>IF(원생!$A54="","",SUMIFS(수납!$F:$F,수납!$C:$C,원생!$A54,수납!$D:$D,IF(원생!$G54="","",원생!$G54),수납!$B:$B,$B$1&amp;"-"&amp;TEXT(11,"00")&amp;"*",수납!$E:$E,"수강료")+SUMIFS(수납!$F:$F,수납!$C:$C,원생!$A54,수납!$D:$D,IF(원생!$G54="","",원생!$G54),수납!$B:$B,$B$1&amp;"-"&amp;TEXT(11,"00")&amp;"*",수납!$E:$E,""))</f>
        <v/>
      </c>
      <c r="N56" s="14">
        <f>IF(원생!$A54="","",SUMIFS(수납!$F:$F,수납!$C:$C,원생!$A54,수납!$D:$D,IF(원생!$G54="","",원생!$G54),수납!$B:$B,$B$1&amp;"-"&amp;TEXT(12,"00")&amp;"*",수납!$E:$E,"수강료")+SUMIFS(수납!$F:$F,수납!$C:$C,원생!$A54,수납!$D:$D,IF(원생!$G54="","",원생!$G54),수납!$B:$B,$B$1&amp;"-"&amp;TEXT(12,"00")&amp;"*",수납!$E:$E,""))</f>
        <v/>
      </c>
      <c r="O56">
        <f>IF(원생!$I54="","",원생!$I54)</f>
        <v/>
      </c>
      <c r="P56">
        <f>IF($A56="","",IF(AND($B56&gt;0,C56&lt;$B56,DATE($B$1,1,1)&lt;=TODAY(),OR($O56="",$O56&gt;=DATE($B$1,1,1)),OR(COUNTIF($C56:C56,"&gt;0")&gt;0,DATE($B$1,1,1)=DATE(YEAR(TODAY()),MONTH(TODAY()),1))),1,0))</f>
        <v/>
      </c>
      <c r="Q56">
        <f>IF($A56="","",IF(AND($B56&gt;0,D56&lt;$B56,DATE($B$1,2,1)&lt;=TODAY(),OR($O56="",$O56&gt;=DATE($B$1,2,1)),OR(COUNTIF($C56:D56,"&gt;0")&gt;0,DATE($B$1,2,1)=DATE(YEAR(TODAY()),MONTH(TODAY()),1))),1,0))</f>
        <v/>
      </c>
      <c r="R56">
        <f>IF($A56="","",IF(AND($B56&gt;0,E56&lt;$B56,DATE($B$1,3,1)&lt;=TODAY(),OR($O56="",$O56&gt;=DATE($B$1,3,1)),OR(COUNTIF($C56:E56,"&gt;0")&gt;0,DATE($B$1,3,1)=DATE(YEAR(TODAY()),MONTH(TODAY()),1))),1,0))</f>
        <v/>
      </c>
      <c r="S56">
        <f>IF($A56="","",IF(AND($B56&gt;0,F56&lt;$B56,DATE($B$1,4,1)&lt;=TODAY(),OR($O56="",$O56&gt;=DATE($B$1,4,1)),OR(COUNTIF($C56:F56,"&gt;0")&gt;0,DATE($B$1,4,1)=DATE(YEAR(TODAY()),MONTH(TODAY()),1))),1,0))</f>
        <v/>
      </c>
      <c r="T56">
        <f>IF($A56="","",IF(AND($B56&gt;0,G56&lt;$B56,DATE($B$1,5,1)&lt;=TODAY(),OR($O56="",$O56&gt;=DATE($B$1,5,1)),OR(COUNTIF($C56:G56,"&gt;0")&gt;0,DATE($B$1,5,1)=DATE(YEAR(TODAY()),MONTH(TODAY()),1))),1,0))</f>
        <v/>
      </c>
      <c r="U56">
        <f>IF($A56="","",IF(AND($B56&gt;0,H56&lt;$B56,DATE($B$1,6,1)&lt;=TODAY(),OR($O56="",$O56&gt;=DATE($B$1,6,1)),OR(COUNTIF($C56:H56,"&gt;0")&gt;0,DATE($B$1,6,1)=DATE(YEAR(TODAY()),MONTH(TODAY()),1))),1,0))</f>
        <v/>
      </c>
      <c r="V56">
        <f>IF($A56="","",IF(AND($B56&gt;0,I56&lt;$B56,DATE($B$1,7,1)&lt;=TODAY(),OR($O56="",$O56&gt;=DATE($B$1,7,1)),OR(COUNTIF($C56:I56,"&gt;0")&gt;0,DATE($B$1,7,1)=DATE(YEAR(TODAY()),MONTH(TODAY()),1))),1,0))</f>
        <v/>
      </c>
      <c r="W56">
        <f>IF($A56="","",IF(AND($B56&gt;0,J56&lt;$B56,DATE($B$1,8,1)&lt;=TODAY(),OR($O56="",$O56&gt;=DATE($B$1,8,1)),OR(COUNTIF($C56:J56,"&gt;0")&gt;0,DATE($B$1,8,1)=DATE(YEAR(TODAY()),MONTH(TODAY()),1))),1,0))</f>
        <v/>
      </c>
      <c r="X56">
        <f>IF($A56="","",IF(AND($B56&gt;0,K56&lt;$B56,DATE($B$1,9,1)&lt;=TODAY(),OR($O56="",$O56&gt;=DATE($B$1,9,1)),OR(COUNTIF($C56:K56,"&gt;0")&gt;0,DATE($B$1,9,1)=DATE(YEAR(TODAY()),MONTH(TODAY()),1))),1,0))</f>
        <v/>
      </c>
      <c r="Y56">
        <f>IF($A56="","",IF(AND($B56&gt;0,L56&lt;$B56,DATE($B$1,10,1)&lt;=TODAY(),OR($O56="",$O56&gt;=DATE($B$1,10,1)),OR(COUNTIF($C56:L56,"&gt;0")&gt;0,DATE($B$1,10,1)=DATE(YEAR(TODAY()),MONTH(TODAY()),1))),1,0))</f>
        <v/>
      </c>
      <c r="Z56">
        <f>IF($A56="","",IF(AND($B56&gt;0,M56&lt;$B56,DATE($B$1,11,1)&lt;=TODAY(),OR($O56="",$O56&gt;=DATE($B$1,11,1)),OR(COUNTIF($C56:M56,"&gt;0")&gt;0,DATE($B$1,11,1)=DATE(YEAR(TODAY()),MONTH(TODAY()),1))),1,0))</f>
        <v/>
      </c>
      <c r="AA56">
        <f>IF($A56="","",IF(AND($B56&gt;0,N56&lt;$B56,DATE($B$1,12,1)&lt;=TODAY(),OR($O56="",$O56&gt;=DATE($B$1,12,1)),OR(COUNTIF($C56:N56,"&gt;0")&gt;0,DATE($B$1,12,1)=DATE(YEAR(TODAY()),MONTH(TODAY()),1))),1,0))</f>
        <v/>
      </c>
    </row>
    <row r="57">
      <c r="A57" s="13">
        <f>IF(원생!$A55="","",원생!$A55&amp;IF(원생!$G55="",""," ("&amp;원생!$G55&amp;")"))</f>
        <v/>
      </c>
      <c r="B57" s="8">
        <f>IF(원생!$A55="","",원생!$F55)</f>
        <v/>
      </c>
      <c r="C57" s="14">
        <f>IF(원생!$A55="","",SUMIFS(수납!$F:$F,수납!$C:$C,원생!$A55,수납!$D:$D,IF(원생!$G55="","",원생!$G55),수납!$B:$B,$B$1&amp;"-"&amp;TEXT(1,"00")&amp;"*",수납!$E:$E,"수강료")+SUMIFS(수납!$F:$F,수납!$C:$C,원생!$A55,수납!$D:$D,IF(원생!$G55="","",원생!$G55),수납!$B:$B,$B$1&amp;"-"&amp;TEXT(1,"00")&amp;"*",수납!$E:$E,""))</f>
        <v/>
      </c>
      <c r="D57" s="14">
        <f>IF(원생!$A55="","",SUMIFS(수납!$F:$F,수납!$C:$C,원생!$A55,수납!$D:$D,IF(원생!$G55="","",원생!$G55),수납!$B:$B,$B$1&amp;"-"&amp;TEXT(2,"00")&amp;"*",수납!$E:$E,"수강료")+SUMIFS(수납!$F:$F,수납!$C:$C,원생!$A55,수납!$D:$D,IF(원생!$G55="","",원생!$G55),수납!$B:$B,$B$1&amp;"-"&amp;TEXT(2,"00")&amp;"*",수납!$E:$E,""))</f>
        <v/>
      </c>
      <c r="E57" s="14">
        <f>IF(원생!$A55="","",SUMIFS(수납!$F:$F,수납!$C:$C,원생!$A55,수납!$D:$D,IF(원생!$G55="","",원생!$G55),수납!$B:$B,$B$1&amp;"-"&amp;TEXT(3,"00")&amp;"*",수납!$E:$E,"수강료")+SUMIFS(수납!$F:$F,수납!$C:$C,원생!$A55,수납!$D:$D,IF(원생!$G55="","",원생!$G55),수납!$B:$B,$B$1&amp;"-"&amp;TEXT(3,"00")&amp;"*",수납!$E:$E,""))</f>
        <v/>
      </c>
      <c r="F57" s="14">
        <f>IF(원생!$A55="","",SUMIFS(수납!$F:$F,수납!$C:$C,원생!$A55,수납!$D:$D,IF(원생!$G55="","",원생!$G55),수납!$B:$B,$B$1&amp;"-"&amp;TEXT(4,"00")&amp;"*",수납!$E:$E,"수강료")+SUMIFS(수납!$F:$F,수납!$C:$C,원생!$A55,수납!$D:$D,IF(원생!$G55="","",원생!$G55),수납!$B:$B,$B$1&amp;"-"&amp;TEXT(4,"00")&amp;"*",수납!$E:$E,""))</f>
        <v/>
      </c>
      <c r="G57" s="14">
        <f>IF(원생!$A55="","",SUMIFS(수납!$F:$F,수납!$C:$C,원생!$A55,수납!$D:$D,IF(원생!$G55="","",원생!$G55),수납!$B:$B,$B$1&amp;"-"&amp;TEXT(5,"00")&amp;"*",수납!$E:$E,"수강료")+SUMIFS(수납!$F:$F,수납!$C:$C,원생!$A55,수납!$D:$D,IF(원생!$G55="","",원생!$G55),수납!$B:$B,$B$1&amp;"-"&amp;TEXT(5,"00")&amp;"*",수납!$E:$E,""))</f>
        <v/>
      </c>
      <c r="H57" s="14">
        <f>IF(원생!$A55="","",SUMIFS(수납!$F:$F,수납!$C:$C,원생!$A55,수납!$D:$D,IF(원생!$G55="","",원생!$G55),수납!$B:$B,$B$1&amp;"-"&amp;TEXT(6,"00")&amp;"*",수납!$E:$E,"수강료")+SUMIFS(수납!$F:$F,수납!$C:$C,원생!$A55,수납!$D:$D,IF(원생!$G55="","",원생!$G55),수납!$B:$B,$B$1&amp;"-"&amp;TEXT(6,"00")&amp;"*",수납!$E:$E,""))</f>
        <v/>
      </c>
      <c r="I57" s="14">
        <f>IF(원생!$A55="","",SUMIFS(수납!$F:$F,수납!$C:$C,원생!$A55,수납!$D:$D,IF(원생!$G55="","",원생!$G55),수납!$B:$B,$B$1&amp;"-"&amp;TEXT(7,"00")&amp;"*",수납!$E:$E,"수강료")+SUMIFS(수납!$F:$F,수납!$C:$C,원생!$A55,수납!$D:$D,IF(원생!$G55="","",원생!$G55),수납!$B:$B,$B$1&amp;"-"&amp;TEXT(7,"00")&amp;"*",수납!$E:$E,""))</f>
        <v/>
      </c>
      <c r="J57" s="14">
        <f>IF(원생!$A55="","",SUMIFS(수납!$F:$F,수납!$C:$C,원생!$A55,수납!$D:$D,IF(원생!$G55="","",원생!$G55),수납!$B:$B,$B$1&amp;"-"&amp;TEXT(8,"00")&amp;"*",수납!$E:$E,"수강료")+SUMIFS(수납!$F:$F,수납!$C:$C,원생!$A55,수납!$D:$D,IF(원생!$G55="","",원생!$G55),수납!$B:$B,$B$1&amp;"-"&amp;TEXT(8,"00")&amp;"*",수납!$E:$E,""))</f>
        <v/>
      </c>
      <c r="K57" s="14">
        <f>IF(원생!$A55="","",SUMIFS(수납!$F:$F,수납!$C:$C,원생!$A55,수납!$D:$D,IF(원생!$G55="","",원생!$G55),수납!$B:$B,$B$1&amp;"-"&amp;TEXT(9,"00")&amp;"*",수납!$E:$E,"수강료")+SUMIFS(수납!$F:$F,수납!$C:$C,원생!$A55,수납!$D:$D,IF(원생!$G55="","",원생!$G55),수납!$B:$B,$B$1&amp;"-"&amp;TEXT(9,"00")&amp;"*",수납!$E:$E,""))</f>
        <v/>
      </c>
      <c r="L57" s="14">
        <f>IF(원생!$A55="","",SUMIFS(수납!$F:$F,수납!$C:$C,원생!$A55,수납!$D:$D,IF(원생!$G55="","",원생!$G55),수납!$B:$B,$B$1&amp;"-"&amp;TEXT(10,"00")&amp;"*",수납!$E:$E,"수강료")+SUMIFS(수납!$F:$F,수납!$C:$C,원생!$A55,수납!$D:$D,IF(원생!$G55="","",원생!$G55),수납!$B:$B,$B$1&amp;"-"&amp;TEXT(10,"00")&amp;"*",수납!$E:$E,""))</f>
        <v/>
      </c>
      <c r="M57" s="14">
        <f>IF(원생!$A55="","",SUMIFS(수납!$F:$F,수납!$C:$C,원생!$A55,수납!$D:$D,IF(원생!$G55="","",원생!$G55),수납!$B:$B,$B$1&amp;"-"&amp;TEXT(11,"00")&amp;"*",수납!$E:$E,"수강료")+SUMIFS(수납!$F:$F,수납!$C:$C,원생!$A55,수납!$D:$D,IF(원생!$G55="","",원생!$G55),수납!$B:$B,$B$1&amp;"-"&amp;TEXT(11,"00")&amp;"*",수납!$E:$E,""))</f>
        <v/>
      </c>
      <c r="N57" s="14">
        <f>IF(원생!$A55="","",SUMIFS(수납!$F:$F,수납!$C:$C,원생!$A55,수납!$D:$D,IF(원생!$G55="","",원생!$G55),수납!$B:$B,$B$1&amp;"-"&amp;TEXT(12,"00")&amp;"*",수납!$E:$E,"수강료")+SUMIFS(수납!$F:$F,수납!$C:$C,원생!$A55,수납!$D:$D,IF(원생!$G55="","",원생!$G55),수납!$B:$B,$B$1&amp;"-"&amp;TEXT(12,"00")&amp;"*",수납!$E:$E,""))</f>
        <v/>
      </c>
      <c r="O57">
        <f>IF(원생!$I55="","",원생!$I55)</f>
        <v/>
      </c>
      <c r="P57">
        <f>IF($A57="","",IF(AND($B57&gt;0,C57&lt;$B57,DATE($B$1,1,1)&lt;=TODAY(),OR($O57="",$O57&gt;=DATE($B$1,1,1)),OR(COUNTIF($C57:C57,"&gt;0")&gt;0,DATE($B$1,1,1)=DATE(YEAR(TODAY()),MONTH(TODAY()),1))),1,0))</f>
        <v/>
      </c>
      <c r="Q57">
        <f>IF($A57="","",IF(AND($B57&gt;0,D57&lt;$B57,DATE($B$1,2,1)&lt;=TODAY(),OR($O57="",$O57&gt;=DATE($B$1,2,1)),OR(COUNTIF($C57:D57,"&gt;0")&gt;0,DATE($B$1,2,1)=DATE(YEAR(TODAY()),MONTH(TODAY()),1))),1,0))</f>
        <v/>
      </c>
      <c r="R57">
        <f>IF($A57="","",IF(AND($B57&gt;0,E57&lt;$B57,DATE($B$1,3,1)&lt;=TODAY(),OR($O57="",$O57&gt;=DATE($B$1,3,1)),OR(COUNTIF($C57:E57,"&gt;0")&gt;0,DATE($B$1,3,1)=DATE(YEAR(TODAY()),MONTH(TODAY()),1))),1,0))</f>
        <v/>
      </c>
      <c r="S57">
        <f>IF($A57="","",IF(AND($B57&gt;0,F57&lt;$B57,DATE($B$1,4,1)&lt;=TODAY(),OR($O57="",$O57&gt;=DATE($B$1,4,1)),OR(COUNTIF($C57:F57,"&gt;0")&gt;0,DATE($B$1,4,1)=DATE(YEAR(TODAY()),MONTH(TODAY()),1))),1,0))</f>
        <v/>
      </c>
      <c r="T57">
        <f>IF($A57="","",IF(AND($B57&gt;0,G57&lt;$B57,DATE($B$1,5,1)&lt;=TODAY(),OR($O57="",$O57&gt;=DATE($B$1,5,1)),OR(COUNTIF($C57:G57,"&gt;0")&gt;0,DATE($B$1,5,1)=DATE(YEAR(TODAY()),MONTH(TODAY()),1))),1,0))</f>
        <v/>
      </c>
      <c r="U57">
        <f>IF($A57="","",IF(AND($B57&gt;0,H57&lt;$B57,DATE($B$1,6,1)&lt;=TODAY(),OR($O57="",$O57&gt;=DATE($B$1,6,1)),OR(COUNTIF($C57:H57,"&gt;0")&gt;0,DATE($B$1,6,1)=DATE(YEAR(TODAY()),MONTH(TODAY()),1))),1,0))</f>
        <v/>
      </c>
      <c r="V57">
        <f>IF($A57="","",IF(AND($B57&gt;0,I57&lt;$B57,DATE($B$1,7,1)&lt;=TODAY(),OR($O57="",$O57&gt;=DATE($B$1,7,1)),OR(COUNTIF($C57:I57,"&gt;0")&gt;0,DATE($B$1,7,1)=DATE(YEAR(TODAY()),MONTH(TODAY()),1))),1,0))</f>
        <v/>
      </c>
      <c r="W57">
        <f>IF($A57="","",IF(AND($B57&gt;0,J57&lt;$B57,DATE($B$1,8,1)&lt;=TODAY(),OR($O57="",$O57&gt;=DATE($B$1,8,1)),OR(COUNTIF($C57:J57,"&gt;0")&gt;0,DATE($B$1,8,1)=DATE(YEAR(TODAY()),MONTH(TODAY()),1))),1,0))</f>
        <v/>
      </c>
      <c r="X57">
        <f>IF($A57="","",IF(AND($B57&gt;0,K57&lt;$B57,DATE($B$1,9,1)&lt;=TODAY(),OR($O57="",$O57&gt;=DATE($B$1,9,1)),OR(COUNTIF($C57:K57,"&gt;0")&gt;0,DATE($B$1,9,1)=DATE(YEAR(TODAY()),MONTH(TODAY()),1))),1,0))</f>
        <v/>
      </c>
      <c r="Y57">
        <f>IF($A57="","",IF(AND($B57&gt;0,L57&lt;$B57,DATE($B$1,10,1)&lt;=TODAY(),OR($O57="",$O57&gt;=DATE($B$1,10,1)),OR(COUNTIF($C57:L57,"&gt;0")&gt;0,DATE($B$1,10,1)=DATE(YEAR(TODAY()),MONTH(TODAY()),1))),1,0))</f>
        <v/>
      </c>
      <c r="Z57">
        <f>IF($A57="","",IF(AND($B57&gt;0,M57&lt;$B57,DATE($B$1,11,1)&lt;=TODAY(),OR($O57="",$O57&gt;=DATE($B$1,11,1)),OR(COUNTIF($C57:M57,"&gt;0")&gt;0,DATE($B$1,11,1)=DATE(YEAR(TODAY()),MONTH(TODAY()),1))),1,0))</f>
        <v/>
      </c>
      <c r="AA57">
        <f>IF($A57="","",IF(AND($B57&gt;0,N57&lt;$B57,DATE($B$1,12,1)&lt;=TODAY(),OR($O57="",$O57&gt;=DATE($B$1,12,1)),OR(COUNTIF($C57:N57,"&gt;0")&gt;0,DATE($B$1,12,1)=DATE(YEAR(TODAY()),MONTH(TODAY()),1))),1,0))</f>
        <v/>
      </c>
    </row>
    <row r="58">
      <c r="A58" s="13">
        <f>IF(원생!$A56="","",원생!$A56&amp;IF(원생!$G56="",""," ("&amp;원생!$G56&amp;")"))</f>
        <v/>
      </c>
      <c r="B58" s="8">
        <f>IF(원생!$A56="","",원생!$F56)</f>
        <v/>
      </c>
      <c r="C58" s="14">
        <f>IF(원생!$A56="","",SUMIFS(수납!$F:$F,수납!$C:$C,원생!$A56,수납!$D:$D,IF(원생!$G56="","",원생!$G56),수납!$B:$B,$B$1&amp;"-"&amp;TEXT(1,"00")&amp;"*",수납!$E:$E,"수강료")+SUMIFS(수납!$F:$F,수납!$C:$C,원생!$A56,수납!$D:$D,IF(원생!$G56="","",원생!$G56),수납!$B:$B,$B$1&amp;"-"&amp;TEXT(1,"00")&amp;"*",수납!$E:$E,""))</f>
        <v/>
      </c>
      <c r="D58" s="14">
        <f>IF(원생!$A56="","",SUMIFS(수납!$F:$F,수납!$C:$C,원생!$A56,수납!$D:$D,IF(원생!$G56="","",원생!$G56),수납!$B:$B,$B$1&amp;"-"&amp;TEXT(2,"00")&amp;"*",수납!$E:$E,"수강료")+SUMIFS(수납!$F:$F,수납!$C:$C,원생!$A56,수납!$D:$D,IF(원생!$G56="","",원생!$G56),수납!$B:$B,$B$1&amp;"-"&amp;TEXT(2,"00")&amp;"*",수납!$E:$E,""))</f>
        <v/>
      </c>
      <c r="E58" s="14">
        <f>IF(원생!$A56="","",SUMIFS(수납!$F:$F,수납!$C:$C,원생!$A56,수납!$D:$D,IF(원생!$G56="","",원생!$G56),수납!$B:$B,$B$1&amp;"-"&amp;TEXT(3,"00")&amp;"*",수납!$E:$E,"수강료")+SUMIFS(수납!$F:$F,수납!$C:$C,원생!$A56,수납!$D:$D,IF(원생!$G56="","",원생!$G56),수납!$B:$B,$B$1&amp;"-"&amp;TEXT(3,"00")&amp;"*",수납!$E:$E,""))</f>
        <v/>
      </c>
      <c r="F58" s="14">
        <f>IF(원생!$A56="","",SUMIFS(수납!$F:$F,수납!$C:$C,원생!$A56,수납!$D:$D,IF(원생!$G56="","",원생!$G56),수납!$B:$B,$B$1&amp;"-"&amp;TEXT(4,"00")&amp;"*",수납!$E:$E,"수강료")+SUMIFS(수납!$F:$F,수납!$C:$C,원생!$A56,수납!$D:$D,IF(원생!$G56="","",원생!$G56),수납!$B:$B,$B$1&amp;"-"&amp;TEXT(4,"00")&amp;"*",수납!$E:$E,""))</f>
        <v/>
      </c>
      <c r="G58" s="14">
        <f>IF(원생!$A56="","",SUMIFS(수납!$F:$F,수납!$C:$C,원생!$A56,수납!$D:$D,IF(원생!$G56="","",원생!$G56),수납!$B:$B,$B$1&amp;"-"&amp;TEXT(5,"00")&amp;"*",수납!$E:$E,"수강료")+SUMIFS(수납!$F:$F,수납!$C:$C,원생!$A56,수납!$D:$D,IF(원생!$G56="","",원생!$G56),수납!$B:$B,$B$1&amp;"-"&amp;TEXT(5,"00")&amp;"*",수납!$E:$E,""))</f>
        <v/>
      </c>
      <c r="H58" s="14">
        <f>IF(원생!$A56="","",SUMIFS(수납!$F:$F,수납!$C:$C,원생!$A56,수납!$D:$D,IF(원생!$G56="","",원생!$G56),수납!$B:$B,$B$1&amp;"-"&amp;TEXT(6,"00")&amp;"*",수납!$E:$E,"수강료")+SUMIFS(수납!$F:$F,수납!$C:$C,원생!$A56,수납!$D:$D,IF(원생!$G56="","",원생!$G56),수납!$B:$B,$B$1&amp;"-"&amp;TEXT(6,"00")&amp;"*",수납!$E:$E,""))</f>
        <v/>
      </c>
      <c r="I58" s="14">
        <f>IF(원생!$A56="","",SUMIFS(수납!$F:$F,수납!$C:$C,원생!$A56,수납!$D:$D,IF(원생!$G56="","",원생!$G56),수납!$B:$B,$B$1&amp;"-"&amp;TEXT(7,"00")&amp;"*",수납!$E:$E,"수강료")+SUMIFS(수납!$F:$F,수납!$C:$C,원생!$A56,수납!$D:$D,IF(원생!$G56="","",원생!$G56),수납!$B:$B,$B$1&amp;"-"&amp;TEXT(7,"00")&amp;"*",수납!$E:$E,""))</f>
        <v/>
      </c>
      <c r="J58" s="14">
        <f>IF(원생!$A56="","",SUMIFS(수납!$F:$F,수납!$C:$C,원생!$A56,수납!$D:$D,IF(원생!$G56="","",원생!$G56),수납!$B:$B,$B$1&amp;"-"&amp;TEXT(8,"00")&amp;"*",수납!$E:$E,"수강료")+SUMIFS(수납!$F:$F,수납!$C:$C,원생!$A56,수납!$D:$D,IF(원생!$G56="","",원생!$G56),수납!$B:$B,$B$1&amp;"-"&amp;TEXT(8,"00")&amp;"*",수납!$E:$E,""))</f>
        <v/>
      </c>
      <c r="K58" s="14">
        <f>IF(원생!$A56="","",SUMIFS(수납!$F:$F,수납!$C:$C,원생!$A56,수납!$D:$D,IF(원생!$G56="","",원생!$G56),수납!$B:$B,$B$1&amp;"-"&amp;TEXT(9,"00")&amp;"*",수납!$E:$E,"수강료")+SUMIFS(수납!$F:$F,수납!$C:$C,원생!$A56,수납!$D:$D,IF(원생!$G56="","",원생!$G56),수납!$B:$B,$B$1&amp;"-"&amp;TEXT(9,"00")&amp;"*",수납!$E:$E,""))</f>
        <v/>
      </c>
      <c r="L58" s="14">
        <f>IF(원생!$A56="","",SUMIFS(수납!$F:$F,수납!$C:$C,원생!$A56,수납!$D:$D,IF(원생!$G56="","",원생!$G56),수납!$B:$B,$B$1&amp;"-"&amp;TEXT(10,"00")&amp;"*",수납!$E:$E,"수강료")+SUMIFS(수납!$F:$F,수납!$C:$C,원생!$A56,수납!$D:$D,IF(원생!$G56="","",원생!$G56),수납!$B:$B,$B$1&amp;"-"&amp;TEXT(10,"00")&amp;"*",수납!$E:$E,""))</f>
        <v/>
      </c>
      <c r="M58" s="14">
        <f>IF(원생!$A56="","",SUMIFS(수납!$F:$F,수납!$C:$C,원생!$A56,수납!$D:$D,IF(원생!$G56="","",원생!$G56),수납!$B:$B,$B$1&amp;"-"&amp;TEXT(11,"00")&amp;"*",수납!$E:$E,"수강료")+SUMIFS(수납!$F:$F,수납!$C:$C,원생!$A56,수납!$D:$D,IF(원생!$G56="","",원생!$G56),수납!$B:$B,$B$1&amp;"-"&amp;TEXT(11,"00")&amp;"*",수납!$E:$E,""))</f>
        <v/>
      </c>
      <c r="N58" s="14">
        <f>IF(원생!$A56="","",SUMIFS(수납!$F:$F,수납!$C:$C,원생!$A56,수납!$D:$D,IF(원생!$G56="","",원생!$G56),수납!$B:$B,$B$1&amp;"-"&amp;TEXT(12,"00")&amp;"*",수납!$E:$E,"수강료")+SUMIFS(수납!$F:$F,수납!$C:$C,원생!$A56,수납!$D:$D,IF(원생!$G56="","",원생!$G56),수납!$B:$B,$B$1&amp;"-"&amp;TEXT(12,"00")&amp;"*",수납!$E:$E,""))</f>
        <v/>
      </c>
      <c r="O58">
        <f>IF(원생!$I56="","",원생!$I56)</f>
        <v/>
      </c>
      <c r="P58">
        <f>IF($A58="","",IF(AND($B58&gt;0,C58&lt;$B58,DATE($B$1,1,1)&lt;=TODAY(),OR($O58="",$O58&gt;=DATE($B$1,1,1)),OR(COUNTIF($C58:C58,"&gt;0")&gt;0,DATE($B$1,1,1)=DATE(YEAR(TODAY()),MONTH(TODAY()),1))),1,0))</f>
        <v/>
      </c>
      <c r="Q58">
        <f>IF($A58="","",IF(AND($B58&gt;0,D58&lt;$B58,DATE($B$1,2,1)&lt;=TODAY(),OR($O58="",$O58&gt;=DATE($B$1,2,1)),OR(COUNTIF($C58:D58,"&gt;0")&gt;0,DATE($B$1,2,1)=DATE(YEAR(TODAY()),MONTH(TODAY()),1))),1,0))</f>
        <v/>
      </c>
      <c r="R58">
        <f>IF($A58="","",IF(AND($B58&gt;0,E58&lt;$B58,DATE($B$1,3,1)&lt;=TODAY(),OR($O58="",$O58&gt;=DATE($B$1,3,1)),OR(COUNTIF($C58:E58,"&gt;0")&gt;0,DATE($B$1,3,1)=DATE(YEAR(TODAY()),MONTH(TODAY()),1))),1,0))</f>
        <v/>
      </c>
      <c r="S58">
        <f>IF($A58="","",IF(AND($B58&gt;0,F58&lt;$B58,DATE($B$1,4,1)&lt;=TODAY(),OR($O58="",$O58&gt;=DATE($B$1,4,1)),OR(COUNTIF($C58:F58,"&gt;0")&gt;0,DATE($B$1,4,1)=DATE(YEAR(TODAY()),MONTH(TODAY()),1))),1,0))</f>
        <v/>
      </c>
      <c r="T58">
        <f>IF($A58="","",IF(AND($B58&gt;0,G58&lt;$B58,DATE($B$1,5,1)&lt;=TODAY(),OR($O58="",$O58&gt;=DATE($B$1,5,1)),OR(COUNTIF($C58:G58,"&gt;0")&gt;0,DATE($B$1,5,1)=DATE(YEAR(TODAY()),MONTH(TODAY()),1))),1,0))</f>
        <v/>
      </c>
      <c r="U58">
        <f>IF($A58="","",IF(AND($B58&gt;0,H58&lt;$B58,DATE($B$1,6,1)&lt;=TODAY(),OR($O58="",$O58&gt;=DATE($B$1,6,1)),OR(COUNTIF($C58:H58,"&gt;0")&gt;0,DATE($B$1,6,1)=DATE(YEAR(TODAY()),MONTH(TODAY()),1))),1,0))</f>
        <v/>
      </c>
      <c r="V58">
        <f>IF($A58="","",IF(AND($B58&gt;0,I58&lt;$B58,DATE($B$1,7,1)&lt;=TODAY(),OR($O58="",$O58&gt;=DATE($B$1,7,1)),OR(COUNTIF($C58:I58,"&gt;0")&gt;0,DATE($B$1,7,1)=DATE(YEAR(TODAY()),MONTH(TODAY()),1))),1,0))</f>
        <v/>
      </c>
      <c r="W58">
        <f>IF($A58="","",IF(AND($B58&gt;0,J58&lt;$B58,DATE($B$1,8,1)&lt;=TODAY(),OR($O58="",$O58&gt;=DATE($B$1,8,1)),OR(COUNTIF($C58:J58,"&gt;0")&gt;0,DATE($B$1,8,1)=DATE(YEAR(TODAY()),MONTH(TODAY()),1))),1,0))</f>
        <v/>
      </c>
      <c r="X58">
        <f>IF($A58="","",IF(AND($B58&gt;0,K58&lt;$B58,DATE($B$1,9,1)&lt;=TODAY(),OR($O58="",$O58&gt;=DATE($B$1,9,1)),OR(COUNTIF($C58:K58,"&gt;0")&gt;0,DATE($B$1,9,1)=DATE(YEAR(TODAY()),MONTH(TODAY()),1))),1,0))</f>
        <v/>
      </c>
      <c r="Y58">
        <f>IF($A58="","",IF(AND($B58&gt;0,L58&lt;$B58,DATE($B$1,10,1)&lt;=TODAY(),OR($O58="",$O58&gt;=DATE($B$1,10,1)),OR(COUNTIF($C58:L58,"&gt;0")&gt;0,DATE($B$1,10,1)=DATE(YEAR(TODAY()),MONTH(TODAY()),1))),1,0))</f>
        <v/>
      </c>
      <c r="Z58">
        <f>IF($A58="","",IF(AND($B58&gt;0,M58&lt;$B58,DATE($B$1,11,1)&lt;=TODAY(),OR($O58="",$O58&gt;=DATE($B$1,11,1)),OR(COUNTIF($C58:M58,"&gt;0")&gt;0,DATE($B$1,11,1)=DATE(YEAR(TODAY()),MONTH(TODAY()),1))),1,0))</f>
        <v/>
      </c>
      <c r="AA58">
        <f>IF($A58="","",IF(AND($B58&gt;0,N58&lt;$B58,DATE($B$1,12,1)&lt;=TODAY(),OR($O58="",$O58&gt;=DATE($B$1,12,1)),OR(COUNTIF($C58:N58,"&gt;0")&gt;0,DATE($B$1,12,1)=DATE(YEAR(TODAY()),MONTH(TODAY()),1))),1,0))</f>
        <v/>
      </c>
    </row>
    <row r="59">
      <c r="A59" s="13">
        <f>IF(원생!$A57="","",원생!$A57&amp;IF(원생!$G57="",""," ("&amp;원생!$G57&amp;")"))</f>
        <v/>
      </c>
      <c r="B59" s="8">
        <f>IF(원생!$A57="","",원생!$F57)</f>
        <v/>
      </c>
      <c r="C59" s="14">
        <f>IF(원생!$A57="","",SUMIFS(수납!$F:$F,수납!$C:$C,원생!$A57,수납!$D:$D,IF(원생!$G57="","",원생!$G57),수납!$B:$B,$B$1&amp;"-"&amp;TEXT(1,"00")&amp;"*",수납!$E:$E,"수강료")+SUMIFS(수납!$F:$F,수납!$C:$C,원생!$A57,수납!$D:$D,IF(원생!$G57="","",원생!$G57),수납!$B:$B,$B$1&amp;"-"&amp;TEXT(1,"00")&amp;"*",수납!$E:$E,""))</f>
        <v/>
      </c>
      <c r="D59" s="14">
        <f>IF(원생!$A57="","",SUMIFS(수납!$F:$F,수납!$C:$C,원생!$A57,수납!$D:$D,IF(원생!$G57="","",원생!$G57),수납!$B:$B,$B$1&amp;"-"&amp;TEXT(2,"00")&amp;"*",수납!$E:$E,"수강료")+SUMIFS(수납!$F:$F,수납!$C:$C,원생!$A57,수납!$D:$D,IF(원생!$G57="","",원생!$G57),수납!$B:$B,$B$1&amp;"-"&amp;TEXT(2,"00")&amp;"*",수납!$E:$E,""))</f>
        <v/>
      </c>
      <c r="E59" s="14">
        <f>IF(원생!$A57="","",SUMIFS(수납!$F:$F,수납!$C:$C,원생!$A57,수납!$D:$D,IF(원생!$G57="","",원생!$G57),수납!$B:$B,$B$1&amp;"-"&amp;TEXT(3,"00")&amp;"*",수납!$E:$E,"수강료")+SUMIFS(수납!$F:$F,수납!$C:$C,원생!$A57,수납!$D:$D,IF(원생!$G57="","",원생!$G57),수납!$B:$B,$B$1&amp;"-"&amp;TEXT(3,"00")&amp;"*",수납!$E:$E,""))</f>
        <v/>
      </c>
      <c r="F59" s="14">
        <f>IF(원생!$A57="","",SUMIFS(수납!$F:$F,수납!$C:$C,원생!$A57,수납!$D:$D,IF(원생!$G57="","",원생!$G57),수납!$B:$B,$B$1&amp;"-"&amp;TEXT(4,"00")&amp;"*",수납!$E:$E,"수강료")+SUMIFS(수납!$F:$F,수납!$C:$C,원생!$A57,수납!$D:$D,IF(원생!$G57="","",원생!$G57),수납!$B:$B,$B$1&amp;"-"&amp;TEXT(4,"00")&amp;"*",수납!$E:$E,""))</f>
        <v/>
      </c>
      <c r="G59" s="14">
        <f>IF(원생!$A57="","",SUMIFS(수납!$F:$F,수납!$C:$C,원생!$A57,수납!$D:$D,IF(원생!$G57="","",원생!$G57),수납!$B:$B,$B$1&amp;"-"&amp;TEXT(5,"00")&amp;"*",수납!$E:$E,"수강료")+SUMIFS(수납!$F:$F,수납!$C:$C,원생!$A57,수납!$D:$D,IF(원생!$G57="","",원생!$G57),수납!$B:$B,$B$1&amp;"-"&amp;TEXT(5,"00")&amp;"*",수납!$E:$E,""))</f>
        <v/>
      </c>
      <c r="H59" s="14">
        <f>IF(원생!$A57="","",SUMIFS(수납!$F:$F,수납!$C:$C,원생!$A57,수납!$D:$D,IF(원생!$G57="","",원생!$G57),수납!$B:$B,$B$1&amp;"-"&amp;TEXT(6,"00")&amp;"*",수납!$E:$E,"수강료")+SUMIFS(수납!$F:$F,수납!$C:$C,원생!$A57,수납!$D:$D,IF(원생!$G57="","",원생!$G57),수납!$B:$B,$B$1&amp;"-"&amp;TEXT(6,"00")&amp;"*",수납!$E:$E,""))</f>
        <v/>
      </c>
      <c r="I59" s="14">
        <f>IF(원생!$A57="","",SUMIFS(수납!$F:$F,수납!$C:$C,원생!$A57,수납!$D:$D,IF(원생!$G57="","",원생!$G57),수납!$B:$B,$B$1&amp;"-"&amp;TEXT(7,"00")&amp;"*",수납!$E:$E,"수강료")+SUMIFS(수납!$F:$F,수납!$C:$C,원생!$A57,수납!$D:$D,IF(원생!$G57="","",원생!$G57),수납!$B:$B,$B$1&amp;"-"&amp;TEXT(7,"00")&amp;"*",수납!$E:$E,""))</f>
        <v/>
      </c>
      <c r="J59" s="14">
        <f>IF(원생!$A57="","",SUMIFS(수납!$F:$F,수납!$C:$C,원생!$A57,수납!$D:$D,IF(원생!$G57="","",원생!$G57),수납!$B:$B,$B$1&amp;"-"&amp;TEXT(8,"00")&amp;"*",수납!$E:$E,"수강료")+SUMIFS(수납!$F:$F,수납!$C:$C,원생!$A57,수납!$D:$D,IF(원생!$G57="","",원생!$G57),수납!$B:$B,$B$1&amp;"-"&amp;TEXT(8,"00")&amp;"*",수납!$E:$E,""))</f>
        <v/>
      </c>
      <c r="K59" s="14">
        <f>IF(원생!$A57="","",SUMIFS(수납!$F:$F,수납!$C:$C,원생!$A57,수납!$D:$D,IF(원생!$G57="","",원생!$G57),수납!$B:$B,$B$1&amp;"-"&amp;TEXT(9,"00")&amp;"*",수납!$E:$E,"수강료")+SUMIFS(수납!$F:$F,수납!$C:$C,원생!$A57,수납!$D:$D,IF(원생!$G57="","",원생!$G57),수납!$B:$B,$B$1&amp;"-"&amp;TEXT(9,"00")&amp;"*",수납!$E:$E,""))</f>
        <v/>
      </c>
      <c r="L59" s="14">
        <f>IF(원생!$A57="","",SUMIFS(수납!$F:$F,수납!$C:$C,원생!$A57,수납!$D:$D,IF(원생!$G57="","",원생!$G57),수납!$B:$B,$B$1&amp;"-"&amp;TEXT(10,"00")&amp;"*",수납!$E:$E,"수강료")+SUMIFS(수납!$F:$F,수납!$C:$C,원생!$A57,수납!$D:$D,IF(원생!$G57="","",원생!$G57),수납!$B:$B,$B$1&amp;"-"&amp;TEXT(10,"00")&amp;"*",수납!$E:$E,""))</f>
        <v/>
      </c>
      <c r="M59" s="14">
        <f>IF(원생!$A57="","",SUMIFS(수납!$F:$F,수납!$C:$C,원생!$A57,수납!$D:$D,IF(원생!$G57="","",원생!$G57),수납!$B:$B,$B$1&amp;"-"&amp;TEXT(11,"00")&amp;"*",수납!$E:$E,"수강료")+SUMIFS(수납!$F:$F,수납!$C:$C,원생!$A57,수납!$D:$D,IF(원생!$G57="","",원생!$G57),수납!$B:$B,$B$1&amp;"-"&amp;TEXT(11,"00")&amp;"*",수납!$E:$E,""))</f>
        <v/>
      </c>
      <c r="N59" s="14">
        <f>IF(원생!$A57="","",SUMIFS(수납!$F:$F,수납!$C:$C,원생!$A57,수납!$D:$D,IF(원생!$G57="","",원생!$G57),수납!$B:$B,$B$1&amp;"-"&amp;TEXT(12,"00")&amp;"*",수납!$E:$E,"수강료")+SUMIFS(수납!$F:$F,수납!$C:$C,원생!$A57,수납!$D:$D,IF(원생!$G57="","",원생!$G57),수납!$B:$B,$B$1&amp;"-"&amp;TEXT(12,"00")&amp;"*",수납!$E:$E,""))</f>
        <v/>
      </c>
      <c r="O59">
        <f>IF(원생!$I57="","",원생!$I57)</f>
        <v/>
      </c>
      <c r="P59">
        <f>IF($A59="","",IF(AND($B59&gt;0,C59&lt;$B59,DATE($B$1,1,1)&lt;=TODAY(),OR($O59="",$O59&gt;=DATE($B$1,1,1)),OR(COUNTIF($C59:C59,"&gt;0")&gt;0,DATE($B$1,1,1)=DATE(YEAR(TODAY()),MONTH(TODAY()),1))),1,0))</f>
        <v/>
      </c>
      <c r="Q59">
        <f>IF($A59="","",IF(AND($B59&gt;0,D59&lt;$B59,DATE($B$1,2,1)&lt;=TODAY(),OR($O59="",$O59&gt;=DATE($B$1,2,1)),OR(COUNTIF($C59:D59,"&gt;0")&gt;0,DATE($B$1,2,1)=DATE(YEAR(TODAY()),MONTH(TODAY()),1))),1,0))</f>
        <v/>
      </c>
      <c r="R59">
        <f>IF($A59="","",IF(AND($B59&gt;0,E59&lt;$B59,DATE($B$1,3,1)&lt;=TODAY(),OR($O59="",$O59&gt;=DATE($B$1,3,1)),OR(COUNTIF($C59:E59,"&gt;0")&gt;0,DATE($B$1,3,1)=DATE(YEAR(TODAY()),MONTH(TODAY()),1))),1,0))</f>
        <v/>
      </c>
      <c r="S59">
        <f>IF($A59="","",IF(AND($B59&gt;0,F59&lt;$B59,DATE($B$1,4,1)&lt;=TODAY(),OR($O59="",$O59&gt;=DATE($B$1,4,1)),OR(COUNTIF($C59:F59,"&gt;0")&gt;0,DATE($B$1,4,1)=DATE(YEAR(TODAY()),MONTH(TODAY()),1))),1,0))</f>
        <v/>
      </c>
      <c r="T59">
        <f>IF($A59="","",IF(AND($B59&gt;0,G59&lt;$B59,DATE($B$1,5,1)&lt;=TODAY(),OR($O59="",$O59&gt;=DATE($B$1,5,1)),OR(COUNTIF($C59:G59,"&gt;0")&gt;0,DATE($B$1,5,1)=DATE(YEAR(TODAY()),MONTH(TODAY()),1))),1,0))</f>
        <v/>
      </c>
      <c r="U59">
        <f>IF($A59="","",IF(AND($B59&gt;0,H59&lt;$B59,DATE($B$1,6,1)&lt;=TODAY(),OR($O59="",$O59&gt;=DATE($B$1,6,1)),OR(COUNTIF($C59:H59,"&gt;0")&gt;0,DATE($B$1,6,1)=DATE(YEAR(TODAY()),MONTH(TODAY()),1))),1,0))</f>
        <v/>
      </c>
      <c r="V59">
        <f>IF($A59="","",IF(AND($B59&gt;0,I59&lt;$B59,DATE($B$1,7,1)&lt;=TODAY(),OR($O59="",$O59&gt;=DATE($B$1,7,1)),OR(COUNTIF($C59:I59,"&gt;0")&gt;0,DATE($B$1,7,1)=DATE(YEAR(TODAY()),MONTH(TODAY()),1))),1,0))</f>
        <v/>
      </c>
      <c r="W59">
        <f>IF($A59="","",IF(AND($B59&gt;0,J59&lt;$B59,DATE($B$1,8,1)&lt;=TODAY(),OR($O59="",$O59&gt;=DATE($B$1,8,1)),OR(COUNTIF($C59:J59,"&gt;0")&gt;0,DATE($B$1,8,1)=DATE(YEAR(TODAY()),MONTH(TODAY()),1))),1,0))</f>
        <v/>
      </c>
      <c r="X59">
        <f>IF($A59="","",IF(AND($B59&gt;0,K59&lt;$B59,DATE($B$1,9,1)&lt;=TODAY(),OR($O59="",$O59&gt;=DATE($B$1,9,1)),OR(COUNTIF($C59:K59,"&gt;0")&gt;0,DATE($B$1,9,1)=DATE(YEAR(TODAY()),MONTH(TODAY()),1))),1,0))</f>
        <v/>
      </c>
      <c r="Y59">
        <f>IF($A59="","",IF(AND($B59&gt;0,L59&lt;$B59,DATE($B$1,10,1)&lt;=TODAY(),OR($O59="",$O59&gt;=DATE($B$1,10,1)),OR(COUNTIF($C59:L59,"&gt;0")&gt;0,DATE($B$1,10,1)=DATE(YEAR(TODAY()),MONTH(TODAY()),1))),1,0))</f>
        <v/>
      </c>
      <c r="Z59">
        <f>IF($A59="","",IF(AND($B59&gt;0,M59&lt;$B59,DATE($B$1,11,1)&lt;=TODAY(),OR($O59="",$O59&gt;=DATE($B$1,11,1)),OR(COUNTIF($C59:M59,"&gt;0")&gt;0,DATE($B$1,11,1)=DATE(YEAR(TODAY()),MONTH(TODAY()),1))),1,0))</f>
        <v/>
      </c>
      <c r="AA59">
        <f>IF($A59="","",IF(AND($B59&gt;0,N59&lt;$B59,DATE($B$1,12,1)&lt;=TODAY(),OR($O59="",$O59&gt;=DATE($B$1,12,1)),OR(COUNTIF($C59:N59,"&gt;0")&gt;0,DATE($B$1,12,1)=DATE(YEAR(TODAY()),MONTH(TODAY()),1))),1,0))</f>
        <v/>
      </c>
    </row>
    <row r="60">
      <c r="A60" s="13">
        <f>IF(원생!$A58="","",원생!$A58&amp;IF(원생!$G58="",""," ("&amp;원생!$G58&amp;")"))</f>
        <v/>
      </c>
      <c r="B60" s="8">
        <f>IF(원생!$A58="","",원생!$F58)</f>
        <v/>
      </c>
      <c r="C60" s="14">
        <f>IF(원생!$A58="","",SUMIFS(수납!$F:$F,수납!$C:$C,원생!$A58,수납!$D:$D,IF(원생!$G58="","",원생!$G58),수납!$B:$B,$B$1&amp;"-"&amp;TEXT(1,"00")&amp;"*",수납!$E:$E,"수강료")+SUMIFS(수납!$F:$F,수납!$C:$C,원생!$A58,수납!$D:$D,IF(원생!$G58="","",원생!$G58),수납!$B:$B,$B$1&amp;"-"&amp;TEXT(1,"00")&amp;"*",수납!$E:$E,""))</f>
        <v/>
      </c>
      <c r="D60" s="14">
        <f>IF(원생!$A58="","",SUMIFS(수납!$F:$F,수납!$C:$C,원생!$A58,수납!$D:$D,IF(원생!$G58="","",원생!$G58),수납!$B:$B,$B$1&amp;"-"&amp;TEXT(2,"00")&amp;"*",수납!$E:$E,"수강료")+SUMIFS(수납!$F:$F,수납!$C:$C,원생!$A58,수납!$D:$D,IF(원생!$G58="","",원생!$G58),수납!$B:$B,$B$1&amp;"-"&amp;TEXT(2,"00")&amp;"*",수납!$E:$E,""))</f>
        <v/>
      </c>
      <c r="E60" s="14">
        <f>IF(원생!$A58="","",SUMIFS(수납!$F:$F,수납!$C:$C,원생!$A58,수납!$D:$D,IF(원생!$G58="","",원생!$G58),수납!$B:$B,$B$1&amp;"-"&amp;TEXT(3,"00")&amp;"*",수납!$E:$E,"수강료")+SUMIFS(수납!$F:$F,수납!$C:$C,원생!$A58,수납!$D:$D,IF(원생!$G58="","",원생!$G58),수납!$B:$B,$B$1&amp;"-"&amp;TEXT(3,"00")&amp;"*",수납!$E:$E,""))</f>
        <v/>
      </c>
      <c r="F60" s="14">
        <f>IF(원생!$A58="","",SUMIFS(수납!$F:$F,수납!$C:$C,원생!$A58,수납!$D:$D,IF(원생!$G58="","",원생!$G58),수납!$B:$B,$B$1&amp;"-"&amp;TEXT(4,"00")&amp;"*",수납!$E:$E,"수강료")+SUMIFS(수납!$F:$F,수납!$C:$C,원생!$A58,수납!$D:$D,IF(원생!$G58="","",원생!$G58),수납!$B:$B,$B$1&amp;"-"&amp;TEXT(4,"00")&amp;"*",수납!$E:$E,""))</f>
        <v/>
      </c>
      <c r="G60" s="14">
        <f>IF(원생!$A58="","",SUMIFS(수납!$F:$F,수납!$C:$C,원생!$A58,수납!$D:$D,IF(원생!$G58="","",원생!$G58),수납!$B:$B,$B$1&amp;"-"&amp;TEXT(5,"00")&amp;"*",수납!$E:$E,"수강료")+SUMIFS(수납!$F:$F,수납!$C:$C,원생!$A58,수납!$D:$D,IF(원생!$G58="","",원생!$G58),수납!$B:$B,$B$1&amp;"-"&amp;TEXT(5,"00")&amp;"*",수납!$E:$E,""))</f>
        <v/>
      </c>
      <c r="H60" s="14">
        <f>IF(원생!$A58="","",SUMIFS(수납!$F:$F,수납!$C:$C,원생!$A58,수납!$D:$D,IF(원생!$G58="","",원생!$G58),수납!$B:$B,$B$1&amp;"-"&amp;TEXT(6,"00")&amp;"*",수납!$E:$E,"수강료")+SUMIFS(수납!$F:$F,수납!$C:$C,원생!$A58,수납!$D:$D,IF(원생!$G58="","",원생!$G58),수납!$B:$B,$B$1&amp;"-"&amp;TEXT(6,"00")&amp;"*",수납!$E:$E,""))</f>
        <v/>
      </c>
      <c r="I60" s="14">
        <f>IF(원생!$A58="","",SUMIFS(수납!$F:$F,수납!$C:$C,원생!$A58,수납!$D:$D,IF(원생!$G58="","",원생!$G58),수납!$B:$B,$B$1&amp;"-"&amp;TEXT(7,"00")&amp;"*",수납!$E:$E,"수강료")+SUMIFS(수납!$F:$F,수납!$C:$C,원생!$A58,수납!$D:$D,IF(원생!$G58="","",원생!$G58),수납!$B:$B,$B$1&amp;"-"&amp;TEXT(7,"00")&amp;"*",수납!$E:$E,""))</f>
        <v/>
      </c>
      <c r="J60" s="14">
        <f>IF(원생!$A58="","",SUMIFS(수납!$F:$F,수납!$C:$C,원생!$A58,수납!$D:$D,IF(원생!$G58="","",원생!$G58),수납!$B:$B,$B$1&amp;"-"&amp;TEXT(8,"00")&amp;"*",수납!$E:$E,"수강료")+SUMIFS(수납!$F:$F,수납!$C:$C,원생!$A58,수납!$D:$D,IF(원생!$G58="","",원생!$G58),수납!$B:$B,$B$1&amp;"-"&amp;TEXT(8,"00")&amp;"*",수납!$E:$E,""))</f>
        <v/>
      </c>
      <c r="K60" s="14">
        <f>IF(원생!$A58="","",SUMIFS(수납!$F:$F,수납!$C:$C,원생!$A58,수납!$D:$D,IF(원생!$G58="","",원생!$G58),수납!$B:$B,$B$1&amp;"-"&amp;TEXT(9,"00")&amp;"*",수납!$E:$E,"수강료")+SUMIFS(수납!$F:$F,수납!$C:$C,원생!$A58,수납!$D:$D,IF(원생!$G58="","",원생!$G58),수납!$B:$B,$B$1&amp;"-"&amp;TEXT(9,"00")&amp;"*",수납!$E:$E,""))</f>
        <v/>
      </c>
      <c r="L60" s="14">
        <f>IF(원생!$A58="","",SUMIFS(수납!$F:$F,수납!$C:$C,원생!$A58,수납!$D:$D,IF(원생!$G58="","",원생!$G58),수납!$B:$B,$B$1&amp;"-"&amp;TEXT(10,"00")&amp;"*",수납!$E:$E,"수강료")+SUMIFS(수납!$F:$F,수납!$C:$C,원생!$A58,수납!$D:$D,IF(원생!$G58="","",원생!$G58),수납!$B:$B,$B$1&amp;"-"&amp;TEXT(10,"00")&amp;"*",수납!$E:$E,""))</f>
        <v/>
      </c>
      <c r="M60" s="14">
        <f>IF(원생!$A58="","",SUMIFS(수납!$F:$F,수납!$C:$C,원생!$A58,수납!$D:$D,IF(원생!$G58="","",원생!$G58),수납!$B:$B,$B$1&amp;"-"&amp;TEXT(11,"00")&amp;"*",수납!$E:$E,"수강료")+SUMIFS(수납!$F:$F,수납!$C:$C,원생!$A58,수납!$D:$D,IF(원생!$G58="","",원생!$G58),수납!$B:$B,$B$1&amp;"-"&amp;TEXT(11,"00")&amp;"*",수납!$E:$E,""))</f>
        <v/>
      </c>
      <c r="N60" s="14">
        <f>IF(원생!$A58="","",SUMIFS(수납!$F:$F,수납!$C:$C,원생!$A58,수납!$D:$D,IF(원생!$G58="","",원생!$G58),수납!$B:$B,$B$1&amp;"-"&amp;TEXT(12,"00")&amp;"*",수납!$E:$E,"수강료")+SUMIFS(수납!$F:$F,수납!$C:$C,원생!$A58,수납!$D:$D,IF(원생!$G58="","",원생!$G58),수납!$B:$B,$B$1&amp;"-"&amp;TEXT(12,"00")&amp;"*",수납!$E:$E,""))</f>
        <v/>
      </c>
      <c r="O60">
        <f>IF(원생!$I58="","",원생!$I58)</f>
        <v/>
      </c>
      <c r="P60">
        <f>IF($A60="","",IF(AND($B60&gt;0,C60&lt;$B60,DATE($B$1,1,1)&lt;=TODAY(),OR($O60="",$O60&gt;=DATE($B$1,1,1)),OR(COUNTIF($C60:C60,"&gt;0")&gt;0,DATE($B$1,1,1)=DATE(YEAR(TODAY()),MONTH(TODAY()),1))),1,0))</f>
        <v/>
      </c>
      <c r="Q60">
        <f>IF($A60="","",IF(AND($B60&gt;0,D60&lt;$B60,DATE($B$1,2,1)&lt;=TODAY(),OR($O60="",$O60&gt;=DATE($B$1,2,1)),OR(COUNTIF($C60:D60,"&gt;0")&gt;0,DATE($B$1,2,1)=DATE(YEAR(TODAY()),MONTH(TODAY()),1))),1,0))</f>
        <v/>
      </c>
      <c r="R60">
        <f>IF($A60="","",IF(AND($B60&gt;0,E60&lt;$B60,DATE($B$1,3,1)&lt;=TODAY(),OR($O60="",$O60&gt;=DATE($B$1,3,1)),OR(COUNTIF($C60:E60,"&gt;0")&gt;0,DATE($B$1,3,1)=DATE(YEAR(TODAY()),MONTH(TODAY()),1))),1,0))</f>
        <v/>
      </c>
      <c r="S60">
        <f>IF($A60="","",IF(AND($B60&gt;0,F60&lt;$B60,DATE($B$1,4,1)&lt;=TODAY(),OR($O60="",$O60&gt;=DATE($B$1,4,1)),OR(COUNTIF($C60:F60,"&gt;0")&gt;0,DATE($B$1,4,1)=DATE(YEAR(TODAY()),MONTH(TODAY()),1))),1,0))</f>
        <v/>
      </c>
      <c r="T60">
        <f>IF($A60="","",IF(AND($B60&gt;0,G60&lt;$B60,DATE($B$1,5,1)&lt;=TODAY(),OR($O60="",$O60&gt;=DATE($B$1,5,1)),OR(COUNTIF($C60:G60,"&gt;0")&gt;0,DATE($B$1,5,1)=DATE(YEAR(TODAY()),MONTH(TODAY()),1))),1,0))</f>
        <v/>
      </c>
      <c r="U60">
        <f>IF($A60="","",IF(AND($B60&gt;0,H60&lt;$B60,DATE($B$1,6,1)&lt;=TODAY(),OR($O60="",$O60&gt;=DATE($B$1,6,1)),OR(COUNTIF($C60:H60,"&gt;0")&gt;0,DATE($B$1,6,1)=DATE(YEAR(TODAY()),MONTH(TODAY()),1))),1,0))</f>
        <v/>
      </c>
      <c r="V60">
        <f>IF($A60="","",IF(AND($B60&gt;0,I60&lt;$B60,DATE($B$1,7,1)&lt;=TODAY(),OR($O60="",$O60&gt;=DATE($B$1,7,1)),OR(COUNTIF($C60:I60,"&gt;0")&gt;0,DATE($B$1,7,1)=DATE(YEAR(TODAY()),MONTH(TODAY()),1))),1,0))</f>
        <v/>
      </c>
      <c r="W60">
        <f>IF($A60="","",IF(AND($B60&gt;0,J60&lt;$B60,DATE($B$1,8,1)&lt;=TODAY(),OR($O60="",$O60&gt;=DATE($B$1,8,1)),OR(COUNTIF($C60:J60,"&gt;0")&gt;0,DATE($B$1,8,1)=DATE(YEAR(TODAY()),MONTH(TODAY()),1))),1,0))</f>
        <v/>
      </c>
      <c r="X60">
        <f>IF($A60="","",IF(AND($B60&gt;0,K60&lt;$B60,DATE($B$1,9,1)&lt;=TODAY(),OR($O60="",$O60&gt;=DATE($B$1,9,1)),OR(COUNTIF($C60:K60,"&gt;0")&gt;0,DATE($B$1,9,1)=DATE(YEAR(TODAY()),MONTH(TODAY()),1))),1,0))</f>
        <v/>
      </c>
      <c r="Y60">
        <f>IF($A60="","",IF(AND($B60&gt;0,L60&lt;$B60,DATE($B$1,10,1)&lt;=TODAY(),OR($O60="",$O60&gt;=DATE($B$1,10,1)),OR(COUNTIF($C60:L60,"&gt;0")&gt;0,DATE($B$1,10,1)=DATE(YEAR(TODAY()),MONTH(TODAY()),1))),1,0))</f>
        <v/>
      </c>
      <c r="Z60">
        <f>IF($A60="","",IF(AND($B60&gt;0,M60&lt;$B60,DATE($B$1,11,1)&lt;=TODAY(),OR($O60="",$O60&gt;=DATE($B$1,11,1)),OR(COUNTIF($C60:M60,"&gt;0")&gt;0,DATE($B$1,11,1)=DATE(YEAR(TODAY()),MONTH(TODAY()),1))),1,0))</f>
        <v/>
      </c>
      <c r="AA60">
        <f>IF($A60="","",IF(AND($B60&gt;0,N60&lt;$B60,DATE($B$1,12,1)&lt;=TODAY(),OR($O60="",$O60&gt;=DATE($B$1,12,1)),OR(COUNTIF($C60:N60,"&gt;0")&gt;0,DATE($B$1,12,1)=DATE(YEAR(TODAY()),MONTH(TODAY()),1))),1,0))</f>
        <v/>
      </c>
    </row>
    <row r="61">
      <c r="A61" s="13">
        <f>IF(원생!$A59="","",원생!$A59&amp;IF(원생!$G59="",""," ("&amp;원생!$G59&amp;")"))</f>
        <v/>
      </c>
      <c r="B61" s="8">
        <f>IF(원생!$A59="","",원생!$F59)</f>
        <v/>
      </c>
      <c r="C61" s="14">
        <f>IF(원생!$A59="","",SUMIFS(수납!$F:$F,수납!$C:$C,원생!$A59,수납!$D:$D,IF(원생!$G59="","",원생!$G59),수납!$B:$B,$B$1&amp;"-"&amp;TEXT(1,"00")&amp;"*",수납!$E:$E,"수강료")+SUMIFS(수납!$F:$F,수납!$C:$C,원생!$A59,수납!$D:$D,IF(원생!$G59="","",원생!$G59),수납!$B:$B,$B$1&amp;"-"&amp;TEXT(1,"00")&amp;"*",수납!$E:$E,""))</f>
        <v/>
      </c>
      <c r="D61" s="14">
        <f>IF(원생!$A59="","",SUMIFS(수납!$F:$F,수납!$C:$C,원생!$A59,수납!$D:$D,IF(원생!$G59="","",원생!$G59),수납!$B:$B,$B$1&amp;"-"&amp;TEXT(2,"00")&amp;"*",수납!$E:$E,"수강료")+SUMIFS(수납!$F:$F,수납!$C:$C,원생!$A59,수납!$D:$D,IF(원생!$G59="","",원생!$G59),수납!$B:$B,$B$1&amp;"-"&amp;TEXT(2,"00")&amp;"*",수납!$E:$E,""))</f>
        <v/>
      </c>
      <c r="E61" s="14">
        <f>IF(원생!$A59="","",SUMIFS(수납!$F:$F,수납!$C:$C,원생!$A59,수납!$D:$D,IF(원생!$G59="","",원생!$G59),수납!$B:$B,$B$1&amp;"-"&amp;TEXT(3,"00")&amp;"*",수납!$E:$E,"수강료")+SUMIFS(수납!$F:$F,수납!$C:$C,원생!$A59,수납!$D:$D,IF(원생!$G59="","",원생!$G59),수납!$B:$B,$B$1&amp;"-"&amp;TEXT(3,"00")&amp;"*",수납!$E:$E,""))</f>
        <v/>
      </c>
      <c r="F61" s="14">
        <f>IF(원생!$A59="","",SUMIFS(수납!$F:$F,수납!$C:$C,원생!$A59,수납!$D:$D,IF(원생!$G59="","",원생!$G59),수납!$B:$B,$B$1&amp;"-"&amp;TEXT(4,"00")&amp;"*",수납!$E:$E,"수강료")+SUMIFS(수납!$F:$F,수납!$C:$C,원생!$A59,수납!$D:$D,IF(원생!$G59="","",원생!$G59),수납!$B:$B,$B$1&amp;"-"&amp;TEXT(4,"00")&amp;"*",수납!$E:$E,""))</f>
        <v/>
      </c>
      <c r="G61" s="14">
        <f>IF(원생!$A59="","",SUMIFS(수납!$F:$F,수납!$C:$C,원생!$A59,수납!$D:$D,IF(원생!$G59="","",원생!$G59),수납!$B:$B,$B$1&amp;"-"&amp;TEXT(5,"00")&amp;"*",수납!$E:$E,"수강료")+SUMIFS(수납!$F:$F,수납!$C:$C,원생!$A59,수납!$D:$D,IF(원생!$G59="","",원생!$G59),수납!$B:$B,$B$1&amp;"-"&amp;TEXT(5,"00")&amp;"*",수납!$E:$E,""))</f>
        <v/>
      </c>
      <c r="H61" s="14">
        <f>IF(원생!$A59="","",SUMIFS(수납!$F:$F,수납!$C:$C,원생!$A59,수납!$D:$D,IF(원생!$G59="","",원생!$G59),수납!$B:$B,$B$1&amp;"-"&amp;TEXT(6,"00")&amp;"*",수납!$E:$E,"수강료")+SUMIFS(수납!$F:$F,수납!$C:$C,원생!$A59,수납!$D:$D,IF(원생!$G59="","",원생!$G59),수납!$B:$B,$B$1&amp;"-"&amp;TEXT(6,"00")&amp;"*",수납!$E:$E,""))</f>
        <v/>
      </c>
      <c r="I61" s="14">
        <f>IF(원생!$A59="","",SUMIFS(수납!$F:$F,수납!$C:$C,원생!$A59,수납!$D:$D,IF(원생!$G59="","",원생!$G59),수납!$B:$B,$B$1&amp;"-"&amp;TEXT(7,"00")&amp;"*",수납!$E:$E,"수강료")+SUMIFS(수납!$F:$F,수납!$C:$C,원생!$A59,수납!$D:$D,IF(원생!$G59="","",원생!$G59),수납!$B:$B,$B$1&amp;"-"&amp;TEXT(7,"00")&amp;"*",수납!$E:$E,""))</f>
        <v/>
      </c>
      <c r="J61" s="14">
        <f>IF(원생!$A59="","",SUMIFS(수납!$F:$F,수납!$C:$C,원생!$A59,수납!$D:$D,IF(원생!$G59="","",원생!$G59),수납!$B:$B,$B$1&amp;"-"&amp;TEXT(8,"00")&amp;"*",수납!$E:$E,"수강료")+SUMIFS(수납!$F:$F,수납!$C:$C,원생!$A59,수납!$D:$D,IF(원생!$G59="","",원생!$G59),수납!$B:$B,$B$1&amp;"-"&amp;TEXT(8,"00")&amp;"*",수납!$E:$E,""))</f>
        <v/>
      </c>
      <c r="K61" s="14">
        <f>IF(원생!$A59="","",SUMIFS(수납!$F:$F,수납!$C:$C,원생!$A59,수납!$D:$D,IF(원생!$G59="","",원생!$G59),수납!$B:$B,$B$1&amp;"-"&amp;TEXT(9,"00")&amp;"*",수납!$E:$E,"수강료")+SUMIFS(수납!$F:$F,수납!$C:$C,원생!$A59,수납!$D:$D,IF(원생!$G59="","",원생!$G59),수납!$B:$B,$B$1&amp;"-"&amp;TEXT(9,"00")&amp;"*",수납!$E:$E,""))</f>
        <v/>
      </c>
      <c r="L61" s="14">
        <f>IF(원생!$A59="","",SUMIFS(수납!$F:$F,수납!$C:$C,원생!$A59,수납!$D:$D,IF(원생!$G59="","",원생!$G59),수납!$B:$B,$B$1&amp;"-"&amp;TEXT(10,"00")&amp;"*",수납!$E:$E,"수강료")+SUMIFS(수납!$F:$F,수납!$C:$C,원생!$A59,수납!$D:$D,IF(원생!$G59="","",원생!$G59),수납!$B:$B,$B$1&amp;"-"&amp;TEXT(10,"00")&amp;"*",수납!$E:$E,""))</f>
        <v/>
      </c>
      <c r="M61" s="14">
        <f>IF(원생!$A59="","",SUMIFS(수납!$F:$F,수납!$C:$C,원생!$A59,수납!$D:$D,IF(원생!$G59="","",원생!$G59),수납!$B:$B,$B$1&amp;"-"&amp;TEXT(11,"00")&amp;"*",수납!$E:$E,"수강료")+SUMIFS(수납!$F:$F,수납!$C:$C,원생!$A59,수납!$D:$D,IF(원생!$G59="","",원생!$G59),수납!$B:$B,$B$1&amp;"-"&amp;TEXT(11,"00")&amp;"*",수납!$E:$E,""))</f>
        <v/>
      </c>
      <c r="N61" s="14">
        <f>IF(원생!$A59="","",SUMIFS(수납!$F:$F,수납!$C:$C,원생!$A59,수납!$D:$D,IF(원생!$G59="","",원생!$G59),수납!$B:$B,$B$1&amp;"-"&amp;TEXT(12,"00")&amp;"*",수납!$E:$E,"수강료")+SUMIFS(수납!$F:$F,수납!$C:$C,원생!$A59,수납!$D:$D,IF(원생!$G59="","",원생!$G59),수납!$B:$B,$B$1&amp;"-"&amp;TEXT(12,"00")&amp;"*",수납!$E:$E,""))</f>
        <v/>
      </c>
      <c r="O61">
        <f>IF(원생!$I59="","",원생!$I59)</f>
        <v/>
      </c>
      <c r="P61">
        <f>IF($A61="","",IF(AND($B61&gt;0,C61&lt;$B61,DATE($B$1,1,1)&lt;=TODAY(),OR($O61="",$O61&gt;=DATE($B$1,1,1)),OR(COUNTIF($C61:C61,"&gt;0")&gt;0,DATE($B$1,1,1)=DATE(YEAR(TODAY()),MONTH(TODAY()),1))),1,0))</f>
        <v/>
      </c>
      <c r="Q61">
        <f>IF($A61="","",IF(AND($B61&gt;0,D61&lt;$B61,DATE($B$1,2,1)&lt;=TODAY(),OR($O61="",$O61&gt;=DATE($B$1,2,1)),OR(COUNTIF($C61:D61,"&gt;0")&gt;0,DATE($B$1,2,1)=DATE(YEAR(TODAY()),MONTH(TODAY()),1))),1,0))</f>
        <v/>
      </c>
      <c r="R61">
        <f>IF($A61="","",IF(AND($B61&gt;0,E61&lt;$B61,DATE($B$1,3,1)&lt;=TODAY(),OR($O61="",$O61&gt;=DATE($B$1,3,1)),OR(COUNTIF($C61:E61,"&gt;0")&gt;0,DATE($B$1,3,1)=DATE(YEAR(TODAY()),MONTH(TODAY()),1))),1,0))</f>
        <v/>
      </c>
      <c r="S61">
        <f>IF($A61="","",IF(AND($B61&gt;0,F61&lt;$B61,DATE($B$1,4,1)&lt;=TODAY(),OR($O61="",$O61&gt;=DATE($B$1,4,1)),OR(COUNTIF($C61:F61,"&gt;0")&gt;0,DATE($B$1,4,1)=DATE(YEAR(TODAY()),MONTH(TODAY()),1))),1,0))</f>
        <v/>
      </c>
      <c r="T61">
        <f>IF($A61="","",IF(AND($B61&gt;0,G61&lt;$B61,DATE($B$1,5,1)&lt;=TODAY(),OR($O61="",$O61&gt;=DATE($B$1,5,1)),OR(COUNTIF($C61:G61,"&gt;0")&gt;0,DATE($B$1,5,1)=DATE(YEAR(TODAY()),MONTH(TODAY()),1))),1,0))</f>
        <v/>
      </c>
      <c r="U61">
        <f>IF($A61="","",IF(AND($B61&gt;0,H61&lt;$B61,DATE($B$1,6,1)&lt;=TODAY(),OR($O61="",$O61&gt;=DATE($B$1,6,1)),OR(COUNTIF($C61:H61,"&gt;0")&gt;0,DATE($B$1,6,1)=DATE(YEAR(TODAY()),MONTH(TODAY()),1))),1,0))</f>
        <v/>
      </c>
      <c r="V61">
        <f>IF($A61="","",IF(AND($B61&gt;0,I61&lt;$B61,DATE($B$1,7,1)&lt;=TODAY(),OR($O61="",$O61&gt;=DATE($B$1,7,1)),OR(COUNTIF($C61:I61,"&gt;0")&gt;0,DATE($B$1,7,1)=DATE(YEAR(TODAY()),MONTH(TODAY()),1))),1,0))</f>
        <v/>
      </c>
      <c r="W61">
        <f>IF($A61="","",IF(AND($B61&gt;0,J61&lt;$B61,DATE($B$1,8,1)&lt;=TODAY(),OR($O61="",$O61&gt;=DATE($B$1,8,1)),OR(COUNTIF($C61:J61,"&gt;0")&gt;0,DATE($B$1,8,1)=DATE(YEAR(TODAY()),MONTH(TODAY()),1))),1,0))</f>
        <v/>
      </c>
      <c r="X61">
        <f>IF($A61="","",IF(AND($B61&gt;0,K61&lt;$B61,DATE($B$1,9,1)&lt;=TODAY(),OR($O61="",$O61&gt;=DATE($B$1,9,1)),OR(COUNTIF($C61:K61,"&gt;0")&gt;0,DATE($B$1,9,1)=DATE(YEAR(TODAY()),MONTH(TODAY()),1))),1,0))</f>
        <v/>
      </c>
      <c r="Y61">
        <f>IF($A61="","",IF(AND($B61&gt;0,L61&lt;$B61,DATE($B$1,10,1)&lt;=TODAY(),OR($O61="",$O61&gt;=DATE($B$1,10,1)),OR(COUNTIF($C61:L61,"&gt;0")&gt;0,DATE($B$1,10,1)=DATE(YEAR(TODAY()),MONTH(TODAY()),1))),1,0))</f>
        <v/>
      </c>
      <c r="Z61">
        <f>IF($A61="","",IF(AND($B61&gt;0,M61&lt;$B61,DATE($B$1,11,1)&lt;=TODAY(),OR($O61="",$O61&gt;=DATE($B$1,11,1)),OR(COUNTIF($C61:M61,"&gt;0")&gt;0,DATE($B$1,11,1)=DATE(YEAR(TODAY()),MONTH(TODAY()),1))),1,0))</f>
        <v/>
      </c>
      <c r="AA61">
        <f>IF($A61="","",IF(AND($B61&gt;0,N61&lt;$B61,DATE($B$1,12,1)&lt;=TODAY(),OR($O61="",$O61&gt;=DATE($B$1,12,1)),OR(COUNTIF($C61:N61,"&gt;0")&gt;0,DATE($B$1,12,1)=DATE(YEAR(TODAY()),MONTH(TODAY()),1))),1,0))</f>
        <v/>
      </c>
    </row>
    <row r="62">
      <c r="A62" s="13">
        <f>IF(원생!$A60="","",원생!$A60&amp;IF(원생!$G60="",""," ("&amp;원생!$G60&amp;")"))</f>
        <v/>
      </c>
      <c r="B62" s="8">
        <f>IF(원생!$A60="","",원생!$F60)</f>
        <v/>
      </c>
      <c r="C62" s="14">
        <f>IF(원생!$A60="","",SUMIFS(수납!$F:$F,수납!$C:$C,원생!$A60,수납!$D:$D,IF(원생!$G60="","",원생!$G60),수납!$B:$B,$B$1&amp;"-"&amp;TEXT(1,"00")&amp;"*",수납!$E:$E,"수강료")+SUMIFS(수납!$F:$F,수납!$C:$C,원생!$A60,수납!$D:$D,IF(원생!$G60="","",원생!$G60),수납!$B:$B,$B$1&amp;"-"&amp;TEXT(1,"00")&amp;"*",수납!$E:$E,""))</f>
        <v/>
      </c>
      <c r="D62" s="14">
        <f>IF(원생!$A60="","",SUMIFS(수납!$F:$F,수납!$C:$C,원생!$A60,수납!$D:$D,IF(원생!$G60="","",원생!$G60),수납!$B:$B,$B$1&amp;"-"&amp;TEXT(2,"00")&amp;"*",수납!$E:$E,"수강료")+SUMIFS(수납!$F:$F,수납!$C:$C,원생!$A60,수납!$D:$D,IF(원생!$G60="","",원생!$G60),수납!$B:$B,$B$1&amp;"-"&amp;TEXT(2,"00")&amp;"*",수납!$E:$E,""))</f>
        <v/>
      </c>
      <c r="E62" s="14">
        <f>IF(원생!$A60="","",SUMIFS(수납!$F:$F,수납!$C:$C,원생!$A60,수납!$D:$D,IF(원생!$G60="","",원생!$G60),수납!$B:$B,$B$1&amp;"-"&amp;TEXT(3,"00")&amp;"*",수납!$E:$E,"수강료")+SUMIFS(수납!$F:$F,수납!$C:$C,원생!$A60,수납!$D:$D,IF(원생!$G60="","",원생!$G60),수납!$B:$B,$B$1&amp;"-"&amp;TEXT(3,"00")&amp;"*",수납!$E:$E,""))</f>
        <v/>
      </c>
      <c r="F62" s="14">
        <f>IF(원생!$A60="","",SUMIFS(수납!$F:$F,수납!$C:$C,원생!$A60,수납!$D:$D,IF(원생!$G60="","",원생!$G60),수납!$B:$B,$B$1&amp;"-"&amp;TEXT(4,"00")&amp;"*",수납!$E:$E,"수강료")+SUMIFS(수납!$F:$F,수납!$C:$C,원생!$A60,수납!$D:$D,IF(원생!$G60="","",원생!$G60),수납!$B:$B,$B$1&amp;"-"&amp;TEXT(4,"00")&amp;"*",수납!$E:$E,""))</f>
        <v/>
      </c>
      <c r="G62" s="14">
        <f>IF(원생!$A60="","",SUMIFS(수납!$F:$F,수납!$C:$C,원생!$A60,수납!$D:$D,IF(원생!$G60="","",원생!$G60),수납!$B:$B,$B$1&amp;"-"&amp;TEXT(5,"00")&amp;"*",수납!$E:$E,"수강료")+SUMIFS(수납!$F:$F,수납!$C:$C,원생!$A60,수납!$D:$D,IF(원생!$G60="","",원생!$G60),수납!$B:$B,$B$1&amp;"-"&amp;TEXT(5,"00")&amp;"*",수납!$E:$E,""))</f>
        <v/>
      </c>
      <c r="H62" s="14">
        <f>IF(원생!$A60="","",SUMIFS(수납!$F:$F,수납!$C:$C,원생!$A60,수납!$D:$D,IF(원생!$G60="","",원생!$G60),수납!$B:$B,$B$1&amp;"-"&amp;TEXT(6,"00")&amp;"*",수납!$E:$E,"수강료")+SUMIFS(수납!$F:$F,수납!$C:$C,원생!$A60,수납!$D:$D,IF(원생!$G60="","",원생!$G60),수납!$B:$B,$B$1&amp;"-"&amp;TEXT(6,"00")&amp;"*",수납!$E:$E,""))</f>
        <v/>
      </c>
      <c r="I62" s="14">
        <f>IF(원생!$A60="","",SUMIFS(수납!$F:$F,수납!$C:$C,원생!$A60,수납!$D:$D,IF(원생!$G60="","",원생!$G60),수납!$B:$B,$B$1&amp;"-"&amp;TEXT(7,"00")&amp;"*",수납!$E:$E,"수강료")+SUMIFS(수납!$F:$F,수납!$C:$C,원생!$A60,수납!$D:$D,IF(원생!$G60="","",원생!$G60),수납!$B:$B,$B$1&amp;"-"&amp;TEXT(7,"00")&amp;"*",수납!$E:$E,""))</f>
        <v/>
      </c>
      <c r="J62" s="14">
        <f>IF(원생!$A60="","",SUMIFS(수납!$F:$F,수납!$C:$C,원생!$A60,수납!$D:$D,IF(원생!$G60="","",원생!$G60),수납!$B:$B,$B$1&amp;"-"&amp;TEXT(8,"00")&amp;"*",수납!$E:$E,"수강료")+SUMIFS(수납!$F:$F,수납!$C:$C,원생!$A60,수납!$D:$D,IF(원생!$G60="","",원생!$G60),수납!$B:$B,$B$1&amp;"-"&amp;TEXT(8,"00")&amp;"*",수납!$E:$E,""))</f>
        <v/>
      </c>
      <c r="K62" s="14">
        <f>IF(원생!$A60="","",SUMIFS(수납!$F:$F,수납!$C:$C,원생!$A60,수납!$D:$D,IF(원생!$G60="","",원생!$G60),수납!$B:$B,$B$1&amp;"-"&amp;TEXT(9,"00")&amp;"*",수납!$E:$E,"수강료")+SUMIFS(수납!$F:$F,수납!$C:$C,원생!$A60,수납!$D:$D,IF(원생!$G60="","",원생!$G60),수납!$B:$B,$B$1&amp;"-"&amp;TEXT(9,"00")&amp;"*",수납!$E:$E,""))</f>
        <v/>
      </c>
      <c r="L62" s="14">
        <f>IF(원생!$A60="","",SUMIFS(수납!$F:$F,수납!$C:$C,원생!$A60,수납!$D:$D,IF(원생!$G60="","",원생!$G60),수납!$B:$B,$B$1&amp;"-"&amp;TEXT(10,"00")&amp;"*",수납!$E:$E,"수강료")+SUMIFS(수납!$F:$F,수납!$C:$C,원생!$A60,수납!$D:$D,IF(원생!$G60="","",원생!$G60),수납!$B:$B,$B$1&amp;"-"&amp;TEXT(10,"00")&amp;"*",수납!$E:$E,""))</f>
        <v/>
      </c>
      <c r="M62" s="14">
        <f>IF(원생!$A60="","",SUMIFS(수납!$F:$F,수납!$C:$C,원생!$A60,수납!$D:$D,IF(원생!$G60="","",원생!$G60),수납!$B:$B,$B$1&amp;"-"&amp;TEXT(11,"00")&amp;"*",수납!$E:$E,"수강료")+SUMIFS(수납!$F:$F,수납!$C:$C,원생!$A60,수납!$D:$D,IF(원생!$G60="","",원생!$G60),수납!$B:$B,$B$1&amp;"-"&amp;TEXT(11,"00")&amp;"*",수납!$E:$E,""))</f>
        <v/>
      </c>
      <c r="N62" s="14">
        <f>IF(원생!$A60="","",SUMIFS(수납!$F:$F,수납!$C:$C,원생!$A60,수납!$D:$D,IF(원생!$G60="","",원생!$G60),수납!$B:$B,$B$1&amp;"-"&amp;TEXT(12,"00")&amp;"*",수납!$E:$E,"수강료")+SUMIFS(수납!$F:$F,수납!$C:$C,원생!$A60,수납!$D:$D,IF(원생!$G60="","",원생!$G60),수납!$B:$B,$B$1&amp;"-"&amp;TEXT(12,"00")&amp;"*",수납!$E:$E,""))</f>
        <v/>
      </c>
      <c r="O62">
        <f>IF(원생!$I60="","",원생!$I60)</f>
        <v/>
      </c>
      <c r="P62">
        <f>IF($A62="","",IF(AND($B62&gt;0,C62&lt;$B62,DATE($B$1,1,1)&lt;=TODAY(),OR($O62="",$O62&gt;=DATE($B$1,1,1)),OR(COUNTIF($C62:C62,"&gt;0")&gt;0,DATE($B$1,1,1)=DATE(YEAR(TODAY()),MONTH(TODAY()),1))),1,0))</f>
        <v/>
      </c>
      <c r="Q62">
        <f>IF($A62="","",IF(AND($B62&gt;0,D62&lt;$B62,DATE($B$1,2,1)&lt;=TODAY(),OR($O62="",$O62&gt;=DATE($B$1,2,1)),OR(COUNTIF($C62:D62,"&gt;0")&gt;0,DATE($B$1,2,1)=DATE(YEAR(TODAY()),MONTH(TODAY()),1))),1,0))</f>
        <v/>
      </c>
      <c r="R62">
        <f>IF($A62="","",IF(AND($B62&gt;0,E62&lt;$B62,DATE($B$1,3,1)&lt;=TODAY(),OR($O62="",$O62&gt;=DATE($B$1,3,1)),OR(COUNTIF($C62:E62,"&gt;0")&gt;0,DATE($B$1,3,1)=DATE(YEAR(TODAY()),MONTH(TODAY()),1))),1,0))</f>
        <v/>
      </c>
      <c r="S62">
        <f>IF($A62="","",IF(AND($B62&gt;0,F62&lt;$B62,DATE($B$1,4,1)&lt;=TODAY(),OR($O62="",$O62&gt;=DATE($B$1,4,1)),OR(COUNTIF($C62:F62,"&gt;0")&gt;0,DATE($B$1,4,1)=DATE(YEAR(TODAY()),MONTH(TODAY()),1))),1,0))</f>
        <v/>
      </c>
      <c r="T62">
        <f>IF($A62="","",IF(AND($B62&gt;0,G62&lt;$B62,DATE($B$1,5,1)&lt;=TODAY(),OR($O62="",$O62&gt;=DATE($B$1,5,1)),OR(COUNTIF($C62:G62,"&gt;0")&gt;0,DATE($B$1,5,1)=DATE(YEAR(TODAY()),MONTH(TODAY()),1))),1,0))</f>
        <v/>
      </c>
      <c r="U62">
        <f>IF($A62="","",IF(AND($B62&gt;0,H62&lt;$B62,DATE($B$1,6,1)&lt;=TODAY(),OR($O62="",$O62&gt;=DATE($B$1,6,1)),OR(COUNTIF($C62:H62,"&gt;0")&gt;0,DATE($B$1,6,1)=DATE(YEAR(TODAY()),MONTH(TODAY()),1))),1,0))</f>
        <v/>
      </c>
      <c r="V62">
        <f>IF($A62="","",IF(AND($B62&gt;0,I62&lt;$B62,DATE($B$1,7,1)&lt;=TODAY(),OR($O62="",$O62&gt;=DATE($B$1,7,1)),OR(COUNTIF($C62:I62,"&gt;0")&gt;0,DATE($B$1,7,1)=DATE(YEAR(TODAY()),MONTH(TODAY()),1))),1,0))</f>
        <v/>
      </c>
      <c r="W62">
        <f>IF($A62="","",IF(AND($B62&gt;0,J62&lt;$B62,DATE($B$1,8,1)&lt;=TODAY(),OR($O62="",$O62&gt;=DATE($B$1,8,1)),OR(COUNTIF($C62:J62,"&gt;0")&gt;0,DATE($B$1,8,1)=DATE(YEAR(TODAY()),MONTH(TODAY()),1))),1,0))</f>
        <v/>
      </c>
      <c r="X62">
        <f>IF($A62="","",IF(AND($B62&gt;0,K62&lt;$B62,DATE($B$1,9,1)&lt;=TODAY(),OR($O62="",$O62&gt;=DATE($B$1,9,1)),OR(COUNTIF($C62:K62,"&gt;0")&gt;0,DATE($B$1,9,1)=DATE(YEAR(TODAY()),MONTH(TODAY()),1))),1,0))</f>
        <v/>
      </c>
      <c r="Y62">
        <f>IF($A62="","",IF(AND($B62&gt;0,L62&lt;$B62,DATE($B$1,10,1)&lt;=TODAY(),OR($O62="",$O62&gt;=DATE($B$1,10,1)),OR(COUNTIF($C62:L62,"&gt;0")&gt;0,DATE($B$1,10,1)=DATE(YEAR(TODAY()),MONTH(TODAY()),1))),1,0))</f>
        <v/>
      </c>
      <c r="Z62">
        <f>IF($A62="","",IF(AND($B62&gt;0,M62&lt;$B62,DATE($B$1,11,1)&lt;=TODAY(),OR($O62="",$O62&gt;=DATE($B$1,11,1)),OR(COUNTIF($C62:M62,"&gt;0")&gt;0,DATE($B$1,11,1)=DATE(YEAR(TODAY()),MONTH(TODAY()),1))),1,0))</f>
        <v/>
      </c>
      <c r="AA62">
        <f>IF($A62="","",IF(AND($B62&gt;0,N62&lt;$B62,DATE($B$1,12,1)&lt;=TODAY(),OR($O62="",$O62&gt;=DATE($B$1,12,1)),OR(COUNTIF($C62:N62,"&gt;0")&gt;0,DATE($B$1,12,1)=DATE(YEAR(TODAY()),MONTH(TODAY()),1))),1,0))</f>
        <v/>
      </c>
    </row>
    <row r="63">
      <c r="A63" s="13">
        <f>IF(원생!$A61="","",원생!$A61&amp;IF(원생!$G61="",""," ("&amp;원생!$G61&amp;")"))</f>
        <v/>
      </c>
      <c r="B63" s="8">
        <f>IF(원생!$A61="","",원생!$F61)</f>
        <v/>
      </c>
      <c r="C63" s="14">
        <f>IF(원생!$A61="","",SUMIFS(수납!$F:$F,수납!$C:$C,원생!$A61,수납!$D:$D,IF(원생!$G61="","",원생!$G61),수납!$B:$B,$B$1&amp;"-"&amp;TEXT(1,"00")&amp;"*",수납!$E:$E,"수강료")+SUMIFS(수납!$F:$F,수납!$C:$C,원생!$A61,수납!$D:$D,IF(원생!$G61="","",원생!$G61),수납!$B:$B,$B$1&amp;"-"&amp;TEXT(1,"00")&amp;"*",수납!$E:$E,""))</f>
        <v/>
      </c>
      <c r="D63" s="14">
        <f>IF(원생!$A61="","",SUMIFS(수납!$F:$F,수납!$C:$C,원생!$A61,수납!$D:$D,IF(원생!$G61="","",원생!$G61),수납!$B:$B,$B$1&amp;"-"&amp;TEXT(2,"00")&amp;"*",수납!$E:$E,"수강료")+SUMIFS(수납!$F:$F,수납!$C:$C,원생!$A61,수납!$D:$D,IF(원생!$G61="","",원생!$G61),수납!$B:$B,$B$1&amp;"-"&amp;TEXT(2,"00")&amp;"*",수납!$E:$E,""))</f>
        <v/>
      </c>
      <c r="E63" s="14">
        <f>IF(원생!$A61="","",SUMIFS(수납!$F:$F,수납!$C:$C,원생!$A61,수납!$D:$D,IF(원생!$G61="","",원생!$G61),수납!$B:$B,$B$1&amp;"-"&amp;TEXT(3,"00")&amp;"*",수납!$E:$E,"수강료")+SUMIFS(수납!$F:$F,수납!$C:$C,원생!$A61,수납!$D:$D,IF(원생!$G61="","",원생!$G61),수납!$B:$B,$B$1&amp;"-"&amp;TEXT(3,"00")&amp;"*",수납!$E:$E,""))</f>
        <v/>
      </c>
      <c r="F63" s="14">
        <f>IF(원생!$A61="","",SUMIFS(수납!$F:$F,수납!$C:$C,원생!$A61,수납!$D:$D,IF(원생!$G61="","",원생!$G61),수납!$B:$B,$B$1&amp;"-"&amp;TEXT(4,"00")&amp;"*",수납!$E:$E,"수강료")+SUMIFS(수납!$F:$F,수납!$C:$C,원생!$A61,수납!$D:$D,IF(원생!$G61="","",원생!$G61),수납!$B:$B,$B$1&amp;"-"&amp;TEXT(4,"00")&amp;"*",수납!$E:$E,""))</f>
        <v/>
      </c>
      <c r="G63" s="14">
        <f>IF(원생!$A61="","",SUMIFS(수납!$F:$F,수납!$C:$C,원생!$A61,수납!$D:$D,IF(원생!$G61="","",원생!$G61),수납!$B:$B,$B$1&amp;"-"&amp;TEXT(5,"00")&amp;"*",수납!$E:$E,"수강료")+SUMIFS(수납!$F:$F,수납!$C:$C,원생!$A61,수납!$D:$D,IF(원생!$G61="","",원생!$G61),수납!$B:$B,$B$1&amp;"-"&amp;TEXT(5,"00")&amp;"*",수납!$E:$E,""))</f>
        <v/>
      </c>
      <c r="H63" s="14">
        <f>IF(원생!$A61="","",SUMIFS(수납!$F:$F,수납!$C:$C,원생!$A61,수납!$D:$D,IF(원생!$G61="","",원생!$G61),수납!$B:$B,$B$1&amp;"-"&amp;TEXT(6,"00")&amp;"*",수납!$E:$E,"수강료")+SUMIFS(수납!$F:$F,수납!$C:$C,원생!$A61,수납!$D:$D,IF(원생!$G61="","",원생!$G61),수납!$B:$B,$B$1&amp;"-"&amp;TEXT(6,"00")&amp;"*",수납!$E:$E,""))</f>
        <v/>
      </c>
      <c r="I63" s="14">
        <f>IF(원생!$A61="","",SUMIFS(수납!$F:$F,수납!$C:$C,원생!$A61,수납!$D:$D,IF(원생!$G61="","",원생!$G61),수납!$B:$B,$B$1&amp;"-"&amp;TEXT(7,"00")&amp;"*",수납!$E:$E,"수강료")+SUMIFS(수납!$F:$F,수납!$C:$C,원생!$A61,수납!$D:$D,IF(원생!$G61="","",원생!$G61),수납!$B:$B,$B$1&amp;"-"&amp;TEXT(7,"00")&amp;"*",수납!$E:$E,""))</f>
        <v/>
      </c>
      <c r="J63" s="14">
        <f>IF(원생!$A61="","",SUMIFS(수납!$F:$F,수납!$C:$C,원생!$A61,수납!$D:$D,IF(원생!$G61="","",원생!$G61),수납!$B:$B,$B$1&amp;"-"&amp;TEXT(8,"00")&amp;"*",수납!$E:$E,"수강료")+SUMIFS(수납!$F:$F,수납!$C:$C,원생!$A61,수납!$D:$D,IF(원생!$G61="","",원생!$G61),수납!$B:$B,$B$1&amp;"-"&amp;TEXT(8,"00")&amp;"*",수납!$E:$E,""))</f>
        <v/>
      </c>
      <c r="K63" s="14">
        <f>IF(원생!$A61="","",SUMIFS(수납!$F:$F,수납!$C:$C,원생!$A61,수납!$D:$D,IF(원생!$G61="","",원생!$G61),수납!$B:$B,$B$1&amp;"-"&amp;TEXT(9,"00")&amp;"*",수납!$E:$E,"수강료")+SUMIFS(수납!$F:$F,수납!$C:$C,원생!$A61,수납!$D:$D,IF(원생!$G61="","",원생!$G61),수납!$B:$B,$B$1&amp;"-"&amp;TEXT(9,"00")&amp;"*",수납!$E:$E,""))</f>
        <v/>
      </c>
      <c r="L63" s="14">
        <f>IF(원생!$A61="","",SUMIFS(수납!$F:$F,수납!$C:$C,원생!$A61,수납!$D:$D,IF(원생!$G61="","",원생!$G61),수납!$B:$B,$B$1&amp;"-"&amp;TEXT(10,"00")&amp;"*",수납!$E:$E,"수강료")+SUMIFS(수납!$F:$F,수납!$C:$C,원생!$A61,수납!$D:$D,IF(원생!$G61="","",원생!$G61),수납!$B:$B,$B$1&amp;"-"&amp;TEXT(10,"00")&amp;"*",수납!$E:$E,""))</f>
        <v/>
      </c>
      <c r="M63" s="14">
        <f>IF(원생!$A61="","",SUMIFS(수납!$F:$F,수납!$C:$C,원생!$A61,수납!$D:$D,IF(원생!$G61="","",원생!$G61),수납!$B:$B,$B$1&amp;"-"&amp;TEXT(11,"00")&amp;"*",수납!$E:$E,"수강료")+SUMIFS(수납!$F:$F,수납!$C:$C,원생!$A61,수납!$D:$D,IF(원생!$G61="","",원생!$G61),수납!$B:$B,$B$1&amp;"-"&amp;TEXT(11,"00")&amp;"*",수납!$E:$E,""))</f>
        <v/>
      </c>
      <c r="N63" s="14">
        <f>IF(원생!$A61="","",SUMIFS(수납!$F:$F,수납!$C:$C,원생!$A61,수납!$D:$D,IF(원생!$G61="","",원생!$G61),수납!$B:$B,$B$1&amp;"-"&amp;TEXT(12,"00")&amp;"*",수납!$E:$E,"수강료")+SUMIFS(수납!$F:$F,수납!$C:$C,원생!$A61,수납!$D:$D,IF(원생!$G61="","",원생!$G61),수납!$B:$B,$B$1&amp;"-"&amp;TEXT(12,"00")&amp;"*",수납!$E:$E,""))</f>
        <v/>
      </c>
      <c r="O63">
        <f>IF(원생!$I61="","",원생!$I61)</f>
        <v/>
      </c>
      <c r="P63">
        <f>IF($A63="","",IF(AND($B63&gt;0,C63&lt;$B63,DATE($B$1,1,1)&lt;=TODAY(),OR($O63="",$O63&gt;=DATE($B$1,1,1)),OR(COUNTIF($C63:C63,"&gt;0")&gt;0,DATE($B$1,1,1)=DATE(YEAR(TODAY()),MONTH(TODAY()),1))),1,0))</f>
        <v/>
      </c>
      <c r="Q63">
        <f>IF($A63="","",IF(AND($B63&gt;0,D63&lt;$B63,DATE($B$1,2,1)&lt;=TODAY(),OR($O63="",$O63&gt;=DATE($B$1,2,1)),OR(COUNTIF($C63:D63,"&gt;0")&gt;0,DATE($B$1,2,1)=DATE(YEAR(TODAY()),MONTH(TODAY()),1))),1,0))</f>
        <v/>
      </c>
      <c r="R63">
        <f>IF($A63="","",IF(AND($B63&gt;0,E63&lt;$B63,DATE($B$1,3,1)&lt;=TODAY(),OR($O63="",$O63&gt;=DATE($B$1,3,1)),OR(COUNTIF($C63:E63,"&gt;0")&gt;0,DATE($B$1,3,1)=DATE(YEAR(TODAY()),MONTH(TODAY()),1))),1,0))</f>
        <v/>
      </c>
      <c r="S63">
        <f>IF($A63="","",IF(AND($B63&gt;0,F63&lt;$B63,DATE($B$1,4,1)&lt;=TODAY(),OR($O63="",$O63&gt;=DATE($B$1,4,1)),OR(COUNTIF($C63:F63,"&gt;0")&gt;0,DATE($B$1,4,1)=DATE(YEAR(TODAY()),MONTH(TODAY()),1))),1,0))</f>
        <v/>
      </c>
      <c r="T63">
        <f>IF($A63="","",IF(AND($B63&gt;0,G63&lt;$B63,DATE($B$1,5,1)&lt;=TODAY(),OR($O63="",$O63&gt;=DATE($B$1,5,1)),OR(COUNTIF($C63:G63,"&gt;0")&gt;0,DATE($B$1,5,1)=DATE(YEAR(TODAY()),MONTH(TODAY()),1))),1,0))</f>
        <v/>
      </c>
      <c r="U63">
        <f>IF($A63="","",IF(AND($B63&gt;0,H63&lt;$B63,DATE($B$1,6,1)&lt;=TODAY(),OR($O63="",$O63&gt;=DATE($B$1,6,1)),OR(COUNTIF($C63:H63,"&gt;0")&gt;0,DATE($B$1,6,1)=DATE(YEAR(TODAY()),MONTH(TODAY()),1))),1,0))</f>
        <v/>
      </c>
      <c r="V63">
        <f>IF($A63="","",IF(AND($B63&gt;0,I63&lt;$B63,DATE($B$1,7,1)&lt;=TODAY(),OR($O63="",$O63&gt;=DATE($B$1,7,1)),OR(COUNTIF($C63:I63,"&gt;0")&gt;0,DATE($B$1,7,1)=DATE(YEAR(TODAY()),MONTH(TODAY()),1))),1,0))</f>
        <v/>
      </c>
      <c r="W63">
        <f>IF($A63="","",IF(AND($B63&gt;0,J63&lt;$B63,DATE($B$1,8,1)&lt;=TODAY(),OR($O63="",$O63&gt;=DATE($B$1,8,1)),OR(COUNTIF($C63:J63,"&gt;0")&gt;0,DATE($B$1,8,1)=DATE(YEAR(TODAY()),MONTH(TODAY()),1))),1,0))</f>
        <v/>
      </c>
      <c r="X63">
        <f>IF($A63="","",IF(AND($B63&gt;0,K63&lt;$B63,DATE($B$1,9,1)&lt;=TODAY(),OR($O63="",$O63&gt;=DATE($B$1,9,1)),OR(COUNTIF($C63:K63,"&gt;0")&gt;0,DATE($B$1,9,1)=DATE(YEAR(TODAY()),MONTH(TODAY()),1))),1,0))</f>
        <v/>
      </c>
      <c r="Y63">
        <f>IF($A63="","",IF(AND($B63&gt;0,L63&lt;$B63,DATE($B$1,10,1)&lt;=TODAY(),OR($O63="",$O63&gt;=DATE($B$1,10,1)),OR(COUNTIF($C63:L63,"&gt;0")&gt;0,DATE($B$1,10,1)=DATE(YEAR(TODAY()),MONTH(TODAY()),1))),1,0))</f>
        <v/>
      </c>
      <c r="Z63">
        <f>IF($A63="","",IF(AND($B63&gt;0,M63&lt;$B63,DATE($B$1,11,1)&lt;=TODAY(),OR($O63="",$O63&gt;=DATE($B$1,11,1)),OR(COUNTIF($C63:M63,"&gt;0")&gt;0,DATE($B$1,11,1)=DATE(YEAR(TODAY()),MONTH(TODAY()),1))),1,0))</f>
        <v/>
      </c>
      <c r="AA63">
        <f>IF($A63="","",IF(AND($B63&gt;0,N63&lt;$B63,DATE($B$1,12,1)&lt;=TODAY(),OR($O63="",$O63&gt;=DATE($B$1,12,1)),OR(COUNTIF($C63:N63,"&gt;0")&gt;0,DATE($B$1,12,1)=DATE(YEAR(TODAY()),MONTH(TODAY()),1))),1,0))</f>
        <v/>
      </c>
    </row>
    <row r="64">
      <c r="A64" s="13">
        <f>IF(원생!$A62="","",원생!$A62&amp;IF(원생!$G62="",""," ("&amp;원생!$G62&amp;")"))</f>
        <v/>
      </c>
      <c r="B64" s="8">
        <f>IF(원생!$A62="","",원생!$F62)</f>
        <v/>
      </c>
      <c r="C64" s="14">
        <f>IF(원생!$A62="","",SUMIFS(수납!$F:$F,수납!$C:$C,원생!$A62,수납!$D:$D,IF(원생!$G62="","",원생!$G62),수납!$B:$B,$B$1&amp;"-"&amp;TEXT(1,"00")&amp;"*",수납!$E:$E,"수강료")+SUMIFS(수납!$F:$F,수납!$C:$C,원생!$A62,수납!$D:$D,IF(원생!$G62="","",원생!$G62),수납!$B:$B,$B$1&amp;"-"&amp;TEXT(1,"00")&amp;"*",수납!$E:$E,""))</f>
        <v/>
      </c>
      <c r="D64" s="14">
        <f>IF(원생!$A62="","",SUMIFS(수납!$F:$F,수납!$C:$C,원생!$A62,수납!$D:$D,IF(원생!$G62="","",원생!$G62),수납!$B:$B,$B$1&amp;"-"&amp;TEXT(2,"00")&amp;"*",수납!$E:$E,"수강료")+SUMIFS(수납!$F:$F,수납!$C:$C,원생!$A62,수납!$D:$D,IF(원생!$G62="","",원생!$G62),수납!$B:$B,$B$1&amp;"-"&amp;TEXT(2,"00")&amp;"*",수납!$E:$E,""))</f>
        <v/>
      </c>
      <c r="E64" s="14">
        <f>IF(원생!$A62="","",SUMIFS(수납!$F:$F,수납!$C:$C,원생!$A62,수납!$D:$D,IF(원생!$G62="","",원생!$G62),수납!$B:$B,$B$1&amp;"-"&amp;TEXT(3,"00")&amp;"*",수납!$E:$E,"수강료")+SUMIFS(수납!$F:$F,수납!$C:$C,원생!$A62,수납!$D:$D,IF(원생!$G62="","",원생!$G62),수납!$B:$B,$B$1&amp;"-"&amp;TEXT(3,"00")&amp;"*",수납!$E:$E,""))</f>
        <v/>
      </c>
      <c r="F64" s="14">
        <f>IF(원생!$A62="","",SUMIFS(수납!$F:$F,수납!$C:$C,원생!$A62,수납!$D:$D,IF(원생!$G62="","",원생!$G62),수납!$B:$B,$B$1&amp;"-"&amp;TEXT(4,"00")&amp;"*",수납!$E:$E,"수강료")+SUMIFS(수납!$F:$F,수납!$C:$C,원생!$A62,수납!$D:$D,IF(원생!$G62="","",원생!$G62),수납!$B:$B,$B$1&amp;"-"&amp;TEXT(4,"00")&amp;"*",수납!$E:$E,""))</f>
        <v/>
      </c>
      <c r="G64" s="14">
        <f>IF(원생!$A62="","",SUMIFS(수납!$F:$F,수납!$C:$C,원생!$A62,수납!$D:$D,IF(원생!$G62="","",원생!$G62),수납!$B:$B,$B$1&amp;"-"&amp;TEXT(5,"00")&amp;"*",수납!$E:$E,"수강료")+SUMIFS(수납!$F:$F,수납!$C:$C,원생!$A62,수납!$D:$D,IF(원생!$G62="","",원생!$G62),수납!$B:$B,$B$1&amp;"-"&amp;TEXT(5,"00")&amp;"*",수납!$E:$E,""))</f>
        <v/>
      </c>
      <c r="H64" s="14">
        <f>IF(원생!$A62="","",SUMIFS(수납!$F:$F,수납!$C:$C,원생!$A62,수납!$D:$D,IF(원생!$G62="","",원생!$G62),수납!$B:$B,$B$1&amp;"-"&amp;TEXT(6,"00")&amp;"*",수납!$E:$E,"수강료")+SUMIFS(수납!$F:$F,수납!$C:$C,원생!$A62,수납!$D:$D,IF(원생!$G62="","",원생!$G62),수납!$B:$B,$B$1&amp;"-"&amp;TEXT(6,"00")&amp;"*",수납!$E:$E,""))</f>
        <v/>
      </c>
      <c r="I64" s="14">
        <f>IF(원생!$A62="","",SUMIFS(수납!$F:$F,수납!$C:$C,원생!$A62,수납!$D:$D,IF(원생!$G62="","",원생!$G62),수납!$B:$B,$B$1&amp;"-"&amp;TEXT(7,"00")&amp;"*",수납!$E:$E,"수강료")+SUMIFS(수납!$F:$F,수납!$C:$C,원생!$A62,수납!$D:$D,IF(원생!$G62="","",원생!$G62),수납!$B:$B,$B$1&amp;"-"&amp;TEXT(7,"00")&amp;"*",수납!$E:$E,""))</f>
        <v/>
      </c>
      <c r="J64" s="14">
        <f>IF(원생!$A62="","",SUMIFS(수납!$F:$F,수납!$C:$C,원생!$A62,수납!$D:$D,IF(원생!$G62="","",원생!$G62),수납!$B:$B,$B$1&amp;"-"&amp;TEXT(8,"00")&amp;"*",수납!$E:$E,"수강료")+SUMIFS(수납!$F:$F,수납!$C:$C,원생!$A62,수납!$D:$D,IF(원생!$G62="","",원생!$G62),수납!$B:$B,$B$1&amp;"-"&amp;TEXT(8,"00")&amp;"*",수납!$E:$E,""))</f>
        <v/>
      </c>
      <c r="K64" s="14">
        <f>IF(원생!$A62="","",SUMIFS(수납!$F:$F,수납!$C:$C,원생!$A62,수납!$D:$D,IF(원생!$G62="","",원생!$G62),수납!$B:$B,$B$1&amp;"-"&amp;TEXT(9,"00")&amp;"*",수납!$E:$E,"수강료")+SUMIFS(수납!$F:$F,수납!$C:$C,원생!$A62,수납!$D:$D,IF(원생!$G62="","",원생!$G62),수납!$B:$B,$B$1&amp;"-"&amp;TEXT(9,"00")&amp;"*",수납!$E:$E,""))</f>
        <v/>
      </c>
      <c r="L64" s="14">
        <f>IF(원생!$A62="","",SUMIFS(수납!$F:$F,수납!$C:$C,원생!$A62,수납!$D:$D,IF(원생!$G62="","",원생!$G62),수납!$B:$B,$B$1&amp;"-"&amp;TEXT(10,"00")&amp;"*",수납!$E:$E,"수강료")+SUMIFS(수납!$F:$F,수납!$C:$C,원생!$A62,수납!$D:$D,IF(원생!$G62="","",원생!$G62),수납!$B:$B,$B$1&amp;"-"&amp;TEXT(10,"00")&amp;"*",수납!$E:$E,""))</f>
        <v/>
      </c>
      <c r="M64" s="14">
        <f>IF(원생!$A62="","",SUMIFS(수납!$F:$F,수납!$C:$C,원생!$A62,수납!$D:$D,IF(원생!$G62="","",원생!$G62),수납!$B:$B,$B$1&amp;"-"&amp;TEXT(11,"00")&amp;"*",수납!$E:$E,"수강료")+SUMIFS(수납!$F:$F,수납!$C:$C,원생!$A62,수납!$D:$D,IF(원생!$G62="","",원생!$G62),수납!$B:$B,$B$1&amp;"-"&amp;TEXT(11,"00")&amp;"*",수납!$E:$E,""))</f>
        <v/>
      </c>
      <c r="N64" s="14">
        <f>IF(원생!$A62="","",SUMIFS(수납!$F:$F,수납!$C:$C,원생!$A62,수납!$D:$D,IF(원생!$G62="","",원생!$G62),수납!$B:$B,$B$1&amp;"-"&amp;TEXT(12,"00")&amp;"*",수납!$E:$E,"수강료")+SUMIFS(수납!$F:$F,수납!$C:$C,원생!$A62,수납!$D:$D,IF(원생!$G62="","",원생!$G62),수납!$B:$B,$B$1&amp;"-"&amp;TEXT(12,"00")&amp;"*",수납!$E:$E,""))</f>
        <v/>
      </c>
      <c r="O64">
        <f>IF(원생!$I62="","",원생!$I62)</f>
        <v/>
      </c>
      <c r="P64">
        <f>IF($A64="","",IF(AND($B64&gt;0,C64&lt;$B64,DATE($B$1,1,1)&lt;=TODAY(),OR($O64="",$O64&gt;=DATE($B$1,1,1)),OR(COUNTIF($C64:C64,"&gt;0")&gt;0,DATE($B$1,1,1)=DATE(YEAR(TODAY()),MONTH(TODAY()),1))),1,0))</f>
        <v/>
      </c>
      <c r="Q64">
        <f>IF($A64="","",IF(AND($B64&gt;0,D64&lt;$B64,DATE($B$1,2,1)&lt;=TODAY(),OR($O64="",$O64&gt;=DATE($B$1,2,1)),OR(COUNTIF($C64:D64,"&gt;0")&gt;0,DATE($B$1,2,1)=DATE(YEAR(TODAY()),MONTH(TODAY()),1))),1,0))</f>
        <v/>
      </c>
      <c r="R64">
        <f>IF($A64="","",IF(AND($B64&gt;0,E64&lt;$B64,DATE($B$1,3,1)&lt;=TODAY(),OR($O64="",$O64&gt;=DATE($B$1,3,1)),OR(COUNTIF($C64:E64,"&gt;0")&gt;0,DATE($B$1,3,1)=DATE(YEAR(TODAY()),MONTH(TODAY()),1))),1,0))</f>
        <v/>
      </c>
      <c r="S64">
        <f>IF($A64="","",IF(AND($B64&gt;0,F64&lt;$B64,DATE($B$1,4,1)&lt;=TODAY(),OR($O64="",$O64&gt;=DATE($B$1,4,1)),OR(COUNTIF($C64:F64,"&gt;0")&gt;0,DATE($B$1,4,1)=DATE(YEAR(TODAY()),MONTH(TODAY()),1))),1,0))</f>
        <v/>
      </c>
      <c r="T64">
        <f>IF($A64="","",IF(AND($B64&gt;0,G64&lt;$B64,DATE($B$1,5,1)&lt;=TODAY(),OR($O64="",$O64&gt;=DATE($B$1,5,1)),OR(COUNTIF($C64:G64,"&gt;0")&gt;0,DATE($B$1,5,1)=DATE(YEAR(TODAY()),MONTH(TODAY()),1))),1,0))</f>
        <v/>
      </c>
      <c r="U64">
        <f>IF($A64="","",IF(AND($B64&gt;0,H64&lt;$B64,DATE($B$1,6,1)&lt;=TODAY(),OR($O64="",$O64&gt;=DATE($B$1,6,1)),OR(COUNTIF($C64:H64,"&gt;0")&gt;0,DATE($B$1,6,1)=DATE(YEAR(TODAY()),MONTH(TODAY()),1))),1,0))</f>
        <v/>
      </c>
      <c r="V64">
        <f>IF($A64="","",IF(AND($B64&gt;0,I64&lt;$B64,DATE($B$1,7,1)&lt;=TODAY(),OR($O64="",$O64&gt;=DATE($B$1,7,1)),OR(COUNTIF($C64:I64,"&gt;0")&gt;0,DATE($B$1,7,1)=DATE(YEAR(TODAY()),MONTH(TODAY()),1))),1,0))</f>
        <v/>
      </c>
      <c r="W64">
        <f>IF($A64="","",IF(AND($B64&gt;0,J64&lt;$B64,DATE($B$1,8,1)&lt;=TODAY(),OR($O64="",$O64&gt;=DATE($B$1,8,1)),OR(COUNTIF($C64:J64,"&gt;0")&gt;0,DATE($B$1,8,1)=DATE(YEAR(TODAY()),MONTH(TODAY()),1))),1,0))</f>
        <v/>
      </c>
      <c r="X64">
        <f>IF($A64="","",IF(AND($B64&gt;0,K64&lt;$B64,DATE($B$1,9,1)&lt;=TODAY(),OR($O64="",$O64&gt;=DATE($B$1,9,1)),OR(COUNTIF($C64:K64,"&gt;0")&gt;0,DATE($B$1,9,1)=DATE(YEAR(TODAY()),MONTH(TODAY()),1))),1,0))</f>
        <v/>
      </c>
      <c r="Y64">
        <f>IF($A64="","",IF(AND($B64&gt;0,L64&lt;$B64,DATE($B$1,10,1)&lt;=TODAY(),OR($O64="",$O64&gt;=DATE($B$1,10,1)),OR(COUNTIF($C64:L64,"&gt;0")&gt;0,DATE($B$1,10,1)=DATE(YEAR(TODAY()),MONTH(TODAY()),1))),1,0))</f>
        <v/>
      </c>
      <c r="Z64">
        <f>IF($A64="","",IF(AND($B64&gt;0,M64&lt;$B64,DATE($B$1,11,1)&lt;=TODAY(),OR($O64="",$O64&gt;=DATE($B$1,11,1)),OR(COUNTIF($C64:M64,"&gt;0")&gt;0,DATE($B$1,11,1)=DATE(YEAR(TODAY()),MONTH(TODAY()),1))),1,0))</f>
        <v/>
      </c>
      <c r="AA64">
        <f>IF($A64="","",IF(AND($B64&gt;0,N64&lt;$B64,DATE($B$1,12,1)&lt;=TODAY(),OR($O64="",$O64&gt;=DATE($B$1,12,1)),OR(COUNTIF($C64:N64,"&gt;0")&gt;0,DATE($B$1,12,1)=DATE(YEAR(TODAY()),MONTH(TODAY()),1))),1,0))</f>
        <v/>
      </c>
    </row>
    <row r="65">
      <c r="A65" s="13">
        <f>IF(원생!$A63="","",원생!$A63&amp;IF(원생!$G63="",""," ("&amp;원생!$G63&amp;")"))</f>
        <v/>
      </c>
      <c r="B65" s="8">
        <f>IF(원생!$A63="","",원생!$F63)</f>
        <v/>
      </c>
      <c r="C65" s="14">
        <f>IF(원생!$A63="","",SUMIFS(수납!$F:$F,수납!$C:$C,원생!$A63,수납!$D:$D,IF(원생!$G63="","",원생!$G63),수납!$B:$B,$B$1&amp;"-"&amp;TEXT(1,"00")&amp;"*",수납!$E:$E,"수강료")+SUMIFS(수납!$F:$F,수납!$C:$C,원생!$A63,수납!$D:$D,IF(원생!$G63="","",원생!$G63),수납!$B:$B,$B$1&amp;"-"&amp;TEXT(1,"00")&amp;"*",수납!$E:$E,""))</f>
        <v/>
      </c>
      <c r="D65" s="14">
        <f>IF(원생!$A63="","",SUMIFS(수납!$F:$F,수납!$C:$C,원생!$A63,수납!$D:$D,IF(원생!$G63="","",원생!$G63),수납!$B:$B,$B$1&amp;"-"&amp;TEXT(2,"00")&amp;"*",수납!$E:$E,"수강료")+SUMIFS(수납!$F:$F,수납!$C:$C,원생!$A63,수납!$D:$D,IF(원생!$G63="","",원생!$G63),수납!$B:$B,$B$1&amp;"-"&amp;TEXT(2,"00")&amp;"*",수납!$E:$E,""))</f>
        <v/>
      </c>
      <c r="E65" s="14">
        <f>IF(원생!$A63="","",SUMIFS(수납!$F:$F,수납!$C:$C,원생!$A63,수납!$D:$D,IF(원생!$G63="","",원생!$G63),수납!$B:$B,$B$1&amp;"-"&amp;TEXT(3,"00")&amp;"*",수납!$E:$E,"수강료")+SUMIFS(수납!$F:$F,수납!$C:$C,원생!$A63,수납!$D:$D,IF(원생!$G63="","",원생!$G63),수납!$B:$B,$B$1&amp;"-"&amp;TEXT(3,"00")&amp;"*",수납!$E:$E,""))</f>
        <v/>
      </c>
      <c r="F65" s="14">
        <f>IF(원생!$A63="","",SUMIFS(수납!$F:$F,수납!$C:$C,원생!$A63,수납!$D:$D,IF(원생!$G63="","",원생!$G63),수납!$B:$B,$B$1&amp;"-"&amp;TEXT(4,"00")&amp;"*",수납!$E:$E,"수강료")+SUMIFS(수납!$F:$F,수납!$C:$C,원생!$A63,수납!$D:$D,IF(원생!$G63="","",원생!$G63),수납!$B:$B,$B$1&amp;"-"&amp;TEXT(4,"00")&amp;"*",수납!$E:$E,""))</f>
        <v/>
      </c>
      <c r="G65" s="14">
        <f>IF(원생!$A63="","",SUMIFS(수납!$F:$F,수납!$C:$C,원생!$A63,수납!$D:$D,IF(원생!$G63="","",원생!$G63),수납!$B:$B,$B$1&amp;"-"&amp;TEXT(5,"00")&amp;"*",수납!$E:$E,"수강료")+SUMIFS(수납!$F:$F,수납!$C:$C,원생!$A63,수납!$D:$D,IF(원생!$G63="","",원생!$G63),수납!$B:$B,$B$1&amp;"-"&amp;TEXT(5,"00")&amp;"*",수납!$E:$E,""))</f>
        <v/>
      </c>
      <c r="H65" s="14">
        <f>IF(원생!$A63="","",SUMIFS(수납!$F:$F,수납!$C:$C,원생!$A63,수납!$D:$D,IF(원생!$G63="","",원생!$G63),수납!$B:$B,$B$1&amp;"-"&amp;TEXT(6,"00")&amp;"*",수납!$E:$E,"수강료")+SUMIFS(수납!$F:$F,수납!$C:$C,원생!$A63,수납!$D:$D,IF(원생!$G63="","",원생!$G63),수납!$B:$B,$B$1&amp;"-"&amp;TEXT(6,"00")&amp;"*",수납!$E:$E,""))</f>
        <v/>
      </c>
      <c r="I65" s="14">
        <f>IF(원생!$A63="","",SUMIFS(수납!$F:$F,수납!$C:$C,원생!$A63,수납!$D:$D,IF(원생!$G63="","",원생!$G63),수납!$B:$B,$B$1&amp;"-"&amp;TEXT(7,"00")&amp;"*",수납!$E:$E,"수강료")+SUMIFS(수납!$F:$F,수납!$C:$C,원생!$A63,수납!$D:$D,IF(원생!$G63="","",원생!$G63),수납!$B:$B,$B$1&amp;"-"&amp;TEXT(7,"00")&amp;"*",수납!$E:$E,""))</f>
        <v/>
      </c>
      <c r="J65" s="14">
        <f>IF(원생!$A63="","",SUMIFS(수납!$F:$F,수납!$C:$C,원생!$A63,수납!$D:$D,IF(원생!$G63="","",원생!$G63),수납!$B:$B,$B$1&amp;"-"&amp;TEXT(8,"00")&amp;"*",수납!$E:$E,"수강료")+SUMIFS(수납!$F:$F,수납!$C:$C,원생!$A63,수납!$D:$D,IF(원생!$G63="","",원생!$G63),수납!$B:$B,$B$1&amp;"-"&amp;TEXT(8,"00")&amp;"*",수납!$E:$E,""))</f>
        <v/>
      </c>
      <c r="K65" s="14">
        <f>IF(원생!$A63="","",SUMIFS(수납!$F:$F,수납!$C:$C,원생!$A63,수납!$D:$D,IF(원생!$G63="","",원생!$G63),수납!$B:$B,$B$1&amp;"-"&amp;TEXT(9,"00")&amp;"*",수납!$E:$E,"수강료")+SUMIFS(수납!$F:$F,수납!$C:$C,원생!$A63,수납!$D:$D,IF(원생!$G63="","",원생!$G63),수납!$B:$B,$B$1&amp;"-"&amp;TEXT(9,"00")&amp;"*",수납!$E:$E,""))</f>
        <v/>
      </c>
      <c r="L65" s="14">
        <f>IF(원생!$A63="","",SUMIFS(수납!$F:$F,수납!$C:$C,원생!$A63,수납!$D:$D,IF(원생!$G63="","",원생!$G63),수납!$B:$B,$B$1&amp;"-"&amp;TEXT(10,"00")&amp;"*",수납!$E:$E,"수강료")+SUMIFS(수납!$F:$F,수납!$C:$C,원생!$A63,수납!$D:$D,IF(원생!$G63="","",원생!$G63),수납!$B:$B,$B$1&amp;"-"&amp;TEXT(10,"00")&amp;"*",수납!$E:$E,""))</f>
        <v/>
      </c>
      <c r="M65" s="14">
        <f>IF(원생!$A63="","",SUMIFS(수납!$F:$F,수납!$C:$C,원생!$A63,수납!$D:$D,IF(원생!$G63="","",원생!$G63),수납!$B:$B,$B$1&amp;"-"&amp;TEXT(11,"00")&amp;"*",수납!$E:$E,"수강료")+SUMIFS(수납!$F:$F,수납!$C:$C,원생!$A63,수납!$D:$D,IF(원생!$G63="","",원생!$G63),수납!$B:$B,$B$1&amp;"-"&amp;TEXT(11,"00")&amp;"*",수납!$E:$E,""))</f>
        <v/>
      </c>
      <c r="N65" s="14">
        <f>IF(원생!$A63="","",SUMIFS(수납!$F:$F,수납!$C:$C,원생!$A63,수납!$D:$D,IF(원생!$G63="","",원생!$G63),수납!$B:$B,$B$1&amp;"-"&amp;TEXT(12,"00")&amp;"*",수납!$E:$E,"수강료")+SUMIFS(수납!$F:$F,수납!$C:$C,원생!$A63,수납!$D:$D,IF(원생!$G63="","",원생!$G63),수납!$B:$B,$B$1&amp;"-"&amp;TEXT(12,"00")&amp;"*",수납!$E:$E,""))</f>
        <v/>
      </c>
      <c r="O65">
        <f>IF(원생!$I63="","",원생!$I63)</f>
        <v/>
      </c>
      <c r="P65">
        <f>IF($A65="","",IF(AND($B65&gt;0,C65&lt;$B65,DATE($B$1,1,1)&lt;=TODAY(),OR($O65="",$O65&gt;=DATE($B$1,1,1)),OR(COUNTIF($C65:C65,"&gt;0")&gt;0,DATE($B$1,1,1)=DATE(YEAR(TODAY()),MONTH(TODAY()),1))),1,0))</f>
        <v/>
      </c>
      <c r="Q65">
        <f>IF($A65="","",IF(AND($B65&gt;0,D65&lt;$B65,DATE($B$1,2,1)&lt;=TODAY(),OR($O65="",$O65&gt;=DATE($B$1,2,1)),OR(COUNTIF($C65:D65,"&gt;0")&gt;0,DATE($B$1,2,1)=DATE(YEAR(TODAY()),MONTH(TODAY()),1))),1,0))</f>
        <v/>
      </c>
      <c r="R65">
        <f>IF($A65="","",IF(AND($B65&gt;0,E65&lt;$B65,DATE($B$1,3,1)&lt;=TODAY(),OR($O65="",$O65&gt;=DATE($B$1,3,1)),OR(COUNTIF($C65:E65,"&gt;0")&gt;0,DATE($B$1,3,1)=DATE(YEAR(TODAY()),MONTH(TODAY()),1))),1,0))</f>
        <v/>
      </c>
      <c r="S65">
        <f>IF($A65="","",IF(AND($B65&gt;0,F65&lt;$B65,DATE($B$1,4,1)&lt;=TODAY(),OR($O65="",$O65&gt;=DATE($B$1,4,1)),OR(COUNTIF($C65:F65,"&gt;0")&gt;0,DATE($B$1,4,1)=DATE(YEAR(TODAY()),MONTH(TODAY()),1))),1,0))</f>
        <v/>
      </c>
      <c r="T65">
        <f>IF($A65="","",IF(AND($B65&gt;0,G65&lt;$B65,DATE($B$1,5,1)&lt;=TODAY(),OR($O65="",$O65&gt;=DATE($B$1,5,1)),OR(COUNTIF($C65:G65,"&gt;0")&gt;0,DATE($B$1,5,1)=DATE(YEAR(TODAY()),MONTH(TODAY()),1))),1,0))</f>
        <v/>
      </c>
      <c r="U65">
        <f>IF($A65="","",IF(AND($B65&gt;0,H65&lt;$B65,DATE($B$1,6,1)&lt;=TODAY(),OR($O65="",$O65&gt;=DATE($B$1,6,1)),OR(COUNTIF($C65:H65,"&gt;0")&gt;0,DATE($B$1,6,1)=DATE(YEAR(TODAY()),MONTH(TODAY()),1))),1,0))</f>
        <v/>
      </c>
      <c r="V65">
        <f>IF($A65="","",IF(AND($B65&gt;0,I65&lt;$B65,DATE($B$1,7,1)&lt;=TODAY(),OR($O65="",$O65&gt;=DATE($B$1,7,1)),OR(COUNTIF($C65:I65,"&gt;0")&gt;0,DATE($B$1,7,1)=DATE(YEAR(TODAY()),MONTH(TODAY()),1))),1,0))</f>
        <v/>
      </c>
      <c r="W65">
        <f>IF($A65="","",IF(AND($B65&gt;0,J65&lt;$B65,DATE($B$1,8,1)&lt;=TODAY(),OR($O65="",$O65&gt;=DATE($B$1,8,1)),OR(COUNTIF($C65:J65,"&gt;0")&gt;0,DATE($B$1,8,1)=DATE(YEAR(TODAY()),MONTH(TODAY()),1))),1,0))</f>
        <v/>
      </c>
      <c r="X65">
        <f>IF($A65="","",IF(AND($B65&gt;0,K65&lt;$B65,DATE($B$1,9,1)&lt;=TODAY(),OR($O65="",$O65&gt;=DATE($B$1,9,1)),OR(COUNTIF($C65:K65,"&gt;0")&gt;0,DATE($B$1,9,1)=DATE(YEAR(TODAY()),MONTH(TODAY()),1))),1,0))</f>
        <v/>
      </c>
      <c r="Y65">
        <f>IF($A65="","",IF(AND($B65&gt;0,L65&lt;$B65,DATE($B$1,10,1)&lt;=TODAY(),OR($O65="",$O65&gt;=DATE($B$1,10,1)),OR(COUNTIF($C65:L65,"&gt;0")&gt;0,DATE($B$1,10,1)=DATE(YEAR(TODAY()),MONTH(TODAY()),1))),1,0))</f>
        <v/>
      </c>
      <c r="Z65">
        <f>IF($A65="","",IF(AND($B65&gt;0,M65&lt;$B65,DATE($B$1,11,1)&lt;=TODAY(),OR($O65="",$O65&gt;=DATE($B$1,11,1)),OR(COUNTIF($C65:M65,"&gt;0")&gt;0,DATE($B$1,11,1)=DATE(YEAR(TODAY()),MONTH(TODAY()),1))),1,0))</f>
        <v/>
      </c>
      <c r="AA65">
        <f>IF($A65="","",IF(AND($B65&gt;0,N65&lt;$B65,DATE($B$1,12,1)&lt;=TODAY(),OR($O65="",$O65&gt;=DATE($B$1,12,1)),OR(COUNTIF($C65:N65,"&gt;0")&gt;0,DATE($B$1,12,1)=DATE(YEAR(TODAY()),MONTH(TODAY()),1))),1,0))</f>
        <v/>
      </c>
    </row>
    <row r="66">
      <c r="A66" s="13">
        <f>IF(원생!$A64="","",원생!$A64&amp;IF(원생!$G64="",""," ("&amp;원생!$G64&amp;")"))</f>
        <v/>
      </c>
      <c r="B66" s="8">
        <f>IF(원생!$A64="","",원생!$F64)</f>
        <v/>
      </c>
      <c r="C66" s="14">
        <f>IF(원생!$A64="","",SUMIFS(수납!$F:$F,수납!$C:$C,원생!$A64,수납!$D:$D,IF(원생!$G64="","",원생!$G64),수납!$B:$B,$B$1&amp;"-"&amp;TEXT(1,"00")&amp;"*",수납!$E:$E,"수강료")+SUMIFS(수납!$F:$F,수납!$C:$C,원생!$A64,수납!$D:$D,IF(원생!$G64="","",원생!$G64),수납!$B:$B,$B$1&amp;"-"&amp;TEXT(1,"00")&amp;"*",수납!$E:$E,""))</f>
        <v/>
      </c>
      <c r="D66" s="14">
        <f>IF(원생!$A64="","",SUMIFS(수납!$F:$F,수납!$C:$C,원생!$A64,수납!$D:$D,IF(원생!$G64="","",원생!$G64),수납!$B:$B,$B$1&amp;"-"&amp;TEXT(2,"00")&amp;"*",수납!$E:$E,"수강료")+SUMIFS(수납!$F:$F,수납!$C:$C,원생!$A64,수납!$D:$D,IF(원생!$G64="","",원생!$G64),수납!$B:$B,$B$1&amp;"-"&amp;TEXT(2,"00")&amp;"*",수납!$E:$E,""))</f>
        <v/>
      </c>
      <c r="E66" s="14">
        <f>IF(원생!$A64="","",SUMIFS(수납!$F:$F,수납!$C:$C,원생!$A64,수납!$D:$D,IF(원생!$G64="","",원생!$G64),수납!$B:$B,$B$1&amp;"-"&amp;TEXT(3,"00")&amp;"*",수납!$E:$E,"수강료")+SUMIFS(수납!$F:$F,수납!$C:$C,원생!$A64,수납!$D:$D,IF(원생!$G64="","",원생!$G64),수납!$B:$B,$B$1&amp;"-"&amp;TEXT(3,"00")&amp;"*",수납!$E:$E,""))</f>
        <v/>
      </c>
      <c r="F66" s="14">
        <f>IF(원생!$A64="","",SUMIFS(수납!$F:$F,수납!$C:$C,원생!$A64,수납!$D:$D,IF(원생!$G64="","",원생!$G64),수납!$B:$B,$B$1&amp;"-"&amp;TEXT(4,"00")&amp;"*",수납!$E:$E,"수강료")+SUMIFS(수납!$F:$F,수납!$C:$C,원생!$A64,수납!$D:$D,IF(원생!$G64="","",원생!$G64),수납!$B:$B,$B$1&amp;"-"&amp;TEXT(4,"00")&amp;"*",수납!$E:$E,""))</f>
        <v/>
      </c>
      <c r="G66" s="14">
        <f>IF(원생!$A64="","",SUMIFS(수납!$F:$F,수납!$C:$C,원생!$A64,수납!$D:$D,IF(원생!$G64="","",원생!$G64),수납!$B:$B,$B$1&amp;"-"&amp;TEXT(5,"00")&amp;"*",수납!$E:$E,"수강료")+SUMIFS(수납!$F:$F,수납!$C:$C,원생!$A64,수납!$D:$D,IF(원생!$G64="","",원생!$G64),수납!$B:$B,$B$1&amp;"-"&amp;TEXT(5,"00")&amp;"*",수납!$E:$E,""))</f>
        <v/>
      </c>
      <c r="H66" s="14">
        <f>IF(원생!$A64="","",SUMIFS(수납!$F:$F,수납!$C:$C,원생!$A64,수납!$D:$D,IF(원생!$G64="","",원생!$G64),수납!$B:$B,$B$1&amp;"-"&amp;TEXT(6,"00")&amp;"*",수납!$E:$E,"수강료")+SUMIFS(수납!$F:$F,수납!$C:$C,원생!$A64,수납!$D:$D,IF(원생!$G64="","",원생!$G64),수납!$B:$B,$B$1&amp;"-"&amp;TEXT(6,"00")&amp;"*",수납!$E:$E,""))</f>
        <v/>
      </c>
      <c r="I66" s="14">
        <f>IF(원생!$A64="","",SUMIFS(수납!$F:$F,수납!$C:$C,원생!$A64,수납!$D:$D,IF(원생!$G64="","",원생!$G64),수납!$B:$B,$B$1&amp;"-"&amp;TEXT(7,"00")&amp;"*",수납!$E:$E,"수강료")+SUMIFS(수납!$F:$F,수납!$C:$C,원생!$A64,수납!$D:$D,IF(원생!$G64="","",원생!$G64),수납!$B:$B,$B$1&amp;"-"&amp;TEXT(7,"00")&amp;"*",수납!$E:$E,""))</f>
        <v/>
      </c>
      <c r="J66" s="14">
        <f>IF(원생!$A64="","",SUMIFS(수납!$F:$F,수납!$C:$C,원생!$A64,수납!$D:$D,IF(원생!$G64="","",원생!$G64),수납!$B:$B,$B$1&amp;"-"&amp;TEXT(8,"00")&amp;"*",수납!$E:$E,"수강료")+SUMIFS(수납!$F:$F,수납!$C:$C,원생!$A64,수납!$D:$D,IF(원생!$G64="","",원생!$G64),수납!$B:$B,$B$1&amp;"-"&amp;TEXT(8,"00")&amp;"*",수납!$E:$E,""))</f>
        <v/>
      </c>
      <c r="K66" s="14">
        <f>IF(원생!$A64="","",SUMIFS(수납!$F:$F,수납!$C:$C,원생!$A64,수납!$D:$D,IF(원생!$G64="","",원생!$G64),수납!$B:$B,$B$1&amp;"-"&amp;TEXT(9,"00")&amp;"*",수납!$E:$E,"수강료")+SUMIFS(수납!$F:$F,수납!$C:$C,원생!$A64,수납!$D:$D,IF(원생!$G64="","",원생!$G64),수납!$B:$B,$B$1&amp;"-"&amp;TEXT(9,"00")&amp;"*",수납!$E:$E,""))</f>
        <v/>
      </c>
      <c r="L66" s="14">
        <f>IF(원생!$A64="","",SUMIFS(수납!$F:$F,수납!$C:$C,원생!$A64,수납!$D:$D,IF(원생!$G64="","",원생!$G64),수납!$B:$B,$B$1&amp;"-"&amp;TEXT(10,"00")&amp;"*",수납!$E:$E,"수강료")+SUMIFS(수납!$F:$F,수납!$C:$C,원생!$A64,수납!$D:$D,IF(원생!$G64="","",원생!$G64),수납!$B:$B,$B$1&amp;"-"&amp;TEXT(10,"00")&amp;"*",수납!$E:$E,""))</f>
        <v/>
      </c>
      <c r="M66" s="14">
        <f>IF(원생!$A64="","",SUMIFS(수납!$F:$F,수납!$C:$C,원생!$A64,수납!$D:$D,IF(원생!$G64="","",원생!$G64),수납!$B:$B,$B$1&amp;"-"&amp;TEXT(11,"00")&amp;"*",수납!$E:$E,"수강료")+SUMIFS(수납!$F:$F,수납!$C:$C,원생!$A64,수납!$D:$D,IF(원생!$G64="","",원생!$G64),수납!$B:$B,$B$1&amp;"-"&amp;TEXT(11,"00")&amp;"*",수납!$E:$E,""))</f>
        <v/>
      </c>
      <c r="N66" s="14">
        <f>IF(원생!$A64="","",SUMIFS(수납!$F:$F,수납!$C:$C,원생!$A64,수납!$D:$D,IF(원생!$G64="","",원생!$G64),수납!$B:$B,$B$1&amp;"-"&amp;TEXT(12,"00")&amp;"*",수납!$E:$E,"수강료")+SUMIFS(수납!$F:$F,수납!$C:$C,원생!$A64,수납!$D:$D,IF(원생!$G64="","",원생!$G64),수납!$B:$B,$B$1&amp;"-"&amp;TEXT(12,"00")&amp;"*",수납!$E:$E,""))</f>
        <v/>
      </c>
      <c r="O66">
        <f>IF(원생!$I64="","",원생!$I64)</f>
        <v/>
      </c>
      <c r="P66">
        <f>IF($A66="","",IF(AND($B66&gt;0,C66&lt;$B66,DATE($B$1,1,1)&lt;=TODAY(),OR($O66="",$O66&gt;=DATE($B$1,1,1)),OR(COUNTIF($C66:C66,"&gt;0")&gt;0,DATE($B$1,1,1)=DATE(YEAR(TODAY()),MONTH(TODAY()),1))),1,0))</f>
        <v/>
      </c>
      <c r="Q66">
        <f>IF($A66="","",IF(AND($B66&gt;0,D66&lt;$B66,DATE($B$1,2,1)&lt;=TODAY(),OR($O66="",$O66&gt;=DATE($B$1,2,1)),OR(COUNTIF($C66:D66,"&gt;0")&gt;0,DATE($B$1,2,1)=DATE(YEAR(TODAY()),MONTH(TODAY()),1))),1,0))</f>
        <v/>
      </c>
      <c r="R66">
        <f>IF($A66="","",IF(AND($B66&gt;0,E66&lt;$B66,DATE($B$1,3,1)&lt;=TODAY(),OR($O66="",$O66&gt;=DATE($B$1,3,1)),OR(COUNTIF($C66:E66,"&gt;0")&gt;0,DATE($B$1,3,1)=DATE(YEAR(TODAY()),MONTH(TODAY()),1))),1,0))</f>
        <v/>
      </c>
      <c r="S66">
        <f>IF($A66="","",IF(AND($B66&gt;0,F66&lt;$B66,DATE($B$1,4,1)&lt;=TODAY(),OR($O66="",$O66&gt;=DATE($B$1,4,1)),OR(COUNTIF($C66:F66,"&gt;0")&gt;0,DATE($B$1,4,1)=DATE(YEAR(TODAY()),MONTH(TODAY()),1))),1,0))</f>
        <v/>
      </c>
      <c r="T66">
        <f>IF($A66="","",IF(AND($B66&gt;0,G66&lt;$B66,DATE($B$1,5,1)&lt;=TODAY(),OR($O66="",$O66&gt;=DATE($B$1,5,1)),OR(COUNTIF($C66:G66,"&gt;0")&gt;0,DATE($B$1,5,1)=DATE(YEAR(TODAY()),MONTH(TODAY()),1))),1,0))</f>
        <v/>
      </c>
      <c r="U66">
        <f>IF($A66="","",IF(AND($B66&gt;0,H66&lt;$B66,DATE($B$1,6,1)&lt;=TODAY(),OR($O66="",$O66&gt;=DATE($B$1,6,1)),OR(COUNTIF($C66:H66,"&gt;0")&gt;0,DATE($B$1,6,1)=DATE(YEAR(TODAY()),MONTH(TODAY()),1))),1,0))</f>
        <v/>
      </c>
      <c r="V66">
        <f>IF($A66="","",IF(AND($B66&gt;0,I66&lt;$B66,DATE($B$1,7,1)&lt;=TODAY(),OR($O66="",$O66&gt;=DATE($B$1,7,1)),OR(COUNTIF($C66:I66,"&gt;0")&gt;0,DATE($B$1,7,1)=DATE(YEAR(TODAY()),MONTH(TODAY()),1))),1,0))</f>
        <v/>
      </c>
      <c r="W66">
        <f>IF($A66="","",IF(AND($B66&gt;0,J66&lt;$B66,DATE($B$1,8,1)&lt;=TODAY(),OR($O66="",$O66&gt;=DATE($B$1,8,1)),OR(COUNTIF($C66:J66,"&gt;0")&gt;0,DATE($B$1,8,1)=DATE(YEAR(TODAY()),MONTH(TODAY()),1))),1,0))</f>
        <v/>
      </c>
      <c r="X66">
        <f>IF($A66="","",IF(AND($B66&gt;0,K66&lt;$B66,DATE($B$1,9,1)&lt;=TODAY(),OR($O66="",$O66&gt;=DATE($B$1,9,1)),OR(COUNTIF($C66:K66,"&gt;0")&gt;0,DATE($B$1,9,1)=DATE(YEAR(TODAY()),MONTH(TODAY()),1))),1,0))</f>
        <v/>
      </c>
      <c r="Y66">
        <f>IF($A66="","",IF(AND($B66&gt;0,L66&lt;$B66,DATE($B$1,10,1)&lt;=TODAY(),OR($O66="",$O66&gt;=DATE($B$1,10,1)),OR(COUNTIF($C66:L66,"&gt;0")&gt;0,DATE($B$1,10,1)=DATE(YEAR(TODAY()),MONTH(TODAY()),1))),1,0))</f>
        <v/>
      </c>
      <c r="Z66">
        <f>IF($A66="","",IF(AND($B66&gt;0,M66&lt;$B66,DATE($B$1,11,1)&lt;=TODAY(),OR($O66="",$O66&gt;=DATE($B$1,11,1)),OR(COUNTIF($C66:M66,"&gt;0")&gt;0,DATE($B$1,11,1)=DATE(YEAR(TODAY()),MONTH(TODAY()),1))),1,0))</f>
        <v/>
      </c>
      <c r="AA66">
        <f>IF($A66="","",IF(AND($B66&gt;0,N66&lt;$B66,DATE($B$1,12,1)&lt;=TODAY(),OR($O66="",$O66&gt;=DATE($B$1,12,1)),OR(COUNTIF($C66:N66,"&gt;0")&gt;0,DATE($B$1,12,1)=DATE(YEAR(TODAY()),MONTH(TODAY()),1))),1,0))</f>
        <v/>
      </c>
    </row>
    <row r="67">
      <c r="A67" s="13">
        <f>IF(원생!$A65="","",원생!$A65&amp;IF(원생!$G65="",""," ("&amp;원생!$G65&amp;")"))</f>
        <v/>
      </c>
      <c r="B67" s="8">
        <f>IF(원생!$A65="","",원생!$F65)</f>
        <v/>
      </c>
      <c r="C67" s="14">
        <f>IF(원생!$A65="","",SUMIFS(수납!$F:$F,수납!$C:$C,원생!$A65,수납!$D:$D,IF(원생!$G65="","",원생!$G65),수납!$B:$B,$B$1&amp;"-"&amp;TEXT(1,"00")&amp;"*",수납!$E:$E,"수강료")+SUMIFS(수납!$F:$F,수납!$C:$C,원생!$A65,수납!$D:$D,IF(원생!$G65="","",원생!$G65),수납!$B:$B,$B$1&amp;"-"&amp;TEXT(1,"00")&amp;"*",수납!$E:$E,""))</f>
        <v/>
      </c>
      <c r="D67" s="14">
        <f>IF(원생!$A65="","",SUMIFS(수납!$F:$F,수납!$C:$C,원생!$A65,수납!$D:$D,IF(원생!$G65="","",원생!$G65),수납!$B:$B,$B$1&amp;"-"&amp;TEXT(2,"00")&amp;"*",수납!$E:$E,"수강료")+SUMIFS(수납!$F:$F,수납!$C:$C,원생!$A65,수납!$D:$D,IF(원생!$G65="","",원생!$G65),수납!$B:$B,$B$1&amp;"-"&amp;TEXT(2,"00")&amp;"*",수납!$E:$E,""))</f>
        <v/>
      </c>
      <c r="E67" s="14">
        <f>IF(원생!$A65="","",SUMIFS(수납!$F:$F,수납!$C:$C,원생!$A65,수납!$D:$D,IF(원생!$G65="","",원생!$G65),수납!$B:$B,$B$1&amp;"-"&amp;TEXT(3,"00")&amp;"*",수납!$E:$E,"수강료")+SUMIFS(수납!$F:$F,수납!$C:$C,원생!$A65,수납!$D:$D,IF(원생!$G65="","",원생!$G65),수납!$B:$B,$B$1&amp;"-"&amp;TEXT(3,"00")&amp;"*",수납!$E:$E,""))</f>
        <v/>
      </c>
      <c r="F67" s="14">
        <f>IF(원생!$A65="","",SUMIFS(수납!$F:$F,수납!$C:$C,원생!$A65,수납!$D:$D,IF(원생!$G65="","",원생!$G65),수납!$B:$B,$B$1&amp;"-"&amp;TEXT(4,"00")&amp;"*",수납!$E:$E,"수강료")+SUMIFS(수납!$F:$F,수납!$C:$C,원생!$A65,수납!$D:$D,IF(원생!$G65="","",원생!$G65),수납!$B:$B,$B$1&amp;"-"&amp;TEXT(4,"00")&amp;"*",수납!$E:$E,""))</f>
        <v/>
      </c>
      <c r="G67" s="14">
        <f>IF(원생!$A65="","",SUMIFS(수납!$F:$F,수납!$C:$C,원생!$A65,수납!$D:$D,IF(원생!$G65="","",원생!$G65),수납!$B:$B,$B$1&amp;"-"&amp;TEXT(5,"00")&amp;"*",수납!$E:$E,"수강료")+SUMIFS(수납!$F:$F,수납!$C:$C,원생!$A65,수납!$D:$D,IF(원생!$G65="","",원생!$G65),수납!$B:$B,$B$1&amp;"-"&amp;TEXT(5,"00")&amp;"*",수납!$E:$E,""))</f>
        <v/>
      </c>
      <c r="H67" s="14">
        <f>IF(원생!$A65="","",SUMIFS(수납!$F:$F,수납!$C:$C,원생!$A65,수납!$D:$D,IF(원생!$G65="","",원생!$G65),수납!$B:$B,$B$1&amp;"-"&amp;TEXT(6,"00")&amp;"*",수납!$E:$E,"수강료")+SUMIFS(수납!$F:$F,수납!$C:$C,원생!$A65,수납!$D:$D,IF(원생!$G65="","",원생!$G65),수납!$B:$B,$B$1&amp;"-"&amp;TEXT(6,"00")&amp;"*",수납!$E:$E,""))</f>
        <v/>
      </c>
      <c r="I67" s="14">
        <f>IF(원생!$A65="","",SUMIFS(수납!$F:$F,수납!$C:$C,원생!$A65,수납!$D:$D,IF(원생!$G65="","",원생!$G65),수납!$B:$B,$B$1&amp;"-"&amp;TEXT(7,"00")&amp;"*",수납!$E:$E,"수강료")+SUMIFS(수납!$F:$F,수납!$C:$C,원생!$A65,수납!$D:$D,IF(원생!$G65="","",원생!$G65),수납!$B:$B,$B$1&amp;"-"&amp;TEXT(7,"00")&amp;"*",수납!$E:$E,""))</f>
        <v/>
      </c>
      <c r="J67" s="14">
        <f>IF(원생!$A65="","",SUMIFS(수납!$F:$F,수납!$C:$C,원생!$A65,수납!$D:$D,IF(원생!$G65="","",원생!$G65),수납!$B:$B,$B$1&amp;"-"&amp;TEXT(8,"00")&amp;"*",수납!$E:$E,"수강료")+SUMIFS(수납!$F:$F,수납!$C:$C,원생!$A65,수납!$D:$D,IF(원생!$G65="","",원생!$G65),수납!$B:$B,$B$1&amp;"-"&amp;TEXT(8,"00")&amp;"*",수납!$E:$E,""))</f>
        <v/>
      </c>
      <c r="K67" s="14">
        <f>IF(원생!$A65="","",SUMIFS(수납!$F:$F,수납!$C:$C,원생!$A65,수납!$D:$D,IF(원생!$G65="","",원생!$G65),수납!$B:$B,$B$1&amp;"-"&amp;TEXT(9,"00")&amp;"*",수납!$E:$E,"수강료")+SUMIFS(수납!$F:$F,수납!$C:$C,원생!$A65,수납!$D:$D,IF(원생!$G65="","",원생!$G65),수납!$B:$B,$B$1&amp;"-"&amp;TEXT(9,"00")&amp;"*",수납!$E:$E,""))</f>
        <v/>
      </c>
      <c r="L67" s="14">
        <f>IF(원생!$A65="","",SUMIFS(수납!$F:$F,수납!$C:$C,원생!$A65,수납!$D:$D,IF(원생!$G65="","",원생!$G65),수납!$B:$B,$B$1&amp;"-"&amp;TEXT(10,"00")&amp;"*",수납!$E:$E,"수강료")+SUMIFS(수납!$F:$F,수납!$C:$C,원생!$A65,수납!$D:$D,IF(원생!$G65="","",원생!$G65),수납!$B:$B,$B$1&amp;"-"&amp;TEXT(10,"00")&amp;"*",수납!$E:$E,""))</f>
        <v/>
      </c>
      <c r="M67" s="14">
        <f>IF(원생!$A65="","",SUMIFS(수납!$F:$F,수납!$C:$C,원생!$A65,수납!$D:$D,IF(원생!$G65="","",원생!$G65),수납!$B:$B,$B$1&amp;"-"&amp;TEXT(11,"00")&amp;"*",수납!$E:$E,"수강료")+SUMIFS(수납!$F:$F,수납!$C:$C,원생!$A65,수납!$D:$D,IF(원생!$G65="","",원생!$G65),수납!$B:$B,$B$1&amp;"-"&amp;TEXT(11,"00")&amp;"*",수납!$E:$E,""))</f>
        <v/>
      </c>
      <c r="N67" s="14">
        <f>IF(원생!$A65="","",SUMIFS(수납!$F:$F,수납!$C:$C,원생!$A65,수납!$D:$D,IF(원생!$G65="","",원생!$G65),수납!$B:$B,$B$1&amp;"-"&amp;TEXT(12,"00")&amp;"*",수납!$E:$E,"수강료")+SUMIFS(수납!$F:$F,수납!$C:$C,원생!$A65,수납!$D:$D,IF(원생!$G65="","",원생!$G65),수납!$B:$B,$B$1&amp;"-"&amp;TEXT(12,"00")&amp;"*",수납!$E:$E,""))</f>
        <v/>
      </c>
      <c r="O67">
        <f>IF(원생!$I65="","",원생!$I65)</f>
        <v/>
      </c>
      <c r="P67">
        <f>IF($A67="","",IF(AND($B67&gt;0,C67&lt;$B67,DATE($B$1,1,1)&lt;=TODAY(),OR($O67="",$O67&gt;=DATE($B$1,1,1)),OR(COUNTIF($C67:C67,"&gt;0")&gt;0,DATE($B$1,1,1)=DATE(YEAR(TODAY()),MONTH(TODAY()),1))),1,0))</f>
        <v/>
      </c>
      <c r="Q67">
        <f>IF($A67="","",IF(AND($B67&gt;0,D67&lt;$B67,DATE($B$1,2,1)&lt;=TODAY(),OR($O67="",$O67&gt;=DATE($B$1,2,1)),OR(COUNTIF($C67:D67,"&gt;0")&gt;0,DATE($B$1,2,1)=DATE(YEAR(TODAY()),MONTH(TODAY()),1))),1,0))</f>
        <v/>
      </c>
      <c r="R67">
        <f>IF($A67="","",IF(AND($B67&gt;0,E67&lt;$B67,DATE($B$1,3,1)&lt;=TODAY(),OR($O67="",$O67&gt;=DATE($B$1,3,1)),OR(COUNTIF($C67:E67,"&gt;0")&gt;0,DATE($B$1,3,1)=DATE(YEAR(TODAY()),MONTH(TODAY()),1))),1,0))</f>
        <v/>
      </c>
      <c r="S67">
        <f>IF($A67="","",IF(AND($B67&gt;0,F67&lt;$B67,DATE($B$1,4,1)&lt;=TODAY(),OR($O67="",$O67&gt;=DATE($B$1,4,1)),OR(COUNTIF($C67:F67,"&gt;0")&gt;0,DATE($B$1,4,1)=DATE(YEAR(TODAY()),MONTH(TODAY()),1))),1,0))</f>
        <v/>
      </c>
      <c r="T67">
        <f>IF($A67="","",IF(AND($B67&gt;0,G67&lt;$B67,DATE($B$1,5,1)&lt;=TODAY(),OR($O67="",$O67&gt;=DATE($B$1,5,1)),OR(COUNTIF($C67:G67,"&gt;0")&gt;0,DATE($B$1,5,1)=DATE(YEAR(TODAY()),MONTH(TODAY()),1))),1,0))</f>
        <v/>
      </c>
      <c r="U67">
        <f>IF($A67="","",IF(AND($B67&gt;0,H67&lt;$B67,DATE($B$1,6,1)&lt;=TODAY(),OR($O67="",$O67&gt;=DATE($B$1,6,1)),OR(COUNTIF($C67:H67,"&gt;0")&gt;0,DATE($B$1,6,1)=DATE(YEAR(TODAY()),MONTH(TODAY()),1))),1,0))</f>
        <v/>
      </c>
      <c r="V67">
        <f>IF($A67="","",IF(AND($B67&gt;0,I67&lt;$B67,DATE($B$1,7,1)&lt;=TODAY(),OR($O67="",$O67&gt;=DATE($B$1,7,1)),OR(COUNTIF($C67:I67,"&gt;0")&gt;0,DATE($B$1,7,1)=DATE(YEAR(TODAY()),MONTH(TODAY()),1))),1,0))</f>
        <v/>
      </c>
      <c r="W67">
        <f>IF($A67="","",IF(AND($B67&gt;0,J67&lt;$B67,DATE($B$1,8,1)&lt;=TODAY(),OR($O67="",$O67&gt;=DATE($B$1,8,1)),OR(COUNTIF($C67:J67,"&gt;0")&gt;0,DATE($B$1,8,1)=DATE(YEAR(TODAY()),MONTH(TODAY()),1))),1,0))</f>
        <v/>
      </c>
      <c r="X67">
        <f>IF($A67="","",IF(AND($B67&gt;0,K67&lt;$B67,DATE($B$1,9,1)&lt;=TODAY(),OR($O67="",$O67&gt;=DATE($B$1,9,1)),OR(COUNTIF($C67:K67,"&gt;0")&gt;0,DATE($B$1,9,1)=DATE(YEAR(TODAY()),MONTH(TODAY()),1))),1,0))</f>
        <v/>
      </c>
      <c r="Y67">
        <f>IF($A67="","",IF(AND($B67&gt;0,L67&lt;$B67,DATE($B$1,10,1)&lt;=TODAY(),OR($O67="",$O67&gt;=DATE($B$1,10,1)),OR(COUNTIF($C67:L67,"&gt;0")&gt;0,DATE($B$1,10,1)=DATE(YEAR(TODAY()),MONTH(TODAY()),1))),1,0))</f>
        <v/>
      </c>
      <c r="Z67">
        <f>IF($A67="","",IF(AND($B67&gt;0,M67&lt;$B67,DATE($B$1,11,1)&lt;=TODAY(),OR($O67="",$O67&gt;=DATE($B$1,11,1)),OR(COUNTIF($C67:M67,"&gt;0")&gt;0,DATE($B$1,11,1)=DATE(YEAR(TODAY()),MONTH(TODAY()),1))),1,0))</f>
        <v/>
      </c>
      <c r="AA67">
        <f>IF($A67="","",IF(AND($B67&gt;0,N67&lt;$B67,DATE($B$1,12,1)&lt;=TODAY(),OR($O67="",$O67&gt;=DATE($B$1,12,1)),OR(COUNTIF($C67:N67,"&gt;0")&gt;0,DATE($B$1,12,1)=DATE(YEAR(TODAY()),MONTH(TODAY()),1))),1,0))</f>
        <v/>
      </c>
    </row>
    <row r="68">
      <c r="A68" s="13">
        <f>IF(원생!$A66="","",원생!$A66&amp;IF(원생!$G66="",""," ("&amp;원생!$G66&amp;")"))</f>
        <v/>
      </c>
      <c r="B68" s="8">
        <f>IF(원생!$A66="","",원생!$F66)</f>
        <v/>
      </c>
      <c r="C68" s="14">
        <f>IF(원생!$A66="","",SUMIFS(수납!$F:$F,수납!$C:$C,원생!$A66,수납!$D:$D,IF(원생!$G66="","",원생!$G66),수납!$B:$B,$B$1&amp;"-"&amp;TEXT(1,"00")&amp;"*",수납!$E:$E,"수강료")+SUMIFS(수납!$F:$F,수납!$C:$C,원생!$A66,수납!$D:$D,IF(원생!$G66="","",원생!$G66),수납!$B:$B,$B$1&amp;"-"&amp;TEXT(1,"00")&amp;"*",수납!$E:$E,""))</f>
        <v/>
      </c>
      <c r="D68" s="14">
        <f>IF(원생!$A66="","",SUMIFS(수납!$F:$F,수납!$C:$C,원생!$A66,수납!$D:$D,IF(원생!$G66="","",원생!$G66),수납!$B:$B,$B$1&amp;"-"&amp;TEXT(2,"00")&amp;"*",수납!$E:$E,"수강료")+SUMIFS(수납!$F:$F,수납!$C:$C,원생!$A66,수납!$D:$D,IF(원생!$G66="","",원생!$G66),수납!$B:$B,$B$1&amp;"-"&amp;TEXT(2,"00")&amp;"*",수납!$E:$E,""))</f>
        <v/>
      </c>
      <c r="E68" s="14">
        <f>IF(원생!$A66="","",SUMIFS(수납!$F:$F,수납!$C:$C,원생!$A66,수납!$D:$D,IF(원생!$G66="","",원생!$G66),수납!$B:$B,$B$1&amp;"-"&amp;TEXT(3,"00")&amp;"*",수납!$E:$E,"수강료")+SUMIFS(수납!$F:$F,수납!$C:$C,원생!$A66,수납!$D:$D,IF(원생!$G66="","",원생!$G66),수납!$B:$B,$B$1&amp;"-"&amp;TEXT(3,"00")&amp;"*",수납!$E:$E,""))</f>
        <v/>
      </c>
      <c r="F68" s="14">
        <f>IF(원생!$A66="","",SUMIFS(수납!$F:$F,수납!$C:$C,원생!$A66,수납!$D:$D,IF(원생!$G66="","",원생!$G66),수납!$B:$B,$B$1&amp;"-"&amp;TEXT(4,"00")&amp;"*",수납!$E:$E,"수강료")+SUMIFS(수납!$F:$F,수납!$C:$C,원생!$A66,수납!$D:$D,IF(원생!$G66="","",원생!$G66),수납!$B:$B,$B$1&amp;"-"&amp;TEXT(4,"00")&amp;"*",수납!$E:$E,""))</f>
        <v/>
      </c>
      <c r="G68" s="14">
        <f>IF(원생!$A66="","",SUMIFS(수납!$F:$F,수납!$C:$C,원생!$A66,수납!$D:$D,IF(원생!$G66="","",원생!$G66),수납!$B:$B,$B$1&amp;"-"&amp;TEXT(5,"00")&amp;"*",수납!$E:$E,"수강료")+SUMIFS(수납!$F:$F,수납!$C:$C,원생!$A66,수납!$D:$D,IF(원생!$G66="","",원생!$G66),수납!$B:$B,$B$1&amp;"-"&amp;TEXT(5,"00")&amp;"*",수납!$E:$E,""))</f>
        <v/>
      </c>
      <c r="H68" s="14">
        <f>IF(원생!$A66="","",SUMIFS(수납!$F:$F,수납!$C:$C,원생!$A66,수납!$D:$D,IF(원생!$G66="","",원생!$G66),수납!$B:$B,$B$1&amp;"-"&amp;TEXT(6,"00")&amp;"*",수납!$E:$E,"수강료")+SUMIFS(수납!$F:$F,수납!$C:$C,원생!$A66,수납!$D:$D,IF(원생!$G66="","",원생!$G66),수납!$B:$B,$B$1&amp;"-"&amp;TEXT(6,"00")&amp;"*",수납!$E:$E,""))</f>
        <v/>
      </c>
      <c r="I68" s="14">
        <f>IF(원생!$A66="","",SUMIFS(수납!$F:$F,수납!$C:$C,원생!$A66,수납!$D:$D,IF(원생!$G66="","",원생!$G66),수납!$B:$B,$B$1&amp;"-"&amp;TEXT(7,"00")&amp;"*",수납!$E:$E,"수강료")+SUMIFS(수납!$F:$F,수납!$C:$C,원생!$A66,수납!$D:$D,IF(원생!$G66="","",원생!$G66),수납!$B:$B,$B$1&amp;"-"&amp;TEXT(7,"00")&amp;"*",수납!$E:$E,""))</f>
        <v/>
      </c>
      <c r="J68" s="14">
        <f>IF(원생!$A66="","",SUMIFS(수납!$F:$F,수납!$C:$C,원생!$A66,수납!$D:$D,IF(원생!$G66="","",원생!$G66),수납!$B:$B,$B$1&amp;"-"&amp;TEXT(8,"00")&amp;"*",수납!$E:$E,"수강료")+SUMIFS(수납!$F:$F,수납!$C:$C,원생!$A66,수납!$D:$D,IF(원생!$G66="","",원생!$G66),수납!$B:$B,$B$1&amp;"-"&amp;TEXT(8,"00")&amp;"*",수납!$E:$E,""))</f>
        <v/>
      </c>
      <c r="K68" s="14">
        <f>IF(원생!$A66="","",SUMIFS(수납!$F:$F,수납!$C:$C,원생!$A66,수납!$D:$D,IF(원생!$G66="","",원생!$G66),수납!$B:$B,$B$1&amp;"-"&amp;TEXT(9,"00")&amp;"*",수납!$E:$E,"수강료")+SUMIFS(수납!$F:$F,수납!$C:$C,원생!$A66,수납!$D:$D,IF(원생!$G66="","",원생!$G66),수납!$B:$B,$B$1&amp;"-"&amp;TEXT(9,"00")&amp;"*",수납!$E:$E,""))</f>
        <v/>
      </c>
      <c r="L68" s="14">
        <f>IF(원생!$A66="","",SUMIFS(수납!$F:$F,수납!$C:$C,원생!$A66,수납!$D:$D,IF(원생!$G66="","",원생!$G66),수납!$B:$B,$B$1&amp;"-"&amp;TEXT(10,"00")&amp;"*",수납!$E:$E,"수강료")+SUMIFS(수납!$F:$F,수납!$C:$C,원생!$A66,수납!$D:$D,IF(원생!$G66="","",원생!$G66),수납!$B:$B,$B$1&amp;"-"&amp;TEXT(10,"00")&amp;"*",수납!$E:$E,""))</f>
        <v/>
      </c>
      <c r="M68" s="14">
        <f>IF(원생!$A66="","",SUMIFS(수납!$F:$F,수납!$C:$C,원생!$A66,수납!$D:$D,IF(원생!$G66="","",원생!$G66),수납!$B:$B,$B$1&amp;"-"&amp;TEXT(11,"00")&amp;"*",수납!$E:$E,"수강료")+SUMIFS(수납!$F:$F,수납!$C:$C,원생!$A66,수납!$D:$D,IF(원생!$G66="","",원생!$G66),수납!$B:$B,$B$1&amp;"-"&amp;TEXT(11,"00")&amp;"*",수납!$E:$E,""))</f>
        <v/>
      </c>
      <c r="N68" s="14">
        <f>IF(원생!$A66="","",SUMIFS(수납!$F:$F,수납!$C:$C,원생!$A66,수납!$D:$D,IF(원생!$G66="","",원생!$G66),수납!$B:$B,$B$1&amp;"-"&amp;TEXT(12,"00")&amp;"*",수납!$E:$E,"수강료")+SUMIFS(수납!$F:$F,수납!$C:$C,원생!$A66,수납!$D:$D,IF(원생!$G66="","",원생!$G66),수납!$B:$B,$B$1&amp;"-"&amp;TEXT(12,"00")&amp;"*",수납!$E:$E,""))</f>
        <v/>
      </c>
      <c r="O68">
        <f>IF(원생!$I66="","",원생!$I66)</f>
        <v/>
      </c>
      <c r="P68">
        <f>IF($A68="","",IF(AND($B68&gt;0,C68&lt;$B68,DATE($B$1,1,1)&lt;=TODAY(),OR($O68="",$O68&gt;=DATE($B$1,1,1)),OR(COUNTIF($C68:C68,"&gt;0")&gt;0,DATE($B$1,1,1)=DATE(YEAR(TODAY()),MONTH(TODAY()),1))),1,0))</f>
        <v/>
      </c>
      <c r="Q68">
        <f>IF($A68="","",IF(AND($B68&gt;0,D68&lt;$B68,DATE($B$1,2,1)&lt;=TODAY(),OR($O68="",$O68&gt;=DATE($B$1,2,1)),OR(COUNTIF($C68:D68,"&gt;0")&gt;0,DATE($B$1,2,1)=DATE(YEAR(TODAY()),MONTH(TODAY()),1))),1,0))</f>
        <v/>
      </c>
      <c r="R68">
        <f>IF($A68="","",IF(AND($B68&gt;0,E68&lt;$B68,DATE($B$1,3,1)&lt;=TODAY(),OR($O68="",$O68&gt;=DATE($B$1,3,1)),OR(COUNTIF($C68:E68,"&gt;0")&gt;0,DATE($B$1,3,1)=DATE(YEAR(TODAY()),MONTH(TODAY()),1))),1,0))</f>
        <v/>
      </c>
      <c r="S68">
        <f>IF($A68="","",IF(AND($B68&gt;0,F68&lt;$B68,DATE($B$1,4,1)&lt;=TODAY(),OR($O68="",$O68&gt;=DATE($B$1,4,1)),OR(COUNTIF($C68:F68,"&gt;0")&gt;0,DATE($B$1,4,1)=DATE(YEAR(TODAY()),MONTH(TODAY()),1))),1,0))</f>
        <v/>
      </c>
      <c r="T68">
        <f>IF($A68="","",IF(AND($B68&gt;0,G68&lt;$B68,DATE($B$1,5,1)&lt;=TODAY(),OR($O68="",$O68&gt;=DATE($B$1,5,1)),OR(COUNTIF($C68:G68,"&gt;0")&gt;0,DATE($B$1,5,1)=DATE(YEAR(TODAY()),MONTH(TODAY()),1))),1,0))</f>
        <v/>
      </c>
      <c r="U68">
        <f>IF($A68="","",IF(AND($B68&gt;0,H68&lt;$B68,DATE($B$1,6,1)&lt;=TODAY(),OR($O68="",$O68&gt;=DATE($B$1,6,1)),OR(COUNTIF($C68:H68,"&gt;0")&gt;0,DATE($B$1,6,1)=DATE(YEAR(TODAY()),MONTH(TODAY()),1))),1,0))</f>
        <v/>
      </c>
      <c r="V68">
        <f>IF($A68="","",IF(AND($B68&gt;0,I68&lt;$B68,DATE($B$1,7,1)&lt;=TODAY(),OR($O68="",$O68&gt;=DATE($B$1,7,1)),OR(COUNTIF($C68:I68,"&gt;0")&gt;0,DATE($B$1,7,1)=DATE(YEAR(TODAY()),MONTH(TODAY()),1))),1,0))</f>
        <v/>
      </c>
      <c r="W68">
        <f>IF($A68="","",IF(AND($B68&gt;0,J68&lt;$B68,DATE($B$1,8,1)&lt;=TODAY(),OR($O68="",$O68&gt;=DATE($B$1,8,1)),OR(COUNTIF($C68:J68,"&gt;0")&gt;0,DATE($B$1,8,1)=DATE(YEAR(TODAY()),MONTH(TODAY()),1))),1,0))</f>
        <v/>
      </c>
      <c r="X68">
        <f>IF($A68="","",IF(AND($B68&gt;0,K68&lt;$B68,DATE($B$1,9,1)&lt;=TODAY(),OR($O68="",$O68&gt;=DATE($B$1,9,1)),OR(COUNTIF($C68:K68,"&gt;0")&gt;0,DATE($B$1,9,1)=DATE(YEAR(TODAY()),MONTH(TODAY()),1))),1,0))</f>
        <v/>
      </c>
      <c r="Y68">
        <f>IF($A68="","",IF(AND($B68&gt;0,L68&lt;$B68,DATE($B$1,10,1)&lt;=TODAY(),OR($O68="",$O68&gt;=DATE($B$1,10,1)),OR(COUNTIF($C68:L68,"&gt;0")&gt;0,DATE($B$1,10,1)=DATE(YEAR(TODAY()),MONTH(TODAY()),1))),1,0))</f>
        <v/>
      </c>
      <c r="Z68">
        <f>IF($A68="","",IF(AND($B68&gt;0,M68&lt;$B68,DATE($B$1,11,1)&lt;=TODAY(),OR($O68="",$O68&gt;=DATE($B$1,11,1)),OR(COUNTIF($C68:M68,"&gt;0")&gt;0,DATE($B$1,11,1)=DATE(YEAR(TODAY()),MONTH(TODAY()),1))),1,0))</f>
        <v/>
      </c>
      <c r="AA68">
        <f>IF($A68="","",IF(AND($B68&gt;0,N68&lt;$B68,DATE($B$1,12,1)&lt;=TODAY(),OR($O68="",$O68&gt;=DATE($B$1,12,1)),OR(COUNTIF($C68:N68,"&gt;0")&gt;0,DATE($B$1,12,1)=DATE(YEAR(TODAY()),MONTH(TODAY()),1))),1,0))</f>
        <v/>
      </c>
    </row>
    <row r="69">
      <c r="A69" s="13">
        <f>IF(원생!$A67="","",원생!$A67&amp;IF(원생!$G67="",""," ("&amp;원생!$G67&amp;")"))</f>
        <v/>
      </c>
      <c r="B69" s="8">
        <f>IF(원생!$A67="","",원생!$F67)</f>
        <v/>
      </c>
      <c r="C69" s="14">
        <f>IF(원생!$A67="","",SUMIFS(수납!$F:$F,수납!$C:$C,원생!$A67,수납!$D:$D,IF(원생!$G67="","",원생!$G67),수납!$B:$B,$B$1&amp;"-"&amp;TEXT(1,"00")&amp;"*",수납!$E:$E,"수강료")+SUMIFS(수납!$F:$F,수납!$C:$C,원생!$A67,수납!$D:$D,IF(원생!$G67="","",원생!$G67),수납!$B:$B,$B$1&amp;"-"&amp;TEXT(1,"00")&amp;"*",수납!$E:$E,""))</f>
        <v/>
      </c>
      <c r="D69" s="14">
        <f>IF(원생!$A67="","",SUMIFS(수납!$F:$F,수납!$C:$C,원생!$A67,수납!$D:$D,IF(원생!$G67="","",원생!$G67),수납!$B:$B,$B$1&amp;"-"&amp;TEXT(2,"00")&amp;"*",수납!$E:$E,"수강료")+SUMIFS(수납!$F:$F,수납!$C:$C,원생!$A67,수납!$D:$D,IF(원생!$G67="","",원생!$G67),수납!$B:$B,$B$1&amp;"-"&amp;TEXT(2,"00")&amp;"*",수납!$E:$E,""))</f>
        <v/>
      </c>
      <c r="E69" s="14">
        <f>IF(원생!$A67="","",SUMIFS(수납!$F:$F,수납!$C:$C,원생!$A67,수납!$D:$D,IF(원생!$G67="","",원생!$G67),수납!$B:$B,$B$1&amp;"-"&amp;TEXT(3,"00")&amp;"*",수납!$E:$E,"수강료")+SUMIFS(수납!$F:$F,수납!$C:$C,원생!$A67,수납!$D:$D,IF(원생!$G67="","",원생!$G67),수납!$B:$B,$B$1&amp;"-"&amp;TEXT(3,"00")&amp;"*",수납!$E:$E,""))</f>
        <v/>
      </c>
      <c r="F69" s="14">
        <f>IF(원생!$A67="","",SUMIFS(수납!$F:$F,수납!$C:$C,원생!$A67,수납!$D:$D,IF(원생!$G67="","",원생!$G67),수납!$B:$B,$B$1&amp;"-"&amp;TEXT(4,"00")&amp;"*",수납!$E:$E,"수강료")+SUMIFS(수납!$F:$F,수납!$C:$C,원생!$A67,수납!$D:$D,IF(원생!$G67="","",원생!$G67),수납!$B:$B,$B$1&amp;"-"&amp;TEXT(4,"00")&amp;"*",수납!$E:$E,""))</f>
        <v/>
      </c>
      <c r="G69" s="14">
        <f>IF(원생!$A67="","",SUMIFS(수납!$F:$F,수납!$C:$C,원생!$A67,수납!$D:$D,IF(원생!$G67="","",원생!$G67),수납!$B:$B,$B$1&amp;"-"&amp;TEXT(5,"00")&amp;"*",수납!$E:$E,"수강료")+SUMIFS(수납!$F:$F,수납!$C:$C,원생!$A67,수납!$D:$D,IF(원생!$G67="","",원생!$G67),수납!$B:$B,$B$1&amp;"-"&amp;TEXT(5,"00")&amp;"*",수납!$E:$E,""))</f>
        <v/>
      </c>
      <c r="H69" s="14">
        <f>IF(원생!$A67="","",SUMIFS(수납!$F:$F,수납!$C:$C,원생!$A67,수납!$D:$D,IF(원생!$G67="","",원생!$G67),수납!$B:$B,$B$1&amp;"-"&amp;TEXT(6,"00")&amp;"*",수납!$E:$E,"수강료")+SUMIFS(수납!$F:$F,수납!$C:$C,원생!$A67,수납!$D:$D,IF(원생!$G67="","",원생!$G67),수납!$B:$B,$B$1&amp;"-"&amp;TEXT(6,"00")&amp;"*",수납!$E:$E,""))</f>
        <v/>
      </c>
      <c r="I69" s="14">
        <f>IF(원생!$A67="","",SUMIFS(수납!$F:$F,수납!$C:$C,원생!$A67,수납!$D:$D,IF(원생!$G67="","",원생!$G67),수납!$B:$B,$B$1&amp;"-"&amp;TEXT(7,"00")&amp;"*",수납!$E:$E,"수강료")+SUMIFS(수납!$F:$F,수납!$C:$C,원생!$A67,수납!$D:$D,IF(원생!$G67="","",원생!$G67),수납!$B:$B,$B$1&amp;"-"&amp;TEXT(7,"00")&amp;"*",수납!$E:$E,""))</f>
        <v/>
      </c>
      <c r="J69" s="14">
        <f>IF(원생!$A67="","",SUMIFS(수납!$F:$F,수납!$C:$C,원생!$A67,수납!$D:$D,IF(원생!$G67="","",원생!$G67),수납!$B:$B,$B$1&amp;"-"&amp;TEXT(8,"00")&amp;"*",수납!$E:$E,"수강료")+SUMIFS(수납!$F:$F,수납!$C:$C,원생!$A67,수납!$D:$D,IF(원생!$G67="","",원생!$G67),수납!$B:$B,$B$1&amp;"-"&amp;TEXT(8,"00")&amp;"*",수납!$E:$E,""))</f>
        <v/>
      </c>
      <c r="K69" s="14">
        <f>IF(원생!$A67="","",SUMIFS(수납!$F:$F,수납!$C:$C,원생!$A67,수납!$D:$D,IF(원생!$G67="","",원생!$G67),수납!$B:$B,$B$1&amp;"-"&amp;TEXT(9,"00")&amp;"*",수납!$E:$E,"수강료")+SUMIFS(수납!$F:$F,수납!$C:$C,원생!$A67,수납!$D:$D,IF(원생!$G67="","",원생!$G67),수납!$B:$B,$B$1&amp;"-"&amp;TEXT(9,"00")&amp;"*",수납!$E:$E,""))</f>
        <v/>
      </c>
      <c r="L69" s="14">
        <f>IF(원생!$A67="","",SUMIFS(수납!$F:$F,수납!$C:$C,원생!$A67,수납!$D:$D,IF(원생!$G67="","",원생!$G67),수납!$B:$B,$B$1&amp;"-"&amp;TEXT(10,"00")&amp;"*",수납!$E:$E,"수강료")+SUMIFS(수납!$F:$F,수납!$C:$C,원생!$A67,수납!$D:$D,IF(원생!$G67="","",원생!$G67),수납!$B:$B,$B$1&amp;"-"&amp;TEXT(10,"00")&amp;"*",수납!$E:$E,""))</f>
        <v/>
      </c>
      <c r="M69" s="14">
        <f>IF(원생!$A67="","",SUMIFS(수납!$F:$F,수납!$C:$C,원생!$A67,수납!$D:$D,IF(원생!$G67="","",원생!$G67),수납!$B:$B,$B$1&amp;"-"&amp;TEXT(11,"00")&amp;"*",수납!$E:$E,"수강료")+SUMIFS(수납!$F:$F,수납!$C:$C,원생!$A67,수납!$D:$D,IF(원생!$G67="","",원생!$G67),수납!$B:$B,$B$1&amp;"-"&amp;TEXT(11,"00")&amp;"*",수납!$E:$E,""))</f>
        <v/>
      </c>
      <c r="N69" s="14">
        <f>IF(원생!$A67="","",SUMIFS(수납!$F:$F,수납!$C:$C,원생!$A67,수납!$D:$D,IF(원생!$G67="","",원생!$G67),수납!$B:$B,$B$1&amp;"-"&amp;TEXT(12,"00")&amp;"*",수납!$E:$E,"수강료")+SUMIFS(수납!$F:$F,수납!$C:$C,원생!$A67,수납!$D:$D,IF(원생!$G67="","",원생!$G67),수납!$B:$B,$B$1&amp;"-"&amp;TEXT(12,"00")&amp;"*",수납!$E:$E,""))</f>
        <v/>
      </c>
      <c r="O69">
        <f>IF(원생!$I67="","",원생!$I67)</f>
        <v/>
      </c>
      <c r="P69">
        <f>IF($A69="","",IF(AND($B69&gt;0,C69&lt;$B69,DATE($B$1,1,1)&lt;=TODAY(),OR($O69="",$O69&gt;=DATE($B$1,1,1)),OR(COUNTIF($C69:C69,"&gt;0")&gt;0,DATE($B$1,1,1)=DATE(YEAR(TODAY()),MONTH(TODAY()),1))),1,0))</f>
        <v/>
      </c>
      <c r="Q69">
        <f>IF($A69="","",IF(AND($B69&gt;0,D69&lt;$B69,DATE($B$1,2,1)&lt;=TODAY(),OR($O69="",$O69&gt;=DATE($B$1,2,1)),OR(COUNTIF($C69:D69,"&gt;0")&gt;0,DATE($B$1,2,1)=DATE(YEAR(TODAY()),MONTH(TODAY()),1))),1,0))</f>
        <v/>
      </c>
      <c r="R69">
        <f>IF($A69="","",IF(AND($B69&gt;0,E69&lt;$B69,DATE($B$1,3,1)&lt;=TODAY(),OR($O69="",$O69&gt;=DATE($B$1,3,1)),OR(COUNTIF($C69:E69,"&gt;0")&gt;0,DATE($B$1,3,1)=DATE(YEAR(TODAY()),MONTH(TODAY()),1))),1,0))</f>
        <v/>
      </c>
      <c r="S69">
        <f>IF($A69="","",IF(AND($B69&gt;0,F69&lt;$B69,DATE($B$1,4,1)&lt;=TODAY(),OR($O69="",$O69&gt;=DATE($B$1,4,1)),OR(COUNTIF($C69:F69,"&gt;0")&gt;0,DATE($B$1,4,1)=DATE(YEAR(TODAY()),MONTH(TODAY()),1))),1,0))</f>
        <v/>
      </c>
      <c r="T69">
        <f>IF($A69="","",IF(AND($B69&gt;0,G69&lt;$B69,DATE($B$1,5,1)&lt;=TODAY(),OR($O69="",$O69&gt;=DATE($B$1,5,1)),OR(COUNTIF($C69:G69,"&gt;0")&gt;0,DATE($B$1,5,1)=DATE(YEAR(TODAY()),MONTH(TODAY()),1))),1,0))</f>
        <v/>
      </c>
      <c r="U69">
        <f>IF($A69="","",IF(AND($B69&gt;0,H69&lt;$B69,DATE($B$1,6,1)&lt;=TODAY(),OR($O69="",$O69&gt;=DATE($B$1,6,1)),OR(COUNTIF($C69:H69,"&gt;0")&gt;0,DATE($B$1,6,1)=DATE(YEAR(TODAY()),MONTH(TODAY()),1))),1,0))</f>
        <v/>
      </c>
      <c r="V69">
        <f>IF($A69="","",IF(AND($B69&gt;0,I69&lt;$B69,DATE($B$1,7,1)&lt;=TODAY(),OR($O69="",$O69&gt;=DATE($B$1,7,1)),OR(COUNTIF($C69:I69,"&gt;0")&gt;0,DATE($B$1,7,1)=DATE(YEAR(TODAY()),MONTH(TODAY()),1))),1,0))</f>
        <v/>
      </c>
      <c r="W69">
        <f>IF($A69="","",IF(AND($B69&gt;0,J69&lt;$B69,DATE($B$1,8,1)&lt;=TODAY(),OR($O69="",$O69&gt;=DATE($B$1,8,1)),OR(COUNTIF($C69:J69,"&gt;0")&gt;0,DATE($B$1,8,1)=DATE(YEAR(TODAY()),MONTH(TODAY()),1))),1,0))</f>
        <v/>
      </c>
      <c r="X69">
        <f>IF($A69="","",IF(AND($B69&gt;0,K69&lt;$B69,DATE($B$1,9,1)&lt;=TODAY(),OR($O69="",$O69&gt;=DATE($B$1,9,1)),OR(COUNTIF($C69:K69,"&gt;0")&gt;0,DATE($B$1,9,1)=DATE(YEAR(TODAY()),MONTH(TODAY()),1))),1,0))</f>
        <v/>
      </c>
      <c r="Y69">
        <f>IF($A69="","",IF(AND($B69&gt;0,L69&lt;$B69,DATE($B$1,10,1)&lt;=TODAY(),OR($O69="",$O69&gt;=DATE($B$1,10,1)),OR(COUNTIF($C69:L69,"&gt;0")&gt;0,DATE($B$1,10,1)=DATE(YEAR(TODAY()),MONTH(TODAY()),1))),1,0))</f>
        <v/>
      </c>
      <c r="Z69">
        <f>IF($A69="","",IF(AND($B69&gt;0,M69&lt;$B69,DATE($B$1,11,1)&lt;=TODAY(),OR($O69="",$O69&gt;=DATE($B$1,11,1)),OR(COUNTIF($C69:M69,"&gt;0")&gt;0,DATE($B$1,11,1)=DATE(YEAR(TODAY()),MONTH(TODAY()),1))),1,0))</f>
        <v/>
      </c>
      <c r="AA69">
        <f>IF($A69="","",IF(AND($B69&gt;0,N69&lt;$B69,DATE($B$1,12,1)&lt;=TODAY(),OR($O69="",$O69&gt;=DATE($B$1,12,1)),OR(COUNTIF($C69:N69,"&gt;0")&gt;0,DATE($B$1,12,1)=DATE(YEAR(TODAY()),MONTH(TODAY()),1))),1,0))</f>
        <v/>
      </c>
    </row>
    <row r="70">
      <c r="A70" s="13">
        <f>IF(원생!$A68="","",원생!$A68&amp;IF(원생!$G68="",""," ("&amp;원생!$G68&amp;")"))</f>
        <v/>
      </c>
      <c r="B70" s="8">
        <f>IF(원생!$A68="","",원생!$F68)</f>
        <v/>
      </c>
      <c r="C70" s="14">
        <f>IF(원생!$A68="","",SUMIFS(수납!$F:$F,수납!$C:$C,원생!$A68,수납!$D:$D,IF(원생!$G68="","",원생!$G68),수납!$B:$B,$B$1&amp;"-"&amp;TEXT(1,"00")&amp;"*",수납!$E:$E,"수강료")+SUMIFS(수납!$F:$F,수납!$C:$C,원생!$A68,수납!$D:$D,IF(원생!$G68="","",원생!$G68),수납!$B:$B,$B$1&amp;"-"&amp;TEXT(1,"00")&amp;"*",수납!$E:$E,""))</f>
        <v/>
      </c>
      <c r="D70" s="14">
        <f>IF(원생!$A68="","",SUMIFS(수납!$F:$F,수납!$C:$C,원생!$A68,수납!$D:$D,IF(원생!$G68="","",원생!$G68),수납!$B:$B,$B$1&amp;"-"&amp;TEXT(2,"00")&amp;"*",수납!$E:$E,"수강료")+SUMIFS(수납!$F:$F,수납!$C:$C,원생!$A68,수납!$D:$D,IF(원생!$G68="","",원생!$G68),수납!$B:$B,$B$1&amp;"-"&amp;TEXT(2,"00")&amp;"*",수납!$E:$E,""))</f>
        <v/>
      </c>
      <c r="E70" s="14">
        <f>IF(원생!$A68="","",SUMIFS(수납!$F:$F,수납!$C:$C,원생!$A68,수납!$D:$D,IF(원생!$G68="","",원생!$G68),수납!$B:$B,$B$1&amp;"-"&amp;TEXT(3,"00")&amp;"*",수납!$E:$E,"수강료")+SUMIFS(수납!$F:$F,수납!$C:$C,원생!$A68,수납!$D:$D,IF(원생!$G68="","",원생!$G68),수납!$B:$B,$B$1&amp;"-"&amp;TEXT(3,"00")&amp;"*",수납!$E:$E,""))</f>
        <v/>
      </c>
      <c r="F70" s="14">
        <f>IF(원생!$A68="","",SUMIFS(수납!$F:$F,수납!$C:$C,원생!$A68,수납!$D:$D,IF(원생!$G68="","",원생!$G68),수납!$B:$B,$B$1&amp;"-"&amp;TEXT(4,"00")&amp;"*",수납!$E:$E,"수강료")+SUMIFS(수납!$F:$F,수납!$C:$C,원생!$A68,수납!$D:$D,IF(원생!$G68="","",원생!$G68),수납!$B:$B,$B$1&amp;"-"&amp;TEXT(4,"00")&amp;"*",수납!$E:$E,""))</f>
        <v/>
      </c>
      <c r="G70" s="14">
        <f>IF(원생!$A68="","",SUMIFS(수납!$F:$F,수납!$C:$C,원생!$A68,수납!$D:$D,IF(원생!$G68="","",원생!$G68),수납!$B:$B,$B$1&amp;"-"&amp;TEXT(5,"00")&amp;"*",수납!$E:$E,"수강료")+SUMIFS(수납!$F:$F,수납!$C:$C,원생!$A68,수납!$D:$D,IF(원생!$G68="","",원생!$G68),수납!$B:$B,$B$1&amp;"-"&amp;TEXT(5,"00")&amp;"*",수납!$E:$E,""))</f>
        <v/>
      </c>
      <c r="H70" s="14">
        <f>IF(원생!$A68="","",SUMIFS(수납!$F:$F,수납!$C:$C,원생!$A68,수납!$D:$D,IF(원생!$G68="","",원생!$G68),수납!$B:$B,$B$1&amp;"-"&amp;TEXT(6,"00")&amp;"*",수납!$E:$E,"수강료")+SUMIFS(수납!$F:$F,수납!$C:$C,원생!$A68,수납!$D:$D,IF(원생!$G68="","",원생!$G68),수납!$B:$B,$B$1&amp;"-"&amp;TEXT(6,"00")&amp;"*",수납!$E:$E,""))</f>
        <v/>
      </c>
      <c r="I70" s="14">
        <f>IF(원생!$A68="","",SUMIFS(수납!$F:$F,수납!$C:$C,원생!$A68,수납!$D:$D,IF(원생!$G68="","",원생!$G68),수납!$B:$B,$B$1&amp;"-"&amp;TEXT(7,"00")&amp;"*",수납!$E:$E,"수강료")+SUMIFS(수납!$F:$F,수납!$C:$C,원생!$A68,수납!$D:$D,IF(원생!$G68="","",원생!$G68),수납!$B:$B,$B$1&amp;"-"&amp;TEXT(7,"00")&amp;"*",수납!$E:$E,""))</f>
        <v/>
      </c>
      <c r="J70" s="14">
        <f>IF(원생!$A68="","",SUMIFS(수납!$F:$F,수납!$C:$C,원생!$A68,수납!$D:$D,IF(원생!$G68="","",원생!$G68),수납!$B:$B,$B$1&amp;"-"&amp;TEXT(8,"00")&amp;"*",수납!$E:$E,"수강료")+SUMIFS(수납!$F:$F,수납!$C:$C,원생!$A68,수납!$D:$D,IF(원생!$G68="","",원생!$G68),수납!$B:$B,$B$1&amp;"-"&amp;TEXT(8,"00")&amp;"*",수납!$E:$E,""))</f>
        <v/>
      </c>
      <c r="K70" s="14">
        <f>IF(원생!$A68="","",SUMIFS(수납!$F:$F,수납!$C:$C,원생!$A68,수납!$D:$D,IF(원생!$G68="","",원생!$G68),수납!$B:$B,$B$1&amp;"-"&amp;TEXT(9,"00")&amp;"*",수납!$E:$E,"수강료")+SUMIFS(수납!$F:$F,수납!$C:$C,원생!$A68,수납!$D:$D,IF(원생!$G68="","",원생!$G68),수납!$B:$B,$B$1&amp;"-"&amp;TEXT(9,"00")&amp;"*",수납!$E:$E,""))</f>
        <v/>
      </c>
      <c r="L70" s="14">
        <f>IF(원생!$A68="","",SUMIFS(수납!$F:$F,수납!$C:$C,원생!$A68,수납!$D:$D,IF(원생!$G68="","",원생!$G68),수납!$B:$B,$B$1&amp;"-"&amp;TEXT(10,"00")&amp;"*",수납!$E:$E,"수강료")+SUMIFS(수납!$F:$F,수납!$C:$C,원생!$A68,수납!$D:$D,IF(원생!$G68="","",원생!$G68),수납!$B:$B,$B$1&amp;"-"&amp;TEXT(10,"00")&amp;"*",수납!$E:$E,""))</f>
        <v/>
      </c>
      <c r="M70" s="14">
        <f>IF(원생!$A68="","",SUMIFS(수납!$F:$F,수납!$C:$C,원생!$A68,수납!$D:$D,IF(원생!$G68="","",원생!$G68),수납!$B:$B,$B$1&amp;"-"&amp;TEXT(11,"00")&amp;"*",수납!$E:$E,"수강료")+SUMIFS(수납!$F:$F,수납!$C:$C,원생!$A68,수납!$D:$D,IF(원생!$G68="","",원생!$G68),수납!$B:$B,$B$1&amp;"-"&amp;TEXT(11,"00")&amp;"*",수납!$E:$E,""))</f>
        <v/>
      </c>
      <c r="N70" s="14">
        <f>IF(원생!$A68="","",SUMIFS(수납!$F:$F,수납!$C:$C,원생!$A68,수납!$D:$D,IF(원생!$G68="","",원생!$G68),수납!$B:$B,$B$1&amp;"-"&amp;TEXT(12,"00")&amp;"*",수납!$E:$E,"수강료")+SUMIFS(수납!$F:$F,수납!$C:$C,원생!$A68,수납!$D:$D,IF(원생!$G68="","",원생!$G68),수납!$B:$B,$B$1&amp;"-"&amp;TEXT(12,"00")&amp;"*",수납!$E:$E,""))</f>
        <v/>
      </c>
      <c r="O70">
        <f>IF(원생!$I68="","",원생!$I68)</f>
        <v/>
      </c>
      <c r="P70">
        <f>IF($A70="","",IF(AND($B70&gt;0,C70&lt;$B70,DATE($B$1,1,1)&lt;=TODAY(),OR($O70="",$O70&gt;=DATE($B$1,1,1)),OR(COUNTIF($C70:C70,"&gt;0")&gt;0,DATE($B$1,1,1)=DATE(YEAR(TODAY()),MONTH(TODAY()),1))),1,0))</f>
        <v/>
      </c>
      <c r="Q70">
        <f>IF($A70="","",IF(AND($B70&gt;0,D70&lt;$B70,DATE($B$1,2,1)&lt;=TODAY(),OR($O70="",$O70&gt;=DATE($B$1,2,1)),OR(COUNTIF($C70:D70,"&gt;0")&gt;0,DATE($B$1,2,1)=DATE(YEAR(TODAY()),MONTH(TODAY()),1))),1,0))</f>
        <v/>
      </c>
      <c r="R70">
        <f>IF($A70="","",IF(AND($B70&gt;0,E70&lt;$B70,DATE($B$1,3,1)&lt;=TODAY(),OR($O70="",$O70&gt;=DATE($B$1,3,1)),OR(COUNTIF($C70:E70,"&gt;0")&gt;0,DATE($B$1,3,1)=DATE(YEAR(TODAY()),MONTH(TODAY()),1))),1,0))</f>
        <v/>
      </c>
      <c r="S70">
        <f>IF($A70="","",IF(AND($B70&gt;0,F70&lt;$B70,DATE($B$1,4,1)&lt;=TODAY(),OR($O70="",$O70&gt;=DATE($B$1,4,1)),OR(COUNTIF($C70:F70,"&gt;0")&gt;0,DATE($B$1,4,1)=DATE(YEAR(TODAY()),MONTH(TODAY()),1))),1,0))</f>
        <v/>
      </c>
      <c r="T70">
        <f>IF($A70="","",IF(AND($B70&gt;0,G70&lt;$B70,DATE($B$1,5,1)&lt;=TODAY(),OR($O70="",$O70&gt;=DATE($B$1,5,1)),OR(COUNTIF($C70:G70,"&gt;0")&gt;0,DATE($B$1,5,1)=DATE(YEAR(TODAY()),MONTH(TODAY()),1))),1,0))</f>
        <v/>
      </c>
      <c r="U70">
        <f>IF($A70="","",IF(AND($B70&gt;0,H70&lt;$B70,DATE($B$1,6,1)&lt;=TODAY(),OR($O70="",$O70&gt;=DATE($B$1,6,1)),OR(COUNTIF($C70:H70,"&gt;0")&gt;0,DATE($B$1,6,1)=DATE(YEAR(TODAY()),MONTH(TODAY()),1))),1,0))</f>
        <v/>
      </c>
      <c r="V70">
        <f>IF($A70="","",IF(AND($B70&gt;0,I70&lt;$B70,DATE($B$1,7,1)&lt;=TODAY(),OR($O70="",$O70&gt;=DATE($B$1,7,1)),OR(COUNTIF($C70:I70,"&gt;0")&gt;0,DATE($B$1,7,1)=DATE(YEAR(TODAY()),MONTH(TODAY()),1))),1,0))</f>
        <v/>
      </c>
      <c r="W70">
        <f>IF($A70="","",IF(AND($B70&gt;0,J70&lt;$B70,DATE($B$1,8,1)&lt;=TODAY(),OR($O70="",$O70&gt;=DATE($B$1,8,1)),OR(COUNTIF($C70:J70,"&gt;0")&gt;0,DATE($B$1,8,1)=DATE(YEAR(TODAY()),MONTH(TODAY()),1))),1,0))</f>
        <v/>
      </c>
      <c r="X70">
        <f>IF($A70="","",IF(AND($B70&gt;0,K70&lt;$B70,DATE($B$1,9,1)&lt;=TODAY(),OR($O70="",$O70&gt;=DATE($B$1,9,1)),OR(COUNTIF($C70:K70,"&gt;0")&gt;0,DATE($B$1,9,1)=DATE(YEAR(TODAY()),MONTH(TODAY()),1))),1,0))</f>
        <v/>
      </c>
      <c r="Y70">
        <f>IF($A70="","",IF(AND($B70&gt;0,L70&lt;$B70,DATE($B$1,10,1)&lt;=TODAY(),OR($O70="",$O70&gt;=DATE($B$1,10,1)),OR(COUNTIF($C70:L70,"&gt;0")&gt;0,DATE($B$1,10,1)=DATE(YEAR(TODAY()),MONTH(TODAY()),1))),1,0))</f>
        <v/>
      </c>
      <c r="Z70">
        <f>IF($A70="","",IF(AND($B70&gt;0,M70&lt;$B70,DATE($B$1,11,1)&lt;=TODAY(),OR($O70="",$O70&gt;=DATE($B$1,11,1)),OR(COUNTIF($C70:M70,"&gt;0")&gt;0,DATE($B$1,11,1)=DATE(YEAR(TODAY()),MONTH(TODAY()),1))),1,0))</f>
        <v/>
      </c>
      <c r="AA70">
        <f>IF($A70="","",IF(AND($B70&gt;0,N70&lt;$B70,DATE($B$1,12,1)&lt;=TODAY(),OR($O70="",$O70&gt;=DATE($B$1,12,1)),OR(COUNTIF($C70:N70,"&gt;0")&gt;0,DATE($B$1,12,1)=DATE(YEAR(TODAY()),MONTH(TODAY()),1))),1,0))</f>
        <v/>
      </c>
    </row>
    <row r="71">
      <c r="A71" s="13">
        <f>IF(원생!$A69="","",원생!$A69&amp;IF(원생!$G69="",""," ("&amp;원생!$G69&amp;")"))</f>
        <v/>
      </c>
      <c r="B71" s="8">
        <f>IF(원생!$A69="","",원생!$F69)</f>
        <v/>
      </c>
      <c r="C71" s="14">
        <f>IF(원생!$A69="","",SUMIFS(수납!$F:$F,수납!$C:$C,원생!$A69,수납!$D:$D,IF(원생!$G69="","",원생!$G69),수납!$B:$B,$B$1&amp;"-"&amp;TEXT(1,"00")&amp;"*",수납!$E:$E,"수강료")+SUMIFS(수납!$F:$F,수납!$C:$C,원생!$A69,수납!$D:$D,IF(원생!$G69="","",원생!$G69),수납!$B:$B,$B$1&amp;"-"&amp;TEXT(1,"00")&amp;"*",수납!$E:$E,""))</f>
        <v/>
      </c>
      <c r="D71" s="14">
        <f>IF(원생!$A69="","",SUMIFS(수납!$F:$F,수납!$C:$C,원생!$A69,수납!$D:$D,IF(원생!$G69="","",원생!$G69),수납!$B:$B,$B$1&amp;"-"&amp;TEXT(2,"00")&amp;"*",수납!$E:$E,"수강료")+SUMIFS(수납!$F:$F,수납!$C:$C,원생!$A69,수납!$D:$D,IF(원생!$G69="","",원생!$G69),수납!$B:$B,$B$1&amp;"-"&amp;TEXT(2,"00")&amp;"*",수납!$E:$E,""))</f>
        <v/>
      </c>
      <c r="E71" s="14">
        <f>IF(원생!$A69="","",SUMIFS(수납!$F:$F,수납!$C:$C,원생!$A69,수납!$D:$D,IF(원생!$G69="","",원생!$G69),수납!$B:$B,$B$1&amp;"-"&amp;TEXT(3,"00")&amp;"*",수납!$E:$E,"수강료")+SUMIFS(수납!$F:$F,수납!$C:$C,원생!$A69,수납!$D:$D,IF(원생!$G69="","",원생!$G69),수납!$B:$B,$B$1&amp;"-"&amp;TEXT(3,"00")&amp;"*",수납!$E:$E,""))</f>
        <v/>
      </c>
      <c r="F71" s="14">
        <f>IF(원생!$A69="","",SUMIFS(수납!$F:$F,수납!$C:$C,원생!$A69,수납!$D:$D,IF(원생!$G69="","",원생!$G69),수납!$B:$B,$B$1&amp;"-"&amp;TEXT(4,"00")&amp;"*",수납!$E:$E,"수강료")+SUMIFS(수납!$F:$F,수납!$C:$C,원생!$A69,수납!$D:$D,IF(원생!$G69="","",원생!$G69),수납!$B:$B,$B$1&amp;"-"&amp;TEXT(4,"00")&amp;"*",수납!$E:$E,""))</f>
        <v/>
      </c>
      <c r="G71" s="14">
        <f>IF(원생!$A69="","",SUMIFS(수납!$F:$F,수납!$C:$C,원생!$A69,수납!$D:$D,IF(원생!$G69="","",원생!$G69),수납!$B:$B,$B$1&amp;"-"&amp;TEXT(5,"00")&amp;"*",수납!$E:$E,"수강료")+SUMIFS(수납!$F:$F,수납!$C:$C,원생!$A69,수납!$D:$D,IF(원생!$G69="","",원생!$G69),수납!$B:$B,$B$1&amp;"-"&amp;TEXT(5,"00")&amp;"*",수납!$E:$E,""))</f>
        <v/>
      </c>
      <c r="H71" s="14">
        <f>IF(원생!$A69="","",SUMIFS(수납!$F:$F,수납!$C:$C,원생!$A69,수납!$D:$D,IF(원생!$G69="","",원생!$G69),수납!$B:$B,$B$1&amp;"-"&amp;TEXT(6,"00")&amp;"*",수납!$E:$E,"수강료")+SUMIFS(수납!$F:$F,수납!$C:$C,원생!$A69,수납!$D:$D,IF(원생!$G69="","",원생!$G69),수납!$B:$B,$B$1&amp;"-"&amp;TEXT(6,"00")&amp;"*",수납!$E:$E,""))</f>
        <v/>
      </c>
      <c r="I71" s="14">
        <f>IF(원생!$A69="","",SUMIFS(수납!$F:$F,수납!$C:$C,원생!$A69,수납!$D:$D,IF(원생!$G69="","",원생!$G69),수납!$B:$B,$B$1&amp;"-"&amp;TEXT(7,"00")&amp;"*",수납!$E:$E,"수강료")+SUMIFS(수납!$F:$F,수납!$C:$C,원생!$A69,수납!$D:$D,IF(원생!$G69="","",원생!$G69),수납!$B:$B,$B$1&amp;"-"&amp;TEXT(7,"00")&amp;"*",수납!$E:$E,""))</f>
        <v/>
      </c>
      <c r="J71" s="14">
        <f>IF(원생!$A69="","",SUMIFS(수납!$F:$F,수납!$C:$C,원생!$A69,수납!$D:$D,IF(원생!$G69="","",원생!$G69),수납!$B:$B,$B$1&amp;"-"&amp;TEXT(8,"00")&amp;"*",수납!$E:$E,"수강료")+SUMIFS(수납!$F:$F,수납!$C:$C,원생!$A69,수납!$D:$D,IF(원생!$G69="","",원생!$G69),수납!$B:$B,$B$1&amp;"-"&amp;TEXT(8,"00")&amp;"*",수납!$E:$E,""))</f>
        <v/>
      </c>
      <c r="K71" s="14">
        <f>IF(원생!$A69="","",SUMIFS(수납!$F:$F,수납!$C:$C,원생!$A69,수납!$D:$D,IF(원생!$G69="","",원생!$G69),수납!$B:$B,$B$1&amp;"-"&amp;TEXT(9,"00")&amp;"*",수납!$E:$E,"수강료")+SUMIFS(수납!$F:$F,수납!$C:$C,원생!$A69,수납!$D:$D,IF(원생!$G69="","",원생!$G69),수납!$B:$B,$B$1&amp;"-"&amp;TEXT(9,"00")&amp;"*",수납!$E:$E,""))</f>
        <v/>
      </c>
      <c r="L71" s="14">
        <f>IF(원생!$A69="","",SUMIFS(수납!$F:$F,수납!$C:$C,원생!$A69,수납!$D:$D,IF(원생!$G69="","",원생!$G69),수납!$B:$B,$B$1&amp;"-"&amp;TEXT(10,"00")&amp;"*",수납!$E:$E,"수강료")+SUMIFS(수납!$F:$F,수납!$C:$C,원생!$A69,수납!$D:$D,IF(원생!$G69="","",원생!$G69),수납!$B:$B,$B$1&amp;"-"&amp;TEXT(10,"00")&amp;"*",수납!$E:$E,""))</f>
        <v/>
      </c>
      <c r="M71" s="14">
        <f>IF(원생!$A69="","",SUMIFS(수납!$F:$F,수납!$C:$C,원생!$A69,수납!$D:$D,IF(원생!$G69="","",원생!$G69),수납!$B:$B,$B$1&amp;"-"&amp;TEXT(11,"00")&amp;"*",수납!$E:$E,"수강료")+SUMIFS(수납!$F:$F,수납!$C:$C,원생!$A69,수납!$D:$D,IF(원생!$G69="","",원생!$G69),수납!$B:$B,$B$1&amp;"-"&amp;TEXT(11,"00")&amp;"*",수납!$E:$E,""))</f>
        <v/>
      </c>
      <c r="N71" s="14">
        <f>IF(원생!$A69="","",SUMIFS(수납!$F:$F,수납!$C:$C,원생!$A69,수납!$D:$D,IF(원생!$G69="","",원생!$G69),수납!$B:$B,$B$1&amp;"-"&amp;TEXT(12,"00")&amp;"*",수납!$E:$E,"수강료")+SUMIFS(수납!$F:$F,수납!$C:$C,원생!$A69,수납!$D:$D,IF(원생!$G69="","",원생!$G69),수납!$B:$B,$B$1&amp;"-"&amp;TEXT(12,"00")&amp;"*",수납!$E:$E,""))</f>
        <v/>
      </c>
      <c r="O71">
        <f>IF(원생!$I69="","",원생!$I69)</f>
        <v/>
      </c>
      <c r="P71">
        <f>IF($A71="","",IF(AND($B71&gt;0,C71&lt;$B71,DATE($B$1,1,1)&lt;=TODAY(),OR($O71="",$O71&gt;=DATE($B$1,1,1)),OR(COUNTIF($C71:C71,"&gt;0")&gt;0,DATE($B$1,1,1)=DATE(YEAR(TODAY()),MONTH(TODAY()),1))),1,0))</f>
        <v/>
      </c>
      <c r="Q71">
        <f>IF($A71="","",IF(AND($B71&gt;0,D71&lt;$B71,DATE($B$1,2,1)&lt;=TODAY(),OR($O71="",$O71&gt;=DATE($B$1,2,1)),OR(COUNTIF($C71:D71,"&gt;0")&gt;0,DATE($B$1,2,1)=DATE(YEAR(TODAY()),MONTH(TODAY()),1))),1,0))</f>
        <v/>
      </c>
      <c r="R71">
        <f>IF($A71="","",IF(AND($B71&gt;0,E71&lt;$B71,DATE($B$1,3,1)&lt;=TODAY(),OR($O71="",$O71&gt;=DATE($B$1,3,1)),OR(COUNTIF($C71:E71,"&gt;0")&gt;0,DATE($B$1,3,1)=DATE(YEAR(TODAY()),MONTH(TODAY()),1))),1,0))</f>
        <v/>
      </c>
      <c r="S71">
        <f>IF($A71="","",IF(AND($B71&gt;0,F71&lt;$B71,DATE($B$1,4,1)&lt;=TODAY(),OR($O71="",$O71&gt;=DATE($B$1,4,1)),OR(COUNTIF($C71:F71,"&gt;0")&gt;0,DATE($B$1,4,1)=DATE(YEAR(TODAY()),MONTH(TODAY()),1))),1,0))</f>
        <v/>
      </c>
      <c r="T71">
        <f>IF($A71="","",IF(AND($B71&gt;0,G71&lt;$B71,DATE($B$1,5,1)&lt;=TODAY(),OR($O71="",$O71&gt;=DATE($B$1,5,1)),OR(COUNTIF($C71:G71,"&gt;0")&gt;0,DATE($B$1,5,1)=DATE(YEAR(TODAY()),MONTH(TODAY()),1))),1,0))</f>
        <v/>
      </c>
      <c r="U71">
        <f>IF($A71="","",IF(AND($B71&gt;0,H71&lt;$B71,DATE($B$1,6,1)&lt;=TODAY(),OR($O71="",$O71&gt;=DATE($B$1,6,1)),OR(COUNTIF($C71:H71,"&gt;0")&gt;0,DATE($B$1,6,1)=DATE(YEAR(TODAY()),MONTH(TODAY()),1))),1,0))</f>
        <v/>
      </c>
      <c r="V71">
        <f>IF($A71="","",IF(AND($B71&gt;0,I71&lt;$B71,DATE($B$1,7,1)&lt;=TODAY(),OR($O71="",$O71&gt;=DATE($B$1,7,1)),OR(COUNTIF($C71:I71,"&gt;0")&gt;0,DATE($B$1,7,1)=DATE(YEAR(TODAY()),MONTH(TODAY()),1))),1,0))</f>
        <v/>
      </c>
      <c r="W71">
        <f>IF($A71="","",IF(AND($B71&gt;0,J71&lt;$B71,DATE($B$1,8,1)&lt;=TODAY(),OR($O71="",$O71&gt;=DATE($B$1,8,1)),OR(COUNTIF($C71:J71,"&gt;0")&gt;0,DATE($B$1,8,1)=DATE(YEAR(TODAY()),MONTH(TODAY()),1))),1,0))</f>
        <v/>
      </c>
      <c r="X71">
        <f>IF($A71="","",IF(AND($B71&gt;0,K71&lt;$B71,DATE($B$1,9,1)&lt;=TODAY(),OR($O71="",$O71&gt;=DATE($B$1,9,1)),OR(COUNTIF($C71:K71,"&gt;0")&gt;0,DATE($B$1,9,1)=DATE(YEAR(TODAY()),MONTH(TODAY()),1))),1,0))</f>
        <v/>
      </c>
      <c r="Y71">
        <f>IF($A71="","",IF(AND($B71&gt;0,L71&lt;$B71,DATE($B$1,10,1)&lt;=TODAY(),OR($O71="",$O71&gt;=DATE($B$1,10,1)),OR(COUNTIF($C71:L71,"&gt;0")&gt;0,DATE($B$1,10,1)=DATE(YEAR(TODAY()),MONTH(TODAY()),1))),1,0))</f>
        <v/>
      </c>
      <c r="Z71">
        <f>IF($A71="","",IF(AND($B71&gt;0,M71&lt;$B71,DATE($B$1,11,1)&lt;=TODAY(),OR($O71="",$O71&gt;=DATE($B$1,11,1)),OR(COUNTIF($C71:M71,"&gt;0")&gt;0,DATE($B$1,11,1)=DATE(YEAR(TODAY()),MONTH(TODAY()),1))),1,0))</f>
        <v/>
      </c>
      <c r="AA71">
        <f>IF($A71="","",IF(AND($B71&gt;0,N71&lt;$B71,DATE($B$1,12,1)&lt;=TODAY(),OR($O71="",$O71&gt;=DATE($B$1,12,1)),OR(COUNTIF($C71:N71,"&gt;0")&gt;0,DATE($B$1,12,1)=DATE(YEAR(TODAY()),MONTH(TODAY()),1))),1,0))</f>
        <v/>
      </c>
    </row>
    <row r="72">
      <c r="A72" s="13">
        <f>IF(원생!$A70="","",원생!$A70&amp;IF(원생!$G70="",""," ("&amp;원생!$G70&amp;")"))</f>
        <v/>
      </c>
      <c r="B72" s="8">
        <f>IF(원생!$A70="","",원생!$F70)</f>
        <v/>
      </c>
      <c r="C72" s="14">
        <f>IF(원생!$A70="","",SUMIFS(수납!$F:$F,수납!$C:$C,원생!$A70,수납!$D:$D,IF(원생!$G70="","",원생!$G70),수납!$B:$B,$B$1&amp;"-"&amp;TEXT(1,"00")&amp;"*",수납!$E:$E,"수강료")+SUMIFS(수납!$F:$F,수납!$C:$C,원생!$A70,수납!$D:$D,IF(원생!$G70="","",원생!$G70),수납!$B:$B,$B$1&amp;"-"&amp;TEXT(1,"00")&amp;"*",수납!$E:$E,""))</f>
        <v/>
      </c>
      <c r="D72" s="14">
        <f>IF(원생!$A70="","",SUMIFS(수납!$F:$F,수납!$C:$C,원생!$A70,수납!$D:$D,IF(원생!$G70="","",원생!$G70),수납!$B:$B,$B$1&amp;"-"&amp;TEXT(2,"00")&amp;"*",수납!$E:$E,"수강료")+SUMIFS(수납!$F:$F,수납!$C:$C,원생!$A70,수납!$D:$D,IF(원생!$G70="","",원생!$G70),수납!$B:$B,$B$1&amp;"-"&amp;TEXT(2,"00")&amp;"*",수납!$E:$E,""))</f>
        <v/>
      </c>
      <c r="E72" s="14">
        <f>IF(원생!$A70="","",SUMIFS(수납!$F:$F,수납!$C:$C,원생!$A70,수납!$D:$D,IF(원생!$G70="","",원생!$G70),수납!$B:$B,$B$1&amp;"-"&amp;TEXT(3,"00")&amp;"*",수납!$E:$E,"수강료")+SUMIFS(수납!$F:$F,수납!$C:$C,원생!$A70,수납!$D:$D,IF(원생!$G70="","",원생!$G70),수납!$B:$B,$B$1&amp;"-"&amp;TEXT(3,"00")&amp;"*",수납!$E:$E,""))</f>
        <v/>
      </c>
      <c r="F72" s="14">
        <f>IF(원생!$A70="","",SUMIFS(수납!$F:$F,수납!$C:$C,원생!$A70,수납!$D:$D,IF(원생!$G70="","",원생!$G70),수납!$B:$B,$B$1&amp;"-"&amp;TEXT(4,"00")&amp;"*",수납!$E:$E,"수강료")+SUMIFS(수납!$F:$F,수납!$C:$C,원생!$A70,수납!$D:$D,IF(원생!$G70="","",원생!$G70),수납!$B:$B,$B$1&amp;"-"&amp;TEXT(4,"00")&amp;"*",수납!$E:$E,""))</f>
        <v/>
      </c>
      <c r="G72" s="14">
        <f>IF(원생!$A70="","",SUMIFS(수납!$F:$F,수납!$C:$C,원생!$A70,수납!$D:$D,IF(원생!$G70="","",원생!$G70),수납!$B:$B,$B$1&amp;"-"&amp;TEXT(5,"00")&amp;"*",수납!$E:$E,"수강료")+SUMIFS(수납!$F:$F,수납!$C:$C,원생!$A70,수납!$D:$D,IF(원생!$G70="","",원생!$G70),수납!$B:$B,$B$1&amp;"-"&amp;TEXT(5,"00")&amp;"*",수납!$E:$E,""))</f>
        <v/>
      </c>
      <c r="H72" s="14">
        <f>IF(원생!$A70="","",SUMIFS(수납!$F:$F,수납!$C:$C,원생!$A70,수납!$D:$D,IF(원생!$G70="","",원생!$G70),수납!$B:$B,$B$1&amp;"-"&amp;TEXT(6,"00")&amp;"*",수납!$E:$E,"수강료")+SUMIFS(수납!$F:$F,수납!$C:$C,원생!$A70,수납!$D:$D,IF(원생!$G70="","",원생!$G70),수납!$B:$B,$B$1&amp;"-"&amp;TEXT(6,"00")&amp;"*",수납!$E:$E,""))</f>
        <v/>
      </c>
      <c r="I72" s="14">
        <f>IF(원생!$A70="","",SUMIFS(수납!$F:$F,수납!$C:$C,원생!$A70,수납!$D:$D,IF(원생!$G70="","",원생!$G70),수납!$B:$B,$B$1&amp;"-"&amp;TEXT(7,"00")&amp;"*",수납!$E:$E,"수강료")+SUMIFS(수납!$F:$F,수납!$C:$C,원생!$A70,수납!$D:$D,IF(원생!$G70="","",원생!$G70),수납!$B:$B,$B$1&amp;"-"&amp;TEXT(7,"00")&amp;"*",수납!$E:$E,""))</f>
        <v/>
      </c>
      <c r="J72" s="14">
        <f>IF(원생!$A70="","",SUMIFS(수납!$F:$F,수납!$C:$C,원생!$A70,수납!$D:$D,IF(원생!$G70="","",원생!$G70),수납!$B:$B,$B$1&amp;"-"&amp;TEXT(8,"00")&amp;"*",수납!$E:$E,"수강료")+SUMIFS(수납!$F:$F,수납!$C:$C,원생!$A70,수납!$D:$D,IF(원생!$G70="","",원생!$G70),수납!$B:$B,$B$1&amp;"-"&amp;TEXT(8,"00")&amp;"*",수납!$E:$E,""))</f>
        <v/>
      </c>
      <c r="K72" s="14">
        <f>IF(원생!$A70="","",SUMIFS(수납!$F:$F,수납!$C:$C,원생!$A70,수납!$D:$D,IF(원생!$G70="","",원생!$G70),수납!$B:$B,$B$1&amp;"-"&amp;TEXT(9,"00")&amp;"*",수납!$E:$E,"수강료")+SUMIFS(수납!$F:$F,수납!$C:$C,원생!$A70,수납!$D:$D,IF(원생!$G70="","",원생!$G70),수납!$B:$B,$B$1&amp;"-"&amp;TEXT(9,"00")&amp;"*",수납!$E:$E,""))</f>
        <v/>
      </c>
      <c r="L72" s="14">
        <f>IF(원생!$A70="","",SUMIFS(수납!$F:$F,수납!$C:$C,원생!$A70,수납!$D:$D,IF(원생!$G70="","",원생!$G70),수납!$B:$B,$B$1&amp;"-"&amp;TEXT(10,"00")&amp;"*",수납!$E:$E,"수강료")+SUMIFS(수납!$F:$F,수납!$C:$C,원생!$A70,수납!$D:$D,IF(원생!$G70="","",원생!$G70),수납!$B:$B,$B$1&amp;"-"&amp;TEXT(10,"00")&amp;"*",수납!$E:$E,""))</f>
        <v/>
      </c>
      <c r="M72" s="14">
        <f>IF(원생!$A70="","",SUMIFS(수납!$F:$F,수납!$C:$C,원생!$A70,수납!$D:$D,IF(원생!$G70="","",원생!$G70),수납!$B:$B,$B$1&amp;"-"&amp;TEXT(11,"00")&amp;"*",수납!$E:$E,"수강료")+SUMIFS(수납!$F:$F,수납!$C:$C,원생!$A70,수납!$D:$D,IF(원생!$G70="","",원생!$G70),수납!$B:$B,$B$1&amp;"-"&amp;TEXT(11,"00")&amp;"*",수납!$E:$E,""))</f>
        <v/>
      </c>
      <c r="N72" s="14">
        <f>IF(원생!$A70="","",SUMIFS(수납!$F:$F,수납!$C:$C,원생!$A70,수납!$D:$D,IF(원생!$G70="","",원생!$G70),수납!$B:$B,$B$1&amp;"-"&amp;TEXT(12,"00")&amp;"*",수납!$E:$E,"수강료")+SUMIFS(수납!$F:$F,수납!$C:$C,원생!$A70,수납!$D:$D,IF(원생!$G70="","",원생!$G70),수납!$B:$B,$B$1&amp;"-"&amp;TEXT(12,"00")&amp;"*",수납!$E:$E,""))</f>
        <v/>
      </c>
      <c r="O72">
        <f>IF(원생!$I70="","",원생!$I70)</f>
        <v/>
      </c>
      <c r="P72">
        <f>IF($A72="","",IF(AND($B72&gt;0,C72&lt;$B72,DATE($B$1,1,1)&lt;=TODAY(),OR($O72="",$O72&gt;=DATE($B$1,1,1)),OR(COUNTIF($C72:C72,"&gt;0")&gt;0,DATE($B$1,1,1)=DATE(YEAR(TODAY()),MONTH(TODAY()),1))),1,0))</f>
        <v/>
      </c>
      <c r="Q72">
        <f>IF($A72="","",IF(AND($B72&gt;0,D72&lt;$B72,DATE($B$1,2,1)&lt;=TODAY(),OR($O72="",$O72&gt;=DATE($B$1,2,1)),OR(COUNTIF($C72:D72,"&gt;0")&gt;0,DATE($B$1,2,1)=DATE(YEAR(TODAY()),MONTH(TODAY()),1))),1,0))</f>
        <v/>
      </c>
      <c r="R72">
        <f>IF($A72="","",IF(AND($B72&gt;0,E72&lt;$B72,DATE($B$1,3,1)&lt;=TODAY(),OR($O72="",$O72&gt;=DATE($B$1,3,1)),OR(COUNTIF($C72:E72,"&gt;0")&gt;0,DATE($B$1,3,1)=DATE(YEAR(TODAY()),MONTH(TODAY()),1))),1,0))</f>
        <v/>
      </c>
      <c r="S72">
        <f>IF($A72="","",IF(AND($B72&gt;0,F72&lt;$B72,DATE($B$1,4,1)&lt;=TODAY(),OR($O72="",$O72&gt;=DATE($B$1,4,1)),OR(COUNTIF($C72:F72,"&gt;0")&gt;0,DATE($B$1,4,1)=DATE(YEAR(TODAY()),MONTH(TODAY()),1))),1,0))</f>
        <v/>
      </c>
      <c r="T72">
        <f>IF($A72="","",IF(AND($B72&gt;0,G72&lt;$B72,DATE($B$1,5,1)&lt;=TODAY(),OR($O72="",$O72&gt;=DATE($B$1,5,1)),OR(COUNTIF($C72:G72,"&gt;0")&gt;0,DATE($B$1,5,1)=DATE(YEAR(TODAY()),MONTH(TODAY()),1))),1,0))</f>
        <v/>
      </c>
      <c r="U72">
        <f>IF($A72="","",IF(AND($B72&gt;0,H72&lt;$B72,DATE($B$1,6,1)&lt;=TODAY(),OR($O72="",$O72&gt;=DATE($B$1,6,1)),OR(COUNTIF($C72:H72,"&gt;0")&gt;0,DATE($B$1,6,1)=DATE(YEAR(TODAY()),MONTH(TODAY()),1))),1,0))</f>
        <v/>
      </c>
      <c r="V72">
        <f>IF($A72="","",IF(AND($B72&gt;0,I72&lt;$B72,DATE($B$1,7,1)&lt;=TODAY(),OR($O72="",$O72&gt;=DATE($B$1,7,1)),OR(COUNTIF($C72:I72,"&gt;0")&gt;0,DATE($B$1,7,1)=DATE(YEAR(TODAY()),MONTH(TODAY()),1))),1,0))</f>
        <v/>
      </c>
      <c r="W72">
        <f>IF($A72="","",IF(AND($B72&gt;0,J72&lt;$B72,DATE($B$1,8,1)&lt;=TODAY(),OR($O72="",$O72&gt;=DATE($B$1,8,1)),OR(COUNTIF($C72:J72,"&gt;0")&gt;0,DATE($B$1,8,1)=DATE(YEAR(TODAY()),MONTH(TODAY()),1))),1,0))</f>
        <v/>
      </c>
      <c r="X72">
        <f>IF($A72="","",IF(AND($B72&gt;0,K72&lt;$B72,DATE($B$1,9,1)&lt;=TODAY(),OR($O72="",$O72&gt;=DATE($B$1,9,1)),OR(COUNTIF($C72:K72,"&gt;0")&gt;0,DATE($B$1,9,1)=DATE(YEAR(TODAY()),MONTH(TODAY()),1))),1,0))</f>
        <v/>
      </c>
      <c r="Y72">
        <f>IF($A72="","",IF(AND($B72&gt;0,L72&lt;$B72,DATE($B$1,10,1)&lt;=TODAY(),OR($O72="",$O72&gt;=DATE($B$1,10,1)),OR(COUNTIF($C72:L72,"&gt;0")&gt;0,DATE($B$1,10,1)=DATE(YEAR(TODAY()),MONTH(TODAY()),1))),1,0))</f>
        <v/>
      </c>
      <c r="Z72">
        <f>IF($A72="","",IF(AND($B72&gt;0,M72&lt;$B72,DATE($B$1,11,1)&lt;=TODAY(),OR($O72="",$O72&gt;=DATE($B$1,11,1)),OR(COUNTIF($C72:M72,"&gt;0")&gt;0,DATE($B$1,11,1)=DATE(YEAR(TODAY()),MONTH(TODAY()),1))),1,0))</f>
        <v/>
      </c>
      <c r="AA72">
        <f>IF($A72="","",IF(AND($B72&gt;0,N72&lt;$B72,DATE($B$1,12,1)&lt;=TODAY(),OR($O72="",$O72&gt;=DATE($B$1,12,1)),OR(COUNTIF($C72:N72,"&gt;0")&gt;0,DATE($B$1,12,1)=DATE(YEAR(TODAY()),MONTH(TODAY()),1))),1,0))</f>
        <v/>
      </c>
    </row>
    <row r="73">
      <c r="A73" s="13">
        <f>IF(원생!$A71="","",원생!$A71&amp;IF(원생!$G71="",""," ("&amp;원생!$G71&amp;")"))</f>
        <v/>
      </c>
      <c r="B73" s="8">
        <f>IF(원생!$A71="","",원생!$F71)</f>
        <v/>
      </c>
      <c r="C73" s="14">
        <f>IF(원생!$A71="","",SUMIFS(수납!$F:$F,수납!$C:$C,원생!$A71,수납!$D:$D,IF(원생!$G71="","",원생!$G71),수납!$B:$B,$B$1&amp;"-"&amp;TEXT(1,"00")&amp;"*",수납!$E:$E,"수강료")+SUMIFS(수납!$F:$F,수납!$C:$C,원생!$A71,수납!$D:$D,IF(원생!$G71="","",원생!$G71),수납!$B:$B,$B$1&amp;"-"&amp;TEXT(1,"00")&amp;"*",수납!$E:$E,""))</f>
        <v/>
      </c>
      <c r="D73" s="14">
        <f>IF(원생!$A71="","",SUMIFS(수납!$F:$F,수납!$C:$C,원생!$A71,수납!$D:$D,IF(원생!$G71="","",원생!$G71),수납!$B:$B,$B$1&amp;"-"&amp;TEXT(2,"00")&amp;"*",수납!$E:$E,"수강료")+SUMIFS(수납!$F:$F,수납!$C:$C,원생!$A71,수납!$D:$D,IF(원생!$G71="","",원생!$G71),수납!$B:$B,$B$1&amp;"-"&amp;TEXT(2,"00")&amp;"*",수납!$E:$E,""))</f>
        <v/>
      </c>
      <c r="E73" s="14">
        <f>IF(원생!$A71="","",SUMIFS(수납!$F:$F,수납!$C:$C,원생!$A71,수납!$D:$D,IF(원생!$G71="","",원생!$G71),수납!$B:$B,$B$1&amp;"-"&amp;TEXT(3,"00")&amp;"*",수납!$E:$E,"수강료")+SUMIFS(수납!$F:$F,수납!$C:$C,원생!$A71,수납!$D:$D,IF(원생!$G71="","",원생!$G71),수납!$B:$B,$B$1&amp;"-"&amp;TEXT(3,"00")&amp;"*",수납!$E:$E,""))</f>
        <v/>
      </c>
      <c r="F73" s="14">
        <f>IF(원생!$A71="","",SUMIFS(수납!$F:$F,수납!$C:$C,원생!$A71,수납!$D:$D,IF(원생!$G71="","",원생!$G71),수납!$B:$B,$B$1&amp;"-"&amp;TEXT(4,"00")&amp;"*",수납!$E:$E,"수강료")+SUMIFS(수납!$F:$F,수납!$C:$C,원생!$A71,수납!$D:$D,IF(원생!$G71="","",원생!$G71),수납!$B:$B,$B$1&amp;"-"&amp;TEXT(4,"00")&amp;"*",수납!$E:$E,""))</f>
        <v/>
      </c>
      <c r="G73" s="14">
        <f>IF(원생!$A71="","",SUMIFS(수납!$F:$F,수납!$C:$C,원생!$A71,수납!$D:$D,IF(원생!$G71="","",원생!$G71),수납!$B:$B,$B$1&amp;"-"&amp;TEXT(5,"00")&amp;"*",수납!$E:$E,"수강료")+SUMIFS(수납!$F:$F,수납!$C:$C,원생!$A71,수납!$D:$D,IF(원생!$G71="","",원생!$G71),수납!$B:$B,$B$1&amp;"-"&amp;TEXT(5,"00")&amp;"*",수납!$E:$E,""))</f>
        <v/>
      </c>
      <c r="H73" s="14">
        <f>IF(원생!$A71="","",SUMIFS(수납!$F:$F,수납!$C:$C,원생!$A71,수납!$D:$D,IF(원생!$G71="","",원생!$G71),수납!$B:$B,$B$1&amp;"-"&amp;TEXT(6,"00")&amp;"*",수납!$E:$E,"수강료")+SUMIFS(수납!$F:$F,수납!$C:$C,원생!$A71,수납!$D:$D,IF(원생!$G71="","",원생!$G71),수납!$B:$B,$B$1&amp;"-"&amp;TEXT(6,"00")&amp;"*",수납!$E:$E,""))</f>
        <v/>
      </c>
      <c r="I73" s="14">
        <f>IF(원생!$A71="","",SUMIFS(수납!$F:$F,수납!$C:$C,원생!$A71,수납!$D:$D,IF(원생!$G71="","",원생!$G71),수납!$B:$B,$B$1&amp;"-"&amp;TEXT(7,"00")&amp;"*",수납!$E:$E,"수강료")+SUMIFS(수납!$F:$F,수납!$C:$C,원생!$A71,수납!$D:$D,IF(원생!$G71="","",원생!$G71),수납!$B:$B,$B$1&amp;"-"&amp;TEXT(7,"00")&amp;"*",수납!$E:$E,""))</f>
        <v/>
      </c>
      <c r="J73" s="14">
        <f>IF(원생!$A71="","",SUMIFS(수납!$F:$F,수납!$C:$C,원생!$A71,수납!$D:$D,IF(원생!$G71="","",원생!$G71),수납!$B:$B,$B$1&amp;"-"&amp;TEXT(8,"00")&amp;"*",수납!$E:$E,"수강료")+SUMIFS(수납!$F:$F,수납!$C:$C,원생!$A71,수납!$D:$D,IF(원생!$G71="","",원생!$G71),수납!$B:$B,$B$1&amp;"-"&amp;TEXT(8,"00")&amp;"*",수납!$E:$E,""))</f>
        <v/>
      </c>
      <c r="K73" s="14">
        <f>IF(원생!$A71="","",SUMIFS(수납!$F:$F,수납!$C:$C,원생!$A71,수납!$D:$D,IF(원생!$G71="","",원생!$G71),수납!$B:$B,$B$1&amp;"-"&amp;TEXT(9,"00")&amp;"*",수납!$E:$E,"수강료")+SUMIFS(수납!$F:$F,수납!$C:$C,원생!$A71,수납!$D:$D,IF(원생!$G71="","",원생!$G71),수납!$B:$B,$B$1&amp;"-"&amp;TEXT(9,"00")&amp;"*",수납!$E:$E,""))</f>
        <v/>
      </c>
      <c r="L73" s="14">
        <f>IF(원생!$A71="","",SUMIFS(수납!$F:$F,수납!$C:$C,원생!$A71,수납!$D:$D,IF(원생!$G71="","",원생!$G71),수납!$B:$B,$B$1&amp;"-"&amp;TEXT(10,"00")&amp;"*",수납!$E:$E,"수강료")+SUMIFS(수납!$F:$F,수납!$C:$C,원생!$A71,수납!$D:$D,IF(원생!$G71="","",원생!$G71),수납!$B:$B,$B$1&amp;"-"&amp;TEXT(10,"00")&amp;"*",수납!$E:$E,""))</f>
        <v/>
      </c>
      <c r="M73" s="14">
        <f>IF(원생!$A71="","",SUMIFS(수납!$F:$F,수납!$C:$C,원생!$A71,수납!$D:$D,IF(원생!$G71="","",원생!$G71),수납!$B:$B,$B$1&amp;"-"&amp;TEXT(11,"00")&amp;"*",수납!$E:$E,"수강료")+SUMIFS(수납!$F:$F,수납!$C:$C,원생!$A71,수납!$D:$D,IF(원생!$G71="","",원생!$G71),수납!$B:$B,$B$1&amp;"-"&amp;TEXT(11,"00")&amp;"*",수납!$E:$E,""))</f>
        <v/>
      </c>
      <c r="N73" s="14">
        <f>IF(원생!$A71="","",SUMIFS(수납!$F:$F,수납!$C:$C,원생!$A71,수납!$D:$D,IF(원생!$G71="","",원생!$G71),수납!$B:$B,$B$1&amp;"-"&amp;TEXT(12,"00")&amp;"*",수납!$E:$E,"수강료")+SUMIFS(수납!$F:$F,수납!$C:$C,원생!$A71,수납!$D:$D,IF(원생!$G71="","",원생!$G71),수납!$B:$B,$B$1&amp;"-"&amp;TEXT(12,"00")&amp;"*",수납!$E:$E,""))</f>
        <v/>
      </c>
      <c r="O73">
        <f>IF(원생!$I71="","",원생!$I71)</f>
        <v/>
      </c>
      <c r="P73">
        <f>IF($A73="","",IF(AND($B73&gt;0,C73&lt;$B73,DATE($B$1,1,1)&lt;=TODAY(),OR($O73="",$O73&gt;=DATE($B$1,1,1)),OR(COUNTIF($C73:C73,"&gt;0")&gt;0,DATE($B$1,1,1)=DATE(YEAR(TODAY()),MONTH(TODAY()),1))),1,0))</f>
        <v/>
      </c>
      <c r="Q73">
        <f>IF($A73="","",IF(AND($B73&gt;0,D73&lt;$B73,DATE($B$1,2,1)&lt;=TODAY(),OR($O73="",$O73&gt;=DATE($B$1,2,1)),OR(COUNTIF($C73:D73,"&gt;0")&gt;0,DATE($B$1,2,1)=DATE(YEAR(TODAY()),MONTH(TODAY()),1))),1,0))</f>
        <v/>
      </c>
      <c r="R73">
        <f>IF($A73="","",IF(AND($B73&gt;0,E73&lt;$B73,DATE($B$1,3,1)&lt;=TODAY(),OR($O73="",$O73&gt;=DATE($B$1,3,1)),OR(COUNTIF($C73:E73,"&gt;0")&gt;0,DATE($B$1,3,1)=DATE(YEAR(TODAY()),MONTH(TODAY()),1))),1,0))</f>
        <v/>
      </c>
      <c r="S73">
        <f>IF($A73="","",IF(AND($B73&gt;0,F73&lt;$B73,DATE($B$1,4,1)&lt;=TODAY(),OR($O73="",$O73&gt;=DATE($B$1,4,1)),OR(COUNTIF($C73:F73,"&gt;0")&gt;0,DATE($B$1,4,1)=DATE(YEAR(TODAY()),MONTH(TODAY()),1))),1,0))</f>
        <v/>
      </c>
      <c r="T73">
        <f>IF($A73="","",IF(AND($B73&gt;0,G73&lt;$B73,DATE($B$1,5,1)&lt;=TODAY(),OR($O73="",$O73&gt;=DATE($B$1,5,1)),OR(COUNTIF($C73:G73,"&gt;0")&gt;0,DATE($B$1,5,1)=DATE(YEAR(TODAY()),MONTH(TODAY()),1))),1,0))</f>
        <v/>
      </c>
      <c r="U73">
        <f>IF($A73="","",IF(AND($B73&gt;0,H73&lt;$B73,DATE($B$1,6,1)&lt;=TODAY(),OR($O73="",$O73&gt;=DATE($B$1,6,1)),OR(COUNTIF($C73:H73,"&gt;0")&gt;0,DATE($B$1,6,1)=DATE(YEAR(TODAY()),MONTH(TODAY()),1))),1,0))</f>
        <v/>
      </c>
      <c r="V73">
        <f>IF($A73="","",IF(AND($B73&gt;0,I73&lt;$B73,DATE($B$1,7,1)&lt;=TODAY(),OR($O73="",$O73&gt;=DATE($B$1,7,1)),OR(COUNTIF($C73:I73,"&gt;0")&gt;0,DATE($B$1,7,1)=DATE(YEAR(TODAY()),MONTH(TODAY()),1))),1,0))</f>
        <v/>
      </c>
      <c r="W73">
        <f>IF($A73="","",IF(AND($B73&gt;0,J73&lt;$B73,DATE($B$1,8,1)&lt;=TODAY(),OR($O73="",$O73&gt;=DATE($B$1,8,1)),OR(COUNTIF($C73:J73,"&gt;0")&gt;0,DATE($B$1,8,1)=DATE(YEAR(TODAY()),MONTH(TODAY()),1))),1,0))</f>
        <v/>
      </c>
      <c r="X73">
        <f>IF($A73="","",IF(AND($B73&gt;0,K73&lt;$B73,DATE($B$1,9,1)&lt;=TODAY(),OR($O73="",$O73&gt;=DATE($B$1,9,1)),OR(COUNTIF($C73:K73,"&gt;0")&gt;0,DATE($B$1,9,1)=DATE(YEAR(TODAY()),MONTH(TODAY()),1))),1,0))</f>
        <v/>
      </c>
      <c r="Y73">
        <f>IF($A73="","",IF(AND($B73&gt;0,L73&lt;$B73,DATE($B$1,10,1)&lt;=TODAY(),OR($O73="",$O73&gt;=DATE($B$1,10,1)),OR(COUNTIF($C73:L73,"&gt;0")&gt;0,DATE($B$1,10,1)=DATE(YEAR(TODAY()),MONTH(TODAY()),1))),1,0))</f>
        <v/>
      </c>
      <c r="Z73">
        <f>IF($A73="","",IF(AND($B73&gt;0,M73&lt;$B73,DATE($B$1,11,1)&lt;=TODAY(),OR($O73="",$O73&gt;=DATE($B$1,11,1)),OR(COUNTIF($C73:M73,"&gt;0")&gt;0,DATE($B$1,11,1)=DATE(YEAR(TODAY()),MONTH(TODAY()),1))),1,0))</f>
        <v/>
      </c>
      <c r="AA73">
        <f>IF($A73="","",IF(AND($B73&gt;0,N73&lt;$B73,DATE($B$1,12,1)&lt;=TODAY(),OR($O73="",$O73&gt;=DATE($B$1,12,1)),OR(COUNTIF($C73:N73,"&gt;0")&gt;0,DATE($B$1,12,1)=DATE(YEAR(TODAY()),MONTH(TODAY()),1))),1,0))</f>
        <v/>
      </c>
    </row>
    <row r="74">
      <c r="A74" s="13">
        <f>IF(원생!$A72="","",원생!$A72&amp;IF(원생!$G72="",""," ("&amp;원생!$G72&amp;")"))</f>
        <v/>
      </c>
      <c r="B74" s="8">
        <f>IF(원생!$A72="","",원생!$F72)</f>
        <v/>
      </c>
      <c r="C74" s="14">
        <f>IF(원생!$A72="","",SUMIFS(수납!$F:$F,수납!$C:$C,원생!$A72,수납!$D:$D,IF(원생!$G72="","",원생!$G72),수납!$B:$B,$B$1&amp;"-"&amp;TEXT(1,"00")&amp;"*",수납!$E:$E,"수강료")+SUMIFS(수납!$F:$F,수납!$C:$C,원생!$A72,수납!$D:$D,IF(원생!$G72="","",원생!$G72),수납!$B:$B,$B$1&amp;"-"&amp;TEXT(1,"00")&amp;"*",수납!$E:$E,""))</f>
        <v/>
      </c>
      <c r="D74" s="14">
        <f>IF(원생!$A72="","",SUMIFS(수납!$F:$F,수납!$C:$C,원생!$A72,수납!$D:$D,IF(원생!$G72="","",원생!$G72),수납!$B:$B,$B$1&amp;"-"&amp;TEXT(2,"00")&amp;"*",수납!$E:$E,"수강료")+SUMIFS(수납!$F:$F,수납!$C:$C,원생!$A72,수납!$D:$D,IF(원생!$G72="","",원생!$G72),수납!$B:$B,$B$1&amp;"-"&amp;TEXT(2,"00")&amp;"*",수납!$E:$E,""))</f>
        <v/>
      </c>
      <c r="E74" s="14">
        <f>IF(원생!$A72="","",SUMIFS(수납!$F:$F,수납!$C:$C,원생!$A72,수납!$D:$D,IF(원생!$G72="","",원생!$G72),수납!$B:$B,$B$1&amp;"-"&amp;TEXT(3,"00")&amp;"*",수납!$E:$E,"수강료")+SUMIFS(수납!$F:$F,수납!$C:$C,원생!$A72,수납!$D:$D,IF(원생!$G72="","",원생!$G72),수납!$B:$B,$B$1&amp;"-"&amp;TEXT(3,"00")&amp;"*",수납!$E:$E,""))</f>
        <v/>
      </c>
      <c r="F74" s="14">
        <f>IF(원생!$A72="","",SUMIFS(수납!$F:$F,수납!$C:$C,원생!$A72,수납!$D:$D,IF(원생!$G72="","",원생!$G72),수납!$B:$B,$B$1&amp;"-"&amp;TEXT(4,"00")&amp;"*",수납!$E:$E,"수강료")+SUMIFS(수납!$F:$F,수납!$C:$C,원생!$A72,수납!$D:$D,IF(원생!$G72="","",원생!$G72),수납!$B:$B,$B$1&amp;"-"&amp;TEXT(4,"00")&amp;"*",수납!$E:$E,""))</f>
        <v/>
      </c>
      <c r="G74" s="14">
        <f>IF(원생!$A72="","",SUMIFS(수납!$F:$F,수납!$C:$C,원생!$A72,수납!$D:$D,IF(원생!$G72="","",원생!$G72),수납!$B:$B,$B$1&amp;"-"&amp;TEXT(5,"00")&amp;"*",수납!$E:$E,"수강료")+SUMIFS(수납!$F:$F,수납!$C:$C,원생!$A72,수납!$D:$D,IF(원생!$G72="","",원생!$G72),수납!$B:$B,$B$1&amp;"-"&amp;TEXT(5,"00")&amp;"*",수납!$E:$E,""))</f>
        <v/>
      </c>
      <c r="H74" s="14">
        <f>IF(원생!$A72="","",SUMIFS(수납!$F:$F,수납!$C:$C,원생!$A72,수납!$D:$D,IF(원생!$G72="","",원생!$G72),수납!$B:$B,$B$1&amp;"-"&amp;TEXT(6,"00")&amp;"*",수납!$E:$E,"수강료")+SUMIFS(수납!$F:$F,수납!$C:$C,원생!$A72,수납!$D:$D,IF(원생!$G72="","",원생!$G72),수납!$B:$B,$B$1&amp;"-"&amp;TEXT(6,"00")&amp;"*",수납!$E:$E,""))</f>
        <v/>
      </c>
      <c r="I74" s="14">
        <f>IF(원생!$A72="","",SUMIFS(수납!$F:$F,수납!$C:$C,원생!$A72,수납!$D:$D,IF(원생!$G72="","",원생!$G72),수납!$B:$B,$B$1&amp;"-"&amp;TEXT(7,"00")&amp;"*",수납!$E:$E,"수강료")+SUMIFS(수납!$F:$F,수납!$C:$C,원생!$A72,수납!$D:$D,IF(원생!$G72="","",원생!$G72),수납!$B:$B,$B$1&amp;"-"&amp;TEXT(7,"00")&amp;"*",수납!$E:$E,""))</f>
        <v/>
      </c>
      <c r="J74" s="14">
        <f>IF(원생!$A72="","",SUMIFS(수납!$F:$F,수납!$C:$C,원생!$A72,수납!$D:$D,IF(원생!$G72="","",원생!$G72),수납!$B:$B,$B$1&amp;"-"&amp;TEXT(8,"00")&amp;"*",수납!$E:$E,"수강료")+SUMIFS(수납!$F:$F,수납!$C:$C,원생!$A72,수납!$D:$D,IF(원생!$G72="","",원생!$G72),수납!$B:$B,$B$1&amp;"-"&amp;TEXT(8,"00")&amp;"*",수납!$E:$E,""))</f>
        <v/>
      </c>
      <c r="K74" s="14">
        <f>IF(원생!$A72="","",SUMIFS(수납!$F:$F,수납!$C:$C,원생!$A72,수납!$D:$D,IF(원생!$G72="","",원생!$G72),수납!$B:$B,$B$1&amp;"-"&amp;TEXT(9,"00")&amp;"*",수납!$E:$E,"수강료")+SUMIFS(수납!$F:$F,수납!$C:$C,원생!$A72,수납!$D:$D,IF(원생!$G72="","",원생!$G72),수납!$B:$B,$B$1&amp;"-"&amp;TEXT(9,"00")&amp;"*",수납!$E:$E,""))</f>
        <v/>
      </c>
      <c r="L74" s="14">
        <f>IF(원생!$A72="","",SUMIFS(수납!$F:$F,수납!$C:$C,원생!$A72,수납!$D:$D,IF(원생!$G72="","",원생!$G72),수납!$B:$B,$B$1&amp;"-"&amp;TEXT(10,"00")&amp;"*",수납!$E:$E,"수강료")+SUMIFS(수납!$F:$F,수납!$C:$C,원생!$A72,수납!$D:$D,IF(원생!$G72="","",원생!$G72),수납!$B:$B,$B$1&amp;"-"&amp;TEXT(10,"00")&amp;"*",수납!$E:$E,""))</f>
        <v/>
      </c>
      <c r="M74" s="14">
        <f>IF(원생!$A72="","",SUMIFS(수납!$F:$F,수납!$C:$C,원생!$A72,수납!$D:$D,IF(원생!$G72="","",원생!$G72),수납!$B:$B,$B$1&amp;"-"&amp;TEXT(11,"00")&amp;"*",수납!$E:$E,"수강료")+SUMIFS(수납!$F:$F,수납!$C:$C,원생!$A72,수납!$D:$D,IF(원생!$G72="","",원생!$G72),수납!$B:$B,$B$1&amp;"-"&amp;TEXT(11,"00")&amp;"*",수납!$E:$E,""))</f>
        <v/>
      </c>
      <c r="N74" s="14">
        <f>IF(원생!$A72="","",SUMIFS(수납!$F:$F,수납!$C:$C,원생!$A72,수납!$D:$D,IF(원생!$G72="","",원생!$G72),수납!$B:$B,$B$1&amp;"-"&amp;TEXT(12,"00")&amp;"*",수납!$E:$E,"수강료")+SUMIFS(수납!$F:$F,수납!$C:$C,원생!$A72,수납!$D:$D,IF(원생!$G72="","",원생!$G72),수납!$B:$B,$B$1&amp;"-"&amp;TEXT(12,"00")&amp;"*",수납!$E:$E,""))</f>
        <v/>
      </c>
      <c r="O74">
        <f>IF(원생!$I72="","",원생!$I72)</f>
        <v/>
      </c>
      <c r="P74">
        <f>IF($A74="","",IF(AND($B74&gt;0,C74&lt;$B74,DATE($B$1,1,1)&lt;=TODAY(),OR($O74="",$O74&gt;=DATE($B$1,1,1)),OR(COUNTIF($C74:C74,"&gt;0")&gt;0,DATE($B$1,1,1)=DATE(YEAR(TODAY()),MONTH(TODAY()),1))),1,0))</f>
        <v/>
      </c>
      <c r="Q74">
        <f>IF($A74="","",IF(AND($B74&gt;0,D74&lt;$B74,DATE($B$1,2,1)&lt;=TODAY(),OR($O74="",$O74&gt;=DATE($B$1,2,1)),OR(COUNTIF($C74:D74,"&gt;0")&gt;0,DATE($B$1,2,1)=DATE(YEAR(TODAY()),MONTH(TODAY()),1))),1,0))</f>
        <v/>
      </c>
      <c r="R74">
        <f>IF($A74="","",IF(AND($B74&gt;0,E74&lt;$B74,DATE($B$1,3,1)&lt;=TODAY(),OR($O74="",$O74&gt;=DATE($B$1,3,1)),OR(COUNTIF($C74:E74,"&gt;0")&gt;0,DATE($B$1,3,1)=DATE(YEAR(TODAY()),MONTH(TODAY()),1))),1,0))</f>
        <v/>
      </c>
      <c r="S74">
        <f>IF($A74="","",IF(AND($B74&gt;0,F74&lt;$B74,DATE($B$1,4,1)&lt;=TODAY(),OR($O74="",$O74&gt;=DATE($B$1,4,1)),OR(COUNTIF($C74:F74,"&gt;0")&gt;0,DATE($B$1,4,1)=DATE(YEAR(TODAY()),MONTH(TODAY()),1))),1,0))</f>
        <v/>
      </c>
      <c r="T74">
        <f>IF($A74="","",IF(AND($B74&gt;0,G74&lt;$B74,DATE($B$1,5,1)&lt;=TODAY(),OR($O74="",$O74&gt;=DATE($B$1,5,1)),OR(COUNTIF($C74:G74,"&gt;0")&gt;0,DATE($B$1,5,1)=DATE(YEAR(TODAY()),MONTH(TODAY()),1))),1,0))</f>
        <v/>
      </c>
      <c r="U74">
        <f>IF($A74="","",IF(AND($B74&gt;0,H74&lt;$B74,DATE($B$1,6,1)&lt;=TODAY(),OR($O74="",$O74&gt;=DATE($B$1,6,1)),OR(COUNTIF($C74:H74,"&gt;0")&gt;0,DATE($B$1,6,1)=DATE(YEAR(TODAY()),MONTH(TODAY()),1))),1,0))</f>
        <v/>
      </c>
      <c r="V74">
        <f>IF($A74="","",IF(AND($B74&gt;0,I74&lt;$B74,DATE($B$1,7,1)&lt;=TODAY(),OR($O74="",$O74&gt;=DATE($B$1,7,1)),OR(COUNTIF($C74:I74,"&gt;0")&gt;0,DATE($B$1,7,1)=DATE(YEAR(TODAY()),MONTH(TODAY()),1))),1,0))</f>
        <v/>
      </c>
      <c r="W74">
        <f>IF($A74="","",IF(AND($B74&gt;0,J74&lt;$B74,DATE($B$1,8,1)&lt;=TODAY(),OR($O74="",$O74&gt;=DATE($B$1,8,1)),OR(COUNTIF($C74:J74,"&gt;0")&gt;0,DATE($B$1,8,1)=DATE(YEAR(TODAY()),MONTH(TODAY()),1))),1,0))</f>
        <v/>
      </c>
      <c r="X74">
        <f>IF($A74="","",IF(AND($B74&gt;0,K74&lt;$B74,DATE($B$1,9,1)&lt;=TODAY(),OR($O74="",$O74&gt;=DATE($B$1,9,1)),OR(COUNTIF($C74:K74,"&gt;0")&gt;0,DATE($B$1,9,1)=DATE(YEAR(TODAY()),MONTH(TODAY()),1))),1,0))</f>
        <v/>
      </c>
      <c r="Y74">
        <f>IF($A74="","",IF(AND($B74&gt;0,L74&lt;$B74,DATE($B$1,10,1)&lt;=TODAY(),OR($O74="",$O74&gt;=DATE($B$1,10,1)),OR(COUNTIF($C74:L74,"&gt;0")&gt;0,DATE($B$1,10,1)=DATE(YEAR(TODAY()),MONTH(TODAY()),1))),1,0))</f>
        <v/>
      </c>
      <c r="Z74">
        <f>IF($A74="","",IF(AND($B74&gt;0,M74&lt;$B74,DATE($B$1,11,1)&lt;=TODAY(),OR($O74="",$O74&gt;=DATE($B$1,11,1)),OR(COUNTIF($C74:M74,"&gt;0")&gt;0,DATE($B$1,11,1)=DATE(YEAR(TODAY()),MONTH(TODAY()),1))),1,0))</f>
        <v/>
      </c>
      <c r="AA74">
        <f>IF($A74="","",IF(AND($B74&gt;0,N74&lt;$B74,DATE($B$1,12,1)&lt;=TODAY(),OR($O74="",$O74&gt;=DATE($B$1,12,1)),OR(COUNTIF($C74:N74,"&gt;0")&gt;0,DATE($B$1,12,1)=DATE(YEAR(TODAY()),MONTH(TODAY()),1))),1,0))</f>
        <v/>
      </c>
    </row>
    <row r="75">
      <c r="A75" s="13">
        <f>IF(원생!$A73="","",원생!$A73&amp;IF(원생!$G73="",""," ("&amp;원생!$G73&amp;")"))</f>
        <v/>
      </c>
      <c r="B75" s="8">
        <f>IF(원생!$A73="","",원생!$F73)</f>
        <v/>
      </c>
      <c r="C75" s="14">
        <f>IF(원생!$A73="","",SUMIFS(수납!$F:$F,수납!$C:$C,원생!$A73,수납!$D:$D,IF(원생!$G73="","",원생!$G73),수납!$B:$B,$B$1&amp;"-"&amp;TEXT(1,"00")&amp;"*",수납!$E:$E,"수강료")+SUMIFS(수납!$F:$F,수납!$C:$C,원생!$A73,수납!$D:$D,IF(원생!$G73="","",원생!$G73),수납!$B:$B,$B$1&amp;"-"&amp;TEXT(1,"00")&amp;"*",수납!$E:$E,""))</f>
        <v/>
      </c>
      <c r="D75" s="14">
        <f>IF(원생!$A73="","",SUMIFS(수납!$F:$F,수납!$C:$C,원생!$A73,수납!$D:$D,IF(원생!$G73="","",원생!$G73),수납!$B:$B,$B$1&amp;"-"&amp;TEXT(2,"00")&amp;"*",수납!$E:$E,"수강료")+SUMIFS(수납!$F:$F,수납!$C:$C,원생!$A73,수납!$D:$D,IF(원생!$G73="","",원생!$G73),수납!$B:$B,$B$1&amp;"-"&amp;TEXT(2,"00")&amp;"*",수납!$E:$E,""))</f>
        <v/>
      </c>
      <c r="E75" s="14">
        <f>IF(원생!$A73="","",SUMIFS(수납!$F:$F,수납!$C:$C,원생!$A73,수납!$D:$D,IF(원생!$G73="","",원생!$G73),수납!$B:$B,$B$1&amp;"-"&amp;TEXT(3,"00")&amp;"*",수납!$E:$E,"수강료")+SUMIFS(수납!$F:$F,수납!$C:$C,원생!$A73,수납!$D:$D,IF(원생!$G73="","",원생!$G73),수납!$B:$B,$B$1&amp;"-"&amp;TEXT(3,"00")&amp;"*",수납!$E:$E,""))</f>
        <v/>
      </c>
      <c r="F75" s="14">
        <f>IF(원생!$A73="","",SUMIFS(수납!$F:$F,수납!$C:$C,원생!$A73,수납!$D:$D,IF(원생!$G73="","",원생!$G73),수납!$B:$B,$B$1&amp;"-"&amp;TEXT(4,"00")&amp;"*",수납!$E:$E,"수강료")+SUMIFS(수납!$F:$F,수납!$C:$C,원생!$A73,수납!$D:$D,IF(원생!$G73="","",원생!$G73),수납!$B:$B,$B$1&amp;"-"&amp;TEXT(4,"00")&amp;"*",수납!$E:$E,""))</f>
        <v/>
      </c>
      <c r="G75" s="14">
        <f>IF(원생!$A73="","",SUMIFS(수납!$F:$F,수납!$C:$C,원생!$A73,수납!$D:$D,IF(원생!$G73="","",원생!$G73),수납!$B:$B,$B$1&amp;"-"&amp;TEXT(5,"00")&amp;"*",수납!$E:$E,"수강료")+SUMIFS(수납!$F:$F,수납!$C:$C,원생!$A73,수납!$D:$D,IF(원생!$G73="","",원생!$G73),수납!$B:$B,$B$1&amp;"-"&amp;TEXT(5,"00")&amp;"*",수납!$E:$E,""))</f>
        <v/>
      </c>
      <c r="H75" s="14">
        <f>IF(원생!$A73="","",SUMIFS(수납!$F:$F,수납!$C:$C,원생!$A73,수납!$D:$D,IF(원생!$G73="","",원생!$G73),수납!$B:$B,$B$1&amp;"-"&amp;TEXT(6,"00")&amp;"*",수납!$E:$E,"수강료")+SUMIFS(수납!$F:$F,수납!$C:$C,원생!$A73,수납!$D:$D,IF(원생!$G73="","",원생!$G73),수납!$B:$B,$B$1&amp;"-"&amp;TEXT(6,"00")&amp;"*",수납!$E:$E,""))</f>
        <v/>
      </c>
      <c r="I75" s="14">
        <f>IF(원생!$A73="","",SUMIFS(수납!$F:$F,수납!$C:$C,원생!$A73,수납!$D:$D,IF(원생!$G73="","",원생!$G73),수납!$B:$B,$B$1&amp;"-"&amp;TEXT(7,"00")&amp;"*",수납!$E:$E,"수강료")+SUMIFS(수납!$F:$F,수납!$C:$C,원생!$A73,수납!$D:$D,IF(원생!$G73="","",원생!$G73),수납!$B:$B,$B$1&amp;"-"&amp;TEXT(7,"00")&amp;"*",수납!$E:$E,""))</f>
        <v/>
      </c>
      <c r="J75" s="14">
        <f>IF(원생!$A73="","",SUMIFS(수납!$F:$F,수납!$C:$C,원생!$A73,수납!$D:$D,IF(원생!$G73="","",원생!$G73),수납!$B:$B,$B$1&amp;"-"&amp;TEXT(8,"00")&amp;"*",수납!$E:$E,"수강료")+SUMIFS(수납!$F:$F,수납!$C:$C,원생!$A73,수납!$D:$D,IF(원생!$G73="","",원생!$G73),수납!$B:$B,$B$1&amp;"-"&amp;TEXT(8,"00")&amp;"*",수납!$E:$E,""))</f>
        <v/>
      </c>
      <c r="K75" s="14">
        <f>IF(원생!$A73="","",SUMIFS(수납!$F:$F,수납!$C:$C,원생!$A73,수납!$D:$D,IF(원생!$G73="","",원생!$G73),수납!$B:$B,$B$1&amp;"-"&amp;TEXT(9,"00")&amp;"*",수납!$E:$E,"수강료")+SUMIFS(수납!$F:$F,수납!$C:$C,원생!$A73,수납!$D:$D,IF(원생!$G73="","",원생!$G73),수납!$B:$B,$B$1&amp;"-"&amp;TEXT(9,"00")&amp;"*",수납!$E:$E,""))</f>
        <v/>
      </c>
      <c r="L75" s="14">
        <f>IF(원생!$A73="","",SUMIFS(수납!$F:$F,수납!$C:$C,원생!$A73,수납!$D:$D,IF(원생!$G73="","",원생!$G73),수납!$B:$B,$B$1&amp;"-"&amp;TEXT(10,"00")&amp;"*",수납!$E:$E,"수강료")+SUMIFS(수납!$F:$F,수납!$C:$C,원생!$A73,수납!$D:$D,IF(원생!$G73="","",원생!$G73),수납!$B:$B,$B$1&amp;"-"&amp;TEXT(10,"00")&amp;"*",수납!$E:$E,""))</f>
        <v/>
      </c>
      <c r="M75" s="14">
        <f>IF(원생!$A73="","",SUMIFS(수납!$F:$F,수납!$C:$C,원생!$A73,수납!$D:$D,IF(원생!$G73="","",원생!$G73),수납!$B:$B,$B$1&amp;"-"&amp;TEXT(11,"00")&amp;"*",수납!$E:$E,"수강료")+SUMIFS(수납!$F:$F,수납!$C:$C,원생!$A73,수납!$D:$D,IF(원생!$G73="","",원생!$G73),수납!$B:$B,$B$1&amp;"-"&amp;TEXT(11,"00")&amp;"*",수납!$E:$E,""))</f>
        <v/>
      </c>
      <c r="N75" s="14">
        <f>IF(원생!$A73="","",SUMIFS(수납!$F:$F,수납!$C:$C,원생!$A73,수납!$D:$D,IF(원생!$G73="","",원생!$G73),수납!$B:$B,$B$1&amp;"-"&amp;TEXT(12,"00")&amp;"*",수납!$E:$E,"수강료")+SUMIFS(수납!$F:$F,수납!$C:$C,원생!$A73,수납!$D:$D,IF(원생!$G73="","",원생!$G73),수납!$B:$B,$B$1&amp;"-"&amp;TEXT(12,"00")&amp;"*",수납!$E:$E,""))</f>
        <v/>
      </c>
      <c r="O75">
        <f>IF(원생!$I73="","",원생!$I73)</f>
        <v/>
      </c>
      <c r="P75">
        <f>IF($A75="","",IF(AND($B75&gt;0,C75&lt;$B75,DATE($B$1,1,1)&lt;=TODAY(),OR($O75="",$O75&gt;=DATE($B$1,1,1)),OR(COUNTIF($C75:C75,"&gt;0")&gt;0,DATE($B$1,1,1)=DATE(YEAR(TODAY()),MONTH(TODAY()),1))),1,0))</f>
        <v/>
      </c>
      <c r="Q75">
        <f>IF($A75="","",IF(AND($B75&gt;0,D75&lt;$B75,DATE($B$1,2,1)&lt;=TODAY(),OR($O75="",$O75&gt;=DATE($B$1,2,1)),OR(COUNTIF($C75:D75,"&gt;0")&gt;0,DATE($B$1,2,1)=DATE(YEAR(TODAY()),MONTH(TODAY()),1))),1,0))</f>
        <v/>
      </c>
      <c r="R75">
        <f>IF($A75="","",IF(AND($B75&gt;0,E75&lt;$B75,DATE($B$1,3,1)&lt;=TODAY(),OR($O75="",$O75&gt;=DATE($B$1,3,1)),OR(COUNTIF($C75:E75,"&gt;0")&gt;0,DATE($B$1,3,1)=DATE(YEAR(TODAY()),MONTH(TODAY()),1))),1,0))</f>
        <v/>
      </c>
      <c r="S75">
        <f>IF($A75="","",IF(AND($B75&gt;0,F75&lt;$B75,DATE($B$1,4,1)&lt;=TODAY(),OR($O75="",$O75&gt;=DATE($B$1,4,1)),OR(COUNTIF($C75:F75,"&gt;0")&gt;0,DATE($B$1,4,1)=DATE(YEAR(TODAY()),MONTH(TODAY()),1))),1,0))</f>
        <v/>
      </c>
      <c r="T75">
        <f>IF($A75="","",IF(AND($B75&gt;0,G75&lt;$B75,DATE($B$1,5,1)&lt;=TODAY(),OR($O75="",$O75&gt;=DATE($B$1,5,1)),OR(COUNTIF($C75:G75,"&gt;0")&gt;0,DATE($B$1,5,1)=DATE(YEAR(TODAY()),MONTH(TODAY()),1))),1,0))</f>
        <v/>
      </c>
      <c r="U75">
        <f>IF($A75="","",IF(AND($B75&gt;0,H75&lt;$B75,DATE($B$1,6,1)&lt;=TODAY(),OR($O75="",$O75&gt;=DATE($B$1,6,1)),OR(COUNTIF($C75:H75,"&gt;0")&gt;0,DATE($B$1,6,1)=DATE(YEAR(TODAY()),MONTH(TODAY()),1))),1,0))</f>
        <v/>
      </c>
      <c r="V75">
        <f>IF($A75="","",IF(AND($B75&gt;0,I75&lt;$B75,DATE($B$1,7,1)&lt;=TODAY(),OR($O75="",$O75&gt;=DATE($B$1,7,1)),OR(COUNTIF($C75:I75,"&gt;0")&gt;0,DATE($B$1,7,1)=DATE(YEAR(TODAY()),MONTH(TODAY()),1))),1,0))</f>
        <v/>
      </c>
      <c r="W75">
        <f>IF($A75="","",IF(AND($B75&gt;0,J75&lt;$B75,DATE($B$1,8,1)&lt;=TODAY(),OR($O75="",$O75&gt;=DATE($B$1,8,1)),OR(COUNTIF($C75:J75,"&gt;0")&gt;0,DATE($B$1,8,1)=DATE(YEAR(TODAY()),MONTH(TODAY()),1))),1,0))</f>
        <v/>
      </c>
      <c r="X75">
        <f>IF($A75="","",IF(AND($B75&gt;0,K75&lt;$B75,DATE($B$1,9,1)&lt;=TODAY(),OR($O75="",$O75&gt;=DATE($B$1,9,1)),OR(COUNTIF($C75:K75,"&gt;0")&gt;0,DATE($B$1,9,1)=DATE(YEAR(TODAY()),MONTH(TODAY()),1))),1,0))</f>
        <v/>
      </c>
      <c r="Y75">
        <f>IF($A75="","",IF(AND($B75&gt;0,L75&lt;$B75,DATE($B$1,10,1)&lt;=TODAY(),OR($O75="",$O75&gt;=DATE($B$1,10,1)),OR(COUNTIF($C75:L75,"&gt;0")&gt;0,DATE($B$1,10,1)=DATE(YEAR(TODAY()),MONTH(TODAY()),1))),1,0))</f>
        <v/>
      </c>
      <c r="Z75">
        <f>IF($A75="","",IF(AND($B75&gt;0,M75&lt;$B75,DATE($B$1,11,1)&lt;=TODAY(),OR($O75="",$O75&gt;=DATE($B$1,11,1)),OR(COUNTIF($C75:M75,"&gt;0")&gt;0,DATE($B$1,11,1)=DATE(YEAR(TODAY()),MONTH(TODAY()),1))),1,0))</f>
        <v/>
      </c>
      <c r="AA75">
        <f>IF($A75="","",IF(AND($B75&gt;0,N75&lt;$B75,DATE($B$1,12,1)&lt;=TODAY(),OR($O75="",$O75&gt;=DATE($B$1,12,1)),OR(COUNTIF($C75:N75,"&gt;0")&gt;0,DATE($B$1,12,1)=DATE(YEAR(TODAY()),MONTH(TODAY()),1))),1,0))</f>
        <v/>
      </c>
    </row>
    <row r="76">
      <c r="A76" s="13">
        <f>IF(원생!$A74="","",원생!$A74&amp;IF(원생!$G74="",""," ("&amp;원생!$G74&amp;")"))</f>
        <v/>
      </c>
      <c r="B76" s="8">
        <f>IF(원생!$A74="","",원생!$F74)</f>
        <v/>
      </c>
      <c r="C76" s="14">
        <f>IF(원생!$A74="","",SUMIFS(수납!$F:$F,수납!$C:$C,원생!$A74,수납!$D:$D,IF(원생!$G74="","",원생!$G74),수납!$B:$B,$B$1&amp;"-"&amp;TEXT(1,"00")&amp;"*",수납!$E:$E,"수강료")+SUMIFS(수납!$F:$F,수납!$C:$C,원생!$A74,수납!$D:$D,IF(원생!$G74="","",원생!$G74),수납!$B:$B,$B$1&amp;"-"&amp;TEXT(1,"00")&amp;"*",수납!$E:$E,""))</f>
        <v/>
      </c>
      <c r="D76" s="14">
        <f>IF(원생!$A74="","",SUMIFS(수납!$F:$F,수납!$C:$C,원생!$A74,수납!$D:$D,IF(원생!$G74="","",원생!$G74),수납!$B:$B,$B$1&amp;"-"&amp;TEXT(2,"00")&amp;"*",수납!$E:$E,"수강료")+SUMIFS(수납!$F:$F,수납!$C:$C,원생!$A74,수납!$D:$D,IF(원생!$G74="","",원생!$G74),수납!$B:$B,$B$1&amp;"-"&amp;TEXT(2,"00")&amp;"*",수납!$E:$E,""))</f>
        <v/>
      </c>
      <c r="E76" s="14">
        <f>IF(원생!$A74="","",SUMIFS(수납!$F:$F,수납!$C:$C,원생!$A74,수납!$D:$D,IF(원생!$G74="","",원생!$G74),수납!$B:$B,$B$1&amp;"-"&amp;TEXT(3,"00")&amp;"*",수납!$E:$E,"수강료")+SUMIFS(수납!$F:$F,수납!$C:$C,원생!$A74,수납!$D:$D,IF(원생!$G74="","",원생!$G74),수납!$B:$B,$B$1&amp;"-"&amp;TEXT(3,"00")&amp;"*",수납!$E:$E,""))</f>
        <v/>
      </c>
      <c r="F76" s="14">
        <f>IF(원생!$A74="","",SUMIFS(수납!$F:$F,수납!$C:$C,원생!$A74,수납!$D:$D,IF(원생!$G74="","",원생!$G74),수납!$B:$B,$B$1&amp;"-"&amp;TEXT(4,"00")&amp;"*",수납!$E:$E,"수강료")+SUMIFS(수납!$F:$F,수납!$C:$C,원생!$A74,수납!$D:$D,IF(원생!$G74="","",원생!$G74),수납!$B:$B,$B$1&amp;"-"&amp;TEXT(4,"00")&amp;"*",수납!$E:$E,""))</f>
        <v/>
      </c>
      <c r="G76" s="14">
        <f>IF(원생!$A74="","",SUMIFS(수납!$F:$F,수납!$C:$C,원생!$A74,수납!$D:$D,IF(원생!$G74="","",원생!$G74),수납!$B:$B,$B$1&amp;"-"&amp;TEXT(5,"00")&amp;"*",수납!$E:$E,"수강료")+SUMIFS(수납!$F:$F,수납!$C:$C,원생!$A74,수납!$D:$D,IF(원생!$G74="","",원생!$G74),수납!$B:$B,$B$1&amp;"-"&amp;TEXT(5,"00")&amp;"*",수납!$E:$E,""))</f>
        <v/>
      </c>
      <c r="H76" s="14">
        <f>IF(원생!$A74="","",SUMIFS(수납!$F:$F,수납!$C:$C,원생!$A74,수납!$D:$D,IF(원생!$G74="","",원생!$G74),수납!$B:$B,$B$1&amp;"-"&amp;TEXT(6,"00")&amp;"*",수납!$E:$E,"수강료")+SUMIFS(수납!$F:$F,수납!$C:$C,원생!$A74,수납!$D:$D,IF(원생!$G74="","",원생!$G74),수납!$B:$B,$B$1&amp;"-"&amp;TEXT(6,"00")&amp;"*",수납!$E:$E,""))</f>
        <v/>
      </c>
      <c r="I76" s="14">
        <f>IF(원생!$A74="","",SUMIFS(수납!$F:$F,수납!$C:$C,원생!$A74,수납!$D:$D,IF(원생!$G74="","",원생!$G74),수납!$B:$B,$B$1&amp;"-"&amp;TEXT(7,"00")&amp;"*",수납!$E:$E,"수강료")+SUMIFS(수납!$F:$F,수납!$C:$C,원생!$A74,수납!$D:$D,IF(원생!$G74="","",원생!$G74),수납!$B:$B,$B$1&amp;"-"&amp;TEXT(7,"00")&amp;"*",수납!$E:$E,""))</f>
        <v/>
      </c>
      <c r="J76" s="14">
        <f>IF(원생!$A74="","",SUMIFS(수납!$F:$F,수납!$C:$C,원생!$A74,수납!$D:$D,IF(원생!$G74="","",원생!$G74),수납!$B:$B,$B$1&amp;"-"&amp;TEXT(8,"00")&amp;"*",수납!$E:$E,"수강료")+SUMIFS(수납!$F:$F,수납!$C:$C,원생!$A74,수납!$D:$D,IF(원생!$G74="","",원생!$G74),수납!$B:$B,$B$1&amp;"-"&amp;TEXT(8,"00")&amp;"*",수납!$E:$E,""))</f>
        <v/>
      </c>
      <c r="K76" s="14">
        <f>IF(원생!$A74="","",SUMIFS(수납!$F:$F,수납!$C:$C,원생!$A74,수납!$D:$D,IF(원생!$G74="","",원생!$G74),수납!$B:$B,$B$1&amp;"-"&amp;TEXT(9,"00")&amp;"*",수납!$E:$E,"수강료")+SUMIFS(수납!$F:$F,수납!$C:$C,원생!$A74,수납!$D:$D,IF(원생!$G74="","",원생!$G74),수납!$B:$B,$B$1&amp;"-"&amp;TEXT(9,"00")&amp;"*",수납!$E:$E,""))</f>
        <v/>
      </c>
      <c r="L76" s="14">
        <f>IF(원생!$A74="","",SUMIFS(수납!$F:$F,수납!$C:$C,원생!$A74,수납!$D:$D,IF(원생!$G74="","",원생!$G74),수납!$B:$B,$B$1&amp;"-"&amp;TEXT(10,"00")&amp;"*",수납!$E:$E,"수강료")+SUMIFS(수납!$F:$F,수납!$C:$C,원생!$A74,수납!$D:$D,IF(원생!$G74="","",원생!$G74),수납!$B:$B,$B$1&amp;"-"&amp;TEXT(10,"00")&amp;"*",수납!$E:$E,""))</f>
        <v/>
      </c>
      <c r="M76" s="14">
        <f>IF(원생!$A74="","",SUMIFS(수납!$F:$F,수납!$C:$C,원생!$A74,수납!$D:$D,IF(원생!$G74="","",원생!$G74),수납!$B:$B,$B$1&amp;"-"&amp;TEXT(11,"00")&amp;"*",수납!$E:$E,"수강료")+SUMIFS(수납!$F:$F,수납!$C:$C,원생!$A74,수납!$D:$D,IF(원생!$G74="","",원생!$G74),수납!$B:$B,$B$1&amp;"-"&amp;TEXT(11,"00")&amp;"*",수납!$E:$E,""))</f>
        <v/>
      </c>
      <c r="N76" s="14">
        <f>IF(원생!$A74="","",SUMIFS(수납!$F:$F,수납!$C:$C,원생!$A74,수납!$D:$D,IF(원생!$G74="","",원생!$G74),수납!$B:$B,$B$1&amp;"-"&amp;TEXT(12,"00")&amp;"*",수납!$E:$E,"수강료")+SUMIFS(수납!$F:$F,수납!$C:$C,원생!$A74,수납!$D:$D,IF(원생!$G74="","",원생!$G74),수납!$B:$B,$B$1&amp;"-"&amp;TEXT(12,"00")&amp;"*",수납!$E:$E,""))</f>
        <v/>
      </c>
      <c r="O76">
        <f>IF(원생!$I74="","",원생!$I74)</f>
        <v/>
      </c>
      <c r="P76">
        <f>IF($A76="","",IF(AND($B76&gt;0,C76&lt;$B76,DATE($B$1,1,1)&lt;=TODAY(),OR($O76="",$O76&gt;=DATE($B$1,1,1)),OR(COUNTIF($C76:C76,"&gt;0")&gt;0,DATE($B$1,1,1)=DATE(YEAR(TODAY()),MONTH(TODAY()),1))),1,0))</f>
        <v/>
      </c>
      <c r="Q76">
        <f>IF($A76="","",IF(AND($B76&gt;0,D76&lt;$B76,DATE($B$1,2,1)&lt;=TODAY(),OR($O76="",$O76&gt;=DATE($B$1,2,1)),OR(COUNTIF($C76:D76,"&gt;0")&gt;0,DATE($B$1,2,1)=DATE(YEAR(TODAY()),MONTH(TODAY()),1))),1,0))</f>
        <v/>
      </c>
      <c r="R76">
        <f>IF($A76="","",IF(AND($B76&gt;0,E76&lt;$B76,DATE($B$1,3,1)&lt;=TODAY(),OR($O76="",$O76&gt;=DATE($B$1,3,1)),OR(COUNTIF($C76:E76,"&gt;0")&gt;0,DATE($B$1,3,1)=DATE(YEAR(TODAY()),MONTH(TODAY()),1))),1,0))</f>
        <v/>
      </c>
      <c r="S76">
        <f>IF($A76="","",IF(AND($B76&gt;0,F76&lt;$B76,DATE($B$1,4,1)&lt;=TODAY(),OR($O76="",$O76&gt;=DATE($B$1,4,1)),OR(COUNTIF($C76:F76,"&gt;0")&gt;0,DATE($B$1,4,1)=DATE(YEAR(TODAY()),MONTH(TODAY()),1))),1,0))</f>
        <v/>
      </c>
      <c r="T76">
        <f>IF($A76="","",IF(AND($B76&gt;0,G76&lt;$B76,DATE($B$1,5,1)&lt;=TODAY(),OR($O76="",$O76&gt;=DATE($B$1,5,1)),OR(COUNTIF($C76:G76,"&gt;0")&gt;0,DATE($B$1,5,1)=DATE(YEAR(TODAY()),MONTH(TODAY()),1))),1,0))</f>
        <v/>
      </c>
      <c r="U76">
        <f>IF($A76="","",IF(AND($B76&gt;0,H76&lt;$B76,DATE($B$1,6,1)&lt;=TODAY(),OR($O76="",$O76&gt;=DATE($B$1,6,1)),OR(COUNTIF($C76:H76,"&gt;0")&gt;0,DATE($B$1,6,1)=DATE(YEAR(TODAY()),MONTH(TODAY()),1))),1,0))</f>
        <v/>
      </c>
      <c r="V76">
        <f>IF($A76="","",IF(AND($B76&gt;0,I76&lt;$B76,DATE($B$1,7,1)&lt;=TODAY(),OR($O76="",$O76&gt;=DATE($B$1,7,1)),OR(COUNTIF($C76:I76,"&gt;0")&gt;0,DATE($B$1,7,1)=DATE(YEAR(TODAY()),MONTH(TODAY()),1))),1,0))</f>
        <v/>
      </c>
      <c r="W76">
        <f>IF($A76="","",IF(AND($B76&gt;0,J76&lt;$B76,DATE($B$1,8,1)&lt;=TODAY(),OR($O76="",$O76&gt;=DATE($B$1,8,1)),OR(COUNTIF($C76:J76,"&gt;0")&gt;0,DATE($B$1,8,1)=DATE(YEAR(TODAY()),MONTH(TODAY()),1))),1,0))</f>
        <v/>
      </c>
      <c r="X76">
        <f>IF($A76="","",IF(AND($B76&gt;0,K76&lt;$B76,DATE($B$1,9,1)&lt;=TODAY(),OR($O76="",$O76&gt;=DATE($B$1,9,1)),OR(COUNTIF($C76:K76,"&gt;0")&gt;0,DATE($B$1,9,1)=DATE(YEAR(TODAY()),MONTH(TODAY()),1))),1,0))</f>
        <v/>
      </c>
      <c r="Y76">
        <f>IF($A76="","",IF(AND($B76&gt;0,L76&lt;$B76,DATE($B$1,10,1)&lt;=TODAY(),OR($O76="",$O76&gt;=DATE($B$1,10,1)),OR(COUNTIF($C76:L76,"&gt;0")&gt;0,DATE($B$1,10,1)=DATE(YEAR(TODAY()),MONTH(TODAY()),1))),1,0))</f>
        <v/>
      </c>
      <c r="Z76">
        <f>IF($A76="","",IF(AND($B76&gt;0,M76&lt;$B76,DATE($B$1,11,1)&lt;=TODAY(),OR($O76="",$O76&gt;=DATE($B$1,11,1)),OR(COUNTIF($C76:M76,"&gt;0")&gt;0,DATE($B$1,11,1)=DATE(YEAR(TODAY()),MONTH(TODAY()),1))),1,0))</f>
        <v/>
      </c>
      <c r="AA76">
        <f>IF($A76="","",IF(AND($B76&gt;0,N76&lt;$B76,DATE($B$1,12,1)&lt;=TODAY(),OR($O76="",$O76&gt;=DATE($B$1,12,1)),OR(COUNTIF($C76:N76,"&gt;0")&gt;0,DATE($B$1,12,1)=DATE(YEAR(TODAY()),MONTH(TODAY()),1))),1,0))</f>
        <v/>
      </c>
    </row>
    <row r="77">
      <c r="A77" s="13">
        <f>IF(원생!$A75="","",원생!$A75&amp;IF(원생!$G75="",""," ("&amp;원생!$G75&amp;")"))</f>
        <v/>
      </c>
      <c r="B77" s="8">
        <f>IF(원생!$A75="","",원생!$F75)</f>
        <v/>
      </c>
      <c r="C77" s="14">
        <f>IF(원생!$A75="","",SUMIFS(수납!$F:$F,수납!$C:$C,원생!$A75,수납!$D:$D,IF(원생!$G75="","",원생!$G75),수납!$B:$B,$B$1&amp;"-"&amp;TEXT(1,"00")&amp;"*",수납!$E:$E,"수강료")+SUMIFS(수납!$F:$F,수납!$C:$C,원생!$A75,수납!$D:$D,IF(원생!$G75="","",원생!$G75),수납!$B:$B,$B$1&amp;"-"&amp;TEXT(1,"00")&amp;"*",수납!$E:$E,""))</f>
        <v/>
      </c>
      <c r="D77" s="14">
        <f>IF(원생!$A75="","",SUMIFS(수납!$F:$F,수납!$C:$C,원생!$A75,수납!$D:$D,IF(원생!$G75="","",원생!$G75),수납!$B:$B,$B$1&amp;"-"&amp;TEXT(2,"00")&amp;"*",수납!$E:$E,"수강료")+SUMIFS(수납!$F:$F,수납!$C:$C,원생!$A75,수납!$D:$D,IF(원생!$G75="","",원생!$G75),수납!$B:$B,$B$1&amp;"-"&amp;TEXT(2,"00")&amp;"*",수납!$E:$E,""))</f>
        <v/>
      </c>
      <c r="E77" s="14">
        <f>IF(원생!$A75="","",SUMIFS(수납!$F:$F,수납!$C:$C,원생!$A75,수납!$D:$D,IF(원생!$G75="","",원생!$G75),수납!$B:$B,$B$1&amp;"-"&amp;TEXT(3,"00")&amp;"*",수납!$E:$E,"수강료")+SUMIFS(수납!$F:$F,수납!$C:$C,원생!$A75,수납!$D:$D,IF(원생!$G75="","",원생!$G75),수납!$B:$B,$B$1&amp;"-"&amp;TEXT(3,"00")&amp;"*",수납!$E:$E,""))</f>
        <v/>
      </c>
      <c r="F77" s="14">
        <f>IF(원생!$A75="","",SUMIFS(수납!$F:$F,수납!$C:$C,원생!$A75,수납!$D:$D,IF(원생!$G75="","",원생!$G75),수납!$B:$B,$B$1&amp;"-"&amp;TEXT(4,"00")&amp;"*",수납!$E:$E,"수강료")+SUMIFS(수납!$F:$F,수납!$C:$C,원생!$A75,수납!$D:$D,IF(원생!$G75="","",원생!$G75),수납!$B:$B,$B$1&amp;"-"&amp;TEXT(4,"00")&amp;"*",수납!$E:$E,""))</f>
        <v/>
      </c>
      <c r="G77" s="14">
        <f>IF(원생!$A75="","",SUMIFS(수납!$F:$F,수납!$C:$C,원생!$A75,수납!$D:$D,IF(원생!$G75="","",원생!$G75),수납!$B:$B,$B$1&amp;"-"&amp;TEXT(5,"00")&amp;"*",수납!$E:$E,"수강료")+SUMIFS(수납!$F:$F,수납!$C:$C,원생!$A75,수납!$D:$D,IF(원생!$G75="","",원생!$G75),수납!$B:$B,$B$1&amp;"-"&amp;TEXT(5,"00")&amp;"*",수납!$E:$E,""))</f>
        <v/>
      </c>
      <c r="H77" s="14">
        <f>IF(원생!$A75="","",SUMIFS(수납!$F:$F,수납!$C:$C,원생!$A75,수납!$D:$D,IF(원생!$G75="","",원생!$G75),수납!$B:$B,$B$1&amp;"-"&amp;TEXT(6,"00")&amp;"*",수납!$E:$E,"수강료")+SUMIFS(수납!$F:$F,수납!$C:$C,원생!$A75,수납!$D:$D,IF(원생!$G75="","",원생!$G75),수납!$B:$B,$B$1&amp;"-"&amp;TEXT(6,"00")&amp;"*",수납!$E:$E,""))</f>
        <v/>
      </c>
      <c r="I77" s="14">
        <f>IF(원생!$A75="","",SUMIFS(수납!$F:$F,수납!$C:$C,원생!$A75,수납!$D:$D,IF(원생!$G75="","",원생!$G75),수납!$B:$B,$B$1&amp;"-"&amp;TEXT(7,"00")&amp;"*",수납!$E:$E,"수강료")+SUMIFS(수납!$F:$F,수납!$C:$C,원생!$A75,수납!$D:$D,IF(원생!$G75="","",원생!$G75),수납!$B:$B,$B$1&amp;"-"&amp;TEXT(7,"00")&amp;"*",수납!$E:$E,""))</f>
        <v/>
      </c>
      <c r="J77" s="14">
        <f>IF(원생!$A75="","",SUMIFS(수납!$F:$F,수납!$C:$C,원생!$A75,수납!$D:$D,IF(원생!$G75="","",원생!$G75),수납!$B:$B,$B$1&amp;"-"&amp;TEXT(8,"00")&amp;"*",수납!$E:$E,"수강료")+SUMIFS(수납!$F:$F,수납!$C:$C,원생!$A75,수납!$D:$D,IF(원생!$G75="","",원생!$G75),수납!$B:$B,$B$1&amp;"-"&amp;TEXT(8,"00")&amp;"*",수납!$E:$E,""))</f>
        <v/>
      </c>
      <c r="K77" s="14">
        <f>IF(원생!$A75="","",SUMIFS(수납!$F:$F,수납!$C:$C,원생!$A75,수납!$D:$D,IF(원생!$G75="","",원생!$G75),수납!$B:$B,$B$1&amp;"-"&amp;TEXT(9,"00")&amp;"*",수납!$E:$E,"수강료")+SUMIFS(수납!$F:$F,수납!$C:$C,원생!$A75,수납!$D:$D,IF(원생!$G75="","",원생!$G75),수납!$B:$B,$B$1&amp;"-"&amp;TEXT(9,"00")&amp;"*",수납!$E:$E,""))</f>
        <v/>
      </c>
      <c r="L77" s="14">
        <f>IF(원생!$A75="","",SUMIFS(수납!$F:$F,수납!$C:$C,원생!$A75,수납!$D:$D,IF(원생!$G75="","",원생!$G75),수납!$B:$B,$B$1&amp;"-"&amp;TEXT(10,"00")&amp;"*",수납!$E:$E,"수강료")+SUMIFS(수납!$F:$F,수납!$C:$C,원생!$A75,수납!$D:$D,IF(원생!$G75="","",원생!$G75),수납!$B:$B,$B$1&amp;"-"&amp;TEXT(10,"00")&amp;"*",수납!$E:$E,""))</f>
        <v/>
      </c>
      <c r="M77" s="14">
        <f>IF(원생!$A75="","",SUMIFS(수납!$F:$F,수납!$C:$C,원생!$A75,수납!$D:$D,IF(원생!$G75="","",원생!$G75),수납!$B:$B,$B$1&amp;"-"&amp;TEXT(11,"00")&amp;"*",수납!$E:$E,"수강료")+SUMIFS(수납!$F:$F,수납!$C:$C,원생!$A75,수납!$D:$D,IF(원생!$G75="","",원생!$G75),수납!$B:$B,$B$1&amp;"-"&amp;TEXT(11,"00")&amp;"*",수납!$E:$E,""))</f>
        <v/>
      </c>
      <c r="N77" s="14">
        <f>IF(원생!$A75="","",SUMIFS(수납!$F:$F,수납!$C:$C,원생!$A75,수납!$D:$D,IF(원생!$G75="","",원생!$G75),수납!$B:$B,$B$1&amp;"-"&amp;TEXT(12,"00")&amp;"*",수납!$E:$E,"수강료")+SUMIFS(수납!$F:$F,수납!$C:$C,원생!$A75,수납!$D:$D,IF(원생!$G75="","",원생!$G75),수납!$B:$B,$B$1&amp;"-"&amp;TEXT(12,"00")&amp;"*",수납!$E:$E,""))</f>
        <v/>
      </c>
      <c r="O77">
        <f>IF(원생!$I75="","",원생!$I75)</f>
        <v/>
      </c>
      <c r="P77">
        <f>IF($A77="","",IF(AND($B77&gt;0,C77&lt;$B77,DATE($B$1,1,1)&lt;=TODAY(),OR($O77="",$O77&gt;=DATE($B$1,1,1)),OR(COUNTIF($C77:C77,"&gt;0")&gt;0,DATE($B$1,1,1)=DATE(YEAR(TODAY()),MONTH(TODAY()),1))),1,0))</f>
        <v/>
      </c>
      <c r="Q77">
        <f>IF($A77="","",IF(AND($B77&gt;0,D77&lt;$B77,DATE($B$1,2,1)&lt;=TODAY(),OR($O77="",$O77&gt;=DATE($B$1,2,1)),OR(COUNTIF($C77:D77,"&gt;0")&gt;0,DATE($B$1,2,1)=DATE(YEAR(TODAY()),MONTH(TODAY()),1))),1,0))</f>
        <v/>
      </c>
      <c r="R77">
        <f>IF($A77="","",IF(AND($B77&gt;0,E77&lt;$B77,DATE($B$1,3,1)&lt;=TODAY(),OR($O77="",$O77&gt;=DATE($B$1,3,1)),OR(COUNTIF($C77:E77,"&gt;0")&gt;0,DATE($B$1,3,1)=DATE(YEAR(TODAY()),MONTH(TODAY()),1))),1,0))</f>
        <v/>
      </c>
      <c r="S77">
        <f>IF($A77="","",IF(AND($B77&gt;0,F77&lt;$B77,DATE($B$1,4,1)&lt;=TODAY(),OR($O77="",$O77&gt;=DATE($B$1,4,1)),OR(COUNTIF($C77:F77,"&gt;0")&gt;0,DATE($B$1,4,1)=DATE(YEAR(TODAY()),MONTH(TODAY()),1))),1,0))</f>
        <v/>
      </c>
      <c r="T77">
        <f>IF($A77="","",IF(AND($B77&gt;0,G77&lt;$B77,DATE($B$1,5,1)&lt;=TODAY(),OR($O77="",$O77&gt;=DATE($B$1,5,1)),OR(COUNTIF($C77:G77,"&gt;0")&gt;0,DATE($B$1,5,1)=DATE(YEAR(TODAY()),MONTH(TODAY()),1))),1,0))</f>
        <v/>
      </c>
      <c r="U77">
        <f>IF($A77="","",IF(AND($B77&gt;0,H77&lt;$B77,DATE($B$1,6,1)&lt;=TODAY(),OR($O77="",$O77&gt;=DATE($B$1,6,1)),OR(COUNTIF($C77:H77,"&gt;0")&gt;0,DATE($B$1,6,1)=DATE(YEAR(TODAY()),MONTH(TODAY()),1))),1,0))</f>
        <v/>
      </c>
      <c r="V77">
        <f>IF($A77="","",IF(AND($B77&gt;0,I77&lt;$B77,DATE($B$1,7,1)&lt;=TODAY(),OR($O77="",$O77&gt;=DATE($B$1,7,1)),OR(COUNTIF($C77:I77,"&gt;0")&gt;0,DATE($B$1,7,1)=DATE(YEAR(TODAY()),MONTH(TODAY()),1))),1,0))</f>
        <v/>
      </c>
      <c r="W77">
        <f>IF($A77="","",IF(AND($B77&gt;0,J77&lt;$B77,DATE($B$1,8,1)&lt;=TODAY(),OR($O77="",$O77&gt;=DATE($B$1,8,1)),OR(COUNTIF($C77:J77,"&gt;0")&gt;0,DATE($B$1,8,1)=DATE(YEAR(TODAY()),MONTH(TODAY()),1))),1,0))</f>
        <v/>
      </c>
      <c r="X77">
        <f>IF($A77="","",IF(AND($B77&gt;0,K77&lt;$B77,DATE($B$1,9,1)&lt;=TODAY(),OR($O77="",$O77&gt;=DATE($B$1,9,1)),OR(COUNTIF($C77:K77,"&gt;0")&gt;0,DATE($B$1,9,1)=DATE(YEAR(TODAY()),MONTH(TODAY()),1))),1,0))</f>
        <v/>
      </c>
      <c r="Y77">
        <f>IF($A77="","",IF(AND($B77&gt;0,L77&lt;$B77,DATE($B$1,10,1)&lt;=TODAY(),OR($O77="",$O77&gt;=DATE($B$1,10,1)),OR(COUNTIF($C77:L77,"&gt;0")&gt;0,DATE($B$1,10,1)=DATE(YEAR(TODAY()),MONTH(TODAY()),1))),1,0))</f>
        <v/>
      </c>
      <c r="Z77">
        <f>IF($A77="","",IF(AND($B77&gt;0,M77&lt;$B77,DATE($B$1,11,1)&lt;=TODAY(),OR($O77="",$O77&gt;=DATE($B$1,11,1)),OR(COUNTIF($C77:M77,"&gt;0")&gt;0,DATE($B$1,11,1)=DATE(YEAR(TODAY()),MONTH(TODAY()),1))),1,0))</f>
        <v/>
      </c>
      <c r="AA77">
        <f>IF($A77="","",IF(AND($B77&gt;0,N77&lt;$B77,DATE($B$1,12,1)&lt;=TODAY(),OR($O77="",$O77&gt;=DATE($B$1,12,1)),OR(COUNTIF($C77:N77,"&gt;0")&gt;0,DATE($B$1,12,1)=DATE(YEAR(TODAY()),MONTH(TODAY()),1))),1,0))</f>
        <v/>
      </c>
    </row>
    <row r="78">
      <c r="A78" s="13">
        <f>IF(원생!$A76="","",원생!$A76&amp;IF(원생!$G76="",""," ("&amp;원생!$G76&amp;")"))</f>
        <v/>
      </c>
      <c r="B78" s="8">
        <f>IF(원생!$A76="","",원생!$F76)</f>
        <v/>
      </c>
      <c r="C78" s="14">
        <f>IF(원생!$A76="","",SUMIFS(수납!$F:$F,수납!$C:$C,원생!$A76,수납!$D:$D,IF(원생!$G76="","",원생!$G76),수납!$B:$B,$B$1&amp;"-"&amp;TEXT(1,"00")&amp;"*",수납!$E:$E,"수강료")+SUMIFS(수납!$F:$F,수납!$C:$C,원생!$A76,수납!$D:$D,IF(원생!$G76="","",원생!$G76),수납!$B:$B,$B$1&amp;"-"&amp;TEXT(1,"00")&amp;"*",수납!$E:$E,""))</f>
        <v/>
      </c>
      <c r="D78" s="14">
        <f>IF(원생!$A76="","",SUMIFS(수납!$F:$F,수납!$C:$C,원생!$A76,수납!$D:$D,IF(원생!$G76="","",원생!$G76),수납!$B:$B,$B$1&amp;"-"&amp;TEXT(2,"00")&amp;"*",수납!$E:$E,"수강료")+SUMIFS(수납!$F:$F,수납!$C:$C,원생!$A76,수납!$D:$D,IF(원생!$G76="","",원생!$G76),수납!$B:$B,$B$1&amp;"-"&amp;TEXT(2,"00")&amp;"*",수납!$E:$E,""))</f>
        <v/>
      </c>
      <c r="E78" s="14">
        <f>IF(원생!$A76="","",SUMIFS(수납!$F:$F,수납!$C:$C,원생!$A76,수납!$D:$D,IF(원생!$G76="","",원생!$G76),수납!$B:$B,$B$1&amp;"-"&amp;TEXT(3,"00")&amp;"*",수납!$E:$E,"수강료")+SUMIFS(수납!$F:$F,수납!$C:$C,원생!$A76,수납!$D:$D,IF(원생!$G76="","",원생!$G76),수납!$B:$B,$B$1&amp;"-"&amp;TEXT(3,"00")&amp;"*",수납!$E:$E,""))</f>
        <v/>
      </c>
      <c r="F78" s="14">
        <f>IF(원생!$A76="","",SUMIFS(수납!$F:$F,수납!$C:$C,원생!$A76,수납!$D:$D,IF(원생!$G76="","",원생!$G76),수납!$B:$B,$B$1&amp;"-"&amp;TEXT(4,"00")&amp;"*",수납!$E:$E,"수강료")+SUMIFS(수납!$F:$F,수납!$C:$C,원생!$A76,수납!$D:$D,IF(원생!$G76="","",원생!$G76),수납!$B:$B,$B$1&amp;"-"&amp;TEXT(4,"00")&amp;"*",수납!$E:$E,""))</f>
        <v/>
      </c>
      <c r="G78" s="14">
        <f>IF(원생!$A76="","",SUMIFS(수납!$F:$F,수납!$C:$C,원생!$A76,수납!$D:$D,IF(원생!$G76="","",원생!$G76),수납!$B:$B,$B$1&amp;"-"&amp;TEXT(5,"00")&amp;"*",수납!$E:$E,"수강료")+SUMIFS(수납!$F:$F,수납!$C:$C,원생!$A76,수납!$D:$D,IF(원생!$G76="","",원생!$G76),수납!$B:$B,$B$1&amp;"-"&amp;TEXT(5,"00")&amp;"*",수납!$E:$E,""))</f>
        <v/>
      </c>
      <c r="H78" s="14">
        <f>IF(원생!$A76="","",SUMIFS(수납!$F:$F,수납!$C:$C,원생!$A76,수납!$D:$D,IF(원생!$G76="","",원생!$G76),수납!$B:$B,$B$1&amp;"-"&amp;TEXT(6,"00")&amp;"*",수납!$E:$E,"수강료")+SUMIFS(수납!$F:$F,수납!$C:$C,원생!$A76,수납!$D:$D,IF(원생!$G76="","",원생!$G76),수납!$B:$B,$B$1&amp;"-"&amp;TEXT(6,"00")&amp;"*",수납!$E:$E,""))</f>
        <v/>
      </c>
      <c r="I78" s="14">
        <f>IF(원생!$A76="","",SUMIFS(수납!$F:$F,수납!$C:$C,원생!$A76,수납!$D:$D,IF(원생!$G76="","",원생!$G76),수납!$B:$B,$B$1&amp;"-"&amp;TEXT(7,"00")&amp;"*",수납!$E:$E,"수강료")+SUMIFS(수납!$F:$F,수납!$C:$C,원생!$A76,수납!$D:$D,IF(원생!$G76="","",원생!$G76),수납!$B:$B,$B$1&amp;"-"&amp;TEXT(7,"00")&amp;"*",수납!$E:$E,""))</f>
        <v/>
      </c>
      <c r="J78" s="14">
        <f>IF(원생!$A76="","",SUMIFS(수납!$F:$F,수납!$C:$C,원생!$A76,수납!$D:$D,IF(원생!$G76="","",원생!$G76),수납!$B:$B,$B$1&amp;"-"&amp;TEXT(8,"00")&amp;"*",수납!$E:$E,"수강료")+SUMIFS(수납!$F:$F,수납!$C:$C,원생!$A76,수납!$D:$D,IF(원생!$G76="","",원생!$G76),수납!$B:$B,$B$1&amp;"-"&amp;TEXT(8,"00")&amp;"*",수납!$E:$E,""))</f>
        <v/>
      </c>
      <c r="K78" s="14">
        <f>IF(원생!$A76="","",SUMIFS(수납!$F:$F,수납!$C:$C,원생!$A76,수납!$D:$D,IF(원생!$G76="","",원생!$G76),수납!$B:$B,$B$1&amp;"-"&amp;TEXT(9,"00")&amp;"*",수납!$E:$E,"수강료")+SUMIFS(수납!$F:$F,수납!$C:$C,원생!$A76,수납!$D:$D,IF(원생!$G76="","",원생!$G76),수납!$B:$B,$B$1&amp;"-"&amp;TEXT(9,"00")&amp;"*",수납!$E:$E,""))</f>
        <v/>
      </c>
      <c r="L78" s="14">
        <f>IF(원생!$A76="","",SUMIFS(수납!$F:$F,수납!$C:$C,원생!$A76,수납!$D:$D,IF(원생!$G76="","",원생!$G76),수납!$B:$B,$B$1&amp;"-"&amp;TEXT(10,"00")&amp;"*",수납!$E:$E,"수강료")+SUMIFS(수납!$F:$F,수납!$C:$C,원생!$A76,수납!$D:$D,IF(원생!$G76="","",원생!$G76),수납!$B:$B,$B$1&amp;"-"&amp;TEXT(10,"00")&amp;"*",수납!$E:$E,""))</f>
        <v/>
      </c>
      <c r="M78" s="14">
        <f>IF(원생!$A76="","",SUMIFS(수납!$F:$F,수납!$C:$C,원생!$A76,수납!$D:$D,IF(원생!$G76="","",원생!$G76),수납!$B:$B,$B$1&amp;"-"&amp;TEXT(11,"00")&amp;"*",수납!$E:$E,"수강료")+SUMIFS(수납!$F:$F,수납!$C:$C,원생!$A76,수납!$D:$D,IF(원생!$G76="","",원생!$G76),수납!$B:$B,$B$1&amp;"-"&amp;TEXT(11,"00")&amp;"*",수납!$E:$E,""))</f>
        <v/>
      </c>
      <c r="N78" s="14">
        <f>IF(원생!$A76="","",SUMIFS(수납!$F:$F,수납!$C:$C,원생!$A76,수납!$D:$D,IF(원생!$G76="","",원생!$G76),수납!$B:$B,$B$1&amp;"-"&amp;TEXT(12,"00")&amp;"*",수납!$E:$E,"수강료")+SUMIFS(수납!$F:$F,수납!$C:$C,원생!$A76,수납!$D:$D,IF(원생!$G76="","",원생!$G76),수납!$B:$B,$B$1&amp;"-"&amp;TEXT(12,"00")&amp;"*",수납!$E:$E,""))</f>
        <v/>
      </c>
      <c r="O78">
        <f>IF(원생!$I76="","",원생!$I76)</f>
        <v/>
      </c>
      <c r="P78">
        <f>IF($A78="","",IF(AND($B78&gt;0,C78&lt;$B78,DATE($B$1,1,1)&lt;=TODAY(),OR($O78="",$O78&gt;=DATE($B$1,1,1)),OR(COUNTIF($C78:C78,"&gt;0")&gt;0,DATE($B$1,1,1)=DATE(YEAR(TODAY()),MONTH(TODAY()),1))),1,0))</f>
        <v/>
      </c>
      <c r="Q78">
        <f>IF($A78="","",IF(AND($B78&gt;0,D78&lt;$B78,DATE($B$1,2,1)&lt;=TODAY(),OR($O78="",$O78&gt;=DATE($B$1,2,1)),OR(COUNTIF($C78:D78,"&gt;0")&gt;0,DATE($B$1,2,1)=DATE(YEAR(TODAY()),MONTH(TODAY()),1))),1,0))</f>
        <v/>
      </c>
      <c r="R78">
        <f>IF($A78="","",IF(AND($B78&gt;0,E78&lt;$B78,DATE($B$1,3,1)&lt;=TODAY(),OR($O78="",$O78&gt;=DATE($B$1,3,1)),OR(COUNTIF($C78:E78,"&gt;0")&gt;0,DATE($B$1,3,1)=DATE(YEAR(TODAY()),MONTH(TODAY()),1))),1,0))</f>
        <v/>
      </c>
      <c r="S78">
        <f>IF($A78="","",IF(AND($B78&gt;0,F78&lt;$B78,DATE($B$1,4,1)&lt;=TODAY(),OR($O78="",$O78&gt;=DATE($B$1,4,1)),OR(COUNTIF($C78:F78,"&gt;0")&gt;0,DATE($B$1,4,1)=DATE(YEAR(TODAY()),MONTH(TODAY()),1))),1,0))</f>
        <v/>
      </c>
      <c r="T78">
        <f>IF($A78="","",IF(AND($B78&gt;0,G78&lt;$B78,DATE($B$1,5,1)&lt;=TODAY(),OR($O78="",$O78&gt;=DATE($B$1,5,1)),OR(COUNTIF($C78:G78,"&gt;0")&gt;0,DATE($B$1,5,1)=DATE(YEAR(TODAY()),MONTH(TODAY()),1))),1,0))</f>
        <v/>
      </c>
      <c r="U78">
        <f>IF($A78="","",IF(AND($B78&gt;0,H78&lt;$B78,DATE($B$1,6,1)&lt;=TODAY(),OR($O78="",$O78&gt;=DATE($B$1,6,1)),OR(COUNTIF($C78:H78,"&gt;0")&gt;0,DATE($B$1,6,1)=DATE(YEAR(TODAY()),MONTH(TODAY()),1))),1,0))</f>
        <v/>
      </c>
      <c r="V78">
        <f>IF($A78="","",IF(AND($B78&gt;0,I78&lt;$B78,DATE($B$1,7,1)&lt;=TODAY(),OR($O78="",$O78&gt;=DATE($B$1,7,1)),OR(COUNTIF($C78:I78,"&gt;0")&gt;0,DATE($B$1,7,1)=DATE(YEAR(TODAY()),MONTH(TODAY()),1))),1,0))</f>
        <v/>
      </c>
      <c r="W78">
        <f>IF($A78="","",IF(AND($B78&gt;0,J78&lt;$B78,DATE($B$1,8,1)&lt;=TODAY(),OR($O78="",$O78&gt;=DATE($B$1,8,1)),OR(COUNTIF($C78:J78,"&gt;0")&gt;0,DATE($B$1,8,1)=DATE(YEAR(TODAY()),MONTH(TODAY()),1))),1,0))</f>
        <v/>
      </c>
      <c r="X78">
        <f>IF($A78="","",IF(AND($B78&gt;0,K78&lt;$B78,DATE($B$1,9,1)&lt;=TODAY(),OR($O78="",$O78&gt;=DATE($B$1,9,1)),OR(COUNTIF($C78:K78,"&gt;0")&gt;0,DATE($B$1,9,1)=DATE(YEAR(TODAY()),MONTH(TODAY()),1))),1,0))</f>
        <v/>
      </c>
      <c r="Y78">
        <f>IF($A78="","",IF(AND($B78&gt;0,L78&lt;$B78,DATE($B$1,10,1)&lt;=TODAY(),OR($O78="",$O78&gt;=DATE($B$1,10,1)),OR(COUNTIF($C78:L78,"&gt;0")&gt;0,DATE($B$1,10,1)=DATE(YEAR(TODAY()),MONTH(TODAY()),1))),1,0))</f>
        <v/>
      </c>
      <c r="Z78">
        <f>IF($A78="","",IF(AND($B78&gt;0,M78&lt;$B78,DATE($B$1,11,1)&lt;=TODAY(),OR($O78="",$O78&gt;=DATE($B$1,11,1)),OR(COUNTIF($C78:M78,"&gt;0")&gt;0,DATE($B$1,11,1)=DATE(YEAR(TODAY()),MONTH(TODAY()),1))),1,0))</f>
        <v/>
      </c>
      <c r="AA78">
        <f>IF($A78="","",IF(AND($B78&gt;0,N78&lt;$B78,DATE($B$1,12,1)&lt;=TODAY(),OR($O78="",$O78&gt;=DATE($B$1,12,1)),OR(COUNTIF($C78:N78,"&gt;0")&gt;0,DATE($B$1,12,1)=DATE(YEAR(TODAY()),MONTH(TODAY()),1))),1,0))</f>
        <v/>
      </c>
    </row>
    <row r="79">
      <c r="A79" s="13">
        <f>IF(원생!$A77="","",원생!$A77&amp;IF(원생!$G77="",""," ("&amp;원생!$G77&amp;")"))</f>
        <v/>
      </c>
      <c r="B79" s="8">
        <f>IF(원생!$A77="","",원생!$F77)</f>
        <v/>
      </c>
      <c r="C79" s="14">
        <f>IF(원생!$A77="","",SUMIFS(수납!$F:$F,수납!$C:$C,원생!$A77,수납!$D:$D,IF(원생!$G77="","",원생!$G77),수납!$B:$B,$B$1&amp;"-"&amp;TEXT(1,"00")&amp;"*",수납!$E:$E,"수강료")+SUMIFS(수납!$F:$F,수납!$C:$C,원생!$A77,수납!$D:$D,IF(원생!$G77="","",원생!$G77),수납!$B:$B,$B$1&amp;"-"&amp;TEXT(1,"00")&amp;"*",수납!$E:$E,""))</f>
        <v/>
      </c>
      <c r="D79" s="14">
        <f>IF(원생!$A77="","",SUMIFS(수납!$F:$F,수납!$C:$C,원생!$A77,수납!$D:$D,IF(원생!$G77="","",원생!$G77),수납!$B:$B,$B$1&amp;"-"&amp;TEXT(2,"00")&amp;"*",수납!$E:$E,"수강료")+SUMIFS(수납!$F:$F,수납!$C:$C,원생!$A77,수납!$D:$D,IF(원생!$G77="","",원생!$G77),수납!$B:$B,$B$1&amp;"-"&amp;TEXT(2,"00")&amp;"*",수납!$E:$E,""))</f>
        <v/>
      </c>
      <c r="E79" s="14">
        <f>IF(원생!$A77="","",SUMIFS(수납!$F:$F,수납!$C:$C,원생!$A77,수납!$D:$D,IF(원생!$G77="","",원생!$G77),수납!$B:$B,$B$1&amp;"-"&amp;TEXT(3,"00")&amp;"*",수납!$E:$E,"수강료")+SUMIFS(수납!$F:$F,수납!$C:$C,원생!$A77,수납!$D:$D,IF(원생!$G77="","",원생!$G77),수납!$B:$B,$B$1&amp;"-"&amp;TEXT(3,"00")&amp;"*",수납!$E:$E,""))</f>
        <v/>
      </c>
      <c r="F79" s="14">
        <f>IF(원생!$A77="","",SUMIFS(수납!$F:$F,수납!$C:$C,원생!$A77,수납!$D:$D,IF(원생!$G77="","",원생!$G77),수납!$B:$B,$B$1&amp;"-"&amp;TEXT(4,"00")&amp;"*",수납!$E:$E,"수강료")+SUMIFS(수납!$F:$F,수납!$C:$C,원생!$A77,수납!$D:$D,IF(원생!$G77="","",원생!$G77),수납!$B:$B,$B$1&amp;"-"&amp;TEXT(4,"00")&amp;"*",수납!$E:$E,""))</f>
        <v/>
      </c>
      <c r="G79" s="14">
        <f>IF(원생!$A77="","",SUMIFS(수납!$F:$F,수납!$C:$C,원생!$A77,수납!$D:$D,IF(원생!$G77="","",원생!$G77),수납!$B:$B,$B$1&amp;"-"&amp;TEXT(5,"00")&amp;"*",수납!$E:$E,"수강료")+SUMIFS(수납!$F:$F,수납!$C:$C,원생!$A77,수납!$D:$D,IF(원생!$G77="","",원생!$G77),수납!$B:$B,$B$1&amp;"-"&amp;TEXT(5,"00")&amp;"*",수납!$E:$E,""))</f>
        <v/>
      </c>
      <c r="H79" s="14">
        <f>IF(원생!$A77="","",SUMIFS(수납!$F:$F,수납!$C:$C,원생!$A77,수납!$D:$D,IF(원생!$G77="","",원생!$G77),수납!$B:$B,$B$1&amp;"-"&amp;TEXT(6,"00")&amp;"*",수납!$E:$E,"수강료")+SUMIFS(수납!$F:$F,수납!$C:$C,원생!$A77,수납!$D:$D,IF(원생!$G77="","",원생!$G77),수납!$B:$B,$B$1&amp;"-"&amp;TEXT(6,"00")&amp;"*",수납!$E:$E,""))</f>
        <v/>
      </c>
      <c r="I79" s="14">
        <f>IF(원생!$A77="","",SUMIFS(수납!$F:$F,수납!$C:$C,원생!$A77,수납!$D:$D,IF(원생!$G77="","",원생!$G77),수납!$B:$B,$B$1&amp;"-"&amp;TEXT(7,"00")&amp;"*",수납!$E:$E,"수강료")+SUMIFS(수납!$F:$F,수납!$C:$C,원생!$A77,수납!$D:$D,IF(원생!$G77="","",원생!$G77),수납!$B:$B,$B$1&amp;"-"&amp;TEXT(7,"00")&amp;"*",수납!$E:$E,""))</f>
        <v/>
      </c>
      <c r="J79" s="14">
        <f>IF(원생!$A77="","",SUMIFS(수납!$F:$F,수납!$C:$C,원생!$A77,수납!$D:$D,IF(원생!$G77="","",원생!$G77),수납!$B:$B,$B$1&amp;"-"&amp;TEXT(8,"00")&amp;"*",수납!$E:$E,"수강료")+SUMIFS(수납!$F:$F,수납!$C:$C,원생!$A77,수납!$D:$D,IF(원생!$G77="","",원생!$G77),수납!$B:$B,$B$1&amp;"-"&amp;TEXT(8,"00")&amp;"*",수납!$E:$E,""))</f>
        <v/>
      </c>
      <c r="K79" s="14">
        <f>IF(원생!$A77="","",SUMIFS(수납!$F:$F,수납!$C:$C,원생!$A77,수납!$D:$D,IF(원생!$G77="","",원생!$G77),수납!$B:$B,$B$1&amp;"-"&amp;TEXT(9,"00")&amp;"*",수납!$E:$E,"수강료")+SUMIFS(수납!$F:$F,수납!$C:$C,원생!$A77,수납!$D:$D,IF(원생!$G77="","",원생!$G77),수납!$B:$B,$B$1&amp;"-"&amp;TEXT(9,"00")&amp;"*",수납!$E:$E,""))</f>
        <v/>
      </c>
      <c r="L79" s="14">
        <f>IF(원생!$A77="","",SUMIFS(수납!$F:$F,수납!$C:$C,원생!$A77,수납!$D:$D,IF(원생!$G77="","",원생!$G77),수납!$B:$B,$B$1&amp;"-"&amp;TEXT(10,"00")&amp;"*",수납!$E:$E,"수강료")+SUMIFS(수납!$F:$F,수납!$C:$C,원생!$A77,수납!$D:$D,IF(원생!$G77="","",원생!$G77),수납!$B:$B,$B$1&amp;"-"&amp;TEXT(10,"00")&amp;"*",수납!$E:$E,""))</f>
        <v/>
      </c>
      <c r="M79" s="14">
        <f>IF(원생!$A77="","",SUMIFS(수납!$F:$F,수납!$C:$C,원생!$A77,수납!$D:$D,IF(원생!$G77="","",원생!$G77),수납!$B:$B,$B$1&amp;"-"&amp;TEXT(11,"00")&amp;"*",수납!$E:$E,"수강료")+SUMIFS(수납!$F:$F,수납!$C:$C,원생!$A77,수납!$D:$D,IF(원생!$G77="","",원생!$G77),수납!$B:$B,$B$1&amp;"-"&amp;TEXT(11,"00")&amp;"*",수납!$E:$E,""))</f>
        <v/>
      </c>
      <c r="N79" s="14">
        <f>IF(원생!$A77="","",SUMIFS(수납!$F:$F,수납!$C:$C,원생!$A77,수납!$D:$D,IF(원생!$G77="","",원생!$G77),수납!$B:$B,$B$1&amp;"-"&amp;TEXT(12,"00")&amp;"*",수납!$E:$E,"수강료")+SUMIFS(수납!$F:$F,수납!$C:$C,원생!$A77,수납!$D:$D,IF(원생!$G77="","",원생!$G77),수납!$B:$B,$B$1&amp;"-"&amp;TEXT(12,"00")&amp;"*",수납!$E:$E,""))</f>
        <v/>
      </c>
      <c r="O79">
        <f>IF(원생!$I77="","",원생!$I77)</f>
        <v/>
      </c>
      <c r="P79">
        <f>IF($A79="","",IF(AND($B79&gt;0,C79&lt;$B79,DATE($B$1,1,1)&lt;=TODAY(),OR($O79="",$O79&gt;=DATE($B$1,1,1)),OR(COUNTIF($C79:C79,"&gt;0")&gt;0,DATE($B$1,1,1)=DATE(YEAR(TODAY()),MONTH(TODAY()),1))),1,0))</f>
        <v/>
      </c>
      <c r="Q79">
        <f>IF($A79="","",IF(AND($B79&gt;0,D79&lt;$B79,DATE($B$1,2,1)&lt;=TODAY(),OR($O79="",$O79&gt;=DATE($B$1,2,1)),OR(COUNTIF($C79:D79,"&gt;0")&gt;0,DATE($B$1,2,1)=DATE(YEAR(TODAY()),MONTH(TODAY()),1))),1,0))</f>
        <v/>
      </c>
      <c r="R79">
        <f>IF($A79="","",IF(AND($B79&gt;0,E79&lt;$B79,DATE($B$1,3,1)&lt;=TODAY(),OR($O79="",$O79&gt;=DATE($B$1,3,1)),OR(COUNTIF($C79:E79,"&gt;0")&gt;0,DATE($B$1,3,1)=DATE(YEAR(TODAY()),MONTH(TODAY()),1))),1,0))</f>
        <v/>
      </c>
      <c r="S79">
        <f>IF($A79="","",IF(AND($B79&gt;0,F79&lt;$B79,DATE($B$1,4,1)&lt;=TODAY(),OR($O79="",$O79&gt;=DATE($B$1,4,1)),OR(COUNTIF($C79:F79,"&gt;0")&gt;0,DATE($B$1,4,1)=DATE(YEAR(TODAY()),MONTH(TODAY()),1))),1,0))</f>
        <v/>
      </c>
      <c r="T79">
        <f>IF($A79="","",IF(AND($B79&gt;0,G79&lt;$B79,DATE($B$1,5,1)&lt;=TODAY(),OR($O79="",$O79&gt;=DATE($B$1,5,1)),OR(COUNTIF($C79:G79,"&gt;0")&gt;0,DATE($B$1,5,1)=DATE(YEAR(TODAY()),MONTH(TODAY()),1))),1,0))</f>
        <v/>
      </c>
      <c r="U79">
        <f>IF($A79="","",IF(AND($B79&gt;0,H79&lt;$B79,DATE($B$1,6,1)&lt;=TODAY(),OR($O79="",$O79&gt;=DATE($B$1,6,1)),OR(COUNTIF($C79:H79,"&gt;0")&gt;0,DATE($B$1,6,1)=DATE(YEAR(TODAY()),MONTH(TODAY()),1))),1,0))</f>
        <v/>
      </c>
      <c r="V79">
        <f>IF($A79="","",IF(AND($B79&gt;0,I79&lt;$B79,DATE($B$1,7,1)&lt;=TODAY(),OR($O79="",$O79&gt;=DATE($B$1,7,1)),OR(COUNTIF($C79:I79,"&gt;0")&gt;0,DATE($B$1,7,1)=DATE(YEAR(TODAY()),MONTH(TODAY()),1))),1,0))</f>
        <v/>
      </c>
      <c r="W79">
        <f>IF($A79="","",IF(AND($B79&gt;0,J79&lt;$B79,DATE($B$1,8,1)&lt;=TODAY(),OR($O79="",$O79&gt;=DATE($B$1,8,1)),OR(COUNTIF($C79:J79,"&gt;0")&gt;0,DATE($B$1,8,1)=DATE(YEAR(TODAY()),MONTH(TODAY()),1))),1,0))</f>
        <v/>
      </c>
      <c r="X79">
        <f>IF($A79="","",IF(AND($B79&gt;0,K79&lt;$B79,DATE($B$1,9,1)&lt;=TODAY(),OR($O79="",$O79&gt;=DATE($B$1,9,1)),OR(COUNTIF($C79:K79,"&gt;0")&gt;0,DATE($B$1,9,1)=DATE(YEAR(TODAY()),MONTH(TODAY()),1))),1,0))</f>
        <v/>
      </c>
      <c r="Y79">
        <f>IF($A79="","",IF(AND($B79&gt;0,L79&lt;$B79,DATE($B$1,10,1)&lt;=TODAY(),OR($O79="",$O79&gt;=DATE($B$1,10,1)),OR(COUNTIF($C79:L79,"&gt;0")&gt;0,DATE($B$1,10,1)=DATE(YEAR(TODAY()),MONTH(TODAY()),1))),1,0))</f>
        <v/>
      </c>
      <c r="Z79">
        <f>IF($A79="","",IF(AND($B79&gt;0,M79&lt;$B79,DATE($B$1,11,1)&lt;=TODAY(),OR($O79="",$O79&gt;=DATE($B$1,11,1)),OR(COUNTIF($C79:M79,"&gt;0")&gt;0,DATE($B$1,11,1)=DATE(YEAR(TODAY()),MONTH(TODAY()),1))),1,0))</f>
        <v/>
      </c>
      <c r="AA79">
        <f>IF($A79="","",IF(AND($B79&gt;0,N79&lt;$B79,DATE($B$1,12,1)&lt;=TODAY(),OR($O79="",$O79&gt;=DATE($B$1,12,1)),OR(COUNTIF($C79:N79,"&gt;0")&gt;0,DATE($B$1,12,1)=DATE(YEAR(TODAY()),MONTH(TODAY()),1))),1,0))</f>
        <v/>
      </c>
    </row>
    <row r="80">
      <c r="A80" s="13">
        <f>IF(원생!$A78="","",원생!$A78&amp;IF(원생!$G78="",""," ("&amp;원생!$G78&amp;")"))</f>
        <v/>
      </c>
      <c r="B80" s="8">
        <f>IF(원생!$A78="","",원생!$F78)</f>
        <v/>
      </c>
      <c r="C80" s="14">
        <f>IF(원생!$A78="","",SUMIFS(수납!$F:$F,수납!$C:$C,원생!$A78,수납!$D:$D,IF(원생!$G78="","",원생!$G78),수납!$B:$B,$B$1&amp;"-"&amp;TEXT(1,"00")&amp;"*",수납!$E:$E,"수강료")+SUMIFS(수납!$F:$F,수납!$C:$C,원생!$A78,수납!$D:$D,IF(원생!$G78="","",원생!$G78),수납!$B:$B,$B$1&amp;"-"&amp;TEXT(1,"00")&amp;"*",수납!$E:$E,""))</f>
        <v/>
      </c>
      <c r="D80" s="14">
        <f>IF(원생!$A78="","",SUMIFS(수납!$F:$F,수납!$C:$C,원생!$A78,수납!$D:$D,IF(원생!$G78="","",원생!$G78),수납!$B:$B,$B$1&amp;"-"&amp;TEXT(2,"00")&amp;"*",수납!$E:$E,"수강료")+SUMIFS(수납!$F:$F,수납!$C:$C,원생!$A78,수납!$D:$D,IF(원생!$G78="","",원생!$G78),수납!$B:$B,$B$1&amp;"-"&amp;TEXT(2,"00")&amp;"*",수납!$E:$E,""))</f>
        <v/>
      </c>
      <c r="E80" s="14">
        <f>IF(원생!$A78="","",SUMIFS(수납!$F:$F,수납!$C:$C,원생!$A78,수납!$D:$D,IF(원생!$G78="","",원생!$G78),수납!$B:$B,$B$1&amp;"-"&amp;TEXT(3,"00")&amp;"*",수납!$E:$E,"수강료")+SUMIFS(수납!$F:$F,수납!$C:$C,원생!$A78,수납!$D:$D,IF(원생!$G78="","",원생!$G78),수납!$B:$B,$B$1&amp;"-"&amp;TEXT(3,"00")&amp;"*",수납!$E:$E,""))</f>
        <v/>
      </c>
      <c r="F80" s="14">
        <f>IF(원생!$A78="","",SUMIFS(수납!$F:$F,수납!$C:$C,원생!$A78,수납!$D:$D,IF(원생!$G78="","",원생!$G78),수납!$B:$B,$B$1&amp;"-"&amp;TEXT(4,"00")&amp;"*",수납!$E:$E,"수강료")+SUMIFS(수납!$F:$F,수납!$C:$C,원생!$A78,수납!$D:$D,IF(원생!$G78="","",원생!$G78),수납!$B:$B,$B$1&amp;"-"&amp;TEXT(4,"00")&amp;"*",수납!$E:$E,""))</f>
        <v/>
      </c>
      <c r="G80" s="14">
        <f>IF(원생!$A78="","",SUMIFS(수납!$F:$F,수납!$C:$C,원생!$A78,수납!$D:$D,IF(원생!$G78="","",원생!$G78),수납!$B:$B,$B$1&amp;"-"&amp;TEXT(5,"00")&amp;"*",수납!$E:$E,"수강료")+SUMIFS(수납!$F:$F,수납!$C:$C,원생!$A78,수납!$D:$D,IF(원생!$G78="","",원생!$G78),수납!$B:$B,$B$1&amp;"-"&amp;TEXT(5,"00")&amp;"*",수납!$E:$E,""))</f>
        <v/>
      </c>
      <c r="H80" s="14">
        <f>IF(원생!$A78="","",SUMIFS(수납!$F:$F,수납!$C:$C,원생!$A78,수납!$D:$D,IF(원생!$G78="","",원생!$G78),수납!$B:$B,$B$1&amp;"-"&amp;TEXT(6,"00")&amp;"*",수납!$E:$E,"수강료")+SUMIFS(수납!$F:$F,수납!$C:$C,원생!$A78,수납!$D:$D,IF(원생!$G78="","",원생!$G78),수납!$B:$B,$B$1&amp;"-"&amp;TEXT(6,"00")&amp;"*",수납!$E:$E,""))</f>
        <v/>
      </c>
      <c r="I80" s="14">
        <f>IF(원생!$A78="","",SUMIFS(수납!$F:$F,수납!$C:$C,원생!$A78,수납!$D:$D,IF(원생!$G78="","",원생!$G78),수납!$B:$B,$B$1&amp;"-"&amp;TEXT(7,"00")&amp;"*",수납!$E:$E,"수강료")+SUMIFS(수납!$F:$F,수납!$C:$C,원생!$A78,수납!$D:$D,IF(원생!$G78="","",원생!$G78),수납!$B:$B,$B$1&amp;"-"&amp;TEXT(7,"00")&amp;"*",수납!$E:$E,""))</f>
        <v/>
      </c>
      <c r="J80" s="14">
        <f>IF(원생!$A78="","",SUMIFS(수납!$F:$F,수납!$C:$C,원생!$A78,수납!$D:$D,IF(원생!$G78="","",원생!$G78),수납!$B:$B,$B$1&amp;"-"&amp;TEXT(8,"00")&amp;"*",수납!$E:$E,"수강료")+SUMIFS(수납!$F:$F,수납!$C:$C,원생!$A78,수납!$D:$D,IF(원생!$G78="","",원생!$G78),수납!$B:$B,$B$1&amp;"-"&amp;TEXT(8,"00")&amp;"*",수납!$E:$E,""))</f>
        <v/>
      </c>
      <c r="K80" s="14">
        <f>IF(원생!$A78="","",SUMIFS(수납!$F:$F,수납!$C:$C,원생!$A78,수납!$D:$D,IF(원생!$G78="","",원생!$G78),수납!$B:$B,$B$1&amp;"-"&amp;TEXT(9,"00")&amp;"*",수납!$E:$E,"수강료")+SUMIFS(수납!$F:$F,수납!$C:$C,원생!$A78,수납!$D:$D,IF(원생!$G78="","",원생!$G78),수납!$B:$B,$B$1&amp;"-"&amp;TEXT(9,"00")&amp;"*",수납!$E:$E,""))</f>
        <v/>
      </c>
      <c r="L80" s="14">
        <f>IF(원생!$A78="","",SUMIFS(수납!$F:$F,수납!$C:$C,원생!$A78,수납!$D:$D,IF(원생!$G78="","",원생!$G78),수납!$B:$B,$B$1&amp;"-"&amp;TEXT(10,"00")&amp;"*",수납!$E:$E,"수강료")+SUMIFS(수납!$F:$F,수납!$C:$C,원생!$A78,수납!$D:$D,IF(원생!$G78="","",원생!$G78),수납!$B:$B,$B$1&amp;"-"&amp;TEXT(10,"00")&amp;"*",수납!$E:$E,""))</f>
        <v/>
      </c>
      <c r="M80" s="14">
        <f>IF(원생!$A78="","",SUMIFS(수납!$F:$F,수납!$C:$C,원생!$A78,수납!$D:$D,IF(원생!$G78="","",원생!$G78),수납!$B:$B,$B$1&amp;"-"&amp;TEXT(11,"00")&amp;"*",수납!$E:$E,"수강료")+SUMIFS(수납!$F:$F,수납!$C:$C,원생!$A78,수납!$D:$D,IF(원생!$G78="","",원생!$G78),수납!$B:$B,$B$1&amp;"-"&amp;TEXT(11,"00")&amp;"*",수납!$E:$E,""))</f>
        <v/>
      </c>
      <c r="N80" s="14">
        <f>IF(원생!$A78="","",SUMIFS(수납!$F:$F,수납!$C:$C,원생!$A78,수납!$D:$D,IF(원생!$G78="","",원생!$G78),수납!$B:$B,$B$1&amp;"-"&amp;TEXT(12,"00")&amp;"*",수납!$E:$E,"수강료")+SUMIFS(수납!$F:$F,수납!$C:$C,원생!$A78,수납!$D:$D,IF(원생!$G78="","",원생!$G78),수납!$B:$B,$B$1&amp;"-"&amp;TEXT(12,"00")&amp;"*",수납!$E:$E,""))</f>
        <v/>
      </c>
      <c r="O80">
        <f>IF(원생!$I78="","",원생!$I78)</f>
        <v/>
      </c>
      <c r="P80">
        <f>IF($A80="","",IF(AND($B80&gt;0,C80&lt;$B80,DATE($B$1,1,1)&lt;=TODAY(),OR($O80="",$O80&gt;=DATE($B$1,1,1)),OR(COUNTIF($C80:C80,"&gt;0")&gt;0,DATE($B$1,1,1)=DATE(YEAR(TODAY()),MONTH(TODAY()),1))),1,0))</f>
        <v/>
      </c>
      <c r="Q80">
        <f>IF($A80="","",IF(AND($B80&gt;0,D80&lt;$B80,DATE($B$1,2,1)&lt;=TODAY(),OR($O80="",$O80&gt;=DATE($B$1,2,1)),OR(COUNTIF($C80:D80,"&gt;0")&gt;0,DATE($B$1,2,1)=DATE(YEAR(TODAY()),MONTH(TODAY()),1))),1,0))</f>
        <v/>
      </c>
      <c r="R80">
        <f>IF($A80="","",IF(AND($B80&gt;0,E80&lt;$B80,DATE($B$1,3,1)&lt;=TODAY(),OR($O80="",$O80&gt;=DATE($B$1,3,1)),OR(COUNTIF($C80:E80,"&gt;0")&gt;0,DATE($B$1,3,1)=DATE(YEAR(TODAY()),MONTH(TODAY()),1))),1,0))</f>
        <v/>
      </c>
      <c r="S80">
        <f>IF($A80="","",IF(AND($B80&gt;0,F80&lt;$B80,DATE($B$1,4,1)&lt;=TODAY(),OR($O80="",$O80&gt;=DATE($B$1,4,1)),OR(COUNTIF($C80:F80,"&gt;0")&gt;0,DATE($B$1,4,1)=DATE(YEAR(TODAY()),MONTH(TODAY()),1))),1,0))</f>
        <v/>
      </c>
      <c r="T80">
        <f>IF($A80="","",IF(AND($B80&gt;0,G80&lt;$B80,DATE($B$1,5,1)&lt;=TODAY(),OR($O80="",$O80&gt;=DATE($B$1,5,1)),OR(COUNTIF($C80:G80,"&gt;0")&gt;0,DATE($B$1,5,1)=DATE(YEAR(TODAY()),MONTH(TODAY()),1))),1,0))</f>
        <v/>
      </c>
      <c r="U80">
        <f>IF($A80="","",IF(AND($B80&gt;0,H80&lt;$B80,DATE($B$1,6,1)&lt;=TODAY(),OR($O80="",$O80&gt;=DATE($B$1,6,1)),OR(COUNTIF($C80:H80,"&gt;0")&gt;0,DATE($B$1,6,1)=DATE(YEAR(TODAY()),MONTH(TODAY()),1))),1,0))</f>
        <v/>
      </c>
      <c r="V80">
        <f>IF($A80="","",IF(AND($B80&gt;0,I80&lt;$B80,DATE($B$1,7,1)&lt;=TODAY(),OR($O80="",$O80&gt;=DATE($B$1,7,1)),OR(COUNTIF($C80:I80,"&gt;0")&gt;0,DATE($B$1,7,1)=DATE(YEAR(TODAY()),MONTH(TODAY()),1))),1,0))</f>
        <v/>
      </c>
      <c r="W80">
        <f>IF($A80="","",IF(AND($B80&gt;0,J80&lt;$B80,DATE($B$1,8,1)&lt;=TODAY(),OR($O80="",$O80&gt;=DATE($B$1,8,1)),OR(COUNTIF($C80:J80,"&gt;0")&gt;0,DATE($B$1,8,1)=DATE(YEAR(TODAY()),MONTH(TODAY()),1))),1,0))</f>
        <v/>
      </c>
      <c r="X80">
        <f>IF($A80="","",IF(AND($B80&gt;0,K80&lt;$B80,DATE($B$1,9,1)&lt;=TODAY(),OR($O80="",$O80&gt;=DATE($B$1,9,1)),OR(COUNTIF($C80:K80,"&gt;0")&gt;0,DATE($B$1,9,1)=DATE(YEAR(TODAY()),MONTH(TODAY()),1))),1,0))</f>
        <v/>
      </c>
      <c r="Y80">
        <f>IF($A80="","",IF(AND($B80&gt;0,L80&lt;$B80,DATE($B$1,10,1)&lt;=TODAY(),OR($O80="",$O80&gt;=DATE($B$1,10,1)),OR(COUNTIF($C80:L80,"&gt;0")&gt;0,DATE($B$1,10,1)=DATE(YEAR(TODAY()),MONTH(TODAY()),1))),1,0))</f>
        <v/>
      </c>
      <c r="Z80">
        <f>IF($A80="","",IF(AND($B80&gt;0,M80&lt;$B80,DATE($B$1,11,1)&lt;=TODAY(),OR($O80="",$O80&gt;=DATE($B$1,11,1)),OR(COUNTIF($C80:M80,"&gt;0")&gt;0,DATE($B$1,11,1)=DATE(YEAR(TODAY()),MONTH(TODAY()),1))),1,0))</f>
        <v/>
      </c>
      <c r="AA80">
        <f>IF($A80="","",IF(AND($B80&gt;0,N80&lt;$B80,DATE($B$1,12,1)&lt;=TODAY(),OR($O80="",$O80&gt;=DATE($B$1,12,1)),OR(COUNTIF($C80:N80,"&gt;0")&gt;0,DATE($B$1,12,1)=DATE(YEAR(TODAY()),MONTH(TODAY()),1))),1,0))</f>
        <v/>
      </c>
    </row>
    <row r="81">
      <c r="A81" s="13">
        <f>IF(원생!$A79="","",원생!$A79&amp;IF(원생!$G79="",""," ("&amp;원생!$G79&amp;")"))</f>
        <v/>
      </c>
      <c r="B81" s="8">
        <f>IF(원생!$A79="","",원생!$F79)</f>
        <v/>
      </c>
      <c r="C81" s="14">
        <f>IF(원생!$A79="","",SUMIFS(수납!$F:$F,수납!$C:$C,원생!$A79,수납!$D:$D,IF(원생!$G79="","",원생!$G79),수납!$B:$B,$B$1&amp;"-"&amp;TEXT(1,"00")&amp;"*",수납!$E:$E,"수강료")+SUMIFS(수납!$F:$F,수납!$C:$C,원생!$A79,수납!$D:$D,IF(원생!$G79="","",원생!$G79),수납!$B:$B,$B$1&amp;"-"&amp;TEXT(1,"00")&amp;"*",수납!$E:$E,""))</f>
        <v/>
      </c>
      <c r="D81" s="14">
        <f>IF(원생!$A79="","",SUMIFS(수납!$F:$F,수납!$C:$C,원생!$A79,수납!$D:$D,IF(원생!$G79="","",원생!$G79),수납!$B:$B,$B$1&amp;"-"&amp;TEXT(2,"00")&amp;"*",수납!$E:$E,"수강료")+SUMIFS(수납!$F:$F,수납!$C:$C,원생!$A79,수납!$D:$D,IF(원생!$G79="","",원생!$G79),수납!$B:$B,$B$1&amp;"-"&amp;TEXT(2,"00")&amp;"*",수납!$E:$E,""))</f>
        <v/>
      </c>
      <c r="E81" s="14">
        <f>IF(원생!$A79="","",SUMIFS(수납!$F:$F,수납!$C:$C,원생!$A79,수납!$D:$D,IF(원생!$G79="","",원생!$G79),수납!$B:$B,$B$1&amp;"-"&amp;TEXT(3,"00")&amp;"*",수납!$E:$E,"수강료")+SUMIFS(수납!$F:$F,수납!$C:$C,원생!$A79,수납!$D:$D,IF(원생!$G79="","",원생!$G79),수납!$B:$B,$B$1&amp;"-"&amp;TEXT(3,"00")&amp;"*",수납!$E:$E,""))</f>
        <v/>
      </c>
      <c r="F81" s="14">
        <f>IF(원생!$A79="","",SUMIFS(수납!$F:$F,수납!$C:$C,원생!$A79,수납!$D:$D,IF(원생!$G79="","",원생!$G79),수납!$B:$B,$B$1&amp;"-"&amp;TEXT(4,"00")&amp;"*",수납!$E:$E,"수강료")+SUMIFS(수납!$F:$F,수납!$C:$C,원생!$A79,수납!$D:$D,IF(원생!$G79="","",원생!$G79),수납!$B:$B,$B$1&amp;"-"&amp;TEXT(4,"00")&amp;"*",수납!$E:$E,""))</f>
        <v/>
      </c>
      <c r="G81" s="14">
        <f>IF(원생!$A79="","",SUMIFS(수납!$F:$F,수납!$C:$C,원생!$A79,수납!$D:$D,IF(원생!$G79="","",원생!$G79),수납!$B:$B,$B$1&amp;"-"&amp;TEXT(5,"00")&amp;"*",수납!$E:$E,"수강료")+SUMIFS(수납!$F:$F,수납!$C:$C,원생!$A79,수납!$D:$D,IF(원생!$G79="","",원생!$G79),수납!$B:$B,$B$1&amp;"-"&amp;TEXT(5,"00")&amp;"*",수납!$E:$E,""))</f>
        <v/>
      </c>
      <c r="H81" s="14">
        <f>IF(원생!$A79="","",SUMIFS(수납!$F:$F,수납!$C:$C,원생!$A79,수납!$D:$D,IF(원생!$G79="","",원생!$G79),수납!$B:$B,$B$1&amp;"-"&amp;TEXT(6,"00")&amp;"*",수납!$E:$E,"수강료")+SUMIFS(수납!$F:$F,수납!$C:$C,원생!$A79,수납!$D:$D,IF(원생!$G79="","",원생!$G79),수납!$B:$B,$B$1&amp;"-"&amp;TEXT(6,"00")&amp;"*",수납!$E:$E,""))</f>
        <v/>
      </c>
      <c r="I81" s="14">
        <f>IF(원생!$A79="","",SUMIFS(수납!$F:$F,수납!$C:$C,원생!$A79,수납!$D:$D,IF(원생!$G79="","",원생!$G79),수납!$B:$B,$B$1&amp;"-"&amp;TEXT(7,"00")&amp;"*",수납!$E:$E,"수강료")+SUMIFS(수납!$F:$F,수납!$C:$C,원생!$A79,수납!$D:$D,IF(원생!$G79="","",원생!$G79),수납!$B:$B,$B$1&amp;"-"&amp;TEXT(7,"00")&amp;"*",수납!$E:$E,""))</f>
        <v/>
      </c>
      <c r="J81" s="14">
        <f>IF(원생!$A79="","",SUMIFS(수납!$F:$F,수납!$C:$C,원생!$A79,수납!$D:$D,IF(원생!$G79="","",원생!$G79),수납!$B:$B,$B$1&amp;"-"&amp;TEXT(8,"00")&amp;"*",수납!$E:$E,"수강료")+SUMIFS(수납!$F:$F,수납!$C:$C,원생!$A79,수납!$D:$D,IF(원생!$G79="","",원생!$G79),수납!$B:$B,$B$1&amp;"-"&amp;TEXT(8,"00")&amp;"*",수납!$E:$E,""))</f>
        <v/>
      </c>
      <c r="K81" s="14">
        <f>IF(원생!$A79="","",SUMIFS(수납!$F:$F,수납!$C:$C,원생!$A79,수납!$D:$D,IF(원생!$G79="","",원생!$G79),수납!$B:$B,$B$1&amp;"-"&amp;TEXT(9,"00")&amp;"*",수납!$E:$E,"수강료")+SUMIFS(수납!$F:$F,수납!$C:$C,원생!$A79,수납!$D:$D,IF(원생!$G79="","",원생!$G79),수납!$B:$B,$B$1&amp;"-"&amp;TEXT(9,"00")&amp;"*",수납!$E:$E,""))</f>
        <v/>
      </c>
      <c r="L81" s="14">
        <f>IF(원생!$A79="","",SUMIFS(수납!$F:$F,수납!$C:$C,원생!$A79,수납!$D:$D,IF(원생!$G79="","",원생!$G79),수납!$B:$B,$B$1&amp;"-"&amp;TEXT(10,"00")&amp;"*",수납!$E:$E,"수강료")+SUMIFS(수납!$F:$F,수납!$C:$C,원생!$A79,수납!$D:$D,IF(원생!$G79="","",원생!$G79),수납!$B:$B,$B$1&amp;"-"&amp;TEXT(10,"00")&amp;"*",수납!$E:$E,""))</f>
        <v/>
      </c>
      <c r="M81" s="14">
        <f>IF(원생!$A79="","",SUMIFS(수납!$F:$F,수납!$C:$C,원생!$A79,수납!$D:$D,IF(원생!$G79="","",원생!$G79),수납!$B:$B,$B$1&amp;"-"&amp;TEXT(11,"00")&amp;"*",수납!$E:$E,"수강료")+SUMIFS(수납!$F:$F,수납!$C:$C,원생!$A79,수납!$D:$D,IF(원생!$G79="","",원생!$G79),수납!$B:$B,$B$1&amp;"-"&amp;TEXT(11,"00")&amp;"*",수납!$E:$E,""))</f>
        <v/>
      </c>
      <c r="N81" s="14">
        <f>IF(원생!$A79="","",SUMIFS(수납!$F:$F,수납!$C:$C,원생!$A79,수납!$D:$D,IF(원생!$G79="","",원생!$G79),수납!$B:$B,$B$1&amp;"-"&amp;TEXT(12,"00")&amp;"*",수납!$E:$E,"수강료")+SUMIFS(수납!$F:$F,수납!$C:$C,원생!$A79,수납!$D:$D,IF(원생!$G79="","",원생!$G79),수납!$B:$B,$B$1&amp;"-"&amp;TEXT(12,"00")&amp;"*",수납!$E:$E,""))</f>
        <v/>
      </c>
      <c r="O81">
        <f>IF(원생!$I79="","",원생!$I79)</f>
        <v/>
      </c>
      <c r="P81">
        <f>IF($A81="","",IF(AND($B81&gt;0,C81&lt;$B81,DATE($B$1,1,1)&lt;=TODAY(),OR($O81="",$O81&gt;=DATE($B$1,1,1)),OR(COUNTIF($C81:C81,"&gt;0")&gt;0,DATE($B$1,1,1)=DATE(YEAR(TODAY()),MONTH(TODAY()),1))),1,0))</f>
        <v/>
      </c>
      <c r="Q81">
        <f>IF($A81="","",IF(AND($B81&gt;0,D81&lt;$B81,DATE($B$1,2,1)&lt;=TODAY(),OR($O81="",$O81&gt;=DATE($B$1,2,1)),OR(COUNTIF($C81:D81,"&gt;0")&gt;0,DATE($B$1,2,1)=DATE(YEAR(TODAY()),MONTH(TODAY()),1))),1,0))</f>
        <v/>
      </c>
      <c r="R81">
        <f>IF($A81="","",IF(AND($B81&gt;0,E81&lt;$B81,DATE($B$1,3,1)&lt;=TODAY(),OR($O81="",$O81&gt;=DATE($B$1,3,1)),OR(COUNTIF($C81:E81,"&gt;0")&gt;0,DATE($B$1,3,1)=DATE(YEAR(TODAY()),MONTH(TODAY()),1))),1,0))</f>
        <v/>
      </c>
      <c r="S81">
        <f>IF($A81="","",IF(AND($B81&gt;0,F81&lt;$B81,DATE($B$1,4,1)&lt;=TODAY(),OR($O81="",$O81&gt;=DATE($B$1,4,1)),OR(COUNTIF($C81:F81,"&gt;0")&gt;0,DATE($B$1,4,1)=DATE(YEAR(TODAY()),MONTH(TODAY()),1))),1,0))</f>
        <v/>
      </c>
      <c r="T81">
        <f>IF($A81="","",IF(AND($B81&gt;0,G81&lt;$B81,DATE($B$1,5,1)&lt;=TODAY(),OR($O81="",$O81&gt;=DATE($B$1,5,1)),OR(COUNTIF($C81:G81,"&gt;0")&gt;0,DATE($B$1,5,1)=DATE(YEAR(TODAY()),MONTH(TODAY()),1))),1,0))</f>
        <v/>
      </c>
      <c r="U81">
        <f>IF($A81="","",IF(AND($B81&gt;0,H81&lt;$B81,DATE($B$1,6,1)&lt;=TODAY(),OR($O81="",$O81&gt;=DATE($B$1,6,1)),OR(COUNTIF($C81:H81,"&gt;0")&gt;0,DATE($B$1,6,1)=DATE(YEAR(TODAY()),MONTH(TODAY()),1))),1,0))</f>
        <v/>
      </c>
      <c r="V81">
        <f>IF($A81="","",IF(AND($B81&gt;0,I81&lt;$B81,DATE($B$1,7,1)&lt;=TODAY(),OR($O81="",$O81&gt;=DATE($B$1,7,1)),OR(COUNTIF($C81:I81,"&gt;0")&gt;0,DATE($B$1,7,1)=DATE(YEAR(TODAY()),MONTH(TODAY()),1))),1,0))</f>
        <v/>
      </c>
      <c r="W81">
        <f>IF($A81="","",IF(AND($B81&gt;0,J81&lt;$B81,DATE($B$1,8,1)&lt;=TODAY(),OR($O81="",$O81&gt;=DATE($B$1,8,1)),OR(COUNTIF($C81:J81,"&gt;0")&gt;0,DATE($B$1,8,1)=DATE(YEAR(TODAY()),MONTH(TODAY()),1))),1,0))</f>
        <v/>
      </c>
      <c r="X81">
        <f>IF($A81="","",IF(AND($B81&gt;0,K81&lt;$B81,DATE($B$1,9,1)&lt;=TODAY(),OR($O81="",$O81&gt;=DATE($B$1,9,1)),OR(COUNTIF($C81:K81,"&gt;0")&gt;0,DATE($B$1,9,1)=DATE(YEAR(TODAY()),MONTH(TODAY()),1))),1,0))</f>
        <v/>
      </c>
      <c r="Y81">
        <f>IF($A81="","",IF(AND($B81&gt;0,L81&lt;$B81,DATE($B$1,10,1)&lt;=TODAY(),OR($O81="",$O81&gt;=DATE($B$1,10,1)),OR(COUNTIF($C81:L81,"&gt;0")&gt;0,DATE($B$1,10,1)=DATE(YEAR(TODAY()),MONTH(TODAY()),1))),1,0))</f>
        <v/>
      </c>
      <c r="Z81">
        <f>IF($A81="","",IF(AND($B81&gt;0,M81&lt;$B81,DATE($B$1,11,1)&lt;=TODAY(),OR($O81="",$O81&gt;=DATE($B$1,11,1)),OR(COUNTIF($C81:M81,"&gt;0")&gt;0,DATE($B$1,11,1)=DATE(YEAR(TODAY()),MONTH(TODAY()),1))),1,0))</f>
        <v/>
      </c>
      <c r="AA81">
        <f>IF($A81="","",IF(AND($B81&gt;0,N81&lt;$B81,DATE($B$1,12,1)&lt;=TODAY(),OR($O81="",$O81&gt;=DATE($B$1,12,1)),OR(COUNTIF($C81:N81,"&gt;0")&gt;0,DATE($B$1,12,1)=DATE(YEAR(TODAY()),MONTH(TODAY()),1))),1,0))</f>
        <v/>
      </c>
    </row>
    <row r="82">
      <c r="A82" s="13">
        <f>IF(원생!$A80="","",원생!$A80&amp;IF(원생!$G80="",""," ("&amp;원생!$G80&amp;")"))</f>
        <v/>
      </c>
      <c r="B82" s="8">
        <f>IF(원생!$A80="","",원생!$F80)</f>
        <v/>
      </c>
      <c r="C82" s="14">
        <f>IF(원생!$A80="","",SUMIFS(수납!$F:$F,수납!$C:$C,원생!$A80,수납!$D:$D,IF(원생!$G80="","",원생!$G80),수납!$B:$B,$B$1&amp;"-"&amp;TEXT(1,"00")&amp;"*",수납!$E:$E,"수강료")+SUMIFS(수납!$F:$F,수납!$C:$C,원생!$A80,수납!$D:$D,IF(원생!$G80="","",원생!$G80),수납!$B:$B,$B$1&amp;"-"&amp;TEXT(1,"00")&amp;"*",수납!$E:$E,""))</f>
        <v/>
      </c>
      <c r="D82" s="14">
        <f>IF(원생!$A80="","",SUMIFS(수납!$F:$F,수납!$C:$C,원생!$A80,수납!$D:$D,IF(원생!$G80="","",원생!$G80),수납!$B:$B,$B$1&amp;"-"&amp;TEXT(2,"00")&amp;"*",수납!$E:$E,"수강료")+SUMIFS(수납!$F:$F,수납!$C:$C,원생!$A80,수납!$D:$D,IF(원생!$G80="","",원생!$G80),수납!$B:$B,$B$1&amp;"-"&amp;TEXT(2,"00")&amp;"*",수납!$E:$E,""))</f>
        <v/>
      </c>
      <c r="E82" s="14">
        <f>IF(원생!$A80="","",SUMIFS(수납!$F:$F,수납!$C:$C,원생!$A80,수납!$D:$D,IF(원생!$G80="","",원생!$G80),수납!$B:$B,$B$1&amp;"-"&amp;TEXT(3,"00")&amp;"*",수납!$E:$E,"수강료")+SUMIFS(수납!$F:$F,수납!$C:$C,원생!$A80,수납!$D:$D,IF(원생!$G80="","",원생!$G80),수납!$B:$B,$B$1&amp;"-"&amp;TEXT(3,"00")&amp;"*",수납!$E:$E,""))</f>
        <v/>
      </c>
      <c r="F82" s="14">
        <f>IF(원생!$A80="","",SUMIFS(수납!$F:$F,수납!$C:$C,원생!$A80,수납!$D:$D,IF(원생!$G80="","",원생!$G80),수납!$B:$B,$B$1&amp;"-"&amp;TEXT(4,"00")&amp;"*",수납!$E:$E,"수강료")+SUMIFS(수납!$F:$F,수납!$C:$C,원생!$A80,수납!$D:$D,IF(원생!$G80="","",원생!$G80),수납!$B:$B,$B$1&amp;"-"&amp;TEXT(4,"00")&amp;"*",수납!$E:$E,""))</f>
        <v/>
      </c>
      <c r="G82" s="14">
        <f>IF(원생!$A80="","",SUMIFS(수납!$F:$F,수납!$C:$C,원생!$A80,수납!$D:$D,IF(원생!$G80="","",원생!$G80),수납!$B:$B,$B$1&amp;"-"&amp;TEXT(5,"00")&amp;"*",수납!$E:$E,"수강료")+SUMIFS(수납!$F:$F,수납!$C:$C,원생!$A80,수납!$D:$D,IF(원생!$G80="","",원생!$G80),수납!$B:$B,$B$1&amp;"-"&amp;TEXT(5,"00")&amp;"*",수납!$E:$E,""))</f>
        <v/>
      </c>
      <c r="H82" s="14">
        <f>IF(원생!$A80="","",SUMIFS(수납!$F:$F,수납!$C:$C,원생!$A80,수납!$D:$D,IF(원생!$G80="","",원생!$G80),수납!$B:$B,$B$1&amp;"-"&amp;TEXT(6,"00")&amp;"*",수납!$E:$E,"수강료")+SUMIFS(수납!$F:$F,수납!$C:$C,원생!$A80,수납!$D:$D,IF(원생!$G80="","",원생!$G80),수납!$B:$B,$B$1&amp;"-"&amp;TEXT(6,"00")&amp;"*",수납!$E:$E,""))</f>
        <v/>
      </c>
      <c r="I82" s="14">
        <f>IF(원생!$A80="","",SUMIFS(수납!$F:$F,수납!$C:$C,원생!$A80,수납!$D:$D,IF(원생!$G80="","",원생!$G80),수납!$B:$B,$B$1&amp;"-"&amp;TEXT(7,"00")&amp;"*",수납!$E:$E,"수강료")+SUMIFS(수납!$F:$F,수납!$C:$C,원생!$A80,수납!$D:$D,IF(원생!$G80="","",원생!$G80),수납!$B:$B,$B$1&amp;"-"&amp;TEXT(7,"00")&amp;"*",수납!$E:$E,""))</f>
        <v/>
      </c>
      <c r="J82" s="14">
        <f>IF(원생!$A80="","",SUMIFS(수납!$F:$F,수납!$C:$C,원생!$A80,수납!$D:$D,IF(원생!$G80="","",원생!$G80),수납!$B:$B,$B$1&amp;"-"&amp;TEXT(8,"00")&amp;"*",수납!$E:$E,"수강료")+SUMIFS(수납!$F:$F,수납!$C:$C,원생!$A80,수납!$D:$D,IF(원생!$G80="","",원생!$G80),수납!$B:$B,$B$1&amp;"-"&amp;TEXT(8,"00")&amp;"*",수납!$E:$E,""))</f>
        <v/>
      </c>
      <c r="K82" s="14">
        <f>IF(원생!$A80="","",SUMIFS(수납!$F:$F,수납!$C:$C,원생!$A80,수납!$D:$D,IF(원생!$G80="","",원생!$G80),수납!$B:$B,$B$1&amp;"-"&amp;TEXT(9,"00")&amp;"*",수납!$E:$E,"수강료")+SUMIFS(수납!$F:$F,수납!$C:$C,원생!$A80,수납!$D:$D,IF(원생!$G80="","",원생!$G80),수납!$B:$B,$B$1&amp;"-"&amp;TEXT(9,"00")&amp;"*",수납!$E:$E,""))</f>
        <v/>
      </c>
      <c r="L82" s="14">
        <f>IF(원생!$A80="","",SUMIFS(수납!$F:$F,수납!$C:$C,원생!$A80,수납!$D:$D,IF(원생!$G80="","",원생!$G80),수납!$B:$B,$B$1&amp;"-"&amp;TEXT(10,"00")&amp;"*",수납!$E:$E,"수강료")+SUMIFS(수납!$F:$F,수납!$C:$C,원생!$A80,수납!$D:$D,IF(원생!$G80="","",원생!$G80),수납!$B:$B,$B$1&amp;"-"&amp;TEXT(10,"00")&amp;"*",수납!$E:$E,""))</f>
        <v/>
      </c>
      <c r="M82" s="14">
        <f>IF(원생!$A80="","",SUMIFS(수납!$F:$F,수납!$C:$C,원생!$A80,수납!$D:$D,IF(원생!$G80="","",원생!$G80),수납!$B:$B,$B$1&amp;"-"&amp;TEXT(11,"00")&amp;"*",수납!$E:$E,"수강료")+SUMIFS(수납!$F:$F,수납!$C:$C,원생!$A80,수납!$D:$D,IF(원생!$G80="","",원생!$G80),수납!$B:$B,$B$1&amp;"-"&amp;TEXT(11,"00")&amp;"*",수납!$E:$E,""))</f>
        <v/>
      </c>
      <c r="N82" s="14">
        <f>IF(원생!$A80="","",SUMIFS(수납!$F:$F,수납!$C:$C,원생!$A80,수납!$D:$D,IF(원생!$G80="","",원생!$G80),수납!$B:$B,$B$1&amp;"-"&amp;TEXT(12,"00")&amp;"*",수납!$E:$E,"수강료")+SUMIFS(수납!$F:$F,수납!$C:$C,원생!$A80,수납!$D:$D,IF(원생!$G80="","",원생!$G80),수납!$B:$B,$B$1&amp;"-"&amp;TEXT(12,"00")&amp;"*",수납!$E:$E,""))</f>
        <v/>
      </c>
      <c r="O82">
        <f>IF(원생!$I80="","",원생!$I80)</f>
        <v/>
      </c>
      <c r="P82">
        <f>IF($A82="","",IF(AND($B82&gt;0,C82&lt;$B82,DATE($B$1,1,1)&lt;=TODAY(),OR($O82="",$O82&gt;=DATE($B$1,1,1)),OR(COUNTIF($C82:C82,"&gt;0")&gt;0,DATE($B$1,1,1)=DATE(YEAR(TODAY()),MONTH(TODAY()),1))),1,0))</f>
        <v/>
      </c>
      <c r="Q82">
        <f>IF($A82="","",IF(AND($B82&gt;0,D82&lt;$B82,DATE($B$1,2,1)&lt;=TODAY(),OR($O82="",$O82&gt;=DATE($B$1,2,1)),OR(COUNTIF($C82:D82,"&gt;0")&gt;0,DATE($B$1,2,1)=DATE(YEAR(TODAY()),MONTH(TODAY()),1))),1,0))</f>
        <v/>
      </c>
      <c r="R82">
        <f>IF($A82="","",IF(AND($B82&gt;0,E82&lt;$B82,DATE($B$1,3,1)&lt;=TODAY(),OR($O82="",$O82&gt;=DATE($B$1,3,1)),OR(COUNTIF($C82:E82,"&gt;0")&gt;0,DATE($B$1,3,1)=DATE(YEAR(TODAY()),MONTH(TODAY()),1))),1,0))</f>
        <v/>
      </c>
      <c r="S82">
        <f>IF($A82="","",IF(AND($B82&gt;0,F82&lt;$B82,DATE($B$1,4,1)&lt;=TODAY(),OR($O82="",$O82&gt;=DATE($B$1,4,1)),OR(COUNTIF($C82:F82,"&gt;0")&gt;0,DATE($B$1,4,1)=DATE(YEAR(TODAY()),MONTH(TODAY()),1))),1,0))</f>
        <v/>
      </c>
      <c r="T82">
        <f>IF($A82="","",IF(AND($B82&gt;0,G82&lt;$B82,DATE($B$1,5,1)&lt;=TODAY(),OR($O82="",$O82&gt;=DATE($B$1,5,1)),OR(COUNTIF($C82:G82,"&gt;0")&gt;0,DATE($B$1,5,1)=DATE(YEAR(TODAY()),MONTH(TODAY()),1))),1,0))</f>
        <v/>
      </c>
      <c r="U82">
        <f>IF($A82="","",IF(AND($B82&gt;0,H82&lt;$B82,DATE($B$1,6,1)&lt;=TODAY(),OR($O82="",$O82&gt;=DATE($B$1,6,1)),OR(COUNTIF($C82:H82,"&gt;0")&gt;0,DATE($B$1,6,1)=DATE(YEAR(TODAY()),MONTH(TODAY()),1))),1,0))</f>
        <v/>
      </c>
      <c r="V82">
        <f>IF($A82="","",IF(AND($B82&gt;0,I82&lt;$B82,DATE($B$1,7,1)&lt;=TODAY(),OR($O82="",$O82&gt;=DATE($B$1,7,1)),OR(COUNTIF($C82:I82,"&gt;0")&gt;0,DATE($B$1,7,1)=DATE(YEAR(TODAY()),MONTH(TODAY()),1))),1,0))</f>
        <v/>
      </c>
      <c r="W82">
        <f>IF($A82="","",IF(AND($B82&gt;0,J82&lt;$B82,DATE($B$1,8,1)&lt;=TODAY(),OR($O82="",$O82&gt;=DATE($B$1,8,1)),OR(COUNTIF($C82:J82,"&gt;0")&gt;0,DATE($B$1,8,1)=DATE(YEAR(TODAY()),MONTH(TODAY()),1))),1,0))</f>
        <v/>
      </c>
      <c r="X82">
        <f>IF($A82="","",IF(AND($B82&gt;0,K82&lt;$B82,DATE($B$1,9,1)&lt;=TODAY(),OR($O82="",$O82&gt;=DATE($B$1,9,1)),OR(COUNTIF($C82:K82,"&gt;0")&gt;0,DATE($B$1,9,1)=DATE(YEAR(TODAY()),MONTH(TODAY()),1))),1,0))</f>
        <v/>
      </c>
      <c r="Y82">
        <f>IF($A82="","",IF(AND($B82&gt;0,L82&lt;$B82,DATE($B$1,10,1)&lt;=TODAY(),OR($O82="",$O82&gt;=DATE($B$1,10,1)),OR(COUNTIF($C82:L82,"&gt;0")&gt;0,DATE($B$1,10,1)=DATE(YEAR(TODAY()),MONTH(TODAY()),1))),1,0))</f>
        <v/>
      </c>
      <c r="Z82">
        <f>IF($A82="","",IF(AND($B82&gt;0,M82&lt;$B82,DATE($B$1,11,1)&lt;=TODAY(),OR($O82="",$O82&gt;=DATE($B$1,11,1)),OR(COUNTIF($C82:M82,"&gt;0")&gt;0,DATE($B$1,11,1)=DATE(YEAR(TODAY()),MONTH(TODAY()),1))),1,0))</f>
        <v/>
      </c>
      <c r="AA82">
        <f>IF($A82="","",IF(AND($B82&gt;0,N82&lt;$B82,DATE($B$1,12,1)&lt;=TODAY(),OR($O82="",$O82&gt;=DATE($B$1,12,1)),OR(COUNTIF($C82:N82,"&gt;0")&gt;0,DATE($B$1,12,1)=DATE(YEAR(TODAY()),MONTH(TODAY()),1))),1,0))</f>
        <v/>
      </c>
    </row>
    <row r="83">
      <c r="A83" s="13">
        <f>IF(원생!$A81="","",원생!$A81&amp;IF(원생!$G81="",""," ("&amp;원생!$G81&amp;")"))</f>
        <v/>
      </c>
      <c r="B83" s="8">
        <f>IF(원생!$A81="","",원생!$F81)</f>
        <v/>
      </c>
      <c r="C83" s="14">
        <f>IF(원생!$A81="","",SUMIFS(수납!$F:$F,수납!$C:$C,원생!$A81,수납!$D:$D,IF(원생!$G81="","",원생!$G81),수납!$B:$B,$B$1&amp;"-"&amp;TEXT(1,"00")&amp;"*",수납!$E:$E,"수강료")+SUMIFS(수납!$F:$F,수납!$C:$C,원생!$A81,수납!$D:$D,IF(원생!$G81="","",원생!$G81),수납!$B:$B,$B$1&amp;"-"&amp;TEXT(1,"00")&amp;"*",수납!$E:$E,""))</f>
        <v/>
      </c>
      <c r="D83" s="14">
        <f>IF(원생!$A81="","",SUMIFS(수납!$F:$F,수납!$C:$C,원생!$A81,수납!$D:$D,IF(원생!$G81="","",원생!$G81),수납!$B:$B,$B$1&amp;"-"&amp;TEXT(2,"00")&amp;"*",수납!$E:$E,"수강료")+SUMIFS(수납!$F:$F,수납!$C:$C,원생!$A81,수납!$D:$D,IF(원생!$G81="","",원생!$G81),수납!$B:$B,$B$1&amp;"-"&amp;TEXT(2,"00")&amp;"*",수납!$E:$E,""))</f>
        <v/>
      </c>
      <c r="E83" s="14">
        <f>IF(원생!$A81="","",SUMIFS(수납!$F:$F,수납!$C:$C,원생!$A81,수납!$D:$D,IF(원생!$G81="","",원생!$G81),수납!$B:$B,$B$1&amp;"-"&amp;TEXT(3,"00")&amp;"*",수납!$E:$E,"수강료")+SUMIFS(수납!$F:$F,수납!$C:$C,원생!$A81,수납!$D:$D,IF(원생!$G81="","",원생!$G81),수납!$B:$B,$B$1&amp;"-"&amp;TEXT(3,"00")&amp;"*",수납!$E:$E,""))</f>
        <v/>
      </c>
      <c r="F83" s="14">
        <f>IF(원생!$A81="","",SUMIFS(수납!$F:$F,수납!$C:$C,원생!$A81,수납!$D:$D,IF(원생!$G81="","",원생!$G81),수납!$B:$B,$B$1&amp;"-"&amp;TEXT(4,"00")&amp;"*",수납!$E:$E,"수강료")+SUMIFS(수납!$F:$F,수납!$C:$C,원생!$A81,수납!$D:$D,IF(원생!$G81="","",원생!$G81),수납!$B:$B,$B$1&amp;"-"&amp;TEXT(4,"00")&amp;"*",수납!$E:$E,""))</f>
        <v/>
      </c>
      <c r="G83" s="14">
        <f>IF(원생!$A81="","",SUMIFS(수납!$F:$F,수납!$C:$C,원생!$A81,수납!$D:$D,IF(원생!$G81="","",원생!$G81),수납!$B:$B,$B$1&amp;"-"&amp;TEXT(5,"00")&amp;"*",수납!$E:$E,"수강료")+SUMIFS(수납!$F:$F,수납!$C:$C,원생!$A81,수납!$D:$D,IF(원생!$G81="","",원생!$G81),수납!$B:$B,$B$1&amp;"-"&amp;TEXT(5,"00")&amp;"*",수납!$E:$E,""))</f>
        <v/>
      </c>
      <c r="H83" s="14">
        <f>IF(원생!$A81="","",SUMIFS(수납!$F:$F,수납!$C:$C,원생!$A81,수납!$D:$D,IF(원생!$G81="","",원생!$G81),수납!$B:$B,$B$1&amp;"-"&amp;TEXT(6,"00")&amp;"*",수납!$E:$E,"수강료")+SUMIFS(수납!$F:$F,수납!$C:$C,원생!$A81,수납!$D:$D,IF(원생!$G81="","",원생!$G81),수납!$B:$B,$B$1&amp;"-"&amp;TEXT(6,"00")&amp;"*",수납!$E:$E,""))</f>
        <v/>
      </c>
      <c r="I83" s="14">
        <f>IF(원생!$A81="","",SUMIFS(수납!$F:$F,수납!$C:$C,원생!$A81,수납!$D:$D,IF(원생!$G81="","",원생!$G81),수납!$B:$B,$B$1&amp;"-"&amp;TEXT(7,"00")&amp;"*",수납!$E:$E,"수강료")+SUMIFS(수납!$F:$F,수납!$C:$C,원생!$A81,수납!$D:$D,IF(원생!$G81="","",원생!$G81),수납!$B:$B,$B$1&amp;"-"&amp;TEXT(7,"00")&amp;"*",수납!$E:$E,""))</f>
        <v/>
      </c>
      <c r="J83" s="14">
        <f>IF(원생!$A81="","",SUMIFS(수납!$F:$F,수납!$C:$C,원생!$A81,수납!$D:$D,IF(원생!$G81="","",원생!$G81),수납!$B:$B,$B$1&amp;"-"&amp;TEXT(8,"00")&amp;"*",수납!$E:$E,"수강료")+SUMIFS(수납!$F:$F,수납!$C:$C,원생!$A81,수납!$D:$D,IF(원생!$G81="","",원생!$G81),수납!$B:$B,$B$1&amp;"-"&amp;TEXT(8,"00")&amp;"*",수납!$E:$E,""))</f>
        <v/>
      </c>
      <c r="K83" s="14">
        <f>IF(원생!$A81="","",SUMIFS(수납!$F:$F,수납!$C:$C,원생!$A81,수납!$D:$D,IF(원생!$G81="","",원생!$G81),수납!$B:$B,$B$1&amp;"-"&amp;TEXT(9,"00")&amp;"*",수납!$E:$E,"수강료")+SUMIFS(수납!$F:$F,수납!$C:$C,원생!$A81,수납!$D:$D,IF(원생!$G81="","",원생!$G81),수납!$B:$B,$B$1&amp;"-"&amp;TEXT(9,"00")&amp;"*",수납!$E:$E,""))</f>
        <v/>
      </c>
      <c r="L83" s="14">
        <f>IF(원생!$A81="","",SUMIFS(수납!$F:$F,수납!$C:$C,원생!$A81,수납!$D:$D,IF(원생!$G81="","",원생!$G81),수납!$B:$B,$B$1&amp;"-"&amp;TEXT(10,"00")&amp;"*",수납!$E:$E,"수강료")+SUMIFS(수납!$F:$F,수납!$C:$C,원생!$A81,수납!$D:$D,IF(원생!$G81="","",원생!$G81),수납!$B:$B,$B$1&amp;"-"&amp;TEXT(10,"00")&amp;"*",수납!$E:$E,""))</f>
        <v/>
      </c>
      <c r="M83" s="14">
        <f>IF(원생!$A81="","",SUMIFS(수납!$F:$F,수납!$C:$C,원생!$A81,수납!$D:$D,IF(원생!$G81="","",원생!$G81),수납!$B:$B,$B$1&amp;"-"&amp;TEXT(11,"00")&amp;"*",수납!$E:$E,"수강료")+SUMIFS(수납!$F:$F,수납!$C:$C,원생!$A81,수납!$D:$D,IF(원생!$G81="","",원생!$G81),수납!$B:$B,$B$1&amp;"-"&amp;TEXT(11,"00")&amp;"*",수납!$E:$E,""))</f>
        <v/>
      </c>
      <c r="N83" s="14">
        <f>IF(원생!$A81="","",SUMIFS(수납!$F:$F,수납!$C:$C,원생!$A81,수납!$D:$D,IF(원생!$G81="","",원생!$G81),수납!$B:$B,$B$1&amp;"-"&amp;TEXT(12,"00")&amp;"*",수납!$E:$E,"수강료")+SUMIFS(수납!$F:$F,수납!$C:$C,원생!$A81,수납!$D:$D,IF(원생!$G81="","",원생!$G81),수납!$B:$B,$B$1&amp;"-"&amp;TEXT(12,"00")&amp;"*",수납!$E:$E,""))</f>
        <v/>
      </c>
      <c r="O83">
        <f>IF(원생!$I81="","",원생!$I81)</f>
        <v/>
      </c>
      <c r="P83">
        <f>IF($A83="","",IF(AND($B83&gt;0,C83&lt;$B83,DATE($B$1,1,1)&lt;=TODAY(),OR($O83="",$O83&gt;=DATE($B$1,1,1)),OR(COUNTIF($C83:C83,"&gt;0")&gt;0,DATE($B$1,1,1)=DATE(YEAR(TODAY()),MONTH(TODAY()),1))),1,0))</f>
        <v/>
      </c>
      <c r="Q83">
        <f>IF($A83="","",IF(AND($B83&gt;0,D83&lt;$B83,DATE($B$1,2,1)&lt;=TODAY(),OR($O83="",$O83&gt;=DATE($B$1,2,1)),OR(COUNTIF($C83:D83,"&gt;0")&gt;0,DATE($B$1,2,1)=DATE(YEAR(TODAY()),MONTH(TODAY()),1))),1,0))</f>
        <v/>
      </c>
      <c r="R83">
        <f>IF($A83="","",IF(AND($B83&gt;0,E83&lt;$B83,DATE($B$1,3,1)&lt;=TODAY(),OR($O83="",$O83&gt;=DATE($B$1,3,1)),OR(COUNTIF($C83:E83,"&gt;0")&gt;0,DATE($B$1,3,1)=DATE(YEAR(TODAY()),MONTH(TODAY()),1))),1,0))</f>
        <v/>
      </c>
      <c r="S83">
        <f>IF($A83="","",IF(AND($B83&gt;0,F83&lt;$B83,DATE($B$1,4,1)&lt;=TODAY(),OR($O83="",$O83&gt;=DATE($B$1,4,1)),OR(COUNTIF($C83:F83,"&gt;0")&gt;0,DATE($B$1,4,1)=DATE(YEAR(TODAY()),MONTH(TODAY()),1))),1,0))</f>
        <v/>
      </c>
      <c r="T83">
        <f>IF($A83="","",IF(AND($B83&gt;0,G83&lt;$B83,DATE($B$1,5,1)&lt;=TODAY(),OR($O83="",$O83&gt;=DATE($B$1,5,1)),OR(COUNTIF($C83:G83,"&gt;0")&gt;0,DATE($B$1,5,1)=DATE(YEAR(TODAY()),MONTH(TODAY()),1))),1,0))</f>
        <v/>
      </c>
      <c r="U83">
        <f>IF($A83="","",IF(AND($B83&gt;0,H83&lt;$B83,DATE($B$1,6,1)&lt;=TODAY(),OR($O83="",$O83&gt;=DATE($B$1,6,1)),OR(COUNTIF($C83:H83,"&gt;0")&gt;0,DATE($B$1,6,1)=DATE(YEAR(TODAY()),MONTH(TODAY()),1))),1,0))</f>
        <v/>
      </c>
      <c r="V83">
        <f>IF($A83="","",IF(AND($B83&gt;0,I83&lt;$B83,DATE($B$1,7,1)&lt;=TODAY(),OR($O83="",$O83&gt;=DATE($B$1,7,1)),OR(COUNTIF($C83:I83,"&gt;0")&gt;0,DATE($B$1,7,1)=DATE(YEAR(TODAY()),MONTH(TODAY()),1))),1,0))</f>
        <v/>
      </c>
      <c r="W83">
        <f>IF($A83="","",IF(AND($B83&gt;0,J83&lt;$B83,DATE($B$1,8,1)&lt;=TODAY(),OR($O83="",$O83&gt;=DATE($B$1,8,1)),OR(COUNTIF($C83:J83,"&gt;0")&gt;0,DATE($B$1,8,1)=DATE(YEAR(TODAY()),MONTH(TODAY()),1))),1,0))</f>
        <v/>
      </c>
      <c r="X83">
        <f>IF($A83="","",IF(AND($B83&gt;0,K83&lt;$B83,DATE($B$1,9,1)&lt;=TODAY(),OR($O83="",$O83&gt;=DATE($B$1,9,1)),OR(COUNTIF($C83:K83,"&gt;0")&gt;0,DATE($B$1,9,1)=DATE(YEAR(TODAY()),MONTH(TODAY()),1))),1,0))</f>
        <v/>
      </c>
      <c r="Y83">
        <f>IF($A83="","",IF(AND($B83&gt;0,L83&lt;$B83,DATE($B$1,10,1)&lt;=TODAY(),OR($O83="",$O83&gt;=DATE($B$1,10,1)),OR(COUNTIF($C83:L83,"&gt;0")&gt;0,DATE($B$1,10,1)=DATE(YEAR(TODAY()),MONTH(TODAY()),1))),1,0))</f>
        <v/>
      </c>
      <c r="Z83">
        <f>IF($A83="","",IF(AND($B83&gt;0,M83&lt;$B83,DATE($B$1,11,1)&lt;=TODAY(),OR($O83="",$O83&gt;=DATE($B$1,11,1)),OR(COUNTIF($C83:M83,"&gt;0")&gt;0,DATE($B$1,11,1)=DATE(YEAR(TODAY()),MONTH(TODAY()),1))),1,0))</f>
        <v/>
      </c>
      <c r="AA83">
        <f>IF($A83="","",IF(AND($B83&gt;0,N83&lt;$B83,DATE($B$1,12,1)&lt;=TODAY(),OR($O83="",$O83&gt;=DATE($B$1,12,1)),OR(COUNTIF($C83:N83,"&gt;0")&gt;0,DATE($B$1,12,1)=DATE(YEAR(TODAY()),MONTH(TODAY()),1))),1,0))</f>
        <v/>
      </c>
    </row>
    <row r="84">
      <c r="A84" s="13">
        <f>IF(원생!$A82="","",원생!$A82&amp;IF(원생!$G82="",""," ("&amp;원생!$G82&amp;")"))</f>
        <v/>
      </c>
      <c r="B84" s="8">
        <f>IF(원생!$A82="","",원생!$F82)</f>
        <v/>
      </c>
      <c r="C84" s="14">
        <f>IF(원생!$A82="","",SUMIFS(수납!$F:$F,수납!$C:$C,원생!$A82,수납!$D:$D,IF(원생!$G82="","",원생!$G82),수납!$B:$B,$B$1&amp;"-"&amp;TEXT(1,"00")&amp;"*",수납!$E:$E,"수강료")+SUMIFS(수납!$F:$F,수납!$C:$C,원생!$A82,수납!$D:$D,IF(원생!$G82="","",원생!$G82),수납!$B:$B,$B$1&amp;"-"&amp;TEXT(1,"00")&amp;"*",수납!$E:$E,""))</f>
        <v/>
      </c>
      <c r="D84" s="14">
        <f>IF(원생!$A82="","",SUMIFS(수납!$F:$F,수납!$C:$C,원생!$A82,수납!$D:$D,IF(원생!$G82="","",원생!$G82),수납!$B:$B,$B$1&amp;"-"&amp;TEXT(2,"00")&amp;"*",수납!$E:$E,"수강료")+SUMIFS(수납!$F:$F,수납!$C:$C,원생!$A82,수납!$D:$D,IF(원생!$G82="","",원생!$G82),수납!$B:$B,$B$1&amp;"-"&amp;TEXT(2,"00")&amp;"*",수납!$E:$E,""))</f>
        <v/>
      </c>
      <c r="E84" s="14">
        <f>IF(원생!$A82="","",SUMIFS(수납!$F:$F,수납!$C:$C,원생!$A82,수납!$D:$D,IF(원생!$G82="","",원생!$G82),수납!$B:$B,$B$1&amp;"-"&amp;TEXT(3,"00")&amp;"*",수납!$E:$E,"수강료")+SUMIFS(수납!$F:$F,수납!$C:$C,원생!$A82,수납!$D:$D,IF(원생!$G82="","",원생!$G82),수납!$B:$B,$B$1&amp;"-"&amp;TEXT(3,"00")&amp;"*",수납!$E:$E,""))</f>
        <v/>
      </c>
      <c r="F84" s="14">
        <f>IF(원생!$A82="","",SUMIFS(수납!$F:$F,수납!$C:$C,원생!$A82,수납!$D:$D,IF(원생!$G82="","",원생!$G82),수납!$B:$B,$B$1&amp;"-"&amp;TEXT(4,"00")&amp;"*",수납!$E:$E,"수강료")+SUMIFS(수납!$F:$F,수납!$C:$C,원생!$A82,수납!$D:$D,IF(원생!$G82="","",원생!$G82),수납!$B:$B,$B$1&amp;"-"&amp;TEXT(4,"00")&amp;"*",수납!$E:$E,""))</f>
        <v/>
      </c>
      <c r="G84" s="14">
        <f>IF(원생!$A82="","",SUMIFS(수납!$F:$F,수납!$C:$C,원생!$A82,수납!$D:$D,IF(원생!$G82="","",원생!$G82),수납!$B:$B,$B$1&amp;"-"&amp;TEXT(5,"00")&amp;"*",수납!$E:$E,"수강료")+SUMIFS(수납!$F:$F,수납!$C:$C,원생!$A82,수납!$D:$D,IF(원생!$G82="","",원생!$G82),수납!$B:$B,$B$1&amp;"-"&amp;TEXT(5,"00")&amp;"*",수납!$E:$E,""))</f>
        <v/>
      </c>
      <c r="H84" s="14">
        <f>IF(원생!$A82="","",SUMIFS(수납!$F:$F,수납!$C:$C,원생!$A82,수납!$D:$D,IF(원생!$G82="","",원생!$G82),수납!$B:$B,$B$1&amp;"-"&amp;TEXT(6,"00")&amp;"*",수납!$E:$E,"수강료")+SUMIFS(수납!$F:$F,수납!$C:$C,원생!$A82,수납!$D:$D,IF(원생!$G82="","",원생!$G82),수납!$B:$B,$B$1&amp;"-"&amp;TEXT(6,"00")&amp;"*",수납!$E:$E,""))</f>
        <v/>
      </c>
      <c r="I84" s="14">
        <f>IF(원생!$A82="","",SUMIFS(수납!$F:$F,수납!$C:$C,원생!$A82,수납!$D:$D,IF(원생!$G82="","",원생!$G82),수납!$B:$B,$B$1&amp;"-"&amp;TEXT(7,"00")&amp;"*",수납!$E:$E,"수강료")+SUMIFS(수납!$F:$F,수납!$C:$C,원생!$A82,수납!$D:$D,IF(원생!$G82="","",원생!$G82),수납!$B:$B,$B$1&amp;"-"&amp;TEXT(7,"00")&amp;"*",수납!$E:$E,""))</f>
        <v/>
      </c>
      <c r="J84" s="14">
        <f>IF(원생!$A82="","",SUMIFS(수납!$F:$F,수납!$C:$C,원생!$A82,수납!$D:$D,IF(원생!$G82="","",원생!$G82),수납!$B:$B,$B$1&amp;"-"&amp;TEXT(8,"00")&amp;"*",수납!$E:$E,"수강료")+SUMIFS(수납!$F:$F,수납!$C:$C,원생!$A82,수납!$D:$D,IF(원생!$G82="","",원생!$G82),수납!$B:$B,$B$1&amp;"-"&amp;TEXT(8,"00")&amp;"*",수납!$E:$E,""))</f>
        <v/>
      </c>
      <c r="K84" s="14">
        <f>IF(원생!$A82="","",SUMIFS(수납!$F:$F,수납!$C:$C,원생!$A82,수납!$D:$D,IF(원생!$G82="","",원생!$G82),수납!$B:$B,$B$1&amp;"-"&amp;TEXT(9,"00")&amp;"*",수납!$E:$E,"수강료")+SUMIFS(수납!$F:$F,수납!$C:$C,원생!$A82,수납!$D:$D,IF(원생!$G82="","",원생!$G82),수납!$B:$B,$B$1&amp;"-"&amp;TEXT(9,"00")&amp;"*",수납!$E:$E,""))</f>
        <v/>
      </c>
      <c r="L84" s="14">
        <f>IF(원생!$A82="","",SUMIFS(수납!$F:$F,수납!$C:$C,원생!$A82,수납!$D:$D,IF(원생!$G82="","",원생!$G82),수납!$B:$B,$B$1&amp;"-"&amp;TEXT(10,"00")&amp;"*",수납!$E:$E,"수강료")+SUMIFS(수납!$F:$F,수납!$C:$C,원생!$A82,수납!$D:$D,IF(원생!$G82="","",원생!$G82),수납!$B:$B,$B$1&amp;"-"&amp;TEXT(10,"00")&amp;"*",수납!$E:$E,""))</f>
        <v/>
      </c>
      <c r="M84" s="14">
        <f>IF(원생!$A82="","",SUMIFS(수납!$F:$F,수납!$C:$C,원생!$A82,수납!$D:$D,IF(원생!$G82="","",원생!$G82),수납!$B:$B,$B$1&amp;"-"&amp;TEXT(11,"00")&amp;"*",수납!$E:$E,"수강료")+SUMIFS(수납!$F:$F,수납!$C:$C,원생!$A82,수납!$D:$D,IF(원생!$G82="","",원생!$G82),수납!$B:$B,$B$1&amp;"-"&amp;TEXT(11,"00")&amp;"*",수납!$E:$E,""))</f>
        <v/>
      </c>
      <c r="N84" s="14">
        <f>IF(원생!$A82="","",SUMIFS(수납!$F:$F,수납!$C:$C,원생!$A82,수납!$D:$D,IF(원생!$G82="","",원생!$G82),수납!$B:$B,$B$1&amp;"-"&amp;TEXT(12,"00")&amp;"*",수납!$E:$E,"수강료")+SUMIFS(수납!$F:$F,수납!$C:$C,원생!$A82,수납!$D:$D,IF(원생!$G82="","",원생!$G82),수납!$B:$B,$B$1&amp;"-"&amp;TEXT(12,"00")&amp;"*",수납!$E:$E,""))</f>
        <v/>
      </c>
      <c r="O84">
        <f>IF(원생!$I82="","",원생!$I82)</f>
        <v/>
      </c>
      <c r="P84">
        <f>IF($A84="","",IF(AND($B84&gt;0,C84&lt;$B84,DATE($B$1,1,1)&lt;=TODAY(),OR($O84="",$O84&gt;=DATE($B$1,1,1)),OR(COUNTIF($C84:C84,"&gt;0")&gt;0,DATE($B$1,1,1)=DATE(YEAR(TODAY()),MONTH(TODAY()),1))),1,0))</f>
        <v/>
      </c>
      <c r="Q84">
        <f>IF($A84="","",IF(AND($B84&gt;0,D84&lt;$B84,DATE($B$1,2,1)&lt;=TODAY(),OR($O84="",$O84&gt;=DATE($B$1,2,1)),OR(COUNTIF($C84:D84,"&gt;0")&gt;0,DATE($B$1,2,1)=DATE(YEAR(TODAY()),MONTH(TODAY()),1))),1,0))</f>
        <v/>
      </c>
      <c r="R84">
        <f>IF($A84="","",IF(AND($B84&gt;0,E84&lt;$B84,DATE($B$1,3,1)&lt;=TODAY(),OR($O84="",$O84&gt;=DATE($B$1,3,1)),OR(COUNTIF($C84:E84,"&gt;0")&gt;0,DATE($B$1,3,1)=DATE(YEAR(TODAY()),MONTH(TODAY()),1))),1,0))</f>
        <v/>
      </c>
      <c r="S84">
        <f>IF($A84="","",IF(AND($B84&gt;0,F84&lt;$B84,DATE($B$1,4,1)&lt;=TODAY(),OR($O84="",$O84&gt;=DATE($B$1,4,1)),OR(COUNTIF($C84:F84,"&gt;0")&gt;0,DATE($B$1,4,1)=DATE(YEAR(TODAY()),MONTH(TODAY()),1))),1,0))</f>
        <v/>
      </c>
      <c r="T84">
        <f>IF($A84="","",IF(AND($B84&gt;0,G84&lt;$B84,DATE($B$1,5,1)&lt;=TODAY(),OR($O84="",$O84&gt;=DATE($B$1,5,1)),OR(COUNTIF($C84:G84,"&gt;0")&gt;0,DATE($B$1,5,1)=DATE(YEAR(TODAY()),MONTH(TODAY()),1))),1,0))</f>
        <v/>
      </c>
      <c r="U84">
        <f>IF($A84="","",IF(AND($B84&gt;0,H84&lt;$B84,DATE($B$1,6,1)&lt;=TODAY(),OR($O84="",$O84&gt;=DATE($B$1,6,1)),OR(COUNTIF($C84:H84,"&gt;0")&gt;0,DATE($B$1,6,1)=DATE(YEAR(TODAY()),MONTH(TODAY()),1))),1,0))</f>
        <v/>
      </c>
      <c r="V84">
        <f>IF($A84="","",IF(AND($B84&gt;0,I84&lt;$B84,DATE($B$1,7,1)&lt;=TODAY(),OR($O84="",$O84&gt;=DATE($B$1,7,1)),OR(COUNTIF($C84:I84,"&gt;0")&gt;0,DATE($B$1,7,1)=DATE(YEAR(TODAY()),MONTH(TODAY()),1))),1,0))</f>
        <v/>
      </c>
      <c r="W84">
        <f>IF($A84="","",IF(AND($B84&gt;0,J84&lt;$B84,DATE($B$1,8,1)&lt;=TODAY(),OR($O84="",$O84&gt;=DATE($B$1,8,1)),OR(COUNTIF($C84:J84,"&gt;0")&gt;0,DATE($B$1,8,1)=DATE(YEAR(TODAY()),MONTH(TODAY()),1))),1,0))</f>
        <v/>
      </c>
      <c r="X84">
        <f>IF($A84="","",IF(AND($B84&gt;0,K84&lt;$B84,DATE($B$1,9,1)&lt;=TODAY(),OR($O84="",$O84&gt;=DATE($B$1,9,1)),OR(COUNTIF($C84:K84,"&gt;0")&gt;0,DATE($B$1,9,1)=DATE(YEAR(TODAY()),MONTH(TODAY()),1))),1,0))</f>
        <v/>
      </c>
      <c r="Y84">
        <f>IF($A84="","",IF(AND($B84&gt;0,L84&lt;$B84,DATE($B$1,10,1)&lt;=TODAY(),OR($O84="",$O84&gt;=DATE($B$1,10,1)),OR(COUNTIF($C84:L84,"&gt;0")&gt;0,DATE($B$1,10,1)=DATE(YEAR(TODAY()),MONTH(TODAY()),1))),1,0))</f>
        <v/>
      </c>
      <c r="Z84">
        <f>IF($A84="","",IF(AND($B84&gt;0,M84&lt;$B84,DATE($B$1,11,1)&lt;=TODAY(),OR($O84="",$O84&gt;=DATE($B$1,11,1)),OR(COUNTIF($C84:M84,"&gt;0")&gt;0,DATE($B$1,11,1)=DATE(YEAR(TODAY()),MONTH(TODAY()),1))),1,0))</f>
        <v/>
      </c>
      <c r="AA84">
        <f>IF($A84="","",IF(AND($B84&gt;0,N84&lt;$B84,DATE($B$1,12,1)&lt;=TODAY(),OR($O84="",$O84&gt;=DATE($B$1,12,1)),OR(COUNTIF($C84:N84,"&gt;0")&gt;0,DATE($B$1,12,1)=DATE(YEAR(TODAY()),MONTH(TODAY()),1))),1,0))</f>
        <v/>
      </c>
    </row>
    <row r="85">
      <c r="A85" s="13">
        <f>IF(원생!$A83="","",원생!$A83&amp;IF(원생!$G83="",""," ("&amp;원생!$G83&amp;")"))</f>
        <v/>
      </c>
      <c r="B85" s="8">
        <f>IF(원생!$A83="","",원생!$F83)</f>
        <v/>
      </c>
      <c r="C85" s="14">
        <f>IF(원생!$A83="","",SUMIFS(수납!$F:$F,수납!$C:$C,원생!$A83,수납!$D:$D,IF(원생!$G83="","",원생!$G83),수납!$B:$B,$B$1&amp;"-"&amp;TEXT(1,"00")&amp;"*",수납!$E:$E,"수강료")+SUMIFS(수납!$F:$F,수납!$C:$C,원생!$A83,수납!$D:$D,IF(원생!$G83="","",원생!$G83),수납!$B:$B,$B$1&amp;"-"&amp;TEXT(1,"00")&amp;"*",수납!$E:$E,""))</f>
        <v/>
      </c>
      <c r="D85" s="14">
        <f>IF(원생!$A83="","",SUMIFS(수납!$F:$F,수납!$C:$C,원생!$A83,수납!$D:$D,IF(원생!$G83="","",원생!$G83),수납!$B:$B,$B$1&amp;"-"&amp;TEXT(2,"00")&amp;"*",수납!$E:$E,"수강료")+SUMIFS(수납!$F:$F,수납!$C:$C,원생!$A83,수납!$D:$D,IF(원생!$G83="","",원생!$G83),수납!$B:$B,$B$1&amp;"-"&amp;TEXT(2,"00")&amp;"*",수납!$E:$E,""))</f>
        <v/>
      </c>
      <c r="E85" s="14">
        <f>IF(원생!$A83="","",SUMIFS(수납!$F:$F,수납!$C:$C,원생!$A83,수납!$D:$D,IF(원생!$G83="","",원생!$G83),수납!$B:$B,$B$1&amp;"-"&amp;TEXT(3,"00")&amp;"*",수납!$E:$E,"수강료")+SUMIFS(수납!$F:$F,수납!$C:$C,원생!$A83,수납!$D:$D,IF(원생!$G83="","",원생!$G83),수납!$B:$B,$B$1&amp;"-"&amp;TEXT(3,"00")&amp;"*",수납!$E:$E,""))</f>
        <v/>
      </c>
      <c r="F85" s="14">
        <f>IF(원생!$A83="","",SUMIFS(수납!$F:$F,수납!$C:$C,원생!$A83,수납!$D:$D,IF(원생!$G83="","",원생!$G83),수납!$B:$B,$B$1&amp;"-"&amp;TEXT(4,"00")&amp;"*",수납!$E:$E,"수강료")+SUMIFS(수납!$F:$F,수납!$C:$C,원생!$A83,수납!$D:$D,IF(원생!$G83="","",원생!$G83),수납!$B:$B,$B$1&amp;"-"&amp;TEXT(4,"00")&amp;"*",수납!$E:$E,""))</f>
        <v/>
      </c>
      <c r="G85" s="14">
        <f>IF(원생!$A83="","",SUMIFS(수납!$F:$F,수납!$C:$C,원생!$A83,수납!$D:$D,IF(원생!$G83="","",원생!$G83),수납!$B:$B,$B$1&amp;"-"&amp;TEXT(5,"00")&amp;"*",수납!$E:$E,"수강료")+SUMIFS(수납!$F:$F,수납!$C:$C,원생!$A83,수납!$D:$D,IF(원생!$G83="","",원생!$G83),수납!$B:$B,$B$1&amp;"-"&amp;TEXT(5,"00")&amp;"*",수납!$E:$E,""))</f>
        <v/>
      </c>
      <c r="H85" s="14">
        <f>IF(원생!$A83="","",SUMIFS(수납!$F:$F,수납!$C:$C,원생!$A83,수납!$D:$D,IF(원생!$G83="","",원생!$G83),수납!$B:$B,$B$1&amp;"-"&amp;TEXT(6,"00")&amp;"*",수납!$E:$E,"수강료")+SUMIFS(수납!$F:$F,수납!$C:$C,원생!$A83,수납!$D:$D,IF(원생!$G83="","",원생!$G83),수납!$B:$B,$B$1&amp;"-"&amp;TEXT(6,"00")&amp;"*",수납!$E:$E,""))</f>
        <v/>
      </c>
      <c r="I85" s="14">
        <f>IF(원생!$A83="","",SUMIFS(수납!$F:$F,수납!$C:$C,원생!$A83,수납!$D:$D,IF(원생!$G83="","",원생!$G83),수납!$B:$B,$B$1&amp;"-"&amp;TEXT(7,"00")&amp;"*",수납!$E:$E,"수강료")+SUMIFS(수납!$F:$F,수납!$C:$C,원생!$A83,수납!$D:$D,IF(원생!$G83="","",원생!$G83),수납!$B:$B,$B$1&amp;"-"&amp;TEXT(7,"00")&amp;"*",수납!$E:$E,""))</f>
        <v/>
      </c>
      <c r="J85" s="14">
        <f>IF(원생!$A83="","",SUMIFS(수납!$F:$F,수납!$C:$C,원생!$A83,수납!$D:$D,IF(원생!$G83="","",원생!$G83),수납!$B:$B,$B$1&amp;"-"&amp;TEXT(8,"00")&amp;"*",수납!$E:$E,"수강료")+SUMIFS(수납!$F:$F,수납!$C:$C,원생!$A83,수납!$D:$D,IF(원생!$G83="","",원생!$G83),수납!$B:$B,$B$1&amp;"-"&amp;TEXT(8,"00")&amp;"*",수납!$E:$E,""))</f>
        <v/>
      </c>
      <c r="K85" s="14">
        <f>IF(원생!$A83="","",SUMIFS(수납!$F:$F,수납!$C:$C,원생!$A83,수납!$D:$D,IF(원생!$G83="","",원생!$G83),수납!$B:$B,$B$1&amp;"-"&amp;TEXT(9,"00")&amp;"*",수납!$E:$E,"수강료")+SUMIFS(수납!$F:$F,수납!$C:$C,원생!$A83,수납!$D:$D,IF(원생!$G83="","",원생!$G83),수납!$B:$B,$B$1&amp;"-"&amp;TEXT(9,"00")&amp;"*",수납!$E:$E,""))</f>
        <v/>
      </c>
      <c r="L85" s="14">
        <f>IF(원생!$A83="","",SUMIFS(수납!$F:$F,수납!$C:$C,원생!$A83,수납!$D:$D,IF(원생!$G83="","",원생!$G83),수납!$B:$B,$B$1&amp;"-"&amp;TEXT(10,"00")&amp;"*",수납!$E:$E,"수강료")+SUMIFS(수납!$F:$F,수납!$C:$C,원생!$A83,수납!$D:$D,IF(원생!$G83="","",원생!$G83),수납!$B:$B,$B$1&amp;"-"&amp;TEXT(10,"00")&amp;"*",수납!$E:$E,""))</f>
        <v/>
      </c>
      <c r="M85" s="14">
        <f>IF(원생!$A83="","",SUMIFS(수납!$F:$F,수납!$C:$C,원생!$A83,수납!$D:$D,IF(원생!$G83="","",원생!$G83),수납!$B:$B,$B$1&amp;"-"&amp;TEXT(11,"00")&amp;"*",수납!$E:$E,"수강료")+SUMIFS(수납!$F:$F,수납!$C:$C,원생!$A83,수납!$D:$D,IF(원생!$G83="","",원생!$G83),수납!$B:$B,$B$1&amp;"-"&amp;TEXT(11,"00")&amp;"*",수납!$E:$E,""))</f>
        <v/>
      </c>
      <c r="N85" s="14">
        <f>IF(원생!$A83="","",SUMIFS(수납!$F:$F,수납!$C:$C,원생!$A83,수납!$D:$D,IF(원생!$G83="","",원생!$G83),수납!$B:$B,$B$1&amp;"-"&amp;TEXT(12,"00")&amp;"*",수납!$E:$E,"수강료")+SUMIFS(수납!$F:$F,수납!$C:$C,원생!$A83,수납!$D:$D,IF(원생!$G83="","",원생!$G83),수납!$B:$B,$B$1&amp;"-"&amp;TEXT(12,"00")&amp;"*",수납!$E:$E,""))</f>
        <v/>
      </c>
      <c r="O85">
        <f>IF(원생!$I83="","",원생!$I83)</f>
        <v/>
      </c>
      <c r="P85">
        <f>IF($A85="","",IF(AND($B85&gt;0,C85&lt;$B85,DATE($B$1,1,1)&lt;=TODAY(),OR($O85="",$O85&gt;=DATE($B$1,1,1)),OR(COUNTIF($C85:C85,"&gt;0")&gt;0,DATE($B$1,1,1)=DATE(YEAR(TODAY()),MONTH(TODAY()),1))),1,0))</f>
        <v/>
      </c>
      <c r="Q85">
        <f>IF($A85="","",IF(AND($B85&gt;0,D85&lt;$B85,DATE($B$1,2,1)&lt;=TODAY(),OR($O85="",$O85&gt;=DATE($B$1,2,1)),OR(COUNTIF($C85:D85,"&gt;0")&gt;0,DATE($B$1,2,1)=DATE(YEAR(TODAY()),MONTH(TODAY()),1))),1,0))</f>
        <v/>
      </c>
      <c r="R85">
        <f>IF($A85="","",IF(AND($B85&gt;0,E85&lt;$B85,DATE($B$1,3,1)&lt;=TODAY(),OR($O85="",$O85&gt;=DATE($B$1,3,1)),OR(COUNTIF($C85:E85,"&gt;0")&gt;0,DATE($B$1,3,1)=DATE(YEAR(TODAY()),MONTH(TODAY()),1))),1,0))</f>
        <v/>
      </c>
      <c r="S85">
        <f>IF($A85="","",IF(AND($B85&gt;0,F85&lt;$B85,DATE($B$1,4,1)&lt;=TODAY(),OR($O85="",$O85&gt;=DATE($B$1,4,1)),OR(COUNTIF($C85:F85,"&gt;0")&gt;0,DATE($B$1,4,1)=DATE(YEAR(TODAY()),MONTH(TODAY()),1))),1,0))</f>
        <v/>
      </c>
      <c r="T85">
        <f>IF($A85="","",IF(AND($B85&gt;0,G85&lt;$B85,DATE($B$1,5,1)&lt;=TODAY(),OR($O85="",$O85&gt;=DATE($B$1,5,1)),OR(COUNTIF($C85:G85,"&gt;0")&gt;0,DATE($B$1,5,1)=DATE(YEAR(TODAY()),MONTH(TODAY()),1))),1,0))</f>
        <v/>
      </c>
      <c r="U85">
        <f>IF($A85="","",IF(AND($B85&gt;0,H85&lt;$B85,DATE($B$1,6,1)&lt;=TODAY(),OR($O85="",$O85&gt;=DATE($B$1,6,1)),OR(COUNTIF($C85:H85,"&gt;0")&gt;0,DATE($B$1,6,1)=DATE(YEAR(TODAY()),MONTH(TODAY()),1))),1,0))</f>
        <v/>
      </c>
      <c r="V85">
        <f>IF($A85="","",IF(AND($B85&gt;0,I85&lt;$B85,DATE($B$1,7,1)&lt;=TODAY(),OR($O85="",$O85&gt;=DATE($B$1,7,1)),OR(COUNTIF($C85:I85,"&gt;0")&gt;0,DATE($B$1,7,1)=DATE(YEAR(TODAY()),MONTH(TODAY()),1))),1,0))</f>
        <v/>
      </c>
      <c r="W85">
        <f>IF($A85="","",IF(AND($B85&gt;0,J85&lt;$B85,DATE($B$1,8,1)&lt;=TODAY(),OR($O85="",$O85&gt;=DATE($B$1,8,1)),OR(COUNTIF($C85:J85,"&gt;0")&gt;0,DATE($B$1,8,1)=DATE(YEAR(TODAY()),MONTH(TODAY()),1))),1,0))</f>
        <v/>
      </c>
      <c r="X85">
        <f>IF($A85="","",IF(AND($B85&gt;0,K85&lt;$B85,DATE($B$1,9,1)&lt;=TODAY(),OR($O85="",$O85&gt;=DATE($B$1,9,1)),OR(COUNTIF($C85:K85,"&gt;0")&gt;0,DATE($B$1,9,1)=DATE(YEAR(TODAY()),MONTH(TODAY()),1))),1,0))</f>
        <v/>
      </c>
      <c r="Y85">
        <f>IF($A85="","",IF(AND($B85&gt;0,L85&lt;$B85,DATE($B$1,10,1)&lt;=TODAY(),OR($O85="",$O85&gt;=DATE($B$1,10,1)),OR(COUNTIF($C85:L85,"&gt;0")&gt;0,DATE($B$1,10,1)=DATE(YEAR(TODAY()),MONTH(TODAY()),1))),1,0))</f>
        <v/>
      </c>
      <c r="Z85">
        <f>IF($A85="","",IF(AND($B85&gt;0,M85&lt;$B85,DATE($B$1,11,1)&lt;=TODAY(),OR($O85="",$O85&gt;=DATE($B$1,11,1)),OR(COUNTIF($C85:M85,"&gt;0")&gt;0,DATE($B$1,11,1)=DATE(YEAR(TODAY()),MONTH(TODAY()),1))),1,0))</f>
        <v/>
      </c>
      <c r="AA85">
        <f>IF($A85="","",IF(AND($B85&gt;0,N85&lt;$B85,DATE($B$1,12,1)&lt;=TODAY(),OR($O85="",$O85&gt;=DATE($B$1,12,1)),OR(COUNTIF($C85:N85,"&gt;0")&gt;0,DATE($B$1,12,1)=DATE(YEAR(TODAY()),MONTH(TODAY()),1))),1,0))</f>
        <v/>
      </c>
    </row>
    <row r="86">
      <c r="A86" s="13">
        <f>IF(원생!$A84="","",원생!$A84&amp;IF(원생!$G84="",""," ("&amp;원생!$G84&amp;")"))</f>
        <v/>
      </c>
      <c r="B86" s="8">
        <f>IF(원생!$A84="","",원생!$F84)</f>
        <v/>
      </c>
      <c r="C86" s="14">
        <f>IF(원생!$A84="","",SUMIFS(수납!$F:$F,수납!$C:$C,원생!$A84,수납!$D:$D,IF(원생!$G84="","",원생!$G84),수납!$B:$B,$B$1&amp;"-"&amp;TEXT(1,"00")&amp;"*",수납!$E:$E,"수강료")+SUMIFS(수납!$F:$F,수납!$C:$C,원생!$A84,수납!$D:$D,IF(원생!$G84="","",원생!$G84),수납!$B:$B,$B$1&amp;"-"&amp;TEXT(1,"00")&amp;"*",수납!$E:$E,""))</f>
        <v/>
      </c>
      <c r="D86" s="14">
        <f>IF(원생!$A84="","",SUMIFS(수납!$F:$F,수납!$C:$C,원생!$A84,수납!$D:$D,IF(원생!$G84="","",원생!$G84),수납!$B:$B,$B$1&amp;"-"&amp;TEXT(2,"00")&amp;"*",수납!$E:$E,"수강료")+SUMIFS(수납!$F:$F,수납!$C:$C,원생!$A84,수납!$D:$D,IF(원생!$G84="","",원생!$G84),수납!$B:$B,$B$1&amp;"-"&amp;TEXT(2,"00")&amp;"*",수납!$E:$E,""))</f>
        <v/>
      </c>
      <c r="E86" s="14">
        <f>IF(원생!$A84="","",SUMIFS(수납!$F:$F,수납!$C:$C,원생!$A84,수납!$D:$D,IF(원생!$G84="","",원생!$G84),수납!$B:$B,$B$1&amp;"-"&amp;TEXT(3,"00")&amp;"*",수납!$E:$E,"수강료")+SUMIFS(수납!$F:$F,수납!$C:$C,원생!$A84,수납!$D:$D,IF(원생!$G84="","",원생!$G84),수납!$B:$B,$B$1&amp;"-"&amp;TEXT(3,"00")&amp;"*",수납!$E:$E,""))</f>
        <v/>
      </c>
      <c r="F86" s="14">
        <f>IF(원생!$A84="","",SUMIFS(수납!$F:$F,수납!$C:$C,원생!$A84,수납!$D:$D,IF(원생!$G84="","",원생!$G84),수납!$B:$B,$B$1&amp;"-"&amp;TEXT(4,"00")&amp;"*",수납!$E:$E,"수강료")+SUMIFS(수납!$F:$F,수납!$C:$C,원생!$A84,수납!$D:$D,IF(원생!$G84="","",원생!$G84),수납!$B:$B,$B$1&amp;"-"&amp;TEXT(4,"00")&amp;"*",수납!$E:$E,""))</f>
        <v/>
      </c>
      <c r="G86" s="14">
        <f>IF(원생!$A84="","",SUMIFS(수납!$F:$F,수납!$C:$C,원생!$A84,수납!$D:$D,IF(원생!$G84="","",원생!$G84),수납!$B:$B,$B$1&amp;"-"&amp;TEXT(5,"00")&amp;"*",수납!$E:$E,"수강료")+SUMIFS(수납!$F:$F,수납!$C:$C,원생!$A84,수납!$D:$D,IF(원생!$G84="","",원생!$G84),수납!$B:$B,$B$1&amp;"-"&amp;TEXT(5,"00")&amp;"*",수납!$E:$E,""))</f>
        <v/>
      </c>
      <c r="H86" s="14">
        <f>IF(원생!$A84="","",SUMIFS(수납!$F:$F,수납!$C:$C,원생!$A84,수납!$D:$D,IF(원생!$G84="","",원생!$G84),수납!$B:$B,$B$1&amp;"-"&amp;TEXT(6,"00")&amp;"*",수납!$E:$E,"수강료")+SUMIFS(수납!$F:$F,수납!$C:$C,원생!$A84,수납!$D:$D,IF(원생!$G84="","",원생!$G84),수납!$B:$B,$B$1&amp;"-"&amp;TEXT(6,"00")&amp;"*",수납!$E:$E,""))</f>
        <v/>
      </c>
      <c r="I86" s="14">
        <f>IF(원생!$A84="","",SUMIFS(수납!$F:$F,수납!$C:$C,원생!$A84,수납!$D:$D,IF(원생!$G84="","",원생!$G84),수납!$B:$B,$B$1&amp;"-"&amp;TEXT(7,"00")&amp;"*",수납!$E:$E,"수강료")+SUMIFS(수납!$F:$F,수납!$C:$C,원생!$A84,수납!$D:$D,IF(원생!$G84="","",원생!$G84),수납!$B:$B,$B$1&amp;"-"&amp;TEXT(7,"00")&amp;"*",수납!$E:$E,""))</f>
        <v/>
      </c>
      <c r="J86" s="14">
        <f>IF(원생!$A84="","",SUMIFS(수납!$F:$F,수납!$C:$C,원생!$A84,수납!$D:$D,IF(원생!$G84="","",원생!$G84),수납!$B:$B,$B$1&amp;"-"&amp;TEXT(8,"00")&amp;"*",수납!$E:$E,"수강료")+SUMIFS(수납!$F:$F,수납!$C:$C,원생!$A84,수납!$D:$D,IF(원생!$G84="","",원생!$G84),수납!$B:$B,$B$1&amp;"-"&amp;TEXT(8,"00")&amp;"*",수납!$E:$E,""))</f>
        <v/>
      </c>
      <c r="K86" s="14">
        <f>IF(원생!$A84="","",SUMIFS(수납!$F:$F,수납!$C:$C,원생!$A84,수납!$D:$D,IF(원생!$G84="","",원생!$G84),수납!$B:$B,$B$1&amp;"-"&amp;TEXT(9,"00")&amp;"*",수납!$E:$E,"수강료")+SUMIFS(수납!$F:$F,수납!$C:$C,원생!$A84,수납!$D:$D,IF(원생!$G84="","",원생!$G84),수납!$B:$B,$B$1&amp;"-"&amp;TEXT(9,"00")&amp;"*",수납!$E:$E,""))</f>
        <v/>
      </c>
      <c r="L86" s="14">
        <f>IF(원생!$A84="","",SUMIFS(수납!$F:$F,수납!$C:$C,원생!$A84,수납!$D:$D,IF(원생!$G84="","",원생!$G84),수납!$B:$B,$B$1&amp;"-"&amp;TEXT(10,"00")&amp;"*",수납!$E:$E,"수강료")+SUMIFS(수납!$F:$F,수납!$C:$C,원생!$A84,수납!$D:$D,IF(원생!$G84="","",원생!$G84),수납!$B:$B,$B$1&amp;"-"&amp;TEXT(10,"00")&amp;"*",수납!$E:$E,""))</f>
        <v/>
      </c>
      <c r="M86" s="14">
        <f>IF(원생!$A84="","",SUMIFS(수납!$F:$F,수납!$C:$C,원생!$A84,수납!$D:$D,IF(원생!$G84="","",원생!$G84),수납!$B:$B,$B$1&amp;"-"&amp;TEXT(11,"00")&amp;"*",수납!$E:$E,"수강료")+SUMIFS(수납!$F:$F,수납!$C:$C,원생!$A84,수납!$D:$D,IF(원생!$G84="","",원생!$G84),수납!$B:$B,$B$1&amp;"-"&amp;TEXT(11,"00")&amp;"*",수납!$E:$E,""))</f>
        <v/>
      </c>
      <c r="N86" s="14">
        <f>IF(원생!$A84="","",SUMIFS(수납!$F:$F,수납!$C:$C,원생!$A84,수납!$D:$D,IF(원생!$G84="","",원생!$G84),수납!$B:$B,$B$1&amp;"-"&amp;TEXT(12,"00")&amp;"*",수납!$E:$E,"수강료")+SUMIFS(수납!$F:$F,수납!$C:$C,원생!$A84,수납!$D:$D,IF(원생!$G84="","",원생!$G84),수납!$B:$B,$B$1&amp;"-"&amp;TEXT(12,"00")&amp;"*",수납!$E:$E,""))</f>
        <v/>
      </c>
      <c r="O86">
        <f>IF(원생!$I84="","",원생!$I84)</f>
        <v/>
      </c>
      <c r="P86">
        <f>IF($A86="","",IF(AND($B86&gt;0,C86&lt;$B86,DATE($B$1,1,1)&lt;=TODAY(),OR($O86="",$O86&gt;=DATE($B$1,1,1)),OR(COUNTIF($C86:C86,"&gt;0")&gt;0,DATE($B$1,1,1)=DATE(YEAR(TODAY()),MONTH(TODAY()),1))),1,0))</f>
        <v/>
      </c>
      <c r="Q86">
        <f>IF($A86="","",IF(AND($B86&gt;0,D86&lt;$B86,DATE($B$1,2,1)&lt;=TODAY(),OR($O86="",$O86&gt;=DATE($B$1,2,1)),OR(COUNTIF($C86:D86,"&gt;0")&gt;0,DATE($B$1,2,1)=DATE(YEAR(TODAY()),MONTH(TODAY()),1))),1,0))</f>
        <v/>
      </c>
      <c r="R86">
        <f>IF($A86="","",IF(AND($B86&gt;0,E86&lt;$B86,DATE($B$1,3,1)&lt;=TODAY(),OR($O86="",$O86&gt;=DATE($B$1,3,1)),OR(COUNTIF($C86:E86,"&gt;0")&gt;0,DATE($B$1,3,1)=DATE(YEAR(TODAY()),MONTH(TODAY()),1))),1,0))</f>
        <v/>
      </c>
      <c r="S86">
        <f>IF($A86="","",IF(AND($B86&gt;0,F86&lt;$B86,DATE($B$1,4,1)&lt;=TODAY(),OR($O86="",$O86&gt;=DATE($B$1,4,1)),OR(COUNTIF($C86:F86,"&gt;0")&gt;0,DATE($B$1,4,1)=DATE(YEAR(TODAY()),MONTH(TODAY()),1))),1,0))</f>
        <v/>
      </c>
      <c r="T86">
        <f>IF($A86="","",IF(AND($B86&gt;0,G86&lt;$B86,DATE($B$1,5,1)&lt;=TODAY(),OR($O86="",$O86&gt;=DATE($B$1,5,1)),OR(COUNTIF($C86:G86,"&gt;0")&gt;0,DATE($B$1,5,1)=DATE(YEAR(TODAY()),MONTH(TODAY()),1))),1,0))</f>
        <v/>
      </c>
      <c r="U86">
        <f>IF($A86="","",IF(AND($B86&gt;0,H86&lt;$B86,DATE($B$1,6,1)&lt;=TODAY(),OR($O86="",$O86&gt;=DATE($B$1,6,1)),OR(COUNTIF($C86:H86,"&gt;0")&gt;0,DATE($B$1,6,1)=DATE(YEAR(TODAY()),MONTH(TODAY()),1))),1,0))</f>
        <v/>
      </c>
      <c r="V86">
        <f>IF($A86="","",IF(AND($B86&gt;0,I86&lt;$B86,DATE($B$1,7,1)&lt;=TODAY(),OR($O86="",$O86&gt;=DATE($B$1,7,1)),OR(COUNTIF($C86:I86,"&gt;0")&gt;0,DATE($B$1,7,1)=DATE(YEAR(TODAY()),MONTH(TODAY()),1))),1,0))</f>
        <v/>
      </c>
      <c r="W86">
        <f>IF($A86="","",IF(AND($B86&gt;0,J86&lt;$B86,DATE($B$1,8,1)&lt;=TODAY(),OR($O86="",$O86&gt;=DATE($B$1,8,1)),OR(COUNTIF($C86:J86,"&gt;0")&gt;0,DATE($B$1,8,1)=DATE(YEAR(TODAY()),MONTH(TODAY()),1))),1,0))</f>
        <v/>
      </c>
      <c r="X86">
        <f>IF($A86="","",IF(AND($B86&gt;0,K86&lt;$B86,DATE($B$1,9,1)&lt;=TODAY(),OR($O86="",$O86&gt;=DATE($B$1,9,1)),OR(COUNTIF($C86:K86,"&gt;0")&gt;0,DATE($B$1,9,1)=DATE(YEAR(TODAY()),MONTH(TODAY()),1))),1,0))</f>
        <v/>
      </c>
      <c r="Y86">
        <f>IF($A86="","",IF(AND($B86&gt;0,L86&lt;$B86,DATE($B$1,10,1)&lt;=TODAY(),OR($O86="",$O86&gt;=DATE($B$1,10,1)),OR(COUNTIF($C86:L86,"&gt;0")&gt;0,DATE($B$1,10,1)=DATE(YEAR(TODAY()),MONTH(TODAY()),1))),1,0))</f>
        <v/>
      </c>
      <c r="Z86">
        <f>IF($A86="","",IF(AND($B86&gt;0,M86&lt;$B86,DATE($B$1,11,1)&lt;=TODAY(),OR($O86="",$O86&gt;=DATE($B$1,11,1)),OR(COUNTIF($C86:M86,"&gt;0")&gt;0,DATE($B$1,11,1)=DATE(YEAR(TODAY()),MONTH(TODAY()),1))),1,0))</f>
        <v/>
      </c>
      <c r="AA86">
        <f>IF($A86="","",IF(AND($B86&gt;0,N86&lt;$B86,DATE($B$1,12,1)&lt;=TODAY(),OR($O86="",$O86&gt;=DATE($B$1,12,1)),OR(COUNTIF($C86:N86,"&gt;0")&gt;0,DATE($B$1,12,1)=DATE(YEAR(TODAY()),MONTH(TODAY()),1))),1,0))</f>
        <v/>
      </c>
    </row>
    <row r="87">
      <c r="A87" s="13">
        <f>IF(원생!$A85="","",원생!$A85&amp;IF(원생!$G85="",""," ("&amp;원생!$G85&amp;")"))</f>
        <v/>
      </c>
      <c r="B87" s="8">
        <f>IF(원생!$A85="","",원생!$F85)</f>
        <v/>
      </c>
      <c r="C87" s="14">
        <f>IF(원생!$A85="","",SUMIFS(수납!$F:$F,수납!$C:$C,원생!$A85,수납!$D:$D,IF(원생!$G85="","",원생!$G85),수납!$B:$B,$B$1&amp;"-"&amp;TEXT(1,"00")&amp;"*",수납!$E:$E,"수강료")+SUMIFS(수납!$F:$F,수납!$C:$C,원생!$A85,수납!$D:$D,IF(원생!$G85="","",원생!$G85),수납!$B:$B,$B$1&amp;"-"&amp;TEXT(1,"00")&amp;"*",수납!$E:$E,""))</f>
        <v/>
      </c>
      <c r="D87" s="14">
        <f>IF(원생!$A85="","",SUMIFS(수납!$F:$F,수납!$C:$C,원생!$A85,수납!$D:$D,IF(원생!$G85="","",원생!$G85),수납!$B:$B,$B$1&amp;"-"&amp;TEXT(2,"00")&amp;"*",수납!$E:$E,"수강료")+SUMIFS(수납!$F:$F,수납!$C:$C,원생!$A85,수납!$D:$D,IF(원생!$G85="","",원생!$G85),수납!$B:$B,$B$1&amp;"-"&amp;TEXT(2,"00")&amp;"*",수납!$E:$E,""))</f>
        <v/>
      </c>
      <c r="E87" s="14">
        <f>IF(원생!$A85="","",SUMIFS(수납!$F:$F,수납!$C:$C,원생!$A85,수납!$D:$D,IF(원생!$G85="","",원생!$G85),수납!$B:$B,$B$1&amp;"-"&amp;TEXT(3,"00")&amp;"*",수납!$E:$E,"수강료")+SUMIFS(수납!$F:$F,수납!$C:$C,원생!$A85,수납!$D:$D,IF(원생!$G85="","",원생!$G85),수납!$B:$B,$B$1&amp;"-"&amp;TEXT(3,"00")&amp;"*",수납!$E:$E,""))</f>
        <v/>
      </c>
      <c r="F87" s="14">
        <f>IF(원생!$A85="","",SUMIFS(수납!$F:$F,수납!$C:$C,원생!$A85,수납!$D:$D,IF(원생!$G85="","",원생!$G85),수납!$B:$B,$B$1&amp;"-"&amp;TEXT(4,"00")&amp;"*",수납!$E:$E,"수강료")+SUMIFS(수납!$F:$F,수납!$C:$C,원생!$A85,수납!$D:$D,IF(원생!$G85="","",원생!$G85),수납!$B:$B,$B$1&amp;"-"&amp;TEXT(4,"00")&amp;"*",수납!$E:$E,""))</f>
        <v/>
      </c>
      <c r="G87" s="14">
        <f>IF(원생!$A85="","",SUMIFS(수납!$F:$F,수납!$C:$C,원생!$A85,수납!$D:$D,IF(원생!$G85="","",원생!$G85),수납!$B:$B,$B$1&amp;"-"&amp;TEXT(5,"00")&amp;"*",수납!$E:$E,"수강료")+SUMIFS(수납!$F:$F,수납!$C:$C,원생!$A85,수납!$D:$D,IF(원생!$G85="","",원생!$G85),수납!$B:$B,$B$1&amp;"-"&amp;TEXT(5,"00")&amp;"*",수납!$E:$E,""))</f>
        <v/>
      </c>
      <c r="H87" s="14">
        <f>IF(원생!$A85="","",SUMIFS(수납!$F:$F,수납!$C:$C,원생!$A85,수납!$D:$D,IF(원생!$G85="","",원생!$G85),수납!$B:$B,$B$1&amp;"-"&amp;TEXT(6,"00")&amp;"*",수납!$E:$E,"수강료")+SUMIFS(수납!$F:$F,수납!$C:$C,원생!$A85,수납!$D:$D,IF(원생!$G85="","",원생!$G85),수납!$B:$B,$B$1&amp;"-"&amp;TEXT(6,"00")&amp;"*",수납!$E:$E,""))</f>
        <v/>
      </c>
      <c r="I87" s="14">
        <f>IF(원생!$A85="","",SUMIFS(수납!$F:$F,수납!$C:$C,원생!$A85,수납!$D:$D,IF(원생!$G85="","",원생!$G85),수납!$B:$B,$B$1&amp;"-"&amp;TEXT(7,"00")&amp;"*",수납!$E:$E,"수강료")+SUMIFS(수납!$F:$F,수납!$C:$C,원생!$A85,수납!$D:$D,IF(원생!$G85="","",원생!$G85),수납!$B:$B,$B$1&amp;"-"&amp;TEXT(7,"00")&amp;"*",수납!$E:$E,""))</f>
        <v/>
      </c>
      <c r="J87" s="14">
        <f>IF(원생!$A85="","",SUMIFS(수납!$F:$F,수납!$C:$C,원생!$A85,수납!$D:$D,IF(원생!$G85="","",원생!$G85),수납!$B:$B,$B$1&amp;"-"&amp;TEXT(8,"00")&amp;"*",수납!$E:$E,"수강료")+SUMIFS(수납!$F:$F,수납!$C:$C,원생!$A85,수납!$D:$D,IF(원생!$G85="","",원생!$G85),수납!$B:$B,$B$1&amp;"-"&amp;TEXT(8,"00")&amp;"*",수납!$E:$E,""))</f>
        <v/>
      </c>
      <c r="K87" s="14">
        <f>IF(원생!$A85="","",SUMIFS(수납!$F:$F,수납!$C:$C,원생!$A85,수납!$D:$D,IF(원생!$G85="","",원생!$G85),수납!$B:$B,$B$1&amp;"-"&amp;TEXT(9,"00")&amp;"*",수납!$E:$E,"수강료")+SUMIFS(수납!$F:$F,수납!$C:$C,원생!$A85,수납!$D:$D,IF(원생!$G85="","",원생!$G85),수납!$B:$B,$B$1&amp;"-"&amp;TEXT(9,"00")&amp;"*",수납!$E:$E,""))</f>
        <v/>
      </c>
      <c r="L87" s="14">
        <f>IF(원생!$A85="","",SUMIFS(수납!$F:$F,수납!$C:$C,원생!$A85,수납!$D:$D,IF(원생!$G85="","",원생!$G85),수납!$B:$B,$B$1&amp;"-"&amp;TEXT(10,"00")&amp;"*",수납!$E:$E,"수강료")+SUMIFS(수납!$F:$F,수납!$C:$C,원생!$A85,수납!$D:$D,IF(원생!$G85="","",원생!$G85),수납!$B:$B,$B$1&amp;"-"&amp;TEXT(10,"00")&amp;"*",수납!$E:$E,""))</f>
        <v/>
      </c>
      <c r="M87" s="14">
        <f>IF(원생!$A85="","",SUMIFS(수납!$F:$F,수납!$C:$C,원생!$A85,수납!$D:$D,IF(원생!$G85="","",원생!$G85),수납!$B:$B,$B$1&amp;"-"&amp;TEXT(11,"00")&amp;"*",수납!$E:$E,"수강료")+SUMIFS(수납!$F:$F,수납!$C:$C,원생!$A85,수납!$D:$D,IF(원생!$G85="","",원생!$G85),수납!$B:$B,$B$1&amp;"-"&amp;TEXT(11,"00")&amp;"*",수납!$E:$E,""))</f>
        <v/>
      </c>
      <c r="N87" s="14">
        <f>IF(원생!$A85="","",SUMIFS(수납!$F:$F,수납!$C:$C,원생!$A85,수납!$D:$D,IF(원생!$G85="","",원생!$G85),수납!$B:$B,$B$1&amp;"-"&amp;TEXT(12,"00")&amp;"*",수납!$E:$E,"수강료")+SUMIFS(수납!$F:$F,수납!$C:$C,원생!$A85,수납!$D:$D,IF(원생!$G85="","",원생!$G85),수납!$B:$B,$B$1&amp;"-"&amp;TEXT(12,"00")&amp;"*",수납!$E:$E,""))</f>
        <v/>
      </c>
      <c r="O87">
        <f>IF(원생!$I85="","",원생!$I85)</f>
        <v/>
      </c>
      <c r="P87">
        <f>IF($A87="","",IF(AND($B87&gt;0,C87&lt;$B87,DATE($B$1,1,1)&lt;=TODAY(),OR($O87="",$O87&gt;=DATE($B$1,1,1)),OR(COUNTIF($C87:C87,"&gt;0")&gt;0,DATE($B$1,1,1)=DATE(YEAR(TODAY()),MONTH(TODAY()),1))),1,0))</f>
        <v/>
      </c>
      <c r="Q87">
        <f>IF($A87="","",IF(AND($B87&gt;0,D87&lt;$B87,DATE($B$1,2,1)&lt;=TODAY(),OR($O87="",$O87&gt;=DATE($B$1,2,1)),OR(COUNTIF($C87:D87,"&gt;0")&gt;0,DATE($B$1,2,1)=DATE(YEAR(TODAY()),MONTH(TODAY()),1))),1,0))</f>
        <v/>
      </c>
      <c r="R87">
        <f>IF($A87="","",IF(AND($B87&gt;0,E87&lt;$B87,DATE($B$1,3,1)&lt;=TODAY(),OR($O87="",$O87&gt;=DATE($B$1,3,1)),OR(COUNTIF($C87:E87,"&gt;0")&gt;0,DATE($B$1,3,1)=DATE(YEAR(TODAY()),MONTH(TODAY()),1))),1,0))</f>
        <v/>
      </c>
      <c r="S87">
        <f>IF($A87="","",IF(AND($B87&gt;0,F87&lt;$B87,DATE($B$1,4,1)&lt;=TODAY(),OR($O87="",$O87&gt;=DATE($B$1,4,1)),OR(COUNTIF($C87:F87,"&gt;0")&gt;0,DATE($B$1,4,1)=DATE(YEAR(TODAY()),MONTH(TODAY()),1))),1,0))</f>
        <v/>
      </c>
      <c r="T87">
        <f>IF($A87="","",IF(AND($B87&gt;0,G87&lt;$B87,DATE($B$1,5,1)&lt;=TODAY(),OR($O87="",$O87&gt;=DATE($B$1,5,1)),OR(COUNTIF($C87:G87,"&gt;0")&gt;0,DATE($B$1,5,1)=DATE(YEAR(TODAY()),MONTH(TODAY()),1))),1,0))</f>
        <v/>
      </c>
      <c r="U87">
        <f>IF($A87="","",IF(AND($B87&gt;0,H87&lt;$B87,DATE($B$1,6,1)&lt;=TODAY(),OR($O87="",$O87&gt;=DATE($B$1,6,1)),OR(COUNTIF($C87:H87,"&gt;0")&gt;0,DATE($B$1,6,1)=DATE(YEAR(TODAY()),MONTH(TODAY()),1))),1,0))</f>
        <v/>
      </c>
      <c r="V87">
        <f>IF($A87="","",IF(AND($B87&gt;0,I87&lt;$B87,DATE($B$1,7,1)&lt;=TODAY(),OR($O87="",$O87&gt;=DATE($B$1,7,1)),OR(COUNTIF($C87:I87,"&gt;0")&gt;0,DATE($B$1,7,1)=DATE(YEAR(TODAY()),MONTH(TODAY()),1))),1,0))</f>
        <v/>
      </c>
      <c r="W87">
        <f>IF($A87="","",IF(AND($B87&gt;0,J87&lt;$B87,DATE($B$1,8,1)&lt;=TODAY(),OR($O87="",$O87&gt;=DATE($B$1,8,1)),OR(COUNTIF($C87:J87,"&gt;0")&gt;0,DATE($B$1,8,1)=DATE(YEAR(TODAY()),MONTH(TODAY()),1))),1,0))</f>
        <v/>
      </c>
      <c r="X87">
        <f>IF($A87="","",IF(AND($B87&gt;0,K87&lt;$B87,DATE($B$1,9,1)&lt;=TODAY(),OR($O87="",$O87&gt;=DATE($B$1,9,1)),OR(COUNTIF($C87:K87,"&gt;0")&gt;0,DATE($B$1,9,1)=DATE(YEAR(TODAY()),MONTH(TODAY()),1))),1,0))</f>
        <v/>
      </c>
      <c r="Y87">
        <f>IF($A87="","",IF(AND($B87&gt;0,L87&lt;$B87,DATE($B$1,10,1)&lt;=TODAY(),OR($O87="",$O87&gt;=DATE($B$1,10,1)),OR(COUNTIF($C87:L87,"&gt;0")&gt;0,DATE($B$1,10,1)=DATE(YEAR(TODAY()),MONTH(TODAY()),1))),1,0))</f>
        <v/>
      </c>
      <c r="Z87">
        <f>IF($A87="","",IF(AND($B87&gt;0,M87&lt;$B87,DATE($B$1,11,1)&lt;=TODAY(),OR($O87="",$O87&gt;=DATE($B$1,11,1)),OR(COUNTIF($C87:M87,"&gt;0")&gt;0,DATE($B$1,11,1)=DATE(YEAR(TODAY()),MONTH(TODAY()),1))),1,0))</f>
        <v/>
      </c>
      <c r="AA87">
        <f>IF($A87="","",IF(AND($B87&gt;0,N87&lt;$B87,DATE($B$1,12,1)&lt;=TODAY(),OR($O87="",$O87&gt;=DATE($B$1,12,1)),OR(COUNTIF($C87:N87,"&gt;0")&gt;0,DATE($B$1,12,1)=DATE(YEAR(TODAY()),MONTH(TODAY()),1))),1,0))</f>
        <v/>
      </c>
    </row>
    <row r="88">
      <c r="A88" s="13">
        <f>IF(원생!$A86="","",원생!$A86&amp;IF(원생!$G86="",""," ("&amp;원생!$G86&amp;")"))</f>
        <v/>
      </c>
      <c r="B88" s="8">
        <f>IF(원생!$A86="","",원생!$F86)</f>
        <v/>
      </c>
      <c r="C88" s="14">
        <f>IF(원생!$A86="","",SUMIFS(수납!$F:$F,수납!$C:$C,원생!$A86,수납!$D:$D,IF(원생!$G86="","",원생!$G86),수납!$B:$B,$B$1&amp;"-"&amp;TEXT(1,"00")&amp;"*",수납!$E:$E,"수강료")+SUMIFS(수납!$F:$F,수납!$C:$C,원생!$A86,수납!$D:$D,IF(원생!$G86="","",원생!$G86),수납!$B:$B,$B$1&amp;"-"&amp;TEXT(1,"00")&amp;"*",수납!$E:$E,""))</f>
        <v/>
      </c>
      <c r="D88" s="14">
        <f>IF(원생!$A86="","",SUMIFS(수납!$F:$F,수납!$C:$C,원생!$A86,수납!$D:$D,IF(원생!$G86="","",원생!$G86),수납!$B:$B,$B$1&amp;"-"&amp;TEXT(2,"00")&amp;"*",수납!$E:$E,"수강료")+SUMIFS(수납!$F:$F,수납!$C:$C,원생!$A86,수납!$D:$D,IF(원생!$G86="","",원생!$G86),수납!$B:$B,$B$1&amp;"-"&amp;TEXT(2,"00")&amp;"*",수납!$E:$E,""))</f>
        <v/>
      </c>
      <c r="E88" s="14">
        <f>IF(원생!$A86="","",SUMIFS(수납!$F:$F,수납!$C:$C,원생!$A86,수납!$D:$D,IF(원생!$G86="","",원생!$G86),수납!$B:$B,$B$1&amp;"-"&amp;TEXT(3,"00")&amp;"*",수납!$E:$E,"수강료")+SUMIFS(수납!$F:$F,수납!$C:$C,원생!$A86,수납!$D:$D,IF(원생!$G86="","",원생!$G86),수납!$B:$B,$B$1&amp;"-"&amp;TEXT(3,"00")&amp;"*",수납!$E:$E,""))</f>
        <v/>
      </c>
      <c r="F88" s="14">
        <f>IF(원생!$A86="","",SUMIFS(수납!$F:$F,수납!$C:$C,원생!$A86,수납!$D:$D,IF(원생!$G86="","",원생!$G86),수납!$B:$B,$B$1&amp;"-"&amp;TEXT(4,"00")&amp;"*",수납!$E:$E,"수강료")+SUMIFS(수납!$F:$F,수납!$C:$C,원생!$A86,수납!$D:$D,IF(원생!$G86="","",원생!$G86),수납!$B:$B,$B$1&amp;"-"&amp;TEXT(4,"00")&amp;"*",수납!$E:$E,""))</f>
        <v/>
      </c>
      <c r="G88" s="14">
        <f>IF(원생!$A86="","",SUMIFS(수납!$F:$F,수납!$C:$C,원생!$A86,수납!$D:$D,IF(원생!$G86="","",원생!$G86),수납!$B:$B,$B$1&amp;"-"&amp;TEXT(5,"00")&amp;"*",수납!$E:$E,"수강료")+SUMIFS(수납!$F:$F,수납!$C:$C,원생!$A86,수납!$D:$D,IF(원생!$G86="","",원생!$G86),수납!$B:$B,$B$1&amp;"-"&amp;TEXT(5,"00")&amp;"*",수납!$E:$E,""))</f>
        <v/>
      </c>
      <c r="H88" s="14">
        <f>IF(원생!$A86="","",SUMIFS(수납!$F:$F,수납!$C:$C,원생!$A86,수납!$D:$D,IF(원생!$G86="","",원생!$G86),수납!$B:$B,$B$1&amp;"-"&amp;TEXT(6,"00")&amp;"*",수납!$E:$E,"수강료")+SUMIFS(수납!$F:$F,수납!$C:$C,원생!$A86,수납!$D:$D,IF(원생!$G86="","",원생!$G86),수납!$B:$B,$B$1&amp;"-"&amp;TEXT(6,"00")&amp;"*",수납!$E:$E,""))</f>
        <v/>
      </c>
      <c r="I88" s="14">
        <f>IF(원생!$A86="","",SUMIFS(수납!$F:$F,수납!$C:$C,원생!$A86,수납!$D:$D,IF(원생!$G86="","",원생!$G86),수납!$B:$B,$B$1&amp;"-"&amp;TEXT(7,"00")&amp;"*",수납!$E:$E,"수강료")+SUMIFS(수납!$F:$F,수납!$C:$C,원생!$A86,수납!$D:$D,IF(원생!$G86="","",원생!$G86),수납!$B:$B,$B$1&amp;"-"&amp;TEXT(7,"00")&amp;"*",수납!$E:$E,""))</f>
        <v/>
      </c>
      <c r="J88" s="14">
        <f>IF(원생!$A86="","",SUMIFS(수납!$F:$F,수납!$C:$C,원생!$A86,수납!$D:$D,IF(원생!$G86="","",원생!$G86),수납!$B:$B,$B$1&amp;"-"&amp;TEXT(8,"00")&amp;"*",수납!$E:$E,"수강료")+SUMIFS(수납!$F:$F,수납!$C:$C,원생!$A86,수납!$D:$D,IF(원생!$G86="","",원생!$G86),수납!$B:$B,$B$1&amp;"-"&amp;TEXT(8,"00")&amp;"*",수납!$E:$E,""))</f>
        <v/>
      </c>
      <c r="K88" s="14">
        <f>IF(원생!$A86="","",SUMIFS(수납!$F:$F,수납!$C:$C,원생!$A86,수납!$D:$D,IF(원생!$G86="","",원생!$G86),수납!$B:$B,$B$1&amp;"-"&amp;TEXT(9,"00")&amp;"*",수납!$E:$E,"수강료")+SUMIFS(수납!$F:$F,수납!$C:$C,원생!$A86,수납!$D:$D,IF(원생!$G86="","",원생!$G86),수납!$B:$B,$B$1&amp;"-"&amp;TEXT(9,"00")&amp;"*",수납!$E:$E,""))</f>
        <v/>
      </c>
      <c r="L88" s="14">
        <f>IF(원생!$A86="","",SUMIFS(수납!$F:$F,수납!$C:$C,원생!$A86,수납!$D:$D,IF(원생!$G86="","",원생!$G86),수납!$B:$B,$B$1&amp;"-"&amp;TEXT(10,"00")&amp;"*",수납!$E:$E,"수강료")+SUMIFS(수납!$F:$F,수납!$C:$C,원생!$A86,수납!$D:$D,IF(원생!$G86="","",원생!$G86),수납!$B:$B,$B$1&amp;"-"&amp;TEXT(10,"00")&amp;"*",수납!$E:$E,""))</f>
        <v/>
      </c>
      <c r="M88" s="14">
        <f>IF(원생!$A86="","",SUMIFS(수납!$F:$F,수납!$C:$C,원생!$A86,수납!$D:$D,IF(원생!$G86="","",원생!$G86),수납!$B:$B,$B$1&amp;"-"&amp;TEXT(11,"00")&amp;"*",수납!$E:$E,"수강료")+SUMIFS(수납!$F:$F,수납!$C:$C,원생!$A86,수납!$D:$D,IF(원생!$G86="","",원생!$G86),수납!$B:$B,$B$1&amp;"-"&amp;TEXT(11,"00")&amp;"*",수납!$E:$E,""))</f>
        <v/>
      </c>
      <c r="N88" s="14">
        <f>IF(원생!$A86="","",SUMIFS(수납!$F:$F,수납!$C:$C,원생!$A86,수납!$D:$D,IF(원생!$G86="","",원생!$G86),수납!$B:$B,$B$1&amp;"-"&amp;TEXT(12,"00")&amp;"*",수납!$E:$E,"수강료")+SUMIFS(수납!$F:$F,수납!$C:$C,원생!$A86,수납!$D:$D,IF(원생!$G86="","",원생!$G86),수납!$B:$B,$B$1&amp;"-"&amp;TEXT(12,"00")&amp;"*",수납!$E:$E,""))</f>
        <v/>
      </c>
      <c r="O88">
        <f>IF(원생!$I86="","",원생!$I86)</f>
        <v/>
      </c>
      <c r="P88">
        <f>IF($A88="","",IF(AND($B88&gt;0,C88&lt;$B88,DATE($B$1,1,1)&lt;=TODAY(),OR($O88="",$O88&gt;=DATE($B$1,1,1)),OR(COUNTIF($C88:C88,"&gt;0")&gt;0,DATE($B$1,1,1)=DATE(YEAR(TODAY()),MONTH(TODAY()),1))),1,0))</f>
        <v/>
      </c>
      <c r="Q88">
        <f>IF($A88="","",IF(AND($B88&gt;0,D88&lt;$B88,DATE($B$1,2,1)&lt;=TODAY(),OR($O88="",$O88&gt;=DATE($B$1,2,1)),OR(COUNTIF($C88:D88,"&gt;0")&gt;0,DATE($B$1,2,1)=DATE(YEAR(TODAY()),MONTH(TODAY()),1))),1,0))</f>
        <v/>
      </c>
      <c r="R88">
        <f>IF($A88="","",IF(AND($B88&gt;0,E88&lt;$B88,DATE($B$1,3,1)&lt;=TODAY(),OR($O88="",$O88&gt;=DATE($B$1,3,1)),OR(COUNTIF($C88:E88,"&gt;0")&gt;0,DATE($B$1,3,1)=DATE(YEAR(TODAY()),MONTH(TODAY()),1))),1,0))</f>
        <v/>
      </c>
      <c r="S88">
        <f>IF($A88="","",IF(AND($B88&gt;0,F88&lt;$B88,DATE($B$1,4,1)&lt;=TODAY(),OR($O88="",$O88&gt;=DATE($B$1,4,1)),OR(COUNTIF($C88:F88,"&gt;0")&gt;0,DATE($B$1,4,1)=DATE(YEAR(TODAY()),MONTH(TODAY()),1))),1,0))</f>
        <v/>
      </c>
      <c r="T88">
        <f>IF($A88="","",IF(AND($B88&gt;0,G88&lt;$B88,DATE($B$1,5,1)&lt;=TODAY(),OR($O88="",$O88&gt;=DATE($B$1,5,1)),OR(COUNTIF($C88:G88,"&gt;0")&gt;0,DATE($B$1,5,1)=DATE(YEAR(TODAY()),MONTH(TODAY()),1))),1,0))</f>
        <v/>
      </c>
      <c r="U88">
        <f>IF($A88="","",IF(AND($B88&gt;0,H88&lt;$B88,DATE($B$1,6,1)&lt;=TODAY(),OR($O88="",$O88&gt;=DATE($B$1,6,1)),OR(COUNTIF($C88:H88,"&gt;0")&gt;0,DATE($B$1,6,1)=DATE(YEAR(TODAY()),MONTH(TODAY()),1))),1,0))</f>
        <v/>
      </c>
      <c r="V88">
        <f>IF($A88="","",IF(AND($B88&gt;0,I88&lt;$B88,DATE($B$1,7,1)&lt;=TODAY(),OR($O88="",$O88&gt;=DATE($B$1,7,1)),OR(COUNTIF($C88:I88,"&gt;0")&gt;0,DATE($B$1,7,1)=DATE(YEAR(TODAY()),MONTH(TODAY()),1))),1,0))</f>
        <v/>
      </c>
      <c r="W88">
        <f>IF($A88="","",IF(AND($B88&gt;0,J88&lt;$B88,DATE($B$1,8,1)&lt;=TODAY(),OR($O88="",$O88&gt;=DATE($B$1,8,1)),OR(COUNTIF($C88:J88,"&gt;0")&gt;0,DATE($B$1,8,1)=DATE(YEAR(TODAY()),MONTH(TODAY()),1))),1,0))</f>
        <v/>
      </c>
      <c r="X88">
        <f>IF($A88="","",IF(AND($B88&gt;0,K88&lt;$B88,DATE($B$1,9,1)&lt;=TODAY(),OR($O88="",$O88&gt;=DATE($B$1,9,1)),OR(COUNTIF($C88:K88,"&gt;0")&gt;0,DATE($B$1,9,1)=DATE(YEAR(TODAY()),MONTH(TODAY()),1))),1,0))</f>
        <v/>
      </c>
      <c r="Y88">
        <f>IF($A88="","",IF(AND($B88&gt;0,L88&lt;$B88,DATE($B$1,10,1)&lt;=TODAY(),OR($O88="",$O88&gt;=DATE($B$1,10,1)),OR(COUNTIF($C88:L88,"&gt;0")&gt;0,DATE($B$1,10,1)=DATE(YEAR(TODAY()),MONTH(TODAY()),1))),1,0))</f>
        <v/>
      </c>
      <c r="Z88">
        <f>IF($A88="","",IF(AND($B88&gt;0,M88&lt;$B88,DATE($B$1,11,1)&lt;=TODAY(),OR($O88="",$O88&gt;=DATE($B$1,11,1)),OR(COUNTIF($C88:M88,"&gt;0")&gt;0,DATE($B$1,11,1)=DATE(YEAR(TODAY()),MONTH(TODAY()),1))),1,0))</f>
        <v/>
      </c>
      <c r="AA88">
        <f>IF($A88="","",IF(AND($B88&gt;0,N88&lt;$B88,DATE($B$1,12,1)&lt;=TODAY(),OR($O88="",$O88&gt;=DATE($B$1,12,1)),OR(COUNTIF($C88:N88,"&gt;0")&gt;0,DATE($B$1,12,1)=DATE(YEAR(TODAY()),MONTH(TODAY()),1))),1,0))</f>
        <v/>
      </c>
    </row>
    <row r="89">
      <c r="A89" s="13">
        <f>IF(원생!$A87="","",원생!$A87&amp;IF(원생!$G87="",""," ("&amp;원생!$G87&amp;")"))</f>
        <v/>
      </c>
      <c r="B89" s="8">
        <f>IF(원생!$A87="","",원생!$F87)</f>
        <v/>
      </c>
      <c r="C89" s="14">
        <f>IF(원생!$A87="","",SUMIFS(수납!$F:$F,수납!$C:$C,원생!$A87,수납!$D:$D,IF(원생!$G87="","",원생!$G87),수납!$B:$B,$B$1&amp;"-"&amp;TEXT(1,"00")&amp;"*",수납!$E:$E,"수강료")+SUMIFS(수납!$F:$F,수납!$C:$C,원생!$A87,수납!$D:$D,IF(원생!$G87="","",원생!$G87),수납!$B:$B,$B$1&amp;"-"&amp;TEXT(1,"00")&amp;"*",수납!$E:$E,""))</f>
        <v/>
      </c>
      <c r="D89" s="14">
        <f>IF(원생!$A87="","",SUMIFS(수납!$F:$F,수납!$C:$C,원생!$A87,수납!$D:$D,IF(원생!$G87="","",원생!$G87),수납!$B:$B,$B$1&amp;"-"&amp;TEXT(2,"00")&amp;"*",수납!$E:$E,"수강료")+SUMIFS(수납!$F:$F,수납!$C:$C,원생!$A87,수납!$D:$D,IF(원생!$G87="","",원생!$G87),수납!$B:$B,$B$1&amp;"-"&amp;TEXT(2,"00")&amp;"*",수납!$E:$E,""))</f>
        <v/>
      </c>
      <c r="E89" s="14">
        <f>IF(원생!$A87="","",SUMIFS(수납!$F:$F,수납!$C:$C,원생!$A87,수납!$D:$D,IF(원생!$G87="","",원생!$G87),수납!$B:$B,$B$1&amp;"-"&amp;TEXT(3,"00")&amp;"*",수납!$E:$E,"수강료")+SUMIFS(수납!$F:$F,수납!$C:$C,원생!$A87,수납!$D:$D,IF(원생!$G87="","",원생!$G87),수납!$B:$B,$B$1&amp;"-"&amp;TEXT(3,"00")&amp;"*",수납!$E:$E,""))</f>
        <v/>
      </c>
      <c r="F89" s="14">
        <f>IF(원생!$A87="","",SUMIFS(수납!$F:$F,수납!$C:$C,원생!$A87,수납!$D:$D,IF(원생!$G87="","",원생!$G87),수납!$B:$B,$B$1&amp;"-"&amp;TEXT(4,"00")&amp;"*",수납!$E:$E,"수강료")+SUMIFS(수납!$F:$F,수납!$C:$C,원생!$A87,수납!$D:$D,IF(원생!$G87="","",원생!$G87),수납!$B:$B,$B$1&amp;"-"&amp;TEXT(4,"00")&amp;"*",수납!$E:$E,""))</f>
        <v/>
      </c>
      <c r="G89" s="14">
        <f>IF(원생!$A87="","",SUMIFS(수납!$F:$F,수납!$C:$C,원생!$A87,수납!$D:$D,IF(원생!$G87="","",원생!$G87),수납!$B:$B,$B$1&amp;"-"&amp;TEXT(5,"00")&amp;"*",수납!$E:$E,"수강료")+SUMIFS(수납!$F:$F,수납!$C:$C,원생!$A87,수납!$D:$D,IF(원생!$G87="","",원생!$G87),수납!$B:$B,$B$1&amp;"-"&amp;TEXT(5,"00")&amp;"*",수납!$E:$E,""))</f>
        <v/>
      </c>
      <c r="H89" s="14">
        <f>IF(원생!$A87="","",SUMIFS(수납!$F:$F,수납!$C:$C,원생!$A87,수납!$D:$D,IF(원생!$G87="","",원생!$G87),수납!$B:$B,$B$1&amp;"-"&amp;TEXT(6,"00")&amp;"*",수납!$E:$E,"수강료")+SUMIFS(수납!$F:$F,수납!$C:$C,원생!$A87,수납!$D:$D,IF(원생!$G87="","",원생!$G87),수납!$B:$B,$B$1&amp;"-"&amp;TEXT(6,"00")&amp;"*",수납!$E:$E,""))</f>
        <v/>
      </c>
      <c r="I89" s="14">
        <f>IF(원생!$A87="","",SUMIFS(수납!$F:$F,수납!$C:$C,원생!$A87,수납!$D:$D,IF(원생!$G87="","",원생!$G87),수납!$B:$B,$B$1&amp;"-"&amp;TEXT(7,"00")&amp;"*",수납!$E:$E,"수강료")+SUMIFS(수납!$F:$F,수납!$C:$C,원생!$A87,수납!$D:$D,IF(원생!$G87="","",원생!$G87),수납!$B:$B,$B$1&amp;"-"&amp;TEXT(7,"00")&amp;"*",수납!$E:$E,""))</f>
        <v/>
      </c>
      <c r="J89" s="14">
        <f>IF(원생!$A87="","",SUMIFS(수납!$F:$F,수납!$C:$C,원생!$A87,수납!$D:$D,IF(원생!$G87="","",원생!$G87),수납!$B:$B,$B$1&amp;"-"&amp;TEXT(8,"00")&amp;"*",수납!$E:$E,"수강료")+SUMIFS(수납!$F:$F,수납!$C:$C,원생!$A87,수납!$D:$D,IF(원생!$G87="","",원생!$G87),수납!$B:$B,$B$1&amp;"-"&amp;TEXT(8,"00")&amp;"*",수납!$E:$E,""))</f>
        <v/>
      </c>
      <c r="K89" s="14">
        <f>IF(원생!$A87="","",SUMIFS(수납!$F:$F,수납!$C:$C,원생!$A87,수납!$D:$D,IF(원생!$G87="","",원생!$G87),수납!$B:$B,$B$1&amp;"-"&amp;TEXT(9,"00")&amp;"*",수납!$E:$E,"수강료")+SUMIFS(수납!$F:$F,수납!$C:$C,원생!$A87,수납!$D:$D,IF(원생!$G87="","",원생!$G87),수납!$B:$B,$B$1&amp;"-"&amp;TEXT(9,"00")&amp;"*",수납!$E:$E,""))</f>
        <v/>
      </c>
      <c r="L89" s="14">
        <f>IF(원생!$A87="","",SUMIFS(수납!$F:$F,수납!$C:$C,원생!$A87,수납!$D:$D,IF(원생!$G87="","",원생!$G87),수납!$B:$B,$B$1&amp;"-"&amp;TEXT(10,"00")&amp;"*",수납!$E:$E,"수강료")+SUMIFS(수납!$F:$F,수납!$C:$C,원생!$A87,수납!$D:$D,IF(원생!$G87="","",원생!$G87),수납!$B:$B,$B$1&amp;"-"&amp;TEXT(10,"00")&amp;"*",수납!$E:$E,""))</f>
        <v/>
      </c>
      <c r="M89" s="14">
        <f>IF(원생!$A87="","",SUMIFS(수납!$F:$F,수납!$C:$C,원생!$A87,수납!$D:$D,IF(원생!$G87="","",원생!$G87),수납!$B:$B,$B$1&amp;"-"&amp;TEXT(11,"00")&amp;"*",수납!$E:$E,"수강료")+SUMIFS(수납!$F:$F,수납!$C:$C,원생!$A87,수납!$D:$D,IF(원생!$G87="","",원생!$G87),수납!$B:$B,$B$1&amp;"-"&amp;TEXT(11,"00")&amp;"*",수납!$E:$E,""))</f>
        <v/>
      </c>
      <c r="N89" s="14">
        <f>IF(원생!$A87="","",SUMIFS(수납!$F:$F,수납!$C:$C,원생!$A87,수납!$D:$D,IF(원생!$G87="","",원생!$G87),수납!$B:$B,$B$1&amp;"-"&amp;TEXT(12,"00")&amp;"*",수납!$E:$E,"수강료")+SUMIFS(수납!$F:$F,수납!$C:$C,원생!$A87,수납!$D:$D,IF(원생!$G87="","",원생!$G87),수납!$B:$B,$B$1&amp;"-"&amp;TEXT(12,"00")&amp;"*",수납!$E:$E,""))</f>
        <v/>
      </c>
      <c r="O89">
        <f>IF(원생!$I87="","",원생!$I87)</f>
        <v/>
      </c>
      <c r="P89">
        <f>IF($A89="","",IF(AND($B89&gt;0,C89&lt;$B89,DATE($B$1,1,1)&lt;=TODAY(),OR($O89="",$O89&gt;=DATE($B$1,1,1)),OR(COUNTIF($C89:C89,"&gt;0")&gt;0,DATE($B$1,1,1)=DATE(YEAR(TODAY()),MONTH(TODAY()),1))),1,0))</f>
        <v/>
      </c>
      <c r="Q89">
        <f>IF($A89="","",IF(AND($B89&gt;0,D89&lt;$B89,DATE($B$1,2,1)&lt;=TODAY(),OR($O89="",$O89&gt;=DATE($B$1,2,1)),OR(COUNTIF($C89:D89,"&gt;0")&gt;0,DATE($B$1,2,1)=DATE(YEAR(TODAY()),MONTH(TODAY()),1))),1,0))</f>
        <v/>
      </c>
      <c r="R89">
        <f>IF($A89="","",IF(AND($B89&gt;0,E89&lt;$B89,DATE($B$1,3,1)&lt;=TODAY(),OR($O89="",$O89&gt;=DATE($B$1,3,1)),OR(COUNTIF($C89:E89,"&gt;0")&gt;0,DATE($B$1,3,1)=DATE(YEAR(TODAY()),MONTH(TODAY()),1))),1,0))</f>
        <v/>
      </c>
      <c r="S89">
        <f>IF($A89="","",IF(AND($B89&gt;0,F89&lt;$B89,DATE($B$1,4,1)&lt;=TODAY(),OR($O89="",$O89&gt;=DATE($B$1,4,1)),OR(COUNTIF($C89:F89,"&gt;0")&gt;0,DATE($B$1,4,1)=DATE(YEAR(TODAY()),MONTH(TODAY()),1))),1,0))</f>
        <v/>
      </c>
      <c r="T89">
        <f>IF($A89="","",IF(AND($B89&gt;0,G89&lt;$B89,DATE($B$1,5,1)&lt;=TODAY(),OR($O89="",$O89&gt;=DATE($B$1,5,1)),OR(COUNTIF($C89:G89,"&gt;0")&gt;0,DATE($B$1,5,1)=DATE(YEAR(TODAY()),MONTH(TODAY()),1))),1,0))</f>
        <v/>
      </c>
      <c r="U89">
        <f>IF($A89="","",IF(AND($B89&gt;0,H89&lt;$B89,DATE($B$1,6,1)&lt;=TODAY(),OR($O89="",$O89&gt;=DATE($B$1,6,1)),OR(COUNTIF($C89:H89,"&gt;0")&gt;0,DATE($B$1,6,1)=DATE(YEAR(TODAY()),MONTH(TODAY()),1))),1,0))</f>
        <v/>
      </c>
      <c r="V89">
        <f>IF($A89="","",IF(AND($B89&gt;0,I89&lt;$B89,DATE($B$1,7,1)&lt;=TODAY(),OR($O89="",$O89&gt;=DATE($B$1,7,1)),OR(COUNTIF($C89:I89,"&gt;0")&gt;0,DATE($B$1,7,1)=DATE(YEAR(TODAY()),MONTH(TODAY()),1))),1,0))</f>
        <v/>
      </c>
      <c r="W89">
        <f>IF($A89="","",IF(AND($B89&gt;0,J89&lt;$B89,DATE($B$1,8,1)&lt;=TODAY(),OR($O89="",$O89&gt;=DATE($B$1,8,1)),OR(COUNTIF($C89:J89,"&gt;0")&gt;0,DATE($B$1,8,1)=DATE(YEAR(TODAY()),MONTH(TODAY()),1))),1,0))</f>
        <v/>
      </c>
      <c r="X89">
        <f>IF($A89="","",IF(AND($B89&gt;0,K89&lt;$B89,DATE($B$1,9,1)&lt;=TODAY(),OR($O89="",$O89&gt;=DATE($B$1,9,1)),OR(COUNTIF($C89:K89,"&gt;0")&gt;0,DATE($B$1,9,1)=DATE(YEAR(TODAY()),MONTH(TODAY()),1))),1,0))</f>
        <v/>
      </c>
      <c r="Y89">
        <f>IF($A89="","",IF(AND($B89&gt;0,L89&lt;$B89,DATE($B$1,10,1)&lt;=TODAY(),OR($O89="",$O89&gt;=DATE($B$1,10,1)),OR(COUNTIF($C89:L89,"&gt;0")&gt;0,DATE($B$1,10,1)=DATE(YEAR(TODAY()),MONTH(TODAY()),1))),1,0))</f>
        <v/>
      </c>
      <c r="Z89">
        <f>IF($A89="","",IF(AND($B89&gt;0,M89&lt;$B89,DATE($B$1,11,1)&lt;=TODAY(),OR($O89="",$O89&gt;=DATE($B$1,11,1)),OR(COUNTIF($C89:M89,"&gt;0")&gt;0,DATE($B$1,11,1)=DATE(YEAR(TODAY()),MONTH(TODAY()),1))),1,0))</f>
        <v/>
      </c>
      <c r="AA89">
        <f>IF($A89="","",IF(AND($B89&gt;0,N89&lt;$B89,DATE($B$1,12,1)&lt;=TODAY(),OR($O89="",$O89&gt;=DATE($B$1,12,1)),OR(COUNTIF($C89:N89,"&gt;0")&gt;0,DATE($B$1,12,1)=DATE(YEAR(TODAY()),MONTH(TODAY()),1))),1,0))</f>
        <v/>
      </c>
    </row>
    <row r="90">
      <c r="A90" s="13">
        <f>IF(원생!$A88="","",원생!$A88&amp;IF(원생!$G88="",""," ("&amp;원생!$G88&amp;")"))</f>
        <v/>
      </c>
      <c r="B90" s="8">
        <f>IF(원생!$A88="","",원생!$F88)</f>
        <v/>
      </c>
      <c r="C90" s="14">
        <f>IF(원생!$A88="","",SUMIFS(수납!$F:$F,수납!$C:$C,원생!$A88,수납!$D:$D,IF(원생!$G88="","",원생!$G88),수납!$B:$B,$B$1&amp;"-"&amp;TEXT(1,"00")&amp;"*",수납!$E:$E,"수강료")+SUMIFS(수납!$F:$F,수납!$C:$C,원생!$A88,수납!$D:$D,IF(원생!$G88="","",원생!$G88),수납!$B:$B,$B$1&amp;"-"&amp;TEXT(1,"00")&amp;"*",수납!$E:$E,""))</f>
        <v/>
      </c>
      <c r="D90" s="14">
        <f>IF(원생!$A88="","",SUMIFS(수납!$F:$F,수납!$C:$C,원생!$A88,수납!$D:$D,IF(원생!$G88="","",원생!$G88),수납!$B:$B,$B$1&amp;"-"&amp;TEXT(2,"00")&amp;"*",수납!$E:$E,"수강료")+SUMIFS(수납!$F:$F,수납!$C:$C,원생!$A88,수납!$D:$D,IF(원생!$G88="","",원생!$G88),수납!$B:$B,$B$1&amp;"-"&amp;TEXT(2,"00")&amp;"*",수납!$E:$E,""))</f>
        <v/>
      </c>
      <c r="E90" s="14">
        <f>IF(원생!$A88="","",SUMIFS(수납!$F:$F,수납!$C:$C,원생!$A88,수납!$D:$D,IF(원생!$G88="","",원생!$G88),수납!$B:$B,$B$1&amp;"-"&amp;TEXT(3,"00")&amp;"*",수납!$E:$E,"수강료")+SUMIFS(수납!$F:$F,수납!$C:$C,원생!$A88,수납!$D:$D,IF(원생!$G88="","",원생!$G88),수납!$B:$B,$B$1&amp;"-"&amp;TEXT(3,"00")&amp;"*",수납!$E:$E,""))</f>
        <v/>
      </c>
      <c r="F90" s="14">
        <f>IF(원생!$A88="","",SUMIFS(수납!$F:$F,수납!$C:$C,원생!$A88,수납!$D:$D,IF(원생!$G88="","",원생!$G88),수납!$B:$B,$B$1&amp;"-"&amp;TEXT(4,"00")&amp;"*",수납!$E:$E,"수강료")+SUMIFS(수납!$F:$F,수납!$C:$C,원생!$A88,수납!$D:$D,IF(원생!$G88="","",원생!$G88),수납!$B:$B,$B$1&amp;"-"&amp;TEXT(4,"00")&amp;"*",수납!$E:$E,""))</f>
        <v/>
      </c>
      <c r="G90" s="14">
        <f>IF(원생!$A88="","",SUMIFS(수납!$F:$F,수납!$C:$C,원생!$A88,수납!$D:$D,IF(원생!$G88="","",원생!$G88),수납!$B:$B,$B$1&amp;"-"&amp;TEXT(5,"00")&amp;"*",수납!$E:$E,"수강료")+SUMIFS(수납!$F:$F,수납!$C:$C,원생!$A88,수납!$D:$D,IF(원생!$G88="","",원생!$G88),수납!$B:$B,$B$1&amp;"-"&amp;TEXT(5,"00")&amp;"*",수납!$E:$E,""))</f>
        <v/>
      </c>
      <c r="H90" s="14">
        <f>IF(원생!$A88="","",SUMIFS(수납!$F:$F,수납!$C:$C,원생!$A88,수납!$D:$D,IF(원생!$G88="","",원생!$G88),수납!$B:$B,$B$1&amp;"-"&amp;TEXT(6,"00")&amp;"*",수납!$E:$E,"수강료")+SUMIFS(수납!$F:$F,수납!$C:$C,원생!$A88,수납!$D:$D,IF(원생!$G88="","",원생!$G88),수납!$B:$B,$B$1&amp;"-"&amp;TEXT(6,"00")&amp;"*",수납!$E:$E,""))</f>
        <v/>
      </c>
      <c r="I90" s="14">
        <f>IF(원생!$A88="","",SUMIFS(수납!$F:$F,수납!$C:$C,원생!$A88,수납!$D:$D,IF(원생!$G88="","",원생!$G88),수납!$B:$B,$B$1&amp;"-"&amp;TEXT(7,"00")&amp;"*",수납!$E:$E,"수강료")+SUMIFS(수납!$F:$F,수납!$C:$C,원생!$A88,수납!$D:$D,IF(원생!$G88="","",원생!$G88),수납!$B:$B,$B$1&amp;"-"&amp;TEXT(7,"00")&amp;"*",수납!$E:$E,""))</f>
        <v/>
      </c>
      <c r="J90" s="14">
        <f>IF(원생!$A88="","",SUMIFS(수납!$F:$F,수납!$C:$C,원생!$A88,수납!$D:$D,IF(원생!$G88="","",원생!$G88),수납!$B:$B,$B$1&amp;"-"&amp;TEXT(8,"00")&amp;"*",수납!$E:$E,"수강료")+SUMIFS(수납!$F:$F,수납!$C:$C,원생!$A88,수납!$D:$D,IF(원생!$G88="","",원생!$G88),수납!$B:$B,$B$1&amp;"-"&amp;TEXT(8,"00")&amp;"*",수납!$E:$E,""))</f>
        <v/>
      </c>
      <c r="K90" s="14">
        <f>IF(원생!$A88="","",SUMIFS(수납!$F:$F,수납!$C:$C,원생!$A88,수납!$D:$D,IF(원생!$G88="","",원생!$G88),수납!$B:$B,$B$1&amp;"-"&amp;TEXT(9,"00")&amp;"*",수납!$E:$E,"수강료")+SUMIFS(수납!$F:$F,수납!$C:$C,원생!$A88,수납!$D:$D,IF(원생!$G88="","",원생!$G88),수납!$B:$B,$B$1&amp;"-"&amp;TEXT(9,"00")&amp;"*",수납!$E:$E,""))</f>
        <v/>
      </c>
      <c r="L90" s="14">
        <f>IF(원생!$A88="","",SUMIFS(수납!$F:$F,수납!$C:$C,원생!$A88,수납!$D:$D,IF(원생!$G88="","",원생!$G88),수납!$B:$B,$B$1&amp;"-"&amp;TEXT(10,"00")&amp;"*",수납!$E:$E,"수강료")+SUMIFS(수납!$F:$F,수납!$C:$C,원생!$A88,수납!$D:$D,IF(원생!$G88="","",원생!$G88),수납!$B:$B,$B$1&amp;"-"&amp;TEXT(10,"00")&amp;"*",수납!$E:$E,""))</f>
        <v/>
      </c>
      <c r="M90" s="14">
        <f>IF(원생!$A88="","",SUMIFS(수납!$F:$F,수납!$C:$C,원생!$A88,수납!$D:$D,IF(원생!$G88="","",원생!$G88),수납!$B:$B,$B$1&amp;"-"&amp;TEXT(11,"00")&amp;"*",수납!$E:$E,"수강료")+SUMIFS(수납!$F:$F,수납!$C:$C,원생!$A88,수납!$D:$D,IF(원생!$G88="","",원생!$G88),수납!$B:$B,$B$1&amp;"-"&amp;TEXT(11,"00")&amp;"*",수납!$E:$E,""))</f>
        <v/>
      </c>
      <c r="N90" s="14">
        <f>IF(원생!$A88="","",SUMIFS(수납!$F:$F,수납!$C:$C,원생!$A88,수납!$D:$D,IF(원생!$G88="","",원생!$G88),수납!$B:$B,$B$1&amp;"-"&amp;TEXT(12,"00")&amp;"*",수납!$E:$E,"수강료")+SUMIFS(수납!$F:$F,수납!$C:$C,원생!$A88,수납!$D:$D,IF(원생!$G88="","",원생!$G88),수납!$B:$B,$B$1&amp;"-"&amp;TEXT(12,"00")&amp;"*",수납!$E:$E,""))</f>
        <v/>
      </c>
      <c r="O90">
        <f>IF(원생!$I88="","",원생!$I88)</f>
        <v/>
      </c>
      <c r="P90">
        <f>IF($A90="","",IF(AND($B90&gt;0,C90&lt;$B90,DATE($B$1,1,1)&lt;=TODAY(),OR($O90="",$O90&gt;=DATE($B$1,1,1)),OR(COUNTIF($C90:C90,"&gt;0")&gt;0,DATE($B$1,1,1)=DATE(YEAR(TODAY()),MONTH(TODAY()),1))),1,0))</f>
        <v/>
      </c>
      <c r="Q90">
        <f>IF($A90="","",IF(AND($B90&gt;0,D90&lt;$B90,DATE($B$1,2,1)&lt;=TODAY(),OR($O90="",$O90&gt;=DATE($B$1,2,1)),OR(COUNTIF($C90:D90,"&gt;0")&gt;0,DATE($B$1,2,1)=DATE(YEAR(TODAY()),MONTH(TODAY()),1))),1,0))</f>
        <v/>
      </c>
      <c r="R90">
        <f>IF($A90="","",IF(AND($B90&gt;0,E90&lt;$B90,DATE($B$1,3,1)&lt;=TODAY(),OR($O90="",$O90&gt;=DATE($B$1,3,1)),OR(COUNTIF($C90:E90,"&gt;0")&gt;0,DATE($B$1,3,1)=DATE(YEAR(TODAY()),MONTH(TODAY()),1))),1,0))</f>
        <v/>
      </c>
      <c r="S90">
        <f>IF($A90="","",IF(AND($B90&gt;0,F90&lt;$B90,DATE($B$1,4,1)&lt;=TODAY(),OR($O90="",$O90&gt;=DATE($B$1,4,1)),OR(COUNTIF($C90:F90,"&gt;0")&gt;0,DATE($B$1,4,1)=DATE(YEAR(TODAY()),MONTH(TODAY()),1))),1,0))</f>
        <v/>
      </c>
      <c r="T90">
        <f>IF($A90="","",IF(AND($B90&gt;0,G90&lt;$B90,DATE($B$1,5,1)&lt;=TODAY(),OR($O90="",$O90&gt;=DATE($B$1,5,1)),OR(COUNTIF($C90:G90,"&gt;0")&gt;0,DATE($B$1,5,1)=DATE(YEAR(TODAY()),MONTH(TODAY()),1))),1,0))</f>
        <v/>
      </c>
      <c r="U90">
        <f>IF($A90="","",IF(AND($B90&gt;0,H90&lt;$B90,DATE($B$1,6,1)&lt;=TODAY(),OR($O90="",$O90&gt;=DATE($B$1,6,1)),OR(COUNTIF($C90:H90,"&gt;0")&gt;0,DATE($B$1,6,1)=DATE(YEAR(TODAY()),MONTH(TODAY()),1))),1,0))</f>
        <v/>
      </c>
      <c r="V90">
        <f>IF($A90="","",IF(AND($B90&gt;0,I90&lt;$B90,DATE($B$1,7,1)&lt;=TODAY(),OR($O90="",$O90&gt;=DATE($B$1,7,1)),OR(COUNTIF($C90:I90,"&gt;0")&gt;0,DATE($B$1,7,1)=DATE(YEAR(TODAY()),MONTH(TODAY()),1))),1,0))</f>
        <v/>
      </c>
      <c r="W90">
        <f>IF($A90="","",IF(AND($B90&gt;0,J90&lt;$B90,DATE($B$1,8,1)&lt;=TODAY(),OR($O90="",$O90&gt;=DATE($B$1,8,1)),OR(COUNTIF($C90:J90,"&gt;0")&gt;0,DATE($B$1,8,1)=DATE(YEAR(TODAY()),MONTH(TODAY()),1))),1,0))</f>
        <v/>
      </c>
      <c r="X90">
        <f>IF($A90="","",IF(AND($B90&gt;0,K90&lt;$B90,DATE($B$1,9,1)&lt;=TODAY(),OR($O90="",$O90&gt;=DATE($B$1,9,1)),OR(COUNTIF($C90:K90,"&gt;0")&gt;0,DATE($B$1,9,1)=DATE(YEAR(TODAY()),MONTH(TODAY()),1))),1,0))</f>
        <v/>
      </c>
      <c r="Y90">
        <f>IF($A90="","",IF(AND($B90&gt;0,L90&lt;$B90,DATE($B$1,10,1)&lt;=TODAY(),OR($O90="",$O90&gt;=DATE($B$1,10,1)),OR(COUNTIF($C90:L90,"&gt;0")&gt;0,DATE($B$1,10,1)=DATE(YEAR(TODAY()),MONTH(TODAY()),1))),1,0))</f>
        <v/>
      </c>
      <c r="Z90">
        <f>IF($A90="","",IF(AND($B90&gt;0,M90&lt;$B90,DATE($B$1,11,1)&lt;=TODAY(),OR($O90="",$O90&gt;=DATE($B$1,11,1)),OR(COUNTIF($C90:M90,"&gt;0")&gt;0,DATE($B$1,11,1)=DATE(YEAR(TODAY()),MONTH(TODAY()),1))),1,0))</f>
        <v/>
      </c>
      <c r="AA90">
        <f>IF($A90="","",IF(AND($B90&gt;0,N90&lt;$B90,DATE($B$1,12,1)&lt;=TODAY(),OR($O90="",$O90&gt;=DATE($B$1,12,1)),OR(COUNTIF($C90:N90,"&gt;0")&gt;0,DATE($B$1,12,1)=DATE(YEAR(TODAY()),MONTH(TODAY()),1))),1,0))</f>
        <v/>
      </c>
    </row>
    <row r="91">
      <c r="A91" s="13">
        <f>IF(원생!$A89="","",원생!$A89&amp;IF(원생!$G89="",""," ("&amp;원생!$G89&amp;")"))</f>
        <v/>
      </c>
      <c r="B91" s="8">
        <f>IF(원생!$A89="","",원생!$F89)</f>
        <v/>
      </c>
      <c r="C91" s="14">
        <f>IF(원생!$A89="","",SUMIFS(수납!$F:$F,수납!$C:$C,원생!$A89,수납!$D:$D,IF(원생!$G89="","",원생!$G89),수납!$B:$B,$B$1&amp;"-"&amp;TEXT(1,"00")&amp;"*",수납!$E:$E,"수강료")+SUMIFS(수납!$F:$F,수납!$C:$C,원생!$A89,수납!$D:$D,IF(원생!$G89="","",원생!$G89),수납!$B:$B,$B$1&amp;"-"&amp;TEXT(1,"00")&amp;"*",수납!$E:$E,""))</f>
        <v/>
      </c>
      <c r="D91" s="14">
        <f>IF(원생!$A89="","",SUMIFS(수납!$F:$F,수납!$C:$C,원생!$A89,수납!$D:$D,IF(원생!$G89="","",원생!$G89),수납!$B:$B,$B$1&amp;"-"&amp;TEXT(2,"00")&amp;"*",수납!$E:$E,"수강료")+SUMIFS(수납!$F:$F,수납!$C:$C,원생!$A89,수납!$D:$D,IF(원생!$G89="","",원생!$G89),수납!$B:$B,$B$1&amp;"-"&amp;TEXT(2,"00")&amp;"*",수납!$E:$E,""))</f>
        <v/>
      </c>
      <c r="E91" s="14">
        <f>IF(원생!$A89="","",SUMIFS(수납!$F:$F,수납!$C:$C,원생!$A89,수납!$D:$D,IF(원생!$G89="","",원생!$G89),수납!$B:$B,$B$1&amp;"-"&amp;TEXT(3,"00")&amp;"*",수납!$E:$E,"수강료")+SUMIFS(수납!$F:$F,수납!$C:$C,원생!$A89,수납!$D:$D,IF(원생!$G89="","",원생!$G89),수납!$B:$B,$B$1&amp;"-"&amp;TEXT(3,"00")&amp;"*",수납!$E:$E,""))</f>
        <v/>
      </c>
      <c r="F91" s="14">
        <f>IF(원생!$A89="","",SUMIFS(수납!$F:$F,수납!$C:$C,원생!$A89,수납!$D:$D,IF(원생!$G89="","",원생!$G89),수납!$B:$B,$B$1&amp;"-"&amp;TEXT(4,"00")&amp;"*",수납!$E:$E,"수강료")+SUMIFS(수납!$F:$F,수납!$C:$C,원생!$A89,수납!$D:$D,IF(원생!$G89="","",원생!$G89),수납!$B:$B,$B$1&amp;"-"&amp;TEXT(4,"00")&amp;"*",수납!$E:$E,""))</f>
        <v/>
      </c>
      <c r="G91" s="14">
        <f>IF(원생!$A89="","",SUMIFS(수납!$F:$F,수납!$C:$C,원생!$A89,수납!$D:$D,IF(원생!$G89="","",원생!$G89),수납!$B:$B,$B$1&amp;"-"&amp;TEXT(5,"00")&amp;"*",수납!$E:$E,"수강료")+SUMIFS(수납!$F:$F,수납!$C:$C,원생!$A89,수납!$D:$D,IF(원생!$G89="","",원생!$G89),수납!$B:$B,$B$1&amp;"-"&amp;TEXT(5,"00")&amp;"*",수납!$E:$E,""))</f>
        <v/>
      </c>
      <c r="H91" s="14">
        <f>IF(원생!$A89="","",SUMIFS(수납!$F:$F,수납!$C:$C,원생!$A89,수납!$D:$D,IF(원생!$G89="","",원생!$G89),수납!$B:$B,$B$1&amp;"-"&amp;TEXT(6,"00")&amp;"*",수납!$E:$E,"수강료")+SUMIFS(수납!$F:$F,수납!$C:$C,원생!$A89,수납!$D:$D,IF(원생!$G89="","",원생!$G89),수납!$B:$B,$B$1&amp;"-"&amp;TEXT(6,"00")&amp;"*",수납!$E:$E,""))</f>
        <v/>
      </c>
      <c r="I91" s="14">
        <f>IF(원생!$A89="","",SUMIFS(수납!$F:$F,수납!$C:$C,원생!$A89,수납!$D:$D,IF(원생!$G89="","",원생!$G89),수납!$B:$B,$B$1&amp;"-"&amp;TEXT(7,"00")&amp;"*",수납!$E:$E,"수강료")+SUMIFS(수납!$F:$F,수납!$C:$C,원생!$A89,수납!$D:$D,IF(원생!$G89="","",원생!$G89),수납!$B:$B,$B$1&amp;"-"&amp;TEXT(7,"00")&amp;"*",수납!$E:$E,""))</f>
        <v/>
      </c>
      <c r="J91" s="14">
        <f>IF(원생!$A89="","",SUMIFS(수납!$F:$F,수납!$C:$C,원생!$A89,수납!$D:$D,IF(원생!$G89="","",원생!$G89),수납!$B:$B,$B$1&amp;"-"&amp;TEXT(8,"00")&amp;"*",수납!$E:$E,"수강료")+SUMIFS(수납!$F:$F,수납!$C:$C,원생!$A89,수납!$D:$D,IF(원생!$G89="","",원생!$G89),수납!$B:$B,$B$1&amp;"-"&amp;TEXT(8,"00")&amp;"*",수납!$E:$E,""))</f>
        <v/>
      </c>
      <c r="K91" s="14">
        <f>IF(원생!$A89="","",SUMIFS(수납!$F:$F,수납!$C:$C,원생!$A89,수납!$D:$D,IF(원생!$G89="","",원생!$G89),수납!$B:$B,$B$1&amp;"-"&amp;TEXT(9,"00")&amp;"*",수납!$E:$E,"수강료")+SUMIFS(수납!$F:$F,수납!$C:$C,원생!$A89,수납!$D:$D,IF(원생!$G89="","",원생!$G89),수납!$B:$B,$B$1&amp;"-"&amp;TEXT(9,"00")&amp;"*",수납!$E:$E,""))</f>
        <v/>
      </c>
      <c r="L91" s="14">
        <f>IF(원생!$A89="","",SUMIFS(수납!$F:$F,수납!$C:$C,원생!$A89,수납!$D:$D,IF(원생!$G89="","",원생!$G89),수납!$B:$B,$B$1&amp;"-"&amp;TEXT(10,"00")&amp;"*",수납!$E:$E,"수강료")+SUMIFS(수납!$F:$F,수납!$C:$C,원생!$A89,수납!$D:$D,IF(원생!$G89="","",원생!$G89),수납!$B:$B,$B$1&amp;"-"&amp;TEXT(10,"00")&amp;"*",수납!$E:$E,""))</f>
        <v/>
      </c>
      <c r="M91" s="14">
        <f>IF(원생!$A89="","",SUMIFS(수납!$F:$F,수납!$C:$C,원생!$A89,수납!$D:$D,IF(원생!$G89="","",원생!$G89),수납!$B:$B,$B$1&amp;"-"&amp;TEXT(11,"00")&amp;"*",수납!$E:$E,"수강료")+SUMIFS(수납!$F:$F,수납!$C:$C,원생!$A89,수납!$D:$D,IF(원생!$G89="","",원생!$G89),수납!$B:$B,$B$1&amp;"-"&amp;TEXT(11,"00")&amp;"*",수납!$E:$E,""))</f>
        <v/>
      </c>
      <c r="N91" s="14">
        <f>IF(원생!$A89="","",SUMIFS(수납!$F:$F,수납!$C:$C,원생!$A89,수납!$D:$D,IF(원생!$G89="","",원생!$G89),수납!$B:$B,$B$1&amp;"-"&amp;TEXT(12,"00")&amp;"*",수납!$E:$E,"수강료")+SUMIFS(수납!$F:$F,수납!$C:$C,원생!$A89,수납!$D:$D,IF(원생!$G89="","",원생!$G89),수납!$B:$B,$B$1&amp;"-"&amp;TEXT(12,"00")&amp;"*",수납!$E:$E,""))</f>
        <v/>
      </c>
      <c r="O91">
        <f>IF(원생!$I89="","",원생!$I89)</f>
        <v/>
      </c>
      <c r="P91">
        <f>IF($A91="","",IF(AND($B91&gt;0,C91&lt;$B91,DATE($B$1,1,1)&lt;=TODAY(),OR($O91="",$O91&gt;=DATE($B$1,1,1)),OR(COUNTIF($C91:C91,"&gt;0")&gt;0,DATE($B$1,1,1)=DATE(YEAR(TODAY()),MONTH(TODAY()),1))),1,0))</f>
        <v/>
      </c>
      <c r="Q91">
        <f>IF($A91="","",IF(AND($B91&gt;0,D91&lt;$B91,DATE($B$1,2,1)&lt;=TODAY(),OR($O91="",$O91&gt;=DATE($B$1,2,1)),OR(COUNTIF($C91:D91,"&gt;0")&gt;0,DATE($B$1,2,1)=DATE(YEAR(TODAY()),MONTH(TODAY()),1))),1,0))</f>
        <v/>
      </c>
      <c r="R91">
        <f>IF($A91="","",IF(AND($B91&gt;0,E91&lt;$B91,DATE($B$1,3,1)&lt;=TODAY(),OR($O91="",$O91&gt;=DATE($B$1,3,1)),OR(COUNTIF($C91:E91,"&gt;0")&gt;0,DATE($B$1,3,1)=DATE(YEAR(TODAY()),MONTH(TODAY()),1))),1,0))</f>
        <v/>
      </c>
      <c r="S91">
        <f>IF($A91="","",IF(AND($B91&gt;0,F91&lt;$B91,DATE($B$1,4,1)&lt;=TODAY(),OR($O91="",$O91&gt;=DATE($B$1,4,1)),OR(COUNTIF($C91:F91,"&gt;0")&gt;0,DATE($B$1,4,1)=DATE(YEAR(TODAY()),MONTH(TODAY()),1))),1,0))</f>
        <v/>
      </c>
      <c r="T91">
        <f>IF($A91="","",IF(AND($B91&gt;0,G91&lt;$B91,DATE($B$1,5,1)&lt;=TODAY(),OR($O91="",$O91&gt;=DATE($B$1,5,1)),OR(COUNTIF($C91:G91,"&gt;0")&gt;0,DATE($B$1,5,1)=DATE(YEAR(TODAY()),MONTH(TODAY()),1))),1,0))</f>
        <v/>
      </c>
      <c r="U91">
        <f>IF($A91="","",IF(AND($B91&gt;0,H91&lt;$B91,DATE($B$1,6,1)&lt;=TODAY(),OR($O91="",$O91&gt;=DATE($B$1,6,1)),OR(COUNTIF($C91:H91,"&gt;0")&gt;0,DATE($B$1,6,1)=DATE(YEAR(TODAY()),MONTH(TODAY()),1))),1,0))</f>
        <v/>
      </c>
      <c r="V91">
        <f>IF($A91="","",IF(AND($B91&gt;0,I91&lt;$B91,DATE($B$1,7,1)&lt;=TODAY(),OR($O91="",$O91&gt;=DATE($B$1,7,1)),OR(COUNTIF($C91:I91,"&gt;0")&gt;0,DATE($B$1,7,1)=DATE(YEAR(TODAY()),MONTH(TODAY()),1))),1,0))</f>
        <v/>
      </c>
      <c r="W91">
        <f>IF($A91="","",IF(AND($B91&gt;0,J91&lt;$B91,DATE($B$1,8,1)&lt;=TODAY(),OR($O91="",$O91&gt;=DATE($B$1,8,1)),OR(COUNTIF($C91:J91,"&gt;0")&gt;0,DATE($B$1,8,1)=DATE(YEAR(TODAY()),MONTH(TODAY()),1))),1,0))</f>
        <v/>
      </c>
      <c r="X91">
        <f>IF($A91="","",IF(AND($B91&gt;0,K91&lt;$B91,DATE($B$1,9,1)&lt;=TODAY(),OR($O91="",$O91&gt;=DATE($B$1,9,1)),OR(COUNTIF($C91:K91,"&gt;0")&gt;0,DATE($B$1,9,1)=DATE(YEAR(TODAY()),MONTH(TODAY()),1))),1,0))</f>
        <v/>
      </c>
      <c r="Y91">
        <f>IF($A91="","",IF(AND($B91&gt;0,L91&lt;$B91,DATE($B$1,10,1)&lt;=TODAY(),OR($O91="",$O91&gt;=DATE($B$1,10,1)),OR(COUNTIF($C91:L91,"&gt;0")&gt;0,DATE($B$1,10,1)=DATE(YEAR(TODAY()),MONTH(TODAY()),1))),1,0))</f>
        <v/>
      </c>
      <c r="Z91">
        <f>IF($A91="","",IF(AND($B91&gt;0,M91&lt;$B91,DATE($B$1,11,1)&lt;=TODAY(),OR($O91="",$O91&gt;=DATE($B$1,11,1)),OR(COUNTIF($C91:M91,"&gt;0")&gt;0,DATE($B$1,11,1)=DATE(YEAR(TODAY()),MONTH(TODAY()),1))),1,0))</f>
        <v/>
      </c>
      <c r="AA91">
        <f>IF($A91="","",IF(AND($B91&gt;0,N91&lt;$B91,DATE($B$1,12,1)&lt;=TODAY(),OR($O91="",$O91&gt;=DATE($B$1,12,1)),OR(COUNTIF($C91:N91,"&gt;0")&gt;0,DATE($B$1,12,1)=DATE(YEAR(TODAY()),MONTH(TODAY()),1))),1,0))</f>
        <v/>
      </c>
    </row>
    <row r="92">
      <c r="A92" s="13">
        <f>IF(원생!$A90="","",원생!$A90&amp;IF(원생!$G90="",""," ("&amp;원생!$G90&amp;")"))</f>
        <v/>
      </c>
      <c r="B92" s="8">
        <f>IF(원생!$A90="","",원생!$F90)</f>
        <v/>
      </c>
      <c r="C92" s="14">
        <f>IF(원생!$A90="","",SUMIFS(수납!$F:$F,수납!$C:$C,원생!$A90,수납!$D:$D,IF(원생!$G90="","",원생!$G90),수납!$B:$B,$B$1&amp;"-"&amp;TEXT(1,"00")&amp;"*",수납!$E:$E,"수강료")+SUMIFS(수납!$F:$F,수납!$C:$C,원생!$A90,수납!$D:$D,IF(원생!$G90="","",원생!$G90),수납!$B:$B,$B$1&amp;"-"&amp;TEXT(1,"00")&amp;"*",수납!$E:$E,""))</f>
        <v/>
      </c>
      <c r="D92" s="14">
        <f>IF(원생!$A90="","",SUMIFS(수납!$F:$F,수납!$C:$C,원생!$A90,수납!$D:$D,IF(원생!$G90="","",원생!$G90),수납!$B:$B,$B$1&amp;"-"&amp;TEXT(2,"00")&amp;"*",수납!$E:$E,"수강료")+SUMIFS(수납!$F:$F,수납!$C:$C,원생!$A90,수납!$D:$D,IF(원생!$G90="","",원생!$G90),수납!$B:$B,$B$1&amp;"-"&amp;TEXT(2,"00")&amp;"*",수납!$E:$E,""))</f>
        <v/>
      </c>
      <c r="E92" s="14">
        <f>IF(원생!$A90="","",SUMIFS(수납!$F:$F,수납!$C:$C,원생!$A90,수납!$D:$D,IF(원생!$G90="","",원생!$G90),수납!$B:$B,$B$1&amp;"-"&amp;TEXT(3,"00")&amp;"*",수납!$E:$E,"수강료")+SUMIFS(수납!$F:$F,수납!$C:$C,원생!$A90,수납!$D:$D,IF(원생!$G90="","",원생!$G90),수납!$B:$B,$B$1&amp;"-"&amp;TEXT(3,"00")&amp;"*",수납!$E:$E,""))</f>
        <v/>
      </c>
      <c r="F92" s="14">
        <f>IF(원생!$A90="","",SUMIFS(수납!$F:$F,수납!$C:$C,원생!$A90,수납!$D:$D,IF(원생!$G90="","",원생!$G90),수납!$B:$B,$B$1&amp;"-"&amp;TEXT(4,"00")&amp;"*",수납!$E:$E,"수강료")+SUMIFS(수납!$F:$F,수납!$C:$C,원생!$A90,수납!$D:$D,IF(원생!$G90="","",원생!$G90),수납!$B:$B,$B$1&amp;"-"&amp;TEXT(4,"00")&amp;"*",수납!$E:$E,""))</f>
        <v/>
      </c>
      <c r="G92" s="14">
        <f>IF(원생!$A90="","",SUMIFS(수납!$F:$F,수납!$C:$C,원생!$A90,수납!$D:$D,IF(원생!$G90="","",원생!$G90),수납!$B:$B,$B$1&amp;"-"&amp;TEXT(5,"00")&amp;"*",수납!$E:$E,"수강료")+SUMIFS(수납!$F:$F,수납!$C:$C,원생!$A90,수납!$D:$D,IF(원생!$G90="","",원생!$G90),수납!$B:$B,$B$1&amp;"-"&amp;TEXT(5,"00")&amp;"*",수납!$E:$E,""))</f>
        <v/>
      </c>
      <c r="H92" s="14">
        <f>IF(원생!$A90="","",SUMIFS(수납!$F:$F,수납!$C:$C,원생!$A90,수납!$D:$D,IF(원생!$G90="","",원생!$G90),수납!$B:$B,$B$1&amp;"-"&amp;TEXT(6,"00")&amp;"*",수납!$E:$E,"수강료")+SUMIFS(수납!$F:$F,수납!$C:$C,원생!$A90,수납!$D:$D,IF(원생!$G90="","",원생!$G90),수납!$B:$B,$B$1&amp;"-"&amp;TEXT(6,"00")&amp;"*",수납!$E:$E,""))</f>
        <v/>
      </c>
      <c r="I92" s="14">
        <f>IF(원생!$A90="","",SUMIFS(수납!$F:$F,수납!$C:$C,원생!$A90,수납!$D:$D,IF(원생!$G90="","",원생!$G90),수납!$B:$B,$B$1&amp;"-"&amp;TEXT(7,"00")&amp;"*",수납!$E:$E,"수강료")+SUMIFS(수납!$F:$F,수납!$C:$C,원생!$A90,수납!$D:$D,IF(원생!$G90="","",원생!$G90),수납!$B:$B,$B$1&amp;"-"&amp;TEXT(7,"00")&amp;"*",수납!$E:$E,""))</f>
        <v/>
      </c>
      <c r="J92" s="14">
        <f>IF(원생!$A90="","",SUMIFS(수납!$F:$F,수납!$C:$C,원생!$A90,수납!$D:$D,IF(원생!$G90="","",원생!$G90),수납!$B:$B,$B$1&amp;"-"&amp;TEXT(8,"00")&amp;"*",수납!$E:$E,"수강료")+SUMIFS(수납!$F:$F,수납!$C:$C,원생!$A90,수납!$D:$D,IF(원생!$G90="","",원생!$G90),수납!$B:$B,$B$1&amp;"-"&amp;TEXT(8,"00")&amp;"*",수납!$E:$E,""))</f>
        <v/>
      </c>
      <c r="K92" s="14">
        <f>IF(원생!$A90="","",SUMIFS(수납!$F:$F,수납!$C:$C,원생!$A90,수납!$D:$D,IF(원생!$G90="","",원생!$G90),수납!$B:$B,$B$1&amp;"-"&amp;TEXT(9,"00")&amp;"*",수납!$E:$E,"수강료")+SUMIFS(수납!$F:$F,수납!$C:$C,원생!$A90,수납!$D:$D,IF(원생!$G90="","",원생!$G90),수납!$B:$B,$B$1&amp;"-"&amp;TEXT(9,"00")&amp;"*",수납!$E:$E,""))</f>
        <v/>
      </c>
      <c r="L92" s="14">
        <f>IF(원생!$A90="","",SUMIFS(수납!$F:$F,수납!$C:$C,원생!$A90,수납!$D:$D,IF(원생!$G90="","",원생!$G90),수납!$B:$B,$B$1&amp;"-"&amp;TEXT(10,"00")&amp;"*",수납!$E:$E,"수강료")+SUMIFS(수납!$F:$F,수납!$C:$C,원생!$A90,수납!$D:$D,IF(원생!$G90="","",원생!$G90),수납!$B:$B,$B$1&amp;"-"&amp;TEXT(10,"00")&amp;"*",수납!$E:$E,""))</f>
        <v/>
      </c>
      <c r="M92" s="14">
        <f>IF(원생!$A90="","",SUMIFS(수납!$F:$F,수납!$C:$C,원생!$A90,수납!$D:$D,IF(원생!$G90="","",원생!$G90),수납!$B:$B,$B$1&amp;"-"&amp;TEXT(11,"00")&amp;"*",수납!$E:$E,"수강료")+SUMIFS(수납!$F:$F,수납!$C:$C,원생!$A90,수납!$D:$D,IF(원생!$G90="","",원생!$G90),수납!$B:$B,$B$1&amp;"-"&amp;TEXT(11,"00")&amp;"*",수납!$E:$E,""))</f>
        <v/>
      </c>
      <c r="N92" s="14">
        <f>IF(원생!$A90="","",SUMIFS(수납!$F:$F,수납!$C:$C,원생!$A90,수납!$D:$D,IF(원생!$G90="","",원생!$G90),수납!$B:$B,$B$1&amp;"-"&amp;TEXT(12,"00")&amp;"*",수납!$E:$E,"수강료")+SUMIFS(수납!$F:$F,수납!$C:$C,원생!$A90,수납!$D:$D,IF(원생!$G90="","",원생!$G90),수납!$B:$B,$B$1&amp;"-"&amp;TEXT(12,"00")&amp;"*",수납!$E:$E,""))</f>
        <v/>
      </c>
      <c r="O92">
        <f>IF(원생!$I90="","",원생!$I90)</f>
        <v/>
      </c>
      <c r="P92">
        <f>IF($A92="","",IF(AND($B92&gt;0,C92&lt;$B92,DATE($B$1,1,1)&lt;=TODAY(),OR($O92="",$O92&gt;=DATE($B$1,1,1)),OR(COUNTIF($C92:C92,"&gt;0")&gt;0,DATE($B$1,1,1)=DATE(YEAR(TODAY()),MONTH(TODAY()),1))),1,0))</f>
        <v/>
      </c>
      <c r="Q92">
        <f>IF($A92="","",IF(AND($B92&gt;0,D92&lt;$B92,DATE($B$1,2,1)&lt;=TODAY(),OR($O92="",$O92&gt;=DATE($B$1,2,1)),OR(COUNTIF($C92:D92,"&gt;0")&gt;0,DATE($B$1,2,1)=DATE(YEAR(TODAY()),MONTH(TODAY()),1))),1,0))</f>
        <v/>
      </c>
      <c r="R92">
        <f>IF($A92="","",IF(AND($B92&gt;0,E92&lt;$B92,DATE($B$1,3,1)&lt;=TODAY(),OR($O92="",$O92&gt;=DATE($B$1,3,1)),OR(COUNTIF($C92:E92,"&gt;0")&gt;0,DATE($B$1,3,1)=DATE(YEAR(TODAY()),MONTH(TODAY()),1))),1,0))</f>
        <v/>
      </c>
      <c r="S92">
        <f>IF($A92="","",IF(AND($B92&gt;0,F92&lt;$B92,DATE($B$1,4,1)&lt;=TODAY(),OR($O92="",$O92&gt;=DATE($B$1,4,1)),OR(COUNTIF($C92:F92,"&gt;0")&gt;0,DATE($B$1,4,1)=DATE(YEAR(TODAY()),MONTH(TODAY()),1))),1,0))</f>
        <v/>
      </c>
      <c r="T92">
        <f>IF($A92="","",IF(AND($B92&gt;0,G92&lt;$B92,DATE($B$1,5,1)&lt;=TODAY(),OR($O92="",$O92&gt;=DATE($B$1,5,1)),OR(COUNTIF($C92:G92,"&gt;0")&gt;0,DATE($B$1,5,1)=DATE(YEAR(TODAY()),MONTH(TODAY()),1))),1,0))</f>
        <v/>
      </c>
      <c r="U92">
        <f>IF($A92="","",IF(AND($B92&gt;0,H92&lt;$B92,DATE($B$1,6,1)&lt;=TODAY(),OR($O92="",$O92&gt;=DATE($B$1,6,1)),OR(COUNTIF($C92:H92,"&gt;0")&gt;0,DATE($B$1,6,1)=DATE(YEAR(TODAY()),MONTH(TODAY()),1))),1,0))</f>
        <v/>
      </c>
      <c r="V92">
        <f>IF($A92="","",IF(AND($B92&gt;0,I92&lt;$B92,DATE($B$1,7,1)&lt;=TODAY(),OR($O92="",$O92&gt;=DATE($B$1,7,1)),OR(COUNTIF($C92:I92,"&gt;0")&gt;0,DATE($B$1,7,1)=DATE(YEAR(TODAY()),MONTH(TODAY()),1))),1,0))</f>
        <v/>
      </c>
      <c r="W92">
        <f>IF($A92="","",IF(AND($B92&gt;0,J92&lt;$B92,DATE($B$1,8,1)&lt;=TODAY(),OR($O92="",$O92&gt;=DATE($B$1,8,1)),OR(COUNTIF($C92:J92,"&gt;0")&gt;0,DATE($B$1,8,1)=DATE(YEAR(TODAY()),MONTH(TODAY()),1))),1,0))</f>
        <v/>
      </c>
      <c r="X92">
        <f>IF($A92="","",IF(AND($B92&gt;0,K92&lt;$B92,DATE($B$1,9,1)&lt;=TODAY(),OR($O92="",$O92&gt;=DATE($B$1,9,1)),OR(COUNTIF($C92:K92,"&gt;0")&gt;0,DATE($B$1,9,1)=DATE(YEAR(TODAY()),MONTH(TODAY()),1))),1,0))</f>
        <v/>
      </c>
      <c r="Y92">
        <f>IF($A92="","",IF(AND($B92&gt;0,L92&lt;$B92,DATE($B$1,10,1)&lt;=TODAY(),OR($O92="",$O92&gt;=DATE($B$1,10,1)),OR(COUNTIF($C92:L92,"&gt;0")&gt;0,DATE($B$1,10,1)=DATE(YEAR(TODAY()),MONTH(TODAY()),1))),1,0))</f>
        <v/>
      </c>
      <c r="Z92">
        <f>IF($A92="","",IF(AND($B92&gt;0,M92&lt;$B92,DATE($B$1,11,1)&lt;=TODAY(),OR($O92="",$O92&gt;=DATE($B$1,11,1)),OR(COUNTIF($C92:M92,"&gt;0")&gt;0,DATE($B$1,11,1)=DATE(YEAR(TODAY()),MONTH(TODAY()),1))),1,0))</f>
        <v/>
      </c>
      <c r="AA92">
        <f>IF($A92="","",IF(AND($B92&gt;0,N92&lt;$B92,DATE($B$1,12,1)&lt;=TODAY(),OR($O92="",$O92&gt;=DATE($B$1,12,1)),OR(COUNTIF($C92:N92,"&gt;0")&gt;0,DATE($B$1,12,1)=DATE(YEAR(TODAY()),MONTH(TODAY()),1))),1,0))</f>
        <v/>
      </c>
    </row>
    <row r="93">
      <c r="A93" s="13">
        <f>IF(원생!$A91="","",원생!$A91&amp;IF(원생!$G91="",""," ("&amp;원생!$G91&amp;")"))</f>
        <v/>
      </c>
      <c r="B93" s="8">
        <f>IF(원생!$A91="","",원생!$F91)</f>
        <v/>
      </c>
      <c r="C93" s="14">
        <f>IF(원생!$A91="","",SUMIFS(수납!$F:$F,수납!$C:$C,원생!$A91,수납!$D:$D,IF(원생!$G91="","",원생!$G91),수납!$B:$B,$B$1&amp;"-"&amp;TEXT(1,"00")&amp;"*",수납!$E:$E,"수강료")+SUMIFS(수납!$F:$F,수납!$C:$C,원생!$A91,수납!$D:$D,IF(원생!$G91="","",원생!$G91),수납!$B:$B,$B$1&amp;"-"&amp;TEXT(1,"00")&amp;"*",수납!$E:$E,""))</f>
        <v/>
      </c>
      <c r="D93" s="14">
        <f>IF(원생!$A91="","",SUMIFS(수납!$F:$F,수납!$C:$C,원생!$A91,수납!$D:$D,IF(원생!$G91="","",원생!$G91),수납!$B:$B,$B$1&amp;"-"&amp;TEXT(2,"00")&amp;"*",수납!$E:$E,"수강료")+SUMIFS(수납!$F:$F,수납!$C:$C,원생!$A91,수납!$D:$D,IF(원생!$G91="","",원생!$G91),수납!$B:$B,$B$1&amp;"-"&amp;TEXT(2,"00")&amp;"*",수납!$E:$E,""))</f>
        <v/>
      </c>
      <c r="E93" s="14">
        <f>IF(원생!$A91="","",SUMIFS(수납!$F:$F,수납!$C:$C,원생!$A91,수납!$D:$D,IF(원생!$G91="","",원생!$G91),수납!$B:$B,$B$1&amp;"-"&amp;TEXT(3,"00")&amp;"*",수납!$E:$E,"수강료")+SUMIFS(수납!$F:$F,수납!$C:$C,원생!$A91,수납!$D:$D,IF(원생!$G91="","",원생!$G91),수납!$B:$B,$B$1&amp;"-"&amp;TEXT(3,"00")&amp;"*",수납!$E:$E,""))</f>
        <v/>
      </c>
      <c r="F93" s="14">
        <f>IF(원생!$A91="","",SUMIFS(수납!$F:$F,수납!$C:$C,원생!$A91,수납!$D:$D,IF(원생!$G91="","",원생!$G91),수납!$B:$B,$B$1&amp;"-"&amp;TEXT(4,"00")&amp;"*",수납!$E:$E,"수강료")+SUMIFS(수납!$F:$F,수납!$C:$C,원생!$A91,수납!$D:$D,IF(원생!$G91="","",원생!$G91),수납!$B:$B,$B$1&amp;"-"&amp;TEXT(4,"00")&amp;"*",수납!$E:$E,""))</f>
        <v/>
      </c>
      <c r="G93" s="14">
        <f>IF(원생!$A91="","",SUMIFS(수납!$F:$F,수납!$C:$C,원생!$A91,수납!$D:$D,IF(원생!$G91="","",원생!$G91),수납!$B:$B,$B$1&amp;"-"&amp;TEXT(5,"00")&amp;"*",수납!$E:$E,"수강료")+SUMIFS(수납!$F:$F,수납!$C:$C,원생!$A91,수납!$D:$D,IF(원생!$G91="","",원생!$G91),수납!$B:$B,$B$1&amp;"-"&amp;TEXT(5,"00")&amp;"*",수납!$E:$E,""))</f>
        <v/>
      </c>
      <c r="H93" s="14">
        <f>IF(원생!$A91="","",SUMIFS(수납!$F:$F,수납!$C:$C,원생!$A91,수납!$D:$D,IF(원생!$G91="","",원생!$G91),수납!$B:$B,$B$1&amp;"-"&amp;TEXT(6,"00")&amp;"*",수납!$E:$E,"수강료")+SUMIFS(수납!$F:$F,수납!$C:$C,원생!$A91,수납!$D:$D,IF(원생!$G91="","",원생!$G91),수납!$B:$B,$B$1&amp;"-"&amp;TEXT(6,"00")&amp;"*",수납!$E:$E,""))</f>
        <v/>
      </c>
      <c r="I93" s="14">
        <f>IF(원생!$A91="","",SUMIFS(수납!$F:$F,수납!$C:$C,원생!$A91,수납!$D:$D,IF(원생!$G91="","",원생!$G91),수납!$B:$B,$B$1&amp;"-"&amp;TEXT(7,"00")&amp;"*",수납!$E:$E,"수강료")+SUMIFS(수납!$F:$F,수납!$C:$C,원생!$A91,수납!$D:$D,IF(원생!$G91="","",원생!$G91),수납!$B:$B,$B$1&amp;"-"&amp;TEXT(7,"00")&amp;"*",수납!$E:$E,""))</f>
        <v/>
      </c>
      <c r="J93" s="14">
        <f>IF(원생!$A91="","",SUMIFS(수납!$F:$F,수납!$C:$C,원생!$A91,수납!$D:$D,IF(원생!$G91="","",원생!$G91),수납!$B:$B,$B$1&amp;"-"&amp;TEXT(8,"00")&amp;"*",수납!$E:$E,"수강료")+SUMIFS(수납!$F:$F,수납!$C:$C,원생!$A91,수납!$D:$D,IF(원생!$G91="","",원생!$G91),수납!$B:$B,$B$1&amp;"-"&amp;TEXT(8,"00")&amp;"*",수납!$E:$E,""))</f>
        <v/>
      </c>
      <c r="K93" s="14">
        <f>IF(원생!$A91="","",SUMIFS(수납!$F:$F,수납!$C:$C,원생!$A91,수납!$D:$D,IF(원생!$G91="","",원생!$G91),수납!$B:$B,$B$1&amp;"-"&amp;TEXT(9,"00")&amp;"*",수납!$E:$E,"수강료")+SUMIFS(수납!$F:$F,수납!$C:$C,원생!$A91,수납!$D:$D,IF(원생!$G91="","",원생!$G91),수납!$B:$B,$B$1&amp;"-"&amp;TEXT(9,"00")&amp;"*",수납!$E:$E,""))</f>
        <v/>
      </c>
      <c r="L93" s="14">
        <f>IF(원생!$A91="","",SUMIFS(수납!$F:$F,수납!$C:$C,원생!$A91,수납!$D:$D,IF(원생!$G91="","",원생!$G91),수납!$B:$B,$B$1&amp;"-"&amp;TEXT(10,"00")&amp;"*",수납!$E:$E,"수강료")+SUMIFS(수납!$F:$F,수납!$C:$C,원생!$A91,수납!$D:$D,IF(원생!$G91="","",원생!$G91),수납!$B:$B,$B$1&amp;"-"&amp;TEXT(10,"00")&amp;"*",수납!$E:$E,""))</f>
        <v/>
      </c>
      <c r="M93" s="14">
        <f>IF(원생!$A91="","",SUMIFS(수납!$F:$F,수납!$C:$C,원생!$A91,수납!$D:$D,IF(원생!$G91="","",원생!$G91),수납!$B:$B,$B$1&amp;"-"&amp;TEXT(11,"00")&amp;"*",수납!$E:$E,"수강료")+SUMIFS(수납!$F:$F,수납!$C:$C,원생!$A91,수납!$D:$D,IF(원생!$G91="","",원생!$G91),수납!$B:$B,$B$1&amp;"-"&amp;TEXT(11,"00")&amp;"*",수납!$E:$E,""))</f>
        <v/>
      </c>
      <c r="N93" s="14">
        <f>IF(원생!$A91="","",SUMIFS(수납!$F:$F,수납!$C:$C,원생!$A91,수납!$D:$D,IF(원생!$G91="","",원생!$G91),수납!$B:$B,$B$1&amp;"-"&amp;TEXT(12,"00")&amp;"*",수납!$E:$E,"수강료")+SUMIFS(수납!$F:$F,수납!$C:$C,원생!$A91,수납!$D:$D,IF(원생!$G91="","",원생!$G91),수납!$B:$B,$B$1&amp;"-"&amp;TEXT(12,"00")&amp;"*",수납!$E:$E,""))</f>
        <v/>
      </c>
      <c r="O93">
        <f>IF(원생!$I91="","",원생!$I91)</f>
        <v/>
      </c>
      <c r="P93">
        <f>IF($A93="","",IF(AND($B93&gt;0,C93&lt;$B93,DATE($B$1,1,1)&lt;=TODAY(),OR($O93="",$O93&gt;=DATE($B$1,1,1)),OR(COUNTIF($C93:C93,"&gt;0")&gt;0,DATE($B$1,1,1)=DATE(YEAR(TODAY()),MONTH(TODAY()),1))),1,0))</f>
        <v/>
      </c>
      <c r="Q93">
        <f>IF($A93="","",IF(AND($B93&gt;0,D93&lt;$B93,DATE($B$1,2,1)&lt;=TODAY(),OR($O93="",$O93&gt;=DATE($B$1,2,1)),OR(COUNTIF($C93:D93,"&gt;0")&gt;0,DATE($B$1,2,1)=DATE(YEAR(TODAY()),MONTH(TODAY()),1))),1,0))</f>
        <v/>
      </c>
      <c r="R93">
        <f>IF($A93="","",IF(AND($B93&gt;0,E93&lt;$B93,DATE($B$1,3,1)&lt;=TODAY(),OR($O93="",$O93&gt;=DATE($B$1,3,1)),OR(COUNTIF($C93:E93,"&gt;0")&gt;0,DATE($B$1,3,1)=DATE(YEAR(TODAY()),MONTH(TODAY()),1))),1,0))</f>
        <v/>
      </c>
      <c r="S93">
        <f>IF($A93="","",IF(AND($B93&gt;0,F93&lt;$B93,DATE($B$1,4,1)&lt;=TODAY(),OR($O93="",$O93&gt;=DATE($B$1,4,1)),OR(COUNTIF($C93:F93,"&gt;0")&gt;0,DATE($B$1,4,1)=DATE(YEAR(TODAY()),MONTH(TODAY()),1))),1,0))</f>
        <v/>
      </c>
      <c r="T93">
        <f>IF($A93="","",IF(AND($B93&gt;0,G93&lt;$B93,DATE($B$1,5,1)&lt;=TODAY(),OR($O93="",$O93&gt;=DATE($B$1,5,1)),OR(COUNTIF($C93:G93,"&gt;0")&gt;0,DATE($B$1,5,1)=DATE(YEAR(TODAY()),MONTH(TODAY()),1))),1,0))</f>
        <v/>
      </c>
      <c r="U93">
        <f>IF($A93="","",IF(AND($B93&gt;0,H93&lt;$B93,DATE($B$1,6,1)&lt;=TODAY(),OR($O93="",$O93&gt;=DATE($B$1,6,1)),OR(COUNTIF($C93:H93,"&gt;0")&gt;0,DATE($B$1,6,1)=DATE(YEAR(TODAY()),MONTH(TODAY()),1))),1,0))</f>
        <v/>
      </c>
      <c r="V93">
        <f>IF($A93="","",IF(AND($B93&gt;0,I93&lt;$B93,DATE($B$1,7,1)&lt;=TODAY(),OR($O93="",$O93&gt;=DATE($B$1,7,1)),OR(COUNTIF($C93:I93,"&gt;0")&gt;0,DATE($B$1,7,1)=DATE(YEAR(TODAY()),MONTH(TODAY()),1))),1,0))</f>
        <v/>
      </c>
      <c r="W93">
        <f>IF($A93="","",IF(AND($B93&gt;0,J93&lt;$B93,DATE($B$1,8,1)&lt;=TODAY(),OR($O93="",$O93&gt;=DATE($B$1,8,1)),OR(COUNTIF($C93:J93,"&gt;0")&gt;0,DATE($B$1,8,1)=DATE(YEAR(TODAY()),MONTH(TODAY()),1))),1,0))</f>
        <v/>
      </c>
      <c r="X93">
        <f>IF($A93="","",IF(AND($B93&gt;0,K93&lt;$B93,DATE($B$1,9,1)&lt;=TODAY(),OR($O93="",$O93&gt;=DATE($B$1,9,1)),OR(COUNTIF($C93:K93,"&gt;0")&gt;0,DATE($B$1,9,1)=DATE(YEAR(TODAY()),MONTH(TODAY()),1))),1,0))</f>
        <v/>
      </c>
      <c r="Y93">
        <f>IF($A93="","",IF(AND($B93&gt;0,L93&lt;$B93,DATE($B$1,10,1)&lt;=TODAY(),OR($O93="",$O93&gt;=DATE($B$1,10,1)),OR(COUNTIF($C93:L93,"&gt;0")&gt;0,DATE($B$1,10,1)=DATE(YEAR(TODAY()),MONTH(TODAY()),1))),1,0))</f>
        <v/>
      </c>
      <c r="Z93">
        <f>IF($A93="","",IF(AND($B93&gt;0,M93&lt;$B93,DATE($B$1,11,1)&lt;=TODAY(),OR($O93="",$O93&gt;=DATE($B$1,11,1)),OR(COUNTIF($C93:M93,"&gt;0")&gt;0,DATE($B$1,11,1)=DATE(YEAR(TODAY()),MONTH(TODAY()),1))),1,0))</f>
        <v/>
      </c>
      <c r="AA93">
        <f>IF($A93="","",IF(AND($B93&gt;0,N93&lt;$B93,DATE($B$1,12,1)&lt;=TODAY(),OR($O93="",$O93&gt;=DATE($B$1,12,1)),OR(COUNTIF($C93:N93,"&gt;0")&gt;0,DATE($B$1,12,1)=DATE(YEAR(TODAY()),MONTH(TODAY()),1))),1,0))</f>
        <v/>
      </c>
    </row>
    <row r="94">
      <c r="A94" s="13">
        <f>IF(원생!$A92="","",원생!$A92&amp;IF(원생!$G92="",""," ("&amp;원생!$G92&amp;")"))</f>
        <v/>
      </c>
      <c r="B94" s="8">
        <f>IF(원생!$A92="","",원생!$F92)</f>
        <v/>
      </c>
      <c r="C94" s="14">
        <f>IF(원생!$A92="","",SUMIFS(수납!$F:$F,수납!$C:$C,원생!$A92,수납!$D:$D,IF(원생!$G92="","",원생!$G92),수납!$B:$B,$B$1&amp;"-"&amp;TEXT(1,"00")&amp;"*",수납!$E:$E,"수강료")+SUMIFS(수납!$F:$F,수납!$C:$C,원생!$A92,수납!$D:$D,IF(원생!$G92="","",원생!$G92),수납!$B:$B,$B$1&amp;"-"&amp;TEXT(1,"00")&amp;"*",수납!$E:$E,""))</f>
        <v/>
      </c>
      <c r="D94" s="14">
        <f>IF(원생!$A92="","",SUMIFS(수납!$F:$F,수납!$C:$C,원생!$A92,수납!$D:$D,IF(원생!$G92="","",원생!$G92),수납!$B:$B,$B$1&amp;"-"&amp;TEXT(2,"00")&amp;"*",수납!$E:$E,"수강료")+SUMIFS(수납!$F:$F,수납!$C:$C,원생!$A92,수납!$D:$D,IF(원생!$G92="","",원생!$G92),수납!$B:$B,$B$1&amp;"-"&amp;TEXT(2,"00")&amp;"*",수납!$E:$E,""))</f>
        <v/>
      </c>
      <c r="E94" s="14">
        <f>IF(원생!$A92="","",SUMIFS(수납!$F:$F,수납!$C:$C,원생!$A92,수납!$D:$D,IF(원생!$G92="","",원생!$G92),수납!$B:$B,$B$1&amp;"-"&amp;TEXT(3,"00")&amp;"*",수납!$E:$E,"수강료")+SUMIFS(수납!$F:$F,수납!$C:$C,원생!$A92,수납!$D:$D,IF(원생!$G92="","",원생!$G92),수납!$B:$B,$B$1&amp;"-"&amp;TEXT(3,"00")&amp;"*",수납!$E:$E,""))</f>
        <v/>
      </c>
      <c r="F94" s="14">
        <f>IF(원생!$A92="","",SUMIFS(수납!$F:$F,수납!$C:$C,원생!$A92,수납!$D:$D,IF(원생!$G92="","",원생!$G92),수납!$B:$B,$B$1&amp;"-"&amp;TEXT(4,"00")&amp;"*",수납!$E:$E,"수강료")+SUMIFS(수납!$F:$F,수납!$C:$C,원생!$A92,수납!$D:$D,IF(원생!$G92="","",원생!$G92),수납!$B:$B,$B$1&amp;"-"&amp;TEXT(4,"00")&amp;"*",수납!$E:$E,""))</f>
        <v/>
      </c>
      <c r="G94" s="14">
        <f>IF(원생!$A92="","",SUMIFS(수납!$F:$F,수납!$C:$C,원생!$A92,수납!$D:$D,IF(원생!$G92="","",원생!$G92),수납!$B:$B,$B$1&amp;"-"&amp;TEXT(5,"00")&amp;"*",수납!$E:$E,"수강료")+SUMIFS(수납!$F:$F,수납!$C:$C,원생!$A92,수납!$D:$D,IF(원생!$G92="","",원생!$G92),수납!$B:$B,$B$1&amp;"-"&amp;TEXT(5,"00")&amp;"*",수납!$E:$E,""))</f>
        <v/>
      </c>
      <c r="H94" s="14">
        <f>IF(원생!$A92="","",SUMIFS(수납!$F:$F,수납!$C:$C,원생!$A92,수납!$D:$D,IF(원생!$G92="","",원생!$G92),수납!$B:$B,$B$1&amp;"-"&amp;TEXT(6,"00")&amp;"*",수납!$E:$E,"수강료")+SUMIFS(수납!$F:$F,수납!$C:$C,원생!$A92,수납!$D:$D,IF(원생!$G92="","",원생!$G92),수납!$B:$B,$B$1&amp;"-"&amp;TEXT(6,"00")&amp;"*",수납!$E:$E,""))</f>
        <v/>
      </c>
      <c r="I94" s="14">
        <f>IF(원생!$A92="","",SUMIFS(수납!$F:$F,수납!$C:$C,원생!$A92,수납!$D:$D,IF(원생!$G92="","",원생!$G92),수납!$B:$B,$B$1&amp;"-"&amp;TEXT(7,"00")&amp;"*",수납!$E:$E,"수강료")+SUMIFS(수납!$F:$F,수납!$C:$C,원생!$A92,수납!$D:$D,IF(원생!$G92="","",원생!$G92),수납!$B:$B,$B$1&amp;"-"&amp;TEXT(7,"00")&amp;"*",수납!$E:$E,""))</f>
        <v/>
      </c>
      <c r="J94" s="14">
        <f>IF(원생!$A92="","",SUMIFS(수납!$F:$F,수납!$C:$C,원생!$A92,수납!$D:$D,IF(원생!$G92="","",원생!$G92),수납!$B:$B,$B$1&amp;"-"&amp;TEXT(8,"00")&amp;"*",수납!$E:$E,"수강료")+SUMIFS(수납!$F:$F,수납!$C:$C,원생!$A92,수납!$D:$D,IF(원생!$G92="","",원생!$G92),수납!$B:$B,$B$1&amp;"-"&amp;TEXT(8,"00")&amp;"*",수납!$E:$E,""))</f>
        <v/>
      </c>
      <c r="K94" s="14">
        <f>IF(원생!$A92="","",SUMIFS(수납!$F:$F,수납!$C:$C,원생!$A92,수납!$D:$D,IF(원생!$G92="","",원생!$G92),수납!$B:$B,$B$1&amp;"-"&amp;TEXT(9,"00")&amp;"*",수납!$E:$E,"수강료")+SUMIFS(수납!$F:$F,수납!$C:$C,원생!$A92,수납!$D:$D,IF(원생!$G92="","",원생!$G92),수납!$B:$B,$B$1&amp;"-"&amp;TEXT(9,"00")&amp;"*",수납!$E:$E,""))</f>
        <v/>
      </c>
      <c r="L94" s="14">
        <f>IF(원생!$A92="","",SUMIFS(수납!$F:$F,수납!$C:$C,원생!$A92,수납!$D:$D,IF(원생!$G92="","",원생!$G92),수납!$B:$B,$B$1&amp;"-"&amp;TEXT(10,"00")&amp;"*",수납!$E:$E,"수강료")+SUMIFS(수납!$F:$F,수납!$C:$C,원생!$A92,수납!$D:$D,IF(원생!$G92="","",원생!$G92),수납!$B:$B,$B$1&amp;"-"&amp;TEXT(10,"00")&amp;"*",수납!$E:$E,""))</f>
        <v/>
      </c>
      <c r="M94" s="14">
        <f>IF(원생!$A92="","",SUMIFS(수납!$F:$F,수납!$C:$C,원생!$A92,수납!$D:$D,IF(원생!$G92="","",원생!$G92),수납!$B:$B,$B$1&amp;"-"&amp;TEXT(11,"00")&amp;"*",수납!$E:$E,"수강료")+SUMIFS(수납!$F:$F,수납!$C:$C,원생!$A92,수납!$D:$D,IF(원생!$G92="","",원생!$G92),수납!$B:$B,$B$1&amp;"-"&amp;TEXT(11,"00")&amp;"*",수납!$E:$E,""))</f>
        <v/>
      </c>
      <c r="N94" s="14">
        <f>IF(원생!$A92="","",SUMIFS(수납!$F:$F,수납!$C:$C,원생!$A92,수납!$D:$D,IF(원생!$G92="","",원생!$G92),수납!$B:$B,$B$1&amp;"-"&amp;TEXT(12,"00")&amp;"*",수납!$E:$E,"수강료")+SUMIFS(수납!$F:$F,수납!$C:$C,원생!$A92,수납!$D:$D,IF(원생!$G92="","",원생!$G92),수납!$B:$B,$B$1&amp;"-"&amp;TEXT(12,"00")&amp;"*",수납!$E:$E,""))</f>
        <v/>
      </c>
      <c r="O94">
        <f>IF(원생!$I92="","",원생!$I92)</f>
        <v/>
      </c>
      <c r="P94">
        <f>IF($A94="","",IF(AND($B94&gt;0,C94&lt;$B94,DATE($B$1,1,1)&lt;=TODAY(),OR($O94="",$O94&gt;=DATE($B$1,1,1)),OR(COUNTIF($C94:C94,"&gt;0")&gt;0,DATE($B$1,1,1)=DATE(YEAR(TODAY()),MONTH(TODAY()),1))),1,0))</f>
        <v/>
      </c>
      <c r="Q94">
        <f>IF($A94="","",IF(AND($B94&gt;0,D94&lt;$B94,DATE($B$1,2,1)&lt;=TODAY(),OR($O94="",$O94&gt;=DATE($B$1,2,1)),OR(COUNTIF($C94:D94,"&gt;0")&gt;0,DATE($B$1,2,1)=DATE(YEAR(TODAY()),MONTH(TODAY()),1))),1,0))</f>
        <v/>
      </c>
      <c r="R94">
        <f>IF($A94="","",IF(AND($B94&gt;0,E94&lt;$B94,DATE($B$1,3,1)&lt;=TODAY(),OR($O94="",$O94&gt;=DATE($B$1,3,1)),OR(COUNTIF($C94:E94,"&gt;0")&gt;0,DATE($B$1,3,1)=DATE(YEAR(TODAY()),MONTH(TODAY()),1))),1,0))</f>
        <v/>
      </c>
      <c r="S94">
        <f>IF($A94="","",IF(AND($B94&gt;0,F94&lt;$B94,DATE($B$1,4,1)&lt;=TODAY(),OR($O94="",$O94&gt;=DATE($B$1,4,1)),OR(COUNTIF($C94:F94,"&gt;0")&gt;0,DATE($B$1,4,1)=DATE(YEAR(TODAY()),MONTH(TODAY()),1))),1,0))</f>
        <v/>
      </c>
      <c r="T94">
        <f>IF($A94="","",IF(AND($B94&gt;0,G94&lt;$B94,DATE($B$1,5,1)&lt;=TODAY(),OR($O94="",$O94&gt;=DATE($B$1,5,1)),OR(COUNTIF($C94:G94,"&gt;0")&gt;0,DATE($B$1,5,1)=DATE(YEAR(TODAY()),MONTH(TODAY()),1))),1,0))</f>
        <v/>
      </c>
      <c r="U94">
        <f>IF($A94="","",IF(AND($B94&gt;0,H94&lt;$B94,DATE($B$1,6,1)&lt;=TODAY(),OR($O94="",$O94&gt;=DATE($B$1,6,1)),OR(COUNTIF($C94:H94,"&gt;0")&gt;0,DATE($B$1,6,1)=DATE(YEAR(TODAY()),MONTH(TODAY()),1))),1,0))</f>
        <v/>
      </c>
      <c r="V94">
        <f>IF($A94="","",IF(AND($B94&gt;0,I94&lt;$B94,DATE($B$1,7,1)&lt;=TODAY(),OR($O94="",$O94&gt;=DATE($B$1,7,1)),OR(COUNTIF($C94:I94,"&gt;0")&gt;0,DATE($B$1,7,1)=DATE(YEAR(TODAY()),MONTH(TODAY()),1))),1,0))</f>
        <v/>
      </c>
      <c r="W94">
        <f>IF($A94="","",IF(AND($B94&gt;0,J94&lt;$B94,DATE($B$1,8,1)&lt;=TODAY(),OR($O94="",$O94&gt;=DATE($B$1,8,1)),OR(COUNTIF($C94:J94,"&gt;0")&gt;0,DATE($B$1,8,1)=DATE(YEAR(TODAY()),MONTH(TODAY()),1))),1,0))</f>
        <v/>
      </c>
      <c r="X94">
        <f>IF($A94="","",IF(AND($B94&gt;0,K94&lt;$B94,DATE($B$1,9,1)&lt;=TODAY(),OR($O94="",$O94&gt;=DATE($B$1,9,1)),OR(COUNTIF($C94:K94,"&gt;0")&gt;0,DATE($B$1,9,1)=DATE(YEAR(TODAY()),MONTH(TODAY()),1))),1,0))</f>
        <v/>
      </c>
      <c r="Y94">
        <f>IF($A94="","",IF(AND($B94&gt;0,L94&lt;$B94,DATE($B$1,10,1)&lt;=TODAY(),OR($O94="",$O94&gt;=DATE($B$1,10,1)),OR(COUNTIF($C94:L94,"&gt;0")&gt;0,DATE($B$1,10,1)=DATE(YEAR(TODAY()),MONTH(TODAY()),1))),1,0))</f>
        <v/>
      </c>
      <c r="Z94">
        <f>IF($A94="","",IF(AND($B94&gt;0,M94&lt;$B94,DATE($B$1,11,1)&lt;=TODAY(),OR($O94="",$O94&gt;=DATE($B$1,11,1)),OR(COUNTIF($C94:M94,"&gt;0")&gt;0,DATE($B$1,11,1)=DATE(YEAR(TODAY()),MONTH(TODAY()),1))),1,0))</f>
        <v/>
      </c>
      <c r="AA94">
        <f>IF($A94="","",IF(AND($B94&gt;0,N94&lt;$B94,DATE($B$1,12,1)&lt;=TODAY(),OR($O94="",$O94&gt;=DATE($B$1,12,1)),OR(COUNTIF($C94:N94,"&gt;0")&gt;0,DATE($B$1,12,1)=DATE(YEAR(TODAY()),MONTH(TODAY()),1))),1,0))</f>
        <v/>
      </c>
    </row>
    <row r="95">
      <c r="A95" s="13">
        <f>IF(원생!$A93="","",원생!$A93&amp;IF(원생!$G93="",""," ("&amp;원생!$G93&amp;")"))</f>
        <v/>
      </c>
      <c r="B95" s="8">
        <f>IF(원생!$A93="","",원생!$F93)</f>
        <v/>
      </c>
      <c r="C95" s="14">
        <f>IF(원생!$A93="","",SUMIFS(수납!$F:$F,수납!$C:$C,원생!$A93,수납!$D:$D,IF(원생!$G93="","",원생!$G93),수납!$B:$B,$B$1&amp;"-"&amp;TEXT(1,"00")&amp;"*",수납!$E:$E,"수강료")+SUMIFS(수납!$F:$F,수납!$C:$C,원생!$A93,수납!$D:$D,IF(원생!$G93="","",원생!$G93),수납!$B:$B,$B$1&amp;"-"&amp;TEXT(1,"00")&amp;"*",수납!$E:$E,""))</f>
        <v/>
      </c>
      <c r="D95" s="14">
        <f>IF(원생!$A93="","",SUMIFS(수납!$F:$F,수납!$C:$C,원생!$A93,수납!$D:$D,IF(원생!$G93="","",원생!$G93),수납!$B:$B,$B$1&amp;"-"&amp;TEXT(2,"00")&amp;"*",수납!$E:$E,"수강료")+SUMIFS(수납!$F:$F,수납!$C:$C,원생!$A93,수납!$D:$D,IF(원생!$G93="","",원생!$G93),수납!$B:$B,$B$1&amp;"-"&amp;TEXT(2,"00")&amp;"*",수납!$E:$E,""))</f>
        <v/>
      </c>
      <c r="E95" s="14">
        <f>IF(원생!$A93="","",SUMIFS(수납!$F:$F,수납!$C:$C,원생!$A93,수납!$D:$D,IF(원생!$G93="","",원생!$G93),수납!$B:$B,$B$1&amp;"-"&amp;TEXT(3,"00")&amp;"*",수납!$E:$E,"수강료")+SUMIFS(수납!$F:$F,수납!$C:$C,원생!$A93,수납!$D:$D,IF(원생!$G93="","",원생!$G93),수납!$B:$B,$B$1&amp;"-"&amp;TEXT(3,"00")&amp;"*",수납!$E:$E,""))</f>
        <v/>
      </c>
      <c r="F95" s="14">
        <f>IF(원생!$A93="","",SUMIFS(수납!$F:$F,수납!$C:$C,원생!$A93,수납!$D:$D,IF(원생!$G93="","",원생!$G93),수납!$B:$B,$B$1&amp;"-"&amp;TEXT(4,"00")&amp;"*",수납!$E:$E,"수강료")+SUMIFS(수납!$F:$F,수납!$C:$C,원생!$A93,수납!$D:$D,IF(원생!$G93="","",원생!$G93),수납!$B:$B,$B$1&amp;"-"&amp;TEXT(4,"00")&amp;"*",수납!$E:$E,""))</f>
        <v/>
      </c>
      <c r="G95" s="14">
        <f>IF(원생!$A93="","",SUMIFS(수납!$F:$F,수납!$C:$C,원생!$A93,수납!$D:$D,IF(원생!$G93="","",원생!$G93),수납!$B:$B,$B$1&amp;"-"&amp;TEXT(5,"00")&amp;"*",수납!$E:$E,"수강료")+SUMIFS(수납!$F:$F,수납!$C:$C,원생!$A93,수납!$D:$D,IF(원생!$G93="","",원생!$G93),수납!$B:$B,$B$1&amp;"-"&amp;TEXT(5,"00")&amp;"*",수납!$E:$E,""))</f>
        <v/>
      </c>
      <c r="H95" s="14">
        <f>IF(원생!$A93="","",SUMIFS(수납!$F:$F,수납!$C:$C,원생!$A93,수납!$D:$D,IF(원생!$G93="","",원생!$G93),수납!$B:$B,$B$1&amp;"-"&amp;TEXT(6,"00")&amp;"*",수납!$E:$E,"수강료")+SUMIFS(수납!$F:$F,수납!$C:$C,원생!$A93,수납!$D:$D,IF(원생!$G93="","",원생!$G93),수납!$B:$B,$B$1&amp;"-"&amp;TEXT(6,"00")&amp;"*",수납!$E:$E,""))</f>
        <v/>
      </c>
      <c r="I95" s="14">
        <f>IF(원생!$A93="","",SUMIFS(수납!$F:$F,수납!$C:$C,원생!$A93,수납!$D:$D,IF(원생!$G93="","",원생!$G93),수납!$B:$B,$B$1&amp;"-"&amp;TEXT(7,"00")&amp;"*",수납!$E:$E,"수강료")+SUMIFS(수납!$F:$F,수납!$C:$C,원생!$A93,수납!$D:$D,IF(원생!$G93="","",원생!$G93),수납!$B:$B,$B$1&amp;"-"&amp;TEXT(7,"00")&amp;"*",수납!$E:$E,""))</f>
        <v/>
      </c>
      <c r="J95" s="14">
        <f>IF(원생!$A93="","",SUMIFS(수납!$F:$F,수납!$C:$C,원생!$A93,수납!$D:$D,IF(원생!$G93="","",원생!$G93),수납!$B:$B,$B$1&amp;"-"&amp;TEXT(8,"00")&amp;"*",수납!$E:$E,"수강료")+SUMIFS(수납!$F:$F,수납!$C:$C,원생!$A93,수납!$D:$D,IF(원생!$G93="","",원생!$G93),수납!$B:$B,$B$1&amp;"-"&amp;TEXT(8,"00")&amp;"*",수납!$E:$E,""))</f>
        <v/>
      </c>
      <c r="K95" s="14">
        <f>IF(원생!$A93="","",SUMIFS(수납!$F:$F,수납!$C:$C,원생!$A93,수납!$D:$D,IF(원생!$G93="","",원생!$G93),수납!$B:$B,$B$1&amp;"-"&amp;TEXT(9,"00")&amp;"*",수납!$E:$E,"수강료")+SUMIFS(수납!$F:$F,수납!$C:$C,원생!$A93,수납!$D:$D,IF(원생!$G93="","",원생!$G93),수납!$B:$B,$B$1&amp;"-"&amp;TEXT(9,"00")&amp;"*",수납!$E:$E,""))</f>
        <v/>
      </c>
      <c r="L95" s="14">
        <f>IF(원생!$A93="","",SUMIFS(수납!$F:$F,수납!$C:$C,원생!$A93,수납!$D:$D,IF(원생!$G93="","",원생!$G93),수납!$B:$B,$B$1&amp;"-"&amp;TEXT(10,"00")&amp;"*",수납!$E:$E,"수강료")+SUMIFS(수납!$F:$F,수납!$C:$C,원생!$A93,수납!$D:$D,IF(원생!$G93="","",원생!$G93),수납!$B:$B,$B$1&amp;"-"&amp;TEXT(10,"00")&amp;"*",수납!$E:$E,""))</f>
        <v/>
      </c>
      <c r="M95" s="14">
        <f>IF(원생!$A93="","",SUMIFS(수납!$F:$F,수납!$C:$C,원생!$A93,수납!$D:$D,IF(원생!$G93="","",원생!$G93),수납!$B:$B,$B$1&amp;"-"&amp;TEXT(11,"00")&amp;"*",수납!$E:$E,"수강료")+SUMIFS(수납!$F:$F,수납!$C:$C,원생!$A93,수납!$D:$D,IF(원생!$G93="","",원생!$G93),수납!$B:$B,$B$1&amp;"-"&amp;TEXT(11,"00")&amp;"*",수납!$E:$E,""))</f>
        <v/>
      </c>
      <c r="N95" s="14">
        <f>IF(원생!$A93="","",SUMIFS(수납!$F:$F,수납!$C:$C,원생!$A93,수납!$D:$D,IF(원생!$G93="","",원생!$G93),수납!$B:$B,$B$1&amp;"-"&amp;TEXT(12,"00")&amp;"*",수납!$E:$E,"수강료")+SUMIFS(수납!$F:$F,수납!$C:$C,원생!$A93,수납!$D:$D,IF(원생!$G93="","",원생!$G93),수납!$B:$B,$B$1&amp;"-"&amp;TEXT(12,"00")&amp;"*",수납!$E:$E,""))</f>
        <v/>
      </c>
      <c r="O95">
        <f>IF(원생!$I93="","",원생!$I93)</f>
        <v/>
      </c>
      <c r="P95">
        <f>IF($A95="","",IF(AND($B95&gt;0,C95&lt;$B95,DATE($B$1,1,1)&lt;=TODAY(),OR($O95="",$O95&gt;=DATE($B$1,1,1)),OR(COUNTIF($C95:C95,"&gt;0")&gt;0,DATE($B$1,1,1)=DATE(YEAR(TODAY()),MONTH(TODAY()),1))),1,0))</f>
        <v/>
      </c>
      <c r="Q95">
        <f>IF($A95="","",IF(AND($B95&gt;0,D95&lt;$B95,DATE($B$1,2,1)&lt;=TODAY(),OR($O95="",$O95&gt;=DATE($B$1,2,1)),OR(COUNTIF($C95:D95,"&gt;0")&gt;0,DATE($B$1,2,1)=DATE(YEAR(TODAY()),MONTH(TODAY()),1))),1,0))</f>
        <v/>
      </c>
      <c r="R95">
        <f>IF($A95="","",IF(AND($B95&gt;0,E95&lt;$B95,DATE($B$1,3,1)&lt;=TODAY(),OR($O95="",$O95&gt;=DATE($B$1,3,1)),OR(COUNTIF($C95:E95,"&gt;0")&gt;0,DATE($B$1,3,1)=DATE(YEAR(TODAY()),MONTH(TODAY()),1))),1,0))</f>
        <v/>
      </c>
      <c r="S95">
        <f>IF($A95="","",IF(AND($B95&gt;0,F95&lt;$B95,DATE($B$1,4,1)&lt;=TODAY(),OR($O95="",$O95&gt;=DATE($B$1,4,1)),OR(COUNTIF($C95:F95,"&gt;0")&gt;0,DATE($B$1,4,1)=DATE(YEAR(TODAY()),MONTH(TODAY()),1))),1,0))</f>
        <v/>
      </c>
      <c r="T95">
        <f>IF($A95="","",IF(AND($B95&gt;0,G95&lt;$B95,DATE($B$1,5,1)&lt;=TODAY(),OR($O95="",$O95&gt;=DATE($B$1,5,1)),OR(COUNTIF($C95:G95,"&gt;0")&gt;0,DATE($B$1,5,1)=DATE(YEAR(TODAY()),MONTH(TODAY()),1))),1,0))</f>
        <v/>
      </c>
      <c r="U95">
        <f>IF($A95="","",IF(AND($B95&gt;0,H95&lt;$B95,DATE($B$1,6,1)&lt;=TODAY(),OR($O95="",$O95&gt;=DATE($B$1,6,1)),OR(COUNTIF($C95:H95,"&gt;0")&gt;0,DATE($B$1,6,1)=DATE(YEAR(TODAY()),MONTH(TODAY()),1))),1,0))</f>
        <v/>
      </c>
      <c r="V95">
        <f>IF($A95="","",IF(AND($B95&gt;0,I95&lt;$B95,DATE($B$1,7,1)&lt;=TODAY(),OR($O95="",$O95&gt;=DATE($B$1,7,1)),OR(COUNTIF($C95:I95,"&gt;0")&gt;0,DATE($B$1,7,1)=DATE(YEAR(TODAY()),MONTH(TODAY()),1))),1,0))</f>
        <v/>
      </c>
      <c r="W95">
        <f>IF($A95="","",IF(AND($B95&gt;0,J95&lt;$B95,DATE($B$1,8,1)&lt;=TODAY(),OR($O95="",$O95&gt;=DATE($B$1,8,1)),OR(COUNTIF($C95:J95,"&gt;0")&gt;0,DATE($B$1,8,1)=DATE(YEAR(TODAY()),MONTH(TODAY()),1))),1,0))</f>
        <v/>
      </c>
      <c r="X95">
        <f>IF($A95="","",IF(AND($B95&gt;0,K95&lt;$B95,DATE($B$1,9,1)&lt;=TODAY(),OR($O95="",$O95&gt;=DATE($B$1,9,1)),OR(COUNTIF($C95:K95,"&gt;0")&gt;0,DATE($B$1,9,1)=DATE(YEAR(TODAY()),MONTH(TODAY()),1))),1,0))</f>
        <v/>
      </c>
      <c r="Y95">
        <f>IF($A95="","",IF(AND($B95&gt;0,L95&lt;$B95,DATE($B$1,10,1)&lt;=TODAY(),OR($O95="",$O95&gt;=DATE($B$1,10,1)),OR(COUNTIF($C95:L95,"&gt;0")&gt;0,DATE($B$1,10,1)=DATE(YEAR(TODAY()),MONTH(TODAY()),1))),1,0))</f>
        <v/>
      </c>
      <c r="Z95">
        <f>IF($A95="","",IF(AND($B95&gt;0,M95&lt;$B95,DATE($B$1,11,1)&lt;=TODAY(),OR($O95="",$O95&gt;=DATE($B$1,11,1)),OR(COUNTIF($C95:M95,"&gt;0")&gt;0,DATE($B$1,11,1)=DATE(YEAR(TODAY()),MONTH(TODAY()),1))),1,0))</f>
        <v/>
      </c>
      <c r="AA95">
        <f>IF($A95="","",IF(AND($B95&gt;0,N95&lt;$B95,DATE($B$1,12,1)&lt;=TODAY(),OR($O95="",$O95&gt;=DATE($B$1,12,1)),OR(COUNTIF($C95:N95,"&gt;0")&gt;0,DATE($B$1,12,1)=DATE(YEAR(TODAY()),MONTH(TODAY()),1))),1,0))</f>
        <v/>
      </c>
    </row>
    <row r="96">
      <c r="A96" s="13">
        <f>IF(원생!$A94="","",원생!$A94&amp;IF(원생!$G94="",""," ("&amp;원생!$G94&amp;")"))</f>
        <v/>
      </c>
      <c r="B96" s="8">
        <f>IF(원생!$A94="","",원생!$F94)</f>
        <v/>
      </c>
      <c r="C96" s="14">
        <f>IF(원생!$A94="","",SUMIFS(수납!$F:$F,수납!$C:$C,원생!$A94,수납!$D:$D,IF(원생!$G94="","",원생!$G94),수납!$B:$B,$B$1&amp;"-"&amp;TEXT(1,"00")&amp;"*",수납!$E:$E,"수강료")+SUMIFS(수납!$F:$F,수납!$C:$C,원생!$A94,수납!$D:$D,IF(원생!$G94="","",원생!$G94),수납!$B:$B,$B$1&amp;"-"&amp;TEXT(1,"00")&amp;"*",수납!$E:$E,""))</f>
        <v/>
      </c>
      <c r="D96" s="14">
        <f>IF(원생!$A94="","",SUMIFS(수납!$F:$F,수납!$C:$C,원생!$A94,수납!$D:$D,IF(원생!$G94="","",원생!$G94),수납!$B:$B,$B$1&amp;"-"&amp;TEXT(2,"00")&amp;"*",수납!$E:$E,"수강료")+SUMIFS(수납!$F:$F,수납!$C:$C,원생!$A94,수납!$D:$D,IF(원생!$G94="","",원생!$G94),수납!$B:$B,$B$1&amp;"-"&amp;TEXT(2,"00")&amp;"*",수납!$E:$E,""))</f>
        <v/>
      </c>
      <c r="E96" s="14">
        <f>IF(원생!$A94="","",SUMIFS(수납!$F:$F,수납!$C:$C,원생!$A94,수납!$D:$D,IF(원생!$G94="","",원생!$G94),수납!$B:$B,$B$1&amp;"-"&amp;TEXT(3,"00")&amp;"*",수납!$E:$E,"수강료")+SUMIFS(수납!$F:$F,수납!$C:$C,원생!$A94,수납!$D:$D,IF(원생!$G94="","",원생!$G94),수납!$B:$B,$B$1&amp;"-"&amp;TEXT(3,"00")&amp;"*",수납!$E:$E,""))</f>
        <v/>
      </c>
      <c r="F96" s="14">
        <f>IF(원생!$A94="","",SUMIFS(수납!$F:$F,수납!$C:$C,원생!$A94,수납!$D:$D,IF(원생!$G94="","",원생!$G94),수납!$B:$B,$B$1&amp;"-"&amp;TEXT(4,"00")&amp;"*",수납!$E:$E,"수강료")+SUMIFS(수납!$F:$F,수납!$C:$C,원생!$A94,수납!$D:$D,IF(원생!$G94="","",원생!$G94),수납!$B:$B,$B$1&amp;"-"&amp;TEXT(4,"00")&amp;"*",수납!$E:$E,""))</f>
        <v/>
      </c>
      <c r="G96" s="14">
        <f>IF(원생!$A94="","",SUMIFS(수납!$F:$F,수납!$C:$C,원생!$A94,수납!$D:$D,IF(원생!$G94="","",원생!$G94),수납!$B:$B,$B$1&amp;"-"&amp;TEXT(5,"00")&amp;"*",수납!$E:$E,"수강료")+SUMIFS(수납!$F:$F,수납!$C:$C,원생!$A94,수납!$D:$D,IF(원생!$G94="","",원생!$G94),수납!$B:$B,$B$1&amp;"-"&amp;TEXT(5,"00")&amp;"*",수납!$E:$E,""))</f>
        <v/>
      </c>
      <c r="H96" s="14">
        <f>IF(원생!$A94="","",SUMIFS(수납!$F:$F,수납!$C:$C,원생!$A94,수납!$D:$D,IF(원생!$G94="","",원생!$G94),수납!$B:$B,$B$1&amp;"-"&amp;TEXT(6,"00")&amp;"*",수납!$E:$E,"수강료")+SUMIFS(수납!$F:$F,수납!$C:$C,원생!$A94,수납!$D:$D,IF(원생!$G94="","",원생!$G94),수납!$B:$B,$B$1&amp;"-"&amp;TEXT(6,"00")&amp;"*",수납!$E:$E,""))</f>
        <v/>
      </c>
      <c r="I96" s="14">
        <f>IF(원생!$A94="","",SUMIFS(수납!$F:$F,수납!$C:$C,원생!$A94,수납!$D:$D,IF(원생!$G94="","",원생!$G94),수납!$B:$B,$B$1&amp;"-"&amp;TEXT(7,"00")&amp;"*",수납!$E:$E,"수강료")+SUMIFS(수납!$F:$F,수납!$C:$C,원생!$A94,수납!$D:$D,IF(원생!$G94="","",원생!$G94),수납!$B:$B,$B$1&amp;"-"&amp;TEXT(7,"00")&amp;"*",수납!$E:$E,""))</f>
        <v/>
      </c>
      <c r="J96" s="14">
        <f>IF(원생!$A94="","",SUMIFS(수납!$F:$F,수납!$C:$C,원생!$A94,수납!$D:$D,IF(원생!$G94="","",원생!$G94),수납!$B:$B,$B$1&amp;"-"&amp;TEXT(8,"00")&amp;"*",수납!$E:$E,"수강료")+SUMIFS(수납!$F:$F,수납!$C:$C,원생!$A94,수납!$D:$D,IF(원생!$G94="","",원생!$G94),수납!$B:$B,$B$1&amp;"-"&amp;TEXT(8,"00")&amp;"*",수납!$E:$E,""))</f>
        <v/>
      </c>
      <c r="K96" s="14">
        <f>IF(원생!$A94="","",SUMIFS(수납!$F:$F,수납!$C:$C,원생!$A94,수납!$D:$D,IF(원생!$G94="","",원생!$G94),수납!$B:$B,$B$1&amp;"-"&amp;TEXT(9,"00")&amp;"*",수납!$E:$E,"수강료")+SUMIFS(수납!$F:$F,수납!$C:$C,원생!$A94,수납!$D:$D,IF(원생!$G94="","",원생!$G94),수납!$B:$B,$B$1&amp;"-"&amp;TEXT(9,"00")&amp;"*",수납!$E:$E,""))</f>
        <v/>
      </c>
      <c r="L96" s="14">
        <f>IF(원생!$A94="","",SUMIFS(수납!$F:$F,수납!$C:$C,원생!$A94,수납!$D:$D,IF(원생!$G94="","",원생!$G94),수납!$B:$B,$B$1&amp;"-"&amp;TEXT(10,"00")&amp;"*",수납!$E:$E,"수강료")+SUMIFS(수납!$F:$F,수납!$C:$C,원생!$A94,수납!$D:$D,IF(원생!$G94="","",원생!$G94),수납!$B:$B,$B$1&amp;"-"&amp;TEXT(10,"00")&amp;"*",수납!$E:$E,""))</f>
        <v/>
      </c>
      <c r="M96" s="14">
        <f>IF(원생!$A94="","",SUMIFS(수납!$F:$F,수납!$C:$C,원생!$A94,수납!$D:$D,IF(원생!$G94="","",원생!$G94),수납!$B:$B,$B$1&amp;"-"&amp;TEXT(11,"00")&amp;"*",수납!$E:$E,"수강료")+SUMIFS(수납!$F:$F,수납!$C:$C,원생!$A94,수납!$D:$D,IF(원생!$G94="","",원생!$G94),수납!$B:$B,$B$1&amp;"-"&amp;TEXT(11,"00")&amp;"*",수납!$E:$E,""))</f>
        <v/>
      </c>
      <c r="N96" s="14">
        <f>IF(원생!$A94="","",SUMIFS(수납!$F:$F,수납!$C:$C,원생!$A94,수납!$D:$D,IF(원생!$G94="","",원생!$G94),수납!$B:$B,$B$1&amp;"-"&amp;TEXT(12,"00")&amp;"*",수납!$E:$E,"수강료")+SUMIFS(수납!$F:$F,수납!$C:$C,원생!$A94,수납!$D:$D,IF(원생!$G94="","",원생!$G94),수납!$B:$B,$B$1&amp;"-"&amp;TEXT(12,"00")&amp;"*",수납!$E:$E,""))</f>
        <v/>
      </c>
      <c r="O96">
        <f>IF(원생!$I94="","",원생!$I94)</f>
        <v/>
      </c>
      <c r="P96">
        <f>IF($A96="","",IF(AND($B96&gt;0,C96&lt;$B96,DATE($B$1,1,1)&lt;=TODAY(),OR($O96="",$O96&gt;=DATE($B$1,1,1)),OR(COUNTIF($C96:C96,"&gt;0")&gt;0,DATE($B$1,1,1)=DATE(YEAR(TODAY()),MONTH(TODAY()),1))),1,0))</f>
        <v/>
      </c>
      <c r="Q96">
        <f>IF($A96="","",IF(AND($B96&gt;0,D96&lt;$B96,DATE($B$1,2,1)&lt;=TODAY(),OR($O96="",$O96&gt;=DATE($B$1,2,1)),OR(COUNTIF($C96:D96,"&gt;0")&gt;0,DATE($B$1,2,1)=DATE(YEAR(TODAY()),MONTH(TODAY()),1))),1,0))</f>
        <v/>
      </c>
      <c r="R96">
        <f>IF($A96="","",IF(AND($B96&gt;0,E96&lt;$B96,DATE($B$1,3,1)&lt;=TODAY(),OR($O96="",$O96&gt;=DATE($B$1,3,1)),OR(COUNTIF($C96:E96,"&gt;0")&gt;0,DATE($B$1,3,1)=DATE(YEAR(TODAY()),MONTH(TODAY()),1))),1,0))</f>
        <v/>
      </c>
      <c r="S96">
        <f>IF($A96="","",IF(AND($B96&gt;0,F96&lt;$B96,DATE($B$1,4,1)&lt;=TODAY(),OR($O96="",$O96&gt;=DATE($B$1,4,1)),OR(COUNTIF($C96:F96,"&gt;0")&gt;0,DATE($B$1,4,1)=DATE(YEAR(TODAY()),MONTH(TODAY()),1))),1,0))</f>
        <v/>
      </c>
      <c r="T96">
        <f>IF($A96="","",IF(AND($B96&gt;0,G96&lt;$B96,DATE($B$1,5,1)&lt;=TODAY(),OR($O96="",$O96&gt;=DATE($B$1,5,1)),OR(COUNTIF($C96:G96,"&gt;0")&gt;0,DATE($B$1,5,1)=DATE(YEAR(TODAY()),MONTH(TODAY()),1))),1,0))</f>
        <v/>
      </c>
      <c r="U96">
        <f>IF($A96="","",IF(AND($B96&gt;0,H96&lt;$B96,DATE($B$1,6,1)&lt;=TODAY(),OR($O96="",$O96&gt;=DATE($B$1,6,1)),OR(COUNTIF($C96:H96,"&gt;0")&gt;0,DATE($B$1,6,1)=DATE(YEAR(TODAY()),MONTH(TODAY()),1))),1,0))</f>
        <v/>
      </c>
      <c r="V96">
        <f>IF($A96="","",IF(AND($B96&gt;0,I96&lt;$B96,DATE($B$1,7,1)&lt;=TODAY(),OR($O96="",$O96&gt;=DATE($B$1,7,1)),OR(COUNTIF($C96:I96,"&gt;0")&gt;0,DATE($B$1,7,1)=DATE(YEAR(TODAY()),MONTH(TODAY()),1))),1,0))</f>
        <v/>
      </c>
      <c r="W96">
        <f>IF($A96="","",IF(AND($B96&gt;0,J96&lt;$B96,DATE($B$1,8,1)&lt;=TODAY(),OR($O96="",$O96&gt;=DATE($B$1,8,1)),OR(COUNTIF($C96:J96,"&gt;0")&gt;0,DATE($B$1,8,1)=DATE(YEAR(TODAY()),MONTH(TODAY()),1))),1,0))</f>
        <v/>
      </c>
      <c r="X96">
        <f>IF($A96="","",IF(AND($B96&gt;0,K96&lt;$B96,DATE($B$1,9,1)&lt;=TODAY(),OR($O96="",$O96&gt;=DATE($B$1,9,1)),OR(COUNTIF($C96:K96,"&gt;0")&gt;0,DATE($B$1,9,1)=DATE(YEAR(TODAY()),MONTH(TODAY()),1))),1,0))</f>
        <v/>
      </c>
      <c r="Y96">
        <f>IF($A96="","",IF(AND($B96&gt;0,L96&lt;$B96,DATE($B$1,10,1)&lt;=TODAY(),OR($O96="",$O96&gt;=DATE($B$1,10,1)),OR(COUNTIF($C96:L96,"&gt;0")&gt;0,DATE($B$1,10,1)=DATE(YEAR(TODAY()),MONTH(TODAY()),1))),1,0))</f>
        <v/>
      </c>
      <c r="Z96">
        <f>IF($A96="","",IF(AND($B96&gt;0,M96&lt;$B96,DATE($B$1,11,1)&lt;=TODAY(),OR($O96="",$O96&gt;=DATE($B$1,11,1)),OR(COUNTIF($C96:M96,"&gt;0")&gt;0,DATE($B$1,11,1)=DATE(YEAR(TODAY()),MONTH(TODAY()),1))),1,0))</f>
        <v/>
      </c>
      <c r="AA96">
        <f>IF($A96="","",IF(AND($B96&gt;0,N96&lt;$B96,DATE($B$1,12,1)&lt;=TODAY(),OR($O96="",$O96&gt;=DATE($B$1,12,1)),OR(COUNTIF($C96:N96,"&gt;0")&gt;0,DATE($B$1,12,1)=DATE(YEAR(TODAY()),MONTH(TODAY()),1))),1,0))</f>
        <v/>
      </c>
    </row>
    <row r="97">
      <c r="A97" s="13">
        <f>IF(원생!$A95="","",원생!$A95&amp;IF(원생!$G95="",""," ("&amp;원생!$G95&amp;")"))</f>
        <v/>
      </c>
      <c r="B97" s="8">
        <f>IF(원생!$A95="","",원생!$F95)</f>
        <v/>
      </c>
      <c r="C97" s="14">
        <f>IF(원생!$A95="","",SUMIFS(수납!$F:$F,수납!$C:$C,원생!$A95,수납!$D:$D,IF(원생!$G95="","",원생!$G95),수납!$B:$B,$B$1&amp;"-"&amp;TEXT(1,"00")&amp;"*",수납!$E:$E,"수강료")+SUMIFS(수납!$F:$F,수납!$C:$C,원생!$A95,수납!$D:$D,IF(원생!$G95="","",원생!$G95),수납!$B:$B,$B$1&amp;"-"&amp;TEXT(1,"00")&amp;"*",수납!$E:$E,""))</f>
        <v/>
      </c>
      <c r="D97" s="14">
        <f>IF(원생!$A95="","",SUMIFS(수납!$F:$F,수납!$C:$C,원생!$A95,수납!$D:$D,IF(원생!$G95="","",원생!$G95),수납!$B:$B,$B$1&amp;"-"&amp;TEXT(2,"00")&amp;"*",수납!$E:$E,"수강료")+SUMIFS(수납!$F:$F,수납!$C:$C,원생!$A95,수납!$D:$D,IF(원생!$G95="","",원생!$G95),수납!$B:$B,$B$1&amp;"-"&amp;TEXT(2,"00")&amp;"*",수납!$E:$E,""))</f>
        <v/>
      </c>
      <c r="E97" s="14">
        <f>IF(원생!$A95="","",SUMIFS(수납!$F:$F,수납!$C:$C,원생!$A95,수납!$D:$D,IF(원생!$G95="","",원생!$G95),수납!$B:$B,$B$1&amp;"-"&amp;TEXT(3,"00")&amp;"*",수납!$E:$E,"수강료")+SUMIFS(수납!$F:$F,수납!$C:$C,원생!$A95,수납!$D:$D,IF(원생!$G95="","",원생!$G95),수납!$B:$B,$B$1&amp;"-"&amp;TEXT(3,"00")&amp;"*",수납!$E:$E,""))</f>
        <v/>
      </c>
      <c r="F97" s="14">
        <f>IF(원생!$A95="","",SUMIFS(수납!$F:$F,수납!$C:$C,원생!$A95,수납!$D:$D,IF(원생!$G95="","",원생!$G95),수납!$B:$B,$B$1&amp;"-"&amp;TEXT(4,"00")&amp;"*",수납!$E:$E,"수강료")+SUMIFS(수납!$F:$F,수납!$C:$C,원생!$A95,수납!$D:$D,IF(원생!$G95="","",원생!$G95),수납!$B:$B,$B$1&amp;"-"&amp;TEXT(4,"00")&amp;"*",수납!$E:$E,""))</f>
        <v/>
      </c>
      <c r="G97" s="14">
        <f>IF(원생!$A95="","",SUMIFS(수납!$F:$F,수납!$C:$C,원생!$A95,수납!$D:$D,IF(원생!$G95="","",원생!$G95),수납!$B:$B,$B$1&amp;"-"&amp;TEXT(5,"00")&amp;"*",수납!$E:$E,"수강료")+SUMIFS(수납!$F:$F,수납!$C:$C,원생!$A95,수납!$D:$D,IF(원생!$G95="","",원생!$G95),수납!$B:$B,$B$1&amp;"-"&amp;TEXT(5,"00")&amp;"*",수납!$E:$E,""))</f>
        <v/>
      </c>
      <c r="H97" s="14">
        <f>IF(원생!$A95="","",SUMIFS(수납!$F:$F,수납!$C:$C,원생!$A95,수납!$D:$D,IF(원생!$G95="","",원생!$G95),수납!$B:$B,$B$1&amp;"-"&amp;TEXT(6,"00")&amp;"*",수납!$E:$E,"수강료")+SUMIFS(수납!$F:$F,수납!$C:$C,원생!$A95,수납!$D:$D,IF(원생!$G95="","",원생!$G95),수납!$B:$B,$B$1&amp;"-"&amp;TEXT(6,"00")&amp;"*",수납!$E:$E,""))</f>
        <v/>
      </c>
      <c r="I97" s="14">
        <f>IF(원생!$A95="","",SUMIFS(수납!$F:$F,수납!$C:$C,원생!$A95,수납!$D:$D,IF(원생!$G95="","",원생!$G95),수납!$B:$B,$B$1&amp;"-"&amp;TEXT(7,"00")&amp;"*",수납!$E:$E,"수강료")+SUMIFS(수납!$F:$F,수납!$C:$C,원생!$A95,수납!$D:$D,IF(원생!$G95="","",원생!$G95),수납!$B:$B,$B$1&amp;"-"&amp;TEXT(7,"00")&amp;"*",수납!$E:$E,""))</f>
        <v/>
      </c>
      <c r="J97" s="14">
        <f>IF(원생!$A95="","",SUMIFS(수납!$F:$F,수납!$C:$C,원생!$A95,수납!$D:$D,IF(원생!$G95="","",원생!$G95),수납!$B:$B,$B$1&amp;"-"&amp;TEXT(8,"00")&amp;"*",수납!$E:$E,"수강료")+SUMIFS(수납!$F:$F,수납!$C:$C,원생!$A95,수납!$D:$D,IF(원생!$G95="","",원생!$G95),수납!$B:$B,$B$1&amp;"-"&amp;TEXT(8,"00")&amp;"*",수납!$E:$E,""))</f>
        <v/>
      </c>
      <c r="K97" s="14">
        <f>IF(원생!$A95="","",SUMIFS(수납!$F:$F,수납!$C:$C,원생!$A95,수납!$D:$D,IF(원생!$G95="","",원생!$G95),수납!$B:$B,$B$1&amp;"-"&amp;TEXT(9,"00")&amp;"*",수납!$E:$E,"수강료")+SUMIFS(수납!$F:$F,수납!$C:$C,원생!$A95,수납!$D:$D,IF(원생!$G95="","",원생!$G95),수납!$B:$B,$B$1&amp;"-"&amp;TEXT(9,"00")&amp;"*",수납!$E:$E,""))</f>
        <v/>
      </c>
      <c r="L97" s="14">
        <f>IF(원생!$A95="","",SUMIFS(수납!$F:$F,수납!$C:$C,원생!$A95,수납!$D:$D,IF(원생!$G95="","",원생!$G95),수납!$B:$B,$B$1&amp;"-"&amp;TEXT(10,"00")&amp;"*",수납!$E:$E,"수강료")+SUMIFS(수납!$F:$F,수납!$C:$C,원생!$A95,수납!$D:$D,IF(원생!$G95="","",원생!$G95),수납!$B:$B,$B$1&amp;"-"&amp;TEXT(10,"00")&amp;"*",수납!$E:$E,""))</f>
        <v/>
      </c>
      <c r="M97" s="14">
        <f>IF(원생!$A95="","",SUMIFS(수납!$F:$F,수납!$C:$C,원생!$A95,수납!$D:$D,IF(원생!$G95="","",원생!$G95),수납!$B:$B,$B$1&amp;"-"&amp;TEXT(11,"00")&amp;"*",수납!$E:$E,"수강료")+SUMIFS(수납!$F:$F,수납!$C:$C,원생!$A95,수납!$D:$D,IF(원생!$G95="","",원생!$G95),수납!$B:$B,$B$1&amp;"-"&amp;TEXT(11,"00")&amp;"*",수납!$E:$E,""))</f>
        <v/>
      </c>
      <c r="N97" s="14">
        <f>IF(원생!$A95="","",SUMIFS(수납!$F:$F,수납!$C:$C,원생!$A95,수납!$D:$D,IF(원생!$G95="","",원생!$G95),수납!$B:$B,$B$1&amp;"-"&amp;TEXT(12,"00")&amp;"*",수납!$E:$E,"수강료")+SUMIFS(수납!$F:$F,수납!$C:$C,원생!$A95,수납!$D:$D,IF(원생!$G95="","",원생!$G95),수납!$B:$B,$B$1&amp;"-"&amp;TEXT(12,"00")&amp;"*",수납!$E:$E,""))</f>
        <v/>
      </c>
      <c r="O97">
        <f>IF(원생!$I95="","",원생!$I95)</f>
        <v/>
      </c>
      <c r="P97">
        <f>IF($A97="","",IF(AND($B97&gt;0,C97&lt;$B97,DATE($B$1,1,1)&lt;=TODAY(),OR($O97="",$O97&gt;=DATE($B$1,1,1)),OR(COUNTIF($C97:C97,"&gt;0")&gt;0,DATE($B$1,1,1)=DATE(YEAR(TODAY()),MONTH(TODAY()),1))),1,0))</f>
        <v/>
      </c>
      <c r="Q97">
        <f>IF($A97="","",IF(AND($B97&gt;0,D97&lt;$B97,DATE($B$1,2,1)&lt;=TODAY(),OR($O97="",$O97&gt;=DATE($B$1,2,1)),OR(COUNTIF($C97:D97,"&gt;0")&gt;0,DATE($B$1,2,1)=DATE(YEAR(TODAY()),MONTH(TODAY()),1))),1,0))</f>
        <v/>
      </c>
      <c r="R97">
        <f>IF($A97="","",IF(AND($B97&gt;0,E97&lt;$B97,DATE($B$1,3,1)&lt;=TODAY(),OR($O97="",$O97&gt;=DATE($B$1,3,1)),OR(COUNTIF($C97:E97,"&gt;0")&gt;0,DATE($B$1,3,1)=DATE(YEAR(TODAY()),MONTH(TODAY()),1))),1,0))</f>
        <v/>
      </c>
      <c r="S97">
        <f>IF($A97="","",IF(AND($B97&gt;0,F97&lt;$B97,DATE($B$1,4,1)&lt;=TODAY(),OR($O97="",$O97&gt;=DATE($B$1,4,1)),OR(COUNTIF($C97:F97,"&gt;0")&gt;0,DATE($B$1,4,1)=DATE(YEAR(TODAY()),MONTH(TODAY()),1))),1,0))</f>
        <v/>
      </c>
      <c r="T97">
        <f>IF($A97="","",IF(AND($B97&gt;0,G97&lt;$B97,DATE($B$1,5,1)&lt;=TODAY(),OR($O97="",$O97&gt;=DATE($B$1,5,1)),OR(COUNTIF($C97:G97,"&gt;0")&gt;0,DATE($B$1,5,1)=DATE(YEAR(TODAY()),MONTH(TODAY()),1))),1,0))</f>
        <v/>
      </c>
      <c r="U97">
        <f>IF($A97="","",IF(AND($B97&gt;0,H97&lt;$B97,DATE($B$1,6,1)&lt;=TODAY(),OR($O97="",$O97&gt;=DATE($B$1,6,1)),OR(COUNTIF($C97:H97,"&gt;0")&gt;0,DATE($B$1,6,1)=DATE(YEAR(TODAY()),MONTH(TODAY()),1))),1,0))</f>
        <v/>
      </c>
      <c r="V97">
        <f>IF($A97="","",IF(AND($B97&gt;0,I97&lt;$B97,DATE($B$1,7,1)&lt;=TODAY(),OR($O97="",$O97&gt;=DATE($B$1,7,1)),OR(COUNTIF($C97:I97,"&gt;0")&gt;0,DATE($B$1,7,1)=DATE(YEAR(TODAY()),MONTH(TODAY()),1))),1,0))</f>
        <v/>
      </c>
      <c r="W97">
        <f>IF($A97="","",IF(AND($B97&gt;0,J97&lt;$B97,DATE($B$1,8,1)&lt;=TODAY(),OR($O97="",$O97&gt;=DATE($B$1,8,1)),OR(COUNTIF($C97:J97,"&gt;0")&gt;0,DATE($B$1,8,1)=DATE(YEAR(TODAY()),MONTH(TODAY()),1))),1,0))</f>
        <v/>
      </c>
      <c r="X97">
        <f>IF($A97="","",IF(AND($B97&gt;0,K97&lt;$B97,DATE($B$1,9,1)&lt;=TODAY(),OR($O97="",$O97&gt;=DATE($B$1,9,1)),OR(COUNTIF($C97:K97,"&gt;0")&gt;0,DATE($B$1,9,1)=DATE(YEAR(TODAY()),MONTH(TODAY()),1))),1,0))</f>
        <v/>
      </c>
      <c r="Y97">
        <f>IF($A97="","",IF(AND($B97&gt;0,L97&lt;$B97,DATE($B$1,10,1)&lt;=TODAY(),OR($O97="",$O97&gt;=DATE($B$1,10,1)),OR(COUNTIF($C97:L97,"&gt;0")&gt;0,DATE($B$1,10,1)=DATE(YEAR(TODAY()),MONTH(TODAY()),1))),1,0))</f>
        <v/>
      </c>
      <c r="Z97">
        <f>IF($A97="","",IF(AND($B97&gt;0,M97&lt;$B97,DATE($B$1,11,1)&lt;=TODAY(),OR($O97="",$O97&gt;=DATE($B$1,11,1)),OR(COUNTIF($C97:M97,"&gt;0")&gt;0,DATE($B$1,11,1)=DATE(YEAR(TODAY()),MONTH(TODAY()),1))),1,0))</f>
        <v/>
      </c>
      <c r="AA97">
        <f>IF($A97="","",IF(AND($B97&gt;0,N97&lt;$B97,DATE($B$1,12,1)&lt;=TODAY(),OR($O97="",$O97&gt;=DATE($B$1,12,1)),OR(COUNTIF($C97:N97,"&gt;0")&gt;0,DATE($B$1,12,1)=DATE(YEAR(TODAY()),MONTH(TODAY()),1))),1,0))</f>
        <v/>
      </c>
    </row>
    <row r="98">
      <c r="A98" s="13">
        <f>IF(원생!$A96="","",원생!$A96&amp;IF(원생!$G96="",""," ("&amp;원생!$G96&amp;")"))</f>
        <v/>
      </c>
      <c r="B98" s="8">
        <f>IF(원생!$A96="","",원생!$F96)</f>
        <v/>
      </c>
      <c r="C98" s="14">
        <f>IF(원생!$A96="","",SUMIFS(수납!$F:$F,수납!$C:$C,원생!$A96,수납!$D:$D,IF(원생!$G96="","",원생!$G96),수납!$B:$B,$B$1&amp;"-"&amp;TEXT(1,"00")&amp;"*",수납!$E:$E,"수강료")+SUMIFS(수납!$F:$F,수납!$C:$C,원생!$A96,수납!$D:$D,IF(원생!$G96="","",원생!$G96),수납!$B:$B,$B$1&amp;"-"&amp;TEXT(1,"00")&amp;"*",수납!$E:$E,""))</f>
        <v/>
      </c>
      <c r="D98" s="14">
        <f>IF(원생!$A96="","",SUMIFS(수납!$F:$F,수납!$C:$C,원생!$A96,수납!$D:$D,IF(원생!$G96="","",원생!$G96),수납!$B:$B,$B$1&amp;"-"&amp;TEXT(2,"00")&amp;"*",수납!$E:$E,"수강료")+SUMIFS(수납!$F:$F,수납!$C:$C,원생!$A96,수납!$D:$D,IF(원생!$G96="","",원생!$G96),수납!$B:$B,$B$1&amp;"-"&amp;TEXT(2,"00")&amp;"*",수납!$E:$E,""))</f>
        <v/>
      </c>
      <c r="E98" s="14">
        <f>IF(원생!$A96="","",SUMIFS(수납!$F:$F,수납!$C:$C,원생!$A96,수납!$D:$D,IF(원생!$G96="","",원생!$G96),수납!$B:$B,$B$1&amp;"-"&amp;TEXT(3,"00")&amp;"*",수납!$E:$E,"수강료")+SUMIFS(수납!$F:$F,수납!$C:$C,원생!$A96,수납!$D:$D,IF(원생!$G96="","",원생!$G96),수납!$B:$B,$B$1&amp;"-"&amp;TEXT(3,"00")&amp;"*",수납!$E:$E,""))</f>
        <v/>
      </c>
      <c r="F98" s="14">
        <f>IF(원생!$A96="","",SUMIFS(수납!$F:$F,수납!$C:$C,원생!$A96,수납!$D:$D,IF(원생!$G96="","",원생!$G96),수납!$B:$B,$B$1&amp;"-"&amp;TEXT(4,"00")&amp;"*",수납!$E:$E,"수강료")+SUMIFS(수납!$F:$F,수납!$C:$C,원생!$A96,수납!$D:$D,IF(원생!$G96="","",원생!$G96),수납!$B:$B,$B$1&amp;"-"&amp;TEXT(4,"00")&amp;"*",수납!$E:$E,""))</f>
        <v/>
      </c>
      <c r="G98" s="14">
        <f>IF(원생!$A96="","",SUMIFS(수납!$F:$F,수납!$C:$C,원생!$A96,수납!$D:$D,IF(원생!$G96="","",원생!$G96),수납!$B:$B,$B$1&amp;"-"&amp;TEXT(5,"00")&amp;"*",수납!$E:$E,"수강료")+SUMIFS(수납!$F:$F,수납!$C:$C,원생!$A96,수납!$D:$D,IF(원생!$G96="","",원생!$G96),수납!$B:$B,$B$1&amp;"-"&amp;TEXT(5,"00")&amp;"*",수납!$E:$E,""))</f>
        <v/>
      </c>
      <c r="H98" s="14">
        <f>IF(원생!$A96="","",SUMIFS(수납!$F:$F,수납!$C:$C,원생!$A96,수납!$D:$D,IF(원생!$G96="","",원생!$G96),수납!$B:$B,$B$1&amp;"-"&amp;TEXT(6,"00")&amp;"*",수납!$E:$E,"수강료")+SUMIFS(수납!$F:$F,수납!$C:$C,원생!$A96,수납!$D:$D,IF(원생!$G96="","",원생!$G96),수납!$B:$B,$B$1&amp;"-"&amp;TEXT(6,"00")&amp;"*",수납!$E:$E,""))</f>
        <v/>
      </c>
      <c r="I98" s="14">
        <f>IF(원생!$A96="","",SUMIFS(수납!$F:$F,수납!$C:$C,원생!$A96,수납!$D:$D,IF(원생!$G96="","",원생!$G96),수납!$B:$B,$B$1&amp;"-"&amp;TEXT(7,"00")&amp;"*",수납!$E:$E,"수강료")+SUMIFS(수납!$F:$F,수납!$C:$C,원생!$A96,수납!$D:$D,IF(원생!$G96="","",원생!$G96),수납!$B:$B,$B$1&amp;"-"&amp;TEXT(7,"00")&amp;"*",수납!$E:$E,""))</f>
        <v/>
      </c>
      <c r="J98" s="14">
        <f>IF(원생!$A96="","",SUMIFS(수납!$F:$F,수납!$C:$C,원생!$A96,수납!$D:$D,IF(원생!$G96="","",원생!$G96),수납!$B:$B,$B$1&amp;"-"&amp;TEXT(8,"00")&amp;"*",수납!$E:$E,"수강료")+SUMIFS(수납!$F:$F,수납!$C:$C,원생!$A96,수납!$D:$D,IF(원생!$G96="","",원생!$G96),수납!$B:$B,$B$1&amp;"-"&amp;TEXT(8,"00")&amp;"*",수납!$E:$E,""))</f>
        <v/>
      </c>
      <c r="K98" s="14">
        <f>IF(원생!$A96="","",SUMIFS(수납!$F:$F,수납!$C:$C,원생!$A96,수납!$D:$D,IF(원생!$G96="","",원생!$G96),수납!$B:$B,$B$1&amp;"-"&amp;TEXT(9,"00")&amp;"*",수납!$E:$E,"수강료")+SUMIFS(수납!$F:$F,수납!$C:$C,원생!$A96,수납!$D:$D,IF(원생!$G96="","",원생!$G96),수납!$B:$B,$B$1&amp;"-"&amp;TEXT(9,"00")&amp;"*",수납!$E:$E,""))</f>
        <v/>
      </c>
      <c r="L98" s="14">
        <f>IF(원생!$A96="","",SUMIFS(수납!$F:$F,수납!$C:$C,원생!$A96,수납!$D:$D,IF(원생!$G96="","",원생!$G96),수납!$B:$B,$B$1&amp;"-"&amp;TEXT(10,"00")&amp;"*",수납!$E:$E,"수강료")+SUMIFS(수납!$F:$F,수납!$C:$C,원생!$A96,수납!$D:$D,IF(원생!$G96="","",원생!$G96),수납!$B:$B,$B$1&amp;"-"&amp;TEXT(10,"00")&amp;"*",수납!$E:$E,""))</f>
        <v/>
      </c>
      <c r="M98" s="14">
        <f>IF(원생!$A96="","",SUMIFS(수납!$F:$F,수납!$C:$C,원생!$A96,수납!$D:$D,IF(원생!$G96="","",원생!$G96),수납!$B:$B,$B$1&amp;"-"&amp;TEXT(11,"00")&amp;"*",수납!$E:$E,"수강료")+SUMIFS(수납!$F:$F,수납!$C:$C,원생!$A96,수납!$D:$D,IF(원생!$G96="","",원생!$G96),수납!$B:$B,$B$1&amp;"-"&amp;TEXT(11,"00")&amp;"*",수납!$E:$E,""))</f>
        <v/>
      </c>
      <c r="N98" s="14">
        <f>IF(원생!$A96="","",SUMIFS(수납!$F:$F,수납!$C:$C,원생!$A96,수납!$D:$D,IF(원생!$G96="","",원생!$G96),수납!$B:$B,$B$1&amp;"-"&amp;TEXT(12,"00")&amp;"*",수납!$E:$E,"수강료")+SUMIFS(수납!$F:$F,수납!$C:$C,원생!$A96,수납!$D:$D,IF(원생!$G96="","",원생!$G96),수납!$B:$B,$B$1&amp;"-"&amp;TEXT(12,"00")&amp;"*",수납!$E:$E,""))</f>
        <v/>
      </c>
      <c r="O98">
        <f>IF(원생!$I96="","",원생!$I96)</f>
        <v/>
      </c>
      <c r="P98">
        <f>IF($A98="","",IF(AND($B98&gt;0,C98&lt;$B98,DATE($B$1,1,1)&lt;=TODAY(),OR($O98="",$O98&gt;=DATE($B$1,1,1)),OR(COUNTIF($C98:C98,"&gt;0")&gt;0,DATE($B$1,1,1)=DATE(YEAR(TODAY()),MONTH(TODAY()),1))),1,0))</f>
        <v/>
      </c>
      <c r="Q98">
        <f>IF($A98="","",IF(AND($B98&gt;0,D98&lt;$B98,DATE($B$1,2,1)&lt;=TODAY(),OR($O98="",$O98&gt;=DATE($B$1,2,1)),OR(COUNTIF($C98:D98,"&gt;0")&gt;0,DATE($B$1,2,1)=DATE(YEAR(TODAY()),MONTH(TODAY()),1))),1,0))</f>
        <v/>
      </c>
      <c r="R98">
        <f>IF($A98="","",IF(AND($B98&gt;0,E98&lt;$B98,DATE($B$1,3,1)&lt;=TODAY(),OR($O98="",$O98&gt;=DATE($B$1,3,1)),OR(COUNTIF($C98:E98,"&gt;0")&gt;0,DATE($B$1,3,1)=DATE(YEAR(TODAY()),MONTH(TODAY()),1))),1,0))</f>
        <v/>
      </c>
      <c r="S98">
        <f>IF($A98="","",IF(AND($B98&gt;0,F98&lt;$B98,DATE($B$1,4,1)&lt;=TODAY(),OR($O98="",$O98&gt;=DATE($B$1,4,1)),OR(COUNTIF($C98:F98,"&gt;0")&gt;0,DATE($B$1,4,1)=DATE(YEAR(TODAY()),MONTH(TODAY()),1))),1,0))</f>
        <v/>
      </c>
      <c r="T98">
        <f>IF($A98="","",IF(AND($B98&gt;0,G98&lt;$B98,DATE($B$1,5,1)&lt;=TODAY(),OR($O98="",$O98&gt;=DATE($B$1,5,1)),OR(COUNTIF($C98:G98,"&gt;0")&gt;0,DATE($B$1,5,1)=DATE(YEAR(TODAY()),MONTH(TODAY()),1))),1,0))</f>
        <v/>
      </c>
      <c r="U98">
        <f>IF($A98="","",IF(AND($B98&gt;0,H98&lt;$B98,DATE($B$1,6,1)&lt;=TODAY(),OR($O98="",$O98&gt;=DATE($B$1,6,1)),OR(COUNTIF($C98:H98,"&gt;0")&gt;0,DATE($B$1,6,1)=DATE(YEAR(TODAY()),MONTH(TODAY()),1))),1,0))</f>
        <v/>
      </c>
      <c r="V98">
        <f>IF($A98="","",IF(AND($B98&gt;0,I98&lt;$B98,DATE($B$1,7,1)&lt;=TODAY(),OR($O98="",$O98&gt;=DATE($B$1,7,1)),OR(COUNTIF($C98:I98,"&gt;0")&gt;0,DATE($B$1,7,1)=DATE(YEAR(TODAY()),MONTH(TODAY()),1))),1,0))</f>
        <v/>
      </c>
      <c r="W98">
        <f>IF($A98="","",IF(AND($B98&gt;0,J98&lt;$B98,DATE($B$1,8,1)&lt;=TODAY(),OR($O98="",$O98&gt;=DATE($B$1,8,1)),OR(COUNTIF($C98:J98,"&gt;0")&gt;0,DATE($B$1,8,1)=DATE(YEAR(TODAY()),MONTH(TODAY()),1))),1,0))</f>
        <v/>
      </c>
      <c r="X98">
        <f>IF($A98="","",IF(AND($B98&gt;0,K98&lt;$B98,DATE($B$1,9,1)&lt;=TODAY(),OR($O98="",$O98&gt;=DATE($B$1,9,1)),OR(COUNTIF($C98:K98,"&gt;0")&gt;0,DATE($B$1,9,1)=DATE(YEAR(TODAY()),MONTH(TODAY()),1))),1,0))</f>
        <v/>
      </c>
      <c r="Y98">
        <f>IF($A98="","",IF(AND($B98&gt;0,L98&lt;$B98,DATE($B$1,10,1)&lt;=TODAY(),OR($O98="",$O98&gt;=DATE($B$1,10,1)),OR(COUNTIF($C98:L98,"&gt;0")&gt;0,DATE($B$1,10,1)=DATE(YEAR(TODAY()),MONTH(TODAY()),1))),1,0))</f>
        <v/>
      </c>
      <c r="Z98">
        <f>IF($A98="","",IF(AND($B98&gt;0,M98&lt;$B98,DATE($B$1,11,1)&lt;=TODAY(),OR($O98="",$O98&gt;=DATE($B$1,11,1)),OR(COUNTIF($C98:M98,"&gt;0")&gt;0,DATE($B$1,11,1)=DATE(YEAR(TODAY()),MONTH(TODAY()),1))),1,0))</f>
        <v/>
      </c>
      <c r="AA98">
        <f>IF($A98="","",IF(AND($B98&gt;0,N98&lt;$B98,DATE($B$1,12,1)&lt;=TODAY(),OR($O98="",$O98&gt;=DATE($B$1,12,1)),OR(COUNTIF($C98:N98,"&gt;0")&gt;0,DATE($B$1,12,1)=DATE(YEAR(TODAY()),MONTH(TODAY()),1))),1,0))</f>
        <v/>
      </c>
    </row>
    <row r="99">
      <c r="A99" s="13">
        <f>IF(원생!$A97="","",원생!$A97&amp;IF(원생!$G97="",""," ("&amp;원생!$G97&amp;")"))</f>
        <v/>
      </c>
      <c r="B99" s="8">
        <f>IF(원생!$A97="","",원생!$F97)</f>
        <v/>
      </c>
      <c r="C99" s="14">
        <f>IF(원생!$A97="","",SUMIFS(수납!$F:$F,수납!$C:$C,원생!$A97,수납!$D:$D,IF(원생!$G97="","",원생!$G97),수납!$B:$B,$B$1&amp;"-"&amp;TEXT(1,"00")&amp;"*",수납!$E:$E,"수강료")+SUMIFS(수납!$F:$F,수납!$C:$C,원생!$A97,수납!$D:$D,IF(원생!$G97="","",원생!$G97),수납!$B:$B,$B$1&amp;"-"&amp;TEXT(1,"00")&amp;"*",수납!$E:$E,""))</f>
        <v/>
      </c>
      <c r="D99" s="14">
        <f>IF(원생!$A97="","",SUMIFS(수납!$F:$F,수납!$C:$C,원생!$A97,수납!$D:$D,IF(원생!$G97="","",원생!$G97),수납!$B:$B,$B$1&amp;"-"&amp;TEXT(2,"00")&amp;"*",수납!$E:$E,"수강료")+SUMIFS(수납!$F:$F,수납!$C:$C,원생!$A97,수납!$D:$D,IF(원생!$G97="","",원생!$G97),수납!$B:$B,$B$1&amp;"-"&amp;TEXT(2,"00")&amp;"*",수납!$E:$E,""))</f>
        <v/>
      </c>
      <c r="E99" s="14">
        <f>IF(원생!$A97="","",SUMIFS(수납!$F:$F,수납!$C:$C,원생!$A97,수납!$D:$D,IF(원생!$G97="","",원생!$G97),수납!$B:$B,$B$1&amp;"-"&amp;TEXT(3,"00")&amp;"*",수납!$E:$E,"수강료")+SUMIFS(수납!$F:$F,수납!$C:$C,원생!$A97,수납!$D:$D,IF(원생!$G97="","",원생!$G97),수납!$B:$B,$B$1&amp;"-"&amp;TEXT(3,"00")&amp;"*",수납!$E:$E,""))</f>
        <v/>
      </c>
      <c r="F99" s="14">
        <f>IF(원생!$A97="","",SUMIFS(수납!$F:$F,수납!$C:$C,원생!$A97,수납!$D:$D,IF(원생!$G97="","",원생!$G97),수납!$B:$B,$B$1&amp;"-"&amp;TEXT(4,"00")&amp;"*",수납!$E:$E,"수강료")+SUMIFS(수납!$F:$F,수납!$C:$C,원생!$A97,수납!$D:$D,IF(원생!$G97="","",원생!$G97),수납!$B:$B,$B$1&amp;"-"&amp;TEXT(4,"00")&amp;"*",수납!$E:$E,""))</f>
        <v/>
      </c>
      <c r="G99" s="14">
        <f>IF(원생!$A97="","",SUMIFS(수납!$F:$F,수납!$C:$C,원생!$A97,수납!$D:$D,IF(원생!$G97="","",원생!$G97),수납!$B:$B,$B$1&amp;"-"&amp;TEXT(5,"00")&amp;"*",수납!$E:$E,"수강료")+SUMIFS(수납!$F:$F,수납!$C:$C,원생!$A97,수납!$D:$D,IF(원생!$G97="","",원생!$G97),수납!$B:$B,$B$1&amp;"-"&amp;TEXT(5,"00")&amp;"*",수납!$E:$E,""))</f>
        <v/>
      </c>
      <c r="H99" s="14">
        <f>IF(원생!$A97="","",SUMIFS(수납!$F:$F,수납!$C:$C,원생!$A97,수납!$D:$D,IF(원생!$G97="","",원생!$G97),수납!$B:$B,$B$1&amp;"-"&amp;TEXT(6,"00")&amp;"*",수납!$E:$E,"수강료")+SUMIFS(수납!$F:$F,수납!$C:$C,원생!$A97,수납!$D:$D,IF(원생!$G97="","",원생!$G97),수납!$B:$B,$B$1&amp;"-"&amp;TEXT(6,"00")&amp;"*",수납!$E:$E,""))</f>
        <v/>
      </c>
      <c r="I99" s="14">
        <f>IF(원생!$A97="","",SUMIFS(수납!$F:$F,수납!$C:$C,원생!$A97,수납!$D:$D,IF(원생!$G97="","",원생!$G97),수납!$B:$B,$B$1&amp;"-"&amp;TEXT(7,"00")&amp;"*",수납!$E:$E,"수강료")+SUMIFS(수납!$F:$F,수납!$C:$C,원생!$A97,수납!$D:$D,IF(원생!$G97="","",원생!$G97),수납!$B:$B,$B$1&amp;"-"&amp;TEXT(7,"00")&amp;"*",수납!$E:$E,""))</f>
        <v/>
      </c>
      <c r="J99" s="14">
        <f>IF(원생!$A97="","",SUMIFS(수납!$F:$F,수납!$C:$C,원생!$A97,수납!$D:$D,IF(원생!$G97="","",원생!$G97),수납!$B:$B,$B$1&amp;"-"&amp;TEXT(8,"00")&amp;"*",수납!$E:$E,"수강료")+SUMIFS(수납!$F:$F,수납!$C:$C,원생!$A97,수납!$D:$D,IF(원생!$G97="","",원생!$G97),수납!$B:$B,$B$1&amp;"-"&amp;TEXT(8,"00")&amp;"*",수납!$E:$E,""))</f>
        <v/>
      </c>
      <c r="K99" s="14">
        <f>IF(원생!$A97="","",SUMIFS(수납!$F:$F,수납!$C:$C,원생!$A97,수납!$D:$D,IF(원생!$G97="","",원생!$G97),수납!$B:$B,$B$1&amp;"-"&amp;TEXT(9,"00")&amp;"*",수납!$E:$E,"수강료")+SUMIFS(수납!$F:$F,수납!$C:$C,원생!$A97,수납!$D:$D,IF(원생!$G97="","",원생!$G97),수납!$B:$B,$B$1&amp;"-"&amp;TEXT(9,"00")&amp;"*",수납!$E:$E,""))</f>
        <v/>
      </c>
      <c r="L99" s="14">
        <f>IF(원생!$A97="","",SUMIFS(수납!$F:$F,수납!$C:$C,원생!$A97,수납!$D:$D,IF(원생!$G97="","",원생!$G97),수납!$B:$B,$B$1&amp;"-"&amp;TEXT(10,"00")&amp;"*",수납!$E:$E,"수강료")+SUMIFS(수납!$F:$F,수납!$C:$C,원생!$A97,수납!$D:$D,IF(원생!$G97="","",원생!$G97),수납!$B:$B,$B$1&amp;"-"&amp;TEXT(10,"00")&amp;"*",수납!$E:$E,""))</f>
        <v/>
      </c>
      <c r="M99" s="14">
        <f>IF(원생!$A97="","",SUMIFS(수납!$F:$F,수납!$C:$C,원생!$A97,수납!$D:$D,IF(원생!$G97="","",원생!$G97),수납!$B:$B,$B$1&amp;"-"&amp;TEXT(11,"00")&amp;"*",수납!$E:$E,"수강료")+SUMIFS(수납!$F:$F,수납!$C:$C,원생!$A97,수납!$D:$D,IF(원생!$G97="","",원생!$G97),수납!$B:$B,$B$1&amp;"-"&amp;TEXT(11,"00")&amp;"*",수납!$E:$E,""))</f>
        <v/>
      </c>
      <c r="N99" s="14">
        <f>IF(원생!$A97="","",SUMIFS(수납!$F:$F,수납!$C:$C,원생!$A97,수납!$D:$D,IF(원생!$G97="","",원생!$G97),수납!$B:$B,$B$1&amp;"-"&amp;TEXT(12,"00")&amp;"*",수납!$E:$E,"수강료")+SUMIFS(수납!$F:$F,수납!$C:$C,원생!$A97,수납!$D:$D,IF(원생!$G97="","",원생!$G97),수납!$B:$B,$B$1&amp;"-"&amp;TEXT(12,"00")&amp;"*",수납!$E:$E,""))</f>
        <v/>
      </c>
      <c r="O99">
        <f>IF(원생!$I97="","",원생!$I97)</f>
        <v/>
      </c>
      <c r="P99">
        <f>IF($A99="","",IF(AND($B99&gt;0,C99&lt;$B99,DATE($B$1,1,1)&lt;=TODAY(),OR($O99="",$O99&gt;=DATE($B$1,1,1)),OR(COUNTIF($C99:C99,"&gt;0")&gt;0,DATE($B$1,1,1)=DATE(YEAR(TODAY()),MONTH(TODAY()),1))),1,0))</f>
        <v/>
      </c>
      <c r="Q99">
        <f>IF($A99="","",IF(AND($B99&gt;0,D99&lt;$B99,DATE($B$1,2,1)&lt;=TODAY(),OR($O99="",$O99&gt;=DATE($B$1,2,1)),OR(COUNTIF($C99:D99,"&gt;0")&gt;0,DATE($B$1,2,1)=DATE(YEAR(TODAY()),MONTH(TODAY()),1))),1,0))</f>
        <v/>
      </c>
      <c r="R99">
        <f>IF($A99="","",IF(AND($B99&gt;0,E99&lt;$B99,DATE($B$1,3,1)&lt;=TODAY(),OR($O99="",$O99&gt;=DATE($B$1,3,1)),OR(COUNTIF($C99:E99,"&gt;0")&gt;0,DATE($B$1,3,1)=DATE(YEAR(TODAY()),MONTH(TODAY()),1))),1,0))</f>
        <v/>
      </c>
      <c r="S99">
        <f>IF($A99="","",IF(AND($B99&gt;0,F99&lt;$B99,DATE($B$1,4,1)&lt;=TODAY(),OR($O99="",$O99&gt;=DATE($B$1,4,1)),OR(COUNTIF($C99:F99,"&gt;0")&gt;0,DATE($B$1,4,1)=DATE(YEAR(TODAY()),MONTH(TODAY()),1))),1,0))</f>
        <v/>
      </c>
      <c r="T99">
        <f>IF($A99="","",IF(AND($B99&gt;0,G99&lt;$B99,DATE($B$1,5,1)&lt;=TODAY(),OR($O99="",$O99&gt;=DATE($B$1,5,1)),OR(COUNTIF($C99:G99,"&gt;0")&gt;0,DATE($B$1,5,1)=DATE(YEAR(TODAY()),MONTH(TODAY()),1))),1,0))</f>
        <v/>
      </c>
      <c r="U99">
        <f>IF($A99="","",IF(AND($B99&gt;0,H99&lt;$B99,DATE($B$1,6,1)&lt;=TODAY(),OR($O99="",$O99&gt;=DATE($B$1,6,1)),OR(COUNTIF($C99:H99,"&gt;0")&gt;0,DATE($B$1,6,1)=DATE(YEAR(TODAY()),MONTH(TODAY()),1))),1,0))</f>
        <v/>
      </c>
      <c r="V99">
        <f>IF($A99="","",IF(AND($B99&gt;0,I99&lt;$B99,DATE($B$1,7,1)&lt;=TODAY(),OR($O99="",$O99&gt;=DATE($B$1,7,1)),OR(COUNTIF($C99:I99,"&gt;0")&gt;0,DATE($B$1,7,1)=DATE(YEAR(TODAY()),MONTH(TODAY()),1))),1,0))</f>
        <v/>
      </c>
      <c r="W99">
        <f>IF($A99="","",IF(AND($B99&gt;0,J99&lt;$B99,DATE($B$1,8,1)&lt;=TODAY(),OR($O99="",$O99&gt;=DATE($B$1,8,1)),OR(COUNTIF($C99:J99,"&gt;0")&gt;0,DATE($B$1,8,1)=DATE(YEAR(TODAY()),MONTH(TODAY()),1))),1,0))</f>
        <v/>
      </c>
      <c r="X99">
        <f>IF($A99="","",IF(AND($B99&gt;0,K99&lt;$B99,DATE($B$1,9,1)&lt;=TODAY(),OR($O99="",$O99&gt;=DATE($B$1,9,1)),OR(COUNTIF($C99:K99,"&gt;0")&gt;0,DATE($B$1,9,1)=DATE(YEAR(TODAY()),MONTH(TODAY()),1))),1,0))</f>
        <v/>
      </c>
      <c r="Y99">
        <f>IF($A99="","",IF(AND($B99&gt;0,L99&lt;$B99,DATE($B$1,10,1)&lt;=TODAY(),OR($O99="",$O99&gt;=DATE($B$1,10,1)),OR(COUNTIF($C99:L99,"&gt;0")&gt;0,DATE($B$1,10,1)=DATE(YEAR(TODAY()),MONTH(TODAY()),1))),1,0))</f>
        <v/>
      </c>
      <c r="Z99">
        <f>IF($A99="","",IF(AND($B99&gt;0,M99&lt;$B99,DATE($B$1,11,1)&lt;=TODAY(),OR($O99="",$O99&gt;=DATE($B$1,11,1)),OR(COUNTIF($C99:M99,"&gt;0")&gt;0,DATE($B$1,11,1)=DATE(YEAR(TODAY()),MONTH(TODAY()),1))),1,0))</f>
        <v/>
      </c>
      <c r="AA99">
        <f>IF($A99="","",IF(AND($B99&gt;0,N99&lt;$B99,DATE($B$1,12,1)&lt;=TODAY(),OR($O99="",$O99&gt;=DATE($B$1,12,1)),OR(COUNTIF($C99:N99,"&gt;0")&gt;0,DATE($B$1,12,1)=DATE(YEAR(TODAY()),MONTH(TODAY()),1))),1,0))</f>
        <v/>
      </c>
    </row>
    <row r="100">
      <c r="A100" s="13">
        <f>IF(원생!$A98="","",원생!$A98&amp;IF(원생!$G98="",""," ("&amp;원생!$G98&amp;")"))</f>
        <v/>
      </c>
      <c r="B100" s="8">
        <f>IF(원생!$A98="","",원생!$F98)</f>
        <v/>
      </c>
      <c r="C100" s="14">
        <f>IF(원생!$A98="","",SUMIFS(수납!$F:$F,수납!$C:$C,원생!$A98,수납!$D:$D,IF(원생!$G98="","",원생!$G98),수납!$B:$B,$B$1&amp;"-"&amp;TEXT(1,"00")&amp;"*",수납!$E:$E,"수강료")+SUMIFS(수납!$F:$F,수납!$C:$C,원생!$A98,수납!$D:$D,IF(원생!$G98="","",원생!$G98),수납!$B:$B,$B$1&amp;"-"&amp;TEXT(1,"00")&amp;"*",수납!$E:$E,""))</f>
        <v/>
      </c>
      <c r="D100" s="14">
        <f>IF(원생!$A98="","",SUMIFS(수납!$F:$F,수납!$C:$C,원생!$A98,수납!$D:$D,IF(원생!$G98="","",원생!$G98),수납!$B:$B,$B$1&amp;"-"&amp;TEXT(2,"00")&amp;"*",수납!$E:$E,"수강료")+SUMIFS(수납!$F:$F,수납!$C:$C,원생!$A98,수납!$D:$D,IF(원생!$G98="","",원생!$G98),수납!$B:$B,$B$1&amp;"-"&amp;TEXT(2,"00")&amp;"*",수납!$E:$E,""))</f>
        <v/>
      </c>
      <c r="E100" s="14">
        <f>IF(원생!$A98="","",SUMIFS(수납!$F:$F,수납!$C:$C,원생!$A98,수납!$D:$D,IF(원생!$G98="","",원생!$G98),수납!$B:$B,$B$1&amp;"-"&amp;TEXT(3,"00")&amp;"*",수납!$E:$E,"수강료")+SUMIFS(수납!$F:$F,수납!$C:$C,원생!$A98,수납!$D:$D,IF(원생!$G98="","",원생!$G98),수납!$B:$B,$B$1&amp;"-"&amp;TEXT(3,"00")&amp;"*",수납!$E:$E,""))</f>
        <v/>
      </c>
      <c r="F100" s="14">
        <f>IF(원생!$A98="","",SUMIFS(수납!$F:$F,수납!$C:$C,원생!$A98,수납!$D:$D,IF(원생!$G98="","",원생!$G98),수납!$B:$B,$B$1&amp;"-"&amp;TEXT(4,"00")&amp;"*",수납!$E:$E,"수강료")+SUMIFS(수납!$F:$F,수납!$C:$C,원생!$A98,수납!$D:$D,IF(원생!$G98="","",원생!$G98),수납!$B:$B,$B$1&amp;"-"&amp;TEXT(4,"00")&amp;"*",수납!$E:$E,""))</f>
        <v/>
      </c>
      <c r="G100" s="14">
        <f>IF(원생!$A98="","",SUMIFS(수납!$F:$F,수납!$C:$C,원생!$A98,수납!$D:$D,IF(원생!$G98="","",원생!$G98),수납!$B:$B,$B$1&amp;"-"&amp;TEXT(5,"00")&amp;"*",수납!$E:$E,"수강료")+SUMIFS(수납!$F:$F,수납!$C:$C,원생!$A98,수납!$D:$D,IF(원생!$G98="","",원생!$G98),수납!$B:$B,$B$1&amp;"-"&amp;TEXT(5,"00")&amp;"*",수납!$E:$E,""))</f>
        <v/>
      </c>
      <c r="H100" s="14">
        <f>IF(원생!$A98="","",SUMIFS(수납!$F:$F,수납!$C:$C,원생!$A98,수납!$D:$D,IF(원생!$G98="","",원생!$G98),수납!$B:$B,$B$1&amp;"-"&amp;TEXT(6,"00")&amp;"*",수납!$E:$E,"수강료")+SUMIFS(수납!$F:$F,수납!$C:$C,원생!$A98,수납!$D:$D,IF(원생!$G98="","",원생!$G98),수납!$B:$B,$B$1&amp;"-"&amp;TEXT(6,"00")&amp;"*",수납!$E:$E,""))</f>
        <v/>
      </c>
      <c r="I100" s="14">
        <f>IF(원생!$A98="","",SUMIFS(수납!$F:$F,수납!$C:$C,원생!$A98,수납!$D:$D,IF(원생!$G98="","",원생!$G98),수납!$B:$B,$B$1&amp;"-"&amp;TEXT(7,"00")&amp;"*",수납!$E:$E,"수강료")+SUMIFS(수납!$F:$F,수납!$C:$C,원생!$A98,수납!$D:$D,IF(원생!$G98="","",원생!$G98),수납!$B:$B,$B$1&amp;"-"&amp;TEXT(7,"00")&amp;"*",수납!$E:$E,""))</f>
        <v/>
      </c>
      <c r="J100" s="14">
        <f>IF(원생!$A98="","",SUMIFS(수납!$F:$F,수납!$C:$C,원생!$A98,수납!$D:$D,IF(원생!$G98="","",원생!$G98),수납!$B:$B,$B$1&amp;"-"&amp;TEXT(8,"00")&amp;"*",수납!$E:$E,"수강료")+SUMIFS(수납!$F:$F,수납!$C:$C,원생!$A98,수납!$D:$D,IF(원생!$G98="","",원생!$G98),수납!$B:$B,$B$1&amp;"-"&amp;TEXT(8,"00")&amp;"*",수납!$E:$E,""))</f>
        <v/>
      </c>
      <c r="K100" s="14">
        <f>IF(원생!$A98="","",SUMIFS(수납!$F:$F,수납!$C:$C,원생!$A98,수납!$D:$D,IF(원생!$G98="","",원생!$G98),수납!$B:$B,$B$1&amp;"-"&amp;TEXT(9,"00")&amp;"*",수납!$E:$E,"수강료")+SUMIFS(수납!$F:$F,수납!$C:$C,원생!$A98,수납!$D:$D,IF(원생!$G98="","",원생!$G98),수납!$B:$B,$B$1&amp;"-"&amp;TEXT(9,"00")&amp;"*",수납!$E:$E,""))</f>
        <v/>
      </c>
      <c r="L100" s="14">
        <f>IF(원생!$A98="","",SUMIFS(수납!$F:$F,수납!$C:$C,원생!$A98,수납!$D:$D,IF(원생!$G98="","",원생!$G98),수납!$B:$B,$B$1&amp;"-"&amp;TEXT(10,"00")&amp;"*",수납!$E:$E,"수강료")+SUMIFS(수납!$F:$F,수납!$C:$C,원생!$A98,수납!$D:$D,IF(원생!$G98="","",원생!$G98),수납!$B:$B,$B$1&amp;"-"&amp;TEXT(10,"00")&amp;"*",수납!$E:$E,""))</f>
        <v/>
      </c>
      <c r="M100" s="14">
        <f>IF(원생!$A98="","",SUMIFS(수납!$F:$F,수납!$C:$C,원생!$A98,수납!$D:$D,IF(원생!$G98="","",원생!$G98),수납!$B:$B,$B$1&amp;"-"&amp;TEXT(11,"00")&amp;"*",수납!$E:$E,"수강료")+SUMIFS(수납!$F:$F,수납!$C:$C,원생!$A98,수납!$D:$D,IF(원생!$G98="","",원생!$G98),수납!$B:$B,$B$1&amp;"-"&amp;TEXT(11,"00")&amp;"*",수납!$E:$E,""))</f>
        <v/>
      </c>
      <c r="N100" s="14">
        <f>IF(원생!$A98="","",SUMIFS(수납!$F:$F,수납!$C:$C,원생!$A98,수납!$D:$D,IF(원생!$G98="","",원생!$G98),수납!$B:$B,$B$1&amp;"-"&amp;TEXT(12,"00")&amp;"*",수납!$E:$E,"수강료")+SUMIFS(수납!$F:$F,수납!$C:$C,원생!$A98,수납!$D:$D,IF(원생!$G98="","",원생!$G98),수납!$B:$B,$B$1&amp;"-"&amp;TEXT(12,"00")&amp;"*",수납!$E:$E,""))</f>
        <v/>
      </c>
      <c r="O100">
        <f>IF(원생!$I98="","",원생!$I98)</f>
        <v/>
      </c>
      <c r="P100">
        <f>IF($A100="","",IF(AND($B100&gt;0,C100&lt;$B100,DATE($B$1,1,1)&lt;=TODAY(),OR($O100="",$O100&gt;=DATE($B$1,1,1)),OR(COUNTIF($C100:C100,"&gt;0")&gt;0,DATE($B$1,1,1)=DATE(YEAR(TODAY()),MONTH(TODAY()),1))),1,0))</f>
        <v/>
      </c>
      <c r="Q100">
        <f>IF($A100="","",IF(AND($B100&gt;0,D100&lt;$B100,DATE($B$1,2,1)&lt;=TODAY(),OR($O100="",$O100&gt;=DATE($B$1,2,1)),OR(COUNTIF($C100:D100,"&gt;0")&gt;0,DATE($B$1,2,1)=DATE(YEAR(TODAY()),MONTH(TODAY()),1))),1,0))</f>
        <v/>
      </c>
      <c r="R100">
        <f>IF($A100="","",IF(AND($B100&gt;0,E100&lt;$B100,DATE($B$1,3,1)&lt;=TODAY(),OR($O100="",$O100&gt;=DATE($B$1,3,1)),OR(COUNTIF($C100:E100,"&gt;0")&gt;0,DATE($B$1,3,1)=DATE(YEAR(TODAY()),MONTH(TODAY()),1))),1,0))</f>
        <v/>
      </c>
      <c r="S100">
        <f>IF($A100="","",IF(AND($B100&gt;0,F100&lt;$B100,DATE($B$1,4,1)&lt;=TODAY(),OR($O100="",$O100&gt;=DATE($B$1,4,1)),OR(COUNTIF($C100:F100,"&gt;0")&gt;0,DATE($B$1,4,1)=DATE(YEAR(TODAY()),MONTH(TODAY()),1))),1,0))</f>
        <v/>
      </c>
      <c r="T100">
        <f>IF($A100="","",IF(AND($B100&gt;0,G100&lt;$B100,DATE($B$1,5,1)&lt;=TODAY(),OR($O100="",$O100&gt;=DATE($B$1,5,1)),OR(COUNTIF($C100:G100,"&gt;0")&gt;0,DATE($B$1,5,1)=DATE(YEAR(TODAY()),MONTH(TODAY()),1))),1,0))</f>
        <v/>
      </c>
      <c r="U100">
        <f>IF($A100="","",IF(AND($B100&gt;0,H100&lt;$B100,DATE($B$1,6,1)&lt;=TODAY(),OR($O100="",$O100&gt;=DATE($B$1,6,1)),OR(COUNTIF($C100:H100,"&gt;0")&gt;0,DATE($B$1,6,1)=DATE(YEAR(TODAY()),MONTH(TODAY()),1))),1,0))</f>
        <v/>
      </c>
      <c r="V100">
        <f>IF($A100="","",IF(AND($B100&gt;0,I100&lt;$B100,DATE($B$1,7,1)&lt;=TODAY(),OR($O100="",$O100&gt;=DATE($B$1,7,1)),OR(COUNTIF($C100:I100,"&gt;0")&gt;0,DATE($B$1,7,1)=DATE(YEAR(TODAY()),MONTH(TODAY()),1))),1,0))</f>
        <v/>
      </c>
      <c r="W100">
        <f>IF($A100="","",IF(AND($B100&gt;0,J100&lt;$B100,DATE($B$1,8,1)&lt;=TODAY(),OR($O100="",$O100&gt;=DATE($B$1,8,1)),OR(COUNTIF($C100:J100,"&gt;0")&gt;0,DATE($B$1,8,1)=DATE(YEAR(TODAY()),MONTH(TODAY()),1))),1,0))</f>
        <v/>
      </c>
      <c r="X100">
        <f>IF($A100="","",IF(AND($B100&gt;0,K100&lt;$B100,DATE($B$1,9,1)&lt;=TODAY(),OR($O100="",$O100&gt;=DATE($B$1,9,1)),OR(COUNTIF($C100:K100,"&gt;0")&gt;0,DATE($B$1,9,1)=DATE(YEAR(TODAY()),MONTH(TODAY()),1))),1,0))</f>
        <v/>
      </c>
      <c r="Y100">
        <f>IF($A100="","",IF(AND($B100&gt;0,L100&lt;$B100,DATE($B$1,10,1)&lt;=TODAY(),OR($O100="",$O100&gt;=DATE($B$1,10,1)),OR(COUNTIF($C100:L100,"&gt;0")&gt;0,DATE($B$1,10,1)=DATE(YEAR(TODAY()),MONTH(TODAY()),1))),1,0))</f>
        <v/>
      </c>
      <c r="Z100">
        <f>IF($A100="","",IF(AND($B100&gt;0,M100&lt;$B100,DATE($B$1,11,1)&lt;=TODAY(),OR($O100="",$O100&gt;=DATE($B$1,11,1)),OR(COUNTIF($C100:M100,"&gt;0")&gt;0,DATE($B$1,11,1)=DATE(YEAR(TODAY()),MONTH(TODAY()),1))),1,0))</f>
        <v/>
      </c>
      <c r="AA100">
        <f>IF($A100="","",IF(AND($B100&gt;0,N100&lt;$B100,DATE($B$1,12,1)&lt;=TODAY(),OR($O100="",$O100&gt;=DATE($B$1,12,1)),OR(COUNTIF($C100:N100,"&gt;0")&gt;0,DATE($B$1,12,1)=DATE(YEAR(TODAY()),MONTH(TODAY()),1))),1,0))</f>
        <v/>
      </c>
    </row>
    <row r="101">
      <c r="A101" s="13">
        <f>IF(원생!$A99="","",원생!$A99&amp;IF(원생!$G99="",""," ("&amp;원생!$G99&amp;")"))</f>
        <v/>
      </c>
      <c r="B101" s="8">
        <f>IF(원생!$A99="","",원생!$F99)</f>
        <v/>
      </c>
      <c r="C101" s="14">
        <f>IF(원생!$A99="","",SUMIFS(수납!$F:$F,수납!$C:$C,원생!$A99,수납!$D:$D,IF(원생!$G99="","",원생!$G99),수납!$B:$B,$B$1&amp;"-"&amp;TEXT(1,"00")&amp;"*",수납!$E:$E,"수강료")+SUMIFS(수납!$F:$F,수납!$C:$C,원생!$A99,수납!$D:$D,IF(원생!$G99="","",원생!$G99),수납!$B:$B,$B$1&amp;"-"&amp;TEXT(1,"00")&amp;"*",수납!$E:$E,""))</f>
        <v/>
      </c>
      <c r="D101" s="14">
        <f>IF(원생!$A99="","",SUMIFS(수납!$F:$F,수납!$C:$C,원생!$A99,수납!$D:$D,IF(원생!$G99="","",원생!$G99),수납!$B:$B,$B$1&amp;"-"&amp;TEXT(2,"00")&amp;"*",수납!$E:$E,"수강료")+SUMIFS(수납!$F:$F,수납!$C:$C,원생!$A99,수납!$D:$D,IF(원생!$G99="","",원생!$G99),수납!$B:$B,$B$1&amp;"-"&amp;TEXT(2,"00")&amp;"*",수납!$E:$E,""))</f>
        <v/>
      </c>
      <c r="E101" s="14">
        <f>IF(원생!$A99="","",SUMIFS(수납!$F:$F,수납!$C:$C,원생!$A99,수납!$D:$D,IF(원생!$G99="","",원생!$G99),수납!$B:$B,$B$1&amp;"-"&amp;TEXT(3,"00")&amp;"*",수납!$E:$E,"수강료")+SUMIFS(수납!$F:$F,수납!$C:$C,원생!$A99,수납!$D:$D,IF(원생!$G99="","",원생!$G99),수납!$B:$B,$B$1&amp;"-"&amp;TEXT(3,"00")&amp;"*",수납!$E:$E,""))</f>
        <v/>
      </c>
      <c r="F101" s="14">
        <f>IF(원생!$A99="","",SUMIFS(수납!$F:$F,수납!$C:$C,원생!$A99,수납!$D:$D,IF(원생!$G99="","",원생!$G99),수납!$B:$B,$B$1&amp;"-"&amp;TEXT(4,"00")&amp;"*",수납!$E:$E,"수강료")+SUMIFS(수납!$F:$F,수납!$C:$C,원생!$A99,수납!$D:$D,IF(원생!$G99="","",원생!$G99),수납!$B:$B,$B$1&amp;"-"&amp;TEXT(4,"00")&amp;"*",수납!$E:$E,""))</f>
        <v/>
      </c>
      <c r="G101" s="14">
        <f>IF(원생!$A99="","",SUMIFS(수납!$F:$F,수납!$C:$C,원생!$A99,수납!$D:$D,IF(원생!$G99="","",원생!$G99),수납!$B:$B,$B$1&amp;"-"&amp;TEXT(5,"00")&amp;"*",수납!$E:$E,"수강료")+SUMIFS(수납!$F:$F,수납!$C:$C,원생!$A99,수납!$D:$D,IF(원생!$G99="","",원생!$G99),수납!$B:$B,$B$1&amp;"-"&amp;TEXT(5,"00")&amp;"*",수납!$E:$E,""))</f>
        <v/>
      </c>
      <c r="H101" s="14">
        <f>IF(원생!$A99="","",SUMIFS(수납!$F:$F,수납!$C:$C,원생!$A99,수납!$D:$D,IF(원생!$G99="","",원생!$G99),수납!$B:$B,$B$1&amp;"-"&amp;TEXT(6,"00")&amp;"*",수납!$E:$E,"수강료")+SUMIFS(수납!$F:$F,수납!$C:$C,원생!$A99,수납!$D:$D,IF(원생!$G99="","",원생!$G99),수납!$B:$B,$B$1&amp;"-"&amp;TEXT(6,"00")&amp;"*",수납!$E:$E,""))</f>
        <v/>
      </c>
      <c r="I101" s="14">
        <f>IF(원생!$A99="","",SUMIFS(수납!$F:$F,수납!$C:$C,원생!$A99,수납!$D:$D,IF(원생!$G99="","",원생!$G99),수납!$B:$B,$B$1&amp;"-"&amp;TEXT(7,"00")&amp;"*",수납!$E:$E,"수강료")+SUMIFS(수납!$F:$F,수납!$C:$C,원생!$A99,수납!$D:$D,IF(원생!$G99="","",원생!$G99),수납!$B:$B,$B$1&amp;"-"&amp;TEXT(7,"00")&amp;"*",수납!$E:$E,""))</f>
        <v/>
      </c>
      <c r="J101" s="14">
        <f>IF(원생!$A99="","",SUMIFS(수납!$F:$F,수납!$C:$C,원생!$A99,수납!$D:$D,IF(원생!$G99="","",원생!$G99),수납!$B:$B,$B$1&amp;"-"&amp;TEXT(8,"00")&amp;"*",수납!$E:$E,"수강료")+SUMIFS(수납!$F:$F,수납!$C:$C,원생!$A99,수납!$D:$D,IF(원생!$G99="","",원생!$G99),수납!$B:$B,$B$1&amp;"-"&amp;TEXT(8,"00")&amp;"*",수납!$E:$E,""))</f>
        <v/>
      </c>
      <c r="K101" s="14">
        <f>IF(원생!$A99="","",SUMIFS(수납!$F:$F,수납!$C:$C,원생!$A99,수납!$D:$D,IF(원생!$G99="","",원생!$G99),수납!$B:$B,$B$1&amp;"-"&amp;TEXT(9,"00")&amp;"*",수납!$E:$E,"수강료")+SUMIFS(수납!$F:$F,수납!$C:$C,원생!$A99,수납!$D:$D,IF(원생!$G99="","",원생!$G99),수납!$B:$B,$B$1&amp;"-"&amp;TEXT(9,"00")&amp;"*",수납!$E:$E,""))</f>
        <v/>
      </c>
      <c r="L101" s="14">
        <f>IF(원생!$A99="","",SUMIFS(수납!$F:$F,수납!$C:$C,원생!$A99,수납!$D:$D,IF(원생!$G99="","",원생!$G99),수납!$B:$B,$B$1&amp;"-"&amp;TEXT(10,"00")&amp;"*",수납!$E:$E,"수강료")+SUMIFS(수납!$F:$F,수납!$C:$C,원생!$A99,수납!$D:$D,IF(원생!$G99="","",원생!$G99),수납!$B:$B,$B$1&amp;"-"&amp;TEXT(10,"00")&amp;"*",수납!$E:$E,""))</f>
        <v/>
      </c>
      <c r="M101" s="14">
        <f>IF(원생!$A99="","",SUMIFS(수납!$F:$F,수납!$C:$C,원생!$A99,수납!$D:$D,IF(원생!$G99="","",원생!$G99),수납!$B:$B,$B$1&amp;"-"&amp;TEXT(11,"00")&amp;"*",수납!$E:$E,"수강료")+SUMIFS(수납!$F:$F,수납!$C:$C,원생!$A99,수납!$D:$D,IF(원생!$G99="","",원생!$G99),수납!$B:$B,$B$1&amp;"-"&amp;TEXT(11,"00")&amp;"*",수납!$E:$E,""))</f>
        <v/>
      </c>
      <c r="N101" s="14">
        <f>IF(원생!$A99="","",SUMIFS(수납!$F:$F,수납!$C:$C,원생!$A99,수납!$D:$D,IF(원생!$G99="","",원생!$G99),수납!$B:$B,$B$1&amp;"-"&amp;TEXT(12,"00")&amp;"*",수납!$E:$E,"수강료")+SUMIFS(수납!$F:$F,수납!$C:$C,원생!$A99,수납!$D:$D,IF(원생!$G99="","",원생!$G99),수납!$B:$B,$B$1&amp;"-"&amp;TEXT(12,"00")&amp;"*",수납!$E:$E,""))</f>
        <v/>
      </c>
      <c r="O101">
        <f>IF(원생!$I99="","",원생!$I99)</f>
        <v/>
      </c>
      <c r="P101">
        <f>IF($A101="","",IF(AND($B101&gt;0,C101&lt;$B101,DATE($B$1,1,1)&lt;=TODAY(),OR($O101="",$O101&gt;=DATE($B$1,1,1)),OR(COUNTIF($C101:C101,"&gt;0")&gt;0,DATE($B$1,1,1)=DATE(YEAR(TODAY()),MONTH(TODAY()),1))),1,0))</f>
        <v/>
      </c>
      <c r="Q101">
        <f>IF($A101="","",IF(AND($B101&gt;0,D101&lt;$B101,DATE($B$1,2,1)&lt;=TODAY(),OR($O101="",$O101&gt;=DATE($B$1,2,1)),OR(COUNTIF($C101:D101,"&gt;0")&gt;0,DATE($B$1,2,1)=DATE(YEAR(TODAY()),MONTH(TODAY()),1))),1,0))</f>
        <v/>
      </c>
      <c r="R101">
        <f>IF($A101="","",IF(AND($B101&gt;0,E101&lt;$B101,DATE($B$1,3,1)&lt;=TODAY(),OR($O101="",$O101&gt;=DATE($B$1,3,1)),OR(COUNTIF($C101:E101,"&gt;0")&gt;0,DATE($B$1,3,1)=DATE(YEAR(TODAY()),MONTH(TODAY()),1))),1,0))</f>
        <v/>
      </c>
      <c r="S101">
        <f>IF($A101="","",IF(AND($B101&gt;0,F101&lt;$B101,DATE($B$1,4,1)&lt;=TODAY(),OR($O101="",$O101&gt;=DATE($B$1,4,1)),OR(COUNTIF($C101:F101,"&gt;0")&gt;0,DATE($B$1,4,1)=DATE(YEAR(TODAY()),MONTH(TODAY()),1))),1,0))</f>
        <v/>
      </c>
      <c r="T101">
        <f>IF($A101="","",IF(AND($B101&gt;0,G101&lt;$B101,DATE($B$1,5,1)&lt;=TODAY(),OR($O101="",$O101&gt;=DATE($B$1,5,1)),OR(COUNTIF($C101:G101,"&gt;0")&gt;0,DATE($B$1,5,1)=DATE(YEAR(TODAY()),MONTH(TODAY()),1))),1,0))</f>
        <v/>
      </c>
      <c r="U101">
        <f>IF($A101="","",IF(AND($B101&gt;0,H101&lt;$B101,DATE($B$1,6,1)&lt;=TODAY(),OR($O101="",$O101&gt;=DATE($B$1,6,1)),OR(COUNTIF($C101:H101,"&gt;0")&gt;0,DATE($B$1,6,1)=DATE(YEAR(TODAY()),MONTH(TODAY()),1))),1,0))</f>
        <v/>
      </c>
      <c r="V101">
        <f>IF($A101="","",IF(AND($B101&gt;0,I101&lt;$B101,DATE($B$1,7,1)&lt;=TODAY(),OR($O101="",$O101&gt;=DATE($B$1,7,1)),OR(COUNTIF($C101:I101,"&gt;0")&gt;0,DATE($B$1,7,1)=DATE(YEAR(TODAY()),MONTH(TODAY()),1))),1,0))</f>
        <v/>
      </c>
      <c r="W101">
        <f>IF($A101="","",IF(AND($B101&gt;0,J101&lt;$B101,DATE($B$1,8,1)&lt;=TODAY(),OR($O101="",$O101&gt;=DATE($B$1,8,1)),OR(COUNTIF($C101:J101,"&gt;0")&gt;0,DATE($B$1,8,1)=DATE(YEAR(TODAY()),MONTH(TODAY()),1))),1,0))</f>
        <v/>
      </c>
      <c r="X101">
        <f>IF($A101="","",IF(AND($B101&gt;0,K101&lt;$B101,DATE($B$1,9,1)&lt;=TODAY(),OR($O101="",$O101&gt;=DATE($B$1,9,1)),OR(COUNTIF($C101:K101,"&gt;0")&gt;0,DATE($B$1,9,1)=DATE(YEAR(TODAY()),MONTH(TODAY()),1))),1,0))</f>
        <v/>
      </c>
      <c r="Y101">
        <f>IF($A101="","",IF(AND($B101&gt;0,L101&lt;$B101,DATE($B$1,10,1)&lt;=TODAY(),OR($O101="",$O101&gt;=DATE($B$1,10,1)),OR(COUNTIF($C101:L101,"&gt;0")&gt;0,DATE($B$1,10,1)=DATE(YEAR(TODAY()),MONTH(TODAY()),1))),1,0))</f>
        <v/>
      </c>
      <c r="Z101">
        <f>IF($A101="","",IF(AND($B101&gt;0,M101&lt;$B101,DATE($B$1,11,1)&lt;=TODAY(),OR($O101="",$O101&gt;=DATE($B$1,11,1)),OR(COUNTIF($C101:M101,"&gt;0")&gt;0,DATE($B$1,11,1)=DATE(YEAR(TODAY()),MONTH(TODAY()),1))),1,0))</f>
        <v/>
      </c>
      <c r="AA101">
        <f>IF($A101="","",IF(AND($B101&gt;0,N101&lt;$B101,DATE($B$1,12,1)&lt;=TODAY(),OR($O101="",$O101&gt;=DATE($B$1,12,1)),OR(COUNTIF($C101:N101,"&gt;0")&gt;0,DATE($B$1,12,1)=DATE(YEAR(TODAY()),MONTH(TODAY()),1))),1,0))</f>
        <v/>
      </c>
    </row>
    <row r="102">
      <c r="A102" s="13">
        <f>IF(원생!$A100="","",원생!$A100&amp;IF(원생!$G100="",""," ("&amp;원생!$G100&amp;")"))</f>
        <v/>
      </c>
      <c r="B102" s="8">
        <f>IF(원생!$A100="","",원생!$F100)</f>
        <v/>
      </c>
      <c r="C102" s="14">
        <f>IF(원생!$A100="","",SUMIFS(수납!$F:$F,수납!$C:$C,원생!$A100,수납!$D:$D,IF(원생!$G100="","",원생!$G100),수납!$B:$B,$B$1&amp;"-"&amp;TEXT(1,"00")&amp;"*",수납!$E:$E,"수강료")+SUMIFS(수납!$F:$F,수납!$C:$C,원생!$A100,수납!$D:$D,IF(원생!$G100="","",원생!$G100),수납!$B:$B,$B$1&amp;"-"&amp;TEXT(1,"00")&amp;"*",수납!$E:$E,""))</f>
        <v/>
      </c>
      <c r="D102" s="14">
        <f>IF(원생!$A100="","",SUMIFS(수납!$F:$F,수납!$C:$C,원생!$A100,수납!$D:$D,IF(원생!$G100="","",원생!$G100),수납!$B:$B,$B$1&amp;"-"&amp;TEXT(2,"00")&amp;"*",수납!$E:$E,"수강료")+SUMIFS(수납!$F:$F,수납!$C:$C,원생!$A100,수납!$D:$D,IF(원생!$G100="","",원생!$G100),수납!$B:$B,$B$1&amp;"-"&amp;TEXT(2,"00")&amp;"*",수납!$E:$E,""))</f>
        <v/>
      </c>
      <c r="E102" s="14">
        <f>IF(원생!$A100="","",SUMIFS(수납!$F:$F,수납!$C:$C,원생!$A100,수납!$D:$D,IF(원생!$G100="","",원생!$G100),수납!$B:$B,$B$1&amp;"-"&amp;TEXT(3,"00")&amp;"*",수납!$E:$E,"수강료")+SUMIFS(수납!$F:$F,수납!$C:$C,원생!$A100,수납!$D:$D,IF(원생!$G100="","",원생!$G100),수납!$B:$B,$B$1&amp;"-"&amp;TEXT(3,"00")&amp;"*",수납!$E:$E,""))</f>
        <v/>
      </c>
      <c r="F102" s="14">
        <f>IF(원생!$A100="","",SUMIFS(수납!$F:$F,수납!$C:$C,원생!$A100,수납!$D:$D,IF(원생!$G100="","",원생!$G100),수납!$B:$B,$B$1&amp;"-"&amp;TEXT(4,"00")&amp;"*",수납!$E:$E,"수강료")+SUMIFS(수납!$F:$F,수납!$C:$C,원생!$A100,수납!$D:$D,IF(원생!$G100="","",원생!$G100),수납!$B:$B,$B$1&amp;"-"&amp;TEXT(4,"00")&amp;"*",수납!$E:$E,""))</f>
        <v/>
      </c>
      <c r="G102" s="14">
        <f>IF(원생!$A100="","",SUMIFS(수납!$F:$F,수납!$C:$C,원생!$A100,수납!$D:$D,IF(원생!$G100="","",원생!$G100),수납!$B:$B,$B$1&amp;"-"&amp;TEXT(5,"00")&amp;"*",수납!$E:$E,"수강료")+SUMIFS(수납!$F:$F,수납!$C:$C,원생!$A100,수납!$D:$D,IF(원생!$G100="","",원생!$G100),수납!$B:$B,$B$1&amp;"-"&amp;TEXT(5,"00")&amp;"*",수납!$E:$E,""))</f>
        <v/>
      </c>
      <c r="H102" s="14">
        <f>IF(원생!$A100="","",SUMIFS(수납!$F:$F,수납!$C:$C,원생!$A100,수납!$D:$D,IF(원생!$G100="","",원생!$G100),수납!$B:$B,$B$1&amp;"-"&amp;TEXT(6,"00")&amp;"*",수납!$E:$E,"수강료")+SUMIFS(수납!$F:$F,수납!$C:$C,원생!$A100,수납!$D:$D,IF(원생!$G100="","",원생!$G100),수납!$B:$B,$B$1&amp;"-"&amp;TEXT(6,"00")&amp;"*",수납!$E:$E,""))</f>
        <v/>
      </c>
      <c r="I102" s="14">
        <f>IF(원생!$A100="","",SUMIFS(수납!$F:$F,수납!$C:$C,원생!$A100,수납!$D:$D,IF(원생!$G100="","",원생!$G100),수납!$B:$B,$B$1&amp;"-"&amp;TEXT(7,"00")&amp;"*",수납!$E:$E,"수강료")+SUMIFS(수납!$F:$F,수납!$C:$C,원생!$A100,수납!$D:$D,IF(원생!$G100="","",원생!$G100),수납!$B:$B,$B$1&amp;"-"&amp;TEXT(7,"00")&amp;"*",수납!$E:$E,""))</f>
        <v/>
      </c>
      <c r="J102" s="14">
        <f>IF(원생!$A100="","",SUMIFS(수납!$F:$F,수납!$C:$C,원생!$A100,수납!$D:$D,IF(원생!$G100="","",원생!$G100),수납!$B:$B,$B$1&amp;"-"&amp;TEXT(8,"00")&amp;"*",수납!$E:$E,"수강료")+SUMIFS(수납!$F:$F,수납!$C:$C,원생!$A100,수납!$D:$D,IF(원생!$G100="","",원생!$G100),수납!$B:$B,$B$1&amp;"-"&amp;TEXT(8,"00")&amp;"*",수납!$E:$E,""))</f>
        <v/>
      </c>
      <c r="K102" s="14">
        <f>IF(원생!$A100="","",SUMIFS(수납!$F:$F,수납!$C:$C,원생!$A100,수납!$D:$D,IF(원생!$G100="","",원생!$G100),수납!$B:$B,$B$1&amp;"-"&amp;TEXT(9,"00")&amp;"*",수납!$E:$E,"수강료")+SUMIFS(수납!$F:$F,수납!$C:$C,원생!$A100,수납!$D:$D,IF(원생!$G100="","",원생!$G100),수납!$B:$B,$B$1&amp;"-"&amp;TEXT(9,"00")&amp;"*",수납!$E:$E,""))</f>
        <v/>
      </c>
      <c r="L102" s="14">
        <f>IF(원생!$A100="","",SUMIFS(수납!$F:$F,수납!$C:$C,원생!$A100,수납!$D:$D,IF(원생!$G100="","",원생!$G100),수납!$B:$B,$B$1&amp;"-"&amp;TEXT(10,"00")&amp;"*",수납!$E:$E,"수강료")+SUMIFS(수납!$F:$F,수납!$C:$C,원생!$A100,수납!$D:$D,IF(원생!$G100="","",원생!$G100),수납!$B:$B,$B$1&amp;"-"&amp;TEXT(10,"00")&amp;"*",수납!$E:$E,""))</f>
        <v/>
      </c>
      <c r="M102" s="14">
        <f>IF(원생!$A100="","",SUMIFS(수납!$F:$F,수납!$C:$C,원생!$A100,수납!$D:$D,IF(원생!$G100="","",원생!$G100),수납!$B:$B,$B$1&amp;"-"&amp;TEXT(11,"00")&amp;"*",수납!$E:$E,"수강료")+SUMIFS(수납!$F:$F,수납!$C:$C,원생!$A100,수납!$D:$D,IF(원생!$G100="","",원생!$G100),수납!$B:$B,$B$1&amp;"-"&amp;TEXT(11,"00")&amp;"*",수납!$E:$E,""))</f>
        <v/>
      </c>
      <c r="N102" s="14">
        <f>IF(원생!$A100="","",SUMIFS(수납!$F:$F,수납!$C:$C,원생!$A100,수납!$D:$D,IF(원생!$G100="","",원생!$G100),수납!$B:$B,$B$1&amp;"-"&amp;TEXT(12,"00")&amp;"*",수납!$E:$E,"수강료")+SUMIFS(수납!$F:$F,수납!$C:$C,원생!$A100,수납!$D:$D,IF(원생!$G100="","",원생!$G100),수납!$B:$B,$B$1&amp;"-"&amp;TEXT(12,"00")&amp;"*",수납!$E:$E,""))</f>
        <v/>
      </c>
      <c r="O102">
        <f>IF(원생!$I100="","",원생!$I100)</f>
        <v/>
      </c>
      <c r="P102">
        <f>IF($A102="","",IF(AND($B102&gt;0,C102&lt;$B102,DATE($B$1,1,1)&lt;=TODAY(),OR($O102="",$O102&gt;=DATE($B$1,1,1)),OR(COUNTIF($C102:C102,"&gt;0")&gt;0,DATE($B$1,1,1)=DATE(YEAR(TODAY()),MONTH(TODAY()),1))),1,0))</f>
        <v/>
      </c>
      <c r="Q102">
        <f>IF($A102="","",IF(AND($B102&gt;0,D102&lt;$B102,DATE($B$1,2,1)&lt;=TODAY(),OR($O102="",$O102&gt;=DATE($B$1,2,1)),OR(COUNTIF($C102:D102,"&gt;0")&gt;0,DATE($B$1,2,1)=DATE(YEAR(TODAY()),MONTH(TODAY()),1))),1,0))</f>
        <v/>
      </c>
      <c r="R102">
        <f>IF($A102="","",IF(AND($B102&gt;0,E102&lt;$B102,DATE($B$1,3,1)&lt;=TODAY(),OR($O102="",$O102&gt;=DATE($B$1,3,1)),OR(COUNTIF($C102:E102,"&gt;0")&gt;0,DATE($B$1,3,1)=DATE(YEAR(TODAY()),MONTH(TODAY()),1))),1,0))</f>
        <v/>
      </c>
      <c r="S102">
        <f>IF($A102="","",IF(AND($B102&gt;0,F102&lt;$B102,DATE($B$1,4,1)&lt;=TODAY(),OR($O102="",$O102&gt;=DATE($B$1,4,1)),OR(COUNTIF($C102:F102,"&gt;0")&gt;0,DATE($B$1,4,1)=DATE(YEAR(TODAY()),MONTH(TODAY()),1))),1,0))</f>
        <v/>
      </c>
      <c r="T102">
        <f>IF($A102="","",IF(AND($B102&gt;0,G102&lt;$B102,DATE($B$1,5,1)&lt;=TODAY(),OR($O102="",$O102&gt;=DATE($B$1,5,1)),OR(COUNTIF($C102:G102,"&gt;0")&gt;0,DATE($B$1,5,1)=DATE(YEAR(TODAY()),MONTH(TODAY()),1))),1,0))</f>
        <v/>
      </c>
      <c r="U102">
        <f>IF($A102="","",IF(AND($B102&gt;0,H102&lt;$B102,DATE($B$1,6,1)&lt;=TODAY(),OR($O102="",$O102&gt;=DATE($B$1,6,1)),OR(COUNTIF($C102:H102,"&gt;0")&gt;0,DATE($B$1,6,1)=DATE(YEAR(TODAY()),MONTH(TODAY()),1))),1,0))</f>
        <v/>
      </c>
      <c r="V102">
        <f>IF($A102="","",IF(AND($B102&gt;0,I102&lt;$B102,DATE($B$1,7,1)&lt;=TODAY(),OR($O102="",$O102&gt;=DATE($B$1,7,1)),OR(COUNTIF($C102:I102,"&gt;0")&gt;0,DATE($B$1,7,1)=DATE(YEAR(TODAY()),MONTH(TODAY()),1))),1,0))</f>
        <v/>
      </c>
      <c r="W102">
        <f>IF($A102="","",IF(AND($B102&gt;0,J102&lt;$B102,DATE($B$1,8,1)&lt;=TODAY(),OR($O102="",$O102&gt;=DATE($B$1,8,1)),OR(COUNTIF($C102:J102,"&gt;0")&gt;0,DATE($B$1,8,1)=DATE(YEAR(TODAY()),MONTH(TODAY()),1))),1,0))</f>
        <v/>
      </c>
      <c r="X102">
        <f>IF($A102="","",IF(AND($B102&gt;0,K102&lt;$B102,DATE($B$1,9,1)&lt;=TODAY(),OR($O102="",$O102&gt;=DATE($B$1,9,1)),OR(COUNTIF($C102:K102,"&gt;0")&gt;0,DATE($B$1,9,1)=DATE(YEAR(TODAY()),MONTH(TODAY()),1))),1,0))</f>
        <v/>
      </c>
      <c r="Y102">
        <f>IF($A102="","",IF(AND($B102&gt;0,L102&lt;$B102,DATE($B$1,10,1)&lt;=TODAY(),OR($O102="",$O102&gt;=DATE($B$1,10,1)),OR(COUNTIF($C102:L102,"&gt;0")&gt;0,DATE($B$1,10,1)=DATE(YEAR(TODAY()),MONTH(TODAY()),1))),1,0))</f>
        <v/>
      </c>
      <c r="Z102">
        <f>IF($A102="","",IF(AND($B102&gt;0,M102&lt;$B102,DATE($B$1,11,1)&lt;=TODAY(),OR($O102="",$O102&gt;=DATE($B$1,11,1)),OR(COUNTIF($C102:M102,"&gt;0")&gt;0,DATE($B$1,11,1)=DATE(YEAR(TODAY()),MONTH(TODAY()),1))),1,0))</f>
        <v/>
      </c>
      <c r="AA102">
        <f>IF($A102="","",IF(AND($B102&gt;0,N102&lt;$B102,DATE($B$1,12,1)&lt;=TODAY(),OR($O102="",$O102&gt;=DATE($B$1,12,1)),OR(COUNTIF($C102:N102,"&gt;0")&gt;0,DATE($B$1,12,1)=DATE(YEAR(TODAY()),MONTH(TODAY()),1))),1,0))</f>
        <v/>
      </c>
    </row>
    <row r="103">
      <c r="A103" s="13">
        <f>IF(원생!$A101="","",원생!$A101&amp;IF(원생!$G101="",""," ("&amp;원생!$G101&amp;")"))</f>
        <v/>
      </c>
      <c r="B103" s="8">
        <f>IF(원생!$A101="","",원생!$F101)</f>
        <v/>
      </c>
      <c r="C103" s="14">
        <f>IF(원생!$A101="","",SUMIFS(수납!$F:$F,수납!$C:$C,원생!$A101,수납!$D:$D,IF(원생!$G101="","",원생!$G101),수납!$B:$B,$B$1&amp;"-"&amp;TEXT(1,"00")&amp;"*",수납!$E:$E,"수강료")+SUMIFS(수납!$F:$F,수납!$C:$C,원생!$A101,수납!$D:$D,IF(원생!$G101="","",원생!$G101),수납!$B:$B,$B$1&amp;"-"&amp;TEXT(1,"00")&amp;"*",수납!$E:$E,""))</f>
        <v/>
      </c>
      <c r="D103" s="14">
        <f>IF(원생!$A101="","",SUMIFS(수납!$F:$F,수납!$C:$C,원생!$A101,수납!$D:$D,IF(원생!$G101="","",원생!$G101),수납!$B:$B,$B$1&amp;"-"&amp;TEXT(2,"00")&amp;"*",수납!$E:$E,"수강료")+SUMIFS(수납!$F:$F,수납!$C:$C,원생!$A101,수납!$D:$D,IF(원생!$G101="","",원생!$G101),수납!$B:$B,$B$1&amp;"-"&amp;TEXT(2,"00")&amp;"*",수납!$E:$E,""))</f>
        <v/>
      </c>
      <c r="E103" s="14">
        <f>IF(원생!$A101="","",SUMIFS(수납!$F:$F,수납!$C:$C,원생!$A101,수납!$D:$D,IF(원생!$G101="","",원생!$G101),수납!$B:$B,$B$1&amp;"-"&amp;TEXT(3,"00")&amp;"*",수납!$E:$E,"수강료")+SUMIFS(수납!$F:$F,수납!$C:$C,원생!$A101,수납!$D:$D,IF(원생!$G101="","",원생!$G101),수납!$B:$B,$B$1&amp;"-"&amp;TEXT(3,"00")&amp;"*",수납!$E:$E,""))</f>
        <v/>
      </c>
      <c r="F103" s="14">
        <f>IF(원생!$A101="","",SUMIFS(수납!$F:$F,수납!$C:$C,원생!$A101,수납!$D:$D,IF(원생!$G101="","",원생!$G101),수납!$B:$B,$B$1&amp;"-"&amp;TEXT(4,"00")&amp;"*",수납!$E:$E,"수강료")+SUMIFS(수납!$F:$F,수납!$C:$C,원생!$A101,수납!$D:$D,IF(원생!$G101="","",원생!$G101),수납!$B:$B,$B$1&amp;"-"&amp;TEXT(4,"00")&amp;"*",수납!$E:$E,""))</f>
        <v/>
      </c>
      <c r="G103" s="14">
        <f>IF(원생!$A101="","",SUMIFS(수납!$F:$F,수납!$C:$C,원생!$A101,수납!$D:$D,IF(원생!$G101="","",원생!$G101),수납!$B:$B,$B$1&amp;"-"&amp;TEXT(5,"00")&amp;"*",수납!$E:$E,"수강료")+SUMIFS(수납!$F:$F,수납!$C:$C,원생!$A101,수납!$D:$D,IF(원생!$G101="","",원생!$G101),수납!$B:$B,$B$1&amp;"-"&amp;TEXT(5,"00")&amp;"*",수납!$E:$E,""))</f>
        <v/>
      </c>
      <c r="H103" s="14">
        <f>IF(원생!$A101="","",SUMIFS(수납!$F:$F,수납!$C:$C,원생!$A101,수납!$D:$D,IF(원생!$G101="","",원생!$G101),수납!$B:$B,$B$1&amp;"-"&amp;TEXT(6,"00")&amp;"*",수납!$E:$E,"수강료")+SUMIFS(수납!$F:$F,수납!$C:$C,원생!$A101,수납!$D:$D,IF(원생!$G101="","",원생!$G101),수납!$B:$B,$B$1&amp;"-"&amp;TEXT(6,"00")&amp;"*",수납!$E:$E,""))</f>
        <v/>
      </c>
      <c r="I103" s="14">
        <f>IF(원생!$A101="","",SUMIFS(수납!$F:$F,수납!$C:$C,원생!$A101,수납!$D:$D,IF(원생!$G101="","",원생!$G101),수납!$B:$B,$B$1&amp;"-"&amp;TEXT(7,"00")&amp;"*",수납!$E:$E,"수강료")+SUMIFS(수납!$F:$F,수납!$C:$C,원생!$A101,수납!$D:$D,IF(원생!$G101="","",원생!$G101),수납!$B:$B,$B$1&amp;"-"&amp;TEXT(7,"00")&amp;"*",수납!$E:$E,""))</f>
        <v/>
      </c>
      <c r="J103" s="14">
        <f>IF(원생!$A101="","",SUMIFS(수납!$F:$F,수납!$C:$C,원생!$A101,수납!$D:$D,IF(원생!$G101="","",원생!$G101),수납!$B:$B,$B$1&amp;"-"&amp;TEXT(8,"00")&amp;"*",수납!$E:$E,"수강료")+SUMIFS(수납!$F:$F,수납!$C:$C,원생!$A101,수납!$D:$D,IF(원생!$G101="","",원생!$G101),수납!$B:$B,$B$1&amp;"-"&amp;TEXT(8,"00")&amp;"*",수납!$E:$E,""))</f>
        <v/>
      </c>
      <c r="K103" s="14">
        <f>IF(원생!$A101="","",SUMIFS(수납!$F:$F,수납!$C:$C,원생!$A101,수납!$D:$D,IF(원생!$G101="","",원생!$G101),수납!$B:$B,$B$1&amp;"-"&amp;TEXT(9,"00")&amp;"*",수납!$E:$E,"수강료")+SUMIFS(수납!$F:$F,수납!$C:$C,원생!$A101,수납!$D:$D,IF(원생!$G101="","",원생!$G101),수납!$B:$B,$B$1&amp;"-"&amp;TEXT(9,"00")&amp;"*",수납!$E:$E,""))</f>
        <v/>
      </c>
      <c r="L103" s="14">
        <f>IF(원생!$A101="","",SUMIFS(수납!$F:$F,수납!$C:$C,원생!$A101,수납!$D:$D,IF(원생!$G101="","",원생!$G101),수납!$B:$B,$B$1&amp;"-"&amp;TEXT(10,"00")&amp;"*",수납!$E:$E,"수강료")+SUMIFS(수납!$F:$F,수납!$C:$C,원생!$A101,수납!$D:$D,IF(원생!$G101="","",원생!$G101),수납!$B:$B,$B$1&amp;"-"&amp;TEXT(10,"00")&amp;"*",수납!$E:$E,""))</f>
        <v/>
      </c>
      <c r="M103" s="14">
        <f>IF(원생!$A101="","",SUMIFS(수납!$F:$F,수납!$C:$C,원생!$A101,수납!$D:$D,IF(원생!$G101="","",원생!$G101),수납!$B:$B,$B$1&amp;"-"&amp;TEXT(11,"00")&amp;"*",수납!$E:$E,"수강료")+SUMIFS(수납!$F:$F,수납!$C:$C,원생!$A101,수납!$D:$D,IF(원생!$G101="","",원생!$G101),수납!$B:$B,$B$1&amp;"-"&amp;TEXT(11,"00")&amp;"*",수납!$E:$E,""))</f>
        <v/>
      </c>
      <c r="N103" s="14">
        <f>IF(원생!$A101="","",SUMIFS(수납!$F:$F,수납!$C:$C,원생!$A101,수납!$D:$D,IF(원생!$G101="","",원생!$G101),수납!$B:$B,$B$1&amp;"-"&amp;TEXT(12,"00")&amp;"*",수납!$E:$E,"수강료")+SUMIFS(수납!$F:$F,수납!$C:$C,원생!$A101,수납!$D:$D,IF(원생!$G101="","",원생!$G101),수납!$B:$B,$B$1&amp;"-"&amp;TEXT(12,"00")&amp;"*",수납!$E:$E,""))</f>
        <v/>
      </c>
      <c r="O103">
        <f>IF(원생!$I101="","",원생!$I101)</f>
        <v/>
      </c>
      <c r="P103">
        <f>IF($A103="","",IF(AND($B103&gt;0,C103&lt;$B103,DATE($B$1,1,1)&lt;=TODAY(),OR($O103="",$O103&gt;=DATE($B$1,1,1)),OR(COUNTIF($C103:C103,"&gt;0")&gt;0,DATE($B$1,1,1)=DATE(YEAR(TODAY()),MONTH(TODAY()),1))),1,0))</f>
        <v/>
      </c>
      <c r="Q103">
        <f>IF($A103="","",IF(AND($B103&gt;0,D103&lt;$B103,DATE($B$1,2,1)&lt;=TODAY(),OR($O103="",$O103&gt;=DATE($B$1,2,1)),OR(COUNTIF($C103:D103,"&gt;0")&gt;0,DATE($B$1,2,1)=DATE(YEAR(TODAY()),MONTH(TODAY()),1))),1,0))</f>
        <v/>
      </c>
      <c r="R103">
        <f>IF($A103="","",IF(AND($B103&gt;0,E103&lt;$B103,DATE($B$1,3,1)&lt;=TODAY(),OR($O103="",$O103&gt;=DATE($B$1,3,1)),OR(COUNTIF($C103:E103,"&gt;0")&gt;0,DATE($B$1,3,1)=DATE(YEAR(TODAY()),MONTH(TODAY()),1))),1,0))</f>
        <v/>
      </c>
      <c r="S103">
        <f>IF($A103="","",IF(AND($B103&gt;0,F103&lt;$B103,DATE($B$1,4,1)&lt;=TODAY(),OR($O103="",$O103&gt;=DATE($B$1,4,1)),OR(COUNTIF($C103:F103,"&gt;0")&gt;0,DATE($B$1,4,1)=DATE(YEAR(TODAY()),MONTH(TODAY()),1))),1,0))</f>
        <v/>
      </c>
      <c r="T103">
        <f>IF($A103="","",IF(AND($B103&gt;0,G103&lt;$B103,DATE($B$1,5,1)&lt;=TODAY(),OR($O103="",$O103&gt;=DATE($B$1,5,1)),OR(COUNTIF($C103:G103,"&gt;0")&gt;0,DATE($B$1,5,1)=DATE(YEAR(TODAY()),MONTH(TODAY()),1))),1,0))</f>
        <v/>
      </c>
      <c r="U103">
        <f>IF($A103="","",IF(AND($B103&gt;0,H103&lt;$B103,DATE($B$1,6,1)&lt;=TODAY(),OR($O103="",$O103&gt;=DATE($B$1,6,1)),OR(COUNTIF($C103:H103,"&gt;0")&gt;0,DATE($B$1,6,1)=DATE(YEAR(TODAY()),MONTH(TODAY()),1))),1,0))</f>
        <v/>
      </c>
      <c r="V103">
        <f>IF($A103="","",IF(AND($B103&gt;0,I103&lt;$B103,DATE($B$1,7,1)&lt;=TODAY(),OR($O103="",$O103&gt;=DATE($B$1,7,1)),OR(COUNTIF($C103:I103,"&gt;0")&gt;0,DATE($B$1,7,1)=DATE(YEAR(TODAY()),MONTH(TODAY()),1))),1,0))</f>
        <v/>
      </c>
      <c r="W103">
        <f>IF($A103="","",IF(AND($B103&gt;0,J103&lt;$B103,DATE($B$1,8,1)&lt;=TODAY(),OR($O103="",$O103&gt;=DATE($B$1,8,1)),OR(COUNTIF($C103:J103,"&gt;0")&gt;0,DATE($B$1,8,1)=DATE(YEAR(TODAY()),MONTH(TODAY()),1))),1,0))</f>
        <v/>
      </c>
      <c r="X103">
        <f>IF($A103="","",IF(AND($B103&gt;0,K103&lt;$B103,DATE($B$1,9,1)&lt;=TODAY(),OR($O103="",$O103&gt;=DATE($B$1,9,1)),OR(COUNTIF($C103:K103,"&gt;0")&gt;0,DATE($B$1,9,1)=DATE(YEAR(TODAY()),MONTH(TODAY()),1))),1,0))</f>
        <v/>
      </c>
      <c r="Y103">
        <f>IF($A103="","",IF(AND($B103&gt;0,L103&lt;$B103,DATE($B$1,10,1)&lt;=TODAY(),OR($O103="",$O103&gt;=DATE($B$1,10,1)),OR(COUNTIF($C103:L103,"&gt;0")&gt;0,DATE($B$1,10,1)=DATE(YEAR(TODAY()),MONTH(TODAY()),1))),1,0))</f>
        <v/>
      </c>
      <c r="Z103">
        <f>IF($A103="","",IF(AND($B103&gt;0,M103&lt;$B103,DATE($B$1,11,1)&lt;=TODAY(),OR($O103="",$O103&gt;=DATE($B$1,11,1)),OR(COUNTIF($C103:M103,"&gt;0")&gt;0,DATE($B$1,11,1)=DATE(YEAR(TODAY()),MONTH(TODAY()),1))),1,0))</f>
        <v/>
      </c>
      <c r="AA103">
        <f>IF($A103="","",IF(AND($B103&gt;0,N103&lt;$B103,DATE($B$1,12,1)&lt;=TODAY(),OR($O103="",$O103&gt;=DATE($B$1,12,1)),OR(COUNTIF($C103:N103,"&gt;0")&gt;0,DATE($B$1,12,1)=DATE(YEAR(TODAY()),MONTH(TODAY()),1))),1,0))</f>
        <v/>
      </c>
    </row>
    <row r="104">
      <c r="A104" s="13">
        <f>IF(원생!$A102="","",원생!$A102&amp;IF(원생!$G102="",""," ("&amp;원생!$G102&amp;")"))</f>
        <v/>
      </c>
      <c r="B104" s="8">
        <f>IF(원생!$A102="","",원생!$F102)</f>
        <v/>
      </c>
      <c r="C104" s="14">
        <f>IF(원생!$A102="","",SUMIFS(수납!$F:$F,수납!$C:$C,원생!$A102,수납!$D:$D,IF(원생!$G102="","",원생!$G102),수납!$B:$B,$B$1&amp;"-"&amp;TEXT(1,"00")&amp;"*",수납!$E:$E,"수강료")+SUMIFS(수납!$F:$F,수납!$C:$C,원생!$A102,수납!$D:$D,IF(원생!$G102="","",원생!$G102),수납!$B:$B,$B$1&amp;"-"&amp;TEXT(1,"00")&amp;"*",수납!$E:$E,""))</f>
        <v/>
      </c>
      <c r="D104" s="14">
        <f>IF(원생!$A102="","",SUMIFS(수납!$F:$F,수납!$C:$C,원생!$A102,수납!$D:$D,IF(원생!$G102="","",원생!$G102),수납!$B:$B,$B$1&amp;"-"&amp;TEXT(2,"00")&amp;"*",수납!$E:$E,"수강료")+SUMIFS(수납!$F:$F,수납!$C:$C,원생!$A102,수납!$D:$D,IF(원생!$G102="","",원생!$G102),수납!$B:$B,$B$1&amp;"-"&amp;TEXT(2,"00")&amp;"*",수납!$E:$E,""))</f>
        <v/>
      </c>
      <c r="E104" s="14">
        <f>IF(원생!$A102="","",SUMIFS(수납!$F:$F,수납!$C:$C,원생!$A102,수납!$D:$D,IF(원생!$G102="","",원생!$G102),수납!$B:$B,$B$1&amp;"-"&amp;TEXT(3,"00")&amp;"*",수납!$E:$E,"수강료")+SUMIFS(수납!$F:$F,수납!$C:$C,원생!$A102,수납!$D:$D,IF(원생!$G102="","",원생!$G102),수납!$B:$B,$B$1&amp;"-"&amp;TEXT(3,"00")&amp;"*",수납!$E:$E,""))</f>
        <v/>
      </c>
      <c r="F104" s="14">
        <f>IF(원생!$A102="","",SUMIFS(수납!$F:$F,수납!$C:$C,원생!$A102,수납!$D:$D,IF(원생!$G102="","",원생!$G102),수납!$B:$B,$B$1&amp;"-"&amp;TEXT(4,"00")&amp;"*",수납!$E:$E,"수강료")+SUMIFS(수납!$F:$F,수납!$C:$C,원생!$A102,수납!$D:$D,IF(원생!$G102="","",원생!$G102),수납!$B:$B,$B$1&amp;"-"&amp;TEXT(4,"00")&amp;"*",수납!$E:$E,""))</f>
        <v/>
      </c>
      <c r="G104" s="14">
        <f>IF(원생!$A102="","",SUMIFS(수납!$F:$F,수납!$C:$C,원생!$A102,수납!$D:$D,IF(원생!$G102="","",원생!$G102),수납!$B:$B,$B$1&amp;"-"&amp;TEXT(5,"00")&amp;"*",수납!$E:$E,"수강료")+SUMIFS(수납!$F:$F,수납!$C:$C,원생!$A102,수납!$D:$D,IF(원생!$G102="","",원생!$G102),수납!$B:$B,$B$1&amp;"-"&amp;TEXT(5,"00")&amp;"*",수납!$E:$E,""))</f>
        <v/>
      </c>
      <c r="H104" s="14">
        <f>IF(원생!$A102="","",SUMIFS(수납!$F:$F,수납!$C:$C,원생!$A102,수납!$D:$D,IF(원생!$G102="","",원생!$G102),수납!$B:$B,$B$1&amp;"-"&amp;TEXT(6,"00")&amp;"*",수납!$E:$E,"수강료")+SUMIFS(수납!$F:$F,수납!$C:$C,원생!$A102,수납!$D:$D,IF(원생!$G102="","",원생!$G102),수납!$B:$B,$B$1&amp;"-"&amp;TEXT(6,"00")&amp;"*",수납!$E:$E,""))</f>
        <v/>
      </c>
      <c r="I104" s="14">
        <f>IF(원생!$A102="","",SUMIFS(수납!$F:$F,수납!$C:$C,원생!$A102,수납!$D:$D,IF(원생!$G102="","",원생!$G102),수납!$B:$B,$B$1&amp;"-"&amp;TEXT(7,"00")&amp;"*",수납!$E:$E,"수강료")+SUMIFS(수납!$F:$F,수납!$C:$C,원생!$A102,수납!$D:$D,IF(원생!$G102="","",원생!$G102),수납!$B:$B,$B$1&amp;"-"&amp;TEXT(7,"00")&amp;"*",수납!$E:$E,""))</f>
        <v/>
      </c>
      <c r="J104" s="14">
        <f>IF(원생!$A102="","",SUMIFS(수납!$F:$F,수납!$C:$C,원생!$A102,수납!$D:$D,IF(원생!$G102="","",원생!$G102),수납!$B:$B,$B$1&amp;"-"&amp;TEXT(8,"00")&amp;"*",수납!$E:$E,"수강료")+SUMIFS(수납!$F:$F,수납!$C:$C,원생!$A102,수납!$D:$D,IF(원생!$G102="","",원생!$G102),수납!$B:$B,$B$1&amp;"-"&amp;TEXT(8,"00")&amp;"*",수납!$E:$E,""))</f>
        <v/>
      </c>
      <c r="K104" s="14">
        <f>IF(원생!$A102="","",SUMIFS(수납!$F:$F,수납!$C:$C,원생!$A102,수납!$D:$D,IF(원생!$G102="","",원생!$G102),수납!$B:$B,$B$1&amp;"-"&amp;TEXT(9,"00")&amp;"*",수납!$E:$E,"수강료")+SUMIFS(수납!$F:$F,수납!$C:$C,원생!$A102,수납!$D:$D,IF(원생!$G102="","",원생!$G102),수납!$B:$B,$B$1&amp;"-"&amp;TEXT(9,"00")&amp;"*",수납!$E:$E,""))</f>
        <v/>
      </c>
      <c r="L104" s="14">
        <f>IF(원생!$A102="","",SUMIFS(수납!$F:$F,수납!$C:$C,원생!$A102,수납!$D:$D,IF(원생!$G102="","",원생!$G102),수납!$B:$B,$B$1&amp;"-"&amp;TEXT(10,"00")&amp;"*",수납!$E:$E,"수강료")+SUMIFS(수납!$F:$F,수납!$C:$C,원생!$A102,수납!$D:$D,IF(원생!$G102="","",원생!$G102),수납!$B:$B,$B$1&amp;"-"&amp;TEXT(10,"00")&amp;"*",수납!$E:$E,""))</f>
        <v/>
      </c>
      <c r="M104" s="14">
        <f>IF(원생!$A102="","",SUMIFS(수납!$F:$F,수납!$C:$C,원생!$A102,수납!$D:$D,IF(원생!$G102="","",원생!$G102),수납!$B:$B,$B$1&amp;"-"&amp;TEXT(11,"00")&amp;"*",수납!$E:$E,"수강료")+SUMIFS(수납!$F:$F,수납!$C:$C,원생!$A102,수납!$D:$D,IF(원생!$G102="","",원생!$G102),수납!$B:$B,$B$1&amp;"-"&amp;TEXT(11,"00")&amp;"*",수납!$E:$E,""))</f>
        <v/>
      </c>
      <c r="N104" s="14">
        <f>IF(원생!$A102="","",SUMIFS(수납!$F:$F,수납!$C:$C,원생!$A102,수납!$D:$D,IF(원생!$G102="","",원생!$G102),수납!$B:$B,$B$1&amp;"-"&amp;TEXT(12,"00")&amp;"*",수납!$E:$E,"수강료")+SUMIFS(수납!$F:$F,수납!$C:$C,원생!$A102,수납!$D:$D,IF(원생!$G102="","",원생!$G102),수납!$B:$B,$B$1&amp;"-"&amp;TEXT(12,"00")&amp;"*",수납!$E:$E,""))</f>
        <v/>
      </c>
      <c r="O104">
        <f>IF(원생!$I102="","",원생!$I102)</f>
        <v/>
      </c>
      <c r="P104">
        <f>IF($A104="","",IF(AND($B104&gt;0,C104&lt;$B104,DATE($B$1,1,1)&lt;=TODAY(),OR($O104="",$O104&gt;=DATE($B$1,1,1)),OR(COUNTIF($C104:C104,"&gt;0")&gt;0,DATE($B$1,1,1)=DATE(YEAR(TODAY()),MONTH(TODAY()),1))),1,0))</f>
        <v/>
      </c>
      <c r="Q104">
        <f>IF($A104="","",IF(AND($B104&gt;0,D104&lt;$B104,DATE($B$1,2,1)&lt;=TODAY(),OR($O104="",$O104&gt;=DATE($B$1,2,1)),OR(COUNTIF($C104:D104,"&gt;0")&gt;0,DATE($B$1,2,1)=DATE(YEAR(TODAY()),MONTH(TODAY()),1))),1,0))</f>
        <v/>
      </c>
      <c r="R104">
        <f>IF($A104="","",IF(AND($B104&gt;0,E104&lt;$B104,DATE($B$1,3,1)&lt;=TODAY(),OR($O104="",$O104&gt;=DATE($B$1,3,1)),OR(COUNTIF($C104:E104,"&gt;0")&gt;0,DATE($B$1,3,1)=DATE(YEAR(TODAY()),MONTH(TODAY()),1))),1,0))</f>
        <v/>
      </c>
      <c r="S104">
        <f>IF($A104="","",IF(AND($B104&gt;0,F104&lt;$B104,DATE($B$1,4,1)&lt;=TODAY(),OR($O104="",$O104&gt;=DATE($B$1,4,1)),OR(COUNTIF($C104:F104,"&gt;0")&gt;0,DATE($B$1,4,1)=DATE(YEAR(TODAY()),MONTH(TODAY()),1))),1,0))</f>
        <v/>
      </c>
      <c r="T104">
        <f>IF($A104="","",IF(AND($B104&gt;0,G104&lt;$B104,DATE($B$1,5,1)&lt;=TODAY(),OR($O104="",$O104&gt;=DATE($B$1,5,1)),OR(COUNTIF($C104:G104,"&gt;0")&gt;0,DATE($B$1,5,1)=DATE(YEAR(TODAY()),MONTH(TODAY()),1))),1,0))</f>
        <v/>
      </c>
      <c r="U104">
        <f>IF($A104="","",IF(AND($B104&gt;0,H104&lt;$B104,DATE($B$1,6,1)&lt;=TODAY(),OR($O104="",$O104&gt;=DATE($B$1,6,1)),OR(COUNTIF($C104:H104,"&gt;0")&gt;0,DATE($B$1,6,1)=DATE(YEAR(TODAY()),MONTH(TODAY()),1))),1,0))</f>
        <v/>
      </c>
      <c r="V104">
        <f>IF($A104="","",IF(AND($B104&gt;0,I104&lt;$B104,DATE($B$1,7,1)&lt;=TODAY(),OR($O104="",$O104&gt;=DATE($B$1,7,1)),OR(COUNTIF($C104:I104,"&gt;0")&gt;0,DATE($B$1,7,1)=DATE(YEAR(TODAY()),MONTH(TODAY()),1))),1,0))</f>
        <v/>
      </c>
      <c r="W104">
        <f>IF($A104="","",IF(AND($B104&gt;0,J104&lt;$B104,DATE($B$1,8,1)&lt;=TODAY(),OR($O104="",$O104&gt;=DATE($B$1,8,1)),OR(COUNTIF($C104:J104,"&gt;0")&gt;0,DATE($B$1,8,1)=DATE(YEAR(TODAY()),MONTH(TODAY()),1))),1,0))</f>
        <v/>
      </c>
      <c r="X104">
        <f>IF($A104="","",IF(AND($B104&gt;0,K104&lt;$B104,DATE($B$1,9,1)&lt;=TODAY(),OR($O104="",$O104&gt;=DATE($B$1,9,1)),OR(COUNTIF($C104:K104,"&gt;0")&gt;0,DATE($B$1,9,1)=DATE(YEAR(TODAY()),MONTH(TODAY()),1))),1,0))</f>
        <v/>
      </c>
      <c r="Y104">
        <f>IF($A104="","",IF(AND($B104&gt;0,L104&lt;$B104,DATE($B$1,10,1)&lt;=TODAY(),OR($O104="",$O104&gt;=DATE($B$1,10,1)),OR(COUNTIF($C104:L104,"&gt;0")&gt;0,DATE($B$1,10,1)=DATE(YEAR(TODAY()),MONTH(TODAY()),1))),1,0))</f>
        <v/>
      </c>
      <c r="Z104">
        <f>IF($A104="","",IF(AND($B104&gt;0,M104&lt;$B104,DATE($B$1,11,1)&lt;=TODAY(),OR($O104="",$O104&gt;=DATE($B$1,11,1)),OR(COUNTIF($C104:M104,"&gt;0")&gt;0,DATE($B$1,11,1)=DATE(YEAR(TODAY()),MONTH(TODAY()),1))),1,0))</f>
        <v/>
      </c>
      <c r="AA104">
        <f>IF($A104="","",IF(AND($B104&gt;0,N104&lt;$B104,DATE($B$1,12,1)&lt;=TODAY(),OR($O104="",$O104&gt;=DATE($B$1,12,1)),OR(COUNTIF($C104:N104,"&gt;0")&gt;0,DATE($B$1,12,1)=DATE(YEAR(TODAY()),MONTH(TODAY()),1))),1,0))</f>
        <v/>
      </c>
    </row>
    <row r="105">
      <c r="A105" s="13">
        <f>IF(원생!$A103="","",원생!$A103&amp;IF(원생!$G103="",""," ("&amp;원생!$G103&amp;")"))</f>
        <v/>
      </c>
      <c r="B105" s="8">
        <f>IF(원생!$A103="","",원생!$F103)</f>
        <v/>
      </c>
      <c r="C105" s="14">
        <f>IF(원생!$A103="","",SUMIFS(수납!$F:$F,수납!$C:$C,원생!$A103,수납!$D:$D,IF(원생!$G103="","",원생!$G103),수납!$B:$B,$B$1&amp;"-"&amp;TEXT(1,"00")&amp;"*",수납!$E:$E,"수강료")+SUMIFS(수납!$F:$F,수납!$C:$C,원생!$A103,수납!$D:$D,IF(원생!$G103="","",원생!$G103),수납!$B:$B,$B$1&amp;"-"&amp;TEXT(1,"00")&amp;"*",수납!$E:$E,""))</f>
        <v/>
      </c>
      <c r="D105" s="14">
        <f>IF(원생!$A103="","",SUMIFS(수납!$F:$F,수납!$C:$C,원생!$A103,수납!$D:$D,IF(원생!$G103="","",원생!$G103),수납!$B:$B,$B$1&amp;"-"&amp;TEXT(2,"00")&amp;"*",수납!$E:$E,"수강료")+SUMIFS(수납!$F:$F,수납!$C:$C,원생!$A103,수납!$D:$D,IF(원생!$G103="","",원생!$G103),수납!$B:$B,$B$1&amp;"-"&amp;TEXT(2,"00")&amp;"*",수납!$E:$E,""))</f>
        <v/>
      </c>
      <c r="E105" s="14">
        <f>IF(원생!$A103="","",SUMIFS(수납!$F:$F,수납!$C:$C,원생!$A103,수납!$D:$D,IF(원생!$G103="","",원생!$G103),수납!$B:$B,$B$1&amp;"-"&amp;TEXT(3,"00")&amp;"*",수납!$E:$E,"수강료")+SUMIFS(수납!$F:$F,수납!$C:$C,원생!$A103,수납!$D:$D,IF(원생!$G103="","",원생!$G103),수납!$B:$B,$B$1&amp;"-"&amp;TEXT(3,"00")&amp;"*",수납!$E:$E,""))</f>
        <v/>
      </c>
      <c r="F105" s="14">
        <f>IF(원생!$A103="","",SUMIFS(수납!$F:$F,수납!$C:$C,원생!$A103,수납!$D:$D,IF(원생!$G103="","",원생!$G103),수납!$B:$B,$B$1&amp;"-"&amp;TEXT(4,"00")&amp;"*",수납!$E:$E,"수강료")+SUMIFS(수납!$F:$F,수납!$C:$C,원생!$A103,수납!$D:$D,IF(원생!$G103="","",원생!$G103),수납!$B:$B,$B$1&amp;"-"&amp;TEXT(4,"00")&amp;"*",수납!$E:$E,""))</f>
        <v/>
      </c>
      <c r="G105" s="14">
        <f>IF(원생!$A103="","",SUMIFS(수납!$F:$F,수납!$C:$C,원생!$A103,수납!$D:$D,IF(원생!$G103="","",원생!$G103),수납!$B:$B,$B$1&amp;"-"&amp;TEXT(5,"00")&amp;"*",수납!$E:$E,"수강료")+SUMIFS(수납!$F:$F,수납!$C:$C,원생!$A103,수납!$D:$D,IF(원생!$G103="","",원생!$G103),수납!$B:$B,$B$1&amp;"-"&amp;TEXT(5,"00")&amp;"*",수납!$E:$E,""))</f>
        <v/>
      </c>
      <c r="H105" s="14">
        <f>IF(원생!$A103="","",SUMIFS(수납!$F:$F,수납!$C:$C,원생!$A103,수납!$D:$D,IF(원생!$G103="","",원생!$G103),수납!$B:$B,$B$1&amp;"-"&amp;TEXT(6,"00")&amp;"*",수납!$E:$E,"수강료")+SUMIFS(수납!$F:$F,수납!$C:$C,원생!$A103,수납!$D:$D,IF(원생!$G103="","",원생!$G103),수납!$B:$B,$B$1&amp;"-"&amp;TEXT(6,"00")&amp;"*",수납!$E:$E,""))</f>
        <v/>
      </c>
      <c r="I105" s="14">
        <f>IF(원생!$A103="","",SUMIFS(수납!$F:$F,수납!$C:$C,원생!$A103,수납!$D:$D,IF(원생!$G103="","",원생!$G103),수납!$B:$B,$B$1&amp;"-"&amp;TEXT(7,"00")&amp;"*",수납!$E:$E,"수강료")+SUMIFS(수납!$F:$F,수납!$C:$C,원생!$A103,수납!$D:$D,IF(원생!$G103="","",원생!$G103),수납!$B:$B,$B$1&amp;"-"&amp;TEXT(7,"00")&amp;"*",수납!$E:$E,""))</f>
        <v/>
      </c>
      <c r="J105" s="14">
        <f>IF(원생!$A103="","",SUMIFS(수납!$F:$F,수납!$C:$C,원생!$A103,수납!$D:$D,IF(원생!$G103="","",원생!$G103),수납!$B:$B,$B$1&amp;"-"&amp;TEXT(8,"00")&amp;"*",수납!$E:$E,"수강료")+SUMIFS(수납!$F:$F,수납!$C:$C,원생!$A103,수납!$D:$D,IF(원생!$G103="","",원생!$G103),수납!$B:$B,$B$1&amp;"-"&amp;TEXT(8,"00")&amp;"*",수납!$E:$E,""))</f>
        <v/>
      </c>
      <c r="K105" s="14">
        <f>IF(원생!$A103="","",SUMIFS(수납!$F:$F,수납!$C:$C,원생!$A103,수납!$D:$D,IF(원생!$G103="","",원생!$G103),수납!$B:$B,$B$1&amp;"-"&amp;TEXT(9,"00")&amp;"*",수납!$E:$E,"수강료")+SUMIFS(수납!$F:$F,수납!$C:$C,원생!$A103,수납!$D:$D,IF(원생!$G103="","",원생!$G103),수납!$B:$B,$B$1&amp;"-"&amp;TEXT(9,"00")&amp;"*",수납!$E:$E,""))</f>
        <v/>
      </c>
      <c r="L105" s="14">
        <f>IF(원생!$A103="","",SUMIFS(수납!$F:$F,수납!$C:$C,원생!$A103,수납!$D:$D,IF(원생!$G103="","",원생!$G103),수납!$B:$B,$B$1&amp;"-"&amp;TEXT(10,"00")&amp;"*",수납!$E:$E,"수강료")+SUMIFS(수납!$F:$F,수납!$C:$C,원생!$A103,수납!$D:$D,IF(원생!$G103="","",원생!$G103),수납!$B:$B,$B$1&amp;"-"&amp;TEXT(10,"00")&amp;"*",수납!$E:$E,""))</f>
        <v/>
      </c>
      <c r="M105" s="14">
        <f>IF(원생!$A103="","",SUMIFS(수납!$F:$F,수납!$C:$C,원생!$A103,수납!$D:$D,IF(원생!$G103="","",원생!$G103),수납!$B:$B,$B$1&amp;"-"&amp;TEXT(11,"00")&amp;"*",수납!$E:$E,"수강료")+SUMIFS(수납!$F:$F,수납!$C:$C,원생!$A103,수납!$D:$D,IF(원생!$G103="","",원생!$G103),수납!$B:$B,$B$1&amp;"-"&amp;TEXT(11,"00")&amp;"*",수납!$E:$E,""))</f>
        <v/>
      </c>
      <c r="N105" s="14">
        <f>IF(원생!$A103="","",SUMIFS(수납!$F:$F,수납!$C:$C,원생!$A103,수납!$D:$D,IF(원생!$G103="","",원생!$G103),수납!$B:$B,$B$1&amp;"-"&amp;TEXT(12,"00")&amp;"*",수납!$E:$E,"수강료")+SUMIFS(수납!$F:$F,수납!$C:$C,원생!$A103,수납!$D:$D,IF(원생!$G103="","",원생!$G103),수납!$B:$B,$B$1&amp;"-"&amp;TEXT(12,"00")&amp;"*",수납!$E:$E,""))</f>
        <v/>
      </c>
      <c r="O105">
        <f>IF(원생!$I103="","",원생!$I103)</f>
        <v/>
      </c>
      <c r="P105">
        <f>IF($A105="","",IF(AND($B105&gt;0,C105&lt;$B105,DATE($B$1,1,1)&lt;=TODAY(),OR($O105="",$O105&gt;=DATE($B$1,1,1)),OR(COUNTIF($C105:C105,"&gt;0")&gt;0,DATE($B$1,1,1)=DATE(YEAR(TODAY()),MONTH(TODAY()),1))),1,0))</f>
        <v/>
      </c>
      <c r="Q105">
        <f>IF($A105="","",IF(AND($B105&gt;0,D105&lt;$B105,DATE($B$1,2,1)&lt;=TODAY(),OR($O105="",$O105&gt;=DATE($B$1,2,1)),OR(COUNTIF($C105:D105,"&gt;0")&gt;0,DATE($B$1,2,1)=DATE(YEAR(TODAY()),MONTH(TODAY()),1))),1,0))</f>
        <v/>
      </c>
      <c r="R105">
        <f>IF($A105="","",IF(AND($B105&gt;0,E105&lt;$B105,DATE($B$1,3,1)&lt;=TODAY(),OR($O105="",$O105&gt;=DATE($B$1,3,1)),OR(COUNTIF($C105:E105,"&gt;0")&gt;0,DATE($B$1,3,1)=DATE(YEAR(TODAY()),MONTH(TODAY()),1))),1,0))</f>
        <v/>
      </c>
      <c r="S105">
        <f>IF($A105="","",IF(AND($B105&gt;0,F105&lt;$B105,DATE($B$1,4,1)&lt;=TODAY(),OR($O105="",$O105&gt;=DATE($B$1,4,1)),OR(COUNTIF($C105:F105,"&gt;0")&gt;0,DATE($B$1,4,1)=DATE(YEAR(TODAY()),MONTH(TODAY()),1))),1,0))</f>
        <v/>
      </c>
      <c r="T105">
        <f>IF($A105="","",IF(AND($B105&gt;0,G105&lt;$B105,DATE($B$1,5,1)&lt;=TODAY(),OR($O105="",$O105&gt;=DATE($B$1,5,1)),OR(COUNTIF($C105:G105,"&gt;0")&gt;0,DATE($B$1,5,1)=DATE(YEAR(TODAY()),MONTH(TODAY()),1))),1,0))</f>
        <v/>
      </c>
      <c r="U105">
        <f>IF($A105="","",IF(AND($B105&gt;0,H105&lt;$B105,DATE($B$1,6,1)&lt;=TODAY(),OR($O105="",$O105&gt;=DATE($B$1,6,1)),OR(COUNTIF($C105:H105,"&gt;0")&gt;0,DATE($B$1,6,1)=DATE(YEAR(TODAY()),MONTH(TODAY()),1))),1,0))</f>
        <v/>
      </c>
      <c r="V105">
        <f>IF($A105="","",IF(AND($B105&gt;0,I105&lt;$B105,DATE($B$1,7,1)&lt;=TODAY(),OR($O105="",$O105&gt;=DATE($B$1,7,1)),OR(COUNTIF($C105:I105,"&gt;0")&gt;0,DATE($B$1,7,1)=DATE(YEAR(TODAY()),MONTH(TODAY()),1))),1,0))</f>
        <v/>
      </c>
      <c r="W105">
        <f>IF($A105="","",IF(AND($B105&gt;0,J105&lt;$B105,DATE($B$1,8,1)&lt;=TODAY(),OR($O105="",$O105&gt;=DATE($B$1,8,1)),OR(COUNTIF($C105:J105,"&gt;0")&gt;0,DATE($B$1,8,1)=DATE(YEAR(TODAY()),MONTH(TODAY()),1))),1,0))</f>
        <v/>
      </c>
      <c r="X105">
        <f>IF($A105="","",IF(AND($B105&gt;0,K105&lt;$B105,DATE($B$1,9,1)&lt;=TODAY(),OR($O105="",$O105&gt;=DATE($B$1,9,1)),OR(COUNTIF($C105:K105,"&gt;0")&gt;0,DATE($B$1,9,1)=DATE(YEAR(TODAY()),MONTH(TODAY()),1))),1,0))</f>
        <v/>
      </c>
      <c r="Y105">
        <f>IF($A105="","",IF(AND($B105&gt;0,L105&lt;$B105,DATE($B$1,10,1)&lt;=TODAY(),OR($O105="",$O105&gt;=DATE($B$1,10,1)),OR(COUNTIF($C105:L105,"&gt;0")&gt;0,DATE($B$1,10,1)=DATE(YEAR(TODAY()),MONTH(TODAY()),1))),1,0))</f>
        <v/>
      </c>
      <c r="Z105">
        <f>IF($A105="","",IF(AND($B105&gt;0,M105&lt;$B105,DATE($B$1,11,1)&lt;=TODAY(),OR($O105="",$O105&gt;=DATE($B$1,11,1)),OR(COUNTIF($C105:M105,"&gt;0")&gt;0,DATE($B$1,11,1)=DATE(YEAR(TODAY()),MONTH(TODAY()),1))),1,0))</f>
        <v/>
      </c>
      <c r="AA105">
        <f>IF($A105="","",IF(AND($B105&gt;0,N105&lt;$B105,DATE($B$1,12,1)&lt;=TODAY(),OR($O105="",$O105&gt;=DATE($B$1,12,1)),OR(COUNTIF($C105:N105,"&gt;0")&gt;0,DATE($B$1,12,1)=DATE(YEAR(TODAY()),MONTH(TODAY()),1))),1,0))</f>
        <v/>
      </c>
    </row>
    <row r="106">
      <c r="A106" s="13">
        <f>IF(원생!$A104="","",원생!$A104&amp;IF(원생!$G104="",""," ("&amp;원생!$G104&amp;")"))</f>
        <v/>
      </c>
      <c r="B106" s="8">
        <f>IF(원생!$A104="","",원생!$F104)</f>
        <v/>
      </c>
      <c r="C106" s="14">
        <f>IF(원생!$A104="","",SUMIFS(수납!$F:$F,수납!$C:$C,원생!$A104,수납!$D:$D,IF(원생!$G104="","",원생!$G104),수납!$B:$B,$B$1&amp;"-"&amp;TEXT(1,"00")&amp;"*",수납!$E:$E,"수강료")+SUMIFS(수납!$F:$F,수납!$C:$C,원생!$A104,수납!$D:$D,IF(원생!$G104="","",원생!$G104),수납!$B:$B,$B$1&amp;"-"&amp;TEXT(1,"00")&amp;"*",수납!$E:$E,""))</f>
        <v/>
      </c>
      <c r="D106" s="14">
        <f>IF(원생!$A104="","",SUMIFS(수납!$F:$F,수납!$C:$C,원생!$A104,수납!$D:$D,IF(원생!$G104="","",원생!$G104),수납!$B:$B,$B$1&amp;"-"&amp;TEXT(2,"00")&amp;"*",수납!$E:$E,"수강료")+SUMIFS(수납!$F:$F,수납!$C:$C,원생!$A104,수납!$D:$D,IF(원생!$G104="","",원생!$G104),수납!$B:$B,$B$1&amp;"-"&amp;TEXT(2,"00")&amp;"*",수납!$E:$E,""))</f>
        <v/>
      </c>
      <c r="E106" s="14">
        <f>IF(원생!$A104="","",SUMIFS(수납!$F:$F,수납!$C:$C,원생!$A104,수납!$D:$D,IF(원생!$G104="","",원생!$G104),수납!$B:$B,$B$1&amp;"-"&amp;TEXT(3,"00")&amp;"*",수납!$E:$E,"수강료")+SUMIFS(수납!$F:$F,수납!$C:$C,원생!$A104,수납!$D:$D,IF(원생!$G104="","",원생!$G104),수납!$B:$B,$B$1&amp;"-"&amp;TEXT(3,"00")&amp;"*",수납!$E:$E,""))</f>
        <v/>
      </c>
      <c r="F106" s="14">
        <f>IF(원생!$A104="","",SUMIFS(수납!$F:$F,수납!$C:$C,원생!$A104,수납!$D:$D,IF(원생!$G104="","",원생!$G104),수납!$B:$B,$B$1&amp;"-"&amp;TEXT(4,"00")&amp;"*",수납!$E:$E,"수강료")+SUMIFS(수납!$F:$F,수납!$C:$C,원생!$A104,수납!$D:$D,IF(원생!$G104="","",원생!$G104),수납!$B:$B,$B$1&amp;"-"&amp;TEXT(4,"00")&amp;"*",수납!$E:$E,""))</f>
        <v/>
      </c>
      <c r="G106" s="14">
        <f>IF(원생!$A104="","",SUMIFS(수납!$F:$F,수납!$C:$C,원생!$A104,수납!$D:$D,IF(원생!$G104="","",원생!$G104),수납!$B:$B,$B$1&amp;"-"&amp;TEXT(5,"00")&amp;"*",수납!$E:$E,"수강료")+SUMIFS(수납!$F:$F,수납!$C:$C,원생!$A104,수납!$D:$D,IF(원생!$G104="","",원생!$G104),수납!$B:$B,$B$1&amp;"-"&amp;TEXT(5,"00")&amp;"*",수납!$E:$E,""))</f>
        <v/>
      </c>
      <c r="H106" s="14">
        <f>IF(원생!$A104="","",SUMIFS(수납!$F:$F,수납!$C:$C,원생!$A104,수납!$D:$D,IF(원생!$G104="","",원생!$G104),수납!$B:$B,$B$1&amp;"-"&amp;TEXT(6,"00")&amp;"*",수납!$E:$E,"수강료")+SUMIFS(수납!$F:$F,수납!$C:$C,원생!$A104,수납!$D:$D,IF(원생!$G104="","",원생!$G104),수납!$B:$B,$B$1&amp;"-"&amp;TEXT(6,"00")&amp;"*",수납!$E:$E,""))</f>
        <v/>
      </c>
      <c r="I106" s="14">
        <f>IF(원생!$A104="","",SUMIFS(수납!$F:$F,수납!$C:$C,원생!$A104,수납!$D:$D,IF(원생!$G104="","",원생!$G104),수납!$B:$B,$B$1&amp;"-"&amp;TEXT(7,"00")&amp;"*",수납!$E:$E,"수강료")+SUMIFS(수납!$F:$F,수납!$C:$C,원생!$A104,수납!$D:$D,IF(원생!$G104="","",원생!$G104),수납!$B:$B,$B$1&amp;"-"&amp;TEXT(7,"00")&amp;"*",수납!$E:$E,""))</f>
        <v/>
      </c>
      <c r="J106" s="14">
        <f>IF(원생!$A104="","",SUMIFS(수납!$F:$F,수납!$C:$C,원생!$A104,수납!$D:$D,IF(원생!$G104="","",원생!$G104),수납!$B:$B,$B$1&amp;"-"&amp;TEXT(8,"00")&amp;"*",수납!$E:$E,"수강료")+SUMIFS(수납!$F:$F,수납!$C:$C,원생!$A104,수납!$D:$D,IF(원생!$G104="","",원생!$G104),수납!$B:$B,$B$1&amp;"-"&amp;TEXT(8,"00")&amp;"*",수납!$E:$E,""))</f>
        <v/>
      </c>
      <c r="K106" s="14">
        <f>IF(원생!$A104="","",SUMIFS(수납!$F:$F,수납!$C:$C,원생!$A104,수납!$D:$D,IF(원생!$G104="","",원생!$G104),수납!$B:$B,$B$1&amp;"-"&amp;TEXT(9,"00")&amp;"*",수납!$E:$E,"수강료")+SUMIFS(수납!$F:$F,수납!$C:$C,원생!$A104,수납!$D:$D,IF(원생!$G104="","",원생!$G104),수납!$B:$B,$B$1&amp;"-"&amp;TEXT(9,"00")&amp;"*",수납!$E:$E,""))</f>
        <v/>
      </c>
      <c r="L106" s="14">
        <f>IF(원생!$A104="","",SUMIFS(수납!$F:$F,수납!$C:$C,원생!$A104,수납!$D:$D,IF(원생!$G104="","",원생!$G104),수납!$B:$B,$B$1&amp;"-"&amp;TEXT(10,"00")&amp;"*",수납!$E:$E,"수강료")+SUMIFS(수납!$F:$F,수납!$C:$C,원생!$A104,수납!$D:$D,IF(원생!$G104="","",원생!$G104),수납!$B:$B,$B$1&amp;"-"&amp;TEXT(10,"00")&amp;"*",수납!$E:$E,""))</f>
        <v/>
      </c>
      <c r="M106" s="14">
        <f>IF(원생!$A104="","",SUMIFS(수납!$F:$F,수납!$C:$C,원생!$A104,수납!$D:$D,IF(원생!$G104="","",원생!$G104),수납!$B:$B,$B$1&amp;"-"&amp;TEXT(11,"00")&amp;"*",수납!$E:$E,"수강료")+SUMIFS(수납!$F:$F,수납!$C:$C,원생!$A104,수납!$D:$D,IF(원생!$G104="","",원생!$G104),수납!$B:$B,$B$1&amp;"-"&amp;TEXT(11,"00")&amp;"*",수납!$E:$E,""))</f>
        <v/>
      </c>
      <c r="N106" s="14">
        <f>IF(원생!$A104="","",SUMIFS(수납!$F:$F,수납!$C:$C,원생!$A104,수납!$D:$D,IF(원생!$G104="","",원생!$G104),수납!$B:$B,$B$1&amp;"-"&amp;TEXT(12,"00")&amp;"*",수납!$E:$E,"수강료")+SUMIFS(수납!$F:$F,수납!$C:$C,원생!$A104,수납!$D:$D,IF(원생!$G104="","",원생!$G104),수납!$B:$B,$B$1&amp;"-"&amp;TEXT(12,"00")&amp;"*",수납!$E:$E,""))</f>
        <v/>
      </c>
      <c r="O106">
        <f>IF(원생!$I104="","",원생!$I104)</f>
        <v/>
      </c>
      <c r="P106">
        <f>IF($A106="","",IF(AND($B106&gt;0,C106&lt;$B106,DATE($B$1,1,1)&lt;=TODAY(),OR($O106="",$O106&gt;=DATE($B$1,1,1)),OR(COUNTIF($C106:C106,"&gt;0")&gt;0,DATE($B$1,1,1)=DATE(YEAR(TODAY()),MONTH(TODAY()),1))),1,0))</f>
        <v/>
      </c>
      <c r="Q106">
        <f>IF($A106="","",IF(AND($B106&gt;0,D106&lt;$B106,DATE($B$1,2,1)&lt;=TODAY(),OR($O106="",$O106&gt;=DATE($B$1,2,1)),OR(COUNTIF($C106:D106,"&gt;0")&gt;0,DATE($B$1,2,1)=DATE(YEAR(TODAY()),MONTH(TODAY()),1))),1,0))</f>
        <v/>
      </c>
      <c r="R106">
        <f>IF($A106="","",IF(AND($B106&gt;0,E106&lt;$B106,DATE($B$1,3,1)&lt;=TODAY(),OR($O106="",$O106&gt;=DATE($B$1,3,1)),OR(COUNTIF($C106:E106,"&gt;0")&gt;0,DATE($B$1,3,1)=DATE(YEAR(TODAY()),MONTH(TODAY()),1))),1,0))</f>
        <v/>
      </c>
      <c r="S106">
        <f>IF($A106="","",IF(AND($B106&gt;0,F106&lt;$B106,DATE($B$1,4,1)&lt;=TODAY(),OR($O106="",$O106&gt;=DATE($B$1,4,1)),OR(COUNTIF($C106:F106,"&gt;0")&gt;0,DATE($B$1,4,1)=DATE(YEAR(TODAY()),MONTH(TODAY()),1))),1,0))</f>
        <v/>
      </c>
      <c r="T106">
        <f>IF($A106="","",IF(AND($B106&gt;0,G106&lt;$B106,DATE($B$1,5,1)&lt;=TODAY(),OR($O106="",$O106&gt;=DATE($B$1,5,1)),OR(COUNTIF($C106:G106,"&gt;0")&gt;0,DATE($B$1,5,1)=DATE(YEAR(TODAY()),MONTH(TODAY()),1))),1,0))</f>
        <v/>
      </c>
      <c r="U106">
        <f>IF($A106="","",IF(AND($B106&gt;0,H106&lt;$B106,DATE($B$1,6,1)&lt;=TODAY(),OR($O106="",$O106&gt;=DATE($B$1,6,1)),OR(COUNTIF($C106:H106,"&gt;0")&gt;0,DATE($B$1,6,1)=DATE(YEAR(TODAY()),MONTH(TODAY()),1))),1,0))</f>
        <v/>
      </c>
      <c r="V106">
        <f>IF($A106="","",IF(AND($B106&gt;0,I106&lt;$B106,DATE($B$1,7,1)&lt;=TODAY(),OR($O106="",$O106&gt;=DATE($B$1,7,1)),OR(COUNTIF($C106:I106,"&gt;0")&gt;0,DATE($B$1,7,1)=DATE(YEAR(TODAY()),MONTH(TODAY()),1))),1,0))</f>
        <v/>
      </c>
      <c r="W106">
        <f>IF($A106="","",IF(AND($B106&gt;0,J106&lt;$B106,DATE($B$1,8,1)&lt;=TODAY(),OR($O106="",$O106&gt;=DATE($B$1,8,1)),OR(COUNTIF($C106:J106,"&gt;0")&gt;0,DATE($B$1,8,1)=DATE(YEAR(TODAY()),MONTH(TODAY()),1))),1,0))</f>
        <v/>
      </c>
      <c r="X106">
        <f>IF($A106="","",IF(AND($B106&gt;0,K106&lt;$B106,DATE($B$1,9,1)&lt;=TODAY(),OR($O106="",$O106&gt;=DATE($B$1,9,1)),OR(COUNTIF($C106:K106,"&gt;0")&gt;0,DATE($B$1,9,1)=DATE(YEAR(TODAY()),MONTH(TODAY()),1))),1,0))</f>
        <v/>
      </c>
      <c r="Y106">
        <f>IF($A106="","",IF(AND($B106&gt;0,L106&lt;$B106,DATE($B$1,10,1)&lt;=TODAY(),OR($O106="",$O106&gt;=DATE($B$1,10,1)),OR(COUNTIF($C106:L106,"&gt;0")&gt;0,DATE($B$1,10,1)=DATE(YEAR(TODAY()),MONTH(TODAY()),1))),1,0))</f>
        <v/>
      </c>
      <c r="Z106">
        <f>IF($A106="","",IF(AND($B106&gt;0,M106&lt;$B106,DATE($B$1,11,1)&lt;=TODAY(),OR($O106="",$O106&gt;=DATE($B$1,11,1)),OR(COUNTIF($C106:M106,"&gt;0")&gt;0,DATE($B$1,11,1)=DATE(YEAR(TODAY()),MONTH(TODAY()),1))),1,0))</f>
        <v/>
      </c>
      <c r="AA106">
        <f>IF($A106="","",IF(AND($B106&gt;0,N106&lt;$B106,DATE($B$1,12,1)&lt;=TODAY(),OR($O106="",$O106&gt;=DATE($B$1,12,1)),OR(COUNTIF($C106:N106,"&gt;0")&gt;0,DATE($B$1,12,1)=DATE(YEAR(TODAY()),MONTH(TODAY()),1))),1,0))</f>
        <v/>
      </c>
    </row>
    <row r="107">
      <c r="A107" s="13">
        <f>IF(원생!$A105="","",원생!$A105&amp;IF(원생!$G105="",""," ("&amp;원생!$G105&amp;")"))</f>
        <v/>
      </c>
      <c r="B107" s="8">
        <f>IF(원생!$A105="","",원생!$F105)</f>
        <v/>
      </c>
      <c r="C107" s="14">
        <f>IF(원생!$A105="","",SUMIFS(수납!$F:$F,수납!$C:$C,원생!$A105,수납!$D:$D,IF(원생!$G105="","",원생!$G105),수납!$B:$B,$B$1&amp;"-"&amp;TEXT(1,"00")&amp;"*",수납!$E:$E,"수강료")+SUMIFS(수납!$F:$F,수납!$C:$C,원생!$A105,수납!$D:$D,IF(원생!$G105="","",원생!$G105),수납!$B:$B,$B$1&amp;"-"&amp;TEXT(1,"00")&amp;"*",수납!$E:$E,""))</f>
        <v/>
      </c>
      <c r="D107" s="14">
        <f>IF(원생!$A105="","",SUMIFS(수납!$F:$F,수납!$C:$C,원생!$A105,수납!$D:$D,IF(원생!$G105="","",원생!$G105),수납!$B:$B,$B$1&amp;"-"&amp;TEXT(2,"00")&amp;"*",수납!$E:$E,"수강료")+SUMIFS(수납!$F:$F,수납!$C:$C,원생!$A105,수납!$D:$D,IF(원생!$G105="","",원생!$G105),수납!$B:$B,$B$1&amp;"-"&amp;TEXT(2,"00")&amp;"*",수납!$E:$E,""))</f>
        <v/>
      </c>
      <c r="E107" s="14">
        <f>IF(원생!$A105="","",SUMIFS(수납!$F:$F,수납!$C:$C,원생!$A105,수납!$D:$D,IF(원생!$G105="","",원생!$G105),수납!$B:$B,$B$1&amp;"-"&amp;TEXT(3,"00")&amp;"*",수납!$E:$E,"수강료")+SUMIFS(수납!$F:$F,수납!$C:$C,원생!$A105,수납!$D:$D,IF(원생!$G105="","",원생!$G105),수납!$B:$B,$B$1&amp;"-"&amp;TEXT(3,"00")&amp;"*",수납!$E:$E,""))</f>
        <v/>
      </c>
      <c r="F107" s="14">
        <f>IF(원생!$A105="","",SUMIFS(수납!$F:$F,수납!$C:$C,원생!$A105,수납!$D:$D,IF(원생!$G105="","",원생!$G105),수납!$B:$B,$B$1&amp;"-"&amp;TEXT(4,"00")&amp;"*",수납!$E:$E,"수강료")+SUMIFS(수납!$F:$F,수납!$C:$C,원생!$A105,수납!$D:$D,IF(원생!$G105="","",원생!$G105),수납!$B:$B,$B$1&amp;"-"&amp;TEXT(4,"00")&amp;"*",수납!$E:$E,""))</f>
        <v/>
      </c>
      <c r="G107" s="14">
        <f>IF(원생!$A105="","",SUMIFS(수납!$F:$F,수납!$C:$C,원생!$A105,수납!$D:$D,IF(원생!$G105="","",원생!$G105),수납!$B:$B,$B$1&amp;"-"&amp;TEXT(5,"00")&amp;"*",수납!$E:$E,"수강료")+SUMIFS(수납!$F:$F,수납!$C:$C,원생!$A105,수납!$D:$D,IF(원생!$G105="","",원생!$G105),수납!$B:$B,$B$1&amp;"-"&amp;TEXT(5,"00")&amp;"*",수납!$E:$E,""))</f>
        <v/>
      </c>
      <c r="H107" s="14">
        <f>IF(원생!$A105="","",SUMIFS(수납!$F:$F,수납!$C:$C,원생!$A105,수납!$D:$D,IF(원생!$G105="","",원생!$G105),수납!$B:$B,$B$1&amp;"-"&amp;TEXT(6,"00")&amp;"*",수납!$E:$E,"수강료")+SUMIFS(수납!$F:$F,수납!$C:$C,원생!$A105,수납!$D:$D,IF(원생!$G105="","",원생!$G105),수납!$B:$B,$B$1&amp;"-"&amp;TEXT(6,"00")&amp;"*",수납!$E:$E,""))</f>
        <v/>
      </c>
      <c r="I107" s="14">
        <f>IF(원생!$A105="","",SUMIFS(수납!$F:$F,수납!$C:$C,원생!$A105,수납!$D:$D,IF(원생!$G105="","",원생!$G105),수납!$B:$B,$B$1&amp;"-"&amp;TEXT(7,"00")&amp;"*",수납!$E:$E,"수강료")+SUMIFS(수납!$F:$F,수납!$C:$C,원생!$A105,수납!$D:$D,IF(원생!$G105="","",원생!$G105),수납!$B:$B,$B$1&amp;"-"&amp;TEXT(7,"00")&amp;"*",수납!$E:$E,""))</f>
        <v/>
      </c>
      <c r="J107" s="14">
        <f>IF(원생!$A105="","",SUMIFS(수납!$F:$F,수납!$C:$C,원생!$A105,수납!$D:$D,IF(원생!$G105="","",원생!$G105),수납!$B:$B,$B$1&amp;"-"&amp;TEXT(8,"00")&amp;"*",수납!$E:$E,"수강료")+SUMIFS(수납!$F:$F,수납!$C:$C,원생!$A105,수납!$D:$D,IF(원생!$G105="","",원생!$G105),수납!$B:$B,$B$1&amp;"-"&amp;TEXT(8,"00")&amp;"*",수납!$E:$E,""))</f>
        <v/>
      </c>
      <c r="K107" s="14">
        <f>IF(원생!$A105="","",SUMIFS(수납!$F:$F,수납!$C:$C,원생!$A105,수납!$D:$D,IF(원생!$G105="","",원생!$G105),수납!$B:$B,$B$1&amp;"-"&amp;TEXT(9,"00")&amp;"*",수납!$E:$E,"수강료")+SUMIFS(수납!$F:$F,수납!$C:$C,원생!$A105,수납!$D:$D,IF(원생!$G105="","",원생!$G105),수납!$B:$B,$B$1&amp;"-"&amp;TEXT(9,"00")&amp;"*",수납!$E:$E,""))</f>
        <v/>
      </c>
      <c r="L107" s="14">
        <f>IF(원생!$A105="","",SUMIFS(수납!$F:$F,수납!$C:$C,원생!$A105,수납!$D:$D,IF(원생!$G105="","",원생!$G105),수납!$B:$B,$B$1&amp;"-"&amp;TEXT(10,"00")&amp;"*",수납!$E:$E,"수강료")+SUMIFS(수납!$F:$F,수납!$C:$C,원생!$A105,수납!$D:$D,IF(원생!$G105="","",원생!$G105),수납!$B:$B,$B$1&amp;"-"&amp;TEXT(10,"00")&amp;"*",수납!$E:$E,""))</f>
        <v/>
      </c>
      <c r="M107" s="14">
        <f>IF(원생!$A105="","",SUMIFS(수납!$F:$F,수납!$C:$C,원생!$A105,수납!$D:$D,IF(원생!$G105="","",원생!$G105),수납!$B:$B,$B$1&amp;"-"&amp;TEXT(11,"00")&amp;"*",수납!$E:$E,"수강료")+SUMIFS(수납!$F:$F,수납!$C:$C,원생!$A105,수납!$D:$D,IF(원생!$G105="","",원생!$G105),수납!$B:$B,$B$1&amp;"-"&amp;TEXT(11,"00")&amp;"*",수납!$E:$E,""))</f>
        <v/>
      </c>
      <c r="N107" s="14">
        <f>IF(원생!$A105="","",SUMIFS(수납!$F:$F,수납!$C:$C,원생!$A105,수납!$D:$D,IF(원생!$G105="","",원생!$G105),수납!$B:$B,$B$1&amp;"-"&amp;TEXT(12,"00")&amp;"*",수납!$E:$E,"수강료")+SUMIFS(수납!$F:$F,수납!$C:$C,원생!$A105,수납!$D:$D,IF(원생!$G105="","",원생!$G105),수납!$B:$B,$B$1&amp;"-"&amp;TEXT(12,"00")&amp;"*",수납!$E:$E,""))</f>
        <v/>
      </c>
      <c r="O107">
        <f>IF(원생!$I105="","",원생!$I105)</f>
        <v/>
      </c>
      <c r="P107">
        <f>IF($A107="","",IF(AND($B107&gt;0,C107&lt;$B107,DATE($B$1,1,1)&lt;=TODAY(),OR($O107="",$O107&gt;=DATE($B$1,1,1)),OR(COUNTIF($C107:C107,"&gt;0")&gt;0,DATE($B$1,1,1)=DATE(YEAR(TODAY()),MONTH(TODAY()),1))),1,0))</f>
        <v/>
      </c>
      <c r="Q107">
        <f>IF($A107="","",IF(AND($B107&gt;0,D107&lt;$B107,DATE($B$1,2,1)&lt;=TODAY(),OR($O107="",$O107&gt;=DATE($B$1,2,1)),OR(COUNTIF($C107:D107,"&gt;0")&gt;0,DATE($B$1,2,1)=DATE(YEAR(TODAY()),MONTH(TODAY()),1))),1,0))</f>
        <v/>
      </c>
      <c r="R107">
        <f>IF($A107="","",IF(AND($B107&gt;0,E107&lt;$B107,DATE($B$1,3,1)&lt;=TODAY(),OR($O107="",$O107&gt;=DATE($B$1,3,1)),OR(COUNTIF($C107:E107,"&gt;0")&gt;0,DATE($B$1,3,1)=DATE(YEAR(TODAY()),MONTH(TODAY()),1))),1,0))</f>
        <v/>
      </c>
      <c r="S107">
        <f>IF($A107="","",IF(AND($B107&gt;0,F107&lt;$B107,DATE($B$1,4,1)&lt;=TODAY(),OR($O107="",$O107&gt;=DATE($B$1,4,1)),OR(COUNTIF($C107:F107,"&gt;0")&gt;0,DATE($B$1,4,1)=DATE(YEAR(TODAY()),MONTH(TODAY()),1))),1,0))</f>
        <v/>
      </c>
      <c r="T107">
        <f>IF($A107="","",IF(AND($B107&gt;0,G107&lt;$B107,DATE($B$1,5,1)&lt;=TODAY(),OR($O107="",$O107&gt;=DATE($B$1,5,1)),OR(COUNTIF($C107:G107,"&gt;0")&gt;0,DATE($B$1,5,1)=DATE(YEAR(TODAY()),MONTH(TODAY()),1))),1,0))</f>
        <v/>
      </c>
      <c r="U107">
        <f>IF($A107="","",IF(AND($B107&gt;0,H107&lt;$B107,DATE($B$1,6,1)&lt;=TODAY(),OR($O107="",$O107&gt;=DATE($B$1,6,1)),OR(COUNTIF($C107:H107,"&gt;0")&gt;0,DATE($B$1,6,1)=DATE(YEAR(TODAY()),MONTH(TODAY()),1))),1,0))</f>
        <v/>
      </c>
      <c r="V107">
        <f>IF($A107="","",IF(AND($B107&gt;0,I107&lt;$B107,DATE($B$1,7,1)&lt;=TODAY(),OR($O107="",$O107&gt;=DATE($B$1,7,1)),OR(COUNTIF($C107:I107,"&gt;0")&gt;0,DATE($B$1,7,1)=DATE(YEAR(TODAY()),MONTH(TODAY()),1))),1,0))</f>
        <v/>
      </c>
      <c r="W107">
        <f>IF($A107="","",IF(AND($B107&gt;0,J107&lt;$B107,DATE($B$1,8,1)&lt;=TODAY(),OR($O107="",$O107&gt;=DATE($B$1,8,1)),OR(COUNTIF($C107:J107,"&gt;0")&gt;0,DATE($B$1,8,1)=DATE(YEAR(TODAY()),MONTH(TODAY()),1))),1,0))</f>
        <v/>
      </c>
      <c r="X107">
        <f>IF($A107="","",IF(AND($B107&gt;0,K107&lt;$B107,DATE($B$1,9,1)&lt;=TODAY(),OR($O107="",$O107&gt;=DATE($B$1,9,1)),OR(COUNTIF($C107:K107,"&gt;0")&gt;0,DATE($B$1,9,1)=DATE(YEAR(TODAY()),MONTH(TODAY()),1))),1,0))</f>
        <v/>
      </c>
      <c r="Y107">
        <f>IF($A107="","",IF(AND($B107&gt;0,L107&lt;$B107,DATE($B$1,10,1)&lt;=TODAY(),OR($O107="",$O107&gt;=DATE($B$1,10,1)),OR(COUNTIF($C107:L107,"&gt;0")&gt;0,DATE($B$1,10,1)=DATE(YEAR(TODAY()),MONTH(TODAY()),1))),1,0))</f>
        <v/>
      </c>
      <c r="Z107">
        <f>IF($A107="","",IF(AND($B107&gt;0,M107&lt;$B107,DATE($B$1,11,1)&lt;=TODAY(),OR($O107="",$O107&gt;=DATE($B$1,11,1)),OR(COUNTIF($C107:M107,"&gt;0")&gt;0,DATE($B$1,11,1)=DATE(YEAR(TODAY()),MONTH(TODAY()),1))),1,0))</f>
        <v/>
      </c>
      <c r="AA107">
        <f>IF($A107="","",IF(AND($B107&gt;0,N107&lt;$B107,DATE($B$1,12,1)&lt;=TODAY(),OR($O107="",$O107&gt;=DATE($B$1,12,1)),OR(COUNTIF($C107:N107,"&gt;0")&gt;0,DATE($B$1,12,1)=DATE(YEAR(TODAY()),MONTH(TODAY()),1))),1,0))</f>
        <v/>
      </c>
    </row>
    <row r="108">
      <c r="A108" s="13">
        <f>IF(원생!$A106="","",원생!$A106&amp;IF(원생!$G106="",""," ("&amp;원생!$G106&amp;")"))</f>
        <v/>
      </c>
      <c r="B108" s="8">
        <f>IF(원생!$A106="","",원생!$F106)</f>
        <v/>
      </c>
      <c r="C108" s="14">
        <f>IF(원생!$A106="","",SUMIFS(수납!$F:$F,수납!$C:$C,원생!$A106,수납!$D:$D,IF(원생!$G106="","",원생!$G106),수납!$B:$B,$B$1&amp;"-"&amp;TEXT(1,"00")&amp;"*",수납!$E:$E,"수강료")+SUMIFS(수납!$F:$F,수납!$C:$C,원생!$A106,수납!$D:$D,IF(원생!$G106="","",원생!$G106),수납!$B:$B,$B$1&amp;"-"&amp;TEXT(1,"00")&amp;"*",수납!$E:$E,""))</f>
        <v/>
      </c>
      <c r="D108" s="14">
        <f>IF(원생!$A106="","",SUMIFS(수납!$F:$F,수납!$C:$C,원생!$A106,수납!$D:$D,IF(원생!$G106="","",원생!$G106),수납!$B:$B,$B$1&amp;"-"&amp;TEXT(2,"00")&amp;"*",수납!$E:$E,"수강료")+SUMIFS(수납!$F:$F,수납!$C:$C,원생!$A106,수납!$D:$D,IF(원생!$G106="","",원생!$G106),수납!$B:$B,$B$1&amp;"-"&amp;TEXT(2,"00")&amp;"*",수납!$E:$E,""))</f>
        <v/>
      </c>
      <c r="E108" s="14">
        <f>IF(원생!$A106="","",SUMIFS(수납!$F:$F,수납!$C:$C,원생!$A106,수납!$D:$D,IF(원생!$G106="","",원생!$G106),수납!$B:$B,$B$1&amp;"-"&amp;TEXT(3,"00")&amp;"*",수납!$E:$E,"수강료")+SUMIFS(수납!$F:$F,수납!$C:$C,원생!$A106,수납!$D:$D,IF(원생!$G106="","",원생!$G106),수납!$B:$B,$B$1&amp;"-"&amp;TEXT(3,"00")&amp;"*",수납!$E:$E,""))</f>
        <v/>
      </c>
      <c r="F108" s="14">
        <f>IF(원생!$A106="","",SUMIFS(수납!$F:$F,수납!$C:$C,원생!$A106,수납!$D:$D,IF(원생!$G106="","",원생!$G106),수납!$B:$B,$B$1&amp;"-"&amp;TEXT(4,"00")&amp;"*",수납!$E:$E,"수강료")+SUMIFS(수납!$F:$F,수납!$C:$C,원생!$A106,수납!$D:$D,IF(원생!$G106="","",원생!$G106),수납!$B:$B,$B$1&amp;"-"&amp;TEXT(4,"00")&amp;"*",수납!$E:$E,""))</f>
        <v/>
      </c>
      <c r="G108" s="14">
        <f>IF(원생!$A106="","",SUMIFS(수납!$F:$F,수납!$C:$C,원생!$A106,수납!$D:$D,IF(원생!$G106="","",원생!$G106),수납!$B:$B,$B$1&amp;"-"&amp;TEXT(5,"00")&amp;"*",수납!$E:$E,"수강료")+SUMIFS(수납!$F:$F,수납!$C:$C,원생!$A106,수납!$D:$D,IF(원생!$G106="","",원생!$G106),수납!$B:$B,$B$1&amp;"-"&amp;TEXT(5,"00")&amp;"*",수납!$E:$E,""))</f>
        <v/>
      </c>
      <c r="H108" s="14">
        <f>IF(원생!$A106="","",SUMIFS(수납!$F:$F,수납!$C:$C,원생!$A106,수납!$D:$D,IF(원생!$G106="","",원생!$G106),수납!$B:$B,$B$1&amp;"-"&amp;TEXT(6,"00")&amp;"*",수납!$E:$E,"수강료")+SUMIFS(수납!$F:$F,수납!$C:$C,원생!$A106,수납!$D:$D,IF(원생!$G106="","",원생!$G106),수납!$B:$B,$B$1&amp;"-"&amp;TEXT(6,"00")&amp;"*",수납!$E:$E,""))</f>
        <v/>
      </c>
      <c r="I108" s="14">
        <f>IF(원생!$A106="","",SUMIFS(수납!$F:$F,수납!$C:$C,원생!$A106,수납!$D:$D,IF(원생!$G106="","",원생!$G106),수납!$B:$B,$B$1&amp;"-"&amp;TEXT(7,"00")&amp;"*",수납!$E:$E,"수강료")+SUMIFS(수납!$F:$F,수납!$C:$C,원생!$A106,수납!$D:$D,IF(원생!$G106="","",원생!$G106),수납!$B:$B,$B$1&amp;"-"&amp;TEXT(7,"00")&amp;"*",수납!$E:$E,""))</f>
        <v/>
      </c>
      <c r="J108" s="14">
        <f>IF(원생!$A106="","",SUMIFS(수납!$F:$F,수납!$C:$C,원생!$A106,수납!$D:$D,IF(원생!$G106="","",원생!$G106),수납!$B:$B,$B$1&amp;"-"&amp;TEXT(8,"00")&amp;"*",수납!$E:$E,"수강료")+SUMIFS(수납!$F:$F,수납!$C:$C,원생!$A106,수납!$D:$D,IF(원생!$G106="","",원생!$G106),수납!$B:$B,$B$1&amp;"-"&amp;TEXT(8,"00")&amp;"*",수납!$E:$E,""))</f>
        <v/>
      </c>
      <c r="K108" s="14">
        <f>IF(원생!$A106="","",SUMIFS(수납!$F:$F,수납!$C:$C,원생!$A106,수납!$D:$D,IF(원생!$G106="","",원생!$G106),수납!$B:$B,$B$1&amp;"-"&amp;TEXT(9,"00")&amp;"*",수납!$E:$E,"수강료")+SUMIFS(수납!$F:$F,수납!$C:$C,원생!$A106,수납!$D:$D,IF(원생!$G106="","",원생!$G106),수납!$B:$B,$B$1&amp;"-"&amp;TEXT(9,"00")&amp;"*",수납!$E:$E,""))</f>
        <v/>
      </c>
      <c r="L108" s="14">
        <f>IF(원생!$A106="","",SUMIFS(수납!$F:$F,수납!$C:$C,원생!$A106,수납!$D:$D,IF(원생!$G106="","",원생!$G106),수납!$B:$B,$B$1&amp;"-"&amp;TEXT(10,"00")&amp;"*",수납!$E:$E,"수강료")+SUMIFS(수납!$F:$F,수납!$C:$C,원생!$A106,수납!$D:$D,IF(원생!$G106="","",원생!$G106),수납!$B:$B,$B$1&amp;"-"&amp;TEXT(10,"00")&amp;"*",수납!$E:$E,""))</f>
        <v/>
      </c>
      <c r="M108" s="14">
        <f>IF(원생!$A106="","",SUMIFS(수납!$F:$F,수납!$C:$C,원생!$A106,수납!$D:$D,IF(원생!$G106="","",원생!$G106),수납!$B:$B,$B$1&amp;"-"&amp;TEXT(11,"00")&amp;"*",수납!$E:$E,"수강료")+SUMIFS(수납!$F:$F,수납!$C:$C,원생!$A106,수납!$D:$D,IF(원생!$G106="","",원생!$G106),수납!$B:$B,$B$1&amp;"-"&amp;TEXT(11,"00")&amp;"*",수납!$E:$E,""))</f>
        <v/>
      </c>
      <c r="N108" s="14">
        <f>IF(원생!$A106="","",SUMIFS(수납!$F:$F,수납!$C:$C,원생!$A106,수납!$D:$D,IF(원생!$G106="","",원생!$G106),수납!$B:$B,$B$1&amp;"-"&amp;TEXT(12,"00")&amp;"*",수납!$E:$E,"수강료")+SUMIFS(수납!$F:$F,수납!$C:$C,원생!$A106,수납!$D:$D,IF(원생!$G106="","",원생!$G106),수납!$B:$B,$B$1&amp;"-"&amp;TEXT(12,"00")&amp;"*",수납!$E:$E,""))</f>
        <v/>
      </c>
      <c r="O108">
        <f>IF(원생!$I106="","",원생!$I106)</f>
        <v/>
      </c>
      <c r="P108">
        <f>IF($A108="","",IF(AND($B108&gt;0,C108&lt;$B108,DATE($B$1,1,1)&lt;=TODAY(),OR($O108="",$O108&gt;=DATE($B$1,1,1)),OR(COUNTIF($C108:C108,"&gt;0")&gt;0,DATE($B$1,1,1)=DATE(YEAR(TODAY()),MONTH(TODAY()),1))),1,0))</f>
        <v/>
      </c>
      <c r="Q108">
        <f>IF($A108="","",IF(AND($B108&gt;0,D108&lt;$B108,DATE($B$1,2,1)&lt;=TODAY(),OR($O108="",$O108&gt;=DATE($B$1,2,1)),OR(COUNTIF($C108:D108,"&gt;0")&gt;0,DATE($B$1,2,1)=DATE(YEAR(TODAY()),MONTH(TODAY()),1))),1,0))</f>
        <v/>
      </c>
      <c r="R108">
        <f>IF($A108="","",IF(AND($B108&gt;0,E108&lt;$B108,DATE($B$1,3,1)&lt;=TODAY(),OR($O108="",$O108&gt;=DATE($B$1,3,1)),OR(COUNTIF($C108:E108,"&gt;0")&gt;0,DATE($B$1,3,1)=DATE(YEAR(TODAY()),MONTH(TODAY()),1))),1,0))</f>
        <v/>
      </c>
      <c r="S108">
        <f>IF($A108="","",IF(AND($B108&gt;0,F108&lt;$B108,DATE($B$1,4,1)&lt;=TODAY(),OR($O108="",$O108&gt;=DATE($B$1,4,1)),OR(COUNTIF($C108:F108,"&gt;0")&gt;0,DATE($B$1,4,1)=DATE(YEAR(TODAY()),MONTH(TODAY()),1))),1,0))</f>
        <v/>
      </c>
      <c r="T108">
        <f>IF($A108="","",IF(AND($B108&gt;0,G108&lt;$B108,DATE($B$1,5,1)&lt;=TODAY(),OR($O108="",$O108&gt;=DATE($B$1,5,1)),OR(COUNTIF($C108:G108,"&gt;0")&gt;0,DATE($B$1,5,1)=DATE(YEAR(TODAY()),MONTH(TODAY()),1))),1,0))</f>
        <v/>
      </c>
      <c r="U108">
        <f>IF($A108="","",IF(AND($B108&gt;0,H108&lt;$B108,DATE($B$1,6,1)&lt;=TODAY(),OR($O108="",$O108&gt;=DATE($B$1,6,1)),OR(COUNTIF($C108:H108,"&gt;0")&gt;0,DATE($B$1,6,1)=DATE(YEAR(TODAY()),MONTH(TODAY()),1))),1,0))</f>
        <v/>
      </c>
      <c r="V108">
        <f>IF($A108="","",IF(AND($B108&gt;0,I108&lt;$B108,DATE($B$1,7,1)&lt;=TODAY(),OR($O108="",$O108&gt;=DATE($B$1,7,1)),OR(COUNTIF($C108:I108,"&gt;0")&gt;0,DATE($B$1,7,1)=DATE(YEAR(TODAY()),MONTH(TODAY()),1))),1,0))</f>
        <v/>
      </c>
      <c r="W108">
        <f>IF($A108="","",IF(AND($B108&gt;0,J108&lt;$B108,DATE($B$1,8,1)&lt;=TODAY(),OR($O108="",$O108&gt;=DATE($B$1,8,1)),OR(COUNTIF($C108:J108,"&gt;0")&gt;0,DATE($B$1,8,1)=DATE(YEAR(TODAY()),MONTH(TODAY()),1))),1,0))</f>
        <v/>
      </c>
      <c r="X108">
        <f>IF($A108="","",IF(AND($B108&gt;0,K108&lt;$B108,DATE($B$1,9,1)&lt;=TODAY(),OR($O108="",$O108&gt;=DATE($B$1,9,1)),OR(COUNTIF($C108:K108,"&gt;0")&gt;0,DATE($B$1,9,1)=DATE(YEAR(TODAY()),MONTH(TODAY()),1))),1,0))</f>
        <v/>
      </c>
      <c r="Y108">
        <f>IF($A108="","",IF(AND($B108&gt;0,L108&lt;$B108,DATE($B$1,10,1)&lt;=TODAY(),OR($O108="",$O108&gt;=DATE($B$1,10,1)),OR(COUNTIF($C108:L108,"&gt;0")&gt;0,DATE($B$1,10,1)=DATE(YEAR(TODAY()),MONTH(TODAY()),1))),1,0))</f>
        <v/>
      </c>
      <c r="Z108">
        <f>IF($A108="","",IF(AND($B108&gt;0,M108&lt;$B108,DATE($B$1,11,1)&lt;=TODAY(),OR($O108="",$O108&gt;=DATE($B$1,11,1)),OR(COUNTIF($C108:M108,"&gt;0")&gt;0,DATE($B$1,11,1)=DATE(YEAR(TODAY()),MONTH(TODAY()),1))),1,0))</f>
        <v/>
      </c>
      <c r="AA108">
        <f>IF($A108="","",IF(AND($B108&gt;0,N108&lt;$B108,DATE($B$1,12,1)&lt;=TODAY(),OR($O108="",$O108&gt;=DATE($B$1,12,1)),OR(COUNTIF($C108:N108,"&gt;0")&gt;0,DATE($B$1,12,1)=DATE(YEAR(TODAY()),MONTH(TODAY()),1))),1,0))</f>
        <v/>
      </c>
    </row>
    <row r="109">
      <c r="A109" s="13">
        <f>IF(원생!$A107="","",원생!$A107&amp;IF(원생!$G107="",""," ("&amp;원생!$G107&amp;")"))</f>
        <v/>
      </c>
      <c r="B109" s="8">
        <f>IF(원생!$A107="","",원생!$F107)</f>
        <v/>
      </c>
      <c r="C109" s="14">
        <f>IF(원생!$A107="","",SUMIFS(수납!$F:$F,수납!$C:$C,원생!$A107,수납!$D:$D,IF(원생!$G107="","",원생!$G107),수납!$B:$B,$B$1&amp;"-"&amp;TEXT(1,"00")&amp;"*",수납!$E:$E,"수강료")+SUMIFS(수납!$F:$F,수납!$C:$C,원생!$A107,수납!$D:$D,IF(원생!$G107="","",원생!$G107),수납!$B:$B,$B$1&amp;"-"&amp;TEXT(1,"00")&amp;"*",수납!$E:$E,""))</f>
        <v/>
      </c>
      <c r="D109" s="14">
        <f>IF(원생!$A107="","",SUMIFS(수납!$F:$F,수납!$C:$C,원생!$A107,수납!$D:$D,IF(원생!$G107="","",원생!$G107),수납!$B:$B,$B$1&amp;"-"&amp;TEXT(2,"00")&amp;"*",수납!$E:$E,"수강료")+SUMIFS(수납!$F:$F,수납!$C:$C,원생!$A107,수납!$D:$D,IF(원생!$G107="","",원생!$G107),수납!$B:$B,$B$1&amp;"-"&amp;TEXT(2,"00")&amp;"*",수납!$E:$E,""))</f>
        <v/>
      </c>
      <c r="E109" s="14">
        <f>IF(원생!$A107="","",SUMIFS(수납!$F:$F,수납!$C:$C,원생!$A107,수납!$D:$D,IF(원생!$G107="","",원생!$G107),수납!$B:$B,$B$1&amp;"-"&amp;TEXT(3,"00")&amp;"*",수납!$E:$E,"수강료")+SUMIFS(수납!$F:$F,수납!$C:$C,원생!$A107,수납!$D:$D,IF(원생!$G107="","",원생!$G107),수납!$B:$B,$B$1&amp;"-"&amp;TEXT(3,"00")&amp;"*",수납!$E:$E,""))</f>
        <v/>
      </c>
      <c r="F109" s="14">
        <f>IF(원생!$A107="","",SUMIFS(수납!$F:$F,수납!$C:$C,원생!$A107,수납!$D:$D,IF(원생!$G107="","",원생!$G107),수납!$B:$B,$B$1&amp;"-"&amp;TEXT(4,"00")&amp;"*",수납!$E:$E,"수강료")+SUMIFS(수납!$F:$F,수납!$C:$C,원생!$A107,수납!$D:$D,IF(원생!$G107="","",원생!$G107),수납!$B:$B,$B$1&amp;"-"&amp;TEXT(4,"00")&amp;"*",수납!$E:$E,""))</f>
        <v/>
      </c>
      <c r="G109" s="14">
        <f>IF(원생!$A107="","",SUMIFS(수납!$F:$F,수납!$C:$C,원생!$A107,수납!$D:$D,IF(원생!$G107="","",원생!$G107),수납!$B:$B,$B$1&amp;"-"&amp;TEXT(5,"00")&amp;"*",수납!$E:$E,"수강료")+SUMIFS(수납!$F:$F,수납!$C:$C,원생!$A107,수납!$D:$D,IF(원생!$G107="","",원생!$G107),수납!$B:$B,$B$1&amp;"-"&amp;TEXT(5,"00")&amp;"*",수납!$E:$E,""))</f>
        <v/>
      </c>
      <c r="H109" s="14">
        <f>IF(원생!$A107="","",SUMIFS(수납!$F:$F,수납!$C:$C,원생!$A107,수납!$D:$D,IF(원생!$G107="","",원생!$G107),수납!$B:$B,$B$1&amp;"-"&amp;TEXT(6,"00")&amp;"*",수납!$E:$E,"수강료")+SUMIFS(수납!$F:$F,수납!$C:$C,원생!$A107,수납!$D:$D,IF(원생!$G107="","",원생!$G107),수납!$B:$B,$B$1&amp;"-"&amp;TEXT(6,"00")&amp;"*",수납!$E:$E,""))</f>
        <v/>
      </c>
      <c r="I109" s="14">
        <f>IF(원생!$A107="","",SUMIFS(수납!$F:$F,수납!$C:$C,원생!$A107,수납!$D:$D,IF(원생!$G107="","",원생!$G107),수납!$B:$B,$B$1&amp;"-"&amp;TEXT(7,"00")&amp;"*",수납!$E:$E,"수강료")+SUMIFS(수납!$F:$F,수납!$C:$C,원생!$A107,수납!$D:$D,IF(원생!$G107="","",원생!$G107),수납!$B:$B,$B$1&amp;"-"&amp;TEXT(7,"00")&amp;"*",수납!$E:$E,""))</f>
        <v/>
      </c>
      <c r="J109" s="14">
        <f>IF(원생!$A107="","",SUMIFS(수납!$F:$F,수납!$C:$C,원생!$A107,수납!$D:$D,IF(원생!$G107="","",원생!$G107),수납!$B:$B,$B$1&amp;"-"&amp;TEXT(8,"00")&amp;"*",수납!$E:$E,"수강료")+SUMIFS(수납!$F:$F,수납!$C:$C,원생!$A107,수납!$D:$D,IF(원생!$G107="","",원생!$G107),수납!$B:$B,$B$1&amp;"-"&amp;TEXT(8,"00")&amp;"*",수납!$E:$E,""))</f>
        <v/>
      </c>
      <c r="K109" s="14">
        <f>IF(원생!$A107="","",SUMIFS(수납!$F:$F,수납!$C:$C,원생!$A107,수납!$D:$D,IF(원생!$G107="","",원생!$G107),수납!$B:$B,$B$1&amp;"-"&amp;TEXT(9,"00")&amp;"*",수납!$E:$E,"수강료")+SUMIFS(수납!$F:$F,수납!$C:$C,원생!$A107,수납!$D:$D,IF(원생!$G107="","",원생!$G107),수납!$B:$B,$B$1&amp;"-"&amp;TEXT(9,"00")&amp;"*",수납!$E:$E,""))</f>
        <v/>
      </c>
      <c r="L109" s="14">
        <f>IF(원생!$A107="","",SUMIFS(수납!$F:$F,수납!$C:$C,원생!$A107,수납!$D:$D,IF(원생!$G107="","",원생!$G107),수납!$B:$B,$B$1&amp;"-"&amp;TEXT(10,"00")&amp;"*",수납!$E:$E,"수강료")+SUMIFS(수납!$F:$F,수납!$C:$C,원생!$A107,수납!$D:$D,IF(원생!$G107="","",원생!$G107),수납!$B:$B,$B$1&amp;"-"&amp;TEXT(10,"00")&amp;"*",수납!$E:$E,""))</f>
        <v/>
      </c>
      <c r="M109" s="14">
        <f>IF(원생!$A107="","",SUMIFS(수납!$F:$F,수납!$C:$C,원생!$A107,수납!$D:$D,IF(원생!$G107="","",원생!$G107),수납!$B:$B,$B$1&amp;"-"&amp;TEXT(11,"00")&amp;"*",수납!$E:$E,"수강료")+SUMIFS(수납!$F:$F,수납!$C:$C,원생!$A107,수납!$D:$D,IF(원생!$G107="","",원생!$G107),수납!$B:$B,$B$1&amp;"-"&amp;TEXT(11,"00")&amp;"*",수납!$E:$E,""))</f>
        <v/>
      </c>
      <c r="N109" s="14">
        <f>IF(원생!$A107="","",SUMIFS(수납!$F:$F,수납!$C:$C,원생!$A107,수납!$D:$D,IF(원생!$G107="","",원생!$G107),수납!$B:$B,$B$1&amp;"-"&amp;TEXT(12,"00")&amp;"*",수납!$E:$E,"수강료")+SUMIFS(수납!$F:$F,수납!$C:$C,원생!$A107,수납!$D:$D,IF(원생!$G107="","",원생!$G107),수납!$B:$B,$B$1&amp;"-"&amp;TEXT(12,"00")&amp;"*",수납!$E:$E,""))</f>
        <v/>
      </c>
      <c r="O109">
        <f>IF(원생!$I107="","",원생!$I107)</f>
        <v/>
      </c>
      <c r="P109">
        <f>IF($A109="","",IF(AND($B109&gt;0,C109&lt;$B109,DATE($B$1,1,1)&lt;=TODAY(),OR($O109="",$O109&gt;=DATE($B$1,1,1)),OR(COUNTIF($C109:C109,"&gt;0")&gt;0,DATE($B$1,1,1)=DATE(YEAR(TODAY()),MONTH(TODAY()),1))),1,0))</f>
        <v/>
      </c>
      <c r="Q109">
        <f>IF($A109="","",IF(AND($B109&gt;0,D109&lt;$B109,DATE($B$1,2,1)&lt;=TODAY(),OR($O109="",$O109&gt;=DATE($B$1,2,1)),OR(COUNTIF($C109:D109,"&gt;0")&gt;0,DATE($B$1,2,1)=DATE(YEAR(TODAY()),MONTH(TODAY()),1))),1,0))</f>
        <v/>
      </c>
      <c r="R109">
        <f>IF($A109="","",IF(AND($B109&gt;0,E109&lt;$B109,DATE($B$1,3,1)&lt;=TODAY(),OR($O109="",$O109&gt;=DATE($B$1,3,1)),OR(COUNTIF($C109:E109,"&gt;0")&gt;0,DATE($B$1,3,1)=DATE(YEAR(TODAY()),MONTH(TODAY()),1))),1,0))</f>
        <v/>
      </c>
      <c r="S109">
        <f>IF($A109="","",IF(AND($B109&gt;0,F109&lt;$B109,DATE($B$1,4,1)&lt;=TODAY(),OR($O109="",$O109&gt;=DATE($B$1,4,1)),OR(COUNTIF($C109:F109,"&gt;0")&gt;0,DATE($B$1,4,1)=DATE(YEAR(TODAY()),MONTH(TODAY()),1))),1,0))</f>
        <v/>
      </c>
      <c r="T109">
        <f>IF($A109="","",IF(AND($B109&gt;0,G109&lt;$B109,DATE($B$1,5,1)&lt;=TODAY(),OR($O109="",$O109&gt;=DATE($B$1,5,1)),OR(COUNTIF($C109:G109,"&gt;0")&gt;0,DATE($B$1,5,1)=DATE(YEAR(TODAY()),MONTH(TODAY()),1))),1,0))</f>
        <v/>
      </c>
      <c r="U109">
        <f>IF($A109="","",IF(AND($B109&gt;0,H109&lt;$B109,DATE($B$1,6,1)&lt;=TODAY(),OR($O109="",$O109&gt;=DATE($B$1,6,1)),OR(COUNTIF($C109:H109,"&gt;0")&gt;0,DATE($B$1,6,1)=DATE(YEAR(TODAY()),MONTH(TODAY()),1))),1,0))</f>
        <v/>
      </c>
      <c r="V109">
        <f>IF($A109="","",IF(AND($B109&gt;0,I109&lt;$B109,DATE($B$1,7,1)&lt;=TODAY(),OR($O109="",$O109&gt;=DATE($B$1,7,1)),OR(COUNTIF($C109:I109,"&gt;0")&gt;0,DATE($B$1,7,1)=DATE(YEAR(TODAY()),MONTH(TODAY()),1))),1,0))</f>
        <v/>
      </c>
      <c r="W109">
        <f>IF($A109="","",IF(AND($B109&gt;0,J109&lt;$B109,DATE($B$1,8,1)&lt;=TODAY(),OR($O109="",$O109&gt;=DATE($B$1,8,1)),OR(COUNTIF($C109:J109,"&gt;0")&gt;0,DATE($B$1,8,1)=DATE(YEAR(TODAY()),MONTH(TODAY()),1))),1,0))</f>
        <v/>
      </c>
      <c r="X109">
        <f>IF($A109="","",IF(AND($B109&gt;0,K109&lt;$B109,DATE($B$1,9,1)&lt;=TODAY(),OR($O109="",$O109&gt;=DATE($B$1,9,1)),OR(COUNTIF($C109:K109,"&gt;0")&gt;0,DATE($B$1,9,1)=DATE(YEAR(TODAY()),MONTH(TODAY()),1))),1,0))</f>
        <v/>
      </c>
      <c r="Y109">
        <f>IF($A109="","",IF(AND($B109&gt;0,L109&lt;$B109,DATE($B$1,10,1)&lt;=TODAY(),OR($O109="",$O109&gt;=DATE($B$1,10,1)),OR(COUNTIF($C109:L109,"&gt;0")&gt;0,DATE($B$1,10,1)=DATE(YEAR(TODAY()),MONTH(TODAY()),1))),1,0))</f>
        <v/>
      </c>
      <c r="Z109">
        <f>IF($A109="","",IF(AND($B109&gt;0,M109&lt;$B109,DATE($B$1,11,1)&lt;=TODAY(),OR($O109="",$O109&gt;=DATE($B$1,11,1)),OR(COUNTIF($C109:M109,"&gt;0")&gt;0,DATE($B$1,11,1)=DATE(YEAR(TODAY()),MONTH(TODAY()),1))),1,0))</f>
        <v/>
      </c>
      <c r="AA109">
        <f>IF($A109="","",IF(AND($B109&gt;0,N109&lt;$B109,DATE($B$1,12,1)&lt;=TODAY(),OR($O109="",$O109&gt;=DATE($B$1,12,1)),OR(COUNTIF($C109:N109,"&gt;0")&gt;0,DATE($B$1,12,1)=DATE(YEAR(TODAY()),MONTH(TODAY()),1))),1,0))</f>
        <v/>
      </c>
    </row>
    <row r="110">
      <c r="A110" s="13">
        <f>IF(원생!$A108="","",원생!$A108&amp;IF(원생!$G108="",""," ("&amp;원생!$G108&amp;")"))</f>
        <v/>
      </c>
      <c r="B110" s="8">
        <f>IF(원생!$A108="","",원생!$F108)</f>
        <v/>
      </c>
      <c r="C110" s="14">
        <f>IF(원생!$A108="","",SUMIFS(수납!$F:$F,수납!$C:$C,원생!$A108,수납!$D:$D,IF(원생!$G108="","",원생!$G108),수납!$B:$B,$B$1&amp;"-"&amp;TEXT(1,"00")&amp;"*",수납!$E:$E,"수강료")+SUMIFS(수납!$F:$F,수납!$C:$C,원생!$A108,수납!$D:$D,IF(원생!$G108="","",원생!$G108),수납!$B:$B,$B$1&amp;"-"&amp;TEXT(1,"00")&amp;"*",수납!$E:$E,""))</f>
        <v/>
      </c>
      <c r="D110" s="14">
        <f>IF(원생!$A108="","",SUMIFS(수납!$F:$F,수납!$C:$C,원생!$A108,수납!$D:$D,IF(원생!$G108="","",원생!$G108),수납!$B:$B,$B$1&amp;"-"&amp;TEXT(2,"00")&amp;"*",수납!$E:$E,"수강료")+SUMIFS(수납!$F:$F,수납!$C:$C,원생!$A108,수납!$D:$D,IF(원생!$G108="","",원생!$G108),수납!$B:$B,$B$1&amp;"-"&amp;TEXT(2,"00")&amp;"*",수납!$E:$E,""))</f>
        <v/>
      </c>
      <c r="E110" s="14">
        <f>IF(원생!$A108="","",SUMIFS(수납!$F:$F,수납!$C:$C,원생!$A108,수납!$D:$D,IF(원생!$G108="","",원생!$G108),수납!$B:$B,$B$1&amp;"-"&amp;TEXT(3,"00")&amp;"*",수납!$E:$E,"수강료")+SUMIFS(수납!$F:$F,수납!$C:$C,원생!$A108,수납!$D:$D,IF(원생!$G108="","",원생!$G108),수납!$B:$B,$B$1&amp;"-"&amp;TEXT(3,"00")&amp;"*",수납!$E:$E,""))</f>
        <v/>
      </c>
      <c r="F110" s="14">
        <f>IF(원생!$A108="","",SUMIFS(수납!$F:$F,수납!$C:$C,원생!$A108,수납!$D:$D,IF(원생!$G108="","",원생!$G108),수납!$B:$B,$B$1&amp;"-"&amp;TEXT(4,"00")&amp;"*",수납!$E:$E,"수강료")+SUMIFS(수납!$F:$F,수납!$C:$C,원생!$A108,수납!$D:$D,IF(원생!$G108="","",원생!$G108),수납!$B:$B,$B$1&amp;"-"&amp;TEXT(4,"00")&amp;"*",수납!$E:$E,""))</f>
        <v/>
      </c>
      <c r="G110" s="14">
        <f>IF(원생!$A108="","",SUMIFS(수납!$F:$F,수납!$C:$C,원생!$A108,수납!$D:$D,IF(원생!$G108="","",원생!$G108),수납!$B:$B,$B$1&amp;"-"&amp;TEXT(5,"00")&amp;"*",수납!$E:$E,"수강료")+SUMIFS(수납!$F:$F,수납!$C:$C,원생!$A108,수납!$D:$D,IF(원생!$G108="","",원생!$G108),수납!$B:$B,$B$1&amp;"-"&amp;TEXT(5,"00")&amp;"*",수납!$E:$E,""))</f>
        <v/>
      </c>
      <c r="H110" s="14">
        <f>IF(원생!$A108="","",SUMIFS(수납!$F:$F,수납!$C:$C,원생!$A108,수납!$D:$D,IF(원생!$G108="","",원생!$G108),수납!$B:$B,$B$1&amp;"-"&amp;TEXT(6,"00")&amp;"*",수납!$E:$E,"수강료")+SUMIFS(수납!$F:$F,수납!$C:$C,원생!$A108,수납!$D:$D,IF(원생!$G108="","",원생!$G108),수납!$B:$B,$B$1&amp;"-"&amp;TEXT(6,"00")&amp;"*",수납!$E:$E,""))</f>
        <v/>
      </c>
      <c r="I110" s="14">
        <f>IF(원생!$A108="","",SUMIFS(수납!$F:$F,수납!$C:$C,원생!$A108,수납!$D:$D,IF(원생!$G108="","",원생!$G108),수납!$B:$B,$B$1&amp;"-"&amp;TEXT(7,"00")&amp;"*",수납!$E:$E,"수강료")+SUMIFS(수납!$F:$F,수납!$C:$C,원생!$A108,수납!$D:$D,IF(원생!$G108="","",원생!$G108),수납!$B:$B,$B$1&amp;"-"&amp;TEXT(7,"00")&amp;"*",수납!$E:$E,""))</f>
        <v/>
      </c>
      <c r="J110" s="14">
        <f>IF(원생!$A108="","",SUMIFS(수납!$F:$F,수납!$C:$C,원생!$A108,수납!$D:$D,IF(원생!$G108="","",원생!$G108),수납!$B:$B,$B$1&amp;"-"&amp;TEXT(8,"00")&amp;"*",수납!$E:$E,"수강료")+SUMIFS(수납!$F:$F,수납!$C:$C,원생!$A108,수납!$D:$D,IF(원생!$G108="","",원생!$G108),수납!$B:$B,$B$1&amp;"-"&amp;TEXT(8,"00")&amp;"*",수납!$E:$E,""))</f>
        <v/>
      </c>
      <c r="K110" s="14">
        <f>IF(원생!$A108="","",SUMIFS(수납!$F:$F,수납!$C:$C,원생!$A108,수납!$D:$D,IF(원생!$G108="","",원생!$G108),수납!$B:$B,$B$1&amp;"-"&amp;TEXT(9,"00")&amp;"*",수납!$E:$E,"수강료")+SUMIFS(수납!$F:$F,수납!$C:$C,원생!$A108,수납!$D:$D,IF(원생!$G108="","",원생!$G108),수납!$B:$B,$B$1&amp;"-"&amp;TEXT(9,"00")&amp;"*",수납!$E:$E,""))</f>
        <v/>
      </c>
      <c r="L110" s="14">
        <f>IF(원생!$A108="","",SUMIFS(수납!$F:$F,수납!$C:$C,원생!$A108,수납!$D:$D,IF(원생!$G108="","",원생!$G108),수납!$B:$B,$B$1&amp;"-"&amp;TEXT(10,"00")&amp;"*",수납!$E:$E,"수강료")+SUMIFS(수납!$F:$F,수납!$C:$C,원생!$A108,수납!$D:$D,IF(원생!$G108="","",원생!$G108),수납!$B:$B,$B$1&amp;"-"&amp;TEXT(10,"00")&amp;"*",수납!$E:$E,""))</f>
        <v/>
      </c>
      <c r="M110" s="14">
        <f>IF(원생!$A108="","",SUMIFS(수납!$F:$F,수납!$C:$C,원생!$A108,수납!$D:$D,IF(원생!$G108="","",원생!$G108),수납!$B:$B,$B$1&amp;"-"&amp;TEXT(11,"00")&amp;"*",수납!$E:$E,"수강료")+SUMIFS(수납!$F:$F,수납!$C:$C,원생!$A108,수납!$D:$D,IF(원생!$G108="","",원생!$G108),수납!$B:$B,$B$1&amp;"-"&amp;TEXT(11,"00")&amp;"*",수납!$E:$E,""))</f>
        <v/>
      </c>
      <c r="N110" s="14">
        <f>IF(원생!$A108="","",SUMIFS(수납!$F:$F,수납!$C:$C,원생!$A108,수납!$D:$D,IF(원생!$G108="","",원생!$G108),수납!$B:$B,$B$1&amp;"-"&amp;TEXT(12,"00")&amp;"*",수납!$E:$E,"수강료")+SUMIFS(수납!$F:$F,수납!$C:$C,원생!$A108,수납!$D:$D,IF(원생!$G108="","",원생!$G108),수납!$B:$B,$B$1&amp;"-"&amp;TEXT(12,"00")&amp;"*",수납!$E:$E,""))</f>
        <v/>
      </c>
      <c r="O110">
        <f>IF(원생!$I108="","",원생!$I108)</f>
        <v/>
      </c>
      <c r="P110">
        <f>IF($A110="","",IF(AND($B110&gt;0,C110&lt;$B110,DATE($B$1,1,1)&lt;=TODAY(),OR($O110="",$O110&gt;=DATE($B$1,1,1)),OR(COUNTIF($C110:C110,"&gt;0")&gt;0,DATE($B$1,1,1)=DATE(YEAR(TODAY()),MONTH(TODAY()),1))),1,0))</f>
        <v/>
      </c>
      <c r="Q110">
        <f>IF($A110="","",IF(AND($B110&gt;0,D110&lt;$B110,DATE($B$1,2,1)&lt;=TODAY(),OR($O110="",$O110&gt;=DATE($B$1,2,1)),OR(COUNTIF($C110:D110,"&gt;0")&gt;0,DATE($B$1,2,1)=DATE(YEAR(TODAY()),MONTH(TODAY()),1))),1,0))</f>
        <v/>
      </c>
      <c r="R110">
        <f>IF($A110="","",IF(AND($B110&gt;0,E110&lt;$B110,DATE($B$1,3,1)&lt;=TODAY(),OR($O110="",$O110&gt;=DATE($B$1,3,1)),OR(COUNTIF($C110:E110,"&gt;0")&gt;0,DATE($B$1,3,1)=DATE(YEAR(TODAY()),MONTH(TODAY()),1))),1,0))</f>
        <v/>
      </c>
      <c r="S110">
        <f>IF($A110="","",IF(AND($B110&gt;0,F110&lt;$B110,DATE($B$1,4,1)&lt;=TODAY(),OR($O110="",$O110&gt;=DATE($B$1,4,1)),OR(COUNTIF($C110:F110,"&gt;0")&gt;0,DATE($B$1,4,1)=DATE(YEAR(TODAY()),MONTH(TODAY()),1))),1,0))</f>
        <v/>
      </c>
      <c r="T110">
        <f>IF($A110="","",IF(AND($B110&gt;0,G110&lt;$B110,DATE($B$1,5,1)&lt;=TODAY(),OR($O110="",$O110&gt;=DATE($B$1,5,1)),OR(COUNTIF($C110:G110,"&gt;0")&gt;0,DATE($B$1,5,1)=DATE(YEAR(TODAY()),MONTH(TODAY()),1))),1,0))</f>
        <v/>
      </c>
      <c r="U110">
        <f>IF($A110="","",IF(AND($B110&gt;0,H110&lt;$B110,DATE($B$1,6,1)&lt;=TODAY(),OR($O110="",$O110&gt;=DATE($B$1,6,1)),OR(COUNTIF($C110:H110,"&gt;0")&gt;0,DATE($B$1,6,1)=DATE(YEAR(TODAY()),MONTH(TODAY()),1))),1,0))</f>
        <v/>
      </c>
      <c r="V110">
        <f>IF($A110="","",IF(AND($B110&gt;0,I110&lt;$B110,DATE($B$1,7,1)&lt;=TODAY(),OR($O110="",$O110&gt;=DATE($B$1,7,1)),OR(COUNTIF($C110:I110,"&gt;0")&gt;0,DATE($B$1,7,1)=DATE(YEAR(TODAY()),MONTH(TODAY()),1))),1,0))</f>
        <v/>
      </c>
      <c r="W110">
        <f>IF($A110="","",IF(AND($B110&gt;0,J110&lt;$B110,DATE($B$1,8,1)&lt;=TODAY(),OR($O110="",$O110&gt;=DATE($B$1,8,1)),OR(COUNTIF($C110:J110,"&gt;0")&gt;0,DATE($B$1,8,1)=DATE(YEAR(TODAY()),MONTH(TODAY()),1))),1,0))</f>
        <v/>
      </c>
      <c r="X110">
        <f>IF($A110="","",IF(AND($B110&gt;0,K110&lt;$B110,DATE($B$1,9,1)&lt;=TODAY(),OR($O110="",$O110&gt;=DATE($B$1,9,1)),OR(COUNTIF($C110:K110,"&gt;0")&gt;0,DATE($B$1,9,1)=DATE(YEAR(TODAY()),MONTH(TODAY()),1))),1,0))</f>
        <v/>
      </c>
      <c r="Y110">
        <f>IF($A110="","",IF(AND($B110&gt;0,L110&lt;$B110,DATE($B$1,10,1)&lt;=TODAY(),OR($O110="",$O110&gt;=DATE($B$1,10,1)),OR(COUNTIF($C110:L110,"&gt;0")&gt;0,DATE($B$1,10,1)=DATE(YEAR(TODAY()),MONTH(TODAY()),1))),1,0))</f>
        <v/>
      </c>
      <c r="Z110">
        <f>IF($A110="","",IF(AND($B110&gt;0,M110&lt;$B110,DATE($B$1,11,1)&lt;=TODAY(),OR($O110="",$O110&gt;=DATE($B$1,11,1)),OR(COUNTIF($C110:M110,"&gt;0")&gt;0,DATE($B$1,11,1)=DATE(YEAR(TODAY()),MONTH(TODAY()),1))),1,0))</f>
        <v/>
      </c>
      <c r="AA110">
        <f>IF($A110="","",IF(AND($B110&gt;0,N110&lt;$B110,DATE($B$1,12,1)&lt;=TODAY(),OR($O110="",$O110&gt;=DATE($B$1,12,1)),OR(COUNTIF($C110:N110,"&gt;0")&gt;0,DATE($B$1,12,1)=DATE(YEAR(TODAY()),MONTH(TODAY()),1))),1,0))</f>
        <v/>
      </c>
    </row>
    <row r="111">
      <c r="A111" s="13">
        <f>IF(원생!$A109="","",원생!$A109&amp;IF(원생!$G109="",""," ("&amp;원생!$G109&amp;")"))</f>
        <v/>
      </c>
      <c r="B111" s="8">
        <f>IF(원생!$A109="","",원생!$F109)</f>
        <v/>
      </c>
      <c r="C111" s="14">
        <f>IF(원생!$A109="","",SUMIFS(수납!$F:$F,수납!$C:$C,원생!$A109,수납!$D:$D,IF(원생!$G109="","",원생!$G109),수납!$B:$B,$B$1&amp;"-"&amp;TEXT(1,"00")&amp;"*",수납!$E:$E,"수강료")+SUMIFS(수납!$F:$F,수납!$C:$C,원생!$A109,수납!$D:$D,IF(원생!$G109="","",원생!$G109),수납!$B:$B,$B$1&amp;"-"&amp;TEXT(1,"00")&amp;"*",수납!$E:$E,""))</f>
        <v/>
      </c>
      <c r="D111" s="14">
        <f>IF(원생!$A109="","",SUMIFS(수납!$F:$F,수납!$C:$C,원생!$A109,수납!$D:$D,IF(원생!$G109="","",원생!$G109),수납!$B:$B,$B$1&amp;"-"&amp;TEXT(2,"00")&amp;"*",수납!$E:$E,"수강료")+SUMIFS(수납!$F:$F,수납!$C:$C,원생!$A109,수납!$D:$D,IF(원생!$G109="","",원생!$G109),수납!$B:$B,$B$1&amp;"-"&amp;TEXT(2,"00")&amp;"*",수납!$E:$E,""))</f>
        <v/>
      </c>
      <c r="E111" s="14">
        <f>IF(원생!$A109="","",SUMIFS(수납!$F:$F,수납!$C:$C,원생!$A109,수납!$D:$D,IF(원생!$G109="","",원생!$G109),수납!$B:$B,$B$1&amp;"-"&amp;TEXT(3,"00")&amp;"*",수납!$E:$E,"수강료")+SUMIFS(수납!$F:$F,수납!$C:$C,원생!$A109,수납!$D:$D,IF(원생!$G109="","",원생!$G109),수납!$B:$B,$B$1&amp;"-"&amp;TEXT(3,"00")&amp;"*",수납!$E:$E,""))</f>
        <v/>
      </c>
      <c r="F111" s="14">
        <f>IF(원생!$A109="","",SUMIFS(수납!$F:$F,수납!$C:$C,원생!$A109,수납!$D:$D,IF(원생!$G109="","",원생!$G109),수납!$B:$B,$B$1&amp;"-"&amp;TEXT(4,"00")&amp;"*",수납!$E:$E,"수강료")+SUMIFS(수납!$F:$F,수납!$C:$C,원생!$A109,수납!$D:$D,IF(원생!$G109="","",원생!$G109),수납!$B:$B,$B$1&amp;"-"&amp;TEXT(4,"00")&amp;"*",수납!$E:$E,""))</f>
        <v/>
      </c>
      <c r="G111" s="14">
        <f>IF(원생!$A109="","",SUMIFS(수납!$F:$F,수납!$C:$C,원생!$A109,수납!$D:$D,IF(원생!$G109="","",원생!$G109),수납!$B:$B,$B$1&amp;"-"&amp;TEXT(5,"00")&amp;"*",수납!$E:$E,"수강료")+SUMIFS(수납!$F:$F,수납!$C:$C,원생!$A109,수납!$D:$D,IF(원생!$G109="","",원생!$G109),수납!$B:$B,$B$1&amp;"-"&amp;TEXT(5,"00")&amp;"*",수납!$E:$E,""))</f>
        <v/>
      </c>
      <c r="H111" s="14">
        <f>IF(원생!$A109="","",SUMIFS(수납!$F:$F,수납!$C:$C,원생!$A109,수납!$D:$D,IF(원생!$G109="","",원생!$G109),수납!$B:$B,$B$1&amp;"-"&amp;TEXT(6,"00")&amp;"*",수납!$E:$E,"수강료")+SUMIFS(수납!$F:$F,수납!$C:$C,원생!$A109,수납!$D:$D,IF(원생!$G109="","",원생!$G109),수납!$B:$B,$B$1&amp;"-"&amp;TEXT(6,"00")&amp;"*",수납!$E:$E,""))</f>
        <v/>
      </c>
      <c r="I111" s="14">
        <f>IF(원생!$A109="","",SUMIFS(수납!$F:$F,수납!$C:$C,원생!$A109,수납!$D:$D,IF(원생!$G109="","",원생!$G109),수납!$B:$B,$B$1&amp;"-"&amp;TEXT(7,"00")&amp;"*",수납!$E:$E,"수강료")+SUMIFS(수납!$F:$F,수납!$C:$C,원생!$A109,수납!$D:$D,IF(원생!$G109="","",원생!$G109),수납!$B:$B,$B$1&amp;"-"&amp;TEXT(7,"00")&amp;"*",수납!$E:$E,""))</f>
        <v/>
      </c>
      <c r="J111" s="14">
        <f>IF(원생!$A109="","",SUMIFS(수납!$F:$F,수납!$C:$C,원생!$A109,수납!$D:$D,IF(원생!$G109="","",원생!$G109),수납!$B:$B,$B$1&amp;"-"&amp;TEXT(8,"00")&amp;"*",수납!$E:$E,"수강료")+SUMIFS(수납!$F:$F,수납!$C:$C,원생!$A109,수납!$D:$D,IF(원생!$G109="","",원생!$G109),수납!$B:$B,$B$1&amp;"-"&amp;TEXT(8,"00")&amp;"*",수납!$E:$E,""))</f>
        <v/>
      </c>
      <c r="K111" s="14">
        <f>IF(원생!$A109="","",SUMIFS(수납!$F:$F,수납!$C:$C,원생!$A109,수납!$D:$D,IF(원생!$G109="","",원생!$G109),수납!$B:$B,$B$1&amp;"-"&amp;TEXT(9,"00")&amp;"*",수납!$E:$E,"수강료")+SUMIFS(수납!$F:$F,수납!$C:$C,원생!$A109,수납!$D:$D,IF(원생!$G109="","",원생!$G109),수납!$B:$B,$B$1&amp;"-"&amp;TEXT(9,"00")&amp;"*",수납!$E:$E,""))</f>
        <v/>
      </c>
      <c r="L111" s="14">
        <f>IF(원생!$A109="","",SUMIFS(수납!$F:$F,수납!$C:$C,원생!$A109,수납!$D:$D,IF(원생!$G109="","",원생!$G109),수납!$B:$B,$B$1&amp;"-"&amp;TEXT(10,"00")&amp;"*",수납!$E:$E,"수강료")+SUMIFS(수납!$F:$F,수납!$C:$C,원생!$A109,수납!$D:$D,IF(원생!$G109="","",원생!$G109),수납!$B:$B,$B$1&amp;"-"&amp;TEXT(10,"00")&amp;"*",수납!$E:$E,""))</f>
        <v/>
      </c>
      <c r="M111" s="14">
        <f>IF(원생!$A109="","",SUMIFS(수납!$F:$F,수납!$C:$C,원생!$A109,수납!$D:$D,IF(원생!$G109="","",원생!$G109),수납!$B:$B,$B$1&amp;"-"&amp;TEXT(11,"00")&amp;"*",수납!$E:$E,"수강료")+SUMIFS(수납!$F:$F,수납!$C:$C,원생!$A109,수납!$D:$D,IF(원생!$G109="","",원생!$G109),수납!$B:$B,$B$1&amp;"-"&amp;TEXT(11,"00")&amp;"*",수납!$E:$E,""))</f>
        <v/>
      </c>
      <c r="N111" s="14">
        <f>IF(원생!$A109="","",SUMIFS(수납!$F:$F,수납!$C:$C,원생!$A109,수납!$D:$D,IF(원생!$G109="","",원생!$G109),수납!$B:$B,$B$1&amp;"-"&amp;TEXT(12,"00")&amp;"*",수납!$E:$E,"수강료")+SUMIFS(수납!$F:$F,수납!$C:$C,원생!$A109,수납!$D:$D,IF(원생!$G109="","",원생!$G109),수납!$B:$B,$B$1&amp;"-"&amp;TEXT(12,"00")&amp;"*",수납!$E:$E,""))</f>
        <v/>
      </c>
      <c r="O111">
        <f>IF(원생!$I109="","",원생!$I109)</f>
        <v/>
      </c>
      <c r="P111">
        <f>IF($A111="","",IF(AND($B111&gt;0,C111&lt;$B111,DATE($B$1,1,1)&lt;=TODAY(),OR($O111="",$O111&gt;=DATE($B$1,1,1)),OR(COUNTIF($C111:C111,"&gt;0")&gt;0,DATE($B$1,1,1)=DATE(YEAR(TODAY()),MONTH(TODAY()),1))),1,0))</f>
        <v/>
      </c>
      <c r="Q111">
        <f>IF($A111="","",IF(AND($B111&gt;0,D111&lt;$B111,DATE($B$1,2,1)&lt;=TODAY(),OR($O111="",$O111&gt;=DATE($B$1,2,1)),OR(COUNTIF($C111:D111,"&gt;0")&gt;0,DATE($B$1,2,1)=DATE(YEAR(TODAY()),MONTH(TODAY()),1))),1,0))</f>
        <v/>
      </c>
      <c r="R111">
        <f>IF($A111="","",IF(AND($B111&gt;0,E111&lt;$B111,DATE($B$1,3,1)&lt;=TODAY(),OR($O111="",$O111&gt;=DATE($B$1,3,1)),OR(COUNTIF($C111:E111,"&gt;0")&gt;0,DATE($B$1,3,1)=DATE(YEAR(TODAY()),MONTH(TODAY()),1))),1,0))</f>
        <v/>
      </c>
      <c r="S111">
        <f>IF($A111="","",IF(AND($B111&gt;0,F111&lt;$B111,DATE($B$1,4,1)&lt;=TODAY(),OR($O111="",$O111&gt;=DATE($B$1,4,1)),OR(COUNTIF($C111:F111,"&gt;0")&gt;0,DATE($B$1,4,1)=DATE(YEAR(TODAY()),MONTH(TODAY()),1))),1,0))</f>
        <v/>
      </c>
      <c r="T111">
        <f>IF($A111="","",IF(AND($B111&gt;0,G111&lt;$B111,DATE($B$1,5,1)&lt;=TODAY(),OR($O111="",$O111&gt;=DATE($B$1,5,1)),OR(COUNTIF($C111:G111,"&gt;0")&gt;0,DATE($B$1,5,1)=DATE(YEAR(TODAY()),MONTH(TODAY()),1))),1,0))</f>
        <v/>
      </c>
      <c r="U111">
        <f>IF($A111="","",IF(AND($B111&gt;0,H111&lt;$B111,DATE($B$1,6,1)&lt;=TODAY(),OR($O111="",$O111&gt;=DATE($B$1,6,1)),OR(COUNTIF($C111:H111,"&gt;0")&gt;0,DATE($B$1,6,1)=DATE(YEAR(TODAY()),MONTH(TODAY()),1))),1,0))</f>
        <v/>
      </c>
      <c r="V111">
        <f>IF($A111="","",IF(AND($B111&gt;0,I111&lt;$B111,DATE($B$1,7,1)&lt;=TODAY(),OR($O111="",$O111&gt;=DATE($B$1,7,1)),OR(COUNTIF($C111:I111,"&gt;0")&gt;0,DATE($B$1,7,1)=DATE(YEAR(TODAY()),MONTH(TODAY()),1))),1,0))</f>
        <v/>
      </c>
      <c r="W111">
        <f>IF($A111="","",IF(AND($B111&gt;0,J111&lt;$B111,DATE($B$1,8,1)&lt;=TODAY(),OR($O111="",$O111&gt;=DATE($B$1,8,1)),OR(COUNTIF($C111:J111,"&gt;0")&gt;0,DATE($B$1,8,1)=DATE(YEAR(TODAY()),MONTH(TODAY()),1))),1,0))</f>
        <v/>
      </c>
      <c r="X111">
        <f>IF($A111="","",IF(AND($B111&gt;0,K111&lt;$B111,DATE($B$1,9,1)&lt;=TODAY(),OR($O111="",$O111&gt;=DATE($B$1,9,1)),OR(COUNTIF($C111:K111,"&gt;0")&gt;0,DATE($B$1,9,1)=DATE(YEAR(TODAY()),MONTH(TODAY()),1))),1,0))</f>
        <v/>
      </c>
      <c r="Y111">
        <f>IF($A111="","",IF(AND($B111&gt;0,L111&lt;$B111,DATE($B$1,10,1)&lt;=TODAY(),OR($O111="",$O111&gt;=DATE($B$1,10,1)),OR(COUNTIF($C111:L111,"&gt;0")&gt;0,DATE($B$1,10,1)=DATE(YEAR(TODAY()),MONTH(TODAY()),1))),1,0))</f>
        <v/>
      </c>
      <c r="Z111">
        <f>IF($A111="","",IF(AND($B111&gt;0,M111&lt;$B111,DATE($B$1,11,1)&lt;=TODAY(),OR($O111="",$O111&gt;=DATE($B$1,11,1)),OR(COUNTIF($C111:M111,"&gt;0")&gt;0,DATE($B$1,11,1)=DATE(YEAR(TODAY()),MONTH(TODAY()),1))),1,0))</f>
        <v/>
      </c>
      <c r="AA111">
        <f>IF($A111="","",IF(AND($B111&gt;0,N111&lt;$B111,DATE($B$1,12,1)&lt;=TODAY(),OR($O111="",$O111&gt;=DATE($B$1,12,1)),OR(COUNTIF($C111:N111,"&gt;0")&gt;0,DATE($B$1,12,1)=DATE(YEAR(TODAY()),MONTH(TODAY()),1))),1,0))</f>
        <v/>
      </c>
    </row>
    <row r="112">
      <c r="A112" s="13">
        <f>IF(원생!$A110="","",원생!$A110&amp;IF(원생!$G110="",""," ("&amp;원생!$G110&amp;")"))</f>
        <v/>
      </c>
      <c r="B112" s="8">
        <f>IF(원생!$A110="","",원생!$F110)</f>
        <v/>
      </c>
      <c r="C112" s="14">
        <f>IF(원생!$A110="","",SUMIFS(수납!$F:$F,수납!$C:$C,원생!$A110,수납!$D:$D,IF(원생!$G110="","",원생!$G110),수납!$B:$B,$B$1&amp;"-"&amp;TEXT(1,"00")&amp;"*",수납!$E:$E,"수강료")+SUMIFS(수납!$F:$F,수납!$C:$C,원생!$A110,수납!$D:$D,IF(원생!$G110="","",원생!$G110),수납!$B:$B,$B$1&amp;"-"&amp;TEXT(1,"00")&amp;"*",수납!$E:$E,""))</f>
        <v/>
      </c>
      <c r="D112" s="14">
        <f>IF(원생!$A110="","",SUMIFS(수납!$F:$F,수납!$C:$C,원생!$A110,수납!$D:$D,IF(원생!$G110="","",원생!$G110),수납!$B:$B,$B$1&amp;"-"&amp;TEXT(2,"00")&amp;"*",수납!$E:$E,"수강료")+SUMIFS(수납!$F:$F,수납!$C:$C,원생!$A110,수납!$D:$D,IF(원생!$G110="","",원생!$G110),수납!$B:$B,$B$1&amp;"-"&amp;TEXT(2,"00")&amp;"*",수납!$E:$E,""))</f>
        <v/>
      </c>
      <c r="E112" s="14">
        <f>IF(원생!$A110="","",SUMIFS(수납!$F:$F,수납!$C:$C,원생!$A110,수납!$D:$D,IF(원생!$G110="","",원생!$G110),수납!$B:$B,$B$1&amp;"-"&amp;TEXT(3,"00")&amp;"*",수납!$E:$E,"수강료")+SUMIFS(수납!$F:$F,수납!$C:$C,원생!$A110,수납!$D:$D,IF(원생!$G110="","",원생!$G110),수납!$B:$B,$B$1&amp;"-"&amp;TEXT(3,"00")&amp;"*",수납!$E:$E,""))</f>
        <v/>
      </c>
      <c r="F112" s="14">
        <f>IF(원생!$A110="","",SUMIFS(수납!$F:$F,수납!$C:$C,원생!$A110,수납!$D:$D,IF(원생!$G110="","",원생!$G110),수납!$B:$B,$B$1&amp;"-"&amp;TEXT(4,"00")&amp;"*",수납!$E:$E,"수강료")+SUMIFS(수납!$F:$F,수납!$C:$C,원생!$A110,수납!$D:$D,IF(원생!$G110="","",원생!$G110),수납!$B:$B,$B$1&amp;"-"&amp;TEXT(4,"00")&amp;"*",수납!$E:$E,""))</f>
        <v/>
      </c>
      <c r="G112" s="14">
        <f>IF(원생!$A110="","",SUMIFS(수납!$F:$F,수납!$C:$C,원생!$A110,수납!$D:$D,IF(원생!$G110="","",원생!$G110),수납!$B:$B,$B$1&amp;"-"&amp;TEXT(5,"00")&amp;"*",수납!$E:$E,"수강료")+SUMIFS(수납!$F:$F,수납!$C:$C,원생!$A110,수납!$D:$D,IF(원생!$G110="","",원생!$G110),수납!$B:$B,$B$1&amp;"-"&amp;TEXT(5,"00")&amp;"*",수납!$E:$E,""))</f>
        <v/>
      </c>
      <c r="H112" s="14">
        <f>IF(원생!$A110="","",SUMIFS(수납!$F:$F,수납!$C:$C,원생!$A110,수납!$D:$D,IF(원생!$G110="","",원생!$G110),수납!$B:$B,$B$1&amp;"-"&amp;TEXT(6,"00")&amp;"*",수납!$E:$E,"수강료")+SUMIFS(수납!$F:$F,수납!$C:$C,원생!$A110,수납!$D:$D,IF(원생!$G110="","",원생!$G110),수납!$B:$B,$B$1&amp;"-"&amp;TEXT(6,"00")&amp;"*",수납!$E:$E,""))</f>
        <v/>
      </c>
      <c r="I112" s="14">
        <f>IF(원생!$A110="","",SUMIFS(수납!$F:$F,수납!$C:$C,원생!$A110,수납!$D:$D,IF(원생!$G110="","",원생!$G110),수납!$B:$B,$B$1&amp;"-"&amp;TEXT(7,"00")&amp;"*",수납!$E:$E,"수강료")+SUMIFS(수납!$F:$F,수납!$C:$C,원생!$A110,수납!$D:$D,IF(원생!$G110="","",원생!$G110),수납!$B:$B,$B$1&amp;"-"&amp;TEXT(7,"00")&amp;"*",수납!$E:$E,""))</f>
        <v/>
      </c>
      <c r="J112" s="14">
        <f>IF(원생!$A110="","",SUMIFS(수납!$F:$F,수납!$C:$C,원생!$A110,수납!$D:$D,IF(원생!$G110="","",원생!$G110),수납!$B:$B,$B$1&amp;"-"&amp;TEXT(8,"00")&amp;"*",수납!$E:$E,"수강료")+SUMIFS(수납!$F:$F,수납!$C:$C,원생!$A110,수납!$D:$D,IF(원생!$G110="","",원생!$G110),수납!$B:$B,$B$1&amp;"-"&amp;TEXT(8,"00")&amp;"*",수납!$E:$E,""))</f>
        <v/>
      </c>
      <c r="K112" s="14">
        <f>IF(원생!$A110="","",SUMIFS(수납!$F:$F,수납!$C:$C,원생!$A110,수납!$D:$D,IF(원생!$G110="","",원생!$G110),수납!$B:$B,$B$1&amp;"-"&amp;TEXT(9,"00")&amp;"*",수납!$E:$E,"수강료")+SUMIFS(수납!$F:$F,수납!$C:$C,원생!$A110,수납!$D:$D,IF(원생!$G110="","",원생!$G110),수납!$B:$B,$B$1&amp;"-"&amp;TEXT(9,"00")&amp;"*",수납!$E:$E,""))</f>
        <v/>
      </c>
      <c r="L112" s="14">
        <f>IF(원생!$A110="","",SUMIFS(수납!$F:$F,수납!$C:$C,원생!$A110,수납!$D:$D,IF(원생!$G110="","",원생!$G110),수납!$B:$B,$B$1&amp;"-"&amp;TEXT(10,"00")&amp;"*",수납!$E:$E,"수강료")+SUMIFS(수납!$F:$F,수납!$C:$C,원생!$A110,수납!$D:$D,IF(원생!$G110="","",원생!$G110),수납!$B:$B,$B$1&amp;"-"&amp;TEXT(10,"00")&amp;"*",수납!$E:$E,""))</f>
        <v/>
      </c>
      <c r="M112" s="14">
        <f>IF(원생!$A110="","",SUMIFS(수납!$F:$F,수납!$C:$C,원생!$A110,수납!$D:$D,IF(원생!$G110="","",원생!$G110),수납!$B:$B,$B$1&amp;"-"&amp;TEXT(11,"00")&amp;"*",수납!$E:$E,"수강료")+SUMIFS(수납!$F:$F,수납!$C:$C,원생!$A110,수납!$D:$D,IF(원생!$G110="","",원생!$G110),수납!$B:$B,$B$1&amp;"-"&amp;TEXT(11,"00")&amp;"*",수납!$E:$E,""))</f>
        <v/>
      </c>
      <c r="N112" s="14">
        <f>IF(원생!$A110="","",SUMIFS(수납!$F:$F,수납!$C:$C,원생!$A110,수납!$D:$D,IF(원생!$G110="","",원생!$G110),수납!$B:$B,$B$1&amp;"-"&amp;TEXT(12,"00")&amp;"*",수납!$E:$E,"수강료")+SUMIFS(수납!$F:$F,수납!$C:$C,원생!$A110,수납!$D:$D,IF(원생!$G110="","",원생!$G110),수납!$B:$B,$B$1&amp;"-"&amp;TEXT(12,"00")&amp;"*",수납!$E:$E,""))</f>
        <v/>
      </c>
      <c r="O112">
        <f>IF(원생!$I110="","",원생!$I110)</f>
        <v/>
      </c>
      <c r="P112">
        <f>IF($A112="","",IF(AND($B112&gt;0,C112&lt;$B112,DATE($B$1,1,1)&lt;=TODAY(),OR($O112="",$O112&gt;=DATE($B$1,1,1)),OR(COUNTIF($C112:C112,"&gt;0")&gt;0,DATE($B$1,1,1)=DATE(YEAR(TODAY()),MONTH(TODAY()),1))),1,0))</f>
        <v/>
      </c>
      <c r="Q112">
        <f>IF($A112="","",IF(AND($B112&gt;0,D112&lt;$B112,DATE($B$1,2,1)&lt;=TODAY(),OR($O112="",$O112&gt;=DATE($B$1,2,1)),OR(COUNTIF($C112:D112,"&gt;0")&gt;0,DATE($B$1,2,1)=DATE(YEAR(TODAY()),MONTH(TODAY()),1))),1,0))</f>
        <v/>
      </c>
      <c r="R112">
        <f>IF($A112="","",IF(AND($B112&gt;0,E112&lt;$B112,DATE($B$1,3,1)&lt;=TODAY(),OR($O112="",$O112&gt;=DATE($B$1,3,1)),OR(COUNTIF($C112:E112,"&gt;0")&gt;0,DATE($B$1,3,1)=DATE(YEAR(TODAY()),MONTH(TODAY()),1))),1,0))</f>
        <v/>
      </c>
      <c r="S112">
        <f>IF($A112="","",IF(AND($B112&gt;0,F112&lt;$B112,DATE($B$1,4,1)&lt;=TODAY(),OR($O112="",$O112&gt;=DATE($B$1,4,1)),OR(COUNTIF($C112:F112,"&gt;0")&gt;0,DATE($B$1,4,1)=DATE(YEAR(TODAY()),MONTH(TODAY()),1))),1,0))</f>
        <v/>
      </c>
      <c r="T112">
        <f>IF($A112="","",IF(AND($B112&gt;0,G112&lt;$B112,DATE($B$1,5,1)&lt;=TODAY(),OR($O112="",$O112&gt;=DATE($B$1,5,1)),OR(COUNTIF($C112:G112,"&gt;0")&gt;0,DATE($B$1,5,1)=DATE(YEAR(TODAY()),MONTH(TODAY()),1))),1,0))</f>
        <v/>
      </c>
      <c r="U112">
        <f>IF($A112="","",IF(AND($B112&gt;0,H112&lt;$B112,DATE($B$1,6,1)&lt;=TODAY(),OR($O112="",$O112&gt;=DATE($B$1,6,1)),OR(COUNTIF($C112:H112,"&gt;0")&gt;0,DATE($B$1,6,1)=DATE(YEAR(TODAY()),MONTH(TODAY()),1))),1,0))</f>
        <v/>
      </c>
      <c r="V112">
        <f>IF($A112="","",IF(AND($B112&gt;0,I112&lt;$B112,DATE($B$1,7,1)&lt;=TODAY(),OR($O112="",$O112&gt;=DATE($B$1,7,1)),OR(COUNTIF($C112:I112,"&gt;0")&gt;0,DATE($B$1,7,1)=DATE(YEAR(TODAY()),MONTH(TODAY()),1))),1,0))</f>
        <v/>
      </c>
      <c r="W112">
        <f>IF($A112="","",IF(AND($B112&gt;0,J112&lt;$B112,DATE($B$1,8,1)&lt;=TODAY(),OR($O112="",$O112&gt;=DATE($B$1,8,1)),OR(COUNTIF($C112:J112,"&gt;0")&gt;0,DATE($B$1,8,1)=DATE(YEAR(TODAY()),MONTH(TODAY()),1))),1,0))</f>
        <v/>
      </c>
      <c r="X112">
        <f>IF($A112="","",IF(AND($B112&gt;0,K112&lt;$B112,DATE($B$1,9,1)&lt;=TODAY(),OR($O112="",$O112&gt;=DATE($B$1,9,1)),OR(COUNTIF($C112:K112,"&gt;0")&gt;0,DATE($B$1,9,1)=DATE(YEAR(TODAY()),MONTH(TODAY()),1))),1,0))</f>
        <v/>
      </c>
      <c r="Y112">
        <f>IF($A112="","",IF(AND($B112&gt;0,L112&lt;$B112,DATE($B$1,10,1)&lt;=TODAY(),OR($O112="",$O112&gt;=DATE($B$1,10,1)),OR(COUNTIF($C112:L112,"&gt;0")&gt;0,DATE($B$1,10,1)=DATE(YEAR(TODAY()),MONTH(TODAY()),1))),1,0))</f>
        <v/>
      </c>
      <c r="Z112">
        <f>IF($A112="","",IF(AND($B112&gt;0,M112&lt;$B112,DATE($B$1,11,1)&lt;=TODAY(),OR($O112="",$O112&gt;=DATE($B$1,11,1)),OR(COUNTIF($C112:M112,"&gt;0")&gt;0,DATE($B$1,11,1)=DATE(YEAR(TODAY()),MONTH(TODAY()),1))),1,0))</f>
        <v/>
      </c>
      <c r="AA112">
        <f>IF($A112="","",IF(AND($B112&gt;0,N112&lt;$B112,DATE($B$1,12,1)&lt;=TODAY(),OR($O112="",$O112&gt;=DATE($B$1,12,1)),OR(COUNTIF($C112:N112,"&gt;0")&gt;0,DATE($B$1,12,1)=DATE(YEAR(TODAY()),MONTH(TODAY()),1))),1,0))</f>
        <v/>
      </c>
    </row>
    <row r="113">
      <c r="A113" s="13">
        <f>IF(원생!$A111="","",원생!$A111&amp;IF(원생!$G111="",""," ("&amp;원생!$G111&amp;")"))</f>
        <v/>
      </c>
      <c r="B113" s="8">
        <f>IF(원생!$A111="","",원생!$F111)</f>
        <v/>
      </c>
      <c r="C113" s="14">
        <f>IF(원생!$A111="","",SUMIFS(수납!$F:$F,수납!$C:$C,원생!$A111,수납!$D:$D,IF(원생!$G111="","",원생!$G111),수납!$B:$B,$B$1&amp;"-"&amp;TEXT(1,"00")&amp;"*",수납!$E:$E,"수강료")+SUMIFS(수납!$F:$F,수납!$C:$C,원생!$A111,수납!$D:$D,IF(원생!$G111="","",원생!$G111),수납!$B:$B,$B$1&amp;"-"&amp;TEXT(1,"00")&amp;"*",수납!$E:$E,""))</f>
        <v/>
      </c>
      <c r="D113" s="14">
        <f>IF(원생!$A111="","",SUMIFS(수납!$F:$F,수납!$C:$C,원생!$A111,수납!$D:$D,IF(원생!$G111="","",원생!$G111),수납!$B:$B,$B$1&amp;"-"&amp;TEXT(2,"00")&amp;"*",수납!$E:$E,"수강료")+SUMIFS(수납!$F:$F,수납!$C:$C,원생!$A111,수납!$D:$D,IF(원생!$G111="","",원생!$G111),수납!$B:$B,$B$1&amp;"-"&amp;TEXT(2,"00")&amp;"*",수납!$E:$E,""))</f>
        <v/>
      </c>
      <c r="E113" s="14">
        <f>IF(원생!$A111="","",SUMIFS(수납!$F:$F,수납!$C:$C,원생!$A111,수납!$D:$D,IF(원생!$G111="","",원생!$G111),수납!$B:$B,$B$1&amp;"-"&amp;TEXT(3,"00")&amp;"*",수납!$E:$E,"수강료")+SUMIFS(수납!$F:$F,수납!$C:$C,원생!$A111,수납!$D:$D,IF(원생!$G111="","",원생!$G111),수납!$B:$B,$B$1&amp;"-"&amp;TEXT(3,"00")&amp;"*",수납!$E:$E,""))</f>
        <v/>
      </c>
      <c r="F113" s="14">
        <f>IF(원생!$A111="","",SUMIFS(수납!$F:$F,수납!$C:$C,원생!$A111,수납!$D:$D,IF(원생!$G111="","",원생!$G111),수납!$B:$B,$B$1&amp;"-"&amp;TEXT(4,"00")&amp;"*",수납!$E:$E,"수강료")+SUMIFS(수납!$F:$F,수납!$C:$C,원생!$A111,수납!$D:$D,IF(원생!$G111="","",원생!$G111),수납!$B:$B,$B$1&amp;"-"&amp;TEXT(4,"00")&amp;"*",수납!$E:$E,""))</f>
        <v/>
      </c>
      <c r="G113" s="14">
        <f>IF(원생!$A111="","",SUMIFS(수납!$F:$F,수납!$C:$C,원생!$A111,수납!$D:$D,IF(원생!$G111="","",원생!$G111),수납!$B:$B,$B$1&amp;"-"&amp;TEXT(5,"00")&amp;"*",수납!$E:$E,"수강료")+SUMIFS(수납!$F:$F,수납!$C:$C,원생!$A111,수납!$D:$D,IF(원생!$G111="","",원생!$G111),수납!$B:$B,$B$1&amp;"-"&amp;TEXT(5,"00")&amp;"*",수납!$E:$E,""))</f>
        <v/>
      </c>
      <c r="H113" s="14">
        <f>IF(원생!$A111="","",SUMIFS(수납!$F:$F,수납!$C:$C,원생!$A111,수납!$D:$D,IF(원생!$G111="","",원생!$G111),수납!$B:$B,$B$1&amp;"-"&amp;TEXT(6,"00")&amp;"*",수납!$E:$E,"수강료")+SUMIFS(수납!$F:$F,수납!$C:$C,원생!$A111,수납!$D:$D,IF(원생!$G111="","",원생!$G111),수납!$B:$B,$B$1&amp;"-"&amp;TEXT(6,"00")&amp;"*",수납!$E:$E,""))</f>
        <v/>
      </c>
      <c r="I113" s="14">
        <f>IF(원생!$A111="","",SUMIFS(수납!$F:$F,수납!$C:$C,원생!$A111,수납!$D:$D,IF(원생!$G111="","",원생!$G111),수납!$B:$B,$B$1&amp;"-"&amp;TEXT(7,"00")&amp;"*",수납!$E:$E,"수강료")+SUMIFS(수납!$F:$F,수납!$C:$C,원생!$A111,수납!$D:$D,IF(원생!$G111="","",원생!$G111),수납!$B:$B,$B$1&amp;"-"&amp;TEXT(7,"00")&amp;"*",수납!$E:$E,""))</f>
        <v/>
      </c>
      <c r="J113" s="14">
        <f>IF(원생!$A111="","",SUMIFS(수납!$F:$F,수납!$C:$C,원생!$A111,수납!$D:$D,IF(원생!$G111="","",원생!$G111),수납!$B:$B,$B$1&amp;"-"&amp;TEXT(8,"00")&amp;"*",수납!$E:$E,"수강료")+SUMIFS(수납!$F:$F,수납!$C:$C,원생!$A111,수납!$D:$D,IF(원생!$G111="","",원생!$G111),수납!$B:$B,$B$1&amp;"-"&amp;TEXT(8,"00")&amp;"*",수납!$E:$E,""))</f>
        <v/>
      </c>
      <c r="K113" s="14">
        <f>IF(원생!$A111="","",SUMIFS(수납!$F:$F,수납!$C:$C,원생!$A111,수납!$D:$D,IF(원생!$G111="","",원생!$G111),수납!$B:$B,$B$1&amp;"-"&amp;TEXT(9,"00")&amp;"*",수납!$E:$E,"수강료")+SUMIFS(수납!$F:$F,수납!$C:$C,원생!$A111,수납!$D:$D,IF(원생!$G111="","",원생!$G111),수납!$B:$B,$B$1&amp;"-"&amp;TEXT(9,"00")&amp;"*",수납!$E:$E,""))</f>
        <v/>
      </c>
      <c r="L113" s="14">
        <f>IF(원생!$A111="","",SUMIFS(수납!$F:$F,수납!$C:$C,원생!$A111,수납!$D:$D,IF(원생!$G111="","",원생!$G111),수납!$B:$B,$B$1&amp;"-"&amp;TEXT(10,"00")&amp;"*",수납!$E:$E,"수강료")+SUMIFS(수납!$F:$F,수납!$C:$C,원생!$A111,수납!$D:$D,IF(원생!$G111="","",원생!$G111),수납!$B:$B,$B$1&amp;"-"&amp;TEXT(10,"00")&amp;"*",수납!$E:$E,""))</f>
        <v/>
      </c>
      <c r="M113" s="14">
        <f>IF(원생!$A111="","",SUMIFS(수납!$F:$F,수납!$C:$C,원생!$A111,수납!$D:$D,IF(원생!$G111="","",원생!$G111),수납!$B:$B,$B$1&amp;"-"&amp;TEXT(11,"00")&amp;"*",수납!$E:$E,"수강료")+SUMIFS(수납!$F:$F,수납!$C:$C,원생!$A111,수납!$D:$D,IF(원생!$G111="","",원생!$G111),수납!$B:$B,$B$1&amp;"-"&amp;TEXT(11,"00")&amp;"*",수납!$E:$E,""))</f>
        <v/>
      </c>
      <c r="N113" s="14">
        <f>IF(원생!$A111="","",SUMIFS(수납!$F:$F,수납!$C:$C,원생!$A111,수납!$D:$D,IF(원생!$G111="","",원생!$G111),수납!$B:$B,$B$1&amp;"-"&amp;TEXT(12,"00")&amp;"*",수납!$E:$E,"수강료")+SUMIFS(수납!$F:$F,수납!$C:$C,원생!$A111,수납!$D:$D,IF(원생!$G111="","",원생!$G111),수납!$B:$B,$B$1&amp;"-"&amp;TEXT(12,"00")&amp;"*",수납!$E:$E,""))</f>
        <v/>
      </c>
      <c r="O113">
        <f>IF(원생!$I111="","",원생!$I111)</f>
        <v/>
      </c>
      <c r="P113">
        <f>IF($A113="","",IF(AND($B113&gt;0,C113&lt;$B113,DATE($B$1,1,1)&lt;=TODAY(),OR($O113="",$O113&gt;=DATE($B$1,1,1)),OR(COUNTIF($C113:C113,"&gt;0")&gt;0,DATE($B$1,1,1)=DATE(YEAR(TODAY()),MONTH(TODAY()),1))),1,0))</f>
        <v/>
      </c>
      <c r="Q113">
        <f>IF($A113="","",IF(AND($B113&gt;0,D113&lt;$B113,DATE($B$1,2,1)&lt;=TODAY(),OR($O113="",$O113&gt;=DATE($B$1,2,1)),OR(COUNTIF($C113:D113,"&gt;0")&gt;0,DATE($B$1,2,1)=DATE(YEAR(TODAY()),MONTH(TODAY()),1))),1,0))</f>
        <v/>
      </c>
      <c r="R113">
        <f>IF($A113="","",IF(AND($B113&gt;0,E113&lt;$B113,DATE($B$1,3,1)&lt;=TODAY(),OR($O113="",$O113&gt;=DATE($B$1,3,1)),OR(COUNTIF($C113:E113,"&gt;0")&gt;0,DATE($B$1,3,1)=DATE(YEAR(TODAY()),MONTH(TODAY()),1))),1,0))</f>
        <v/>
      </c>
      <c r="S113">
        <f>IF($A113="","",IF(AND($B113&gt;0,F113&lt;$B113,DATE($B$1,4,1)&lt;=TODAY(),OR($O113="",$O113&gt;=DATE($B$1,4,1)),OR(COUNTIF($C113:F113,"&gt;0")&gt;0,DATE($B$1,4,1)=DATE(YEAR(TODAY()),MONTH(TODAY()),1))),1,0))</f>
        <v/>
      </c>
      <c r="T113">
        <f>IF($A113="","",IF(AND($B113&gt;0,G113&lt;$B113,DATE($B$1,5,1)&lt;=TODAY(),OR($O113="",$O113&gt;=DATE($B$1,5,1)),OR(COUNTIF($C113:G113,"&gt;0")&gt;0,DATE($B$1,5,1)=DATE(YEAR(TODAY()),MONTH(TODAY()),1))),1,0))</f>
        <v/>
      </c>
      <c r="U113">
        <f>IF($A113="","",IF(AND($B113&gt;0,H113&lt;$B113,DATE($B$1,6,1)&lt;=TODAY(),OR($O113="",$O113&gt;=DATE($B$1,6,1)),OR(COUNTIF($C113:H113,"&gt;0")&gt;0,DATE($B$1,6,1)=DATE(YEAR(TODAY()),MONTH(TODAY()),1))),1,0))</f>
        <v/>
      </c>
      <c r="V113">
        <f>IF($A113="","",IF(AND($B113&gt;0,I113&lt;$B113,DATE($B$1,7,1)&lt;=TODAY(),OR($O113="",$O113&gt;=DATE($B$1,7,1)),OR(COUNTIF($C113:I113,"&gt;0")&gt;0,DATE($B$1,7,1)=DATE(YEAR(TODAY()),MONTH(TODAY()),1))),1,0))</f>
        <v/>
      </c>
      <c r="W113">
        <f>IF($A113="","",IF(AND($B113&gt;0,J113&lt;$B113,DATE($B$1,8,1)&lt;=TODAY(),OR($O113="",$O113&gt;=DATE($B$1,8,1)),OR(COUNTIF($C113:J113,"&gt;0")&gt;0,DATE($B$1,8,1)=DATE(YEAR(TODAY()),MONTH(TODAY()),1))),1,0))</f>
        <v/>
      </c>
      <c r="X113">
        <f>IF($A113="","",IF(AND($B113&gt;0,K113&lt;$B113,DATE($B$1,9,1)&lt;=TODAY(),OR($O113="",$O113&gt;=DATE($B$1,9,1)),OR(COUNTIF($C113:K113,"&gt;0")&gt;0,DATE($B$1,9,1)=DATE(YEAR(TODAY()),MONTH(TODAY()),1))),1,0))</f>
        <v/>
      </c>
      <c r="Y113">
        <f>IF($A113="","",IF(AND($B113&gt;0,L113&lt;$B113,DATE($B$1,10,1)&lt;=TODAY(),OR($O113="",$O113&gt;=DATE($B$1,10,1)),OR(COUNTIF($C113:L113,"&gt;0")&gt;0,DATE($B$1,10,1)=DATE(YEAR(TODAY()),MONTH(TODAY()),1))),1,0))</f>
        <v/>
      </c>
      <c r="Z113">
        <f>IF($A113="","",IF(AND($B113&gt;0,M113&lt;$B113,DATE($B$1,11,1)&lt;=TODAY(),OR($O113="",$O113&gt;=DATE($B$1,11,1)),OR(COUNTIF($C113:M113,"&gt;0")&gt;0,DATE($B$1,11,1)=DATE(YEAR(TODAY()),MONTH(TODAY()),1))),1,0))</f>
        <v/>
      </c>
      <c r="AA113">
        <f>IF($A113="","",IF(AND($B113&gt;0,N113&lt;$B113,DATE($B$1,12,1)&lt;=TODAY(),OR($O113="",$O113&gt;=DATE($B$1,12,1)),OR(COUNTIF($C113:N113,"&gt;0")&gt;0,DATE($B$1,12,1)=DATE(YEAR(TODAY()),MONTH(TODAY()),1))),1,0))</f>
        <v/>
      </c>
    </row>
    <row r="114">
      <c r="A114" s="13">
        <f>IF(원생!$A112="","",원생!$A112&amp;IF(원생!$G112="",""," ("&amp;원생!$G112&amp;")"))</f>
        <v/>
      </c>
      <c r="B114" s="8">
        <f>IF(원생!$A112="","",원생!$F112)</f>
        <v/>
      </c>
      <c r="C114" s="14">
        <f>IF(원생!$A112="","",SUMIFS(수납!$F:$F,수납!$C:$C,원생!$A112,수납!$D:$D,IF(원생!$G112="","",원생!$G112),수납!$B:$B,$B$1&amp;"-"&amp;TEXT(1,"00")&amp;"*",수납!$E:$E,"수강료")+SUMIFS(수납!$F:$F,수납!$C:$C,원생!$A112,수납!$D:$D,IF(원생!$G112="","",원생!$G112),수납!$B:$B,$B$1&amp;"-"&amp;TEXT(1,"00")&amp;"*",수납!$E:$E,""))</f>
        <v/>
      </c>
      <c r="D114" s="14">
        <f>IF(원생!$A112="","",SUMIFS(수납!$F:$F,수납!$C:$C,원생!$A112,수납!$D:$D,IF(원생!$G112="","",원생!$G112),수납!$B:$B,$B$1&amp;"-"&amp;TEXT(2,"00")&amp;"*",수납!$E:$E,"수강료")+SUMIFS(수납!$F:$F,수납!$C:$C,원생!$A112,수납!$D:$D,IF(원생!$G112="","",원생!$G112),수납!$B:$B,$B$1&amp;"-"&amp;TEXT(2,"00")&amp;"*",수납!$E:$E,""))</f>
        <v/>
      </c>
      <c r="E114" s="14">
        <f>IF(원생!$A112="","",SUMIFS(수납!$F:$F,수납!$C:$C,원생!$A112,수납!$D:$D,IF(원생!$G112="","",원생!$G112),수납!$B:$B,$B$1&amp;"-"&amp;TEXT(3,"00")&amp;"*",수납!$E:$E,"수강료")+SUMIFS(수납!$F:$F,수납!$C:$C,원생!$A112,수납!$D:$D,IF(원생!$G112="","",원생!$G112),수납!$B:$B,$B$1&amp;"-"&amp;TEXT(3,"00")&amp;"*",수납!$E:$E,""))</f>
        <v/>
      </c>
      <c r="F114" s="14">
        <f>IF(원생!$A112="","",SUMIFS(수납!$F:$F,수납!$C:$C,원생!$A112,수납!$D:$D,IF(원생!$G112="","",원생!$G112),수납!$B:$B,$B$1&amp;"-"&amp;TEXT(4,"00")&amp;"*",수납!$E:$E,"수강료")+SUMIFS(수납!$F:$F,수납!$C:$C,원생!$A112,수납!$D:$D,IF(원생!$G112="","",원생!$G112),수납!$B:$B,$B$1&amp;"-"&amp;TEXT(4,"00")&amp;"*",수납!$E:$E,""))</f>
        <v/>
      </c>
      <c r="G114" s="14">
        <f>IF(원생!$A112="","",SUMIFS(수납!$F:$F,수납!$C:$C,원생!$A112,수납!$D:$D,IF(원생!$G112="","",원생!$G112),수납!$B:$B,$B$1&amp;"-"&amp;TEXT(5,"00")&amp;"*",수납!$E:$E,"수강료")+SUMIFS(수납!$F:$F,수납!$C:$C,원생!$A112,수납!$D:$D,IF(원생!$G112="","",원생!$G112),수납!$B:$B,$B$1&amp;"-"&amp;TEXT(5,"00")&amp;"*",수납!$E:$E,""))</f>
        <v/>
      </c>
      <c r="H114" s="14">
        <f>IF(원생!$A112="","",SUMIFS(수납!$F:$F,수납!$C:$C,원생!$A112,수납!$D:$D,IF(원생!$G112="","",원생!$G112),수납!$B:$B,$B$1&amp;"-"&amp;TEXT(6,"00")&amp;"*",수납!$E:$E,"수강료")+SUMIFS(수납!$F:$F,수납!$C:$C,원생!$A112,수납!$D:$D,IF(원생!$G112="","",원생!$G112),수납!$B:$B,$B$1&amp;"-"&amp;TEXT(6,"00")&amp;"*",수납!$E:$E,""))</f>
        <v/>
      </c>
      <c r="I114" s="14">
        <f>IF(원생!$A112="","",SUMIFS(수납!$F:$F,수납!$C:$C,원생!$A112,수납!$D:$D,IF(원생!$G112="","",원생!$G112),수납!$B:$B,$B$1&amp;"-"&amp;TEXT(7,"00")&amp;"*",수납!$E:$E,"수강료")+SUMIFS(수납!$F:$F,수납!$C:$C,원생!$A112,수납!$D:$D,IF(원생!$G112="","",원생!$G112),수납!$B:$B,$B$1&amp;"-"&amp;TEXT(7,"00")&amp;"*",수납!$E:$E,""))</f>
        <v/>
      </c>
      <c r="J114" s="14">
        <f>IF(원생!$A112="","",SUMIFS(수납!$F:$F,수납!$C:$C,원생!$A112,수납!$D:$D,IF(원생!$G112="","",원생!$G112),수납!$B:$B,$B$1&amp;"-"&amp;TEXT(8,"00")&amp;"*",수납!$E:$E,"수강료")+SUMIFS(수납!$F:$F,수납!$C:$C,원생!$A112,수납!$D:$D,IF(원생!$G112="","",원생!$G112),수납!$B:$B,$B$1&amp;"-"&amp;TEXT(8,"00")&amp;"*",수납!$E:$E,""))</f>
        <v/>
      </c>
      <c r="K114" s="14">
        <f>IF(원생!$A112="","",SUMIFS(수납!$F:$F,수납!$C:$C,원생!$A112,수납!$D:$D,IF(원생!$G112="","",원생!$G112),수납!$B:$B,$B$1&amp;"-"&amp;TEXT(9,"00")&amp;"*",수납!$E:$E,"수강료")+SUMIFS(수납!$F:$F,수납!$C:$C,원생!$A112,수납!$D:$D,IF(원생!$G112="","",원생!$G112),수납!$B:$B,$B$1&amp;"-"&amp;TEXT(9,"00")&amp;"*",수납!$E:$E,""))</f>
        <v/>
      </c>
      <c r="L114" s="14">
        <f>IF(원생!$A112="","",SUMIFS(수납!$F:$F,수납!$C:$C,원생!$A112,수납!$D:$D,IF(원생!$G112="","",원생!$G112),수납!$B:$B,$B$1&amp;"-"&amp;TEXT(10,"00")&amp;"*",수납!$E:$E,"수강료")+SUMIFS(수납!$F:$F,수납!$C:$C,원생!$A112,수납!$D:$D,IF(원생!$G112="","",원생!$G112),수납!$B:$B,$B$1&amp;"-"&amp;TEXT(10,"00")&amp;"*",수납!$E:$E,""))</f>
        <v/>
      </c>
      <c r="M114" s="14">
        <f>IF(원생!$A112="","",SUMIFS(수납!$F:$F,수납!$C:$C,원생!$A112,수납!$D:$D,IF(원생!$G112="","",원생!$G112),수납!$B:$B,$B$1&amp;"-"&amp;TEXT(11,"00")&amp;"*",수납!$E:$E,"수강료")+SUMIFS(수납!$F:$F,수납!$C:$C,원생!$A112,수납!$D:$D,IF(원생!$G112="","",원생!$G112),수납!$B:$B,$B$1&amp;"-"&amp;TEXT(11,"00")&amp;"*",수납!$E:$E,""))</f>
        <v/>
      </c>
      <c r="N114" s="14">
        <f>IF(원생!$A112="","",SUMIFS(수납!$F:$F,수납!$C:$C,원생!$A112,수납!$D:$D,IF(원생!$G112="","",원생!$G112),수납!$B:$B,$B$1&amp;"-"&amp;TEXT(12,"00")&amp;"*",수납!$E:$E,"수강료")+SUMIFS(수납!$F:$F,수납!$C:$C,원생!$A112,수납!$D:$D,IF(원생!$G112="","",원생!$G112),수납!$B:$B,$B$1&amp;"-"&amp;TEXT(12,"00")&amp;"*",수납!$E:$E,""))</f>
        <v/>
      </c>
      <c r="O114">
        <f>IF(원생!$I112="","",원생!$I112)</f>
        <v/>
      </c>
      <c r="P114">
        <f>IF($A114="","",IF(AND($B114&gt;0,C114&lt;$B114,DATE($B$1,1,1)&lt;=TODAY(),OR($O114="",$O114&gt;=DATE($B$1,1,1)),OR(COUNTIF($C114:C114,"&gt;0")&gt;0,DATE($B$1,1,1)=DATE(YEAR(TODAY()),MONTH(TODAY()),1))),1,0))</f>
        <v/>
      </c>
      <c r="Q114">
        <f>IF($A114="","",IF(AND($B114&gt;0,D114&lt;$B114,DATE($B$1,2,1)&lt;=TODAY(),OR($O114="",$O114&gt;=DATE($B$1,2,1)),OR(COUNTIF($C114:D114,"&gt;0")&gt;0,DATE($B$1,2,1)=DATE(YEAR(TODAY()),MONTH(TODAY()),1))),1,0))</f>
        <v/>
      </c>
      <c r="R114">
        <f>IF($A114="","",IF(AND($B114&gt;0,E114&lt;$B114,DATE($B$1,3,1)&lt;=TODAY(),OR($O114="",$O114&gt;=DATE($B$1,3,1)),OR(COUNTIF($C114:E114,"&gt;0")&gt;0,DATE($B$1,3,1)=DATE(YEAR(TODAY()),MONTH(TODAY()),1))),1,0))</f>
        <v/>
      </c>
      <c r="S114">
        <f>IF($A114="","",IF(AND($B114&gt;0,F114&lt;$B114,DATE($B$1,4,1)&lt;=TODAY(),OR($O114="",$O114&gt;=DATE($B$1,4,1)),OR(COUNTIF($C114:F114,"&gt;0")&gt;0,DATE($B$1,4,1)=DATE(YEAR(TODAY()),MONTH(TODAY()),1))),1,0))</f>
        <v/>
      </c>
      <c r="T114">
        <f>IF($A114="","",IF(AND($B114&gt;0,G114&lt;$B114,DATE($B$1,5,1)&lt;=TODAY(),OR($O114="",$O114&gt;=DATE($B$1,5,1)),OR(COUNTIF($C114:G114,"&gt;0")&gt;0,DATE($B$1,5,1)=DATE(YEAR(TODAY()),MONTH(TODAY()),1))),1,0))</f>
        <v/>
      </c>
      <c r="U114">
        <f>IF($A114="","",IF(AND($B114&gt;0,H114&lt;$B114,DATE($B$1,6,1)&lt;=TODAY(),OR($O114="",$O114&gt;=DATE($B$1,6,1)),OR(COUNTIF($C114:H114,"&gt;0")&gt;0,DATE($B$1,6,1)=DATE(YEAR(TODAY()),MONTH(TODAY()),1))),1,0))</f>
        <v/>
      </c>
      <c r="V114">
        <f>IF($A114="","",IF(AND($B114&gt;0,I114&lt;$B114,DATE($B$1,7,1)&lt;=TODAY(),OR($O114="",$O114&gt;=DATE($B$1,7,1)),OR(COUNTIF($C114:I114,"&gt;0")&gt;0,DATE($B$1,7,1)=DATE(YEAR(TODAY()),MONTH(TODAY()),1))),1,0))</f>
        <v/>
      </c>
      <c r="W114">
        <f>IF($A114="","",IF(AND($B114&gt;0,J114&lt;$B114,DATE($B$1,8,1)&lt;=TODAY(),OR($O114="",$O114&gt;=DATE($B$1,8,1)),OR(COUNTIF($C114:J114,"&gt;0")&gt;0,DATE($B$1,8,1)=DATE(YEAR(TODAY()),MONTH(TODAY()),1))),1,0))</f>
        <v/>
      </c>
      <c r="X114">
        <f>IF($A114="","",IF(AND($B114&gt;0,K114&lt;$B114,DATE($B$1,9,1)&lt;=TODAY(),OR($O114="",$O114&gt;=DATE($B$1,9,1)),OR(COUNTIF($C114:K114,"&gt;0")&gt;0,DATE($B$1,9,1)=DATE(YEAR(TODAY()),MONTH(TODAY()),1))),1,0))</f>
        <v/>
      </c>
      <c r="Y114">
        <f>IF($A114="","",IF(AND($B114&gt;0,L114&lt;$B114,DATE($B$1,10,1)&lt;=TODAY(),OR($O114="",$O114&gt;=DATE($B$1,10,1)),OR(COUNTIF($C114:L114,"&gt;0")&gt;0,DATE($B$1,10,1)=DATE(YEAR(TODAY()),MONTH(TODAY()),1))),1,0))</f>
        <v/>
      </c>
      <c r="Z114">
        <f>IF($A114="","",IF(AND($B114&gt;0,M114&lt;$B114,DATE($B$1,11,1)&lt;=TODAY(),OR($O114="",$O114&gt;=DATE($B$1,11,1)),OR(COUNTIF($C114:M114,"&gt;0")&gt;0,DATE($B$1,11,1)=DATE(YEAR(TODAY()),MONTH(TODAY()),1))),1,0))</f>
        <v/>
      </c>
      <c r="AA114">
        <f>IF($A114="","",IF(AND($B114&gt;0,N114&lt;$B114,DATE($B$1,12,1)&lt;=TODAY(),OR($O114="",$O114&gt;=DATE($B$1,12,1)),OR(COUNTIF($C114:N114,"&gt;0")&gt;0,DATE($B$1,12,1)=DATE(YEAR(TODAY()),MONTH(TODAY()),1))),1,0))</f>
        <v/>
      </c>
    </row>
    <row r="115">
      <c r="A115" s="13">
        <f>IF(원생!$A113="","",원생!$A113&amp;IF(원생!$G113="",""," ("&amp;원생!$G113&amp;")"))</f>
        <v/>
      </c>
      <c r="B115" s="8">
        <f>IF(원생!$A113="","",원생!$F113)</f>
        <v/>
      </c>
      <c r="C115" s="14">
        <f>IF(원생!$A113="","",SUMIFS(수납!$F:$F,수납!$C:$C,원생!$A113,수납!$D:$D,IF(원생!$G113="","",원생!$G113),수납!$B:$B,$B$1&amp;"-"&amp;TEXT(1,"00")&amp;"*",수납!$E:$E,"수강료")+SUMIFS(수납!$F:$F,수납!$C:$C,원생!$A113,수납!$D:$D,IF(원생!$G113="","",원생!$G113),수납!$B:$B,$B$1&amp;"-"&amp;TEXT(1,"00")&amp;"*",수납!$E:$E,""))</f>
        <v/>
      </c>
      <c r="D115" s="14">
        <f>IF(원생!$A113="","",SUMIFS(수납!$F:$F,수납!$C:$C,원생!$A113,수납!$D:$D,IF(원생!$G113="","",원생!$G113),수납!$B:$B,$B$1&amp;"-"&amp;TEXT(2,"00")&amp;"*",수납!$E:$E,"수강료")+SUMIFS(수납!$F:$F,수납!$C:$C,원생!$A113,수납!$D:$D,IF(원생!$G113="","",원생!$G113),수납!$B:$B,$B$1&amp;"-"&amp;TEXT(2,"00")&amp;"*",수납!$E:$E,""))</f>
        <v/>
      </c>
      <c r="E115" s="14">
        <f>IF(원생!$A113="","",SUMIFS(수납!$F:$F,수납!$C:$C,원생!$A113,수납!$D:$D,IF(원생!$G113="","",원생!$G113),수납!$B:$B,$B$1&amp;"-"&amp;TEXT(3,"00")&amp;"*",수납!$E:$E,"수강료")+SUMIFS(수납!$F:$F,수납!$C:$C,원생!$A113,수납!$D:$D,IF(원생!$G113="","",원생!$G113),수납!$B:$B,$B$1&amp;"-"&amp;TEXT(3,"00")&amp;"*",수납!$E:$E,""))</f>
        <v/>
      </c>
      <c r="F115" s="14">
        <f>IF(원생!$A113="","",SUMIFS(수납!$F:$F,수납!$C:$C,원생!$A113,수납!$D:$D,IF(원생!$G113="","",원생!$G113),수납!$B:$B,$B$1&amp;"-"&amp;TEXT(4,"00")&amp;"*",수납!$E:$E,"수강료")+SUMIFS(수납!$F:$F,수납!$C:$C,원생!$A113,수납!$D:$D,IF(원생!$G113="","",원생!$G113),수납!$B:$B,$B$1&amp;"-"&amp;TEXT(4,"00")&amp;"*",수납!$E:$E,""))</f>
        <v/>
      </c>
      <c r="G115" s="14">
        <f>IF(원생!$A113="","",SUMIFS(수납!$F:$F,수납!$C:$C,원생!$A113,수납!$D:$D,IF(원생!$G113="","",원생!$G113),수납!$B:$B,$B$1&amp;"-"&amp;TEXT(5,"00")&amp;"*",수납!$E:$E,"수강료")+SUMIFS(수납!$F:$F,수납!$C:$C,원생!$A113,수납!$D:$D,IF(원생!$G113="","",원생!$G113),수납!$B:$B,$B$1&amp;"-"&amp;TEXT(5,"00")&amp;"*",수납!$E:$E,""))</f>
        <v/>
      </c>
      <c r="H115" s="14">
        <f>IF(원생!$A113="","",SUMIFS(수납!$F:$F,수납!$C:$C,원생!$A113,수납!$D:$D,IF(원생!$G113="","",원생!$G113),수납!$B:$B,$B$1&amp;"-"&amp;TEXT(6,"00")&amp;"*",수납!$E:$E,"수강료")+SUMIFS(수납!$F:$F,수납!$C:$C,원생!$A113,수납!$D:$D,IF(원생!$G113="","",원생!$G113),수납!$B:$B,$B$1&amp;"-"&amp;TEXT(6,"00")&amp;"*",수납!$E:$E,""))</f>
        <v/>
      </c>
      <c r="I115" s="14">
        <f>IF(원생!$A113="","",SUMIFS(수납!$F:$F,수납!$C:$C,원생!$A113,수납!$D:$D,IF(원생!$G113="","",원생!$G113),수납!$B:$B,$B$1&amp;"-"&amp;TEXT(7,"00")&amp;"*",수납!$E:$E,"수강료")+SUMIFS(수납!$F:$F,수납!$C:$C,원생!$A113,수납!$D:$D,IF(원생!$G113="","",원생!$G113),수납!$B:$B,$B$1&amp;"-"&amp;TEXT(7,"00")&amp;"*",수납!$E:$E,""))</f>
        <v/>
      </c>
      <c r="J115" s="14">
        <f>IF(원생!$A113="","",SUMIFS(수납!$F:$F,수납!$C:$C,원생!$A113,수납!$D:$D,IF(원생!$G113="","",원생!$G113),수납!$B:$B,$B$1&amp;"-"&amp;TEXT(8,"00")&amp;"*",수납!$E:$E,"수강료")+SUMIFS(수납!$F:$F,수납!$C:$C,원생!$A113,수납!$D:$D,IF(원생!$G113="","",원생!$G113),수납!$B:$B,$B$1&amp;"-"&amp;TEXT(8,"00")&amp;"*",수납!$E:$E,""))</f>
        <v/>
      </c>
      <c r="K115" s="14">
        <f>IF(원생!$A113="","",SUMIFS(수납!$F:$F,수납!$C:$C,원생!$A113,수납!$D:$D,IF(원생!$G113="","",원생!$G113),수납!$B:$B,$B$1&amp;"-"&amp;TEXT(9,"00")&amp;"*",수납!$E:$E,"수강료")+SUMIFS(수납!$F:$F,수납!$C:$C,원생!$A113,수납!$D:$D,IF(원생!$G113="","",원생!$G113),수납!$B:$B,$B$1&amp;"-"&amp;TEXT(9,"00")&amp;"*",수납!$E:$E,""))</f>
        <v/>
      </c>
      <c r="L115" s="14">
        <f>IF(원생!$A113="","",SUMIFS(수납!$F:$F,수납!$C:$C,원생!$A113,수납!$D:$D,IF(원생!$G113="","",원생!$G113),수납!$B:$B,$B$1&amp;"-"&amp;TEXT(10,"00")&amp;"*",수납!$E:$E,"수강료")+SUMIFS(수납!$F:$F,수납!$C:$C,원생!$A113,수납!$D:$D,IF(원생!$G113="","",원생!$G113),수납!$B:$B,$B$1&amp;"-"&amp;TEXT(10,"00")&amp;"*",수납!$E:$E,""))</f>
        <v/>
      </c>
      <c r="M115" s="14">
        <f>IF(원생!$A113="","",SUMIFS(수납!$F:$F,수납!$C:$C,원생!$A113,수납!$D:$D,IF(원생!$G113="","",원생!$G113),수납!$B:$B,$B$1&amp;"-"&amp;TEXT(11,"00")&amp;"*",수납!$E:$E,"수강료")+SUMIFS(수납!$F:$F,수납!$C:$C,원생!$A113,수납!$D:$D,IF(원생!$G113="","",원생!$G113),수납!$B:$B,$B$1&amp;"-"&amp;TEXT(11,"00")&amp;"*",수납!$E:$E,""))</f>
        <v/>
      </c>
      <c r="N115" s="14">
        <f>IF(원생!$A113="","",SUMIFS(수납!$F:$F,수납!$C:$C,원생!$A113,수납!$D:$D,IF(원생!$G113="","",원생!$G113),수납!$B:$B,$B$1&amp;"-"&amp;TEXT(12,"00")&amp;"*",수납!$E:$E,"수강료")+SUMIFS(수납!$F:$F,수납!$C:$C,원생!$A113,수납!$D:$D,IF(원생!$G113="","",원생!$G113),수납!$B:$B,$B$1&amp;"-"&amp;TEXT(12,"00")&amp;"*",수납!$E:$E,""))</f>
        <v/>
      </c>
      <c r="O115">
        <f>IF(원생!$I113="","",원생!$I113)</f>
        <v/>
      </c>
      <c r="P115">
        <f>IF($A115="","",IF(AND($B115&gt;0,C115&lt;$B115,DATE($B$1,1,1)&lt;=TODAY(),OR($O115="",$O115&gt;=DATE($B$1,1,1)),OR(COUNTIF($C115:C115,"&gt;0")&gt;0,DATE($B$1,1,1)=DATE(YEAR(TODAY()),MONTH(TODAY()),1))),1,0))</f>
        <v/>
      </c>
      <c r="Q115">
        <f>IF($A115="","",IF(AND($B115&gt;0,D115&lt;$B115,DATE($B$1,2,1)&lt;=TODAY(),OR($O115="",$O115&gt;=DATE($B$1,2,1)),OR(COUNTIF($C115:D115,"&gt;0")&gt;0,DATE($B$1,2,1)=DATE(YEAR(TODAY()),MONTH(TODAY()),1))),1,0))</f>
        <v/>
      </c>
      <c r="R115">
        <f>IF($A115="","",IF(AND($B115&gt;0,E115&lt;$B115,DATE($B$1,3,1)&lt;=TODAY(),OR($O115="",$O115&gt;=DATE($B$1,3,1)),OR(COUNTIF($C115:E115,"&gt;0")&gt;0,DATE($B$1,3,1)=DATE(YEAR(TODAY()),MONTH(TODAY()),1))),1,0))</f>
        <v/>
      </c>
      <c r="S115">
        <f>IF($A115="","",IF(AND($B115&gt;0,F115&lt;$B115,DATE($B$1,4,1)&lt;=TODAY(),OR($O115="",$O115&gt;=DATE($B$1,4,1)),OR(COUNTIF($C115:F115,"&gt;0")&gt;0,DATE($B$1,4,1)=DATE(YEAR(TODAY()),MONTH(TODAY()),1))),1,0))</f>
        <v/>
      </c>
      <c r="T115">
        <f>IF($A115="","",IF(AND($B115&gt;0,G115&lt;$B115,DATE($B$1,5,1)&lt;=TODAY(),OR($O115="",$O115&gt;=DATE($B$1,5,1)),OR(COUNTIF($C115:G115,"&gt;0")&gt;0,DATE($B$1,5,1)=DATE(YEAR(TODAY()),MONTH(TODAY()),1))),1,0))</f>
        <v/>
      </c>
      <c r="U115">
        <f>IF($A115="","",IF(AND($B115&gt;0,H115&lt;$B115,DATE($B$1,6,1)&lt;=TODAY(),OR($O115="",$O115&gt;=DATE($B$1,6,1)),OR(COUNTIF($C115:H115,"&gt;0")&gt;0,DATE($B$1,6,1)=DATE(YEAR(TODAY()),MONTH(TODAY()),1))),1,0))</f>
        <v/>
      </c>
      <c r="V115">
        <f>IF($A115="","",IF(AND($B115&gt;0,I115&lt;$B115,DATE($B$1,7,1)&lt;=TODAY(),OR($O115="",$O115&gt;=DATE($B$1,7,1)),OR(COUNTIF($C115:I115,"&gt;0")&gt;0,DATE($B$1,7,1)=DATE(YEAR(TODAY()),MONTH(TODAY()),1))),1,0))</f>
        <v/>
      </c>
      <c r="W115">
        <f>IF($A115="","",IF(AND($B115&gt;0,J115&lt;$B115,DATE($B$1,8,1)&lt;=TODAY(),OR($O115="",$O115&gt;=DATE($B$1,8,1)),OR(COUNTIF($C115:J115,"&gt;0")&gt;0,DATE($B$1,8,1)=DATE(YEAR(TODAY()),MONTH(TODAY()),1))),1,0))</f>
        <v/>
      </c>
      <c r="X115">
        <f>IF($A115="","",IF(AND($B115&gt;0,K115&lt;$B115,DATE($B$1,9,1)&lt;=TODAY(),OR($O115="",$O115&gt;=DATE($B$1,9,1)),OR(COUNTIF($C115:K115,"&gt;0")&gt;0,DATE($B$1,9,1)=DATE(YEAR(TODAY()),MONTH(TODAY()),1))),1,0))</f>
        <v/>
      </c>
      <c r="Y115">
        <f>IF($A115="","",IF(AND($B115&gt;0,L115&lt;$B115,DATE($B$1,10,1)&lt;=TODAY(),OR($O115="",$O115&gt;=DATE($B$1,10,1)),OR(COUNTIF($C115:L115,"&gt;0")&gt;0,DATE($B$1,10,1)=DATE(YEAR(TODAY()),MONTH(TODAY()),1))),1,0))</f>
        <v/>
      </c>
      <c r="Z115">
        <f>IF($A115="","",IF(AND($B115&gt;0,M115&lt;$B115,DATE($B$1,11,1)&lt;=TODAY(),OR($O115="",$O115&gt;=DATE($B$1,11,1)),OR(COUNTIF($C115:M115,"&gt;0")&gt;0,DATE($B$1,11,1)=DATE(YEAR(TODAY()),MONTH(TODAY()),1))),1,0))</f>
        <v/>
      </c>
      <c r="AA115">
        <f>IF($A115="","",IF(AND($B115&gt;0,N115&lt;$B115,DATE($B$1,12,1)&lt;=TODAY(),OR($O115="",$O115&gt;=DATE($B$1,12,1)),OR(COUNTIF($C115:N115,"&gt;0")&gt;0,DATE($B$1,12,1)=DATE(YEAR(TODAY()),MONTH(TODAY()),1))),1,0))</f>
        <v/>
      </c>
    </row>
    <row r="116">
      <c r="A116" s="13">
        <f>IF(원생!$A114="","",원생!$A114&amp;IF(원생!$G114="",""," ("&amp;원생!$G114&amp;")"))</f>
        <v/>
      </c>
      <c r="B116" s="8">
        <f>IF(원생!$A114="","",원생!$F114)</f>
        <v/>
      </c>
      <c r="C116" s="14">
        <f>IF(원생!$A114="","",SUMIFS(수납!$F:$F,수납!$C:$C,원생!$A114,수납!$D:$D,IF(원생!$G114="","",원생!$G114),수납!$B:$B,$B$1&amp;"-"&amp;TEXT(1,"00")&amp;"*",수납!$E:$E,"수강료")+SUMIFS(수납!$F:$F,수납!$C:$C,원생!$A114,수납!$D:$D,IF(원생!$G114="","",원생!$G114),수납!$B:$B,$B$1&amp;"-"&amp;TEXT(1,"00")&amp;"*",수납!$E:$E,""))</f>
        <v/>
      </c>
      <c r="D116" s="14">
        <f>IF(원생!$A114="","",SUMIFS(수납!$F:$F,수납!$C:$C,원생!$A114,수납!$D:$D,IF(원생!$G114="","",원생!$G114),수납!$B:$B,$B$1&amp;"-"&amp;TEXT(2,"00")&amp;"*",수납!$E:$E,"수강료")+SUMIFS(수납!$F:$F,수납!$C:$C,원생!$A114,수납!$D:$D,IF(원생!$G114="","",원생!$G114),수납!$B:$B,$B$1&amp;"-"&amp;TEXT(2,"00")&amp;"*",수납!$E:$E,""))</f>
        <v/>
      </c>
      <c r="E116" s="14">
        <f>IF(원생!$A114="","",SUMIFS(수납!$F:$F,수납!$C:$C,원생!$A114,수납!$D:$D,IF(원생!$G114="","",원생!$G114),수납!$B:$B,$B$1&amp;"-"&amp;TEXT(3,"00")&amp;"*",수납!$E:$E,"수강료")+SUMIFS(수납!$F:$F,수납!$C:$C,원생!$A114,수납!$D:$D,IF(원생!$G114="","",원생!$G114),수납!$B:$B,$B$1&amp;"-"&amp;TEXT(3,"00")&amp;"*",수납!$E:$E,""))</f>
        <v/>
      </c>
      <c r="F116" s="14">
        <f>IF(원생!$A114="","",SUMIFS(수납!$F:$F,수납!$C:$C,원생!$A114,수납!$D:$D,IF(원생!$G114="","",원생!$G114),수납!$B:$B,$B$1&amp;"-"&amp;TEXT(4,"00")&amp;"*",수납!$E:$E,"수강료")+SUMIFS(수납!$F:$F,수납!$C:$C,원생!$A114,수납!$D:$D,IF(원생!$G114="","",원생!$G114),수납!$B:$B,$B$1&amp;"-"&amp;TEXT(4,"00")&amp;"*",수납!$E:$E,""))</f>
        <v/>
      </c>
      <c r="G116" s="14">
        <f>IF(원생!$A114="","",SUMIFS(수납!$F:$F,수납!$C:$C,원생!$A114,수납!$D:$D,IF(원생!$G114="","",원생!$G114),수납!$B:$B,$B$1&amp;"-"&amp;TEXT(5,"00")&amp;"*",수납!$E:$E,"수강료")+SUMIFS(수납!$F:$F,수납!$C:$C,원생!$A114,수납!$D:$D,IF(원생!$G114="","",원생!$G114),수납!$B:$B,$B$1&amp;"-"&amp;TEXT(5,"00")&amp;"*",수납!$E:$E,""))</f>
        <v/>
      </c>
      <c r="H116" s="14">
        <f>IF(원생!$A114="","",SUMIFS(수납!$F:$F,수납!$C:$C,원생!$A114,수납!$D:$D,IF(원생!$G114="","",원생!$G114),수납!$B:$B,$B$1&amp;"-"&amp;TEXT(6,"00")&amp;"*",수납!$E:$E,"수강료")+SUMIFS(수납!$F:$F,수납!$C:$C,원생!$A114,수납!$D:$D,IF(원생!$G114="","",원생!$G114),수납!$B:$B,$B$1&amp;"-"&amp;TEXT(6,"00")&amp;"*",수납!$E:$E,""))</f>
        <v/>
      </c>
      <c r="I116" s="14">
        <f>IF(원생!$A114="","",SUMIFS(수납!$F:$F,수납!$C:$C,원생!$A114,수납!$D:$D,IF(원생!$G114="","",원생!$G114),수납!$B:$B,$B$1&amp;"-"&amp;TEXT(7,"00")&amp;"*",수납!$E:$E,"수강료")+SUMIFS(수납!$F:$F,수납!$C:$C,원생!$A114,수납!$D:$D,IF(원생!$G114="","",원생!$G114),수납!$B:$B,$B$1&amp;"-"&amp;TEXT(7,"00")&amp;"*",수납!$E:$E,""))</f>
        <v/>
      </c>
      <c r="J116" s="14">
        <f>IF(원생!$A114="","",SUMIFS(수납!$F:$F,수납!$C:$C,원생!$A114,수납!$D:$D,IF(원생!$G114="","",원생!$G114),수납!$B:$B,$B$1&amp;"-"&amp;TEXT(8,"00")&amp;"*",수납!$E:$E,"수강료")+SUMIFS(수납!$F:$F,수납!$C:$C,원생!$A114,수납!$D:$D,IF(원생!$G114="","",원생!$G114),수납!$B:$B,$B$1&amp;"-"&amp;TEXT(8,"00")&amp;"*",수납!$E:$E,""))</f>
        <v/>
      </c>
      <c r="K116" s="14">
        <f>IF(원생!$A114="","",SUMIFS(수납!$F:$F,수납!$C:$C,원생!$A114,수납!$D:$D,IF(원생!$G114="","",원생!$G114),수납!$B:$B,$B$1&amp;"-"&amp;TEXT(9,"00")&amp;"*",수납!$E:$E,"수강료")+SUMIFS(수납!$F:$F,수납!$C:$C,원생!$A114,수납!$D:$D,IF(원생!$G114="","",원생!$G114),수납!$B:$B,$B$1&amp;"-"&amp;TEXT(9,"00")&amp;"*",수납!$E:$E,""))</f>
        <v/>
      </c>
      <c r="L116" s="14">
        <f>IF(원생!$A114="","",SUMIFS(수납!$F:$F,수납!$C:$C,원생!$A114,수납!$D:$D,IF(원생!$G114="","",원생!$G114),수납!$B:$B,$B$1&amp;"-"&amp;TEXT(10,"00")&amp;"*",수납!$E:$E,"수강료")+SUMIFS(수납!$F:$F,수납!$C:$C,원생!$A114,수납!$D:$D,IF(원생!$G114="","",원생!$G114),수납!$B:$B,$B$1&amp;"-"&amp;TEXT(10,"00")&amp;"*",수납!$E:$E,""))</f>
        <v/>
      </c>
      <c r="M116" s="14">
        <f>IF(원생!$A114="","",SUMIFS(수납!$F:$F,수납!$C:$C,원생!$A114,수납!$D:$D,IF(원생!$G114="","",원생!$G114),수납!$B:$B,$B$1&amp;"-"&amp;TEXT(11,"00")&amp;"*",수납!$E:$E,"수강료")+SUMIFS(수납!$F:$F,수납!$C:$C,원생!$A114,수납!$D:$D,IF(원생!$G114="","",원생!$G114),수납!$B:$B,$B$1&amp;"-"&amp;TEXT(11,"00")&amp;"*",수납!$E:$E,""))</f>
        <v/>
      </c>
      <c r="N116" s="14">
        <f>IF(원생!$A114="","",SUMIFS(수납!$F:$F,수납!$C:$C,원생!$A114,수납!$D:$D,IF(원생!$G114="","",원생!$G114),수납!$B:$B,$B$1&amp;"-"&amp;TEXT(12,"00")&amp;"*",수납!$E:$E,"수강료")+SUMIFS(수납!$F:$F,수납!$C:$C,원생!$A114,수납!$D:$D,IF(원생!$G114="","",원생!$G114),수납!$B:$B,$B$1&amp;"-"&amp;TEXT(12,"00")&amp;"*",수납!$E:$E,""))</f>
        <v/>
      </c>
      <c r="O116">
        <f>IF(원생!$I114="","",원생!$I114)</f>
        <v/>
      </c>
      <c r="P116">
        <f>IF($A116="","",IF(AND($B116&gt;0,C116&lt;$B116,DATE($B$1,1,1)&lt;=TODAY(),OR($O116="",$O116&gt;=DATE($B$1,1,1)),OR(COUNTIF($C116:C116,"&gt;0")&gt;0,DATE($B$1,1,1)=DATE(YEAR(TODAY()),MONTH(TODAY()),1))),1,0))</f>
        <v/>
      </c>
      <c r="Q116">
        <f>IF($A116="","",IF(AND($B116&gt;0,D116&lt;$B116,DATE($B$1,2,1)&lt;=TODAY(),OR($O116="",$O116&gt;=DATE($B$1,2,1)),OR(COUNTIF($C116:D116,"&gt;0")&gt;0,DATE($B$1,2,1)=DATE(YEAR(TODAY()),MONTH(TODAY()),1))),1,0))</f>
        <v/>
      </c>
      <c r="R116">
        <f>IF($A116="","",IF(AND($B116&gt;0,E116&lt;$B116,DATE($B$1,3,1)&lt;=TODAY(),OR($O116="",$O116&gt;=DATE($B$1,3,1)),OR(COUNTIF($C116:E116,"&gt;0")&gt;0,DATE($B$1,3,1)=DATE(YEAR(TODAY()),MONTH(TODAY()),1))),1,0))</f>
        <v/>
      </c>
      <c r="S116">
        <f>IF($A116="","",IF(AND($B116&gt;0,F116&lt;$B116,DATE($B$1,4,1)&lt;=TODAY(),OR($O116="",$O116&gt;=DATE($B$1,4,1)),OR(COUNTIF($C116:F116,"&gt;0")&gt;0,DATE($B$1,4,1)=DATE(YEAR(TODAY()),MONTH(TODAY()),1))),1,0))</f>
        <v/>
      </c>
      <c r="T116">
        <f>IF($A116="","",IF(AND($B116&gt;0,G116&lt;$B116,DATE($B$1,5,1)&lt;=TODAY(),OR($O116="",$O116&gt;=DATE($B$1,5,1)),OR(COUNTIF($C116:G116,"&gt;0")&gt;0,DATE($B$1,5,1)=DATE(YEAR(TODAY()),MONTH(TODAY()),1))),1,0))</f>
        <v/>
      </c>
      <c r="U116">
        <f>IF($A116="","",IF(AND($B116&gt;0,H116&lt;$B116,DATE($B$1,6,1)&lt;=TODAY(),OR($O116="",$O116&gt;=DATE($B$1,6,1)),OR(COUNTIF($C116:H116,"&gt;0")&gt;0,DATE($B$1,6,1)=DATE(YEAR(TODAY()),MONTH(TODAY()),1))),1,0))</f>
        <v/>
      </c>
      <c r="V116">
        <f>IF($A116="","",IF(AND($B116&gt;0,I116&lt;$B116,DATE($B$1,7,1)&lt;=TODAY(),OR($O116="",$O116&gt;=DATE($B$1,7,1)),OR(COUNTIF($C116:I116,"&gt;0")&gt;0,DATE($B$1,7,1)=DATE(YEAR(TODAY()),MONTH(TODAY()),1))),1,0))</f>
        <v/>
      </c>
      <c r="W116">
        <f>IF($A116="","",IF(AND($B116&gt;0,J116&lt;$B116,DATE($B$1,8,1)&lt;=TODAY(),OR($O116="",$O116&gt;=DATE($B$1,8,1)),OR(COUNTIF($C116:J116,"&gt;0")&gt;0,DATE($B$1,8,1)=DATE(YEAR(TODAY()),MONTH(TODAY()),1))),1,0))</f>
        <v/>
      </c>
      <c r="X116">
        <f>IF($A116="","",IF(AND($B116&gt;0,K116&lt;$B116,DATE($B$1,9,1)&lt;=TODAY(),OR($O116="",$O116&gt;=DATE($B$1,9,1)),OR(COUNTIF($C116:K116,"&gt;0")&gt;0,DATE($B$1,9,1)=DATE(YEAR(TODAY()),MONTH(TODAY()),1))),1,0))</f>
        <v/>
      </c>
      <c r="Y116">
        <f>IF($A116="","",IF(AND($B116&gt;0,L116&lt;$B116,DATE($B$1,10,1)&lt;=TODAY(),OR($O116="",$O116&gt;=DATE($B$1,10,1)),OR(COUNTIF($C116:L116,"&gt;0")&gt;0,DATE($B$1,10,1)=DATE(YEAR(TODAY()),MONTH(TODAY()),1))),1,0))</f>
        <v/>
      </c>
      <c r="Z116">
        <f>IF($A116="","",IF(AND($B116&gt;0,M116&lt;$B116,DATE($B$1,11,1)&lt;=TODAY(),OR($O116="",$O116&gt;=DATE($B$1,11,1)),OR(COUNTIF($C116:M116,"&gt;0")&gt;0,DATE($B$1,11,1)=DATE(YEAR(TODAY()),MONTH(TODAY()),1))),1,0))</f>
        <v/>
      </c>
      <c r="AA116">
        <f>IF($A116="","",IF(AND($B116&gt;0,N116&lt;$B116,DATE($B$1,12,1)&lt;=TODAY(),OR($O116="",$O116&gt;=DATE($B$1,12,1)),OR(COUNTIF($C116:N116,"&gt;0")&gt;0,DATE($B$1,12,1)=DATE(YEAR(TODAY()),MONTH(TODAY()),1))),1,0))</f>
        <v/>
      </c>
    </row>
    <row r="117">
      <c r="A117" s="13">
        <f>IF(원생!$A115="","",원생!$A115&amp;IF(원생!$G115="",""," ("&amp;원생!$G115&amp;")"))</f>
        <v/>
      </c>
      <c r="B117" s="8">
        <f>IF(원생!$A115="","",원생!$F115)</f>
        <v/>
      </c>
      <c r="C117" s="14">
        <f>IF(원생!$A115="","",SUMIFS(수납!$F:$F,수납!$C:$C,원생!$A115,수납!$D:$D,IF(원생!$G115="","",원생!$G115),수납!$B:$B,$B$1&amp;"-"&amp;TEXT(1,"00")&amp;"*",수납!$E:$E,"수강료")+SUMIFS(수납!$F:$F,수납!$C:$C,원생!$A115,수납!$D:$D,IF(원생!$G115="","",원생!$G115),수납!$B:$B,$B$1&amp;"-"&amp;TEXT(1,"00")&amp;"*",수납!$E:$E,""))</f>
        <v/>
      </c>
      <c r="D117" s="14">
        <f>IF(원생!$A115="","",SUMIFS(수납!$F:$F,수납!$C:$C,원생!$A115,수납!$D:$D,IF(원생!$G115="","",원생!$G115),수납!$B:$B,$B$1&amp;"-"&amp;TEXT(2,"00")&amp;"*",수납!$E:$E,"수강료")+SUMIFS(수납!$F:$F,수납!$C:$C,원생!$A115,수납!$D:$D,IF(원생!$G115="","",원생!$G115),수납!$B:$B,$B$1&amp;"-"&amp;TEXT(2,"00")&amp;"*",수납!$E:$E,""))</f>
        <v/>
      </c>
      <c r="E117" s="14">
        <f>IF(원생!$A115="","",SUMIFS(수납!$F:$F,수납!$C:$C,원생!$A115,수납!$D:$D,IF(원생!$G115="","",원생!$G115),수납!$B:$B,$B$1&amp;"-"&amp;TEXT(3,"00")&amp;"*",수납!$E:$E,"수강료")+SUMIFS(수납!$F:$F,수납!$C:$C,원생!$A115,수납!$D:$D,IF(원생!$G115="","",원생!$G115),수납!$B:$B,$B$1&amp;"-"&amp;TEXT(3,"00")&amp;"*",수납!$E:$E,""))</f>
        <v/>
      </c>
      <c r="F117" s="14">
        <f>IF(원생!$A115="","",SUMIFS(수납!$F:$F,수납!$C:$C,원생!$A115,수납!$D:$D,IF(원생!$G115="","",원생!$G115),수납!$B:$B,$B$1&amp;"-"&amp;TEXT(4,"00")&amp;"*",수납!$E:$E,"수강료")+SUMIFS(수납!$F:$F,수납!$C:$C,원생!$A115,수납!$D:$D,IF(원생!$G115="","",원생!$G115),수납!$B:$B,$B$1&amp;"-"&amp;TEXT(4,"00")&amp;"*",수납!$E:$E,""))</f>
        <v/>
      </c>
      <c r="G117" s="14">
        <f>IF(원생!$A115="","",SUMIFS(수납!$F:$F,수납!$C:$C,원생!$A115,수납!$D:$D,IF(원생!$G115="","",원생!$G115),수납!$B:$B,$B$1&amp;"-"&amp;TEXT(5,"00")&amp;"*",수납!$E:$E,"수강료")+SUMIFS(수납!$F:$F,수납!$C:$C,원생!$A115,수납!$D:$D,IF(원생!$G115="","",원생!$G115),수납!$B:$B,$B$1&amp;"-"&amp;TEXT(5,"00")&amp;"*",수납!$E:$E,""))</f>
        <v/>
      </c>
      <c r="H117" s="14">
        <f>IF(원생!$A115="","",SUMIFS(수납!$F:$F,수납!$C:$C,원생!$A115,수납!$D:$D,IF(원생!$G115="","",원생!$G115),수납!$B:$B,$B$1&amp;"-"&amp;TEXT(6,"00")&amp;"*",수납!$E:$E,"수강료")+SUMIFS(수납!$F:$F,수납!$C:$C,원생!$A115,수납!$D:$D,IF(원생!$G115="","",원생!$G115),수납!$B:$B,$B$1&amp;"-"&amp;TEXT(6,"00")&amp;"*",수납!$E:$E,""))</f>
        <v/>
      </c>
      <c r="I117" s="14">
        <f>IF(원생!$A115="","",SUMIFS(수납!$F:$F,수납!$C:$C,원생!$A115,수납!$D:$D,IF(원생!$G115="","",원생!$G115),수납!$B:$B,$B$1&amp;"-"&amp;TEXT(7,"00")&amp;"*",수납!$E:$E,"수강료")+SUMIFS(수납!$F:$F,수납!$C:$C,원생!$A115,수납!$D:$D,IF(원생!$G115="","",원생!$G115),수납!$B:$B,$B$1&amp;"-"&amp;TEXT(7,"00")&amp;"*",수납!$E:$E,""))</f>
        <v/>
      </c>
      <c r="J117" s="14">
        <f>IF(원생!$A115="","",SUMIFS(수납!$F:$F,수납!$C:$C,원생!$A115,수납!$D:$D,IF(원생!$G115="","",원생!$G115),수납!$B:$B,$B$1&amp;"-"&amp;TEXT(8,"00")&amp;"*",수납!$E:$E,"수강료")+SUMIFS(수납!$F:$F,수납!$C:$C,원생!$A115,수납!$D:$D,IF(원생!$G115="","",원생!$G115),수납!$B:$B,$B$1&amp;"-"&amp;TEXT(8,"00")&amp;"*",수납!$E:$E,""))</f>
        <v/>
      </c>
      <c r="K117" s="14">
        <f>IF(원생!$A115="","",SUMIFS(수납!$F:$F,수납!$C:$C,원생!$A115,수납!$D:$D,IF(원생!$G115="","",원생!$G115),수납!$B:$B,$B$1&amp;"-"&amp;TEXT(9,"00")&amp;"*",수납!$E:$E,"수강료")+SUMIFS(수납!$F:$F,수납!$C:$C,원생!$A115,수납!$D:$D,IF(원생!$G115="","",원생!$G115),수납!$B:$B,$B$1&amp;"-"&amp;TEXT(9,"00")&amp;"*",수납!$E:$E,""))</f>
        <v/>
      </c>
      <c r="L117" s="14">
        <f>IF(원생!$A115="","",SUMIFS(수납!$F:$F,수납!$C:$C,원생!$A115,수납!$D:$D,IF(원생!$G115="","",원생!$G115),수납!$B:$B,$B$1&amp;"-"&amp;TEXT(10,"00")&amp;"*",수납!$E:$E,"수강료")+SUMIFS(수납!$F:$F,수납!$C:$C,원생!$A115,수납!$D:$D,IF(원생!$G115="","",원생!$G115),수납!$B:$B,$B$1&amp;"-"&amp;TEXT(10,"00")&amp;"*",수납!$E:$E,""))</f>
        <v/>
      </c>
      <c r="M117" s="14">
        <f>IF(원생!$A115="","",SUMIFS(수납!$F:$F,수납!$C:$C,원생!$A115,수납!$D:$D,IF(원생!$G115="","",원생!$G115),수납!$B:$B,$B$1&amp;"-"&amp;TEXT(11,"00")&amp;"*",수납!$E:$E,"수강료")+SUMIFS(수납!$F:$F,수납!$C:$C,원생!$A115,수납!$D:$D,IF(원생!$G115="","",원생!$G115),수납!$B:$B,$B$1&amp;"-"&amp;TEXT(11,"00")&amp;"*",수납!$E:$E,""))</f>
        <v/>
      </c>
      <c r="N117" s="14">
        <f>IF(원생!$A115="","",SUMIFS(수납!$F:$F,수납!$C:$C,원생!$A115,수납!$D:$D,IF(원생!$G115="","",원생!$G115),수납!$B:$B,$B$1&amp;"-"&amp;TEXT(12,"00")&amp;"*",수납!$E:$E,"수강료")+SUMIFS(수납!$F:$F,수납!$C:$C,원생!$A115,수납!$D:$D,IF(원생!$G115="","",원생!$G115),수납!$B:$B,$B$1&amp;"-"&amp;TEXT(12,"00")&amp;"*",수납!$E:$E,""))</f>
        <v/>
      </c>
      <c r="O117">
        <f>IF(원생!$I115="","",원생!$I115)</f>
        <v/>
      </c>
      <c r="P117">
        <f>IF($A117="","",IF(AND($B117&gt;0,C117&lt;$B117,DATE($B$1,1,1)&lt;=TODAY(),OR($O117="",$O117&gt;=DATE($B$1,1,1)),OR(COUNTIF($C117:C117,"&gt;0")&gt;0,DATE($B$1,1,1)=DATE(YEAR(TODAY()),MONTH(TODAY()),1))),1,0))</f>
        <v/>
      </c>
      <c r="Q117">
        <f>IF($A117="","",IF(AND($B117&gt;0,D117&lt;$B117,DATE($B$1,2,1)&lt;=TODAY(),OR($O117="",$O117&gt;=DATE($B$1,2,1)),OR(COUNTIF($C117:D117,"&gt;0")&gt;0,DATE($B$1,2,1)=DATE(YEAR(TODAY()),MONTH(TODAY()),1))),1,0))</f>
        <v/>
      </c>
      <c r="R117">
        <f>IF($A117="","",IF(AND($B117&gt;0,E117&lt;$B117,DATE($B$1,3,1)&lt;=TODAY(),OR($O117="",$O117&gt;=DATE($B$1,3,1)),OR(COUNTIF($C117:E117,"&gt;0")&gt;0,DATE($B$1,3,1)=DATE(YEAR(TODAY()),MONTH(TODAY()),1))),1,0))</f>
        <v/>
      </c>
      <c r="S117">
        <f>IF($A117="","",IF(AND($B117&gt;0,F117&lt;$B117,DATE($B$1,4,1)&lt;=TODAY(),OR($O117="",$O117&gt;=DATE($B$1,4,1)),OR(COUNTIF($C117:F117,"&gt;0")&gt;0,DATE($B$1,4,1)=DATE(YEAR(TODAY()),MONTH(TODAY()),1))),1,0))</f>
        <v/>
      </c>
      <c r="T117">
        <f>IF($A117="","",IF(AND($B117&gt;0,G117&lt;$B117,DATE($B$1,5,1)&lt;=TODAY(),OR($O117="",$O117&gt;=DATE($B$1,5,1)),OR(COUNTIF($C117:G117,"&gt;0")&gt;0,DATE($B$1,5,1)=DATE(YEAR(TODAY()),MONTH(TODAY()),1))),1,0))</f>
        <v/>
      </c>
      <c r="U117">
        <f>IF($A117="","",IF(AND($B117&gt;0,H117&lt;$B117,DATE($B$1,6,1)&lt;=TODAY(),OR($O117="",$O117&gt;=DATE($B$1,6,1)),OR(COUNTIF($C117:H117,"&gt;0")&gt;0,DATE($B$1,6,1)=DATE(YEAR(TODAY()),MONTH(TODAY()),1))),1,0))</f>
        <v/>
      </c>
      <c r="V117">
        <f>IF($A117="","",IF(AND($B117&gt;0,I117&lt;$B117,DATE($B$1,7,1)&lt;=TODAY(),OR($O117="",$O117&gt;=DATE($B$1,7,1)),OR(COUNTIF($C117:I117,"&gt;0")&gt;0,DATE($B$1,7,1)=DATE(YEAR(TODAY()),MONTH(TODAY()),1))),1,0))</f>
        <v/>
      </c>
      <c r="W117">
        <f>IF($A117="","",IF(AND($B117&gt;0,J117&lt;$B117,DATE($B$1,8,1)&lt;=TODAY(),OR($O117="",$O117&gt;=DATE($B$1,8,1)),OR(COUNTIF($C117:J117,"&gt;0")&gt;0,DATE($B$1,8,1)=DATE(YEAR(TODAY()),MONTH(TODAY()),1))),1,0))</f>
        <v/>
      </c>
      <c r="X117">
        <f>IF($A117="","",IF(AND($B117&gt;0,K117&lt;$B117,DATE($B$1,9,1)&lt;=TODAY(),OR($O117="",$O117&gt;=DATE($B$1,9,1)),OR(COUNTIF($C117:K117,"&gt;0")&gt;0,DATE($B$1,9,1)=DATE(YEAR(TODAY()),MONTH(TODAY()),1))),1,0))</f>
        <v/>
      </c>
      <c r="Y117">
        <f>IF($A117="","",IF(AND($B117&gt;0,L117&lt;$B117,DATE($B$1,10,1)&lt;=TODAY(),OR($O117="",$O117&gt;=DATE($B$1,10,1)),OR(COUNTIF($C117:L117,"&gt;0")&gt;0,DATE($B$1,10,1)=DATE(YEAR(TODAY()),MONTH(TODAY()),1))),1,0))</f>
        <v/>
      </c>
      <c r="Z117">
        <f>IF($A117="","",IF(AND($B117&gt;0,M117&lt;$B117,DATE($B$1,11,1)&lt;=TODAY(),OR($O117="",$O117&gt;=DATE($B$1,11,1)),OR(COUNTIF($C117:M117,"&gt;0")&gt;0,DATE($B$1,11,1)=DATE(YEAR(TODAY()),MONTH(TODAY()),1))),1,0))</f>
        <v/>
      </c>
      <c r="AA117">
        <f>IF($A117="","",IF(AND($B117&gt;0,N117&lt;$B117,DATE($B$1,12,1)&lt;=TODAY(),OR($O117="",$O117&gt;=DATE($B$1,12,1)),OR(COUNTIF($C117:N117,"&gt;0")&gt;0,DATE($B$1,12,1)=DATE(YEAR(TODAY()),MONTH(TODAY()),1))),1,0))</f>
        <v/>
      </c>
    </row>
    <row r="118">
      <c r="A118" s="13">
        <f>IF(원생!$A116="","",원생!$A116&amp;IF(원생!$G116="",""," ("&amp;원생!$G116&amp;")"))</f>
        <v/>
      </c>
      <c r="B118" s="8">
        <f>IF(원생!$A116="","",원생!$F116)</f>
        <v/>
      </c>
      <c r="C118" s="14">
        <f>IF(원생!$A116="","",SUMIFS(수납!$F:$F,수납!$C:$C,원생!$A116,수납!$D:$D,IF(원생!$G116="","",원생!$G116),수납!$B:$B,$B$1&amp;"-"&amp;TEXT(1,"00")&amp;"*",수납!$E:$E,"수강료")+SUMIFS(수납!$F:$F,수납!$C:$C,원생!$A116,수납!$D:$D,IF(원생!$G116="","",원생!$G116),수납!$B:$B,$B$1&amp;"-"&amp;TEXT(1,"00")&amp;"*",수납!$E:$E,""))</f>
        <v/>
      </c>
      <c r="D118" s="14">
        <f>IF(원생!$A116="","",SUMIFS(수납!$F:$F,수납!$C:$C,원생!$A116,수납!$D:$D,IF(원생!$G116="","",원생!$G116),수납!$B:$B,$B$1&amp;"-"&amp;TEXT(2,"00")&amp;"*",수납!$E:$E,"수강료")+SUMIFS(수납!$F:$F,수납!$C:$C,원생!$A116,수납!$D:$D,IF(원생!$G116="","",원생!$G116),수납!$B:$B,$B$1&amp;"-"&amp;TEXT(2,"00")&amp;"*",수납!$E:$E,""))</f>
        <v/>
      </c>
      <c r="E118" s="14">
        <f>IF(원생!$A116="","",SUMIFS(수납!$F:$F,수납!$C:$C,원생!$A116,수납!$D:$D,IF(원생!$G116="","",원생!$G116),수납!$B:$B,$B$1&amp;"-"&amp;TEXT(3,"00")&amp;"*",수납!$E:$E,"수강료")+SUMIFS(수납!$F:$F,수납!$C:$C,원생!$A116,수납!$D:$D,IF(원생!$G116="","",원생!$G116),수납!$B:$B,$B$1&amp;"-"&amp;TEXT(3,"00")&amp;"*",수납!$E:$E,""))</f>
        <v/>
      </c>
      <c r="F118" s="14">
        <f>IF(원생!$A116="","",SUMIFS(수납!$F:$F,수납!$C:$C,원생!$A116,수납!$D:$D,IF(원생!$G116="","",원생!$G116),수납!$B:$B,$B$1&amp;"-"&amp;TEXT(4,"00")&amp;"*",수납!$E:$E,"수강료")+SUMIFS(수납!$F:$F,수납!$C:$C,원생!$A116,수납!$D:$D,IF(원생!$G116="","",원생!$G116),수납!$B:$B,$B$1&amp;"-"&amp;TEXT(4,"00")&amp;"*",수납!$E:$E,""))</f>
        <v/>
      </c>
      <c r="G118" s="14">
        <f>IF(원생!$A116="","",SUMIFS(수납!$F:$F,수납!$C:$C,원생!$A116,수납!$D:$D,IF(원생!$G116="","",원생!$G116),수납!$B:$B,$B$1&amp;"-"&amp;TEXT(5,"00")&amp;"*",수납!$E:$E,"수강료")+SUMIFS(수납!$F:$F,수납!$C:$C,원생!$A116,수납!$D:$D,IF(원생!$G116="","",원생!$G116),수납!$B:$B,$B$1&amp;"-"&amp;TEXT(5,"00")&amp;"*",수납!$E:$E,""))</f>
        <v/>
      </c>
      <c r="H118" s="14">
        <f>IF(원생!$A116="","",SUMIFS(수납!$F:$F,수납!$C:$C,원생!$A116,수납!$D:$D,IF(원생!$G116="","",원생!$G116),수납!$B:$B,$B$1&amp;"-"&amp;TEXT(6,"00")&amp;"*",수납!$E:$E,"수강료")+SUMIFS(수납!$F:$F,수납!$C:$C,원생!$A116,수납!$D:$D,IF(원생!$G116="","",원생!$G116),수납!$B:$B,$B$1&amp;"-"&amp;TEXT(6,"00")&amp;"*",수납!$E:$E,""))</f>
        <v/>
      </c>
      <c r="I118" s="14">
        <f>IF(원생!$A116="","",SUMIFS(수납!$F:$F,수납!$C:$C,원생!$A116,수납!$D:$D,IF(원생!$G116="","",원생!$G116),수납!$B:$B,$B$1&amp;"-"&amp;TEXT(7,"00")&amp;"*",수납!$E:$E,"수강료")+SUMIFS(수납!$F:$F,수납!$C:$C,원생!$A116,수납!$D:$D,IF(원생!$G116="","",원생!$G116),수납!$B:$B,$B$1&amp;"-"&amp;TEXT(7,"00")&amp;"*",수납!$E:$E,""))</f>
        <v/>
      </c>
      <c r="J118" s="14">
        <f>IF(원생!$A116="","",SUMIFS(수납!$F:$F,수납!$C:$C,원생!$A116,수납!$D:$D,IF(원생!$G116="","",원생!$G116),수납!$B:$B,$B$1&amp;"-"&amp;TEXT(8,"00")&amp;"*",수납!$E:$E,"수강료")+SUMIFS(수납!$F:$F,수납!$C:$C,원생!$A116,수납!$D:$D,IF(원생!$G116="","",원생!$G116),수납!$B:$B,$B$1&amp;"-"&amp;TEXT(8,"00")&amp;"*",수납!$E:$E,""))</f>
        <v/>
      </c>
      <c r="K118" s="14">
        <f>IF(원생!$A116="","",SUMIFS(수납!$F:$F,수납!$C:$C,원생!$A116,수납!$D:$D,IF(원생!$G116="","",원생!$G116),수납!$B:$B,$B$1&amp;"-"&amp;TEXT(9,"00")&amp;"*",수납!$E:$E,"수강료")+SUMIFS(수납!$F:$F,수납!$C:$C,원생!$A116,수납!$D:$D,IF(원생!$G116="","",원생!$G116),수납!$B:$B,$B$1&amp;"-"&amp;TEXT(9,"00")&amp;"*",수납!$E:$E,""))</f>
        <v/>
      </c>
      <c r="L118" s="14">
        <f>IF(원생!$A116="","",SUMIFS(수납!$F:$F,수납!$C:$C,원생!$A116,수납!$D:$D,IF(원생!$G116="","",원생!$G116),수납!$B:$B,$B$1&amp;"-"&amp;TEXT(10,"00")&amp;"*",수납!$E:$E,"수강료")+SUMIFS(수납!$F:$F,수납!$C:$C,원생!$A116,수납!$D:$D,IF(원생!$G116="","",원생!$G116),수납!$B:$B,$B$1&amp;"-"&amp;TEXT(10,"00")&amp;"*",수납!$E:$E,""))</f>
        <v/>
      </c>
      <c r="M118" s="14">
        <f>IF(원생!$A116="","",SUMIFS(수납!$F:$F,수납!$C:$C,원생!$A116,수납!$D:$D,IF(원생!$G116="","",원생!$G116),수납!$B:$B,$B$1&amp;"-"&amp;TEXT(11,"00")&amp;"*",수납!$E:$E,"수강료")+SUMIFS(수납!$F:$F,수납!$C:$C,원생!$A116,수납!$D:$D,IF(원생!$G116="","",원생!$G116),수납!$B:$B,$B$1&amp;"-"&amp;TEXT(11,"00")&amp;"*",수납!$E:$E,""))</f>
        <v/>
      </c>
      <c r="N118" s="14">
        <f>IF(원생!$A116="","",SUMIFS(수납!$F:$F,수납!$C:$C,원생!$A116,수납!$D:$D,IF(원생!$G116="","",원생!$G116),수납!$B:$B,$B$1&amp;"-"&amp;TEXT(12,"00")&amp;"*",수납!$E:$E,"수강료")+SUMIFS(수납!$F:$F,수납!$C:$C,원생!$A116,수납!$D:$D,IF(원생!$G116="","",원생!$G116),수납!$B:$B,$B$1&amp;"-"&amp;TEXT(12,"00")&amp;"*",수납!$E:$E,""))</f>
        <v/>
      </c>
      <c r="O118">
        <f>IF(원생!$I116="","",원생!$I116)</f>
        <v/>
      </c>
      <c r="P118">
        <f>IF($A118="","",IF(AND($B118&gt;0,C118&lt;$B118,DATE($B$1,1,1)&lt;=TODAY(),OR($O118="",$O118&gt;=DATE($B$1,1,1)),OR(COUNTIF($C118:C118,"&gt;0")&gt;0,DATE($B$1,1,1)=DATE(YEAR(TODAY()),MONTH(TODAY()),1))),1,0))</f>
        <v/>
      </c>
      <c r="Q118">
        <f>IF($A118="","",IF(AND($B118&gt;0,D118&lt;$B118,DATE($B$1,2,1)&lt;=TODAY(),OR($O118="",$O118&gt;=DATE($B$1,2,1)),OR(COUNTIF($C118:D118,"&gt;0")&gt;0,DATE($B$1,2,1)=DATE(YEAR(TODAY()),MONTH(TODAY()),1))),1,0))</f>
        <v/>
      </c>
      <c r="R118">
        <f>IF($A118="","",IF(AND($B118&gt;0,E118&lt;$B118,DATE($B$1,3,1)&lt;=TODAY(),OR($O118="",$O118&gt;=DATE($B$1,3,1)),OR(COUNTIF($C118:E118,"&gt;0")&gt;0,DATE($B$1,3,1)=DATE(YEAR(TODAY()),MONTH(TODAY()),1))),1,0))</f>
        <v/>
      </c>
      <c r="S118">
        <f>IF($A118="","",IF(AND($B118&gt;0,F118&lt;$B118,DATE($B$1,4,1)&lt;=TODAY(),OR($O118="",$O118&gt;=DATE($B$1,4,1)),OR(COUNTIF($C118:F118,"&gt;0")&gt;0,DATE($B$1,4,1)=DATE(YEAR(TODAY()),MONTH(TODAY()),1))),1,0))</f>
        <v/>
      </c>
      <c r="T118">
        <f>IF($A118="","",IF(AND($B118&gt;0,G118&lt;$B118,DATE($B$1,5,1)&lt;=TODAY(),OR($O118="",$O118&gt;=DATE($B$1,5,1)),OR(COUNTIF($C118:G118,"&gt;0")&gt;0,DATE($B$1,5,1)=DATE(YEAR(TODAY()),MONTH(TODAY()),1))),1,0))</f>
        <v/>
      </c>
      <c r="U118">
        <f>IF($A118="","",IF(AND($B118&gt;0,H118&lt;$B118,DATE($B$1,6,1)&lt;=TODAY(),OR($O118="",$O118&gt;=DATE($B$1,6,1)),OR(COUNTIF($C118:H118,"&gt;0")&gt;0,DATE($B$1,6,1)=DATE(YEAR(TODAY()),MONTH(TODAY()),1))),1,0))</f>
        <v/>
      </c>
      <c r="V118">
        <f>IF($A118="","",IF(AND($B118&gt;0,I118&lt;$B118,DATE($B$1,7,1)&lt;=TODAY(),OR($O118="",$O118&gt;=DATE($B$1,7,1)),OR(COUNTIF($C118:I118,"&gt;0")&gt;0,DATE($B$1,7,1)=DATE(YEAR(TODAY()),MONTH(TODAY()),1))),1,0))</f>
        <v/>
      </c>
      <c r="W118">
        <f>IF($A118="","",IF(AND($B118&gt;0,J118&lt;$B118,DATE($B$1,8,1)&lt;=TODAY(),OR($O118="",$O118&gt;=DATE($B$1,8,1)),OR(COUNTIF($C118:J118,"&gt;0")&gt;0,DATE($B$1,8,1)=DATE(YEAR(TODAY()),MONTH(TODAY()),1))),1,0))</f>
        <v/>
      </c>
      <c r="X118">
        <f>IF($A118="","",IF(AND($B118&gt;0,K118&lt;$B118,DATE($B$1,9,1)&lt;=TODAY(),OR($O118="",$O118&gt;=DATE($B$1,9,1)),OR(COUNTIF($C118:K118,"&gt;0")&gt;0,DATE($B$1,9,1)=DATE(YEAR(TODAY()),MONTH(TODAY()),1))),1,0))</f>
        <v/>
      </c>
      <c r="Y118">
        <f>IF($A118="","",IF(AND($B118&gt;0,L118&lt;$B118,DATE($B$1,10,1)&lt;=TODAY(),OR($O118="",$O118&gt;=DATE($B$1,10,1)),OR(COUNTIF($C118:L118,"&gt;0")&gt;0,DATE($B$1,10,1)=DATE(YEAR(TODAY()),MONTH(TODAY()),1))),1,0))</f>
        <v/>
      </c>
      <c r="Z118">
        <f>IF($A118="","",IF(AND($B118&gt;0,M118&lt;$B118,DATE($B$1,11,1)&lt;=TODAY(),OR($O118="",$O118&gt;=DATE($B$1,11,1)),OR(COUNTIF($C118:M118,"&gt;0")&gt;0,DATE($B$1,11,1)=DATE(YEAR(TODAY()),MONTH(TODAY()),1))),1,0))</f>
        <v/>
      </c>
      <c r="AA118">
        <f>IF($A118="","",IF(AND($B118&gt;0,N118&lt;$B118,DATE($B$1,12,1)&lt;=TODAY(),OR($O118="",$O118&gt;=DATE($B$1,12,1)),OR(COUNTIF($C118:N118,"&gt;0")&gt;0,DATE($B$1,12,1)=DATE(YEAR(TODAY()),MONTH(TODAY()),1))),1,0))</f>
        <v/>
      </c>
    </row>
    <row r="119">
      <c r="A119" s="13">
        <f>IF(원생!$A117="","",원생!$A117&amp;IF(원생!$G117="",""," ("&amp;원생!$G117&amp;")"))</f>
        <v/>
      </c>
      <c r="B119" s="8">
        <f>IF(원생!$A117="","",원생!$F117)</f>
        <v/>
      </c>
      <c r="C119" s="14">
        <f>IF(원생!$A117="","",SUMIFS(수납!$F:$F,수납!$C:$C,원생!$A117,수납!$D:$D,IF(원생!$G117="","",원생!$G117),수납!$B:$B,$B$1&amp;"-"&amp;TEXT(1,"00")&amp;"*",수납!$E:$E,"수강료")+SUMIFS(수납!$F:$F,수납!$C:$C,원생!$A117,수납!$D:$D,IF(원생!$G117="","",원생!$G117),수납!$B:$B,$B$1&amp;"-"&amp;TEXT(1,"00")&amp;"*",수납!$E:$E,""))</f>
        <v/>
      </c>
      <c r="D119" s="14">
        <f>IF(원생!$A117="","",SUMIFS(수납!$F:$F,수납!$C:$C,원생!$A117,수납!$D:$D,IF(원생!$G117="","",원생!$G117),수납!$B:$B,$B$1&amp;"-"&amp;TEXT(2,"00")&amp;"*",수납!$E:$E,"수강료")+SUMIFS(수납!$F:$F,수납!$C:$C,원생!$A117,수납!$D:$D,IF(원생!$G117="","",원생!$G117),수납!$B:$B,$B$1&amp;"-"&amp;TEXT(2,"00")&amp;"*",수납!$E:$E,""))</f>
        <v/>
      </c>
      <c r="E119" s="14">
        <f>IF(원생!$A117="","",SUMIFS(수납!$F:$F,수납!$C:$C,원생!$A117,수납!$D:$D,IF(원생!$G117="","",원생!$G117),수납!$B:$B,$B$1&amp;"-"&amp;TEXT(3,"00")&amp;"*",수납!$E:$E,"수강료")+SUMIFS(수납!$F:$F,수납!$C:$C,원생!$A117,수납!$D:$D,IF(원생!$G117="","",원생!$G117),수납!$B:$B,$B$1&amp;"-"&amp;TEXT(3,"00")&amp;"*",수납!$E:$E,""))</f>
        <v/>
      </c>
      <c r="F119" s="14">
        <f>IF(원생!$A117="","",SUMIFS(수납!$F:$F,수납!$C:$C,원생!$A117,수납!$D:$D,IF(원생!$G117="","",원생!$G117),수납!$B:$B,$B$1&amp;"-"&amp;TEXT(4,"00")&amp;"*",수납!$E:$E,"수강료")+SUMIFS(수납!$F:$F,수납!$C:$C,원생!$A117,수납!$D:$D,IF(원생!$G117="","",원생!$G117),수납!$B:$B,$B$1&amp;"-"&amp;TEXT(4,"00")&amp;"*",수납!$E:$E,""))</f>
        <v/>
      </c>
      <c r="G119" s="14">
        <f>IF(원생!$A117="","",SUMIFS(수납!$F:$F,수납!$C:$C,원생!$A117,수납!$D:$D,IF(원생!$G117="","",원생!$G117),수납!$B:$B,$B$1&amp;"-"&amp;TEXT(5,"00")&amp;"*",수납!$E:$E,"수강료")+SUMIFS(수납!$F:$F,수납!$C:$C,원생!$A117,수납!$D:$D,IF(원생!$G117="","",원생!$G117),수납!$B:$B,$B$1&amp;"-"&amp;TEXT(5,"00")&amp;"*",수납!$E:$E,""))</f>
        <v/>
      </c>
      <c r="H119" s="14">
        <f>IF(원생!$A117="","",SUMIFS(수납!$F:$F,수납!$C:$C,원생!$A117,수납!$D:$D,IF(원생!$G117="","",원생!$G117),수납!$B:$B,$B$1&amp;"-"&amp;TEXT(6,"00")&amp;"*",수납!$E:$E,"수강료")+SUMIFS(수납!$F:$F,수납!$C:$C,원생!$A117,수납!$D:$D,IF(원생!$G117="","",원생!$G117),수납!$B:$B,$B$1&amp;"-"&amp;TEXT(6,"00")&amp;"*",수납!$E:$E,""))</f>
        <v/>
      </c>
      <c r="I119" s="14">
        <f>IF(원생!$A117="","",SUMIFS(수납!$F:$F,수납!$C:$C,원생!$A117,수납!$D:$D,IF(원생!$G117="","",원생!$G117),수납!$B:$B,$B$1&amp;"-"&amp;TEXT(7,"00")&amp;"*",수납!$E:$E,"수강료")+SUMIFS(수납!$F:$F,수납!$C:$C,원생!$A117,수납!$D:$D,IF(원생!$G117="","",원생!$G117),수납!$B:$B,$B$1&amp;"-"&amp;TEXT(7,"00")&amp;"*",수납!$E:$E,""))</f>
        <v/>
      </c>
      <c r="J119" s="14">
        <f>IF(원생!$A117="","",SUMIFS(수납!$F:$F,수납!$C:$C,원생!$A117,수납!$D:$D,IF(원생!$G117="","",원생!$G117),수납!$B:$B,$B$1&amp;"-"&amp;TEXT(8,"00")&amp;"*",수납!$E:$E,"수강료")+SUMIFS(수납!$F:$F,수납!$C:$C,원생!$A117,수납!$D:$D,IF(원생!$G117="","",원생!$G117),수납!$B:$B,$B$1&amp;"-"&amp;TEXT(8,"00")&amp;"*",수납!$E:$E,""))</f>
        <v/>
      </c>
      <c r="K119" s="14">
        <f>IF(원생!$A117="","",SUMIFS(수납!$F:$F,수납!$C:$C,원생!$A117,수납!$D:$D,IF(원생!$G117="","",원생!$G117),수납!$B:$B,$B$1&amp;"-"&amp;TEXT(9,"00")&amp;"*",수납!$E:$E,"수강료")+SUMIFS(수납!$F:$F,수납!$C:$C,원생!$A117,수납!$D:$D,IF(원생!$G117="","",원생!$G117),수납!$B:$B,$B$1&amp;"-"&amp;TEXT(9,"00")&amp;"*",수납!$E:$E,""))</f>
        <v/>
      </c>
      <c r="L119" s="14">
        <f>IF(원생!$A117="","",SUMIFS(수납!$F:$F,수납!$C:$C,원생!$A117,수납!$D:$D,IF(원생!$G117="","",원생!$G117),수납!$B:$B,$B$1&amp;"-"&amp;TEXT(10,"00")&amp;"*",수납!$E:$E,"수강료")+SUMIFS(수납!$F:$F,수납!$C:$C,원생!$A117,수납!$D:$D,IF(원생!$G117="","",원생!$G117),수납!$B:$B,$B$1&amp;"-"&amp;TEXT(10,"00")&amp;"*",수납!$E:$E,""))</f>
        <v/>
      </c>
      <c r="M119" s="14">
        <f>IF(원생!$A117="","",SUMIFS(수납!$F:$F,수납!$C:$C,원생!$A117,수납!$D:$D,IF(원생!$G117="","",원생!$G117),수납!$B:$B,$B$1&amp;"-"&amp;TEXT(11,"00")&amp;"*",수납!$E:$E,"수강료")+SUMIFS(수납!$F:$F,수납!$C:$C,원생!$A117,수납!$D:$D,IF(원생!$G117="","",원생!$G117),수납!$B:$B,$B$1&amp;"-"&amp;TEXT(11,"00")&amp;"*",수납!$E:$E,""))</f>
        <v/>
      </c>
      <c r="N119" s="14">
        <f>IF(원생!$A117="","",SUMIFS(수납!$F:$F,수납!$C:$C,원생!$A117,수납!$D:$D,IF(원생!$G117="","",원생!$G117),수납!$B:$B,$B$1&amp;"-"&amp;TEXT(12,"00")&amp;"*",수납!$E:$E,"수강료")+SUMIFS(수납!$F:$F,수납!$C:$C,원생!$A117,수납!$D:$D,IF(원생!$G117="","",원생!$G117),수납!$B:$B,$B$1&amp;"-"&amp;TEXT(12,"00")&amp;"*",수납!$E:$E,""))</f>
        <v/>
      </c>
      <c r="O119">
        <f>IF(원생!$I117="","",원생!$I117)</f>
        <v/>
      </c>
      <c r="P119">
        <f>IF($A119="","",IF(AND($B119&gt;0,C119&lt;$B119,DATE($B$1,1,1)&lt;=TODAY(),OR($O119="",$O119&gt;=DATE($B$1,1,1)),OR(COUNTIF($C119:C119,"&gt;0")&gt;0,DATE($B$1,1,1)=DATE(YEAR(TODAY()),MONTH(TODAY()),1))),1,0))</f>
        <v/>
      </c>
      <c r="Q119">
        <f>IF($A119="","",IF(AND($B119&gt;0,D119&lt;$B119,DATE($B$1,2,1)&lt;=TODAY(),OR($O119="",$O119&gt;=DATE($B$1,2,1)),OR(COUNTIF($C119:D119,"&gt;0")&gt;0,DATE($B$1,2,1)=DATE(YEAR(TODAY()),MONTH(TODAY()),1))),1,0))</f>
        <v/>
      </c>
      <c r="R119">
        <f>IF($A119="","",IF(AND($B119&gt;0,E119&lt;$B119,DATE($B$1,3,1)&lt;=TODAY(),OR($O119="",$O119&gt;=DATE($B$1,3,1)),OR(COUNTIF($C119:E119,"&gt;0")&gt;0,DATE($B$1,3,1)=DATE(YEAR(TODAY()),MONTH(TODAY()),1))),1,0))</f>
        <v/>
      </c>
      <c r="S119">
        <f>IF($A119="","",IF(AND($B119&gt;0,F119&lt;$B119,DATE($B$1,4,1)&lt;=TODAY(),OR($O119="",$O119&gt;=DATE($B$1,4,1)),OR(COUNTIF($C119:F119,"&gt;0")&gt;0,DATE($B$1,4,1)=DATE(YEAR(TODAY()),MONTH(TODAY()),1))),1,0))</f>
        <v/>
      </c>
      <c r="T119">
        <f>IF($A119="","",IF(AND($B119&gt;0,G119&lt;$B119,DATE($B$1,5,1)&lt;=TODAY(),OR($O119="",$O119&gt;=DATE($B$1,5,1)),OR(COUNTIF($C119:G119,"&gt;0")&gt;0,DATE($B$1,5,1)=DATE(YEAR(TODAY()),MONTH(TODAY()),1))),1,0))</f>
        <v/>
      </c>
      <c r="U119">
        <f>IF($A119="","",IF(AND($B119&gt;0,H119&lt;$B119,DATE($B$1,6,1)&lt;=TODAY(),OR($O119="",$O119&gt;=DATE($B$1,6,1)),OR(COUNTIF($C119:H119,"&gt;0")&gt;0,DATE($B$1,6,1)=DATE(YEAR(TODAY()),MONTH(TODAY()),1))),1,0))</f>
        <v/>
      </c>
      <c r="V119">
        <f>IF($A119="","",IF(AND($B119&gt;0,I119&lt;$B119,DATE($B$1,7,1)&lt;=TODAY(),OR($O119="",$O119&gt;=DATE($B$1,7,1)),OR(COUNTIF($C119:I119,"&gt;0")&gt;0,DATE($B$1,7,1)=DATE(YEAR(TODAY()),MONTH(TODAY()),1))),1,0))</f>
        <v/>
      </c>
      <c r="W119">
        <f>IF($A119="","",IF(AND($B119&gt;0,J119&lt;$B119,DATE($B$1,8,1)&lt;=TODAY(),OR($O119="",$O119&gt;=DATE($B$1,8,1)),OR(COUNTIF($C119:J119,"&gt;0")&gt;0,DATE($B$1,8,1)=DATE(YEAR(TODAY()),MONTH(TODAY()),1))),1,0))</f>
        <v/>
      </c>
      <c r="X119">
        <f>IF($A119="","",IF(AND($B119&gt;0,K119&lt;$B119,DATE($B$1,9,1)&lt;=TODAY(),OR($O119="",$O119&gt;=DATE($B$1,9,1)),OR(COUNTIF($C119:K119,"&gt;0")&gt;0,DATE($B$1,9,1)=DATE(YEAR(TODAY()),MONTH(TODAY()),1))),1,0))</f>
        <v/>
      </c>
      <c r="Y119">
        <f>IF($A119="","",IF(AND($B119&gt;0,L119&lt;$B119,DATE($B$1,10,1)&lt;=TODAY(),OR($O119="",$O119&gt;=DATE($B$1,10,1)),OR(COUNTIF($C119:L119,"&gt;0")&gt;0,DATE($B$1,10,1)=DATE(YEAR(TODAY()),MONTH(TODAY()),1))),1,0))</f>
        <v/>
      </c>
      <c r="Z119">
        <f>IF($A119="","",IF(AND($B119&gt;0,M119&lt;$B119,DATE($B$1,11,1)&lt;=TODAY(),OR($O119="",$O119&gt;=DATE($B$1,11,1)),OR(COUNTIF($C119:M119,"&gt;0")&gt;0,DATE($B$1,11,1)=DATE(YEAR(TODAY()),MONTH(TODAY()),1))),1,0))</f>
        <v/>
      </c>
      <c r="AA119">
        <f>IF($A119="","",IF(AND($B119&gt;0,N119&lt;$B119,DATE($B$1,12,1)&lt;=TODAY(),OR($O119="",$O119&gt;=DATE($B$1,12,1)),OR(COUNTIF($C119:N119,"&gt;0")&gt;0,DATE($B$1,12,1)=DATE(YEAR(TODAY()),MONTH(TODAY()),1))),1,0))</f>
        <v/>
      </c>
    </row>
    <row r="120">
      <c r="A120" s="13">
        <f>IF(원생!$A118="","",원생!$A118&amp;IF(원생!$G118="",""," ("&amp;원생!$G118&amp;")"))</f>
        <v/>
      </c>
      <c r="B120" s="8">
        <f>IF(원생!$A118="","",원생!$F118)</f>
        <v/>
      </c>
      <c r="C120" s="14">
        <f>IF(원생!$A118="","",SUMIFS(수납!$F:$F,수납!$C:$C,원생!$A118,수납!$D:$D,IF(원생!$G118="","",원생!$G118),수납!$B:$B,$B$1&amp;"-"&amp;TEXT(1,"00")&amp;"*",수납!$E:$E,"수강료")+SUMIFS(수납!$F:$F,수납!$C:$C,원생!$A118,수납!$D:$D,IF(원생!$G118="","",원생!$G118),수납!$B:$B,$B$1&amp;"-"&amp;TEXT(1,"00")&amp;"*",수납!$E:$E,""))</f>
        <v/>
      </c>
      <c r="D120" s="14">
        <f>IF(원생!$A118="","",SUMIFS(수납!$F:$F,수납!$C:$C,원생!$A118,수납!$D:$D,IF(원생!$G118="","",원생!$G118),수납!$B:$B,$B$1&amp;"-"&amp;TEXT(2,"00")&amp;"*",수납!$E:$E,"수강료")+SUMIFS(수납!$F:$F,수납!$C:$C,원생!$A118,수납!$D:$D,IF(원생!$G118="","",원생!$G118),수납!$B:$B,$B$1&amp;"-"&amp;TEXT(2,"00")&amp;"*",수납!$E:$E,""))</f>
        <v/>
      </c>
      <c r="E120" s="14">
        <f>IF(원생!$A118="","",SUMIFS(수납!$F:$F,수납!$C:$C,원생!$A118,수납!$D:$D,IF(원생!$G118="","",원생!$G118),수납!$B:$B,$B$1&amp;"-"&amp;TEXT(3,"00")&amp;"*",수납!$E:$E,"수강료")+SUMIFS(수납!$F:$F,수납!$C:$C,원생!$A118,수납!$D:$D,IF(원생!$G118="","",원생!$G118),수납!$B:$B,$B$1&amp;"-"&amp;TEXT(3,"00")&amp;"*",수납!$E:$E,""))</f>
        <v/>
      </c>
      <c r="F120" s="14">
        <f>IF(원생!$A118="","",SUMIFS(수납!$F:$F,수납!$C:$C,원생!$A118,수납!$D:$D,IF(원생!$G118="","",원생!$G118),수납!$B:$B,$B$1&amp;"-"&amp;TEXT(4,"00")&amp;"*",수납!$E:$E,"수강료")+SUMIFS(수납!$F:$F,수납!$C:$C,원생!$A118,수납!$D:$D,IF(원생!$G118="","",원생!$G118),수납!$B:$B,$B$1&amp;"-"&amp;TEXT(4,"00")&amp;"*",수납!$E:$E,""))</f>
        <v/>
      </c>
      <c r="G120" s="14">
        <f>IF(원생!$A118="","",SUMIFS(수납!$F:$F,수납!$C:$C,원생!$A118,수납!$D:$D,IF(원생!$G118="","",원생!$G118),수납!$B:$B,$B$1&amp;"-"&amp;TEXT(5,"00")&amp;"*",수납!$E:$E,"수강료")+SUMIFS(수납!$F:$F,수납!$C:$C,원생!$A118,수납!$D:$D,IF(원생!$G118="","",원생!$G118),수납!$B:$B,$B$1&amp;"-"&amp;TEXT(5,"00")&amp;"*",수납!$E:$E,""))</f>
        <v/>
      </c>
      <c r="H120" s="14">
        <f>IF(원생!$A118="","",SUMIFS(수납!$F:$F,수납!$C:$C,원생!$A118,수납!$D:$D,IF(원생!$G118="","",원생!$G118),수납!$B:$B,$B$1&amp;"-"&amp;TEXT(6,"00")&amp;"*",수납!$E:$E,"수강료")+SUMIFS(수납!$F:$F,수납!$C:$C,원생!$A118,수납!$D:$D,IF(원생!$G118="","",원생!$G118),수납!$B:$B,$B$1&amp;"-"&amp;TEXT(6,"00")&amp;"*",수납!$E:$E,""))</f>
        <v/>
      </c>
      <c r="I120" s="14">
        <f>IF(원생!$A118="","",SUMIFS(수납!$F:$F,수납!$C:$C,원생!$A118,수납!$D:$D,IF(원생!$G118="","",원생!$G118),수납!$B:$B,$B$1&amp;"-"&amp;TEXT(7,"00")&amp;"*",수납!$E:$E,"수강료")+SUMIFS(수납!$F:$F,수납!$C:$C,원생!$A118,수납!$D:$D,IF(원생!$G118="","",원생!$G118),수납!$B:$B,$B$1&amp;"-"&amp;TEXT(7,"00")&amp;"*",수납!$E:$E,""))</f>
        <v/>
      </c>
      <c r="J120" s="14">
        <f>IF(원생!$A118="","",SUMIFS(수납!$F:$F,수납!$C:$C,원생!$A118,수납!$D:$D,IF(원생!$G118="","",원생!$G118),수납!$B:$B,$B$1&amp;"-"&amp;TEXT(8,"00")&amp;"*",수납!$E:$E,"수강료")+SUMIFS(수납!$F:$F,수납!$C:$C,원생!$A118,수납!$D:$D,IF(원생!$G118="","",원생!$G118),수납!$B:$B,$B$1&amp;"-"&amp;TEXT(8,"00")&amp;"*",수납!$E:$E,""))</f>
        <v/>
      </c>
      <c r="K120" s="14">
        <f>IF(원생!$A118="","",SUMIFS(수납!$F:$F,수납!$C:$C,원생!$A118,수납!$D:$D,IF(원생!$G118="","",원생!$G118),수납!$B:$B,$B$1&amp;"-"&amp;TEXT(9,"00")&amp;"*",수납!$E:$E,"수강료")+SUMIFS(수납!$F:$F,수납!$C:$C,원생!$A118,수납!$D:$D,IF(원생!$G118="","",원생!$G118),수납!$B:$B,$B$1&amp;"-"&amp;TEXT(9,"00")&amp;"*",수납!$E:$E,""))</f>
        <v/>
      </c>
      <c r="L120" s="14">
        <f>IF(원생!$A118="","",SUMIFS(수납!$F:$F,수납!$C:$C,원생!$A118,수납!$D:$D,IF(원생!$G118="","",원생!$G118),수납!$B:$B,$B$1&amp;"-"&amp;TEXT(10,"00")&amp;"*",수납!$E:$E,"수강료")+SUMIFS(수납!$F:$F,수납!$C:$C,원생!$A118,수납!$D:$D,IF(원생!$G118="","",원생!$G118),수납!$B:$B,$B$1&amp;"-"&amp;TEXT(10,"00")&amp;"*",수납!$E:$E,""))</f>
        <v/>
      </c>
      <c r="M120" s="14">
        <f>IF(원생!$A118="","",SUMIFS(수납!$F:$F,수납!$C:$C,원생!$A118,수납!$D:$D,IF(원생!$G118="","",원생!$G118),수납!$B:$B,$B$1&amp;"-"&amp;TEXT(11,"00")&amp;"*",수납!$E:$E,"수강료")+SUMIFS(수납!$F:$F,수납!$C:$C,원생!$A118,수납!$D:$D,IF(원생!$G118="","",원생!$G118),수납!$B:$B,$B$1&amp;"-"&amp;TEXT(11,"00")&amp;"*",수납!$E:$E,""))</f>
        <v/>
      </c>
      <c r="N120" s="14">
        <f>IF(원생!$A118="","",SUMIFS(수납!$F:$F,수납!$C:$C,원생!$A118,수납!$D:$D,IF(원생!$G118="","",원생!$G118),수납!$B:$B,$B$1&amp;"-"&amp;TEXT(12,"00")&amp;"*",수납!$E:$E,"수강료")+SUMIFS(수납!$F:$F,수납!$C:$C,원생!$A118,수납!$D:$D,IF(원생!$G118="","",원생!$G118),수납!$B:$B,$B$1&amp;"-"&amp;TEXT(12,"00")&amp;"*",수납!$E:$E,""))</f>
        <v/>
      </c>
      <c r="O120">
        <f>IF(원생!$I118="","",원생!$I118)</f>
        <v/>
      </c>
      <c r="P120">
        <f>IF($A120="","",IF(AND($B120&gt;0,C120&lt;$B120,DATE($B$1,1,1)&lt;=TODAY(),OR($O120="",$O120&gt;=DATE($B$1,1,1)),OR(COUNTIF($C120:C120,"&gt;0")&gt;0,DATE($B$1,1,1)=DATE(YEAR(TODAY()),MONTH(TODAY()),1))),1,0))</f>
        <v/>
      </c>
      <c r="Q120">
        <f>IF($A120="","",IF(AND($B120&gt;0,D120&lt;$B120,DATE($B$1,2,1)&lt;=TODAY(),OR($O120="",$O120&gt;=DATE($B$1,2,1)),OR(COUNTIF($C120:D120,"&gt;0")&gt;0,DATE($B$1,2,1)=DATE(YEAR(TODAY()),MONTH(TODAY()),1))),1,0))</f>
        <v/>
      </c>
      <c r="R120">
        <f>IF($A120="","",IF(AND($B120&gt;0,E120&lt;$B120,DATE($B$1,3,1)&lt;=TODAY(),OR($O120="",$O120&gt;=DATE($B$1,3,1)),OR(COUNTIF($C120:E120,"&gt;0")&gt;0,DATE($B$1,3,1)=DATE(YEAR(TODAY()),MONTH(TODAY()),1))),1,0))</f>
        <v/>
      </c>
      <c r="S120">
        <f>IF($A120="","",IF(AND($B120&gt;0,F120&lt;$B120,DATE($B$1,4,1)&lt;=TODAY(),OR($O120="",$O120&gt;=DATE($B$1,4,1)),OR(COUNTIF($C120:F120,"&gt;0")&gt;0,DATE($B$1,4,1)=DATE(YEAR(TODAY()),MONTH(TODAY()),1))),1,0))</f>
        <v/>
      </c>
      <c r="T120">
        <f>IF($A120="","",IF(AND($B120&gt;0,G120&lt;$B120,DATE($B$1,5,1)&lt;=TODAY(),OR($O120="",$O120&gt;=DATE($B$1,5,1)),OR(COUNTIF($C120:G120,"&gt;0")&gt;0,DATE($B$1,5,1)=DATE(YEAR(TODAY()),MONTH(TODAY()),1))),1,0))</f>
        <v/>
      </c>
      <c r="U120">
        <f>IF($A120="","",IF(AND($B120&gt;0,H120&lt;$B120,DATE($B$1,6,1)&lt;=TODAY(),OR($O120="",$O120&gt;=DATE($B$1,6,1)),OR(COUNTIF($C120:H120,"&gt;0")&gt;0,DATE($B$1,6,1)=DATE(YEAR(TODAY()),MONTH(TODAY()),1))),1,0))</f>
        <v/>
      </c>
      <c r="V120">
        <f>IF($A120="","",IF(AND($B120&gt;0,I120&lt;$B120,DATE($B$1,7,1)&lt;=TODAY(),OR($O120="",$O120&gt;=DATE($B$1,7,1)),OR(COUNTIF($C120:I120,"&gt;0")&gt;0,DATE($B$1,7,1)=DATE(YEAR(TODAY()),MONTH(TODAY()),1))),1,0))</f>
        <v/>
      </c>
      <c r="W120">
        <f>IF($A120="","",IF(AND($B120&gt;0,J120&lt;$B120,DATE($B$1,8,1)&lt;=TODAY(),OR($O120="",$O120&gt;=DATE($B$1,8,1)),OR(COUNTIF($C120:J120,"&gt;0")&gt;0,DATE($B$1,8,1)=DATE(YEAR(TODAY()),MONTH(TODAY()),1))),1,0))</f>
        <v/>
      </c>
      <c r="X120">
        <f>IF($A120="","",IF(AND($B120&gt;0,K120&lt;$B120,DATE($B$1,9,1)&lt;=TODAY(),OR($O120="",$O120&gt;=DATE($B$1,9,1)),OR(COUNTIF($C120:K120,"&gt;0")&gt;0,DATE($B$1,9,1)=DATE(YEAR(TODAY()),MONTH(TODAY()),1))),1,0))</f>
        <v/>
      </c>
      <c r="Y120">
        <f>IF($A120="","",IF(AND($B120&gt;0,L120&lt;$B120,DATE($B$1,10,1)&lt;=TODAY(),OR($O120="",$O120&gt;=DATE($B$1,10,1)),OR(COUNTIF($C120:L120,"&gt;0")&gt;0,DATE($B$1,10,1)=DATE(YEAR(TODAY()),MONTH(TODAY()),1))),1,0))</f>
        <v/>
      </c>
      <c r="Z120">
        <f>IF($A120="","",IF(AND($B120&gt;0,M120&lt;$B120,DATE($B$1,11,1)&lt;=TODAY(),OR($O120="",$O120&gt;=DATE($B$1,11,1)),OR(COUNTIF($C120:M120,"&gt;0")&gt;0,DATE($B$1,11,1)=DATE(YEAR(TODAY()),MONTH(TODAY()),1))),1,0))</f>
        <v/>
      </c>
      <c r="AA120">
        <f>IF($A120="","",IF(AND($B120&gt;0,N120&lt;$B120,DATE($B$1,12,1)&lt;=TODAY(),OR($O120="",$O120&gt;=DATE($B$1,12,1)),OR(COUNTIF($C120:N120,"&gt;0")&gt;0,DATE($B$1,12,1)=DATE(YEAR(TODAY()),MONTH(TODAY()),1))),1,0))</f>
        <v/>
      </c>
    </row>
    <row r="121">
      <c r="A121" s="13">
        <f>IF(원생!$A119="","",원생!$A119&amp;IF(원생!$G119="",""," ("&amp;원생!$G119&amp;")"))</f>
        <v/>
      </c>
      <c r="B121" s="8">
        <f>IF(원생!$A119="","",원생!$F119)</f>
        <v/>
      </c>
      <c r="C121" s="14">
        <f>IF(원생!$A119="","",SUMIFS(수납!$F:$F,수납!$C:$C,원생!$A119,수납!$D:$D,IF(원생!$G119="","",원생!$G119),수납!$B:$B,$B$1&amp;"-"&amp;TEXT(1,"00")&amp;"*",수납!$E:$E,"수강료")+SUMIFS(수납!$F:$F,수납!$C:$C,원생!$A119,수납!$D:$D,IF(원생!$G119="","",원생!$G119),수납!$B:$B,$B$1&amp;"-"&amp;TEXT(1,"00")&amp;"*",수납!$E:$E,""))</f>
        <v/>
      </c>
      <c r="D121" s="14">
        <f>IF(원생!$A119="","",SUMIFS(수납!$F:$F,수납!$C:$C,원생!$A119,수납!$D:$D,IF(원생!$G119="","",원생!$G119),수납!$B:$B,$B$1&amp;"-"&amp;TEXT(2,"00")&amp;"*",수납!$E:$E,"수강료")+SUMIFS(수납!$F:$F,수납!$C:$C,원생!$A119,수납!$D:$D,IF(원생!$G119="","",원생!$G119),수납!$B:$B,$B$1&amp;"-"&amp;TEXT(2,"00")&amp;"*",수납!$E:$E,""))</f>
        <v/>
      </c>
      <c r="E121" s="14">
        <f>IF(원생!$A119="","",SUMIFS(수납!$F:$F,수납!$C:$C,원생!$A119,수납!$D:$D,IF(원생!$G119="","",원생!$G119),수납!$B:$B,$B$1&amp;"-"&amp;TEXT(3,"00")&amp;"*",수납!$E:$E,"수강료")+SUMIFS(수납!$F:$F,수납!$C:$C,원생!$A119,수납!$D:$D,IF(원생!$G119="","",원생!$G119),수납!$B:$B,$B$1&amp;"-"&amp;TEXT(3,"00")&amp;"*",수납!$E:$E,""))</f>
        <v/>
      </c>
      <c r="F121" s="14">
        <f>IF(원생!$A119="","",SUMIFS(수납!$F:$F,수납!$C:$C,원생!$A119,수납!$D:$D,IF(원생!$G119="","",원생!$G119),수납!$B:$B,$B$1&amp;"-"&amp;TEXT(4,"00")&amp;"*",수납!$E:$E,"수강료")+SUMIFS(수납!$F:$F,수납!$C:$C,원생!$A119,수납!$D:$D,IF(원생!$G119="","",원생!$G119),수납!$B:$B,$B$1&amp;"-"&amp;TEXT(4,"00")&amp;"*",수납!$E:$E,""))</f>
        <v/>
      </c>
      <c r="G121" s="14">
        <f>IF(원생!$A119="","",SUMIFS(수납!$F:$F,수납!$C:$C,원생!$A119,수납!$D:$D,IF(원생!$G119="","",원생!$G119),수납!$B:$B,$B$1&amp;"-"&amp;TEXT(5,"00")&amp;"*",수납!$E:$E,"수강료")+SUMIFS(수납!$F:$F,수납!$C:$C,원생!$A119,수납!$D:$D,IF(원생!$G119="","",원생!$G119),수납!$B:$B,$B$1&amp;"-"&amp;TEXT(5,"00")&amp;"*",수납!$E:$E,""))</f>
        <v/>
      </c>
      <c r="H121" s="14">
        <f>IF(원생!$A119="","",SUMIFS(수납!$F:$F,수납!$C:$C,원생!$A119,수납!$D:$D,IF(원생!$G119="","",원생!$G119),수납!$B:$B,$B$1&amp;"-"&amp;TEXT(6,"00")&amp;"*",수납!$E:$E,"수강료")+SUMIFS(수납!$F:$F,수납!$C:$C,원생!$A119,수납!$D:$D,IF(원생!$G119="","",원생!$G119),수납!$B:$B,$B$1&amp;"-"&amp;TEXT(6,"00")&amp;"*",수납!$E:$E,""))</f>
        <v/>
      </c>
      <c r="I121" s="14">
        <f>IF(원생!$A119="","",SUMIFS(수납!$F:$F,수납!$C:$C,원생!$A119,수납!$D:$D,IF(원생!$G119="","",원생!$G119),수납!$B:$B,$B$1&amp;"-"&amp;TEXT(7,"00")&amp;"*",수납!$E:$E,"수강료")+SUMIFS(수납!$F:$F,수납!$C:$C,원생!$A119,수납!$D:$D,IF(원생!$G119="","",원생!$G119),수납!$B:$B,$B$1&amp;"-"&amp;TEXT(7,"00")&amp;"*",수납!$E:$E,""))</f>
        <v/>
      </c>
      <c r="J121" s="14">
        <f>IF(원생!$A119="","",SUMIFS(수납!$F:$F,수납!$C:$C,원생!$A119,수납!$D:$D,IF(원생!$G119="","",원생!$G119),수납!$B:$B,$B$1&amp;"-"&amp;TEXT(8,"00")&amp;"*",수납!$E:$E,"수강료")+SUMIFS(수납!$F:$F,수납!$C:$C,원생!$A119,수납!$D:$D,IF(원생!$G119="","",원생!$G119),수납!$B:$B,$B$1&amp;"-"&amp;TEXT(8,"00")&amp;"*",수납!$E:$E,""))</f>
        <v/>
      </c>
      <c r="K121" s="14">
        <f>IF(원생!$A119="","",SUMIFS(수납!$F:$F,수납!$C:$C,원생!$A119,수납!$D:$D,IF(원생!$G119="","",원생!$G119),수납!$B:$B,$B$1&amp;"-"&amp;TEXT(9,"00")&amp;"*",수납!$E:$E,"수강료")+SUMIFS(수납!$F:$F,수납!$C:$C,원생!$A119,수납!$D:$D,IF(원생!$G119="","",원생!$G119),수납!$B:$B,$B$1&amp;"-"&amp;TEXT(9,"00")&amp;"*",수납!$E:$E,""))</f>
        <v/>
      </c>
      <c r="L121" s="14">
        <f>IF(원생!$A119="","",SUMIFS(수납!$F:$F,수납!$C:$C,원생!$A119,수납!$D:$D,IF(원생!$G119="","",원생!$G119),수납!$B:$B,$B$1&amp;"-"&amp;TEXT(10,"00")&amp;"*",수납!$E:$E,"수강료")+SUMIFS(수납!$F:$F,수납!$C:$C,원생!$A119,수납!$D:$D,IF(원생!$G119="","",원생!$G119),수납!$B:$B,$B$1&amp;"-"&amp;TEXT(10,"00")&amp;"*",수납!$E:$E,""))</f>
        <v/>
      </c>
      <c r="M121" s="14">
        <f>IF(원생!$A119="","",SUMIFS(수납!$F:$F,수납!$C:$C,원생!$A119,수납!$D:$D,IF(원생!$G119="","",원생!$G119),수납!$B:$B,$B$1&amp;"-"&amp;TEXT(11,"00")&amp;"*",수납!$E:$E,"수강료")+SUMIFS(수납!$F:$F,수납!$C:$C,원생!$A119,수납!$D:$D,IF(원생!$G119="","",원생!$G119),수납!$B:$B,$B$1&amp;"-"&amp;TEXT(11,"00")&amp;"*",수납!$E:$E,""))</f>
        <v/>
      </c>
      <c r="N121" s="14">
        <f>IF(원생!$A119="","",SUMIFS(수납!$F:$F,수납!$C:$C,원생!$A119,수납!$D:$D,IF(원생!$G119="","",원생!$G119),수납!$B:$B,$B$1&amp;"-"&amp;TEXT(12,"00")&amp;"*",수납!$E:$E,"수강료")+SUMIFS(수납!$F:$F,수납!$C:$C,원생!$A119,수납!$D:$D,IF(원생!$G119="","",원생!$G119),수납!$B:$B,$B$1&amp;"-"&amp;TEXT(12,"00")&amp;"*",수납!$E:$E,""))</f>
        <v/>
      </c>
      <c r="O121">
        <f>IF(원생!$I119="","",원생!$I119)</f>
        <v/>
      </c>
      <c r="P121">
        <f>IF($A121="","",IF(AND($B121&gt;0,C121&lt;$B121,DATE($B$1,1,1)&lt;=TODAY(),OR($O121="",$O121&gt;=DATE($B$1,1,1)),OR(COUNTIF($C121:C121,"&gt;0")&gt;0,DATE($B$1,1,1)=DATE(YEAR(TODAY()),MONTH(TODAY()),1))),1,0))</f>
        <v/>
      </c>
      <c r="Q121">
        <f>IF($A121="","",IF(AND($B121&gt;0,D121&lt;$B121,DATE($B$1,2,1)&lt;=TODAY(),OR($O121="",$O121&gt;=DATE($B$1,2,1)),OR(COUNTIF($C121:D121,"&gt;0")&gt;0,DATE($B$1,2,1)=DATE(YEAR(TODAY()),MONTH(TODAY()),1))),1,0))</f>
        <v/>
      </c>
      <c r="R121">
        <f>IF($A121="","",IF(AND($B121&gt;0,E121&lt;$B121,DATE($B$1,3,1)&lt;=TODAY(),OR($O121="",$O121&gt;=DATE($B$1,3,1)),OR(COUNTIF($C121:E121,"&gt;0")&gt;0,DATE($B$1,3,1)=DATE(YEAR(TODAY()),MONTH(TODAY()),1))),1,0))</f>
        <v/>
      </c>
      <c r="S121">
        <f>IF($A121="","",IF(AND($B121&gt;0,F121&lt;$B121,DATE($B$1,4,1)&lt;=TODAY(),OR($O121="",$O121&gt;=DATE($B$1,4,1)),OR(COUNTIF($C121:F121,"&gt;0")&gt;0,DATE($B$1,4,1)=DATE(YEAR(TODAY()),MONTH(TODAY()),1))),1,0))</f>
        <v/>
      </c>
      <c r="T121">
        <f>IF($A121="","",IF(AND($B121&gt;0,G121&lt;$B121,DATE($B$1,5,1)&lt;=TODAY(),OR($O121="",$O121&gt;=DATE($B$1,5,1)),OR(COUNTIF($C121:G121,"&gt;0")&gt;0,DATE($B$1,5,1)=DATE(YEAR(TODAY()),MONTH(TODAY()),1))),1,0))</f>
        <v/>
      </c>
      <c r="U121">
        <f>IF($A121="","",IF(AND($B121&gt;0,H121&lt;$B121,DATE($B$1,6,1)&lt;=TODAY(),OR($O121="",$O121&gt;=DATE($B$1,6,1)),OR(COUNTIF($C121:H121,"&gt;0")&gt;0,DATE($B$1,6,1)=DATE(YEAR(TODAY()),MONTH(TODAY()),1))),1,0))</f>
        <v/>
      </c>
      <c r="V121">
        <f>IF($A121="","",IF(AND($B121&gt;0,I121&lt;$B121,DATE($B$1,7,1)&lt;=TODAY(),OR($O121="",$O121&gt;=DATE($B$1,7,1)),OR(COUNTIF($C121:I121,"&gt;0")&gt;0,DATE($B$1,7,1)=DATE(YEAR(TODAY()),MONTH(TODAY()),1))),1,0))</f>
        <v/>
      </c>
      <c r="W121">
        <f>IF($A121="","",IF(AND($B121&gt;0,J121&lt;$B121,DATE($B$1,8,1)&lt;=TODAY(),OR($O121="",$O121&gt;=DATE($B$1,8,1)),OR(COUNTIF($C121:J121,"&gt;0")&gt;0,DATE($B$1,8,1)=DATE(YEAR(TODAY()),MONTH(TODAY()),1))),1,0))</f>
        <v/>
      </c>
      <c r="X121">
        <f>IF($A121="","",IF(AND($B121&gt;0,K121&lt;$B121,DATE($B$1,9,1)&lt;=TODAY(),OR($O121="",$O121&gt;=DATE($B$1,9,1)),OR(COUNTIF($C121:K121,"&gt;0")&gt;0,DATE($B$1,9,1)=DATE(YEAR(TODAY()),MONTH(TODAY()),1))),1,0))</f>
        <v/>
      </c>
      <c r="Y121">
        <f>IF($A121="","",IF(AND($B121&gt;0,L121&lt;$B121,DATE($B$1,10,1)&lt;=TODAY(),OR($O121="",$O121&gt;=DATE($B$1,10,1)),OR(COUNTIF($C121:L121,"&gt;0")&gt;0,DATE($B$1,10,1)=DATE(YEAR(TODAY()),MONTH(TODAY()),1))),1,0))</f>
        <v/>
      </c>
      <c r="Z121">
        <f>IF($A121="","",IF(AND($B121&gt;0,M121&lt;$B121,DATE($B$1,11,1)&lt;=TODAY(),OR($O121="",$O121&gt;=DATE($B$1,11,1)),OR(COUNTIF($C121:M121,"&gt;0")&gt;0,DATE($B$1,11,1)=DATE(YEAR(TODAY()),MONTH(TODAY()),1))),1,0))</f>
        <v/>
      </c>
      <c r="AA121">
        <f>IF($A121="","",IF(AND($B121&gt;0,N121&lt;$B121,DATE($B$1,12,1)&lt;=TODAY(),OR($O121="",$O121&gt;=DATE($B$1,12,1)),OR(COUNTIF($C121:N121,"&gt;0")&gt;0,DATE($B$1,12,1)=DATE(YEAR(TODAY()),MONTH(TODAY()),1))),1,0))</f>
        <v/>
      </c>
    </row>
    <row r="122">
      <c r="A122" s="13">
        <f>IF(원생!$A120="","",원생!$A120&amp;IF(원생!$G120="",""," ("&amp;원생!$G120&amp;")"))</f>
        <v/>
      </c>
      <c r="B122" s="8">
        <f>IF(원생!$A120="","",원생!$F120)</f>
        <v/>
      </c>
      <c r="C122" s="14">
        <f>IF(원생!$A120="","",SUMIFS(수납!$F:$F,수납!$C:$C,원생!$A120,수납!$D:$D,IF(원생!$G120="","",원생!$G120),수납!$B:$B,$B$1&amp;"-"&amp;TEXT(1,"00")&amp;"*",수납!$E:$E,"수강료")+SUMIFS(수납!$F:$F,수납!$C:$C,원생!$A120,수납!$D:$D,IF(원생!$G120="","",원생!$G120),수납!$B:$B,$B$1&amp;"-"&amp;TEXT(1,"00")&amp;"*",수납!$E:$E,""))</f>
        <v/>
      </c>
      <c r="D122" s="14">
        <f>IF(원생!$A120="","",SUMIFS(수납!$F:$F,수납!$C:$C,원생!$A120,수납!$D:$D,IF(원생!$G120="","",원생!$G120),수납!$B:$B,$B$1&amp;"-"&amp;TEXT(2,"00")&amp;"*",수납!$E:$E,"수강료")+SUMIFS(수납!$F:$F,수납!$C:$C,원생!$A120,수납!$D:$D,IF(원생!$G120="","",원생!$G120),수납!$B:$B,$B$1&amp;"-"&amp;TEXT(2,"00")&amp;"*",수납!$E:$E,""))</f>
        <v/>
      </c>
      <c r="E122" s="14">
        <f>IF(원생!$A120="","",SUMIFS(수납!$F:$F,수납!$C:$C,원생!$A120,수납!$D:$D,IF(원생!$G120="","",원생!$G120),수납!$B:$B,$B$1&amp;"-"&amp;TEXT(3,"00")&amp;"*",수납!$E:$E,"수강료")+SUMIFS(수납!$F:$F,수납!$C:$C,원생!$A120,수납!$D:$D,IF(원생!$G120="","",원생!$G120),수납!$B:$B,$B$1&amp;"-"&amp;TEXT(3,"00")&amp;"*",수납!$E:$E,""))</f>
        <v/>
      </c>
      <c r="F122" s="14">
        <f>IF(원생!$A120="","",SUMIFS(수납!$F:$F,수납!$C:$C,원생!$A120,수납!$D:$D,IF(원생!$G120="","",원생!$G120),수납!$B:$B,$B$1&amp;"-"&amp;TEXT(4,"00")&amp;"*",수납!$E:$E,"수강료")+SUMIFS(수납!$F:$F,수납!$C:$C,원생!$A120,수납!$D:$D,IF(원생!$G120="","",원생!$G120),수납!$B:$B,$B$1&amp;"-"&amp;TEXT(4,"00")&amp;"*",수납!$E:$E,""))</f>
        <v/>
      </c>
      <c r="G122" s="14">
        <f>IF(원생!$A120="","",SUMIFS(수납!$F:$F,수납!$C:$C,원생!$A120,수납!$D:$D,IF(원생!$G120="","",원생!$G120),수납!$B:$B,$B$1&amp;"-"&amp;TEXT(5,"00")&amp;"*",수납!$E:$E,"수강료")+SUMIFS(수납!$F:$F,수납!$C:$C,원생!$A120,수납!$D:$D,IF(원생!$G120="","",원생!$G120),수납!$B:$B,$B$1&amp;"-"&amp;TEXT(5,"00")&amp;"*",수납!$E:$E,""))</f>
        <v/>
      </c>
      <c r="H122" s="14">
        <f>IF(원생!$A120="","",SUMIFS(수납!$F:$F,수납!$C:$C,원생!$A120,수납!$D:$D,IF(원생!$G120="","",원생!$G120),수납!$B:$B,$B$1&amp;"-"&amp;TEXT(6,"00")&amp;"*",수납!$E:$E,"수강료")+SUMIFS(수납!$F:$F,수납!$C:$C,원생!$A120,수납!$D:$D,IF(원생!$G120="","",원생!$G120),수납!$B:$B,$B$1&amp;"-"&amp;TEXT(6,"00")&amp;"*",수납!$E:$E,""))</f>
        <v/>
      </c>
      <c r="I122" s="14">
        <f>IF(원생!$A120="","",SUMIFS(수납!$F:$F,수납!$C:$C,원생!$A120,수납!$D:$D,IF(원생!$G120="","",원생!$G120),수납!$B:$B,$B$1&amp;"-"&amp;TEXT(7,"00")&amp;"*",수납!$E:$E,"수강료")+SUMIFS(수납!$F:$F,수납!$C:$C,원생!$A120,수납!$D:$D,IF(원생!$G120="","",원생!$G120),수납!$B:$B,$B$1&amp;"-"&amp;TEXT(7,"00")&amp;"*",수납!$E:$E,""))</f>
        <v/>
      </c>
      <c r="J122" s="14">
        <f>IF(원생!$A120="","",SUMIFS(수납!$F:$F,수납!$C:$C,원생!$A120,수납!$D:$D,IF(원생!$G120="","",원생!$G120),수납!$B:$B,$B$1&amp;"-"&amp;TEXT(8,"00")&amp;"*",수납!$E:$E,"수강료")+SUMIFS(수납!$F:$F,수납!$C:$C,원생!$A120,수납!$D:$D,IF(원생!$G120="","",원생!$G120),수납!$B:$B,$B$1&amp;"-"&amp;TEXT(8,"00")&amp;"*",수납!$E:$E,""))</f>
        <v/>
      </c>
      <c r="K122" s="14">
        <f>IF(원생!$A120="","",SUMIFS(수납!$F:$F,수납!$C:$C,원생!$A120,수납!$D:$D,IF(원생!$G120="","",원생!$G120),수납!$B:$B,$B$1&amp;"-"&amp;TEXT(9,"00")&amp;"*",수납!$E:$E,"수강료")+SUMIFS(수납!$F:$F,수납!$C:$C,원생!$A120,수납!$D:$D,IF(원생!$G120="","",원생!$G120),수납!$B:$B,$B$1&amp;"-"&amp;TEXT(9,"00")&amp;"*",수납!$E:$E,""))</f>
        <v/>
      </c>
      <c r="L122" s="14">
        <f>IF(원생!$A120="","",SUMIFS(수납!$F:$F,수납!$C:$C,원생!$A120,수납!$D:$D,IF(원생!$G120="","",원생!$G120),수납!$B:$B,$B$1&amp;"-"&amp;TEXT(10,"00")&amp;"*",수납!$E:$E,"수강료")+SUMIFS(수납!$F:$F,수납!$C:$C,원생!$A120,수납!$D:$D,IF(원생!$G120="","",원생!$G120),수납!$B:$B,$B$1&amp;"-"&amp;TEXT(10,"00")&amp;"*",수납!$E:$E,""))</f>
        <v/>
      </c>
      <c r="M122" s="14">
        <f>IF(원생!$A120="","",SUMIFS(수납!$F:$F,수납!$C:$C,원생!$A120,수납!$D:$D,IF(원생!$G120="","",원생!$G120),수납!$B:$B,$B$1&amp;"-"&amp;TEXT(11,"00")&amp;"*",수납!$E:$E,"수강료")+SUMIFS(수납!$F:$F,수납!$C:$C,원생!$A120,수납!$D:$D,IF(원생!$G120="","",원생!$G120),수납!$B:$B,$B$1&amp;"-"&amp;TEXT(11,"00")&amp;"*",수납!$E:$E,""))</f>
        <v/>
      </c>
      <c r="N122" s="14">
        <f>IF(원생!$A120="","",SUMIFS(수납!$F:$F,수납!$C:$C,원생!$A120,수납!$D:$D,IF(원생!$G120="","",원생!$G120),수납!$B:$B,$B$1&amp;"-"&amp;TEXT(12,"00")&amp;"*",수납!$E:$E,"수강료")+SUMIFS(수납!$F:$F,수납!$C:$C,원생!$A120,수납!$D:$D,IF(원생!$G120="","",원생!$G120),수납!$B:$B,$B$1&amp;"-"&amp;TEXT(12,"00")&amp;"*",수납!$E:$E,""))</f>
        <v/>
      </c>
      <c r="O122">
        <f>IF(원생!$I120="","",원생!$I120)</f>
        <v/>
      </c>
      <c r="P122">
        <f>IF($A122="","",IF(AND($B122&gt;0,C122&lt;$B122,DATE($B$1,1,1)&lt;=TODAY(),OR($O122="",$O122&gt;=DATE($B$1,1,1)),OR(COUNTIF($C122:C122,"&gt;0")&gt;0,DATE($B$1,1,1)=DATE(YEAR(TODAY()),MONTH(TODAY()),1))),1,0))</f>
        <v/>
      </c>
      <c r="Q122">
        <f>IF($A122="","",IF(AND($B122&gt;0,D122&lt;$B122,DATE($B$1,2,1)&lt;=TODAY(),OR($O122="",$O122&gt;=DATE($B$1,2,1)),OR(COUNTIF($C122:D122,"&gt;0")&gt;0,DATE($B$1,2,1)=DATE(YEAR(TODAY()),MONTH(TODAY()),1))),1,0))</f>
        <v/>
      </c>
      <c r="R122">
        <f>IF($A122="","",IF(AND($B122&gt;0,E122&lt;$B122,DATE($B$1,3,1)&lt;=TODAY(),OR($O122="",$O122&gt;=DATE($B$1,3,1)),OR(COUNTIF($C122:E122,"&gt;0")&gt;0,DATE($B$1,3,1)=DATE(YEAR(TODAY()),MONTH(TODAY()),1))),1,0))</f>
        <v/>
      </c>
      <c r="S122">
        <f>IF($A122="","",IF(AND($B122&gt;0,F122&lt;$B122,DATE($B$1,4,1)&lt;=TODAY(),OR($O122="",$O122&gt;=DATE($B$1,4,1)),OR(COUNTIF($C122:F122,"&gt;0")&gt;0,DATE($B$1,4,1)=DATE(YEAR(TODAY()),MONTH(TODAY()),1))),1,0))</f>
        <v/>
      </c>
      <c r="T122">
        <f>IF($A122="","",IF(AND($B122&gt;0,G122&lt;$B122,DATE($B$1,5,1)&lt;=TODAY(),OR($O122="",$O122&gt;=DATE($B$1,5,1)),OR(COUNTIF($C122:G122,"&gt;0")&gt;0,DATE($B$1,5,1)=DATE(YEAR(TODAY()),MONTH(TODAY()),1))),1,0))</f>
        <v/>
      </c>
      <c r="U122">
        <f>IF($A122="","",IF(AND($B122&gt;0,H122&lt;$B122,DATE($B$1,6,1)&lt;=TODAY(),OR($O122="",$O122&gt;=DATE($B$1,6,1)),OR(COUNTIF($C122:H122,"&gt;0")&gt;0,DATE($B$1,6,1)=DATE(YEAR(TODAY()),MONTH(TODAY()),1))),1,0))</f>
        <v/>
      </c>
      <c r="V122">
        <f>IF($A122="","",IF(AND($B122&gt;0,I122&lt;$B122,DATE($B$1,7,1)&lt;=TODAY(),OR($O122="",$O122&gt;=DATE($B$1,7,1)),OR(COUNTIF($C122:I122,"&gt;0")&gt;0,DATE($B$1,7,1)=DATE(YEAR(TODAY()),MONTH(TODAY()),1))),1,0))</f>
        <v/>
      </c>
      <c r="W122">
        <f>IF($A122="","",IF(AND($B122&gt;0,J122&lt;$B122,DATE($B$1,8,1)&lt;=TODAY(),OR($O122="",$O122&gt;=DATE($B$1,8,1)),OR(COUNTIF($C122:J122,"&gt;0")&gt;0,DATE($B$1,8,1)=DATE(YEAR(TODAY()),MONTH(TODAY()),1))),1,0))</f>
        <v/>
      </c>
      <c r="X122">
        <f>IF($A122="","",IF(AND($B122&gt;0,K122&lt;$B122,DATE($B$1,9,1)&lt;=TODAY(),OR($O122="",$O122&gt;=DATE($B$1,9,1)),OR(COUNTIF($C122:K122,"&gt;0")&gt;0,DATE($B$1,9,1)=DATE(YEAR(TODAY()),MONTH(TODAY()),1))),1,0))</f>
        <v/>
      </c>
      <c r="Y122">
        <f>IF($A122="","",IF(AND($B122&gt;0,L122&lt;$B122,DATE($B$1,10,1)&lt;=TODAY(),OR($O122="",$O122&gt;=DATE($B$1,10,1)),OR(COUNTIF($C122:L122,"&gt;0")&gt;0,DATE($B$1,10,1)=DATE(YEAR(TODAY()),MONTH(TODAY()),1))),1,0))</f>
        <v/>
      </c>
      <c r="Z122">
        <f>IF($A122="","",IF(AND($B122&gt;0,M122&lt;$B122,DATE($B$1,11,1)&lt;=TODAY(),OR($O122="",$O122&gt;=DATE($B$1,11,1)),OR(COUNTIF($C122:M122,"&gt;0")&gt;0,DATE($B$1,11,1)=DATE(YEAR(TODAY()),MONTH(TODAY()),1))),1,0))</f>
        <v/>
      </c>
      <c r="AA122">
        <f>IF($A122="","",IF(AND($B122&gt;0,N122&lt;$B122,DATE($B$1,12,1)&lt;=TODAY(),OR($O122="",$O122&gt;=DATE($B$1,12,1)),OR(COUNTIF($C122:N122,"&gt;0")&gt;0,DATE($B$1,12,1)=DATE(YEAR(TODAY()),MONTH(TODAY()),1))),1,0))</f>
        <v/>
      </c>
    </row>
    <row r="123">
      <c r="A123" s="13">
        <f>IF(원생!$A121="","",원생!$A121&amp;IF(원생!$G121="",""," ("&amp;원생!$G121&amp;")"))</f>
        <v/>
      </c>
      <c r="B123" s="8">
        <f>IF(원생!$A121="","",원생!$F121)</f>
        <v/>
      </c>
      <c r="C123" s="14">
        <f>IF(원생!$A121="","",SUMIFS(수납!$F:$F,수납!$C:$C,원생!$A121,수납!$D:$D,IF(원생!$G121="","",원생!$G121),수납!$B:$B,$B$1&amp;"-"&amp;TEXT(1,"00")&amp;"*",수납!$E:$E,"수강료")+SUMIFS(수납!$F:$F,수납!$C:$C,원생!$A121,수납!$D:$D,IF(원생!$G121="","",원생!$G121),수납!$B:$B,$B$1&amp;"-"&amp;TEXT(1,"00")&amp;"*",수납!$E:$E,""))</f>
        <v/>
      </c>
      <c r="D123" s="14">
        <f>IF(원생!$A121="","",SUMIFS(수납!$F:$F,수납!$C:$C,원생!$A121,수납!$D:$D,IF(원생!$G121="","",원생!$G121),수납!$B:$B,$B$1&amp;"-"&amp;TEXT(2,"00")&amp;"*",수납!$E:$E,"수강료")+SUMIFS(수납!$F:$F,수납!$C:$C,원생!$A121,수납!$D:$D,IF(원생!$G121="","",원생!$G121),수납!$B:$B,$B$1&amp;"-"&amp;TEXT(2,"00")&amp;"*",수납!$E:$E,""))</f>
        <v/>
      </c>
      <c r="E123" s="14">
        <f>IF(원생!$A121="","",SUMIFS(수납!$F:$F,수납!$C:$C,원생!$A121,수납!$D:$D,IF(원생!$G121="","",원생!$G121),수납!$B:$B,$B$1&amp;"-"&amp;TEXT(3,"00")&amp;"*",수납!$E:$E,"수강료")+SUMIFS(수납!$F:$F,수납!$C:$C,원생!$A121,수납!$D:$D,IF(원생!$G121="","",원생!$G121),수납!$B:$B,$B$1&amp;"-"&amp;TEXT(3,"00")&amp;"*",수납!$E:$E,""))</f>
        <v/>
      </c>
      <c r="F123" s="14">
        <f>IF(원생!$A121="","",SUMIFS(수납!$F:$F,수납!$C:$C,원생!$A121,수납!$D:$D,IF(원생!$G121="","",원생!$G121),수납!$B:$B,$B$1&amp;"-"&amp;TEXT(4,"00")&amp;"*",수납!$E:$E,"수강료")+SUMIFS(수납!$F:$F,수납!$C:$C,원생!$A121,수납!$D:$D,IF(원생!$G121="","",원생!$G121),수납!$B:$B,$B$1&amp;"-"&amp;TEXT(4,"00")&amp;"*",수납!$E:$E,""))</f>
        <v/>
      </c>
      <c r="G123" s="14">
        <f>IF(원생!$A121="","",SUMIFS(수납!$F:$F,수납!$C:$C,원생!$A121,수납!$D:$D,IF(원생!$G121="","",원생!$G121),수납!$B:$B,$B$1&amp;"-"&amp;TEXT(5,"00")&amp;"*",수납!$E:$E,"수강료")+SUMIFS(수납!$F:$F,수납!$C:$C,원생!$A121,수납!$D:$D,IF(원생!$G121="","",원생!$G121),수납!$B:$B,$B$1&amp;"-"&amp;TEXT(5,"00")&amp;"*",수납!$E:$E,""))</f>
        <v/>
      </c>
      <c r="H123" s="14">
        <f>IF(원생!$A121="","",SUMIFS(수납!$F:$F,수납!$C:$C,원생!$A121,수납!$D:$D,IF(원생!$G121="","",원생!$G121),수납!$B:$B,$B$1&amp;"-"&amp;TEXT(6,"00")&amp;"*",수납!$E:$E,"수강료")+SUMIFS(수납!$F:$F,수납!$C:$C,원생!$A121,수납!$D:$D,IF(원생!$G121="","",원생!$G121),수납!$B:$B,$B$1&amp;"-"&amp;TEXT(6,"00")&amp;"*",수납!$E:$E,""))</f>
        <v/>
      </c>
      <c r="I123" s="14">
        <f>IF(원생!$A121="","",SUMIFS(수납!$F:$F,수납!$C:$C,원생!$A121,수납!$D:$D,IF(원생!$G121="","",원생!$G121),수납!$B:$B,$B$1&amp;"-"&amp;TEXT(7,"00")&amp;"*",수납!$E:$E,"수강료")+SUMIFS(수납!$F:$F,수납!$C:$C,원생!$A121,수납!$D:$D,IF(원생!$G121="","",원생!$G121),수납!$B:$B,$B$1&amp;"-"&amp;TEXT(7,"00")&amp;"*",수납!$E:$E,""))</f>
        <v/>
      </c>
      <c r="J123" s="14">
        <f>IF(원생!$A121="","",SUMIFS(수납!$F:$F,수납!$C:$C,원생!$A121,수납!$D:$D,IF(원생!$G121="","",원생!$G121),수납!$B:$B,$B$1&amp;"-"&amp;TEXT(8,"00")&amp;"*",수납!$E:$E,"수강료")+SUMIFS(수납!$F:$F,수납!$C:$C,원생!$A121,수납!$D:$D,IF(원생!$G121="","",원생!$G121),수납!$B:$B,$B$1&amp;"-"&amp;TEXT(8,"00")&amp;"*",수납!$E:$E,""))</f>
        <v/>
      </c>
      <c r="K123" s="14">
        <f>IF(원생!$A121="","",SUMIFS(수납!$F:$F,수납!$C:$C,원생!$A121,수납!$D:$D,IF(원생!$G121="","",원생!$G121),수납!$B:$B,$B$1&amp;"-"&amp;TEXT(9,"00")&amp;"*",수납!$E:$E,"수강료")+SUMIFS(수납!$F:$F,수납!$C:$C,원생!$A121,수납!$D:$D,IF(원생!$G121="","",원생!$G121),수납!$B:$B,$B$1&amp;"-"&amp;TEXT(9,"00")&amp;"*",수납!$E:$E,""))</f>
        <v/>
      </c>
      <c r="L123" s="14">
        <f>IF(원생!$A121="","",SUMIFS(수납!$F:$F,수납!$C:$C,원생!$A121,수납!$D:$D,IF(원생!$G121="","",원생!$G121),수납!$B:$B,$B$1&amp;"-"&amp;TEXT(10,"00")&amp;"*",수납!$E:$E,"수강료")+SUMIFS(수납!$F:$F,수납!$C:$C,원생!$A121,수납!$D:$D,IF(원생!$G121="","",원생!$G121),수납!$B:$B,$B$1&amp;"-"&amp;TEXT(10,"00")&amp;"*",수납!$E:$E,""))</f>
        <v/>
      </c>
      <c r="M123" s="14">
        <f>IF(원생!$A121="","",SUMIFS(수납!$F:$F,수납!$C:$C,원생!$A121,수납!$D:$D,IF(원생!$G121="","",원생!$G121),수납!$B:$B,$B$1&amp;"-"&amp;TEXT(11,"00")&amp;"*",수납!$E:$E,"수강료")+SUMIFS(수납!$F:$F,수납!$C:$C,원생!$A121,수납!$D:$D,IF(원생!$G121="","",원생!$G121),수납!$B:$B,$B$1&amp;"-"&amp;TEXT(11,"00")&amp;"*",수납!$E:$E,""))</f>
        <v/>
      </c>
      <c r="N123" s="14">
        <f>IF(원생!$A121="","",SUMIFS(수납!$F:$F,수납!$C:$C,원생!$A121,수납!$D:$D,IF(원생!$G121="","",원생!$G121),수납!$B:$B,$B$1&amp;"-"&amp;TEXT(12,"00")&amp;"*",수납!$E:$E,"수강료")+SUMIFS(수납!$F:$F,수납!$C:$C,원생!$A121,수납!$D:$D,IF(원생!$G121="","",원생!$G121),수납!$B:$B,$B$1&amp;"-"&amp;TEXT(12,"00")&amp;"*",수납!$E:$E,""))</f>
        <v/>
      </c>
      <c r="O123">
        <f>IF(원생!$I121="","",원생!$I121)</f>
        <v/>
      </c>
      <c r="P123">
        <f>IF($A123="","",IF(AND($B123&gt;0,C123&lt;$B123,DATE($B$1,1,1)&lt;=TODAY(),OR($O123="",$O123&gt;=DATE($B$1,1,1)),OR(COUNTIF($C123:C123,"&gt;0")&gt;0,DATE($B$1,1,1)=DATE(YEAR(TODAY()),MONTH(TODAY()),1))),1,0))</f>
        <v/>
      </c>
      <c r="Q123">
        <f>IF($A123="","",IF(AND($B123&gt;0,D123&lt;$B123,DATE($B$1,2,1)&lt;=TODAY(),OR($O123="",$O123&gt;=DATE($B$1,2,1)),OR(COUNTIF($C123:D123,"&gt;0")&gt;0,DATE($B$1,2,1)=DATE(YEAR(TODAY()),MONTH(TODAY()),1))),1,0))</f>
        <v/>
      </c>
      <c r="R123">
        <f>IF($A123="","",IF(AND($B123&gt;0,E123&lt;$B123,DATE($B$1,3,1)&lt;=TODAY(),OR($O123="",$O123&gt;=DATE($B$1,3,1)),OR(COUNTIF($C123:E123,"&gt;0")&gt;0,DATE($B$1,3,1)=DATE(YEAR(TODAY()),MONTH(TODAY()),1))),1,0))</f>
        <v/>
      </c>
      <c r="S123">
        <f>IF($A123="","",IF(AND($B123&gt;0,F123&lt;$B123,DATE($B$1,4,1)&lt;=TODAY(),OR($O123="",$O123&gt;=DATE($B$1,4,1)),OR(COUNTIF($C123:F123,"&gt;0")&gt;0,DATE($B$1,4,1)=DATE(YEAR(TODAY()),MONTH(TODAY()),1))),1,0))</f>
        <v/>
      </c>
      <c r="T123">
        <f>IF($A123="","",IF(AND($B123&gt;0,G123&lt;$B123,DATE($B$1,5,1)&lt;=TODAY(),OR($O123="",$O123&gt;=DATE($B$1,5,1)),OR(COUNTIF($C123:G123,"&gt;0")&gt;0,DATE($B$1,5,1)=DATE(YEAR(TODAY()),MONTH(TODAY()),1))),1,0))</f>
        <v/>
      </c>
      <c r="U123">
        <f>IF($A123="","",IF(AND($B123&gt;0,H123&lt;$B123,DATE($B$1,6,1)&lt;=TODAY(),OR($O123="",$O123&gt;=DATE($B$1,6,1)),OR(COUNTIF($C123:H123,"&gt;0")&gt;0,DATE($B$1,6,1)=DATE(YEAR(TODAY()),MONTH(TODAY()),1))),1,0))</f>
        <v/>
      </c>
      <c r="V123">
        <f>IF($A123="","",IF(AND($B123&gt;0,I123&lt;$B123,DATE($B$1,7,1)&lt;=TODAY(),OR($O123="",$O123&gt;=DATE($B$1,7,1)),OR(COUNTIF($C123:I123,"&gt;0")&gt;0,DATE($B$1,7,1)=DATE(YEAR(TODAY()),MONTH(TODAY()),1))),1,0))</f>
        <v/>
      </c>
      <c r="W123">
        <f>IF($A123="","",IF(AND($B123&gt;0,J123&lt;$B123,DATE($B$1,8,1)&lt;=TODAY(),OR($O123="",$O123&gt;=DATE($B$1,8,1)),OR(COUNTIF($C123:J123,"&gt;0")&gt;0,DATE($B$1,8,1)=DATE(YEAR(TODAY()),MONTH(TODAY()),1))),1,0))</f>
        <v/>
      </c>
      <c r="X123">
        <f>IF($A123="","",IF(AND($B123&gt;0,K123&lt;$B123,DATE($B$1,9,1)&lt;=TODAY(),OR($O123="",$O123&gt;=DATE($B$1,9,1)),OR(COUNTIF($C123:K123,"&gt;0")&gt;0,DATE($B$1,9,1)=DATE(YEAR(TODAY()),MONTH(TODAY()),1))),1,0))</f>
        <v/>
      </c>
      <c r="Y123">
        <f>IF($A123="","",IF(AND($B123&gt;0,L123&lt;$B123,DATE($B$1,10,1)&lt;=TODAY(),OR($O123="",$O123&gt;=DATE($B$1,10,1)),OR(COUNTIF($C123:L123,"&gt;0")&gt;0,DATE($B$1,10,1)=DATE(YEAR(TODAY()),MONTH(TODAY()),1))),1,0))</f>
        <v/>
      </c>
      <c r="Z123">
        <f>IF($A123="","",IF(AND($B123&gt;0,M123&lt;$B123,DATE($B$1,11,1)&lt;=TODAY(),OR($O123="",$O123&gt;=DATE($B$1,11,1)),OR(COUNTIF($C123:M123,"&gt;0")&gt;0,DATE($B$1,11,1)=DATE(YEAR(TODAY()),MONTH(TODAY()),1))),1,0))</f>
        <v/>
      </c>
      <c r="AA123">
        <f>IF($A123="","",IF(AND($B123&gt;0,N123&lt;$B123,DATE($B$1,12,1)&lt;=TODAY(),OR($O123="",$O123&gt;=DATE($B$1,12,1)),OR(COUNTIF($C123:N123,"&gt;0")&gt;0,DATE($B$1,12,1)=DATE(YEAR(TODAY()),MONTH(TODAY()),1))),1,0))</f>
        <v/>
      </c>
    </row>
    <row r="124">
      <c r="A124" s="13">
        <f>IF(원생!$A122="","",원생!$A122&amp;IF(원생!$G122="",""," ("&amp;원생!$G122&amp;")"))</f>
        <v/>
      </c>
      <c r="B124" s="8">
        <f>IF(원생!$A122="","",원생!$F122)</f>
        <v/>
      </c>
      <c r="C124" s="14">
        <f>IF(원생!$A122="","",SUMIFS(수납!$F:$F,수납!$C:$C,원생!$A122,수납!$D:$D,IF(원생!$G122="","",원생!$G122),수납!$B:$B,$B$1&amp;"-"&amp;TEXT(1,"00")&amp;"*",수납!$E:$E,"수강료")+SUMIFS(수납!$F:$F,수납!$C:$C,원생!$A122,수납!$D:$D,IF(원생!$G122="","",원생!$G122),수납!$B:$B,$B$1&amp;"-"&amp;TEXT(1,"00")&amp;"*",수납!$E:$E,""))</f>
        <v/>
      </c>
      <c r="D124" s="14">
        <f>IF(원생!$A122="","",SUMIFS(수납!$F:$F,수납!$C:$C,원생!$A122,수납!$D:$D,IF(원생!$G122="","",원생!$G122),수납!$B:$B,$B$1&amp;"-"&amp;TEXT(2,"00")&amp;"*",수납!$E:$E,"수강료")+SUMIFS(수납!$F:$F,수납!$C:$C,원생!$A122,수납!$D:$D,IF(원생!$G122="","",원생!$G122),수납!$B:$B,$B$1&amp;"-"&amp;TEXT(2,"00")&amp;"*",수납!$E:$E,""))</f>
        <v/>
      </c>
      <c r="E124" s="14">
        <f>IF(원생!$A122="","",SUMIFS(수납!$F:$F,수납!$C:$C,원생!$A122,수납!$D:$D,IF(원생!$G122="","",원생!$G122),수납!$B:$B,$B$1&amp;"-"&amp;TEXT(3,"00")&amp;"*",수납!$E:$E,"수강료")+SUMIFS(수납!$F:$F,수납!$C:$C,원생!$A122,수납!$D:$D,IF(원생!$G122="","",원생!$G122),수납!$B:$B,$B$1&amp;"-"&amp;TEXT(3,"00")&amp;"*",수납!$E:$E,""))</f>
        <v/>
      </c>
      <c r="F124" s="14">
        <f>IF(원생!$A122="","",SUMIFS(수납!$F:$F,수납!$C:$C,원생!$A122,수납!$D:$D,IF(원생!$G122="","",원생!$G122),수납!$B:$B,$B$1&amp;"-"&amp;TEXT(4,"00")&amp;"*",수납!$E:$E,"수강료")+SUMIFS(수납!$F:$F,수납!$C:$C,원생!$A122,수납!$D:$D,IF(원생!$G122="","",원생!$G122),수납!$B:$B,$B$1&amp;"-"&amp;TEXT(4,"00")&amp;"*",수납!$E:$E,""))</f>
        <v/>
      </c>
      <c r="G124" s="14">
        <f>IF(원생!$A122="","",SUMIFS(수납!$F:$F,수납!$C:$C,원생!$A122,수납!$D:$D,IF(원생!$G122="","",원생!$G122),수납!$B:$B,$B$1&amp;"-"&amp;TEXT(5,"00")&amp;"*",수납!$E:$E,"수강료")+SUMIFS(수납!$F:$F,수납!$C:$C,원생!$A122,수납!$D:$D,IF(원생!$G122="","",원생!$G122),수납!$B:$B,$B$1&amp;"-"&amp;TEXT(5,"00")&amp;"*",수납!$E:$E,""))</f>
        <v/>
      </c>
      <c r="H124" s="14">
        <f>IF(원생!$A122="","",SUMIFS(수납!$F:$F,수납!$C:$C,원생!$A122,수납!$D:$D,IF(원생!$G122="","",원생!$G122),수납!$B:$B,$B$1&amp;"-"&amp;TEXT(6,"00")&amp;"*",수납!$E:$E,"수강료")+SUMIFS(수납!$F:$F,수납!$C:$C,원생!$A122,수납!$D:$D,IF(원생!$G122="","",원생!$G122),수납!$B:$B,$B$1&amp;"-"&amp;TEXT(6,"00")&amp;"*",수납!$E:$E,""))</f>
        <v/>
      </c>
      <c r="I124" s="14">
        <f>IF(원생!$A122="","",SUMIFS(수납!$F:$F,수납!$C:$C,원생!$A122,수납!$D:$D,IF(원생!$G122="","",원생!$G122),수납!$B:$B,$B$1&amp;"-"&amp;TEXT(7,"00")&amp;"*",수납!$E:$E,"수강료")+SUMIFS(수납!$F:$F,수납!$C:$C,원생!$A122,수납!$D:$D,IF(원생!$G122="","",원생!$G122),수납!$B:$B,$B$1&amp;"-"&amp;TEXT(7,"00")&amp;"*",수납!$E:$E,""))</f>
        <v/>
      </c>
      <c r="J124" s="14">
        <f>IF(원생!$A122="","",SUMIFS(수납!$F:$F,수납!$C:$C,원생!$A122,수납!$D:$D,IF(원생!$G122="","",원생!$G122),수납!$B:$B,$B$1&amp;"-"&amp;TEXT(8,"00")&amp;"*",수납!$E:$E,"수강료")+SUMIFS(수납!$F:$F,수납!$C:$C,원생!$A122,수납!$D:$D,IF(원생!$G122="","",원생!$G122),수납!$B:$B,$B$1&amp;"-"&amp;TEXT(8,"00")&amp;"*",수납!$E:$E,""))</f>
        <v/>
      </c>
      <c r="K124" s="14">
        <f>IF(원생!$A122="","",SUMIFS(수납!$F:$F,수납!$C:$C,원생!$A122,수납!$D:$D,IF(원생!$G122="","",원생!$G122),수납!$B:$B,$B$1&amp;"-"&amp;TEXT(9,"00")&amp;"*",수납!$E:$E,"수강료")+SUMIFS(수납!$F:$F,수납!$C:$C,원생!$A122,수납!$D:$D,IF(원생!$G122="","",원생!$G122),수납!$B:$B,$B$1&amp;"-"&amp;TEXT(9,"00")&amp;"*",수납!$E:$E,""))</f>
        <v/>
      </c>
      <c r="L124" s="14">
        <f>IF(원생!$A122="","",SUMIFS(수납!$F:$F,수납!$C:$C,원생!$A122,수납!$D:$D,IF(원생!$G122="","",원생!$G122),수납!$B:$B,$B$1&amp;"-"&amp;TEXT(10,"00")&amp;"*",수납!$E:$E,"수강료")+SUMIFS(수납!$F:$F,수납!$C:$C,원생!$A122,수납!$D:$D,IF(원생!$G122="","",원생!$G122),수납!$B:$B,$B$1&amp;"-"&amp;TEXT(10,"00")&amp;"*",수납!$E:$E,""))</f>
        <v/>
      </c>
      <c r="M124" s="14">
        <f>IF(원생!$A122="","",SUMIFS(수납!$F:$F,수납!$C:$C,원생!$A122,수납!$D:$D,IF(원생!$G122="","",원생!$G122),수납!$B:$B,$B$1&amp;"-"&amp;TEXT(11,"00")&amp;"*",수납!$E:$E,"수강료")+SUMIFS(수납!$F:$F,수납!$C:$C,원생!$A122,수납!$D:$D,IF(원생!$G122="","",원생!$G122),수납!$B:$B,$B$1&amp;"-"&amp;TEXT(11,"00")&amp;"*",수납!$E:$E,""))</f>
        <v/>
      </c>
      <c r="N124" s="14">
        <f>IF(원생!$A122="","",SUMIFS(수납!$F:$F,수납!$C:$C,원생!$A122,수납!$D:$D,IF(원생!$G122="","",원생!$G122),수납!$B:$B,$B$1&amp;"-"&amp;TEXT(12,"00")&amp;"*",수납!$E:$E,"수강료")+SUMIFS(수납!$F:$F,수납!$C:$C,원생!$A122,수납!$D:$D,IF(원생!$G122="","",원생!$G122),수납!$B:$B,$B$1&amp;"-"&amp;TEXT(12,"00")&amp;"*",수납!$E:$E,""))</f>
        <v/>
      </c>
      <c r="O124">
        <f>IF(원생!$I122="","",원생!$I122)</f>
        <v/>
      </c>
      <c r="P124">
        <f>IF($A124="","",IF(AND($B124&gt;0,C124&lt;$B124,DATE($B$1,1,1)&lt;=TODAY(),OR($O124="",$O124&gt;=DATE($B$1,1,1)),OR(COUNTIF($C124:C124,"&gt;0")&gt;0,DATE($B$1,1,1)=DATE(YEAR(TODAY()),MONTH(TODAY()),1))),1,0))</f>
        <v/>
      </c>
      <c r="Q124">
        <f>IF($A124="","",IF(AND($B124&gt;0,D124&lt;$B124,DATE($B$1,2,1)&lt;=TODAY(),OR($O124="",$O124&gt;=DATE($B$1,2,1)),OR(COUNTIF($C124:D124,"&gt;0")&gt;0,DATE($B$1,2,1)=DATE(YEAR(TODAY()),MONTH(TODAY()),1))),1,0))</f>
        <v/>
      </c>
      <c r="R124">
        <f>IF($A124="","",IF(AND($B124&gt;0,E124&lt;$B124,DATE($B$1,3,1)&lt;=TODAY(),OR($O124="",$O124&gt;=DATE($B$1,3,1)),OR(COUNTIF($C124:E124,"&gt;0")&gt;0,DATE($B$1,3,1)=DATE(YEAR(TODAY()),MONTH(TODAY()),1))),1,0))</f>
        <v/>
      </c>
      <c r="S124">
        <f>IF($A124="","",IF(AND($B124&gt;0,F124&lt;$B124,DATE($B$1,4,1)&lt;=TODAY(),OR($O124="",$O124&gt;=DATE($B$1,4,1)),OR(COUNTIF($C124:F124,"&gt;0")&gt;0,DATE($B$1,4,1)=DATE(YEAR(TODAY()),MONTH(TODAY()),1))),1,0))</f>
        <v/>
      </c>
      <c r="T124">
        <f>IF($A124="","",IF(AND($B124&gt;0,G124&lt;$B124,DATE($B$1,5,1)&lt;=TODAY(),OR($O124="",$O124&gt;=DATE($B$1,5,1)),OR(COUNTIF($C124:G124,"&gt;0")&gt;0,DATE($B$1,5,1)=DATE(YEAR(TODAY()),MONTH(TODAY()),1))),1,0))</f>
        <v/>
      </c>
      <c r="U124">
        <f>IF($A124="","",IF(AND($B124&gt;0,H124&lt;$B124,DATE($B$1,6,1)&lt;=TODAY(),OR($O124="",$O124&gt;=DATE($B$1,6,1)),OR(COUNTIF($C124:H124,"&gt;0")&gt;0,DATE($B$1,6,1)=DATE(YEAR(TODAY()),MONTH(TODAY()),1))),1,0))</f>
        <v/>
      </c>
      <c r="V124">
        <f>IF($A124="","",IF(AND($B124&gt;0,I124&lt;$B124,DATE($B$1,7,1)&lt;=TODAY(),OR($O124="",$O124&gt;=DATE($B$1,7,1)),OR(COUNTIF($C124:I124,"&gt;0")&gt;0,DATE($B$1,7,1)=DATE(YEAR(TODAY()),MONTH(TODAY()),1))),1,0))</f>
        <v/>
      </c>
      <c r="W124">
        <f>IF($A124="","",IF(AND($B124&gt;0,J124&lt;$B124,DATE($B$1,8,1)&lt;=TODAY(),OR($O124="",$O124&gt;=DATE($B$1,8,1)),OR(COUNTIF($C124:J124,"&gt;0")&gt;0,DATE($B$1,8,1)=DATE(YEAR(TODAY()),MONTH(TODAY()),1))),1,0))</f>
        <v/>
      </c>
      <c r="X124">
        <f>IF($A124="","",IF(AND($B124&gt;0,K124&lt;$B124,DATE($B$1,9,1)&lt;=TODAY(),OR($O124="",$O124&gt;=DATE($B$1,9,1)),OR(COUNTIF($C124:K124,"&gt;0")&gt;0,DATE($B$1,9,1)=DATE(YEAR(TODAY()),MONTH(TODAY()),1))),1,0))</f>
        <v/>
      </c>
      <c r="Y124">
        <f>IF($A124="","",IF(AND($B124&gt;0,L124&lt;$B124,DATE($B$1,10,1)&lt;=TODAY(),OR($O124="",$O124&gt;=DATE($B$1,10,1)),OR(COUNTIF($C124:L124,"&gt;0")&gt;0,DATE($B$1,10,1)=DATE(YEAR(TODAY()),MONTH(TODAY()),1))),1,0))</f>
        <v/>
      </c>
      <c r="Z124">
        <f>IF($A124="","",IF(AND($B124&gt;0,M124&lt;$B124,DATE($B$1,11,1)&lt;=TODAY(),OR($O124="",$O124&gt;=DATE($B$1,11,1)),OR(COUNTIF($C124:M124,"&gt;0")&gt;0,DATE($B$1,11,1)=DATE(YEAR(TODAY()),MONTH(TODAY()),1))),1,0))</f>
        <v/>
      </c>
      <c r="AA124">
        <f>IF($A124="","",IF(AND($B124&gt;0,N124&lt;$B124,DATE($B$1,12,1)&lt;=TODAY(),OR($O124="",$O124&gt;=DATE($B$1,12,1)),OR(COUNTIF($C124:N124,"&gt;0")&gt;0,DATE($B$1,12,1)=DATE(YEAR(TODAY()),MONTH(TODAY()),1))),1,0))</f>
        <v/>
      </c>
    </row>
    <row r="125">
      <c r="A125" s="13">
        <f>IF(원생!$A123="","",원생!$A123&amp;IF(원생!$G123="",""," ("&amp;원생!$G123&amp;")"))</f>
        <v/>
      </c>
      <c r="B125" s="8">
        <f>IF(원생!$A123="","",원생!$F123)</f>
        <v/>
      </c>
      <c r="C125" s="14">
        <f>IF(원생!$A123="","",SUMIFS(수납!$F:$F,수납!$C:$C,원생!$A123,수납!$D:$D,IF(원생!$G123="","",원생!$G123),수납!$B:$B,$B$1&amp;"-"&amp;TEXT(1,"00")&amp;"*",수납!$E:$E,"수강료")+SUMIFS(수납!$F:$F,수납!$C:$C,원생!$A123,수납!$D:$D,IF(원생!$G123="","",원생!$G123),수납!$B:$B,$B$1&amp;"-"&amp;TEXT(1,"00")&amp;"*",수납!$E:$E,""))</f>
        <v/>
      </c>
      <c r="D125" s="14">
        <f>IF(원생!$A123="","",SUMIFS(수납!$F:$F,수납!$C:$C,원생!$A123,수납!$D:$D,IF(원생!$G123="","",원생!$G123),수납!$B:$B,$B$1&amp;"-"&amp;TEXT(2,"00")&amp;"*",수납!$E:$E,"수강료")+SUMIFS(수납!$F:$F,수납!$C:$C,원생!$A123,수납!$D:$D,IF(원생!$G123="","",원생!$G123),수납!$B:$B,$B$1&amp;"-"&amp;TEXT(2,"00")&amp;"*",수납!$E:$E,""))</f>
        <v/>
      </c>
      <c r="E125" s="14">
        <f>IF(원생!$A123="","",SUMIFS(수납!$F:$F,수납!$C:$C,원생!$A123,수납!$D:$D,IF(원생!$G123="","",원생!$G123),수납!$B:$B,$B$1&amp;"-"&amp;TEXT(3,"00")&amp;"*",수납!$E:$E,"수강료")+SUMIFS(수납!$F:$F,수납!$C:$C,원생!$A123,수납!$D:$D,IF(원생!$G123="","",원생!$G123),수납!$B:$B,$B$1&amp;"-"&amp;TEXT(3,"00")&amp;"*",수납!$E:$E,""))</f>
        <v/>
      </c>
      <c r="F125" s="14">
        <f>IF(원생!$A123="","",SUMIFS(수납!$F:$F,수납!$C:$C,원생!$A123,수납!$D:$D,IF(원생!$G123="","",원생!$G123),수납!$B:$B,$B$1&amp;"-"&amp;TEXT(4,"00")&amp;"*",수납!$E:$E,"수강료")+SUMIFS(수납!$F:$F,수납!$C:$C,원생!$A123,수납!$D:$D,IF(원생!$G123="","",원생!$G123),수납!$B:$B,$B$1&amp;"-"&amp;TEXT(4,"00")&amp;"*",수납!$E:$E,""))</f>
        <v/>
      </c>
      <c r="G125" s="14">
        <f>IF(원생!$A123="","",SUMIFS(수납!$F:$F,수납!$C:$C,원생!$A123,수납!$D:$D,IF(원생!$G123="","",원생!$G123),수납!$B:$B,$B$1&amp;"-"&amp;TEXT(5,"00")&amp;"*",수납!$E:$E,"수강료")+SUMIFS(수납!$F:$F,수납!$C:$C,원생!$A123,수납!$D:$D,IF(원생!$G123="","",원생!$G123),수납!$B:$B,$B$1&amp;"-"&amp;TEXT(5,"00")&amp;"*",수납!$E:$E,""))</f>
        <v/>
      </c>
      <c r="H125" s="14">
        <f>IF(원생!$A123="","",SUMIFS(수납!$F:$F,수납!$C:$C,원생!$A123,수납!$D:$D,IF(원생!$G123="","",원생!$G123),수납!$B:$B,$B$1&amp;"-"&amp;TEXT(6,"00")&amp;"*",수납!$E:$E,"수강료")+SUMIFS(수납!$F:$F,수납!$C:$C,원생!$A123,수납!$D:$D,IF(원생!$G123="","",원생!$G123),수납!$B:$B,$B$1&amp;"-"&amp;TEXT(6,"00")&amp;"*",수납!$E:$E,""))</f>
        <v/>
      </c>
      <c r="I125" s="14">
        <f>IF(원생!$A123="","",SUMIFS(수납!$F:$F,수납!$C:$C,원생!$A123,수납!$D:$D,IF(원생!$G123="","",원생!$G123),수납!$B:$B,$B$1&amp;"-"&amp;TEXT(7,"00")&amp;"*",수납!$E:$E,"수강료")+SUMIFS(수납!$F:$F,수납!$C:$C,원생!$A123,수납!$D:$D,IF(원생!$G123="","",원생!$G123),수납!$B:$B,$B$1&amp;"-"&amp;TEXT(7,"00")&amp;"*",수납!$E:$E,""))</f>
        <v/>
      </c>
      <c r="J125" s="14">
        <f>IF(원생!$A123="","",SUMIFS(수납!$F:$F,수납!$C:$C,원생!$A123,수납!$D:$D,IF(원생!$G123="","",원생!$G123),수납!$B:$B,$B$1&amp;"-"&amp;TEXT(8,"00")&amp;"*",수납!$E:$E,"수강료")+SUMIFS(수납!$F:$F,수납!$C:$C,원생!$A123,수납!$D:$D,IF(원생!$G123="","",원생!$G123),수납!$B:$B,$B$1&amp;"-"&amp;TEXT(8,"00")&amp;"*",수납!$E:$E,""))</f>
        <v/>
      </c>
      <c r="K125" s="14">
        <f>IF(원생!$A123="","",SUMIFS(수납!$F:$F,수납!$C:$C,원생!$A123,수납!$D:$D,IF(원생!$G123="","",원생!$G123),수납!$B:$B,$B$1&amp;"-"&amp;TEXT(9,"00")&amp;"*",수납!$E:$E,"수강료")+SUMIFS(수납!$F:$F,수납!$C:$C,원생!$A123,수납!$D:$D,IF(원생!$G123="","",원생!$G123),수납!$B:$B,$B$1&amp;"-"&amp;TEXT(9,"00")&amp;"*",수납!$E:$E,""))</f>
        <v/>
      </c>
      <c r="L125" s="14">
        <f>IF(원생!$A123="","",SUMIFS(수납!$F:$F,수납!$C:$C,원생!$A123,수납!$D:$D,IF(원생!$G123="","",원생!$G123),수납!$B:$B,$B$1&amp;"-"&amp;TEXT(10,"00")&amp;"*",수납!$E:$E,"수강료")+SUMIFS(수납!$F:$F,수납!$C:$C,원생!$A123,수납!$D:$D,IF(원생!$G123="","",원생!$G123),수납!$B:$B,$B$1&amp;"-"&amp;TEXT(10,"00")&amp;"*",수납!$E:$E,""))</f>
        <v/>
      </c>
      <c r="M125" s="14">
        <f>IF(원생!$A123="","",SUMIFS(수납!$F:$F,수납!$C:$C,원생!$A123,수납!$D:$D,IF(원생!$G123="","",원생!$G123),수납!$B:$B,$B$1&amp;"-"&amp;TEXT(11,"00")&amp;"*",수납!$E:$E,"수강료")+SUMIFS(수납!$F:$F,수납!$C:$C,원생!$A123,수납!$D:$D,IF(원생!$G123="","",원생!$G123),수납!$B:$B,$B$1&amp;"-"&amp;TEXT(11,"00")&amp;"*",수납!$E:$E,""))</f>
        <v/>
      </c>
      <c r="N125" s="14">
        <f>IF(원생!$A123="","",SUMIFS(수납!$F:$F,수납!$C:$C,원생!$A123,수납!$D:$D,IF(원생!$G123="","",원생!$G123),수납!$B:$B,$B$1&amp;"-"&amp;TEXT(12,"00")&amp;"*",수납!$E:$E,"수강료")+SUMIFS(수납!$F:$F,수납!$C:$C,원생!$A123,수납!$D:$D,IF(원생!$G123="","",원생!$G123),수납!$B:$B,$B$1&amp;"-"&amp;TEXT(12,"00")&amp;"*",수납!$E:$E,""))</f>
        <v/>
      </c>
      <c r="O125">
        <f>IF(원생!$I123="","",원생!$I123)</f>
        <v/>
      </c>
      <c r="P125">
        <f>IF($A125="","",IF(AND($B125&gt;0,C125&lt;$B125,DATE($B$1,1,1)&lt;=TODAY(),OR($O125="",$O125&gt;=DATE($B$1,1,1)),OR(COUNTIF($C125:C125,"&gt;0")&gt;0,DATE($B$1,1,1)=DATE(YEAR(TODAY()),MONTH(TODAY()),1))),1,0))</f>
        <v/>
      </c>
      <c r="Q125">
        <f>IF($A125="","",IF(AND($B125&gt;0,D125&lt;$B125,DATE($B$1,2,1)&lt;=TODAY(),OR($O125="",$O125&gt;=DATE($B$1,2,1)),OR(COUNTIF($C125:D125,"&gt;0")&gt;0,DATE($B$1,2,1)=DATE(YEAR(TODAY()),MONTH(TODAY()),1))),1,0))</f>
        <v/>
      </c>
      <c r="R125">
        <f>IF($A125="","",IF(AND($B125&gt;0,E125&lt;$B125,DATE($B$1,3,1)&lt;=TODAY(),OR($O125="",$O125&gt;=DATE($B$1,3,1)),OR(COUNTIF($C125:E125,"&gt;0")&gt;0,DATE($B$1,3,1)=DATE(YEAR(TODAY()),MONTH(TODAY()),1))),1,0))</f>
        <v/>
      </c>
      <c r="S125">
        <f>IF($A125="","",IF(AND($B125&gt;0,F125&lt;$B125,DATE($B$1,4,1)&lt;=TODAY(),OR($O125="",$O125&gt;=DATE($B$1,4,1)),OR(COUNTIF($C125:F125,"&gt;0")&gt;0,DATE($B$1,4,1)=DATE(YEAR(TODAY()),MONTH(TODAY()),1))),1,0))</f>
        <v/>
      </c>
      <c r="T125">
        <f>IF($A125="","",IF(AND($B125&gt;0,G125&lt;$B125,DATE($B$1,5,1)&lt;=TODAY(),OR($O125="",$O125&gt;=DATE($B$1,5,1)),OR(COUNTIF($C125:G125,"&gt;0")&gt;0,DATE($B$1,5,1)=DATE(YEAR(TODAY()),MONTH(TODAY()),1))),1,0))</f>
        <v/>
      </c>
      <c r="U125">
        <f>IF($A125="","",IF(AND($B125&gt;0,H125&lt;$B125,DATE($B$1,6,1)&lt;=TODAY(),OR($O125="",$O125&gt;=DATE($B$1,6,1)),OR(COUNTIF($C125:H125,"&gt;0")&gt;0,DATE($B$1,6,1)=DATE(YEAR(TODAY()),MONTH(TODAY()),1))),1,0))</f>
        <v/>
      </c>
      <c r="V125">
        <f>IF($A125="","",IF(AND($B125&gt;0,I125&lt;$B125,DATE($B$1,7,1)&lt;=TODAY(),OR($O125="",$O125&gt;=DATE($B$1,7,1)),OR(COUNTIF($C125:I125,"&gt;0")&gt;0,DATE($B$1,7,1)=DATE(YEAR(TODAY()),MONTH(TODAY()),1))),1,0))</f>
        <v/>
      </c>
      <c r="W125">
        <f>IF($A125="","",IF(AND($B125&gt;0,J125&lt;$B125,DATE($B$1,8,1)&lt;=TODAY(),OR($O125="",$O125&gt;=DATE($B$1,8,1)),OR(COUNTIF($C125:J125,"&gt;0")&gt;0,DATE($B$1,8,1)=DATE(YEAR(TODAY()),MONTH(TODAY()),1))),1,0))</f>
        <v/>
      </c>
      <c r="X125">
        <f>IF($A125="","",IF(AND($B125&gt;0,K125&lt;$B125,DATE($B$1,9,1)&lt;=TODAY(),OR($O125="",$O125&gt;=DATE($B$1,9,1)),OR(COUNTIF($C125:K125,"&gt;0")&gt;0,DATE($B$1,9,1)=DATE(YEAR(TODAY()),MONTH(TODAY()),1))),1,0))</f>
        <v/>
      </c>
      <c r="Y125">
        <f>IF($A125="","",IF(AND($B125&gt;0,L125&lt;$B125,DATE($B$1,10,1)&lt;=TODAY(),OR($O125="",$O125&gt;=DATE($B$1,10,1)),OR(COUNTIF($C125:L125,"&gt;0")&gt;0,DATE($B$1,10,1)=DATE(YEAR(TODAY()),MONTH(TODAY()),1))),1,0))</f>
        <v/>
      </c>
      <c r="Z125">
        <f>IF($A125="","",IF(AND($B125&gt;0,M125&lt;$B125,DATE($B$1,11,1)&lt;=TODAY(),OR($O125="",$O125&gt;=DATE($B$1,11,1)),OR(COUNTIF($C125:M125,"&gt;0")&gt;0,DATE($B$1,11,1)=DATE(YEAR(TODAY()),MONTH(TODAY()),1))),1,0))</f>
        <v/>
      </c>
      <c r="AA125">
        <f>IF($A125="","",IF(AND($B125&gt;0,N125&lt;$B125,DATE($B$1,12,1)&lt;=TODAY(),OR($O125="",$O125&gt;=DATE($B$1,12,1)),OR(COUNTIF($C125:N125,"&gt;0")&gt;0,DATE($B$1,12,1)=DATE(YEAR(TODAY()),MONTH(TODAY()),1))),1,0))</f>
        <v/>
      </c>
    </row>
    <row r="126">
      <c r="A126" s="13">
        <f>IF(원생!$A124="","",원생!$A124&amp;IF(원생!$G124="",""," ("&amp;원생!$G124&amp;")"))</f>
        <v/>
      </c>
      <c r="B126" s="8">
        <f>IF(원생!$A124="","",원생!$F124)</f>
        <v/>
      </c>
      <c r="C126" s="14">
        <f>IF(원생!$A124="","",SUMIFS(수납!$F:$F,수납!$C:$C,원생!$A124,수납!$D:$D,IF(원생!$G124="","",원생!$G124),수납!$B:$B,$B$1&amp;"-"&amp;TEXT(1,"00")&amp;"*",수납!$E:$E,"수강료")+SUMIFS(수납!$F:$F,수납!$C:$C,원생!$A124,수납!$D:$D,IF(원생!$G124="","",원생!$G124),수납!$B:$B,$B$1&amp;"-"&amp;TEXT(1,"00")&amp;"*",수납!$E:$E,""))</f>
        <v/>
      </c>
      <c r="D126" s="14">
        <f>IF(원생!$A124="","",SUMIFS(수납!$F:$F,수납!$C:$C,원생!$A124,수납!$D:$D,IF(원생!$G124="","",원생!$G124),수납!$B:$B,$B$1&amp;"-"&amp;TEXT(2,"00")&amp;"*",수납!$E:$E,"수강료")+SUMIFS(수납!$F:$F,수납!$C:$C,원생!$A124,수납!$D:$D,IF(원생!$G124="","",원생!$G124),수납!$B:$B,$B$1&amp;"-"&amp;TEXT(2,"00")&amp;"*",수납!$E:$E,""))</f>
        <v/>
      </c>
      <c r="E126" s="14">
        <f>IF(원생!$A124="","",SUMIFS(수납!$F:$F,수납!$C:$C,원생!$A124,수납!$D:$D,IF(원생!$G124="","",원생!$G124),수납!$B:$B,$B$1&amp;"-"&amp;TEXT(3,"00")&amp;"*",수납!$E:$E,"수강료")+SUMIFS(수납!$F:$F,수납!$C:$C,원생!$A124,수납!$D:$D,IF(원생!$G124="","",원생!$G124),수납!$B:$B,$B$1&amp;"-"&amp;TEXT(3,"00")&amp;"*",수납!$E:$E,""))</f>
        <v/>
      </c>
      <c r="F126" s="14">
        <f>IF(원생!$A124="","",SUMIFS(수납!$F:$F,수납!$C:$C,원생!$A124,수납!$D:$D,IF(원생!$G124="","",원생!$G124),수납!$B:$B,$B$1&amp;"-"&amp;TEXT(4,"00")&amp;"*",수납!$E:$E,"수강료")+SUMIFS(수납!$F:$F,수납!$C:$C,원생!$A124,수납!$D:$D,IF(원생!$G124="","",원생!$G124),수납!$B:$B,$B$1&amp;"-"&amp;TEXT(4,"00")&amp;"*",수납!$E:$E,""))</f>
        <v/>
      </c>
      <c r="G126" s="14">
        <f>IF(원생!$A124="","",SUMIFS(수납!$F:$F,수납!$C:$C,원생!$A124,수납!$D:$D,IF(원생!$G124="","",원생!$G124),수납!$B:$B,$B$1&amp;"-"&amp;TEXT(5,"00")&amp;"*",수납!$E:$E,"수강료")+SUMIFS(수납!$F:$F,수납!$C:$C,원생!$A124,수납!$D:$D,IF(원생!$G124="","",원생!$G124),수납!$B:$B,$B$1&amp;"-"&amp;TEXT(5,"00")&amp;"*",수납!$E:$E,""))</f>
        <v/>
      </c>
      <c r="H126" s="14">
        <f>IF(원생!$A124="","",SUMIFS(수납!$F:$F,수납!$C:$C,원생!$A124,수납!$D:$D,IF(원생!$G124="","",원생!$G124),수납!$B:$B,$B$1&amp;"-"&amp;TEXT(6,"00")&amp;"*",수납!$E:$E,"수강료")+SUMIFS(수납!$F:$F,수납!$C:$C,원생!$A124,수납!$D:$D,IF(원생!$G124="","",원생!$G124),수납!$B:$B,$B$1&amp;"-"&amp;TEXT(6,"00")&amp;"*",수납!$E:$E,""))</f>
        <v/>
      </c>
      <c r="I126" s="14">
        <f>IF(원생!$A124="","",SUMIFS(수납!$F:$F,수납!$C:$C,원생!$A124,수납!$D:$D,IF(원생!$G124="","",원생!$G124),수납!$B:$B,$B$1&amp;"-"&amp;TEXT(7,"00")&amp;"*",수납!$E:$E,"수강료")+SUMIFS(수납!$F:$F,수납!$C:$C,원생!$A124,수납!$D:$D,IF(원생!$G124="","",원생!$G124),수납!$B:$B,$B$1&amp;"-"&amp;TEXT(7,"00")&amp;"*",수납!$E:$E,""))</f>
        <v/>
      </c>
      <c r="J126" s="14">
        <f>IF(원생!$A124="","",SUMIFS(수납!$F:$F,수납!$C:$C,원생!$A124,수납!$D:$D,IF(원생!$G124="","",원생!$G124),수납!$B:$B,$B$1&amp;"-"&amp;TEXT(8,"00")&amp;"*",수납!$E:$E,"수강료")+SUMIFS(수납!$F:$F,수납!$C:$C,원생!$A124,수납!$D:$D,IF(원생!$G124="","",원생!$G124),수납!$B:$B,$B$1&amp;"-"&amp;TEXT(8,"00")&amp;"*",수납!$E:$E,""))</f>
        <v/>
      </c>
      <c r="K126" s="14">
        <f>IF(원생!$A124="","",SUMIFS(수납!$F:$F,수납!$C:$C,원생!$A124,수납!$D:$D,IF(원생!$G124="","",원생!$G124),수납!$B:$B,$B$1&amp;"-"&amp;TEXT(9,"00")&amp;"*",수납!$E:$E,"수강료")+SUMIFS(수납!$F:$F,수납!$C:$C,원생!$A124,수납!$D:$D,IF(원생!$G124="","",원생!$G124),수납!$B:$B,$B$1&amp;"-"&amp;TEXT(9,"00")&amp;"*",수납!$E:$E,""))</f>
        <v/>
      </c>
      <c r="L126" s="14">
        <f>IF(원생!$A124="","",SUMIFS(수납!$F:$F,수납!$C:$C,원생!$A124,수납!$D:$D,IF(원생!$G124="","",원생!$G124),수납!$B:$B,$B$1&amp;"-"&amp;TEXT(10,"00")&amp;"*",수납!$E:$E,"수강료")+SUMIFS(수납!$F:$F,수납!$C:$C,원생!$A124,수납!$D:$D,IF(원생!$G124="","",원생!$G124),수납!$B:$B,$B$1&amp;"-"&amp;TEXT(10,"00")&amp;"*",수납!$E:$E,""))</f>
        <v/>
      </c>
      <c r="M126" s="14">
        <f>IF(원생!$A124="","",SUMIFS(수납!$F:$F,수납!$C:$C,원생!$A124,수납!$D:$D,IF(원생!$G124="","",원생!$G124),수납!$B:$B,$B$1&amp;"-"&amp;TEXT(11,"00")&amp;"*",수납!$E:$E,"수강료")+SUMIFS(수납!$F:$F,수납!$C:$C,원생!$A124,수납!$D:$D,IF(원생!$G124="","",원생!$G124),수납!$B:$B,$B$1&amp;"-"&amp;TEXT(11,"00")&amp;"*",수납!$E:$E,""))</f>
        <v/>
      </c>
      <c r="N126" s="14">
        <f>IF(원생!$A124="","",SUMIFS(수납!$F:$F,수납!$C:$C,원생!$A124,수납!$D:$D,IF(원생!$G124="","",원생!$G124),수납!$B:$B,$B$1&amp;"-"&amp;TEXT(12,"00")&amp;"*",수납!$E:$E,"수강료")+SUMIFS(수납!$F:$F,수납!$C:$C,원생!$A124,수납!$D:$D,IF(원생!$G124="","",원생!$G124),수납!$B:$B,$B$1&amp;"-"&amp;TEXT(12,"00")&amp;"*",수납!$E:$E,""))</f>
        <v/>
      </c>
      <c r="O126">
        <f>IF(원생!$I124="","",원생!$I124)</f>
        <v/>
      </c>
      <c r="P126">
        <f>IF($A126="","",IF(AND($B126&gt;0,C126&lt;$B126,DATE($B$1,1,1)&lt;=TODAY(),OR($O126="",$O126&gt;=DATE($B$1,1,1)),OR(COUNTIF($C126:C126,"&gt;0")&gt;0,DATE($B$1,1,1)=DATE(YEAR(TODAY()),MONTH(TODAY()),1))),1,0))</f>
        <v/>
      </c>
      <c r="Q126">
        <f>IF($A126="","",IF(AND($B126&gt;0,D126&lt;$B126,DATE($B$1,2,1)&lt;=TODAY(),OR($O126="",$O126&gt;=DATE($B$1,2,1)),OR(COUNTIF($C126:D126,"&gt;0")&gt;0,DATE($B$1,2,1)=DATE(YEAR(TODAY()),MONTH(TODAY()),1))),1,0))</f>
        <v/>
      </c>
      <c r="R126">
        <f>IF($A126="","",IF(AND($B126&gt;0,E126&lt;$B126,DATE($B$1,3,1)&lt;=TODAY(),OR($O126="",$O126&gt;=DATE($B$1,3,1)),OR(COUNTIF($C126:E126,"&gt;0")&gt;0,DATE($B$1,3,1)=DATE(YEAR(TODAY()),MONTH(TODAY()),1))),1,0))</f>
        <v/>
      </c>
      <c r="S126">
        <f>IF($A126="","",IF(AND($B126&gt;0,F126&lt;$B126,DATE($B$1,4,1)&lt;=TODAY(),OR($O126="",$O126&gt;=DATE($B$1,4,1)),OR(COUNTIF($C126:F126,"&gt;0")&gt;0,DATE($B$1,4,1)=DATE(YEAR(TODAY()),MONTH(TODAY()),1))),1,0))</f>
        <v/>
      </c>
      <c r="T126">
        <f>IF($A126="","",IF(AND($B126&gt;0,G126&lt;$B126,DATE($B$1,5,1)&lt;=TODAY(),OR($O126="",$O126&gt;=DATE($B$1,5,1)),OR(COUNTIF($C126:G126,"&gt;0")&gt;0,DATE($B$1,5,1)=DATE(YEAR(TODAY()),MONTH(TODAY()),1))),1,0))</f>
        <v/>
      </c>
      <c r="U126">
        <f>IF($A126="","",IF(AND($B126&gt;0,H126&lt;$B126,DATE($B$1,6,1)&lt;=TODAY(),OR($O126="",$O126&gt;=DATE($B$1,6,1)),OR(COUNTIF($C126:H126,"&gt;0")&gt;0,DATE($B$1,6,1)=DATE(YEAR(TODAY()),MONTH(TODAY()),1))),1,0))</f>
        <v/>
      </c>
      <c r="V126">
        <f>IF($A126="","",IF(AND($B126&gt;0,I126&lt;$B126,DATE($B$1,7,1)&lt;=TODAY(),OR($O126="",$O126&gt;=DATE($B$1,7,1)),OR(COUNTIF($C126:I126,"&gt;0")&gt;0,DATE($B$1,7,1)=DATE(YEAR(TODAY()),MONTH(TODAY()),1))),1,0))</f>
        <v/>
      </c>
      <c r="W126">
        <f>IF($A126="","",IF(AND($B126&gt;0,J126&lt;$B126,DATE($B$1,8,1)&lt;=TODAY(),OR($O126="",$O126&gt;=DATE($B$1,8,1)),OR(COUNTIF($C126:J126,"&gt;0")&gt;0,DATE($B$1,8,1)=DATE(YEAR(TODAY()),MONTH(TODAY()),1))),1,0))</f>
        <v/>
      </c>
      <c r="X126">
        <f>IF($A126="","",IF(AND($B126&gt;0,K126&lt;$B126,DATE($B$1,9,1)&lt;=TODAY(),OR($O126="",$O126&gt;=DATE($B$1,9,1)),OR(COUNTIF($C126:K126,"&gt;0")&gt;0,DATE($B$1,9,1)=DATE(YEAR(TODAY()),MONTH(TODAY()),1))),1,0))</f>
        <v/>
      </c>
      <c r="Y126">
        <f>IF($A126="","",IF(AND($B126&gt;0,L126&lt;$B126,DATE($B$1,10,1)&lt;=TODAY(),OR($O126="",$O126&gt;=DATE($B$1,10,1)),OR(COUNTIF($C126:L126,"&gt;0")&gt;0,DATE($B$1,10,1)=DATE(YEAR(TODAY()),MONTH(TODAY()),1))),1,0))</f>
        <v/>
      </c>
      <c r="Z126">
        <f>IF($A126="","",IF(AND($B126&gt;0,M126&lt;$B126,DATE($B$1,11,1)&lt;=TODAY(),OR($O126="",$O126&gt;=DATE($B$1,11,1)),OR(COUNTIF($C126:M126,"&gt;0")&gt;0,DATE($B$1,11,1)=DATE(YEAR(TODAY()),MONTH(TODAY()),1))),1,0))</f>
        <v/>
      </c>
      <c r="AA126">
        <f>IF($A126="","",IF(AND($B126&gt;0,N126&lt;$B126,DATE($B$1,12,1)&lt;=TODAY(),OR($O126="",$O126&gt;=DATE($B$1,12,1)),OR(COUNTIF($C126:N126,"&gt;0")&gt;0,DATE($B$1,12,1)=DATE(YEAR(TODAY()),MONTH(TODAY()),1))),1,0))</f>
        <v/>
      </c>
    </row>
    <row r="127">
      <c r="A127" s="13">
        <f>IF(원생!$A125="","",원생!$A125&amp;IF(원생!$G125="",""," ("&amp;원생!$G125&amp;")"))</f>
        <v/>
      </c>
      <c r="B127" s="8">
        <f>IF(원생!$A125="","",원생!$F125)</f>
        <v/>
      </c>
      <c r="C127" s="14">
        <f>IF(원생!$A125="","",SUMIFS(수납!$F:$F,수납!$C:$C,원생!$A125,수납!$D:$D,IF(원생!$G125="","",원생!$G125),수납!$B:$B,$B$1&amp;"-"&amp;TEXT(1,"00")&amp;"*",수납!$E:$E,"수강료")+SUMIFS(수납!$F:$F,수납!$C:$C,원생!$A125,수납!$D:$D,IF(원생!$G125="","",원생!$G125),수납!$B:$B,$B$1&amp;"-"&amp;TEXT(1,"00")&amp;"*",수납!$E:$E,""))</f>
        <v/>
      </c>
      <c r="D127" s="14">
        <f>IF(원생!$A125="","",SUMIFS(수납!$F:$F,수납!$C:$C,원생!$A125,수납!$D:$D,IF(원생!$G125="","",원생!$G125),수납!$B:$B,$B$1&amp;"-"&amp;TEXT(2,"00")&amp;"*",수납!$E:$E,"수강료")+SUMIFS(수납!$F:$F,수납!$C:$C,원생!$A125,수납!$D:$D,IF(원생!$G125="","",원생!$G125),수납!$B:$B,$B$1&amp;"-"&amp;TEXT(2,"00")&amp;"*",수납!$E:$E,""))</f>
        <v/>
      </c>
      <c r="E127" s="14">
        <f>IF(원생!$A125="","",SUMIFS(수납!$F:$F,수납!$C:$C,원생!$A125,수납!$D:$D,IF(원생!$G125="","",원생!$G125),수납!$B:$B,$B$1&amp;"-"&amp;TEXT(3,"00")&amp;"*",수납!$E:$E,"수강료")+SUMIFS(수납!$F:$F,수납!$C:$C,원생!$A125,수납!$D:$D,IF(원생!$G125="","",원생!$G125),수납!$B:$B,$B$1&amp;"-"&amp;TEXT(3,"00")&amp;"*",수납!$E:$E,""))</f>
        <v/>
      </c>
      <c r="F127" s="14">
        <f>IF(원생!$A125="","",SUMIFS(수납!$F:$F,수납!$C:$C,원생!$A125,수납!$D:$D,IF(원생!$G125="","",원생!$G125),수납!$B:$B,$B$1&amp;"-"&amp;TEXT(4,"00")&amp;"*",수납!$E:$E,"수강료")+SUMIFS(수납!$F:$F,수납!$C:$C,원생!$A125,수납!$D:$D,IF(원생!$G125="","",원생!$G125),수납!$B:$B,$B$1&amp;"-"&amp;TEXT(4,"00")&amp;"*",수납!$E:$E,""))</f>
        <v/>
      </c>
      <c r="G127" s="14">
        <f>IF(원생!$A125="","",SUMIFS(수납!$F:$F,수납!$C:$C,원생!$A125,수납!$D:$D,IF(원생!$G125="","",원생!$G125),수납!$B:$B,$B$1&amp;"-"&amp;TEXT(5,"00")&amp;"*",수납!$E:$E,"수강료")+SUMIFS(수납!$F:$F,수납!$C:$C,원생!$A125,수납!$D:$D,IF(원생!$G125="","",원생!$G125),수납!$B:$B,$B$1&amp;"-"&amp;TEXT(5,"00")&amp;"*",수납!$E:$E,""))</f>
        <v/>
      </c>
      <c r="H127" s="14">
        <f>IF(원생!$A125="","",SUMIFS(수납!$F:$F,수납!$C:$C,원생!$A125,수납!$D:$D,IF(원생!$G125="","",원생!$G125),수납!$B:$B,$B$1&amp;"-"&amp;TEXT(6,"00")&amp;"*",수납!$E:$E,"수강료")+SUMIFS(수납!$F:$F,수납!$C:$C,원생!$A125,수납!$D:$D,IF(원생!$G125="","",원생!$G125),수납!$B:$B,$B$1&amp;"-"&amp;TEXT(6,"00")&amp;"*",수납!$E:$E,""))</f>
        <v/>
      </c>
      <c r="I127" s="14">
        <f>IF(원생!$A125="","",SUMIFS(수납!$F:$F,수납!$C:$C,원생!$A125,수납!$D:$D,IF(원생!$G125="","",원생!$G125),수납!$B:$B,$B$1&amp;"-"&amp;TEXT(7,"00")&amp;"*",수납!$E:$E,"수강료")+SUMIFS(수납!$F:$F,수납!$C:$C,원생!$A125,수납!$D:$D,IF(원생!$G125="","",원생!$G125),수납!$B:$B,$B$1&amp;"-"&amp;TEXT(7,"00")&amp;"*",수납!$E:$E,""))</f>
        <v/>
      </c>
      <c r="J127" s="14">
        <f>IF(원생!$A125="","",SUMIFS(수납!$F:$F,수납!$C:$C,원생!$A125,수납!$D:$D,IF(원생!$G125="","",원생!$G125),수납!$B:$B,$B$1&amp;"-"&amp;TEXT(8,"00")&amp;"*",수납!$E:$E,"수강료")+SUMIFS(수납!$F:$F,수납!$C:$C,원생!$A125,수납!$D:$D,IF(원생!$G125="","",원생!$G125),수납!$B:$B,$B$1&amp;"-"&amp;TEXT(8,"00")&amp;"*",수납!$E:$E,""))</f>
        <v/>
      </c>
      <c r="K127" s="14">
        <f>IF(원생!$A125="","",SUMIFS(수납!$F:$F,수납!$C:$C,원생!$A125,수납!$D:$D,IF(원생!$G125="","",원생!$G125),수납!$B:$B,$B$1&amp;"-"&amp;TEXT(9,"00")&amp;"*",수납!$E:$E,"수강료")+SUMIFS(수납!$F:$F,수납!$C:$C,원생!$A125,수납!$D:$D,IF(원생!$G125="","",원생!$G125),수납!$B:$B,$B$1&amp;"-"&amp;TEXT(9,"00")&amp;"*",수납!$E:$E,""))</f>
        <v/>
      </c>
      <c r="L127" s="14">
        <f>IF(원생!$A125="","",SUMIFS(수납!$F:$F,수납!$C:$C,원생!$A125,수납!$D:$D,IF(원생!$G125="","",원생!$G125),수납!$B:$B,$B$1&amp;"-"&amp;TEXT(10,"00")&amp;"*",수납!$E:$E,"수강료")+SUMIFS(수납!$F:$F,수납!$C:$C,원생!$A125,수납!$D:$D,IF(원생!$G125="","",원생!$G125),수납!$B:$B,$B$1&amp;"-"&amp;TEXT(10,"00")&amp;"*",수납!$E:$E,""))</f>
        <v/>
      </c>
      <c r="M127" s="14">
        <f>IF(원생!$A125="","",SUMIFS(수납!$F:$F,수납!$C:$C,원생!$A125,수납!$D:$D,IF(원생!$G125="","",원생!$G125),수납!$B:$B,$B$1&amp;"-"&amp;TEXT(11,"00")&amp;"*",수납!$E:$E,"수강료")+SUMIFS(수납!$F:$F,수납!$C:$C,원생!$A125,수납!$D:$D,IF(원생!$G125="","",원생!$G125),수납!$B:$B,$B$1&amp;"-"&amp;TEXT(11,"00")&amp;"*",수납!$E:$E,""))</f>
        <v/>
      </c>
      <c r="N127" s="14">
        <f>IF(원생!$A125="","",SUMIFS(수납!$F:$F,수납!$C:$C,원생!$A125,수납!$D:$D,IF(원생!$G125="","",원생!$G125),수납!$B:$B,$B$1&amp;"-"&amp;TEXT(12,"00")&amp;"*",수납!$E:$E,"수강료")+SUMIFS(수납!$F:$F,수납!$C:$C,원생!$A125,수납!$D:$D,IF(원생!$G125="","",원생!$G125),수납!$B:$B,$B$1&amp;"-"&amp;TEXT(12,"00")&amp;"*",수납!$E:$E,""))</f>
        <v/>
      </c>
      <c r="O127">
        <f>IF(원생!$I125="","",원생!$I125)</f>
        <v/>
      </c>
      <c r="P127">
        <f>IF($A127="","",IF(AND($B127&gt;0,C127&lt;$B127,DATE($B$1,1,1)&lt;=TODAY(),OR($O127="",$O127&gt;=DATE($B$1,1,1)),OR(COUNTIF($C127:C127,"&gt;0")&gt;0,DATE($B$1,1,1)=DATE(YEAR(TODAY()),MONTH(TODAY()),1))),1,0))</f>
        <v/>
      </c>
      <c r="Q127">
        <f>IF($A127="","",IF(AND($B127&gt;0,D127&lt;$B127,DATE($B$1,2,1)&lt;=TODAY(),OR($O127="",$O127&gt;=DATE($B$1,2,1)),OR(COUNTIF($C127:D127,"&gt;0")&gt;0,DATE($B$1,2,1)=DATE(YEAR(TODAY()),MONTH(TODAY()),1))),1,0))</f>
        <v/>
      </c>
      <c r="R127">
        <f>IF($A127="","",IF(AND($B127&gt;0,E127&lt;$B127,DATE($B$1,3,1)&lt;=TODAY(),OR($O127="",$O127&gt;=DATE($B$1,3,1)),OR(COUNTIF($C127:E127,"&gt;0")&gt;0,DATE($B$1,3,1)=DATE(YEAR(TODAY()),MONTH(TODAY()),1))),1,0))</f>
        <v/>
      </c>
      <c r="S127">
        <f>IF($A127="","",IF(AND($B127&gt;0,F127&lt;$B127,DATE($B$1,4,1)&lt;=TODAY(),OR($O127="",$O127&gt;=DATE($B$1,4,1)),OR(COUNTIF($C127:F127,"&gt;0")&gt;0,DATE($B$1,4,1)=DATE(YEAR(TODAY()),MONTH(TODAY()),1))),1,0))</f>
        <v/>
      </c>
      <c r="T127">
        <f>IF($A127="","",IF(AND($B127&gt;0,G127&lt;$B127,DATE($B$1,5,1)&lt;=TODAY(),OR($O127="",$O127&gt;=DATE($B$1,5,1)),OR(COUNTIF($C127:G127,"&gt;0")&gt;0,DATE($B$1,5,1)=DATE(YEAR(TODAY()),MONTH(TODAY()),1))),1,0))</f>
        <v/>
      </c>
      <c r="U127">
        <f>IF($A127="","",IF(AND($B127&gt;0,H127&lt;$B127,DATE($B$1,6,1)&lt;=TODAY(),OR($O127="",$O127&gt;=DATE($B$1,6,1)),OR(COUNTIF($C127:H127,"&gt;0")&gt;0,DATE($B$1,6,1)=DATE(YEAR(TODAY()),MONTH(TODAY()),1))),1,0))</f>
        <v/>
      </c>
      <c r="V127">
        <f>IF($A127="","",IF(AND($B127&gt;0,I127&lt;$B127,DATE($B$1,7,1)&lt;=TODAY(),OR($O127="",$O127&gt;=DATE($B$1,7,1)),OR(COUNTIF($C127:I127,"&gt;0")&gt;0,DATE($B$1,7,1)=DATE(YEAR(TODAY()),MONTH(TODAY()),1))),1,0))</f>
        <v/>
      </c>
      <c r="W127">
        <f>IF($A127="","",IF(AND($B127&gt;0,J127&lt;$B127,DATE($B$1,8,1)&lt;=TODAY(),OR($O127="",$O127&gt;=DATE($B$1,8,1)),OR(COUNTIF($C127:J127,"&gt;0")&gt;0,DATE($B$1,8,1)=DATE(YEAR(TODAY()),MONTH(TODAY()),1))),1,0))</f>
        <v/>
      </c>
      <c r="X127">
        <f>IF($A127="","",IF(AND($B127&gt;0,K127&lt;$B127,DATE($B$1,9,1)&lt;=TODAY(),OR($O127="",$O127&gt;=DATE($B$1,9,1)),OR(COUNTIF($C127:K127,"&gt;0")&gt;0,DATE($B$1,9,1)=DATE(YEAR(TODAY()),MONTH(TODAY()),1))),1,0))</f>
        <v/>
      </c>
      <c r="Y127">
        <f>IF($A127="","",IF(AND($B127&gt;0,L127&lt;$B127,DATE($B$1,10,1)&lt;=TODAY(),OR($O127="",$O127&gt;=DATE($B$1,10,1)),OR(COUNTIF($C127:L127,"&gt;0")&gt;0,DATE($B$1,10,1)=DATE(YEAR(TODAY()),MONTH(TODAY()),1))),1,0))</f>
        <v/>
      </c>
      <c r="Z127">
        <f>IF($A127="","",IF(AND($B127&gt;0,M127&lt;$B127,DATE($B$1,11,1)&lt;=TODAY(),OR($O127="",$O127&gt;=DATE($B$1,11,1)),OR(COUNTIF($C127:M127,"&gt;0")&gt;0,DATE($B$1,11,1)=DATE(YEAR(TODAY()),MONTH(TODAY()),1))),1,0))</f>
        <v/>
      </c>
      <c r="AA127">
        <f>IF($A127="","",IF(AND($B127&gt;0,N127&lt;$B127,DATE($B$1,12,1)&lt;=TODAY(),OR($O127="",$O127&gt;=DATE($B$1,12,1)),OR(COUNTIF($C127:N127,"&gt;0")&gt;0,DATE($B$1,12,1)=DATE(YEAR(TODAY()),MONTH(TODAY()),1))),1,0))</f>
        <v/>
      </c>
    </row>
    <row r="128">
      <c r="A128" s="13">
        <f>IF(원생!$A126="","",원생!$A126&amp;IF(원생!$G126="",""," ("&amp;원생!$G126&amp;")"))</f>
        <v/>
      </c>
      <c r="B128" s="8">
        <f>IF(원생!$A126="","",원생!$F126)</f>
        <v/>
      </c>
      <c r="C128" s="14">
        <f>IF(원생!$A126="","",SUMIFS(수납!$F:$F,수납!$C:$C,원생!$A126,수납!$D:$D,IF(원생!$G126="","",원생!$G126),수납!$B:$B,$B$1&amp;"-"&amp;TEXT(1,"00")&amp;"*",수납!$E:$E,"수강료")+SUMIFS(수납!$F:$F,수납!$C:$C,원생!$A126,수납!$D:$D,IF(원생!$G126="","",원생!$G126),수납!$B:$B,$B$1&amp;"-"&amp;TEXT(1,"00")&amp;"*",수납!$E:$E,""))</f>
        <v/>
      </c>
      <c r="D128" s="14">
        <f>IF(원생!$A126="","",SUMIFS(수납!$F:$F,수납!$C:$C,원생!$A126,수납!$D:$D,IF(원생!$G126="","",원생!$G126),수납!$B:$B,$B$1&amp;"-"&amp;TEXT(2,"00")&amp;"*",수납!$E:$E,"수강료")+SUMIFS(수납!$F:$F,수납!$C:$C,원생!$A126,수납!$D:$D,IF(원생!$G126="","",원생!$G126),수납!$B:$B,$B$1&amp;"-"&amp;TEXT(2,"00")&amp;"*",수납!$E:$E,""))</f>
        <v/>
      </c>
      <c r="E128" s="14">
        <f>IF(원생!$A126="","",SUMIFS(수납!$F:$F,수납!$C:$C,원생!$A126,수납!$D:$D,IF(원생!$G126="","",원생!$G126),수납!$B:$B,$B$1&amp;"-"&amp;TEXT(3,"00")&amp;"*",수납!$E:$E,"수강료")+SUMIFS(수납!$F:$F,수납!$C:$C,원생!$A126,수납!$D:$D,IF(원생!$G126="","",원생!$G126),수납!$B:$B,$B$1&amp;"-"&amp;TEXT(3,"00")&amp;"*",수납!$E:$E,""))</f>
        <v/>
      </c>
      <c r="F128" s="14">
        <f>IF(원생!$A126="","",SUMIFS(수납!$F:$F,수납!$C:$C,원생!$A126,수납!$D:$D,IF(원생!$G126="","",원생!$G126),수납!$B:$B,$B$1&amp;"-"&amp;TEXT(4,"00")&amp;"*",수납!$E:$E,"수강료")+SUMIFS(수납!$F:$F,수납!$C:$C,원생!$A126,수납!$D:$D,IF(원생!$G126="","",원생!$G126),수납!$B:$B,$B$1&amp;"-"&amp;TEXT(4,"00")&amp;"*",수납!$E:$E,""))</f>
        <v/>
      </c>
      <c r="G128" s="14">
        <f>IF(원생!$A126="","",SUMIFS(수납!$F:$F,수납!$C:$C,원생!$A126,수납!$D:$D,IF(원생!$G126="","",원생!$G126),수납!$B:$B,$B$1&amp;"-"&amp;TEXT(5,"00")&amp;"*",수납!$E:$E,"수강료")+SUMIFS(수납!$F:$F,수납!$C:$C,원생!$A126,수납!$D:$D,IF(원생!$G126="","",원생!$G126),수납!$B:$B,$B$1&amp;"-"&amp;TEXT(5,"00")&amp;"*",수납!$E:$E,""))</f>
        <v/>
      </c>
      <c r="H128" s="14">
        <f>IF(원생!$A126="","",SUMIFS(수납!$F:$F,수납!$C:$C,원생!$A126,수납!$D:$D,IF(원생!$G126="","",원생!$G126),수납!$B:$B,$B$1&amp;"-"&amp;TEXT(6,"00")&amp;"*",수납!$E:$E,"수강료")+SUMIFS(수납!$F:$F,수납!$C:$C,원생!$A126,수납!$D:$D,IF(원생!$G126="","",원생!$G126),수납!$B:$B,$B$1&amp;"-"&amp;TEXT(6,"00")&amp;"*",수납!$E:$E,""))</f>
        <v/>
      </c>
      <c r="I128" s="14">
        <f>IF(원생!$A126="","",SUMIFS(수납!$F:$F,수납!$C:$C,원생!$A126,수납!$D:$D,IF(원생!$G126="","",원생!$G126),수납!$B:$B,$B$1&amp;"-"&amp;TEXT(7,"00")&amp;"*",수납!$E:$E,"수강료")+SUMIFS(수납!$F:$F,수납!$C:$C,원생!$A126,수납!$D:$D,IF(원생!$G126="","",원생!$G126),수납!$B:$B,$B$1&amp;"-"&amp;TEXT(7,"00")&amp;"*",수납!$E:$E,""))</f>
        <v/>
      </c>
      <c r="J128" s="14">
        <f>IF(원생!$A126="","",SUMIFS(수납!$F:$F,수납!$C:$C,원생!$A126,수납!$D:$D,IF(원생!$G126="","",원생!$G126),수납!$B:$B,$B$1&amp;"-"&amp;TEXT(8,"00")&amp;"*",수납!$E:$E,"수강료")+SUMIFS(수납!$F:$F,수납!$C:$C,원생!$A126,수납!$D:$D,IF(원생!$G126="","",원생!$G126),수납!$B:$B,$B$1&amp;"-"&amp;TEXT(8,"00")&amp;"*",수납!$E:$E,""))</f>
        <v/>
      </c>
      <c r="K128" s="14">
        <f>IF(원생!$A126="","",SUMIFS(수납!$F:$F,수납!$C:$C,원생!$A126,수납!$D:$D,IF(원생!$G126="","",원생!$G126),수납!$B:$B,$B$1&amp;"-"&amp;TEXT(9,"00")&amp;"*",수납!$E:$E,"수강료")+SUMIFS(수납!$F:$F,수납!$C:$C,원생!$A126,수납!$D:$D,IF(원생!$G126="","",원생!$G126),수납!$B:$B,$B$1&amp;"-"&amp;TEXT(9,"00")&amp;"*",수납!$E:$E,""))</f>
        <v/>
      </c>
      <c r="L128" s="14">
        <f>IF(원생!$A126="","",SUMIFS(수납!$F:$F,수납!$C:$C,원생!$A126,수납!$D:$D,IF(원생!$G126="","",원생!$G126),수납!$B:$B,$B$1&amp;"-"&amp;TEXT(10,"00")&amp;"*",수납!$E:$E,"수강료")+SUMIFS(수납!$F:$F,수납!$C:$C,원생!$A126,수납!$D:$D,IF(원생!$G126="","",원생!$G126),수납!$B:$B,$B$1&amp;"-"&amp;TEXT(10,"00")&amp;"*",수납!$E:$E,""))</f>
        <v/>
      </c>
      <c r="M128" s="14">
        <f>IF(원생!$A126="","",SUMIFS(수납!$F:$F,수납!$C:$C,원생!$A126,수납!$D:$D,IF(원생!$G126="","",원생!$G126),수납!$B:$B,$B$1&amp;"-"&amp;TEXT(11,"00")&amp;"*",수납!$E:$E,"수강료")+SUMIFS(수납!$F:$F,수납!$C:$C,원생!$A126,수납!$D:$D,IF(원생!$G126="","",원생!$G126),수납!$B:$B,$B$1&amp;"-"&amp;TEXT(11,"00")&amp;"*",수납!$E:$E,""))</f>
        <v/>
      </c>
      <c r="N128" s="14">
        <f>IF(원생!$A126="","",SUMIFS(수납!$F:$F,수납!$C:$C,원생!$A126,수납!$D:$D,IF(원생!$G126="","",원생!$G126),수납!$B:$B,$B$1&amp;"-"&amp;TEXT(12,"00")&amp;"*",수납!$E:$E,"수강료")+SUMIFS(수납!$F:$F,수납!$C:$C,원생!$A126,수납!$D:$D,IF(원생!$G126="","",원생!$G126),수납!$B:$B,$B$1&amp;"-"&amp;TEXT(12,"00")&amp;"*",수납!$E:$E,""))</f>
        <v/>
      </c>
      <c r="O128">
        <f>IF(원생!$I126="","",원생!$I126)</f>
        <v/>
      </c>
      <c r="P128">
        <f>IF($A128="","",IF(AND($B128&gt;0,C128&lt;$B128,DATE($B$1,1,1)&lt;=TODAY(),OR($O128="",$O128&gt;=DATE($B$1,1,1)),OR(COUNTIF($C128:C128,"&gt;0")&gt;0,DATE($B$1,1,1)=DATE(YEAR(TODAY()),MONTH(TODAY()),1))),1,0))</f>
        <v/>
      </c>
      <c r="Q128">
        <f>IF($A128="","",IF(AND($B128&gt;0,D128&lt;$B128,DATE($B$1,2,1)&lt;=TODAY(),OR($O128="",$O128&gt;=DATE($B$1,2,1)),OR(COUNTIF($C128:D128,"&gt;0")&gt;0,DATE($B$1,2,1)=DATE(YEAR(TODAY()),MONTH(TODAY()),1))),1,0))</f>
        <v/>
      </c>
      <c r="R128">
        <f>IF($A128="","",IF(AND($B128&gt;0,E128&lt;$B128,DATE($B$1,3,1)&lt;=TODAY(),OR($O128="",$O128&gt;=DATE($B$1,3,1)),OR(COUNTIF($C128:E128,"&gt;0")&gt;0,DATE($B$1,3,1)=DATE(YEAR(TODAY()),MONTH(TODAY()),1))),1,0))</f>
        <v/>
      </c>
      <c r="S128">
        <f>IF($A128="","",IF(AND($B128&gt;0,F128&lt;$B128,DATE($B$1,4,1)&lt;=TODAY(),OR($O128="",$O128&gt;=DATE($B$1,4,1)),OR(COUNTIF($C128:F128,"&gt;0")&gt;0,DATE($B$1,4,1)=DATE(YEAR(TODAY()),MONTH(TODAY()),1))),1,0))</f>
        <v/>
      </c>
      <c r="T128">
        <f>IF($A128="","",IF(AND($B128&gt;0,G128&lt;$B128,DATE($B$1,5,1)&lt;=TODAY(),OR($O128="",$O128&gt;=DATE($B$1,5,1)),OR(COUNTIF($C128:G128,"&gt;0")&gt;0,DATE($B$1,5,1)=DATE(YEAR(TODAY()),MONTH(TODAY()),1))),1,0))</f>
        <v/>
      </c>
      <c r="U128">
        <f>IF($A128="","",IF(AND($B128&gt;0,H128&lt;$B128,DATE($B$1,6,1)&lt;=TODAY(),OR($O128="",$O128&gt;=DATE($B$1,6,1)),OR(COUNTIF($C128:H128,"&gt;0")&gt;0,DATE($B$1,6,1)=DATE(YEAR(TODAY()),MONTH(TODAY()),1))),1,0))</f>
        <v/>
      </c>
      <c r="V128">
        <f>IF($A128="","",IF(AND($B128&gt;0,I128&lt;$B128,DATE($B$1,7,1)&lt;=TODAY(),OR($O128="",$O128&gt;=DATE($B$1,7,1)),OR(COUNTIF($C128:I128,"&gt;0")&gt;0,DATE($B$1,7,1)=DATE(YEAR(TODAY()),MONTH(TODAY()),1))),1,0))</f>
        <v/>
      </c>
      <c r="W128">
        <f>IF($A128="","",IF(AND($B128&gt;0,J128&lt;$B128,DATE($B$1,8,1)&lt;=TODAY(),OR($O128="",$O128&gt;=DATE($B$1,8,1)),OR(COUNTIF($C128:J128,"&gt;0")&gt;0,DATE($B$1,8,1)=DATE(YEAR(TODAY()),MONTH(TODAY()),1))),1,0))</f>
        <v/>
      </c>
      <c r="X128">
        <f>IF($A128="","",IF(AND($B128&gt;0,K128&lt;$B128,DATE($B$1,9,1)&lt;=TODAY(),OR($O128="",$O128&gt;=DATE($B$1,9,1)),OR(COUNTIF($C128:K128,"&gt;0")&gt;0,DATE($B$1,9,1)=DATE(YEAR(TODAY()),MONTH(TODAY()),1))),1,0))</f>
        <v/>
      </c>
      <c r="Y128">
        <f>IF($A128="","",IF(AND($B128&gt;0,L128&lt;$B128,DATE($B$1,10,1)&lt;=TODAY(),OR($O128="",$O128&gt;=DATE($B$1,10,1)),OR(COUNTIF($C128:L128,"&gt;0")&gt;0,DATE($B$1,10,1)=DATE(YEAR(TODAY()),MONTH(TODAY()),1))),1,0))</f>
        <v/>
      </c>
      <c r="Z128">
        <f>IF($A128="","",IF(AND($B128&gt;0,M128&lt;$B128,DATE($B$1,11,1)&lt;=TODAY(),OR($O128="",$O128&gt;=DATE($B$1,11,1)),OR(COUNTIF($C128:M128,"&gt;0")&gt;0,DATE($B$1,11,1)=DATE(YEAR(TODAY()),MONTH(TODAY()),1))),1,0))</f>
        <v/>
      </c>
      <c r="AA128">
        <f>IF($A128="","",IF(AND($B128&gt;0,N128&lt;$B128,DATE($B$1,12,1)&lt;=TODAY(),OR($O128="",$O128&gt;=DATE($B$1,12,1)),OR(COUNTIF($C128:N128,"&gt;0")&gt;0,DATE($B$1,12,1)=DATE(YEAR(TODAY()),MONTH(TODAY()),1))),1,0))</f>
        <v/>
      </c>
    </row>
    <row r="129">
      <c r="A129" s="13">
        <f>IF(원생!$A127="","",원생!$A127&amp;IF(원생!$G127="",""," ("&amp;원생!$G127&amp;")"))</f>
        <v/>
      </c>
      <c r="B129" s="8">
        <f>IF(원생!$A127="","",원생!$F127)</f>
        <v/>
      </c>
      <c r="C129" s="14">
        <f>IF(원생!$A127="","",SUMIFS(수납!$F:$F,수납!$C:$C,원생!$A127,수납!$D:$D,IF(원생!$G127="","",원생!$G127),수납!$B:$B,$B$1&amp;"-"&amp;TEXT(1,"00")&amp;"*",수납!$E:$E,"수강료")+SUMIFS(수납!$F:$F,수납!$C:$C,원생!$A127,수납!$D:$D,IF(원생!$G127="","",원생!$G127),수납!$B:$B,$B$1&amp;"-"&amp;TEXT(1,"00")&amp;"*",수납!$E:$E,""))</f>
        <v/>
      </c>
      <c r="D129" s="14">
        <f>IF(원생!$A127="","",SUMIFS(수납!$F:$F,수납!$C:$C,원생!$A127,수납!$D:$D,IF(원생!$G127="","",원생!$G127),수납!$B:$B,$B$1&amp;"-"&amp;TEXT(2,"00")&amp;"*",수납!$E:$E,"수강료")+SUMIFS(수납!$F:$F,수납!$C:$C,원생!$A127,수납!$D:$D,IF(원생!$G127="","",원생!$G127),수납!$B:$B,$B$1&amp;"-"&amp;TEXT(2,"00")&amp;"*",수납!$E:$E,""))</f>
        <v/>
      </c>
      <c r="E129" s="14">
        <f>IF(원생!$A127="","",SUMIFS(수납!$F:$F,수납!$C:$C,원생!$A127,수납!$D:$D,IF(원생!$G127="","",원생!$G127),수납!$B:$B,$B$1&amp;"-"&amp;TEXT(3,"00")&amp;"*",수납!$E:$E,"수강료")+SUMIFS(수납!$F:$F,수납!$C:$C,원생!$A127,수납!$D:$D,IF(원생!$G127="","",원생!$G127),수납!$B:$B,$B$1&amp;"-"&amp;TEXT(3,"00")&amp;"*",수납!$E:$E,""))</f>
        <v/>
      </c>
      <c r="F129" s="14">
        <f>IF(원생!$A127="","",SUMIFS(수납!$F:$F,수납!$C:$C,원생!$A127,수납!$D:$D,IF(원생!$G127="","",원생!$G127),수납!$B:$B,$B$1&amp;"-"&amp;TEXT(4,"00")&amp;"*",수납!$E:$E,"수강료")+SUMIFS(수납!$F:$F,수납!$C:$C,원생!$A127,수납!$D:$D,IF(원생!$G127="","",원생!$G127),수납!$B:$B,$B$1&amp;"-"&amp;TEXT(4,"00")&amp;"*",수납!$E:$E,""))</f>
        <v/>
      </c>
      <c r="G129" s="14">
        <f>IF(원생!$A127="","",SUMIFS(수납!$F:$F,수납!$C:$C,원생!$A127,수납!$D:$D,IF(원생!$G127="","",원생!$G127),수납!$B:$B,$B$1&amp;"-"&amp;TEXT(5,"00")&amp;"*",수납!$E:$E,"수강료")+SUMIFS(수납!$F:$F,수납!$C:$C,원생!$A127,수납!$D:$D,IF(원생!$G127="","",원생!$G127),수납!$B:$B,$B$1&amp;"-"&amp;TEXT(5,"00")&amp;"*",수납!$E:$E,""))</f>
        <v/>
      </c>
      <c r="H129" s="14">
        <f>IF(원생!$A127="","",SUMIFS(수납!$F:$F,수납!$C:$C,원생!$A127,수납!$D:$D,IF(원생!$G127="","",원생!$G127),수납!$B:$B,$B$1&amp;"-"&amp;TEXT(6,"00")&amp;"*",수납!$E:$E,"수강료")+SUMIFS(수납!$F:$F,수납!$C:$C,원생!$A127,수납!$D:$D,IF(원생!$G127="","",원생!$G127),수납!$B:$B,$B$1&amp;"-"&amp;TEXT(6,"00")&amp;"*",수납!$E:$E,""))</f>
        <v/>
      </c>
      <c r="I129" s="14">
        <f>IF(원생!$A127="","",SUMIFS(수납!$F:$F,수납!$C:$C,원생!$A127,수납!$D:$D,IF(원생!$G127="","",원생!$G127),수납!$B:$B,$B$1&amp;"-"&amp;TEXT(7,"00")&amp;"*",수납!$E:$E,"수강료")+SUMIFS(수납!$F:$F,수납!$C:$C,원생!$A127,수납!$D:$D,IF(원생!$G127="","",원생!$G127),수납!$B:$B,$B$1&amp;"-"&amp;TEXT(7,"00")&amp;"*",수납!$E:$E,""))</f>
        <v/>
      </c>
      <c r="J129" s="14">
        <f>IF(원생!$A127="","",SUMIFS(수납!$F:$F,수납!$C:$C,원생!$A127,수납!$D:$D,IF(원생!$G127="","",원생!$G127),수납!$B:$B,$B$1&amp;"-"&amp;TEXT(8,"00")&amp;"*",수납!$E:$E,"수강료")+SUMIFS(수납!$F:$F,수납!$C:$C,원생!$A127,수납!$D:$D,IF(원생!$G127="","",원생!$G127),수납!$B:$B,$B$1&amp;"-"&amp;TEXT(8,"00")&amp;"*",수납!$E:$E,""))</f>
        <v/>
      </c>
      <c r="K129" s="14">
        <f>IF(원생!$A127="","",SUMIFS(수납!$F:$F,수납!$C:$C,원생!$A127,수납!$D:$D,IF(원생!$G127="","",원생!$G127),수납!$B:$B,$B$1&amp;"-"&amp;TEXT(9,"00")&amp;"*",수납!$E:$E,"수강료")+SUMIFS(수납!$F:$F,수납!$C:$C,원생!$A127,수납!$D:$D,IF(원생!$G127="","",원생!$G127),수납!$B:$B,$B$1&amp;"-"&amp;TEXT(9,"00")&amp;"*",수납!$E:$E,""))</f>
        <v/>
      </c>
      <c r="L129" s="14">
        <f>IF(원생!$A127="","",SUMIFS(수납!$F:$F,수납!$C:$C,원생!$A127,수납!$D:$D,IF(원생!$G127="","",원생!$G127),수납!$B:$B,$B$1&amp;"-"&amp;TEXT(10,"00")&amp;"*",수납!$E:$E,"수강료")+SUMIFS(수납!$F:$F,수납!$C:$C,원생!$A127,수납!$D:$D,IF(원생!$G127="","",원생!$G127),수납!$B:$B,$B$1&amp;"-"&amp;TEXT(10,"00")&amp;"*",수납!$E:$E,""))</f>
        <v/>
      </c>
      <c r="M129" s="14">
        <f>IF(원생!$A127="","",SUMIFS(수납!$F:$F,수납!$C:$C,원생!$A127,수납!$D:$D,IF(원생!$G127="","",원생!$G127),수납!$B:$B,$B$1&amp;"-"&amp;TEXT(11,"00")&amp;"*",수납!$E:$E,"수강료")+SUMIFS(수납!$F:$F,수납!$C:$C,원생!$A127,수납!$D:$D,IF(원생!$G127="","",원생!$G127),수납!$B:$B,$B$1&amp;"-"&amp;TEXT(11,"00")&amp;"*",수납!$E:$E,""))</f>
        <v/>
      </c>
      <c r="N129" s="14">
        <f>IF(원생!$A127="","",SUMIFS(수납!$F:$F,수납!$C:$C,원생!$A127,수납!$D:$D,IF(원생!$G127="","",원생!$G127),수납!$B:$B,$B$1&amp;"-"&amp;TEXT(12,"00")&amp;"*",수납!$E:$E,"수강료")+SUMIFS(수납!$F:$F,수납!$C:$C,원생!$A127,수납!$D:$D,IF(원생!$G127="","",원생!$G127),수납!$B:$B,$B$1&amp;"-"&amp;TEXT(12,"00")&amp;"*",수납!$E:$E,""))</f>
        <v/>
      </c>
      <c r="O129">
        <f>IF(원생!$I127="","",원생!$I127)</f>
        <v/>
      </c>
      <c r="P129">
        <f>IF($A129="","",IF(AND($B129&gt;0,C129&lt;$B129,DATE($B$1,1,1)&lt;=TODAY(),OR($O129="",$O129&gt;=DATE($B$1,1,1)),OR(COUNTIF($C129:C129,"&gt;0")&gt;0,DATE($B$1,1,1)=DATE(YEAR(TODAY()),MONTH(TODAY()),1))),1,0))</f>
        <v/>
      </c>
      <c r="Q129">
        <f>IF($A129="","",IF(AND($B129&gt;0,D129&lt;$B129,DATE($B$1,2,1)&lt;=TODAY(),OR($O129="",$O129&gt;=DATE($B$1,2,1)),OR(COUNTIF($C129:D129,"&gt;0")&gt;0,DATE($B$1,2,1)=DATE(YEAR(TODAY()),MONTH(TODAY()),1))),1,0))</f>
        <v/>
      </c>
      <c r="R129">
        <f>IF($A129="","",IF(AND($B129&gt;0,E129&lt;$B129,DATE($B$1,3,1)&lt;=TODAY(),OR($O129="",$O129&gt;=DATE($B$1,3,1)),OR(COUNTIF($C129:E129,"&gt;0")&gt;0,DATE($B$1,3,1)=DATE(YEAR(TODAY()),MONTH(TODAY()),1))),1,0))</f>
        <v/>
      </c>
      <c r="S129">
        <f>IF($A129="","",IF(AND($B129&gt;0,F129&lt;$B129,DATE($B$1,4,1)&lt;=TODAY(),OR($O129="",$O129&gt;=DATE($B$1,4,1)),OR(COUNTIF($C129:F129,"&gt;0")&gt;0,DATE($B$1,4,1)=DATE(YEAR(TODAY()),MONTH(TODAY()),1))),1,0))</f>
        <v/>
      </c>
      <c r="T129">
        <f>IF($A129="","",IF(AND($B129&gt;0,G129&lt;$B129,DATE($B$1,5,1)&lt;=TODAY(),OR($O129="",$O129&gt;=DATE($B$1,5,1)),OR(COUNTIF($C129:G129,"&gt;0")&gt;0,DATE($B$1,5,1)=DATE(YEAR(TODAY()),MONTH(TODAY()),1))),1,0))</f>
        <v/>
      </c>
      <c r="U129">
        <f>IF($A129="","",IF(AND($B129&gt;0,H129&lt;$B129,DATE($B$1,6,1)&lt;=TODAY(),OR($O129="",$O129&gt;=DATE($B$1,6,1)),OR(COUNTIF($C129:H129,"&gt;0")&gt;0,DATE($B$1,6,1)=DATE(YEAR(TODAY()),MONTH(TODAY()),1))),1,0))</f>
        <v/>
      </c>
      <c r="V129">
        <f>IF($A129="","",IF(AND($B129&gt;0,I129&lt;$B129,DATE($B$1,7,1)&lt;=TODAY(),OR($O129="",$O129&gt;=DATE($B$1,7,1)),OR(COUNTIF($C129:I129,"&gt;0")&gt;0,DATE($B$1,7,1)=DATE(YEAR(TODAY()),MONTH(TODAY()),1))),1,0))</f>
        <v/>
      </c>
      <c r="W129">
        <f>IF($A129="","",IF(AND($B129&gt;0,J129&lt;$B129,DATE($B$1,8,1)&lt;=TODAY(),OR($O129="",$O129&gt;=DATE($B$1,8,1)),OR(COUNTIF($C129:J129,"&gt;0")&gt;0,DATE($B$1,8,1)=DATE(YEAR(TODAY()),MONTH(TODAY()),1))),1,0))</f>
        <v/>
      </c>
      <c r="X129">
        <f>IF($A129="","",IF(AND($B129&gt;0,K129&lt;$B129,DATE($B$1,9,1)&lt;=TODAY(),OR($O129="",$O129&gt;=DATE($B$1,9,1)),OR(COUNTIF($C129:K129,"&gt;0")&gt;0,DATE($B$1,9,1)=DATE(YEAR(TODAY()),MONTH(TODAY()),1))),1,0))</f>
        <v/>
      </c>
      <c r="Y129">
        <f>IF($A129="","",IF(AND($B129&gt;0,L129&lt;$B129,DATE($B$1,10,1)&lt;=TODAY(),OR($O129="",$O129&gt;=DATE($B$1,10,1)),OR(COUNTIF($C129:L129,"&gt;0")&gt;0,DATE($B$1,10,1)=DATE(YEAR(TODAY()),MONTH(TODAY()),1))),1,0))</f>
        <v/>
      </c>
      <c r="Z129">
        <f>IF($A129="","",IF(AND($B129&gt;0,M129&lt;$B129,DATE($B$1,11,1)&lt;=TODAY(),OR($O129="",$O129&gt;=DATE($B$1,11,1)),OR(COUNTIF($C129:M129,"&gt;0")&gt;0,DATE($B$1,11,1)=DATE(YEAR(TODAY()),MONTH(TODAY()),1))),1,0))</f>
        <v/>
      </c>
      <c r="AA129">
        <f>IF($A129="","",IF(AND($B129&gt;0,N129&lt;$B129,DATE($B$1,12,1)&lt;=TODAY(),OR($O129="",$O129&gt;=DATE($B$1,12,1)),OR(COUNTIF($C129:N129,"&gt;0")&gt;0,DATE($B$1,12,1)=DATE(YEAR(TODAY()),MONTH(TODAY()),1))),1,0))</f>
        <v/>
      </c>
    </row>
    <row r="130">
      <c r="A130" s="13">
        <f>IF(원생!$A128="","",원생!$A128&amp;IF(원생!$G128="",""," ("&amp;원생!$G128&amp;")"))</f>
        <v/>
      </c>
      <c r="B130" s="8">
        <f>IF(원생!$A128="","",원생!$F128)</f>
        <v/>
      </c>
      <c r="C130" s="14">
        <f>IF(원생!$A128="","",SUMIFS(수납!$F:$F,수납!$C:$C,원생!$A128,수납!$D:$D,IF(원생!$G128="","",원생!$G128),수납!$B:$B,$B$1&amp;"-"&amp;TEXT(1,"00")&amp;"*",수납!$E:$E,"수강료")+SUMIFS(수납!$F:$F,수납!$C:$C,원생!$A128,수납!$D:$D,IF(원생!$G128="","",원생!$G128),수납!$B:$B,$B$1&amp;"-"&amp;TEXT(1,"00")&amp;"*",수납!$E:$E,""))</f>
        <v/>
      </c>
      <c r="D130" s="14">
        <f>IF(원생!$A128="","",SUMIFS(수납!$F:$F,수납!$C:$C,원생!$A128,수납!$D:$D,IF(원생!$G128="","",원생!$G128),수납!$B:$B,$B$1&amp;"-"&amp;TEXT(2,"00")&amp;"*",수납!$E:$E,"수강료")+SUMIFS(수납!$F:$F,수납!$C:$C,원생!$A128,수납!$D:$D,IF(원생!$G128="","",원생!$G128),수납!$B:$B,$B$1&amp;"-"&amp;TEXT(2,"00")&amp;"*",수납!$E:$E,""))</f>
        <v/>
      </c>
      <c r="E130" s="14">
        <f>IF(원생!$A128="","",SUMIFS(수납!$F:$F,수납!$C:$C,원생!$A128,수납!$D:$D,IF(원생!$G128="","",원생!$G128),수납!$B:$B,$B$1&amp;"-"&amp;TEXT(3,"00")&amp;"*",수납!$E:$E,"수강료")+SUMIFS(수납!$F:$F,수납!$C:$C,원생!$A128,수납!$D:$D,IF(원생!$G128="","",원생!$G128),수납!$B:$B,$B$1&amp;"-"&amp;TEXT(3,"00")&amp;"*",수납!$E:$E,""))</f>
        <v/>
      </c>
      <c r="F130" s="14">
        <f>IF(원생!$A128="","",SUMIFS(수납!$F:$F,수납!$C:$C,원생!$A128,수납!$D:$D,IF(원생!$G128="","",원생!$G128),수납!$B:$B,$B$1&amp;"-"&amp;TEXT(4,"00")&amp;"*",수납!$E:$E,"수강료")+SUMIFS(수납!$F:$F,수납!$C:$C,원생!$A128,수납!$D:$D,IF(원생!$G128="","",원생!$G128),수납!$B:$B,$B$1&amp;"-"&amp;TEXT(4,"00")&amp;"*",수납!$E:$E,""))</f>
        <v/>
      </c>
      <c r="G130" s="14">
        <f>IF(원생!$A128="","",SUMIFS(수납!$F:$F,수납!$C:$C,원생!$A128,수납!$D:$D,IF(원생!$G128="","",원생!$G128),수납!$B:$B,$B$1&amp;"-"&amp;TEXT(5,"00")&amp;"*",수납!$E:$E,"수강료")+SUMIFS(수납!$F:$F,수납!$C:$C,원생!$A128,수납!$D:$D,IF(원생!$G128="","",원생!$G128),수납!$B:$B,$B$1&amp;"-"&amp;TEXT(5,"00")&amp;"*",수납!$E:$E,""))</f>
        <v/>
      </c>
      <c r="H130" s="14">
        <f>IF(원생!$A128="","",SUMIFS(수납!$F:$F,수납!$C:$C,원생!$A128,수납!$D:$D,IF(원생!$G128="","",원생!$G128),수납!$B:$B,$B$1&amp;"-"&amp;TEXT(6,"00")&amp;"*",수납!$E:$E,"수강료")+SUMIFS(수납!$F:$F,수납!$C:$C,원생!$A128,수납!$D:$D,IF(원생!$G128="","",원생!$G128),수납!$B:$B,$B$1&amp;"-"&amp;TEXT(6,"00")&amp;"*",수납!$E:$E,""))</f>
        <v/>
      </c>
      <c r="I130" s="14">
        <f>IF(원생!$A128="","",SUMIFS(수납!$F:$F,수납!$C:$C,원생!$A128,수납!$D:$D,IF(원생!$G128="","",원생!$G128),수납!$B:$B,$B$1&amp;"-"&amp;TEXT(7,"00")&amp;"*",수납!$E:$E,"수강료")+SUMIFS(수납!$F:$F,수납!$C:$C,원생!$A128,수납!$D:$D,IF(원생!$G128="","",원생!$G128),수납!$B:$B,$B$1&amp;"-"&amp;TEXT(7,"00")&amp;"*",수납!$E:$E,""))</f>
        <v/>
      </c>
      <c r="J130" s="14">
        <f>IF(원생!$A128="","",SUMIFS(수납!$F:$F,수납!$C:$C,원생!$A128,수납!$D:$D,IF(원생!$G128="","",원생!$G128),수납!$B:$B,$B$1&amp;"-"&amp;TEXT(8,"00")&amp;"*",수납!$E:$E,"수강료")+SUMIFS(수납!$F:$F,수납!$C:$C,원생!$A128,수납!$D:$D,IF(원생!$G128="","",원생!$G128),수납!$B:$B,$B$1&amp;"-"&amp;TEXT(8,"00")&amp;"*",수납!$E:$E,""))</f>
        <v/>
      </c>
      <c r="K130" s="14">
        <f>IF(원생!$A128="","",SUMIFS(수납!$F:$F,수납!$C:$C,원생!$A128,수납!$D:$D,IF(원생!$G128="","",원생!$G128),수납!$B:$B,$B$1&amp;"-"&amp;TEXT(9,"00")&amp;"*",수납!$E:$E,"수강료")+SUMIFS(수납!$F:$F,수납!$C:$C,원생!$A128,수납!$D:$D,IF(원생!$G128="","",원생!$G128),수납!$B:$B,$B$1&amp;"-"&amp;TEXT(9,"00")&amp;"*",수납!$E:$E,""))</f>
        <v/>
      </c>
      <c r="L130" s="14">
        <f>IF(원생!$A128="","",SUMIFS(수납!$F:$F,수납!$C:$C,원생!$A128,수납!$D:$D,IF(원생!$G128="","",원생!$G128),수납!$B:$B,$B$1&amp;"-"&amp;TEXT(10,"00")&amp;"*",수납!$E:$E,"수강료")+SUMIFS(수납!$F:$F,수납!$C:$C,원생!$A128,수납!$D:$D,IF(원생!$G128="","",원생!$G128),수납!$B:$B,$B$1&amp;"-"&amp;TEXT(10,"00")&amp;"*",수납!$E:$E,""))</f>
        <v/>
      </c>
      <c r="M130" s="14">
        <f>IF(원생!$A128="","",SUMIFS(수납!$F:$F,수납!$C:$C,원생!$A128,수납!$D:$D,IF(원생!$G128="","",원생!$G128),수납!$B:$B,$B$1&amp;"-"&amp;TEXT(11,"00")&amp;"*",수납!$E:$E,"수강료")+SUMIFS(수납!$F:$F,수납!$C:$C,원생!$A128,수납!$D:$D,IF(원생!$G128="","",원생!$G128),수납!$B:$B,$B$1&amp;"-"&amp;TEXT(11,"00")&amp;"*",수납!$E:$E,""))</f>
        <v/>
      </c>
      <c r="N130" s="14">
        <f>IF(원생!$A128="","",SUMIFS(수납!$F:$F,수납!$C:$C,원생!$A128,수납!$D:$D,IF(원생!$G128="","",원생!$G128),수납!$B:$B,$B$1&amp;"-"&amp;TEXT(12,"00")&amp;"*",수납!$E:$E,"수강료")+SUMIFS(수납!$F:$F,수납!$C:$C,원생!$A128,수납!$D:$D,IF(원생!$G128="","",원생!$G128),수납!$B:$B,$B$1&amp;"-"&amp;TEXT(12,"00")&amp;"*",수납!$E:$E,""))</f>
        <v/>
      </c>
      <c r="O130">
        <f>IF(원생!$I128="","",원생!$I128)</f>
        <v/>
      </c>
      <c r="P130">
        <f>IF($A130="","",IF(AND($B130&gt;0,C130&lt;$B130,DATE($B$1,1,1)&lt;=TODAY(),OR($O130="",$O130&gt;=DATE($B$1,1,1)),OR(COUNTIF($C130:C130,"&gt;0")&gt;0,DATE($B$1,1,1)=DATE(YEAR(TODAY()),MONTH(TODAY()),1))),1,0))</f>
        <v/>
      </c>
      <c r="Q130">
        <f>IF($A130="","",IF(AND($B130&gt;0,D130&lt;$B130,DATE($B$1,2,1)&lt;=TODAY(),OR($O130="",$O130&gt;=DATE($B$1,2,1)),OR(COUNTIF($C130:D130,"&gt;0")&gt;0,DATE($B$1,2,1)=DATE(YEAR(TODAY()),MONTH(TODAY()),1))),1,0))</f>
        <v/>
      </c>
      <c r="R130">
        <f>IF($A130="","",IF(AND($B130&gt;0,E130&lt;$B130,DATE($B$1,3,1)&lt;=TODAY(),OR($O130="",$O130&gt;=DATE($B$1,3,1)),OR(COUNTIF($C130:E130,"&gt;0")&gt;0,DATE($B$1,3,1)=DATE(YEAR(TODAY()),MONTH(TODAY()),1))),1,0))</f>
        <v/>
      </c>
      <c r="S130">
        <f>IF($A130="","",IF(AND($B130&gt;0,F130&lt;$B130,DATE($B$1,4,1)&lt;=TODAY(),OR($O130="",$O130&gt;=DATE($B$1,4,1)),OR(COUNTIF($C130:F130,"&gt;0")&gt;0,DATE($B$1,4,1)=DATE(YEAR(TODAY()),MONTH(TODAY()),1))),1,0))</f>
        <v/>
      </c>
      <c r="T130">
        <f>IF($A130="","",IF(AND($B130&gt;0,G130&lt;$B130,DATE($B$1,5,1)&lt;=TODAY(),OR($O130="",$O130&gt;=DATE($B$1,5,1)),OR(COUNTIF($C130:G130,"&gt;0")&gt;0,DATE($B$1,5,1)=DATE(YEAR(TODAY()),MONTH(TODAY()),1))),1,0))</f>
        <v/>
      </c>
      <c r="U130">
        <f>IF($A130="","",IF(AND($B130&gt;0,H130&lt;$B130,DATE($B$1,6,1)&lt;=TODAY(),OR($O130="",$O130&gt;=DATE($B$1,6,1)),OR(COUNTIF($C130:H130,"&gt;0")&gt;0,DATE($B$1,6,1)=DATE(YEAR(TODAY()),MONTH(TODAY()),1))),1,0))</f>
        <v/>
      </c>
      <c r="V130">
        <f>IF($A130="","",IF(AND($B130&gt;0,I130&lt;$B130,DATE($B$1,7,1)&lt;=TODAY(),OR($O130="",$O130&gt;=DATE($B$1,7,1)),OR(COUNTIF($C130:I130,"&gt;0")&gt;0,DATE($B$1,7,1)=DATE(YEAR(TODAY()),MONTH(TODAY()),1))),1,0))</f>
        <v/>
      </c>
      <c r="W130">
        <f>IF($A130="","",IF(AND($B130&gt;0,J130&lt;$B130,DATE($B$1,8,1)&lt;=TODAY(),OR($O130="",$O130&gt;=DATE($B$1,8,1)),OR(COUNTIF($C130:J130,"&gt;0")&gt;0,DATE($B$1,8,1)=DATE(YEAR(TODAY()),MONTH(TODAY()),1))),1,0))</f>
        <v/>
      </c>
      <c r="X130">
        <f>IF($A130="","",IF(AND($B130&gt;0,K130&lt;$B130,DATE($B$1,9,1)&lt;=TODAY(),OR($O130="",$O130&gt;=DATE($B$1,9,1)),OR(COUNTIF($C130:K130,"&gt;0")&gt;0,DATE($B$1,9,1)=DATE(YEAR(TODAY()),MONTH(TODAY()),1))),1,0))</f>
        <v/>
      </c>
      <c r="Y130">
        <f>IF($A130="","",IF(AND($B130&gt;0,L130&lt;$B130,DATE($B$1,10,1)&lt;=TODAY(),OR($O130="",$O130&gt;=DATE($B$1,10,1)),OR(COUNTIF($C130:L130,"&gt;0")&gt;0,DATE($B$1,10,1)=DATE(YEAR(TODAY()),MONTH(TODAY()),1))),1,0))</f>
        <v/>
      </c>
      <c r="Z130">
        <f>IF($A130="","",IF(AND($B130&gt;0,M130&lt;$B130,DATE($B$1,11,1)&lt;=TODAY(),OR($O130="",$O130&gt;=DATE($B$1,11,1)),OR(COUNTIF($C130:M130,"&gt;0")&gt;0,DATE($B$1,11,1)=DATE(YEAR(TODAY()),MONTH(TODAY()),1))),1,0))</f>
        <v/>
      </c>
      <c r="AA130">
        <f>IF($A130="","",IF(AND($B130&gt;0,N130&lt;$B130,DATE($B$1,12,1)&lt;=TODAY(),OR($O130="",$O130&gt;=DATE($B$1,12,1)),OR(COUNTIF($C130:N130,"&gt;0")&gt;0,DATE($B$1,12,1)=DATE(YEAR(TODAY()),MONTH(TODAY()),1))),1,0))</f>
        <v/>
      </c>
    </row>
    <row r="131">
      <c r="A131" s="13">
        <f>IF(원생!$A129="","",원생!$A129&amp;IF(원생!$G129="",""," ("&amp;원생!$G129&amp;")"))</f>
        <v/>
      </c>
      <c r="B131" s="8">
        <f>IF(원생!$A129="","",원생!$F129)</f>
        <v/>
      </c>
      <c r="C131" s="14">
        <f>IF(원생!$A129="","",SUMIFS(수납!$F:$F,수납!$C:$C,원생!$A129,수납!$D:$D,IF(원생!$G129="","",원생!$G129),수납!$B:$B,$B$1&amp;"-"&amp;TEXT(1,"00")&amp;"*",수납!$E:$E,"수강료")+SUMIFS(수납!$F:$F,수납!$C:$C,원생!$A129,수납!$D:$D,IF(원생!$G129="","",원생!$G129),수납!$B:$B,$B$1&amp;"-"&amp;TEXT(1,"00")&amp;"*",수납!$E:$E,""))</f>
        <v/>
      </c>
      <c r="D131" s="14">
        <f>IF(원생!$A129="","",SUMIFS(수납!$F:$F,수납!$C:$C,원생!$A129,수납!$D:$D,IF(원생!$G129="","",원생!$G129),수납!$B:$B,$B$1&amp;"-"&amp;TEXT(2,"00")&amp;"*",수납!$E:$E,"수강료")+SUMIFS(수납!$F:$F,수납!$C:$C,원생!$A129,수납!$D:$D,IF(원생!$G129="","",원생!$G129),수납!$B:$B,$B$1&amp;"-"&amp;TEXT(2,"00")&amp;"*",수납!$E:$E,""))</f>
        <v/>
      </c>
      <c r="E131" s="14">
        <f>IF(원생!$A129="","",SUMIFS(수납!$F:$F,수납!$C:$C,원생!$A129,수납!$D:$D,IF(원생!$G129="","",원생!$G129),수납!$B:$B,$B$1&amp;"-"&amp;TEXT(3,"00")&amp;"*",수납!$E:$E,"수강료")+SUMIFS(수납!$F:$F,수납!$C:$C,원생!$A129,수납!$D:$D,IF(원생!$G129="","",원생!$G129),수납!$B:$B,$B$1&amp;"-"&amp;TEXT(3,"00")&amp;"*",수납!$E:$E,""))</f>
        <v/>
      </c>
      <c r="F131" s="14">
        <f>IF(원생!$A129="","",SUMIFS(수납!$F:$F,수납!$C:$C,원생!$A129,수납!$D:$D,IF(원생!$G129="","",원생!$G129),수납!$B:$B,$B$1&amp;"-"&amp;TEXT(4,"00")&amp;"*",수납!$E:$E,"수강료")+SUMIFS(수납!$F:$F,수납!$C:$C,원생!$A129,수납!$D:$D,IF(원생!$G129="","",원생!$G129),수납!$B:$B,$B$1&amp;"-"&amp;TEXT(4,"00")&amp;"*",수납!$E:$E,""))</f>
        <v/>
      </c>
      <c r="G131" s="14">
        <f>IF(원생!$A129="","",SUMIFS(수납!$F:$F,수납!$C:$C,원생!$A129,수납!$D:$D,IF(원생!$G129="","",원생!$G129),수납!$B:$B,$B$1&amp;"-"&amp;TEXT(5,"00")&amp;"*",수납!$E:$E,"수강료")+SUMIFS(수납!$F:$F,수납!$C:$C,원생!$A129,수납!$D:$D,IF(원생!$G129="","",원생!$G129),수납!$B:$B,$B$1&amp;"-"&amp;TEXT(5,"00")&amp;"*",수납!$E:$E,""))</f>
        <v/>
      </c>
      <c r="H131" s="14">
        <f>IF(원생!$A129="","",SUMIFS(수납!$F:$F,수납!$C:$C,원생!$A129,수납!$D:$D,IF(원생!$G129="","",원생!$G129),수납!$B:$B,$B$1&amp;"-"&amp;TEXT(6,"00")&amp;"*",수납!$E:$E,"수강료")+SUMIFS(수납!$F:$F,수납!$C:$C,원생!$A129,수납!$D:$D,IF(원생!$G129="","",원생!$G129),수납!$B:$B,$B$1&amp;"-"&amp;TEXT(6,"00")&amp;"*",수납!$E:$E,""))</f>
        <v/>
      </c>
      <c r="I131" s="14">
        <f>IF(원생!$A129="","",SUMIFS(수납!$F:$F,수납!$C:$C,원생!$A129,수납!$D:$D,IF(원생!$G129="","",원생!$G129),수납!$B:$B,$B$1&amp;"-"&amp;TEXT(7,"00")&amp;"*",수납!$E:$E,"수강료")+SUMIFS(수납!$F:$F,수납!$C:$C,원생!$A129,수납!$D:$D,IF(원생!$G129="","",원생!$G129),수납!$B:$B,$B$1&amp;"-"&amp;TEXT(7,"00")&amp;"*",수납!$E:$E,""))</f>
        <v/>
      </c>
      <c r="J131" s="14">
        <f>IF(원생!$A129="","",SUMIFS(수납!$F:$F,수납!$C:$C,원생!$A129,수납!$D:$D,IF(원생!$G129="","",원생!$G129),수납!$B:$B,$B$1&amp;"-"&amp;TEXT(8,"00")&amp;"*",수납!$E:$E,"수강료")+SUMIFS(수납!$F:$F,수납!$C:$C,원생!$A129,수납!$D:$D,IF(원생!$G129="","",원생!$G129),수납!$B:$B,$B$1&amp;"-"&amp;TEXT(8,"00")&amp;"*",수납!$E:$E,""))</f>
        <v/>
      </c>
      <c r="K131" s="14">
        <f>IF(원생!$A129="","",SUMIFS(수납!$F:$F,수납!$C:$C,원생!$A129,수납!$D:$D,IF(원생!$G129="","",원생!$G129),수납!$B:$B,$B$1&amp;"-"&amp;TEXT(9,"00")&amp;"*",수납!$E:$E,"수강료")+SUMIFS(수납!$F:$F,수납!$C:$C,원생!$A129,수납!$D:$D,IF(원생!$G129="","",원생!$G129),수납!$B:$B,$B$1&amp;"-"&amp;TEXT(9,"00")&amp;"*",수납!$E:$E,""))</f>
        <v/>
      </c>
      <c r="L131" s="14">
        <f>IF(원생!$A129="","",SUMIFS(수납!$F:$F,수납!$C:$C,원생!$A129,수납!$D:$D,IF(원생!$G129="","",원생!$G129),수납!$B:$B,$B$1&amp;"-"&amp;TEXT(10,"00")&amp;"*",수납!$E:$E,"수강료")+SUMIFS(수납!$F:$F,수납!$C:$C,원생!$A129,수납!$D:$D,IF(원생!$G129="","",원생!$G129),수납!$B:$B,$B$1&amp;"-"&amp;TEXT(10,"00")&amp;"*",수납!$E:$E,""))</f>
        <v/>
      </c>
      <c r="M131" s="14">
        <f>IF(원생!$A129="","",SUMIFS(수납!$F:$F,수납!$C:$C,원생!$A129,수납!$D:$D,IF(원생!$G129="","",원생!$G129),수납!$B:$B,$B$1&amp;"-"&amp;TEXT(11,"00")&amp;"*",수납!$E:$E,"수강료")+SUMIFS(수납!$F:$F,수납!$C:$C,원생!$A129,수납!$D:$D,IF(원생!$G129="","",원생!$G129),수납!$B:$B,$B$1&amp;"-"&amp;TEXT(11,"00")&amp;"*",수납!$E:$E,""))</f>
        <v/>
      </c>
      <c r="N131" s="14">
        <f>IF(원생!$A129="","",SUMIFS(수납!$F:$F,수납!$C:$C,원생!$A129,수납!$D:$D,IF(원생!$G129="","",원생!$G129),수납!$B:$B,$B$1&amp;"-"&amp;TEXT(12,"00")&amp;"*",수납!$E:$E,"수강료")+SUMIFS(수납!$F:$F,수납!$C:$C,원생!$A129,수납!$D:$D,IF(원생!$G129="","",원생!$G129),수납!$B:$B,$B$1&amp;"-"&amp;TEXT(12,"00")&amp;"*",수납!$E:$E,""))</f>
        <v/>
      </c>
      <c r="O131">
        <f>IF(원생!$I129="","",원생!$I129)</f>
        <v/>
      </c>
      <c r="P131">
        <f>IF($A131="","",IF(AND($B131&gt;0,C131&lt;$B131,DATE($B$1,1,1)&lt;=TODAY(),OR($O131="",$O131&gt;=DATE($B$1,1,1)),OR(COUNTIF($C131:C131,"&gt;0")&gt;0,DATE($B$1,1,1)=DATE(YEAR(TODAY()),MONTH(TODAY()),1))),1,0))</f>
        <v/>
      </c>
      <c r="Q131">
        <f>IF($A131="","",IF(AND($B131&gt;0,D131&lt;$B131,DATE($B$1,2,1)&lt;=TODAY(),OR($O131="",$O131&gt;=DATE($B$1,2,1)),OR(COUNTIF($C131:D131,"&gt;0")&gt;0,DATE($B$1,2,1)=DATE(YEAR(TODAY()),MONTH(TODAY()),1))),1,0))</f>
        <v/>
      </c>
      <c r="R131">
        <f>IF($A131="","",IF(AND($B131&gt;0,E131&lt;$B131,DATE($B$1,3,1)&lt;=TODAY(),OR($O131="",$O131&gt;=DATE($B$1,3,1)),OR(COUNTIF($C131:E131,"&gt;0")&gt;0,DATE($B$1,3,1)=DATE(YEAR(TODAY()),MONTH(TODAY()),1))),1,0))</f>
        <v/>
      </c>
      <c r="S131">
        <f>IF($A131="","",IF(AND($B131&gt;0,F131&lt;$B131,DATE($B$1,4,1)&lt;=TODAY(),OR($O131="",$O131&gt;=DATE($B$1,4,1)),OR(COUNTIF($C131:F131,"&gt;0")&gt;0,DATE($B$1,4,1)=DATE(YEAR(TODAY()),MONTH(TODAY()),1))),1,0))</f>
        <v/>
      </c>
      <c r="T131">
        <f>IF($A131="","",IF(AND($B131&gt;0,G131&lt;$B131,DATE($B$1,5,1)&lt;=TODAY(),OR($O131="",$O131&gt;=DATE($B$1,5,1)),OR(COUNTIF($C131:G131,"&gt;0")&gt;0,DATE($B$1,5,1)=DATE(YEAR(TODAY()),MONTH(TODAY()),1))),1,0))</f>
        <v/>
      </c>
      <c r="U131">
        <f>IF($A131="","",IF(AND($B131&gt;0,H131&lt;$B131,DATE($B$1,6,1)&lt;=TODAY(),OR($O131="",$O131&gt;=DATE($B$1,6,1)),OR(COUNTIF($C131:H131,"&gt;0")&gt;0,DATE($B$1,6,1)=DATE(YEAR(TODAY()),MONTH(TODAY()),1))),1,0))</f>
        <v/>
      </c>
      <c r="V131">
        <f>IF($A131="","",IF(AND($B131&gt;0,I131&lt;$B131,DATE($B$1,7,1)&lt;=TODAY(),OR($O131="",$O131&gt;=DATE($B$1,7,1)),OR(COUNTIF($C131:I131,"&gt;0")&gt;0,DATE($B$1,7,1)=DATE(YEAR(TODAY()),MONTH(TODAY()),1))),1,0))</f>
        <v/>
      </c>
      <c r="W131">
        <f>IF($A131="","",IF(AND($B131&gt;0,J131&lt;$B131,DATE($B$1,8,1)&lt;=TODAY(),OR($O131="",$O131&gt;=DATE($B$1,8,1)),OR(COUNTIF($C131:J131,"&gt;0")&gt;0,DATE($B$1,8,1)=DATE(YEAR(TODAY()),MONTH(TODAY()),1))),1,0))</f>
        <v/>
      </c>
      <c r="X131">
        <f>IF($A131="","",IF(AND($B131&gt;0,K131&lt;$B131,DATE($B$1,9,1)&lt;=TODAY(),OR($O131="",$O131&gt;=DATE($B$1,9,1)),OR(COUNTIF($C131:K131,"&gt;0")&gt;0,DATE($B$1,9,1)=DATE(YEAR(TODAY()),MONTH(TODAY()),1))),1,0))</f>
        <v/>
      </c>
      <c r="Y131">
        <f>IF($A131="","",IF(AND($B131&gt;0,L131&lt;$B131,DATE($B$1,10,1)&lt;=TODAY(),OR($O131="",$O131&gt;=DATE($B$1,10,1)),OR(COUNTIF($C131:L131,"&gt;0")&gt;0,DATE($B$1,10,1)=DATE(YEAR(TODAY()),MONTH(TODAY()),1))),1,0))</f>
        <v/>
      </c>
      <c r="Z131">
        <f>IF($A131="","",IF(AND($B131&gt;0,M131&lt;$B131,DATE($B$1,11,1)&lt;=TODAY(),OR($O131="",$O131&gt;=DATE($B$1,11,1)),OR(COUNTIF($C131:M131,"&gt;0")&gt;0,DATE($B$1,11,1)=DATE(YEAR(TODAY()),MONTH(TODAY()),1))),1,0))</f>
        <v/>
      </c>
      <c r="AA131">
        <f>IF($A131="","",IF(AND($B131&gt;0,N131&lt;$B131,DATE($B$1,12,1)&lt;=TODAY(),OR($O131="",$O131&gt;=DATE($B$1,12,1)),OR(COUNTIF($C131:N131,"&gt;0")&gt;0,DATE($B$1,12,1)=DATE(YEAR(TODAY()),MONTH(TODAY()),1))),1,0))</f>
        <v/>
      </c>
    </row>
    <row r="132">
      <c r="A132" s="13">
        <f>IF(원생!$A130="","",원생!$A130&amp;IF(원생!$G130="",""," ("&amp;원생!$G130&amp;")"))</f>
        <v/>
      </c>
      <c r="B132" s="8">
        <f>IF(원생!$A130="","",원생!$F130)</f>
        <v/>
      </c>
      <c r="C132" s="14">
        <f>IF(원생!$A130="","",SUMIFS(수납!$F:$F,수납!$C:$C,원생!$A130,수납!$D:$D,IF(원생!$G130="","",원생!$G130),수납!$B:$B,$B$1&amp;"-"&amp;TEXT(1,"00")&amp;"*",수납!$E:$E,"수강료")+SUMIFS(수납!$F:$F,수납!$C:$C,원생!$A130,수납!$D:$D,IF(원생!$G130="","",원생!$G130),수납!$B:$B,$B$1&amp;"-"&amp;TEXT(1,"00")&amp;"*",수납!$E:$E,""))</f>
        <v/>
      </c>
      <c r="D132" s="14">
        <f>IF(원생!$A130="","",SUMIFS(수납!$F:$F,수납!$C:$C,원생!$A130,수납!$D:$D,IF(원생!$G130="","",원생!$G130),수납!$B:$B,$B$1&amp;"-"&amp;TEXT(2,"00")&amp;"*",수납!$E:$E,"수강료")+SUMIFS(수납!$F:$F,수납!$C:$C,원생!$A130,수납!$D:$D,IF(원생!$G130="","",원생!$G130),수납!$B:$B,$B$1&amp;"-"&amp;TEXT(2,"00")&amp;"*",수납!$E:$E,""))</f>
        <v/>
      </c>
      <c r="E132" s="14">
        <f>IF(원생!$A130="","",SUMIFS(수납!$F:$F,수납!$C:$C,원생!$A130,수납!$D:$D,IF(원생!$G130="","",원생!$G130),수납!$B:$B,$B$1&amp;"-"&amp;TEXT(3,"00")&amp;"*",수납!$E:$E,"수강료")+SUMIFS(수납!$F:$F,수납!$C:$C,원생!$A130,수납!$D:$D,IF(원생!$G130="","",원생!$G130),수납!$B:$B,$B$1&amp;"-"&amp;TEXT(3,"00")&amp;"*",수납!$E:$E,""))</f>
        <v/>
      </c>
      <c r="F132" s="14">
        <f>IF(원생!$A130="","",SUMIFS(수납!$F:$F,수납!$C:$C,원생!$A130,수납!$D:$D,IF(원생!$G130="","",원생!$G130),수납!$B:$B,$B$1&amp;"-"&amp;TEXT(4,"00")&amp;"*",수납!$E:$E,"수강료")+SUMIFS(수납!$F:$F,수납!$C:$C,원생!$A130,수납!$D:$D,IF(원생!$G130="","",원생!$G130),수납!$B:$B,$B$1&amp;"-"&amp;TEXT(4,"00")&amp;"*",수납!$E:$E,""))</f>
        <v/>
      </c>
      <c r="G132" s="14">
        <f>IF(원생!$A130="","",SUMIFS(수납!$F:$F,수납!$C:$C,원생!$A130,수납!$D:$D,IF(원생!$G130="","",원생!$G130),수납!$B:$B,$B$1&amp;"-"&amp;TEXT(5,"00")&amp;"*",수납!$E:$E,"수강료")+SUMIFS(수납!$F:$F,수납!$C:$C,원생!$A130,수납!$D:$D,IF(원생!$G130="","",원생!$G130),수납!$B:$B,$B$1&amp;"-"&amp;TEXT(5,"00")&amp;"*",수납!$E:$E,""))</f>
        <v/>
      </c>
      <c r="H132" s="14">
        <f>IF(원생!$A130="","",SUMIFS(수납!$F:$F,수납!$C:$C,원생!$A130,수납!$D:$D,IF(원생!$G130="","",원생!$G130),수납!$B:$B,$B$1&amp;"-"&amp;TEXT(6,"00")&amp;"*",수납!$E:$E,"수강료")+SUMIFS(수납!$F:$F,수납!$C:$C,원생!$A130,수납!$D:$D,IF(원생!$G130="","",원생!$G130),수납!$B:$B,$B$1&amp;"-"&amp;TEXT(6,"00")&amp;"*",수납!$E:$E,""))</f>
        <v/>
      </c>
      <c r="I132" s="14">
        <f>IF(원생!$A130="","",SUMIFS(수납!$F:$F,수납!$C:$C,원생!$A130,수납!$D:$D,IF(원생!$G130="","",원생!$G130),수납!$B:$B,$B$1&amp;"-"&amp;TEXT(7,"00")&amp;"*",수납!$E:$E,"수강료")+SUMIFS(수납!$F:$F,수납!$C:$C,원생!$A130,수납!$D:$D,IF(원생!$G130="","",원생!$G130),수납!$B:$B,$B$1&amp;"-"&amp;TEXT(7,"00")&amp;"*",수납!$E:$E,""))</f>
        <v/>
      </c>
      <c r="J132" s="14">
        <f>IF(원생!$A130="","",SUMIFS(수납!$F:$F,수납!$C:$C,원생!$A130,수납!$D:$D,IF(원생!$G130="","",원생!$G130),수납!$B:$B,$B$1&amp;"-"&amp;TEXT(8,"00")&amp;"*",수납!$E:$E,"수강료")+SUMIFS(수납!$F:$F,수납!$C:$C,원생!$A130,수납!$D:$D,IF(원생!$G130="","",원생!$G130),수납!$B:$B,$B$1&amp;"-"&amp;TEXT(8,"00")&amp;"*",수납!$E:$E,""))</f>
        <v/>
      </c>
      <c r="K132" s="14">
        <f>IF(원생!$A130="","",SUMIFS(수납!$F:$F,수납!$C:$C,원생!$A130,수납!$D:$D,IF(원생!$G130="","",원생!$G130),수납!$B:$B,$B$1&amp;"-"&amp;TEXT(9,"00")&amp;"*",수납!$E:$E,"수강료")+SUMIFS(수납!$F:$F,수납!$C:$C,원생!$A130,수납!$D:$D,IF(원생!$G130="","",원생!$G130),수납!$B:$B,$B$1&amp;"-"&amp;TEXT(9,"00")&amp;"*",수납!$E:$E,""))</f>
        <v/>
      </c>
      <c r="L132" s="14">
        <f>IF(원생!$A130="","",SUMIFS(수납!$F:$F,수납!$C:$C,원생!$A130,수납!$D:$D,IF(원생!$G130="","",원생!$G130),수납!$B:$B,$B$1&amp;"-"&amp;TEXT(10,"00")&amp;"*",수납!$E:$E,"수강료")+SUMIFS(수납!$F:$F,수납!$C:$C,원생!$A130,수납!$D:$D,IF(원생!$G130="","",원생!$G130),수납!$B:$B,$B$1&amp;"-"&amp;TEXT(10,"00")&amp;"*",수납!$E:$E,""))</f>
        <v/>
      </c>
      <c r="M132" s="14">
        <f>IF(원생!$A130="","",SUMIFS(수납!$F:$F,수납!$C:$C,원생!$A130,수납!$D:$D,IF(원생!$G130="","",원생!$G130),수납!$B:$B,$B$1&amp;"-"&amp;TEXT(11,"00")&amp;"*",수납!$E:$E,"수강료")+SUMIFS(수납!$F:$F,수납!$C:$C,원생!$A130,수납!$D:$D,IF(원생!$G130="","",원생!$G130),수납!$B:$B,$B$1&amp;"-"&amp;TEXT(11,"00")&amp;"*",수납!$E:$E,""))</f>
        <v/>
      </c>
      <c r="N132" s="14">
        <f>IF(원생!$A130="","",SUMIFS(수납!$F:$F,수납!$C:$C,원생!$A130,수납!$D:$D,IF(원생!$G130="","",원생!$G130),수납!$B:$B,$B$1&amp;"-"&amp;TEXT(12,"00")&amp;"*",수납!$E:$E,"수강료")+SUMIFS(수납!$F:$F,수납!$C:$C,원생!$A130,수납!$D:$D,IF(원생!$G130="","",원생!$G130),수납!$B:$B,$B$1&amp;"-"&amp;TEXT(12,"00")&amp;"*",수납!$E:$E,""))</f>
        <v/>
      </c>
      <c r="O132">
        <f>IF(원생!$I130="","",원생!$I130)</f>
        <v/>
      </c>
      <c r="P132">
        <f>IF($A132="","",IF(AND($B132&gt;0,C132&lt;$B132,DATE($B$1,1,1)&lt;=TODAY(),OR($O132="",$O132&gt;=DATE($B$1,1,1)),OR(COUNTIF($C132:C132,"&gt;0")&gt;0,DATE($B$1,1,1)=DATE(YEAR(TODAY()),MONTH(TODAY()),1))),1,0))</f>
        <v/>
      </c>
      <c r="Q132">
        <f>IF($A132="","",IF(AND($B132&gt;0,D132&lt;$B132,DATE($B$1,2,1)&lt;=TODAY(),OR($O132="",$O132&gt;=DATE($B$1,2,1)),OR(COUNTIF($C132:D132,"&gt;0")&gt;0,DATE($B$1,2,1)=DATE(YEAR(TODAY()),MONTH(TODAY()),1))),1,0))</f>
        <v/>
      </c>
      <c r="R132">
        <f>IF($A132="","",IF(AND($B132&gt;0,E132&lt;$B132,DATE($B$1,3,1)&lt;=TODAY(),OR($O132="",$O132&gt;=DATE($B$1,3,1)),OR(COUNTIF($C132:E132,"&gt;0")&gt;0,DATE($B$1,3,1)=DATE(YEAR(TODAY()),MONTH(TODAY()),1))),1,0))</f>
        <v/>
      </c>
      <c r="S132">
        <f>IF($A132="","",IF(AND($B132&gt;0,F132&lt;$B132,DATE($B$1,4,1)&lt;=TODAY(),OR($O132="",$O132&gt;=DATE($B$1,4,1)),OR(COUNTIF($C132:F132,"&gt;0")&gt;0,DATE($B$1,4,1)=DATE(YEAR(TODAY()),MONTH(TODAY()),1))),1,0))</f>
        <v/>
      </c>
      <c r="T132">
        <f>IF($A132="","",IF(AND($B132&gt;0,G132&lt;$B132,DATE($B$1,5,1)&lt;=TODAY(),OR($O132="",$O132&gt;=DATE($B$1,5,1)),OR(COUNTIF($C132:G132,"&gt;0")&gt;0,DATE($B$1,5,1)=DATE(YEAR(TODAY()),MONTH(TODAY()),1))),1,0))</f>
        <v/>
      </c>
      <c r="U132">
        <f>IF($A132="","",IF(AND($B132&gt;0,H132&lt;$B132,DATE($B$1,6,1)&lt;=TODAY(),OR($O132="",$O132&gt;=DATE($B$1,6,1)),OR(COUNTIF($C132:H132,"&gt;0")&gt;0,DATE($B$1,6,1)=DATE(YEAR(TODAY()),MONTH(TODAY()),1))),1,0))</f>
        <v/>
      </c>
      <c r="V132">
        <f>IF($A132="","",IF(AND($B132&gt;0,I132&lt;$B132,DATE($B$1,7,1)&lt;=TODAY(),OR($O132="",$O132&gt;=DATE($B$1,7,1)),OR(COUNTIF($C132:I132,"&gt;0")&gt;0,DATE($B$1,7,1)=DATE(YEAR(TODAY()),MONTH(TODAY()),1))),1,0))</f>
        <v/>
      </c>
      <c r="W132">
        <f>IF($A132="","",IF(AND($B132&gt;0,J132&lt;$B132,DATE($B$1,8,1)&lt;=TODAY(),OR($O132="",$O132&gt;=DATE($B$1,8,1)),OR(COUNTIF($C132:J132,"&gt;0")&gt;0,DATE($B$1,8,1)=DATE(YEAR(TODAY()),MONTH(TODAY()),1))),1,0))</f>
        <v/>
      </c>
      <c r="X132">
        <f>IF($A132="","",IF(AND($B132&gt;0,K132&lt;$B132,DATE($B$1,9,1)&lt;=TODAY(),OR($O132="",$O132&gt;=DATE($B$1,9,1)),OR(COUNTIF($C132:K132,"&gt;0")&gt;0,DATE($B$1,9,1)=DATE(YEAR(TODAY()),MONTH(TODAY()),1))),1,0))</f>
        <v/>
      </c>
      <c r="Y132">
        <f>IF($A132="","",IF(AND($B132&gt;0,L132&lt;$B132,DATE($B$1,10,1)&lt;=TODAY(),OR($O132="",$O132&gt;=DATE($B$1,10,1)),OR(COUNTIF($C132:L132,"&gt;0")&gt;0,DATE($B$1,10,1)=DATE(YEAR(TODAY()),MONTH(TODAY()),1))),1,0))</f>
        <v/>
      </c>
      <c r="Z132">
        <f>IF($A132="","",IF(AND($B132&gt;0,M132&lt;$B132,DATE($B$1,11,1)&lt;=TODAY(),OR($O132="",$O132&gt;=DATE($B$1,11,1)),OR(COUNTIF($C132:M132,"&gt;0")&gt;0,DATE($B$1,11,1)=DATE(YEAR(TODAY()),MONTH(TODAY()),1))),1,0))</f>
        <v/>
      </c>
      <c r="AA132">
        <f>IF($A132="","",IF(AND($B132&gt;0,N132&lt;$B132,DATE($B$1,12,1)&lt;=TODAY(),OR($O132="",$O132&gt;=DATE($B$1,12,1)),OR(COUNTIF($C132:N132,"&gt;0")&gt;0,DATE($B$1,12,1)=DATE(YEAR(TODAY()),MONTH(TODAY()),1))),1,0))</f>
        <v/>
      </c>
    </row>
    <row r="133">
      <c r="A133" s="13">
        <f>IF(원생!$A131="","",원생!$A131&amp;IF(원생!$G131="",""," ("&amp;원생!$G131&amp;")"))</f>
        <v/>
      </c>
      <c r="B133" s="8">
        <f>IF(원생!$A131="","",원생!$F131)</f>
        <v/>
      </c>
      <c r="C133" s="14">
        <f>IF(원생!$A131="","",SUMIFS(수납!$F:$F,수납!$C:$C,원생!$A131,수납!$D:$D,IF(원생!$G131="","",원생!$G131),수납!$B:$B,$B$1&amp;"-"&amp;TEXT(1,"00")&amp;"*",수납!$E:$E,"수강료")+SUMIFS(수납!$F:$F,수납!$C:$C,원생!$A131,수납!$D:$D,IF(원생!$G131="","",원생!$G131),수납!$B:$B,$B$1&amp;"-"&amp;TEXT(1,"00")&amp;"*",수납!$E:$E,""))</f>
        <v/>
      </c>
      <c r="D133" s="14">
        <f>IF(원생!$A131="","",SUMIFS(수납!$F:$F,수납!$C:$C,원생!$A131,수납!$D:$D,IF(원생!$G131="","",원생!$G131),수납!$B:$B,$B$1&amp;"-"&amp;TEXT(2,"00")&amp;"*",수납!$E:$E,"수강료")+SUMIFS(수납!$F:$F,수납!$C:$C,원생!$A131,수납!$D:$D,IF(원생!$G131="","",원생!$G131),수납!$B:$B,$B$1&amp;"-"&amp;TEXT(2,"00")&amp;"*",수납!$E:$E,""))</f>
        <v/>
      </c>
      <c r="E133" s="14">
        <f>IF(원생!$A131="","",SUMIFS(수납!$F:$F,수납!$C:$C,원생!$A131,수납!$D:$D,IF(원생!$G131="","",원생!$G131),수납!$B:$B,$B$1&amp;"-"&amp;TEXT(3,"00")&amp;"*",수납!$E:$E,"수강료")+SUMIFS(수납!$F:$F,수납!$C:$C,원생!$A131,수납!$D:$D,IF(원생!$G131="","",원생!$G131),수납!$B:$B,$B$1&amp;"-"&amp;TEXT(3,"00")&amp;"*",수납!$E:$E,""))</f>
        <v/>
      </c>
      <c r="F133" s="14">
        <f>IF(원생!$A131="","",SUMIFS(수납!$F:$F,수납!$C:$C,원생!$A131,수납!$D:$D,IF(원생!$G131="","",원생!$G131),수납!$B:$B,$B$1&amp;"-"&amp;TEXT(4,"00")&amp;"*",수납!$E:$E,"수강료")+SUMIFS(수납!$F:$F,수납!$C:$C,원생!$A131,수납!$D:$D,IF(원생!$G131="","",원생!$G131),수납!$B:$B,$B$1&amp;"-"&amp;TEXT(4,"00")&amp;"*",수납!$E:$E,""))</f>
        <v/>
      </c>
      <c r="G133" s="14">
        <f>IF(원생!$A131="","",SUMIFS(수납!$F:$F,수납!$C:$C,원생!$A131,수납!$D:$D,IF(원생!$G131="","",원생!$G131),수납!$B:$B,$B$1&amp;"-"&amp;TEXT(5,"00")&amp;"*",수납!$E:$E,"수강료")+SUMIFS(수납!$F:$F,수납!$C:$C,원생!$A131,수납!$D:$D,IF(원생!$G131="","",원생!$G131),수납!$B:$B,$B$1&amp;"-"&amp;TEXT(5,"00")&amp;"*",수납!$E:$E,""))</f>
        <v/>
      </c>
      <c r="H133" s="14">
        <f>IF(원생!$A131="","",SUMIFS(수납!$F:$F,수납!$C:$C,원생!$A131,수납!$D:$D,IF(원생!$G131="","",원생!$G131),수납!$B:$B,$B$1&amp;"-"&amp;TEXT(6,"00")&amp;"*",수납!$E:$E,"수강료")+SUMIFS(수납!$F:$F,수납!$C:$C,원생!$A131,수납!$D:$D,IF(원생!$G131="","",원생!$G131),수납!$B:$B,$B$1&amp;"-"&amp;TEXT(6,"00")&amp;"*",수납!$E:$E,""))</f>
        <v/>
      </c>
      <c r="I133" s="14">
        <f>IF(원생!$A131="","",SUMIFS(수납!$F:$F,수납!$C:$C,원생!$A131,수납!$D:$D,IF(원생!$G131="","",원생!$G131),수납!$B:$B,$B$1&amp;"-"&amp;TEXT(7,"00")&amp;"*",수납!$E:$E,"수강료")+SUMIFS(수납!$F:$F,수납!$C:$C,원생!$A131,수납!$D:$D,IF(원생!$G131="","",원생!$G131),수납!$B:$B,$B$1&amp;"-"&amp;TEXT(7,"00")&amp;"*",수납!$E:$E,""))</f>
        <v/>
      </c>
      <c r="J133" s="14">
        <f>IF(원생!$A131="","",SUMIFS(수납!$F:$F,수납!$C:$C,원생!$A131,수납!$D:$D,IF(원생!$G131="","",원생!$G131),수납!$B:$B,$B$1&amp;"-"&amp;TEXT(8,"00")&amp;"*",수납!$E:$E,"수강료")+SUMIFS(수납!$F:$F,수납!$C:$C,원생!$A131,수납!$D:$D,IF(원생!$G131="","",원생!$G131),수납!$B:$B,$B$1&amp;"-"&amp;TEXT(8,"00")&amp;"*",수납!$E:$E,""))</f>
        <v/>
      </c>
      <c r="K133" s="14">
        <f>IF(원생!$A131="","",SUMIFS(수납!$F:$F,수납!$C:$C,원생!$A131,수납!$D:$D,IF(원생!$G131="","",원생!$G131),수납!$B:$B,$B$1&amp;"-"&amp;TEXT(9,"00")&amp;"*",수납!$E:$E,"수강료")+SUMIFS(수납!$F:$F,수납!$C:$C,원생!$A131,수납!$D:$D,IF(원생!$G131="","",원생!$G131),수납!$B:$B,$B$1&amp;"-"&amp;TEXT(9,"00")&amp;"*",수납!$E:$E,""))</f>
        <v/>
      </c>
      <c r="L133" s="14">
        <f>IF(원생!$A131="","",SUMIFS(수납!$F:$F,수납!$C:$C,원생!$A131,수납!$D:$D,IF(원생!$G131="","",원생!$G131),수납!$B:$B,$B$1&amp;"-"&amp;TEXT(10,"00")&amp;"*",수납!$E:$E,"수강료")+SUMIFS(수납!$F:$F,수납!$C:$C,원생!$A131,수납!$D:$D,IF(원생!$G131="","",원생!$G131),수납!$B:$B,$B$1&amp;"-"&amp;TEXT(10,"00")&amp;"*",수납!$E:$E,""))</f>
        <v/>
      </c>
      <c r="M133" s="14">
        <f>IF(원생!$A131="","",SUMIFS(수납!$F:$F,수납!$C:$C,원생!$A131,수납!$D:$D,IF(원생!$G131="","",원생!$G131),수납!$B:$B,$B$1&amp;"-"&amp;TEXT(11,"00")&amp;"*",수납!$E:$E,"수강료")+SUMIFS(수납!$F:$F,수납!$C:$C,원생!$A131,수납!$D:$D,IF(원생!$G131="","",원생!$G131),수납!$B:$B,$B$1&amp;"-"&amp;TEXT(11,"00")&amp;"*",수납!$E:$E,""))</f>
        <v/>
      </c>
      <c r="N133" s="14">
        <f>IF(원생!$A131="","",SUMIFS(수납!$F:$F,수납!$C:$C,원생!$A131,수납!$D:$D,IF(원생!$G131="","",원생!$G131),수납!$B:$B,$B$1&amp;"-"&amp;TEXT(12,"00")&amp;"*",수납!$E:$E,"수강료")+SUMIFS(수납!$F:$F,수납!$C:$C,원생!$A131,수납!$D:$D,IF(원생!$G131="","",원생!$G131),수납!$B:$B,$B$1&amp;"-"&amp;TEXT(12,"00")&amp;"*",수납!$E:$E,""))</f>
        <v/>
      </c>
      <c r="O133">
        <f>IF(원생!$I131="","",원생!$I131)</f>
        <v/>
      </c>
      <c r="P133">
        <f>IF($A133="","",IF(AND($B133&gt;0,C133&lt;$B133,DATE($B$1,1,1)&lt;=TODAY(),OR($O133="",$O133&gt;=DATE($B$1,1,1)),OR(COUNTIF($C133:C133,"&gt;0")&gt;0,DATE($B$1,1,1)=DATE(YEAR(TODAY()),MONTH(TODAY()),1))),1,0))</f>
        <v/>
      </c>
      <c r="Q133">
        <f>IF($A133="","",IF(AND($B133&gt;0,D133&lt;$B133,DATE($B$1,2,1)&lt;=TODAY(),OR($O133="",$O133&gt;=DATE($B$1,2,1)),OR(COUNTIF($C133:D133,"&gt;0")&gt;0,DATE($B$1,2,1)=DATE(YEAR(TODAY()),MONTH(TODAY()),1))),1,0))</f>
        <v/>
      </c>
      <c r="R133">
        <f>IF($A133="","",IF(AND($B133&gt;0,E133&lt;$B133,DATE($B$1,3,1)&lt;=TODAY(),OR($O133="",$O133&gt;=DATE($B$1,3,1)),OR(COUNTIF($C133:E133,"&gt;0")&gt;0,DATE($B$1,3,1)=DATE(YEAR(TODAY()),MONTH(TODAY()),1))),1,0))</f>
        <v/>
      </c>
      <c r="S133">
        <f>IF($A133="","",IF(AND($B133&gt;0,F133&lt;$B133,DATE($B$1,4,1)&lt;=TODAY(),OR($O133="",$O133&gt;=DATE($B$1,4,1)),OR(COUNTIF($C133:F133,"&gt;0")&gt;0,DATE($B$1,4,1)=DATE(YEAR(TODAY()),MONTH(TODAY()),1))),1,0))</f>
        <v/>
      </c>
      <c r="T133">
        <f>IF($A133="","",IF(AND($B133&gt;0,G133&lt;$B133,DATE($B$1,5,1)&lt;=TODAY(),OR($O133="",$O133&gt;=DATE($B$1,5,1)),OR(COUNTIF($C133:G133,"&gt;0")&gt;0,DATE($B$1,5,1)=DATE(YEAR(TODAY()),MONTH(TODAY()),1))),1,0))</f>
        <v/>
      </c>
      <c r="U133">
        <f>IF($A133="","",IF(AND($B133&gt;0,H133&lt;$B133,DATE($B$1,6,1)&lt;=TODAY(),OR($O133="",$O133&gt;=DATE($B$1,6,1)),OR(COUNTIF($C133:H133,"&gt;0")&gt;0,DATE($B$1,6,1)=DATE(YEAR(TODAY()),MONTH(TODAY()),1))),1,0))</f>
        <v/>
      </c>
      <c r="V133">
        <f>IF($A133="","",IF(AND($B133&gt;0,I133&lt;$B133,DATE($B$1,7,1)&lt;=TODAY(),OR($O133="",$O133&gt;=DATE($B$1,7,1)),OR(COUNTIF($C133:I133,"&gt;0")&gt;0,DATE($B$1,7,1)=DATE(YEAR(TODAY()),MONTH(TODAY()),1))),1,0))</f>
        <v/>
      </c>
      <c r="W133">
        <f>IF($A133="","",IF(AND($B133&gt;0,J133&lt;$B133,DATE($B$1,8,1)&lt;=TODAY(),OR($O133="",$O133&gt;=DATE($B$1,8,1)),OR(COUNTIF($C133:J133,"&gt;0")&gt;0,DATE($B$1,8,1)=DATE(YEAR(TODAY()),MONTH(TODAY()),1))),1,0))</f>
        <v/>
      </c>
      <c r="X133">
        <f>IF($A133="","",IF(AND($B133&gt;0,K133&lt;$B133,DATE($B$1,9,1)&lt;=TODAY(),OR($O133="",$O133&gt;=DATE($B$1,9,1)),OR(COUNTIF($C133:K133,"&gt;0")&gt;0,DATE($B$1,9,1)=DATE(YEAR(TODAY()),MONTH(TODAY()),1))),1,0))</f>
        <v/>
      </c>
      <c r="Y133">
        <f>IF($A133="","",IF(AND($B133&gt;0,L133&lt;$B133,DATE($B$1,10,1)&lt;=TODAY(),OR($O133="",$O133&gt;=DATE($B$1,10,1)),OR(COUNTIF($C133:L133,"&gt;0")&gt;0,DATE($B$1,10,1)=DATE(YEAR(TODAY()),MONTH(TODAY()),1))),1,0))</f>
        <v/>
      </c>
      <c r="Z133">
        <f>IF($A133="","",IF(AND($B133&gt;0,M133&lt;$B133,DATE($B$1,11,1)&lt;=TODAY(),OR($O133="",$O133&gt;=DATE($B$1,11,1)),OR(COUNTIF($C133:M133,"&gt;0")&gt;0,DATE($B$1,11,1)=DATE(YEAR(TODAY()),MONTH(TODAY()),1))),1,0))</f>
        <v/>
      </c>
      <c r="AA133">
        <f>IF($A133="","",IF(AND($B133&gt;0,N133&lt;$B133,DATE($B$1,12,1)&lt;=TODAY(),OR($O133="",$O133&gt;=DATE($B$1,12,1)),OR(COUNTIF($C133:N133,"&gt;0")&gt;0,DATE($B$1,12,1)=DATE(YEAR(TODAY()),MONTH(TODAY()),1))),1,0))</f>
        <v/>
      </c>
    </row>
    <row r="134">
      <c r="A134" s="13">
        <f>IF(원생!$A132="","",원생!$A132&amp;IF(원생!$G132="",""," ("&amp;원생!$G132&amp;")"))</f>
        <v/>
      </c>
      <c r="B134" s="8">
        <f>IF(원생!$A132="","",원생!$F132)</f>
        <v/>
      </c>
      <c r="C134" s="14">
        <f>IF(원생!$A132="","",SUMIFS(수납!$F:$F,수납!$C:$C,원생!$A132,수납!$D:$D,IF(원생!$G132="","",원생!$G132),수납!$B:$B,$B$1&amp;"-"&amp;TEXT(1,"00")&amp;"*",수납!$E:$E,"수강료")+SUMIFS(수납!$F:$F,수납!$C:$C,원생!$A132,수납!$D:$D,IF(원생!$G132="","",원생!$G132),수납!$B:$B,$B$1&amp;"-"&amp;TEXT(1,"00")&amp;"*",수납!$E:$E,""))</f>
        <v/>
      </c>
      <c r="D134" s="14">
        <f>IF(원생!$A132="","",SUMIFS(수납!$F:$F,수납!$C:$C,원생!$A132,수납!$D:$D,IF(원생!$G132="","",원생!$G132),수납!$B:$B,$B$1&amp;"-"&amp;TEXT(2,"00")&amp;"*",수납!$E:$E,"수강료")+SUMIFS(수납!$F:$F,수납!$C:$C,원생!$A132,수납!$D:$D,IF(원생!$G132="","",원생!$G132),수납!$B:$B,$B$1&amp;"-"&amp;TEXT(2,"00")&amp;"*",수납!$E:$E,""))</f>
        <v/>
      </c>
      <c r="E134" s="14">
        <f>IF(원생!$A132="","",SUMIFS(수납!$F:$F,수납!$C:$C,원생!$A132,수납!$D:$D,IF(원생!$G132="","",원생!$G132),수납!$B:$B,$B$1&amp;"-"&amp;TEXT(3,"00")&amp;"*",수납!$E:$E,"수강료")+SUMIFS(수납!$F:$F,수납!$C:$C,원생!$A132,수납!$D:$D,IF(원생!$G132="","",원생!$G132),수납!$B:$B,$B$1&amp;"-"&amp;TEXT(3,"00")&amp;"*",수납!$E:$E,""))</f>
        <v/>
      </c>
      <c r="F134" s="14">
        <f>IF(원생!$A132="","",SUMIFS(수납!$F:$F,수납!$C:$C,원생!$A132,수납!$D:$D,IF(원생!$G132="","",원생!$G132),수납!$B:$B,$B$1&amp;"-"&amp;TEXT(4,"00")&amp;"*",수납!$E:$E,"수강료")+SUMIFS(수납!$F:$F,수납!$C:$C,원생!$A132,수납!$D:$D,IF(원생!$G132="","",원생!$G132),수납!$B:$B,$B$1&amp;"-"&amp;TEXT(4,"00")&amp;"*",수납!$E:$E,""))</f>
        <v/>
      </c>
      <c r="G134" s="14">
        <f>IF(원생!$A132="","",SUMIFS(수납!$F:$F,수납!$C:$C,원생!$A132,수납!$D:$D,IF(원생!$G132="","",원생!$G132),수납!$B:$B,$B$1&amp;"-"&amp;TEXT(5,"00")&amp;"*",수납!$E:$E,"수강료")+SUMIFS(수납!$F:$F,수납!$C:$C,원생!$A132,수납!$D:$D,IF(원생!$G132="","",원생!$G132),수납!$B:$B,$B$1&amp;"-"&amp;TEXT(5,"00")&amp;"*",수납!$E:$E,""))</f>
        <v/>
      </c>
      <c r="H134" s="14">
        <f>IF(원생!$A132="","",SUMIFS(수납!$F:$F,수납!$C:$C,원생!$A132,수납!$D:$D,IF(원생!$G132="","",원생!$G132),수납!$B:$B,$B$1&amp;"-"&amp;TEXT(6,"00")&amp;"*",수납!$E:$E,"수강료")+SUMIFS(수납!$F:$F,수납!$C:$C,원생!$A132,수납!$D:$D,IF(원생!$G132="","",원생!$G132),수납!$B:$B,$B$1&amp;"-"&amp;TEXT(6,"00")&amp;"*",수납!$E:$E,""))</f>
        <v/>
      </c>
      <c r="I134" s="14">
        <f>IF(원생!$A132="","",SUMIFS(수납!$F:$F,수납!$C:$C,원생!$A132,수납!$D:$D,IF(원생!$G132="","",원생!$G132),수납!$B:$B,$B$1&amp;"-"&amp;TEXT(7,"00")&amp;"*",수납!$E:$E,"수강료")+SUMIFS(수납!$F:$F,수납!$C:$C,원생!$A132,수납!$D:$D,IF(원생!$G132="","",원생!$G132),수납!$B:$B,$B$1&amp;"-"&amp;TEXT(7,"00")&amp;"*",수납!$E:$E,""))</f>
        <v/>
      </c>
      <c r="J134" s="14">
        <f>IF(원생!$A132="","",SUMIFS(수납!$F:$F,수납!$C:$C,원생!$A132,수납!$D:$D,IF(원생!$G132="","",원생!$G132),수납!$B:$B,$B$1&amp;"-"&amp;TEXT(8,"00")&amp;"*",수납!$E:$E,"수강료")+SUMIFS(수납!$F:$F,수납!$C:$C,원생!$A132,수납!$D:$D,IF(원생!$G132="","",원생!$G132),수납!$B:$B,$B$1&amp;"-"&amp;TEXT(8,"00")&amp;"*",수납!$E:$E,""))</f>
        <v/>
      </c>
      <c r="K134" s="14">
        <f>IF(원생!$A132="","",SUMIFS(수납!$F:$F,수납!$C:$C,원생!$A132,수납!$D:$D,IF(원생!$G132="","",원생!$G132),수납!$B:$B,$B$1&amp;"-"&amp;TEXT(9,"00")&amp;"*",수납!$E:$E,"수강료")+SUMIFS(수납!$F:$F,수납!$C:$C,원생!$A132,수납!$D:$D,IF(원생!$G132="","",원생!$G132),수납!$B:$B,$B$1&amp;"-"&amp;TEXT(9,"00")&amp;"*",수납!$E:$E,""))</f>
        <v/>
      </c>
      <c r="L134" s="14">
        <f>IF(원생!$A132="","",SUMIFS(수납!$F:$F,수납!$C:$C,원생!$A132,수납!$D:$D,IF(원생!$G132="","",원생!$G132),수납!$B:$B,$B$1&amp;"-"&amp;TEXT(10,"00")&amp;"*",수납!$E:$E,"수강료")+SUMIFS(수납!$F:$F,수납!$C:$C,원생!$A132,수납!$D:$D,IF(원생!$G132="","",원생!$G132),수납!$B:$B,$B$1&amp;"-"&amp;TEXT(10,"00")&amp;"*",수납!$E:$E,""))</f>
        <v/>
      </c>
      <c r="M134" s="14">
        <f>IF(원생!$A132="","",SUMIFS(수납!$F:$F,수납!$C:$C,원생!$A132,수납!$D:$D,IF(원생!$G132="","",원생!$G132),수납!$B:$B,$B$1&amp;"-"&amp;TEXT(11,"00")&amp;"*",수납!$E:$E,"수강료")+SUMIFS(수납!$F:$F,수납!$C:$C,원생!$A132,수납!$D:$D,IF(원생!$G132="","",원생!$G132),수납!$B:$B,$B$1&amp;"-"&amp;TEXT(11,"00")&amp;"*",수납!$E:$E,""))</f>
        <v/>
      </c>
      <c r="N134" s="14">
        <f>IF(원생!$A132="","",SUMIFS(수납!$F:$F,수납!$C:$C,원생!$A132,수납!$D:$D,IF(원생!$G132="","",원생!$G132),수납!$B:$B,$B$1&amp;"-"&amp;TEXT(12,"00")&amp;"*",수납!$E:$E,"수강료")+SUMIFS(수납!$F:$F,수납!$C:$C,원생!$A132,수납!$D:$D,IF(원생!$G132="","",원생!$G132),수납!$B:$B,$B$1&amp;"-"&amp;TEXT(12,"00")&amp;"*",수납!$E:$E,""))</f>
        <v/>
      </c>
      <c r="O134">
        <f>IF(원생!$I132="","",원생!$I132)</f>
        <v/>
      </c>
      <c r="P134">
        <f>IF($A134="","",IF(AND($B134&gt;0,C134&lt;$B134,DATE($B$1,1,1)&lt;=TODAY(),OR($O134="",$O134&gt;=DATE($B$1,1,1)),OR(COUNTIF($C134:C134,"&gt;0")&gt;0,DATE($B$1,1,1)=DATE(YEAR(TODAY()),MONTH(TODAY()),1))),1,0))</f>
        <v/>
      </c>
      <c r="Q134">
        <f>IF($A134="","",IF(AND($B134&gt;0,D134&lt;$B134,DATE($B$1,2,1)&lt;=TODAY(),OR($O134="",$O134&gt;=DATE($B$1,2,1)),OR(COUNTIF($C134:D134,"&gt;0")&gt;0,DATE($B$1,2,1)=DATE(YEAR(TODAY()),MONTH(TODAY()),1))),1,0))</f>
        <v/>
      </c>
      <c r="R134">
        <f>IF($A134="","",IF(AND($B134&gt;0,E134&lt;$B134,DATE($B$1,3,1)&lt;=TODAY(),OR($O134="",$O134&gt;=DATE($B$1,3,1)),OR(COUNTIF($C134:E134,"&gt;0")&gt;0,DATE($B$1,3,1)=DATE(YEAR(TODAY()),MONTH(TODAY()),1))),1,0))</f>
        <v/>
      </c>
      <c r="S134">
        <f>IF($A134="","",IF(AND($B134&gt;0,F134&lt;$B134,DATE($B$1,4,1)&lt;=TODAY(),OR($O134="",$O134&gt;=DATE($B$1,4,1)),OR(COUNTIF($C134:F134,"&gt;0")&gt;0,DATE($B$1,4,1)=DATE(YEAR(TODAY()),MONTH(TODAY()),1))),1,0))</f>
        <v/>
      </c>
      <c r="T134">
        <f>IF($A134="","",IF(AND($B134&gt;0,G134&lt;$B134,DATE($B$1,5,1)&lt;=TODAY(),OR($O134="",$O134&gt;=DATE($B$1,5,1)),OR(COUNTIF($C134:G134,"&gt;0")&gt;0,DATE($B$1,5,1)=DATE(YEAR(TODAY()),MONTH(TODAY()),1))),1,0))</f>
        <v/>
      </c>
      <c r="U134">
        <f>IF($A134="","",IF(AND($B134&gt;0,H134&lt;$B134,DATE($B$1,6,1)&lt;=TODAY(),OR($O134="",$O134&gt;=DATE($B$1,6,1)),OR(COUNTIF($C134:H134,"&gt;0")&gt;0,DATE($B$1,6,1)=DATE(YEAR(TODAY()),MONTH(TODAY()),1))),1,0))</f>
        <v/>
      </c>
      <c r="V134">
        <f>IF($A134="","",IF(AND($B134&gt;0,I134&lt;$B134,DATE($B$1,7,1)&lt;=TODAY(),OR($O134="",$O134&gt;=DATE($B$1,7,1)),OR(COUNTIF($C134:I134,"&gt;0")&gt;0,DATE($B$1,7,1)=DATE(YEAR(TODAY()),MONTH(TODAY()),1))),1,0))</f>
        <v/>
      </c>
      <c r="W134">
        <f>IF($A134="","",IF(AND($B134&gt;0,J134&lt;$B134,DATE($B$1,8,1)&lt;=TODAY(),OR($O134="",$O134&gt;=DATE($B$1,8,1)),OR(COUNTIF($C134:J134,"&gt;0")&gt;0,DATE($B$1,8,1)=DATE(YEAR(TODAY()),MONTH(TODAY()),1))),1,0))</f>
        <v/>
      </c>
      <c r="X134">
        <f>IF($A134="","",IF(AND($B134&gt;0,K134&lt;$B134,DATE($B$1,9,1)&lt;=TODAY(),OR($O134="",$O134&gt;=DATE($B$1,9,1)),OR(COUNTIF($C134:K134,"&gt;0")&gt;0,DATE($B$1,9,1)=DATE(YEAR(TODAY()),MONTH(TODAY()),1))),1,0))</f>
        <v/>
      </c>
      <c r="Y134">
        <f>IF($A134="","",IF(AND($B134&gt;0,L134&lt;$B134,DATE($B$1,10,1)&lt;=TODAY(),OR($O134="",$O134&gt;=DATE($B$1,10,1)),OR(COUNTIF($C134:L134,"&gt;0")&gt;0,DATE($B$1,10,1)=DATE(YEAR(TODAY()),MONTH(TODAY()),1))),1,0))</f>
        <v/>
      </c>
      <c r="Z134">
        <f>IF($A134="","",IF(AND($B134&gt;0,M134&lt;$B134,DATE($B$1,11,1)&lt;=TODAY(),OR($O134="",$O134&gt;=DATE($B$1,11,1)),OR(COUNTIF($C134:M134,"&gt;0")&gt;0,DATE($B$1,11,1)=DATE(YEAR(TODAY()),MONTH(TODAY()),1))),1,0))</f>
        <v/>
      </c>
      <c r="AA134">
        <f>IF($A134="","",IF(AND($B134&gt;0,N134&lt;$B134,DATE($B$1,12,1)&lt;=TODAY(),OR($O134="",$O134&gt;=DATE($B$1,12,1)),OR(COUNTIF($C134:N134,"&gt;0")&gt;0,DATE($B$1,12,1)=DATE(YEAR(TODAY()),MONTH(TODAY()),1))),1,0))</f>
        <v/>
      </c>
    </row>
    <row r="135">
      <c r="A135" s="13">
        <f>IF(원생!$A133="","",원생!$A133&amp;IF(원생!$G133="",""," ("&amp;원생!$G133&amp;")"))</f>
        <v/>
      </c>
      <c r="B135" s="8">
        <f>IF(원생!$A133="","",원생!$F133)</f>
        <v/>
      </c>
      <c r="C135" s="14">
        <f>IF(원생!$A133="","",SUMIFS(수납!$F:$F,수납!$C:$C,원생!$A133,수납!$D:$D,IF(원생!$G133="","",원생!$G133),수납!$B:$B,$B$1&amp;"-"&amp;TEXT(1,"00")&amp;"*",수납!$E:$E,"수강료")+SUMIFS(수납!$F:$F,수납!$C:$C,원생!$A133,수납!$D:$D,IF(원생!$G133="","",원생!$G133),수납!$B:$B,$B$1&amp;"-"&amp;TEXT(1,"00")&amp;"*",수납!$E:$E,""))</f>
        <v/>
      </c>
      <c r="D135" s="14">
        <f>IF(원생!$A133="","",SUMIFS(수납!$F:$F,수납!$C:$C,원생!$A133,수납!$D:$D,IF(원생!$G133="","",원생!$G133),수납!$B:$B,$B$1&amp;"-"&amp;TEXT(2,"00")&amp;"*",수납!$E:$E,"수강료")+SUMIFS(수납!$F:$F,수납!$C:$C,원생!$A133,수납!$D:$D,IF(원생!$G133="","",원생!$G133),수납!$B:$B,$B$1&amp;"-"&amp;TEXT(2,"00")&amp;"*",수납!$E:$E,""))</f>
        <v/>
      </c>
      <c r="E135" s="14">
        <f>IF(원생!$A133="","",SUMIFS(수납!$F:$F,수납!$C:$C,원생!$A133,수납!$D:$D,IF(원생!$G133="","",원생!$G133),수납!$B:$B,$B$1&amp;"-"&amp;TEXT(3,"00")&amp;"*",수납!$E:$E,"수강료")+SUMIFS(수납!$F:$F,수납!$C:$C,원생!$A133,수납!$D:$D,IF(원생!$G133="","",원생!$G133),수납!$B:$B,$B$1&amp;"-"&amp;TEXT(3,"00")&amp;"*",수납!$E:$E,""))</f>
        <v/>
      </c>
      <c r="F135" s="14">
        <f>IF(원생!$A133="","",SUMIFS(수납!$F:$F,수납!$C:$C,원생!$A133,수납!$D:$D,IF(원생!$G133="","",원생!$G133),수납!$B:$B,$B$1&amp;"-"&amp;TEXT(4,"00")&amp;"*",수납!$E:$E,"수강료")+SUMIFS(수납!$F:$F,수납!$C:$C,원생!$A133,수납!$D:$D,IF(원생!$G133="","",원생!$G133),수납!$B:$B,$B$1&amp;"-"&amp;TEXT(4,"00")&amp;"*",수납!$E:$E,""))</f>
        <v/>
      </c>
      <c r="G135" s="14">
        <f>IF(원생!$A133="","",SUMIFS(수납!$F:$F,수납!$C:$C,원생!$A133,수납!$D:$D,IF(원생!$G133="","",원생!$G133),수납!$B:$B,$B$1&amp;"-"&amp;TEXT(5,"00")&amp;"*",수납!$E:$E,"수강료")+SUMIFS(수납!$F:$F,수납!$C:$C,원생!$A133,수납!$D:$D,IF(원생!$G133="","",원생!$G133),수납!$B:$B,$B$1&amp;"-"&amp;TEXT(5,"00")&amp;"*",수납!$E:$E,""))</f>
        <v/>
      </c>
      <c r="H135" s="14">
        <f>IF(원생!$A133="","",SUMIFS(수납!$F:$F,수납!$C:$C,원생!$A133,수납!$D:$D,IF(원생!$G133="","",원생!$G133),수납!$B:$B,$B$1&amp;"-"&amp;TEXT(6,"00")&amp;"*",수납!$E:$E,"수강료")+SUMIFS(수납!$F:$F,수납!$C:$C,원생!$A133,수납!$D:$D,IF(원생!$G133="","",원생!$G133),수납!$B:$B,$B$1&amp;"-"&amp;TEXT(6,"00")&amp;"*",수납!$E:$E,""))</f>
        <v/>
      </c>
      <c r="I135" s="14">
        <f>IF(원생!$A133="","",SUMIFS(수납!$F:$F,수납!$C:$C,원생!$A133,수납!$D:$D,IF(원생!$G133="","",원생!$G133),수납!$B:$B,$B$1&amp;"-"&amp;TEXT(7,"00")&amp;"*",수납!$E:$E,"수강료")+SUMIFS(수납!$F:$F,수납!$C:$C,원생!$A133,수납!$D:$D,IF(원생!$G133="","",원생!$G133),수납!$B:$B,$B$1&amp;"-"&amp;TEXT(7,"00")&amp;"*",수납!$E:$E,""))</f>
        <v/>
      </c>
      <c r="J135" s="14">
        <f>IF(원생!$A133="","",SUMIFS(수납!$F:$F,수납!$C:$C,원생!$A133,수납!$D:$D,IF(원생!$G133="","",원생!$G133),수납!$B:$B,$B$1&amp;"-"&amp;TEXT(8,"00")&amp;"*",수납!$E:$E,"수강료")+SUMIFS(수납!$F:$F,수납!$C:$C,원생!$A133,수납!$D:$D,IF(원생!$G133="","",원생!$G133),수납!$B:$B,$B$1&amp;"-"&amp;TEXT(8,"00")&amp;"*",수납!$E:$E,""))</f>
        <v/>
      </c>
      <c r="K135" s="14">
        <f>IF(원생!$A133="","",SUMIFS(수납!$F:$F,수납!$C:$C,원생!$A133,수납!$D:$D,IF(원생!$G133="","",원생!$G133),수납!$B:$B,$B$1&amp;"-"&amp;TEXT(9,"00")&amp;"*",수납!$E:$E,"수강료")+SUMIFS(수납!$F:$F,수납!$C:$C,원생!$A133,수납!$D:$D,IF(원생!$G133="","",원생!$G133),수납!$B:$B,$B$1&amp;"-"&amp;TEXT(9,"00")&amp;"*",수납!$E:$E,""))</f>
        <v/>
      </c>
      <c r="L135" s="14">
        <f>IF(원생!$A133="","",SUMIFS(수납!$F:$F,수납!$C:$C,원생!$A133,수납!$D:$D,IF(원생!$G133="","",원생!$G133),수납!$B:$B,$B$1&amp;"-"&amp;TEXT(10,"00")&amp;"*",수납!$E:$E,"수강료")+SUMIFS(수납!$F:$F,수납!$C:$C,원생!$A133,수납!$D:$D,IF(원생!$G133="","",원생!$G133),수납!$B:$B,$B$1&amp;"-"&amp;TEXT(10,"00")&amp;"*",수납!$E:$E,""))</f>
        <v/>
      </c>
      <c r="M135" s="14">
        <f>IF(원생!$A133="","",SUMIFS(수납!$F:$F,수납!$C:$C,원생!$A133,수납!$D:$D,IF(원생!$G133="","",원생!$G133),수납!$B:$B,$B$1&amp;"-"&amp;TEXT(11,"00")&amp;"*",수납!$E:$E,"수강료")+SUMIFS(수납!$F:$F,수납!$C:$C,원생!$A133,수납!$D:$D,IF(원생!$G133="","",원생!$G133),수납!$B:$B,$B$1&amp;"-"&amp;TEXT(11,"00")&amp;"*",수납!$E:$E,""))</f>
        <v/>
      </c>
      <c r="N135" s="14">
        <f>IF(원생!$A133="","",SUMIFS(수납!$F:$F,수납!$C:$C,원생!$A133,수납!$D:$D,IF(원생!$G133="","",원생!$G133),수납!$B:$B,$B$1&amp;"-"&amp;TEXT(12,"00")&amp;"*",수납!$E:$E,"수강료")+SUMIFS(수납!$F:$F,수납!$C:$C,원생!$A133,수납!$D:$D,IF(원생!$G133="","",원생!$G133),수납!$B:$B,$B$1&amp;"-"&amp;TEXT(12,"00")&amp;"*",수납!$E:$E,""))</f>
        <v/>
      </c>
      <c r="O135">
        <f>IF(원생!$I133="","",원생!$I133)</f>
        <v/>
      </c>
      <c r="P135">
        <f>IF($A135="","",IF(AND($B135&gt;0,C135&lt;$B135,DATE($B$1,1,1)&lt;=TODAY(),OR($O135="",$O135&gt;=DATE($B$1,1,1)),OR(COUNTIF($C135:C135,"&gt;0")&gt;0,DATE($B$1,1,1)=DATE(YEAR(TODAY()),MONTH(TODAY()),1))),1,0))</f>
        <v/>
      </c>
      <c r="Q135">
        <f>IF($A135="","",IF(AND($B135&gt;0,D135&lt;$B135,DATE($B$1,2,1)&lt;=TODAY(),OR($O135="",$O135&gt;=DATE($B$1,2,1)),OR(COUNTIF($C135:D135,"&gt;0")&gt;0,DATE($B$1,2,1)=DATE(YEAR(TODAY()),MONTH(TODAY()),1))),1,0))</f>
        <v/>
      </c>
      <c r="R135">
        <f>IF($A135="","",IF(AND($B135&gt;0,E135&lt;$B135,DATE($B$1,3,1)&lt;=TODAY(),OR($O135="",$O135&gt;=DATE($B$1,3,1)),OR(COUNTIF($C135:E135,"&gt;0")&gt;0,DATE($B$1,3,1)=DATE(YEAR(TODAY()),MONTH(TODAY()),1))),1,0))</f>
        <v/>
      </c>
      <c r="S135">
        <f>IF($A135="","",IF(AND($B135&gt;0,F135&lt;$B135,DATE($B$1,4,1)&lt;=TODAY(),OR($O135="",$O135&gt;=DATE($B$1,4,1)),OR(COUNTIF($C135:F135,"&gt;0")&gt;0,DATE($B$1,4,1)=DATE(YEAR(TODAY()),MONTH(TODAY()),1))),1,0))</f>
        <v/>
      </c>
      <c r="T135">
        <f>IF($A135="","",IF(AND($B135&gt;0,G135&lt;$B135,DATE($B$1,5,1)&lt;=TODAY(),OR($O135="",$O135&gt;=DATE($B$1,5,1)),OR(COUNTIF($C135:G135,"&gt;0")&gt;0,DATE($B$1,5,1)=DATE(YEAR(TODAY()),MONTH(TODAY()),1))),1,0))</f>
        <v/>
      </c>
      <c r="U135">
        <f>IF($A135="","",IF(AND($B135&gt;0,H135&lt;$B135,DATE($B$1,6,1)&lt;=TODAY(),OR($O135="",$O135&gt;=DATE($B$1,6,1)),OR(COUNTIF($C135:H135,"&gt;0")&gt;0,DATE($B$1,6,1)=DATE(YEAR(TODAY()),MONTH(TODAY()),1))),1,0))</f>
        <v/>
      </c>
      <c r="V135">
        <f>IF($A135="","",IF(AND($B135&gt;0,I135&lt;$B135,DATE($B$1,7,1)&lt;=TODAY(),OR($O135="",$O135&gt;=DATE($B$1,7,1)),OR(COUNTIF($C135:I135,"&gt;0")&gt;0,DATE($B$1,7,1)=DATE(YEAR(TODAY()),MONTH(TODAY()),1))),1,0))</f>
        <v/>
      </c>
      <c r="W135">
        <f>IF($A135="","",IF(AND($B135&gt;0,J135&lt;$B135,DATE($B$1,8,1)&lt;=TODAY(),OR($O135="",$O135&gt;=DATE($B$1,8,1)),OR(COUNTIF($C135:J135,"&gt;0")&gt;0,DATE($B$1,8,1)=DATE(YEAR(TODAY()),MONTH(TODAY()),1))),1,0))</f>
        <v/>
      </c>
      <c r="X135">
        <f>IF($A135="","",IF(AND($B135&gt;0,K135&lt;$B135,DATE($B$1,9,1)&lt;=TODAY(),OR($O135="",$O135&gt;=DATE($B$1,9,1)),OR(COUNTIF($C135:K135,"&gt;0")&gt;0,DATE($B$1,9,1)=DATE(YEAR(TODAY()),MONTH(TODAY()),1))),1,0))</f>
        <v/>
      </c>
      <c r="Y135">
        <f>IF($A135="","",IF(AND($B135&gt;0,L135&lt;$B135,DATE($B$1,10,1)&lt;=TODAY(),OR($O135="",$O135&gt;=DATE($B$1,10,1)),OR(COUNTIF($C135:L135,"&gt;0")&gt;0,DATE($B$1,10,1)=DATE(YEAR(TODAY()),MONTH(TODAY()),1))),1,0))</f>
        <v/>
      </c>
      <c r="Z135">
        <f>IF($A135="","",IF(AND($B135&gt;0,M135&lt;$B135,DATE($B$1,11,1)&lt;=TODAY(),OR($O135="",$O135&gt;=DATE($B$1,11,1)),OR(COUNTIF($C135:M135,"&gt;0")&gt;0,DATE($B$1,11,1)=DATE(YEAR(TODAY()),MONTH(TODAY()),1))),1,0))</f>
        <v/>
      </c>
      <c r="AA135">
        <f>IF($A135="","",IF(AND($B135&gt;0,N135&lt;$B135,DATE($B$1,12,1)&lt;=TODAY(),OR($O135="",$O135&gt;=DATE($B$1,12,1)),OR(COUNTIF($C135:N135,"&gt;0")&gt;0,DATE($B$1,12,1)=DATE(YEAR(TODAY()),MONTH(TODAY()),1))),1,0))</f>
        <v/>
      </c>
    </row>
    <row r="136">
      <c r="A136" s="13">
        <f>IF(원생!$A134="","",원생!$A134&amp;IF(원생!$G134="",""," ("&amp;원생!$G134&amp;")"))</f>
        <v/>
      </c>
      <c r="B136" s="8">
        <f>IF(원생!$A134="","",원생!$F134)</f>
        <v/>
      </c>
      <c r="C136" s="14">
        <f>IF(원생!$A134="","",SUMIFS(수납!$F:$F,수납!$C:$C,원생!$A134,수납!$D:$D,IF(원생!$G134="","",원생!$G134),수납!$B:$B,$B$1&amp;"-"&amp;TEXT(1,"00")&amp;"*",수납!$E:$E,"수강료")+SUMIFS(수납!$F:$F,수납!$C:$C,원생!$A134,수납!$D:$D,IF(원생!$G134="","",원생!$G134),수납!$B:$B,$B$1&amp;"-"&amp;TEXT(1,"00")&amp;"*",수납!$E:$E,""))</f>
        <v/>
      </c>
      <c r="D136" s="14">
        <f>IF(원생!$A134="","",SUMIFS(수납!$F:$F,수납!$C:$C,원생!$A134,수납!$D:$D,IF(원생!$G134="","",원생!$G134),수납!$B:$B,$B$1&amp;"-"&amp;TEXT(2,"00")&amp;"*",수납!$E:$E,"수강료")+SUMIFS(수납!$F:$F,수납!$C:$C,원생!$A134,수납!$D:$D,IF(원생!$G134="","",원생!$G134),수납!$B:$B,$B$1&amp;"-"&amp;TEXT(2,"00")&amp;"*",수납!$E:$E,""))</f>
        <v/>
      </c>
      <c r="E136" s="14">
        <f>IF(원생!$A134="","",SUMIFS(수납!$F:$F,수납!$C:$C,원생!$A134,수납!$D:$D,IF(원생!$G134="","",원생!$G134),수납!$B:$B,$B$1&amp;"-"&amp;TEXT(3,"00")&amp;"*",수납!$E:$E,"수강료")+SUMIFS(수납!$F:$F,수납!$C:$C,원생!$A134,수납!$D:$D,IF(원생!$G134="","",원생!$G134),수납!$B:$B,$B$1&amp;"-"&amp;TEXT(3,"00")&amp;"*",수납!$E:$E,""))</f>
        <v/>
      </c>
      <c r="F136" s="14">
        <f>IF(원생!$A134="","",SUMIFS(수납!$F:$F,수납!$C:$C,원생!$A134,수납!$D:$D,IF(원생!$G134="","",원생!$G134),수납!$B:$B,$B$1&amp;"-"&amp;TEXT(4,"00")&amp;"*",수납!$E:$E,"수강료")+SUMIFS(수납!$F:$F,수납!$C:$C,원생!$A134,수납!$D:$D,IF(원생!$G134="","",원생!$G134),수납!$B:$B,$B$1&amp;"-"&amp;TEXT(4,"00")&amp;"*",수납!$E:$E,""))</f>
        <v/>
      </c>
      <c r="G136" s="14">
        <f>IF(원생!$A134="","",SUMIFS(수납!$F:$F,수납!$C:$C,원생!$A134,수납!$D:$D,IF(원생!$G134="","",원생!$G134),수납!$B:$B,$B$1&amp;"-"&amp;TEXT(5,"00")&amp;"*",수납!$E:$E,"수강료")+SUMIFS(수납!$F:$F,수납!$C:$C,원생!$A134,수납!$D:$D,IF(원생!$G134="","",원생!$G134),수납!$B:$B,$B$1&amp;"-"&amp;TEXT(5,"00")&amp;"*",수납!$E:$E,""))</f>
        <v/>
      </c>
      <c r="H136" s="14">
        <f>IF(원생!$A134="","",SUMIFS(수납!$F:$F,수납!$C:$C,원생!$A134,수납!$D:$D,IF(원생!$G134="","",원생!$G134),수납!$B:$B,$B$1&amp;"-"&amp;TEXT(6,"00")&amp;"*",수납!$E:$E,"수강료")+SUMIFS(수납!$F:$F,수납!$C:$C,원생!$A134,수납!$D:$D,IF(원생!$G134="","",원생!$G134),수납!$B:$B,$B$1&amp;"-"&amp;TEXT(6,"00")&amp;"*",수납!$E:$E,""))</f>
        <v/>
      </c>
      <c r="I136" s="14">
        <f>IF(원생!$A134="","",SUMIFS(수납!$F:$F,수납!$C:$C,원생!$A134,수납!$D:$D,IF(원생!$G134="","",원생!$G134),수납!$B:$B,$B$1&amp;"-"&amp;TEXT(7,"00")&amp;"*",수납!$E:$E,"수강료")+SUMIFS(수납!$F:$F,수납!$C:$C,원생!$A134,수납!$D:$D,IF(원생!$G134="","",원생!$G134),수납!$B:$B,$B$1&amp;"-"&amp;TEXT(7,"00")&amp;"*",수납!$E:$E,""))</f>
        <v/>
      </c>
      <c r="J136" s="14">
        <f>IF(원생!$A134="","",SUMIFS(수납!$F:$F,수납!$C:$C,원생!$A134,수납!$D:$D,IF(원생!$G134="","",원생!$G134),수납!$B:$B,$B$1&amp;"-"&amp;TEXT(8,"00")&amp;"*",수납!$E:$E,"수강료")+SUMIFS(수납!$F:$F,수납!$C:$C,원생!$A134,수납!$D:$D,IF(원생!$G134="","",원생!$G134),수납!$B:$B,$B$1&amp;"-"&amp;TEXT(8,"00")&amp;"*",수납!$E:$E,""))</f>
        <v/>
      </c>
      <c r="K136" s="14">
        <f>IF(원생!$A134="","",SUMIFS(수납!$F:$F,수납!$C:$C,원생!$A134,수납!$D:$D,IF(원생!$G134="","",원생!$G134),수납!$B:$B,$B$1&amp;"-"&amp;TEXT(9,"00")&amp;"*",수납!$E:$E,"수강료")+SUMIFS(수납!$F:$F,수납!$C:$C,원생!$A134,수납!$D:$D,IF(원생!$G134="","",원생!$G134),수납!$B:$B,$B$1&amp;"-"&amp;TEXT(9,"00")&amp;"*",수납!$E:$E,""))</f>
        <v/>
      </c>
      <c r="L136" s="14">
        <f>IF(원생!$A134="","",SUMIFS(수납!$F:$F,수납!$C:$C,원생!$A134,수납!$D:$D,IF(원생!$G134="","",원생!$G134),수납!$B:$B,$B$1&amp;"-"&amp;TEXT(10,"00")&amp;"*",수납!$E:$E,"수강료")+SUMIFS(수납!$F:$F,수납!$C:$C,원생!$A134,수납!$D:$D,IF(원생!$G134="","",원생!$G134),수납!$B:$B,$B$1&amp;"-"&amp;TEXT(10,"00")&amp;"*",수납!$E:$E,""))</f>
        <v/>
      </c>
      <c r="M136" s="14">
        <f>IF(원생!$A134="","",SUMIFS(수납!$F:$F,수납!$C:$C,원생!$A134,수납!$D:$D,IF(원생!$G134="","",원생!$G134),수납!$B:$B,$B$1&amp;"-"&amp;TEXT(11,"00")&amp;"*",수납!$E:$E,"수강료")+SUMIFS(수납!$F:$F,수납!$C:$C,원생!$A134,수납!$D:$D,IF(원생!$G134="","",원생!$G134),수납!$B:$B,$B$1&amp;"-"&amp;TEXT(11,"00")&amp;"*",수납!$E:$E,""))</f>
        <v/>
      </c>
      <c r="N136" s="14">
        <f>IF(원생!$A134="","",SUMIFS(수납!$F:$F,수납!$C:$C,원생!$A134,수납!$D:$D,IF(원생!$G134="","",원생!$G134),수납!$B:$B,$B$1&amp;"-"&amp;TEXT(12,"00")&amp;"*",수납!$E:$E,"수강료")+SUMIFS(수납!$F:$F,수납!$C:$C,원생!$A134,수납!$D:$D,IF(원생!$G134="","",원생!$G134),수납!$B:$B,$B$1&amp;"-"&amp;TEXT(12,"00")&amp;"*",수납!$E:$E,""))</f>
        <v/>
      </c>
      <c r="O136">
        <f>IF(원생!$I134="","",원생!$I134)</f>
        <v/>
      </c>
      <c r="P136">
        <f>IF($A136="","",IF(AND($B136&gt;0,C136&lt;$B136,DATE($B$1,1,1)&lt;=TODAY(),OR($O136="",$O136&gt;=DATE($B$1,1,1)),OR(COUNTIF($C136:C136,"&gt;0")&gt;0,DATE($B$1,1,1)=DATE(YEAR(TODAY()),MONTH(TODAY()),1))),1,0))</f>
        <v/>
      </c>
      <c r="Q136">
        <f>IF($A136="","",IF(AND($B136&gt;0,D136&lt;$B136,DATE($B$1,2,1)&lt;=TODAY(),OR($O136="",$O136&gt;=DATE($B$1,2,1)),OR(COUNTIF($C136:D136,"&gt;0")&gt;0,DATE($B$1,2,1)=DATE(YEAR(TODAY()),MONTH(TODAY()),1))),1,0))</f>
        <v/>
      </c>
      <c r="R136">
        <f>IF($A136="","",IF(AND($B136&gt;0,E136&lt;$B136,DATE($B$1,3,1)&lt;=TODAY(),OR($O136="",$O136&gt;=DATE($B$1,3,1)),OR(COUNTIF($C136:E136,"&gt;0")&gt;0,DATE($B$1,3,1)=DATE(YEAR(TODAY()),MONTH(TODAY()),1))),1,0))</f>
        <v/>
      </c>
      <c r="S136">
        <f>IF($A136="","",IF(AND($B136&gt;0,F136&lt;$B136,DATE($B$1,4,1)&lt;=TODAY(),OR($O136="",$O136&gt;=DATE($B$1,4,1)),OR(COUNTIF($C136:F136,"&gt;0")&gt;0,DATE($B$1,4,1)=DATE(YEAR(TODAY()),MONTH(TODAY()),1))),1,0))</f>
        <v/>
      </c>
      <c r="T136">
        <f>IF($A136="","",IF(AND($B136&gt;0,G136&lt;$B136,DATE($B$1,5,1)&lt;=TODAY(),OR($O136="",$O136&gt;=DATE($B$1,5,1)),OR(COUNTIF($C136:G136,"&gt;0")&gt;0,DATE($B$1,5,1)=DATE(YEAR(TODAY()),MONTH(TODAY()),1))),1,0))</f>
        <v/>
      </c>
      <c r="U136">
        <f>IF($A136="","",IF(AND($B136&gt;0,H136&lt;$B136,DATE($B$1,6,1)&lt;=TODAY(),OR($O136="",$O136&gt;=DATE($B$1,6,1)),OR(COUNTIF($C136:H136,"&gt;0")&gt;0,DATE($B$1,6,1)=DATE(YEAR(TODAY()),MONTH(TODAY()),1))),1,0))</f>
        <v/>
      </c>
      <c r="V136">
        <f>IF($A136="","",IF(AND($B136&gt;0,I136&lt;$B136,DATE($B$1,7,1)&lt;=TODAY(),OR($O136="",$O136&gt;=DATE($B$1,7,1)),OR(COUNTIF($C136:I136,"&gt;0")&gt;0,DATE($B$1,7,1)=DATE(YEAR(TODAY()),MONTH(TODAY()),1))),1,0))</f>
        <v/>
      </c>
      <c r="W136">
        <f>IF($A136="","",IF(AND($B136&gt;0,J136&lt;$B136,DATE($B$1,8,1)&lt;=TODAY(),OR($O136="",$O136&gt;=DATE($B$1,8,1)),OR(COUNTIF($C136:J136,"&gt;0")&gt;0,DATE($B$1,8,1)=DATE(YEAR(TODAY()),MONTH(TODAY()),1))),1,0))</f>
        <v/>
      </c>
      <c r="X136">
        <f>IF($A136="","",IF(AND($B136&gt;0,K136&lt;$B136,DATE($B$1,9,1)&lt;=TODAY(),OR($O136="",$O136&gt;=DATE($B$1,9,1)),OR(COUNTIF($C136:K136,"&gt;0")&gt;0,DATE($B$1,9,1)=DATE(YEAR(TODAY()),MONTH(TODAY()),1))),1,0))</f>
        <v/>
      </c>
      <c r="Y136">
        <f>IF($A136="","",IF(AND($B136&gt;0,L136&lt;$B136,DATE($B$1,10,1)&lt;=TODAY(),OR($O136="",$O136&gt;=DATE($B$1,10,1)),OR(COUNTIF($C136:L136,"&gt;0")&gt;0,DATE($B$1,10,1)=DATE(YEAR(TODAY()),MONTH(TODAY()),1))),1,0))</f>
        <v/>
      </c>
      <c r="Z136">
        <f>IF($A136="","",IF(AND($B136&gt;0,M136&lt;$B136,DATE($B$1,11,1)&lt;=TODAY(),OR($O136="",$O136&gt;=DATE($B$1,11,1)),OR(COUNTIF($C136:M136,"&gt;0")&gt;0,DATE($B$1,11,1)=DATE(YEAR(TODAY()),MONTH(TODAY()),1))),1,0))</f>
        <v/>
      </c>
      <c r="AA136">
        <f>IF($A136="","",IF(AND($B136&gt;0,N136&lt;$B136,DATE($B$1,12,1)&lt;=TODAY(),OR($O136="",$O136&gt;=DATE($B$1,12,1)),OR(COUNTIF($C136:N136,"&gt;0")&gt;0,DATE($B$1,12,1)=DATE(YEAR(TODAY()),MONTH(TODAY()),1))),1,0))</f>
        <v/>
      </c>
    </row>
    <row r="137">
      <c r="A137" s="13">
        <f>IF(원생!$A135="","",원생!$A135&amp;IF(원생!$G135="",""," ("&amp;원생!$G135&amp;")"))</f>
        <v/>
      </c>
      <c r="B137" s="8">
        <f>IF(원생!$A135="","",원생!$F135)</f>
        <v/>
      </c>
      <c r="C137" s="14">
        <f>IF(원생!$A135="","",SUMIFS(수납!$F:$F,수납!$C:$C,원생!$A135,수납!$D:$D,IF(원생!$G135="","",원생!$G135),수납!$B:$B,$B$1&amp;"-"&amp;TEXT(1,"00")&amp;"*",수납!$E:$E,"수강료")+SUMIFS(수납!$F:$F,수납!$C:$C,원생!$A135,수납!$D:$D,IF(원생!$G135="","",원생!$G135),수납!$B:$B,$B$1&amp;"-"&amp;TEXT(1,"00")&amp;"*",수납!$E:$E,""))</f>
        <v/>
      </c>
      <c r="D137" s="14">
        <f>IF(원생!$A135="","",SUMIFS(수납!$F:$F,수납!$C:$C,원생!$A135,수납!$D:$D,IF(원생!$G135="","",원생!$G135),수납!$B:$B,$B$1&amp;"-"&amp;TEXT(2,"00")&amp;"*",수납!$E:$E,"수강료")+SUMIFS(수납!$F:$F,수납!$C:$C,원생!$A135,수납!$D:$D,IF(원생!$G135="","",원생!$G135),수납!$B:$B,$B$1&amp;"-"&amp;TEXT(2,"00")&amp;"*",수납!$E:$E,""))</f>
        <v/>
      </c>
      <c r="E137" s="14">
        <f>IF(원생!$A135="","",SUMIFS(수납!$F:$F,수납!$C:$C,원생!$A135,수납!$D:$D,IF(원생!$G135="","",원생!$G135),수납!$B:$B,$B$1&amp;"-"&amp;TEXT(3,"00")&amp;"*",수납!$E:$E,"수강료")+SUMIFS(수납!$F:$F,수납!$C:$C,원생!$A135,수납!$D:$D,IF(원생!$G135="","",원생!$G135),수납!$B:$B,$B$1&amp;"-"&amp;TEXT(3,"00")&amp;"*",수납!$E:$E,""))</f>
        <v/>
      </c>
      <c r="F137" s="14">
        <f>IF(원생!$A135="","",SUMIFS(수납!$F:$F,수납!$C:$C,원생!$A135,수납!$D:$D,IF(원생!$G135="","",원생!$G135),수납!$B:$B,$B$1&amp;"-"&amp;TEXT(4,"00")&amp;"*",수납!$E:$E,"수강료")+SUMIFS(수납!$F:$F,수납!$C:$C,원생!$A135,수납!$D:$D,IF(원생!$G135="","",원생!$G135),수납!$B:$B,$B$1&amp;"-"&amp;TEXT(4,"00")&amp;"*",수납!$E:$E,""))</f>
        <v/>
      </c>
      <c r="G137" s="14">
        <f>IF(원생!$A135="","",SUMIFS(수납!$F:$F,수납!$C:$C,원생!$A135,수납!$D:$D,IF(원생!$G135="","",원생!$G135),수납!$B:$B,$B$1&amp;"-"&amp;TEXT(5,"00")&amp;"*",수납!$E:$E,"수강료")+SUMIFS(수납!$F:$F,수납!$C:$C,원생!$A135,수납!$D:$D,IF(원생!$G135="","",원생!$G135),수납!$B:$B,$B$1&amp;"-"&amp;TEXT(5,"00")&amp;"*",수납!$E:$E,""))</f>
        <v/>
      </c>
      <c r="H137" s="14">
        <f>IF(원생!$A135="","",SUMIFS(수납!$F:$F,수납!$C:$C,원생!$A135,수납!$D:$D,IF(원생!$G135="","",원생!$G135),수납!$B:$B,$B$1&amp;"-"&amp;TEXT(6,"00")&amp;"*",수납!$E:$E,"수강료")+SUMIFS(수납!$F:$F,수납!$C:$C,원생!$A135,수납!$D:$D,IF(원생!$G135="","",원생!$G135),수납!$B:$B,$B$1&amp;"-"&amp;TEXT(6,"00")&amp;"*",수납!$E:$E,""))</f>
        <v/>
      </c>
      <c r="I137" s="14">
        <f>IF(원생!$A135="","",SUMIFS(수납!$F:$F,수납!$C:$C,원생!$A135,수납!$D:$D,IF(원생!$G135="","",원생!$G135),수납!$B:$B,$B$1&amp;"-"&amp;TEXT(7,"00")&amp;"*",수납!$E:$E,"수강료")+SUMIFS(수납!$F:$F,수납!$C:$C,원생!$A135,수납!$D:$D,IF(원생!$G135="","",원생!$G135),수납!$B:$B,$B$1&amp;"-"&amp;TEXT(7,"00")&amp;"*",수납!$E:$E,""))</f>
        <v/>
      </c>
      <c r="J137" s="14">
        <f>IF(원생!$A135="","",SUMIFS(수납!$F:$F,수납!$C:$C,원생!$A135,수납!$D:$D,IF(원생!$G135="","",원생!$G135),수납!$B:$B,$B$1&amp;"-"&amp;TEXT(8,"00")&amp;"*",수납!$E:$E,"수강료")+SUMIFS(수납!$F:$F,수납!$C:$C,원생!$A135,수납!$D:$D,IF(원생!$G135="","",원생!$G135),수납!$B:$B,$B$1&amp;"-"&amp;TEXT(8,"00")&amp;"*",수납!$E:$E,""))</f>
        <v/>
      </c>
      <c r="K137" s="14">
        <f>IF(원생!$A135="","",SUMIFS(수납!$F:$F,수납!$C:$C,원생!$A135,수납!$D:$D,IF(원생!$G135="","",원생!$G135),수납!$B:$B,$B$1&amp;"-"&amp;TEXT(9,"00")&amp;"*",수납!$E:$E,"수강료")+SUMIFS(수납!$F:$F,수납!$C:$C,원생!$A135,수납!$D:$D,IF(원생!$G135="","",원생!$G135),수납!$B:$B,$B$1&amp;"-"&amp;TEXT(9,"00")&amp;"*",수납!$E:$E,""))</f>
        <v/>
      </c>
      <c r="L137" s="14">
        <f>IF(원생!$A135="","",SUMIFS(수납!$F:$F,수납!$C:$C,원생!$A135,수납!$D:$D,IF(원생!$G135="","",원생!$G135),수납!$B:$B,$B$1&amp;"-"&amp;TEXT(10,"00")&amp;"*",수납!$E:$E,"수강료")+SUMIFS(수납!$F:$F,수납!$C:$C,원생!$A135,수납!$D:$D,IF(원생!$G135="","",원생!$G135),수납!$B:$B,$B$1&amp;"-"&amp;TEXT(10,"00")&amp;"*",수납!$E:$E,""))</f>
        <v/>
      </c>
      <c r="M137" s="14">
        <f>IF(원생!$A135="","",SUMIFS(수납!$F:$F,수납!$C:$C,원생!$A135,수납!$D:$D,IF(원생!$G135="","",원생!$G135),수납!$B:$B,$B$1&amp;"-"&amp;TEXT(11,"00")&amp;"*",수납!$E:$E,"수강료")+SUMIFS(수납!$F:$F,수납!$C:$C,원생!$A135,수납!$D:$D,IF(원생!$G135="","",원생!$G135),수납!$B:$B,$B$1&amp;"-"&amp;TEXT(11,"00")&amp;"*",수납!$E:$E,""))</f>
        <v/>
      </c>
      <c r="N137" s="14">
        <f>IF(원생!$A135="","",SUMIFS(수납!$F:$F,수납!$C:$C,원생!$A135,수납!$D:$D,IF(원생!$G135="","",원생!$G135),수납!$B:$B,$B$1&amp;"-"&amp;TEXT(12,"00")&amp;"*",수납!$E:$E,"수강료")+SUMIFS(수납!$F:$F,수납!$C:$C,원생!$A135,수납!$D:$D,IF(원생!$G135="","",원생!$G135),수납!$B:$B,$B$1&amp;"-"&amp;TEXT(12,"00")&amp;"*",수납!$E:$E,""))</f>
        <v/>
      </c>
      <c r="O137">
        <f>IF(원생!$I135="","",원생!$I135)</f>
        <v/>
      </c>
      <c r="P137">
        <f>IF($A137="","",IF(AND($B137&gt;0,C137&lt;$B137,DATE($B$1,1,1)&lt;=TODAY(),OR($O137="",$O137&gt;=DATE($B$1,1,1)),OR(COUNTIF($C137:C137,"&gt;0")&gt;0,DATE($B$1,1,1)=DATE(YEAR(TODAY()),MONTH(TODAY()),1))),1,0))</f>
        <v/>
      </c>
      <c r="Q137">
        <f>IF($A137="","",IF(AND($B137&gt;0,D137&lt;$B137,DATE($B$1,2,1)&lt;=TODAY(),OR($O137="",$O137&gt;=DATE($B$1,2,1)),OR(COUNTIF($C137:D137,"&gt;0")&gt;0,DATE($B$1,2,1)=DATE(YEAR(TODAY()),MONTH(TODAY()),1))),1,0))</f>
        <v/>
      </c>
      <c r="R137">
        <f>IF($A137="","",IF(AND($B137&gt;0,E137&lt;$B137,DATE($B$1,3,1)&lt;=TODAY(),OR($O137="",$O137&gt;=DATE($B$1,3,1)),OR(COUNTIF($C137:E137,"&gt;0")&gt;0,DATE($B$1,3,1)=DATE(YEAR(TODAY()),MONTH(TODAY()),1))),1,0))</f>
        <v/>
      </c>
      <c r="S137">
        <f>IF($A137="","",IF(AND($B137&gt;0,F137&lt;$B137,DATE($B$1,4,1)&lt;=TODAY(),OR($O137="",$O137&gt;=DATE($B$1,4,1)),OR(COUNTIF($C137:F137,"&gt;0")&gt;0,DATE($B$1,4,1)=DATE(YEAR(TODAY()),MONTH(TODAY()),1))),1,0))</f>
        <v/>
      </c>
      <c r="T137">
        <f>IF($A137="","",IF(AND($B137&gt;0,G137&lt;$B137,DATE($B$1,5,1)&lt;=TODAY(),OR($O137="",$O137&gt;=DATE($B$1,5,1)),OR(COUNTIF($C137:G137,"&gt;0")&gt;0,DATE($B$1,5,1)=DATE(YEAR(TODAY()),MONTH(TODAY()),1))),1,0))</f>
        <v/>
      </c>
      <c r="U137">
        <f>IF($A137="","",IF(AND($B137&gt;0,H137&lt;$B137,DATE($B$1,6,1)&lt;=TODAY(),OR($O137="",$O137&gt;=DATE($B$1,6,1)),OR(COUNTIF($C137:H137,"&gt;0")&gt;0,DATE($B$1,6,1)=DATE(YEAR(TODAY()),MONTH(TODAY()),1))),1,0))</f>
        <v/>
      </c>
      <c r="V137">
        <f>IF($A137="","",IF(AND($B137&gt;0,I137&lt;$B137,DATE($B$1,7,1)&lt;=TODAY(),OR($O137="",$O137&gt;=DATE($B$1,7,1)),OR(COUNTIF($C137:I137,"&gt;0")&gt;0,DATE($B$1,7,1)=DATE(YEAR(TODAY()),MONTH(TODAY()),1))),1,0))</f>
        <v/>
      </c>
      <c r="W137">
        <f>IF($A137="","",IF(AND($B137&gt;0,J137&lt;$B137,DATE($B$1,8,1)&lt;=TODAY(),OR($O137="",$O137&gt;=DATE($B$1,8,1)),OR(COUNTIF($C137:J137,"&gt;0")&gt;0,DATE($B$1,8,1)=DATE(YEAR(TODAY()),MONTH(TODAY()),1))),1,0))</f>
        <v/>
      </c>
      <c r="X137">
        <f>IF($A137="","",IF(AND($B137&gt;0,K137&lt;$B137,DATE($B$1,9,1)&lt;=TODAY(),OR($O137="",$O137&gt;=DATE($B$1,9,1)),OR(COUNTIF($C137:K137,"&gt;0")&gt;0,DATE($B$1,9,1)=DATE(YEAR(TODAY()),MONTH(TODAY()),1))),1,0))</f>
        <v/>
      </c>
      <c r="Y137">
        <f>IF($A137="","",IF(AND($B137&gt;0,L137&lt;$B137,DATE($B$1,10,1)&lt;=TODAY(),OR($O137="",$O137&gt;=DATE($B$1,10,1)),OR(COUNTIF($C137:L137,"&gt;0")&gt;0,DATE($B$1,10,1)=DATE(YEAR(TODAY()),MONTH(TODAY()),1))),1,0))</f>
        <v/>
      </c>
      <c r="Z137">
        <f>IF($A137="","",IF(AND($B137&gt;0,M137&lt;$B137,DATE($B$1,11,1)&lt;=TODAY(),OR($O137="",$O137&gt;=DATE($B$1,11,1)),OR(COUNTIF($C137:M137,"&gt;0")&gt;0,DATE($B$1,11,1)=DATE(YEAR(TODAY()),MONTH(TODAY()),1))),1,0))</f>
        <v/>
      </c>
      <c r="AA137">
        <f>IF($A137="","",IF(AND($B137&gt;0,N137&lt;$B137,DATE($B$1,12,1)&lt;=TODAY(),OR($O137="",$O137&gt;=DATE($B$1,12,1)),OR(COUNTIF($C137:N137,"&gt;0")&gt;0,DATE($B$1,12,1)=DATE(YEAR(TODAY()),MONTH(TODAY()),1))),1,0))</f>
        <v/>
      </c>
    </row>
    <row r="138">
      <c r="A138" s="13">
        <f>IF(원생!$A136="","",원생!$A136&amp;IF(원생!$G136="",""," ("&amp;원생!$G136&amp;")"))</f>
        <v/>
      </c>
      <c r="B138" s="8">
        <f>IF(원생!$A136="","",원생!$F136)</f>
        <v/>
      </c>
      <c r="C138" s="14">
        <f>IF(원생!$A136="","",SUMIFS(수납!$F:$F,수납!$C:$C,원생!$A136,수납!$D:$D,IF(원생!$G136="","",원생!$G136),수납!$B:$B,$B$1&amp;"-"&amp;TEXT(1,"00")&amp;"*",수납!$E:$E,"수강료")+SUMIFS(수납!$F:$F,수납!$C:$C,원생!$A136,수납!$D:$D,IF(원생!$G136="","",원생!$G136),수납!$B:$B,$B$1&amp;"-"&amp;TEXT(1,"00")&amp;"*",수납!$E:$E,""))</f>
        <v/>
      </c>
      <c r="D138" s="14">
        <f>IF(원생!$A136="","",SUMIFS(수납!$F:$F,수납!$C:$C,원생!$A136,수납!$D:$D,IF(원생!$G136="","",원생!$G136),수납!$B:$B,$B$1&amp;"-"&amp;TEXT(2,"00")&amp;"*",수납!$E:$E,"수강료")+SUMIFS(수납!$F:$F,수납!$C:$C,원생!$A136,수납!$D:$D,IF(원생!$G136="","",원생!$G136),수납!$B:$B,$B$1&amp;"-"&amp;TEXT(2,"00")&amp;"*",수납!$E:$E,""))</f>
        <v/>
      </c>
      <c r="E138" s="14">
        <f>IF(원생!$A136="","",SUMIFS(수납!$F:$F,수납!$C:$C,원생!$A136,수납!$D:$D,IF(원생!$G136="","",원생!$G136),수납!$B:$B,$B$1&amp;"-"&amp;TEXT(3,"00")&amp;"*",수납!$E:$E,"수강료")+SUMIFS(수납!$F:$F,수납!$C:$C,원생!$A136,수납!$D:$D,IF(원생!$G136="","",원생!$G136),수납!$B:$B,$B$1&amp;"-"&amp;TEXT(3,"00")&amp;"*",수납!$E:$E,""))</f>
        <v/>
      </c>
      <c r="F138" s="14">
        <f>IF(원생!$A136="","",SUMIFS(수납!$F:$F,수납!$C:$C,원생!$A136,수납!$D:$D,IF(원생!$G136="","",원생!$G136),수납!$B:$B,$B$1&amp;"-"&amp;TEXT(4,"00")&amp;"*",수납!$E:$E,"수강료")+SUMIFS(수납!$F:$F,수납!$C:$C,원생!$A136,수납!$D:$D,IF(원생!$G136="","",원생!$G136),수납!$B:$B,$B$1&amp;"-"&amp;TEXT(4,"00")&amp;"*",수납!$E:$E,""))</f>
        <v/>
      </c>
      <c r="G138" s="14">
        <f>IF(원생!$A136="","",SUMIFS(수납!$F:$F,수납!$C:$C,원생!$A136,수납!$D:$D,IF(원생!$G136="","",원생!$G136),수납!$B:$B,$B$1&amp;"-"&amp;TEXT(5,"00")&amp;"*",수납!$E:$E,"수강료")+SUMIFS(수납!$F:$F,수납!$C:$C,원생!$A136,수납!$D:$D,IF(원생!$G136="","",원생!$G136),수납!$B:$B,$B$1&amp;"-"&amp;TEXT(5,"00")&amp;"*",수납!$E:$E,""))</f>
        <v/>
      </c>
      <c r="H138" s="14">
        <f>IF(원생!$A136="","",SUMIFS(수납!$F:$F,수납!$C:$C,원생!$A136,수납!$D:$D,IF(원생!$G136="","",원생!$G136),수납!$B:$B,$B$1&amp;"-"&amp;TEXT(6,"00")&amp;"*",수납!$E:$E,"수강료")+SUMIFS(수납!$F:$F,수납!$C:$C,원생!$A136,수납!$D:$D,IF(원생!$G136="","",원생!$G136),수납!$B:$B,$B$1&amp;"-"&amp;TEXT(6,"00")&amp;"*",수납!$E:$E,""))</f>
        <v/>
      </c>
      <c r="I138" s="14">
        <f>IF(원생!$A136="","",SUMIFS(수납!$F:$F,수납!$C:$C,원생!$A136,수납!$D:$D,IF(원생!$G136="","",원생!$G136),수납!$B:$B,$B$1&amp;"-"&amp;TEXT(7,"00")&amp;"*",수납!$E:$E,"수강료")+SUMIFS(수납!$F:$F,수납!$C:$C,원생!$A136,수납!$D:$D,IF(원생!$G136="","",원생!$G136),수납!$B:$B,$B$1&amp;"-"&amp;TEXT(7,"00")&amp;"*",수납!$E:$E,""))</f>
        <v/>
      </c>
      <c r="J138" s="14">
        <f>IF(원생!$A136="","",SUMIFS(수납!$F:$F,수납!$C:$C,원생!$A136,수납!$D:$D,IF(원생!$G136="","",원생!$G136),수납!$B:$B,$B$1&amp;"-"&amp;TEXT(8,"00")&amp;"*",수납!$E:$E,"수강료")+SUMIFS(수납!$F:$F,수납!$C:$C,원생!$A136,수납!$D:$D,IF(원생!$G136="","",원생!$G136),수납!$B:$B,$B$1&amp;"-"&amp;TEXT(8,"00")&amp;"*",수납!$E:$E,""))</f>
        <v/>
      </c>
      <c r="K138" s="14">
        <f>IF(원생!$A136="","",SUMIFS(수납!$F:$F,수납!$C:$C,원생!$A136,수납!$D:$D,IF(원생!$G136="","",원생!$G136),수납!$B:$B,$B$1&amp;"-"&amp;TEXT(9,"00")&amp;"*",수납!$E:$E,"수강료")+SUMIFS(수납!$F:$F,수납!$C:$C,원생!$A136,수납!$D:$D,IF(원생!$G136="","",원생!$G136),수납!$B:$B,$B$1&amp;"-"&amp;TEXT(9,"00")&amp;"*",수납!$E:$E,""))</f>
        <v/>
      </c>
      <c r="L138" s="14">
        <f>IF(원생!$A136="","",SUMIFS(수납!$F:$F,수납!$C:$C,원생!$A136,수납!$D:$D,IF(원생!$G136="","",원생!$G136),수납!$B:$B,$B$1&amp;"-"&amp;TEXT(10,"00")&amp;"*",수납!$E:$E,"수강료")+SUMIFS(수납!$F:$F,수납!$C:$C,원생!$A136,수납!$D:$D,IF(원생!$G136="","",원생!$G136),수납!$B:$B,$B$1&amp;"-"&amp;TEXT(10,"00")&amp;"*",수납!$E:$E,""))</f>
        <v/>
      </c>
      <c r="M138" s="14">
        <f>IF(원생!$A136="","",SUMIFS(수납!$F:$F,수납!$C:$C,원생!$A136,수납!$D:$D,IF(원생!$G136="","",원생!$G136),수납!$B:$B,$B$1&amp;"-"&amp;TEXT(11,"00")&amp;"*",수납!$E:$E,"수강료")+SUMIFS(수납!$F:$F,수납!$C:$C,원생!$A136,수납!$D:$D,IF(원생!$G136="","",원생!$G136),수납!$B:$B,$B$1&amp;"-"&amp;TEXT(11,"00")&amp;"*",수납!$E:$E,""))</f>
        <v/>
      </c>
      <c r="N138" s="14">
        <f>IF(원생!$A136="","",SUMIFS(수납!$F:$F,수납!$C:$C,원생!$A136,수납!$D:$D,IF(원생!$G136="","",원생!$G136),수납!$B:$B,$B$1&amp;"-"&amp;TEXT(12,"00")&amp;"*",수납!$E:$E,"수강료")+SUMIFS(수납!$F:$F,수납!$C:$C,원생!$A136,수납!$D:$D,IF(원생!$G136="","",원생!$G136),수납!$B:$B,$B$1&amp;"-"&amp;TEXT(12,"00")&amp;"*",수납!$E:$E,""))</f>
        <v/>
      </c>
      <c r="O138">
        <f>IF(원생!$I136="","",원생!$I136)</f>
        <v/>
      </c>
      <c r="P138">
        <f>IF($A138="","",IF(AND($B138&gt;0,C138&lt;$B138,DATE($B$1,1,1)&lt;=TODAY(),OR($O138="",$O138&gt;=DATE($B$1,1,1)),OR(COUNTIF($C138:C138,"&gt;0")&gt;0,DATE($B$1,1,1)=DATE(YEAR(TODAY()),MONTH(TODAY()),1))),1,0))</f>
        <v/>
      </c>
      <c r="Q138">
        <f>IF($A138="","",IF(AND($B138&gt;0,D138&lt;$B138,DATE($B$1,2,1)&lt;=TODAY(),OR($O138="",$O138&gt;=DATE($B$1,2,1)),OR(COUNTIF($C138:D138,"&gt;0")&gt;0,DATE($B$1,2,1)=DATE(YEAR(TODAY()),MONTH(TODAY()),1))),1,0))</f>
        <v/>
      </c>
      <c r="R138">
        <f>IF($A138="","",IF(AND($B138&gt;0,E138&lt;$B138,DATE($B$1,3,1)&lt;=TODAY(),OR($O138="",$O138&gt;=DATE($B$1,3,1)),OR(COUNTIF($C138:E138,"&gt;0")&gt;0,DATE($B$1,3,1)=DATE(YEAR(TODAY()),MONTH(TODAY()),1))),1,0))</f>
        <v/>
      </c>
      <c r="S138">
        <f>IF($A138="","",IF(AND($B138&gt;0,F138&lt;$B138,DATE($B$1,4,1)&lt;=TODAY(),OR($O138="",$O138&gt;=DATE($B$1,4,1)),OR(COUNTIF($C138:F138,"&gt;0")&gt;0,DATE($B$1,4,1)=DATE(YEAR(TODAY()),MONTH(TODAY()),1))),1,0))</f>
        <v/>
      </c>
      <c r="T138">
        <f>IF($A138="","",IF(AND($B138&gt;0,G138&lt;$B138,DATE($B$1,5,1)&lt;=TODAY(),OR($O138="",$O138&gt;=DATE($B$1,5,1)),OR(COUNTIF($C138:G138,"&gt;0")&gt;0,DATE($B$1,5,1)=DATE(YEAR(TODAY()),MONTH(TODAY()),1))),1,0))</f>
        <v/>
      </c>
      <c r="U138">
        <f>IF($A138="","",IF(AND($B138&gt;0,H138&lt;$B138,DATE($B$1,6,1)&lt;=TODAY(),OR($O138="",$O138&gt;=DATE($B$1,6,1)),OR(COUNTIF($C138:H138,"&gt;0")&gt;0,DATE($B$1,6,1)=DATE(YEAR(TODAY()),MONTH(TODAY()),1))),1,0))</f>
        <v/>
      </c>
      <c r="V138">
        <f>IF($A138="","",IF(AND($B138&gt;0,I138&lt;$B138,DATE($B$1,7,1)&lt;=TODAY(),OR($O138="",$O138&gt;=DATE($B$1,7,1)),OR(COUNTIF($C138:I138,"&gt;0")&gt;0,DATE($B$1,7,1)=DATE(YEAR(TODAY()),MONTH(TODAY()),1))),1,0))</f>
        <v/>
      </c>
      <c r="W138">
        <f>IF($A138="","",IF(AND($B138&gt;0,J138&lt;$B138,DATE($B$1,8,1)&lt;=TODAY(),OR($O138="",$O138&gt;=DATE($B$1,8,1)),OR(COUNTIF($C138:J138,"&gt;0")&gt;0,DATE($B$1,8,1)=DATE(YEAR(TODAY()),MONTH(TODAY()),1))),1,0))</f>
        <v/>
      </c>
      <c r="X138">
        <f>IF($A138="","",IF(AND($B138&gt;0,K138&lt;$B138,DATE($B$1,9,1)&lt;=TODAY(),OR($O138="",$O138&gt;=DATE($B$1,9,1)),OR(COUNTIF($C138:K138,"&gt;0")&gt;0,DATE($B$1,9,1)=DATE(YEAR(TODAY()),MONTH(TODAY()),1))),1,0))</f>
        <v/>
      </c>
      <c r="Y138">
        <f>IF($A138="","",IF(AND($B138&gt;0,L138&lt;$B138,DATE($B$1,10,1)&lt;=TODAY(),OR($O138="",$O138&gt;=DATE($B$1,10,1)),OR(COUNTIF($C138:L138,"&gt;0")&gt;0,DATE($B$1,10,1)=DATE(YEAR(TODAY()),MONTH(TODAY()),1))),1,0))</f>
        <v/>
      </c>
      <c r="Z138">
        <f>IF($A138="","",IF(AND($B138&gt;0,M138&lt;$B138,DATE($B$1,11,1)&lt;=TODAY(),OR($O138="",$O138&gt;=DATE($B$1,11,1)),OR(COUNTIF($C138:M138,"&gt;0")&gt;0,DATE($B$1,11,1)=DATE(YEAR(TODAY()),MONTH(TODAY()),1))),1,0))</f>
        <v/>
      </c>
      <c r="AA138">
        <f>IF($A138="","",IF(AND($B138&gt;0,N138&lt;$B138,DATE($B$1,12,1)&lt;=TODAY(),OR($O138="",$O138&gt;=DATE($B$1,12,1)),OR(COUNTIF($C138:N138,"&gt;0")&gt;0,DATE($B$1,12,1)=DATE(YEAR(TODAY()),MONTH(TODAY()),1))),1,0))</f>
        <v/>
      </c>
    </row>
    <row r="139">
      <c r="A139" s="13">
        <f>IF(원생!$A137="","",원생!$A137&amp;IF(원생!$G137="",""," ("&amp;원생!$G137&amp;")"))</f>
        <v/>
      </c>
      <c r="B139" s="8">
        <f>IF(원생!$A137="","",원생!$F137)</f>
        <v/>
      </c>
      <c r="C139" s="14">
        <f>IF(원생!$A137="","",SUMIFS(수납!$F:$F,수납!$C:$C,원생!$A137,수납!$D:$D,IF(원생!$G137="","",원생!$G137),수납!$B:$B,$B$1&amp;"-"&amp;TEXT(1,"00")&amp;"*",수납!$E:$E,"수강료")+SUMIFS(수납!$F:$F,수납!$C:$C,원생!$A137,수납!$D:$D,IF(원생!$G137="","",원생!$G137),수납!$B:$B,$B$1&amp;"-"&amp;TEXT(1,"00")&amp;"*",수납!$E:$E,""))</f>
        <v/>
      </c>
      <c r="D139" s="14">
        <f>IF(원생!$A137="","",SUMIFS(수납!$F:$F,수납!$C:$C,원생!$A137,수납!$D:$D,IF(원생!$G137="","",원생!$G137),수납!$B:$B,$B$1&amp;"-"&amp;TEXT(2,"00")&amp;"*",수납!$E:$E,"수강료")+SUMIFS(수납!$F:$F,수납!$C:$C,원생!$A137,수납!$D:$D,IF(원생!$G137="","",원생!$G137),수납!$B:$B,$B$1&amp;"-"&amp;TEXT(2,"00")&amp;"*",수납!$E:$E,""))</f>
        <v/>
      </c>
      <c r="E139" s="14">
        <f>IF(원생!$A137="","",SUMIFS(수납!$F:$F,수납!$C:$C,원생!$A137,수납!$D:$D,IF(원생!$G137="","",원생!$G137),수납!$B:$B,$B$1&amp;"-"&amp;TEXT(3,"00")&amp;"*",수납!$E:$E,"수강료")+SUMIFS(수납!$F:$F,수납!$C:$C,원생!$A137,수납!$D:$D,IF(원생!$G137="","",원생!$G137),수납!$B:$B,$B$1&amp;"-"&amp;TEXT(3,"00")&amp;"*",수납!$E:$E,""))</f>
        <v/>
      </c>
      <c r="F139" s="14">
        <f>IF(원생!$A137="","",SUMIFS(수납!$F:$F,수납!$C:$C,원생!$A137,수납!$D:$D,IF(원생!$G137="","",원생!$G137),수납!$B:$B,$B$1&amp;"-"&amp;TEXT(4,"00")&amp;"*",수납!$E:$E,"수강료")+SUMIFS(수납!$F:$F,수납!$C:$C,원생!$A137,수납!$D:$D,IF(원생!$G137="","",원생!$G137),수납!$B:$B,$B$1&amp;"-"&amp;TEXT(4,"00")&amp;"*",수납!$E:$E,""))</f>
        <v/>
      </c>
      <c r="G139" s="14">
        <f>IF(원생!$A137="","",SUMIFS(수납!$F:$F,수납!$C:$C,원생!$A137,수납!$D:$D,IF(원생!$G137="","",원생!$G137),수납!$B:$B,$B$1&amp;"-"&amp;TEXT(5,"00")&amp;"*",수납!$E:$E,"수강료")+SUMIFS(수납!$F:$F,수납!$C:$C,원생!$A137,수납!$D:$D,IF(원생!$G137="","",원생!$G137),수납!$B:$B,$B$1&amp;"-"&amp;TEXT(5,"00")&amp;"*",수납!$E:$E,""))</f>
        <v/>
      </c>
      <c r="H139" s="14">
        <f>IF(원생!$A137="","",SUMIFS(수납!$F:$F,수납!$C:$C,원생!$A137,수납!$D:$D,IF(원생!$G137="","",원생!$G137),수납!$B:$B,$B$1&amp;"-"&amp;TEXT(6,"00")&amp;"*",수납!$E:$E,"수강료")+SUMIFS(수납!$F:$F,수납!$C:$C,원생!$A137,수납!$D:$D,IF(원생!$G137="","",원생!$G137),수납!$B:$B,$B$1&amp;"-"&amp;TEXT(6,"00")&amp;"*",수납!$E:$E,""))</f>
        <v/>
      </c>
      <c r="I139" s="14">
        <f>IF(원생!$A137="","",SUMIFS(수납!$F:$F,수납!$C:$C,원생!$A137,수납!$D:$D,IF(원생!$G137="","",원생!$G137),수납!$B:$B,$B$1&amp;"-"&amp;TEXT(7,"00")&amp;"*",수납!$E:$E,"수강료")+SUMIFS(수납!$F:$F,수납!$C:$C,원생!$A137,수납!$D:$D,IF(원생!$G137="","",원생!$G137),수납!$B:$B,$B$1&amp;"-"&amp;TEXT(7,"00")&amp;"*",수납!$E:$E,""))</f>
        <v/>
      </c>
      <c r="J139" s="14">
        <f>IF(원생!$A137="","",SUMIFS(수납!$F:$F,수납!$C:$C,원생!$A137,수납!$D:$D,IF(원생!$G137="","",원생!$G137),수납!$B:$B,$B$1&amp;"-"&amp;TEXT(8,"00")&amp;"*",수납!$E:$E,"수강료")+SUMIFS(수납!$F:$F,수납!$C:$C,원생!$A137,수납!$D:$D,IF(원생!$G137="","",원생!$G137),수납!$B:$B,$B$1&amp;"-"&amp;TEXT(8,"00")&amp;"*",수납!$E:$E,""))</f>
        <v/>
      </c>
      <c r="K139" s="14">
        <f>IF(원생!$A137="","",SUMIFS(수납!$F:$F,수납!$C:$C,원생!$A137,수납!$D:$D,IF(원생!$G137="","",원생!$G137),수납!$B:$B,$B$1&amp;"-"&amp;TEXT(9,"00")&amp;"*",수납!$E:$E,"수강료")+SUMIFS(수납!$F:$F,수납!$C:$C,원생!$A137,수납!$D:$D,IF(원생!$G137="","",원생!$G137),수납!$B:$B,$B$1&amp;"-"&amp;TEXT(9,"00")&amp;"*",수납!$E:$E,""))</f>
        <v/>
      </c>
      <c r="L139" s="14">
        <f>IF(원생!$A137="","",SUMIFS(수납!$F:$F,수납!$C:$C,원생!$A137,수납!$D:$D,IF(원생!$G137="","",원생!$G137),수납!$B:$B,$B$1&amp;"-"&amp;TEXT(10,"00")&amp;"*",수납!$E:$E,"수강료")+SUMIFS(수납!$F:$F,수납!$C:$C,원생!$A137,수납!$D:$D,IF(원생!$G137="","",원생!$G137),수납!$B:$B,$B$1&amp;"-"&amp;TEXT(10,"00")&amp;"*",수납!$E:$E,""))</f>
        <v/>
      </c>
      <c r="M139" s="14">
        <f>IF(원생!$A137="","",SUMIFS(수납!$F:$F,수납!$C:$C,원생!$A137,수납!$D:$D,IF(원생!$G137="","",원생!$G137),수납!$B:$B,$B$1&amp;"-"&amp;TEXT(11,"00")&amp;"*",수납!$E:$E,"수강료")+SUMIFS(수납!$F:$F,수납!$C:$C,원생!$A137,수납!$D:$D,IF(원생!$G137="","",원생!$G137),수납!$B:$B,$B$1&amp;"-"&amp;TEXT(11,"00")&amp;"*",수납!$E:$E,""))</f>
        <v/>
      </c>
      <c r="N139" s="14">
        <f>IF(원생!$A137="","",SUMIFS(수납!$F:$F,수납!$C:$C,원생!$A137,수납!$D:$D,IF(원생!$G137="","",원생!$G137),수납!$B:$B,$B$1&amp;"-"&amp;TEXT(12,"00")&amp;"*",수납!$E:$E,"수강료")+SUMIFS(수납!$F:$F,수납!$C:$C,원생!$A137,수납!$D:$D,IF(원생!$G137="","",원생!$G137),수납!$B:$B,$B$1&amp;"-"&amp;TEXT(12,"00")&amp;"*",수납!$E:$E,""))</f>
        <v/>
      </c>
      <c r="O139">
        <f>IF(원생!$I137="","",원생!$I137)</f>
        <v/>
      </c>
      <c r="P139">
        <f>IF($A139="","",IF(AND($B139&gt;0,C139&lt;$B139,DATE($B$1,1,1)&lt;=TODAY(),OR($O139="",$O139&gt;=DATE($B$1,1,1)),OR(COUNTIF($C139:C139,"&gt;0")&gt;0,DATE($B$1,1,1)=DATE(YEAR(TODAY()),MONTH(TODAY()),1))),1,0))</f>
        <v/>
      </c>
      <c r="Q139">
        <f>IF($A139="","",IF(AND($B139&gt;0,D139&lt;$B139,DATE($B$1,2,1)&lt;=TODAY(),OR($O139="",$O139&gt;=DATE($B$1,2,1)),OR(COUNTIF($C139:D139,"&gt;0")&gt;0,DATE($B$1,2,1)=DATE(YEAR(TODAY()),MONTH(TODAY()),1))),1,0))</f>
        <v/>
      </c>
      <c r="R139">
        <f>IF($A139="","",IF(AND($B139&gt;0,E139&lt;$B139,DATE($B$1,3,1)&lt;=TODAY(),OR($O139="",$O139&gt;=DATE($B$1,3,1)),OR(COUNTIF($C139:E139,"&gt;0")&gt;0,DATE($B$1,3,1)=DATE(YEAR(TODAY()),MONTH(TODAY()),1))),1,0))</f>
        <v/>
      </c>
      <c r="S139">
        <f>IF($A139="","",IF(AND($B139&gt;0,F139&lt;$B139,DATE($B$1,4,1)&lt;=TODAY(),OR($O139="",$O139&gt;=DATE($B$1,4,1)),OR(COUNTIF($C139:F139,"&gt;0")&gt;0,DATE($B$1,4,1)=DATE(YEAR(TODAY()),MONTH(TODAY()),1))),1,0))</f>
        <v/>
      </c>
      <c r="T139">
        <f>IF($A139="","",IF(AND($B139&gt;0,G139&lt;$B139,DATE($B$1,5,1)&lt;=TODAY(),OR($O139="",$O139&gt;=DATE($B$1,5,1)),OR(COUNTIF($C139:G139,"&gt;0")&gt;0,DATE($B$1,5,1)=DATE(YEAR(TODAY()),MONTH(TODAY()),1))),1,0))</f>
        <v/>
      </c>
      <c r="U139">
        <f>IF($A139="","",IF(AND($B139&gt;0,H139&lt;$B139,DATE($B$1,6,1)&lt;=TODAY(),OR($O139="",$O139&gt;=DATE($B$1,6,1)),OR(COUNTIF($C139:H139,"&gt;0")&gt;0,DATE($B$1,6,1)=DATE(YEAR(TODAY()),MONTH(TODAY()),1))),1,0))</f>
        <v/>
      </c>
      <c r="V139">
        <f>IF($A139="","",IF(AND($B139&gt;0,I139&lt;$B139,DATE($B$1,7,1)&lt;=TODAY(),OR($O139="",$O139&gt;=DATE($B$1,7,1)),OR(COUNTIF($C139:I139,"&gt;0")&gt;0,DATE($B$1,7,1)=DATE(YEAR(TODAY()),MONTH(TODAY()),1))),1,0))</f>
        <v/>
      </c>
      <c r="W139">
        <f>IF($A139="","",IF(AND($B139&gt;0,J139&lt;$B139,DATE($B$1,8,1)&lt;=TODAY(),OR($O139="",$O139&gt;=DATE($B$1,8,1)),OR(COUNTIF($C139:J139,"&gt;0")&gt;0,DATE($B$1,8,1)=DATE(YEAR(TODAY()),MONTH(TODAY()),1))),1,0))</f>
        <v/>
      </c>
      <c r="X139">
        <f>IF($A139="","",IF(AND($B139&gt;0,K139&lt;$B139,DATE($B$1,9,1)&lt;=TODAY(),OR($O139="",$O139&gt;=DATE($B$1,9,1)),OR(COUNTIF($C139:K139,"&gt;0")&gt;0,DATE($B$1,9,1)=DATE(YEAR(TODAY()),MONTH(TODAY()),1))),1,0))</f>
        <v/>
      </c>
      <c r="Y139">
        <f>IF($A139="","",IF(AND($B139&gt;0,L139&lt;$B139,DATE($B$1,10,1)&lt;=TODAY(),OR($O139="",$O139&gt;=DATE($B$1,10,1)),OR(COUNTIF($C139:L139,"&gt;0")&gt;0,DATE($B$1,10,1)=DATE(YEAR(TODAY()),MONTH(TODAY()),1))),1,0))</f>
        <v/>
      </c>
      <c r="Z139">
        <f>IF($A139="","",IF(AND($B139&gt;0,M139&lt;$B139,DATE($B$1,11,1)&lt;=TODAY(),OR($O139="",$O139&gt;=DATE($B$1,11,1)),OR(COUNTIF($C139:M139,"&gt;0")&gt;0,DATE($B$1,11,1)=DATE(YEAR(TODAY()),MONTH(TODAY()),1))),1,0))</f>
        <v/>
      </c>
      <c r="AA139">
        <f>IF($A139="","",IF(AND($B139&gt;0,N139&lt;$B139,DATE($B$1,12,1)&lt;=TODAY(),OR($O139="",$O139&gt;=DATE($B$1,12,1)),OR(COUNTIF($C139:N139,"&gt;0")&gt;0,DATE($B$1,12,1)=DATE(YEAR(TODAY()),MONTH(TODAY()),1))),1,0))</f>
        <v/>
      </c>
    </row>
    <row r="140">
      <c r="A140" s="13">
        <f>IF(원생!$A138="","",원생!$A138&amp;IF(원생!$G138="",""," ("&amp;원생!$G138&amp;")"))</f>
        <v/>
      </c>
      <c r="B140" s="8">
        <f>IF(원생!$A138="","",원생!$F138)</f>
        <v/>
      </c>
      <c r="C140" s="14">
        <f>IF(원생!$A138="","",SUMIFS(수납!$F:$F,수납!$C:$C,원생!$A138,수납!$D:$D,IF(원생!$G138="","",원생!$G138),수납!$B:$B,$B$1&amp;"-"&amp;TEXT(1,"00")&amp;"*",수납!$E:$E,"수강료")+SUMIFS(수납!$F:$F,수납!$C:$C,원생!$A138,수납!$D:$D,IF(원생!$G138="","",원생!$G138),수납!$B:$B,$B$1&amp;"-"&amp;TEXT(1,"00")&amp;"*",수납!$E:$E,""))</f>
        <v/>
      </c>
      <c r="D140" s="14">
        <f>IF(원생!$A138="","",SUMIFS(수납!$F:$F,수납!$C:$C,원생!$A138,수납!$D:$D,IF(원생!$G138="","",원생!$G138),수납!$B:$B,$B$1&amp;"-"&amp;TEXT(2,"00")&amp;"*",수납!$E:$E,"수강료")+SUMIFS(수납!$F:$F,수납!$C:$C,원생!$A138,수납!$D:$D,IF(원생!$G138="","",원생!$G138),수납!$B:$B,$B$1&amp;"-"&amp;TEXT(2,"00")&amp;"*",수납!$E:$E,""))</f>
        <v/>
      </c>
      <c r="E140" s="14">
        <f>IF(원생!$A138="","",SUMIFS(수납!$F:$F,수납!$C:$C,원생!$A138,수납!$D:$D,IF(원생!$G138="","",원생!$G138),수납!$B:$B,$B$1&amp;"-"&amp;TEXT(3,"00")&amp;"*",수납!$E:$E,"수강료")+SUMIFS(수납!$F:$F,수납!$C:$C,원생!$A138,수납!$D:$D,IF(원생!$G138="","",원생!$G138),수납!$B:$B,$B$1&amp;"-"&amp;TEXT(3,"00")&amp;"*",수납!$E:$E,""))</f>
        <v/>
      </c>
      <c r="F140" s="14">
        <f>IF(원생!$A138="","",SUMIFS(수납!$F:$F,수납!$C:$C,원생!$A138,수납!$D:$D,IF(원생!$G138="","",원생!$G138),수납!$B:$B,$B$1&amp;"-"&amp;TEXT(4,"00")&amp;"*",수납!$E:$E,"수강료")+SUMIFS(수납!$F:$F,수납!$C:$C,원생!$A138,수납!$D:$D,IF(원생!$G138="","",원생!$G138),수납!$B:$B,$B$1&amp;"-"&amp;TEXT(4,"00")&amp;"*",수납!$E:$E,""))</f>
        <v/>
      </c>
      <c r="G140" s="14">
        <f>IF(원생!$A138="","",SUMIFS(수납!$F:$F,수납!$C:$C,원생!$A138,수납!$D:$D,IF(원생!$G138="","",원생!$G138),수납!$B:$B,$B$1&amp;"-"&amp;TEXT(5,"00")&amp;"*",수납!$E:$E,"수강료")+SUMIFS(수납!$F:$F,수납!$C:$C,원생!$A138,수납!$D:$D,IF(원생!$G138="","",원생!$G138),수납!$B:$B,$B$1&amp;"-"&amp;TEXT(5,"00")&amp;"*",수납!$E:$E,""))</f>
        <v/>
      </c>
      <c r="H140" s="14">
        <f>IF(원생!$A138="","",SUMIFS(수납!$F:$F,수납!$C:$C,원생!$A138,수납!$D:$D,IF(원생!$G138="","",원생!$G138),수납!$B:$B,$B$1&amp;"-"&amp;TEXT(6,"00")&amp;"*",수납!$E:$E,"수강료")+SUMIFS(수납!$F:$F,수납!$C:$C,원생!$A138,수납!$D:$D,IF(원생!$G138="","",원생!$G138),수납!$B:$B,$B$1&amp;"-"&amp;TEXT(6,"00")&amp;"*",수납!$E:$E,""))</f>
        <v/>
      </c>
      <c r="I140" s="14">
        <f>IF(원생!$A138="","",SUMIFS(수납!$F:$F,수납!$C:$C,원생!$A138,수납!$D:$D,IF(원생!$G138="","",원생!$G138),수납!$B:$B,$B$1&amp;"-"&amp;TEXT(7,"00")&amp;"*",수납!$E:$E,"수강료")+SUMIFS(수납!$F:$F,수납!$C:$C,원생!$A138,수납!$D:$D,IF(원생!$G138="","",원생!$G138),수납!$B:$B,$B$1&amp;"-"&amp;TEXT(7,"00")&amp;"*",수납!$E:$E,""))</f>
        <v/>
      </c>
      <c r="J140" s="14">
        <f>IF(원생!$A138="","",SUMIFS(수납!$F:$F,수납!$C:$C,원생!$A138,수납!$D:$D,IF(원생!$G138="","",원생!$G138),수납!$B:$B,$B$1&amp;"-"&amp;TEXT(8,"00")&amp;"*",수납!$E:$E,"수강료")+SUMIFS(수납!$F:$F,수납!$C:$C,원생!$A138,수납!$D:$D,IF(원생!$G138="","",원생!$G138),수납!$B:$B,$B$1&amp;"-"&amp;TEXT(8,"00")&amp;"*",수납!$E:$E,""))</f>
        <v/>
      </c>
      <c r="K140" s="14">
        <f>IF(원생!$A138="","",SUMIFS(수납!$F:$F,수납!$C:$C,원생!$A138,수납!$D:$D,IF(원생!$G138="","",원생!$G138),수납!$B:$B,$B$1&amp;"-"&amp;TEXT(9,"00")&amp;"*",수납!$E:$E,"수강료")+SUMIFS(수납!$F:$F,수납!$C:$C,원생!$A138,수납!$D:$D,IF(원생!$G138="","",원생!$G138),수납!$B:$B,$B$1&amp;"-"&amp;TEXT(9,"00")&amp;"*",수납!$E:$E,""))</f>
        <v/>
      </c>
      <c r="L140" s="14">
        <f>IF(원생!$A138="","",SUMIFS(수납!$F:$F,수납!$C:$C,원생!$A138,수납!$D:$D,IF(원생!$G138="","",원생!$G138),수납!$B:$B,$B$1&amp;"-"&amp;TEXT(10,"00")&amp;"*",수납!$E:$E,"수강료")+SUMIFS(수납!$F:$F,수납!$C:$C,원생!$A138,수납!$D:$D,IF(원생!$G138="","",원생!$G138),수납!$B:$B,$B$1&amp;"-"&amp;TEXT(10,"00")&amp;"*",수납!$E:$E,""))</f>
        <v/>
      </c>
      <c r="M140" s="14">
        <f>IF(원생!$A138="","",SUMIFS(수납!$F:$F,수납!$C:$C,원생!$A138,수납!$D:$D,IF(원생!$G138="","",원생!$G138),수납!$B:$B,$B$1&amp;"-"&amp;TEXT(11,"00")&amp;"*",수납!$E:$E,"수강료")+SUMIFS(수납!$F:$F,수납!$C:$C,원생!$A138,수납!$D:$D,IF(원생!$G138="","",원생!$G138),수납!$B:$B,$B$1&amp;"-"&amp;TEXT(11,"00")&amp;"*",수납!$E:$E,""))</f>
        <v/>
      </c>
      <c r="N140" s="14">
        <f>IF(원생!$A138="","",SUMIFS(수납!$F:$F,수납!$C:$C,원생!$A138,수납!$D:$D,IF(원생!$G138="","",원생!$G138),수납!$B:$B,$B$1&amp;"-"&amp;TEXT(12,"00")&amp;"*",수납!$E:$E,"수강료")+SUMIFS(수납!$F:$F,수납!$C:$C,원생!$A138,수납!$D:$D,IF(원생!$G138="","",원생!$G138),수납!$B:$B,$B$1&amp;"-"&amp;TEXT(12,"00")&amp;"*",수납!$E:$E,""))</f>
        <v/>
      </c>
      <c r="O140">
        <f>IF(원생!$I138="","",원생!$I138)</f>
        <v/>
      </c>
      <c r="P140">
        <f>IF($A140="","",IF(AND($B140&gt;0,C140&lt;$B140,DATE($B$1,1,1)&lt;=TODAY(),OR($O140="",$O140&gt;=DATE($B$1,1,1)),OR(COUNTIF($C140:C140,"&gt;0")&gt;0,DATE($B$1,1,1)=DATE(YEAR(TODAY()),MONTH(TODAY()),1))),1,0))</f>
        <v/>
      </c>
      <c r="Q140">
        <f>IF($A140="","",IF(AND($B140&gt;0,D140&lt;$B140,DATE($B$1,2,1)&lt;=TODAY(),OR($O140="",$O140&gt;=DATE($B$1,2,1)),OR(COUNTIF($C140:D140,"&gt;0")&gt;0,DATE($B$1,2,1)=DATE(YEAR(TODAY()),MONTH(TODAY()),1))),1,0))</f>
        <v/>
      </c>
      <c r="R140">
        <f>IF($A140="","",IF(AND($B140&gt;0,E140&lt;$B140,DATE($B$1,3,1)&lt;=TODAY(),OR($O140="",$O140&gt;=DATE($B$1,3,1)),OR(COUNTIF($C140:E140,"&gt;0")&gt;0,DATE($B$1,3,1)=DATE(YEAR(TODAY()),MONTH(TODAY()),1))),1,0))</f>
        <v/>
      </c>
      <c r="S140">
        <f>IF($A140="","",IF(AND($B140&gt;0,F140&lt;$B140,DATE($B$1,4,1)&lt;=TODAY(),OR($O140="",$O140&gt;=DATE($B$1,4,1)),OR(COUNTIF($C140:F140,"&gt;0")&gt;0,DATE($B$1,4,1)=DATE(YEAR(TODAY()),MONTH(TODAY()),1))),1,0))</f>
        <v/>
      </c>
      <c r="T140">
        <f>IF($A140="","",IF(AND($B140&gt;0,G140&lt;$B140,DATE($B$1,5,1)&lt;=TODAY(),OR($O140="",$O140&gt;=DATE($B$1,5,1)),OR(COUNTIF($C140:G140,"&gt;0")&gt;0,DATE($B$1,5,1)=DATE(YEAR(TODAY()),MONTH(TODAY()),1))),1,0))</f>
        <v/>
      </c>
      <c r="U140">
        <f>IF($A140="","",IF(AND($B140&gt;0,H140&lt;$B140,DATE($B$1,6,1)&lt;=TODAY(),OR($O140="",$O140&gt;=DATE($B$1,6,1)),OR(COUNTIF($C140:H140,"&gt;0")&gt;0,DATE($B$1,6,1)=DATE(YEAR(TODAY()),MONTH(TODAY()),1))),1,0))</f>
        <v/>
      </c>
      <c r="V140">
        <f>IF($A140="","",IF(AND($B140&gt;0,I140&lt;$B140,DATE($B$1,7,1)&lt;=TODAY(),OR($O140="",$O140&gt;=DATE($B$1,7,1)),OR(COUNTIF($C140:I140,"&gt;0")&gt;0,DATE($B$1,7,1)=DATE(YEAR(TODAY()),MONTH(TODAY()),1))),1,0))</f>
        <v/>
      </c>
      <c r="W140">
        <f>IF($A140="","",IF(AND($B140&gt;0,J140&lt;$B140,DATE($B$1,8,1)&lt;=TODAY(),OR($O140="",$O140&gt;=DATE($B$1,8,1)),OR(COUNTIF($C140:J140,"&gt;0")&gt;0,DATE($B$1,8,1)=DATE(YEAR(TODAY()),MONTH(TODAY()),1))),1,0))</f>
        <v/>
      </c>
      <c r="X140">
        <f>IF($A140="","",IF(AND($B140&gt;0,K140&lt;$B140,DATE($B$1,9,1)&lt;=TODAY(),OR($O140="",$O140&gt;=DATE($B$1,9,1)),OR(COUNTIF($C140:K140,"&gt;0")&gt;0,DATE($B$1,9,1)=DATE(YEAR(TODAY()),MONTH(TODAY()),1))),1,0))</f>
        <v/>
      </c>
      <c r="Y140">
        <f>IF($A140="","",IF(AND($B140&gt;0,L140&lt;$B140,DATE($B$1,10,1)&lt;=TODAY(),OR($O140="",$O140&gt;=DATE($B$1,10,1)),OR(COUNTIF($C140:L140,"&gt;0")&gt;0,DATE($B$1,10,1)=DATE(YEAR(TODAY()),MONTH(TODAY()),1))),1,0))</f>
        <v/>
      </c>
      <c r="Z140">
        <f>IF($A140="","",IF(AND($B140&gt;0,M140&lt;$B140,DATE($B$1,11,1)&lt;=TODAY(),OR($O140="",$O140&gt;=DATE($B$1,11,1)),OR(COUNTIF($C140:M140,"&gt;0")&gt;0,DATE($B$1,11,1)=DATE(YEAR(TODAY()),MONTH(TODAY()),1))),1,0))</f>
        <v/>
      </c>
      <c r="AA140">
        <f>IF($A140="","",IF(AND($B140&gt;0,N140&lt;$B140,DATE($B$1,12,1)&lt;=TODAY(),OR($O140="",$O140&gt;=DATE($B$1,12,1)),OR(COUNTIF($C140:N140,"&gt;0")&gt;0,DATE($B$1,12,1)=DATE(YEAR(TODAY()),MONTH(TODAY()),1))),1,0))</f>
        <v/>
      </c>
    </row>
    <row r="141">
      <c r="A141" s="13">
        <f>IF(원생!$A139="","",원생!$A139&amp;IF(원생!$G139="",""," ("&amp;원생!$G139&amp;")"))</f>
        <v/>
      </c>
      <c r="B141" s="8">
        <f>IF(원생!$A139="","",원생!$F139)</f>
        <v/>
      </c>
      <c r="C141" s="14">
        <f>IF(원생!$A139="","",SUMIFS(수납!$F:$F,수납!$C:$C,원생!$A139,수납!$D:$D,IF(원생!$G139="","",원생!$G139),수납!$B:$B,$B$1&amp;"-"&amp;TEXT(1,"00")&amp;"*",수납!$E:$E,"수강료")+SUMIFS(수납!$F:$F,수납!$C:$C,원생!$A139,수납!$D:$D,IF(원생!$G139="","",원생!$G139),수납!$B:$B,$B$1&amp;"-"&amp;TEXT(1,"00")&amp;"*",수납!$E:$E,""))</f>
        <v/>
      </c>
      <c r="D141" s="14">
        <f>IF(원생!$A139="","",SUMIFS(수납!$F:$F,수납!$C:$C,원생!$A139,수납!$D:$D,IF(원생!$G139="","",원생!$G139),수납!$B:$B,$B$1&amp;"-"&amp;TEXT(2,"00")&amp;"*",수납!$E:$E,"수강료")+SUMIFS(수납!$F:$F,수납!$C:$C,원생!$A139,수납!$D:$D,IF(원생!$G139="","",원생!$G139),수납!$B:$B,$B$1&amp;"-"&amp;TEXT(2,"00")&amp;"*",수납!$E:$E,""))</f>
        <v/>
      </c>
      <c r="E141" s="14">
        <f>IF(원생!$A139="","",SUMIFS(수납!$F:$F,수납!$C:$C,원생!$A139,수납!$D:$D,IF(원생!$G139="","",원생!$G139),수납!$B:$B,$B$1&amp;"-"&amp;TEXT(3,"00")&amp;"*",수납!$E:$E,"수강료")+SUMIFS(수납!$F:$F,수납!$C:$C,원생!$A139,수납!$D:$D,IF(원생!$G139="","",원생!$G139),수납!$B:$B,$B$1&amp;"-"&amp;TEXT(3,"00")&amp;"*",수납!$E:$E,""))</f>
        <v/>
      </c>
      <c r="F141" s="14">
        <f>IF(원생!$A139="","",SUMIFS(수납!$F:$F,수납!$C:$C,원생!$A139,수납!$D:$D,IF(원생!$G139="","",원생!$G139),수납!$B:$B,$B$1&amp;"-"&amp;TEXT(4,"00")&amp;"*",수납!$E:$E,"수강료")+SUMIFS(수납!$F:$F,수납!$C:$C,원생!$A139,수납!$D:$D,IF(원생!$G139="","",원생!$G139),수납!$B:$B,$B$1&amp;"-"&amp;TEXT(4,"00")&amp;"*",수납!$E:$E,""))</f>
        <v/>
      </c>
      <c r="G141" s="14">
        <f>IF(원생!$A139="","",SUMIFS(수납!$F:$F,수납!$C:$C,원생!$A139,수납!$D:$D,IF(원생!$G139="","",원생!$G139),수납!$B:$B,$B$1&amp;"-"&amp;TEXT(5,"00")&amp;"*",수납!$E:$E,"수강료")+SUMIFS(수납!$F:$F,수납!$C:$C,원생!$A139,수납!$D:$D,IF(원생!$G139="","",원생!$G139),수납!$B:$B,$B$1&amp;"-"&amp;TEXT(5,"00")&amp;"*",수납!$E:$E,""))</f>
        <v/>
      </c>
      <c r="H141" s="14">
        <f>IF(원생!$A139="","",SUMIFS(수납!$F:$F,수납!$C:$C,원생!$A139,수납!$D:$D,IF(원생!$G139="","",원생!$G139),수납!$B:$B,$B$1&amp;"-"&amp;TEXT(6,"00")&amp;"*",수납!$E:$E,"수강료")+SUMIFS(수납!$F:$F,수납!$C:$C,원생!$A139,수납!$D:$D,IF(원생!$G139="","",원생!$G139),수납!$B:$B,$B$1&amp;"-"&amp;TEXT(6,"00")&amp;"*",수납!$E:$E,""))</f>
        <v/>
      </c>
      <c r="I141" s="14">
        <f>IF(원생!$A139="","",SUMIFS(수납!$F:$F,수납!$C:$C,원생!$A139,수납!$D:$D,IF(원생!$G139="","",원생!$G139),수납!$B:$B,$B$1&amp;"-"&amp;TEXT(7,"00")&amp;"*",수납!$E:$E,"수강료")+SUMIFS(수납!$F:$F,수납!$C:$C,원생!$A139,수납!$D:$D,IF(원생!$G139="","",원생!$G139),수납!$B:$B,$B$1&amp;"-"&amp;TEXT(7,"00")&amp;"*",수납!$E:$E,""))</f>
        <v/>
      </c>
      <c r="J141" s="14">
        <f>IF(원생!$A139="","",SUMIFS(수납!$F:$F,수납!$C:$C,원생!$A139,수납!$D:$D,IF(원생!$G139="","",원생!$G139),수납!$B:$B,$B$1&amp;"-"&amp;TEXT(8,"00")&amp;"*",수납!$E:$E,"수강료")+SUMIFS(수납!$F:$F,수납!$C:$C,원생!$A139,수납!$D:$D,IF(원생!$G139="","",원생!$G139),수납!$B:$B,$B$1&amp;"-"&amp;TEXT(8,"00")&amp;"*",수납!$E:$E,""))</f>
        <v/>
      </c>
      <c r="K141" s="14">
        <f>IF(원생!$A139="","",SUMIFS(수납!$F:$F,수납!$C:$C,원생!$A139,수납!$D:$D,IF(원생!$G139="","",원생!$G139),수납!$B:$B,$B$1&amp;"-"&amp;TEXT(9,"00")&amp;"*",수납!$E:$E,"수강료")+SUMIFS(수납!$F:$F,수납!$C:$C,원생!$A139,수납!$D:$D,IF(원생!$G139="","",원생!$G139),수납!$B:$B,$B$1&amp;"-"&amp;TEXT(9,"00")&amp;"*",수납!$E:$E,""))</f>
        <v/>
      </c>
      <c r="L141" s="14">
        <f>IF(원생!$A139="","",SUMIFS(수납!$F:$F,수납!$C:$C,원생!$A139,수납!$D:$D,IF(원생!$G139="","",원생!$G139),수납!$B:$B,$B$1&amp;"-"&amp;TEXT(10,"00")&amp;"*",수납!$E:$E,"수강료")+SUMIFS(수납!$F:$F,수납!$C:$C,원생!$A139,수납!$D:$D,IF(원생!$G139="","",원생!$G139),수납!$B:$B,$B$1&amp;"-"&amp;TEXT(10,"00")&amp;"*",수납!$E:$E,""))</f>
        <v/>
      </c>
      <c r="M141" s="14">
        <f>IF(원생!$A139="","",SUMIFS(수납!$F:$F,수납!$C:$C,원생!$A139,수납!$D:$D,IF(원생!$G139="","",원생!$G139),수납!$B:$B,$B$1&amp;"-"&amp;TEXT(11,"00")&amp;"*",수납!$E:$E,"수강료")+SUMIFS(수납!$F:$F,수납!$C:$C,원생!$A139,수납!$D:$D,IF(원생!$G139="","",원생!$G139),수납!$B:$B,$B$1&amp;"-"&amp;TEXT(11,"00")&amp;"*",수납!$E:$E,""))</f>
        <v/>
      </c>
      <c r="N141" s="14">
        <f>IF(원생!$A139="","",SUMIFS(수납!$F:$F,수납!$C:$C,원생!$A139,수납!$D:$D,IF(원생!$G139="","",원생!$G139),수납!$B:$B,$B$1&amp;"-"&amp;TEXT(12,"00")&amp;"*",수납!$E:$E,"수강료")+SUMIFS(수납!$F:$F,수납!$C:$C,원생!$A139,수납!$D:$D,IF(원생!$G139="","",원생!$G139),수납!$B:$B,$B$1&amp;"-"&amp;TEXT(12,"00")&amp;"*",수납!$E:$E,""))</f>
        <v/>
      </c>
      <c r="O141">
        <f>IF(원생!$I139="","",원생!$I139)</f>
        <v/>
      </c>
      <c r="P141">
        <f>IF($A141="","",IF(AND($B141&gt;0,C141&lt;$B141,DATE($B$1,1,1)&lt;=TODAY(),OR($O141="",$O141&gt;=DATE($B$1,1,1)),OR(COUNTIF($C141:C141,"&gt;0")&gt;0,DATE($B$1,1,1)=DATE(YEAR(TODAY()),MONTH(TODAY()),1))),1,0))</f>
        <v/>
      </c>
      <c r="Q141">
        <f>IF($A141="","",IF(AND($B141&gt;0,D141&lt;$B141,DATE($B$1,2,1)&lt;=TODAY(),OR($O141="",$O141&gt;=DATE($B$1,2,1)),OR(COUNTIF($C141:D141,"&gt;0")&gt;0,DATE($B$1,2,1)=DATE(YEAR(TODAY()),MONTH(TODAY()),1))),1,0))</f>
        <v/>
      </c>
      <c r="R141">
        <f>IF($A141="","",IF(AND($B141&gt;0,E141&lt;$B141,DATE($B$1,3,1)&lt;=TODAY(),OR($O141="",$O141&gt;=DATE($B$1,3,1)),OR(COUNTIF($C141:E141,"&gt;0")&gt;0,DATE($B$1,3,1)=DATE(YEAR(TODAY()),MONTH(TODAY()),1))),1,0))</f>
        <v/>
      </c>
      <c r="S141">
        <f>IF($A141="","",IF(AND($B141&gt;0,F141&lt;$B141,DATE($B$1,4,1)&lt;=TODAY(),OR($O141="",$O141&gt;=DATE($B$1,4,1)),OR(COUNTIF($C141:F141,"&gt;0")&gt;0,DATE($B$1,4,1)=DATE(YEAR(TODAY()),MONTH(TODAY()),1))),1,0))</f>
        <v/>
      </c>
      <c r="T141">
        <f>IF($A141="","",IF(AND($B141&gt;0,G141&lt;$B141,DATE($B$1,5,1)&lt;=TODAY(),OR($O141="",$O141&gt;=DATE($B$1,5,1)),OR(COUNTIF($C141:G141,"&gt;0")&gt;0,DATE($B$1,5,1)=DATE(YEAR(TODAY()),MONTH(TODAY()),1))),1,0))</f>
        <v/>
      </c>
      <c r="U141">
        <f>IF($A141="","",IF(AND($B141&gt;0,H141&lt;$B141,DATE($B$1,6,1)&lt;=TODAY(),OR($O141="",$O141&gt;=DATE($B$1,6,1)),OR(COUNTIF($C141:H141,"&gt;0")&gt;0,DATE($B$1,6,1)=DATE(YEAR(TODAY()),MONTH(TODAY()),1))),1,0))</f>
        <v/>
      </c>
      <c r="V141">
        <f>IF($A141="","",IF(AND($B141&gt;0,I141&lt;$B141,DATE($B$1,7,1)&lt;=TODAY(),OR($O141="",$O141&gt;=DATE($B$1,7,1)),OR(COUNTIF($C141:I141,"&gt;0")&gt;0,DATE($B$1,7,1)=DATE(YEAR(TODAY()),MONTH(TODAY()),1))),1,0))</f>
        <v/>
      </c>
      <c r="W141">
        <f>IF($A141="","",IF(AND($B141&gt;0,J141&lt;$B141,DATE($B$1,8,1)&lt;=TODAY(),OR($O141="",$O141&gt;=DATE($B$1,8,1)),OR(COUNTIF($C141:J141,"&gt;0")&gt;0,DATE($B$1,8,1)=DATE(YEAR(TODAY()),MONTH(TODAY()),1))),1,0))</f>
        <v/>
      </c>
      <c r="X141">
        <f>IF($A141="","",IF(AND($B141&gt;0,K141&lt;$B141,DATE($B$1,9,1)&lt;=TODAY(),OR($O141="",$O141&gt;=DATE($B$1,9,1)),OR(COUNTIF($C141:K141,"&gt;0")&gt;0,DATE($B$1,9,1)=DATE(YEAR(TODAY()),MONTH(TODAY()),1))),1,0))</f>
        <v/>
      </c>
      <c r="Y141">
        <f>IF($A141="","",IF(AND($B141&gt;0,L141&lt;$B141,DATE($B$1,10,1)&lt;=TODAY(),OR($O141="",$O141&gt;=DATE($B$1,10,1)),OR(COUNTIF($C141:L141,"&gt;0")&gt;0,DATE($B$1,10,1)=DATE(YEAR(TODAY()),MONTH(TODAY()),1))),1,0))</f>
        <v/>
      </c>
      <c r="Z141">
        <f>IF($A141="","",IF(AND($B141&gt;0,M141&lt;$B141,DATE($B$1,11,1)&lt;=TODAY(),OR($O141="",$O141&gt;=DATE($B$1,11,1)),OR(COUNTIF($C141:M141,"&gt;0")&gt;0,DATE($B$1,11,1)=DATE(YEAR(TODAY()),MONTH(TODAY()),1))),1,0))</f>
        <v/>
      </c>
      <c r="AA141">
        <f>IF($A141="","",IF(AND($B141&gt;0,N141&lt;$B141,DATE($B$1,12,1)&lt;=TODAY(),OR($O141="",$O141&gt;=DATE($B$1,12,1)),OR(COUNTIF($C141:N141,"&gt;0")&gt;0,DATE($B$1,12,1)=DATE(YEAR(TODAY()),MONTH(TODAY()),1))),1,0))</f>
        <v/>
      </c>
    </row>
    <row r="142">
      <c r="A142" s="13">
        <f>IF(원생!$A140="","",원생!$A140&amp;IF(원생!$G140="",""," ("&amp;원생!$G140&amp;")"))</f>
        <v/>
      </c>
      <c r="B142" s="8">
        <f>IF(원생!$A140="","",원생!$F140)</f>
        <v/>
      </c>
      <c r="C142" s="14">
        <f>IF(원생!$A140="","",SUMIFS(수납!$F:$F,수납!$C:$C,원생!$A140,수납!$D:$D,IF(원생!$G140="","",원생!$G140),수납!$B:$B,$B$1&amp;"-"&amp;TEXT(1,"00")&amp;"*",수납!$E:$E,"수강료")+SUMIFS(수납!$F:$F,수납!$C:$C,원생!$A140,수납!$D:$D,IF(원생!$G140="","",원생!$G140),수납!$B:$B,$B$1&amp;"-"&amp;TEXT(1,"00")&amp;"*",수납!$E:$E,""))</f>
        <v/>
      </c>
      <c r="D142" s="14">
        <f>IF(원생!$A140="","",SUMIFS(수납!$F:$F,수납!$C:$C,원생!$A140,수납!$D:$D,IF(원생!$G140="","",원생!$G140),수납!$B:$B,$B$1&amp;"-"&amp;TEXT(2,"00")&amp;"*",수납!$E:$E,"수강료")+SUMIFS(수납!$F:$F,수납!$C:$C,원생!$A140,수납!$D:$D,IF(원생!$G140="","",원생!$G140),수납!$B:$B,$B$1&amp;"-"&amp;TEXT(2,"00")&amp;"*",수납!$E:$E,""))</f>
        <v/>
      </c>
      <c r="E142" s="14">
        <f>IF(원생!$A140="","",SUMIFS(수납!$F:$F,수납!$C:$C,원생!$A140,수납!$D:$D,IF(원생!$G140="","",원생!$G140),수납!$B:$B,$B$1&amp;"-"&amp;TEXT(3,"00")&amp;"*",수납!$E:$E,"수강료")+SUMIFS(수납!$F:$F,수납!$C:$C,원생!$A140,수납!$D:$D,IF(원생!$G140="","",원생!$G140),수납!$B:$B,$B$1&amp;"-"&amp;TEXT(3,"00")&amp;"*",수납!$E:$E,""))</f>
        <v/>
      </c>
      <c r="F142" s="14">
        <f>IF(원생!$A140="","",SUMIFS(수납!$F:$F,수납!$C:$C,원생!$A140,수납!$D:$D,IF(원생!$G140="","",원생!$G140),수납!$B:$B,$B$1&amp;"-"&amp;TEXT(4,"00")&amp;"*",수납!$E:$E,"수강료")+SUMIFS(수납!$F:$F,수납!$C:$C,원생!$A140,수납!$D:$D,IF(원생!$G140="","",원생!$G140),수납!$B:$B,$B$1&amp;"-"&amp;TEXT(4,"00")&amp;"*",수납!$E:$E,""))</f>
        <v/>
      </c>
      <c r="G142" s="14">
        <f>IF(원생!$A140="","",SUMIFS(수납!$F:$F,수납!$C:$C,원생!$A140,수납!$D:$D,IF(원생!$G140="","",원생!$G140),수납!$B:$B,$B$1&amp;"-"&amp;TEXT(5,"00")&amp;"*",수납!$E:$E,"수강료")+SUMIFS(수납!$F:$F,수납!$C:$C,원생!$A140,수납!$D:$D,IF(원생!$G140="","",원생!$G140),수납!$B:$B,$B$1&amp;"-"&amp;TEXT(5,"00")&amp;"*",수납!$E:$E,""))</f>
        <v/>
      </c>
      <c r="H142" s="14">
        <f>IF(원생!$A140="","",SUMIFS(수납!$F:$F,수납!$C:$C,원생!$A140,수납!$D:$D,IF(원생!$G140="","",원생!$G140),수납!$B:$B,$B$1&amp;"-"&amp;TEXT(6,"00")&amp;"*",수납!$E:$E,"수강료")+SUMIFS(수납!$F:$F,수납!$C:$C,원생!$A140,수납!$D:$D,IF(원생!$G140="","",원생!$G140),수납!$B:$B,$B$1&amp;"-"&amp;TEXT(6,"00")&amp;"*",수납!$E:$E,""))</f>
        <v/>
      </c>
      <c r="I142" s="14">
        <f>IF(원생!$A140="","",SUMIFS(수납!$F:$F,수납!$C:$C,원생!$A140,수납!$D:$D,IF(원생!$G140="","",원생!$G140),수납!$B:$B,$B$1&amp;"-"&amp;TEXT(7,"00")&amp;"*",수납!$E:$E,"수강료")+SUMIFS(수납!$F:$F,수납!$C:$C,원생!$A140,수납!$D:$D,IF(원생!$G140="","",원생!$G140),수납!$B:$B,$B$1&amp;"-"&amp;TEXT(7,"00")&amp;"*",수납!$E:$E,""))</f>
        <v/>
      </c>
      <c r="J142" s="14">
        <f>IF(원생!$A140="","",SUMIFS(수납!$F:$F,수납!$C:$C,원생!$A140,수납!$D:$D,IF(원생!$G140="","",원생!$G140),수납!$B:$B,$B$1&amp;"-"&amp;TEXT(8,"00")&amp;"*",수납!$E:$E,"수강료")+SUMIFS(수납!$F:$F,수납!$C:$C,원생!$A140,수납!$D:$D,IF(원생!$G140="","",원생!$G140),수납!$B:$B,$B$1&amp;"-"&amp;TEXT(8,"00")&amp;"*",수납!$E:$E,""))</f>
        <v/>
      </c>
      <c r="K142" s="14">
        <f>IF(원생!$A140="","",SUMIFS(수납!$F:$F,수납!$C:$C,원생!$A140,수납!$D:$D,IF(원생!$G140="","",원생!$G140),수납!$B:$B,$B$1&amp;"-"&amp;TEXT(9,"00")&amp;"*",수납!$E:$E,"수강료")+SUMIFS(수납!$F:$F,수납!$C:$C,원생!$A140,수납!$D:$D,IF(원생!$G140="","",원생!$G140),수납!$B:$B,$B$1&amp;"-"&amp;TEXT(9,"00")&amp;"*",수납!$E:$E,""))</f>
        <v/>
      </c>
      <c r="L142" s="14">
        <f>IF(원생!$A140="","",SUMIFS(수납!$F:$F,수납!$C:$C,원생!$A140,수납!$D:$D,IF(원생!$G140="","",원생!$G140),수납!$B:$B,$B$1&amp;"-"&amp;TEXT(10,"00")&amp;"*",수납!$E:$E,"수강료")+SUMIFS(수납!$F:$F,수납!$C:$C,원생!$A140,수납!$D:$D,IF(원생!$G140="","",원생!$G140),수납!$B:$B,$B$1&amp;"-"&amp;TEXT(10,"00")&amp;"*",수납!$E:$E,""))</f>
        <v/>
      </c>
      <c r="M142" s="14">
        <f>IF(원생!$A140="","",SUMIFS(수납!$F:$F,수납!$C:$C,원생!$A140,수납!$D:$D,IF(원생!$G140="","",원생!$G140),수납!$B:$B,$B$1&amp;"-"&amp;TEXT(11,"00")&amp;"*",수납!$E:$E,"수강료")+SUMIFS(수납!$F:$F,수납!$C:$C,원생!$A140,수납!$D:$D,IF(원생!$G140="","",원생!$G140),수납!$B:$B,$B$1&amp;"-"&amp;TEXT(11,"00")&amp;"*",수납!$E:$E,""))</f>
        <v/>
      </c>
      <c r="N142" s="14">
        <f>IF(원생!$A140="","",SUMIFS(수납!$F:$F,수납!$C:$C,원생!$A140,수납!$D:$D,IF(원생!$G140="","",원생!$G140),수납!$B:$B,$B$1&amp;"-"&amp;TEXT(12,"00")&amp;"*",수납!$E:$E,"수강료")+SUMIFS(수납!$F:$F,수납!$C:$C,원생!$A140,수납!$D:$D,IF(원생!$G140="","",원생!$G140),수납!$B:$B,$B$1&amp;"-"&amp;TEXT(12,"00")&amp;"*",수납!$E:$E,""))</f>
        <v/>
      </c>
      <c r="O142">
        <f>IF(원생!$I140="","",원생!$I140)</f>
        <v/>
      </c>
      <c r="P142">
        <f>IF($A142="","",IF(AND($B142&gt;0,C142&lt;$B142,DATE($B$1,1,1)&lt;=TODAY(),OR($O142="",$O142&gt;=DATE($B$1,1,1)),OR(COUNTIF($C142:C142,"&gt;0")&gt;0,DATE($B$1,1,1)=DATE(YEAR(TODAY()),MONTH(TODAY()),1))),1,0))</f>
        <v/>
      </c>
      <c r="Q142">
        <f>IF($A142="","",IF(AND($B142&gt;0,D142&lt;$B142,DATE($B$1,2,1)&lt;=TODAY(),OR($O142="",$O142&gt;=DATE($B$1,2,1)),OR(COUNTIF($C142:D142,"&gt;0")&gt;0,DATE($B$1,2,1)=DATE(YEAR(TODAY()),MONTH(TODAY()),1))),1,0))</f>
        <v/>
      </c>
      <c r="R142">
        <f>IF($A142="","",IF(AND($B142&gt;0,E142&lt;$B142,DATE($B$1,3,1)&lt;=TODAY(),OR($O142="",$O142&gt;=DATE($B$1,3,1)),OR(COUNTIF($C142:E142,"&gt;0")&gt;0,DATE($B$1,3,1)=DATE(YEAR(TODAY()),MONTH(TODAY()),1))),1,0))</f>
        <v/>
      </c>
      <c r="S142">
        <f>IF($A142="","",IF(AND($B142&gt;0,F142&lt;$B142,DATE($B$1,4,1)&lt;=TODAY(),OR($O142="",$O142&gt;=DATE($B$1,4,1)),OR(COUNTIF($C142:F142,"&gt;0")&gt;0,DATE($B$1,4,1)=DATE(YEAR(TODAY()),MONTH(TODAY()),1))),1,0))</f>
        <v/>
      </c>
      <c r="T142">
        <f>IF($A142="","",IF(AND($B142&gt;0,G142&lt;$B142,DATE($B$1,5,1)&lt;=TODAY(),OR($O142="",$O142&gt;=DATE($B$1,5,1)),OR(COUNTIF($C142:G142,"&gt;0")&gt;0,DATE($B$1,5,1)=DATE(YEAR(TODAY()),MONTH(TODAY()),1))),1,0))</f>
        <v/>
      </c>
      <c r="U142">
        <f>IF($A142="","",IF(AND($B142&gt;0,H142&lt;$B142,DATE($B$1,6,1)&lt;=TODAY(),OR($O142="",$O142&gt;=DATE($B$1,6,1)),OR(COUNTIF($C142:H142,"&gt;0")&gt;0,DATE($B$1,6,1)=DATE(YEAR(TODAY()),MONTH(TODAY()),1))),1,0))</f>
        <v/>
      </c>
      <c r="V142">
        <f>IF($A142="","",IF(AND($B142&gt;0,I142&lt;$B142,DATE($B$1,7,1)&lt;=TODAY(),OR($O142="",$O142&gt;=DATE($B$1,7,1)),OR(COUNTIF($C142:I142,"&gt;0")&gt;0,DATE($B$1,7,1)=DATE(YEAR(TODAY()),MONTH(TODAY()),1))),1,0))</f>
        <v/>
      </c>
      <c r="W142">
        <f>IF($A142="","",IF(AND($B142&gt;0,J142&lt;$B142,DATE($B$1,8,1)&lt;=TODAY(),OR($O142="",$O142&gt;=DATE($B$1,8,1)),OR(COUNTIF($C142:J142,"&gt;0")&gt;0,DATE($B$1,8,1)=DATE(YEAR(TODAY()),MONTH(TODAY()),1))),1,0))</f>
        <v/>
      </c>
      <c r="X142">
        <f>IF($A142="","",IF(AND($B142&gt;0,K142&lt;$B142,DATE($B$1,9,1)&lt;=TODAY(),OR($O142="",$O142&gt;=DATE($B$1,9,1)),OR(COUNTIF($C142:K142,"&gt;0")&gt;0,DATE($B$1,9,1)=DATE(YEAR(TODAY()),MONTH(TODAY()),1))),1,0))</f>
        <v/>
      </c>
      <c r="Y142">
        <f>IF($A142="","",IF(AND($B142&gt;0,L142&lt;$B142,DATE($B$1,10,1)&lt;=TODAY(),OR($O142="",$O142&gt;=DATE($B$1,10,1)),OR(COUNTIF($C142:L142,"&gt;0")&gt;0,DATE($B$1,10,1)=DATE(YEAR(TODAY()),MONTH(TODAY()),1))),1,0))</f>
        <v/>
      </c>
      <c r="Z142">
        <f>IF($A142="","",IF(AND($B142&gt;0,M142&lt;$B142,DATE($B$1,11,1)&lt;=TODAY(),OR($O142="",$O142&gt;=DATE($B$1,11,1)),OR(COUNTIF($C142:M142,"&gt;0")&gt;0,DATE($B$1,11,1)=DATE(YEAR(TODAY()),MONTH(TODAY()),1))),1,0))</f>
        <v/>
      </c>
      <c r="AA142">
        <f>IF($A142="","",IF(AND($B142&gt;0,N142&lt;$B142,DATE($B$1,12,1)&lt;=TODAY(),OR($O142="",$O142&gt;=DATE($B$1,12,1)),OR(COUNTIF($C142:N142,"&gt;0")&gt;0,DATE($B$1,12,1)=DATE(YEAR(TODAY()),MONTH(TODAY()),1))),1,0))</f>
        <v/>
      </c>
    </row>
    <row r="143">
      <c r="A143" s="13">
        <f>IF(원생!$A141="","",원생!$A141&amp;IF(원생!$G141="",""," ("&amp;원생!$G141&amp;")"))</f>
        <v/>
      </c>
      <c r="B143" s="8">
        <f>IF(원생!$A141="","",원생!$F141)</f>
        <v/>
      </c>
      <c r="C143" s="14">
        <f>IF(원생!$A141="","",SUMIFS(수납!$F:$F,수납!$C:$C,원생!$A141,수납!$D:$D,IF(원생!$G141="","",원생!$G141),수납!$B:$B,$B$1&amp;"-"&amp;TEXT(1,"00")&amp;"*",수납!$E:$E,"수강료")+SUMIFS(수납!$F:$F,수납!$C:$C,원생!$A141,수납!$D:$D,IF(원생!$G141="","",원생!$G141),수납!$B:$B,$B$1&amp;"-"&amp;TEXT(1,"00")&amp;"*",수납!$E:$E,""))</f>
        <v/>
      </c>
      <c r="D143" s="14">
        <f>IF(원생!$A141="","",SUMIFS(수납!$F:$F,수납!$C:$C,원생!$A141,수납!$D:$D,IF(원생!$G141="","",원생!$G141),수납!$B:$B,$B$1&amp;"-"&amp;TEXT(2,"00")&amp;"*",수납!$E:$E,"수강료")+SUMIFS(수납!$F:$F,수납!$C:$C,원생!$A141,수납!$D:$D,IF(원생!$G141="","",원생!$G141),수납!$B:$B,$B$1&amp;"-"&amp;TEXT(2,"00")&amp;"*",수납!$E:$E,""))</f>
        <v/>
      </c>
      <c r="E143" s="14">
        <f>IF(원생!$A141="","",SUMIFS(수납!$F:$F,수납!$C:$C,원생!$A141,수납!$D:$D,IF(원생!$G141="","",원생!$G141),수납!$B:$B,$B$1&amp;"-"&amp;TEXT(3,"00")&amp;"*",수납!$E:$E,"수강료")+SUMIFS(수납!$F:$F,수납!$C:$C,원생!$A141,수납!$D:$D,IF(원생!$G141="","",원생!$G141),수납!$B:$B,$B$1&amp;"-"&amp;TEXT(3,"00")&amp;"*",수납!$E:$E,""))</f>
        <v/>
      </c>
      <c r="F143" s="14">
        <f>IF(원생!$A141="","",SUMIFS(수납!$F:$F,수납!$C:$C,원생!$A141,수납!$D:$D,IF(원생!$G141="","",원생!$G141),수납!$B:$B,$B$1&amp;"-"&amp;TEXT(4,"00")&amp;"*",수납!$E:$E,"수강료")+SUMIFS(수납!$F:$F,수납!$C:$C,원생!$A141,수납!$D:$D,IF(원생!$G141="","",원생!$G141),수납!$B:$B,$B$1&amp;"-"&amp;TEXT(4,"00")&amp;"*",수납!$E:$E,""))</f>
        <v/>
      </c>
      <c r="G143" s="14">
        <f>IF(원생!$A141="","",SUMIFS(수납!$F:$F,수납!$C:$C,원생!$A141,수납!$D:$D,IF(원생!$G141="","",원생!$G141),수납!$B:$B,$B$1&amp;"-"&amp;TEXT(5,"00")&amp;"*",수납!$E:$E,"수강료")+SUMIFS(수납!$F:$F,수납!$C:$C,원생!$A141,수납!$D:$D,IF(원생!$G141="","",원생!$G141),수납!$B:$B,$B$1&amp;"-"&amp;TEXT(5,"00")&amp;"*",수납!$E:$E,""))</f>
        <v/>
      </c>
      <c r="H143" s="14">
        <f>IF(원생!$A141="","",SUMIFS(수납!$F:$F,수납!$C:$C,원생!$A141,수납!$D:$D,IF(원생!$G141="","",원생!$G141),수납!$B:$B,$B$1&amp;"-"&amp;TEXT(6,"00")&amp;"*",수납!$E:$E,"수강료")+SUMIFS(수납!$F:$F,수납!$C:$C,원생!$A141,수납!$D:$D,IF(원생!$G141="","",원생!$G141),수납!$B:$B,$B$1&amp;"-"&amp;TEXT(6,"00")&amp;"*",수납!$E:$E,""))</f>
        <v/>
      </c>
      <c r="I143" s="14">
        <f>IF(원생!$A141="","",SUMIFS(수납!$F:$F,수납!$C:$C,원생!$A141,수납!$D:$D,IF(원생!$G141="","",원생!$G141),수납!$B:$B,$B$1&amp;"-"&amp;TEXT(7,"00")&amp;"*",수납!$E:$E,"수강료")+SUMIFS(수납!$F:$F,수납!$C:$C,원생!$A141,수납!$D:$D,IF(원생!$G141="","",원생!$G141),수납!$B:$B,$B$1&amp;"-"&amp;TEXT(7,"00")&amp;"*",수납!$E:$E,""))</f>
        <v/>
      </c>
      <c r="J143" s="14">
        <f>IF(원생!$A141="","",SUMIFS(수납!$F:$F,수납!$C:$C,원생!$A141,수납!$D:$D,IF(원생!$G141="","",원생!$G141),수납!$B:$B,$B$1&amp;"-"&amp;TEXT(8,"00")&amp;"*",수납!$E:$E,"수강료")+SUMIFS(수납!$F:$F,수납!$C:$C,원생!$A141,수납!$D:$D,IF(원생!$G141="","",원생!$G141),수납!$B:$B,$B$1&amp;"-"&amp;TEXT(8,"00")&amp;"*",수납!$E:$E,""))</f>
        <v/>
      </c>
      <c r="K143" s="14">
        <f>IF(원생!$A141="","",SUMIFS(수납!$F:$F,수납!$C:$C,원생!$A141,수납!$D:$D,IF(원생!$G141="","",원생!$G141),수납!$B:$B,$B$1&amp;"-"&amp;TEXT(9,"00")&amp;"*",수납!$E:$E,"수강료")+SUMIFS(수납!$F:$F,수납!$C:$C,원생!$A141,수납!$D:$D,IF(원생!$G141="","",원생!$G141),수납!$B:$B,$B$1&amp;"-"&amp;TEXT(9,"00")&amp;"*",수납!$E:$E,""))</f>
        <v/>
      </c>
      <c r="L143" s="14">
        <f>IF(원생!$A141="","",SUMIFS(수납!$F:$F,수납!$C:$C,원생!$A141,수납!$D:$D,IF(원생!$G141="","",원생!$G141),수납!$B:$B,$B$1&amp;"-"&amp;TEXT(10,"00")&amp;"*",수납!$E:$E,"수강료")+SUMIFS(수납!$F:$F,수납!$C:$C,원생!$A141,수납!$D:$D,IF(원생!$G141="","",원생!$G141),수납!$B:$B,$B$1&amp;"-"&amp;TEXT(10,"00")&amp;"*",수납!$E:$E,""))</f>
        <v/>
      </c>
      <c r="M143" s="14">
        <f>IF(원생!$A141="","",SUMIFS(수납!$F:$F,수납!$C:$C,원생!$A141,수납!$D:$D,IF(원생!$G141="","",원생!$G141),수납!$B:$B,$B$1&amp;"-"&amp;TEXT(11,"00")&amp;"*",수납!$E:$E,"수강료")+SUMIFS(수납!$F:$F,수납!$C:$C,원생!$A141,수납!$D:$D,IF(원생!$G141="","",원생!$G141),수납!$B:$B,$B$1&amp;"-"&amp;TEXT(11,"00")&amp;"*",수납!$E:$E,""))</f>
        <v/>
      </c>
      <c r="N143" s="14">
        <f>IF(원생!$A141="","",SUMIFS(수납!$F:$F,수납!$C:$C,원생!$A141,수납!$D:$D,IF(원생!$G141="","",원생!$G141),수납!$B:$B,$B$1&amp;"-"&amp;TEXT(12,"00")&amp;"*",수납!$E:$E,"수강료")+SUMIFS(수납!$F:$F,수납!$C:$C,원생!$A141,수납!$D:$D,IF(원생!$G141="","",원생!$G141),수납!$B:$B,$B$1&amp;"-"&amp;TEXT(12,"00")&amp;"*",수납!$E:$E,""))</f>
        <v/>
      </c>
      <c r="O143">
        <f>IF(원생!$I141="","",원생!$I141)</f>
        <v/>
      </c>
      <c r="P143">
        <f>IF($A143="","",IF(AND($B143&gt;0,C143&lt;$B143,DATE($B$1,1,1)&lt;=TODAY(),OR($O143="",$O143&gt;=DATE($B$1,1,1)),OR(COUNTIF($C143:C143,"&gt;0")&gt;0,DATE($B$1,1,1)=DATE(YEAR(TODAY()),MONTH(TODAY()),1))),1,0))</f>
        <v/>
      </c>
      <c r="Q143">
        <f>IF($A143="","",IF(AND($B143&gt;0,D143&lt;$B143,DATE($B$1,2,1)&lt;=TODAY(),OR($O143="",$O143&gt;=DATE($B$1,2,1)),OR(COUNTIF($C143:D143,"&gt;0")&gt;0,DATE($B$1,2,1)=DATE(YEAR(TODAY()),MONTH(TODAY()),1))),1,0))</f>
        <v/>
      </c>
      <c r="R143">
        <f>IF($A143="","",IF(AND($B143&gt;0,E143&lt;$B143,DATE($B$1,3,1)&lt;=TODAY(),OR($O143="",$O143&gt;=DATE($B$1,3,1)),OR(COUNTIF($C143:E143,"&gt;0")&gt;0,DATE($B$1,3,1)=DATE(YEAR(TODAY()),MONTH(TODAY()),1))),1,0))</f>
        <v/>
      </c>
      <c r="S143">
        <f>IF($A143="","",IF(AND($B143&gt;0,F143&lt;$B143,DATE($B$1,4,1)&lt;=TODAY(),OR($O143="",$O143&gt;=DATE($B$1,4,1)),OR(COUNTIF($C143:F143,"&gt;0")&gt;0,DATE($B$1,4,1)=DATE(YEAR(TODAY()),MONTH(TODAY()),1))),1,0))</f>
        <v/>
      </c>
      <c r="T143">
        <f>IF($A143="","",IF(AND($B143&gt;0,G143&lt;$B143,DATE($B$1,5,1)&lt;=TODAY(),OR($O143="",$O143&gt;=DATE($B$1,5,1)),OR(COUNTIF($C143:G143,"&gt;0")&gt;0,DATE($B$1,5,1)=DATE(YEAR(TODAY()),MONTH(TODAY()),1))),1,0))</f>
        <v/>
      </c>
      <c r="U143">
        <f>IF($A143="","",IF(AND($B143&gt;0,H143&lt;$B143,DATE($B$1,6,1)&lt;=TODAY(),OR($O143="",$O143&gt;=DATE($B$1,6,1)),OR(COUNTIF($C143:H143,"&gt;0")&gt;0,DATE($B$1,6,1)=DATE(YEAR(TODAY()),MONTH(TODAY()),1))),1,0))</f>
        <v/>
      </c>
      <c r="V143">
        <f>IF($A143="","",IF(AND($B143&gt;0,I143&lt;$B143,DATE($B$1,7,1)&lt;=TODAY(),OR($O143="",$O143&gt;=DATE($B$1,7,1)),OR(COUNTIF($C143:I143,"&gt;0")&gt;0,DATE($B$1,7,1)=DATE(YEAR(TODAY()),MONTH(TODAY()),1))),1,0))</f>
        <v/>
      </c>
      <c r="W143">
        <f>IF($A143="","",IF(AND($B143&gt;0,J143&lt;$B143,DATE($B$1,8,1)&lt;=TODAY(),OR($O143="",$O143&gt;=DATE($B$1,8,1)),OR(COUNTIF($C143:J143,"&gt;0")&gt;0,DATE($B$1,8,1)=DATE(YEAR(TODAY()),MONTH(TODAY()),1))),1,0))</f>
        <v/>
      </c>
      <c r="X143">
        <f>IF($A143="","",IF(AND($B143&gt;0,K143&lt;$B143,DATE($B$1,9,1)&lt;=TODAY(),OR($O143="",$O143&gt;=DATE($B$1,9,1)),OR(COUNTIF($C143:K143,"&gt;0")&gt;0,DATE($B$1,9,1)=DATE(YEAR(TODAY()),MONTH(TODAY()),1))),1,0))</f>
        <v/>
      </c>
      <c r="Y143">
        <f>IF($A143="","",IF(AND($B143&gt;0,L143&lt;$B143,DATE($B$1,10,1)&lt;=TODAY(),OR($O143="",$O143&gt;=DATE($B$1,10,1)),OR(COUNTIF($C143:L143,"&gt;0")&gt;0,DATE($B$1,10,1)=DATE(YEAR(TODAY()),MONTH(TODAY()),1))),1,0))</f>
        <v/>
      </c>
      <c r="Z143">
        <f>IF($A143="","",IF(AND($B143&gt;0,M143&lt;$B143,DATE($B$1,11,1)&lt;=TODAY(),OR($O143="",$O143&gt;=DATE($B$1,11,1)),OR(COUNTIF($C143:M143,"&gt;0")&gt;0,DATE($B$1,11,1)=DATE(YEAR(TODAY()),MONTH(TODAY()),1))),1,0))</f>
        <v/>
      </c>
      <c r="AA143">
        <f>IF($A143="","",IF(AND($B143&gt;0,N143&lt;$B143,DATE($B$1,12,1)&lt;=TODAY(),OR($O143="",$O143&gt;=DATE($B$1,12,1)),OR(COUNTIF($C143:N143,"&gt;0")&gt;0,DATE($B$1,12,1)=DATE(YEAR(TODAY()),MONTH(TODAY()),1))),1,0))</f>
        <v/>
      </c>
    </row>
    <row r="144">
      <c r="A144" s="13">
        <f>IF(원생!$A142="","",원생!$A142&amp;IF(원생!$G142="",""," ("&amp;원생!$G142&amp;")"))</f>
        <v/>
      </c>
      <c r="B144" s="8">
        <f>IF(원생!$A142="","",원생!$F142)</f>
        <v/>
      </c>
      <c r="C144" s="14">
        <f>IF(원생!$A142="","",SUMIFS(수납!$F:$F,수납!$C:$C,원생!$A142,수납!$D:$D,IF(원생!$G142="","",원생!$G142),수납!$B:$B,$B$1&amp;"-"&amp;TEXT(1,"00")&amp;"*",수납!$E:$E,"수강료")+SUMIFS(수납!$F:$F,수납!$C:$C,원생!$A142,수납!$D:$D,IF(원생!$G142="","",원생!$G142),수납!$B:$B,$B$1&amp;"-"&amp;TEXT(1,"00")&amp;"*",수납!$E:$E,""))</f>
        <v/>
      </c>
      <c r="D144" s="14">
        <f>IF(원생!$A142="","",SUMIFS(수납!$F:$F,수납!$C:$C,원생!$A142,수납!$D:$D,IF(원생!$G142="","",원생!$G142),수납!$B:$B,$B$1&amp;"-"&amp;TEXT(2,"00")&amp;"*",수납!$E:$E,"수강료")+SUMIFS(수납!$F:$F,수납!$C:$C,원생!$A142,수납!$D:$D,IF(원생!$G142="","",원생!$G142),수납!$B:$B,$B$1&amp;"-"&amp;TEXT(2,"00")&amp;"*",수납!$E:$E,""))</f>
        <v/>
      </c>
      <c r="E144" s="14">
        <f>IF(원생!$A142="","",SUMIFS(수납!$F:$F,수납!$C:$C,원생!$A142,수납!$D:$D,IF(원생!$G142="","",원생!$G142),수납!$B:$B,$B$1&amp;"-"&amp;TEXT(3,"00")&amp;"*",수납!$E:$E,"수강료")+SUMIFS(수납!$F:$F,수납!$C:$C,원생!$A142,수납!$D:$D,IF(원생!$G142="","",원생!$G142),수납!$B:$B,$B$1&amp;"-"&amp;TEXT(3,"00")&amp;"*",수납!$E:$E,""))</f>
        <v/>
      </c>
      <c r="F144" s="14">
        <f>IF(원생!$A142="","",SUMIFS(수납!$F:$F,수납!$C:$C,원생!$A142,수납!$D:$D,IF(원생!$G142="","",원생!$G142),수납!$B:$B,$B$1&amp;"-"&amp;TEXT(4,"00")&amp;"*",수납!$E:$E,"수강료")+SUMIFS(수납!$F:$F,수납!$C:$C,원생!$A142,수납!$D:$D,IF(원생!$G142="","",원생!$G142),수납!$B:$B,$B$1&amp;"-"&amp;TEXT(4,"00")&amp;"*",수납!$E:$E,""))</f>
        <v/>
      </c>
      <c r="G144" s="14">
        <f>IF(원생!$A142="","",SUMIFS(수납!$F:$F,수납!$C:$C,원생!$A142,수납!$D:$D,IF(원생!$G142="","",원생!$G142),수납!$B:$B,$B$1&amp;"-"&amp;TEXT(5,"00")&amp;"*",수납!$E:$E,"수강료")+SUMIFS(수납!$F:$F,수납!$C:$C,원생!$A142,수납!$D:$D,IF(원생!$G142="","",원생!$G142),수납!$B:$B,$B$1&amp;"-"&amp;TEXT(5,"00")&amp;"*",수납!$E:$E,""))</f>
        <v/>
      </c>
      <c r="H144" s="14">
        <f>IF(원생!$A142="","",SUMIFS(수납!$F:$F,수납!$C:$C,원생!$A142,수납!$D:$D,IF(원생!$G142="","",원생!$G142),수납!$B:$B,$B$1&amp;"-"&amp;TEXT(6,"00")&amp;"*",수납!$E:$E,"수강료")+SUMIFS(수납!$F:$F,수납!$C:$C,원생!$A142,수납!$D:$D,IF(원생!$G142="","",원생!$G142),수납!$B:$B,$B$1&amp;"-"&amp;TEXT(6,"00")&amp;"*",수납!$E:$E,""))</f>
        <v/>
      </c>
      <c r="I144" s="14">
        <f>IF(원생!$A142="","",SUMIFS(수납!$F:$F,수납!$C:$C,원생!$A142,수납!$D:$D,IF(원생!$G142="","",원생!$G142),수납!$B:$B,$B$1&amp;"-"&amp;TEXT(7,"00")&amp;"*",수납!$E:$E,"수강료")+SUMIFS(수납!$F:$F,수납!$C:$C,원생!$A142,수납!$D:$D,IF(원생!$G142="","",원생!$G142),수납!$B:$B,$B$1&amp;"-"&amp;TEXT(7,"00")&amp;"*",수납!$E:$E,""))</f>
        <v/>
      </c>
      <c r="J144" s="14">
        <f>IF(원생!$A142="","",SUMIFS(수납!$F:$F,수납!$C:$C,원생!$A142,수납!$D:$D,IF(원생!$G142="","",원생!$G142),수납!$B:$B,$B$1&amp;"-"&amp;TEXT(8,"00")&amp;"*",수납!$E:$E,"수강료")+SUMIFS(수납!$F:$F,수납!$C:$C,원생!$A142,수납!$D:$D,IF(원생!$G142="","",원생!$G142),수납!$B:$B,$B$1&amp;"-"&amp;TEXT(8,"00")&amp;"*",수납!$E:$E,""))</f>
        <v/>
      </c>
      <c r="K144" s="14">
        <f>IF(원생!$A142="","",SUMIFS(수납!$F:$F,수납!$C:$C,원생!$A142,수납!$D:$D,IF(원생!$G142="","",원생!$G142),수납!$B:$B,$B$1&amp;"-"&amp;TEXT(9,"00")&amp;"*",수납!$E:$E,"수강료")+SUMIFS(수납!$F:$F,수납!$C:$C,원생!$A142,수납!$D:$D,IF(원생!$G142="","",원생!$G142),수납!$B:$B,$B$1&amp;"-"&amp;TEXT(9,"00")&amp;"*",수납!$E:$E,""))</f>
        <v/>
      </c>
      <c r="L144" s="14">
        <f>IF(원생!$A142="","",SUMIFS(수납!$F:$F,수납!$C:$C,원생!$A142,수납!$D:$D,IF(원생!$G142="","",원생!$G142),수납!$B:$B,$B$1&amp;"-"&amp;TEXT(10,"00")&amp;"*",수납!$E:$E,"수강료")+SUMIFS(수납!$F:$F,수납!$C:$C,원생!$A142,수납!$D:$D,IF(원생!$G142="","",원생!$G142),수납!$B:$B,$B$1&amp;"-"&amp;TEXT(10,"00")&amp;"*",수납!$E:$E,""))</f>
        <v/>
      </c>
      <c r="M144" s="14">
        <f>IF(원생!$A142="","",SUMIFS(수납!$F:$F,수납!$C:$C,원생!$A142,수납!$D:$D,IF(원생!$G142="","",원생!$G142),수납!$B:$B,$B$1&amp;"-"&amp;TEXT(11,"00")&amp;"*",수납!$E:$E,"수강료")+SUMIFS(수납!$F:$F,수납!$C:$C,원생!$A142,수납!$D:$D,IF(원생!$G142="","",원생!$G142),수납!$B:$B,$B$1&amp;"-"&amp;TEXT(11,"00")&amp;"*",수납!$E:$E,""))</f>
        <v/>
      </c>
      <c r="N144" s="14">
        <f>IF(원생!$A142="","",SUMIFS(수납!$F:$F,수납!$C:$C,원생!$A142,수납!$D:$D,IF(원생!$G142="","",원생!$G142),수납!$B:$B,$B$1&amp;"-"&amp;TEXT(12,"00")&amp;"*",수납!$E:$E,"수강료")+SUMIFS(수납!$F:$F,수납!$C:$C,원생!$A142,수납!$D:$D,IF(원생!$G142="","",원생!$G142),수납!$B:$B,$B$1&amp;"-"&amp;TEXT(12,"00")&amp;"*",수납!$E:$E,""))</f>
        <v/>
      </c>
      <c r="O144">
        <f>IF(원생!$I142="","",원생!$I142)</f>
        <v/>
      </c>
      <c r="P144">
        <f>IF($A144="","",IF(AND($B144&gt;0,C144&lt;$B144,DATE($B$1,1,1)&lt;=TODAY(),OR($O144="",$O144&gt;=DATE($B$1,1,1)),OR(COUNTIF($C144:C144,"&gt;0")&gt;0,DATE($B$1,1,1)=DATE(YEAR(TODAY()),MONTH(TODAY()),1))),1,0))</f>
        <v/>
      </c>
      <c r="Q144">
        <f>IF($A144="","",IF(AND($B144&gt;0,D144&lt;$B144,DATE($B$1,2,1)&lt;=TODAY(),OR($O144="",$O144&gt;=DATE($B$1,2,1)),OR(COUNTIF($C144:D144,"&gt;0")&gt;0,DATE($B$1,2,1)=DATE(YEAR(TODAY()),MONTH(TODAY()),1))),1,0))</f>
        <v/>
      </c>
      <c r="R144">
        <f>IF($A144="","",IF(AND($B144&gt;0,E144&lt;$B144,DATE($B$1,3,1)&lt;=TODAY(),OR($O144="",$O144&gt;=DATE($B$1,3,1)),OR(COUNTIF($C144:E144,"&gt;0")&gt;0,DATE($B$1,3,1)=DATE(YEAR(TODAY()),MONTH(TODAY()),1))),1,0))</f>
        <v/>
      </c>
      <c r="S144">
        <f>IF($A144="","",IF(AND($B144&gt;0,F144&lt;$B144,DATE($B$1,4,1)&lt;=TODAY(),OR($O144="",$O144&gt;=DATE($B$1,4,1)),OR(COUNTIF($C144:F144,"&gt;0")&gt;0,DATE($B$1,4,1)=DATE(YEAR(TODAY()),MONTH(TODAY()),1))),1,0))</f>
        <v/>
      </c>
      <c r="T144">
        <f>IF($A144="","",IF(AND($B144&gt;0,G144&lt;$B144,DATE($B$1,5,1)&lt;=TODAY(),OR($O144="",$O144&gt;=DATE($B$1,5,1)),OR(COUNTIF($C144:G144,"&gt;0")&gt;0,DATE($B$1,5,1)=DATE(YEAR(TODAY()),MONTH(TODAY()),1))),1,0))</f>
        <v/>
      </c>
      <c r="U144">
        <f>IF($A144="","",IF(AND($B144&gt;0,H144&lt;$B144,DATE($B$1,6,1)&lt;=TODAY(),OR($O144="",$O144&gt;=DATE($B$1,6,1)),OR(COUNTIF($C144:H144,"&gt;0")&gt;0,DATE($B$1,6,1)=DATE(YEAR(TODAY()),MONTH(TODAY()),1))),1,0))</f>
        <v/>
      </c>
      <c r="V144">
        <f>IF($A144="","",IF(AND($B144&gt;0,I144&lt;$B144,DATE($B$1,7,1)&lt;=TODAY(),OR($O144="",$O144&gt;=DATE($B$1,7,1)),OR(COUNTIF($C144:I144,"&gt;0")&gt;0,DATE($B$1,7,1)=DATE(YEAR(TODAY()),MONTH(TODAY()),1))),1,0))</f>
        <v/>
      </c>
      <c r="W144">
        <f>IF($A144="","",IF(AND($B144&gt;0,J144&lt;$B144,DATE($B$1,8,1)&lt;=TODAY(),OR($O144="",$O144&gt;=DATE($B$1,8,1)),OR(COUNTIF($C144:J144,"&gt;0")&gt;0,DATE($B$1,8,1)=DATE(YEAR(TODAY()),MONTH(TODAY()),1))),1,0))</f>
        <v/>
      </c>
      <c r="X144">
        <f>IF($A144="","",IF(AND($B144&gt;0,K144&lt;$B144,DATE($B$1,9,1)&lt;=TODAY(),OR($O144="",$O144&gt;=DATE($B$1,9,1)),OR(COUNTIF($C144:K144,"&gt;0")&gt;0,DATE($B$1,9,1)=DATE(YEAR(TODAY()),MONTH(TODAY()),1))),1,0))</f>
        <v/>
      </c>
      <c r="Y144">
        <f>IF($A144="","",IF(AND($B144&gt;0,L144&lt;$B144,DATE($B$1,10,1)&lt;=TODAY(),OR($O144="",$O144&gt;=DATE($B$1,10,1)),OR(COUNTIF($C144:L144,"&gt;0")&gt;0,DATE($B$1,10,1)=DATE(YEAR(TODAY()),MONTH(TODAY()),1))),1,0))</f>
        <v/>
      </c>
      <c r="Z144">
        <f>IF($A144="","",IF(AND($B144&gt;0,M144&lt;$B144,DATE($B$1,11,1)&lt;=TODAY(),OR($O144="",$O144&gt;=DATE($B$1,11,1)),OR(COUNTIF($C144:M144,"&gt;0")&gt;0,DATE($B$1,11,1)=DATE(YEAR(TODAY()),MONTH(TODAY()),1))),1,0))</f>
        <v/>
      </c>
      <c r="AA144">
        <f>IF($A144="","",IF(AND($B144&gt;0,N144&lt;$B144,DATE($B$1,12,1)&lt;=TODAY(),OR($O144="",$O144&gt;=DATE($B$1,12,1)),OR(COUNTIF($C144:N144,"&gt;0")&gt;0,DATE($B$1,12,1)=DATE(YEAR(TODAY()),MONTH(TODAY()),1))),1,0))</f>
        <v/>
      </c>
    </row>
    <row r="145">
      <c r="A145" s="13">
        <f>IF(원생!$A143="","",원생!$A143&amp;IF(원생!$G143="",""," ("&amp;원생!$G143&amp;")"))</f>
        <v/>
      </c>
      <c r="B145" s="8">
        <f>IF(원생!$A143="","",원생!$F143)</f>
        <v/>
      </c>
      <c r="C145" s="14">
        <f>IF(원생!$A143="","",SUMIFS(수납!$F:$F,수납!$C:$C,원생!$A143,수납!$D:$D,IF(원생!$G143="","",원생!$G143),수납!$B:$B,$B$1&amp;"-"&amp;TEXT(1,"00")&amp;"*",수납!$E:$E,"수강료")+SUMIFS(수납!$F:$F,수납!$C:$C,원생!$A143,수납!$D:$D,IF(원생!$G143="","",원생!$G143),수납!$B:$B,$B$1&amp;"-"&amp;TEXT(1,"00")&amp;"*",수납!$E:$E,""))</f>
        <v/>
      </c>
      <c r="D145" s="14">
        <f>IF(원생!$A143="","",SUMIFS(수납!$F:$F,수납!$C:$C,원생!$A143,수납!$D:$D,IF(원생!$G143="","",원생!$G143),수납!$B:$B,$B$1&amp;"-"&amp;TEXT(2,"00")&amp;"*",수납!$E:$E,"수강료")+SUMIFS(수납!$F:$F,수납!$C:$C,원생!$A143,수납!$D:$D,IF(원생!$G143="","",원생!$G143),수납!$B:$B,$B$1&amp;"-"&amp;TEXT(2,"00")&amp;"*",수납!$E:$E,""))</f>
        <v/>
      </c>
      <c r="E145" s="14">
        <f>IF(원생!$A143="","",SUMIFS(수납!$F:$F,수납!$C:$C,원생!$A143,수납!$D:$D,IF(원생!$G143="","",원생!$G143),수납!$B:$B,$B$1&amp;"-"&amp;TEXT(3,"00")&amp;"*",수납!$E:$E,"수강료")+SUMIFS(수납!$F:$F,수납!$C:$C,원생!$A143,수납!$D:$D,IF(원생!$G143="","",원생!$G143),수납!$B:$B,$B$1&amp;"-"&amp;TEXT(3,"00")&amp;"*",수납!$E:$E,""))</f>
        <v/>
      </c>
      <c r="F145" s="14">
        <f>IF(원생!$A143="","",SUMIFS(수납!$F:$F,수납!$C:$C,원생!$A143,수납!$D:$D,IF(원생!$G143="","",원생!$G143),수납!$B:$B,$B$1&amp;"-"&amp;TEXT(4,"00")&amp;"*",수납!$E:$E,"수강료")+SUMIFS(수납!$F:$F,수납!$C:$C,원생!$A143,수납!$D:$D,IF(원생!$G143="","",원생!$G143),수납!$B:$B,$B$1&amp;"-"&amp;TEXT(4,"00")&amp;"*",수납!$E:$E,""))</f>
        <v/>
      </c>
      <c r="G145" s="14">
        <f>IF(원생!$A143="","",SUMIFS(수납!$F:$F,수납!$C:$C,원생!$A143,수납!$D:$D,IF(원생!$G143="","",원생!$G143),수납!$B:$B,$B$1&amp;"-"&amp;TEXT(5,"00")&amp;"*",수납!$E:$E,"수강료")+SUMIFS(수납!$F:$F,수납!$C:$C,원생!$A143,수납!$D:$D,IF(원생!$G143="","",원생!$G143),수납!$B:$B,$B$1&amp;"-"&amp;TEXT(5,"00")&amp;"*",수납!$E:$E,""))</f>
        <v/>
      </c>
      <c r="H145" s="14">
        <f>IF(원생!$A143="","",SUMIFS(수납!$F:$F,수납!$C:$C,원생!$A143,수납!$D:$D,IF(원생!$G143="","",원생!$G143),수납!$B:$B,$B$1&amp;"-"&amp;TEXT(6,"00")&amp;"*",수납!$E:$E,"수강료")+SUMIFS(수납!$F:$F,수납!$C:$C,원생!$A143,수납!$D:$D,IF(원생!$G143="","",원생!$G143),수납!$B:$B,$B$1&amp;"-"&amp;TEXT(6,"00")&amp;"*",수납!$E:$E,""))</f>
        <v/>
      </c>
      <c r="I145" s="14">
        <f>IF(원생!$A143="","",SUMIFS(수납!$F:$F,수납!$C:$C,원생!$A143,수납!$D:$D,IF(원생!$G143="","",원생!$G143),수납!$B:$B,$B$1&amp;"-"&amp;TEXT(7,"00")&amp;"*",수납!$E:$E,"수강료")+SUMIFS(수납!$F:$F,수납!$C:$C,원생!$A143,수납!$D:$D,IF(원생!$G143="","",원생!$G143),수납!$B:$B,$B$1&amp;"-"&amp;TEXT(7,"00")&amp;"*",수납!$E:$E,""))</f>
        <v/>
      </c>
      <c r="J145" s="14">
        <f>IF(원생!$A143="","",SUMIFS(수납!$F:$F,수납!$C:$C,원생!$A143,수납!$D:$D,IF(원생!$G143="","",원생!$G143),수납!$B:$B,$B$1&amp;"-"&amp;TEXT(8,"00")&amp;"*",수납!$E:$E,"수강료")+SUMIFS(수납!$F:$F,수납!$C:$C,원생!$A143,수납!$D:$D,IF(원생!$G143="","",원생!$G143),수납!$B:$B,$B$1&amp;"-"&amp;TEXT(8,"00")&amp;"*",수납!$E:$E,""))</f>
        <v/>
      </c>
      <c r="K145" s="14">
        <f>IF(원생!$A143="","",SUMIFS(수납!$F:$F,수납!$C:$C,원생!$A143,수납!$D:$D,IF(원생!$G143="","",원생!$G143),수납!$B:$B,$B$1&amp;"-"&amp;TEXT(9,"00")&amp;"*",수납!$E:$E,"수강료")+SUMIFS(수납!$F:$F,수납!$C:$C,원생!$A143,수납!$D:$D,IF(원생!$G143="","",원생!$G143),수납!$B:$B,$B$1&amp;"-"&amp;TEXT(9,"00")&amp;"*",수납!$E:$E,""))</f>
        <v/>
      </c>
      <c r="L145" s="14">
        <f>IF(원생!$A143="","",SUMIFS(수납!$F:$F,수납!$C:$C,원생!$A143,수납!$D:$D,IF(원생!$G143="","",원생!$G143),수납!$B:$B,$B$1&amp;"-"&amp;TEXT(10,"00")&amp;"*",수납!$E:$E,"수강료")+SUMIFS(수납!$F:$F,수납!$C:$C,원생!$A143,수납!$D:$D,IF(원생!$G143="","",원생!$G143),수납!$B:$B,$B$1&amp;"-"&amp;TEXT(10,"00")&amp;"*",수납!$E:$E,""))</f>
        <v/>
      </c>
      <c r="M145" s="14">
        <f>IF(원생!$A143="","",SUMIFS(수납!$F:$F,수납!$C:$C,원생!$A143,수납!$D:$D,IF(원생!$G143="","",원생!$G143),수납!$B:$B,$B$1&amp;"-"&amp;TEXT(11,"00")&amp;"*",수납!$E:$E,"수강료")+SUMIFS(수납!$F:$F,수납!$C:$C,원생!$A143,수납!$D:$D,IF(원생!$G143="","",원생!$G143),수납!$B:$B,$B$1&amp;"-"&amp;TEXT(11,"00")&amp;"*",수납!$E:$E,""))</f>
        <v/>
      </c>
      <c r="N145" s="14">
        <f>IF(원생!$A143="","",SUMIFS(수납!$F:$F,수납!$C:$C,원생!$A143,수납!$D:$D,IF(원생!$G143="","",원생!$G143),수납!$B:$B,$B$1&amp;"-"&amp;TEXT(12,"00")&amp;"*",수납!$E:$E,"수강료")+SUMIFS(수납!$F:$F,수납!$C:$C,원생!$A143,수납!$D:$D,IF(원생!$G143="","",원생!$G143),수납!$B:$B,$B$1&amp;"-"&amp;TEXT(12,"00")&amp;"*",수납!$E:$E,""))</f>
        <v/>
      </c>
      <c r="O145">
        <f>IF(원생!$I143="","",원생!$I143)</f>
        <v/>
      </c>
      <c r="P145">
        <f>IF($A145="","",IF(AND($B145&gt;0,C145&lt;$B145,DATE($B$1,1,1)&lt;=TODAY(),OR($O145="",$O145&gt;=DATE($B$1,1,1)),OR(COUNTIF($C145:C145,"&gt;0")&gt;0,DATE($B$1,1,1)=DATE(YEAR(TODAY()),MONTH(TODAY()),1))),1,0))</f>
        <v/>
      </c>
      <c r="Q145">
        <f>IF($A145="","",IF(AND($B145&gt;0,D145&lt;$B145,DATE($B$1,2,1)&lt;=TODAY(),OR($O145="",$O145&gt;=DATE($B$1,2,1)),OR(COUNTIF($C145:D145,"&gt;0")&gt;0,DATE($B$1,2,1)=DATE(YEAR(TODAY()),MONTH(TODAY()),1))),1,0))</f>
        <v/>
      </c>
      <c r="R145">
        <f>IF($A145="","",IF(AND($B145&gt;0,E145&lt;$B145,DATE($B$1,3,1)&lt;=TODAY(),OR($O145="",$O145&gt;=DATE($B$1,3,1)),OR(COUNTIF($C145:E145,"&gt;0")&gt;0,DATE($B$1,3,1)=DATE(YEAR(TODAY()),MONTH(TODAY()),1))),1,0))</f>
        <v/>
      </c>
      <c r="S145">
        <f>IF($A145="","",IF(AND($B145&gt;0,F145&lt;$B145,DATE($B$1,4,1)&lt;=TODAY(),OR($O145="",$O145&gt;=DATE($B$1,4,1)),OR(COUNTIF($C145:F145,"&gt;0")&gt;0,DATE($B$1,4,1)=DATE(YEAR(TODAY()),MONTH(TODAY()),1))),1,0))</f>
        <v/>
      </c>
      <c r="T145">
        <f>IF($A145="","",IF(AND($B145&gt;0,G145&lt;$B145,DATE($B$1,5,1)&lt;=TODAY(),OR($O145="",$O145&gt;=DATE($B$1,5,1)),OR(COUNTIF($C145:G145,"&gt;0")&gt;0,DATE($B$1,5,1)=DATE(YEAR(TODAY()),MONTH(TODAY()),1))),1,0))</f>
        <v/>
      </c>
      <c r="U145">
        <f>IF($A145="","",IF(AND($B145&gt;0,H145&lt;$B145,DATE($B$1,6,1)&lt;=TODAY(),OR($O145="",$O145&gt;=DATE($B$1,6,1)),OR(COUNTIF($C145:H145,"&gt;0")&gt;0,DATE($B$1,6,1)=DATE(YEAR(TODAY()),MONTH(TODAY()),1))),1,0))</f>
        <v/>
      </c>
      <c r="V145">
        <f>IF($A145="","",IF(AND($B145&gt;0,I145&lt;$B145,DATE($B$1,7,1)&lt;=TODAY(),OR($O145="",$O145&gt;=DATE($B$1,7,1)),OR(COUNTIF($C145:I145,"&gt;0")&gt;0,DATE($B$1,7,1)=DATE(YEAR(TODAY()),MONTH(TODAY()),1))),1,0))</f>
        <v/>
      </c>
      <c r="W145">
        <f>IF($A145="","",IF(AND($B145&gt;0,J145&lt;$B145,DATE($B$1,8,1)&lt;=TODAY(),OR($O145="",$O145&gt;=DATE($B$1,8,1)),OR(COUNTIF($C145:J145,"&gt;0")&gt;0,DATE($B$1,8,1)=DATE(YEAR(TODAY()),MONTH(TODAY()),1))),1,0))</f>
        <v/>
      </c>
      <c r="X145">
        <f>IF($A145="","",IF(AND($B145&gt;0,K145&lt;$B145,DATE($B$1,9,1)&lt;=TODAY(),OR($O145="",$O145&gt;=DATE($B$1,9,1)),OR(COUNTIF($C145:K145,"&gt;0")&gt;0,DATE($B$1,9,1)=DATE(YEAR(TODAY()),MONTH(TODAY()),1))),1,0))</f>
        <v/>
      </c>
      <c r="Y145">
        <f>IF($A145="","",IF(AND($B145&gt;0,L145&lt;$B145,DATE($B$1,10,1)&lt;=TODAY(),OR($O145="",$O145&gt;=DATE($B$1,10,1)),OR(COUNTIF($C145:L145,"&gt;0")&gt;0,DATE($B$1,10,1)=DATE(YEAR(TODAY()),MONTH(TODAY()),1))),1,0))</f>
        <v/>
      </c>
      <c r="Z145">
        <f>IF($A145="","",IF(AND($B145&gt;0,M145&lt;$B145,DATE($B$1,11,1)&lt;=TODAY(),OR($O145="",$O145&gt;=DATE($B$1,11,1)),OR(COUNTIF($C145:M145,"&gt;0")&gt;0,DATE($B$1,11,1)=DATE(YEAR(TODAY()),MONTH(TODAY()),1))),1,0))</f>
        <v/>
      </c>
      <c r="AA145">
        <f>IF($A145="","",IF(AND($B145&gt;0,N145&lt;$B145,DATE($B$1,12,1)&lt;=TODAY(),OR($O145="",$O145&gt;=DATE($B$1,12,1)),OR(COUNTIF($C145:N145,"&gt;0")&gt;0,DATE($B$1,12,1)=DATE(YEAR(TODAY()),MONTH(TODAY()),1))),1,0))</f>
        <v/>
      </c>
    </row>
    <row r="146">
      <c r="A146" s="13">
        <f>IF(원생!$A144="","",원생!$A144&amp;IF(원생!$G144="",""," ("&amp;원생!$G144&amp;")"))</f>
        <v/>
      </c>
      <c r="B146" s="8">
        <f>IF(원생!$A144="","",원생!$F144)</f>
        <v/>
      </c>
      <c r="C146" s="14">
        <f>IF(원생!$A144="","",SUMIFS(수납!$F:$F,수납!$C:$C,원생!$A144,수납!$D:$D,IF(원생!$G144="","",원생!$G144),수납!$B:$B,$B$1&amp;"-"&amp;TEXT(1,"00")&amp;"*",수납!$E:$E,"수강료")+SUMIFS(수납!$F:$F,수납!$C:$C,원생!$A144,수납!$D:$D,IF(원생!$G144="","",원생!$G144),수납!$B:$B,$B$1&amp;"-"&amp;TEXT(1,"00")&amp;"*",수납!$E:$E,""))</f>
        <v/>
      </c>
      <c r="D146" s="14">
        <f>IF(원생!$A144="","",SUMIFS(수납!$F:$F,수납!$C:$C,원생!$A144,수납!$D:$D,IF(원생!$G144="","",원생!$G144),수납!$B:$B,$B$1&amp;"-"&amp;TEXT(2,"00")&amp;"*",수납!$E:$E,"수강료")+SUMIFS(수납!$F:$F,수납!$C:$C,원생!$A144,수납!$D:$D,IF(원생!$G144="","",원생!$G144),수납!$B:$B,$B$1&amp;"-"&amp;TEXT(2,"00")&amp;"*",수납!$E:$E,""))</f>
        <v/>
      </c>
      <c r="E146" s="14">
        <f>IF(원생!$A144="","",SUMIFS(수납!$F:$F,수납!$C:$C,원생!$A144,수납!$D:$D,IF(원생!$G144="","",원생!$G144),수납!$B:$B,$B$1&amp;"-"&amp;TEXT(3,"00")&amp;"*",수납!$E:$E,"수강료")+SUMIFS(수납!$F:$F,수납!$C:$C,원생!$A144,수납!$D:$D,IF(원생!$G144="","",원생!$G144),수납!$B:$B,$B$1&amp;"-"&amp;TEXT(3,"00")&amp;"*",수납!$E:$E,""))</f>
        <v/>
      </c>
      <c r="F146" s="14">
        <f>IF(원생!$A144="","",SUMIFS(수납!$F:$F,수납!$C:$C,원생!$A144,수납!$D:$D,IF(원생!$G144="","",원생!$G144),수납!$B:$B,$B$1&amp;"-"&amp;TEXT(4,"00")&amp;"*",수납!$E:$E,"수강료")+SUMIFS(수납!$F:$F,수납!$C:$C,원생!$A144,수납!$D:$D,IF(원생!$G144="","",원생!$G144),수납!$B:$B,$B$1&amp;"-"&amp;TEXT(4,"00")&amp;"*",수납!$E:$E,""))</f>
        <v/>
      </c>
      <c r="G146" s="14">
        <f>IF(원생!$A144="","",SUMIFS(수납!$F:$F,수납!$C:$C,원생!$A144,수납!$D:$D,IF(원생!$G144="","",원생!$G144),수납!$B:$B,$B$1&amp;"-"&amp;TEXT(5,"00")&amp;"*",수납!$E:$E,"수강료")+SUMIFS(수납!$F:$F,수납!$C:$C,원생!$A144,수납!$D:$D,IF(원생!$G144="","",원생!$G144),수납!$B:$B,$B$1&amp;"-"&amp;TEXT(5,"00")&amp;"*",수납!$E:$E,""))</f>
        <v/>
      </c>
      <c r="H146" s="14">
        <f>IF(원생!$A144="","",SUMIFS(수납!$F:$F,수납!$C:$C,원생!$A144,수납!$D:$D,IF(원생!$G144="","",원생!$G144),수납!$B:$B,$B$1&amp;"-"&amp;TEXT(6,"00")&amp;"*",수납!$E:$E,"수강료")+SUMIFS(수납!$F:$F,수납!$C:$C,원생!$A144,수납!$D:$D,IF(원생!$G144="","",원생!$G144),수납!$B:$B,$B$1&amp;"-"&amp;TEXT(6,"00")&amp;"*",수납!$E:$E,""))</f>
        <v/>
      </c>
      <c r="I146" s="14">
        <f>IF(원생!$A144="","",SUMIFS(수납!$F:$F,수납!$C:$C,원생!$A144,수납!$D:$D,IF(원생!$G144="","",원생!$G144),수납!$B:$B,$B$1&amp;"-"&amp;TEXT(7,"00")&amp;"*",수납!$E:$E,"수강료")+SUMIFS(수납!$F:$F,수납!$C:$C,원생!$A144,수납!$D:$D,IF(원생!$G144="","",원생!$G144),수납!$B:$B,$B$1&amp;"-"&amp;TEXT(7,"00")&amp;"*",수납!$E:$E,""))</f>
        <v/>
      </c>
      <c r="J146" s="14">
        <f>IF(원생!$A144="","",SUMIFS(수납!$F:$F,수납!$C:$C,원생!$A144,수납!$D:$D,IF(원생!$G144="","",원생!$G144),수납!$B:$B,$B$1&amp;"-"&amp;TEXT(8,"00")&amp;"*",수납!$E:$E,"수강료")+SUMIFS(수납!$F:$F,수납!$C:$C,원생!$A144,수납!$D:$D,IF(원생!$G144="","",원생!$G144),수납!$B:$B,$B$1&amp;"-"&amp;TEXT(8,"00")&amp;"*",수납!$E:$E,""))</f>
        <v/>
      </c>
      <c r="K146" s="14">
        <f>IF(원생!$A144="","",SUMIFS(수납!$F:$F,수납!$C:$C,원생!$A144,수납!$D:$D,IF(원생!$G144="","",원생!$G144),수납!$B:$B,$B$1&amp;"-"&amp;TEXT(9,"00")&amp;"*",수납!$E:$E,"수강료")+SUMIFS(수납!$F:$F,수납!$C:$C,원생!$A144,수납!$D:$D,IF(원생!$G144="","",원생!$G144),수납!$B:$B,$B$1&amp;"-"&amp;TEXT(9,"00")&amp;"*",수납!$E:$E,""))</f>
        <v/>
      </c>
      <c r="L146" s="14">
        <f>IF(원생!$A144="","",SUMIFS(수납!$F:$F,수납!$C:$C,원생!$A144,수납!$D:$D,IF(원생!$G144="","",원생!$G144),수납!$B:$B,$B$1&amp;"-"&amp;TEXT(10,"00")&amp;"*",수납!$E:$E,"수강료")+SUMIFS(수납!$F:$F,수납!$C:$C,원생!$A144,수납!$D:$D,IF(원생!$G144="","",원생!$G144),수납!$B:$B,$B$1&amp;"-"&amp;TEXT(10,"00")&amp;"*",수납!$E:$E,""))</f>
        <v/>
      </c>
      <c r="M146" s="14">
        <f>IF(원생!$A144="","",SUMIFS(수납!$F:$F,수납!$C:$C,원생!$A144,수납!$D:$D,IF(원생!$G144="","",원생!$G144),수납!$B:$B,$B$1&amp;"-"&amp;TEXT(11,"00")&amp;"*",수납!$E:$E,"수강료")+SUMIFS(수납!$F:$F,수납!$C:$C,원생!$A144,수납!$D:$D,IF(원생!$G144="","",원생!$G144),수납!$B:$B,$B$1&amp;"-"&amp;TEXT(11,"00")&amp;"*",수납!$E:$E,""))</f>
        <v/>
      </c>
      <c r="N146" s="14">
        <f>IF(원생!$A144="","",SUMIFS(수납!$F:$F,수납!$C:$C,원생!$A144,수납!$D:$D,IF(원생!$G144="","",원생!$G144),수납!$B:$B,$B$1&amp;"-"&amp;TEXT(12,"00")&amp;"*",수납!$E:$E,"수강료")+SUMIFS(수납!$F:$F,수납!$C:$C,원생!$A144,수납!$D:$D,IF(원생!$G144="","",원생!$G144),수납!$B:$B,$B$1&amp;"-"&amp;TEXT(12,"00")&amp;"*",수납!$E:$E,""))</f>
        <v/>
      </c>
      <c r="O146">
        <f>IF(원생!$I144="","",원생!$I144)</f>
        <v/>
      </c>
      <c r="P146">
        <f>IF($A146="","",IF(AND($B146&gt;0,C146&lt;$B146,DATE($B$1,1,1)&lt;=TODAY(),OR($O146="",$O146&gt;=DATE($B$1,1,1)),OR(COUNTIF($C146:C146,"&gt;0")&gt;0,DATE($B$1,1,1)=DATE(YEAR(TODAY()),MONTH(TODAY()),1))),1,0))</f>
        <v/>
      </c>
      <c r="Q146">
        <f>IF($A146="","",IF(AND($B146&gt;0,D146&lt;$B146,DATE($B$1,2,1)&lt;=TODAY(),OR($O146="",$O146&gt;=DATE($B$1,2,1)),OR(COUNTIF($C146:D146,"&gt;0")&gt;0,DATE($B$1,2,1)=DATE(YEAR(TODAY()),MONTH(TODAY()),1))),1,0))</f>
        <v/>
      </c>
      <c r="R146">
        <f>IF($A146="","",IF(AND($B146&gt;0,E146&lt;$B146,DATE($B$1,3,1)&lt;=TODAY(),OR($O146="",$O146&gt;=DATE($B$1,3,1)),OR(COUNTIF($C146:E146,"&gt;0")&gt;0,DATE($B$1,3,1)=DATE(YEAR(TODAY()),MONTH(TODAY()),1))),1,0))</f>
        <v/>
      </c>
      <c r="S146">
        <f>IF($A146="","",IF(AND($B146&gt;0,F146&lt;$B146,DATE($B$1,4,1)&lt;=TODAY(),OR($O146="",$O146&gt;=DATE($B$1,4,1)),OR(COUNTIF($C146:F146,"&gt;0")&gt;0,DATE($B$1,4,1)=DATE(YEAR(TODAY()),MONTH(TODAY()),1))),1,0))</f>
        <v/>
      </c>
      <c r="T146">
        <f>IF($A146="","",IF(AND($B146&gt;0,G146&lt;$B146,DATE($B$1,5,1)&lt;=TODAY(),OR($O146="",$O146&gt;=DATE($B$1,5,1)),OR(COUNTIF($C146:G146,"&gt;0")&gt;0,DATE($B$1,5,1)=DATE(YEAR(TODAY()),MONTH(TODAY()),1))),1,0))</f>
        <v/>
      </c>
      <c r="U146">
        <f>IF($A146="","",IF(AND($B146&gt;0,H146&lt;$B146,DATE($B$1,6,1)&lt;=TODAY(),OR($O146="",$O146&gt;=DATE($B$1,6,1)),OR(COUNTIF($C146:H146,"&gt;0")&gt;0,DATE($B$1,6,1)=DATE(YEAR(TODAY()),MONTH(TODAY()),1))),1,0))</f>
        <v/>
      </c>
      <c r="V146">
        <f>IF($A146="","",IF(AND($B146&gt;0,I146&lt;$B146,DATE($B$1,7,1)&lt;=TODAY(),OR($O146="",$O146&gt;=DATE($B$1,7,1)),OR(COUNTIF($C146:I146,"&gt;0")&gt;0,DATE($B$1,7,1)=DATE(YEAR(TODAY()),MONTH(TODAY()),1))),1,0))</f>
        <v/>
      </c>
      <c r="W146">
        <f>IF($A146="","",IF(AND($B146&gt;0,J146&lt;$B146,DATE($B$1,8,1)&lt;=TODAY(),OR($O146="",$O146&gt;=DATE($B$1,8,1)),OR(COUNTIF($C146:J146,"&gt;0")&gt;0,DATE($B$1,8,1)=DATE(YEAR(TODAY()),MONTH(TODAY()),1))),1,0))</f>
        <v/>
      </c>
      <c r="X146">
        <f>IF($A146="","",IF(AND($B146&gt;0,K146&lt;$B146,DATE($B$1,9,1)&lt;=TODAY(),OR($O146="",$O146&gt;=DATE($B$1,9,1)),OR(COUNTIF($C146:K146,"&gt;0")&gt;0,DATE($B$1,9,1)=DATE(YEAR(TODAY()),MONTH(TODAY()),1))),1,0))</f>
        <v/>
      </c>
      <c r="Y146">
        <f>IF($A146="","",IF(AND($B146&gt;0,L146&lt;$B146,DATE($B$1,10,1)&lt;=TODAY(),OR($O146="",$O146&gt;=DATE($B$1,10,1)),OR(COUNTIF($C146:L146,"&gt;0")&gt;0,DATE($B$1,10,1)=DATE(YEAR(TODAY()),MONTH(TODAY()),1))),1,0))</f>
        <v/>
      </c>
      <c r="Z146">
        <f>IF($A146="","",IF(AND($B146&gt;0,M146&lt;$B146,DATE($B$1,11,1)&lt;=TODAY(),OR($O146="",$O146&gt;=DATE($B$1,11,1)),OR(COUNTIF($C146:M146,"&gt;0")&gt;0,DATE($B$1,11,1)=DATE(YEAR(TODAY()),MONTH(TODAY()),1))),1,0))</f>
        <v/>
      </c>
      <c r="AA146">
        <f>IF($A146="","",IF(AND($B146&gt;0,N146&lt;$B146,DATE($B$1,12,1)&lt;=TODAY(),OR($O146="",$O146&gt;=DATE($B$1,12,1)),OR(COUNTIF($C146:N146,"&gt;0")&gt;0,DATE($B$1,12,1)=DATE(YEAR(TODAY()),MONTH(TODAY()),1))),1,0))</f>
        <v/>
      </c>
    </row>
    <row r="147">
      <c r="A147" s="13">
        <f>IF(원생!$A145="","",원생!$A145&amp;IF(원생!$G145="",""," ("&amp;원생!$G145&amp;")"))</f>
        <v/>
      </c>
      <c r="B147" s="8">
        <f>IF(원생!$A145="","",원생!$F145)</f>
        <v/>
      </c>
      <c r="C147" s="14">
        <f>IF(원생!$A145="","",SUMIFS(수납!$F:$F,수납!$C:$C,원생!$A145,수납!$D:$D,IF(원생!$G145="","",원생!$G145),수납!$B:$B,$B$1&amp;"-"&amp;TEXT(1,"00")&amp;"*",수납!$E:$E,"수강료")+SUMIFS(수납!$F:$F,수납!$C:$C,원생!$A145,수납!$D:$D,IF(원생!$G145="","",원생!$G145),수납!$B:$B,$B$1&amp;"-"&amp;TEXT(1,"00")&amp;"*",수납!$E:$E,""))</f>
        <v/>
      </c>
      <c r="D147" s="14">
        <f>IF(원생!$A145="","",SUMIFS(수납!$F:$F,수납!$C:$C,원생!$A145,수납!$D:$D,IF(원생!$G145="","",원생!$G145),수납!$B:$B,$B$1&amp;"-"&amp;TEXT(2,"00")&amp;"*",수납!$E:$E,"수강료")+SUMIFS(수납!$F:$F,수납!$C:$C,원생!$A145,수납!$D:$D,IF(원생!$G145="","",원생!$G145),수납!$B:$B,$B$1&amp;"-"&amp;TEXT(2,"00")&amp;"*",수납!$E:$E,""))</f>
        <v/>
      </c>
      <c r="E147" s="14">
        <f>IF(원생!$A145="","",SUMIFS(수납!$F:$F,수납!$C:$C,원생!$A145,수납!$D:$D,IF(원생!$G145="","",원생!$G145),수납!$B:$B,$B$1&amp;"-"&amp;TEXT(3,"00")&amp;"*",수납!$E:$E,"수강료")+SUMIFS(수납!$F:$F,수납!$C:$C,원생!$A145,수납!$D:$D,IF(원생!$G145="","",원생!$G145),수납!$B:$B,$B$1&amp;"-"&amp;TEXT(3,"00")&amp;"*",수납!$E:$E,""))</f>
        <v/>
      </c>
      <c r="F147" s="14">
        <f>IF(원생!$A145="","",SUMIFS(수납!$F:$F,수납!$C:$C,원생!$A145,수납!$D:$D,IF(원생!$G145="","",원생!$G145),수납!$B:$B,$B$1&amp;"-"&amp;TEXT(4,"00")&amp;"*",수납!$E:$E,"수강료")+SUMIFS(수납!$F:$F,수납!$C:$C,원생!$A145,수납!$D:$D,IF(원생!$G145="","",원생!$G145),수납!$B:$B,$B$1&amp;"-"&amp;TEXT(4,"00")&amp;"*",수납!$E:$E,""))</f>
        <v/>
      </c>
      <c r="G147" s="14">
        <f>IF(원생!$A145="","",SUMIFS(수납!$F:$F,수납!$C:$C,원생!$A145,수납!$D:$D,IF(원생!$G145="","",원생!$G145),수납!$B:$B,$B$1&amp;"-"&amp;TEXT(5,"00")&amp;"*",수납!$E:$E,"수강료")+SUMIFS(수납!$F:$F,수납!$C:$C,원생!$A145,수납!$D:$D,IF(원생!$G145="","",원생!$G145),수납!$B:$B,$B$1&amp;"-"&amp;TEXT(5,"00")&amp;"*",수납!$E:$E,""))</f>
        <v/>
      </c>
      <c r="H147" s="14">
        <f>IF(원생!$A145="","",SUMIFS(수납!$F:$F,수납!$C:$C,원생!$A145,수납!$D:$D,IF(원생!$G145="","",원생!$G145),수납!$B:$B,$B$1&amp;"-"&amp;TEXT(6,"00")&amp;"*",수납!$E:$E,"수강료")+SUMIFS(수납!$F:$F,수납!$C:$C,원생!$A145,수납!$D:$D,IF(원생!$G145="","",원생!$G145),수납!$B:$B,$B$1&amp;"-"&amp;TEXT(6,"00")&amp;"*",수납!$E:$E,""))</f>
        <v/>
      </c>
      <c r="I147" s="14">
        <f>IF(원생!$A145="","",SUMIFS(수납!$F:$F,수납!$C:$C,원생!$A145,수납!$D:$D,IF(원생!$G145="","",원생!$G145),수납!$B:$B,$B$1&amp;"-"&amp;TEXT(7,"00")&amp;"*",수납!$E:$E,"수강료")+SUMIFS(수납!$F:$F,수납!$C:$C,원생!$A145,수납!$D:$D,IF(원생!$G145="","",원생!$G145),수납!$B:$B,$B$1&amp;"-"&amp;TEXT(7,"00")&amp;"*",수납!$E:$E,""))</f>
        <v/>
      </c>
      <c r="J147" s="14">
        <f>IF(원생!$A145="","",SUMIFS(수납!$F:$F,수납!$C:$C,원생!$A145,수납!$D:$D,IF(원생!$G145="","",원생!$G145),수납!$B:$B,$B$1&amp;"-"&amp;TEXT(8,"00")&amp;"*",수납!$E:$E,"수강료")+SUMIFS(수납!$F:$F,수납!$C:$C,원생!$A145,수납!$D:$D,IF(원생!$G145="","",원생!$G145),수납!$B:$B,$B$1&amp;"-"&amp;TEXT(8,"00")&amp;"*",수납!$E:$E,""))</f>
        <v/>
      </c>
      <c r="K147" s="14">
        <f>IF(원생!$A145="","",SUMIFS(수납!$F:$F,수납!$C:$C,원생!$A145,수납!$D:$D,IF(원생!$G145="","",원생!$G145),수납!$B:$B,$B$1&amp;"-"&amp;TEXT(9,"00")&amp;"*",수납!$E:$E,"수강료")+SUMIFS(수납!$F:$F,수납!$C:$C,원생!$A145,수납!$D:$D,IF(원생!$G145="","",원생!$G145),수납!$B:$B,$B$1&amp;"-"&amp;TEXT(9,"00")&amp;"*",수납!$E:$E,""))</f>
        <v/>
      </c>
      <c r="L147" s="14">
        <f>IF(원생!$A145="","",SUMIFS(수납!$F:$F,수납!$C:$C,원생!$A145,수납!$D:$D,IF(원생!$G145="","",원생!$G145),수납!$B:$B,$B$1&amp;"-"&amp;TEXT(10,"00")&amp;"*",수납!$E:$E,"수강료")+SUMIFS(수납!$F:$F,수납!$C:$C,원생!$A145,수납!$D:$D,IF(원생!$G145="","",원생!$G145),수납!$B:$B,$B$1&amp;"-"&amp;TEXT(10,"00")&amp;"*",수납!$E:$E,""))</f>
        <v/>
      </c>
      <c r="M147" s="14">
        <f>IF(원생!$A145="","",SUMIFS(수납!$F:$F,수납!$C:$C,원생!$A145,수납!$D:$D,IF(원생!$G145="","",원생!$G145),수납!$B:$B,$B$1&amp;"-"&amp;TEXT(11,"00")&amp;"*",수납!$E:$E,"수강료")+SUMIFS(수납!$F:$F,수납!$C:$C,원생!$A145,수납!$D:$D,IF(원생!$G145="","",원생!$G145),수납!$B:$B,$B$1&amp;"-"&amp;TEXT(11,"00")&amp;"*",수납!$E:$E,""))</f>
        <v/>
      </c>
      <c r="N147" s="14">
        <f>IF(원생!$A145="","",SUMIFS(수납!$F:$F,수납!$C:$C,원생!$A145,수납!$D:$D,IF(원생!$G145="","",원생!$G145),수납!$B:$B,$B$1&amp;"-"&amp;TEXT(12,"00")&amp;"*",수납!$E:$E,"수강료")+SUMIFS(수납!$F:$F,수납!$C:$C,원생!$A145,수납!$D:$D,IF(원생!$G145="","",원생!$G145),수납!$B:$B,$B$1&amp;"-"&amp;TEXT(12,"00")&amp;"*",수납!$E:$E,""))</f>
        <v/>
      </c>
      <c r="O147">
        <f>IF(원생!$I145="","",원생!$I145)</f>
        <v/>
      </c>
      <c r="P147">
        <f>IF($A147="","",IF(AND($B147&gt;0,C147&lt;$B147,DATE($B$1,1,1)&lt;=TODAY(),OR($O147="",$O147&gt;=DATE($B$1,1,1)),OR(COUNTIF($C147:C147,"&gt;0")&gt;0,DATE($B$1,1,1)=DATE(YEAR(TODAY()),MONTH(TODAY()),1))),1,0))</f>
        <v/>
      </c>
      <c r="Q147">
        <f>IF($A147="","",IF(AND($B147&gt;0,D147&lt;$B147,DATE($B$1,2,1)&lt;=TODAY(),OR($O147="",$O147&gt;=DATE($B$1,2,1)),OR(COUNTIF($C147:D147,"&gt;0")&gt;0,DATE($B$1,2,1)=DATE(YEAR(TODAY()),MONTH(TODAY()),1))),1,0))</f>
        <v/>
      </c>
      <c r="R147">
        <f>IF($A147="","",IF(AND($B147&gt;0,E147&lt;$B147,DATE($B$1,3,1)&lt;=TODAY(),OR($O147="",$O147&gt;=DATE($B$1,3,1)),OR(COUNTIF($C147:E147,"&gt;0")&gt;0,DATE($B$1,3,1)=DATE(YEAR(TODAY()),MONTH(TODAY()),1))),1,0))</f>
        <v/>
      </c>
      <c r="S147">
        <f>IF($A147="","",IF(AND($B147&gt;0,F147&lt;$B147,DATE($B$1,4,1)&lt;=TODAY(),OR($O147="",$O147&gt;=DATE($B$1,4,1)),OR(COUNTIF($C147:F147,"&gt;0")&gt;0,DATE($B$1,4,1)=DATE(YEAR(TODAY()),MONTH(TODAY()),1))),1,0))</f>
        <v/>
      </c>
      <c r="T147">
        <f>IF($A147="","",IF(AND($B147&gt;0,G147&lt;$B147,DATE($B$1,5,1)&lt;=TODAY(),OR($O147="",$O147&gt;=DATE($B$1,5,1)),OR(COUNTIF($C147:G147,"&gt;0")&gt;0,DATE($B$1,5,1)=DATE(YEAR(TODAY()),MONTH(TODAY()),1))),1,0))</f>
        <v/>
      </c>
      <c r="U147">
        <f>IF($A147="","",IF(AND($B147&gt;0,H147&lt;$B147,DATE($B$1,6,1)&lt;=TODAY(),OR($O147="",$O147&gt;=DATE($B$1,6,1)),OR(COUNTIF($C147:H147,"&gt;0")&gt;0,DATE($B$1,6,1)=DATE(YEAR(TODAY()),MONTH(TODAY()),1))),1,0))</f>
        <v/>
      </c>
      <c r="V147">
        <f>IF($A147="","",IF(AND($B147&gt;0,I147&lt;$B147,DATE($B$1,7,1)&lt;=TODAY(),OR($O147="",$O147&gt;=DATE($B$1,7,1)),OR(COUNTIF($C147:I147,"&gt;0")&gt;0,DATE($B$1,7,1)=DATE(YEAR(TODAY()),MONTH(TODAY()),1))),1,0))</f>
        <v/>
      </c>
      <c r="W147">
        <f>IF($A147="","",IF(AND($B147&gt;0,J147&lt;$B147,DATE($B$1,8,1)&lt;=TODAY(),OR($O147="",$O147&gt;=DATE($B$1,8,1)),OR(COUNTIF($C147:J147,"&gt;0")&gt;0,DATE($B$1,8,1)=DATE(YEAR(TODAY()),MONTH(TODAY()),1))),1,0))</f>
        <v/>
      </c>
      <c r="X147">
        <f>IF($A147="","",IF(AND($B147&gt;0,K147&lt;$B147,DATE($B$1,9,1)&lt;=TODAY(),OR($O147="",$O147&gt;=DATE($B$1,9,1)),OR(COUNTIF($C147:K147,"&gt;0")&gt;0,DATE($B$1,9,1)=DATE(YEAR(TODAY()),MONTH(TODAY()),1))),1,0))</f>
        <v/>
      </c>
      <c r="Y147">
        <f>IF($A147="","",IF(AND($B147&gt;0,L147&lt;$B147,DATE($B$1,10,1)&lt;=TODAY(),OR($O147="",$O147&gt;=DATE($B$1,10,1)),OR(COUNTIF($C147:L147,"&gt;0")&gt;0,DATE($B$1,10,1)=DATE(YEAR(TODAY()),MONTH(TODAY()),1))),1,0))</f>
        <v/>
      </c>
      <c r="Z147">
        <f>IF($A147="","",IF(AND($B147&gt;0,M147&lt;$B147,DATE($B$1,11,1)&lt;=TODAY(),OR($O147="",$O147&gt;=DATE($B$1,11,1)),OR(COUNTIF($C147:M147,"&gt;0")&gt;0,DATE($B$1,11,1)=DATE(YEAR(TODAY()),MONTH(TODAY()),1))),1,0))</f>
        <v/>
      </c>
      <c r="AA147">
        <f>IF($A147="","",IF(AND($B147&gt;0,N147&lt;$B147,DATE($B$1,12,1)&lt;=TODAY(),OR($O147="",$O147&gt;=DATE($B$1,12,1)),OR(COUNTIF($C147:N147,"&gt;0")&gt;0,DATE($B$1,12,1)=DATE(YEAR(TODAY()),MONTH(TODAY()),1))),1,0))</f>
        <v/>
      </c>
    </row>
    <row r="148">
      <c r="A148" s="13">
        <f>IF(원생!$A146="","",원생!$A146&amp;IF(원생!$G146="",""," ("&amp;원생!$G146&amp;")"))</f>
        <v/>
      </c>
      <c r="B148" s="8">
        <f>IF(원생!$A146="","",원생!$F146)</f>
        <v/>
      </c>
      <c r="C148" s="14">
        <f>IF(원생!$A146="","",SUMIFS(수납!$F:$F,수납!$C:$C,원생!$A146,수납!$D:$D,IF(원생!$G146="","",원생!$G146),수납!$B:$B,$B$1&amp;"-"&amp;TEXT(1,"00")&amp;"*",수납!$E:$E,"수강료")+SUMIFS(수납!$F:$F,수납!$C:$C,원생!$A146,수납!$D:$D,IF(원생!$G146="","",원생!$G146),수납!$B:$B,$B$1&amp;"-"&amp;TEXT(1,"00")&amp;"*",수납!$E:$E,""))</f>
        <v/>
      </c>
      <c r="D148" s="14">
        <f>IF(원생!$A146="","",SUMIFS(수납!$F:$F,수납!$C:$C,원생!$A146,수납!$D:$D,IF(원생!$G146="","",원생!$G146),수납!$B:$B,$B$1&amp;"-"&amp;TEXT(2,"00")&amp;"*",수납!$E:$E,"수강료")+SUMIFS(수납!$F:$F,수납!$C:$C,원생!$A146,수납!$D:$D,IF(원생!$G146="","",원생!$G146),수납!$B:$B,$B$1&amp;"-"&amp;TEXT(2,"00")&amp;"*",수납!$E:$E,""))</f>
        <v/>
      </c>
      <c r="E148" s="14">
        <f>IF(원생!$A146="","",SUMIFS(수납!$F:$F,수납!$C:$C,원생!$A146,수납!$D:$D,IF(원생!$G146="","",원생!$G146),수납!$B:$B,$B$1&amp;"-"&amp;TEXT(3,"00")&amp;"*",수납!$E:$E,"수강료")+SUMIFS(수납!$F:$F,수납!$C:$C,원생!$A146,수납!$D:$D,IF(원생!$G146="","",원생!$G146),수납!$B:$B,$B$1&amp;"-"&amp;TEXT(3,"00")&amp;"*",수납!$E:$E,""))</f>
        <v/>
      </c>
      <c r="F148" s="14">
        <f>IF(원생!$A146="","",SUMIFS(수납!$F:$F,수납!$C:$C,원생!$A146,수납!$D:$D,IF(원생!$G146="","",원생!$G146),수납!$B:$B,$B$1&amp;"-"&amp;TEXT(4,"00")&amp;"*",수납!$E:$E,"수강료")+SUMIFS(수납!$F:$F,수납!$C:$C,원생!$A146,수납!$D:$D,IF(원생!$G146="","",원생!$G146),수납!$B:$B,$B$1&amp;"-"&amp;TEXT(4,"00")&amp;"*",수납!$E:$E,""))</f>
        <v/>
      </c>
      <c r="G148" s="14">
        <f>IF(원생!$A146="","",SUMIFS(수납!$F:$F,수납!$C:$C,원생!$A146,수납!$D:$D,IF(원생!$G146="","",원생!$G146),수납!$B:$B,$B$1&amp;"-"&amp;TEXT(5,"00")&amp;"*",수납!$E:$E,"수강료")+SUMIFS(수납!$F:$F,수납!$C:$C,원생!$A146,수납!$D:$D,IF(원생!$G146="","",원생!$G146),수납!$B:$B,$B$1&amp;"-"&amp;TEXT(5,"00")&amp;"*",수납!$E:$E,""))</f>
        <v/>
      </c>
      <c r="H148" s="14">
        <f>IF(원생!$A146="","",SUMIFS(수납!$F:$F,수납!$C:$C,원생!$A146,수납!$D:$D,IF(원생!$G146="","",원생!$G146),수납!$B:$B,$B$1&amp;"-"&amp;TEXT(6,"00")&amp;"*",수납!$E:$E,"수강료")+SUMIFS(수납!$F:$F,수납!$C:$C,원생!$A146,수납!$D:$D,IF(원생!$G146="","",원생!$G146),수납!$B:$B,$B$1&amp;"-"&amp;TEXT(6,"00")&amp;"*",수납!$E:$E,""))</f>
        <v/>
      </c>
      <c r="I148" s="14">
        <f>IF(원생!$A146="","",SUMIFS(수납!$F:$F,수납!$C:$C,원생!$A146,수납!$D:$D,IF(원생!$G146="","",원생!$G146),수납!$B:$B,$B$1&amp;"-"&amp;TEXT(7,"00")&amp;"*",수납!$E:$E,"수강료")+SUMIFS(수납!$F:$F,수납!$C:$C,원생!$A146,수납!$D:$D,IF(원생!$G146="","",원생!$G146),수납!$B:$B,$B$1&amp;"-"&amp;TEXT(7,"00")&amp;"*",수납!$E:$E,""))</f>
        <v/>
      </c>
      <c r="J148" s="14">
        <f>IF(원생!$A146="","",SUMIFS(수납!$F:$F,수납!$C:$C,원생!$A146,수납!$D:$D,IF(원생!$G146="","",원생!$G146),수납!$B:$B,$B$1&amp;"-"&amp;TEXT(8,"00")&amp;"*",수납!$E:$E,"수강료")+SUMIFS(수납!$F:$F,수납!$C:$C,원생!$A146,수납!$D:$D,IF(원생!$G146="","",원생!$G146),수납!$B:$B,$B$1&amp;"-"&amp;TEXT(8,"00")&amp;"*",수납!$E:$E,""))</f>
        <v/>
      </c>
      <c r="K148" s="14">
        <f>IF(원생!$A146="","",SUMIFS(수납!$F:$F,수납!$C:$C,원생!$A146,수납!$D:$D,IF(원생!$G146="","",원생!$G146),수납!$B:$B,$B$1&amp;"-"&amp;TEXT(9,"00")&amp;"*",수납!$E:$E,"수강료")+SUMIFS(수납!$F:$F,수납!$C:$C,원생!$A146,수납!$D:$D,IF(원생!$G146="","",원생!$G146),수납!$B:$B,$B$1&amp;"-"&amp;TEXT(9,"00")&amp;"*",수납!$E:$E,""))</f>
        <v/>
      </c>
      <c r="L148" s="14">
        <f>IF(원생!$A146="","",SUMIFS(수납!$F:$F,수납!$C:$C,원생!$A146,수납!$D:$D,IF(원생!$G146="","",원생!$G146),수납!$B:$B,$B$1&amp;"-"&amp;TEXT(10,"00")&amp;"*",수납!$E:$E,"수강료")+SUMIFS(수납!$F:$F,수납!$C:$C,원생!$A146,수납!$D:$D,IF(원생!$G146="","",원생!$G146),수납!$B:$B,$B$1&amp;"-"&amp;TEXT(10,"00")&amp;"*",수납!$E:$E,""))</f>
        <v/>
      </c>
      <c r="M148" s="14">
        <f>IF(원생!$A146="","",SUMIFS(수납!$F:$F,수납!$C:$C,원생!$A146,수납!$D:$D,IF(원생!$G146="","",원생!$G146),수납!$B:$B,$B$1&amp;"-"&amp;TEXT(11,"00")&amp;"*",수납!$E:$E,"수강료")+SUMIFS(수납!$F:$F,수납!$C:$C,원생!$A146,수납!$D:$D,IF(원생!$G146="","",원생!$G146),수납!$B:$B,$B$1&amp;"-"&amp;TEXT(11,"00")&amp;"*",수납!$E:$E,""))</f>
        <v/>
      </c>
      <c r="N148" s="14">
        <f>IF(원생!$A146="","",SUMIFS(수납!$F:$F,수납!$C:$C,원생!$A146,수납!$D:$D,IF(원생!$G146="","",원생!$G146),수납!$B:$B,$B$1&amp;"-"&amp;TEXT(12,"00")&amp;"*",수납!$E:$E,"수강료")+SUMIFS(수납!$F:$F,수납!$C:$C,원생!$A146,수납!$D:$D,IF(원생!$G146="","",원생!$G146),수납!$B:$B,$B$1&amp;"-"&amp;TEXT(12,"00")&amp;"*",수납!$E:$E,""))</f>
        <v/>
      </c>
      <c r="O148">
        <f>IF(원생!$I146="","",원생!$I146)</f>
        <v/>
      </c>
      <c r="P148">
        <f>IF($A148="","",IF(AND($B148&gt;0,C148&lt;$B148,DATE($B$1,1,1)&lt;=TODAY(),OR($O148="",$O148&gt;=DATE($B$1,1,1)),OR(COUNTIF($C148:C148,"&gt;0")&gt;0,DATE($B$1,1,1)=DATE(YEAR(TODAY()),MONTH(TODAY()),1))),1,0))</f>
        <v/>
      </c>
      <c r="Q148">
        <f>IF($A148="","",IF(AND($B148&gt;0,D148&lt;$B148,DATE($B$1,2,1)&lt;=TODAY(),OR($O148="",$O148&gt;=DATE($B$1,2,1)),OR(COUNTIF($C148:D148,"&gt;0")&gt;0,DATE($B$1,2,1)=DATE(YEAR(TODAY()),MONTH(TODAY()),1))),1,0))</f>
        <v/>
      </c>
      <c r="R148">
        <f>IF($A148="","",IF(AND($B148&gt;0,E148&lt;$B148,DATE($B$1,3,1)&lt;=TODAY(),OR($O148="",$O148&gt;=DATE($B$1,3,1)),OR(COUNTIF($C148:E148,"&gt;0")&gt;0,DATE($B$1,3,1)=DATE(YEAR(TODAY()),MONTH(TODAY()),1))),1,0))</f>
        <v/>
      </c>
      <c r="S148">
        <f>IF($A148="","",IF(AND($B148&gt;0,F148&lt;$B148,DATE($B$1,4,1)&lt;=TODAY(),OR($O148="",$O148&gt;=DATE($B$1,4,1)),OR(COUNTIF($C148:F148,"&gt;0")&gt;0,DATE($B$1,4,1)=DATE(YEAR(TODAY()),MONTH(TODAY()),1))),1,0))</f>
        <v/>
      </c>
      <c r="T148">
        <f>IF($A148="","",IF(AND($B148&gt;0,G148&lt;$B148,DATE($B$1,5,1)&lt;=TODAY(),OR($O148="",$O148&gt;=DATE($B$1,5,1)),OR(COUNTIF($C148:G148,"&gt;0")&gt;0,DATE($B$1,5,1)=DATE(YEAR(TODAY()),MONTH(TODAY()),1))),1,0))</f>
        <v/>
      </c>
      <c r="U148">
        <f>IF($A148="","",IF(AND($B148&gt;0,H148&lt;$B148,DATE($B$1,6,1)&lt;=TODAY(),OR($O148="",$O148&gt;=DATE($B$1,6,1)),OR(COUNTIF($C148:H148,"&gt;0")&gt;0,DATE($B$1,6,1)=DATE(YEAR(TODAY()),MONTH(TODAY()),1))),1,0))</f>
        <v/>
      </c>
      <c r="V148">
        <f>IF($A148="","",IF(AND($B148&gt;0,I148&lt;$B148,DATE($B$1,7,1)&lt;=TODAY(),OR($O148="",$O148&gt;=DATE($B$1,7,1)),OR(COUNTIF($C148:I148,"&gt;0")&gt;0,DATE($B$1,7,1)=DATE(YEAR(TODAY()),MONTH(TODAY()),1))),1,0))</f>
        <v/>
      </c>
      <c r="W148">
        <f>IF($A148="","",IF(AND($B148&gt;0,J148&lt;$B148,DATE($B$1,8,1)&lt;=TODAY(),OR($O148="",$O148&gt;=DATE($B$1,8,1)),OR(COUNTIF($C148:J148,"&gt;0")&gt;0,DATE($B$1,8,1)=DATE(YEAR(TODAY()),MONTH(TODAY()),1))),1,0))</f>
        <v/>
      </c>
      <c r="X148">
        <f>IF($A148="","",IF(AND($B148&gt;0,K148&lt;$B148,DATE($B$1,9,1)&lt;=TODAY(),OR($O148="",$O148&gt;=DATE($B$1,9,1)),OR(COUNTIF($C148:K148,"&gt;0")&gt;0,DATE($B$1,9,1)=DATE(YEAR(TODAY()),MONTH(TODAY()),1))),1,0))</f>
        <v/>
      </c>
      <c r="Y148">
        <f>IF($A148="","",IF(AND($B148&gt;0,L148&lt;$B148,DATE($B$1,10,1)&lt;=TODAY(),OR($O148="",$O148&gt;=DATE($B$1,10,1)),OR(COUNTIF($C148:L148,"&gt;0")&gt;0,DATE($B$1,10,1)=DATE(YEAR(TODAY()),MONTH(TODAY()),1))),1,0))</f>
        <v/>
      </c>
      <c r="Z148">
        <f>IF($A148="","",IF(AND($B148&gt;0,M148&lt;$B148,DATE($B$1,11,1)&lt;=TODAY(),OR($O148="",$O148&gt;=DATE($B$1,11,1)),OR(COUNTIF($C148:M148,"&gt;0")&gt;0,DATE($B$1,11,1)=DATE(YEAR(TODAY()),MONTH(TODAY()),1))),1,0))</f>
        <v/>
      </c>
      <c r="AA148">
        <f>IF($A148="","",IF(AND($B148&gt;0,N148&lt;$B148,DATE($B$1,12,1)&lt;=TODAY(),OR($O148="",$O148&gt;=DATE($B$1,12,1)),OR(COUNTIF($C148:N148,"&gt;0")&gt;0,DATE($B$1,12,1)=DATE(YEAR(TODAY()),MONTH(TODAY()),1))),1,0))</f>
        <v/>
      </c>
    </row>
    <row r="149">
      <c r="A149" s="13">
        <f>IF(원생!$A147="","",원생!$A147&amp;IF(원생!$G147="",""," ("&amp;원생!$G147&amp;")"))</f>
        <v/>
      </c>
      <c r="B149" s="8">
        <f>IF(원생!$A147="","",원생!$F147)</f>
        <v/>
      </c>
      <c r="C149" s="14">
        <f>IF(원생!$A147="","",SUMIFS(수납!$F:$F,수납!$C:$C,원생!$A147,수납!$D:$D,IF(원생!$G147="","",원생!$G147),수납!$B:$B,$B$1&amp;"-"&amp;TEXT(1,"00")&amp;"*",수납!$E:$E,"수강료")+SUMIFS(수납!$F:$F,수납!$C:$C,원생!$A147,수납!$D:$D,IF(원생!$G147="","",원생!$G147),수납!$B:$B,$B$1&amp;"-"&amp;TEXT(1,"00")&amp;"*",수납!$E:$E,""))</f>
        <v/>
      </c>
      <c r="D149" s="14">
        <f>IF(원생!$A147="","",SUMIFS(수납!$F:$F,수납!$C:$C,원생!$A147,수납!$D:$D,IF(원생!$G147="","",원생!$G147),수납!$B:$B,$B$1&amp;"-"&amp;TEXT(2,"00")&amp;"*",수납!$E:$E,"수강료")+SUMIFS(수납!$F:$F,수납!$C:$C,원생!$A147,수납!$D:$D,IF(원생!$G147="","",원생!$G147),수납!$B:$B,$B$1&amp;"-"&amp;TEXT(2,"00")&amp;"*",수납!$E:$E,""))</f>
        <v/>
      </c>
      <c r="E149" s="14">
        <f>IF(원생!$A147="","",SUMIFS(수납!$F:$F,수납!$C:$C,원생!$A147,수납!$D:$D,IF(원생!$G147="","",원생!$G147),수납!$B:$B,$B$1&amp;"-"&amp;TEXT(3,"00")&amp;"*",수납!$E:$E,"수강료")+SUMIFS(수납!$F:$F,수납!$C:$C,원생!$A147,수납!$D:$D,IF(원생!$G147="","",원생!$G147),수납!$B:$B,$B$1&amp;"-"&amp;TEXT(3,"00")&amp;"*",수납!$E:$E,""))</f>
        <v/>
      </c>
      <c r="F149" s="14">
        <f>IF(원생!$A147="","",SUMIFS(수납!$F:$F,수납!$C:$C,원생!$A147,수납!$D:$D,IF(원생!$G147="","",원생!$G147),수납!$B:$B,$B$1&amp;"-"&amp;TEXT(4,"00")&amp;"*",수납!$E:$E,"수강료")+SUMIFS(수납!$F:$F,수납!$C:$C,원생!$A147,수납!$D:$D,IF(원생!$G147="","",원생!$G147),수납!$B:$B,$B$1&amp;"-"&amp;TEXT(4,"00")&amp;"*",수납!$E:$E,""))</f>
        <v/>
      </c>
      <c r="G149" s="14">
        <f>IF(원생!$A147="","",SUMIFS(수납!$F:$F,수납!$C:$C,원생!$A147,수납!$D:$D,IF(원생!$G147="","",원생!$G147),수납!$B:$B,$B$1&amp;"-"&amp;TEXT(5,"00")&amp;"*",수납!$E:$E,"수강료")+SUMIFS(수납!$F:$F,수납!$C:$C,원생!$A147,수납!$D:$D,IF(원생!$G147="","",원생!$G147),수납!$B:$B,$B$1&amp;"-"&amp;TEXT(5,"00")&amp;"*",수납!$E:$E,""))</f>
        <v/>
      </c>
      <c r="H149" s="14">
        <f>IF(원생!$A147="","",SUMIFS(수납!$F:$F,수납!$C:$C,원생!$A147,수납!$D:$D,IF(원생!$G147="","",원생!$G147),수납!$B:$B,$B$1&amp;"-"&amp;TEXT(6,"00")&amp;"*",수납!$E:$E,"수강료")+SUMIFS(수납!$F:$F,수납!$C:$C,원생!$A147,수납!$D:$D,IF(원생!$G147="","",원생!$G147),수납!$B:$B,$B$1&amp;"-"&amp;TEXT(6,"00")&amp;"*",수납!$E:$E,""))</f>
        <v/>
      </c>
      <c r="I149" s="14">
        <f>IF(원생!$A147="","",SUMIFS(수납!$F:$F,수납!$C:$C,원생!$A147,수납!$D:$D,IF(원생!$G147="","",원생!$G147),수납!$B:$B,$B$1&amp;"-"&amp;TEXT(7,"00")&amp;"*",수납!$E:$E,"수강료")+SUMIFS(수납!$F:$F,수납!$C:$C,원생!$A147,수납!$D:$D,IF(원생!$G147="","",원생!$G147),수납!$B:$B,$B$1&amp;"-"&amp;TEXT(7,"00")&amp;"*",수납!$E:$E,""))</f>
        <v/>
      </c>
      <c r="J149" s="14">
        <f>IF(원생!$A147="","",SUMIFS(수납!$F:$F,수납!$C:$C,원생!$A147,수납!$D:$D,IF(원생!$G147="","",원생!$G147),수납!$B:$B,$B$1&amp;"-"&amp;TEXT(8,"00")&amp;"*",수납!$E:$E,"수강료")+SUMIFS(수납!$F:$F,수납!$C:$C,원생!$A147,수납!$D:$D,IF(원생!$G147="","",원생!$G147),수납!$B:$B,$B$1&amp;"-"&amp;TEXT(8,"00")&amp;"*",수납!$E:$E,""))</f>
        <v/>
      </c>
      <c r="K149" s="14">
        <f>IF(원생!$A147="","",SUMIFS(수납!$F:$F,수납!$C:$C,원생!$A147,수납!$D:$D,IF(원생!$G147="","",원생!$G147),수납!$B:$B,$B$1&amp;"-"&amp;TEXT(9,"00")&amp;"*",수납!$E:$E,"수강료")+SUMIFS(수납!$F:$F,수납!$C:$C,원생!$A147,수납!$D:$D,IF(원생!$G147="","",원생!$G147),수납!$B:$B,$B$1&amp;"-"&amp;TEXT(9,"00")&amp;"*",수납!$E:$E,""))</f>
        <v/>
      </c>
      <c r="L149" s="14">
        <f>IF(원생!$A147="","",SUMIFS(수납!$F:$F,수납!$C:$C,원생!$A147,수납!$D:$D,IF(원생!$G147="","",원생!$G147),수납!$B:$B,$B$1&amp;"-"&amp;TEXT(10,"00")&amp;"*",수납!$E:$E,"수강료")+SUMIFS(수납!$F:$F,수납!$C:$C,원생!$A147,수납!$D:$D,IF(원생!$G147="","",원생!$G147),수납!$B:$B,$B$1&amp;"-"&amp;TEXT(10,"00")&amp;"*",수납!$E:$E,""))</f>
        <v/>
      </c>
      <c r="M149" s="14">
        <f>IF(원생!$A147="","",SUMIFS(수납!$F:$F,수납!$C:$C,원생!$A147,수납!$D:$D,IF(원생!$G147="","",원생!$G147),수납!$B:$B,$B$1&amp;"-"&amp;TEXT(11,"00")&amp;"*",수납!$E:$E,"수강료")+SUMIFS(수납!$F:$F,수납!$C:$C,원생!$A147,수납!$D:$D,IF(원생!$G147="","",원생!$G147),수납!$B:$B,$B$1&amp;"-"&amp;TEXT(11,"00")&amp;"*",수납!$E:$E,""))</f>
        <v/>
      </c>
      <c r="N149" s="14">
        <f>IF(원생!$A147="","",SUMIFS(수납!$F:$F,수납!$C:$C,원생!$A147,수납!$D:$D,IF(원생!$G147="","",원생!$G147),수납!$B:$B,$B$1&amp;"-"&amp;TEXT(12,"00")&amp;"*",수납!$E:$E,"수강료")+SUMIFS(수납!$F:$F,수납!$C:$C,원생!$A147,수납!$D:$D,IF(원생!$G147="","",원생!$G147),수납!$B:$B,$B$1&amp;"-"&amp;TEXT(12,"00")&amp;"*",수납!$E:$E,""))</f>
        <v/>
      </c>
      <c r="O149">
        <f>IF(원생!$I147="","",원생!$I147)</f>
        <v/>
      </c>
      <c r="P149">
        <f>IF($A149="","",IF(AND($B149&gt;0,C149&lt;$B149,DATE($B$1,1,1)&lt;=TODAY(),OR($O149="",$O149&gt;=DATE($B$1,1,1)),OR(COUNTIF($C149:C149,"&gt;0")&gt;0,DATE($B$1,1,1)=DATE(YEAR(TODAY()),MONTH(TODAY()),1))),1,0))</f>
        <v/>
      </c>
      <c r="Q149">
        <f>IF($A149="","",IF(AND($B149&gt;0,D149&lt;$B149,DATE($B$1,2,1)&lt;=TODAY(),OR($O149="",$O149&gt;=DATE($B$1,2,1)),OR(COUNTIF($C149:D149,"&gt;0")&gt;0,DATE($B$1,2,1)=DATE(YEAR(TODAY()),MONTH(TODAY()),1))),1,0))</f>
        <v/>
      </c>
      <c r="R149">
        <f>IF($A149="","",IF(AND($B149&gt;0,E149&lt;$B149,DATE($B$1,3,1)&lt;=TODAY(),OR($O149="",$O149&gt;=DATE($B$1,3,1)),OR(COUNTIF($C149:E149,"&gt;0")&gt;0,DATE($B$1,3,1)=DATE(YEAR(TODAY()),MONTH(TODAY()),1))),1,0))</f>
        <v/>
      </c>
      <c r="S149">
        <f>IF($A149="","",IF(AND($B149&gt;0,F149&lt;$B149,DATE($B$1,4,1)&lt;=TODAY(),OR($O149="",$O149&gt;=DATE($B$1,4,1)),OR(COUNTIF($C149:F149,"&gt;0")&gt;0,DATE($B$1,4,1)=DATE(YEAR(TODAY()),MONTH(TODAY()),1))),1,0))</f>
        <v/>
      </c>
      <c r="T149">
        <f>IF($A149="","",IF(AND($B149&gt;0,G149&lt;$B149,DATE($B$1,5,1)&lt;=TODAY(),OR($O149="",$O149&gt;=DATE($B$1,5,1)),OR(COUNTIF($C149:G149,"&gt;0")&gt;0,DATE($B$1,5,1)=DATE(YEAR(TODAY()),MONTH(TODAY()),1))),1,0))</f>
        <v/>
      </c>
      <c r="U149">
        <f>IF($A149="","",IF(AND($B149&gt;0,H149&lt;$B149,DATE($B$1,6,1)&lt;=TODAY(),OR($O149="",$O149&gt;=DATE($B$1,6,1)),OR(COUNTIF($C149:H149,"&gt;0")&gt;0,DATE($B$1,6,1)=DATE(YEAR(TODAY()),MONTH(TODAY()),1))),1,0))</f>
        <v/>
      </c>
      <c r="V149">
        <f>IF($A149="","",IF(AND($B149&gt;0,I149&lt;$B149,DATE($B$1,7,1)&lt;=TODAY(),OR($O149="",$O149&gt;=DATE($B$1,7,1)),OR(COUNTIF($C149:I149,"&gt;0")&gt;0,DATE($B$1,7,1)=DATE(YEAR(TODAY()),MONTH(TODAY()),1))),1,0))</f>
        <v/>
      </c>
      <c r="W149">
        <f>IF($A149="","",IF(AND($B149&gt;0,J149&lt;$B149,DATE($B$1,8,1)&lt;=TODAY(),OR($O149="",$O149&gt;=DATE($B$1,8,1)),OR(COUNTIF($C149:J149,"&gt;0")&gt;0,DATE($B$1,8,1)=DATE(YEAR(TODAY()),MONTH(TODAY()),1))),1,0))</f>
        <v/>
      </c>
      <c r="X149">
        <f>IF($A149="","",IF(AND($B149&gt;0,K149&lt;$B149,DATE($B$1,9,1)&lt;=TODAY(),OR($O149="",$O149&gt;=DATE($B$1,9,1)),OR(COUNTIF($C149:K149,"&gt;0")&gt;0,DATE($B$1,9,1)=DATE(YEAR(TODAY()),MONTH(TODAY()),1))),1,0))</f>
        <v/>
      </c>
      <c r="Y149">
        <f>IF($A149="","",IF(AND($B149&gt;0,L149&lt;$B149,DATE($B$1,10,1)&lt;=TODAY(),OR($O149="",$O149&gt;=DATE($B$1,10,1)),OR(COUNTIF($C149:L149,"&gt;0")&gt;0,DATE($B$1,10,1)=DATE(YEAR(TODAY()),MONTH(TODAY()),1))),1,0))</f>
        <v/>
      </c>
      <c r="Z149">
        <f>IF($A149="","",IF(AND($B149&gt;0,M149&lt;$B149,DATE($B$1,11,1)&lt;=TODAY(),OR($O149="",$O149&gt;=DATE($B$1,11,1)),OR(COUNTIF($C149:M149,"&gt;0")&gt;0,DATE($B$1,11,1)=DATE(YEAR(TODAY()),MONTH(TODAY()),1))),1,0))</f>
        <v/>
      </c>
      <c r="AA149">
        <f>IF($A149="","",IF(AND($B149&gt;0,N149&lt;$B149,DATE($B$1,12,1)&lt;=TODAY(),OR($O149="",$O149&gt;=DATE($B$1,12,1)),OR(COUNTIF($C149:N149,"&gt;0")&gt;0,DATE($B$1,12,1)=DATE(YEAR(TODAY()),MONTH(TODAY()),1))),1,0))</f>
        <v/>
      </c>
    </row>
    <row r="150">
      <c r="A150" s="13">
        <f>IF(원생!$A148="","",원생!$A148&amp;IF(원생!$G148="",""," ("&amp;원생!$G148&amp;")"))</f>
        <v/>
      </c>
      <c r="B150" s="8">
        <f>IF(원생!$A148="","",원생!$F148)</f>
        <v/>
      </c>
      <c r="C150" s="14">
        <f>IF(원생!$A148="","",SUMIFS(수납!$F:$F,수납!$C:$C,원생!$A148,수납!$D:$D,IF(원생!$G148="","",원생!$G148),수납!$B:$B,$B$1&amp;"-"&amp;TEXT(1,"00")&amp;"*",수납!$E:$E,"수강료")+SUMIFS(수납!$F:$F,수납!$C:$C,원생!$A148,수납!$D:$D,IF(원생!$G148="","",원생!$G148),수납!$B:$B,$B$1&amp;"-"&amp;TEXT(1,"00")&amp;"*",수납!$E:$E,""))</f>
        <v/>
      </c>
      <c r="D150" s="14">
        <f>IF(원생!$A148="","",SUMIFS(수납!$F:$F,수납!$C:$C,원생!$A148,수납!$D:$D,IF(원생!$G148="","",원생!$G148),수납!$B:$B,$B$1&amp;"-"&amp;TEXT(2,"00")&amp;"*",수납!$E:$E,"수강료")+SUMIFS(수납!$F:$F,수납!$C:$C,원생!$A148,수납!$D:$D,IF(원생!$G148="","",원생!$G148),수납!$B:$B,$B$1&amp;"-"&amp;TEXT(2,"00")&amp;"*",수납!$E:$E,""))</f>
        <v/>
      </c>
      <c r="E150" s="14">
        <f>IF(원생!$A148="","",SUMIFS(수납!$F:$F,수납!$C:$C,원생!$A148,수납!$D:$D,IF(원생!$G148="","",원생!$G148),수납!$B:$B,$B$1&amp;"-"&amp;TEXT(3,"00")&amp;"*",수납!$E:$E,"수강료")+SUMIFS(수납!$F:$F,수납!$C:$C,원생!$A148,수납!$D:$D,IF(원생!$G148="","",원생!$G148),수납!$B:$B,$B$1&amp;"-"&amp;TEXT(3,"00")&amp;"*",수납!$E:$E,""))</f>
        <v/>
      </c>
      <c r="F150" s="14">
        <f>IF(원생!$A148="","",SUMIFS(수납!$F:$F,수납!$C:$C,원생!$A148,수납!$D:$D,IF(원생!$G148="","",원생!$G148),수납!$B:$B,$B$1&amp;"-"&amp;TEXT(4,"00")&amp;"*",수납!$E:$E,"수강료")+SUMIFS(수납!$F:$F,수납!$C:$C,원생!$A148,수납!$D:$D,IF(원생!$G148="","",원생!$G148),수납!$B:$B,$B$1&amp;"-"&amp;TEXT(4,"00")&amp;"*",수납!$E:$E,""))</f>
        <v/>
      </c>
      <c r="G150" s="14">
        <f>IF(원생!$A148="","",SUMIFS(수납!$F:$F,수납!$C:$C,원생!$A148,수납!$D:$D,IF(원생!$G148="","",원생!$G148),수납!$B:$B,$B$1&amp;"-"&amp;TEXT(5,"00")&amp;"*",수납!$E:$E,"수강료")+SUMIFS(수납!$F:$F,수납!$C:$C,원생!$A148,수납!$D:$D,IF(원생!$G148="","",원생!$G148),수납!$B:$B,$B$1&amp;"-"&amp;TEXT(5,"00")&amp;"*",수납!$E:$E,""))</f>
        <v/>
      </c>
      <c r="H150" s="14">
        <f>IF(원생!$A148="","",SUMIFS(수납!$F:$F,수납!$C:$C,원생!$A148,수납!$D:$D,IF(원생!$G148="","",원생!$G148),수납!$B:$B,$B$1&amp;"-"&amp;TEXT(6,"00")&amp;"*",수납!$E:$E,"수강료")+SUMIFS(수납!$F:$F,수납!$C:$C,원생!$A148,수납!$D:$D,IF(원생!$G148="","",원생!$G148),수납!$B:$B,$B$1&amp;"-"&amp;TEXT(6,"00")&amp;"*",수납!$E:$E,""))</f>
        <v/>
      </c>
      <c r="I150" s="14">
        <f>IF(원생!$A148="","",SUMIFS(수납!$F:$F,수납!$C:$C,원생!$A148,수납!$D:$D,IF(원생!$G148="","",원생!$G148),수납!$B:$B,$B$1&amp;"-"&amp;TEXT(7,"00")&amp;"*",수납!$E:$E,"수강료")+SUMIFS(수납!$F:$F,수납!$C:$C,원생!$A148,수납!$D:$D,IF(원생!$G148="","",원생!$G148),수납!$B:$B,$B$1&amp;"-"&amp;TEXT(7,"00")&amp;"*",수납!$E:$E,""))</f>
        <v/>
      </c>
      <c r="J150" s="14">
        <f>IF(원생!$A148="","",SUMIFS(수납!$F:$F,수납!$C:$C,원생!$A148,수납!$D:$D,IF(원생!$G148="","",원생!$G148),수납!$B:$B,$B$1&amp;"-"&amp;TEXT(8,"00")&amp;"*",수납!$E:$E,"수강료")+SUMIFS(수납!$F:$F,수납!$C:$C,원생!$A148,수납!$D:$D,IF(원생!$G148="","",원생!$G148),수납!$B:$B,$B$1&amp;"-"&amp;TEXT(8,"00")&amp;"*",수납!$E:$E,""))</f>
        <v/>
      </c>
      <c r="K150" s="14">
        <f>IF(원생!$A148="","",SUMIFS(수납!$F:$F,수납!$C:$C,원생!$A148,수납!$D:$D,IF(원생!$G148="","",원생!$G148),수납!$B:$B,$B$1&amp;"-"&amp;TEXT(9,"00")&amp;"*",수납!$E:$E,"수강료")+SUMIFS(수납!$F:$F,수납!$C:$C,원생!$A148,수납!$D:$D,IF(원생!$G148="","",원생!$G148),수납!$B:$B,$B$1&amp;"-"&amp;TEXT(9,"00")&amp;"*",수납!$E:$E,""))</f>
        <v/>
      </c>
      <c r="L150" s="14">
        <f>IF(원생!$A148="","",SUMIFS(수납!$F:$F,수납!$C:$C,원생!$A148,수납!$D:$D,IF(원생!$G148="","",원생!$G148),수납!$B:$B,$B$1&amp;"-"&amp;TEXT(10,"00")&amp;"*",수납!$E:$E,"수강료")+SUMIFS(수납!$F:$F,수납!$C:$C,원생!$A148,수납!$D:$D,IF(원생!$G148="","",원생!$G148),수납!$B:$B,$B$1&amp;"-"&amp;TEXT(10,"00")&amp;"*",수납!$E:$E,""))</f>
        <v/>
      </c>
      <c r="M150" s="14">
        <f>IF(원생!$A148="","",SUMIFS(수납!$F:$F,수납!$C:$C,원생!$A148,수납!$D:$D,IF(원생!$G148="","",원생!$G148),수납!$B:$B,$B$1&amp;"-"&amp;TEXT(11,"00")&amp;"*",수납!$E:$E,"수강료")+SUMIFS(수납!$F:$F,수납!$C:$C,원생!$A148,수납!$D:$D,IF(원생!$G148="","",원생!$G148),수납!$B:$B,$B$1&amp;"-"&amp;TEXT(11,"00")&amp;"*",수납!$E:$E,""))</f>
        <v/>
      </c>
      <c r="N150" s="14">
        <f>IF(원생!$A148="","",SUMIFS(수납!$F:$F,수납!$C:$C,원생!$A148,수납!$D:$D,IF(원생!$G148="","",원생!$G148),수납!$B:$B,$B$1&amp;"-"&amp;TEXT(12,"00")&amp;"*",수납!$E:$E,"수강료")+SUMIFS(수납!$F:$F,수납!$C:$C,원생!$A148,수납!$D:$D,IF(원생!$G148="","",원생!$G148),수납!$B:$B,$B$1&amp;"-"&amp;TEXT(12,"00")&amp;"*",수납!$E:$E,""))</f>
        <v/>
      </c>
      <c r="O150">
        <f>IF(원생!$I148="","",원생!$I148)</f>
        <v/>
      </c>
      <c r="P150">
        <f>IF($A150="","",IF(AND($B150&gt;0,C150&lt;$B150,DATE($B$1,1,1)&lt;=TODAY(),OR($O150="",$O150&gt;=DATE($B$1,1,1)),OR(COUNTIF($C150:C150,"&gt;0")&gt;0,DATE($B$1,1,1)=DATE(YEAR(TODAY()),MONTH(TODAY()),1))),1,0))</f>
        <v/>
      </c>
      <c r="Q150">
        <f>IF($A150="","",IF(AND($B150&gt;0,D150&lt;$B150,DATE($B$1,2,1)&lt;=TODAY(),OR($O150="",$O150&gt;=DATE($B$1,2,1)),OR(COUNTIF($C150:D150,"&gt;0")&gt;0,DATE($B$1,2,1)=DATE(YEAR(TODAY()),MONTH(TODAY()),1))),1,0))</f>
        <v/>
      </c>
      <c r="R150">
        <f>IF($A150="","",IF(AND($B150&gt;0,E150&lt;$B150,DATE($B$1,3,1)&lt;=TODAY(),OR($O150="",$O150&gt;=DATE($B$1,3,1)),OR(COUNTIF($C150:E150,"&gt;0")&gt;0,DATE($B$1,3,1)=DATE(YEAR(TODAY()),MONTH(TODAY()),1))),1,0))</f>
        <v/>
      </c>
      <c r="S150">
        <f>IF($A150="","",IF(AND($B150&gt;0,F150&lt;$B150,DATE($B$1,4,1)&lt;=TODAY(),OR($O150="",$O150&gt;=DATE($B$1,4,1)),OR(COUNTIF($C150:F150,"&gt;0")&gt;0,DATE($B$1,4,1)=DATE(YEAR(TODAY()),MONTH(TODAY()),1))),1,0))</f>
        <v/>
      </c>
      <c r="T150">
        <f>IF($A150="","",IF(AND($B150&gt;0,G150&lt;$B150,DATE($B$1,5,1)&lt;=TODAY(),OR($O150="",$O150&gt;=DATE($B$1,5,1)),OR(COUNTIF($C150:G150,"&gt;0")&gt;0,DATE($B$1,5,1)=DATE(YEAR(TODAY()),MONTH(TODAY()),1))),1,0))</f>
        <v/>
      </c>
      <c r="U150">
        <f>IF($A150="","",IF(AND($B150&gt;0,H150&lt;$B150,DATE($B$1,6,1)&lt;=TODAY(),OR($O150="",$O150&gt;=DATE($B$1,6,1)),OR(COUNTIF($C150:H150,"&gt;0")&gt;0,DATE($B$1,6,1)=DATE(YEAR(TODAY()),MONTH(TODAY()),1))),1,0))</f>
        <v/>
      </c>
      <c r="V150">
        <f>IF($A150="","",IF(AND($B150&gt;0,I150&lt;$B150,DATE($B$1,7,1)&lt;=TODAY(),OR($O150="",$O150&gt;=DATE($B$1,7,1)),OR(COUNTIF($C150:I150,"&gt;0")&gt;0,DATE($B$1,7,1)=DATE(YEAR(TODAY()),MONTH(TODAY()),1))),1,0))</f>
        <v/>
      </c>
      <c r="W150">
        <f>IF($A150="","",IF(AND($B150&gt;0,J150&lt;$B150,DATE($B$1,8,1)&lt;=TODAY(),OR($O150="",$O150&gt;=DATE($B$1,8,1)),OR(COUNTIF($C150:J150,"&gt;0")&gt;0,DATE($B$1,8,1)=DATE(YEAR(TODAY()),MONTH(TODAY()),1))),1,0))</f>
        <v/>
      </c>
      <c r="X150">
        <f>IF($A150="","",IF(AND($B150&gt;0,K150&lt;$B150,DATE($B$1,9,1)&lt;=TODAY(),OR($O150="",$O150&gt;=DATE($B$1,9,1)),OR(COUNTIF($C150:K150,"&gt;0")&gt;0,DATE($B$1,9,1)=DATE(YEAR(TODAY()),MONTH(TODAY()),1))),1,0))</f>
        <v/>
      </c>
      <c r="Y150">
        <f>IF($A150="","",IF(AND($B150&gt;0,L150&lt;$B150,DATE($B$1,10,1)&lt;=TODAY(),OR($O150="",$O150&gt;=DATE($B$1,10,1)),OR(COUNTIF($C150:L150,"&gt;0")&gt;0,DATE($B$1,10,1)=DATE(YEAR(TODAY()),MONTH(TODAY()),1))),1,0))</f>
        <v/>
      </c>
      <c r="Z150">
        <f>IF($A150="","",IF(AND($B150&gt;0,M150&lt;$B150,DATE($B$1,11,1)&lt;=TODAY(),OR($O150="",$O150&gt;=DATE($B$1,11,1)),OR(COUNTIF($C150:M150,"&gt;0")&gt;0,DATE($B$1,11,1)=DATE(YEAR(TODAY()),MONTH(TODAY()),1))),1,0))</f>
        <v/>
      </c>
      <c r="AA150">
        <f>IF($A150="","",IF(AND($B150&gt;0,N150&lt;$B150,DATE($B$1,12,1)&lt;=TODAY(),OR($O150="",$O150&gt;=DATE($B$1,12,1)),OR(COUNTIF($C150:N150,"&gt;0")&gt;0,DATE($B$1,12,1)=DATE(YEAR(TODAY()),MONTH(TODAY()),1))),1,0))</f>
        <v/>
      </c>
    </row>
    <row r="151">
      <c r="A151" s="13">
        <f>IF(원생!$A149="","",원생!$A149&amp;IF(원생!$G149="",""," ("&amp;원생!$G149&amp;")"))</f>
        <v/>
      </c>
      <c r="B151" s="8">
        <f>IF(원생!$A149="","",원생!$F149)</f>
        <v/>
      </c>
      <c r="C151" s="14">
        <f>IF(원생!$A149="","",SUMIFS(수납!$F:$F,수납!$C:$C,원생!$A149,수납!$D:$D,IF(원생!$G149="","",원생!$G149),수납!$B:$B,$B$1&amp;"-"&amp;TEXT(1,"00")&amp;"*",수납!$E:$E,"수강료")+SUMIFS(수납!$F:$F,수납!$C:$C,원생!$A149,수납!$D:$D,IF(원생!$G149="","",원생!$G149),수납!$B:$B,$B$1&amp;"-"&amp;TEXT(1,"00")&amp;"*",수납!$E:$E,""))</f>
        <v/>
      </c>
      <c r="D151" s="14">
        <f>IF(원생!$A149="","",SUMIFS(수납!$F:$F,수납!$C:$C,원생!$A149,수납!$D:$D,IF(원생!$G149="","",원생!$G149),수납!$B:$B,$B$1&amp;"-"&amp;TEXT(2,"00")&amp;"*",수납!$E:$E,"수강료")+SUMIFS(수납!$F:$F,수납!$C:$C,원생!$A149,수납!$D:$D,IF(원생!$G149="","",원생!$G149),수납!$B:$B,$B$1&amp;"-"&amp;TEXT(2,"00")&amp;"*",수납!$E:$E,""))</f>
        <v/>
      </c>
      <c r="E151" s="14">
        <f>IF(원생!$A149="","",SUMIFS(수납!$F:$F,수납!$C:$C,원생!$A149,수납!$D:$D,IF(원생!$G149="","",원생!$G149),수납!$B:$B,$B$1&amp;"-"&amp;TEXT(3,"00")&amp;"*",수납!$E:$E,"수강료")+SUMIFS(수납!$F:$F,수납!$C:$C,원생!$A149,수납!$D:$D,IF(원생!$G149="","",원생!$G149),수납!$B:$B,$B$1&amp;"-"&amp;TEXT(3,"00")&amp;"*",수납!$E:$E,""))</f>
        <v/>
      </c>
      <c r="F151" s="14">
        <f>IF(원생!$A149="","",SUMIFS(수납!$F:$F,수납!$C:$C,원생!$A149,수납!$D:$D,IF(원생!$G149="","",원생!$G149),수납!$B:$B,$B$1&amp;"-"&amp;TEXT(4,"00")&amp;"*",수납!$E:$E,"수강료")+SUMIFS(수납!$F:$F,수납!$C:$C,원생!$A149,수납!$D:$D,IF(원생!$G149="","",원생!$G149),수납!$B:$B,$B$1&amp;"-"&amp;TEXT(4,"00")&amp;"*",수납!$E:$E,""))</f>
        <v/>
      </c>
      <c r="G151" s="14">
        <f>IF(원생!$A149="","",SUMIFS(수납!$F:$F,수납!$C:$C,원생!$A149,수납!$D:$D,IF(원생!$G149="","",원생!$G149),수납!$B:$B,$B$1&amp;"-"&amp;TEXT(5,"00")&amp;"*",수납!$E:$E,"수강료")+SUMIFS(수납!$F:$F,수납!$C:$C,원생!$A149,수납!$D:$D,IF(원생!$G149="","",원생!$G149),수납!$B:$B,$B$1&amp;"-"&amp;TEXT(5,"00")&amp;"*",수납!$E:$E,""))</f>
        <v/>
      </c>
      <c r="H151" s="14">
        <f>IF(원생!$A149="","",SUMIFS(수납!$F:$F,수납!$C:$C,원생!$A149,수납!$D:$D,IF(원생!$G149="","",원생!$G149),수납!$B:$B,$B$1&amp;"-"&amp;TEXT(6,"00")&amp;"*",수납!$E:$E,"수강료")+SUMIFS(수납!$F:$F,수납!$C:$C,원생!$A149,수납!$D:$D,IF(원생!$G149="","",원생!$G149),수납!$B:$B,$B$1&amp;"-"&amp;TEXT(6,"00")&amp;"*",수납!$E:$E,""))</f>
        <v/>
      </c>
      <c r="I151" s="14">
        <f>IF(원생!$A149="","",SUMIFS(수납!$F:$F,수납!$C:$C,원생!$A149,수납!$D:$D,IF(원생!$G149="","",원생!$G149),수납!$B:$B,$B$1&amp;"-"&amp;TEXT(7,"00")&amp;"*",수납!$E:$E,"수강료")+SUMIFS(수납!$F:$F,수납!$C:$C,원생!$A149,수납!$D:$D,IF(원생!$G149="","",원생!$G149),수납!$B:$B,$B$1&amp;"-"&amp;TEXT(7,"00")&amp;"*",수납!$E:$E,""))</f>
        <v/>
      </c>
      <c r="J151" s="14">
        <f>IF(원생!$A149="","",SUMIFS(수납!$F:$F,수납!$C:$C,원생!$A149,수납!$D:$D,IF(원생!$G149="","",원생!$G149),수납!$B:$B,$B$1&amp;"-"&amp;TEXT(8,"00")&amp;"*",수납!$E:$E,"수강료")+SUMIFS(수납!$F:$F,수납!$C:$C,원생!$A149,수납!$D:$D,IF(원생!$G149="","",원생!$G149),수납!$B:$B,$B$1&amp;"-"&amp;TEXT(8,"00")&amp;"*",수납!$E:$E,""))</f>
        <v/>
      </c>
      <c r="K151" s="14">
        <f>IF(원생!$A149="","",SUMIFS(수납!$F:$F,수납!$C:$C,원생!$A149,수납!$D:$D,IF(원생!$G149="","",원생!$G149),수납!$B:$B,$B$1&amp;"-"&amp;TEXT(9,"00")&amp;"*",수납!$E:$E,"수강료")+SUMIFS(수납!$F:$F,수납!$C:$C,원생!$A149,수납!$D:$D,IF(원생!$G149="","",원생!$G149),수납!$B:$B,$B$1&amp;"-"&amp;TEXT(9,"00")&amp;"*",수납!$E:$E,""))</f>
        <v/>
      </c>
      <c r="L151" s="14">
        <f>IF(원생!$A149="","",SUMIFS(수납!$F:$F,수납!$C:$C,원생!$A149,수납!$D:$D,IF(원생!$G149="","",원생!$G149),수납!$B:$B,$B$1&amp;"-"&amp;TEXT(10,"00")&amp;"*",수납!$E:$E,"수강료")+SUMIFS(수납!$F:$F,수납!$C:$C,원생!$A149,수납!$D:$D,IF(원생!$G149="","",원생!$G149),수납!$B:$B,$B$1&amp;"-"&amp;TEXT(10,"00")&amp;"*",수납!$E:$E,""))</f>
        <v/>
      </c>
      <c r="M151" s="14">
        <f>IF(원생!$A149="","",SUMIFS(수납!$F:$F,수납!$C:$C,원생!$A149,수납!$D:$D,IF(원생!$G149="","",원생!$G149),수납!$B:$B,$B$1&amp;"-"&amp;TEXT(11,"00")&amp;"*",수납!$E:$E,"수강료")+SUMIFS(수납!$F:$F,수납!$C:$C,원생!$A149,수납!$D:$D,IF(원생!$G149="","",원생!$G149),수납!$B:$B,$B$1&amp;"-"&amp;TEXT(11,"00")&amp;"*",수납!$E:$E,""))</f>
        <v/>
      </c>
      <c r="N151" s="14">
        <f>IF(원생!$A149="","",SUMIFS(수납!$F:$F,수납!$C:$C,원생!$A149,수납!$D:$D,IF(원생!$G149="","",원생!$G149),수납!$B:$B,$B$1&amp;"-"&amp;TEXT(12,"00")&amp;"*",수납!$E:$E,"수강료")+SUMIFS(수납!$F:$F,수납!$C:$C,원생!$A149,수납!$D:$D,IF(원생!$G149="","",원생!$G149),수납!$B:$B,$B$1&amp;"-"&amp;TEXT(12,"00")&amp;"*",수납!$E:$E,""))</f>
        <v/>
      </c>
      <c r="O151">
        <f>IF(원생!$I149="","",원생!$I149)</f>
        <v/>
      </c>
      <c r="P151">
        <f>IF($A151="","",IF(AND($B151&gt;0,C151&lt;$B151,DATE($B$1,1,1)&lt;=TODAY(),OR($O151="",$O151&gt;=DATE($B$1,1,1)),OR(COUNTIF($C151:C151,"&gt;0")&gt;0,DATE($B$1,1,1)=DATE(YEAR(TODAY()),MONTH(TODAY()),1))),1,0))</f>
        <v/>
      </c>
      <c r="Q151">
        <f>IF($A151="","",IF(AND($B151&gt;0,D151&lt;$B151,DATE($B$1,2,1)&lt;=TODAY(),OR($O151="",$O151&gt;=DATE($B$1,2,1)),OR(COUNTIF($C151:D151,"&gt;0")&gt;0,DATE($B$1,2,1)=DATE(YEAR(TODAY()),MONTH(TODAY()),1))),1,0))</f>
        <v/>
      </c>
      <c r="R151">
        <f>IF($A151="","",IF(AND($B151&gt;0,E151&lt;$B151,DATE($B$1,3,1)&lt;=TODAY(),OR($O151="",$O151&gt;=DATE($B$1,3,1)),OR(COUNTIF($C151:E151,"&gt;0")&gt;0,DATE($B$1,3,1)=DATE(YEAR(TODAY()),MONTH(TODAY()),1))),1,0))</f>
        <v/>
      </c>
      <c r="S151">
        <f>IF($A151="","",IF(AND($B151&gt;0,F151&lt;$B151,DATE($B$1,4,1)&lt;=TODAY(),OR($O151="",$O151&gt;=DATE($B$1,4,1)),OR(COUNTIF($C151:F151,"&gt;0")&gt;0,DATE($B$1,4,1)=DATE(YEAR(TODAY()),MONTH(TODAY()),1))),1,0))</f>
        <v/>
      </c>
      <c r="T151">
        <f>IF($A151="","",IF(AND($B151&gt;0,G151&lt;$B151,DATE($B$1,5,1)&lt;=TODAY(),OR($O151="",$O151&gt;=DATE($B$1,5,1)),OR(COUNTIF($C151:G151,"&gt;0")&gt;0,DATE($B$1,5,1)=DATE(YEAR(TODAY()),MONTH(TODAY()),1))),1,0))</f>
        <v/>
      </c>
      <c r="U151">
        <f>IF($A151="","",IF(AND($B151&gt;0,H151&lt;$B151,DATE($B$1,6,1)&lt;=TODAY(),OR($O151="",$O151&gt;=DATE($B$1,6,1)),OR(COUNTIF($C151:H151,"&gt;0")&gt;0,DATE($B$1,6,1)=DATE(YEAR(TODAY()),MONTH(TODAY()),1))),1,0))</f>
        <v/>
      </c>
      <c r="V151">
        <f>IF($A151="","",IF(AND($B151&gt;0,I151&lt;$B151,DATE($B$1,7,1)&lt;=TODAY(),OR($O151="",$O151&gt;=DATE($B$1,7,1)),OR(COUNTIF($C151:I151,"&gt;0")&gt;0,DATE($B$1,7,1)=DATE(YEAR(TODAY()),MONTH(TODAY()),1))),1,0))</f>
        <v/>
      </c>
      <c r="W151">
        <f>IF($A151="","",IF(AND($B151&gt;0,J151&lt;$B151,DATE($B$1,8,1)&lt;=TODAY(),OR($O151="",$O151&gt;=DATE($B$1,8,1)),OR(COUNTIF($C151:J151,"&gt;0")&gt;0,DATE($B$1,8,1)=DATE(YEAR(TODAY()),MONTH(TODAY()),1))),1,0))</f>
        <v/>
      </c>
      <c r="X151">
        <f>IF($A151="","",IF(AND($B151&gt;0,K151&lt;$B151,DATE($B$1,9,1)&lt;=TODAY(),OR($O151="",$O151&gt;=DATE($B$1,9,1)),OR(COUNTIF($C151:K151,"&gt;0")&gt;0,DATE($B$1,9,1)=DATE(YEAR(TODAY()),MONTH(TODAY()),1))),1,0))</f>
        <v/>
      </c>
      <c r="Y151">
        <f>IF($A151="","",IF(AND($B151&gt;0,L151&lt;$B151,DATE($B$1,10,1)&lt;=TODAY(),OR($O151="",$O151&gt;=DATE($B$1,10,1)),OR(COUNTIF($C151:L151,"&gt;0")&gt;0,DATE($B$1,10,1)=DATE(YEAR(TODAY()),MONTH(TODAY()),1))),1,0))</f>
        <v/>
      </c>
      <c r="Z151">
        <f>IF($A151="","",IF(AND($B151&gt;0,M151&lt;$B151,DATE($B$1,11,1)&lt;=TODAY(),OR($O151="",$O151&gt;=DATE($B$1,11,1)),OR(COUNTIF($C151:M151,"&gt;0")&gt;0,DATE($B$1,11,1)=DATE(YEAR(TODAY()),MONTH(TODAY()),1))),1,0))</f>
        <v/>
      </c>
      <c r="AA151">
        <f>IF($A151="","",IF(AND($B151&gt;0,N151&lt;$B151,DATE($B$1,12,1)&lt;=TODAY(),OR($O151="",$O151&gt;=DATE($B$1,12,1)),OR(COUNTIF($C151:N151,"&gt;0")&gt;0,DATE($B$1,12,1)=DATE(YEAR(TODAY()),MONTH(TODAY()),1))),1,0))</f>
        <v/>
      </c>
    </row>
    <row r="152">
      <c r="A152" s="13">
        <f>IF(원생!$A150="","",원생!$A150&amp;IF(원생!$G150="",""," ("&amp;원생!$G150&amp;")"))</f>
        <v/>
      </c>
      <c r="B152" s="8">
        <f>IF(원생!$A150="","",원생!$F150)</f>
        <v/>
      </c>
      <c r="C152" s="14">
        <f>IF(원생!$A150="","",SUMIFS(수납!$F:$F,수납!$C:$C,원생!$A150,수납!$D:$D,IF(원생!$G150="","",원생!$G150),수납!$B:$B,$B$1&amp;"-"&amp;TEXT(1,"00")&amp;"*",수납!$E:$E,"수강료")+SUMIFS(수납!$F:$F,수납!$C:$C,원생!$A150,수납!$D:$D,IF(원생!$G150="","",원생!$G150),수납!$B:$B,$B$1&amp;"-"&amp;TEXT(1,"00")&amp;"*",수납!$E:$E,""))</f>
        <v/>
      </c>
      <c r="D152" s="14">
        <f>IF(원생!$A150="","",SUMIFS(수납!$F:$F,수납!$C:$C,원생!$A150,수납!$D:$D,IF(원생!$G150="","",원생!$G150),수납!$B:$B,$B$1&amp;"-"&amp;TEXT(2,"00")&amp;"*",수납!$E:$E,"수강료")+SUMIFS(수납!$F:$F,수납!$C:$C,원생!$A150,수납!$D:$D,IF(원생!$G150="","",원생!$G150),수납!$B:$B,$B$1&amp;"-"&amp;TEXT(2,"00")&amp;"*",수납!$E:$E,""))</f>
        <v/>
      </c>
      <c r="E152" s="14">
        <f>IF(원생!$A150="","",SUMIFS(수납!$F:$F,수납!$C:$C,원생!$A150,수납!$D:$D,IF(원생!$G150="","",원생!$G150),수납!$B:$B,$B$1&amp;"-"&amp;TEXT(3,"00")&amp;"*",수납!$E:$E,"수강료")+SUMIFS(수납!$F:$F,수납!$C:$C,원생!$A150,수납!$D:$D,IF(원생!$G150="","",원생!$G150),수납!$B:$B,$B$1&amp;"-"&amp;TEXT(3,"00")&amp;"*",수납!$E:$E,""))</f>
        <v/>
      </c>
      <c r="F152" s="14">
        <f>IF(원생!$A150="","",SUMIFS(수납!$F:$F,수납!$C:$C,원생!$A150,수납!$D:$D,IF(원생!$G150="","",원생!$G150),수납!$B:$B,$B$1&amp;"-"&amp;TEXT(4,"00")&amp;"*",수납!$E:$E,"수강료")+SUMIFS(수납!$F:$F,수납!$C:$C,원생!$A150,수납!$D:$D,IF(원생!$G150="","",원생!$G150),수납!$B:$B,$B$1&amp;"-"&amp;TEXT(4,"00")&amp;"*",수납!$E:$E,""))</f>
        <v/>
      </c>
      <c r="G152" s="14">
        <f>IF(원생!$A150="","",SUMIFS(수납!$F:$F,수납!$C:$C,원생!$A150,수납!$D:$D,IF(원생!$G150="","",원생!$G150),수납!$B:$B,$B$1&amp;"-"&amp;TEXT(5,"00")&amp;"*",수납!$E:$E,"수강료")+SUMIFS(수납!$F:$F,수납!$C:$C,원생!$A150,수납!$D:$D,IF(원생!$G150="","",원생!$G150),수납!$B:$B,$B$1&amp;"-"&amp;TEXT(5,"00")&amp;"*",수납!$E:$E,""))</f>
        <v/>
      </c>
      <c r="H152" s="14">
        <f>IF(원생!$A150="","",SUMIFS(수납!$F:$F,수납!$C:$C,원생!$A150,수납!$D:$D,IF(원생!$G150="","",원생!$G150),수납!$B:$B,$B$1&amp;"-"&amp;TEXT(6,"00")&amp;"*",수납!$E:$E,"수강료")+SUMIFS(수납!$F:$F,수납!$C:$C,원생!$A150,수납!$D:$D,IF(원생!$G150="","",원생!$G150),수납!$B:$B,$B$1&amp;"-"&amp;TEXT(6,"00")&amp;"*",수납!$E:$E,""))</f>
        <v/>
      </c>
      <c r="I152" s="14">
        <f>IF(원생!$A150="","",SUMIFS(수납!$F:$F,수납!$C:$C,원생!$A150,수납!$D:$D,IF(원생!$G150="","",원생!$G150),수납!$B:$B,$B$1&amp;"-"&amp;TEXT(7,"00")&amp;"*",수납!$E:$E,"수강료")+SUMIFS(수납!$F:$F,수납!$C:$C,원생!$A150,수납!$D:$D,IF(원생!$G150="","",원생!$G150),수납!$B:$B,$B$1&amp;"-"&amp;TEXT(7,"00")&amp;"*",수납!$E:$E,""))</f>
        <v/>
      </c>
      <c r="J152" s="14">
        <f>IF(원생!$A150="","",SUMIFS(수납!$F:$F,수납!$C:$C,원생!$A150,수납!$D:$D,IF(원생!$G150="","",원생!$G150),수납!$B:$B,$B$1&amp;"-"&amp;TEXT(8,"00")&amp;"*",수납!$E:$E,"수강료")+SUMIFS(수납!$F:$F,수납!$C:$C,원생!$A150,수납!$D:$D,IF(원생!$G150="","",원생!$G150),수납!$B:$B,$B$1&amp;"-"&amp;TEXT(8,"00")&amp;"*",수납!$E:$E,""))</f>
        <v/>
      </c>
      <c r="K152" s="14">
        <f>IF(원생!$A150="","",SUMIFS(수납!$F:$F,수납!$C:$C,원생!$A150,수납!$D:$D,IF(원생!$G150="","",원생!$G150),수납!$B:$B,$B$1&amp;"-"&amp;TEXT(9,"00")&amp;"*",수납!$E:$E,"수강료")+SUMIFS(수납!$F:$F,수납!$C:$C,원생!$A150,수납!$D:$D,IF(원생!$G150="","",원생!$G150),수납!$B:$B,$B$1&amp;"-"&amp;TEXT(9,"00")&amp;"*",수납!$E:$E,""))</f>
        <v/>
      </c>
      <c r="L152" s="14">
        <f>IF(원생!$A150="","",SUMIFS(수납!$F:$F,수납!$C:$C,원생!$A150,수납!$D:$D,IF(원생!$G150="","",원생!$G150),수납!$B:$B,$B$1&amp;"-"&amp;TEXT(10,"00")&amp;"*",수납!$E:$E,"수강료")+SUMIFS(수납!$F:$F,수납!$C:$C,원생!$A150,수납!$D:$D,IF(원생!$G150="","",원생!$G150),수납!$B:$B,$B$1&amp;"-"&amp;TEXT(10,"00")&amp;"*",수납!$E:$E,""))</f>
        <v/>
      </c>
      <c r="M152" s="14">
        <f>IF(원생!$A150="","",SUMIFS(수납!$F:$F,수납!$C:$C,원생!$A150,수납!$D:$D,IF(원생!$G150="","",원생!$G150),수납!$B:$B,$B$1&amp;"-"&amp;TEXT(11,"00")&amp;"*",수납!$E:$E,"수강료")+SUMIFS(수납!$F:$F,수납!$C:$C,원생!$A150,수납!$D:$D,IF(원생!$G150="","",원생!$G150),수납!$B:$B,$B$1&amp;"-"&amp;TEXT(11,"00")&amp;"*",수납!$E:$E,""))</f>
        <v/>
      </c>
      <c r="N152" s="14">
        <f>IF(원생!$A150="","",SUMIFS(수납!$F:$F,수납!$C:$C,원생!$A150,수납!$D:$D,IF(원생!$G150="","",원생!$G150),수납!$B:$B,$B$1&amp;"-"&amp;TEXT(12,"00")&amp;"*",수납!$E:$E,"수강료")+SUMIFS(수납!$F:$F,수납!$C:$C,원생!$A150,수납!$D:$D,IF(원생!$G150="","",원생!$G150),수납!$B:$B,$B$1&amp;"-"&amp;TEXT(12,"00")&amp;"*",수납!$E:$E,""))</f>
        <v/>
      </c>
      <c r="O152">
        <f>IF(원생!$I150="","",원생!$I150)</f>
        <v/>
      </c>
      <c r="P152">
        <f>IF($A152="","",IF(AND($B152&gt;0,C152&lt;$B152,DATE($B$1,1,1)&lt;=TODAY(),OR($O152="",$O152&gt;=DATE($B$1,1,1)),OR(COUNTIF($C152:C152,"&gt;0")&gt;0,DATE($B$1,1,1)=DATE(YEAR(TODAY()),MONTH(TODAY()),1))),1,0))</f>
        <v/>
      </c>
      <c r="Q152">
        <f>IF($A152="","",IF(AND($B152&gt;0,D152&lt;$B152,DATE($B$1,2,1)&lt;=TODAY(),OR($O152="",$O152&gt;=DATE($B$1,2,1)),OR(COUNTIF($C152:D152,"&gt;0")&gt;0,DATE($B$1,2,1)=DATE(YEAR(TODAY()),MONTH(TODAY()),1))),1,0))</f>
        <v/>
      </c>
      <c r="R152">
        <f>IF($A152="","",IF(AND($B152&gt;0,E152&lt;$B152,DATE($B$1,3,1)&lt;=TODAY(),OR($O152="",$O152&gt;=DATE($B$1,3,1)),OR(COUNTIF($C152:E152,"&gt;0")&gt;0,DATE($B$1,3,1)=DATE(YEAR(TODAY()),MONTH(TODAY()),1))),1,0))</f>
        <v/>
      </c>
      <c r="S152">
        <f>IF($A152="","",IF(AND($B152&gt;0,F152&lt;$B152,DATE($B$1,4,1)&lt;=TODAY(),OR($O152="",$O152&gt;=DATE($B$1,4,1)),OR(COUNTIF($C152:F152,"&gt;0")&gt;0,DATE($B$1,4,1)=DATE(YEAR(TODAY()),MONTH(TODAY()),1))),1,0))</f>
        <v/>
      </c>
      <c r="T152">
        <f>IF($A152="","",IF(AND($B152&gt;0,G152&lt;$B152,DATE($B$1,5,1)&lt;=TODAY(),OR($O152="",$O152&gt;=DATE($B$1,5,1)),OR(COUNTIF($C152:G152,"&gt;0")&gt;0,DATE($B$1,5,1)=DATE(YEAR(TODAY()),MONTH(TODAY()),1))),1,0))</f>
        <v/>
      </c>
      <c r="U152">
        <f>IF($A152="","",IF(AND($B152&gt;0,H152&lt;$B152,DATE($B$1,6,1)&lt;=TODAY(),OR($O152="",$O152&gt;=DATE($B$1,6,1)),OR(COUNTIF($C152:H152,"&gt;0")&gt;0,DATE($B$1,6,1)=DATE(YEAR(TODAY()),MONTH(TODAY()),1))),1,0))</f>
        <v/>
      </c>
      <c r="V152">
        <f>IF($A152="","",IF(AND($B152&gt;0,I152&lt;$B152,DATE($B$1,7,1)&lt;=TODAY(),OR($O152="",$O152&gt;=DATE($B$1,7,1)),OR(COUNTIF($C152:I152,"&gt;0")&gt;0,DATE($B$1,7,1)=DATE(YEAR(TODAY()),MONTH(TODAY()),1))),1,0))</f>
        <v/>
      </c>
      <c r="W152">
        <f>IF($A152="","",IF(AND($B152&gt;0,J152&lt;$B152,DATE($B$1,8,1)&lt;=TODAY(),OR($O152="",$O152&gt;=DATE($B$1,8,1)),OR(COUNTIF($C152:J152,"&gt;0")&gt;0,DATE($B$1,8,1)=DATE(YEAR(TODAY()),MONTH(TODAY()),1))),1,0))</f>
        <v/>
      </c>
      <c r="X152">
        <f>IF($A152="","",IF(AND($B152&gt;0,K152&lt;$B152,DATE($B$1,9,1)&lt;=TODAY(),OR($O152="",$O152&gt;=DATE($B$1,9,1)),OR(COUNTIF($C152:K152,"&gt;0")&gt;0,DATE($B$1,9,1)=DATE(YEAR(TODAY()),MONTH(TODAY()),1))),1,0))</f>
        <v/>
      </c>
      <c r="Y152">
        <f>IF($A152="","",IF(AND($B152&gt;0,L152&lt;$B152,DATE($B$1,10,1)&lt;=TODAY(),OR($O152="",$O152&gt;=DATE($B$1,10,1)),OR(COUNTIF($C152:L152,"&gt;0")&gt;0,DATE($B$1,10,1)=DATE(YEAR(TODAY()),MONTH(TODAY()),1))),1,0))</f>
        <v/>
      </c>
      <c r="Z152">
        <f>IF($A152="","",IF(AND($B152&gt;0,M152&lt;$B152,DATE($B$1,11,1)&lt;=TODAY(),OR($O152="",$O152&gt;=DATE($B$1,11,1)),OR(COUNTIF($C152:M152,"&gt;0")&gt;0,DATE($B$1,11,1)=DATE(YEAR(TODAY()),MONTH(TODAY()),1))),1,0))</f>
        <v/>
      </c>
      <c r="AA152">
        <f>IF($A152="","",IF(AND($B152&gt;0,N152&lt;$B152,DATE($B$1,12,1)&lt;=TODAY(),OR($O152="",$O152&gt;=DATE($B$1,12,1)),OR(COUNTIF($C152:N152,"&gt;0")&gt;0,DATE($B$1,12,1)=DATE(YEAR(TODAY()),MONTH(TODAY()),1))),1,0))</f>
        <v/>
      </c>
    </row>
    <row r="153">
      <c r="A153" s="13">
        <f>IF(원생!$A151="","",원생!$A151&amp;IF(원생!$G151="",""," ("&amp;원생!$G151&amp;")"))</f>
        <v/>
      </c>
      <c r="B153" s="8">
        <f>IF(원생!$A151="","",원생!$F151)</f>
        <v/>
      </c>
      <c r="C153" s="14">
        <f>IF(원생!$A151="","",SUMIFS(수납!$F:$F,수납!$C:$C,원생!$A151,수납!$D:$D,IF(원생!$G151="","",원생!$G151),수납!$B:$B,$B$1&amp;"-"&amp;TEXT(1,"00")&amp;"*",수납!$E:$E,"수강료")+SUMIFS(수납!$F:$F,수납!$C:$C,원생!$A151,수납!$D:$D,IF(원생!$G151="","",원생!$G151),수납!$B:$B,$B$1&amp;"-"&amp;TEXT(1,"00")&amp;"*",수납!$E:$E,""))</f>
        <v/>
      </c>
      <c r="D153" s="14">
        <f>IF(원생!$A151="","",SUMIFS(수납!$F:$F,수납!$C:$C,원생!$A151,수납!$D:$D,IF(원생!$G151="","",원생!$G151),수납!$B:$B,$B$1&amp;"-"&amp;TEXT(2,"00")&amp;"*",수납!$E:$E,"수강료")+SUMIFS(수납!$F:$F,수납!$C:$C,원생!$A151,수납!$D:$D,IF(원생!$G151="","",원생!$G151),수납!$B:$B,$B$1&amp;"-"&amp;TEXT(2,"00")&amp;"*",수납!$E:$E,""))</f>
        <v/>
      </c>
      <c r="E153" s="14">
        <f>IF(원생!$A151="","",SUMIFS(수납!$F:$F,수납!$C:$C,원생!$A151,수납!$D:$D,IF(원생!$G151="","",원생!$G151),수납!$B:$B,$B$1&amp;"-"&amp;TEXT(3,"00")&amp;"*",수납!$E:$E,"수강료")+SUMIFS(수납!$F:$F,수납!$C:$C,원생!$A151,수납!$D:$D,IF(원생!$G151="","",원생!$G151),수납!$B:$B,$B$1&amp;"-"&amp;TEXT(3,"00")&amp;"*",수납!$E:$E,""))</f>
        <v/>
      </c>
      <c r="F153" s="14">
        <f>IF(원생!$A151="","",SUMIFS(수납!$F:$F,수납!$C:$C,원생!$A151,수납!$D:$D,IF(원생!$G151="","",원생!$G151),수납!$B:$B,$B$1&amp;"-"&amp;TEXT(4,"00")&amp;"*",수납!$E:$E,"수강료")+SUMIFS(수납!$F:$F,수납!$C:$C,원생!$A151,수납!$D:$D,IF(원생!$G151="","",원생!$G151),수납!$B:$B,$B$1&amp;"-"&amp;TEXT(4,"00")&amp;"*",수납!$E:$E,""))</f>
        <v/>
      </c>
      <c r="G153" s="14">
        <f>IF(원생!$A151="","",SUMIFS(수납!$F:$F,수납!$C:$C,원생!$A151,수납!$D:$D,IF(원생!$G151="","",원생!$G151),수납!$B:$B,$B$1&amp;"-"&amp;TEXT(5,"00")&amp;"*",수납!$E:$E,"수강료")+SUMIFS(수납!$F:$F,수납!$C:$C,원생!$A151,수납!$D:$D,IF(원생!$G151="","",원생!$G151),수납!$B:$B,$B$1&amp;"-"&amp;TEXT(5,"00")&amp;"*",수납!$E:$E,""))</f>
        <v/>
      </c>
      <c r="H153" s="14">
        <f>IF(원생!$A151="","",SUMIFS(수납!$F:$F,수납!$C:$C,원생!$A151,수납!$D:$D,IF(원생!$G151="","",원생!$G151),수납!$B:$B,$B$1&amp;"-"&amp;TEXT(6,"00")&amp;"*",수납!$E:$E,"수강료")+SUMIFS(수납!$F:$F,수납!$C:$C,원생!$A151,수납!$D:$D,IF(원생!$G151="","",원생!$G151),수납!$B:$B,$B$1&amp;"-"&amp;TEXT(6,"00")&amp;"*",수납!$E:$E,""))</f>
        <v/>
      </c>
      <c r="I153" s="14">
        <f>IF(원생!$A151="","",SUMIFS(수납!$F:$F,수납!$C:$C,원생!$A151,수납!$D:$D,IF(원생!$G151="","",원생!$G151),수납!$B:$B,$B$1&amp;"-"&amp;TEXT(7,"00")&amp;"*",수납!$E:$E,"수강료")+SUMIFS(수납!$F:$F,수납!$C:$C,원생!$A151,수납!$D:$D,IF(원생!$G151="","",원생!$G151),수납!$B:$B,$B$1&amp;"-"&amp;TEXT(7,"00")&amp;"*",수납!$E:$E,""))</f>
        <v/>
      </c>
      <c r="J153" s="14">
        <f>IF(원생!$A151="","",SUMIFS(수납!$F:$F,수납!$C:$C,원생!$A151,수납!$D:$D,IF(원생!$G151="","",원생!$G151),수납!$B:$B,$B$1&amp;"-"&amp;TEXT(8,"00")&amp;"*",수납!$E:$E,"수강료")+SUMIFS(수납!$F:$F,수납!$C:$C,원생!$A151,수납!$D:$D,IF(원생!$G151="","",원생!$G151),수납!$B:$B,$B$1&amp;"-"&amp;TEXT(8,"00")&amp;"*",수납!$E:$E,""))</f>
        <v/>
      </c>
      <c r="K153" s="14">
        <f>IF(원생!$A151="","",SUMIFS(수납!$F:$F,수납!$C:$C,원생!$A151,수납!$D:$D,IF(원생!$G151="","",원생!$G151),수납!$B:$B,$B$1&amp;"-"&amp;TEXT(9,"00")&amp;"*",수납!$E:$E,"수강료")+SUMIFS(수납!$F:$F,수납!$C:$C,원생!$A151,수납!$D:$D,IF(원생!$G151="","",원생!$G151),수납!$B:$B,$B$1&amp;"-"&amp;TEXT(9,"00")&amp;"*",수납!$E:$E,""))</f>
        <v/>
      </c>
      <c r="L153" s="14">
        <f>IF(원생!$A151="","",SUMIFS(수납!$F:$F,수납!$C:$C,원생!$A151,수납!$D:$D,IF(원생!$G151="","",원생!$G151),수납!$B:$B,$B$1&amp;"-"&amp;TEXT(10,"00")&amp;"*",수납!$E:$E,"수강료")+SUMIFS(수납!$F:$F,수납!$C:$C,원생!$A151,수납!$D:$D,IF(원생!$G151="","",원생!$G151),수납!$B:$B,$B$1&amp;"-"&amp;TEXT(10,"00")&amp;"*",수납!$E:$E,""))</f>
        <v/>
      </c>
      <c r="M153" s="14">
        <f>IF(원생!$A151="","",SUMIFS(수납!$F:$F,수납!$C:$C,원생!$A151,수납!$D:$D,IF(원생!$G151="","",원생!$G151),수납!$B:$B,$B$1&amp;"-"&amp;TEXT(11,"00")&amp;"*",수납!$E:$E,"수강료")+SUMIFS(수납!$F:$F,수납!$C:$C,원생!$A151,수납!$D:$D,IF(원생!$G151="","",원생!$G151),수납!$B:$B,$B$1&amp;"-"&amp;TEXT(11,"00")&amp;"*",수납!$E:$E,""))</f>
        <v/>
      </c>
      <c r="N153" s="14">
        <f>IF(원생!$A151="","",SUMIFS(수납!$F:$F,수납!$C:$C,원생!$A151,수납!$D:$D,IF(원생!$G151="","",원생!$G151),수납!$B:$B,$B$1&amp;"-"&amp;TEXT(12,"00")&amp;"*",수납!$E:$E,"수강료")+SUMIFS(수납!$F:$F,수납!$C:$C,원생!$A151,수납!$D:$D,IF(원생!$G151="","",원생!$G151),수납!$B:$B,$B$1&amp;"-"&amp;TEXT(12,"00")&amp;"*",수납!$E:$E,""))</f>
        <v/>
      </c>
      <c r="O153">
        <f>IF(원생!$I151="","",원생!$I151)</f>
        <v/>
      </c>
      <c r="P153">
        <f>IF($A153="","",IF(AND($B153&gt;0,C153&lt;$B153,DATE($B$1,1,1)&lt;=TODAY(),OR($O153="",$O153&gt;=DATE($B$1,1,1)),OR(COUNTIF($C153:C153,"&gt;0")&gt;0,DATE($B$1,1,1)=DATE(YEAR(TODAY()),MONTH(TODAY()),1))),1,0))</f>
        <v/>
      </c>
      <c r="Q153">
        <f>IF($A153="","",IF(AND($B153&gt;0,D153&lt;$B153,DATE($B$1,2,1)&lt;=TODAY(),OR($O153="",$O153&gt;=DATE($B$1,2,1)),OR(COUNTIF($C153:D153,"&gt;0")&gt;0,DATE($B$1,2,1)=DATE(YEAR(TODAY()),MONTH(TODAY()),1))),1,0))</f>
        <v/>
      </c>
      <c r="R153">
        <f>IF($A153="","",IF(AND($B153&gt;0,E153&lt;$B153,DATE($B$1,3,1)&lt;=TODAY(),OR($O153="",$O153&gt;=DATE($B$1,3,1)),OR(COUNTIF($C153:E153,"&gt;0")&gt;0,DATE($B$1,3,1)=DATE(YEAR(TODAY()),MONTH(TODAY()),1))),1,0))</f>
        <v/>
      </c>
      <c r="S153">
        <f>IF($A153="","",IF(AND($B153&gt;0,F153&lt;$B153,DATE($B$1,4,1)&lt;=TODAY(),OR($O153="",$O153&gt;=DATE($B$1,4,1)),OR(COUNTIF($C153:F153,"&gt;0")&gt;0,DATE($B$1,4,1)=DATE(YEAR(TODAY()),MONTH(TODAY()),1))),1,0))</f>
        <v/>
      </c>
      <c r="T153">
        <f>IF($A153="","",IF(AND($B153&gt;0,G153&lt;$B153,DATE($B$1,5,1)&lt;=TODAY(),OR($O153="",$O153&gt;=DATE($B$1,5,1)),OR(COUNTIF($C153:G153,"&gt;0")&gt;0,DATE($B$1,5,1)=DATE(YEAR(TODAY()),MONTH(TODAY()),1))),1,0))</f>
        <v/>
      </c>
      <c r="U153">
        <f>IF($A153="","",IF(AND($B153&gt;0,H153&lt;$B153,DATE($B$1,6,1)&lt;=TODAY(),OR($O153="",$O153&gt;=DATE($B$1,6,1)),OR(COUNTIF($C153:H153,"&gt;0")&gt;0,DATE($B$1,6,1)=DATE(YEAR(TODAY()),MONTH(TODAY()),1))),1,0))</f>
        <v/>
      </c>
      <c r="V153">
        <f>IF($A153="","",IF(AND($B153&gt;0,I153&lt;$B153,DATE($B$1,7,1)&lt;=TODAY(),OR($O153="",$O153&gt;=DATE($B$1,7,1)),OR(COUNTIF($C153:I153,"&gt;0")&gt;0,DATE($B$1,7,1)=DATE(YEAR(TODAY()),MONTH(TODAY()),1))),1,0))</f>
        <v/>
      </c>
      <c r="W153">
        <f>IF($A153="","",IF(AND($B153&gt;0,J153&lt;$B153,DATE($B$1,8,1)&lt;=TODAY(),OR($O153="",$O153&gt;=DATE($B$1,8,1)),OR(COUNTIF($C153:J153,"&gt;0")&gt;0,DATE($B$1,8,1)=DATE(YEAR(TODAY()),MONTH(TODAY()),1))),1,0))</f>
        <v/>
      </c>
      <c r="X153">
        <f>IF($A153="","",IF(AND($B153&gt;0,K153&lt;$B153,DATE($B$1,9,1)&lt;=TODAY(),OR($O153="",$O153&gt;=DATE($B$1,9,1)),OR(COUNTIF($C153:K153,"&gt;0")&gt;0,DATE($B$1,9,1)=DATE(YEAR(TODAY()),MONTH(TODAY()),1))),1,0))</f>
        <v/>
      </c>
      <c r="Y153">
        <f>IF($A153="","",IF(AND($B153&gt;0,L153&lt;$B153,DATE($B$1,10,1)&lt;=TODAY(),OR($O153="",$O153&gt;=DATE($B$1,10,1)),OR(COUNTIF($C153:L153,"&gt;0")&gt;0,DATE($B$1,10,1)=DATE(YEAR(TODAY()),MONTH(TODAY()),1))),1,0))</f>
        <v/>
      </c>
      <c r="Z153">
        <f>IF($A153="","",IF(AND($B153&gt;0,M153&lt;$B153,DATE($B$1,11,1)&lt;=TODAY(),OR($O153="",$O153&gt;=DATE($B$1,11,1)),OR(COUNTIF($C153:M153,"&gt;0")&gt;0,DATE($B$1,11,1)=DATE(YEAR(TODAY()),MONTH(TODAY()),1))),1,0))</f>
        <v/>
      </c>
      <c r="AA153">
        <f>IF($A153="","",IF(AND($B153&gt;0,N153&lt;$B153,DATE($B$1,12,1)&lt;=TODAY(),OR($O153="",$O153&gt;=DATE($B$1,12,1)),OR(COUNTIF($C153:N153,"&gt;0")&gt;0,DATE($B$1,12,1)=DATE(YEAR(TODAY()),MONTH(TODAY()),1))),1,0))</f>
        <v/>
      </c>
    </row>
    <row r="154">
      <c r="A154" s="13">
        <f>IF(원생!$A152="","",원생!$A152&amp;IF(원생!$G152="",""," ("&amp;원생!$G152&amp;")"))</f>
        <v/>
      </c>
      <c r="B154" s="8">
        <f>IF(원생!$A152="","",원생!$F152)</f>
        <v/>
      </c>
      <c r="C154" s="14">
        <f>IF(원생!$A152="","",SUMIFS(수납!$F:$F,수납!$C:$C,원생!$A152,수납!$D:$D,IF(원생!$G152="","",원생!$G152),수납!$B:$B,$B$1&amp;"-"&amp;TEXT(1,"00")&amp;"*",수납!$E:$E,"수강료")+SUMIFS(수납!$F:$F,수납!$C:$C,원생!$A152,수납!$D:$D,IF(원생!$G152="","",원생!$G152),수납!$B:$B,$B$1&amp;"-"&amp;TEXT(1,"00")&amp;"*",수납!$E:$E,""))</f>
        <v/>
      </c>
      <c r="D154" s="14">
        <f>IF(원생!$A152="","",SUMIFS(수납!$F:$F,수납!$C:$C,원생!$A152,수납!$D:$D,IF(원생!$G152="","",원생!$G152),수납!$B:$B,$B$1&amp;"-"&amp;TEXT(2,"00")&amp;"*",수납!$E:$E,"수강료")+SUMIFS(수납!$F:$F,수납!$C:$C,원생!$A152,수납!$D:$D,IF(원생!$G152="","",원생!$G152),수납!$B:$B,$B$1&amp;"-"&amp;TEXT(2,"00")&amp;"*",수납!$E:$E,""))</f>
        <v/>
      </c>
      <c r="E154" s="14">
        <f>IF(원생!$A152="","",SUMIFS(수납!$F:$F,수납!$C:$C,원생!$A152,수납!$D:$D,IF(원생!$G152="","",원생!$G152),수납!$B:$B,$B$1&amp;"-"&amp;TEXT(3,"00")&amp;"*",수납!$E:$E,"수강료")+SUMIFS(수납!$F:$F,수납!$C:$C,원생!$A152,수납!$D:$D,IF(원생!$G152="","",원생!$G152),수납!$B:$B,$B$1&amp;"-"&amp;TEXT(3,"00")&amp;"*",수납!$E:$E,""))</f>
        <v/>
      </c>
      <c r="F154" s="14">
        <f>IF(원생!$A152="","",SUMIFS(수납!$F:$F,수납!$C:$C,원생!$A152,수납!$D:$D,IF(원생!$G152="","",원생!$G152),수납!$B:$B,$B$1&amp;"-"&amp;TEXT(4,"00")&amp;"*",수납!$E:$E,"수강료")+SUMIFS(수납!$F:$F,수납!$C:$C,원생!$A152,수납!$D:$D,IF(원생!$G152="","",원생!$G152),수납!$B:$B,$B$1&amp;"-"&amp;TEXT(4,"00")&amp;"*",수납!$E:$E,""))</f>
        <v/>
      </c>
      <c r="G154" s="14">
        <f>IF(원생!$A152="","",SUMIFS(수납!$F:$F,수납!$C:$C,원생!$A152,수납!$D:$D,IF(원생!$G152="","",원생!$G152),수납!$B:$B,$B$1&amp;"-"&amp;TEXT(5,"00")&amp;"*",수납!$E:$E,"수강료")+SUMIFS(수납!$F:$F,수납!$C:$C,원생!$A152,수납!$D:$D,IF(원생!$G152="","",원생!$G152),수납!$B:$B,$B$1&amp;"-"&amp;TEXT(5,"00")&amp;"*",수납!$E:$E,""))</f>
        <v/>
      </c>
      <c r="H154" s="14">
        <f>IF(원생!$A152="","",SUMIFS(수납!$F:$F,수납!$C:$C,원생!$A152,수납!$D:$D,IF(원생!$G152="","",원생!$G152),수납!$B:$B,$B$1&amp;"-"&amp;TEXT(6,"00")&amp;"*",수납!$E:$E,"수강료")+SUMIFS(수납!$F:$F,수납!$C:$C,원생!$A152,수납!$D:$D,IF(원생!$G152="","",원생!$G152),수납!$B:$B,$B$1&amp;"-"&amp;TEXT(6,"00")&amp;"*",수납!$E:$E,""))</f>
        <v/>
      </c>
      <c r="I154" s="14">
        <f>IF(원생!$A152="","",SUMIFS(수납!$F:$F,수납!$C:$C,원생!$A152,수납!$D:$D,IF(원생!$G152="","",원생!$G152),수납!$B:$B,$B$1&amp;"-"&amp;TEXT(7,"00")&amp;"*",수납!$E:$E,"수강료")+SUMIFS(수납!$F:$F,수납!$C:$C,원생!$A152,수납!$D:$D,IF(원생!$G152="","",원생!$G152),수납!$B:$B,$B$1&amp;"-"&amp;TEXT(7,"00")&amp;"*",수납!$E:$E,""))</f>
        <v/>
      </c>
      <c r="J154" s="14">
        <f>IF(원생!$A152="","",SUMIFS(수납!$F:$F,수납!$C:$C,원생!$A152,수납!$D:$D,IF(원생!$G152="","",원생!$G152),수납!$B:$B,$B$1&amp;"-"&amp;TEXT(8,"00")&amp;"*",수납!$E:$E,"수강료")+SUMIFS(수납!$F:$F,수납!$C:$C,원생!$A152,수납!$D:$D,IF(원생!$G152="","",원생!$G152),수납!$B:$B,$B$1&amp;"-"&amp;TEXT(8,"00")&amp;"*",수납!$E:$E,""))</f>
        <v/>
      </c>
      <c r="K154" s="14">
        <f>IF(원생!$A152="","",SUMIFS(수납!$F:$F,수납!$C:$C,원생!$A152,수납!$D:$D,IF(원생!$G152="","",원생!$G152),수납!$B:$B,$B$1&amp;"-"&amp;TEXT(9,"00")&amp;"*",수납!$E:$E,"수강료")+SUMIFS(수납!$F:$F,수납!$C:$C,원생!$A152,수납!$D:$D,IF(원생!$G152="","",원생!$G152),수납!$B:$B,$B$1&amp;"-"&amp;TEXT(9,"00")&amp;"*",수납!$E:$E,""))</f>
        <v/>
      </c>
      <c r="L154" s="14">
        <f>IF(원생!$A152="","",SUMIFS(수납!$F:$F,수납!$C:$C,원생!$A152,수납!$D:$D,IF(원생!$G152="","",원생!$G152),수납!$B:$B,$B$1&amp;"-"&amp;TEXT(10,"00")&amp;"*",수납!$E:$E,"수강료")+SUMIFS(수납!$F:$F,수납!$C:$C,원생!$A152,수납!$D:$D,IF(원생!$G152="","",원생!$G152),수납!$B:$B,$B$1&amp;"-"&amp;TEXT(10,"00")&amp;"*",수납!$E:$E,""))</f>
        <v/>
      </c>
      <c r="M154" s="14">
        <f>IF(원생!$A152="","",SUMIFS(수납!$F:$F,수납!$C:$C,원생!$A152,수납!$D:$D,IF(원생!$G152="","",원생!$G152),수납!$B:$B,$B$1&amp;"-"&amp;TEXT(11,"00")&amp;"*",수납!$E:$E,"수강료")+SUMIFS(수납!$F:$F,수납!$C:$C,원생!$A152,수납!$D:$D,IF(원생!$G152="","",원생!$G152),수납!$B:$B,$B$1&amp;"-"&amp;TEXT(11,"00")&amp;"*",수납!$E:$E,""))</f>
        <v/>
      </c>
      <c r="N154" s="14">
        <f>IF(원생!$A152="","",SUMIFS(수납!$F:$F,수납!$C:$C,원생!$A152,수납!$D:$D,IF(원생!$G152="","",원생!$G152),수납!$B:$B,$B$1&amp;"-"&amp;TEXT(12,"00")&amp;"*",수납!$E:$E,"수강료")+SUMIFS(수납!$F:$F,수납!$C:$C,원생!$A152,수납!$D:$D,IF(원생!$G152="","",원생!$G152),수납!$B:$B,$B$1&amp;"-"&amp;TEXT(12,"00")&amp;"*",수납!$E:$E,""))</f>
        <v/>
      </c>
      <c r="O154">
        <f>IF(원생!$I152="","",원생!$I152)</f>
        <v/>
      </c>
      <c r="P154">
        <f>IF($A154="","",IF(AND($B154&gt;0,C154&lt;$B154,DATE($B$1,1,1)&lt;=TODAY(),OR($O154="",$O154&gt;=DATE($B$1,1,1)),OR(COUNTIF($C154:C154,"&gt;0")&gt;0,DATE($B$1,1,1)=DATE(YEAR(TODAY()),MONTH(TODAY()),1))),1,0))</f>
        <v/>
      </c>
      <c r="Q154">
        <f>IF($A154="","",IF(AND($B154&gt;0,D154&lt;$B154,DATE($B$1,2,1)&lt;=TODAY(),OR($O154="",$O154&gt;=DATE($B$1,2,1)),OR(COUNTIF($C154:D154,"&gt;0")&gt;0,DATE($B$1,2,1)=DATE(YEAR(TODAY()),MONTH(TODAY()),1))),1,0))</f>
        <v/>
      </c>
      <c r="R154">
        <f>IF($A154="","",IF(AND($B154&gt;0,E154&lt;$B154,DATE($B$1,3,1)&lt;=TODAY(),OR($O154="",$O154&gt;=DATE($B$1,3,1)),OR(COUNTIF($C154:E154,"&gt;0")&gt;0,DATE($B$1,3,1)=DATE(YEAR(TODAY()),MONTH(TODAY()),1))),1,0))</f>
        <v/>
      </c>
      <c r="S154">
        <f>IF($A154="","",IF(AND($B154&gt;0,F154&lt;$B154,DATE($B$1,4,1)&lt;=TODAY(),OR($O154="",$O154&gt;=DATE($B$1,4,1)),OR(COUNTIF($C154:F154,"&gt;0")&gt;0,DATE($B$1,4,1)=DATE(YEAR(TODAY()),MONTH(TODAY()),1))),1,0))</f>
        <v/>
      </c>
      <c r="T154">
        <f>IF($A154="","",IF(AND($B154&gt;0,G154&lt;$B154,DATE($B$1,5,1)&lt;=TODAY(),OR($O154="",$O154&gt;=DATE($B$1,5,1)),OR(COUNTIF($C154:G154,"&gt;0")&gt;0,DATE($B$1,5,1)=DATE(YEAR(TODAY()),MONTH(TODAY()),1))),1,0))</f>
        <v/>
      </c>
      <c r="U154">
        <f>IF($A154="","",IF(AND($B154&gt;0,H154&lt;$B154,DATE($B$1,6,1)&lt;=TODAY(),OR($O154="",$O154&gt;=DATE($B$1,6,1)),OR(COUNTIF($C154:H154,"&gt;0")&gt;0,DATE($B$1,6,1)=DATE(YEAR(TODAY()),MONTH(TODAY()),1))),1,0))</f>
        <v/>
      </c>
      <c r="V154">
        <f>IF($A154="","",IF(AND($B154&gt;0,I154&lt;$B154,DATE($B$1,7,1)&lt;=TODAY(),OR($O154="",$O154&gt;=DATE($B$1,7,1)),OR(COUNTIF($C154:I154,"&gt;0")&gt;0,DATE($B$1,7,1)=DATE(YEAR(TODAY()),MONTH(TODAY()),1))),1,0))</f>
        <v/>
      </c>
      <c r="W154">
        <f>IF($A154="","",IF(AND($B154&gt;0,J154&lt;$B154,DATE($B$1,8,1)&lt;=TODAY(),OR($O154="",$O154&gt;=DATE($B$1,8,1)),OR(COUNTIF($C154:J154,"&gt;0")&gt;0,DATE($B$1,8,1)=DATE(YEAR(TODAY()),MONTH(TODAY()),1))),1,0))</f>
        <v/>
      </c>
      <c r="X154">
        <f>IF($A154="","",IF(AND($B154&gt;0,K154&lt;$B154,DATE($B$1,9,1)&lt;=TODAY(),OR($O154="",$O154&gt;=DATE($B$1,9,1)),OR(COUNTIF($C154:K154,"&gt;0")&gt;0,DATE($B$1,9,1)=DATE(YEAR(TODAY()),MONTH(TODAY()),1))),1,0))</f>
        <v/>
      </c>
      <c r="Y154">
        <f>IF($A154="","",IF(AND($B154&gt;0,L154&lt;$B154,DATE($B$1,10,1)&lt;=TODAY(),OR($O154="",$O154&gt;=DATE($B$1,10,1)),OR(COUNTIF($C154:L154,"&gt;0")&gt;0,DATE($B$1,10,1)=DATE(YEAR(TODAY()),MONTH(TODAY()),1))),1,0))</f>
        <v/>
      </c>
      <c r="Z154">
        <f>IF($A154="","",IF(AND($B154&gt;0,M154&lt;$B154,DATE($B$1,11,1)&lt;=TODAY(),OR($O154="",$O154&gt;=DATE($B$1,11,1)),OR(COUNTIF($C154:M154,"&gt;0")&gt;0,DATE($B$1,11,1)=DATE(YEAR(TODAY()),MONTH(TODAY()),1))),1,0))</f>
        <v/>
      </c>
      <c r="AA154">
        <f>IF($A154="","",IF(AND($B154&gt;0,N154&lt;$B154,DATE($B$1,12,1)&lt;=TODAY(),OR($O154="",$O154&gt;=DATE($B$1,12,1)),OR(COUNTIF($C154:N154,"&gt;0")&gt;0,DATE($B$1,12,1)=DATE(YEAR(TODAY()),MONTH(TODAY()),1))),1,0))</f>
        <v/>
      </c>
    </row>
    <row r="155">
      <c r="A155" s="13">
        <f>IF(원생!$A153="","",원생!$A153&amp;IF(원생!$G153="",""," ("&amp;원생!$G153&amp;")"))</f>
        <v/>
      </c>
      <c r="B155" s="8">
        <f>IF(원생!$A153="","",원생!$F153)</f>
        <v/>
      </c>
      <c r="C155" s="14">
        <f>IF(원생!$A153="","",SUMIFS(수납!$F:$F,수납!$C:$C,원생!$A153,수납!$D:$D,IF(원생!$G153="","",원생!$G153),수납!$B:$B,$B$1&amp;"-"&amp;TEXT(1,"00")&amp;"*",수납!$E:$E,"수강료")+SUMIFS(수납!$F:$F,수납!$C:$C,원생!$A153,수납!$D:$D,IF(원생!$G153="","",원생!$G153),수납!$B:$B,$B$1&amp;"-"&amp;TEXT(1,"00")&amp;"*",수납!$E:$E,""))</f>
        <v/>
      </c>
      <c r="D155" s="14">
        <f>IF(원생!$A153="","",SUMIFS(수납!$F:$F,수납!$C:$C,원생!$A153,수납!$D:$D,IF(원생!$G153="","",원생!$G153),수납!$B:$B,$B$1&amp;"-"&amp;TEXT(2,"00")&amp;"*",수납!$E:$E,"수강료")+SUMIFS(수납!$F:$F,수납!$C:$C,원생!$A153,수납!$D:$D,IF(원생!$G153="","",원생!$G153),수납!$B:$B,$B$1&amp;"-"&amp;TEXT(2,"00")&amp;"*",수납!$E:$E,""))</f>
        <v/>
      </c>
      <c r="E155" s="14">
        <f>IF(원생!$A153="","",SUMIFS(수납!$F:$F,수납!$C:$C,원생!$A153,수납!$D:$D,IF(원생!$G153="","",원생!$G153),수납!$B:$B,$B$1&amp;"-"&amp;TEXT(3,"00")&amp;"*",수납!$E:$E,"수강료")+SUMIFS(수납!$F:$F,수납!$C:$C,원생!$A153,수납!$D:$D,IF(원생!$G153="","",원생!$G153),수납!$B:$B,$B$1&amp;"-"&amp;TEXT(3,"00")&amp;"*",수납!$E:$E,""))</f>
        <v/>
      </c>
      <c r="F155" s="14">
        <f>IF(원생!$A153="","",SUMIFS(수납!$F:$F,수납!$C:$C,원생!$A153,수납!$D:$D,IF(원생!$G153="","",원생!$G153),수납!$B:$B,$B$1&amp;"-"&amp;TEXT(4,"00")&amp;"*",수납!$E:$E,"수강료")+SUMIFS(수납!$F:$F,수납!$C:$C,원생!$A153,수납!$D:$D,IF(원생!$G153="","",원생!$G153),수납!$B:$B,$B$1&amp;"-"&amp;TEXT(4,"00")&amp;"*",수납!$E:$E,""))</f>
        <v/>
      </c>
      <c r="G155" s="14">
        <f>IF(원생!$A153="","",SUMIFS(수납!$F:$F,수납!$C:$C,원생!$A153,수납!$D:$D,IF(원생!$G153="","",원생!$G153),수납!$B:$B,$B$1&amp;"-"&amp;TEXT(5,"00")&amp;"*",수납!$E:$E,"수강료")+SUMIFS(수납!$F:$F,수납!$C:$C,원생!$A153,수납!$D:$D,IF(원생!$G153="","",원생!$G153),수납!$B:$B,$B$1&amp;"-"&amp;TEXT(5,"00")&amp;"*",수납!$E:$E,""))</f>
        <v/>
      </c>
      <c r="H155" s="14">
        <f>IF(원생!$A153="","",SUMIFS(수납!$F:$F,수납!$C:$C,원생!$A153,수납!$D:$D,IF(원생!$G153="","",원생!$G153),수납!$B:$B,$B$1&amp;"-"&amp;TEXT(6,"00")&amp;"*",수납!$E:$E,"수강료")+SUMIFS(수납!$F:$F,수납!$C:$C,원생!$A153,수납!$D:$D,IF(원생!$G153="","",원생!$G153),수납!$B:$B,$B$1&amp;"-"&amp;TEXT(6,"00")&amp;"*",수납!$E:$E,""))</f>
        <v/>
      </c>
      <c r="I155" s="14">
        <f>IF(원생!$A153="","",SUMIFS(수납!$F:$F,수납!$C:$C,원생!$A153,수납!$D:$D,IF(원생!$G153="","",원생!$G153),수납!$B:$B,$B$1&amp;"-"&amp;TEXT(7,"00")&amp;"*",수납!$E:$E,"수강료")+SUMIFS(수납!$F:$F,수납!$C:$C,원생!$A153,수납!$D:$D,IF(원생!$G153="","",원생!$G153),수납!$B:$B,$B$1&amp;"-"&amp;TEXT(7,"00")&amp;"*",수납!$E:$E,""))</f>
        <v/>
      </c>
      <c r="J155" s="14">
        <f>IF(원생!$A153="","",SUMIFS(수납!$F:$F,수납!$C:$C,원생!$A153,수납!$D:$D,IF(원생!$G153="","",원생!$G153),수납!$B:$B,$B$1&amp;"-"&amp;TEXT(8,"00")&amp;"*",수납!$E:$E,"수강료")+SUMIFS(수납!$F:$F,수납!$C:$C,원생!$A153,수납!$D:$D,IF(원생!$G153="","",원생!$G153),수납!$B:$B,$B$1&amp;"-"&amp;TEXT(8,"00")&amp;"*",수납!$E:$E,""))</f>
        <v/>
      </c>
      <c r="K155" s="14">
        <f>IF(원생!$A153="","",SUMIFS(수납!$F:$F,수납!$C:$C,원생!$A153,수납!$D:$D,IF(원생!$G153="","",원생!$G153),수납!$B:$B,$B$1&amp;"-"&amp;TEXT(9,"00")&amp;"*",수납!$E:$E,"수강료")+SUMIFS(수납!$F:$F,수납!$C:$C,원생!$A153,수납!$D:$D,IF(원생!$G153="","",원생!$G153),수납!$B:$B,$B$1&amp;"-"&amp;TEXT(9,"00")&amp;"*",수납!$E:$E,""))</f>
        <v/>
      </c>
      <c r="L155" s="14">
        <f>IF(원생!$A153="","",SUMIFS(수납!$F:$F,수납!$C:$C,원생!$A153,수납!$D:$D,IF(원생!$G153="","",원생!$G153),수납!$B:$B,$B$1&amp;"-"&amp;TEXT(10,"00")&amp;"*",수납!$E:$E,"수강료")+SUMIFS(수납!$F:$F,수납!$C:$C,원생!$A153,수납!$D:$D,IF(원생!$G153="","",원생!$G153),수납!$B:$B,$B$1&amp;"-"&amp;TEXT(10,"00")&amp;"*",수납!$E:$E,""))</f>
        <v/>
      </c>
      <c r="M155" s="14">
        <f>IF(원생!$A153="","",SUMIFS(수납!$F:$F,수납!$C:$C,원생!$A153,수납!$D:$D,IF(원생!$G153="","",원생!$G153),수납!$B:$B,$B$1&amp;"-"&amp;TEXT(11,"00")&amp;"*",수납!$E:$E,"수강료")+SUMIFS(수납!$F:$F,수납!$C:$C,원생!$A153,수납!$D:$D,IF(원생!$G153="","",원생!$G153),수납!$B:$B,$B$1&amp;"-"&amp;TEXT(11,"00")&amp;"*",수납!$E:$E,""))</f>
        <v/>
      </c>
      <c r="N155" s="14">
        <f>IF(원생!$A153="","",SUMIFS(수납!$F:$F,수납!$C:$C,원생!$A153,수납!$D:$D,IF(원생!$G153="","",원생!$G153),수납!$B:$B,$B$1&amp;"-"&amp;TEXT(12,"00")&amp;"*",수납!$E:$E,"수강료")+SUMIFS(수납!$F:$F,수납!$C:$C,원생!$A153,수납!$D:$D,IF(원생!$G153="","",원생!$G153),수납!$B:$B,$B$1&amp;"-"&amp;TEXT(12,"00")&amp;"*",수납!$E:$E,""))</f>
        <v/>
      </c>
      <c r="O155">
        <f>IF(원생!$I153="","",원생!$I153)</f>
        <v/>
      </c>
      <c r="P155">
        <f>IF($A155="","",IF(AND($B155&gt;0,C155&lt;$B155,DATE($B$1,1,1)&lt;=TODAY(),OR($O155="",$O155&gt;=DATE($B$1,1,1)),OR(COUNTIF($C155:C155,"&gt;0")&gt;0,DATE($B$1,1,1)=DATE(YEAR(TODAY()),MONTH(TODAY()),1))),1,0))</f>
        <v/>
      </c>
      <c r="Q155">
        <f>IF($A155="","",IF(AND($B155&gt;0,D155&lt;$B155,DATE($B$1,2,1)&lt;=TODAY(),OR($O155="",$O155&gt;=DATE($B$1,2,1)),OR(COUNTIF($C155:D155,"&gt;0")&gt;0,DATE($B$1,2,1)=DATE(YEAR(TODAY()),MONTH(TODAY()),1))),1,0))</f>
        <v/>
      </c>
      <c r="R155">
        <f>IF($A155="","",IF(AND($B155&gt;0,E155&lt;$B155,DATE($B$1,3,1)&lt;=TODAY(),OR($O155="",$O155&gt;=DATE($B$1,3,1)),OR(COUNTIF($C155:E155,"&gt;0")&gt;0,DATE($B$1,3,1)=DATE(YEAR(TODAY()),MONTH(TODAY()),1))),1,0))</f>
        <v/>
      </c>
      <c r="S155">
        <f>IF($A155="","",IF(AND($B155&gt;0,F155&lt;$B155,DATE($B$1,4,1)&lt;=TODAY(),OR($O155="",$O155&gt;=DATE($B$1,4,1)),OR(COUNTIF($C155:F155,"&gt;0")&gt;0,DATE($B$1,4,1)=DATE(YEAR(TODAY()),MONTH(TODAY()),1))),1,0))</f>
        <v/>
      </c>
      <c r="T155">
        <f>IF($A155="","",IF(AND($B155&gt;0,G155&lt;$B155,DATE($B$1,5,1)&lt;=TODAY(),OR($O155="",$O155&gt;=DATE($B$1,5,1)),OR(COUNTIF($C155:G155,"&gt;0")&gt;0,DATE($B$1,5,1)=DATE(YEAR(TODAY()),MONTH(TODAY()),1))),1,0))</f>
        <v/>
      </c>
      <c r="U155">
        <f>IF($A155="","",IF(AND($B155&gt;0,H155&lt;$B155,DATE($B$1,6,1)&lt;=TODAY(),OR($O155="",$O155&gt;=DATE($B$1,6,1)),OR(COUNTIF($C155:H155,"&gt;0")&gt;0,DATE($B$1,6,1)=DATE(YEAR(TODAY()),MONTH(TODAY()),1))),1,0))</f>
        <v/>
      </c>
      <c r="V155">
        <f>IF($A155="","",IF(AND($B155&gt;0,I155&lt;$B155,DATE($B$1,7,1)&lt;=TODAY(),OR($O155="",$O155&gt;=DATE($B$1,7,1)),OR(COUNTIF($C155:I155,"&gt;0")&gt;0,DATE($B$1,7,1)=DATE(YEAR(TODAY()),MONTH(TODAY()),1))),1,0))</f>
        <v/>
      </c>
      <c r="W155">
        <f>IF($A155="","",IF(AND($B155&gt;0,J155&lt;$B155,DATE($B$1,8,1)&lt;=TODAY(),OR($O155="",$O155&gt;=DATE($B$1,8,1)),OR(COUNTIF($C155:J155,"&gt;0")&gt;0,DATE($B$1,8,1)=DATE(YEAR(TODAY()),MONTH(TODAY()),1))),1,0))</f>
        <v/>
      </c>
      <c r="X155">
        <f>IF($A155="","",IF(AND($B155&gt;0,K155&lt;$B155,DATE($B$1,9,1)&lt;=TODAY(),OR($O155="",$O155&gt;=DATE($B$1,9,1)),OR(COUNTIF($C155:K155,"&gt;0")&gt;0,DATE($B$1,9,1)=DATE(YEAR(TODAY()),MONTH(TODAY()),1))),1,0))</f>
        <v/>
      </c>
      <c r="Y155">
        <f>IF($A155="","",IF(AND($B155&gt;0,L155&lt;$B155,DATE($B$1,10,1)&lt;=TODAY(),OR($O155="",$O155&gt;=DATE($B$1,10,1)),OR(COUNTIF($C155:L155,"&gt;0")&gt;0,DATE($B$1,10,1)=DATE(YEAR(TODAY()),MONTH(TODAY()),1))),1,0))</f>
        <v/>
      </c>
      <c r="Z155">
        <f>IF($A155="","",IF(AND($B155&gt;0,M155&lt;$B155,DATE($B$1,11,1)&lt;=TODAY(),OR($O155="",$O155&gt;=DATE($B$1,11,1)),OR(COUNTIF($C155:M155,"&gt;0")&gt;0,DATE($B$1,11,1)=DATE(YEAR(TODAY()),MONTH(TODAY()),1))),1,0))</f>
        <v/>
      </c>
      <c r="AA155">
        <f>IF($A155="","",IF(AND($B155&gt;0,N155&lt;$B155,DATE($B$1,12,1)&lt;=TODAY(),OR($O155="",$O155&gt;=DATE($B$1,12,1)),OR(COUNTIF($C155:N155,"&gt;0")&gt;0,DATE($B$1,12,1)=DATE(YEAR(TODAY()),MONTH(TODAY()),1))),1,0))</f>
        <v/>
      </c>
    </row>
    <row r="156">
      <c r="A156" s="13">
        <f>IF(원생!$A154="","",원생!$A154&amp;IF(원생!$G154="",""," ("&amp;원생!$G154&amp;")"))</f>
        <v/>
      </c>
      <c r="B156" s="8">
        <f>IF(원생!$A154="","",원생!$F154)</f>
        <v/>
      </c>
      <c r="C156" s="14">
        <f>IF(원생!$A154="","",SUMIFS(수납!$F:$F,수납!$C:$C,원생!$A154,수납!$D:$D,IF(원생!$G154="","",원생!$G154),수납!$B:$B,$B$1&amp;"-"&amp;TEXT(1,"00")&amp;"*",수납!$E:$E,"수강료")+SUMIFS(수납!$F:$F,수납!$C:$C,원생!$A154,수납!$D:$D,IF(원생!$G154="","",원생!$G154),수납!$B:$B,$B$1&amp;"-"&amp;TEXT(1,"00")&amp;"*",수납!$E:$E,""))</f>
        <v/>
      </c>
      <c r="D156" s="14">
        <f>IF(원생!$A154="","",SUMIFS(수납!$F:$F,수납!$C:$C,원생!$A154,수납!$D:$D,IF(원생!$G154="","",원생!$G154),수납!$B:$B,$B$1&amp;"-"&amp;TEXT(2,"00")&amp;"*",수납!$E:$E,"수강료")+SUMIFS(수납!$F:$F,수납!$C:$C,원생!$A154,수납!$D:$D,IF(원생!$G154="","",원생!$G154),수납!$B:$B,$B$1&amp;"-"&amp;TEXT(2,"00")&amp;"*",수납!$E:$E,""))</f>
        <v/>
      </c>
      <c r="E156" s="14">
        <f>IF(원생!$A154="","",SUMIFS(수납!$F:$F,수납!$C:$C,원생!$A154,수납!$D:$D,IF(원생!$G154="","",원생!$G154),수납!$B:$B,$B$1&amp;"-"&amp;TEXT(3,"00")&amp;"*",수납!$E:$E,"수강료")+SUMIFS(수납!$F:$F,수납!$C:$C,원생!$A154,수납!$D:$D,IF(원생!$G154="","",원생!$G154),수납!$B:$B,$B$1&amp;"-"&amp;TEXT(3,"00")&amp;"*",수납!$E:$E,""))</f>
        <v/>
      </c>
      <c r="F156" s="14">
        <f>IF(원생!$A154="","",SUMIFS(수납!$F:$F,수납!$C:$C,원생!$A154,수납!$D:$D,IF(원생!$G154="","",원생!$G154),수납!$B:$B,$B$1&amp;"-"&amp;TEXT(4,"00")&amp;"*",수납!$E:$E,"수강료")+SUMIFS(수납!$F:$F,수납!$C:$C,원생!$A154,수납!$D:$D,IF(원생!$G154="","",원생!$G154),수납!$B:$B,$B$1&amp;"-"&amp;TEXT(4,"00")&amp;"*",수납!$E:$E,""))</f>
        <v/>
      </c>
      <c r="G156" s="14">
        <f>IF(원생!$A154="","",SUMIFS(수납!$F:$F,수납!$C:$C,원생!$A154,수납!$D:$D,IF(원생!$G154="","",원생!$G154),수납!$B:$B,$B$1&amp;"-"&amp;TEXT(5,"00")&amp;"*",수납!$E:$E,"수강료")+SUMIFS(수납!$F:$F,수납!$C:$C,원생!$A154,수납!$D:$D,IF(원생!$G154="","",원생!$G154),수납!$B:$B,$B$1&amp;"-"&amp;TEXT(5,"00")&amp;"*",수납!$E:$E,""))</f>
        <v/>
      </c>
      <c r="H156" s="14">
        <f>IF(원생!$A154="","",SUMIFS(수납!$F:$F,수납!$C:$C,원생!$A154,수납!$D:$D,IF(원생!$G154="","",원생!$G154),수납!$B:$B,$B$1&amp;"-"&amp;TEXT(6,"00")&amp;"*",수납!$E:$E,"수강료")+SUMIFS(수납!$F:$F,수납!$C:$C,원생!$A154,수납!$D:$D,IF(원생!$G154="","",원생!$G154),수납!$B:$B,$B$1&amp;"-"&amp;TEXT(6,"00")&amp;"*",수납!$E:$E,""))</f>
        <v/>
      </c>
      <c r="I156" s="14">
        <f>IF(원생!$A154="","",SUMIFS(수납!$F:$F,수납!$C:$C,원생!$A154,수납!$D:$D,IF(원생!$G154="","",원생!$G154),수납!$B:$B,$B$1&amp;"-"&amp;TEXT(7,"00")&amp;"*",수납!$E:$E,"수강료")+SUMIFS(수납!$F:$F,수납!$C:$C,원생!$A154,수납!$D:$D,IF(원생!$G154="","",원생!$G154),수납!$B:$B,$B$1&amp;"-"&amp;TEXT(7,"00")&amp;"*",수납!$E:$E,""))</f>
        <v/>
      </c>
      <c r="J156" s="14">
        <f>IF(원생!$A154="","",SUMIFS(수납!$F:$F,수납!$C:$C,원생!$A154,수납!$D:$D,IF(원생!$G154="","",원생!$G154),수납!$B:$B,$B$1&amp;"-"&amp;TEXT(8,"00")&amp;"*",수납!$E:$E,"수강료")+SUMIFS(수납!$F:$F,수납!$C:$C,원생!$A154,수납!$D:$D,IF(원생!$G154="","",원생!$G154),수납!$B:$B,$B$1&amp;"-"&amp;TEXT(8,"00")&amp;"*",수납!$E:$E,""))</f>
        <v/>
      </c>
      <c r="K156" s="14">
        <f>IF(원생!$A154="","",SUMIFS(수납!$F:$F,수납!$C:$C,원생!$A154,수납!$D:$D,IF(원생!$G154="","",원생!$G154),수납!$B:$B,$B$1&amp;"-"&amp;TEXT(9,"00")&amp;"*",수납!$E:$E,"수강료")+SUMIFS(수납!$F:$F,수납!$C:$C,원생!$A154,수납!$D:$D,IF(원생!$G154="","",원생!$G154),수납!$B:$B,$B$1&amp;"-"&amp;TEXT(9,"00")&amp;"*",수납!$E:$E,""))</f>
        <v/>
      </c>
      <c r="L156" s="14">
        <f>IF(원생!$A154="","",SUMIFS(수납!$F:$F,수납!$C:$C,원생!$A154,수납!$D:$D,IF(원생!$G154="","",원생!$G154),수납!$B:$B,$B$1&amp;"-"&amp;TEXT(10,"00")&amp;"*",수납!$E:$E,"수강료")+SUMIFS(수납!$F:$F,수납!$C:$C,원생!$A154,수납!$D:$D,IF(원생!$G154="","",원생!$G154),수납!$B:$B,$B$1&amp;"-"&amp;TEXT(10,"00")&amp;"*",수납!$E:$E,""))</f>
        <v/>
      </c>
      <c r="M156" s="14">
        <f>IF(원생!$A154="","",SUMIFS(수납!$F:$F,수납!$C:$C,원생!$A154,수납!$D:$D,IF(원생!$G154="","",원생!$G154),수납!$B:$B,$B$1&amp;"-"&amp;TEXT(11,"00")&amp;"*",수납!$E:$E,"수강료")+SUMIFS(수납!$F:$F,수납!$C:$C,원생!$A154,수납!$D:$D,IF(원생!$G154="","",원생!$G154),수납!$B:$B,$B$1&amp;"-"&amp;TEXT(11,"00")&amp;"*",수납!$E:$E,""))</f>
        <v/>
      </c>
      <c r="N156" s="14">
        <f>IF(원생!$A154="","",SUMIFS(수납!$F:$F,수납!$C:$C,원생!$A154,수납!$D:$D,IF(원생!$G154="","",원생!$G154),수납!$B:$B,$B$1&amp;"-"&amp;TEXT(12,"00")&amp;"*",수납!$E:$E,"수강료")+SUMIFS(수납!$F:$F,수납!$C:$C,원생!$A154,수납!$D:$D,IF(원생!$G154="","",원생!$G154),수납!$B:$B,$B$1&amp;"-"&amp;TEXT(12,"00")&amp;"*",수납!$E:$E,""))</f>
        <v/>
      </c>
      <c r="O156">
        <f>IF(원생!$I154="","",원생!$I154)</f>
        <v/>
      </c>
      <c r="P156">
        <f>IF($A156="","",IF(AND($B156&gt;0,C156&lt;$B156,DATE($B$1,1,1)&lt;=TODAY(),OR($O156="",$O156&gt;=DATE($B$1,1,1)),OR(COUNTIF($C156:C156,"&gt;0")&gt;0,DATE($B$1,1,1)=DATE(YEAR(TODAY()),MONTH(TODAY()),1))),1,0))</f>
        <v/>
      </c>
      <c r="Q156">
        <f>IF($A156="","",IF(AND($B156&gt;0,D156&lt;$B156,DATE($B$1,2,1)&lt;=TODAY(),OR($O156="",$O156&gt;=DATE($B$1,2,1)),OR(COUNTIF($C156:D156,"&gt;0")&gt;0,DATE($B$1,2,1)=DATE(YEAR(TODAY()),MONTH(TODAY()),1))),1,0))</f>
        <v/>
      </c>
      <c r="R156">
        <f>IF($A156="","",IF(AND($B156&gt;0,E156&lt;$B156,DATE($B$1,3,1)&lt;=TODAY(),OR($O156="",$O156&gt;=DATE($B$1,3,1)),OR(COUNTIF($C156:E156,"&gt;0")&gt;0,DATE($B$1,3,1)=DATE(YEAR(TODAY()),MONTH(TODAY()),1))),1,0))</f>
        <v/>
      </c>
      <c r="S156">
        <f>IF($A156="","",IF(AND($B156&gt;0,F156&lt;$B156,DATE($B$1,4,1)&lt;=TODAY(),OR($O156="",$O156&gt;=DATE($B$1,4,1)),OR(COUNTIF($C156:F156,"&gt;0")&gt;0,DATE($B$1,4,1)=DATE(YEAR(TODAY()),MONTH(TODAY()),1))),1,0))</f>
        <v/>
      </c>
      <c r="T156">
        <f>IF($A156="","",IF(AND($B156&gt;0,G156&lt;$B156,DATE($B$1,5,1)&lt;=TODAY(),OR($O156="",$O156&gt;=DATE($B$1,5,1)),OR(COUNTIF($C156:G156,"&gt;0")&gt;0,DATE($B$1,5,1)=DATE(YEAR(TODAY()),MONTH(TODAY()),1))),1,0))</f>
        <v/>
      </c>
      <c r="U156">
        <f>IF($A156="","",IF(AND($B156&gt;0,H156&lt;$B156,DATE($B$1,6,1)&lt;=TODAY(),OR($O156="",$O156&gt;=DATE($B$1,6,1)),OR(COUNTIF($C156:H156,"&gt;0")&gt;0,DATE($B$1,6,1)=DATE(YEAR(TODAY()),MONTH(TODAY()),1))),1,0))</f>
        <v/>
      </c>
      <c r="V156">
        <f>IF($A156="","",IF(AND($B156&gt;0,I156&lt;$B156,DATE($B$1,7,1)&lt;=TODAY(),OR($O156="",$O156&gt;=DATE($B$1,7,1)),OR(COUNTIF($C156:I156,"&gt;0")&gt;0,DATE($B$1,7,1)=DATE(YEAR(TODAY()),MONTH(TODAY()),1))),1,0))</f>
        <v/>
      </c>
      <c r="W156">
        <f>IF($A156="","",IF(AND($B156&gt;0,J156&lt;$B156,DATE($B$1,8,1)&lt;=TODAY(),OR($O156="",$O156&gt;=DATE($B$1,8,1)),OR(COUNTIF($C156:J156,"&gt;0")&gt;0,DATE($B$1,8,1)=DATE(YEAR(TODAY()),MONTH(TODAY()),1))),1,0))</f>
        <v/>
      </c>
      <c r="X156">
        <f>IF($A156="","",IF(AND($B156&gt;0,K156&lt;$B156,DATE($B$1,9,1)&lt;=TODAY(),OR($O156="",$O156&gt;=DATE($B$1,9,1)),OR(COUNTIF($C156:K156,"&gt;0")&gt;0,DATE($B$1,9,1)=DATE(YEAR(TODAY()),MONTH(TODAY()),1))),1,0))</f>
        <v/>
      </c>
      <c r="Y156">
        <f>IF($A156="","",IF(AND($B156&gt;0,L156&lt;$B156,DATE($B$1,10,1)&lt;=TODAY(),OR($O156="",$O156&gt;=DATE($B$1,10,1)),OR(COUNTIF($C156:L156,"&gt;0")&gt;0,DATE($B$1,10,1)=DATE(YEAR(TODAY()),MONTH(TODAY()),1))),1,0))</f>
        <v/>
      </c>
      <c r="Z156">
        <f>IF($A156="","",IF(AND($B156&gt;0,M156&lt;$B156,DATE($B$1,11,1)&lt;=TODAY(),OR($O156="",$O156&gt;=DATE($B$1,11,1)),OR(COUNTIF($C156:M156,"&gt;0")&gt;0,DATE($B$1,11,1)=DATE(YEAR(TODAY()),MONTH(TODAY()),1))),1,0))</f>
        <v/>
      </c>
      <c r="AA156">
        <f>IF($A156="","",IF(AND($B156&gt;0,N156&lt;$B156,DATE($B$1,12,1)&lt;=TODAY(),OR($O156="",$O156&gt;=DATE($B$1,12,1)),OR(COUNTIF($C156:N156,"&gt;0")&gt;0,DATE($B$1,12,1)=DATE(YEAR(TODAY()),MONTH(TODAY()),1))),1,0))</f>
        <v/>
      </c>
    </row>
    <row r="157">
      <c r="A157" s="13">
        <f>IF(원생!$A155="","",원생!$A155&amp;IF(원생!$G155="",""," ("&amp;원생!$G155&amp;")"))</f>
        <v/>
      </c>
      <c r="B157" s="8">
        <f>IF(원생!$A155="","",원생!$F155)</f>
        <v/>
      </c>
      <c r="C157" s="14">
        <f>IF(원생!$A155="","",SUMIFS(수납!$F:$F,수납!$C:$C,원생!$A155,수납!$D:$D,IF(원생!$G155="","",원생!$G155),수납!$B:$B,$B$1&amp;"-"&amp;TEXT(1,"00")&amp;"*",수납!$E:$E,"수강료")+SUMIFS(수납!$F:$F,수납!$C:$C,원생!$A155,수납!$D:$D,IF(원생!$G155="","",원생!$G155),수납!$B:$B,$B$1&amp;"-"&amp;TEXT(1,"00")&amp;"*",수납!$E:$E,""))</f>
        <v/>
      </c>
      <c r="D157" s="14">
        <f>IF(원생!$A155="","",SUMIFS(수납!$F:$F,수납!$C:$C,원생!$A155,수납!$D:$D,IF(원생!$G155="","",원생!$G155),수납!$B:$B,$B$1&amp;"-"&amp;TEXT(2,"00")&amp;"*",수납!$E:$E,"수강료")+SUMIFS(수납!$F:$F,수납!$C:$C,원생!$A155,수납!$D:$D,IF(원생!$G155="","",원생!$G155),수납!$B:$B,$B$1&amp;"-"&amp;TEXT(2,"00")&amp;"*",수납!$E:$E,""))</f>
        <v/>
      </c>
      <c r="E157" s="14">
        <f>IF(원생!$A155="","",SUMIFS(수납!$F:$F,수납!$C:$C,원생!$A155,수납!$D:$D,IF(원생!$G155="","",원생!$G155),수납!$B:$B,$B$1&amp;"-"&amp;TEXT(3,"00")&amp;"*",수납!$E:$E,"수강료")+SUMIFS(수납!$F:$F,수납!$C:$C,원생!$A155,수납!$D:$D,IF(원생!$G155="","",원생!$G155),수납!$B:$B,$B$1&amp;"-"&amp;TEXT(3,"00")&amp;"*",수납!$E:$E,""))</f>
        <v/>
      </c>
      <c r="F157" s="14">
        <f>IF(원생!$A155="","",SUMIFS(수납!$F:$F,수납!$C:$C,원생!$A155,수납!$D:$D,IF(원생!$G155="","",원생!$G155),수납!$B:$B,$B$1&amp;"-"&amp;TEXT(4,"00")&amp;"*",수납!$E:$E,"수강료")+SUMIFS(수납!$F:$F,수납!$C:$C,원생!$A155,수납!$D:$D,IF(원생!$G155="","",원생!$G155),수납!$B:$B,$B$1&amp;"-"&amp;TEXT(4,"00")&amp;"*",수납!$E:$E,""))</f>
        <v/>
      </c>
      <c r="G157" s="14">
        <f>IF(원생!$A155="","",SUMIFS(수납!$F:$F,수납!$C:$C,원생!$A155,수납!$D:$D,IF(원생!$G155="","",원생!$G155),수납!$B:$B,$B$1&amp;"-"&amp;TEXT(5,"00")&amp;"*",수납!$E:$E,"수강료")+SUMIFS(수납!$F:$F,수납!$C:$C,원생!$A155,수납!$D:$D,IF(원생!$G155="","",원생!$G155),수납!$B:$B,$B$1&amp;"-"&amp;TEXT(5,"00")&amp;"*",수납!$E:$E,""))</f>
        <v/>
      </c>
      <c r="H157" s="14">
        <f>IF(원생!$A155="","",SUMIFS(수납!$F:$F,수납!$C:$C,원생!$A155,수납!$D:$D,IF(원생!$G155="","",원생!$G155),수납!$B:$B,$B$1&amp;"-"&amp;TEXT(6,"00")&amp;"*",수납!$E:$E,"수강료")+SUMIFS(수납!$F:$F,수납!$C:$C,원생!$A155,수납!$D:$D,IF(원생!$G155="","",원생!$G155),수납!$B:$B,$B$1&amp;"-"&amp;TEXT(6,"00")&amp;"*",수납!$E:$E,""))</f>
        <v/>
      </c>
      <c r="I157" s="14">
        <f>IF(원생!$A155="","",SUMIFS(수납!$F:$F,수납!$C:$C,원생!$A155,수납!$D:$D,IF(원생!$G155="","",원생!$G155),수납!$B:$B,$B$1&amp;"-"&amp;TEXT(7,"00")&amp;"*",수납!$E:$E,"수강료")+SUMIFS(수납!$F:$F,수납!$C:$C,원생!$A155,수납!$D:$D,IF(원생!$G155="","",원생!$G155),수납!$B:$B,$B$1&amp;"-"&amp;TEXT(7,"00")&amp;"*",수납!$E:$E,""))</f>
        <v/>
      </c>
      <c r="J157" s="14">
        <f>IF(원생!$A155="","",SUMIFS(수납!$F:$F,수납!$C:$C,원생!$A155,수납!$D:$D,IF(원생!$G155="","",원생!$G155),수납!$B:$B,$B$1&amp;"-"&amp;TEXT(8,"00")&amp;"*",수납!$E:$E,"수강료")+SUMIFS(수납!$F:$F,수납!$C:$C,원생!$A155,수납!$D:$D,IF(원생!$G155="","",원생!$G155),수납!$B:$B,$B$1&amp;"-"&amp;TEXT(8,"00")&amp;"*",수납!$E:$E,""))</f>
        <v/>
      </c>
      <c r="K157" s="14">
        <f>IF(원생!$A155="","",SUMIFS(수납!$F:$F,수납!$C:$C,원생!$A155,수납!$D:$D,IF(원생!$G155="","",원생!$G155),수납!$B:$B,$B$1&amp;"-"&amp;TEXT(9,"00")&amp;"*",수납!$E:$E,"수강료")+SUMIFS(수납!$F:$F,수납!$C:$C,원생!$A155,수납!$D:$D,IF(원생!$G155="","",원생!$G155),수납!$B:$B,$B$1&amp;"-"&amp;TEXT(9,"00")&amp;"*",수납!$E:$E,""))</f>
        <v/>
      </c>
      <c r="L157" s="14">
        <f>IF(원생!$A155="","",SUMIFS(수납!$F:$F,수납!$C:$C,원생!$A155,수납!$D:$D,IF(원생!$G155="","",원생!$G155),수납!$B:$B,$B$1&amp;"-"&amp;TEXT(10,"00")&amp;"*",수납!$E:$E,"수강료")+SUMIFS(수납!$F:$F,수납!$C:$C,원생!$A155,수납!$D:$D,IF(원생!$G155="","",원생!$G155),수납!$B:$B,$B$1&amp;"-"&amp;TEXT(10,"00")&amp;"*",수납!$E:$E,""))</f>
        <v/>
      </c>
      <c r="M157" s="14">
        <f>IF(원생!$A155="","",SUMIFS(수납!$F:$F,수납!$C:$C,원생!$A155,수납!$D:$D,IF(원생!$G155="","",원생!$G155),수납!$B:$B,$B$1&amp;"-"&amp;TEXT(11,"00")&amp;"*",수납!$E:$E,"수강료")+SUMIFS(수납!$F:$F,수납!$C:$C,원생!$A155,수납!$D:$D,IF(원생!$G155="","",원생!$G155),수납!$B:$B,$B$1&amp;"-"&amp;TEXT(11,"00")&amp;"*",수납!$E:$E,""))</f>
        <v/>
      </c>
      <c r="N157" s="14">
        <f>IF(원생!$A155="","",SUMIFS(수납!$F:$F,수납!$C:$C,원생!$A155,수납!$D:$D,IF(원생!$G155="","",원생!$G155),수납!$B:$B,$B$1&amp;"-"&amp;TEXT(12,"00")&amp;"*",수납!$E:$E,"수강료")+SUMIFS(수납!$F:$F,수납!$C:$C,원생!$A155,수납!$D:$D,IF(원생!$G155="","",원생!$G155),수납!$B:$B,$B$1&amp;"-"&amp;TEXT(12,"00")&amp;"*",수납!$E:$E,""))</f>
        <v/>
      </c>
      <c r="O157">
        <f>IF(원생!$I155="","",원생!$I155)</f>
        <v/>
      </c>
      <c r="P157">
        <f>IF($A157="","",IF(AND($B157&gt;0,C157&lt;$B157,DATE($B$1,1,1)&lt;=TODAY(),OR($O157="",$O157&gt;=DATE($B$1,1,1)),OR(COUNTIF($C157:C157,"&gt;0")&gt;0,DATE($B$1,1,1)=DATE(YEAR(TODAY()),MONTH(TODAY()),1))),1,0))</f>
        <v/>
      </c>
      <c r="Q157">
        <f>IF($A157="","",IF(AND($B157&gt;0,D157&lt;$B157,DATE($B$1,2,1)&lt;=TODAY(),OR($O157="",$O157&gt;=DATE($B$1,2,1)),OR(COUNTIF($C157:D157,"&gt;0")&gt;0,DATE($B$1,2,1)=DATE(YEAR(TODAY()),MONTH(TODAY()),1))),1,0))</f>
        <v/>
      </c>
      <c r="R157">
        <f>IF($A157="","",IF(AND($B157&gt;0,E157&lt;$B157,DATE($B$1,3,1)&lt;=TODAY(),OR($O157="",$O157&gt;=DATE($B$1,3,1)),OR(COUNTIF($C157:E157,"&gt;0")&gt;0,DATE($B$1,3,1)=DATE(YEAR(TODAY()),MONTH(TODAY()),1))),1,0))</f>
        <v/>
      </c>
      <c r="S157">
        <f>IF($A157="","",IF(AND($B157&gt;0,F157&lt;$B157,DATE($B$1,4,1)&lt;=TODAY(),OR($O157="",$O157&gt;=DATE($B$1,4,1)),OR(COUNTIF($C157:F157,"&gt;0")&gt;0,DATE($B$1,4,1)=DATE(YEAR(TODAY()),MONTH(TODAY()),1))),1,0))</f>
        <v/>
      </c>
      <c r="T157">
        <f>IF($A157="","",IF(AND($B157&gt;0,G157&lt;$B157,DATE($B$1,5,1)&lt;=TODAY(),OR($O157="",$O157&gt;=DATE($B$1,5,1)),OR(COUNTIF($C157:G157,"&gt;0")&gt;0,DATE($B$1,5,1)=DATE(YEAR(TODAY()),MONTH(TODAY()),1))),1,0))</f>
        <v/>
      </c>
      <c r="U157">
        <f>IF($A157="","",IF(AND($B157&gt;0,H157&lt;$B157,DATE($B$1,6,1)&lt;=TODAY(),OR($O157="",$O157&gt;=DATE($B$1,6,1)),OR(COUNTIF($C157:H157,"&gt;0")&gt;0,DATE($B$1,6,1)=DATE(YEAR(TODAY()),MONTH(TODAY()),1))),1,0))</f>
        <v/>
      </c>
      <c r="V157">
        <f>IF($A157="","",IF(AND($B157&gt;0,I157&lt;$B157,DATE($B$1,7,1)&lt;=TODAY(),OR($O157="",$O157&gt;=DATE($B$1,7,1)),OR(COUNTIF($C157:I157,"&gt;0")&gt;0,DATE($B$1,7,1)=DATE(YEAR(TODAY()),MONTH(TODAY()),1))),1,0))</f>
        <v/>
      </c>
      <c r="W157">
        <f>IF($A157="","",IF(AND($B157&gt;0,J157&lt;$B157,DATE($B$1,8,1)&lt;=TODAY(),OR($O157="",$O157&gt;=DATE($B$1,8,1)),OR(COUNTIF($C157:J157,"&gt;0")&gt;0,DATE($B$1,8,1)=DATE(YEAR(TODAY()),MONTH(TODAY()),1))),1,0))</f>
        <v/>
      </c>
      <c r="X157">
        <f>IF($A157="","",IF(AND($B157&gt;0,K157&lt;$B157,DATE($B$1,9,1)&lt;=TODAY(),OR($O157="",$O157&gt;=DATE($B$1,9,1)),OR(COUNTIF($C157:K157,"&gt;0")&gt;0,DATE($B$1,9,1)=DATE(YEAR(TODAY()),MONTH(TODAY()),1))),1,0))</f>
        <v/>
      </c>
      <c r="Y157">
        <f>IF($A157="","",IF(AND($B157&gt;0,L157&lt;$B157,DATE($B$1,10,1)&lt;=TODAY(),OR($O157="",$O157&gt;=DATE($B$1,10,1)),OR(COUNTIF($C157:L157,"&gt;0")&gt;0,DATE($B$1,10,1)=DATE(YEAR(TODAY()),MONTH(TODAY()),1))),1,0))</f>
        <v/>
      </c>
      <c r="Z157">
        <f>IF($A157="","",IF(AND($B157&gt;0,M157&lt;$B157,DATE($B$1,11,1)&lt;=TODAY(),OR($O157="",$O157&gt;=DATE($B$1,11,1)),OR(COUNTIF($C157:M157,"&gt;0")&gt;0,DATE($B$1,11,1)=DATE(YEAR(TODAY()),MONTH(TODAY()),1))),1,0))</f>
        <v/>
      </c>
      <c r="AA157">
        <f>IF($A157="","",IF(AND($B157&gt;0,N157&lt;$B157,DATE($B$1,12,1)&lt;=TODAY(),OR($O157="",$O157&gt;=DATE($B$1,12,1)),OR(COUNTIF($C157:N157,"&gt;0")&gt;0,DATE($B$1,12,1)=DATE(YEAR(TODAY()),MONTH(TODAY()),1))),1,0))</f>
        <v/>
      </c>
    </row>
    <row r="158">
      <c r="A158" s="13">
        <f>IF(원생!$A156="","",원생!$A156&amp;IF(원생!$G156="",""," ("&amp;원생!$G156&amp;")"))</f>
        <v/>
      </c>
      <c r="B158" s="8">
        <f>IF(원생!$A156="","",원생!$F156)</f>
        <v/>
      </c>
      <c r="C158" s="14">
        <f>IF(원생!$A156="","",SUMIFS(수납!$F:$F,수납!$C:$C,원생!$A156,수납!$D:$D,IF(원생!$G156="","",원생!$G156),수납!$B:$B,$B$1&amp;"-"&amp;TEXT(1,"00")&amp;"*",수납!$E:$E,"수강료")+SUMIFS(수납!$F:$F,수납!$C:$C,원생!$A156,수납!$D:$D,IF(원생!$G156="","",원생!$G156),수납!$B:$B,$B$1&amp;"-"&amp;TEXT(1,"00")&amp;"*",수납!$E:$E,""))</f>
        <v/>
      </c>
      <c r="D158" s="14">
        <f>IF(원생!$A156="","",SUMIFS(수납!$F:$F,수납!$C:$C,원생!$A156,수납!$D:$D,IF(원생!$G156="","",원생!$G156),수납!$B:$B,$B$1&amp;"-"&amp;TEXT(2,"00")&amp;"*",수납!$E:$E,"수강료")+SUMIFS(수납!$F:$F,수납!$C:$C,원생!$A156,수납!$D:$D,IF(원생!$G156="","",원생!$G156),수납!$B:$B,$B$1&amp;"-"&amp;TEXT(2,"00")&amp;"*",수납!$E:$E,""))</f>
        <v/>
      </c>
      <c r="E158" s="14">
        <f>IF(원생!$A156="","",SUMIFS(수납!$F:$F,수납!$C:$C,원생!$A156,수납!$D:$D,IF(원생!$G156="","",원생!$G156),수납!$B:$B,$B$1&amp;"-"&amp;TEXT(3,"00")&amp;"*",수납!$E:$E,"수강료")+SUMIFS(수납!$F:$F,수납!$C:$C,원생!$A156,수납!$D:$D,IF(원생!$G156="","",원생!$G156),수납!$B:$B,$B$1&amp;"-"&amp;TEXT(3,"00")&amp;"*",수납!$E:$E,""))</f>
        <v/>
      </c>
      <c r="F158" s="14">
        <f>IF(원생!$A156="","",SUMIFS(수납!$F:$F,수납!$C:$C,원생!$A156,수납!$D:$D,IF(원생!$G156="","",원생!$G156),수납!$B:$B,$B$1&amp;"-"&amp;TEXT(4,"00")&amp;"*",수납!$E:$E,"수강료")+SUMIFS(수납!$F:$F,수납!$C:$C,원생!$A156,수납!$D:$D,IF(원생!$G156="","",원생!$G156),수납!$B:$B,$B$1&amp;"-"&amp;TEXT(4,"00")&amp;"*",수납!$E:$E,""))</f>
        <v/>
      </c>
      <c r="G158" s="14">
        <f>IF(원생!$A156="","",SUMIFS(수납!$F:$F,수납!$C:$C,원생!$A156,수납!$D:$D,IF(원생!$G156="","",원생!$G156),수납!$B:$B,$B$1&amp;"-"&amp;TEXT(5,"00")&amp;"*",수납!$E:$E,"수강료")+SUMIFS(수납!$F:$F,수납!$C:$C,원생!$A156,수납!$D:$D,IF(원생!$G156="","",원생!$G156),수납!$B:$B,$B$1&amp;"-"&amp;TEXT(5,"00")&amp;"*",수납!$E:$E,""))</f>
        <v/>
      </c>
      <c r="H158" s="14">
        <f>IF(원생!$A156="","",SUMIFS(수납!$F:$F,수납!$C:$C,원생!$A156,수납!$D:$D,IF(원생!$G156="","",원생!$G156),수납!$B:$B,$B$1&amp;"-"&amp;TEXT(6,"00")&amp;"*",수납!$E:$E,"수강료")+SUMIFS(수납!$F:$F,수납!$C:$C,원생!$A156,수납!$D:$D,IF(원생!$G156="","",원생!$G156),수납!$B:$B,$B$1&amp;"-"&amp;TEXT(6,"00")&amp;"*",수납!$E:$E,""))</f>
        <v/>
      </c>
      <c r="I158" s="14">
        <f>IF(원생!$A156="","",SUMIFS(수납!$F:$F,수납!$C:$C,원생!$A156,수납!$D:$D,IF(원생!$G156="","",원생!$G156),수납!$B:$B,$B$1&amp;"-"&amp;TEXT(7,"00")&amp;"*",수납!$E:$E,"수강료")+SUMIFS(수납!$F:$F,수납!$C:$C,원생!$A156,수납!$D:$D,IF(원생!$G156="","",원생!$G156),수납!$B:$B,$B$1&amp;"-"&amp;TEXT(7,"00")&amp;"*",수납!$E:$E,""))</f>
        <v/>
      </c>
      <c r="J158" s="14">
        <f>IF(원생!$A156="","",SUMIFS(수납!$F:$F,수납!$C:$C,원생!$A156,수납!$D:$D,IF(원생!$G156="","",원생!$G156),수납!$B:$B,$B$1&amp;"-"&amp;TEXT(8,"00")&amp;"*",수납!$E:$E,"수강료")+SUMIFS(수납!$F:$F,수납!$C:$C,원생!$A156,수납!$D:$D,IF(원생!$G156="","",원생!$G156),수납!$B:$B,$B$1&amp;"-"&amp;TEXT(8,"00")&amp;"*",수납!$E:$E,""))</f>
        <v/>
      </c>
      <c r="K158" s="14">
        <f>IF(원생!$A156="","",SUMIFS(수납!$F:$F,수납!$C:$C,원생!$A156,수납!$D:$D,IF(원생!$G156="","",원생!$G156),수납!$B:$B,$B$1&amp;"-"&amp;TEXT(9,"00")&amp;"*",수납!$E:$E,"수강료")+SUMIFS(수납!$F:$F,수납!$C:$C,원생!$A156,수납!$D:$D,IF(원생!$G156="","",원생!$G156),수납!$B:$B,$B$1&amp;"-"&amp;TEXT(9,"00")&amp;"*",수납!$E:$E,""))</f>
        <v/>
      </c>
      <c r="L158" s="14">
        <f>IF(원생!$A156="","",SUMIFS(수납!$F:$F,수납!$C:$C,원생!$A156,수납!$D:$D,IF(원생!$G156="","",원생!$G156),수납!$B:$B,$B$1&amp;"-"&amp;TEXT(10,"00")&amp;"*",수납!$E:$E,"수강료")+SUMIFS(수납!$F:$F,수납!$C:$C,원생!$A156,수납!$D:$D,IF(원생!$G156="","",원생!$G156),수납!$B:$B,$B$1&amp;"-"&amp;TEXT(10,"00")&amp;"*",수납!$E:$E,""))</f>
        <v/>
      </c>
      <c r="M158" s="14">
        <f>IF(원생!$A156="","",SUMIFS(수납!$F:$F,수납!$C:$C,원생!$A156,수납!$D:$D,IF(원생!$G156="","",원생!$G156),수납!$B:$B,$B$1&amp;"-"&amp;TEXT(11,"00")&amp;"*",수납!$E:$E,"수강료")+SUMIFS(수납!$F:$F,수납!$C:$C,원생!$A156,수납!$D:$D,IF(원생!$G156="","",원생!$G156),수납!$B:$B,$B$1&amp;"-"&amp;TEXT(11,"00")&amp;"*",수납!$E:$E,""))</f>
        <v/>
      </c>
      <c r="N158" s="14">
        <f>IF(원생!$A156="","",SUMIFS(수납!$F:$F,수납!$C:$C,원생!$A156,수납!$D:$D,IF(원생!$G156="","",원생!$G156),수납!$B:$B,$B$1&amp;"-"&amp;TEXT(12,"00")&amp;"*",수납!$E:$E,"수강료")+SUMIFS(수납!$F:$F,수납!$C:$C,원생!$A156,수납!$D:$D,IF(원생!$G156="","",원생!$G156),수납!$B:$B,$B$1&amp;"-"&amp;TEXT(12,"00")&amp;"*",수납!$E:$E,""))</f>
        <v/>
      </c>
      <c r="O158">
        <f>IF(원생!$I156="","",원생!$I156)</f>
        <v/>
      </c>
      <c r="P158">
        <f>IF($A158="","",IF(AND($B158&gt;0,C158&lt;$B158,DATE($B$1,1,1)&lt;=TODAY(),OR($O158="",$O158&gt;=DATE($B$1,1,1)),OR(COUNTIF($C158:C158,"&gt;0")&gt;0,DATE($B$1,1,1)=DATE(YEAR(TODAY()),MONTH(TODAY()),1))),1,0))</f>
        <v/>
      </c>
      <c r="Q158">
        <f>IF($A158="","",IF(AND($B158&gt;0,D158&lt;$B158,DATE($B$1,2,1)&lt;=TODAY(),OR($O158="",$O158&gt;=DATE($B$1,2,1)),OR(COUNTIF($C158:D158,"&gt;0")&gt;0,DATE($B$1,2,1)=DATE(YEAR(TODAY()),MONTH(TODAY()),1))),1,0))</f>
        <v/>
      </c>
      <c r="R158">
        <f>IF($A158="","",IF(AND($B158&gt;0,E158&lt;$B158,DATE($B$1,3,1)&lt;=TODAY(),OR($O158="",$O158&gt;=DATE($B$1,3,1)),OR(COUNTIF($C158:E158,"&gt;0")&gt;0,DATE($B$1,3,1)=DATE(YEAR(TODAY()),MONTH(TODAY()),1))),1,0))</f>
        <v/>
      </c>
      <c r="S158">
        <f>IF($A158="","",IF(AND($B158&gt;0,F158&lt;$B158,DATE($B$1,4,1)&lt;=TODAY(),OR($O158="",$O158&gt;=DATE($B$1,4,1)),OR(COUNTIF($C158:F158,"&gt;0")&gt;0,DATE($B$1,4,1)=DATE(YEAR(TODAY()),MONTH(TODAY()),1))),1,0))</f>
        <v/>
      </c>
      <c r="T158">
        <f>IF($A158="","",IF(AND($B158&gt;0,G158&lt;$B158,DATE($B$1,5,1)&lt;=TODAY(),OR($O158="",$O158&gt;=DATE($B$1,5,1)),OR(COUNTIF($C158:G158,"&gt;0")&gt;0,DATE($B$1,5,1)=DATE(YEAR(TODAY()),MONTH(TODAY()),1))),1,0))</f>
        <v/>
      </c>
      <c r="U158">
        <f>IF($A158="","",IF(AND($B158&gt;0,H158&lt;$B158,DATE($B$1,6,1)&lt;=TODAY(),OR($O158="",$O158&gt;=DATE($B$1,6,1)),OR(COUNTIF($C158:H158,"&gt;0")&gt;0,DATE($B$1,6,1)=DATE(YEAR(TODAY()),MONTH(TODAY()),1))),1,0))</f>
        <v/>
      </c>
      <c r="V158">
        <f>IF($A158="","",IF(AND($B158&gt;0,I158&lt;$B158,DATE($B$1,7,1)&lt;=TODAY(),OR($O158="",$O158&gt;=DATE($B$1,7,1)),OR(COUNTIF($C158:I158,"&gt;0")&gt;0,DATE($B$1,7,1)=DATE(YEAR(TODAY()),MONTH(TODAY()),1))),1,0))</f>
        <v/>
      </c>
      <c r="W158">
        <f>IF($A158="","",IF(AND($B158&gt;0,J158&lt;$B158,DATE($B$1,8,1)&lt;=TODAY(),OR($O158="",$O158&gt;=DATE($B$1,8,1)),OR(COUNTIF($C158:J158,"&gt;0")&gt;0,DATE($B$1,8,1)=DATE(YEAR(TODAY()),MONTH(TODAY()),1))),1,0))</f>
        <v/>
      </c>
      <c r="X158">
        <f>IF($A158="","",IF(AND($B158&gt;0,K158&lt;$B158,DATE($B$1,9,1)&lt;=TODAY(),OR($O158="",$O158&gt;=DATE($B$1,9,1)),OR(COUNTIF($C158:K158,"&gt;0")&gt;0,DATE($B$1,9,1)=DATE(YEAR(TODAY()),MONTH(TODAY()),1))),1,0))</f>
        <v/>
      </c>
      <c r="Y158">
        <f>IF($A158="","",IF(AND($B158&gt;0,L158&lt;$B158,DATE($B$1,10,1)&lt;=TODAY(),OR($O158="",$O158&gt;=DATE($B$1,10,1)),OR(COUNTIF($C158:L158,"&gt;0")&gt;0,DATE($B$1,10,1)=DATE(YEAR(TODAY()),MONTH(TODAY()),1))),1,0))</f>
        <v/>
      </c>
      <c r="Z158">
        <f>IF($A158="","",IF(AND($B158&gt;0,M158&lt;$B158,DATE($B$1,11,1)&lt;=TODAY(),OR($O158="",$O158&gt;=DATE($B$1,11,1)),OR(COUNTIF($C158:M158,"&gt;0")&gt;0,DATE($B$1,11,1)=DATE(YEAR(TODAY()),MONTH(TODAY()),1))),1,0))</f>
        <v/>
      </c>
      <c r="AA158">
        <f>IF($A158="","",IF(AND($B158&gt;0,N158&lt;$B158,DATE($B$1,12,1)&lt;=TODAY(),OR($O158="",$O158&gt;=DATE($B$1,12,1)),OR(COUNTIF($C158:N158,"&gt;0")&gt;0,DATE($B$1,12,1)=DATE(YEAR(TODAY()),MONTH(TODAY()),1))),1,0))</f>
        <v/>
      </c>
    </row>
    <row r="159">
      <c r="A159" s="13">
        <f>IF(원생!$A157="","",원생!$A157&amp;IF(원생!$G157="",""," ("&amp;원생!$G157&amp;")"))</f>
        <v/>
      </c>
      <c r="B159" s="8">
        <f>IF(원생!$A157="","",원생!$F157)</f>
        <v/>
      </c>
      <c r="C159" s="14">
        <f>IF(원생!$A157="","",SUMIFS(수납!$F:$F,수납!$C:$C,원생!$A157,수납!$D:$D,IF(원생!$G157="","",원생!$G157),수납!$B:$B,$B$1&amp;"-"&amp;TEXT(1,"00")&amp;"*",수납!$E:$E,"수강료")+SUMIFS(수납!$F:$F,수납!$C:$C,원생!$A157,수납!$D:$D,IF(원생!$G157="","",원생!$G157),수납!$B:$B,$B$1&amp;"-"&amp;TEXT(1,"00")&amp;"*",수납!$E:$E,""))</f>
        <v/>
      </c>
      <c r="D159" s="14">
        <f>IF(원생!$A157="","",SUMIFS(수납!$F:$F,수납!$C:$C,원생!$A157,수납!$D:$D,IF(원생!$G157="","",원생!$G157),수납!$B:$B,$B$1&amp;"-"&amp;TEXT(2,"00")&amp;"*",수납!$E:$E,"수강료")+SUMIFS(수납!$F:$F,수납!$C:$C,원생!$A157,수납!$D:$D,IF(원생!$G157="","",원생!$G157),수납!$B:$B,$B$1&amp;"-"&amp;TEXT(2,"00")&amp;"*",수납!$E:$E,""))</f>
        <v/>
      </c>
      <c r="E159" s="14">
        <f>IF(원생!$A157="","",SUMIFS(수납!$F:$F,수납!$C:$C,원생!$A157,수납!$D:$D,IF(원생!$G157="","",원생!$G157),수납!$B:$B,$B$1&amp;"-"&amp;TEXT(3,"00")&amp;"*",수납!$E:$E,"수강료")+SUMIFS(수납!$F:$F,수납!$C:$C,원생!$A157,수납!$D:$D,IF(원생!$G157="","",원생!$G157),수납!$B:$B,$B$1&amp;"-"&amp;TEXT(3,"00")&amp;"*",수납!$E:$E,""))</f>
        <v/>
      </c>
      <c r="F159" s="14">
        <f>IF(원생!$A157="","",SUMIFS(수납!$F:$F,수납!$C:$C,원생!$A157,수납!$D:$D,IF(원생!$G157="","",원생!$G157),수납!$B:$B,$B$1&amp;"-"&amp;TEXT(4,"00")&amp;"*",수납!$E:$E,"수강료")+SUMIFS(수납!$F:$F,수납!$C:$C,원생!$A157,수납!$D:$D,IF(원생!$G157="","",원생!$G157),수납!$B:$B,$B$1&amp;"-"&amp;TEXT(4,"00")&amp;"*",수납!$E:$E,""))</f>
        <v/>
      </c>
      <c r="G159" s="14">
        <f>IF(원생!$A157="","",SUMIFS(수납!$F:$F,수납!$C:$C,원생!$A157,수납!$D:$D,IF(원생!$G157="","",원생!$G157),수납!$B:$B,$B$1&amp;"-"&amp;TEXT(5,"00")&amp;"*",수납!$E:$E,"수강료")+SUMIFS(수납!$F:$F,수납!$C:$C,원생!$A157,수납!$D:$D,IF(원생!$G157="","",원생!$G157),수납!$B:$B,$B$1&amp;"-"&amp;TEXT(5,"00")&amp;"*",수납!$E:$E,""))</f>
        <v/>
      </c>
      <c r="H159" s="14">
        <f>IF(원생!$A157="","",SUMIFS(수납!$F:$F,수납!$C:$C,원생!$A157,수납!$D:$D,IF(원생!$G157="","",원생!$G157),수납!$B:$B,$B$1&amp;"-"&amp;TEXT(6,"00")&amp;"*",수납!$E:$E,"수강료")+SUMIFS(수납!$F:$F,수납!$C:$C,원생!$A157,수납!$D:$D,IF(원생!$G157="","",원생!$G157),수납!$B:$B,$B$1&amp;"-"&amp;TEXT(6,"00")&amp;"*",수납!$E:$E,""))</f>
        <v/>
      </c>
      <c r="I159" s="14">
        <f>IF(원생!$A157="","",SUMIFS(수납!$F:$F,수납!$C:$C,원생!$A157,수납!$D:$D,IF(원생!$G157="","",원생!$G157),수납!$B:$B,$B$1&amp;"-"&amp;TEXT(7,"00")&amp;"*",수납!$E:$E,"수강료")+SUMIFS(수납!$F:$F,수납!$C:$C,원생!$A157,수납!$D:$D,IF(원생!$G157="","",원생!$G157),수납!$B:$B,$B$1&amp;"-"&amp;TEXT(7,"00")&amp;"*",수납!$E:$E,""))</f>
        <v/>
      </c>
      <c r="J159" s="14">
        <f>IF(원생!$A157="","",SUMIFS(수납!$F:$F,수납!$C:$C,원생!$A157,수납!$D:$D,IF(원생!$G157="","",원생!$G157),수납!$B:$B,$B$1&amp;"-"&amp;TEXT(8,"00")&amp;"*",수납!$E:$E,"수강료")+SUMIFS(수납!$F:$F,수납!$C:$C,원생!$A157,수납!$D:$D,IF(원생!$G157="","",원생!$G157),수납!$B:$B,$B$1&amp;"-"&amp;TEXT(8,"00")&amp;"*",수납!$E:$E,""))</f>
        <v/>
      </c>
      <c r="K159" s="14">
        <f>IF(원생!$A157="","",SUMIFS(수납!$F:$F,수납!$C:$C,원생!$A157,수납!$D:$D,IF(원생!$G157="","",원생!$G157),수납!$B:$B,$B$1&amp;"-"&amp;TEXT(9,"00")&amp;"*",수납!$E:$E,"수강료")+SUMIFS(수납!$F:$F,수납!$C:$C,원생!$A157,수납!$D:$D,IF(원생!$G157="","",원생!$G157),수납!$B:$B,$B$1&amp;"-"&amp;TEXT(9,"00")&amp;"*",수납!$E:$E,""))</f>
        <v/>
      </c>
      <c r="L159" s="14">
        <f>IF(원생!$A157="","",SUMIFS(수납!$F:$F,수납!$C:$C,원생!$A157,수납!$D:$D,IF(원생!$G157="","",원생!$G157),수납!$B:$B,$B$1&amp;"-"&amp;TEXT(10,"00")&amp;"*",수납!$E:$E,"수강료")+SUMIFS(수납!$F:$F,수납!$C:$C,원생!$A157,수납!$D:$D,IF(원생!$G157="","",원생!$G157),수납!$B:$B,$B$1&amp;"-"&amp;TEXT(10,"00")&amp;"*",수납!$E:$E,""))</f>
        <v/>
      </c>
      <c r="M159" s="14">
        <f>IF(원생!$A157="","",SUMIFS(수납!$F:$F,수납!$C:$C,원생!$A157,수납!$D:$D,IF(원생!$G157="","",원생!$G157),수납!$B:$B,$B$1&amp;"-"&amp;TEXT(11,"00")&amp;"*",수납!$E:$E,"수강료")+SUMIFS(수납!$F:$F,수납!$C:$C,원생!$A157,수납!$D:$D,IF(원생!$G157="","",원생!$G157),수납!$B:$B,$B$1&amp;"-"&amp;TEXT(11,"00")&amp;"*",수납!$E:$E,""))</f>
        <v/>
      </c>
      <c r="N159" s="14">
        <f>IF(원생!$A157="","",SUMIFS(수납!$F:$F,수납!$C:$C,원생!$A157,수납!$D:$D,IF(원생!$G157="","",원생!$G157),수납!$B:$B,$B$1&amp;"-"&amp;TEXT(12,"00")&amp;"*",수납!$E:$E,"수강료")+SUMIFS(수납!$F:$F,수납!$C:$C,원생!$A157,수납!$D:$D,IF(원생!$G157="","",원생!$G157),수납!$B:$B,$B$1&amp;"-"&amp;TEXT(12,"00")&amp;"*",수납!$E:$E,""))</f>
        <v/>
      </c>
      <c r="O159">
        <f>IF(원생!$I157="","",원생!$I157)</f>
        <v/>
      </c>
      <c r="P159">
        <f>IF($A159="","",IF(AND($B159&gt;0,C159&lt;$B159,DATE($B$1,1,1)&lt;=TODAY(),OR($O159="",$O159&gt;=DATE($B$1,1,1)),OR(COUNTIF($C159:C159,"&gt;0")&gt;0,DATE($B$1,1,1)=DATE(YEAR(TODAY()),MONTH(TODAY()),1))),1,0))</f>
        <v/>
      </c>
      <c r="Q159">
        <f>IF($A159="","",IF(AND($B159&gt;0,D159&lt;$B159,DATE($B$1,2,1)&lt;=TODAY(),OR($O159="",$O159&gt;=DATE($B$1,2,1)),OR(COUNTIF($C159:D159,"&gt;0")&gt;0,DATE($B$1,2,1)=DATE(YEAR(TODAY()),MONTH(TODAY()),1))),1,0))</f>
        <v/>
      </c>
      <c r="R159">
        <f>IF($A159="","",IF(AND($B159&gt;0,E159&lt;$B159,DATE($B$1,3,1)&lt;=TODAY(),OR($O159="",$O159&gt;=DATE($B$1,3,1)),OR(COUNTIF($C159:E159,"&gt;0")&gt;0,DATE($B$1,3,1)=DATE(YEAR(TODAY()),MONTH(TODAY()),1))),1,0))</f>
        <v/>
      </c>
      <c r="S159">
        <f>IF($A159="","",IF(AND($B159&gt;0,F159&lt;$B159,DATE($B$1,4,1)&lt;=TODAY(),OR($O159="",$O159&gt;=DATE($B$1,4,1)),OR(COUNTIF($C159:F159,"&gt;0")&gt;0,DATE($B$1,4,1)=DATE(YEAR(TODAY()),MONTH(TODAY()),1))),1,0))</f>
        <v/>
      </c>
      <c r="T159">
        <f>IF($A159="","",IF(AND($B159&gt;0,G159&lt;$B159,DATE($B$1,5,1)&lt;=TODAY(),OR($O159="",$O159&gt;=DATE($B$1,5,1)),OR(COUNTIF($C159:G159,"&gt;0")&gt;0,DATE($B$1,5,1)=DATE(YEAR(TODAY()),MONTH(TODAY()),1))),1,0))</f>
        <v/>
      </c>
      <c r="U159">
        <f>IF($A159="","",IF(AND($B159&gt;0,H159&lt;$B159,DATE($B$1,6,1)&lt;=TODAY(),OR($O159="",$O159&gt;=DATE($B$1,6,1)),OR(COUNTIF($C159:H159,"&gt;0")&gt;0,DATE($B$1,6,1)=DATE(YEAR(TODAY()),MONTH(TODAY()),1))),1,0))</f>
        <v/>
      </c>
      <c r="V159">
        <f>IF($A159="","",IF(AND($B159&gt;0,I159&lt;$B159,DATE($B$1,7,1)&lt;=TODAY(),OR($O159="",$O159&gt;=DATE($B$1,7,1)),OR(COUNTIF($C159:I159,"&gt;0")&gt;0,DATE($B$1,7,1)=DATE(YEAR(TODAY()),MONTH(TODAY()),1))),1,0))</f>
        <v/>
      </c>
      <c r="W159">
        <f>IF($A159="","",IF(AND($B159&gt;0,J159&lt;$B159,DATE($B$1,8,1)&lt;=TODAY(),OR($O159="",$O159&gt;=DATE($B$1,8,1)),OR(COUNTIF($C159:J159,"&gt;0")&gt;0,DATE($B$1,8,1)=DATE(YEAR(TODAY()),MONTH(TODAY()),1))),1,0))</f>
        <v/>
      </c>
      <c r="X159">
        <f>IF($A159="","",IF(AND($B159&gt;0,K159&lt;$B159,DATE($B$1,9,1)&lt;=TODAY(),OR($O159="",$O159&gt;=DATE($B$1,9,1)),OR(COUNTIF($C159:K159,"&gt;0")&gt;0,DATE($B$1,9,1)=DATE(YEAR(TODAY()),MONTH(TODAY()),1))),1,0))</f>
        <v/>
      </c>
      <c r="Y159">
        <f>IF($A159="","",IF(AND($B159&gt;0,L159&lt;$B159,DATE($B$1,10,1)&lt;=TODAY(),OR($O159="",$O159&gt;=DATE($B$1,10,1)),OR(COUNTIF($C159:L159,"&gt;0")&gt;0,DATE($B$1,10,1)=DATE(YEAR(TODAY()),MONTH(TODAY()),1))),1,0))</f>
        <v/>
      </c>
      <c r="Z159">
        <f>IF($A159="","",IF(AND($B159&gt;0,M159&lt;$B159,DATE($B$1,11,1)&lt;=TODAY(),OR($O159="",$O159&gt;=DATE($B$1,11,1)),OR(COUNTIF($C159:M159,"&gt;0")&gt;0,DATE($B$1,11,1)=DATE(YEAR(TODAY()),MONTH(TODAY()),1))),1,0))</f>
        <v/>
      </c>
      <c r="AA159">
        <f>IF($A159="","",IF(AND($B159&gt;0,N159&lt;$B159,DATE($B$1,12,1)&lt;=TODAY(),OR($O159="",$O159&gt;=DATE($B$1,12,1)),OR(COUNTIF($C159:N159,"&gt;0")&gt;0,DATE($B$1,12,1)=DATE(YEAR(TODAY()),MONTH(TODAY()),1))),1,0))</f>
        <v/>
      </c>
    </row>
    <row r="160">
      <c r="A160" s="13">
        <f>IF(원생!$A158="","",원생!$A158&amp;IF(원생!$G158="",""," ("&amp;원생!$G158&amp;")"))</f>
        <v/>
      </c>
      <c r="B160" s="8">
        <f>IF(원생!$A158="","",원생!$F158)</f>
        <v/>
      </c>
      <c r="C160" s="14">
        <f>IF(원생!$A158="","",SUMIFS(수납!$F:$F,수납!$C:$C,원생!$A158,수납!$D:$D,IF(원생!$G158="","",원생!$G158),수납!$B:$B,$B$1&amp;"-"&amp;TEXT(1,"00")&amp;"*",수납!$E:$E,"수강료")+SUMIFS(수납!$F:$F,수납!$C:$C,원생!$A158,수납!$D:$D,IF(원생!$G158="","",원생!$G158),수납!$B:$B,$B$1&amp;"-"&amp;TEXT(1,"00")&amp;"*",수납!$E:$E,""))</f>
        <v/>
      </c>
      <c r="D160" s="14">
        <f>IF(원생!$A158="","",SUMIFS(수납!$F:$F,수납!$C:$C,원생!$A158,수납!$D:$D,IF(원생!$G158="","",원생!$G158),수납!$B:$B,$B$1&amp;"-"&amp;TEXT(2,"00")&amp;"*",수납!$E:$E,"수강료")+SUMIFS(수납!$F:$F,수납!$C:$C,원생!$A158,수납!$D:$D,IF(원생!$G158="","",원생!$G158),수납!$B:$B,$B$1&amp;"-"&amp;TEXT(2,"00")&amp;"*",수납!$E:$E,""))</f>
        <v/>
      </c>
      <c r="E160" s="14">
        <f>IF(원생!$A158="","",SUMIFS(수납!$F:$F,수납!$C:$C,원생!$A158,수납!$D:$D,IF(원생!$G158="","",원생!$G158),수납!$B:$B,$B$1&amp;"-"&amp;TEXT(3,"00")&amp;"*",수납!$E:$E,"수강료")+SUMIFS(수납!$F:$F,수납!$C:$C,원생!$A158,수납!$D:$D,IF(원생!$G158="","",원생!$G158),수납!$B:$B,$B$1&amp;"-"&amp;TEXT(3,"00")&amp;"*",수납!$E:$E,""))</f>
        <v/>
      </c>
      <c r="F160" s="14">
        <f>IF(원생!$A158="","",SUMIFS(수납!$F:$F,수납!$C:$C,원생!$A158,수납!$D:$D,IF(원생!$G158="","",원생!$G158),수납!$B:$B,$B$1&amp;"-"&amp;TEXT(4,"00")&amp;"*",수납!$E:$E,"수강료")+SUMIFS(수납!$F:$F,수납!$C:$C,원생!$A158,수납!$D:$D,IF(원생!$G158="","",원생!$G158),수납!$B:$B,$B$1&amp;"-"&amp;TEXT(4,"00")&amp;"*",수납!$E:$E,""))</f>
        <v/>
      </c>
      <c r="G160" s="14">
        <f>IF(원생!$A158="","",SUMIFS(수납!$F:$F,수납!$C:$C,원생!$A158,수납!$D:$D,IF(원생!$G158="","",원생!$G158),수납!$B:$B,$B$1&amp;"-"&amp;TEXT(5,"00")&amp;"*",수납!$E:$E,"수강료")+SUMIFS(수납!$F:$F,수납!$C:$C,원생!$A158,수납!$D:$D,IF(원생!$G158="","",원생!$G158),수납!$B:$B,$B$1&amp;"-"&amp;TEXT(5,"00")&amp;"*",수납!$E:$E,""))</f>
        <v/>
      </c>
      <c r="H160" s="14">
        <f>IF(원생!$A158="","",SUMIFS(수납!$F:$F,수납!$C:$C,원생!$A158,수납!$D:$D,IF(원생!$G158="","",원생!$G158),수납!$B:$B,$B$1&amp;"-"&amp;TEXT(6,"00")&amp;"*",수납!$E:$E,"수강료")+SUMIFS(수납!$F:$F,수납!$C:$C,원생!$A158,수납!$D:$D,IF(원생!$G158="","",원생!$G158),수납!$B:$B,$B$1&amp;"-"&amp;TEXT(6,"00")&amp;"*",수납!$E:$E,""))</f>
        <v/>
      </c>
      <c r="I160" s="14">
        <f>IF(원생!$A158="","",SUMIFS(수납!$F:$F,수납!$C:$C,원생!$A158,수납!$D:$D,IF(원생!$G158="","",원생!$G158),수납!$B:$B,$B$1&amp;"-"&amp;TEXT(7,"00")&amp;"*",수납!$E:$E,"수강료")+SUMIFS(수납!$F:$F,수납!$C:$C,원생!$A158,수납!$D:$D,IF(원생!$G158="","",원생!$G158),수납!$B:$B,$B$1&amp;"-"&amp;TEXT(7,"00")&amp;"*",수납!$E:$E,""))</f>
        <v/>
      </c>
      <c r="J160" s="14">
        <f>IF(원생!$A158="","",SUMIFS(수납!$F:$F,수납!$C:$C,원생!$A158,수납!$D:$D,IF(원생!$G158="","",원생!$G158),수납!$B:$B,$B$1&amp;"-"&amp;TEXT(8,"00")&amp;"*",수납!$E:$E,"수강료")+SUMIFS(수납!$F:$F,수납!$C:$C,원생!$A158,수납!$D:$D,IF(원생!$G158="","",원생!$G158),수납!$B:$B,$B$1&amp;"-"&amp;TEXT(8,"00")&amp;"*",수납!$E:$E,""))</f>
        <v/>
      </c>
      <c r="K160" s="14">
        <f>IF(원생!$A158="","",SUMIFS(수납!$F:$F,수납!$C:$C,원생!$A158,수납!$D:$D,IF(원생!$G158="","",원생!$G158),수납!$B:$B,$B$1&amp;"-"&amp;TEXT(9,"00")&amp;"*",수납!$E:$E,"수강료")+SUMIFS(수납!$F:$F,수납!$C:$C,원생!$A158,수납!$D:$D,IF(원생!$G158="","",원생!$G158),수납!$B:$B,$B$1&amp;"-"&amp;TEXT(9,"00")&amp;"*",수납!$E:$E,""))</f>
        <v/>
      </c>
      <c r="L160" s="14">
        <f>IF(원생!$A158="","",SUMIFS(수납!$F:$F,수납!$C:$C,원생!$A158,수납!$D:$D,IF(원생!$G158="","",원생!$G158),수납!$B:$B,$B$1&amp;"-"&amp;TEXT(10,"00")&amp;"*",수납!$E:$E,"수강료")+SUMIFS(수납!$F:$F,수납!$C:$C,원생!$A158,수납!$D:$D,IF(원생!$G158="","",원생!$G158),수납!$B:$B,$B$1&amp;"-"&amp;TEXT(10,"00")&amp;"*",수납!$E:$E,""))</f>
        <v/>
      </c>
      <c r="M160" s="14">
        <f>IF(원생!$A158="","",SUMIFS(수납!$F:$F,수납!$C:$C,원생!$A158,수납!$D:$D,IF(원생!$G158="","",원생!$G158),수납!$B:$B,$B$1&amp;"-"&amp;TEXT(11,"00")&amp;"*",수납!$E:$E,"수강료")+SUMIFS(수납!$F:$F,수납!$C:$C,원생!$A158,수납!$D:$D,IF(원생!$G158="","",원생!$G158),수납!$B:$B,$B$1&amp;"-"&amp;TEXT(11,"00")&amp;"*",수납!$E:$E,""))</f>
        <v/>
      </c>
      <c r="N160" s="14">
        <f>IF(원생!$A158="","",SUMIFS(수납!$F:$F,수납!$C:$C,원생!$A158,수납!$D:$D,IF(원생!$G158="","",원생!$G158),수납!$B:$B,$B$1&amp;"-"&amp;TEXT(12,"00")&amp;"*",수납!$E:$E,"수강료")+SUMIFS(수납!$F:$F,수납!$C:$C,원생!$A158,수납!$D:$D,IF(원생!$G158="","",원생!$G158),수납!$B:$B,$B$1&amp;"-"&amp;TEXT(12,"00")&amp;"*",수납!$E:$E,""))</f>
        <v/>
      </c>
      <c r="O160">
        <f>IF(원생!$I158="","",원생!$I158)</f>
        <v/>
      </c>
      <c r="P160">
        <f>IF($A160="","",IF(AND($B160&gt;0,C160&lt;$B160,DATE($B$1,1,1)&lt;=TODAY(),OR($O160="",$O160&gt;=DATE($B$1,1,1)),OR(COUNTIF($C160:C160,"&gt;0")&gt;0,DATE($B$1,1,1)=DATE(YEAR(TODAY()),MONTH(TODAY()),1))),1,0))</f>
        <v/>
      </c>
      <c r="Q160">
        <f>IF($A160="","",IF(AND($B160&gt;0,D160&lt;$B160,DATE($B$1,2,1)&lt;=TODAY(),OR($O160="",$O160&gt;=DATE($B$1,2,1)),OR(COUNTIF($C160:D160,"&gt;0")&gt;0,DATE($B$1,2,1)=DATE(YEAR(TODAY()),MONTH(TODAY()),1))),1,0))</f>
        <v/>
      </c>
      <c r="R160">
        <f>IF($A160="","",IF(AND($B160&gt;0,E160&lt;$B160,DATE($B$1,3,1)&lt;=TODAY(),OR($O160="",$O160&gt;=DATE($B$1,3,1)),OR(COUNTIF($C160:E160,"&gt;0")&gt;0,DATE($B$1,3,1)=DATE(YEAR(TODAY()),MONTH(TODAY()),1))),1,0))</f>
        <v/>
      </c>
      <c r="S160">
        <f>IF($A160="","",IF(AND($B160&gt;0,F160&lt;$B160,DATE($B$1,4,1)&lt;=TODAY(),OR($O160="",$O160&gt;=DATE($B$1,4,1)),OR(COUNTIF($C160:F160,"&gt;0")&gt;0,DATE($B$1,4,1)=DATE(YEAR(TODAY()),MONTH(TODAY()),1))),1,0))</f>
        <v/>
      </c>
      <c r="T160">
        <f>IF($A160="","",IF(AND($B160&gt;0,G160&lt;$B160,DATE($B$1,5,1)&lt;=TODAY(),OR($O160="",$O160&gt;=DATE($B$1,5,1)),OR(COUNTIF($C160:G160,"&gt;0")&gt;0,DATE($B$1,5,1)=DATE(YEAR(TODAY()),MONTH(TODAY()),1))),1,0))</f>
        <v/>
      </c>
      <c r="U160">
        <f>IF($A160="","",IF(AND($B160&gt;0,H160&lt;$B160,DATE($B$1,6,1)&lt;=TODAY(),OR($O160="",$O160&gt;=DATE($B$1,6,1)),OR(COUNTIF($C160:H160,"&gt;0")&gt;0,DATE($B$1,6,1)=DATE(YEAR(TODAY()),MONTH(TODAY()),1))),1,0))</f>
        <v/>
      </c>
      <c r="V160">
        <f>IF($A160="","",IF(AND($B160&gt;0,I160&lt;$B160,DATE($B$1,7,1)&lt;=TODAY(),OR($O160="",$O160&gt;=DATE($B$1,7,1)),OR(COUNTIF($C160:I160,"&gt;0")&gt;0,DATE($B$1,7,1)=DATE(YEAR(TODAY()),MONTH(TODAY()),1))),1,0))</f>
        <v/>
      </c>
      <c r="W160">
        <f>IF($A160="","",IF(AND($B160&gt;0,J160&lt;$B160,DATE($B$1,8,1)&lt;=TODAY(),OR($O160="",$O160&gt;=DATE($B$1,8,1)),OR(COUNTIF($C160:J160,"&gt;0")&gt;0,DATE($B$1,8,1)=DATE(YEAR(TODAY()),MONTH(TODAY()),1))),1,0))</f>
        <v/>
      </c>
      <c r="X160">
        <f>IF($A160="","",IF(AND($B160&gt;0,K160&lt;$B160,DATE($B$1,9,1)&lt;=TODAY(),OR($O160="",$O160&gt;=DATE($B$1,9,1)),OR(COUNTIF($C160:K160,"&gt;0")&gt;0,DATE($B$1,9,1)=DATE(YEAR(TODAY()),MONTH(TODAY()),1))),1,0))</f>
        <v/>
      </c>
      <c r="Y160">
        <f>IF($A160="","",IF(AND($B160&gt;0,L160&lt;$B160,DATE($B$1,10,1)&lt;=TODAY(),OR($O160="",$O160&gt;=DATE($B$1,10,1)),OR(COUNTIF($C160:L160,"&gt;0")&gt;0,DATE($B$1,10,1)=DATE(YEAR(TODAY()),MONTH(TODAY()),1))),1,0))</f>
        <v/>
      </c>
      <c r="Z160">
        <f>IF($A160="","",IF(AND($B160&gt;0,M160&lt;$B160,DATE($B$1,11,1)&lt;=TODAY(),OR($O160="",$O160&gt;=DATE($B$1,11,1)),OR(COUNTIF($C160:M160,"&gt;0")&gt;0,DATE($B$1,11,1)=DATE(YEAR(TODAY()),MONTH(TODAY()),1))),1,0))</f>
        <v/>
      </c>
      <c r="AA160">
        <f>IF($A160="","",IF(AND($B160&gt;0,N160&lt;$B160,DATE($B$1,12,1)&lt;=TODAY(),OR($O160="",$O160&gt;=DATE($B$1,12,1)),OR(COUNTIF($C160:N160,"&gt;0")&gt;0,DATE($B$1,12,1)=DATE(YEAR(TODAY()),MONTH(TODAY()),1))),1,0))</f>
        <v/>
      </c>
    </row>
    <row r="161">
      <c r="A161" s="13">
        <f>IF(원생!$A159="","",원생!$A159&amp;IF(원생!$G159="",""," ("&amp;원생!$G159&amp;")"))</f>
        <v/>
      </c>
      <c r="B161" s="8">
        <f>IF(원생!$A159="","",원생!$F159)</f>
        <v/>
      </c>
      <c r="C161" s="14">
        <f>IF(원생!$A159="","",SUMIFS(수납!$F:$F,수납!$C:$C,원생!$A159,수납!$D:$D,IF(원생!$G159="","",원생!$G159),수납!$B:$B,$B$1&amp;"-"&amp;TEXT(1,"00")&amp;"*",수납!$E:$E,"수강료")+SUMIFS(수납!$F:$F,수납!$C:$C,원생!$A159,수납!$D:$D,IF(원생!$G159="","",원생!$G159),수납!$B:$B,$B$1&amp;"-"&amp;TEXT(1,"00")&amp;"*",수납!$E:$E,""))</f>
        <v/>
      </c>
      <c r="D161" s="14">
        <f>IF(원생!$A159="","",SUMIFS(수납!$F:$F,수납!$C:$C,원생!$A159,수납!$D:$D,IF(원생!$G159="","",원생!$G159),수납!$B:$B,$B$1&amp;"-"&amp;TEXT(2,"00")&amp;"*",수납!$E:$E,"수강료")+SUMIFS(수납!$F:$F,수납!$C:$C,원생!$A159,수납!$D:$D,IF(원생!$G159="","",원생!$G159),수납!$B:$B,$B$1&amp;"-"&amp;TEXT(2,"00")&amp;"*",수납!$E:$E,""))</f>
        <v/>
      </c>
      <c r="E161" s="14">
        <f>IF(원생!$A159="","",SUMIFS(수납!$F:$F,수납!$C:$C,원생!$A159,수납!$D:$D,IF(원생!$G159="","",원생!$G159),수납!$B:$B,$B$1&amp;"-"&amp;TEXT(3,"00")&amp;"*",수납!$E:$E,"수강료")+SUMIFS(수납!$F:$F,수납!$C:$C,원생!$A159,수납!$D:$D,IF(원생!$G159="","",원생!$G159),수납!$B:$B,$B$1&amp;"-"&amp;TEXT(3,"00")&amp;"*",수납!$E:$E,""))</f>
        <v/>
      </c>
      <c r="F161" s="14">
        <f>IF(원생!$A159="","",SUMIFS(수납!$F:$F,수납!$C:$C,원생!$A159,수납!$D:$D,IF(원생!$G159="","",원생!$G159),수납!$B:$B,$B$1&amp;"-"&amp;TEXT(4,"00")&amp;"*",수납!$E:$E,"수강료")+SUMIFS(수납!$F:$F,수납!$C:$C,원생!$A159,수납!$D:$D,IF(원생!$G159="","",원생!$G159),수납!$B:$B,$B$1&amp;"-"&amp;TEXT(4,"00")&amp;"*",수납!$E:$E,""))</f>
        <v/>
      </c>
      <c r="G161" s="14">
        <f>IF(원생!$A159="","",SUMIFS(수납!$F:$F,수납!$C:$C,원생!$A159,수납!$D:$D,IF(원생!$G159="","",원생!$G159),수납!$B:$B,$B$1&amp;"-"&amp;TEXT(5,"00")&amp;"*",수납!$E:$E,"수강료")+SUMIFS(수납!$F:$F,수납!$C:$C,원생!$A159,수납!$D:$D,IF(원생!$G159="","",원생!$G159),수납!$B:$B,$B$1&amp;"-"&amp;TEXT(5,"00")&amp;"*",수납!$E:$E,""))</f>
        <v/>
      </c>
      <c r="H161" s="14">
        <f>IF(원생!$A159="","",SUMIFS(수납!$F:$F,수납!$C:$C,원생!$A159,수납!$D:$D,IF(원생!$G159="","",원생!$G159),수납!$B:$B,$B$1&amp;"-"&amp;TEXT(6,"00")&amp;"*",수납!$E:$E,"수강료")+SUMIFS(수납!$F:$F,수납!$C:$C,원생!$A159,수납!$D:$D,IF(원생!$G159="","",원생!$G159),수납!$B:$B,$B$1&amp;"-"&amp;TEXT(6,"00")&amp;"*",수납!$E:$E,""))</f>
        <v/>
      </c>
      <c r="I161" s="14">
        <f>IF(원생!$A159="","",SUMIFS(수납!$F:$F,수납!$C:$C,원생!$A159,수납!$D:$D,IF(원생!$G159="","",원생!$G159),수납!$B:$B,$B$1&amp;"-"&amp;TEXT(7,"00")&amp;"*",수납!$E:$E,"수강료")+SUMIFS(수납!$F:$F,수납!$C:$C,원생!$A159,수납!$D:$D,IF(원생!$G159="","",원생!$G159),수납!$B:$B,$B$1&amp;"-"&amp;TEXT(7,"00")&amp;"*",수납!$E:$E,""))</f>
        <v/>
      </c>
      <c r="J161" s="14">
        <f>IF(원생!$A159="","",SUMIFS(수납!$F:$F,수납!$C:$C,원생!$A159,수납!$D:$D,IF(원생!$G159="","",원생!$G159),수납!$B:$B,$B$1&amp;"-"&amp;TEXT(8,"00")&amp;"*",수납!$E:$E,"수강료")+SUMIFS(수납!$F:$F,수납!$C:$C,원생!$A159,수납!$D:$D,IF(원생!$G159="","",원생!$G159),수납!$B:$B,$B$1&amp;"-"&amp;TEXT(8,"00")&amp;"*",수납!$E:$E,""))</f>
        <v/>
      </c>
      <c r="K161" s="14">
        <f>IF(원생!$A159="","",SUMIFS(수납!$F:$F,수납!$C:$C,원생!$A159,수납!$D:$D,IF(원생!$G159="","",원생!$G159),수납!$B:$B,$B$1&amp;"-"&amp;TEXT(9,"00")&amp;"*",수납!$E:$E,"수강료")+SUMIFS(수납!$F:$F,수납!$C:$C,원생!$A159,수납!$D:$D,IF(원생!$G159="","",원생!$G159),수납!$B:$B,$B$1&amp;"-"&amp;TEXT(9,"00")&amp;"*",수납!$E:$E,""))</f>
        <v/>
      </c>
      <c r="L161" s="14">
        <f>IF(원생!$A159="","",SUMIFS(수납!$F:$F,수납!$C:$C,원생!$A159,수납!$D:$D,IF(원생!$G159="","",원생!$G159),수납!$B:$B,$B$1&amp;"-"&amp;TEXT(10,"00")&amp;"*",수납!$E:$E,"수강료")+SUMIFS(수납!$F:$F,수납!$C:$C,원생!$A159,수납!$D:$D,IF(원생!$G159="","",원생!$G159),수납!$B:$B,$B$1&amp;"-"&amp;TEXT(10,"00")&amp;"*",수납!$E:$E,""))</f>
        <v/>
      </c>
      <c r="M161" s="14">
        <f>IF(원생!$A159="","",SUMIFS(수납!$F:$F,수납!$C:$C,원생!$A159,수납!$D:$D,IF(원생!$G159="","",원생!$G159),수납!$B:$B,$B$1&amp;"-"&amp;TEXT(11,"00")&amp;"*",수납!$E:$E,"수강료")+SUMIFS(수납!$F:$F,수납!$C:$C,원생!$A159,수납!$D:$D,IF(원생!$G159="","",원생!$G159),수납!$B:$B,$B$1&amp;"-"&amp;TEXT(11,"00")&amp;"*",수납!$E:$E,""))</f>
        <v/>
      </c>
      <c r="N161" s="14">
        <f>IF(원생!$A159="","",SUMIFS(수납!$F:$F,수납!$C:$C,원생!$A159,수납!$D:$D,IF(원생!$G159="","",원생!$G159),수납!$B:$B,$B$1&amp;"-"&amp;TEXT(12,"00")&amp;"*",수납!$E:$E,"수강료")+SUMIFS(수납!$F:$F,수납!$C:$C,원생!$A159,수납!$D:$D,IF(원생!$G159="","",원생!$G159),수납!$B:$B,$B$1&amp;"-"&amp;TEXT(12,"00")&amp;"*",수납!$E:$E,""))</f>
        <v/>
      </c>
      <c r="O161">
        <f>IF(원생!$I159="","",원생!$I159)</f>
        <v/>
      </c>
      <c r="P161">
        <f>IF($A161="","",IF(AND($B161&gt;0,C161&lt;$B161,DATE($B$1,1,1)&lt;=TODAY(),OR($O161="",$O161&gt;=DATE($B$1,1,1)),OR(COUNTIF($C161:C161,"&gt;0")&gt;0,DATE($B$1,1,1)=DATE(YEAR(TODAY()),MONTH(TODAY()),1))),1,0))</f>
        <v/>
      </c>
      <c r="Q161">
        <f>IF($A161="","",IF(AND($B161&gt;0,D161&lt;$B161,DATE($B$1,2,1)&lt;=TODAY(),OR($O161="",$O161&gt;=DATE($B$1,2,1)),OR(COUNTIF($C161:D161,"&gt;0")&gt;0,DATE($B$1,2,1)=DATE(YEAR(TODAY()),MONTH(TODAY()),1))),1,0))</f>
        <v/>
      </c>
      <c r="R161">
        <f>IF($A161="","",IF(AND($B161&gt;0,E161&lt;$B161,DATE($B$1,3,1)&lt;=TODAY(),OR($O161="",$O161&gt;=DATE($B$1,3,1)),OR(COUNTIF($C161:E161,"&gt;0")&gt;0,DATE($B$1,3,1)=DATE(YEAR(TODAY()),MONTH(TODAY()),1))),1,0))</f>
        <v/>
      </c>
      <c r="S161">
        <f>IF($A161="","",IF(AND($B161&gt;0,F161&lt;$B161,DATE($B$1,4,1)&lt;=TODAY(),OR($O161="",$O161&gt;=DATE($B$1,4,1)),OR(COUNTIF($C161:F161,"&gt;0")&gt;0,DATE($B$1,4,1)=DATE(YEAR(TODAY()),MONTH(TODAY()),1))),1,0))</f>
        <v/>
      </c>
      <c r="T161">
        <f>IF($A161="","",IF(AND($B161&gt;0,G161&lt;$B161,DATE($B$1,5,1)&lt;=TODAY(),OR($O161="",$O161&gt;=DATE($B$1,5,1)),OR(COUNTIF($C161:G161,"&gt;0")&gt;0,DATE($B$1,5,1)=DATE(YEAR(TODAY()),MONTH(TODAY()),1))),1,0))</f>
        <v/>
      </c>
      <c r="U161">
        <f>IF($A161="","",IF(AND($B161&gt;0,H161&lt;$B161,DATE($B$1,6,1)&lt;=TODAY(),OR($O161="",$O161&gt;=DATE($B$1,6,1)),OR(COUNTIF($C161:H161,"&gt;0")&gt;0,DATE($B$1,6,1)=DATE(YEAR(TODAY()),MONTH(TODAY()),1))),1,0))</f>
        <v/>
      </c>
      <c r="V161">
        <f>IF($A161="","",IF(AND($B161&gt;0,I161&lt;$B161,DATE($B$1,7,1)&lt;=TODAY(),OR($O161="",$O161&gt;=DATE($B$1,7,1)),OR(COUNTIF($C161:I161,"&gt;0")&gt;0,DATE($B$1,7,1)=DATE(YEAR(TODAY()),MONTH(TODAY()),1))),1,0))</f>
        <v/>
      </c>
      <c r="W161">
        <f>IF($A161="","",IF(AND($B161&gt;0,J161&lt;$B161,DATE($B$1,8,1)&lt;=TODAY(),OR($O161="",$O161&gt;=DATE($B$1,8,1)),OR(COUNTIF($C161:J161,"&gt;0")&gt;0,DATE($B$1,8,1)=DATE(YEAR(TODAY()),MONTH(TODAY()),1))),1,0))</f>
        <v/>
      </c>
      <c r="X161">
        <f>IF($A161="","",IF(AND($B161&gt;0,K161&lt;$B161,DATE($B$1,9,1)&lt;=TODAY(),OR($O161="",$O161&gt;=DATE($B$1,9,1)),OR(COUNTIF($C161:K161,"&gt;0")&gt;0,DATE($B$1,9,1)=DATE(YEAR(TODAY()),MONTH(TODAY()),1))),1,0))</f>
        <v/>
      </c>
      <c r="Y161">
        <f>IF($A161="","",IF(AND($B161&gt;0,L161&lt;$B161,DATE($B$1,10,1)&lt;=TODAY(),OR($O161="",$O161&gt;=DATE($B$1,10,1)),OR(COUNTIF($C161:L161,"&gt;0")&gt;0,DATE($B$1,10,1)=DATE(YEAR(TODAY()),MONTH(TODAY()),1))),1,0))</f>
        <v/>
      </c>
      <c r="Z161">
        <f>IF($A161="","",IF(AND($B161&gt;0,M161&lt;$B161,DATE($B$1,11,1)&lt;=TODAY(),OR($O161="",$O161&gt;=DATE($B$1,11,1)),OR(COUNTIF($C161:M161,"&gt;0")&gt;0,DATE($B$1,11,1)=DATE(YEAR(TODAY()),MONTH(TODAY()),1))),1,0))</f>
        <v/>
      </c>
      <c r="AA161">
        <f>IF($A161="","",IF(AND($B161&gt;0,N161&lt;$B161,DATE($B$1,12,1)&lt;=TODAY(),OR($O161="",$O161&gt;=DATE($B$1,12,1)),OR(COUNTIF($C161:N161,"&gt;0")&gt;0,DATE($B$1,12,1)=DATE(YEAR(TODAY()),MONTH(TODAY()),1))),1,0))</f>
        <v/>
      </c>
    </row>
    <row r="162">
      <c r="A162" s="13">
        <f>IF(원생!$A160="","",원생!$A160&amp;IF(원생!$G160="",""," ("&amp;원생!$G160&amp;")"))</f>
        <v/>
      </c>
      <c r="B162" s="8">
        <f>IF(원생!$A160="","",원생!$F160)</f>
        <v/>
      </c>
      <c r="C162" s="14">
        <f>IF(원생!$A160="","",SUMIFS(수납!$F:$F,수납!$C:$C,원생!$A160,수납!$D:$D,IF(원생!$G160="","",원생!$G160),수납!$B:$B,$B$1&amp;"-"&amp;TEXT(1,"00")&amp;"*",수납!$E:$E,"수강료")+SUMIFS(수납!$F:$F,수납!$C:$C,원생!$A160,수납!$D:$D,IF(원생!$G160="","",원생!$G160),수납!$B:$B,$B$1&amp;"-"&amp;TEXT(1,"00")&amp;"*",수납!$E:$E,""))</f>
        <v/>
      </c>
      <c r="D162" s="14">
        <f>IF(원생!$A160="","",SUMIFS(수납!$F:$F,수납!$C:$C,원생!$A160,수납!$D:$D,IF(원생!$G160="","",원생!$G160),수납!$B:$B,$B$1&amp;"-"&amp;TEXT(2,"00")&amp;"*",수납!$E:$E,"수강료")+SUMIFS(수납!$F:$F,수납!$C:$C,원생!$A160,수납!$D:$D,IF(원생!$G160="","",원생!$G160),수납!$B:$B,$B$1&amp;"-"&amp;TEXT(2,"00")&amp;"*",수납!$E:$E,""))</f>
        <v/>
      </c>
      <c r="E162" s="14">
        <f>IF(원생!$A160="","",SUMIFS(수납!$F:$F,수납!$C:$C,원생!$A160,수납!$D:$D,IF(원생!$G160="","",원생!$G160),수납!$B:$B,$B$1&amp;"-"&amp;TEXT(3,"00")&amp;"*",수납!$E:$E,"수강료")+SUMIFS(수납!$F:$F,수납!$C:$C,원생!$A160,수납!$D:$D,IF(원생!$G160="","",원생!$G160),수납!$B:$B,$B$1&amp;"-"&amp;TEXT(3,"00")&amp;"*",수납!$E:$E,""))</f>
        <v/>
      </c>
      <c r="F162" s="14">
        <f>IF(원생!$A160="","",SUMIFS(수납!$F:$F,수납!$C:$C,원생!$A160,수납!$D:$D,IF(원생!$G160="","",원생!$G160),수납!$B:$B,$B$1&amp;"-"&amp;TEXT(4,"00")&amp;"*",수납!$E:$E,"수강료")+SUMIFS(수납!$F:$F,수납!$C:$C,원생!$A160,수납!$D:$D,IF(원생!$G160="","",원생!$G160),수납!$B:$B,$B$1&amp;"-"&amp;TEXT(4,"00")&amp;"*",수납!$E:$E,""))</f>
        <v/>
      </c>
      <c r="G162" s="14">
        <f>IF(원생!$A160="","",SUMIFS(수납!$F:$F,수납!$C:$C,원생!$A160,수납!$D:$D,IF(원생!$G160="","",원생!$G160),수납!$B:$B,$B$1&amp;"-"&amp;TEXT(5,"00")&amp;"*",수납!$E:$E,"수강료")+SUMIFS(수납!$F:$F,수납!$C:$C,원생!$A160,수납!$D:$D,IF(원생!$G160="","",원생!$G160),수납!$B:$B,$B$1&amp;"-"&amp;TEXT(5,"00")&amp;"*",수납!$E:$E,""))</f>
        <v/>
      </c>
      <c r="H162" s="14">
        <f>IF(원생!$A160="","",SUMIFS(수납!$F:$F,수납!$C:$C,원생!$A160,수납!$D:$D,IF(원생!$G160="","",원생!$G160),수납!$B:$B,$B$1&amp;"-"&amp;TEXT(6,"00")&amp;"*",수납!$E:$E,"수강료")+SUMIFS(수납!$F:$F,수납!$C:$C,원생!$A160,수납!$D:$D,IF(원생!$G160="","",원생!$G160),수납!$B:$B,$B$1&amp;"-"&amp;TEXT(6,"00")&amp;"*",수납!$E:$E,""))</f>
        <v/>
      </c>
      <c r="I162" s="14">
        <f>IF(원생!$A160="","",SUMIFS(수납!$F:$F,수납!$C:$C,원생!$A160,수납!$D:$D,IF(원생!$G160="","",원생!$G160),수납!$B:$B,$B$1&amp;"-"&amp;TEXT(7,"00")&amp;"*",수납!$E:$E,"수강료")+SUMIFS(수납!$F:$F,수납!$C:$C,원생!$A160,수납!$D:$D,IF(원생!$G160="","",원생!$G160),수납!$B:$B,$B$1&amp;"-"&amp;TEXT(7,"00")&amp;"*",수납!$E:$E,""))</f>
        <v/>
      </c>
      <c r="J162" s="14">
        <f>IF(원생!$A160="","",SUMIFS(수납!$F:$F,수납!$C:$C,원생!$A160,수납!$D:$D,IF(원생!$G160="","",원생!$G160),수납!$B:$B,$B$1&amp;"-"&amp;TEXT(8,"00")&amp;"*",수납!$E:$E,"수강료")+SUMIFS(수납!$F:$F,수납!$C:$C,원생!$A160,수납!$D:$D,IF(원생!$G160="","",원생!$G160),수납!$B:$B,$B$1&amp;"-"&amp;TEXT(8,"00")&amp;"*",수납!$E:$E,""))</f>
        <v/>
      </c>
      <c r="K162" s="14">
        <f>IF(원생!$A160="","",SUMIFS(수납!$F:$F,수납!$C:$C,원생!$A160,수납!$D:$D,IF(원생!$G160="","",원생!$G160),수납!$B:$B,$B$1&amp;"-"&amp;TEXT(9,"00")&amp;"*",수납!$E:$E,"수강료")+SUMIFS(수납!$F:$F,수납!$C:$C,원생!$A160,수납!$D:$D,IF(원생!$G160="","",원생!$G160),수납!$B:$B,$B$1&amp;"-"&amp;TEXT(9,"00")&amp;"*",수납!$E:$E,""))</f>
        <v/>
      </c>
      <c r="L162" s="14">
        <f>IF(원생!$A160="","",SUMIFS(수납!$F:$F,수납!$C:$C,원생!$A160,수납!$D:$D,IF(원생!$G160="","",원생!$G160),수납!$B:$B,$B$1&amp;"-"&amp;TEXT(10,"00")&amp;"*",수납!$E:$E,"수강료")+SUMIFS(수납!$F:$F,수납!$C:$C,원생!$A160,수납!$D:$D,IF(원생!$G160="","",원생!$G160),수납!$B:$B,$B$1&amp;"-"&amp;TEXT(10,"00")&amp;"*",수납!$E:$E,""))</f>
        <v/>
      </c>
      <c r="M162" s="14">
        <f>IF(원생!$A160="","",SUMIFS(수납!$F:$F,수납!$C:$C,원생!$A160,수납!$D:$D,IF(원생!$G160="","",원생!$G160),수납!$B:$B,$B$1&amp;"-"&amp;TEXT(11,"00")&amp;"*",수납!$E:$E,"수강료")+SUMIFS(수납!$F:$F,수납!$C:$C,원생!$A160,수납!$D:$D,IF(원생!$G160="","",원생!$G160),수납!$B:$B,$B$1&amp;"-"&amp;TEXT(11,"00")&amp;"*",수납!$E:$E,""))</f>
        <v/>
      </c>
      <c r="N162" s="14">
        <f>IF(원생!$A160="","",SUMIFS(수납!$F:$F,수납!$C:$C,원생!$A160,수납!$D:$D,IF(원생!$G160="","",원생!$G160),수납!$B:$B,$B$1&amp;"-"&amp;TEXT(12,"00")&amp;"*",수납!$E:$E,"수강료")+SUMIFS(수납!$F:$F,수납!$C:$C,원생!$A160,수납!$D:$D,IF(원생!$G160="","",원생!$G160),수납!$B:$B,$B$1&amp;"-"&amp;TEXT(12,"00")&amp;"*",수납!$E:$E,""))</f>
        <v/>
      </c>
      <c r="O162">
        <f>IF(원생!$I160="","",원생!$I160)</f>
        <v/>
      </c>
      <c r="P162">
        <f>IF($A162="","",IF(AND($B162&gt;0,C162&lt;$B162,DATE($B$1,1,1)&lt;=TODAY(),OR($O162="",$O162&gt;=DATE($B$1,1,1)),OR(COUNTIF($C162:C162,"&gt;0")&gt;0,DATE($B$1,1,1)=DATE(YEAR(TODAY()),MONTH(TODAY()),1))),1,0))</f>
        <v/>
      </c>
      <c r="Q162">
        <f>IF($A162="","",IF(AND($B162&gt;0,D162&lt;$B162,DATE($B$1,2,1)&lt;=TODAY(),OR($O162="",$O162&gt;=DATE($B$1,2,1)),OR(COUNTIF($C162:D162,"&gt;0")&gt;0,DATE($B$1,2,1)=DATE(YEAR(TODAY()),MONTH(TODAY()),1))),1,0))</f>
        <v/>
      </c>
      <c r="R162">
        <f>IF($A162="","",IF(AND($B162&gt;0,E162&lt;$B162,DATE($B$1,3,1)&lt;=TODAY(),OR($O162="",$O162&gt;=DATE($B$1,3,1)),OR(COUNTIF($C162:E162,"&gt;0")&gt;0,DATE($B$1,3,1)=DATE(YEAR(TODAY()),MONTH(TODAY()),1))),1,0))</f>
        <v/>
      </c>
      <c r="S162">
        <f>IF($A162="","",IF(AND($B162&gt;0,F162&lt;$B162,DATE($B$1,4,1)&lt;=TODAY(),OR($O162="",$O162&gt;=DATE($B$1,4,1)),OR(COUNTIF($C162:F162,"&gt;0")&gt;0,DATE($B$1,4,1)=DATE(YEAR(TODAY()),MONTH(TODAY()),1))),1,0))</f>
        <v/>
      </c>
      <c r="T162">
        <f>IF($A162="","",IF(AND($B162&gt;0,G162&lt;$B162,DATE($B$1,5,1)&lt;=TODAY(),OR($O162="",$O162&gt;=DATE($B$1,5,1)),OR(COUNTIF($C162:G162,"&gt;0")&gt;0,DATE($B$1,5,1)=DATE(YEAR(TODAY()),MONTH(TODAY()),1))),1,0))</f>
        <v/>
      </c>
      <c r="U162">
        <f>IF($A162="","",IF(AND($B162&gt;0,H162&lt;$B162,DATE($B$1,6,1)&lt;=TODAY(),OR($O162="",$O162&gt;=DATE($B$1,6,1)),OR(COUNTIF($C162:H162,"&gt;0")&gt;0,DATE($B$1,6,1)=DATE(YEAR(TODAY()),MONTH(TODAY()),1))),1,0))</f>
        <v/>
      </c>
      <c r="V162">
        <f>IF($A162="","",IF(AND($B162&gt;0,I162&lt;$B162,DATE($B$1,7,1)&lt;=TODAY(),OR($O162="",$O162&gt;=DATE($B$1,7,1)),OR(COUNTIF($C162:I162,"&gt;0")&gt;0,DATE($B$1,7,1)=DATE(YEAR(TODAY()),MONTH(TODAY()),1))),1,0))</f>
        <v/>
      </c>
      <c r="W162">
        <f>IF($A162="","",IF(AND($B162&gt;0,J162&lt;$B162,DATE($B$1,8,1)&lt;=TODAY(),OR($O162="",$O162&gt;=DATE($B$1,8,1)),OR(COUNTIF($C162:J162,"&gt;0")&gt;0,DATE($B$1,8,1)=DATE(YEAR(TODAY()),MONTH(TODAY()),1))),1,0))</f>
        <v/>
      </c>
      <c r="X162">
        <f>IF($A162="","",IF(AND($B162&gt;0,K162&lt;$B162,DATE($B$1,9,1)&lt;=TODAY(),OR($O162="",$O162&gt;=DATE($B$1,9,1)),OR(COUNTIF($C162:K162,"&gt;0")&gt;0,DATE($B$1,9,1)=DATE(YEAR(TODAY()),MONTH(TODAY()),1))),1,0))</f>
        <v/>
      </c>
      <c r="Y162">
        <f>IF($A162="","",IF(AND($B162&gt;0,L162&lt;$B162,DATE($B$1,10,1)&lt;=TODAY(),OR($O162="",$O162&gt;=DATE($B$1,10,1)),OR(COUNTIF($C162:L162,"&gt;0")&gt;0,DATE($B$1,10,1)=DATE(YEAR(TODAY()),MONTH(TODAY()),1))),1,0))</f>
        <v/>
      </c>
      <c r="Z162">
        <f>IF($A162="","",IF(AND($B162&gt;0,M162&lt;$B162,DATE($B$1,11,1)&lt;=TODAY(),OR($O162="",$O162&gt;=DATE($B$1,11,1)),OR(COUNTIF($C162:M162,"&gt;0")&gt;0,DATE($B$1,11,1)=DATE(YEAR(TODAY()),MONTH(TODAY()),1))),1,0))</f>
        <v/>
      </c>
      <c r="AA162">
        <f>IF($A162="","",IF(AND($B162&gt;0,N162&lt;$B162,DATE($B$1,12,1)&lt;=TODAY(),OR($O162="",$O162&gt;=DATE($B$1,12,1)),OR(COUNTIF($C162:N162,"&gt;0")&gt;0,DATE($B$1,12,1)=DATE(YEAR(TODAY()),MONTH(TODAY()),1))),1,0))</f>
        <v/>
      </c>
    </row>
    <row r="163">
      <c r="A163" s="13">
        <f>IF(원생!$A161="","",원생!$A161&amp;IF(원생!$G161="",""," ("&amp;원생!$G161&amp;")"))</f>
        <v/>
      </c>
      <c r="B163" s="8">
        <f>IF(원생!$A161="","",원생!$F161)</f>
        <v/>
      </c>
      <c r="C163" s="14">
        <f>IF(원생!$A161="","",SUMIFS(수납!$F:$F,수납!$C:$C,원생!$A161,수납!$D:$D,IF(원생!$G161="","",원생!$G161),수납!$B:$B,$B$1&amp;"-"&amp;TEXT(1,"00")&amp;"*",수납!$E:$E,"수강료")+SUMIFS(수납!$F:$F,수납!$C:$C,원생!$A161,수납!$D:$D,IF(원생!$G161="","",원생!$G161),수납!$B:$B,$B$1&amp;"-"&amp;TEXT(1,"00")&amp;"*",수납!$E:$E,""))</f>
        <v/>
      </c>
      <c r="D163" s="14">
        <f>IF(원생!$A161="","",SUMIFS(수납!$F:$F,수납!$C:$C,원생!$A161,수납!$D:$D,IF(원생!$G161="","",원생!$G161),수납!$B:$B,$B$1&amp;"-"&amp;TEXT(2,"00")&amp;"*",수납!$E:$E,"수강료")+SUMIFS(수납!$F:$F,수납!$C:$C,원생!$A161,수납!$D:$D,IF(원생!$G161="","",원생!$G161),수납!$B:$B,$B$1&amp;"-"&amp;TEXT(2,"00")&amp;"*",수납!$E:$E,""))</f>
        <v/>
      </c>
      <c r="E163" s="14">
        <f>IF(원생!$A161="","",SUMIFS(수납!$F:$F,수납!$C:$C,원생!$A161,수납!$D:$D,IF(원생!$G161="","",원생!$G161),수납!$B:$B,$B$1&amp;"-"&amp;TEXT(3,"00")&amp;"*",수납!$E:$E,"수강료")+SUMIFS(수납!$F:$F,수납!$C:$C,원생!$A161,수납!$D:$D,IF(원생!$G161="","",원생!$G161),수납!$B:$B,$B$1&amp;"-"&amp;TEXT(3,"00")&amp;"*",수납!$E:$E,""))</f>
        <v/>
      </c>
      <c r="F163" s="14">
        <f>IF(원생!$A161="","",SUMIFS(수납!$F:$F,수납!$C:$C,원생!$A161,수납!$D:$D,IF(원생!$G161="","",원생!$G161),수납!$B:$B,$B$1&amp;"-"&amp;TEXT(4,"00")&amp;"*",수납!$E:$E,"수강료")+SUMIFS(수납!$F:$F,수납!$C:$C,원생!$A161,수납!$D:$D,IF(원생!$G161="","",원생!$G161),수납!$B:$B,$B$1&amp;"-"&amp;TEXT(4,"00")&amp;"*",수납!$E:$E,""))</f>
        <v/>
      </c>
      <c r="G163" s="14">
        <f>IF(원생!$A161="","",SUMIFS(수납!$F:$F,수납!$C:$C,원생!$A161,수납!$D:$D,IF(원생!$G161="","",원생!$G161),수납!$B:$B,$B$1&amp;"-"&amp;TEXT(5,"00")&amp;"*",수납!$E:$E,"수강료")+SUMIFS(수납!$F:$F,수납!$C:$C,원생!$A161,수납!$D:$D,IF(원생!$G161="","",원생!$G161),수납!$B:$B,$B$1&amp;"-"&amp;TEXT(5,"00")&amp;"*",수납!$E:$E,""))</f>
        <v/>
      </c>
      <c r="H163" s="14">
        <f>IF(원생!$A161="","",SUMIFS(수납!$F:$F,수납!$C:$C,원생!$A161,수납!$D:$D,IF(원생!$G161="","",원생!$G161),수납!$B:$B,$B$1&amp;"-"&amp;TEXT(6,"00")&amp;"*",수납!$E:$E,"수강료")+SUMIFS(수납!$F:$F,수납!$C:$C,원생!$A161,수납!$D:$D,IF(원생!$G161="","",원생!$G161),수납!$B:$B,$B$1&amp;"-"&amp;TEXT(6,"00")&amp;"*",수납!$E:$E,""))</f>
        <v/>
      </c>
      <c r="I163" s="14">
        <f>IF(원생!$A161="","",SUMIFS(수납!$F:$F,수납!$C:$C,원생!$A161,수납!$D:$D,IF(원생!$G161="","",원생!$G161),수납!$B:$B,$B$1&amp;"-"&amp;TEXT(7,"00")&amp;"*",수납!$E:$E,"수강료")+SUMIFS(수납!$F:$F,수납!$C:$C,원생!$A161,수납!$D:$D,IF(원생!$G161="","",원생!$G161),수납!$B:$B,$B$1&amp;"-"&amp;TEXT(7,"00")&amp;"*",수납!$E:$E,""))</f>
        <v/>
      </c>
      <c r="J163" s="14">
        <f>IF(원생!$A161="","",SUMIFS(수납!$F:$F,수납!$C:$C,원생!$A161,수납!$D:$D,IF(원생!$G161="","",원생!$G161),수납!$B:$B,$B$1&amp;"-"&amp;TEXT(8,"00")&amp;"*",수납!$E:$E,"수강료")+SUMIFS(수납!$F:$F,수납!$C:$C,원생!$A161,수납!$D:$D,IF(원생!$G161="","",원생!$G161),수납!$B:$B,$B$1&amp;"-"&amp;TEXT(8,"00")&amp;"*",수납!$E:$E,""))</f>
        <v/>
      </c>
      <c r="K163" s="14">
        <f>IF(원생!$A161="","",SUMIFS(수납!$F:$F,수납!$C:$C,원생!$A161,수납!$D:$D,IF(원생!$G161="","",원생!$G161),수납!$B:$B,$B$1&amp;"-"&amp;TEXT(9,"00")&amp;"*",수납!$E:$E,"수강료")+SUMIFS(수납!$F:$F,수납!$C:$C,원생!$A161,수납!$D:$D,IF(원생!$G161="","",원생!$G161),수납!$B:$B,$B$1&amp;"-"&amp;TEXT(9,"00")&amp;"*",수납!$E:$E,""))</f>
        <v/>
      </c>
      <c r="L163" s="14">
        <f>IF(원생!$A161="","",SUMIFS(수납!$F:$F,수납!$C:$C,원생!$A161,수납!$D:$D,IF(원생!$G161="","",원생!$G161),수납!$B:$B,$B$1&amp;"-"&amp;TEXT(10,"00")&amp;"*",수납!$E:$E,"수강료")+SUMIFS(수납!$F:$F,수납!$C:$C,원생!$A161,수납!$D:$D,IF(원생!$G161="","",원생!$G161),수납!$B:$B,$B$1&amp;"-"&amp;TEXT(10,"00")&amp;"*",수납!$E:$E,""))</f>
        <v/>
      </c>
      <c r="M163" s="14">
        <f>IF(원생!$A161="","",SUMIFS(수납!$F:$F,수납!$C:$C,원생!$A161,수납!$D:$D,IF(원생!$G161="","",원생!$G161),수납!$B:$B,$B$1&amp;"-"&amp;TEXT(11,"00")&amp;"*",수납!$E:$E,"수강료")+SUMIFS(수납!$F:$F,수납!$C:$C,원생!$A161,수납!$D:$D,IF(원생!$G161="","",원생!$G161),수납!$B:$B,$B$1&amp;"-"&amp;TEXT(11,"00")&amp;"*",수납!$E:$E,""))</f>
        <v/>
      </c>
      <c r="N163" s="14">
        <f>IF(원생!$A161="","",SUMIFS(수납!$F:$F,수납!$C:$C,원생!$A161,수납!$D:$D,IF(원생!$G161="","",원생!$G161),수납!$B:$B,$B$1&amp;"-"&amp;TEXT(12,"00")&amp;"*",수납!$E:$E,"수강료")+SUMIFS(수납!$F:$F,수납!$C:$C,원생!$A161,수납!$D:$D,IF(원생!$G161="","",원생!$G161),수납!$B:$B,$B$1&amp;"-"&amp;TEXT(12,"00")&amp;"*",수납!$E:$E,""))</f>
        <v/>
      </c>
      <c r="O163">
        <f>IF(원생!$I161="","",원생!$I161)</f>
        <v/>
      </c>
      <c r="P163">
        <f>IF($A163="","",IF(AND($B163&gt;0,C163&lt;$B163,DATE($B$1,1,1)&lt;=TODAY(),OR($O163="",$O163&gt;=DATE($B$1,1,1)),OR(COUNTIF($C163:C163,"&gt;0")&gt;0,DATE($B$1,1,1)=DATE(YEAR(TODAY()),MONTH(TODAY()),1))),1,0))</f>
        <v/>
      </c>
      <c r="Q163">
        <f>IF($A163="","",IF(AND($B163&gt;0,D163&lt;$B163,DATE($B$1,2,1)&lt;=TODAY(),OR($O163="",$O163&gt;=DATE($B$1,2,1)),OR(COUNTIF($C163:D163,"&gt;0")&gt;0,DATE($B$1,2,1)=DATE(YEAR(TODAY()),MONTH(TODAY()),1))),1,0))</f>
        <v/>
      </c>
      <c r="R163">
        <f>IF($A163="","",IF(AND($B163&gt;0,E163&lt;$B163,DATE($B$1,3,1)&lt;=TODAY(),OR($O163="",$O163&gt;=DATE($B$1,3,1)),OR(COUNTIF($C163:E163,"&gt;0")&gt;0,DATE($B$1,3,1)=DATE(YEAR(TODAY()),MONTH(TODAY()),1))),1,0))</f>
        <v/>
      </c>
      <c r="S163">
        <f>IF($A163="","",IF(AND($B163&gt;0,F163&lt;$B163,DATE($B$1,4,1)&lt;=TODAY(),OR($O163="",$O163&gt;=DATE($B$1,4,1)),OR(COUNTIF($C163:F163,"&gt;0")&gt;0,DATE($B$1,4,1)=DATE(YEAR(TODAY()),MONTH(TODAY()),1))),1,0))</f>
        <v/>
      </c>
      <c r="T163">
        <f>IF($A163="","",IF(AND($B163&gt;0,G163&lt;$B163,DATE($B$1,5,1)&lt;=TODAY(),OR($O163="",$O163&gt;=DATE($B$1,5,1)),OR(COUNTIF($C163:G163,"&gt;0")&gt;0,DATE($B$1,5,1)=DATE(YEAR(TODAY()),MONTH(TODAY()),1))),1,0))</f>
        <v/>
      </c>
      <c r="U163">
        <f>IF($A163="","",IF(AND($B163&gt;0,H163&lt;$B163,DATE($B$1,6,1)&lt;=TODAY(),OR($O163="",$O163&gt;=DATE($B$1,6,1)),OR(COUNTIF($C163:H163,"&gt;0")&gt;0,DATE($B$1,6,1)=DATE(YEAR(TODAY()),MONTH(TODAY()),1))),1,0))</f>
        <v/>
      </c>
      <c r="V163">
        <f>IF($A163="","",IF(AND($B163&gt;0,I163&lt;$B163,DATE($B$1,7,1)&lt;=TODAY(),OR($O163="",$O163&gt;=DATE($B$1,7,1)),OR(COUNTIF($C163:I163,"&gt;0")&gt;0,DATE($B$1,7,1)=DATE(YEAR(TODAY()),MONTH(TODAY()),1))),1,0))</f>
        <v/>
      </c>
      <c r="W163">
        <f>IF($A163="","",IF(AND($B163&gt;0,J163&lt;$B163,DATE($B$1,8,1)&lt;=TODAY(),OR($O163="",$O163&gt;=DATE($B$1,8,1)),OR(COUNTIF($C163:J163,"&gt;0")&gt;0,DATE($B$1,8,1)=DATE(YEAR(TODAY()),MONTH(TODAY()),1))),1,0))</f>
        <v/>
      </c>
      <c r="X163">
        <f>IF($A163="","",IF(AND($B163&gt;0,K163&lt;$B163,DATE($B$1,9,1)&lt;=TODAY(),OR($O163="",$O163&gt;=DATE($B$1,9,1)),OR(COUNTIF($C163:K163,"&gt;0")&gt;0,DATE($B$1,9,1)=DATE(YEAR(TODAY()),MONTH(TODAY()),1))),1,0))</f>
        <v/>
      </c>
      <c r="Y163">
        <f>IF($A163="","",IF(AND($B163&gt;0,L163&lt;$B163,DATE($B$1,10,1)&lt;=TODAY(),OR($O163="",$O163&gt;=DATE($B$1,10,1)),OR(COUNTIF($C163:L163,"&gt;0")&gt;0,DATE($B$1,10,1)=DATE(YEAR(TODAY()),MONTH(TODAY()),1))),1,0))</f>
        <v/>
      </c>
      <c r="Z163">
        <f>IF($A163="","",IF(AND($B163&gt;0,M163&lt;$B163,DATE($B$1,11,1)&lt;=TODAY(),OR($O163="",$O163&gt;=DATE($B$1,11,1)),OR(COUNTIF($C163:M163,"&gt;0")&gt;0,DATE($B$1,11,1)=DATE(YEAR(TODAY()),MONTH(TODAY()),1))),1,0))</f>
        <v/>
      </c>
      <c r="AA163">
        <f>IF($A163="","",IF(AND($B163&gt;0,N163&lt;$B163,DATE($B$1,12,1)&lt;=TODAY(),OR($O163="",$O163&gt;=DATE($B$1,12,1)),OR(COUNTIF($C163:N163,"&gt;0")&gt;0,DATE($B$1,12,1)=DATE(YEAR(TODAY()),MONTH(TODAY()),1))),1,0))</f>
        <v/>
      </c>
    </row>
    <row r="164">
      <c r="A164" s="13">
        <f>IF(원생!$A162="","",원생!$A162&amp;IF(원생!$G162="",""," ("&amp;원생!$G162&amp;")"))</f>
        <v/>
      </c>
      <c r="B164" s="8">
        <f>IF(원생!$A162="","",원생!$F162)</f>
        <v/>
      </c>
      <c r="C164" s="14">
        <f>IF(원생!$A162="","",SUMIFS(수납!$F:$F,수납!$C:$C,원생!$A162,수납!$D:$D,IF(원생!$G162="","",원생!$G162),수납!$B:$B,$B$1&amp;"-"&amp;TEXT(1,"00")&amp;"*",수납!$E:$E,"수강료")+SUMIFS(수납!$F:$F,수납!$C:$C,원생!$A162,수납!$D:$D,IF(원생!$G162="","",원생!$G162),수납!$B:$B,$B$1&amp;"-"&amp;TEXT(1,"00")&amp;"*",수납!$E:$E,""))</f>
        <v/>
      </c>
      <c r="D164" s="14">
        <f>IF(원생!$A162="","",SUMIFS(수납!$F:$F,수납!$C:$C,원생!$A162,수납!$D:$D,IF(원생!$G162="","",원생!$G162),수납!$B:$B,$B$1&amp;"-"&amp;TEXT(2,"00")&amp;"*",수납!$E:$E,"수강료")+SUMIFS(수납!$F:$F,수납!$C:$C,원생!$A162,수납!$D:$D,IF(원생!$G162="","",원생!$G162),수납!$B:$B,$B$1&amp;"-"&amp;TEXT(2,"00")&amp;"*",수납!$E:$E,""))</f>
        <v/>
      </c>
      <c r="E164" s="14">
        <f>IF(원생!$A162="","",SUMIFS(수납!$F:$F,수납!$C:$C,원생!$A162,수납!$D:$D,IF(원생!$G162="","",원생!$G162),수납!$B:$B,$B$1&amp;"-"&amp;TEXT(3,"00")&amp;"*",수납!$E:$E,"수강료")+SUMIFS(수납!$F:$F,수납!$C:$C,원생!$A162,수납!$D:$D,IF(원생!$G162="","",원생!$G162),수납!$B:$B,$B$1&amp;"-"&amp;TEXT(3,"00")&amp;"*",수납!$E:$E,""))</f>
        <v/>
      </c>
      <c r="F164" s="14">
        <f>IF(원생!$A162="","",SUMIFS(수납!$F:$F,수납!$C:$C,원생!$A162,수납!$D:$D,IF(원생!$G162="","",원생!$G162),수납!$B:$B,$B$1&amp;"-"&amp;TEXT(4,"00")&amp;"*",수납!$E:$E,"수강료")+SUMIFS(수납!$F:$F,수납!$C:$C,원생!$A162,수납!$D:$D,IF(원생!$G162="","",원생!$G162),수납!$B:$B,$B$1&amp;"-"&amp;TEXT(4,"00")&amp;"*",수납!$E:$E,""))</f>
        <v/>
      </c>
      <c r="G164" s="14">
        <f>IF(원생!$A162="","",SUMIFS(수납!$F:$F,수납!$C:$C,원생!$A162,수납!$D:$D,IF(원생!$G162="","",원생!$G162),수납!$B:$B,$B$1&amp;"-"&amp;TEXT(5,"00")&amp;"*",수납!$E:$E,"수강료")+SUMIFS(수납!$F:$F,수납!$C:$C,원생!$A162,수납!$D:$D,IF(원생!$G162="","",원생!$G162),수납!$B:$B,$B$1&amp;"-"&amp;TEXT(5,"00")&amp;"*",수납!$E:$E,""))</f>
        <v/>
      </c>
      <c r="H164" s="14">
        <f>IF(원생!$A162="","",SUMIFS(수납!$F:$F,수납!$C:$C,원생!$A162,수납!$D:$D,IF(원생!$G162="","",원생!$G162),수납!$B:$B,$B$1&amp;"-"&amp;TEXT(6,"00")&amp;"*",수납!$E:$E,"수강료")+SUMIFS(수납!$F:$F,수납!$C:$C,원생!$A162,수납!$D:$D,IF(원생!$G162="","",원생!$G162),수납!$B:$B,$B$1&amp;"-"&amp;TEXT(6,"00")&amp;"*",수납!$E:$E,""))</f>
        <v/>
      </c>
      <c r="I164" s="14">
        <f>IF(원생!$A162="","",SUMIFS(수납!$F:$F,수납!$C:$C,원생!$A162,수납!$D:$D,IF(원생!$G162="","",원생!$G162),수납!$B:$B,$B$1&amp;"-"&amp;TEXT(7,"00")&amp;"*",수납!$E:$E,"수강료")+SUMIFS(수납!$F:$F,수납!$C:$C,원생!$A162,수납!$D:$D,IF(원생!$G162="","",원생!$G162),수납!$B:$B,$B$1&amp;"-"&amp;TEXT(7,"00")&amp;"*",수납!$E:$E,""))</f>
        <v/>
      </c>
      <c r="J164" s="14">
        <f>IF(원생!$A162="","",SUMIFS(수납!$F:$F,수납!$C:$C,원생!$A162,수납!$D:$D,IF(원생!$G162="","",원생!$G162),수납!$B:$B,$B$1&amp;"-"&amp;TEXT(8,"00")&amp;"*",수납!$E:$E,"수강료")+SUMIFS(수납!$F:$F,수납!$C:$C,원생!$A162,수납!$D:$D,IF(원생!$G162="","",원생!$G162),수납!$B:$B,$B$1&amp;"-"&amp;TEXT(8,"00")&amp;"*",수납!$E:$E,""))</f>
        <v/>
      </c>
      <c r="K164" s="14">
        <f>IF(원생!$A162="","",SUMIFS(수납!$F:$F,수납!$C:$C,원생!$A162,수납!$D:$D,IF(원생!$G162="","",원생!$G162),수납!$B:$B,$B$1&amp;"-"&amp;TEXT(9,"00")&amp;"*",수납!$E:$E,"수강료")+SUMIFS(수납!$F:$F,수납!$C:$C,원생!$A162,수납!$D:$D,IF(원생!$G162="","",원생!$G162),수납!$B:$B,$B$1&amp;"-"&amp;TEXT(9,"00")&amp;"*",수납!$E:$E,""))</f>
        <v/>
      </c>
      <c r="L164" s="14">
        <f>IF(원생!$A162="","",SUMIFS(수납!$F:$F,수납!$C:$C,원생!$A162,수납!$D:$D,IF(원생!$G162="","",원생!$G162),수납!$B:$B,$B$1&amp;"-"&amp;TEXT(10,"00")&amp;"*",수납!$E:$E,"수강료")+SUMIFS(수납!$F:$F,수납!$C:$C,원생!$A162,수납!$D:$D,IF(원생!$G162="","",원생!$G162),수납!$B:$B,$B$1&amp;"-"&amp;TEXT(10,"00")&amp;"*",수납!$E:$E,""))</f>
        <v/>
      </c>
      <c r="M164" s="14">
        <f>IF(원생!$A162="","",SUMIFS(수납!$F:$F,수납!$C:$C,원생!$A162,수납!$D:$D,IF(원생!$G162="","",원생!$G162),수납!$B:$B,$B$1&amp;"-"&amp;TEXT(11,"00")&amp;"*",수납!$E:$E,"수강료")+SUMIFS(수납!$F:$F,수납!$C:$C,원생!$A162,수납!$D:$D,IF(원생!$G162="","",원생!$G162),수납!$B:$B,$B$1&amp;"-"&amp;TEXT(11,"00")&amp;"*",수납!$E:$E,""))</f>
        <v/>
      </c>
      <c r="N164" s="14">
        <f>IF(원생!$A162="","",SUMIFS(수납!$F:$F,수납!$C:$C,원생!$A162,수납!$D:$D,IF(원생!$G162="","",원생!$G162),수납!$B:$B,$B$1&amp;"-"&amp;TEXT(12,"00")&amp;"*",수납!$E:$E,"수강료")+SUMIFS(수납!$F:$F,수납!$C:$C,원생!$A162,수납!$D:$D,IF(원생!$G162="","",원생!$G162),수납!$B:$B,$B$1&amp;"-"&amp;TEXT(12,"00")&amp;"*",수납!$E:$E,""))</f>
        <v/>
      </c>
      <c r="O164">
        <f>IF(원생!$I162="","",원생!$I162)</f>
        <v/>
      </c>
      <c r="P164">
        <f>IF($A164="","",IF(AND($B164&gt;0,C164&lt;$B164,DATE($B$1,1,1)&lt;=TODAY(),OR($O164="",$O164&gt;=DATE($B$1,1,1)),OR(COUNTIF($C164:C164,"&gt;0")&gt;0,DATE($B$1,1,1)=DATE(YEAR(TODAY()),MONTH(TODAY()),1))),1,0))</f>
        <v/>
      </c>
      <c r="Q164">
        <f>IF($A164="","",IF(AND($B164&gt;0,D164&lt;$B164,DATE($B$1,2,1)&lt;=TODAY(),OR($O164="",$O164&gt;=DATE($B$1,2,1)),OR(COUNTIF($C164:D164,"&gt;0")&gt;0,DATE($B$1,2,1)=DATE(YEAR(TODAY()),MONTH(TODAY()),1))),1,0))</f>
        <v/>
      </c>
      <c r="R164">
        <f>IF($A164="","",IF(AND($B164&gt;0,E164&lt;$B164,DATE($B$1,3,1)&lt;=TODAY(),OR($O164="",$O164&gt;=DATE($B$1,3,1)),OR(COUNTIF($C164:E164,"&gt;0")&gt;0,DATE($B$1,3,1)=DATE(YEAR(TODAY()),MONTH(TODAY()),1))),1,0))</f>
        <v/>
      </c>
      <c r="S164">
        <f>IF($A164="","",IF(AND($B164&gt;0,F164&lt;$B164,DATE($B$1,4,1)&lt;=TODAY(),OR($O164="",$O164&gt;=DATE($B$1,4,1)),OR(COUNTIF($C164:F164,"&gt;0")&gt;0,DATE($B$1,4,1)=DATE(YEAR(TODAY()),MONTH(TODAY()),1))),1,0))</f>
        <v/>
      </c>
      <c r="T164">
        <f>IF($A164="","",IF(AND($B164&gt;0,G164&lt;$B164,DATE($B$1,5,1)&lt;=TODAY(),OR($O164="",$O164&gt;=DATE($B$1,5,1)),OR(COUNTIF($C164:G164,"&gt;0")&gt;0,DATE($B$1,5,1)=DATE(YEAR(TODAY()),MONTH(TODAY()),1))),1,0))</f>
        <v/>
      </c>
      <c r="U164">
        <f>IF($A164="","",IF(AND($B164&gt;0,H164&lt;$B164,DATE($B$1,6,1)&lt;=TODAY(),OR($O164="",$O164&gt;=DATE($B$1,6,1)),OR(COUNTIF($C164:H164,"&gt;0")&gt;0,DATE($B$1,6,1)=DATE(YEAR(TODAY()),MONTH(TODAY()),1))),1,0))</f>
        <v/>
      </c>
      <c r="V164">
        <f>IF($A164="","",IF(AND($B164&gt;0,I164&lt;$B164,DATE($B$1,7,1)&lt;=TODAY(),OR($O164="",$O164&gt;=DATE($B$1,7,1)),OR(COUNTIF($C164:I164,"&gt;0")&gt;0,DATE($B$1,7,1)=DATE(YEAR(TODAY()),MONTH(TODAY()),1))),1,0))</f>
        <v/>
      </c>
      <c r="W164">
        <f>IF($A164="","",IF(AND($B164&gt;0,J164&lt;$B164,DATE($B$1,8,1)&lt;=TODAY(),OR($O164="",$O164&gt;=DATE($B$1,8,1)),OR(COUNTIF($C164:J164,"&gt;0")&gt;0,DATE($B$1,8,1)=DATE(YEAR(TODAY()),MONTH(TODAY()),1))),1,0))</f>
        <v/>
      </c>
      <c r="X164">
        <f>IF($A164="","",IF(AND($B164&gt;0,K164&lt;$B164,DATE($B$1,9,1)&lt;=TODAY(),OR($O164="",$O164&gt;=DATE($B$1,9,1)),OR(COUNTIF($C164:K164,"&gt;0")&gt;0,DATE($B$1,9,1)=DATE(YEAR(TODAY()),MONTH(TODAY()),1))),1,0))</f>
        <v/>
      </c>
      <c r="Y164">
        <f>IF($A164="","",IF(AND($B164&gt;0,L164&lt;$B164,DATE($B$1,10,1)&lt;=TODAY(),OR($O164="",$O164&gt;=DATE($B$1,10,1)),OR(COUNTIF($C164:L164,"&gt;0")&gt;0,DATE($B$1,10,1)=DATE(YEAR(TODAY()),MONTH(TODAY()),1))),1,0))</f>
        <v/>
      </c>
      <c r="Z164">
        <f>IF($A164="","",IF(AND($B164&gt;0,M164&lt;$B164,DATE($B$1,11,1)&lt;=TODAY(),OR($O164="",$O164&gt;=DATE($B$1,11,1)),OR(COUNTIF($C164:M164,"&gt;0")&gt;0,DATE($B$1,11,1)=DATE(YEAR(TODAY()),MONTH(TODAY()),1))),1,0))</f>
        <v/>
      </c>
      <c r="AA164">
        <f>IF($A164="","",IF(AND($B164&gt;0,N164&lt;$B164,DATE($B$1,12,1)&lt;=TODAY(),OR($O164="",$O164&gt;=DATE($B$1,12,1)),OR(COUNTIF($C164:N164,"&gt;0")&gt;0,DATE($B$1,12,1)=DATE(YEAR(TODAY()),MONTH(TODAY()),1))),1,0))</f>
        <v/>
      </c>
    </row>
    <row r="165">
      <c r="A165" s="13">
        <f>IF(원생!$A163="","",원생!$A163&amp;IF(원생!$G163="",""," ("&amp;원생!$G163&amp;")"))</f>
        <v/>
      </c>
      <c r="B165" s="8">
        <f>IF(원생!$A163="","",원생!$F163)</f>
        <v/>
      </c>
      <c r="C165" s="14">
        <f>IF(원생!$A163="","",SUMIFS(수납!$F:$F,수납!$C:$C,원생!$A163,수납!$D:$D,IF(원생!$G163="","",원생!$G163),수납!$B:$B,$B$1&amp;"-"&amp;TEXT(1,"00")&amp;"*",수납!$E:$E,"수강료")+SUMIFS(수납!$F:$F,수납!$C:$C,원생!$A163,수납!$D:$D,IF(원생!$G163="","",원생!$G163),수납!$B:$B,$B$1&amp;"-"&amp;TEXT(1,"00")&amp;"*",수납!$E:$E,""))</f>
        <v/>
      </c>
      <c r="D165" s="14">
        <f>IF(원생!$A163="","",SUMIFS(수납!$F:$F,수납!$C:$C,원생!$A163,수납!$D:$D,IF(원생!$G163="","",원생!$G163),수납!$B:$B,$B$1&amp;"-"&amp;TEXT(2,"00")&amp;"*",수납!$E:$E,"수강료")+SUMIFS(수납!$F:$F,수납!$C:$C,원생!$A163,수납!$D:$D,IF(원생!$G163="","",원생!$G163),수납!$B:$B,$B$1&amp;"-"&amp;TEXT(2,"00")&amp;"*",수납!$E:$E,""))</f>
        <v/>
      </c>
      <c r="E165" s="14">
        <f>IF(원생!$A163="","",SUMIFS(수납!$F:$F,수납!$C:$C,원생!$A163,수납!$D:$D,IF(원생!$G163="","",원생!$G163),수납!$B:$B,$B$1&amp;"-"&amp;TEXT(3,"00")&amp;"*",수납!$E:$E,"수강료")+SUMIFS(수납!$F:$F,수납!$C:$C,원생!$A163,수납!$D:$D,IF(원생!$G163="","",원생!$G163),수납!$B:$B,$B$1&amp;"-"&amp;TEXT(3,"00")&amp;"*",수납!$E:$E,""))</f>
        <v/>
      </c>
      <c r="F165" s="14">
        <f>IF(원생!$A163="","",SUMIFS(수납!$F:$F,수납!$C:$C,원생!$A163,수납!$D:$D,IF(원생!$G163="","",원생!$G163),수납!$B:$B,$B$1&amp;"-"&amp;TEXT(4,"00")&amp;"*",수납!$E:$E,"수강료")+SUMIFS(수납!$F:$F,수납!$C:$C,원생!$A163,수납!$D:$D,IF(원생!$G163="","",원생!$G163),수납!$B:$B,$B$1&amp;"-"&amp;TEXT(4,"00")&amp;"*",수납!$E:$E,""))</f>
        <v/>
      </c>
      <c r="G165" s="14">
        <f>IF(원생!$A163="","",SUMIFS(수납!$F:$F,수납!$C:$C,원생!$A163,수납!$D:$D,IF(원생!$G163="","",원생!$G163),수납!$B:$B,$B$1&amp;"-"&amp;TEXT(5,"00")&amp;"*",수납!$E:$E,"수강료")+SUMIFS(수납!$F:$F,수납!$C:$C,원생!$A163,수납!$D:$D,IF(원생!$G163="","",원생!$G163),수납!$B:$B,$B$1&amp;"-"&amp;TEXT(5,"00")&amp;"*",수납!$E:$E,""))</f>
        <v/>
      </c>
      <c r="H165" s="14">
        <f>IF(원생!$A163="","",SUMIFS(수납!$F:$F,수납!$C:$C,원생!$A163,수납!$D:$D,IF(원생!$G163="","",원생!$G163),수납!$B:$B,$B$1&amp;"-"&amp;TEXT(6,"00")&amp;"*",수납!$E:$E,"수강료")+SUMIFS(수납!$F:$F,수납!$C:$C,원생!$A163,수납!$D:$D,IF(원생!$G163="","",원생!$G163),수납!$B:$B,$B$1&amp;"-"&amp;TEXT(6,"00")&amp;"*",수납!$E:$E,""))</f>
        <v/>
      </c>
      <c r="I165" s="14">
        <f>IF(원생!$A163="","",SUMIFS(수납!$F:$F,수납!$C:$C,원생!$A163,수납!$D:$D,IF(원생!$G163="","",원생!$G163),수납!$B:$B,$B$1&amp;"-"&amp;TEXT(7,"00")&amp;"*",수납!$E:$E,"수강료")+SUMIFS(수납!$F:$F,수납!$C:$C,원생!$A163,수납!$D:$D,IF(원생!$G163="","",원생!$G163),수납!$B:$B,$B$1&amp;"-"&amp;TEXT(7,"00")&amp;"*",수납!$E:$E,""))</f>
        <v/>
      </c>
      <c r="J165" s="14">
        <f>IF(원생!$A163="","",SUMIFS(수납!$F:$F,수납!$C:$C,원생!$A163,수납!$D:$D,IF(원생!$G163="","",원생!$G163),수납!$B:$B,$B$1&amp;"-"&amp;TEXT(8,"00")&amp;"*",수납!$E:$E,"수강료")+SUMIFS(수납!$F:$F,수납!$C:$C,원생!$A163,수납!$D:$D,IF(원생!$G163="","",원생!$G163),수납!$B:$B,$B$1&amp;"-"&amp;TEXT(8,"00")&amp;"*",수납!$E:$E,""))</f>
        <v/>
      </c>
      <c r="K165" s="14">
        <f>IF(원생!$A163="","",SUMIFS(수납!$F:$F,수납!$C:$C,원생!$A163,수납!$D:$D,IF(원생!$G163="","",원생!$G163),수납!$B:$B,$B$1&amp;"-"&amp;TEXT(9,"00")&amp;"*",수납!$E:$E,"수강료")+SUMIFS(수납!$F:$F,수납!$C:$C,원생!$A163,수납!$D:$D,IF(원생!$G163="","",원생!$G163),수납!$B:$B,$B$1&amp;"-"&amp;TEXT(9,"00")&amp;"*",수납!$E:$E,""))</f>
        <v/>
      </c>
      <c r="L165" s="14">
        <f>IF(원생!$A163="","",SUMIFS(수납!$F:$F,수납!$C:$C,원생!$A163,수납!$D:$D,IF(원생!$G163="","",원생!$G163),수납!$B:$B,$B$1&amp;"-"&amp;TEXT(10,"00")&amp;"*",수납!$E:$E,"수강료")+SUMIFS(수납!$F:$F,수납!$C:$C,원생!$A163,수납!$D:$D,IF(원생!$G163="","",원생!$G163),수납!$B:$B,$B$1&amp;"-"&amp;TEXT(10,"00")&amp;"*",수납!$E:$E,""))</f>
        <v/>
      </c>
      <c r="M165" s="14">
        <f>IF(원생!$A163="","",SUMIFS(수납!$F:$F,수납!$C:$C,원생!$A163,수납!$D:$D,IF(원생!$G163="","",원생!$G163),수납!$B:$B,$B$1&amp;"-"&amp;TEXT(11,"00")&amp;"*",수납!$E:$E,"수강료")+SUMIFS(수납!$F:$F,수납!$C:$C,원생!$A163,수납!$D:$D,IF(원생!$G163="","",원생!$G163),수납!$B:$B,$B$1&amp;"-"&amp;TEXT(11,"00")&amp;"*",수납!$E:$E,""))</f>
        <v/>
      </c>
      <c r="N165" s="14">
        <f>IF(원생!$A163="","",SUMIFS(수납!$F:$F,수납!$C:$C,원생!$A163,수납!$D:$D,IF(원생!$G163="","",원생!$G163),수납!$B:$B,$B$1&amp;"-"&amp;TEXT(12,"00")&amp;"*",수납!$E:$E,"수강료")+SUMIFS(수납!$F:$F,수납!$C:$C,원생!$A163,수납!$D:$D,IF(원생!$G163="","",원생!$G163),수납!$B:$B,$B$1&amp;"-"&amp;TEXT(12,"00")&amp;"*",수납!$E:$E,""))</f>
        <v/>
      </c>
      <c r="O165">
        <f>IF(원생!$I163="","",원생!$I163)</f>
        <v/>
      </c>
      <c r="P165">
        <f>IF($A165="","",IF(AND($B165&gt;0,C165&lt;$B165,DATE($B$1,1,1)&lt;=TODAY(),OR($O165="",$O165&gt;=DATE($B$1,1,1)),OR(COUNTIF($C165:C165,"&gt;0")&gt;0,DATE($B$1,1,1)=DATE(YEAR(TODAY()),MONTH(TODAY()),1))),1,0))</f>
        <v/>
      </c>
      <c r="Q165">
        <f>IF($A165="","",IF(AND($B165&gt;0,D165&lt;$B165,DATE($B$1,2,1)&lt;=TODAY(),OR($O165="",$O165&gt;=DATE($B$1,2,1)),OR(COUNTIF($C165:D165,"&gt;0")&gt;0,DATE($B$1,2,1)=DATE(YEAR(TODAY()),MONTH(TODAY()),1))),1,0))</f>
        <v/>
      </c>
      <c r="R165">
        <f>IF($A165="","",IF(AND($B165&gt;0,E165&lt;$B165,DATE($B$1,3,1)&lt;=TODAY(),OR($O165="",$O165&gt;=DATE($B$1,3,1)),OR(COUNTIF($C165:E165,"&gt;0")&gt;0,DATE($B$1,3,1)=DATE(YEAR(TODAY()),MONTH(TODAY()),1))),1,0))</f>
        <v/>
      </c>
      <c r="S165">
        <f>IF($A165="","",IF(AND($B165&gt;0,F165&lt;$B165,DATE($B$1,4,1)&lt;=TODAY(),OR($O165="",$O165&gt;=DATE($B$1,4,1)),OR(COUNTIF($C165:F165,"&gt;0")&gt;0,DATE($B$1,4,1)=DATE(YEAR(TODAY()),MONTH(TODAY()),1))),1,0))</f>
        <v/>
      </c>
      <c r="T165">
        <f>IF($A165="","",IF(AND($B165&gt;0,G165&lt;$B165,DATE($B$1,5,1)&lt;=TODAY(),OR($O165="",$O165&gt;=DATE($B$1,5,1)),OR(COUNTIF($C165:G165,"&gt;0")&gt;0,DATE($B$1,5,1)=DATE(YEAR(TODAY()),MONTH(TODAY()),1))),1,0))</f>
        <v/>
      </c>
      <c r="U165">
        <f>IF($A165="","",IF(AND($B165&gt;0,H165&lt;$B165,DATE($B$1,6,1)&lt;=TODAY(),OR($O165="",$O165&gt;=DATE($B$1,6,1)),OR(COUNTIF($C165:H165,"&gt;0")&gt;0,DATE($B$1,6,1)=DATE(YEAR(TODAY()),MONTH(TODAY()),1))),1,0))</f>
        <v/>
      </c>
      <c r="V165">
        <f>IF($A165="","",IF(AND($B165&gt;0,I165&lt;$B165,DATE($B$1,7,1)&lt;=TODAY(),OR($O165="",$O165&gt;=DATE($B$1,7,1)),OR(COUNTIF($C165:I165,"&gt;0")&gt;0,DATE($B$1,7,1)=DATE(YEAR(TODAY()),MONTH(TODAY()),1))),1,0))</f>
        <v/>
      </c>
      <c r="W165">
        <f>IF($A165="","",IF(AND($B165&gt;0,J165&lt;$B165,DATE($B$1,8,1)&lt;=TODAY(),OR($O165="",$O165&gt;=DATE($B$1,8,1)),OR(COUNTIF($C165:J165,"&gt;0")&gt;0,DATE($B$1,8,1)=DATE(YEAR(TODAY()),MONTH(TODAY()),1))),1,0))</f>
        <v/>
      </c>
      <c r="X165">
        <f>IF($A165="","",IF(AND($B165&gt;0,K165&lt;$B165,DATE($B$1,9,1)&lt;=TODAY(),OR($O165="",$O165&gt;=DATE($B$1,9,1)),OR(COUNTIF($C165:K165,"&gt;0")&gt;0,DATE($B$1,9,1)=DATE(YEAR(TODAY()),MONTH(TODAY()),1))),1,0))</f>
        <v/>
      </c>
      <c r="Y165">
        <f>IF($A165="","",IF(AND($B165&gt;0,L165&lt;$B165,DATE($B$1,10,1)&lt;=TODAY(),OR($O165="",$O165&gt;=DATE($B$1,10,1)),OR(COUNTIF($C165:L165,"&gt;0")&gt;0,DATE($B$1,10,1)=DATE(YEAR(TODAY()),MONTH(TODAY()),1))),1,0))</f>
        <v/>
      </c>
      <c r="Z165">
        <f>IF($A165="","",IF(AND($B165&gt;0,M165&lt;$B165,DATE($B$1,11,1)&lt;=TODAY(),OR($O165="",$O165&gt;=DATE($B$1,11,1)),OR(COUNTIF($C165:M165,"&gt;0")&gt;0,DATE($B$1,11,1)=DATE(YEAR(TODAY()),MONTH(TODAY()),1))),1,0))</f>
        <v/>
      </c>
      <c r="AA165">
        <f>IF($A165="","",IF(AND($B165&gt;0,N165&lt;$B165,DATE($B$1,12,1)&lt;=TODAY(),OR($O165="",$O165&gt;=DATE($B$1,12,1)),OR(COUNTIF($C165:N165,"&gt;0")&gt;0,DATE($B$1,12,1)=DATE(YEAR(TODAY()),MONTH(TODAY()),1))),1,0))</f>
        <v/>
      </c>
    </row>
    <row r="166">
      <c r="A166" s="13">
        <f>IF(원생!$A164="","",원생!$A164&amp;IF(원생!$G164="",""," ("&amp;원생!$G164&amp;")"))</f>
        <v/>
      </c>
      <c r="B166" s="8">
        <f>IF(원생!$A164="","",원생!$F164)</f>
        <v/>
      </c>
      <c r="C166" s="14">
        <f>IF(원생!$A164="","",SUMIFS(수납!$F:$F,수납!$C:$C,원생!$A164,수납!$D:$D,IF(원생!$G164="","",원생!$G164),수납!$B:$B,$B$1&amp;"-"&amp;TEXT(1,"00")&amp;"*",수납!$E:$E,"수강료")+SUMIFS(수납!$F:$F,수납!$C:$C,원생!$A164,수납!$D:$D,IF(원생!$G164="","",원생!$G164),수납!$B:$B,$B$1&amp;"-"&amp;TEXT(1,"00")&amp;"*",수납!$E:$E,""))</f>
        <v/>
      </c>
      <c r="D166" s="14">
        <f>IF(원생!$A164="","",SUMIFS(수납!$F:$F,수납!$C:$C,원생!$A164,수납!$D:$D,IF(원생!$G164="","",원생!$G164),수납!$B:$B,$B$1&amp;"-"&amp;TEXT(2,"00")&amp;"*",수납!$E:$E,"수강료")+SUMIFS(수납!$F:$F,수납!$C:$C,원생!$A164,수납!$D:$D,IF(원생!$G164="","",원생!$G164),수납!$B:$B,$B$1&amp;"-"&amp;TEXT(2,"00")&amp;"*",수납!$E:$E,""))</f>
        <v/>
      </c>
      <c r="E166" s="14">
        <f>IF(원생!$A164="","",SUMIFS(수납!$F:$F,수납!$C:$C,원생!$A164,수납!$D:$D,IF(원생!$G164="","",원생!$G164),수납!$B:$B,$B$1&amp;"-"&amp;TEXT(3,"00")&amp;"*",수납!$E:$E,"수강료")+SUMIFS(수납!$F:$F,수납!$C:$C,원생!$A164,수납!$D:$D,IF(원생!$G164="","",원생!$G164),수납!$B:$B,$B$1&amp;"-"&amp;TEXT(3,"00")&amp;"*",수납!$E:$E,""))</f>
        <v/>
      </c>
      <c r="F166" s="14">
        <f>IF(원생!$A164="","",SUMIFS(수납!$F:$F,수납!$C:$C,원생!$A164,수납!$D:$D,IF(원생!$G164="","",원생!$G164),수납!$B:$B,$B$1&amp;"-"&amp;TEXT(4,"00")&amp;"*",수납!$E:$E,"수강료")+SUMIFS(수납!$F:$F,수납!$C:$C,원생!$A164,수납!$D:$D,IF(원생!$G164="","",원생!$G164),수납!$B:$B,$B$1&amp;"-"&amp;TEXT(4,"00")&amp;"*",수납!$E:$E,""))</f>
        <v/>
      </c>
      <c r="G166" s="14">
        <f>IF(원생!$A164="","",SUMIFS(수납!$F:$F,수납!$C:$C,원생!$A164,수납!$D:$D,IF(원생!$G164="","",원생!$G164),수납!$B:$B,$B$1&amp;"-"&amp;TEXT(5,"00")&amp;"*",수납!$E:$E,"수강료")+SUMIFS(수납!$F:$F,수납!$C:$C,원생!$A164,수납!$D:$D,IF(원생!$G164="","",원생!$G164),수납!$B:$B,$B$1&amp;"-"&amp;TEXT(5,"00")&amp;"*",수납!$E:$E,""))</f>
        <v/>
      </c>
      <c r="H166" s="14">
        <f>IF(원생!$A164="","",SUMIFS(수납!$F:$F,수납!$C:$C,원생!$A164,수납!$D:$D,IF(원생!$G164="","",원생!$G164),수납!$B:$B,$B$1&amp;"-"&amp;TEXT(6,"00")&amp;"*",수납!$E:$E,"수강료")+SUMIFS(수납!$F:$F,수납!$C:$C,원생!$A164,수납!$D:$D,IF(원생!$G164="","",원생!$G164),수납!$B:$B,$B$1&amp;"-"&amp;TEXT(6,"00")&amp;"*",수납!$E:$E,""))</f>
        <v/>
      </c>
      <c r="I166" s="14">
        <f>IF(원생!$A164="","",SUMIFS(수납!$F:$F,수납!$C:$C,원생!$A164,수납!$D:$D,IF(원생!$G164="","",원생!$G164),수납!$B:$B,$B$1&amp;"-"&amp;TEXT(7,"00")&amp;"*",수납!$E:$E,"수강료")+SUMIFS(수납!$F:$F,수납!$C:$C,원생!$A164,수납!$D:$D,IF(원생!$G164="","",원생!$G164),수납!$B:$B,$B$1&amp;"-"&amp;TEXT(7,"00")&amp;"*",수납!$E:$E,""))</f>
        <v/>
      </c>
      <c r="J166" s="14">
        <f>IF(원생!$A164="","",SUMIFS(수납!$F:$F,수납!$C:$C,원생!$A164,수납!$D:$D,IF(원생!$G164="","",원생!$G164),수납!$B:$B,$B$1&amp;"-"&amp;TEXT(8,"00")&amp;"*",수납!$E:$E,"수강료")+SUMIFS(수납!$F:$F,수납!$C:$C,원생!$A164,수납!$D:$D,IF(원생!$G164="","",원생!$G164),수납!$B:$B,$B$1&amp;"-"&amp;TEXT(8,"00")&amp;"*",수납!$E:$E,""))</f>
        <v/>
      </c>
      <c r="K166" s="14">
        <f>IF(원생!$A164="","",SUMIFS(수납!$F:$F,수납!$C:$C,원생!$A164,수납!$D:$D,IF(원생!$G164="","",원생!$G164),수납!$B:$B,$B$1&amp;"-"&amp;TEXT(9,"00")&amp;"*",수납!$E:$E,"수강료")+SUMIFS(수납!$F:$F,수납!$C:$C,원생!$A164,수납!$D:$D,IF(원생!$G164="","",원생!$G164),수납!$B:$B,$B$1&amp;"-"&amp;TEXT(9,"00")&amp;"*",수납!$E:$E,""))</f>
        <v/>
      </c>
      <c r="L166" s="14">
        <f>IF(원생!$A164="","",SUMIFS(수납!$F:$F,수납!$C:$C,원생!$A164,수납!$D:$D,IF(원생!$G164="","",원생!$G164),수납!$B:$B,$B$1&amp;"-"&amp;TEXT(10,"00")&amp;"*",수납!$E:$E,"수강료")+SUMIFS(수납!$F:$F,수납!$C:$C,원생!$A164,수납!$D:$D,IF(원생!$G164="","",원생!$G164),수납!$B:$B,$B$1&amp;"-"&amp;TEXT(10,"00")&amp;"*",수납!$E:$E,""))</f>
        <v/>
      </c>
      <c r="M166" s="14">
        <f>IF(원생!$A164="","",SUMIFS(수납!$F:$F,수납!$C:$C,원생!$A164,수납!$D:$D,IF(원생!$G164="","",원생!$G164),수납!$B:$B,$B$1&amp;"-"&amp;TEXT(11,"00")&amp;"*",수납!$E:$E,"수강료")+SUMIFS(수납!$F:$F,수납!$C:$C,원생!$A164,수납!$D:$D,IF(원생!$G164="","",원생!$G164),수납!$B:$B,$B$1&amp;"-"&amp;TEXT(11,"00")&amp;"*",수납!$E:$E,""))</f>
        <v/>
      </c>
      <c r="N166" s="14">
        <f>IF(원생!$A164="","",SUMIFS(수납!$F:$F,수납!$C:$C,원생!$A164,수납!$D:$D,IF(원생!$G164="","",원생!$G164),수납!$B:$B,$B$1&amp;"-"&amp;TEXT(12,"00")&amp;"*",수납!$E:$E,"수강료")+SUMIFS(수납!$F:$F,수납!$C:$C,원생!$A164,수납!$D:$D,IF(원생!$G164="","",원생!$G164),수납!$B:$B,$B$1&amp;"-"&amp;TEXT(12,"00")&amp;"*",수납!$E:$E,""))</f>
        <v/>
      </c>
      <c r="O166">
        <f>IF(원생!$I164="","",원생!$I164)</f>
        <v/>
      </c>
      <c r="P166">
        <f>IF($A166="","",IF(AND($B166&gt;0,C166&lt;$B166,DATE($B$1,1,1)&lt;=TODAY(),OR($O166="",$O166&gt;=DATE($B$1,1,1)),OR(COUNTIF($C166:C166,"&gt;0")&gt;0,DATE($B$1,1,1)=DATE(YEAR(TODAY()),MONTH(TODAY()),1))),1,0))</f>
        <v/>
      </c>
      <c r="Q166">
        <f>IF($A166="","",IF(AND($B166&gt;0,D166&lt;$B166,DATE($B$1,2,1)&lt;=TODAY(),OR($O166="",$O166&gt;=DATE($B$1,2,1)),OR(COUNTIF($C166:D166,"&gt;0")&gt;0,DATE($B$1,2,1)=DATE(YEAR(TODAY()),MONTH(TODAY()),1))),1,0))</f>
        <v/>
      </c>
      <c r="R166">
        <f>IF($A166="","",IF(AND($B166&gt;0,E166&lt;$B166,DATE($B$1,3,1)&lt;=TODAY(),OR($O166="",$O166&gt;=DATE($B$1,3,1)),OR(COUNTIF($C166:E166,"&gt;0")&gt;0,DATE($B$1,3,1)=DATE(YEAR(TODAY()),MONTH(TODAY()),1))),1,0))</f>
        <v/>
      </c>
      <c r="S166">
        <f>IF($A166="","",IF(AND($B166&gt;0,F166&lt;$B166,DATE($B$1,4,1)&lt;=TODAY(),OR($O166="",$O166&gt;=DATE($B$1,4,1)),OR(COUNTIF($C166:F166,"&gt;0")&gt;0,DATE($B$1,4,1)=DATE(YEAR(TODAY()),MONTH(TODAY()),1))),1,0))</f>
        <v/>
      </c>
      <c r="T166">
        <f>IF($A166="","",IF(AND($B166&gt;0,G166&lt;$B166,DATE($B$1,5,1)&lt;=TODAY(),OR($O166="",$O166&gt;=DATE($B$1,5,1)),OR(COUNTIF($C166:G166,"&gt;0")&gt;0,DATE($B$1,5,1)=DATE(YEAR(TODAY()),MONTH(TODAY()),1))),1,0))</f>
        <v/>
      </c>
      <c r="U166">
        <f>IF($A166="","",IF(AND($B166&gt;0,H166&lt;$B166,DATE($B$1,6,1)&lt;=TODAY(),OR($O166="",$O166&gt;=DATE($B$1,6,1)),OR(COUNTIF($C166:H166,"&gt;0")&gt;0,DATE($B$1,6,1)=DATE(YEAR(TODAY()),MONTH(TODAY()),1))),1,0))</f>
        <v/>
      </c>
      <c r="V166">
        <f>IF($A166="","",IF(AND($B166&gt;0,I166&lt;$B166,DATE($B$1,7,1)&lt;=TODAY(),OR($O166="",$O166&gt;=DATE($B$1,7,1)),OR(COUNTIF($C166:I166,"&gt;0")&gt;0,DATE($B$1,7,1)=DATE(YEAR(TODAY()),MONTH(TODAY()),1))),1,0))</f>
        <v/>
      </c>
      <c r="W166">
        <f>IF($A166="","",IF(AND($B166&gt;0,J166&lt;$B166,DATE($B$1,8,1)&lt;=TODAY(),OR($O166="",$O166&gt;=DATE($B$1,8,1)),OR(COUNTIF($C166:J166,"&gt;0")&gt;0,DATE($B$1,8,1)=DATE(YEAR(TODAY()),MONTH(TODAY()),1))),1,0))</f>
        <v/>
      </c>
      <c r="X166">
        <f>IF($A166="","",IF(AND($B166&gt;0,K166&lt;$B166,DATE($B$1,9,1)&lt;=TODAY(),OR($O166="",$O166&gt;=DATE($B$1,9,1)),OR(COUNTIF($C166:K166,"&gt;0")&gt;0,DATE($B$1,9,1)=DATE(YEAR(TODAY()),MONTH(TODAY()),1))),1,0))</f>
        <v/>
      </c>
      <c r="Y166">
        <f>IF($A166="","",IF(AND($B166&gt;0,L166&lt;$B166,DATE($B$1,10,1)&lt;=TODAY(),OR($O166="",$O166&gt;=DATE($B$1,10,1)),OR(COUNTIF($C166:L166,"&gt;0")&gt;0,DATE($B$1,10,1)=DATE(YEAR(TODAY()),MONTH(TODAY()),1))),1,0))</f>
        <v/>
      </c>
      <c r="Z166">
        <f>IF($A166="","",IF(AND($B166&gt;0,M166&lt;$B166,DATE($B$1,11,1)&lt;=TODAY(),OR($O166="",$O166&gt;=DATE($B$1,11,1)),OR(COUNTIF($C166:M166,"&gt;0")&gt;0,DATE($B$1,11,1)=DATE(YEAR(TODAY()),MONTH(TODAY()),1))),1,0))</f>
        <v/>
      </c>
      <c r="AA166">
        <f>IF($A166="","",IF(AND($B166&gt;0,N166&lt;$B166,DATE($B$1,12,1)&lt;=TODAY(),OR($O166="",$O166&gt;=DATE($B$1,12,1)),OR(COUNTIF($C166:N166,"&gt;0")&gt;0,DATE($B$1,12,1)=DATE(YEAR(TODAY()),MONTH(TODAY()),1))),1,0))</f>
        <v/>
      </c>
    </row>
    <row r="167">
      <c r="A167" s="13">
        <f>IF(원생!$A165="","",원생!$A165&amp;IF(원생!$G165="",""," ("&amp;원생!$G165&amp;")"))</f>
        <v/>
      </c>
      <c r="B167" s="8">
        <f>IF(원생!$A165="","",원생!$F165)</f>
        <v/>
      </c>
      <c r="C167" s="14">
        <f>IF(원생!$A165="","",SUMIFS(수납!$F:$F,수납!$C:$C,원생!$A165,수납!$D:$D,IF(원생!$G165="","",원생!$G165),수납!$B:$B,$B$1&amp;"-"&amp;TEXT(1,"00")&amp;"*",수납!$E:$E,"수강료")+SUMIFS(수납!$F:$F,수납!$C:$C,원생!$A165,수납!$D:$D,IF(원생!$G165="","",원생!$G165),수납!$B:$B,$B$1&amp;"-"&amp;TEXT(1,"00")&amp;"*",수납!$E:$E,""))</f>
        <v/>
      </c>
      <c r="D167" s="14">
        <f>IF(원생!$A165="","",SUMIFS(수납!$F:$F,수납!$C:$C,원생!$A165,수납!$D:$D,IF(원생!$G165="","",원생!$G165),수납!$B:$B,$B$1&amp;"-"&amp;TEXT(2,"00")&amp;"*",수납!$E:$E,"수강료")+SUMIFS(수납!$F:$F,수납!$C:$C,원생!$A165,수납!$D:$D,IF(원생!$G165="","",원생!$G165),수납!$B:$B,$B$1&amp;"-"&amp;TEXT(2,"00")&amp;"*",수납!$E:$E,""))</f>
        <v/>
      </c>
      <c r="E167" s="14">
        <f>IF(원생!$A165="","",SUMIFS(수납!$F:$F,수납!$C:$C,원생!$A165,수납!$D:$D,IF(원생!$G165="","",원생!$G165),수납!$B:$B,$B$1&amp;"-"&amp;TEXT(3,"00")&amp;"*",수납!$E:$E,"수강료")+SUMIFS(수납!$F:$F,수납!$C:$C,원생!$A165,수납!$D:$D,IF(원생!$G165="","",원생!$G165),수납!$B:$B,$B$1&amp;"-"&amp;TEXT(3,"00")&amp;"*",수납!$E:$E,""))</f>
        <v/>
      </c>
      <c r="F167" s="14">
        <f>IF(원생!$A165="","",SUMIFS(수납!$F:$F,수납!$C:$C,원생!$A165,수납!$D:$D,IF(원생!$G165="","",원생!$G165),수납!$B:$B,$B$1&amp;"-"&amp;TEXT(4,"00")&amp;"*",수납!$E:$E,"수강료")+SUMIFS(수납!$F:$F,수납!$C:$C,원생!$A165,수납!$D:$D,IF(원생!$G165="","",원생!$G165),수납!$B:$B,$B$1&amp;"-"&amp;TEXT(4,"00")&amp;"*",수납!$E:$E,""))</f>
        <v/>
      </c>
      <c r="G167" s="14">
        <f>IF(원생!$A165="","",SUMIFS(수납!$F:$F,수납!$C:$C,원생!$A165,수납!$D:$D,IF(원생!$G165="","",원생!$G165),수납!$B:$B,$B$1&amp;"-"&amp;TEXT(5,"00")&amp;"*",수납!$E:$E,"수강료")+SUMIFS(수납!$F:$F,수납!$C:$C,원생!$A165,수납!$D:$D,IF(원생!$G165="","",원생!$G165),수납!$B:$B,$B$1&amp;"-"&amp;TEXT(5,"00")&amp;"*",수납!$E:$E,""))</f>
        <v/>
      </c>
      <c r="H167" s="14">
        <f>IF(원생!$A165="","",SUMIFS(수납!$F:$F,수납!$C:$C,원생!$A165,수납!$D:$D,IF(원생!$G165="","",원생!$G165),수납!$B:$B,$B$1&amp;"-"&amp;TEXT(6,"00")&amp;"*",수납!$E:$E,"수강료")+SUMIFS(수납!$F:$F,수납!$C:$C,원생!$A165,수납!$D:$D,IF(원생!$G165="","",원생!$G165),수납!$B:$B,$B$1&amp;"-"&amp;TEXT(6,"00")&amp;"*",수납!$E:$E,""))</f>
        <v/>
      </c>
      <c r="I167" s="14">
        <f>IF(원생!$A165="","",SUMIFS(수납!$F:$F,수납!$C:$C,원생!$A165,수납!$D:$D,IF(원생!$G165="","",원생!$G165),수납!$B:$B,$B$1&amp;"-"&amp;TEXT(7,"00")&amp;"*",수납!$E:$E,"수강료")+SUMIFS(수납!$F:$F,수납!$C:$C,원생!$A165,수납!$D:$D,IF(원생!$G165="","",원생!$G165),수납!$B:$B,$B$1&amp;"-"&amp;TEXT(7,"00")&amp;"*",수납!$E:$E,""))</f>
        <v/>
      </c>
      <c r="J167" s="14">
        <f>IF(원생!$A165="","",SUMIFS(수납!$F:$F,수납!$C:$C,원생!$A165,수납!$D:$D,IF(원생!$G165="","",원생!$G165),수납!$B:$B,$B$1&amp;"-"&amp;TEXT(8,"00")&amp;"*",수납!$E:$E,"수강료")+SUMIFS(수납!$F:$F,수납!$C:$C,원생!$A165,수납!$D:$D,IF(원생!$G165="","",원생!$G165),수납!$B:$B,$B$1&amp;"-"&amp;TEXT(8,"00")&amp;"*",수납!$E:$E,""))</f>
        <v/>
      </c>
      <c r="K167" s="14">
        <f>IF(원생!$A165="","",SUMIFS(수납!$F:$F,수납!$C:$C,원생!$A165,수납!$D:$D,IF(원생!$G165="","",원생!$G165),수납!$B:$B,$B$1&amp;"-"&amp;TEXT(9,"00")&amp;"*",수납!$E:$E,"수강료")+SUMIFS(수납!$F:$F,수납!$C:$C,원생!$A165,수납!$D:$D,IF(원생!$G165="","",원생!$G165),수납!$B:$B,$B$1&amp;"-"&amp;TEXT(9,"00")&amp;"*",수납!$E:$E,""))</f>
        <v/>
      </c>
      <c r="L167" s="14">
        <f>IF(원생!$A165="","",SUMIFS(수납!$F:$F,수납!$C:$C,원생!$A165,수납!$D:$D,IF(원생!$G165="","",원생!$G165),수납!$B:$B,$B$1&amp;"-"&amp;TEXT(10,"00")&amp;"*",수납!$E:$E,"수강료")+SUMIFS(수납!$F:$F,수납!$C:$C,원생!$A165,수납!$D:$D,IF(원생!$G165="","",원생!$G165),수납!$B:$B,$B$1&amp;"-"&amp;TEXT(10,"00")&amp;"*",수납!$E:$E,""))</f>
        <v/>
      </c>
      <c r="M167" s="14">
        <f>IF(원생!$A165="","",SUMIFS(수납!$F:$F,수납!$C:$C,원생!$A165,수납!$D:$D,IF(원생!$G165="","",원생!$G165),수납!$B:$B,$B$1&amp;"-"&amp;TEXT(11,"00")&amp;"*",수납!$E:$E,"수강료")+SUMIFS(수납!$F:$F,수납!$C:$C,원생!$A165,수납!$D:$D,IF(원생!$G165="","",원생!$G165),수납!$B:$B,$B$1&amp;"-"&amp;TEXT(11,"00")&amp;"*",수납!$E:$E,""))</f>
        <v/>
      </c>
      <c r="N167" s="14">
        <f>IF(원생!$A165="","",SUMIFS(수납!$F:$F,수납!$C:$C,원생!$A165,수납!$D:$D,IF(원생!$G165="","",원생!$G165),수납!$B:$B,$B$1&amp;"-"&amp;TEXT(12,"00")&amp;"*",수납!$E:$E,"수강료")+SUMIFS(수납!$F:$F,수납!$C:$C,원생!$A165,수납!$D:$D,IF(원생!$G165="","",원생!$G165),수납!$B:$B,$B$1&amp;"-"&amp;TEXT(12,"00")&amp;"*",수납!$E:$E,""))</f>
        <v/>
      </c>
      <c r="O167">
        <f>IF(원생!$I165="","",원생!$I165)</f>
        <v/>
      </c>
      <c r="P167">
        <f>IF($A167="","",IF(AND($B167&gt;0,C167&lt;$B167,DATE($B$1,1,1)&lt;=TODAY(),OR($O167="",$O167&gt;=DATE($B$1,1,1)),OR(COUNTIF($C167:C167,"&gt;0")&gt;0,DATE($B$1,1,1)=DATE(YEAR(TODAY()),MONTH(TODAY()),1))),1,0))</f>
        <v/>
      </c>
      <c r="Q167">
        <f>IF($A167="","",IF(AND($B167&gt;0,D167&lt;$B167,DATE($B$1,2,1)&lt;=TODAY(),OR($O167="",$O167&gt;=DATE($B$1,2,1)),OR(COUNTIF($C167:D167,"&gt;0")&gt;0,DATE($B$1,2,1)=DATE(YEAR(TODAY()),MONTH(TODAY()),1))),1,0))</f>
        <v/>
      </c>
      <c r="R167">
        <f>IF($A167="","",IF(AND($B167&gt;0,E167&lt;$B167,DATE($B$1,3,1)&lt;=TODAY(),OR($O167="",$O167&gt;=DATE($B$1,3,1)),OR(COUNTIF($C167:E167,"&gt;0")&gt;0,DATE($B$1,3,1)=DATE(YEAR(TODAY()),MONTH(TODAY()),1))),1,0))</f>
        <v/>
      </c>
      <c r="S167">
        <f>IF($A167="","",IF(AND($B167&gt;0,F167&lt;$B167,DATE($B$1,4,1)&lt;=TODAY(),OR($O167="",$O167&gt;=DATE($B$1,4,1)),OR(COUNTIF($C167:F167,"&gt;0")&gt;0,DATE($B$1,4,1)=DATE(YEAR(TODAY()),MONTH(TODAY()),1))),1,0))</f>
        <v/>
      </c>
      <c r="T167">
        <f>IF($A167="","",IF(AND($B167&gt;0,G167&lt;$B167,DATE($B$1,5,1)&lt;=TODAY(),OR($O167="",$O167&gt;=DATE($B$1,5,1)),OR(COUNTIF($C167:G167,"&gt;0")&gt;0,DATE($B$1,5,1)=DATE(YEAR(TODAY()),MONTH(TODAY()),1))),1,0))</f>
        <v/>
      </c>
      <c r="U167">
        <f>IF($A167="","",IF(AND($B167&gt;0,H167&lt;$B167,DATE($B$1,6,1)&lt;=TODAY(),OR($O167="",$O167&gt;=DATE($B$1,6,1)),OR(COUNTIF($C167:H167,"&gt;0")&gt;0,DATE($B$1,6,1)=DATE(YEAR(TODAY()),MONTH(TODAY()),1))),1,0))</f>
        <v/>
      </c>
      <c r="V167">
        <f>IF($A167="","",IF(AND($B167&gt;0,I167&lt;$B167,DATE($B$1,7,1)&lt;=TODAY(),OR($O167="",$O167&gt;=DATE($B$1,7,1)),OR(COUNTIF($C167:I167,"&gt;0")&gt;0,DATE($B$1,7,1)=DATE(YEAR(TODAY()),MONTH(TODAY()),1))),1,0))</f>
        <v/>
      </c>
      <c r="W167">
        <f>IF($A167="","",IF(AND($B167&gt;0,J167&lt;$B167,DATE($B$1,8,1)&lt;=TODAY(),OR($O167="",$O167&gt;=DATE($B$1,8,1)),OR(COUNTIF($C167:J167,"&gt;0")&gt;0,DATE($B$1,8,1)=DATE(YEAR(TODAY()),MONTH(TODAY()),1))),1,0))</f>
        <v/>
      </c>
      <c r="X167">
        <f>IF($A167="","",IF(AND($B167&gt;0,K167&lt;$B167,DATE($B$1,9,1)&lt;=TODAY(),OR($O167="",$O167&gt;=DATE($B$1,9,1)),OR(COUNTIF($C167:K167,"&gt;0")&gt;0,DATE($B$1,9,1)=DATE(YEAR(TODAY()),MONTH(TODAY()),1))),1,0))</f>
        <v/>
      </c>
      <c r="Y167">
        <f>IF($A167="","",IF(AND($B167&gt;0,L167&lt;$B167,DATE($B$1,10,1)&lt;=TODAY(),OR($O167="",$O167&gt;=DATE($B$1,10,1)),OR(COUNTIF($C167:L167,"&gt;0")&gt;0,DATE($B$1,10,1)=DATE(YEAR(TODAY()),MONTH(TODAY()),1))),1,0))</f>
        <v/>
      </c>
      <c r="Z167">
        <f>IF($A167="","",IF(AND($B167&gt;0,M167&lt;$B167,DATE($B$1,11,1)&lt;=TODAY(),OR($O167="",$O167&gt;=DATE($B$1,11,1)),OR(COUNTIF($C167:M167,"&gt;0")&gt;0,DATE($B$1,11,1)=DATE(YEAR(TODAY()),MONTH(TODAY()),1))),1,0))</f>
        <v/>
      </c>
      <c r="AA167">
        <f>IF($A167="","",IF(AND($B167&gt;0,N167&lt;$B167,DATE($B$1,12,1)&lt;=TODAY(),OR($O167="",$O167&gt;=DATE($B$1,12,1)),OR(COUNTIF($C167:N167,"&gt;0")&gt;0,DATE($B$1,12,1)=DATE(YEAR(TODAY()),MONTH(TODAY()),1))),1,0))</f>
        <v/>
      </c>
    </row>
    <row r="168">
      <c r="A168" s="13">
        <f>IF(원생!$A166="","",원생!$A166&amp;IF(원생!$G166="",""," ("&amp;원생!$G166&amp;")"))</f>
        <v/>
      </c>
      <c r="B168" s="8">
        <f>IF(원생!$A166="","",원생!$F166)</f>
        <v/>
      </c>
      <c r="C168" s="14">
        <f>IF(원생!$A166="","",SUMIFS(수납!$F:$F,수납!$C:$C,원생!$A166,수납!$D:$D,IF(원생!$G166="","",원생!$G166),수납!$B:$B,$B$1&amp;"-"&amp;TEXT(1,"00")&amp;"*",수납!$E:$E,"수강료")+SUMIFS(수납!$F:$F,수납!$C:$C,원생!$A166,수납!$D:$D,IF(원생!$G166="","",원생!$G166),수납!$B:$B,$B$1&amp;"-"&amp;TEXT(1,"00")&amp;"*",수납!$E:$E,""))</f>
        <v/>
      </c>
      <c r="D168" s="14">
        <f>IF(원생!$A166="","",SUMIFS(수납!$F:$F,수납!$C:$C,원생!$A166,수납!$D:$D,IF(원생!$G166="","",원생!$G166),수납!$B:$B,$B$1&amp;"-"&amp;TEXT(2,"00")&amp;"*",수납!$E:$E,"수강료")+SUMIFS(수납!$F:$F,수납!$C:$C,원생!$A166,수납!$D:$D,IF(원생!$G166="","",원생!$G166),수납!$B:$B,$B$1&amp;"-"&amp;TEXT(2,"00")&amp;"*",수납!$E:$E,""))</f>
        <v/>
      </c>
      <c r="E168" s="14">
        <f>IF(원생!$A166="","",SUMIFS(수납!$F:$F,수납!$C:$C,원생!$A166,수납!$D:$D,IF(원생!$G166="","",원생!$G166),수납!$B:$B,$B$1&amp;"-"&amp;TEXT(3,"00")&amp;"*",수납!$E:$E,"수강료")+SUMIFS(수납!$F:$F,수납!$C:$C,원생!$A166,수납!$D:$D,IF(원생!$G166="","",원생!$G166),수납!$B:$B,$B$1&amp;"-"&amp;TEXT(3,"00")&amp;"*",수납!$E:$E,""))</f>
        <v/>
      </c>
      <c r="F168" s="14">
        <f>IF(원생!$A166="","",SUMIFS(수납!$F:$F,수납!$C:$C,원생!$A166,수납!$D:$D,IF(원생!$G166="","",원생!$G166),수납!$B:$B,$B$1&amp;"-"&amp;TEXT(4,"00")&amp;"*",수납!$E:$E,"수강료")+SUMIFS(수납!$F:$F,수납!$C:$C,원생!$A166,수납!$D:$D,IF(원생!$G166="","",원생!$G166),수납!$B:$B,$B$1&amp;"-"&amp;TEXT(4,"00")&amp;"*",수납!$E:$E,""))</f>
        <v/>
      </c>
      <c r="G168" s="14">
        <f>IF(원생!$A166="","",SUMIFS(수납!$F:$F,수납!$C:$C,원생!$A166,수납!$D:$D,IF(원생!$G166="","",원생!$G166),수납!$B:$B,$B$1&amp;"-"&amp;TEXT(5,"00")&amp;"*",수납!$E:$E,"수강료")+SUMIFS(수납!$F:$F,수납!$C:$C,원생!$A166,수납!$D:$D,IF(원생!$G166="","",원생!$G166),수납!$B:$B,$B$1&amp;"-"&amp;TEXT(5,"00")&amp;"*",수납!$E:$E,""))</f>
        <v/>
      </c>
      <c r="H168" s="14">
        <f>IF(원생!$A166="","",SUMIFS(수납!$F:$F,수납!$C:$C,원생!$A166,수납!$D:$D,IF(원생!$G166="","",원생!$G166),수납!$B:$B,$B$1&amp;"-"&amp;TEXT(6,"00")&amp;"*",수납!$E:$E,"수강료")+SUMIFS(수납!$F:$F,수납!$C:$C,원생!$A166,수납!$D:$D,IF(원생!$G166="","",원생!$G166),수납!$B:$B,$B$1&amp;"-"&amp;TEXT(6,"00")&amp;"*",수납!$E:$E,""))</f>
        <v/>
      </c>
      <c r="I168" s="14">
        <f>IF(원생!$A166="","",SUMIFS(수납!$F:$F,수납!$C:$C,원생!$A166,수납!$D:$D,IF(원생!$G166="","",원생!$G166),수납!$B:$B,$B$1&amp;"-"&amp;TEXT(7,"00")&amp;"*",수납!$E:$E,"수강료")+SUMIFS(수납!$F:$F,수납!$C:$C,원생!$A166,수납!$D:$D,IF(원생!$G166="","",원생!$G166),수납!$B:$B,$B$1&amp;"-"&amp;TEXT(7,"00")&amp;"*",수납!$E:$E,""))</f>
        <v/>
      </c>
      <c r="J168" s="14">
        <f>IF(원생!$A166="","",SUMIFS(수납!$F:$F,수납!$C:$C,원생!$A166,수납!$D:$D,IF(원생!$G166="","",원생!$G166),수납!$B:$B,$B$1&amp;"-"&amp;TEXT(8,"00")&amp;"*",수납!$E:$E,"수강료")+SUMIFS(수납!$F:$F,수납!$C:$C,원생!$A166,수납!$D:$D,IF(원생!$G166="","",원생!$G166),수납!$B:$B,$B$1&amp;"-"&amp;TEXT(8,"00")&amp;"*",수납!$E:$E,""))</f>
        <v/>
      </c>
      <c r="K168" s="14">
        <f>IF(원생!$A166="","",SUMIFS(수납!$F:$F,수납!$C:$C,원생!$A166,수납!$D:$D,IF(원생!$G166="","",원생!$G166),수납!$B:$B,$B$1&amp;"-"&amp;TEXT(9,"00")&amp;"*",수납!$E:$E,"수강료")+SUMIFS(수납!$F:$F,수납!$C:$C,원생!$A166,수납!$D:$D,IF(원생!$G166="","",원생!$G166),수납!$B:$B,$B$1&amp;"-"&amp;TEXT(9,"00")&amp;"*",수납!$E:$E,""))</f>
        <v/>
      </c>
      <c r="L168" s="14">
        <f>IF(원생!$A166="","",SUMIFS(수납!$F:$F,수납!$C:$C,원생!$A166,수납!$D:$D,IF(원생!$G166="","",원생!$G166),수납!$B:$B,$B$1&amp;"-"&amp;TEXT(10,"00")&amp;"*",수납!$E:$E,"수강료")+SUMIFS(수납!$F:$F,수납!$C:$C,원생!$A166,수납!$D:$D,IF(원생!$G166="","",원생!$G166),수납!$B:$B,$B$1&amp;"-"&amp;TEXT(10,"00")&amp;"*",수납!$E:$E,""))</f>
        <v/>
      </c>
      <c r="M168" s="14">
        <f>IF(원생!$A166="","",SUMIFS(수납!$F:$F,수납!$C:$C,원생!$A166,수납!$D:$D,IF(원생!$G166="","",원생!$G166),수납!$B:$B,$B$1&amp;"-"&amp;TEXT(11,"00")&amp;"*",수납!$E:$E,"수강료")+SUMIFS(수납!$F:$F,수납!$C:$C,원생!$A166,수납!$D:$D,IF(원생!$G166="","",원생!$G166),수납!$B:$B,$B$1&amp;"-"&amp;TEXT(11,"00")&amp;"*",수납!$E:$E,""))</f>
        <v/>
      </c>
      <c r="N168" s="14">
        <f>IF(원생!$A166="","",SUMIFS(수납!$F:$F,수납!$C:$C,원생!$A166,수납!$D:$D,IF(원생!$G166="","",원생!$G166),수납!$B:$B,$B$1&amp;"-"&amp;TEXT(12,"00")&amp;"*",수납!$E:$E,"수강료")+SUMIFS(수납!$F:$F,수납!$C:$C,원생!$A166,수납!$D:$D,IF(원생!$G166="","",원생!$G166),수납!$B:$B,$B$1&amp;"-"&amp;TEXT(12,"00")&amp;"*",수납!$E:$E,""))</f>
        <v/>
      </c>
      <c r="O168">
        <f>IF(원생!$I166="","",원생!$I166)</f>
        <v/>
      </c>
      <c r="P168">
        <f>IF($A168="","",IF(AND($B168&gt;0,C168&lt;$B168,DATE($B$1,1,1)&lt;=TODAY(),OR($O168="",$O168&gt;=DATE($B$1,1,1)),OR(COUNTIF($C168:C168,"&gt;0")&gt;0,DATE($B$1,1,1)=DATE(YEAR(TODAY()),MONTH(TODAY()),1))),1,0))</f>
        <v/>
      </c>
      <c r="Q168">
        <f>IF($A168="","",IF(AND($B168&gt;0,D168&lt;$B168,DATE($B$1,2,1)&lt;=TODAY(),OR($O168="",$O168&gt;=DATE($B$1,2,1)),OR(COUNTIF($C168:D168,"&gt;0")&gt;0,DATE($B$1,2,1)=DATE(YEAR(TODAY()),MONTH(TODAY()),1))),1,0))</f>
        <v/>
      </c>
      <c r="R168">
        <f>IF($A168="","",IF(AND($B168&gt;0,E168&lt;$B168,DATE($B$1,3,1)&lt;=TODAY(),OR($O168="",$O168&gt;=DATE($B$1,3,1)),OR(COUNTIF($C168:E168,"&gt;0")&gt;0,DATE($B$1,3,1)=DATE(YEAR(TODAY()),MONTH(TODAY()),1))),1,0))</f>
        <v/>
      </c>
      <c r="S168">
        <f>IF($A168="","",IF(AND($B168&gt;0,F168&lt;$B168,DATE($B$1,4,1)&lt;=TODAY(),OR($O168="",$O168&gt;=DATE($B$1,4,1)),OR(COUNTIF($C168:F168,"&gt;0")&gt;0,DATE($B$1,4,1)=DATE(YEAR(TODAY()),MONTH(TODAY()),1))),1,0))</f>
        <v/>
      </c>
      <c r="T168">
        <f>IF($A168="","",IF(AND($B168&gt;0,G168&lt;$B168,DATE($B$1,5,1)&lt;=TODAY(),OR($O168="",$O168&gt;=DATE($B$1,5,1)),OR(COUNTIF($C168:G168,"&gt;0")&gt;0,DATE($B$1,5,1)=DATE(YEAR(TODAY()),MONTH(TODAY()),1))),1,0))</f>
        <v/>
      </c>
      <c r="U168">
        <f>IF($A168="","",IF(AND($B168&gt;0,H168&lt;$B168,DATE($B$1,6,1)&lt;=TODAY(),OR($O168="",$O168&gt;=DATE($B$1,6,1)),OR(COUNTIF($C168:H168,"&gt;0")&gt;0,DATE($B$1,6,1)=DATE(YEAR(TODAY()),MONTH(TODAY()),1))),1,0))</f>
        <v/>
      </c>
      <c r="V168">
        <f>IF($A168="","",IF(AND($B168&gt;0,I168&lt;$B168,DATE($B$1,7,1)&lt;=TODAY(),OR($O168="",$O168&gt;=DATE($B$1,7,1)),OR(COUNTIF($C168:I168,"&gt;0")&gt;0,DATE($B$1,7,1)=DATE(YEAR(TODAY()),MONTH(TODAY()),1))),1,0))</f>
        <v/>
      </c>
      <c r="W168">
        <f>IF($A168="","",IF(AND($B168&gt;0,J168&lt;$B168,DATE($B$1,8,1)&lt;=TODAY(),OR($O168="",$O168&gt;=DATE($B$1,8,1)),OR(COUNTIF($C168:J168,"&gt;0")&gt;0,DATE($B$1,8,1)=DATE(YEAR(TODAY()),MONTH(TODAY()),1))),1,0))</f>
        <v/>
      </c>
      <c r="X168">
        <f>IF($A168="","",IF(AND($B168&gt;0,K168&lt;$B168,DATE($B$1,9,1)&lt;=TODAY(),OR($O168="",$O168&gt;=DATE($B$1,9,1)),OR(COUNTIF($C168:K168,"&gt;0")&gt;0,DATE($B$1,9,1)=DATE(YEAR(TODAY()),MONTH(TODAY()),1))),1,0))</f>
        <v/>
      </c>
      <c r="Y168">
        <f>IF($A168="","",IF(AND($B168&gt;0,L168&lt;$B168,DATE($B$1,10,1)&lt;=TODAY(),OR($O168="",$O168&gt;=DATE($B$1,10,1)),OR(COUNTIF($C168:L168,"&gt;0")&gt;0,DATE($B$1,10,1)=DATE(YEAR(TODAY()),MONTH(TODAY()),1))),1,0))</f>
        <v/>
      </c>
      <c r="Z168">
        <f>IF($A168="","",IF(AND($B168&gt;0,M168&lt;$B168,DATE($B$1,11,1)&lt;=TODAY(),OR($O168="",$O168&gt;=DATE($B$1,11,1)),OR(COUNTIF($C168:M168,"&gt;0")&gt;0,DATE($B$1,11,1)=DATE(YEAR(TODAY()),MONTH(TODAY()),1))),1,0))</f>
        <v/>
      </c>
      <c r="AA168">
        <f>IF($A168="","",IF(AND($B168&gt;0,N168&lt;$B168,DATE($B$1,12,1)&lt;=TODAY(),OR($O168="",$O168&gt;=DATE($B$1,12,1)),OR(COUNTIF($C168:N168,"&gt;0")&gt;0,DATE($B$1,12,1)=DATE(YEAR(TODAY()),MONTH(TODAY()),1))),1,0))</f>
        <v/>
      </c>
    </row>
    <row r="169">
      <c r="A169" s="13">
        <f>IF(원생!$A167="","",원생!$A167&amp;IF(원생!$G167="",""," ("&amp;원생!$G167&amp;")"))</f>
        <v/>
      </c>
      <c r="B169" s="8">
        <f>IF(원생!$A167="","",원생!$F167)</f>
        <v/>
      </c>
      <c r="C169" s="14">
        <f>IF(원생!$A167="","",SUMIFS(수납!$F:$F,수납!$C:$C,원생!$A167,수납!$D:$D,IF(원생!$G167="","",원생!$G167),수납!$B:$B,$B$1&amp;"-"&amp;TEXT(1,"00")&amp;"*",수납!$E:$E,"수강료")+SUMIFS(수납!$F:$F,수납!$C:$C,원생!$A167,수납!$D:$D,IF(원생!$G167="","",원생!$G167),수납!$B:$B,$B$1&amp;"-"&amp;TEXT(1,"00")&amp;"*",수납!$E:$E,""))</f>
        <v/>
      </c>
      <c r="D169" s="14">
        <f>IF(원생!$A167="","",SUMIFS(수납!$F:$F,수납!$C:$C,원생!$A167,수납!$D:$D,IF(원생!$G167="","",원생!$G167),수납!$B:$B,$B$1&amp;"-"&amp;TEXT(2,"00")&amp;"*",수납!$E:$E,"수강료")+SUMIFS(수납!$F:$F,수납!$C:$C,원생!$A167,수납!$D:$D,IF(원생!$G167="","",원생!$G167),수납!$B:$B,$B$1&amp;"-"&amp;TEXT(2,"00")&amp;"*",수납!$E:$E,""))</f>
        <v/>
      </c>
      <c r="E169" s="14">
        <f>IF(원생!$A167="","",SUMIFS(수납!$F:$F,수납!$C:$C,원생!$A167,수납!$D:$D,IF(원생!$G167="","",원생!$G167),수납!$B:$B,$B$1&amp;"-"&amp;TEXT(3,"00")&amp;"*",수납!$E:$E,"수강료")+SUMIFS(수납!$F:$F,수납!$C:$C,원생!$A167,수납!$D:$D,IF(원생!$G167="","",원생!$G167),수납!$B:$B,$B$1&amp;"-"&amp;TEXT(3,"00")&amp;"*",수납!$E:$E,""))</f>
        <v/>
      </c>
      <c r="F169" s="14">
        <f>IF(원생!$A167="","",SUMIFS(수납!$F:$F,수납!$C:$C,원생!$A167,수납!$D:$D,IF(원생!$G167="","",원생!$G167),수납!$B:$B,$B$1&amp;"-"&amp;TEXT(4,"00")&amp;"*",수납!$E:$E,"수강료")+SUMIFS(수납!$F:$F,수납!$C:$C,원생!$A167,수납!$D:$D,IF(원생!$G167="","",원생!$G167),수납!$B:$B,$B$1&amp;"-"&amp;TEXT(4,"00")&amp;"*",수납!$E:$E,""))</f>
        <v/>
      </c>
      <c r="G169" s="14">
        <f>IF(원생!$A167="","",SUMIFS(수납!$F:$F,수납!$C:$C,원생!$A167,수납!$D:$D,IF(원생!$G167="","",원생!$G167),수납!$B:$B,$B$1&amp;"-"&amp;TEXT(5,"00")&amp;"*",수납!$E:$E,"수강료")+SUMIFS(수납!$F:$F,수납!$C:$C,원생!$A167,수납!$D:$D,IF(원생!$G167="","",원생!$G167),수납!$B:$B,$B$1&amp;"-"&amp;TEXT(5,"00")&amp;"*",수납!$E:$E,""))</f>
        <v/>
      </c>
      <c r="H169" s="14">
        <f>IF(원생!$A167="","",SUMIFS(수납!$F:$F,수납!$C:$C,원생!$A167,수납!$D:$D,IF(원생!$G167="","",원생!$G167),수납!$B:$B,$B$1&amp;"-"&amp;TEXT(6,"00")&amp;"*",수납!$E:$E,"수강료")+SUMIFS(수납!$F:$F,수납!$C:$C,원생!$A167,수납!$D:$D,IF(원생!$G167="","",원생!$G167),수납!$B:$B,$B$1&amp;"-"&amp;TEXT(6,"00")&amp;"*",수납!$E:$E,""))</f>
        <v/>
      </c>
      <c r="I169" s="14">
        <f>IF(원생!$A167="","",SUMIFS(수납!$F:$F,수납!$C:$C,원생!$A167,수납!$D:$D,IF(원생!$G167="","",원생!$G167),수납!$B:$B,$B$1&amp;"-"&amp;TEXT(7,"00")&amp;"*",수납!$E:$E,"수강료")+SUMIFS(수납!$F:$F,수납!$C:$C,원생!$A167,수납!$D:$D,IF(원생!$G167="","",원생!$G167),수납!$B:$B,$B$1&amp;"-"&amp;TEXT(7,"00")&amp;"*",수납!$E:$E,""))</f>
        <v/>
      </c>
      <c r="J169" s="14">
        <f>IF(원생!$A167="","",SUMIFS(수납!$F:$F,수납!$C:$C,원생!$A167,수납!$D:$D,IF(원생!$G167="","",원생!$G167),수납!$B:$B,$B$1&amp;"-"&amp;TEXT(8,"00")&amp;"*",수납!$E:$E,"수강료")+SUMIFS(수납!$F:$F,수납!$C:$C,원생!$A167,수납!$D:$D,IF(원생!$G167="","",원생!$G167),수납!$B:$B,$B$1&amp;"-"&amp;TEXT(8,"00")&amp;"*",수납!$E:$E,""))</f>
        <v/>
      </c>
      <c r="K169" s="14">
        <f>IF(원생!$A167="","",SUMIFS(수납!$F:$F,수납!$C:$C,원생!$A167,수납!$D:$D,IF(원생!$G167="","",원생!$G167),수납!$B:$B,$B$1&amp;"-"&amp;TEXT(9,"00")&amp;"*",수납!$E:$E,"수강료")+SUMIFS(수납!$F:$F,수납!$C:$C,원생!$A167,수납!$D:$D,IF(원생!$G167="","",원생!$G167),수납!$B:$B,$B$1&amp;"-"&amp;TEXT(9,"00")&amp;"*",수납!$E:$E,""))</f>
        <v/>
      </c>
      <c r="L169" s="14">
        <f>IF(원생!$A167="","",SUMIFS(수납!$F:$F,수납!$C:$C,원생!$A167,수납!$D:$D,IF(원생!$G167="","",원생!$G167),수납!$B:$B,$B$1&amp;"-"&amp;TEXT(10,"00")&amp;"*",수납!$E:$E,"수강료")+SUMIFS(수납!$F:$F,수납!$C:$C,원생!$A167,수납!$D:$D,IF(원생!$G167="","",원생!$G167),수납!$B:$B,$B$1&amp;"-"&amp;TEXT(10,"00")&amp;"*",수납!$E:$E,""))</f>
        <v/>
      </c>
      <c r="M169" s="14">
        <f>IF(원생!$A167="","",SUMIFS(수납!$F:$F,수납!$C:$C,원생!$A167,수납!$D:$D,IF(원생!$G167="","",원생!$G167),수납!$B:$B,$B$1&amp;"-"&amp;TEXT(11,"00")&amp;"*",수납!$E:$E,"수강료")+SUMIFS(수납!$F:$F,수납!$C:$C,원생!$A167,수납!$D:$D,IF(원생!$G167="","",원생!$G167),수납!$B:$B,$B$1&amp;"-"&amp;TEXT(11,"00")&amp;"*",수납!$E:$E,""))</f>
        <v/>
      </c>
      <c r="N169" s="14">
        <f>IF(원생!$A167="","",SUMIFS(수납!$F:$F,수납!$C:$C,원생!$A167,수납!$D:$D,IF(원생!$G167="","",원생!$G167),수납!$B:$B,$B$1&amp;"-"&amp;TEXT(12,"00")&amp;"*",수납!$E:$E,"수강료")+SUMIFS(수납!$F:$F,수납!$C:$C,원생!$A167,수납!$D:$D,IF(원생!$G167="","",원생!$G167),수납!$B:$B,$B$1&amp;"-"&amp;TEXT(12,"00")&amp;"*",수납!$E:$E,""))</f>
        <v/>
      </c>
      <c r="O169">
        <f>IF(원생!$I167="","",원생!$I167)</f>
        <v/>
      </c>
      <c r="P169">
        <f>IF($A169="","",IF(AND($B169&gt;0,C169&lt;$B169,DATE($B$1,1,1)&lt;=TODAY(),OR($O169="",$O169&gt;=DATE($B$1,1,1)),OR(COUNTIF($C169:C169,"&gt;0")&gt;0,DATE($B$1,1,1)=DATE(YEAR(TODAY()),MONTH(TODAY()),1))),1,0))</f>
        <v/>
      </c>
      <c r="Q169">
        <f>IF($A169="","",IF(AND($B169&gt;0,D169&lt;$B169,DATE($B$1,2,1)&lt;=TODAY(),OR($O169="",$O169&gt;=DATE($B$1,2,1)),OR(COUNTIF($C169:D169,"&gt;0")&gt;0,DATE($B$1,2,1)=DATE(YEAR(TODAY()),MONTH(TODAY()),1))),1,0))</f>
        <v/>
      </c>
      <c r="R169">
        <f>IF($A169="","",IF(AND($B169&gt;0,E169&lt;$B169,DATE($B$1,3,1)&lt;=TODAY(),OR($O169="",$O169&gt;=DATE($B$1,3,1)),OR(COUNTIF($C169:E169,"&gt;0")&gt;0,DATE($B$1,3,1)=DATE(YEAR(TODAY()),MONTH(TODAY()),1))),1,0))</f>
        <v/>
      </c>
      <c r="S169">
        <f>IF($A169="","",IF(AND($B169&gt;0,F169&lt;$B169,DATE($B$1,4,1)&lt;=TODAY(),OR($O169="",$O169&gt;=DATE($B$1,4,1)),OR(COUNTIF($C169:F169,"&gt;0")&gt;0,DATE($B$1,4,1)=DATE(YEAR(TODAY()),MONTH(TODAY()),1))),1,0))</f>
        <v/>
      </c>
      <c r="T169">
        <f>IF($A169="","",IF(AND($B169&gt;0,G169&lt;$B169,DATE($B$1,5,1)&lt;=TODAY(),OR($O169="",$O169&gt;=DATE($B$1,5,1)),OR(COUNTIF($C169:G169,"&gt;0")&gt;0,DATE($B$1,5,1)=DATE(YEAR(TODAY()),MONTH(TODAY()),1))),1,0))</f>
        <v/>
      </c>
      <c r="U169">
        <f>IF($A169="","",IF(AND($B169&gt;0,H169&lt;$B169,DATE($B$1,6,1)&lt;=TODAY(),OR($O169="",$O169&gt;=DATE($B$1,6,1)),OR(COUNTIF($C169:H169,"&gt;0")&gt;0,DATE($B$1,6,1)=DATE(YEAR(TODAY()),MONTH(TODAY()),1))),1,0))</f>
        <v/>
      </c>
      <c r="V169">
        <f>IF($A169="","",IF(AND($B169&gt;0,I169&lt;$B169,DATE($B$1,7,1)&lt;=TODAY(),OR($O169="",$O169&gt;=DATE($B$1,7,1)),OR(COUNTIF($C169:I169,"&gt;0")&gt;0,DATE($B$1,7,1)=DATE(YEAR(TODAY()),MONTH(TODAY()),1))),1,0))</f>
        <v/>
      </c>
      <c r="W169">
        <f>IF($A169="","",IF(AND($B169&gt;0,J169&lt;$B169,DATE($B$1,8,1)&lt;=TODAY(),OR($O169="",$O169&gt;=DATE($B$1,8,1)),OR(COUNTIF($C169:J169,"&gt;0")&gt;0,DATE($B$1,8,1)=DATE(YEAR(TODAY()),MONTH(TODAY()),1))),1,0))</f>
        <v/>
      </c>
      <c r="X169">
        <f>IF($A169="","",IF(AND($B169&gt;0,K169&lt;$B169,DATE($B$1,9,1)&lt;=TODAY(),OR($O169="",$O169&gt;=DATE($B$1,9,1)),OR(COUNTIF($C169:K169,"&gt;0")&gt;0,DATE($B$1,9,1)=DATE(YEAR(TODAY()),MONTH(TODAY()),1))),1,0))</f>
        <v/>
      </c>
      <c r="Y169">
        <f>IF($A169="","",IF(AND($B169&gt;0,L169&lt;$B169,DATE($B$1,10,1)&lt;=TODAY(),OR($O169="",$O169&gt;=DATE($B$1,10,1)),OR(COUNTIF($C169:L169,"&gt;0")&gt;0,DATE($B$1,10,1)=DATE(YEAR(TODAY()),MONTH(TODAY()),1))),1,0))</f>
        <v/>
      </c>
      <c r="Z169">
        <f>IF($A169="","",IF(AND($B169&gt;0,M169&lt;$B169,DATE($B$1,11,1)&lt;=TODAY(),OR($O169="",$O169&gt;=DATE($B$1,11,1)),OR(COUNTIF($C169:M169,"&gt;0")&gt;0,DATE($B$1,11,1)=DATE(YEAR(TODAY()),MONTH(TODAY()),1))),1,0))</f>
        <v/>
      </c>
      <c r="AA169">
        <f>IF($A169="","",IF(AND($B169&gt;0,N169&lt;$B169,DATE($B$1,12,1)&lt;=TODAY(),OR($O169="",$O169&gt;=DATE($B$1,12,1)),OR(COUNTIF($C169:N169,"&gt;0")&gt;0,DATE($B$1,12,1)=DATE(YEAR(TODAY()),MONTH(TODAY()),1))),1,0))</f>
        <v/>
      </c>
    </row>
    <row r="170">
      <c r="A170" s="13">
        <f>IF(원생!$A168="","",원생!$A168&amp;IF(원생!$G168="",""," ("&amp;원생!$G168&amp;")"))</f>
        <v/>
      </c>
      <c r="B170" s="8">
        <f>IF(원생!$A168="","",원생!$F168)</f>
        <v/>
      </c>
      <c r="C170" s="14">
        <f>IF(원생!$A168="","",SUMIFS(수납!$F:$F,수납!$C:$C,원생!$A168,수납!$D:$D,IF(원생!$G168="","",원생!$G168),수납!$B:$B,$B$1&amp;"-"&amp;TEXT(1,"00")&amp;"*",수납!$E:$E,"수강료")+SUMIFS(수납!$F:$F,수납!$C:$C,원생!$A168,수납!$D:$D,IF(원생!$G168="","",원생!$G168),수납!$B:$B,$B$1&amp;"-"&amp;TEXT(1,"00")&amp;"*",수납!$E:$E,""))</f>
        <v/>
      </c>
      <c r="D170" s="14">
        <f>IF(원생!$A168="","",SUMIFS(수납!$F:$F,수납!$C:$C,원생!$A168,수납!$D:$D,IF(원생!$G168="","",원생!$G168),수납!$B:$B,$B$1&amp;"-"&amp;TEXT(2,"00")&amp;"*",수납!$E:$E,"수강료")+SUMIFS(수납!$F:$F,수납!$C:$C,원생!$A168,수납!$D:$D,IF(원생!$G168="","",원생!$G168),수납!$B:$B,$B$1&amp;"-"&amp;TEXT(2,"00")&amp;"*",수납!$E:$E,""))</f>
        <v/>
      </c>
      <c r="E170" s="14">
        <f>IF(원생!$A168="","",SUMIFS(수납!$F:$F,수납!$C:$C,원생!$A168,수납!$D:$D,IF(원생!$G168="","",원생!$G168),수납!$B:$B,$B$1&amp;"-"&amp;TEXT(3,"00")&amp;"*",수납!$E:$E,"수강료")+SUMIFS(수납!$F:$F,수납!$C:$C,원생!$A168,수납!$D:$D,IF(원생!$G168="","",원생!$G168),수납!$B:$B,$B$1&amp;"-"&amp;TEXT(3,"00")&amp;"*",수납!$E:$E,""))</f>
        <v/>
      </c>
      <c r="F170" s="14">
        <f>IF(원생!$A168="","",SUMIFS(수납!$F:$F,수납!$C:$C,원생!$A168,수납!$D:$D,IF(원생!$G168="","",원생!$G168),수납!$B:$B,$B$1&amp;"-"&amp;TEXT(4,"00")&amp;"*",수납!$E:$E,"수강료")+SUMIFS(수납!$F:$F,수납!$C:$C,원생!$A168,수납!$D:$D,IF(원생!$G168="","",원생!$G168),수납!$B:$B,$B$1&amp;"-"&amp;TEXT(4,"00")&amp;"*",수납!$E:$E,""))</f>
        <v/>
      </c>
      <c r="G170" s="14">
        <f>IF(원생!$A168="","",SUMIFS(수납!$F:$F,수납!$C:$C,원생!$A168,수납!$D:$D,IF(원생!$G168="","",원생!$G168),수납!$B:$B,$B$1&amp;"-"&amp;TEXT(5,"00")&amp;"*",수납!$E:$E,"수강료")+SUMIFS(수납!$F:$F,수납!$C:$C,원생!$A168,수납!$D:$D,IF(원생!$G168="","",원생!$G168),수납!$B:$B,$B$1&amp;"-"&amp;TEXT(5,"00")&amp;"*",수납!$E:$E,""))</f>
        <v/>
      </c>
      <c r="H170" s="14">
        <f>IF(원생!$A168="","",SUMIFS(수납!$F:$F,수납!$C:$C,원생!$A168,수납!$D:$D,IF(원생!$G168="","",원생!$G168),수납!$B:$B,$B$1&amp;"-"&amp;TEXT(6,"00")&amp;"*",수납!$E:$E,"수강료")+SUMIFS(수납!$F:$F,수납!$C:$C,원생!$A168,수납!$D:$D,IF(원생!$G168="","",원생!$G168),수납!$B:$B,$B$1&amp;"-"&amp;TEXT(6,"00")&amp;"*",수납!$E:$E,""))</f>
        <v/>
      </c>
      <c r="I170" s="14">
        <f>IF(원생!$A168="","",SUMIFS(수납!$F:$F,수납!$C:$C,원생!$A168,수납!$D:$D,IF(원생!$G168="","",원생!$G168),수납!$B:$B,$B$1&amp;"-"&amp;TEXT(7,"00")&amp;"*",수납!$E:$E,"수강료")+SUMIFS(수납!$F:$F,수납!$C:$C,원생!$A168,수납!$D:$D,IF(원생!$G168="","",원생!$G168),수납!$B:$B,$B$1&amp;"-"&amp;TEXT(7,"00")&amp;"*",수납!$E:$E,""))</f>
        <v/>
      </c>
      <c r="J170" s="14">
        <f>IF(원생!$A168="","",SUMIFS(수납!$F:$F,수납!$C:$C,원생!$A168,수납!$D:$D,IF(원생!$G168="","",원생!$G168),수납!$B:$B,$B$1&amp;"-"&amp;TEXT(8,"00")&amp;"*",수납!$E:$E,"수강료")+SUMIFS(수납!$F:$F,수납!$C:$C,원생!$A168,수납!$D:$D,IF(원생!$G168="","",원생!$G168),수납!$B:$B,$B$1&amp;"-"&amp;TEXT(8,"00")&amp;"*",수납!$E:$E,""))</f>
        <v/>
      </c>
      <c r="K170" s="14">
        <f>IF(원생!$A168="","",SUMIFS(수납!$F:$F,수납!$C:$C,원생!$A168,수납!$D:$D,IF(원생!$G168="","",원생!$G168),수납!$B:$B,$B$1&amp;"-"&amp;TEXT(9,"00")&amp;"*",수납!$E:$E,"수강료")+SUMIFS(수납!$F:$F,수납!$C:$C,원생!$A168,수납!$D:$D,IF(원생!$G168="","",원생!$G168),수납!$B:$B,$B$1&amp;"-"&amp;TEXT(9,"00")&amp;"*",수납!$E:$E,""))</f>
        <v/>
      </c>
      <c r="L170" s="14">
        <f>IF(원생!$A168="","",SUMIFS(수납!$F:$F,수납!$C:$C,원생!$A168,수납!$D:$D,IF(원생!$G168="","",원생!$G168),수납!$B:$B,$B$1&amp;"-"&amp;TEXT(10,"00")&amp;"*",수납!$E:$E,"수강료")+SUMIFS(수납!$F:$F,수납!$C:$C,원생!$A168,수납!$D:$D,IF(원생!$G168="","",원생!$G168),수납!$B:$B,$B$1&amp;"-"&amp;TEXT(10,"00")&amp;"*",수납!$E:$E,""))</f>
        <v/>
      </c>
      <c r="M170" s="14">
        <f>IF(원생!$A168="","",SUMIFS(수납!$F:$F,수납!$C:$C,원생!$A168,수납!$D:$D,IF(원생!$G168="","",원생!$G168),수납!$B:$B,$B$1&amp;"-"&amp;TEXT(11,"00")&amp;"*",수납!$E:$E,"수강료")+SUMIFS(수납!$F:$F,수납!$C:$C,원생!$A168,수납!$D:$D,IF(원생!$G168="","",원생!$G168),수납!$B:$B,$B$1&amp;"-"&amp;TEXT(11,"00")&amp;"*",수납!$E:$E,""))</f>
        <v/>
      </c>
      <c r="N170" s="14">
        <f>IF(원생!$A168="","",SUMIFS(수납!$F:$F,수납!$C:$C,원생!$A168,수납!$D:$D,IF(원생!$G168="","",원생!$G168),수납!$B:$B,$B$1&amp;"-"&amp;TEXT(12,"00")&amp;"*",수납!$E:$E,"수강료")+SUMIFS(수납!$F:$F,수납!$C:$C,원생!$A168,수납!$D:$D,IF(원생!$G168="","",원생!$G168),수납!$B:$B,$B$1&amp;"-"&amp;TEXT(12,"00")&amp;"*",수납!$E:$E,""))</f>
        <v/>
      </c>
      <c r="O170">
        <f>IF(원생!$I168="","",원생!$I168)</f>
        <v/>
      </c>
      <c r="P170">
        <f>IF($A170="","",IF(AND($B170&gt;0,C170&lt;$B170,DATE($B$1,1,1)&lt;=TODAY(),OR($O170="",$O170&gt;=DATE($B$1,1,1)),OR(COUNTIF($C170:C170,"&gt;0")&gt;0,DATE($B$1,1,1)=DATE(YEAR(TODAY()),MONTH(TODAY()),1))),1,0))</f>
        <v/>
      </c>
      <c r="Q170">
        <f>IF($A170="","",IF(AND($B170&gt;0,D170&lt;$B170,DATE($B$1,2,1)&lt;=TODAY(),OR($O170="",$O170&gt;=DATE($B$1,2,1)),OR(COUNTIF($C170:D170,"&gt;0")&gt;0,DATE($B$1,2,1)=DATE(YEAR(TODAY()),MONTH(TODAY()),1))),1,0))</f>
        <v/>
      </c>
      <c r="R170">
        <f>IF($A170="","",IF(AND($B170&gt;0,E170&lt;$B170,DATE($B$1,3,1)&lt;=TODAY(),OR($O170="",$O170&gt;=DATE($B$1,3,1)),OR(COUNTIF($C170:E170,"&gt;0")&gt;0,DATE($B$1,3,1)=DATE(YEAR(TODAY()),MONTH(TODAY()),1))),1,0))</f>
        <v/>
      </c>
      <c r="S170">
        <f>IF($A170="","",IF(AND($B170&gt;0,F170&lt;$B170,DATE($B$1,4,1)&lt;=TODAY(),OR($O170="",$O170&gt;=DATE($B$1,4,1)),OR(COUNTIF($C170:F170,"&gt;0")&gt;0,DATE($B$1,4,1)=DATE(YEAR(TODAY()),MONTH(TODAY()),1))),1,0))</f>
        <v/>
      </c>
      <c r="T170">
        <f>IF($A170="","",IF(AND($B170&gt;0,G170&lt;$B170,DATE($B$1,5,1)&lt;=TODAY(),OR($O170="",$O170&gt;=DATE($B$1,5,1)),OR(COUNTIF($C170:G170,"&gt;0")&gt;0,DATE($B$1,5,1)=DATE(YEAR(TODAY()),MONTH(TODAY()),1))),1,0))</f>
        <v/>
      </c>
      <c r="U170">
        <f>IF($A170="","",IF(AND($B170&gt;0,H170&lt;$B170,DATE($B$1,6,1)&lt;=TODAY(),OR($O170="",$O170&gt;=DATE($B$1,6,1)),OR(COUNTIF($C170:H170,"&gt;0")&gt;0,DATE($B$1,6,1)=DATE(YEAR(TODAY()),MONTH(TODAY()),1))),1,0))</f>
        <v/>
      </c>
      <c r="V170">
        <f>IF($A170="","",IF(AND($B170&gt;0,I170&lt;$B170,DATE($B$1,7,1)&lt;=TODAY(),OR($O170="",$O170&gt;=DATE($B$1,7,1)),OR(COUNTIF($C170:I170,"&gt;0")&gt;0,DATE($B$1,7,1)=DATE(YEAR(TODAY()),MONTH(TODAY()),1))),1,0))</f>
        <v/>
      </c>
      <c r="W170">
        <f>IF($A170="","",IF(AND($B170&gt;0,J170&lt;$B170,DATE($B$1,8,1)&lt;=TODAY(),OR($O170="",$O170&gt;=DATE($B$1,8,1)),OR(COUNTIF($C170:J170,"&gt;0")&gt;0,DATE($B$1,8,1)=DATE(YEAR(TODAY()),MONTH(TODAY()),1))),1,0))</f>
        <v/>
      </c>
      <c r="X170">
        <f>IF($A170="","",IF(AND($B170&gt;0,K170&lt;$B170,DATE($B$1,9,1)&lt;=TODAY(),OR($O170="",$O170&gt;=DATE($B$1,9,1)),OR(COUNTIF($C170:K170,"&gt;0")&gt;0,DATE($B$1,9,1)=DATE(YEAR(TODAY()),MONTH(TODAY()),1))),1,0))</f>
        <v/>
      </c>
      <c r="Y170">
        <f>IF($A170="","",IF(AND($B170&gt;0,L170&lt;$B170,DATE($B$1,10,1)&lt;=TODAY(),OR($O170="",$O170&gt;=DATE($B$1,10,1)),OR(COUNTIF($C170:L170,"&gt;0")&gt;0,DATE($B$1,10,1)=DATE(YEAR(TODAY()),MONTH(TODAY()),1))),1,0))</f>
        <v/>
      </c>
      <c r="Z170">
        <f>IF($A170="","",IF(AND($B170&gt;0,M170&lt;$B170,DATE($B$1,11,1)&lt;=TODAY(),OR($O170="",$O170&gt;=DATE($B$1,11,1)),OR(COUNTIF($C170:M170,"&gt;0")&gt;0,DATE($B$1,11,1)=DATE(YEAR(TODAY()),MONTH(TODAY()),1))),1,0))</f>
        <v/>
      </c>
      <c r="AA170">
        <f>IF($A170="","",IF(AND($B170&gt;0,N170&lt;$B170,DATE($B$1,12,1)&lt;=TODAY(),OR($O170="",$O170&gt;=DATE($B$1,12,1)),OR(COUNTIF($C170:N170,"&gt;0")&gt;0,DATE($B$1,12,1)=DATE(YEAR(TODAY()),MONTH(TODAY()),1))),1,0))</f>
        <v/>
      </c>
    </row>
    <row r="171">
      <c r="A171" s="13">
        <f>IF(원생!$A169="","",원생!$A169&amp;IF(원생!$G169="",""," ("&amp;원생!$G169&amp;")"))</f>
        <v/>
      </c>
      <c r="B171" s="8">
        <f>IF(원생!$A169="","",원생!$F169)</f>
        <v/>
      </c>
      <c r="C171" s="14">
        <f>IF(원생!$A169="","",SUMIFS(수납!$F:$F,수납!$C:$C,원생!$A169,수납!$D:$D,IF(원생!$G169="","",원생!$G169),수납!$B:$B,$B$1&amp;"-"&amp;TEXT(1,"00")&amp;"*",수납!$E:$E,"수강료")+SUMIFS(수납!$F:$F,수납!$C:$C,원생!$A169,수납!$D:$D,IF(원생!$G169="","",원생!$G169),수납!$B:$B,$B$1&amp;"-"&amp;TEXT(1,"00")&amp;"*",수납!$E:$E,""))</f>
        <v/>
      </c>
      <c r="D171" s="14">
        <f>IF(원생!$A169="","",SUMIFS(수납!$F:$F,수납!$C:$C,원생!$A169,수납!$D:$D,IF(원생!$G169="","",원생!$G169),수납!$B:$B,$B$1&amp;"-"&amp;TEXT(2,"00")&amp;"*",수납!$E:$E,"수강료")+SUMIFS(수납!$F:$F,수납!$C:$C,원생!$A169,수납!$D:$D,IF(원생!$G169="","",원생!$G169),수납!$B:$B,$B$1&amp;"-"&amp;TEXT(2,"00")&amp;"*",수납!$E:$E,""))</f>
        <v/>
      </c>
      <c r="E171" s="14">
        <f>IF(원생!$A169="","",SUMIFS(수납!$F:$F,수납!$C:$C,원생!$A169,수납!$D:$D,IF(원생!$G169="","",원생!$G169),수납!$B:$B,$B$1&amp;"-"&amp;TEXT(3,"00")&amp;"*",수납!$E:$E,"수강료")+SUMIFS(수납!$F:$F,수납!$C:$C,원생!$A169,수납!$D:$D,IF(원생!$G169="","",원생!$G169),수납!$B:$B,$B$1&amp;"-"&amp;TEXT(3,"00")&amp;"*",수납!$E:$E,""))</f>
        <v/>
      </c>
      <c r="F171" s="14">
        <f>IF(원생!$A169="","",SUMIFS(수납!$F:$F,수납!$C:$C,원생!$A169,수납!$D:$D,IF(원생!$G169="","",원생!$G169),수납!$B:$B,$B$1&amp;"-"&amp;TEXT(4,"00")&amp;"*",수납!$E:$E,"수강료")+SUMIFS(수납!$F:$F,수납!$C:$C,원생!$A169,수납!$D:$D,IF(원생!$G169="","",원생!$G169),수납!$B:$B,$B$1&amp;"-"&amp;TEXT(4,"00")&amp;"*",수납!$E:$E,""))</f>
        <v/>
      </c>
      <c r="G171" s="14">
        <f>IF(원생!$A169="","",SUMIFS(수납!$F:$F,수납!$C:$C,원생!$A169,수납!$D:$D,IF(원생!$G169="","",원생!$G169),수납!$B:$B,$B$1&amp;"-"&amp;TEXT(5,"00")&amp;"*",수납!$E:$E,"수강료")+SUMIFS(수납!$F:$F,수납!$C:$C,원생!$A169,수납!$D:$D,IF(원생!$G169="","",원생!$G169),수납!$B:$B,$B$1&amp;"-"&amp;TEXT(5,"00")&amp;"*",수납!$E:$E,""))</f>
        <v/>
      </c>
      <c r="H171" s="14">
        <f>IF(원생!$A169="","",SUMIFS(수납!$F:$F,수납!$C:$C,원생!$A169,수납!$D:$D,IF(원생!$G169="","",원생!$G169),수납!$B:$B,$B$1&amp;"-"&amp;TEXT(6,"00")&amp;"*",수납!$E:$E,"수강료")+SUMIFS(수납!$F:$F,수납!$C:$C,원생!$A169,수납!$D:$D,IF(원생!$G169="","",원생!$G169),수납!$B:$B,$B$1&amp;"-"&amp;TEXT(6,"00")&amp;"*",수납!$E:$E,""))</f>
        <v/>
      </c>
      <c r="I171" s="14">
        <f>IF(원생!$A169="","",SUMIFS(수납!$F:$F,수납!$C:$C,원생!$A169,수납!$D:$D,IF(원생!$G169="","",원생!$G169),수납!$B:$B,$B$1&amp;"-"&amp;TEXT(7,"00")&amp;"*",수납!$E:$E,"수강료")+SUMIFS(수납!$F:$F,수납!$C:$C,원생!$A169,수납!$D:$D,IF(원생!$G169="","",원생!$G169),수납!$B:$B,$B$1&amp;"-"&amp;TEXT(7,"00")&amp;"*",수납!$E:$E,""))</f>
        <v/>
      </c>
      <c r="J171" s="14">
        <f>IF(원생!$A169="","",SUMIFS(수납!$F:$F,수납!$C:$C,원생!$A169,수납!$D:$D,IF(원생!$G169="","",원생!$G169),수납!$B:$B,$B$1&amp;"-"&amp;TEXT(8,"00")&amp;"*",수납!$E:$E,"수강료")+SUMIFS(수납!$F:$F,수납!$C:$C,원생!$A169,수납!$D:$D,IF(원생!$G169="","",원생!$G169),수납!$B:$B,$B$1&amp;"-"&amp;TEXT(8,"00")&amp;"*",수납!$E:$E,""))</f>
        <v/>
      </c>
      <c r="K171" s="14">
        <f>IF(원생!$A169="","",SUMIFS(수납!$F:$F,수납!$C:$C,원생!$A169,수납!$D:$D,IF(원생!$G169="","",원생!$G169),수납!$B:$B,$B$1&amp;"-"&amp;TEXT(9,"00")&amp;"*",수납!$E:$E,"수강료")+SUMIFS(수납!$F:$F,수납!$C:$C,원생!$A169,수납!$D:$D,IF(원생!$G169="","",원생!$G169),수납!$B:$B,$B$1&amp;"-"&amp;TEXT(9,"00")&amp;"*",수납!$E:$E,""))</f>
        <v/>
      </c>
      <c r="L171" s="14">
        <f>IF(원생!$A169="","",SUMIFS(수납!$F:$F,수납!$C:$C,원생!$A169,수납!$D:$D,IF(원생!$G169="","",원생!$G169),수납!$B:$B,$B$1&amp;"-"&amp;TEXT(10,"00")&amp;"*",수납!$E:$E,"수강료")+SUMIFS(수납!$F:$F,수납!$C:$C,원생!$A169,수납!$D:$D,IF(원생!$G169="","",원생!$G169),수납!$B:$B,$B$1&amp;"-"&amp;TEXT(10,"00")&amp;"*",수납!$E:$E,""))</f>
        <v/>
      </c>
      <c r="M171" s="14">
        <f>IF(원생!$A169="","",SUMIFS(수납!$F:$F,수납!$C:$C,원생!$A169,수납!$D:$D,IF(원생!$G169="","",원생!$G169),수납!$B:$B,$B$1&amp;"-"&amp;TEXT(11,"00")&amp;"*",수납!$E:$E,"수강료")+SUMIFS(수납!$F:$F,수납!$C:$C,원생!$A169,수납!$D:$D,IF(원생!$G169="","",원생!$G169),수납!$B:$B,$B$1&amp;"-"&amp;TEXT(11,"00")&amp;"*",수납!$E:$E,""))</f>
        <v/>
      </c>
      <c r="N171" s="14">
        <f>IF(원생!$A169="","",SUMIFS(수납!$F:$F,수납!$C:$C,원생!$A169,수납!$D:$D,IF(원생!$G169="","",원생!$G169),수납!$B:$B,$B$1&amp;"-"&amp;TEXT(12,"00")&amp;"*",수납!$E:$E,"수강료")+SUMIFS(수납!$F:$F,수납!$C:$C,원생!$A169,수납!$D:$D,IF(원생!$G169="","",원생!$G169),수납!$B:$B,$B$1&amp;"-"&amp;TEXT(12,"00")&amp;"*",수납!$E:$E,""))</f>
        <v/>
      </c>
      <c r="O171">
        <f>IF(원생!$I169="","",원생!$I169)</f>
        <v/>
      </c>
      <c r="P171">
        <f>IF($A171="","",IF(AND($B171&gt;0,C171&lt;$B171,DATE($B$1,1,1)&lt;=TODAY(),OR($O171="",$O171&gt;=DATE($B$1,1,1)),OR(COUNTIF($C171:C171,"&gt;0")&gt;0,DATE($B$1,1,1)=DATE(YEAR(TODAY()),MONTH(TODAY()),1))),1,0))</f>
        <v/>
      </c>
      <c r="Q171">
        <f>IF($A171="","",IF(AND($B171&gt;0,D171&lt;$B171,DATE($B$1,2,1)&lt;=TODAY(),OR($O171="",$O171&gt;=DATE($B$1,2,1)),OR(COUNTIF($C171:D171,"&gt;0")&gt;0,DATE($B$1,2,1)=DATE(YEAR(TODAY()),MONTH(TODAY()),1))),1,0))</f>
        <v/>
      </c>
      <c r="R171">
        <f>IF($A171="","",IF(AND($B171&gt;0,E171&lt;$B171,DATE($B$1,3,1)&lt;=TODAY(),OR($O171="",$O171&gt;=DATE($B$1,3,1)),OR(COUNTIF($C171:E171,"&gt;0")&gt;0,DATE($B$1,3,1)=DATE(YEAR(TODAY()),MONTH(TODAY()),1))),1,0))</f>
        <v/>
      </c>
      <c r="S171">
        <f>IF($A171="","",IF(AND($B171&gt;0,F171&lt;$B171,DATE($B$1,4,1)&lt;=TODAY(),OR($O171="",$O171&gt;=DATE($B$1,4,1)),OR(COUNTIF($C171:F171,"&gt;0")&gt;0,DATE($B$1,4,1)=DATE(YEAR(TODAY()),MONTH(TODAY()),1))),1,0))</f>
        <v/>
      </c>
      <c r="T171">
        <f>IF($A171="","",IF(AND($B171&gt;0,G171&lt;$B171,DATE($B$1,5,1)&lt;=TODAY(),OR($O171="",$O171&gt;=DATE($B$1,5,1)),OR(COUNTIF($C171:G171,"&gt;0")&gt;0,DATE($B$1,5,1)=DATE(YEAR(TODAY()),MONTH(TODAY()),1))),1,0))</f>
        <v/>
      </c>
      <c r="U171">
        <f>IF($A171="","",IF(AND($B171&gt;0,H171&lt;$B171,DATE($B$1,6,1)&lt;=TODAY(),OR($O171="",$O171&gt;=DATE($B$1,6,1)),OR(COUNTIF($C171:H171,"&gt;0")&gt;0,DATE($B$1,6,1)=DATE(YEAR(TODAY()),MONTH(TODAY()),1))),1,0))</f>
        <v/>
      </c>
      <c r="V171">
        <f>IF($A171="","",IF(AND($B171&gt;0,I171&lt;$B171,DATE($B$1,7,1)&lt;=TODAY(),OR($O171="",$O171&gt;=DATE($B$1,7,1)),OR(COUNTIF($C171:I171,"&gt;0")&gt;0,DATE($B$1,7,1)=DATE(YEAR(TODAY()),MONTH(TODAY()),1))),1,0))</f>
        <v/>
      </c>
      <c r="W171">
        <f>IF($A171="","",IF(AND($B171&gt;0,J171&lt;$B171,DATE($B$1,8,1)&lt;=TODAY(),OR($O171="",$O171&gt;=DATE($B$1,8,1)),OR(COUNTIF($C171:J171,"&gt;0")&gt;0,DATE($B$1,8,1)=DATE(YEAR(TODAY()),MONTH(TODAY()),1))),1,0))</f>
        <v/>
      </c>
      <c r="X171">
        <f>IF($A171="","",IF(AND($B171&gt;0,K171&lt;$B171,DATE($B$1,9,1)&lt;=TODAY(),OR($O171="",$O171&gt;=DATE($B$1,9,1)),OR(COUNTIF($C171:K171,"&gt;0")&gt;0,DATE($B$1,9,1)=DATE(YEAR(TODAY()),MONTH(TODAY()),1))),1,0))</f>
        <v/>
      </c>
      <c r="Y171">
        <f>IF($A171="","",IF(AND($B171&gt;0,L171&lt;$B171,DATE($B$1,10,1)&lt;=TODAY(),OR($O171="",$O171&gt;=DATE($B$1,10,1)),OR(COUNTIF($C171:L171,"&gt;0")&gt;0,DATE($B$1,10,1)=DATE(YEAR(TODAY()),MONTH(TODAY()),1))),1,0))</f>
        <v/>
      </c>
      <c r="Z171">
        <f>IF($A171="","",IF(AND($B171&gt;0,M171&lt;$B171,DATE($B$1,11,1)&lt;=TODAY(),OR($O171="",$O171&gt;=DATE($B$1,11,1)),OR(COUNTIF($C171:M171,"&gt;0")&gt;0,DATE($B$1,11,1)=DATE(YEAR(TODAY()),MONTH(TODAY()),1))),1,0))</f>
        <v/>
      </c>
      <c r="AA171">
        <f>IF($A171="","",IF(AND($B171&gt;0,N171&lt;$B171,DATE($B$1,12,1)&lt;=TODAY(),OR($O171="",$O171&gt;=DATE($B$1,12,1)),OR(COUNTIF($C171:N171,"&gt;0")&gt;0,DATE($B$1,12,1)=DATE(YEAR(TODAY()),MONTH(TODAY()),1))),1,0))</f>
        <v/>
      </c>
    </row>
    <row r="172">
      <c r="A172" s="13">
        <f>IF(원생!$A170="","",원생!$A170&amp;IF(원생!$G170="",""," ("&amp;원생!$G170&amp;")"))</f>
        <v/>
      </c>
      <c r="B172" s="8">
        <f>IF(원생!$A170="","",원생!$F170)</f>
        <v/>
      </c>
      <c r="C172" s="14">
        <f>IF(원생!$A170="","",SUMIFS(수납!$F:$F,수납!$C:$C,원생!$A170,수납!$D:$D,IF(원생!$G170="","",원생!$G170),수납!$B:$B,$B$1&amp;"-"&amp;TEXT(1,"00")&amp;"*",수납!$E:$E,"수강료")+SUMIFS(수납!$F:$F,수납!$C:$C,원생!$A170,수납!$D:$D,IF(원생!$G170="","",원생!$G170),수납!$B:$B,$B$1&amp;"-"&amp;TEXT(1,"00")&amp;"*",수납!$E:$E,""))</f>
        <v/>
      </c>
      <c r="D172" s="14">
        <f>IF(원생!$A170="","",SUMIFS(수납!$F:$F,수납!$C:$C,원생!$A170,수납!$D:$D,IF(원생!$G170="","",원생!$G170),수납!$B:$B,$B$1&amp;"-"&amp;TEXT(2,"00")&amp;"*",수납!$E:$E,"수강료")+SUMIFS(수납!$F:$F,수납!$C:$C,원생!$A170,수납!$D:$D,IF(원생!$G170="","",원생!$G170),수납!$B:$B,$B$1&amp;"-"&amp;TEXT(2,"00")&amp;"*",수납!$E:$E,""))</f>
        <v/>
      </c>
      <c r="E172" s="14">
        <f>IF(원생!$A170="","",SUMIFS(수납!$F:$F,수납!$C:$C,원생!$A170,수납!$D:$D,IF(원생!$G170="","",원생!$G170),수납!$B:$B,$B$1&amp;"-"&amp;TEXT(3,"00")&amp;"*",수납!$E:$E,"수강료")+SUMIFS(수납!$F:$F,수납!$C:$C,원생!$A170,수납!$D:$D,IF(원생!$G170="","",원생!$G170),수납!$B:$B,$B$1&amp;"-"&amp;TEXT(3,"00")&amp;"*",수납!$E:$E,""))</f>
        <v/>
      </c>
      <c r="F172" s="14">
        <f>IF(원생!$A170="","",SUMIFS(수납!$F:$F,수납!$C:$C,원생!$A170,수납!$D:$D,IF(원생!$G170="","",원생!$G170),수납!$B:$B,$B$1&amp;"-"&amp;TEXT(4,"00")&amp;"*",수납!$E:$E,"수강료")+SUMIFS(수납!$F:$F,수납!$C:$C,원생!$A170,수납!$D:$D,IF(원생!$G170="","",원생!$G170),수납!$B:$B,$B$1&amp;"-"&amp;TEXT(4,"00")&amp;"*",수납!$E:$E,""))</f>
        <v/>
      </c>
      <c r="G172" s="14">
        <f>IF(원생!$A170="","",SUMIFS(수납!$F:$F,수납!$C:$C,원생!$A170,수납!$D:$D,IF(원생!$G170="","",원생!$G170),수납!$B:$B,$B$1&amp;"-"&amp;TEXT(5,"00")&amp;"*",수납!$E:$E,"수강료")+SUMIFS(수납!$F:$F,수납!$C:$C,원생!$A170,수납!$D:$D,IF(원생!$G170="","",원생!$G170),수납!$B:$B,$B$1&amp;"-"&amp;TEXT(5,"00")&amp;"*",수납!$E:$E,""))</f>
        <v/>
      </c>
      <c r="H172" s="14">
        <f>IF(원생!$A170="","",SUMIFS(수납!$F:$F,수납!$C:$C,원생!$A170,수납!$D:$D,IF(원생!$G170="","",원생!$G170),수납!$B:$B,$B$1&amp;"-"&amp;TEXT(6,"00")&amp;"*",수납!$E:$E,"수강료")+SUMIFS(수납!$F:$F,수납!$C:$C,원생!$A170,수납!$D:$D,IF(원생!$G170="","",원생!$G170),수납!$B:$B,$B$1&amp;"-"&amp;TEXT(6,"00")&amp;"*",수납!$E:$E,""))</f>
        <v/>
      </c>
      <c r="I172" s="14">
        <f>IF(원생!$A170="","",SUMIFS(수납!$F:$F,수납!$C:$C,원생!$A170,수납!$D:$D,IF(원생!$G170="","",원생!$G170),수납!$B:$B,$B$1&amp;"-"&amp;TEXT(7,"00")&amp;"*",수납!$E:$E,"수강료")+SUMIFS(수납!$F:$F,수납!$C:$C,원생!$A170,수납!$D:$D,IF(원생!$G170="","",원생!$G170),수납!$B:$B,$B$1&amp;"-"&amp;TEXT(7,"00")&amp;"*",수납!$E:$E,""))</f>
        <v/>
      </c>
      <c r="J172" s="14">
        <f>IF(원생!$A170="","",SUMIFS(수납!$F:$F,수납!$C:$C,원생!$A170,수납!$D:$D,IF(원생!$G170="","",원생!$G170),수납!$B:$B,$B$1&amp;"-"&amp;TEXT(8,"00")&amp;"*",수납!$E:$E,"수강료")+SUMIFS(수납!$F:$F,수납!$C:$C,원생!$A170,수납!$D:$D,IF(원생!$G170="","",원생!$G170),수납!$B:$B,$B$1&amp;"-"&amp;TEXT(8,"00")&amp;"*",수납!$E:$E,""))</f>
        <v/>
      </c>
      <c r="K172" s="14">
        <f>IF(원생!$A170="","",SUMIFS(수납!$F:$F,수납!$C:$C,원생!$A170,수납!$D:$D,IF(원생!$G170="","",원생!$G170),수납!$B:$B,$B$1&amp;"-"&amp;TEXT(9,"00")&amp;"*",수납!$E:$E,"수강료")+SUMIFS(수납!$F:$F,수납!$C:$C,원생!$A170,수납!$D:$D,IF(원생!$G170="","",원생!$G170),수납!$B:$B,$B$1&amp;"-"&amp;TEXT(9,"00")&amp;"*",수납!$E:$E,""))</f>
        <v/>
      </c>
      <c r="L172" s="14">
        <f>IF(원생!$A170="","",SUMIFS(수납!$F:$F,수납!$C:$C,원생!$A170,수납!$D:$D,IF(원생!$G170="","",원생!$G170),수납!$B:$B,$B$1&amp;"-"&amp;TEXT(10,"00")&amp;"*",수납!$E:$E,"수강료")+SUMIFS(수납!$F:$F,수납!$C:$C,원생!$A170,수납!$D:$D,IF(원생!$G170="","",원생!$G170),수납!$B:$B,$B$1&amp;"-"&amp;TEXT(10,"00")&amp;"*",수납!$E:$E,""))</f>
        <v/>
      </c>
      <c r="M172" s="14">
        <f>IF(원생!$A170="","",SUMIFS(수납!$F:$F,수납!$C:$C,원생!$A170,수납!$D:$D,IF(원생!$G170="","",원생!$G170),수납!$B:$B,$B$1&amp;"-"&amp;TEXT(11,"00")&amp;"*",수납!$E:$E,"수강료")+SUMIFS(수납!$F:$F,수납!$C:$C,원생!$A170,수납!$D:$D,IF(원생!$G170="","",원생!$G170),수납!$B:$B,$B$1&amp;"-"&amp;TEXT(11,"00")&amp;"*",수납!$E:$E,""))</f>
        <v/>
      </c>
      <c r="N172" s="14">
        <f>IF(원생!$A170="","",SUMIFS(수납!$F:$F,수납!$C:$C,원생!$A170,수납!$D:$D,IF(원생!$G170="","",원생!$G170),수납!$B:$B,$B$1&amp;"-"&amp;TEXT(12,"00")&amp;"*",수납!$E:$E,"수강료")+SUMIFS(수납!$F:$F,수납!$C:$C,원생!$A170,수납!$D:$D,IF(원생!$G170="","",원생!$G170),수납!$B:$B,$B$1&amp;"-"&amp;TEXT(12,"00")&amp;"*",수납!$E:$E,""))</f>
        <v/>
      </c>
      <c r="O172">
        <f>IF(원생!$I170="","",원생!$I170)</f>
        <v/>
      </c>
      <c r="P172">
        <f>IF($A172="","",IF(AND($B172&gt;0,C172&lt;$B172,DATE($B$1,1,1)&lt;=TODAY(),OR($O172="",$O172&gt;=DATE($B$1,1,1)),OR(COUNTIF($C172:C172,"&gt;0")&gt;0,DATE($B$1,1,1)=DATE(YEAR(TODAY()),MONTH(TODAY()),1))),1,0))</f>
        <v/>
      </c>
      <c r="Q172">
        <f>IF($A172="","",IF(AND($B172&gt;0,D172&lt;$B172,DATE($B$1,2,1)&lt;=TODAY(),OR($O172="",$O172&gt;=DATE($B$1,2,1)),OR(COUNTIF($C172:D172,"&gt;0")&gt;0,DATE($B$1,2,1)=DATE(YEAR(TODAY()),MONTH(TODAY()),1))),1,0))</f>
        <v/>
      </c>
      <c r="R172">
        <f>IF($A172="","",IF(AND($B172&gt;0,E172&lt;$B172,DATE($B$1,3,1)&lt;=TODAY(),OR($O172="",$O172&gt;=DATE($B$1,3,1)),OR(COUNTIF($C172:E172,"&gt;0")&gt;0,DATE($B$1,3,1)=DATE(YEAR(TODAY()),MONTH(TODAY()),1))),1,0))</f>
        <v/>
      </c>
      <c r="S172">
        <f>IF($A172="","",IF(AND($B172&gt;0,F172&lt;$B172,DATE($B$1,4,1)&lt;=TODAY(),OR($O172="",$O172&gt;=DATE($B$1,4,1)),OR(COUNTIF($C172:F172,"&gt;0")&gt;0,DATE($B$1,4,1)=DATE(YEAR(TODAY()),MONTH(TODAY()),1))),1,0))</f>
        <v/>
      </c>
      <c r="T172">
        <f>IF($A172="","",IF(AND($B172&gt;0,G172&lt;$B172,DATE($B$1,5,1)&lt;=TODAY(),OR($O172="",$O172&gt;=DATE($B$1,5,1)),OR(COUNTIF($C172:G172,"&gt;0")&gt;0,DATE($B$1,5,1)=DATE(YEAR(TODAY()),MONTH(TODAY()),1))),1,0))</f>
        <v/>
      </c>
      <c r="U172">
        <f>IF($A172="","",IF(AND($B172&gt;0,H172&lt;$B172,DATE($B$1,6,1)&lt;=TODAY(),OR($O172="",$O172&gt;=DATE($B$1,6,1)),OR(COUNTIF($C172:H172,"&gt;0")&gt;0,DATE($B$1,6,1)=DATE(YEAR(TODAY()),MONTH(TODAY()),1))),1,0))</f>
        <v/>
      </c>
      <c r="V172">
        <f>IF($A172="","",IF(AND($B172&gt;0,I172&lt;$B172,DATE($B$1,7,1)&lt;=TODAY(),OR($O172="",$O172&gt;=DATE($B$1,7,1)),OR(COUNTIF($C172:I172,"&gt;0")&gt;0,DATE($B$1,7,1)=DATE(YEAR(TODAY()),MONTH(TODAY()),1))),1,0))</f>
        <v/>
      </c>
      <c r="W172">
        <f>IF($A172="","",IF(AND($B172&gt;0,J172&lt;$B172,DATE($B$1,8,1)&lt;=TODAY(),OR($O172="",$O172&gt;=DATE($B$1,8,1)),OR(COUNTIF($C172:J172,"&gt;0")&gt;0,DATE($B$1,8,1)=DATE(YEAR(TODAY()),MONTH(TODAY()),1))),1,0))</f>
        <v/>
      </c>
      <c r="X172">
        <f>IF($A172="","",IF(AND($B172&gt;0,K172&lt;$B172,DATE($B$1,9,1)&lt;=TODAY(),OR($O172="",$O172&gt;=DATE($B$1,9,1)),OR(COUNTIF($C172:K172,"&gt;0")&gt;0,DATE($B$1,9,1)=DATE(YEAR(TODAY()),MONTH(TODAY()),1))),1,0))</f>
        <v/>
      </c>
      <c r="Y172">
        <f>IF($A172="","",IF(AND($B172&gt;0,L172&lt;$B172,DATE($B$1,10,1)&lt;=TODAY(),OR($O172="",$O172&gt;=DATE($B$1,10,1)),OR(COUNTIF($C172:L172,"&gt;0")&gt;0,DATE($B$1,10,1)=DATE(YEAR(TODAY()),MONTH(TODAY()),1))),1,0))</f>
        <v/>
      </c>
      <c r="Z172">
        <f>IF($A172="","",IF(AND($B172&gt;0,M172&lt;$B172,DATE($B$1,11,1)&lt;=TODAY(),OR($O172="",$O172&gt;=DATE($B$1,11,1)),OR(COUNTIF($C172:M172,"&gt;0")&gt;0,DATE($B$1,11,1)=DATE(YEAR(TODAY()),MONTH(TODAY()),1))),1,0))</f>
        <v/>
      </c>
      <c r="AA172">
        <f>IF($A172="","",IF(AND($B172&gt;0,N172&lt;$B172,DATE($B$1,12,1)&lt;=TODAY(),OR($O172="",$O172&gt;=DATE($B$1,12,1)),OR(COUNTIF($C172:N172,"&gt;0")&gt;0,DATE($B$1,12,1)=DATE(YEAR(TODAY()),MONTH(TODAY()),1))),1,0))</f>
        <v/>
      </c>
    </row>
    <row r="173">
      <c r="A173" s="13">
        <f>IF(원생!$A171="","",원생!$A171&amp;IF(원생!$G171="",""," ("&amp;원생!$G171&amp;")"))</f>
        <v/>
      </c>
      <c r="B173" s="8">
        <f>IF(원생!$A171="","",원생!$F171)</f>
        <v/>
      </c>
      <c r="C173" s="14">
        <f>IF(원생!$A171="","",SUMIFS(수납!$F:$F,수납!$C:$C,원생!$A171,수납!$D:$D,IF(원생!$G171="","",원생!$G171),수납!$B:$B,$B$1&amp;"-"&amp;TEXT(1,"00")&amp;"*",수납!$E:$E,"수강료")+SUMIFS(수납!$F:$F,수납!$C:$C,원생!$A171,수납!$D:$D,IF(원생!$G171="","",원생!$G171),수납!$B:$B,$B$1&amp;"-"&amp;TEXT(1,"00")&amp;"*",수납!$E:$E,""))</f>
        <v/>
      </c>
      <c r="D173" s="14">
        <f>IF(원생!$A171="","",SUMIFS(수납!$F:$F,수납!$C:$C,원생!$A171,수납!$D:$D,IF(원생!$G171="","",원생!$G171),수납!$B:$B,$B$1&amp;"-"&amp;TEXT(2,"00")&amp;"*",수납!$E:$E,"수강료")+SUMIFS(수납!$F:$F,수납!$C:$C,원생!$A171,수납!$D:$D,IF(원생!$G171="","",원생!$G171),수납!$B:$B,$B$1&amp;"-"&amp;TEXT(2,"00")&amp;"*",수납!$E:$E,""))</f>
        <v/>
      </c>
      <c r="E173" s="14">
        <f>IF(원생!$A171="","",SUMIFS(수납!$F:$F,수납!$C:$C,원생!$A171,수납!$D:$D,IF(원생!$G171="","",원생!$G171),수납!$B:$B,$B$1&amp;"-"&amp;TEXT(3,"00")&amp;"*",수납!$E:$E,"수강료")+SUMIFS(수납!$F:$F,수납!$C:$C,원생!$A171,수납!$D:$D,IF(원생!$G171="","",원생!$G171),수납!$B:$B,$B$1&amp;"-"&amp;TEXT(3,"00")&amp;"*",수납!$E:$E,""))</f>
        <v/>
      </c>
      <c r="F173" s="14">
        <f>IF(원생!$A171="","",SUMIFS(수납!$F:$F,수납!$C:$C,원생!$A171,수납!$D:$D,IF(원생!$G171="","",원생!$G171),수납!$B:$B,$B$1&amp;"-"&amp;TEXT(4,"00")&amp;"*",수납!$E:$E,"수강료")+SUMIFS(수납!$F:$F,수납!$C:$C,원생!$A171,수납!$D:$D,IF(원생!$G171="","",원생!$G171),수납!$B:$B,$B$1&amp;"-"&amp;TEXT(4,"00")&amp;"*",수납!$E:$E,""))</f>
        <v/>
      </c>
      <c r="G173" s="14">
        <f>IF(원생!$A171="","",SUMIFS(수납!$F:$F,수납!$C:$C,원생!$A171,수납!$D:$D,IF(원생!$G171="","",원생!$G171),수납!$B:$B,$B$1&amp;"-"&amp;TEXT(5,"00")&amp;"*",수납!$E:$E,"수강료")+SUMIFS(수납!$F:$F,수납!$C:$C,원생!$A171,수납!$D:$D,IF(원생!$G171="","",원생!$G171),수납!$B:$B,$B$1&amp;"-"&amp;TEXT(5,"00")&amp;"*",수납!$E:$E,""))</f>
        <v/>
      </c>
      <c r="H173" s="14">
        <f>IF(원생!$A171="","",SUMIFS(수납!$F:$F,수납!$C:$C,원생!$A171,수납!$D:$D,IF(원생!$G171="","",원생!$G171),수납!$B:$B,$B$1&amp;"-"&amp;TEXT(6,"00")&amp;"*",수납!$E:$E,"수강료")+SUMIFS(수납!$F:$F,수납!$C:$C,원생!$A171,수납!$D:$D,IF(원생!$G171="","",원생!$G171),수납!$B:$B,$B$1&amp;"-"&amp;TEXT(6,"00")&amp;"*",수납!$E:$E,""))</f>
        <v/>
      </c>
      <c r="I173" s="14">
        <f>IF(원생!$A171="","",SUMIFS(수납!$F:$F,수납!$C:$C,원생!$A171,수납!$D:$D,IF(원생!$G171="","",원생!$G171),수납!$B:$B,$B$1&amp;"-"&amp;TEXT(7,"00")&amp;"*",수납!$E:$E,"수강료")+SUMIFS(수납!$F:$F,수납!$C:$C,원생!$A171,수납!$D:$D,IF(원생!$G171="","",원생!$G171),수납!$B:$B,$B$1&amp;"-"&amp;TEXT(7,"00")&amp;"*",수납!$E:$E,""))</f>
        <v/>
      </c>
      <c r="J173" s="14">
        <f>IF(원생!$A171="","",SUMIFS(수납!$F:$F,수납!$C:$C,원생!$A171,수납!$D:$D,IF(원생!$G171="","",원생!$G171),수납!$B:$B,$B$1&amp;"-"&amp;TEXT(8,"00")&amp;"*",수납!$E:$E,"수강료")+SUMIFS(수납!$F:$F,수납!$C:$C,원생!$A171,수납!$D:$D,IF(원생!$G171="","",원생!$G171),수납!$B:$B,$B$1&amp;"-"&amp;TEXT(8,"00")&amp;"*",수납!$E:$E,""))</f>
        <v/>
      </c>
      <c r="K173" s="14">
        <f>IF(원생!$A171="","",SUMIFS(수납!$F:$F,수납!$C:$C,원생!$A171,수납!$D:$D,IF(원생!$G171="","",원생!$G171),수납!$B:$B,$B$1&amp;"-"&amp;TEXT(9,"00")&amp;"*",수납!$E:$E,"수강료")+SUMIFS(수납!$F:$F,수납!$C:$C,원생!$A171,수납!$D:$D,IF(원생!$G171="","",원생!$G171),수납!$B:$B,$B$1&amp;"-"&amp;TEXT(9,"00")&amp;"*",수납!$E:$E,""))</f>
        <v/>
      </c>
      <c r="L173" s="14">
        <f>IF(원생!$A171="","",SUMIFS(수납!$F:$F,수납!$C:$C,원생!$A171,수납!$D:$D,IF(원생!$G171="","",원생!$G171),수납!$B:$B,$B$1&amp;"-"&amp;TEXT(10,"00")&amp;"*",수납!$E:$E,"수강료")+SUMIFS(수납!$F:$F,수납!$C:$C,원생!$A171,수납!$D:$D,IF(원생!$G171="","",원생!$G171),수납!$B:$B,$B$1&amp;"-"&amp;TEXT(10,"00")&amp;"*",수납!$E:$E,""))</f>
        <v/>
      </c>
      <c r="M173" s="14">
        <f>IF(원생!$A171="","",SUMIFS(수납!$F:$F,수납!$C:$C,원생!$A171,수납!$D:$D,IF(원생!$G171="","",원생!$G171),수납!$B:$B,$B$1&amp;"-"&amp;TEXT(11,"00")&amp;"*",수납!$E:$E,"수강료")+SUMIFS(수납!$F:$F,수납!$C:$C,원생!$A171,수납!$D:$D,IF(원생!$G171="","",원생!$G171),수납!$B:$B,$B$1&amp;"-"&amp;TEXT(11,"00")&amp;"*",수납!$E:$E,""))</f>
        <v/>
      </c>
      <c r="N173" s="14">
        <f>IF(원생!$A171="","",SUMIFS(수납!$F:$F,수납!$C:$C,원생!$A171,수납!$D:$D,IF(원생!$G171="","",원생!$G171),수납!$B:$B,$B$1&amp;"-"&amp;TEXT(12,"00")&amp;"*",수납!$E:$E,"수강료")+SUMIFS(수납!$F:$F,수납!$C:$C,원생!$A171,수납!$D:$D,IF(원생!$G171="","",원생!$G171),수납!$B:$B,$B$1&amp;"-"&amp;TEXT(12,"00")&amp;"*",수납!$E:$E,""))</f>
        <v/>
      </c>
      <c r="O173">
        <f>IF(원생!$I171="","",원생!$I171)</f>
        <v/>
      </c>
      <c r="P173">
        <f>IF($A173="","",IF(AND($B173&gt;0,C173&lt;$B173,DATE($B$1,1,1)&lt;=TODAY(),OR($O173="",$O173&gt;=DATE($B$1,1,1)),OR(COUNTIF($C173:C173,"&gt;0")&gt;0,DATE($B$1,1,1)=DATE(YEAR(TODAY()),MONTH(TODAY()),1))),1,0))</f>
        <v/>
      </c>
      <c r="Q173">
        <f>IF($A173="","",IF(AND($B173&gt;0,D173&lt;$B173,DATE($B$1,2,1)&lt;=TODAY(),OR($O173="",$O173&gt;=DATE($B$1,2,1)),OR(COUNTIF($C173:D173,"&gt;0")&gt;0,DATE($B$1,2,1)=DATE(YEAR(TODAY()),MONTH(TODAY()),1))),1,0))</f>
        <v/>
      </c>
      <c r="R173">
        <f>IF($A173="","",IF(AND($B173&gt;0,E173&lt;$B173,DATE($B$1,3,1)&lt;=TODAY(),OR($O173="",$O173&gt;=DATE($B$1,3,1)),OR(COUNTIF($C173:E173,"&gt;0")&gt;0,DATE($B$1,3,1)=DATE(YEAR(TODAY()),MONTH(TODAY()),1))),1,0))</f>
        <v/>
      </c>
      <c r="S173">
        <f>IF($A173="","",IF(AND($B173&gt;0,F173&lt;$B173,DATE($B$1,4,1)&lt;=TODAY(),OR($O173="",$O173&gt;=DATE($B$1,4,1)),OR(COUNTIF($C173:F173,"&gt;0")&gt;0,DATE($B$1,4,1)=DATE(YEAR(TODAY()),MONTH(TODAY()),1))),1,0))</f>
        <v/>
      </c>
      <c r="T173">
        <f>IF($A173="","",IF(AND($B173&gt;0,G173&lt;$B173,DATE($B$1,5,1)&lt;=TODAY(),OR($O173="",$O173&gt;=DATE($B$1,5,1)),OR(COUNTIF($C173:G173,"&gt;0")&gt;0,DATE($B$1,5,1)=DATE(YEAR(TODAY()),MONTH(TODAY()),1))),1,0))</f>
        <v/>
      </c>
      <c r="U173">
        <f>IF($A173="","",IF(AND($B173&gt;0,H173&lt;$B173,DATE($B$1,6,1)&lt;=TODAY(),OR($O173="",$O173&gt;=DATE($B$1,6,1)),OR(COUNTIF($C173:H173,"&gt;0")&gt;0,DATE($B$1,6,1)=DATE(YEAR(TODAY()),MONTH(TODAY()),1))),1,0))</f>
        <v/>
      </c>
      <c r="V173">
        <f>IF($A173="","",IF(AND($B173&gt;0,I173&lt;$B173,DATE($B$1,7,1)&lt;=TODAY(),OR($O173="",$O173&gt;=DATE($B$1,7,1)),OR(COUNTIF($C173:I173,"&gt;0")&gt;0,DATE($B$1,7,1)=DATE(YEAR(TODAY()),MONTH(TODAY()),1))),1,0))</f>
        <v/>
      </c>
      <c r="W173">
        <f>IF($A173="","",IF(AND($B173&gt;0,J173&lt;$B173,DATE($B$1,8,1)&lt;=TODAY(),OR($O173="",$O173&gt;=DATE($B$1,8,1)),OR(COUNTIF($C173:J173,"&gt;0")&gt;0,DATE($B$1,8,1)=DATE(YEAR(TODAY()),MONTH(TODAY()),1))),1,0))</f>
        <v/>
      </c>
      <c r="X173">
        <f>IF($A173="","",IF(AND($B173&gt;0,K173&lt;$B173,DATE($B$1,9,1)&lt;=TODAY(),OR($O173="",$O173&gt;=DATE($B$1,9,1)),OR(COUNTIF($C173:K173,"&gt;0")&gt;0,DATE($B$1,9,1)=DATE(YEAR(TODAY()),MONTH(TODAY()),1))),1,0))</f>
        <v/>
      </c>
      <c r="Y173">
        <f>IF($A173="","",IF(AND($B173&gt;0,L173&lt;$B173,DATE($B$1,10,1)&lt;=TODAY(),OR($O173="",$O173&gt;=DATE($B$1,10,1)),OR(COUNTIF($C173:L173,"&gt;0")&gt;0,DATE($B$1,10,1)=DATE(YEAR(TODAY()),MONTH(TODAY()),1))),1,0))</f>
        <v/>
      </c>
      <c r="Z173">
        <f>IF($A173="","",IF(AND($B173&gt;0,M173&lt;$B173,DATE($B$1,11,1)&lt;=TODAY(),OR($O173="",$O173&gt;=DATE($B$1,11,1)),OR(COUNTIF($C173:M173,"&gt;0")&gt;0,DATE($B$1,11,1)=DATE(YEAR(TODAY()),MONTH(TODAY()),1))),1,0))</f>
        <v/>
      </c>
      <c r="AA173">
        <f>IF($A173="","",IF(AND($B173&gt;0,N173&lt;$B173,DATE($B$1,12,1)&lt;=TODAY(),OR($O173="",$O173&gt;=DATE($B$1,12,1)),OR(COUNTIF($C173:N173,"&gt;0")&gt;0,DATE($B$1,12,1)=DATE(YEAR(TODAY()),MONTH(TODAY()),1))),1,0))</f>
        <v/>
      </c>
    </row>
    <row r="174">
      <c r="A174" s="13">
        <f>IF(원생!$A172="","",원생!$A172&amp;IF(원생!$G172="",""," ("&amp;원생!$G172&amp;")"))</f>
        <v/>
      </c>
      <c r="B174" s="8">
        <f>IF(원생!$A172="","",원생!$F172)</f>
        <v/>
      </c>
      <c r="C174" s="14">
        <f>IF(원생!$A172="","",SUMIFS(수납!$F:$F,수납!$C:$C,원생!$A172,수납!$D:$D,IF(원생!$G172="","",원생!$G172),수납!$B:$B,$B$1&amp;"-"&amp;TEXT(1,"00")&amp;"*",수납!$E:$E,"수강료")+SUMIFS(수납!$F:$F,수납!$C:$C,원생!$A172,수납!$D:$D,IF(원생!$G172="","",원생!$G172),수납!$B:$B,$B$1&amp;"-"&amp;TEXT(1,"00")&amp;"*",수납!$E:$E,""))</f>
        <v/>
      </c>
      <c r="D174" s="14">
        <f>IF(원생!$A172="","",SUMIFS(수납!$F:$F,수납!$C:$C,원생!$A172,수납!$D:$D,IF(원생!$G172="","",원생!$G172),수납!$B:$B,$B$1&amp;"-"&amp;TEXT(2,"00")&amp;"*",수납!$E:$E,"수강료")+SUMIFS(수납!$F:$F,수납!$C:$C,원생!$A172,수납!$D:$D,IF(원생!$G172="","",원생!$G172),수납!$B:$B,$B$1&amp;"-"&amp;TEXT(2,"00")&amp;"*",수납!$E:$E,""))</f>
        <v/>
      </c>
      <c r="E174" s="14">
        <f>IF(원생!$A172="","",SUMIFS(수납!$F:$F,수납!$C:$C,원생!$A172,수납!$D:$D,IF(원생!$G172="","",원생!$G172),수납!$B:$B,$B$1&amp;"-"&amp;TEXT(3,"00")&amp;"*",수납!$E:$E,"수강료")+SUMIFS(수납!$F:$F,수납!$C:$C,원생!$A172,수납!$D:$D,IF(원생!$G172="","",원생!$G172),수납!$B:$B,$B$1&amp;"-"&amp;TEXT(3,"00")&amp;"*",수납!$E:$E,""))</f>
        <v/>
      </c>
      <c r="F174" s="14">
        <f>IF(원생!$A172="","",SUMIFS(수납!$F:$F,수납!$C:$C,원생!$A172,수납!$D:$D,IF(원생!$G172="","",원생!$G172),수납!$B:$B,$B$1&amp;"-"&amp;TEXT(4,"00")&amp;"*",수납!$E:$E,"수강료")+SUMIFS(수납!$F:$F,수납!$C:$C,원생!$A172,수납!$D:$D,IF(원생!$G172="","",원생!$G172),수납!$B:$B,$B$1&amp;"-"&amp;TEXT(4,"00")&amp;"*",수납!$E:$E,""))</f>
        <v/>
      </c>
      <c r="G174" s="14">
        <f>IF(원생!$A172="","",SUMIFS(수납!$F:$F,수납!$C:$C,원생!$A172,수납!$D:$D,IF(원생!$G172="","",원생!$G172),수납!$B:$B,$B$1&amp;"-"&amp;TEXT(5,"00")&amp;"*",수납!$E:$E,"수강료")+SUMIFS(수납!$F:$F,수납!$C:$C,원생!$A172,수납!$D:$D,IF(원생!$G172="","",원생!$G172),수납!$B:$B,$B$1&amp;"-"&amp;TEXT(5,"00")&amp;"*",수납!$E:$E,""))</f>
        <v/>
      </c>
      <c r="H174" s="14">
        <f>IF(원생!$A172="","",SUMIFS(수납!$F:$F,수납!$C:$C,원생!$A172,수납!$D:$D,IF(원생!$G172="","",원생!$G172),수납!$B:$B,$B$1&amp;"-"&amp;TEXT(6,"00")&amp;"*",수납!$E:$E,"수강료")+SUMIFS(수납!$F:$F,수납!$C:$C,원생!$A172,수납!$D:$D,IF(원생!$G172="","",원생!$G172),수납!$B:$B,$B$1&amp;"-"&amp;TEXT(6,"00")&amp;"*",수납!$E:$E,""))</f>
        <v/>
      </c>
      <c r="I174" s="14">
        <f>IF(원생!$A172="","",SUMIFS(수납!$F:$F,수납!$C:$C,원생!$A172,수납!$D:$D,IF(원생!$G172="","",원생!$G172),수납!$B:$B,$B$1&amp;"-"&amp;TEXT(7,"00")&amp;"*",수납!$E:$E,"수강료")+SUMIFS(수납!$F:$F,수납!$C:$C,원생!$A172,수납!$D:$D,IF(원생!$G172="","",원생!$G172),수납!$B:$B,$B$1&amp;"-"&amp;TEXT(7,"00")&amp;"*",수납!$E:$E,""))</f>
        <v/>
      </c>
      <c r="J174" s="14">
        <f>IF(원생!$A172="","",SUMIFS(수납!$F:$F,수납!$C:$C,원생!$A172,수납!$D:$D,IF(원생!$G172="","",원생!$G172),수납!$B:$B,$B$1&amp;"-"&amp;TEXT(8,"00")&amp;"*",수납!$E:$E,"수강료")+SUMIFS(수납!$F:$F,수납!$C:$C,원생!$A172,수납!$D:$D,IF(원생!$G172="","",원생!$G172),수납!$B:$B,$B$1&amp;"-"&amp;TEXT(8,"00")&amp;"*",수납!$E:$E,""))</f>
        <v/>
      </c>
      <c r="K174" s="14">
        <f>IF(원생!$A172="","",SUMIFS(수납!$F:$F,수납!$C:$C,원생!$A172,수납!$D:$D,IF(원생!$G172="","",원생!$G172),수납!$B:$B,$B$1&amp;"-"&amp;TEXT(9,"00")&amp;"*",수납!$E:$E,"수강료")+SUMIFS(수납!$F:$F,수납!$C:$C,원생!$A172,수납!$D:$D,IF(원생!$G172="","",원생!$G172),수납!$B:$B,$B$1&amp;"-"&amp;TEXT(9,"00")&amp;"*",수납!$E:$E,""))</f>
        <v/>
      </c>
      <c r="L174" s="14">
        <f>IF(원생!$A172="","",SUMIFS(수납!$F:$F,수납!$C:$C,원생!$A172,수납!$D:$D,IF(원생!$G172="","",원생!$G172),수납!$B:$B,$B$1&amp;"-"&amp;TEXT(10,"00")&amp;"*",수납!$E:$E,"수강료")+SUMIFS(수납!$F:$F,수납!$C:$C,원생!$A172,수납!$D:$D,IF(원생!$G172="","",원생!$G172),수납!$B:$B,$B$1&amp;"-"&amp;TEXT(10,"00")&amp;"*",수납!$E:$E,""))</f>
        <v/>
      </c>
      <c r="M174" s="14">
        <f>IF(원생!$A172="","",SUMIFS(수납!$F:$F,수납!$C:$C,원생!$A172,수납!$D:$D,IF(원생!$G172="","",원생!$G172),수납!$B:$B,$B$1&amp;"-"&amp;TEXT(11,"00")&amp;"*",수납!$E:$E,"수강료")+SUMIFS(수납!$F:$F,수납!$C:$C,원생!$A172,수납!$D:$D,IF(원생!$G172="","",원생!$G172),수납!$B:$B,$B$1&amp;"-"&amp;TEXT(11,"00")&amp;"*",수납!$E:$E,""))</f>
        <v/>
      </c>
      <c r="N174" s="14">
        <f>IF(원생!$A172="","",SUMIFS(수납!$F:$F,수납!$C:$C,원생!$A172,수납!$D:$D,IF(원생!$G172="","",원생!$G172),수납!$B:$B,$B$1&amp;"-"&amp;TEXT(12,"00")&amp;"*",수납!$E:$E,"수강료")+SUMIFS(수납!$F:$F,수납!$C:$C,원생!$A172,수납!$D:$D,IF(원생!$G172="","",원생!$G172),수납!$B:$B,$B$1&amp;"-"&amp;TEXT(12,"00")&amp;"*",수납!$E:$E,""))</f>
        <v/>
      </c>
      <c r="O174">
        <f>IF(원생!$I172="","",원생!$I172)</f>
        <v/>
      </c>
      <c r="P174">
        <f>IF($A174="","",IF(AND($B174&gt;0,C174&lt;$B174,DATE($B$1,1,1)&lt;=TODAY(),OR($O174="",$O174&gt;=DATE($B$1,1,1)),OR(COUNTIF($C174:C174,"&gt;0")&gt;0,DATE($B$1,1,1)=DATE(YEAR(TODAY()),MONTH(TODAY()),1))),1,0))</f>
        <v/>
      </c>
      <c r="Q174">
        <f>IF($A174="","",IF(AND($B174&gt;0,D174&lt;$B174,DATE($B$1,2,1)&lt;=TODAY(),OR($O174="",$O174&gt;=DATE($B$1,2,1)),OR(COUNTIF($C174:D174,"&gt;0")&gt;0,DATE($B$1,2,1)=DATE(YEAR(TODAY()),MONTH(TODAY()),1))),1,0))</f>
        <v/>
      </c>
      <c r="R174">
        <f>IF($A174="","",IF(AND($B174&gt;0,E174&lt;$B174,DATE($B$1,3,1)&lt;=TODAY(),OR($O174="",$O174&gt;=DATE($B$1,3,1)),OR(COUNTIF($C174:E174,"&gt;0")&gt;0,DATE($B$1,3,1)=DATE(YEAR(TODAY()),MONTH(TODAY()),1))),1,0))</f>
        <v/>
      </c>
      <c r="S174">
        <f>IF($A174="","",IF(AND($B174&gt;0,F174&lt;$B174,DATE($B$1,4,1)&lt;=TODAY(),OR($O174="",$O174&gt;=DATE($B$1,4,1)),OR(COUNTIF($C174:F174,"&gt;0")&gt;0,DATE($B$1,4,1)=DATE(YEAR(TODAY()),MONTH(TODAY()),1))),1,0))</f>
        <v/>
      </c>
      <c r="T174">
        <f>IF($A174="","",IF(AND($B174&gt;0,G174&lt;$B174,DATE($B$1,5,1)&lt;=TODAY(),OR($O174="",$O174&gt;=DATE($B$1,5,1)),OR(COUNTIF($C174:G174,"&gt;0")&gt;0,DATE($B$1,5,1)=DATE(YEAR(TODAY()),MONTH(TODAY()),1))),1,0))</f>
        <v/>
      </c>
      <c r="U174">
        <f>IF($A174="","",IF(AND($B174&gt;0,H174&lt;$B174,DATE($B$1,6,1)&lt;=TODAY(),OR($O174="",$O174&gt;=DATE($B$1,6,1)),OR(COUNTIF($C174:H174,"&gt;0")&gt;0,DATE($B$1,6,1)=DATE(YEAR(TODAY()),MONTH(TODAY()),1))),1,0))</f>
        <v/>
      </c>
      <c r="V174">
        <f>IF($A174="","",IF(AND($B174&gt;0,I174&lt;$B174,DATE($B$1,7,1)&lt;=TODAY(),OR($O174="",$O174&gt;=DATE($B$1,7,1)),OR(COUNTIF($C174:I174,"&gt;0")&gt;0,DATE($B$1,7,1)=DATE(YEAR(TODAY()),MONTH(TODAY()),1))),1,0))</f>
        <v/>
      </c>
      <c r="W174">
        <f>IF($A174="","",IF(AND($B174&gt;0,J174&lt;$B174,DATE($B$1,8,1)&lt;=TODAY(),OR($O174="",$O174&gt;=DATE($B$1,8,1)),OR(COUNTIF($C174:J174,"&gt;0")&gt;0,DATE($B$1,8,1)=DATE(YEAR(TODAY()),MONTH(TODAY()),1))),1,0))</f>
        <v/>
      </c>
      <c r="X174">
        <f>IF($A174="","",IF(AND($B174&gt;0,K174&lt;$B174,DATE($B$1,9,1)&lt;=TODAY(),OR($O174="",$O174&gt;=DATE($B$1,9,1)),OR(COUNTIF($C174:K174,"&gt;0")&gt;0,DATE($B$1,9,1)=DATE(YEAR(TODAY()),MONTH(TODAY()),1))),1,0))</f>
        <v/>
      </c>
      <c r="Y174">
        <f>IF($A174="","",IF(AND($B174&gt;0,L174&lt;$B174,DATE($B$1,10,1)&lt;=TODAY(),OR($O174="",$O174&gt;=DATE($B$1,10,1)),OR(COUNTIF($C174:L174,"&gt;0")&gt;0,DATE($B$1,10,1)=DATE(YEAR(TODAY()),MONTH(TODAY()),1))),1,0))</f>
        <v/>
      </c>
      <c r="Z174">
        <f>IF($A174="","",IF(AND($B174&gt;0,M174&lt;$B174,DATE($B$1,11,1)&lt;=TODAY(),OR($O174="",$O174&gt;=DATE($B$1,11,1)),OR(COUNTIF($C174:M174,"&gt;0")&gt;0,DATE($B$1,11,1)=DATE(YEAR(TODAY()),MONTH(TODAY()),1))),1,0))</f>
        <v/>
      </c>
      <c r="AA174">
        <f>IF($A174="","",IF(AND($B174&gt;0,N174&lt;$B174,DATE($B$1,12,1)&lt;=TODAY(),OR($O174="",$O174&gt;=DATE($B$1,12,1)),OR(COUNTIF($C174:N174,"&gt;0")&gt;0,DATE($B$1,12,1)=DATE(YEAR(TODAY()),MONTH(TODAY()),1))),1,0))</f>
        <v/>
      </c>
    </row>
    <row r="175">
      <c r="A175" s="13">
        <f>IF(원생!$A173="","",원생!$A173&amp;IF(원생!$G173="",""," ("&amp;원생!$G173&amp;")"))</f>
        <v/>
      </c>
      <c r="B175" s="8">
        <f>IF(원생!$A173="","",원생!$F173)</f>
        <v/>
      </c>
      <c r="C175" s="14">
        <f>IF(원생!$A173="","",SUMIFS(수납!$F:$F,수납!$C:$C,원생!$A173,수납!$D:$D,IF(원생!$G173="","",원생!$G173),수납!$B:$B,$B$1&amp;"-"&amp;TEXT(1,"00")&amp;"*",수납!$E:$E,"수강료")+SUMIFS(수납!$F:$F,수납!$C:$C,원생!$A173,수납!$D:$D,IF(원생!$G173="","",원생!$G173),수납!$B:$B,$B$1&amp;"-"&amp;TEXT(1,"00")&amp;"*",수납!$E:$E,""))</f>
        <v/>
      </c>
      <c r="D175" s="14">
        <f>IF(원생!$A173="","",SUMIFS(수납!$F:$F,수납!$C:$C,원생!$A173,수납!$D:$D,IF(원생!$G173="","",원생!$G173),수납!$B:$B,$B$1&amp;"-"&amp;TEXT(2,"00")&amp;"*",수납!$E:$E,"수강료")+SUMIFS(수납!$F:$F,수납!$C:$C,원생!$A173,수납!$D:$D,IF(원생!$G173="","",원생!$G173),수납!$B:$B,$B$1&amp;"-"&amp;TEXT(2,"00")&amp;"*",수납!$E:$E,""))</f>
        <v/>
      </c>
      <c r="E175" s="14">
        <f>IF(원생!$A173="","",SUMIFS(수납!$F:$F,수납!$C:$C,원생!$A173,수납!$D:$D,IF(원생!$G173="","",원생!$G173),수납!$B:$B,$B$1&amp;"-"&amp;TEXT(3,"00")&amp;"*",수납!$E:$E,"수강료")+SUMIFS(수납!$F:$F,수납!$C:$C,원생!$A173,수납!$D:$D,IF(원생!$G173="","",원생!$G173),수납!$B:$B,$B$1&amp;"-"&amp;TEXT(3,"00")&amp;"*",수납!$E:$E,""))</f>
        <v/>
      </c>
      <c r="F175" s="14">
        <f>IF(원생!$A173="","",SUMIFS(수납!$F:$F,수납!$C:$C,원생!$A173,수납!$D:$D,IF(원생!$G173="","",원생!$G173),수납!$B:$B,$B$1&amp;"-"&amp;TEXT(4,"00")&amp;"*",수납!$E:$E,"수강료")+SUMIFS(수납!$F:$F,수납!$C:$C,원생!$A173,수납!$D:$D,IF(원생!$G173="","",원생!$G173),수납!$B:$B,$B$1&amp;"-"&amp;TEXT(4,"00")&amp;"*",수납!$E:$E,""))</f>
        <v/>
      </c>
      <c r="G175" s="14">
        <f>IF(원생!$A173="","",SUMIFS(수납!$F:$F,수납!$C:$C,원생!$A173,수납!$D:$D,IF(원생!$G173="","",원생!$G173),수납!$B:$B,$B$1&amp;"-"&amp;TEXT(5,"00")&amp;"*",수납!$E:$E,"수강료")+SUMIFS(수납!$F:$F,수납!$C:$C,원생!$A173,수납!$D:$D,IF(원생!$G173="","",원생!$G173),수납!$B:$B,$B$1&amp;"-"&amp;TEXT(5,"00")&amp;"*",수납!$E:$E,""))</f>
        <v/>
      </c>
      <c r="H175" s="14">
        <f>IF(원생!$A173="","",SUMIFS(수납!$F:$F,수납!$C:$C,원생!$A173,수납!$D:$D,IF(원생!$G173="","",원생!$G173),수납!$B:$B,$B$1&amp;"-"&amp;TEXT(6,"00")&amp;"*",수납!$E:$E,"수강료")+SUMIFS(수납!$F:$F,수납!$C:$C,원생!$A173,수납!$D:$D,IF(원생!$G173="","",원생!$G173),수납!$B:$B,$B$1&amp;"-"&amp;TEXT(6,"00")&amp;"*",수납!$E:$E,""))</f>
        <v/>
      </c>
      <c r="I175" s="14">
        <f>IF(원생!$A173="","",SUMIFS(수납!$F:$F,수납!$C:$C,원생!$A173,수납!$D:$D,IF(원생!$G173="","",원생!$G173),수납!$B:$B,$B$1&amp;"-"&amp;TEXT(7,"00")&amp;"*",수납!$E:$E,"수강료")+SUMIFS(수납!$F:$F,수납!$C:$C,원생!$A173,수납!$D:$D,IF(원생!$G173="","",원생!$G173),수납!$B:$B,$B$1&amp;"-"&amp;TEXT(7,"00")&amp;"*",수납!$E:$E,""))</f>
        <v/>
      </c>
      <c r="J175" s="14">
        <f>IF(원생!$A173="","",SUMIFS(수납!$F:$F,수납!$C:$C,원생!$A173,수납!$D:$D,IF(원생!$G173="","",원생!$G173),수납!$B:$B,$B$1&amp;"-"&amp;TEXT(8,"00")&amp;"*",수납!$E:$E,"수강료")+SUMIFS(수납!$F:$F,수납!$C:$C,원생!$A173,수납!$D:$D,IF(원생!$G173="","",원생!$G173),수납!$B:$B,$B$1&amp;"-"&amp;TEXT(8,"00")&amp;"*",수납!$E:$E,""))</f>
        <v/>
      </c>
      <c r="K175" s="14">
        <f>IF(원생!$A173="","",SUMIFS(수납!$F:$F,수납!$C:$C,원생!$A173,수납!$D:$D,IF(원생!$G173="","",원생!$G173),수납!$B:$B,$B$1&amp;"-"&amp;TEXT(9,"00")&amp;"*",수납!$E:$E,"수강료")+SUMIFS(수납!$F:$F,수납!$C:$C,원생!$A173,수납!$D:$D,IF(원생!$G173="","",원생!$G173),수납!$B:$B,$B$1&amp;"-"&amp;TEXT(9,"00")&amp;"*",수납!$E:$E,""))</f>
        <v/>
      </c>
      <c r="L175" s="14">
        <f>IF(원생!$A173="","",SUMIFS(수납!$F:$F,수납!$C:$C,원생!$A173,수납!$D:$D,IF(원생!$G173="","",원생!$G173),수납!$B:$B,$B$1&amp;"-"&amp;TEXT(10,"00")&amp;"*",수납!$E:$E,"수강료")+SUMIFS(수납!$F:$F,수납!$C:$C,원생!$A173,수납!$D:$D,IF(원생!$G173="","",원생!$G173),수납!$B:$B,$B$1&amp;"-"&amp;TEXT(10,"00")&amp;"*",수납!$E:$E,""))</f>
        <v/>
      </c>
      <c r="M175" s="14">
        <f>IF(원생!$A173="","",SUMIFS(수납!$F:$F,수납!$C:$C,원생!$A173,수납!$D:$D,IF(원생!$G173="","",원생!$G173),수납!$B:$B,$B$1&amp;"-"&amp;TEXT(11,"00")&amp;"*",수납!$E:$E,"수강료")+SUMIFS(수납!$F:$F,수납!$C:$C,원생!$A173,수납!$D:$D,IF(원생!$G173="","",원생!$G173),수납!$B:$B,$B$1&amp;"-"&amp;TEXT(11,"00")&amp;"*",수납!$E:$E,""))</f>
        <v/>
      </c>
      <c r="N175" s="14">
        <f>IF(원생!$A173="","",SUMIFS(수납!$F:$F,수납!$C:$C,원생!$A173,수납!$D:$D,IF(원생!$G173="","",원생!$G173),수납!$B:$B,$B$1&amp;"-"&amp;TEXT(12,"00")&amp;"*",수납!$E:$E,"수강료")+SUMIFS(수납!$F:$F,수납!$C:$C,원생!$A173,수납!$D:$D,IF(원생!$G173="","",원생!$G173),수납!$B:$B,$B$1&amp;"-"&amp;TEXT(12,"00")&amp;"*",수납!$E:$E,""))</f>
        <v/>
      </c>
      <c r="O175">
        <f>IF(원생!$I173="","",원생!$I173)</f>
        <v/>
      </c>
      <c r="P175">
        <f>IF($A175="","",IF(AND($B175&gt;0,C175&lt;$B175,DATE($B$1,1,1)&lt;=TODAY(),OR($O175="",$O175&gt;=DATE($B$1,1,1)),OR(COUNTIF($C175:C175,"&gt;0")&gt;0,DATE($B$1,1,1)=DATE(YEAR(TODAY()),MONTH(TODAY()),1))),1,0))</f>
        <v/>
      </c>
      <c r="Q175">
        <f>IF($A175="","",IF(AND($B175&gt;0,D175&lt;$B175,DATE($B$1,2,1)&lt;=TODAY(),OR($O175="",$O175&gt;=DATE($B$1,2,1)),OR(COUNTIF($C175:D175,"&gt;0")&gt;0,DATE($B$1,2,1)=DATE(YEAR(TODAY()),MONTH(TODAY()),1))),1,0))</f>
        <v/>
      </c>
      <c r="R175">
        <f>IF($A175="","",IF(AND($B175&gt;0,E175&lt;$B175,DATE($B$1,3,1)&lt;=TODAY(),OR($O175="",$O175&gt;=DATE($B$1,3,1)),OR(COUNTIF($C175:E175,"&gt;0")&gt;0,DATE($B$1,3,1)=DATE(YEAR(TODAY()),MONTH(TODAY()),1))),1,0))</f>
        <v/>
      </c>
      <c r="S175">
        <f>IF($A175="","",IF(AND($B175&gt;0,F175&lt;$B175,DATE($B$1,4,1)&lt;=TODAY(),OR($O175="",$O175&gt;=DATE($B$1,4,1)),OR(COUNTIF($C175:F175,"&gt;0")&gt;0,DATE($B$1,4,1)=DATE(YEAR(TODAY()),MONTH(TODAY()),1))),1,0))</f>
        <v/>
      </c>
      <c r="T175">
        <f>IF($A175="","",IF(AND($B175&gt;0,G175&lt;$B175,DATE($B$1,5,1)&lt;=TODAY(),OR($O175="",$O175&gt;=DATE($B$1,5,1)),OR(COUNTIF($C175:G175,"&gt;0")&gt;0,DATE($B$1,5,1)=DATE(YEAR(TODAY()),MONTH(TODAY()),1))),1,0))</f>
        <v/>
      </c>
      <c r="U175">
        <f>IF($A175="","",IF(AND($B175&gt;0,H175&lt;$B175,DATE($B$1,6,1)&lt;=TODAY(),OR($O175="",$O175&gt;=DATE($B$1,6,1)),OR(COUNTIF($C175:H175,"&gt;0")&gt;0,DATE($B$1,6,1)=DATE(YEAR(TODAY()),MONTH(TODAY()),1))),1,0))</f>
        <v/>
      </c>
      <c r="V175">
        <f>IF($A175="","",IF(AND($B175&gt;0,I175&lt;$B175,DATE($B$1,7,1)&lt;=TODAY(),OR($O175="",$O175&gt;=DATE($B$1,7,1)),OR(COUNTIF($C175:I175,"&gt;0")&gt;0,DATE($B$1,7,1)=DATE(YEAR(TODAY()),MONTH(TODAY()),1))),1,0))</f>
        <v/>
      </c>
      <c r="W175">
        <f>IF($A175="","",IF(AND($B175&gt;0,J175&lt;$B175,DATE($B$1,8,1)&lt;=TODAY(),OR($O175="",$O175&gt;=DATE($B$1,8,1)),OR(COUNTIF($C175:J175,"&gt;0")&gt;0,DATE($B$1,8,1)=DATE(YEAR(TODAY()),MONTH(TODAY()),1))),1,0))</f>
        <v/>
      </c>
      <c r="X175">
        <f>IF($A175="","",IF(AND($B175&gt;0,K175&lt;$B175,DATE($B$1,9,1)&lt;=TODAY(),OR($O175="",$O175&gt;=DATE($B$1,9,1)),OR(COUNTIF($C175:K175,"&gt;0")&gt;0,DATE($B$1,9,1)=DATE(YEAR(TODAY()),MONTH(TODAY()),1))),1,0))</f>
        <v/>
      </c>
      <c r="Y175">
        <f>IF($A175="","",IF(AND($B175&gt;0,L175&lt;$B175,DATE($B$1,10,1)&lt;=TODAY(),OR($O175="",$O175&gt;=DATE($B$1,10,1)),OR(COUNTIF($C175:L175,"&gt;0")&gt;0,DATE($B$1,10,1)=DATE(YEAR(TODAY()),MONTH(TODAY()),1))),1,0))</f>
        <v/>
      </c>
      <c r="Z175">
        <f>IF($A175="","",IF(AND($B175&gt;0,M175&lt;$B175,DATE($B$1,11,1)&lt;=TODAY(),OR($O175="",$O175&gt;=DATE($B$1,11,1)),OR(COUNTIF($C175:M175,"&gt;0")&gt;0,DATE($B$1,11,1)=DATE(YEAR(TODAY()),MONTH(TODAY()),1))),1,0))</f>
        <v/>
      </c>
      <c r="AA175">
        <f>IF($A175="","",IF(AND($B175&gt;0,N175&lt;$B175,DATE($B$1,12,1)&lt;=TODAY(),OR($O175="",$O175&gt;=DATE($B$1,12,1)),OR(COUNTIF($C175:N175,"&gt;0")&gt;0,DATE($B$1,12,1)=DATE(YEAR(TODAY()),MONTH(TODAY()),1))),1,0))</f>
        <v/>
      </c>
    </row>
    <row r="176">
      <c r="A176" s="13">
        <f>IF(원생!$A174="","",원생!$A174&amp;IF(원생!$G174="",""," ("&amp;원생!$G174&amp;")"))</f>
        <v/>
      </c>
      <c r="B176" s="8">
        <f>IF(원생!$A174="","",원생!$F174)</f>
        <v/>
      </c>
      <c r="C176" s="14">
        <f>IF(원생!$A174="","",SUMIFS(수납!$F:$F,수납!$C:$C,원생!$A174,수납!$D:$D,IF(원생!$G174="","",원생!$G174),수납!$B:$B,$B$1&amp;"-"&amp;TEXT(1,"00")&amp;"*",수납!$E:$E,"수강료")+SUMIFS(수납!$F:$F,수납!$C:$C,원생!$A174,수납!$D:$D,IF(원생!$G174="","",원생!$G174),수납!$B:$B,$B$1&amp;"-"&amp;TEXT(1,"00")&amp;"*",수납!$E:$E,""))</f>
        <v/>
      </c>
      <c r="D176" s="14">
        <f>IF(원생!$A174="","",SUMIFS(수납!$F:$F,수납!$C:$C,원생!$A174,수납!$D:$D,IF(원생!$G174="","",원생!$G174),수납!$B:$B,$B$1&amp;"-"&amp;TEXT(2,"00")&amp;"*",수납!$E:$E,"수강료")+SUMIFS(수납!$F:$F,수납!$C:$C,원생!$A174,수납!$D:$D,IF(원생!$G174="","",원생!$G174),수납!$B:$B,$B$1&amp;"-"&amp;TEXT(2,"00")&amp;"*",수납!$E:$E,""))</f>
        <v/>
      </c>
      <c r="E176" s="14">
        <f>IF(원생!$A174="","",SUMIFS(수납!$F:$F,수납!$C:$C,원생!$A174,수납!$D:$D,IF(원생!$G174="","",원생!$G174),수납!$B:$B,$B$1&amp;"-"&amp;TEXT(3,"00")&amp;"*",수납!$E:$E,"수강료")+SUMIFS(수납!$F:$F,수납!$C:$C,원생!$A174,수납!$D:$D,IF(원생!$G174="","",원생!$G174),수납!$B:$B,$B$1&amp;"-"&amp;TEXT(3,"00")&amp;"*",수납!$E:$E,""))</f>
        <v/>
      </c>
      <c r="F176" s="14">
        <f>IF(원생!$A174="","",SUMIFS(수납!$F:$F,수납!$C:$C,원생!$A174,수납!$D:$D,IF(원생!$G174="","",원생!$G174),수납!$B:$B,$B$1&amp;"-"&amp;TEXT(4,"00")&amp;"*",수납!$E:$E,"수강료")+SUMIFS(수납!$F:$F,수납!$C:$C,원생!$A174,수납!$D:$D,IF(원생!$G174="","",원생!$G174),수납!$B:$B,$B$1&amp;"-"&amp;TEXT(4,"00")&amp;"*",수납!$E:$E,""))</f>
        <v/>
      </c>
      <c r="G176" s="14">
        <f>IF(원생!$A174="","",SUMIFS(수납!$F:$F,수납!$C:$C,원생!$A174,수납!$D:$D,IF(원생!$G174="","",원생!$G174),수납!$B:$B,$B$1&amp;"-"&amp;TEXT(5,"00")&amp;"*",수납!$E:$E,"수강료")+SUMIFS(수납!$F:$F,수납!$C:$C,원생!$A174,수납!$D:$D,IF(원생!$G174="","",원생!$G174),수납!$B:$B,$B$1&amp;"-"&amp;TEXT(5,"00")&amp;"*",수납!$E:$E,""))</f>
        <v/>
      </c>
      <c r="H176" s="14">
        <f>IF(원생!$A174="","",SUMIFS(수납!$F:$F,수납!$C:$C,원생!$A174,수납!$D:$D,IF(원생!$G174="","",원생!$G174),수납!$B:$B,$B$1&amp;"-"&amp;TEXT(6,"00")&amp;"*",수납!$E:$E,"수강료")+SUMIFS(수납!$F:$F,수납!$C:$C,원생!$A174,수납!$D:$D,IF(원생!$G174="","",원생!$G174),수납!$B:$B,$B$1&amp;"-"&amp;TEXT(6,"00")&amp;"*",수납!$E:$E,""))</f>
        <v/>
      </c>
      <c r="I176" s="14">
        <f>IF(원생!$A174="","",SUMIFS(수납!$F:$F,수납!$C:$C,원생!$A174,수납!$D:$D,IF(원생!$G174="","",원생!$G174),수납!$B:$B,$B$1&amp;"-"&amp;TEXT(7,"00")&amp;"*",수납!$E:$E,"수강료")+SUMIFS(수납!$F:$F,수납!$C:$C,원생!$A174,수납!$D:$D,IF(원생!$G174="","",원생!$G174),수납!$B:$B,$B$1&amp;"-"&amp;TEXT(7,"00")&amp;"*",수납!$E:$E,""))</f>
        <v/>
      </c>
      <c r="J176" s="14">
        <f>IF(원생!$A174="","",SUMIFS(수납!$F:$F,수납!$C:$C,원생!$A174,수납!$D:$D,IF(원생!$G174="","",원생!$G174),수납!$B:$B,$B$1&amp;"-"&amp;TEXT(8,"00")&amp;"*",수납!$E:$E,"수강료")+SUMIFS(수납!$F:$F,수납!$C:$C,원생!$A174,수납!$D:$D,IF(원생!$G174="","",원생!$G174),수납!$B:$B,$B$1&amp;"-"&amp;TEXT(8,"00")&amp;"*",수납!$E:$E,""))</f>
        <v/>
      </c>
      <c r="K176" s="14">
        <f>IF(원생!$A174="","",SUMIFS(수납!$F:$F,수납!$C:$C,원생!$A174,수납!$D:$D,IF(원생!$G174="","",원생!$G174),수납!$B:$B,$B$1&amp;"-"&amp;TEXT(9,"00")&amp;"*",수납!$E:$E,"수강료")+SUMIFS(수납!$F:$F,수납!$C:$C,원생!$A174,수납!$D:$D,IF(원생!$G174="","",원생!$G174),수납!$B:$B,$B$1&amp;"-"&amp;TEXT(9,"00")&amp;"*",수납!$E:$E,""))</f>
        <v/>
      </c>
      <c r="L176" s="14">
        <f>IF(원생!$A174="","",SUMIFS(수납!$F:$F,수납!$C:$C,원생!$A174,수납!$D:$D,IF(원생!$G174="","",원생!$G174),수납!$B:$B,$B$1&amp;"-"&amp;TEXT(10,"00")&amp;"*",수납!$E:$E,"수강료")+SUMIFS(수납!$F:$F,수납!$C:$C,원생!$A174,수납!$D:$D,IF(원생!$G174="","",원생!$G174),수납!$B:$B,$B$1&amp;"-"&amp;TEXT(10,"00")&amp;"*",수납!$E:$E,""))</f>
        <v/>
      </c>
      <c r="M176" s="14">
        <f>IF(원생!$A174="","",SUMIFS(수납!$F:$F,수납!$C:$C,원생!$A174,수납!$D:$D,IF(원생!$G174="","",원생!$G174),수납!$B:$B,$B$1&amp;"-"&amp;TEXT(11,"00")&amp;"*",수납!$E:$E,"수강료")+SUMIFS(수납!$F:$F,수납!$C:$C,원생!$A174,수납!$D:$D,IF(원생!$G174="","",원생!$G174),수납!$B:$B,$B$1&amp;"-"&amp;TEXT(11,"00")&amp;"*",수납!$E:$E,""))</f>
        <v/>
      </c>
      <c r="N176" s="14">
        <f>IF(원생!$A174="","",SUMIFS(수납!$F:$F,수납!$C:$C,원생!$A174,수납!$D:$D,IF(원생!$G174="","",원생!$G174),수납!$B:$B,$B$1&amp;"-"&amp;TEXT(12,"00")&amp;"*",수납!$E:$E,"수강료")+SUMIFS(수납!$F:$F,수납!$C:$C,원생!$A174,수납!$D:$D,IF(원생!$G174="","",원생!$G174),수납!$B:$B,$B$1&amp;"-"&amp;TEXT(12,"00")&amp;"*",수납!$E:$E,""))</f>
        <v/>
      </c>
      <c r="O176">
        <f>IF(원생!$I174="","",원생!$I174)</f>
        <v/>
      </c>
      <c r="P176">
        <f>IF($A176="","",IF(AND($B176&gt;0,C176&lt;$B176,DATE($B$1,1,1)&lt;=TODAY(),OR($O176="",$O176&gt;=DATE($B$1,1,1)),OR(COUNTIF($C176:C176,"&gt;0")&gt;0,DATE($B$1,1,1)=DATE(YEAR(TODAY()),MONTH(TODAY()),1))),1,0))</f>
        <v/>
      </c>
      <c r="Q176">
        <f>IF($A176="","",IF(AND($B176&gt;0,D176&lt;$B176,DATE($B$1,2,1)&lt;=TODAY(),OR($O176="",$O176&gt;=DATE($B$1,2,1)),OR(COUNTIF($C176:D176,"&gt;0")&gt;0,DATE($B$1,2,1)=DATE(YEAR(TODAY()),MONTH(TODAY()),1))),1,0))</f>
        <v/>
      </c>
      <c r="R176">
        <f>IF($A176="","",IF(AND($B176&gt;0,E176&lt;$B176,DATE($B$1,3,1)&lt;=TODAY(),OR($O176="",$O176&gt;=DATE($B$1,3,1)),OR(COUNTIF($C176:E176,"&gt;0")&gt;0,DATE($B$1,3,1)=DATE(YEAR(TODAY()),MONTH(TODAY()),1))),1,0))</f>
        <v/>
      </c>
      <c r="S176">
        <f>IF($A176="","",IF(AND($B176&gt;0,F176&lt;$B176,DATE($B$1,4,1)&lt;=TODAY(),OR($O176="",$O176&gt;=DATE($B$1,4,1)),OR(COUNTIF($C176:F176,"&gt;0")&gt;0,DATE($B$1,4,1)=DATE(YEAR(TODAY()),MONTH(TODAY()),1))),1,0))</f>
        <v/>
      </c>
      <c r="T176">
        <f>IF($A176="","",IF(AND($B176&gt;0,G176&lt;$B176,DATE($B$1,5,1)&lt;=TODAY(),OR($O176="",$O176&gt;=DATE($B$1,5,1)),OR(COUNTIF($C176:G176,"&gt;0")&gt;0,DATE($B$1,5,1)=DATE(YEAR(TODAY()),MONTH(TODAY()),1))),1,0))</f>
        <v/>
      </c>
      <c r="U176">
        <f>IF($A176="","",IF(AND($B176&gt;0,H176&lt;$B176,DATE($B$1,6,1)&lt;=TODAY(),OR($O176="",$O176&gt;=DATE($B$1,6,1)),OR(COUNTIF($C176:H176,"&gt;0")&gt;0,DATE($B$1,6,1)=DATE(YEAR(TODAY()),MONTH(TODAY()),1))),1,0))</f>
        <v/>
      </c>
      <c r="V176">
        <f>IF($A176="","",IF(AND($B176&gt;0,I176&lt;$B176,DATE($B$1,7,1)&lt;=TODAY(),OR($O176="",$O176&gt;=DATE($B$1,7,1)),OR(COUNTIF($C176:I176,"&gt;0")&gt;0,DATE($B$1,7,1)=DATE(YEAR(TODAY()),MONTH(TODAY()),1))),1,0))</f>
        <v/>
      </c>
      <c r="W176">
        <f>IF($A176="","",IF(AND($B176&gt;0,J176&lt;$B176,DATE($B$1,8,1)&lt;=TODAY(),OR($O176="",$O176&gt;=DATE($B$1,8,1)),OR(COUNTIF($C176:J176,"&gt;0")&gt;0,DATE($B$1,8,1)=DATE(YEAR(TODAY()),MONTH(TODAY()),1))),1,0))</f>
        <v/>
      </c>
      <c r="X176">
        <f>IF($A176="","",IF(AND($B176&gt;0,K176&lt;$B176,DATE($B$1,9,1)&lt;=TODAY(),OR($O176="",$O176&gt;=DATE($B$1,9,1)),OR(COUNTIF($C176:K176,"&gt;0")&gt;0,DATE($B$1,9,1)=DATE(YEAR(TODAY()),MONTH(TODAY()),1))),1,0))</f>
        <v/>
      </c>
      <c r="Y176">
        <f>IF($A176="","",IF(AND($B176&gt;0,L176&lt;$B176,DATE($B$1,10,1)&lt;=TODAY(),OR($O176="",$O176&gt;=DATE($B$1,10,1)),OR(COUNTIF($C176:L176,"&gt;0")&gt;0,DATE($B$1,10,1)=DATE(YEAR(TODAY()),MONTH(TODAY()),1))),1,0))</f>
        <v/>
      </c>
      <c r="Z176">
        <f>IF($A176="","",IF(AND($B176&gt;0,M176&lt;$B176,DATE($B$1,11,1)&lt;=TODAY(),OR($O176="",$O176&gt;=DATE($B$1,11,1)),OR(COUNTIF($C176:M176,"&gt;0")&gt;0,DATE($B$1,11,1)=DATE(YEAR(TODAY()),MONTH(TODAY()),1))),1,0))</f>
        <v/>
      </c>
      <c r="AA176">
        <f>IF($A176="","",IF(AND($B176&gt;0,N176&lt;$B176,DATE($B$1,12,1)&lt;=TODAY(),OR($O176="",$O176&gt;=DATE($B$1,12,1)),OR(COUNTIF($C176:N176,"&gt;0")&gt;0,DATE($B$1,12,1)=DATE(YEAR(TODAY()),MONTH(TODAY()),1))),1,0))</f>
        <v/>
      </c>
    </row>
    <row r="177">
      <c r="A177" s="13">
        <f>IF(원생!$A175="","",원생!$A175&amp;IF(원생!$G175="",""," ("&amp;원생!$G175&amp;")"))</f>
        <v/>
      </c>
      <c r="B177" s="8">
        <f>IF(원생!$A175="","",원생!$F175)</f>
        <v/>
      </c>
      <c r="C177" s="14">
        <f>IF(원생!$A175="","",SUMIFS(수납!$F:$F,수납!$C:$C,원생!$A175,수납!$D:$D,IF(원생!$G175="","",원생!$G175),수납!$B:$B,$B$1&amp;"-"&amp;TEXT(1,"00")&amp;"*",수납!$E:$E,"수강료")+SUMIFS(수납!$F:$F,수납!$C:$C,원생!$A175,수납!$D:$D,IF(원생!$G175="","",원생!$G175),수납!$B:$B,$B$1&amp;"-"&amp;TEXT(1,"00")&amp;"*",수납!$E:$E,""))</f>
        <v/>
      </c>
      <c r="D177" s="14">
        <f>IF(원생!$A175="","",SUMIFS(수납!$F:$F,수납!$C:$C,원생!$A175,수납!$D:$D,IF(원생!$G175="","",원생!$G175),수납!$B:$B,$B$1&amp;"-"&amp;TEXT(2,"00")&amp;"*",수납!$E:$E,"수강료")+SUMIFS(수납!$F:$F,수납!$C:$C,원생!$A175,수납!$D:$D,IF(원생!$G175="","",원생!$G175),수납!$B:$B,$B$1&amp;"-"&amp;TEXT(2,"00")&amp;"*",수납!$E:$E,""))</f>
        <v/>
      </c>
      <c r="E177" s="14">
        <f>IF(원생!$A175="","",SUMIFS(수납!$F:$F,수납!$C:$C,원생!$A175,수납!$D:$D,IF(원생!$G175="","",원생!$G175),수납!$B:$B,$B$1&amp;"-"&amp;TEXT(3,"00")&amp;"*",수납!$E:$E,"수강료")+SUMIFS(수납!$F:$F,수납!$C:$C,원생!$A175,수납!$D:$D,IF(원생!$G175="","",원생!$G175),수납!$B:$B,$B$1&amp;"-"&amp;TEXT(3,"00")&amp;"*",수납!$E:$E,""))</f>
        <v/>
      </c>
      <c r="F177" s="14">
        <f>IF(원생!$A175="","",SUMIFS(수납!$F:$F,수납!$C:$C,원생!$A175,수납!$D:$D,IF(원생!$G175="","",원생!$G175),수납!$B:$B,$B$1&amp;"-"&amp;TEXT(4,"00")&amp;"*",수납!$E:$E,"수강료")+SUMIFS(수납!$F:$F,수납!$C:$C,원생!$A175,수납!$D:$D,IF(원생!$G175="","",원생!$G175),수납!$B:$B,$B$1&amp;"-"&amp;TEXT(4,"00")&amp;"*",수납!$E:$E,""))</f>
        <v/>
      </c>
      <c r="G177" s="14">
        <f>IF(원생!$A175="","",SUMIFS(수납!$F:$F,수납!$C:$C,원생!$A175,수납!$D:$D,IF(원생!$G175="","",원생!$G175),수납!$B:$B,$B$1&amp;"-"&amp;TEXT(5,"00")&amp;"*",수납!$E:$E,"수강료")+SUMIFS(수납!$F:$F,수납!$C:$C,원생!$A175,수납!$D:$D,IF(원생!$G175="","",원생!$G175),수납!$B:$B,$B$1&amp;"-"&amp;TEXT(5,"00")&amp;"*",수납!$E:$E,""))</f>
        <v/>
      </c>
      <c r="H177" s="14">
        <f>IF(원생!$A175="","",SUMIFS(수납!$F:$F,수납!$C:$C,원생!$A175,수납!$D:$D,IF(원생!$G175="","",원생!$G175),수납!$B:$B,$B$1&amp;"-"&amp;TEXT(6,"00")&amp;"*",수납!$E:$E,"수강료")+SUMIFS(수납!$F:$F,수납!$C:$C,원생!$A175,수납!$D:$D,IF(원생!$G175="","",원생!$G175),수납!$B:$B,$B$1&amp;"-"&amp;TEXT(6,"00")&amp;"*",수납!$E:$E,""))</f>
        <v/>
      </c>
      <c r="I177" s="14">
        <f>IF(원생!$A175="","",SUMIFS(수납!$F:$F,수납!$C:$C,원생!$A175,수납!$D:$D,IF(원생!$G175="","",원생!$G175),수납!$B:$B,$B$1&amp;"-"&amp;TEXT(7,"00")&amp;"*",수납!$E:$E,"수강료")+SUMIFS(수납!$F:$F,수납!$C:$C,원생!$A175,수납!$D:$D,IF(원생!$G175="","",원생!$G175),수납!$B:$B,$B$1&amp;"-"&amp;TEXT(7,"00")&amp;"*",수납!$E:$E,""))</f>
        <v/>
      </c>
      <c r="J177" s="14">
        <f>IF(원생!$A175="","",SUMIFS(수납!$F:$F,수납!$C:$C,원생!$A175,수납!$D:$D,IF(원생!$G175="","",원생!$G175),수납!$B:$B,$B$1&amp;"-"&amp;TEXT(8,"00")&amp;"*",수납!$E:$E,"수강료")+SUMIFS(수납!$F:$F,수납!$C:$C,원생!$A175,수납!$D:$D,IF(원생!$G175="","",원생!$G175),수납!$B:$B,$B$1&amp;"-"&amp;TEXT(8,"00")&amp;"*",수납!$E:$E,""))</f>
        <v/>
      </c>
      <c r="K177" s="14">
        <f>IF(원생!$A175="","",SUMIFS(수납!$F:$F,수납!$C:$C,원생!$A175,수납!$D:$D,IF(원생!$G175="","",원생!$G175),수납!$B:$B,$B$1&amp;"-"&amp;TEXT(9,"00")&amp;"*",수납!$E:$E,"수강료")+SUMIFS(수납!$F:$F,수납!$C:$C,원생!$A175,수납!$D:$D,IF(원생!$G175="","",원생!$G175),수납!$B:$B,$B$1&amp;"-"&amp;TEXT(9,"00")&amp;"*",수납!$E:$E,""))</f>
        <v/>
      </c>
      <c r="L177" s="14">
        <f>IF(원생!$A175="","",SUMIFS(수납!$F:$F,수납!$C:$C,원생!$A175,수납!$D:$D,IF(원생!$G175="","",원생!$G175),수납!$B:$B,$B$1&amp;"-"&amp;TEXT(10,"00")&amp;"*",수납!$E:$E,"수강료")+SUMIFS(수납!$F:$F,수납!$C:$C,원생!$A175,수납!$D:$D,IF(원생!$G175="","",원생!$G175),수납!$B:$B,$B$1&amp;"-"&amp;TEXT(10,"00")&amp;"*",수납!$E:$E,""))</f>
        <v/>
      </c>
      <c r="M177" s="14">
        <f>IF(원생!$A175="","",SUMIFS(수납!$F:$F,수납!$C:$C,원생!$A175,수납!$D:$D,IF(원생!$G175="","",원생!$G175),수납!$B:$B,$B$1&amp;"-"&amp;TEXT(11,"00")&amp;"*",수납!$E:$E,"수강료")+SUMIFS(수납!$F:$F,수납!$C:$C,원생!$A175,수납!$D:$D,IF(원생!$G175="","",원생!$G175),수납!$B:$B,$B$1&amp;"-"&amp;TEXT(11,"00")&amp;"*",수납!$E:$E,""))</f>
        <v/>
      </c>
      <c r="N177" s="14">
        <f>IF(원생!$A175="","",SUMIFS(수납!$F:$F,수납!$C:$C,원생!$A175,수납!$D:$D,IF(원생!$G175="","",원생!$G175),수납!$B:$B,$B$1&amp;"-"&amp;TEXT(12,"00")&amp;"*",수납!$E:$E,"수강료")+SUMIFS(수납!$F:$F,수납!$C:$C,원생!$A175,수납!$D:$D,IF(원생!$G175="","",원생!$G175),수납!$B:$B,$B$1&amp;"-"&amp;TEXT(12,"00")&amp;"*",수납!$E:$E,""))</f>
        <v/>
      </c>
      <c r="O177">
        <f>IF(원생!$I175="","",원생!$I175)</f>
        <v/>
      </c>
      <c r="P177">
        <f>IF($A177="","",IF(AND($B177&gt;0,C177&lt;$B177,DATE($B$1,1,1)&lt;=TODAY(),OR($O177="",$O177&gt;=DATE($B$1,1,1)),OR(COUNTIF($C177:C177,"&gt;0")&gt;0,DATE($B$1,1,1)=DATE(YEAR(TODAY()),MONTH(TODAY()),1))),1,0))</f>
        <v/>
      </c>
      <c r="Q177">
        <f>IF($A177="","",IF(AND($B177&gt;0,D177&lt;$B177,DATE($B$1,2,1)&lt;=TODAY(),OR($O177="",$O177&gt;=DATE($B$1,2,1)),OR(COUNTIF($C177:D177,"&gt;0")&gt;0,DATE($B$1,2,1)=DATE(YEAR(TODAY()),MONTH(TODAY()),1))),1,0))</f>
        <v/>
      </c>
      <c r="R177">
        <f>IF($A177="","",IF(AND($B177&gt;0,E177&lt;$B177,DATE($B$1,3,1)&lt;=TODAY(),OR($O177="",$O177&gt;=DATE($B$1,3,1)),OR(COUNTIF($C177:E177,"&gt;0")&gt;0,DATE($B$1,3,1)=DATE(YEAR(TODAY()),MONTH(TODAY()),1))),1,0))</f>
        <v/>
      </c>
      <c r="S177">
        <f>IF($A177="","",IF(AND($B177&gt;0,F177&lt;$B177,DATE($B$1,4,1)&lt;=TODAY(),OR($O177="",$O177&gt;=DATE($B$1,4,1)),OR(COUNTIF($C177:F177,"&gt;0")&gt;0,DATE($B$1,4,1)=DATE(YEAR(TODAY()),MONTH(TODAY()),1))),1,0))</f>
        <v/>
      </c>
      <c r="T177">
        <f>IF($A177="","",IF(AND($B177&gt;0,G177&lt;$B177,DATE($B$1,5,1)&lt;=TODAY(),OR($O177="",$O177&gt;=DATE($B$1,5,1)),OR(COUNTIF($C177:G177,"&gt;0")&gt;0,DATE($B$1,5,1)=DATE(YEAR(TODAY()),MONTH(TODAY()),1))),1,0))</f>
        <v/>
      </c>
      <c r="U177">
        <f>IF($A177="","",IF(AND($B177&gt;0,H177&lt;$B177,DATE($B$1,6,1)&lt;=TODAY(),OR($O177="",$O177&gt;=DATE($B$1,6,1)),OR(COUNTIF($C177:H177,"&gt;0")&gt;0,DATE($B$1,6,1)=DATE(YEAR(TODAY()),MONTH(TODAY()),1))),1,0))</f>
        <v/>
      </c>
      <c r="V177">
        <f>IF($A177="","",IF(AND($B177&gt;0,I177&lt;$B177,DATE($B$1,7,1)&lt;=TODAY(),OR($O177="",$O177&gt;=DATE($B$1,7,1)),OR(COUNTIF($C177:I177,"&gt;0")&gt;0,DATE($B$1,7,1)=DATE(YEAR(TODAY()),MONTH(TODAY()),1))),1,0))</f>
        <v/>
      </c>
      <c r="W177">
        <f>IF($A177="","",IF(AND($B177&gt;0,J177&lt;$B177,DATE($B$1,8,1)&lt;=TODAY(),OR($O177="",$O177&gt;=DATE($B$1,8,1)),OR(COUNTIF($C177:J177,"&gt;0")&gt;0,DATE($B$1,8,1)=DATE(YEAR(TODAY()),MONTH(TODAY()),1))),1,0))</f>
        <v/>
      </c>
      <c r="X177">
        <f>IF($A177="","",IF(AND($B177&gt;0,K177&lt;$B177,DATE($B$1,9,1)&lt;=TODAY(),OR($O177="",$O177&gt;=DATE($B$1,9,1)),OR(COUNTIF($C177:K177,"&gt;0")&gt;0,DATE($B$1,9,1)=DATE(YEAR(TODAY()),MONTH(TODAY()),1))),1,0))</f>
        <v/>
      </c>
      <c r="Y177">
        <f>IF($A177="","",IF(AND($B177&gt;0,L177&lt;$B177,DATE($B$1,10,1)&lt;=TODAY(),OR($O177="",$O177&gt;=DATE($B$1,10,1)),OR(COUNTIF($C177:L177,"&gt;0")&gt;0,DATE($B$1,10,1)=DATE(YEAR(TODAY()),MONTH(TODAY()),1))),1,0))</f>
        <v/>
      </c>
      <c r="Z177">
        <f>IF($A177="","",IF(AND($B177&gt;0,M177&lt;$B177,DATE($B$1,11,1)&lt;=TODAY(),OR($O177="",$O177&gt;=DATE($B$1,11,1)),OR(COUNTIF($C177:M177,"&gt;0")&gt;0,DATE($B$1,11,1)=DATE(YEAR(TODAY()),MONTH(TODAY()),1))),1,0))</f>
        <v/>
      </c>
      <c r="AA177">
        <f>IF($A177="","",IF(AND($B177&gt;0,N177&lt;$B177,DATE($B$1,12,1)&lt;=TODAY(),OR($O177="",$O177&gt;=DATE($B$1,12,1)),OR(COUNTIF($C177:N177,"&gt;0")&gt;0,DATE($B$1,12,1)=DATE(YEAR(TODAY()),MONTH(TODAY()),1))),1,0))</f>
        <v/>
      </c>
    </row>
    <row r="178">
      <c r="A178" s="13">
        <f>IF(원생!$A176="","",원생!$A176&amp;IF(원생!$G176="",""," ("&amp;원생!$G176&amp;")"))</f>
        <v/>
      </c>
      <c r="B178" s="8">
        <f>IF(원생!$A176="","",원생!$F176)</f>
        <v/>
      </c>
      <c r="C178" s="14">
        <f>IF(원생!$A176="","",SUMIFS(수납!$F:$F,수납!$C:$C,원생!$A176,수납!$D:$D,IF(원생!$G176="","",원생!$G176),수납!$B:$B,$B$1&amp;"-"&amp;TEXT(1,"00")&amp;"*",수납!$E:$E,"수강료")+SUMIFS(수납!$F:$F,수납!$C:$C,원생!$A176,수납!$D:$D,IF(원생!$G176="","",원생!$G176),수납!$B:$B,$B$1&amp;"-"&amp;TEXT(1,"00")&amp;"*",수납!$E:$E,""))</f>
        <v/>
      </c>
      <c r="D178" s="14">
        <f>IF(원생!$A176="","",SUMIFS(수납!$F:$F,수납!$C:$C,원생!$A176,수납!$D:$D,IF(원생!$G176="","",원생!$G176),수납!$B:$B,$B$1&amp;"-"&amp;TEXT(2,"00")&amp;"*",수납!$E:$E,"수강료")+SUMIFS(수납!$F:$F,수납!$C:$C,원생!$A176,수납!$D:$D,IF(원생!$G176="","",원생!$G176),수납!$B:$B,$B$1&amp;"-"&amp;TEXT(2,"00")&amp;"*",수납!$E:$E,""))</f>
        <v/>
      </c>
      <c r="E178" s="14">
        <f>IF(원생!$A176="","",SUMIFS(수납!$F:$F,수납!$C:$C,원생!$A176,수납!$D:$D,IF(원생!$G176="","",원생!$G176),수납!$B:$B,$B$1&amp;"-"&amp;TEXT(3,"00")&amp;"*",수납!$E:$E,"수강료")+SUMIFS(수납!$F:$F,수납!$C:$C,원생!$A176,수납!$D:$D,IF(원생!$G176="","",원생!$G176),수납!$B:$B,$B$1&amp;"-"&amp;TEXT(3,"00")&amp;"*",수납!$E:$E,""))</f>
        <v/>
      </c>
      <c r="F178" s="14">
        <f>IF(원생!$A176="","",SUMIFS(수납!$F:$F,수납!$C:$C,원생!$A176,수납!$D:$D,IF(원생!$G176="","",원생!$G176),수납!$B:$B,$B$1&amp;"-"&amp;TEXT(4,"00")&amp;"*",수납!$E:$E,"수강료")+SUMIFS(수납!$F:$F,수납!$C:$C,원생!$A176,수납!$D:$D,IF(원생!$G176="","",원생!$G176),수납!$B:$B,$B$1&amp;"-"&amp;TEXT(4,"00")&amp;"*",수납!$E:$E,""))</f>
        <v/>
      </c>
      <c r="G178" s="14">
        <f>IF(원생!$A176="","",SUMIFS(수납!$F:$F,수납!$C:$C,원생!$A176,수납!$D:$D,IF(원생!$G176="","",원생!$G176),수납!$B:$B,$B$1&amp;"-"&amp;TEXT(5,"00")&amp;"*",수납!$E:$E,"수강료")+SUMIFS(수납!$F:$F,수납!$C:$C,원생!$A176,수납!$D:$D,IF(원생!$G176="","",원생!$G176),수납!$B:$B,$B$1&amp;"-"&amp;TEXT(5,"00")&amp;"*",수납!$E:$E,""))</f>
        <v/>
      </c>
      <c r="H178" s="14">
        <f>IF(원생!$A176="","",SUMIFS(수납!$F:$F,수납!$C:$C,원생!$A176,수납!$D:$D,IF(원생!$G176="","",원생!$G176),수납!$B:$B,$B$1&amp;"-"&amp;TEXT(6,"00")&amp;"*",수납!$E:$E,"수강료")+SUMIFS(수납!$F:$F,수납!$C:$C,원생!$A176,수납!$D:$D,IF(원생!$G176="","",원생!$G176),수납!$B:$B,$B$1&amp;"-"&amp;TEXT(6,"00")&amp;"*",수납!$E:$E,""))</f>
        <v/>
      </c>
      <c r="I178" s="14">
        <f>IF(원생!$A176="","",SUMIFS(수납!$F:$F,수납!$C:$C,원생!$A176,수납!$D:$D,IF(원생!$G176="","",원생!$G176),수납!$B:$B,$B$1&amp;"-"&amp;TEXT(7,"00")&amp;"*",수납!$E:$E,"수강료")+SUMIFS(수납!$F:$F,수납!$C:$C,원생!$A176,수납!$D:$D,IF(원생!$G176="","",원생!$G176),수납!$B:$B,$B$1&amp;"-"&amp;TEXT(7,"00")&amp;"*",수납!$E:$E,""))</f>
        <v/>
      </c>
      <c r="J178" s="14">
        <f>IF(원생!$A176="","",SUMIFS(수납!$F:$F,수납!$C:$C,원생!$A176,수납!$D:$D,IF(원생!$G176="","",원생!$G176),수납!$B:$B,$B$1&amp;"-"&amp;TEXT(8,"00")&amp;"*",수납!$E:$E,"수강료")+SUMIFS(수납!$F:$F,수납!$C:$C,원생!$A176,수납!$D:$D,IF(원생!$G176="","",원생!$G176),수납!$B:$B,$B$1&amp;"-"&amp;TEXT(8,"00")&amp;"*",수납!$E:$E,""))</f>
        <v/>
      </c>
      <c r="K178" s="14">
        <f>IF(원생!$A176="","",SUMIFS(수납!$F:$F,수납!$C:$C,원생!$A176,수납!$D:$D,IF(원생!$G176="","",원생!$G176),수납!$B:$B,$B$1&amp;"-"&amp;TEXT(9,"00")&amp;"*",수납!$E:$E,"수강료")+SUMIFS(수납!$F:$F,수납!$C:$C,원생!$A176,수납!$D:$D,IF(원생!$G176="","",원생!$G176),수납!$B:$B,$B$1&amp;"-"&amp;TEXT(9,"00")&amp;"*",수납!$E:$E,""))</f>
        <v/>
      </c>
      <c r="L178" s="14">
        <f>IF(원생!$A176="","",SUMIFS(수납!$F:$F,수납!$C:$C,원생!$A176,수납!$D:$D,IF(원생!$G176="","",원생!$G176),수납!$B:$B,$B$1&amp;"-"&amp;TEXT(10,"00")&amp;"*",수납!$E:$E,"수강료")+SUMIFS(수납!$F:$F,수납!$C:$C,원생!$A176,수납!$D:$D,IF(원생!$G176="","",원생!$G176),수납!$B:$B,$B$1&amp;"-"&amp;TEXT(10,"00")&amp;"*",수납!$E:$E,""))</f>
        <v/>
      </c>
      <c r="M178" s="14">
        <f>IF(원생!$A176="","",SUMIFS(수납!$F:$F,수납!$C:$C,원생!$A176,수납!$D:$D,IF(원생!$G176="","",원생!$G176),수납!$B:$B,$B$1&amp;"-"&amp;TEXT(11,"00")&amp;"*",수납!$E:$E,"수강료")+SUMIFS(수납!$F:$F,수납!$C:$C,원생!$A176,수납!$D:$D,IF(원생!$G176="","",원생!$G176),수납!$B:$B,$B$1&amp;"-"&amp;TEXT(11,"00")&amp;"*",수납!$E:$E,""))</f>
        <v/>
      </c>
      <c r="N178" s="14">
        <f>IF(원생!$A176="","",SUMIFS(수납!$F:$F,수납!$C:$C,원생!$A176,수납!$D:$D,IF(원생!$G176="","",원생!$G176),수납!$B:$B,$B$1&amp;"-"&amp;TEXT(12,"00")&amp;"*",수납!$E:$E,"수강료")+SUMIFS(수납!$F:$F,수납!$C:$C,원생!$A176,수납!$D:$D,IF(원생!$G176="","",원생!$G176),수납!$B:$B,$B$1&amp;"-"&amp;TEXT(12,"00")&amp;"*",수납!$E:$E,""))</f>
        <v/>
      </c>
      <c r="O178">
        <f>IF(원생!$I176="","",원생!$I176)</f>
        <v/>
      </c>
      <c r="P178">
        <f>IF($A178="","",IF(AND($B178&gt;0,C178&lt;$B178,DATE($B$1,1,1)&lt;=TODAY(),OR($O178="",$O178&gt;=DATE($B$1,1,1)),OR(COUNTIF($C178:C178,"&gt;0")&gt;0,DATE($B$1,1,1)=DATE(YEAR(TODAY()),MONTH(TODAY()),1))),1,0))</f>
        <v/>
      </c>
      <c r="Q178">
        <f>IF($A178="","",IF(AND($B178&gt;0,D178&lt;$B178,DATE($B$1,2,1)&lt;=TODAY(),OR($O178="",$O178&gt;=DATE($B$1,2,1)),OR(COUNTIF($C178:D178,"&gt;0")&gt;0,DATE($B$1,2,1)=DATE(YEAR(TODAY()),MONTH(TODAY()),1))),1,0))</f>
        <v/>
      </c>
      <c r="R178">
        <f>IF($A178="","",IF(AND($B178&gt;0,E178&lt;$B178,DATE($B$1,3,1)&lt;=TODAY(),OR($O178="",$O178&gt;=DATE($B$1,3,1)),OR(COUNTIF($C178:E178,"&gt;0")&gt;0,DATE($B$1,3,1)=DATE(YEAR(TODAY()),MONTH(TODAY()),1))),1,0))</f>
        <v/>
      </c>
      <c r="S178">
        <f>IF($A178="","",IF(AND($B178&gt;0,F178&lt;$B178,DATE($B$1,4,1)&lt;=TODAY(),OR($O178="",$O178&gt;=DATE($B$1,4,1)),OR(COUNTIF($C178:F178,"&gt;0")&gt;0,DATE($B$1,4,1)=DATE(YEAR(TODAY()),MONTH(TODAY()),1))),1,0))</f>
        <v/>
      </c>
      <c r="T178">
        <f>IF($A178="","",IF(AND($B178&gt;0,G178&lt;$B178,DATE($B$1,5,1)&lt;=TODAY(),OR($O178="",$O178&gt;=DATE($B$1,5,1)),OR(COUNTIF($C178:G178,"&gt;0")&gt;0,DATE($B$1,5,1)=DATE(YEAR(TODAY()),MONTH(TODAY()),1))),1,0))</f>
        <v/>
      </c>
      <c r="U178">
        <f>IF($A178="","",IF(AND($B178&gt;0,H178&lt;$B178,DATE($B$1,6,1)&lt;=TODAY(),OR($O178="",$O178&gt;=DATE($B$1,6,1)),OR(COUNTIF($C178:H178,"&gt;0")&gt;0,DATE($B$1,6,1)=DATE(YEAR(TODAY()),MONTH(TODAY()),1))),1,0))</f>
        <v/>
      </c>
      <c r="V178">
        <f>IF($A178="","",IF(AND($B178&gt;0,I178&lt;$B178,DATE($B$1,7,1)&lt;=TODAY(),OR($O178="",$O178&gt;=DATE($B$1,7,1)),OR(COUNTIF($C178:I178,"&gt;0")&gt;0,DATE($B$1,7,1)=DATE(YEAR(TODAY()),MONTH(TODAY()),1))),1,0))</f>
        <v/>
      </c>
      <c r="W178">
        <f>IF($A178="","",IF(AND($B178&gt;0,J178&lt;$B178,DATE($B$1,8,1)&lt;=TODAY(),OR($O178="",$O178&gt;=DATE($B$1,8,1)),OR(COUNTIF($C178:J178,"&gt;0")&gt;0,DATE($B$1,8,1)=DATE(YEAR(TODAY()),MONTH(TODAY()),1))),1,0))</f>
        <v/>
      </c>
      <c r="X178">
        <f>IF($A178="","",IF(AND($B178&gt;0,K178&lt;$B178,DATE($B$1,9,1)&lt;=TODAY(),OR($O178="",$O178&gt;=DATE($B$1,9,1)),OR(COUNTIF($C178:K178,"&gt;0")&gt;0,DATE($B$1,9,1)=DATE(YEAR(TODAY()),MONTH(TODAY()),1))),1,0))</f>
        <v/>
      </c>
      <c r="Y178">
        <f>IF($A178="","",IF(AND($B178&gt;0,L178&lt;$B178,DATE($B$1,10,1)&lt;=TODAY(),OR($O178="",$O178&gt;=DATE($B$1,10,1)),OR(COUNTIF($C178:L178,"&gt;0")&gt;0,DATE($B$1,10,1)=DATE(YEAR(TODAY()),MONTH(TODAY()),1))),1,0))</f>
        <v/>
      </c>
      <c r="Z178">
        <f>IF($A178="","",IF(AND($B178&gt;0,M178&lt;$B178,DATE($B$1,11,1)&lt;=TODAY(),OR($O178="",$O178&gt;=DATE($B$1,11,1)),OR(COUNTIF($C178:M178,"&gt;0")&gt;0,DATE($B$1,11,1)=DATE(YEAR(TODAY()),MONTH(TODAY()),1))),1,0))</f>
        <v/>
      </c>
      <c r="AA178">
        <f>IF($A178="","",IF(AND($B178&gt;0,N178&lt;$B178,DATE($B$1,12,1)&lt;=TODAY(),OR($O178="",$O178&gt;=DATE($B$1,12,1)),OR(COUNTIF($C178:N178,"&gt;0")&gt;0,DATE($B$1,12,1)=DATE(YEAR(TODAY()),MONTH(TODAY()),1))),1,0))</f>
        <v/>
      </c>
    </row>
    <row r="179">
      <c r="A179" s="13">
        <f>IF(원생!$A177="","",원생!$A177&amp;IF(원생!$G177="",""," ("&amp;원생!$G177&amp;")"))</f>
        <v/>
      </c>
      <c r="B179" s="8">
        <f>IF(원생!$A177="","",원생!$F177)</f>
        <v/>
      </c>
      <c r="C179" s="14">
        <f>IF(원생!$A177="","",SUMIFS(수납!$F:$F,수납!$C:$C,원생!$A177,수납!$D:$D,IF(원생!$G177="","",원생!$G177),수납!$B:$B,$B$1&amp;"-"&amp;TEXT(1,"00")&amp;"*",수납!$E:$E,"수강료")+SUMIFS(수납!$F:$F,수납!$C:$C,원생!$A177,수납!$D:$D,IF(원생!$G177="","",원생!$G177),수납!$B:$B,$B$1&amp;"-"&amp;TEXT(1,"00")&amp;"*",수납!$E:$E,""))</f>
        <v/>
      </c>
      <c r="D179" s="14">
        <f>IF(원생!$A177="","",SUMIFS(수납!$F:$F,수납!$C:$C,원생!$A177,수납!$D:$D,IF(원생!$G177="","",원생!$G177),수납!$B:$B,$B$1&amp;"-"&amp;TEXT(2,"00")&amp;"*",수납!$E:$E,"수강료")+SUMIFS(수납!$F:$F,수납!$C:$C,원생!$A177,수납!$D:$D,IF(원생!$G177="","",원생!$G177),수납!$B:$B,$B$1&amp;"-"&amp;TEXT(2,"00")&amp;"*",수납!$E:$E,""))</f>
        <v/>
      </c>
      <c r="E179" s="14">
        <f>IF(원생!$A177="","",SUMIFS(수납!$F:$F,수납!$C:$C,원생!$A177,수납!$D:$D,IF(원생!$G177="","",원생!$G177),수납!$B:$B,$B$1&amp;"-"&amp;TEXT(3,"00")&amp;"*",수납!$E:$E,"수강료")+SUMIFS(수납!$F:$F,수납!$C:$C,원생!$A177,수납!$D:$D,IF(원생!$G177="","",원생!$G177),수납!$B:$B,$B$1&amp;"-"&amp;TEXT(3,"00")&amp;"*",수납!$E:$E,""))</f>
        <v/>
      </c>
      <c r="F179" s="14">
        <f>IF(원생!$A177="","",SUMIFS(수납!$F:$F,수납!$C:$C,원생!$A177,수납!$D:$D,IF(원생!$G177="","",원생!$G177),수납!$B:$B,$B$1&amp;"-"&amp;TEXT(4,"00")&amp;"*",수납!$E:$E,"수강료")+SUMIFS(수납!$F:$F,수납!$C:$C,원생!$A177,수납!$D:$D,IF(원생!$G177="","",원생!$G177),수납!$B:$B,$B$1&amp;"-"&amp;TEXT(4,"00")&amp;"*",수납!$E:$E,""))</f>
        <v/>
      </c>
      <c r="G179" s="14">
        <f>IF(원생!$A177="","",SUMIFS(수납!$F:$F,수납!$C:$C,원생!$A177,수납!$D:$D,IF(원생!$G177="","",원생!$G177),수납!$B:$B,$B$1&amp;"-"&amp;TEXT(5,"00")&amp;"*",수납!$E:$E,"수강료")+SUMIFS(수납!$F:$F,수납!$C:$C,원생!$A177,수납!$D:$D,IF(원생!$G177="","",원생!$G177),수납!$B:$B,$B$1&amp;"-"&amp;TEXT(5,"00")&amp;"*",수납!$E:$E,""))</f>
        <v/>
      </c>
      <c r="H179" s="14">
        <f>IF(원생!$A177="","",SUMIFS(수납!$F:$F,수납!$C:$C,원생!$A177,수납!$D:$D,IF(원생!$G177="","",원생!$G177),수납!$B:$B,$B$1&amp;"-"&amp;TEXT(6,"00")&amp;"*",수납!$E:$E,"수강료")+SUMIFS(수납!$F:$F,수납!$C:$C,원생!$A177,수납!$D:$D,IF(원생!$G177="","",원생!$G177),수납!$B:$B,$B$1&amp;"-"&amp;TEXT(6,"00")&amp;"*",수납!$E:$E,""))</f>
        <v/>
      </c>
      <c r="I179" s="14">
        <f>IF(원생!$A177="","",SUMIFS(수납!$F:$F,수납!$C:$C,원생!$A177,수납!$D:$D,IF(원생!$G177="","",원생!$G177),수납!$B:$B,$B$1&amp;"-"&amp;TEXT(7,"00")&amp;"*",수납!$E:$E,"수강료")+SUMIFS(수납!$F:$F,수납!$C:$C,원생!$A177,수납!$D:$D,IF(원생!$G177="","",원생!$G177),수납!$B:$B,$B$1&amp;"-"&amp;TEXT(7,"00")&amp;"*",수납!$E:$E,""))</f>
        <v/>
      </c>
      <c r="J179" s="14">
        <f>IF(원생!$A177="","",SUMIFS(수납!$F:$F,수납!$C:$C,원생!$A177,수납!$D:$D,IF(원생!$G177="","",원생!$G177),수납!$B:$B,$B$1&amp;"-"&amp;TEXT(8,"00")&amp;"*",수납!$E:$E,"수강료")+SUMIFS(수납!$F:$F,수납!$C:$C,원생!$A177,수납!$D:$D,IF(원생!$G177="","",원생!$G177),수납!$B:$B,$B$1&amp;"-"&amp;TEXT(8,"00")&amp;"*",수납!$E:$E,""))</f>
        <v/>
      </c>
      <c r="K179" s="14">
        <f>IF(원생!$A177="","",SUMIFS(수납!$F:$F,수납!$C:$C,원생!$A177,수납!$D:$D,IF(원생!$G177="","",원생!$G177),수납!$B:$B,$B$1&amp;"-"&amp;TEXT(9,"00")&amp;"*",수납!$E:$E,"수강료")+SUMIFS(수납!$F:$F,수납!$C:$C,원생!$A177,수납!$D:$D,IF(원생!$G177="","",원생!$G177),수납!$B:$B,$B$1&amp;"-"&amp;TEXT(9,"00")&amp;"*",수납!$E:$E,""))</f>
        <v/>
      </c>
      <c r="L179" s="14">
        <f>IF(원생!$A177="","",SUMIFS(수납!$F:$F,수납!$C:$C,원생!$A177,수납!$D:$D,IF(원생!$G177="","",원생!$G177),수납!$B:$B,$B$1&amp;"-"&amp;TEXT(10,"00")&amp;"*",수납!$E:$E,"수강료")+SUMIFS(수납!$F:$F,수납!$C:$C,원생!$A177,수납!$D:$D,IF(원생!$G177="","",원생!$G177),수납!$B:$B,$B$1&amp;"-"&amp;TEXT(10,"00")&amp;"*",수납!$E:$E,""))</f>
        <v/>
      </c>
      <c r="M179" s="14">
        <f>IF(원생!$A177="","",SUMIFS(수납!$F:$F,수납!$C:$C,원생!$A177,수납!$D:$D,IF(원생!$G177="","",원생!$G177),수납!$B:$B,$B$1&amp;"-"&amp;TEXT(11,"00")&amp;"*",수납!$E:$E,"수강료")+SUMIFS(수납!$F:$F,수납!$C:$C,원생!$A177,수납!$D:$D,IF(원생!$G177="","",원생!$G177),수납!$B:$B,$B$1&amp;"-"&amp;TEXT(11,"00")&amp;"*",수납!$E:$E,""))</f>
        <v/>
      </c>
      <c r="N179" s="14">
        <f>IF(원생!$A177="","",SUMIFS(수납!$F:$F,수납!$C:$C,원생!$A177,수납!$D:$D,IF(원생!$G177="","",원생!$G177),수납!$B:$B,$B$1&amp;"-"&amp;TEXT(12,"00")&amp;"*",수납!$E:$E,"수강료")+SUMIFS(수납!$F:$F,수납!$C:$C,원생!$A177,수납!$D:$D,IF(원생!$G177="","",원생!$G177),수납!$B:$B,$B$1&amp;"-"&amp;TEXT(12,"00")&amp;"*",수납!$E:$E,""))</f>
        <v/>
      </c>
      <c r="O179">
        <f>IF(원생!$I177="","",원생!$I177)</f>
        <v/>
      </c>
      <c r="P179">
        <f>IF($A179="","",IF(AND($B179&gt;0,C179&lt;$B179,DATE($B$1,1,1)&lt;=TODAY(),OR($O179="",$O179&gt;=DATE($B$1,1,1)),OR(COUNTIF($C179:C179,"&gt;0")&gt;0,DATE($B$1,1,1)=DATE(YEAR(TODAY()),MONTH(TODAY()),1))),1,0))</f>
        <v/>
      </c>
      <c r="Q179">
        <f>IF($A179="","",IF(AND($B179&gt;0,D179&lt;$B179,DATE($B$1,2,1)&lt;=TODAY(),OR($O179="",$O179&gt;=DATE($B$1,2,1)),OR(COUNTIF($C179:D179,"&gt;0")&gt;0,DATE($B$1,2,1)=DATE(YEAR(TODAY()),MONTH(TODAY()),1))),1,0))</f>
        <v/>
      </c>
      <c r="R179">
        <f>IF($A179="","",IF(AND($B179&gt;0,E179&lt;$B179,DATE($B$1,3,1)&lt;=TODAY(),OR($O179="",$O179&gt;=DATE($B$1,3,1)),OR(COUNTIF($C179:E179,"&gt;0")&gt;0,DATE($B$1,3,1)=DATE(YEAR(TODAY()),MONTH(TODAY()),1))),1,0))</f>
        <v/>
      </c>
      <c r="S179">
        <f>IF($A179="","",IF(AND($B179&gt;0,F179&lt;$B179,DATE($B$1,4,1)&lt;=TODAY(),OR($O179="",$O179&gt;=DATE($B$1,4,1)),OR(COUNTIF($C179:F179,"&gt;0")&gt;0,DATE($B$1,4,1)=DATE(YEAR(TODAY()),MONTH(TODAY()),1))),1,0))</f>
        <v/>
      </c>
      <c r="T179">
        <f>IF($A179="","",IF(AND($B179&gt;0,G179&lt;$B179,DATE($B$1,5,1)&lt;=TODAY(),OR($O179="",$O179&gt;=DATE($B$1,5,1)),OR(COUNTIF($C179:G179,"&gt;0")&gt;0,DATE($B$1,5,1)=DATE(YEAR(TODAY()),MONTH(TODAY()),1))),1,0))</f>
        <v/>
      </c>
      <c r="U179">
        <f>IF($A179="","",IF(AND($B179&gt;0,H179&lt;$B179,DATE($B$1,6,1)&lt;=TODAY(),OR($O179="",$O179&gt;=DATE($B$1,6,1)),OR(COUNTIF($C179:H179,"&gt;0")&gt;0,DATE($B$1,6,1)=DATE(YEAR(TODAY()),MONTH(TODAY()),1))),1,0))</f>
        <v/>
      </c>
      <c r="V179">
        <f>IF($A179="","",IF(AND($B179&gt;0,I179&lt;$B179,DATE($B$1,7,1)&lt;=TODAY(),OR($O179="",$O179&gt;=DATE($B$1,7,1)),OR(COUNTIF($C179:I179,"&gt;0")&gt;0,DATE($B$1,7,1)=DATE(YEAR(TODAY()),MONTH(TODAY()),1))),1,0))</f>
        <v/>
      </c>
      <c r="W179">
        <f>IF($A179="","",IF(AND($B179&gt;0,J179&lt;$B179,DATE($B$1,8,1)&lt;=TODAY(),OR($O179="",$O179&gt;=DATE($B$1,8,1)),OR(COUNTIF($C179:J179,"&gt;0")&gt;0,DATE($B$1,8,1)=DATE(YEAR(TODAY()),MONTH(TODAY()),1))),1,0))</f>
        <v/>
      </c>
      <c r="X179">
        <f>IF($A179="","",IF(AND($B179&gt;0,K179&lt;$B179,DATE($B$1,9,1)&lt;=TODAY(),OR($O179="",$O179&gt;=DATE($B$1,9,1)),OR(COUNTIF($C179:K179,"&gt;0")&gt;0,DATE($B$1,9,1)=DATE(YEAR(TODAY()),MONTH(TODAY()),1))),1,0))</f>
        <v/>
      </c>
      <c r="Y179">
        <f>IF($A179="","",IF(AND($B179&gt;0,L179&lt;$B179,DATE($B$1,10,1)&lt;=TODAY(),OR($O179="",$O179&gt;=DATE($B$1,10,1)),OR(COUNTIF($C179:L179,"&gt;0")&gt;0,DATE($B$1,10,1)=DATE(YEAR(TODAY()),MONTH(TODAY()),1))),1,0))</f>
        <v/>
      </c>
      <c r="Z179">
        <f>IF($A179="","",IF(AND($B179&gt;0,M179&lt;$B179,DATE($B$1,11,1)&lt;=TODAY(),OR($O179="",$O179&gt;=DATE($B$1,11,1)),OR(COUNTIF($C179:M179,"&gt;0")&gt;0,DATE($B$1,11,1)=DATE(YEAR(TODAY()),MONTH(TODAY()),1))),1,0))</f>
        <v/>
      </c>
      <c r="AA179">
        <f>IF($A179="","",IF(AND($B179&gt;0,N179&lt;$B179,DATE($B$1,12,1)&lt;=TODAY(),OR($O179="",$O179&gt;=DATE($B$1,12,1)),OR(COUNTIF($C179:N179,"&gt;0")&gt;0,DATE($B$1,12,1)=DATE(YEAR(TODAY()),MONTH(TODAY()),1))),1,0))</f>
        <v/>
      </c>
    </row>
    <row r="180">
      <c r="A180" s="13">
        <f>IF(원생!$A178="","",원생!$A178&amp;IF(원생!$G178="",""," ("&amp;원생!$G178&amp;")"))</f>
        <v/>
      </c>
      <c r="B180" s="8">
        <f>IF(원생!$A178="","",원생!$F178)</f>
        <v/>
      </c>
      <c r="C180" s="14">
        <f>IF(원생!$A178="","",SUMIFS(수납!$F:$F,수납!$C:$C,원생!$A178,수납!$D:$D,IF(원생!$G178="","",원생!$G178),수납!$B:$B,$B$1&amp;"-"&amp;TEXT(1,"00")&amp;"*",수납!$E:$E,"수강료")+SUMIFS(수납!$F:$F,수납!$C:$C,원생!$A178,수납!$D:$D,IF(원생!$G178="","",원생!$G178),수납!$B:$B,$B$1&amp;"-"&amp;TEXT(1,"00")&amp;"*",수납!$E:$E,""))</f>
        <v/>
      </c>
      <c r="D180" s="14">
        <f>IF(원생!$A178="","",SUMIFS(수납!$F:$F,수납!$C:$C,원생!$A178,수납!$D:$D,IF(원생!$G178="","",원생!$G178),수납!$B:$B,$B$1&amp;"-"&amp;TEXT(2,"00")&amp;"*",수납!$E:$E,"수강료")+SUMIFS(수납!$F:$F,수납!$C:$C,원생!$A178,수납!$D:$D,IF(원생!$G178="","",원생!$G178),수납!$B:$B,$B$1&amp;"-"&amp;TEXT(2,"00")&amp;"*",수납!$E:$E,""))</f>
        <v/>
      </c>
      <c r="E180" s="14">
        <f>IF(원생!$A178="","",SUMIFS(수납!$F:$F,수납!$C:$C,원생!$A178,수납!$D:$D,IF(원생!$G178="","",원생!$G178),수납!$B:$B,$B$1&amp;"-"&amp;TEXT(3,"00")&amp;"*",수납!$E:$E,"수강료")+SUMIFS(수납!$F:$F,수납!$C:$C,원생!$A178,수납!$D:$D,IF(원생!$G178="","",원생!$G178),수납!$B:$B,$B$1&amp;"-"&amp;TEXT(3,"00")&amp;"*",수납!$E:$E,""))</f>
        <v/>
      </c>
      <c r="F180" s="14">
        <f>IF(원생!$A178="","",SUMIFS(수납!$F:$F,수납!$C:$C,원생!$A178,수납!$D:$D,IF(원생!$G178="","",원생!$G178),수납!$B:$B,$B$1&amp;"-"&amp;TEXT(4,"00")&amp;"*",수납!$E:$E,"수강료")+SUMIFS(수납!$F:$F,수납!$C:$C,원생!$A178,수납!$D:$D,IF(원생!$G178="","",원생!$G178),수납!$B:$B,$B$1&amp;"-"&amp;TEXT(4,"00")&amp;"*",수납!$E:$E,""))</f>
        <v/>
      </c>
      <c r="G180" s="14">
        <f>IF(원생!$A178="","",SUMIFS(수납!$F:$F,수납!$C:$C,원생!$A178,수납!$D:$D,IF(원생!$G178="","",원생!$G178),수납!$B:$B,$B$1&amp;"-"&amp;TEXT(5,"00")&amp;"*",수납!$E:$E,"수강료")+SUMIFS(수납!$F:$F,수납!$C:$C,원생!$A178,수납!$D:$D,IF(원생!$G178="","",원생!$G178),수납!$B:$B,$B$1&amp;"-"&amp;TEXT(5,"00")&amp;"*",수납!$E:$E,""))</f>
        <v/>
      </c>
      <c r="H180" s="14">
        <f>IF(원생!$A178="","",SUMIFS(수납!$F:$F,수납!$C:$C,원생!$A178,수납!$D:$D,IF(원생!$G178="","",원생!$G178),수납!$B:$B,$B$1&amp;"-"&amp;TEXT(6,"00")&amp;"*",수납!$E:$E,"수강료")+SUMIFS(수납!$F:$F,수납!$C:$C,원생!$A178,수납!$D:$D,IF(원생!$G178="","",원생!$G178),수납!$B:$B,$B$1&amp;"-"&amp;TEXT(6,"00")&amp;"*",수납!$E:$E,""))</f>
        <v/>
      </c>
      <c r="I180" s="14">
        <f>IF(원생!$A178="","",SUMIFS(수납!$F:$F,수납!$C:$C,원생!$A178,수납!$D:$D,IF(원생!$G178="","",원생!$G178),수납!$B:$B,$B$1&amp;"-"&amp;TEXT(7,"00")&amp;"*",수납!$E:$E,"수강료")+SUMIFS(수납!$F:$F,수납!$C:$C,원생!$A178,수납!$D:$D,IF(원생!$G178="","",원생!$G178),수납!$B:$B,$B$1&amp;"-"&amp;TEXT(7,"00")&amp;"*",수납!$E:$E,""))</f>
        <v/>
      </c>
      <c r="J180" s="14">
        <f>IF(원생!$A178="","",SUMIFS(수납!$F:$F,수납!$C:$C,원생!$A178,수납!$D:$D,IF(원생!$G178="","",원생!$G178),수납!$B:$B,$B$1&amp;"-"&amp;TEXT(8,"00")&amp;"*",수납!$E:$E,"수강료")+SUMIFS(수납!$F:$F,수납!$C:$C,원생!$A178,수납!$D:$D,IF(원생!$G178="","",원생!$G178),수납!$B:$B,$B$1&amp;"-"&amp;TEXT(8,"00")&amp;"*",수납!$E:$E,""))</f>
        <v/>
      </c>
      <c r="K180" s="14">
        <f>IF(원생!$A178="","",SUMIFS(수납!$F:$F,수납!$C:$C,원생!$A178,수납!$D:$D,IF(원생!$G178="","",원생!$G178),수납!$B:$B,$B$1&amp;"-"&amp;TEXT(9,"00")&amp;"*",수납!$E:$E,"수강료")+SUMIFS(수납!$F:$F,수납!$C:$C,원생!$A178,수납!$D:$D,IF(원생!$G178="","",원생!$G178),수납!$B:$B,$B$1&amp;"-"&amp;TEXT(9,"00")&amp;"*",수납!$E:$E,""))</f>
        <v/>
      </c>
      <c r="L180" s="14">
        <f>IF(원생!$A178="","",SUMIFS(수납!$F:$F,수납!$C:$C,원생!$A178,수납!$D:$D,IF(원생!$G178="","",원생!$G178),수납!$B:$B,$B$1&amp;"-"&amp;TEXT(10,"00")&amp;"*",수납!$E:$E,"수강료")+SUMIFS(수납!$F:$F,수납!$C:$C,원생!$A178,수납!$D:$D,IF(원생!$G178="","",원생!$G178),수납!$B:$B,$B$1&amp;"-"&amp;TEXT(10,"00")&amp;"*",수납!$E:$E,""))</f>
        <v/>
      </c>
      <c r="M180" s="14">
        <f>IF(원생!$A178="","",SUMIFS(수납!$F:$F,수납!$C:$C,원생!$A178,수납!$D:$D,IF(원생!$G178="","",원생!$G178),수납!$B:$B,$B$1&amp;"-"&amp;TEXT(11,"00")&amp;"*",수납!$E:$E,"수강료")+SUMIFS(수납!$F:$F,수납!$C:$C,원생!$A178,수납!$D:$D,IF(원생!$G178="","",원생!$G178),수납!$B:$B,$B$1&amp;"-"&amp;TEXT(11,"00")&amp;"*",수납!$E:$E,""))</f>
        <v/>
      </c>
      <c r="N180" s="14">
        <f>IF(원생!$A178="","",SUMIFS(수납!$F:$F,수납!$C:$C,원생!$A178,수납!$D:$D,IF(원생!$G178="","",원생!$G178),수납!$B:$B,$B$1&amp;"-"&amp;TEXT(12,"00")&amp;"*",수납!$E:$E,"수강료")+SUMIFS(수납!$F:$F,수납!$C:$C,원생!$A178,수납!$D:$D,IF(원생!$G178="","",원생!$G178),수납!$B:$B,$B$1&amp;"-"&amp;TEXT(12,"00")&amp;"*",수납!$E:$E,""))</f>
        <v/>
      </c>
      <c r="O180">
        <f>IF(원생!$I178="","",원생!$I178)</f>
        <v/>
      </c>
      <c r="P180">
        <f>IF($A180="","",IF(AND($B180&gt;0,C180&lt;$B180,DATE($B$1,1,1)&lt;=TODAY(),OR($O180="",$O180&gt;=DATE($B$1,1,1)),OR(COUNTIF($C180:C180,"&gt;0")&gt;0,DATE($B$1,1,1)=DATE(YEAR(TODAY()),MONTH(TODAY()),1))),1,0))</f>
        <v/>
      </c>
      <c r="Q180">
        <f>IF($A180="","",IF(AND($B180&gt;0,D180&lt;$B180,DATE($B$1,2,1)&lt;=TODAY(),OR($O180="",$O180&gt;=DATE($B$1,2,1)),OR(COUNTIF($C180:D180,"&gt;0")&gt;0,DATE($B$1,2,1)=DATE(YEAR(TODAY()),MONTH(TODAY()),1))),1,0))</f>
        <v/>
      </c>
      <c r="R180">
        <f>IF($A180="","",IF(AND($B180&gt;0,E180&lt;$B180,DATE($B$1,3,1)&lt;=TODAY(),OR($O180="",$O180&gt;=DATE($B$1,3,1)),OR(COUNTIF($C180:E180,"&gt;0")&gt;0,DATE($B$1,3,1)=DATE(YEAR(TODAY()),MONTH(TODAY()),1))),1,0))</f>
        <v/>
      </c>
      <c r="S180">
        <f>IF($A180="","",IF(AND($B180&gt;0,F180&lt;$B180,DATE($B$1,4,1)&lt;=TODAY(),OR($O180="",$O180&gt;=DATE($B$1,4,1)),OR(COUNTIF($C180:F180,"&gt;0")&gt;0,DATE($B$1,4,1)=DATE(YEAR(TODAY()),MONTH(TODAY()),1))),1,0))</f>
        <v/>
      </c>
      <c r="T180">
        <f>IF($A180="","",IF(AND($B180&gt;0,G180&lt;$B180,DATE($B$1,5,1)&lt;=TODAY(),OR($O180="",$O180&gt;=DATE($B$1,5,1)),OR(COUNTIF($C180:G180,"&gt;0")&gt;0,DATE($B$1,5,1)=DATE(YEAR(TODAY()),MONTH(TODAY()),1))),1,0))</f>
        <v/>
      </c>
      <c r="U180">
        <f>IF($A180="","",IF(AND($B180&gt;0,H180&lt;$B180,DATE($B$1,6,1)&lt;=TODAY(),OR($O180="",$O180&gt;=DATE($B$1,6,1)),OR(COUNTIF($C180:H180,"&gt;0")&gt;0,DATE($B$1,6,1)=DATE(YEAR(TODAY()),MONTH(TODAY()),1))),1,0))</f>
        <v/>
      </c>
      <c r="V180">
        <f>IF($A180="","",IF(AND($B180&gt;0,I180&lt;$B180,DATE($B$1,7,1)&lt;=TODAY(),OR($O180="",$O180&gt;=DATE($B$1,7,1)),OR(COUNTIF($C180:I180,"&gt;0")&gt;0,DATE($B$1,7,1)=DATE(YEAR(TODAY()),MONTH(TODAY()),1))),1,0))</f>
        <v/>
      </c>
      <c r="W180">
        <f>IF($A180="","",IF(AND($B180&gt;0,J180&lt;$B180,DATE($B$1,8,1)&lt;=TODAY(),OR($O180="",$O180&gt;=DATE($B$1,8,1)),OR(COUNTIF($C180:J180,"&gt;0")&gt;0,DATE($B$1,8,1)=DATE(YEAR(TODAY()),MONTH(TODAY()),1))),1,0))</f>
        <v/>
      </c>
      <c r="X180">
        <f>IF($A180="","",IF(AND($B180&gt;0,K180&lt;$B180,DATE($B$1,9,1)&lt;=TODAY(),OR($O180="",$O180&gt;=DATE($B$1,9,1)),OR(COUNTIF($C180:K180,"&gt;0")&gt;0,DATE($B$1,9,1)=DATE(YEAR(TODAY()),MONTH(TODAY()),1))),1,0))</f>
        <v/>
      </c>
      <c r="Y180">
        <f>IF($A180="","",IF(AND($B180&gt;0,L180&lt;$B180,DATE($B$1,10,1)&lt;=TODAY(),OR($O180="",$O180&gt;=DATE($B$1,10,1)),OR(COUNTIF($C180:L180,"&gt;0")&gt;0,DATE($B$1,10,1)=DATE(YEAR(TODAY()),MONTH(TODAY()),1))),1,0))</f>
        <v/>
      </c>
      <c r="Z180">
        <f>IF($A180="","",IF(AND($B180&gt;0,M180&lt;$B180,DATE($B$1,11,1)&lt;=TODAY(),OR($O180="",$O180&gt;=DATE($B$1,11,1)),OR(COUNTIF($C180:M180,"&gt;0")&gt;0,DATE($B$1,11,1)=DATE(YEAR(TODAY()),MONTH(TODAY()),1))),1,0))</f>
        <v/>
      </c>
      <c r="AA180">
        <f>IF($A180="","",IF(AND($B180&gt;0,N180&lt;$B180,DATE($B$1,12,1)&lt;=TODAY(),OR($O180="",$O180&gt;=DATE($B$1,12,1)),OR(COUNTIF($C180:N180,"&gt;0")&gt;0,DATE($B$1,12,1)=DATE(YEAR(TODAY()),MONTH(TODAY()),1))),1,0))</f>
        <v/>
      </c>
    </row>
    <row r="181">
      <c r="A181" s="13">
        <f>IF(원생!$A179="","",원생!$A179&amp;IF(원생!$G179="",""," ("&amp;원생!$G179&amp;")"))</f>
        <v/>
      </c>
      <c r="B181" s="8">
        <f>IF(원생!$A179="","",원생!$F179)</f>
        <v/>
      </c>
      <c r="C181" s="14">
        <f>IF(원생!$A179="","",SUMIFS(수납!$F:$F,수납!$C:$C,원생!$A179,수납!$D:$D,IF(원생!$G179="","",원생!$G179),수납!$B:$B,$B$1&amp;"-"&amp;TEXT(1,"00")&amp;"*",수납!$E:$E,"수강료")+SUMIFS(수납!$F:$F,수납!$C:$C,원생!$A179,수납!$D:$D,IF(원생!$G179="","",원생!$G179),수납!$B:$B,$B$1&amp;"-"&amp;TEXT(1,"00")&amp;"*",수납!$E:$E,""))</f>
        <v/>
      </c>
      <c r="D181" s="14">
        <f>IF(원생!$A179="","",SUMIFS(수납!$F:$F,수납!$C:$C,원생!$A179,수납!$D:$D,IF(원생!$G179="","",원생!$G179),수납!$B:$B,$B$1&amp;"-"&amp;TEXT(2,"00")&amp;"*",수납!$E:$E,"수강료")+SUMIFS(수납!$F:$F,수납!$C:$C,원생!$A179,수납!$D:$D,IF(원생!$G179="","",원생!$G179),수납!$B:$B,$B$1&amp;"-"&amp;TEXT(2,"00")&amp;"*",수납!$E:$E,""))</f>
        <v/>
      </c>
      <c r="E181" s="14">
        <f>IF(원생!$A179="","",SUMIFS(수납!$F:$F,수납!$C:$C,원생!$A179,수납!$D:$D,IF(원생!$G179="","",원생!$G179),수납!$B:$B,$B$1&amp;"-"&amp;TEXT(3,"00")&amp;"*",수납!$E:$E,"수강료")+SUMIFS(수납!$F:$F,수납!$C:$C,원생!$A179,수납!$D:$D,IF(원생!$G179="","",원생!$G179),수납!$B:$B,$B$1&amp;"-"&amp;TEXT(3,"00")&amp;"*",수납!$E:$E,""))</f>
        <v/>
      </c>
      <c r="F181" s="14">
        <f>IF(원생!$A179="","",SUMIFS(수납!$F:$F,수납!$C:$C,원생!$A179,수납!$D:$D,IF(원생!$G179="","",원생!$G179),수납!$B:$B,$B$1&amp;"-"&amp;TEXT(4,"00")&amp;"*",수납!$E:$E,"수강료")+SUMIFS(수납!$F:$F,수납!$C:$C,원생!$A179,수납!$D:$D,IF(원생!$G179="","",원생!$G179),수납!$B:$B,$B$1&amp;"-"&amp;TEXT(4,"00")&amp;"*",수납!$E:$E,""))</f>
        <v/>
      </c>
      <c r="G181" s="14">
        <f>IF(원생!$A179="","",SUMIFS(수납!$F:$F,수납!$C:$C,원생!$A179,수납!$D:$D,IF(원생!$G179="","",원생!$G179),수납!$B:$B,$B$1&amp;"-"&amp;TEXT(5,"00")&amp;"*",수납!$E:$E,"수강료")+SUMIFS(수납!$F:$F,수납!$C:$C,원생!$A179,수납!$D:$D,IF(원생!$G179="","",원생!$G179),수납!$B:$B,$B$1&amp;"-"&amp;TEXT(5,"00")&amp;"*",수납!$E:$E,""))</f>
        <v/>
      </c>
      <c r="H181" s="14">
        <f>IF(원생!$A179="","",SUMIFS(수납!$F:$F,수납!$C:$C,원생!$A179,수납!$D:$D,IF(원생!$G179="","",원생!$G179),수납!$B:$B,$B$1&amp;"-"&amp;TEXT(6,"00")&amp;"*",수납!$E:$E,"수강료")+SUMIFS(수납!$F:$F,수납!$C:$C,원생!$A179,수납!$D:$D,IF(원생!$G179="","",원생!$G179),수납!$B:$B,$B$1&amp;"-"&amp;TEXT(6,"00")&amp;"*",수납!$E:$E,""))</f>
        <v/>
      </c>
      <c r="I181" s="14">
        <f>IF(원생!$A179="","",SUMIFS(수납!$F:$F,수납!$C:$C,원생!$A179,수납!$D:$D,IF(원생!$G179="","",원생!$G179),수납!$B:$B,$B$1&amp;"-"&amp;TEXT(7,"00")&amp;"*",수납!$E:$E,"수강료")+SUMIFS(수납!$F:$F,수납!$C:$C,원생!$A179,수납!$D:$D,IF(원생!$G179="","",원생!$G179),수납!$B:$B,$B$1&amp;"-"&amp;TEXT(7,"00")&amp;"*",수납!$E:$E,""))</f>
        <v/>
      </c>
      <c r="J181" s="14">
        <f>IF(원생!$A179="","",SUMIFS(수납!$F:$F,수납!$C:$C,원생!$A179,수납!$D:$D,IF(원생!$G179="","",원생!$G179),수납!$B:$B,$B$1&amp;"-"&amp;TEXT(8,"00")&amp;"*",수납!$E:$E,"수강료")+SUMIFS(수납!$F:$F,수납!$C:$C,원생!$A179,수납!$D:$D,IF(원생!$G179="","",원생!$G179),수납!$B:$B,$B$1&amp;"-"&amp;TEXT(8,"00")&amp;"*",수납!$E:$E,""))</f>
        <v/>
      </c>
      <c r="K181" s="14">
        <f>IF(원생!$A179="","",SUMIFS(수납!$F:$F,수납!$C:$C,원생!$A179,수납!$D:$D,IF(원생!$G179="","",원생!$G179),수납!$B:$B,$B$1&amp;"-"&amp;TEXT(9,"00")&amp;"*",수납!$E:$E,"수강료")+SUMIFS(수납!$F:$F,수납!$C:$C,원생!$A179,수납!$D:$D,IF(원생!$G179="","",원생!$G179),수납!$B:$B,$B$1&amp;"-"&amp;TEXT(9,"00")&amp;"*",수납!$E:$E,""))</f>
        <v/>
      </c>
      <c r="L181" s="14">
        <f>IF(원생!$A179="","",SUMIFS(수납!$F:$F,수납!$C:$C,원생!$A179,수납!$D:$D,IF(원생!$G179="","",원생!$G179),수납!$B:$B,$B$1&amp;"-"&amp;TEXT(10,"00")&amp;"*",수납!$E:$E,"수강료")+SUMIFS(수납!$F:$F,수납!$C:$C,원생!$A179,수납!$D:$D,IF(원생!$G179="","",원생!$G179),수납!$B:$B,$B$1&amp;"-"&amp;TEXT(10,"00")&amp;"*",수납!$E:$E,""))</f>
        <v/>
      </c>
      <c r="M181" s="14">
        <f>IF(원생!$A179="","",SUMIFS(수납!$F:$F,수납!$C:$C,원생!$A179,수납!$D:$D,IF(원생!$G179="","",원생!$G179),수납!$B:$B,$B$1&amp;"-"&amp;TEXT(11,"00")&amp;"*",수납!$E:$E,"수강료")+SUMIFS(수납!$F:$F,수납!$C:$C,원생!$A179,수납!$D:$D,IF(원생!$G179="","",원생!$G179),수납!$B:$B,$B$1&amp;"-"&amp;TEXT(11,"00")&amp;"*",수납!$E:$E,""))</f>
        <v/>
      </c>
      <c r="N181" s="14">
        <f>IF(원생!$A179="","",SUMIFS(수납!$F:$F,수납!$C:$C,원생!$A179,수납!$D:$D,IF(원생!$G179="","",원생!$G179),수납!$B:$B,$B$1&amp;"-"&amp;TEXT(12,"00")&amp;"*",수납!$E:$E,"수강료")+SUMIFS(수납!$F:$F,수납!$C:$C,원생!$A179,수납!$D:$D,IF(원생!$G179="","",원생!$G179),수납!$B:$B,$B$1&amp;"-"&amp;TEXT(12,"00")&amp;"*",수납!$E:$E,""))</f>
        <v/>
      </c>
      <c r="O181">
        <f>IF(원생!$I179="","",원생!$I179)</f>
        <v/>
      </c>
      <c r="P181">
        <f>IF($A181="","",IF(AND($B181&gt;0,C181&lt;$B181,DATE($B$1,1,1)&lt;=TODAY(),OR($O181="",$O181&gt;=DATE($B$1,1,1)),OR(COUNTIF($C181:C181,"&gt;0")&gt;0,DATE($B$1,1,1)=DATE(YEAR(TODAY()),MONTH(TODAY()),1))),1,0))</f>
        <v/>
      </c>
      <c r="Q181">
        <f>IF($A181="","",IF(AND($B181&gt;0,D181&lt;$B181,DATE($B$1,2,1)&lt;=TODAY(),OR($O181="",$O181&gt;=DATE($B$1,2,1)),OR(COUNTIF($C181:D181,"&gt;0")&gt;0,DATE($B$1,2,1)=DATE(YEAR(TODAY()),MONTH(TODAY()),1))),1,0))</f>
        <v/>
      </c>
      <c r="R181">
        <f>IF($A181="","",IF(AND($B181&gt;0,E181&lt;$B181,DATE($B$1,3,1)&lt;=TODAY(),OR($O181="",$O181&gt;=DATE($B$1,3,1)),OR(COUNTIF($C181:E181,"&gt;0")&gt;0,DATE($B$1,3,1)=DATE(YEAR(TODAY()),MONTH(TODAY()),1))),1,0))</f>
        <v/>
      </c>
      <c r="S181">
        <f>IF($A181="","",IF(AND($B181&gt;0,F181&lt;$B181,DATE($B$1,4,1)&lt;=TODAY(),OR($O181="",$O181&gt;=DATE($B$1,4,1)),OR(COUNTIF($C181:F181,"&gt;0")&gt;0,DATE($B$1,4,1)=DATE(YEAR(TODAY()),MONTH(TODAY()),1))),1,0))</f>
        <v/>
      </c>
      <c r="T181">
        <f>IF($A181="","",IF(AND($B181&gt;0,G181&lt;$B181,DATE($B$1,5,1)&lt;=TODAY(),OR($O181="",$O181&gt;=DATE($B$1,5,1)),OR(COUNTIF($C181:G181,"&gt;0")&gt;0,DATE($B$1,5,1)=DATE(YEAR(TODAY()),MONTH(TODAY()),1))),1,0))</f>
        <v/>
      </c>
      <c r="U181">
        <f>IF($A181="","",IF(AND($B181&gt;0,H181&lt;$B181,DATE($B$1,6,1)&lt;=TODAY(),OR($O181="",$O181&gt;=DATE($B$1,6,1)),OR(COUNTIF($C181:H181,"&gt;0")&gt;0,DATE($B$1,6,1)=DATE(YEAR(TODAY()),MONTH(TODAY()),1))),1,0))</f>
        <v/>
      </c>
      <c r="V181">
        <f>IF($A181="","",IF(AND($B181&gt;0,I181&lt;$B181,DATE($B$1,7,1)&lt;=TODAY(),OR($O181="",$O181&gt;=DATE($B$1,7,1)),OR(COUNTIF($C181:I181,"&gt;0")&gt;0,DATE($B$1,7,1)=DATE(YEAR(TODAY()),MONTH(TODAY()),1))),1,0))</f>
        <v/>
      </c>
      <c r="W181">
        <f>IF($A181="","",IF(AND($B181&gt;0,J181&lt;$B181,DATE($B$1,8,1)&lt;=TODAY(),OR($O181="",$O181&gt;=DATE($B$1,8,1)),OR(COUNTIF($C181:J181,"&gt;0")&gt;0,DATE($B$1,8,1)=DATE(YEAR(TODAY()),MONTH(TODAY()),1))),1,0))</f>
        <v/>
      </c>
      <c r="X181">
        <f>IF($A181="","",IF(AND($B181&gt;0,K181&lt;$B181,DATE($B$1,9,1)&lt;=TODAY(),OR($O181="",$O181&gt;=DATE($B$1,9,1)),OR(COUNTIF($C181:K181,"&gt;0")&gt;0,DATE($B$1,9,1)=DATE(YEAR(TODAY()),MONTH(TODAY()),1))),1,0))</f>
        <v/>
      </c>
      <c r="Y181">
        <f>IF($A181="","",IF(AND($B181&gt;0,L181&lt;$B181,DATE($B$1,10,1)&lt;=TODAY(),OR($O181="",$O181&gt;=DATE($B$1,10,1)),OR(COUNTIF($C181:L181,"&gt;0")&gt;0,DATE($B$1,10,1)=DATE(YEAR(TODAY()),MONTH(TODAY()),1))),1,0))</f>
        <v/>
      </c>
      <c r="Z181">
        <f>IF($A181="","",IF(AND($B181&gt;0,M181&lt;$B181,DATE($B$1,11,1)&lt;=TODAY(),OR($O181="",$O181&gt;=DATE($B$1,11,1)),OR(COUNTIF($C181:M181,"&gt;0")&gt;0,DATE($B$1,11,1)=DATE(YEAR(TODAY()),MONTH(TODAY()),1))),1,0))</f>
        <v/>
      </c>
      <c r="AA181">
        <f>IF($A181="","",IF(AND($B181&gt;0,N181&lt;$B181,DATE($B$1,12,1)&lt;=TODAY(),OR($O181="",$O181&gt;=DATE($B$1,12,1)),OR(COUNTIF($C181:N181,"&gt;0")&gt;0,DATE($B$1,12,1)=DATE(YEAR(TODAY()),MONTH(TODAY()),1))),1,0))</f>
        <v/>
      </c>
    </row>
    <row r="182">
      <c r="A182" s="13">
        <f>IF(원생!$A180="","",원생!$A180&amp;IF(원생!$G180="",""," ("&amp;원생!$G180&amp;")"))</f>
        <v/>
      </c>
      <c r="B182" s="8">
        <f>IF(원생!$A180="","",원생!$F180)</f>
        <v/>
      </c>
      <c r="C182" s="14">
        <f>IF(원생!$A180="","",SUMIFS(수납!$F:$F,수납!$C:$C,원생!$A180,수납!$D:$D,IF(원생!$G180="","",원생!$G180),수납!$B:$B,$B$1&amp;"-"&amp;TEXT(1,"00")&amp;"*",수납!$E:$E,"수강료")+SUMIFS(수납!$F:$F,수납!$C:$C,원생!$A180,수납!$D:$D,IF(원생!$G180="","",원생!$G180),수납!$B:$B,$B$1&amp;"-"&amp;TEXT(1,"00")&amp;"*",수납!$E:$E,""))</f>
        <v/>
      </c>
      <c r="D182" s="14">
        <f>IF(원생!$A180="","",SUMIFS(수납!$F:$F,수납!$C:$C,원생!$A180,수납!$D:$D,IF(원생!$G180="","",원생!$G180),수납!$B:$B,$B$1&amp;"-"&amp;TEXT(2,"00")&amp;"*",수납!$E:$E,"수강료")+SUMIFS(수납!$F:$F,수납!$C:$C,원생!$A180,수납!$D:$D,IF(원생!$G180="","",원생!$G180),수납!$B:$B,$B$1&amp;"-"&amp;TEXT(2,"00")&amp;"*",수납!$E:$E,""))</f>
        <v/>
      </c>
      <c r="E182" s="14">
        <f>IF(원생!$A180="","",SUMIFS(수납!$F:$F,수납!$C:$C,원생!$A180,수납!$D:$D,IF(원생!$G180="","",원생!$G180),수납!$B:$B,$B$1&amp;"-"&amp;TEXT(3,"00")&amp;"*",수납!$E:$E,"수강료")+SUMIFS(수납!$F:$F,수납!$C:$C,원생!$A180,수납!$D:$D,IF(원생!$G180="","",원생!$G180),수납!$B:$B,$B$1&amp;"-"&amp;TEXT(3,"00")&amp;"*",수납!$E:$E,""))</f>
        <v/>
      </c>
      <c r="F182" s="14">
        <f>IF(원생!$A180="","",SUMIFS(수납!$F:$F,수납!$C:$C,원생!$A180,수납!$D:$D,IF(원생!$G180="","",원생!$G180),수납!$B:$B,$B$1&amp;"-"&amp;TEXT(4,"00")&amp;"*",수납!$E:$E,"수강료")+SUMIFS(수납!$F:$F,수납!$C:$C,원생!$A180,수납!$D:$D,IF(원생!$G180="","",원생!$G180),수납!$B:$B,$B$1&amp;"-"&amp;TEXT(4,"00")&amp;"*",수납!$E:$E,""))</f>
        <v/>
      </c>
      <c r="G182" s="14">
        <f>IF(원생!$A180="","",SUMIFS(수납!$F:$F,수납!$C:$C,원생!$A180,수납!$D:$D,IF(원생!$G180="","",원생!$G180),수납!$B:$B,$B$1&amp;"-"&amp;TEXT(5,"00")&amp;"*",수납!$E:$E,"수강료")+SUMIFS(수납!$F:$F,수납!$C:$C,원생!$A180,수납!$D:$D,IF(원생!$G180="","",원생!$G180),수납!$B:$B,$B$1&amp;"-"&amp;TEXT(5,"00")&amp;"*",수납!$E:$E,""))</f>
        <v/>
      </c>
      <c r="H182" s="14">
        <f>IF(원생!$A180="","",SUMIFS(수납!$F:$F,수납!$C:$C,원생!$A180,수납!$D:$D,IF(원생!$G180="","",원생!$G180),수납!$B:$B,$B$1&amp;"-"&amp;TEXT(6,"00")&amp;"*",수납!$E:$E,"수강료")+SUMIFS(수납!$F:$F,수납!$C:$C,원생!$A180,수납!$D:$D,IF(원생!$G180="","",원생!$G180),수납!$B:$B,$B$1&amp;"-"&amp;TEXT(6,"00")&amp;"*",수납!$E:$E,""))</f>
        <v/>
      </c>
      <c r="I182" s="14">
        <f>IF(원생!$A180="","",SUMIFS(수납!$F:$F,수납!$C:$C,원생!$A180,수납!$D:$D,IF(원생!$G180="","",원생!$G180),수납!$B:$B,$B$1&amp;"-"&amp;TEXT(7,"00")&amp;"*",수납!$E:$E,"수강료")+SUMIFS(수납!$F:$F,수납!$C:$C,원생!$A180,수납!$D:$D,IF(원생!$G180="","",원생!$G180),수납!$B:$B,$B$1&amp;"-"&amp;TEXT(7,"00")&amp;"*",수납!$E:$E,""))</f>
        <v/>
      </c>
      <c r="J182" s="14">
        <f>IF(원생!$A180="","",SUMIFS(수납!$F:$F,수납!$C:$C,원생!$A180,수납!$D:$D,IF(원생!$G180="","",원생!$G180),수납!$B:$B,$B$1&amp;"-"&amp;TEXT(8,"00")&amp;"*",수납!$E:$E,"수강료")+SUMIFS(수납!$F:$F,수납!$C:$C,원생!$A180,수납!$D:$D,IF(원생!$G180="","",원생!$G180),수납!$B:$B,$B$1&amp;"-"&amp;TEXT(8,"00")&amp;"*",수납!$E:$E,""))</f>
        <v/>
      </c>
      <c r="K182" s="14">
        <f>IF(원생!$A180="","",SUMIFS(수납!$F:$F,수납!$C:$C,원생!$A180,수납!$D:$D,IF(원생!$G180="","",원생!$G180),수납!$B:$B,$B$1&amp;"-"&amp;TEXT(9,"00")&amp;"*",수납!$E:$E,"수강료")+SUMIFS(수납!$F:$F,수납!$C:$C,원생!$A180,수납!$D:$D,IF(원생!$G180="","",원생!$G180),수납!$B:$B,$B$1&amp;"-"&amp;TEXT(9,"00")&amp;"*",수납!$E:$E,""))</f>
        <v/>
      </c>
      <c r="L182" s="14">
        <f>IF(원생!$A180="","",SUMIFS(수납!$F:$F,수납!$C:$C,원생!$A180,수납!$D:$D,IF(원생!$G180="","",원생!$G180),수납!$B:$B,$B$1&amp;"-"&amp;TEXT(10,"00")&amp;"*",수납!$E:$E,"수강료")+SUMIFS(수납!$F:$F,수납!$C:$C,원생!$A180,수납!$D:$D,IF(원생!$G180="","",원생!$G180),수납!$B:$B,$B$1&amp;"-"&amp;TEXT(10,"00")&amp;"*",수납!$E:$E,""))</f>
        <v/>
      </c>
      <c r="M182" s="14">
        <f>IF(원생!$A180="","",SUMIFS(수납!$F:$F,수납!$C:$C,원생!$A180,수납!$D:$D,IF(원생!$G180="","",원생!$G180),수납!$B:$B,$B$1&amp;"-"&amp;TEXT(11,"00")&amp;"*",수납!$E:$E,"수강료")+SUMIFS(수납!$F:$F,수납!$C:$C,원생!$A180,수납!$D:$D,IF(원생!$G180="","",원생!$G180),수납!$B:$B,$B$1&amp;"-"&amp;TEXT(11,"00")&amp;"*",수납!$E:$E,""))</f>
        <v/>
      </c>
      <c r="N182" s="14">
        <f>IF(원생!$A180="","",SUMIFS(수납!$F:$F,수납!$C:$C,원생!$A180,수납!$D:$D,IF(원생!$G180="","",원생!$G180),수납!$B:$B,$B$1&amp;"-"&amp;TEXT(12,"00")&amp;"*",수납!$E:$E,"수강료")+SUMIFS(수납!$F:$F,수납!$C:$C,원생!$A180,수납!$D:$D,IF(원생!$G180="","",원생!$G180),수납!$B:$B,$B$1&amp;"-"&amp;TEXT(12,"00")&amp;"*",수납!$E:$E,""))</f>
        <v/>
      </c>
      <c r="O182">
        <f>IF(원생!$I180="","",원생!$I180)</f>
        <v/>
      </c>
      <c r="P182">
        <f>IF($A182="","",IF(AND($B182&gt;0,C182&lt;$B182,DATE($B$1,1,1)&lt;=TODAY(),OR($O182="",$O182&gt;=DATE($B$1,1,1)),OR(COUNTIF($C182:C182,"&gt;0")&gt;0,DATE($B$1,1,1)=DATE(YEAR(TODAY()),MONTH(TODAY()),1))),1,0))</f>
        <v/>
      </c>
      <c r="Q182">
        <f>IF($A182="","",IF(AND($B182&gt;0,D182&lt;$B182,DATE($B$1,2,1)&lt;=TODAY(),OR($O182="",$O182&gt;=DATE($B$1,2,1)),OR(COUNTIF($C182:D182,"&gt;0")&gt;0,DATE($B$1,2,1)=DATE(YEAR(TODAY()),MONTH(TODAY()),1))),1,0))</f>
        <v/>
      </c>
      <c r="R182">
        <f>IF($A182="","",IF(AND($B182&gt;0,E182&lt;$B182,DATE($B$1,3,1)&lt;=TODAY(),OR($O182="",$O182&gt;=DATE($B$1,3,1)),OR(COUNTIF($C182:E182,"&gt;0")&gt;0,DATE($B$1,3,1)=DATE(YEAR(TODAY()),MONTH(TODAY()),1))),1,0))</f>
        <v/>
      </c>
      <c r="S182">
        <f>IF($A182="","",IF(AND($B182&gt;0,F182&lt;$B182,DATE($B$1,4,1)&lt;=TODAY(),OR($O182="",$O182&gt;=DATE($B$1,4,1)),OR(COUNTIF($C182:F182,"&gt;0")&gt;0,DATE($B$1,4,1)=DATE(YEAR(TODAY()),MONTH(TODAY()),1))),1,0))</f>
        <v/>
      </c>
      <c r="T182">
        <f>IF($A182="","",IF(AND($B182&gt;0,G182&lt;$B182,DATE($B$1,5,1)&lt;=TODAY(),OR($O182="",$O182&gt;=DATE($B$1,5,1)),OR(COUNTIF($C182:G182,"&gt;0")&gt;0,DATE($B$1,5,1)=DATE(YEAR(TODAY()),MONTH(TODAY()),1))),1,0))</f>
        <v/>
      </c>
      <c r="U182">
        <f>IF($A182="","",IF(AND($B182&gt;0,H182&lt;$B182,DATE($B$1,6,1)&lt;=TODAY(),OR($O182="",$O182&gt;=DATE($B$1,6,1)),OR(COUNTIF($C182:H182,"&gt;0")&gt;0,DATE($B$1,6,1)=DATE(YEAR(TODAY()),MONTH(TODAY()),1))),1,0))</f>
        <v/>
      </c>
      <c r="V182">
        <f>IF($A182="","",IF(AND($B182&gt;0,I182&lt;$B182,DATE($B$1,7,1)&lt;=TODAY(),OR($O182="",$O182&gt;=DATE($B$1,7,1)),OR(COUNTIF($C182:I182,"&gt;0")&gt;0,DATE($B$1,7,1)=DATE(YEAR(TODAY()),MONTH(TODAY()),1))),1,0))</f>
        <v/>
      </c>
      <c r="W182">
        <f>IF($A182="","",IF(AND($B182&gt;0,J182&lt;$B182,DATE($B$1,8,1)&lt;=TODAY(),OR($O182="",$O182&gt;=DATE($B$1,8,1)),OR(COUNTIF($C182:J182,"&gt;0")&gt;0,DATE($B$1,8,1)=DATE(YEAR(TODAY()),MONTH(TODAY()),1))),1,0))</f>
        <v/>
      </c>
      <c r="X182">
        <f>IF($A182="","",IF(AND($B182&gt;0,K182&lt;$B182,DATE($B$1,9,1)&lt;=TODAY(),OR($O182="",$O182&gt;=DATE($B$1,9,1)),OR(COUNTIF($C182:K182,"&gt;0")&gt;0,DATE($B$1,9,1)=DATE(YEAR(TODAY()),MONTH(TODAY()),1))),1,0))</f>
        <v/>
      </c>
      <c r="Y182">
        <f>IF($A182="","",IF(AND($B182&gt;0,L182&lt;$B182,DATE($B$1,10,1)&lt;=TODAY(),OR($O182="",$O182&gt;=DATE($B$1,10,1)),OR(COUNTIF($C182:L182,"&gt;0")&gt;0,DATE($B$1,10,1)=DATE(YEAR(TODAY()),MONTH(TODAY()),1))),1,0))</f>
        <v/>
      </c>
      <c r="Z182">
        <f>IF($A182="","",IF(AND($B182&gt;0,M182&lt;$B182,DATE($B$1,11,1)&lt;=TODAY(),OR($O182="",$O182&gt;=DATE($B$1,11,1)),OR(COUNTIF($C182:M182,"&gt;0")&gt;0,DATE($B$1,11,1)=DATE(YEAR(TODAY()),MONTH(TODAY()),1))),1,0))</f>
        <v/>
      </c>
      <c r="AA182">
        <f>IF($A182="","",IF(AND($B182&gt;0,N182&lt;$B182,DATE($B$1,12,1)&lt;=TODAY(),OR($O182="",$O182&gt;=DATE($B$1,12,1)),OR(COUNTIF($C182:N182,"&gt;0")&gt;0,DATE($B$1,12,1)=DATE(YEAR(TODAY()),MONTH(TODAY()),1))),1,0))</f>
        <v/>
      </c>
    </row>
    <row r="183">
      <c r="A183" s="13">
        <f>IF(원생!$A181="","",원생!$A181&amp;IF(원생!$G181="",""," ("&amp;원생!$G181&amp;")"))</f>
        <v/>
      </c>
      <c r="B183" s="8">
        <f>IF(원생!$A181="","",원생!$F181)</f>
        <v/>
      </c>
      <c r="C183" s="14">
        <f>IF(원생!$A181="","",SUMIFS(수납!$F:$F,수납!$C:$C,원생!$A181,수납!$D:$D,IF(원생!$G181="","",원생!$G181),수납!$B:$B,$B$1&amp;"-"&amp;TEXT(1,"00")&amp;"*",수납!$E:$E,"수강료")+SUMIFS(수납!$F:$F,수납!$C:$C,원생!$A181,수납!$D:$D,IF(원생!$G181="","",원생!$G181),수납!$B:$B,$B$1&amp;"-"&amp;TEXT(1,"00")&amp;"*",수납!$E:$E,""))</f>
        <v/>
      </c>
      <c r="D183" s="14">
        <f>IF(원생!$A181="","",SUMIFS(수납!$F:$F,수납!$C:$C,원생!$A181,수납!$D:$D,IF(원생!$G181="","",원생!$G181),수납!$B:$B,$B$1&amp;"-"&amp;TEXT(2,"00")&amp;"*",수납!$E:$E,"수강료")+SUMIFS(수납!$F:$F,수납!$C:$C,원생!$A181,수납!$D:$D,IF(원생!$G181="","",원생!$G181),수납!$B:$B,$B$1&amp;"-"&amp;TEXT(2,"00")&amp;"*",수납!$E:$E,""))</f>
        <v/>
      </c>
      <c r="E183" s="14">
        <f>IF(원생!$A181="","",SUMIFS(수납!$F:$F,수납!$C:$C,원생!$A181,수납!$D:$D,IF(원생!$G181="","",원생!$G181),수납!$B:$B,$B$1&amp;"-"&amp;TEXT(3,"00")&amp;"*",수납!$E:$E,"수강료")+SUMIFS(수납!$F:$F,수납!$C:$C,원생!$A181,수납!$D:$D,IF(원생!$G181="","",원생!$G181),수납!$B:$B,$B$1&amp;"-"&amp;TEXT(3,"00")&amp;"*",수납!$E:$E,""))</f>
        <v/>
      </c>
      <c r="F183" s="14">
        <f>IF(원생!$A181="","",SUMIFS(수납!$F:$F,수납!$C:$C,원생!$A181,수납!$D:$D,IF(원생!$G181="","",원생!$G181),수납!$B:$B,$B$1&amp;"-"&amp;TEXT(4,"00")&amp;"*",수납!$E:$E,"수강료")+SUMIFS(수납!$F:$F,수납!$C:$C,원생!$A181,수납!$D:$D,IF(원생!$G181="","",원생!$G181),수납!$B:$B,$B$1&amp;"-"&amp;TEXT(4,"00")&amp;"*",수납!$E:$E,""))</f>
        <v/>
      </c>
      <c r="G183" s="14">
        <f>IF(원생!$A181="","",SUMIFS(수납!$F:$F,수납!$C:$C,원생!$A181,수납!$D:$D,IF(원생!$G181="","",원생!$G181),수납!$B:$B,$B$1&amp;"-"&amp;TEXT(5,"00")&amp;"*",수납!$E:$E,"수강료")+SUMIFS(수납!$F:$F,수납!$C:$C,원생!$A181,수납!$D:$D,IF(원생!$G181="","",원생!$G181),수납!$B:$B,$B$1&amp;"-"&amp;TEXT(5,"00")&amp;"*",수납!$E:$E,""))</f>
        <v/>
      </c>
      <c r="H183" s="14">
        <f>IF(원생!$A181="","",SUMIFS(수납!$F:$F,수납!$C:$C,원생!$A181,수납!$D:$D,IF(원생!$G181="","",원생!$G181),수납!$B:$B,$B$1&amp;"-"&amp;TEXT(6,"00")&amp;"*",수납!$E:$E,"수강료")+SUMIFS(수납!$F:$F,수납!$C:$C,원생!$A181,수납!$D:$D,IF(원생!$G181="","",원생!$G181),수납!$B:$B,$B$1&amp;"-"&amp;TEXT(6,"00")&amp;"*",수납!$E:$E,""))</f>
        <v/>
      </c>
      <c r="I183" s="14">
        <f>IF(원생!$A181="","",SUMIFS(수납!$F:$F,수납!$C:$C,원생!$A181,수납!$D:$D,IF(원생!$G181="","",원생!$G181),수납!$B:$B,$B$1&amp;"-"&amp;TEXT(7,"00")&amp;"*",수납!$E:$E,"수강료")+SUMIFS(수납!$F:$F,수납!$C:$C,원생!$A181,수납!$D:$D,IF(원생!$G181="","",원생!$G181),수납!$B:$B,$B$1&amp;"-"&amp;TEXT(7,"00")&amp;"*",수납!$E:$E,""))</f>
        <v/>
      </c>
      <c r="J183" s="14">
        <f>IF(원생!$A181="","",SUMIFS(수납!$F:$F,수납!$C:$C,원생!$A181,수납!$D:$D,IF(원생!$G181="","",원생!$G181),수납!$B:$B,$B$1&amp;"-"&amp;TEXT(8,"00")&amp;"*",수납!$E:$E,"수강료")+SUMIFS(수납!$F:$F,수납!$C:$C,원생!$A181,수납!$D:$D,IF(원생!$G181="","",원생!$G181),수납!$B:$B,$B$1&amp;"-"&amp;TEXT(8,"00")&amp;"*",수납!$E:$E,""))</f>
        <v/>
      </c>
      <c r="K183" s="14">
        <f>IF(원생!$A181="","",SUMIFS(수납!$F:$F,수납!$C:$C,원생!$A181,수납!$D:$D,IF(원생!$G181="","",원생!$G181),수납!$B:$B,$B$1&amp;"-"&amp;TEXT(9,"00")&amp;"*",수납!$E:$E,"수강료")+SUMIFS(수납!$F:$F,수납!$C:$C,원생!$A181,수납!$D:$D,IF(원생!$G181="","",원생!$G181),수납!$B:$B,$B$1&amp;"-"&amp;TEXT(9,"00")&amp;"*",수납!$E:$E,""))</f>
        <v/>
      </c>
      <c r="L183" s="14">
        <f>IF(원생!$A181="","",SUMIFS(수납!$F:$F,수납!$C:$C,원생!$A181,수납!$D:$D,IF(원생!$G181="","",원생!$G181),수납!$B:$B,$B$1&amp;"-"&amp;TEXT(10,"00")&amp;"*",수납!$E:$E,"수강료")+SUMIFS(수납!$F:$F,수납!$C:$C,원생!$A181,수납!$D:$D,IF(원생!$G181="","",원생!$G181),수납!$B:$B,$B$1&amp;"-"&amp;TEXT(10,"00")&amp;"*",수납!$E:$E,""))</f>
        <v/>
      </c>
      <c r="M183" s="14">
        <f>IF(원생!$A181="","",SUMIFS(수납!$F:$F,수납!$C:$C,원생!$A181,수납!$D:$D,IF(원생!$G181="","",원생!$G181),수납!$B:$B,$B$1&amp;"-"&amp;TEXT(11,"00")&amp;"*",수납!$E:$E,"수강료")+SUMIFS(수납!$F:$F,수납!$C:$C,원생!$A181,수납!$D:$D,IF(원생!$G181="","",원생!$G181),수납!$B:$B,$B$1&amp;"-"&amp;TEXT(11,"00")&amp;"*",수납!$E:$E,""))</f>
        <v/>
      </c>
      <c r="N183" s="14">
        <f>IF(원생!$A181="","",SUMIFS(수납!$F:$F,수납!$C:$C,원생!$A181,수납!$D:$D,IF(원생!$G181="","",원생!$G181),수납!$B:$B,$B$1&amp;"-"&amp;TEXT(12,"00")&amp;"*",수납!$E:$E,"수강료")+SUMIFS(수납!$F:$F,수납!$C:$C,원생!$A181,수납!$D:$D,IF(원생!$G181="","",원생!$G181),수납!$B:$B,$B$1&amp;"-"&amp;TEXT(12,"00")&amp;"*",수납!$E:$E,""))</f>
        <v/>
      </c>
      <c r="O183">
        <f>IF(원생!$I181="","",원생!$I181)</f>
        <v/>
      </c>
      <c r="P183">
        <f>IF($A183="","",IF(AND($B183&gt;0,C183&lt;$B183,DATE($B$1,1,1)&lt;=TODAY(),OR($O183="",$O183&gt;=DATE($B$1,1,1)),OR(COUNTIF($C183:C183,"&gt;0")&gt;0,DATE($B$1,1,1)=DATE(YEAR(TODAY()),MONTH(TODAY()),1))),1,0))</f>
        <v/>
      </c>
      <c r="Q183">
        <f>IF($A183="","",IF(AND($B183&gt;0,D183&lt;$B183,DATE($B$1,2,1)&lt;=TODAY(),OR($O183="",$O183&gt;=DATE($B$1,2,1)),OR(COUNTIF($C183:D183,"&gt;0")&gt;0,DATE($B$1,2,1)=DATE(YEAR(TODAY()),MONTH(TODAY()),1))),1,0))</f>
        <v/>
      </c>
      <c r="R183">
        <f>IF($A183="","",IF(AND($B183&gt;0,E183&lt;$B183,DATE($B$1,3,1)&lt;=TODAY(),OR($O183="",$O183&gt;=DATE($B$1,3,1)),OR(COUNTIF($C183:E183,"&gt;0")&gt;0,DATE($B$1,3,1)=DATE(YEAR(TODAY()),MONTH(TODAY()),1))),1,0))</f>
        <v/>
      </c>
      <c r="S183">
        <f>IF($A183="","",IF(AND($B183&gt;0,F183&lt;$B183,DATE($B$1,4,1)&lt;=TODAY(),OR($O183="",$O183&gt;=DATE($B$1,4,1)),OR(COUNTIF($C183:F183,"&gt;0")&gt;0,DATE($B$1,4,1)=DATE(YEAR(TODAY()),MONTH(TODAY()),1))),1,0))</f>
        <v/>
      </c>
      <c r="T183">
        <f>IF($A183="","",IF(AND($B183&gt;0,G183&lt;$B183,DATE($B$1,5,1)&lt;=TODAY(),OR($O183="",$O183&gt;=DATE($B$1,5,1)),OR(COUNTIF($C183:G183,"&gt;0")&gt;0,DATE($B$1,5,1)=DATE(YEAR(TODAY()),MONTH(TODAY()),1))),1,0))</f>
        <v/>
      </c>
      <c r="U183">
        <f>IF($A183="","",IF(AND($B183&gt;0,H183&lt;$B183,DATE($B$1,6,1)&lt;=TODAY(),OR($O183="",$O183&gt;=DATE($B$1,6,1)),OR(COUNTIF($C183:H183,"&gt;0")&gt;0,DATE($B$1,6,1)=DATE(YEAR(TODAY()),MONTH(TODAY()),1))),1,0))</f>
        <v/>
      </c>
      <c r="V183">
        <f>IF($A183="","",IF(AND($B183&gt;0,I183&lt;$B183,DATE($B$1,7,1)&lt;=TODAY(),OR($O183="",$O183&gt;=DATE($B$1,7,1)),OR(COUNTIF($C183:I183,"&gt;0")&gt;0,DATE($B$1,7,1)=DATE(YEAR(TODAY()),MONTH(TODAY()),1))),1,0))</f>
        <v/>
      </c>
      <c r="W183">
        <f>IF($A183="","",IF(AND($B183&gt;0,J183&lt;$B183,DATE($B$1,8,1)&lt;=TODAY(),OR($O183="",$O183&gt;=DATE($B$1,8,1)),OR(COUNTIF($C183:J183,"&gt;0")&gt;0,DATE($B$1,8,1)=DATE(YEAR(TODAY()),MONTH(TODAY()),1))),1,0))</f>
        <v/>
      </c>
      <c r="X183">
        <f>IF($A183="","",IF(AND($B183&gt;0,K183&lt;$B183,DATE($B$1,9,1)&lt;=TODAY(),OR($O183="",$O183&gt;=DATE($B$1,9,1)),OR(COUNTIF($C183:K183,"&gt;0")&gt;0,DATE($B$1,9,1)=DATE(YEAR(TODAY()),MONTH(TODAY()),1))),1,0))</f>
        <v/>
      </c>
      <c r="Y183">
        <f>IF($A183="","",IF(AND($B183&gt;0,L183&lt;$B183,DATE($B$1,10,1)&lt;=TODAY(),OR($O183="",$O183&gt;=DATE($B$1,10,1)),OR(COUNTIF($C183:L183,"&gt;0")&gt;0,DATE($B$1,10,1)=DATE(YEAR(TODAY()),MONTH(TODAY()),1))),1,0))</f>
        <v/>
      </c>
      <c r="Z183">
        <f>IF($A183="","",IF(AND($B183&gt;0,M183&lt;$B183,DATE($B$1,11,1)&lt;=TODAY(),OR($O183="",$O183&gt;=DATE($B$1,11,1)),OR(COUNTIF($C183:M183,"&gt;0")&gt;0,DATE($B$1,11,1)=DATE(YEAR(TODAY()),MONTH(TODAY()),1))),1,0))</f>
        <v/>
      </c>
      <c r="AA183">
        <f>IF($A183="","",IF(AND($B183&gt;0,N183&lt;$B183,DATE($B$1,12,1)&lt;=TODAY(),OR($O183="",$O183&gt;=DATE($B$1,12,1)),OR(COUNTIF($C183:N183,"&gt;0")&gt;0,DATE($B$1,12,1)=DATE(YEAR(TODAY()),MONTH(TODAY()),1))),1,0))</f>
        <v/>
      </c>
    </row>
    <row r="184">
      <c r="A184" s="13">
        <f>IF(원생!$A182="","",원생!$A182&amp;IF(원생!$G182="",""," ("&amp;원생!$G182&amp;")"))</f>
        <v/>
      </c>
      <c r="B184" s="8">
        <f>IF(원생!$A182="","",원생!$F182)</f>
        <v/>
      </c>
      <c r="C184" s="14">
        <f>IF(원생!$A182="","",SUMIFS(수납!$F:$F,수납!$C:$C,원생!$A182,수납!$D:$D,IF(원생!$G182="","",원생!$G182),수납!$B:$B,$B$1&amp;"-"&amp;TEXT(1,"00")&amp;"*",수납!$E:$E,"수강료")+SUMIFS(수납!$F:$F,수납!$C:$C,원생!$A182,수납!$D:$D,IF(원생!$G182="","",원생!$G182),수납!$B:$B,$B$1&amp;"-"&amp;TEXT(1,"00")&amp;"*",수납!$E:$E,""))</f>
        <v/>
      </c>
      <c r="D184" s="14">
        <f>IF(원생!$A182="","",SUMIFS(수납!$F:$F,수납!$C:$C,원생!$A182,수납!$D:$D,IF(원생!$G182="","",원생!$G182),수납!$B:$B,$B$1&amp;"-"&amp;TEXT(2,"00")&amp;"*",수납!$E:$E,"수강료")+SUMIFS(수납!$F:$F,수납!$C:$C,원생!$A182,수납!$D:$D,IF(원생!$G182="","",원생!$G182),수납!$B:$B,$B$1&amp;"-"&amp;TEXT(2,"00")&amp;"*",수납!$E:$E,""))</f>
        <v/>
      </c>
      <c r="E184" s="14">
        <f>IF(원생!$A182="","",SUMIFS(수납!$F:$F,수납!$C:$C,원생!$A182,수납!$D:$D,IF(원생!$G182="","",원생!$G182),수납!$B:$B,$B$1&amp;"-"&amp;TEXT(3,"00")&amp;"*",수납!$E:$E,"수강료")+SUMIFS(수납!$F:$F,수납!$C:$C,원생!$A182,수납!$D:$D,IF(원생!$G182="","",원생!$G182),수납!$B:$B,$B$1&amp;"-"&amp;TEXT(3,"00")&amp;"*",수납!$E:$E,""))</f>
        <v/>
      </c>
      <c r="F184" s="14">
        <f>IF(원생!$A182="","",SUMIFS(수납!$F:$F,수납!$C:$C,원생!$A182,수납!$D:$D,IF(원생!$G182="","",원생!$G182),수납!$B:$B,$B$1&amp;"-"&amp;TEXT(4,"00")&amp;"*",수납!$E:$E,"수강료")+SUMIFS(수납!$F:$F,수납!$C:$C,원생!$A182,수납!$D:$D,IF(원생!$G182="","",원생!$G182),수납!$B:$B,$B$1&amp;"-"&amp;TEXT(4,"00")&amp;"*",수납!$E:$E,""))</f>
        <v/>
      </c>
      <c r="G184" s="14">
        <f>IF(원생!$A182="","",SUMIFS(수납!$F:$F,수납!$C:$C,원생!$A182,수납!$D:$D,IF(원생!$G182="","",원생!$G182),수납!$B:$B,$B$1&amp;"-"&amp;TEXT(5,"00")&amp;"*",수납!$E:$E,"수강료")+SUMIFS(수납!$F:$F,수납!$C:$C,원생!$A182,수납!$D:$D,IF(원생!$G182="","",원생!$G182),수납!$B:$B,$B$1&amp;"-"&amp;TEXT(5,"00")&amp;"*",수납!$E:$E,""))</f>
        <v/>
      </c>
      <c r="H184" s="14">
        <f>IF(원생!$A182="","",SUMIFS(수납!$F:$F,수납!$C:$C,원생!$A182,수납!$D:$D,IF(원생!$G182="","",원생!$G182),수납!$B:$B,$B$1&amp;"-"&amp;TEXT(6,"00")&amp;"*",수납!$E:$E,"수강료")+SUMIFS(수납!$F:$F,수납!$C:$C,원생!$A182,수납!$D:$D,IF(원생!$G182="","",원생!$G182),수납!$B:$B,$B$1&amp;"-"&amp;TEXT(6,"00")&amp;"*",수납!$E:$E,""))</f>
        <v/>
      </c>
      <c r="I184" s="14">
        <f>IF(원생!$A182="","",SUMIFS(수납!$F:$F,수납!$C:$C,원생!$A182,수납!$D:$D,IF(원생!$G182="","",원생!$G182),수납!$B:$B,$B$1&amp;"-"&amp;TEXT(7,"00")&amp;"*",수납!$E:$E,"수강료")+SUMIFS(수납!$F:$F,수납!$C:$C,원생!$A182,수납!$D:$D,IF(원생!$G182="","",원생!$G182),수납!$B:$B,$B$1&amp;"-"&amp;TEXT(7,"00")&amp;"*",수납!$E:$E,""))</f>
        <v/>
      </c>
      <c r="J184" s="14">
        <f>IF(원생!$A182="","",SUMIFS(수납!$F:$F,수납!$C:$C,원생!$A182,수납!$D:$D,IF(원생!$G182="","",원생!$G182),수납!$B:$B,$B$1&amp;"-"&amp;TEXT(8,"00")&amp;"*",수납!$E:$E,"수강료")+SUMIFS(수납!$F:$F,수납!$C:$C,원생!$A182,수납!$D:$D,IF(원생!$G182="","",원생!$G182),수납!$B:$B,$B$1&amp;"-"&amp;TEXT(8,"00")&amp;"*",수납!$E:$E,""))</f>
        <v/>
      </c>
      <c r="K184" s="14">
        <f>IF(원생!$A182="","",SUMIFS(수납!$F:$F,수납!$C:$C,원생!$A182,수납!$D:$D,IF(원생!$G182="","",원생!$G182),수납!$B:$B,$B$1&amp;"-"&amp;TEXT(9,"00")&amp;"*",수납!$E:$E,"수강료")+SUMIFS(수납!$F:$F,수납!$C:$C,원생!$A182,수납!$D:$D,IF(원생!$G182="","",원생!$G182),수납!$B:$B,$B$1&amp;"-"&amp;TEXT(9,"00")&amp;"*",수납!$E:$E,""))</f>
        <v/>
      </c>
      <c r="L184" s="14">
        <f>IF(원생!$A182="","",SUMIFS(수납!$F:$F,수납!$C:$C,원생!$A182,수납!$D:$D,IF(원생!$G182="","",원생!$G182),수납!$B:$B,$B$1&amp;"-"&amp;TEXT(10,"00")&amp;"*",수납!$E:$E,"수강료")+SUMIFS(수납!$F:$F,수납!$C:$C,원생!$A182,수납!$D:$D,IF(원생!$G182="","",원생!$G182),수납!$B:$B,$B$1&amp;"-"&amp;TEXT(10,"00")&amp;"*",수납!$E:$E,""))</f>
        <v/>
      </c>
      <c r="M184" s="14">
        <f>IF(원생!$A182="","",SUMIFS(수납!$F:$F,수납!$C:$C,원생!$A182,수납!$D:$D,IF(원생!$G182="","",원생!$G182),수납!$B:$B,$B$1&amp;"-"&amp;TEXT(11,"00")&amp;"*",수납!$E:$E,"수강료")+SUMIFS(수납!$F:$F,수납!$C:$C,원생!$A182,수납!$D:$D,IF(원생!$G182="","",원생!$G182),수납!$B:$B,$B$1&amp;"-"&amp;TEXT(11,"00")&amp;"*",수납!$E:$E,""))</f>
        <v/>
      </c>
      <c r="N184" s="14">
        <f>IF(원생!$A182="","",SUMIFS(수납!$F:$F,수납!$C:$C,원생!$A182,수납!$D:$D,IF(원생!$G182="","",원생!$G182),수납!$B:$B,$B$1&amp;"-"&amp;TEXT(12,"00")&amp;"*",수납!$E:$E,"수강료")+SUMIFS(수납!$F:$F,수납!$C:$C,원생!$A182,수납!$D:$D,IF(원생!$G182="","",원생!$G182),수납!$B:$B,$B$1&amp;"-"&amp;TEXT(12,"00")&amp;"*",수납!$E:$E,""))</f>
        <v/>
      </c>
      <c r="O184">
        <f>IF(원생!$I182="","",원생!$I182)</f>
        <v/>
      </c>
      <c r="P184">
        <f>IF($A184="","",IF(AND($B184&gt;0,C184&lt;$B184,DATE($B$1,1,1)&lt;=TODAY(),OR($O184="",$O184&gt;=DATE($B$1,1,1)),OR(COUNTIF($C184:C184,"&gt;0")&gt;0,DATE($B$1,1,1)=DATE(YEAR(TODAY()),MONTH(TODAY()),1))),1,0))</f>
        <v/>
      </c>
      <c r="Q184">
        <f>IF($A184="","",IF(AND($B184&gt;0,D184&lt;$B184,DATE($B$1,2,1)&lt;=TODAY(),OR($O184="",$O184&gt;=DATE($B$1,2,1)),OR(COUNTIF($C184:D184,"&gt;0")&gt;0,DATE($B$1,2,1)=DATE(YEAR(TODAY()),MONTH(TODAY()),1))),1,0))</f>
        <v/>
      </c>
      <c r="R184">
        <f>IF($A184="","",IF(AND($B184&gt;0,E184&lt;$B184,DATE($B$1,3,1)&lt;=TODAY(),OR($O184="",$O184&gt;=DATE($B$1,3,1)),OR(COUNTIF($C184:E184,"&gt;0")&gt;0,DATE($B$1,3,1)=DATE(YEAR(TODAY()),MONTH(TODAY()),1))),1,0))</f>
        <v/>
      </c>
      <c r="S184">
        <f>IF($A184="","",IF(AND($B184&gt;0,F184&lt;$B184,DATE($B$1,4,1)&lt;=TODAY(),OR($O184="",$O184&gt;=DATE($B$1,4,1)),OR(COUNTIF($C184:F184,"&gt;0")&gt;0,DATE($B$1,4,1)=DATE(YEAR(TODAY()),MONTH(TODAY()),1))),1,0))</f>
        <v/>
      </c>
      <c r="T184">
        <f>IF($A184="","",IF(AND($B184&gt;0,G184&lt;$B184,DATE($B$1,5,1)&lt;=TODAY(),OR($O184="",$O184&gt;=DATE($B$1,5,1)),OR(COUNTIF($C184:G184,"&gt;0")&gt;0,DATE($B$1,5,1)=DATE(YEAR(TODAY()),MONTH(TODAY()),1))),1,0))</f>
        <v/>
      </c>
      <c r="U184">
        <f>IF($A184="","",IF(AND($B184&gt;0,H184&lt;$B184,DATE($B$1,6,1)&lt;=TODAY(),OR($O184="",$O184&gt;=DATE($B$1,6,1)),OR(COUNTIF($C184:H184,"&gt;0")&gt;0,DATE($B$1,6,1)=DATE(YEAR(TODAY()),MONTH(TODAY()),1))),1,0))</f>
        <v/>
      </c>
      <c r="V184">
        <f>IF($A184="","",IF(AND($B184&gt;0,I184&lt;$B184,DATE($B$1,7,1)&lt;=TODAY(),OR($O184="",$O184&gt;=DATE($B$1,7,1)),OR(COUNTIF($C184:I184,"&gt;0")&gt;0,DATE($B$1,7,1)=DATE(YEAR(TODAY()),MONTH(TODAY()),1))),1,0))</f>
        <v/>
      </c>
      <c r="W184">
        <f>IF($A184="","",IF(AND($B184&gt;0,J184&lt;$B184,DATE($B$1,8,1)&lt;=TODAY(),OR($O184="",$O184&gt;=DATE($B$1,8,1)),OR(COUNTIF($C184:J184,"&gt;0")&gt;0,DATE($B$1,8,1)=DATE(YEAR(TODAY()),MONTH(TODAY()),1))),1,0))</f>
        <v/>
      </c>
      <c r="X184">
        <f>IF($A184="","",IF(AND($B184&gt;0,K184&lt;$B184,DATE($B$1,9,1)&lt;=TODAY(),OR($O184="",$O184&gt;=DATE($B$1,9,1)),OR(COUNTIF($C184:K184,"&gt;0")&gt;0,DATE($B$1,9,1)=DATE(YEAR(TODAY()),MONTH(TODAY()),1))),1,0))</f>
        <v/>
      </c>
      <c r="Y184">
        <f>IF($A184="","",IF(AND($B184&gt;0,L184&lt;$B184,DATE($B$1,10,1)&lt;=TODAY(),OR($O184="",$O184&gt;=DATE($B$1,10,1)),OR(COUNTIF($C184:L184,"&gt;0")&gt;0,DATE($B$1,10,1)=DATE(YEAR(TODAY()),MONTH(TODAY()),1))),1,0))</f>
        <v/>
      </c>
      <c r="Z184">
        <f>IF($A184="","",IF(AND($B184&gt;0,M184&lt;$B184,DATE($B$1,11,1)&lt;=TODAY(),OR($O184="",$O184&gt;=DATE($B$1,11,1)),OR(COUNTIF($C184:M184,"&gt;0")&gt;0,DATE($B$1,11,1)=DATE(YEAR(TODAY()),MONTH(TODAY()),1))),1,0))</f>
        <v/>
      </c>
      <c r="AA184">
        <f>IF($A184="","",IF(AND($B184&gt;0,N184&lt;$B184,DATE($B$1,12,1)&lt;=TODAY(),OR($O184="",$O184&gt;=DATE($B$1,12,1)),OR(COUNTIF($C184:N184,"&gt;0")&gt;0,DATE($B$1,12,1)=DATE(YEAR(TODAY()),MONTH(TODAY()),1))),1,0))</f>
        <v/>
      </c>
    </row>
    <row r="185">
      <c r="A185" s="13">
        <f>IF(원생!$A183="","",원생!$A183&amp;IF(원생!$G183="",""," ("&amp;원생!$G183&amp;")"))</f>
        <v/>
      </c>
      <c r="B185" s="8">
        <f>IF(원생!$A183="","",원생!$F183)</f>
        <v/>
      </c>
      <c r="C185" s="14">
        <f>IF(원생!$A183="","",SUMIFS(수납!$F:$F,수납!$C:$C,원생!$A183,수납!$D:$D,IF(원생!$G183="","",원생!$G183),수납!$B:$B,$B$1&amp;"-"&amp;TEXT(1,"00")&amp;"*",수납!$E:$E,"수강료")+SUMIFS(수납!$F:$F,수납!$C:$C,원생!$A183,수납!$D:$D,IF(원생!$G183="","",원생!$G183),수납!$B:$B,$B$1&amp;"-"&amp;TEXT(1,"00")&amp;"*",수납!$E:$E,""))</f>
        <v/>
      </c>
      <c r="D185" s="14">
        <f>IF(원생!$A183="","",SUMIFS(수납!$F:$F,수납!$C:$C,원생!$A183,수납!$D:$D,IF(원생!$G183="","",원생!$G183),수납!$B:$B,$B$1&amp;"-"&amp;TEXT(2,"00")&amp;"*",수납!$E:$E,"수강료")+SUMIFS(수납!$F:$F,수납!$C:$C,원생!$A183,수납!$D:$D,IF(원생!$G183="","",원생!$G183),수납!$B:$B,$B$1&amp;"-"&amp;TEXT(2,"00")&amp;"*",수납!$E:$E,""))</f>
        <v/>
      </c>
      <c r="E185" s="14">
        <f>IF(원생!$A183="","",SUMIFS(수납!$F:$F,수납!$C:$C,원생!$A183,수납!$D:$D,IF(원생!$G183="","",원생!$G183),수납!$B:$B,$B$1&amp;"-"&amp;TEXT(3,"00")&amp;"*",수납!$E:$E,"수강료")+SUMIFS(수납!$F:$F,수납!$C:$C,원생!$A183,수납!$D:$D,IF(원생!$G183="","",원생!$G183),수납!$B:$B,$B$1&amp;"-"&amp;TEXT(3,"00")&amp;"*",수납!$E:$E,""))</f>
        <v/>
      </c>
      <c r="F185" s="14">
        <f>IF(원생!$A183="","",SUMIFS(수납!$F:$F,수납!$C:$C,원생!$A183,수납!$D:$D,IF(원생!$G183="","",원생!$G183),수납!$B:$B,$B$1&amp;"-"&amp;TEXT(4,"00")&amp;"*",수납!$E:$E,"수강료")+SUMIFS(수납!$F:$F,수납!$C:$C,원생!$A183,수납!$D:$D,IF(원생!$G183="","",원생!$G183),수납!$B:$B,$B$1&amp;"-"&amp;TEXT(4,"00")&amp;"*",수납!$E:$E,""))</f>
        <v/>
      </c>
      <c r="G185" s="14">
        <f>IF(원생!$A183="","",SUMIFS(수납!$F:$F,수납!$C:$C,원생!$A183,수납!$D:$D,IF(원생!$G183="","",원생!$G183),수납!$B:$B,$B$1&amp;"-"&amp;TEXT(5,"00")&amp;"*",수납!$E:$E,"수강료")+SUMIFS(수납!$F:$F,수납!$C:$C,원생!$A183,수납!$D:$D,IF(원생!$G183="","",원생!$G183),수납!$B:$B,$B$1&amp;"-"&amp;TEXT(5,"00")&amp;"*",수납!$E:$E,""))</f>
        <v/>
      </c>
      <c r="H185" s="14">
        <f>IF(원생!$A183="","",SUMIFS(수납!$F:$F,수납!$C:$C,원생!$A183,수납!$D:$D,IF(원생!$G183="","",원생!$G183),수납!$B:$B,$B$1&amp;"-"&amp;TEXT(6,"00")&amp;"*",수납!$E:$E,"수강료")+SUMIFS(수납!$F:$F,수납!$C:$C,원생!$A183,수납!$D:$D,IF(원생!$G183="","",원생!$G183),수납!$B:$B,$B$1&amp;"-"&amp;TEXT(6,"00")&amp;"*",수납!$E:$E,""))</f>
        <v/>
      </c>
      <c r="I185" s="14">
        <f>IF(원생!$A183="","",SUMIFS(수납!$F:$F,수납!$C:$C,원생!$A183,수납!$D:$D,IF(원생!$G183="","",원생!$G183),수납!$B:$B,$B$1&amp;"-"&amp;TEXT(7,"00")&amp;"*",수납!$E:$E,"수강료")+SUMIFS(수납!$F:$F,수납!$C:$C,원생!$A183,수납!$D:$D,IF(원생!$G183="","",원생!$G183),수납!$B:$B,$B$1&amp;"-"&amp;TEXT(7,"00")&amp;"*",수납!$E:$E,""))</f>
        <v/>
      </c>
      <c r="J185" s="14">
        <f>IF(원생!$A183="","",SUMIFS(수납!$F:$F,수납!$C:$C,원생!$A183,수납!$D:$D,IF(원생!$G183="","",원생!$G183),수납!$B:$B,$B$1&amp;"-"&amp;TEXT(8,"00")&amp;"*",수납!$E:$E,"수강료")+SUMIFS(수납!$F:$F,수납!$C:$C,원생!$A183,수납!$D:$D,IF(원생!$G183="","",원생!$G183),수납!$B:$B,$B$1&amp;"-"&amp;TEXT(8,"00")&amp;"*",수납!$E:$E,""))</f>
        <v/>
      </c>
      <c r="K185" s="14">
        <f>IF(원생!$A183="","",SUMIFS(수납!$F:$F,수납!$C:$C,원생!$A183,수납!$D:$D,IF(원생!$G183="","",원생!$G183),수납!$B:$B,$B$1&amp;"-"&amp;TEXT(9,"00")&amp;"*",수납!$E:$E,"수강료")+SUMIFS(수납!$F:$F,수납!$C:$C,원생!$A183,수납!$D:$D,IF(원생!$G183="","",원생!$G183),수납!$B:$B,$B$1&amp;"-"&amp;TEXT(9,"00")&amp;"*",수납!$E:$E,""))</f>
        <v/>
      </c>
      <c r="L185" s="14">
        <f>IF(원생!$A183="","",SUMIFS(수납!$F:$F,수납!$C:$C,원생!$A183,수납!$D:$D,IF(원생!$G183="","",원생!$G183),수납!$B:$B,$B$1&amp;"-"&amp;TEXT(10,"00")&amp;"*",수납!$E:$E,"수강료")+SUMIFS(수납!$F:$F,수납!$C:$C,원생!$A183,수납!$D:$D,IF(원생!$G183="","",원생!$G183),수납!$B:$B,$B$1&amp;"-"&amp;TEXT(10,"00")&amp;"*",수납!$E:$E,""))</f>
        <v/>
      </c>
      <c r="M185" s="14">
        <f>IF(원생!$A183="","",SUMIFS(수납!$F:$F,수납!$C:$C,원생!$A183,수납!$D:$D,IF(원생!$G183="","",원생!$G183),수납!$B:$B,$B$1&amp;"-"&amp;TEXT(11,"00")&amp;"*",수납!$E:$E,"수강료")+SUMIFS(수납!$F:$F,수납!$C:$C,원생!$A183,수납!$D:$D,IF(원생!$G183="","",원생!$G183),수납!$B:$B,$B$1&amp;"-"&amp;TEXT(11,"00")&amp;"*",수납!$E:$E,""))</f>
        <v/>
      </c>
      <c r="N185" s="14">
        <f>IF(원생!$A183="","",SUMIFS(수납!$F:$F,수납!$C:$C,원생!$A183,수납!$D:$D,IF(원생!$G183="","",원생!$G183),수납!$B:$B,$B$1&amp;"-"&amp;TEXT(12,"00")&amp;"*",수납!$E:$E,"수강료")+SUMIFS(수납!$F:$F,수납!$C:$C,원생!$A183,수납!$D:$D,IF(원생!$G183="","",원생!$G183),수납!$B:$B,$B$1&amp;"-"&amp;TEXT(12,"00")&amp;"*",수납!$E:$E,""))</f>
        <v/>
      </c>
      <c r="O185">
        <f>IF(원생!$I183="","",원생!$I183)</f>
        <v/>
      </c>
      <c r="P185">
        <f>IF($A185="","",IF(AND($B185&gt;0,C185&lt;$B185,DATE($B$1,1,1)&lt;=TODAY(),OR($O185="",$O185&gt;=DATE($B$1,1,1)),OR(COUNTIF($C185:C185,"&gt;0")&gt;0,DATE($B$1,1,1)=DATE(YEAR(TODAY()),MONTH(TODAY()),1))),1,0))</f>
        <v/>
      </c>
      <c r="Q185">
        <f>IF($A185="","",IF(AND($B185&gt;0,D185&lt;$B185,DATE($B$1,2,1)&lt;=TODAY(),OR($O185="",$O185&gt;=DATE($B$1,2,1)),OR(COUNTIF($C185:D185,"&gt;0")&gt;0,DATE($B$1,2,1)=DATE(YEAR(TODAY()),MONTH(TODAY()),1))),1,0))</f>
        <v/>
      </c>
      <c r="R185">
        <f>IF($A185="","",IF(AND($B185&gt;0,E185&lt;$B185,DATE($B$1,3,1)&lt;=TODAY(),OR($O185="",$O185&gt;=DATE($B$1,3,1)),OR(COUNTIF($C185:E185,"&gt;0")&gt;0,DATE($B$1,3,1)=DATE(YEAR(TODAY()),MONTH(TODAY()),1))),1,0))</f>
        <v/>
      </c>
      <c r="S185">
        <f>IF($A185="","",IF(AND($B185&gt;0,F185&lt;$B185,DATE($B$1,4,1)&lt;=TODAY(),OR($O185="",$O185&gt;=DATE($B$1,4,1)),OR(COUNTIF($C185:F185,"&gt;0")&gt;0,DATE($B$1,4,1)=DATE(YEAR(TODAY()),MONTH(TODAY()),1))),1,0))</f>
        <v/>
      </c>
      <c r="T185">
        <f>IF($A185="","",IF(AND($B185&gt;0,G185&lt;$B185,DATE($B$1,5,1)&lt;=TODAY(),OR($O185="",$O185&gt;=DATE($B$1,5,1)),OR(COUNTIF($C185:G185,"&gt;0")&gt;0,DATE($B$1,5,1)=DATE(YEAR(TODAY()),MONTH(TODAY()),1))),1,0))</f>
        <v/>
      </c>
      <c r="U185">
        <f>IF($A185="","",IF(AND($B185&gt;0,H185&lt;$B185,DATE($B$1,6,1)&lt;=TODAY(),OR($O185="",$O185&gt;=DATE($B$1,6,1)),OR(COUNTIF($C185:H185,"&gt;0")&gt;0,DATE($B$1,6,1)=DATE(YEAR(TODAY()),MONTH(TODAY()),1))),1,0))</f>
        <v/>
      </c>
      <c r="V185">
        <f>IF($A185="","",IF(AND($B185&gt;0,I185&lt;$B185,DATE($B$1,7,1)&lt;=TODAY(),OR($O185="",$O185&gt;=DATE($B$1,7,1)),OR(COUNTIF($C185:I185,"&gt;0")&gt;0,DATE($B$1,7,1)=DATE(YEAR(TODAY()),MONTH(TODAY()),1))),1,0))</f>
        <v/>
      </c>
      <c r="W185">
        <f>IF($A185="","",IF(AND($B185&gt;0,J185&lt;$B185,DATE($B$1,8,1)&lt;=TODAY(),OR($O185="",$O185&gt;=DATE($B$1,8,1)),OR(COUNTIF($C185:J185,"&gt;0")&gt;0,DATE($B$1,8,1)=DATE(YEAR(TODAY()),MONTH(TODAY()),1))),1,0))</f>
        <v/>
      </c>
      <c r="X185">
        <f>IF($A185="","",IF(AND($B185&gt;0,K185&lt;$B185,DATE($B$1,9,1)&lt;=TODAY(),OR($O185="",$O185&gt;=DATE($B$1,9,1)),OR(COUNTIF($C185:K185,"&gt;0")&gt;0,DATE($B$1,9,1)=DATE(YEAR(TODAY()),MONTH(TODAY()),1))),1,0))</f>
        <v/>
      </c>
      <c r="Y185">
        <f>IF($A185="","",IF(AND($B185&gt;0,L185&lt;$B185,DATE($B$1,10,1)&lt;=TODAY(),OR($O185="",$O185&gt;=DATE($B$1,10,1)),OR(COUNTIF($C185:L185,"&gt;0")&gt;0,DATE($B$1,10,1)=DATE(YEAR(TODAY()),MONTH(TODAY()),1))),1,0))</f>
        <v/>
      </c>
      <c r="Z185">
        <f>IF($A185="","",IF(AND($B185&gt;0,M185&lt;$B185,DATE($B$1,11,1)&lt;=TODAY(),OR($O185="",$O185&gt;=DATE($B$1,11,1)),OR(COUNTIF($C185:M185,"&gt;0")&gt;0,DATE($B$1,11,1)=DATE(YEAR(TODAY()),MONTH(TODAY()),1))),1,0))</f>
        <v/>
      </c>
      <c r="AA185">
        <f>IF($A185="","",IF(AND($B185&gt;0,N185&lt;$B185,DATE($B$1,12,1)&lt;=TODAY(),OR($O185="",$O185&gt;=DATE($B$1,12,1)),OR(COUNTIF($C185:N185,"&gt;0")&gt;0,DATE($B$1,12,1)=DATE(YEAR(TODAY()),MONTH(TODAY()),1))),1,0))</f>
        <v/>
      </c>
    </row>
    <row r="186">
      <c r="A186" s="13">
        <f>IF(원생!$A184="","",원생!$A184&amp;IF(원생!$G184="",""," ("&amp;원생!$G184&amp;")"))</f>
        <v/>
      </c>
      <c r="B186" s="8">
        <f>IF(원생!$A184="","",원생!$F184)</f>
        <v/>
      </c>
      <c r="C186" s="14">
        <f>IF(원생!$A184="","",SUMIFS(수납!$F:$F,수납!$C:$C,원생!$A184,수납!$D:$D,IF(원생!$G184="","",원생!$G184),수납!$B:$B,$B$1&amp;"-"&amp;TEXT(1,"00")&amp;"*",수납!$E:$E,"수강료")+SUMIFS(수납!$F:$F,수납!$C:$C,원생!$A184,수납!$D:$D,IF(원생!$G184="","",원생!$G184),수납!$B:$B,$B$1&amp;"-"&amp;TEXT(1,"00")&amp;"*",수납!$E:$E,""))</f>
        <v/>
      </c>
      <c r="D186" s="14">
        <f>IF(원생!$A184="","",SUMIFS(수납!$F:$F,수납!$C:$C,원생!$A184,수납!$D:$D,IF(원생!$G184="","",원생!$G184),수납!$B:$B,$B$1&amp;"-"&amp;TEXT(2,"00")&amp;"*",수납!$E:$E,"수강료")+SUMIFS(수납!$F:$F,수납!$C:$C,원생!$A184,수납!$D:$D,IF(원생!$G184="","",원생!$G184),수납!$B:$B,$B$1&amp;"-"&amp;TEXT(2,"00")&amp;"*",수납!$E:$E,""))</f>
        <v/>
      </c>
      <c r="E186" s="14">
        <f>IF(원생!$A184="","",SUMIFS(수납!$F:$F,수납!$C:$C,원생!$A184,수납!$D:$D,IF(원생!$G184="","",원생!$G184),수납!$B:$B,$B$1&amp;"-"&amp;TEXT(3,"00")&amp;"*",수납!$E:$E,"수강료")+SUMIFS(수납!$F:$F,수납!$C:$C,원생!$A184,수납!$D:$D,IF(원생!$G184="","",원생!$G184),수납!$B:$B,$B$1&amp;"-"&amp;TEXT(3,"00")&amp;"*",수납!$E:$E,""))</f>
        <v/>
      </c>
      <c r="F186" s="14">
        <f>IF(원생!$A184="","",SUMIFS(수납!$F:$F,수납!$C:$C,원생!$A184,수납!$D:$D,IF(원생!$G184="","",원생!$G184),수납!$B:$B,$B$1&amp;"-"&amp;TEXT(4,"00")&amp;"*",수납!$E:$E,"수강료")+SUMIFS(수납!$F:$F,수납!$C:$C,원생!$A184,수납!$D:$D,IF(원생!$G184="","",원생!$G184),수납!$B:$B,$B$1&amp;"-"&amp;TEXT(4,"00")&amp;"*",수납!$E:$E,""))</f>
        <v/>
      </c>
      <c r="G186" s="14">
        <f>IF(원생!$A184="","",SUMIFS(수납!$F:$F,수납!$C:$C,원생!$A184,수납!$D:$D,IF(원생!$G184="","",원생!$G184),수납!$B:$B,$B$1&amp;"-"&amp;TEXT(5,"00")&amp;"*",수납!$E:$E,"수강료")+SUMIFS(수납!$F:$F,수납!$C:$C,원생!$A184,수납!$D:$D,IF(원생!$G184="","",원생!$G184),수납!$B:$B,$B$1&amp;"-"&amp;TEXT(5,"00")&amp;"*",수납!$E:$E,""))</f>
        <v/>
      </c>
      <c r="H186" s="14">
        <f>IF(원생!$A184="","",SUMIFS(수납!$F:$F,수납!$C:$C,원생!$A184,수납!$D:$D,IF(원생!$G184="","",원생!$G184),수납!$B:$B,$B$1&amp;"-"&amp;TEXT(6,"00")&amp;"*",수납!$E:$E,"수강료")+SUMIFS(수납!$F:$F,수납!$C:$C,원생!$A184,수납!$D:$D,IF(원생!$G184="","",원생!$G184),수납!$B:$B,$B$1&amp;"-"&amp;TEXT(6,"00")&amp;"*",수납!$E:$E,""))</f>
        <v/>
      </c>
      <c r="I186" s="14">
        <f>IF(원생!$A184="","",SUMIFS(수납!$F:$F,수납!$C:$C,원생!$A184,수납!$D:$D,IF(원생!$G184="","",원생!$G184),수납!$B:$B,$B$1&amp;"-"&amp;TEXT(7,"00")&amp;"*",수납!$E:$E,"수강료")+SUMIFS(수납!$F:$F,수납!$C:$C,원생!$A184,수납!$D:$D,IF(원생!$G184="","",원생!$G184),수납!$B:$B,$B$1&amp;"-"&amp;TEXT(7,"00")&amp;"*",수납!$E:$E,""))</f>
        <v/>
      </c>
      <c r="J186" s="14">
        <f>IF(원생!$A184="","",SUMIFS(수납!$F:$F,수납!$C:$C,원생!$A184,수납!$D:$D,IF(원생!$G184="","",원생!$G184),수납!$B:$B,$B$1&amp;"-"&amp;TEXT(8,"00")&amp;"*",수납!$E:$E,"수강료")+SUMIFS(수납!$F:$F,수납!$C:$C,원생!$A184,수납!$D:$D,IF(원생!$G184="","",원생!$G184),수납!$B:$B,$B$1&amp;"-"&amp;TEXT(8,"00")&amp;"*",수납!$E:$E,""))</f>
        <v/>
      </c>
      <c r="K186" s="14">
        <f>IF(원생!$A184="","",SUMIFS(수납!$F:$F,수납!$C:$C,원생!$A184,수납!$D:$D,IF(원생!$G184="","",원생!$G184),수납!$B:$B,$B$1&amp;"-"&amp;TEXT(9,"00")&amp;"*",수납!$E:$E,"수강료")+SUMIFS(수납!$F:$F,수납!$C:$C,원생!$A184,수납!$D:$D,IF(원생!$G184="","",원생!$G184),수납!$B:$B,$B$1&amp;"-"&amp;TEXT(9,"00")&amp;"*",수납!$E:$E,""))</f>
        <v/>
      </c>
      <c r="L186" s="14">
        <f>IF(원생!$A184="","",SUMIFS(수납!$F:$F,수납!$C:$C,원생!$A184,수납!$D:$D,IF(원생!$G184="","",원생!$G184),수납!$B:$B,$B$1&amp;"-"&amp;TEXT(10,"00")&amp;"*",수납!$E:$E,"수강료")+SUMIFS(수납!$F:$F,수납!$C:$C,원생!$A184,수납!$D:$D,IF(원생!$G184="","",원생!$G184),수납!$B:$B,$B$1&amp;"-"&amp;TEXT(10,"00")&amp;"*",수납!$E:$E,""))</f>
        <v/>
      </c>
      <c r="M186" s="14">
        <f>IF(원생!$A184="","",SUMIFS(수납!$F:$F,수납!$C:$C,원생!$A184,수납!$D:$D,IF(원생!$G184="","",원생!$G184),수납!$B:$B,$B$1&amp;"-"&amp;TEXT(11,"00")&amp;"*",수납!$E:$E,"수강료")+SUMIFS(수납!$F:$F,수납!$C:$C,원생!$A184,수납!$D:$D,IF(원생!$G184="","",원생!$G184),수납!$B:$B,$B$1&amp;"-"&amp;TEXT(11,"00")&amp;"*",수납!$E:$E,""))</f>
        <v/>
      </c>
      <c r="N186" s="14">
        <f>IF(원생!$A184="","",SUMIFS(수납!$F:$F,수납!$C:$C,원생!$A184,수납!$D:$D,IF(원생!$G184="","",원생!$G184),수납!$B:$B,$B$1&amp;"-"&amp;TEXT(12,"00")&amp;"*",수납!$E:$E,"수강료")+SUMIFS(수납!$F:$F,수납!$C:$C,원생!$A184,수납!$D:$D,IF(원생!$G184="","",원생!$G184),수납!$B:$B,$B$1&amp;"-"&amp;TEXT(12,"00")&amp;"*",수납!$E:$E,""))</f>
        <v/>
      </c>
      <c r="O186">
        <f>IF(원생!$I184="","",원생!$I184)</f>
        <v/>
      </c>
      <c r="P186">
        <f>IF($A186="","",IF(AND($B186&gt;0,C186&lt;$B186,DATE($B$1,1,1)&lt;=TODAY(),OR($O186="",$O186&gt;=DATE($B$1,1,1)),OR(COUNTIF($C186:C186,"&gt;0")&gt;0,DATE($B$1,1,1)=DATE(YEAR(TODAY()),MONTH(TODAY()),1))),1,0))</f>
        <v/>
      </c>
      <c r="Q186">
        <f>IF($A186="","",IF(AND($B186&gt;0,D186&lt;$B186,DATE($B$1,2,1)&lt;=TODAY(),OR($O186="",$O186&gt;=DATE($B$1,2,1)),OR(COUNTIF($C186:D186,"&gt;0")&gt;0,DATE($B$1,2,1)=DATE(YEAR(TODAY()),MONTH(TODAY()),1))),1,0))</f>
        <v/>
      </c>
      <c r="R186">
        <f>IF($A186="","",IF(AND($B186&gt;0,E186&lt;$B186,DATE($B$1,3,1)&lt;=TODAY(),OR($O186="",$O186&gt;=DATE($B$1,3,1)),OR(COUNTIF($C186:E186,"&gt;0")&gt;0,DATE($B$1,3,1)=DATE(YEAR(TODAY()),MONTH(TODAY()),1))),1,0))</f>
        <v/>
      </c>
      <c r="S186">
        <f>IF($A186="","",IF(AND($B186&gt;0,F186&lt;$B186,DATE($B$1,4,1)&lt;=TODAY(),OR($O186="",$O186&gt;=DATE($B$1,4,1)),OR(COUNTIF($C186:F186,"&gt;0")&gt;0,DATE($B$1,4,1)=DATE(YEAR(TODAY()),MONTH(TODAY()),1))),1,0))</f>
        <v/>
      </c>
      <c r="T186">
        <f>IF($A186="","",IF(AND($B186&gt;0,G186&lt;$B186,DATE($B$1,5,1)&lt;=TODAY(),OR($O186="",$O186&gt;=DATE($B$1,5,1)),OR(COUNTIF($C186:G186,"&gt;0")&gt;0,DATE($B$1,5,1)=DATE(YEAR(TODAY()),MONTH(TODAY()),1))),1,0))</f>
        <v/>
      </c>
      <c r="U186">
        <f>IF($A186="","",IF(AND($B186&gt;0,H186&lt;$B186,DATE($B$1,6,1)&lt;=TODAY(),OR($O186="",$O186&gt;=DATE($B$1,6,1)),OR(COUNTIF($C186:H186,"&gt;0")&gt;0,DATE($B$1,6,1)=DATE(YEAR(TODAY()),MONTH(TODAY()),1))),1,0))</f>
        <v/>
      </c>
      <c r="V186">
        <f>IF($A186="","",IF(AND($B186&gt;0,I186&lt;$B186,DATE($B$1,7,1)&lt;=TODAY(),OR($O186="",$O186&gt;=DATE($B$1,7,1)),OR(COUNTIF($C186:I186,"&gt;0")&gt;0,DATE($B$1,7,1)=DATE(YEAR(TODAY()),MONTH(TODAY()),1))),1,0))</f>
        <v/>
      </c>
      <c r="W186">
        <f>IF($A186="","",IF(AND($B186&gt;0,J186&lt;$B186,DATE($B$1,8,1)&lt;=TODAY(),OR($O186="",$O186&gt;=DATE($B$1,8,1)),OR(COUNTIF($C186:J186,"&gt;0")&gt;0,DATE($B$1,8,1)=DATE(YEAR(TODAY()),MONTH(TODAY()),1))),1,0))</f>
        <v/>
      </c>
      <c r="X186">
        <f>IF($A186="","",IF(AND($B186&gt;0,K186&lt;$B186,DATE($B$1,9,1)&lt;=TODAY(),OR($O186="",$O186&gt;=DATE($B$1,9,1)),OR(COUNTIF($C186:K186,"&gt;0")&gt;0,DATE($B$1,9,1)=DATE(YEAR(TODAY()),MONTH(TODAY()),1))),1,0))</f>
        <v/>
      </c>
      <c r="Y186">
        <f>IF($A186="","",IF(AND($B186&gt;0,L186&lt;$B186,DATE($B$1,10,1)&lt;=TODAY(),OR($O186="",$O186&gt;=DATE($B$1,10,1)),OR(COUNTIF($C186:L186,"&gt;0")&gt;0,DATE($B$1,10,1)=DATE(YEAR(TODAY()),MONTH(TODAY()),1))),1,0))</f>
        <v/>
      </c>
      <c r="Z186">
        <f>IF($A186="","",IF(AND($B186&gt;0,M186&lt;$B186,DATE($B$1,11,1)&lt;=TODAY(),OR($O186="",$O186&gt;=DATE($B$1,11,1)),OR(COUNTIF($C186:M186,"&gt;0")&gt;0,DATE($B$1,11,1)=DATE(YEAR(TODAY()),MONTH(TODAY()),1))),1,0))</f>
        <v/>
      </c>
      <c r="AA186">
        <f>IF($A186="","",IF(AND($B186&gt;0,N186&lt;$B186,DATE($B$1,12,1)&lt;=TODAY(),OR($O186="",$O186&gt;=DATE($B$1,12,1)),OR(COUNTIF($C186:N186,"&gt;0")&gt;0,DATE($B$1,12,1)=DATE(YEAR(TODAY()),MONTH(TODAY()),1))),1,0))</f>
        <v/>
      </c>
    </row>
    <row r="187">
      <c r="A187" s="13">
        <f>IF(원생!$A185="","",원생!$A185&amp;IF(원생!$G185="",""," ("&amp;원생!$G185&amp;")"))</f>
        <v/>
      </c>
      <c r="B187" s="8">
        <f>IF(원생!$A185="","",원생!$F185)</f>
        <v/>
      </c>
      <c r="C187" s="14">
        <f>IF(원생!$A185="","",SUMIFS(수납!$F:$F,수납!$C:$C,원생!$A185,수납!$D:$D,IF(원생!$G185="","",원생!$G185),수납!$B:$B,$B$1&amp;"-"&amp;TEXT(1,"00")&amp;"*",수납!$E:$E,"수강료")+SUMIFS(수납!$F:$F,수납!$C:$C,원생!$A185,수납!$D:$D,IF(원생!$G185="","",원생!$G185),수납!$B:$B,$B$1&amp;"-"&amp;TEXT(1,"00")&amp;"*",수납!$E:$E,""))</f>
        <v/>
      </c>
      <c r="D187" s="14">
        <f>IF(원생!$A185="","",SUMIFS(수납!$F:$F,수납!$C:$C,원생!$A185,수납!$D:$D,IF(원생!$G185="","",원생!$G185),수납!$B:$B,$B$1&amp;"-"&amp;TEXT(2,"00")&amp;"*",수납!$E:$E,"수강료")+SUMIFS(수납!$F:$F,수납!$C:$C,원생!$A185,수납!$D:$D,IF(원생!$G185="","",원생!$G185),수납!$B:$B,$B$1&amp;"-"&amp;TEXT(2,"00")&amp;"*",수납!$E:$E,""))</f>
        <v/>
      </c>
      <c r="E187" s="14">
        <f>IF(원생!$A185="","",SUMIFS(수납!$F:$F,수납!$C:$C,원생!$A185,수납!$D:$D,IF(원생!$G185="","",원생!$G185),수납!$B:$B,$B$1&amp;"-"&amp;TEXT(3,"00")&amp;"*",수납!$E:$E,"수강료")+SUMIFS(수납!$F:$F,수납!$C:$C,원생!$A185,수납!$D:$D,IF(원생!$G185="","",원생!$G185),수납!$B:$B,$B$1&amp;"-"&amp;TEXT(3,"00")&amp;"*",수납!$E:$E,""))</f>
        <v/>
      </c>
      <c r="F187" s="14">
        <f>IF(원생!$A185="","",SUMIFS(수납!$F:$F,수납!$C:$C,원생!$A185,수납!$D:$D,IF(원생!$G185="","",원생!$G185),수납!$B:$B,$B$1&amp;"-"&amp;TEXT(4,"00")&amp;"*",수납!$E:$E,"수강료")+SUMIFS(수납!$F:$F,수납!$C:$C,원생!$A185,수납!$D:$D,IF(원생!$G185="","",원생!$G185),수납!$B:$B,$B$1&amp;"-"&amp;TEXT(4,"00")&amp;"*",수납!$E:$E,""))</f>
        <v/>
      </c>
      <c r="G187" s="14">
        <f>IF(원생!$A185="","",SUMIFS(수납!$F:$F,수납!$C:$C,원생!$A185,수납!$D:$D,IF(원생!$G185="","",원생!$G185),수납!$B:$B,$B$1&amp;"-"&amp;TEXT(5,"00")&amp;"*",수납!$E:$E,"수강료")+SUMIFS(수납!$F:$F,수납!$C:$C,원생!$A185,수납!$D:$D,IF(원생!$G185="","",원생!$G185),수납!$B:$B,$B$1&amp;"-"&amp;TEXT(5,"00")&amp;"*",수납!$E:$E,""))</f>
        <v/>
      </c>
      <c r="H187" s="14">
        <f>IF(원생!$A185="","",SUMIFS(수납!$F:$F,수납!$C:$C,원생!$A185,수납!$D:$D,IF(원생!$G185="","",원생!$G185),수납!$B:$B,$B$1&amp;"-"&amp;TEXT(6,"00")&amp;"*",수납!$E:$E,"수강료")+SUMIFS(수납!$F:$F,수납!$C:$C,원생!$A185,수납!$D:$D,IF(원생!$G185="","",원생!$G185),수납!$B:$B,$B$1&amp;"-"&amp;TEXT(6,"00")&amp;"*",수납!$E:$E,""))</f>
        <v/>
      </c>
      <c r="I187" s="14">
        <f>IF(원생!$A185="","",SUMIFS(수납!$F:$F,수납!$C:$C,원생!$A185,수납!$D:$D,IF(원생!$G185="","",원생!$G185),수납!$B:$B,$B$1&amp;"-"&amp;TEXT(7,"00")&amp;"*",수납!$E:$E,"수강료")+SUMIFS(수납!$F:$F,수납!$C:$C,원생!$A185,수납!$D:$D,IF(원생!$G185="","",원생!$G185),수납!$B:$B,$B$1&amp;"-"&amp;TEXT(7,"00")&amp;"*",수납!$E:$E,""))</f>
        <v/>
      </c>
      <c r="J187" s="14">
        <f>IF(원생!$A185="","",SUMIFS(수납!$F:$F,수납!$C:$C,원생!$A185,수납!$D:$D,IF(원생!$G185="","",원생!$G185),수납!$B:$B,$B$1&amp;"-"&amp;TEXT(8,"00")&amp;"*",수납!$E:$E,"수강료")+SUMIFS(수납!$F:$F,수납!$C:$C,원생!$A185,수납!$D:$D,IF(원생!$G185="","",원생!$G185),수납!$B:$B,$B$1&amp;"-"&amp;TEXT(8,"00")&amp;"*",수납!$E:$E,""))</f>
        <v/>
      </c>
      <c r="K187" s="14">
        <f>IF(원생!$A185="","",SUMIFS(수납!$F:$F,수납!$C:$C,원생!$A185,수납!$D:$D,IF(원생!$G185="","",원생!$G185),수납!$B:$B,$B$1&amp;"-"&amp;TEXT(9,"00")&amp;"*",수납!$E:$E,"수강료")+SUMIFS(수납!$F:$F,수납!$C:$C,원생!$A185,수납!$D:$D,IF(원생!$G185="","",원생!$G185),수납!$B:$B,$B$1&amp;"-"&amp;TEXT(9,"00")&amp;"*",수납!$E:$E,""))</f>
        <v/>
      </c>
      <c r="L187" s="14">
        <f>IF(원생!$A185="","",SUMIFS(수납!$F:$F,수납!$C:$C,원생!$A185,수납!$D:$D,IF(원생!$G185="","",원생!$G185),수납!$B:$B,$B$1&amp;"-"&amp;TEXT(10,"00")&amp;"*",수납!$E:$E,"수강료")+SUMIFS(수납!$F:$F,수납!$C:$C,원생!$A185,수납!$D:$D,IF(원생!$G185="","",원생!$G185),수납!$B:$B,$B$1&amp;"-"&amp;TEXT(10,"00")&amp;"*",수납!$E:$E,""))</f>
        <v/>
      </c>
      <c r="M187" s="14">
        <f>IF(원생!$A185="","",SUMIFS(수납!$F:$F,수납!$C:$C,원생!$A185,수납!$D:$D,IF(원생!$G185="","",원생!$G185),수납!$B:$B,$B$1&amp;"-"&amp;TEXT(11,"00")&amp;"*",수납!$E:$E,"수강료")+SUMIFS(수납!$F:$F,수납!$C:$C,원생!$A185,수납!$D:$D,IF(원생!$G185="","",원생!$G185),수납!$B:$B,$B$1&amp;"-"&amp;TEXT(11,"00")&amp;"*",수납!$E:$E,""))</f>
        <v/>
      </c>
      <c r="N187" s="14">
        <f>IF(원생!$A185="","",SUMIFS(수납!$F:$F,수납!$C:$C,원생!$A185,수납!$D:$D,IF(원생!$G185="","",원생!$G185),수납!$B:$B,$B$1&amp;"-"&amp;TEXT(12,"00")&amp;"*",수납!$E:$E,"수강료")+SUMIFS(수납!$F:$F,수납!$C:$C,원생!$A185,수납!$D:$D,IF(원생!$G185="","",원생!$G185),수납!$B:$B,$B$1&amp;"-"&amp;TEXT(12,"00")&amp;"*",수납!$E:$E,""))</f>
        <v/>
      </c>
      <c r="O187">
        <f>IF(원생!$I185="","",원생!$I185)</f>
        <v/>
      </c>
      <c r="P187">
        <f>IF($A187="","",IF(AND($B187&gt;0,C187&lt;$B187,DATE($B$1,1,1)&lt;=TODAY(),OR($O187="",$O187&gt;=DATE($B$1,1,1)),OR(COUNTIF($C187:C187,"&gt;0")&gt;0,DATE($B$1,1,1)=DATE(YEAR(TODAY()),MONTH(TODAY()),1))),1,0))</f>
        <v/>
      </c>
      <c r="Q187">
        <f>IF($A187="","",IF(AND($B187&gt;0,D187&lt;$B187,DATE($B$1,2,1)&lt;=TODAY(),OR($O187="",$O187&gt;=DATE($B$1,2,1)),OR(COUNTIF($C187:D187,"&gt;0")&gt;0,DATE($B$1,2,1)=DATE(YEAR(TODAY()),MONTH(TODAY()),1))),1,0))</f>
        <v/>
      </c>
      <c r="R187">
        <f>IF($A187="","",IF(AND($B187&gt;0,E187&lt;$B187,DATE($B$1,3,1)&lt;=TODAY(),OR($O187="",$O187&gt;=DATE($B$1,3,1)),OR(COUNTIF($C187:E187,"&gt;0")&gt;0,DATE($B$1,3,1)=DATE(YEAR(TODAY()),MONTH(TODAY()),1))),1,0))</f>
        <v/>
      </c>
      <c r="S187">
        <f>IF($A187="","",IF(AND($B187&gt;0,F187&lt;$B187,DATE($B$1,4,1)&lt;=TODAY(),OR($O187="",$O187&gt;=DATE($B$1,4,1)),OR(COUNTIF($C187:F187,"&gt;0")&gt;0,DATE($B$1,4,1)=DATE(YEAR(TODAY()),MONTH(TODAY()),1))),1,0))</f>
        <v/>
      </c>
      <c r="T187">
        <f>IF($A187="","",IF(AND($B187&gt;0,G187&lt;$B187,DATE($B$1,5,1)&lt;=TODAY(),OR($O187="",$O187&gt;=DATE($B$1,5,1)),OR(COUNTIF($C187:G187,"&gt;0")&gt;0,DATE($B$1,5,1)=DATE(YEAR(TODAY()),MONTH(TODAY()),1))),1,0))</f>
        <v/>
      </c>
      <c r="U187">
        <f>IF($A187="","",IF(AND($B187&gt;0,H187&lt;$B187,DATE($B$1,6,1)&lt;=TODAY(),OR($O187="",$O187&gt;=DATE($B$1,6,1)),OR(COUNTIF($C187:H187,"&gt;0")&gt;0,DATE($B$1,6,1)=DATE(YEAR(TODAY()),MONTH(TODAY()),1))),1,0))</f>
        <v/>
      </c>
      <c r="V187">
        <f>IF($A187="","",IF(AND($B187&gt;0,I187&lt;$B187,DATE($B$1,7,1)&lt;=TODAY(),OR($O187="",$O187&gt;=DATE($B$1,7,1)),OR(COUNTIF($C187:I187,"&gt;0")&gt;0,DATE($B$1,7,1)=DATE(YEAR(TODAY()),MONTH(TODAY()),1))),1,0))</f>
        <v/>
      </c>
      <c r="W187">
        <f>IF($A187="","",IF(AND($B187&gt;0,J187&lt;$B187,DATE($B$1,8,1)&lt;=TODAY(),OR($O187="",$O187&gt;=DATE($B$1,8,1)),OR(COUNTIF($C187:J187,"&gt;0")&gt;0,DATE($B$1,8,1)=DATE(YEAR(TODAY()),MONTH(TODAY()),1))),1,0))</f>
        <v/>
      </c>
      <c r="X187">
        <f>IF($A187="","",IF(AND($B187&gt;0,K187&lt;$B187,DATE($B$1,9,1)&lt;=TODAY(),OR($O187="",$O187&gt;=DATE($B$1,9,1)),OR(COUNTIF($C187:K187,"&gt;0")&gt;0,DATE($B$1,9,1)=DATE(YEAR(TODAY()),MONTH(TODAY()),1))),1,0))</f>
        <v/>
      </c>
      <c r="Y187">
        <f>IF($A187="","",IF(AND($B187&gt;0,L187&lt;$B187,DATE($B$1,10,1)&lt;=TODAY(),OR($O187="",$O187&gt;=DATE($B$1,10,1)),OR(COUNTIF($C187:L187,"&gt;0")&gt;0,DATE($B$1,10,1)=DATE(YEAR(TODAY()),MONTH(TODAY()),1))),1,0))</f>
        <v/>
      </c>
      <c r="Z187">
        <f>IF($A187="","",IF(AND($B187&gt;0,M187&lt;$B187,DATE($B$1,11,1)&lt;=TODAY(),OR($O187="",$O187&gt;=DATE($B$1,11,1)),OR(COUNTIF($C187:M187,"&gt;0")&gt;0,DATE($B$1,11,1)=DATE(YEAR(TODAY()),MONTH(TODAY()),1))),1,0))</f>
        <v/>
      </c>
      <c r="AA187">
        <f>IF($A187="","",IF(AND($B187&gt;0,N187&lt;$B187,DATE($B$1,12,1)&lt;=TODAY(),OR($O187="",$O187&gt;=DATE($B$1,12,1)),OR(COUNTIF($C187:N187,"&gt;0")&gt;0,DATE($B$1,12,1)=DATE(YEAR(TODAY()),MONTH(TODAY()),1))),1,0))</f>
        <v/>
      </c>
    </row>
    <row r="188">
      <c r="A188" s="13">
        <f>IF(원생!$A186="","",원생!$A186&amp;IF(원생!$G186="",""," ("&amp;원생!$G186&amp;")"))</f>
        <v/>
      </c>
      <c r="B188" s="8">
        <f>IF(원생!$A186="","",원생!$F186)</f>
        <v/>
      </c>
      <c r="C188" s="14">
        <f>IF(원생!$A186="","",SUMIFS(수납!$F:$F,수납!$C:$C,원생!$A186,수납!$D:$D,IF(원생!$G186="","",원생!$G186),수납!$B:$B,$B$1&amp;"-"&amp;TEXT(1,"00")&amp;"*",수납!$E:$E,"수강료")+SUMIFS(수납!$F:$F,수납!$C:$C,원생!$A186,수납!$D:$D,IF(원생!$G186="","",원생!$G186),수납!$B:$B,$B$1&amp;"-"&amp;TEXT(1,"00")&amp;"*",수납!$E:$E,""))</f>
        <v/>
      </c>
      <c r="D188" s="14">
        <f>IF(원생!$A186="","",SUMIFS(수납!$F:$F,수납!$C:$C,원생!$A186,수납!$D:$D,IF(원생!$G186="","",원생!$G186),수납!$B:$B,$B$1&amp;"-"&amp;TEXT(2,"00")&amp;"*",수납!$E:$E,"수강료")+SUMIFS(수납!$F:$F,수납!$C:$C,원생!$A186,수납!$D:$D,IF(원생!$G186="","",원생!$G186),수납!$B:$B,$B$1&amp;"-"&amp;TEXT(2,"00")&amp;"*",수납!$E:$E,""))</f>
        <v/>
      </c>
      <c r="E188" s="14">
        <f>IF(원생!$A186="","",SUMIFS(수납!$F:$F,수납!$C:$C,원생!$A186,수납!$D:$D,IF(원생!$G186="","",원생!$G186),수납!$B:$B,$B$1&amp;"-"&amp;TEXT(3,"00")&amp;"*",수납!$E:$E,"수강료")+SUMIFS(수납!$F:$F,수납!$C:$C,원생!$A186,수납!$D:$D,IF(원생!$G186="","",원생!$G186),수납!$B:$B,$B$1&amp;"-"&amp;TEXT(3,"00")&amp;"*",수납!$E:$E,""))</f>
        <v/>
      </c>
      <c r="F188" s="14">
        <f>IF(원생!$A186="","",SUMIFS(수납!$F:$F,수납!$C:$C,원생!$A186,수납!$D:$D,IF(원생!$G186="","",원생!$G186),수납!$B:$B,$B$1&amp;"-"&amp;TEXT(4,"00")&amp;"*",수납!$E:$E,"수강료")+SUMIFS(수납!$F:$F,수납!$C:$C,원생!$A186,수납!$D:$D,IF(원생!$G186="","",원생!$G186),수납!$B:$B,$B$1&amp;"-"&amp;TEXT(4,"00")&amp;"*",수납!$E:$E,""))</f>
        <v/>
      </c>
      <c r="G188" s="14">
        <f>IF(원생!$A186="","",SUMIFS(수납!$F:$F,수납!$C:$C,원생!$A186,수납!$D:$D,IF(원생!$G186="","",원생!$G186),수납!$B:$B,$B$1&amp;"-"&amp;TEXT(5,"00")&amp;"*",수납!$E:$E,"수강료")+SUMIFS(수납!$F:$F,수납!$C:$C,원생!$A186,수납!$D:$D,IF(원생!$G186="","",원생!$G186),수납!$B:$B,$B$1&amp;"-"&amp;TEXT(5,"00")&amp;"*",수납!$E:$E,""))</f>
        <v/>
      </c>
      <c r="H188" s="14">
        <f>IF(원생!$A186="","",SUMIFS(수납!$F:$F,수납!$C:$C,원생!$A186,수납!$D:$D,IF(원생!$G186="","",원생!$G186),수납!$B:$B,$B$1&amp;"-"&amp;TEXT(6,"00")&amp;"*",수납!$E:$E,"수강료")+SUMIFS(수납!$F:$F,수납!$C:$C,원생!$A186,수납!$D:$D,IF(원생!$G186="","",원생!$G186),수납!$B:$B,$B$1&amp;"-"&amp;TEXT(6,"00")&amp;"*",수납!$E:$E,""))</f>
        <v/>
      </c>
      <c r="I188" s="14">
        <f>IF(원생!$A186="","",SUMIFS(수납!$F:$F,수납!$C:$C,원생!$A186,수납!$D:$D,IF(원생!$G186="","",원생!$G186),수납!$B:$B,$B$1&amp;"-"&amp;TEXT(7,"00")&amp;"*",수납!$E:$E,"수강료")+SUMIFS(수납!$F:$F,수납!$C:$C,원생!$A186,수납!$D:$D,IF(원생!$G186="","",원생!$G186),수납!$B:$B,$B$1&amp;"-"&amp;TEXT(7,"00")&amp;"*",수납!$E:$E,""))</f>
        <v/>
      </c>
      <c r="J188" s="14">
        <f>IF(원생!$A186="","",SUMIFS(수납!$F:$F,수납!$C:$C,원생!$A186,수납!$D:$D,IF(원생!$G186="","",원생!$G186),수납!$B:$B,$B$1&amp;"-"&amp;TEXT(8,"00")&amp;"*",수납!$E:$E,"수강료")+SUMIFS(수납!$F:$F,수납!$C:$C,원생!$A186,수납!$D:$D,IF(원생!$G186="","",원생!$G186),수납!$B:$B,$B$1&amp;"-"&amp;TEXT(8,"00")&amp;"*",수납!$E:$E,""))</f>
        <v/>
      </c>
      <c r="K188" s="14">
        <f>IF(원생!$A186="","",SUMIFS(수납!$F:$F,수납!$C:$C,원생!$A186,수납!$D:$D,IF(원생!$G186="","",원생!$G186),수납!$B:$B,$B$1&amp;"-"&amp;TEXT(9,"00")&amp;"*",수납!$E:$E,"수강료")+SUMIFS(수납!$F:$F,수납!$C:$C,원생!$A186,수납!$D:$D,IF(원생!$G186="","",원생!$G186),수납!$B:$B,$B$1&amp;"-"&amp;TEXT(9,"00")&amp;"*",수납!$E:$E,""))</f>
        <v/>
      </c>
      <c r="L188" s="14">
        <f>IF(원생!$A186="","",SUMIFS(수납!$F:$F,수납!$C:$C,원생!$A186,수납!$D:$D,IF(원생!$G186="","",원생!$G186),수납!$B:$B,$B$1&amp;"-"&amp;TEXT(10,"00")&amp;"*",수납!$E:$E,"수강료")+SUMIFS(수납!$F:$F,수납!$C:$C,원생!$A186,수납!$D:$D,IF(원생!$G186="","",원생!$G186),수납!$B:$B,$B$1&amp;"-"&amp;TEXT(10,"00")&amp;"*",수납!$E:$E,""))</f>
        <v/>
      </c>
      <c r="M188" s="14">
        <f>IF(원생!$A186="","",SUMIFS(수납!$F:$F,수납!$C:$C,원생!$A186,수납!$D:$D,IF(원생!$G186="","",원생!$G186),수납!$B:$B,$B$1&amp;"-"&amp;TEXT(11,"00")&amp;"*",수납!$E:$E,"수강료")+SUMIFS(수납!$F:$F,수납!$C:$C,원생!$A186,수납!$D:$D,IF(원생!$G186="","",원생!$G186),수납!$B:$B,$B$1&amp;"-"&amp;TEXT(11,"00")&amp;"*",수납!$E:$E,""))</f>
        <v/>
      </c>
      <c r="N188" s="14">
        <f>IF(원생!$A186="","",SUMIFS(수납!$F:$F,수납!$C:$C,원생!$A186,수납!$D:$D,IF(원생!$G186="","",원생!$G186),수납!$B:$B,$B$1&amp;"-"&amp;TEXT(12,"00")&amp;"*",수납!$E:$E,"수강료")+SUMIFS(수납!$F:$F,수납!$C:$C,원생!$A186,수납!$D:$D,IF(원생!$G186="","",원생!$G186),수납!$B:$B,$B$1&amp;"-"&amp;TEXT(12,"00")&amp;"*",수납!$E:$E,""))</f>
        <v/>
      </c>
      <c r="O188">
        <f>IF(원생!$I186="","",원생!$I186)</f>
        <v/>
      </c>
      <c r="P188">
        <f>IF($A188="","",IF(AND($B188&gt;0,C188&lt;$B188,DATE($B$1,1,1)&lt;=TODAY(),OR($O188="",$O188&gt;=DATE($B$1,1,1)),OR(COUNTIF($C188:C188,"&gt;0")&gt;0,DATE($B$1,1,1)=DATE(YEAR(TODAY()),MONTH(TODAY()),1))),1,0))</f>
        <v/>
      </c>
      <c r="Q188">
        <f>IF($A188="","",IF(AND($B188&gt;0,D188&lt;$B188,DATE($B$1,2,1)&lt;=TODAY(),OR($O188="",$O188&gt;=DATE($B$1,2,1)),OR(COUNTIF($C188:D188,"&gt;0")&gt;0,DATE($B$1,2,1)=DATE(YEAR(TODAY()),MONTH(TODAY()),1))),1,0))</f>
        <v/>
      </c>
      <c r="R188">
        <f>IF($A188="","",IF(AND($B188&gt;0,E188&lt;$B188,DATE($B$1,3,1)&lt;=TODAY(),OR($O188="",$O188&gt;=DATE($B$1,3,1)),OR(COUNTIF($C188:E188,"&gt;0")&gt;0,DATE($B$1,3,1)=DATE(YEAR(TODAY()),MONTH(TODAY()),1))),1,0))</f>
        <v/>
      </c>
      <c r="S188">
        <f>IF($A188="","",IF(AND($B188&gt;0,F188&lt;$B188,DATE($B$1,4,1)&lt;=TODAY(),OR($O188="",$O188&gt;=DATE($B$1,4,1)),OR(COUNTIF($C188:F188,"&gt;0")&gt;0,DATE($B$1,4,1)=DATE(YEAR(TODAY()),MONTH(TODAY()),1))),1,0))</f>
        <v/>
      </c>
      <c r="T188">
        <f>IF($A188="","",IF(AND($B188&gt;0,G188&lt;$B188,DATE($B$1,5,1)&lt;=TODAY(),OR($O188="",$O188&gt;=DATE($B$1,5,1)),OR(COUNTIF($C188:G188,"&gt;0")&gt;0,DATE($B$1,5,1)=DATE(YEAR(TODAY()),MONTH(TODAY()),1))),1,0))</f>
        <v/>
      </c>
      <c r="U188">
        <f>IF($A188="","",IF(AND($B188&gt;0,H188&lt;$B188,DATE($B$1,6,1)&lt;=TODAY(),OR($O188="",$O188&gt;=DATE($B$1,6,1)),OR(COUNTIF($C188:H188,"&gt;0")&gt;0,DATE($B$1,6,1)=DATE(YEAR(TODAY()),MONTH(TODAY()),1))),1,0))</f>
        <v/>
      </c>
      <c r="V188">
        <f>IF($A188="","",IF(AND($B188&gt;0,I188&lt;$B188,DATE($B$1,7,1)&lt;=TODAY(),OR($O188="",$O188&gt;=DATE($B$1,7,1)),OR(COUNTIF($C188:I188,"&gt;0")&gt;0,DATE($B$1,7,1)=DATE(YEAR(TODAY()),MONTH(TODAY()),1))),1,0))</f>
        <v/>
      </c>
      <c r="W188">
        <f>IF($A188="","",IF(AND($B188&gt;0,J188&lt;$B188,DATE($B$1,8,1)&lt;=TODAY(),OR($O188="",$O188&gt;=DATE($B$1,8,1)),OR(COUNTIF($C188:J188,"&gt;0")&gt;0,DATE($B$1,8,1)=DATE(YEAR(TODAY()),MONTH(TODAY()),1))),1,0))</f>
        <v/>
      </c>
      <c r="X188">
        <f>IF($A188="","",IF(AND($B188&gt;0,K188&lt;$B188,DATE($B$1,9,1)&lt;=TODAY(),OR($O188="",$O188&gt;=DATE($B$1,9,1)),OR(COUNTIF($C188:K188,"&gt;0")&gt;0,DATE($B$1,9,1)=DATE(YEAR(TODAY()),MONTH(TODAY()),1))),1,0))</f>
        <v/>
      </c>
      <c r="Y188">
        <f>IF($A188="","",IF(AND($B188&gt;0,L188&lt;$B188,DATE($B$1,10,1)&lt;=TODAY(),OR($O188="",$O188&gt;=DATE($B$1,10,1)),OR(COUNTIF($C188:L188,"&gt;0")&gt;0,DATE($B$1,10,1)=DATE(YEAR(TODAY()),MONTH(TODAY()),1))),1,0))</f>
        <v/>
      </c>
      <c r="Z188">
        <f>IF($A188="","",IF(AND($B188&gt;0,M188&lt;$B188,DATE($B$1,11,1)&lt;=TODAY(),OR($O188="",$O188&gt;=DATE($B$1,11,1)),OR(COUNTIF($C188:M188,"&gt;0")&gt;0,DATE($B$1,11,1)=DATE(YEAR(TODAY()),MONTH(TODAY()),1))),1,0))</f>
        <v/>
      </c>
      <c r="AA188">
        <f>IF($A188="","",IF(AND($B188&gt;0,N188&lt;$B188,DATE($B$1,12,1)&lt;=TODAY(),OR($O188="",$O188&gt;=DATE($B$1,12,1)),OR(COUNTIF($C188:N188,"&gt;0")&gt;0,DATE($B$1,12,1)=DATE(YEAR(TODAY()),MONTH(TODAY()),1))),1,0))</f>
        <v/>
      </c>
    </row>
    <row r="189">
      <c r="A189" s="13">
        <f>IF(원생!$A187="","",원생!$A187&amp;IF(원생!$G187="",""," ("&amp;원생!$G187&amp;")"))</f>
        <v/>
      </c>
      <c r="B189" s="8">
        <f>IF(원생!$A187="","",원생!$F187)</f>
        <v/>
      </c>
      <c r="C189" s="14">
        <f>IF(원생!$A187="","",SUMIFS(수납!$F:$F,수납!$C:$C,원생!$A187,수납!$D:$D,IF(원생!$G187="","",원생!$G187),수납!$B:$B,$B$1&amp;"-"&amp;TEXT(1,"00")&amp;"*",수납!$E:$E,"수강료")+SUMIFS(수납!$F:$F,수납!$C:$C,원생!$A187,수납!$D:$D,IF(원생!$G187="","",원생!$G187),수납!$B:$B,$B$1&amp;"-"&amp;TEXT(1,"00")&amp;"*",수납!$E:$E,""))</f>
        <v/>
      </c>
      <c r="D189" s="14">
        <f>IF(원생!$A187="","",SUMIFS(수납!$F:$F,수납!$C:$C,원생!$A187,수납!$D:$D,IF(원생!$G187="","",원생!$G187),수납!$B:$B,$B$1&amp;"-"&amp;TEXT(2,"00")&amp;"*",수납!$E:$E,"수강료")+SUMIFS(수납!$F:$F,수납!$C:$C,원생!$A187,수납!$D:$D,IF(원생!$G187="","",원생!$G187),수납!$B:$B,$B$1&amp;"-"&amp;TEXT(2,"00")&amp;"*",수납!$E:$E,""))</f>
        <v/>
      </c>
      <c r="E189" s="14">
        <f>IF(원생!$A187="","",SUMIFS(수납!$F:$F,수납!$C:$C,원생!$A187,수납!$D:$D,IF(원생!$G187="","",원생!$G187),수납!$B:$B,$B$1&amp;"-"&amp;TEXT(3,"00")&amp;"*",수납!$E:$E,"수강료")+SUMIFS(수납!$F:$F,수납!$C:$C,원생!$A187,수납!$D:$D,IF(원생!$G187="","",원생!$G187),수납!$B:$B,$B$1&amp;"-"&amp;TEXT(3,"00")&amp;"*",수납!$E:$E,""))</f>
        <v/>
      </c>
      <c r="F189" s="14">
        <f>IF(원생!$A187="","",SUMIFS(수납!$F:$F,수납!$C:$C,원생!$A187,수납!$D:$D,IF(원생!$G187="","",원생!$G187),수납!$B:$B,$B$1&amp;"-"&amp;TEXT(4,"00")&amp;"*",수납!$E:$E,"수강료")+SUMIFS(수납!$F:$F,수납!$C:$C,원생!$A187,수납!$D:$D,IF(원생!$G187="","",원생!$G187),수납!$B:$B,$B$1&amp;"-"&amp;TEXT(4,"00")&amp;"*",수납!$E:$E,""))</f>
        <v/>
      </c>
      <c r="G189" s="14">
        <f>IF(원생!$A187="","",SUMIFS(수납!$F:$F,수납!$C:$C,원생!$A187,수납!$D:$D,IF(원생!$G187="","",원생!$G187),수납!$B:$B,$B$1&amp;"-"&amp;TEXT(5,"00")&amp;"*",수납!$E:$E,"수강료")+SUMIFS(수납!$F:$F,수납!$C:$C,원생!$A187,수납!$D:$D,IF(원생!$G187="","",원생!$G187),수납!$B:$B,$B$1&amp;"-"&amp;TEXT(5,"00")&amp;"*",수납!$E:$E,""))</f>
        <v/>
      </c>
      <c r="H189" s="14">
        <f>IF(원생!$A187="","",SUMIFS(수납!$F:$F,수납!$C:$C,원생!$A187,수납!$D:$D,IF(원생!$G187="","",원생!$G187),수납!$B:$B,$B$1&amp;"-"&amp;TEXT(6,"00")&amp;"*",수납!$E:$E,"수강료")+SUMIFS(수납!$F:$F,수납!$C:$C,원생!$A187,수납!$D:$D,IF(원생!$G187="","",원생!$G187),수납!$B:$B,$B$1&amp;"-"&amp;TEXT(6,"00")&amp;"*",수납!$E:$E,""))</f>
        <v/>
      </c>
      <c r="I189" s="14">
        <f>IF(원생!$A187="","",SUMIFS(수납!$F:$F,수납!$C:$C,원생!$A187,수납!$D:$D,IF(원생!$G187="","",원생!$G187),수납!$B:$B,$B$1&amp;"-"&amp;TEXT(7,"00")&amp;"*",수납!$E:$E,"수강료")+SUMIFS(수납!$F:$F,수납!$C:$C,원생!$A187,수납!$D:$D,IF(원생!$G187="","",원생!$G187),수납!$B:$B,$B$1&amp;"-"&amp;TEXT(7,"00")&amp;"*",수납!$E:$E,""))</f>
        <v/>
      </c>
      <c r="J189" s="14">
        <f>IF(원생!$A187="","",SUMIFS(수납!$F:$F,수납!$C:$C,원생!$A187,수납!$D:$D,IF(원생!$G187="","",원생!$G187),수납!$B:$B,$B$1&amp;"-"&amp;TEXT(8,"00")&amp;"*",수납!$E:$E,"수강료")+SUMIFS(수납!$F:$F,수납!$C:$C,원생!$A187,수납!$D:$D,IF(원생!$G187="","",원생!$G187),수납!$B:$B,$B$1&amp;"-"&amp;TEXT(8,"00")&amp;"*",수납!$E:$E,""))</f>
        <v/>
      </c>
      <c r="K189" s="14">
        <f>IF(원생!$A187="","",SUMIFS(수납!$F:$F,수납!$C:$C,원생!$A187,수납!$D:$D,IF(원생!$G187="","",원생!$G187),수납!$B:$B,$B$1&amp;"-"&amp;TEXT(9,"00")&amp;"*",수납!$E:$E,"수강료")+SUMIFS(수납!$F:$F,수납!$C:$C,원생!$A187,수납!$D:$D,IF(원생!$G187="","",원생!$G187),수납!$B:$B,$B$1&amp;"-"&amp;TEXT(9,"00")&amp;"*",수납!$E:$E,""))</f>
        <v/>
      </c>
      <c r="L189" s="14">
        <f>IF(원생!$A187="","",SUMIFS(수납!$F:$F,수납!$C:$C,원생!$A187,수납!$D:$D,IF(원생!$G187="","",원생!$G187),수납!$B:$B,$B$1&amp;"-"&amp;TEXT(10,"00")&amp;"*",수납!$E:$E,"수강료")+SUMIFS(수납!$F:$F,수납!$C:$C,원생!$A187,수납!$D:$D,IF(원생!$G187="","",원생!$G187),수납!$B:$B,$B$1&amp;"-"&amp;TEXT(10,"00")&amp;"*",수납!$E:$E,""))</f>
        <v/>
      </c>
      <c r="M189" s="14">
        <f>IF(원생!$A187="","",SUMIFS(수납!$F:$F,수납!$C:$C,원생!$A187,수납!$D:$D,IF(원생!$G187="","",원생!$G187),수납!$B:$B,$B$1&amp;"-"&amp;TEXT(11,"00")&amp;"*",수납!$E:$E,"수강료")+SUMIFS(수납!$F:$F,수납!$C:$C,원생!$A187,수납!$D:$D,IF(원생!$G187="","",원생!$G187),수납!$B:$B,$B$1&amp;"-"&amp;TEXT(11,"00")&amp;"*",수납!$E:$E,""))</f>
        <v/>
      </c>
      <c r="N189" s="14">
        <f>IF(원생!$A187="","",SUMIFS(수납!$F:$F,수납!$C:$C,원생!$A187,수납!$D:$D,IF(원생!$G187="","",원생!$G187),수납!$B:$B,$B$1&amp;"-"&amp;TEXT(12,"00")&amp;"*",수납!$E:$E,"수강료")+SUMIFS(수납!$F:$F,수납!$C:$C,원생!$A187,수납!$D:$D,IF(원생!$G187="","",원생!$G187),수납!$B:$B,$B$1&amp;"-"&amp;TEXT(12,"00")&amp;"*",수납!$E:$E,""))</f>
        <v/>
      </c>
      <c r="O189">
        <f>IF(원생!$I187="","",원생!$I187)</f>
        <v/>
      </c>
      <c r="P189">
        <f>IF($A189="","",IF(AND($B189&gt;0,C189&lt;$B189,DATE($B$1,1,1)&lt;=TODAY(),OR($O189="",$O189&gt;=DATE($B$1,1,1)),OR(COUNTIF($C189:C189,"&gt;0")&gt;0,DATE($B$1,1,1)=DATE(YEAR(TODAY()),MONTH(TODAY()),1))),1,0))</f>
        <v/>
      </c>
      <c r="Q189">
        <f>IF($A189="","",IF(AND($B189&gt;0,D189&lt;$B189,DATE($B$1,2,1)&lt;=TODAY(),OR($O189="",$O189&gt;=DATE($B$1,2,1)),OR(COUNTIF($C189:D189,"&gt;0")&gt;0,DATE($B$1,2,1)=DATE(YEAR(TODAY()),MONTH(TODAY()),1))),1,0))</f>
        <v/>
      </c>
      <c r="R189">
        <f>IF($A189="","",IF(AND($B189&gt;0,E189&lt;$B189,DATE($B$1,3,1)&lt;=TODAY(),OR($O189="",$O189&gt;=DATE($B$1,3,1)),OR(COUNTIF($C189:E189,"&gt;0")&gt;0,DATE($B$1,3,1)=DATE(YEAR(TODAY()),MONTH(TODAY()),1))),1,0))</f>
        <v/>
      </c>
      <c r="S189">
        <f>IF($A189="","",IF(AND($B189&gt;0,F189&lt;$B189,DATE($B$1,4,1)&lt;=TODAY(),OR($O189="",$O189&gt;=DATE($B$1,4,1)),OR(COUNTIF($C189:F189,"&gt;0")&gt;0,DATE($B$1,4,1)=DATE(YEAR(TODAY()),MONTH(TODAY()),1))),1,0))</f>
        <v/>
      </c>
      <c r="T189">
        <f>IF($A189="","",IF(AND($B189&gt;0,G189&lt;$B189,DATE($B$1,5,1)&lt;=TODAY(),OR($O189="",$O189&gt;=DATE($B$1,5,1)),OR(COUNTIF($C189:G189,"&gt;0")&gt;0,DATE($B$1,5,1)=DATE(YEAR(TODAY()),MONTH(TODAY()),1))),1,0))</f>
        <v/>
      </c>
      <c r="U189">
        <f>IF($A189="","",IF(AND($B189&gt;0,H189&lt;$B189,DATE($B$1,6,1)&lt;=TODAY(),OR($O189="",$O189&gt;=DATE($B$1,6,1)),OR(COUNTIF($C189:H189,"&gt;0")&gt;0,DATE($B$1,6,1)=DATE(YEAR(TODAY()),MONTH(TODAY()),1))),1,0))</f>
        <v/>
      </c>
      <c r="V189">
        <f>IF($A189="","",IF(AND($B189&gt;0,I189&lt;$B189,DATE($B$1,7,1)&lt;=TODAY(),OR($O189="",$O189&gt;=DATE($B$1,7,1)),OR(COUNTIF($C189:I189,"&gt;0")&gt;0,DATE($B$1,7,1)=DATE(YEAR(TODAY()),MONTH(TODAY()),1))),1,0))</f>
        <v/>
      </c>
      <c r="W189">
        <f>IF($A189="","",IF(AND($B189&gt;0,J189&lt;$B189,DATE($B$1,8,1)&lt;=TODAY(),OR($O189="",$O189&gt;=DATE($B$1,8,1)),OR(COUNTIF($C189:J189,"&gt;0")&gt;0,DATE($B$1,8,1)=DATE(YEAR(TODAY()),MONTH(TODAY()),1))),1,0))</f>
        <v/>
      </c>
      <c r="X189">
        <f>IF($A189="","",IF(AND($B189&gt;0,K189&lt;$B189,DATE($B$1,9,1)&lt;=TODAY(),OR($O189="",$O189&gt;=DATE($B$1,9,1)),OR(COUNTIF($C189:K189,"&gt;0")&gt;0,DATE($B$1,9,1)=DATE(YEAR(TODAY()),MONTH(TODAY()),1))),1,0))</f>
        <v/>
      </c>
      <c r="Y189">
        <f>IF($A189="","",IF(AND($B189&gt;0,L189&lt;$B189,DATE($B$1,10,1)&lt;=TODAY(),OR($O189="",$O189&gt;=DATE($B$1,10,1)),OR(COUNTIF($C189:L189,"&gt;0")&gt;0,DATE($B$1,10,1)=DATE(YEAR(TODAY()),MONTH(TODAY()),1))),1,0))</f>
        <v/>
      </c>
      <c r="Z189">
        <f>IF($A189="","",IF(AND($B189&gt;0,M189&lt;$B189,DATE($B$1,11,1)&lt;=TODAY(),OR($O189="",$O189&gt;=DATE($B$1,11,1)),OR(COUNTIF($C189:M189,"&gt;0")&gt;0,DATE($B$1,11,1)=DATE(YEAR(TODAY()),MONTH(TODAY()),1))),1,0))</f>
        <v/>
      </c>
      <c r="AA189">
        <f>IF($A189="","",IF(AND($B189&gt;0,N189&lt;$B189,DATE($B$1,12,1)&lt;=TODAY(),OR($O189="",$O189&gt;=DATE($B$1,12,1)),OR(COUNTIF($C189:N189,"&gt;0")&gt;0,DATE($B$1,12,1)=DATE(YEAR(TODAY()),MONTH(TODAY()),1))),1,0))</f>
        <v/>
      </c>
    </row>
    <row r="190">
      <c r="A190" s="13">
        <f>IF(원생!$A188="","",원생!$A188&amp;IF(원생!$G188="",""," ("&amp;원생!$G188&amp;")"))</f>
        <v/>
      </c>
      <c r="B190" s="8">
        <f>IF(원생!$A188="","",원생!$F188)</f>
        <v/>
      </c>
      <c r="C190" s="14">
        <f>IF(원생!$A188="","",SUMIFS(수납!$F:$F,수납!$C:$C,원생!$A188,수납!$D:$D,IF(원생!$G188="","",원생!$G188),수납!$B:$B,$B$1&amp;"-"&amp;TEXT(1,"00")&amp;"*",수납!$E:$E,"수강료")+SUMIFS(수납!$F:$F,수납!$C:$C,원생!$A188,수납!$D:$D,IF(원생!$G188="","",원생!$G188),수납!$B:$B,$B$1&amp;"-"&amp;TEXT(1,"00")&amp;"*",수납!$E:$E,""))</f>
        <v/>
      </c>
      <c r="D190" s="14">
        <f>IF(원생!$A188="","",SUMIFS(수납!$F:$F,수납!$C:$C,원생!$A188,수납!$D:$D,IF(원생!$G188="","",원생!$G188),수납!$B:$B,$B$1&amp;"-"&amp;TEXT(2,"00")&amp;"*",수납!$E:$E,"수강료")+SUMIFS(수납!$F:$F,수납!$C:$C,원생!$A188,수납!$D:$D,IF(원생!$G188="","",원생!$G188),수납!$B:$B,$B$1&amp;"-"&amp;TEXT(2,"00")&amp;"*",수납!$E:$E,""))</f>
        <v/>
      </c>
      <c r="E190" s="14">
        <f>IF(원생!$A188="","",SUMIFS(수납!$F:$F,수납!$C:$C,원생!$A188,수납!$D:$D,IF(원생!$G188="","",원생!$G188),수납!$B:$B,$B$1&amp;"-"&amp;TEXT(3,"00")&amp;"*",수납!$E:$E,"수강료")+SUMIFS(수납!$F:$F,수납!$C:$C,원생!$A188,수납!$D:$D,IF(원생!$G188="","",원생!$G188),수납!$B:$B,$B$1&amp;"-"&amp;TEXT(3,"00")&amp;"*",수납!$E:$E,""))</f>
        <v/>
      </c>
      <c r="F190" s="14">
        <f>IF(원생!$A188="","",SUMIFS(수납!$F:$F,수납!$C:$C,원생!$A188,수납!$D:$D,IF(원생!$G188="","",원생!$G188),수납!$B:$B,$B$1&amp;"-"&amp;TEXT(4,"00")&amp;"*",수납!$E:$E,"수강료")+SUMIFS(수납!$F:$F,수납!$C:$C,원생!$A188,수납!$D:$D,IF(원생!$G188="","",원생!$G188),수납!$B:$B,$B$1&amp;"-"&amp;TEXT(4,"00")&amp;"*",수납!$E:$E,""))</f>
        <v/>
      </c>
      <c r="G190" s="14">
        <f>IF(원생!$A188="","",SUMIFS(수납!$F:$F,수납!$C:$C,원생!$A188,수납!$D:$D,IF(원생!$G188="","",원생!$G188),수납!$B:$B,$B$1&amp;"-"&amp;TEXT(5,"00")&amp;"*",수납!$E:$E,"수강료")+SUMIFS(수납!$F:$F,수납!$C:$C,원생!$A188,수납!$D:$D,IF(원생!$G188="","",원생!$G188),수납!$B:$B,$B$1&amp;"-"&amp;TEXT(5,"00")&amp;"*",수납!$E:$E,""))</f>
        <v/>
      </c>
      <c r="H190" s="14">
        <f>IF(원생!$A188="","",SUMIFS(수납!$F:$F,수납!$C:$C,원생!$A188,수납!$D:$D,IF(원생!$G188="","",원생!$G188),수납!$B:$B,$B$1&amp;"-"&amp;TEXT(6,"00")&amp;"*",수납!$E:$E,"수강료")+SUMIFS(수납!$F:$F,수납!$C:$C,원생!$A188,수납!$D:$D,IF(원생!$G188="","",원생!$G188),수납!$B:$B,$B$1&amp;"-"&amp;TEXT(6,"00")&amp;"*",수납!$E:$E,""))</f>
        <v/>
      </c>
      <c r="I190" s="14">
        <f>IF(원생!$A188="","",SUMIFS(수납!$F:$F,수납!$C:$C,원생!$A188,수납!$D:$D,IF(원생!$G188="","",원생!$G188),수납!$B:$B,$B$1&amp;"-"&amp;TEXT(7,"00")&amp;"*",수납!$E:$E,"수강료")+SUMIFS(수납!$F:$F,수납!$C:$C,원생!$A188,수납!$D:$D,IF(원생!$G188="","",원생!$G188),수납!$B:$B,$B$1&amp;"-"&amp;TEXT(7,"00")&amp;"*",수납!$E:$E,""))</f>
        <v/>
      </c>
      <c r="J190" s="14">
        <f>IF(원생!$A188="","",SUMIFS(수납!$F:$F,수납!$C:$C,원생!$A188,수납!$D:$D,IF(원생!$G188="","",원생!$G188),수납!$B:$B,$B$1&amp;"-"&amp;TEXT(8,"00")&amp;"*",수납!$E:$E,"수강료")+SUMIFS(수납!$F:$F,수납!$C:$C,원생!$A188,수납!$D:$D,IF(원생!$G188="","",원생!$G188),수납!$B:$B,$B$1&amp;"-"&amp;TEXT(8,"00")&amp;"*",수납!$E:$E,""))</f>
        <v/>
      </c>
      <c r="K190" s="14">
        <f>IF(원생!$A188="","",SUMIFS(수납!$F:$F,수납!$C:$C,원생!$A188,수납!$D:$D,IF(원생!$G188="","",원생!$G188),수납!$B:$B,$B$1&amp;"-"&amp;TEXT(9,"00")&amp;"*",수납!$E:$E,"수강료")+SUMIFS(수납!$F:$F,수납!$C:$C,원생!$A188,수납!$D:$D,IF(원생!$G188="","",원생!$G188),수납!$B:$B,$B$1&amp;"-"&amp;TEXT(9,"00")&amp;"*",수납!$E:$E,""))</f>
        <v/>
      </c>
      <c r="L190" s="14">
        <f>IF(원생!$A188="","",SUMIFS(수납!$F:$F,수납!$C:$C,원생!$A188,수납!$D:$D,IF(원생!$G188="","",원생!$G188),수납!$B:$B,$B$1&amp;"-"&amp;TEXT(10,"00")&amp;"*",수납!$E:$E,"수강료")+SUMIFS(수납!$F:$F,수납!$C:$C,원생!$A188,수납!$D:$D,IF(원생!$G188="","",원생!$G188),수납!$B:$B,$B$1&amp;"-"&amp;TEXT(10,"00")&amp;"*",수납!$E:$E,""))</f>
        <v/>
      </c>
      <c r="M190" s="14">
        <f>IF(원생!$A188="","",SUMIFS(수납!$F:$F,수납!$C:$C,원생!$A188,수납!$D:$D,IF(원생!$G188="","",원생!$G188),수납!$B:$B,$B$1&amp;"-"&amp;TEXT(11,"00")&amp;"*",수납!$E:$E,"수강료")+SUMIFS(수납!$F:$F,수납!$C:$C,원생!$A188,수납!$D:$D,IF(원생!$G188="","",원생!$G188),수납!$B:$B,$B$1&amp;"-"&amp;TEXT(11,"00")&amp;"*",수납!$E:$E,""))</f>
        <v/>
      </c>
      <c r="N190" s="14">
        <f>IF(원생!$A188="","",SUMIFS(수납!$F:$F,수납!$C:$C,원생!$A188,수납!$D:$D,IF(원생!$G188="","",원생!$G188),수납!$B:$B,$B$1&amp;"-"&amp;TEXT(12,"00")&amp;"*",수납!$E:$E,"수강료")+SUMIFS(수납!$F:$F,수납!$C:$C,원생!$A188,수납!$D:$D,IF(원생!$G188="","",원생!$G188),수납!$B:$B,$B$1&amp;"-"&amp;TEXT(12,"00")&amp;"*",수납!$E:$E,""))</f>
        <v/>
      </c>
      <c r="O190">
        <f>IF(원생!$I188="","",원생!$I188)</f>
        <v/>
      </c>
      <c r="P190">
        <f>IF($A190="","",IF(AND($B190&gt;0,C190&lt;$B190,DATE($B$1,1,1)&lt;=TODAY(),OR($O190="",$O190&gt;=DATE($B$1,1,1)),OR(COUNTIF($C190:C190,"&gt;0")&gt;0,DATE($B$1,1,1)=DATE(YEAR(TODAY()),MONTH(TODAY()),1))),1,0))</f>
        <v/>
      </c>
      <c r="Q190">
        <f>IF($A190="","",IF(AND($B190&gt;0,D190&lt;$B190,DATE($B$1,2,1)&lt;=TODAY(),OR($O190="",$O190&gt;=DATE($B$1,2,1)),OR(COUNTIF($C190:D190,"&gt;0")&gt;0,DATE($B$1,2,1)=DATE(YEAR(TODAY()),MONTH(TODAY()),1))),1,0))</f>
        <v/>
      </c>
      <c r="R190">
        <f>IF($A190="","",IF(AND($B190&gt;0,E190&lt;$B190,DATE($B$1,3,1)&lt;=TODAY(),OR($O190="",$O190&gt;=DATE($B$1,3,1)),OR(COUNTIF($C190:E190,"&gt;0")&gt;0,DATE($B$1,3,1)=DATE(YEAR(TODAY()),MONTH(TODAY()),1))),1,0))</f>
        <v/>
      </c>
      <c r="S190">
        <f>IF($A190="","",IF(AND($B190&gt;0,F190&lt;$B190,DATE($B$1,4,1)&lt;=TODAY(),OR($O190="",$O190&gt;=DATE($B$1,4,1)),OR(COUNTIF($C190:F190,"&gt;0")&gt;0,DATE($B$1,4,1)=DATE(YEAR(TODAY()),MONTH(TODAY()),1))),1,0))</f>
        <v/>
      </c>
      <c r="T190">
        <f>IF($A190="","",IF(AND($B190&gt;0,G190&lt;$B190,DATE($B$1,5,1)&lt;=TODAY(),OR($O190="",$O190&gt;=DATE($B$1,5,1)),OR(COUNTIF($C190:G190,"&gt;0")&gt;0,DATE($B$1,5,1)=DATE(YEAR(TODAY()),MONTH(TODAY()),1))),1,0))</f>
        <v/>
      </c>
      <c r="U190">
        <f>IF($A190="","",IF(AND($B190&gt;0,H190&lt;$B190,DATE($B$1,6,1)&lt;=TODAY(),OR($O190="",$O190&gt;=DATE($B$1,6,1)),OR(COUNTIF($C190:H190,"&gt;0")&gt;0,DATE($B$1,6,1)=DATE(YEAR(TODAY()),MONTH(TODAY()),1))),1,0))</f>
        <v/>
      </c>
      <c r="V190">
        <f>IF($A190="","",IF(AND($B190&gt;0,I190&lt;$B190,DATE($B$1,7,1)&lt;=TODAY(),OR($O190="",$O190&gt;=DATE($B$1,7,1)),OR(COUNTIF($C190:I190,"&gt;0")&gt;0,DATE($B$1,7,1)=DATE(YEAR(TODAY()),MONTH(TODAY()),1))),1,0))</f>
        <v/>
      </c>
      <c r="W190">
        <f>IF($A190="","",IF(AND($B190&gt;0,J190&lt;$B190,DATE($B$1,8,1)&lt;=TODAY(),OR($O190="",$O190&gt;=DATE($B$1,8,1)),OR(COUNTIF($C190:J190,"&gt;0")&gt;0,DATE($B$1,8,1)=DATE(YEAR(TODAY()),MONTH(TODAY()),1))),1,0))</f>
        <v/>
      </c>
      <c r="X190">
        <f>IF($A190="","",IF(AND($B190&gt;0,K190&lt;$B190,DATE($B$1,9,1)&lt;=TODAY(),OR($O190="",$O190&gt;=DATE($B$1,9,1)),OR(COUNTIF($C190:K190,"&gt;0")&gt;0,DATE($B$1,9,1)=DATE(YEAR(TODAY()),MONTH(TODAY()),1))),1,0))</f>
        <v/>
      </c>
      <c r="Y190">
        <f>IF($A190="","",IF(AND($B190&gt;0,L190&lt;$B190,DATE($B$1,10,1)&lt;=TODAY(),OR($O190="",$O190&gt;=DATE($B$1,10,1)),OR(COUNTIF($C190:L190,"&gt;0")&gt;0,DATE($B$1,10,1)=DATE(YEAR(TODAY()),MONTH(TODAY()),1))),1,0))</f>
        <v/>
      </c>
      <c r="Z190">
        <f>IF($A190="","",IF(AND($B190&gt;0,M190&lt;$B190,DATE($B$1,11,1)&lt;=TODAY(),OR($O190="",$O190&gt;=DATE($B$1,11,1)),OR(COUNTIF($C190:M190,"&gt;0")&gt;0,DATE($B$1,11,1)=DATE(YEAR(TODAY()),MONTH(TODAY()),1))),1,0))</f>
        <v/>
      </c>
      <c r="AA190">
        <f>IF($A190="","",IF(AND($B190&gt;0,N190&lt;$B190,DATE($B$1,12,1)&lt;=TODAY(),OR($O190="",$O190&gt;=DATE($B$1,12,1)),OR(COUNTIF($C190:N190,"&gt;0")&gt;0,DATE($B$1,12,1)=DATE(YEAR(TODAY()),MONTH(TODAY()),1))),1,0))</f>
        <v/>
      </c>
    </row>
    <row r="191">
      <c r="A191" s="13">
        <f>IF(원생!$A189="","",원생!$A189&amp;IF(원생!$G189="",""," ("&amp;원생!$G189&amp;")"))</f>
        <v/>
      </c>
      <c r="B191" s="8">
        <f>IF(원생!$A189="","",원생!$F189)</f>
        <v/>
      </c>
      <c r="C191" s="14">
        <f>IF(원생!$A189="","",SUMIFS(수납!$F:$F,수납!$C:$C,원생!$A189,수납!$D:$D,IF(원생!$G189="","",원생!$G189),수납!$B:$B,$B$1&amp;"-"&amp;TEXT(1,"00")&amp;"*",수납!$E:$E,"수강료")+SUMIFS(수납!$F:$F,수납!$C:$C,원생!$A189,수납!$D:$D,IF(원생!$G189="","",원생!$G189),수납!$B:$B,$B$1&amp;"-"&amp;TEXT(1,"00")&amp;"*",수납!$E:$E,""))</f>
        <v/>
      </c>
      <c r="D191" s="14">
        <f>IF(원생!$A189="","",SUMIFS(수납!$F:$F,수납!$C:$C,원생!$A189,수납!$D:$D,IF(원생!$G189="","",원생!$G189),수납!$B:$B,$B$1&amp;"-"&amp;TEXT(2,"00")&amp;"*",수납!$E:$E,"수강료")+SUMIFS(수납!$F:$F,수납!$C:$C,원생!$A189,수납!$D:$D,IF(원생!$G189="","",원생!$G189),수납!$B:$B,$B$1&amp;"-"&amp;TEXT(2,"00")&amp;"*",수납!$E:$E,""))</f>
        <v/>
      </c>
      <c r="E191" s="14">
        <f>IF(원생!$A189="","",SUMIFS(수납!$F:$F,수납!$C:$C,원생!$A189,수납!$D:$D,IF(원생!$G189="","",원생!$G189),수납!$B:$B,$B$1&amp;"-"&amp;TEXT(3,"00")&amp;"*",수납!$E:$E,"수강료")+SUMIFS(수납!$F:$F,수납!$C:$C,원생!$A189,수납!$D:$D,IF(원생!$G189="","",원생!$G189),수납!$B:$B,$B$1&amp;"-"&amp;TEXT(3,"00")&amp;"*",수납!$E:$E,""))</f>
        <v/>
      </c>
      <c r="F191" s="14">
        <f>IF(원생!$A189="","",SUMIFS(수납!$F:$F,수납!$C:$C,원생!$A189,수납!$D:$D,IF(원생!$G189="","",원생!$G189),수납!$B:$B,$B$1&amp;"-"&amp;TEXT(4,"00")&amp;"*",수납!$E:$E,"수강료")+SUMIFS(수납!$F:$F,수납!$C:$C,원생!$A189,수납!$D:$D,IF(원생!$G189="","",원생!$G189),수납!$B:$B,$B$1&amp;"-"&amp;TEXT(4,"00")&amp;"*",수납!$E:$E,""))</f>
        <v/>
      </c>
      <c r="G191" s="14">
        <f>IF(원생!$A189="","",SUMIFS(수납!$F:$F,수납!$C:$C,원생!$A189,수납!$D:$D,IF(원생!$G189="","",원생!$G189),수납!$B:$B,$B$1&amp;"-"&amp;TEXT(5,"00")&amp;"*",수납!$E:$E,"수강료")+SUMIFS(수납!$F:$F,수납!$C:$C,원생!$A189,수납!$D:$D,IF(원생!$G189="","",원생!$G189),수납!$B:$B,$B$1&amp;"-"&amp;TEXT(5,"00")&amp;"*",수납!$E:$E,""))</f>
        <v/>
      </c>
      <c r="H191" s="14">
        <f>IF(원생!$A189="","",SUMIFS(수납!$F:$F,수납!$C:$C,원생!$A189,수납!$D:$D,IF(원생!$G189="","",원생!$G189),수납!$B:$B,$B$1&amp;"-"&amp;TEXT(6,"00")&amp;"*",수납!$E:$E,"수강료")+SUMIFS(수납!$F:$F,수납!$C:$C,원생!$A189,수납!$D:$D,IF(원생!$G189="","",원생!$G189),수납!$B:$B,$B$1&amp;"-"&amp;TEXT(6,"00")&amp;"*",수납!$E:$E,""))</f>
        <v/>
      </c>
      <c r="I191" s="14">
        <f>IF(원생!$A189="","",SUMIFS(수납!$F:$F,수납!$C:$C,원생!$A189,수납!$D:$D,IF(원생!$G189="","",원생!$G189),수납!$B:$B,$B$1&amp;"-"&amp;TEXT(7,"00")&amp;"*",수납!$E:$E,"수강료")+SUMIFS(수납!$F:$F,수납!$C:$C,원생!$A189,수납!$D:$D,IF(원생!$G189="","",원생!$G189),수납!$B:$B,$B$1&amp;"-"&amp;TEXT(7,"00")&amp;"*",수납!$E:$E,""))</f>
        <v/>
      </c>
      <c r="J191" s="14">
        <f>IF(원생!$A189="","",SUMIFS(수납!$F:$F,수납!$C:$C,원생!$A189,수납!$D:$D,IF(원생!$G189="","",원생!$G189),수납!$B:$B,$B$1&amp;"-"&amp;TEXT(8,"00")&amp;"*",수납!$E:$E,"수강료")+SUMIFS(수납!$F:$F,수납!$C:$C,원생!$A189,수납!$D:$D,IF(원생!$G189="","",원생!$G189),수납!$B:$B,$B$1&amp;"-"&amp;TEXT(8,"00")&amp;"*",수납!$E:$E,""))</f>
        <v/>
      </c>
      <c r="K191" s="14">
        <f>IF(원생!$A189="","",SUMIFS(수납!$F:$F,수납!$C:$C,원생!$A189,수납!$D:$D,IF(원생!$G189="","",원생!$G189),수납!$B:$B,$B$1&amp;"-"&amp;TEXT(9,"00")&amp;"*",수납!$E:$E,"수강료")+SUMIFS(수납!$F:$F,수납!$C:$C,원생!$A189,수납!$D:$D,IF(원생!$G189="","",원생!$G189),수납!$B:$B,$B$1&amp;"-"&amp;TEXT(9,"00")&amp;"*",수납!$E:$E,""))</f>
        <v/>
      </c>
      <c r="L191" s="14">
        <f>IF(원생!$A189="","",SUMIFS(수납!$F:$F,수납!$C:$C,원생!$A189,수납!$D:$D,IF(원생!$G189="","",원생!$G189),수납!$B:$B,$B$1&amp;"-"&amp;TEXT(10,"00")&amp;"*",수납!$E:$E,"수강료")+SUMIFS(수납!$F:$F,수납!$C:$C,원생!$A189,수납!$D:$D,IF(원생!$G189="","",원생!$G189),수납!$B:$B,$B$1&amp;"-"&amp;TEXT(10,"00")&amp;"*",수납!$E:$E,""))</f>
        <v/>
      </c>
      <c r="M191" s="14">
        <f>IF(원생!$A189="","",SUMIFS(수납!$F:$F,수납!$C:$C,원생!$A189,수납!$D:$D,IF(원생!$G189="","",원생!$G189),수납!$B:$B,$B$1&amp;"-"&amp;TEXT(11,"00")&amp;"*",수납!$E:$E,"수강료")+SUMIFS(수납!$F:$F,수납!$C:$C,원생!$A189,수납!$D:$D,IF(원생!$G189="","",원생!$G189),수납!$B:$B,$B$1&amp;"-"&amp;TEXT(11,"00")&amp;"*",수납!$E:$E,""))</f>
        <v/>
      </c>
      <c r="N191" s="14">
        <f>IF(원생!$A189="","",SUMIFS(수납!$F:$F,수납!$C:$C,원생!$A189,수납!$D:$D,IF(원생!$G189="","",원생!$G189),수납!$B:$B,$B$1&amp;"-"&amp;TEXT(12,"00")&amp;"*",수납!$E:$E,"수강료")+SUMIFS(수납!$F:$F,수납!$C:$C,원생!$A189,수납!$D:$D,IF(원생!$G189="","",원생!$G189),수납!$B:$B,$B$1&amp;"-"&amp;TEXT(12,"00")&amp;"*",수납!$E:$E,""))</f>
        <v/>
      </c>
      <c r="O191">
        <f>IF(원생!$I189="","",원생!$I189)</f>
        <v/>
      </c>
      <c r="P191">
        <f>IF($A191="","",IF(AND($B191&gt;0,C191&lt;$B191,DATE($B$1,1,1)&lt;=TODAY(),OR($O191="",$O191&gt;=DATE($B$1,1,1)),OR(COUNTIF($C191:C191,"&gt;0")&gt;0,DATE($B$1,1,1)=DATE(YEAR(TODAY()),MONTH(TODAY()),1))),1,0))</f>
        <v/>
      </c>
      <c r="Q191">
        <f>IF($A191="","",IF(AND($B191&gt;0,D191&lt;$B191,DATE($B$1,2,1)&lt;=TODAY(),OR($O191="",$O191&gt;=DATE($B$1,2,1)),OR(COUNTIF($C191:D191,"&gt;0")&gt;0,DATE($B$1,2,1)=DATE(YEAR(TODAY()),MONTH(TODAY()),1))),1,0))</f>
        <v/>
      </c>
      <c r="R191">
        <f>IF($A191="","",IF(AND($B191&gt;0,E191&lt;$B191,DATE($B$1,3,1)&lt;=TODAY(),OR($O191="",$O191&gt;=DATE($B$1,3,1)),OR(COUNTIF($C191:E191,"&gt;0")&gt;0,DATE($B$1,3,1)=DATE(YEAR(TODAY()),MONTH(TODAY()),1))),1,0))</f>
        <v/>
      </c>
      <c r="S191">
        <f>IF($A191="","",IF(AND($B191&gt;0,F191&lt;$B191,DATE($B$1,4,1)&lt;=TODAY(),OR($O191="",$O191&gt;=DATE($B$1,4,1)),OR(COUNTIF($C191:F191,"&gt;0")&gt;0,DATE($B$1,4,1)=DATE(YEAR(TODAY()),MONTH(TODAY()),1))),1,0))</f>
        <v/>
      </c>
      <c r="T191">
        <f>IF($A191="","",IF(AND($B191&gt;0,G191&lt;$B191,DATE($B$1,5,1)&lt;=TODAY(),OR($O191="",$O191&gt;=DATE($B$1,5,1)),OR(COUNTIF($C191:G191,"&gt;0")&gt;0,DATE($B$1,5,1)=DATE(YEAR(TODAY()),MONTH(TODAY()),1))),1,0))</f>
        <v/>
      </c>
      <c r="U191">
        <f>IF($A191="","",IF(AND($B191&gt;0,H191&lt;$B191,DATE($B$1,6,1)&lt;=TODAY(),OR($O191="",$O191&gt;=DATE($B$1,6,1)),OR(COUNTIF($C191:H191,"&gt;0")&gt;0,DATE($B$1,6,1)=DATE(YEAR(TODAY()),MONTH(TODAY()),1))),1,0))</f>
        <v/>
      </c>
      <c r="V191">
        <f>IF($A191="","",IF(AND($B191&gt;0,I191&lt;$B191,DATE($B$1,7,1)&lt;=TODAY(),OR($O191="",$O191&gt;=DATE($B$1,7,1)),OR(COUNTIF($C191:I191,"&gt;0")&gt;0,DATE($B$1,7,1)=DATE(YEAR(TODAY()),MONTH(TODAY()),1))),1,0))</f>
        <v/>
      </c>
      <c r="W191">
        <f>IF($A191="","",IF(AND($B191&gt;0,J191&lt;$B191,DATE($B$1,8,1)&lt;=TODAY(),OR($O191="",$O191&gt;=DATE($B$1,8,1)),OR(COUNTIF($C191:J191,"&gt;0")&gt;0,DATE($B$1,8,1)=DATE(YEAR(TODAY()),MONTH(TODAY()),1))),1,0))</f>
        <v/>
      </c>
      <c r="X191">
        <f>IF($A191="","",IF(AND($B191&gt;0,K191&lt;$B191,DATE($B$1,9,1)&lt;=TODAY(),OR($O191="",$O191&gt;=DATE($B$1,9,1)),OR(COUNTIF($C191:K191,"&gt;0")&gt;0,DATE($B$1,9,1)=DATE(YEAR(TODAY()),MONTH(TODAY()),1))),1,0))</f>
        <v/>
      </c>
      <c r="Y191">
        <f>IF($A191="","",IF(AND($B191&gt;0,L191&lt;$B191,DATE($B$1,10,1)&lt;=TODAY(),OR($O191="",$O191&gt;=DATE($B$1,10,1)),OR(COUNTIF($C191:L191,"&gt;0")&gt;0,DATE($B$1,10,1)=DATE(YEAR(TODAY()),MONTH(TODAY()),1))),1,0))</f>
        <v/>
      </c>
      <c r="Z191">
        <f>IF($A191="","",IF(AND($B191&gt;0,M191&lt;$B191,DATE($B$1,11,1)&lt;=TODAY(),OR($O191="",$O191&gt;=DATE($B$1,11,1)),OR(COUNTIF($C191:M191,"&gt;0")&gt;0,DATE($B$1,11,1)=DATE(YEAR(TODAY()),MONTH(TODAY()),1))),1,0))</f>
        <v/>
      </c>
      <c r="AA191">
        <f>IF($A191="","",IF(AND($B191&gt;0,N191&lt;$B191,DATE($B$1,12,1)&lt;=TODAY(),OR($O191="",$O191&gt;=DATE($B$1,12,1)),OR(COUNTIF($C191:N191,"&gt;0")&gt;0,DATE($B$1,12,1)=DATE(YEAR(TODAY()),MONTH(TODAY()),1))),1,0))</f>
        <v/>
      </c>
    </row>
    <row r="192">
      <c r="A192" s="13">
        <f>IF(원생!$A190="","",원생!$A190&amp;IF(원생!$G190="",""," ("&amp;원생!$G190&amp;")"))</f>
        <v/>
      </c>
      <c r="B192" s="8">
        <f>IF(원생!$A190="","",원생!$F190)</f>
        <v/>
      </c>
      <c r="C192" s="14">
        <f>IF(원생!$A190="","",SUMIFS(수납!$F:$F,수납!$C:$C,원생!$A190,수납!$D:$D,IF(원생!$G190="","",원생!$G190),수납!$B:$B,$B$1&amp;"-"&amp;TEXT(1,"00")&amp;"*",수납!$E:$E,"수강료")+SUMIFS(수납!$F:$F,수납!$C:$C,원생!$A190,수납!$D:$D,IF(원생!$G190="","",원생!$G190),수납!$B:$B,$B$1&amp;"-"&amp;TEXT(1,"00")&amp;"*",수납!$E:$E,""))</f>
        <v/>
      </c>
      <c r="D192" s="14">
        <f>IF(원생!$A190="","",SUMIFS(수납!$F:$F,수납!$C:$C,원생!$A190,수납!$D:$D,IF(원생!$G190="","",원생!$G190),수납!$B:$B,$B$1&amp;"-"&amp;TEXT(2,"00")&amp;"*",수납!$E:$E,"수강료")+SUMIFS(수납!$F:$F,수납!$C:$C,원생!$A190,수납!$D:$D,IF(원생!$G190="","",원생!$G190),수납!$B:$B,$B$1&amp;"-"&amp;TEXT(2,"00")&amp;"*",수납!$E:$E,""))</f>
        <v/>
      </c>
      <c r="E192" s="14">
        <f>IF(원생!$A190="","",SUMIFS(수납!$F:$F,수납!$C:$C,원생!$A190,수납!$D:$D,IF(원생!$G190="","",원생!$G190),수납!$B:$B,$B$1&amp;"-"&amp;TEXT(3,"00")&amp;"*",수납!$E:$E,"수강료")+SUMIFS(수납!$F:$F,수납!$C:$C,원생!$A190,수납!$D:$D,IF(원생!$G190="","",원생!$G190),수납!$B:$B,$B$1&amp;"-"&amp;TEXT(3,"00")&amp;"*",수납!$E:$E,""))</f>
        <v/>
      </c>
      <c r="F192" s="14">
        <f>IF(원생!$A190="","",SUMIFS(수납!$F:$F,수납!$C:$C,원생!$A190,수납!$D:$D,IF(원생!$G190="","",원생!$G190),수납!$B:$B,$B$1&amp;"-"&amp;TEXT(4,"00")&amp;"*",수납!$E:$E,"수강료")+SUMIFS(수납!$F:$F,수납!$C:$C,원생!$A190,수납!$D:$D,IF(원생!$G190="","",원생!$G190),수납!$B:$B,$B$1&amp;"-"&amp;TEXT(4,"00")&amp;"*",수납!$E:$E,""))</f>
        <v/>
      </c>
      <c r="G192" s="14">
        <f>IF(원생!$A190="","",SUMIFS(수납!$F:$F,수납!$C:$C,원생!$A190,수납!$D:$D,IF(원생!$G190="","",원생!$G190),수납!$B:$B,$B$1&amp;"-"&amp;TEXT(5,"00")&amp;"*",수납!$E:$E,"수강료")+SUMIFS(수납!$F:$F,수납!$C:$C,원생!$A190,수납!$D:$D,IF(원생!$G190="","",원생!$G190),수납!$B:$B,$B$1&amp;"-"&amp;TEXT(5,"00")&amp;"*",수납!$E:$E,""))</f>
        <v/>
      </c>
      <c r="H192" s="14">
        <f>IF(원생!$A190="","",SUMIFS(수납!$F:$F,수납!$C:$C,원생!$A190,수납!$D:$D,IF(원생!$G190="","",원생!$G190),수납!$B:$B,$B$1&amp;"-"&amp;TEXT(6,"00")&amp;"*",수납!$E:$E,"수강료")+SUMIFS(수납!$F:$F,수납!$C:$C,원생!$A190,수납!$D:$D,IF(원생!$G190="","",원생!$G190),수납!$B:$B,$B$1&amp;"-"&amp;TEXT(6,"00")&amp;"*",수납!$E:$E,""))</f>
        <v/>
      </c>
      <c r="I192" s="14">
        <f>IF(원생!$A190="","",SUMIFS(수납!$F:$F,수납!$C:$C,원생!$A190,수납!$D:$D,IF(원생!$G190="","",원생!$G190),수납!$B:$B,$B$1&amp;"-"&amp;TEXT(7,"00")&amp;"*",수납!$E:$E,"수강료")+SUMIFS(수납!$F:$F,수납!$C:$C,원생!$A190,수납!$D:$D,IF(원생!$G190="","",원생!$G190),수납!$B:$B,$B$1&amp;"-"&amp;TEXT(7,"00")&amp;"*",수납!$E:$E,""))</f>
        <v/>
      </c>
      <c r="J192" s="14">
        <f>IF(원생!$A190="","",SUMIFS(수납!$F:$F,수납!$C:$C,원생!$A190,수납!$D:$D,IF(원생!$G190="","",원생!$G190),수납!$B:$B,$B$1&amp;"-"&amp;TEXT(8,"00")&amp;"*",수납!$E:$E,"수강료")+SUMIFS(수납!$F:$F,수납!$C:$C,원생!$A190,수납!$D:$D,IF(원생!$G190="","",원생!$G190),수납!$B:$B,$B$1&amp;"-"&amp;TEXT(8,"00")&amp;"*",수납!$E:$E,""))</f>
        <v/>
      </c>
      <c r="K192" s="14">
        <f>IF(원생!$A190="","",SUMIFS(수납!$F:$F,수납!$C:$C,원생!$A190,수납!$D:$D,IF(원생!$G190="","",원생!$G190),수납!$B:$B,$B$1&amp;"-"&amp;TEXT(9,"00")&amp;"*",수납!$E:$E,"수강료")+SUMIFS(수납!$F:$F,수납!$C:$C,원생!$A190,수납!$D:$D,IF(원생!$G190="","",원생!$G190),수납!$B:$B,$B$1&amp;"-"&amp;TEXT(9,"00")&amp;"*",수납!$E:$E,""))</f>
        <v/>
      </c>
      <c r="L192" s="14">
        <f>IF(원생!$A190="","",SUMIFS(수납!$F:$F,수납!$C:$C,원생!$A190,수납!$D:$D,IF(원생!$G190="","",원생!$G190),수납!$B:$B,$B$1&amp;"-"&amp;TEXT(10,"00")&amp;"*",수납!$E:$E,"수강료")+SUMIFS(수납!$F:$F,수납!$C:$C,원생!$A190,수납!$D:$D,IF(원생!$G190="","",원생!$G190),수납!$B:$B,$B$1&amp;"-"&amp;TEXT(10,"00")&amp;"*",수납!$E:$E,""))</f>
        <v/>
      </c>
      <c r="M192" s="14">
        <f>IF(원생!$A190="","",SUMIFS(수납!$F:$F,수납!$C:$C,원생!$A190,수납!$D:$D,IF(원생!$G190="","",원생!$G190),수납!$B:$B,$B$1&amp;"-"&amp;TEXT(11,"00")&amp;"*",수납!$E:$E,"수강료")+SUMIFS(수납!$F:$F,수납!$C:$C,원생!$A190,수납!$D:$D,IF(원생!$G190="","",원생!$G190),수납!$B:$B,$B$1&amp;"-"&amp;TEXT(11,"00")&amp;"*",수납!$E:$E,""))</f>
        <v/>
      </c>
      <c r="N192" s="14">
        <f>IF(원생!$A190="","",SUMIFS(수납!$F:$F,수납!$C:$C,원생!$A190,수납!$D:$D,IF(원생!$G190="","",원생!$G190),수납!$B:$B,$B$1&amp;"-"&amp;TEXT(12,"00")&amp;"*",수납!$E:$E,"수강료")+SUMIFS(수납!$F:$F,수납!$C:$C,원생!$A190,수납!$D:$D,IF(원생!$G190="","",원생!$G190),수납!$B:$B,$B$1&amp;"-"&amp;TEXT(12,"00")&amp;"*",수납!$E:$E,""))</f>
        <v/>
      </c>
      <c r="O192">
        <f>IF(원생!$I190="","",원생!$I190)</f>
        <v/>
      </c>
      <c r="P192">
        <f>IF($A192="","",IF(AND($B192&gt;0,C192&lt;$B192,DATE($B$1,1,1)&lt;=TODAY(),OR($O192="",$O192&gt;=DATE($B$1,1,1)),OR(COUNTIF($C192:C192,"&gt;0")&gt;0,DATE($B$1,1,1)=DATE(YEAR(TODAY()),MONTH(TODAY()),1))),1,0))</f>
        <v/>
      </c>
      <c r="Q192">
        <f>IF($A192="","",IF(AND($B192&gt;0,D192&lt;$B192,DATE($B$1,2,1)&lt;=TODAY(),OR($O192="",$O192&gt;=DATE($B$1,2,1)),OR(COUNTIF($C192:D192,"&gt;0")&gt;0,DATE($B$1,2,1)=DATE(YEAR(TODAY()),MONTH(TODAY()),1))),1,0))</f>
        <v/>
      </c>
      <c r="R192">
        <f>IF($A192="","",IF(AND($B192&gt;0,E192&lt;$B192,DATE($B$1,3,1)&lt;=TODAY(),OR($O192="",$O192&gt;=DATE($B$1,3,1)),OR(COUNTIF($C192:E192,"&gt;0")&gt;0,DATE($B$1,3,1)=DATE(YEAR(TODAY()),MONTH(TODAY()),1))),1,0))</f>
        <v/>
      </c>
      <c r="S192">
        <f>IF($A192="","",IF(AND($B192&gt;0,F192&lt;$B192,DATE($B$1,4,1)&lt;=TODAY(),OR($O192="",$O192&gt;=DATE($B$1,4,1)),OR(COUNTIF($C192:F192,"&gt;0")&gt;0,DATE($B$1,4,1)=DATE(YEAR(TODAY()),MONTH(TODAY()),1))),1,0))</f>
        <v/>
      </c>
      <c r="T192">
        <f>IF($A192="","",IF(AND($B192&gt;0,G192&lt;$B192,DATE($B$1,5,1)&lt;=TODAY(),OR($O192="",$O192&gt;=DATE($B$1,5,1)),OR(COUNTIF($C192:G192,"&gt;0")&gt;0,DATE($B$1,5,1)=DATE(YEAR(TODAY()),MONTH(TODAY()),1))),1,0))</f>
        <v/>
      </c>
      <c r="U192">
        <f>IF($A192="","",IF(AND($B192&gt;0,H192&lt;$B192,DATE($B$1,6,1)&lt;=TODAY(),OR($O192="",$O192&gt;=DATE($B$1,6,1)),OR(COUNTIF($C192:H192,"&gt;0")&gt;0,DATE($B$1,6,1)=DATE(YEAR(TODAY()),MONTH(TODAY()),1))),1,0))</f>
        <v/>
      </c>
      <c r="V192">
        <f>IF($A192="","",IF(AND($B192&gt;0,I192&lt;$B192,DATE($B$1,7,1)&lt;=TODAY(),OR($O192="",$O192&gt;=DATE($B$1,7,1)),OR(COUNTIF($C192:I192,"&gt;0")&gt;0,DATE($B$1,7,1)=DATE(YEAR(TODAY()),MONTH(TODAY()),1))),1,0))</f>
        <v/>
      </c>
      <c r="W192">
        <f>IF($A192="","",IF(AND($B192&gt;0,J192&lt;$B192,DATE($B$1,8,1)&lt;=TODAY(),OR($O192="",$O192&gt;=DATE($B$1,8,1)),OR(COUNTIF($C192:J192,"&gt;0")&gt;0,DATE($B$1,8,1)=DATE(YEAR(TODAY()),MONTH(TODAY()),1))),1,0))</f>
        <v/>
      </c>
      <c r="X192">
        <f>IF($A192="","",IF(AND($B192&gt;0,K192&lt;$B192,DATE($B$1,9,1)&lt;=TODAY(),OR($O192="",$O192&gt;=DATE($B$1,9,1)),OR(COUNTIF($C192:K192,"&gt;0")&gt;0,DATE($B$1,9,1)=DATE(YEAR(TODAY()),MONTH(TODAY()),1))),1,0))</f>
        <v/>
      </c>
      <c r="Y192">
        <f>IF($A192="","",IF(AND($B192&gt;0,L192&lt;$B192,DATE($B$1,10,1)&lt;=TODAY(),OR($O192="",$O192&gt;=DATE($B$1,10,1)),OR(COUNTIF($C192:L192,"&gt;0")&gt;0,DATE($B$1,10,1)=DATE(YEAR(TODAY()),MONTH(TODAY()),1))),1,0))</f>
        <v/>
      </c>
      <c r="Z192">
        <f>IF($A192="","",IF(AND($B192&gt;0,M192&lt;$B192,DATE($B$1,11,1)&lt;=TODAY(),OR($O192="",$O192&gt;=DATE($B$1,11,1)),OR(COUNTIF($C192:M192,"&gt;0")&gt;0,DATE($B$1,11,1)=DATE(YEAR(TODAY()),MONTH(TODAY()),1))),1,0))</f>
        <v/>
      </c>
      <c r="AA192">
        <f>IF($A192="","",IF(AND($B192&gt;0,N192&lt;$B192,DATE($B$1,12,1)&lt;=TODAY(),OR($O192="",$O192&gt;=DATE($B$1,12,1)),OR(COUNTIF($C192:N192,"&gt;0")&gt;0,DATE($B$1,12,1)=DATE(YEAR(TODAY()),MONTH(TODAY()),1))),1,0))</f>
        <v/>
      </c>
    </row>
    <row r="193">
      <c r="A193" s="13">
        <f>IF(원생!$A191="","",원생!$A191&amp;IF(원생!$G191="",""," ("&amp;원생!$G191&amp;")"))</f>
        <v/>
      </c>
      <c r="B193" s="8">
        <f>IF(원생!$A191="","",원생!$F191)</f>
        <v/>
      </c>
      <c r="C193" s="14">
        <f>IF(원생!$A191="","",SUMIFS(수납!$F:$F,수납!$C:$C,원생!$A191,수납!$D:$D,IF(원생!$G191="","",원생!$G191),수납!$B:$B,$B$1&amp;"-"&amp;TEXT(1,"00")&amp;"*",수납!$E:$E,"수강료")+SUMIFS(수납!$F:$F,수납!$C:$C,원생!$A191,수납!$D:$D,IF(원생!$G191="","",원생!$G191),수납!$B:$B,$B$1&amp;"-"&amp;TEXT(1,"00")&amp;"*",수납!$E:$E,""))</f>
        <v/>
      </c>
      <c r="D193" s="14">
        <f>IF(원생!$A191="","",SUMIFS(수납!$F:$F,수납!$C:$C,원생!$A191,수납!$D:$D,IF(원생!$G191="","",원생!$G191),수납!$B:$B,$B$1&amp;"-"&amp;TEXT(2,"00")&amp;"*",수납!$E:$E,"수강료")+SUMIFS(수납!$F:$F,수납!$C:$C,원생!$A191,수납!$D:$D,IF(원생!$G191="","",원생!$G191),수납!$B:$B,$B$1&amp;"-"&amp;TEXT(2,"00")&amp;"*",수납!$E:$E,""))</f>
        <v/>
      </c>
      <c r="E193" s="14">
        <f>IF(원생!$A191="","",SUMIFS(수납!$F:$F,수납!$C:$C,원생!$A191,수납!$D:$D,IF(원생!$G191="","",원생!$G191),수납!$B:$B,$B$1&amp;"-"&amp;TEXT(3,"00")&amp;"*",수납!$E:$E,"수강료")+SUMIFS(수납!$F:$F,수납!$C:$C,원생!$A191,수납!$D:$D,IF(원생!$G191="","",원생!$G191),수납!$B:$B,$B$1&amp;"-"&amp;TEXT(3,"00")&amp;"*",수납!$E:$E,""))</f>
        <v/>
      </c>
      <c r="F193" s="14">
        <f>IF(원생!$A191="","",SUMIFS(수납!$F:$F,수납!$C:$C,원생!$A191,수납!$D:$D,IF(원생!$G191="","",원생!$G191),수납!$B:$B,$B$1&amp;"-"&amp;TEXT(4,"00")&amp;"*",수납!$E:$E,"수강료")+SUMIFS(수납!$F:$F,수납!$C:$C,원생!$A191,수납!$D:$D,IF(원생!$G191="","",원생!$G191),수납!$B:$B,$B$1&amp;"-"&amp;TEXT(4,"00")&amp;"*",수납!$E:$E,""))</f>
        <v/>
      </c>
      <c r="G193" s="14">
        <f>IF(원생!$A191="","",SUMIFS(수납!$F:$F,수납!$C:$C,원생!$A191,수납!$D:$D,IF(원생!$G191="","",원생!$G191),수납!$B:$B,$B$1&amp;"-"&amp;TEXT(5,"00")&amp;"*",수납!$E:$E,"수강료")+SUMIFS(수납!$F:$F,수납!$C:$C,원생!$A191,수납!$D:$D,IF(원생!$G191="","",원생!$G191),수납!$B:$B,$B$1&amp;"-"&amp;TEXT(5,"00")&amp;"*",수납!$E:$E,""))</f>
        <v/>
      </c>
      <c r="H193" s="14">
        <f>IF(원생!$A191="","",SUMIFS(수납!$F:$F,수납!$C:$C,원생!$A191,수납!$D:$D,IF(원생!$G191="","",원생!$G191),수납!$B:$B,$B$1&amp;"-"&amp;TEXT(6,"00")&amp;"*",수납!$E:$E,"수강료")+SUMIFS(수납!$F:$F,수납!$C:$C,원생!$A191,수납!$D:$D,IF(원생!$G191="","",원생!$G191),수납!$B:$B,$B$1&amp;"-"&amp;TEXT(6,"00")&amp;"*",수납!$E:$E,""))</f>
        <v/>
      </c>
      <c r="I193" s="14">
        <f>IF(원생!$A191="","",SUMIFS(수납!$F:$F,수납!$C:$C,원생!$A191,수납!$D:$D,IF(원생!$G191="","",원생!$G191),수납!$B:$B,$B$1&amp;"-"&amp;TEXT(7,"00")&amp;"*",수납!$E:$E,"수강료")+SUMIFS(수납!$F:$F,수납!$C:$C,원생!$A191,수납!$D:$D,IF(원생!$G191="","",원생!$G191),수납!$B:$B,$B$1&amp;"-"&amp;TEXT(7,"00")&amp;"*",수납!$E:$E,""))</f>
        <v/>
      </c>
      <c r="J193" s="14">
        <f>IF(원생!$A191="","",SUMIFS(수납!$F:$F,수납!$C:$C,원생!$A191,수납!$D:$D,IF(원생!$G191="","",원생!$G191),수납!$B:$B,$B$1&amp;"-"&amp;TEXT(8,"00")&amp;"*",수납!$E:$E,"수강료")+SUMIFS(수납!$F:$F,수납!$C:$C,원생!$A191,수납!$D:$D,IF(원생!$G191="","",원생!$G191),수납!$B:$B,$B$1&amp;"-"&amp;TEXT(8,"00")&amp;"*",수납!$E:$E,""))</f>
        <v/>
      </c>
      <c r="K193" s="14">
        <f>IF(원생!$A191="","",SUMIFS(수납!$F:$F,수납!$C:$C,원생!$A191,수납!$D:$D,IF(원생!$G191="","",원생!$G191),수납!$B:$B,$B$1&amp;"-"&amp;TEXT(9,"00")&amp;"*",수납!$E:$E,"수강료")+SUMIFS(수납!$F:$F,수납!$C:$C,원생!$A191,수납!$D:$D,IF(원생!$G191="","",원생!$G191),수납!$B:$B,$B$1&amp;"-"&amp;TEXT(9,"00")&amp;"*",수납!$E:$E,""))</f>
        <v/>
      </c>
      <c r="L193" s="14">
        <f>IF(원생!$A191="","",SUMIFS(수납!$F:$F,수납!$C:$C,원생!$A191,수납!$D:$D,IF(원생!$G191="","",원생!$G191),수납!$B:$B,$B$1&amp;"-"&amp;TEXT(10,"00")&amp;"*",수납!$E:$E,"수강료")+SUMIFS(수납!$F:$F,수납!$C:$C,원생!$A191,수납!$D:$D,IF(원생!$G191="","",원생!$G191),수납!$B:$B,$B$1&amp;"-"&amp;TEXT(10,"00")&amp;"*",수납!$E:$E,""))</f>
        <v/>
      </c>
      <c r="M193" s="14">
        <f>IF(원생!$A191="","",SUMIFS(수납!$F:$F,수납!$C:$C,원생!$A191,수납!$D:$D,IF(원생!$G191="","",원생!$G191),수납!$B:$B,$B$1&amp;"-"&amp;TEXT(11,"00")&amp;"*",수납!$E:$E,"수강료")+SUMIFS(수납!$F:$F,수납!$C:$C,원생!$A191,수납!$D:$D,IF(원생!$G191="","",원생!$G191),수납!$B:$B,$B$1&amp;"-"&amp;TEXT(11,"00")&amp;"*",수납!$E:$E,""))</f>
        <v/>
      </c>
      <c r="N193" s="14">
        <f>IF(원생!$A191="","",SUMIFS(수납!$F:$F,수납!$C:$C,원생!$A191,수납!$D:$D,IF(원생!$G191="","",원생!$G191),수납!$B:$B,$B$1&amp;"-"&amp;TEXT(12,"00")&amp;"*",수납!$E:$E,"수강료")+SUMIFS(수납!$F:$F,수납!$C:$C,원생!$A191,수납!$D:$D,IF(원생!$G191="","",원생!$G191),수납!$B:$B,$B$1&amp;"-"&amp;TEXT(12,"00")&amp;"*",수납!$E:$E,""))</f>
        <v/>
      </c>
      <c r="O193">
        <f>IF(원생!$I191="","",원생!$I191)</f>
        <v/>
      </c>
      <c r="P193">
        <f>IF($A193="","",IF(AND($B193&gt;0,C193&lt;$B193,DATE($B$1,1,1)&lt;=TODAY(),OR($O193="",$O193&gt;=DATE($B$1,1,1)),OR(COUNTIF($C193:C193,"&gt;0")&gt;0,DATE($B$1,1,1)=DATE(YEAR(TODAY()),MONTH(TODAY()),1))),1,0))</f>
        <v/>
      </c>
      <c r="Q193">
        <f>IF($A193="","",IF(AND($B193&gt;0,D193&lt;$B193,DATE($B$1,2,1)&lt;=TODAY(),OR($O193="",$O193&gt;=DATE($B$1,2,1)),OR(COUNTIF($C193:D193,"&gt;0")&gt;0,DATE($B$1,2,1)=DATE(YEAR(TODAY()),MONTH(TODAY()),1))),1,0))</f>
        <v/>
      </c>
      <c r="R193">
        <f>IF($A193="","",IF(AND($B193&gt;0,E193&lt;$B193,DATE($B$1,3,1)&lt;=TODAY(),OR($O193="",$O193&gt;=DATE($B$1,3,1)),OR(COUNTIF($C193:E193,"&gt;0")&gt;0,DATE($B$1,3,1)=DATE(YEAR(TODAY()),MONTH(TODAY()),1))),1,0))</f>
        <v/>
      </c>
      <c r="S193">
        <f>IF($A193="","",IF(AND($B193&gt;0,F193&lt;$B193,DATE($B$1,4,1)&lt;=TODAY(),OR($O193="",$O193&gt;=DATE($B$1,4,1)),OR(COUNTIF($C193:F193,"&gt;0")&gt;0,DATE($B$1,4,1)=DATE(YEAR(TODAY()),MONTH(TODAY()),1))),1,0))</f>
        <v/>
      </c>
      <c r="T193">
        <f>IF($A193="","",IF(AND($B193&gt;0,G193&lt;$B193,DATE($B$1,5,1)&lt;=TODAY(),OR($O193="",$O193&gt;=DATE($B$1,5,1)),OR(COUNTIF($C193:G193,"&gt;0")&gt;0,DATE($B$1,5,1)=DATE(YEAR(TODAY()),MONTH(TODAY()),1))),1,0))</f>
        <v/>
      </c>
      <c r="U193">
        <f>IF($A193="","",IF(AND($B193&gt;0,H193&lt;$B193,DATE($B$1,6,1)&lt;=TODAY(),OR($O193="",$O193&gt;=DATE($B$1,6,1)),OR(COUNTIF($C193:H193,"&gt;0")&gt;0,DATE($B$1,6,1)=DATE(YEAR(TODAY()),MONTH(TODAY()),1))),1,0))</f>
        <v/>
      </c>
      <c r="V193">
        <f>IF($A193="","",IF(AND($B193&gt;0,I193&lt;$B193,DATE($B$1,7,1)&lt;=TODAY(),OR($O193="",$O193&gt;=DATE($B$1,7,1)),OR(COUNTIF($C193:I193,"&gt;0")&gt;0,DATE($B$1,7,1)=DATE(YEAR(TODAY()),MONTH(TODAY()),1))),1,0))</f>
        <v/>
      </c>
      <c r="W193">
        <f>IF($A193="","",IF(AND($B193&gt;0,J193&lt;$B193,DATE($B$1,8,1)&lt;=TODAY(),OR($O193="",$O193&gt;=DATE($B$1,8,1)),OR(COUNTIF($C193:J193,"&gt;0")&gt;0,DATE($B$1,8,1)=DATE(YEAR(TODAY()),MONTH(TODAY()),1))),1,0))</f>
        <v/>
      </c>
      <c r="X193">
        <f>IF($A193="","",IF(AND($B193&gt;0,K193&lt;$B193,DATE($B$1,9,1)&lt;=TODAY(),OR($O193="",$O193&gt;=DATE($B$1,9,1)),OR(COUNTIF($C193:K193,"&gt;0")&gt;0,DATE($B$1,9,1)=DATE(YEAR(TODAY()),MONTH(TODAY()),1))),1,0))</f>
        <v/>
      </c>
      <c r="Y193">
        <f>IF($A193="","",IF(AND($B193&gt;0,L193&lt;$B193,DATE($B$1,10,1)&lt;=TODAY(),OR($O193="",$O193&gt;=DATE($B$1,10,1)),OR(COUNTIF($C193:L193,"&gt;0")&gt;0,DATE($B$1,10,1)=DATE(YEAR(TODAY()),MONTH(TODAY()),1))),1,0))</f>
        <v/>
      </c>
      <c r="Z193">
        <f>IF($A193="","",IF(AND($B193&gt;0,M193&lt;$B193,DATE($B$1,11,1)&lt;=TODAY(),OR($O193="",$O193&gt;=DATE($B$1,11,1)),OR(COUNTIF($C193:M193,"&gt;0")&gt;0,DATE($B$1,11,1)=DATE(YEAR(TODAY()),MONTH(TODAY()),1))),1,0))</f>
        <v/>
      </c>
      <c r="AA193">
        <f>IF($A193="","",IF(AND($B193&gt;0,N193&lt;$B193,DATE($B$1,12,1)&lt;=TODAY(),OR($O193="",$O193&gt;=DATE($B$1,12,1)),OR(COUNTIF($C193:N193,"&gt;0")&gt;0,DATE($B$1,12,1)=DATE(YEAR(TODAY()),MONTH(TODAY()),1))),1,0))</f>
        <v/>
      </c>
    </row>
    <row r="194">
      <c r="A194" s="13">
        <f>IF(원생!$A192="","",원생!$A192&amp;IF(원생!$G192="",""," ("&amp;원생!$G192&amp;")"))</f>
        <v/>
      </c>
      <c r="B194" s="8">
        <f>IF(원생!$A192="","",원생!$F192)</f>
        <v/>
      </c>
      <c r="C194" s="14">
        <f>IF(원생!$A192="","",SUMIFS(수납!$F:$F,수납!$C:$C,원생!$A192,수납!$D:$D,IF(원생!$G192="","",원생!$G192),수납!$B:$B,$B$1&amp;"-"&amp;TEXT(1,"00")&amp;"*",수납!$E:$E,"수강료")+SUMIFS(수납!$F:$F,수납!$C:$C,원생!$A192,수납!$D:$D,IF(원생!$G192="","",원생!$G192),수납!$B:$B,$B$1&amp;"-"&amp;TEXT(1,"00")&amp;"*",수납!$E:$E,""))</f>
        <v/>
      </c>
      <c r="D194" s="14">
        <f>IF(원생!$A192="","",SUMIFS(수납!$F:$F,수납!$C:$C,원생!$A192,수납!$D:$D,IF(원생!$G192="","",원생!$G192),수납!$B:$B,$B$1&amp;"-"&amp;TEXT(2,"00")&amp;"*",수납!$E:$E,"수강료")+SUMIFS(수납!$F:$F,수납!$C:$C,원생!$A192,수납!$D:$D,IF(원생!$G192="","",원생!$G192),수납!$B:$B,$B$1&amp;"-"&amp;TEXT(2,"00")&amp;"*",수납!$E:$E,""))</f>
        <v/>
      </c>
      <c r="E194" s="14">
        <f>IF(원생!$A192="","",SUMIFS(수납!$F:$F,수납!$C:$C,원생!$A192,수납!$D:$D,IF(원생!$G192="","",원생!$G192),수납!$B:$B,$B$1&amp;"-"&amp;TEXT(3,"00")&amp;"*",수납!$E:$E,"수강료")+SUMIFS(수납!$F:$F,수납!$C:$C,원생!$A192,수납!$D:$D,IF(원생!$G192="","",원생!$G192),수납!$B:$B,$B$1&amp;"-"&amp;TEXT(3,"00")&amp;"*",수납!$E:$E,""))</f>
        <v/>
      </c>
      <c r="F194" s="14">
        <f>IF(원생!$A192="","",SUMIFS(수납!$F:$F,수납!$C:$C,원생!$A192,수납!$D:$D,IF(원생!$G192="","",원생!$G192),수납!$B:$B,$B$1&amp;"-"&amp;TEXT(4,"00")&amp;"*",수납!$E:$E,"수강료")+SUMIFS(수납!$F:$F,수납!$C:$C,원생!$A192,수납!$D:$D,IF(원생!$G192="","",원생!$G192),수납!$B:$B,$B$1&amp;"-"&amp;TEXT(4,"00")&amp;"*",수납!$E:$E,""))</f>
        <v/>
      </c>
      <c r="G194" s="14">
        <f>IF(원생!$A192="","",SUMIFS(수납!$F:$F,수납!$C:$C,원생!$A192,수납!$D:$D,IF(원생!$G192="","",원생!$G192),수납!$B:$B,$B$1&amp;"-"&amp;TEXT(5,"00")&amp;"*",수납!$E:$E,"수강료")+SUMIFS(수납!$F:$F,수납!$C:$C,원생!$A192,수납!$D:$D,IF(원생!$G192="","",원생!$G192),수납!$B:$B,$B$1&amp;"-"&amp;TEXT(5,"00")&amp;"*",수납!$E:$E,""))</f>
        <v/>
      </c>
      <c r="H194" s="14">
        <f>IF(원생!$A192="","",SUMIFS(수납!$F:$F,수납!$C:$C,원생!$A192,수납!$D:$D,IF(원생!$G192="","",원생!$G192),수납!$B:$B,$B$1&amp;"-"&amp;TEXT(6,"00")&amp;"*",수납!$E:$E,"수강료")+SUMIFS(수납!$F:$F,수납!$C:$C,원생!$A192,수납!$D:$D,IF(원생!$G192="","",원생!$G192),수납!$B:$B,$B$1&amp;"-"&amp;TEXT(6,"00")&amp;"*",수납!$E:$E,""))</f>
        <v/>
      </c>
      <c r="I194" s="14">
        <f>IF(원생!$A192="","",SUMIFS(수납!$F:$F,수납!$C:$C,원생!$A192,수납!$D:$D,IF(원생!$G192="","",원생!$G192),수납!$B:$B,$B$1&amp;"-"&amp;TEXT(7,"00")&amp;"*",수납!$E:$E,"수강료")+SUMIFS(수납!$F:$F,수납!$C:$C,원생!$A192,수납!$D:$D,IF(원생!$G192="","",원생!$G192),수납!$B:$B,$B$1&amp;"-"&amp;TEXT(7,"00")&amp;"*",수납!$E:$E,""))</f>
        <v/>
      </c>
      <c r="J194" s="14">
        <f>IF(원생!$A192="","",SUMIFS(수납!$F:$F,수납!$C:$C,원생!$A192,수납!$D:$D,IF(원생!$G192="","",원생!$G192),수납!$B:$B,$B$1&amp;"-"&amp;TEXT(8,"00")&amp;"*",수납!$E:$E,"수강료")+SUMIFS(수납!$F:$F,수납!$C:$C,원생!$A192,수납!$D:$D,IF(원생!$G192="","",원생!$G192),수납!$B:$B,$B$1&amp;"-"&amp;TEXT(8,"00")&amp;"*",수납!$E:$E,""))</f>
        <v/>
      </c>
      <c r="K194" s="14">
        <f>IF(원생!$A192="","",SUMIFS(수납!$F:$F,수납!$C:$C,원생!$A192,수납!$D:$D,IF(원생!$G192="","",원생!$G192),수납!$B:$B,$B$1&amp;"-"&amp;TEXT(9,"00")&amp;"*",수납!$E:$E,"수강료")+SUMIFS(수납!$F:$F,수납!$C:$C,원생!$A192,수납!$D:$D,IF(원생!$G192="","",원생!$G192),수납!$B:$B,$B$1&amp;"-"&amp;TEXT(9,"00")&amp;"*",수납!$E:$E,""))</f>
        <v/>
      </c>
      <c r="L194" s="14">
        <f>IF(원생!$A192="","",SUMIFS(수납!$F:$F,수납!$C:$C,원생!$A192,수납!$D:$D,IF(원생!$G192="","",원생!$G192),수납!$B:$B,$B$1&amp;"-"&amp;TEXT(10,"00")&amp;"*",수납!$E:$E,"수강료")+SUMIFS(수납!$F:$F,수납!$C:$C,원생!$A192,수납!$D:$D,IF(원생!$G192="","",원생!$G192),수납!$B:$B,$B$1&amp;"-"&amp;TEXT(10,"00")&amp;"*",수납!$E:$E,""))</f>
        <v/>
      </c>
      <c r="M194" s="14">
        <f>IF(원생!$A192="","",SUMIFS(수납!$F:$F,수납!$C:$C,원생!$A192,수납!$D:$D,IF(원생!$G192="","",원생!$G192),수납!$B:$B,$B$1&amp;"-"&amp;TEXT(11,"00")&amp;"*",수납!$E:$E,"수강료")+SUMIFS(수납!$F:$F,수납!$C:$C,원생!$A192,수납!$D:$D,IF(원생!$G192="","",원생!$G192),수납!$B:$B,$B$1&amp;"-"&amp;TEXT(11,"00")&amp;"*",수납!$E:$E,""))</f>
        <v/>
      </c>
      <c r="N194" s="14">
        <f>IF(원생!$A192="","",SUMIFS(수납!$F:$F,수납!$C:$C,원생!$A192,수납!$D:$D,IF(원생!$G192="","",원생!$G192),수납!$B:$B,$B$1&amp;"-"&amp;TEXT(12,"00")&amp;"*",수납!$E:$E,"수강료")+SUMIFS(수납!$F:$F,수납!$C:$C,원생!$A192,수납!$D:$D,IF(원생!$G192="","",원생!$G192),수납!$B:$B,$B$1&amp;"-"&amp;TEXT(12,"00")&amp;"*",수납!$E:$E,""))</f>
        <v/>
      </c>
      <c r="O194">
        <f>IF(원생!$I192="","",원생!$I192)</f>
        <v/>
      </c>
      <c r="P194">
        <f>IF($A194="","",IF(AND($B194&gt;0,C194&lt;$B194,DATE($B$1,1,1)&lt;=TODAY(),OR($O194="",$O194&gt;=DATE($B$1,1,1)),OR(COUNTIF($C194:C194,"&gt;0")&gt;0,DATE($B$1,1,1)=DATE(YEAR(TODAY()),MONTH(TODAY()),1))),1,0))</f>
        <v/>
      </c>
      <c r="Q194">
        <f>IF($A194="","",IF(AND($B194&gt;0,D194&lt;$B194,DATE($B$1,2,1)&lt;=TODAY(),OR($O194="",$O194&gt;=DATE($B$1,2,1)),OR(COUNTIF($C194:D194,"&gt;0")&gt;0,DATE($B$1,2,1)=DATE(YEAR(TODAY()),MONTH(TODAY()),1))),1,0))</f>
        <v/>
      </c>
      <c r="R194">
        <f>IF($A194="","",IF(AND($B194&gt;0,E194&lt;$B194,DATE($B$1,3,1)&lt;=TODAY(),OR($O194="",$O194&gt;=DATE($B$1,3,1)),OR(COUNTIF($C194:E194,"&gt;0")&gt;0,DATE($B$1,3,1)=DATE(YEAR(TODAY()),MONTH(TODAY()),1))),1,0))</f>
        <v/>
      </c>
      <c r="S194">
        <f>IF($A194="","",IF(AND($B194&gt;0,F194&lt;$B194,DATE($B$1,4,1)&lt;=TODAY(),OR($O194="",$O194&gt;=DATE($B$1,4,1)),OR(COUNTIF($C194:F194,"&gt;0")&gt;0,DATE($B$1,4,1)=DATE(YEAR(TODAY()),MONTH(TODAY()),1))),1,0))</f>
        <v/>
      </c>
      <c r="T194">
        <f>IF($A194="","",IF(AND($B194&gt;0,G194&lt;$B194,DATE($B$1,5,1)&lt;=TODAY(),OR($O194="",$O194&gt;=DATE($B$1,5,1)),OR(COUNTIF($C194:G194,"&gt;0")&gt;0,DATE($B$1,5,1)=DATE(YEAR(TODAY()),MONTH(TODAY()),1))),1,0))</f>
        <v/>
      </c>
      <c r="U194">
        <f>IF($A194="","",IF(AND($B194&gt;0,H194&lt;$B194,DATE($B$1,6,1)&lt;=TODAY(),OR($O194="",$O194&gt;=DATE($B$1,6,1)),OR(COUNTIF($C194:H194,"&gt;0")&gt;0,DATE($B$1,6,1)=DATE(YEAR(TODAY()),MONTH(TODAY()),1))),1,0))</f>
        <v/>
      </c>
      <c r="V194">
        <f>IF($A194="","",IF(AND($B194&gt;0,I194&lt;$B194,DATE($B$1,7,1)&lt;=TODAY(),OR($O194="",$O194&gt;=DATE($B$1,7,1)),OR(COUNTIF($C194:I194,"&gt;0")&gt;0,DATE($B$1,7,1)=DATE(YEAR(TODAY()),MONTH(TODAY()),1))),1,0))</f>
        <v/>
      </c>
      <c r="W194">
        <f>IF($A194="","",IF(AND($B194&gt;0,J194&lt;$B194,DATE($B$1,8,1)&lt;=TODAY(),OR($O194="",$O194&gt;=DATE($B$1,8,1)),OR(COUNTIF($C194:J194,"&gt;0")&gt;0,DATE($B$1,8,1)=DATE(YEAR(TODAY()),MONTH(TODAY()),1))),1,0))</f>
        <v/>
      </c>
      <c r="X194">
        <f>IF($A194="","",IF(AND($B194&gt;0,K194&lt;$B194,DATE($B$1,9,1)&lt;=TODAY(),OR($O194="",$O194&gt;=DATE($B$1,9,1)),OR(COUNTIF($C194:K194,"&gt;0")&gt;0,DATE($B$1,9,1)=DATE(YEAR(TODAY()),MONTH(TODAY()),1))),1,0))</f>
        <v/>
      </c>
      <c r="Y194">
        <f>IF($A194="","",IF(AND($B194&gt;0,L194&lt;$B194,DATE($B$1,10,1)&lt;=TODAY(),OR($O194="",$O194&gt;=DATE($B$1,10,1)),OR(COUNTIF($C194:L194,"&gt;0")&gt;0,DATE($B$1,10,1)=DATE(YEAR(TODAY()),MONTH(TODAY()),1))),1,0))</f>
        <v/>
      </c>
      <c r="Z194">
        <f>IF($A194="","",IF(AND($B194&gt;0,M194&lt;$B194,DATE($B$1,11,1)&lt;=TODAY(),OR($O194="",$O194&gt;=DATE($B$1,11,1)),OR(COUNTIF($C194:M194,"&gt;0")&gt;0,DATE($B$1,11,1)=DATE(YEAR(TODAY()),MONTH(TODAY()),1))),1,0))</f>
        <v/>
      </c>
      <c r="AA194">
        <f>IF($A194="","",IF(AND($B194&gt;0,N194&lt;$B194,DATE($B$1,12,1)&lt;=TODAY(),OR($O194="",$O194&gt;=DATE($B$1,12,1)),OR(COUNTIF($C194:N194,"&gt;0")&gt;0,DATE($B$1,12,1)=DATE(YEAR(TODAY()),MONTH(TODAY()),1))),1,0))</f>
        <v/>
      </c>
    </row>
    <row r="195">
      <c r="A195" s="13">
        <f>IF(원생!$A193="","",원생!$A193&amp;IF(원생!$G193="",""," ("&amp;원생!$G193&amp;")"))</f>
        <v/>
      </c>
      <c r="B195" s="8">
        <f>IF(원생!$A193="","",원생!$F193)</f>
        <v/>
      </c>
      <c r="C195" s="14">
        <f>IF(원생!$A193="","",SUMIFS(수납!$F:$F,수납!$C:$C,원생!$A193,수납!$D:$D,IF(원생!$G193="","",원생!$G193),수납!$B:$B,$B$1&amp;"-"&amp;TEXT(1,"00")&amp;"*",수납!$E:$E,"수강료")+SUMIFS(수납!$F:$F,수납!$C:$C,원생!$A193,수납!$D:$D,IF(원생!$G193="","",원생!$G193),수납!$B:$B,$B$1&amp;"-"&amp;TEXT(1,"00")&amp;"*",수납!$E:$E,""))</f>
        <v/>
      </c>
      <c r="D195" s="14">
        <f>IF(원생!$A193="","",SUMIFS(수납!$F:$F,수납!$C:$C,원생!$A193,수납!$D:$D,IF(원생!$G193="","",원생!$G193),수납!$B:$B,$B$1&amp;"-"&amp;TEXT(2,"00")&amp;"*",수납!$E:$E,"수강료")+SUMIFS(수납!$F:$F,수납!$C:$C,원생!$A193,수납!$D:$D,IF(원생!$G193="","",원생!$G193),수납!$B:$B,$B$1&amp;"-"&amp;TEXT(2,"00")&amp;"*",수납!$E:$E,""))</f>
        <v/>
      </c>
      <c r="E195" s="14">
        <f>IF(원생!$A193="","",SUMIFS(수납!$F:$F,수납!$C:$C,원생!$A193,수납!$D:$D,IF(원생!$G193="","",원생!$G193),수납!$B:$B,$B$1&amp;"-"&amp;TEXT(3,"00")&amp;"*",수납!$E:$E,"수강료")+SUMIFS(수납!$F:$F,수납!$C:$C,원생!$A193,수납!$D:$D,IF(원생!$G193="","",원생!$G193),수납!$B:$B,$B$1&amp;"-"&amp;TEXT(3,"00")&amp;"*",수납!$E:$E,""))</f>
        <v/>
      </c>
      <c r="F195" s="14">
        <f>IF(원생!$A193="","",SUMIFS(수납!$F:$F,수납!$C:$C,원생!$A193,수납!$D:$D,IF(원생!$G193="","",원생!$G193),수납!$B:$B,$B$1&amp;"-"&amp;TEXT(4,"00")&amp;"*",수납!$E:$E,"수강료")+SUMIFS(수납!$F:$F,수납!$C:$C,원생!$A193,수납!$D:$D,IF(원생!$G193="","",원생!$G193),수납!$B:$B,$B$1&amp;"-"&amp;TEXT(4,"00")&amp;"*",수납!$E:$E,""))</f>
        <v/>
      </c>
      <c r="G195" s="14">
        <f>IF(원생!$A193="","",SUMIFS(수납!$F:$F,수납!$C:$C,원생!$A193,수납!$D:$D,IF(원생!$G193="","",원생!$G193),수납!$B:$B,$B$1&amp;"-"&amp;TEXT(5,"00")&amp;"*",수납!$E:$E,"수강료")+SUMIFS(수납!$F:$F,수납!$C:$C,원생!$A193,수납!$D:$D,IF(원생!$G193="","",원생!$G193),수납!$B:$B,$B$1&amp;"-"&amp;TEXT(5,"00")&amp;"*",수납!$E:$E,""))</f>
        <v/>
      </c>
      <c r="H195" s="14">
        <f>IF(원생!$A193="","",SUMIFS(수납!$F:$F,수납!$C:$C,원생!$A193,수납!$D:$D,IF(원생!$G193="","",원생!$G193),수납!$B:$B,$B$1&amp;"-"&amp;TEXT(6,"00")&amp;"*",수납!$E:$E,"수강료")+SUMIFS(수납!$F:$F,수납!$C:$C,원생!$A193,수납!$D:$D,IF(원생!$G193="","",원생!$G193),수납!$B:$B,$B$1&amp;"-"&amp;TEXT(6,"00")&amp;"*",수납!$E:$E,""))</f>
        <v/>
      </c>
      <c r="I195" s="14">
        <f>IF(원생!$A193="","",SUMIFS(수납!$F:$F,수납!$C:$C,원생!$A193,수납!$D:$D,IF(원생!$G193="","",원생!$G193),수납!$B:$B,$B$1&amp;"-"&amp;TEXT(7,"00")&amp;"*",수납!$E:$E,"수강료")+SUMIFS(수납!$F:$F,수납!$C:$C,원생!$A193,수납!$D:$D,IF(원생!$G193="","",원생!$G193),수납!$B:$B,$B$1&amp;"-"&amp;TEXT(7,"00")&amp;"*",수납!$E:$E,""))</f>
        <v/>
      </c>
      <c r="J195" s="14">
        <f>IF(원생!$A193="","",SUMIFS(수납!$F:$F,수납!$C:$C,원생!$A193,수납!$D:$D,IF(원생!$G193="","",원생!$G193),수납!$B:$B,$B$1&amp;"-"&amp;TEXT(8,"00")&amp;"*",수납!$E:$E,"수강료")+SUMIFS(수납!$F:$F,수납!$C:$C,원생!$A193,수납!$D:$D,IF(원생!$G193="","",원생!$G193),수납!$B:$B,$B$1&amp;"-"&amp;TEXT(8,"00")&amp;"*",수납!$E:$E,""))</f>
        <v/>
      </c>
      <c r="K195" s="14">
        <f>IF(원생!$A193="","",SUMIFS(수납!$F:$F,수납!$C:$C,원생!$A193,수납!$D:$D,IF(원생!$G193="","",원생!$G193),수납!$B:$B,$B$1&amp;"-"&amp;TEXT(9,"00")&amp;"*",수납!$E:$E,"수강료")+SUMIFS(수납!$F:$F,수납!$C:$C,원생!$A193,수납!$D:$D,IF(원생!$G193="","",원생!$G193),수납!$B:$B,$B$1&amp;"-"&amp;TEXT(9,"00")&amp;"*",수납!$E:$E,""))</f>
        <v/>
      </c>
      <c r="L195" s="14">
        <f>IF(원생!$A193="","",SUMIFS(수납!$F:$F,수납!$C:$C,원생!$A193,수납!$D:$D,IF(원생!$G193="","",원생!$G193),수납!$B:$B,$B$1&amp;"-"&amp;TEXT(10,"00")&amp;"*",수납!$E:$E,"수강료")+SUMIFS(수납!$F:$F,수납!$C:$C,원생!$A193,수납!$D:$D,IF(원생!$G193="","",원생!$G193),수납!$B:$B,$B$1&amp;"-"&amp;TEXT(10,"00")&amp;"*",수납!$E:$E,""))</f>
        <v/>
      </c>
      <c r="M195" s="14">
        <f>IF(원생!$A193="","",SUMIFS(수납!$F:$F,수납!$C:$C,원생!$A193,수납!$D:$D,IF(원생!$G193="","",원생!$G193),수납!$B:$B,$B$1&amp;"-"&amp;TEXT(11,"00")&amp;"*",수납!$E:$E,"수강료")+SUMIFS(수납!$F:$F,수납!$C:$C,원생!$A193,수납!$D:$D,IF(원생!$G193="","",원생!$G193),수납!$B:$B,$B$1&amp;"-"&amp;TEXT(11,"00")&amp;"*",수납!$E:$E,""))</f>
        <v/>
      </c>
      <c r="N195" s="14">
        <f>IF(원생!$A193="","",SUMIFS(수납!$F:$F,수납!$C:$C,원생!$A193,수납!$D:$D,IF(원생!$G193="","",원생!$G193),수납!$B:$B,$B$1&amp;"-"&amp;TEXT(12,"00")&amp;"*",수납!$E:$E,"수강료")+SUMIFS(수납!$F:$F,수납!$C:$C,원생!$A193,수납!$D:$D,IF(원생!$G193="","",원생!$G193),수납!$B:$B,$B$1&amp;"-"&amp;TEXT(12,"00")&amp;"*",수납!$E:$E,""))</f>
        <v/>
      </c>
      <c r="O195">
        <f>IF(원생!$I193="","",원생!$I193)</f>
        <v/>
      </c>
      <c r="P195">
        <f>IF($A195="","",IF(AND($B195&gt;0,C195&lt;$B195,DATE($B$1,1,1)&lt;=TODAY(),OR($O195="",$O195&gt;=DATE($B$1,1,1)),OR(COUNTIF($C195:C195,"&gt;0")&gt;0,DATE($B$1,1,1)=DATE(YEAR(TODAY()),MONTH(TODAY()),1))),1,0))</f>
        <v/>
      </c>
      <c r="Q195">
        <f>IF($A195="","",IF(AND($B195&gt;0,D195&lt;$B195,DATE($B$1,2,1)&lt;=TODAY(),OR($O195="",$O195&gt;=DATE($B$1,2,1)),OR(COUNTIF($C195:D195,"&gt;0")&gt;0,DATE($B$1,2,1)=DATE(YEAR(TODAY()),MONTH(TODAY()),1))),1,0))</f>
        <v/>
      </c>
      <c r="R195">
        <f>IF($A195="","",IF(AND($B195&gt;0,E195&lt;$B195,DATE($B$1,3,1)&lt;=TODAY(),OR($O195="",$O195&gt;=DATE($B$1,3,1)),OR(COUNTIF($C195:E195,"&gt;0")&gt;0,DATE($B$1,3,1)=DATE(YEAR(TODAY()),MONTH(TODAY()),1))),1,0))</f>
        <v/>
      </c>
      <c r="S195">
        <f>IF($A195="","",IF(AND($B195&gt;0,F195&lt;$B195,DATE($B$1,4,1)&lt;=TODAY(),OR($O195="",$O195&gt;=DATE($B$1,4,1)),OR(COUNTIF($C195:F195,"&gt;0")&gt;0,DATE($B$1,4,1)=DATE(YEAR(TODAY()),MONTH(TODAY()),1))),1,0))</f>
        <v/>
      </c>
      <c r="T195">
        <f>IF($A195="","",IF(AND($B195&gt;0,G195&lt;$B195,DATE($B$1,5,1)&lt;=TODAY(),OR($O195="",$O195&gt;=DATE($B$1,5,1)),OR(COUNTIF($C195:G195,"&gt;0")&gt;0,DATE($B$1,5,1)=DATE(YEAR(TODAY()),MONTH(TODAY()),1))),1,0))</f>
        <v/>
      </c>
      <c r="U195">
        <f>IF($A195="","",IF(AND($B195&gt;0,H195&lt;$B195,DATE($B$1,6,1)&lt;=TODAY(),OR($O195="",$O195&gt;=DATE($B$1,6,1)),OR(COUNTIF($C195:H195,"&gt;0")&gt;0,DATE($B$1,6,1)=DATE(YEAR(TODAY()),MONTH(TODAY()),1))),1,0))</f>
        <v/>
      </c>
      <c r="V195">
        <f>IF($A195="","",IF(AND($B195&gt;0,I195&lt;$B195,DATE($B$1,7,1)&lt;=TODAY(),OR($O195="",$O195&gt;=DATE($B$1,7,1)),OR(COUNTIF($C195:I195,"&gt;0")&gt;0,DATE($B$1,7,1)=DATE(YEAR(TODAY()),MONTH(TODAY()),1))),1,0))</f>
        <v/>
      </c>
      <c r="W195">
        <f>IF($A195="","",IF(AND($B195&gt;0,J195&lt;$B195,DATE($B$1,8,1)&lt;=TODAY(),OR($O195="",$O195&gt;=DATE($B$1,8,1)),OR(COUNTIF($C195:J195,"&gt;0")&gt;0,DATE($B$1,8,1)=DATE(YEAR(TODAY()),MONTH(TODAY()),1))),1,0))</f>
        <v/>
      </c>
      <c r="X195">
        <f>IF($A195="","",IF(AND($B195&gt;0,K195&lt;$B195,DATE($B$1,9,1)&lt;=TODAY(),OR($O195="",$O195&gt;=DATE($B$1,9,1)),OR(COUNTIF($C195:K195,"&gt;0")&gt;0,DATE($B$1,9,1)=DATE(YEAR(TODAY()),MONTH(TODAY()),1))),1,0))</f>
        <v/>
      </c>
      <c r="Y195">
        <f>IF($A195="","",IF(AND($B195&gt;0,L195&lt;$B195,DATE($B$1,10,1)&lt;=TODAY(),OR($O195="",$O195&gt;=DATE($B$1,10,1)),OR(COUNTIF($C195:L195,"&gt;0")&gt;0,DATE($B$1,10,1)=DATE(YEAR(TODAY()),MONTH(TODAY()),1))),1,0))</f>
        <v/>
      </c>
      <c r="Z195">
        <f>IF($A195="","",IF(AND($B195&gt;0,M195&lt;$B195,DATE($B$1,11,1)&lt;=TODAY(),OR($O195="",$O195&gt;=DATE($B$1,11,1)),OR(COUNTIF($C195:M195,"&gt;0")&gt;0,DATE($B$1,11,1)=DATE(YEAR(TODAY()),MONTH(TODAY()),1))),1,0))</f>
        <v/>
      </c>
      <c r="AA195">
        <f>IF($A195="","",IF(AND($B195&gt;0,N195&lt;$B195,DATE($B$1,12,1)&lt;=TODAY(),OR($O195="",$O195&gt;=DATE($B$1,12,1)),OR(COUNTIF($C195:N195,"&gt;0")&gt;0,DATE($B$1,12,1)=DATE(YEAR(TODAY()),MONTH(TODAY()),1))),1,0))</f>
        <v/>
      </c>
    </row>
    <row r="196">
      <c r="A196" s="13">
        <f>IF(원생!$A194="","",원생!$A194&amp;IF(원생!$G194="",""," ("&amp;원생!$G194&amp;")"))</f>
        <v/>
      </c>
      <c r="B196" s="8">
        <f>IF(원생!$A194="","",원생!$F194)</f>
        <v/>
      </c>
      <c r="C196" s="14">
        <f>IF(원생!$A194="","",SUMIFS(수납!$F:$F,수납!$C:$C,원생!$A194,수납!$D:$D,IF(원생!$G194="","",원생!$G194),수납!$B:$B,$B$1&amp;"-"&amp;TEXT(1,"00")&amp;"*",수납!$E:$E,"수강료")+SUMIFS(수납!$F:$F,수납!$C:$C,원생!$A194,수납!$D:$D,IF(원생!$G194="","",원생!$G194),수납!$B:$B,$B$1&amp;"-"&amp;TEXT(1,"00")&amp;"*",수납!$E:$E,""))</f>
        <v/>
      </c>
      <c r="D196" s="14">
        <f>IF(원생!$A194="","",SUMIFS(수납!$F:$F,수납!$C:$C,원생!$A194,수납!$D:$D,IF(원생!$G194="","",원생!$G194),수납!$B:$B,$B$1&amp;"-"&amp;TEXT(2,"00")&amp;"*",수납!$E:$E,"수강료")+SUMIFS(수납!$F:$F,수납!$C:$C,원생!$A194,수납!$D:$D,IF(원생!$G194="","",원생!$G194),수납!$B:$B,$B$1&amp;"-"&amp;TEXT(2,"00")&amp;"*",수납!$E:$E,""))</f>
        <v/>
      </c>
      <c r="E196" s="14">
        <f>IF(원생!$A194="","",SUMIFS(수납!$F:$F,수납!$C:$C,원생!$A194,수납!$D:$D,IF(원생!$G194="","",원생!$G194),수납!$B:$B,$B$1&amp;"-"&amp;TEXT(3,"00")&amp;"*",수납!$E:$E,"수강료")+SUMIFS(수납!$F:$F,수납!$C:$C,원생!$A194,수납!$D:$D,IF(원생!$G194="","",원생!$G194),수납!$B:$B,$B$1&amp;"-"&amp;TEXT(3,"00")&amp;"*",수납!$E:$E,""))</f>
        <v/>
      </c>
      <c r="F196" s="14">
        <f>IF(원생!$A194="","",SUMIFS(수납!$F:$F,수납!$C:$C,원생!$A194,수납!$D:$D,IF(원생!$G194="","",원생!$G194),수납!$B:$B,$B$1&amp;"-"&amp;TEXT(4,"00")&amp;"*",수납!$E:$E,"수강료")+SUMIFS(수납!$F:$F,수납!$C:$C,원생!$A194,수납!$D:$D,IF(원생!$G194="","",원생!$G194),수납!$B:$B,$B$1&amp;"-"&amp;TEXT(4,"00")&amp;"*",수납!$E:$E,""))</f>
        <v/>
      </c>
      <c r="G196" s="14">
        <f>IF(원생!$A194="","",SUMIFS(수납!$F:$F,수납!$C:$C,원생!$A194,수납!$D:$D,IF(원생!$G194="","",원생!$G194),수납!$B:$B,$B$1&amp;"-"&amp;TEXT(5,"00")&amp;"*",수납!$E:$E,"수강료")+SUMIFS(수납!$F:$F,수납!$C:$C,원생!$A194,수납!$D:$D,IF(원생!$G194="","",원생!$G194),수납!$B:$B,$B$1&amp;"-"&amp;TEXT(5,"00")&amp;"*",수납!$E:$E,""))</f>
        <v/>
      </c>
      <c r="H196" s="14">
        <f>IF(원생!$A194="","",SUMIFS(수납!$F:$F,수납!$C:$C,원생!$A194,수납!$D:$D,IF(원생!$G194="","",원생!$G194),수납!$B:$B,$B$1&amp;"-"&amp;TEXT(6,"00")&amp;"*",수납!$E:$E,"수강료")+SUMIFS(수납!$F:$F,수납!$C:$C,원생!$A194,수납!$D:$D,IF(원생!$G194="","",원생!$G194),수납!$B:$B,$B$1&amp;"-"&amp;TEXT(6,"00")&amp;"*",수납!$E:$E,""))</f>
        <v/>
      </c>
      <c r="I196" s="14">
        <f>IF(원생!$A194="","",SUMIFS(수납!$F:$F,수납!$C:$C,원생!$A194,수납!$D:$D,IF(원생!$G194="","",원생!$G194),수납!$B:$B,$B$1&amp;"-"&amp;TEXT(7,"00")&amp;"*",수납!$E:$E,"수강료")+SUMIFS(수납!$F:$F,수납!$C:$C,원생!$A194,수납!$D:$D,IF(원생!$G194="","",원생!$G194),수납!$B:$B,$B$1&amp;"-"&amp;TEXT(7,"00")&amp;"*",수납!$E:$E,""))</f>
        <v/>
      </c>
      <c r="J196" s="14">
        <f>IF(원생!$A194="","",SUMIFS(수납!$F:$F,수납!$C:$C,원생!$A194,수납!$D:$D,IF(원생!$G194="","",원생!$G194),수납!$B:$B,$B$1&amp;"-"&amp;TEXT(8,"00")&amp;"*",수납!$E:$E,"수강료")+SUMIFS(수납!$F:$F,수납!$C:$C,원생!$A194,수납!$D:$D,IF(원생!$G194="","",원생!$G194),수납!$B:$B,$B$1&amp;"-"&amp;TEXT(8,"00")&amp;"*",수납!$E:$E,""))</f>
        <v/>
      </c>
      <c r="K196" s="14">
        <f>IF(원생!$A194="","",SUMIFS(수납!$F:$F,수납!$C:$C,원생!$A194,수납!$D:$D,IF(원생!$G194="","",원생!$G194),수납!$B:$B,$B$1&amp;"-"&amp;TEXT(9,"00")&amp;"*",수납!$E:$E,"수강료")+SUMIFS(수납!$F:$F,수납!$C:$C,원생!$A194,수납!$D:$D,IF(원생!$G194="","",원생!$G194),수납!$B:$B,$B$1&amp;"-"&amp;TEXT(9,"00")&amp;"*",수납!$E:$E,""))</f>
        <v/>
      </c>
      <c r="L196" s="14">
        <f>IF(원생!$A194="","",SUMIFS(수납!$F:$F,수납!$C:$C,원생!$A194,수납!$D:$D,IF(원생!$G194="","",원생!$G194),수납!$B:$B,$B$1&amp;"-"&amp;TEXT(10,"00")&amp;"*",수납!$E:$E,"수강료")+SUMIFS(수납!$F:$F,수납!$C:$C,원생!$A194,수납!$D:$D,IF(원생!$G194="","",원생!$G194),수납!$B:$B,$B$1&amp;"-"&amp;TEXT(10,"00")&amp;"*",수납!$E:$E,""))</f>
        <v/>
      </c>
      <c r="M196" s="14">
        <f>IF(원생!$A194="","",SUMIFS(수납!$F:$F,수납!$C:$C,원생!$A194,수납!$D:$D,IF(원생!$G194="","",원생!$G194),수납!$B:$B,$B$1&amp;"-"&amp;TEXT(11,"00")&amp;"*",수납!$E:$E,"수강료")+SUMIFS(수납!$F:$F,수납!$C:$C,원생!$A194,수납!$D:$D,IF(원생!$G194="","",원생!$G194),수납!$B:$B,$B$1&amp;"-"&amp;TEXT(11,"00")&amp;"*",수납!$E:$E,""))</f>
        <v/>
      </c>
      <c r="N196" s="14">
        <f>IF(원생!$A194="","",SUMIFS(수납!$F:$F,수납!$C:$C,원생!$A194,수납!$D:$D,IF(원생!$G194="","",원생!$G194),수납!$B:$B,$B$1&amp;"-"&amp;TEXT(12,"00")&amp;"*",수납!$E:$E,"수강료")+SUMIFS(수납!$F:$F,수납!$C:$C,원생!$A194,수납!$D:$D,IF(원생!$G194="","",원생!$G194),수납!$B:$B,$B$1&amp;"-"&amp;TEXT(12,"00")&amp;"*",수납!$E:$E,""))</f>
        <v/>
      </c>
      <c r="O196">
        <f>IF(원생!$I194="","",원생!$I194)</f>
        <v/>
      </c>
      <c r="P196">
        <f>IF($A196="","",IF(AND($B196&gt;0,C196&lt;$B196,DATE($B$1,1,1)&lt;=TODAY(),OR($O196="",$O196&gt;=DATE($B$1,1,1)),OR(COUNTIF($C196:C196,"&gt;0")&gt;0,DATE($B$1,1,1)=DATE(YEAR(TODAY()),MONTH(TODAY()),1))),1,0))</f>
        <v/>
      </c>
      <c r="Q196">
        <f>IF($A196="","",IF(AND($B196&gt;0,D196&lt;$B196,DATE($B$1,2,1)&lt;=TODAY(),OR($O196="",$O196&gt;=DATE($B$1,2,1)),OR(COUNTIF($C196:D196,"&gt;0")&gt;0,DATE($B$1,2,1)=DATE(YEAR(TODAY()),MONTH(TODAY()),1))),1,0))</f>
        <v/>
      </c>
      <c r="R196">
        <f>IF($A196="","",IF(AND($B196&gt;0,E196&lt;$B196,DATE($B$1,3,1)&lt;=TODAY(),OR($O196="",$O196&gt;=DATE($B$1,3,1)),OR(COUNTIF($C196:E196,"&gt;0")&gt;0,DATE($B$1,3,1)=DATE(YEAR(TODAY()),MONTH(TODAY()),1))),1,0))</f>
        <v/>
      </c>
      <c r="S196">
        <f>IF($A196="","",IF(AND($B196&gt;0,F196&lt;$B196,DATE($B$1,4,1)&lt;=TODAY(),OR($O196="",$O196&gt;=DATE($B$1,4,1)),OR(COUNTIF($C196:F196,"&gt;0")&gt;0,DATE($B$1,4,1)=DATE(YEAR(TODAY()),MONTH(TODAY()),1))),1,0))</f>
        <v/>
      </c>
      <c r="T196">
        <f>IF($A196="","",IF(AND($B196&gt;0,G196&lt;$B196,DATE($B$1,5,1)&lt;=TODAY(),OR($O196="",$O196&gt;=DATE($B$1,5,1)),OR(COUNTIF($C196:G196,"&gt;0")&gt;0,DATE($B$1,5,1)=DATE(YEAR(TODAY()),MONTH(TODAY()),1))),1,0))</f>
        <v/>
      </c>
      <c r="U196">
        <f>IF($A196="","",IF(AND($B196&gt;0,H196&lt;$B196,DATE($B$1,6,1)&lt;=TODAY(),OR($O196="",$O196&gt;=DATE($B$1,6,1)),OR(COUNTIF($C196:H196,"&gt;0")&gt;0,DATE($B$1,6,1)=DATE(YEAR(TODAY()),MONTH(TODAY()),1))),1,0))</f>
        <v/>
      </c>
      <c r="V196">
        <f>IF($A196="","",IF(AND($B196&gt;0,I196&lt;$B196,DATE($B$1,7,1)&lt;=TODAY(),OR($O196="",$O196&gt;=DATE($B$1,7,1)),OR(COUNTIF($C196:I196,"&gt;0")&gt;0,DATE($B$1,7,1)=DATE(YEAR(TODAY()),MONTH(TODAY()),1))),1,0))</f>
        <v/>
      </c>
      <c r="W196">
        <f>IF($A196="","",IF(AND($B196&gt;0,J196&lt;$B196,DATE($B$1,8,1)&lt;=TODAY(),OR($O196="",$O196&gt;=DATE($B$1,8,1)),OR(COUNTIF($C196:J196,"&gt;0")&gt;0,DATE($B$1,8,1)=DATE(YEAR(TODAY()),MONTH(TODAY()),1))),1,0))</f>
        <v/>
      </c>
      <c r="X196">
        <f>IF($A196="","",IF(AND($B196&gt;0,K196&lt;$B196,DATE($B$1,9,1)&lt;=TODAY(),OR($O196="",$O196&gt;=DATE($B$1,9,1)),OR(COUNTIF($C196:K196,"&gt;0")&gt;0,DATE($B$1,9,1)=DATE(YEAR(TODAY()),MONTH(TODAY()),1))),1,0))</f>
        <v/>
      </c>
      <c r="Y196">
        <f>IF($A196="","",IF(AND($B196&gt;0,L196&lt;$B196,DATE($B$1,10,1)&lt;=TODAY(),OR($O196="",$O196&gt;=DATE($B$1,10,1)),OR(COUNTIF($C196:L196,"&gt;0")&gt;0,DATE($B$1,10,1)=DATE(YEAR(TODAY()),MONTH(TODAY()),1))),1,0))</f>
        <v/>
      </c>
      <c r="Z196">
        <f>IF($A196="","",IF(AND($B196&gt;0,M196&lt;$B196,DATE($B$1,11,1)&lt;=TODAY(),OR($O196="",$O196&gt;=DATE($B$1,11,1)),OR(COUNTIF($C196:M196,"&gt;0")&gt;0,DATE($B$1,11,1)=DATE(YEAR(TODAY()),MONTH(TODAY()),1))),1,0))</f>
        <v/>
      </c>
      <c r="AA196">
        <f>IF($A196="","",IF(AND($B196&gt;0,N196&lt;$B196,DATE($B$1,12,1)&lt;=TODAY(),OR($O196="",$O196&gt;=DATE($B$1,12,1)),OR(COUNTIF($C196:N196,"&gt;0")&gt;0,DATE($B$1,12,1)=DATE(YEAR(TODAY()),MONTH(TODAY()),1))),1,0))</f>
        <v/>
      </c>
    </row>
    <row r="197">
      <c r="A197" s="13">
        <f>IF(원생!$A195="","",원생!$A195&amp;IF(원생!$G195="",""," ("&amp;원생!$G195&amp;")"))</f>
        <v/>
      </c>
      <c r="B197" s="8">
        <f>IF(원생!$A195="","",원생!$F195)</f>
        <v/>
      </c>
      <c r="C197" s="14">
        <f>IF(원생!$A195="","",SUMIFS(수납!$F:$F,수납!$C:$C,원생!$A195,수납!$D:$D,IF(원생!$G195="","",원생!$G195),수납!$B:$B,$B$1&amp;"-"&amp;TEXT(1,"00")&amp;"*",수납!$E:$E,"수강료")+SUMIFS(수납!$F:$F,수납!$C:$C,원생!$A195,수납!$D:$D,IF(원생!$G195="","",원생!$G195),수납!$B:$B,$B$1&amp;"-"&amp;TEXT(1,"00")&amp;"*",수납!$E:$E,""))</f>
        <v/>
      </c>
      <c r="D197" s="14">
        <f>IF(원생!$A195="","",SUMIFS(수납!$F:$F,수납!$C:$C,원생!$A195,수납!$D:$D,IF(원생!$G195="","",원생!$G195),수납!$B:$B,$B$1&amp;"-"&amp;TEXT(2,"00")&amp;"*",수납!$E:$E,"수강료")+SUMIFS(수납!$F:$F,수납!$C:$C,원생!$A195,수납!$D:$D,IF(원생!$G195="","",원생!$G195),수납!$B:$B,$B$1&amp;"-"&amp;TEXT(2,"00")&amp;"*",수납!$E:$E,""))</f>
        <v/>
      </c>
      <c r="E197" s="14">
        <f>IF(원생!$A195="","",SUMIFS(수납!$F:$F,수납!$C:$C,원생!$A195,수납!$D:$D,IF(원생!$G195="","",원생!$G195),수납!$B:$B,$B$1&amp;"-"&amp;TEXT(3,"00")&amp;"*",수납!$E:$E,"수강료")+SUMIFS(수납!$F:$F,수납!$C:$C,원생!$A195,수납!$D:$D,IF(원생!$G195="","",원생!$G195),수납!$B:$B,$B$1&amp;"-"&amp;TEXT(3,"00")&amp;"*",수납!$E:$E,""))</f>
        <v/>
      </c>
      <c r="F197" s="14">
        <f>IF(원생!$A195="","",SUMIFS(수납!$F:$F,수납!$C:$C,원생!$A195,수납!$D:$D,IF(원생!$G195="","",원생!$G195),수납!$B:$B,$B$1&amp;"-"&amp;TEXT(4,"00")&amp;"*",수납!$E:$E,"수강료")+SUMIFS(수납!$F:$F,수납!$C:$C,원생!$A195,수납!$D:$D,IF(원생!$G195="","",원생!$G195),수납!$B:$B,$B$1&amp;"-"&amp;TEXT(4,"00")&amp;"*",수납!$E:$E,""))</f>
        <v/>
      </c>
      <c r="G197" s="14">
        <f>IF(원생!$A195="","",SUMIFS(수납!$F:$F,수납!$C:$C,원생!$A195,수납!$D:$D,IF(원생!$G195="","",원생!$G195),수납!$B:$B,$B$1&amp;"-"&amp;TEXT(5,"00")&amp;"*",수납!$E:$E,"수강료")+SUMIFS(수납!$F:$F,수납!$C:$C,원생!$A195,수납!$D:$D,IF(원생!$G195="","",원생!$G195),수납!$B:$B,$B$1&amp;"-"&amp;TEXT(5,"00")&amp;"*",수납!$E:$E,""))</f>
        <v/>
      </c>
      <c r="H197" s="14">
        <f>IF(원생!$A195="","",SUMIFS(수납!$F:$F,수납!$C:$C,원생!$A195,수납!$D:$D,IF(원생!$G195="","",원생!$G195),수납!$B:$B,$B$1&amp;"-"&amp;TEXT(6,"00")&amp;"*",수납!$E:$E,"수강료")+SUMIFS(수납!$F:$F,수납!$C:$C,원생!$A195,수납!$D:$D,IF(원생!$G195="","",원생!$G195),수납!$B:$B,$B$1&amp;"-"&amp;TEXT(6,"00")&amp;"*",수납!$E:$E,""))</f>
        <v/>
      </c>
      <c r="I197" s="14">
        <f>IF(원생!$A195="","",SUMIFS(수납!$F:$F,수납!$C:$C,원생!$A195,수납!$D:$D,IF(원생!$G195="","",원생!$G195),수납!$B:$B,$B$1&amp;"-"&amp;TEXT(7,"00")&amp;"*",수납!$E:$E,"수강료")+SUMIFS(수납!$F:$F,수납!$C:$C,원생!$A195,수납!$D:$D,IF(원생!$G195="","",원생!$G195),수납!$B:$B,$B$1&amp;"-"&amp;TEXT(7,"00")&amp;"*",수납!$E:$E,""))</f>
        <v/>
      </c>
      <c r="J197" s="14">
        <f>IF(원생!$A195="","",SUMIFS(수납!$F:$F,수납!$C:$C,원생!$A195,수납!$D:$D,IF(원생!$G195="","",원생!$G195),수납!$B:$B,$B$1&amp;"-"&amp;TEXT(8,"00")&amp;"*",수납!$E:$E,"수강료")+SUMIFS(수납!$F:$F,수납!$C:$C,원생!$A195,수납!$D:$D,IF(원생!$G195="","",원생!$G195),수납!$B:$B,$B$1&amp;"-"&amp;TEXT(8,"00")&amp;"*",수납!$E:$E,""))</f>
        <v/>
      </c>
      <c r="K197" s="14">
        <f>IF(원생!$A195="","",SUMIFS(수납!$F:$F,수납!$C:$C,원생!$A195,수납!$D:$D,IF(원생!$G195="","",원생!$G195),수납!$B:$B,$B$1&amp;"-"&amp;TEXT(9,"00")&amp;"*",수납!$E:$E,"수강료")+SUMIFS(수납!$F:$F,수납!$C:$C,원생!$A195,수납!$D:$D,IF(원생!$G195="","",원생!$G195),수납!$B:$B,$B$1&amp;"-"&amp;TEXT(9,"00")&amp;"*",수납!$E:$E,""))</f>
        <v/>
      </c>
      <c r="L197" s="14">
        <f>IF(원생!$A195="","",SUMIFS(수납!$F:$F,수납!$C:$C,원생!$A195,수납!$D:$D,IF(원생!$G195="","",원생!$G195),수납!$B:$B,$B$1&amp;"-"&amp;TEXT(10,"00")&amp;"*",수납!$E:$E,"수강료")+SUMIFS(수납!$F:$F,수납!$C:$C,원생!$A195,수납!$D:$D,IF(원생!$G195="","",원생!$G195),수납!$B:$B,$B$1&amp;"-"&amp;TEXT(10,"00")&amp;"*",수납!$E:$E,""))</f>
        <v/>
      </c>
      <c r="M197" s="14">
        <f>IF(원생!$A195="","",SUMIFS(수납!$F:$F,수납!$C:$C,원생!$A195,수납!$D:$D,IF(원생!$G195="","",원생!$G195),수납!$B:$B,$B$1&amp;"-"&amp;TEXT(11,"00")&amp;"*",수납!$E:$E,"수강료")+SUMIFS(수납!$F:$F,수납!$C:$C,원생!$A195,수납!$D:$D,IF(원생!$G195="","",원생!$G195),수납!$B:$B,$B$1&amp;"-"&amp;TEXT(11,"00")&amp;"*",수납!$E:$E,""))</f>
        <v/>
      </c>
      <c r="N197" s="14">
        <f>IF(원생!$A195="","",SUMIFS(수납!$F:$F,수납!$C:$C,원생!$A195,수납!$D:$D,IF(원생!$G195="","",원생!$G195),수납!$B:$B,$B$1&amp;"-"&amp;TEXT(12,"00")&amp;"*",수납!$E:$E,"수강료")+SUMIFS(수납!$F:$F,수납!$C:$C,원생!$A195,수납!$D:$D,IF(원생!$G195="","",원생!$G195),수납!$B:$B,$B$1&amp;"-"&amp;TEXT(12,"00")&amp;"*",수납!$E:$E,""))</f>
        <v/>
      </c>
      <c r="O197">
        <f>IF(원생!$I195="","",원생!$I195)</f>
        <v/>
      </c>
      <c r="P197">
        <f>IF($A197="","",IF(AND($B197&gt;0,C197&lt;$B197,DATE($B$1,1,1)&lt;=TODAY(),OR($O197="",$O197&gt;=DATE($B$1,1,1)),OR(COUNTIF($C197:C197,"&gt;0")&gt;0,DATE($B$1,1,1)=DATE(YEAR(TODAY()),MONTH(TODAY()),1))),1,0))</f>
        <v/>
      </c>
      <c r="Q197">
        <f>IF($A197="","",IF(AND($B197&gt;0,D197&lt;$B197,DATE($B$1,2,1)&lt;=TODAY(),OR($O197="",$O197&gt;=DATE($B$1,2,1)),OR(COUNTIF($C197:D197,"&gt;0")&gt;0,DATE($B$1,2,1)=DATE(YEAR(TODAY()),MONTH(TODAY()),1))),1,0))</f>
        <v/>
      </c>
      <c r="R197">
        <f>IF($A197="","",IF(AND($B197&gt;0,E197&lt;$B197,DATE($B$1,3,1)&lt;=TODAY(),OR($O197="",$O197&gt;=DATE($B$1,3,1)),OR(COUNTIF($C197:E197,"&gt;0")&gt;0,DATE($B$1,3,1)=DATE(YEAR(TODAY()),MONTH(TODAY()),1))),1,0))</f>
        <v/>
      </c>
      <c r="S197">
        <f>IF($A197="","",IF(AND($B197&gt;0,F197&lt;$B197,DATE($B$1,4,1)&lt;=TODAY(),OR($O197="",$O197&gt;=DATE($B$1,4,1)),OR(COUNTIF($C197:F197,"&gt;0")&gt;0,DATE($B$1,4,1)=DATE(YEAR(TODAY()),MONTH(TODAY()),1))),1,0))</f>
        <v/>
      </c>
      <c r="T197">
        <f>IF($A197="","",IF(AND($B197&gt;0,G197&lt;$B197,DATE($B$1,5,1)&lt;=TODAY(),OR($O197="",$O197&gt;=DATE($B$1,5,1)),OR(COUNTIF($C197:G197,"&gt;0")&gt;0,DATE($B$1,5,1)=DATE(YEAR(TODAY()),MONTH(TODAY()),1))),1,0))</f>
        <v/>
      </c>
      <c r="U197">
        <f>IF($A197="","",IF(AND($B197&gt;0,H197&lt;$B197,DATE($B$1,6,1)&lt;=TODAY(),OR($O197="",$O197&gt;=DATE($B$1,6,1)),OR(COUNTIF($C197:H197,"&gt;0")&gt;0,DATE($B$1,6,1)=DATE(YEAR(TODAY()),MONTH(TODAY()),1))),1,0))</f>
        <v/>
      </c>
      <c r="V197">
        <f>IF($A197="","",IF(AND($B197&gt;0,I197&lt;$B197,DATE($B$1,7,1)&lt;=TODAY(),OR($O197="",$O197&gt;=DATE($B$1,7,1)),OR(COUNTIF($C197:I197,"&gt;0")&gt;0,DATE($B$1,7,1)=DATE(YEAR(TODAY()),MONTH(TODAY()),1))),1,0))</f>
        <v/>
      </c>
      <c r="W197">
        <f>IF($A197="","",IF(AND($B197&gt;0,J197&lt;$B197,DATE($B$1,8,1)&lt;=TODAY(),OR($O197="",$O197&gt;=DATE($B$1,8,1)),OR(COUNTIF($C197:J197,"&gt;0")&gt;0,DATE($B$1,8,1)=DATE(YEAR(TODAY()),MONTH(TODAY()),1))),1,0))</f>
        <v/>
      </c>
      <c r="X197">
        <f>IF($A197="","",IF(AND($B197&gt;0,K197&lt;$B197,DATE($B$1,9,1)&lt;=TODAY(),OR($O197="",$O197&gt;=DATE($B$1,9,1)),OR(COUNTIF($C197:K197,"&gt;0")&gt;0,DATE($B$1,9,1)=DATE(YEAR(TODAY()),MONTH(TODAY()),1))),1,0))</f>
        <v/>
      </c>
      <c r="Y197">
        <f>IF($A197="","",IF(AND($B197&gt;0,L197&lt;$B197,DATE($B$1,10,1)&lt;=TODAY(),OR($O197="",$O197&gt;=DATE($B$1,10,1)),OR(COUNTIF($C197:L197,"&gt;0")&gt;0,DATE($B$1,10,1)=DATE(YEAR(TODAY()),MONTH(TODAY()),1))),1,0))</f>
        <v/>
      </c>
      <c r="Z197">
        <f>IF($A197="","",IF(AND($B197&gt;0,M197&lt;$B197,DATE($B$1,11,1)&lt;=TODAY(),OR($O197="",$O197&gt;=DATE($B$1,11,1)),OR(COUNTIF($C197:M197,"&gt;0")&gt;0,DATE($B$1,11,1)=DATE(YEAR(TODAY()),MONTH(TODAY()),1))),1,0))</f>
        <v/>
      </c>
      <c r="AA197">
        <f>IF($A197="","",IF(AND($B197&gt;0,N197&lt;$B197,DATE($B$1,12,1)&lt;=TODAY(),OR($O197="",$O197&gt;=DATE($B$1,12,1)),OR(COUNTIF($C197:N197,"&gt;0")&gt;0,DATE($B$1,12,1)=DATE(YEAR(TODAY()),MONTH(TODAY()),1))),1,0))</f>
        <v/>
      </c>
    </row>
    <row r="198">
      <c r="A198" s="13">
        <f>IF(원생!$A196="","",원생!$A196&amp;IF(원생!$G196="",""," ("&amp;원생!$G196&amp;")"))</f>
        <v/>
      </c>
      <c r="B198" s="8">
        <f>IF(원생!$A196="","",원생!$F196)</f>
        <v/>
      </c>
      <c r="C198" s="14">
        <f>IF(원생!$A196="","",SUMIFS(수납!$F:$F,수납!$C:$C,원생!$A196,수납!$D:$D,IF(원생!$G196="","",원생!$G196),수납!$B:$B,$B$1&amp;"-"&amp;TEXT(1,"00")&amp;"*",수납!$E:$E,"수강료")+SUMIFS(수납!$F:$F,수납!$C:$C,원생!$A196,수납!$D:$D,IF(원생!$G196="","",원생!$G196),수납!$B:$B,$B$1&amp;"-"&amp;TEXT(1,"00")&amp;"*",수납!$E:$E,""))</f>
        <v/>
      </c>
      <c r="D198" s="14">
        <f>IF(원생!$A196="","",SUMIFS(수납!$F:$F,수납!$C:$C,원생!$A196,수납!$D:$D,IF(원생!$G196="","",원생!$G196),수납!$B:$B,$B$1&amp;"-"&amp;TEXT(2,"00")&amp;"*",수납!$E:$E,"수강료")+SUMIFS(수납!$F:$F,수납!$C:$C,원생!$A196,수납!$D:$D,IF(원생!$G196="","",원생!$G196),수납!$B:$B,$B$1&amp;"-"&amp;TEXT(2,"00")&amp;"*",수납!$E:$E,""))</f>
        <v/>
      </c>
      <c r="E198" s="14">
        <f>IF(원생!$A196="","",SUMIFS(수납!$F:$F,수납!$C:$C,원생!$A196,수납!$D:$D,IF(원생!$G196="","",원생!$G196),수납!$B:$B,$B$1&amp;"-"&amp;TEXT(3,"00")&amp;"*",수납!$E:$E,"수강료")+SUMIFS(수납!$F:$F,수납!$C:$C,원생!$A196,수납!$D:$D,IF(원생!$G196="","",원생!$G196),수납!$B:$B,$B$1&amp;"-"&amp;TEXT(3,"00")&amp;"*",수납!$E:$E,""))</f>
        <v/>
      </c>
      <c r="F198" s="14">
        <f>IF(원생!$A196="","",SUMIFS(수납!$F:$F,수납!$C:$C,원생!$A196,수납!$D:$D,IF(원생!$G196="","",원생!$G196),수납!$B:$B,$B$1&amp;"-"&amp;TEXT(4,"00")&amp;"*",수납!$E:$E,"수강료")+SUMIFS(수납!$F:$F,수납!$C:$C,원생!$A196,수납!$D:$D,IF(원생!$G196="","",원생!$G196),수납!$B:$B,$B$1&amp;"-"&amp;TEXT(4,"00")&amp;"*",수납!$E:$E,""))</f>
        <v/>
      </c>
      <c r="G198" s="14">
        <f>IF(원생!$A196="","",SUMIFS(수납!$F:$F,수납!$C:$C,원생!$A196,수납!$D:$D,IF(원생!$G196="","",원생!$G196),수납!$B:$B,$B$1&amp;"-"&amp;TEXT(5,"00")&amp;"*",수납!$E:$E,"수강료")+SUMIFS(수납!$F:$F,수납!$C:$C,원생!$A196,수납!$D:$D,IF(원생!$G196="","",원생!$G196),수납!$B:$B,$B$1&amp;"-"&amp;TEXT(5,"00")&amp;"*",수납!$E:$E,""))</f>
        <v/>
      </c>
      <c r="H198" s="14">
        <f>IF(원생!$A196="","",SUMIFS(수납!$F:$F,수납!$C:$C,원생!$A196,수납!$D:$D,IF(원생!$G196="","",원생!$G196),수납!$B:$B,$B$1&amp;"-"&amp;TEXT(6,"00")&amp;"*",수납!$E:$E,"수강료")+SUMIFS(수납!$F:$F,수납!$C:$C,원생!$A196,수납!$D:$D,IF(원생!$G196="","",원생!$G196),수납!$B:$B,$B$1&amp;"-"&amp;TEXT(6,"00")&amp;"*",수납!$E:$E,""))</f>
        <v/>
      </c>
      <c r="I198" s="14">
        <f>IF(원생!$A196="","",SUMIFS(수납!$F:$F,수납!$C:$C,원생!$A196,수납!$D:$D,IF(원생!$G196="","",원생!$G196),수납!$B:$B,$B$1&amp;"-"&amp;TEXT(7,"00")&amp;"*",수납!$E:$E,"수강료")+SUMIFS(수납!$F:$F,수납!$C:$C,원생!$A196,수납!$D:$D,IF(원생!$G196="","",원생!$G196),수납!$B:$B,$B$1&amp;"-"&amp;TEXT(7,"00")&amp;"*",수납!$E:$E,""))</f>
        <v/>
      </c>
      <c r="J198" s="14">
        <f>IF(원생!$A196="","",SUMIFS(수납!$F:$F,수납!$C:$C,원생!$A196,수납!$D:$D,IF(원생!$G196="","",원생!$G196),수납!$B:$B,$B$1&amp;"-"&amp;TEXT(8,"00")&amp;"*",수납!$E:$E,"수강료")+SUMIFS(수납!$F:$F,수납!$C:$C,원생!$A196,수납!$D:$D,IF(원생!$G196="","",원생!$G196),수납!$B:$B,$B$1&amp;"-"&amp;TEXT(8,"00")&amp;"*",수납!$E:$E,""))</f>
        <v/>
      </c>
      <c r="K198" s="14">
        <f>IF(원생!$A196="","",SUMIFS(수납!$F:$F,수납!$C:$C,원생!$A196,수납!$D:$D,IF(원생!$G196="","",원생!$G196),수납!$B:$B,$B$1&amp;"-"&amp;TEXT(9,"00")&amp;"*",수납!$E:$E,"수강료")+SUMIFS(수납!$F:$F,수납!$C:$C,원생!$A196,수납!$D:$D,IF(원생!$G196="","",원생!$G196),수납!$B:$B,$B$1&amp;"-"&amp;TEXT(9,"00")&amp;"*",수납!$E:$E,""))</f>
        <v/>
      </c>
      <c r="L198" s="14">
        <f>IF(원생!$A196="","",SUMIFS(수납!$F:$F,수납!$C:$C,원생!$A196,수납!$D:$D,IF(원생!$G196="","",원생!$G196),수납!$B:$B,$B$1&amp;"-"&amp;TEXT(10,"00")&amp;"*",수납!$E:$E,"수강료")+SUMIFS(수납!$F:$F,수납!$C:$C,원생!$A196,수납!$D:$D,IF(원생!$G196="","",원생!$G196),수납!$B:$B,$B$1&amp;"-"&amp;TEXT(10,"00")&amp;"*",수납!$E:$E,""))</f>
        <v/>
      </c>
      <c r="M198" s="14">
        <f>IF(원생!$A196="","",SUMIFS(수납!$F:$F,수납!$C:$C,원생!$A196,수납!$D:$D,IF(원생!$G196="","",원생!$G196),수납!$B:$B,$B$1&amp;"-"&amp;TEXT(11,"00")&amp;"*",수납!$E:$E,"수강료")+SUMIFS(수납!$F:$F,수납!$C:$C,원생!$A196,수납!$D:$D,IF(원생!$G196="","",원생!$G196),수납!$B:$B,$B$1&amp;"-"&amp;TEXT(11,"00")&amp;"*",수납!$E:$E,""))</f>
        <v/>
      </c>
      <c r="N198" s="14">
        <f>IF(원생!$A196="","",SUMIFS(수납!$F:$F,수납!$C:$C,원생!$A196,수납!$D:$D,IF(원생!$G196="","",원생!$G196),수납!$B:$B,$B$1&amp;"-"&amp;TEXT(12,"00")&amp;"*",수납!$E:$E,"수강료")+SUMIFS(수납!$F:$F,수납!$C:$C,원생!$A196,수납!$D:$D,IF(원생!$G196="","",원생!$G196),수납!$B:$B,$B$1&amp;"-"&amp;TEXT(12,"00")&amp;"*",수납!$E:$E,""))</f>
        <v/>
      </c>
      <c r="O198">
        <f>IF(원생!$I196="","",원생!$I196)</f>
        <v/>
      </c>
      <c r="P198">
        <f>IF($A198="","",IF(AND($B198&gt;0,C198&lt;$B198,DATE($B$1,1,1)&lt;=TODAY(),OR($O198="",$O198&gt;=DATE($B$1,1,1)),OR(COUNTIF($C198:C198,"&gt;0")&gt;0,DATE($B$1,1,1)=DATE(YEAR(TODAY()),MONTH(TODAY()),1))),1,0))</f>
        <v/>
      </c>
      <c r="Q198">
        <f>IF($A198="","",IF(AND($B198&gt;0,D198&lt;$B198,DATE($B$1,2,1)&lt;=TODAY(),OR($O198="",$O198&gt;=DATE($B$1,2,1)),OR(COUNTIF($C198:D198,"&gt;0")&gt;0,DATE($B$1,2,1)=DATE(YEAR(TODAY()),MONTH(TODAY()),1))),1,0))</f>
        <v/>
      </c>
      <c r="R198">
        <f>IF($A198="","",IF(AND($B198&gt;0,E198&lt;$B198,DATE($B$1,3,1)&lt;=TODAY(),OR($O198="",$O198&gt;=DATE($B$1,3,1)),OR(COUNTIF($C198:E198,"&gt;0")&gt;0,DATE($B$1,3,1)=DATE(YEAR(TODAY()),MONTH(TODAY()),1))),1,0))</f>
        <v/>
      </c>
      <c r="S198">
        <f>IF($A198="","",IF(AND($B198&gt;0,F198&lt;$B198,DATE($B$1,4,1)&lt;=TODAY(),OR($O198="",$O198&gt;=DATE($B$1,4,1)),OR(COUNTIF($C198:F198,"&gt;0")&gt;0,DATE($B$1,4,1)=DATE(YEAR(TODAY()),MONTH(TODAY()),1))),1,0))</f>
        <v/>
      </c>
      <c r="T198">
        <f>IF($A198="","",IF(AND($B198&gt;0,G198&lt;$B198,DATE($B$1,5,1)&lt;=TODAY(),OR($O198="",$O198&gt;=DATE($B$1,5,1)),OR(COUNTIF($C198:G198,"&gt;0")&gt;0,DATE($B$1,5,1)=DATE(YEAR(TODAY()),MONTH(TODAY()),1))),1,0))</f>
        <v/>
      </c>
      <c r="U198">
        <f>IF($A198="","",IF(AND($B198&gt;0,H198&lt;$B198,DATE($B$1,6,1)&lt;=TODAY(),OR($O198="",$O198&gt;=DATE($B$1,6,1)),OR(COUNTIF($C198:H198,"&gt;0")&gt;0,DATE($B$1,6,1)=DATE(YEAR(TODAY()),MONTH(TODAY()),1))),1,0))</f>
        <v/>
      </c>
      <c r="V198">
        <f>IF($A198="","",IF(AND($B198&gt;0,I198&lt;$B198,DATE($B$1,7,1)&lt;=TODAY(),OR($O198="",$O198&gt;=DATE($B$1,7,1)),OR(COUNTIF($C198:I198,"&gt;0")&gt;0,DATE($B$1,7,1)=DATE(YEAR(TODAY()),MONTH(TODAY()),1))),1,0))</f>
        <v/>
      </c>
      <c r="W198">
        <f>IF($A198="","",IF(AND($B198&gt;0,J198&lt;$B198,DATE($B$1,8,1)&lt;=TODAY(),OR($O198="",$O198&gt;=DATE($B$1,8,1)),OR(COUNTIF($C198:J198,"&gt;0")&gt;0,DATE($B$1,8,1)=DATE(YEAR(TODAY()),MONTH(TODAY()),1))),1,0))</f>
        <v/>
      </c>
      <c r="X198">
        <f>IF($A198="","",IF(AND($B198&gt;0,K198&lt;$B198,DATE($B$1,9,1)&lt;=TODAY(),OR($O198="",$O198&gt;=DATE($B$1,9,1)),OR(COUNTIF($C198:K198,"&gt;0")&gt;0,DATE($B$1,9,1)=DATE(YEAR(TODAY()),MONTH(TODAY()),1))),1,0))</f>
        <v/>
      </c>
      <c r="Y198">
        <f>IF($A198="","",IF(AND($B198&gt;0,L198&lt;$B198,DATE($B$1,10,1)&lt;=TODAY(),OR($O198="",$O198&gt;=DATE($B$1,10,1)),OR(COUNTIF($C198:L198,"&gt;0")&gt;0,DATE($B$1,10,1)=DATE(YEAR(TODAY()),MONTH(TODAY()),1))),1,0))</f>
        <v/>
      </c>
      <c r="Z198">
        <f>IF($A198="","",IF(AND($B198&gt;0,M198&lt;$B198,DATE($B$1,11,1)&lt;=TODAY(),OR($O198="",$O198&gt;=DATE($B$1,11,1)),OR(COUNTIF($C198:M198,"&gt;0")&gt;0,DATE($B$1,11,1)=DATE(YEAR(TODAY()),MONTH(TODAY()),1))),1,0))</f>
        <v/>
      </c>
      <c r="AA198">
        <f>IF($A198="","",IF(AND($B198&gt;0,N198&lt;$B198,DATE($B$1,12,1)&lt;=TODAY(),OR($O198="",$O198&gt;=DATE($B$1,12,1)),OR(COUNTIF($C198:N198,"&gt;0")&gt;0,DATE($B$1,12,1)=DATE(YEAR(TODAY()),MONTH(TODAY()),1))),1,0))</f>
        <v/>
      </c>
    </row>
    <row r="199">
      <c r="A199" s="13">
        <f>IF(원생!$A197="","",원생!$A197&amp;IF(원생!$G197="",""," ("&amp;원생!$G197&amp;")"))</f>
        <v/>
      </c>
      <c r="B199" s="8">
        <f>IF(원생!$A197="","",원생!$F197)</f>
        <v/>
      </c>
      <c r="C199" s="14">
        <f>IF(원생!$A197="","",SUMIFS(수납!$F:$F,수납!$C:$C,원생!$A197,수납!$D:$D,IF(원생!$G197="","",원생!$G197),수납!$B:$B,$B$1&amp;"-"&amp;TEXT(1,"00")&amp;"*",수납!$E:$E,"수강료")+SUMIFS(수납!$F:$F,수납!$C:$C,원생!$A197,수납!$D:$D,IF(원생!$G197="","",원생!$G197),수납!$B:$B,$B$1&amp;"-"&amp;TEXT(1,"00")&amp;"*",수납!$E:$E,""))</f>
        <v/>
      </c>
      <c r="D199" s="14">
        <f>IF(원생!$A197="","",SUMIFS(수납!$F:$F,수납!$C:$C,원생!$A197,수납!$D:$D,IF(원생!$G197="","",원생!$G197),수납!$B:$B,$B$1&amp;"-"&amp;TEXT(2,"00")&amp;"*",수납!$E:$E,"수강료")+SUMIFS(수납!$F:$F,수납!$C:$C,원생!$A197,수납!$D:$D,IF(원생!$G197="","",원생!$G197),수납!$B:$B,$B$1&amp;"-"&amp;TEXT(2,"00")&amp;"*",수납!$E:$E,""))</f>
        <v/>
      </c>
      <c r="E199" s="14">
        <f>IF(원생!$A197="","",SUMIFS(수납!$F:$F,수납!$C:$C,원생!$A197,수납!$D:$D,IF(원생!$G197="","",원생!$G197),수납!$B:$B,$B$1&amp;"-"&amp;TEXT(3,"00")&amp;"*",수납!$E:$E,"수강료")+SUMIFS(수납!$F:$F,수납!$C:$C,원생!$A197,수납!$D:$D,IF(원생!$G197="","",원생!$G197),수납!$B:$B,$B$1&amp;"-"&amp;TEXT(3,"00")&amp;"*",수납!$E:$E,""))</f>
        <v/>
      </c>
      <c r="F199" s="14">
        <f>IF(원생!$A197="","",SUMIFS(수납!$F:$F,수납!$C:$C,원생!$A197,수납!$D:$D,IF(원생!$G197="","",원생!$G197),수납!$B:$B,$B$1&amp;"-"&amp;TEXT(4,"00")&amp;"*",수납!$E:$E,"수강료")+SUMIFS(수납!$F:$F,수납!$C:$C,원생!$A197,수납!$D:$D,IF(원생!$G197="","",원생!$G197),수납!$B:$B,$B$1&amp;"-"&amp;TEXT(4,"00")&amp;"*",수납!$E:$E,""))</f>
        <v/>
      </c>
      <c r="G199" s="14">
        <f>IF(원생!$A197="","",SUMIFS(수납!$F:$F,수납!$C:$C,원생!$A197,수납!$D:$D,IF(원생!$G197="","",원생!$G197),수납!$B:$B,$B$1&amp;"-"&amp;TEXT(5,"00")&amp;"*",수납!$E:$E,"수강료")+SUMIFS(수납!$F:$F,수납!$C:$C,원생!$A197,수납!$D:$D,IF(원생!$G197="","",원생!$G197),수납!$B:$B,$B$1&amp;"-"&amp;TEXT(5,"00")&amp;"*",수납!$E:$E,""))</f>
        <v/>
      </c>
      <c r="H199" s="14">
        <f>IF(원생!$A197="","",SUMIFS(수납!$F:$F,수납!$C:$C,원생!$A197,수납!$D:$D,IF(원생!$G197="","",원생!$G197),수납!$B:$B,$B$1&amp;"-"&amp;TEXT(6,"00")&amp;"*",수납!$E:$E,"수강료")+SUMIFS(수납!$F:$F,수납!$C:$C,원생!$A197,수납!$D:$D,IF(원생!$G197="","",원생!$G197),수납!$B:$B,$B$1&amp;"-"&amp;TEXT(6,"00")&amp;"*",수납!$E:$E,""))</f>
        <v/>
      </c>
      <c r="I199" s="14">
        <f>IF(원생!$A197="","",SUMIFS(수납!$F:$F,수납!$C:$C,원생!$A197,수납!$D:$D,IF(원생!$G197="","",원생!$G197),수납!$B:$B,$B$1&amp;"-"&amp;TEXT(7,"00")&amp;"*",수납!$E:$E,"수강료")+SUMIFS(수납!$F:$F,수납!$C:$C,원생!$A197,수납!$D:$D,IF(원생!$G197="","",원생!$G197),수납!$B:$B,$B$1&amp;"-"&amp;TEXT(7,"00")&amp;"*",수납!$E:$E,""))</f>
        <v/>
      </c>
      <c r="J199" s="14">
        <f>IF(원생!$A197="","",SUMIFS(수납!$F:$F,수납!$C:$C,원생!$A197,수납!$D:$D,IF(원생!$G197="","",원생!$G197),수납!$B:$B,$B$1&amp;"-"&amp;TEXT(8,"00")&amp;"*",수납!$E:$E,"수강료")+SUMIFS(수납!$F:$F,수납!$C:$C,원생!$A197,수납!$D:$D,IF(원생!$G197="","",원생!$G197),수납!$B:$B,$B$1&amp;"-"&amp;TEXT(8,"00")&amp;"*",수납!$E:$E,""))</f>
        <v/>
      </c>
      <c r="K199" s="14">
        <f>IF(원생!$A197="","",SUMIFS(수납!$F:$F,수납!$C:$C,원생!$A197,수납!$D:$D,IF(원생!$G197="","",원생!$G197),수납!$B:$B,$B$1&amp;"-"&amp;TEXT(9,"00")&amp;"*",수납!$E:$E,"수강료")+SUMIFS(수납!$F:$F,수납!$C:$C,원생!$A197,수납!$D:$D,IF(원생!$G197="","",원생!$G197),수납!$B:$B,$B$1&amp;"-"&amp;TEXT(9,"00")&amp;"*",수납!$E:$E,""))</f>
        <v/>
      </c>
      <c r="L199" s="14">
        <f>IF(원생!$A197="","",SUMIFS(수납!$F:$F,수납!$C:$C,원생!$A197,수납!$D:$D,IF(원생!$G197="","",원생!$G197),수납!$B:$B,$B$1&amp;"-"&amp;TEXT(10,"00")&amp;"*",수납!$E:$E,"수강료")+SUMIFS(수납!$F:$F,수납!$C:$C,원생!$A197,수납!$D:$D,IF(원생!$G197="","",원생!$G197),수납!$B:$B,$B$1&amp;"-"&amp;TEXT(10,"00")&amp;"*",수납!$E:$E,""))</f>
        <v/>
      </c>
      <c r="M199" s="14">
        <f>IF(원생!$A197="","",SUMIFS(수납!$F:$F,수납!$C:$C,원생!$A197,수납!$D:$D,IF(원생!$G197="","",원생!$G197),수납!$B:$B,$B$1&amp;"-"&amp;TEXT(11,"00")&amp;"*",수납!$E:$E,"수강료")+SUMIFS(수납!$F:$F,수납!$C:$C,원생!$A197,수납!$D:$D,IF(원생!$G197="","",원생!$G197),수납!$B:$B,$B$1&amp;"-"&amp;TEXT(11,"00")&amp;"*",수납!$E:$E,""))</f>
        <v/>
      </c>
      <c r="N199" s="14">
        <f>IF(원생!$A197="","",SUMIFS(수납!$F:$F,수납!$C:$C,원생!$A197,수납!$D:$D,IF(원생!$G197="","",원생!$G197),수납!$B:$B,$B$1&amp;"-"&amp;TEXT(12,"00")&amp;"*",수납!$E:$E,"수강료")+SUMIFS(수납!$F:$F,수납!$C:$C,원생!$A197,수납!$D:$D,IF(원생!$G197="","",원생!$G197),수납!$B:$B,$B$1&amp;"-"&amp;TEXT(12,"00")&amp;"*",수납!$E:$E,""))</f>
        <v/>
      </c>
      <c r="O199">
        <f>IF(원생!$I197="","",원생!$I197)</f>
        <v/>
      </c>
      <c r="P199">
        <f>IF($A199="","",IF(AND($B199&gt;0,C199&lt;$B199,DATE($B$1,1,1)&lt;=TODAY(),OR($O199="",$O199&gt;=DATE($B$1,1,1)),OR(COUNTIF($C199:C199,"&gt;0")&gt;0,DATE($B$1,1,1)=DATE(YEAR(TODAY()),MONTH(TODAY()),1))),1,0))</f>
        <v/>
      </c>
      <c r="Q199">
        <f>IF($A199="","",IF(AND($B199&gt;0,D199&lt;$B199,DATE($B$1,2,1)&lt;=TODAY(),OR($O199="",$O199&gt;=DATE($B$1,2,1)),OR(COUNTIF($C199:D199,"&gt;0")&gt;0,DATE($B$1,2,1)=DATE(YEAR(TODAY()),MONTH(TODAY()),1))),1,0))</f>
        <v/>
      </c>
      <c r="R199">
        <f>IF($A199="","",IF(AND($B199&gt;0,E199&lt;$B199,DATE($B$1,3,1)&lt;=TODAY(),OR($O199="",$O199&gt;=DATE($B$1,3,1)),OR(COUNTIF($C199:E199,"&gt;0")&gt;0,DATE($B$1,3,1)=DATE(YEAR(TODAY()),MONTH(TODAY()),1))),1,0))</f>
        <v/>
      </c>
      <c r="S199">
        <f>IF($A199="","",IF(AND($B199&gt;0,F199&lt;$B199,DATE($B$1,4,1)&lt;=TODAY(),OR($O199="",$O199&gt;=DATE($B$1,4,1)),OR(COUNTIF($C199:F199,"&gt;0")&gt;0,DATE($B$1,4,1)=DATE(YEAR(TODAY()),MONTH(TODAY()),1))),1,0))</f>
        <v/>
      </c>
      <c r="T199">
        <f>IF($A199="","",IF(AND($B199&gt;0,G199&lt;$B199,DATE($B$1,5,1)&lt;=TODAY(),OR($O199="",$O199&gt;=DATE($B$1,5,1)),OR(COUNTIF($C199:G199,"&gt;0")&gt;0,DATE($B$1,5,1)=DATE(YEAR(TODAY()),MONTH(TODAY()),1))),1,0))</f>
        <v/>
      </c>
      <c r="U199">
        <f>IF($A199="","",IF(AND($B199&gt;0,H199&lt;$B199,DATE($B$1,6,1)&lt;=TODAY(),OR($O199="",$O199&gt;=DATE($B$1,6,1)),OR(COUNTIF($C199:H199,"&gt;0")&gt;0,DATE($B$1,6,1)=DATE(YEAR(TODAY()),MONTH(TODAY()),1))),1,0))</f>
        <v/>
      </c>
      <c r="V199">
        <f>IF($A199="","",IF(AND($B199&gt;0,I199&lt;$B199,DATE($B$1,7,1)&lt;=TODAY(),OR($O199="",$O199&gt;=DATE($B$1,7,1)),OR(COUNTIF($C199:I199,"&gt;0")&gt;0,DATE($B$1,7,1)=DATE(YEAR(TODAY()),MONTH(TODAY()),1))),1,0))</f>
        <v/>
      </c>
      <c r="W199">
        <f>IF($A199="","",IF(AND($B199&gt;0,J199&lt;$B199,DATE($B$1,8,1)&lt;=TODAY(),OR($O199="",$O199&gt;=DATE($B$1,8,1)),OR(COUNTIF($C199:J199,"&gt;0")&gt;0,DATE($B$1,8,1)=DATE(YEAR(TODAY()),MONTH(TODAY()),1))),1,0))</f>
        <v/>
      </c>
      <c r="X199">
        <f>IF($A199="","",IF(AND($B199&gt;0,K199&lt;$B199,DATE($B$1,9,1)&lt;=TODAY(),OR($O199="",$O199&gt;=DATE($B$1,9,1)),OR(COUNTIF($C199:K199,"&gt;0")&gt;0,DATE($B$1,9,1)=DATE(YEAR(TODAY()),MONTH(TODAY()),1))),1,0))</f>
        <v/>
      </c>
      <c r="Y199">
        <f>IF($A199="","",IF(AND($B199&gt;0,L199&lt;$B199,DATE($B$1,10,1)&lt;=TODAY(),OR($O199="",$O199&gt;=DATE($B$1,10,1)),OR(COUNTIF($C199:L199,"&gt;0")&gt;0,DATE($B$1,10,1)=DATE(YEAR(TODAY()),MONTH(TODAY()),1))),1,0))</f>
        <v/>
      </c>
      <c r="Z199">
        <f>IF($A199="","",IF(AND($B199&gt;0,M199&lt;$B199,DATE($B$1,11,1)&lt;=TODAY(),OR($O199="",$O199&gt;=DATE($B$1,11,1)),OR(COUNTIF($C199:M199,"&gt;0")&gt;0,DATE($B$1,11,1)=DATE(YEAR(TODAY()),MONTH(TODAY()),1))),1,0))</f>
        <v/>
      </c>
      <c r="AA199">
        <f>IF($A199="","",IF(AND($B199&gt;0,N199&lt;$B199,DATE($B$1,12,1)&lt;=TODAY(),OR($O199="",$O199&gt;=DATE($B$1,12,1)),OR(COUNTIF($C199:N199,"&gt;0")&gt;0,DATE($B$1,12,1)=DATE(YEAR(TODAY()),MONTH(TODAY()),1))),1,0))</f>
        <v/>
      </c>
    </row>
    <row r="200">
      <c r="A200" s="13">
        <f>IF(원생!$A198="","",원생!$A198&amp;IF(원생!$G198="",""," ("&amp;원생!$G198&amp;")"))</f>
        <v/>
      </c>
      <c r="B200" s="8">
        <f>IF(원생!$A198="","",원생!$F198)</f>
        <v/>
      </c>
      <c r="C200" s="14">
        <f>IF(원생!$A198="","",SUMIFS(수납!$F:$F,수납!$C:$C,원생!$A198,수납!$D:$D,IF(원생!$G198="","",원생!$G198),수납!$B:$B,$B$1&amp;"-"&amp;TEXT(1,"00")&amp;"*",수납!$E:$E,"수강료")+SUMIFS(수납!$F:$F,수납!$C:$C,원생!$A198,수납!$D:$D,IF(원생!$G198="","",원생!$G198),수납!$B:$B,$B$1&amp;"-"&amp;TEXT(1,"00")&amp;"*",수납!$E:$E,""))</f>
        <v/>
      </c>
      <c r="D200" s="14">
        <f>IF(원생!$A198="","",SUMIFS(수납!$F:$F,수납!$C:$C,원생!$A198,수납!$D:$D,IF(원생!$G198="","",원생!$G198),수납!$B:$B,$B$1&amp;"-"&amp;TEXT(2,"00")&amp;"*",수납!$E:$E,"수강료")+SUMIFS(수납!$F:$F,수납!$C:$C,원생!$A198,수납!$D:$D,IF(원생!$G198="","",원생!$G198),수납!$B:$B,$B$1&amp;"-"&amp;TEXT(2,"00")&amp;"*",수납!$E:$E,""))</f>
        <v/>
      </c>
      <c r="E200" s="14">
        <f>IF(원생!$A198="","",SUMIFS(수납!$F:$F,수납!$C:$C,원생!$A198,수납!$D:$D,IF(원생!$G198="","",원생!$G198),수납!$B:$B,$B$1&amp;"-"&amp;TEXT(3,"00")&amp;"*",수납!$E:$E,"수강료")+SUMIFS(수납!$F:$F,수납!$C:$C,원생!$A198,수납!$D:$D,IF(원생!$G198="","",원생!$G198),수납!$B:$B,$B$1&amp;"-"&amp;TEXT(3,"00")&amp;"*",수납!$E:$E,""))</f>
        <v/>
      </c>
      <c r="F200" s="14">
        <f>IF(원생!$A198="","",SUMIFS(수납!$F:$F,수납!$C:$C,원생!$A198,수납!$D:$D,IF(원생!$G198="","",원생!$G198),수납!$B:$B,$B$1&amp;"-"&amp;TEXT(4,"00")&amp;"*",수납!$E:$E,"수강료")+SUMIFS(수납!$F:$F,수납!$C:$C,원생!$A198,수납!$D:$D,IF(원생!$G198="","",원생!$G198),수납!$B:$B,$B$1&amp;"-"&amp;TEXT(4,"00")&amp;"*",수납!$E:$E,""))</f>
        <v/>
      </c>
      <c r="G200" s="14">
        <f>IF(원생!$A198="","",SUMIFS(수납!$F:$F,수납!$C:$C,원생!$A198,수납!$D:$D,IF(원생!$G198="","",원생!$G198),수납!$B:$B,$B$1&amp;"-"&amp;TEXT(5,"00")&amp;"*",수납!$E:$E,"수강료")+SUMIFS(수납!$F:$F,수납!$C:$C,원생!$A198,수납!$D:$D,IF(원생!$G198="","",원생!$G198),수납!$B:$B,$B$1&amp;"-"&amp;TEXT(5,"00")&amp;"*",수납!$E:$E,""))</f>
        <v/>
      </c>
      <c r="H200" s="14">
        <f>IF(원생!$A198="","",SUMIFS(수납!$F:$F,수납!$C:$C,원생!$A198,수납!$D:$D,IF(원생!$G198="","",원생!$G198),수납!$B:$B,$B$1&amp;"-"&amp;TEXT(6,"00")&amp;"*",수납!$E:$E,"수강료")+SUMIFS(수납!$F:$F,수납!$C:$C,원생!$A198,수납!$D:$D,IF(원생!$G198="","",원생!$G198),수납!$B:$B,$B$1&amp;"-"&amp;TEXT(6,"00")&amp;"*",수납!$E:$E,""))</f>
        <v/>
      </c>
      <c r="I200" s="14">
        <f>IF(원생!$A198="","",SUMIFS(수납!$F:$F,수납!$C:$C,원생!$A198,수납!$D:$D,IF(원생!$G198="","",원생!$G198),수납!$B:$B,$B$1&amp;"-"&amp;TEXT(7,"00")&amp;"*",수납!$E:$E,"수강료")+SUMIFS(수납!$F:$F,수납!$C:$C,원생!$A198,수납!$D:$D,IF(원생!$G198="","",원생!$G198),수납!$B:$B,$B$1&amp;"-"&amp;TEXT(7,"00")&amp;"*",수납!$E:$E,""))</f>
        <v/>
      </c>
      <c r="J200" s="14">
        <f>IF(원생!$A198="","",SUMIFS(수납!$F:$F,수납!$C:$C,원생!$A198,수납!$D:$D,IF(원생!$G198="","",원생!$G198),수납!$B:$B,$B$1&amp;"-"&amp;TEXT(8,"00")&amp;"*",수납!$E:$E,"수강료")+SUMIFS(수납!$F:$F,수납!$C:$C,원생!$A198,수납!$D:$D,IF(원생!$G198="","",원생!$G198),수납!$B:$B,$B$1&amp;"-"&amp;TEXT(8,"00")&amp;"*",수납!$E:$E,""))</f>
        <v/>
      </c>
      <c r="K200" s="14">
        <f>IF(원생!$A198="","",SUMIFS(수납!$F:$F,수납!$C:$C,원생!$A198,수납!$D:$D,IF(원생!$G198="","",원생!$G198),수납!$B:$B,$B$1&amp;"-"&amp;TEXT(9,"00")&amp;"*",수납!$E:$E,"수강료")+SUMIFS(수납!$F:$F,수납!$C:$C,원생!$A198,수납!$D:$D,IF(원생!$G198="","",원생!$G198),수납!$B:$B,$B$1&amp;"-"&amp;TEXT(9,"00")&amp;"*",수납!$E:$E,""))</f>
        <v/>
      </c>
      <c r="L200" s="14">
        <f>IF(원생!$A198="","",SUMIFS(수납!$F:$F,수납!$C:$C,원생!$A198,수납!$D:$D,IF(원생!$G198="","",원생!$G198),수납!$B:$B,$B$1&amp;"-"&amp;TEXT(10,"00")&amp;"*",수납!$E:$E,"수강료")+SUMIFS(수납!$F:$F,수납!$C:$C,원생!$A198,수납!$D:$D,IF(원생!$G198="","",원생!$G198),수납!$B:$B,$B$1&amp;"-"&amp;TEXT(10,"00")&amp;"*",수납!$E:$E,""))</f>
        <v/>
      </c>
      <c r="M200" s="14">
        <f>IF(원생!$A198="","",SUMIFS(수납!$F:$F,수납!$C:$C,원생!$A198,수납!$D:$D,IF(원생!$G198="","",원생!$G198),수납!$B:$B,$B$1&amp;"-"&amp;TEXT(11,"00")&amp;"*",수납!$E:$E,"수강료")+SUMIFS(수납!$F:$F,수납!$C:$C,원생!$A198,수납!$D:$D,IF(원생!$G198="","",원생!$G198),수납!$B:$B,$B$1&amp;"-"&amp;TEXT(11,"00")&amp;"*",수납!$E:$E,""))</f>
        <v/>
      </c>
      <c r="N200" s="14">
        <f>IF(원생!$A198="","",SUMIFS(수납!$F:$F,수납!$C:$C,원생!$A198,수납!$D:$D,IF(원생!$G198="","",원생!$G198),수납!$B:$B,$B$1&amp;"-"&amp;TEXT(12,"00")&amp;"*",수납!$E:$E,"수강료")+SUMIFS(수납!$F:$F,수납!$C:$C,원생!$A198,수납!$D:$D,IF(원생!$G198="","",원생!$G198),수납!$B:$B,$B$1&amp;"-"&amp;TEXT(12,"00")&amp;"*",수납!$E:$E,""))</f>
        <v/>
      </c>
      <c r="O200">
        <f>IF(원생!$I198="","",원생!$I198)</f>
        <v/>
      </c>
      <c r="P200">
        <f>IF($A200="","",IF(AND($B200&gt;0,C200&lt;$B200,DATE($B$1,1,1)&lt;=TODAY(),OR($O200="",$O200&gt;=DATE($B$1,1,1)),OR(COUNTIF($C200:C200,"&gt;0")&gt;0,DATE($B$1,1,1)=DATE(YEAR(TODAY()),MONTH(TODAY()),1))),1,0))</f>
        <v/>
      </c>
      <c r="Q200">
        <f>IF($A200="","",IF(AND($B200&gt;0,D200&lt;$B200,DATE($B$1,2,1)&lt;=TODAY(),OR($O200="",$O200&gt;=DATE($B$1,2,1)),OR(COUNTIF($C200:D200,"&gt;0")&gt;0,DATE($B$1,2,1)=DATE(YEAR(TODAY()),MONTH(TODAY()),1))),1,0))</f>
        <v/>
      </c>
      <c r="R200">
        <f>IF($A200="","",IF(AND($B200&gt;0,E200&lt;$B200,DATE($B$1,3,1)&lt;=TODAY(),OR($O200="",$O200&gt;=DATE($B$1,3,1)),OR(COUNTIF($C200:E200,"&gt;0")&gt;0,DATE($B$1,3,1)=DATE(YEAR(TODAY()),MONTH(TODAY()),1))),1,0))</f>
        <v/>
      </c>
      <c r="S200">
        <f>IF($A200="","",IF(AND($B200&gt;0,F200&lt;$B200,DATE($B$1,4,1)&lt;=TODAY(),OR($O200="",$O200&gt;=DATE($B$1,4,1)),OR(COUNTIF($C200:F200,"&gt;0")&gt;0,DATE($B$1,4,1)=DATE(YEAR(TODAY()),MONTH(TODAY()),1))),1,0))</f>
        <v/>
      </c>
      <c r="T200">
        <f>IF($A200="","",IF(AND($B200&gt;0,G200&lt;$B200,DATE($B$1,5,1)&lt;=TODAY(),OR($O200="",$O200&gt;=DATE($B$1,5,1)),OR(COUNTIF($C200:G200,"&gt;0")&gt;0,DATE($B$1,5,1)=DATE(YEAR(TODAY()),MONTH(TODAY()),1))),1,0))</f>
        <v/>
      </c>
      <c r="U200">
        <f>IF($A200="","",IF(AND($B200&gt;0,H200&lt;$B200,DATE($B$1,6,1)&lt;=TODAY(),OR($O200="",$O200&gt;=DATE($B$1,6,1)),OR(COUNTIF($C200:H200,"&gt;0")&gt;0,DATE($B$1,6,1)=DATE(YEAR(TODAY()),MONTH(TODAY()),1))),1,0))</f>
        <v/>
      </c>
      <c r="V200">
        <f>IF($A200="","",IF(AND($B200&gt;0,I200&lt;$B200,DATE($B$1,7,1)&lt;=TODAY(),OR($O200="",$O200&gt;=DATE($B$1,7,1)),OR(COUNTIF($C200:I200,"&gt;0")&gt;0,DATE($B$1,7,1)=DATE(YEAR(TODAY()),MONTH(TODAY()),1))),1,0))</f>
        <v/>
      </c>
      <c r="W200">
        <f>IF($A200="","",IF(AND($B200&gt;0,J200&lt;$B200,DATE($B$1,8,1)&lt;=TODAY(),OR($O200="",$O200&gt;=DATE($B$1,8,1)),OR(COUNTIF($C200:J200,"&gt;0")&gt;0,DATE($B$1,8,1)=DATE(YEAR(TODAY()),MONTH(TODAY()),1))),1,0))</f>
        <v/>
      </c>
      <c r="X200">
        <f>IF($A200="","",IF(AND($B200&gt;0,K200&lt;$B200,DATE($B$1,9,1)&lt;=TODAY(),OR($O200="",$O200&gt;=DATE($B$1,9,1)),OR(COUNTIF($C200:K200,"&gt;0")&gt;0,DATE($B$1,9,1)=DATE(YEAR(TODAY()),MONTH(TODAY()),1))),1,0))</f>
        <v/>
      </c>
      <c r="Y200">
        <f>IF($A200="","",IF(AND($B200&gt;0,L200&lt;$B200,DATE($B$1,10,1)&lt;=TODAY(),OR($O200="",$O200&gt;=DATE($B$1,10,1)),OR(COUNTIF($C200:L200,"&gt;0")&gt;0,DATE($B$1,10,1)=DATE(YEAR(TODAY()),MONTH(TODAY()),1))),1,0))</f>
        <v/>
      </c>
      <c r="Z200">
        <f>IF($A200="","",IF(AND($B200&gt;0,M200&lt;$B200,DATE($B$1,11,1)&lt;=TODAY(),OR($O200="",$O200&gt;=DATE($B$1,11,1)),OR(COUNTIF($C200:M200,"&gt;0")&gt;0,DATE($B$1,11,1)=DATE(YEAR(TODAY()),MONTH(TODAY()),1))),1,0))</f>
        <v/>
      </c>
      <c r="AA200">
        <f>IF($A200="","",IF(AND($B200&gt;0,N200&lt;$B200,DATE($B$1,12,1)&lt;=TODAY(),OR($O200="",$O200&gt;=DATE($B$1,12,1)),OR(COUNTIF($C200:N200,"&gt;0")&gt;0,DATE($B$1,12,1)=DATE(YEAR(TODAY()),MONTH(TODAY()),1))),1,0))</f>
        <v/>
      </c>
    </row>
    <row r="201">
      <c r="A201" s="13">
        <f>IF(원생!$A199="","",원생!$A199&amp;IF(원생!$G199="",""," ("&amp;원생!$G199&amp;")"))</f>
        <v/>
      </c>
      <c r="B201" s="8">
        <f>IF(원생!$A199="","",원생!$F199)</f>
        <v/>
      </c>
      <c r="C201" s="14">
        <f>IF(원생!$A199="","",SUMIFS(수납!$F:$F,수납!$C:$C,원생!$A199,수납!$D:$D,IF(원생!$G199="","",원생!$G199),수납!$B:$B,$B$1&amp;"-"&amp;TEXT(1,"00")&amp;"*",수납!$E:$E,"수강료")+SUMIFS(수납!$F:$F,수납!$C:$C,원생!$A199,수납!$D:$D,IF(원생!$G199="","",원생!$G199),수납!$B:$B,$B$1&amp;"-"&amp;TEXT(1,"00")&amp;"*",수납!$E:$E,""))</f>
        <v/>
      </c>
      <c r="D201" s="14">
        <f>IF(원생!$A199="","",SUMIFS(수납!$F:$F,수납!$C:$C,원생!$A199,수납!$D:$D,IF(원생!$G199="","",원생!$G199),수납!$B:$B,$B$1&amp;"-"&amp;TEXT(2,"00")&amp;"*",수납!$E:$E,"수강료")+SUMIFS(수납!$F:$F,수납!$C:$C,원생!$A199,수납!$D:$D,IF(원생!$G199="","",원생!$G199),수납!$B:$B,$B$1&amp;"-"&amp;TEXT(2,"00")&amp;"*",수납!$E:$E,""))</f>
        <v/>
      </c>
      <c r="E201" s="14">
        <f>IF(원생!$A199="","",SUMIFS(수납!$F:$F,수납!$C:$C,원생!$A199,수납!$D:$D,IF(원생!$G199="","",원생!$G199),수납!$B:$B,$B$1&amp;"-"&amp;TEXT(3,"00")&amp;"*",수납!$E:$E,"수강료")+SUMIFS(수납!$F:$F,수납!$C:$C,원생!$A199,수납!$D:$D,IF(원생!$G199="","",원생!$G199),수납!$B:$B,$B$1&amp;"-"&amp;TEXT(3,"00")&amp;"*",수납!$E:$E,""))</f>
        <v/>
      </c>
      <c r="F201" s="14">
        <f>IF(원생!$A199="","",SUMIFS(수납!$F:$F,수납!$C:$C,원생!$A199,수납!$D:$D,IF(원생!$G199="","",원생!$G199),수납!$B:$B,$B$1&amp;"-"&amp;TEXT(4,"00")&amp;"*",수납!$E:$E,"수강료")+SUMIFS(수납!$F:$F,수납!$C:$C,원생!$A199,수납!$D:$D,IF(원생!$G199="","",원생!$G199),수납!$B:$B,$B$1&amp;"-"&amp;TEXT(4,"00")&amp;"*",수납!$E:$E,""))</f>
        <v/>
      </c>
      <c r="G201" s="14">
        <f>IF(원생!$A199="","",SUMIFS(수납!$F:$F,수납!$C:$C,원생!$A199,수납!$D:$D,IF(원생!$G199="","",원생!$G199),수납!$B:$B,$B$1&amp;"-"&amp;TEXT(5,"00")&amp;"*",수납!$E:$E,"수강료")+SUMIFS(수납!$F:$F,수납!$C:$C,원생!$A199,수납!$D:$D,IF(원생!$G199="","",원생!$G199),수납!$B:$B,$B$1&amp;"-"&amp;TEXT(5,"00")&amp;"*",수납!$E:$E,""))</f>
        <v/>
      </c>
      <c r="H201" s="14">
        <f>IF(원생!$A199="","",SUMIFS(수납!$F:$F,수납!$C:$C,원생!$A199,수납!$D:$D,IF(원생!$G199="","",원생!$G199),수납!$B:$B,$B$1&amp;"-"&amp;TEXT(6,"00")&amp;"*",수납!$E:$E,"수강료")+SUMIFS(수납!$F:$F,수납!$C:$C,원생!$A199,수납!$D:$D,IF(원생!$G199="","",원생!$G199),수납!$B:$B,$B$1&amp;"-"&amp;TEXT(6,"00")&amp;"*",수납!$E:$E,""))</f>
        <v/>
      </c>
      <c r="I201" s="14">
        <f>IF(원생!$A199="","",SUMIFS(수납!$F:$F,수납!$C:$C,원생!$A199,수납!$D:$D,IF(원생!$G199="","",원생!$G199),수납!$B:$B,$B$1&amp;"-"&amp;TEXT(7,"00")&amp;"*",수납!$E:$E,"수강료")+SUMIFS(수납!$F:$F,수납!$C:$C,원생!$A199,수납!$D:$D,IF(원생!$G199="","",원생!$G199),수납!$B:$B,$B$1&amp;"-"&amp;TEXT(7,"00")&amp;"*",수납!$E:$E,""))</f>
        <v/>
      </c>
      <c r="J201" s="14">
        <f>IF(원생!$A199="","",SUMIFS(수납!$F:$F,수납!$C:$C,원생!$A199,수납!$D:$D,IF(원생!$G199="","",원생!$G199),수납!$B:$B,$B$1&amp;"-"&amp;TEXT(8,"00")&amp;"*",수납!$E:$E,"수강료")+SUMIFS(수납!$F:$F,수납!$C:$C,원생!$A199,수납!$D:$D,IF(원생!$G199="","",원생!$G199),수납!$B:$B,$B$1&amp;"-"&amp;TEXT(8,"00")&amp;"*",수납!$E:$E,""))</f>
        <v/>
      </c>
      <c r="K201" s="14">
        <f>IF(원생!$A199="","",SUMIFS(수납!$F:$F,수납!$C:$C,원생!$A199,수납!$D:$D,IF(원생!$G199="","",원생!$G199),수납!$B:$B,$B$1&amp;"-"&amp;TEXT(9,"00")&amp;"*",수납!$E:$E,"수강료")+SUMIFS(수납!$F:$F,수납!$C:$C,원생!$A199,수납!$D:$D,IF(원생!$G199="","",원생!$G199),수납!$B:$B,$B$1&amp;"-"&amp;TEXT(9,"00")&amp;"*",수납!$E:$E,""))</f>
        <v/>
      </c>
      <c r="L201" s="14">
        <f>IF(원생!$A199="","",SUMIFS(수납!$F:$F,수납!$C:$C,원생!$A199,수납!$D:$D,IF(원생!$G199="","",원생!$G199),수납!$B:$B,$B$1&amp;"-"&amp;TEXT(10,"00")&amp;"*",수납!$E:$E,"수강료")+SUMIFS(수납!$F:$F,수납!$C:$C,원생!$A199,수납!$D:$D,IF(원생!$G199="","",원생!$G199),수납!$B:$B,$B$1&amp;"-"&amp;TEXT(10,"00")&amp;"*",수납!$E:$E,""))</f>
        <v/>
      </c>
      <c r="M201" s="14">
        <f>IF(원생!$A199="","",SUMIFS(수납!$F:$F,수납!$C:$C,원생!$A199,수납!$D:$D,IF(원생!$G199="","",원생!$G199),수납!$B:$B,$B$1&amp;"-"&amp;TEXT(11,"00")&amp;"*",수납!$E:$E,"수강료")+SUMIFS(수납!$F:$F,수납!$C:$C,원생!$A199,수납!$D:$D,IF(원생!$G199="","",원생!$G199),수납!$B:$B,$B$1&amp;"-"&amp;TEXT(11,"00")&amp;"*",수납!$E:$E,""))</f>
        <v/>
      </c>
      <c r="N201" s="14">
        <f>IF(원생!$A199="","",SUMIFS(수납!$F:$F,수납!$C:$C,원생!$A199,수납!$D:$D,IF(원생!$G199="","",원생!$G199),수납!$B:$B,$B$1&amp;"-"&amp;TEXT(12,"00")&amp;"*",수납!$E:$E,"수강료")+SUMIFS(수납!$F:$F,수납!$C:$C,원생!$A199,수납!$D:$D,IF(원생!$G199="","",원생!$G199),수납!$B:$B,$B$1&amp;"-"&amp;TEXT(12,"00")&amp;"*",수납!$E:$E,""))</f>
        <v/>
      </c>
      <c r="O201">
        <f>IF(원생!$I199="","",원생!$I199)</f>
        <v/>
      </c>
      <c r="P201">
        <f>IF($A201="","",IF(AND($B201&gt;0,C201&lt;$B201,DATE($B$1,1,1)&lt;=TODAY(),OR($O201="",$O201&gt;=DATE($B$1,1,1)),OR(COUNTIF($C201:C201,"&gt;0")&gt;0,DATE($B$1,1,1)=DATE(YEAR(TODAY()),MONTH(TODAY()),1))),1,0))</f>
        <v/>
      </c>
      <c r="Q201">
        <f>IF($A201="","",IF(AND($B201&gt;0,D201&lt;$B201,DATE($B$1,2,1)&lt;=TODAY(),OR($O201="",$O201&gt;=DATE($B$1,2,1)),OR(COUNTIF($C201:D201,"&gt;0")&gt;0,DATE($B$1,2,1)=DATE(YEAR(TODAY()),MONTH(TODAY()),1))),1,0))</f>
        <v/>
      </c>
      <c r="R201">
        <f>IF($A201="","",IF(AND($B201&gt;0,E201&lt;$B201,DATE($B$1,3,1)&lt;=TODAY(),OR($O201="",$O201&gt;=DATE($B$1,3,1)),OR(COUNTIF($C201:E201,"&gt;0")&gt;0,DATE($B$1,3,1)=DATE(YEAR(TODAY()),MONTH(TODAY()),1))),1,0))</f>
        <v/>
      </c>
      <c r="S201">
        <f>IF($A201="","",IF(AND($B201&gt;0,F201&lt;$B201,DATE($B$1,4,1)&lt;=TODAY(),OR($O201="",$O201&gt;=DATE($B$1,4,1)),OR(COUNTIF($C201:F201,"&gt;0")&gt;0,DATE($B$1,4,1)=DATE(YEAR(TODAY()),MONTH(TODAY()),1))),1,0))</f>
        <v/>
      </c>
      <c r="T201">
        <f>IF($A201="","",IF(AND($B201&gt;0,G201&lt;$B201,DATE($B$1,5,1)&lt;=TODAY(),OR($O201="",$O201&gt;=DATE($B$1,5,1)),OR(COUNTIF($C201:G201,"&gt;0")&gt;0,DATE($B$1,5,1)=DATE(YEAR(TODAY()),MONTH(TODAY()),1))),1,0))</f>
        <v/>
      </c>
      <c r="U201">
        <f>IF($A201="","",IF(AND($B201&gt;0,H201&lt;$B201,DATE($B$1,6,1)&lt;=TODAY(),OR($O201="",$O201&gt;=DATE($B$1,6,1)),OR(COUNTIF($C201:H201,"&gt;0")&gt;0,DATE($B$1,6,1)=DATE(YEAR(TODAY()),MONTH(TODAY()),1))),1,0))</f>
        <v/>
      </c>
      <c r="V201">
        <f>IF($A201="","",IF(AND($B201&gt;0,I201&lt;$B201,DATE($B$1,7,1)&lt;=TODAY(),OR($O201="",$O201&gt;=DATE($B$1,7,1)),OR(COUNTIF($C201:I201,"&gt;0")&gt;0,DATE($B$1,7,1)=DATE(YEAR(TODAY()),MONTH(TODAY()),1))),1,0))</f>
        <v/>
      </c>
      <c r="W201">
        <f>IF($A201="","",IF(AND($B201&gt;0,J201&lt;$B201,DATE($B$1,8,1)&lt;=TODAY(),OR($O201="",$O201&gt;=DATE($B$1,8,1)),OR(COUNTIF($C201:J201,"&gt;0")&gt;0,DATE($B$1,8,1)=DATE(YEAR(TODAY()),MONTH(TODAY()),1))),1,0))</f>
        <v/>
      </c>
      <c r="X201">
        <f>IF($A201="","",IF(AND($B201&gt;0,K201&lt;$B201,DATE($B$1,9,1)&lt;=TODAY(),OR($O201="",$O201&gt;=DATE($B$1,9,1)),OR(COUNTIF($C201:K201,"&gt;0")&gt;0,DATE($B$1,9,1)=DATE(YEAR(TODAY()),MONTH(TODAY()),1))),1,0))</f>
        <v/>
      </c>
      <c r="Y201">
        <f>IF($A201="","",IF(AND($B201&gt;0,L201&lt;$B201,DATE($B$1,10,1)&lt;=TODAY(),OR($O201="",$O201&gt;=DATE($B$1,10,1)),OR(COUNTIF($C201:L201,"&gt;0")&gt;0,DATE($B$1,10,1)=DATE(YEAR(TODAY()),MONTH(TODAY()),1))),1,0))</f>
        <v/>
      </c>
      <c r="Z201">
        <f>IF($A201="","",IF(AND($B201&gt;0,M201&lt;$B201,DATE($B$1,11,1)&lt;=TODAY(),OR($O201="",$O201&gt;=DATE($B$1,11,1)),OR(COUNTIF($C201:M201,"&gt;0")&gt;0,DATE($B$1,11,1)=DATE(YEAR(TODAY()),MONTH(TODAY()),1))),1,0))</f>
        <v/>
      </c>
      <c r="AA201">
        <f>IF($A201="","",IF(AND($B201&gt;0,N201&lt;$B201,DATE($B$1,12,1)&lt;=TODAY(),OR($O201="",$O201&gt;=DATE($B$1,12,1)),OR(COUNTIF($C201:N201,"&gt;0")&gt;0,DATE($B$1,12,1)=DATE(YEAR(TODAY()),MONTH(TODAY()),1))),1,0))</f>
        <v/>
      </c>
    </row>
    <row r="202">
      <c r="A202" s="13">
        <f>IF(원생!$A200="","",원생!$A200&amp;IF(원생!$G200="",""," ("&amp;원생!$G200&amp;")"))</f>
        <v/>
      </c>
      <c r="B202" s="8">
        <f>IF(원생!$A200="","",원생!$F200)</f>
        <v/>
      </c>
      <c r="C202" s="14">
        <f>IF(원생!$A200="","",SUMIFS(수납!$F:$F,수납!$C:$C,원생!$A200,수납!$D:$D,IF(원생!$G200="","",원생!$G200),수납!$B:$B,$B$1&amp;"-"&amp;TEXT(1,"00")&amp;"*",수납!$E:$E,"수강료")+SUMIFS(수납!$F:$F,수납!$C:$C,원생!$A200,수납!$D:$D,IF(원생!$G200="","",원생!$G200),수납!$B:$B,$B$1&amp;"-"&amp;TEXT(1,"00")&amp;"*",수납!$E:$E,""))</f>
        <v/>
      </c>
      <c r="D202" s="14">
        <f>IF(원생!$A200="","",SUMIFS(수납!$F:$F,수납!$C:$C,원생!$A200,수납!$D:$D,IF(원생!$G200="","",원생!$G200),수납!$B:$B,$B$1&amp;"-"&amp;TEXT(2,"00")&amp;"*",수납!$E:$E,"수강료")+SUMIFS(수납!$F:$F,수납!$C:$C,원생!$A200,수납!$D:$D,IF(원생!$G200="","",원생!$G200),수납!$B:$B,$B$1&amp;"-"&amp;TEXT(2,"00")&amp;"*",수납!$E:$E,""))</f>
        <v/>
      </c>
      <c r="E202" s="14">
        <f>IF(원생!$A200="","",SUMIFS(수납!$F:$F,수납!$C:$C,원생!$A200,수납!$D:$D,IF(원생!$G200="","",원생!$G200),수납!$B:$B,$B$1&amp;"-"&amp;TEXT(3,"00")&amp;"*",수납!$E:$E,"수강료")+SUMIFS(수납!$F:$F,수납!$C:$C,원생!$A200,수납!$D:$D,IF(원생!$G200="","",원생!$G200),수납!$B:$B,$B$1&amp;"-"&amp;TEXT(3,"00")&amp;"*",수납!$E:$E,""))</f>
        <v/>
      </c>
      <c r="F202" s="14">
        <f>IF(원생!$A200="","",SUMIFS(수납!$F:$F,수납!$C:$C,원생!$A200,수납!$D:$D,IF(원생!$G200="","",원생!$G200),수납!$B:$B,$B$1&amp;"-"&amp;TEXT(4,"00")&amp;"*",수납!$E:$E,"수강료")+SUMIFS(수납!$F:$F,수납!$C:$C,원생!$A200,수납!$D:$D,IF(원생!$G200="","",원생!$G200),수납!$B:$B,$B$1&amp;"-"&amp;TEXT(4,"00")&amp;"*",수납!$E:$E,""))</f>
        <v/>
      </c>
      <c r="G202" s="14">
        <f>IF(원생!$A200="","",SUMIFS(수납!$F:$F,수납!$C:$C,원생!$A200,수납!$D:$D,IF(원생!$G200="","",원생!$G200),수납!$B:$B,$B$1&amp;"-"&amp;TEXT(5,"00")&amp;"*",수납!$E:$E,"수강료")+SUMIFS(수납!$F:$F,수납!$C:$C,원생!$A200,수납!$D:$D,IF(원생!$G200="","",원생!$G200),수납!$B:$B,$B$1&amp;"-"&amp;TEXT(5,"00")&amp;"*",수납!$E:$E,""))</f>
        <v/>
      </c>
      <c r="H202" s="14">
        <f>IF(원생!$A200="","",SUMIFS(수납!$F:$F,수납!$C:$C,원생!$A200,수납!$D:$D,IF(원생!$G200="","",원생!$G200),수납!$B:$B,$B$1&amp;"-"&amp;TEXT(6,"00")&amp;"*",수납!$E:$E,"수강료")+SUMIFS(수납!$F:$F,수납!$C:$C,원생!$A200,수납!$D:$D,IF(원생!$G200="","",원생!$G200),수납!$B:$B,$B$1&amp;"-"&amp;TEXT(6,"00")&amp;"*",수납!$E:$E,""))</f>
        <v/>
      </c>
      <c r="I202" s="14">
        <f>IF(원생!$A200="","",SUMIFS(수납!$F:$F,수납!$C:$C,원생!$A200,수납!$D:$D,IF(원생!$G200="","",원생!$G200),수납!$B:$B,$B$1&amp;"-"&amp;TEXT(7,"00")&amp;"*",수납!$E:$E,"수강료")+SUMIFS(수납!$F:$F,수납!$C:$C,원생!$A200,수납!$D:$D,IF(원생!$G200="","",원생!$G200),수납!$B:$B,$B$1&amp;"-"&amp;TEXT(7,"00")&amp;"*",수납!$E:$E,""))</f>
        <v/>
      </c>
      <c r="J202" s="14">
        <f>IF(원생!$A200="","",SUMIFS(수납!$F:$F,수납!$C:$C,원생!$A200,수납!$D:$D,IF(원생!$G200="","",원생!$G200),수납!$B:$B,$B$1&amp;"-"&amp;TEXT(8,"00")&amp;"*",수납!$E:$E,"수강료")+SUMIFS(수납!$F:$F,수납!$C:$C,원생!$A200,수납!$D:$D,IF(원생!$G200="","",원생!$G200),수납!$B:$B,$B$1&amp;"-"&amp;TEXT(8,"00")&amp;"*",수납!$E:$E,""))</f>
        <v/>
      </c>
      <c r="K202" s="14">
        <f>IF(원생!$A200="","",SUMIFS(수납!$F:$F,수납!$C:$C,원생!$A200,수납!$D:$D,IF(원생!$G200="","",원생!$G200),수납!$B:$B,$B$1&amp;"-"&amp;TEXT(9,"00")&amp;"*",수납!$E:$E,"수강료")+SUMIFS(수납!$F:$F,수납!$C:$C,원생!$A200,수납!$D:$D,IF(원생!$G200="","",원생!$G200),수납!$B:$B,$B$1&amp;"-"&amp;TEXT(9,"00")&amp;"*",수납!$E:$E,""))</f>
        <v/>
      </c>
      <c r="L202" s="14">
        <f>IF(원생!$A200="","",SUMIFS(수납!$F:$F,수납!$C:$C,원생!$A200,수납!$D:$D,IF(원생!$G200="","",원생!$G200),수납!$B:$B,$B$1&amp;"-"&amp;TEXT(10,"00")&amp;"*",수납!$E:$E,"수강료")+SUMIFS(수납!$F:$F,수납!$C:$C,원생!$A200,수납!$D:$D,IF(원생!$G200="","",원생!$G200),수납!$B:$B,$B$1&amp;"-"&amp;TEXT(10,"00")&amp;"*",수납!$E:$E,""))</f>
        <v/>
      </c>
      <c r="M202" s="14">
        <f>IF(원생!$A200="","",SUMIFS(수납!$F:$F,수납!$C:$C,원생!$A200,수납!$D:$D,IF(원생!$G200="","",원생!$G200),수납!$B:$B,$B$1&amp;"-"&amp;TEXT(11,"00")&amp;"*",수납!$E:$E,"수강료")+SUMIFS(수납!$F:$F,수납!$C:$C,원생!$A200,수납!$D:$D,IF(원생!$G200="","",원생!$G200),수납!$B:$B,$B$1&amp;"-"&amp;TEXT(11,"00")&amp;"*",수납!$E:$E,""))</f>
        <v/>
      </c>
      <c r="N202" s="14">
        <f>IF(원생!$A200="","",SUMIFS(수납!$F:$F,수납!$C:$C,원생!$A200,수납!$D:$D,IF(원생!$G200="","",원생!$G200),수납!$B:$B,$B$1&amp;"-"&amp;TEXT(12,"00")&amp;"*",수납!$E:$E,"수강료")+SUMIFS(수납!$F:$F,수납!$C:$C,원생!$A200,수납!$D:$D,IF(원생!$G200="","",원생!$G200),수납!$B:$B,$B$1&amp;"-"&amp;TEXT(12,"00")&amp;"*",수납!$E:$E,""))</f>
        <v/>
      </c>
      <c r="O202">
        <f>IF(원생!$I200="","",원생!$I200)</f>
        <v/>
      </c>
      <c r="P202">
        <f>IF($A202="","",IF(AND($B202&gt;0,C202&lt;$B202,DATE($B$1,1,1)&lt;=TODAY(),OR($O202="",$O202&gt;=DATE($B$1,1,1)),OR(COUNTIF($C202:C202,"&gt;0")&gt;0,DATE($B$1,1,1)=DATE(YEAR(TODAY()),MONTH(TODAY()),1))),1,0))</f>
        <v/>
      </c>
      <c r="Q202">
        <f>IF($A202="","",IF(AND($B202&gt;0,D202&lt;$B202,DATE($B$1,2,1)&lt;=TODAY(),OR($O202="",$O202&gt;=DATE($B$1,2,1)),OR(COUNTIF($C202:D202,"&gt;0")&gt;0,DATE($B$1,2,1)=DATE(YEAR(TODAY()),MONTH(TODAY()),1))),1,0))</f>
        <v/>
      </c>
      <c r="R202">
        <f>IF($A202="","",IF(AND($B202&gt;0,E202&lt;$B202,DATE($B$1,3,1)&lt;=TODAY(),OR($O202="",$O202&gt;=DATE($B$1,3,1)),OR(COUNTIF($C202:E202,"&gt;0")&gt;0,DATE($B$1,3,1)=DATE(YEAR(TODAY()),MONTH(TODAY()),1))),1,0))</f>
        <v/>
      </c>
      <c r="S202">
        <f>IF($A202="","",IF(AND($B202&gt;0,F202&lt;$B202,DATE($B$1,4,1)&lt;=TODAY(),OR($O202="",$O202&gt;=DATE($B$1,4,1)),OR(COUNTIF($C202:F202,"&gt;0")&gt;0,DATE($B$1,4,1)=DATE(YEAR(TODAY()),MONTH(TODAY()),1))),1,0))</f>
        <v/>
      </c>
      <c r="T202">
        <f>IF($A202="","",IF(AND($B202&gt;0,G202&lt;$B202,DATE($B$1,5,1)&lt;=TODAY(),OR($O202="",$O202&gt;=DATE($B$1,5,1)),OR(COUNTIF($C202:G202,"&gt;0")&gt;0,DATE($B$1,5,1)=DATE(YEAR(TODAY()),MONTH(TODAY()),1))),1,0))</f>
        <v/>
      </c>
      <c r="U202">
        <f>IF($A202="","",IF(AND($B202&gt;0,H202&lt;$B202,DATE($B$1,6,1)&lt;=TODAY(),OR($O202="",$O202&gt;=DATE($B$1,6,1)),OR(COUNTIF($C202:H202,"&gt;0")&gt;0,DATE($B$1,6,1)=DATE(YEAR(TODAY()),MONTH(TODAY()),1))),1,0))</f>
        <v/>
      </c>
      <c r="V202">
        <f>IF($A202="","",IF(AND($B202&gt;0,I202&lt;$B202,DATE($B$1,7,1)&lt;=TODAY(),OR($O202="",$O202&gt;=DATE($B$1,7,1)),OR(COUNTIF($C202:I202,"&gt;0")&gt;0,DATE($B$1,7,1)=DATE(YEAR(TODAY()),MONTH(TODAY()),1))),1,0))</f>
        <v/>
      </c>
      <c r="W202">
        <f>IF($A202="","",IF(AND($B202&gt;0,J202&lt;$B202,DATE($B$1,8,1)&lt;=TODAY(),OR($O202="",$O202&gt;=DATE($B$1,8,1)),OR(COUNTIF($C202:J202,"&gt;0")&gt;0,DATE($B$1,8,1)=DATE(YEAR(TODAY()),MONTH(TODAY()),1))),1,0))</f>
        <v/>
      </c>
      <c r="X202">
        <f>IF($A202="","",IF(AND($B202&gt;0,K202&lt;$B202,DATE($B$1,9,1)&lt;=TODAY(),OR($O202="",$O202&gt;=DATE($B$1,9,1)),OR(COUNTIF($C202:K202,"&gt;0")&gt;0,DATE($B$1,9,1)=DATE(YEAR(TODAY()),MONTH(TODAY()),1))),1,0))</f>
        <v/>
      </c>
      <c r="Y202">
        <f>IF($A202="","",IF(AND($B202&gt;0,L202&lt;$B202,DATE($B$1,10,1)&lt;=TODAY(),OR($O202="",$O202&gt;=DATE($B$1,10,1)),OR(COUNTIF($C202:L202,"&gt;0")&gt;0,DATE($B$1,10,1)=DATE(YEAR(TODAY()),MONTH(TODAY()),1))),1,0))</f>
        <v/>
      </c>
      <c r="Z202">
        <f>IF($A202="","",IF(AND($B202&gt;0,M202&lt;$B202,DATE($B$1,11,1)&lt;=TODAY(),OR($O202="",$O202&gt;=DATE($B$1,11,1)),OR(COUNTIF($C202:M202,"&gt;0")&gt;0,DATE($B$1,11,1)=DATE(YEAR(TODAY()),MONTH(TODAY()),1))),1,0))</f>
        <v/>
      </c>
      <c r="AA202">
        <f>IF($A202="","",IF(AND($B202&gt;0,N202&lt;$B202,DATE($B$1,12,1)&lt;=TODAY(),OR($O202="",$O202&gt;=DATE($B$1,12,1)),OR(COUNTIF($C202:N202,"&gt;0")&gt;0,DATE($B$1,12,1)=DATE(YEAR(TODAY()),MONTH(TODAY()),1))),1,0))</f>
        <v/>
      </c>
    </row>
    <row r="203">
      <c r="A203" s="13">
        <f>IF(원생!$A201="","",원생!$A201&amp;IF(원생!$G201="",""," ("&amp;원생!$G201&amp;")"))</f>
        <v/>
      </c>
      <c r="B203" s="8">
        <f>IF(원생!$A201="","",원생!$F201)</f>
        <v/>
      </c>
      <c r="C203" s="14">
        <f>IF(원생!$A201="","",SUMIFS(수납!$F:$F,수납!$C:$C,원생!$A201,수납!$D:$D,IF(원생!$G201="","",원생!$G201),수납!$B:$B,$B$1&amp;"-"&amp;TEXT(1,"00")&amp;"*",수납!$E:$E,"수강료")+SUMIFS(수납!$F:$F,수납!$C:$C,원생!$A201,수납!$D:$D,IF(원생!$G201="","",원생!$G201),수납!$B:$B,$B$1&amp;"-"&amp;TEXT(1,"00")&amp;"*",수납!$E:$E,""))</f>
        <v/>
      </c>
      <c r="D203" s="14">
        <f>IF(원생!$A201="","",SUMIFS(수납!$F:$F,수납!$C:$C,원생!$A201,수납!$D:$D,IF(원생!$G201="","",원생!$G201),수납!$B:$B,$B$1&amp;"-"&amp;TEXT(2,"00")&amp;"*",수납!$E:$E,"수강료")+SUMIFS(수납!$F:$F,수납!$C:$C,원생!$A201,수납!$D:$D,IF(원생!$G201="","",원생!$G201),수납!$B:$B,$B$1&amp;"-"&amp;TEXT(2,"00")&amp;"*",수납!$E:$E,""))</f>
        <v/>
      </c>
      <c r="E203" s="14">
        <f>IF(원생!$A201="","",SUMIFS(수납!$F:$F,수납!$C:$C,원생!$A201,수납!$D:$D,IF(원생!$G201="","",원생!$G201),수납!$B:$B,$B$1&amp;"-"&amp;TEXT(3,"00")&amp;"*",수납!$E:$E,"수강료")+SUMIFS(수납!$F:$F,수납!$C:$C,원생!$A201,수납!$D:$D,IF(원생!$G201="","",원생!$G201),수납!$B:$B,$B$1&amp;"-"&amp;TEXT(3,"00")&amp;"*",수납!$E:$E,""))</f>
        <v/>
      </c>
      <c r="F203" s="14">
        <f>IF(원생!$A201="","",SUMIFS(수납!$F:$F,수납!$C:$C,원생!$A201,수납!$D:$D,IF(원생!$G201="","",원생!$G201),수납!$B:$B,$B$1&amp;"-"&amp;TEXT(4,"00")&amp;"*",수납!$E:$E,"수강료")+SUMIFS(수납!$F:$F,수납!$C:$C,원생!$A201,수납!$D:$D,IF(원생!$G201="","",원생!$G201),수납!$B:$B,$B$1&amp;"-"&amp;TEXT(4,"00")&amp;"*",수납!$E:$E,""))</f>
        <v/>
      </c>
      <c r="G203" s="14">
        <f>IF(원생!$A201="","",SUMIFS(수납!$F:$F,수납!$C:$C,원생!$A201,수납!$D:$D,IF(원생!$G201="","",원생!$G201),수납!$B:$B,$B$1&amp;"-"&amp;TEXT(5,"00")&amp;"*",수납!$E:$E,"수강료")+SUMIFS(수납!$F:$F,수납!$C:$C,원생!$A201,수납!$D:$D,IF(원생!$G201="","",원생!$G201),수납!$B:$B,$B$1&amp;"-"&amp;TEXT(5,"00")&amp;"*",수납!$E:$E,""))</f>
        <v/>
      </c>
      <c r="H203" s="14">
        <f>IF(원생!$A201="","",SUMIFS(수납!$F:$F,수납!$C:$C,원생!$A201,수납!$D:$D,IF(원생!$G201="","",원생!$G201),수납!$B:$B,$B$1&amp;"-"&amp;TEXT(6,"00")&amp;"*",수납!$E:$E,"수강료")+SUMIFS(수납!$F:$F,수납!$C:$C,원생!$A201,수납!$D:$D,IF(원생!$G201="","",원생!$G201),수납!$B:$B,$B$1&amp;"-"&amp;TEXT(6,"00")&amp;"*",수납!$E:$E,""))</f>
        <v/>
      </c>
      <c r="I203" s="14">
        <f>IF(원생!$A201="","",SUMIFS(수납!$F:$F,수납!$C:$C,원생!$A201,수납!$D:$D,IF(원생!$G201="","",원생!$G201),수납!$B:$B,$B$1&amp;"-"&amp;TEXT(7,"00")&amp;"*",수납!$E:$E,"수강료")+SUMIFS(수납!$F:$F,수납!$C:$C,원생!$A201,수납!$D:$D,IF(원생!$G201="","",원생!$G201),수납!$B:$B,$B$1&amp;"-"&amp;TEXT(7,"00")&amp;"*",수납!$E:$E,""))</f>
        <v/>
      </c>
      <c r="J203" s="14">
        <f>IF(원생!$A201="","",SUMIFS(수납!$F:$F,수납!$C:$C,원생!$A201,수납!$D:$D,IF(원생!$G201="","",원생!$G201),수납!$B:$B,$B$1&amp;"-"&amp;TEXT(8,"00")&amp;"*",수납!$E:$E,"수강료")+SUMIFS(수납!$F:$F,수납!$C:$C,원생!$A201,수납!$D:$D,IF(원생!$G201="","",원생!$G201),수납!$B:$B,$B$1&amp;"-"&amp;TEXT(8,"00")&amp;"*",수납!$E:$E,""))</f>
        <v/>
      </c>
      <c r="K203" s="14">
        <f>IF(원생!$A201="","",SUMIFS(수납!$F:$F,수납!$C:$C,원생!$A201,수납!$D:$D,IF(원생!$G201="","",원생!$G201),수납!$B:$B,$B$1&amp;"-"&amp;TEXT(9,"00")&amp;"*",수납!$E:$E,"수강료")+SUMIFS(수납!$F:$F,수납!$C:$C,원생!$A201,수납!$D:$D,IF(원생!$G201="","",원생!$G201),수납!$B:$B,$B$1&amp;"-"&amp;TEXT(9,"00")&amp;"*",수납!$E:$E,""))</f>
        <v/>
      </c>
      <c r="L203" s="14">
        <f>IF(원생!$A201="","",SUMIFS(수납!$F:$F,수납!$C:$C,원생!$A201,수납!$D:$D,IF(원생!$G201="","",원생!$G201),수납!$B:$B,$B$1&amp;"-"&amp;TEXT(10,"00")&amp;"*",수납!$E:$E,"수강료")+SUMIFS(수납!$F:$F,수납!$C:$C,원생!$A201,수납!$D:$D,IF(원생!$G201="","",원생!$G201),수납!$B:$B,$B$1&amp;"-"&amp;TEXT(10,"00")&amp;"*",수납!$E:$E,""))</f>
        <v/>
      </c>
      <c r="M203" s="14">
        <f>IF(원생!$A201="","",SUMIFS(수납!$F:$F,수납!$C:$C,원생!$A201,수납!$D:$D,IF(원생!$G201="","",원생!$G201),수납!$B:$B,$B$1&amp;"-"&amp;TEXT(11,"00")&amp;"*",수납!$E:$E,"수강료")+SUMIFS(수납!$F:$F,수납!$C:$C,원생!$A201,수납!$D:$D,IF(원생!$G201="","",원생!$G201),수납!$B:$B,$B$1&amp;"-"&amp;TEXT(11,"00")&amp;"*",수납!$E:$E,""))</f>
        <v/>
      </c>
      <c r="N203" s="14">
        <f>IF(원생!$A201="","",SUMIFS(수납!$F:$F,수납!$C:$C,원생!$A201,수납!$D:$D,IF(원생!$G201="","",원생!$G201),수납!$B:$B,$B$1&amp;"-"&amp;TEXT(12,"00")&amp;"*",수납!$E:$E,"수강료")+SUMIFS(수납!$F:$F,수납!$C:$C,원생!$A201,수납!$D:$D,IF(원생!$G201="","",원생!$G201),수납!$B:$B,$B$1&amp;"-"&amp;TEXT(12,"00")&amp;"*",수납!$E:$E,""))</f>
        <v/>
      </c>
      <c r="O203">
        <f>IF(원생!$I201="","",원생!$I201)</f>
        <v/>
      </c>
      <c r="P203">
        <f>IF($A203="","",IF(AND($B203&gt;0,C203&lt;$B203,DATE($B$1,1,1)&lt;=TODAY(),OR($O203="",$O203&gt;=DATE($B$1,1,1)),OR(COUNTIF($C203:C203,"&gt;0")&gt;0,DATE($B$1,1,1)=DATE(YEAR(TODAY()),MONTH(TODAY()),1))),1,0))</f>
        <v/>
      </c>
      <c r="Q203">
        <f>IF($A203="","",IF(AND($B203&gt;0,D203&lt;$B203,DATE($B$1,2,1)&lt;=TODAY(),OR($O203="",$O203&gt;=DATE($B$1,2,1)),OR(COUNTIF($C203:D203,"&gt;0")&gt;0,DATE($B$1,2,1)=DATE(YEAR(TODAY()),MONTH(TODAY()),1))),1,0))</f>
        <v/>
      </c>
      <c r="R203">
        <f>IF($A203="","",IF(AND($B203&gt;0,E203&lt;$B203,DATE($B$1,3,1)&lt;=TODAY(),OR($O203="",$O203&gt;=DATE($B$1,3,1)),OR(COUNTIF($C203:E203,"&gt;0")&gt;0,DATE($B$1,3,1)=DATE(YEAR(TODAY()),MONTH(TODAY()),1))),1,0))</f>
        <v/>
      </c>
      <c r="S203">
        <f>IF($A203="","",IF(AND($B203&gt;0,F203&lt;$B203,DATE($B$1,4,1)&lt;=TODAY(),OR($O203="",$O203&gt;=DATE($B$1,4,1)),OR(COUNTIF($C203:F203,"&gt;0")&gt;0,DATE($B$1,4,1)=DATE(YEAR(TODAY()),MONTH(TODAY()),1))),1,0))</f>
        <v/>
      </c>
      <c r="T203">
        <f>IF($A203="","",IF(AND($B203&gt;0,G203&lt;$B203,DATE($B$1,5,1)&lt;=TODAY(),OR($O203="",$O203&gt;=DATE($B$1,5,1)),OR(COUNTIF($C203:G203,"&gt;0")&gt;0,DATE($B$1,5,1)=DATE(YEAR(TODAY()),MONTH(TODAY()),1))),1,0))</f>
        <v/>
      </c>
      <c r="U203">
        <f>IF($A203="","",IF(AND($B203&gt;0,H203&lt;$B203,DATE($B$1,6,1)&lt;=TODAY(),OR($O203="",$O203&gt;=DATE($B$1,6,1)),OR(COUNTIF($C203:H203,"&gt;0")&gt;0,DATE($B$1,6,1)=DATE(YEAR(TODAY()),MONTH(TODAY()),1))),1,0))</f>
        <v/>
      </c>
      <c r="V203">
        <f>IF($A203="","",IF(AND($B203&gt;0,I203&lt;$B203,DATE($B$1,7,1)&lt;=TODAY(),OR($O203="",$O203&gt;=DATE($B$1,7,1)),OR(COUNTIF($C203:I203,"&gt;0")&gt;0,DATE($B$1,7,1)=DATE(YEAR(TODAY()),MONTH(TODAY()),1))),1,0))</f>
        <v/>
      </c>
      <c r="W203">
        <f>IF($A203="","",IF(AND($B203&gt;0,J203&lt;$B203,DATE($B$1,8,1)&lt;=TODAY(),OR($O203="",$O203&gt;=DATE($B$1,8,1)),OR(COUNTIF($C203:J203,"&gt;0")&gt;0,DATE($B$1,8,1)=DATE(YEAR(TODAY()),MONTH(TODAY()),1))),1,0))</f>
        <v/>
      </c>
      <c r="X203">
        <f>IF($A203="","",IF(AND($B203&gt;0,K203&lt;$B203,DATE($B$1,9,1)&lt;=TODAY(),OR($O203="",$O203&gt;=DATE($B$1,9,1)),OR(COUNTIF($C203:K203,"&gt;0")&gt;0,DATE($B$1,9,1)=DATE(YEAR(TODAY()),MONTH(TODAY()),1))),1,0))</f>
        <v/>
      </c>
      <c r="Y203">
        <f>IF($A203="","",IF(AND($B203&gt;0,L203&lt;$B203,DATE($B$1,10,1)&lt;=TODAY(),OR($O203="",$O203&gt;=DATE($B$1,10,1)),OR(COUNTIF($C203:L203,"&gt;0")&gt;0,DATE($B$1,10,1)=DATE(YEAR(TODAY()),MONTH(TODAY()),1))),1,0))</f>
        <v/>
      </c>
      <c r="Z203">
        <f>IF($A203="","",IF(AND($B203&gt;0,M203&lt;$B203,DATE($B$1,11,1)&lt;=TODAY(),OR($O203="",$O203&gt;=DATE($B$1,11,1)),OR(COUNTIF($C203:M203,"&gt;0")&gt;0,DATE($B$1,11,1)=DATE(YEAR(TODAY()),MONTH(TODAY()),1))),1,0))</f>
        <v/>
      </c>
      <c r="AA203">
        <f>IF($A203="","",IF(AND($B203&gt;0,N203&lt;$B203,DATE($B$1,12,1)&lt;=TODAY(),OR($O203="",$O203&gt;=DATE($B$1,12,1)),OR(COUNTIF($C203:N203,"&gt;0")&gt;0,DATE($B$1,12,1)=DATE(YEAR(TODAY()),MONTH(TODAY()),1))),1,0))</f>
        <v/>
      </c>
    </row>
    <row r="204">
      <c r="A204" s="13">
        <f>IF(원생!$A202="","",원생!$A202&amp;IF(원생!$G202="",""," ("&amp;원생!$G202&amp;")"))</f>
        <v/>
      </c>
      <c r="B204" s="8">
        <f>IF(원생!$A202="","",원생!$F202)</f>
        <v/>
      </c>
      <c r="C204" s="14">
        <f>IF(원생!$A202="","",SUMIFS(수납!$F:$F,수납!$C:$C,원생!$A202,수납!$D:$D,IF(원생!$G202="","",원생!$G202),수납!$B:$B,$B$1&amp;"-"&amp;TEXT(1,"00")&amp;"*",수납!$E:$E,"수강료")+SUMIFS(수납!$F:$F,수납!$C:$C,원생!$A202,수납!$D:$D,IF(원생!$G202="","",원생!$G202),수납!$B:$B,$B$1&amp;"-"&amp;TEXT(1,"00")&amp;"*",수납!$E:$E,""))</f>
        <v/>
      </c>
      <c r="D204" s="14">
        <f>IF(원생!$A202="","",SUMIFS(수납!$F:$F,수납!$C:$C,원생!$A202,수납!$D:$D,IF(원생!$G202="","",원생!$G202),수납!$B:$B,$B$1&amp;"-"&amp;TEXT(2,"00")&amp;"*",수납!$E:$E,"수강료")+SUMIFS(수납!$F:$F,수납!$C:$C,원생!$A202,수납!$D:$D,IF(원생!$G202="","",원생!$G202),수납!$B:$B,$B$1&amp;"-"&amp;TEXT(2,"00")&amp;"*",수납!$E:$E,""))</f>
        <v/>
      </c>
      <c r="E204" s="14">
        <f>IF(원생!$A202="","",SUMIFS(수납!$F:$F,수납!$C:$C,원생!$A202,수납!$D:$D,IF(원생!$G202="","",원생!$G202),수납!$B:$B,$B$1&amp;"-"&amp;TEXT(3,"00")&amp;"*",수납!$E:$E,"수강료")+SUMIFS(수납!$F:$F,수납!$C:$C,원생!$A202,수납!$D:$D,IF(원생!$G202="","",원생!$G202),수납!$B:$B,$B$1&amp;"-"&amp;TEXT(3,"00")&amp;"*",수납!$E:$E,""))</f>
        <v/>
      </c>
      <c r="F204" s="14">
        <f>IF(원생!$A202="","",SUMIFS(수납!$F:$F,수납!$C:$C,원생!$A202,수납!$D:$D,IF(원생!$G202="","",원생!$G202),수납!$B:$B,$B$1&amp;"-"&amp;TEXT(4,"00")&amp;"*",수납!$E:$E,"수강료")+SUMIFS(수납!$F:$F,수납!$C:$C,원생!$A202,수납!$D:$D,IF(원생!$G202="","",원생!$G202),수납!$B:$B,$B$1&amp;"-"&amp;TEXT(4,"00")&amp;"*",수납!$E:$E,""))</f>
        <v/>
      </c>
      <c r="G204" s="14">
        <f>IF(원생!$A202="","",SUMIFS(수납!$F:$F,수납!$C:$C,원생!$A202,수납!$D:$D,IF(원생!$G202="","",원생!$G202),수납!$B:$B,$B$1&amp;"-"&amp;TEXT(5,"00")&amp;"*",수납!$E:$E,"수강료")+SUMIFS(수납!$F:$F,수납!$C:$C,원생!$A202,수납!$D:$D,IF(원생!$G202="","",원생!$G202),수납!$B:$B,$B$1&amp;"-"&amp;TEXT(5,"00")&amp;"*",수납!$E:$E,""))</f>
        <v/>
      </c>
      <c r="H204" s="14">
        <f>IF(원생!$A202="","",SUMIFS(수납!$F:$F,수납!$C:$C,원생!$A202,수납!$D:$D,IF(원생!$G202="","",원생!$G202),수납!$B:$B,$B$1&amp;"-"&amp;TEXT(6,"00")&amp;"*",수납!$E:$E,"수강료")+SUMIFS(수납!$F:$F,수납!$C:$C,원생!$A202,수납!$D:$D,IF(원생!$G202="","",원생!$G202),수납!$B:$B,$B$1&amp;"-"&amp;TEXT(6,"00")&amp;"*",수납!$E:$E,""))</f>
        <v/>
      </c>
      <c r="I204" s="14">
        <f>IF(원생!$A202="","",SUMIFS(수납!$F:$F,수납!$C:$C,원생!$A202,수납!$D:$D,IF(원생!$G202="","",원생!$G202),수납!$B:$B,$B$1&amp;"-"&amp;TEXT(7,"00")&amp;"*",수납!$E:$E,"수강료")+SUMIFS(수납!$F:$F,수납!$C:$C,원생!$A202,수납!$D:$D,IF(원생!$G202="","",원생!$G202),수납!$B:$B,$B$1&amp;"-"&amp;TEXT(7,"00")&amp;"*",수납!$E:$E,""))</f>
        <v/>
      </c>
      <c r="J204" s="14">
        <f>IF(원생!$A202="","",SUMIFS(수납!$F:$F,수납!$C:$C,원생!$A202,수납!$D:$D,IF(원생!$G202="","",원생!$G202),수납!$B:$B,$B$1&amp;"-"&amp;TEXT(8,"00")&amp;"*",수납!$E:$E,"수강료")+SUMIFS(수납!$F:$F,수납!$C:$C,원생!$A202,수납!$D:$D,IF(원생!$G202="","",원생!$G202),수납!$B:$B,$B$1&amp;"-"&amp;TEXT(8,"00")&amp;"*",수납!$E:$E,""))</f>
        <v/>
      </c>
      <c r="K204" s="14">
        <f>IF(원생!$A202="","",SUMIFS(수납!$F:$F,수납!$C:$C,원생!$A202,수납!$D:$D,IF(원생!$G202="","",원생!$G202),수납!$B:$B,$B$1&amp;"-"&amp;TEXT(9,"00")&amp;"*",수납!$E:$E,"수강료")+SUMIFS(수납!$F:$F,수납!$C:$C,원생!$A202,수납!$D:$D,IF(원생!$G202="","",원생!$G202),수납!$B:$B,$B$1&amp;"-"&amp;TEXT(9,"00")&amp;"*",수납!$E:$E,""))</f>
        <v/>
      </c>
      <c r="L204" s="14">
        <f>IF(원생!$A202="","",SUMIFS(수납!$F:$F,수납!$C:$C,원생!$A202,수납!$D:$D,IF(원생!$G202="","",원생!$G202),수납!$B:$B,$B$1&amp;"-"&amp;TEXT(10,"00")&amp;"*",수납!$E:$E,"수강료")+SUMIFS(수납!$F:$F,수납!$C:$C,원생!$A202,수납!$D:$D,IF(원생!$G202="","",원생!$G202),수납!$B:$B,$B$1&amp;"-"&amp;TEXT(10,"00")&amp;"*",수납!$E:$E,""))</f>
        <v/>
      </c>
      <c r="M204" s="14">
        <f>IF(원생!$A202="","",SUMIFS(수납!$F:$F,수납!$C:$C,원생!$A202,수납!$D:$D,IF(원생!$G202="","",원생!$G202),수납!$B:$B,$B$1&amp;"-"&amp;TEXT(11,"00")&amp;"*",수납!$E:$E,"수강료")+SUMIFS(수납!$F:$F,수납!$C:$C,원생!$A202,수납!$D:$D,IF(원생!$G202="","",원생!$G202),수납!$B:$B,$B$1&amp;"-"&amp;TEXT(11,"00")&amp;"*",수납!$E:$E,""))</f>
        <v/>
      </c>
      <c r="N204" s="14">
        <f>IF(원생!$A202="","",SUMIFS(수납!$F:$F,수납!$C:$C,원생!$A202,수납!$D:$D,IF(원생!$G202="","",원생!$G202),수납!$B:$B,$B$1&amp;"-"&amp;TEXT(12,"00")&amp;"*",수납!$E:$E,"수강료")+SUMIFS(수납!$F:$F,수납!$C:$C,원생!$A202,수납!$D:$D,IF(원생!$G202="","",원생!$G202),수납!$B:$B,$B$1&amp;"-"&amp;TEXT(12,"00")&amp;"*",수납!$E:$E,""))</f>
        <v/>
      </c>
      <c r="O204">
        <f>IF(원생!$I202="","",원생!$I202)</f>
        <v/>
      </c>
      <c r="P204">
        <f>IF($A204="","",IF(AND($B204&gt;0,C204&lt;$B204,DATE($B$1,1,1)&lt;=TODAY(),OR($O204="",$O204&gt;=DATE($B$1,1,1)),OR(COUNTIF($C204:C204,"&gt;0")&gt;0,DATE($B$1,1,1)=DATE(YEAR(TODAY()),MONTH(TODAY()),1))),1,0))</f>
        <v/>
      </c>
      <c r="Q204">
        <f>IF($A204="","",IF(AND($B204&gt;0,D204&lt;$B204,DATE($B$1,2,1)&lt;=TODAY(),OR($O204="",$O204&gt;=DATE($B$1,2,1)),OR(COUNTIF($C204:D204,"&gt;0")&gt;0,DATE($B$1,2,1)=DATE(YEAR(TODAY()),MONTH(TODAY()),1))),1,0))</f>
        <v/>
      </c>
      <c r="R204">
        <f>IF($A204="","",IF(AND($B204&gt;0,E204&lt;$B204,DATE($B$1,3,1)&lt;=TODAY(),OR($O204="",$O204&gt;=DATE($B$1,3,1)),OR(COUNTIF($C204:E204,"&gt;0")&gt;0,DATE($B$1,3,1)=DATE(YEAR(TODAY()),MONTH(TODAY()),1))),1,0))</f>
        <v/>
      </c>
      <c r="S204">
        <f>IF($A204="","",IF(AND($B204&gt;0,F204&lt;$B204,DATE($B$1,4,1)&lt;=TODAY(),OR($O204="",$O204&gt;=DATE($B$1,4,1)),OR(COUNTIF($C204:F204,"&gt;0")&gt;0,DATE($B$1,4,1)=DATE(YEAR(TODAY()),MONTH(TODAY()),1))),1,0))</f>
        <v/>
      </c>
      <c r="T204">
        <f>IF($A204="","",IF(AND($B204&gt;0,G204&lt;$B204,DATE($B$1,5,1)&lt;=TODAY(),OR($O204="",$O204&gt;=DATE($B$1,5,1)),OR(COUNTIF($C204:G204,"&gt;0")&gt;0,DATE($B$1,5,1)=DATE(YEAR(TODAY()),MONTH(TODAY()),1))),1,0))</f>
        <v/>
      </c>
      <c r="U204">
        <f>IF($A204="","",IF(AND($B204&gt;0,H204&lt;$B204,DATE($B$1,6,1)&lt;=TODAY(),OR($O204="",$O204&gt;=DATE($B$1,6,1)),OR(COUNTIF($C204:H204,"&gt;0")&gt;0,DATE($B$1,6,1)=DATE(YEAR(TODAY()),MONTH(TODAY()),1))),1,0))</f>
        <v/>
      </c>
      <c r="V204">
        <f>IF($A204="","",IF(AND($B204&gt;0,I204&lt;$B204,DATE($B$1,7,1)&lt;=TODAY(),OR($O204="",$O204&gt;=DATE($B$1,7,1)),OR(COUNTIF($C204:I204,"&gt;0")&gt;0,DATE($B$1,7,1)=DATE(YEAR(TODAY()),MONTH(TODAY()),1))),1,0))</f>
        <v/>
      </c>
      <c r="W204">
        <f>IF($A204="","",IF(AND($B204&gt;0,J204&lt;$B204,DATE($B$1,8,1)&lt;=TODAY(),OR($O204="",$O204&gt;=DATE($B$1,8,1)),OR(COUNTIF($C204:J204,"&gt;0")&gt;0,DATE($B$1,8,1)=DATE(YEAR(TODAY()),MONTH(TODAY()),1))),1,0))</f>
        <v/>
      </c>
      <c r="X204">
        <f>IF($A204="","",IF(AND($B204&gt;0,K204&lt;$B204,DATE($B$1,9,1)&lt;=TODAY(),OR($O204="",$O204&gt;=DATE($B$1,9,1)),OR(COUNTIF($C204:K204,"&gt;0")&gt;0,DATE($B$1,9,1)=DATE(YEAR(TODAY()),MONTH(TODAY()),1))),1,0))</f>
        <v/>
      </c>
      <c r="Y204">
        <f>IF($A204="","",IF(AND($B204&gt;0,L204&lt;$B204,DATE($B$1,10,1)&lt;=TODAY(),OR($O204="",$O204&gt;=DATE($B$1,10,1)),OR(COUNTIF($C204:L204,"&gt;0")&gt;0,DATE($B$1,10,1)=DATE(YEAR(TODAY()),MONTH(TODAY()),1))),1,0))</f>
        <v/>
      </c>
      <c r="Z204">
        <f>IF($A204="","",IF(AND($B204&gt;0,M204&lt;$B204,DATE($B$1,11,1)&lt;=TODAY(),OR($O204="",$O204&gt;=DATE($B$1,11,1)),OR(COUNTIF($C204:M204,"&gt;0")&gt;0,DATE($B$1,11,1)=DATE(YEAR(TODAY()),MONTH(TODAY()),1))),1,0))</f>
        <v/>
      </c>
      <c r="AA204">
        <f>IF($A204="","",IF(AND($B204&gt;0,N204&lt;$B204,DATE($B$1,12,1)&lt;=TODAY(),OR($O204="",$O204&gt;=DATE($B$1,12,1)),OR(COUNTIF($C204:N204,"&gt;0")&gt;0,DATE($B$1,12,1)=DATE(YEAR(TODAY()),MONTH(TODAY()),1))),1,0))</f>
        <v/>
      </c>
    </row>
    <row r="205">
      <c r="A205" s="13">
        <f>IF(원생!$A203="","",원생!$A203&amp;IF(원생!$G203="",""," ("&amp;원생!$G203&amp;")"))</f>
        <v/>
      </c>
      <c r="B205" s="8">
        <f>IF(원생!$A203="","",원생!$F203)</f>
        <v/>
      </c>
      <c r="C205" s="14">
        <f>IF(원생!$A203="","",SUMIFS(수납!$F:$F,수납!$C:$C,원생!$A203,수납!$D:$D,IF(원생!$G203="","",원생!$G203),수납!$B:$B,$B$1&amp;"-"&amp;TEXT(1,"00")&amp;"*",수납!$E:$E,"수강료")+SUMIFS(수납!$F:$F,수납!$C:$C,원생!$A203,수납!$D:$D,IF(원생!$G203="","",원생!$G203),수납!$B:$B,$B$1&amp;"-"&amp;TEXT(1,"00")&amp;"*",수납!$E:$E,""))</f>
        <v/>
      </c>
      <c r="D205" s="14">
        <f>IF(원생!$A203="","",SUMIFS(수납!$F:$F,수납!$C:$C,원생!$A203,수납!$D:$D,IF(원생!$G203="","",원생!$G203),수납!$B:$B,$B$1&amp;"-"&amp;TEXT(2,"00")&amp;"*",수납!$E:$E,"수강료")+SUMIFS(수납!$F:$F,수납!$C:$C,원생!$A203,수납!$D:$D,IF(원생!$G203="","",원생!$G203),수납!$B:$B,$B$1&amp;"-"&amp;TEXT(2,"00")&amp;"*",수납!$E:$E,""))</f>
        <v/>
      </c>
      <c r="E205" s="14">
        <f>IF(원생!$A203="","",SUMIFS(수납!$F:$F,수납!$C:$C,원생!$A203,수납!$D:$D,IF(원생!$G203="","",원생!$G203),수납!$B:$B,$B$1&amp;"-"&amp;TEXT(3,"00")&amp;"*",수납!$E:$E,"수강료")+SUMIFS(수납!$F:$F,수납!$C:$C,원생!$A203,수납!$D:$D,IF(원생!$G203="","",원생!$G203),수납!$B:$B,$B$1&amp;"-"&amp;TEXT(3,"00")&amp;"*",수납!$E:$E,""))</f>
        <v/>
      </c>
      <c r="F205" s="14">
        <f>IF(원생!$A203="","",SUMIFS(수납!$F:$F,수납!$C:$C,원생!$A203,수납!$D:$D,IF(원생!$G203="","",원생!$G203),수납!$B:$B,$B$1&amp;"-"&amp;TEXT(4,"00")&amp;"*",수납!$E:$E,"수강료")+SUMIFS(수납!$F:$F,수납!$C:$C,원생!$A203,수납!$D:$D,IF(원생!$G203="","",원생!$G203),수납!$B:$B,$B$1&amp;"-"&amp;TEXT(4,"00")&amp;"*",수납!$E:$E,""))</f>
        <v/>
      </c>
      <c r="G205" s="14">
        <f>IF(원생!$A203="","",SUMIFS(수납!$F:$F,수납!$C:$C,원생!$A203,수납!$D:$D,IF(원생!$G203="","",원생!$G203),수납!$B:$B,$B$1&amp;"-"&amp;TEXT(5,"00")&amp;"*",수납!$E:$E,"수강료")+SUMIFS(수납!$F:$F,수납!$C:$C,원생!$A203,수납!$D:$D,IF(원생!$G203="","",원생!$G203),수납!$B:$B,$B$1&amp;"-"&amp;TEXT(5,"00")&amp;"*",수납!$E:$E,""))</f>
        <v/>
      </c>
      <c r="H205" s="14">
        <f>IF(원생!$A203="","",SUMIFS(수납!$F:$F,수납!$C:$C,원생!$A203,수납!$D:$D,IF(원생!$G203="","",원생!$G203),수납!$B:$B,$B$1&amp;"-"&amp;TEXT(6,"00")&amp;"*",수납!$E:$E,"수강료")+SUMIFS(수납!$F:$F,수납!$C:$C,원생!$A203,수납!$D:$D,IF(원생!$G203="","",원생!$G203),수납!$B:$B,$B$1&amp;"-"&amp;TEXT(6,"00")&amp;"*",수납!$E:$E,""))</f>
        <v/>
      </c>
      <c r="I205" s="14">
        <f>IF(원생!$A203="","",SUMIFS(수납!$F:$F,수납!$C:$C,원생!$A203,수납!$D:$D,IF(원생!$G203="","",원생!$G203),수납!$B:$B,$B$1&amp;"-"&amp;TEXT(7,"00")&amp;"*",수납!$E:$E,"수강료")+SUMIFS(수납!$F:$F,수납!$C:$C,원생!$A203,수납!$D:$D,IF(원생!$G203="","",원생!$G203),수납!$B:$B,$B$1&amp;"-"&amp;TEXT(7,"00")&amp;"*",수납!$E:$E,""))</f>
        <v/>
      </c>
      <c r="J205" s="14">
        <f>IF(원생!$A203="","",SUMIFS(수납!$F:$F,수납!$C:$C,원생!$A203,수납!$D:$D,IF(원생!$G203="","",원생!$G203),수납!$B:$B,$B$1&amp;"-"&amp;TEXT(8,"00")&amp;"*",수납!$E:$E,"수강료")+SUMIFS(수납!$F:$F,수납!$C:$C,원생!$A203,수납!$D:$D,IF(원생!$G203="","",원생!$G203),수납!$B:$B,$B$1&amp;"-"&amp;TEXT(8,"00")&amp;"*",수납!$E:$E,""))</f>
        <v/>
      </c>
      <c r="K205" s="14">
        <f>IF(원생!$A203="","",SUMIFS(수납!$F:$F,수납!$C:$C,원생!$A203,수납!$D:$D,IF(원생!$G203="","",원생!$G203),수납!$B:$B,$B$1&amp;"-"&amp;TEXT(9,"00")&amp;"*",수납!$E:$E,"수강료")+SUMIFS(수납!$F:$F,수납!$C:$C,원생!$A203,수납!$D:$D,IF(원생!$G203="","",원생!$G203),수납!$B:$B,$B$1&amp;"-"&amp;TEXT(9,"00")&amp;"*",수납!$E:$E,""))</f>
        <v/>
      </c>
      <c r="L205" s="14">
        <f>IF(원생!$A203="","",SUMIFS(수납!$F:$F,수납!$C:$C,원생!$A203,수납!$D:$D,IF(원생!$G203="","",원생!$G203),수납!$B:$B,$B$1&amp;"-"&amp;TEXT(10,"00")&amp;"*",수납!$E:$E,"수강료")+SUMIFS(수납!$F:$F,수납!$C:$C,원생!$A203,수납!$D:$D,IF(원생!$G203="","",원생!$G203),수납!$B:$B,$B$1&amp;"-"&amp;TEXT(10,"00")&amp;"*",수납!$E:$E,""))</f>
        <v/>
      </c>
      <c r="M205" s="14">
        <f>IF(원생!$A203="","",SUMIFS(수납!$F:$F,수납!$C:$C,원생!$A203,수납!$D:$D,IF(원생!$G203="","",원생!$G203),수납!$B:$B,$B$1&amp;"-"&amp;TEXT(11,"00")&amp;"*",수납!$E:$E,"수강료")+SUMIFS(수납!$F:$F,수납!$C:$C,원생!$A203,수납!$D:$D,IF(원생!$G203="","",원생!$G203),수납!$B:$B,$B$1&amp;"-"&amp;TEXT(11,"00")&amp;"*",수납!$E:$E,""))</f>
        <v/>
      </c>
      <c r="N205" s="14">
        <f>IF(원생!$A203="","",SUMIFS(수납!$F:$F,수납!$C:$C,원생!$A203,수납!$D:$D,IF(원생!$G203="","",원생!$G203),수납!$B:$B,$B$1&amp;"-"&amp;TEXT(12,"00")&amp;"*",수납!$E:$E,"수강료")+SUMIFS(수납!$F:$F,수납!$C:$C,원생!$A203,수납!$D:$D,IF(원생!$G203="","",원생!$G203),수납!$B:$B,$B$1&amp;"-"&amp;TEXT(12,"00")&amp;"*",수납!$E:$E,""))</f>
        <v/>
      </c>
      <c r="O205">
        <f>IF(원생!$I203="","",원생!$I203)</f>
        <v/>
      </c>
      <c r="P205">
        <f>IF($A205="","",IF(AND($B205&gt;0,C205&lt;$B205,DATE($B$1,1,1)&lt;=TODAY(),OR($O205="",$O205&gt;=DATE($B$1,1,1)),OR(COUNTIF($C205:C205,"&gt;0")&gt;0,DATE($B$1,1,1)=DATE(YEAR(TODAY()),MONTH(TODAY()),1))),1,0))</f>
        <v/>
      </c>
      <c r="Q205">
        <f>IF($A205="","",IF(AND($B205&gt;0,D205&lt;$B205,DATE($B$1,2,1)&lt;=TODAY(),OR($O205="",$O205&gt;=DATE($B$1,2,1)),OR(COUNTIF($C205:D205,"&gt;0")&gt;0,DATE($B$1,2,1)=DATE(YEAR(TODAY()),MONTH(TODAY()),1))),1,0))</f>
        <v/>
      </c>
      <c r="R205">
        <f>IF($A205="","",IF(AND($B205&gt;0,E205&lt;$B205,DATE($B$1,3,1)&lt;=TODAY(),OR($O205="",$O205&gt;=DATE($B$1,3,1)),OR(COUNTIF($C205:E205,"&gt;0")&gt;0,DATE($B$1,3,1)=DATE(YEAR(TODAY()),MONTH(TODAY()),1))),1,0))</f>
        <v/>
      </c>
      <c r="S205">
        <f>IF($A205="","",IF(AND($B205&gt;0,F205&lt;$B205,DATE($B$1,4,1)&lt;=TODAY(),OR($O205="",$O205&gt;=DATE($B$1,4,1)),OR(COUNTIF($C205:F205,"&gt;0")&gt;0,DATE($B$1,4,1)=DATE(YEAR(TODAY()),MONTH(TODAY()),1))),1,0))</f>
        <v/>
      </c>
      <c r="T205">
        <f>IF($A205="","",IF(AND($B205&gt;0,G205&lt;$B205,DATE($B$1,5,1)&lt;=TODAY(),OR($O205="",$O205&gt;=DATE($B$1,5,1)),OR(COUNTIF($C205:G205,"&gt;0")&gt;0,DATE($B$1,5,1)=DATE(YEAR(TODAY()),MONTH(TODAY()),1))),1,0))</f>
        <v/>
      </c>
      <c r="U205">
        <f>IF($A205="","",IF(AND($B205&gt;0,H205&lt;$B205,DATE($B$1,6,1)&lt;=TODAY(),OR($O205="",$O205&gt;=DATE($B$1,6,1)),OR(COUNTIF($C205:H205,"&gt;0")&gt;0,DATE($B$1,6,1)=DATE(YEAR(TODAY()),MONTH(TODAY()),1))),1,0))</f>
        <v/>
      </c>
      <c r="V205">
        <f>IF($A205="","",IF(AND($B205&gt;0,I205&lt;$B205,DATE($B$1,7,1)&lt;=TODAY(),OR($O205="",$O205&gt;=DATE($B$1,7,1)),OR(COUNTIF($C205:I205,"&gt;0")&gt;0,DATE($B$1,7,1)=DATE(YEAR(TODAY()),MONTH(TODAY()),1))),1,0))</f>
        <v/>
      </c>
      <c r="W205">
        <f>IF($A205="","",IF(AND($B205&gt;0,J205&lt;$B205,DATE($B$1,8,1)&lt;=TODAY(),OR($O205="",$O205&gt;=DATE($B$1,8,1)),OR(COUNTIF($C205:J205,"&gt;0")&gt;0,DATE($B$1,8,1)=DATE(YEAR(TODAY()),MONTH(TODAY()),1))),1,0))</f>
        <v/>
      </c>
      <c r="X205">
        <f>IF($A205="","",IF(AND($B205&gt;0,K205&lt;$B205,DATE($B$1,9,1)&lt;=TODAY(),OR($O205="",$O205&gt;=DATE($B$1,9,1)),OR(COUNTIF($C205:K205,"&gt;0")&gt;0,DATE($B$1,9,1)=DATE(YEAR(TODAY()),MONTH(TODAY()),1))),1,0))</f>
        <v/>
      </c>
      <c r="Y205">
        <f>IF($A205="","",IF(AND($B205&gt;0,L205&lt;$B205,DATE($B$1,10,1)&lt;=TODAY(),OR($O205="",$O205&gt;=DATE($B$1,10,1)),OR(COUNTIF($C205:L205,"&gt;0")&gt;0,DATE($B$1,10,1)=DATE(YEAR(TODAY()),MONTH(TODAY()),1))),1,0))</f>
        <v/>
      </c>
      <c r="Z205">
        <f>IF($A205="","",IF(AND($B205&gt;0,M205&lt;$B205,DATE($B$1,11,1)&lt;=TODAY(),OR($O205="",$O205&gt;=DATE($B$1,11,1)),OR(COUNTIF($C205:M205,"&gt;0")&gt;0,DATE($B$1,11,1)=DATE(YEAR(TODAY()),MONTH(TODAY()),1))),1,0))</f>
        <v/>
      </c>
      <c r="AA205">
        <f>IF($A205="","",IF(AND($B205&gt;0,N205&lt;$B205,DATE($B$1,12,1)&lt;=TODAY(),OR($O205="",$O205&gt;=DATE($B$1,12,1)),OR(COUNTIF($C205:N205,"&gt;0")&gt;0,DATE($B$1,12,1)=DATE(YEAR(TODAY()),MONTH(TODAY()),1))),1,0))</f>
        <v/>
      </c>
    </row>
    <row r="206">
      <c r="A206" s="13">
        <f>IF(원생!$A204="","",원생!$A204&amp;IF(원생!$G204="",""," ("&amp;원생!$G204&amp;")"))</f>
        <v/>
      </c>
      <c r="B206" s="8">
        <f>IF(원생!$A204="","",원생!$F204)</f>
        <v/>
      </c>
      <c r="C206" s="14">
        <f>IF(원생!$A204="","",SUMIFS(수납!$F:$F,수납!$C:$C,원생!$A204,수납!$D:$D,IF(원생!$G204="","",원생!$G204),수납!$B:$B,$B$1&amp;"-"&amp;TEXT(1,"00")&amp;"*",수납!$E:$E,"수강료")+SUMIFS(수납!$F:$F,수납!$C:$C,원생!$A204,수납!$D:$D,IF(원생!$G204="","",원생!$G204),수납!$B:$B,$B$1&amp;"-"&amp;TEXT(1,"00")&amp;"*",수납!$E:$E,""))</f>
        <v/>
      </c>
      <c r="D206" s="14">
        <f>IF(원생!$A204="","",SUMIFS(수납!$F:$F,수납!$C:$C,원생!$A204,수납!$D:$D,IF(원생!$G204="","",원생!$G204),수납!$B:$B,$B$1&amp;"-"&amp;TEXT(2,"00")&amp;"*",수납!$E:$E,"수강료")+SUMIFS(수납!$F:$F,수납!$C:$C,원생!$A204,수납!$D:$D,IF(원생!$G204="","",원생!$G204),수납!$B:$B,$B$1&amp;"-"&amp;TEXT(2,"00")&amp;"*",수납!$E:$E,""))</f>
        <v/>
      </c>
      <c r="E206" s="14">
        <f>IF(원생!$A204="","",SUMIFS(수납!$F:$F,수납!$C:$C,원생!$A204,수납!$D:$D,IF(원생!$G204="","",원생!$G204),수납!$B:$B,$B$1&amp;"-"&amp;TEXT(3,"00")&amp;"*",수납!$E:$E,"수강료")+SUMIFS(수납!$F:$F,수납!$C:$C,원생!$A204,수납!$D:$D,IF(원생!$G204="","",원생!$G204),수납!$B:$B,$B$1&amp;"-"&amp;TEXT(3,"00")&amp;"*",수납!$E:$E,""))</f>
        <v/>
      </c>
      <c r="F206" s="14">
        <f>IF(원생!$A204="","",SUMIFS(수납!$F:$F,수납!$C:$C,원생!$A204,수납!$D:$D,IF(원생!$G204="","",원생!$G204),수납!$B:$B,$B$1&amp;"-"&amp;TEXT(4,"00")&amp;"*",수납!$E:$E,"수강료")+SUMIFS(수납!$F:$F,수납!$C:$C,원생!$A204,수납!$D:$D,IF(원생!$G204="","",원생!$G204),수납!$B:$B,$B$1&amp;"-"&amp;TEXT(4,"00")&amp;"*",수납!$E:$E,""))</f>
        <v/>
      </c>
      <c r="G206" s="14">
        <f>IF(원생!$A204="","",SUMIFS(수납!$F:$F,수납!$C:$C,원생!$A204,수납!$D:$D,IF(원생!$G204="","",원생!$G204),수납!$B:$B,$B$1&amp;"-"&amp;TEXT(5,"00")&amp;"*",수납!$E:$E,"수강료")+SUMIFS(수납!$F:$F,수납!$C:$C,원생!$A204,수납!$D:$D,IF(원생!$G204="","",원생!$G204),수납!$B:$B,$B$1&amp;"-"&amp;TEXT(5,"00")&amp;"*",수납!$E:$E,""))</f>
        <v/>
      </c>
      <c r="H206" s="14">
        <f>IF(원생!$A204="","",SUMIFS(수납!$F:$F,수납!$C:$C,원생!$A204,수납!$D:$D,IF(원생!$G204="","",원생!$G204),수납!$B:$B,$B$1&amp;"-"&amp;TEXT(6,"00")&amp;"*",수납!$E:$E,"수강료")+SUMIFS(수납!$F:$F,수납!$C:$C,원생!$A204,수납!$D:$D,IF(원생!$G204="","",원생!$G204),수납!$B:$B,$B$1&amp;"-"&amp;TEXT(6,"00")&amp;"*",수납!$E:$E,""))</f>
        <v/>
      </c>
      <c r="I206" s="14">
        <f>IF(원생!$A204="","",SUMIFS(수납!$F:$F,수납!$C:$C,원생!$A204,수납!$D:$D,IF(원생!$G204="","",원생!$G204),수납!$B:$B,$B$1&amp;"-"&amp;TEXT(7,"00")&amp;"*",수납!$E:$E,"수강료")+SUMIFS(수납!$F:$F,수납!$C:$C,원생!$A204,수납!$D:$D,IF(원생!$G204="","",원생!$G204),수납!$B:$B,$B$1&amp;"-"&amp;TEXT(7,"00")&amp;"*",수납!$E:$E,""))</f>
        <v/>
      </c>
      <c r="J206" s="14">
        <f>IF(원생!$A204="","",SUMIFS(수납!$F:$F,수납!$C:$C,원생!$A204,수납!$D:$D,IF(원생!$G204="","",원생!$G204),수납!$B:$B,$B$1&amp;"-"&amp;TEXT(8,"00")&amp;"*",수납!$E:$E,"수강료")+SUMIFS(수납!$F:$F,수납!$C:$C,원생!$A204,수납!$D:$D,IF(원생!$G204="","",원생!$G204),수납!$B:$B,$B$1&amp;"-"&amp;TEXT(8,"00")&amp;"*",수납!$E:$E,""))</f>
        <v/>
      </c>
      <c r="K206" s="14">
        <f>IF(원생!$A204="","",SUMIFS(수납!$F:$F,수납!$C:$C,원생!$A204,수납!$D:$D,IF(원생!$G204="","",원생!$G204),수납!$B:$B,$B$1&amp;"-"&amp;TEXT(9,"00")&amp;"*",수납!$E:$E,"수강료")+SUMIFS(수납!$F:$F,수납!$C:$C,원생!$A204,수납!$D:$D,IF(원생!$G204="","",원생!$G204),수납!$B:$B,$B$1&amp;"-"&amp;TEXT(9,"00")&amp;"*",수납!$E:$E,""))</f>
        <v/>
      </c>
      <c r="L206" s="14">
        <f>IF(원생!$A204="","",SUMIFS(수납!$F:$F,수납!$C:$C,원생!$A204,수납!$D:$D,IF(원생!$G204="","",원생!$G204),수납!$B:$B,$B$1&amp;"-"&amp;TEXT(10,"00")&amp;"*",수납!$E:$E,"수강료")+SUMIFS(수납!$F:$F,수납!$C:$C,원생!$A204,수납!$D:$D,IF(원생!$G204="","",원생!$G204),수납!$B:$B,$B$1&amp;"-"&amp;TEXT(10,"00")&amp;"*",수납!$E:$E,""))</f>
        <v/>
      </c>
      <c r="M206" s="14">
        <f>IF(원생!$A204="","",SUMIFS(수납!$F:$F,수납!$C:$C,원생!$A204,수납!$D:$D,IF(원생!$G204="","",원생!$G204),수납!$B:$B,$B$1&amp;"-"&amp;TEXT(11,"00")&amp;"*",수납!$E:$E,"수강료")+SUMIFS(수납!$F:$F,수납!$C:$C,원생!$A204,수납!$D:$D,IF(원생!$G204="","",원생!$G204),수납!$B:$B,$B$1&amp;"-"&amp;TEXT(11,"00")&amp;"*",수납!$E:$E,""))</f>
        <v/>
      </c>
      <c r="N206" s="14">
        <f>IF(원생!$A204="","",SUMIFS(수납!$F:$F,수납!$C:$C,원생!$A204,수납!$D:$D,IF(원생!$G204="","",원생!$G204),수납!$B:$B,$B$1&amp;"-"&amp;TEXT(12,"00")&amp;"*",수납!$E:$E,"수강료")+SUMIFS(수납!$F:$F,수납!$C:$C,원생!$A204,수납!$D:$D,IF(원생!$G204="","",원생!$G204),수납!$B:$B,$B$1&amp;"-"&amp;TEXT(12,"00")&amp;"*",수납!$E:$E,""))</f>
        <v/>
      </c>
      <c r="O206">
        <f>IF(원생!$I204="","",원생!$I204)</f>
        <v/>
      </c>
      <c r="P206">
        <f>IF($A206="","",IF(AND($B206&gt;0,C206&lt;$B206,DATE($B$1,1,1)&lt;=TODAY(),OR($O206="",$O206&gt;=DATE($B$1,1,1)),OR(COUNTIF($C206:C206,"&gt;0")&gt;0,DATE($B$1,1,1)=DATE(YEAR(TODAY()),MONTH(TODAY()),1))),1,0))</f>
        <v/>
      </c>
      <c r="Q206">
        <f>IF($A206="","",IF(AND($B206&gt;0,D206&lt;$B206,DATE($B$1,2,1)&lt;=TODAY(),OR($O206="",$O206&gt;=DATE($B$1,2,1)),OR(COUNTIF($C206:D206,"&gt;0")&gt;0,DATE($B$1,2,1)=DATE(YEAR(TODAY()),MONTH(TODAY()),1))),1,0))</f>
        <v/>
      </c>
      <c r="R206">
        <f>IF($A206="","",IF(AND($B206&gt;0,E206&lt;$B206,DATE($B$1,3,1)&lt;=TODAY(),OR($O206="",$O206&gt;=DATE($B$1,3,1)),OR(COUNTIF($C206:E206,"&gt;0")&gt;0,DATE($B$1,3,1)=DATE(YEAR(TODAY()),MONTH(TODAY()),1))),1,0))</f>
        <v/>
      </c>
      <c r="S206">
        <f>IF($A206="","",IF(AND($B206&gt;0,F206&lt;$B206,DATE($B$1,4,1)&lt;=TODAY(),OR($O206="",$O206&gt;=DATE($B$1,4,1)),OR(COUNTIF($C206:F206,"&gt;0")&gt;0,DATE($B$1,4,1)=DATE(YEAR(TODAY()),MONTH(TODAY()),1))),1,0))</f>
        <v/>
      </c>
      <c r="T206">
        <f>IF($A206="","",IF(AND($B206&gt;0,G206&lt;$B206,DATE($B$1,5,1)&lt;=TODAY(),OR($O206="",$O206&gt;=DATE($B$1,5,1)),OR(COUNTIF($C206:G206,"&gt;0")&gt;0,DATE($B$1,5,1)=DATE(YEAR(TODAY()),MONTH(TODAY()),1))),1,0))</f>
        <v/>
      </c>
      <c r="U206">
        <f>IF($A206="","",IF(AND($B206&gt;0,H206&lt;$B206,DATE($B$1,6,1)&lt;=TODAY(),OR($O206="",$O206&gt;=DATE($B$1,6,1)),OR(COUNTIF($C206:H206,"&gt;0")&gt;0,DATE($B$1,6,1)=DATE(YEAR(TODAY()),MONTH(TODAY()),1))),1,0))</f>
        <v/>
      </c>
      <c r="V206">
        <f>IF($A206="","",IF(AND($B206&gt;0,I206&lt;$B206,DATE($B$1,7,1)&lt;=TODAY(),OR($O206="",$O206&gt;=DATE($B$1,7,1)),OR(COUNTIF($C206:I206,"&gt;0")&gt;0,DATE($B$1,7,1)=DATE(YEAR(TODAY()),MONTH(TODAY()),1))),1,0))</f>
        <v/>
      </c>
      <c r="W206">
        <f>IF($A206="","",IF(AND($B206&gt;0,J206&lt;$B206,DATE($B$1,8,1)&lt;=TODAY(),OR($O206="",$O206&gt;=DATE($B$1,8,1)),OR(COUNTIF($C206:J206,"&gt;0")&gt;0,DATE($B$1,8,1)=DATE(YEAR(TODAY()),MONTH(TODAY()),1))),1,0))</f>
        <v/>
      </c>
      <c r="X206">
        <f>IF($A206="","",IF(AND($B206&gt;0,K206&lt;$B206,DATE($B$1,9,1)&lt;=TODAY(),OR($O206="",$O206&gt;=DATE($B$1,9,1)),OR(COUNTIF($C206:K206,"&gt;0")&gt;0,DATE($B$1,9,1)=DATE(YEAR(TODAY()),MONTH(TODAY()),1))),1,0))</f>
        <v/>
      </c>
      <c r="Y206">
        <f>IF($A206="","",IF(AND($B206&gt;0,L206&lt;$B206,DATE($B$1,10,1)&lt;=TODAY(),OR($O206="",$O206&gt;=DATE($B$1,10,1)),OR(COUNTIF($C206:L206,"&gt;0")&gt;0,DATE($B$1,10,1)=DATE(YEAR(TODAY()),MONTH(TODAY()),1))),1,0))</f>
        <v/>
      </c>
      <c r="Z206">
        <f>IF($A206="","",IF(AND($B206&gt;0,M206&lt;$B206,DATE($B$1,11,1)&lt;=TODAY(),OR($O206="",$O206&gt;=DATE($B$1,11,1)),OR(COUNTIF($C206:M206,"&gt;0")&gt;0,DATE($B$1,11,1)=DATE(YEAR(TODAY()),MONTH(TODAY()),1))),1,0))</f>
        <v/>
      </c>
      <c r="AA206">
        <f>IF($A206="","",IF(AND($B206&gt;0,N206&lt;$B206,DATE($B$1,12,1)&lt;=TODAY(),OR($O206="",$O206&gt;=DATE($B$1,12,1)),OR(COUNTIF($C206:N206,"&gt;0")&gt;0,DATE($B$1,12,1)=DATE(YEAR(TODAY()),MONTH(TODAY()),1))),1,0))</f>
        <v/>
      </c>
    </row>
    <row r="207">
      <c r="A207" s="13">
        <f>IF(원생!$A205="","",원생!$A205&amp;IF(원생!$G205="",""," ("&amp;원생!$G205&amp;")"))</f>
        <v/>
      </c>
      <c r="B207" s="8">
        <f>IF(원생!$A205="","",원생!$F205)</f>
        <v/>
      </c>
      <c r="C207" s="14">
        <f>IF(원생!$A205="","",SUMIFS(수납!$F:$F,수납!$C:$C,원생!$A205,수납!$D:$D,IF(원생!$G205="","",원생!$G205),수납!$B:$B,$B$1&amp;"-"&amp;TEXT(1,"00")&amp;"*",수납!$E:$E,"수강료")+SUMIFS(수납!$F:$F,수납!$C:$C,원생!$A205,수납!$D:$D,IF(원생!$G205="","",원생!$G205),수납!$B:$B,$B$1&amp;"-"&amp;TEXT(1,"00")&amp;"*",수납!$E:$E,""))</f>
        <v/>
      </c>
      <c r="D207" s="14">
        <f>IF(원생!$A205="","",SUMIFS(수납!$F:$F,수납!$C:$C,원생!$A205,수납!$D:$D,IF(원생!$G205="","",원생!$G205),수납!$B:$B,$B$1&amp;"-"&amp;TEXT(2,"00")&amp;"*",수납!$E:$E,"수강료")+SUMIFS(수납!$F:$F,수납!$C:$C,원생!$A205,수납!$D:$D,IF(원생!$G205="","",원생!$G205),수납!$B:$B,$B$1&amp;"-"&amp;TEXT(2,"00")&amp;"*",수납!$E:$E,""))</f>
        <v/>
      </c>
      <c r="E207" s="14">
        <f>IF(원생!$A205="","",SUMIFS(수납!$F:$F,수납!$C:$C,원생!$A205,수납!$D:$D,IF(원생!$G205="","",원생!$G205),수납!$B:$B,$B$1&amp;"-"&amp;TEXT(3,"00")&amp;"*",수납!$E:$E,"수강료")+SUMIFS(수납!$F:$F,수납!$C:$C,원생!$A205,수납!$D:$D,IF(원생!$G205="","",원생!$G205),수납!$B:$B,$B$1&amp;"-"&amp;TEXT(3,"00")&amp;"*",수납!$E:$E,""))</f>
        <v/>
      </c>
      <c r="F207" s="14">
        <f>IF(원생!$A205="","",SUMIFS(수납!$F:$F,수납!$C:$C,원생!$A205,수납!$D:$D,IF(원생!$G205="","",원생!$G205),수납!$B:$B,$B$1&amp;"-"&amp;TEXT(4,"00")&amp;"*",수납!$E:$E,"수강료")+SUMIFS(수납!$F:$F,수납!$C:$C,원생!$A205,수납!$D:$D,IF(원생!$G205="","",원생!$G205),수납!$B:$B,$B$1&amp;"-"&amp;TEXT(4,"00")&amp;"*",수납!$E:$E,""))</f>
        <v/>
      </c>
      <c r="G207" s="14">
        <f>IF(원생!$A205="","",SUMIFS(수납!$F:$F,수납!$C:$C,원생!$A205,수납!$D:$D,IF(원생!$G205="","",원생!$G205),수납!$B:$B,$B$1&amp;"-"&amp;TEXT(5,"00")&amp;"*",수납!$E:$E,"수강료")+SUMIFS(수납!$F:$F,수납!$C:$C,원생!$A205,수납!$D:$D,IF(원생!$G205="","",원생!$G205),수납!$B:$B,$B$1&amp;"-"&amp;TEXT(5,"00")&amp;"*",수납!$E:$E,""))</f>
        <v/>
      </c>
      <c r="H207" s="14">
        <f>IF(원생!$A205="","",SUMIFS(수납!$F:$F,수납!$C:$C,원생!$A205,수납!$D:$D,IF(원생!$G205="","",원생!$G205),수납!$B:$B,$B$1&amp;"-"&amp;TEXT(6,"00")&amp;"*",수납!$E:$E,"수강료")+SUMIFS(수납!$F:$F,수납!$C:$C,원생!$A205,수납!$D:$D,IF(원생!$G205="","",원생!$G205),수납!$B:$B,$B$1&amp;"-"&amp;TEXT(6,"00")&amp;"*",수납!$E:$E,""))</f>
        <v/>
      </c>
      <c r="I207" s="14">
        <f>IF(원생!$A205="","",SUMIFS(수납!$F:$F,수납!$C:$C,원생!$A205,수납!$D:$D,IF(원생!$G205="","",원생!$G205),수납!$B:$B,$B$1&amp;"-"&amp;TEXT(7,"00")&amp;"*",수납!$E:$E,"수강료")+SUMIFS(수납!$F:$F,수납!$C:$C,원생!$A205,수납!$D:$D,IF(원생!$G205="","",원생!$G205),수납!$B:$B,$B$1&amp;"-"&amp;TEXT(7,"00")&amp;"*",수납!$E:$E,""))</f>
        <v/>
      </c>
      <c r="J207" s="14">
        <f>IF(원생!$A205="","",SUMIFS(수납!$F:$F,수납!$C:$C,원생!$A205,수납!$D:$D,IF(원생!$G205="","",원생!$G205),수납!$B:$B,$B$1&amp;"-"&amp;TEXT(8,"00")&amp;"*",수납!$E:$E,"수강료")+SUMIFS(수납!$F:$F,수납!$C:$C,원생!$A205,수납!$D:$D,IF(원생!$G205="","",원생!$G205),수납!$B:$B,$B$1&amp;"-"&amp;TEXT(8,"00")&amp;"*",수납!$E:$E,""))</f>
        <v/>
      </c>
      <c r="K207" s="14">
        <f>IF(원생!$A205="","",SUMIFS(수납!$F:$F,수납!$C:$C,원생!$A205,수납!$D:$D,IF(원생!$G205="","",원생!$G205),수납!$B:$B,$B$1&amp;"-"&amp;TEXT(9,"00")&amp;"*",수납!$E:$E,"수강료")+SUMIFS(수납!$F:$F,수납!$C:$C,원생!$A205,수납!$D:$D,IF(원생!$G205="","",원생!$G205),수납!$B:$B,$B$1&amp;"-"&amp;TEXT(9,"00")&amp;"*",수납!$E:$E,""))</f>
        <v/>
      </c>
      <c r="L207" s="14">
        <f>IF(원생!$A205="","",SUMIFS(수납!$F:$F,수납!$C:$C,원생!$A205,수납!$D:$D,IF(원생!$G205="","",원생!$G205),수납!$B:$B,$B$1&amp;"-"&amp;TEXT(10,"00")&amp;"*",수납!$E:$E,"수강료")+SUMIFS(수납!$F:$F,수납!$C:$C,원생!$A205,수납!$D:$D,IF(원생!$G205="","",원생!$G205),수납!$B:$B,$B$1&amp;"-"&amp;TEXT(10,"00")&amp;"*",수납!$E:$E,""))</f>
        <v/>
      </c>
      <c r="M207" s="14">
        <f>IF(원생!$A205="","",SUMIFS(수납!$F:$F,수납!$C:$C,원생!$A205,수납!$D:$D,IF(원생!$G205="","",원생!$G205),수납!$B:$B,$B$1&amp;"-"&amp;TEXT(11,"00")&amp;"*",수납!$E:$E,"수강료")+SUMIFS(수납!$F:$F,수납!$C:$C,원생!$A205,수납!$D:$D,IF(원생!$G205="","",원생!$G205),수납!$B:$B,$B$1&amp;"-"&amp;TEXT(11,"00")&amp;"*",수납!$E:$E,""))</f>
        <v/>
      </c>
      <c r="N207" s="14">
        <f>IF(원생!$A205="","",SUMIFS(수납!$F:$F,수납!$C:$C,원생!$A205,수납!$D:$D,IF(원생!$G205="","",원생!$G205),수납!$B:$B,$B$1&amp;"-"&amp;TEXT(12,"00")&amp;"*",수납!$E:$E,"수강료")+SUMIFS(수납!$F:$F,수납!$C:$C,원생!$A205,수납!$D:$D,IF(원생!$G205="","",원생!$G205),수납!$B:$B,$B$1&amp;"-"&amp;TEXT(12,"00")&amp;"*",수납!$E:$E,""))</f>
        <v/>
      </c>
      <c r="O207">
        <f>IF(원생!$I205="","",원생!$I205)</f>
        <v/>
      </c>
      <c r="P207">
        <f>IF($A207="","",IF(AND($B207&gt;0,C207&lt;$B207,DATE($B$1,1,1)&lt;=TODAY(),OR($O207="",$O207&gt;=DATE($B$1,1,1)),OR(COUNTIF($C207:C207,"&gt;0")&gt;0,DATE($B$1,1,1)=DATE(YEAR(TODAY()),MONTH(TODAY()),1))),1,0))</f>
        <v/>
      </c>
      <c r="Q207">
        <f>IF($A207="","",IF(AND($B207&gt;0,D207&lt;$B207,DATE($B$1,2,1)&lt;=TODAY(),OR($O207="",$O207&gt;=DATE($B$1,2,1)),OR(COUNTIF($C207:D207,"&gt;0")&gt;0,DATE($B$1,2,1)=DATE(YEAR(TODAY()),MONTH(TODAY()),1))),1,0))</f>
        <v/>
      </c>
      <c r="R207">
        <f>IF($A207="","",IF(AND($B207&gt;0,E207&lt;$B207,DATE($B$1,3,1)&lt;=TODAY(),OR($O207="",$O207&gt;=DATE($B$1,3,1)),OR(COUNTIF($C207:E207,"&gt;0")&gt;0,DATE($B$1,3,1)=DATE(YEAR(TODAY()),MONTH(TODAY()),1))),1,0))</f>
        <v/>
      </c>
      <c r="S207">
        <f>IF($A207="","",IF(AND($B207&gt;0,F207&lt;$B207,DATE($B$1,4,1)&lt;=TODAY(),OR($O207="",$O207&gt;=DATE($B$1,4,1)),OR(COUNTIF($C207:F207,"&gt;0")&gt;0,DATE($B$1,4,1)=DATE(YEAR(TODAY()),MONTH(TODAY()),1))),1,0))</f>
        <v/>
      </c>
      <c r="T207">
        <f>IF($A207="","",IF(AND($B207&gt;0,G207&lt;$B207,DATE($B$1,5,1)&lt;=TODAY(),OR($O207="",$O207&gt;=DATE($B$1,5,1)),OR(COUNTIF($C207:G207,"&gt;0")&gt;0,DATE($B$1,5,1)=DATE(YEAR(TODAY()),MONTH(TODAY()),1))),1,0))</f>
        <v/>
      </c>
      <c r="U207">
        <f>IF($A207="","",IF(AND($B207&gt;0,H207&lt;$B207,DATE($B$1,6,1)&lt;=TODAY(),OR($O207="",$O207&gt;=DATE($B$1,6,1)),OR(COUNTIF($C207:H207,"&gt;0")&gt;0,DATE($B$1,6,1)=DATE(YEAR(TODAY()),MONTH(TODAY()),1))),1,0))</f>
        <v/>
      </c>
      <c r="V207">
        <f>IF($A207="","",IF(AND($B207&gt;0,I207&lt;$B207,DATE($B$1,7,1)&lt;=TODAY(),OR($O207="",$O207&gt;=DATE($B$1,7,1)),OR(COUNTIF($C207:I207,"&gt;0")&gt;0,DATE($B$1,7,1)=DATE(YEAR(TODAY()),MONTH(TODAY()),1))),1,0))</f>
        <v/>
      </c>
      <c r="W207">
        <f>IF($A207="","",IF(AND($B207&gt;0,J207&lt;$B207,DATE($B$1,8,1)&lt;=TODAY(),OR($O207="",$O207&gt;=DATE($B$1,8,1)),OR(COUNTIF($C207:J207,"&gt;0")&gt;0,DATE($B$1,8,1)=DATE(YEAR(TODAY()),MONTH(TODAY()),1))),1,0))</f>
        <v/>
      </c>
      <c r="X207">
        <f>IF($A207="","",IF(AND($B207&gt;0,K207&lt;$B207,DATE($B$1,9,1)&lt;=TODAY(),OR($O207="",$O207&gt;=DATE($B$1,9,1)),OR(COUNTIF($C207:K207,"&gt;0")&gt;0,DATE($B$1,9,1)=DATE(YEAR(TODAY()),MONTH(TODAY()),1))),1,0))</f>
        <v/>
      </c>
      <c r="Y207">
        <f>IF($A207="","",IF(AND($B207&gt;0,L207&lt;$B207,DATE($B$1,10,1)&lt;=TODAY(),OR($O207="",$O207&gt;=DATE($B$1,10,1)),OR(COUNTIF($C207:L207,"&gt;0")&gt;0,DATE($B$1,10,1)=DATE(YEAR(TODAY()),MONTH(TODAY()),1))),1,0))</f>
        <v/>
      </c>
      <c r="Z207">
        <f>IF($A207="","",IF(AND($B207&gt;0,M207&lt;$B207,DATE($B$1,11,1)&lt;=TODAY(),OR($O207="",$O207&gt;=DATE($B$1,11,1)),OR(COUNTIF($C207:M207,"&gt;0")&gt;0,DATE($B$1,11,1)=DATE(YEAR(TODAY()),MONTH(TODAY()),1))),1,0))</f>
        <v/>
      </c>
      <c r="AA207">
        <f>IF($A207="","",IF(AND($B207&gt;0,N207&lt;$B207,DATE($B$1,12,1)&lt;=TODAY(),OR($O207="",$O207&gt;=DATE($B$1,12,1)),OR(COUNTIF($C207:N207,"&gt;0")&gt;0,DATE($B$1,12,1)=DATE(YEAR(TODAY()),MONTH(TODAY()),1))),1,0))</f>
        <v/>
      </c>
    </row>
    <row r="208">
      <c r="A208" s="13">
        <f>IF(원생!$A206="","",원생!$A206&amp;IF(원생!$G206="",""," ("&amp;원생!$G206&amp;")"))</f>
        <v/>
      </c>
      <c r="B208" s="8">
        <f>IF(원생!$A206="","",원생!$F206)</f>
        <v/>
      </c>
      <c r="C208" s="14">
        <f>IF(원생!$A206="","",SUMIFS(수납!$F:$F,수납!$C:$C,원생!$A206,수납!$D:$D,IF(원생!$G206="","",원생!$G206),수납!$B:$B,$B$1&amp;"-"&amp;TEXT(1,"00")&amp;"*",수납!$E:$E,"수강료")+SUMIFS(수납!$F:$F,수납!$C:$C,원생!$A206,수납!$D:$D,IF(원생!$G206="","",원생!$G206),수납!$B:$B,$B$1&amp;"-"&amp;TEXT(1,"00")&amp;"*",수납!$E:$E,""))</f>
        <v/>
      </c>
      <c r="D208" s="14">
        <f>IF(원생!$A206="","",SUMIFS(수납!$F:$F,수납!$C:$C,원생!$A206,수납!$D:$D,IF(원생!$G206="","",원생!$G206),수납!$B:$B,$B$1&amp;"-"&amp;TEXT(2,"00")&amp;"*",수납!$E:$E,"수강료")+SUMIFS(수납!$F:$F,수납!$C:$C,원생!$A206,수납!$D:$D,IF(원생!$G206="","",원생!$G206),수납!$B:$B,$B$1&amp;"-"&amp;TEXT(2,"00")&amp;"*",수납!$E:$E,""))</f>
        <v/>
      </c>
      <c r="E208" s="14">
        <f>IF(원생!$A206="","",SUMIFS(수납!$F:$F,수납!$C:$C,원생!$A206,수납!$D:$D,IF(원생!$G206="","",원생!$G206),수납!$B:$B,$B$1&amp;"-"&amp;TEXT(3,"00")&amp;"*",수납!$E:$E,"수강료")+SUMIFS(수납!$F:$F,수납!$C:$C,원생!$A206,수납!$D:$D,IF(원생!$G206="","",원생!$G206),수납!$B:$B,$B$1&amp;"-"&amp;TEXT(3,"00")&amp;"*",수납!$E:$E,""))</f>
        <v/>
      </c>
      <c r="F208" s="14">
        <f>IF(원생!$A206="","",SUMIFS(수납!$F:$F,수납!$C:$C,원생!$A206,수납!$D:$D,IF(원생!$G206="","",원생!$G206),수납!$B:$B,$B$1&amp;"-"&amp;TEXT(4,"00")&amp;"*",수납!$E:$E,"수강료")+SUMIFS(수납!$F:$F,수납!$C:$C,원생!$A206,수납!$D:$D,IF(원생!$G206="","",원생!$G206),수납!$B:$B,$B$1&amp;"-"&amp;TEXT(4,"00")&amp;"*",수납!$E:$E,""))</f>
        <v/>
      </c>
      <c r="G208" s="14">
        <f>IF(원생!$A206="","",SUMIFS(수납!$F:$F,수납!$C:$C,원생!$A206,수납!$D:$D,IF(원생!$G206="","",원생!$G206),수납!$B:$B,$B$1&amp;"-"&amp;TEXT(5,"00")&amp;"*",수납!$E:$E,"수강료")+SUMIFS(수납!$F:$F,수납!$C:$C,원생!$A206,수납!$D:$D,IF(원생!$G206="","",원생!$G206),수납!$B:$B,$B$1&amp;"-"&amp;TEXT(5,"00")&amp;"*",수납!$E:$E,""))</f>
        <v/>
      </c>
      <c r="H208" s="14">
        <f>IF(원생!$A206="","",SUMIFS(수납!$F:$F,수납!$C:$C,원생!$A206,수납!$D:$D,IF(원생!$G206="","",원생!$G206),수납!$B:$B,$B$1&amp;"-"&amp;TEXT(6,"00")&amp;"*",수납!$E:$E,"수강료")+SUMIFS(수납!$F:$F,수납!$C:$C,원생!$A206,수납!$D:$D,IF(원생!$G206="","",원생!$G206),수납!$B:$B,$B$1&amp;"-"&amp;TEXT(6,"00")&amp;"*",수납!$E:$E,""))</f>
        <v/>
      </c>
      <c r="I208" s="14">
        <f>IF(원생!$A206="","",SUMIFS(수납!$F:$F,수납!$C:$C,원생!$A206,수납!$D:$D,IF(원생!$G206="","",원생!$G206),수납!$B:$B,$B$1&amp;"-"&amp;TEXT(7,"00")&amp;"*",수납!$E:$E,"수강료")+SUMIFS(수납!$F:$F,수납!$C:$C,원생!$A206,수납!$D:$D,IF(원생!$G206="","",원생!$G206),수납!$B:$B,$B$1&amp;"-"&amp;TEXT(7,"00")&amp;"*",수납!$E:$E,""))</f>
        <v/>
      </c>
      <c r="J208" s="14">
        <f>IF(원생!$A206="","",SUMIFS(수납!$F:$F,수납!$C:$C,원생!$A206,수납!$D:$D,IF(원생!$G206="","",원생!$G206),수납!$B:$B,$B$1&amp;"-"&amp;TEXT(8,"00")&amp;"*",수납!$E:$E,"수강료")+SUMIFS(수납!$F:$F,수납!$C:$C,원생!$A206,수납!$D:$D,IF(원생!$G206="","",원생!$G206),수납!$B:$B,$B$1&amp;"-"&amp;TEXT(8,"00")&amp;"*",수납!$E:$E,""))</f>
        <v/>
      </c>
      <c r="K208" s="14">
        <f>IF(원생!$A206="","",SUMIFS(수납!$F:$F,수납!$C:$C,원생!$A206,수납!$D:$D,IF(원생!$G206="","",원생!$G206),수납!$B:$B,$B$1&amp;"-"&amp;TEXT(9,"00")&amp;"*",수납!$E:$E,"수강료")+SUMIFS(수납!$F:$F,수납!$C:$C,원생!$A206,수납!$D:$D,IF(원생!$G206="","",원생!$G206),수납!$B:$B,$B$1&amp;"-"&amp;TEXT(9,"00")&amp;"*",수납!$E:$E,""))</f>
        <v/>
      </c>
      <c r="L208" s="14">
        <f>IF(원생!$A206="","",SUMIFS(수납!$F:$F,수납!$C:$C,원생!$A206,수납!$D:$D,IF(원생!$G206="","",원생!$G206),수납!$B:$B,$B$1&amp;"-"&amp;TEXT(10,"00")&amp;"*",수납!$E:$E,"수강료")+SUMIFS(수납!$F:$F,수납!$C:$C,원생!$A206,수납!$D:$D,IF(원생!$G206="","",원생!$G206),수납!$B:$B,$B$1&amp;"-"&amp;TEXT(10,"00")&amp;"*",수납!$E:$E,""))</f>
        <v/>
      </c>
      <c r="M208" s="14">
        <f>IF(원생!$A206="","",SUMIFS(수납!$F:$F,수납!$C:$C,원생!$A206,수납!$D:$D,IF(원생!$G206="","",원생!$G206),수납!$B:$B,$B$1&amp;"-"&amp;TEXT(11,"00")&amp;"*",수납!$E:$E,"수강료")+SUMIFS(수납!$F:$F,수납!$C:$C,원생!$A206,수납!$D:$D,IF(원생!$G206="","",원생!$G206),수납!$B:$B,$B$1&amp;"-"&amp;TEXT(11,"00")&amp;"*",수납!$E:$E,""))</f>
        <v/>
      </c>
      <c r="N208" s="14">
        <f>IF(원생!$A206="","",SUMIFS(수납!$F:$F,수납!$C:$C,원생!$A206,수납!$D:$D,IF(원생!$G206="","",원생!$G206),수납!$B:$B,$B$1&amp;"-"&amp;TEXT(12,"00")&amp;"*",수납!$E:$E,"수강료")+SUMIFS(수납!$F:$F,수납!$C:$C,원생!$A206,수납!$D:$D,IF(원생!$G206="","",원생!$G206),수납!$B:$B,$B$1&amp;"-"&amp;TEXT(12,"00")&amp;"*",수납!$E:$E,""))</f>
        <v/>
      </c>
      <c r="O208">
        <f>IF(원생!$I206="","",원생!$I206)</f>
        <v/>
      </c>
      <c r="P208">
        <f>IF($A208="","",IF(AND($B208&gt;0,C208&lt;$B208,DATE($B$1,1,1)&lt;=TODAY(),OR($O208="",$O208&gt;=DATE($B$1,1,1)),OR(COUNTIF($C208:C208,"&gt;0")&gt;0,DATE($B$1,1,1)=DATE(YEAR(TODAY()),MONTH(TODAY()),1))),1,0))</f>
        <v/>
      </c>
      <c r="Q208">
        <f>IF($A208="","",IF(AND($B208&gt;0,D208&lt;$B208,DATE($B$1,2,1)&lt;=TODAY(),OR($O208="",$O208&gt;=DATE($B$1,2,1)),OR(COUNTIF($C208:D208,"&gt;0")&gt;0,DATE($B$1,2,1)=DATE(YEAR(TODAY()),MONTH(TODAY()),1))),1,0))</f>
        <v/>
      </c>
      <c r="R208">
        <f>IF($A208="","",IF(AND($B208&gt;0,E208&lt;$B208,DATE($B$1,3,1)&lt;=TODAY(),OR($O208="",$O208&gt;=DATE($B$1,3,1)),OR(COUNTIF($C208:E208,"&gt;0")&gt;0,DATE($B$1,3,1)=DATE(YEAR(TODAY()),MONTH(TODAY()),1))),1,0))</f>
        <v/>
      </c>
      <c r="S208">
        <f>IF($A208="","",IF(AND($B208&gt;0,F208&lt;$B208,DATE($B$1,4,1)&lt;=TODAY(),OR($O208="",$O208&gt;=DATE($B$1,4,1)),OR(COUNTIF($C208:F208,"&gt;0")&gt;0,DATE($B$1,4,1)=DATE(YEAR(TODAY()),MONTH(TODAY()),1))),1,0))</f>
        <v/>
      </c>
      <c r="T208">
        <f>IF($A208="","",IF(AND($B208&gt;0,G208&lt;$B208,DATE($B$1,5,1)&lt;=TODAY(),OR($O208="",$O208&gt;=DATE($B$1,5,1)),OR(COUNTIF($C208:G208,"&gt;0")&gt;0,DATE($B$1,5,1)=DATE(YEAR(TODAY()),MONTH(TODAY()),1))),1,0))</f>
        <v/>
      </c>
      <c r="U208">
        <f>IF($A208="","",IF(AND($B208&gt;0,H208&lt;$B208,DATE($B$1,6,1)&lt;=TODAY(),OR($O208="",$O208&gt;=DATE($B$1,6,1)),OR(COUNTIF($C208:H208,"&gt;0")&gt;0,DATE($B$1,6,1)=DATE(YEAR(TODAY()),MONTH(TODAY()),1))),1,0))</f>
        <v/>
      </c>
      <c r="V208">
        <f>IF($A208="","",IF(AND($B208&gt;0,I208&lt;$B208,DATE($B$1,7,1)&lt;=TODAY(),OR($O208="",$O208&gt;=DATE($B$1,7,1)),OR(COUNTIF($C208:I208,"&gt;0")&gt;0,DATE($B$1,7,1)=DATE(YEAR(TODAY()),MONTH(TODAY()),1))),1,0))</f>
        <v/>
      </c>
      <c r="W208">
        <f>IF($A208="","",IF(AND($B208&gt;0,J208&lt;$B208,DATE($B$1,8,1)&lt;=TODAY(),OR($O208="",$O208&gt;=DATE($B$1,8,1)),OR(COUNTIF($C208:J208,"&gt;0")&gt;0,DATE($B$1,8,1)=DATE(YEAR(TODAY()),MONTH(TODAY()),1))),1,0))</f>
        <v/>
      </c>
      <c r="X208">
        <f>IF($A208="","",IF(AND($B208&gt;0,K208&lt;$B208,DATE($B$1,9,1)&lt;=TODAY(),OR($O208="",$O208&gt;=DATE($B$1,9,1)),OR(COUNTIF($C208:K208,"&gt;0")&gt;0,DATE($B$1,9,1)=DATE(YEAR(TODAY()),MONTH(TODAY()),1))),1,0))</f>
        <v/>
      </c>
      <c r="Y208">
        <f>IF($A208="","",IF(AND($B208&gt;0,L208&lt;$B208,DATE($B$1,10,1)&lt;=TODAY(),OR($O208="",$O208&gt;=DATE($B$1,10,1)),OR(COUNTIF($C208:L208,"&gt;0")&gt;0,DATE($B$1,10,1)=DATE(YEAR(TODAY()),MONTH(TODAY()),1))),1,0))</f>
        <v/>
      </c>
      <c r="Z208">
        <f>IF($A208="","",IF(AND($B208&gt;0,M208&lt;$B208,DATE($B$1,11,1)&lt;=TODAY(),OR($O208="",$O208&gt;=DATE($B$1,11,1)),OR(COUNTIF($C208:M208,"&gt;0")&gt;0,DATE($B$1,11,1)=DATE(YEAR(TODAY()),MONTH(TODAY()),1))),1,0))</f>
        <v/>
      </c>
      <c r="AA208">
        <f>IF($A208="","",IF(AND($B208&gt;0,N208&lt;$B208,DATE($B$1,12,1)&lt;=TODAY(),OR($O208="",$O208&gt;=DATE($B$1,12,1)),OR(COUNTIF($C208:N208,"&gt;0")&gt;0,DATE($B$1,12,1)=DATE(YEAR(TODAY()),MONTH(TODAY()),1))),1,0))</f>
        <v/>
      </c>
    </row>
    <row r="209">
      <c r="A209" s="13">
        <f>IF(원생!$A207="","",원생!$A207&amp;IF(원생!$G207="",""," ("&amp;원생!$G207&amp;")"))</f>
        <v/>
      </c>
      <c r="B209" s="8">
        <f>IF(원생!$A207="","",원생!$F207)</f>
        <v/>
      </c>
      <c r="C209" s="14">
        <f>IF(원생!$A207="","",SUMIFS(수납!$F:$F,수납!$C:$C,원생!$A207,수납!$D:$D,IF(원생!$G207="","",원생!$G207),수납!$B:$B,$B$1&amp;"-"&amp;TEXT(1,"00")&amp;"*",수납!$E:$E,"수강료")+SUMIFS(수납!$F:$F,수납!$C:$C,원생!$A207,수납!$D:$D,IF(원생!$G207="","",원생!$G207),수납!$B:$B,$B$1&amp;"-"&amp;TEXT(1,"00")&amp;"*",수납!$E:$E,""))</f>
        <v/>
      </c>
      <c r="D209" s="14">
        <f>IF(원생!$A207="","",SUMIFS(수납!$F:$F,수납!$C:$C,원생!$A207,수납!$D:$D,IF(원생!$G207="","",원생!$G207),수납!$B:$B,$B$1&amp;"-"&amp;TEXT(2,"00")&amp;"*",수납!$E:$E,"수강료")+SUMIFS(수납!$F:$F,수납!$C:$C,원생!$A207,수납!$D:$D,IF(원생!$G207="","",원생!$G207),수납!$B:$B,$B$1&amp;"-"&amp;TEXT(2,"00")&amp;"*",수납!$E:$E,""))</f>
        <v/>
      </c>
      <c r="E209" s="14">
        <f>IF(원생!$A207="","",SUMIFS(수납!$F:$F,수납!$C:$C,원생!$A207,수납!$D:$D,IF(원생!$G207="","",원생!$G207),수납!$B:$B,$B$1&amp;"-"&amp;TEXT(3,"00")&amp;"*",수납!$E:$E,"수강료")+SUMIFS(수납!$F:$F,수납!$C:$C,원생!$A207,수납!$D:$D,IF(원생!$G207="","",원생!$G207),수납!$B:$B,$B$1&amp;"-"&amp;TEXT(3,"00")&amp;"*",수납!$E:$E,""))</f>
        <v/>
      </c>
      <c r="F209" s="14">
        <f>IF(원생!$A207="","",SUMIFS(수납!$F:$F,수납!$C:$C,원생!$A207,수납!$D:$D,IF(원생!$G207="","",원생!$G207),수납!$B:$B,$B$1&amp;"-"&amp;TEXT(4,"00")&amp;"*",수납!$E:$E,"수강료")+SUMIFS(수납!$F:$F,수납!$C:$C,원생!$A207,수납!$D:$D,IF(원생!$G207="","",원생!$G207),수납!$B:$B,$B$1&amp;"-"&amp;TEXT(4,"00")&amp;"*",수납!$E:$E,""))</f>
        <v/>
      </c>
      <c r="G209" s="14">
        <f>IF(원생!$A207="","",SUMIFS(수납!$F:$F,수납!$C:$C,원생!$A207,수납!$D:$D,IF(원생!$G207="","",원생!$G207),수납!$B:$B,$B$1&amp;"-"&amp;TEXT(5,"00")&amp;"*",수납!$E:$E,"수강료")+SUMIFS(수납!$F:$F,수납!$C:$C,원생!$A207,수납!$D:$D,IF(원생!$G207="","",원생!$G207),수납!$B:$B,$B$1&amp;"-"&amp;TEXT(5,"00")&amp;"*",수납!$E:$E,""))</f>
        <v/>
      </c>
      <c r="H209" s="14">
        <f>IF(원생!$A207="","",SUMIFS(수납!$F:$F,수납!$C:$C,원생!$A207,수납!$D:$D,IF(원생!$G207="","",원생!$G207),수납!$B:$B,$B$1&amp;"-"&amp;TEXT(6,"00")&amp;"*",수납!$E:$E,"수강료")+SUMIFS(수납!$F:$F,수납!$C:$C,원생!$A207,수납!$D:$D,IF(원생!$G207="","",원생!$G207),수납!$B:$B,$B$1&amp;"-"&amp;TEXT(6,"00")&amp;"*",수납!$E:$E,""))</f>
        <v/>
      </c>
      <c r="I209" s="14">
        <f>IF(원생!$A207="","",SUMIFS(수납!$F:$F,수납!$C:$C,원생!$A207,수납!$D:$D,IF(원생!$G207="","",원생!$G207),수납!$B:$B,$B$1&amp;"-"&amp;TEXT(7,"00")&amp;"*",수납!$E:$E,"수강료")+SUMIFS(수납!$F:$F,수납!$C:$C,원생!$A207,수납!$D:$D,IF(원생!$G207="","",원생!$G207),수납!$B:$B,$B$1&amp;"-"&amp;TEXT(7,"00")&amp;"*",수납!$E:$E,""))</f>
        <v/>
      </c>
      <c r="J209" s="14">
        <f>IF(원생!$A207="","",SUMIFS(수납!$F:$F,수납!$C:$C,원생!$A207,수납!$D:$D,IF(원생!$G207="","",원생!$G207),수납!$B:$B,$B$1&amp;"-"&amp;TEXT(8,"00")&amp;"*",수납!$E:$E,"수강료")+SUMIFS(수납!$F:$F,수납!$C:$C,원생!$A207,수납!$D:$D,IF(원생!$G207="","",원생!$G207),수납!$B:$B,$B$1&amp;"-"&amp;TEXT(8,"00")&amp;"*",수납!$E:$E,""))</f>
        <v/>
      </c>
      <c r="K209" s="14">
        <f>IF(원생!$A207="","",SUMIFS(수납!$F:$F,수납!$C:$C,원생!$A207,수납!$D:$D,IF(원생!$G207="","",원생!$G207),수납!$B:$B,$B$1&amp;"-"&amp;TEXT(9,"00")&amp;"*",수납!$E:$E,"수강료")+SUMIFS(수납!$F:$F,수납!$C:$C,원생!$A207,수납!$D:$D,IF(원생!$G207="","",원생!$G207),수납!$B:$B,$B$1&amp;"-"&amp;TEXT(9,"00")&amp;"*",수납!$E:$E,""))</f>
        <v/>
      </c>
      <c r="L209" s="14">
        <f>IF(원생!$A207="","",SUMIFS(수납!$F:$F,수납!$C:$C,원생!$A207,수납!$D:$D,IF(원생!$G207="","",원생!$G207),수납!$B:$B,$B$1&amp;"-"&amp;TEXT(10,"00")&amp;"*",수납!$E:$E,"수강료")+SUMIFS(수납!$F:$F,수납!$C:$C,원생!$A207,수납!$D:$D,IF(원생!$G207="","",원생!$G207),수납!$B:$B,$B$1&amp;"-"&amp;TEXT(10,"00")&amp;"*",수납!$E:$E,""))</f>
        <v/>
      </c>
      <c r="M209" s="14">
        <f>IF(원생!$A207="","",SUMIFS(수납!$F:$F,수납!$C:$C,원생!$A207,수납!$D:$D,IF(원생!$G207="","",원생!$G207),수납!$B:$B,$B$1&amp;"-"&amp;TEXT(11,"00")&amp;"*",수납!$E:$E,"수강료")+SUMIFS(수납!$F:$F,수납!$C:$C,원생!$A207,수납!$D:$D,IF(원생!$G207="","",원생!$G207),수납!$B:$B,$B$1&amp;"-"&amp;TEXT(11,"00")&amp;"*",수납!$E:$E,""))</f>
        <v/>
      </c>
      <c r="N209" s="14">
        <f>IF(원생!$A207="","",SUMIFS(수납!$F:$F,수납!$C:$C,원생!$A207,수납!$D:$D,IF(원생!$G207="","",원생!$G207),수납!$B:$B,$B$1&amp;"-"&amp;TEXT(12,"00")&amp;"*",수납!$E:$E,"수강료")+SUMIFS(수납!$F:$F,수납!$C:$C,원생!$A207,수납!$D:$D,IF(원생!$G207="","",원생!$G207),수납!$B:$B,$B$1&amp;"-"&amp;TEXT(12,"00")&amp;"*",수납!$E:$E,""))</f>
        <v/>
      </c>
      <c r="O209">
        <f>IF(원생!$I207="","",원생!$I207)</f>
        <v/>
      </c>
      <c r="P209">
        <f>IF($A209="","",IF(AND($B209&gt;0,C209&lt;$B209,DATE($B$1,1,1)&lt;=TODAY(),OR($O209="",$O209&gt;=DATE($B$1,1,1)),OR(COUNTIF($C209:C209,"&gt;0")&gt;0,DATE($B$1,1,1)=DATE(YEAR(TODAY()),MONTH(TODAY()),1))),1,0))</f>
        <v/>
      </c>
      <c r="Q209">
        <f>IF($A209="","",IF(AND($B209&gt;0,D209&lt;$B209,DATE($B$1,2,1)&lt;=TODAY(),OR($O209="",$O209&gt;=DATE($B$1,2,1)),OR(COUNTIF($C209:D209,"&gt;0")&gt;0,DATE($B$1,2,1)=DATE(YEAR(TODAY()),MONTH(TODAY()),1))),1,0))</f>
        <v/>
      </c>
      <c r="R209">
        <f>IF($A209="","",IF(AND($B209&gt;0,E209&lt;$B209,DATE($B$1,3,1)&lt;=TODAY(),OR($O209="",$O209&gt;=DATE($B$1,3,1)),OR(COUNTIF($C209:E209,"&gt;0")&gt;0,DATE($B$1,3,1)=DATE(YEAR(TODAY()),MONTH(TODAY()),1))),1,0))</f>
        <v/>
      </c>
      <c r="S209">
        <f>IF($A209="","",IF(AND($B209&gt;0,F209&lt;$B209,DATE($B$1,4,1)&lt;=TODAY(),OR($O209="",$O209&gt;=DATE($B$1,4,1)),OR(COUNTIF($C209:F209,"&gt;0")&gt;0,DATE($B$1,4,1)=DATE(YEAR(TODAY()),MONTH(TODAY()),1))),1,0))</f>
        <v/>
      </c>
      <c r="T209">
        <f>IF($A209="","",IF(AND($B209&gt;0,G209&lt;$B209,DATE($B$1,5,1)&lt;=TODAY(),OR($O209="",$O209&gt;=DATE($B$1,5,1)),OR(COUNTIF($C209:G209,"&gt;0")&gt;0,DATE($B$1,5,1)=DATE(YEAR(TODAY()),MONTH(TODAY()),1))),1,0))</f>
        <v/>
      </c>
      <c r="U209">
        <f>IF($A209="","",IF(AND($B209&gt;0,H209&lt;$B209,DATE($B$1,6,1)&lt;=TODAY(),OR($O209="",$O209&gt;=DATE($B$1,6,1)),OR(COUNTIF($C209:H209,"&gt;0")&gt;0,DATE($B$1,6,1)=DATE(YEAR(TODAY()),MONTH(TODAY()),1))),1,0))</f>
        <v/>
      </c>
      <c r="V209">
        <f>IF($A209="","",IF(AND($B209&gt;0,I209&lt;$B209,DATE($B$1,7,1)&lt;=TODAY(),OR($O209="",$O209&gt;=DATE($B$1,7,1)),OR(COUNTIF($C209:I209,"&gt;0")&gt;0,DATE($B$1,7,1)=DATE(YEAR(TODAY()),MONTH(TODAY()),1))),1,0))</f>
        <v/>
      </c>
      <c r="W209">
        <f>IF($A209="","",IF(AND($B209&gt;0,J209&lt;$B209,DATE($B$1,8,1)&lt;=TODAY(),OR($O209="",$O209&gt;=DATE($B$1,8,1)),OR(COUNTIF($C209:J209,"&gt;0")&gt;0,DATE($B$1,8,1)=DATE(YEAR(TODAY()),MONTH(TODAY()),1))),1,0))</f>
        <v/>
      </c>
      <c r="X209">
        <f>IF($A209="","",IF(AND($B209&gt;0,K209&lt;$B209,DATE($B$1,9,1)&lt;=TODAY(),OR($O209="",$O209&gt;=DATE($B$1,9,1)),OR(COUNTIF($C209:K209,"&gt;0")&gt;0,DATE($B$1,9,1)=DATE(YEAR(TODAY()),MONTH(TODAY()),1))),1,0))</f>
        <v/>
      </c>
      <c r="Y209">
        <f>IF($A209="","",IF(AND($B209&gt;0,L209&lt;$B209,DATE($B$1,10,1)&lt;=TODAY(),OR($O209="",$O209&gt;=DATE($B$1,10,1)),OR(COUNTIF($C209:L209,"&gt;0")&gt;0,DATE($B$1,10,1)=DATE(YEAR(TODAY()),MONTH(TODAY()),1))),1,0))</f>
        <v/>
      </c>
      <c r="Z209">
        <f>IF($A209="","",IF(AND($B209&gt;0,M209&lt;$B209,DATE($B$1,11,1)&lt;=TODAY(),OR($O209="",$O209&gt;=DATE($B$1,11,1)),OR(COUNTIF($C209:M209,"&gt;0")&gt;0,DATE($B$1,11,1)=DATE(YEAR(TODAY()),MONTH(TODAY()),1))),1,0))</f>
        <v/>
      </c>
      <c r="AA209">
        <f>IF($A209="","",IF(AND($B209&gt;0,N209&lt;$B209,DATE($B$1,12,1)&lt;=TODAY(),OR($O209="",$O209&gt;=DATE($B$1,12,1)),OR(COUNTIF($C209:N209,"&gt;0")&gt;0,DATE($B$1,12,1)=DATE(YEAR(TODAY()),MONTH(TODAY()),1))),1,0))</f>
        <v/>
      </c>
    </row>
    <row r="210">
      <c r="A210" s="13">
        <f>IF(원생!$A208="","",원생!$A208&amp;IF(원생!$G208="",""," ("&amp;원생!$G208&amp;")"))</f>
        <v/>
      </c>
      <c r="B210" s="8">
        <f>IF(원생!$A208="","",원생!$F208)</f>
        <v/>
      </c>
      <c r="C210" s="14">
        <f>IF(원생!$A208="","",SUMIFS(수납!$F:$F,수납!$C:$C,원생!$A208,수납!$D:$D,IF(원생!$G208="","",원생!$G208),수납!$B:$B,$B$1&amp;"-"&amp;TEXT(1,"00")&amp;"*",수납!$E:$E,"수강료")+SUMIFS(수납!$F:$F,수납!$C:$C,원생!$A208,수납!$D:$D,IF(원생!$G208="","",원생!$G208),수납!$B:$B,$B$1&amp;"-"&amp;TEXT(1,"00")&amp;"*",수납!$E:$E,""))</f>
        <v/>
      </c>
      <c r="D210" s="14">
        <f>IF(원생!$A208="","",SUMIFS(수납!$F:$F,수납!$C:$C,원생!$A208,수납!$D:$D,IF(원생!$G208="","",원생!$G208),수납!$B:$B,$B$1&amp;"-"&amp;TEXT(2,"00")&amp;"*",수납!$E:$E,"수강료")+SUMIFS(수납!$F:$F,수납!$C:$C,원생!$A208,수납!$D:$D,IF(원생!$G208="","",원생!$G208),수납!$B:$B,$B$1&amp;"-"&amp;TEXT(2,"00")&amp;"*",수납!$E:$E,""))</f>
        <v/>
      </c>
      <c r="E210" s="14">
        <f>IF(원생!$A208="","",SUMIFS(수납!$F:$F,수납!$C:$C,원생!$A208,수납!$D:$D,IF(원생!$G208="","",원생!$G208),수납!$B:$B,$B$1&amp;"-"&amp;TEXT(3,"00")&amp;"*",수납!$E:$E,"수강료")+SUMIFS(수납!$F:$F,수납!$C:$C,원생!$A208,수납!$D:$D,IF(원생!$G208="","",원생!$G208),수납!$B:$B,$B$1&amp;"-"&amp;TEXT(3,"00")&amp;"*",수납!$E:$E,""))</f>
        <v/>
      </c>
      <c r="F210" s="14">
        <f>IF(원생!$A208="","",SUMIFS(수납!$F:$F,수납!$C:$C,원생!$A208,수납!$D:$D,IF(원생!$G208="","",원생!$G208),수납!$B:$B,$B$1&amp;"-"&amp;TEXT(4,"00")&amp;"*",수납!$E:$E,"수강료")+SUMIFS(수납!$F:$F,수납!$C:$C,원생!$A208,수납!$D:$D,IF(원생!$G208="","",원생!$G208),수납!$B:$B,$B$1&amp;"-"&amp;TEXT(4,"00")&amp;"*",수납!$E:$E,""))</f>
        <v/>
      </c>
      <c r="G210" s="14">
        <f>IF(원생!$A208="","",SUMIFS(수납!$F:$F,수납!$C:$C,원생!$A208,수납!$D:$D,IF(원생!$G208="","",원생!$G208),수납!$B:$B,$B$1&amp;"-"&amp;TEXT(5,"00")&amp;"*",수납!$E:$E,"수강료")+SUMIFS(수납!$F:$F,수납!$C:$C,원생!$A208,수납!$D:$D,IF(원생!$G208="","",원생!$G208),수납!$B:$B,$B$1&amp;"-"&amp;TEXT(5,"00")&amp;"*",수납!$E:$E,""))</f>
        <v/>
      </c>
      <c r="H210" s="14">
        <f>IF(원생!$A208="","",SUMIFS(수납!$F:$F,수납!$C:$C,원생!$A208,수납!$D:$D,IF(원생!$G208="","",원생!$G208),수납!$B:$B,$B$1&amp;"-"&amp;TEXT(6,"00")&amp;"*",수납!$E:$E,"수강료")+SUMIFS(수납!$F:$F,수납!$C:$C,원생!$A208,수납!$D:$D,IF(원생!$G208="","",원생!$G208),수납!$B:$B,$B$1&amp;"-"&amp;TEXT(6,"00")&amp;"*",수납!$E:$E,""))</f>
        <v/>
      </c>
      <c r="I210" s="14">
        <f>IF(원생!$A208="","",SUMIFS(수납!$F:$F,수납!$C:$C,원생!$A208,수납!$D:$D,IF(원생!$G208="","",원생!$G208),수납!$B:$B,$B$1&amp;"-"&amp;TEXT(7,"00")&amp;"*",수납!$E:$E,"수강료")+SUMIFS(수납!$F:$F,수납!$C:$C,원생!$A208,수납!$D:$D,IF(원생!$G208="","",원생!$G208),수납!$B:$B,$B$1&amp;"-"&amp;TEXT(7,"00")&amp;"*",수납!$E:$E,""))</f>
        <v/>
      </c>
      <c r="J210" s="14">
        <f>IF(원생!$A208="","",SUMIFS(수납!$F:$F,수납!$C:$C,원생!$A208,수납!$D:$D,IF(원생!$G208="","",원생!$G208),수납!$B:$B,$B$1&amp;"-"&amp;TEXT(8,"00")&amp;"*",수납!$E:$E,"수강료")+SUMIFS(수납!$F:$F,수납!$C:$C,원생!$A208,수납!$D:$D,IF(원생!$G208="","",원생!$G208),수납!$B:$B,$B$1&amp;"-"&amp;TEXT(8,"00")&amp;"*",수납!$E:$E,""))</f>
        <v/>
      </c>
      <c r="K210" s="14">
        <f>IF(원생!$A208="","",SUMIFS(수납!$F:$F,수납!$C:$C,원생!$A208,수납!$D:$D,IF(원생!$G208="","",원생!$G208),수납!$B:$B,$B$1&amp;"-"&amp;TEXT(9,"00")&amp;"*",수납!$E:$E,"수강료")+SUMIFS(수납!$F:$F,수납!$C:$C,원생!$A208,수납!$D:$D,IF(원생!$G208="","",원생!$G208),수납!$B:$B,$B$1&amp;"-"&amp;TEXT(9,"00")&amp;"*",수납!$E:$E,""))</f>
        <v/>
      </c>
      <c r="L210" s="14">
        <f>IF(원생!$A208="","",SUMIFS(수납!$F:$F,수납!$C:$C,원생!$A208,수납!$D:$D,IF(원생!$G208="","",원생!$G208),수납!$B:$B,$B$1&amp;"-"&amp;TEXT(10,"00")&amp;"*",수납!$E:$E,"수강료")+SUMIFS(수납!$F:$F,수납!$C:$C,원생!$A208,수납!$D:$D,IF(원생!$G208="","",원생!$G208),수납!$B:$B,$B$1&amp;"-"&amp;TEXT(10,"00")&amp;"*",수납!$E:$E,""))</f>
        <v/>
      </c>
      <c r="M210" s="14">
        <f>IF(원생!$A208="","",SUMIFS(수납!$F:$F,수납!$C:$C,원생!$A208,수납!$D:$D,IF(원생!$G208="","",원생!$G208),수납!$B:$B,$B$1&amp;"-"&amp;TEXT(11,"00")&amp;"*",수납!$E:$E,"수강료")+SUMIFS(수납!$F:$F,수납!$C:$C,원생!$A208,수납!$D:$D,IF(원생!$G208="","",원생!$G208),수납!$B:$B,$B$1&amp;"-"&amp;TEXT(11,"00")&amp;"*",수납!$E:$E,""))</f>
        <v/>
      </c>
      <c r="N210" s="14">
        <f>IF(원생!$A208="","",SUMIFS(수납!$F:$F,수납!$C:$C,원생!$A208,수납!$D:$D,IF(원생!$G208="","",원생!$G208),수납!$B:$B,$B$1&amp;"-"&amp;TEXT(12,"00")&amp;"*",수납!$E:$E,"수강료")+SUMIFS(수납!$F:$F,수납!$C:$C,원생!$A208,수납!$D:$D,IF(원생!$G208="","",원생!$G208),수납!$B:$B,$B$1&amp;"-"&amp;TEXT(12,"00")&amp;"*",수납!$E:$E,""))</f>
        <v/>
      </c>
      <c r="O210">
        <f>IF(원생!$I208="","",원생!$I208)</f>
        <v/>
      </c>
      <c r="P210">
        <f>IF($A210="","",IF(AND($B210&gt;0,C210&lt;$B210,DATE($B$1,1,1)&lt;=TODAY(),OR($O210="",$O210&gt;=DATE($B$1,1,1)),OR(COUNTIF($C210:C210,"&gt;0")&gt;0,DATE($B$1,1,1)=DATE(YEAR(TODAY()),MONTH(TODAY()),1))),1,0))</f>
        <v/>
      </c>
      <c r="Q210">
        <f>IF($A210="","",IF(AND($B210&gt;0,D210&lt;$B210,DATE($B$1,2,1)&lt;=TODAY(),OR($O210="",$O210&gt;=DATE($B$1,2,1)),OR(COUNTIF($C210:D210,"&gt;0")&gt;0,DATE($B$1,2,1)=DATE(YEAR(TODAY()),MONTH(TODAY()),1))),1,0))</f>
        <v/>
      </c>
      <c r="R210">
        <f>IF($A210="","",IF(AND($B210&gt;0,E210&lt;$B210,DATE($B$1,3,1)&lt;=TODAY(),OR($O210="",$O210&gt;=DATE($B$1,3,1)),OR(COUNTIF($C210:E210,"&gt;0")&gt;0,DATE($B$1,3,1)=DATE(YEAR(TODAY()),MONTH(TODAY()),1))),1,0))</f>
        <v/>
      </c>
      <c r="S210">
        <f>IF($A210="","",IF(AND($B210&gt;0,F210&lt;$B210,DATE($B$1,4,1)&lt;=TODAY(),OR($O210="",$O210&gt;=DATE($B$1,4,1)),OR(COUNTIF($C210:F210,"&gt;0")&gt;0,DATE($B$1,4,1)=DATE(YEAR(TODAY()),MONTH(TODAY()),1))),1,0))</f>
        <v/>
      </c>
      <c r="T210">
        <f>IF($A210="","",IF(AND($B210&gt;0,G210&lt;$B210,DATE($B$1,5,1)&lt;=TODAY(),OR($O210="",$O210&gt;=DATE($B$1,5,1)),OR(COUNTIF($C210:G210,"&gt;0")&gt;0,DATE($B$1,5,1)=DATE(YEAR(TODAY()),MONTH(TODAY()),1))),1,0))</f>
        <v/>
      </c>
      <c r="U210">
        <f>IF($A210="","",IF(AND($B210&gt;0,H210&lt;$B210,DATE($B$1,6,1)&lt;=TODAY(),OR($O210="",$O210&gt;=DATE($B$1,6,1)),OR(COUNTIF($C210:H210,"&gt;0")&gt;0,DATE($B$1,6,1)=DATE(YEAR(TODAY()),MONTH(TODAY()),1))),1,0))</f>
        <v/>
      </c>
      <c r="V210">
        <f>IF($A210="","",IF(AND($B210&gt;0,I210&lt;$B210,DATE($B$1,7,1)&lt;=TODAY(),OR($O210="",$O210&gt;=DATE($B$1,7,1)),OR(COUNTIF($C210:I210,"&gt;0")&gt;0,DATE($B$1,7,1)=DATE(YEAR(TODAY()),MONTH(TODAY()),1))),1,0))</f>
        <v/>
      </c>
      <c r="W210">
        <f>IF($A210="","",IF(AND($B210&gt;0,J210&lt;$B210,DATE($B$1,8,1)&lt;=TODAY(),OR($O210="",$O210&gt;=DATE($B$1,8,1)),OR(COUNTIF($C210:J210,"&gt;0")&gt;0,DATE($B$1,8,1)=DATE(YEAR(TODAY()),MONTH(TODAY()),1))),1,0))</f>
        <v/>
      </c>
      <c r="X210">
        <f>IF($A210="","",IF(AND($B210&gt;0,K210&lt;$B210,DATE($B$1,9,1)&lt;=TODAY(),OR($O210="",$O210&gt;=DATE($B$1,9,1)),OR(COUNTIF($C210:K210,"&gt;0")&gt;0,DATE($B$1,9,1)=DATE(YEAR(TODAY()),MONTH(TODAY()),1))),1,0))</f>
        <v/>
      </c>
      <c r="Y210">
        <f>IF($A210="","",IF(AND($B210&gt;0,L210&lt;$B210,DATE($B$1,10,1)&lt;=TODAY(),OR($O210="",$O210&gt;=DATE($B$1,10,1)),OR(COUNTIF($C210:L210,"&gt;0")&gt;0,DATE($B$1,10,1)=DATE(YEAR(TODAY()),MONTH(TODAY()),1))),1,0))</f>
        <v/>
      </c>
      <c r="Z210">
        <f>IF($A210="","",IF(AND($B210&gt;0,M210&lt;$B210,DATE($B$1,11,1)&lt;=TODAY(),OR($O210="",$O210&gt;=DATE($B$1,11,1)),OR(COUNTIF($C210:M210,"&gt;0")&gt;0,DATE($B$1,11,1)=DATE(YEAR(TODAY()),MONTH(TODAY()),1))),1,0))</f>
        <v/>
      </c>
      <c r="AA210">
        <f>IF($A210="","",IF(AND($B210&gt;0,N210&lt;$B210,DATE($B$1,12,1)&lt;=TODAY(),OR($O210="",$O210&gt;=DATE($B$1,12,1)),OR(COUNTIF($C210:N210,"&gt;0")&gt;0,DATE($B$1,12,1)=DATE(YEAR(TODAY()),MONTH(TODAY()),1))),1,0))</f>
        <v/>
      </c>
    </row>
    <row r="211">
      <c r="A211" s="13">
        <f>IF(원생!$A209="","",원생!$A209&amp;IF(원생!$G209="",""," ("&amp;원생!$G209&amp;")"))</f>
        <v/>
      </c>
      <c r="B211" s="8">
        <f>IF(원생!$A209="","",원생!$F209)</f>
        <v/>
      </c>
      <c r="C211" s="14">
        <f>IF(원생!$A209="","",SUMIFS(수납!$F:$F,수납!$C:$C,원생!$A209,수납!$D:$D,IF(원생!$G209="","",원생!$G209),수납!$B:$B,$B$1&amp;"-"&amp;TEXT(1,"00")&amp;"*",수납!$E:$E,"수강료")+SUMIFS(수납!$F:$F,수납!$C:$C,원생!$A209,수납!$D:$D,IF(원생!$G209="","",원생!$G209),수납!$B:$B,$B$1&amp;"-"&amp;TEXT(1,"00")&amp;"*",수납!$E:$E,""))</f>
        <v/>
      </c>
      <c r="D211" s="14">
        <f>IF(원생!$A209="","",SUMIFS(수납!$F:$F,수납!$C:$C,원생!$A209,수납!$D:$D,IF(원생!$G209="","",원생!$G209),수납!$B:$B,$B$1&amp;"-"&amp;TEXT(2,"00")&amp;"*",수납!$E:$E,"수강료")+SUMIFS(수납!$F:$F,수납!$C:$C,원생!$A209,수납!$D:$D,IF(원생!$G209="","",원생!$G209),수납!$B:$B,$B$1&amp;"-"&amp;TEXT(2,"00")&amp;"*",수납!$E:$E,""))</f>
        <v/>
      </c>
      <c r="E211" s="14">
        <f>IF(원생!$A209="","",SUMIFS(수납!$F:$F,수납!$C:$C,원생!$A209,수납!$D:$D,IF(원생!$G209="","",원생!$G209),수납!$B:$B,$B$1&amp;"-"&amp;TEXT(3,"00")&amp;"*",수납!$E:$E,"수강료")+SUMIFS(수납!$F:$F,수납!$C:$C,원생!$A209,수납!$D:$D,IF(원생!$G209="","",원생!$G209),수납!$B:$B,$B$1&amp;"-"&amp;TEXT(3,"00")&amp;"*",수납!$E:$E,""))</f>
        <v/>
      </c>
      <c r="F211" s="14">
        <f>IF(원생!$A209="","",SUMIFS(수납!$F:$F,수납!$C:$C,원생!$A209,수납!$D:$D,IF(원생!$G209="","",원생!$G209),수납!$B:$B,$B$1&amp;"-"&amp;TEXT(4,"00")&amp;"*",수납!$E:$E,"수강료")+SUMIFS(수납!$F:$F,수납!$C:$C,원생!$A209,수납!$D:$D,IF(원생!$G209="","",원생!$G209),수납!$B:$B,$B$1&amp;"-"&amp;TEXT(4,"00")&amp;"*",수납!$E:$E,""))</f>
        <v/>
      </c>
      <c r="G211" s="14">
        <f>IF(원생!$A209="","",SUMIFS(수납!$F:$F,수납!$C:$C,원생!$A209,수납!$D:$D,IF(원생!$G209="","",원생!$G209),수납!$B:$B,$B$1&amp;"-"&amp;TEXT(5,"00")&amp;"*",수납!$E:$E,"수강료")+SUMIFS(수납!$F:$F,수납!$C:$C,원생!$A209,수납!$D:$D,IF(원생!$G209="","",원생!$G209),수납!$B:$B,$B$1&amp;"-"&amp;TEXT(5,"00")&amp;"*",수납!$E:$E,""))</f>
        <v/>
      </c>
      <c r="H211" s="14">
        <f>IF(원생!$A209="","",SUMIFS(수납!$F:$F,수납!$C:$C,원생!$A209,수납!$D:$D,IF(원생!$G209="","",원생!$G209),수납!$B:$B,$B$1&amp;"-"&amp;TEXT(6,"00")&amp;"*",수납!$E:$E,"수강료")+SUMIFS(수납!$F:$F,수납!$C:$C,원생!$A209,수납!$D:$D,IF(원생!$G209="","",원생!$G209),수납!$B:$B,$B$1&amp;"-"&amp;TEXT(6,"00")&amp;"*",수납!$E:$E,""))</f>
        <v/>
      </c>
      <c r="I211" s="14">
        <f>IF(원생!$A209="","",SUMIFS(수납!$F:$F,수납!$C:$C,원생!$A209,수납!$D:$D,IF(원생!$G209="","",원생!$G209),수납!$B:$B,$B$1&amp;"-"&amp;TEXT(7,"00")&amp;"*",수납!$E:$E,"수강료")+SUMIFS(수납!$F:$F,수납!$C:$C,원생!$A209,수납!$D:$D,IF(원생!$G209="","",원생!$G209),수납!$B:$B,$B$1&amp;"-"&amp;TEXT(7,"00")&amp;"*",수납!$E:$E,""))</f>
        <v/>
      </c>
      <c r="J211" s="14">
        <f>IF(원생!$A209="","",SUMIFS(수납!$F:$F,수납!$C:$C,원생!$A209,수납!$D:$D,IF(원생!$G209="","",원생!$G209),수납!$B:$B,$B$1&amp;"-"&amp;TEXT(8,"00")&amp;"*",수납!$E:$E,"수강료")+SUMIFS(수납!$F:$F,수납!$C:$C,원생!$A209,수납!$D:$D,IF(원생!$G209="","",원생!$G209),수납!$B:$B,$B$1&amp;"-"&amp;TEXT(8,"00")&amp;"*",수납!$E:$E,""))</f>
        <v/>
      </c>
      <c r="K211" s="14">
        <f>IF(원생!$A209="","",SUMIFS(수납!$F:$F,수납!$C:$C,원생!$A209,수납!$D:$D,IF(원생!$G209="","",원생!$G209),수납!$B:$B,$B$1&amp;"-"&amp;TEXT(9,"00")&amp;"*",수납!$E:$E,"수강료")+SUMIFS(수납!$F:$F,수납!$C:$C,원생!$A209,수납!$D:$D,IF(원생!$G209="","",원생!$G209),수납!$B:$B,$B$1&amp;"-"&amp;TEXT(9,"00")&amp;"*",수납!$E:$E,""))</f>
        <v/>
      </c>
      <c r="L211" s="14">
        <f>IF(원생!$A209="","",SUMIFS(수납!$F:$F,수납!$C:$C,원생!$A209,수납!$D:$D,IF(원생!$G209="","",원생!$G209),수납!$B:$B,$B$1&amp;"-"&amp;TEXT(10,"00")&amp;"*",수납!$E:$E,"수강료")+SUMIFS(수납!$F:$F,수납!$C:$C,원생!$A209,수납!$D:$D,IF(원생!$G209="","",원생!$G209),수납!$B:$B,$B$1&amp;"-"&amp;TEXT(10,"00")&amp;"*",수납!$E:$E,""))</f>
        <v/>
      </c>
      <c r="M211" s="14">
        <f>IF(원생!$A209="","",SUMIFS(수납!$F:$F,수납!$C:$C,원생!$A209,수납!$D:$D,IF(원생!$G209="","",원생!$G209),수납!$B:$B,$B$1&amp;"-"&amp;TEXT(11,"00")&amp;"*",수납!$E:$E,"수강료")+SUMIFS(수납!$F:$F,수납!$C:$C,원생!$A209,수납!$D:$D,IF(원생!$G209="","",원생!$G209),수납!$B:$B,$B$1&amp;"-"&amp;TEXT(11,"00")&amp;"*",수납!$E:$E,""))</f>
        <v/>
      </c>
      <c r="N211" s="14">
        <f>IF(원생!$A209="","",SUMIFS(수납!$F:$F,수납!$C:$C,원생!$A209,수납!$D:$D,IF(원생!$G209="","",원생!$G209),수납!$B:$B,$B$1&amp;"-"&amp;TEXT(12,"00")&amp;"*",수납!$E:$E,"수강료")+SUMIFS(수납!$F:$F,수납!$C:$C,원생!$A209,수납!$D:$D,IF(원생!$G209="","",원생!$G209),수납!$B:$B,$B$1&amp;"-"&amp;TEXT(12,"00")&amp;"*",수납!$E:$E,""))</f>
        <v/>
      </c>
      <c r="O211">
        <f>IF(원생!$I209="","",원생!$I209)</f>
        <v/>
      </c>
      <c r="P211">
        <f>IF($A211="","",IF(AND($B211&gt;0,C211&lt;$B211,DATE($B$1,1,1)&lt;=TODAY(),OR($O211="",$O211&gt;=DATE($B$1,1,1)),OR(COUNTIF($C211:C211,"&gt;0")&gt;0,DATE($B$1,1,1)=DATE(YEAR(TODAY()),MONTH(TODAY()),1))),1,0))</f>
        <v/>
      </c>
      <c r="Q211">
        <f>IF($A211="","",IF(AND($B211&gt;0,D211&lt;$B211,DATE($B$1,2,1)&lt;=TODAY(),OR($O211="",$O211&gt;=DATE($B$1,2,1)),OR(COUNTIF($C211:D211,"&gt;0")&gt;0,DATE($B$1,2,1)=DATE(YEAR(TODAY()),MONTH(TODAY()),1))),1,0))</f>
        <v/>
      </c>
      <c r="R211">
        <f>IF($A211="","",IF(AND($B211&gt;0,E211&lt;$B211,DATE($B$1,3,1)&lt;=TODAY(),OR($O211="",$O211&gt;=DATE($B$1,3,1)),OR(COUNTIF($C211:E211,"&gt;0")&gt;0,DATE($B$1,3,1)=DATE(YEAR(TODAY()),MONTH(TODAY()),1))),1,0))</f>
        <v/>
      </c>
      <c r="S211">
        <f>IF($A211="","",IF(AND($B211&gt;0,F211&lt;$B211,DATE($B$1,4,1)&lt;=TODAY(),OR($O211="",$O211&gt;=DATE($B$1,4,1)),OR(COUNTIF($C211:F211,"&gt;0")&gt;0,DATE($B$1,4,1)=DATE(YEAR(TODAY()),MONTH(TODAY()),1))),1,0))</f>
        <v/>
      </c>
      <c r="T211">
        <f>IF($A211="","",IF(AND($B211&gt;0,G211&lt;$B211,DATE($B$1,5,1)&lt;=TODAY(),OR($O211="",$O211&gt;=DATE($B$1,5,1)),OR(COUNTIF($C211:G211,"&gt;0")&gt;0,DATE($B$1,5,1)=DATE(YEAR(TODAY()),MONTH(TODAY()),1))),1,0))</f>
        <v/>
      </c>
      <c r="U211">
        <f>IF($A211="","",IF(AND($B211&gt;0,H211&lt;$B211,DATE($B$1,6,1)&lt;=TODAY(),OR($O211="",$O211&gt;=DATE($B$1,6,1)),OR(COUNTIF($C211:H211,"&gt;0")&gt;0,DATE($B$1,6,1)=DATE(YEAR(TODAY()),MONTH(TODAY()),1))),1,0))</f>
        <v/>
      </c>
      <c r="V211">
        <f>IF($A211="","",IF(AND($B211&gt;0,I211&lt;$B211,DATE($B$1,7,1)&lt;=TODAY(),OR($O211="",$O211&gt;=DATE($B$1,7,1)),OR(COUNTIF($C211:I211,"&gt;0")&gt;0,DATE($B$1,7,1)=DATE(YEAR(TODAY()),MONTH(TODAY()),1))),1,0))</f>
        <v/>
      </c>
      <c r="W211">
        <f>IF($A211="","",IF(AND($B211&gt;0,J211&lt;$B211,DATE($B$1,8,1)&lt;=TODAY(),OR($O211="",$O211&gt;=DATE($B$1,8,1)),OR(COUNTIF($C211:J211,"&gt;0")&gt;0,DATE($B$1,8,1)=DATE(YEAR(TODAY()),MONTH(TODAY()),1))),1,0))</f>
        <v/>
      </c>
      <c r="X211">
        <f>IF($A211="","",IF(AND($B211&gt;0,K211&lt;$B211,DATE($B$1,9,1)&lt;=TODAY(),OR($O211="",$O211&gt;=DATE($B$1,9,1)),OR(COUNTIF($C211:K211,"&gt;0")&gt;0,DATE($B$1,9,1)=DATE(YEAR(TODAY()),MONTH(TODAY()),1))),1,0))</f>
        <v/>
      </c>
      <c r="Y211">
        <f>IF($A211="","",IF(AND($B211&gt;0,L211&lt;$B211,DATE($B$1,10,1)&lt;=TODAY(),OR($O211="",$O211&gt;=DATE($B$1,10,1)),OR(COUNTIF($C211:L211,"&gt;0")&gt;0,DATE($B$1,10,1)=DATE(YEAR(TODAY()),MONTH(TODAY()),1))),1,0))</f>
        <v/>
      </c>
      <c r="Z211">
        <f>IF($A211="","",IF(AND($B211&gt;0,M211&lt;$B211,DATE($B$1,11,1)&lt;=TODAY(),OR($O211="",$O211&gt;=DATE($B$1,11,1)),OR(COUNTIF($C211:M211,"&gt;0")&gt;0,DATE($B$1,11,1)=DATE(YEAR(TODAY()),MONTH(TODAY()),1))),1,0))</f>
        <v/>
      </c>
      <c r="AA211">
        <f>IF($A211="","",IF(AND($B211&gt;0,N211&lt;$B211,DATE($B$1,12,1)&lt;=TODAY(),OR($O211="",$O211&gt;=DATE($B$1,12,1)),OR(COUNTIF($C211:N211,"&gt;0")&gt;0,DATE($B$1,12,1)=DATE(YEAR(TODAY()),MONTH(TODAY()),1))),1,0))</f>
        <v/>
      </c>
    </row>
    <row r="212">
      <c r="A212" s="13">
        <f>IF(원생!$A210="","",원생!$A210&amp;IF(원생!$G210="",""," ("&amp;원생!$G210&amp;")"))</f>
        <v/>
      </c>
      <c r="B212" s="8">
        <f>IF(원생!$A210="","",원생!$F210)</f>
        <v/>
      </c>
      <c r="C212" s="14">
        <f>IF(원생!$A210="","",SUMIFS(수납!$F:$F,수납!$C:$C,원생!$A210,수납!$D:$D,IF(원생!$G210="","",원생!$G210),수납!$B:$B,$B$1&amp;"-"&amp;TEXT(1,"00")&amp;"*",수납!$E:$E,"수강료")+SUMIFS(수납!$F:$F,수납!$C:$C,원생!$A210,수납!$D:$D,IF(원생!$G210="","",원생!$G210),수납!$B:$B,$B$1&amp;"-"&amp;TEXT(1,"00")&amp;"*",수납!$E:$E,""))</f>
        <v/>
      </c>
      <c r="D212" s="14">
        <f>IF(원생!$A210="","",SUMIFS(수납!$F:$F,수납!$C:$C,원생!$A210,수납!$D:$D,IF(원생!$G210="","",원생!$G210),수납!$B:$B,$B$1&amp;"-"&amp;TEXT(2,"00")&amp;"*",수납!$E:$E,"수강료")+SUMIFS(수납!$F:$F,수납!$C:$C,원생!$A210,수납!$D:$D,IF(원생!$G210="","",원생!$G210),수납!$B:$B,$B$1&amp;"-"&amp;TEXT(2,"00")&amp;"*",수납!$E:$E,""))</f>
        <v/>
      </c>
      <c r="E212" s="14">
        <f>IF(원생!$A210="","",SUMIFS(수납!$F:$F,수납!$C:$C,원생!$A210,수납!$D:$D,IF(원생!$G210="","",원생!$G210),수납!$B:$B,$B$1&amp;"-"&amp;TEXT(3,"00")&amp;"*",수납!$E:$E,"수강료")+SUMIFS(수납!$F:$F,수납!$C:$C,원생!$A210,수납!$D:$D,IF(원생!$G210="","",원생!$G210),수납!$B:$B,$B$1&amp;"-"&amp;TEXT(3,"00")&amp;"*",수납!$E:$E,""))</f>
        <v/>
      </c>
      <c r="F212" s="14">
        <f>IF(원생!$A210="","",SUMIFS(수납!$F:$F,수납!$C:$C,원생!$A210,수납!$D:$D,IF(원생!$G210="","",원생!$G210),수납!$B:$B,$B$1&amp;"-"&amp;TEXT(4,"00")&amp;"*",수납!$E:$E,"수강료")+SUMIFS(수납!$F:$F,수납!$C:$C,원생!$A210,수납!$D:$D,IF(원생!$G210="","",원생!$G210),수납!$B:$B,$B$1&amp;"-"&amp;TEXT(4,"00")&amp;"*",수납!$E:$E,""))</f>
        <v/>
      </c>
      <c r="G212" s="14">
        <f>IF(원생!$A210="","",SUMIFS(수납!$F:$F,수납!$C:$C,원생!$A210,수납!$D:$D,IF(원생!$G210="","",원생!$G210),수납!$B:$B,$B$1&amp;"-"&amp;TEXT(5,"00")&amp;"*",수납!$E:$E,"수강료")+SUMIFS(수납!$F:$F,수납!$C:$C,원생!$A210,수납!$D:$D,IF(원생!$G210="","",원생!$G210),수납!$B:$B,$B$1&amp;"-"&amp;TEXT(5,"00")&amp;"*",수납!$E:$E,""))</f>
        <v/>
      </c>
      <c r="H212" s="14">
        <f>IF(원생!$A210="","",SUMIFS(수납!$F:$F,수납!$C:$C,원생!$A210,수납!$D:$D,IF(원생!$G210="","",원생!$G210),수납!$B:$B,$B$1&amp;"-"&amp;TEXT(6,"00")&amp;"*",수납!$E:$E,"수강료")+SUMIFS(수납!$F:$F,수납!$C:$C,원생!$A210,수납!$D:$D,IF(원생!$G210="","",원생!$G210),수납!$B:$B,$B$1&amp;"-"&amp;TEXT(6,"00")&amp;"*",수납!$E:$E,""))</f>
        <v/>
      </c>
      <c r="I212" s="14">
        <f>IF(원생!$A210="","",SUMIFS(수납!$F:$F,수납!$C:$C,원생!$A210,수납!$D:$D,IF(원생!$G210="","",원생!$G210),수납!$B:$B,$B$1&amp;"-"&amp;TEXT(7,"00")&amp;"*",수납!$E:$E,"수강료")+SUMIFS(수납!$F:$F,수납!$C:$C,원생!$A210,수납!$D:$D,IF(원생!$G210="","",원생!$G210),수납!$B:$B,$B$1&amp;"-"&amp;TEXT(7,"00")&amp;"*",수납!$E:$E,""))</f>
        <v/>
      </c>
      <c r="J212" s="14">
        <f>IF(원생!$A210="","",SUMIFS(수납!$F:$F,수납!$C:$C,원생!$A210,수납!$D:$D,IF(원생!$G210="","",원생!$G210),수납!$B:$B,$B$1&amp;"-"&amp;TEXT(8,"00")&amp;"*",수납!$E:$E,"수강료")+SUMIFS(수납!$F:$F,수납!$C:$C,원생!$A210,수납!$D:$D,IF(원생!$G210="","",원생!$G210),수납!$B:$B,$B$1&amp;"-"&amp;TEXT(8,"00")&amp;"*",수납!$E:$E,""))</f>
        <v/>
      </c>
      <c r="K212" s="14">
        <f>IF(원생!$A210="","",SUMIFS(수납!$F:$F,수납!$C:$C,원생!$A210,수납!$D:$D,IF(원생!$G210="","",원생!$G210),수납!$B:$B,$B$1&amp;"-"&amp;TEXT(9,"00")&amp;"*",수납!$E:$E,"수강료")+SUMIFS(수납!$F:$F,수납!$C:$C,원생!$A210,수납!$D:$D,IF(원생!$G210="","",원생!$G210),수납!$B:$B,$B$1&amp;"-"&amp;TEXT(9,"00")&amp;"*",수납!$E:$E,""))</f>
        <v/>
      </c>
      <c r="L212" s="14">
        <f>IF(원생!$A210="","",SUMIFS(수납!$F:$F,수납!$C:$C,원생!$A210,수납!$D:$D,IF(원생!$G210="","",원생!$G210),수납!$B:$B,$B$1&amp;"-"&amp;TEXT(10,"00")&amp;"*",수납!$E:$E,"수강료")+SUMIFS(수납!$F:$F,수납!$C:$C,원생!$A210,수납!$D:$D,IF(원생!$G210="","",원생!$G210),수납!$B:$B,$B$1&amp;"-"&amp;TEXT(10,"00")&amp;"*",수납!$E:$E,""))</f>
        <v/>
      </c>
      <c r="M212" s="14">
        <f>IF(원생!$A210="","",SUMIFS(수납!$F:$F,수납!$C:$C,원생!$A210,수납!$D:$D,IF(원생!$G210="","",원생!$G210),수납!$B:$B,$B$1&amp;"-"&amp;TEXT(11,"00")&amp;"*",수납!$E:$E,"수강료")+SUMIFS(수납!$F:$F,수납!$C:$C,원생!$A210,수납!$D:$D,IF(원생!$G210="","",원생!$G210),수납!$B:$B,$B$1&amp;"-"&amp;TEXT(11,"00")&amp;"*",수납!$E:$E,""))</f>
        <v/>
      </c>
      <c r="N212" s="14">
        <f>IF(원생!$A210="","",SUMIFS(수납!$F:$F,수납!$C:$C,원생!$A210,수납!$D:$D,IF(원생!$G210="","",원생!$G210),수납!$B:$B,$B$1&amp;"-"&amp;TEXT(12,"00")&amp;"*",수납!$E:$E,"수강료")+SUMIFS(수납!$F:$F,수납!$C:$C,원생!$A210,수납!$D:$D,IF(원생!$G210="","",원생!$G210),수납!$B:$B,$B$1&amp;"-"&amp;TEXT(12,"00")&amp;"*",수납!$E:$E,""))</f>
        <v/>
      </c>
      <c r="O212">
        <f>IF(원생!$I210="","",원생!$I210)</f>
        <v/>
      </c>
      <c r="P212">
        <f>IF($A212="","",IF(AND($B212&gt;0,C212&lt;$B212,DATE($B$1,1,1)&lt;=TODAY(),OR($O212="",$O212&gt;=DATE($B$1,1,1)),OR(COUNTIF($C212:C212,"&gt;0")&gt;0,DATE($B$1,1,1)=DATE(YEAR(TODAY()),MONTH(TODAY()),1))),1,0))</f>
        <v/>
      </c>
      <c r="Q212">
        <f>IF($A212="","",IF(AND($B212&gt;0,D212&lt;$B212,DATE($B$1,2,1)&lt;=TODAY(),OR($O212="",$O212&gt;=DATE($B$1,2,1)),OR(COUNTIF($C212:D212,"&gt;0")&gt;0,DATE($B$1,2,1)=DATE(YEAR(TODAY()),MONTH(TODAY()),1))),1,0))</f>
        <v/>
      </c>
      <c r="R212">
        <f>IF($A212="","",IF(AND($B212&gt;0,E212&lt;$B212,DATE($B$1,3,1)&lt;=TODAY(),OR($O212="",$O212&gt;=DATE($B$1,3,1)),OR(COUNTIF($C212:E212,"&gt;0")&gt;0,DATE($B$1,3,1)=DATE(YEAR(TODAY()),MONTH(TODAY()),1))),1,0))</f>
        <v/>
      </c>
      <c r="S212">
        <f>IF($A212="","",IF(AND($B212&gt;0,F212&lt;$B212,DATE($B$1,4,1)&lt;=TODAY(),OR($O212="",$O212&gt;=DATE($B$1,4,1)),OR(COUNTIF($C212:F212,"&gt;0")&gt;0,DATE($B$1,4,1)=DATE(YEAR(TODAY()),MONTH(TODAY()),1))),1,0))</f>
        <v/>
      </c>
      <c r="T212">
        <f>IF($A212="","",IF(AND($B212&gt;0,G212&lt;$B212,DATE($B$1,5,1)&lt;=TODAY(),OR($O212="",$O212&gt;=DATE($B$1,5,1)),OR(COUNTIF($C212:G212,"&gt;0")&gt;0,DATE($B$1,5,1)=DATE(YEAR(TODAY()),MONTH(TODAY()),1))),1,0))</f>
        <v/>
      </c>
      <c r="U212">
        <f>IF($A212="","",IF(AND($B212&gt;0,H212&lt;$B212,DATE($B$1,6,1)&lt;=TODAY(),OR($O212="",$O212&gt;=DATE($B$1,6,1)),OR(COUNTIF($C212:H212,"&gt;0")&gt;0,DATE($B$1,6,1)=DATE(YEAR(TODAY()),MONTH(TODAY()),1))),1,0))</f>
        <v/>
      </c>
      <c r="V212">
        <f>IF($A212="","",IF(AND($B212&gt;0,I212&lt;$B212,DATE($B$1,7,1)&lt;=TODAY(),OR($O212="",$O212&gt;=DATE($B$1,7,1)),OR(COUNTIF($C212:I212,"&gt;0")&gt;0,DATE($B$1,7,1)=DATE(YEAR(TODAY()),MONTH(TODAY()),1))),1,0))</f>
        <v/>
      </c>
      <c r="W212">
        <f>IF($A212="","",IF(AND($B212&gt;0,J212&lt;$B212,DATE($B$1,8,1)&lt;=TODAY(),OR($O212="",$O212&gt;=DATE($B$1,8,1)),OR(COUNTIF($C212:J212,"&gt;0")&gt;0,DATE($B$1,8,1)=DATE(YEAR(TODAY()),MONTH(TODAY()),1))),1,0))</f>
        <v/>
      </c>
      <c r="X212">
        <f>IF($A212="","",IF(AND($B212&gt;0,K212&lt;$B212,DATE($B$1,9,1)&lt;=TODAY(),OR($O212="",$O212&gt;=DATE($B$1,9,1)),OR(COUNTIF($C212:K212,"&gt;0")&gt;0,DATE($B$1,9,1)=DATE(YEAR(TODAY()),MONTH(TODAY()),1))),1,0))</f>
        <v/>
      </c>
      <c r="Y212">
        <f>IF($A212="","",IF(AND($B212&gt;0,L212&lt;$B212,DATE($B$1,10,1)&lt;=TODAY(),OR($O212="",$O212&gt;=DATE($B$1,10,1)),OR(COUNTIF($C212:L212,"&gt;0")&gt;0,DATE($B$1,10,1)=DATE(YEAR(TODAY()),MONTH(TODAY()),1))),1,0))</f>
        <v/>
      </c>
      <c r="Z212">
        <f>IF($A212="","",IF(AND($B212&gt;0,M212&lt;$B212,DATE($B$1,11,1)&lt;=TODAY(),OR($O212="",$O212&gt;=DATE($B$1,11,1)),OR(COUNTIF($C212:M212,"&gt;0")&gt;0,DATE($B$1,11,1)=DATE(YEAR(TODAY()),MONTH(TODAY()),1))),1,0))</f>
        <v/>
      </c>
      <c r="AA212">
        <f>IF($A212="","",IF(AND($B212&gt;0,N212&lt;$B212,DATE($B$1,12,1)&lt;=TODAY(),OR($O212="",$O212&gt;=DATE($B$1,12,1)),OR(COUNTIF($C212:N212,"&gt;0")&gt;0,DATE($B$1,12,1)=DATE(YEAR(TODAY()),MONTH(TODAY()),1))),1,0))</f>
        <v/>
      </c>
    </row>
    <row r="213">
      <c r="A213" s="13">
        <f>IF(원생!$A211="","",원생!$A211&amp;IF(원생!$G211="",""," ("&amp;원생!$G211&amp;")"))</f>
        <v/>
      </c>
      <c r="B213" s="8">
        <f>IF(원생!$A211="","",원생!$F211)</f>
        <v/>
      </c>
      <c r="C213" s="14">
        <f>IF(원생!$A211="","",SUMIFS(수납!$F:$F,수납!$C:$C,원생!$A211,수납!$D:$D,IF(원생!$G211="","",원생!$G211),수납!$B:$B,$B$1&amp;"-"&amp;TEXT(1,"00")&amp;"*",수납!$E:$E,"수강료")+SUMIFS(수납!$F:$F,수납!$C:$C,원생!$A211,수납!$D:$D,IF(원생!$G211="","",원생!$G211),수납!$B:$B,$B$1&amp;"-"&amp;TEXT(1,"00")&amp;"*",수납!$E:$E,""))</f>
        <v/>
      </c>
      <c r="D213" s="14">
        <f>IF(원생!$A211="","",SUMIFS(수납!$F:$F,수납!$C:$C,원생!$A211,수납!$D:$D,IF(원생!$G211="","",원생!$G211),수납!$B:$B,$B$1&amp;"-"&amp;TEXT(2,"00")&amp;"*",수납!$E:$E,"수강료")+SUMIFS(수납!$F:$F,수납!$C:$C,원생!$A211,수납!$D:$D,IF(원생!$G211="","",원생!$G211),수납!$B:$B,$B$1&amp;"-"&amp;TEXT(2,"00")&amp;"*",수납!$E:$E,""))</f>
        <v/>
      </c>
      <c r="E213" s="14">
        <f>IF(원생!$A211="","",SUMIFS(수납!$F:$F,수납!$C:$C,원생!$A211,수납!$D:$D,IF(원생!$G211="","",원생!$G211),수납!$B:$B,$B$1&amp;"-"&amp;TEXT(3,"00")&amp;"*",수납!$E:$E,"수강료")+SUMIFS(수납!$F:$F,수납!$C:$C,원생!$A211,수납!$D:$D,IF(원생!$G211="","",원생!$G211),수납!$B:$B,$B$1&amp;"-"&amp;TEXT(3,"00")&amp;"*",수납!$E:$E,""))</f>
        <v/>
      </c>
      <c r="F213" s="14">
        <f>IF(원생!$A211="","",SUMIFS(수납!$F:$F,수납!$C:$C,원생!$A211,수납!$D:$D,IF(원생!$G211="","",원생!$G211),수납!$B:$B,$B$1&amp;"-"&amp;TEXT(4,"00")&amp;"*",수납!$E:$E,"수강료")+SUMIFS(수납!$F:$F,수납!$C:$C,원생!$A211,수납!$D:$D,IF(원생!$G211="","",원생!$G211),수납!$B:$B,$B$1&amp;"-"&amp;TEXT(4,"00")&amp;"*",수납!$E:$E,""))</f>
        <v/>
      </c>
      <c r="G213" s="14">
        <f>IF(원생!$A211="","",SUMIFS(수납!$F:$F,수납!$C:$C,원생!$A211,수납!$D:$D,IF(원생!$G211="","",원생!$G211),수납!$B:$B,$B$1&amp;"-"&amp;TEXT(5,"00")&amp;"*",수납!$E:$E,"수강료")+SUMIFS(수납!$F:$F,수납!$C:$C,원생!$A211,수납!$D:$D,IF(원생!$G211="","",원생!$G211),수납!$B:$B,$B$1&amp;"-"&amp;TEXT(5,"00")&amp;"*",수납!$E:$E,""))</f>
        <v/>
      </c>
      <c r="H213" s="14">
        <f>IF(원생!$A211="","",SUMIFS(수납!$F:$F,수납!$C:$C,원생!$A211,수납!$D:$D,IF(원생!$G211="","",원생!$G211),수납!$B:$B,$B$1&amp;"-"&amp;TEXT(6,"00")&amp;"*",수납!$E:$E,"수강료")+SUMIFS(수납!$F:$F,수납!$C:$C,원생!$A211,수납!$D:$D,IF(원생!$G211="","",원생!$G211),수납!$B:$B,$B$1&amp;"-"&amp;TEXT(6,"00")&amp;"*",수납!$E:$E,""))</f>
        <v/>
      </c>
      <c r="I213" s="14">
        <f>IF(원생!$A211="","",SUMIFS(수납!$F:$F,수납!$C:$C,원생!$A211,수납!$D:$D,IF(원생!$G211="","",원생!$G211),수납!$B:$B,$B$1&amp;"-"&amp;TEXT(7,"00")&amp;"*",수납!$E:$E,"수강료")+SUMIFS(수납!$F:$F,수납!$C:$C,원생!$A211,수납!$D:$D,IF(원생!$G211="","",원생!$G211),수납!$B:$B,$B$1&amp;"-"&amp;TEXT(7,"00")&amp;"*",수납!$E:$E,""))</f>
        <v/>
      </c>
      <c r="J213" s="14">
        <f>IF(원생!$A211="","",SUMIFS(수납!$F:$F,수납!$C:$C,원생!$A211,수납!$D:$D,IF(원생!$G211="","",원생!$G211),수납!$B:$B,$B$1&amp;"-"&amp;TEXT(8,"00")&amp;"*",수납!$E:$E,"수강료")+SUMIFS(수납!$F:$F,수납!$C:$C,원생!$A211,수납!$D:$D,IF(원생!$G211="","",원생!$G211),수납!$B:$B,$B$1&amp;"-"&amp;TEXT(8,"00")&amp;"*",수납!$E:$E,""))</f>
        <v/>
      </c>
      <c r="K213" s="14">
        <f>IF(원생!$A211="","",SUMIFS(수납!$F:$F,수납!$C:$C,원생!$A211,수납!$D:$D,IF(원생!$G211="","",원생!$G211),수납!$B:$B,$B$1&amp;"-"&amp;TEXT(9,"00")&amp;"*",수납!$E:$E,"수강료")+SUMIFS(수납!$F:$F,수납!$C:$C,원생!$A211,수납!$D:$D,IF(원생!$G211="","",원생!$G211),수납!$B:$B,$B$1&amp;"-"&amp;TEXT(9,"00")&amp;"*",수납!$E:$E,""))</f>
        <v/>
      </c>
      <c r="L213" s="14">
        <f>IF(원생!$A211="","",SUMIFS(수납!$F:$F,수납!$C:$C,원생!$A211,수납!$D:$D,IF(원생!$G211="","",원생!$G211),수납!$B:$B,$B$1&amp;"-"&amp;TEXT(10,"00")&amp;"*",수납!$E:$E,"수강료")+SUMIFS(수납!$F:$F,수납!$C:$C,원생!$A211,수납!$D:$D,IF(원생!$G211="","",원생!$G211),수납!$B:$B,$B$1&amp;"-"&amp;TEXT(10,"00")&amp;"*",수납!$E:$E,""))</f>
        <v/>
      </c>
      <c r="M213" s="14">
        <f>IF(원생!$A211="","",SUMIFS(수납!$F:$F,수납!$C:$C,원생!$A211,수납!$D:$D,IF(원생!$G211="","",원생!$G211),수납!$B:$B,$B$1&amp;"-"&amp;TEXT(11,"00")&amp;"*",수납!$E:$E,"수강료")+SUMIFS(수납!$F:$F,수납!$C:$C,원생!$A211,수납!$D:$D,IF(원생!$G211="","",원생!$G211),수납!$B:$B,$B$1&amp;"-"&amp;TEXT(11,"00")&amp;"*",수납!$E:$E,""))</f>
        <v/>
      </c>
      <c r="N213" s="14">
        <f>IF(원생!$A211="","",SUMIFS(수납!$F:$F,수납!$C:$C,원생!$A211,수납!$D:$D,IF(원생!$G211="","",원생!$G211),수납!$B:$B,$B$1&amp;"-"&amp;TEXT(12,"00")&amp;"*",수납!$E:$E,"수강료")+SUMIFS(수납!$F:$F,수납!$C:$C,원생!$A211,수납!$D:$D,IF(원생!$G211="","",원생!$G211),수납!$B:$B,$B$1&amp;"-"&amp;TEXT(12,"00")&amp;"*",수납!$E:$E,""))</f>
        <v/>
      </c>
      <c r="O213">
        <f>IF(원생!$I211="","",원생!$I211)</f>
        <v/>
      </c>
      <c r="P213">
        <f>IF($A213="","",IF(AND($B213&gt;0,C213&lt;$B213,DATE($B$1,1,1)&lt;=TODAY(),OR($O213="",$O213&gt;=DATE($B$1,1,1)),OR(COUNTIF($C213:C213,"&gt;0")&gt;0,DATE($B$1,1,1)=DATE(YEAR(TODAY()),MONTH(TODAY()),1))),1,0))</f>
        <v/>
      </c>
      <c r="Q213">
        <f>IF($A213="","",IF(AND($B213&gt;0,D213&lt;$B213,DATE($B$1,2,1)&lt;=TODAY(),OR($O213="",$O213&gt;=DATE($B$1,2,1)),OR(COUNTIF($C213:D213,"&gt;0")&gt;0,DATE($B$1,2,1)=DATE(YEAR(TODAY()),MONTH(TODAY()),1))),1,0))</f>
        <v/>
      </c>
      <c r="R213">
        <f>IF($A213="","",IF(AND($B213&gt;0,E213&lt;$B213,DATE($B$1,3,1)&lt;=TODAY(),OR($O213="",$O213&gt;=DATE($B$1,3,1)),OR(COUNTIF($C213:E213,"&gt;0")&gt;0,DATE($B$1,3,1)=DATE(YEAR(TODAY()),MONTH(TODAY()),1))),1,0))</f>
        <v/>
      </c>
      <c r="S213">
        <f>IF($A213="","",IF(AND($B213&gt;0,F213&lt;$B213,DATE($B$1,4,1)&lt;=TODAY(),OR($O213="",$O213&gt;=DATE($B$1,4,1)),OR(COUNTIF($C213:F213,"&gt;0")&gt;0,DATE($B$1,4,1)=DATE(YEAR(TODAY()),MONTH(TODAY()),1))),1,0))</f>
        <v/>
      </c>
      <c r="T213">
        <f>IF($A213="","",IF(AND($B213&gt;0,G213&lt;$B213,DATE($B$1,5,1)&lt;=TODAY(),OR($O213="",$O213&gt;=DATE($B$1,5,1)),OR(COUNTIF($C213:G213,"&gt;0")&gt;0,DATE($B$1,5,1)=DATE(YEAR(TODAY()),MONTH(TODAY()),1))),1,0))</f>
        <v/>
      </c>
      <c r="U213">
        <f>IF($A213="","",IF(AND($B213&gt;0,H213&lt;$B213,DATE($B$1,6,1)&lt;=TODAY(),OR($O213="",$O213&gt;=DATE($B$1,6,1)),OR(COUNTIF($C213:H213,"&gt;0")&gt;0,DATE($B$1,6,1)=DATE(YEAR(TODAY()),MONTH(TODAY()),1))),1,0))</f>
        <v/>
      </c>
      <c r="V213">
        <f>IF($A213="","",IF(AND($B213&gt;0,I213&lt;$B213,DATE($B$1,7,1)&lt;=TODAY(),OR($O213="",$O213&gt;=DATE($B$1,7,1)),OR(COUNTIF($C213:I213,"&gt;0")&gt;0,DATE($B$1,7,1)=DATE(YEAR(TODAY()),MONTH(TODAY()),1))),1,0))</f>
        <v/>
      </c>
      <c r="W213">
        <f>IF($A213="","",IF(AND($B213&gt;0,J213&lt;$B213,DATE($B$1,8,1)&lt;=TODAY(),OR($O213="",$O213&gt;=DATE($B$1,8,1)),OR(COUNTIF($C213:J213,"&gt;0")&gt;0,DATE($B$1,8,1)=DATE(YEAR(TODAY()),MONTH(TODAY()),1))),1,0))</f>
        <v/>
      </c>
      <c r="X213">
        <f>IF($A213="","",IF(AND($B213&gt;0,K213&lt;$B213,DATE($B$1,9,1)&lt;=TODAY(),OR($O213="",$O213&gt;=DATE($B$1,9,1)),OR(COUNTIF($C213:K213,"&gt;0")&gt;0,DATE($B$1,9,1)=DATE(YEAR(TODAY()),MONTH(TODAY()),1))),1,0))</f>
        <v/>
      </c>
      <c r="Y213">
        <f>IF($A213="","",IF(AND($B213&gt;0,L213&lt;$B213,DATE($B$1,10,1)&lt;=TODAY(),OR($O213="",$O213&gt;=DATE($B$1,10,1)),OR(COUNTIF($C213:L213,"&gt;0")&gt;0,DATE($B$1,10,1)=DATE(YEAR(TODAY()),MONTH(TODAY()),1))),1,0))</f>
        <v/>
      </c>
      <c r="Z213">
        <f>IF($A213="","",IF(AND($B213&gt;0,M213&lt;$B213,DATE($B$1,11,1)&lt;=TODAY(),OR($O213="",$O213&gt;=DATE($B$1,11,1)),OR(COUNTIF($C213:M213,"&gt;0")&gt;0,DATE($B$1,11,1)=DATE(YEAR(TODAY()),MONTH(TODAY()),1))),1,0))</f>
        <v/>
      </c>
      <c r="AA213">
        <f>IF($A213="","",IF(AND($B213&gt;0,N213&lt;$B213,DATE($B$1,12,1)&lt;=TODAY(),OR($O213="",$O213&gt;=DATE($B$1,12,1)),OR(COUNTIF($C213:N213,"&gt;0")&gt;0,DATE($B$1,12,1)=DATE(YEAR(TODAY()),MONTH(TODAY()),1))),1,0))</f>
        <v/>
      </c>
    </row>
    <row r="214">
      <c r="A214" s="13">
        <f>IF(원생!$A212="","",원생!$A212&amp;IF(원생!$G212="",""," ("&amp;원생!$G212&amp;")"))</f>
        <v/>
      </c>
      <c r="B214" s="8">
        <f>IF(원생!$A212="","",원생!$F212)</f>
        <v/>
      </c>
      <c r="C214" s="14">
        <f>IF(원생!$A212="","",SUMIFS(수납!$F:$F,수납!$C:$C,원생!$A212,수납!$D:$D,IF(원생!$G212="","",원생!$G212),수납!$B:$B,$B$1&amp;"-"&amp;TEXT(1,"00")&amp;"*",수납!$E:$E,"수강료")+SUMIFS(수납!$F:$F,수납!$C:$C,원생!$A212,수납!$D:$D,IF(원생!$G212="","",원생!$G212),수납!$B:$B,$B$1&amp;"-"&amp;TEXT(1,"00")&amp;"*",수납!$E:$E,""))</f>
        <v/>
      </c>
      <c r="D214" s="14">
        <f>IF(원생!$A212="","",SUMIFS(수납!$F:$F,수납!$C:$C,원생!$A212,수납!$D:$D,IF(원생!$G212="","",원생!$G212),수납!$B:$B,$B$1&amp;"-"&amp;TEXT(2,"00")&amp;"*",수납!$E:$E,"수강료")+SUMIFS(수납!$F:$F,수납!$C:$C,원생!$A212,수납!$D:$D,IF(원생!$G212="","",원생!$G212),수납!$B:$B,$B$1&amp;"-"&amp;TEXT(2,"00")&amp;"*",수납!$E:$E,""))</f>
        <v/>
      </c>
      <c r="E214" s="14">
        <f>IF(원생!$A212="","",SUMIFS(수납!$F:$F,수납!$C:$C,원생!$A212,수납!$D:$D,IF(원생!$G212="","",원생!$G212),수납!$B:$B,$B$1&amp;"-"&amp;TEXT(3,"00")&amp;"*",수납!$E:$E,"수강료")+SUMIFS(수납!$F:$F,수납!$C:$C,원생!$A212,수납!$D:$D,IF(원생!$G212="","",원생!$G212),수납!$B:$B,$B$1&amp;"-"&amp;TEXT(3,"00")&amp;"*",수납!$E:$E,""))</f>
        <v/>
      </c>
      <c r="F214" s="14">
        <f>IF(원생!$A212="","",SUMIFS(수납!$F:$F,수납!$C:$C,원생!$A212,수납!$D:$D,IF(원생!$G212="","",원생!$G212),수납!$B:$B,$B$1&amp;"-"&amp;TEXT(4,"00")&amp;"*",수납!$E:$E,"수강료")+SUMIFS(수납!$F:$F,수납!$C:$C,원생!$A212,수납!$D:$D,IF(원생!$G212="","",원생!$G212),수납!$B:$B,$B$1&amp;"-"&amp;TEXT(4,"00")&amp;"*",수납!$E:$E,""))</f>
        <v/>
      </c>
      <c r="G214" s="14">
        <f>IF(원생!$A212="","",SUMIFS(수납!$F:$F,수납!$C:$C,원생!$A212,수납!$D:$D,IF(원생!$G212="","",원생!$G212),수납!$B:$B,$B$1&amp;"-"&amp;TEXT(5,"00")&amp;"*",수납!$E:$E,"수강료")+SUMIFS(수납!$F:$F,수납!$C:$C,원생!$A212,수납!$D:$D,IF(원생!$G212="","",원생!$G212),수납!$B:$B,$B$1&amp;"-"&amp;TEXT(5,"00")&amp;"*",수납!$E:$E,""))</f>
        <v/>
      </c>
      <c r="H214" s="14">
        <f>IF(원생!$A212="","",SUMIFS(수납!$F:$F,수납!$C:$C,원생!$A212,수납!$D:$D,IF(원생!$G212="","",원생!$G212),수납!$B:$B,$B$1&amp;"-"&amp;TEXT(6,"00")&amp;"*",수납!$E:$E,"수강료")+SUMIFS(수납!$F:$F,수납!$C:$C,원생!$A212,수납!$D:$D,IF(원생!$G212="","",원생!$G212),수납!$B:$B,$B$1&amp;"-"&amp;TEXT(6,"00")&amp;"*",수납!$E:$E,""))</f>
        <v/>
      </c>
      <c r="I214" s="14">
        <f>IF(원생!$A212="","",SUMIFS(수납!$F:$F,수납!$C:$C,원생!$A212,수납!$D:$D,IF(원생!$G212="","",원생!$G212),수납!$B:$B,$B$1&amp;"-"&amp;TEXT(7,"00")&amp;"*",수납!$E:$E,"수강료")+SUMIFS(수납!$F:$F,수납!$C:$C,원생!$A212,수납!$D:$D,IF(원생!$G212="","",원생!$G212),수납!$B:$B,$B$1&amp;"-"&amp;TEXT(7,"00")&amp;"*",수납!$E:$E,""))</f>
        <v/>
      </c>
      <c r="J214" s="14">
        <f>IF(원생!$A212="","",SUMIFS(수납!$F:$F,수납!$C:$C,원생!$A212,수납!$D:$D,IF(원생!$G212="","",원생!$G212),수납!$B:$B,$B$1&amp;"-"&amp;TEXT(8,"00")&amp;"*",수납!$E:$E,"수강료")+SUMIFS(수납!$F:$F,수납!$C:$C,원생!$A212,수납!$D:$D,IF(원생!$G212="","",원생!$G212),수납!$B:$B,$B$1&amp;"-"&amp;TEXT(8,"00")&amp;"*",수납!$E:$E,""))</f>
        <v/>
      </c>
      <c r="K214" s="14">
        <f>IF(원생!$A212="","",SUMIFS(수납!$F:$F,수납!$C:$C,원생!$A212,수납!$D:$D,IF(원생!$G212="","",원생!$G212),수납!$B:$B,$B$1&amp;"-"&amp;TEXT(9,"00")&amp;"*",수납!$E:$E,"수강료")+SUMIFS(수납!$F:$F,수납!$C:$C,원생!$A212,수납!$D:$D,IF(원생!$G212="","",원생!$G212),수납!$B:$B,$B$1&amp;"-"&amp;TEXT(9,"00")&amp;"*",수납!$E:$E,""))</f>
        <v/>
      </c>
      <c r="L214" s="14">
        <f>IF(원생!$A212="","",SUMIFS(수납!$F:$F,수납!$C:$C,원생!$A212,수납!$D:$D,IF(원생!$G212="","",원생!$G212),수납!$B:$B,$B$1&amp;"-"&amp;TEXT(10,"00")&amp;"*",수납!$E:$E,"수강료")+SUMIFS(수납!$F:$F,수납!$C:$C,원생!$A212,수납!$D:$D,IF(원생!$G212="","",원생!$G212),수납!$B:$B,$B$1&amp;"-"&amp;TEXT(10,"00")&amp;"*",수납!$E:$E,""))</f>
        <v/>
      </c>
      <c r="M214" s="14">
        <f>IF(원생!$A212="","",SUMIFS(수납!$F:$F,수납!$C:$C,원생!$A212,수납!$D:$D,IF(원생!$G212="","",원생!$G212),수납!$B:$B,$B$1&amp;"-"&amp;TEXT(11,"00")&amp;"*",수납!$E:$E,"수강료")+SUMIFS(수납!$F:$F,수납!$C:$C,원생!$A212,수납!$D:$D,IF(원생!$G212="","",원생!$G212),수납!$B:$B,$B$1&amp;"-"&amp;TEXT(11,"00")&amp;"*",수납!$E:$E,""))</f>
        <v/>
      </c>
      <c r="N214" s="14">
        <f>IF(원생!$A212="","",SUMIFS(수납!$F:$F,수납!$C:$C,원생!$A212,수납!$D:$D,IF(원생!$G212="","",원생!$G212),수납!$B:$B,$B$1&amp;"-"&amp;TEXT(12,"00")&amp;"*",수납!$E:$E,"수강료")+SUMIFS(수납!$F:$F,수납!$C:$C,원생!$A212,수납!$D:$D,IF(원생!$G212="","",원생!$G212),수납!$B:$B,$B$1&amp;"-"&amp;TEXT(12,"00")&amp;"*",수납!$E:$E,""))</f>
        <v/>
      </c>
      <c r="O214">
        <f>IF(원생!$I212="","",원생!$I212)</f>
        <v/>
      </c>
      <c r="P214">
        <f>IF($A214="","",IF(AND($B214&gt;0,C214&lt;$B214,DATE($B$1,1,1)&lt;=TODAY(),OR($O214="",$O214&gt;=DATE($B$1,1,1)),OR(COUNTIF($C214:C214,"&gt;0")&gt;0,DATE($B$1,1,1)=DATE(YEAR(TODAY()),MONTH(TODAY()),1))),1,0))</f>
        <v/>
      </c>
      <c r="Q214">
        <f>IF($A214="","",IF(AND($B214&gt;0,D214&lt;$B214,DATE($B$1,2,1)&lt;=TODAY(),OR($O214="",$O214&gt;=DATE($B$1,2,1)),OR(COUNTIF($C214:D214,"&gt;0")&gt;0,DATE($B$1,2,1)=DATE(YEAR(TODAY()),MONTH(TODAY()),1))),1,0))</f>
        <v/>
      </c>
      <c r="R214">
        <f>IF($A214="","",IF(AND($B214&gt;0,E214&lt;$B214,DATE($B$1,3,1)&lt;=TODAY(),OR($O214="",$O214&gt;=DATE($B$1,3,1)),OR(COUNTIF($C214:E214,"&gt;0")&gt;0,DATE($B$1,3,1)=DATE(YEAR(TODAY()),MONTH(TODAY()),1))),1,0))</f>
        <v/>
      </c>
      <c r="S214">
        <f>IF($A214="","",IF(AND($B214&gt;0,F214&lt;$B214,DATE($B$1,4,1)&lt;=TODAY(),OR($O214="",$O214&gt;=DATE($B$1,4,1)),OR(COUNTIF($C214:F214,"&gt;0")&gt;0,DATE($B$1,4,1)=DATE(YEAR(TODAY()),MONTH(TODAY()),1))),1,0))</f>
        <v/>
      </c>
      <c r="T214">
        <f>IF($A214="","",IF(AND($B214&gt;0,G214&lt;$B214,DATE($B$1,5,1)&lt;=TODAY(),OR($O214="",$O214&gt;=DATE($B$1,5,1)),OR(COUNTIF($C214:G214,"&gt;0")&gt;0,DATE($B$1,5,1)=DATE(YEAR(TODAY()),MONTH(TODAY()),1))),1,0))</f>
        <v/>
      </c>
      <c r="U214">
        <f>IF($A214="","",IF(AND($B214&gt;0,H214&lt;$B214,DATE($B$1,6,1)&lt;=TODAY(),OR($O214="",$O214&gt;=DATE($B$1,6,1)),OR(COUNTIF($C214:H214,"&gt;0")&gt;0,DATE($B$1,6,1)=DATE(YEAR(TODAY()),MONTH(TODAY()),1))),1,0))</f>
        <v/>
      </c>
      <c r="V214">
        <f>IF($A214="","",IF(AND($B214&gt;0,I214&lt;$B214,DATE($B$1,7,1)&lt;=TODAY(),OR($O214="",$O214&gt;=DATE($B$1,7,1)),OR(COUNTIF($C214:I214,"&gt;0")&gt;0,DATE($B$1,7,1)=DATE(YEAR(TODAY()),MONTH(TODAY()),1))),1,0))</f>
        <v/>
      </c>
      <c r="W214">
        <f>IF($A214="","",IF(AND($B214&gt;0,J214&lt;$B214,DATE($B$1,8,1)&lt;=TODAY(),OR($O214="",$O214&gt;=DATE($B$1,8,1)),OR(COUNTIF($C214:J214,"&gt;0")&gt;0,DATE($B$1,8,1)=DATE(YEAR(TODAY()),MONTH(TODAY()),1))),1,0))</f>
        <v/>
      </c>
      <c r="X214">
        <f>IF($A214="","",IF(AND($B214&gt;0,K214&lt;$B214,DATE($B$1,9,1)&lt;=TODAY(),OR($O214="",$O214&gt;=DATE($B$1,9,1)),OR(COUNTIF($C214:K214,"&gt;0")&gt;0,DATE($B$1,9,1)=DATE(YEAR(TODAY()),MONTH(TODAY()),1))),1,0))</f>
        <v/>
      </c>
      <c r="Y214">
        <f>IF($A214="","",IF(AND($B214&gt;0,L214&lt;$B214,DATE($B$1,10,1)&lt;=TODAY(),OR($O214="",$O214&gt;=DATE($B$1,10,1)),OR(COUNTIF($C214:L214,"&gt;0")&gt;0,DATE($B$1,10,1)=DATE(YEAR(TODAY()),MONTH(TODAY()),1))),1,0))</f>
        <v/>
      </c>
      <c r="Z214">
        <f>IF($A214="","",IF(AND($B214&gt;0,M214&lt;$B214,DATE($B$1,11,1)&lt;=TODAY(),OR($O214="",$O214&gt;=DATE($B$1,11,1)),OR(COUNTIF($C214:M214,"&gt;0")&gt;0,DATE($B$1,11,1)=DATE(YEAR(TODAY()),MONTH(TODAY()),1))),1,0))</f>
        <v/>
      </c>
      <c r="AA214">
        <f>IF($A214="","",IF(AND($B214&gt;0,N214&lt;$B214,DATE($B$1,12,1)&lt;=TODAY(),OR($O214="",$O214&gt;=DATE($B$1,12,1)),OR(COUNTIF($C214:N214,"&gt;0")&gt;0,DATE($B$1,12,1)=DATE(YEAR(TODAY()),MONTH(TODAY()),1))),1,0))</f>
        <v/>
      </c>
    </row>
    <row r="215">
      <c r="A215" s="13">
        <f>IF(원생!$A213="","",원생!$A213&amp;IF(원생!$G213="",""," ("&amp;원생!$G213&amp;")"))</f>
        <v/>
      </c>
      <c r="B215" s="8">
        <f>IF(원생!$A213="","",원생!$F213)</f>
        <v/>
      </c>
      <c r="C215" s="14">
        <f>IF(원생!$A213="","",SUMIFS(수납!$F:$F,수납!$C:$C,원생!$A213,수납!$D:$D,IF(원생!$G213="","",원생!$G213),수납!$B:$B,$B$1&amp;"-"&amp;TEXT(1,"00")&amp;"*",수납!$E:$E,"수강료")+SUMIFS(수납!$F:$F,수납!$C:$C,원생!$A213,수납!$D:$D,IF(원생!$G213="","",원생!$G213),수납!$B:$B,$B$1&amp;"-"&amp;TEXT(1,"00")&amp;"*",수납!$E:$E,""))</f>
        <v/>
      </c>
      <c r="D215" s="14">
        <f>IF(원생!$A213="","",SUMIFS(수납!$F:$F,수납!$C:$C,원생!$A213,수납!$D:$D,IF(원생!$G213="","",원생!$G213),수납!$B:$B,$B$1&amp;"-"&amp;TEXT(2,"00")&amp;"*",수납!$E:$E,"수강료")+SUMIFS(수납!$F:$F,수납!$C:$C,원생!$A213,수납!$D:$D,IF(원생!$G213="","",원생!$G213),수납!$B:$B,$B$1&amp;"-"&amp;TEXT(2,"00")&amp;"*",수납!$E:$E,""))</f>
        <v/>
      </c>
      <c r="E215" s="14">
        <f>IF(원생!$A213="","",SUMIFS(수납!$F:$F,수납!$C:$C,원생!$A213,수납!$D:$D,IF(원생!$G213="","",원생!$G213),수납!$B:$B,$B$1&amp;"-"&amp;TEXT(3,"00")&amp;"*",수납!$E:$E,"수강료")+SUMIFS(수납!$F:$F,수납!$C:$C,원생!$A213,수납!$D:$D,IF(원생!$G213="","",원생!$G213),수납!$B:$B,$B$1&amp;"-"&amp;TEXT(3,"00")&amp;"*",수납!$E:$E,""))</f>
        <v/>
      </c>
      <c r="F215" s="14">
        <f>IF(원생!$A213="","",SUMIFS(수납!$F:$F,수납!$C:$C,원생!$A213,수납!$D:$D,IF(원생!$G213="","",원생!$G213),수납!$B:$B,$B$1&amp;"-"&amp;TEXT(4,"00")&amp;"*",수납!$E:$E,"수강료")+SUMIFS(수납!$F:$F,수납!$C:$C,원생!$A213,수납!$D:$D,IF(원생!$G213="","",원생!$G213),수납!$B:$B,$B$1&amp;"-"&amp;TEXT(4,"00")&amp;"*",수납!$E:$E,""))</f>
        <v/>
      </c>
      <c r="G215" s="14">
        <f>IF(원생!$A213="","",SUMIFS(수납!$F:$F,수납!$C:$C,원생!$A213,수납!$D:$D,IF(원생!$G213="","",원생!$G213),수납!$B:$B,$B$1&amp;"-"&amp;TEXT(5,"00")&amp;"*",수납!$E:$E,"수강료")+SUMIFS(수납!$F:$F,수납!$C:$C,원생!$A213,수납!$D:$D,IF(원생!$G213="","",원생!$G213),수납!$B:$B,$B$1&amp;"-"&amp;TEXT(5,"00")&amp;"*",수납!$E:$E,""))</f>
        <v/>
      </c>
      <c r="H215" s="14">
        <f>IF(원생!$A213="","",SUMIFS(수납!$F:$F,수납!$C:$C,원생!$A213,수납!$D:$D,IF(원생!$G213="","",원생!$G213),수납!$B:$B,$B$1&amp;"-"&amp;TEXT(6,"00")&amp;"*",수납!$E:$E,"수강료")+SUMIFS(수납!$F:$F,수납!$C:$C,원생!$A213,수납!$D:$D,IF(원생!$G213="","",원생!$G213),수납!$B:$B,$B$1&amp;"-"&amp;TEXT(6,"00")&amp;"*",수납!$E:$E,""))</f>
        <v/>
      </c>
      <c r="I215" s="14">
        <f>IF(원생!$A213="","",SUMIFS(수납!$F:$F,수납!$C:$C,원생!$A213,수납!$D:$D,IF(원생!$G213="","",원생!$G213),수납!$B:$B,$B$1&amp;"-"&amp;TEXT(7,"00")&amp;"*",수납!$E:$E,"수강료")+SUMIFS(수납!$F:$F,수납!$C:$C,원생!$A213,수납!$D:$D,IF(원생!$G213="","",원생!$G213),수납!$B:$B,$B$1&amp;"-"&amp;TEXT(7,"00")&amp;"*",수납!$E:$E,""))</f>
        <v/>
      </c>
      <c r="J215" s="14">
        <f>IF(원생!$A213="","",SUMIFS(수납!$F:$F,수납!$C:$C,원생!$A213,수납!$D:$D,IF(원생!$G213="","",원생!$G213),수납!$B:$B,$B$1&amp;"-"&amp;TEXT(8,"00")&amp;"*",수납!$E:$E,"수강료")+SUMIFS(수납!$F:$F,수납!$C:$C,원생!$A213,수납!$D:$D,IF(원생!$G213="","",원생!$G213),수납!$B:$B,$B$1&amp;"-"&amp;TEXT(8,"00")&amp;"*",수납!$E:$E,""))</f>
        <v/>
      </c>
      <c r="K215" s="14">
        <f>IF(원생!$A213="","",SUMIFS(수납!$F:$F,수납!$C:$C,원생!$A213,수납!$D:$D,IF(원생!$G213="","",원생!$G213),수납!$B:$B,$B$1&amp;"-"&amp;TEXT(9,"00")&amp;"*",수납!$E:$E,"수강료")+SUMIFS(수납!$F:$F,수납!$C:$C,원생!$A213,수납!$D:$D,IF(원생!$G213="","",원생!$G213),수납!$B:$B,$B$1&amp;"-"&amp;TEXT(9,"00")&amp;"*",수납!$E:$E,""))</f>
        <v/>
      </c>
      <c r="L215" s="14">
        <f>IF(원생!$A213="","",SUMIFS(수납!$F:$F,수납!$C:$C,원생!$A213,수납!$D:$D,IF(원생!$G213="","",원생!$G213),수납!$B:$B,$B$1&amp;"-"&amp;TEXT(10,"00")&amp;"*",수납!$E:$E,"수강료")+SUMIFS(수납!$F:$F,수납!$C:$C,원생!$A213,수납!$D:$D,IF(원생!$G213="","",원생!$G213),수납!$B:$B,$B$1&amp;"-"&amp;TEXT(10,"00")&amp;"*",수납!$E:$E,""))</f>
        <v/>
      </c>
      <c r="M215" s="14">
        <f>IF(원생!$A213="","",SUMIFS(수납!$F:$F,수납!$C:$C,원생!$A213,수납!$D:$D,IF(원생!$G213="","",원생!$G213),수납!$B:$B,$B$1&amp;"-"&amp;TEXT(11,"00")&amp;"*",수납!$E:$E,"수강료")+SUMIFS(수납!$F:$F,수납!$C:$C,원생!$A213,수납!$D:$D,IF(원생!$G213="","",원생!$G213),수납!$B:$B,$B$1&amp;"-"&amp;TEXT(11,"00")&amp;"*",수납!$E:$E,""))</f>
        <v/>
      </c>
      <c r="N215" s="14">
        <f>IF(원생!$A213="","",SUMIFS(수납!$F:$F,수납!$C:$C,원생!$A213,수납!$D:$D,IF(원생!$G213="","",원생!$G213),수납!$B:$B,$B$1&amp;"-"&amp;TEXT(12,"00")&amp;"*",수납!$E:$E,"수강료")+SUMIFS(수납!$F:$F,수납!$C:$C,원생!$A213,수납!$D:$D,IF(원생!$G213="","",원생!$G213),수납!$B:$B,$B$1&amp;"-"&amp;TEXT(12,"00")&amp;"*",수납!$E:$E,""))</f>
        <v/>
      </c>
      <c r="O215">
        <f>IF(원생!$I213="","",원생!$I213)</f>
        <v/>
      </c>
      <c r="P215">
        <f>IF($A215="","",IF(AND($B215&gt;0,C215&lt;$B215,DATE($B$1,1,1)&lt;=TODAY(),OR($O215="",$O215&gt;=DATE($B$1,1,1)),OR(COUNTIF($C215:C215,"&gt;0")&gt;0,DATE($B$1,1,1)=DATE(YEAR(TODAY()),MONTH(TODAY()),1))),1,0))</f>
        <v/>
      </c>
      <c r="Q215">
        <f>IF($A215="","",IF(AND($B215&gt;0,D215&lt;$B215,DATE($B$1,2,1)&lt;=TODAY(),OR($O215="",$O215&gt;=DATE($B$1,2,1)),OR(COUNTIF($C215:D215,"&gt;0")&gt;0,DATE($B$1,2,1)=DATE(YEAR(TODAY()),MONTH(TODAY()),1))),1,0))</f>
        <v/>
      </c>
      <c r="R215">
        <f>IF($A215="","",IF(AND($B215&gt;0,E215&lt;$B215,DATE($B$1,3,1)&lt;=TODAY(),OR($O215="",$O215&gt;=DATE($B$1,3,1)),OR(COUNTIF($C215:E215,"&gt;0")&gt;0,DATE($B$1,3,1)=DATE(YEAR(TODAY()),MONTH(TODAY()),1))),1,0))</f>
        <v/>
      </c>
      <c r="S215">
        <f>IF($A215="","",IF(AND($B215&gt;0,F215&lt;$B215,DATE($B$1,4,1)&lt;=TODAY(),OR($O215="",$O215&gt;=DATE($B$1,4,1)),OR(COUNTIF($C215:F215,"&gt;0")&gt;0,DATE($B$1,4,1)=DATE(YEAR(TODAY()),MONTH(TODAY()),1))),1,0))</f>
        <v/>
      </c>
      <c r="T215">
        <f>IF($A215="","",IF(AND($B215&gt;0,G215&lt;$B215,DATE($B$1,5,1)&lt;=TODAY(),OR($O215="",$O215&gt;=DATE($B$1,5,1)),OR(COUNTIF($C215:G215,"&gt;0")&gt;0,DATE($B$1,5,1)=DATE(YEAR(TODAY()),MONTH(TODAY()),1))),1,0))</f>
        <v/>
      </c>
      <c r="U215">
        <f>IF($A215="","",IF(AND($B215&gt;0,H215&lt;$B215,DATE($B$1,6,1)&lt;=TODAY(),OR($O215="",$O215&gt;=DATE($B$1,6,1)),OR(COUNTIF($C215:H215,"&gt;0")&gt;0,DATE($B$1,6,1)=DATE(YEAR(TODAY()),MONTH(TODAY()),1))),1,0))</f>
        <v/>
      </c>
      <c r="V215">
        <f>IF($A215="","",IF(AND($B215&gt;0,I215&lt;$B215,DATE($B$1,7,1)&lt;=TODAY(),OR($O215="",$O215&gt;=DATE($B$1,7,1)),OR(COUNTIF($C215:I215,"&gt;0")&gt;0,DATE($B$1,7,1)=DATE(YEAR(TODAY()),MONTH(TODAY()),1))),1,0))</f>
        <v/>
      </c>
      <c r="W215">
        <f>IF($A215="","",IF(AND($B215&gt;0,J215&lt;$B215,DATE($B$1,8,1)&lt;=TODAY(),OR($O215="",$O215&gt;=DATE($B$1,8,1)),OR(COUNTIF($C215:J215,"&gt;0")&gt;0,DATE($B$1,8,1)=DATE(YEAR(TODAY()),MONTH(TODAY()),1))),1,0))</f>
        <v/>
      </c>
      <c r="X215">
        <f>IF($A215="","",IF(AND($B215&gt;0,K215&lt;$B215,DATE($B$1,9,1)&lt;=TODAY(),OR($O215="",$O215&gt;=DATE($B$1,9,1)),OR(COUNTIF($C215:K215,"&gt;0")&gt;0,DATE($B$1,9,1)=DATE(YEAR(TODAY()),MONTH(TODAY()),1))),1,0))</f>
        <v/>
      </c>
      <c r="Y215">
        <f>IF($A215="","",IF(AND($B215&gt;0,L215&lt;$B215,DATE($B$1,10,1)&lt;=TODAY(),OR($O215="",$O215&gt;=DATE($B$1,10,1)),OR(COUNTIF($C215:L215,"&gt;0")&gt;0,DATE($B$1,10,1)=DATE(YEAR(TODAY()),MONTH(TODAY()),1))),1,0))</f>
        <v/>
      </c>
      <c r="Z215">
        <f>IF($A215="","",IF(AND($B215&gt;0,M215&lt;$B215,DATE($B$1,11,1)&lt;=TODAY(),OR($O215="",$O215&gt;=DATE($B$1,11,1)),OR(COUNTIF($C215:M215,"&gt;0")&gt;0,DATE($B$1,11,1)=DATE(YEAR(TODAY()),MONTH(TODAY()),1))),1,0))</f>
        <v/>
      </c>
      <c r="AA215">
        <f>IF($A215="","",IF(AND($B215&gt;0,N215&lt;$B215,DATE($B$1,12,1)&lt;=TODAY(),OR($O215="",$O215&gt;=DATE($B$1,12,1)),OR(COUNTIF($C215:N215,"&gt;0")&gt;0,DATE($B$1,12,1)=DATE(YEAR(TODAY()),MONTH(TODAY()),1))),1,0))</f>
        <v/>
      </c>
    </row>
    <row r="216">
      <c r="A216" s="13">
        <f>IF(원생!$A214="","",원생!$A214&amp;IF(원생!$G214="",""," ("&amp;원생!$G214&amp;")"))</f>
        <v/>
      </c>
      <c r="B216" s="8">
        <f>IF(원생!$A214="","",원생!$F214)</f>
        <v/>
      </c>
      <c r="C216" s="14">
        <f>IF(원생!$A214="","",SUMIFS(수납!$F:$F,수납!$C:$C,원생!$A214,수납!$D:$D,IF(원생!$G214="","",원생!$G214),수납!$B:$B,$B$1&amp;"-"&amp;TEXT(1,"00")&amp;"*",수납!$E:$E,"수강료")+SUMIFS(수납!$F:$F,수납!$C:$C,원생!$A214,수납!$D:$D,IF(원생!$G214="","",원생!$G214),수납!$B:$B,$B$1&amp;"-"&amp;TEXT(1,"00")&amp;"*",수납!$E:$E,""))</f>
        <v/>
      </c>
      <c r="D216" s="14">
        <f>IF(원생!$A214="","",SUMIFS(수납!$F:$F,수납!$C:$C,원생!$A214,수납!$D:$D,IF(원생!$G214="","",원생!$G214),수납!$B:$B,$B$1&amp;"-"&amp;TEXT(2,"00")&amp;"*",수납!$E:$E,"수강료")+SUMIFS(수납!$F:$F,수납!$C:$C,원생!$A214,수납!$D:$D,IF(원생!$G214="","",원생!$G214),수납!$B:$B,$B$1&amp;"-"&amp;TEXT(2,"00")&amp;"*",수납!$E:$E,""))</f>
        <v/>
      </c>
      <c r="E216" s="14">
        <f>IF(원생!$A214="","",SUMIFS(수납!$F:$F,수납!$C:$C,원생!$A214,수납!$D:$D,IF(원생!$G214="","",원생!$G214),수납!$B:$B,$B$1&amp;"-"&amp;TEXT(3,"00")&amp;"*",수납!$E:$E,"수강료")+SUMIFS(수납!$F:$F,수납!$C:$C,원생!$A214,수납!$D:$D,IF(원생!$G214="","",원생!$G214),수납!$B:$B,$B$1&amp;"-"&amp;TEXT(3,"00")&amp;"*",수납!$E:$E,""))</f>
        <v/>
      </c>
      <c r="F216" s="14">
        <f>IF(원생!$A214="","",SUMIFS(수납!$F:$F,수납!$C:$C,원생!$A214,수납!$D:$D,IF(원생!$G214="","",원생!$G214),수납!$B:$B,$B$1&amp;"-"&amp;TEXT(4,"00")&amp;"*",수납!$E:$E,"수강료")+SUMIFS(수납!$F:$F,수납!$C:$C,원생!$A214,수납!$D:$D,IF(원생!$G214="","",원생!$G214),수납!$B:$B,$B$1&amp;"-"&amp;TEXT(4,"00")&amp;"*",수납!$E:$E,""))</f>
        <v/>
      </c>
      <c r="G216" s="14">
        <f>IF(원생!$A214="","",SUMIFS(수납!$F:$F,수납!$C:$C,원생!$A214,수납!$D:$D,IF(원생!$G214="","",원생!$G214),수납!$B:$B,$B$1&amp;"-"&amp;TEXT(5,"00")&amp;"*",수납!$E:$E,"수강료")+SUMIFS(수납!$F:$F,수납!$C:$C,원생!$A214,수납!$D:$D,IF(원생!$G214="","",원생!$G214),수납!$B:$B,$B$1&amp;"-"&amp;TEXT(5,"00")&amp;"*",수납!$E:$E,""))</f>
        <v/>
      </c>
      <c r="H216" s="14">
        <f>IF(원생!$A214="","",SUMIFS(수납!$F:$F,수납!$C:$C,원생!$A214,수납!$D:$D,IF(원생!$G214="","",원생!$G214),수납!$B:$B,$B$1&amp;"-"&amp;TEXT(6,"00")&amp;"*",수납!$E:$E,"수강료")+SUMIFS(수납!$F:$F,수납!$C:$C,원생!$A214,수납!$D:$D,IF(원생!$G214="","",원생!$G214),수납!$B:$B,$B$1&amp;"-"&amp;TEXT(6,"00")&amp;"*",수납!$E:$E,""))</f>
        <v/>
      </c>
      <c r="I216" s="14">
        <f>IF(원생!$A214="","",SUMIFS(수납!$F:$F,수납!$C:$C,원생!$A214,수납!$D:$D,IF(원생!$G214="","",원생!$G214),수납!$B:$B,$B$1&amp;"-"&amp;TEXT(7,"00")&amp;"*",수납!$E:$E,"수강료")+SUMIFS(수납!$F:$F,수납!$C:$C,원생!$A214,수납!$D:$D,IF(원생!$G214="","",원생!$G214),수납!$B:$B,$B$1&amp;"-"&amp;TEXT(7,"00")&amp;"*",수납!$E:$E,""))</f>
        <v/>
      </c>
      <c r="J216" s="14">
        <f>IF(원생!$A214="","",SUMIFS(수납!$F:$F,수납!$C:$C,원생!$A214,수납!$D:$D,IF(원생!$G214="","",원생!$G214),수납!$B:$B,$B$1&amp;"-"&amp;TEXT(8,"00")&amp;"*",수납!$E:$E,"수강료")+SUMIFS(수납!$F:$F,수납!$C:$C,원생!$A214,수납!$D:$D,IF(원생!$G214="","",원생!$G214),수납!$B:$B,$B$1&amp;"-"&amp;TEXT(8,"00")&amp;"*",수납!$E:$E,""))</f>
        <v/>
      </c>
      <c r="K216" s="14">
        <f>IF(원생!$A214="","",SUMIFS(수납!$F:$F,수납!$C:$C,원생!$A214,수납!$D:$D,IF(원생!$G214="","",원생!$G214),수납!$B:$B,$B$1&amp;"-"&amp;TEXT(9,"00")&amp;"*",수납!$E:$E,"수강료")+SUMIFS(수납!$F:$F,수납!$C:$C,원생!$A214,수납!$D:$D,IF(원생!$G214="","",원생!$G214),수납!$B:$B,$B$1&amp;"-"&amp;TEXT(9,"00")&amp;"*",수납!$E:$E,""))</f>
        <v/>
      </c>
      <c r="L216" s="14">
        <f>IF(원생!$A214="","",SUMIFS(수납!$F:$F,수납!$C:$C,원생!$A214,수납!$D:$D,IF(원생!$G214="","",원생!$G214),수납!$B:$B,$B$1&amp;"-"&amp;TEXT(10,"00")&amp;"*",수납!$E:$E,"수강료")+SUMIFS(수납!$F:$F,수납!$C:$C,원생!$A214,수납!$D:$D,IF(원생!$G214="","",원생!$G214),수납!$B:$B,$B$1&amp;"-"&amp;TEXT(10,"00")&amp;"*",수납!$E:$E,""))</f>
        <v/>
      </c>
      <c r="M216" s="14">
        <f>IF(원생!$A214="","",SUMIFS(수납!$F:$F,수납!$C:$C,원생!$A214,수납!$D:$D,IF(원생!$G214="","",원생!$G214),수납!$B:$B,$B$1&amp;"-"&amp;TEXT(11,"00")&amp;"*",수납!$E:$E,"수강료")+SUMIFS(수납!$F:$F,수납!$C:$C,원생!$A214,수납!$D:$D,IF(원생!$G214="","",원생!$G214),수납!$B:$B,$B$1&amp;"-"&amp;TEXT(11,"00")&amp;"*",수납!$E:$E,""))</f>
        <v/>
      </c>
      <c r="N216" s="14">
        <f>IF(원생!$A214="","",SUMIFS(수납!$F:$F,수납!$C:$C,원생!$A214,수납!$D:$D,IF(원생!$G214="","",원생!$G214),수납!$B:$B,$B$1&amp;"-"&amp;TEXT(12,"00")&amp;"*",수납!$E:$E,"수강료")+SUMIFS(수납!$F:$F,수납!$C:$C,원생!$A214,수납!$D:$D,IF(원생!$G214="","",원생!$G214),수납!$B:$B,$B$1&amp;"-"&amp;TEXT(12,"00")&amp;"*",수납!$E:$E,""))</f>
        <v/>
      </c>
      <c r="O216">
        <f>IF(원생!$I214="","",원생!$I214)</f>
        <v/>
      </c>
      <c r="P216">
        <f>IF($A216="","",IF(AND($B216&gt;0,C216&lt;$B216,DATE($B$1,1,1)&lt;=TODAY(),OR($O216="",$O216&gt;=DATE($B$1,1,1)),OR(COUNTIF($C216:C216,"&gt;0")&gt;0,DATE($B$1,1,1)=DATE(YEAR(TODAY()),MONTH(TODAY()),1))),1,0))</f>
        <v/>
      </c>
      <c r="Q216">
        <f>IF($A216="","",IF(AND($B216&gt;0,D216&lt;$B216,DATE($B$1,2,1)&lt;=TODAY(),OR($O216="",$O216&gt;=DATE($B$1,2,1)),OR(COUNTIF($C216:D216,"&gt;0")&gt;0,DATE($B$1,2,1)=DATE(YEAR(TODAY()),MONTH(TODAY()),1))),1,0))</f>
        <v/>
      </c>
      <c r="R216">
        <f>IF($A216="","",IF(AND($B216&gt;0,E216&lt;$B216,DATE($B$1,3,1)&lt;=TODAY(),OR($O216="",$O216&gt;=DATE($B$1,3,1)),OR(COUNTIF($C216:E216,"&gt;0")&gt;0,DATE($B$1,3,1)=DATE(YEAR(TODAY()),MONTH(TODAY()),1))),1,0))</f>
        <v/>
      </c>
      <c r="S216">
        <f>IF($A216="","",IF(AND($B216&gt;0,F216&lt;$B216,DATE($B$1,4,1)&lt;=TODAY(),OR($O216="",$O216&gt;=DATE($B$1,4,1)),OR(COUNTIF($C216:F216,"&gt;0")&gt;0,DATE($B$1,4,1)=DATE(YEAR(TODAY()),MONTH(TODAY()),1))),1,0))</f>
        <v/>
      </c>
      <c r="T216">
        <f>IF($A216="","",IF(AND($B216&gt;0,G216&lt;$B216,DATE($B$1,5,1)&lt;=TODAY(),OR($O216="",$O216&gt;=DATE($B$1,5,1)),OR(COUNTIF($C216:G216,"&gt;0")&gt;0,DATE($B$1,5,1)=DATE(YEAR(TODAY()),MONTH(TODAY()),1))),1,0))</f>
        <v/>
      </c>
      <c r="U216">
        <f>IF($A216="","",IF(AND($B216&gt;0,H216&lt;$B216,DATE($B$1,6,1)&lt;=TODAY(),OR($O216="",$O216&gt;=DATE($B$1,6,1)),OR(COUNTIF($C216:H216,"&gt;0")&gt;0,DATE($B$1,6,1)=DATE(YEAR(TODAY()),MONTH(TODAY()),1))),1,0))</f>
        <v/>
      </c>
      <c r="V216">
        <f>IF($A216="","",IF(AND($B216&gt;0,I216&lt;$B216,DATE($B$1,7,1)&lt;=TODAY(),OR($O216="",$O216&gt;=DATE($B$1,7,1)),OR(COUNTIF($C216:I216,"&gt;0")&gt;0,DATE($B$1,7,1)=DATE(YEAR(TODAY()),MONTH(TODAY()),1))),1,0))</f>
        <v/>
      </c>
      <c r="W216">
        <f>IF($A216="","",IF(AND($B216&gt;0,J216&lt;$B216,DATE($B$1,8,1)&lt;=TODAY(),OR($O216="",$O216&gt;=DATE($B$1,8,1)),OR(COUNTIF($C216:J216,"&gt;0")&gt;0,DATE($B$1,8,1)=DATE(YEAR(TODAY()),MONTH(TODAY()),1))),1,0))</f>
        <v/>
      </c>
      <c r="X216">
        <f>IF($A216="","",IF(AND($B216&gt;0,K216&lt;$B216,DATE($B$1,9,1)&lt;=TODAY(),OR($O216="",$O216&gt;=DATE($B$1,9,1)),OR(COUNTIF($C216:K216,"&gt;0")&gt;0,DATE($B$1,9,1)=DATE(YEAR(TODAY()),MONTH(TODAY()),1))),1,0))</f>
        <v/>
      </c>
      <c r="Y216">
        <f>IF($A216="","",IF(AND($B216&gt;0,L216&lt;$B216,DATE($B$1,10,1)&lt;=TODAY(),OR($O216="",$O216&gt;=DATE($B$1,10,1)),OR(COUNTIF($C216:L216,"&gt;0")&gt;0,DATE($B$1,10,1)=DATE(YEAR(TODAY()),MONTH(TODAY()),1))),1,0))</f>
        <v/>
      </c>
      <c r="Z216">
        <f>IF($A216="","",IF(AND($B216&gt;0,M216&lt;$B216,DATE($B$1,11,1)&lt;=TODAY(),OR($O216="",$O216&gt;=DATE($B$1,11,1)),OR(COUNTIF($C216:M216,"&gt;0")&gt;0,DATE($B$1,11,1)=DATE(YEAR(TODAY()),MONTH(TODAY()),1))),1,0))</f>
        <v/>
      </c>
      <c r="AA216">
        <f>IF($A216="","",IF(AND($B216&gt;0,N216&lt;$B216,DATE($B$1,12,1)&lt;=TODAY(),OR($O216="",$O216&gt;=DATE($B$1,12,1)),OR(COUNTIF($C216:N216,"&gt;0")&gt;0,DATE($B$1,12,1)=DATE(YEAR(TODAY()),MONTH(TODAY()),1))),1,0))</f>
        <v/>
      </c>
    </row>
    <row r="217">
      <c r="A217" s="13">
        <f>IF(원생!$A215="","",원생!$A215&amp;IF(원생!$G215="",""," ("&amp;원생!$G215&amp;")"))</f>
        <v/>
      </c>
      <c r="B217" s="8">
        <f>IF(원생!$A215="","",원생!$F215)</f>
        <v/>
      </c>
      <c r="C217" s="14">
        <f>IF(원생!$A215="","",SUMIFS(수납!$F:$F,수납!$C:$C,원생!$A215,수납!$D:$D,IF(원생!$G215="","",원생!$G215),수납!$B:$B,$B$1&amp;"-"&amp;TEXT(1,"00")&amp;"*",수납!$E:$E,"수강료")+SUMIFS(수납!$F:$F,수납!$C:$C,원생!$A215,수납!$D:$D,IF(원생!$G215="","",원생!$G215),수납!$B:$B,$B$1&amp;"-"&amp;TEXT(1,"00")&amp;"*",수납!$E:$E,""))</f>
        <v/>
      </c>
      <c r="D217" s="14">
        <f>IF(원생!$A215="","",SUMIFS(수납!$F:$F,수납!$C:$C,원생!$A215,수납!$D:$D,IF(원생!$G215="","",원생!$G215),수납!$B:$B,$B$1&amp;"-"&amp;TEXT(2,"00")&amp;"*",수납!$E:$E,"수강료")+SUMIFS(수납!$F:$F,수납!$C:$C,원생!$A215,수납!$D:$D,IF(원생!$G215="","",원생!$G215),수납!$B:$B,$B$1&amp;"-"&amp;TEXT(2,"00")&amp;"*",수납!$E:$E,""))</f>
        <v/>
      </c>
      <c r="E217" s="14">
        <f>IF(원생!$A215="","",SUMIFS(수납!$F:$F,수납!$C:$C,원생!$A215,수납!$D:$D,IF(원생!$G215="","",원생!$G215),수납!$B:$B,$B$1&amp;"-"&amp;TEXT(3,"00")&amp;"*",수납!$E:$E,"수강료")+SUMIFS(수납!$F:$F,수납!$C:$C,원생!$A215,수납!$D:$D,IF(원생!$G215="","",원생!$G215),수납!$B:$B,$B$1&amp;"-"&amp;TEXT(3,"00")&amp;"*",수납!$E:$E,""))</f>
        <v/>
      </c>
      <c r="F217" s="14">
        <f>IF(원생!$A215="","",SUMIFS(수납!$F:$F,수납!$C:$C,원생!$A215,수납!$D:$D,IF(원생!$G215="","",원생!$G215),수납!$B:$B,$B$1&amp;"-"&amp;TEXT(4,"00")&amp;"*",수납!$E:$E,"수강료")+SUMIFS(수납!$F:$F,수납!$C:$C,원생!$A215,수납!$D:$D,IF(원생!$G215="","",원생!$G215),수납!$B:$B,$B$1&amp;"-"&amp;TEXT(4,"00")&amp;"*",수납!$E:$E,""))</f>
        <v/>
      </c>
      <c r="G217" s="14">
        <f>IF(원생!$A215="","",SUMIFS(수납!$F:$F,수납!$C:$C,원생!$A215,수납!$D:$D,IF(원생!$G215="","",원생!$G215),수납!$B:$B,$B$1&amp;"-"&amp;TEXT(5,"00")&amp;"*",수납!$E:$E,"수강료")+SUMIFS(수납!$F:$F,수납!$C:$C,원생!$A215,수납!$D:$D,IF(원생!$G215="","",원생!$G215),수납!$B:$B,$B$1&amp;"-"&amp;TEXT(5,"00")&amp;"*",수납!$E:$E,""))</f>
        <v/>
      </c>
      <c r="H217" s="14">
        <f>IF(원생!$A215="","",SUMIFS(수납!$F:$F,수납!$C:$C,원생!$A215,수납!$D:$D,IF(원생!$G215="","",원생!$G215),수납!$B:$B,$B$1&amp;"-"&amp;TEXT(6,"00")&amp;"*",수납!$E:$E,"수강료")+SUMIFS(수납!$F:$F,수납!$C:$C,원생!$A215,수납!$D:$D,IF(원생!$G215="","",원생!$G215),수납!$B:$B,$B$1&amp;"-"&amp;TEXT(6,"00")&amp;"*",수납!$E:$E,""))</f>
        <v/>
      </c>
      <c r="I217" s="14">
        <f>IF(원생!$A215="","",SUMIFS(수납!$F:$F,수납!$C:$C,원생!$A215,수납!$D:$D,IF(원생!$G215="","",원생!$G215),수납!$B:$B,$B$1&amp;"-"&amp;TEXT(7,"00")&amp;"*",수납!$E:$E,"수강료")+SUMIFS(수납!$F:$F,수납!$C:$C,원생!$A215,수납!$D:$D,IF(원생!$G215="","",원생!$G215),수납!$B:$B,$B$1&amp;"-"&amp;TEXT(7,"00")&amp;"*",수납!$E:$E,""))</f>
        <v/>
      </c>
      <c r="J217" s="14">
        <f>IF(원생!$A215="","",SUMIFS(수납!$F:$F,수납!$C:$C,원생!$A215,수납!$D:$D,IF(원생!$G215="","",원생!$G215),수납!$B:$B,$B$1&amp;"-"&amp;TEXT(8,"00")&amp;"*",수납!$E:$E,"수강료")+SUMIFS(수납!$F:$F,수납!$C:$C,원생!$A215,수납!$D:$D,IF(원생!$G215="","",원생!$G215),수납!$B:$B,$B$1&amp;"-"&amp;TEXT(8,"00")&amp;"*",수납!$E:$E,""))</f>
        <v/>
      </c>
      <c r="K217" s="14">
        <f>IF(원생!$A215="","",SUMIFS(수납!$F:$F,수납!$C:$C,원생!$A215,수납!$D:$D,IF(원생!$G215="","",원생!$G215),수납!$B:$B,$B$1&amp;"-"&amp;TEXT(9,"00")&amp;"*",수납!$E:$E,"수강료")+SUMIFS(수납!$F:$F,수납!$C:$C,원생!$A215,수납!$D:$D,IF(원생!$G215="","",원생!$G215),수납!$B:$B,$B$1&amp;"-"&amp;TEXT(9,"00")&amp;"*",수납!$E:$E,""))</f>
        <v/>
      </c>
      <c r="L217" s="14">
        <f>IF(원생!$A215="","",SUMIFS(수납!$F:$F,수납!$C:$C,원생!$A215,수납!$D:$D,IF(원생!$G215="","",원생!$G215),수납!$B:$B,$B$1&amp;"-"&amp;TEXT(10,"00")&amp;"*",수납!$E:$E,"수강료")+SUMIFS(수납!$F:$F,수납!$C:$C,원생!$A215,수납!$D:$D,IF(원생!$G215="","",원생!$G215),수납!$B:$B,$B$1&amp;"-"&amp;TEXT(10,"00")&amp;"*",수납!$E:$E,""))</f>
        <v/>
      </c>
      <c r="M217" s="14">
        <f>IF(원생!$A215="","",SUMIFS(수납!$F:$F,수납!$C:$C,원생!$A215,수납!$D:$D,IF(원생!$G215="","",원생!$G215),수납!$B:$B,$B$1&amp;"-"&amp;TEXT(11,"00")&amp;"*",수납!$E:$E,"수강료")+SUMIFS(수납!$F:$F,수납!$C:$C,원생!$A215,수납!$D:$D,IF(원생!$G215="","",원생!$G215),수납!$B:$B,$B$1&amp;"-"&amp;TEXT(11,"00")&amp;"*",수납!$E:$E,""))</f>
        <v/>
      </c>
      <c r="N217" s="14">
        <f>IF(원생!$A215="","",SUMIFS(수납!$F:$F,수납!$C:$C,원생!$A215,수납!$D:$D,IF(원생!$G215="","",원생!$G215),수납!$B:$B,$B$1&amp;"-"&amp;TEXT(12,"00")&amp;"*",수납!$E:$E,"수강료")+SUMIFS(수납!$F:$F,수납!$C:$C,원생!$A215,수납!$D:$D,IF(원생!$G215="","",원생!$G215),수납!$B:$B,$B$1&amp;"-"&amp;TEXT(12,"00")&amp;"*",수납!$E:$E,""))</f>
        <v/>
      </c>
      <c r="O217">
        <f>IF(원생!$I215="","",원생!$I215)</f>
        <v/>
      </c>
      <c r="P217">
        <f>IF($A217="","",IF(AND($B217&gt;0,C217&lt;$B217,DATE($B$1,1,1)&lt;=TODAY(),OR($O217="",$O217&gt;=DATE($B$1,1,1)),OR(COUNTIF($C217:C217,"&gt;0")&gt;0,DATE($B$1,1,1)=DATE(YEAR(TODAY()),MONTH(TODAY()),1))),1,0))</f>
        <v/>
      </c>
      <c r="Q217">
        <f>IF($A217="","",IF(AND($B217&gt;0,D217&lt;$B217,DATE($B$1,2,1)&lt;=TODAY(),OR($O217="",$O217&gt;=DATE($B$1,2,1)),OR(COUNTIF($C217:D217,"&gt;0")&gt;0,DATE($B$1,2,1)=DATE(YEAR(TODAY()),MONTH(TODAY()),1))),1,0))</f>
        <v/>
      </c>
      <c r="R217">
        <f>IF($A217="","",IF(AND($B217&gt;0,E217&lt;$B217,DATE($B$1,3,1)&lt;=TODAY(),OR($O217="",$O217&gt;=DATE($B$1,3,1)),OR(COUNTIF($C217:E217,"&gt;0")&gt;0,DATE($B$1,3,1)=DATE(YEAR(TODAY()),MONTH(TODAY()),1))),1,0))</f>
        <v/>
      </c>
      <c r="S217">
        <f>IF($A217="","",IF(AND($B217&gt;0,F217&lt;$B217,DATE($B$1,4,1)&lt;=TODAY(),OR($O217="",$O217&gt;=DATE($B$1,4,1)),OR(COUNTIF($C217:F217,"&gt;0")&gt;0,DATE($B$1,4,1)=DATE(YEAR(TODAY()),MONTH(TODAY()),1))),1,0))</f>
        <v/>
      </c>
      <c r="T217">
        <f>IF($A217="","",IF(AND($B217&gt;0,G217&lt;$B217,DATE($B$1,5,1)&lt;=TODAY(),OR($O217="",$O217&gt;=DATE($B$1,5,1)),OR(COUNTIF($C217:G217,"&gt;0")&gt;0,DATE($B$1,5,1)=DATE(YEAR(TODAY()),MONTH(TODAY()),1))),1,0))</f>
        <v/>
      </c>
      <c r="U217">
        <f>IF($A217="","",IF(AND($B217&gt;0,H217&lt;$B217,DATE($B$1,6,1)&lt;=TODAY(),OR($O217="",$O217&gt;=DATE($B$1,6,1)),OR(COUNTIF($C217:H217,"&gt;0")&gt;0,DATE($B$1,6,1)=DATE(YEAR(TODAY()),MONTH(TODAY()),1))),1,0))</f>
        <v/>
      </c>
      <c r="V217">
        <f>IF($A217="","",IF(AND($B217&gt;0,I217&lt;$B217,DATE($B$1,7,1)&lt;=TODAY(),OR($O217="",$O217&gt;=DATE($B$1,7,1)),OR(COUNTIF($C217:I217,"&gt;0")&gt;0,DATE($B$1,7,1)=DATE(YEAR(TODAY()),MONTH(TODAY()),1))),1,0))</f>
        <v/>
      </c>
      <c r="W217">
        <f>IF($A217="","",IF(AND($B217&gt;0,J217&lt;$B217,DATE($B$1,8,1)&lt;=TODAY(),OR($O217="",$O217&gt;=DATE($B$1,8,1)),OR(COUNTIF($C217:J217,"&gt;0")&gt;0,DATE($B$1,8,1)=DATE(YEAR(TODAY()),MONTH(TODAY()),1))),1,0))</f>
        <v/>
      </c>
      <c r="X217">
        <f>IF($A217="","",IF(AND($B217&gt;0,K217&lt;$B217,DATE($B$1,9,1)&lt;=TODAY(),OR($O217="",$O217&gt;=DATE($B$1,9,1)),OR(COUNTIF($C217:K217,"&gt;0")&gt;0,DATE($B$1,9,1)=DATE(YEAR(TODAY()),MONTH(TODAY()),1))),1,0))</f>
        <v/>
      </c>
      <c r="Y217">
        <f>IF($A217="","",IF(AND($B217&gt;0,L217&lt;$B217,DATE($B$1,10,1)&lt;=TODAY(),OR($O217="",$O217&gt;=DATE($B$1,10,1)),OR(COUNTIF($C217:L217,"&gt;0")&gt;0,DATE($B$1,10,1)=DATE(YEAR(TODAY()),MONTH(TODAY()),1))),1,0))</f>
        <v/>
      </c>
      <c r="Z217">
        <f>IF($A217="","",IF(AND($B217&gt;0,M217&lt;$B217,DATE($B$1,11,1)&lt;=TODAY(),OR($O217="",$O217&gt;=DATE($B$1,11,1)),OR(COUNTIF($C217:M217,"&gt;0")&gt;0,DATE($B$1,11,1)=DATE(YEAR(TODAY()),MONTH(TODAY()),1))),1,0))</f>
        <v/>
      </c>
      <c r="AA217">
        <f>IF($A217="","",IF(AND($B217&gt;0,N217&lt;$B217,DATE($B$1,12,1)&lt;=TODAY(),OR($O217="",$O217&gt;=DATE($B$1,12,1)),OR(COUNTIF($C217:N217,"&gt;0")&gt;0,DATE($B$1,12,1)=DATE(YEAR(TODAY()),MONTH(TODAY()),1))),1,0))</f>
        <v/>
      </c>
    </row>
    <row r="218">
      <c r="A218" s="13">
        <f>IF(원생!$A216="","",원생!$A216&amp;IF(원생!$G216="",""," ("&amp;원생!$G216&amp;")"))</f>
        <v/>
      </c>
      <c r="B218" s="8">
        <f>IF(원생!$A216="","",원생!$F216)</f>
        <v/>
      </c>
      <c r="C218" s="14">
        <f>IF(원생!$A216="","",SUMIFS(수납!$F:$F,수납!$C:$C,원생!$A216,수납!$D:$D,IF(원생!$G216="","",원생!$G216),수납!$B:$B,$B$1&amp;"-"&amp;TEXT(1,"00")&amp;"*",수납!$E:$E,"수강료")+SUMIFS(수납!$F:$F,수납!$C:$C,원생!$A216,수납!$D:$D,IF(원생!$G216="","",원생!$G216),수납!$B:$B,$B$1&amp;"-"&amp;TEXT(1,"00")&amp;"*",수납!$E:$E,""))</f>
        <v/>
      </c>
      <c r="D218" s="14">
        <f>IF(원생!$A216="","",SUMIFS(수납!$F:$F,수납!$C:$C,원생!$A216,수납!$D:$D,IF(원생!$G216="","",원생!$G216),수납!$B:$B,$B$1&amp;"-"&amp;TEXT(2,"00")&amp;"*",수납!$E:$E,"수강료")+SUMIFS(수납!$F:$F,수납!$C:$C,원생!$A216,수납!$D:$D,IF(원생!$G216="","",원생!$G216),수납!$B:$B,$B$1&amp;"-"&amp;TEXT(2,"00")&amp;"*",수납!$E:$E,""))</f>
        <v/>
      </c>
      <c r="E218" s="14">
        <f>IF(원생!$A216="","",SUMIFS(수납!$F:$F,수납!$C:$C,원생!$A216,수납!$D:$D,IF(원생!$G216="","",원생!$G216),수납!$B:$B,$B$1&amp;"-"&amp;TEXT(3,"00")&amp;"*",수납!$E:$E,"수강료")+SUMIFS(수납!$F:$F,수납!$C:$C,원생!$A216,수납!$D:$D,IF(원생!$G216="","",원생!$G216),수납!$B:$B,$B$1&amp;"-"&amp;TEXT(3,"00")&amp;"*",수납!$E:$E,""))</f>
        <v/>
      </c>
      <c r="F218" s="14">
        <f>IF(원생!$A216="","",SUMIFS(수납!$F:$F,수납!$C:$C,원생!$A216,수납!$D:$D,IF(원생!$G216="","",원생!$G216),수납!$B:$B,$B$1&amp;"-"&amp;TEXT(4,"00")&amp;"*",수납!$E:$E,"수강료")+SUMIFS(수납!$F:$F,수납!$C:$C,원생!$A216,수납!$D:$D,IF(원생!$G216="","",원생!$G216),수납!$B:$B,$B$1&amp;"-"&amp;TEXT(4,"00")&amp;"*",수납!$E:$E,""))</f>
        <v/>
      </c>
      <c r="G218" s="14">
        <f>IF(원생!$A216="","",SUMIFS(수납!$F:$F,수납!$C:$C,원생!$A216,수납!$D:$D,IF(원생!$G216="","",원생!$G216),수납!$B:$B,$B$1&amp;"-"&amp;TEXT(5,"00")&amp;"*",수납!$E:$E,"수강료")+SUMIFS(수납!$F:$F,수납!$C:$C,원생!$A216,수납!$D:$D,IF(원생!$G216="","",원생!$G216),수납!$B:$B,$B$1&amp;"-"&amp;TEXT(5,"00")&amp;"*",수납!$E:$E,""))</f>
        <v/>
      </c>
      <c r="H218" s="14">
        <f>IF(원생!$A216="","",SUMIFS(수납!$F:$F,수납!$C:$C,원생!$A216,수납!$D:$D,IF(원생!$G216="","",원생!$G216),수납!$B:$B,$B$1&amp;"-"&amp;TEXT(6,"00")&amp;"*",수납!$E:$E,"수강료")+SUMIFS(수납!$F:$F,수납!$C:$C,원생!$A216,수납!$D:$D,IF(원생!$G216="","",원생!$G216),수납!$B:$B,$B$1&amp;"-"&amp;TEXT(6,"00")&amp;"*",수납!$E:$E,""))</f>
        <v/>
      </c>
      <c r="I218" s="14">
        <f>IF(원생!$A216="","",SUMIFS(수납!$F:$F,수납!$C:$C,원생!$A216,수납!$D:$D,IF(원생!$G216="","",원생!$G216),수납!$B:$B,$B$1&amp;"-"&amp;TEXT(7,"00")&amp;"*",수납!$E:$E,"수강료")+SUMIFS(수납!$F:$F,수납!$C:$C,원생!$A216,수납!$D:$D,IF(원생!$G216="","",원생!$G216),수납!$B:$B,$B$1&amp;"-"&amp;TEXT(7,"00")&amp;"*",수납!$E:$E,""))</f>
        <v/>
      </c>
      <c r="J218" s="14">
        <f>IF(원생!$A216="","",SUMIFS(수납!$F:$F,수납!$C:$C,원생!$A216,수납!$D:$D,IF(원생!$G216="","",원생!$G216),수납!$B:$B,$B$1&amp;"-"&amp;TEXT(8,"00")&amp;"*",수납!$E:$E,"수강료")+SUMIFS(수납!$F:$F,수납!$C:$C,원생!$A216,수납!$D:$D,IF(원생!$G216="","",원생!$G216),수납!$B:$B,$B$1&amp;"-"&amp;TEXT(8,"00")&amp;"*",수납!$E:$E,""))</f>
        <v/>
      </c>
      <c r="K218" s="14">
        <f>IF(원생!$A216="","",SUMIFS(수납!$F:$F,수납!$C:$C,원생!$A216,수납!$D:$D,IF(원생!$G216="","",원생!$G216),수납!$B:$B,$B$1&amp;"-"&amp;TEXT(9,"00")&amp;"*",수납!$E:$E,"수강료")+SUMIFS(수납!$F:$F,수납!$C:$C,원생!$A216,수납!$D:$D,IF(원생!$G216="","",원생!$G216),수납!$B:$B,$B$1&amp;"-"&amp;TEXT(9,"00")&amp;"*",수납!$E:$E,""))</f>
        <v/>
      </c>
      <c r="L218" s="14">
        <f>IF(원생!$A216="","",SUMIFS(수납!$F:$F,수납!$C:$C,원생!$A216,수납!$D:$D,IF(원생!$G216="","",원생!$G216),수납!$B:$B,$B$1&amp;"-"&amp;TEXT(10,"00")&amp;"*",수납!$E:$E,"수강료")+SUMIFS(수납!$F:$F,수납!$C:$C,원생!$A216,수납!$D:$D,IF(원생!$G216="","",원생!$G216),수납!$B:$B,$B$1&amp;"-"&amp;TEXT(10,"00")&amp;"*",수납!$E:$E,""))</f>
        <v/>
      </c>
      <c r="M218" s="14">
        <f>IF(원생!$A216="","",SUMIFS(수납!$F:$F,수납!$C:$C,원생!$A216,수납!$D:$D,IF(원생!$G216="","",원생!$G216),수납!$B:$B,$B$1&amp;"-"&amp;TEXT(11,"00")&amp;"*",수납!$E:$E,"수강료")+SUMIFS(수납!$F:$F,수납!$C:$C,원생!$A216,수납!$D:$D,IF(원생!$G216="","",원생!$G216),수납!$B:$B,$B$1&amp;"-"&amp;TEXT(11,"00")&amp;"*",수납!$E:$E,""))</f>
        <v/>
      </c>
      <c r="N218" s="14">
        <f>IF(원생!$A216="","",SUMIFS(수납!$F:$F,수납!$C:$C,원생!$A216,수납!$D:$D,IF(원생!$G216="","",원생!$G216),수납!$B:$B,$B$1&amp;"-"&amp;TEXT(12,"00")&amp;"*",수납!$E:$E,"수강료")+SUMIFS(수납!$F:$F,수납!$C:$C,원생!$A216,수납!$D:$D,IF(원생!$G216="","",원생!$G216),수납!$B:$B,$B$1&amp;"-"&amp;TEXT(12,"00")&amp;"*",수납!$E:$E,""))</f>
        <v/>
      </c>
      <c r="O218">
        <f>IF(원생!$I216="","",원생!$I216)</f>
        <v/>
      </c>
      <c r="P218">
        <f>IF($A218="","",IF(AND($B218&gt;0,C218&lt;$B218,DATE($B$1,1,1)&lt;=TODAY(),OR($O218="",$O218&gt;=DATE($B$1,1,1)),OR(COUNTIF($C218:C218,"&gt;0")&gt;0,DATE($B$1,1,1)=DATE(YEAR(TODAY()),MONTH(TODAY()),1))),1,0))</f>
        <v/>
      </c>
      <c r="Q218">
        <f>IF($A218="","",IF(AND($B218&gt;0,D218&lt;$B218,DATE($B$1,2,1)&lt;=TODAY(),OR($O218="",$O218&gt;=DATE($B$1,2,1)),OR(COUNTIF($C218:D218,"&gt;0")&gt;0,DATE($B$1,2,1)=DATE(YEAR(TODAY()),MONTH(TODAY()),1))),1,0))</f>
        <v/>
      </c>
      <c r="R218">
        <f>IF($A218="","",IF(AND($B218&gt;0,E218&lt;$B218,DATE($B$1,3,1)&lt;=TODAY(),OR($O218="",$O218&gt;=DATE($B$1,3,1)),OR(COUNTIF($C218:E218,"&gt;0")&gt;0,DATE($B$1,3,1)=DATE(YEAR(TODAY()),MONTH(TODAY()),1))),1,0))</f>
        <v/>
      </c>
      <c r="S218">
        <f>IF($A218="","",IF(AND($B218&gt;0,F218&lt;$B218,DATE($B$1,4,1)&lt;=TODAY(),OR($O218="",$O218&gt;=DATE($B$1,4,1)),OR(COUNTIF($C218:F218,"&gt;0")&gt;0,DATE($B$1,4,1)=DATE(YEAR(TODAY()),MONTH(TODAY()),1))),1,0))</f>
        <v/>
      </c>
      <c r="T218">
        <f>IF($A218="","",IF(AND($B218&gt;0,G218&lt;$B218,DATE($B$1,5,1)&lt;=TODAY(),OR($O218="",$O218&gt;=DATE($B$1,5,1)),OR(COUNTIF($C218:G218,"&gt;0")&gt;0,DATE($B$1,5,1)=DATE(YEAR(TODAY()),MONTH(TODAY()),1))),1,0))</f>
        <v/>
      </c>
      <c r="U218">
        <f>IF($A218="","",IF(AND($B218&gt;0,H218&lt;$B218,DATE($B$1,6,1)&lt;=TODAY(),OR($O218="",$O218&gt;=DATE($B$1,6,1)),OR(COUNTIF($C218:H218,"&gt;0")&gt;0,DATE($B$1,6,1)=DATE(YEAR(TODAY()),MONTH(TODAY()),1))),1,0))</f>
        <v/>
      </c>
      <c r="V218">
        <f>IF($A218="","",IF(AND($B218&gt;0,I218&lt;$B218,DATE($B$1,7,1)&lt;=TODAY(),OR($O218="",$O218&gt;=DATE($B$1,7,1)),OR(COUNTIF($C218:I218,"&gt;0")&gt;0,DATE($B$1,7,1)=DATE(YEAR(TODAY()),MONTH(TODAY()),1))),1,0))</f>
        <v/>
      </c>
      <c r="W218">
        <f>IF($A218="","",IF(AND($B218&gt;0,J218&lt;$B218,DATE($B$1,8,1)&lt;=TODAY(),OR($O218="",$O218&gt;=DATE($B$1,8,1)),OR(COUNTIF($C218:J218,"&gt;0")&gt;0,DATE($B$1,8,1)=DATE(YEAR(TODAY()),MONTH(TODAY()),1))),1,0))</f>
        <v/>
      </c>
      <c r="X218">
        <f>IF($A218="","",IF(AND($B218&gt;0,K218&lt;$B218,DATE($B$1,9,1)&lt;=TODAY(),OR($O218="",$O218&gt;=DATE($B$1,9,1)),OR(COUNTIF($C218:K218,"&gt;0")&gt;0,DATE($B$1,9,1)=DATE(YEAR(TODAY()),MONTH(TODAY()),1))),1,0))</f>
        <v/>
      </c>
      <c r="Y218">
        <f>IF($A218="","",IF(AND($B218&gt;0,L218&lt;$B218,DATE($B$1,10,1)&lt;=TODAY(),OR($O218="",$O218&gt;=DATE($B$1,10,1)),OR(COUNTIF($C218:L218,"&gt;0")&gt;0,DATE($B$1,10,1)=DATE(YEAR(TODAY()),MONTH(TODAY()),1))),1,0))</f>
        <v/>
      </c>
      <c r="Z218">
        <f>IF($A218="","",IF(AND($B218&gt;0,M218&lt;$B218,DATE($B$1,11,1)&lt;=TODAY(),OR($O218="",$O218&gt;=DATE($B$1,11,1)),OR(COUNTIF($C218:M218,"&gt;0")&gt;0,DATE($B$1,11,1)=DATE(YEAR(TODAY()),MONTH(TODAY()),1))),1,0))</f>
        <v/>
      </c>
      <c r="AA218">
        <f>IF($A218="","",IF(AND($B218&gt;0,N218&lt;$B218,DATE($B$1,12,1)&lt;=TODAY(),OR($O218="",$O218&gt;=DATE($B$1,12,1)),OR(COUNTIF($C218:N218,"&gt;0")&gt;0,DATE($B$1,12,1)=DATE(YEAR(TODAY()),MONTH(TODAY()),1))),1,0))</f>
        <v/>
      </c>
    </row>
    <row r="219">
      <c r="A219" s="13">
        <f>IF(원생!$A217="","",원생!$A217&amp;IF(원생!$G217="",""," ("&amp;원생!$G217&amp;")"))</f>
        <v/>
      </c>
      <c r="B219" s="8">
        <f>IF(원생!$A217="","",원생!$F217)</f>
        <v/>
      </c>
      <c r="C219" s="14">
        <f>IF(원생!$A217="","",SUMIFS(수납!$F:$F,수납!$C:$C,원생!$A217,수납!$D:$D,IF(원생!$G217="","",원생!$G217),수납!$B:$B,$B$1&amp;"-"&amp;TEXT(1,"00")&amp;"*",수납!$E:$E,"수강료")+SUMIFS(수납!$F:$F,수납!$C:$C,원생!$A217,수납!$D:$D,IF(원생!$G217="","",원생!$G217),수납!$B:$B,$B$1&amp;"-"&amp;TEXT(1,"00")&amp;"*",수납!$E:$E,""))</f>
        <v/>
      </c>
      <c r="D219" s="14">
        <f>IF(원생!$A217="","",SUMIFS(수납!$F:$F,수납!$C:$C,원생!$A217,수납!$D:$D,IF(원생!$G217="","",원생!$G217),수납!$B:$B,$B$1&amp;"-"&amp;TEXT(2,"00")&amp;"*",수납!$E:$E,"수강료")+SUMIFS(수납!$F:$F,수납!$C:$C,원생!$A217,수납!$D:$D,IF(원생!$G217="","",원생!$G217),수납!$B:$B,$B$1&amp;"-"&amp;TEXT(2,"00")&amp;"*",수납!$E:$E,""))</f>
        <v/>
      </c>
      <c r="E219" s="14">
        <f>IF(원생!$A217="","",SUMIFS(수납!$F:$F,수납!$C:$C,원생!$A217,수납!$D:$D,IF(원생!$G217="","",원생!$G217),수납!$B:$B,$B$1&amp;"-"&amp;TEXT(3,"00")&amp;"*",수납!$E:$E,"수강료")+SUMIFS(수납!$F:$F,수납!$C:$C,원생!$A217,수납!$D:$D,IF(원생!$G217="","",원생!$G217),수납!$B:$B,$B$1&amp;"-"&amp;TEXT(3,"00")&amp;"*",수납!$E:$E,""))</f>
        <v/>
      </c>
      <c r="F219" s="14">
        <f>IF(원생!$A217="","",SUMIFS(수납!$F:$F,수납!$C:$C,원생!$A217,수납!$D:$D,IF(원생!$G217="","",원생!$G217),수납!$B:$B,$B$1&amp;"-"&amp;TEXT(4,"00")&amp;"*",수납!$E:$E,"수강료")+SUMIFS(수납!$F:$F,수납!$C:$C,원생!$A217,수납!$D:$D,IF(원생!$G217="","",원생!$G217),수납!$B:$B,$B$1&amp;"-"&amp;TEXT(4,"00")&amp;"*",수납!$E:$E,""))</f>
        <v/>
      </c>
      <c r="G219" s="14">
        <f>IF(원생!$A217="","",SUMIFS(수납!$F:$F,수납!$C:$C,원생!$A217,수납!$D:$D,IF(원생!$G217="","",원생!$G217),수납!$B:$B,$B$1&amp;"-"&amp;TEXT(5,"00")&amp;"*",수납!$E:$E,"수강료")+SUMIFS(수납!$F:$F,수납!$C:$C,원생!$A217,수납!$D:$D,IF(원생!$G217="","",원생!$G217),수납!$B:$B,$B$1&amp;"-"&amp;TEXT(5,"00")&amp;"*",수납!$E:$E,""))</f>
        <v/>
      </c>
      <c r="H219" s="14">
        <f>IF(원생!$A217="","",SUMIFS(수납!$F:$F,수납!$C:$C,원생!$A217,수납!$D:$D,IF(원생!$G217="","",원생!$G217),수납!$B:$B,$B$1&amp;"-"&amp;TEXT(6,"00")&amp;"*",수납!$E:$E,"수강료")+SUMIFS(수납!$F:$F,수납!$C:$C,원생!$A217,수납!$D:$D,IF(원생!$G217="","",원생!$G217),수납!$B:$B,$B$1&amp;"-"&amp;TEXT(6,"00")&amp;"*",수납!$E:$E,""))</f>
        <v/>
      </c>
      <c r="I219" s="14">
        <f>IF(원생!$A217="","",SUMIFS(수납!$F:$F,수납!$C:$C,원생!$A217,수납!$D:$D,IF(원생!$G217="","",원생!$G217),수납!$B:$B,$B$1&amp;"-"&amp;TEXT(7,"00")&amp;"*",수납!$E:$E,"수강료")+SUMIFS(수납!$F:$F,수납!$C:$C,원생!$A217,수납!$D:$D,IF(원생!$G217="","",원생!$G217),수납!$B:$B,$B$1&amp;"-"&amp;TEXT(7,"00")&amp;"*",수납!$E:$E,""))</f>
        <v/>
      </c>
      <c r="J219" s="14">
        <f>IF(원생!$A217="","",SUMIFS(수납!$F:$F,수납!$C:$C,원생!$A217,수납!$D:$D,IF(원생!$G217="","",원생!$G217),수납!$B:$B,$B$1&amp;"-"&amp;TEXT(8,"00")&amp;"*",수납!$E:$E,"수강료")+SUMIFS(수납!$F:$F,수납!$C:$C,원생!$A217,수납!$D:$D,IF(원생!$G217="","",원생!$G217),수납!$B:$B,$B$1&amp;"-"&amp;TEXT(8,"00")&amp;"*",수납!$E:$E,""))</f>
        <v/>
      </c>
      <c r="K219" s="14">
        <f>IF(원생!$A217="","",SUMIFS(수납!$F:$F,수납!$C:$C,원생!$A217,수납!$D:$D,IF(원생!$G217="","",원생!$G217),수납!$B:$B,$B$1&amp;"-"&amp;TEXT(9,"00")&amp;"*",수납!$E:$E,"수강료")+SUMIFS(수납!$F:$F,수납!$C:$C,원생!$A217,수납!$D:$D,IF(원생!$G217="","",원생!$G217),수납!$B:$B,$B$1&amp;"-"&amp;TEXT(9,"00")&amp;"*",수납!$E:$E,""))</f>
        <v/>
      </c>
      <c r="L219" s="14">
        <f>IF(원생!$A217="","",SUMIFS(수납!$F:$F,수납!$C:$C,원생!$A217,수납!$D:$D,IF(원생!$G217="","",원생!$G217),수납!$B:$B,$B$1&amp;"-"&amp;TEXT(10,"00")&amp;"*",수납!$E:$E,"수강료")+SUMIFS(수납!$F:$F,수납!$C:$C,원생!$A217,수납!$D:$D,IF(원생!$G217="","",원생!$G217),수납!$B:$B,$B$1&amp;"-"&amp;TEXT(10,"00")&amp;"*",수납!$E:$E,""))</f>
        <v/>
      </c>
      <c r="M219" s="14">
        <f>IF(원생!$A217="","",SUMIFS(수납!$F:$F,수납!$C:$C,원생!$A217,수납!$D:$D,IF(원생!$G217="","",원생!$G217),수납!$B:$B,$B$1&amp;"-"&amp;TEXT(11,"00")&amp;"*",수납!$E:$E,"수강료")+SUMIFS(수납!$F:$F,수납!$C:$C,원생!$A217,수납!$D:$D,IF(원생!$G217="","",원생!$G217),수납!$B:$B,$B$1&amp;"-"&amp;TEXT(11,"00")&amp;"*",수납!$E:$E,""))</f>
        <v/>
      </c>
      <c r="N219" s="14">
        <f>IF(원생!$A217="","",SUMIFS(수납!$F:$F,수납!$C:$C,원생!$A217,수납!$D:$D,IF(원생!$G217="","",원생!$G217),수납!$B:$B,$B$1&amp;"-"&amp;TEXT(12,"00")&amp;"*",수납!$E:$E,"수강료")+SUMIFS(수납!$F:$F,수납!$C:$C,원생!$A217,수납!$D:$D,IF(원생!$G217="","",원생!$G217),수납!$B:$B,$B$1&amp;"-"&amp;TEXT(12,"00")&amp;"*",수납!$E:$E,""))</f>
        <v/>
      </c>
      <c r="O219">
        <f>IF(원생!$I217="","",원생!$I217)</f>
        <v/>
      </c>
      <c r="P219">
        <f>IF($A219="","",IF(AND($B219&gt;0,C219&lt;$B219,DATE($B$1,1,1)&lt;=TODAY(),OR($O219="",$O219&gt;=DATE($B$1,1,1)),OR(COUNTIF($C219:C219,"&gt;0")&gt;0,DATE($B$1,1,1)=DATE(YEAR(TODAY()),MONTH(TODAY()),1))),1,0))</f>
        <v/>
      </c>
      <c r="Q219">
        <f>IF($A219="","",IF(AND($B219&gt;0,D219&lt;$B219,DATE($B$1,2,1)&lt;=TODAY(),OR($O219="",$O219&gt;=DATE($B$1,2,1)),OR(COUNTIF($C219:D219,"&gt;0")&gt;0,DATE($B$1,2,1)=DATE(YEAR(TODAY()),MONTH(TODAY()),1))),1,0))</f>
        <v/>
      </c>
      <c r="R219">
        <f>IF($A219="","",IF(AND($B219&gt;0,E219&lt;$B219,DATE($B$1,3,1)&lt;=TODAY(),OR($O219="",$O219&gt;=DATE($B$1,3,1)),OR(COUNTIF($C219:E219,"&gt;0")&gt;0,DATE($B$1,3,1)=DATE(YEAR(TODAY()),MONTH(TODAY()),1))),1,0))</f>
        <v/>
      </c>
      <c r="S219">
        <f>IF($A219="","",IF(AND($B219&gt;0,F219&lt;$B219,DATE($B$1,4,1)&lt;=TODAY(),OR($O219="",$O219&gt;=DATE($B$1,4,1)),OR(COUNTIF($C219:F219,"&gt;0")&gt;0,DATE($B$1,4,1)=DATE(YEAR(TODAY()),MONTH(TODAY()),1))),1,0))</f>
        <v/>
      </c>
      <c r="T219">
        <f>IF($A219="","",IF(AND($B219&gt;0,G219&lt;$B219,DATE($B$1,5,1)&lt;=TODAY(),OR($O219="",$O219&gt;=DATE($B$1,5,1)),OR(COUNTIF($C219:G219,"&gt;0")&gt;0,DATE($B$1,5,1)=DATE(YEAR(TODAY()),MONTH(TODAY()),1))),1,0))</f>
        <v/>
      </c>
      <c r="U219">
        <f>IF($A219="","",IF(AND($B219&gt;0,H219&lt;$B219,DATE($B$1,6,1)&lt;=TODAY(),OR($O219="",$O219&gt;=DATE($B$1,6,1)),OR(COUNTIF($C219:H219,"&gt;0")&gt;0,DATE($B$1,6,1)=DATE(YEAR(TODAY()),MONTH(TODAY()),1))),1,0))</f>
        <v/>
      </c>
      <c r="V219">
        <f>IF($A219="","",IF(AND($B219&gt;0,I219&lt;$B219,DATE($B$1,7,1)&lt;=TODAY(),OR($O219="",$O219&gt;=DATE($B$1,7,1)),OR(COUNTIF($C219:I219,"&gt;0")&gt;0,DATE($B$1,7,1)=DATE(YEAR(TODAY()),MONTH(TODAY()),1))),1,0))</f>
        <v/>
      </c>
      <c r="W219">
        <f>IF($A219="","",IF(AND($B219&gt;0,J219&lt;$B219,DATE($B$1,8,1)&lt;=TODAY(),OR($O219="",$O219&gt;=DATE($B$1,8,1)),OR(COUNTIF($C219:J219,"&gt;0")&gt;0,DATE($B$1,8,1)=DATE(YEAR(TODAY()),MONTH(TODAY()),1))),1,0))</f>
        <v/>
      </c>
      <c r="X219">
        <f>IF($A219="","",IF(AND($B219&gt;0,K219&lt;$B219,DATE($B$1,9,1)&lt;=TODAY(),OR($O219="",$O219&gt;=DATE($B$1,9,1)),OR(COUNTIF($C219:K219,"&gt;0")&gt;0,DATE($B$1,9,1)=DATE(YEAR(TODAY()),MONTH(TODAY()),1))),1,0))</f>
        <v/>
      </c>
      <c r="Y219">
        <f>IF($A219="","",IF(AND($B219&gt;0,L219&lt;$B219,DATE($B$1,10,1)&lt;=TODAY(),OR($O219="",$O219&gt;=DATE($B$1,10,1)),OR(COUNTIF($C219:L219,"&gt;0")&gt;0,DATE($B$1,10,1)=DATE(YEAR(TODAY()),MONTH(TODAY()),1))),1,0))</f>
        <v/>
      </c>
      <c r="Z219">
        <f>IF($A219="","",IF(AND($B219&gt;0,M219&lt;$B219,DATE($B$1,11,1)&lt;=TODAY(),OR($O219="",$O219&gt;=DATE($B$1,11,1)),OR(COUNTIF($C219:M219,"&gt;0")&gt;0,DATE($B$1,11,1)=DATE(YEAR(TODAY()),MONTH(TODAY()),1))),1,0))</f>
        <v/>
      </c>
      <c r="AA219">
        <f>IF($A219="","",IF(AND($B219&gt;0,N219&lt;$B219,DATE($B$1,12,1)&lt;=TODAY(),OR($O219="",$O219&gt;=DATE($B$1,12,1)),OR(COUNTIF($C219:N219,"&gt;0")&gt;0,DATE($B$1,12,1)=DATE(YEAR(TODAY()),MONTH(TODAY()),1))),1,0))</f>
        <v/>
      </c>
    </row>
    <row r="220">
      <c r="A220" s="13">
        <f>IF(원생!$A218="","",원생!$A218&amp;IF(원생!$G218="",""," ("&amp;원생!$G218&amp;")"))</f>
        <v/>
      </c>
      <c r="B220" s="8">
        <f>IF(원생!$A218="","",원생!$F218)</f>
        <v/>
      </c>
      <c r="C220" s="14">
        <f>IF(원생!$A218="","",SUMIFS(수납!$F:$F,수납!$C:$C,원생!$A218,수납!$D:$D,IF(원생!$G218="","",원생!$G218),수납!$B:$B,$B$1&amp;"-"&amp;TEXT(1,"00")&amp;"*",수납!$E:$E,"수강료")+SUMIFS(수납!$F:$F,수납!$C:$C,원생!$A218,수납!$D:$D,IF(원생!$G218="","",원생!$G218),수납!$B:$B,$B$1&amp;"-"&amp;TEXT(1,"00")&amp;"*",수납!$E:$E,""))</f>
        <v/>
      </c>
      <c r="D220" s="14">
        <f>IF(원생!$A218="","",SUMIFS(수납!$F:$F,수납!$C:$C,원생!$A218,수납!$D:$D,IF(원생!$G218="","",원생!$G218),수납!$B:$B,$B$1&amp;"-"&amp;TEXT(2,"00")&amp;"*",수납!$E:$E,"수강료")+SUMIFS(수납!$F:$F,수납!$C:$C,원생!$A218,수납!$D:$D,IF(원생!$G218="","",원생!$G218),수납!$B:$B,$B$1&amp;"-"&amp;TEXT(2,"00")&amp;"*",수납!$E:$E,""))</f>
        <v/>
      </c>
      <c r="E220" s="14">
        <f>IF(원생!$A218="","",SUMIFS(수납!$F:$F,수납!$C:$C,원생!$A218,수납!$D:$D,IF(원생!$G218="","",원생!$G218),수납!$B:$B,$B$1&amp;"-"&amp;TEXT(3,"00")&amp;"*",수납!$E:$E,"수강료")+SUMIFS(수납!$F:$F,수납!$C:$C,원생!$A218,수납!$D:$D,IF(원생!$G218="","",원생!$G218),수납!$B:$B,$B$1&amp;"-"&amp;TEXT(3,"00")&amp;"*",수납!$E:$E,""))</f>
        <v/>
      </c>
      <c r="F220" s="14">
        <f>IF(원생!$A218="","",SUMIFS(수납!$F:$F,수납!$C:$C,원생!$A218,수납!$D:$D,IF(원생!$G218="","",원생!$G218),수납!$B:$B,$B$1&amp;"-"&amp;TEXT(4,"00")&amp;"*",수납!$E:$E,"수강료")+SUMIFS(수납!$F:$F,수납!$C:$C,원생!$A218,수납!$D:$D,IF(원생!$G218="","",원생!$G218),수납!$B:$B,$B$1&amp;"-"&amp;TEXT(4,"00")&amp;"*",수납!$E:$E,""))</f>
        <v/>
      </c>
      <c r="G220" s="14">
        <f>IF(원생!$A218="","",SUMIFS(수납!$F:$F,수납!$C:$C,원생!$A218,수납!$D:$D,IF(원생!$G218="","",원생!$G218),수납!$B:$B,$B$1&amp;"-"&amp;TEXT(5,"00")&amp;"*",수납!$E:$E,"수강료")+SUMIFS(수납!$F:$F,수납!$C:$C,원생!$A218,수납!$D:$D,IF(원생!$G218="","",원생!$G218),수납!$B:$B,$B$1&amp;"-"&amp;TEXT(5,"00")&amp;"*",수납!$E:$E,""))</f>
        <v/>
      </c>
      <c r="H220" s="14">
        <f>IF(원생!$A218="","",SUMIFS(수납!$F:$F,수납!$C:$C,원생!$A218,수납!$D:$D,IF(원생!$G218="","",원생!$G218),수납!$B:$B,$B$1&amp;"-"&amp;TEXT(6,"00")&amp;"*",수납!$E:$E,"수강료")+SUMIFS(수납!$F:$F,수납!$C:$C,원생!$A218,수납!$D:$D,IF(원생!$G218="","",원생!$G218),수납!$B:$B,$B$1&amp;"-"&amp;TEXT(6,"00")&amp;"*",수납!$E:$E,""))</f>
        <v/>
      </c>
      <c r="I220" s="14">
        <f>IF(원생!$A218="","",SUMIFS(수납!$F:$F,수납!$C:$C,원생!$A218,수납!$D:$D,IF(원생!$G218="","",원생!$G218),수납!$B:$B,$B$1&amp;"-"&amp;TEXT(7,"00")&amp;"*",수납!$E:$E,"수강료")+SUMIFS(수납!$F:$F,수납!$C:$C,원생!$A218,수납!$D:$D,IF(원생!$G218="","",원생!$G218),수납!$B:$B,$B$1&amp;"-"&amp;TEXT(7,"00")&amp;"*",수납!$E:$E,""))</f>
        <v/>
      </c>
      <c r="J220" s="14">
        <f>IF(원생!$A218="","",SUMIFS(수납!$F:$F,수납!$C:$C,원생!$A218,수납!$D:$D,IF(원생!$G218="","",원생!$G218),수납!$B:$B,$B$1&amp;"-"&amp;TEXT(8,"00")&amp;"*",수납!$E:$E,"수강료")+SUMIFS(수납!$F:$F,수납!$C:$C,원생!$A218,수납!$D:$D,IF(원생!$G218="","",원생!$G218),수납!$B:$B,$B$1&amp;"-"&amp;TEXT(8,"00")&amp;"*",수납!$E:$E,""))</f>
        <v/>
      </c>
      <c r="K220" s="14">
        <f>IF(원생!$A218="","",SUMIFS(수납!$F:$F,수납!$C:$C,원생!$A218,수납!$D:$D,IF(원생!$G218="","",원생!$G218),수납!$B:$B,$B$1&amp;"-"&amp;TEXT(9,"00")&amp;"*",수납!$E:$E,"수강료")+SUMIFS(수납!$F:$F,수납!$C:$C,원생!$A218,수납!$D:$D,IF(원생!$G218="","",원생!$G218),수납!$B:$B,$B$1&amp;"-"&amp;TEXT(9,"00")&amp;"*",수납!$E:$E,""))</f>
        <v/>
      </c>
      <c r="L220" s="14">
        <f>IF(원생!$A218="","",SUMIFS(수납!$F:$F,수납!$C:$C,원생!$A218,수납!$D:$D,IF(원생!$G218="","",원생!$G218),수납!$B:$B,$B$1&amp;"-"&amp;TEXT(10,"00")&amp;"*",수납!$E:$E,"수강료")+SUMIFS(수납!$F:$F,수납!$C:$C,원생!$A218,수납!$D:$D,IF(원생!$G218="","",원생!$G218),수납!$B:$B,$B$1&amp;"-"&amp;TEXT(10,"00")&amp;"*",수납!$E:$E,""))</f>
        <v/>
      </c>
      <c r="M220" s="14">
        <f>IF(원생!$A218="","",SUMIFS(수납!$F:$F,수납!$C:$C,원생!$A218,수납!$D:$D,IF(원생!$G218="","",원생!$G218),수납!$B:$B,$B$1&amp;"-"&amp;TEXT(11,"00")&amp;"*",수납!$E:$E,"수강료")+SUMIFS(수납!$F:$F,수납!$C:$C,원생!$A218,수납!$D:$D,IF(원생!$G218="","",원생!$G218),수납!$B:$B,$B$1&amp;"-"&amp;TEXT(11,"00")&amp;"*",수납!$E:$E,""))</f>
        <v/>
      </c>
      <c r="N220" s="14">
        <f>IF(원생!$A218="","",SUMIFS(수납!$F:$F,수납!$C:$C,원생!$A218,수납!$D:$D,IF(원생!$G218="","",원생!$G218),수납!$B:$B,$B$1&amp;"-"&amp;TEXT(12,"00")&amp;"*",수납!$E:$E,"수강료")+SUMIFS(수납!$F:$F,수납!$C:$C,원생!$A218,수납!$D:$D,IF(원생!$G218="","",원생!$G218),수납!$B:$B,$B$1&amp;"-"&amp;TEXT(12,"00")&amp;"*",수납!$E:$E,""))</f>
        <v/>
      </c>
      <c r="O220">
        <f>IF(원생!$I218="","",원생!$I218)</f>
        <v/>
      </c>
      <c r="P220">
        <f>IF($A220="","",IF(AND($B220&gt;0,C220&lt;$B220,DATE($B$1,1,1)&lt;=TODAY(),OR($O220="",$O220&gt;=DATE($B$1,1,1)),OR(COUNTIF($C220:C220,"&gt;0")&gt;0,DATE($B$1,1,1)=DATE(YEAR(TODAY()),MONTH(TODAY()),1))),1,0))</f>
        <v/>
      </c>
      <c r="Q220">
        <f>IF($A220="","",IF(AND($B220&gt;0,D220&lt;$B220,DATE($B$1,2,1)&lt;=TODAY(),OR($O220="",$O220&gt;=DATE($B$1,2,1)),OR(COUNTIF($C220:D220,"&gt;0")&gt;0,DATE($B$1,2,1)=DATE(YEAR(TODAY()),MONTH(TODAY()),1))),1,0))</f>
        <v/>
      </c>
      <c r="R220">
        <f>IF($A220="","",IF(AND($B220&gt;0,E220&lt;$B220,DATE($B$1,3,1)&lt;=TODAY(),OR($O220="",$O220&gt;=DATE($B$1,3,1)),OR(COUNTIF($C220:E220,"&gt;0")&gt;0,DATE($B$1,3,1)=DATE(YEAR(TODAY()),MONTH(TODAY()),1))),1,0))</f>
        <v/>
      </c>
      <c r="S220">
        <f>IF($A220="","",IF(AND($B220&gt;0,F220&lt;$B220,DATE($B$1,4,1)&lt;=TODAY(),OR($O220="",$O220&gt;=DATE($B$1,4,1)),OR(COUNTIF($C220:F220,"&gt;0")&gt;0,DATE($B$1,4,1)=DATE(YEAR(TODAY()),MONTH(TODAY()),1))),1,0))</f>
        <v/>
      </c>
      <c r="T220">
        <f>IF($A220="","",IF(AND($B220&gt;0,G220&lt;$B220,DATE($B$1,5,1)&lt;=TODAY(),OR($O220="",$O220&gt;=DATE($B$1,5,1)),OR(COUNTIF($C220:G220,"&gt;0")&gt;0,DATE($B$1,5,1)=DATE(YEAR(TODAY()),MONTH(TODAY()),1))),1,0))</f>
        <v/>
      </c>
      <c r="U220">
        <f>IF($A220="","",IF(AND($B220&gt;0,H220&lt;$B220,DATE($B$1,6,1)&lt;=TODAY(),OR($O220="",$O220&gt;=DATE($B$1,6,1)),OR(COUNTIF($C220:H220,"&gt;0")&gt;0,DATE($B$1,6,1)=DATE(YEAR(TODAY()),MONTH(TODAY()),1))),1,0))</f>
        <v/>
      </c>
      <c r="V220">
        <f>IF($A220="","",IF(AND($B220&gt;0,I220&lt;$B220,DATE($B$1,7,1)&lt;=TODAY(),OR($O220="",$O220&gt;=DATE($B$1,7,1)),OR(COUNTIF($C220:I220,"&gt;0")&gt;0,DATE($B$1,7,1)=DATE(YEAR(TODAY()),MONTH(TODAY()),1))),1,0))</f>
        <v/>
      </c>
      <c r="W220">
        <f>IF($A220="","",IF(AND($B220&gt;0,J220&lt;$B220,DATE($B$1,8,1)&lt;=TODAY(),OR($O220="",$O220&gt;=DATE($B$1,8,1)),OR(COUNTIF($C220:J220,"&gt;0")&gt;0,DATE($B$1,8,1)=DATE(YEAR(TODAY()),MONTH(TODAY()),1))),1,0))</f>
        <v/>
      </c>
      <c r="X220">
        <f>IF($A220="","",IF(AND($B220&gt;0,K220&lt;$B220,DATE($B$1,9,1)&lt;=TODAY(),OR($O220="",$O220&gt;=DATE($B$1,9,1)),OR(COUNTIF($C220:K220,"&gt;0")&gt;0,DATE($B$1,9,1)=DATE(YEAR(TODAY()),MONTH(TODAY()),1))),1,0))</f>
        <v/>
      </c>
      <c r="Y220">
        <f>IF($A220="","",IF(AND($B220&gt;0,L220&lt;$B220,DATE($B$1,10,1)&lt;=TODAY(),OR($O220="",$O220&gt;=DATE($B$1,10,1)),OR(COUNTIF($C220:L220,"&gt;0")&gt;0,DATE($B$1,10,1)=DATE(YEAR(TODAY()),MONTH(TODAY()),1))),1,0))</f>
        <v/>
      </c>
      <c r="Z220">
        <f>IF($A220="","",IF(AND($B220&gt;0,M220&lt;$B220,DATE($B$1,11,1)&lt;=TODAY(),OR($O220="",$O220&gt;=DATE($B$1,11,1)),OR(COUNTIF($C220:M220,"&gt;0")&gt;0,DATE($B$1,11,1)=DATE(YEAR(TODAY()),MONTH(TODAY()),1))),1,0))</f>
        <v/>
      </c>
      <c r="AA220">
        <f>IF($A220="","",IF(AND($B220&gt;0,N220&lt;$B220,DATE($B$1,12,1)&lt;=TODAY(),OR($O220="",$O220&gt;=DATE($B$1,12,1)),OR(COUNTIF($C220:N220,"&gt;0")&gt;0,DATE($B$1,12,1)=DATE(YEAR(TODAY()),MONTH(TODAY()),1))),1,0))</f>
        <v/>
      </c>
    </row>
    <row r="221">
      <c r="A221" s="13">
        <f>IF(원생!$A219="","",원생!$A219&amp;IF(원생!$G219="",""," ("&amp;원생!$G219&amp;")"))</f>
        <v/>
      </c>
      <c r="B221" s="8">
        <f>IF(원생!$A219="","",원생!$F219)</f>
        <v/>
      </c>
      <c r="C221" s="14">
        <f>IF(원생!$A219="","",SUMIFS(수납!$F:$F,수납!$C:$C,원생!$A219,수납!$D:$D,IF(원생!$G219="","",원생!$G219),수납!$B:$B,$B$1&amp;"-"&amp;TEXT(1,"00")&amp;"*",수납!$E:$E,"수강료")+SUMIFS(수납!$F:$F,수납!$C:$C,원생!$A219,수납!$D:$D,IF(원생!$G219="","",원생!$G219),수납!$B:$B,$B$1&amp;"-"&amp;TEXT(1,"00")&amp;"*",수납!$E:$E,""))</f>
        <v/>
      </c>
      <c r="D221" s="14">
        <f>IF(원생!$A219="","",SUMIFS(수납!$F:$F,수납!$C:$C,원생!$A219,수납!$D:$D,IF(원생!$G219="","",원생!$G219),수납!$B:$B,$B$1&amp;"-"&amp;TEXT(2,"00")&amp;"*",수납!$E:$E,"수강료")+SUMIFS(수납!$F:$F,수납!$C:$C,원생!$A219,수납!$D:$D,IF(원생!$G219="","",원생!$G219),수납!$B:$B,$B$1&amp;"-"&amp;TEXT(2,"00")&amp;"*",수납!$E:$E,""))</f>
        <v/>
      </c>
      <c r="E221" s="14">
        <f>IF(원생!$A219="","",SUMIFS(수납!$F:$F,수납!$C:$C,원생!$A219,수납!$D:$D,IF(원생!$G219="","",원생!$G219),수납!$B:$B,$B$1&amp;"-"&amp;TEXT(3,"00")&amp;"*",수납!$E:$E,"수강료")+SUMIFS(수납!$F:$F,수납!$C:$C,원생!$A219,수납!$D:$D,IF(원생!$G219="","",원생!$G219),수납!$B:$B,$B$1&amp;"-"&amp;TEXT(3,"00")&amp;"*",수납!$E:$E,""))</f>
        <v/>
      </c>
      <c r="F221" s="14">
        <f>IF(원생!$A219="","",SUMIFS(수납!$F:$F,수납!$C:$C,원생!$A219,수납!$D:$D,IF(원생!$G219="","",원생!$G219),수납!$B:$B,$B$1&amp;"-"&amp;TEXT(4,"00")&amp;"*",수납!$E:$E,"수강료")+SUMIFS(수납!$F:$F,수납!$C:$C,원생!$A219,수납!$D:$D,IF(원생!$G219="","",원생!$G219),수납!$B:$B,$B$1&amp;"-"&amp;TEXT(4,"00")&amp;"*",수납!$E:$E,""))</f>
        <v/>
      </c>
      <c r="G221" s="14">
        <f>IF(원생!$A219="","",SUMIFS(수납!$F:$F,수납!$C:$C,원생!$A219,수납!$D:$D,IF(원생!$G219="","",원생!$G219),수납!$B:$B,$B$1&amp;"-"&amp;TEXT(5,"00")&amp;"*",수납!$E:$E,"수강료")+SUMIFS(수납!$F:$F,수납!$C:$C,원생!$A219,수납!$D:$D,IF(원생!$G219="","",원생!$G219),수납!$B:$B,$B$1&amp;"-"&amp;TEXT(5,"00")&amp;"*",수납!$E:$E,""))</f>
        <v/>
      </c>
      <c r="H221" s="14">
        <f>IF(원생!$A219="","",SUMIFS(수납!$F:$F,수납!$C:$C,원생!$A219,수납!$D:$D,IF(원생!$G219="","",원생!$G219),수납!$B:$B,$B$1&amp;"-"&amp;TEXT(6,"00")&amp;"*",수납!$E:$E,"수강료")+SUMIFS(수납!$F:$F,수납!$C:$C,원생!$A219,수납!$D:$D,IF(원생!$G219="","",원생!$G219),수납!$B:$B,$B$1&amp;"-"&amp;TEXT(6,"00")&amp;"*",수납!$E:$E,""))</f>
        <v/>
      </c>
      <c r="I221" s="14">
        <f>IF(원생!$A219="","",SUMIFS(수납!$F:$F,수납!$C:$C,원생!$A219,수납!$D:$D,IF(원생!$G219="","",원생!$G219),수납!$B:$B,$B$1&amp;"-"&amp;TEXT(7,"00")&amp;"*",수납!$E:$E,"수강료")+SUMIFS(수납!$F:$F,수납!$C:$C,원생!$A219,수납!$D:$D,IF(원생!$G219="","",원생!$G219),수납!$B:$B,$B$1&amp;"-"&amp;TEXT(7,"00")&amp;"*",수납!$E:$E,""))</f>
        <v/>
      </c>
      <c r="J221" s="14">
        <f>IF(원생!$A219="","",SUMIFS(수납!$F:$F,수납!$C:$C,원생!$A219,수납!$D:$D,IF(원생!$G219="","",원생!$G219),수납!$B:$B,$B$1&amp;"-"&amp;TEXT(8,"00")&amp;"*",수납!$E:$E,"수강료")+SUMIFS(수납!$F:$F,수납!$C:$C,원생!$A219,수납!$D:$D,IF(원생!$G219="","",원생!$G219),수납!$B:$B,$B$1&amp;"-"&amp;TEXT(8,"00")&amp;"*",수납!$E:$E,""))</f>
        <v/>
      </c>
      <c r="K221" s="14">
        <f>IF(원생!$A219="","",SUMIFS(수납!$F:$F,수납!$C:$C,원생!$A219,수납!$D:$D,IF(원생!$G219="","",원생!$G219),수납!$B:$B,$B$1&amp;"-"&amp;TEXT(9,"00")&amp;"*",수납!$E:$E,"수강료")+SUMIFS(수납!$F:$F,수납!$C:$C,원생!$A219,수납!$D:$D,IF(원생!$G219="","",원생!$G219),수납!$B:$B,$B$1&amp;"-"&amp;TEXT(9,"00")&amp;"*",수납!$E:$E,""))</f>
        <v/>
      </c>
      <c r="L221" s="14">
        <f>IF(원생!$A219="","",SUMIFS(수납!$F:$F,수납!$C:$C,원생!$A219,수납!$D:$D,IF(원생!$G219="","",원생!$G219),수납!$B:$B,$B$1&amp;"-"&amp;TEXT(10,"00")&amp;"*",수납!$E:$E,"수강료")+SUMIFS(수납!$F:$F,수납!$C:$C,원생!$A219,수납!$D:$D,IF(원생!$G219="","",원생!$G219),수납!$B:$B,$B$1&amp;"-"&amp;TEXT(10,"00")&amp;"*",수납!$E:$E,""))</f>
        <v/>
      </c>
      <c r="M221" s="14">
        <f>IF(원생!$A219="","",SUMIFS(수납!$F:$F,수납!$C:$C,원생!$A219,수납!$D:$D,IF(원생!$G219="","",원생!$G219),수납!$B:$B,$B$1&amp;"-"&amp;TEXT(11,"00")&amp;"*",수납!$E:$E,"수강료")+SUMIFS(수납!$F:$F,수납!$C:$C,원생!$A219,수납!$D:$D,IF(원생!$G219="","",원생!$G219),수납!$B:$B,$B$1&amp;"-"&amp;TEXT(11,"00")&amp;"*",수납!$E:$E,""))</f>
        <v/>
      </c>
      <c r="N221" s="14">
        <f>IF(원생!$A219="","",SUMIFS(수납!$F:$F,수납!$C:$C,원생!$A219,수납!$D:$D,IF(원생!$G219="","",원생!$G219),수납!$B:$B,$B$1&amp;"-"&amp;TEXT(12,"00")&amp;"*",수납!$E:$E,"수강료")+SUMIFS(수납!$F:$F,수납!$C:$C,원생!$A219,수납!$D:$D,IF(원생!$G219="","",원생!$G219),수납!$B:$B,$B$1&amp;"-"&amp;TEXT(12,"00")&amp;"*",수납!$E:$E,""))</f>
        <v/>
      </c>
      <c r="O221">
        <f>IF(원생!$I219="","",원생!$I219)</f>
        <v/>
      </c>
      <c r="P221">
        <f>IF($A221="","",IF(AND($B221&gt;0,C221&lt;$B221,DATE($B$1,1,1)&lt;=TODAY(),OR($O221="",$O221&gt;=DATE($B$1,1,1)),OR(COUNTIF($C221:C221,"&gt;0")&gt;0,DATE($B$1,1,1)=DATE(YEAR(TODAY()),MONTH(TODAY()),1))),1,0))</f>
        <v/>
      </c>
      <c r="Q221">
        <f>IF($A221="","",IF(AND($B221&gt;0,D221&lt;$B221,DATE($B$1,2,1)&lt;=TODAY(),OR($O221="",$O221&gt;=DATE($B$1,2,1)),OR(COUNTIF($C221:D221,"&gt;0")&gt;0,DATE($B$1,2,1)=DATE(YEAR(TODAY()),MONTH(TODAY()),1))),1,0))</f>
        <v/>
      </c>
      <c r="R221">
        <f>IF($A221="","",IF(AND($B221&gt;0,E221&lt;$B221,DATE($B$1,3,1)&lt;=TODAY(),OR($O221="",$O221&gt;=DATE($B$1,3,1)),OR(COUNTIF($C221:E221,"&gt;0")&gt;0,DATE($B$1,3,1)=DATE(YEAR(TODAY()),MONTH(TODAY()),1))),1,0))</f>
        <v/>
      </c>
      <c r="S221">
        <f>IF($A221="","",IF(AND($B221&gt;0,F221&lt;$B221,DATE($B$1,4,1)&lt;=TODAY(),OR($O221="",$O221&gt;=DATE($B$1,4,1)),OR(COUNTIF($C221:F221,"&gt;0")&gt;0,DATE($B$1,4,1)=DATE(YEAR(TODAY()),MONTH(TODAY()),1))),1,0))</f>
        <v/>
      </c>
      <c r="T221">
        <f>IF($A221="","",IF(AND($B221&gt;0,G221&lt;$B221,DATE($B$1,5,1)&lt;=TODAY(),OR($O221="",$O221&gt;=DATE($B$1,5,1)),OR(COUNTIF($C221:G221,"&gt;0")&gt;0,DATE($B$1,5,1)=DATE(YEAR(TODAY()),MONTH(TODAY()),1))),1,0))</f>
        <v/>
      </c>
      <c r="U221">
        <f>IF($A221="","",IF(AND($B221&gt;0,H221&lt;$B221,DATE($B$1,6,1)&lt;=TODAY(),OR($O221="",$O221&gt;=DATE($B$1,6,1)),OR(COUNTIF($C221:H221,"&gt;0")&gt;0,DATE($B$1,6,1)=DATE(YEAR(TODAY()),MONTH(TODAY()),1))),1,0))</f>
        <v/>
      </c>
      <c r="V221">
        <f>IF($A221="","",IF(AND($B221&gt;0,I221&lt;$B221,DATE($B$1,7,1)&lt;=TODAY(),OR($O221="",$O221&gt;=DATE($B$1,7,1)),OR(COUNTIF($C221:I221,"&gt;0")&gt;0,DATE($B$1,7,1)=DATE(YEAR(TODAY()),MONTH(TODAY()),1))),1,0))</f>
        <v/>
      </c>
      <c r="W221">
        <f>IF($A221="","",IF(AND($B221&gt;0,J221&lt;$B221,DATE($B$1,8,1)&lt;=TODAY(),OR($O221="",$O221&gt;=DATE($B$1,8,1)),OR(COUNTIF($C221:J221,"&gt;0")&gt;0,DATE($B$1,8,1)=DATE(YEAR(TODAY()),MONTH(TODAY()),1))),1,0))</f>
        <v/>
      </c>
      <c r="X221">
        <f>IF($A221="","",IF(AND($B221&gt;0,K221&lt;$B221,DATE($B$1,9,1)&lt;=TODAY(),OR($O221="",$O221&gt;=DATE($B$1,9,1)),OR(COUNTIF($C221:K221,"&gt;0")&gt;0,DATE($B$1,9,1)=DATE(YEAR(TODAY()),MONTH(TODAY()),1))),1,0))</f>
        <v/>
      </c>
      <c r="Y221">
        <f>IF($A221="","",IF(AND($B221&gt;0,L221&lt;$B221,DATE($B$1,10,1)&lt;=TODAY(),OR($O221="",$O221&gt;=DATE($B$1,10,1)),OR(COUNTIF($C221:L221,"&gt;0")&gt;0,DATE($B$1,10,1)=DATE(YEAR(TODAY()),MONTH(TODAY()),1))),1,0))</f>
        <v/>
      </c>
      <c r="Z221">
        <f>IF($A221="","",IF(AND($B221&gt;0,M221&lt;$B221,DATE($B$1,11,1)&lt;=TODAY(),OR($O221="",$O221&gt;=DATE($B$1,11,1)),OR(COUNTIF($C221:M221,"&gt;0")&gt;0,DATE($B$1,11,1)=DATE(YEAR(TODAY()),MONTH(TODAY()),1))),1,0))</f>
        <v/>
      </c>
      <c r="AA221">
        <f>IF($A221="","",IF(AND($B221&gt;0,N221&lt;$B221,DATE($B$1,12,1)&lt;=TODAY(),OR($O221="",$O221&gt;=DATE($B$1,12,1)),OR(COUNTIF($C221:N221,"&gt;0")&gt;0,DATE($B$1,12,1)=DATE(YEAR(TODAY()),MONTH(TODAY()),1))),1,0))</f>
        <v/>
      </c>
    </row>
    <row r="222">
      <c r="A222" s="13">
        <f>IF(원생!$A220="","",원생!$A220&amp;IF(원생!$G220="",""," ("&amp;원생!$G220&amp;")"))</f>
        <v/>
      </c>
      <c r="B222" s="8">
        <f>IF(원생!$A220="","",원생!$F220)</f>
        <v/>
      </c>
      <c r="C222" s="14">
        <f>IF(원생!$A220="","",SUMIFS(수납!$F:$F,수납!$C:$C,원생!$A220,수납!$D:$D,IF(원생!$G220="","",원생!$G220),수납!$B:$B,$B$1&amp;"-"&amp;TEXT(1,"00")&amp;"*",수납!$E:$E,"수강료")+SUMIFS(수납!$F:$F,수납!$C:$C,원생!$A220,수납!$D:$D,IF(원생!$G220="","",원생!$G220),수납!$B:$B,$B$1&amp;"-"&amp;TEXT(1,"00")&amp;"*",수납!$E:$E,""))</f>
        <v/>
      </c>
      <c r="D222" s="14">
        <f>IF(원생!$A220="","",SUMIFS(수납!$F:$F,수납!$C:$C,원생!$A220,수납!$D:$D,IF(원생!$G220="","",원생!$G220),수납!$B:$B,$B$1&amp;"-"&amp;TEXT(2,"00")&amp;"*",수납!$E:$E,"수강료")+SUMIFS(수납!$F:$F,수납!$C:$C,원생!$A220,수납!$D:$D,IF(원생!$G220="","",원생!$G220),수납!$B:$B,$B$1&amp;"-"&amp;TEXT(2,"00")&amp;"*",수납!$E:$E,""))</f>
        <v/>
      </c>
      <c r="E222" s="14">
        <f>IF(원생!$A220="","",SUMIFS(수납!$F:$F,수납!$C:$C,원생!$A220,수납!$D:$D,IF(원생!$G220="","",원생!$G220),수납!$B:$B,$B$1&amp;"-"&amp;TEXT(3,"00")&amp;"*",수납!$E:$E,"수강료")+SUMIFS(수납!$F:$F,수납!$C:$C,원생!$A220,수납!$D:$D,IF(원생!$G220="","",원생!$G220),수납!$B:$B,$B$1&amp;"-"&amp;TEXT(3,"00")&amp;"*",수납!$E:$E,""))</f>
        <v/>
      </c>
      <c r="F222" s="14">
        <f>IF(원생!$A220="","",SUMIFS(수납!$F:$F,수납!$C:$C,원생!$A220,수납!$D:$D,IF(원생!$G220="","",원생!$G220),수납!$B:$B,$B$1&amp;"-"&amp;TEXT(4,"00")&amp;"*",수납!$E:$E,"수강료")+SUMIFS(수납!$F:$F,수납!$C:$C,원생!$A220,수납!$D:$D,IF(원생!$G220="","",원생!$G220),수납!$B:$B,$B$1&amp;"-"&amp;TEXT(4,"00")&amp;"*",수납!$E:$E,""))</f>
        <v/>
      </c>
      <c r="G222" s="14">
        <f>IF(원생!$A220="","",SUMIFS(수납!$F:$F,수납!$C:$C,원생!$A220,수납!$D:$D,IF(원생!$G220="","",원생!$G220),수납!$B:$B,$B$1&amp;"-"&amp;TEXT(5,"00")&amp;"*",수납!$E:$E,"수강료")+SUMIFS(수납!$F:$F,수납!$C:$C,원생!$A220,수납!$D:$D,IF(원생!$G220="","",원생!$G220),수납!$B:$B,$B$1&amp;"-"&amp;TEXT(5,"00")&amp;"*",수납!$E:$E,""))</f>
        <v/>
      </c>
      <c r="H222" s="14">
        <f>IF(원생!$A220="","",SUMIFS(수납!$F:$F,수납!$C:$C,원생!$A220,수납!$D:$D,IF(원생!$G220="","",원생!$G220),수납!$B:$B,$B$1&amp;"-"&amp;TEXT(6,"00")&amp;"*",수납!$E:$E,"수강료")+SUMIFS(수납!$F:$F,수납!$C:$C,원생!$A220,수납!$D:$D,IF(원생!$G220="","",원생!$G220),수납!$B:$B,$B$1&amp;"-"&amp;TEXT(6,"00")&amp;"*",수납!$E:$E,""))</f>
        <v/>
      </c>
      <c r="I222" s="14">
        <f>IF(원생!$A220="","",SUMIFS(수납!$F:$F,수납!$C:$C,원생!$A220,수납!$D:$D,IF(원생!$G220="","",원생!$G220),수납!$B:$B,$B$1&amp;"-"&amp;TEXT(7,"00")&amp;"*",수납!$E:$E,"수강료")+SUMIFS(수납!$F:$F,수납!$C:$C,원생!$A220,수납!$D:$D,IF(원생!$G220="","",원생!$G220),수납!$B:$B,$B$1&amp;"-"&amp;TEXT(7,"00")&amp;"*",수납!$E:$E,""))</f>
        <v/>
      </c>
      <c r="J222" s="14">
        <f>IF(원생!$A220="","",SUMIFS(수납!$F:$F,수납!$C:$C,원생!$A220,수납!$D:$D,IF(원생!$G220="","",원생!$G220),수납!$B:$B,$B$1&amp;"-"&amp;TEXT(8,"00")&amp;"*",수납!$E:$E,"수강료")+SUMIFS(수납!$F:$F,수납!$C:$C,원생!$A220,수납!$D:$D,IF(원생!$G220="","",원생!$G220),수납!$B:$B,$B$1&amp;"-"&amp;TEXT(8,"00")&amp;"*",수납!$E:$E,""))</f>
        <v/>
      </c>
      <c r="K222" s="14">
        <f>IF(원생!$A220="","",SUMIFS(수납!$F:$F,수납!$C:$C,원생!$A220,수납!$D:$D,IF(원생!$G220="","",원생!$G220),수납!$B:$B,$B$1&amp;"-"&amp;TEXT(9,"00")&amp;"*",수납!$E:$E,"수강료")+SUMIFS(수납!$F:$F,수납!$C:$C,원생!$A220,수납!$D:$D,IF(원생!$G220="","",원생!$G220),수납!$B:$B,$B$1&amp;"-"&amp;TEXT(9,"00")&amp;"*",수납!$E:$E,""))</f>
        <v/>
      </c>
      <c r="L222" s="14">
        <f>IF(원생!$A220="","",SUMIFS(수납!$F:$F,수납!$C:$C,원생!$A220,수납!$D:$D,IF(원생!$G220="","",원생!$G220),수납!$B:$B,$B$1&amp;"-"&amp;TEXT(10,"00")&amp;"*",수납!$E:$E,"수강료")+SUMIFS(수납!$F:$F,수납!$C:$C,원생!$A220,수납!$D:$D,IF(원생!$G220="","",원생!$G220),수납!$B:$B,$B$1&amp;"-"&amp;TEXT(10,"00")&amp;"*",수납!$E:$E,""))</f>
        <v/>
      </c>
      <c r="M222" s="14">
        <f>IF(원생!$A220="","",SUMIFS(수납!$F:$F,수납!$C:$C,원생!$A220,수납!$D:$D,IF(원생!$G220="","",원생!$G220),수납!$B:$B,$B$1&amp;"-"&amp;TEXT(11,"00")&amp;"*",수납!$E:$E,"수강료")+SUMIFS(수납!$F:$F,수납!$C:$C,원생!$A220,수납!$D:$D,IF(원생!$G220="","",원생!$G220),수납!$B:$B,$B$1&amp;"-"&amp;TEXT(11,"00")&amp;"*",수납!$E:$E,""))</f>
        <v/>
      </c>
      <c r="N222" s="14">
        <f>IF(원생!$A220="","",SUMIFS(수납!$F:$F,수납!$C:$C,원생!$A220,수납!$D:$D,IF(원생!$G220="","",원생!$G220),수납!$B:$B,$B$1&amp;"-"&amp;TEXT(12,"00")&amp;"*",수납!$E:$E,"수강료")+SUMIFS(수납!$F:$F,수납!$C:$C,원생!$A220,수납!$D:$D,IF(원생!$G220="","",원생!$G220),수납!$B:$B,$B$1&amp;"-"&amp;TEXT(12,"00")&amp;"*",수납!$E:$E,""))</f>
        <v/>
      </c>
      <c r="O222">
        <f>IF(원생!$I220="","",원생!$I220)</f>
        <v/>
      </c>
      <c r="P222">
        <f>IF($A222="","",IF(AND($B222&gt;0,C222&lt;$B222,DATE($B$1,1,1)&lt;=TODAY(),OR($O222="",$O222&gt;=DATE($B$1,1,1)),OR(COUNTIF($C222:C222,"&gt;0")&gt;0,DATE($B$1,1,1)=DATE(YEAR(TODAY()),MONTH(TODAY()),1))),1,0))</f>
        <v/>
      </c>
      <c r="Q222">
        <f>IF($A222="","",IF(AND($B222&gt;0,D222&lt;$B222,DATE($B$1,2,1)&lt;=TODAY(),OR($O222="",$O222&gt;=DATE($B$1,2,1)),OR(COUNTIF($C222:D222,"&gt;0")&gt;0,DATE($B$1,2,1)=DATE(YEAR(TODAY()),MONTH(TODAY()),1))),1,0))</f>
        <v/>
      </c>
      <c r="R222">
        <f>IF($A222="","",IF(AND($B222&gt;0,E222&lt;$B222,DATE($B$1,3,1)&lt;=TODAY(),OR($O222="",$O222&gt;=DATE($B$1,3,1)),OR(COUNTIF($C222:E222,"&gt;0")&gt;0,DATE($B$1,3,1)=DATE(YEAR(TODAY()),MONTH(TODAY()),1))),1,0))</f>
        <v/>
      </c>
      <c r="S222">
        <f>IF($A222="","",IF(AND($B222&gt;0,F222&lt;$B222,DATE($B$1,4,1)&lt;=TODAY(),OR($O222="",$O222&gt;=DATE($B$1,4,1)),OR(COUNTIF($C222:F222,"&gt;0")&gt;0,DATE($B$1,4,1)=DATE(YEAR(TODAY()),MONTH(TODAY()),1))),1,0))</f>
        <v/>
      </c>
      <c r="T222">
        <f>IF($A222="","",IF(AND($B222&gt;0,G222&lt;$B222,DATE($B$1,5,1)&lt;=TODAY(),OR($O222="",$O222&gt;=DATE($B$1,5,1)),OR(COUNTIF($C222:G222,"&gt;0")&gt;0,DATE($B$1,5,1)=DATE(YEAR(TODAY()),MONTH(TODAY()),1))),1,0))</f>
        <v/>
      </c>
      <c r="U222">
        <f>IF($A222="","",IF(AND($B222&gt;0,H222&lt;$B222,DATE($B$1,6,1)&lt;=TODAY(),OR($O222="",$O222&gt;=DATE($B$1,6,1)),OR(COUNTIF($C222:H222,"&gt;0")&gt;0,DATE($B$1,6,1)=DATE(YEAR(TODAY()),MONTH(TODAY()),1))),1,0))</f>
        <v/>
      </c>
      <c r="V222">
        <f>IF($A222="","",IF(AND($B222&gt;0,I222&lt;$B222,DATE($B$1,7,1)&lt;=TODAY(),OR($O222="",$O222&gt;=DATE($B$1,7,1)),OR(COUNTIF($C222:I222,"&gt;0")&gt;0,DATE($B$1,7,1)=DATE(YEAR(TODAY()),MONTH(TODAY()),1))),1,0))</f>
        <v/>
      </c>
      <c r="W222">
        <f>IF($A222="","",IF(AND($B222&gt;0,J222&lt;$B222,DATE($B$1,8,1)&lt;=TODAY(),OR($O222="",$O222&gt;=DATE($B$1,8,1)),OR(COUNTIF($C222:J222,"&gt;0")&gt;0,DATE($B$1,8,1)=DATE(YEAR(TODAY()),MONTH(TODAY()),1))),1,0))</f>
        <v/>
      </c>
      <c r="X222">
        <f>IF($A222="","",IF(AND($B222&gt;0,K222&lt;$B222,DATE($B$1,9,1)&lt;=TODAY(),OR($O222="",$O222&gt;=DATE($B$1,9,1)),OR(COUNTIF($C222:K222,"&gt;0")&gt;0,DATE($B$1,9,1)=DATE(YEAR(TODAY()),MONTH(TODAY()),1))),1,0))</f>
        <v/>
      </c>
      <c r="Y222">
        <f>IF($A222="","",IF(AND($B222&gt;0,L222&lt;$B222,DATE($B$1,10,1)&lt;=TODAY(),OR($O222="",$O222&gt;=DATE($B$1,10,1)),OR(COUNTIF($C222:L222,"&gt;0")&gt;0,DATE($B$1,10,1)=DATE(YEAR(TODAY()),MONTH(TODAY()),1))),1,0))</f>
        <v/>
      </c>
      <c r="Z222">
        <f>IF($A222="","",IF(AND($B222&gt;0,M222&lt;$B222,DATE($B$1,11,1)&lt;=TODAY(),OR($O222="",$O222&gt;=DATE($B$1,11,1)),OR(COUNTIF($C222:M222,"&gt;0")&gt;0,DATE($B$1,11,1)=DATE(YEAR(TODAY()),MONTH(TODAY()),1))),1,0))</f>
        <v/>
      </c>
      <c r="AA222">
        <f>IF($A222="","",IF(AND($B222&gt;0,N222&lt;$B222,DATE($B$1,12,1)&lt;=TODAY(),OR($O222="",$O222&gt;=DATE($B$1,12,1)),OR(COUNTIF($C222:N222,"&gt;0")&gt;0,DATE($B$1,12,1)=DATE(YEAR(TODAY()),MONTH(TODAY()),1))),1,0))</f>
        <v/>
      </c>
    </row>
    <row r="223">
      <c r="A223" s="13">
        <f>IF(원생!$A221="","",원생!$A221&amp;IF(원생!$G221="",""," ("&amp;원생!$G221&amp;")"))</f>
        <v/>
      </c>
      <c r="B223" s="8">
        <f>IF(원생!$A221="","",원생!$F221)</f>
        <v/>
      </c>
      <c r="C223" s="14">
        <f>IF(원생!$A221="","",SUMIFS(수납!$F:$F,수납!$C:$C,원생!$A221,수납!$D:$D,IF(원생!$G221="","",원생!$G221),수납!$B:$B,$B$1&amp;"-"&amp;TEXT(1,"00")&amp;"*",수납!$E:$E,"수강료")+SUMIFS(수납!$F:$F,수납!$C:$C,원생!$A221,수납!$D:$D,IF(원생!$G221="","",원생!$G221),수납!$B:$B,$B$1&amp;"-"&amp;TEXT(1,"00")&amp;"*",수납!$E:$E,""))</f>
        <v/>
      </c>
      <c r="D223" s="14">
        <f>IF(원생!$A221="","",SUMIFS(수납!$F:$F,수납!$C:$C,원생!$A221,수납!$D:$D,IF(원생!$G221="","",원생!$G221),수납!$B:$B,$B$1&amp;"-"&amp;TEXT(2,"00")&amp;"*",수납!$E:$E,"수강료")+SUMIFS(수납!$F:$F,수납!$C:$C,원생!$A221,수납!$D:$D,IF(원생!$G221="","",원생!$G221),수납!$B:$B,$B$1&amp;"-"&amp;TEXT(2,"00")&amp;"*",수납!$E:$E,""))</f>
        <v/>
      </c>
      <c r="E223" s="14">
        <f>IF(원생!$A221="","",SUMIFS(수납!$F:$F,수납!$C:$C,원생!$A221,수납!$D:$D,IF(원생!$G221="","",원생!$G221),수납!$B:$B,$B$1&amp;"-"&amp;TEXT(3,"00")&amp;"*",수납!$E:$E,"수강료")+SUMIFS(수납!$F:$F,수납!$C:$C,원생!$A221,수납!$D:$D,IF(원생!$G221="","",원생!$G221),수납!$B:$B,$B$1&amp;"-"&amp;TEXT(3,"00")&amp;"*",수납!$E:$E,""))</f>
        <v/>
      </c>
      <c r="F223" s="14">
        <f>IF(원생!$A221="","",SUMIFS(수납!$F:$F,수납!$C:$C,원생!$A221,수납!$D:$D,IF(원생!$G221="","",원생!$G221),수납!$B:$B,$B$1&amp;"-"&amp;TEXT(4,"00")&amp;"*",수납!$E:$E,"수강료")+SUMIFS(수납!$F:$F,수납!$C:$C,원생!$A221,수납!$D:$D,IF(원생!$G221="","",원생!$G221),수납!$B:$B,$B$1&amp;"-"&amp;TEXT(4,"00")&amp;"*",수납!$E:$E,""))</f>
        <v/>
      </c>
      <c r="G223" s="14">
        <f>IF(원생!$A221="","",SUMIFS(수납!$F:$F,수납!$C:$C,원생!$A221,수납!$D:$D,IF(원생!$G221="","",원생!$G221),수납!$B:$B,$B$1&amp;"-"&amp;TEXT(5,"00")&amp;"*",수납!$E:$E,"수강료")+SUMIFS(수납!$F:$F,수납!$C:$C,원생!$A221,수납!$D:$D,IF(원생!$G221="","",원생!$G221),수납!$B:$B,$B$1&amp;"-"&amp;TEXT(5,"00")&amp;"*",수납!$E:$E,""))</f>
        <v/>
      </c>
      <c r="H223" s="14">
        <f>IF(원생!$A221="","",SUMIFS(수납!$F:$F,수납!$C:$C,원생!$A221,수납!$D:$D,IF(원생!$G221="","",원생!$G221),수납!$B:$B,$B$1&amp;"-"&amp;TEXT(6,"00")&amp;"*",수납!$E:$E,"수강료")+SUMIFS(수납!$F:$F,수납!$C:$C,원생!$A221,수납!$D:$D,IF(원생!$G221="","",원생!$G221),수납!$B:$B,$B$1&amp;"-"&amp;TEXT(6,"00")&amp;"*",수납!$E:$E,""))</f>
        <v/>
      </c>
      <c r="I223" s="14">
        <f>IF(원생!$A221="","",SUMIFS(수납!$F:$F,수납!$C:$C,원생!$A221,수납!$D:$D,IF(원생!$G221="","",원생!$G221),수납!$B:$B,$B$1&amp;"-"&amp;TEXT(7,"00")&amp;"*",수납!$E:$E,"수강료")+SUMIFS(수납!$F:$F,수납!$C:$C,원생!$A221,수납!$D:$D,IF(원생!$G221="","",원생!$G221),수납!$B:$B,$B$1&amp;"-"&amp;TEXT(7,"00")&amp;"*",수납!$E:$E,""))</f>
        <v/>
      </c>
      <c r="J223" s="14">
        <f>IF(원생!$A221="","",SUMIFS(수납!$F:$F,수납!$C:$C,원생!$A221,수납!$D:$D,IF(원생!$G221="","",원생!$G221),수납!$B:$B,$B$1&amp;"-"&amp;TEXT(8,"00")&amp;"*",수납!$E:$E,"수강료")+SUMIFS(수납!$F:$F,수납!$C:$C,원생!$A221,수납!$D:$D,IF(원생!$G221="","",원생!$G221),수납!$B:$B,$B$1&amp;"-"&amp;TEXT(8,"00")&amp;"*",수납!$E:$E,""))</f>
        <v/>
      </c>
      <c r="K223" s="14">
        <f>IF(원생!$A221="","",SUMIFS(수납!$F:$F,수납!$C:$C,원생!$A221,수납!$D:$D,IF(원생!$G221="","",원생!$G221),수납!$B:$B,$B$1&amp;"-"&amp;TEXT(9,"00")&amp;"*",수납!$E:$E,"수강료")+SUMIFS(수납!$F:$F,수납!$C:$C,원생!$A221,수납!$D:$D,IF(원생!$G221="","",원생!$G221),수납!$B:$B,$B$1&amp;"-"&amp;TEXT(9,"00")&amp;"*",수납!$E:$E,""))</f>
        <v/>
      </c>
      <c r="L223" s="14">
        <f>IF(원생!$A221="","",SUMIFS(수납!$F:$F,수납!$C:$C,원생!$A221,수납!$D:$D,IF(원생!$G221="","",원생!$G221),수납!$B:$B,$B$1&amp;"-"&amp;TEXT(10,"00")&amp;"*",수납!$E:$E,"수강료")+SUMIFS(수납!$F:$F,수납!$C:$C,원생!$A221,수납!$D:$D,IF(원생!$G221="","",원생!$G221),수납!$B:$B,$B$1&amp;"-"&amp;TEXT(10,"00")&amp;"*",수납!$E:$E,""))</f>
        <v/>
      </c>
      <c r="M223" s="14">
        <f>IF(원생!$A221="","",SUMIFS(수납!$F:$F,수납!$C:$C,원생!$A221,수납!$D:$D,IF(원생!$G221="","",원생!$G221),수납!$B:$B,$B$1&amp;"-"&amp;TEXT(11,"00")&amp;"*",수납!$E:$E,"수강료")+SUMIFS(수납!$F:$F,수납!$C:$C,원생!$A221,수납!$D:$D,IF(원생!$G221="","",원생!$G221),수납!$B:$B,$B$1&amp;"-"&amp;TEXT(11,"00")&amp;"*",수납!$E:$E,""))</f>
        <v/>
      </c>
      <c r="N223" s="14">
        <f>IF(원생!$A221="","",SUMIFS(수납!$F:$F,수납!$C:$C,원생!$A221,수납!$D:$D,IF(원생!$G221="","",원생!$G221),수납!$B:$B,$B$1&amp;"-"&amp;TEXT(12,"00")&amp;"*",수납!$E:$E,"수강료")+SUMIFS(수납!$F:$F,수납!$C:$C,원생!$A221,수납!$D:$D,IF(원생!$G221="","",원생!$G221),수납!$B:$B,$B$1&amp;"-"&amp;TEXT(12,"00")&amp;"*",수납!$E:$E,""))</f>
        <v/>
      </c>
      <c r="O223">
        <f>IF(원생!$I221="","",원생!$I221)</f>
        <v/>
      </c>
      <c r="P223">
        <f>IF($A223="","",IF(AND($B223&gt;0,C223&lt;$B223,DATE($B$1,1,1)&lt;=TODAY(),OR($O223="",$O223&gt;=DATE($B$1,1,1)),OR(COUNTIF($C223:C223,"&gt;0")&gt;0,DATE($B$1,1,1)=DATE(YEAR(TODAY()),MONTH(TODAY()),1))),1,0))</f>
        <v/>
      </c>
      <c r="Q223">
        <f>IF($A223="","",IF(AND($B223&gt;0,D223&lt;$B223,DATE($B$1,2,1)&lt;=TODAY(),OR($O223="",$O223&gt;=DATE($B$1,2,1)),OR(COUNTIF($C223:D223,"&gt;0")&gt;0,DATE($B$1,2,1)=DATE(YEAR(TODAY()),MONTH(TODAY()),1))),1,0))</f>
        <v/>
      </c>
      <c r="R223">
        <f>IF($A223="","",IF(AND($B223&gt;0,E223&lt;$B223,DATE($B$1,3,1)&lt;=TODAY(),OR($O223="",$O223&gt;=DATE($B$1,3,1)),OR(COUNTIF($C223:E223,"&gt;0")&gt;0,DATE($B$1,3,1)=DATE(YEAR(TODAY()),MONTH(TODAY()),1))),1,0))</f>
        <v/>
      </c>
      <c r="S223">
        <f>IF($A223="","",IF(AND($B223&gt;0,F223&lt;$B223,DATE($B$1,4,1)&lt;=TODAY(),OR($O223="",$O223&gt;=DATE($B$1,4,1)),OR(COUNTIF($C223:F223,"&gt;0")&gt;0,DATE($B$1,4,1)=DATE(YEAR(TODAY()),MONTH(TODAY()),1))),1,0))</f>
        <v/>
      </c>
      <c r="T223">
        <f>IF($A223="","",IF(AND($B223&gt;0,G223&lt;$B223,DATE($B$1,5,1)&lt;=TODAY(),OR($O223="",$O223&gt;=DATE($B$1,5,1)),OR(COUNTIF($C223:G223,"&gt;0")&gt;0,DATE($B$1,5,1)=DATE(YEAR(TODAY()),MONTH(TODAY()),1))),1,0))</f>
        <v/>
      </c>
      <c r="U223">
        <f>IF($A223="","",IF(AND($B223&gt;0,H223&lt;$B223,DATE($B$1,6,1)&lt;=TODAY(),OR($O223="",$O223&gt;=DATE($B$1,6,1)),OR(COUNTIF($C223:H223,"&gt;0")&gt;0,DATE($B$1,6,1)=DATE(YEAR(TODAY()),MONTH(TODAY()),1))),1,0))</f>
        <v/>
      </c>
      <c r="V223">
        <f>IF($A223="","",IF(AND($B223&gt;0,I223&lt;$B223,DATE($B$1,7,1)&lt;=TODAY(),OR($O223="",$O223&gt;=DATE($B$1,7,1)),OR(COUNTIF($C223:I223,"&gt;0")&gt;0,DATE($B$1,7,1)=DATE(YEAR(TODAY()),MONTH(TODAY()),1))),1,0))</f>
        <v/>
      </c>
      <c r="W223">
        <f>IF($A223="","",IF(AND($B223&gt;0,J223&lt;$B223,DATE($B$1,8,1)&lt;=TODAY(),OR($O223="",$O223&gt;=DATE($B$1,8,1)),OR(COUNTIF($C223:J223,"&gt;0")&gt;0,DATE($B$1,8,1)=DATE(YEAR(TODAY()),MONTH(TODAY()),1))),1,0))</f>
        <v/>
      </c>
      <c r="X223">
        <f>IF($A223="","",IF(AND($B223&gt;0,K223&lt;$B223,DATE($B$1,9,1)&lt;=TODAY(),OR($O223="",$O223&gt;=DATE($B$1,9,1)),OR(COUNTIF($C223:K223,"&gt;0")&gt;0,DATE($B$1,9,1)=DATE(YEAR(TODAY()),MONTH(TODAY()),1))),1,0))</f>
        <v/>
      </c>
      <c r="Y223">
        <f>IF($A223="","",IF(AND($B223&gt;0,L223&lt;$B223,DATE($B$1,10,1)&lt;=TODAY(),OR($O223="",$O223&gt;=DATE($B$1,10,1)),OR(COUNTIF($C223:L223,"&gt;0")&gt;0,DATE($B$1,10,1)=DATE(YEAR(TODAY()),MONTH(TODAY()),1))),1,0))</f>
        <v/>
      </c>
      <c r="Z223">
        <f>IF($A223="","",IF(AND($B223&gt;0,M223&lt;$B223,DATE($B$1,11,1)&lt;=TODAY(),OR($O223="",$O223&gt;=DATE($B$1,11,1)),OR(COUNTIF($C223:M223,"&gt;0")&gt;0,DATE($B$1,11,1)=DATE(YEAR(TODAY()),MONTH(TODAY()),1))),1,0))</f>
        <v/>
      </c>
      <c r="AA223">
        <f>IF($A223="","",IF(AND($B223&gt;0,N223&lt;$B223,DATE($B$1,12,1)&lt;=TODAY(),OR($O223="",$O223&gt;=DATE($B$1,12,1)),OR(COUNTIF($C223:N223,"&gt;0")&gt;0,DATE($B$1,12,1)=DATE(YEAR(TODAY()),MONTH(TODAY()),1))),1,0))</f>
        <v/>
      </c>
    </row>
    <row r="224">
      <c r="A224" s="13">
        <f>IF(원생!$A222="","",원생!$A222&amp;IF(원생!$G222="",""," ("&amp;원생!$G222&amp;")"))</f>
        <v/>
      </c>
      <c r="B224" s="8">
        <f>IF(원생!$A222="","",원생!$F222)</f>
        <v/>
      </c>
      <c r="C224" s="14">
        <f>IF(원생!$A222="","",SUMIFS(수납!$F:$F,수납!$C:$C,원생!$A222,수납!$D:$D,IF(원생!$G222="","",원생!$G222),수납!$B:$B,$B$1&amp;"-"&amp;TEXT(1,"00")&amp;"*",수납!$E:$E,"수강료")+SUMIFS(수납!$F:$F,수납!$C:$C,원생!$A222,수납!$D:$D,IF(원생!$G222="","",원생!$G222),수납!$B:$B,$B$1&amp;"-"&amp;TEXT(1,"00")&amp;"*",수납!$E:$E,""))</f>
        <v/>
      </c>
      <c r="D224" s="14">
        <f>IF(원생!$A222="","",SUMIFS(수납!$F:$F,수납!$C:$C,원생!$A222,수납!$D:$D,IF(원생!$G222="","",원생!$G222),수납!$B:$B,$B$1&amp;"-"&amp;TEXT(2,"00")&amp;"*",수납!$E:$E,"수강료")+SUMIFS(수납!$F:$F,수납!$C:$C,원생!$A222,수납!$D:$D,IF(원생!$G222="","",원생!$G222),수납!$B:$B,$B$1&amp;"-"&amp;TEXT(2,"00")&amp;"*",수납!$E:$E,""))</f>
        <v/>
      </c>
      <c r="E224" s="14">
        <f>IF(원생!$A222="","",SUMIFS(수납!$F:$F,수납!$C:$C,원생!$A222,수납!$D:$D,IF(원생!$G222="","",원생!$G222),수납!$B:$B,$B$1&amp;"-"&amp;TEXT(3,"00")&amp;"*",수납!$E:$E,"수강료")+SUMIFS(수납!$F:$F,수납!$C:$C,원생!$A222,수납!$D:$D,IF(원생!$G222="","",원생!$G222),수납!$B:$B,$B$1&amp;"-"&amp;TEXT(3,"00")&amp;"*",수납!$E:$E,""))</f>
        <v/>
      </c>
      <c r="F224" s="14">
        <f>IF(원생!$A222="","",SUMIFS(수납!$F:$F,수납!$C:$C,원생!$A222,수납!$D:$D,IF(원생!$G222="","",원생!$G222),수납!$B:$B,$B$1&amp;"-"&amp;TEXT(4,"00")&amp;"*",수납!$E:$E,"수강료")+SUMIFS(수납!$F:$F,수납!$C:$C,원생!$A222,수납!$D:$D,IF(원생!$G222="","",원생!$G222),수납!$B:$B,$B$1&amp;"-"&amp;TEXT(4,"00")&amp;"*",수납!$E:$E,""))</f>
        <v/>
      </c>
      <c r="G224" s="14">
        <f>IF(원생!$A222="","",SUMIFS(수납!$F:$F,수납!$C:$C,원생!$A222,수납!$D:$D,IF(원생!$G222="","",원생!$G222),수납!$B:$B,$B$1&amp;"-"&amp;TEXT(5,"00")&amp;"*",수납!$E:$E,"수강료")+SUMIFS(수납!$F:$F,수납!$C:$C,원생!$A222,수납!$D:$D,IF(원생!$G222="","",원생!$G222),수납!$B:$B,$B$1&amp;"-"&amp;TEXT(5,"00")&amp;"*",수납!$E:$E,""))</f>
        <v/>
      </c>
      <c r="H224" s="14">
        <f>IF(원생!$A222="","",SUMIFS(수납!$F:$F,수납!$C:$C,원생!$A222,수납!$D:$D,IF(원생!$G222="","",원생!$G222),수납!$B:$B,$B$1&amp;"-"&amp;TEXT(6,"00")&amp;"*",수납!$E:$E,"수강료")+SUMIFS(수납!$F:$F,수납!$C:$C,원생!$A222,수납!$D:$D,IF(원생!$G222="","",원생!$G222),수납!$B:$B,$B$1&amp;"-"&amp;TEXT(6,"00")&amp;"*",수납!$E:$E,""))</f>
        <v/>
      </c>
      <c r="I224" s="14">
        <f>IF(원생!$A222="","",SUMIFS(수납!$F:$F,수납!$C:$C,원생!$A222,수납!$D:$D,IF(원생!$G222="","",원생!$G222),수납!$B:$B,$B$1&amp;"-"&amp;TEXT(7,"00")&amp;"*",수납!$E:$E,"수강료")+SUMIFS(수납!$F:$F,수납!$C:$C,원생!$A222,수납!$D:$D,IF(원생!$G222="","",원생!$G222),수납!$B:$B,$B$1&amp;"-"&amp;TEXT(7,"00")&amp;"*",수납!$E:$E,""))</f>
        <v/>
      </c>
      <c r="J224" s="14">
        <f>IF(원생!$A222="","",SUMIFS(수납!$F:$F,수납!$C:$C,원생!$A222,수납!$D:$D,IF(원생!$G222="","",원생!$G222),수납!$B:$B,$B$1&amp;"-"&amp;TEXT(8,"00")&amp;"*",수납!$E:$E,"수강료")+SUMIFS(수납!$F:$F,수납!$C:$C,원생!$A222,수납!$D:$D,IF(원생!$G222="","",원생!$G222),수납!$B:$B,$B$1&amp;"-"&amp;TEXT(8,"00")&amp;"*",수납!$E:$E,""))</f>
        <v/>
      </c>
      <c r="K224" s="14">
        <f>IF(원생!$A222="","",SUMIFS(수납!$F:$F,수납!$C:$C,원생!$A222,수납!$D:$D,IF(원생!$G222="","",원생!$G222),수납!$B:$B,$B$1&amp;"-"&amp;TEXT(9,"00")&amp;"*",수납!$E:$E,"수강료")+SUMIFS(수납!$F:$F,수납!$C:$C,원생!$A222,수납!$D:$D,IF(원생!$G222="","",원생!$G222),수납!$B:$B,$B$1&amp;"-"&amp;TEXT(9,"00")&amp;"*",수납!$E:$E,""))</f>
        <v/>
      </c>
      <c r="L224" s="14">
        <f>IF(원생!$A222="","",SUMIFS(수납!$F:$F,수납!$C:$C,원생!$A222,수납!$D:$D,IF(원생!$G222="","",원생!$G222),수납!$B:$B,$B$1&amp;"-"&amp;TEXT(10,"00")&amp;"*",수납!$E:$E,"수강료")+SUMIFS(수납!$F:$F,수납!$C:$C,원생!$A222,수납!$D:$D,IF(원생!$G222="","",원생!$G222),수납!$B:$B,$B$1&amp;"-"&amp;TEXT(10,"00")&amp;"*",수납!$E:$E,""))</f>
        <v/>
      </c>
      <c r="M224" s="14">
        <f>IF(원생!$A222="","",SUMIFS(수납!$F:$F,수납!$C:$C,원생!$A222,수납!$D:$D,IF(원생!$G222="","",원생!$G222),수납!$B:$B,$B$1&amp;"-"&amp;TEXT(11,"00")&amp;"*",수납!$E:$E,"수강료")+SUMIFS(수납!$F:$F,수납!$C:$C,원생!$A222,수납!$D:$D,IF(원생!$G222="","",원생!$G222),수납!$B:$B,$B$1&amp;"-"&amp;TEXT(11,"00")&amp;"*",수납!$E:$E,""))</f>
        <v/>
      </c>
      <c r="N224" s="14">
        <f>IF(원생!$A222="","",SUMIFS(수납!$F:$F,수납!$C:$C,원생!$A222,수납!$D:$D,IF(원생!$G222="","",원생!$G222),수납!$B:$B,$B$1&amp;"-"&amp;TEXT(12,"00")&amp;"*",수납!$E:$E,"수강료")+SUMIFS(수납!$F:$F,수납!$C:$C,원생!$A222,수납!$D:$D,IF(원생!$G222="","",원생!$G222),수납!$B:$B,$B$1&amp;"-"&amp;TEXT(12,"00")&amp;"*",수납!$E:$E,""))</f>
        <v/>
      </c>
      <c r="O224">
        <f>IF(원생!$I222="","",원생!$I222)</f>
        <v/>
      </c>
      <c r="P224">
        <f>IF($A224="","",IF(AND($B224&gt;0,C224&lt;$B224,DATE($B$1,1,1)&lt;=TODAY(),OR($O224="",$O224&gt;=DATE($B$1,1,1)),OR(COUNTIF($C224:C224,"&gt;0")&gt;0,DATE($B$1,1,1)=DATE(YEAR(TODAY()),MONTH(TODAY()),1))),1,0))</f>
        <v/>
      </c>
      <c r="Q224">
        <f>IF($A224="","",IF(AND($B224&gt;0,D224&lt;$B224,DATE($B$1,2,1)&lt;=TODAY(),OR($O224="",$O224&gt;=DATE($B$1,2,1)),OR(COUNTIF($C224:D224,"&gt;0")&gt;0,DATE($B$1,2,1)=DATE(YEAR(TODAY()),MONTH(TODAY()),1))),1,0))</f>
        <v/>
      </c>
      <c r="R224">
        <f>IF($A224="","",IF(AND($B224&gt;0,E224&lt;$B224,DATE($B$1,3,1)&lt;=TODAY(),OR($O224="",$O224&gt;=DATE($B$1,3,1)),OR(COUNTIF($C224:E224,"&gt;0")&gt;0,DATE($B$1,3,1)=DATE(YEAR(TODAY()),MONTH(TODAY()),1))),1,0))</f>
        <v/>
      </c>
      <c r="S224">
        <f>IF($A224="","",IF(AND($B224&gt;0,F224&lt;$B224,DATE($B$1,4,1)&lt;=TODAY(),OR($O224="",$O224&gt;=DATE($B$1,4,1)),OR(COUNTIF($C224:F224,"&gt;0")&gt;0,DATE($B$1,4,1)=DATE(YEAR(TODAY()),MONTH(TODAY()),1))),1,0))</f>
        <v/>
      </c>
      <c r="T224">
        <f>IF($A224="","",IF(AND($B224&gt;0,G224&lt;$B224,DATE($B$1,5,1)&lt;=TODAY(),OR($O224="",$O224&gt;=DATE($B$1,5,1)),OR(COUNTIF($C224:G224,"&gt;0")&gt;0,DATE($B$1,5,1)=DATE(YEAR(TODAY()),MONTH(TODAY()),1))),1,0))</f>
        <v/>
      </c>
      <c r="U224">
        <f>IF($A224="","",IF(AND($B224&gt;0,H224&lt;$B224,DATE($B$1,6,1)&lt;=TODAY(),OR($O224="",$O224&gt;=DATE($B$1,6,1)),OR(COUNTIF($C224:H224,"&gt;0")&gt;0,DATE($B$1,6,1)=DATE(YEAR(TODAY()),MONTH(TODAY()),1))),1,0))</f>
        <v/>
      </c>
      <c r="V224">
        <f>IF($A224="","",IF(AND($B224&gt;0,I224&lt;$B224,DATE($B$1,7,1)&lt;=TODAY(),OR($O224="",$O224&gt;=DATE($B$1,7,1)),OR(COUNTIF($C224:I224,"&gt;0")&gt;0,DATE($B$1,7,1)=DATE(YEAR(TODAY()),MONTH(TODAY()),1))),1,0))</f>
        <v/>
      </c>
      <c r="W224">
        <f>IF($A224="","",IF(AND($B224&gt;0,J224&lt;$B224,DATE($B$1,8,1)&lt;=TODAY(),OR($O224="",$O224&gt;=DATE($B$1,8,1)),OR(COUNTIF($C224:J224,"&gt;0")&gt;0,DATE($B$1,8,1)=DATE(YEAR(TODAY()),MONTH(TODAY()),1))),1,0))</f>
        <v/>
      </c>
      <c r="X224">
        <f>IF($A224="","",IF(AND($B224&gt;0,K224&lt;$B224,DATE($B$1,9,1)&lt;=TODAY(),OR($O224="",$O224&gt;=DATE($B$1,9,1)),OR(COUNTIF($C224:K224,"&gt;0")&gt;0,DATE($B$1,9,1)=DATE(YEAR(TODAY()),MONTH(TODAY()),1))),1,0))</f>
        <v/>
      </c>
      <c r="Y224">
        <f>IF($A224="","",IF(AND($B224&gt;0,L224&lt;$B224,DATE($B$1,10,1)&lt;=TODAY(),OR($O224="",$O224&gt;=DATE($B$1,10,1)),OR(COUNTIF($C224:L224,"&gt;0")&gt;0,DATE($B$1,10,1)=DATE(YEAR(TODAY()),MONTH(TODAY()),1))),1,0))</f>
        <v/>
      </c>
      <c r="Z224">
        <f>IF($A224="","",IF(AND($B224&gt;0,M224&lt;$B224,DATE($B$1,11,1)&lt;=TODAY(),OR($O224="",$O224&gt;=DATE($B$1,11,1)),OR(COUNTIF($C224:M224,"&gt;0")&gt;0,DATE($B$1,11,1)=DATE(YEAR(TODAY()),MONTH(TODAY()),1))),1,0))</f>
        <v/>
      </c>
      <c r="AA224">
        <f>IF($A224="","",IF(AND($B224&gt;0,N224&lt;$B224,DATE($B$1,12,1)&lt;=TODAY(),OR($O224="",$O224&gt;=DATE($B$1,12,1)),OR(COUNTIF($C224:N224,"&gt;0")&gt;0,DATE($B$1,12,1)=DATE(YEAR(TODAY()),MONTH(TODAY()),1))),1,0))</f>
        <v/>
      </c>
    </row>
    <row r="225">
      <c r="A225" s="13">
        <f>IF(원생!$A223="","",원생!$A223&amp;IF(원생!$G223="",""," ("&amp;원생!$G223&amp;")"))</f>
        <v/>
      </c>
      <c r="B225" s="8">
        <f>IF(원생!$A223="","",원생!$F223)</f>
        <v/>
      </c>
      <c r="C225" s="14">
        <f>IF(원생!$A223="","",SUMIFS(수납!$F:$F,수납!$C:$C,원생!$A223,수납!$D:$D,IF(원생!$G223="","",원생!$G223),수납!$B:$B,$B$1&amp;"-"&amp;TEXT(1,"00")&amp;"*",수납!$E:$E,"수강료")+SUMIFS(수납!$F:$F,수납!$C:$C,원생!$A223,수납!$D:$D,IF(원생!$G223="","",원생!$G223),수납!$B:$B,$B$1&amp;"-"&amp;TEXT(1,"00")&amp;"*",수납!$E:$E,""))</f>
        <v/>
      </c>
      <c r="D225" s="14">
        <f>IF(원생!$A223="","",SUMIFS(수납!$F:$F,수납!$C:$C,원생!$A223,수납!$D:$D,IF(원생!$G223="","",원생!$G223),수납!$B:$B,$B$1&amp;"-"&amp;TEXT(2,"00")&amp;"*",수납!$E:$E,"수강료")+SUMIFS(수납!$F:$F,수납!$C:$C,원생!$A223,수납!$D:$D,IF(원생!$G223="","",원생!$G223),수납!$B:$B,$B$1&amp;"-"&amp;TEXT(2,"00")&amp;"*",수납!$E:$E,""))</f>
        <v/>
      </c>
      <c r="E225" s="14">
        <f>IF(원생!$A223="","",SUMIFS(수납!$F:$F,수납!$C:$C,원생!$A223,수납!$D:$D,IF(원생!$G223="","",원생!$G223),수납!$B:$B,$B$1&amp;"-"&amp;TEXT(3,"00")&amp;"*",수납!$E:$E,"수강료")+SUMIFS(수납!$F:$F,수납!$C:$C,원생!$A223,수납!$D:$D,IF(원생!$G223="","",원생!$G223),수납!$B:$B,$B$1&amp;"-"&amp;TEXT(3,"00")&amp;"*",수납!$E:$E,""))</f>
        <v/>
      </c>
      <c r="F225" s="14">
        <f>IF(원생!$A223="","",SUMIFS(수납!$F:$F,수납!$C:$C,원생!$A223,수납!$D:$D,IF(원생!$G223="","",원생!$G223),수납!$B:$B,$B$1&amp;"-"&amp;TEXT(4,"00")&amp;"*",수납!$E:$E,"수강료")+SUMIFS(수납!$F:$F,수납!$C:$C,원생!$A223,수납!$D:$D,IF(원생!$G223="","",원생!$G223),수납!$B:$B,$B$1&amp;"-"&amp;TEXT(4,"00")&amp;"*",수납!$E:$E,""))</f>
        <v/>
      </c>
      <c r="G225" s="14">
        <f>IF(원생!$A223="","",SUMIFS(수납!$F:$F,수납!$C:$C,원생!$A223,수납!$D:$D,IF(원생!$G223="","",원생!$G223),수납!$B:$B,$B$1&amp;"-"&amp;TEXT(5,"00")&amp;"*",수납!$E:$E,"수강료")+SUMIFS(수납!$F:$F,수납!$C:$C,원생!$A223,수납!$D:$D,IF(원생!$G223="","",원생!$G223),수납!$B:$B,$B$1&amp;"-"&amp;TEXT(5,"00")&amp;"*",수납!$E:$E,""))</f>
        <v/>
      </c>
      <c r="H225" s="14">
        <f>IF(원생!$A223="","",SUMIFS(수납!$F:$F,수납!$C:$C,원생!$A223,수납!$D:$D,IF(원생!$G223="","",원생!$G223),수납!$B:$B,$B$1&amp;"-"&amp;TEXT(6,"00")&amp;"*",수납!$E:$E,"수강료")+SUMIFS(수납!$F:$F,수납!$C:$C,원생!$A223,수납!$D:$D,IF(원생!$G223="","",원생!$G223),수납!$B:$B,$B$1&amp;"-"&amp;TEXT(6,"00")&amp;"*",수납!$E:$E,""))</f>
        <v/>
      </c>
      <c r="I225" s="14">
        <f>IF(원생!$A223="","",SUMIFS(수납!$F:$F,수납!$C:$C,원생!$A223,수납!$D:$D,IF(원생!$G223="","",원생!$G223),수납!$B:$B,$B$1&amp;"-"&amp;TEXT(7,"00")&amp;"*",수납!$E:$E,"수강료")+SUMIFS(수납!$F:$F,수납!$C:$C,원생!$A223,수납!$D:$D,IF(원생!$G223="","",원생!$G223),수납!$B:$B,$B$1&amp;"-"&amp;TEXT(7,"00")&amp;"*",수납!$E:$E,""))</f>
        <v/>
      </c>
      <c r="J225" s="14">
        <f>IF(원생!$A223="","",SUMIFS(수납!$F:$F,수납!$C:$C,원생!$A223,수납!$D:$D,IF(원생!$G223="","",원생!$G223),수납!$B:$B,$B$1&amp;"-"&amp;TEXT(8,"00")&amp;"*",수납!$E:$E,"수강료")+SUMIFS(수납!$F:$F,수납!$C:$C,원생!$A223,수납!$D:$D,IF(원생!$G223="","",원생!$G223),수납!$B:$B,$B$1&amp;"-"&amp;TEXT(8,"00")&amp;"*",수납!$E:$E,""))</f>
        <v/>
      </c>
      <c r="K225" s="14">
        <f>IF(원생!$A223="","",SUMIFS(수납!$F:$F,수납!$C:$C,원생!$A223,수납!$D:$D,IF(원생!$G223="","",원생!$G223),수납!$B:$B,$B$1&amp;"-"&amp;TEXT(9,"00")&amp;"*",수납!$E:$E,"수강료")+SUMIFS(수납!$F:$F,수납!$C:$C,원생!$A223,수납!$D:$D,IF(원생!$G223="","",원생!$G223),수납!$B:$B,$B$1&amp;"-"&amp;TEXT(9,"00")&amp;"*",수납!$E:$E,""))</f>
        <v/>
      </c>
      <c r="L225" s="14">
        <f>IF(원생!$A223="","",SUMIFS(수납!$F:$F,수납!$C:$C,원생!$A223,수납!$D:$D,IF(원생!$G223="","",원생!$G223),수납!$B:$B,$B$1&amp;"-"&amp;TEXT(10,"00")&amp;"*",수납!$E:$E,"수강료")+SUMIFS(수납!$F:$F,수납!$C:$C,원생!$A223,수납!$D:$D,IF(원생!$G223="","",원생!$G223),수납!$B:$B,$B$1&amp;"-"&amp;TEXT(10,"00")&amp;"*",수납!$E:$E,""))</f>
        <v/>
      </c>
      <c r="M225" s="14">
        <f>IF(원생!$A223="","",SUMIFS(수납!$F:$F,수납!$C:$C,원생!$A223,수납!$D:$D,IF(원생!$G223="","",원생!$G223),수납!$B:$B,$B$1&amp;"-"&amp;TEXT(11,"00")&amp;"*",수납!$E:$E,"수강료")+SUMIFS(수납!$F:$F,수납!$C:$C,원생!$A223,수납!$D:$D,IF(원생!$G223="","",원생!$G223),수납!$B:$B,$B$1&amp;"-"&amp;TEXT(11,"00")&amp;"*",수납!$E:$E,""))</f>
        <v/>
      </c>
      <c r="N225" s="14">
        <f>IF(원생!$A223="","",SUMIFS(수납!$F:$F,수납!$C:$C,원생!$A223,수납!$D:$D,IF(원생!$G223="","",원생!$G223),수납!$B:$B,$B$1&amp;"-"&amp;TEXT(12,"00")&amp;"*",수납!$E:$E,"수강료")+SUMIFS(수납!$F:$F,수납!$C:$C,원생!$A223,수납!$D:$D,IF(원생!$G223="","",원생!$G223),수납!$B:$B,$B$1&amp;"-"&amp;TEXT(12,"00")&amp;"*",수납!$E:$E,""))</f>
        <v/>
      </c>
      <c r="O225">
        <f>IF(원생!$I223="","",원생!$I223)</f>
        <v/>
      </c>
      <c r="P225">
        <f>IF($A225="","",IF(AND($B225&gt;0,C225&lt;$B225,DATE($B$1,1,1)&lt;=TODAY(),OR($O225="",$O225&gt;=DATE($B$1,1,1)),OR(COUNTIF($C225:C225,"&gt;0")&gt;0,DATE($B$1,1,1)=DATE(YEAR(TODAY()),MONTH(TODAY()),1))),1,0))</f>
        <v/>
      </c>
      <c r="Q225">
        <f>IF($A225="","",IF(AND($B225&gt;0,D225&lt;$B225,DATE($B$1,2,1)&lt;=TODAY(),OR($O225="",$O225&gt;=DATE($B$1,2,1)),OR(COUNTIF($C225:D225,"&gt;0")&gt;0,DATE($B$1,2,1)=DATE(YEAR(TODAY()),MONTH(TODAY()),1))),1,0))</f>
        <v/>
      </c>
      <c r="R225">
        <f>IF($A225="","",IF(AND($B225&gt;0,E225&lt;$B225,DATE($B$1,3,1)&lt;=TODAY(),OR($O225="",$O225&gt;=DATE($B$1,3,1)),OR(COUNTIF($C225:E225,"&gt;0")&gt;0,DATE($B$1,3,1)=DATE(YEAR(TODAY()),MONTH(TODAY()),1))),1,0))</f>
        <v/>
      </c>
      <c r="S225">
        <f>IF($A225="","",IF(AND($B225&gt;0,F225&lt;$B225,DATE($B$1,4,1)&lt;=TODAY(),OR($O225="",$O225&gt;=DATE($B$1,4,1)),OR(COUNTIF($C225:F225,"&gt;0")&gt;0,DATE($B$1,4,1)=DATE(YEAR(TODAY()),MONTH(TODAY()),1))),1,0))</f>
        <v/>
      </c>
      <c r="T225">
        <f>IF($A225="","",IF(AND($B225&gt;0,G225&lt;$B225,DATE($B$1,5,1)&lt;=TODAY(),OR($O225="",$O225&gt;=DATE($B$1,5,1)),OR(COUNTIF($C225:G225,"&gt;0")&gt;0,DATE($B$1,5,1)=DATE(YEAR(TODAY()),MONTH(TODAY()),1))),1,0))</f>
        <v/>
      </c>
      <c r="U225">
        <f>IF($A225="","",IF(AND($B225&gt;0,H225&lt;$B225,DATE($B$1,6,1)&lt;=TODAY(),OR($O225="",$O225&gt;=DATE($B$1,6,1)),OR(COUNTIF($C225:H225,"&gt;0")&gt;0,DATE($B$1,6,1)=DATE(YEAR(TODAY()),MONTH(TODAY()),1))),1,0))</f>
        <v/>
      </c>
      <c r="V225">
        <f>IF($A225="","",IF(AND($B225&gt;0,I225&lt;$B225,DATE($B$1,7,1)&lt;=TODAY(),OR($O225="",$O225&gt;=DATE($B$1,7,1)),OR(COUNTIF($C225:I225,"&gt;0")&gt;0,DATE($B$1,7,1)=DATE(YEAR(TODAY()),MONTH(TODAY()),1))),1,0))</f>
        <v/>
      </c>
      <c r="W225">
        <f>IF($A225="","",IF(AND($B225&gt;0,J225&lt;$B225,DATE($B$1,8,1)&lt;=TODAY(),OR($O225="",$O225&gt;=DATE($B$1,8,1)),OR(COUNTIF($C225:J225,"&gt;0")&gt;0,DATE($B$1,8,1)=DATE(YEAR(TODAY()),MONTH(TODAY()),1))),1,0))</f>
        <v/>
      </c>
      <c r="X225">
        <f>IF($A225="","",IF(AND($B225&gt;0,K225&lt;$B225,DATE($B$1,9,1)&lt;=TODAY(),OR($O225="",$O225&gt;=DATE($B$1,9,1)),OR(COUNTIF($C225:K225,"&gt;0")&gt;0,DATE($B$1,9,1)=DATE(YEAR(TODAY()),MONTH(TODAY()),1))),1,0))</f>
        <v/>
      </c>
      <c r="Y225">
        <f>IF($A225="","",IF(AND($B225&gt;0,L225&lt;$B225,DATE($B$1,10,1)&lt;=TODAY(),OR($O225="",$O225&gt;=DATE($B$1,10,1)),OR(COUNTIF($C225:L225,"&gt;0")&gt;0,DATE($B$1,10,1)=DATE(YEAR(TODAY()),MONTH(TODAY()),1))),1,0))</f>
        <v/>
      </c>
      <c r="Z225">
        <f>IF($A225="","",IF(AND($B225&gt;0,M225&lt;$B225,DATE($B$1,11,1)&lt;=TODAY(),OR($O225="",$O225&gt;=DATE($B$1,11,1)),OR(COUNTIF($C225:M225,"&gt;0")&gt;0,DATE($B$1,11,1)=DATE(YEAR(TODAY()),MONTH(TODAY()),1))),1,0))</f>
        <v/>
      </c>
      <c r="AA225">
        <f>IF($A225="","",IF(AND($B225&gt;0,N225&lt;$B225,DATE($B$1,12,1)&lt;=TODAY(),OR($O225="",$O225&gt;=DATE($B$1,12,1)),OR(COUNTIF($C225:N225,"&gt;0")&gt;0,DATE($B$1,12,1)=DATE(YEAR(TODAY()),MONTH(TODAY()),1))),1,0))</f>
        <v/>
      </c>
    </row>
    <row r="226">
      <c r="A226" s="13">
        <f>IF(원생!$A224="","",원생!$A224&amp;IF(원생!$G224="",""," ("&amp;원생!$G224&amp;")"))</f>
        <v/>
      </c>
      <c r="B226" s="8">
        <f>IF(원생!$A224="","",원생!$F224)</f>
        <v/>
      </c>
      <c r="C226" s="14">
        <f>IF(원생!$A224="","",SUMIFS(수납!$F:$F,수납!$C:$C,원생!$A224,수납!$D:$D,IF(원생!$G224="","",원생!$G224),수납!$B:$B,$B$1&amp;"-"&amp;TEXT(1,"00")&amp;"*",수납!$E:$E,"수강료")+SUMIFS(수납!$F:$F,수납!$C:$C,원생!$A224,수납!$D:$D,IF(원생!$G224="","",원생!$G224),수납!$B:$B,$B$1&amp;"-"&amp;TEXT(1,"00")&amp;"*",수납!$E:$E,""))</f>
        <v/>
      </c>
      <c r="D226" s="14">
        <f>IF(원생!$A224="","",SUMIFS(수납!$F:$F,수납!$C:$C,원생!$A224,수납!$D:$D,IF(원생!$G224="","",원생!$G224),수납!$B:$B,$B$1&amp;"-"&amp;TEXT(2,"00")&amp;"*",수납!$E:$E,"수강료")+SUMIFS(수납!$F:$F,수납!$C:$C,원생!$A224,수납!$D:$D,IF(원생!$G224="","",원생!$G224),수납!$B:$B,$B$1&amp;"-"&amp;TEXT(2,"00")&amp;"*",수납!$E:$E,""))</f>
        <v/>
      </c>
      <c r="E226" s="14">
        <f>IF(원생!$A224="","",SUMIFS(수납!$F:$F,수납!$C:$C,원생!$A224,수납!$D:$D,IF(원생!$G224="","",원생!$G224),수납!$B:$B,$B$1&amp;"-"&amp;TEXT(3,"00")&amp;"*",수납!$E:$E,"수강료")+SUMIFS(수납!$F:$F,수납!$C:$C,원생!$A224,수납!$D:$D,IF(원생!$G224="","",원생!$G224),수납!$B:$B,$B$1&amp;"-"&amp;TEXT(3,"00")&amp;"*",수납!$E:$E,""))</f>
        <v/>
      </c>
      <c r="F226" s="14">
        <f>IF(원생!$A224="","",SUMIFS(수납!$F:$F,수납!$C:$C,원생!$A224,수납!$D:$D,IF(원생!$G224="","",원생!$G224),수납!$B:$B,$B$1&amp;"-"&amp;TEXT(4,"00")&amp;"*",수납!$E:$E,"수강료")+SUMIFS(수납!$F:$F,수납!$C:$C,원생!$A224,수납!$D:$D,IF(원생!$G224="","",원생!$G224),수납!$B:$B,$B$1&amp;"-"&amp;TEXT(4,"00")&amp;"*",수납!$E:$E,""))</f>
        <v/>
      </c>
      <c r="G226" s="14">
        <f>IF(원생!$A224="","",SUMIFS(수납!$F:$F,수납!$C:$C,원생!$A224,수납!$D:$D,IF(원생!$G224="","",원생!$G224),수납!$B:$B,$B$1&amp;"-"&amp;TEXT(5,"00")&amp;"*",수납!$E:$E,"수강료")+SUMIFS(수납!$F:$F,수납!$C:$C,원생!$A224,수납!$D:$D,IF(원생!$G224="","",원생!$G224),수납!$B:$B,$B$1&amp;"-"&amp;TEXT(5,"00")&amp;"*",수납!$E:$E,""))</f>
        <v/>
      </c>
      <c r="H226" s="14">
        <f>IF(원생!$A224="","",SUMIFS(수납!$F:$F,수납!$C:$C,원생!$A224,수납!$D:$D,IF(원생!$G224="","",원생!$G224),수납!$B:$B,$B$1&amp;"-"&amp;TEXT(6,"00")&amp;"*",수납!$E:$E,"수강료")+SUMIFS(수납!$F:$F,수납!$C:$C,원생!$A224,수납!$D:$D,IF(원생!$G224="","",원생!$G224),수납!$B:$B,$B$1&amp;"-"&amp;TEXT(6,"00")&amp;"*",수납!$E:$E,""))</f>
        <v/>
      </c>
      <c r="I226" s="14">
        <f>IF(원생!$A224="","",SUMIFS(수납!$F:$F,수납!$C:$C,원생!$A224,수납!$D:$D,IF(원생!$G224="","",원생!$G224),수납!$B:$B,$B$1&amp;"-"&amp;TEXT(7,"00")&amp;"*",수납!$E:$E,"수강료")+SUMIFS(수납!$F:$F,수납!$C:$C,원생!$A224,수납!$D:$D,IF(원생!$G224="","",원생!$G224),수납!$B:$B,$B$1&amp;"-"&amp;TEXT(7,"00")&amp;"*",수납!$E:$E,""))</f>
        <v/>
      </c>
      <c r="J226" s="14">
        <f>IF(원생!$A224="","",SUMIFS(수납!$F:$F,수납!$C:$C,원생!$A224,수납!$D:$D,IF(원생!$G224="","",원생!$G224),수납!$B:$B,$B$1&amp;"-"&amp;TEXT(8,"00")&amp;"*",수납!$E:$E,"수강료")+SUMIFS(수납!$F:$F,수납!$C:$C,원생!$A224,수납!$D:$D,IF(원생!$G224="","",원생!$G224),수납!$B:$B,$B$1&amp;"-"&amp;TEXT(8,"00")&amp;"*",수납!$E:$E,""))</f>
        <v/>
      </c>
      <c r="K226" s="14">
        <f>IF(원생!$A224="","",SUMIFS(수납!$F:$F,수납!$C:$C,원생!$A224,수납!$D:$D,IF(원생!$G224="","",원생!$G224),수납!$B:$B,$B$1&amp;"-"&amp;TEXT(9,"00")&amp;"*",수납!$E:$E,"수강료")+SUMIFS(수납!$F:$F,수납!$C:$C,원생!$A224,수납!$D:$D,IF(원생!$G224="","",원생!$G224),수납!$B:$B,$B$1&amp;"-"&amp;TEXT(9,"00")&amp;"*",수납!$E:$E,""))</f>
        <v/>
      </c>
      <c r="L226" s="14">
        <f>IF(원생!$A224="","",SUMIFS(수납!$F:$F,수납!$C:$C,원생!$A224,수납!$D:$D,IF(원생!$G224="","",원생!$G224),수납!$B:$B,$B$1&amp;"-"&amp;TEXT(10,"00")&amp;"*",수납!$E:$E,"수강료")+SUMIFS(수납!$F:$F,수납!$C:$C,원생!$A224,수납!$D:$D,IF(원생!$G224="","",원생!$G224),수납!$B:$B,$B$1&amp;"-"&amp;TEXT(10,"00")&amp;"*",수납!$E:$E,""))</f>
        <v/>
      </c>
      <c r="M226" s="14">
        <f>IF(원생!$A224="","",SUMIFS(수납!$F:$F,수납!$C:$C,원생!$A224,수납!$D:$D,IF(원생!$G224="","",원생!$G224),수납!$B:$B,$B$1&amp;"-"&amp;TEXT(11,"00")&amp;"*",수납!$E:$E,"수강료")+SUMIFS(수납!$F:$F,수납!$C:$C,원생!$A224,수납!$D:$D,IF(원생!$G224="","",원생!$G224),수납!$B:$B,$B$1&amp;"-"&amp;TEXT(11,"00")&amp;"*",수납!$E:$E,""))</f>
        <v/>
      </c>
      <c r="N226" s="14">
        <f>IF(원생!$A224="","",SUMIFS(수납!$F:$F,수납!$C:$C,원생!$A224,수납!$D:$D,IF(원생!$G224="","",원생!$G224),수납!$B:$B,$B$1&amp;"-"&amp;TEXT(12,"00")&amp;"*",수납!$E:$E,"수강료")+SUMIFS(수납!$F:$F,수납!$C:$C,원생!$A224,수납!$D:$D,IF(원생!$G224="","",원생!$G224),수납!$B:$B,$B$1&amp;"-"&amp;TEXT(12,"00")&amp;"*",수납!$E:$E,""))</f>
        <v/>
      </c>
      <c r="O226">
        <f>IF(원생!$I224="","",원생!$I224)</f>
        <v/>
      </c>
      <c r="P226">
        <f>IF($A226="","",IF(AND($B226&gt;0,C226&lt;$B226,DATE($B$1,1,1)&lt;=TODAY(),OR($O226="",$O226&gt;=DATE($B$1,1,1)),OR(COUNTIF($C226:C226,"&gt;0")&gt;0,DATE($B$1,1,1)=DATE(YEAR(TODAY()),MONTH(TODAY()),1))),1,0))</f>
        <v/>
      </c>
      <c r="Q226">
        <f>IF($A226="","",IF(AND($B226&gt;0,D226&lt;$B226,DATE($B$1,2,1)&lt;=TODAY(),OR($O226="",$O226&gt;=DATE($B$1,2,1)),OR(COUNTIF($C226:D226,"&gt;0")&gt;0,DATE($B$1,2,1)=DATE(YEAR(TODAY()),MONTH(TODAY()),1))),1,0))</f>
        <v/>
      </c>
      <c r="R226">
        <f>IF($A226="","",IF(AND($B226&gt;0,E226&lt;$B226,DATE($B$1,3,1)&lt;=TODAY(),OR($O226="",$O226&gt;=DATE($B$1,3,1)),OR(COUNTIF($C226:E226,"&gt;0")&gt;0,DATE($B$1,3,1)=DATE(YEAR(TODAY()),MONTH(TODAY()),1))),1,0))</f>
        <v/>
      </c>
      <c r="S226">
        <f>IF($A226="","",IF(AND($B226&gt;0,F226&lt;$B226,DATE($B$1,4,1)&lt;=TODAY(),OR($O226="",$O226&gt;=DATE($B$1,4,1)),OR(COUNTIF($C226:F226,"&gt;0")&gt;0,DATE($B$1,4,1)=DATE(YEAR(TODAY()),MONTH(TODAY()),1))),1,0))</f>
        <v/>
      </c>
      <c r="T226">
        <f>IF($A226="","",IF(AND($B226&gt;0,G226&lt;$B226,DATE($B$1,5,1)&lt;=TODAY(),OR($O226="",$O226&gt;=DATE($B$1,5,1)),OR(COUNTIF($C226:G226,"&gt;0")&gt;0,DATE($B$1,5,1)=DATE(YEAR(TODAY()),MONTH(TODAY()),1))),1,0))</f>
        <v/>
      </c>
      <c r="U226">
        <f>IF($A226="","",IF(AND($B226&gt;0,H226&lt;$B226,DATE($B$1,6,1)&lt;=TODAY(),OR($O226="",$O226&gt;=DATE($B$1,6,1)),OR(COUNTIF($C226:H226,"&gt;0")&gt;0,DATE($B$1,6,1)=DATE(YEAR(TODAY()),MONTH(TODAY()),1))),1,0))</f>
        <v/>
      </c>
      <c r="V226">
        <f>IF($A226="","",IF(AND($B226&gt;0,I226&lt;$B226,DATE($B$1,7,1)&lt;=TODAY(),OR($O226="",$O226&gt;=DATE($B$1,7,1)),OR(COUNTIF($C226:I226,"&gt;0")&gt;0,DATE($B$1,7,1)=DATE(YEAR(TODAY()),MONTH(TODAY()),1))),1,0))</f>
        <v/>
      </c>
      <c r="W226">
        <f>IF($A226="","",IF(AND($B226&gt;0,J226&lt;$B226,DATE($B$1,8,1)&lt;=TODAY(),OR($O226="",$O226&gt;=DATE($B$1,8,1)),OR(COUNTIF($C226:J226,"&gt;0")&gt;0,DATE($B$1,8,1)=DATE(YEAR(TODAY()),MONTH(TODAY()),1))),1,0))</f>
        <v/>
      </c>
      <c r="X226">
        <f>IF($A226="","",IF(AND($B226&gt;0,K226&lt;$B226,DATE($B$1,9,1)&lt;=TODAY(),OR($O226="",$O226&gt;=DATE($B$1,9,1)),OR(COUNTIF($C226:K226,"&gt;0")&gt;0,DATE($B$1,9,1)=DATE(YEAR(TODAY()),MONTH(TODAY()),1))),1,0))</f>
        <v/>
      </c>
      <c r="Y226">
        <f>IF($A226="","",IF(AND($B226&gt;0,L226&lt;$B226,DATE($B$1,10,1)&lt;=TODAY(),OR($O226="",$O226&gt;=DATE($B$1,10,1)),OR(COUNTIF($C226:L226,"&gt;0")&gt;0,DATE($B$1,10,1)=DATE(YEAR(TODAY()),MONTH(TODAY()),1))),1,0))</f>
        <v/>
      </c>
      <c r="Z226">
        <f>IF($A226="","",IF(AND($B226&gt;0,M226&lt;$B226,DATE($B$1,11,1)&lt;=TODAY(),OR($O226="",$O226&gt;=DATE($B$1,11,1)),OR(COUNTIF($C226:M226,"&gt;0")&gt;0,DATE($B$1,11,1)=DATE(YEAR(TODAY()),MONTH(TODAY()),1))),1,0))</f>
        <v/>
      </c>
      <c r="AA226">
        <f>IF($A226="","",IF(AND($B226&gt;0,N226&lt;$B226,DATE($B$1,12,1)&lt;=TODAY(),OR($O226="",$O226&gt;=DATE($B$1,12,1)),OR(COUNTIF($C226:N226,"&gt;0")&gt;0,DATE($B$1,12,1)=DATE(YEAR(TODAY()),MONTH(TODAY()),1))),1,0))</f>
        <v/>
      </c>
    </row>
    <row r="227">
      <c r="A227" s="13">
        <f>IF(원생!$A225="","",원생!$A225&amp;IF(원생!$G225="",""," ("&amp;원생!$G225&amp;")"))</f>
        <v/>
      </c>
      <c r="B227" s="8">
        <f>IF(원생!$A225="","",원생!$F225)</f>
        <v/>
      </c>
      <c r="C227" s="14">
        <f>IF(원생!$A225="","",SUMIFS(수납!$F:$F,수납!$C:$C,원생!$A225,수납!$D:$D,IF(원생!$G225="","",원생!$G225),수납!$B:$B,$B$1&amp;"-"&amp;TEXT(1,"00")&amp;"*",수납!$E:$E,"수강료")+SUMIFS(수납!$F:$F,수납!$C:$C,원생!$A225,수납!$D:$D,IF(원생!$G225="","",원생!$G225),수납!$B:$B,$B$1&amp;"-"&amp;TEXT(1,"00")&amp;"*",수납!$E:$E,""))</f>
        <v/>
      </c>
      <c r="D227" s="14">
        <f>IF(원생!$A225="","",SUMIFS(수납!$F:$F,수납!$C:$C,원생!$A225,수납!$D:$D,IF(원생!$G225="","",원생!$G225),수납!$B:$B,$B$1&amp;"-"&amp;TEXT(2,"00")&amp;"*",수납!$E:$E,"수강료")+SUMIFS(수납!$F:$F,수납!$C:$C,원생!$A225,수납!$D:$D,IF(원생!$G225="","",원생!$G225),수납!$B:$B,$B$1&amp;"-"&amp;TEXT(2,"00")&amp;"*",수납!$E:$E,""))</f>
        <v/>
      </c>
      <c r="E227" s="14">
        <f>IF(원생!$A225="","",SUMIFS(수납!$F:$F,수납!$C:$C,원생!$A225,수납!$D:$D,IF(원생!$G225="","",원생!$G225),수납!$B:$B,$B$1&amp;"-"&amp;TEXT(3,"00")&amp;"*",수납!$E:$E,"수강료")+SUMIFS(수납!$F:$F,수납!$C:$C,원생!$A225,수납!$D:$D,IF(원생!$G225="","",원생!$G225),수납!$B:$B,$B$1&amp;"-"&amp;TEXT(3,"00")&amp;"*",수납!$E:$E,""))</f>
        <v/>
      </c>
      <c r="F227" s="14">
        <f>IF(원생!$A225="","",SUMIFS(수납!$F:$F,수납!$C:$C,원생!$A225,수납!$D:$D,IF(원생!$G225="","",원생!$G225),수납!$B:$B,$B$1&amp;"-"&amp;TEXT(4,"00")&amp;"*",수납!$E:$E,"수강료")+SUMIFS(수납!$F:$F,수납!$C:$C,원생!$A225,수납!$D:$D,IF(원생!$G225="","",원생!$G225),수납!$B:$B,$B$1&amp;"-"&amp;TEXT(4,"00")&amp;"*",수납!$E:$E,""))</f>
        <v/>
      </c>
      <c r="G227" s="14">
        <f>IF(원생!$A225="","",SUMIFS(수납!$F:$F,수납!$C:$C,원생!$A225,수납!$D:$D,IF(원생!$G225="","",원생!$G225),수납!$B:$B,$B$1&amp;"-"&amp;TEXT(5,"00")&amp;"*",수납!$E:$E,"수강료")+SUMIFS(수납!$F:$F,수납!$C:$C,원생!$A225,수납!$D:$D,IF(원생!$G225="","",원생!$G225),수납!$B:$B,$B$1&amp;"-"&amp;TEXT(5,"00")&amp;"*",수납!$E:$E,""))</f>
        <v/>
      </c>
      <c r="H227" s="14">
        <f>IF(원생!$A225="","",SUMIFS(수납!$F:$F,수납!$C:$C,원생!$A225,수납!$D:$D,IF(원생!$G225="","",원생!$G225),수납!$B:$B,$B$1&amp;"-"&amp;TEXT(6,"00")&amp;"*",수납!$E:$E,"수강료")+SUMIFS(수납!$F:$F,수납!$C:$C,원생!$A225,수납!$D:$D,IF(원생!$G225="","",원생!$G225),수납!$B:$B,$B$1&amp;"-"&amp;TEXT(6,"00")&amp;"*",수납!$E:$E,""))</f>
        <v/>
      </c>
      <c r="I227" s="14">
        <f>IF(원생!$A225="","",SUMIFS(수납!$F:$F,수납!$C:$C,원생!$A225,수납!$D:$D,IF(원생!$G225="","",원생!$G225),수납!$B:$B,$B$1&amp;"-"&amp;TEXT(7,"00")&amp;"*",수납!$E:$E,"수강료")+SUMIFS(수납!$F:$F,수납!$C:$C,원생!$A225,수납!$D:$D,IF(원생!$G225="","",원생!$G225),수납!$B:$B,$B$1&amp;"-"&amp;TEXT(7,"00")&amp;"*",수납!$E:$E,""))</f>
        <v/>
      </c>
      <c r="J227" s="14">
        <f>IF(원생!$A225="","",SUMIFS(수납!$F:$F,수납!$C:$C,원생!$A225,수납!$D:$D,IF(원생!$G225="","",원생!$G225),수납!$B:$B,$B$1&amp;"-"&amp;TEXT(8,"00")&amp;"*",수납!$E:$E,"수강료")+SUMIFS(수납!$F:$F,수납!$C:$C,원생!$A225,수납!$D:$D,IF(원생!$G225="","",원생!$G225),수납!$B:$B,$B$1&amp;"-"&amp;TEXT(8,"00")&amp;"*",수납!$E:$E,""))</f>
        <v/>
      </c>
      <c r="K227" s="14">
        <f>IF(원생!$A225="","",SUMIFS(수납!$F:$F,수납!$C:$C,원생!$A225,수납!$D:$D,IF(원생!$G225="","",원생!$G225),수납!$B:$B,$B$1&amp;"-"&amp;TEXT(9,"00")&amp;"*",수납!$E:$E,"수강료")+SUMIFS(수납!$F:$F,수납!$C:$C,원생!$A225,수납!$D:$D,IF(원생!$G225="","",원생!$G225),수납!$B:$B,$B$1&amp;"-"&amp;TEXT(9,"00")&amp;"*",수납!$E:$E,""))</f>
        <v/>
      </c>
      <c r="L227" s="14">
        <f>IF(원생!$A225="","",SUMIFS(수납!$F:$F,수납!$C:$C,원생!$A225,수납!$D:$D,IF(원생!$G225="","",원생!$G225),수납!$B:$B,$B$1&amp;"-"&amp;TEXT(10,"00")&amp;"*",수납!$E:$E,"수강료")+SUMIFS(수납!$F:$F,수납!$C:$C,원생!$A225,수납!$D:$D,IF(원생!$G225="","",원생!$G225),수납!$B:$B,$B$1&amp;"-"&amp;TEXT(10,"00")&amp;"*",수납!$E:$E,""))</f>
        <v/>
      </c>
      <c r="M227" s="14">
        <f>IF(원생!$A225="","",SUMIFS(수납!$F:$F,수납!$C:$C,원생!$A225,수납!$D:$D,IF(원생!$G225="","",원생!$G225),수납!$B:$B,$B$1&amp;"-"&amp;TEXT(11,"00")&amp;"*",수납!$E:$E,"수강료")+SUMIFS(수납!$F:$F,수납!$C:$C,원생!$A225,수납!$D:$D,IF(원생!$G225="","",원생!$G225),수납!$B:$B,$B$1&amp;"-"&amp;TEXT(11,"00")&amp;"*",수납!$E:$E,""))</f>
        <v/>
      </c>
      <c r="N227" s="14">
        <f>IF(원생!$A225="","",SUMIFS(수납!$F:$F,수납!$C:$C,원생!$A225,수납!$D:$D,IF(원생!$G225="","",원생!$G225),수납!$B:$B,$B$1&amp;"-"&amp;TEXT(12,"00")&amp;"*",수납!$E:$E,"수강료")+SUMIFS(수납!$F:$F,수납!$C:$C,원생!$A225,수납!$D:$D,IF(원생!$G225="","",원생!$G225),수납!$B:$B,$B$1&amp;"-"&amp;TEXT(12,"00")&amp;"*",수납!$E:$E,""))</f>
        <v/>
      </c>
      <c r="O227">
        <f>IF(원생!$I225="","",원생!$I225)</f>
        <v/>
      </c>
      <c r="P227">
        <f>IF($A227="","",IF(AND($B227&gt;0,C227&lt;$B227,DATE($B$1,1,1)&lt;=TODAY(),OR($O227="",$O227&gt;=DATE($B$1,1,1)),OR(COUNTIF($C227:C227,"&gt;0")&gt;0,DATE($B$1,1,1)=DATE(YEAR(TODAY()),MONTH(TODAY()),1))),1,0))</f>
        <v/>
      </c>
      <c r="Q227">
        <f>IF($A227="","",IF(AND($B227&gt;0,D227&lt;$B227,DATE($B$1,2,1)&lt;=TODAY(),OR($O227="",$O227&gt;=DATE($B$1,2,1)),OR(COUNTIF($C227:D227,"&gt;0")&gt;0,DATE($B$1,2,1)=DATE(YEAR(TODAY()),MONTH(TODAY()),1))),1,0))</f>
        <v/>
      </c>
      <c r="R227">
        <f>IF($A227="","",IF(AND($B227&gt;0,E227&lt;$B227,DATE($B$1,3,1)&lt;=TODAY(),OR($O227="",$O227&gt;=DATE($B$1,3,1)),OR(COUNTIF($C227:E227,"&gt;0")&gt;0,DATE($B$1,3,1)=DATE(YEAR(TODAY()),MONTH(TODAY()),1))),1,0))</f>
        <v/>
      </c>
      <c r="S227">
        <f>IF($A227="","",IF(AND($B227&gt;0,F227&lt;$B227,DATE($B$1,4,1)&lt;=TODAY(),OR($O227="",$O227&gt;=DATE($B$1,4,1)),OR(COUNTIF($C227:F227,"&gt;0")&gt;0,DATE($B$1,4,1)=DATE(YEAR(TODAY()),MONTH(TODAY()),1))),1,0))</f>
        <v/>
      </c>
      <c r="T227">
        <f>IF($A227="","",IF(AND($B227&gt;0,G227&lt;$B227,DATE($B$1,5,1)&lt;=TODAY(),OR($O227="",$O227&gt;=DATE($B$1,5,1)),OR(COUNTIF($C227:G227,"&gt;0")&gt;0,DATE($B$1,5,1)=DATE(YEAR(TODAY()),MONTH(TODAY()),1))),1,0))</f>
        <v/>
      </c>
      <c r="U227">
        <f>IF($A227="","",IF(AND($B227&gt;0,H227&lt;$B227,DATE($B$1,6,1)&lt;=TODAY(),OR($O227="",$O227&gt;=DATE($B$1,6,1)),OR(COUNTIF($C227:H227,"&gt;0")&gt;0,DATE($B$1,6,1)=DATE(YEAR(TODAY()),MONTH(TODAY()),1))),1,0))</f>
        <v/>
      </c>
      <c r="V227">
        <f>IF($A227="","",IF(AND($B227&gt;0,I227&lt;$B227,DATE($B$1,7,1)&lt;=TODAY(),OR($O227="",$O227&gt;=DATE($B$1,7,1)),OR(COUNTIF($C227:I227,"&gt;0")&gt;0,DATE($B$1,7,1)=DATE(YEAR(TODAY()),MONTH(TODAY()),1))),1,0))</f>
        <v/>
      </c>
      <c r="W227">
        <f>IF($A227="","",IF(AND($B227&gt;0,J227&lt;$B227,DATE($B$1,8,1)&lt;=TODAY(),OR($O227="",$O227&gt;=DATE($B$1,8,1)),OR(COUNTIF($C227:J227,"&gt;0")&gt;0,DATE($B$1,8,1)=DATE(YEAR(TODAY()),MONTH(TODAY()),1))),1,0))</f>
        <v/>
      </c>
      <c r="X227">
        <f>IF($A227="","",IF(AND($B227&gt;0,K227&lt;$B227,DATE($B$1,9,1)&lt;=TODAY(),OR($O227="",$O227&gt;=DATE($B$1,9,1)),OR(COUNTIF($C227:K227,"&gt;0")&gt;0,DATE($B$1,9,1)=DATE(YEAR(TODAY()),MONTH(TODAY()),1))),1,0))</f>
        <v/>
      </c>
      <c r="Y227">
        <f>IF($A227="","",IF(AND($B227&gt;0,L227&lt;$B227,DATE($B$1,10,1)&lt;=TODAY(),OR($O227="",$O227&gt;=DATE($B$1,10,1)),OR(COUNTIF($C227:L227,"&gt;0")&gt;0,DATE($B$1,10,1)=DATE(YEAR(TODAY()),MONTH(TODAY()),1))),1,0))</f>
        <v/>
      </c>
      <c r="Z227">
        <f>IF($A227="","",IF(AND($B227&gt;0,M227&lt;$B227,DATE($B$1,11,1)&lt;=TODAY(),OR($O227="",$O227&gt;=DATE($B$1,11,1)),OR(COUNTIF($C227:M227,"&gt;0")&gt;0,DATE($B$1,11,1)=DATE(YEAR(TODAY()),MONTH(TODAY()),1))),1,0))</f>
        <v/>
      </c>
      <c r="AA227">
        <f>IF($A227="","",IF(AND($B227&gt;0,N227&lt;$B227,DATE($B$1,12,1)&lt;=TODAY(),OR($O227="",$O227&gt;=DATE($B$1,12,1)),OR(COUNTIF($C227:N227,"&gt;0")&gt;0,DATE($B$1,12,1)=DATE(YEAR(TODAY()),MONTH(TODAY()),1))),1,0))</f>
        <v/>
      </c>
    </row>
    <row r="228">
      <c r="A228" s="13">
        <f>IF(원생!$A226="","",원생!$A226&amp;IF(원생!$G226="",""," ("&amp;원생!$G226&amp;")"))</f>
        <v/>
      </c>
      <c r="B228" s="8">
        <f>IF(원생!$A226="","",원생!$F226)</f>
        <v/>
      </c>
      <c r="C228" s="14">
        <f>IF(원생!$A226="","",SUMIFS(수납!$F:$F,수납!$C:$C,원생!$A226,수납!$D:$D,IF(원생!$G226="","",원생!$G226),수납!$B:$B,$B$1&amp;"-"&amp;TEXT(1,"00")&amp;"*",수납!$E:$E,"수강료")+SUMIFS(수납!$F:$F,수납!$C:$C,원생!$A226,수납!$D:$D,IF(원생!$G226="","",원생!$G226),수납!$B:$B,$B$1&amp;"-"&amp;TEXT(1,"00")&amp;"*",수납!$E:$E,""))</f>
        <v/>
      </c>
      <c r="D228" s="14">
        <f>IF(원생!$A226="","",SUMIFS(수납!$F:$F,수납!$C:$C,원생!$A226,수납!$D:$D,IF(원생!$G226="","",원생!$G226),수납!$B:$B,$B$1&amp;"-"&amp;TEXT(2,"00")&amp;"*",수납!$E:$E,"수강료")+SUMIFS(수납!$F:$F,수납!$C:$C,원생!$A226,수납!$D:$D,IF(원생!$G226="","",원생!$G226),수납!$B:$B,$B$1&amp;"-"&amp;TEXT(2,"00")&amp;"*",수납!$E:$E,""))</f>
        <v/>
      </c>
      <c r="E228" s="14">
        <f>IF(원생!$A226="","",SUMIFS(수납!$F:$F,수납!$C:$C,원생!$A226,수납!$D:$D,IF(원생!$G226="","",원생!$G226),수납!$B:$B,$B$1&amp;"-"&amp;TEXT(3,"00")&amp;"*",수납!$E:$E,"수강료")+SUMIFS(수납!$F:$F,수납!$C:$C,원생!$A226,수납!$D:$D,IF(원생!$G226="","",원생!$G226),수납!$B:$B,$B$1&amp;"-"&amp;TEXT(3,"00")&amp;"*",수납!$E:$E,""))</f>
        <v/>
      </c>
      <c r="F228" s="14">
        <f>IF(원생!$A226="","",SUMIFS(수납!$F:$F,수납!$C:$C,원생!$A226,수납!$D:$D,IF(원생!$G226="","",원생!$G226),수납!$B:$B,$B$1&amp;"-"&amp;TEXT(4,"00")&amp;"*",수납!$E:$E,"수강료")+SUMIFS(수납!$F:$F,수납!$C:$C,원생!$A226,수납!$D:$D,IF(원생!$G226="","",원생!$G226),수납!$B:$B,$B$1&amp;"-"&amp;TEXT(4,"00")&amp;"*",수납!$E:$E,""))</f>
        <v/>
      </c>
      <c r="G228" s="14">
        <f>IF(원생!$A226="","",SUMIFS(수납!$F:$F,수납!$C:$C,원생!$A226,수납!$D:$D,IF(원생!$G226="","",원생!$G226),수납!$B:$B,$B$1&amp;"-"&amp;TEXT(5,"00")&amp;"*",수납!$E:$E,"수강료")+SUMIFS(수납!$F:$F,수납!$C:$C,원생!$A226,수납!$D:$D,IF(원생!$G226="","",원생!$G226),수납!$B:$B,$B$1&amp;"-"&amp;TEXT(5,"00")&amp;"*",수납!$E:$E,""))</f>
        <v/>
      </c>
      <c r="H228" s="14">
        <f>IF(원생!$A226="","",SUMIFS(수납!$F:$F,수납!$C:$C,원생!$A226,수납!$D:$D,IF(원생!$G226="","",원생!$G226),수납!$B:$B,$B$1&amp;"-"&amp;TEXT(6,"00")&amp;"*",수납!$E:$E,"수강료")+SUMIFS(수납!$F:$F,수납!$C:$C,원생!$A226,수납!$D:$D,IF(원생!$G226="","",원생!$G226),수납!$B:$B,$B$1&amp;"-"&amp;TEXT(6,"00")&amp;"*",수납!$E:$E,""))</f>
        <v/>
      </c>
      <c r="I228" s="14">
        <f>IF(원생!$A226="","",SUMIFS(수납!$F:$F,수납!$C:$C,원생!$A226,수납!$D:$D,IF(원생!$G226="","",원생!$G226),수납!$B:$B,$B$1&amp;"-"&amp;TEXT(7,"00")&amp;"*",수납!$E:$E,"수강료")+SUMIFS(수납!$F:$F,수납!$C:$C,원생!$A226,수납!$D:$D,IF(원생!$G226="","",원생!$G226),수납!$B:$B,$B$1&amp;"-"&amp;TEXT(7,"00")&amp;"*",수납!$E:$E,""))</f>
        <v/>
      </c>
      <c r="J228" s="14">
        <f>IF(원생!$A226="","",SUMIFS(수납!$F:$F,수납!$C:$C,원생!$A226,수납!$D:$D,IF(원생!$G226="","",원생!$G226),수납!$B:$B,$B$1&amp;"-"&amp;TEXT(8,"00")&amp;"*",수납!$E:$E,"수강료")+SUMIFS(수납!$F:$F,수납!$C:$C,원생!$A226,수납!$D:$D,IF(원생!$G226="","",원생!$G226),수납!$B:$B,$B$1&amp;"-"&amp;TEXT(8,"00")&amp;"*",수납!$E:$E,""))</f>
        <v/>
      </c>
      <c r="K228" s="14">
        <f>IF(원생!$A226="","",SUMIFS(수납!$F:$F,수납!$C:$C,원생!$A226,수납!$D:$D,IF(원생!$G226="","",원생!$G226),수납!$B:$B,$B$1&amp;"-"&amp;TEXT(9,"00")&amp;"*",수납!$E:$E,"수강료")+SUMIFS(수납!$F:$F,수납!$C:$C,원생!$A226,수납!$D:$D,IF(원생!$G226="","",원생!$G226),수납!$B:$B,$B$1&amp;"-"&amp;TEXT(9,"00")&amp;"*",수납!$E:$E,""))</f>
        <v/>
      </c>
      <c r="L228" s="14">
        <f>IF(원생!$A226="","",SUMIFS(수납!$F:$F,수납!$C:$C,원생!$A226,수납!$D:$D,IF(원생!$G226="","",원생!$G226),수납!$B:$B,$B$1&amp;"-"&amp;TEXT(10,"00")&amp;"*",수납!$E:$E,"수강료")+SUMIFS(수납!$F:$F,수납!$C:$C,원생!$A226,수납!$D:$D,IF(원생!$G226="","",원생!$G226),수납!$B:$B,$B$1&amp;"-"&amp;TEXT(10,"00")&amp;"*",수납!$E:$E,""))</f>
        <v/>
      </c>
      <c r="M228" s="14">
        <f>IF(원생!$A226="","",SUMIFS(수납!$F:$F,수납!$C:$C,원생!$A226,수납!$D:$D,IF(원생!$G226="","",원생!$G226),수납!$B:$B,$B$1&amp;"-"&amp;TEXT(11,"00")&amp;"*",수납!$E:$E,"수강료")+SUMIFS(수납!$F:$F,수납!$C:$C,원생!$A226,수납!$D:$D,IF(원생!$G226="","",원생!$G226),수납!$B:$B,$B$1&amp;"-"&amp;TEXT(11,"00")&amp;"*",수납!$E:$E,""))</f>
        <v/>
      </c>
      <c r="N228" s="14">
        <f>IF(원생!$A226="","",SUMIFS(수납!$F:$F,수납!$C:$C,원생!$A226,수납!$D:$D,IF(원생!$G226="","",원생!$G226),수납!$B:$B,$B$1&amp;"-"&amp;TEXT(12,"00")&amp;"*",수납!$E:$E,"수강료")+SUMIFS(수납!$F:$F,수납!$C:$C,원생!$A226,수납!$D:$D,IF(원생!$G226="","",원생!$G226),수납!$B:$B,$B$1&amp;"-"&amp;TEXT(12,"00")&amp;"*",수납!$E:$E,""))</f>
        <v/>
      </c>
      <c r="O228">
        <f>IF(원생!$I226="","",원생!$I226)</f>
        <v/>
      </c>
      <c r="P228">
        <f>IF($A228="","",IF(AND($B228&gt;0,C228&lt;$B228,DATE($B$1,1,1)&lt;=TODAY(),OR($O228="",$O228&gt;=DATE($B$1,1,1)),OR(COUNTIF($C228:C228,"&gt;0")&gt;0,DATE($B$1,1,1)=DATE(YEAR(TODAY()),MONTH(TODAY()),1))),1,0))</f>
        <v/>
      </c>
      <c r="Q228">
        <f>IF($A228="","",IF(AND($B228&gt;0,D228&lt;$B228,DATE($B$1,2,1)&lt;=TODAY(),OR($O228="",$O228&gt;=DATE($B$1,2,1)),OR(COUNTIF($C228:D228,"&gt;0")&gt;0,DATE($B$1,2,1)=DATE(YEAR(TODAY()),MONTH(TODAY()),1))),1,0))</f>
        <v/>
      </c>
      <c r="R228">
        <f>IF($A228="","",IF(AND($B228&gt;0,E228&lt;$B228,DATE($B$1,3,1)&lt;=TODAY(),OR($O228="",$O228&gt;=DATE($B$1,3,1)),OR(COUNTIF($C228:E228,"&gt;0")&gt;0,DATE($B$1,3,1)=DATE(YEAR(TODAY()),MONTH(TODAY()),1))),1,0))</f>
        <v/>
      </c>
      <c r="S228">
        <f>IF($A228="","",IF(AND($B228&gt;0,F228&lt;$B228,DATE($B$1,4,1)&lt;=TODAY(),OR($O228="",$O228&gt;=DATE($B$1,4,1)),OR(COUNTIF($C228:F228,"&gt;0")&gt;0,DATE($B$1,4,1)=DATE(YEAR(TODAY()),MONTH(TODAY()),1))),1,0))</f>
        <v/>
      </c>
      <c r="T228">
        <f>IF($A228="","",IF(AND($B228&gt;0,G228&lt;$B228,DATE($B$1,5,1)&lt;=TODAY(),OR($O228="",$O228&gt;=DATE($B$1,5,1)),OR(COUNTIF($C228:G228,"&gt;0")&gt;0,DATE($B$1,5,1)=DATE(YEAR(TODAY()),MONTH(TODAY()),1))),1,0))</f>
        <v/>
      </c>
      <c r="U228">
        <f>IF($A228="","",IF(AND($B228&gt;0,H228&lt;$B228,DATE($B$1,6,1)&lt;=TODAY(),OR($O228="",$O228&gt;=DATE($B$1,6,1)),OR(COUNTIF($C228:H228,"&gt;0")&gt;0,DATE($B$1,6,1)=DATE(YEAR(TODAY()),MONTH(TODAY()),1))),1,0))</f>
        <v/>
      </c>
      <c r="V228">
        <f>IF($A228="","",IF(AND($B228&gt;0,I228&lt;$B228,DATE($B$1,7,1)&lt;=TODAY(),OR($O228="",$O228&gt;=DATE($B$1,7,1)),OR(COUNTIF($C228:I228,"&gt;0")&gt;0,DATE($B$1,7,1)=DATE(YEAR(TODAY()),MONTH(TODAY()),1))),1,0))</f>
        <v/>
      </c>
      <c r="W228">
        <f>IF($A228="","",IF(AND($B228&gt;0,J228&lt;$B228,DATE($B$1,8,1)&lt;=TODAY(),OR($O228="",$O228&gt;=DATE($B$1,8,1)),OR(COUNTIF($C228:J228,"&gt;0")&gt;0,DATE($B$1,8,1)=DATE(YEAR(TODAY()),MONTH(TODAY()),1))),1,0))</f>
        <v/>
      </c>
      <c r="X228">
        <f>IF($A228="","",IF(AND($B228&gt;0,K228&lt;$B228,DATE($B$1,9,1)&lt;=TODAY(),OR($O228="",$O228&gt;=DATE($B$1,9,1)),OR(COUNTIF($C228:K228,"&gt;0")&gt;0,DATE($B$1,9,1)=DATE(YEAR(TODAY()),MONTH(TODAY()),1))),1,0))</f>
        <v/>
      </c>
      <c r="Y228">
        <f>IF($A228="","",IF(AND($B228&gt;0,L228&lt;$B228,DATE($B$1,10,1)&lt;=TODAY(),OR($O228="",$O228&gt;=DATE($B$1,10,1)),OR(COUNTIF($C228:L228,"&gt;0")&gt;0,DATE($B$1,10,1)=DATE(YEAR(TODAY()),MONTH(TODAY()),1))),1,0))</f>
        <v/>
      </c>
      <c r="Z228">
        <f>IF($A228="","",IF(AND($B228&gt;0,M228&lt;$B228,DATE($B$1,11,1)&lt;=TODAY(),OR($O228="",$O228&gt;=DATE($B$1,11,1)),OR(COUNTIF($C228:M228,"&gt;0")&gt;0,DATE($B$1,11,1)=DATE(YEAR(TODAY()),MONTH(TODAY()),1))),1,0))</f>
        <v/>
      </c>
      <c r="AA228">
        <f>IF($A228="","",IF(AND($B228&gt;0,N228&lt;$B228,DATE($B$1,12,1)&lt;=TODAY(),OR($O228="",$O228&gt;=DATE($B$1,12,1)),OR(COUNTIF($C228:N228,"&gt;0")&gt;0,DATE($B$1,12,1)=DATE(YEAR(TODAY()),MONTH(TODAY()),1))),1,0))</f>
        <v/>
      </c>
    </row>
    <row r="229">
      <c r="A229" s="13">
        <f>IF(원생!$A227="","",원생!$A227&amp;IF(원생!$G227="",""," ("&amp;원생!$G227&amp;")"))</f>
        <v/>
      </c>
      <c r="B229" s="8">
        <f>IF(원생!$A227="","",원생!$F227)</f>
        <v/>
      </c>
      <c r="C229" s="14">
        <f>IF(원생!$A227="","",SUMIFS(수납!$F:$F,수납!$C:$C,원생!$A227,수납!$D:$D,IF(원생!$G227="","",원생!$G227),수납!$B:$B,$B$1&amp;"-"&amp;TEXT(1,"00")&amp;"*",수납!$E:$E,"수강료")+SUMIFS(수납!$F:$F,수납!$C:$C,원생!$A227,수납!$D:$D,IF(원생!$G227="","",원생!$G227),수납!$B:$B,$B$1&amp;"-"&amp;TEXT(1,"00")&amp;"*",수납!$E:$E,""))</f>
        <v/>
      </c>
      <c r="D229" s="14">
        <f>IF(원생!$A227="","",SUMIFS(수납!$F:$F,수납!$C:$C,원생!$A227,수납!$D:$D,IF(원생!$G227="","",원생!$G227),수납!$B:$B,$B$1&amp;"-"&amp;TEXT(2,"00")&amp;"*",수납!$E:$E,"수강료")+SUMIFS(수납!$F:$F,수납!$C:$C,원생!$A227,수납!$D:$D,IF(원생!$G227="","",원생!$G227),수납!$B:$B,$B$1&amp;"-"&amp;TEXT(2,"00")&amp;"*",수납!$E:$E,""))</f>
        <v/>
      </c>
      <c r="E229" s="14">
        <f>IF(원생!$A227="","",SUMIFS(수납!$F:$F,수납!$C:$C,원생!$A227,수납!$D:$D,IF(원생!$G227="","",원생!$G227),수납!$B:$B,$B$1&amp;"-"&amp;TEXT(3,"00")&amp;"*",수납!$E:$E,"수강료")+SUMIFS(수납!$F:$F,수납!$C:$C,원생!$A227,수납!$D:$D,IF(원생!$G227="","",원생!$G227),수납!$B:$B,$B$1&amp;"-"&amp;TEXT(3,"00")&amp;"*",수납!$E:$E,""))</f>
        <v/>
      </c>
      <c r="F229" s="14">
        <f>IF(원생!$A227="","",SUMIFS(수납!$F:$F,수납!$C:$C,원생!$A227,수납!$D:$D,IF(원생!$G227="","",원생!$G227),수납!$B:$B,$B$1&amp;"-"&amp;TEXT(4,"00")&amp;"*",수납!$E:$E,"수강료")+SUMIFS(수납!$F:$F,수납!$C:$C,원생!$A227,수납!$D:$D,IF(원생!$G227="","",원생!$G227),수납!$B:$B,$B$1&amp;"-"&amp;TEXT(4,"00")&amp;"*",수납!$E:$E,""))</f>
        <v/>
      </c>
      <c r="G229" s="14">
        <f>IF(원생!$A227="","",SUMIFS(수납!$F:$F,수납!$C:$C,원생!$A227,수납!$D:$D,IF(원생!$G227="","",원생!$G227),수납!$B:$B,$B$1&amp;"-"&amp;TEXT(5,"00")&amp;"*",수납!$E:$E,"수강료")+SUMIFS(수납!$F:$F,수납!$C:$C,원생!$A227,수납!$D:$D,IF(원생!$G227="","",원생!$G227),수납!$B:$B,$B$1&amp;"-"&amp;TEXT(5,"00")&amp;"*",수납!$E:$E,""))</f>
        <v/>
      </c>
      <c r="H229" s="14">
        <f>IF(원생!$A227="","",SUMIFS(수납!$F:$F,수납!$C:$C,원생!$A227,수납!$D:$D,IF(원생!$G227="","",원생!$G227),수납!$B:$B,$B$1&amp;"-"&amp;TEXT(6,"00")&amp;"*",수납!$E:$E,"수강료")+SUMIFS(수납!$F:$F,수납!$C:$C,원생!$A227,수납!$D:$D,IF(원생!$G227="","",원생!$G227),수납!$B:$B,$B$1&amp;"-"&amp;TEXT(6,"00")&amp;"*",수납!$E:$E,""))</f>
        <v/>
      </c>
      <c r="I229" s="14">
        <f>IF(원생!$A227="","",SUMIFS(수납!$F:$F,수납!$C:$C,원생!$A227,수납!$D:$D,IF(원생!$G227="","",원생!$G227),수납!$B:$B,$B$1&amp;"-"&amp;TEXT(7,"00")&amp;"*",수납!$E:$E,"수강료")+SUMIFS(수납!$F:$F,수납!$C:$C,원생!$A227,수납!$D:$D,IF(원생!$G227="","",원생!$G227),수납!$B:$B,$B$1&amp;"-"&amp;TEXT(7,"00")&amp;"*",수납!$E:$E,""))</f>
        <v/>
      </c>
      <c r="J229" s="14">
        <f>IF(원생!$A227="","",SUMIFS(수납!$F:$F,수납!$C:$C,원생!$A227,수납!$D:$D,IF(원생!$G227="","",원생!$G227),수납!$B:$B,$B$1&amp;"-"&amp;TEXT(8,"00")&amp;"*",수납!$E:$E,"수강료")+SUMIFS(수납!$F:$F,수납!$C:$C,원생!$A227,수납!$D:$D,IF(원생!$G227="","",원생!$G227),수납!$B:$B,$B$1&amp;"-"&amp;TEXT(8,"00")&amp;"*",수납!$E:$E,""))</f>
        <v/>
      </c>
      <c r="K229" s="14">
        <f>IF(원생!$A227="","",SUMIFS(수납!$F:$F,수납!$C:$C,원생!$A227,수납!$D:$D,IF(원생!$G227="","",원생!$G227),수납!$B:$B,$B$1&amp;"-"&amp;TEXT(9,"00")&amp;"*",수납!$E:$E,"수강료")+SUMIFS(수납!$F:$F,수납!$C:$C,원생!$A227,수납!$D:$D,IF(원생!$G227="","",원생!$G227),수납!$B:$B,$B$1&amp;"-"&amp;TEXT(9,"00")&amp;"*",수납!$E:$E,""))</f>
        <v/>
      </c>
      <c r="L229" s="14">
        <f>IF(원생!$A227="","",SUMIFS(수납!$F:$F,수납!$C:$C,원생!$A227,수납!$D:$D,IF(원생!$G227="","",원생!$G227),수납!$B:$B,$B$1&amp;"-"&amp;TEXT(10,"00")&amp;"*",수납!$E:$E,"수강료")+SUMIFS(수납!$F:$F,수납!$C:$C,원생!$A227,수납!$D:$D,IF(원생!$G227="","",원생!$G227),수납!$B:$B,$B$1&amp;"-"&amp;TEXT(10,"00")&amp;"*",수납!$E:$E,""))</f>
        <v/>
      </c>
      <c r="M229" s="14">
        <f>IF(원생!$A227="","",SUMIFS(수납!$F:$F,수납!$C:$C,원생!$A227,수납!$D:$D,IF(원생!$G227="","",원생!$G227),수납!$B:$B,$B$1&amp;"-"&amp;TEXT(11,"00")&amp;"*",수납!$E:$E,"수강료")+SUMIFS(수납!$F:$F,수납!$C:$C,원생!$A227,수납!$D:$D,IF(원생!$G227="","",원생!$G227),수납!$B:$B,$B$1&amp;"-"&amp;TEXT(11,"00")&amp;"*",수납!$E:$E,""))</f>
        <v/>
      </c>
      <c r="N229" s="14">
        <f>IF(원생!$A227="","",SUMIFS(수납!$F:$F,수납!$C:$C,원생!$A227,수납!$D:$D,IF(원생!$G227="","",원생!$G227),수납!$B:$B,$B$1&amp;"-"&amp;TEXT(12,"00")&amp;"*",수납!$E:$E,"수강료")+SUMIFS(수납!$F:$F,수납!$C:$C,원생!$A227,수납!$D:$D,IF(원생!$G227="","",원생!$G227),수납!$B:$B,$B$1&amp;"-"&amp;TEXT(12,"00")&amp;"*",수납!$E:$E,""))</f>
        <v/>
      </c>
      <c r="O229">
        <f>IF(원생!$I227="","",원생!$I227)</f>
        <v/>
      </c>
      <c r="P229">
        <f>IF($A229="","",IF(AND($B229&gt;0,C229&lt;$B229,DATE($B$1,1,1)&lt;=TODAY(),OR($O229="",$O229&gt;=DATE($B$1,1,1)),OR(COUNTIF($C229:C229,"&gt;0")&gt;0,DATE($B$1,1,1)=DATE(YEAR(TODAY()),MONTH(TODAY()),1))),1,0))</f>
        <v/>
      </c>
      <c r="Q229">
        <f>IF($A229="","",IF(AND($B229&gt;0,D229&lt;$B229,DATE($B$1,2,1)&lt;=TODAY(),OR($O229="",$O229&gt;=DATE($B$1,2,1)),OR(COUNTIF($C229:D229,"&gt;0")&gt;0,DATE($B$1,2,1)=DATE(YEAR(TODAY()),MONTH(TODAY()),1))),1,0))</f>
        <v/>
      </c>
      <c r="R229">
        <f>IF($A229="","",IF(AND($B229&gt;0,E229&lt;$B229,DATE($B$1,3,1)&lt;=TODAY(),OR($O229="",$O229&gt;=DATE($B$1,3,1)),OR(COUNTIF($C229:E229,"&gt;0")&gt;0,DATE($B$1,3,1)=DATE(YEAR(TODAY()),MONTH(TODAY()),1))),1,0))</f>
        <v/>
      </c>
      <c r="S229">
        <f>IF($A229="","",IF(AND($B229&gt;0,F229&lt;$B229,DATE($B$1,4,1)&lt;=TODAY(),OR($O229="",$O229&gt;=DATE($B$1,4,1)),OR(COUNTIF($C229:F229,"&gt;0")&gt;0,DATE($B$1,4,1)=DATE(YEAR(TODAY()),MONTH(TODAY()),1))),1,0))</f>
        <v/>
      </c>
      <c r="T229">
        <f>IF($A229="","",IF(AND($B229&gt;0,G229&lt;$B229,DATE($B$1,5,1)&lt;=TODAY(),OR($O229="",$O229&gt;=DATE($B$1,5,1)),OR(COUNTIF($C229:G229,"&gt;0")&gt;0,DATE($B$1,5,1)=DATE(YEAR(TODAY()),MONTH(TODAY()),1))),1,0))</f>
        <v/>
      </c>
      <c r="U229">
        <f>IF($A229="","",IF(AND($B229&gt;0,H229&lt;$B229,DATE($B$1,6,1)&lt;=TODAY(),OR($O229="",$O229&gt;=DATE($B$1,6,1)),OR(COUNTIF($C229:H229,"&gt;0")&gt;0,DATE($B$1,6,1)=DATE(YEAR(TODAY()),MONTH(TODAY()),1))),1,0))</f>
        <v/>
      </c>
      <c r="V229">
        <f>IF($A229="","",IF(AND($B229&gt;0,I229&lt;$B229,DATE($B$1,7,1)&lt;=TODAY(),OR($O229="",$O229&gt;=DATE($B$1,7,1)),OR(COUNTIF($C229:I229,"&gt;0")&gt;0,DATE($B$1,7,1)=DATE(YEAR(TODAY()),MONTH(TODAY()),1))),1,0))</f>
        <v/>
      </c>
      <c r="W229">
        <f>IF($A229="","",IF(AND($B229&gt;0,J229&lt;$B229,DATE($B$1,8,1)&lt;=TODAY(),OR($O229="",$O229&gt;=DATE($B$1,8,1)),OR(COUNTIF($C229:J229,"&gt;0")&gt;0,DATE($B$1,8,1)=DATE(YEAR(TODAY()),MONTH(TODAY()),1))),1,0))</f>
        <v/>
      </c>
      <c r="X229">
        <f>IF($A229="","",IF(AND($B229&gt;0,K229&lt;$B229,DATE($B$1,9,1)&lt;=TODAY(),OR($O229="",$O229&gt;=DATE($B$1,9,1)),OR(COUNTIF($C229:K229,"&gt;0")&gt;0,DATE($B$1,9,1)=DATE(YEAR(TODAY()),MONTH(TODAY()),1))),1,0))</f>
        <v/>
      </c>
      <c r="Y229">
        <f>IF($A229="","",IF(AND($B229&gt;0,L229&lt;$B229,DATE($B$1,10,1)&lt;=TODAY(),OR($O229="",$O229&gt;=DATE($B$1,10,1)),OR(COUNTIF($C229:L229,"&gt;0")&gt;0,DATE($B$1,10,1)=DATE(YEAR(TODAY()),MONTH(TODAY()),1))),1,0))</f>
        <v/>
      </c>
      <c r="Z229">
        <f>IF($A229="","",IF(AND($B229&gt;0,M229&lt;$B229,DATE($B$1,11,1)&lt;=TODAY(),OR($O229="",$O229&gt;=DATE($B$1,11,1)),OR(COUNTIF($C229:M229,"&gt;0")&gt;0,DATE($B$1,11,1)=DATE(YEAR(TODAY()),MONTH(TODAY()),1))),1,0))</f>
        <v/>
      </c>
      <c r="AA229">
        <f>IF($A229="","",IF(AND($B229&gt;0,N229&lt;$B229,DATE($B$1,12,1)&lt;=TODAY(),OR($O229="",$O229&gt;=DATE($B$1,12,1)),OR(COUNTIF($C229:N229,"&gt;0")&gt;0,DATE($B$1,12,1)=DATE(YEAR(TODAY()),MONTH(TODAY()),1))),1,0))</f>
        <v/>
      </c>
    </row>
    <row r="230">
      <c r="A230" s="13">
        <f>IF(원생!$A228="","",원생!$A228&amp;IF(원생!$G228="",""," ("&amp;원생!$G228&amp;")"))</f>
        <v/>
      </c>
      <c r="B230" s="8">
        <f>IF(원생!$A228="","",원생!$F228)</f>
        <v/>
      </c>
      <c r="C230" s="14">
        <f>IF(원생!$A228="","",SUMIFS(수납!$F:$F,수납!$C:$C,원생!$A228,수납!$D:$D,IF(원생!$G228="","",원생!$G228),수납!$B:$B,$B$1&amp;"-"&amp;TEXT(1,"00")&amp;"*",수납!$E:$E,"수강료")+SUMIFS(수납!$F:$F,수납!$C:$C,원생!$A228,수납!$D:$D,IF(원생!$G228="","",원생!$G228),수납!$B:$B,$B$1&amp;"-"&amp;TEXT(1,"00")&amp;"*",수납!$E:$E,""))</f>
        <v/>
      </c>
      <c r="D230" s="14">
        <f>IF(원생!$A228="","",SUMIFS(수납!$F:$F,수납!$C:$C,원생!$A228,수납!$D:$D,IF(원생!$G228="","",원생!$G228),수납!$B:$B,$B$1&amp;"-"&amp;TEXT(2,"00")&amp;"*",수납!$E:$E,"수강료")+SUMIFS(수납!$F:$F,수납!$C:$C,원생!$A228,수납!$D:$D,IF(원생!$G228="","",원생!$G228),수납!$B:$B,$B$1&amp;"-"&amp;TEXT(2,"00")&amp;"*",수납!$E:$E,""))</f>
        <v/>
      </c>
      <c r="E230" s="14">
        <f>IF(원생!$A228="","",SUMIFS(수납!$F:$F,수납!$C:$C,원생!$A228,수납!$D:$D,IF(원생!$G228="","",원생!$G228),수납!$B:$B,$B$1&amp;"-"&amp;TEXT(3,"00")&amp;"*",수납!$E:$E,"수강료")+SUMIFS(수납!$F:$F,수납!$C:$C,원생!$A228,수납!$D:$D,IF(원생!$G228="","",원생!$G228),수납!$B:$B,$B$1&amp;"-"&amp;TEXT(3,"00")&amp;"*",수납!$E:$E,""))</f>
        <v/>
      </c>
      <c r="F230" s="14">
        <f>IF(원생!$A228="","",SUMIFS(수납!$F:$F,수납!$C:$C,원생!$A228,수납!$D:$D,IF(원생!$G228="","",원생!$G228),수납!$B:$B,$B$1&amp;"-"&amp;TEXT(4,"00")&amp;"*",수납!$E:$E,"수강료")+SUMIFS(수납!$F:$F,수납!$C:$C,원생!$A228,수납!$D:$D,IF(원생!$G228="","",원생!$G228),수납!$B:$B,$B$1&amp;"-"&amp;TEXT(4,"00")&amp;"*",수납!$E:$E,""))</f>
        <v/>
      </c>
      <c r="G230" s="14">
        <f>IF(원생!$A228="","",SUMIFS(수납!$F:$F,수납!$C:$C,원생!$A228,수납!$D:$D,IF(원생!$G228="","",원생!$G228),수납!$B:$B,$B$1&amp;"-"&amp;TEXT(5,"00")&amp;"*",수납!$E:$E,"수강료")+SUMIFS(수납!$F:$F,수납!$C:$C,원생!$A228,수납!$D:$D,IF(원생!$G228="","",원생!$G228),수납!$B:$B,$B$1&amp;"-"&amp;TEXT(5,"00")&amp;"*",수납!$E:$E,""))</f>
        <v/>
      </c>
      <c r="H230" s="14">
        <f>IF(원생!$A228="","",SUMIFS(수납!$F:$F,수납!$C:$C,원생!$A228,수납!$D:$D,IF(원생!$G228="","",원생!$G228),수납!$B:$B,$B$1&amp;"-"&amp;TEXT(6,"00")&amp;"*",수납!$E:$E,"수강료")+SUMIFS(수납!$F:$F,수납!$C:$C,원생!$A228,수납!$D:$D,IF(원생!$G228="","",원생!$G228),수납!$B:$B,$B$1&amp;"-"&amp;TEXT(6,"00")&amp;"*",수납!$E:$E,""))</f>
        <v/>
      </c>
      <c r="I230" s="14">
        <f>IF(원생!$A228="","",SUMIFS(수납!$F:$F,수납!$C:$C,원생!$A228,수납!$D:$D,IF(원생!$G228="","",원생!$G228),수납!$B:$B,$B$1&amp;"-"&amp;TEXT(7,"00")&amp;"*",수납!$E:$E,"수강료")+SUMIFS(수납!$F:$F,수납!$C:$C,원생!$A228,수납!$D:$D,IF(원생!$G228="","",원생!$G228),수납!$B:$B,$B$1&amp;"-"&amp;TEXT(7,"00")&amp;"*",수납!$E:$E,""))</f>
        <v/>
      </c>
      <c r="J230" s="14">
        <f>IF(원생!$A228="","",SUMIFS(수납!$F:$F,수납!$C:$C,원생!$A228,수납!$D:$D,IF(원생!$G228="","",원생!$G228),수납!$B:$B,$B$1&amp;"-"&amp;TEXT(8,"00")&amp;"*",수납!$E:$E,"수강료")+SUMIFS(수납!$F:$F,수납!$C:$C,원생!$A228,수납!$D:$D,IF(원생!$G228="","",원생!$G228),수납!$B:$B,$B$1&amp;"-"&amp;TEXT(8,"00")&amp;"*",수납!$E:$E,""))</f>
        <v/>
      </c>
      <c r="K230" s="14">
        <f>IF(원생!$A228="","",SUMIFS(수납!$F:$F,수납!$C:$C,원생!$A228,수납!$D:$D,IF(원생!$G228="","",원생!$G228),수납!$B:$B,$B$1&amp;"-"&amp;TEXT(9,"00")&amp;"*",수납!$E:$E,"수강료")+SUMIFS(수납!$F:$F,수납!$C:$C,원생!$A228,수납!$D:$D,IF(원생!$G228="","",원생!$G228),수납!$B:$B,$B$1&amp;"-"&amp;TEXT(9,"00")&amp;"*",수납!$E:$E,""))</f>
        <v/>
      </c>
      <c r="L230" s="14">
        <f>IF(원생!$A228="","",SUMIFS(수납!$F:$F,수납!$C:$C,원생!$A228,수납!$D:$D,IF(원생!$G228="","",원생!$G228),수납!$B:$B,$B$1&amp;"-"&amp;TEXT(10,"00")&amp;"*",수납!$E:$E,"수강료")+SUMIFS(수납!$F:$F,수납!$C:$C,원생!$A228,수납!$D:$D,IF(원생!$G228="","",원생!$G228),수납!$B:$B,$B$1&amp;"-"&amp;TEXT(10,"00")&amp;"*",수납!$E:$E,""))</f>
        <v/>
      </c>
      <c r="M230" s="14">
        <f>IF(원생!$A228="","",SUMIFS(수납!$F:$F,수납!$C:$C,원생!$A228,수납!$D:$D,IF(원생!$G228="","",원생!$G228),수납!$B:$B,$B$1&amp;"-"&amp;TEXT(11,"00")&amp;"*",수납!$E:$E,"수강료")+SUMIFS(수납!$F:$F,수납!$C:$C,원생!$A228,수납!$D:$D,IF(원생!$G228="","",원생!$G228),수납!$B:$B,$B$1&amp;"-"&amp;TEXT(11,"00")&amp;"*",수납!$E:$E,""))</f>
        <v/>
      </c>
      <c r="N230" s="14">
        <f>IF(원생!$A228="","",SUMIFS(수납!$F:$F,수납!$C:$C,원생!$A228,수납!$D:$D,IF(원생!$G228="","",원생!$G228),수납!$B:$B,$B$1&amp;"-"&amp;TEXT(12,"00")&amp;"*",수납!$E:$E,"수강료")+SUMIFS(수납!$F:$F,수납!$C:$C,원생!$A228,수납!$D:$D,IF(원생!$G228="","",원생!$G228),수납!$B:$B,$B$1&amp;"-"&amp;TEXT(12,"00")&amp;"*",수납!$E:$E,""))</f>
        <v/>
      </c>
      <c r="O230">
        <f>IF(원생!$I228="","",원생!$I228)</f>
        <v/>
      </c>
      <c r="P230">
        <f>IF($A230="","",IF(AND($B230&gt;0,C230&lt;$B230,DATE($B$1,1,1)&lt;=TODAY(),OR($O230="",$O230&gt;=DATE($B$1,1,1)),OR(COUNTIF($C230:C230,"&gt;0")&gt;0,DATE($B$1,1,1)=DATE(YEAR(TODAY()),MONTH(TODAY()),1))),1,0))</f>
        <v/>
      </c>
      <c r="Q230">
        <f>IF($A230="","",IF(AND($B230&gt;0,D230&lt;$B230,DATE($B$1,2,1)&lt;=TODAY(),OR($O230="",$O230&gt;=DATE($B$1,2,1)),OR(COUNTIF($C230:D230,"&gt;0")&gt;0,DATE($B$1,2,1)=DATE(YEAR(TODAY()),MONTH(TODAY()),1))),1,0))</f>
        <v/>
      </c>
      <c r="R230">
        <f>IF($A230="","",IF(AND($B230&gt;0,E230&lt;$B230,DATE($B$1,3,1)&lt;=TODAY(),OR($O230="",$O230&gt;=DATE($B$1,3,1)),OR(COUNTIF($C230:E230,"&gt;0")&gt;0,DATE($B$1,3,1)=DATE(YEAR(TODAY()),MONTH(TODAY()),1))),1,0))</f>
        <v/>
      </c>
      <c r="S230">
        <f>IF($A230="","",IF(AND($B230&gt;0,F230&lt;$B230,DATE($B$1,4,1)&lt;=TODAY(),OR($O230="",$O230&gt;=DATE($B$1,4,1)),OR(COUNTIF($C230:F230,"&gt;0")&gt;0,DATE($B$1,4,1)=DATE(YEAR(TODAY()),MONTH(TODAY()),1))),1,0))</f>
        <v/>
      </c>
      <c r="T230">
        <f>IF($A230="","",IF(AND($B230&gt;0,G230&lt;$B230,DATE($B$1,5,1)&lt;=TODAY(),OR($O230="",$O230&gt;=DATE($B$1,5,1)),OR(COUNTIF($C230:G230,"&gt;0")&gt;0,DATE($B$1,5,1)=DATE(YEAR(TODAY()),MONTH(TODAY()),1))),1,0))</f>
        <v/>
      </c>
      <c r="U230">
        <f>IF($A230="","",IF(AND($B230&gt;0,H230&lt;$B230,DATE($B$1,6,1)&lt;=TODAY(),OR($O230="",$O230&gt;=DATE($B$1,6,1)),OR(COUNTIF($C230:H230,"&gt;0")&gt;0,DATE($B$1,6,1)=DATE(YEAR(TODAY()),MONTH(TODAY()),1))),1,0))</f>
        <v/>
      </c>
      <c r="V230">
        <f>IF($A230="","",IF(AND($B230&gt;0,I230&lt;$B230,DATE($B$1,7,1)&lt;=TODAY(),OR($O230="",$O230&gt;=DATE($B$1,7,1)),OR(COUNTIF($C230:I230,"&gt;0")&gt;0,DATE($B$1,7,1)=DATE(YEAR(TODAY()),MONTH(TODAY()),1))),1,0))</f>
        <v/>
      </c>
      <c r="W230">
        <f>IF($A230="","",IF(AND($B230&gt;0,J230&lt;$B230,DATE($B$1,8,1)&lt;=TODAY(),OR($O230="",$O230&gt;=DATE($B$1,8,1)),OR(COUNTIF($C230:J230,"&gt;0")&gt;0,DATE($B$1,8,1)=DATE(YEAR(TODAY()),MONTH(TODAY()),1))),1,0))</f>
        <v/>
      </c>
      <c r="X230">
        <f>IF($A230="","",IF(AND($B230&gt;0,K230&lt;$B230,DATE($B$1,9,1)&lt;=TODAY(),OR($O230="",$O230&gt;=DATE($B$1,9,1)),OR(COUNTIF($C230:K230,"&gt;0")&gt;0,DATE($B$1,9,1)=DATE(YEAR(TODAY()),MONTH(TODAY()),1))),1,0))</f>
        <v/>
      </c>
      <c r="Y230">
        <f>IF($A230="","",IF(AND($B230&gt;0,L230&lt;$B230,DATE($B$1,10,1)&lt;=TODAY(),OR($O230="",$O230&gt;=DATE($B$1,10,1)),OR(COUNTIF($C230:L230,"&gt;0")&gt;0,DATE($B$1,10,1)=DATE(YEAR(TODAY()),MONTH(TODAY()),1))),1,0))</f>
        <v/>
      </c>
      <c r="Z230">
        <f>IF($A230="","",IF(AND($B230&gt;0,M230&lt;$B230,DATE($B$1,11,1)&lt;=TODAY(),OR($O230="",$O230&gt;=DATE($B$1,11,1)),OR(COUNTIF($C230:M230,"&gt;0")&gt;0,DATE($B$1,11,1)=DATE(YEAR(TODAY()),MONTH(TODAY()),1))),1,0))</f>
        <v/>
      </c>
      <c r="AA230">
        <f>IF($A230="","",IF(AND($B230&gt;0,N230&lt;$B230,DATE($B$1,12,1)&lt;=TODAY(),OR($O230="",$O230&gt;=DATE($B$1,12,1)),OR(COUNTIF($C230:N230,"&gt;0")&gt;0,DATE($B$1,12,1)=DATE(YEAR(TODAY()),MONTH(TODAY()),1))),1,0))</f>
        <v/>
      </c>
    </row>
    <row r="231">
      <c r="A231" s="13">
        <f>IF(원생!$A229="","",원생!$A229&amp;IF(원생!$G229="",""," ("&amp;원생!$G229&amp;")"))</f>
        <v/>
      </c>
      <c r="B231" s="8">
        <f>IF(원생!$A229="","",원생!$F229)</f>
        <v/>
      </c>
      <c r="C231" s="14">
        <f>IF(원생!$A229="","",SUMIFS(수납!$F:$F,수납!$C:$C,원생!$A229,수납!$D:$D,IF(원생!$G229="","",원생!$G229),수납!$B:$B,$B$1&amp;"-"&amp;TEXT(1,"00")&amp;"*",수납!$E:$E,"수강료")+SUMIFS(수납!$F:$F,수납!$C:$C,원생!$A229,수납!$D:$D,IF(원생!$G229="","",원생!$G229),수납!$B:$B,$B$1&amp;"-"&amp;TEXT(1,"00")&amp;"*",수납!$E:$E,""))</f>
        <v/>
      </c>
      <c r="D231" s="14">
        <f>IF(원생!$A229="","",SUMIFS(수납!$F:$F,수납!$C:$C,원생!$A229,수납!$D:$D,IF(원생!$G229="","",원생!$G229),수납!$B:$B,$B$1&amp;"-"&amp;TEXT(2,"00")&amp;"*",수납!$E:$E,"수강료")+SUMIFS(수납!$F:$F,수납!$C:$C,원생!$A229,수납!$D:$D,IF(원생!$G229="","",원생!$G229),수납!$B:$B,$B$1&amp;"-"&amp;TEXT(2,"00")&amp;"*",수납!$E:$E,""))</f>
        <v/>
      </c>
      <c r="E231" s="14">
        <f>IF(원생!$A229="","",SUMIFS(수납!$F:$F,수납!$C:$C,원생!$A229,수납!$D:$D,IF(원생!$G229="","",원생!$G229),수납!$B:$B,$B$1&amp;"-"&amp;TEXT(3,"00")&amp;"*",수납!$E:$E,"수강료")+SUMIFS(수납!$F:$F,수납!$C:$C,원생!$A229,수납!$D:$D,IF(원생!$G229="","",원생!$G229),수납!$B:$B,$B$1&amp;"-"&amp;TEXT(3,"00")&amp;"*",수납!$E:$E,""))</f>
        <v/>
      </c>
      <c r="F231" s="14">
        <f>IF(원생!$A229="","",SUMIFS(수납!$F:$F,수납!$C:$C,원생!$A229,수납!$D:$D,IF(원생!$G229="","",원생!$G229),수납!$B:$B,$B$1&amp;"-"&amp;TEXT(4,"00")&amp;"*",수납!$E:$E,"수강료")+SUMIFS(수납!$F:$F,수납!$C:$C,원생!$A229,수납!$D:$D,IF(원생!$G229="","",원생!$G229),수납!$B:$B,$B$1&amp;"-"&amp;TEXT(4,"00")&amp;"*",수납!$E:$E,""))</f>
        <v/>
      </c>
      <c r="G231" s="14">
        <f>IF(원생!$A229="","",SUMIFS(수납!$F:$F,수납!$C:$C,원생!$A229,수납!$D:$D,IF(원생!$G229="","",원생!$G229),수납!$B:$B,$B$1&amp;"-"&amp;TEXT(5,"00")&amp;"*",수납!$E:$E,"수강료")+SUMIFS(수납!$F:$F,수납!$C:$C,원생!$A229,수납!$D:$D,IF(원생!$G229="","",원생!$G229),수납!$B:$B,$B$1&amp;"-"&amp;TEXT(5,"00")&amp;"*",수납!$E:$E,""))</f>
        <v/>
      </c>
      <c r="H231" s="14">
        <f>IF(원생!$A229="","",SUMIFS(수납!$F:$F,수납!$C:$C,원생!$A229,수납!$D:$D,IF(원생!$G229="","",원생!$G229),수납!$B:$B,$B$1&amp;"-"&amp;TEXT(6,"00")&amp;"*",수납!$E:$E,"수강료")+SUMIFS(수납!$F:$F,수납!$C:$C,원생!$A229,수납!$D:$D,IF(원생!$G229="","",원생!$G229),수납!$B:$B,$B$1&amp;"-"&amp;TEXT(6,"00")&amp;"*",수납!$E:$E,""))</f>
        <v/>
      </c>
      <c r="I231" s="14">
        <f>IF(원생!$A229="","",SUMIFS(수납!$F:$F,수납!$C:$C,원생!$A229,수납!$D:$D,IF(원생!$G229="","",원생!$G229),수납!$B:$B,$B$1&amp;"-"&amp;TEXT(7,"00")&amp;"*",수납!$E:$E,"수강료")+SUMIFS(수납!$F:$F,수납!$C:$C,원생!$A229,수납!$D:$D,IF(원생!$G229="","",원생!$G229),수납!$B:$B,$B$1&amp;"-"&amp;TEXT(7,"00")&amp;"*",수납!$E:$E,""))</f>
        <v/>
      </c>
      <c r="J231" s="14">
        <f>IF(원생!$A229="","",SUMIFS(수납!$F:$F,수납!$C:$C,원생!$A229,수납!$D:$D,IF(원생!$G229="","",원생!$G229),수납!$B:$B,$B$1&amp;"-"&amp;TEXT(8,"00")&amp;"*",수납!$E:$E,"수강료")+SUMIFS(수납!$F:$F,수납!$C:$C,원생!$A229,수납!$D:$D,IF(원생!$G229="","",원생!$G229),수납!$B:$B,$B$1&amp;"-"&amp;TEXT(8,"00")&amp;"*",수납!$E:$E,""))</f>
        <v/>
      </c>
      <c r="K231" s="14">
        <f>IF(원생!$A229="","",SUMIFS(수납!$F:$F,수납!$C:$C,원생!$A229,수납!$D:$D,IF(원생!$G229="","",원생!$G229),수납!$B:$B,$B$1&amp;"-"&amp;TEXT(9,"00")&amp;"*",수납!$E:$E,"수강료")+SUMIFS(수납!$F:$F,수납!$C:$C,원생!$A229,수납!$D:$D,IF(원생!$G229="","",원생!$G229),수납!$B:$B,$B$1&amp;"-"&amp;TEXT(9,"00")&amp;"*",수납!$E:$E,""))</f>
        <v/>
      </c>
      <c r="L231" s="14">
        <f>IF(원생!$A229="","",SUMIFS(수납!$F:$F,수납!$C:$C,원생!$A229,수납!$D:$D,IF(원생!$G229="","",원생!$G229),수납!$B:$B,$B$1&amp;"-"&amp;TEXT(10,"00")&amp;"*",수납!$E:$E,"수강료")+SUMIFS(수납!$F:$F,수납!$C:$C,원생!$A229,수납!$D:$D,IF(원생!$G229="","",원생!$G229),수납!$B:$B,$B$1&amp;"-"&amp;TEXT(10,"00")&amp;"*",수납!$E:$E,""))</f>
        <v/>
      </c>
      <c r="M231" s="14">
        <f>IF(원생!$A229="","",SUMIFS(수납!$F:$F,수납!$C:$C,원생!$A229,수납!$D:$D,IF(원생!$G229="","",원생!$G229),수납!$B:$B,$B$1&amp;"-"&amp;TEXT(11,"00")&amp;"*",수납!$E:$E,"수강료")+SUMIFS(수납!$F:$F,수납!$C:$C,원생!$A229,수납!$D:$D,IF(원생!$G229="","",원생!$G229),수납!$B:$B,$B$1&amp;"-"&amp;TEXT(11,"00")&amp;"*",수납!$E:$E,""))</f>
        <v/>
      </c>
      <c r="N231" s="14">
        <f>IF(원생!$A229="","",SUMIFS(수납!$F:$F,수납!$C:$C,원생!$A229,수납!$D:$D,IF(원생!$G229="","",원생!$G229),수납!$B:$B,$B$1&amp;"-"&amp;TEXT(12,"00")&amp;"*",수납!$E:$E,"수강료")+SUMIFS(수납!$F:$F,수납!$C:$C,원생!$A229,수납!$D:$D,IF(원생!$G229="","",원생!$G229),수납!$B:$B,$B$1&amp;"-"&amp;TEXT(12,"00")&amp;"*",수납!$E:$E,""))</f>
        <v/>
      </c>
      <c r="O231">
        <f>IF(원생!$I229="","",원생!$I229)</f>
        <v/>
      </c>
      <c r="P231">
        <f>IF($A231="","",IF(AND($B231&gt;0,C231&lt;$B231,DATE($B$1,1,1)&lt;=TODAY(),OR($O231="",$O231&gt;=DATE($B$1,1,1)),OR(COUNTIF($C231:C231,"&gt;0")&gt;0,DATE($B$1,1,1)=DATE(YEAR(TODAY()),MONTH(TODAY()),1))),1,0))</f>
        <v/>
      </c>
      <c r="Q231">
        <f>IF($A231="","",IF(AND($B231&gt;0,D231&lt;$B231,DATE($B$1,2,1)&lt;=TODAY(),OR($O231="",$O231&gt;=DATE($B$1,2,1)),OR(COUNTIF($C231:D231,"&gt;0")&gt;0,DATE($B$1,2,1)=DATE(YEAR(TODAY()),MONTH(TODAY()),1))),1,0))</f>
        <v/>
      </c>
      <c r="R231">
        <f>IF($A231="","",IF(AND($B231&gt;0,E231&lt;$B231,DATE($B$1,3,1)&lt;=TODAY(),OR($O231="",$O231&gt;=DATE($B$1,3,1)),OR(COUNTIF($C231:E231,"&gt;0")&gt;0,DATE($B$1,3,1)=DATE(YEAR(TODAY()),MONTH(TODAY()),1))),1,0))</f>
        <v/>
      </c>
      <c r="S231">
        <f>IF($A231="","",IF(AND($B231&gt;0,F231&lt;$B231,DATE($B$1,4,1)&lt;=TODAY(),OR($O231="",$O231&gt;=DATE($B$1,4,1)),OR(COUNTIF($C231:F231,"&gt;0")&gt;0,DATE($B$1,4,1)=DATE(YEAR(TODAY()),MONTH(TODAY()),1))),1,0))</f>
        <v/>
      </c>
      <c r="T231">
        <f>IF($A231="","",IF(AND($B231&gt;0,G231&lt;$B231,DATE($B$1,5,1)&lt;=TODAY(),OR($O231="",$O231&gt;=DATE($B$1,5,1)),OR(COUNTIF($C231:G231,"&gt;0")&gt;0,DATE($B$1,5,1)=DATE(YEAR(TODAY()),MONTH(TODAY()),1))),1,0))</f>
        <v/>
      </c>
      <c r="U231">
        <f>IF($A231="","",IF(AND($B231&gt;0,H231&lt;$B231,DATE($B$1,6,1)&lt;=TODAY(),OR($O231="",$O231&gt;=DATE($B$1,6,1)),OR(COUNTIF($C231:H231,"&gt;0")&gt;0,DATE($B$1,6,1)=DATE(YEAR(TODAY()),MONTH(TODAY()),1))),1,0))</f>
        <v/>
      </c>
      <c r="V231">
        <f>IF($A231="","",IF(AND($B231&gt;0,I231&lt;$B231,DATE($B$1,7,1)&lt;=TODAY(),OR($O231="",$O231&gt;=DATE($B$1,7,1)),OR(COUNTIF($C231:I231,"&gt;0")&gt;0,DATE($B$1,7,1)=DATE(YEAR(TODAY()),MONTH(TODAY()),1))),1,0))</f>
        <v/>
      </c>
      <c r="W231">
        <f>IF($A231="","",IF(AND($B231&gt;0,J231&lt;$B231,DATE($B$1,8,1)&lt;=TODAY(),OR($O231="",$O231&gt;=DATE($B$1,8,1)),OR(COUNTIF($C231:J231,"&gt;0")&gt;0,DATE($B$1,8,1)=DATE(YEAR(TODAY()),MONTH(TODAY()),1))),1,0))</f>
        <v/>
      </c>
      <c r="X231">
        <f>IF($A231="","",IF(AND($B231&gt;0,K231&lt;$B231,DATE($B$1,9,1)&lt;=TODAY(),OR($O231="",$O231&gt;=DATE($B$1,9,1)),OR(COUNTIF($C231:K231,"&gt;0")&gt;0,DATE($B$1,9,1)=DATE(YEAR(TODAY()),MONTH(TODAY()),1))),1,0))</f>
        <v/>
      </c>
      <c r="Y231">
        <f>IF($A231="","",IF(AND($B231&gt;0,L231&lt;$B231,DATE($B$1,10,1)&lt;=TODAY(),OR($O231="",$O231&gt;=DATE($B$1,10,1)),OR(COUNTIF($C231:L231,"&gt;0")&gt;0,DATE($B$1,10,1)=DATE(YEAR(TODAY()),MONTH(TODAY()),1))),1,0))</f>
        <v/>
      </c>
      <c r="Z231">
        <f>IF($A231="","",IF(AND($B231&gt;0,M231&lt;$B231,DATE($B$1,11,1)&lt;=TODAY(),OR($O231="",$O231&gt;=DATE($B$1,11,1)),OR(COUNTIF($C231:M231,"&gt;0")&gt;0,DATE($B$1,11,1)=DATE(YEAR(TODAY()),MONTH(TODAY()),1))),1,0))</f>
        <v/>
      </c>
      <c r="AA231">
        <f>IF($A231="","",IF(AND($B231&gt;0,N231&lt;$B231,DATE($B$1,12,1)&lt;=TODAY(),OR($O231="",$O231&gt;=DATE($B$1,12,1)),OR(COUNTIF($C231:N231,"&gt;0")&gt;0,DATE($B$1,12,1)=DATE(YEAR(TODAY()),MONTH(TODAY()),1))),1,0))</f>
        <v/>
      </c>
    </row>
    <row r="232">
      <c r="A232" s="13">
        <f>IF(원생!$A230="","",원생!$A230&amp;IF(원생!$G230="",""," ("&amp;원생!$G230&amp;")"))</f>
        <v/>
      </c>
      <c r="B232" s="8">
        <f>IF(원생!$A230="","",원생!$F230)</f>
        <v/>
      </c>
      <c r="C232" s="14">
        <f>IF(원생!$A230="","",SUMIFS(수납!$F:$F,수납!$C:$C,원생!$A230,수납!$D:$D,IF(원생!$G230="","",원생!$G230),수납!$B:$B,$B$1&amp;"-"&amp;TEXT(1,"00")&amp;"*",수납!$E:$E,"수강료")+SUMIFS(수납!$F:$F,수납!$C:$C,원생!$A230,수납!$D:$D,IF(원생!$G230="","",원생!$G230),수납!$B:$B,$B$1&amp;"-"&amp;TEXT(1,"00")&amp;"*",수납!$E:$E,""))</f>
        <v/>
      </c>
      <c r="D232" s="14">
        <f>IF(원생!$A230="","",SUMIFS(수납!$F:$F,수납!$C:$C,원생!$A230,수납!$D:$D,IF(원생!$G230="","",원생!$G230),수납!$B:$B,$B$1&amp;"-"&amp;TEXT(2,"00")&amp;"*",수납!$E:$E,"수강료")+SUMIFS(수납!$F:$F,수납!$C:$C,원생!$A230,수납!$D:$D,IF(원생!$G230="","",원생!$G230),수납!$B:$B,$B$1&amp;"-"&amp;TEXT(2,"00")&amp;"*",수납!$E:$E,""))</f>
        <v/>
      </c>
      <c r="E232" s="14">
        <f>IF(원생!$A230="","",SUMIFS(수납!$F:$F,수납!$C:$C,원생!$A230,수납!$D:$D,IF(원생!$G230="","",원생!$G230),수납!$B:$B,$B$1&amp;"-"&amp;TEXT(3,"00")&amp;"*",수납!$E:$E,"수강료")+SUMIFS(수납!$F:$F,수납!$C:$C,원생!$A230,수납!$D:$D,IF(원생!$G230="","",원생!$G230),수납!$B:$B,$B$1&amp;"-"&amp;TEXT(3,"00")&amp;"*",수납!$E:$E,""))</f>
        <v/>
      </c>
      <c r="F232" s="14">
        <f>IF(원생!$A230="","",SUMIFS(수납!$F:$F,수납!$C:$C,원생!$A230,수납!$D:$D,IF(원생!$G230="","",원생!$G230),수납!$B:$B,$B$1&amp;"-"&amp;TEXT(4,"00")&amp;"*",수납!$E:$E,"수강료")+SUMIFS(수납!$F:$F,수납!$C:$C,원생!$A230,수납!$D:$D,IF(원생!$G230="","",원생!$G230),수납!$B:$B,$B$1&amp;"-"&amp;TEXT(4,"00")&amp;"*",수납!$E:$E,""))</f>
        <v/>
      </c>
      <c r="G232" s="14">
        <f>IF(원생!$A230="","",SUMIFS(수납!$F:$F,수납!$C:$C,원생!$A230,수납!$D:$D,IF(원생!$G230="","",원생!$G230),수납!$B:$B,$B$1&amp;"-"&amp;TEXT(5,"00")&amp;"*",수납!$E:$E,"수강료")+SUMIFS(수납!$F:$F,수납!$C:$C,원생!$A230,수납!$D:$D,IF(원생!$G230="","",원생!$G230),수납!$B:$B,$B$1&amp;"-"&amp;TEXT(5,"00")&amp;"*",수납!$E:$E,""))</f>
        <v/>
      </c>
      <c r="H232" s="14">
        <f>IF(원생!$A230="","",SUMIFS(수납!$F:$F,수납!$C:$C,원생!$A230,수납!$D:$D,IF(원생!$G230="","",원생!$G230),수납!$B:$B,$B$1&amp;"-"&amp;TEXT(6,"00")&amp;"*",수납!$E:$E,"수강료")+SUMIFS(수납!$F:$F,수납!$C:$C,원생!$A230,수납!$D:$D,IF(원생!$G230="","",원생!$G230),수납!$B:$B,$B$1&amp;"-"&amp;TEXT(6,"00")&amp;"*",수납!$E:$E,""))</f>
        <v/>
      </c>
      <c r="I232" s="14">
        <f>IF(원생!$A230="","",SUMIFS(수납!$F:$F,수납!$C:$C,원생!$A230,수납!$D:$D,IF(원생!$G230="","",원생!$G230),수납!$B:$B,$B$1&amp;"-"&amp;TEXT(7,"00")&amp;"*",수납!$E:$E,"수강료")+SUMIFS(수납!$F:$F,수납!$C:$C,원생!$A230,수납!$D:$D,IF(원생!$G230="","",원생!$G230),수납!$B:$B,$B$1&amp;"-"&amp;TEXT(7,"00")&amp;"*",수납!$E:$E,""))</f>
        <v/>
      </c>
      <c r="J232" s="14">
        <f>IF(원생!$A230="","",SUMIFS(수납!$F:$F,수납!$C:$C,원생!$A230,수납!$D:$D,IF(원생!$G230="","",원생!$G230),수납!$B:$B,$B$1&amp;"-"&amp;TEXT(8,"00")&amp;"*",수납!$E:$E,"수강료")+SUMIFS(수납!$F:$F,수납!$C:$C,원생!$A230,수납!$D:$D,IF(원생!$G230="","",원생!$G230),수납!$B:$B,$B$1&amp;"-"&amp;TEXT(8,"00")&amp;"*",수납!$E:$E,""))</f>
        <v/>
      </c>
      <c r="K232" s="14">
        <f>IF(원생!$A230="","",SUMIFS(수납!$F:$F,수납!$C:$C,원생!$A230,수납!$D:$D,IF(원생!$G230="","",원생!$G230),수납!$B:$B,$B$1&amp;"-"&amp;TEXT(9,"00")&amp;"*",수납!$E:$E,"수강료")+SUMIFS(수납!$F:$F,수납!$C:$C,원생!$A230,수납!$D:$D,IF(원생!$G230="","",원생!$G230),수납!$B:$B,$B$1&amp;"-"&amp;TEXT(9,"00")&amp;"*",수납!$E:$E,""))</f>
        <v/>
      </c>
      <c r="L232" s="14">
        <f>IF(원생!$A230="","",SUMIFS(수납!$F:$F,수납!$C:$C,원생!$A230,수납!$D:$D,IF(원생!$G230="","",원생!$G230),수납!$B:$B,$B$1&amp;"-"&amp;TEXT(10,"00")&amp;"*",수납!$E:$E,"수강료")+SUMIFS(수납!$F:$F,수납!$C:$C,원생!$A230,수납!$D:$D,IF(원생!$G230="","",원생!$G230),수납!$B:$B,$B$1&amp;"-"&amp;TEXT(10,"00")&amp;"*",수납!$E:$E,""))</f>
        <v/>
      </c>
      <c r="M232" s="14">
        <f>IF(원생!$A230="","",SUMIFS(수납!$F:$F,수납!$C:$C,원생!$A230,수납!$D:$D,IF(원생!$G230="","",원생!$G230),수납!$B:$B,$B$1&amp;"-"&amp;TEXT(11,"00")&amp;"*",수납!$E:$E,"수강료")+SUMIFS(수납!$F:$F,수납!$C:$C,원생!$A230,수납!$D:$D,IF(원생!$G230="","",원생!$G230),수납!$B:$B,$B$1&amp;"-"&amp;TEXT(11,"00")&amp;"*",수납!$E:$E,""))</f>
        <v/>
      </c>
      <c r="N232" s="14">
        <f>IF(원생!$A230="","",SUMIFS(수납!$F:$F,수납!$C:$C,원생!$A230,수납!$D:$D,IF(원생!$G230="","",원생!$G230),수납!$B:$B,$B$1&amp;"-"&amp;TEXT(12,"00")&amp;"*",수납!$E:$E,"수강료")+SUMIFS(수납!$F:$F,수납!$C:$C,원생!$A230,수납!$D:$D,IF(원생!$G230="","",원생!$G230),수납!$B:$B,$B$1&amp;"-"&amp;TEXT(12,"00")&amp;"*",수납!$E:$E,""))</f>
        <v/>
      </c>
      <c r="O232">
        <f>IF(원생!$I230="","",원생!$I230)</f>
        <v/>
      </c>
      <c r="P232">
        <f>IF($A232="","",IF(AND($B232&gt;0,C232&lt;$B232,DATE($B$1,1,1)&lt;=TODAY(),OR($O232="",$O232&gt;=DATE($B$1,1,1)),OR(COUNTIF($C232:C232,"&gt;0")&gt;0,DATE($B$1,1,1)=DATE(YEAR(TODAY()),MONTH(TODAY()),1))),1,0))</f>
        <v/>
      </c>
      <c r="Q232">
        <f>IF($A232="","",IF(AND($B232&gt;0,D232&lt;$B232,DATE($B$1,2,1)&lt;=TODAY(),OR($O232="",$O232&gt;=DATE($B$1,2,1)),OR(COUNTIF($C232:D232,"&gt;0")&gt;0,DATE($B$1,2,1)=DATE(YEAR(TODAY()),MONTH(TODAY()),1))),1,0))</f>
        <v/>
      </c>
      <c r="R232">
        <f>IF($A232="","",IF(AND($B232&gt;0,E232&lt;$B232,DATE($B$1,3,1)&lt;=TODAY(),OR($O232="",$O232&gt;=DATE($B$1,3,1)),OR(COUNTIF($C232:E232,"&gt;0")&gt;0,DATE($B$1,3,1)=DATE(YEAR(TODAY()),MONTH(TODAY()),1))),1,0))</f>
        <v/>
      </c>
      <c r="S232">
        <f>IF($A232="","",IF(AND($B232&gt;0,F232&lt;$B232,DATE($B$1,4,1)&lt;=TODAY(),OR($O232="",$O232&gt;=DATE($B$1,4,1)),OR(COUNTIF($C232:F232,"&gt;0")&gt;0,DATE($B$1,4,1)=DATE(YEAR(TODAY()),MONTH(TODAY()),1))),1,0))</f>
        <v/>
      </c>
      <c r="T232">
        <f>IF($A232="","",IF(AND($B232&gt;0,G232&lt;$B232,DATE($B$1,5,1)&lt;=TODAY(),OR($O232="",$O232&gt;=DATE($B$1,5,1)),OR(COUNTIF($C232:G232,"&gt;0")&gt;0,DATE($B$1,5,1)=DATE(YEAR(TODAY()),MONTH(TODAY()),1))),1,0))</f>
        <v/>
      </c>
      <c r="U232">
        <f>IF($A232="","",IF(AND($B232&gt;0,H232&lt;$B232,DATE($B$1,6,1)&lt;=TODAY(),OR($O232="",$O232&gt;=DATE($B$1,6,1)),OR(COUNTIF($C232:H232,"&gt;0")&gt;0,DATE($B$1,6,1)=DATE(YEAR(TODAY()),MONTH(TODAY()),1))),1,0))</f>
        <v/>
      </c>
      <c r="V232">
        <f>IF($A232="","",IF(AND($B232&gt;0,I232&lt;$B232,DATE($B$1,7,1)&lt;=TODAY(),OR($O232="",$O232&gt;=DATE($B$1,7,1)),OR(COUNTIF($C232:I232,"&gt;0")&gt;0,DATE($B$1,7,1)=DATE(YEAR(TODAY()),MONTH(TODAY()),1))),1,0))</f>
        <v/>
      </c>
      <c r="W232">
        <f>IF($A232="","",IF(AND($B232&gt;0,J232&lt;$B232,DATE($B$1,8,1)&lt;=TODAY(),OR($O232="",$O232&gt;=DATE($B$1,8,1)),OR(COUNTIF($C232:J232,"&gt;0")&gt;0,DATE($B$1,8,1)=DATE(YEAR(TODAY()),MONTH(TODAY()),1))),1,0))</f>
        <v/>
      </c>
      <c r="X232">
        <f>IF($A232="","",IF(AND($B232&gt;0,K232&lt;$B232,DATE($B$1,9,1)&lt;=TODAY(),OR($O232="",$O232&gt;=DATE($B$1,9,1)),OR(COUNTIF($C232:K232,"&gt;0")&gt;0,DATE($B$1,9,1)=DATE(YEAR(TODAY()),MONTH(TODAY()),1))),1,0))</f>
        <v/>
      </c>
      <c r="Y232">
        <f>IF($A232="","",IF(AND($B232&gt;0,L232&lt;$B232,DATE($B$1,10,1)&lt;=TODAY(),OR($O232="",$O232&gt;=DATE($B$1,10,1)),OR(COUNTIF($C232:L232,"&gt;0")&gt;0,DATE($B$1,10,1)=DATE(YEAR(TODAY()),MONTH(TODAY()),1))),1,0))</f>
        <v/>
      </c>
      <c r="Z232">
        <f>IF($A232="","",IF(AND($B232&gt;0,M232&lt;$B232,DATE($B$1,11,1)&lt;=TODAY(),OR($O232="",$O232&gt;=DATE($B$1,11,1)),OR(COUNTIF($C232:M232,"&gt;0")&gt;0,DATE($B$1,11,1)=DATE(YEAR(TODAY()),MONTH(TODAY()),1))),1,0))</f>
        <v/>
      </c>
      <c r="AA232">
        <f>IF($A232="","",IF(AND($B232&gt;0,N232&lt;$B232,DATE($B$1,12,1)&lt;=TODAY(),OR($O232="",$O232&gt;=DATE($B$1,12,1)),OR(COUNTIF($C232:N232,"&gt;0")&gt;0,DATE($B$1,12,1)=DATE(YEAR(TODAY()),MONTH(TODAY()),1))),1,0))</f>
        <v/>
      </c>
    </row>
    <row r="233">
      <c r="A233" s="13">
        <f>IF(원생!$A231="","",원생!$A231&amp;IF(원생!$G231="",""," ("&amp;원생!$G231&amp;")"))</f>
        <v/>
      </c>
      <c r="B233" s="8">
        <f>IF(원생!$A231="","",원생!$F231)</f>
        <v/>
      </c>
      <c r="C233" s="14">
        <f>IF(원생!$A231="","",SUMIFS(수납!$F:$F,수납!$C:$C,원생!$A231,수납!$D:$D,IF(원생!$G231="","",원생!$G231),수납!$B:$B,$B$1&amp;"-"&amp;TEXT(1,"00")&amp;"*",수납!$E:$E,"수강료")+SUMIFS(수납!$F:$F,수납!$C:$C,원생!$A231,수납!$D:$D,IF(원생!$G231="","",원생!$G231),수납!$B:$B,$B$1&amp;"-"&amp;TEXT(1,"00")&amp;"*",수납!$E:$E,""))</f>
        <v/>
      </c>
      <c r="D233" s="14">
        <f>IF(원생!$A231="","",SUMIFS(수납!$F:$F,수납!$C:$C,원생!$A231,수납!$D:$D,IF(원생!$G231="","",원생!$G231),수납!$B:$B,$B$1&amp;"-"&amp;TEXT(2,"00")&amp;"*",수납!$E:$E,"수강료")+SUMIFS(수납!$F:$F,수납!$C:$C,원생!$A231,수납!$D:$D,IF(원생!$G231="","",원생!$G231),수납!$B:$B,$B$1&amp;"-"&amp;TEXT(2,"00")&amp;"*",수납!$E:$E,""))</f>
        <v/>
      </c>
      <c r="E233" s="14">
        <f>IF(원생!$A231="","",SUMIFS(수납!$F:$F,수납!$C:$C,원생!$A231,수납!$D:$D,IF(원생!$G231="","",원생!$G231),수납!$B:$B,$B$1&amp;"-"&amp;TEXT(3,"00")&amp;"*",수납!$E:$E,"수강료")+SUMIFS(수납!$F:$F,수납!$C:$C,원생!$A231,수납!$D:$D,IF(원생!$G231="","",원생!$G231),수납!$B:$B,$B$1&amp;"-"&amp;TEXT(3,"00")&amp;"*",수납!$E:$E,""))</f>
        <v/>
      </c>
      <c r="F233" s="14">
        <f>IF(원생!$A231="","",SUMIFS(수납!$F:$F,수납!$C:$C,원생!$A231,수납!$D:$D,IF(원생!$G231="","",원생!$G231),수납!$B:$B,$B$1&amp;"-"&amp;TEXT(4,"00")&amp;"*",수납!$E:$E,"수강료")+SUMIFS(수납!$F:$F,수납!$C:$C,원생!$A231,수납!$D:$D,IF(원생!$G231="","",원생!$G231),수납!$B:$B,$B$1&amp;"-"&amp;TEXT(4,"00")&amp;"*",수납!$E:$E,""))</f>
        <v/>
      </c>
      <c r="G233" s="14">
        <f>IF(원생!$A231="","",SUMIFS(수납!$F:$F,수납!$C:$C,원생!$A231,수납!$D:$D,IF(원생!$G231="","",원생!$G231),수납!$B:$B,$B$1&amp;"-"&amp;TEXT(5,"00")&amp;"*",수납!$E:$E,"수강료")+SUMIFS(수납!$F:$F,수납!$C:$C,원생!$A231,수납!$D:$D,IF(원생!$G231="","",원생!$G231),수납!$B:$B,$B$1&amp;"-"&amp;TEXT(5,"00")&amp;"*",수납!$E:$E,""))</f>
        <v/>
      </c>
      <c r="H233" s="14">
        <f>IF(원생!$A231="","",SUMIFS(수납!$F:$F,수납!$C:$C,원생!$A231,수납!$D:$D,IF(원생!$G231="","",원생!$G231),수납!$B:$B,$B$1&amp;"-"&amp;TEXT(6,"00")&amp;"*",수납!$E:$E,"수강료")+SUMIFS(수납!$F:$F,수납!$C:$C,원생!$A231,수납!$D:$D,IF(원생!$G231="","",원생!$G231),수납!$B:$B,$B$1&amp;"-"&amp;TEXT(6,"00")&amp;"*",수납!$E:$E,""))</f>
        <v/>
      </c>
      <c r="I233" s="14">
        <f>IF(원생!$A231="","",SUMIFS(수납!$F:$F,수납!$C:$C,원생!$A231,수납!$D:$D,IF(원생!$G231="","",원생!$G231),수납!$B:$B,$B$1&amp;"-"&amp;TEXT(7,"00")&amp;"*",수납!$E:$E,"수강료")+SUMIFS(수납!$F:$F,수납!$C:$C,원생!$A231,수납!$D:$D,IF(원생!$G231="","",원생!$G231),수납!$B:$B,$B$1&amp;"-"&amp;TEXT(7,"00")&amp;"*",수납!$E:$E,""))</f>
        <v/>
      </c>
      <c r="J233" s="14">
        <f>IF(원생!$A231="","",SUMIFS(수납!$F:$F,수납!$C:$C,원생!$A231,수납!$D:$D,IF(원생!$G231="","",원생!$G231),수납!$B:$B,$B$1&amp;"-"&amp;TEXT(8,"00")&amp;"*",수납!$E:$E,"수강료")+SUMIFS(수납!$F:$F,수납!$C:$C,원생!$A231,수납!$D:$D,IF(원생!$G231="","",원생!$G231),수납!$B:$B,$B$1&amp;"-"&amp;TEXT(8,"00")&amp;"*",수납!$E:$E,""))</f>
        <v/>
      </c>
      <c r="K233" s="14">
        <f>IF(원생!$A231="","",SUMIFS(수납!$F:$F,수납!$C:$C,원생!$A231,수납!$D:$D,IF(원생!$G231="","",원생!$G231),수납!$B:$B,$B$1&amp;"-"&amp;TEXT(9,"00")&amp;"*",수납!$E:$E,"수강료")+SUMIFS(수납!$F:$F,수납!$C:$C,원생!$A231,수납!$D:$D,IF(원생!$G231="","",원생!$G231),수납!$B:$B,$B$1&amp;"-"&amp;TEXT(9,"00")&amp;"*",수납!$E:$E,""))</f>
        <v/>
      </c>
      <c r="L233" s="14">
        <f>IF(원생!$A231="","",SUMIFS(수납!$F:$F,수납!$C:$C,원생!$A231,수납!$D:$D,IF(원생!$G231="","",원생!$G231),수납!$B:$B,$B$1&amp;"-"&amp;TEXT(10,"00")&amp;"*",수납!$E:$E,"수강료")+SUMIFS(수납!$F:$F,수납!$C:$C,원생!$A231,수납!$D:$D,IF(원생!$G231="","",원생!$G231),수납!$B:$B,$B$1&amp;"-"&amp;TEXT(10,"00")&amp;"*",수납!$E:$E,""))</f>
        <v/>
      </c>
      <c r="M233" s="14">
        <f>IF(원생!$A231="","",SUMIFS(수납!$F:$F,수납!$C:$C,원생!$A231,수납!$D:$D,IF(원생!$G231="","",원생!$G231),수납!$B:$B,$B$1&amp;"-"&amp;TEXT(11,"00")&amp;"*",수납!$E:$E,"수강료")+SUMIFS(수납!$F:$F,수납!$C:$C,원생!$A231,수납!$D:$D,IF(원생!$G231="","",원생!$G231),수납!$B:$B,$B$1&amp;"-"&amp;TEXT(11,"00")&amp;"*",수납!$E:$E,""))</f>
        <v/>
      </c>
      <c r="N233" s="14">
        <f>IF(원생!$A231="","",SUMIFS(수납!$F:$F,수납!$C:$C,원생!$A231,수납!$D:$D,IF(원생!$G231="","",원생!$G231),수납!$B:$B,$B$1&amp;"-"&amp;TEXT(12,"00")&amp;"*",수납!$E:$E,"수강료")+SUMIFS(수납!$F:$F,수납!$C:$C,원생!$A231,수납!$D:$D,IF(원생!$G231="","",원생!$G231),수납!$B:$B,$B$1&amp;"-"&amp;TEXT(12,"00")&amp;"*",수납!$E:$E,""))</f>
        <v/>
      </c>
      <c r="O233">
        <f>IF(원생!$I231="","",원생!$I231)</f>
        <v/>
      </c>
      <c r="P233">
        <f>IF($A233="","",IF(AND($B233&gt;0,C233&lt;$B233,DATE($B$1,1,1)&lt;=TODAY(),OR($O233="",$O233&gt;=DATE($B$1,1,1)),OR(COUNTIF($C233:C233,"&gt;0")&gt;0,DATE($B$1,1,1)=DATE(YEAR(TODAY()),MONTH(TODAY()),1))),1,0))</f>
        <v/>
      </c>
      <c r="Q233">
        <f>IF($A233="","",IF(AND($B233&gt;0,D233&lt;$B233,DATE($B$1,2,1)&lt;=TODAY(),OR($O233="",$O233&gt;=DATE($B$1,2,1)),OR(COUNTIF($C233:D233,"&gt;0")&gt;0,DATE($B$1,2,1)=DATE(YEAR(TODAY()),MONTH(TODAY()),1))),1,0))</f>
        <v/>
      </c>
      <c r="R233">
        <f>IF($A233="","",IF(AND($B233&gt;0,E233&lt;$B233,DATE($B$1,3,1)&lt;=TODAY(),OR($O233="",$O233&gt;=DATE($B$1,3,1)),OR(COUNTIF($C233:E233,"&gt;0")&gt;0,DATE($B$1,3,1)=DATE(YEAR(TODAY()),MONTH(TODAY()),1))),1,0))</f>
        <v/>
      </c>
      <c r="S233">
        <f>IF($A233="","",IF(AND($B233&gt;0,F233&lt;$B233,DATE($B$1,4,1)&lt;=TODAY(),OR($O233="",$O233&gt;=DATE($B$1,4,1)),OR(COUNTIF($C233:F233,"&gt;0")&gt;0,DATE($B$1,4,1)=DATE(YEAR(TODAY()),MONTH(TODAY()),1))),1,0))</f>
        <v/>
      </c>
      <c r="T233">
        <f>IF($A233="","",IF(AND($B233&gt;0,G233&lt;$B233,DATE($B$1,5,1)&lt;=TODAY(),OR($O233="",$O233&gt;=DATE($B$1,5,1)),OR(COUNTIF($C233:G233,"&gt;0")&gt;0,DATE($B$1,5,1)=DATE(YEAR(TODAY()),MONTH(TODAY()),1))),1,0))</f>
        <v/>
      </c>
      <c r="U233">
        <f>IF($A233="","",IF(AND($B233&gt;0,H233&lt;$B233,DATE($B$1,6,1)&lt;=TODAY(),OR($O233="",$O233&gt;=DATE($B$1,6,1)),OR(COUNTIF($C233:H233,"&gt;0")&gt;0,DATE($B$1,6,1)=DATE(YEAR(TODAY()),MONTH(TODAY()),1))),1,0))</f>
        <v/>
      </c>
      <c r="V233">
        <f>IF($A233="","",IF(AND($B233&gt;0,I233&lt;$B233,DATE($B$1,7,1)&lt;=TODAY(),OR($O233="",$O233&gt;=DATE($B$1,7,1)),OR(COUNTIF($C233:I233,"&gt;0")&gt;0,DATE($B$1,7,1)=DATE(YEAR(TODAY()),MONTH(TODAY()),1))),1,0))</f>
        <v/>
      </c>
      <c r="W233">
        <f>IF($A233="","",IF(AND($B233&gt;0,J233&lt;$B233,DATE($B$1,8,1)&lt;=TODAY(),OR($O233="",$O233&gt;=DATE($B$1,8,1)),OR(COUNTIF($C233:J233,"&gt;0")&gt;0,DATE($B$1,8,1)=DATE(YEAR(TODAY()),MONTH(TODAY()),1))),1,0))</f>
        <v/>
      </c>
      <c r="X233">
        <f>IF($A233="","",IF(AND($B233&gt;0,K233&lt;$B233,DATE($B$1,9,1)&lt;=TODAY(),OR($O233="",$O233&gt;=DATE($B$1,9,1)),OR(COUNTIF($C233:K233,"&gt;0")&gt;0,DATE($B$1,9,1)=DATE(YEAR(TODAY()),MONTH(TODAY()),1))),1,0))</f>
        <v/>
      </c>
      <c r="Y233">
        <f>IF($A233="","",IF(AND($B233&gt;0,L233&lt;$B233,DATE($B$1,10,1)&lt;=TODAY(),OR($O233="",$O233&gt;=DATE($B$1,10,1)),OR(COUNTIF($C233:L233,"&gt;0")&gt;0,DATE($B$1,10,1)=DATE(YEAR(TODAY()),MONTH(TODAY()),1))),1,0))</f>
        <v/>
      </c>
      <c r="Z233">
        <f>IF($A233="","",IF(AND($B233&gt;0,M233&lt;$B233,DATE($B$1,11,1)&lt;=TODAY(),OR($O233="",$O233&gt;=DATE($B$1,11,1)),OR(COUNTIF($C233:M233,"&gt;0")&gt;0,DATE($B$1,11,1)=DATE(YEAR(TODAY()),MONTH(TODAY()),1))),1,0))</f>
        <v/>
      </c>
      <c r="AA233">
        <f>IF($A233="","",IF(AND($B233&gt;0,N233&lt;$B233,DATE($B$1,12,1)&lt;=TODAY(),OR($O233="",$O233&gt;=DATE($B$1,12,1)),OR(COUNTIF($C233:N233,"&gt;0")&gt;0,DATE($B$1,12,1)=DATE(YEAR(TODAY()),MONTH(TODAY()),1))),1,0))</f>
        <v/>
      </c>
    </row>
    <row r="234">
      <c r="A234" s="13">
        <f>IF(원생!$A232="","",원생!$A232&amp;IF(원생!$G232="",""," ("&amp;원생!$G232&amp;")"))</f>
        <v/>
      </c>
      <c r="B234" s="8">
        <f>IF(원생!$A232="","",원생!$F232)</f>
        <v/>
      </c>
      <c r="C234" s="14">
        <f>IF(원생!$A232="","",SUMIFS(수납!$F:$F,수납!$C:$C,원생!$A232,수납!$D:$D,IF(원생!$G232="","",원생!$G232),수납!$B:$B,$B$1&amp;"-"&amp;TEXT(1,"00")&amp;"*",수납!$E:$E,"수강료")+SUMIFS(수납!$F:$F,수납!$C:$C,원생!$A232,수납!$D:$D,IF(원생!$G232="","",원생!$G232),수납!$B:$B,$B$1&amp;"-"&amp;TEXT(1,"00")&amp;"*",수납!$E:$E,""))</f>
        <v/>
      </c>
      <c r="D234" s="14">
        <f>IF(원생!$A232="","",SUMIFS(수납!$F:$F,수납!$C:$C,원생!$A232,수납!$D:$D,IF(원생!$G232="","",원생!$G232),수납!$B:$B,$B$1&amp;"-"&amp;TEXT(2,"00")&amp;"*",수납!$E:$E,"수강료")+SUMIFS(수납!$F:$F,수납!$C:$C,원생!$A232,수납!$D:$D,IF(원생!$G232="","",원생!$G232),수납!$B:$B,$B$1&amp;"-"&amp;TEXT(2,"00")&amp;"*",수납!$E:$E,""))</f>
        <v/>
      </c>
      <c r="E234" s="14">
        <f>IF(원생!$A232="","",SUMIFS(수납!$F:$F,수납!$C:$C,원생!$A232,수납!$D:$D,IF(원생!$G232="","",원생!$G232),수납!$B:$B,$B$1&amp;"-"&amp;TEXT(3,"00")&amp;"*",수납!$E:$E,"수강료")+SUMIFS(수납!$F:$F,수납!$C:$C,원생!$A232,수납!$D:$D,IF(원생!$G232="","",원생!$G232),수납!$B:$B,$B$1&amp;"-"&amp;TEXT(3,"00")&amp;"*",수납!$E:$E,""))</f>
        <v/>
      </c>
      <c r="F234" s="14">
        <f>IF(원생!$A232="","",SUMIFS(수납!$F:$F,수납!$C:$C,원생!$A232,수납!$D:$D,IF(원생!$G232="","",원생!$G232),수납!$B:$B,$B$1&amp;"-"&amp;TEXT(4,"00")&amp;"*",수납!$E:$E,"수강료")+SUMIFS(수납!$F:$F,수납!$C:$C,원생!$A232,수납!$D:$D,IF(원생!$G232="","",원생!$G232),수납!$B:$B,$B$1&amp;"-"&amp;TEXT(4,"00")&amp;"*",수납!$E:$E,""))</f>
        <v/>
      </c>
      <c r="G234" s="14">
        <f>IF(원생!$A232="","",SUMIFS(수납!$F:$F,수납!$C:$C,원생!$A232,수납!$D:$D,IF(원생!$G232="","",원생!$G232),수납!$B:$B,$B$1&amp;"-"&amp;TEXT(5,"00")&amp;"*",수납!$E:$E,"수강료")+SUMIFS(수납!$F:$F,수납!$C:$C,원생!$A232,수납!$D:$D,IF(원생!$G232="","",원생!$G232),수납!$B:$B,$B$1&amp;"-"&amp;TEXT(5,"00")&amp;"*",수납!$E:$E,""))</f>
        <v/>
      </c>
      <c r="H234" s="14">
        <f>IF(원생!$A232="","",SUMIFS(수납!$F:$F,수납!$C:$C,원생!$A232,수납!$D:$D,IF(원생!$G232="","",원생!$G232),수납!$B:$B,$B$1&amp;"-"&amp;TEXT(6,"00")&amp;"*",수납!$E:$E,"수강료")+SUMIFS(수납!$F:$F,수납!$C:$C,원생!$A232,수납!$D:$D,IF(원생!$G232="","",원생!$G232),수납!$B:$B,$B$1&amp;"-"&amp;TEXT(6,"00")&amp;"*",수납!$E:$E,""))</f>
        <v/>
      </c>
      <c r="I234" s="14">
        <f>IF(원생!$A232="","",SUMIFS(수납!$F:$F,수납!$C:$C,원생!$A232,수납!$D:$D,IF(원생!$G232="","",원생!$G232),수납!$B:$B,$B$1&amp;"-"&amp;TEXT(7,"00")&amp;"*",수납!$E:$E,"수강료")+SUMIFS(수납!$F:$F,수납!$C:$C,원생!$A232,수납!$D:$D,IF(원생!$G232="","",원생!$G232),수납!$B:$B,$B$1&amp;"-"&amp;TEXT(7,"00")&amp;"*",수납!$E:$E,""))</f>
        <v/>
      </c>
      <c r="J234" s="14">
        <f>IF(원생!$A232="","",SUMIFS(수납!$F:$F,수납!$C:$C,원생!$A232,수납!$D:$D,IF(원생!$G232="","",원생!$G232),수납!$B:$B,$B$1&amp;"-"&amp;TEXT(8,"00")&amp;"*",수납!$E:$E,"수강료")+SUMIFS(수납!$F:$F,수납!$C:$C,원생!$A232,수납!$D:$D,IF(원생!$G232="","",원생!$G232),수납!$B:$B,$B$1&amp;"-"&amp;TEXT(8,"00")&amp;"*",수납!$E:$E,""))</f>
        <v/>
      </c>
      <c r="K234" s="14">
        <f>IF(원생!$A232="","",SUMIFS(수납!$F:$F,수납!$C:$C,원생!$A232,수납!$D:$D,IF(원생!$G232="","",원생!$G232),수납!$B:$B,$B$1&amp;"-"&amp;TEXT(9,"00")&amp;"*",수납!$E:$E,"수강료")+SUMIFS(수납!$F:$F,수납!$C:$C,원생!$A232,수납!$D:$D,IF(원생!$G232="","",원생!$G232),수납!$B:$B,$B$1&amp;"-"&amp;TEXT(9,"00")&amp;"*",수납!$E:$E,""))</f>
        <v/>
      </c>
      <c r="L234" s="14">
        <f>IF(원생!$A232="","",SUMIFS(수납!$F:$F,수납!$C:$C,원생!$A232,수납!$D:$D,IF(원생!$G232="","",원생!$G232),수납!$B:$B,$B$1&amp;"-"&amp;TEXT(10,"00")&amp;"*",수납!$E:$E,"수강료")+SUMIFS(수납!$F:$F,수납!$C:$C,원생!$A232,수납!$D:$D,IF(원생!$G232="","",원생!$G232),수납!$B:$B,$B$1&amp;"-"&amp;TEXT(10,"00")&amp;"*",수납!$E:$E,""))</f>
        <v/>
      </c>
      <c r="M234" s="14">
        <f>IF(원생!$A232="","",SUMIFS(수납!$F:$F,수납!$C:$C,원생!$A232,수납!$D:$D,IF(원생!$G232="","",원생!$G232),수납!$B:$B,$B$1&amp;"-"&amp;TEXT(11,"00")&amp;"*",수납!$E:$E,"수강료")+SUMIFS(수납!$F:$F,수납!$C:$C,원생!$A232,수납!$D:$D,IF(원생!$G232="","",원생!$G232),수납!$B:$B,$B$1&amp;"-"&amp;TEXT(11,"00")&amp;"*",수납!$E:$E,""))</f>
        <v/>
      </c>
      <c r="N234" s="14">
        <f>IF(원생!$A232="","",SUMIFS(수납!$F:$F,수납!$C:$C,원생!$A232,수납!$D:$D,IF(원생!$G232="","",원생!$G232),수납!$B:$B,$B$1&amp;"-"&amp;TEXT(12,"00")&amp;"*",수납!$E:$E,"수강료")+SUMIFS(수납!$F:$F,수납!$C:$C,원생!$A232,수납!$D:$D,IF(원생!$G232="","",원생!$G232),수납!$B:$B,$B$1&amp;"-"&amp;TEXT(12,"00")&amp;"*",수납!$E:$E,""))</f>
        <v/>
      </c>
      <c r="O234">
        <f>IF(원생!$I232="","",원생!$I232)</f>
        <v/>
      </c>
      <c r="P234">
        <f>IF($A234="","",IF(AND($B234&gt;0,C234&lt;$B234,DATE($B$1,1,1)&lt;=TODAY(),OR($O234="",$O234&gt;=DATE($B$1,1,1)),OR(COUNTIF($C234:C234,"&gt;0")&gt;0,DATE($B$1,1,1)=DATE(YEAR(TODAY()),MONTH(TODAY()),1))),1,0))</f>
        <v/>
      </c>
      <c r="Q234">
        <f>IF($A234="","",IF(AND($B234&gt;0,D234&lt;$B234,DATE($B$1,2,1)&lt;=TODAY(),OR($O234="",$O234&gt;=DATE($B$1,2,1)),OR(COUNTIF($C234:D234,"&gt;0")&gt;0,DATE($B$1,2,1)=DATE(YEAR(TODAY()),MONTH(TODAY()),1))),1,0))</f>
        <v/>
      </c>
      <c r="R234">
        <f>IF($A234="","",IF(AND($B234&gt;0,E234&lt;$B234,DATE($B$1,3,1)&lt;=TODAY(),OR($O234="",$O234&gt;=DATE($B$1,3,1)),OR(COUNTIF($C234:E234,"&gt;0")&gt;0,DATE($B$1,3,1)=DATE(YEAR(TODAY()),MONTH(TODAY()),1))),1,0))</f>
        <v/>
      </c>
      <c r="S234">
        <f>IF($A234="","",IF(AND($B234&gt;0,F234&lt;$B234,DATE($B$1,4,1)&lt;=TODAY(),OR($O234="",$O234&gt;=DATE($B$1,4,1)),OR(COUNTIF($C234:F234,"&gt;0")&gt;0,DATE($B$1,4,1)=DATE(YEAR(TODAY()),MONTH(TODAY()),1))),1,0))</f>
        <v/>
      </c>
      <c r="T234">
        <f>IF($A234="","",IF(AND($B234&gt;0,G234&lt;$B234,DATE($B$1,5,1)&lt;=TODAY(),OR($O234="",$O234&gt;=DATE($B$1,5,1)),OR(COUNTIF($C234:G234,"&gt;0")&gt;0,DATE($B$1,5,1)=DATE(YEAR(TODAY()),MONTH(TODAY()),1))),1,0))</f>
        <v/>
      </c>
      <c r="U234">
        <f>IF($A234="","",IF(AND($B234&gt;0,H234&lt;$B234,DATE($B$1,6,1)&lt;=TODAY(),OR($O234="",$O234&gt;=DATE($B$1,6,1)),OR(COUNTIF($C234:H234,"&gt;0")&gt;0,DATE($B$1,6,1)=DATE(YEAR(TODAY()),MONTH(TODAY()),1))),1,0))</f>
        <v/>
      </c>
      <c r="V234">
        <f>IF($A234="","",IF(AND($B234&gt;0,I234&lt;$B234,DATE($B$1,7,1)&lt;=TODAY(),OR($O234="",$O234&gt;=DATE($B$1,7,1)),OR(COUNTIF($C234:I234,"&gt;0")&gt;0,DATE($B$1,7,1)=DATE(YEAR(TODAY()),MONTH(TODAY()),1))),1,0))</f>
        <v/>
      </c>
      <c r="W234">
        <f>IF($A234="","",IF(AND($B234&gt;0,J234&lt;$B234,DATE($B$1,8,1)&lt;=TODAY(),OR($O234="",$O234&gt;=DATE($B$1,8,1)),OR(COUNTIF($C234:J234,"&gt;0")&gt;0,DATE($B$1,8,1)=DATE(YEAR(TODAY()),MONTH(TODAY()),1))),1,0))</f>
        <v/>
      </c>
      <c r="X234">
        <f>IF($A234="","",IF(AND($B234&gt;0,K234&lt;$B234,DATE($B$1,9,1)&lt;=TODAY(),OR($O234="",$O234&gt;=DATE($B$1,9,1)),OR(COUNTIF($C234:K234,"&gt;0")&gt;0,DATE($B$1,9,1)=DATE(YEAR(TODAY()),MONTH(TODAY()),1))),1,0))</f>
        <v/>
      </c>
      <c r="Y234">
        <f>IF($A234="","",IF(AND($B234&gt;0,L234&lt;$B234,DATE($B$1,10,1)&lt;=TODAY(),OR($O234="",$O234&gt;=DATE($B$1,10,1)),OR(COUNTIF($C234:L234,"&gt;0")&gt;0,DATE($B$1,10,1)=DATE(YEAR(TODAY()),MONTH(TODAY()),1))),1,0))</f>
        <v/>
      </c>
      <c r="Z234">
        <f>IF($A234="","",IF(AND($B234&gt;0,M234&lt;$B234,DATE($B$1,11,1)&lt;=TODAY(),OR($O234="",$O234&gt;=DATE($B$1,11,1)),OR(COUNTIF($C234:M234,"&gt;0")&gt;0,DATE($B$1,11,1)=DATE(YEAR(TODAY()),MONTH(TODAY()),1))),1,0))</f>
        <v/>
      </c>
      <c r="AA234">
        <f>IF($A234="","",IF(AND($B234&gt;0,N234&lt;$B234,DATE($B$1,12,1)&lt;=TODAY(),OR($O234="",$O234&gt;=DATE($B$1,12,1)),OR(COUNTIF($C234:N234,"&gt;0")&gt;0,DATE($B$1,12,1)=DATE(YEAR(TODAY()),MONTH(TODAY()),1))),1,0))</f>
        <v/>
      </c>
    </row>
    <row r="235">
      <c r="A235" s="13">
        <f>IF(원생!$A233="","",원생!$A233&amp;IF(원생!$G233="",""," ("&amp;원생!$G233&amp;")"))</f>
        <v/>
      </c>
      <c r="B235" s="8">
        <f>IF(원생!$A233="","",원생!$F233)</f>
        <v/>
      </c>
      <c r="C235" s="14">
        <f>IF(원생!$A233="","",SUMIFS(수납!$F:$F,수납!$C:$C,원생!$A233,수납!$D:$D,IF(원생!$G233="","",원생!$G233),수납!$B:$B,$B$1&amp;"-"&amp;TEXT(1,"00")&amp;"*",수납!$E:$E,"수강료")+SUMIFS(수납!$F:$F,수납!$C:$C,원생!$A233,수납!$D:$D,IF(원생!$G233="","",원생!$G233),수납!$B:$B,$B$1&amp;"-"&amp;TEXT(1,"00")&amp;"*",수납!$E:$E,""))</f>
        <v/>
      </c>
      <c r="D235" s="14">
        <f>IF(원생!$A233="","",SUMIFS(수납!$F:$F,수납!$C:$C,원생!$A233,수납!$D:$D,IF(원생!$G233="","",원생!$G233),수납!$B:$B,$B$1&amp;"-"&amp;TEXT(2,"00")&amp;"*",수납!$E:$E,"수강료")+SUMIFS(수납!$F:$F,수납!$C:$C,원생!$A233,수납!$D:$D,IF(원생!$G233="","",원생!$G233),수납!$B:$B,$B$1&amp;"-"&amp;TEXT(2,"00")&amp;"*",수납!$E:$E,""))</f>
        <v/>
      </c>
      <c r="E235" s="14">
        <f>IF(원생!$A233="","",SUMIFS(수납!$F:$F,수납!$C:$C,원생!$A233,수납!$D:$D,IF(원생!$G233="","",원생!$G233),수납!$B:$B,$B$1&amp;"-"&amp;TEXT(3,"00")&amp;"*",수납!$E:$E,"수강료")+SUMIFS(수납!$F:$F,수납!$C:$C,원생!$A233,수납!$D:$D,IF(원생!$G233="","",원생!$G233),수납!$B:$B,$B$1&amp;"-"&amp;TEXT(3,"00")&amp;"*",수납!$E:$E,""))</f>
        <v/>
      </c>
      <c r="F235" s="14">
        <f>IF(원생!$A233="","",SUMIFS(수납!$F:$F,수납!$C:$C,원생!$A233,수납!$D:$D,IF(원생!$G233="","",원생!$G233),수납!$B:$B,$B$1&amp;"-"&amp;TEXT(4,"00")&amp;"*",수납!$E:$E,"수강료")+SUMIFS(수납!$F:$F,수납!$C:$C,원생!$A233,수납!$D:$D,IF(원생!$G233="","",원생!$G233),수납!$B:$B,$B$1&amp;"-"&amp;TEXT(4,"00")&amp;"*",수납!$E:$E,""))</f>
        <v/>
      </c>
      <c r="G235" s="14">
        <f>IF(원생!$A233="","",SUMIFS(수납!$F:$F,수납!$C:$C,원생!$A233,수납!$D:$D,IF(원생!$G233="","",원생!$G233),수납!$B:$B,$B$1&amp;"-"&amp;TEXT(5,"00")&amp;"*",수납!$E:$E,"수강료")+SUMIFS(수납!$F:$F,수납!$C:$C,원생!$A233,수납!$D:$D,IF(원생!$G233="","",원생!$G233),수납!$B:$B,$B$1&amp;"-"&amp;TEXT(5,"00")&amp;"*",수납!$E:$E,""))</f>
        <v/>
      </c>
      <c r="H235" s="14">
        <f>IF(원생!$A233="","",SUMIFS(수납!$F:$F,수납!$C:$C,원생!$A233,수납!$D:$D,IF(원생!$G233="","",원생!$G233),수납!$B:$B,$B$1&amp;"-"&amp;TEXT(6,"00")&amp;"*",수납!$E:$E,"수강료")+SUMIFS(수납!$F:$F,수납!$C:$C,원생!$A233,수납!$D:$D,IF(원생!$G233="","",원생!$G233),수납!$B:$B,$B$1&amp;"-"&amp;TEXT(6,"00")&amp;"*",수납!$E:$E,""))</f>
        <v/>
      </c>
      <c r="I235" s="14">
        <f>IF(원생!$A233="","",SUMIFS(수납!$F:$F,수납!$C:$C,원생!$A233,수납!$D:$D,IF(원생!$G233="","",원생!$G233),수납!$B:$B,$B$1&amp;"-"&amp;TEXT(7,"00")&amp;"*",수납!$E:$E,"수강료")+SUMIFS(수납!$F:$F,수납!$C:$C,원생!$A233,수납!$D:$D,IF(원생!$G233="","",원생!$G233),수납!$B:$B,$B$1&amp;"-"&amp;TEXT(7,"00")&amp;"*",수납!$E:$E,""))</f>
        <v/>
      </c>
      <c r="J235" s="14">
        <f>IF(원생!$A233="","",SUMIFS(수납!$F:$F,수납!$C:$C,원생!$A233,수납!$D:$D,IF(원생!$G233="","",원생!$G233),수납!$B:$B,$B$1&amp;"-"&amp;TEXT(8,"00")&amp;"*",수납!$E:$E,"수강료")+SUMIFS(수납!$F:$F,수납!$C:$C,원생!$A233,수납!$D:$D,IF(원생!$G233="","",원생!$G233),수납!$B:$B,$B$1&amp;"-"&amp;TEXT(8,"00")&amp;"*",수납!$E:$E,""))</f>
        <v/>
      </c>
      <c r="K235" s="14">
        <f>IF(원생!$A233="","",SUMIFS(수납!$F:$F,수납!$C:$C,원생!$A233,수납!$D:$D,IF(원생!$G233="","",원생!$G233),수납!$B:$B,$B$1&amp;"-"&amp;TEXT(9,"00")&amp;"*",수납!$E:$E,"수강료")+SUMIFS(수납!$F:$F,수납!$C:$C,원생!$A233,수납!$D:$D,IF(원생!$G233="","",원생!$G233),수납!$B:$B,$B$1&amp;"-"&amp;TEXT(9,"00")&amp;"*",수납!$E:$E,""))</f>
        <v/>
      </c>
      <c r="L235" s="14">
        <f>IF(원생!$A233="","",SUMIFS(수납!$F:$F,수납!$C:$C,원생!$A233,수납!$D:$D,IF(원생!$G233="","",원생!$G233),수납!$B:$B,$B$1&amp;"-"&amp;TEXT(10,"00")&amp;"*",수납!$E:$E,"수강료")+SUMIFS(수납!$F:$F,수납!$C:$C,원생!$A233,수납!$D:$D,IF(원생!$G233="","",원생!$G233),수납!$B:$B,$B$1&amp;"-"&amp;TEXT(10,"00")&amp;"*",수납!$E:$E,""))</f>
        <v/>
      </c>
      <c r="M235" s="14">
        <f>IF(원생!$A233="","",SUMIFS(수납!$F:$F,수납!$C:$C,원생!$A233,수납!$D:$D,IF(원생!$G233="","",원생!$G233),수납!$B:$B,$B$1&amp;"-"&amp;TEXT(11,"00")&amp;"*",수납!$E:$E,"수강료")+SUMIFS(수납!$F:$F,수납!$C:$C,원생!$A233,수납!$D:$D,IF(원생!$G233="","",원생!$G233),수납!$B:$B,$B$1&amp;"-"&amp;TEXT(11,"00")&amp;"*",수납!$E:$E,""))</f>
        <v/>
      </c>
      <c r="N235" s="14">
        <f>IF(원생!$A233="","",SUMIFS(수납!$F:$F,수납!$C:$C,원생!$A233,수납!$D:$D,IF(원생!$G233="","",원생!$G233),수납!$B:$B,$B$1&amp;"-"&amp;TEXT(12,"00")&amp;"*",수납!$E:$E,"수강료")+SUMIFS(수납!$F:$F,수납!$C:$C,원생!$A233,수납!$D:$D,IF(원생!$G233="","",원생!$G233),수납!$B:$B,$B$1&amp;"-"&amp;TEXT(12,"00")&amp;"*",수납!$E:$E,""))</f>
        <v/>
      </c>
      <c r="O235">
        <f>IF(원생!$I233="","",원생!$I233)</f>
        <v/>
      </c>
      <c r="P235">
        <f>IF($A235="","",IF(AND($B235&gt;0,C235&lt;$B235,DATE($B$1,1,1)&lt;=TODAY(),OR($O235="",$O235&gt;=DATE($B$1,1,1)),OR(COUNTIF($C235:C235,"&gt;0")&gt;0,DATE($B$1,1,1)=DATE(YEAR(TODAY()),MONTH(TODAY()),1))),1,0))</f>
        <v/>
      </c>
      <c r="Q235">
        <f>IF($A235="","",IF(AND($B235&gt;0,D235&lt;$B235,DATE($B$1,2,1)&lt;=TODAY(),OR($O235="",$O235&gt;=DATE($B$1,2,1)),OR(COUNTIF($C235:D235,"&gt;0")&gt;0,DATE($B$1,2,1)=DATE(YEAR(TODAY()),MONTH(TODAY()),1))),1,0))</f>
        <v/>
      </c>
      <c r="R235">
        <f>IF($A235="","",IF(AND($B235&gt;0,E235&lt;$B235,DATE($B$1,3,1)&lt;=TODAY(),OR($O235="",$O235&gt;=DATE($B$1,3,1)),OR(COUNTIF($C235:E235,"&gt;0")&gt;0,DATE($B$1,3,1)=DATE(YEAR(TODAY()),MONTH(TODAY()),1))),1,0))</f>
        <v/>
      </c>
      <c r="S235">
        <f>IF($A235="","",IF(AND($B235&gt;0,F235&lt;$B235,DATE($B$1,4,1)&lt;=TODAY(),OR($O235="",$O235&gt;=DATE($B$1,4,1)),OR(COUNTIF($C235:F235,"&gt;0")&gt;0,DATE($B$1,4,1)=DATE(YEAR(TODAY()),MONTH(TODAY()),1))),1,0))</f>
        <v/>
      </c>
      <c r="T235">
        <f>IF($A235="","",IF(AND($B235&gt;0,G235&lt;$B235,DATE($B$1,5,1)&lt;=TODAY(),OR($O235="",$O235&gt;=DATE($B$1,5,1)),OR(COUNTIF($C235:G235,"&gt;0")&gt;0,DATE($B$1,5,1)=DATE(YEAR(TODAY()),MONTH(TODAY()),1))),1,0))</f>
        <v/>
      </c>
      <c r="U235">
        <f>IF($A235="","",IF(AND($B235&gt;0,H235&lt;$B235,DATE($B$1,6,1)&lt;=TODAY(),OR($O235="",$O235&gt;=DATE($B$1,6,1)),OR(COUNTIF($C235:H235,"&gt;0")&gt;0,DATE($B$1,6,1)=DATE(YEAR(TODAY()),MONTH(TODAY()),1))),1,0))</f>
        <v/>
      </c>
      <c r="V235">
        <f>IF($A235="","",IF(AND($B235&gt;0,I235&lt;$B235,DATE($B$1,7,1)&lt;=TODAY(),OR($O235="",$O235&gt;=DATE($B$1,7,1)),OR(COUNTIF($C235:I235,"&gt;0")&gt;0,DATE($B$1,7,1)=DATE(YEAR(TODAY()),MONTH(TODAY()),1))),1,0))</f>
        <v/>
      </c>
      <c r="W235">
        <f>IF($A235="","",IF(AND($B235&gt;0,J235&lt;$B235,DATE($B$1,8,1)&lt;=TODAY(),OR($O235="",$O235&gt;=DATE($B$1,8,1)),OR(COUNTIF($C235:J235,"&gt;0")&gt;0,DATE($B$1,8,1)=DATE(YEAR(TODAY()),MONTH(TODAY()),1))),1,0))</f>
        <v/>
      </c>
      <c r="X235">
        <f>IF($A235="","",IF(AND($B235&gt;0,K235&lt;$B235,DATE($B$1,9,1)&lt;=TODAY(),OR($O235="",$O235&gt;=DATE($B$1,9,1)),OR(COUNTIF($C235:K235,"&gt;0")&gt;0,DATE($B$1,9,1)=DATE(YEAR(TODAY()),MONTH(TODAY()),1))),1,0))</f>
        <v/>
      </c>
      <c r="Y235">
        <f>IF($A235="","",IF(AND($B235&gt;0,L235&lt;$B235,DATE($B$1,10,1)&lt;=TODAY(),OR($O235="",$O235&gt;=DATE($B$1,10,1)),OR(COUNTIF($C235:L235,"&gt;0")&gt;0,DATE($B$1,10,1)=DATE(YEAR(TODAY()),MONTH(TODAY()),1))),1,0))</f>
        <v/>
      </c>
      <c r="Z235">
        <f>IF($A235="","",IF(AND($B235&gt;0,M235&lt;$B235,DATE($B$1,11,1)&lt;=TODAY(),OR($O235="",$O235&gt;=DATE($B$1,11,1)),OR(COUNTIF($C235:M235,"&gt;0")&gt;0,DATE($B$1,11,1)=DATE(YEAR(TODAY()),MONTH(TODAY()),1))),1,0))</f>
        <v/>
      </c>
      <c r="AA235">
        <f>IF($A235="","",IF(AND($B235&gt;0,N235&lt;$B235,DATE($B$1,12,1)&lt;=TODAY(),OR($O235="",$O235&gt;=DATE($B$1,12,1)),OR(COUNTIF($C235:N235,"&gt;0")&gt;0,DATE($B$1,12,1)=DATE(YEAR(TODAY()),MONTH(TODAY()),1))),1,0))</f>
        <v/>
      </c>
    </row>
    <row r="236">
      <c r="A236" s="13">
        <f>IF(원생!$A234="","",원생!$A234&amp;IF(원생!$G234="",""," ("&amp;원생!$G234&amp;")"))</f>
        <v/>
      </c>
      <c r="B236" s="8">
        <f>IF(원생!$A234="","",원생!$F234)</f>
        <v/>
      </c>
      <c r="C236" s="14">
        <f>IF(원생!$A234="","",SUMIFS(수납!$F:$F,수납!$C:$C,원생!$A234,수납!$D:$D,IF(원생!$G234="","",원생!$G234),수납!$B:$B,$B$1&amp;"-"&amp;TEXT(1,"00")&amp;"*",수납!$E:$E,"수강료")+SUMIFS(수납!$F:$F,수납!$C:$C,원생!$A234,수납!$D:$D,IF(원생!$G234="","",원생!$G234),수납!$B:$B,$B$1&amp;"-"&amp;TEXT(1,"00")&amp;"*",수납!$E:$E,""))</f>
        <v/>
      </c>
      <c r="D236" s="14">
        <f>IF(원생!$A234="","",SUMIFS(수납!$F:$F,수납!$C:$C,원생!$A234,수납!$D:$D,IF(원생!$G234="","",원생!$G234),수납!$B:$B,$B$1&amp;"-"&amp;TEXT(2,"00")&amp;"*",수납!$E:$E,"수강료")+SUMIFS(수납!$F:$F,수납!$C:$C,원생!$A234,수납!$D:$D,IF(원생!$G234="","",원생!$G234),수납!$B:$B,$B$1&amp;"-"&amp;TEXT(2,"00")&amp;"*",수납!$E:$E,""))</f>
        <v/>
      </c>
      <c r="E236" s="14">
        <f>IF(원생!$A234="","",SUMIFS(수납!$F:$F,수납!$C:$C,원생!$A234,수납!$D:$D,IF(원생!$G234="","",원생!$G234),수납!$B:$B,$B$1&amp;"-"&amp;TEXT(3,"00")&amp;"*",수납!$E:$E,"수강료")+SUMIFS(수납!$F:$F,수납!$C:$C,원생!$A234,수납!$D:$D,IF(원생!$G234="","",원생!$G234),수납!$B:$B,$B$1&amp;"-"&amp;TEXT(3,"00")&amp;"*",수납!$E:$E,""))</f>
        <v/>
      </c>
      <c r="F236" s="14">
        <f>IF(원생!$A234="","",SUMIFS(수납!$F:$F,수납!$C:$C,원생!$A234,수납!$D:$D,IF(원생!$G234="","",원생!$G234),수납!$B:$B,$B$1&amp;"-"&amp;TEXT(4,"00")&amp;"*",수납!$E:$E,"수강료")+SUMIFS(수납!$F:$F,수납!$C:$C,원생!$A234,수납!$D:$D,IF(원생!$G234="","",원생!$G234),수납!$B:$B,$B$1&amp;"-"&amp;TEXT(4,"00")&amp;"*",수납!$E:$E,""))</f>
        <v/>
      </c>
      <c r="G236" s="14">
        <f>IF(원생!$A234="","",SUMIFS(수납!$F:$F,수납!$C:$C,원생!$A234,수납!$D:$D,IF(원생!$G234="","",원생!$G234),수납!$B:$B,$B$1&amp;"-"&amp;TEXT(5,"00")&amp;"*",수납!$E:$E,"수강료")+SUMIFS(수납!$F:$F,수납!$C:$C,원생!$A234,수납!$D:$D,IF(원생!$G234="","",원생!$G234),수납!$B:$B,$B$1&amp;"-"&amp;TEXT(5,"00")&amp;"*",수납!$E:$E,""))</f>
        <v/>
      </c>
      <c r="H236" s="14">
        <f>IF(원생!$A234="","",SUMIFS(수납!$F:$F,수납!$C:$C,원생!$A234,수납!$D:$D,IF(원생!$G234="","",원생!$G234),수납!$B:$B,$B$1&amp;"-"&amp;TEXT(6,"00")&amp;"*",수납!$E:$E,"수강료")+SUMIFS(수납!$F:$F,수납!$C:$C,원생!$A234,수납!$D:$D,IF(원생!$G234="","",원생!$G234),수납!$B:$B,$B$1&amp;"-"&amp;TEXT(6,"00")&amp;"*",수납!$E:$E,""))</f>
        <v/>
      </c>
      <c r="I236" s="14">
        <f>IF(원생!$A234="","",SUMIFS(수납!$F:$F,수납!$C:$C,원생!$A234,수납!$D:$D,IF(원생!$G234="","",원생!$G234),수납!$B:$B,$B$1&amp;"-"&amp;TEXT(7,"00")&amp;"*",수납!$E:$E,"수강료")+SUMIFS(수납!$F:$F,수납!$C:$C,원생!$A234,수납!$D:$D,IF(원생!$G234="","",원생!$G234),수납!$B:$B,$B$1&amp;"-"&amp;TEXT(7,"00")&amp;"*",수납!$E:$E,""))</f>
        <v/>
      </c>
      <c r="J236" s="14">
        <f>IF(원생!$A234="","",SUMIFS(수납!$F:$F,수납!$C:$C,원생!$A234,수납!$D:$D,IF(원생!$G234="","",원생!$G234),수납!$B:$B,$B$1&amp;"-"&amp;TEXT(8,"00")&amp;"*",수납!$E:$E,"수강료")+SUMIFS(수납!$F:$F,수납!$C:$C,원생!$A234,수납!$D:$D,IF(원생!$G234="","",원생!$G234),수납!$B:$B,$B$1&amp;"-"&amp;TEXT(8,"00")&amp;"*",수납!$E:$E,""))</f>
        <v/>
      </c>
      <c r="K236" s="14">
        <f>IF(원생!$A234="","",SUMIFS(수납!$F:$F,수납!$C:$C,원생!$A234,수납!$D:$D,IF(원생!$G234="","",원생!$G234),수납!$B:$B,$B$1&amp;"-"&amp;TEXT(9,"00")&amp;"*",수납!$E:$E,"수강료")+SUMIFS(수납!$F:$F,수납!$C:$C,원생!$A234,수납!$D:$D,IF(원생!$G234="","",원생!$G234),수납!$B:$B,$B$1&amp;"-"&amp;TEXT(9,"00")&amp;"*",수납!$E:$E,""))</f>
        <v/>
      </c>
      <c r="L236" s="14">
        <f>IF(원생!$A234="","",SUMIFS(수납!$F:$F,수납!$C:$C,원생!$A234,수납!$D:$D,IF(원생!$G234="","",원생!$G234),수납!$B:$B,$B$1&amp;"-"&amp;TEXT(10,"00")&amp;"*",수납!$E:$E,"수강료")+SUMIFS(수납!$F:$F,수납!$C:$C,원생!$A234,수납!$D:$D,IF(원생!$G234="","",원생!$G234),수납!$B:$B,$B$1&amp;"-"&amp;TEXT(10,"00")&amp;"*",수납!$E:$E,""))</f>
        <v/>
      </c>
      <c r="M236" s="14">
        <f>IF(원생!$A234="","",SUMIFS(수납!$F:$F,수납!$C:$C,원생!$A234,수납!$D:$D,IF(원생!$G234="","",원생!$G234),수납!$B:$B,$B$1&amp;"-"&amp;TEXT(11,"00")&amp;"*",수납!$E:$E,"수강료")+SUMIFS(수납!$F:$F,수납!$C:$C,원생!$A234,수납!$D:$D,IF(원생!$G234="","",원생!$G234),수납!$B:$B,$B$1&amp;"-"&amp;TEXT(11,"00")&amp;"*",수납!$E:$E,""))</f>
        <v/>
      </c>
      <c r="N236" s="14">
        <f>IF(원생!$A234="","",SUMIFS(수납!$F:$F,수납!$C:$C,원생!$A234,수납!$D:$D,IF(원생!$G234="","",원생!$G234),수납!$B:$B,$B$1&amp;"-"&amp;TEXT(12,"00")&amp;"*",수납!$E:$E,"수강료")+SUMIFS(수납!$F:$F,수납!$C:$C,원생!$A234,수납!$D:$D,IF(원생!$G234="","",원생!$G234),수납!$B:$B,$B$1&amp;"-"&amp;TEXT(12,"00")&amp;"*",수납!$E:$E,""))</f>
        <v/>
      </c>
      <c r="O236">
        <f>IF(원생!$I234="","",원생!$I234)</f>
        <v/>
      </c>
      <c r="P236">
        <f>IF($A236="","",IF(AND($B236&gt;0,C236&lt;$B236,DATE($B$1,1,1)&lt;=TODAY(),OR($O236="",$O236&gt;=DATE($B$1,1,1)),OR(COUNTIF($C236:C236,"&gt;0")&gt;0,DATE($B$1,1,1)=DATE(YEAR(TODAY()),MONTH(TODAY()),1))),1,0))</f>
        <v/>
      </c>
      <c r="Q236">
        <f>IF($A236="","",IF(AND($B236&gt;0,D236&lt;$B236,DATE($B$1,2,1)&lt;=TODAY(),OR($O236="",$O236&gt;=DATE($B$1,2,1)),OR(COUNTIF($C236:D236,"&gt;0")&gt;0,DATE($B$1,2,1)=DATE(YEAR(TODAY()),MONTH(TODAY()),1))),1,0))</f>
        <v/>
      </c>
      <c r="R236">
        <f>IF($A236="","",IF(AND($B236&gt;0,E236&lt;$B236,DATE($B$1,3,1)&lt;=TODAY(),OR($O236="",$O236&gt;=DATE($B$1,3,1)),OR(COUNTIF($C236:E236,"&gt;0")&gt;0,DATE($B$1,3,1)=DATE(YEAR(TODAY()),MONTH(TODAY()),1))),1,0))</f>
        <v/>
      </c>
      <c r="S236">
        <f>IF($A236="","",IF(AND($B236&gt;0,F236&lt;$B236,DATE($B$1,4,1)&lt;=TODAY(),OR($O236="",$O236&gt;=DATE($B$1,4,1)),OR(COUNTIF($C236:F236,"&gt;0")&gt;0,DATE($B$1,4,1)=DATE(YEAR(TODAY()),MONTH(TODAY()),1))),1,0))</f>
        <v/>
      </c>
      <c r="T236">
        <f>IF($A236="","",IF(AND($B236&gt;0,G236&lt;$B236,DATE($B$1,5,1)&lt;=TODAY(),OR($O236="",$O236&gt;=DATE($B$1,5,1)),OR(COUNTIF($C236:G236,"&gt;0")&gt;0,DATE($B$1,5,1)=DATE(YEAR(TODAY()),MONTH(TODAY()),1))),1,0))</f>
        <v/>
      </c>
      <c r="U236">
        <f>IF($A236="","",IF(AND($B236&gt;0,H236&lt;$B236,DATE($B$1,6,1)&lt;=TODAY(),OR($O236="",$O236&gt;=DATE($B$1,6,1)),OR(COUNTIF($C236:H236,"&gt;0")&gt;0,DATE($B$1,6,1)=DATE(YEAR(TODAY()),MONTH(TODAY()),1))),1,0))</f>
        <v/>
      </c>
      <c r="V236">
        <f>IF($A236="","",IF(AND($B236&gt;0,I236&lt;$B236,DATE($B$1,7,1)&lt;=TODAY(),OR($O236="",$O236&gt;=DATE($B$1,7,1)),OR(COUNTIF($C236:I236,"&gt;0")&gt;0,DATE($B$1,7,1)=DATE(YEAR(TODAY()),MONTH(TODAY()),1))),1,0))</f>
        <v/>
      </c>
      <c r="W236">
        <f>IF($A236="","",IF(AND($B236&gt;0,J236&lt;$B236,DATE($B$1,8,1)&lt;=TODAY(),OR($O236="",$O236&gt;=DATE($B$1,8,1)),OR(COUNTIF($C236:J236,"&gt;0")&gt;0,DATE($B$1,8,1)=DATE(YEAR(TODAY()),MONTH(TODAY()),1))),1,0))</f>
        <v/>
      </c>
      <c r="X236">
        <f>IF($A236="","",IF(AND($B236&gt;0,K236&lt;$B236,DATE($B$1,9,1)&lt;=TODAY(),OR($O236="",$O236&gt;=DATE($B$1,9,1)),OR(COUNTIF($C236:K236,"&gt;0")&gt;0,DATE($B$1,9,1)=DATE(YEAR(TODAY()),MONTH(TODAY()),1))),1,0))</f>
        <v/>
      </c>
      <c r="Y236">
        <f>IF($A236="","",IF(AND($B236&gt;0,L236&lt;$B236,DATE($B$1,10,1)&lt;=TODAY(),OR($O236="",$O236&gt;=DATE($B$1,10,1)),OR(COUNTIF($C236:L236,"&gt;0")&gt;0,DATE($B$1,10,1)=DATE(YEAR(TODAY()),MONTH(TODAY()),1))),1,0))</f>
        <v/>
      </c>
      <c r="Z236">
        <f>IF($A236="","",IF(AND($B236&gt;0,M236&lt;$B236,DATE($B$1,11,1)&lt;=TODAY(),OR($O236="",$O236&gt;=DATE($B$1,11,1)),OR(COUNTIF($C236:M236,"&gt;0")&gt;0,DATE($B$1,11,1)=DATE(YEAR(TODAY()),MONTH(TODAY()),1))),1,0))</f>
        <v/>
      </c>
      <c r="AA236">
        <f>IF($A236="","",IF(AND($B236&gt;0,N236&lt;$B236,DATE($B$1,12,1)&lt;=TODAY(),OR($O236="",$O236&gt;=DATE($B$1,12,1)),OR(COUNTIF($C236:N236,"&gt;0")&gt;0,DATE($B$1,12,1)=DATE(YEAR(TODAY()),MONTH(TODAY()),1))),1,0))</f>
        <v/>
      </c>
    </row>
    <row r="237">
      <c r="A237" s="13">
        <f>IF(원생!$A235="","",원생!$A235&amp;IF(원생!$G235="",""," ("&amp;원생!$G235&amp;")"))</f>
        <v/>
      </c>
      <c r="B237" s="8">
        <f>IF(원생!$A235="","",원생!$F235)</f>
        <v/>
      </c>
      <c r="C237" s="14">
        <f>IF(원생!$A235="","",SUMIFS(수납!$F:$F,수납!$C:$C,원생!$A235,수납!$D:$D,IF(원생!$G235="","",원생!$G235),수납!$B:$B,$B$1&amp;"-"&amp;TEXT(1,"00")&amp;"*",수납!$E:$E,"수강료")+SUMIFS(수납!$F:$F,수납!$C:$C,원생!$A235,수납!$D:$D,IF(원생!$G235="","",원생!$G235),수납!$B:$B,$B$1&amp;"-"&amp;TEXT(1,"00")&amp;"*",수납!$E:$E,""))</f>
        <v/>
      </c>
      <c r="D237" s="14">
        <f>IF(원생!$A235="","",SUMIFS(수납!$F:$F,수납!$C:$C,원생!$A235,수납!$D:$D,IF(원생!$G235="","",원생!$G235),수납!$B:$B,$B$1&amp;"-"&amp;TEXT(2,"00")&amp;"*",수납!$E:$E,"수강료")+SUMIFS(수납!$F:$F,수납!$C:$C,원생!$A235,수납!$D:$D,IF(원생!$G235="","",원생!$G235),수납!$B:$B,$B$1&amp;"-"&amp;TEXT(2,"00")&amp;"*",수납!$E:$E,""))</f>
        <v/>
      </c>
      <c r="E237" s="14">
        <f>IF(원생!$A235="","",SUMIFS(수납!$F:$F,수납!$C:$C,원생!$A235,수납!$D:$D,IF(원생!$G235="","",원생!$G235),수납!$B:$B,$B$1&amp;"-"&amp;TEXT(3,"00")&amp;"*",수납!$E:$E,"수강료")+SUMIFS(수납!$F:$F,수납!$C:$C,원생!$A235,수납!$D:$D,IF(원생!$G235="","",원생!$G235),수납!$B:$B,$B$1&amp;"-"&amp;TEXT(3,"00")&amp;"*",수납!$E:$E,""))</f>
        <v/>
      </c>
      <c r="F237" s="14">
        <f>IF(원생!$A235="","",SUMIFS(수납!$F:$F,수납!$C:$C,원생!$A235,수납!$D:$D,IF(원생!$G235="","",원생!$G235),수납!$B:$B,$B$1&amp;"-"&amp;TEXT(4,"00")&amp;"*",수납!$E:$E,"수강료")+SUMIFS(수납!$F:$F,수납!$C:$C,원생!$A235,수납!$D:$D,IF(원생!$G235="","",원생!$G235),수납!$B:$B,$B$1&amp;"-"&amp;TEXT(4,"00")&amp;"*",수납!$E:$E,""))</f>
        <v/>
      </c>
      <c r="G237" s="14">
        <f>IF(원생!$A235="","",SUMIFS(수납!$F:$F,수납!$C:$C,원생!$A235,수납!$D:$D,IF(원생!$G235="","",원생!$G235),수납!$B:$B,$B$1&amp;"-"&amp;TEXT(5,"00")&amp;"*",수납!$E:$E,"수강료")+SUMIFS(수납!$F:$F,수납!$C:$C,원생!$A235,수납!$D:$D,IF(원생!$G235="","",원생!$G235),수납!$B:$B,$B$1&amp;"-"&amp;TEXT(5,"00")&amp;"*",수납!$E:$E,""))</f>
        <v/>
      </c>
      <c r="H237" s="14">
        <f>IF(원생!$A235="","",SUMIFS(수납!$F:$F,수납!$C:$C,원생!$A235,수납!$D:$D,IF(원생!$G235="","",원생!$G235),수납!$B:$B,$B$1&amp;"-"&amp;TEXT(6,"00")&amp;"*",수납!$E:$E,"수강료")+SUMIFS(수납!$F:$F,수납!$C:$C,원생!$A235,수납!$D:$D,IF(원생!$G235="","",원생!$G235),수납!$B:$B,$B$1&amp;"-"&amp;TEXT(6,"00")&amp;"*",수납!$E:$E,""))</f>
        <v/>
      </c>
      <c r="I237" s="14">
        <f>IF(원생!$A235="","",SUMIFS(수납!$F:$F,수납!$C:$C,원생!$A235,수납!$D:$D,IF(원생!$G235="","",원생!$G235),수납!$B:$B,$B$1&amp;"-"&amp;TEXT(7,"00")&amp;"*",수납!$E:$E,"수강료")+SUMIFS(수납!$F:$F,수납!$C:$C,원생!$A235,수납!$D:$D,IF(원생!$G235="","",원생!$G235),수납!$B:$B,$B$1&amp;"-"&amp;TEXT(7,"00")&amp;"*",수납!$E:$E,""))</f>
        <v/>
      </c>
      <c r="J237" s="14">
        <f>IF(원생!$A235="","",SUMIFS(수납!$F:$F,수납!$C:$C,원생!$A235,수납!$D:$D,IF(원생!$G235="","",원생!$G235),수납!$B:$B,$B$1&amp;"-"&amp;TEXT(8,"00")&amp;"*",수납!$E:$E,"수강료")+SUMIFS(수납!$F:$F,수납!$C:$C,원생!$A235,수납!$D:$D,IF(원생!$G235="","",원생!$G235),수납!$B:$B,$B$1&amp;"-"&amp;TEXT(8,"00")&amp;"*",수납!$E:$E,""))</f>
        <v/>
      </c>
      <c r="K237" s="14">
        <f>IF(원생!$A235="","",SUMIFS(수납!$F:$F,수납!$C:$C,원생!$A235,수납!$D:$D,IF(원생!$G235="","",원생!$G235),수납!$B:$B,$B$1&amp;"-"&amp;TEXT(9,"00")&amp;"*",수납!$E:$E,"수강료")+SUMIFS(수납!$F:$F,수납!$C:$C,원생!$A235,수납!$D:$D,IF(원생!$G235="","",원생!$G235),수납!$B:$B,$B$1&amp;"-"&amp;TEXT(9,"00")&amp;"*",수납!$E:$E,""))</f>
        <v/>
      </c>
      <c r="L237" s="14">
        <f>IF(원생!$A235="","",SUMIFS(수납!$F:$F,수납!$C:$C,원생!$A235,수납!$D:$D,IF(원생!$G235="","",원생!$G235),수납!$B:$B,$B$1&amp;"-"&amp;TEXT(10,"00")&amp;"*",수납!$E:$E,"수강료")+SUMIFS(수납!$F:$F,수납!$C:$C,원생!$A235,수납!$D:$D,IF(원생!$G235="","",원생!$G235),수납!$B:$B,$B$1&amp;"-"&amp;TEXT(10,"00")&amp;"*",수납!$E:$E,""))</f>
        <v/>
      </c>
      <c r="M237" s="14">
        <f>IF(원생!$A235="","",SUMIFS(수납!$F:$F,수납!$C:$C,원생!$A235,수납!$D:$D,IF(원생!$G235="","",원생!$G235),수납!$B:$B,$B$1&amp;"-"&amp;TEXT(11,"00")&amp;"*",수납!$E:$E,"수강료")+SUMIFS(수납!$F:$F,수납!$C:$C,원생!$A235,수납!$D:$D,IF(원생!$G235="","",원생!$G235),수납!$B:$B,$B$1&amp;"-"&amp;TEXT(11,"00")&amp;"*",수납!$E:$E,""))</f>
        <v/>
      </c>
      <c r="N237" s="14">
        <f>IF(원생!$A235="","",SUMIFS(수납!$F:$F,수납!$C:$C,원생!$A235,수납!$D:$D,IF(원생!$G235="","",원생!$G235),수납!$B:$B,$B$1&amp;"-"&amp;TEXT(12,"00")&amp;"*",수납!$E:$E,"수강료")+SUMIFS(수납!$F:$F,수납!$C:$C,원생!$A235,수납!$D:$D,IF(원생!$G235="","",원생!$G235),수납!$B:$B,$B$1&amp;"-"&amp;TEXT(12,"00")&amp;"*",수납!$E:$E,""))</f>
        <v/>
      </c>
      <c r="O237">
        <f>IF(원생!$I235="","",원생!$I235)</f>
        <v/>
      </c>
      <c r="P237">
        <f>IF($A237="","",IF(AND($B237&gt;0,C237&lt;$B237,DATE($B$1,1,1)&lt;=TODAY(),OR($O237="",$O237&gt;=DATE($B$1,1,1)),OR(COUNTIF($C237:C237,"&gt;0")&gt;0,DATE($B$1,1,1)=DATE(YEAR(TODAY()),MONTH(TODAY()),1))),1,0))</f>
        <v/>
      </c>
      <c r="Q237">
        <f>IF($A237="","",IF(AND($B237&gt;0,D237&lt;$B237,DATE($B$1,2,1)&lt;=TODAY(),OR($O237="",$O237&gt;=DATE($B$1,2,1)),OR(COUNTIF($C237:D237,"&gt;0")&gt;0,DATE($B$1,2,1)=DATE(YEAR(TODAY()),MONTH(TODAY()),1))),1,0))</f>
        <v/>
      </c>
      <c r="R237">
        <f>IF($A237="","",IF(AND($B237&gt;0,E237&lt;$B237,DATE($B$1,3,1)&lt;=TODAY(),OR($O237="",$O237&gt;=DATE($B$1,3,1)),OR(COUNTIF($C237:E237,"&gt;0")&gt;0,DATE($B$1,3,1)=DATE(YEAR(TODAY()),MONTH(TODAY()),1))),1,0))</f>
        <v/>
      </c>
      <c r="S237">
        <f>IF($A237="","",IF(AND($B237&gt;0,F237&lt;$B237,DATE($B$1,4,1)&lt;=TODAY(),OR($O237="",$O237&gt;=DATE($B$1,4,1)),OR(COUNTIF($C237:F237,"&gt;0")&gt;0,DATE($B$1,4,1)=DATE(YEAR(TODAY()),MONTH(TODAY()),1))),1,0))</f>
        <v/>
      </c>
      <c r="T237">
        <f>IF($A237="","",IF(AND($B237&gt;0,G237&lt;$B237,DATE($B$1,5,1)&lt;=TODAY(),OR($O237="",$O237&gt;=DATE($B$1,5,1)),OR(COUNTIF($C237:G237,"&gt;0")&gt;0,DATE($B$1,5,1)=DATE(YEAR(TODAY()),MONTH(TODAY()),1))),1,0))</f>
        <v/>
      </c>
      <c r="U237">
        <f>IF($A237="","",IF(AND($B237&gt;0,H237&lt;$B237,DATE($B$1,6,1)&lt;=TODAY(),OR($O237="",$O237&gt;=DATE($B$1,6,1)),OR(COUNTIF($C237:H237,"&gt;0")&gt;0,DATE($B$1,6,1)=DATE(YEAR(TODAY()),MONTH(TODAY()),1))),1,0))</f>
        <v/>
      </c>
      <c r="V237">
        <f>IF($A237="","",IF(AND($B237&gt;0,I237&lt;$B237,DATE($B$1,7,1)&lt;=TODAY(),OR($O237="",$O237&gt;=DATE($B$1,7,1)),OR(COUNTIF($C237:I237,"&gt;0")&gt;0,DATE($B$1,7,1)=DATE(YEAR(TODAY()),MONTH(TODAY()),1))),1,0))</f>
        <v/>
      </c>
      <c r="W237">
        <f>IF($A237="","",IF(AND($B237&gt;0,J237&lt;$B237,DATE($B$1,8,1)&lt;=TODAY(),OR($O237="",$O237&gt;=DATE($B$1,8,1)),OR(COUNTIF($C237:J237,"&gt;0")&gt;0,DATE($B$1,8,1)=DATE(YEAR(TODAY()),MONTH(TODAY()),1))),1,0))</f>
        <v/>
      </c>
      <c r="X237">
        <f>IF($A237="","",IF(AND($B237&gt;0,K237&lt;$B237,DATE($B$1,9,1)&lt;=TODAY(),OR($O237="",$O237&gt;=DATE($B$1,9,1)),OR(COUNTIF($C237:K237,"&gt;0")&gt;0,DATE($B$1,9,1)=DATE(YEAR(TODAY()),MONTH(TODAY()),1))),1,0))</f>
        <v/>
      </c>
      <c r="Y237">
        <f>IF($A237="","",IF(AND($B237&gt;0,L237&lt;$B237,DATE($B$1,10,1)&lt;=TODAY(),OR($O237="",$O237&gt;=DATE($B$1,10,1)),OR(COUNTIF($C237:L237,"&gt;0")&gt;0,DATE($B$1,10,1)=DATE(YEAR(TODAY()),MONTH(TODAY()),1))),1,0))</f>
        <v/>
      </c>
      <c r="Z237">
        <f>IF($A237="","",IF(AND($B237&gt;0,M237&lt;$B237,DATE($B$1,11,1)&lt;=TODAY(),OR($O237="",$O237&gt;=DATE($B$1,11,1)),OR(COUNTIF($C237:M237,"&gt;0")&gt;0,DATE($B$1,11,1)=DATE(YEAR(TODAY()),MONTH(TODAY()),1))),1,0))</f>
        <v/>
      </c>
      <c r="AA237">
        <f>IF($A237="","",IF(AND($B237&gt;0,N237&lt;$B237,DATE($B$1,12,1)&lt;=TODAY(),OR($O237="",$O237&gt;=DATE($B$1,12,1)),OR(COUNTIF($C237:N237,"&gt;0")&gt;0,DATE($B$1,12,1)=DATE(YEAR(TODAY()),MONTH(TODAY()),1))),1,0))</f>
        <v/>
      </c>
    </row>
    <row r="238">
      <c r="A238" s="13">
        <f>IF(원생!$A236="","",원생!$A236&amp;IF(원생!$G236="",""," ("&amp;원생!$G236&amp;")"))</f>
        <v/>
      </c>
      <c r="B238" s="8">
        <f>IF(원생!$A236="","",원생!$F236)</f>
        <v/>
      </c>
      <c r="C238" s="14">
        <f>IF(원생!$A236="","",SUMIFS(수납!$F:$F,수납!$C:$C,원생!$A236,수납!$D:$D,IF(원생!$G236="","",원생!$G236),수납!$B:$B,$B$1&amp;"-"&amp;TEXT(1,"00")&amp;"*",수납!$E:$E,"수강료")+SUMIFS(수납!$F:$F,수납!$C:$C,원생!$A236,수납!$D:$D,IF(원생!$G236="","",원생!$G236),수납!$B:$B,$B$1&amp;"-"&amp;TEXT(1,"00")&amp;"*",수납!$E:$E,""))</f>
        <v/>
      </c>
      <c r="D238" s="14">
        <f>IF(원생!$A236="","",SUMIFS(수납!$F:$F,수납!$C:$C,원생!$A236,수납!$D:$D,IF(원생!$G236="","",원생!$G236),수납!$B:$B,$B$1&amp;"-"&amp;TEXT(2,"00")&amp;"*",수납!$E:$E,"수강료")+SUMIFS(수납!$F:$F,수납!$C:$C,원생!$A236,수납!$D:$D,IF(원생!$G236="","",원생!$G236),수납!$B:$B,$B$1&amp;"-"&amp;TEXT(2,"00")&amp;"*",수납!$E:$E,""))</f>
        <v/>
      </c>
      <c r="E238" s="14">
        <f>IF(원생!$A236="","",SUMIFS(수납!$F:$F,수납!$C:$C,원생!$A236,수납!$D:$D,IF(원생!$G236="","",원생!$G236),수납!$B:$B,$B$1&amp;"-"&amp;TEXT(3,"00")&amp;"*",수납!$E:$E,"수강료")+SUMIFS(수납!$F:$F,수납!$C:$C,원생!$A236,수납!$D:$D,IF(원생!$G236="","",원생!$G236),수납!$B:$B,$B$1&amp;"-"&amp;TEXT(3,"00")&amp;"*",수납!$E:$E,""))</f>
        <v/>
      </c>
      <c r="F238" s="14">
        <f>IF(원생!$A236="","",SUMIFS(수납!$F:$F,수납!$C:$C,원생!$A236,수납!$D:$D,IF(원생!$G236="","",원생!$G236),수납!$B:$B,$B$1&amp;"-"&amp;TEXT(4,"00")&amp;"*",수납!$E:$E,"수강료")+SUMIFS(수납!$F:$F,수납!$C:$C,원생!$A236,수납!$D:$D,IF(원생!$G236="","",원생!$G236),수납!$B:$B,$B$1&amp;"-"&amp;TEXT(4,"00")&amp;"*",수납!$E:$E,""))</f>
        <v/>
      </c>
      <c r="G238" s="14">
        <f>IF(원생!$A236="","",SUMIFS(수납!$F:$F,수납!$C:$C,원생!$A236,수납!$D:$D,IF(원생!$G236="","",원생!$G236),수납!$B:$B,$B$1&amp;"-"&amp;TEXT(5,"00")&amp;"*",수납!$E:$E,"수강료")+SUMIFS(수납!$F:$F,수납!$C:$C,원생!$A236,수납!$D:$D,IF(원생!$G236="","",원생!$G236),수납!$B:$B,$B$1&amp;"-"&amp;TEXT(5,"00")&amp;"*",수납!$E:$E,""))</f>
        <v/>
      </c>
      <c r="H238" s="14">
        <f>IF(원생!$A236="","",SUMIFS(수납!$F:$F,수납!$C:$C,원생!$A236,수납!$D:$D,IF(원생!$G236="","",원생!$G236),수납!$B:$B,$B$1&amp;"-"&amp;TEXT(6,"00")&amp;"*",수납!$E:$E,"수강료")+SUMIFS(수납!$F:$F,수납!$C:$C,원생!$A236,수납!$D:$D,IF(원생!$G236="","",원생!$G236),수납!$B:$B,$B$1&amp;"-"&amp;TEXT(6,"00")&amp;"*",수납!$E:$E,""))</f>
        <v/>
      </c>
      <c r="I238" s="14">
        <f>IF(원생!$A236="","",SUMIFS(수납!$F:$F,수납!$C:$C,원생!$A236,수납!$D:$D,IF(원생!$G236="","",원생!$G236),수납!$B:$B,$B$1&amp;"-"&amp;TEXT(7,"00")&amp;"*",수납!$E:$E,"수강료")+SUMIFS(수납!$F:$F,수납!$C:$C,원생!$A236,수납!$D:$D,IF(원생!$G236="","",원생!$G236),수납!$B:$B,$B$1&amp;"-"&amp;TEXT(7,"00")&amp;"*",수납!$E:$E,""))</f>
        <v/>
      </c>
      <c r="J238" s="14">
        <f>IF(원생!$A236="","",SUMIFS(수납!$F:$F,수납!$C:$C,원생!$A236,수납!$D:$D,IF(원생!$G236="","",원생!$G236),수납!$B:$B,$B$1&amp;"-"&amp;TEXT(8,"00")&amp;"*",수납!$E:$E,"수강료")+SUMIFS(수납!$F:$F,수납!$C:$C,원생!$A236,수납!$D:$D,IF(원생!$G236="","",원생!$G236),수납!$B:$B,$B$1&amp;"-"&amp;TEXT(8,"00")&amp;"*",수납!$E:$E,""))</f>
        <v/>
      </c>
      <c r="K238" s="14">
        <f>IF(원생!$A236="","",SUMIFS(수납!$F:$F,수납!$C:$C,원생!$A236,수납!$D:$D,IF(원생!$G236="","",원생!$G236),수납!$B:$B,$B$1&amp;"-"&amp;TEXT(9,"00")&amp;"*",수납!$E:$E,"수강료")+SUMIFS(수납!$F:$F,수납!$C:$C,원생!$A236,수납!$D:$D,IF(원생!$G236="","",원생!$G236),수납!$B:$B,$B$1&amp;"-"&amp;TEXT(9,"00")&amp;"*",수납!$E:$E,""))</f>
        <v/>
      </c>
      <c r="L238" s="14">
        <f>IF(원생!$A236="","",SUMIFS(수납!$F:$F,수납!$C:$C,원생!$A236,수납!$D:$D,IF(원생!$G236="","",원생!$G236),수납!$B:$B,$B$1&amp;"-"&amp;TEXT(10,"00")&amp;"*",수납!$E:$E,"수강료")+SUMIFS(수납!$F:$F,수납!$C:$C,원생!$A236,수납!$D:$D,IF(원생!$G236="","",원생!$G236),수납!$B:$B,$B$1&amp;"-"&amp;TEXT(10,"00")&amp;"*",수납!$E:$E,""))</f>
        <v/>
      </c>
      <c r="M238" s="14">
        <f>IF(원생!$A236="","",SUMIFS(수납!$F:$F,수납!$C:$C,원생!$A236,수납!$D:$D,IF(원생!$G236="","",원생!$G236),수납!$B:$B,$B$1&amp;"-"&amp;TEXT(11,"00")&amp;"*",수납!$E:$E,"수강료")+SUMIFS(수납!$F:$F,수납!$C:$C,원생!$A236,수납!$D:$D,IF(원생!$G236="","",원생!$G236),수납!$B:$B,$B$1&amp;"-"&amp;TEXT(11,"00")&amp;"*",수납!$E:$E,""))</f>
        <v/>
      </c>
      <c r="N238" s="14">
        <f>IF(원생!$A236="","",SUMIFS(수납!$F:$F,수납!$C:$C,원생!$A236,수납!$D:$D,IF(원생!$G236="","",원생!$G236),수납!$B:$B,$B$1&amp;"-"&amp;TEXT(12,"00")&amp;"*",수납!$E:$E,"수강료")+SUMIFS(수납!$F:$F,수납!$C:$C,원생!$A236,수납!$D:$D,IF(원생!$G236="","",원생!$G236),수납!$B:$B,$B$1&amp;"-"&amp;TEXT(12,"00")&amp;"*",수납!$E:$E,""))</f>
        <v/>
      </c>
      <c r="O238">
        <f>IF(원생!$I236="","",원생!$I236)</f>
        <v/>
      </c>
      <c r="P238">
        <f>IF($A238="","",IF(AND($B238&gt;0,C238&lt;$B238,DATE($B$1,1,1)&lt;=TODAY(),OR($O238="",$O238&gt;=DATE($B$1,1,1)),OR(COUNTIF($C238:C238,"&gt;0")&gt;0,DATE($B$1,1,1)=DATE(YEAR(TODAY()),MONTH(TODAY()),1))),1,0))</f>
        <v/>
      </c>
      <c r="Q238">
        <f>IF($A238="","",IF(AND($B238&gt;0,D238&lt;$B238,DATE($B$1,2,1)&lt;=TODAY(),OR($O238="",$O238&gt;=DATE($B$1,2,1)),OR(COUNTIF($C238:D238,"&gt;0")&gt;0,DATE($B$1,2,1)=DATE(YEAR(TODAY()),MONTH(TODAY()),1))),1,0))</f>
        <v/>
      </c>
      <c r="R238">
        <f>IF($A238="","",IF(AND($B238&gt;0,E238&lt;$B238,DATE($B$1,3,1)&lt;=TODAY(),OR($O238="",$O238&gt;=DATE($B$1,3,1)),OR(COUNTIF($C238:E238,"&gt;0")&gt;0,DATE($B$1,3,1)=DATE(YEAR(TODAY()),MONTH(TODAY()),1))),1,0))</f>
        <v/>
      </c>
      <c r="S238">
        <f>IF($A238="","",IF(AND($B238&gt;0,F238&lt;$B238,DATE($B$1,4,1)&lt;=TODAY(),OR($O238="",$O238&gt;=DATE($B$1,4,1)),OR(COUNTIF($C238:F238,"&gt;0")&gt;0,DATE($B$1,4,1)=DATE(YEAR(TODAY()),MONTH(TODAY()),1))),1,0))</f>
        <v/>
      </c>
      <c r="T238">
        <f>IF($A238="","",IF(AND($B238&gt;0,G238&lt;$B238,DATE($B$1,5,1)&lt;=TODAY(),OR($O238="",$O238&gt;=DATE($B$1,5,1)),OR(COUNTIF($C238:G238,"&gt;0")&gt;0,DATE($B$1,5,1)=DATE(YEAR(TODAY()),MONTH(TODAY()),1))),1,0))</f>
        <v/>
      </c>
      <c r="U238">
        <f>IF($A238="","",IF(AND($B238&gt;0,H238&lt;$B238,DATE($B$1,6,1)&lt;=TODAY(),OR($O238="",$O238&gt;=DATE($B$1,6,1)),OR(COUNTIF($C238:H238,"&gt;0")&gt;0,DATE($B$1,6,1)=DATE(YEAR(TODAY()),MONTH(TODAY()),1))),1,0))</f>
        <v/>
      </c>
      <c r="V238">
        <f>IF($A238="","",IF(AND($B238&gt;0,I238&lt;$B238,DATE($B$1,7,1)&lt;=TODAY(),OR($O238="",$O238&gt;=DATE($B$1,7,1)),OR(COUNTIF($C238:I238,"&gt;0")&gt;0,DATE($B$1,7,1)=DATE(YEAR(TODAY()),MONTH(TODAY()),1))),1,0))</f>
        <v/>
      </c>
      <c r="W238">
        <f>IF($A238="","",IF(AND($B238&gt;0,J238&lt;$B238,DATE($B$1,8,1)&lt;=TODAY(),OR($O238="",$O238&gt;=DATE($B$1,8,1)),OR(COUNTIF($C238:J238,"&gt;0")&gt;0,DATE($B$1,8,1)=DATE(YEAR(TODAY()),MONTH(TODAY()),1))),1,0))</f>
        <v/>
      </c>
      <c r="X238">
        <f>IF($A238="","",IF(AND($B238&gt;0,K238&lt;$B238,DATE($B$1,9,1)&lt;=TODAY(),OR($O238="",$O238&gt;=DATE($B$1,9,1)),OR(COUNTIF($C238:K238,"&gt;0")&gt;0,DATE($B$1,9,1)=DATE(YEAR(TODAY()),MONTH(TODAY()),1))),1,0))</f>
        <v/>
      </c>
      <c r="Y238">
        <f>IF($A238="","",IF(AND($B238&gt;0,L238&lt;$B238,DATE($B$1,10,1)&lt;=TODAY(),OR($O238="",$O238&gt;=DATE($B$1,10,1)),OR(COUNTIF($C238:L238,"&gt;0")&gt;0,DATE($B$1,10,1)=DATE(YEAR(TODAY()),MONTH(TODAY()),1))),1,0))</f>
        <v/>
      </c>
      <c r="Z238">
        <f>IF($A238="","",IF(AND($B238&gt;0,M238&lt;$B238,DATE($B$1,11,1)&lt;=TODAY(),OR($O238="",$O238&gt;=DATE($B$1,11,1)),OR(COUNTIF($C238:M238,"&gt;0")&gt;0,DATE($B$1,11,1)=DATE(YEAR(TODAY()),MONTH(TODAY()),1))),1,0))</f>
        <v/>
      </c>
      <c r="AA238">
        <f>IF($A238="","",IF(AND($B238&gt;0,N238&lt;$B238,DATE($B$1,12,1)&lt;=TODAY(),OR($O238="",$O238&gt;=DATE($B$1,12,1)),OR(COUNTIF($C238:N238,"&gt;0")&gt;0,DATE($B$1,12,1)=DATE(YEAR(TODAY()),MONTH(TODAY()),1))),1,0))</f>
        <v/>
      </c>
    </row>
    <row r="239">
      <c r="A239" s="13">
        <f>IF(원생!$A237="","",원생!$A237&amp;IF(원생!$G237="",""," ("&amp;원생!$G237&amp;")"))</f>
        <v/>
      </c>
      <c r="B239" s="8">
        <f>IF(원생!$A237="","",원생!$F237)</f>
        <v/>
      </c>
      <c r="C239" s="14">
        <f>IF(원생!$A237="","",SUMIFS(수납!$F:$F,수납!$C:$C,원생!$A237,수납!$D:$D,IF(원생!$G237="","",원생!$G237),수납!$B:$B,$B$1&amp;"-"&amp;TEXT(1,"00")&amp;"*",수납!$E:$E,"수강료")+SUMIFS(수납!$F:$F,수납!$C:$C,원생!$A237,수납!$D:$D,IF(원생!$G237="","",원생!$G237),수납!$B:$B,$B$1&amp;"-"&amp;TEXT(1,"00")&amp;"*",수납!$E:$E,""))</f>
        <v/>
      </c>
      <c r="D239" s="14">
        <f>IF(원생!$A237="","",SUMIFS(수납!$F:$F,수납!$C:$C,원생!$A237,수납!$D:$D,IF(원생!$G237="","",원생!$G237),수납!$B:$B,$B$1&amp;"-"&amp;TEXT(2,"00")&amp;"*",수납!$E:$E,"수강료")+SUMIFS(수납!$F:$F,수납!$C:$C,원생!$A237,수납!$D:$D,IF(원생!$G237="","",원생!$G237),수납!$B:$B,$B$1&amp;"-"&amp;TEXT(2,"00")&amp;"*",수납!$E:$E,""))</f>
        <v/>
      </c>
      <c r="E239" s="14">
        <f>IF(원생!$A237="","",SUMIFS(수납!$F:$F,수납!$C:$C,원생!$A237,수납!$D:$D,IF(원생!$G237="","",원생!$G237),수납!$B:$B,$B$1&amp;"-"&amp;TEXT(3,"00")&amp;"*",수납!$E:$E,"수강료")+SUMIFS(수납!$F:$F,수납!$C:$C,원생!$A237,수납!$D:$D,IF(원생!$G237="","",원생!$G237),수납!$B:$B,$B$1&amp;"-"&amp;TEXT(3,"00")&amp;"*",수납!$E:$E,""))</f>
        <v/>
      </c>
      <c r="F239" s="14">
        <f>IF(원생!$A237="","",SUMIFS(수납!$F:$F,수납!$C:$C,원생!$A237,수납!$D:$D,IF(원생!$G237="","",원생!$G237),수납!$B:$B,$B$1&amp;"-"&amp;TEXT(4,"00")&amp;"*",수납!$E:$E,"수강료")+SUMIFS(수납!$F:$F,수납!$C:$C,원생!$A237,수납!$D:$D,IF(원생!$G237="","",원생!$G237),수납!$B:$B,$B$1&amp;"-"&amp;TEXT(4,"00")&amp;"*",수납!$E:$E,""))</f>
        <v/>
      </c>
      <c r="G239" s="14">
        <f>IF(원생!$A237="","",SUMIFS(수납!$F:$F,수납!$C:$C,원생!$A237,수납!$D:$D,IF(원생!$G237="","",원생!$G237),수납!$B:$B,$B$1&amp;"-"&amp;TEXT(5,"00")&amp;"*",수납!$E:$E,"수강료")+SUMIFS(수납!$F:$F,수납!$C:$C,원생!$A237,수납!$D:$D,IF(원생!$G237="","",원생!$G237),수납!$B:$B,$B$1&amp;"-"&amp;TEXT(5,"00")&amp;"*",수납!$E:$E,""))</f>
        <v/>
      </c>
      <c r="H239" s="14">
        <f>IF(원생!$A237="","",SUMIFS(수납!$F:$F,수납!$C:$C,원생!$A237,수납!$D:$D,IF(원생!$G237="","",원생!$G237),수납!$B:$B,$B$1&amp;"-"&amp;TEXT(6,"00")&amp;"*",수납!$E:$E,"수강료")+SUMIFS(수납!$F:$F,수납!$C:$C,원생!$A237,수납!$D:$D,IF(원생!$G237="","",원생!$G237),수납!$B:$B,$B$1&amp;"-"&amp;TEXT(6,"00")&amp;"*",수납!$E:$E,""))</f>
        <v/>
      </c>
      <c r="I239" s="14">
        <f>IF(원생!$A237="","",SUMIFS(수납!$F:$F,수납!$C:$C,원생!$A237,수납!$D:$D,IF(원생!$G237="","",원생!$G237),수납!$B:$B,$B$1&amp;"-"&amp;TEXT(7,"00")&amp;"*",수납!$E:$E,"수강료")+SUMIFS(수납!$F:$F,수납!$C:$C,원생!$A237,수납!$D:$D,IF(원생!$G237="","",원생!$G237),수납!$B:$B,$B$1&amp;"-"&amp;TEXT(7,"00")&amp;"*",수납!$E:$E,""))</f>
        <v/>
      </c>
      <c r="J239" s="14">
        <f>IF(원생!$A237="","",SUMIFS(수납!$F:$F,수납!$C:$C,원생!$A237,수납!$D:$D,IF(원생!$G237="","",원생!$G237),수납!$B:$B,$B$1&amp;"-"&amp;TEXT(8,"00")&amp;"*",수납!$E:$E,"수강료")+SUMIFS(수납!$F:$F,수납!$C:$C,원생!$A237,수납!$D:$D,IF(원생!$G237="","",원생!$G237),수납!$B:$B,$B$1&amp;"-"&amp;TEXT(8,"00")&amp;"*",수납!$E:$E,""))</f>
        <v/>
      </c>
      <c r="K239" s="14">
        <f>IF(원생!$A237="","",SUMIFS(수납!$F:$F,수납!$C:$C,원생!$A237,수납!$D:$D,IF(원생!$G237="","",원생!$G237),수납!$B:$B,$B$1&amp;"-"&amp;TEXT(9,"00")&amp;"*",수납!$E:$E,"수강료")+SUMIFS(수납!$F:$F,수납!$C:$C,원생!$A237,수납!$D:$D,IF(원생!$G237="","",원생!$G237),수납!$B:$B,$B$1&amp;"-"&amp;TEXT(9,"00")&amp;"*",수납!$E:$E,""))</f>
        <v/>
      </c>
      <c r="L239" s="14">
        <f>IF(원생!$A237="","",SUMIFS(수납!$F:$F,수납!$C:$C,원생!$A237,수납!$D:$D,IF(원생!$G237="","",원생!$G237),수납!$B:$B,$B$1&amp;"-"&amp;TEXT(10,"00")&amp;"*",수납!$E:$E,"수강료")+SUMIFS(수납!$F:$F,수납!$C:$C,원생!$A237,수납!$D:$D,IF(원생!$G237="","",원생!$G237),수납!$B:$B,$B$1&amp;"-"&amp;TEXT(10,"00")&amp;"*",수납!$E:$E,""))</f>
        <v/>
      </c>
      <c r="M239" s="14">
        <f>IF(원생!$A237="","",SUMIFS(수납!$F:$F,수납!$C:$C,원생!$A237,수납!$D:$D,IF(원생!$G237="","",원생!$G237),수납!$B:$B,$B$1&amp;"-"&amp;TEXT(11,"00")&amp;"*",수납!$E:$E,"수강료")+SUMIFS(수납!$F:$F,수납!$C:$C,원생!$A237,수납!$D:$D,IF(원생!$G237="","",원생!$G237),수납!$B:$B,$B$1&amp;"-"&amp;TEXT(11,"00")&amp;"*",수납!$E:$E,""))</f>
        <v/>
      </c>
      <c r="N239" s="14">
        <f>IF(원생!$A237="","",SUMIFS(수납!$F:$F,수납!$C:$C,원생!$A237,수납!$D:$D,IF(원생!$G237="","",원생!$G237),수납!$B:$B,$B$1&amp;"-"&amp;TEXT(12,"00")&amp;"*",수납!$E:$E,"수강료")+SUMIFS(수납!$F:$F,수납!$C:$C,원생!$A237,수납!$D:$D,IF(원생!$G237="","",원생!$G237),수납!$B:$B,$B$1&amp;"-"&amp;TEXT(12,"00")&amp;"*",수납!$E:$E,""))</f>
        <v/>
      </c>
      <c r="O239">
        <f>IF(원생!$I237="","",원생!$I237)</f>
        <v/>
      </c>
      <c r="P239">
        <f>IF($A239="","",IF(AND($B239&gt;0,C239&lt;$B239,DATE($B$1,1,1)&lt;=TODAY(),OR($O239="",$O239&gt;=DATE($B$1,1,1)),OR(COUNTIF($C239:C239,"&gt;0")&gt;0,DATE($B$1,1,1)=DATE(YEAR(TODAY()),MONTH(TODAY()),1))),1,0))</f>
        <v/>
      </c>
      <c r="Q239">
        <f>IF($A239="","",IF(AND($B239&gt;0,D239&lt;$B239,DATE($B$1,2,1)&lt;=TODAY(),OR($O239="",$O239&gt;=DATE($B$1,2,1)),OR(COUNTIF($C239:D239,"&gt;0")&gt;0,DATE($B$1,2,1)=DATE(YEAR(TODAY()),MONTH(TODAY()),1))),1,0))</f>
        <v/>
      </c>
      <c r="R239">
        <f>IF($A239="","",IF(AND($B239&gt;0,E239&lt;$B239,DATE($B$1,3,1)&lt;=TODAY(),OR($O239="",$O239&gt;=DATE($B$1,3,1)),OR(COUNTIF($C239:E239,"&gt;0")&gt;0,DATE($B$1,3,1)=DATE(YEAR(TODAY()),MONTH(TODAY()),1))),1,0))</f>
        <v/>
      </c>
      <c r="S239">
        <f>IF($A239="","",IF(AND($B239&gt;0,F239&lt;$B239,DATE($B$1,4,1)&lt;=TODAY(),OR($O239="",$O239&gt;=DATE($B$1,4,1)),OR(COUNTIF($C239:F239,"&gt;0")&gt;0,DATE($B$1,4,1)=DATE(YEAR(TODAY()),MONTH(TODAY()),1))),1,0))</f>
        <v/>
      </c>
      <c r="T239">
        <f>IF($A239="","",IF(AND($B239&gt;0,G239&lt;$B239,DATE($B$1,5,1)&lt;=TODAY(),OR($O239="",$O239&gt;=DATE($B$1,5,1)),OR(COUNTIF($C239:G239,"&gt;0")&gt;0,DATE($B$1,5,1)=DATE(YEAR(TODAY()),MONTH(TODAY()),1))),1,0))</f>
        <v/>
      </c>
      <c r="U239">
        <f>IF($A239="","",IF(AND($B239&gt;0,H239&lt;$B239,DATE($B$1,6,1)&lt;=TODAY(),OR($O239="",$O239&gt;=DATE($B$1,6,1)),OR(COUNTIF($C239:H239,"&gt;0")&gt;0,DATE($B$1,6,1)=DATE(YEAR(TODAY()),MONTH(TODAY()),1))),1,0))</f>
        <v/>
      </c>
      <c r="V239">
        <f>IF($A239="","",IF(AND($B239&gt;0,I239&lt;$B239,DATE($B$1,7,1)&lt;=TODAY(),OR($O239="",$O239&gt;=DATE($B$1,7,1)),OR(COUNTIF($C239:I239,"&gt;0")&gt;0,DATE($B$1,7,1)=DATE(YEAR(TODAY()),MONTH(TODAY()),1))),1,0))</f>
        <v/>
      </c>
      <c r="W239">
        <f>IF($A239="","",IF(AND($B239&gt;0,J239&lt;$B239,DATE($B$1,8,1)&lt;=TODAY(),OR($O239="",$O239&gt;=DATE($B$1,8,1)),OR(COUNTIF($C239:J239,"&gt;0")&gt;0,DATE($B$1,8,1)=DATE(YEAR(TODAY()),MONTH(TODAY()),1))),1,0))</f>
        <v/>
      </c>
      <c r="X239">
        <f>IF($A239="","",IF(AND($B239&gt;0,K239&lt;$B239,DATE($B$1,9,1)&lt;=TODAY(),OR($O239="",$O239&gt;=DATE($B$1,9,1)),OR(COUNTIF($C239:K239,"&gt;0")&gt;0,DATE($B$1,9,1)=DATE(YEAR(TODAY()),MONTH(TODAY()),1))),1,0))</f>
        <v/>
      </c>
      <c r="Y239">
        <f>IF($A239="","",IF(AND($B239&gt;0,L239&lt;$B239,DATE($B$1,10,1)&lt;=TODAY(),OR($O239="",$O239&gt;=DATE($B$1,10,1)),OR(COUNTIF($C239:L239,"&gt;0")&gt;0,DATE($B$1,10,1)=DATE(YEAR(TODAY()),MONTH(TODAY()),1))),1,0))</f>
        <v/>
      </c>
      <c r="Z239">
        <f>IF($A239="","",IF(AND($B239&gt;0,M239&lt;$B239,DATE($B$1,11,1)&lt;=TODAY(),OR($O239="",$O239&gt;=DATE($B$1,11,1)),OR(COUNTIF($C239:M239,"&gt;0")&gt;0,DATE($B$1,11,1)=DATE(YEAR(TODAY()),MONTH(TODAY()),1))),1,0))</f>
        <v/>
      </c>
      <c r="AA239">
        <f>IF($A239="","",IF(AND($B239&gt;0,N239&lt;$B239,DATE($B$1,12,1)&lt;=TODAY(),OR($O239="",$O239&gt;=DATE($B$1,12,1)),OR(COUNTIF($C239:N239,"&gt;0")&gt;0,DATE($B$1,12,1)=DATE(YEAR(TODAY()),MONTH(TODAY()),1))),1,0))</f>
        <v/>
      </c>
    </row>
    <row r="240">
      <c r="A240" s="13">
        <f>IF(원생!$A238="","",원생!$A238&amp;IF(원생!$G238="",""," ("&amp;원생!$G238&amp;")"))</f>
        <v/>
      </c>
      <c r="B240" s="8">
        <f>IF(원생!$A238="","",원생!$F238)</f>
        <v/>
      </c>
      <c r="C240" s="14">
        <f>IF(원생!$A238="","",SUMIFS(수납!$F:$F,수납!$C:$C,원생!$A238,수납!$D:$D,IF(원생!$G238="","",원생!$G238),수납!$B:$B,$B$1&amp;"-"&amp;TEXT(1,"00")&amp;"*",수납!$E:$E,"수강료")+SUMIFS(수납!$F:$F,수납!$C:$C,원생!$A238,수납!$D:$D,IF(원생!$G238="","",원생!$G238),수납!$B:$B,$B$1&amp;"-"&amp;TEXT(1,"00")&amp;"*",수납!$E:$E,""))</f>
        <v/>
      </c>
      <c r="D240" s="14">
        <f>IF(원생!$A238="","",SUMIFS(수납!$F:$F,수납!$C:$C,원생!$A238,수납!$D:$D,IF(원생!$G238="","",원생!$G238),수납!$B:$B,$B$1&amp;"-"&amp;TEXT(2,"00")&amp;"*",수납!$E:$E,"수강료")+SUMIFS(수납!$F:$F,수납!$C:$C,원생!$A238,수납!$D:$D,IF(원생!$G238="","",원생!$G238),수납!$B:$B,$B$1&amp;"-"&amp;TEXT(2,"00")&amp;"*",수납!$E:$E,""))</f>
        <v/>
      </c>
      <c r="E240" s="14">
        <f>IF(원생!$A238="","",SUMIFS(수납!$F:$F,수납!$C:$C,원생!$A238,수납!$D:$D,IF(원생!$G238="","",원생!$G238),수납!$B:$B,$B$1&amp;"-"&amp;TEXT(3,"00")&amp;"*",수납!$E:$E,"수강료")+SUMIFS(수납!$F:$F,수납!$C:$C,원생!$A238,수납!$D:$D,IF(원생!$G238="","",원생!$G238),수납!$B:$B,$B$1&amp;"-"&amp;TEXT(3,"00")&amp;"*",수납!$E:$E,""))</f>
        <v/>
      </c>
      <c r="F240" s="14">
        <f>IF(원생!$A238="","",SUMIFS(수납!$F:$F,수납!$C:$C,원생!$A238,수납!$D:$D,IF(원생!$G238="","",원생!$G238),수납!$B:$B,$B$1&amp;"-"&amp;TEXT(4,"00")&amp;"*",수납!$E:$E,"수강료")+SUMIFS(수납!$F:$F,수납!$C:$C,원생!$A238,수납!$D:$D,IF(원생!$G238="","",원생!$G238),수납!$B:$B,$B$1&amp;"-"&amp;TEXT(4,"00")&amp;"*",수납!$E:$E,""))</f>
        <v/>
      </c>
      <c r="G240" s="14">
        <f>IF(원생!$A238="","",SUMIFS(수납!$F:$F,수납!$C:$C,원생!$A238,수납!$D:$D,IF(원생!$G238="","",원생!$G238),수납!$B:$B,$B$1&amp;"-"&amp;TEXT(5,"00")&amp;"*",수납!$E:$E,"수강료")+SUMIFS(수납!$F:$F,수납!$C:$C,원생!$A238,수납!$D:$D,IF(원생!$G238="","",원생!$G238),수납!$B:$B,$B$1&amp;"-"&amp;TEXT(5,"00")&amp;"*",수납!$E:$E,""))</f>
        <v/>
      </c>
      <c r="H240" s="14">
        <f>IF(원생!$A238="","",SUMIFS(수납!$F:$F,수납!$C:$C,원생!$A238,수납!$D:$D,IF(원생!$G238="","",원생!$G238),수납!$B:$B,$B$1&amp;"-"&amp;TEXT(6,"00")&amp;"*",수납!$E:$E,"수강료")+SUMIFS(수납!$F:$F,수납!$C:$C,원생!$A238,수납!$D:$D,IF(원생!$G238="","",원생!$G238),수납!$B:$B,$B$1&amp;"-"&amp;TEXT(6,"00")&amp;"*",수납!$E:$E,""))</f>
        <v/>
      </c>
      <c r="I240" s="14">
        <f>IF(원생!$A238="","",SUMIFS(수납!$F:$F,수납!$C:$C,원생!$A238,수납!$D:$D,IF(원생!$G238="","",원생!$G238),수납!$B:$B,$B$1&amp;"-"&amp;TEXT(7,"00")&amp;"*",수납!$E:$E,"수강료")+SUMIFS(수납!$F:$F,수납!$C:$C,원생!$A238,수납!$D:$D,IF(원생!$G238="","",원생!$G238),수납!$B:$B,$B$1&amp;"-"&amp;TEXT(7,"00")&amp;"*",수납!$E:$E,""))</f>
        <v/>
      </c>
      <c r="J240" s="14">
        <f>IF(원생!$A238="","",SUMIFS(수납!$F:$F,수납!$C:$C,원생!$A238,수납!$D:$D,IF(원생!$G238="","",원생!$G238),수납!$B:$B,$B$1&amp;"-"&amp;TEXT(8,"00")&amp;"*",수납!$E:$E,"수강료")+SUMIFS(수납!$F:$F,수납!$C:$C,원생!$A238,수납!$D:$D,IF(원생!$G238="","",원생!$G238),수납!$B:$B,$B$1&amp;"-"&amp;TEXT(8,"00")&amp;"*",수납!$E:$E,""))</f>
        <v/>
      </c>
      <c r="K240" s="14">
        <f>IF(원생!$A238="","",SUMIFS(수납!$F:$F,수납!$C:$C,원생!$A238,수납!$D:$D,IF(원생!$G238="","",원생!$G238),수납!$B:$B,$B$1&amp;"-"&amp;TEXT(9,"00")&amp;"*",수납!$E:$E,"수강료")+SUMIFS(수납!$F:$F,수납!$C:$C,원생!$A238,수납!$D:$D,IF(원생!$G238="","",원생!$G238),수납!$B:$B,$B$1&amp;"-"&amp;TEXT(9,"00")&amp;"*",수납!$E:$E,""))</f>
        <v/>
      </c>
      <c r="L240" s="14">
        <f>IF(원생!$A238="","",SUMIFS(수납!$F:$F,수납!$C:$C,원생!$A238,수납!$D:$D,IF(원생!$G238="","",원생!$G238),수납!$B:$B,$B$1&amp;"-"&amp;TEXT(10,"00")&amp;"*",수납!$E:$E,"수강료")+SUMIFS(수납!$F:$F,수납!$C:$C,원생!$A238,수납!$D:$D,IF(원생!$G238="","",원생!$G238),수납!$B:$B,$B$1&amp;"-"&amp;TEXT(10,"00")&amp;"*",수납!$E:$E,""))</f>
        <v/>
      </c>
      <c r="M240" s="14">
        <f>IF(원생!$A238="","",SUMIFS(수납!$F:$F,수납!$C:$C,원생!$A238,수납!$D:$D,IF(원생!$G238="","",원생!$G238),수납!$B:$B,$B$1&amp;"-"&amp;TEXT(11,"00")&amp;"*",수납!$E:$E,"수강료")+SUMIFS(수납!$F:$F,수납!$C:$C,원생!$A238,수납!$D:$D,IF(원생!$G238="","",원생!$G238),수납!$B:$B,$B$1&amp;"-"&amp;TEXT(11,"00")&amp;"*",수납!$E:$E,""))</f>
        <v/>
      </c>
      <c r="N240" s="14">
        <f>IF(원생!$A238="","",SUMIFS(수납!$F:$F,수납!$C:$C,원생!$A238,수납!$D:$D,IF(원생!$G238="","",원생!$G238),수납!$B:$B,$B$1&amp;"-"&amp;TEXT(12,"00")&amp;"*",수납!$E:$E,"수강료")+SUMIFS(수납!$F:$F,수납!$C:$C,원생!$A238,수납!$D:$D,IF(원생!$G238="","",원생!$G238),수납!$B:$B,$B$1&amp;"-"&amp;TEXT(12,"00")&amp;"*",수납!$E:$E,""))</f>
        <v/>
      </c>
      <c r="O240">
        <f>IF(원생!$I238="","",원생!$I238)</f>
        <v/>
      </c>
      <c r="P240">
        <f>IF($A240="","",IF(AND($B240&gt;0,C240&lt;$B240,DATE($B$1,1,1)&lt;=TODAY(),OR($O240="",$O240&gt;=DATE($B$1,1,1)),OR(COUNTIF($C240:C240,"&gt;0")&gt;0,DATE($B$1,1,1)=DATE(YEAR(TODAY()),MONTH(TODAY()),1))),1,0))</f>
        <v/>
      </c>
      <c r="Q240">
        <f>IF($A240="","",IF(AND($B240&gt;0,D240&lt;$B240,DATE($B$1,2,1)&lt;=TODAY(),OR($O240="",$O240&gt;=DATE($B$1,2,1)),OR(COUNTIF($C240:D240,"&gt;0")&gt;0,DATE($B$1,2,1)=DATE(YEAR(TODAY()),MONTH(TODAY()),1))),1,0))</f>
        <v/>
      </c>
      <c r="R240">
        <f>IF($A240="","",IF(AND($B240&gt;0,E240&lt;$B240,DATE($B$1,3,1)&lt;=TODAY(),OR($O240="",$O240&gt;=DATE($B$1,3,1)),OR(COUNTIF($C240:E240,"&gt;0")&gt;0,DATE($B$1,3,1)=DATE(YEAR(TODAY()),MONTH(TODAY()),1))),1,0))</f>
        <v/>
      </c>
      <c r="S240">
        <f>IF($A240="","",IF(AND($B240&gt;0,F240&lt;$B240,DATE($B$1,4,1)&lt;=TODAY(),OR($O240="",$O240&gt;=DATE($B$1,4,1)),OR(COUNTIF($C240:F240,"&gt;0")&gt;0,DATE($B$1,4,1)=DATE(YEAR(TODAY()),MONTH(TODAY()),1))),1,0))</f>
        <v/>
      </c>
      <c r="T240">
        <f>IF($A240="","",IF(AND($B240&gt;0,G240&lt;$B240,DATE($B$1,5,1)&lt;=TODAY(),OR($O240="",$O240&gt;=DATE($B$1,5,1)),OR(COUNTIF($C240:G240,"&gt;0")&gt;0,DATE($B$1,5,1)=DATE(YEAR(TODAY()),MONTH(TODAY()),1))),1,0))</f>
        <v/>
      </c>
      <c r="U240">
        <f>IF($A240="","",IF(AND($B240&gt;0,H240&lt;$B240,DATE($B$1,6,1)&lt;=TODAY(),OR($O240="",$O240&gt;=DATE($B$1,6,1)),OR(COUNTIF($C240:H240,"&gt;0")&gt;0,DATE($B$1,6,1)=DATE(YEAR(TODAY()),MONTH(TODAY()),1))),1,0))</f>
        <v/>
      </c>
      <c r="V240">
        <f>IF($A240="","",IF(AND($B240&gt;0,I240&lt;$B240,DATE($B$1,7,1)&lt;=TODAY(),OR($O240="",$O240&gt;=DATE($B$1,7,1)),OR(COUNTIF($C240:I240,"&gt;0")&gt;0,DATE($B$1,7,1)=DATE(YEAR(TODAY()),MONTH(TODAY()),1))),1,0))</f>
        <v/>
      </c>
      <c r="W240">
        <f>IF($A240="","",IF(AND($B240&gt;0,J240&lt;$B240,DATE($B$1,8,1)&lt;=TODAY(),OR($O240="",$O240&gt;=DATE($B$1,8,1)),OR(COUNTIF($C240:J240,"&gt;0")&gt;0,DATE($B$1,8,1)=DATE(YEAR(TODAY()),MONTH(TODAY()),1))),1,0))</f>
        <v/>
      </c>
      <c r="X240">
        <f>IF($A240="","",IF(AND($B240&gt;0,K240&lt;$B240,DATE($B$1,9,1)&lt;=TODAY(),OR($O240="",$O240&gt;=DATE($B$1,9,1)),OR(COUNTIF($C240:K240,"&gt;0")&gt;0,DATE($B$1,9,1)=DATE(YEAR(TODAY()),MONTH(TODAY()),1))),1,0))</f>
        <v/>
      </c>
      <c r="Y240">
        <f>IF($A240="","",IF(AND($B240&gt;0,L240&lt;$B240,DATE($B$1,10,1)&lt;=TODAY(),OR($O240="",$O240&gt;=DATE($B$1,10,1)),OR(COUNTIF($C240:L240,"&gt;0")&gt;0,DATE($B$1,10,1)=DATE(YEAR(TODAY()),MONTH(TODAY()),1))),1,0))</f>
        <v/>
      </c>
      <c r="Z240">
        <f>IF($A240="","",IF(AND($B240&gt;0,M240&lt;$B240,DATE($B$1,11,1)&lt;=TODAY(),OR($O240="",$O240&gt;=DATE($B$1,11,1)),OR(COUNTIF($C240:M240,"&gt;0")&gt;0,DATE($B$1,11,1)=DATE(YEAR(TODAY()),MONTH(TODAY()),1))),1,0))</f>
        <v/>
      </c>
      <c r="AA240">
        <f>IF($A240="","",IF(AND($B240&gt;0,N240&lt;$B240,DATE($B$1,12,1)&lt;=TODAY(),OR($O240="",$O240&gt;=DATE($B$1,12,1)),OR(COUNTIF($C240:N240,"&gt;0")&gt;0,DATE($B$1,12,1)=DATE(YEAR(TODAY()),MONTH(TODAY()),1))),1,0))</f>
        <v/>
      </c>
    </row>
    <row r="241">
      <c r="A241" s="13">
        <f>IF(원생!$A239="","",원생!$A239&amp;IF(원생!$G239="",""," ("&amp;원생!$G239&amp;")"))</f>
        <v/>
      </c>
      <c r="B241" s="8">
        <f>IF(원생!$A239="","",원생!$F239)</f>
        <v/>
      </c>
      <c r="C241" s="14">
        <f>IF(원생!$A239="","",SUMIFS(수납!$F:$F,수납!$C:$C,원생!$A239,수납!$D:$D,IF(원생!$G239="","",원생!$G239),수납!$B:$B,$B$1&amp;"-"&amp;TEXT(1,"00")&amp;"*",수납!$E:$E,"수강료")+SUMIFS(수납!$F:$F,수납!$C:$C,원생!$A239,수납!$D:$D,IF(원생!$G239="","",원생!$G239),수납!$B:$B,$B$1&amp;"-"&amp;TEXT(1,"00")&amp;"*",수납!$E:$E,""))</f>
        <v/>
      </c>
      <c r="D241" s="14">
        <f>IF(원생!$A239="","",SUMIFS(수납!$F:$F,수납!$C:$C,원생!$A239,수납!$D:$D,IF(원생!$G239="","",원생!$G239),수납!$B:$B,$B$1&amp;"-"&amp;TEXT(2,"00")&amp;"*",수납!$E:$E,"수강료")+SUMIFS(수납!$F:$F,수납!$C:$C,원생!$A239,수납!$D:$D,IF(원생!$G239="","",원생!$G239),수납!$B:$B,$B$1&amp;"-"&amp;TEXT(2,"00")&amp;"*",수납!$E:$E,""))</f>
        <v/>
      </c>
      <c r="E241" s="14">
        <f>IF(원생!$A239="","",SUMIFS(수납!$F:$F,수납!$C:$C,원생!$A239,수납!$D:$D,IF(원생!$G239="","",원생!$G239),수납!$B:$B,$B$1&amp;"-"&amp;TEXT(3,"00")&amp;"*",수납!$E:$E,"수강료")+SUMIFS(수납!$F:$F,수납!$C:$C,원생!$A239,수납!$D:$D,IF(원생!$G239="","",원생!$G239),수납!$B:$B,$B$1&amp;"-"&amp;TEXT(3,"00")&amp;"*",수납!$E:$E,""))</f>
        <v/>
      </c>
      <c r="F241" s="14">
        <f>IF(원생!$A239="","",SUMIFS(수납!$F:$F,수납!$C:$C,원생!$A239,수납!$D:$D,IF(원생!$G239="","",원생!$G239),수납!$B:$B,$B$1&amp;"-"&amp;TEXT(4,"00")&amp;"*",수납!$E:$E,"수강료")+SUMIFS(수납!$F:$F,수납!$C:$C,원생!$A239,수납!$D:$D,IF(원생!$G239="","",원생!$G239),수납!$B:$B,$B$1&amp;"-"&amp;TEXT(4,"00")&amp;"*",수납!$E:$E,""))</f>
        <v/>
      </c>
      <c r="G241" s="14">
        <f>IF(원생!$A239="","",SUMIFS(수납!$F:$F,수납!$C:$C,원생!$A239,수납!$D:$D,IF(원생!$G239="","",원생!$G239),수납!$B:$B,$B$1&amp;"-"&amp;TEXT(5,"00")&amp;"*",수납!$E:$E,"수강료")+SUMIFS(수납!$F:$F,수납!$C:$C,원생!$A239,수납!$D:$D,IF(원생!$G239="","",원생!$G239),수납!$B:$B,$B$1&amp;"-"&amp;TEXT(5,"00")&amp;"*",수납!$E:$E,""))</f>
        <v/>
      </c>
      <c r="H241" s="14">
        <f>IF(원생!$A239="","",SUMIFS(수납!$F:$F,수납!$C:$C,원생!$A239,수납!$D:$D,IF(원생!$G239="","",원생!$G239),수납!$B:$B,$B$1&amp;"-"&amp;TEXT(6,"00")&amp;"*",수납!$E:$E,"수강료")+SUMIFS(수납!$F:$F,수납!$C:$C,원생!$A239,수납!$D:$D,IF(원생!$G239="","",원생!$G239),수납!$B:$B,$B$1&amp;"-"&amp;TEXT(6,"00")&amp;"*",수납!$E:$E,""))</f>
        <v/>
      </c>
      <c r="I241" s="14">
        <f>IF(원생!$A239="","",SUMIFS(수납!$F:$F,수납!$C:$C,원생!$A239,수납!$D:$D,IF(원생!$G239="","",원생!$G239),수납!$B:$B,$B$1&amp;"-"&amp;TEXT(7,"00")&amp;"*",수납!$E:$E,"수강료")+SUMIFS(수납!$F:$F,수납!$C:$C,원생!$A239,수납!$D:$D,IF(원생!$G239="","",원생!$G239),수납!$B:$B,$B$1&amp;"-"&amp;TEXT(7,"00")&amp;"*",수납!$E:$E,""))</f>
        <v/>
      </c>
      <c r="J241" s="14">
        <f>IF(원생!$A239="","",SUMIFS(수납!$F:$F,수납!$C:$C,원생!$A239,수납!$D:$D,IF(원생!$G239="","",원생!$G239),수납!$B:$B,$B$1&amp;"-"&amp;TEXT(8,"00")&amp;"*",수납!$E:$E,"수강료")+SUMIFS(수납!$F:$F,수납!$C:$C,원생!$A239,수납!$D:$D,IF(원생!$G239="","",원생!$G239),수납!$B:$B,$B$1&amp;"-"&amp;TEXT(8,"00")&amp;"*",수납!$E:$E,""))</f>
        <v/>
      </c>
      <c r="K241" s="14">
        <f>IF(원생!$A239="","",SUMIFS(수납!$F:$F,수납!$C:$C,원생!$A239,수납!$D:$D,IF(원생!$G239="","",원생!$G239),수납!$B:$B,$B$1&amp;"-"&amp;TEXT(9,"00")&amp;"*",수납!$E:$E,"수강료")+SUMIFS(수납!$F:$F,수납!$C:$C,원생!$A239,수납!$D:$D,IF(원생!$G239="","",원생!$G239),수납!$B:$B,$B$1&amp;"-"&amp;TEXT(9,"00")&amp;"*",수납!$E:$E,""))</f>
        <v/>
      </c>
      <c r="L241" s="14">
        <f>IF(원생!$A239="","",SUMIFS(수납!$F:$F,수납!$C:$C,원생!$A239,수납!$D:$D,IF(원생!$G239="","",원생!$G239),수납!$B:$B,$B$1&amp;"-"&amp;TEXT(10,"00")&amp;"*",수납!$E:$E,"수강료")+SUMIFS(수납!$F:$F,수납!$C:$C,원생!$A239,수납!$D:$D,IF(원생!$G239="","",원생!$G239),수납!$B:$B,$B$1&amp;"-"&amp;TEXT(10,"00")&amp;"*",수납!$E:$E,""))</f>
        <v/>
      </c>
      <c r="M241" s="14">
        <f>IF(원생!$A239="","",SUMIFS(수납!$F:$F,수납!$C:$C,원생!$A239,수납!$D:$D,IF(원생!$G239="","",원생!$G239),수납!$B:$B,$B$1&amp;"-"&amp;TEXT(11,"00")&amp;"*",수납!$E:$E,"수강료")+SUMIFS(수납!$F:$F,수납!$C:$C,원생!$A239,수납!$D:$D,IF(원생!$G239="","",원생!$G239),수납!$B:$B,$B$1&amp;"-"&amp;TEXT(11,"00")&amp;"*",수납!$E:$E,""))</f>
        <v/>
      </c>
      <c r="N241" s="14">
        <f>IF(원생!$A239="","",SUMIFS(수납!$F:$F,수납!$C:$C,원생!$A239,수납!$D:$D,IF(원생!$G239="","",원생!$G239),수납!$B:$B,$B$1&amp;"-"&amp;TEXT(12,"00")&amp;"*",수납!$E:$E,"수강료")+SUMIFS(수납!$F:$F,수납!$C:$C,원생!$A239,수납!$D:$D,IF(원생!$G239="","",원생!$G239),수납!$B:$B,$B$1&amp;"-"&amp;TEXT(12,"00")&amp;"*",수납!$E:$E,""))</f>
        <v/>
      </c>
      <c r="O241">
        <f>IF(원생!$I239="","",원생!$I239)</f>
        <v/>
      </c>
      <c r="P241">
        <f>IF($A241="","",IF(AND($B241&gt;0,C241&lt;$B241,DATE($B$1,1,1)&lt;=TODAY(),OR($O241="",$O241&gt;=DATE($B$1,1,1)),OR(COUNTIF($C241:C241,"&gt;0")&gt;0,DATE($B$1,1,1)=DATE(YEAR(TODAY()),MONTH(TODAY()),1))),1,0))</f>
        <v/>
      </c>
      <c r="Q241">
        <f>IF($A241="","",IF(AND($B241&gt;0,D241&lt;$B241,DATE($B$1,2,1)&lt;=TODAY(),OR($O241="",$O241&gt;=DATE($B$1,2,1)),OR(COUNTIF($C241:D241,"&gt;0")&gt;0,DATE($B$1,2,1)=DATE(YEAR(TODAY()),MONTH(TODAY()),1))),1,0))</f>
        <v/>
      </c>
      <c r="R241">
        <f>IF($A241="","",IF(AND($B241&gt;0,E241&lt;$B241,DATE($B$1,3,1)&lt;=TODAY(),OR($O241="",$O241&gt;=DATE($B$1,3,1)),OR(COUNTIF($C241:E241,"&gt;0")&gt;0,DATE($B$1,3,1)=DATE(YEAR(TODAY()),MONTH(TODAY()),1))),1,0))</f>
        <v/>
      </c>
      <c r="S241">
        <f>IF($A241="","",IF(AND($B241&gt;0,F241&lt;$B241,DATE($B$1,4,1)&lt;=TODAY(),OR($O241="",$O241&gt;=DATE($B$1,4,1)),OR(COUNTIF($C241:F241,"&gt;0")&gt;0,DATE($B$1,4,1)=DATE(YEAR(TODAY()),MONTH(TODAY()),1))),1,0))</f>
        <v/>
      </c>
      <c r="T241">
        <f>IF($A241="","",IF(AND($B241&gt;0,G241&lt;$B241,DATE($B$1,5,1)&lt;=TODAY(),OR($O241="",$O241&gt;=DATE($B$1,5,1)),OR(COUNTIF($C241:G241,"&gt;0")&gt;0,DATE($B$1,5,1)=DATE(YEAR(TODAY()),MONTH(TODAY()),1))),1,0))</f>
        <v/>
      </c>
      <c r="U241">
        <f>IF($A241="","",IF(AND($B241&gt;0,H241&lt;$B241,DATE($B$1,6,1)&lt;=TODAY(),OR($O241="",$O241&gt;=DATE($B$1,6,1)),OR(COUNTIF($C241:H241,"&gt;0")&gt;0,DATE($B$1,6,1)=DATE(YEAR(TODAY()),MONTH(TODAY()),1))),1,0))</f>
        <v/>
      </c>
      <c r="V241">
        <f>IF($A241="","",IF(AND($B241&gt;0,I241&lt;$B241,DATE($B$1,7,1)&lt;=TODAY(),OR($O241="",$O241&gt;=DATE($B$1,7,1)),OR(COUNTIF($C241:I241,"&gt;0")&gt;0,DATE($B$1,7,1)=DATE(YEAR(TODAY()),MONTH(TODAY()),1))),1,0))</f>
        <v/>
      </c>
      <c r="W241">
        <f>IF($A241="","",IF(AND($B241&gt;0,J241&lt;$B241,DATE($B$1,8,1)&lt;=TODAY(),OR($O241="",$O241&gt;=DATE($B$1,8,1)),OR(COUNTIF($C241:J241,"&gt;0")&gt;0,DATE($B$1,8,1)=DATE(YEAR(TODAY()),MONTH(TODAY()),1))),1,0))</f>
        <v/>
      </c>
      <c r="X241">
        <f>IF($A241="","",IF(AND($B241&gt;0,K241&lt;$B241,DATE($B$1,9,1)&lt;=TODAY(),OR($O241="",$O241&gt;=DATE($B$1,9,1)),OR(COUNTIF($C241:K241,"&gt;0")&gt;0,DATE($B$1,9,1)=DATE(YEAR(TODAY()),MONTH(TODAY()),1))),1,0))</f>
        <v/>
      </c>
      <c r="Y241">
        <f>IF($A241="","",IF(AND($B241&gt;0,L241&lt;$B241,DATE($B$1,10,1)&lt;=TODAY(),OR($O241="",$O241&gt;=DATE($B$1,10,1)),OR(COUNTIF($C241:L241,"&gt;0")&gt;0,DATE($B$1,10,1)=DATE(YEAR(TODAY()),MONTH(TODAY()),1))),1,0))</f>
        <v/>
      </c>
      <c r="Z241">
        <f>IF($A241="","",IF(AND($B241&gt;0,M241&lt;$B241,DATE($B$1,11,1)&lt;=TODAY(),OR($O241="",$O241&gt;=DATE($B$1,11,1)),OR(COUNTIF($C241:M241,"&gt;0")&gt;0,DATE($B$1,11,1)=DATE(YEAR(TODAY()),MONTH(TODAY()),1))),1,0))</f>
        <v/>
      </c>
      <c r="AA241">
        <f>IF($A241="","",IF(AND($B241&gt;0,N241&lt;$B241,DATE($B$1,12,1)&lt;=TODAY(),OR($O241="",$O241&gt;=DATE($B$1,12,1)),OR(COUNTIF($C241:N241,"&gt;0")&gt;0,DATE($B$1,12,1)=DATE(YEAR(TODAY()),MONTH(TODAY()),1))),1,0))</f>
        <v/>
      </c>
    </row>
    <row r="242">
      <c r="A242" s="13">
        <f>IF(원생!$A240="","",원생!$A240&amp;IF(원생!$G240="",""," ("&amp;원생!$G240&amp;")"))</f>
        <v/>
      </c>
      <c r="B242" s="8">
        <f>IF(원생!$A240="","",원생!$F240)</f>
        <v/>
      </c>
      <c r="C242" s="14">
        <f>IF(원생!$A240="","",SUMIFS(수납!$F:$F,수납!$C:$C,원생!$A240,수납!$D:$D,IF(원생!$G240="","",원생!$G240),수납!$B:$B,$B$1&amp;"-"&amp;TEXT(1,"00")&amp;"*",수납!$E:$E,"수강료")+SUMIFS(수납!$F:$F,수납!$C:$C,원생!$A240,수납!$D:$D,IF(원생!$G240="","",원생!$G240),수납!$B:$B,$B$1&amp;"-"&amp;TEXT(1,"00")&amp;"*",수납!$E:$E,""))</f>
        <v/>
      </c>
      <c r="D242" s="14">
        <f>IF(원생!$A240="","",SUMIFS(수납!$F:$F,수납!$C:$C,원생!$A240,수납!$D:$D,IF(원생!$G240="","",원생!$G240),수납!$B:$B,$B$1&amp;"-"&amp;TEXT(2,"00")&amp;"*",수납!$E:$E,"수강료")+SUMIFS(수납!$F:$F,수납!$C:$C,원생!$A240,수납!$D:$D,IF(원생!$G240="","",원생!$G240),수납!$B:$B,$B$1&amp;"-"&amp;TEXT(2,"00")&amp;"*",수납!$E:$E,""))</f>
        <v/>
      </c>
      <c r="E242" s="14">
        <f>IF(원생!$A240="","",SUMIFS(수납!$F:$F,수납!$C:$C,원생!$A240,수납!$D:$D,IF(원생!$G240="","",원생!$G240),수납!$B:$B,$B$1&amp;"-"&amp;TEXT(3,"00")&amp;"*",수납!$E:$E,"수강료")+SUMIFS(수납!$F:$F,수납!$C:$C,원생!$A240,수납!$D:$D,IF(원생!$G240="","",원생!$G240),수납!$B:$B,$B$1&amp;"-"&amp;TEXT(3,"00")&amp;"*",수납!$E:$E,""))</f>
        <v/>
      </c>
      <c r="F242" s="14">
        <f>IF(원생!$A240="","",SUMIFS(수납!$F:$F,수납!$C:$C,원생!$A240,수납!$D:$D,IF(원생!$G240="","",원생!$G240),수납!$B:$B,$B$1&amp;"-"&amp;TEXT(4,"00")&amp;"*",수납!$E:$E,"수강료")+SUMIFS(수납!$F:$F,수납!$C:$C,원생!$A240,수납!$D:$D,IF(원생!$G240="","",원생!$G240),수납!$B:$B,$B$1&amp;"-"&amp;TEXT(4,"00")&amp;"*",수납!$E:$E,""))</f>
        <v/>
      </c>
      <c r="G242" s="14">
        <f>IF(원생!$A240="","",SUMIFS(수납!$F:$F,수납!$C:$C,원생!$A240,수납!$D:$D,IF(원생!$G240="","",원생!$G240),수납!$B:$B,$B$1&amp;"-"&amp;TEXT(5,"00")&amp;"*",수납!$E:$E,"수강료")+SUMIFS(수납!$F:$F,수납!$C:$C,원생!$A240,수납!$D:$D,IF(원생!$G240="","",원생!$G240),수납!$B:$B,$B$1&amp;"-"&amp;TEXT(5,"00")&amp;"*",수납!$E:$E,""))</f>
        <v/>
      </c>
      <c r="H242" s="14">
        <f>IF(원생!$A240="","",SUMIFS(수납!$F:$F,수납!$C:$C,원생!$A240,수납!$D:$D,IF(원생!$G240="","",원생!$G240),수납!$B:$B,$B$1&amp;"-"&amp;TEXT(6,"00")&amp;"*",수납!$E:$E,"수강료")+SUMIFS(수납!$F:$F,수납!$C:$C,원생!$A240,수납!$D:$D,IF(원생!$G240="","",원생!$G240),수납!$B:$B,$B$1&amp;"-"&amp;TEXT(6,"00")&amp;"*",수납!$E:$E,""))</f>
        <v/>
      </c>
      <c r="I242" s="14">
        <f>IF(원생!$A240="","",SUMIFS(수납!$F:$F,수납!$C:$C,원생!$A240,수납!$D:$D,IF(원생!$G240="","",원생!$G240),수납!$B:$B,$B$1&amp;"-"&amp;TEXT(7,"00")&amp;"*",수납!$E:$E,"수강료")+SUMIFS(수납!$F:$F,수납!$C:$C,원생!$A240,수납!$D:$D,IF(원생!$G240="","",원생!$G240),수납!$B:$B,$B$1&amp;"-"&amp;TEXT(7,"00")&amp;"*",수납!$E:$E,""))</f>
        <v/>
      </c>
      <c r="J242" s="14">
        <f>IF(원생!$A240="","",SUMIFS(수납!$F:$F,수납!$C:$C,원생!$A240,수납!$D:$D,IF(원생!$G240="","",원생!$G240),수납!$B:$B,$B$1&amp;"-"&amp;TEXT(8,"00")&amp;"*",수납!$E:$E,"수강료")+SUMIFS(수납!$F:$F,수납!$C:$C,원생!$A240,수납!$D:$D,IF(원생!$G240="","",원생!$G240),수납!$B:$B,$B$1&amp;"-"&amp;TEXT(8,"00")&amp;"*",수납!$E:$E,""))</f>
        <v/>
      </c>
      <c r="K242" s="14">
        <f>IF(원생!$A240="","",SUMIFS(수납!$F:$F,수납!$C:$C,원생!$A240,수납!$D:$D,IF(원생!$G240="","",원생!$G240),수납!$B:$B,$B$1&amp;"-"&amp;TEXT(9,"00")&amp;"*",수납!$E:$E,"수강료")+SUMIFS(수납!$F:$F,수납!$C:$C,원생!$A240,수납!$D:$D,IF(원생!$G240="","",원생!$G240),수납!$B:$B,$B$1&amp;"-"&amp;TEXT(9,"00")&amp;"*",수납!$E:$E,""))</f>
        <v/>
      </c>
      <c r="L242" s="14">
        <f>IF(원생!$A240="","",SUMIFS(수납!$F:$F,수납!$C:$C,원생!$A240,수납!$D:$D,IF(원생!$G240="","",원생!$G240),수납!$B:$B,$B$1&amp;"-"&amp;TEXT(10,"00")&amp;"*",수납!$E:$E,"수강료")+SUMIFS(수납!$F:$F,수납!$C:$C,원생!$A240,수납!$D:$D,IF(원생!$G240="","",원생!$G240),수납!$B:$B,$B$1&amp;"-"&amp;TEXT(10,"00")&amp;"*",수납!$E:$E,""))</f>
        <v/>
      </c>
      <c r="M242" s="14">
        <f>IF(원생!$A240="","",SUMIFS(수납!$F:$F,수납!$C:$C,원생!$A240,수납!$D:$D,IF(원생!$G240="","",원생!$G240),수납!$B:$B,$B$1&amp;"-"&amp;TEXT(11,"00")&amp;"*",수납!$E:$E,"수강료")+SUMIFS(수납!$F:$F,수납!$C:$C,원생!$A240,수납!$D:$D,IF(원생!$G240="","",원생!$G240),수납!$B:$B,$B$1&amp;"-"&amp;TEXT(11,"00")&amp;"*",수납!$E:$E,""))</f>
        <v/>
      </c>
      <c r="N242" s="14">
        <f>IF(원생!$A240="","",SUMIFS(수납!$F:$F,수납!$C:$C,원생!$A240,수납!$D:$D,IF(원생!$G240="","",원생!$G240),수납!$B:$B,$B$1&amp;"-"&amp;TEXT(12,"00")&amp;"*",수납!$E:$E,"수강료")+SUMIFS(수납!$F:$F,수납!$C:$C,원생!$A240,수납!$D:$D,IF(원생!$G240="","",원생!$G240),수납!$B:$B,$B$1&amp;"-"&amp;TEXT(12,"00")&amp;"*",수납!$E:$E,""))</f>
        <v/>
      </c>
      <c r="O242">
        <f>IF(원생!$I240="","",원생!$I240)</f>
        <v/>
      </c>
      <c r="P242">
        <f>IF($A242="","",IF(AND($B242&gt;0,C242&lt;$B242,DATE($B$1,1,1)&lt;=TODAY(),OR($O242="",$O242&gt;=DATE($B$1,1,1)),OR(COUNTIF($C242:C242,"&gt;0")&gt;0,DATE($B$1,1,1)=DATE(YEAR(TODAY()),MONTH(TODAY()),1))),1,0))</f>
        <v/>
      </c>
      <c r="Q242">
        <f>IF($A242="","",IF(AND($B242&gt;0,D242&lt;$B242,DATE($B$1,2,1)&lt;=TODAY(),OR($O242="",$O242&gt;=DATE($B$1,2,1)),OR(COUNTIF($C242:D242,"&gt;0")&gt;0,DATE($B$1,2,1)=DATE(YEAR(TODAY()),MONTH(TODAY()),1))),1,0))</f>
        <v/>
      </c>
      <c r="R242">
        <f>IF($A242="","",IF(AND($B242&gt;0,E242&lt;$B242,DATE($B$1,3,1)&lt;=TODAY(),OR($O242="",$O242&gt;=DATE($B$1,3,1)),OR(COUNTIF($C242:E242,"&gt;0")&gt;0,DATE($B$1,3,1)=DATE(YEAR(TODAY()),MONTH(TODAY()),1))),1,0))</f>
        <v/>
      </c>
      <c r="S242">
        <f>IF($A242="","",IF(AND($B242&gt;0,F242&lt;$B242,DATE($B$1,4,1)&lt;=TODAY(),OR($O242="",$O242&gt;=DATE($B$1,4,1)),OR(COUNTIF($C242:F242,"&gt;0")&gt;0,DATE($B$1,4,1)=DATE(YEAR(TODAY()),MONTH(TODAY()),1))),1,0))</f>
        <v/>
      </c>
      <c r="T242">
        <f>IF($A242="","",IF(AND($B242&gt;0,G242&lt;$B242,DATE($B$1,5,1)&lt;=TODAY(),OR($O242="",$O242&gt;=DATE($B$1,5,1)),OR(COUNTIF($C242:G242,"&gt;0")&gt;0,DATE($B$1,5,1)=DATE(YEAR(TODAY()),MONTH(TODAY()),1))),1,0))</f>
        <v/>
      </c>
      <c r="U242">
        <f>IF($A242="","",IF(AND($B242&gt;0,H242&lt;$B242,DATE($B$1,6,1)&lt;=TODAY(),OR($O242="",$O242&gt;=DATE($B$1,6,1)),OR(COUNTIF($C242:H242,"&gt;0")&gt;0,DATE($B$1,6,1)=DATE(YEAR(TODAY()),MONTH(TODAY()),1))),1,0))</f>
        <v/>
      </c>
      <c r="V242">
        <f>IF($A242="","",IF(AND($B242&gt;0,I242&lt;$B242,DATE($B$1,7,1)&lt;=TODAY(),OR($O242="",$O242&gt;=DATE($B$1,7,1)),OR(COUNTIF($C242:I242,"&gt;0")&gt;0,DATE($B$1,7,1)=DATE(YEAR(TODAY()),MONTH(TODAY()),1))),1,0))</f>
        <v/>
      </c>
      <c r="W242">
        <f>IF($A242="","",IF(AND($B242&gt;0,J242&lt;$B242,DATE($B$1,8,1)&lt;=TODAY(),OR($O242="",$O242&gt;=DATE($B$1,8,1)),OR(COUNTIF($C242:J242,"&gt;0")&gt;0,DATE($B$1,8,1)=DATE(YEAR(TODAY()),MONTH(TODAY()),1))),1,0))</f>
        <v/>
      </c>
      <c r="X242">
        <f>IF($A242="","",IF(AND($B242&gt;0,K242&lt;$B242,DATE($B$1,9,1)&lt;=TODAY(),OR($O242="",$O242&gt;=DATE($B$1,9,1)),OR(COUNTIF($C242:K242,"&gt;0")&gt;0,DATE($B$1,9,1)=DATE(YEAR(TODAY()),MONTH(TODAY()),1))),1,0))</f>
        <v/>
      </c>
      <c r="Y242">
        <f>IF($A242="","",IF(AND($B242&gt;0,L242&lt;$B242,DATE($B$1,10,1)&lt;=TODAY(),OR($O242="",$O242&gt;=DATE($B$1,10,1)),OR(COUNTIF($C242:L242,"&gt;0")&gt;0,DATE($B$1,10,1)=DATE(YEAR(TODAY()),MONTH(TODAY()),1))),1,0))</f>
        <v/>
      </c>
      <c r="Z242">
        <f>IF($A242="","",IF(AND($B242&gt;0,M242&lt;$B242,DATE($B$1,11,1)&lt;=TODAY(),OR($O242="",$O242&gt;=DATE($B$1,11,1)),OR(COUNTIF($C242:M242,"&gt;0")&gt;0,DATE($B$1,11,1)=DATE(YEAR(TODAY()),MONTH(TODAY()),1))),1,0))</f>
        <v/>
      </c>
      <c r="AA242">
        <f>IF($A242="","",IF(AND($B242&gt;0,N242&lt;$B242,DATE($B$1,12,1)&lt;=TODAY(),OR($O242="",$O242&gt;=DATE($B$1,12,1)),OR(COUNTIF($C242:N242,"&gt;0")&gt;0,DATE($B$1,12,1)=DATE(YEAR(TODAY()),MONTH(TODAY()),1))),1,0))</f>
        <v/>
      </c>
    </row>
    <row r="243">
      <c r="A243" s="13">
        <f>IF(원생!$A241="","",원생!$A241&amp;IF(원생!$G241="",""," ("&amp;원생!$G241&amp;")"))</f>
        <v/>
      </c>
      <c r="B243" s="8">
        <f>IF(원생!$A241="","",원생!$F241)</f>
        <v/>
      </c>
      <c r="C243" s="14">
        <f>IF(원생!$A241="","",SUMIFS(수납!$F:$F,수납!$C:$C,원생!$A241,수납!$D:$D,IF(원생!$G241="","",원생!$G241),수납!$B:$B,$B$1&amp;"-"&amp;TEXT(1,"00")&amp;"*",수납!$E:$E,"수강료")+SUMIFS(수납!$F:$F,수납!$C:$C,원생!$A241,수납!$D:$D,IF(원생!$G241="","",원생!$G241),수납!$B:$B,$B$1&amp;"-"&amp;TEXT(1,"00")&amp;"*",수납!$E:$E,""))</f>
        <v/>
      </c>
      <c r="D243" s="14">
        <f>IF(원생!$A241="","",SUMIFS(수납!$F:$F,수납!$C:$C,원생!$A241,수납!$D:$D,IF(원생!$G241="","",원생!$G241),수납!$B:$B,$B$1&amp;"-"&amp;TEXT(2,"00")&amp;"*",수납!$E:$E,"수강료")+SUMIFS(수납!$F:$F,수납!$C:$C,원생!$A241,수납!$D:$D,IF(원생!$G241="","",원생!$G241),수납!$B:$B,$B$1&amp;"-"&amp;TEXT(2,"00")&amp;"*",수납!$E:$E,""))</f>
        <v/>
      </c>
      <c r="E243" s="14">
        <f>IF(원생!$A241="","",SUMIFS(수납!$F:$F,수납!$C:$C,원생!$A241,수납!$D:$D,IF(원생!$G241="","",원생!$G241),수납!$B:$B,$B$1&amp;"-"&amp;TEXT(3,"00")&amp;"*",수납!$E:$E,"수강료")+SUMIFS(수납!$F:$F,수납!$C:$C,원생!$A241,수납!$D:$D,IF(원생!$G241="","",원생!$G241),수납!$B:$B,$B$1&amp;"-"&amp;TEXT(3,"00")&amp;"*",수납!$E:$E,""))</f>
        <v/>
      </c>
      <c r="F243" s="14">
        <f>IF(원생!$A241="","",SUMIFS(수납!$F:$F,수납!$C:$C,원생!$A241,수납!$D:$D,IF(원생!$G241="","",원생!$G241),수납!$B:$B,$B$1&amp;"-"&amp;TEXT(4,"00")&amp;"*",수납!$E:$E,"수강료")+SUMIFS(수납!$F:$F,수납!$C:$C,원생!$A241,수납!$D:$D,IF(원생!$G241="","",원생!$G241),수납!$B:$B,$B$1&amp;"-"&amp;TEXT(4,"00")&amp;"*",수납!$E:$E,""))</f>
        <v/>
      </c>
      <c r="G243" s="14">
        <f>IF(원생!$A241="","",SUMIFS(수납!$F:$F,수납!$C:$C,원생!$A241,수납!$D:$D,IF(원생!$G241="","",원생!$G241),수납!$B:$B,$B$1&amp;"-"&amp;TEXT(5,"00")&amp;"*",수납!$E:$E,"수강료")+SUMIFS(수납!$F:$F,수납!$C:$C,원생!$A241,수납!$D:$D,IF(원생!$G241="","",원생!$G241),수납!$B:$B,$B$1&amp;"-"&amp;TEXT(5,"00")&amp;"*",수납!$E:$E,""))</f>
        <v/>
      </c>
      <c r="H243" s="14">
        <f>IF(원생!$A241="","",SUMIFS(수납!$F:$F,수납!$C:$C,원생!$A241,수납!$D:$D,IF(원생!$G241="","",원생!$G241),수납!$B:$B,$B$1&amp;"-"&amp;TEXT(6,"00")&amp;"*",수납!$E:$E,"수강료")+SUMIFS(수납!$F:$F,수납!$C:$C,원생!$A241,수납!$D:$D,IF(원생!$G241="","",원생!$G241),수납!$B:$B,$B$1&amp;"-"&amp;TEXT(6,"00")&amp;"*",수납!$E:$E,""))</f>
        <v/>
      </c>
      <c r="I243" s="14">
        <f>IF(원생!$A241="","",SUMIFS(수납!$F:$F,수납!$C:$C,원생!$A241,수납!$D:$D,IF(원생!$G241="","",원생!$G241),수납!$B:$B,$B$1&amp;"-"&amp;TEXT(7,"00")&amp;"*",수납!$E:$E,"수강료")+SUMIFS(수납!$F:$F,수납!$C:$C,원생!$A241,수납!$D:$D,IF(원생!$G241="","",원생!$G241),수납!$B:$B,$B$1&amp;"-"&amp;TEXT(7,"00")&amp;"*",수납!$E:$E,""))</f>
        <v/>
      </c>
      <c r="J243" s="14">
        <f>IF(원생!$A241="","",SUMIFS(수납!$F:$F,수납!$C:$C,원생!$A241,수납!$D:$D,IF(원생!$G241="","",원생!$G241),수납!$B:$B,$B$1&amp;"-"&amp;TEXT(8,"00")&amp;"*",수납!$E:$E,"수강료")+SUMIFS(수납!$F:$F,수납!$C:$C,원생!$A241,수납!$D:$D,IF(원생!$G241="","",원생!$G241),수납!$B:$B,$B$1&amp;"-"&amp;TEXT(8,"00")&amp;"*",수납!$E:$E,""))</f>
        <v/>
      </c>
      <c r="K243" s="14">
        <f>IF(원생!$A241="","",SUMIFS(수납!$F:$F,수납!$C:$C,원생!$A241,수납!$D:$D,IF(원생!$G241="","",원생!$G241),수납!$B:$B,$B$1&amp;"-"&amp;TEXT(9,"00")&amp;"*",수납!$E:$E,"수강료")+SUMIFS(수납!$F:$F,수납!$C:$C,원생!$A241,수납!$D:$D,IF(원생!$G241="","",원생!$G241),수납!$B:$B,$B$1&amp;"-"&amp;TEXT(9,"00")&amp;"*",수납!$E:$E,""))</f>
        <v/>
      </c>
      <c r="L243" s="14">
        <f>IF(원생!$A241="","",SUMIFS(수납!$F:$F,수납!$C:$C,원생!$A241,수납!$D:$D,IF(원생!$G241="","",원생!$G241),수납!$B:$B,$B$1&amp;"-"&amp;TEXT(10,"00")&amp;"*",수납!$E:$E,"수강료")+SUMIFS(수납!$F:$F,수납!$C:$C,원생!$A241,수납!$D:$D,IF(원생!$G241="","",원생!$G241),수납!$B:$B,$B$1&amp;"-"&amp;TEXT(10,"00")&amp;"*",수납!$E:$E,""))</f>
        <v/>
      </c>
      <c r="M243" s="14">
        <f>IF(원생!$A241="","",SUMIFS(수납!$F:$F,수납!$C:$C,원생!$A241,수납!$D:$D,IF(원생!$G241="","",원생!$G241),수납!$B:$B,$B$1&amp;"-"&amp;TEXT(11,"00")&amp;"*",수납!$E:$E,"수강료")+SUMIFS(수납!$F:$F,수납!$C:$C,원생!$A241,수납!$D:$D,IF(원생!$G241="","",원생!$G241),수납!$B:$B,$B$1&amp;"-"&amp;TEXT(11,"00")&amp;"*",수납!$E:$E,""))</f>
        <v/>
      </c>
      <c r="N243" s="14">
        <f>IF(원생!$A241="","",SUMIFS(수납!$F:$F,수납!$C:$C,원생!$A241,수납!$D:$D,IF(원생!$G241="","",원생!$G241),수납!$B:$B,$B$1&amp;"-"&amp;TEXT(12,"00")&amp;"*",수납!$E:$E,"수강료")+SUMIFS(수납!$F:$F,수납!$C:$C,원생!$A241,수납!$D:$D,IF(원생!$G241="","",원생!$G241),수납!$B:$B,$B$1&amp;"-"&amp;TEXT(12,"00")&amp;"*",수납!$E:$E,""))</f>
        <v/>
      </c>
      <c r="O243">
        <f>IF(원생!$I241="","",원생!$I241)</f>
        <v/>
      </c>
      <c r="P243">
        <f>IF($A243="","",IF(AND($B243&gt;0,C243&lt;$B243,DATE($B$1,1,1)&lt;=TODAY(),OR($O243="",$O243&gt;=DATE($B$1,1,1)),OR(COUNTIF($C243:C243,"&gt;0")&gt;0,DATE($B$1,1,1)=DATE(YEAR(TODAY()),MONTH(TODAY()),1))),1,0))</f>
        <v/>
      </c>
      <c r="Q243">
        <f>IF($A243="","",IF(AND($B243&gt;0,D243&lt;$B243,DATE($B$1,2,1)&lt;=TODAY(),OR($O243="",$O243&gt;=DATE($B$1,2,1)),OR(COUNTIF($C243:D243,"&gt;0")&gt;0,DATE($B$1,2,1)=DATE(YEAR(TODAY()),MONTH(TODAY()),1))),1,0))</f>
        <v/>
      </c>
      <c r="R243">
        <f>IF($A243="","",IF(AND($B243&gt;0,E243&lt;$B243,DATE($B$1,3,1)&lt;=TODAY(),OR($O243="",$O243&gt;=DATE($B$1,3,1)),OR(COUNTIF($C243:E243,"&gt;0")&gt;0,DATE($B$1,3,1)=DATE(YEAR(TODAY()),MONTH(TODAY()),1))),1,0))</f>
        <v/>
      </c>
      <c r="S243">
        <f>IF($A243="","",IF(AND($B243&gt;0,F243&lt;$B243,DATE($B$1,4,1)&lt;=TODAY(),OR($O243="",$O243&gt;=DATE($B$1,4,1)),OR(COUNTIF($C243:F243,"&gt;0")&gt;0,DATE($B$1,4,1)=DATE(YEAR(TODAY()),MONTH(TODAY()),1))),1,0))</f>
        <v/>
      </c>
      <c r="T243">
        <f>IF($A243="","",IF(AND($B243&gt;0,G243&lt;$B243,DATE($B$1,5,1)&lt;=TODAY(),OR($O243="",$O243&gt;=DATE($B$1,5,1)),OR(COUNTIF($C243:G243,"&gt;0")&gt;0,DATE($B$1,5,1)=DATE(YEAR(TODAY()),MONTH(TODAY()),1))),1,0))</f>
        <v/>
      </c>
      <c r="U243">
        <f>IF($A243="","",IF(AND($B243&gt;0,H243&lt;$B243,DATE($B$1,6,1)&lt;=TODAY(),OR($O243="",$O243&gt;=DATE($B$1,6,1)),OR(COUNTIF($C243:H243,"&gt;0")&gt;0,DATE($B$1,6,1)=DATE(YEAR(TODAY()),MONTH(TODAY()),1))),1,0))</f>
        <v/>
      </c>
      <c r="V243">
        <f>IF($A243="","",IF(AND($B243&gt;0,I243&lt;$B243,DATE($B$1,7,1)&lt;=TODAY(),OR($O243="",$O243&gt;=DATE($B$1,7,1)),OR(COUNTIF($C243:I243,"&gt;0")&gt;0,DATE($B$1,7,1)=DATE(YEAR(TODAY()),MONTH(TODAY()),1))),1,0))</f>
        <v/>
      </c>
      <c r="W243">
        <f>IF($A243="","",IF(AND($B243&gt;0,J243&lt;$B243,DATE($B$1,8,1)&lt;=TODAY(),OR($O243="",$O243&gt;=DATE($B$1,8,1)),OR(COUNTIF($C243:J243,"&gt;0")&gt;0,DATE($B$1,8,1)=DATE(YEAR(TODAY()),MONTH(TODAY()),1))),1,0))</f>
        <v/>
      </c>
      <c r="X243">
        <f>IF($A243="","",IF(AND($B243&gt;0,K243&lt;$B243,DATE($B$1,9,1)&lt;=TODAY(),OR($O243="",$O243&gt;=DATE($B$1,9,1)),OR(COUNTIF($C243:K243,"&gt;0")&gt;0,DATE($B$1,9,1)=DATE(YEAR(TODAY()),MONTH(TODAY()),1))),1,0))</f>
        <v/>
      </c>
      <c r="Y243">
        <f>IF($A243="","",IF(AND($B243&gt;0,L243&lt;$B243,DATE($B$1,10,1)&lt;=TODAY(),OR($O243="",$O243&gt;=DATE($B$1,10,1)),OR(COUNTIF($C243:L243,"&gt;0")&gt;0,DATE($B$1,10,1)=DATE(YEAR(TODAY()),MONTH(TODAY()),1))),1,0))</f>
        <v/>
      </c>
      <c r="Z243">
        <f>IF($A243="","",IF(AND($B243&gt;0,M243&lt;$B243,DATE($B$1,11,1)&lt;=TODAY(),OR($O243="",$O243&gt;=DATE($B$1,11,1)),OR(COUNTIF($C243:M243,"&gt;0")&gt;0,DATE($B$1,11,1)=DATE(YEAR(TODAY()),MONTH(TODAY()),1))),1,0))</f>
        <v/>
      </c>
      <c r="AA243">
        <f>IF($A243="","",IF(AND($B243&gt;0,N243&lt;$B243,DATE($B$1,12,1)&lt;=TODAY(),OR($O243="",$O243&gt;=DATE($B$1,12,1)),OR(COUNTIF($C243:N243,"&gt;0")&gt;0,DATE($B$1,12,1)=DATE(YEAR(TODAY()),MONTH(TODAY()),1))),1,0))</f>
        <v/>
      </c>
    </row>
    <row r="244">
      <c r="A244" s="13">
        <f>IF(원생!$A242="","",원생!$A242&amp;IF(원생!$G242="",""," ("&amp;원생!$G242&amp;")"))</f>
        <v/>
      </c>
      <c r="B244" s="8">
        <f>IF(원생!$A242="","",원생!$F242)</f>
        <v/>
      </c>
      <c r="C244" s="14">
        <f>IF(원생!$A242="","",SUMIFS(수납!$F:$F,수납!$C:$C,원생!$A242,수납!$D:$D,IF(원생!$G242="","",원생!$G242),수납!$B:$B,$B$1&amp;"-"&amp;TEXT(1,"00")&amp;"*",수납!$E:$E,"수강료")+SUMIFS(수납!$F:$F,수납!$C:$C,원생!$A242,수납!$D:$D,IF(원생!$G242="","",원생!$G242),수납!$B:$B,$B$1&amp;"-"&amp;TEXT(1,"00")&amp;"*",수납!$E:$E,""))</f>
        <v/>
      </c>
      <c r="D244" s="14">
        <f>IF(원생!$A242="","",SUMIFS(수납!$F:$F,수납!$C:$C,원생!$A242,수납!$D:$D,IF(원생!$G242="","",원생!$G242),수납!$B:$B,$B$1&amp;"-"&amp;TEXT(2,"00")&amp;"*",수납!$E:$E,"수강료")+SUMIFS(수납!$F:$F,수납!$C:$C,원생!$A242,수납!$D:$D,IF(원생!$G242="","",원생!$G242),수납!$B:$B,$B$1&amp;"-"&amp;TEXT(2,"00")&amp;"*",수납!$E:$E,""))</f>
        <v/>
      </c>
      <c r="E244" s="14">
        <f>IF(원생!$A242="","",SUMIFS(수납!$F:$F,수납!$C:$C,원생!$A242,수납!$D:$D,IF(원생!$G242="","",원생!$G242),수납!$B:$B,$B$1&amp;"-"&amp;TEXT(3,"00")&amp;"*",수납!$E:$E,"수강료")+SUMIFS(수납!$F:$F,수납!$C:$C,원생!$A242,수납!$D:$D,IF(원생!$G242="","",원생!$G242),수납!$B:$B,$B$1&amp;"-"&amp;TEXT(3,"00")&amp;"*",수납!$E:$E,""))</f>
        <v/>
      </c>
      <c r="F244" s="14">
        <f>IF(원생!$A242="","",SUMIFS(수납!$F:$F,수납!$C:$C,원생!$A242,수납!$D:$D,IF(원생!$G242="","",원생!$G242),수납!$B:$B,$B$1&amp;"-"&amp;TEXT(4,"00")&amp;"*",수납!$E:$E,"수강료")+SUMIFS(수납!$F:$F,수납!$C:$C,원생!$A242,수납!$D:$D,IF(원생!$G242="","",원생!$G242),수납!$B:$B,$B$1&amp;"-"&amp;TEXT(4,"00")&amp;"*",수납!$E:$E,""))</f>
        <v/>
      </c>
      <c r="G244" s="14">
        <f>IF(원생!$A242="","",SUMIFS(수납!$F:$F,수납!$C:$C,원생!$A242,수납!$D:$D,IF(원생!$G242="","",원생!$G242),수납!$B:$B,$B$1&amp;"-"&amp;TEXT(5,"00")&amp;"*",수납!$E:$E,"수강료")+SUMIFS(수납!$F:$F,수납!$C:$C,원생!$A242,수납!$D:$D,IF(원생!$G242="","",원생!$G242),수납!$B:$B,$B$1&amp;"-"&amp;TEXT(5,"00")&amp;"*",수납!$E:$E,""))</f>
        <v/>
      </c>
      <c r="H244" s="14">
        <f>IF(원생!$A242="","",SUMIFS(수납!$F:$F,수납!$C:$C,원생!$A242,수납!$D:$D,IF(원생!$G242="","",원생!$G242),수납!$B:$B,$B$1&amp;"-"&amp;TEXT(6,"00")&amp;"*",수납!$E:$E,"수강료")+SUMIFS(수납!$F:$F,수납!$C:$C,원생!$A242,수납!$D:$D,IF(원생!$G242="","",원생!$G242),수납!$B:$B,$B$1&amp;"-"&amp;TEXT(6,"00")&amp;"*",수납!$E:$E,""))</f>
        <v/>
      </c>
      <c r="I244" s="14">
        <f>IF(원생!$A242="","",SUMIFS(수납!$F:$F,수납!$C:$C,원생!$A242,수납!$D:$D,IF(원생!$G242="","",원생!$G242),수납!$B:$B,$B$1&amp;"-"&amp;TEXT(7,"00")&amp;"*",수납!$E:$E,"수강료")+SUMIFS(수납!$F:$F,수납!$C:$C,원생!$A242,수납!$D:$D,IF(원생!$G242="","",원생!$G242),수납!$B:$B,$B$1&amp;"-"&amp;TEXT(7,"00")&amp;"*",수납!$E:$E,""))</f>
        <v/>
      </c>
      <c r="J244" s="14">
        <f>IF(원생!$A242="","",SUMIFS(수납!$F:$F,수납!$C:$C,원생!$A242,수납!$D:$D,IF(원생!$G242="","",원생!$G242),수납!$B:$B,$B$1&amp;"-"&amp;TEXT(8,"00")&amp;"*",수납!$E:$E,"수강료")+SUMIFS(수납!$F:$F,수납!$C:$C,원생!$A242,수납!$D:$D,IF(원생!$G242="","",원생!$G242),수납!$B:$B,$B$1&amp;"-"&amp;TEXT(8,"00")&amp;"*",수납!$E:$E,""))</f>
        <v/>
      </c>
      <c r="K244" s="14">
        <f>IF(원생!$A242="","",SUMIFS(수납!$F:$F,수납!$C:$C,원생!$A242,수납!$D:$D,IF(원생!$G242="","",원생!$G242),수납!$B:$B,$B$1&amp;"-"&amp;TEXT(9,"00")&amp;"*",수납!$E:$E,"수강료")+SUMIFS(수납!$F:$F,수납!$C:$C,원생!$A242,수납!$D:$D,IF(원생!$G242="","",원생!$G242),수납!$B:$B,$B$1&amp;"-"&amp;TEXT(9,"00")&amp;"*",수납!$E:$E,""))</f>
        <v/>
      </c>
      <c r="L244" s="14">
        <f>IF(원생!$A242="","",SUMIFS(수납!$F:$F,수납!$C:$C,원생!$A242,수납!$D:$D,IF(원생!$G242="","",원생!$G242),수납!$B:$B,$B$1&amp;"-"&amp;TEXT(10,"00")&amp;"*",수납!$E:$E,"수강료")+SUMIFS(수납!$F:$F,수납!$C:$C,원생!$A242,수납!$D:$D,IF(원생!$G242="","",원생!$G242),수납!$B:$B,$B$1&amp;"-"&amp;TEXT(10,"00")&amp;"*",수납!$E:$E,""))</f>
        <v/>
      </c>
      <c r="M244" s="14">
        <f>IF(원생!$A242="","",SUMIFS(수납!$F:$F,수납!$C:$C,원생!$A242,수납!$D:$D,IF(원생!$G242="","",원생!$G242),수납!$B:$B,$B$1&amp;"-"&amp;TEXT(11,"00")&amp;"*",수납!$E:$E,"수강료")+SUMIFS(수납!$F:$F,수납!$C:$C,원생!$A242,수납!$D:$D,IF(원생!$G242="","",원생!$G242),수납!$B:$B,$B$1&amp;"-"&amp;TEXT(11,"00")&amp;"*",수납!$E:$E,""))</f>
        <v/>
      </c>
      <c r="N244" s="14">
        <f>IF(원생!$A242="","",SUMIFS(수납!$F:$F,수납!$C:$C,원생!$A242,수납!$D:$D,IF(원생!$G242="","",원생!$G242),수납!$B:$B,$B$1&amp;"-"&amp;TEXT(12,"00")&amp;"*",수납!$E:$E,"수강료")+SUMIFS(수납!$F:$F,수납!$C:$C,원생!$A242,수납!$D:$D,IF(원생!$G242="","",원생!$G242),수납!$B:$B,$B$1&amp;"-"&amp;TEXT(12,"00")&amp;"*",수납!$E:$E,""))</f>
        <v/>
      </c>
      <c r="O244">
        <f>IF(원생!$I242="","",원생!$I242)</f>
        <v/>
      </c>
      <c r="P244">
        <f>IF($A244="","",IF(AND($B244&gt;0,C244&lt;$B244,DATE($B$1,1,1)&lt;=TODAY(),OR($O244="",$O244&gt;=DATE($B$1,1,1)),OR(COUNTIF($C244:C244,"&gt;0")&gt;0,DATE($B$1,1,1)=DATE(YEAR(TODAY()),MONTH(TODAY()),1))),1,0))</f>
        <v/>
      </c>
      <c r="Q244">
        <f>IF($A244="","",IF(AND($B244&gt;0,D244&lt;$B244,DATE($B$1,2,1)&lt;=TODAY(),OR($O244="",$O244&gt;=DATE($B$1,2,1)),OR(COUNTIF($C244:D244,"&gt;0")&gt;0,DATE($B$1,2,1)=DATE(YEAR(TODAY()),MONTH(TODAY()),1))),1,0))</f>
        <v/>
      </c>
      <c r="R244">
        <f>IF($A244="","",IF(AND($B244&gt;0,E244&lt;$B244,DATE($B$1,3,1)&lt;=TODAY(),OR($O244="",$O244&gt;=DATE($B$1,3,1)),OR(COUNTIF($C244:E244,"&gt;0")&gt;0,DATE($B$1,3,1)=DATE(YEAR(TODAY()),MONTH(TODAY()),1))),1,0))</f>
        <v/>
      </c>
      <c r="S244">
        <f>IF($A244="","",IF(AND($B244&gt;0,F244&lt;$B244,DATE($B$1,4,1)&lt;=TODAY(),OR($O244="",$O244&gt;=DATE($B$1,4,1)),OR(COUNTIF($C244:F244,"&gt;0")&gt;0,DATE($B$1,4,1)=DATE(YEAR(TODAY()),MONTH(TODAY()),1))),1,0))</f>
        <v/>
      </c>
      <c r="T244">
        <f>IF($A244="","",IF(AND($B244&gt;0,G244&lt;$B244,DATE($B$1,5,1)&lt;=TODAY(),OR($O244="",$O244&gt;=DATE($B$1,5,1)),OR(COUNTIF($C244:G244,"&gt;0")&gt;0,DATE($B$1,5,1)=DATE(YEAR(TODAY()),MONTH(TODAY()),1))),1,0))</f>
        <v/>
      </c>
      <c r="U244">
        <f>IF($A244="","",IF(AND($B244&gt;0,H244&lt;$B244,DATE($B$1,6,1)&lt;=TODAY(),OR($O244="",$O244&gt;=DATE($B$1,6,1)),OR(COUNTIF($C244:H244,"&gt;0")&gt;0,DATE($B$1,6,1)=DATE(YEAR(TODAY()),MONTH(TODAY()),1))),1,0))</f>
        <v/>
      </c>
      <c r="V244">
        <f>IF($A244="","",IF(AND($B244&gt;0,I244&lt;$B244,DATE($B$1,7,1)&lt;=TODAY(),OR($O244="",$O244&gt;=DATE($B$1,7,1)),OR(COUNTIF($C244:I244,"&gt;0")&gt;0,DATE($B$1,7,1)=DATE(YEAR(TODAY()),MONTH(TODAY()),1))),1,0))</f>
        <v/>
      </c>
      <c r="W244">
        <f>IF($A244="","",IF(AND($B244&gt;0,J244&lt;$B244,DATE($B$1,8,1)&lt;=TODAY(),OR($O244="",$O244&gt;=DATE($B$1,8,1)),OR(COUNTIF($C244:J244,"&gt;0")&gt;0,DATE($B$1,8,1)=DATE(YEAR(TODAY()),MONTH(TODAY()),1))),1,0))</f>
        <v/>
      </c>
      <c r="X244">
        <f>IF($A244="","",IF(AND($B244&gt;0,K244&lt;$B244,DATE($B$1,9,1)&lt;=TODAY(),OR($O244="",$O244&gt;=DATE($B$1,9,1)),OR(COUNTIF($C244:K244,"&gt;0")&gt;0,DATE($B$1,9,1)=DATE(YEAR(TODAY()),MONTH(TODAY()),1))),1,0))</f>
        <v/>
      </c>
      <c r="Y244">
        <f>IF($A244="","",IF(AND($B244&gt;0,L244&lt;$B244,DATE($B$1,10,1)&lt;=TODAY(),OR($O244="",$O244&gt;=DATE($B$1,10,1)),OR(COUNTIF($C244:L244,"&gt;0")&gt;0,DATE($B$1,10,1)=DATE(YEAR(TODAY()),MONTH(TODAY()),1))),1,0))</f>
        <v/>
      </c>
      <c r="Z244">
        <f>IF($A244="","",IF(AND($B244&gt;0,M244&lt;$B244,DATE($B$1,11,1)&lt;=TODAY(),OR($O244="",$O244&gt;=DATE($B$1,11,1)),OR(COUNTIF($C244:M244,"&gt;0")&gt;0,DATE($B$1,11,1)=DATE(YEAR(TODAY()),MONTH(TODAY()),1))),1,0))</f>
        <v/>
      </c>
      <c r="AA244">
        <f>IF($A244="","",IF(AND($B244&gt;0,N244&lt;$B244,DATE($B$1,12,1)&lt;=TODAY(),OR($O244="",$O244&gt;=DATE($B$1,12,1)),OR(COUNTIF($C244:N244,"&gt;0")&gt;0,DATE($B$1,12,1)=DATE(YEAR(TODAY()),MONTH(TODAY()),1))),1,0))</f>
        <v/>
      </c>
    </row>
    <row r="245">
      <c r="A245" s="13">
        <f>IF(원생!$A243="","",원생!$A243&amp;IF(원생!$G243="",""," ("&amp;원생!$G243&amp;")"))</f>
        <v/>
      </c>
      <c r="B245" s="8">
        <f>IF(원생!$A243="","",원생!$F243)</f>
        <v/>
      </c>
      <c r="C245" s="14">
        <f>IF(원생!$A243="","",SUMIFS(수납!$F:$F,수납!$C:$C,원생!$A243,수납!$D:$D,IF(원생!$G243="","",원생!$G243),수납!$B:$B,$B$1&amp;"-"&amp;TEXT(1,"00")&amp;"*",수납!$E:$E,"수강료")+SUMIFS(수납!$F:$F,수납!$C:$C,원생!$A243,수납!$D:$D,IF(원생!$G243="","",원생!$G243),수납!$B:$B,$B$1&amp;"-"&amp;TEXT(1,"00")&amp;"*",수납!$E:$E,""))</f>
        <v/>
      </c>
      <c r="D245" s="14">
        <f>IF(원생!$A243="","",SUMIFS(수납!$F:$F,수납!$C:$C,원생!$A243,수납!$D:$D,IF(원생!$G243="","",원생!$G243),수납!$B:$B,$B$1&amp;"-"&amp;TEXT(2,"00")&amp;"*",수납!$E:$E,"수강료")+SUMIFS(수납!$F:$F,수납!$C:$C,원생!$A243,수납!$D:$D,IF(원생!$G243="","",원생!$G243),수납!$B:$B,$B$1&amp;"-"&amp;TEXT(2,"00")&amp;"*",수납!$E:$E,""))</f>
        <v/>
      </c>
      <c r="E245" s="14">
        <f>IF(원생!$A243="","",SUMIFS(수납!$F:$F,수납!$C:$C,원생!$A243,수납!$D:$D,IF(원생!$G243="","",원생!$G243),수납!$B:$B,$B$1&amp;"-"&amp;TEXT(3,"00")&amp;"*",수납!$E:$E,"수강료")+SUMIFS(수납!$F:$F,수납!$C:$C,원생!$A243,수납!$D:$D,IF(원생!$G243="","",원생!$G243),수납!$B:$B,$B$1&amp;"-"&amp;TEXT(3,"00")&amp;"*",수납!$E:$E,""))</f>
        <v/>
      </c>
      <c r="F245" s="14">
        <f>IF(원생!$A243="","",SUMIFS(수납!$F:$F,수납!$C:$C,원생!$A243,수납!$D:$D,IF(원생!$G243="","",원생!$G243),수납!$B:$B,$B$1&amp;"-"&amp;TEXT(4,"00")&amp;"*",수납!$E:$E,"수강료")+SUMIFS(수납!$F:$F,수납!$C:$C,원생!$A243,수납!$D:$D,IF(원생!$G243="","",원생!$G243),수납!$B:$B,$B$1&amp;"-"&amp;TEXT(4,"00")&amp;"*",수납!$E:$E,""))</f>
        <v/>
      </c>
      <c r="G245" s="14">
        <f>IF(원생!$A243="","",SUMIFS(수납!$F:$F,수납!$C:$C,원생!$A243,수납!$D:$D,IF(원생!$G243="","",원생!$G243),수납!$B:$B,$B$1&amp;"-"&amp;TEXT(5,"00")&amp;"*",수납!$E:$E,"수강료")+SUMIFS(수납!$F:$F,수납!$C:$C,원생!$A243,수납!$D:$D,IF(원생!$G243="","",원생!$G243),수납!$B:$B,$B$1&amp;"-"&amp;TEXT(5,"00")&amp;"*",수납!$E:$E,""))</f>
        <v/>
      </c>
      <c r="H245" s="14">
        <f>IF(원생!$A243="","",SUMIFS(수납!$F:$F,수납!$C:$C,원생!$A243,수납!$D:$D,IF(원생!$G243="","",원생!$G243),수납!$B:$B,$B$1&amp;"-"&amp;TEXT(6,"00")&amp;"*",수납!$E:$E,"수강료")+SUMIFS(수납!$F:$F,수납!$C:$C,원생!$A243,수납!$D:$D,IF(원생!$G243="","",원생!$G243),수납!$B:$B,$B$1&amp;"-"&amp;TEXT(6,"00")&amp;"*",수납!$E:$E,""))</f>
        <v/>
      </c>
      <c r="I245" s="14">
        <f>IF(원생!$A243="","",SUMIFS(수납!$F:$F,수납!$C:$C,원생!$A243,수납!$D:$D,IF(원생!$G243="","",원생!$G243),수납!$B:$B,$B$1&amp;"-"&amp;TEXT(7,"00")&amp;"*",수납!$E:$E,"수강료")+SUMIFS(수납!$F:$F,수납!$C:$C,원생!$A243,수납!$D:$D,IF(원생!$G243="","",원생!$G243),수납!$B:$B,$B$1&amp;"-"&amp;TEXT(7,"00")&amp;"*",수납!$E:$E,""))</f>
        <v/>
      </c>
      <c r="J245" s="14">
        <f>IF(원생!$A243="","",SUMIFS(수납!$F:$F,수납!$C:$C,원생!$A243,수납!$D:$D,IF(원생!$G243="","",원생!$G243),수납!$B:$B,$B$1&amp;"-"&amp;TEXT(8,"00")&amp;"*",수납!$E:$E,"수강료")+SUMIFS(수납!$F:$F,수납!$C:$C,원생!$A243,수납!$D:$D,IF(원생!$G243="","",원생!$G243),수납!$B:$B,$B$1&amp;"-"&amp;TEXT(8,"00")&amp;"*",수납!$E:$E,""))</f>
        <v/>
      </c>
      <c r="K245" s="14">
        <f>IF(원생!$A243="","",SUMIFS(수납!$F:$F,수납!$C:$C,원생!$A243,수납!$D:$D,IF(원생!$G243="","",원생!$G243),수납!$B:$B,$B$1&amp;"-"&amp;TEXT(9,"00")&amp;"*",수납!$E:$E,"수강료")+SUMIFS(수납!$F:$F,수납!$C:$C,원생!$A243,수납!$D:$D,IF(원생!$G243="","",원생!$G243),수납!$B:$B,$B$1&amp;"-"&amp;TEXT(9,"00")&amp;"*",수납!$E:$E,""))</f>
        <v/>
      </c>
      <c r="L245" s="14">
        <f>IF(원생!$A243="","",SUMIFS(수납!$F:$F,수납!$C:$C,원생!$A243,수납!$D:$D,IF(원생!$G243="","",원생!$G243),수납!$B:$B,$B$1&amp;"-"&amp;TEXT(10,"00")&amp;"*",수납!$E:$E,"수강료")+SUMIFS(수납!$F:$F,수납!$C:$C,원생!$A243,수납!$D:$D,IF(원생!$G243="","",원생!$G243),수납!$B:$B,$B$1&amp;"-"&amp;TEXT(10,"00")&amp;"*",수납!$E:$E,""))</f>
        <v/>
      </c>
      <c r="M245" s="14">
        <f>IF(원생!$A243="","",SUMIFS(수납!$F:$F,수납!$C:$C,원생!$A243,수납!$D:$D,IF(원생!$G243="","",원생!$G243),수납!$B:$B,$B$1&amp;"-"&amp;TEXT(11,"00")&amp;"*",수납!$E:$E,"수강료")+SUMIFS(수납!$F:$F,수납!$C:$C,원생!$A243,수납!$D:$D,IF(원생!$G243="","",원생!$G243),수납!$B:$B,$B$1&amp;"-"&amp;TEXT(11,"00")&amp;"*",수납!$E:$E,""))</f>
        <v/>
      </c>
      <c r="N245" s="14">
        <f>IF(원생!$A243="","",SUMIFS(수납!$F:$F,수납!$C:$C,원생!$A243,수납!$D:$D,IF(원생!$G243="","",원생!$G243),수납!$B:$B,$B$1&amp;"-"&amp;TEXT(12,"00")&amp;"*",수납!$E:$E,"수강료")+SUMIFS(수납!$F:$F,수납!$C:$C,원생!$A243,수납!$D:$D,IF(원생!$G243="","",원생!$G243),수납!$B:$B,$B$1&amp;"-"&amp;TEXT(12,"00")&amp;"*",수납!$E:$E,""))</f>
        <v/>
      </c>
      <c r="O245">
        <f>IF(원생!$I243="","",원생!$I243)</f>
        <v/>
      </c>
      <c r="P245">
        <f>IF($A245="","",IF(AND($B245&gt;0,C245&lt;$B245,DATE($B$1,1,1)&lt;=TODAY(),OR($O245="",$O245&gt;=DATE($B$1,1,1)),OR(COUNTIF($C245:C245,"&gt;0")&gt;0,DATE($B$1,1,1)=DATE(YEAR(TODAY()),MONTH(TODAY()),1))),1,0))</f>
        <v/>
      </c>
      <c r="Q245">
        <f>IF($A245="","",IF(AND($B245&gt;0,D245&lt;$B245,DATE($B$1,2,1)&lt;=TODAY(),OR($O245="",$O245&gt;=DATE($B$1,2,1)),OR(COUNTIF($C245:D245,"&gt;0")&gt;0,DATE($B$1,2,1)=DATE(YEAR(TODAY()),MONTH(TODAY()),1))),1,0))</f>
        <v/>
      </c>
      <c r="R245">
        <f>IF($A245="","",IF(AND($B245&gt;0,E245&lt;$B245,DATE($B$1,3,1)&lt;=TODAY(),OR($O245="",$O245&gt;=DATE($B$1,3,1)),OR(COUNTIF($C245:E245,"&gt;0")&gt;0,DATE($B$1,3,1)=DATE(YEAR(TODAY()),MONTH(TODAY()),1))),1,0))</f>
        <v/>
      </c>
      <c r="S245">
        <f>IF($A245="","",IF(AND($B245&gt;0,F245&lt;$B245,DATE($B$1,4,1)&lt;=TODAY(),OR($O245="",$O245&gt;=DATE($B$1,4,1)),OR(COUNTIF($C245:F245,"&gt;0")&gt;0,DATE($B$1,4,1)=DATE(YEAR(TODAY()),MONTH(TODAY()),1))),1,0))</f>
        <v/>
      </c>
      <c r="T245">
        <f>IF($A245="","",IF(AND($B245&gt;0,G245&lt;$B245,DATE($B$1,5,1)&lt;=TODAY(),OR($O245="",$O245&gt;=DATE($B$1,5,1)),OR(COUNTIF($C245:G245,"&gt;0")&gt;0,DATE($B$1,5,1)=DATE(YEAR(TODAY()),MONTH(TODAY()),1))),1,0))</f>
        <v/>
      </c>
      <c r="U245">
        <f>IF($A245="","",IF(AND($B245&gt;0,H245&lt;$B245,DATE($B$1,6,1)&lt;=TODAY(),OR($O245="",$O245&gt;=DATE($B$1,6,1)),OR(COUNTIF($C245:H245,"&gt;0")&gt;0,DATE($B$1,6,1)=DATE(YEAR(TODAY()),MONTH(TODAY()),1))),1,0))</f>
        <v/>
      </c>
      <c r="V245">
        <f>IF($A245="","",IF(AND($B245&gt;0,I245&lt;$B245,DATE($B$1,7,1)&lt;=TODAY(),OR($O245="",$O245&gt;=DATE($B$1,7,1)),OR(COUNTIF($C245:I245,"&gt;0")&gt;0,DATE($B$1,7,1)=DATE(YEAR(TODAY()),MONTH(TODAY()),1))),1,0))</f>
        <v/>
      </c>
      <c r="W245">
        <f>IF($A245="","",IF(AND($B245&gt;0,J245&lt;$B245,DATE($B$1,8,1)&lt;=TODAY(),OR($O245="",$O245&gt;=DATE($B$1,8,1)),OR(COUNTIF($C245:J245,"&gt;0")&gt;0,DATE($B$1,8,1)=DATE(YEAR(TODAY()),MONTH(TODAY()),1))),1,0))</f>
        <v/>
      </c>
      <c r="X245">
        <f>IF($A245="","",IF(AND($B245&gt;0,K245&lt;$B245,DATE($B$1,9,1)&lt;=TODAY(),OR($O245="",$O245&gt;=DATE($B$1,9,1)),OR(COUNTIF($C245:K245,"&gt;0")&gt;0,DATE($B$1,9,1)=DATE(YEAR(TODAY()),MONTH(TODAY()),1))),1,0))</f>
        <v/>
      </c>
      <c r="Y245">
        <f>IF($A245="","",IF(AND($B245&gt;0,L245&lt;$B245,DATE($B$1,10,1)&lt;=TODAY(),OR($O245="",$O245&gt;=DATE($B$1,10,1)),OR(COUNTIF($C245:L245,"&gt;0")&gt;0,DATE($B$1,10,1)=DATE(YEAR(TODAY()),MONTH(TODAY()),1))),1,0))</f>
        <v/>
      </c>
      <c r="Z245">
        <f>IF($A245="","",IF(AND($B245&gt;0,M245&lt;$B245,DATE($B$1,11,1)&lt;=TODAY(),OR($O245="",$O245&gt;=DATE($B$1,11,1)),OR(COUNTIF($C245:M245,"&gt;0")&gt;0,DATE($B$1,11,1)=DATE(YEAR(TODAY()),MONTH(TODAY()),1))),1,0))</f>
        <v/>
      </c>
      <c r="AA245">
        <f>IF($A245="","",IF(AND($B245&gt;0,N245&lt;$B245,DATE($B$1,12,1)&lt;=TODAY(),OR($O245="",$O245&gt;=DATE($B$1,12,1)),OR(COUNTIF($C245:N245,"&gt;0")&gt;0,DATE($B$1,12,1)=DATE(YEAR(TODAY()),MONTH(TODAY()),1))),1,0))</f>
        <v/>
      </c>
    </row>
    <row r="246">
      <c r="A246" s="13">
        <f>IF(원생!$A244="","",원생!$A244&amp;IF(원생!$G244="",""," ("&amp;원생!$G244&amp;")"))</f>
        <v/>
      </c>
      <c r="B246" s="8">
        <f>IF(원생!$A244="","",원생!$F244)</f>
        <v/>
      </c>
      <c r="C246" s="14">
        <f>IF(원생!$A244="","",SUMIFS(수납!$F:$F,수납!$C:$C,원생!$A244,수납!$D:$D,IF(원생!$G244="","",원생!$G244),수납!$B:$B,$B$1&amp;"-"&amp;TEXT(1,"00")&amp;"*",수납!$E:$E,"수강료")+SUMIFS(수납!$F:$F,수납!$C:$C,원생!$A244,수납!$D:$D,IF(원생!$G244="","",원생!$G244),수납!$B:$B,$B$1&amp;"-"&amp;TEXT(1,"00")&amp;"*",수납!$E:$E,""))</f>
        <v/>
      </c>
      <c r="D246" s="14">
        <f>IF(원생!$A244="","",SUMIFS(수납!$F:$F,수납!$C:$C,원생!$A244,수납!$D:$D,IF(원생!$G244="","",원생!$G244),수납!$B:$B,$B$1&amp;"-"&amp;TEXT(2,"00")&amp;"*",수납!$E:$E,"수강료")+SUMIFS(수납!$F:$F,수납!$C:$C,원생!$A244,수납!$D:$D,IF(원생!$G244="","",원생!$G244),수납!$B:$B,$B$1&amp;"-"&amp;TEXT(2,"00")&amp;"*",수납!$E:$E,""))</f>
        <v/>
      </c>
      <c r="E246" s="14">
        <f>IF(원생!$A244="","",SUMIFS(수납!$F:$F,수납!$C:$C,원생!$A244,수납!$D:$D,IF(원생!$G244="","",원생!$G244),수납!$B:$B,$B$1&amp;"-"&amp;TEXT(3,"00")&amp;"*",수납!$E:$E,"수강료")+SUMIFS(수납!$F:$F,수납!$C:$C,원생!$A244,수납!$D:$D,IF(원생!$G244="","",원생!$G244),수납!$B:$B,$B$1&amp;"-"&amp;TEXT(3,"00")&amp;"*",수납!$E:$E,""))</f>
        <v/>
      </c>
      <c r="F246" s="14">
        <f>IF(원생!$A244="","",SUMIFS(수납!$F:$F,수납!$C:$C,원생!$A244,수납!$D:$D,IF(원생!$G244="","",원생!$G244),수납!$B:$B,$B$1&amp;"-"&amp;TEXT(4,"00")&amp;"*",수납!$E:$E,"수강료")+SUMIFS(수납!$F:$F,수납!$C:$C,원생!$A244,수납!$D:$D,IF(원생!$G244="","",원생!$G244),수납!$B:$B,$B$1&amp;"-"&amp;TEXT(4,"00")&amp;"*",수납!$E:$E,""))</f>
        <v/>
      </c>
      <c r="G246" s="14">
        <f>IF(원생!$A244="","",SUMIFS(수납!$F:$F,수납!$C:$C,원생!$A244,수납!$D:$D,IF(원생!$G244="","",원생!$G244),수납!$B:$B,$B$1&amp;"-"&amp;TEXT(5,"00")&amp;"*",수납!$E:$E,"수강료")+SUMIFS(수납!$F:$F,수납!$C:$C,원생!$A244,수납!$D:$D,IF(원생!$G244="","",원생!$G244),수납!$B:$B,$B$1&amp;"-"&amp;TEXT(5,"00")&amp;"*",수납!$E:$E,""))</f>
        <v/>
      </c>
      <c r="H246" s="14">
        <f>IF(원생!$A244="","",SUMIFS(수납!$F:$F,수납!$C:$C,원생!$A244,수납!$D:$D,IF(원생!$G244="","",원생!$G244),수납!$B:$B,$B$1&amp;"-"&amp;TEXT(6,"00")&amp;"*",수납!$E:$E,"수강료")+SUMIFS(수납!$F:$F,수납!$C:$C,원생!$A244,수납!$D:$D,IF(원생!$G244="","",원생!$G244),수납!$B:$B,$B$1&amp;"-"&amp;TEXT(6,"00")&amp;"*",수납!$E:$E,""))</f>
        <v/>
      </c>
      <c r="I246" s="14">
        <f>IF(원생!$A244="","",SUMIFS(수납!$F:$F,수납!$C:$C,원생!$A244,수납!$D:$D,IF(원생!$G244="","",원생!$G244),수납!$B:$B,$B$1&amp;"-"&amp;TEXT(7,"00")&amp;"*",수납!$E:$E,"수강료")+SUMIFS(수납!$F:$F,수납!$C:$C,원생!$A244,수납!$D:$D,IF(원생!$G244="","",원생!$G244),수납!$B:$B,$B$1&amp;"-"&amp;TEXT(7,"00")&amp;"*",수납!$E:$E,""))</f>
        <v/>
      </c>
      <c r="J246" s="14">
        <f>IF(원생!$A244="","",SUMIFS(수납!$F:$F,수납!$C:$C,원생!$A244,수납!$D:$D,IF(원생!$G244="","",원생!$G244),수납!$B:$B,$B$1&amp;"-"&amp;TEXT(8,"00")&amp;"*",수납!$E:$E,"수강료")+SUMIFS(수납!$F:$F,수납!$C:$C,원생!$A244,수납!$D:$D,IF(원생!$G244="","",원생!$G244),수납!$B:$B,$B$1&amp;"-"&amp;TEXT(8,"00")&amp;"*",수납!$E:$E,""))</f>
        <v/>
      </c>
      <c r="K246" s="14">
        <f>IF(원생!$A244="","",SUMIFS(수납!$F:$F,수납!$C:$C,원생!$A244,수납!$D:$D,IF(원생!$G244="","",원생!$G244),수납!$B:$B,$B$1&amp;"-"&amp;TEXT(9,"00")&amp;"*",수납!$E:$E,"수강료")+SUMIFS(수납!$F:$F,수납!$C:$C,원생!$A244,수납!$D:$D,IF(원생!$G244="","",원생!$G244),수납!$B:$B,$B$1&amp;"-"&amp;TEXT(9,"00")&amp;"*",수납!$E:$E,""))</f>
        <v/>
      </c>
      <c r="L246" s="14">
        <f>IF(원생!$A244="","",SUMIFS(수납!$F:$F,수납!$C:$C,원생!$A244,수납!$D:$D,IF(원생!$G244="","",원생!$G244),수납!$B:$B,$B$1&amp;"-"&amp;TEXT(10,"00")&amp;"*",수납!$E:$E,"수강료")+SUMIFS(수납!$F:$F,수납!$C:$C,원생!$A244,수납!$D:$D,IF(원생!$G244="","",원생!$G244),수납!$B:$B,$B$1&amp;"-"&amp;TEXT(10,"00")&amp;"*",수납!$E:$E,""))</f>
        <v/>
      </c>
      <c r="M246" s="14">
        <f>IF(원생!$A244="","",SUMIFS(수납!$F:$F,수납!$C:$C,원생!$A244,수납!$D:$D,IF(원생!$G244="","",원생!$G244),수납!$B:$B,$B$1&amp;"-"&amp;TEXT(11,"00")&amp;"*",수납!$E:$E,"수강료")+SUMIFS(수납!$F:$F,수납!$C:$C,원생!$A244,수납!$D:$D,IF(원생!$G244="","",원생!$G244),수납!$B:$B,$B$1&amp;"-"&amp;TEXT(11,"00")&amp;"*",수납!$E:$E,""))</f>
        <v/>
      </c>
      <c r="N246" s="14">
        <f>IF(원생!$A244="","",SUMIFS(수납!$F:$F,수납!$C:$C,원생!$A244,수납!$D:$D,IF(원생!$G244="","",원생!$G244),수납!$B:$B,$B$1&amp;"-"&amp;TEXT(12,"00")&amp;"*",수납!$E:$E,"수강료")+SUMIFS(수납!$F:$F,수납!$C:$C,원생!$A244,수납!$D:$D,IF(원생!$G244="","",원생!$G244),수납!$B:$B,$B$1&amp;"-"&amp;TEXT(12,"00")&amp;"*",수납!$E:$E,""))</f>
        <v/>
      </c>
      <c r="O246">
        <f>IF(원생!$I244="","",원생!$I244)</f>
        <v/>
      </c>
      <c r="P246">
        <f>IF($A246="","",IF(AND($B246&gt;0,C246&lt;$B246,DATE($B$1,1,1)&lt;=TODAY(),OR($O246="",$O246&gt;=DATE($B$1,1,1)),OR(COUNTIF($C246:C246,"&gt;0")&gt;0,DATE($B$1,1,1)=DATE(YEAR(TODAY()),MONTH(TODAY()),1))),1,0))</f>
        <v/>
      </c>
      <c r="Q246">
        <f>IF($A246="","",IF(AND($B246&gt;0,D246&lt;$B246,DATE($B$1,2,1)&lt;=TODAY(),OR($O246="",$O246&gt;=DATE($B$1,2,1)),OR(COUNTIF($C246:D246,"&gt;0")&gt;0,DATE($B$1,2,1)=DATE(YEAR(TODAY()),MONTH(TODAY()),1))),1,0))</f>
        <v/>
      </c>
      <c r="R246">
        <f>IF($A246="","",IF(AND($B246&gt;0,E246&lt;$B246,DATE($B$1,3,1)&lt;=TODAY(),OR($O246="",$O246&gt;=DATE($B$1,3,1)),OR(COUNTIF($C246:E246,"&gt;0")&gt;0,DATE($B$1,3,1)=DATE(YEAR(TODAY()),MONTH(TODAY()),1))),1,0))</f>
        <v/>
      </c>
      <c r="S246">
        <f>IF($A246="","",IF(AND($B246&gt;0,F246&lt;$B246,DATE($B$1,4,1)&lt;=TODAY(),OR($O246="",$O246&gt;=DATE($B$1,4,1)),OR(COUNTIF($C246:F246,"&gt;0")&gt;0,DATE($B$1,4,1)=DATE(YEAR(TODAY()),MONTH(TODAY()),1))),1,0))</f>
        <v/>
      </c>
      <c r="T246">
        <f>IF($A246="","",IF(AND($B246&gt;0,G246&lt;$B246,DATE($B$1,5,1)&lt;=TODAY(),OR($O246="",$O246&gt;=DATE($B$1,5,1)),OR(COUNTIF($C246:G246,"&gt;0")&gt;0,DATE($B$1,5,1)=DATE(YEAR(TODAY()),MONTH(TODAY()),1))),1,0))</f>
        <v/>
      </c>
      <c r="U246">
        <f>IF($A246="","",IF(AND($B246&gt;0,H246&lt;$B246,DATE($B$1,6,1)&lt;=TODAY(),OR($O246="",$O246&gt;=DATE($B$1,6,1)),OR(COUNTIF($C246:H246,"&gt;0")&gt;0,DATE($B$1,6,1)=DATE(YEAR(TODAY()),MONTH(TODAY()),1))),1,0))</f>
        <v/>
      </c>
      <c r="V246">
        <f>IF($A246="","",IF(AND($B246&gt;0,I246&lt;$B246,DATE($B$1,7,1)&lt;=TODAY(),OR($O246="",$O246&gt;=DATE($B$1,7,1)),OR(COUNTIF($C246:I246,"&gt;0")&gt;0,DATE($B$1,7,1)=DATE(YEAR(TODAY()),MONTH(TODAY()),1))),1,0))</f>
        <v/>
      </c>
      <c r="W246">
        <f>IF($A246="","",IF(AND($B246&gt;0,J246&lt;$B246,DATE($B$1,8,1)&lt;=TODAY(),OR($O246="",$O246&gt;=DATE($B$1,8,1)),OR(COUNTIF($C246:J246,"&gt;0")&gt;0,DATE($B$1,8,1)=DATE(YEAR(TODAY()),MONTH(TODAY()),1))),1,0))</f>
        <v/>
      </c>
      <c r="X246">
        <f>IF($A246="","",IF(AND($B246&gt;0,K246&lt;$B246,DATE($B$1,9,1)&lt;=TODAY(),OR($O246="",$O246&gt;=DATE($B$1,9,1)),OR(COUNTIF($C246:K246,"&gt;0")&gt;0,DATE($B$1,9,1)=DATE(YEAR(TODAY()),MONTH(TODAY()),1))),1,0))</f>
        <v/>
      </c>
      <c r="Y246">
        <f>IF($A246="","",IF(AND($B246&gt;0,L246&lt;$B246,DATE($B$1,10,1)&lt;=TODAY(),OR($O246="",$O246&gt;=DATE($B$1,10,1)),OR(COUNTIF($C246:L246,"&gt;0")&gt;0,DATE($B$1,10,1)=DATE(YEAR(TODAY()),MONTH(TODAY()),1))),1,0))</f>
        <v/>
      </c>
      <c r="Z246">
        <f>IF($A246="","",IF(AND($B246&gt;0,M246&lt;$B246,DATE($B$1,11,1)&lt;=TODAY(),OR($O246="",$O246&gt;=DATE($B$1,11,1)),OR(COUNTIF($C246:M246,"&gt;0")&gt;0,DATE($B$1,11,1)=DATE(YEAR(TODAY()),MONTH(TODAY()),1))),1,0))</f>
        <v/>
      </c>
      <c r="AA246">
        <f>IF($A246="","",IF(AND($B246&gt;0,N246&lt;$B246,DATE($B$1,12,1)&lt;=TODAY(),OR($O246="",$O246&gt;=DATE($B$1,12,1)),OR(COUNTIF($C246:N246,"&gt;0")&gt;0,DATE($B$1,12,1)=DATE(YEAR(TODAY()),MONTH(TODAY()),1))),1,0))</f>
        <v/>
      </c>
    </row>
    <row r="247">
      <c r="A247" s="13">
        <f>IF(원생!$A245="","",원생!$A245&amp;IF(원생!$G245="",""," ("&amp;원생!$G245&amp;")"))</f>
        <v/>
      </c>
      <c r="B247" s="8">
        <f>IF(원생!$A245="","",원생!$F245)</f>
        <v/>
      </c>
      <c r="C247" s="14">
        <f>IF(원생!$A245="","",SUMIFS(수납!$F:$F,수납!$C:$C,원생!$A245,수납!$D:$D,IF(원생!$G245="","",원생!$G245),수납!$B:$B,$B$1&amp;"-"&amp;TEXT(1,"00")&amp;"*",수납!$E:$E,"수강료")+SUMIFS(수납!$F:$F,수납!$C:$C,원생!$A245,수납!$D:$D,IF(원생!$G245="","",원생!$G245),수납!$B:$B,$B$1&amp;"-"&amp;TEXT(1,"00")&amp;"*",수납!$E:$E,""))</f>
        <v/>
      </c>
      <c r="D247" s="14">
        <f>IF(원생!$A245="","",SUMIFS(수납!$F:$F,수납!$C:$C,원생!$A245,수납!$D:$D,IF(원생!$G245="","",원생!$G245),수납!$B:$B,$B$1&amp;"-"&amp;TEXT(2,"00")&amp;"*",수납!$E:$E,"수강료")+SUMIFS(수납!$F:$F,수납!$C:$C,원생!$A245,수납!$D:$D,IF(원생!$G245="","",원생!$G245),수납!$B:$B,$B$1&amp;"-"&amp;TEXT(2,"00")&amp;"*",수납!$E:$E,""))</f>
        <v/>
      </c>
      <c r="E247" s="14">
        <f>IF(원생!$A245="","",SUMIFS(수납!$F:$F,수납!$C:$C,원생!$A245,수납!$D:$D,IF(원생!$G245="","",원생!$G245),수납!$B:$B,$B$1&amp;"-"&amp;TEXT(3,"00")&amp;"*",수납!$E:$E,"수강료")+SUMIFS(수납!$F:$F,수납!$C:$C,원생!$A245,수납!$D:$D,IF(원생!$G245="","",원생!$G245),수납!$B:$B,$B$1&amp;"-"&amp;TEXT(3,"00")&amp;"*",수납!$E:$E,""))</f>
        <v/>
      </c>
      <c r="F247" s="14">
        <f>IF(원생!$A245="","",SUMIFS(수납!$F:$F,수납!$C:$C,원생!$A245,수납!$D:$D,IF(원생!$G245="","",원생!$G245),수납!$B:$B,$B$1&amp;"-"&amp;TEXT(4,"00")&amp;"*",수납!$E:$E,"수강료")+SUMIFS(수납!$F:$F,수납!$C:$C,원생!$A245,수납!$D:$D,IF(원생!$G245="","",원생!$G245),수납!$B:$B,$B$1&amp;"-"&amp;TEXT(4,"00")&amp;"*",수납!$E:$E,""))</f>
        <v/>
      </c>
      <c r="G247" s="14">
        <f>IF(원생!$A245="","",SUMIFS(수납!$F:$F,수납!$C:$C,원생!$A245,수납!$D:$D,IF(원생!$G245="","",원생!$G245),수납!$B:$B,$B$1&amp;"-"&amp;TEXT(5,"00")&amp;"*",수납!$E:$E,"수강료")+SUMIFS(수납!$F:$F,수납!$C:$C,원생!$A245,수납!$D:$D,IF(원생!$G245="","",원생!$G245),수납!$B:$B,$B$1&amp;"-"&amp;TEXT(5,"00")&amp;"*",수납!$E:$E,""))</f>
        <v/>
      </c>
      <c r="H247" s="14">
        <f>IF(원생!$A245="","",SUMIFS(수납!$F:$F,수납!$C:$C,원생!$A245,수납!$D:$D,IF(원생!$G245="","",원생!$G245),수납!$B:$B,$B$1&amp;"-"&amp;TEXT(6,"00")&amp;"*",수납!$E:$E,"수강료")+SUMIFS(수납!$F:$F,수납!$C:$C,원생!$A245,수납!$D:$D,IF(원생!$G245="","",원생!$G245),수납!$B:$B,$B$1&amp;"-"&amp;TEXT(6,"00")&amp;"*",수납!$E:$E,""))</f>
        <v/>
      </c>
      <c r="I247" s="14">
        <f>IF(원생!$A245="","",SUMIFS(수납!$F:$F,수납!$C:$C,원생!$A245,수납!$D:$D,IF(원생!$G245="","",원생!$G245),수납!$B:$B,$B$1&amp;"-"&amp;TEXT(7,"00")&amp;"*",수납!$E:$E,"수강료")+SUMIFS(수납!$F:$F,수납!$C:$C,원생!$A245,수납!$D:$D,IF(원생!$G245="","",원생!$G245),수납!$B:$B,$B$1&amp;"-"&amp;TEXT(7,"00")&amp;"*",수납!$E:$E,""))</f>
        <v/>
      </c>
      <c r="J247" s="14">
        <f>IF(원생!$A245="","",SUMIFS(수납!$F:$F,수납!$C:$C,원생!$A245,수납!$D:$D,IF(원생!$G245="","",원생!$G245),수납!$B:$B,$B$1&amp;"-"&amp;TEXT(8,"00")&amp;"*",수납!$E:$E,"수강료")+SUMIFS(수납!$F:$F,수납!$C:$C,원생!$A245,수납!$D:$D,IF(원생!$G245="","",원생!$G245),수납!$B:$B,$B$1&amp;"-"&amp;TEXT(8,"00")&amp;"*",수납!$E:$E,""))</f>
        <v/>
      </c>
      <c r="K247" s="14">
        <f>IF(원생!$A245="","",SUMIFS(수납!$F:$F,수납!$C:$C,원생!$A245,수납!$D:$D,IF(원생!$G245="","",원생!$G245),수납!$B:$B,$B$1&amp;"-"&amp;TEXT(9,"00")&amp;"*",수납!$E:$E,"수강료")+SUMIFS(수납!$F:$F,수납!$C:$C,원생!$A245,수납!$D:$D,IF(원생!$G245="","",원생!$G245),수납!$B:$B,$B$1&amp;"-"&amp;TEXT(9,"00")&amp;"*",수납!$E:$E,""))</f>
        <v/>
      </c>
      <c r="L247" s="14">
        <f>IF(원생!$A245="","",SUMIFS(수납!$F:$F,수납!$C:$C,원생!$A245,수납!$D:$D,IF(원생!$G245="","",원생!$G245),수납!$B:$B,$B$1&amp;"-"&amp;TEXT(10,"00")&amp;"*",수납!$E:$E,"수강료")+SUMIFS(수납!$F:$F,수납!$C:$C,원생!$A245,수납!$D:$D,IF(원생!$G245="","",원생!$G245),수납!$B:$B,$B$1&amp;"-"&amp;TEXT(10,"00")&amp;"*",수납!$E:$E,""))</f>
        <v/>
      </c>
      <c r="M247" s="14">
        <f>IF(원생!$A245="","",SUMIFS(수납!$F:$F,수납!$C:$C,원생!$A245,수납!$D:$D,IF(원생!$G245="","",원생!$G245),수납!$B:$B,$B$1&amp;"-"&amp;TEXT(11,"00")&amp;"*",수납!$E:$E,"수강료")+SUMIFS(수납!$F:$F,수납!$C:$C,원생!$A245,수납!$D:$D,IF(원생!$G245="","",원생!$G245),수납!$B:$B,$B$1&amp;"-"&amp;TEXT(11,"00")&amp;"*",수납!$E:$E,""))</f>
        <v/>
      </c>
      <c r="N247" s="14">
        <f>IF(원생!$A245="","",SUMIFS(수납!$F:$F,수납!$C:$C,원생!$A245,수납!$D:$D,IF(원생!$G245="","",원생!$G245),수납!$B:$B,$B$1&amp;"-"&amp;TEXT(12,"00")&amp;"*",수납!$E:$E,"수강료")+SUMIFS(수납!$F:$F,수납!$C:$C,원생!$A245,수납!$D:$D,IF(원생!$G245="","",원생!$G245),수납!$B:$B,$B$1&amp;"-"&amp;TEXT(12,"00")&amp;"*",수납!$E:$E,""))</f>
        <v/>
      </c>
      <c r="O247">
        <f>IF(원생!$I245="","",원생!$I245)</f>
        <v/>
      </c>
      <c r="P247">
        <f>IF($A247="","",IF(AND($B247&gt;0,C247&lt;$B247,DATE($B$1,1,1)&lt;=TODAY(),OR($O247="",$O247&gt;=DATE($B$1,1,1)),OR(COUNTIF($C247:C247,"&gt;0")&gt;0,DATE($B$1,1,1)=DATE(YEAR(TODAY()),MONTH(TODAY()),1))),1,0))</f>
        <v/>
      </c>
      <c r="Q247">
        <f>IF($A247="","",IF(AND($B247&gt;0,D247&lt;$B247,DATE($B$1,2,1)&lt;=TODAY(),OR($O247="",$O247&gt;=DATE($B$1,2,1)),OR(COUNTIF($C247:D247,"&gt;0")&gt;0,DATE($B$1,2,1)=DATE(YEAR(TODAY()),MONTH(TODAY()),1))),1,0))</f>
        <v/>
      </c>
      <c r="R247">
        <f>IF($A247="","",IF(AND($B247&gt;0,E247&lt;$B247,DATE($B$1,3,1)&lt;=TODAY(),OR($O247="",$O247&gt;=DATE($B$1,3,1)),OR(COUNTIF($C247:E247,"&gt;0")&gt;0,DATE($B$1,3,1)=DATE(YEAR(TODAY()),MONTH(TODAY()),1))),1,0))</f>
        <v/>
      </c>
      <c r="S247">
        <f>IF($A247="","",IF(AND($B247&gt;0,F247&lt;$B247,DATE($B$1,4,1)&lt;=TODAY(),OR($O247="",$O247&gt;=DATE($B$1,4,1)),OR(COUNTIF($C247:F247,"&gt;0")&gt;0,DATE($B$1,4,1)=DATE(YEAR(TODAY()),MONTH(TODAY()),1))),1,0))</f>
        <v/>
      </c>
      <c r="T247">
        <f>IF($A247="","",IF(AND($B247&gt;0,G247&lt;$B247,DATE($B$1,5,1)&lt;=TODAY(),OR($O247="",$O247&gt;=DATE($B$1,5,1)),OR(COUNTIF($C247:G247,"&gt;0")&gt;0,DATE($B$1,5,1)=DATE(YEAR(TODAY()),MONTH(TODAY()),1))),1,0))</f>
        <v/>
      </c>
      <c r="U247">
        <f>IF($A247="","",IF(AND($B247&gt;0,H247&lt;$B247,DATE($B$1,6,1)&lt;=TODAY(),OR($O247="",$O247&gt;=DATE($B$1,6,1)),OR(COUNTIF($C247:H247,"&gt;0")&gt;0,DATE($B$1,6,1)=DATE(YEAR(TODAY()),MONTH(TODAY()),1))),1,0))</f>
        <v/>
      </c>
      <c r="V247">
        <f>IF($A247="","",IF(AND($B247&gt;0,I247&lt;$B247,DATE($B$1,7,1)&lt;=TODAY(),OR($O247="",$O247&gt;=DATE($B$1,7,1)),OR(COUNTIF($C247:I247,"&gt;0")&gt;0,DATE($B$1,7,1)=DATE(YEAR(TODAY()),MONTH(TODAY()),1))),1,0))</f>
        <v/>
      </c>
      <c r="W247">
        <f>IF($A247="","",IF(AND($B247&gt;0,J247&lt;$B247,DATE($B$1,8,1)&lt;=TODAY(),OR($O247="",$O247&gt;=DATE($B$1,8,1)),OR(COUNTIF($C247:J247,"&gt;0")&gt;0,DATE($B$1,8,1)=DATE(YEAR(TODAY()),MONTH(TODAY()),1))),1,0))</f>
        <v/>
      </c>
      <c r="X247">
        <f>IF($A247="","",IF(AND($B247&gt;0,K247&lt;$B247,DATE($B$1,9,1)&lt;=TODAY(),OR($O247="",$O247&gt;=DATE($B$1,9,1)),OR(COUNTIF($C247:K247,"&gt;0")&gt;0,DATE($B$1,9,1)=DATE(YEAR(TODAY()),MONTH(TODAY()),1))),1,0))</f>
        <v/>
      </c>
      <c r="Y247">
        <f>IF($A247="","",IF(AND($B247&gt;0,L247&lt;$B247,DATE($B$1,10,1)&lt;=TODAY(),OR($O247="",$O247&gt;=DATE($B$1,10,1)),OR(COUNTIF($C247:L247,"&gt;0")&gt;0,DATE($B$1,10,1)=DATE(YEAR(TODAY()),MONTH(TODAY()),1))),1,0))</f>
        <v/>
      </c>
      <c r="Z247">
        <f>IF($A247="","",IF(AND($B247&gt;0,M247&lt;$B247,DATE($B$1,11,1)&lt;=TODAY(),OR($O247="",$O247&gt;=DATE($B$1,11,1)),OR(COUNTIF($C247:M247,"&gt;0")&gt;0,DATE($B$1,11,1)=DATE(YEAR(TODAY()),MONTH(TODAY()),1))),1,0))</f>
        <v/>
      </c>
      <c r="AA247">
        <f>IF($A247="","",IF(AND($B247&gt;0,N247&lt;$B247,DATE($B$1,12,1)&lt;=TODAY(),OR($O247="",$O247&gt;=DATE($B$1,12,1)),OR(COUNTIF($C247:N247,"&gt;0")&gt;0,DATE($B$1,12,1)=DATE(YEAR(TODAY()),MONTH(TODAY()),1))),1,0))</f>
        <v/>
      </c>
    </row>
    <row r="248">
      <c r="A248" s="13">
        <f>IF(원생!$A246="","",원생!$A246&amp;IF(원생!$G246="",""," ("&amp;원생!$G246&amp;")"))</f>
        <v/>
      </c>
      <c r="B248" s="8">
        <f>IF(원생!$A246="","",원생!$F246)</f>
        <v/>
      </c>
      <c r="C248" s="14">
        <f>IF(원생!$A246="","",SUMIFS(수납!$F:$F,수납!$C:$C,원생!$A246,수납!$D:$D,IF(원생!$G246="","",원생!$G246),수납!$B:$B,$B$1&amp;"-"&amp;TEXT(1,"00")&amp;"*",수납!$E:$E,"수강료")+SUMIFS(수납!$F:$F,수납!$C:$C,원생!$A246,수납!$D:$D,IF(원생!$G246="","",원생!$G246),수납!$B:$B,$B$1&amp;"-"&amp;TEXT(1,"00")&amp;"*",수납!$E:$E,""))</f>
        <v/>
      </c>
      <c r="D248" s="14">
        <f>IF(원생!$A246="","",SUMIFS(수납!$F:$F,수납!$C:$C,원생!$A246,수납!$D:$D,IF(원생!$G246="","",원생!$G246),수납!$B:$B,$B$1&amp;"-"&amp;TEXT(2,"00")&amp;"*",수납!$E:$E,"수강료")+SUMIFS(수납!$F:$F,수납!$C:$C,원생!$A246,수납!$D:$D,IF(원생!$G246="","",원생!$G246),수납!$B:$B,$B$1&amp;"-"&amp;TEXT(2,"00")&amp;"*",수납!$E:$E,""))</f>
        <v/>
      </c>
      <c r="E248" s="14">
        <f>IF(원생!$A246="","",SUMIFS(수납!$F:$F,수납!$C:$C,원생!$A246,수납!$D:$D,IF(원생!$G246="","",원생!$G246),수납!$B:$B,$B$1&amp;"-"&amp;TEXT(3,"00")&amp;"*",수납!$E:$E,"수강료")+SUMIFS(수납!$F:$F,수납!$C:$C,원생!$A246,수납!$D:$D,IF(원생!$G246="","",원생!$G246),수납!$B:$B,$B$1&amp;"-"&amp;TEXT(3,"00")&amp;"*",수납!$E:$E,""))</f>
        <v/>
      </c>
      <c r="F248" s="14">
        <f>IF(원생!$A246="","",SUMIFS(수납!$F:$F,수납!$C:$C,원생!$A246,수납!$D:$D,IF(원생!$G246="","",원생!$G246),수납!$B:$B,$B$1&amp;"-"&amp;TEXT(4,"00")&amp;"*",수납!$E:$E,"수강료")+SUMIFS(수납!$F:$F,수납!$C:$C,원생!$A246,수납!$D:$D,IF(원생!$G246="","",원생!$G246),수납!$B:$B,$B$1&amp;"-"&amp;TEXT(4,"00")&amp;"*",수납!$E:$E,""))</f>
        <v/>
      </c>
      <c r="G248" s="14">
        <f>IF(원생!$A246="","",SUMIFS(수납!$F:$F,수납!$C:$C,원생!$A246,수납!$D:$D,IF(원생!$G246="","",원생!$G246),수납!$B:$B,$B$1&amp;"-"&amp;TEXT(5,"00")&amp;"*",수납!$E:$E,"수강료")+SUMIFS(수납!$F:$F,수납!$C:$C,원생!$A246,수납!$D:$D,IF(원생!$G246="","",원생!$G246),수납!$B:$B,$B$1&amp;"-"&amp;TEXT(5,"00")&amp;"*",수납!$E:$E,""))</f>
        <v/>
      </c>
      <c r="H248" s="14">
        <f>IF(원생!$A246="","",SUMIFS(수납!$F:$F,수납!$C:$C,원생!$A246,수납!$D:$D,IF(원생!$G246="","",원생!$G246),수납!$B:$B,$B$1&amp;"-"&amp;TEXT(6,"00")&amp;"*",수납!$E:$E,"수강료")+SUMIFS(수납!$F:$F,수납!$C:$C,원생!$A246,수납!$D:$D,IF(원생!$G246="","",원생!$G246),수납!$B:$B,$B$1&amp;"-"&amp;TEXT(6,"00")&amp;"*",수납!$E:$E,""))</f>
        <v/>
      </c>
      <c r="I248" s="14">
        <f>IF(원생!$A246="","",SUMIFS(수납!$F:$F,수납!$C:$C,원생!$A246,수납!$D:$D,IF(원생!$G246="","",원생!$G246),수납!$B:$B,$B$1&amp;"-"&amp;TEXT(7,"00")&amp;"*",수납!$E:$E,"수강료")+SUMIFS(수납!$F:$F,수납!$C:$C,원생!$A246,수납!$D:$D,IF(원생!$G246="","",원생!$G246),수납!$B:$B,$B$1&amp;"-"&amp;TEXT(7,"00")&amp;"*",수납!$E:$E,""))</f>
        <v/>
      </c>
      <c r="J248" s="14">
        <f>IF(원생!$A246="","",SUMIFS(수납!$F:$F,수납!$C:$C,원생!$A246,수납!$D:$D,IF(원생!$G246="","",원생!$G246),수납!$B:$B,$B$1&amp;"-"&amp;TEXT(8,"00")&amp;"*",수납!$E:$E,"수강료")+SUMIFS(수납!$F:$F,수납!$C:$C,원생!$A246,수납!$D:$D,IF(원생!$G246="","",원생!$G246),수납!$B:$B,$B$1&amp;"-"&amp;TEXT(8,"00")&amp;"*",수납!$E:$E,""))</f>
        <v/>
      </c>
      <c r="K248" s="14">
        <f>IF(원생!$A246="","",SUMIFS(수납!$F:$F,수납!$C:$C,원생!$A246,수납!$D:$D,IF(원생!$G246="","",원생!$G246),수납!$B:$B,$B$1&amp;"-"&amp;TEXT(9,"00")&amp;"*",수납!$E:$E,"수강료")+SUMIFS(수납!$F:$F,수납!$C:$C,원생!$A246,수납!$D:$D,IF(원생!$G246="","",원생!$G246),수납!$B:$B,$B$1&amp;"-"&amp;TEXT(9,"00")&amp;"*",수납!$E:$E,""))</f>
        <v/>
      </c>
      <c r="L248" s="14">
        <f>IF(원생!$A246="","",SUMIFS(수납!$F:$F,수납!$C:$C,원생!$A246,수납!$D:$D,IF(원생!$G246="","",원생!$G246),수납!$B:$B,$B$1&amp;"-"&amp;TEXT(10,"00")&amp;"*",수납!$E:$E,"수강료")+SUMIFS(수납!$F:$F,수납!$C:$C,원생!$A246,수납!$D:$D,IF(원생!$G246="","",원생!$G246),수납!$B:$B,$B$1&amp;"-"&amp;TEXT(10,"00")&amp;"*",수납!$E:$E,""))</f>
        <v/>
      </c>
      <c r="M248" s="14">
        <f>IF(원생!$A246="","",SUMIFS(수납!$F:$F,수납!$C:$C,원생!$A246,수납!$D:$D,IF(원생!$G246="","",원생!$G246),수납!$B:$B,$B$1&amp;"-"&amp;TEXT(11,"00")&amp;"*",수납!$E:$E,"수강료")+SUMIFS(수납!$F:$F,수납!$C:$C,원생!$A246,수납!$D:$D,IF(원생!$G246="","",원생!$G246),수납!$B:$B,$B$1&amp;"-"&amp;TEXT(11,"00")&amp;"*",수납!$E:$E,""))</f>
        <v/>
      </c>
      <c r="N248" s="14">
        <f>IF(원생!$A246="","",SUMIFS(수납!$F:$F,수납!$C:$C,원생!$A246,수납!$D:$D,IF(원생!$G246="","",원생!$G246),수납!$B:$B,$B$1&amp;"-"&amp;TEXT(12,"00")&amp;"*",수납!$E:$E,"수강료")+SUMIFS(수납!$F:$F,수납!$C:$C,원생!$A246,수납!$D:$D,IF(원생!$G246="","",원생!$G246),수납!$B:$B,$B$1&amp;"-"&amp;TEXT(12,"00")&amp;"*",수납!$E:$E,""))</f>
        <v/>
      </c>
      <c r="O248">
        <f>IF(원생!$I246="","",원생!$I246)</f>
        <v/>
      </c>
      <c r="P248">
        <f>IF($A248="","",IF(AND($B248&gt;0,C248&lt;$B248,DATE($B$1,1,1)&lt;=TODAY(),OR($O248="",$O248&gt;=DATE($B$1,1,1)),OR(COUNTIF($C248:C248,"&gt;0")&gt;0,DATE($B$1,1,1)=DATE(YEAR(TODAY()),MONTH(TODAY()),1))),1,0))</f>
        <v/>
      </c>
      <c r="Q248">
        <f>IF($A248="","",IF(AND($B248&gt;0,D248&lt;$B248,DATE($B$1,2,1)&lt;=TODAY(),OR($O248="",$O248&gt;=DATE($B$1,2,1)),OR(COUNTIF($C248:D248,"&gt;0")&gt;0,DATE($B$1,2,1)=DATE(YEAR(TODAY()),MONTH(TODAY()),1))),1,0))</f>
        <v/>
      </c>
      <c r="R248">
        <f>IF($A248="","",IF(AND($B248&gt;0,E248&lt;$B248,DATE($B$1,3,1)&lt;=TODAY(),OR($O248="",$O248&gt;=DATE($B$1,3,1)),OR(COUNTIF($C248:E248,"&gt;0")&gt;0,DATE($B$1,3,1)=DATE(YEAR(TODAY()),MONTH(TODAY()),1))),1,0))</f>
        <v/>
      </c>
      <c r="S248">
        <f>IF($A248="","",IF(AND($B248&gt;0,F248&lt;$B248,DATE($B$1,4,1)&lt;=TODAY(),OR($O248="",$O248&gt;=DATE($B$1,4,1)),OR(COUNTIF($C248:F248,"&gt;0")&gt;0,DATE($B$1,4,1)=DATE(YEAR(TODAY()),MONTH(TODAY()),1))),1,0))</f>
        <v/>
      </c>
      <c r="T248">
        <f>IF($A248="","",IF(AND($B248&gt;0,G248&lt;$B248,DATE($B$1,5,1)&lt;=TODAY(),OR($O248="",$O248&gt;=DATE($B$1,5,1)),OR(COUNTIF($C248:G248,"&gt;0")&gt;0,DATE($B$1,5,1)=DATE(YEAR(TODAY()),MONTH(TODAY()),1))),1,0))</f>
        <v/>
      </c>
      <c r="U248">
        <f>IF($A248="","",IF(AND($B248&gt;0,H248&lt;$B248,DATE($B$1,6,1)&lt;=TODAY(),OR($O248="",$O248&gt;=DATE($B$1,6,1)),OR(COUNTIF($C248:H248,"&gt;0")&gt;0,DATE($B$1,6,1)=DATE(YEAR(TODAY()),MONTH(TODAY()),1))),1,0))</f>
        <v/>
      </c>
      <c r="V248">
        <f>IF($A248="","",IF(AND($B248&gt;0,I248&lt;$B248,DATE($B$1,7,1)&lt;=TODAY(),OR($O248="",$O248&gt;=DATE($B$1,7,1)),OR(COUNTIF($C248:I248,"&gt;0")&gt;0,DATE($B$1,7,1)=DATE(YEAR(TODAY()),MONTH(TODAY()),1))),1,0))</f>
        <v/>
      </c>
      <c r="W248">
        <f>IF($A248="","",IF(AND($B248&gt;0,J248&lt;$B248,DATE($B$1,8,1)&lt;=TODAY(),OR($O248="",$O248&gt;=DATE($B$1,8,1)),OR(COUNTIF($C248:J248,"&gt;0")&gt;0,DATE($B$1,8,1)=DATE(YEAR(TODAY()),MONTH(TODAY()),1))),1,0))</f>
        <v/>
      </c>
      <c r="X248">
        <f>IF($A248="","",IF(AND($B248&gt;0,K248&lt;$B248,DATE($B$1,9,1)&lt;=TODAY(),OR($O248="",$O248&gt;=DATE($B$1,9,1)),OR(COUNTIF($C248:K248,"&gt;0")&gt;0,DATE($B$1,9,1)=DATE(YEAR(TODAY()),MONTH(TODAY()),1))),1,0))</f>
        <v/>
      </c>
      <c r="Y248">
        <f>IF($A248="","",IF(AND($B248&gt;0,L248&lt;$B248,DATE($B$1,10,1)&lt;=TODAY(),OR($O248="",$O248&gt;=DATE($B$1,10,1)),OR(COUNTIF($C248:L248,"&gt;0")&gt;0,DATE($B$1,10,1)=DATE(YEAR(TODAY()),MONTH(TODAY()),1))),1,0))</f>
        <v/>
      </c>
      <c r="Z248">
        <f>IF($A248="","",IF(AND($B248&gt;0,M248&lt;$B248,DATE($B$1,11,1)&lt;=TODAY(),OR($O248="",$O248&gt;=DATE($B$1,11,1)),OR(COUNTIF($C248:M248,"&gt;0")&gt;0,DATE($B$1,11,1)=DATE(YEAR(TODAY()),MONTH(TODAY()),1))),1,0))</f>
        <v/>
      </c>
      <c r="AA248">
        <f>IF($A248="","",IF(AND($B248&gt;0,N248&lt;$B248,DATE($B$1,12,1)&lt;=TODAY(),OR($O248="",$O248&gt;=DATE($B$1,12,1)),OR(COUNTIF($C248:N248,"&gt;0")&gt;0,DATE($B$1,12,1)=DATE(YEAR(TODAY()),MONTH(TODAY()),1))),1,0))</f>
        <v/>
      </c>
    </row>
    <row r="249">
      <c r="A249" s="13">
        <f>IF(원생!$A247="","",원생!$A247&amp;IF(원생!$G247="",""," ("&amp;원생!$G247&amp;")"))</f>
        <v/>
      </c>
      <c r="B249" s="8">
        <f>IF(원생!$A247="","",원생!$F247)</f>
        <v/>
      </c>
      <c r="C249" s="14">
        <f>IF(원생!$A247="","",SUMIFS(수납!$F:$F,수납!$C:$C,원생!$A247,수납!$D:$D,IF(원생!$G247="","",원생!$G247),수납!$B:$B,$B$1&amp;"-"&amp;TEXT(1,"00")&amp;"*",수납!$E:$E,"수강료")+SUMIFS(수납!$F:$F,수납!$C:$C,원생!$A247,수납!$D:$D,IF(원생!$G247="","",원생!$G247),수납!$B:$B,$B$1&amp;"-"&amp;TEXT(1,"00")&amp;"*",수납!$E:$E,""))</f>
        <v/>
      </c>
      <c r="D249" s="14">
        <f>IF(원생!$A247="","",SUMIFS(수납!$F:$F,수납!$C:$C,원생!$A247,수납!$D:$D,IF(원생!$G247="","",원생!$G247),수납!$B:$B,$B$1&amp;"-"&amp;TEXT(2,"00")&amp;"*",수납!$E:$E,"수강료")+SUMIFS(수납!$F:$F,수납!$C:$C,원생!$A247,수납!$D:$D,IF(원생!$G247="","",원생!$G247),수납!$B:$B,$B$1&amp;"-"&amp;TEXT(2,"00")&amp;"*",수납!$E:$E,""))</f>
        <v/>
      </c>
      <c r="E249" s="14">
        <f>IF(원생!$A247="","",SUMIFS(수납!$F:$F,수납!$C:$C,원생!$A247,수납!$D:$D,IF(원생!$G247="","",원생!$G247),수납!$B:$B,$B$1&amp;"-"&amp;TEXT(3,"00")&amp;"*",수납!$E:$E,"수강료")+SUMIFS(수납!$F:$F,수납!$C:$C,원생!$A247,수납!$D:$D,IF(원생!$G247="","",원생!$G247),수납!$B:$B,$B$1&amp;"-"&amp;TEXT(3,"00")&amp;"*",수납!$E:$E,""))</f>
        <v/>
      </c>
      <c r="F249" s="14">
        <f>IF(원생!$A247="","",SUMIFS(수납!$F:$F,수납!$C:$C,원생!$A247,수납!$D:$D,IF(원생!$G247="","",원생!$G247),수납!$B:$B,$B$1&amp;"-"&amp;TEXT(4,"00")&amp;"*",수납!$E:$E,"수강료")+SUMIFS(수납!$F:$F,수납!$C:$C,원생!$A247,수납!$D:$D,IF(원생!$G247="","",원생!$G247),수납!$B:$B,$B$1&amp;"-"&amp;TEXT(4,"00")&amp;"*",수납!$E:$E,""))</f>
        <v/>
      </c>
      <c r="G249" s="14">
        <f>IF(원생!$A247="","",SUMIFS(수납!$F:$F,수납!$C:$C,원생!$A247,수납!$D:$D,IF(원생!$G247="","",원생!$G247),수납!$B:$B,$B$1&amp;"-"&amp;TEXT(5,"00")&amp;"*",수납!$E:$E,"수강료")+SUMIFS(수납!$F:$F,수납!$C:$C,원생!$A247,수납!$D:$D,IF(원생!$G247="","",원생!$G247),수납!$B:$B,$B$1&amp;"-"&amp;TEXT(5,"00")&amp;"*",수납!$E:$E,""))</f>
        <v/>
      </c>
      <c r="H249" s="14">
        <f>IF(원생!$A247="","",SUMIFS(수납!$F:$F,수납!$C:$C,원생!$A247,수납!$D:$D,IF(원생!$G247="","",원생!$G247),수납!$B:$B,$B$1&amp;"-"&amp;TEXT(6,"00")&amp;"*",수납!$E:$E,"수강료")+SUMIFS(수납!$F:$F,수납!$C:$C,원생!$A247,수납!$D:$D,IF(원생!$G247="","",원생!$G247),수납!$B:$B,$B$1&amp;"-"&amp;TEXT(6,"00")&amp;"*",수납!$E:$E,""))</f>
        <v/>
      </c>
      <c r="I249" s="14">
        <f>IF(원생!$A247="","",SUMIFS(수납!$F:$F,수납!$C:$C,원생!$A247,수납!$D:$D,IF(원생!$G247="","",원생!$G247),수납!$B:$B,$B$1&amp;"-"&amp;TEXT(7,"00")&amp;"*",수납!$E:$E,"수강료")+SUMIFS(수납!$F:$F,수납!$C:$C,원생!$A247,수납!$D:$D,IF(원생!$G247="","",원생!$G247),수납!$B:$B,$B$1&amp;"-"&amp;TEXT(7,"00")&amp;"*",수납!$E:$E,""))</f>
        <v/>
      </c>
      <c r="J249" s="14">
        <f>IF(원생!$A247="","",SUMIFS(수납!$F:$F,수납!$C:$C,원생!$A247,수납!$D:$D,IF(원생!$G247="","",원생!$G247),수납!$B:$B,$B$1&amp;"-"&amp;TEXT(8,"00")&amp;"*",수납!$E:$E,"수강료")+SUMIFS(수납!$F:$F,수납!$C:$C,원생!$A247,수납!$D:$D,IF(원생!$G247="","",원생!$G247),수납!$B:$B,$B$1&amp;"-"&amp;TEXT(8,"00")&amp;"*",수납!$E:$E,""))</f>
        <v/>
      </c>
      <c r="K249" s="14">
        <f>IF(원생!$A247="","",SUMIFS(수납!$F:$F,수납!$C:$C,원생!$A247,수납!$D:$D,IF(원생!$G247="","",원생!$G247),수납!$B:$B,$B$1&amp;"-"&amp;TEXT(9,"00")&amp;"*",수납!$E:$E,"수강료")+SUMIFS(수납!$F:$F,수납!$C:$C,원생!$A247,수납!$D:$D,IF(원생!$G247="","",원생!$G247),수납!$B:$B,$B$1&amp;"-"&amp;TEXT(9,"00")&amp;"*",수납!$E:$E,""))</f>
        <v/>
      </c>
      <c r="L249" s="14">
        <f>IF(원생!$A247="","",SUMIFS(수납!$F:$F,수납!$C:$C,원생!$A247,수납!$D:$D,IF(원생!$G247="","",원생!$G247),수납!$B:$B,$B$1&amp;"-"&amp;TEXT(10,"00")&amp;"*",수납!$E:$E,"수강료")+SUMIFS(수납!$F:$F,수납!$C:$C,원생!$A247,수납!$D:$D,IF(원생!$G247="","",원생!$G247),수납!$B:$B,$B$1&amp;"-"&amp;TEXT(10,"00")&amp;"*",수납!$E:$E,""))</f>
        <v/>
      </c>
      <c r="M249" s="14">
        <f>IF(원생!$A247="","",SUMIFS(수납!$F:$F,수납!$C:$C,원생!$A247,수납!$D:$D,IF(원생!$G247="","",원생!$G247),수납!$B:$B,$B$1&amp;"-"&amp;TEXT(11,"00")&amp;"*",수납!$E:$E,"수강료")+SUMIFS(수납!$F:$F,수납!$C:$C,원생!$A247,수납!$D:$D,IF(원생!$G247="","",원생!$G247),수납!$B:$B,$B$1&amp;"-"&amp;TEXT(11,"00")&amp;"*",수납!$E:$E,""))</f>
        <v/>
      </c>
      <c r="N249" s="14">
        <f>IF(원생!$A247="","",SUMIFS(수납!$F:$F,수납!$C:$C,원생!$A247,수납!$D:$D,IF(원생!$G247="","",원생!$G247),수납!$B:$B,$B$1&amp;"-"&amp;TEXT(12,"00")&amp;"*",수납!$E:$E,"수강료")+SUMIFS(수납!$F:$F,수납!$C:$C,원생!$A247,수납!$D:$D,IF(원생!$G247="","",원생!$G247),수납!$B:$B,$B$1&amp;"-"&amp;TEXT(12,"00")&amp;"*",수납!$E:$E,""))</f>
        <v/>
      </c>
      <c r="O249">
        <f>IF(원생!$I247="","",원생!$I247)</f>
        <v/>
      </c>
      <c r="P249">
        <f>IF($A249="","",IF(AND($B249&gt;0,C249&lt;$B249,DATE($B$1,1,1)&lt;=TODAY(),OR($O249="",$O249&gt;=DATE($B$1,1,1)),OR(COUNTIF($C249:C249,"&gt;0")&gt;0,DATE($B$1,1,1)=DATE(YEAR(TODAY()),MONTH(TODAY()),1))),1,0))</f>
        <v/>
      </c>
      <c r="Q249">
        <f>IF($A249="","",IF(AND($B249&gt;0,D249&lt;$B249,DATE($B$1,2,1)&lt;=TODAY(),OR($O249="",$O249&gt;=DATE($B$1,2,1)),OR(COUNTIF($C249:D249,"&gt;0")&gt;0,DATE($B$1,2,1)=DATE(YEAR(TODAY()),MONTH(TODAY()),1))),1,0))</f>
        <v/>
      </c>
      <c r="R249">
        <f>IF($A249="","",IF(AND($B249&gt;0,E249&lt;$B249,DATE($B$1,3,1)&lt;=TODAY(),OR($O249="",$O249&gt;=DATE($B$1,3,1)),OR(COUNTIF($C249:E249,"&gt;0")&gt;0,DATE($B$1,3,1)=DATE(YEAR(TODAY()),MONTH(TODAY()),1))),1,0))</f>
        <v/>
      </c>
      <c r="S249">
        <f>IF($A249="","",IF(AND($B249&gt;0,F249&lt;$B249,DATE($B$1,4,1)&lt;=TODAY(),OR($O249="",$O249&gt;=DATE($B$1,4,1)),OR(COUNTIF($C249:F249,"&gt;0")&gt;0,DATE($B$1,4,1)=DATE(YEAR(TODAY()),MONTH(TODAY()),1))),1,0))</f>
        <v/>
      </c>
      <c r="T249">
        <f>IF($A249="","",IF(AND($B249&gt;0,G249&lt;$B249,DATE($B$1,5,1)&lt;=TODAY(),OR($O249="",$O249&gt;=DATE($B$1,5,1)),OR(COUNTIF($C249:G249,"&gt;0")&gt;0,DATE($B$1,5,1)=DATE(YEAR(TODAY()),MONTH(TODAY()),1))),1,0))</f>
        <v/>
      </c>
      <c r="U249">
        <f>IF($A249="","",IF(AND($B249&gt;0,H249&lt;$B249,DATE($B$1,6,1)&lt;=TODAY(),OR($O249="",$O249&gt;=DATE($B$1,6,1)),OR(COUNTIF($C249:H249,"&gt;0")&gt;0,DATE($B$1,6,1)=DATE(YEAR(TODAY()),MONTH(TODAY()),1))),1,0))</f>
        <v/>
      </c>
      <c r="V249">
        <f>IF($A249="","",IF(AND($B249&gt;0,I249&lt;$B249,DATE($B$1,7,1)&lt;=TODAY(),OR($O249="",$O249&gt;=DATE($B$1,7,1)),OR(COUNTIF($C249:I249,"&gt;0")&gt;0,DATE($B$1,7,1)=DATE(YEAR(TODAY()),MONTH(TODAY()),1))),1,0))</f>
        <v/>
      </c>
      <c r="W249">
        <f>IF($A249="","",IF(AND($B249&gt;0,J249&lt;$B249,DATE($B$1,8,1)&lt;=TODAY(),OR($O249="",$O249&gt;=DATE($B$1,8,1)),OR(COUNTIF($C249:J249,"&gt;0")&gt;0,DATE($B$1,8,1)=DATE(YEAR(TODAY()),MONTH(TODAY()),1))),1,0))</f>
        <v/>
      </c>
      <c r="X249">
        <f>IF($A249="","",IF(AND($B249&gt;0,K249&lt;$B249,DATE($B$1,9,1)&lt;=TODAY(),OR($O249="",$O249&gt;=DATE($B$1,9,1)),OR(COUNTIF($C249:K249,"&gt;0")&gt;0,DATE($B$1,9,1)=DATE(YEAR(TODAY()),MONTH(TODAY()),1))),1,0))</f>
        <v/>
      </c>
      <c r="Y249">
        <f>IF($A249="","",IF(AND($B249&gt;0,L249&lt;$B249,DATE($B$1,10,1)&lt;=TODAY(),OR($O249="",$O249&gt;=DATE($B$1,10,1)),OR(COUNTIF($C249:L249,"&gt;0")&gt;0,DATE($B$1,10,1)=DATE(YEAR(TODAY()),MONTH(TODAY()),1))),1,0))</f>
        <v/>
      </c>
      <c r="Z249">
        <f>IF($A249="","",IF(AND($B249&gt;0,M249&lt;$B249,DATE($B$1,11,1)&lt;=TODAY(),OR($O249="",$O249&gt;=DATE($B$1,11,1)),OR(COUNTIF($C249:M249,"&gt;0")&gt;0,DATE($B$1,11,1)=DATE(YEAR(TODAY()),MONTH(TODAY()),1))),1,0))</f>
        <v/>
      </c>
      <c r="AA249">
        <f>IF($A249="","",IF(AND($B249&gt;0,N249&lt;$B249,DATE($B$1,12,1)&lt;=TODAY(),OR($O249="",$O249&gt;=DATE($B$1,12,1)),OR(COUNTIF($C249:N249,"&gt;0")&gt;0,DATE($B$1,12,1)=DATE(YEAR(TODAY()),MONTH(TODAY()),1))),1,0))</f>
        <v/>
      </c>
    </row>
    <row r="250">
      <c r="A250" s="13">
        <f>IF(원생!$A248="","",원생!$A248&amp;IF(원생!$G248="",""," ("&amp;원생!$G248&amp;")"))</f>
        <v/>
      </c>
      <c r="B250" s="8">
        <f>IF(원생!$A248="","",원생!$F248)</f>
        <v/>
      </c>
      <c r="C250" s="14">
        <f>IF(원생!$A248="","",SUMIFS(수납!$F:$F,수납!$C:$C,원생!$A248,수납!$D:$D,IF(원생!$G248="","",원생!$G248),수납!$B:$B,$B$1&amp;"-"&amp;TEXT(1,"00")&amp;"*",수납!$E:$E,"수강료")+SUMIFS(수납!$F:$F,수납!$C:$C,원생!$A248,수납!$D:$D,IF(원생!$G248="","",원생!$G248),수납!$B:$B,$B$1&amp;"-"&amp;TEXT(1,"00")&amp;"*",수납!$E:$E,""))</f>
        <v/>
      </c>
      <c r="D250" s="14">
        <f>IF(원생!$A248="","",SUMIFS(수납!$F:$F,수납!$C:$C,원생!$A248,수납!$D:$D,IF(원생!$G248="","",원생!$G248),수납!$B:$B,$B$1&amp;"-"&amp;TEXT(2,"00")&amp;"*",수납!$E:$E,"수강료")+SUMIFS(수납!$F:$F,수납!$C:$C,원생!$A248,수납!$D:$D,IF(원생!$G248="","",원생!$G248),수납!$B:$B,$B$1&amp;"-"&amp;TEXT(2,"00")&amp;"*",수납!$E:$E,""))</f>
        <v/>
      </c>
      <c r="E250" s="14">
        <f>IF(원생!$A248="","",SUMIFS(수납!$F:$F,수납!$C:$C,원생!$A248,수납!$D:$D,IF(원생!$G248="","",원생!$G248),수납!$B:$B,$B$1&amp;"-"&amp;TEXT(3,"00")&amp;"*",수납!$E:$E,"수강료")+SUMIFS(수납!$F:$F,수납!$C:$C,원생!$A248,수납!$D:$D,IF(원생!$G248="","",원생!$G248),수납!$B:$B,$B$1&amp;"-"&amp;TEXT(3,"00")&amp;"*",수납!$E:$E,""))</f>
        <v/>
      </c>
      <c r="F250" s="14">
        <f>IF(원생!$A248="","",SUMIFS(수납!$F:$F,수납!$C:$C,원생!$A248,수납!$D:$D,IF(원생!$G248="","",원생!$G248),수납!$B:$B,$B$1&amp;"-"&amp;TEXT(4,"00")&amp;"*",수납!$E:$E,"수강료")+SUMIFS(수납!$F:$F,수납!$C:$C,원생!$A248,수납!$D:$D,IF(원생!$G248="","",원생!$G248),수납!$B:$B,$B$1&amp;"-"&amp;TEXT(4,"00")&amp;"*",수납!$E:$E,""))</f>
        <v/>
      </c>
      <c r="G250" s="14">
        <f>IF(원생!$A248="","",SUMIFS(수납!$F:$F,수납!$C:$C,원생!$A248,수납!$D:$D,IF(원생!$G248="","",원생!$G248),수납!$B:$B,$B$1&amp;"-"&amp;TEXT(5,"00")&amp;"*",수납!$E:$E,"수강료")+SUMIFS(수납!$F:$F,수납!$C:$C,원생!$A248,수납!$D:$D,IF(원생!$G248="","",원생!$G248),수납!$B:$B,$B$1&amp;"-"&amp;TEXT(5,"00")&amp;"*",수납!$E:$E,""))</f>
        <v/>
      </c>
      <c r="H250" s="14">
        <f>IF(원생!$A248="","",SUMIFS(수납!$F:$F,수납!$C:$C,원생!$A248,수납!$D:$D,IF(원생!$G248="","",원생!$G248),수납!$B:$B,$B$1&amp;"-"&amp;TEXT(6,"00")&amp;"*",수납!$E:$E,"수강료")+SUMIFS(수납!$F:$F,수납!$C:$C,원생!$A248,수납!$D:$D,IF(원생!$G248="","",원생!$G248),수납!$B:$B,$B$1&amp;"-"&amp;TEXT(6,"00")&amp;"*",수납!$E:$E,""))</f>
        <v/>
      </c>
      <c r="I250" s="14">
        <f>IF(원생!$A248="","",SUMIFS(수납!$F:$F,수납!$C:$C,원생!$A248,수납!$D:$D,IF(원생!$G248="","",원생!$G248),수납!$B:$B,$B$1&amp;"-"&amp;TEXT(7,"00")&amp;"*",수납!$E:$E,"수강료")+SUMIFS(수납!$F:$F,수납!$C:$C,원생!$A248,수납!$D:$D,IF(원생!$G248="","",원생!$G248),수납!$B:$B,$B$1&amp;"-"&amp;TEXT(7,"00")&amp;"*",수납!$E:$E,""))</f>
        <v/>
      </c>
      <c r="J250" s="14">
        <f>IF(원생!$A248="","",SUMIFS(수납!$F:$F,수납!$C:$C,원생!$A248,수납!$D:$D,IF(원생!$G248="","",원생!$G248),수납!$B:$B,$B$1&amp;"-"&amp;TEXT(8,"00")&amp;"*",수납!$E:$E,"수강료")+SUMIFS(수납!$F:$F,수납!$C:$C,원생!$A248,수납!$D:$D,IF(원생!$G248="","",원생!$G248),수납!$B:$B,$B$1&amp;"-"&amp;TEXT(8,"00")&amp;"*",수납!$E:$E,""))</f>
        <v/>
      </c>
      <c r="K250" s="14">
        <f>IF(원생!$A248="","",SUMIFS(수납!$F:$F,수납!$C:$C,원생!$A248,수납!$D:$D,IF(원생!$G248="","",원생!$G248),수납!$B:$B,$B$1&amp;"-"&amp;TEXT(9,"00")&amp;"*",수납!$E:$E,"수강료")+SUMIFS(수납!$F:$F,수납!$C:$C,원생!$A248,수납!$D:$D,IF(원생!$G248="","",원생!$G248),수납!$B:$B,$B$1&amp;"-"&amp;TEXT(9,"00")&amp;"*",수납!$E:$E,""))</f>
        <v/>
      </c>
      <c r="L250" s="14">
        <f>IF(원생!$A248="","",SUMIFS(수납!$F:$F,수납!$C:$C,원생!$A248,수납!$D:$D,IF(원생!$G248="","",원생!$G248),수납!$B:$B,$B$1&amp;"-"&amp;TEXT(10,"00")&amp;"*",수납!$E:$E,"수강료")+SUMIFS(수납!$F:$F,수납!$C:$C,원생!$A248,수납!$D:$D,IF(원생!$G248="","",원생!$G248),수납!$B:$B,$B$1&amp;"-"&amp;TEXT(10,"00")&amp;"*",수납!$E:$E,""))</f>
        <v/>
      </c>
      <c r="M250" s="14">
        <f>IF(원생!$A248="","",SUMIFS(수납!$F:$F,수납!$C:$C,원생!$A248,수납!$D:$D,IF(원생!$G248="","",원생!$G248),수납!$B:$B,$B$1&amp;"-"&amp;TEXT(11,"00")&amp;"*",수납!$E:$E,"수강료")+SUMIFS(수납!$F:$F,수납!$C:$C,원생!$A248,수납!$D:$D,IF(원생!$G248="","",원생!$G248),수납!$B:$B,$B$1&amp;"-"&amp;TEXT(11,"00")&amp;"*",수납!$E:$E,""))</f>
        <v/>
      </c>
      <c r="N250" s="14">
        <f>IF(원생!$A248="","",SUMIFS(수납!$F:$F,수납!$C:$C,원생!$A248,수납!$D:$D,IF(원생!$G248="","",원생!$G248),수납!$B:$B,$B$1&amp;"-"&amp;TEXT(12,"00")&amp;"*",수납!$E:$E,"수강료")+SUMIFS(수납!$F:$F,수납!$C:$C,원생!$A248,수납!$D:$D,IF(원생!$G248="","",원생!$G248),수납!$B:$B,$B$1&amp;"-"&amp;TEXT(12,"00")&amp;"*",수납!$E:$E,""))</f>
        <v/>
      </c>
      <c r="O250">
        <f>IF(원생!$I248="","",원생!$I248)</f>
        <v/>
      </c>
      <c r="P250">
        <f>IF($A250="","",IF(AND($B250&gt;0,C250&lt;$B250,DATE($B$1,1,1)&lt;=TODAY(),OR($O250="",$O250&gt;=DATE($B$1,1,1)),OR(COUNTIF($C250:C250,"&gt;0")&gt;0,DATE($B$1,1,1)=DATE(YEAR(TODAY()),MONTH(TODAY()),1))),1,0))</f>
        <v/>
      </c>
      <c r="Q250">
        <f>IF($A250="","",IF(AND($B250&gt;0,D250&lt;$B250,DATE($B$1,2,1)&lt;=TODAY(),OR($O250="",$O250&gt;=DATE($B$1,2,1)),OR(COUNTIF($C250:D250,"&gt;0")&gt;0,DATE($B$1,2,1)=DATE(YEAR(TODAY()),MONTH(TODAY()),1))),1,0))</f>
        <v/>
      </c>
      <c r="R250">
        <f>IF($A250="","",IF(AND($B250&gt;0,E250&lt;$B250,DATE($B$1,3,1)&lt;=TODAY(),OR($O250="",$O250&gt;=DATE($B$1,3,1)),OR(COUNTIF($C250:E250,"&gt;0")&gt;0,DATE($B$1,3,1)=DATE(YEAR(TODAY()),MONTH(TODAY()),1))),1,0))</f>
        <v/>
      </c>
      <c r="S250">
        <f>IF($A250="","",IF(AND($B250&gt;0,F250&lt;$B250,DATE($B$1,4,1)&lt;=TODAY(),OR($O250="",$O250&gt;=DATE($B$1,4,1)),OR(COUNTIF($C250:F250,"&gt;0")&gt;0,DATE($B$1,4,1)=DATE(YEAR(TODAY()),MONTH(TODAY()),1))),1,0))</f>
        <v/>
      </c>
      <c r="T250">
        <f>IF($A250="","",IF(AND($B250&gt;0,G250&lt;$B250,DATE($B$1,5,1)&lt;=TODAY(),OR($O250="",$O250&gt;=DATE($B$1,5,1)),OR(COUNTIF($C250:G250,"&gt;0")&gt;0,DATE($B$1,5,1)=DATE(YEAR(TODAY()),MONTH(TODAY()),1))),1,0))</f>
        <v/>
      </c>
      <c r="U250">
        <f>IF($A250="","",IF(AND($B250&gt;0,H250&lt;$B250,DATE($B$1,6,1)&lt;=TODAY(),OR($O250="",$O250&gt;=DATE($B$1,6,1)),OR(COUNTIF($C250:H250,"&gt;0")&gt;0,DATE($B$1,6,1)=DATE(YEAR(TODAY()),MONTH(TODAY()),1))),1,0))</f>
        <v/>
      </c>
      <c r="V250">
        <f>IF($A250="","",IF(AND($B250&gt;0,I250&lt;$B250,DATE($B$1,7,1)&lt;=TODAY(),OR($O250="",$O250&gt;=DATE($B$1,7,1)),OR(COUNTIF($C250:I250,"&gt;0")&gt;0,DATE($B$1,7,1)=DATE(YEAR(TODAY()),MONTH(TODAY()),1))),1,0))</f>
        <v/>
      </c>
      <c r="W250">
        <f>IF($A250="","",IF(AND($B250&gt;0,J250&lt;$B250,DATE($B$1,8,1)&lt;=TODAY(),OR($O250="",$O250&gt;=DATE($B$1,8,1)),OR(COUNTIF($C250:J250,"&gt;0")&gt;0,DATE($B$1,8,1)=DATE(YEAR(TODAY()),MONTH(TODAY()),1))),1,0))</f>
        <v/>
      </c>
      <c r="X250">
        <f>IF($A250="","",IF(AND($B250&gt;0,K250&lt;$B250,DATE($B$1,9,1)&lt;=TODAY(),OR($O250="",$O250&gt;=DATE($B$1,9,1)),OR(COUNTIF($C250:K250,"&gt;0")&gt;0,DATE($B$1,9,1)=DATE(YEAR(TODAY()),MONTH(TODAY()),1))),1,0))</f>
        <v/>
      </c>
      <c r="Y250">
        <f>IF($A250="","",IF(AND($B250&gt;0,L250&lt;$B250,DATE($B$1,10,1)&lt;=TODAY(),OR($O250="",$O250&gt;=DATE($B$1,10,1)),OR(COUNTIF($C250:L250,"&gt;0")&gt;0,DATE($B$1,10,1)=DATE(YEAR(TODAY()),MONTH(TODAY()),1))),1,0))</f>
        <v/>
      </c>
      <c r="Z250">
        <f>IF($A250="","",IF(AND($B250&gt;0,M250&lt;$B250,DATE($B$1,11,1)&lt;=TODAY(),OR($O250="",$O250&gt;=DATE($B$1,11,1)),OR(COUNTIF($C250:M250,"&gt;0")&gt;0,DATE($B$1,11,1)=DATE(YEAR(TODAY()),MONTH(TODAY()),1))),1,0))</f>
        <v/>
      </c>
      <c r="AA250">
        <f>IF($A250="","",IF(AND($B250&gt;0,N250&lt;$B250,DATE($B$1,12,1)&lt;=TODAY(),OR($O250="",$O250&gt;=DATE($B$1,12,1)),OR(COUNTIF($C250:N250,"&gt;0")&gt;0,DATE($B$1,12,1)=DATE(YEAR(TODAY()),MONTH(TODAY()),1))),1,0))</f>
        <v/>
      </c>
    </row>
    <row r="251">
      <c r="A251" s="13">
        <f>IF(원생!$A249="","",원생!$A249&amp;IF(원생!$G249="",""," ("&amp;원생!$G249&amp;")"))</f>
        <v/>
      </c>
      <c r="B251" s="8">
        <f>IF(원생!$A249="","",원생!$F249)</f>
        <v/>
      </c>
      <c r="C251" s="14">
        <f>IF(원생!$A249="","",SUMIFS(수납!$F:$F,수납!$C:$C,원생!$A249,수납!$D:$D,IF(원생!$G249="","",원생!$G249),수납!$B:$B,$B$1&amp;"-"&amp;TEXT(1,"00")&amp;"*",수납!$E:$E,"수강료")+SUMIFS(수납!$F:$F,수납!$C:$C,원생!$A249,수납!$D:$D,IF(원생!$G249="","",원생!$G249),수납!$B:$B,$B$1&amp;"-"&amp;TEXT(1,"00")&amp;"*",수납!$E:$E,""))</f>
        <v/>
      </c>
      <c r="D251" s="14">
        <f>IF(원생!$A249="","",SUMIFS(수납!$F:$F,수납!$C:$C,원생!$A249,수납!$D:$D,IF(원생!$G249="","",원생!$G249),수납!$B:$B,$B$1&amp;"-"&amp;TEXT(2,"00")&amp;"*",수납!$E:$E,"수강료")+SUMIFS(수납!$F:$F,수납!$C:$C,원생!$A249,수납!$D:$D,IF(원생!$G249="","",원생!$G249),수납!$B:$B,$B$1&amp;"-"&amp;TEXT(2,"00")&amp;"*",수납!$E:$E,""))</f>
        <v/>
      </c>
      <c r="E251" s="14">
        <f>IF(원생!$A249="","",SUMIFS(수납!$F:$F,수납!$C:$C,원생!$A249,수납!$D:$D,IF(원생!$G249="","",원생!$G249),수납!$B:$B,$B$1&amp;"-"&amp;TEXT(3,"00")&amp;"*",수납!$E:$E,"수강료")+SUMIFS(수납!$F:$F,수납!$C:$C,원생!$A249,수납!$D:$D,IF(원생!$G249="","",원생!$G249),수납!$B:$B,$B$1&amp;"-"&amp;TEXT(3,"00")&amp;"*",수납!$E:$E,""))</f>
        <v/>
      </c>
      <c r="F251" s="14">
        <f>IF(원생!$A249="","",SUMIFS(수납!$F:$F,수납!$C:$C,원생!$A249,수납!$D:$D,IF(원생!$G249="","",원생!$G249),수납!$B:$B,$B$1&amp;"-"&amp;TEXT(4,"00")&amp;"*",수납!$E:$E,"수강료")+SUMIFS(수납!$F:$F,수납!$C:$C,원생!$A249,수납!$D:$D,IF(원생!$G249="","",원생!$G249),수납!$B:$B,$B$1&amp;"-"&amp;TEXT(4,"00")&amp;"*",수납!$E:$E,""))</f>
        <v/>
      </c>
      <c r="G251" s="14">
        <f>IF(원생!$A249="","",SUMIFS(수납!$F:$F,수납!$C:$C,원생!$A249,수납!$D:$D,IF(원생!$G249="","",원생!$G249),수납!$B:$B,$B$1&amp;"-"&amp;TEXT(5,"00")&amp;"*",수납!$E:$E,"수강료")+SUMIFS(수납!$F:$F,수납!$C:$C,원생!$A249,수납!$D:$D,IF(원생!$G249="","",원생!$G249),수납!$B:$B,$B$1&amp;"-"&amp;TEXT(5,"00")&amp;"*",수납!$E:$E,""))</f>
        <v/>
      </c>
      <c r="H251" s="14">
        <f>IF(원생!$A249="","",SUMIFS(수납!$F:$F,수납!$C:$C,원생!$A249,수납!$D:$D,IF(원생!$G249="","",원생!$G249),수납!$B:$B,$B$1&amp;"-"&amp;TEXT(6,"00")&amp;"*",수납!$E:$E,"수강료")+SUMIFS(수납!$F:$F,수납!$C:$C,원생!$A249,수납!$D:$D,IF(원생!$G249="","",원생!$G249),수납!$B:$B,$B$1&amp;"-"&amp;TEXT(6,"00")&amp;"*",수납!$E:$E,""))</f>
        <v/>
      </c>
      <c r="I251" s="14">
        <f>IF(원생!$A249="","",SUMIFS(수납!$F:$F,수납!$C:$C,원생!$A249,수납!$D:$D,IF(원생!$G249="","",원생!$G249),수납!$B:$B,$B$1&amp;"-"&amp;TEXT(7,"00")&amp;"*",수납!$E:$E,"수강료")+SUMIFS(수납!$F:$F,수납!$C:$C,원생!$A249,수납!$D:$D,IF(원생!$G249="","",원생!$G249),수납!$B:$B,$B$1&amp;"-"&amp;TEXT(7,"00")&amp;"*",수납!$E:$E,""))</f>
        <v/>
      </c>
      <c r="J251" s="14">
        <f>IF(원생!$A249="","",SUMIFS(수납!$F:$F,수납!$C:$C,원생!$A249,수납!$D:$D,IF(원생!$G249="","",원생!$G249),수납!$B:$B,$B$1&amp;"-"&amp;TEXT(8,"00")&amp;"*",수납!$E:$E,"수강료")+SUMIFS(수납!$F:$F,수납!$C:$C,원생!$A249,수납!$D:$D,IF(원생!$G249="","",원생!$G249),수납!$B:$B,$B$1&amp;"-"&amp;TEXT(8,"00")&amp;"*",수납!$E:$E,""))</f>
        <v/>
      </c>
      <c r="K251" s="14">
        <f>IF(원생!$A249="","",SUMIFS(수납!$F:$F,수납!$C:$C,원생!$A249,수납!$D:$D,IF(원생!$G249="","",원생!$G249),수납!$B:$B,$B$1&amp;"-"&amp;TEXT(9,"00")&amp;"*",수납!$E:$E,"수강료")+SUMIFS(수납!$F:$F,수납!$C:$C,원생!$A249,수납!$D:$D,IF(원생!$G249="","",원생!$G249),수납!$B:$B,$B$1&amp;"-"&amp;TEXT(9,"00")&amp;"*",수납!$E:$E,""))</f>
        <v/>
      </c>
      <c r="L251" s="14">
        <f>IF(원생!$A249="","",SUMIFS(수납!$F:$F,수납!$C:$C,원생!$A249,수납!$D:$D,IF(원생!$G249="","",원생!$G249),수납!$B:$B,$B$1&amp;"-"&amp;TEXT(10,"00")&amp;"*",수납!$E:$E,"수강료")+SUMIFS(수납!$F:$F,수납!$C:$C,원생!$A249,수납!$D:$D,IF(원생!$G249="","",원생!$G249),수납!$B:$B,$B$1&amp;"-"&amp;TEXT(10,"00")&amp;"*",수납!$E:$E,""))</f>
        <v/>
      </c>
      <c r="M251" s="14">
        <f>IF(원생!$A249="","",SUMIFS(수납!$F:$F,수납!$C:$C,원생!$A249,수납!$D:$D,IF(원생!$G249="","",원생!$G249),수납!$B:$B,$B$1&amp;"-"&amp;TEXT(11,"00")&amp;"*",수납!$E:$E,"수강료")+SUMIFS(수납!$F:$F,수납!$C:$C,원생!$A249,수납!$D:$D,IF(원생!$G249="","",원생!$G249),수납!$B:$B,$B$1&amp;"-"&amp;TEXT(11,"00")&amp;"*",수납!$E:$E,""))</f>
        <v/>
      </c>
      <c r="N251" s="14">
        <f>IF(원생!$A249="","",SUMIFS(수납!$F:$F,수납!$C:$C,원생!$A249,수납!$D:$D,IF(원생!$G249="","",원생!$G249),수납!$B:$B,$B$1&amp;"-"&amp;TEXT(12,"00")&amp;"*",수납!$E:$E,"수강료")+SUMIFS(수납!$F:$F,수납!$C:$C,원생!$A249,수납!$D:$D,IF(원생!$G249="","",원생!$G249),수납!$B:$B,$B$1&amp;"-"&amp;TEXT(12,"00")&amp;"*",수납!$E:$E,""))</f>
        <v/>
      </c>
      <c r="O251">
        <f>IF(원생!$I249="","",원생!$I249)</f>
        <v/>
      </c>
      <c r="P251">
        <f>IF($A251="","",IF(AND($B251&gt;0,C251&lt;$B251,DATE($B$1,1,1)&lt;=TODAY(),OR($O251="",$O251&gt;=DATE($B$1,1,1)),OR(COUNTIF($C251:C251,"&gt;0")&gt;0,DATE($B$1,1,1)=DATE(YEAR(TODAY()),MONTH(TODAY()),1))),1,0))</f>
        <v/>
      </c>
      <c r="Q251">
        <f>IF($A251="","",IF(AND($B251&gt;0,D251&lt;$B251,DATE($B$1,2,1)&lt;=TODAY(),OR($O251="",$O251&gt;=DATE($B$1,2,1)),OR(COUNTIF($C251:D251,"&gt;0")&gt;0,DATE($B$1,2,1)=DATE(YEAR(TODAY()),MONTH(TODAY()),1))),1,0))</f>
        <v/>
      </c>
      <c r="R251">
        <f>IF($A251="","",IF(AND($B251&gt;0,E251&lt;$B251,DATE($B$1,3,1)&lt;=TODAY(),OR($O251="",$O251&gt;=DATE($B$1,3,1)),OR(COUNTIF($C251:E251,"&gt;0")&gt;0,DATE($B$1,3,1)=DATE(YEAR(TODAY()),MONTH(TODAY()),1))),1,0))</f>
        <v/>
      </c>
      <c r="S251">
        <f>IF($A251="","",IF(AND($B251&gt;0,F251&lt;$B251,DATE($B$1,4,1)&lt;=TODAY(),OR($O251="",$O251&gt;=DATE($B$1,4,1)),OR(COUNTIF($C251:F251,"&gt;0")&gt;0,DATE($B$1,4,1)=DATE(YEAR(TODAY()),MONTH(TODAY()),1))),1,0))</f>
        <v/>
      </c>
      <c r="T251">
        <f>IF($A251="","",IF(AND($B251&gt;0,G251&lt;$B251,DATE($B$1,5,1)&lt;=TODAY(),OR($O251="",$O251&gt;=DATE($B$1,5,1)),OR(COUNTIF($C251:G251,"&gt;0")&gt;0,DATE($B$1,5,1)=DATE(YEAR(TODAY()),MONTH(TODAY()),1))),1,0))</f>
        <v/>
      </c>
      <c r="U251">
        <f>IF($A251="","",IF(AND($B251&gt;0,H251&lt;$B251,DATE($B$1,6,1)&lt;=TODAY(),OR($O251="",$O251&gt;=DATE($B$1,6,1)),OR(COUNTIF($C251:H251,"&gt;0")&gt;0,DATE($B$1,6,1)=DATE(YEAR(TODAY()),MONTH(TODAY()),1))),1,0))</f>
        <v/>
      </c>
      <c r="V251">
        <f>IF($A251="","",IF(AND($B251&gt;0,I251&lt;$B251,DATE($B$1,7,1)&lt;=TODAY(),OR($O251="",$O251&gt;=DATE($B$1,7,1)),OR(COUNTIF($C251:I251,"&gt;0")&gt;0,DATE($B$1,7,1)=DATE(YEAR(TODAY()),MONTH(TODAY()),1))),1,0))</f>
        <v/>
      </c>
      <c r="W251">
        <f>IF($A251="","",IF(AND($B251&gt;0,J251&lt;$B251,DATE($B$1,8,1)&lt;=TODAY(),OR($O251="",$O251&gt;=DATE($B$1,8,1)),OR(COUNTIF($C251:J251,"&gt;0")&gt;0,DATE($B$1,8,1)=DATE(YEAR(TODAY()),MONTH(TODAY()),1))),1,0))</f>
        <v/>
      </c>
      <c r="X251">
        <f>IF($A251="","",IF(AND($B251&gt;0,K251&lt;$B251,DATE($B$1,9,1)&lt;=TODAY(),OR($O251="",$O251&gt;=DATE($B$1,9,1)),OR(COUNTIF($C251:K251,"&gt;0")&gt;0,DATE($B$1,9,1)=DATE(YEAR(TODAY()),MONTH(TODAY()),1))),1,0))</f>
        <v/>
      </c>
      <c r="Y251">
        <f>IF($A251="","",IF(AND($B251&gt;0,L251&lt;$B251,DATE($B$1,10,1)&lt;=TODAY(),OR($O251="",$O251&gt;=DATE($B$1,10,1)),OR(COUNTIF($C251:L251,"&gt;0")&gt;0,DATE($B$1,10,1)=DATE(YEAR(TODAY()),MONTH(TODAY()),1))),1,0))</f>
        <v/>
      </c>
      <c r="Z251">
        <f>IF($A251="","",IF(AND($B251&gt;0,M251&lt;$B251,DATE($B$1,11,1)&lt;=TODAY(),OR($O251="",$O251&gt;=DATE($B$1,11,1)),OR(COUNTIF($C251:M251,"&gt;0")&gt;0,DATE($B$1,11,1)=DATE(YEAR(TODAY()),MONTH(TODAY()),1))),1,0))</f>
        <v/>
      </c>
      <c r="AA251">
        <f>IF($A251="","",IF(AND($B251&gt;0,N251&lt;$B251,DATE($B$1,12,1)&lt;=TODAY(),OR($O251="",$O251&gt;=DATE($B$1,12,1)),OR(COUNTIF($C251:N251,"&gt;0")&gt;0,DATE($B$1,12,1)=DATE(YEAR(TODAY()),MONTH(TODAY()),1))),1,0))</f>
        <v/>
      </c>
    </row>
    <row r="252">
      <c r="A252" s="13">
        <f>IF(원생!$A250="","",원생!$A250&amp;IF(원생!$G250="",""," ("&amp;원생!$G250&amp;")"))</f>
        <v/>
      </c>
      <c r="B252" s="8">
        <f>IF(원생!$A250="","",원생!$F250)</f>
        <v/>
      </c>
      <c r="C252" s="14">
        <f>IF(원생!$A250="","",SUMIFS(수납!$F:$F,수납!$C:$C,원생!$A250,수납!$D:$D,IF(원생!$G250="","",원생!$G250),수납!$B:$B,$B$1&amp;"-"&amp;TEXT(1,"00")&amp;"*",수납!$E:$E,"수강료")+SUMIFS(수납!$F:$F,수납!$C:$C,원생!$A250,수납!$D:$D,IF(원생!$G250="","",원생!$G250),수납!$B:$B,$B$1&amp;"-"&amp;TEXT(1,"00")&amp;"*",수납!$E:$E,""))</f>
        <v/>
      </c>
      <c r="D252" s="14">
        <f>IF(원생!$A250="","",SUMIFS(수납!$F:$F,수납!$C:$C,원생!$A250,수납!$D:$D,IF(원생!$G250="","",원생!$G250),수납!$B:$B,$B$1&amp;"-"&amp;TEXT(2,"00")&amp;"*",수납!$E:$E,"수강료")+SUMIFS(수납!$F:$F,수납!$C:$C,원생!$A250,수납!$D:$D,IF(원생!$G250="","",원생!$G250),수납!$B:$B,$B$1&amp;"-"&amp;TEXT(2,"00")&amp;"*",수납!$E:$E,""))</f>
        <v/>
      </c>
      <c r="E252" s="14">
        <f>IF(원생!$A250="","",SUMIFS(수납!$F:$F,수납!$C:$C,원생!$A250,수납!$D:$D,IF(원생!$G250="","",원생!$G250),수납!$B:$B,$B$1&amp;"-"&amp;TEXT(3,"00")&amp;"*",수납!$E:$E,"수강료")+SUMIFS(수납!$F:$F,수납!$C:$C,원생!$A250,수납!$D:$D,IF(원생!$G250="","",원생!$G250),수납!$B:$B,$B$1&amp;"-"&amp;TEXT(3,"00")&amp;"*",수납!$E:$E,""))</f>
        <v/>
      </c>
      <c r="F252" s="14">
        <f>IF(원생!$A250="","",SUMIFS(수납!$F:$F,수납!$C:$C,원생!$A250,수납!$D:$D,IF(원생!$G250="","",원생!$G250),수납!$B:$B,$B$1&amp;"-"&amp;TEXT(4,"00")&amp;"*",수납!$E:$E,"수강료")+SUMIFS(수납!$F:$F,수납!$C:$C,원생!$A250,수납!$D:$D,IF(원생!$G250="","",원생!$G250),수납!$B:$B,$B$1&amp;"-"&amp;TEXT(4,"00")&amp;"*",수납!$E:$E,""))</f>
        <v/>
      </c>
      <c r="G252" s="14">
        <f>IF(원생!$A250="","",SUMIFS(수납!$F:$F,수납!$C:$C,원생!$A250,수납!$D:$D,IF(원생!$G250="","",원생!$G250),수납!$B:$B,$B$1&amp;"-"&amp;TEXT(5,"00")&amp;"*",수납!$E:$E,"수강료")+SUMIFS(수납!$F:$F,수납!$C:$C,원생!$A250,수납!$D:$D,IF(원생!$G250="","",원생!$G250),수납!$B:$B,$B$1&amp;"-"&amp;TEXT(5,"00")&amp;"*",수납!$E:$E,""))</f>
        <v/>
      </c>
      <c r="H252" s="14">
        <f>IF(원생!$A250="","",SUMIFS(수납!$F:$F,수납!$C:$C,원생!$A250,수납!$D:$D,IF(원생!$G250="","",원생!$G250),수납!$B:$B,$B$1&amp;"-"&amp;TEXT(6,"00")&amp;"*",수납!$E:$E,"수강료")+SUMIFS(수납!$F:$F,수납!$C:$C,원생!$A250,수납!$D:$D,IF(원생!$G250="","",원생!$G250),수납!$B:$B,$B$1&amp;"-"&amp;TEXT(6,"00")&amp;"*",수납!$E:$E,""))</f>
        <v/>
      </c>
      <c r="I252" s="14">
        <f>IF(원생!$A250="","",SUMIFS(수납!$F:$F,수납!$C:$C,원생!$A250,수납!$D:$D,IF(원생!$G250="","",원생!$G250),수납!$B:$B,$B$1&amp;"-"&amp;TEXT(7,"00")&amp;"*",수납!$E:$E,"수강료")+SUMIFS(수납!$F:$F,수납!$C:$C,원생!$A250,수납!$D:$D,IF(원생!$G250="","",원생!$G250),수납!$B:$B,$B$1&amp;"-"&amp;TEXT(7,"00")&amp;"*",수납!$E:$E,""))</f>
        <v/>
      </c>
      <c r="J252" s="14">
        <f>IF(원생!$A250="","",SUMIFS(수납!$F:$F,수납!$C:$C,원생!$A250,수납!$D:$D,IF(원생!$G250="","",원생!$G250),수납!$B:$B,$B$1&amp;"-"&amp;TEXT(8,"00")&amp;"*",수납!$E:$E,"수강료")+SUMIFS(수납!$F:$F,수납!$C:$C,원생!$A250,수납!$D:$D,IF(원생!$G250="","",원생!$G250),수납!$B:$B,$B$1&amp;"-"&amp;TEXT(8,"00")&amp;"*",수납!$E:$E,""))</f>
        <v/>
      </c>
      <c r="K252" s="14">
        <f>IF(원생!$A250="","",SUMIFS(수납!$F:$F,수납!$C:$C,원생!$A250,수납!$D:$D,IF(원생!$G250="","",원생!$G250),수납!$B:$B,$B$1&amp;"-"&amp;TEXT(9,"00")&amp;"*",수납!$E:$E,"수강료")+SUMIFS(수납!$F:$F,수납!$C:$C,원생!$A250,수납!$D:$D,IF(원생!$G250="","",원생!$G250),수납!$B:$B,$B$1&amp;"-"&amp;TEXT(9,"00")&amp;"*",수납!$E:$E,""))</f>
        <v/>
      </c>
      <c r="L252" s="14">
        <f>IF(원생!$A250="","",SUMIFS(수납!$F:$F,수납!$C:$C,원생!$A250,수납!$D:$D,IF(원생!$G250="","",원생!$G250),수납!$B:$B,$B$1&amp;"-"&amp;TEXT(10,"00")&amp;"*",수납!$E:$E,"수강료")+SUMIFS(수납!$F:$F,수납!$C:$C,원생!$A250,수납!$D:$D,IF(원생!$G250="","",원생!$G250),수납!$B:$B,$B$1&amp;"-"&amp;TEXT(10,"00")&amp;"*",수납!$E:$E,""))</f>
        <v/>
      </c>
      <c r="M252" s="14">
        <f>IF(원생!$A250="","",SUMIFS(수납!$F:$F,수납!$C:$C,원생!$A250,수납!$D:$D,IF(원생!$G250="","",원생!$G250),수납!$B:$B,$B$1&amp;"-"&amp;TEXT(11,"00")&amp;"*",수납!$E:$E,"수강료")+SUMIFS(수납!$F:$F,수납!$C:$C,원생!$A250,수납!$D:$D,IF(원생!$G250="","",원생!$G250),수납!$B:$B,$B$1&amp;"-"&amp;TEXT(11,"00")&amp;"*",수납!$E:$E,""))</f>
        <v/>
      </c>
      <c r="N252" s="14">
        <f>IF(원생!$A250="","",SUMIFS(수납!$F:$F,수납!$C:$C,원생!$A250,수납!$D:$D,IF(원생!$G250="","",원생!$G250),수납!$B:$B,$B$1&amp;"-"&amp;TEXT(12,"00")&amp;"*",수납!$E:$E,"수강료")+SUMIFS(수납!$F:$F,수납!$C:$C,원생!$A250,수납!$D:$D,IF(원생!$G250="","",원생!$G250),수납!$B:$B,$B$1&amp;"-"&amp;TEXT(12,"00")&amp;"*",수납!$E:$E,""))</f>
        <v/>
      </c>
      <c r="O252">
        <f>IF(원생!$I250="","",원생!$I250)</f>
        <v/>
      </c>
      <c r="P252">
        <f>IF($A252="","",IF(AND($B252&gt;0,C252&lt;$B252,DATE($B$1,1,1)&lt;=TODAY(),OR($O252="",$O252&gt;=DATE($B$1,1,1)),OR(COUNTIF($C252:C252,"&gt;0")&gt;0,DATE($B$1,1,1)=DATE(YEAR(TODAY()),MONTH(TODAY()),1))),1,0))</f>
        <v/>
      </c>
      <c r="Q252">
        <f>IF($A252="","",IF(AND($B252&gt;0,D252&lt;$B252,DATE($B$1,2,1)&lt;=TODAY(),OR($O252="",$O252&gt;=DATE($B$1,2,1)),OR(COUNTIF($C252:D252,"&gt;0")&gt;0,DATE($B$1,2,1)=DATE(YEAR(TODAY()),MONTH(TODAY()),1))),1,0))</f>
        <v/>
      </c>
      <c r="R252">
        <f>IF($A252="","",IF(AND($B252&gt;0,E252&lt;$B252,DATE($B$1,3,1)&lt;=TODAY(),OR($O252="",$O252&gt;=DATE($B$1,3,1)),OR(COUNTIF($C252:E252,"&gt;0")&gt;0,DATE($B$1,3,1)=DATE(YEAR(TODAY()),MONTH(TODAY()),1))),1,0))</f>
        <v/>
      </c>
      <c r="S252">
        <f>IF($A252="","",IF(AND($B252&gt;0,F252&lt;$B252,DATE($B$1,4,1)&lt;=TODAY(),OR($O252="",$O252&gt;=DATE($B$1,4,1)),OR(COUNTIF($C252:F252,"&gt;0")&gt;0,DATE($B$1,4,1)=DATE(YEAR(TODAY()),MONTH(TODAY()),1))),1,0))</f>
        <v/>
      </c>
      <c r="T252">
        <f>IF($A252="","",IF(AND($B252&gt;0,G252&lt;$B252,DATE($B$1,5,1)&lt;=TODAY(),OR($O252="",$O252&gt;=DATE($B$1,5,1)),OR(COUNTIF($C252:G252,"&gt;0")&gt;0,DATE($B$1,5,1)=DATE(YEAR(TODAY()),MONTH(TODAY()),1))),1,0))</f>
        <v/>
      </c>
      <c r="U252">
        <f>IF($A252="","",IF(AND($B252&gt;0,H252&lt;$B252,DATE($B$1,6,1)&lt;=TODAY(),OR($O252="",$O252&gt;=DATE($B$1,6,1)),OR(COUNTIF($C252:H252,"&gt;0")&gt;0,DATE($B$1,6,1)=DATE(YEAR(TODAY()),MONTH(TODAY()),1))),1,0))</f>
        <v/>
      </c>
      <c r="V252">
        <f>IF($A252="","",IF(AND($B252&gt;0,I252&lt;$B252,DATE($B$1,7,1)&lt;=TODAY(),OR($O252="",$O252&gt;=DATE($B$1,7,1)),OR(COUNTIF($C252:I252,"&gt;0")&gt;0,DATE($B$1,7,1)=DATE(YEAR(TODAY()),MONTH(TODAY()),1))),1,0))</f>
        <v/>
      </c>
      <c r="W252">
        <f>IF($A252="","",IF(AND($B252&gt;0,J252&lt;$B252,DATE($B$1,8,1)&lt;=TODAY(),OR($O252="",$O252&gt;=DATE($B$1,8,1)),OR(COUNTIF($C252:J252,"&gt;0")&gt;0,DATE($B$1,8,1)=DATE(YEAR(TODAY()),MONTH(TODAY()),1))),1,0))</f>
        <v/>
      </c>
      <c r="X252">
        <f>IF($A252="","",IF(AND($B252&gt;0,K252&lt;$B252,DATE($B$1,9,1)&lt;=TODAY(),OR($O252="",$O252&gt;=DATE($B$1,9,1)),OR(COUNTIF($C252:K252,"&gt;0")&gt;0,DATE($B$1,9,1)=DATE(YEAR(TODAY()),MONTH(TODAY()),1))),1,0))</f>
        <v/>
      </c>
      <c r="Y252">
        <f>IF($A252="","",IF(AND($B252&gt;0,L252&lt;$B252,DATE($B$1,10,1)&lt;=TODAY(),OR($O252="",$O252&gt;=DATE($B$1,10,1)),OR(COUNTIF($C252:L252,"&gt;0")&gt;0,DATE($B$1,10,1)=DATE(YEAR(TODAY()),MONTH(TODAY()),1))),1,0))</f>
        <v/>
      </c>
      <c r="Z252">
        <f>IF($A252="","",IF(AND($B252&gt;0,M252&lt;$B252,DATE($B$1,11,1)&lt;=TODAY(),OR($O252="",$O252&gt;=DATE($B$1,11,1)),OR(COUNTIF($C252:M252,"&gt;0")&gt;0,DATE($B$1,11,1)=DATE(YEAR(TODAY()),MONTH(TODAY()),1))),1,0))</f>
        <v/>
      </c>
      <c r="AA252">
        <f>IF($A252="","",IF(AND($B252&gt;0,N252&lt;$B252,DATE($B$1,12,1)&lt;=TODAY(),OR($O252="",$O252&gt;=DATE($B$1,12,1)),OR(COUNTIF($C252:N252,"&gt;0")&gt;0,DATE($B$1,12,1)=DATE(YEAR(TODAY()),MONTH(TODAY()),1))),1,0))</f>
        <v/>
      </c>
    </row>
    <row r="253">
      <c r="A253" s="13">
        <f>IF(원생!$A251="","",원생!$A251&amp;IF(원생!$G251="",""," ("&amp;원생!$G251&amp;")"))</f>
        <v/>
      </c>
      <c r="B253" s="8">
        <f>IF(원생!$A251="","",원생!$F251)</f>
        <v/>
      </c>
      <c r="C253" s="14">
        <f>IF(원생!$A251="","",SUMIFS(수납!$F:$F,수납!$C:$C,원생!$A251,수납!$D:$D,IF(원생!$G251="","",원생!$G251),수납!$B:$B,$B$1&amp;"-"&amp;TEXT(1,"00")&amp;"*",수납!$E:$E,"수강료")+SUMIFS(수납!$F:$F,수납!$C:$C,원생!$A251,수납!$D:$D,IF(원생!$G251="","",원생!$G251),수납!$B:$B,$B$1&amp;"-"&amp;TEXT(1,"00")&amp;"*",수납!$E:$E,""))</f>
        <v/>
      </c>
      <c r="D253" s="14">
        <f>IF(원생!$A251="","",SUMIFS(수납!$F:$F,수납!$C:$C,원생!$A251,수납!$D:$D,IF(원생!$G251="","",원생!$G251),수납!$B:$B,$B$1&amp;"-"&amp;TEXT(2,"00")&amp;"*",수납!$E:$E,"수강료")+SUMIFS(수납!$F:$F,수납!$C:$C,원생!$A251,수납!$D:$D,IF(원생!$G251="","",원생!$G251),수납!$B:$B,$B$1&amp;"-"&amp;TEXT(2,"00")&amp;"*",수납!$E:$E,""))</f>
        <v/>
      </c>
      <c r="E253" s="14">
        <f>IF(원생!$A251="","",SUMIFS(수납!$F:$F,수납!$C:$C,원생!$A251,수납!$D:$D,IF(원생!$G251="","",원생!$G251),수납!$B:$B,$B$1&amp;"-"&amp;TEXT(3,"00")&amp;"*",수납!$E:$E,"수강료")+SUMIFS(수납!$F:$F,수납!$C:$C,원생!$A251,수납!$D:$D,IF(원생!$G251="","",원생!$G251),수납!$B:$B,$B$1&amp;"-"&amp;TEXT(3,"00")&amp;"*",수납!$E:$E,""))</f>
        <v/>
      </c>
      <c r="F253" s="14">
        <f>IF(원생!$A251="","",SUMIFS(수납!$F:$F,수납!$C:$C,원생!$A251,수납!$D:$D,IF(원생!$G251="","",원생!$G251),수납!$B:$B,$B$1&amp;"-"&amp;TEXT(4,"00")&amp;"*",수납!$E:$E,"수강료")+SUMIFS(수납!$F:$F,수납!$C:$C,원생!$A251,수납!$D:$D,IF(원생!$G251="","",원생!$G251),수납!$B:$B,$B$1&amp;"-"&amp;TEXT(4,"00")&amp;"*",수납!$E:$E,""))</f>
        <v/>
      </c>
      <c r="G253" s="14">
        <f>IF(원생!$A251="","",SUMIFS(수납!$F:$F,수납!$C:$C,원생!$A251,수납!$D:$D,IF(원생!$G251="","",원생!$G251),수납!$B:$B,$B$1&amp;"-"&amp;TEXT(5,"00")&amp;"*",수납!$E:$E,"수강료")+SUMIFS(수납!$F:$F,수납!$C:$C,원생!$A251,수납!$D:$D,IF(원생!$G251="","",원생!$G251),수납!$B:$B,$B$1&amp;"-"&amp;TEXT(5,"00")&amp;"*",수납!$E:$E,""))</f>
        <v/>
      </c>
      <c r="H253" s="14">
        <f>IF(원생!$A251="","",SUMIFS(수납!$F:$F,수납!$C:$C,원생!$A251,수납!$D:$D,IF(원생!$G251="","",원생!$G251),수납!$B:$B,$B$1&amp;"-"&amp;TEXT(6,"00")&amp;"*",수납!$E:$E,"수강료")+SUMIFS(수납!$F:$F,수납!$C:$C,원생!$A251,수납!$D:$D,IF(원생!$G251="","",원생!$G251),수납!$B:$B,$B$1&amp;"-"&amp;TEXT(6,"00")&amp;"*",수납!$E:$E,""))</f>
        <v/>
      </c>
      <c r="I253" s="14">
        <f>IF(원생!$A251="","",SUMIFS(수납!$F:$F,수납!$C:$C,원생!$A251,수납!$D:$D,IF(원생!$G251="","",원생!$G251),수납!$B:$B,$B$1&amp;"-"&amp;TEXT(7,"00")&amp;"*",수납!$E:$E,"수강료")+SUMIFS(수납!$F:$F,수납!$C:$C,원생!$A251,수납!$D:$D,IF(원생!$G251="","",원생!$G251),수납!$B:$B,$B$1&amp;"-"&amp;TEXT(7,"00")&amp;"*",수납!$E:$E,""))</f>
        <v/>
      </c>
      <c r="J253" s="14">
        <f>IF(원생!$A251="","",SUMIFS(수납!$F:$F,수납!$C:$C,원생!$A251,수납!$D:$D,IF(원생!$G251="","",원생!$G251),수납!$B:$B,$B$1&amp;"-"&amp;TEXT(8,"00")&amp;"*",수납!$E:$E,"수강료")+SUMIFS(수납!$F:$F,수납!$C:$C,원생!$A251,수납!$D:$D,IF(원생!$G251="","",원생!$G251),수납!$B:$B,$B$1&amp;"-"&amp;TEXT(8,"00")&amp;"*",수납!$E:$E,""))</f>
        <v/>
      </c>
      <c r="K253" s="14">
        <f>IF(원생!$A251="","",SUMIFS(수납!$F:$F,수납!$C:$C,원생!$A251,수납!$D:$D,IF(원생!$G251="","",원생!$G251),수납!$B:$B,$B$1&amp;"-"&amp;TEXT(9,"00")&amp;"*",수납!$E:$E,"수강료")+SUMIFS(수납!$F:$F,수납!$C:$C,원생!$A251,수납!$D:$D,IF(원생!$G251="","",원생!$G251),수납!$B:$B,$B$1&amp;"-"&amp;TEXT(9,"00")&amp;"*",수납!$E:$E,""))</f>
        <v/>
      </c>
      <c r="L253" s="14">
        <f>IF(원생!$A251="","",SUMIFS(수납!$F:$F,수납!$C:$C,원생!$A251,수납!$D:$D,IF(원생!$G251="","",원생!$G251),수납!$B:$B,$B$1&amp;"-"&amp;TEXT(10,"00")&amp;"*",수납!$E:$E,"수강료")+SUMIFS(수납!$F:$F,수납!$C:$C,원생!$A251,수납!$D:$D,IF(원생!$G251="","",원생!$G251),수납!$B:$B,$B$1&amp;"-"&amp;TEXT(10,"00")&amp;"*",수납!$E:$E,""))</f>
        <v/>
      </c>
      <c r="M253" s="14">
        <f>IF(원생!$A251="","",SUMIFS(수납!$F:$F,수납!$C:$C,원생!$A251,수납!$D:$D,IF(원생!$G251="","",원생!$G251),수납!$B:$B,$B$1&amp;"-"&amp;TEXT(11,"00")&amp;"*",수납!$E:$E,"수강료")+SUMIFS(수납!$F:$F,수납!$C:$C,원생!$A251,수납!$D:$D,IF(원생!$G251="","",원생!$G251),수납!$B:$B,$B$1&amp;"-"&amp;TEXT(11,"00")&amp;"*",수납!$E:$E,""))</f>
        <v/>
      </c>
      <c r="N253" s="14">
        <f>IF(원생!$A251="","",SUMIFS(수납!$F:$F,수납!$C:$C,원생!$A251,수납!$D:$D,IF(원생!$G251="","",원생!$G251),수납!$B:$B,$B$1&amp;"-"&amp;TEXT(12,"00")&amp;"*",수납!$E:$E,"수강료")+SUMIFS(수납!$F:$F,수납!$C:$C,원생!$A251,수납!$D:$D,IF(원생!$G251="","",원생!$G251),수납!$B:$B,$B$1&amp;"-"&amp;TEXT(12,"00")&amp;"*",수납!$E:$E,""))</f>
        <v/>
      </c>
      <c r="O253">
        <f>IF(원생!$I251="","",원생!$I251)</f>
        <v/>
      </c>
      <c r="P253">
        <f>IF($A253="","",IF(AND($B253&gt;0,C253&lt;$B253,DATE($B$1,1,1)&lt;=TODAY(),OR($O253="",$O253&gt;=DATE($B$1,1,1)),OR(COUNTIF($C253:C253,"&gt;0")&gt;0,DATE($B$1,1,1)=DATE(YEAR(TODAY()),MONTH(TODAY()),1))),1,0))</f>
        <v/>
      </c>
      <c r="Q253">
        <f>IF($A253="","",IF(AND($B253&gt;0,D253&lt;$B253,DATE($B$1,2,1)&lt;=TODAY(),OR($O253="",$O253&gt;=DATE($B$1,2,1)),OR(COUNTIF($C253:D253,"&gt;0")&gt;0,DATE($B$1,2,1)=DATE(YEAR(TODAY()),MONTH(TODAY()),1))),1,0))</f>
        <v/>
      </c>
      <c r="R253">
        <f>IF($A253="","",IF(AND($B253&gt;0,E253&lt;$B253,DATE($B$1,3,1)&lt;=TODAY(),OR($O253="",$O253&gt;=DATE($B$1,3,1)),OR(COUNTIF($C253:E253,"&gt;0")&gt;0,DATE($B$1,3,1)=DATE(YEAR(TODAY()),MONTH(TODAY()),1))),1,0))</f>
        <v/>
      </c>
      <c r="S253">
        <f>IF($A253="","",IF(AND($B253&gt;0,F253&lt;$B253,DATE($B$1,4,1)&lt;=TODAY(),OR($O253="",$O253&gt;=DATE($B$1,4,1)),OR(COUNTIF($C253:F253,"&gt;0")&gt;0,DATE($B$1,4,1)=DATE(YEAR(TODAY()),MONTH(TODAY()),1))),1,0))</f>
        <v/>
      </c>
      <c r="T253">
        <f>IF($A253="","",IF(AND($B253&gt;0,G253&lt;$B253,DATE($B$1,5,1)&lt;=TODAY(),OR($O253="",$O253&gt;=DATE($B$1,5,1)),OR(COUNTIF($C253:G253,"&gt;0")&gt;0,DATE($B$1,5,1)=DATE(YEAR(TODAY()),MONTH(TODAY()),1))),1,0))</f>
        <v/>
      </c>
      <c r="U253">
        <f>IF($A253="","",IF(AND($B253&gt;0,H253&lt;$B253,DATE($B$1,6,1)&lt;=TODAY(),OR($O253="",$O253&gt;=DATE($B$1,6,1)),OR(COUNTIF($C253:H253,"&gt;0")&gt;0,DATE($B$1,6,1)=DATE(YEAR(TODAY()),MONTH(TODAY()),1))),1,0))</f>
        <v/>
      </c>
      <c r="V253">
        <f>IF($A253="","",IF(AND($B253&gt;0,I253&lt;$B253,DATE($B$1,7,1)&lt;=TODAY(),OR($O253="",$O253&gt;=DATE($B$1,7,1)),OR(COUNTIF($C253:I253,"&gt;0")&gt;0,DATE($B$1,7,1)=DATE(YEAR(TODAY()),MONTH(TODAY()),1))),1,0))</f>
        <v/>
      </c>
      <c r="W253">
        <f>IF($A253="","",IF(AND($B253&gt;0,J253&lt;$B253,DATE($B$1,8,1)&lt;=TODAY(),OR($O253="",$O253&gt;=DATE($B$1,8,1)),OR(COUNTIF($C253:J253,"&gt;0")&gt;0,DATE($B$1,8,1)=DATE(YEAR(TODAY()),MONTH(TODAY()),1))),1,0))</f>
        <v/>
      </c>
      <c r="X253">
        <f>IF($A253="","",IF(AND($B253&gt;0,K253&lt;$B253,DATE($B$1,9,1)&lt;=TODAY(),OR($O253="",$O253&gt;=DATE($B$1,9,1)),OR(COUNTIF($C253:K253,"&gt;0")&gt;0,DATE($B$1,9,1)=DATE(YEAR(TODAY()),MONTH(TODAY()),1))),1,0))</f>
        <v/>
      </c>
      <c r="Y253">
        <f>IF($A253="","",IF(AND($B253&gt;0,L253&lt;$B253,DATE($B$1,10,1)&lt;=TODAY(),OR($O253="",$O253&gt;=DATE($B$1,10,1)),OR(COUNTIF($C253:L253,"&gt;0")&gt;0,DATE($B$1,10,1)=DATE(YEAR(TODAY()),MONTH(TODAY()),1))),1,0))</f>
        <v/>
      </c>
      <c r="Z253">
        <f>IF($A253="","",IF(AND($B253&gt;0,M253&lt;$B253,DATE($B$1,11,1)&lt;=TODAY(),OR($O253="",$O253&gt;=DATE($B$1,11,1)),OR(COUNTIF($C253:M253,"&gt;0")&gt;0,DATE($B$1,11,1)=DATE(YEAR(TODAY()),MONTH(TODAY()),1))),1,0))</f>
        <v/>
      </c>
      <c r="AA253">
        <f>IF($A253="","",IF(AND($B253&gt;0,N253&lt;$B253,DATE($B$1,12,1)&lt;=TODAY(),OR($O253="",$O253&gt;=DATE($B$1,12,1)),OR(COUNTIF($C253:N253,"&gt;0")&gt;0,DATE($B$1,12,1)=DATE(YEAR(TODAY()),MONTH(TODAY()),1))),1,0))</f>
        <v/>
      </c>
    </row>
    <row r="254">
      <c r="A254" s="13">
        <f>IF(원생!$A252="","",원생!$A252&amp;IF(원생!$G252="",""," ("&amp;원생!$G252&amp;")"))</f>
        <v/>
      </c>
      <c r="B254" s="8">
        <f>IF(원생!$A252="","",원생!$F252)</f>
        <v/>
      </c>
      <c r="C254" s="14">
        <f>IF(원생!$A252="","",SUMIFS(수납!$F:$F,수납!$C:$C,원생!$A252,수납!$D:$D,IF(원생!$G252="","",원생!$G252),수납!$B:$B,$B$1&amp;"-"&amp;TEXT(1,"00")&amp;"*",수납!$E:$E,"수강료")+SUMIFS(수납!$F:$F,수납!$C:$C,원생!$A252,수납!$D:$D,IF(원생!$G252="","",원생!$G252),수납!$B:$B,$B$1&amp;"-"&amp;TEXT(1,"00")&amp;"*",수납!$E:$E,""))</f>
        <v/>
      </c>
      <c r="D254" s="14">
        <f>IF(원생!$A252="","",SUMIFS(수납!$F:$F,수납!$C:$C,원생!$A252,수납!$D:$D,IF(원생!$G252="","",원생!$G252),수납!$B:$B,$B$1&amp;"-"&amp;TEXT(2,"00")&amp;"*",수납!$E:$E,"수강료")+SUMIFS(수납!$F:$F,수납!$C:$C,원생!$A252,수납!$D:$D,IF(원생!$G252="","",원생!$G252),수납!$B:$B,$B$1&amp;"-"&amp;TEXT(2,"00")&amp;"*",수납!$E:$E,""))</f>
        <v/>
      </c>
      <c r="E254" s="14">
        <f>IF(원생!$A252="","",SUMIFS(수납!$F:$F,수납!$C:$C,원생!$A252,수납!$D:$D,IF(원생!$G252="","",원생!$G252),수납!$B:$B,$B$1&amp;"-"&amp;TEXT(3,"00")&amp;"*",수납!$E:$E,"수강료")+SUMIFS(수납!$F:$F,수납!$C:$C,원생!$A252,수납!$D:$D,IF(원생!$G252="","",원생!$G252),수납!$B:$B,$B$1&amp;"-"&amp;TEXT(3,"00")&amp;"*",수납!$E:$E,""))</f>
        <v/>
      </c>
      <c r="F254" s="14">
        <f>IF(원생!$A252="","",SUMIFS(수납!$F:$F,수납!$C:$C,원생!$A252,수납!$D:$D,IF(원생!$G252="","",원생!$G252),수납!$B:$B,$B$1&amp;"-"&amp;TEXT(4,"00")&amp;"*",수납!$E:$E,"수강료")+SUMIFS(수납!$F:$F,수납!$C:$C,원생!$A252,수납!$D:$D,IF(원생!$G252="","",원생!$G252),수납!$B:$B,$B$1&amp;"-"&amp;TEXT(4,"00")&amp;"*",수납!$E:$E,""))</f>
        <v/>
      </c>
      <c r="G254" s="14">
        <f>IF(원생!$A252="","",SUMIFS(수납!$F:$F,수납!$C:$C,원생!$A252,수납!$D:$D,IF(원생!$G252="","",원생!$G252),수납!$B:$B,$B$1&amp;"-"&amp;TEXT(5,"00")&amp;"*",수납!$E:$E,"수강료")+SUMIFS(수납!$F:$F,수납!$C:$C,원생!$A252,수납!$D:$D,IF(원생!$G252="","",원생!$G252),수납!$B:$B,$B$1&amp;"-"&amp;TEXT(5,"00")&amp;"*",수납!$E:$E,""))</f>
        <v/>
      </c>
      <c r="H254" s="14">
        <f>IF(원생!$A252="","",SUMIFS(수납!$F:$F,수납!$C:$C,원생!$A252,수납!$D:$D,IF(원생!$G252="","",원생!$G252),수납!$B:$B,$B$1&amp;"-"&amp;TEXT(6,"00")&amp;"*",수납!$E:$E,"수강료")+SUMIFS(수납!$F:$F,수납!$C:$C,원생!$A252,수납!$D:$D,IF(원생!$G252="","",원생!$G252),수납!$B:$B,$B$1&amp;"-"&amp;TEXT(6,"00")&amp;"*",수납!$E:$E,""))</f>
        <v/>
      </c>
      <c r="I254" s="14">
        <f>IF(원생!$A252="","",SUMIFS(수납!$F:$F,수납!$C:$C,원생!$A252,수납!$D:$D,IF(원생!$G252="","",원생!$G252),수납!$B:$B,$B$1&amp;"-"&amp;TEXT(7,"00")&amp;"*",수납!$E:$E,"수강료")+SUMIFS(수납!$F:$F,수납!$C:$C,원생!$A252,수납!$D:$D,IF(원생!$G252="","",원생!$G252),수납!$B:$B,$B$1&amp;"-"&amp;TEXT(7,"00")&amp;"*",수납!$E:$E,""))</f>
        <v/>
      </c>
      <c r="J254" s="14">
        <f>IF(원생!$A252="","",SUMIFS(수납!$F:$F,수납!$C:$C,원생!$A252,수납!$D:$D,IF(원생!$G252="","",원생!$G252),수납!$B:$B,$B$1&amp;"-"&amp;TEXT(8,"00")&amp;"*",수납!$E:$E,"수강료")+SUMIFS(수납!$F:$F,수납!$C:$C,원생!$A252,수납!$D:$D,IF(원생!$G252="","",원생!$G252),수납!$B:$B,$B$1&amp;"-"&amp;TEXT(8,"00")&amp;"*",수납!$E:$E,""))</f>
        <v/>
      </c>
      <c r="K254" s="14">
        <f>IF(원생!$A252="","",SUMIFS(수납!$F:$F,수납!$C:$C,원생!$A252,수납!$D:$D,IF(원생!$G252="","",원생!$G252),수납!$B:$B,$B$1&amp;"-"&amp;TEXT(9,"00")&amp;"*",수납!$E:$E,"수강료")+SUMIFS(수납!$F:$F,수납!$C:$C,원생!$A252,수납!$D:$D,IF(원생!$G252="","",원생!$G252),수납!$B:$B,$B$1&amp;"-"&amp;TEXT(9,"00")&amp;"*",수납!$E:$E,""))</f>
        <v/>
      </c>
      <c r="L254" s="14">
        <f>IF(원생!$A252="","",SUMIFS(수납!$F:$F,수납!$C:$C,원생!$A252,수납!$D:$D,IF(원생!$G252="","",원생!$G252),수납!$B:$B,$B$1&amp;"-"&amp;TEXT(10,"00")&amp;"*",수납!$E:$E,"수강료")+SUMIFS(수납!$F:$F,수납!$C:$C,원생!$A252,수납!$D:$D,IF(원생!$G252="","",원생!$G252),수납!$B:$B,$B$1&amp;"-"&amp;TEXT(10,"00")&amp;"*",수납!$E:$E,""))</f>
        <v/>
      </c>
      <c r="M254" s="14">
        <f>IF(원생!$A252="","",SUMIFS(수납!$F:$F,수납!$C:$C,원생!$A252,수납!$D:$D,IF(원생!$G252="","",원생!$G252),수납!$B:$B,$B$1&amp;"-"&amp;TEXT(11,"00")&amp;"*",수납!$E:$E,"수강료")+SUMIFS(수납!$F:$F,수납!$C:$C,원생!$A252,수납!$D:$D,IF(원생!$G252="","",원생!$G252),수납!$B:$B,$B$1&amp;"-"&amp;TEXT(11,"00")&amp;"*",수납!$E:$E,""))</f>
        <v/>
      </c>
      <c r="N254" s="14">
        <f>IF(원생!$A252="","",SUMIFS(수납!$F:$F,수납!$C:$C,원생!$A252,수납!$D:$D,IF(원생!$G252="","",원생!$G252),수납!$B:$B,$B$1&amp;"-"&amp;TEXT(12,"00")&amp;"*",수납!$E:$E,"수강료")+SUMIFS(수납!$F:$F,수납!$C:$C,원생!$A252,수납!$D:$D,IF(원생!$G252="","",원생!$G252),수납!$B:$B,$B$1&amp;"-"&amp;TEXT(12,"00")&amp;"*",수납!$E:$E,""))</f>
        <v/>
      </c>
      <c r="O254">
        <f>IF(원생!$I252="","",원생!$I252)</f>
        <v/>
      </c>
      <c r="P254">
        <f>IF($A254="","",IF(AND($B254&gt;0,C254&lt;$B254,DATE($B$1,1,1)&lt;=TODAY(),OR($O254="",$O254&gt;=DATE($B$1,1,1)),OR(COUNTIF($C254:C254,"&gt;0")&gt;0,DATE($B$1,1,1)=DATE(YEAR(TODAY()),MONTH(TODAY()),1))),1,0))</f>
        <v/>
      </c>
      <c r="Q254">
        <f>IF($A254="","",IF(AND($B254&gt;0,D254&lt;$B254,DATE($B$1,2,1)&lt;=TODAY(),OR($O254="",$O254&gt;=DATE($B$1,2,1)),OR(COUNTIF($C254:D254,"&gt;0")&gt;0,DATE($B$1,2,1)=DATE(YEAR(TODAY()),MONTH(TODAY()),1))),1,0))</f>
        <v/>
      </c>
      <c r="R254">
        <f>IF($A254="","",IF(AND($B254&gt;0,E254&lt;$B254,DATE($B$1,3,1)&lt;=TODAY(),OR($O254="",$O254&gt;=DATE($B$1,3,1)),OR(COUNTIF($C254:E254,"&gt;0")&gt;0,DATE($B$1,3,1)=DATE(YEAR(TODAY()),MONTH(TODAY()),1))),1,0))</f>
        <v/>
      </c>
      <c r="S254">
        <f>IF($A254="","",IF(AND($B254&gt;0,F254&lt;$B254,DATE($B$1,4,1)&lt;=TODAY(),OR($O254="",$O254&gt;=DATE($B$1,4,1)),OR(COUNTIF($C254:F254,"&gt;0")&gt;0,DATE($B$1,4,1)=DATE(YEAR(TODAY()),MONTH(TODAY()),1))),1,0))</f>
        <v/>
      </c>
      <c r="T254">
        <f>IF($A254="","",IF(AND($B254&gt;0,G254&lt;$B254,DATE($B$1,5,1)&lt;=TODAY(),OR($O254="",$O254&gt;=DATE($B$1,5,1)),OR(COUNTIF($C254:G254,"&gt;0")&gt;0,DATE($B$1,5,1)=DATE(YEAR(TODAY()),MONTH(TODAY()),1))),1,0))</f>
        <v/>
      </c>
      <c r="U254">
        <f>IF($A254="","",IF(AND($B254&gt;0,H254&lt;$B254,DATE($B$1,6,1)&lt;=TODAY(),OR($O254="",$O254&gt;=DATE($B$1,6,1)),OR(COUNTIF($C254:H254,"&gt;0")&gt;0,DATE($B$1,6,1)=DATE(YEAR(TODAY()),MONTH(TODAY()),1))),1,0))</f>
        <v/>
      </c>
      <c r="V254">
        <f>IF($A254="","",IF(AND($B254&gt;0,I254&lt;$B254,DATE($B$1,7,1)&lt;=TODAY(),OR($O254="",$O254&gt;=DATE($B$1,7,1)),OR(COUNTIF($C254:I254,"&gt;0")&gt;0,DATE($B$1,7,1)=DATE(YEAR(TODAY()),MONTH(TODAY()),1))),1,0))</f>
        <v/>
      </c>
      <c r="W254">
        <f>IF($A254="","",IF(AND($B254&gt;0,J254&lt;$B254,DATE($B$1,8,1)&lt;=TODAY(),OR($O254="",$O254&gt;=DATE($B$1,8,1)),OR(COUNTIF($C254:J254,"&gt;0")&gt;0,DATE($B$1,8,1)=DATE(YEAR(TODAY()),MONTH(TODAY()),1))),1,0))</f>
        <v/>
      </c>
      <c r="X254">
        <f>IF($A254="","",IF(AND($B254&gt;0,K254&lt;$B254,DATE($B$1,9,1)&lt;=TODAY(),OR($O254="",$O254&gt;=DATE($B$1,9,1)),OR(COUNTIF($C254:K254,"&gt;0")&gt;0,DATE($B$1,9,1)=DATE(YEAR(TODAY()),MONTH(TODAY()),1))),1,0))</f>
        <v/>
      </c>
      <c r="Y254">
        <f>IF($A254="","",IF(AND($B254&gt;0,L254&lt;$B254,DATE($B$1,10,1)&lt;=TODAY(),OR($O254="",$O254&gt;=DATE($B$1,10,1)),OR(COUNTIF($C254:L254,"&gt;0")&gt;0,DATE($B$1,10,1)=DATE(YEAR(TODAY()),MONTH(TODAY()),1))),1,0))</f>
        <v/>
      </c>
      <c r="Z254">
        <f>IF($A254="","",IF(AND($B254&gt;0,M254&lt;$B254,DATE($B$1,11,1)&lt;=TODAY(),OR($O254="",$O254&gt;=DATE($B$1,11,1)),OR(COUNTIF($C254:M254,"&gt;0")&gt;0,DATE($B$1,11,1)=DATE(YEAR(TODAY()),MONTH(TODAY()),1))),1,0))</f>
        <v/>
      </c>
      <c r="AA254">
        <f>IF($A254="","",IF(AND($B254&gt;0,N254&lt;$B254,DATE($B$1,12,1)&lt;=TODAY(),OR($O254="",$O254&gt;=DATE($B$1,12,1)),OR(COUNTIF($C254:N254,"&gt;0")&gt;0,DATE($B$1,12,1)=DATE(YEAR(TODAY()),MONTH(TODAY()),1))),1,0))</f>
        <v/>
      </c>
    </row>
    <row r="255">
      <c r="A255" s="13">
        <f>IF(원생!$A253="","",원생!$A253&amp;IF(원생!$G253="",""," ("&amp;원생!$G253&amp;")"))</f>
        <v/>
      </c>
      <c r="B255" s="8">
        <f>IF(원생!$A253="","",원생!$F253)</f>
        <v/>
      </c>
      <c r="C255" s="14">
        <f>IF(원생!$A253="","",SUMIFS(수납!$F:$F,수납!$C:$C,원생!$A253,수납!$D:$D,IF(원생!$G253="","",원생!$G253),수납!$B:$B,$B$1&amp;"-"&amp;TEXT(1,"00")&amp;"*",수납!$E:$E,"수강료")+SUMIFS(수납!$F:$F,수납!$C:$C,원생!$A253,수납!$D:$D,IF(원생!$G253="","",원생!$G253),수납!$B:$B,$B$1&amp;"-"&amp;TEXT(1,"00")&amp;"*",수납!$E:$E,""))</f>
        <v/>
      </c>
      <c r="D255" s="14">
        <f>IF(원생!$A253="","",SUMIFS(수납!$F:$F,수납!$C:$C,원생!$A253,수납!$D:$D,IF(원생!$G253="","",원생!$G253),수납!$B:$B,$B$1&amp;"-"&amp;TEXT(2,"00")&amp;"*",수납!$E:$E,"수강료")+SUMIFS(수납!$F:$F,수납!$C:$C,원생!$A253,수납!$D:$D,IF(원생!$G253="","",원생!$G253),수납!$B:$B,$B$1&amp;"-"&amp;TEXT(2,"00")&amp;"*",수납!$E:$E,""))</f>
        <v/>
      </c>
      <c r="E255" s="14">
        <f>IF(원생!$A253="","",SUMIFS(수납!$F:$F,수납!$C:$C,원생!$A253,수납!$D:$D,IF(원생!$G253="","",원생!$G253),수납!$B:$B,$B$1&amp;"-"&amp;TEXT(3,"00")&amp;"*",수납!$E:$E,"수강료")+SUMIFS(수납!$F:$F,수납!$C:$C,원생!$A253,수납!$D:$D,IF(원생!$G253="","",원생!$G253),수납!$B:$B,$B$1&amp;"-"&amp;TEXT(3,"00")&amp;"*",수납!$E:$E,""))</f>
        <v/>
      </c>
      <c r="F255" s="14">
        <f>IF(원생!$A253="","",SUMIFS(수납!$F:$F,수납!$C:$C,원생!$A253,수납!$D:$D,IF(원생!$G253="","",원생!$G253),수납!$B:$B,$B$1&amp;"-"&amp;TEXT(4,"00")&amp;"*",수납!$E:$E,"수강료")+SUMIFS(수납!$F:$F,수납!$C:$C,원생!$A253,수납!$D:$D,IF(원생!$G253="","",원생!$G253),수납!$B:$B,$B$1&amp;"-"&amp;TEXT(4,"00")&amp;"*",수납!$E:$E,""))</f>
        <v/>
      </c>
      <c r="G255" s="14">
        <f>IF(원생!$A253="","",SUMIFS(수납!$F:$F,수납!$C:$C,원생!$A253,수납!$D:$D,IF(원생!$G253="","",원생!$G253),수납!$B:$B,$B$1&amp;"-"&amp;TEXT(5,"00")&amp;"*",수납!$E:$E,"수강료")+SUMIFS(수납!$F:$F,수납!$C:$C,원생!$A253,수납!$D:$D,IF(원생!$G253="","",원생!$G253),수납!$B:$B,$B$1&amp;"-"&amp;TEXT(5,"00")&amp;"*",수납!$E:$E,""))</f>
        <v/>
      </c>
      <c r="H255" s="14">
        <f>IF(원생!$A253="","",SUMIFS(수납!$F:$F,수납!$C:$C,원생!$A253,수납!$D:$D,IF(원생!$G253="","",원생!$G253),수납!$B:$B,$B$1&amp;"-"&amp;TEXT(6,"00")&amp;"*",수납!$E:$E,"수강료")+SUMIFS(수납!$F:$F,수납!$C:$C,원생!$A253,수납!$D:$D,IF(원생!$G253="","",원생!$G253),수납!$B:$B,$B$1&amp;"-"&amp;TEXT(6,"00")&amp;"*",수납!$E:$E,""))</f>
        <v/>
      </c>
      <c r="I255" s="14">
        <f>IF(원생!$A253="","",SUMIFS(수납!$F:$F,수납!$C:$C,원생!$A253,수납!$D:$D,IF(원생!$G253="","",원생!$G253),수납!$B:$B,$B$1&amp;"-"&amp;TEXT(7,"00")&amp;"*",수납!$E:$E,"수강료")+SUMIFS(수납!$F:$F,수납!$C:$C,원생!$A253,수납!$D:$D,IF(원생!$G253="","",원생!$G253),수납!$B:$B,$B$1&amp;"-"&amp;TEXT(7,"00")&amp;"*",수납!$E:$E,""))</f>
        <v/>
      </c>
      <c r="J255" s="14">
        <f>IF(원생!$A253="","",SUMIFS(수납!$F:$F,수납!$C:$C,원생!$A253,수납!$D:$D,IF(원생!$G253="","",원생!$G253),수납!$B:$B,$B$1&amp;"-"&amp;TEXT(8,"00")&amp;"*",수납!$E:$E,"수강료")+SUMIFS(수납!$F:$F,수납!$C:$C,원생!$A253,수납!$D:$D,IF(원생!$G253="","",원생!$G253),수납!$B:$B,$B$1&amp;"-"&amp;TEXT(8,"00")&amp;"*",수납!$E:$E,""))</f>
        <v/>
      </c>
      <c r="K255" s="14">
        <f>IF(원생!$A253="","",SUMIFS(수납!$F:$F,수납!$C:$C,원생!$A253,수납!$D:$D,IF(원생!$G253="","",원생!$G253),수납!$B:$B,$B$1&amp;"-"&amp;TEXT(9,"00")&amp;"*",수납!$E:$E,"수강료")+SUMIFS(수납!$F:$F,수납!$C:$C,원생!$A253,수납!$D:$D,IF(원생!$G253="","",원생!$G253),수납!$B:$B,$B$1&amp;"-"&amp;TEXT(9,"00")&amp;"*",수납!$E:$E,""))</f>
        <v/>
      </c>
      <c r="L255" s="14">
        <f>IF(원생!$A253="","",SUMIFS(수납!$F:$F,수납!$C:$C,원생!$A253,수납!$D:$D,IF(원생!$G253="","",원생!$G253),수납!$B:$B,$B$1&amp;"-"&amp;TEXT(10,"00")&amp;"*",수납!$E:$E,"수강료")+SUMIFS(수납!$F:$F,수납!$C:$C,원생!$A253,수납!$D:$D,IF(원생!$G253="","",원생!$G253),수납!$B:$B,$B$1&amp;"-"&amp;TEXT(10,"00")&amp;"*",수납!$E:$E,""))</f>
        <v/>
      </c>
      <c r="M255" s="14">
        <f>IF(원생!$A253="","",SUMIFS(수납!$F:$F,수납!$C:$C,원생!$A253,수납!$D:$D,IF(원생!$G253="","",원생!$G253),수납!$B:$B,$B$1&amp;"-"&amp;TEXT(11,"00")&amp;"*",수납!$E:$E,"수강료")+SUMIFS(수납!$F:$F,수납!$C:$C,원생!$A253,수납!$D:$D,IF(원생!$G253="","",원생!$G253),수납!$B:$B,$B$1&amp;"-"&amp;TEXT(11,"00")&amp;"*",수납!$E:$E,""))</f>
        <v/>
      </c>
      <c r="N255" s="14">
        <f>IF(원생!$A253="","",SUMIFS(수납!$F:$F,수납!$C:$C,원생!$A253,수납!$D:$D,IF(원생!$G253="","",원생!$G253),수납!$B:$B,$B$1&amp;"-"&amp;TEXT(12,"00")&amp;"*",수납!$E:$E,"수강료")+SUMIFS(수납!$F:$F,수납!$C:$C,원생!$A253,수납!$D:$D,IF(원생!$G253="","",원생!$G253),수납!$B:$B,$B$1&amp;"-"&amp;TEXT(12,"00")&amp;"*",수납!$E:$E,""))</f>
        <v/>
      </c>
      <c r="O255">
        <f>IF(원생!$I253="","",원생!$I253)</f>
        <v/>
      </c>
      <c r="P255">
        <f>IF($A255="","",IF(AND($B255&gt;0,C255&lt;$B255,DATE($B$1,1,1)&lt;=TODAY(),OR($O255="",$O255&gt;=DATE($B$1,1,1)),OR(COUNTIF($C255:C255,"&gt;0")&gt;0,DATE($B$1,1,1)=DATE(YEAR(TODAY()),MONTH(TODAY()),1))),1,0))</f>
        <v/>
      </c>
      <c r="Q255">
        <f>IF($A255="","",IF(AND($B255&gt;0,D255&lt;$B255,DATE($B$1,2,1)&lt;=TODAY(),OR($O255="",$O255&gt;=DATE($B$1,2,1)),OR(COUNTIF($C255:D255,"&gt;0")&gt;0,DATE($B$1,2,1)=DATE(YEAR(TODAY()),MONTH(TODAY()),1))),1,0))</f>
        <v/>
      </c>
      <c r="R255">
        <f>IF($A255="","",IF(AND($B255&gt;0,E255&lt;$B255,DATE($B$1,3,1)&lt;=TODAY(),OR($O255="",$O255&gt;=DATE($B$1,3,1)),OR(COUNTIF($C255:E255,"&gt;0")&gt;0,DATE($B$1,3,1)=DATE(YEAR(TODAY()),MONTH(TODAY()),1))),1,0))</f>
        <v/>
      </c>
      <c r="S255">
        <f>IF($A255="","",IF(AND($B255&gt;0,F255&lt;$B255,DATE($B$1,4,1)&lt;=TODAY(),OR($O255="",$O255&gt;=DATE($B$1,4,1)),OR(COUNTIF($C255:F255,"&gt;0")&gt;0,DATE($B$1,4,1)=DATE(YEAR(TODAY()),MONTH(TODAY()),1))),1,0))</f>
        <v/>
      </c>
      <c r="T255">
        <f>IF($A255="","",IF(AND($B255&gt;0,G255&lt;$B255,DATE($B$1,5,1)&lt;=TODAY(),OR($O255="",$O255&gt;=DATE($B$1,5,1)),OR(COUNTIF($C255:G255,"&gt;0")&gt;0,DATE($B$1,5,1)=DATE(YEAR(TODAY()),MONTH(TODAY()),1))),1,0))</f>
        <v/>
      </c>
      <c r="U255">
        <f>IF($A255="","",IF(AND($B255&gt;0,H255&lt;$B255,DATE($B$1,6,1)&lt;=TODAY(),OR($O255="",$O255&gt;=DATE($B$1,6,1)),OR(COUNTIF($C255:H255,"&gt;0")&gt;0,DATE($B$1,6,1)=DATE(YEAR(TODAY()),MONTH(TODAY()),1))),1,0))</f>
        <v/>
      </c>
      <c r="V255">
        <f>IF($A255="","",IF(AND($B255&gt;0,I255&lt;$B255,DATE($B$1,7,1)&lt;=TODAY(),OR($O255="",$O255&gt;=DATE($B$1,7,1)),OR(COUNTIF($C255:I255,"&gt;0")&gt;0,DATE($B$1,7,1)=DATE(YEAR(TODAY()),MONTH(TODAY()),1))),1,0))</f>
        <v/>
      </c>
      <c r="W255">
        <f>IF($A255="","",IF(AND($B255&gt;0,J255&lt;$B255,DATE($B$1,8,1)&lt;=TODAY(),OR($O255="",$O255&gt;=DATE($B$1,8,1)),OR(COUNTIF($C255:J255,"&gt;0")&gt;0,DATE($B$1,8,1)=DATE(YEAR(TODAY()),MONTH(TODAY()),1))),1,0))</f>
        <v/>
      </c>
      <c r="X255">
        <f>IF($A255="","",IF(AND($B255&gt;0,K255&lt;$B255,DATE($B$1,9,1)&lt;=TODAY(),OR($O255="",$O255&gt;=DATE($B$1,9,1)),OR(COUNTIF($C255:K255,"&gt;0")&gt;0,DATE($B$1,9,1)=DATE(YEAR(TODAY()),MONTH(TODAY()),1))),1,0))</f>
        <v/>
      </c>
      <c r="Y255">
        <f>IF($A255="","",IF(AND($B255&gt;0,L255&lt;$B255,DATE($B$1,10,1)&lt;=TODAY(),OR($O255="",$O255&gt;=DATE($B$1,10,1)),OR(COUNTIF($C255:L255,"&gt;0")&gt;0,DATE($B$1,10,1)=DATE(YEAR(TODAY()),MONTH(TODAY()),1))),1,0))</f>
        <v/>
      </c>
      <c r="Z255">
        <f>IF($A255="","",IF(AND($B255&gt;0,M255&lt;$B255,DATE($B$1,11,1)&lt;=TODAY(),OR($O255="",$O255&gt;=DATE($B$1,11,1)),OR(COUNTIF($C255:M255,"&gt;0")&gt;0,DATE($B$1,11,1)=DATE(YEAR(TODAY()),MONTH(TODAY()),1))),1,0))</f>
        <v/>
      </c>
      <c r="AA255">
        <f>IF($A255="","",IF(AND($B255&gt;0,N255&lt;$B255,DATE($B$1,12,1)&lt;=TODAY(),OR($O255="",$O255&gt;=DATE($B$1,12,1)),OR(COUNTIF($C255:N255,"&gt;0")&gt;0,DATE($B$1,12,1)=DATE(YEAR(TODAY()),MONTH(TODAY()),1))),1,0))</f>
        <v/>
      </c>
    </row>
    <row r="256">
      <c r="A256" s="13">
        <f>IF(원생!$A254="","",원생!$A254&amp;IF(원생!$G254="",""," ("&amp;원생!$G254&amp;")"))</f>
        <v/>
      </c>
      <c r="B256" s="8">
        <f>IF(원생!$A254="","",원생!$F254)</f>
        <v/>
      </c>
      <c r="C256" s="14">
        <f>IF(원생!$A254="","",SUMIFS(수납!$F:$F,수납!$C:$C,원생!$A254,수납!$D:$D,IF(원생!$G254="","",원생!$G254),수납!$B:$B,$B$1&amp;"-"&amp;TEXT(1,"00")&amp;"*",수납!$E:$E,"수강료")+SUMIFS(수납!$F:$F,수납!$C:$C,원생!$A254,수납!$D:$D,IF(원생!$G254="","",원생!$G254),수납!$B:$B,$B$1&amp;"-"&amp;TEXT(1,"00")&amp;"*",수납!$E:$E,""))</f>
        <v/>
      </c>
      <c r="D256" s="14">
        <f>IF(원생!$A254="","",SUMIFS(수납!$F:$F,수납!$C:$C,원생!$A254,수납!$D:$D,IF(원생!$G254="","",원생!$G254),수납!$B:$B,$B$1&amp;"-"&amp;TEXT(2,"00")&amp;"*",수납!$E:$E,"수강료")+SUMIFS(수납!$F:$F,수납!$C:$C,원생!$A254,수납!$D:$D,IF(원생!$G254="","",원생!$G254),수납!$B:$B,$B$1&amp;"-"&amp;TEXT(2,"00")&amp;"*",수납!$E:$E,""))</f>
        <v/>
      </c>
      <c r="E256" s="14">
        <f>IF(원생!$A254="","",SUMIFS(수납!$F:$F,수납!$C:$C,원생!$A254,수납!$D:$D,IF(원생!$G254="","",원생!$G254),수납!$B:$B,$B$1&amp;"-"&amp;TEXT(3,"00")&amp;"*",수납!$E:$E,"수강료")+SUMIFS(수납!$F:$F,수납!$C:$C,원생!$A254,수납!$D:$D,IF(원생!$G254="","",원생!$G254),수납!$B:$B,$B$1&amp;"-"&amp;TEXT(3,"00")&amp;"*",수납!$E:$E,""))</f>
        <v/>
      </c>
      <c r="F256" s="14">
        <f>IF(원생!$A254="","",SUMIFS(수납!$F:$F,수납!$C:$C,원생!$A254,수납!$D:$D,IF(원생!$G254="","",원생!$G254),수납!$B:$B,$B$1&amp;"-"&amp;TEXT(4,"00")&amp;"*",수납!$E:$E,"수강료")+SUMIFS(수납!$F:$F,수납!$C:$C,원생!$A254,수납!$D:$D,IF(원생!$G254="","",원생!$G254),수납!$B:$B,$B$1&amp;"-"&amp;TEXT(4,"00")&amp;"*",수납!$E:$E,""))</f>
        <v/>
      </c>
      <c r="G256" s="14">
        <f>IF(원생!$A254="","",SUMIFS(수납!$F:$F,수납!$C:$C,원생!$A254,수납!$D:$D,IF(원생!$G254="","",원생!$G254),수납!$B:$B,$B$1&amp;"-"&amp;TEXT(5,"00")&amp;"*",수납!$E:$E,"수강료")+SUMIFS(수납!$F:$F,수납!$C:$C,원생!$A254,수납!$D:$D,IF(원생!$G254="","",원생!$G254),수납!$B:$B,$B$1&amp;"-"&amp;TEXT(5,"00")&amp;"*",수납!$E:$E,""))</f>
        <v/>
      </c>
      <c r="H256" s="14">
        <f>IF(원생!$A254="","",SUMIFS(수납!$F:$F,수납!$C:$C,원생!$A254,수납!$D:$D,IF(원생!$G254="","",원생!$G254),수납!$B:$B,$B$1&amp;"-"&amp;TEXT(6,"00")&amp;"*",수납!$E:$E,"수강료")+SUMIFS(수납!$F:$F,수납!$C:$C,원생!$A254,수납!$D:$D,IF(원생!$G254="","",원생!$G254),수납!$B:$B,$B$1&amp;"-"&amp;TEXT(6,"00")&amp;"*",수납!$E:$E,""))</f>
        <v/>
      </c>
      <c r="I256" s="14">
        <f>IF(원생!$A254="","",SUMIFS(수납!$F:$F,수납!$C:$C,원생!$A254,수납!$D:$D,IF(원생!$G254="","",원생!$G254),수납!$B:$B,$B$1&amp;"-"&amp;TEXT(7,"00")&amp;"*",수납!$E:$E,"수강료")+SUMIFS(수납!$F:$F,수납!$C:$C,원생!$A254,수납!$D:$D,IF(원생!$G254="","",원생!$G254),수납!$B:$B,$B$1&amp;"-"&amp;TEXT(7,"00")&amp;"*",수납!$E:$E,""))</f>
        <v/>
      </c>
      <c r="J256" s="14">
        <f>IF(원생!$A254="","",SUMIFS(수납!$F:$F,수납!$C:$C,원생!$A254,수납!$D:$D,IF(원생!$G254="","",원생!$G254),수납!$B:$B,$B$1&amp;"-"&amp;TEXT(8,"00")&amp;"*",수납!$E:$E,"수강료")+SUMIFS(수납!$F:$F,수납!$C:$C,원생!$A254,수납!$D:$D,IF(원생!$G254="","",원생!$G254),수납!$B:$B,$B$1&amp;"-"&amp;TEXT(8,"00")&amp;"*",수납!$E:$E,""))</f>
        <v/>
      </c>
      <c r="K256" s="14">
        <f>IF(원생!$A254="","",SUMIFS(수납!$F:$F,수납!$C:$C,원생!$A254,수납!$D:$D,IF(원생!$G254="","",원생!$G254),수납!$B:$B,$B$1&amp;"-"&amp;TEXT(9,"00")&amp;"*",수납!$E:$E,"수강료")+SUMIFS(수납!$F:$F,수납!$C:$C,원생!$A254,수납!$D:$D,IF(원생!$G254="","",원생!$G254),수납!$B:$B,$B$1&amp;"-"&amp;TEXT(9,"00")&amp;"*",수납!$E:$E,""))</f>
        <v/>
      </c>
      <c r="L256" s="14">
        <f>IF(원생!$A254="","",SUMIFS(수납!$F:$F,수납!$C:$C,원생!$A254,수납!$D:$D,IF(원생!$G254="","",원생!$G254),수납!$B:$B,$B$1&amp;"-"&amp;TEXT(10,"00")&amp;"*",수납!$E:$E,"수강료")+SUMIFS(수납!$F:$F,수납!$C:$C,원생!$A254,수납!$D:$D,IF(원생!$G254="","",원생!$G254),수납!$B:$B,$B$1&amp;"-"&amp;TEXT(10,"00")&amp;"*",수납!$E:$E,""))</f>
        <v/>
      </c>
      <c r="M256" s="14">
        <f>IF(원생!$A254="","",SUMIFS(수납!$F:$F,수납!$C:$C,원생!$A254,수납!$D:$D,IF(원생!$G254="","",원생!$G254),수납!$B:$B,$B$1&amp;"-"&amp;TEXT(11,"00")&amp;"*",수납!$E:$E,"수강료")+SUMIFS(수납!$F:$F,수납!$C:$C,원생!$A254,수납!$D:$D,IF(원생!$G254="","",원생!$G254),수납!$B:$B,$B$1&amp;"-"&amp;TEXT(11,"00")&amp;"*",수납!$E:$E,""))</f>
        <v/>
      </c>
      <c r="N256" s="14">
        <f>IF(원생!$A254="","",SUMIFS(수납!$F:$F,수납!$C:$C,원생!$A254,수납!$D:$D,IF(원생!$G254="","",원생!$G254),수납!$B:$B,$B$1&amp;"-"&amp;TEXT(12,"00")&amp;"*",수납!$E:$E,"수강료")+SUMIFS(수납!$F:$F,수납!$C:$C,원생!$A254,수납!$D:$D,IF(원생!$G254="","",원생!$G254),수납!$B:$B,$B$1&amp;"-"&amp;TEXT(12,"00")&amp;"*",수납!$E:$E,""))</f>
        <v/>
      </c>
      <c r="O256">
        <f>IF(원생!$I254="","",원생!$I254)</f>
        <v/>
      </c>
      <c r="P256">
        <f>IF($A256="","",IF(AND($B256&gt;0,C256&lt;$B256,DATE($B$1,1,1)&lt;=TODAY(),OR($O256="",$O256&gt;=DATE($B$1,1,1)),OR(COUNTIF($C256:C256,"&gt;0")&gt;0,DATE($B$1,1,1)=DATE(YEAR(TODAY()),MONTH(TODAY()),1))),1,0))</f>
        <v/>
      </c>
      <c r="Q256">
        <f>IF($A256="","",IF(AND($B256&gt;0,D256&lt;$B256,DATE($B$1,2,1)&lt;=TODAY(),OR($O256="",$O256&gt;=DATE($B$1,2,1)),OR(COUNTIF($C256:D256,"&gt;0")&gt;0,DATE($B$1,2,1)=DATE(YEAR(TODAY()),MONTH(TODAY()),1))),1,0))</f>
        <v/>
      </c>
      <c r="R256">
        <f>IF($A256="","",IF(AND($B256&gt;0,E256&lt;$B256,DATE($B$1,3,1)&lt;=TODAY(),OR($O256="",$O256&gt;=DATE($B$1,3,1)),OR(COUNTIF($C256:E256,"&gt;0")&gt;0,DATE($B$1,3,1)=DATE(YEAR(TODAY()),MONTH(TODAY()),1))),1,0))</f>
        <v/>
      </c>
      <c r="S256">
        <f>IF($A256="","",IF(AND($B256&gt;0,F256&lt;$B256,DATE($B$1,4,1)&lt;=TODAY(),OR($O256="",$O256&gt;=DATE($B$1,4,1)),OR(COUNTIF($C256:F256,"&gt;0")&gt;0,DATE($B$1,4,1)=DATE(YEAR(TODAY()),MONTH(TODAY()),1))),1,0))</f>
        <v/>
      </c>
      <c r="T256">
        <f>IF($A256="","",IF(AND($B256&gt;0,G256&lt;$B256,DATE($B$1,5,1)&lt;=TODAY(),OR($O256="",$O256&gt;=DATE($B$1,5,1)),OR(COUNTIF($C256:G256,"&gt;0")&gt;0,DATE($B$1,5,1)=DATE(YEAR(TODAY()),MONTH(TODAY()),1))),1,0))</f>
        <v/>
      </c>
      <c r="U256">
        <f>IF($A256="","",IF(AND($B256&gt;0,H256&lt;$B256,DATE($B$1,6,1)&lt;=TODAY(),OR($O256="",$O256&gt;=DATE($B$1,6,1)),OR(COUNTIF($C256:H256,"&gt;0")&gt;0,DATE($B$1,6,1)=DATE(YEAR(TODAY()),MONTH(TODAY()),1))),1,0))</f>
        <v/>
      </c>
      <c r="V256">
        <f>IF($A256="","",IF(AND($B256&gt;0,I256&lt;$B256,DATE($B$1,7,1)&lt;=TODAY(),OR($O256="",$O256&gt;=DATE($B$1,7,1)),OR(COUNTIF($C256:I256,"&gt;0")&gt;0,DATE($B$1,7,1)=DATE(YEAR(TODAY()),MONTH(TODAY()),1))),1,0))</f>
        <v/>
      </c>
      <c r="W256">
        <f>IF($A256="","",IF(AND($B256&gt;0,J256&lt;$B256,DATE($B$1,8,1)&lt;=TODAY(),OR($O256="",$O256&gt;=DATE($B$1,8,1)),OR(COUNTIF($C256:J256,"&gt;0")&gt;0,DATE($B$1,8,1)=DATE(YEAR(TODAY()),MONTH(TODAY()),1))),1,0))</f>
        <v/>
      </c>
      <c r="X256">
        <f>IF($A256="","",IF(AND($B256&gt;0,K256&lt;$B256,DATE($B$1,9,1)&lt;=TODAY(),OR($O256="",$O256&gt;=DATE($B$1,9,1)),OR(COUNTIF($C256:K256,"&gt;0")&gt;0,DATE($B$1,9,1)=DATE(YEAR(TODAY()),MONTH(TODAY()),1))),1,0))</f>
        <v/>
      </c>
      <c r="Y256">
        <f>IF($A256="","",IF(AND($B256&gt;0,L256&lt;$B256,DATE($B$1,10,1)&lt;=TODAY(),OR($O256="",$O256&gt;=DATE($B$1,10,1)),OR(COUNTIF($C256:L256,"&gt;0")&gt;0,DATE($B$1,10,1)=DATE(YEAR(TODAY()),MONTH(TODAY()),1))),1,0))</f>
        <v/>
      </c>
      <c r="Z256">
        <f>IF($A256="","",IF(AND($B256&gt;0,M256&lt;$B256,DATE($B$1,11,1)&lt;=TODAY(),OR($O256="",$O256&gt;=DATE($B$1,11,1)),OR(COUNTIF($C256:M256,"&gt;0")&gt;0,DATE($B$1,11,1)=DATE(YEAR(TODAY()),MONTH(TODAY()),1))),1,0))</f>
        <v/>
      </c>
      <c r="AA256">
        <f>IF($A256="","",IF(AND($B256&gt;0,N256&lt;$B256,DATE($B$1,12,1)&lt;=TODAY(),OR($O256="",$O256&gt;=DATE($B$1,12,1)),OR(COUNTIF($C256:N256,"&gt;0")&gt;0,DATE($B$1,12,1)=DATE(YEAR(TODAY()),MONTH(TODAY()),1))),1,0))</f>
        <v/>
      </c>
    </row>
    <row r="257">
      <c r="A257" s="13">
        <f>IF(원생!$A255="","",원생!$A255&amp;IF(원생!$G255="",""," ("&amp;원생!$G255&amp;")"))</f>
        <v/>
      </c>
      <c r="B257" s="8">
        <f>IF(원생!$A255="","",원생!$F255)</f>
        <v/>
      </c>
      <c r="C257" s="14">
        <f>IF(원생!$A255="","",SUMIFS(수납!$F:$F,수납!$C:$C,원생!$A255,수납!$D:$D,IF(원생!$G255="","",원생!$G255),수납!$B:$B,$B$1&amp;"-"&amp;TEXT(1,"00")&amp;"*",수납!$E:$E,"수강료")+SUMIFS(수납!$F:$F,수납!$C:$C,원생!$A255,수납!$D:$D,IF(원생!$G255="","",원생!$G255),수납!$B:$B,$B$1&amp;"-"&amp;TEXT(1,"00")&amp;"*",수납!$E:$E,""))</f>
        <v/>
      </c>
      <c r="D257" s="14">
        <f>IF(원생!$A255="","",SUMIFS(수납!$F:$F,수납!$C:$C,원생!$A255,수납!$D:$D,IF(원생!$G255="","",원생!$G255),수납!$B:$B,$B$1&amp;"-"&amp;TEXT(2,"00")&amp;"*",수납!$E:$E,"수강료")+SUMIFS(수납!$F:$F,수납!$C:$C,원생!$A255,수납!$D:$D,IF(원생!$G255="","",원생!$G255),수납!$B:$B,$B$1&amp;"-"&amp;TEXT(2,"00")&amp;"*",수납!$E:$E,""))</f>
        <v/>
      </c>
      <c r="E257" s="14">
        <f>IF(원생!$A255="","",SUMIFS(수납!$F:$F,수납!$C:$C,원생!$A255,수납!$D:$D,IF(원생!$G255="","",원생!$G255),수납!$B:$B,$B$1&amp;"-"&amp;TEXT(3,"00")&amp;"*",수납!$E:$E,"수강료")+SUMIFS(수납!$F:$F,수납!$C:$C,원생!$A255,수납!$D:$D,IF(원생!$G255="","",원생!$G255),수납!$B:$B,$B$1&amp;"-"&amp;TEXT(3,"00")&amp;"*",수납!$E:$E,""))</f>
        <v/>
      </c>
      <c r="F257" s="14">
        <f>IF(원생!$A255="","",SUMIFS(수납!$F:$F,수납!$C:$C,원생!$A255,수납!$D:$D,IF(원생!$G255="","",원생!$G255),수납!$B:$B,$B$1&amp;"-"&amp;TEXT(4,"00")&amp;"*",수납!$E:$E,"수강료")+SUMIFS(수납!$F:$F,수납!$C:$C,원생!$A255,수납!$D:$D,IF(원생!$G255="","",원생!$G255),수납!$B:$B,$B$1&amp;"-"&amp;TEXT(4,"00")&amp;"*",수납!$E:$E,""))</f>
        <v/>
      </c>
      <c r="G257" s="14">
        <f>IF(원생!$A255="","",SUMIFS(수납!$F:$F,수납!$C:$C,원생!$A255,수납!$D:$D,IF(원생!$G255="","",원생!$G255),수납!$B:$B,$B$1&amp;"-"&amp;TEXT(5,"00")&amp;"*",수납!$E:$E,"수강료")+SUMIFS(수납!$F:$F,수납!$C:$C,원생!$A255,수납!$D:$D,IF(원생!$G255="","",원생!$G255),수납!$B:$B,$B$1&amp;"-"&amp;TEXT(5,"00")&amp;"*",수납!$E:$E,""))</f>
        <v/>
      </c>
      <c r="H257" s="14">
        <f>IF(원생!$A255="","",SUMIFS(수납!$F:$F,수납!$C:$C,원생!$A255,수납!$D:$D,IF(원생!$G255="","",원생!$G255),수납!$B:$B,$B$1&amp;"-"&amp;TEXT(6,"00")&amp;"*",수납!$E:$E,"수강료")+SUMIFS(수납!$F:$F,수납!$C:$C,원생!$A255,수납!$D:$D,IF(원생!$G255="","",원생!$G255),수납!$B:$B,$B$1&amp;"-"&amp;TEXT(6,"00")&amp;"*",수납!$E:$E,""))</f>
        <v/>
      </c>
      <c r="I257" s="14">
        <f>IF(원생!$A255="","",SUMIFS(수납!$F:$F,수납!$C:$C,원생!$A255,수납!$D:$D,IF(원생!$G255="","",원생!$G255),수납!$B:$B,$B$1&amp;"-"&amp;TEXT(7,"00")&amp;"*",수납!$E:$E,"수강료")+SUMIFS(수납!$F:$F,수납!$C:$C,원생!$A255,수납!$D:$D,IF(원생!$G255="","",원생!$G255),수납!$B:$B,$B$1&amp;"-"&amp;TEXT(7,"00")&amp;"*",수납!$E:$E,""))</f>
        <v/>
      </c>
      <c r="J257" s="14">
        <f>IF(원생!$A255="","",SUMIFS(수납!$F:$F,수납!$C:$C,원생!$A255,수납!$D:$D,IF(원생!$G255="","",원생!$G255),수납!$B:$B,$B$1&amp;"-"&amp;TEXT(8,"00")&amp;"*",수납!$E:$E,"수강료")+SUMIFS(수납!$F:$F,수납!$C:$C,원생!$A255,수납!$D:$D,IF(원생!$G255="","",원생!$G255),수납!$B:$B,$B$1&amp;"-"&amp;TEXT(8,"00")&amp;"*",수납!$E:$E,""))</f>
        <v/>
      </c>
      <c r="K257" s="14">
        <f>IF(원생!$A255="","",SUMIFS(수납!$F:$F,수납!$C:$C,원생!$A255,수납!$D:$D,IF(원생!$G255="","",원생!$G255),수납!$B:$B,$B$1&amp;"-"&amp;TEXT(9,"00")&amp;"*",수납!$E:$E,"수강료")+SUMIFS(수납!$F:$F,수납!$C:$C,원생!$A255,수납!$D:$D,IF(원생!$G255="","",원생!$G255),수납!$B:$B,$B$1&amp;"-"&amp;TEXT(9,"00")&amp;"*",수납!$E:$E,""))</f>
        <v/>
      </c>
      <c r="L257" s="14">
        <f>IF(원생!$A255="","",SUMIFS(수납!$F:$F,수납!$C:$C,원생!$A255,수납!$D:$D,IF(원생!$G255="","",원생!$G255),수납!$B:$B,$B$1&amp;"-"&amp;TEXT(10,"00")&amp;"*",수납!$E:$E,"수강료")+SUMIFS(수납!$F:$F,수납!$C:$C,원생!$A255,수납!$D:$D,IF(원생!$G255="","",원생!$G255),수납!$B:$B,$B$1&amp;"-"&amp;TEXT(10,"00")&amp;"*",수납!$E:$E,""))</f>
        <v/>
      </c>
      <c r="M257" s="14">
        <f>IF(원생!$A255="","",SUMIFS(수납!$F:$F,수납!$C:$C,원생!$A255,수납!$D:$D,IF(원생!$G255="","",원생!$G255),수납!$B:$B,$B$1&amp;"-"&amp;TEXT(11,"00")&amp;"*",수납!$E:$E,"수강료")+SUMIFS(수납!$F:$F,수납!$C:$C,원생!$A255,수납!$D:$D,IF(원생!$G255="","",원생!$G255),수납!$B:$B,$B$1&amp;"-"&amp;TEXT(11,"00")&amp;"*",수납!$E:$E,""))</f>
        <v/>
      </c>
      <c r="N257" s="14">
        <f>IF(원생!$A255="","",SUMIFS(수납!$F:$F,수납!$C:$C,원생!$A255,수납!$D:$D,IF(원생!$G255="","",원생!$G255),수납!$B:$B,$B$1&amp;"-"&amp;TEXT(12,"00")&amp;"*",수납!$E:$E,"수강료")+SUMIFS(수납!$F:$F,수납!$C:$C,원생!$A255,수납!$D:$D,IF(원생!$G255="","",원생!$G255),수납!$B:$B,$B$1&amp;"-"&amp;TEXT(12,"00")&amp;"*",수납!$E:$E,""))</f>
        <v/>
      </c>
      <c r="O257">
        <f>IF(원생!$I255="","",원생!$I255)</f>
        <v/>
      </c>
      <c r="P257">
        <f>IF($A257="","",IF(AND($B257&gt;0,C257&lt;$B257,DATE($B$1,1,1)&lt;=TODAY(),OR($O257="",$O257&gt;=DATE($B$1,1,1)),OR(COUNTIF($C257:C257,"&gt;0")&gt;0,DATE($B$1,1,1)=DATE(YEAR(TODAY()),MONTH(TODAY()),1))),1,0))</f>
        <v/>
      </c>
      <c r="Q257">
        <f>IF($A257="","",IF(AND($B257&gt;0,D257&lt;$B257,DATE($B$1,2,1)&lt;=TODAY(),OR($O257="",$O257&gt;=DATE($B$1,2,1)),OR(COUNTIF($C257:D257,"&gt;0")&gt;0,DATE($B$1,2,1)=DATE(YEAR(TODAY()),MONTH(TODAY()),1))),1,0))</f>
        <v/>
      </c>
      <c r="R257">
        <f>IF($A257="","",IF(AND($B257&gt;0,E257&lt;$B257,DATE($B$1,3,1)&lt;=TODAY(),OR($O257="",$O257&gt;=DATE($B$1,3,1)),OR(COUNTIF($C257:E257,"&gt;0")&gt;0,DATE($B$1,3,1)=DATE(YEAR(TODAY()),MONTH(TODAY()),1))),1,0))</f>
        <v/>
      </c>
      <c r="S257">
        <f>IF($A257="","",IF(AND($B257&gt;0,F257&lt;$B257,DATE($B$1,4,1)&lt;=TODAY(),OR($O257="",$O257&gt;=DATE($B$1,4,1)),OR(COUNTIF($C257:F257,"&gt;0")&gt;0,DATE($B$1,4,1)=DATE(YEAR(TODAY()),MONTH(TODAY()),1))),1,0))</f>
        <v/>
      </c>
      <c r="T257">
        <f>IF($A257="","",IF(AND($B257&gt;0,G257&lt;$B257,DATE($B$1,5,1)&lt;=TODAY(),OR($O257="",$O257&gt;=DATE($B$1,5,1)),OR(COUNTIF($C257:G257,"&gt;0")&gt;0,DATE($B$1,5,1)=DATE(YEAR(TODAY()),MONTH(TODAY()),1))),1,0))</f>
        <v/>
      </c>
      <c r="U257">
        <f>IF($A257="","",IF(AND($B257&gt;0,H257&lt;$B257,DATE($B$1,6,1)&lt;=TODAY(),OR($O257="",$O257&gt;=DATE($B$1,6,1)),OR(COUNTIF($C257:H257,"&gt;0")&gt;0,DATE($B$1,6,1)=DATE(YEAR(TODAY()),MONTH(TODAY()),1))),1,0))</f>
        <v/>
      </c>
      <c r="V257">
        <f>IF($A257="","",IF(AND($B257&gt;0,I257&lt;$B257,DATE($B$1,7,1)&lt;=TODAY(),OR($O257="",$O257&gt;=DATE($B$1,7,1)),OR(COUNTIF($C257:I257,"&gt;0")&gt;0,DATE($B$1,7,1)=DATE(YEAR(TODAY()),MONTH(TODAY()),1))),1,0))</f>
        <v/>
      </c>
      <c r="W257">
        <f>IF($A257="","",IF(AND($B257&gt;0,J257&lt;$B257,DATE($B$1,8,1)&lt;=TODAY(),OR($O257="",$O257&gt;=DATE($B$1,8,1)),OR(COUNTIF($C257:J257,"&gt;0")&gt;0,DATE($B$1,8,1)=DATE(YEAR(TODAY()),MONTH(TODAY()),1))),1,0))</f>
        <v/>
      </c>
      <c r="X257">
        <f>IF($A257="","",IF(AND($B257&gt;0,K257&lt;$B257,DATE($B$1,9,1)&lt;=TODAY(),OR($O257="",$O257&gt;=DATE($B$1,9,1)),OR(COUNTIF($C257:K257,"&gt;0")&gt;0,DATE($B$1,9,1)=DATE(YEAR(TODAY()),MONTH(TODAY()),1))),1,0))</f>
        <v/>
      </c>
      <c r="Y257">
        <f>IF($A257="","",IF(AND($B257&gt;0,L257&lt;$B257,DATE($B$1,10,1)&lt;=TODAY(),OR($O257="",$O257&gt;=DATE($B$1,10,1)),OR(COUNTIF($C257:L257,"&gt;0")&gt;0,DATE($B$1,10,1)=DATE(YEAR(TODAY()),MONTH(TODAY()),1))),1,0))</f>
        <v/>
      </c>
      <c r="Z257">
        <f>IF($A257="","",IF(AND($B257&gt;0,M257&lt;$B257,DATE($B$1,11,1)&lt;=TODAY(),OR($O257="",$O257&gt;=DATE($B$1,11,1)),OR(COUNTIF($C257:M257,"&gt;0")&gt;0,DATE($B$1,11,1)=DATE(YEAR(TODAY()),MONTH(TODAY()),1))),1,0))</f>
        <v/>
      </c>
      <c r="AA257">
        <f>IF($A257="","",IF(AND($B257&gt;0,N257&lt;$B257,DATE($B$1,12,1)&lt;=TODAY(),OR($O257="",$O257&gt;=DATE($B$1,12,1)),OR(COUNTIF($C257:N257,"&gt;0")&gt;0,DATE($B$1,12,1)=DATE(YEAR(TODAY()),MONTH(TODAY()),1))),1,0))</f>
        <v/>
      </c>
    </row>
    <row r="258">
      <c r="A258" s="13">
        <f>IF(원생!$A256="","",원생!$A256&amp;IF(원생!$G256="",""," ("&amp;원생!$G256&amp;")"))</f>
        <v/>
      </c>
      <c r="B258" s="8">
        <f>IF(원생!$A256="","",원생!$F256)</f>
        <v/>
      </c>
      <c r="C258" s="14">
        <f>IF(원생!$A256="","",SUMIFS(수납!$F:$F,수납!$C:$C,원생!$A256,수납!$D:$D,IF(원생!$G256="","",원생!$G256),수납!$B:$B,$B$1&amp;"-"&amp;TEXT(1,"00")&amp;"*",수납!$E:$E,"수강료")+SUMIFS(수납!$F:$F,수납!$C:$C,원생!$A256,수납!$D:$D,IF(원생!$G256="","",원생!$G256),수납!$B:$B,$B$1&amp;"-"&amp;TEXT(1,"00")&amp;"*",수납!$E:$E,""))</f>
        <v/>
      </c>
      <c r="D258" s="14">
        <f>IF(원생!$A256="","",SUMIFS(수납!$F:$F,수납!$C:$C,원생!$A256,수납!$D:$D,IF(원생!$G256="","",원생!$G256),수납!$B:$B,$B$1&amp;"-"&amp;TEXT(2,"00")&amp;"*",수납!$E:$E,"수강료")+SUMIFS(수납!$F:$F,수납!$C:$C,원생!$A256,수납!$D:$D,IF(원생!$G256="","",원생!$G256),수납!$B:$B,$B$1&amp;"-"&amp;TEXT(2,"00")&amp;"*",수납!$E:$E,""))</f>
        <v/>
      </c>
      <c r="E258" s="14">
        <f>IF(원생!$A256="","",SUMIFS(수납!$F:$F,수납!$C:$C,원생!$A256,수납!$D:$D,IF(원생!$G256="","",원생!$G256),수납!$B:$B,$B$1&amp;"-"&amp;TEXT(3,"00")&amp;"*",수납!$E:$E,"수강료")+SUMIFS(수납!$F:$F,수납!$C:$C,원생!$A256,수납!$D:$D,IF(원생!$G256="","",원생!$G256),수납!$B:$B,$B$1&amp;"-"&amp;TEXT(3,"00")&amp;"*",수납!$E:$E,""))</f>
        <v/>
      </c>
      <c r="F258" s="14">
        <f>IF(원생!$A256="","",SUMIFS(수납!$F:$F,수납!$C:$C,원생!$A256,수납!$D:$D,IF(원생!$G256="","",원생!$G256),수납!$B:$B,$B$1&amp;"-"&amp;TEXT(4,"00")&amp;"*",수납!$E:$E,"수강료")+SUMIFS(수납!$F:$F,수납!$C:$C,원생!$A256,수납!$D:$D,IF(원생!$G256="","",원생!$G256),수납!$B:$B,$B$1&amp;"-"&amp;TEXT(4,"00")&amp;"*",수납!$E:$E,""))</f>
        <v/>
      </c>
      <c r="G258" s="14">
        <f>IF(원생!$A256="","",SUMIFS(수납!$F:$F,수납!$C:$C,원생!$A256,수납!$D:$D,IF(원생!$G256="","",원생!$G256),수납!$B:$B,$B$1&amp;"-"&amp;TEXT(5,"00")&amp;"*",수납!$E:$E,"수강료")+SUMIFS(수납!$F:$F,수납!$C:$C,원생!$A256,수납!$D:$D,IF(원생!$G256="","",원생!$G256),수납!$B:$B,$B$1&amp;"-"&amp;TEXT(5,"00")&amp;"*",수납!$E:$E,""))</f>
        <v/>
      </c>
      <c r="H258" s="14">
        <f>IF(원생!$A256="","",SUMIFS(수납!$F:$F,수납!$C:$C,원생!$A256,수납!$D:$D,IF(원생!$G256="","",원생!$G256),수납!$B:$B,$B$1&amp;"-"&amp;TEXT(6,"00")&amp;"*",수납!$E:$E,"수강료")+SUMIFS(수납!$F:$F,수납!$C:$C,원생!$A256,수납!$D:$D,IF(원생!$G256="","",원생!$G256),수납!$B:$B,$B$1&amp;"-"&amp;TEXT(6,"00")&amp;"*",수납!$E:$E,""))</f>
        <v/>
      </c>
      <c r="I258" s="14">
        <f>IF(원생!$A256="","",SUMIFS(수납!$F:$F,수납!$C:$C,원생!$A256,수납!$D:$D,IF(원생!$G256="","",원생!$G256),수납!$B:$B,$B$1&amp;"-"&amp;TEXT(7,"00")&amp;"*",수납!$E:$E,"수강료")+SUMIFS(수납!$F:$F,수납!$C:$C,원생!$A256,수납!$D:$D,IF(원생!$G256="","",원생!$G256),수납!$B:$B,$B$1&amp;"-"&amp;TEXT(7,"00")&amp;"*",수납!$E:$E,""))</f>
        <v/>
      </c>
      <c r="J258" s="14">
        <f>IF(원생!$A256="","",SUMIFS(수납!$F:$F,수납!$C:$C,원생!$A256,수납!$D:$D,IF(원생!$G256="","",원생!$G256),수납!$B:$B,$B$1&amp;"-"&amp;TEXT(8,"00")&amp;"*",수납!$E:$E,"수강료")+SUMIFS(수납!$F:$F,수납!$C:$C,원생!$A256,수납!$D:$D,IF(원생!$G256="","",원생!$G256),수납!$B:$B,$B$1&amp;"-"&amp;TEXT(8,"00")&amp;"*",수납!$E:$E,""))</f>
        <v/>
      </c>
      <c r="K258" s="14">
        <f>IF(원생!$A256="","",SUMIFS(수납!$F:$F,수납!$C:$C,원생!$A256,수납!$D:$D,IF(원생!$G256="","",원생!$G256),수납!$B:$B,$B$1&amp;"-"&amp;TEXT(9,"00")&amp;"*",수납!$E:$E,"수강료")+SUMIFS(수납!$F:$F,수납!$C:$C,원생!$A256,수납!$D:$D,IF(원생!$G256="","",원생!$G256),수납!$B:$B,$B$1&amp;"-"&amp;TEXT(9,"00")&amp;"*",수납!$E:$E,""))</f>
        <v/>
      </c>
      <c r="L258" s="14">
        <f>IF(원생!$A256="","",SUMIFS(수납!$F:$F,수납!$C:$C,원생!$A256,수납!$D:$D,IF(원생!$G256="","",원생!$G256),수납!$B:$B,$B$1&amp;"-"&amp;TEXT(10,"00")&amp;"*",수납!$E:$E,"수강료")+SUMIFS(수납!$F:$F,수납!$C:$C,원생!$A256,수납!$D:$D,IF(원생!$G256="","",원생!$G256),수납!$B:$B,$B$1&amp;"-"&amp;TEXT(10,"00")&amp;"*",수납!$E:$E,""))</f>
        <v/>
      </c>
      <c r="M258" s="14">
        <f>IF(원생!$A256="","",SUMIFS(수납!$F:$F,수납!$C:$C,원생!$A256,수납!$D:$D,IF(원생!$G256="","",원생!$G256),수납!$B:$B,$B$1&amp;"-"&amp;TEXT(11,"00")&amp;"*",수납!$E:$E,"수강료")+SUMIFS(수납!$F:$F,수납!$C:$C,원생!$A256,수납!$D:$D,IF(원생!$G256="","",원생!$G256),수납!$B:$B,$B$1&amp;"-"&amp;TEXT(11,"00")&amp;"*",수납!$E:$E,""))</f>
        <v/>
      </c>
      <c r="N258" s="14">
        <f>IF(원생!$A256="","",SUMIFS(수납!$F:$F,수납!$C:$C,원생!$A256,수납!$D:$D,IF(원생!$G256="","",원생!$G256),수납!$B:$B,$B$1&amp;"-"&amp;TEXT(12,"00")&amp;"*",수납!$E:$E,"수강료")+SUMIFS(수납!$F:$F,수납!$C:$C,원생!$A256,수납!$D:$D,IF(원생!$G256="","",원생!$G256),수납!$B:$B,$B$1&amp;"-"&amp;TEXT(12,"00")&amp;"*",수납!$E:$E,""))</f>
        <v/>
      </c>
      <c r="O258">
        <f>IF(원생!$I256="","",원생!$I256)</f>
        <v/>
      </c>
      <c r="P258">
        <f>IF($A258="","",IF(AND($B258&gt;0,C258&lt;$B258,DATE($B$1,1,1)&lt;=TODAY(),OR($O258="",$O258&gt;=DATE($B$1,1,1)),OR(COUNTIF($C258:C258,"&gt;0")&gt;0,DATE($B$1,1,1)=DATE(YEAR(TODAY()),MONTH(TODAY()),1))),1,0))</f>
        <v/>
      </c>
      <c r="Q258">
        <f>IF($A258="","",IF(AND($B258&gt;0,D258&lt;$B258,DATE($B$1,2,1)&lt;=TODAY(),OR($O258="",$O258&gt;=DATE($B$1,2,1)),OR(COUNTIF($C258:D258,"&gt;0")&gt;0,DATE($B$1,2,1)=DATE(YEAR(TODAY()),MONTH(TODAY()),1))),1,0))</f>
        <v/>
      </c>
      <c r="R258">
        <f>IF($A258="","",IF(AND($B258&gt;0,E258&lt;$B258,DATE($B$1,3,1)&lt;=TODAY(),OR($O258="",$O258&gt;=DATE($B$1,3,1)),OR(COUNTIF($C258:E258,"&gt;0")&gt;0,DATE($B$1,3,1)=DATE(YEAR(TODAY()),MONTH(TODAY()),1))),1,0))</f>
        <v/>
      </c>
      <c r="S258">
        <f>IF($A258="","",IF(AND($B258&gt;0,F258&lt;$B258,DATE($B$1,4,1)&lt;=TODAY(),OR($O258="",$O258&gt;=DATE($B$1,4,1)),OR(COUNTIF($C258:F258,"&gt;0")&gt;0,DATE($B$1,4,1)=DATE(YEAR(TODAY()),MONTH(TODAY()),1))),1,0))</f>
        <v/>
      </c>
      <c r="T258">
        <f>IF($A258="","",IF(AND($B258&gt;0,G258&lt;$B258,DATE($B$1,5,1)&lt;=TODAY(),OR($O258="",$O258&gt;=DATE($B$1,5,1)),OR(COUNTIF($C258:G258,"&gt;0")&gt;0,DATE($B$1,5,1)=DATE(YEAR(TODAY()),MONTH(TODAY()),1))),1,0))</f>
        <v/>
      </c>
      <c r="U258">
        <f>IF($A258="","",IF(AND($B258&gt;0,H258&lt;$B258,DATE($B$1,6,1)&lt;=TODAY(),OR($O258="",$O258&gt;=DATE($B$1,6,1)),OR(COUNTIF($C258:H258,"&gt;0")&gt;0,DATE($B$1,6,1)=DATE(YEAR(TODAY()),MONTH(TODAY()),1))),1,0))</f>
        <v/>
      </c>
      <c r="V258">
        <f>IF($A258="","",IF(AND($B258&gt;0,I258&lt;$B258,DATE($B$1,7,1)&lt;=TODAY(),OR($O258="",$O258&gt;=DATE($B$1,7,1)),OR(COUNTIF($C258:I258,"&gt;0")&gt;0,DATE($B$1,7,1)=DATE(YEAR(TODAY()),MONTH(TODAY()),1))),1,0))</f>
        <v/>
      </c>
      <c r="W258">
        <f>IF($A258="","",IF(AND($B258&gt;0,J258&lt;$B258,DATE($B$1,8,1)&lt;=TODAY(),OR($O258="",$O258&gt;=DATE($B$1,8,1)),OR(COUNTIF($C258:J258,"&gt;0")&gt;0,DATE($B$1,8,1)=DATE(YEAR(TODAY()),MONTH(TODAY()),1))),1,0))</f>
        <v/>
      </c>
      <c r="X258">
        <f>IF($A258="","",IF(AND($B258&gt;0,K258&lt;$B258,DATE($B$1,9,1)&lt;=TODAY(),OR($O258="",$O258&gt;=DATE($B$1,9,1)),OR(COUNTIF($C258:K258,"&gt;0")&gt;0,DATE($B$1,9,1)=DATE(YEAR(TODAY()),MONTH(TODAY()),1))),1,0))</f>
        <v/>
      </c>
      <c r="Y258">
        <f>IF($A258="","",IF(AND($B258&gt;0,L258&lt;$B258,DATE($B$1,10,1)&lt;=TODAY(),OR($O258="",$O258&gt;=DATE($B$1,10,1)),OR(COUNTIF($C258:L258,"&gt;0")&gt;0,DATE($B$1,10,1)=DATE(YEAR(TODAY()),MONTH(TODAY()),1))),1,0))</f>
        <v/>
      </c>
      <c r="Z258">
        <f>IF($A258="","",IF(AND($B258&gt;0,M258&lt;$B258,DATE($B$1,11,1)&lt;=TODAY(),OR($O258="",$O258&gt;=DATE($B$1,11,1)),OR(COUNTIF($C258:M258,"&gt;0")&gt;0,DATE($B$1,11,1)=DATE(YEAR(TODAY()),MONTH(TODAY()),1))),1,0))</f>
        <v/>
      </c>
      <c r="AA258">
        <f>IF($A258="","",IF(AND($B258&gt;0,N258&lt;$B258,DATE($B$1,12,1)&lt;=TODAY(),OR($O258="",$O258&gt;=DATE($B$1,12,1)),OR(COUNTIF($C258:N258,"&gt;0")&gt;0,DATE($B$1,12,1)=DATE(YEAR(TODAY()),MONTH(TODAY()),1))),1,0))</f>
        <v/>
      </c>
    </row>
    <row r="259">
      <c r="A259" s="13">
        <f>IF(원생!$A257="","",원생!$A257&amp;IF(원생!$G257="",""," ("&amp;원생!$G257&amp;")"))</f>
        <v/>
      </c>
      <c r="B259" s="8">
        <f>IF(원생!$A257="","",원생!$F257)</f>
        <v/>
      </c>
      <c r="C259" s="14">
        <f>IF(원생!$A257="","",SUMIFS(수납!$F:$F,수납!$C:$C,원생!$A257,수납!$D:$D,IF(원생!$G257="","",원생!$G257),수납!$B:$B,$B$1&amp;"-"&amp;TEXT(1,"00")&amp;"*",수납!$E:$E,"수강료")+SUMIFS(수납!$F:$F,수납!$C:$C,원생!$A257,수납!$D:$D,IF(원생!$G257="","",원생!$G257),수납!$B:$B,$B$1&amp;"-"&amp;TEXT(1,"00")&amp;"*",수납!$E:$E,""))</f>
        <v/>
      </c>
      <c r="D259" s="14">
        <f>IF(원생!$A257="","",SUMIFS(수납!$F:$F,수납!$C:$C,원생!$A257,수납!$D:$D,IF(원생!$G257="","",원생!$G257),수납!$B:$B,$B$1&amp;"-"&amp;TEXT(2,"00")&amp;"*",수납!$E:$E,"수강료")+SUMIFS(수납!$F:$F,수납!$C:$C,원생!$A257,수납!$D:$D,IF(원생!$G257="","",원생!$G257),수납!$B:$B,$B$1&amp;"-"&amp;TEXT(2,"00")&amp;"*",수납!$E:$E,""))</f>
        <v/>
      </c>
      <c r="E259" s="14">
        <f>IF(원생!$A257="","",SUMIFS(수납!$F:$F,수납!$C:$C,원생!$A257,수납!$D:$D,IF(원생!$G257="","",원생!$G257),수납!$B:$B,$B$1&amp;"-"&amp;TEXT(3,"00")&amp;"*",수납!$E:$E,"수강료")+SUMIFS(수납!$F:$F,수납!$C:$C,원생!$A257,수납!$D:$D,IF(원생!$G257="","",원생!$G257),수납!$B:$B,$B$1&amp;"-"&amp;TEXT(3,"00")&amp;"*",수납!$E:$E,""))</f>
        <v/>
      </c>
      <c r="F259" s="14">
        <f>IF(원생!$A257="","",SUMIFS(수납!$F:$F,수납!$C:$C,원생!$A257,수납!$D:$D,IF(원생!$G257="","",원생!$G257),수납!$B:$B,$B$1&amp;"-"&amp;TEXT(4,"00")&amp;"*",수납!$E:$E,"수강료")+SUMIFS(수납!$F:$F,수납!$C:$C,원생!$A257,수납!$D:$D,IF(원생!$G257="","",원생!$G257),수납!$B:$B,$B$1&amp;"-"&amp;TEXT(4,"00")&amp;"*",수납!$E:$E,""))</f>
        <v/>
      </c>
      <c r="G259" s="14">
        <f>IF(원생!$A257="","",SUMIFS(수납!$F:$F,수납!$C:$C,원생!$A257,수납!$D:$D,IF(원생!$G257="","",원생!$G257),수납!$B:$B,$B$1&amp;"-"&amp;TEXT(5,"00")&amp;"*",수납!$E:$E,"수강료")+SUMIFS(수납!$F:$F,수납!$C:$C,원생!$A257,수납!$D:$D,IF(원생!$G257="","",원생!$G257),수납!$B:$B,$B$1&amp;"-"&amp;TEXT(5,"00")&amp;"*",수납!$E:$E,""))</f>
        <v/>
      </c>
      <c r="H259" s="14">
        <f>IF(원생!$A257="","",SUMIFS(수납!$F:$F,수납!$C:$C,원생!$A257,수납!$D:$D,IF(원생!$G257="","",원생!$G257),수납!$B:$B,$B$1&amp;"-"&amp;TEXT(6,"00")&amp;"*",수납!$E:$E,"수강료")+SUMIFS(수납!$F:$F,수납!$C:$C,원생!$A257,수납!$D:$D,IF(원생!$G257="","",원생!$G257),수납!$B:$B,$B$1&amp;"-"&amp;TEXT(6,"00")&amp;"*",수납!$E:$E,""))</f>
        <v/>
      </c>
      <c r="I259" s="14">
        <f>IF(원생!$A257="","",SUMIFS(수납!$F:$F,수납!$C:$C,원생!$A257,수납!$D:$D,IF(원생!$G257="","",원생!$G257),수납!$B:$B,$B$1&amp;"-"&amp;TEXT(7,"00")&amp;"*",수납!$E:$E,"수강료")+SUMIFS(수납!$F:$F,수납!$C:$C,원생!$A257,수납!$D:$D,IF(원생!$G257="","",원생!$G257),수납!$B:$B,$B$1&amp;"-"&amp;TEXT(7,"00")&amp;"*",수납!$E:$E,""))</f>
        <v/>
      </c>
      <c r="J259" s="14">
        <f>IF(원생!$A257="","",SUMIFS(수납!$F:$F,수납!$C:$C,원생!$A257,수납!$D:$D,IF(원생!$G257="","",원생!$G257),수납!$B:$B,$B$1&amp;"-"&amp;TEXT(8,"00")&amp;"*",수납!$E:$E,"수강료")+SUMIFS(수납!$F:$F,수납!$C:$C,원생!$A257,수납!$D:$D,IF(원생!$G257="","",원생!$G257),수납!$B:$B,$B$1&amp;"-"&amp;TEXT(8,"00")&amp;"*",수납!$E:$E,""))</f>
        <v/>
      </c>
      <c r="K259" s="14">
        <f>IF(원생!$A257="","",SUMIFS(수납!$F:$F,수납!$C:$C,원생!$A257,수납!$D:$D,IF(원생!$G257="","",원생!$G257),수납!$B:$B,$B$1&amp;"-"&amp;TEXT(9,"00")&amp;"*",수납!$E:$E,"수강료")+SUMIFS(수납!$F:$F,수납!$C:$C,원생!$A257,수납!$D:$D,IF(원생!$G257="","",원생!$G257),수납!$B:$B,$B$1&amp;"-"&amp;TEXT(9,"00")&amp;"*",수납!$E:$E,""))</f>
        <v/>
      </c>
      <c r="L259" s="14">
        <f>IF(원생!$A257="","",SUMIFS(수납!$F:$F,수납!$C:$C,원생!$A257,수납!$D:$D,IF(원생!$G257="","",원생!$G257),수납!$B:$B,$B$1&amp;"-"&amp;TEXT(10,"00")&amp;"*",수납!$E:$E,"수강료")+SUMIFS(수납!$F:$F,수납!$C:$C,원생!$A257,수납!$D:$D,IF(원생!$G257="","",원생!$G257),수납!$B:$B,$B$1&amp;"-"&amp;TEXT(10,"00")&amp;"*",수납!$E:$E,""))</f>
        <v/>
      </c>
      <c r="M259" s="14">
        <f>IF(원생!$A257="","",SUMIFS(수납!$F:$F,수납!$C:$C,원생!$A257,수납!$D:$D,IF(원생!$G257="","",원생!$G257),수납!$B:$B,$B$1&amp;"-"&amp;TEXT(11,"00")&amp;"*",수납!$E:$E,"수강료")+SUMIFS(수납!$F:$F,수납!$C:$C,원생!$A257,수납!$D:$D,IF(원생!$G257="","",원생!$G257),수납!$B:$B,$B$1&amp;"-"&amp;TEXT(11,"00")&amp;"*",수납!$E:$E,""))</f>
        <v/>
      </c>
      <c r="N259" s="14">
        <f>IF(원생!$A257="","",SUMIFS(수납!$F:$F,수납!$C:$C,원생!$A257,수납!$D:$D,IF(원생!$G257="","",원생!$G257),수납!$B:$B,$B$1&amp;"-"&amp;TEXT(12,"00")&amp;"*",수납!$E:$E,"수강료")+SUMIFS(수납!$F:$F,수납!$C:$C,원생!$A257,수납!$D:$D,IF(원생!$G257="","",원생!$G257),수납!$B:$B,$B$1&amp;"-"&amp;TEXT(12,"00")&amp;"*",수납!$E:$E,""))</f>
        <v/>
      </c>
      <c r="O259">
        <f>IF(원생!$I257="","",원생!$I257)</f>
        <v/>
      </c>
      <c r="P259">
        <f>IF($A259="","",IF(AND($B259&gt;0,C259&lt;$B259,DATE($B$1,1,1)&lt;=TODAY(),OR($O259="",$O259&gt;=DATE($B$1,1,1)),OR(COUNTIF($C259:C259,"&gt;0")&gt;0,DATE($B$1,1,1)=DATE(YEAR(TODAY()),MONTH(TODAY()),1))),1,0))</f>
        <v/>
      </c>
      <c r="Q259">
        <f>IF($A259="","",IF(AND($B259&gt;0,D259&lt;$B259,DATE($B$1,2,1)&lt;=TODAY(),OR($O259="",$O259&gt;=DATE($B$1,2,1)),OR(COUNTIF($C259:D259,"&gt;0")&gt;0,DATE($B$1,2,1)=DATE(YEAR(TODAY()),MONTH(TODAY()),1))),1,0))</f>
        <v/>
      </c>
      <c r="R259">
        <f>IF($A259="","",IF(AND($B259&gt;0,E259&lt;$B259,DATE($B$1,3,1)&lt;=TODAY(),OR($O259="",$O259&gt;=DATE($B$1,3,1)),OR(COUNTIF($C259:E259,"&gt;0")&gt;0,DATE($B$1,3,1)=DATE(YEAR(TODAY()),MONTH(TODAY()),1))),1,0))</f>
        <v/>
      </c>
      <c r="S259">
        <f>IF($A259="","",IF(AND($B259&gt;0,F259&lt;$B259,DATE($B$1,4,1)&lt;=TODAY(),OR($O259="",$O259&gt;=DATE($B$1,4,1)),OR(COUNTIF($C259:F259,"&gt;0")&gt;0,DATE($B$1,4,1)=DATE(YEAR(TODAY()),MONTH(TODAY()),1))),1,0))</f>
        <v/>
      </c>
      <c r="T259">
        <f>IF($A259="","",IF(AND($B259&gt;0,G259&lt;$B259,DATE($B$1,5,1)&lt;=TODAY(),OR($O259="",$O259&gt;=DATE($B$1,5,1)),OR(COUNTIF($C259:G259,"&gt;0")&gt;0,DATE($B$1,5,1)=DATE(YEAR(TODAY()),MONTH(TODAY()),1))),1,0))</f>
        <v/>
      </c>
      <c r="U259">
        <f>IF($A259="","",IF(AND($B259&gt;0,H259&lt;$B259,DATE($B$1,6,1)&lt;=TODAY(),OR($O259="",$O259&gt;=DATE($B$1,6,1)),OR(COUNTIF($C259:H259,"&gt;0")&gt;0,DATE($B$1,6,1)=DATE(YEAR(TODAY()),MONTH(TODAY()),1))),1,0))</f>
        <v/>
      </c>
      <c r="V259">
        <f>IF($A259="","",IF(AND($B259&gt;0,I259&lt;$B259,DATE($B$1,7,1)&lt;=TODAY(),OR($O259="",$O259&gt;=DATE($B$1,7,1)),OR(COUNTIF($C259:I259,"&gt;0")&gt;0,DATE($B$1,7,1)=DATE(YEAR(TODAY()),MONTH(TODAY()),1))),1,0))</f>
        <v/>
      </c>
      <c r="W259">
        <f>IF($A259="","",IF(AND($B259&gt;0,J259&lt;$B259,DATE($B$1,8,1)&lt;=TODAY(),OR($O259="",$O259&gt;=DATE($B$1,8,1)),OR(COUNTIF($C259:J259,"&gt;0")&gt;0,DATE($B$1,8,1)=DATE(YEAR(TODAY()),MONTH(TODAY()),1))),1,0))</f>
        <v/>
      </c>
      <c r="X259">
        <f>IF($A259="","",IF(AND($B259&gt;0,K259&lt;$B259,DATE($B$1,9,1)&lt;=TODAY(),OR($O259="",$O259&gt;=DATE($B$1,9,1)),OR(COUNTIF($C259:K259,"&gt;0")&gt;0,DATE($B$1,9,1)=DATE(YEAR(TODAY()),MONTH(TODAY()),1))),1,0))</f>
        <v/>
      </c>
      <c r="Y259">
        <f>IF($A259="","",IF(AND($B259&gt;0,L259&lt;$B259,DATE($B$1,10,1)&lt;=TODAY(),OR($O259="",$O259&gt;=DATE($B$1,10,1)),OR(COUNTIF($C259:L259,"&gt;0")&gt;0,DATE($B$1,10,1)=DATE(YEAR(TODAY()),MONTH(TODAY()),1))),1,0))</f>
        <v/>
      </c>
      <c r="Z259">
        <f>IF($A259="","",IF(AND($B259&gt;0,M259&lt;$B259,DATE($B$1,11,1)&lt;=TODAY(),OR($O259="",$O259&gt;=DATE($B$1,11,1)),OR(COUNTIF($C259:M259,"&gt;0")&gt;0,DATE($B$1,11,1)=DATE(YEAR(TODAY()),MONTH(TODAY()),1))),1,0))</f>
        <v/>
      </c>
      <c r="AA259">
        <f>IF($A259="","",IF(AND($B259&gt;0,N259&lt;$B259,DATE($B$1,12,1)&lt;=TODAY(),OR($O259="",$O259&gt;=DATE($B$1,12,1)),OR(COUNTIF($C259:N259,"&gt;0")&gt;0,DATE($B$1,12,1)=DATE(YEAR(TODAY()),MONTH(TODAY()),1))),1,0))</f>
        <v/>
      </c>
    </row>
    <row r="260">
      <c r="A260" s="13">
        <f>IF(원생!$A258="","",원생!$A258&amp;IF(원생!$G258="",""," ("&amp;원생!$G258&amp;")"))</f>
        <v/>
      </c>
      <c r="B260" s="8">
        <f>IF(원생!$A258="","",원생!$F258)</f>
        <v/>
      </c>
      <c r="C260" s="14">
        <f>IF(원생!$A258="","",SUMIFS(수납!$F:$F,수납!$C:$C,원생!$A258,수납!$D:$D,IF(원생!$G258="","",원생!$G258),수납!$B:$B,$B$1&amp;"-"&amp;TEXT(1,"00")&amp;"*",수납!$E:$E,"수강료")+SUMIFS(수납!$F:$F,수납!$C:$C,원생!$A258,수납!$D:$D,IF(원생!$G258="","",원생!$G258),수납!$B:$B,$B$1&amp;"-"&amp;TEXT(1,"00")&amp;"*",수납!$E:$E,""))</f>
        <v/>
      </c>
      <c r="D260" s="14">
        <f>IF(원생!$A258="","",SUMIFS(수납!$F:$F,수납!$C:$C,원생!$A258,수납!$D:$D,IF(원생!$G258="","",원생!$G258),수납!$B:$B,$B$1&amp;"-"&amp;TEXT(2,"00")&amp;"*",수납!$E:$E,"수강료")+SUMIFS(수납!$F:$F,수납!$C:$C,원생!$A258,수납!$D:$D,IF(원생!$G258="","",원생!$G258),수납!$B:$B,$B$1&amp;"-"&amp;TEXT(2,"00")&amp;"*",수납!$E:$E,""))</f>
        <v/>
      </c>
      <c r="E260" s="14">
        <f>IF(원생!$A258="","",SUMIFS(수납!$F:$F,수납!$C:$C,원생!$A258,수납!$D:$D,IF(원생!$G258="","",원생!$G258),수납!$B:$B,$B$1&amp;"-"&amp;TEXT(3,"00")&amp;"*",수납!$E:$E,"수강료")+SUMIFS(수납!$F:$F,수납!$C:$C,원생!$A258,수납!$D:$D,IF(원생!$G258="","",원생!$G258),수납!$B:$B,$B$1&amp;"-"&amp;TEXT(3,"00")&amp;"*",수납!$E:$E,""))</f>
        <v/>
      </c>
      <c r="F260" s="14">
        <f>IF(원생!$A258="","",SUMIFS(수납!$F:$F,수납!$C:$C,원생!$A258,수납!$D:$D,IF(원생!$G258="","",원생!$G258),수납!$B:$B,$B$1&amp;"-"&amp;TEXT(4,"00")&amp;"*",수납!$E:$E,"수강료")+SUMIFS(수납!$F:$F,수납!$C:$C,원생!$A258,수납!$D:$D,IF(원생!$G258="","",원생!$G258),수납!$B:$B,$B$1&amp;"-"&amp;TEXT(4,"00")&amp;"*",수납!$E:$E,""))</f>
        <v/>
      </c>
      <c r="G260" s="14">
        <f>IF(원생!$A258="","",SUMIFS(수납!$F:$F,수납!$C:$C,원생!$A258,수납!$D:$D,IF(원생!$G258="","",원생!$G258),수납!$B:$B,$B$1&amp;"-"&amp;TEXT(5,"00")&amp;"*",수납!$E:$E,"수강료")+SUMIFS(수납!$F:$F,수납!$C:$C,원생!$A258,수납!$D:$D,IF(원생!$G258="","",원생!$G258),수납!$B:$B,$B$1&amp;"-"&amp;TEXT(5,"00")&amp;"*",수납!$E:$E,""))</f>
        <v/>
      </c>
      <c r="H260" s="14">
        <f>IF(원생!$A258="","",SUMIFS(수납!$F:$F,수납!$C:$C,원생!$A258,수납!$D:$D,IF(원생!$G258="","",원생!$G258),수납!$B:$B,$B$1&amp;"-"&amp;TEXT(6,"00")&amp;"*",수납!$E:$E,"수강료")+SUMIFS(수납!$F:$F,수납!$C:$C,원생!$A258,수납!$D:$D,IF(원생!$G258="","",원생!$G258),수납!$B:$B,$B$1&amp;"-"&amp;TEXT(6,"00")&amp;"*",수납!$E:$E,""))</f>
        <v/>
      </c>
      <c r="I260" s="14">
        <f>IF(원생!$A258="","",SUMIFS(수납!$F:$F,수납!$C:$C,원생!$A258,수납!$D:$D,IF(원생!$G258="","",원생!$G258),수납!$B:$B,$B$1&amp;"-"&amp;TEXT(7,"00")&amp;"*",수납!$E:$E,"수강료")+SUMIFS(수납!$F:$F,수납!$C:$C,원생!$A258,수납!$D:$D,IF(원생!$G258="","",원생!$G258),수납!$B:$B,$B$1&amp;"-"&amp;TEXT(7,"00")&amp;"*",수납!$E:$E,""))</f>
        <v/>
      </c>
      <c r="J260" s="14">
        <f>IF(원생!$A258="","",SUMIFS(수납!$F:$F,수납!$C:$C,원생!$A258,수납!$D:$D,IF(원생!$G258="","",원생!$G258),수납!$B:$B,$B$1&amp;"-"&amp;TEXT(8,"00")&amp;"*",수납!$E:$E,"수강료")+SUMIFS(수납!$F:$F,수납!$C:$C,원생!$A258,수납!$D:$D,IF(원생!$G258="","",원생!$G258),수납!$B:$B,$B$1&amp;"-"&amp;TEXT(8,"00")&amp;"*",수납!$E:$E,""))</f>
        <v/>
      </c>
      <c r="K260" s="14">
        <f>IF(원생!$A258="","",SUMIFS(수납!$F:$F,수납!$C:$C,원생!$A258,수납!$D:$D,IF(원생!$G258="","",원생!$G258),수납!$B:$B,$B$1&amp;"-"&amp;TEXT(9,"00")&amp;"*",수납!$E:$E,"수강료")+SUMIFS(수납!$F:$F,수납!$C:$C,원생!$A258,수납!$D:$D,IF(원생!$G258="","",원생!$G258),수납!$B:$B,$B$1&amp;"-"&amp;TEXT(9,"00")&amp;"*",수납!$E:$E,""))</f>
        <v/>
      </c>
      <c r="L260" s="14">
        <f>IF(원생!$A258="","",SUMIFS(수납!$F:$F,수납!$C:$C,원생!$A258,수납!$D:$D,IF(원생!$G258="","",원생!$G258),수납!$B:$B,$B$1&amp;"-"&amp;TEXT(10,"00")&amp;"*",수납!$E:$E,"수강료")+SUMIFS(수납!$F:$F,수납!$C:$C,원생!$A258,수납!$D:$D,IF(원생!$G258="","",원생!$G258),수납!$B:$B,$B$1&amp;"-"&amp;TEXT(10,"00")&amp;"*",수납!$E:$E,""))</f>
        <v/>
      </c>
      <c r="M260" s="14">
        <f>IF(원생!$A258="","",SUMIFS(수납!$F:$F,수납!$C:$C,원생!$A258,수납!$D:$D,IF(원생!$G258="","",원생!$G258),수납!$B:$B,$B$1&amp;"-"&amp;TEXT(11,"00")&amp;"*",수납!$E:$E,"수강료")+SUMIFS(수납!$F:$F,수납!$C:$C,원생!$A258,수납!$D:$D,IF(원생!$G258="","",원생!$G258),수납!$B:$B,$B$1&amp;"-"&amp;TEXT(11,"00")&amp;"*",수납!$E:$E,""))</f>
        <v/>
      </c>
      <c r="N260" s="14">
        <f>IF(원생!$A258="","",SUMIFS(수납!$F:$F,수납!$C:$C,원생!$A258,수납!$D:$D,IF(원생!$G258="","",원생!$G258),수납!$B:$B,$B$1&amp;"-"&amp;TEXT(12,"00")&amp;"*",수납!$E:$E,"수강료")+SUMIFS(수납!$F:$F,수납!$C:$C,원생!$A258,수납!$D:$D,IF(원생!$G258="","",원생!$G258),수납!$B:$B,$B$1&amp;"-"&amp;TEXT(12,"00")&amp;"*",수납!$E:$E,""))</f>
        <v/>
      </c>
      <c r="O260">
        <f>IF(원생!$I258="","",원생!$I258)</f>
        <v/>
      </c>
      <c r="P260">
        <f>IF($A260="","",IF(AND($B260&gt;0,C260&lt;$B260,DATE($B$1,1,1)&lt;=TODAY(),OR($O260="",$O260&gt;=DATE($B$1,1,1)),OR(COUNTIF($C260:C260,"&gt;0")&gt;0,DATE($B$1,1,1)=DATE(YEAR(TODAY()),MONTH(TODAY()),1))),1,0))</f>
        <v/>
      </c>
      <c r="Q260">
        <f>IF($A260="","",IF(AND($B260&gt;0,D260&lt;$B260,DATE($B$1,2,1)&lt;=TODAY(),OR($O260="",$O260&gt;=DATE($B$1,2,1)),OR(COUNTIF($C260:D260,"&gt;0")&gt;0,DATE($B$1,2,1)=DATE(YEAR(TODAY()),MONTH(TODAY()),1))),1,0))</f>
        <v/>
      </c>
      <c r="R260">
        <f>IF($A260="","",IF(AND($B260&gt;0,E260&lt;$B260,DATE($B$1,3,1)&lt;=TODAY(),OR($O260="",$O260&gt;=DATE($B$1,3,1)),OR(COUNTIF($C260:E260,"&gt;0")&gt;0,DATE($B$1,3,1)=DATE(YEAR(TODAY()),MONTH(TODAY()),1))),1,0))</f>
        <v/>
      </c>
      <c r="S260">
        <f>IF($A260="","",IF(AND($B260&gt;0,F260&lt;$B260,DATE($B$1,4,1)&lt;=TODAY(),OR($O260="",$O260&gt;=DATE($B$1,4,1)),OR(COUNTIF($C260:F260,"&gt;0")&gt;0,DATE($B$1,4,1)=DATE(YEAR(TODAY()),MONTH(TODAY()),1))),1,0))</f>
        <v/>
      </c>
      <c r="T260">
        <f>IF($A260="","",IF(AND($B260&gt;0,G260&lt;$B260,DATE($B$1,5,1)&lt;=TODAY(),OR($O260="",$O260&gt;=DATE($B$1,5,1)),OR(COUNTIF($C260:G260,"&gt;0")&gt;0,DATE($B$1,5,1)=DATE(YEAR(TODAY()),MONTH(TODAY()),1))),1,0))</f>
        <v/>
      </c>
      <c r="U260">
        <f>IF($A260="","",IF(AND($B260&gt;0,H260&lt;$B260,DATE($B$1,6,1)&lt;=TODAY(),OR($O260="",$O260&gt;=DATE($B$1,6,1)),OR(COUNTIF($C260:H260,"&gt;0")&gt;0,DATE($B$1,6,1)=DATE(YEAR(TODAY()),MONTH(TODAY()),1))),1,0))</f>
        <v/>
      </c>
      <c r="V260">
        <f>IF($A260="","",IF(AND($B260&gt;0,I260&lt;$B260,DATE($B$1,7,1)&lt;=TODAY(),OR($O260="",$O260&gt;=DATE($B$1,7,1)),OR(COUNTIF($C260:I260,"&gt;0")&gt;0,DATE($B$1,7,1)=DATE(YEAR(TODAY()),MONTH(TODAY()),1))),1,0))</f>
        <v/>
      </c>
      <c r="W260">
        <f>IF($A260="","",IF(AND($B260&gt;0,J260&lt;$B260,DATE($B$1,8,1)&lt;=TODAY(),OR($O260="",$O260&gt;=DATE($B$1,8,1)),OR(COUNTIF($C260:J260,"&gt;0")&gt;0,DATE($B$1,8,1)=DATE(YEAR(TODAY()),MONTH(TODAY()),1))),1,0))</f>
        <v/>
      </c>
      <c r="X260">
        <f>IF($A260="","",IF(AND($B260&gt;0,K260&lt;$B260,DATE($B$1,9,1)&lt;=TODAY(),OR($O260="",$O260&gt;=DATE($B$1,9,1)),OR(COUNTIF($C260:K260,"&gt;0")&gt;0,DATE($B$1,9,1)=DATE(YEAR(TODAY()),MONTH(TODAY()),1))),1,0))</f>
        <v/>
      </c>
      <c r="Y260">
        <f>IF($A260="","",IF(AND($B260&gt;0,L260&lt;$B260,DATE($B$1,10,1)&lt;=TODAY(),OR($O260="",$O260&gt;=DATE($B$1,10,1)),OR(COUNTIF($C260:L260,"&gt;0")&gt;0,DATE($B$1,10,1)=DATE(YEAR(TODAY()),MONTH(TODAY()),1))),1,0))</f>
        <v/>
      </c>
      <c r="Z260">
        <f>IF($A260="","",IF(AND($B260&gt;0,M260&lt;$B260,DATE($B$1,11,1)&lt;=TODAY(),OR($O260="",$O260&gt;=DATE($B$1,11,1)),OR(COUNTIF($C260:M260,"&gt;0")&gt;0,DATE($B$1,11,1)=DATE(YEAR(TODAY()),MONTH(TODAY()),1))),1,0))</f>
        <v/>
      </c>
      <c r="AA260">
        <f>IF($A260="","",IF(AND($B260&gt;0,N260&lt;$B260,DATE($B$1,12,1)&lt;=TODAY(),OR($O260="",$O260&gt;=DATE($B$1,12,1)),OR(COUNTIF($C260:N260,"&gt;0")&gt;0,DATE($B$1,12,1)=DATE(YEAR(TODAY()),MONTH(TODAY()),1))),1,0))</f>
        <v/>
      </c>
    </row>
    <row r="261">
      <c r="A261" s="13">
        <f>IF(원생!$A259="","",원생!$A259&amp;IF(원생!$G259="",""," ("&amp;원생!$G259&amp;")"))</f>
        <v/>
      </c>
      <c r="B261" s="8">
        <f>IF(원생!$A259="","",원생!$F259)</f>
        <v/>
      </c>
      <c r="C261" s="14">
        <f>IF(원생!$A259="","",SUMIFS(수납!$F:$F,수납!$C:$C,원생!$A259,수납!$D:$D,IF(원생!$G259="","",원생!$G259),수납!$B:$B,$B$1&amp;"-"&amp;TEXT(1,"00")&amp;"*",수납!$E:$E,"수강료")+SUMIFS(수납!$F:$F,수납!$C:$C,원생!$A259,수납!$D:$D,IF(원생!$G259="","",원생!$G259),수납!$B:$B,$B$1&amp;"-"&amp;TEXT(1,"00")&amp;"*",수납!$E:$E,""))</f>
        <v/>
      </c>
      <c r="D261" s="14">
        <f>IF(원생!$A259="","",SUMIFS(수납!$F:$F,수납!$C:$C,원생!$A259,수납!$D:$D,IF(원생!$G259="","",원생!$G259),수납!$B:$B,$B$1&amp;"-"&amp;TEXT(2,"00")&amp;"*",수납!$E:$E,"수강료")+SUMIFS(수납!$F:$F,수납!$C:$C,원생!$A259,수납!$D:$D,IF(원생!$G259="","",원생!$G259),수납!$B:$B,$B$1&amp;"-"&amp;TEXT(2,"00")&amp;"*",수납!$E:$E,""))</f>
        <v/>
      </c>
      <c r="E261" s="14">
        <f>IF(원생!$A259="","",SUMIFS(수납!$F:$F,수납!$C:$C,원생!$A259,수납!$D:$D,IF(원생!$G259="","",원생!$G259),수납!$B:$B,$B$1&amp;"-"&amp;TEXT(3,"00")&amp;"*",수납!$E:$E,"수강료")+SUMIFS(수납!$F:$F,수납!$C:$C,원생!$A259,수납!$D:$D,IF(원생!$G259="","",원생!$G259),수납!$B:$B,$B$1&amp;"-"&amp;TEXT(3,"00")&amp;"*",수납!$E:$E,""))</f>
        <v/>
      </c>
      <c r="F261" s="14">
        <f>IF(원생!$A259="","",SUMIFS(수납!$F:$F,수납!$C:$C,원생!$A259,수납!$D:$D,IF(원생!$G259="","",원생!$G259),수납!$B:$B,$B$1&amp;"-"&amp;TEXT(4,"00")&amp;"*",수납!$E:$E,"수강료")+SUMIFS(수납!$F:$F,수납!$C:$C,원생!$A259,수납!$D:$D,IF(원생!$G259="","",원생!$G259),수납!$B:$B,$B$1&amp;"-"&amp;TEXT(4,"00")&amp;"*",수납!$E:$E,""))</f>
        <v/>
      </c>
      <c r="G261" s="14">
        <f>IF(원생!$A259="","",SUMIFS(수납!$F:$F,수납!$C:$C,원생!$A259,수납!$D:$D,IF(원생!$G259="","",원생!$G259),수납!$B:$B,$B$1&amp;"-"&amp;TEXT(5,"00")&amp;"*",수납!$E:$E,"수강료")+SUMIFS(수납!$F:$F,수납!$C:$C,원생!$A259,수납!$D:$D,IF(원생!$G259="","",원생!$G259),수납!$B:$B,$B$1&amp;"-"&amp;TEXT(5,"00")&amp;"*",수납!$E:$E,""))</f>
        <v/>
      </c>
      <c r="H261" s="14">
        <f>IF(원생!$A259="","",SUMIFS(수납!$F:$F,수납!$C:$C,원생!$A259,수납!$D:$D,IF(원생!$G259="","",원생!$G259),수납!$B:$B,$B$1&amp;"-"&amp;TEXT(6,"00")&amp;"*",수납!$E:$E,"수강료")+SUMIFS(수납!$F:$F,수납!$C:$C,원생!$A259,수납!$D:$D,IF(원생!$G259="","",원생!$G259),수납!$B:$B,$B$1&amp;"-"&amp;TEXT(6,"00")&amp;"*",수납!$E:$E,""))</f>
        <v/>
      </c>
      <c r="I261" s="14">
        <f>IF(원생!$A259="","",SUMIFS(수납!$F:$F,수납!$C:$C,원생!$A259,수납!$D:$D,IF(원생!$G259="","",원생!$G259),수납!$B:$B,$B$1&amp;"-"&amp;TEXT(7,"00")&amp;"*",수납!$E:$E,"수강료")+SUMIFS(수납!$F:$F,수납!$C:$C,원생!$A259,수납!$D:$D,IF(원생!$G259="","",원생!$G259),수납!$B:$B,$B$1&amp;"-"&amp;TEXT(7,"00")&amp;"*",수납!$E:$E,""))</f>
        <v/>
      </c>
      <c r="J261" s="14">
        <f>IF(원생!$A259="","",SUMIFS(수납!$F:$F,수납!$C:$C,원생!$A259,수납!$D:$D,IF(원생!$G259="","",원생!$G259),수납!$B:$B,$B$1&amp;"-"&amp;TEXT(8,"00")&amp;"*",수납!$E:$E,"수강료")+SUMIFS(수납!$F:$F,수납!$C:$C,원생!$A259,수납!$D:$D,IF(원생!$G259="","",원생!$G259),수납!$B:$B,$B$1&amp;"-"&amp;TEXT(8,"00")&amp;"*",수납!$E:$E,""))</f>
        <v/>
      </c>
      <c r="K261" s="14">
        <f>IF(원생!$A259="","",SUMIFS(수납!$F:$F,수납!$C:$C,원생!$A259,수납!$D:$D,IF(원생!$G259="","",원생!$G259),수납!$B:$B,$B$1&amp;"-"&amp;TEXT(9,"00")&amp;"*",수납!$E:$E,"수강료")+SUMIFS(수납!$F:$F,수납!$C:$C,원생!$A259,수납!$D:$D,IF(원생!$G259="","",원생!$G259),수납!$B:$B,$B$1&amp;"-"&amp;TEXT(9,"00")&amp;"*",수납!$E:$E,""))</f>
        <v/>
      </c>
      <c r="L261" s="14">
        <f>IF(원생!$A259="","",SUMIFS(수납!$F:$F,수납!$C:$C,원생!$A259,수납!$D:$D,IF(원생!$G259="","",원생!$G259),수납!$B:$B,$B$1&amp;"-"&amp;TEXT(10,"00")&amp;"*",수납!$E:$E,"수강료")+SUMIFS(수납!$F:$F,수납!$C:$C,원생!$A259,수납!$D:$D,IF(원생!$G259="","",원생!$G259),수납!$B:$B,$B$1&amp;"-"&amp;TEXT(10,"00")&amp;"*",수납!$E:$E,""))</f>
        <v/>
      </c>
      <c r="M261" s="14">
        <f>IF(원생!$A259="","",SUMIFS(수납!$F:$F,수납!$C:$C,원생!$A259,수납!$D:$D,IF(원생!$G259="","",원생!$G259),수납!$B:$B,$B$1&amp;"-"&amp;TEXT(11,"00")&amp;"*",수납!$E:$E,"수강료")+SUMIFS(수납!$F:$F,수납!$C:$C,원생!$A259,수납!$D:$D,IF(원생!$G259="","",원생!$G259),수납!$B:$B,$B$1&amp;"-"&amp;TEXT(11,"00")&amp;"*",수납!$E:$E,""))</f>
        <v/>
      </c>
      <c r="N261" s="14">
        <f>IF(원생!$A259="","",SUMIFS(수납!$F:$F,수납!$C:$C,원생!$A259,수납!$D:$D,IF(원생!$G259="","",원생!$G259),수납!$B:$B,$B$1&amp;"-"&amp;TEXT(12,"00")&amp;"*",수납!$E:$E,"수강료")+SUMIFS(수납!$F:$F,수납!$C:$C,원생!$A259,수납!$D:$D,IF(원생!$G259="","",원생!$G259),수납!$B:$B,$B$1&amp;"-"&amp;TEXT(12,"00")&amp;"*",수납!$E:$E,""))</f>
        <v/>
      </c>
      <c r="O261">
        <f>IF(원생!$I259="","",원생!$I259)</f>
        <v/>
      </c>
      <c r="P261">
        <f>IF($A261="","",IF(AND($B261&gt;0,C261&lt;$B261,DATE($B$1,1,1)&lt;=TODAY(),OR($O261="",$O261&gt;=DATE($B$1,1,1)),OR(COUNTIF($C261:C261,"&gt;0")&gt;0,DATE($B$1,1,1)=DATE(YEAR(TODAY()),MONTH(TODAY()),1))),1,0))</f>
        <v/>
      </c>
      <c r="Q261">
        <f>IF($A261="","",IF(AND($B261&gt;0,D261&lt;$B261,DATE($B$1,2,1)&lt;=TODAY(),OR($O261="",$O261&gt;=DATE($B$1,2,1)),OR(COUNTIF($C261:D261,"&gt;0")&gt;0,DATE($B$1,2,1)=DATE(YEAR(TODAY()),MONTH(TODAY()),1))),1,0))</f>
        <v/>
      </c>
      <c r="R261">
        <f>IF($A261="","",IF(AND($B261&gt;0,E261&lt;$B261,DATE($B$1,3,1)&lt;=TODAY(),OR($O261="",$O261&gt;=DATE($B$1,3,1)),OR(COUNTIF($C261:E261,"&gt;0")&gt;0,DATE($B$1,3,1)=DATE(YEAR(TODAY()),MONTH(TODAY()),1))),1,0))</f>
        <v/>
      </c>
      <c r="S261">
        <f>IF($A261="","",IF(AND($B261&gt;0,F261&lt;$B261,DATE($B$1,4,1)&lt;=TODAY(),OR($O261="",$O261&gt;=DATE($B$1,4,1)),OR(COUNTIF($C261:F261,"&gt;0")&gt;0,DATE($B$1,4,1)=DATE(YEAR(TODAY()),MONTH(TODAY()),1))),1,0))</f>
        <v/>
      </c>
      <c r="T261">
        <f>IF($A261="","",IF(AND($B261&gt;0,G261&lt;$B261,DATE($B$1,5,1)&lt;=TODAY(),OR($O261="",$O261&gt;=DATE($B$1,5,1)),OR(COUNTIF($C261:G261,"&gt;0")&gt;0,DATE($B$1,5,1)=DATE(YEAR(TODAY()),MONTH(TODAY()),1))),1,0))</f>
        <v/>
      </c>
      <c r="U261">
        <f>IF($A261="","",IF(AND($B261&gt;0,H261&lt;$B261,DATE($B$1,6,1)&lt;=TODAY(),OR($O261="",$O261&gt;=DATE($B$1,6,1)),OR(COUNTIF($C261:H261,"&gt;0")&gt;0,DATE($B$1,6,1)=DATE(YEAR(TODAY()),MONTH(TODAY()),1))),1,0))</f>
        <v/>
      </c>
      <c r="V261">
        <f>IF($A261="","",IF(AND($B261&gt;0,I261&lt;$B261,DATE($B$1,7,1)&lt;=TODAY(),OR($O261="",$O261&gt;=DATE($B$1,7,1)),OR(COUNTIF($C261:I261,"&gt;0")&gt;0,DATE($B$1,7,1)=DATE(YEAR(TODAY()),MONTH(TODAY()),1))),1,0))</f>
        <v/>
      </c>
      <c r="W261">
        <f>IF($A261="","",IF(AND($B261&gt;0,J261&lt;$B261,DATE($B$1,8,1)&lt;=TODAY(),OR($O261="",$O261&gt;=DATE($B$1,8,1)),OR(COUNTIF($C261:J261,"&gt;0")&gt;0,DATE($B$1,8,1)=DATE(YEAR(TODAY()),MONTH(TODAY()),1))),1,0))</f>
        <v/>
      </c>
      <c r="X261">
        <f>IF($A261="","",IF(AND($B261&gt;0,K261&lt;$B261,DATE($B$1,9,1)&lt;=TODAY(),OR($O261="",$O261&gt;=DATE($B$1,9,1)),OR(COUNTIF($C261:K261,"&gt;0")&gt;0,DATE($B$1,9,1)=DATE(YEAR(TODAY()),MONTH(TODAY()),1))),1,0))</f>
        <v/>
      </c>
      <c r="Y261">
        <f>IF($A261="","",IF(AND($B261&gt;0,L261&lt;$B261,DATE($B$1,10,1)&lt;=TODAY(),OR($O261="",$O261&gt;=DATE($B$1,10,1)),OR(COUNTIF($C261:L261,"&gt;0")&gt;0,DATE($B$1,10,1)=DATE(YEAR(TODAY()),MONTH(TODAY()),1))),1,0))</f>
        <v/>
      </c>
      <c r="Z261">
        <f>IF($A261="","",IF(AND($B261&gt;0,M261&lt;$B261,DATE($B$1,11,1)&lt;=TODAY(),OR($O261="",$O261&gt;=DATE($B$1,11,1)),OR(COUNTIF($C261:M261,"&gt;0")&gt;0,DATE($B$1,11,1)=DATE(YEAR(TODAY()),MONTH(TODAY()),1))),1,0))</f>
        <v/>
      </c>
      <c r="AA261">
        <f>IF($A261="","",IF(AND($B261&gt;0,N261&lt;$B261,DATE($B$1,12,1)&lt;=TODAY(),OR($O261="",$O261&gt;=DATE($B$1,12,1)),OR(COUNTIF($C261:N261,"&gt;0")&gt;0,DATE($B$1,12,1)=DATE(YEAR(TODAY()),MONTH(TODAY()),1))),1,0))</f>
        <v/>
      </c>
    </row>
    <row r="262">
      <c r="A262" s="13">
        <f>IF(원생!$A260="","",원생!$A260&amp;IF(원생!$G260="",""," ("&amp;원생!$G260&amp;")"))</f>
        <v/>
      </c>
      <c r="B262" s="8">
        <f>IF(원생!$A260="","",원생!$F260)</f>
        <v/>
      </c>
      <c r="C262" s="14">
        <f>IF(원생!$A260="","",SUMIFS(수납!$F:$F,수납!$C:$C,원생!$A260,수납!$D:$D,IF(원생!$G260="","",원생!$G260),수납!$B:$B,$B$1&amp;"-"&amp;TEXT(1,"00")&amp;"*",수납!$E:$E,"수강료")+SUMIFS(수납!$F:$F,수납!$C:$C,원생!$A260,수납!$D:$D,IF(원생!$G260="","",원생!$G260),수납!$B:$B,$B$1&amp;"-"&amp;TEXT(1,"00")&amp;"*",수납!$E:$E,""))</f>
        <v/>
      </c>
      <c r="D262" s="14">
        <f>IF(원생!$A260="","",SUMIFS(수납!$F:$F,수납!$C:$C,원생!$A260,수납!$D:$D,IF(원생!$G260="","",원생!$G260),수납!$B:$B,$B$1&amp;"-"&amp;TEXT(2,"00")&amp;"*",수납!$E:$E,"수강료")+SUMIFS(수납!$F:$F,수납!$C:$C,원생!$A260,수납!$D:$D,IF(원생!$G260="","",원생!$G260),수납!$B:$B,$B$1&amp;"-"&amp;TEXT(2,"00")&amp;"*",수납!$E:$E,""))</f>
        <v/>
      </c>
      <c r="E262" s="14">
        <f>IF(원생!$A260="","",SUMIFS(수납!$F:$F,수납!$C:$C,원생!$A260,수납!$D:$D,IF(원생!$G260="","",원생!$G260),수납!$B:$B,$B$1&amp;"-"&amp;TEXT(3,"00")&amp;"*",수납!$E:$E,"수강료")+SUMIFS(수납!$F:$F,수납!$C:$C,원생!$A260,수납!$D:$D,IF(원생!$G260="","",원생!$G260),수납!$B:$B,$B$1&amp;"-"&amp;TEXT(3,"00")&amp;"*",수납!$E:$E,""))</f>
        <v/>
      </c>
      <c r="F262" s="14">
        <f>IF(원생!$A260="","",SUMIFS(수납!$F:$F,수납!$C:$C,원생!$A260,수납!$D:$D,IF(원생!$G260="","",원생!$G260),수납!$B:$B,$B$1&amp;"-"&amp;TEXT(4,"00")&amp;"*",수납!$E:$E,"수강료")+SUMIFS(수납!$F:$F,수납!$C:$C,원생!$A260,수납!$D:$D,IF(원생!$G260="","",원생!$G260),수납!$B:$B,$B$1&amp;"-"&amp;TEXT(4,"00")&amp;"*",수납!$E:$E,""))</f>
        <v/>
      </c>
      <c r="G262" s="14">
        <f>IF(원생!$A260="","",SUMIFS(수납!$F:$F,수납!$C:$C,원생!$A260,수납!$D:$D,IF(원생!$G260="","",원생!$G260),수납!$B:$B,$B$1&amp;"-"&amp;TEXT(5,"00")&amp;"*",수납!$E:$E,"수강료")+SUMIFS(수납!$F:$F,수납!$C:$C,원생!$A260,수납!$D:$D,IF(원생!$G260="","",원생!$G260),수납!$B:$B,$B$1&amp;"-"&amp;TEXT(5,"00")&amp;"*",수납!$E:$E,""))</f>
        <v/>
      </c>
      <c r="H262" s="14">
        <f>IF(원생!$A260="","",SUMIFS(수납!$F:$F,수납!$C:$C,원생!$A260,수납!$D:$D,IF(원생!$G260="","",원생!$G260),수납!$B:$B,$B$1&amp;"-"&amp;TEXT(6,"00")&amp;"*",수납!$E:$E,"수강료")+SUMIFS(수납!$F:$F,수납!$C:$C,원생!$A260,수납!$D:$D,IF(원생!$G260="","",원생!$G260),수납!$B:$B,$B$1&amp;"-"&amp;TEXT(6,"00")&amp;"*",수납!$E:$E,""))</f>
        <v/>
      </c>
      <c r="I262" s="14">
        <f>IF(원생!$A260="","",SUMIFS(수납!$F:$F,수납!$C:$C,원생!$A260,수납!$D:$D,IF(원생!$G260="","",원생!$G260),수납!$B:$B,$B$1&amp;"-"&amp;TEXT(7,"00")&amp;"*",수납!$E:$E,"수강료")+SUMIFS(수납!$F:$F,수납!$C:$C,원생!$A260,수납!$D:$D,IF(원생!$G260="","",원생!$G260),수납!$B:$B,$B$1&amp;"-"&amp;TEXT(7,"00")&amp;"*",수납!$E:$E,""))</f>
        <v/>
      </c>
      <c r="J262" s="14">
        <f>IF(원생!$A260="","",SUMIFS(수납!$F:$F,수납!$C:$C,원생!$A260,수납!$D:$D,IF(원생!$G260="","",원생!$G260),수납!$B:$B,$B$1&amp;"-"&amp;TEXT(8,"00")&amp;"*",수납!$E:$E,"수강료")+SUMIFS(수납!$F:$F,수납!$C:$C,원생!$A260,수납!$D:$D,IF(원생!$G260="","",원생!$G260),수납!$B:$B,$B$1&amp;"-"&amp;TEXT(8,"00")&amp;"*",수납!$E:$E,""))</f>
        <v/>
      </c>
      <c r="K262" s="14">
        <f>IF(원생!$A260="","",SUMIFS(수납!$F:$F,수납!$C:$C,원생!$A260,수납!$D:$D,IF(원생!$G260="","",원생!$G260),수납!$B:$B,$B$1&amp;"-"&amp;TEXT(9,"00")&amp;"*",수납!$E:$E,"수강료")+SUMIFS(수납!$F:$F,수납!$C:$C,원생!$A260,수납!$D:$D,IF(원생!$G260="","",원생!$G260),수납!$B:$B,$B$1&amp;"-"&amp;TEXT(9,"00")&amp;"*",수납!$E:$E,""))</f>
        <v/>
      </c>
      <c r="L262" s="14">
        <f>IF(원생!$A260="","",SUMIFS(수납!$F:$F,수납!$C:$C,원생!$A260,수납!$D:$D,IF(원생!$G260="","",원생!$G260),수납!$B:$B,$B$1&amp;"-"&amp;TEXT(10,"00")&amp;"*",수납!$E:$E,"수강료")+SUMIFS(수납!$F:$F,수납!$C:$C,원생!$A260,수납!$D:$D,IF(원생!$G260="","",원생!$G260),수납!$B:$B,$B$1&amp;"-"&amp;TEXT(10,"00")&amp;"*",수납!$E:$E,""))</f>
        <v/>
      </c>
      <c r="M262" s="14">
        <f>IF(원생!$A260="","",SUMIFS(수납!$F:$F,수납!$C:$C,원생!$A260,수납!$D:$D,IF(원생!$G260="","",원생!$G260),수납!$B:$B,$B$1&amp;"-"&amp;TEXT(11,"00")&amp;"*",수납!$E:$E,"수강료")+SUMIFS(수납!$F:$F,수납!$C:$C,원생!$A260,수납!$D:$D,IF(원생!$G260="","",원생!$G260),수납!$B:$B,$B$1&amp;"-"&amp;TEXT(11,"00")&amp;"*",수납!$E:$E,""))</f>
        <v/>
      </c>
      <c r="N262" s="14">
        <f>IF(원생!$A260="","",SUMIFS(수납!$F:$F,수납!$C:$C,원생!$A260,수납!$D:$D,IF(원생!$G260="","",원생!$G260),수납!$B:$B,$B$1&amp;"-"&amp;TEXT(12,"00")&amp;"*",수납!$E:$E,"수강료")+SUMIFS(수납!$F:$F,수납!$C:$C,원생!$A260,수납!$D:$D,IF(원생!$G260="","",원생!$G260),수납!$B:$B,$B$1&amp;"-"&amp;TEXT(12,"00")&amp;"*",수납!$E:$E,""))</f>
        <v/>
      </c>
      <c r="O262">
        <f>IF(원생!$I260="","",원생!$I260)</f>
        <v/>
      </c>
      <c r="P262">
        <f>IF($A262="","",IF(AND($B262&gt;0,C262&lt;$B262,DATE($B$1,1,1)&lt;=TODAY(),OR($O262="",$O262&gt;=DATE($B$1,1,1)),OR(COUNTIF($C262:C262,"&gt;0")&gt;0,DATE($B$1,1,1)=DATE(YEAR(TODAY()),MONTH(TODAY()),1))),1,0))</f>
        <v/>
      </c>
      <c r="Q262">
        <f>IF($A262="","",IF(AND($B262&gt;0,D262&lt;$B262,DATE($B$1,2,1)&lt;=TODAY(),OR($O262="",$O262&gt;=DATE($B$1,2,1)),OR(COUNTIF($C262:D262,"&gt;0")&gt;0,DATE($B$1,2,1)=DATE(YEAR(TODAY()),MONTH(TODAY()),1))),1,0))</f>
        <v/>
      </c>
      <c r="R262">
        <f>IF($A262="","",IF(AND($B262&gt;0,E262&lt;$B262,DATE($B$1,3,1)&lt;=TODAY(),OR($O262="",$O262&gt;=DATE($B$1,3,1)),OR(COUNTIF($C262:E262,"&gt;0")&gt;0,DATE($B$1,3,1)=DATE(YEAR(TODAY()),MONTH(TODAY()),1))),1,0))</f>
        <v/>
      </c>
      <c r="S262">
        <f>IF($A262="","",IF(AND($B262&gt;0,F262&lt;$B262,DATE($B$1,4,1)&lt;=TODAY(),OR($O262="",$O262&gt;=DATE($B$1,4,1)),OR(COUNTIF($C262:F262,"&gt;0")&gt;0,DATE($B$1,4,1)=DATE(YEAR(TODAY()),MONTH(TODAY()),1))),1,0))</f>
        <v/>
      </c>
      <c r="T262">
        <f>IF($A262="","",IF(AND($B262&gt;0,G262&lt;$B262,DATE($B$1,5,1)&lt;=TODAY(),OR($O262="",$O262&gt;=DATE($B$1,5,1)),OR(COUNTIF($C262:G262,"&gt;0")&gt;0,DATE($B$1,5,1)=DATE(YEAR(TODAY()),MONTH(TODAY()),1))),1,0))</f>
        <v/>
      </c>
      <c r="U262">
        <f>IF($A262="","",IF(AND($B262&gt;0,H262&lt;$B262,DATE($B$1,6,1)&lt;=TODAY(),OR($O262="",$O262&gt;=DATE($B$1,6,1)),OR(COUNTIF($C262:H262,"&gt;0")&gt;0,DATE($B$1,6,1)=DATE(YEAR(TODAY()),MONTH(TODAY()),1))),1,0))</f>
        <v/>
      </c>
      <c r="V262">
        <f>IF($A262="","",IF(AND($B262&gt;0,I262&lt;$B262,DATE($B$1,7,1)&lt;=TODAY(),OR($O262="",$O262&gt;=DATE($B$1,7,1)),OR(COUNTIF($C262:I262,"&gt;0")&gt;0,DATE($B$1,7,1)=DATE(YEAR(TODAY()),MONTH(TODAY()),1))),1,0))</f>
        <v/>
      </c>
      <c r="W262">
        <f>IF($A262="","",IF(AND($B262&gt;0,J262&lt;$B262,DATE($B$1,8,1)&lt;=TODAY(),OR($O262="",$O262&gt;=DATE($B$1,8,1)),OR(COUNTIF($C262:J262,"&gt;0")&gt;0,DATE($B$1,8,1)=DATE(YEAR(TODAY()),MONTH(TODAY()),1))),1,0))</f>
        <v/>
      </c>
      <c r="X262">
        <f>IF($A262="","",IF(AND($B262&gt;0,K262&lt;$B262,DATE($B$1,9,1)&lt;=TODAY(),OR($O262="",$O262&gt;=DATE($B$1,9,1)),OR(COUNTIF($C262:K262,"&gt;0")&gt;0,DATE($B$1,9,1)=DATE(YEAR(TODAY()),MONTH(TODAY()),1))),1,0))</f>
        <v/>
      </c>
      <c r="Y262">
        <f>IF($A262="","",IF(AND($B262&gt;0,L262&lt;$B262,DATE($B$1,10,1)&lt;=TODAY(),OR($O262="",$O262&gt;=DATE($B$1,10,1)),OR(COUNTIF($C262:L262,"&gt;0")&gt;0,DATE($B$1,10,1)=DATE(YEAR(TODAY()),MONTH(TODAY()),1))),1,0))</f>
        <v/>
      </c>
      <c r="Z262">
        <f>IF($A262="","",IF(AND($B262&gt;0,M262&lt;$B262,DATE($B$1,11,1)&lt;=TODAY(),OR($O262="",$O262&gt;=DATE($B$1,11,1)),OR(COUNTIF($C262:M262,"&gt;0")&gt;0,DATE($B$1,11,1)=DATE(YEAR(TODAY()),MONTH(TODAY()),1))),1,0))</f>
        <v/>
      </c>
      <c r="AA262">
        <f>IF($A262="","",IF(AND($B262&gt;0,N262&lt;$B262,DATE($B$1,12,1)&lt;=TODAY(),OR($O262="",$O262&gt;=DATE($B$1,12,1)),OR(COUNTIF($C262:N262,"&gt;0")&gt;0,DATE($B$1,12,1)=DATE(YEAR(TODAY()),MONTH(TODAY()),1))),1,0))</f>
        <v/>
      </c>
    </row>
    <row r="263">
      <c r="A263" s="13">
        <f>IF(원생!$A261="","",원생!$A261&amp;IF(원생!$G261="",""," ("&amp;원생!$G261&amp;")"))</f>
        <v/>
      </c>
      <c r="B263" s="8">
        <f>IF(원생!$A261="","",원생!$F261)</f>
        <v/>
      </c>
      <c r="C263" s="14">
        <f>IF(원생!$A261="","",SUMIFS(수납!$F:$F,수납!$C:$C,원생!$A261,수납!$D:$D,IF(원생!$G261="","",원생!$G261),수납!$B:$B,$B$1&amp;"-"&amp;TEXT(1,"00")&amp;"*",수납!$E:$E,"수강료")+SUMIFS(수납!$F:$F,수납!$C:$C,원생!$A261,수납!$D:$D,IF(원생!$G261="","",원생!$G261),수납!$B:$B,$B$1&amp;"-"&amp;TEXT(1,"00")&amp;"*",수납!$E:$E,""))</f>
        <v/>
      </c>
      <c r="D263" s="14">
        <f>IF(원생!$A261="","",SUMIFS(수납!$F:$F,수납!$C:$C,원생!$A261,수납!$D:$D,IF(원생!$G261="","",원생!$G261),수납!$B:$B,$B$1&amp;"-"&amp;TEXT(2,"00")&amp;"*",수납!$E:$E,"수강료")+SUMIFS(수납!$F:$F,수납!$C:$C,원생!$A261,수납!$D:$D,IF(원생!$G261="","",원생!$G261),수납!$B:$B,$B$1&amp;"-"&amp;TEXT(2,"00")&amp;"*",수납!$E:$E,""))</f>
        <v/>
      </c>
      <c r="E263" s="14">
        <f>IF(원생!$A261="","",SUMIFS(수납!$F:$F,수납!$C:$C,원생!$A261,수납!$D:$D,IF(원생!$G261="","",원생!$G261),수납!$B:$B,$B$1&amp;"-"&amp;TEXT(3,"00")&amp;"*",수납!$E:$E,"수강료")+SUMIFS(수납!$F:$F,수납!$C:$C,원생!$A261,수납!$D:$D,IF(원생!$G261="","",원생!$G261),수납!$B:$B,$B$1&amp;"-"&amp;TEXT(3,"00")&amp;"*",수납!$E:$E,""))</f>
        <v/>
      </c>
      <c r="F263" s="14">
        <f>IF(원생!$A261="","",SUMIFS(수납!$F:$F,수납!$C:$C,원생!$A261,수납!$D:$D,IF(원생!$G261="","",원생!$G261),수납!$B:$B,$B$1&amp;"-"&amp;TEXT(4,"00")&amp;"*",수납!$E:$E,"수강료")+SUMIFS(수납!$F:$F,수납!$C:$C,원생!$A261,수납!$D:$D,IF(원생!$G261="","",원생!$G261),수납!$B:$B,$B$1&amp;"-"&amp;TEXT(4,"00")&amp;"*",수납!$E:$E,""))</f>
        <v/>
      </c>
      <c r="G263" s="14">
        <f>IF(원생!$A261="","",SUMIFS(수납!$F:$F,수납!$C:$C,원생!$A261,수납!$D:$D,IF(원생!$G261="","",원생!$G261),수납!$B:$B,$B$1&amp;"-"&amp;TEXT(5,"00")&amp;"*",수납!$E:$E,"수강료")+SUMIFS(수납!$F:$F,수납!$C:$C,원생!$A261,수납!$D:$D,IF(원생!$G261="","",원생!$G261),수납!$B:$B,$B$1&amp;"-"&amp;TEXT(5,"00")&amp;"*",수납!$E:$E,""))</f>
        <v/>
      </c>
      <c r="H263" s="14">
        <f>IF(원생!$A261="","",SUMIFS(수납!$F:$F,수납!$C:$C,원생!$A261,수납!$D:$D,IF(원생!$G261="","",원생!$G261),수납!$B:$B,$B$1&amp;"-"&amp;TEXT(6,"00")&amp;"*",수납!$E:$E,"수강료")+SUMIFS(수납!$F:$F,수납!$C:$C,원생!$A261,수납!$D:$D,IF(원생!$G261="","",원생!$G261),수납!$B:$B,$B$1&amp;"-"&amp;TEXT(6,"00")&amp;"*",수납!$E:$E,""))</f>
        <v/>
      </c>
      <c r="I263" s="14">
        <f>IF(원생!$A261="","",SUMIFS(수납!$F:$F,수납!$C:$C,원생!$A261,수납!$D:$D,IF(원생!$G261="","",원생!$G261),수납!$B:$B,$B$1&amp;"-"&amp;TEXT(7,"00")&amp;"*",수납!$E:$E,"수강료")+SUMIFS(수납!$F:$F,수납!$C:$C,원생!$A261,수납!$D:$D,IF(원생!$G261="","",원생!$G261),수납!$B:$B,$B$1&amp;"-"&amp;TEXT(7,"00")&amp;"*",수납!$E:$E,""))</f>
        <v/>
      </c>
      <c r="J263" s="14">
        <f>IF(원생!$A261="","",SUMIFS(수납!$F:$F,수납!$C:$C,원생!$A261,수납!$D:$D,IF(원생!$G261="","",원생!$G261),수납!$B:$B,$B$1&amp;"-"&amp;TEXT(8,"00")&amp;"*",수납!$E:$E,"수강료")+SUMIFS(수납!$F:$F,수납!$C:$C,원생!$A261,수납!$D:$D,IF(원생!$G261="","",원생!$G261),수납!$B:$B,$B$1&amp;"-"&amp;TEXT(8,"00")&amp;"*",수납!$E:$E,""))</f>
        <v/>
      </c>
      <c r="K263" s="14">
        <f>IF(원생!$A261="","",SUMIFS(수납!$F:$F,수납!$C:$C,원생!$A261,수납!$D:$D,IF(원생!$G261="","",원생!$G261),수납!$B:$B,$B$1&amp;"-"&amp;TEXT(9,"00")&amp;"*",수납!$E:$E,"수강료")+SUMIFS(수납!$F:$F,수납!$C:$C,원생!$A261,수납!$D:$D,IF(원생!$G261="","",원생!$G261),수납!$B:$B,$B$1&amp;"-"&amp;TEXT(9,"00")&amp;"*",수납!$E:$E,""))</f>
        <v/>
      </c>
      <c r="L263" s="14">
        <f>IF(원생!$A261="","",SUMIFS(수납!$F:$F,수납!$C:$C,원생!$A261,수납!$D:$D,IF(원생!$G261="","",원생!$G261),수납!$B:$B,$B$1&amp;"-"&amp;TEXT(10,"00")&amp;"*",수납!$E:$E,"수강료")+SUMIFS(수납!$F:$F,수납!$C:$C,원생!$A261,수납!$D:$D,IF(원생!$G261="","",원생!$G261),수납!$B:$B,$B$1&amp;"-"&amp;TEXT(10,"00")&amp;"*",수납!$E:$E,""))</f>
        <v/>
      </c>
      <c r="M263" s="14">
        <f>IF(원생!$A261="","",SUMIFS(수납!$F:$F,수납!$C:$C,원생!$A261,수납!$D:$D,IF(원생!$G261="","",원생!$G261),수납!$B:$B,$B$1&amp;"-"&amp;TEXT(11,"00")&amp;"*",수납!$E:$E,"수강료")+SUMIFS(수납!$F:$F,수납!$C:$C,원생!$A261,수납!$D:$D,IF(원생!$G261="","",원생!$G261),수납!$B:$B,$B$1&amp;"-"&amp;TEXT(11,"00")&amp;"*",수납!$E:$E,""))</f>
        <v/>
      </c>
      <c r="N263" s="14">
        <f>IF(원생!$A261="","",SUMIFS(수납!$F:$F,수납!$C:$C,원생!$A261,수납!$D:$D,IF(원생!$G261="","",원생!$G261),수납!$B:$B,$B$1&amp;"-"&amp;TEXT(12,"00")&amp;"*",수납!$E:$E,"수강료")+SUMIFS(수납!$F:$F,수납!$C:$C,원생!$A261,수납!$D:$D,IF(원생!$G261="","",원생!$G261),수납!$B:$B,$B$1&amp;"-"&amp;TEXT(12,"00")&amp;"*",수납!$E:$E,""))</f>
        <v/>
      </c>
      <c r="O263">
        <f>IF(원생!$I261="","",원생!$I261)</f>
        <v/>
      </c>
      <c r="P263">
        <f>IF($A263="","",IF(AND($B263&gt;0,C263&lt;$B263,DATE($B$1,1,1)&lt;=TODAY(),OR($O263="",$O263&gt;=DATE($B$1,1,1)),OR(COUNTIF($C263:C263,"&gt;0")&gt;0,DATE($B$1,1,1)=DATE(YEAR(TODAY()),MONTH(TODAY()),1))),1,0))</f>
        <v/>
      </c>
      <c r="Q263">
        <f>IF($A263="","",IF(AND($B263&gt;0,D263&lt;$B263,DATE($B$1,2,1)&lt;=TODAY(),OR($O263="",$O263&gt;=DATE($B$1,2,1)),OR(COUNTIF($C263:D263,"&gt;0")&gt;0,DATE($B$1,2,1)=DATE(YEAR(TODAY()),MONTH(TODAY()),1))),1,0))</f>
        <v/>
      </c>
      <c r="R263">
        <f>IF($A263="","",IF(AND($B263&gt;0,E263&lt;$B263,DATE($B$1,3,1)&lt;=TODAY(),OR($O263="",$O263&gt;=DATE($B$1,3,1)),OR(COUNTIF($C263:E263,"&gt;0")&gt;0,DATE($B$1,3,1)=DATE(YEAR(TODAY()),MONTH(TODAY()),1))),1,0))</f>
        <v/>
      </c>
      <c r="S263">
        <f>IF($A263="","",IF(AND($B263&gt;0,F263&lt;$B263,DATE($B$1,4,1)&lt;=TODAY(),OR($O263="",$O263&gt;=DATE($B$1,4,1)),OR(COUNTIF($C263:F263,"&gt;0")&gt;0,DATE($B$1,4,1)=DATE(YEAR(TODAY()),MONTH(TODAY()),1))),1,0))</f>
        <v/>
      </c>
      <c r="T263">
        <f>IF($A263="","",IF(AND($B263&gt;0,G263&lt;$B263,DATE($B$1,5,1)&lt;=TODAY(),OR($O263="",$O263&gt;=DATE($B$1,5,1)),OR(COUNTIF($C263:G263,"&gt;0")&gt;0,DATE($B$1,5,1)=DATE(YEAR(TODAY()),MONTH(TODAY()),1))),1,0))</f>
        <v/>
      </c>
      <c r="U263">
        <f>IF($A263="","",IF(AND($B263&gt;0,H263&lt;$B263,DATE($B$1,6,1)&lt;=TODAY(),OR($O263="",$O263&gt;=DATE($B$1,6,1)),OR(COUNTIF($C263:H263,"&gt;0")&gt;0,DATE($B$1,6,1)=DATE(YEAR(TODAY()),MONTH(TODAY()),1))),1,0))</f>
        <v/>
      </c>
      <c r="V263">
        <f>IF($A263="","",IF(AND($B263&gt;0,I263&lt;$B263,DATE($B$1,7,1)&lt;=TODAY(),OR($O263="",$O263&gt;=DATE($B$1,7,1)),OR(COUNTIF($C263:I263,"&gt;0")&gt;0,DATE($B$1,7,1)=DATE(YEAR(TODAY()),MONTH(TODAY()),1))),1,0))</f>
        <v/>
      </c>
      <c r="W263">
        <f>IF($A263="","",IF(AND($B263&gt;0,J263&lt;$B263,DATE($B$1,8,1)&lt;=TODAY(),OR($O263="",$O263&gt;=DATE($B$1,8,1)),OR(COUNTIF($C263:J263,"&gt;0")&gt;0,DATE($B$1,8,1)=DATE(YEAR(TODAY()),MONTH(TODAY()),1))),1,0))</f>
        <v/>
      </c>
      <c r="X263">
        <f>IF($A263="","",IF(AND($B263&gt;0,K263&lt;$B263,DATE($B$1,9,1)&lt;=TODAY(),OR($O263="",$O263&gt;=DATE($B$1,9,1)),OR(COUNTIF($C263:K263,"&gt;0")&gt;0,DATE($B$1,9,1)=DATE(YEAR(TODAY()),MONTH(TODAY()),1))),1,0))</f>
        <v/>
      </c>
      <c r="Y263">
        <f>IF($A263="","",IF(AND($B263&gt;0,L263&lt;$B263,DATE($B$1,10,1)&lt;=TODAY(),OR($O263="",$O263&gt;=DATE($B$1,10,1)),OR(COUNTIF($C263:L263,"&gt;0")&gt;0,DATE($B$1,10,1)=DATE(YEAR(TODAY()),MONTH(TODAY()),1))),1,0))</f>
        <v/>
      </c>
      <c r="Z263">
        <f>IF($A263="","",IF(AND($B263&gt;0,M263&lt;$B263,DATE($B$1,11,1)&lt;=TODAY(),OR($O263="",$O263&gt;=DATE($B$1,11,1)),OR(COUNTIF($C263:M263,"&gt;0")&gt;0,DATE($B$1,11,1)=DATE(YEAR(TODAY()),MONTH(TODAY()),1))),1,0))</f>
        <v/>
      </c>
      <c r="AA263">
        <f>IF($A263="","",IF(AND($B263&gt;0,N263&lt;$B263,DATE($B$1,12,1)&lt;=TODAY(),OR($O263="",$O263&gt;=DATE($B$1,12,1)),OR(COUNTIF($C263:N263,"&gt;0")&gt;0,DATE($B$1,12,1)=DATE(YEAR(TODAY()),MONTH(TODAY()),1))),1,0))</f>
        <v/>
      </c>
    </row>
    <row r="264">
      <c r="A264" s="13">
        <f>IF(원생!$A262="","",원생!$A262&amp;IF(원생!$G262="",""," ("&amp;원생!$G262&amp;")"))</f>
        <v/>
      </c>
      <c r="B264" s="8">
        <f>IF(원생!$A262="","",원생!$F262)</f>
        <v/>
      </c>
      <c r="C264" s="14">
        <f>IF(원생!$A262="","",SUMIFS(수납!$F:$F,수납!$C:$C,원생!$A262,수납!$D:$D,IF(원생!$G262="","",원생!$G262),수납!$B:$B,$B$1&amp;"-"&amp;TEXT(1,"00")&amp;"*",수납!$E:$E,"수강료")+SUMIFS(수납!$F:$F,수납!$C:$C,원생!$A262,수납!$D:$D,IF(원생!$G262="","",원생!$G262),수납!$B:$B,$B$1&amp;"-"&amp;TEXT(1,"00")&amp;"*",수납!$E:$E,""))</f>
        <v/>
      </c>
      <c r="D264" s="14">
        <f>IF(원생!$A262="","",SUMIFS(수납!$F:$F,수납!$C:$C,원생!$A262,수납!$D:$D,IF(원생!$G262="","",원생!$G262),수납!$B:$B,$B$1&amp;"-"&amp;TEXT(2,"00")&amp;"*",수납!$E:$E,"수강료")+SUMIFS(수납!$F:$F,수납!$C:$C,원생!$A262,수납!$D:$D,IF(원생!$G262="","",원생!$G262),수납!$B:$B,$B$1&amp;"-"&amp;TEXT(2,"00")&amp;"*",수납!$E:$E,""))</f>
        <v/>
      </c>
      <c r="E264" s="14">
        <f>IF(원생!$A262="","",SUMIFS(수납!$F:$F,수납!$C:$C,원생!$A262,수납!$D:$D,IF(원생!$G262="","",원생!$G262),수납!$B:$B,$B$1&amp;"-"&amp;TEXT(3,"00")&amp;"*",수납!$E:$E,"수강료")+SUMIFS(수납!$F:$F,수납!$C:$C,원생!$A262,수납!$D:$D,IF(원생!$G262="","",원생!$G262),수납!$B:$B,$B$1&amp;"-"&amp;TEXT(3,"00")&amp;"*",수납!$E:$E,""))</f>
        <v/>
      </c>
      <c r="F264" s="14">
        <f>IF(원생!$A262="","",SUMIFS(수납!$F:$F,수납!$C:$C,원생!$A262,수납!$D:$D,IF(원생!$G262="","",원생!$G262),수납!$B:$B,$B$1&amp;"-"&amp;TEXT(4,"00")&amp;"*",수납!$E:$E,"수강료")+SUMIFS(수납!$F:$F,수납!$C:$C,원생!$A262,수납!$D:$D,IF(원생!$G262="","",원생!$G262),수납!$B:$B,$B$1&amp;"-"&amp;TEXT(4,"00")&amp;"*",수납!$E:$E,""))</f>
        <v/>
      </c>
      <c r="G264" s="14">
        <f>IF(원생!$A262="","",SUMIFS(수납!$F:$F,수납!$C:$C,원생!$A262,수납!$D:$D,IF(원생!$G262="","",원생!$G262),수납!$B:$B,$B$1&amp;"-"&amp;TEXT(5,"00")&amp;"*",수납!$E:$E,"수강료")+SUMIFS(수납!$F:$F,수납!$C:$C,원생!$A262,수납!$D:$D,IF(원생!$G262="","",원생!$G262),수납!$B:$B,$B$1&amp;"-"&amp;TEXT(5,"00")&amp;"*",수납!$E:$E,""))</f>
        <v/>
      </c>
      <c r="H264" s="14">
        <f>IF(원생!$A262="","",SUMIFS(수납!$F:$F,수납!$C:$C,원생!$A262,수납!$D:$D,IF(원생!$G262="","",원생!$G262),수납!$B:$B,$B$1&amp;"-"&amp;TEXT(6,"00")&amp;"*",수납!$E:$E,"수강료")+SUMIFS(수납!$F:$F,수납!$C:$C,원생!$A262,수납!$D:$D,IF(원생!$G262="","",원생!$G262),수납!$B:$B,$B$1&amp;"-"&amp;TEXT(6,"00")&amp;"*",수납!$E:$E,""))</f>
        <v/>
      </c>
      <c r="I264" s="14">
        <f>IF(원생!$A262="","",SUMIFS(수납!$F:$F,수납!$C:$C,원생!$A262,수납!$D:$D,IF(원생!$G262="","",원생!$G262),수납!$B:$B,$B$1&amp;"-"&amp;TEXT(7,"00")&amp;"*",수납!$E:$E,"수강료")+SUMIFS(수납!$F:$F,수납!$C:$C,원생!$A262,수납!$D:$D,IF(원생!$G262="","",원생!$G262),수납!$B:$B,$B$1&amp;"-"&amp;TEXT(7,"00")&amp;"*",수납!$E:$E,""))</f>
        <v/>
      </c>
      <c r="J264" s="14">
        <f>IF(원생!$A262="","",SUMIFS(수납!$F:$F,수납!$C:$C,원생!$A262,수납!$D:$D,IF(원생!$G262="","",원생!$G262),수납!$B:$B,$B$1&amp;"-"&amp;TEXT(8,"00")&amp;"*",수납!$E:$E,"수강료")+SUMIFS(수납!$F:$F,수납!$C:$C,원생!$A262,수납!$D:$D,IF(원생!$G262="","",원생!$G262),수납!$B:$B,$B$1&amp;"-"&amp;TEXT(8,"00")&amp;"*",수납!$E:$E,""))</f>
        <v/>
      </c>
      <c r="K264" s="14">
        <f>IF(원생!$A262="","",SUMIFS(수납!$F:$F,수납!$C:$C,원생!$A262,수납!$D:$D,IF(원생!$G262="","",원생!$G262),수납!$B:$B,$B$1&amp;"-"&amp;TEXT(9,"00")&amp;"*",수납!$E:$E,"수강료")+SUMIFS(수납!$F:$F,수납!$C:$C,원생!$A262,수납!$D:$D,IF(원생!$G262="","",원생!$G262),수납!$B:$B,$B$1&amp;"-"&amp;TEXT(9,"00")&amp;"*",수납!$E:$E,""))</f>
        <v/>
      </c>
      <c r="L264" s="14">
        <f>IF(원생!$A262="","",SUMIFS(수납!$F:$F,수납!$C:$C,원생!$A262,수납!$D:$D,IF(원생!$G262="","",원생!$G262),수납!$B:$B,$B$1&amp;"-"&amp;TEXT(10,"00")&amp;"*",수납!$E:$E,"수강료")+SUMIFS(수납!$F:$F,수납!$C:$C,원생!$A262,수납!$D:$D,IF(원생!$G262="","",원생!$G262),수납!$B:$B,$B$1&amp;"-"&amp;TEXT(10,"00")&amp;"*",수납!$E:$E,""))</f>
        <v/>
      </c>
      <c r="M264" s="14">
        <f>IF(원생!$A262="","",SUMIFS(수납!$F:$F,수납!$C:$C,원생!$A262,수납!$D:$D,IF(원생!$G262="","",원생!$G262),수납!$B:$B,$B$1&amp;"-"&amp;TEXT(11,"00")&amp;"*",수납!$E:$E,"수강료")+SUMIFS(수납!$F:$F,수납!$C:$C,원생!$A262,수납!$D:$D,IF(원생!$G262="","",원생!$G262),수납!$B:$B,$B$1&amp;"-"&amp;TEXT(11,"00")&amp;"*",수납!$E:$E,""))</f>
        <v/>
      </c>
      <c r="N264" s="14">
        <f>IF(원생!$A262="","",SUMIFS(수납!$F:$F,수납!$C:$C,원생!$A262,수납!$D:$D,IF(원생!$G262="","",원생!$G262),수납!$B:$B,$B$1&amp;"-"&amp;TEXT(12,"00")&amp;"*",수납!$E:$E,"수강료")+SUMIFS(수납!$F:$F,수납!$C:$C,원생!$A262,수납!$D:$D,IF(원생!$G262="","",원생!$G262),수납!$B:$B,$B$1&amp;"-"&amp;TEXT(12,"00")&amp;"*",수납!$E:$E,""))</f>
        <v/>
      </c>
      <c r="O264">
        <f>IF(원생!$I262="","",원생!$I262)</f>
        <v/>
      </c>
      <c r="P264">
        <f>IF($A264="","",IF(AND($B264&gt;0,C264&lt;$B264,DATE($B$1,1,1)&lt;=TODAY(),OR($O264="",$O264&gt;=DATE($B$1,1,1)),OR(COUNTIF($C264:C264,"&gt;0")&gt;0,DATE($B$1,1,1)=DATE(YEAR(TODAY()),MONTH(TODAY()),1))),1,0))</f>
        <v/>
      </c>
      <c r="Q264">
        <f>IF($A264="","",IF(AND($B264&gt;0,D264&lt;$B264,DATE($B$1,2,1)&lt;=TODAY(),OR($O264="",$O264&gt;=DATE($B$1,2,1)),OR(COUNTIF($C264:D264,"&gt;0")&gt;0,DATE($B$1,2,1)=DATE(YEAR(TODAY()),MONTH(TODAY()),1))),1,0))</f>
        <v/>
      </c>
      <c r="R264">
        <f>IF($A264="","",IF(AND($B264&gt;0,E264&lt;$B264,DATE($B$1,3,1)&lt;=TODAY(),OR($O264="",$O264&gt;=DATE($B$1,3,1)),OR(COUNTIF($C264:E264,"&gt;0")&gt;0,DATE($B$1,3,1)=DATE(YEAR(TODAY()),MONTH(TODAY()),1))),1,0))</f>
        <v/>
      </c>
      <c r="S264">
        <f>IF($A264="","",IF(AND($B264&gt;0,F264&lt;$B264,DATE($B$1,4,1)&lt;=TODAY(),OR($O264="",$O264&gt;=DATE($B$1,4,1)),OR(COUNTIF($C264:F264,"&gt;0")&gt;0,DATE($B$1,4,1)=DATE(YEAR(TODAY()),MONTH(TODAY()),1))),1,0))</f>
        <v/>
      </c>
      <c r="T264">
        <f>IF($A264="","",IF(AND($B264&gt;0,G264&lt;$B264,DATE($B$1,5,1)&lt;=TODAY(),OR($O264="",$O264&gt;=DATE($B$1,5,1)),OR(COUNTIF($C264:G264,"&gt;0")&gt;0,DATE($B$1,5,1)=DATE(YEAR(TODAY()),MONTH(TODAY()),1))),1,0))</f>
        <v/>
      </c>
      <c r="U264">
        <f>IF($A264="","",IF(AND($B264&gt;0,H264&lt;$B264,DATE($B$1,6,1)&lt;=TODAY(),OR($O264="",$O264&gt;=DATE($B$1,6,1)),OR(COUNTIF($C264:H264,"&gt;0")&gt;0,DATE($B$1,6,1)=DATE(YEAR(TODAY()),MONTH(TODAY()),1))),1,0))</f>
        <v/>
      </c>
      <c r="V264">
        <f>IF($A264="","",IF(AND($B264&gt;0,I264&lt;$B264,DATE($B$1,7,1)&lt;=TODAY(),OR($O264="",$O264&gt;=DATE($B$1,7,1)),OR(COUNTIF($C264:I264,"&gt;0")&gt;0,DATE($B$1,7,1)=DATE(YEAR(TODAY()),MONTH(TODAY()),1))),1,0))</f>
        <v/>
      </c>
      <c r="W264">
        <f>IF($A264="","",IF(AND($B264&gt;0,J264&lt;$B264,DATE($B$1,8,1)&lt;=TODAY(),OR($O264="",$O264&gt;=DATE($B$1,8,1)),OR(COUNTIF($C264:J264,"&gt;0")&gt;0,DATE($B$1,8,1)=DATE(YEAR(TODAY()),MONTH(TODAY()),1))),1,0))</f>
        <v/>
      </c>
      <c r="X264">
        <f>IF($A264="","",IF(AND($B264&gt;0,K264&lt;$B264,DATE($B$1,9,1)&lt;=TODAY(),OR($O264="",$O264&gt;=DATE($B$1,9,1)),OR(COUNTIF($C264:K264,"&gt;0")&gt;0,DATE($B$1,9,1)=DATE(YEAR(TODAY()),MONTH(TODAY()),1))),1,0))</f>
        <v/>
      </c>
      <c r="Y264">
        <f>IF($A264="","",IF(AND($B264&gt;0,L264&lt;$B264,DATE($B$1,10,1)&lt;=TODAY(),OR($O264="",$O264&gt;=DATE($B$1,10,1)),OR(COUNTIF($C264:L264,"&gt;0")&gt;0,DATE($B$1,10,1)=DATE(YEAR(TODAY()),MONTH(TODAY()),1))),1,0))</f>
        <v/>
      </c>
      <c r="Z264">
        <f>IF($A264="","",IF(AND($B264&gt;0,M264&lt;$B264,DATE($B$1,11,1)&lt;=TODAY(),OR($O264="",$O264&gt;=DATE($B$1,11,1)),OR(COUNTIF($C264:M264,"&gt;0")&gt;0,DATE($B$1,11,1)=DATE(YEAR(TODAY()),MONTH(TODAY()),1))),1,0))</f>
        <v/>
      </c>
      <c r="AA264">
        <f>IF($A264="","",IF(AND($B264&gt;0,N264&lt;$B264,DATE($B$1,12,1)&lt;=TODAY(),OR($O264="",$O264&gt;=DATE($B$1,12,1)),OR(COUNTIF($C264:N264,"&gt;0")&gt;0,DATE($B$1,12,1)=DATE(YEAR(TODAY()),MONTH(TODAY()),1))),1,0))</f>
        <v/>
      </c>
    </row>
    <row r="265">
      <c r="A265" s="13">
        <f>IF(원생!$A263="","",원생!$A263&amp;IF(원생!$G263="",""," ("&amp;원생!$G263&amp;")"))</f>
        <v/>
      </c>
      <c r="B265" s="8">
        <f>IF(원생!$A263="","",원생!$F263)</f>
        <v/>
      </c>
      <c r="C265" s="14">
        <f>IF(원생!$A263="","",SUMIFS(수납!$F:$F,수납!$C:$C,원생!$A263,수납!$D:$D,IF(원생!$G263="","",원생!$G263),수납!$B:$B,$B$1&amp;"-"&amp;TEXT(1,"00")&amp;"*",수납!$E:$E,"수강료")+SUMIFS(수납!$F:$F,수납!$C:$C,원생!$A263,수납!$D:$D,IF(원생!$G263="","",원생!$G263),수납!$B:$B,$B$1&amp;"-"&amp;TEXT(1,"00")&amp;"*",수납!$E:$E,""))</f>
        <v/>
      </c>
      <c r="D265" s="14">
        <f>IF(원생!$A263="","",SUMIFS(수납!$F:$F,수납!$C:$C,원생!$A263,수납!$D:$D,IF(원생!$G263="","",원생!$G263),수납!$B:$B,$B$1&amp;"-"&amp;TEXT(2,"00")&amp;"*",수납!$E:$E,"수강료")+SUMIFS(수납!$F:$F,수납!$C:$C,원생!$A263,수납!$D:$D,IF(원생!$G263="","",원생!$G263),수납!$B:$B,$B$1&amp;"-"&amp;TEXT(2,"00")&amp;"*",수납!$E:$E,""))</f>
        <v/>
      </c>
      <c r="E265" s="14">
        <f>IF(원생!$A263="","",SUMIFS(수납!$F:$F,수납!$C:$C,원생!$A263,수납!$D:$D,IF(원생!$G263="","",원생!$G263),수납!$B:$B,$B$1&amp;"-"&amp;TEXT(3,"00")&amp;"*",수납!$E:$E,"수강료")+SUMIFS(수납!$F:$F,수납!$C:$C,원생!$A263,수납!$D:$D,IF(원생!$G263="","",원생!$G263),수납!$B:$B,$B$1&amp;"-"&amp;TEXT(3,"00")&amp;"*",수납!$E:$E,""))</f>
        <v/>
      </c>
      <c r="F265" s="14">
        <f>IF(원생!$A263="","",SUMIFS(수납!$F:$F,수납!$C:$C,원생!$A263,수납!$D:$D,IF(원생!$G263="","",원생!$G263),수납!$B:$B,$B$1&amp;"-"&amp;TEXT(4,"00")&amp;"*",수납!$E:$E,"수강료")+SUMIFS(수납!$F:$F,수납!$C:$C,원생!$A263,수납!$D:$D,IF(원생!$G263="","",원생!$G263),수납!$B:$B,$B$1&amp;"-"&amp;TEXT(4,"00")&amp;"*",수납!$E:$E,""))</f>
        <v/>
      </c>
      <c r="G265" s="14">
        <f>IF(원생!$A263="","",SUMIFS(수납!$F:$F,수납!$C:$C,원생!$A263,수납!$D:$D,IF(원생!$G263="","",원생!$G263),수납!$B:$B,$B$1&amp;"-"&amp;TEXT(5,"00")&amp;"*",수납!$E:$E,"수강료")+SUMIFS(수납!$F:$F,수납!$C:$C,원생!$A263,수납!$D:$D,IF(원생!$G263="","",원생!$G263),수납!$B:$B,$B$1&amp;"-"&amp;TEXT(5,"00")&amp;"*",수납!$E:$E,""))</f>
        <v/>
      </c>
      <c r="H265" s="14">
        <f>IF(원생!$A263="","",SUMIFS(수납!$F:$F,수납!$C:$C,원생!$A263,수납!$D:$D,IF(원생!$G263="","",원생!$G263),수납!$B:$B,$B$1&amp;"-"&amp;TEXT(6,"00")&amp;"*",수납!$E:$E,"수강료")+SUMIFS(수납!$F:$F,수납!$C:$C,원생!$A263,수납!$D:$D,IF(원생!$G263="","",원생!$G263),수납!$B:$B,$B$1&amp;"-"&amp;TEXT(6,"00")&amp;"*",수납!$E:$E,""))</f>
        <v/>
      </c>
      <c r="I265" s="14">
        <f>IF(원생!$A263="","",SUMIFS(수납!$F:$F,수납!$C:$C,원생!$A263,수납!$D:$D,IF(원생!$G263="","",원생!$G263),수납!$B:$B,$B$1&amp;"-"&amp;TEXT(7,"00")&amp;"*",수납!$E:$E,"수강료")+SUMIFS(수납!$F:$F,수납!$C:$C,원생!$A263,수납!$D:$D,IF(원생!$G263="","",원생!$G263),수납!$B:$B,$B$1&amp;"-"&amp;TEXT(7,"00")&amp;"*",수납!$E:$E,""))</f>
        <v/>
      </c>
      <c r="J265" s="14">
        <f>IF(원생!$A263="","",SUMIFS(수납!$F:$F,수납!$C:$C,원생!$A263,수납!$D:$D,IF(원생!$G263="","",원생!$G263),수납!$B:$B,$B$1&amp;"-"&amp;TEXT(8,"00")&amp;"*",수납!$E:$E,"수강료")+SUMIFS(수납!$F:$F,수납!$C:$C,원생!$A263,수납!$D:$D,IF(원생!$G263="","",원생!$G263),수납!$B:$B,$B$1&amp;"-"&amp;TEXT(8,"00")&amp;"*",수납!$E:$E,""))</f>
        <v/>
      </c>
      <c r="K265" s="14">
        <f>IF(원생!$A263="","",SUMIFS(수납!$F:$F,수납!$C:$C,원생!$A263,수납!$D:$D,IF(원생!$G263="","",원생!$G263),수납!$B:$B,$B$1&amp;"-"&amp;TEXT(9,"00")&amp;"*",수납!$E:$E,"수강료")+SUMIFS(수납!$F:$F,수납!$C:$C,원생!$A263,수납!$D:$D,IF(원생!$G263="","",원생!$G263),수납!$B:$B,$B$1&amp;"-"&amp;TEXT(9,"00")&amp;"*",수납!$E:$E,""))</f>
        <v/>
      </c>
      <c r="L265" s="14">
        <f>IF(원생!$A263="","",SUMIFS(수납!$F:$F,수납!$C:$C,원생!$A263,수납!$D:$D,IF(원생!$G263="","",원생!$G263),수납!$B:$B,$B$1&amp;"-"&amp;TEXT(10,"00")&amp;"*",수납!$E:$E,"수강료")+SUMIFS(수납!$F:$F,수납!$C:$C,원생!$A263,수납!$D:$D,IF(원생!$G263="","",원생!$G263),수납!$B:$B,$B$1&amp;"-"&amp;TEXT(10,"00")&amp;"*",수납!$E:$E,""))</f>
        <v/>
      </c>
      <c r="M265" s="14">
        <f>IF(원생!$A263="","",SUMIFS(수납!$F:$F,수납!$C:$C,원생!$A263,수납!$D:$D,IF(원생!$G263="","",원생!$G263),수납!$B:$B,$B$1&amp;"-"&amp;TEXT(11,"00")&amp;"*",수납!$E:$E,"수강료")+SUMIFS(수납!$F:$F,수납!$C:$C,원생!$A263,수납!$D:$D,IF(원생!$G263="","",원생!$G263),수납!$B:$B,$B$1&amp;"-"&amp;TEXT(11,"00")&amp;"*",수납!$E:$E,""))</f>
        <v/>
      </c>
      <c r="N265" s="14">
        <f>IF(원생!$A263="","",SUMIFS(수납!$F:$F,수납!$C:$C,원생!$A263,수납!$D:$D,IF(원생!$G263="","",원생!$G263),수납!$B:$B,$B$1&amp;"-"&amp;TEXT(12,"00")&amp;"*",수납!$E:$E,"수강료")+SUMIFS(수납!$F:$F,수납!$C:$C,원생!$A263,수납!$D:$D,IF(원생!$G263="","",원생!$G263),수납!$B:$B,$B$1&amp;"-"&amp;TEXT(12,"00")&amp;"*",수납!$E:$E,""))</f>
        <v/>
      </c>
      <c r="O265">
        <f>IF(원생!$I263="","",원생!$I263)</f>
        <v/>
      </c>
      <c r="P265">
        <f>IF($A265="","",IF(AND($B265&gt;0,C265&lt;$B265,DATE($B$1,1,1)&lt;=TODAY(),OR($O265="",$O265&gt;=DATE($B$1,1,1)),OR(COUNTIF($C265:C265,"&gt;0")&gt;0,DATE($B$1,1,1)=DATE(YEAR(TODAY()),MONTH(TODAY()),1))),1,0))</f>
        <v/>
      </c>
      <c r="Q265">
        <f>IF($A265="","",IF(AND($B265&gt;0,D265&lt;$B265,DATE($B$1,2,1)&lt;=TODAY(),OR($O265="",$O265&gt;=DATE($B$1,2,1)),OR(COUNTIF($C265:D265,"&gt;0")&gt;0,DATE($B$1,2,1)=DATE(YEAR(TODAY()),MONTH(TODAY()),1))),1,0))</f>
        <v/>
      </c>
      <c r="R265">
        <f>IF($A265="","",IF(AND($B265&gt;0,E265&lt;$B265,DATE($B$1,3,1)&lt;=TODAY(),OR($O265="",$O265&gt;=DATE($B$1,3,1)),OR(COUNTIF($C265:E265,"&gt;0")&gt;0,DATE($B$1,3,1)=DATE(YEAR(TODAY()),MONTH(TODAY()),1))),1,0))</f>
        <v/>
      </c>
      <c r="S265">
        <f>IF($A265="","",IF(AND($B265&gt;0,F265&lt;$B265,DATE($B$1,4,1)&lt;=TODAY(),OR($O265="",$O265&gt;=DATE($B$1,4,1)),OR(COUNTIF($C265:F265,"&gt;0")&gt;0,DATE($B$1,4,1)=DATE(YEAR(TODAY()),MONTH(TODAY()),1))),1,0))</f>
        <v/>
      </c>
      <c r="T265">
        <f>IF($A265="","",IF(AND($B265&gt;0,G265&lt;$B265,DATE($B$1,5,1)&lt;=TODAY(),OR($O265="",$O265&gt;=DATE($B$1,5,1)),OR(COUNTIF($C265:G265,"&gt;0")&gt;0,DATE($B$1,5,1)=DATE(YEAR(TODAY()),MONTH(TODAY()),1))),1,0))</f>
        <v/>
      </c>
      <c r="U265">
        <f>IF($A265="","",IF(AND($B265&gt;0,H265&lt;$B265,DATE($B$1,6,1)&lt;=TODAY(),OR($O265="",$O265&gt;=DATE($B$1,6,1)),OR(COUNTIF($C265:H265,"&gt;0")&gt;0,DATE($B$1,6,1)=DATE(YEAR(TODAY()),MONTH(TODAY()),1))),1,0))</f>
        <v/>
      </c>
      <c r="V265">
        <f>IF($A265="","",IF(AND($B265&gt;0,I265&lt;$B265,DATE($B$1,7,1)&lt;=TODAY(),OR($O265="",$O265&gt;=DATE($B$1,7,1)),OR(COUNTIF($C265:I265,"&gt;0")&gt;0,DATE($B$1,7,1)=DATE(YEAR(TODAY()),MONTH(TODAY()),1))),1,0))</f>
        <v/>
      </c>
      <c r="W265">
        <f>IF($A265="","",IF(AND($B265&gt;0,J265&lt;$B265,DATE($B$1,8,1)&lt;=TODAY(),OR($O265="",$O265&gt;=DATE($B$1,8,1)),OR(COUNTIF($C265:J265,"&gt;0")&gt;0,DATE($B$1,8,1)=DATE(YEAR(TODAY()),MONTH(TODAY()),1))),1,0))</f>
        <v/>
      </c>
      <c r="X265">
        <f>IF($A265="","",IF(AND($B265&gt;0,K265&lt;$B265,DATE($B$1,9,1)&lt;=TODAY(),OR($O265="",$O265&gt;=DATE($B$1,9,1)),OR(COUNTIF($C265:K265,"&gt;0")&gt;0,DATE($B$1,9,1)=DATE(YEAR(TODAY()),MONTH(TODAY()),1))),1,0))</f>
        <v/>
      </c>
      <c r="Y265">
        <f>IF($A265="","",IF(AND($B265&gt;0,L265&lt;$B265,DATE($B$1,10,1)&lt;=TODAY(),OR($O265="",$O265&gt;=DATE($B$1,10,1)),OR(COUNTIF($C265:L265,"&gt;0")&gt;0,DATE($B$1,10,1)=DATE(YEAR(TODAY()),MONTH(TODAY()),1))),1,0))</f>
        <v/>
      </c>
      <c r="Z265">
        <f>IF($A265="","",IF(AND($B265&gt;0,M265&lt;$B265,DATE($B$1,11,1)&lt;=TODAY(),OR($O265="",$O265&gt;=DATE($B$1,11,1)),OR(COUNTIF($C265:M265,"&gt;0")&gt;0,DATE($B$1,11,1)=DATE(YEAR(TODAY()),MONTH(TODAY()),1))),1,0))</f>
        <v/>
      </c>
      <c r="AA265">
        <f>IF($A265="","",IF(AND($B265&gt;0,N265&lt;$B265,DATE($B$1,12,1)&lt;=TODAY(),OR($O265="",$O265&gt;=DATE($B$1,12,1)),OR(COUNTIF($C265:N265,"&gt;0")&gt;0,DATE($B$1,12,1)=DATE(YEAR(TODAY()),MONTH(TODAY()),1))),1,0))</f>
        <v/>
      </c>
    </row>
    <row r="266">
      <c r="A266" s="13">
        <f>IF(원생!$A264="","",원생!$A264&amp;IF(원생!$G264="",""," ("&amp;원생!$G264&amp;")"))</f>
        <v/>
      </c>
      <c r="B266" s="8">
        <f>IF(원생!$A264="","",원생!$F264)</f>
        <v/>
      </c>
      <c r="C266" s="14">
        <f>IF(원생!$A264="","",SUMIFS(수납!$F:$F,수납!$C:$C,원생!$A264,수납!$D:$D,IF(원생!$G264="","",원생!$G264),수납!$B:$B,$B$1&amp;"-"&amp;TEXT(1,"00")&amp;"*",수납!$E:$E,"수강료")+SUMIFS(수납!$F:$F,수납!$C:$C,원생!$A264,수납!$D:$D,IF(원생!$G264="","",원생!$G264),수납!$B:$B,$B$1&amp;"-"&amp;TEXT(1,"00")&amp;"*",수납!$E:$E,""))</f>
        <v/>
      </c>
      <c r="D266" s="14">
        <f>IF(원생!$A264="","",SUMIFS(수납!$F:$F,수납!$C:$C,원생!$A264,수납!$D:$D,IF(원생!$G264="","",원생!$G264),수납!$B:$B,$B$1&amp;"-"&amp;TEXT(2,"00")&amp;"*",수납!$E:$E,"수강료")+SUMIFS(수납!$F:$F,수납!$C:$C,원생!$A264,수납!$D:$D,IF(원생!$G264="","",원생!$G264),수납!$B:$B,$B$1&amp;"-"&amp;TEXT(2,"00")&amp;"*",수납!$E:$E,""))</f>
        <v/>
      </c>
      <c r="E266" s="14">
        <f>IF(원생!$A264="","",SUMIFS(수납!$F:$F,수납!$C:$C,원생!$A264,수납!$D:$D,IF(원생!$G264="","",원생!$G264),수납!$B:$B,$B$1&amp;"-"&amp;TEXT(3,"00")&amp;"*",수납!$E:$E,"수강료")+SUMIFS(수납!$F:$F,수납!$C:$C,원생!$A264,수납!$D:$D,IF(원생!$G264="","",원생!$G264),수납!$B:$B,$B$1&amp;"-"&amp;TEXT(3,"00")&amp;"*",수납!$E:$E,""))</f>
        <v/>
      </c>
      <c r="F266" s="14">
        <f>IF(원생!$A264="","",SUMIFS(수납!$F:$F,수납!$C:$C,원생!$A264,수납!$D:$D,IF(원생!$G264="","",원생!$G264),수납!$B:$B,$B$1&amp;"-"&amp;TEXT(4,"00")&amp;"*",수납!$E:$E,"수강료")+SUMIFS(수납!$F:$F,수납!$C:$C,원생!$A264,수납!$D:$D,IF(원생!$G264="","",원생!$G264),수납!$B:$B,$B$1&amp;"-"&amp;TEXT(4,"00")&amp;"*",수납!$E:$E,""))</f>
        <v/>
      </c>
      <c r="G266" s="14">
        <f>IF(원생!$A264="","",SUMIFS(수납!$F:$F,수납!$C:$C,원생!$A264,수납!$D:$D,IF(원생!$G264="","",원생!$G264),수납!$B:$B,$B$1&amp;"-"&amp;TEXT(5,"00")&amp;"*",수납!$E:$E,"수강료")+SUMIFS(수납!$F:$F,수납!$C:$C,원생!$A264,수납!$D:$D,IF(원생!$G264="","",원생!$G264),수납!$B:$B,$B$1&amp;"-"&amp;TEXT(5,"00")&amp;"*",수납!$E:$E,""))</f>
        <v/>
      </c>
      <c r="H266" s="14">
        <f>IF(원생!$A264="","",SUMIFS(수납!$F:$F,수납!$C:$C,원생!$A264,수납!$D:$D,IF(원생!$G264="","",원생!$G264),수납!$B:$B,$B$1&amp;"-"&amp;TEXT(6,"00")&amp;"*",수납!$E:$E,"수강료")+SUMIFS(수납!$F:$F,수납!$C:$C,원생!$A264,수납!$D:$D,IF(원생!$G264="","",원생!$G264),수납!$B:$B,$B$1&amp;"-"&amp;TEXT(6,"00")&amp;"*",수납!$E:$E,""))</f>
        <v/>
      </c>
      <c r="I266" s="14">
        <f>IF(원생!$A264="","",SUMIFS(수납!$F:$F,수납!$C:$C,원생!$A264,수납!$D:$D,IF(원생!$G264="","",원생!$G264),수납!$B:$B,$B$1&amp;"-"&amp;TEXT(7,"00")&amp;"*",수납!$E:$E,"수강료")+SUMIFS(수납!$F:$F,수납!$C:$C,원생!$A264,수납!$D:$D,IF(원생!$G264="","",원생!$G264),수납!$B:$B,$B$1&amp;"-"&amp;TEXT(7,"00")&amp;"*",수납!$E:$E,""))</f>
        <v/>
      </c>
      <c r="J266" s="14">
        <f>IF(원생!$A264="","",SUMIFS(수납!$F:$F,수납!$C:$C,원생!$A264,수납!$D:$D,IF(원생!$G264="","",원생!$G264),수납!$B:$B,$B$1&amp;"-"&amp;TEXT(8,"00")&amp;"*",수납!$E:$E,"수강료")+SUMIFS(수납!$F:$F,수납!$C:$C,원생!$A264,수납!$D:$D,IF(원생!$G264="","",원생!$G264),수납!$B:$B,$B$1&amp;"-"&amp;TEXT(8,"00")&amp;"*",수납!$E:$E,""))</f>
        <v/>
      </c>
      <c r="K266" s="14">
        <f>IF(원생!$A264="","",SUMIFS(수납!$F:$F,수납!$C:$C,원생!$A264,수납!$D:$D,IF(원생!$G264="","",원생!$G264),수납!$B:$B,$B$1&amp;"-"&amp;TEXT(9,"00")&amp;"*",수납!$E:$E,"수강료")+SUMIFS(수납!$F:$F,수납!$C:$C,원생!$A264,수납!$D:$D,IF(원생!$G264="","",원생!$G264),수납!$B:$B,$B$1&amp;"-"&amp;TEXT(9,"00")&amp;"*",수납!$E:$E,""))</f>
        <v/>
      </c>
      <c r="L266" s="14">
        <f>IF(원생!$A264="","",SUMIFS(수납!$F:$F,수납!$C:$C,원생!$A264,수납!$D:$D,IF(원생!$G264="","",원생!$G264),수납!$B:$B,$B$1&amp;"-"&amp;TEXT(10,"00")&amp;"*",수납!$E:$E,"수강료")+SUMIFS(수납!$F:$F,수납!$C:$C,원생!$A264,수납!$D:$D,IF(원생!$G264="","",원생!$G264),수납!$B:$B,$B$1&amp;"-"&amp;TEXT(10,"00")&amp;"*",수납!$E:$E,""))</f>
        <v/>
      </c>
      <c r="M266" s="14">
        <f>IF(원생!$A264="","",SUMIFS(수납!$F:$F,수납!$C:$C,원생!$A264,수납!$D:$D,IF(원생!$G264="","",원생!$G264),수납!$B:$B,$B$1&amp;"-"&amp;TEXT(11,"00")&amp;"*",수납!$E:$E,"수강료")+SUMIFS(수납!$F:$F,수납!$C:$C,원생!$A264,수납!$D:$D,IF(원생!$G264="","",원생!$G264),수납!$B:$B,$B$1&amp;"-"&amp;TEXT(11,"00")&amp;"*",수납!$E:$E,""))</f>
        <v/>
      </c>
      <c r="N266" s="14">
        <f>IF(원생!$A264="","",SUMIFS(수납!$F:$F,수납!$C:$C,원생!$A264,수납!$D:$D,IF(원생!$G264="","",원생!$G264),수납!$B:$B,$B$1&amp;"-"&amp;TEXT(12,"00")&amp;"*",수납!$E:$E,"수강료")+SUMIFS(수납!$F:$F,수납!$C:$C,원생!$A264,수납!$D:$D,IF(원생!$G264="","",원생!$G264),수납!$B:$B,$B$1&amp;"-"&amp;TEXT(12,"00")&amp;"*",수납!$E:$E,""))</f>
        <v/>
      </c>
      <c r="O266">
        <f>IF(원생!$I264="","",원생!$I264)</f>
        <v/>
      </c>
      <c r="P266">
        <f>IF($A266="","",IF(AND($B266&gt;0,C266&lt;$B266,DATE($B$1,1,1)&lt;=TODAY(),OR($O266="",$O266&gt;=DATE($B$1,1,1)),OR(COUNTIF($C266:C266,"&gt;0")&gt;0,DATE($B$1,1,1)=DATE(YEAR(TODAY()),MONTH(TODAY()),1))),1,0))</f>
        <v/>
      </c>
      <c r="Q266">
        <f>IF($A266="","",IF(AND($B266&gt;0,D266&lt;$B266,DATE($B$1,2,1)&lt;=TODAY(),OR($O266="",$O266&gt;=DATE($B$1,2,1)),OR(COUNTIF($C266:D266,"&gt;0")&gt;0,DATE($B$1,2,1)=DATE(YEAR(TODAY()),MONTH(TODAY()),1))),1,0))</f>
        <v/>
      </c>
      <c r="R266">
        <f>IF($A266="","",IF(AND($B266&gt;0,E266&lt;$B266,DATE($B$1,3,1)&lt;=TODAY(),OR($O266="",$O266&gt;=DATE($B$1,3,1)),OR(COUNTIF($C266:E266,"&gt;0")&gt;0,DATE($B$1,3,1)=DATE(YEAR(TODAY()),MONTH(TODAY()),1))),1,0))</f>
        <v/>
      </c>
      <c r="S266">
        <f>IF($A266="","",IF(AND($B266&gt;0,F266&lt;$B266,DATE($B$1,4,1)&lt;=TODAY(),OR($O266="",$O266&gt;=DATE($B$1,4,1)),OR(COUNTIF($C266:F266,"&gt;0")&gt;0,DATE($B$1,4,1)=DATE(YEAR(TODAY()),MONTH(TODAY()),1))),1,0))</f>
        <v/>
      </c>
      <c r="T266">
        <f>IF($A266="","",IF(AND($B266&gt;0,G266&lt;$B266,DATE($B$1,5,1)&lt;=TODAY(),OR($O266="",$O266&gt;=DATE($B$1,5,1)),OR(COUNTIF($C266:G266,"&gt;0")&gt;0,DATE($B$1,5,1)=DATE(YEAR(TODAY()),MONTH(TODAY()),1))),1,0))</f>
        <v/>
      </c>
      <c r="U266">
        <f>IF($A266="","",IF(AND($B266&gt;0,H266&lt;$B266,DATE($B$1,6,1)&lt;=TODAY(),OR($O266="",$O266&gt;=DATE($B$1,6,1)),OR(COUNTIF($C266:H266,"&gt;0")&gt;0,DATE($B$1,6,1)=DATE(YEAR(TODAY()),MONTH(TODAY()),1))),1,0))</f>
        <v/>
      </c>
      <c r="V266">
        <f>IF($A266="","",IF(AND($B266&gt;0,I266&lt;$B266,DATE($B$1,7,1)&lt;=TODAY(),OR($O266="",$O266&gt;=DATE($B$1,7,1)),OR(COUNTIF($C266:I266,"&gt;0")&gt;0,DATE($B$1,7,1)=DATE(YEAR(TODAY()),MONTH(TODAY()),1))),1,0))</f>
        <v/>
      </c>
      <c r="W266">
        <f>IF($A266="","",IF(AND($B266&gt;0,J266&lt;$B266,DATE($B$1,8,1)&lt;=TODAY(),OR($O266="",$O266&gt;=DATE($B$1,8,1)),OR(COUNTIF($C266:J266,"&gt;0")&gt;0,DATE($B$1,8,1)=DATE(YEAR(TODAY()),MONTH(TODAY()),1))),1,0))</f>
        <v/>
      </c>
      <c r="X266">
        <f>IF($A266="","",IF(AND($B266&gt;0,K266&lt;$B266,DATE($B$1,9,1)&lt;=TODAY(),OR($O266="",$O266&gt;=DATE($B$1,9,1)),OR(COUNTIF($C266:K266,"&gt;0")&gt;0,DATE($B$1,9,1)=DATE(YEAR(TODAY()),MONTH(TODAY()),1))),1,0))</f>
        <v/>
      </c>
      <c r="Y266">
        <f>IF($A266="","",IF(AND($B266&gt;0,L266&lt;$B266,DATE($B$1,10,1)&lt;=TODAY(),OR($O266="",$O266&gt;=DATE($B$1,10,1)),OR(COUNTIF($C266:L266,"&gt;0")&gt;0,DATE($B$1,10,1)=DATE(YEAR(TODAY()),MONTH(TODAY()),1))),1,0))</f>
        <v/>
      </c>
      <c r="Z266">
        <f>IF($A266="","",IF(AND($B266&gt;0,M266&lt;$B266,DATE($B$1,11,1)&lt;=TODAY(),OR($O266="",$O266&gt;=DATE($B$1,11,1)),OR(COUNTIF($C266:M266,"&gt;0")&gt;0,DATE($B$1,11,1)=DATE(YEAR(TODAY()),MONTH(TODAY()),1))),1,0))</f>
        <v/>
      </c>
      <c r="AA266">
        <f>IF($A266="","",IF(AND($B266&gt;0,N266&lt;$B266,DATE($B$1,12,1)&lt;=TODAY(),OR($O266="",$O266&gt;=DATE($B$1,12,1)),OR(COUNTIF($C266:N266,"&gt;0")&gt;0,DATE($B$1,12,1)=DATE(YEAR(TODAY()),MONTH(TODAY()),1))),1,0))</f>
        <v/>
      </c>
    </row>
    <row r="267">
      <c r="A267" s="13">
        <f>IF(원생!$A265="","",원생!$A265&amp;IF(원생!$G265="",""," ("&amp;원생!$G265&amp;")"))</f>
        <v/>
      </c>
      <c r="B267" s="8">
        <f>IF(원생!$A265="","",원생!$F265)</f>
        <v/>
      </c>
      <c r="C267" s="14">
        <f>IF(원생!$A265="","",SUMIFS(수납!$F:$F,수납!$C:$C,원생!$A265,수납!$D:$D,IF(원생!$G265="","",원생!$G265),수납!$B:$B,$B$1&amp;"-"&amp;TEXT(1,"00")&amp;"*",수납!$E:$E,"수강료")+SUMIFS(수납!$F:$F,수납!$C:$C,원생!$A265,수납!$D:$D,IF(원생!$G265="","",원생!$G265),수납!$B:$B,$B$1&amp;"-"&amp;TEXT(1,"00")&amp;"*",수납!$E:$E,""))</f>
        <v/>
      </c>
      <c r="D267" s="14">
        <f>IF(원생!$A265="","",SUMIFS(수납!$F:$F,수납!$C:$C,원생!$A265,수납!$D:$D,IF(원생!$G265="","",원생!$G265),수납!$B:$B,$B$1&amp;"-"&amp;TEXT(2,"00")&amp;"*",수납!$E:$E,"수강료")+SUMIFS(수납!$F:$F,수납!$C:$C,원생!$A265,수납!$D:$D,IF(원생!$G265="","",원생!$G265),수납!$B:$B,$B$1&amp;"-"&amp;TEXT(2,"00")&amp;"*",수납!$E:$E,""))</f>
        <v/>
      </c>
      <c r="E267" s="14">
        <f>IF(원생!$A265="","",SUMIFS(수납!$F:$F,수납!$C:$C,원생!$A265,수납!$D:$D,IF(원생!$G265="","",원생!$G265),수납!$B:$B,$B$1&amp;"-"&amp;TEXT(3,"00")&amp;"*",수납!$E:$E,"수강료")+SUMIFS(수납!$F:$F,수납!$C:$C,원생!$A265,수납!$D:$D,IF(원생!$G265="","",원생!$G265),수납!$B:$B,$B$1&amp;"-"&amp;TEXT(3,"00")&amp;"*",수납!$E:$E,""))</f>
        <v/>
      </c>
      <c r="F267" s="14">
        <f>IF(원생!$A265="","",SUMIFS(수납!$F:$F,수납!$C:$C,원생!$A265,수납!$D:$D,IF(원생!$G265="","",원생!$G265),수납!$B:$B,$B$1&amp;"-"&amp;TEXT(4,"00")&amp;"*",수납!$E:$E,"수강료")+SUMIFS(수납!$F:$F,수납!$C:$C,원생!$A265,수납!$D:$D,IF(원생!$G265="","",원생!$G265),수납!$B:$B,$B$1&amp;"-"&amp;TEXT(4,"00")&amp;"*",수납!$E:$E,""))</f>
        <v/>
      </c>
      <c r="G267" s="14">
        <f>IF(원생!$A265="","",SUMIFS(수납!$F:$F,수납!$C:$C,원생!$A265,수납!$D:$D,IF(원생!$G265="","",원생!$G265),수납!$B:$B,$B$1&amp;"-"&amp;TEXT(5,"00")&amp;"*",수납!$E:$E,"수강료")+SUMIFS(수납!$F:$F,수납!$C:$C,원생!$A265,수납!$D:$D,IF(원생!$G265="","",원생!$G265),수납!$B:$B,$B$1&amp;"-"&amp;TEXT(5,"00")&amp;"*",수납!$E:$E,""))</f>
        <v/>
      </c>
      <c r="H267" s="14">
        <f>IF(원생!$A265="","",SUMIFS(수납!$F:$F,수납!$C:$C,원생!$A265,수납!$D:$D,IF(원생!$G265="","",원생!$G265),수납!$B:$B,$B$1&amp;"-"&amp;TEXT(6,"00")&amp;"*",수납!$E:$E,"수강료")+SUMIFS(수납!$F:$F,수납!$C:$C,원생!$A265,수납!$D:$D,IF(원생!$G265="","",원생!$G265),수납!$B:$B,$B$1&amp;"-"&amp;TEXT(6,"00")&amp;"*",수납!$E:$E,""))</f>
        <v/>
      </c>
      <c r="I267" s="14">
        <f>IF(원생!$A265="","",SUMIFS(수납!$F:$F,수납!$C:$C,원생!$A265,수납!$D:$D,IF(원생!$G265="","",원생!$G265),수납!$B:$B,$B$1&amp;"-"&amp;TEXT(7,"00")&amp;"*",수납!$E:$E,"수강료")+SUMIFS(수납!$F:$F,수납!$C:$C,원생!$A265,수납!$D:$D,IF(원생!$G265="","",원생!$G265),수납!$B:$B,$B$1&amp;"-"&amp;TEXT(7,"00")&amp;"*",수납!$E:$E,""))</f>
        <v/>
      </c>
      <c r="J267" s="14">
        <f>IF(원생!$A265="","",SUMIFS(수납!$F:$F,수납!$C:$C,원생!$A265,수납!$D:$D,IF(원생!$G265="","",원생!$G265),수납!$B:$B,$B$1&amp;"-"&amp;TEXT(8,"00")&amp;"*",수납!$E:$E,"수강료")+SUMIFS(수납!$F:$F,수납!$C:$C,원생!$A265,수납!$D:$D,IF(원생!$G265="","",원생!$G265),수납!$B:$B,$B$1&amp;"-"&amp;TEXT(8,"00")&amp;"*",수납!$E:$E,""))</f>
        <v/>
      </c>
      <c r="K267" s="14">
        <f>IF(원생!$A265="","",SUMIFS(수납!$F:$F,수납!$C:$C,원생!$A265,수납!$D:$D,IF(원생!$G265="","",원생!$G265),수납!$B:$B,$B$1&amp;"-"&amp;TEXT(9,"00")&amp;"*",수납!$E:$E,"수강료")+SUMIFS(수납!$F:$F,수납!$C:$C,원생!$A265,수납!$D:$D,IF(원생!$G265="","",원생!$G265),수납!$B:$B,$B$1&amp;"-"&amp;TEXT(9,"00")&amp;"*",수납!$E:$E,""))</f>
        <v/>
      </c>
      <c r="L267" s="14">
        <f>IF(원생!$A265="","",SUMIFS(수납!$F:$F,수납!$C:$C,원생!$A265,수납!$D:$D,IF(원생!$G265="","",원생!$G265),수납!$B:$B,$B$1&amp;"-"&amp;TEXT(10,"00")&amp;"*",수납!$E:$E,"수강료")+SUMIFS(수납!$F:$F,수납!$C:$C,원생!$A265,수납!$D:$D,IF(원생!$G265="","",원생!$G265),수납!$B:$B,$B$1&amp;"-"&amp;TEXT(10,"00")&amp;"*",수납!$E:$E,""))</f>
        <v/>
      </c>
      <c r="M267" s="14">
        <f>IF(원생!$A265="","",SUMIFS(수납!$F:$F,수납!$C:$C,원생!$A265,수납!$D:$D,IF(원생!$G265="","",원생!$G265),수납!$B:$B,$B$1&amp;"-"&amp;TEXT(11,"00")&amp;"*",수납!$E:$E,"수강료")+SUMIFS(수납!$F:$F,수납!$C:$C,원생!$A265,수납!$D:$D,IF(원생!$G265="","",원생!$G265),수납!$B:$B,$B$1&amp;"-"&amp;TEXT(11,"00")&amp;"*",수납!$E:$E,""))</f>
        <v/>
      </c>
      <c r="N267" s="14">
        <f>IF(원생!$A265="","",SUMIFS(수납!$F:$F,수납!$C:$C,원생!$A265,수납!$D:$D,IF(원생!$G265="","",원생!$G265),수납!$B:$B,$B$1&amp;"-"&amp;TEXT(12,"00")&amp;"*",수납!$E:$E,"수강료")+SUMIFS(수납!$F:$F,수납!$C:$C,원생!$A265,수납!$D:$D,IF(원생!$G265="","",원생!$G265),수납!$B:$B,$B$1&amp;"-"&amp;TEXT(12,"00")&amp;"*",수납!$E:$E,""))</f>
        <v/>
      </c>
      <c r="O267">
        <f>IF(원생!$I265="","",원생!$I265)</f>
        <v/>
      </c>
      <c r="P267">
        <f>IF($A267="","",IF(AND($B267&gt;0,C267&lt;$B267,DATE($B$1,1,1)&lt;=TODAY(),OR($O267="",$O267&gt;=DATE($B$1,1,1)),OR(COUNTIF($C267:C267,"&gt;0")&gt;0,DATE($B$1,1,1)=DATE(YEAR(TODAY()),MONTH(TODAY()),1))),1,0))</f>
        <v/>
      </c>
      <c r="Q267">
        <f>IF($A267="","",IF(AND($B267&gt;0,D267&lt;$B267,DATE($B$1,2,1)&lt;=TODAY(),OR($O267="",$O267&gt;=DATE($B$1,2,1)),OR(COUNTIF($C267:D267,"&gt;0")&gt;0,DATE($B$1,2,1)=DATE(YEAR(TODAY()),MONTH(TODAY()),1))),1,0))</f>
        <v/>
      </c>
      <c r="R267">
        <f>IF($A267="","",IF(AND($B267&gt;0,E267&lt;$B267,DATE($B$1,3,1)&lt;=TODAY(),OR($O267="",$O267&gt;=DATE($B$1,3,1)),OR(COUNTIF($C267:E267,"&gt;0")&gt;0,DATE($B$1,3,1)=DATE(YEAR(TODAY()),MONTH(TODAY()),1))),1,0))</f>
        <v/>
      </c>
      <c r="S267">
        <f>IF($A267="","",IF(AND($B267&gt;0,F267&lt;$B267,DATE($B$1,4,1)&lt;=TODAY(),OR($O267="",$O267&gt;=DATE($B$1,4,1)),OR(COUNTIF($C267:F267,"&gt;0")&gt;0,DATE($B$1,4,1)=DATE(YEAR(TODAY()),MONTH(TODAY()),1))),1,0))</f>
        <v/>
      </c>
      <c r="T267">
        <f>IF($A267="","",IF(AND($B267&gt;0,G267&lt;$B267,DATE($B$1,5,1)&lt;=TODAY(),OR($O267="",$O267&gt;=DATE($B$1,5,1)),OR(COUNTIF($C267:G267,"&gt;0")&gt;0,DATE($B$1,5,1)=DATE(YEAR(TODAY()),MONTH(TODAY()),1))),1,0))</f>
        <v/>
      </c>
      <c r="U267">
        <f>IF($A267="","",IF(AND($B267&gt;0,H267&lt;$B267,DATE($B$1,6,1)&lt;=TODAY(),OR($O267="",$O267&gt;=DATE($B$1,6,1)),OR(COUNTIF($C267:H267,"&gt;0")&gt;0,DATE($B$1,6,1)=DATE(YEAR(TODAY()),MONTH(TODAY()),1))),1,0))</f>
        <v/>
      </c>
      <c r="V267">
        <f>IF($A267="","",IF(AND($B267&gt;0,I267&lt;$B267,DATE($B$1,7,1)&lt;=TODAY(),OR($O267="",$O267&gt;=DATE($B$1,7,1)),OR(COUNTIF($C267:I267,"&gt;0")&gt;0,DATE($B$1,7,1)=DATE(YEAR(TODAY()),MONTH(TODAY()),1))),1,0))</f>
        <v/>
      </c>
      <c r="W267">
        <f>IF($A267="","",IF(AND($B267&gt;0,J267&lt;$B267,DATE($B$1,8,1)&lt;=TODAY(),OR($O267="",$O267&gt;=DATE($B$1,8,1)),OR(COUNTIF($C267:J267,"&gt;0")&gt;0,DATE($B$1,8,1)=DATE(YEAR(TODAY()),MONTH(TODAY()),1))),1,0))</f>
        <v/>
      </c>
      <c r="X267">
        <f>IF($A267="","",IF(AND($B267&gt;0,K267&lt;$B267,DATE($B$1,9,1)&lt;=TODAY(),OR($O267="",$O267&gt;=DATE($B$1,9,1)),OR(COUNTIF($C267:K267,"&gt;0")&gt;0,DATE($B$1,9,1)=DATE(YEAR(TODAY()),MONTH(TODAY()),1))),1,0))</f>
        <v/>
      </c>
      <c r="Y267">
        <f>IF($A267="","",IF(AND($B267&gt;0,L267&lt;$B267,DATE($B$1,10,1)&lt;=TODAY(),OR($O267="",$O267&gt;=DATE($B$1,10,1)),OR(COUNTIF($C267:L267,"&gt;0")&gt;0,DATE($B$1,10,1)=DATE(YEAR(TODAY()),MONTH(TODAY()),1))),1,0))</f>
        <v/>
      </c>
      <c r="Z267">
        <f>IF($A267="","",IF(AND($B267&gt;0,M267&lt;$B267,DATE($B$1,11,1)&lt;=TODAY(),OR($O267="",$O267&gt;=DATE($B$1,11,1)),OR(COUNTIF($C267:M267,"&gt;0")&gt;0,DATE($B$1,11,1)=DATE(YEAR(TODAY()),MONTH(TODAY()),1))),1,0))</f>
        <v/>
      </c>
      <c r="AA267">
        <f>IF($A267="","",IF(AND($B267&gt;0,N267&lt;$B267,DATE($B$1,12,1)&lt;=TODAY(),OR($O267="",$O267&gt;=DATE($B$1,12,1)),OR(COUNTIF($C267:N267,"&gt;0")&gt;0,DATE($B$1,12,1)=DATE(YEAR(TODAY()),MONTH(TODAY()),1))),1,0))</f>
        <v/>
      </c>
    </row>
    <row r="268">
      <c r="A268" s="13">
        <f>IF(원생!$A266="","",원생!$A266&amp;IF(원생!$G266="",""," ("&amp;원생!$G266&amp;")"))</f>
        <v/>
      </c>
      <c r="B268" s="8">
        <f>IF(원생!$A266="","",원생!$F266)</f>
        <v/>
      </c>
      <c r="C268" s="14">
        <f>IF(원생!$A266="","",SUMIFS(수납!$F:$F,수납!$C:$C,원생!$A266,수납!$D:$D,IF(원생!$G266="","",원생!$G266),수납!$B:$B,$B$1&amp;"-"&amp;TEXT(1,"00")&amp;"*",수납!$E:$E,"수강료")+SUMIFS(수납!$F:$F,수납!$C:$C,원생!$A266,수납!$D:$D,IF(원생!$G266="","",원생!$G266),수납!$B:$B,$B$1&amp;"-"&amp;TEXT(1,"00")&amp;"*",수납!$E:$E,""))</f>
        <v/>
      </c>
      <c r="D268" s="14">
        <f>IF(원생!$A266="","",SUMIFS(수납!$F:$F,수납!$C:$C,원생!$A266,수납!$D:$D,IF(원생!$G266="","",원생!$G266),수납!$B:$B,$B$1&amp;"-"&amp;TEXT(2,"00")&amp;"*",수납!$E:$E,"수강료")+SUMIFS(수납!$F:$F,수납!$C:$C,원생!$A266,수납!$D:$D,IF(원생!$G266="","",원생!$G266),수납!$B:$B,$B$1&amp;"-"&amp;TEXT(2,"00")&amp;"*",수납!$E:$E,""))</f>
        <v/>
      </c>
      <c r="E268" s="14">
        <f>IF(원생!$A266="","",SUMIFS(수납!$F:$F,수납!$C:$C,원생!$A266,수납!$D:$D,IF(원생!$G266="","",원생!$G266),수납!$B:$B,$B$1&amp;"-"&amp;TEXT(3,"00")&amp;"*",수납!$E:$E,"수강료")+SUMIFS(수납!$F:$F,수납!$C:$C,원생!$A266,수납!$D:$D,IF(원생!$G266="","",원생!$G266),수납!$B:$B,$B$1&amp;"-"&amp;TEXT(3,"00")&amp;"*",수납!$E:$E,""))</f>
        <v/>
      </c>
      <c r="F268" s="14">
        <f>IF(원생!$A266="","",SUMIFS(수납!$F:$F,수납!$C:$C,원생!$A266,수납!$D:$D,IF(원생!$G266="","",원생!$G266),수납!$B:$B,$B$1&amp;"-"&amp;TEXT(4,"00")&amp;"*",수납!$E:$E,"수강료")+SUMIFS(수납!$F:$F,수납!$C:$C,원생!$A266,수납!$D:$D,IF(원생!$G266="","",원생!$G266),수납!$B:$B,$B$1&amp;"-"&amp;TEXT(4,"00")&amp;"*",수납!$E:$E,""))</f>
        <v/>
      </c>
      <c r="G268" s="14">
        <f>IF(원생!$A266="","",SUMIFS(수납!$F:$F,수납!$C:$C,원생!$A266,수납!$D:$D,IF(원생!$G266="","",원생!$G266),수납!$B:$B,$B$1&amp;"-"&amp;TEXT(5,"00")&amp;"*",수납!$E:$E,"수강료")+SUMIFS(수납!$F:$F,수납!$C:$C,원생!$A266,수납!$D:$D,IF(원생!$G266="","",원생!$G266),수납!$B:$B,$B$1&amp;"-"&amp;TEXT(5,"00")&amp;"*",수납!$E:$E,""))</f>
        <v/>
      </c>
      <c r="H268" s="14">
        <f>IF(원생!$A266="","",SUMIFS(수납!$F:$F,수납!$C:$C,원생!$A266,수납!$D:$D,IF(원생!$G266="","",원생!$G266),수납!$B:$B,$B$1&amp;"-"&amp;TEXT(6,"00")&amp;"*",수납!$E:$E,"수강료")+SUMIFS(수납!$F:$F,수납!$C:$C,원생!$A266,수납!$D:$D,IF(원생!$G266="","",원생!$G266),수납!$B:$B,$B$1&amp;"-"&amp;TEXT(6,"00")&amp;"*",수납!$E:$E,""))</f>
        <v/>
      </c>
      <c r="I268" s="14">
        <f>IF(원생!$A266="","",SUMIFS(수납!$F:$F,수납!$C:$C,원생!$A266,수납!$D:$D,IF(원생!$G266="","",원생!$G266),수납!$B:$B,$B$1&amp;"-"&amp;TEXT(7,"00")&amp;"*",수납!$E:$E,"수강료")+SUMIFS(수납!$F:$F,수납!$C:$C,원생!$A266,수납!$D:$D,IF(원생!$G266="","",원생!$G266),수납!$B:$B,$B$1&amp;"-"&amp;TEXT(7,"00")&amp;"*",수납!$E:$E,""))</f>
        <v/>
      </c>
      <c r="J268" s="14">
        <f>IF(원생!$A266="","",SUMIFS(수납!$F:$F,수납!$C:$C,원생!$A266,수납!$D:$D,IF(원생!$G266="","",원생!$G266),수납!$B:$B,$B$1&amp;"-"&amp;TEXT(8,"00")&amp;"*",수납!$E:$E,"수강료")+SUMIFS(수납!$F:$F,수납!$C:$C,원생!$A266,수납!$D:$D,IF(원생!$G266="","",원생!$G266),수납!$B:$B,$B$1&amp;"-"&amp;TEXT(8,"00")&amp;"*",수납!$E:$E,""))</f>
        <v/>
      </c>
      <c r="K268" s="14">
        <f>IF(원생!$A266="","",SUMIFS(수납!$F:$F,수납!$C:$C,원생!$A266,수납!$D:$D,IF(원생!$G266="","",원생!$G266),수납!$B:$B,$B$1&amp;"-"&amp;TEXT(9,"00")&amp;"*",수납!$E:$E,"수강료")+SUMIFS(수납!$F:$F,수납!$C:$C,원생!$A266,수납!$D:$D,IF(원생!$G266="","",원생!$G266),수납!$B:$B,$B$1&amp;"-"&amp;TEXT(9,"00")&amp;"*",수납!$E:$E,""))</f>
        <v/>
      </c>
      <c r="L268" s="14">
        <f>IF(원생!$A266="","",SUMIFS(수납!$F:$F,수납!$C:$C,원생!$A266,수납!$D:$D,IF(원생!$G266="","",원생!$G266),수납!$B:$B,$B$1&amp;"-"&amp;TEXT(10,"00")&amp;"*",수납!$E:$E,"수강료")+SUMIFS(수납!$F:$F,수납!$C:$C,원생!$A266,수납!$D:$D,IF(원생!$G266="","",원생!$G266),수납!$B:$B,$B$1&amp;"-"&amp;TEXT(10,"00")&amp;"*",수납!$E:$E,""))</f>
        <v/>
      </c>
      <c r="M268" s="14">
        <f>IF(원생!$A266="","",SUMIFS(수납!$F:$F,수납!$C:$C,원생!$A266,수납!$D:$D,IF(원생!$G266="","",원생!$G266),수납!$B:$B,$B$1&amp;"-"&amp;TEXT(11,"00")&amp;"*",수납!$E:$E,"수강료")+SUMIFS(수납!$F:$F,수납!$C:$C,원생!$A266,수납!$D:$D,IF(원생!$G266="","",원생!$G266),수납!$B:$B,$B$1&amp;"-"&amp;TEXT(11,"00")&amp;"*",수납!$E:$E,""))</f>
        <v/>
      </c>
      <c r="N268" s="14">
        <f>IF(원생!$A266="","",SUMIFS(수납!$F:$F,수납!$C:$C,원생!$A266,수납!$D:$D,IF(원생!$G266="","",원생!$G266),수납!$B:$B,$B$1&amp;"-"&amp;TEXT(12,"00")&amp;"*",수납!$E:$E,"수강료")+SUMIFS(수납!$F:$F,수납!$C:$C,원생!$A266,수납!$D:$D,IF(원생!$G266="","",원생!$G266),수납!$B:$B,$B$1&amp;"-"&amp;TEXT(12,"00")&amp;"*",수납!$E:$E,""))</f>
        <v/>
      </c>
      <c r="O268">
        <f>IF(원생!$I266="","",원생!$I266)</f>
        <v/>
      </c>
      <c r="P268">
        <f>IF($A268="","",IF(AND($B268&gt;0,C268&lt;$B268,DATE($B$1,1,1)&lt;=TODAY(),OR($O268="",$O268&gt;=DATE($B$1,1,1)),OR(COUNTIF($C268:C268,"&gt;0")&gt;0,DATE($B$1,1,1)=DATE(YEAR(TODAY()),MONTH(TODAY()),1))),1,0))</f>
        <v/>
      </c>
      <c r="Q268">
        <f>IF($A268="","",IF(AND($B268&gt;0,D268&lt;$B268,DATE($B$1,2,1)&lt;=TODAY(),OR($O268="",$O268&gt;=DATE($B$1,2,1)),OR(COUNTIF($C268:D268,"&gt;0")&gt;0,DATE($B$1,2,1)=DATE(YEAR(TODAY()),MONTH(TODAY()),1))),1,0))</f>
        <v/>
      </c>
      <c r="R268">
        <f>IF($A268="","",IF(AND($B268&gt;0,E268&lt;$B268,DATE($B$1,3,1)&lt;=TODAY(),OR($O268="",$O268&gt;=DATE($B$1,3,1)),OR(COUNTIF($C268:E268,"&gt;0")&gt;0,DATE($B$1,3,1)=DATE(YEAR(TODAY()),MONTH(TODAY()),1))),1,0))</f>
        <v/>
      </c>
      <c r="S268">
        <f>IF($A268="","",IF(AND($B268&gt;0,F268&lt;$B268,DATE($B$1,4,1)&lt;=TODAY(),OR($O268="",$O268&gt;=DATE($B$1,4,1)),OR(COUNTIF($C268:F268,"&gt;0")&gt;0,DATE($B$1,4,1)=DATE(YEAR(TODAY()),MONTH(TODAY()),1))),1,0))</f>
        <v/>
      </c>
      <c r="T268">
        <f>IF($A268="","",IF(AND($B268&gt;0,G268&lt;$B268,DATE($B$1,5,1)&lt;=TODAY(),OR($O268="",$O268&gt;=DATE($B$1,5,1)),OR(COUNTIF($C268:G268,"&gt;0")&gt;0,DATE($B$1,5,1)=DATE(YEAR(TODAY()),MONTH(TODAY()),1))),1,0))</f>
        <v/>
      </c>
      <c r="U268">
        <f>IF($A268="","",IF(AND($B268&gt;0,H268&lt;$B268,DATE($B$1,6,1)&lt;=TODAY(),OR($O268="",$O268&gt;=DATE($B$1,6,1)),OR(COUNTIF($C268:H268,"&gt;0")&gt;0,DATE($B$1,6,1)=DATE(YEAR(TODAY()),MONTH(TODAY()),1))),1,0))</f>
        <v/>
      </c>
      <c r="V268">
        <f>IF($A268="","",IF(AND($B268&gt;0,I268&lt;$B268,DATE($B$1,7,1)&lt;=TODAY(),OR($O268="",$O268&gt;=DATE($B$1,7,1)),OR(COUNTIF($C268:I268,"&gt;0")&gt;0,DATE($B$1,7,1)=DATE(YEAR(TODAY()),MONTH(TODAY()),1))),1,0))</f>
        <v/>
      </c>
      <c r="W268">
        <f>IF($A268="","",IF(AND($B268&gt;0,J268&lt;$B268,DATE($B$1,8,1)&lt;=TODAY(),OR($O268="",$O268&gt;=DATE($B$1,8,1)),OR(COUNTIF($C268:J268,"&gt;0")&gt;0,DATE($B$1,8,1)=DATE(YEAR(TODAY()),MONTH(TODAY()),1))),1,0))</f>
        <v/>
      </c>
      <c r="X268">
        <f>IF($A268="","",IF(AND($B268&gt;0,K268&lt;$B268,DATE($B$1,9,1)&lt;=TODAY(),OR($O268="",$O268&gt;=DATE($B$1,9,1)),OR(COUNTIF($C268:K268,"&gt;0")&gt;0,DATE($B$1,9,1)=DATE(YEAR(TODAY()),MONTH(TODAY()),1))),1,0))</f>
        <v/>
      </c>
      <c r="Y268">
        <f>IF($A268="","",IF(AND($B268&gt;0,L268&lt;$B268,DATE($B$1,10,1)&lt;=TODAY(),OR($O268="",$O268&gt;=DATE($B$1,10,1)),OR(COUNTIF($C268:L268,"&gt;0")&gt;0,DATE($B$1,10,1)=DATE(YEAR(TODAY()),MONTH(TODAY()),1))),1,0))</f>
        <v/>
      </c>
      <c r="Z268">
        <f>IF($A268="","",IF(AND($B268&gt;0,M268&lt;$B268,DATE($B$1,11,1)&lt;=TODAY(),OR($O268="",$O268&gt;=DATE($B$1,11,1)),OR(COUNTIF($C268:M268,"&gt;0")&gt;0,DATE($B$1,11,1)=DATE(YEAR(TODAY()),MONTH(TODAY()),1))),1,0))</f>
        <v/>
      </c>
      <c r="AA268">
        <f>IF($A268="","",IF(AND($B268&gt;0,N268&lt;$B268,DATE($B$1,12,1)&lt;=TODAY(),OR($O268="",$O268&gt;=DATE($B$1,12,1)),OR(COUNTIF($C268:N268,"&gt;0")&gt;0,DATE($B$1,12,1)=DATE(YEAR(TODAY()),MONTH(TODAY()),1))),1,0))</f>
        <v/>
      </c>
    </row>
    <row r="269">
      <c r="A269" s="13">
        <f>IF(원생!$A267="","",원생!$A267&amp;IF(원생!$G267="",""," ("&amp;원생!$G267&amp;")"))</f>
        <v/>
      </c>
      <c r="B269" s="8">
        <f>IF(원생!$A267="","",원생!$F267)</f>
        <v/>
      </c>
      <c r="C269" s="14">
        <f>IF(원생!$A267="","",SUMIFS(수납!$F:$F,수납!$C:$C,원생!$A267,수납!$D:$D,IF(원생!$G267="","",원생!$G267),수납!$B:$B,$B$1&amp;"-"&amp;TEXT(1,"00")&amp;"*",수납!$E:$E,"수강료")+SUMIFS(수납!$F:$F,수납!$C:$C,원생!$A267,수납!$D:$D,IF(원생!$G267="","",원생!$G267),수납!$B:$B,$B$1&amp;"-"&amp;TEXT(1,"00")&amp;"*",수납!$E:$E,""))</f>
        <v/>
      </c>
      <c r="D269" s="14">
        <f>IF(원생!$A267="","",SUMIFS(수납!$F:$F,수납!$C:$C,원생!$A267,수납!$D:$D,IF(원생!$G267="","",원생!$G267),수납!$B:$B,$B$1&amp;"-"&amp;TEXT(2,"00")&amp;"*",수납!$E:$E,"수강료")+SUMIFS(수납!$F:$F,수납!$C:$C,원생!$A267,수납!$D:$D,IF(원생!$G267="","",원생!$G267),수납!$B:$B,$B$1&amp;"-"&amp;TEXT(2,"00")&amp;"*",수납!$E:$E,""))</f>
        <v/>
      </c>
      <c r="E269" s="14">
        <f>IF(원생!$A267="","",SUMIFS(수납!$F:$F,수납!$C:$C,원생!$A267,수납!$D:$D,IF(원생!$G267="","",원생!$G267),수납!$B:$B,$B$1&amp;"-"&amp;TEXT(3,"00")&amp;"*",수납!$E:$E,"수강료")+SUMIFS(수납!$F:$F,수납!$C:$C,원생!$A267,수납!$D:$D,IF(원생!$G267="","",원생!$G267),수납!$B:$B,$B$1&amp;"-"&amp;TEXT(3,"00")&amp;"*",수납!$E:$E,""))</f>
        <v/>
      </c>
      <c r="F269" s="14">
        <f>IF(원생!$A267="","",SUMIFS(수납!$F:$F,수납!$C:$C,원생!$A267,수납!$D:$D,IF(원생!$G267="","",원생!$G267),수납!$B:$B,$B$1&amp;"-"&amp;TEXT(4,"00")&amp;"*",수납!$E:$E,"수강료")+SUMIFS(수납!$F:$F,수납!$C:$C,원생!$A267,수납!$D:$D,IF(원생!$G267="","",원생!$G267),수납!$B:$B,$B$1&amp;"-"&amp;TEXT(4,"00")&amp;"*",수납!$E:$E,""))</f>
        <v/>
      </c>
      <c r="G269" s="14">
        <f>IF(원생!$A267="","",SUMIFS(수납!$F:$F,수납!$C:$C,원생!$A267,수납!$D:$D,IF(원생!$G267="","",원생!$G267),수납!$B:$B,$B$1&amp;"-"&amp;TEXT(5,"00")&amp;"*",수납!$E:$E,"수강료")+SUMIFS(수납!$F:$F,수납!$C:$C,원생!$A267,수납!$D:$D,IF(원생!$G267="","",원생!$G267),수납!$B:$B,$B$1&amp;"-"&amp;TEXT(5,"00")&amp;"*",수납!$E:$E,""))</f>
        <v/>
      </c>
      <c r="H269" s="14">
        <f>IF(원생!$A267="","",SUMIFS(수납!$F:$F,수납!$C:$C,원생!$A267,수납!$D:$D,IF(원생!$G267="","",원생!$G267),수납!$B:$B,$B$1&amp;"-"&amp;TEXT(6,"00")&amp;"*",수납!$E:$E,"수강료")+SUMIFS(수납!$F:$F,수납!$C:$C,원생!$A267,수납!$D:$D,IF(원생!$G267="","",원생!$G267),수납!$B:$B,$B$1&amp;"-"&amp;TEXT(6,"00")&amp;"*",수납!$E:$E,""))</f>
        <v/>
      </c>
      <c r="I269" s="14">
        <f>IF(원생!$A267="","",SUMIFS(수납!$F:$F,수납!$C:$C,원생!$A267,수납!$D:$D,IF(원생!$G267="","",원생!$G267),수납!$B:$B,$B$1&amp;"-"&amp;TEXT(7,"00")&amp;"*",수납!$E:$E,"수강료")+SUMIFS(수납!$F:$F,수납!$C:$C,원생!$A267,수납!$D:$D,IF(원생!$G267="","",원생!$G267),수납!$B:$B,$B$1&amp;"-"&amp;TEXT(7,"00")&amp;"*",수납!$E:$E,""))</f>
        <v/>
      </c>
      <c r="J269" s="14">
        <f>IF(원생!$A267="","",SUMIFS(수납!$F:$F,수납!$C:$C,원생!$A267,수납!$D:$D,IF(원생!$G267="","",원생!$G267),수납!$B:$B,$B$1&amp;"-"&amp;TEXT(8,"00")&amp;"*",수납!$E:$E,"수강료")+SUMIFS(수납!$F:$F,수납!$C:$C,원생!$A267,수납!$D:$D,IF(원생!$G267="","",원생!$G267),수납!$B:$B,$B$1&amp;"-"&amp;TEXT(8,"00")&amp;"*",수납!$E:$E,""))</f>
        <v/>
      </c>
      <c r="K269" s="14">
        <f>IF(원생!$A267="","",SUMIFS(수납!$F:$F,수납!$C:$C,원생!$A267,수납!$D:$D,IF(원생!$G267="","",원생!$G267),수납!$B:$B,$B$1&amp;"-"&amp;TEXT(9,"00")&amp;"*",수납!$E:$E,"수강료")+SUMIFS(수납!$F:$F,수납!$C:$C,원생!$A267,수납!$D:$D,IF(원생!$G267="","",원생!$G267),수납!$B:$B,$B$1&amp;"-"&amp;TEXT(9,"00")&amp;"*",수납!$E:$E,""))</f>
        <v/>
      </c>
      <c r="L269" s="14">
        <f>IF(원생!$A267="","",SUMIFS(수납!$F:$F,수납!$C:$C,원생!$A267,수납!$D:$D,IF(원생!$G267="","",원생!$G267),수납!$B:$B,$B$1&amp;"-"&amp;TEXT(10,"00")&amp;"*",수납!$E:$E,"수강료")+SUMIFS(수납!$F:$F,수납!$C:$C,원생!$A267,수납!$D:$D,IF(원생!$G267="","",원생!$G267),수납!$B:$B,$B$1&amp;"-"&amp;TEXT(10,"00")&amp;"*",수납!$E:$E,""))</f>
        <v/>
      </c>
      <c r="M269" s="14">
        <f>IF(원생!$A267="","",SUMIFS(수납!$F:$F,수납!$C:$C,원생!$A267,수납!$D:$D,IF(원생!$G267="","",원생!$G267),수납!$B:$B,$B$1&amp;"-"&amp;TEXT(11,"00")&amp;"*",수납!$E:$E,"수강료")+SUMIFS(수납!$F:$F,수납!$C:$C,원생!$A267,수납!$D:$D,IF(원생!$G267="","",원생!$G267),수납!$B:$B,$B$1&amp;"-"&amp;TEXT(11,"00")&amp;"*",수납!$E:$E,""))</f>
        <v/>
      </c>
      <c r="N269" s="14">
        <f>IF(원생!$A267="","",SUMIFS(수납!$F:$F,수납!$C:$C,원생!$A267,수납!$D:$D,IF(원생!$G267="","",원생!$G267),수납!$B:$B,$B$1&amp;"-"&amp;TEXT(12,"00")&amp;"*",수납!$E:$E,"수강료")+SUMIFS(수납!$F:$F,수납!$C:$C,원생!$A267,수납!$D:$D,IF(원생!$G267="","",원생!$G267),수납!$B:$B,$B$1&amp;"-"&amp;TEXT(12,"00")&amp;"*",수납!$E:$E,""))</f>
        <v/>
      </c>
      <c r="O269">
        <f>IF(원생!$I267="","",원생!$I267)</f>
        <v/>
      </c>
      <c r="P269">
        <f>IF($A269="","",IF(AND($B269&gt;0,C269&lt;$B269,DATE($B$1,1,1)&lt;=TODAY(),OR($O269="",$O269&gt;=DATE($B$1,1,1)),OR(COUNTIF($C269:C269,"&gt;0")&gt;0,DATE($B$1,1,1)=DATE(YEAR(TODAY()),MONTH(TODAY()),1))),1,0))</f>
        <v/>
      </c>
      <c r="Q269">
        <f>IF($A269="","",IF(AND($B269&gt;0,D269&lt;$B269,DATE($B$1,2,1)&lt;=TODAY(),OR($O269="",$O269&gt;=DATE($B$1,2,1)),OR(COUNTIF($C269:D269,"&gt;0")&gt;0,DATE($B$1,2,1)=DATE(YEAR(TODAY()),MONTH(TODAY()),1))),1,0))</f>
        <v/>
      </c>
      <c r="R269">
        <f>IF($A269="","",IF(AND($B269&gt;0,E269&lt;$B269,DATE($B$1,3,1)&lt;=TODAY(),OR($O269="",$O269&gt;=DATE($B$1,3,1)),OR(COUNTIF($C269:E269,"&gt;0")&gt;0,DATE($B$1,3,1)=DATE(YEAR(TODAY()),MONTH(TODAY()),1))),1,0))</f>
        <v/>
      </c>
      <c r="S269">
        <f>IF($A269="","",IF(AND($B269&gt;0,F269&lt;$B269,DATE($B$1,4,1)&lt;=TODAY(),OR($O269="",$O269&gt;=DATE($B$1,4,1)),OR(COUNTIF($C269:F269,"&gt;0")&gt;0,DATE($B$1,4,1)=DATE(YEAR(TODAY()),MONTH(TODAY()),1))),1,0))</f>
        <v/>
      </c>
      <c r="T269">
        <f>IF($A269="","",IF(AND($B269&gt;0,G269&lt;$B269,DATE($B$1,5,1)&lt;=TODAY(),OR($O269="",$O269&gt;=DATE($B$1,5,1)),OR(COUNTIF($C269:G269,"&gt;0")&gt;0,DATE($B$1,5,1)=DATE(YEAR(TODAY()),MONTH(TODAY()),1))),1,0))</f>
        <v/>
      </c>
      <c r="U269">
        <f>IF($A269="","",IF(AND($B269&gt;0,H269&lt;$B269,DATE($B$1,6,1)&lt;=TODAY(),OR($O269="",$O269&gt;=DATE($B$1,6,1)),OR(COUNTIF($C269:H269,"&gt;0")&gt;0,DATE($B$1,6,1)=DATE(YEAR(TODAY()),MONTH(TODAY()),1))),1,0))</f>
        <v/>
      </c>
      <c r="V269">
        <f>IF($A269="","",IF(AND($B269&gt;0,I269&lt;$B269,DATE($B$1,7,1)&lt;=TODAY(),OR($O269="",$O269&gt;=DATE($B$1,7,1)),OR(COUNTIF($C269:I269,"&gt;0")&gt;0,DATE($B$1,7,1)=DATE(YEAR(TODAY()),MONTH(TODAY()),1))),1,0))</f>
        <v/>
      </c>
      <c r="W269">
        <f>IF($A269="","",IF(AND($B269&gt;0,J269&lt;$B269,DATE($B$1,8,1)&lt;=TODAY(),OR($O269="",$O269&gt;=DATE($B$1,8,1)),OR(COUNTIF($C269:J269,"&gt;0")&gt;0,DATE($B$1,8,1)=DATE(YEAR(TODAY()),MONTH(TODAY()),1))),1,0))</f>
        <v/>
      </c>
      <c r="X269">
        <f>IF($A269="","",IF(AND($B269&gt;0,K269&lt;$B269,DATE($B$1,9,1)&lt;=TODAY(),OR($O269="",$O269&gt;=DATE($B$1,9,1)),OR(COUNTIF($C269:K269,"&gt;0")&gt;0,DATE($B$1,9,1)=DATE(YEAR(TODAY()),MONTH(TODAY()),1))),1,0))</f>
        <v/>
      </c>
      <c r="Y269">
        <f>IF($A269="","",IF(AND($B269&gt;0,L269&lt;$B269,DATE($B$1,10,1)&lt;=TODAY(),OR($O269="",$O269&gt;=DATE($B$1,10,1)),OR(COUNTIF($C269:L269,"&gt;0")&gt;0,DATE($B$1,10,1)=DATE(YEAR(TODAY()),MONTH(TODAY()),1))),1,0))</f>
        <v/>
      </c>
      <c r="Z269">
        <f>IF($A269="","",IF(AND($B269&gt;0,M269&lt;$B269,DATE($B$1,11,1)&lt;=TODAY(),OR($O269="",$O269&gt;=DATE($B$1,11,1)),OR(COUNTIF($C269:M269,"&gt;0")&gt;0,DATE($B$1,11,1)=DATE(YEAR(TODAY()),MONTH(TODAY()),1))),1,0))</f>
        <v/>
      </c>
      <c r="AA269">
        <f>IF($A269="","",IF(AND($B269&gt;0,N269&lt;$B269,DATE($B$1,12,1)&lt;=TODAY(),OR($O269="",$O269&gt;=DATE($B$1,12,1)),OR(COUNTIF($C269:N269,"&gt;0")&gt;0,DATE($B$1,12,1)=DATE(YEAR(TODAY()),MONTH(TODAY()),1))),1,0))</f>
        <v/>
      </c>
    </row>
    <row r="270">
      <c r="A270" s="13">
        <f>IF(원생!$A268="","",원생!$A268&amp;IF(원생!$G268="",""," ("&amp;원생!$G268&amp;")"))</f>
        <v/>
      </c>
      <c r="B270" s="8">
        <f>IF(원생!$A268="","",원생!$F268)</f>
        <v/>
      </c>
      <c r="C270" s="14">
        <f>IF(원생!$A268="","",SUMIFS(수납!$F:$F,수납!$C:$C,원생!$A268,수납!$D:$D,IF(원생!$G268="","",원생!$G268),수납!$B:$B,$B$1&amp;"-"&amp;TEXT(1,"00")&amp;"*",수납!$E:$E,"수강료")+SUMIFS(수납!$F:$F,수납!$C:$C,원생!$A268,수납!$D:$D,IF(원생!$G268="","",원생!$G268),수납!$B:$B,$B$1&amp;"-"&amp;TEXT(1,"00")&amp;"*",수납!$E:$E,""))</f>
        <v/>
      </c>
      <c r="D270" s="14">
        <f>IF(원생!$A268="","",SUMIFS(수납!$F:$F,수납!$C:$C,원생!$A268,수납!$D:$D,IF(원생!$G268="","",원생!$G268),수납!$B:$B,$B$1&amp;"-"&amp;TEXT(2,"00")&amp;"*",수납!$E:$E,"수강료")+SUMIFS(수납!$F:$F,수납!$C:$C,원생!$A268,수납!$D:$D,IF(원생!$G268="","",원생!$G268),수납!$B:$B,$B$1&amp;"-"&amp;TEXT(2,"00")&amp;"*",수납!$E:$E,""))</f>
        <v/>
      </c>
      <c r="E270" s="14">
        <f>IF(원생!$A268="","",SUMIFS(수납!$F:$F,수납!$C:$C,원생!$A268,수납!$D:$D,IF(원생!$G268="","",원생!$G268),수납!$B:$B,$B$1&amp;"-"&amp;TEXT(3,"00")&amp;"*",수납!$E:$E,"수강료")+SUMIFS(수납!$F:$F,수납!$C:$C,원생!$A268,수납!$D:$D,IF(원생!$G268="","",원생!$G268),수납!$B:$B,$B$1&amp;"-"&amp;TEXT(3,"00")&amp;"*",수납!$E:$E,""))</f>
        <v/>
      </c>
      <c r="F270" s="14">
        <f>IF(원생!$A268="","",SUMIFS(수납!$F:$F,수납!$C:$C,원생!$A268,수납!$D:$D,IF(원생!$G268="","",원생!$G268),수납!$B:$B,$B$1&amp;"-"&amp;TEXT(4,"00")&amp;"*",수납!$E:$E,"수강료")+SUMIFS(수납!$F:$F,수납!$C:$C,원생!$A268,수납!$D:$D,IF(원생!$G268="","",원생!$G268),수납!$B:$B,$B$1&amp;"-"&amp;TEXT(4,"00")&amp;"*",수납!$E:$E,""))</f>
        <v/>
      </c>
      <c r="G270" s="14">
        <f>IF(원생!$A268="","",SUMIFS(수납!$F:$F,수납!$C:$C,원생!$A268,수납!$D:$D,IF(원생!$G268="","",원생!$G268),수납!$B:$B,$B$1&amp;"-"&amp;TEXT(5,"00")&amp;"*",수납!$E:$E,"수강료")+SUMIFS(수납!$F:$F,수납!$C:$C,원생!$A268,수납!$D:$D,IF(원생!$G268="","",원생!$G268),수납!$B:$B,$B$1&amp;"-"&amp;TEXT(5,"00")&amp;"*",수납!$E:$E,""))</f>
        <v/>
      </c>
      <c r="H270" s="14">
        <f>IF(원생!$A268="","",SUMIFS(수납!$F:$F,수납!$C:$C,원생!$A268,수납!$D:$D,IF(원생!$G268="","",원생!$G268),수납!$B:$B,$B$1&amp;"-"&amp;TEXT(6,"00")&amp;"*",수납!$E:$E,"수강료")+SUMIFS(수납!$F:$F,수납!$C:$C,원생!$A268,수납!$D:$D,IF(원생!$G268="","",원생!$G268),수납!$B:$B,$B$1&amp;"-"&amp;TEXT(6,"00")&amp;"*",수납!$E:$E,""))</f>
        <v/>
      </c>
      <c r="I270" s="14">
        <f>IF(원생!$A268="","",SUMIFS(수납!$F:$F,수납!$C:$C,원생!$A268,수납!$D:$D,IF(원생!$G268="","",원생!$G268),수납!$B:$B,$B$1&amp;"-"&amp;TEXT(7,"00")&amp;"*",수납!$E:$E,"수강료")+SUMIFS(수납!$F:$F,수납!$C:$C,원생!$A268,수납!$D:$D,IF(원생!$G268="","",원생!$G268),수납!$B:$B,$B$1&amp;"-"&amp;TEXT(7,"00")&amp;"*",수납!$E:$E,""))</f>
        <v/>
      </c>
      <c r="J270" s="14">
        <f>IF(원생!$A268="","",SUMIFS(수납!$F:$F,수납!$C:$C,원생!$A268,수납!$D:$D,IF(원생!$G268="","",원생!$G268),수납!$B:$B,$B$1&amp;"-"&amp;TEXT(8,"00")&amp;"*",수납!$E:$E,"수강료")+SUMIFS(수납!$F:$F,수납!$C:$C,원생!$A268,수납!$D:$D,IF(원생!$G268="","",원생!$G268),수납!$B:$B,$B$1&amp;"-"&amp;TEXT(8,"00")&amp;"*",수납!$E:$E,""))</f>
        <v/>
      </c>
      <c r="K270" s="14">
        <f>IF(원생!$A268="","",SUMIFS(수납!$F:$F,수납!$C:$C,원생!$A268,수납!$D:$D,IF(원생!$G268="","",원생!$G268),수납!$B:$B,$B$1&amp;"-"&amp;TEXT(9,"00")&amp;"*",수납!$E:$E,"수강료")+SUMIFS(수납!$F:$F,수납!$C:$C,원생!$A268,수납!$D:$D,IF(원생!$G268="","",원생!$G268),수납!$B:$B,$B$1&amp;"-"&amp;TEXT(9,"00")&amp;"*",수납!$E:$E,""))</f>
        <v/>
      </c>
      <c r="L270" s="14">
        <f>IF(원생!$A268="","",SUMIFS(수납!$F:$F,수납!$C:$C,원생!$A268,수납!$D:$D,IF(원생!$G268="","",원생!$G268),수납!$B:$B,$B$1&amp;"-"&amp;TEXT(10,"00")&amp;"*",수납!$E:$E,"수강료")+SUMIFS(수납!$F:$F,수납!$C:$C,원생!$A268,수납!$D:$D,IF(원생!$G268="","",원생!$G268),수납!$B:$B,$B$1&amp;"-"&amp;TEXT(10,"00")&amp;"*",수납!$E:$E,""))</f>
        <v/>
      </c>
      <c r="M270" s="14">
        <f>IF(원생!$A268="","",SUMIFS(수납!$F:$F,수납!$C:$C,원생!$A268,수납!$D:$D,IF(원생!$G268="","",원생!$G268),수납!$B:$B,$B$1&amp;"-"&amp;TEXT(11,"00")&amp;"*",수납!$E:$E,"수강료")+SUMIFS(수납!$F:$F,수납!$C:$C,원생!$A268,수납!$D:$D,IF(원생!$G268="","",원생!$G268),수납!$B:$B,$B$1&amp;"-"&amp;TEXT(11,"00")&amp;"*",수납!$E:$E,""))</f>
        <v/>
      </c>
      <c r="N270" s="14">
        <f>IF(원생!$A268="","",SUMIFS(수납!$F:$F,수납!$C:$C,원생!$A268,수납!$D:$D,IF(원생!$G268="","",원생!$G268),수납!$B:$B,$B$1&amp;"-"&amp;TEXT(12,"00")&amp;"*",수납!$E:$E,"수강료")+SUMIFS(수납!$F:$F,수납!$C:$C,원생!$A268,수납!$D:$D,IF(원생!$G268="","",원생!$G268),수납!$B:$B,$B$1&amp;"-"&amp;TEXT(12,"00")&amp;"*",수납!$E:$E,""))</f>
        <v/>
      </c>
      <c r="O270">
        <f>IF(원생!$I268="","",원생!$I268)</f>
        <v/>
      </c>
      <c r="P270">
        <f>IF($A270="","",IF(AND($B270&gt;0,C270&lt;$B270,DATE($B$1,1,1)&lt;=TODAY(),OR($O270="",$O270&gt;=DATE($B$1,1,1)),OR(COUNTIF($C270:C270,"&gt;0")&gt;0,DATE($B$1,1,1)=DATE(YEAR(TODAY()),MONTH(TODAY()),1))),1,0))</f>
        <v/>
      </c>
      <c r="Q270">
        <f>IF($A270="","",IF(AND($B270&gt;0,D270&lt;$B270,DATE($B$1,2,1)&lt;=TODAY(),OR($O270="",$O270&gt;=DATE($B$1,2,1)),OR(COUNTIF($C270:D270,"&gt;0")&gt;0,DATE($B$1,2,1)=DATE(YEAR(TODAY()),MONTH(TODAY()),1))),1,0))</f>
        <v/>
      </c>
      <c r="R270">
        <f>IF($A270="","",IF(AND($B270&gt;0,E270&lt;$B270,DATE($B$1,3,1)&lt;=TODAY(),OR($O270="",$O270&gt;=DATE($B$1,3,1)),OR(COUNTIF($C270:E270,"&gt;0")&gt;0,DATE($B$1,3,1)=DATE(YEAR(TODAY()),MONTH(TODAY()),1))),1,0))</f>
        <v/>
      </c>
      <c r="S270">
        <f>IF($A270="","",IF(AND($B270&gt;0,F270&lt;$B270,DATE($B$1,4,1)&lt;=TODAY(),OR($O270="",$O270&gt;=DATE($B$1,4,1)),OR(COUNTIF($C270:F270,"&gt;0")&gt;0,DATE($B$1,4,1)=DATE(YEAR(TODAY()),MONTH(TODAY()),1))),1,0))</f>
        <v/>
      </c>
      <c r="T270">
        <f>IF($A270="","",IF(AND($B270&gt;0,G270&lt;$B270,DATE($B$1,5,1)&lt;=TODAY(),OR($O270="",$O270&gt;=DATE($B$1,5,1)),OR(COUNTIF($C270:G270,"&gt;0")&gt;0,DATE($B$1,5,1)=DATE(YEAR(TODAY()),MONTH(TODAY()),1))),1,0))</f>
        <v/>
      </c>
      <c r="U270">
        <f>IF($A270="","",IF(AND($B270&gt;0,H270&lt;$B270,DATE($B$1,6,1)&lt;=TODAY(),OR($O270="",$O270&gt;=DATE($B$1,6,1)),OR(COUNTIF($C270:H270,"&gt;0")&gt;0,DATE($B$1,6,1)=DATE(YEAR(TODAY()),MONTH(TODAY()),1))),1,0))</f>
        <v/>
      </c>
      <c r="V270">
        <f>IF($A270="","",IF(AND($B270&gt;0,I270&lt;$B270,DATE($B$1,7,1)&lt;=TODAY(),OR($O270="",$O270&gt;=DATE($B$1,7,1)),OR(COUNTIF($C270:I270,"&gt;0")&gt;0,DATE($B$1,7,1)=DATE(YEAR(TODAY()),MONTH(TODAY()),1))),1,0))</f>
        <v/>
      </c>
      <c r="W270">
        <f>IF($A270="","",IF(AND($B270&gt;0,J270&lt;$B270,DATE($B$1,8,1)&lt;=TODAY(),OR($O270="",$O270&gt;=DATE($B$1,8,1)),OR(COUNTIF($C270:J270,"&gt;0")&gt;0,DATE($B$1,8,1)=DATE(YEAR(TODAY()),MONTH(TODAY()),1))),1,0))</f>
        <v/>
      </c>
      <c r="X270">
        <f>IF($A270="","",IF(AND($B270&gt;0,K270&lt;$B270,DATE($B$1,9,1)&lt;=TODAY(),OR($O270="",$O270&gt;=DATE($B$1,9,1)),OR(COUNTIF($C270:K270,"&gt;0")&gt;0,DATE($B$1,9,1)=DATE(YEAR(TODAY()),MONTH(TODAY()),1))),1,0))</f>
        <v/>
      </c>
      <c r="Y270">
        <f>IF($A270="","",IF(AND($B270&gt;0,L270&lt;$B270,DATE($B$1,10,1)&lt;=TODAY(),OR($O270="",$O270&gt;=DATE($B$1,10,1)),OR(COUNTIF($C270:L270,"&gt;0")&gt;0,DATE($B$1,10,1)=DATE(YEAR(TODAY()),MONTH(TODAY()),1))),1,0))</f>
        <v/>
      </c>
      <c r="Z270">
        <f>IF($A270="","",IF(AND($B270&gt;0,M270&lt;$B270,DATE($B$1,11,1)&lt;=TODAY(),OR($O270="",$O270&gt;=DATE($B$1,11,1)),OR(COUNTIF($C270:M270,"&gt;0")&gt;0,DATE($B$1,11,1)=DATE(YEAR(TODAY()),MONTH(TODAY()),1))),1,0))</f>
        <v/>
      </c>
      <c r="AA270">
        <f>IF($A270="","",IF(AND($B270&gt;0,N270&lt;$B270,DATE($B$1,12,1)&lt;=TODAY(),OR($O270="",$O270&gt;=DATE($B$1,12,1)),OR(COUNTIF($C270:N270,"&gt;0")&gt;0,DATE($B$1,12,1)=DATE(YEAR(TODAY()),MONTH(TODAY()),1))),1,0))</f>
        <v/>
      </c>
    </row>
    <row r="271">
      <c r="A271" s="13">
        <f>IF(원생!$A269="","",원생!$A269&amp;IF(원생!$G269="",""," ("&amp;원생!$G269&amp;")"))</f>
        <v/>
      </c>
      <c r="B271" s="8">
        <f>IF(원생!$A269="","",원생!$F269)</f>
        <v/>
      </c>
      <c r="C271" s="14">
        <f>IF(원생!$A269="","",SUMIFS(수납!$F:$F,수납!$C:$C,원생!$A269,수납!$D:$D,IF(원생!$G269="","",원생!$G269),수납!$B:$B,$B$1&amp;"-"&amp;TEXT(1,"00")&amp;"*",수납!$E:$E,"수강료")+SUMIFS(수납!$F:$F,수납!$C:$C,원생!$A269,수납!$D:$D,IF(원생!$G269="","",원생!$G269),수납!$B:$B,$B$1&amp;"-"&amp;TEXT(1,"00")&amp;"*",수납!$E:$E,""))</f>
        <v/>
      </c>
      <c r="D271" s="14">
        <f>IF(원생!$A269="","",SUMIFS(수납!$F:$F,수납!$C:$C,원생!$A269,수납!$D:$D,IF(원생!$G269="","",원생!$G269),수납!$B:$B,$B$1&amp;"-"&amp;TEXT(2,"00")&amp;"*",수납!$E:$E,"수강료")+SUMIFS(수납!$F:$F,수납!$C:$C,원생!$A269,수납!$D:$D,IF(원생!$G269="","",원생!$G269),수납!$B:$B,$B$1&amp;"-"&amp;TEXT(2,"00")&amp;"*",수납!$E:$E,""))</f>
        <v/>
      </c>
      <c r="E271" s="14">
        <f>IF(원생!$A269="","",SUMIFS(수납!$F:$F,수납!$C:$C,원생!$A269,수납!$D:$D,IF(원생!$G269="","",원생!$G269),수납!$B:$B,$B$1&amp;"-"&amp;TEXT(3,"00")&amp;"*",수납!$E:$E,"수강료")+SUMIFS(수납!$F:$F,수납!$C:$C,원생!$A269,수납!$D:$D,IF(원생!$G269="","",원생!$G269),수납!$B:$B,$B$1&amp;"-"&amp;TEXT(3,"00")&amp;"*",수납!$E:$E,""))</f>
        <v/>
      </c>
      <c r="F271" s="14">
        <f>IF(원생!$A269="","",SUMIFS(수납!$F:$F,수납!$C:$C,원생!$A269,수납!$D:$D,IF(원생!$G269="","",원생!$G269),수납!$B:$B,$B$1&amp;"-"&amp;TEXT(4,"00")&amp;"*",수납!$E:$E,"수강료")+SUMIFS(수납!$F:$F,수납!$C:$C,원생!$A269,수납!$D:$D,IF(원생!$G269="","",원생!$G269),수납!$B:$B,$B$1&amp;"-"&amp;TEXT(4,"00")&amp;"*",수납!$E:$E,""))</f>
        <v/>
      </c>
      <c r="G271" s="14">
        <f>IF(원생!$A269="","",SUMIFS(수납!$F:$F,수납!$C:$C,원생!$A269,수납!$D:$D,IF(원생!$G269="","",원생!$G269),수납!$B:$B,$B$1&amp;"-"&amp;TEXT(5,"00")&amp;"*",수납!$E:$E,"수강료")+SUMIFS(수납!$F:$F,수납!$C:$C,원생!$A269,수납!$D:$D,IF(원생!$G269="","",원생!$G269),수납!$B:$B,$B$1&amp;"-"&amp;TEXT(5,"00")&amp;"*",수납!$E:$E,""))</f>
        <v/>
      </c>
      <c r="H271" s="14">
        <f>IF(원생!$A269="","",SUMIFS(수납!$F:$F,수납!$C:$C,원생!$A269,수납!$D:$D,IF(원생!$G269="","",원생!$G269),수납!$B:$B,$B$1&amp;"-"&amp;TEXT(6,"00")&amp;"*",수납!$E:$E,"수강료")+SUMIFS(수납!$F:$F,수납!$C:$C,원생!$A269,수납!$D:$D,IF(원생!$G269="","",원생!$G269),수납!$B:$B,$B$1&amp;"-"&amp;TEXT(6,"00")&amp;"*",수납!$E:$E,""))</f>
        <v/>
      </c>
      <c r="I271" s="14">
        <f>IF(원생!$A269="","",SUMIFS(수납!$F:$F,수납!$C:$C,원생!$A269,수납!$D:$D,IF(원생!$G269="","",원생!$G269),수납!$B:$B,$B$1&amp;"-"&amp;TEXT(7,"00")&amp;"*",수납!$E:$E,"수강료")+SUMIFS(수납!$F:$F,수납!$C:$C,원생!$A269,수납!$D:$D,IF(원생!$G269="","",원생!$G269),수납!$B:$B,$B$1&amp;"-"&amp;TEXT(7,"00")&amp;"*",수납!$E:$E,""))</f>
        <v/>
      </c>
      <c r="J271" s="14">
        <f>IF(원생!$A269="","",SUMIFS(수납!$F:$F,수납!$C:$C,원생!$A269,수납!$D:$D,IF(원생!$G269="","",원생!$G269),수납!$B:$B,$B$1&amp;"-"&amp;TEXT(8,"00")&amp;"*",수납!$E:$E,"수강료")+SUMIFS(수납!$F:$F,수납!$C:$C,원생!$A269,수납!$D:$D,IF(원생!$G269="","",원생!$G269),수납!$B:$B,$B$1&amp;"-"&amp;TEXT(8,"00")&amp;"*",수납!$E:$E,""))</f>
        <v/>
      </c>
      <c r="K271" s="14">
        <f>IF(원생!$A269="","",SUMIFS(수납!$F:$F,수납!$C:$C,원생!$A269,수납!$D:$D,IF(원생!$G269="","",원생!$G269),수납!$B:$B,$B$1&amp;"-"&amp;TEXT(9,"00")&amp;"*",수납!$E:$E,"수강료")+SUMIFS(수납!$F:$F,수납!$C:$C,원생!$A269,수납!$D:$D,IF(원생!$G269="","",원생!$G269),수납!$B:$B,$B$1&amp;"-"&amp;TEXT(9,"00")&amp;"*",수납!$E:$E,""))</f>
        <v/>
      </c>
      <c r="L271" s="14">
        <f>IF(원생!$A269="","",SUMIFS(수납!$F:$F,수납!$C:$C,원생!$A269,수납!$D:$D,IF(원생!$G269="","",원생!$G269),수납!$B:$B,$B$1&amp;"-"&amp;TEXT(10,"00")&amp;"*",수납!$E:$E,"수강료")+SUMIFS(수납!$F:$F,수납!$C:$C,원생!$A269,수납!$D:$D,IF(원생!$G269="","",원생!$G269),수납!$B:$B,$B$1&amp;"-"&amp;TEXT(10,"00")&amp;"*",수납!$E:$E,""))</f>
        <v/>
      </c>
      <c r="M271" s="14">
        <f>IF(원생!$A269="","",SUMIFS(수납!$F:$F,수납!$C:$C,원생!$A269,수납!$D:$D,IF(원생!$G269="","",원생!$G269),수납!$B:$B,$B$1&amp;"-"&amp;TEXT(11,"00")&amp;"*",수납!$E:$E,"수강료")+SUMIFS(수납!$F:$F,수납!$C:$C,원생!$A269,수납!$D:$D,IF(원생!$G269="","",원생!$G269),수납!$B:$B,$B$1&amp;"-"&amp;TEXT(11,"00")&amp;"*",수납!$E:$E,""))</f>
        <v/>
      </c>
      <c r="N271" s="14">
        <f>IF(원생!$A269="","",SUMIFS(수납!$F:$F,수납!$C:$C,원생!$A269,수납!$D:$D,IF(원생!$G269="","",원생!$G269),수납!$B:$B,$B$1&amp;"-"&amp;TEXT(12,"00")&amp;"*",수납!$E:$E,"수강료")+SUMIFS(수납!$F:$F,수납!$C:$C,원생!$A269,수납!$D:$D,IF(원생!$G269="","",원생!$G269),수납!$B:$B,$B$1&amp;"-"&amp;TEXT(12,"00")&amp;"*",수납!$E:$E,""))</f>
        <v/>
      </c>
      <c r="O271">
        <f>IF(원생!$I269="","",원생!$I269)</f>
        <v/>
      </c>
      <c r="P271">
        <f>IF($A271="","",IF(AND($B271&gt;0,C271&lt;$B271,DATE($B$1,1,1)&lt;=TODAY(),OR($O271="",$O271&gt;=DATE($B$1,1,1)),OR(COUNTIF($C271:C271,"&gt;0")&gt;0,DATE($B$1,1,1)=DATE(YEAR(TODAY()),MONTH(TODAY()),1))),1,0))</f>
        <v/>
      </c>
      <c r="Q271">
        <f>IF($A271="","",IF(AND($B271&gt;0,D271&lt;$B271,DATE($B$1,2,1)&lt;=TODAY(),OR($O271="",$O271&gt;=DATE($B$1,2,1)),OR(COUNTIF($C271:D271,"&gt;0")&gt;0,DATE($B$1,2,1)=DATE(YEAR(TODAY()),MONTH(TODAY()),1))),1,0))</f>
        <v/>
      </c>
      <c r="R271">
        <f>IF($A271="","",IF(AND($B271&gt;0,E271&lt;$B271,DATE($B$1,3,1)&lt;=TODAY(),OR($O271="",$O271&gt;=DATE($B$1,3,1)),OR(COUNTIF($C271:E271,"&gt;0")&gt;0,DATE($B$1,3,1)=DATE(YEAR(TODAY()),MONTH(TODAY()),1))),1,0))</f>
        <v/>
      </c>
      <c r="S271">
        <f>IF($A271="","",IF(AND($B271&gt;0,F271&lt;$B271,DATE($B$1,4,1)&lt;=TODAY(),OR($O271="",$O271&gt;=DATE($B$1,4,1)),OR(COUNTIF($C271:F271,"&gt;0")&gt;0,DATE($B$1,4,1)=DATE(YEAR(TODAY()),MONTH(TODAY()),1))),1,0))</f>
        <v/>
      </c>
      <c r="T271">
        <f>IF($A271="","",IF(AND($B271&gt;0,G271&lt;$B271,DATE($B$1,5,1)&lt;=TODAY(),OR($O271="",$O271&gt;=DATE($B$1,5,1)),OR(COUNTIF($C271:G271,"&gt;0")&gt;0,DATE($B$1,5,1)=DATE(YEAR(TODAY()),MONTH(TODAY()),1))),1,0))</f>
        <v/>
      </c>
      <c r="U271">
        <f>IF($A271="","",IF(AND($B271&gt;0,H271&lt;$B271,DATE($B$1,6,1)&lt;=TODAY(),OR($O271="",$O271&gt;=DATE($B$1,6,1)),OR(COUNTIF($C271:H271,"&gt;0")&gt;0,DATE($B$1,6,1)=DATE(YEAR(TODAY()),MONTH(TODAY()),1))),1,0))</f>
        <v/>
      </c>
      <c r="V271">
        <f>IF($A271="","",IF(AND($B271&gt;0,I271&lt;$B271,DATE($B$1,7,1)&lt;=TODAY(),OR($O271="",$O271&gt;=DATE($B$1,7,1)),OR(COUNTIF($C271:I271,"&gt;0")&gt;0,DATE($B$1,7,1)=DATE(YEAR(TODAY()),MONTH(TODAY()),1))),1,0))</f>
        <v/>
      </c>
      <c r="W271">
        <f>IF($A271="","",IF(AND($B271&gt;0,J271&lt;$B271,DATE($B$1,8,1)&lt;=TODAY(),OR($O271="",$O271&gt;=DATE($B$1,8,1)),OR(COUNTIF($C271:J271,"&gt;0")&gt;0,DATE($B$1,8,1)=DATE(YEAR(TODAY()),MONTH(TODAY()),1))),1,0))</f>
        <v/>
      </c>
      <c r="X271">
        <f>IF($A271="","",IF(AND($B271&gt;0,K271&lt;$B271,DATE($B$1,9,1)&lt;=TODAY(),OR($O271="",$O271&gt;=DATE($B$1,9,1)),OR(COUNTIF($C271:K271,"&gt;0")&gt;0,DATE($B$1,9,1)=DATE(YEAR(TODAY()),MONTH(TODAY()),1))),1,0))</f>
        <v/>
      </c>
      <c r="Y271">
        <f>IF($A271="","",IF(AND($B271&gt;0,L271&lt;$B271,DATE($B$1,10,1)&lt;=TODAY(),OR($O271="",$O271&gt;=DATE($B$1,10,1)),OR(COUNTIF($C271:L271,"&gt;0")&gt;0,DATE($B$1,10,1)=DATE(YEAR(TODAY()),MONTH(TODAY()),1))),1,0))</f>
        <v/>
      </c>
      <c r="Z271">
        <f>IF($A271="","",IF(AND($B271&gt;0,M271&lt;$B271,DATE($B$1,11,1)&lt;=TODAY(),OR($O271="",$O271&gt;=DATE($B$1,11,1)),OR(COUNTIF($C271:M271,"&gt;0")&gt;0,DATE($B$1,11,1)=DATE(YEAR(TODAY()),MONTH(TODAY()),1))),1,0))</f>
        <v/>
      </c>
      <c r="AA271">
        <f>IF($A271="","",IF(AND($B271&gt;0,N271&lt;$B271,DATE($B$1,12,1)&lt;=TODAY(),OR($O271="",$O271&gt;=DATE($B$1,12,1)),OR(COUNTIF($C271:N271,"&gt;0")&gt;0,DATE($B$1,12,1)=DATE(YEAR(TODAY()),MONTH(TODAY()),1))),1,0))</f>
        <v/>
      </c>
    </row>
    <row r="272">
      <c r="A272" s="13">
        <f>IF(원생!$A270="","",원생!$A270&amp;IF(원생!$G270="",""," ("&amp;원생!$G270&amp;")"))</f>
        <v/>
      </c>
      <c r="B272" s="8">
        <f>IF(원생!$A270="","",원생!$F270)</f>
        <v/>
      </c>
      <c r="C272" s="14">
        <f>IF(원생!$A270="","",SUMIFS(수납!$F:$F,수납!$C:$C,원생!$A270,수납!$D:$D,IF(원생!$G270="","",원생!$G270),수납!$B:$B,$B$1&amp;"-"&amp;TEXT(1,"00")&amp;"*",수납!$E:$E,"수강료")+SUMIFS(수납!$F:$F,수납!$C:$C,원생!$A270,수납!$D:$D,IF(원생!$G270="","",원생!$G270),수납!$B:$B,$B$1&amp;"-"&amp;TEXT(1,"00")&amp;"*",수납!$E:$E,""))</f>
        <v/>
      </c>
      <c r="D272" s="14">
        <f>IF(원생!$A270="","",SUMIFS(수납!$F:$F,수납!$C:$C,원생!$A270,수납!$D:$D,IF(원생!$G270="","",원생!$G270),수납!$B:$B,$B$1&amp;"-"&amp;TEXT(2,"00")&amp;"*",수납!$E:$E,"수강료")+SUMIFS(수납!$F:$F,수납!$C:$C,원생!$A270,수납!$D:$D,IF(원생!$G270="","",원생!$G270),수납!$B:$B,$B$1&amp;"-"&amp;TEXT(2,"00")&amp;"*",수납!$E:$E,""))</f>
        <v/>
      </c>
      <c r="E272" s="14">
        <f>IF(원생!$A270="","",SUMIFS(수납!$F:$F,수납!$C:$C,원생!$A270,수납!$D:$D,IF(원생!$G270="","",원생!$G270),수납!$B:$B,$B$1&amp;"-"&amp;TEXT(3,"00")&amp;"*",수납!$E:$E,"수강료")+SUMIFS(수납!$F:$F,수납!$C:$C,원생!$A270,수납!$D:$D,IF(원생!$G270="","",원생!$G270),수납!$B:$B,$B$1&amp;"-"&amp;TEXT(3,"00")&amp;"*",수납!$E:$E,""))</f>
        <v/>
      </c>
      <c r="F272" s="14">
        <f>IF(원생!$A270="","",SUMIFS(수납!$F:$F,수납!$C:$C,원생!$A270,수납!$D:$D,IF(원생!$G270="","",원생!$G270),수납!$B:$B,$B$1&amp;"-"&amp;TEXT(4,"00")&amp;"*",수납!$E:$E,"수강료")+SUMIFS(수납!$F:$F,수납!$C:$C,원생!$A270,수납!$D:$D,IF(원생!$G270="","",원생!$G270),수납!$B:$B,$B$1&amp;"-"&amp;TEXT(4,"00")&amp;"*",수납!$E:$E,""))</f>
        <v/>
      </c>
      <c r="G272" s="14">
        <f>IF(원생!$A270="","",SUMIFS(수납!$F:$F,수납!$C:$C,원생!$A270,수납!$D:$D,IF(원생!$G270="","",원생!$G270),수납!$B:$B,$B$1&amp;"-"&amp;TEXT(5,"00")&amp;"*",수납!$E:$E,"수강료")+SUMIFS(수납!$F:$F,수납!$C:$C,원생!$A270,수납!$D:$D,IF(원생!$G270="","",원생!$G270),수납!$B:$B,$B$1&amp;"-"&amp;TEXT(5,"00")&amp;"*",수납!$E:$E,""))</f>
        <v/>
      </c>
      <c r="H272" s="14">
        <f>IF(원생!$A270="","",SUMIFS(수납!$F:$F,수납!$C:$C,원생!$A270,수납!$D:$D,IF(원생!$G270="","",원생!$G270),수납!$B:$B,$B$1&amp;"-"&amp;TEXT(6,"00")&amp;"*",수납!$E:$E,"수강료")+SUMIFS(수납!$F:$F,수납!$C:$C,원생!$A270,수납!$D:$D,IF(원생!$G270="","",원생!$G270),수납!$B:$B,$B$1&amp;"-"&amp;TEXT(6,"00")&amp;"*",수납!$E:$E,""))</f>
        <v/>
      </c>
      <c r="I272" s="14">
        <f>IF(원생!$A270="","",SUMIFS(수납!$F:$F,수납!$C:$C,원생!$A270,수납!$D:$D,IF(원생!$G270="","",원생!$G270),수납!$B:$B,$B$1&amp;"-"&amp;TEXT(7,"00")&amp;"*",수납!$E:$E,"수강료")+SUMIFS(수납!$F:$F,수납!$C:$C,원생!$A270,수납!$D:$D,IF(원생!$G270="","",원생!$G270),수납!$B:$B,$B$1&amp;"-"&amp;TEXT(7,"00")&amp;"*",수납!$E:$E,""))</f>
        <v/>
      </c>
      <c r="J272" s="14">
        <f>IF(원생!$A270="","",SUMIFS(수납!$F:$F,수납!$C:$C,원생!$A270,수납!$D:$D,IF(원생!$G270="","",원생!$G270),수납!$B:$B,$B$1&amp;"-"&amp;TEXT(8,"00")&amp;"*",수납!$E:$E,"수강료")+SUMIFS(수납!$F:$F,수납!$C:$C,원생!$A270,수납!$D:$D,IF(원생!$G270="","",원생!$G270),수납!$B:$B,$B$1&amp;"-"&amp;TEXT(8,"00")&amp;"*",수납!$E:$E,""))</f>
        <v/>
      </c>
      <c r="K272" s="14">
        <f>IF(원생!$A270="","",SUMIFS(수납!$F:$F,수납!$C:$C,원생!$A270,수납!$D:$D,IF(원생!$G270="","",원생!$G270),수납!$B:$B,$B$1&amp;"-"&amp;TEXT(9,"00")&amp;"*",수납!$E:$E,"수강료")+SUMIFS(수납!$F:$F,수납!$C:$C,원생!$A270,수납!$D:$D,IF(원생!$G270="","",원생!$G270),수납!$B:$B,$B$1&amp;"-"&amp;TEXT(9,"00")&amp;"*",수납!$E:$E,""))</f>
        <v/>
      </c>
      <c r="L272" s="14">
        <f>IF(원생!$A270="","",SUMIFS(수납!$F:$F,수납!$C:$C,원생!$A270,수납!$D:$D,IF(원생!$G270="","",원생!$G270),수납!$B:$B,$B$1&amp;"-"&amp;TEXT(10,"00")&amp;"*",수납!$E:$E,"수강료")+SUMIFS(수납!$F:$F,수납!$C:$C,원생!$A270,수납!$D:$D,IF(원생!$G270="","",원생!$G270),수납!$B:$B,$B$1&amp;"-"&amp;TEXT(10,"00")&amp;"*",수납!$E:$E,""))</f>
        <v/>
      </c>
      <c r="M272" s="14">
        <f>IF(원생!$A270="","",SUMIFS(수납!$F:$F,수납!$C:$C,원생!$A270,수납!$D:$D,IF(원생!$G270="","",원생!$G270),수납!$B:$B,$B$1&amp;"-"&amp;TEXT(11,"00")&amp;"*",수납!$E:$E,"수강료")+SUMIFS(수납!$F:$F,수납!$C:$C,원생!$A270,수납!$D:$D,IF(원생!$G270="","",원생!$G270),수납!$B:$B,$B$1&amp;"-"&amp;TEXT(11,"00")&amp;"*",수납!$E:$E,""))</f>
        <v/>
      </c>
      <c r="N272" s="14">
        <f>IF(원생!$A270="","",SUMIFS(수납!$F:$F,수납!$C:$C,원생!$A270,수납!$D:$D,IF(원생!$G270="","",원생!$G270),수납!$B:$B,$B$1&amp;"-"&amp;TEXT(12,"00")&amp;"*",수납!$E:$E,"수강료")+SUMIFS(수납!$F:$F,수납!$C:$C,원생!$A270,수납!$D:$D,IF(원생!$G270="","",원생!$G270),수납!$B:$B,$B$1&amp;"-"&amp;TEXT(12,"00")&amp;"*",수납!$E:$E,""))</f>
        <v/>
      </c>
      <c r="O272">
        <f>IF(원생!$I270="","",원생!$I270)</f>
        <v/>
      </c>
      <c r="P272">
        <f>IF($A272="","",IF(AND($B272&gt;0,C272&lt;$B272,DATE($B$1,1,1)&lt;=TODAY(),OR($O272="",$O272&gt;=DATE($B$1,1,1)),OR(COUNTIF($C272:C272,"&gt;0")&gt;0,DATE($B$1,1,1)=DATE(YEAR(TODAY()),MONTH(TODAY()),1))),1,0))</f>
        <v/>
      </c>
      <c r="Q272">
        <f>IF($A272="","",IF(AND($B272&gt;0,D272&lt;$B272,DATE($B$1,2,1)&lt;=TODAY(),OR($O272="",$O272&gt;=DATE($B$1,2,1)),OR(COUNTIF($C272:D272,"&gt;0")&gt;0,DATE($B$1,2,1)=DATE(YEAR(TODAY()),MONTH(TODAY()),1))),1,0))</f>
        <v/>
      </c>
      <c r="R272">
        <f>IF($A272="","",IF(AND($B272&gt;0,E272&lt;$B272,DATE($B$1,3,1)&lt;=TODAY(),OR($O272="",$O272&gt;=DATE($B$1,3,1)),OR(COUNTIF($C272:E272,"&gt;0")&gt;0,DATE($B$1,3,1)=DATE(YEAR(TODAY()),MONTH(TODAY()),1))),1,0))</f>
        <v/>
      </c>
      <c r="S272">
        <f>IF($A272="","",IF(AND($B272&gt;0,F272&lt;$B272,DATE($B$1,4,1)&lt;=TODAY(),OR($O272="",$O272&gt;=DATE($B$1,4,1)),OR(COUNTIF($C272:F272,"&gt;0")&gt;0,DATE($B$1,4,1)=DATE(YEAR(TODAY()),MONTH(TODAY()),1))),1,0))</f>
        <v/>
      </c>
      <c r="T272">
        <f>IF($A272="","",IF(AND($B272&gt;0,G272&lt;$B272,DATE($B$1,5,1)&lt;=TODAY(),OR($O272="",$O272&gt;=DATE($B$1,5,1)),OR(COUNTIF($C272:G272,"&gt;0")&gt;0,DATE($B$1,5,1)=DATE(YEAR(TODAY()),MONTH(TODAY()),1))),1,0))</f>
        <v/>
      </c>
      <c r="U272">
        <f>IF($A272="","",IF(AND($B272&gt;0,H272&lt;$B272,DATE($B$1,6,1)&lt;=TODAY(),OR($O272="",$O272&gt;=DATE($B$1,6,1)),OR(COUNTIF($C272:H272,"&gt;0")&gt;0,DATE($B$1,6,1)=DATE(YEAR(TODAY()),MONTH(TODAY()),1))),1,0))</f>
        <v/>
      </c>
      <c r="V272">
        <f>IF($A272="","",IF(AND($B272&gt;0,I272&lt;$B272,DATE($B$1,7,1)&lt;=TODAY(),OR($O272="",$O272&gt;=DATE($B$1,7,1)),OR(COUNTIF($C272:I272,"&gt;0")&gt;0,DATE($B$1,7,1)=DATE(YEAR(TODAY()),MONTH(TODAY()),1))),1,0))</f>
        <v/>
      </c>
      <c r="W272">
        <f>IF($A272="","",IF(AND($B272&gt;0,J272&lt;$B272,DATE($B$1,8,1)&lt;=TODAY(),OR($O272="",$O272&gt;=DATE($B$1,8,1)),OR(COUNTIF($C272:J272,"&gt;0")&gt;0,DATE($B$1,8,1)=DATE(YEAR(TODAY()),MONTH(TODAY()),1))),1,0))</f>
        <v/>
      </c>
      <c r="X272">
        <f>IF($A272="","",IF(AND($B272&gt;0,K272&lt;$B272,DATE($B$1,9,1)&lt;=TODAY(),OR($O272="",$O272&gt;=DATE($B$1,9,1)),OR(COUNTIF($C272:K272,"&gt;0")&gt;0,DATE($B$1,9,1)=DATE(YEAR(TODAY()),MONTH(TODAY()),1))),1,0))</f>
        <v/>
      </c>
      <c r="Y272">
        <f>IF($A272="","",IF(AND($B272&gt;0,L272&lt;$B272,DATE($B$1,10,1)&lt;=TODAY(),OR($O272="",$O272&gt;=DATE($B$1,10,1)),OR(COUNTIF($C272:L272,"&gt;0")&gt;0,DATE($B$1,10,1)=DATE(YEAR(TODAY()),MONTH(TODAY()),1))),1,0))</f>
        <v/>
      </c>
      <c r="Z272">
        <f>IF($A272="","",IF(AND($B272&gt;0,M272&lt;$B272,DATE($B$1,11,1)&lt;=TODAY(),OR($O272="",$O272&gt;=DATE($B$1,11,1)),OR(COUNTIF($C272:M272,"&gt;0")&gt;0,DATE($B$1,11,1)=DATE(YEAR(TODAY()),MONTH(TODAY()),1))),1,0))</f>
        <v/>
      </c>
      <c r="AA272">
        <f>IF($A272="","",IF(AND($B272&gt;0,N272&lt;$B272,DATE($B$1,12,1)&lt;=TODAY(),OR($O272="",$O272&gt;=DATE($B$1,12,1)),OR(COUNTIF($C272:N272,"&gt;0")&gt;0,DATE($B$1,12,1)=DATE(YEAR(TODAY()),MONTH(TODAY()),1))),1,0))</f>
        <v/>
      </c>
    </row>
    <row r="273">
      <c r="A273" s="13">
        <f>IF(원생!$A271="","",원생!$A271&amp;IF(원생!$G271="",""," ("&amp;원생!$G271&amp;")"))</f>
        <v/>
      </c>
      <c r="B273" s="8">
        <f>IF(원생!$A271="","",원생!$F271)</f>
        <v/>
      </c>
      <c r="C273" s="14">
        <f>IF(원생!$A271="","",SUMIFS(수납!$F:$F,수납!$C:$C,원생!$A271,수납!$D:$D,IF(원생!$G271="","",원생!$G271),수납!$B:$B,$B$1&amp;"-"&amp;TEXT(1,"00")&amp;"*",수납!$E:$E,"수강료")+SUMIFS(수납!$F:$F,수납!$C:$C,원생!$A271,수납!$D:$D,IF(원생!$G271="","",원생!$G271),수납!$B:$B,$B$1&amp;"-"&amp;TEXT(1,"00")&amp;"*",수납!$E:$E,""))</f>
        <v/>
      </c>
      <c r="D273" s="14">
        <f>IF(원생!$A271="","",SUMIFS(수납!$F:$F,수납!$C:$C,원생!$A271,수납!$D:$D,IF(원생!$G271="","",원생!$G271),수납!$B:$B,$B$1&amp;"-"&amp;TEXT(2,"00")&amp;"*",수납!$E:$E,"수강료")+SUMIFS(수납!$F:$F,수납!$C:$C,원생!$A271,수납!$D:$D,IF(원생!$G271="","",원생!$G271),수납!$B:$B,$B$1&amp;"-"&amp;TEXT(2,"00")&amp;"*",수납!$E:$E,""))</f>
        <v/>
      </c>
      <c r="E273" s="14">
        <f>IF(원생!$A271="","",SUMIFS(수납!$F:$F,수납!$C:$C,원생!$A271,수납!$D:$D,IF(원생!$G271="","",원생!$G271),수납!$B:$B,$B$1&amp;"-"&amp;TEXT(3,"00")&amp;"*",수납!$E:$E,"수강료")+SUMIFS(수납!$F:$F,수납!$C:$C,원생!$A271,수납!$D:$D,IF(원생!$G271="","",원생!$G271),수납!$B:$B,$B$1&amp;"-"&amp;TEXT(3,"00")&amp;"*",수납!$E:$E,""))</f>
        <v/>
      </c>
      <c r="F273" s="14">
        <f>IF(원생!$A271="","",SUMIFS(수납!$F:$F,수납!$C:$C,원생!$A271,수납!$D:$D,IF(원생!$G271="","",원생!$G271),수납!$B:$B,$B$1&amp;"-"&amp;TEXT(4,"00")&amp;"*",수납!$E:$E,"수강료")+SUMIFS(수납!$F:$F,수납!$C:$C,원생!$A271,수납!$D:$D,IF(원생!$G271="","",원생!$G271),수납!$B:$B,$B$1&amp;"-"&amp;TEXT(4,"00")&amp;"*",수납!$E:$E,""))</f>
        <v/>
      </c>
      <c r="G273" s="14">
        <f>IF(원생!$A271="","",SUMIFS(수납!$F:$F,수납!$C:$C,원생!$A271,수납!$D:$D,IF(원생!$G271="","",원생!$G271),수납!$B:$B,$B$1&amp;"-"&amp;TEXT(5,"00")&amp;"*",수납!$E:$E,"수강료")+SUMIFS(수납!$F:$F,수납!$C:$C,원생!$A271,수납!$D:$D,IF(원생!$G271="","",원생!$G271),수납!$B:$B,$B$1&amp;"-"&amp;TEXT(5,"00")&amp;"*",수납!$E:$E,""))</f>
        <v/>
      </c>
      <c r="H273" s="14">
        <f>IF(원생!$A271="","",SUMIFS(수납!$F:$F,수납!$C:$C,원생!$A271,수납!$D:$D,IF(원생!$G271="","",원생!$G271),수납!$B:$B,$B$1&amp;"-"&amp;TEXT(6,"00")&amp;"*",수납!$E:$E,"수강료")+SUMIFS(수납!$F:$F,수납!$C:$C,원생!$A271,수납!$D:$D,IF(원생!$G271="","",원생!$G271),수납!$B:$B,$B$1&amp;"-"&amp;TEXT(6,"00")&amp;"*",수납!$E:$E,""))</f>
        <v/>
      </c>
      <c r="I273" s="14">
        <f>IF(원생!$A271="","",SUMIFS(수납!$F:$F,수납!$C:$C,원생!$A271,수납!$D:$D,IF(원생!$G271="","",원생!$G271),수납!$B:$B,$B$1&amp;"-"&amp;TEXT(7,"00")&amp;"*",수납!$E:$E,"수강료")+SUMIFS(수납!$F:$F,수납!$C:$C,원생!$A271,수납!$D:$D,IF(원생!$G271="","",원생!$G271),수납!$B:$B,$B$1&amp;"-"&amp;TEXT(7,"00")&amp;"*",수납!$E:$E,""))</f>
        <v/>
      </c>
      <c r="J273" s="14">
        <f>IF(원생!$A271="","",SUMIFS(수납!$F:$F,수납!$C:$C,원생!$A271,수납!$D:$D,IF(원생!$G271="","",원생!$G271),수납!$B:$B,$B$1&amp;"-"&amp;TEXT(8,"00")&amp;"*",수납!$E:$E,"수강료")+SUMIFS(수납!$F:$F,수납!$C:$C,원생!$A271,수납!$D:$D,IF(원생!$G271="","",원생!$G271),수납!$B:$B,$B$1&amp;"-"&amp;TEXT(8,"00")&amp;"*",수납!$E:$E,""))</f>
        <v/>
      </c>
      <c r="K273" s="14">
        <f>IF(원생!$A271="","",SUMIFS(수납!$F:$F,수납!$C:$C,원생!$A271,수납!$D:$D,IF(원생!$G271="","",원생!$G271),수납!$B:$B,$B$1&amp;"-"&amp;TEXT(9,"00")&amp;"*",수납!$E:$E,"수강료")+SUMIFS(수납!$F:$F,수납!$C:$C,원생!$A271,수납!$D:$D,IF(원생!$G271="","",원생!$G271),수납!$B:$B,$B$1&amp;"-"&amp;TEXT(9,"00")&amp;"*",수납!$E:$E,""))</f>
        <v/>
      </c>
      <c r="L273" s="14">
        <f>IF(원생!$A271="","",SUMIFS(수납!$F:$F,수납!$C:$C,원생!$A271,수납!$D:$D,IF(원생!$G271="","",원생!$G271),수납!$B:$B,$B$1&amp;"-"&amp;TEXT(10,"00")&amp;"*",수납!$E:$E,"수강료")+SUMIFS(수납!$F:$F,수납!$C:$C,원생!$A271,수납!$D:$D,IF(원생!$G271="","",원생!$G271),수납!$B:$B,$B$1&amp;"-"&amp;TEXT(10,"00")&amp;"*",수납!$E:$E,""))</f>
        <v/>
      </c>
      <c r="M273" s="14">
        <f>IF(원생!$A271="","",SUMIFS(수납!$F:$F,수납!$C:$C,원생!$A271,수납!$D:$D,IF(원생!$G271="","",원생!$G271),수납!$B:$B,$B$1&amp;"-"&amp;TEXT(11,"00")&amp;"*",수납!$E:$E,"수강료")+SUMIFS(수납!$F:$F,수납!$C:$C,원생!$A271,수납!$D:$D,IF(원생!$G271="","",원생!$G271),수납!$B:$B,$B$1&amp;"-"&amp;TEXT(11,"00")&amp;"*",수납!$E:$E,""))</f>
        <v/>
      </c>
      <c r="N273" s="14">
        <f>IF(원생!$A271="","",SUMIFS(수납!$F:$F,수납!$C:$C,원생!$A271,수납!$D:$D,IF(원생!$G271="","",원생!$G271),수납!$B:$B,$B$1&amp;"-"&amp;TEXT(12,"00")&amp;"*",수납!$E:$E,"수강료")+SUMIFS(수납!$F:$F,수납!$C:$C,원생!$A271,수납!$D:$D,IF(원생!$G271="","",원생!$G271),수납!$B:$B,$B$1&amp;"-"&amp;TEXT(12,"00")&amp;"*",수납!$E:$E,""))</f>
        <v/>
      </c>
      <c r="O273">
        <f>IF(원생!$I271="","",원생!$I271)</f>
        <v/>
      </c>
      <c r="P273">
        <f>IF($A273="","",IF(AND($B273&gt;0,C273&lt;$B273,DATE($B$1,1,1)&lt;=TODAY(),OR($O273="",$O273&gt;=DATE($B$1,1,1)),OR(COUNTIF($C273:C273,"&gt;0")&gt;0,DATE($B$1,1,1)=DATE(YEAR(TODAY()),MONTH(TODAY()),1))),1,0))</f>
        <v/>
      </c>
      <c r="Q273">
        <f>IF($A273="","",IF(AND($B273&gt;0,D273&lt;$B273,DATE($B$1,2,1)&lt;=TODAY(),OR($O273="",$O273&gt;=DATE($B$1,2,1)),OR(COUNTIF($C273:D273,"&gt;0")&gt;0,DATE($B$1,2,1)=DATE(YEAR(TODAY()),MONTH(TODAY()),1))),1,0))</f>
        <v/>
      </c>
      <c r="R273">
        <f>IF($A273="","",IF(AND($B273&gt;0,E273&lt;$B273,DATE($B$1,3,1)&lt;=TODAY(),OR($O273="",$O273&gt;=DATE($B$1,3,1)),OR(COUNTIF($C273:E273,"&gt;0")&gt;0,DATE($B$1,3,1)=DATE(YEAR(TODAY()),MONTH(TODAY()),1))),1,0))</f>
        <v/>
      </c>
      <c r="S273">
        <f>IF($A273="","",IF(AND($B273&gt;0,F273&lt;$B273,DATE($B$1,4,1)&lt;=TODAY(),OR($O273="",$O273&gt;=DATE($B$1,4,1)),OR(COUNTIF($C273:F273,"&gt;0")&gt;0,DATE($B$1,4,1)=DATE(YEAR(TODAY()),MONTH(TODAY()),1))),1,0))</f>
        <v/>
      </c>
      <c r="T273">
        <f>IF($A273="","",IF(AND($B273&gt;0,G273&lt;$B273,DATE($B$1,5,1)&lt;=TODAY(),OR($O273="",$O273&gt;=DATE($B$1,5,1)),OR(COUNTIF($C273:G273,"&gt;0")&gt;0,DATE($B$1,5,1)=DATE(YEAR(TODAY()),MONTH(TODAY()),1))),1,0))</f>
        <v/>
      </c>
      <c r="U273">
        <f>IF($A273="","",IF(AND($B273&gt;0,H273&lt;$B273,DATE($B$1,6,1)&lt;=TODAY(),OR($O273="",$O273&gt;=DATE($B$1,6,1)),OR(COUNTIF($C273:H273,"&gt;0")&gt;0,DATE($B$1,6,1)=DATE(YEAR(TODAY()),MONTH(TODAY()),1))),1,0))</f>
        <v/>
      </c>
      <c r="V273">
        <f>IF($A273="","",IF(AND($B273&gt;0,I273&lt;$B273,DATE($B$1,7,1)&lt;=TODAY(),OR($O273="",$O273&gt;=DATE($B$1,7,1)),OR(COUNTIF($C273:I273,"&gt;0")&gt;0,DATE($B$1,7,1)=DATE(YEAR(TODAY()),MONTH(TODAY()),1))),1,0))</f>
        <v/>
      </c>
      <c r="W273">
        <f>IF($A273="","",IF(AND($B273&gt;0,J273&lt;$B273,DATE($B$1,8,1)&lt;=TODAY(),OR($O273="",$O273&gt;=DATE($B$1,8,1)),OR(COUNTIF($C273:J273,"&gt;0")&gt;0,DATE($B$1,8,1)=DATE(YEAR(TODAY()),MONTH(TODAY()),1))),1,0))</f>
        <v/>
      </c>
      <c r="X273">
        <f>IF($A273="","",IF(AND($B273&gt;0,K273&lt;$B273,DATE($B$1,9,1)&lt;=TODAY(),OR($O273="",$O273&gt;=DATE($B$1,9,1)),OR(COUNTIF($C273:K273,"&gt;0")&gt;0,DATE($B$1,9,1)=DATE(YEAR(TODAY()),MONTH(TODAY()),1))),1,0))</f>
        <v/>
      </c>
      <c r="Y273">
        <f>IF($A273="","",IF(AND($B273&gt;0,L273&lt;$B273,DATE($B$1,10,1)&lt;=TODAY(),OR($O273="",$O273&gt;=DATE($B$1,10,1)),OR(COUNTIF($C273:L273,"&gt;0")&gt;0,DATE($B$1,10,1)=DATE(YEAR(TODAY()),MONTH(TODAY()),1))),1,0))</f>
        <v/>
      </c>
      <c r="Z273">
        <f>IF($A273="","",IF(AND($B273&gt;0,M273&lt;$B273,DATE($B$1,11,1)&lt;=TODAY(),OR($O273="",$O273&gt;=DATE($B$1,11,1)),OR(COUNTIF($C273:M273,"&gt;0")&gt;0,DATE($B$1,11,1)=DATE(YEAR(TODAY()),MONTH(TODAY()),1))),1,0))</f>
        <v/>
      </c>
      <c r="AA273">
        <f>IF($A273="","",IF(AND($B273&gt;0,N273&lt;$B273,DATE($B$1,12,1)&lt;=TODAY(),OR($O273="",$O273&gt;=DATE($B$1,12,1)),OR(COUNTIF($C273:N273,"&gt;0")&gt;0,DATE($B$1,12,1)=DATE(YEAR(TODAY()),MONTH(TODAY()),1))),1,0))</f>
        <v/>
      </c>
    </row>
    <row r="274">
      <c r="A274" s="13">
        <f>IF(원생!$A272="","",원생!$A272&amp;IF(원생!$G272="",""," ("&amp;원생!$G272&amp;")"))</f>
        <v/>
      </c>
      <c r="B274" s="8">
        <f>IF(원생!$A272="","",원생!$F272)</f>
        <v/>
      </c>
      <c r="C274" s="14">
        <f>IF(원생!$A272="","",SUMIFS(수납!$F:$F,수납!$C:$C,원생!$A272,수납!$D:$D,IF(원생!$G272="","",원생!$G272),수납!$B:$B,$B$1&amp;"-"&amp;TEXT(1,"00")&amp;"*",수납!$E:$E,"수강료")+SUMIFS(수납!$F:$F,수납!$C:$C,원생!$A272,수납!$D:$D,IF(원생!$G272="","",원생!$G272),수납!$B:$B,$B$1&amp;"-"&amp;TEXT(1,"00")&amp;"*",수납!$E:$E,""))</f>
        <v/>
      </c>
      <c r="D274" s="14">
        <f>IF(원생!$A272="","",SUMIFS(수납!$F:$F,수납!$C:$C,원생!$A272,수납!$D:$D,IF(원생!$G272="","",원생!$G272),수납!$B:$B,$B$1&amp;"-"&amp;TEXT(2,"00")&amp;"*",수납!$E:$E,"수강료")+SUMIFS(수납!$F:$F,수납!$C:$C,원생!$A272,수납!$D:$D,IF(원생!$G272="","",원생!$G272),수납!$B:$B,$B$1&amp;"-"&amp;TEXT(2,"00")&amp;"*",수납!$E:$E,""))</f>
        <v/>
      </c>
      <c r="E274" s="14">
        <f>IF(원생!$A272="","",SUMIFS(수납!$F:$F,수납!$C:$C,원생!$A272,수납!$D:$D,IF(원생!$G272="","",원생!$G272),수납!$B:$B,$B$1&amp;"-"&amp;TEXT(3,"00")&amp;"*",수납!$E:$E,"수강료")+SUMIFS(수납!$F:$F,수납!$C:$C,원생!$A272,수납!$D:$D,IF(원생!$G272="","",원생!$G272),수납!$B:$B,$B$1&amp;"-"&amp;TEXT(3,"00")&amp;"*",수납!$E:$E,""))</f>
        <v/>
      </c>
      <c r="F274" s="14">
        <f>IF(원생!$A272="","",SUMIFS(수납!$F:$F,수납!$C:$C,원생!$A272,수납!$D:$D,IF(원생!$G272="","",원생!$G272),수납!$B:$B,$B$1&amp;"-"&amp;TEXT(4,"00")&amp;"*",수납!$E:$E,"수강료")+SUMIFS(수납!$F:$F,수납!$C:$C,원생!$A272,수납!$D:$D,IF(원생!$G272="","",원생!$G272),수납!$B:$B,$B$1&amp;"-"&amp;TEXT(4,"00")&amp;"*",수납!$E:$E,""))</f>
        <v/>
      </c>
      <c r="G274" s="14">
        <f>IF(원생!$A272="","",SUMIFS(수납!$F:$F,수납!$C:$C,원생!$A272,수납!$D:$D,IF(원생!$G272="","",원생!$G272),수납!$B:$B,$B$1&amp;"-"&amp;TEXT(5,"00")&amp;"*",수납!$E:$E,"수강료")+SUMIFS(수납!$F:$F,수납!$C:$C,원생!$A272,수납!$D:$D,IF(원생!$G272="","",원생!$G272),수납!$B:$B,$B$1&amp;"-"&amp;TEXT(5,"00")&amp;"*",수납!$E:$E,""))</f>
        <v/>
      </c>
      <c r="H274" s="14">
        <f>IF(원생!$A272="","",SUMIFS(수납!$F:$F,수납!$C:$C,원생!$A272,수납!$D:$D,IF(원생!$G272="","",원생!$G272),수납!$B:$B,$B$1&amp;"-"&amp;TEXT(6,"00")&amp;"*",수납!$E:$E,"수강료")+SUMIFS(수납!$F:$F,수납!$C:$C,원생!$A272,수납!$D:$D,IF(원생!$G272="","",원생!$G272),수납!$B:$B,$B$1&amp;"-"&amp;TEXT(6,"00")&amp;"*",수납!$E:$E,""))</f>
        <v/>
      </c>
      <c r="I274" s="14">
        <f>IF(원생!$A272="","",SUMIFS(수납!$F:$F,수납!$C:$C,원생!$A272,수납!$D:$D,IF(원생!$G272="","",원생!$G272),수납!$B:$B,$B$1&amp;"-"&amp;TEXT(7,"00")&amp;"*",수납!$E:$E,"수강료")+SUMIFS(수납!$F:$F,수납!$C:$C,원생!$A272,수납!$D:$D,IF(원생!$G272="","",원생!$G272),수납!$B:$B,$B$1&amp;"-"&amp;TEXT(7,"00")&amp;"*",수납!$E:$E,""))</f>
        <v/>
      </c>
      <c r="J274" s="14">
        <f>IF(원생!$A272="","",SUMIFS(수납!$F:$F,수납!$C:$C,원생!$A272,수납!$D:$D,IF(원생!$G272="","",원생!$G272),수납!$B:$B,$B$1&amp;"-"&amp;TEXT(8,"00")&amp;"*",수납!$E:$E,"수강료")+SUMIFS(수납!$F:$F,수납!$C:$C,원생!$A272,수납!$D:$D,IF(원생!$G272="","",원생!$G272),수납!$B:$B,$B$1&amp;"-"&amp;TEXT(8,"00")&amp;"*",수납!$E:$E,""))</f>
        <v/>
      </c>
      <c r="K274" s="14">
        <f>IF(원생!$A272="","",SUMIFS(수납!$F:$F,수납!$C:$C,원생!$A272,수납!$D:$D,IF(원생!$G272="","",원생!$G272),수납!$B:$B,$B$1&amp;"-"&amp;TEXT(9,"00")&amp;"*",수납!$E:$E,"수강료")+SUMIFS(수납!$F:$F,수납!$C:$C,원생!$A272,수납!$D:$D,IF(원생!$G272="","",원생!$G272),수납!$B:$B,$B$1&amp;"-"&amp;TEXT(9,"00")&amp;"*",수납!$E:$E,""))</f>
        <v/>
      </c>
      <c r="L274" s="14">
        <f>IF(원생!$A272="","",SUMIFS(수납!$F:$F,수납!$C:$C,원생!$A272,수납!$D:$D,IF(원생!$G272="","",원생!$G272),수납!$B:$B,$B$1&amp;"-"&amp;TEXT(10,"00")&amp;"*",수납!$E:$E,"수강료")+SUMIFS(수납!$F:$F,수납!$C:$C,원생!$A272,수납!$D:$D,IF(원생!$G272="","",원생!$G272),수납!$B:$B,$B$1&amp;"-"&amp;TEXT(10,"00")&amp;"*",수납!$E:$E,""))</f>
        <v/>
      </c>
      <c r="M274" s="14">
        <f>IF(원생!$A272="","",SUMIFS(수납!$F:$F,수납!$C:$C,원생!$A272,수납!$D:$D,IF(원생!$G272="","",원생!$G272),수납!$B:$B,$B$1&amp;"-"&amp;TEXT(11,"00")&amp;"*",수납!$E:$E,"수강료")+SUMIFS(수납!$F:$F,수납!$C:$C,원생!$A272,수납!$D:$D,IF(원생!$G272="","",원생!$G272),수납!$B:$B,$B$1&amp;"-"&amp;TEXT(11,"00")&amp;"*",수납!$E:$E,""))</f>
        <v/>
      </c>
      <c r="N274" s="14">
        <f>IF(원생!$A272="","",SUMIFS(수납!$F:$F,수납!$C:$C,원생!$A272,수납!$D:$D,IF(원생!$G272="","",원생!$G272),수납!$B:$B,$B$1&amp;"-"&amp;TEXT(12,"00")&amp;"*",수납!$E:$E,"수강료")+SUMIFS(수납!$F:$F,수납!$C:$C,원생!$A272,수납!$D:$D,IF(원생!$G272="","",원생!$G272),수납!$B:$B,$B$1&amp;"-"&amp;TEXT(12,"00")&amp;"*",수납!$E:$E,""))</f>
        <v/>
      </c>
      <c r="O274">
        <f>IF(원생!$I272="","",원생!$I272)</f>
        <v/>
      </c>
      <c r="P274">
        <f>IF($A274="","",IF(AND($B274&gt;0,C274&lt;$B274,DATE($B$1,1,1)&lt;=TODAY(),OR($O274="",$O274&gt;=DATE($B$1,1,1)),OR(COUNTIF($C274:C274,"&gt;0")&gt;0,DATE($B$1,1,1)=DATE(YEAR(TODAY()),MONTH(TODAY()),1))),1,0))</f>
        <v/>
      </c>
      <c r="Q274">
        <f>IF($A274="","",IF(AND($B274&gt;0,D274&lt;$B274,DATE($B$1,2,1)&lt;=TODAY(),OR($O274="",$O274&gt;=DATE($B$1,2,1)),OR(COUNTIF($C274:D274,"&gt;0")&gt;0,DATE($B$1,2,1)=DATE(YEAR(TODAY()),MONTH(TODAY()),1))),1,0))</f>
        <v/>
      </c>
      <c r="R274">
        <f>IF($A274="","",IF(AND($B274&gt;0,E274&lt;$B274,DATE($B$1,3,1)&lt;=TODAY(),OR($O274="",$O274&gt;=DATE($B$1,3,1)),OR(COUNTIF($C274:E274,"&gt;0")&gt;0,DATE($B$1,3,1)=DATE(YEAR(TODAY()),MONTH(TODAY()),1))),1,0))</f>
        <v/>
      </c>
      <c r="S274">
        <f>IF($A274="","",IF(AND($B274&gt;0,F274&lt;$B274,DATE($B$1,4,1)&lt;=TODAY(),OR($O274="",$O274&gt;=DATE($B$1,4,1)),OR(COUNTIF($C274:F274,"&gt;0")&gt;0,DATE($B$1,4,1)=DATE(YEAR(TODAY()),MONTH(TODAY()),1))),1,0))</f>
        <v/>
      </c>
      <c r="T274">
        <f>IF($A274="","",IF(AND($B274&gt;0,G274&lt;$B274,DATE($B$1,5,1)&lt;=TODAY(),OR($O274="",$O274&gt;=DATE($B$1,5,1)),OR(COUNTIF($C274:G274,"&gt;0")&gt;0,DATE($B$1,5,1)=DATE(YEAR(TODAY()),MONTH(TODAY()),1))),1,0))</f>
        <v/>
      </c>
      <c r="U274">
        <f>IF($A274="","",IF(AND($B274&gt;0,H274&lt;$B274,DATE($B$1,6,1)&lt;=TODAY(),OR($O274="",$O274&gt;=DATE($B$1,6,1)),OR(COUNTIF($C274:H274,"&gt;0")&gt;0,DATE($B$1,6,1)=DATE(YEAR(TODAY()),MONTH(TODAY()),1))),1,0))</f>
        <v/>
      </c>
      <c r="V274">
        <f>IF($A274="","",IF(AND($B274&gt;0,I274&lt;$B274,DATE($B$1,7,1)&lt;=TODAY(),OR($O274="",$O274&gt;=DATE($B$1,7,1)),OR(COUNTIF($C274:I274,"&gt;0")&gt;0,DATE($B$1,7,1)=DATE(YEAR(TODAY()),MONTH(TODAY()),1))),1,0))</f>
        <v/>
      </c>
      <c r="W274">
        <f>IF($A274="","",IF(AND($B274&gt;0,J274&lt;$B274,DATE($B$1,8,1)&lt;=TODAY(),OR($O274="",$O274&gt;=DATE($B$1,8,1)),OR(COUNTIF($C274:J274,"&gt;0")&gt;0,DATE($B$1,8,1)=DATE(YEAR(TODAY()),MONTH(TODAY()),1))),1,0))</f>
        <v/>
      </c>
      <c r="X274">
        <f>IF($A274="","",IF(AND($B274&gt;0,K274&lt;$B274,DATE($B$1,9,1)&lt;=TODAY(),OR($O274="",$O274&gt;=DATE($B$1,9,1)),OR(COUNTIF($C274:K274,"&gt;0")&gt;0,DATE($B$1,9,1)=DATE(YEAR(TODAY()),MONTH(TODAY()),1))),1,0))</f>
        <v/>
      </c>
      <c r="Y274">
        <f>IF($A274="","",IF(AND($B274&gt;0,L274&lt;$B274,DATE($B$1,10,1)&lt;=TODAY(),OR($O274="",$O274&gt;=DATE($B$1,10,1)),OR(COUNTIF($C274:L274,"&gt;0")&gt;0,DATE($B$1,10,1)=DATE(YEAR(TODAY()),MONTH(TODAY()),1))),1,0))</f>
        <v/>
      </c>
      <c r="Z274">
        <f>IF($A274="","",IF(AND($B274&gt;0,M274&lt;$B274,DATE($B$1,11,1)&lt;=TODAY(),OR($O274="",$O274&gt;=DATE($B$1,11,1)),OR(COUNTIF($C274:M274,"&gt;0")&gt;0,DATE($B$1,11,1)=DATE(YEAR(TODAY()),MONTH(TODAY()),1))),1,0))</f>
        <v/>
      </c>
      <c r="AA274">
        <f>IF($A274="","",IF(AND($B274&gt;0,N274&lt;$B274,DATE($B$1,12,1)&lt;=TODAY(),OR($O274="",$O274&gt;=DATE($B$1,12,1)),OR(COUNTIF($C274:N274,"&gt;0")&gt;0,DATE($B$1,12,1)=DATE(YEAR(TODAY()),MONTH(TODAY()),1))),1,0))</f>
        <v/>
      </c>
    </row>
    <row r="275">
      <c r="A275" s="13">
        <f>IF(원생!$A273="","",원생!$A273&amp;IF(원생!$G273="",""," ("&amp;원생!$G273&amp;")"))</f>
        <v/>
      </c>
      <c r="B275" s="8">
        <f>IF(원생!$A273="","",원생!$F273)</f>
        <v/>
      </c>
      <c r="C275" s="14">
        <f>IF(원생!$A273="","",SUMIFS(수납!$F:$F,수납!$C:$C,원생!$A273,수납!$D:$D,IF(원생!$G273="","",원생!$G273),수납!$B:$B,$B$1&amp;"-"&amp;TEXT(1,"00")&amp;"*",수납!$E:$E,"수강료")+SUMIFS(수납!$F:$F,수납!$C:$C,원생!$A273,수납!$D:$D,IF(원생!$G273="","",원생!$G273),수납!$B:$B,$B$1&amp;"-"&amp;TEXT(1,"00")&amp;"*",수납!$E:$E,""))</f>
        <v/>
      </c>
      <c r="D275" s="14">
        <f>IF(원생!$A273="","",SUMIFS(수납!$F:$F,수납!$C:$C,원생!$A273,수납!$D:$D,IF(원생!$G273="","",원생!$G273),수납!$B:$B,$B$1&amp;"-"&amp;TEXT(2,"00")&amp;"*",수납!$E:$E,"수강료")+SUMIFS(수납!$F:$F,수납!$C:$C,원생!$A273,수납!$D:$D,IF(원생!$G273="","",원생!$G273),수납!$B:$B,$B$1&amp;"-"&amp;TEXT(2,"00")&amp;"*",수납!$E:$E,""))</f>
        <v/>
      </c>
      <c r="E275" s="14">
        <f>IF(원생!$A273="","",SUMIFS(수납!$F:$F,수납!$C:$C,원생!$A273,수납!$D:$D,IF(원생!$G273="","",원생!$G273),수납!$B:$B,$B$1&amp;"-"&amp;TEXT(3,"00")&amp;"*",수납!$E:$E,"수강료")+SUMIFS(수납!$F:$F,수납!$C:$C,원생!$A273,수납!$D:$D,IF(원생!$G273="","",원생!$G273),수납!$B:$B,$B$1&amp;"-"&amp;TEXT(3,"00")&amp;"*",수납!$E:$E,""))</f>
        <v/>
      </c>
      <c r="F275" s="14">
        <f>IF(원생!$A273="","",SUMIFS(수납!$F:$F,수납!$C:$C,원생!$A273,수납!$D:$D,IF(원생!$G273="","",원생!$G273),수납!$B:$B,$B$1&amp;"-"&amp;TEXT(4,"00")&amp;"*",수납!$E:$E,"수강료")+SUMIFS(수납!$F:$F,수납!$C:$C,원생!$A273,수납!$D:$D,IF(원생!$G273="","",원생!$G273),수납!$B:$B,$B$1&amp;"-"&amp;TEXT(4,"00")&amp;"*",수납!$E:$E,""))</f>
        <v/>
      </c>
      <c r="G275" s="14">
        <f>IF(원생!$A273="","",SUMIFS(수납!$F:$F,수납!$C:$C,원생!$A273,수납!$D:$D,IF(원생!$G273="","",원생!$G273),수납!$B:$B,$B$1&amp;"-"&amp;TEXT(5,"00")&amp;"*",수납!$E:$E,"수강료")+SUMIFS(수납!$F:$F,수납!$C:$C,원생!$A273,수납!$D:$D,IF(원생!$G273="","",원생!$G273),수납!$B:$B,$B$1&amp;"-"&amp;TEXT(5,"00")&amp;"*",수납!$E:$E,""))</f>
        <v/>
      </c>
      <c r="H275" s="14">
        <f>IF(원생!$A273="","",SUMIFS(수납!$F:$F,수납!$C:$C,원생!$A273,수납!$D:$D,IF(원생!$G273="","",원생!$G273),수납!$B:$B,$B$1&amp;"-"&amp;TEXT(6,"00")&amp;"*",수납!$E:$E,"수강료")+SUMIFS(수납!$F:$F,수납!$C:$C,원생!$A273,수납!$D:$D,IF(원생!$G273="","",원생!$G273),수납!$B:$B,$B$1&amp;"-"&amp;TEXT(6,"00")&amp;"*",수납!$E:$E,""))</f>
        <v/>
      </c>
      <c r="I275" s="14">
        <f>IF(원생!$A273="","",SUMIFS(수납!$F:$F,수납!$C:$C,원생!$A273,수납!$D:$D,IF(원생!$G273="","",원생!$G273),수납!$B:$B,$B$1&amp;"-"&amp;TEXT(7,"00")&amp;"*",수납!$E:$E,"수강료")+SUMIFS(수납!$F:$F,수납!$C:$C,원생!$A273,수납!$D:$D,IF(원생!$G273="","",원생!$G273),수납!$B:$B,$B$1&amp;"-"&amp;TEXT(7,"00")&amp;"*",수납!$E:$E,""))</f>
        <v/>
      </c>
      <c r="J275" s="14">
        <f>IF(원생!$A273="","",SUMIFS(수납!$F:$F,수납!$C:$C,원생!$A273,수납!$D:$D,IF(원생!$G273="","",원생!$G273),수납!$B:$B,$B$1&amp;"-"&amp;TEXT(8,"00")&amp;"*",수납!$E:$E,"수강료")+SUMIFS(수납!$F:$F,수납!$C:$C,원생!$A273,수납!$D:$D,IF(원생!$G273="","",원생!$G273),수납!$B:$B,$B$1&amp;"-"&amp;TEXT(8,"00")&amp;"*",수납!$E:$E,""))</f>
        <v/>
      </c>
      <c r="K275" s="14">
        <f>IF(원생!$A273="","",SUMIFS(수납!$F:$F,수납!$C:$C,원생!$A273,수납!$D:$D,IF(원생!$G273="","",원생!$G273),수납!$B:$B,$B$1&amp;"-"&amp;TEXT(9,"00")&amp;"*",수납!$E:$E,"수강료")+SUMIFS(수납!$F:$F,수납!$C:$C,원생!$A273,수납!$D:$D,IF(원생!$G273="","",원생!$G273),수납!$B:$B,$B$1&amp;"-"&amp;TEXT(9,"00")&amp;"*",수납!$E:$E,""))</f>
        <v/>
      </c>
      <c r="L275" s="14">
        <f>IF(원생!$A273="","",SUMIFS(수납!$F:$F,수납!$C:$C,원생!$A273,수납!$D:$D,IF(원생!$G273="","",원생!$G273),수납!$B:$B,$B$1&amp;"-"&amp;TEXT(10,"00")&amp;"*",수납!$E:$E,"수강료")+SUMIFS(수납!$F:$F,수납!$C:$C,원생!$A273,수납!$D:$D,IF(원생!$G273="","",원생!$G273),수납!$B:$B,$B$1&amp;"-"&amp;TEXT(10,"00")&amp;"*",수납!$E:$E,""))</f>
        <v/>
      </c>
      <c r="M275" s="14">
        <f>IF(원생!$A273="","",SUMIFS(수납!$F:$F,수납!$C:$C,원생!$A273,수납!$D:$D,IF(원생!$G273="","",원생!$G273),수납!$B:$B,$B$1&amp;"-"&amp;TEXT(11,"00")&amp;"*",수납!$E:$E,"수강료")+SUMIFS(수납!$F:$F,수납!$C:$C,원생!$A273,수납!$D:$D,IF(원생!$G273="","",원생!$G273),수납!$B:$B,$B$1&amp;"-"&amp;TEXT(11,"00")&amp;"*",수납!$E:$E,""))</f>
        <v/>
      </c>
      <c r="N275" s="14">
        <f>IF(원생!$A273="","",SUMIFS(수납!$F:$F,수납!$C:$C,원생!$A273,수납!$D:$D,IF(원생!$G273="","",원생!$G273),수납!$B:$B,$B$1&amp;"-"&amp;TEXT(12,"00")&amp;"*",수납!$E:$E,"수강료")+SUMIFS(수납!$F:$F,수납!$C:$C,원생!$A273,수납!$D:$D,IF(원생!$G273="","",원생!$G273),수납!$B:$B,$B$1&amp;"-"&amp;TEXT(12,"00")&amp;"*",수납!$E:$E,""))</f>
        <v/>
      </c>
      <c r="O275">
        <f>IF(원생!$I273="","",원생!$I273)</f>
        <v/>
      </c>
      <c r="P275">
        <f>IF($A275="","",IF(AND($B275&gt;0,C275&lt;$B275,DATE($B$1,1,1)&lt;=TODAY(),OR($O275="",$O275&gt;=DATE($B$1,1,1)),OR(COUNTIF($C275:C275,"&gt;0")&gt;0,DATE($B$1,1,1)=DATE(YEAR(TODAY()),MONTH(TODAY()),1))),1,0))</f>
        <v/>
      </c>
      <c r="Q275">
        <f>IF($A275="","",IF(AND($B275&gt;0,D275&lt;$B275,DATE($B$1,2,1)&lt;=TODAY(),OR($O275="",$O275&gt;=DATE($B$1,2,1)),OR(COUNTIF($C275:D275,"&gt;0")&gt;0,DATE($B$1,2,1)=DATE(YEAR(TODAY()),MONTH(TODAY()),1))),1,0))</f>
        <v/>
      </c>
      <c r="R275">
        <f>IF($A275="","",IF(AND($B275&gt;0,E275&lt;$B275,DATE($B$1,3,1)&lt;=TODAY(),OR($O275="",$O275&gt;=DATE($B$1,3,1)),OR(COUNTIF($C275:E275,"&gt;0")&gt;0,DATE($B$1,3,1)=DATE(YEAR(TODAY()),MONTH(TODAY()),1))),1,0))</f>
        <v/>
      </c>
      <c r="S275">
        <f>IF($A275="","",IF(AND($B275&gt;0,F275&lt;$B275,DATE($B$1,4,1)&lt;=TODAY(),OR($O275="",$O275&gt;=DATE($B$1,4,1)),OR(COUNTIF($C275:F275,"&gt;0")&gt;0,DATE($B$1,4,1)=DATE(YEAR(TODAY()),MONTH(TODAY()),1))),1,0))</f>
        <v/>
      </c>
      <c r="T275">
        <f>IF($A275="","",IF(AND($B275&gt;0,G275&lt;$B275,DATE($B$1,5,1)&lt;=TODAY(),OR($O275="",$O275&gt;=DATE($B$1,5,1)),OR(COUNTIF($C275:G275,"&gt;0")&gt;0,DATE($B$1,5,1)=DATE(YEAR(TODAY()),MONTH(TODAY()),1))),1,0))</f>
        <v/>
      </c>
      <c r="U275">
        <f>IF($A275="","",IF(AND($B275&gt;0,H275&lt;$B275,DATE($B$1,6,1)&lt;=TODAY(),OR($O275="",$O275&gt;=DATE($B$1,6,1)),OR(COUNTIF($C275:H275,"&gt;0")&gt;0,DATE($B$1,6,1)=DATE(YEAR(TODAY()),MONTH(TODAY()),1))),1,0))</f>
        <v/>
      </c>
      <c r="V275">
        <f>IF($A275="","",IF(AND($B275&gt;0,I275&lt;$B275,DATE($B$1,7,1)&lt;=TODAY(),OR($O275="",$O275&gt;=DATE($B$1,7,1)),OR(COUNTIF($C275:I275,"&gt;0")&gt;0,DATE($B$1,7,1)=DATE(YEAR(TODAY()),MONTH(TODAY()),1))),1,0))</f>
        <v/>
      </c>
      <c r="W275">
        <f>IF($A275="","",IF(AND($B275&gt;0,J275&lt;$B275,DATE($B$1,8,1)&lt;=TODAY(),OR($O275="",$O275&gt;=DATE($B$1,8,1)),OR(COUNTIF($C275:J275,"&gt;0")&gt;0,DATE($B$1,8,1)=DATE(YEAR(TODAY()),MONTH(TODAY()),1))),1,0))</f>
        <v/>
      </c>
      <c r="X275">
        <f>IF($A275="","",IF(AND($B275&gt;0,K275&lt;$B275,DATE($B$1,9,1)&lt;=TODAY(),OR($O275="",$O275&gt;=DATE($B$1,9,1)),OR(COUNTIF($C275:K275,"&gt;0")&gt;0,DATE($B$1,9,1)=DATE(YEAR(TODAY()),MONTH(TODAY()),1))),1,0))</f>
        <v/>
      </c>
      <c r="Y275">
        <f>IF($A275="","",IF(AND($B275&gt;0,L275&lt;$B275,DATE($B$1,10,1)&lt;=TODAY(),OR($O275="",$O275&gt;=DATE($B$1,10,1)),OR(COUNTIF($C275:L275,"&gt;0")&gt;0,DATE($B$1,10,1)=DATE(YEAR(TODAY()),MONTH(TODAY()),1))),1,0))</f>
        <v/>
      </c>
      <c r="Z275">
        <f>IF($A275="","",IF(AND($B275&gt;0,M275&lt;$B275,DATE($B$1,11,1)&lt;=TODAY(),OR($O275="",$O275&gt;=DATE($B$1,11,1)),OR(COUNTIF($C275:M275,"&gt;0")&gt;0,DATE($B$1,11,1)=DATE(YEAR(TODAY()),MONTH(TODAY()),1))),1,0))</f>
        <v/>
      </c>
      <c r="AA275">
        <f>IF($A275="","",IF(AND($B275&gt;0,N275&lt;$B275,DATE($B$1,12,1)&lt;=TODAY(),OR($O275="",$O275&gt;=DATE($B$1,12,1)),OR(COUNTIF($C275:N275,"&gt;0")&gt;0,DATE($B$1,12,1)=DATE(YEAR(TODAY()),MONTH(TODAY()),1))),1,0))</f>
        <v/>
      </c>
    </row>
    <row r="276">
      <c r="A276" s="13">
        <f>IF(원생!$A274="","",원생!$A274&amp;IF(원생!$G274="",""," ("&amp;원생!$G274&amp;")"))</f>
        <v/>
      </c>
      <c r="B276" s="8">
        <f>IF(원생!$A274="","",원생!$F274)</f>
        <v/>
      </c>
      <c r="C276" s="14">
        <f>IF(원생!$A274="","",SUMIFS(수납!$F:$F,수납!$C:$C,원생!$A274,수납!$D:$D,IF(원생!$G274="","",원생!$G274),수납!$B:$B,$B$1&amp;"-"&amp;TEXT(1,"00")&amp;"*",수납!$E:$E,"수강료")+SUMIFS(수납!$F:$F,수납!$C:$C,원생!$A274,수납!$D:$D,IF(원생!$G274="","",원생!$G274),수납!$B:$B,$B$1&amp;"-"&amp;TEXT(1,"00")&amp;"*",수납!$E:$E,""))</f>
        <v/>
      </c>
      <c r="D276" s="14">
        <f>IF(원생!$A274="","",SUMIFS(수납!$F:$F,수납!$C:$C,원생!$A274,수납!$D:$D,IF(원생!$G274="","",원생!$G274),수납!$B:$B,$B$1&amp;"-"&amp;TEXT(2,"00")&amp;"*",수납!$E:$E,"수강료")+SUMIFS(수납!$F:$F,수납!$C:$C,원생!$A274,수납!$D:$D,IF(원생!$G274="","",원생!$G274),수납!$B:$B,$B$1&amp;"-"&amp;TEXT(2,"00")&amp;"*",수납!$E:$E,""))</f>
        <v/>
      </c>
      <c r="E276" s="14">
        <f>IF(원생!$A274="","",SUMIFS(수납!$F:$F,수납!$C:$C,원생!$A274,수납!$D:$D,IF(원생!$G274="","",원생!$G274),수납!$B:$B,$B$1&amp;"-"&amp;TEXT(3,"00")&amp;"*",수납!$E:$E,"수강료")+SUMIFS(수납!$F:$F,수납!$C:$C,원생!$A274,수납!$D:$D,IF(원생!$G274="","",원생!$G274),수납!$B:$B,$B$1&amp;"-"&amp;TEXT(3,"00")&amp;"*",수납!$E:$E,""))</f>
        <v/>
      </c>
      <c r="F276" s="14">
        <f>IF(원생!$A274="","",SUMIFS(수납!$F:$F,수납!$C:$C,원생!$A274,수납!$D:$D,IF(원생!$G274="","",원생!$G274),수납!$B:$B,$B$1&amp;"-"&amp;TEXT(4,"00")&amp;"*",수납!$E:$E,"수강료")+SUMIFS(수납!$F:$F,수납!$C:$C,원생!$A274,수납!$D:$D,IF(원생!$G274="","",원생!$G274),수납!$B:$B,$B$1&amp;"-"&amp;TEXT(4,"00")&amp;"*",수납!$E:$E,""))</f>
        <v/>
      </c>
      <c r="G276" s="14">
        <f>IF(원생!$A274="","",SUMIFS(수납!$F:$F,수납!$C:$C,원생!$A274,수납!$D:$D,IF(원생!$G274="","",원생!$G274),수납!$B:$B,$B$1&amp;"-"&amp;TEXT(5,"00")&amp;"*",수납!$E:$E,"수강료")+SUMIFS(수납!$F:$F,수납!$C:$C,원생!$A274,수납!$D:$D,IF(원생!$G274="","",원생!$G274),수납!$B:$B,$B$1&amp;"-"&amp;TEXT(5,"00")&amp;"*",수납!$E:$E,""))</f>
        <v/>
      </c>
      <c r="H276" s="14">
        <f>IF(원생!$A274="","",SUMIFS(수납!$F:$F,수납!$C:$C,원생!$A274,수납!$D:$D,IF(원생!$G274="","",원생!$G274),수납!$B:$B,$B$1&amp;"-"&amp;TEXT(6,"00")&amp;"*",수납!$E:$E,"수강료")+SUMIFS(수납!$F:$F,수납!$C:$C,원생!$A274,수납!$D:$D,IF(원생!$G274="","",원생!$G274),수납!$B:$B,$B$1&amp;"-"&amp;TEXT(6,"00")&amp;"*",수납!$E:$E,""))</f>
        <v/>
      </c>
      <c r="I276" s="14">
        <f>IF(원생!$A274="","",SUMIFS(수납!$F:$F,수납!$C:$C,원생!$A274,수납!$D:$D,IF(원생!$G274="","",원생!$G274),수납!$B:$B,$B$1&amp;"-"&amp;TEXT(7,"00")&amp;"*",수납!$E:$E,"수강료")+SUMIFS(수납!$F:$F,수납!$C:$C,원생!$A274,수납!$D:$D,IF(원생!$G274="","",원생!$G274),수납!$B:$B,$B$1&amp;"-"&amp;TEXT(7,"00")&amp;"*",수납!$E:$E,""))</f>
        <v/>
      </c>
      <c r="J276" s="14">
        <f>IF(원생!$A274="","",SUMIFS(수납!$F:$F,수납!$C:$C,원생!$A274,수납!$D:$D,IF(원생!$G274="","",원생!$G274),수납!$B:$B,$B$1&amp;"-"&amp;TEXT(8,"00")&amp;"*",수납!$E:$E,"수강료")+SUMIFS(수납!$F:$F,수납!$C:$C,원생!$A274,수납!$D:$D,IF(원생!$G274="","",원생!$G274),수납!$B:$B,$B$1&amp;"-"&amp;TEXT(8,"00")&amp;"*",수납!$E:$E,""))</f>
        <v/>
      </c>
      <c r="K276" s="14">
        <f>IF(원생!$A274="","",SUMIFS(수납!$F:$F,수납!$C:$C,원생!$A274,수납!$D:$D,IF(원생!$G274="","",원생!$G274),수납!$B:$B,$B$1&amp;"-"&amp;TEXT(9,"00")&amp;"*",수납!$E:$E,"수강료")+SUMIFS(수납!$F:$F,수납!$C:$C,원생!$A274,수납!$D:$D,IF(원생!$G274="","",원생!$G274),수납!$B:$B,$B$1&amp;"-"&amp;TEXT(9,"00")&amp;"*",수납!$E:$E,""))</f>
        <v/>
      </c>
      <c r="L276" s="14">
        <f>IF(원생!$A274="","",SUMIFS(수납!$F:$F,수납!$C:$C,원생!$A274,수납!$D:$D,IF(원생!$G274="","",원생!$G274),수납!$B:$B,$B$1&amp;"-"&amp;TEXT(10,"00")&amp;"*",수납!$E:$E,"수강료")+SUMIFS(수납!$F:$F,수납!$C:$C,원생!$A274,수납!$D:$D,IF(원생!$G274="","",원생!$G274),수납!$B:$B,$B$1&amp;"-"&amp;TEXT(10,"00")&amp;"*",수납!$E:$E,""))</f>
        <v/>
      </c>
      <c r="M276" s="14">
        <f>IF(원생!$A274="","",SUMIFS(수납!$F:$F,수납!$C:$C,원생!$A274,수납!$D:$D,IF(원생!$G274="","",원생!$G274),수납!$B:$B,$B$1&amp;"-"&amp;TEXT(11,"00")&amp;"*",수납!$E:$E,"수강료")+SUMIFS(수납!$F:$F,수납!$C:$C,원생!$A274,수납!$D:$D,IF(원생!$G274="","",원생!$G274),수납!$B:$B,$B$1&amp;"-"&amp;TEXT(11,"00")&amp;"*",수납!$E:$E,""))</f>
        <v/>
      </c>
      <c r="N276" s="14">
        <f>IF(원생!$A274="","",SUMIFS(수납!$F:$F,수납!$C:$C,원생!$A274,수납!$D:$D,IF(원생!$G274="","",원생!$G274),수납!$B:$B,$B$1&amp;"-"&amp;TEXT(12,"00")&amp;"*",수납!$E:$E,"수강료")+SUMIFS(수납!$F:$F,수납!$C:$C,원생!$A274,수납!$D:$D,IF(원생!$G274="","",원생!$G274),수납!$B:$B,$B$1&amp;"-"&amp;TEXT(12,"00")&amp;"*",수납!$E:$E,""))</f>
        <v/>
      </c>
      <c r="O276">
        <f>IF(원생!$I274="","",원생!$I274)</f>
        <v/>
      </c>
      <c r="P276">
        <f>IF($A276="","",IF(AND($B276&gt;0,C276&lt;$B276,DATE($B$1,1,1)&lt;=TODAY(),OR($O276="",$O276&gt;=DATE($B$1,1,1)),OR(COUNTIF($C276:C276,"&gt;0")&gt;0,DATE($B$1,1,1)=DATE(YEAR(TODAY()),MONTH(TODAY()),1))),1,0))</f>
        <v/>
      </c>
      <c r="Q276">
        <f>IF($A276="","",IF(AND($B276&gt;0,D276&lt;$B276,DATE($B$1,2,1)&lt;=TODAY(),OR($O276="",$O276&gt;=DATE($B$1,2,1)),OR(COUNTIF($C276:D276,"&gt;0")&gt;0,DATE($B$1,2,1)=DATE(YEAR(TODAY()),MONTH(TODAY()),1))),1,0))</f>
        <v/>
      </c>
      <c r="R276">
        <f>IF($A276="","",IF(AND($B276&gt;0,E276&lt;$B276,DATE($B$1,3,1)&lt;=TODAY(),OR($O276="",$O276&gt;=DATE($B$1,3,1)),OR(COUNTIF($C276:E276,"&gt;0")&gt;0,DATE($B$1,3,1)=DATE(YEAR(TODAY()),MONTH(TODAY()),1))),1,0))</f>
        <v/>
      </c>
      <c r="S276">
        <f>IF($A276="","",IF(AND($B276&gt;0,F276&lt;$B276,DATE($B$1,4,1)&lt;=TODAY(),OR($O276="",$O276&gt;=DATE($B$1,4,1)),OR(COUNTIF($C276:F276,"&gt;0")&gt;0,DATE($B$1,4,1)=DATE(YEAR(TODAY()),MONTH(TODAY()),1))),1,0))</f>
        <v/>
      </c>
      <c r="T276">
        <f>IF($A276="","",IF(AND($B276&gt;0,G276&lt;$B276,DATE($B$1,5,1)&lt;=TODAY(),OR($O276="",$O276&gt;=DATE($B$1,5,1)),OR(COUNTIF($C276:G276,"&gt;0")&gt;0,DATE($B$1,5,1)=DATE(YEAR(TODAY()),MONTH(TODAY()),1))),1,0))</f>
        <v/>
      </c>
      <c r="U276">
        <f>IF($A276="","",IF(AND($B276&gt;0,H276&lt;$B276,DATE($B$1,6,1)&lt;=TODAY(),OR($O276="",$O276&gt;=DATE($B$1,6,1)),OR(COUNTIF($C276:H276,"&gt;0")&gt;0,DATE($B$1,6,1)=DATE(YEAR(TODAY()),MONTH(TODAY()),1))),1,0))</f>
        <v/>
      </c>
      <c r="V276">
        <f>IF($A276="","",IF(AND($B276&gt;0,I276&lt;$B276,DATE($B$1,7,1)&lt;=TODAY(),OR($O276="",$O276&gt;=DATE($B$1,7,1)),OR(COUNTIF($C276:I276,"&gt;0")&gt;0,DATE($B$1,7,1)=DATE(YEAR(TODAY()),MONTH(TODAY()),1))),1,0))</f>
        <v/>
      </c>
      <c r="W276">
        <f>IF($A276="","",IF(AND($B276&gt;0,J276&lt;$B276,DATE($B$1,8,1)&lt;=TODAY(),OR($O276="",$O276&gt;=DATE($B$1,8,1)),OR(COUNTIF($C276:J276,"&gt;0")&gt;0,DATE($B$1,8,1)=DATE(YEAR(TODAY()),MONTH(TODAY()),1))),1,0))</f>
        <v/>
      </c>
      <c r="X276">
        <f>IF($A276="","",IF(AND($B276&gt;0,K276&lt;$B276,DATE($B$1,9,1)&lt;=TODAY(),OR($O276="",$O276&gt;=DATE($B$1,9,1)),OR(COUNTIF($C276:K276,"&gt;0")&gt;0,DATE($B$1,9,1)=DATE(YEAR(TODAY()),MONTH(TODAY()),1))),1,0))</f>
        <v/>
      </c>
      <c r="Y276">
        <f>IF($A276="","",IF(AND($B276&gt;0,L276&lt;$B276,DATE($B$1,10,1)&lt;=TODAY(),OR($O276="",$O276&gt;=DATE($B$1,10,1)),OR(COUNTIF($C276:L276,"&gt;0")&gt;0,DATE($B$1,10,1)=DATE(YEAR(TODAY()),MONTH(TODAY()),1))),1,0))</f>
        <v/>
      </c>
      <c r="Z276">
        <f>IF($A276="","",IF(AND($B276&gt;0,M276&lt;$B276,DATE($B$1,11,1)&lt;=TODAY(),OR($O276="",$O276&gt;=DATE($B$1,11,1)),OR(COUNTIF($C276:M276,"&gt;0")&gt;0,DATE($B$1,11,1)=DATE(YEAR(TODAY()),MONTH(TODAY()),1))),1,0))</f>
        <v/>
      </c>
      <c r="AA276">
        <f>IF($A276="","",IF(AND($B276&gt;0,N276&lt;$B276,DATE($B$1,12,1)&lt;=TODAY(),OR($O276="",$O276&gt;=DATE($B$1,12,1)),OR(COUNTIF($C276:N276,"&gt;0")&gt;0,DATE($B$1,12,1)=DATE(YEAR(TODAY()),MONTH(TODAY()),1))),1,0))</f>
        <v/>
      </c>
    </row>
    <row r="277">
      <c r="A277" s="13">
        <f>IF(원생!$A275="","",원생!$A275&amp;IF(원생!$G275="",""," ("&amp;원생!$G275&amp;")"))</f>
        <v/>
      </c>
      <c r="B277" s="8">
        <f>IF(원생!$A275="","",원생!$F275)</f>
        <v/>
      </c>
      <c r="C277" s="14">
        <f>IF(원생!$A275="","",SUMIFS(수납!$F:$F,수납!$C:$C,원생!$A275,수납!$D:$D,IF(원생!$G275="","",원생!$G275),수납!$B:$B,$B$1&amp;"-"&amp;TEXT(1,"00")&amp;"*",수납!$E:$E,"수강료")+SUMIFS(수납!$F:$F,수납!$C:$C,원생!$A275,수납!$D:$D,IF(원생!$G275="","",원생!$G275),수납!$B:$B,$B$1&amp;"-"&amp;TEXT(1,"00")&amp;"*",수납!$E:$E,""))</f>
        <v/>
      </c>
      <c r="D277" s="14">
        <f>IF(원생!$A275="","",SUMIFS(수납!$F:$F,수납!$C:$C,원생!$A275,수납!$D:$D,IF(원생!$G275="","",원생!$G275),수납!$B:$B,$B$1&amp;"-"&amp;TEXT(2,"00")&amp;"*",수납!$E:$E,"수강료")+SUMIFS(수납!$F:$F,수납!$C:$C,원생!$A275,수납!$D:$D,IF(원생!$G275="","",원생!$G275),수납!$B:$B,$B$1&amp;"-"&amp;TEXT(2,"00")&amp;"*",수납!$E:$E,""))</f>
        <v/>
      </c>
      <c r="E277" s="14">
        <f>IF(원생!$A275="","",SUMIFS(수납!$F:$F,수납!$C:$C,원생!$A275,수납!$D:$D,IF(원생!$G275="","",원생!$G275),수납!$B:$B,$B$1&amp;"-"&amp;TEXT(3,"00")&amp;"*",수납!$E:$E,"수강료")+SUMIFS(수납!$F:$F,수납!$C:$C,원생!$A275,수납!$D:$D,IF(원생!$G275="","",원생!$G275),수납!$B:$B,$B$1&amp;"-"&amp;TEXT(3,"00")&amp;"*",수납!$E:$E,""))</f>
        <v/>
      </c>
      <c r="F277" s="14">
        <f>IF(원생!$A275="","",SUMIFS(수납!$F:$F,수납!$C:$C,원생!$A275,수납!$D:$D,IF(원생!$G275="","",원생!$G275),수납!$B:$B,$B$1&amp;"-"&amp;TEXT(4,"00")&amp;"*",수납!$E:$E,"수강료")+SUMIFS(수납!$F:$F,수납!$C:$C,원생!$A275,수납!$D:$D,IF(원생!$G275="","",원생!$G275),수납!$B:$B,$B$1&amp;"-"&amp;TEXT(4,"00")&amp;"*",수납!$E:$E,""))</f>
        <v/>
      </c>
      <c r="G277" s="14">
        <f>IF(원생!$A275="","",SUMIFS(수납!$F:$F,수납!$C:$C,원생!$A275,수납!$D:$D,IF(원생!$G275="","",원생!$G275),수납!$B:$B,$B$1&amp;"-"&amp;TEXT(5,"00")&amp;"*",수납!$E:$E,"수강료")+SUMIFS(수납!$F:$F,수납!$C:$C,원생!$A275,수납!$D:$D,IF(원생!$G275="","",원생!$G275),수납!$B:$B,$B$1&amp;"-"&amp;TEXT(5,"00")&amp;"*",수납!$E:$E,""))</f>
        <v/>
      </c>
      <c r="H277" s="14">
        <f>IF(원생!$A275="","",SUMIFS(수납!$F:$F,수납!$C:$C,원생!$A275,수납!$D:$D,IF(원생!$G275="","",원생!$G275),수납!$B:$B,$B$1&amp;"-"&amp;TEXT(6,"00")&amp;"*",수납!$E:$E,"수강료")+SUMIFS(수납!$F:$F,수납!$C:$C,원생!$A275,수납!$D:$D,IF(원생!$G275="","",원생!$G275),수납!$B:$B,$B$1&amp;"-"&amp;TEXT(6,"00")&amp;"*",수납!$E:$E,""))</f>
        <v/>
      </c>
      <c r="I277" s="14">
        <f>IF(원생!$A275="","",SUMIFS(수납!$F:$F,수납!$C:$C,원생!$A275,수납!$D:$D,IF(원생!$G275="","",원생!$G275),수납!$B:$B,$B$1&amp;"-"&amp;TEXT(7,"00")&amp;"*",수납!$E:$E,"수강료")+SUMIFS(수납!$F:$F,수납!$C:$C,원생!$A275,수납!$D:$D,IF(원생!$G275="","",원생!$G275),수납!$B:$B,$B$1&amp;"-"&amp;TEXT(7,"00")&amp;"*",수납!$E:$E,""))</f>
        <v/>
      </c>
      <c r="J277" s="14">
        <f>IF(원생!$A275="","",SUMIFS(수납!$F:$F,수납!$C:$C,원생!$A275,수납!$D:$D,IF(원생!$G275="","",원생!$G275),수납!$B:$B,$B$1&amp;"-"&amp;TEXT(8,"00")&amp;"*",수납!$E:$E,"수강료")+SUMIFS(수납!$F:$F,수납!$C:$C,원생!$A275,수납!$D:$D,IF(원생!$G275="","",원생!$G275),수납!$B:$B,$B$1&amp;"-"&amp;TEXT(8,"00")&amp;"*",수납!$E:$E,""))</f>
        <v/>
      </c>
      <c r="K277" s="14">
        <f>IF(원생!$A275="","",SUMIFS(수납!$F:$F,수납!$C:$C,원생!$A275,수납!$D:$D,IF(원생!$G275="","",원생!$G275),수납!$B:$B,$B$1&amp;"-"&amp;TEXT(9,"00")&amp;"*",수납!$E:$E,"수강료")+SUMIFS(수납!$F:$F,수납!$C:$C,원생!$A275,수납!$D:$D,IF(원생!$G275="","",원생!$G275),수납!$B:$B,$B$1&amp;"-"&amp;TEXT(9,"00")&amp;"*",수납!$E:$E,""))</f>
        <v/>
      </c>
      <c r="L277" s="14">
        <f>IF(원생!$A275="","",SUMIFS(수납!$F:$F,수납!$C:$C,원생!$A275,수납!$D:$D,IF(원생!$G275="","",원생!$G275),수납!$B:$B,$B$1&amp;"-"&amp;TEXT(10,"00")&amp;"*",수납!$E:$E,"수강료")+SUMIFS(수납!$F:$F,수납!$C:$C,원생!$A275,수납!$D:$D,IF(원생!$G275="","",원생!$G275),수납!$B:$B,$B$1&amp;"-"&amp;TEXT(10,"00")&amp;"*",수납!$E:$E,""))</f>
        <v/>
      </c>
      <c r="M277" s="14">
        <f>IF(원생!$A275="","",SUMIFS(수납!$F:$F,수납!$C:$C,원생!$A275,수납!$D:$D,IF(원생!$G275="","",원생!$G275),수납!$B:$B,$B$1&amp;"-"&amp;TEXT(11,"00")&amp;"*",수납!$E:$E,"수강료")+SUMIFS(수납!$F:$F,수납!$C:$C,원생!$A275,수납!$D:$D,IF(원생!$G275="","",원생!$G275),수납!$B:$B,$B$1&amp;"-"&amp;TEXT(11,"00")&amp;"*",수납!$E:$E,""))</f>
        <v/>
      </c>
      <c r="N277" s="14">
        <f>IF(원생!$A275="","",SUMIFS(수납!$F:$F,수납!$C:$C,원생!$A275,수납!$D:$D,IF(원생!$G275="","",원생!$G275),수납!$B:$B,$B$1&amp;"-"&amp;TEXT(12,"00")&amp;"*",수납!$E:$E,"수강료")+SUMIFS(수납!$F:$F,수납!$C:$C,원생!$A275,수납!$D:$D,IF(원생!$G275="","",원생!$G275),수납!$B:$B,$B$1&amp;"-"&amp;TEXT(12,"00")&amp;"*",수납!$E:$E,""))</f>
        <v/>
      </c>
      <c r="O277">
        <f>IF(원생!$I275="","",원생!$I275)</f>
        <v/>
      </c>
      <c r="P277">
        <f>IF($A277="","",IF(AND($B277&gt;0,C277&lt;$B277,DATE($B$1,1,1)&lt;=TODAY(),OR($O277="",$O277&gt;=DATE($B$1,1,1)),OR(COUNTIF($C277:C277,"&gt;0")&gt;0,DATE($B$1,1,1)=DATE(YEAR(TODAY()),MONTH(TODAY()),1))),1,0))</f>
        <v/>
      </c>
      <c r="Q277">
        <f>IF($A277="","",IF(AND($B277&gt;0,D277&lt;$B277,DATE($B$1,2,1)&lt;=TODAY(),OR($O277="",$O277&gt;=DATE($B$1,2,1)),OR(COUNTIF($C277:D277,"&gt;0")&gt;0,DATE($B$1,2,1)=DATE(YEAR(TODAY()),MONTH(TODAY()),1))),1,0))</f>
        <v/>
      </c>
      <c r="R277">
        <f>IF($A277="","",IF(AND($B277&gt;0,E277&lt;$B277,DATE($B$1,3,1)&lt;=TODAY(),OR($O277="",$O277&gt;=DATE($B$1,3,1)),OR(COUNTIF($C277:E277,"&gt;0")&gt;0,DATE($B$1,3,1)=DATE(YEAR(TODAY()),MONTH(TODAY()),1))),1,0))</f>
        <v/>
      </c>
      <c r="S277">
        <f>IF($A277="","",IF(AND($B277&gt;0,F277&lt;$B277,DATE($B$1,4,1)&lt;=TODAY(),OR($O277="",$O277&gt;=DATE($B$1,4,1)),OR(COUNTIF($C277:F277,"&gt;0")&gt;0,DATE($B$1,4,1)=DATE(YEAR(TODAY()),MONTH(TODAY()),1))),1,0))</f>
        <v/>
      </c>
      <c r="T277">
        <f>IF($A277="","",IF(AND($B277&gt;0,G277&lt;$B277,DATE($B$1,5,1)&lt;=TODAY(),OR($O277="",$O277&gt;=DATE($B$1,5,1)),OR(COUNTIF($C277:G277,"&gt;0")&gt;0,DATE($B$1,5,1)=DATE(YEAR(TODAY()),MONTH(TODAY()),1))),1,0))</f>
        <v/>
      </c>
      <c r="U277">
        <f>IF($A277="","",IF(AND($B277&gt;0,H277&lt;$B277,DATE($B$1,6,1)&lt;=TODAY(),OR($O277="",$O277&gt;=DATE($B$1,6,1)),OR(COUNTIF($C277:H277,"&gt;0")&gt;0,DATE($B$1,6,1)=DATE(YEAR(TODAY()),MONTH(TODAY()),1))),1,0))</f>
        <v/>
      </c>
      <c r="V277">
        <f>IF($A277="","",IF(AND($B277&gt;0,I277&lt;$B277,DATE($B$1,7,1)&lt;=TODAY(),OR($O277="",$O277&gt;=DATE($B$1,7,1)),OR(COUNTIF($C277:I277,"&gt;0")&gt;0,DATE($B$1,7,1)=DATE(YEAR(TODAY()),MONTH(TODAY()),1))),1,0))</f>
        <v/>
      </c>
      <c r="W277">
        <f>IF($A277="","",IF(AND($B277&gt;0,J277&lt;$B277,DATE($B$1,8,1)&lt;=TODAY(),OR($O277="",$O277&gt;=DATE($B$1,8,1)),OR(COUNTIF($C277:J277,"&gt;0")&gt;0,DATE($B$1,8,1)=DATE(YEAR(TODAY()),MONTH(TODAY()),1))),1,0))</f>
        <v/>
      </c>
      <c r="X277">
        <f>IF($A277="","",IF(AND($B277&gt;0,K277&lt;$B277,DATE($B$1,9,1)&lt;=TODAY(),OR($O277="",$O277&gt;=DATE($B$1,9,1)),OR(COUNTIF($C277:K277,"&gt;0")&gt;0,DATE($B$1,9,1)=DATE(YEAR(TODAY()),MONTH(TODAY()),1))),1,0))</f>
        <v/>
      </c>
      <c r="Y277">
        <f>IF($A277="","",IF(AND($B277&gt;0,L277&lt;$B277,DATE($B$1,10,1)&lt;=TODAY(),OR($O277="",$O277&gt;=DATE($B$1,10,1)),OR(COUNTIF($C277:L277,"&gt;0")&gt;0,DATE($B$1,10,1)=DATE(YEAR(TODAY()),MONTH(TODAY()),1))),1,0))</f>
        <v/>
      </c>
      <c r="Z277">
        <f>IF($A277="","",IF(AND($B277&gt;0,M277&lt;$B277,DATE($B$1,11,1)&lt;=TODAY(),OR($O277="",$O277&gt;=DATE($B$1,11,1)),OR(COUNTIF($C277:M277,"&gt;0")&gt;0,DATE($B$1,11,1)=DATE(YEAR(TODAY()),MONTH(TODAY()),1))),1,0))</f>
        <v/>
      </c>
      <c r="AA277">
        <f>IF($A277="","",IF(AND($B277&gt;0,N277&lt;$B277,DATE($B$1,12,1)&lt;=TODAY(),OR($O277="",$O277&gt;=DATE($B$1,12,1)),OR(COUNTIF($C277:N277,"&gt;0")&gt;0,DATE($B$1,12,1)=DATE(YEAR(TODAY()),MONTH(TODAY()),1))),1,0))</f>
        <v/>
      </c>
    </row>
    <row r="278">
      <c r="A278" s="13">
        <f>IF(원생!$A276="","",원생!$A276&amp;IF(원생!$G276="",""," ("&amp;원생!$G276&amp;")"))</f>
        <v/>
      </c>
      <c r="B278" s="8">
        <f>IF(원생!$A276="","",원생!$F276)</f>
        <v/>
      </c>
      <c r="C278" s="14">
        <f>IF(원생!$A276="","",SUMIFS(수납!$F:$F,수납!$C:$C,원생!$A276,수납!$D:$D,IF(원생!$G276="","",원생!$G276),수납!$B:$B,$B$1&amp;"-"&amp;TEXT(1,"00")&amp;"*",수납!$E:$E,"수강료")+SUMIFS(수납!$F:$F,수납!$C:$C,원생!$A276,수납!$D:$D,IF(원생!$G276="","",원생!$G276),수납!$B:$B,$B$1&amp;"-"&amp;TEXT(1,"00")&amp;"*",수납!$E:$E,""))</f>
        <v/>
      </c>
      <c r="D278" s="14">
        <f>IF(원생!$A276="","",SUMIFS(수납!$F:$F,수납!$C:$C,원생!$A276,수납!$D:$D,IF(원생!$G276="","",원생!$G276),수납!$B:$B,$B$1&amp;"-"&amp;TEXT(2,"00")&amp;"*",수납!$E:$E,"수강료")+SUMIFS(수납!$F:$F,수납!$C:$C,원생!$A276,수납!$D:$D,IF(원생!$G276="","",원생!$G276),수납!$B:$B,$B$1&amp;"-"&amp;TEXT(2,"00")&amp;"*",수납!$E:$E,""))</f>
        <v/>
      </c>
      <c r="E278" s="14">
        <f>IF(원생!$A276="","",SUMIFS(수납!$F:$F,수납!$C:$C,원생!$A276,수납!$D:$D,IF(원생!$G276="","",원생!$G276),수납!$B:$B,$B$1&amp;"-"&amp;TEXT(3,"00")&amp;"*",수납!$E:$E,"수강료")+SUMIFS(수납!$F:$F,수납!$C:$C,원생!$A276,수납!$D:$D,IF(원생!$G276="","",원생!$G276),수납!$B:$B,$B$1&amp;"-"&amp;TEXT(3,"00")&amp;"*",수납!$E:$E,""))</f>
        <v/>
      </c>
      <c r="F278" s="14">
        <f>IF(원생!$A276="","",SUMIFS(수납!$F:$F,수납!$C:$C,원생!$A276,수납!$D:$D,IF(원생!$G276="","",원생!$G276),수납!$B:$B,$B$1&amp;"-"&amp;TEXT(4,"00")&amp;"*",수납!$E:$E,"수강료")+SUMIFS(수납!$F:$F,수납!$C:$C,원생!$A276,수납!$D:$D,IF(원생!$G276="","",원생!$G276),수납!$B:$B,$B$1&amp;"-"&amp;TEXT(4,"00")&amp;"*",수납!$E:$E,""))</f>
        <v/>
      </c>
      <c r="G278" s="14">
        <f>IF(원생!$A276="","",SUMIFS(수납!$F:$F,수납!$C:$C,원생!$A276,수납!$D:$D,IF(원생!$G276="","",원생!$G276),수납!$B:$B,$B$1&amp;"-"&amp;TEXT(5,"00")&amp;"*",수납!$E:$E,"수강료")+SUMIFS(수납!$F:$F,수납!$C:$C,원생!$A276,수납!$D:$D,IF(원생!$G276="","",원생!$G276),수납!$B:$B,$B$1&amp;"-"&amp;TEXT(5,"00")&amp;"*",수납!$E:$E,""))</f>
        <v/>
      </c>
      <c r="H278" s="14">
        <f>IF(원생!$A276="","",SUMIFS(수납!$F:$F,수납!$C:$C,원생!$A276,수납!$D:$D,IF(원생!$G276="","",원생!$G276),수납!$B:$B,$B$1&amp;"-"&amp;TEXT(6,"00")&amp;"*",수납!$E:$E,"수강료")+SUMIFS(수납!$F:$F,수납!$C:$C,원생!$A276,수납!$D:$D,IF(원생!$G276="","",원생!$G276),수납!$B:$B,$B$1&amp;"-"&amp;TEXT(6,"00")&amp;"*",수납!$E:$E,""))</f>
        <v/>
      </c>
      <c r="I278" s="14">
        <f>IF(원생!$A276="","",SUMIFS(수납!$F:$F,수납!$C:$C,원생!$A276,수납!$D:$D,IF(원생!$G276="","",원생!$G276),수납!$B:$B,$B$1&amp;"-"&amp;TEXT(7,"00")&amp;"*",수납!$E:$E,"수강료")+SUMIFS(수납!$F:$F,수납!$C:$C,원생!$A276,수납!$D:$D,IF(원생!$G276="","",원생!$G276),수납!$B:$B,$B$1&amp;"-"&amp;TEXT(7,"00")&amp;"*",수납!$E:$E,""))</f>
        <v/>
      </c>
      <c r="J278" s="14">
        <f>IF(원생!$A276="","",SUMIFS(수납!$F:$F,수납!$C:$C,원생!$A276,수납!$D:$D,IF(원생!$G276="","",원생!$G276),수납!$B:$B,$B$1&amp;"-"&amp;TEXT(8,"00")&amp;"*",수납!$E:$E,"수강료")+SUMIFS(수납!$F:$F,수납!$C:$C,원생!$A276,수납!$D:$D,IF(원생!$G276="","",원생!$G276),수납!$B:$B,$B$1&amp;"-"&amp;TEXT(8,"00")&amp;"*",수납!$E:$E,""))</f>
        <v/>
      </c>
      <c r="K278" s="14">
        <f>IF(원생!$A276="","",SUMIFS(수납!$F:$F,수납!$C:$C,원생!$A276,수납!$D:$D,IF(원생!$G276="","",원생!$G276),수납!$B:$B,$B$1&amp;"-"&amp;TEXT(9,"00")&amp;"*",수납!$E:$E,"수강료")+SUMIFS(수납!$F:$F,수납!$C:$C,원생!$A276,수납!$D:$D,IF(원생!$G276="","",원생!$G276),수납!$B:$B,$B$1&amp;"-"&amp;TEXT(9,"00")&amp;"*",수납!$E:$E,""))</f>
        <v/>
      </c>
      <c r="L278" s="14">
        <f>IF(원생!$A276="","",SUMIFS(수납!$F:$F,수납!$C:$C,원생!$A276,수납!$D:$D,IF(원생!$G276="","",원생!$G276),수납!$B:$B,$B$1&amp;"-"&amp;TEXT(10,"00")&amp;"*",수납!$E:$E,"수강료")+SUMIFS(수납!$F:$F,수납!$C:$C,원생!$A276,수납!$D:$D,IF(원생!$G276="","",원생!$G276),수납!$B:$B,$B$1&amp;"-"&amp;TEXT(10,"00")&amp;"*",수납!$E:$E,""))</f>
        <v/>
      </c>
      <c r="M278" s="14">
        <f>IF(원생!$A276="","",SUMIFS(수납!$F:$F,수납!$C:$C,원생!$A276,수납!$D:$D,IF(원생!$G276="","",원생!$G276),수납!$B:$B,$B$1&amp;"-"&amp;TEXT(11,"00")&amp;"*",수납!$E:$E,"수강료")+SUMIFS(수납!$F:$F,수납!$C:$C,원생!$A276,수납!$D:$D,IF(원생!$G276="","",원생!$G276),수납!$B:$B,$B$1&amp;"-"&amp;TEXT(11,"00")&amp;"*",수납!$E:$E,""))</f>
        <v/>
      </c>
      <c r="N278" s="14">
        <f>IF(원생!$A276="","",SUMIFS(수납!$F:$F,수납!$C:$C,원생!$A276,수납!$D:$D,IF(원생!$G276="","",원생!$G276),수납!$B:$B,$B$1&amp;"-"&amp;TEXT(12,"00")&amp;"*",수납!$E:$E,"수강료")+SUMIFS(수납!$F:$F,수납!$C:$C,원생!$A276,수납!$D:$D,IF(원생!$G276="","",원생!$G276),수납!$B:$B,$B$1&amp;"-"&amp;TEXT(12,"00")&amp;"*",수납!$E:$E,""))</f>
        <v/>
      </c>
      <c r="O278">
        <f>IF(원생!$I276="","",원생!$I276)</f>
        <v/>
      </c>
      <c r="P278">
        <f>IF($A278="","",IF(AND($B278&gt;0,C278&lt;$B278,DATE($B$1,1,1)&lt;=TODAY(),OR($O278="",$O278&gt;=DATE($B$1,1,1)),OR(COUNTIF($C278:C278,"&gt;0")&gt;0,DATE($B$1,1,1)=DATE(YEAR(TODAY()),MONTH(TODAY()),1))),1,0))</f>
        <v/>
      </c>
      <c r="Q278">
        <f>IF($A278="","",IF(AND($B278&gt;0,D278&lt;$B278,DATE($B$1,2,1)&lt;=TODAY(),OR($O278="",$O278&gt;=DATE($B$1,2,1)),OR(COUNTIF($C278:D278,"&gt;0")&gt;0,DATE($B$1,2,1)=DATE(YEAR(TODAY()),MONTH(TODAY()),1))),1,0))</f>
        <v/>
      </c>
      <c r="R278">
        <f>IF($A278="","",IF(AND($B278&gt;0,E278&lt;$B278,DATE($B$1,3,1)&lt;=TODAY(),OR($O278="",$O278&gt;=DATE($B$1,3,1)),OR(COUNTIF($C278:E278,"&gt;0")&gt;0,DATE($B$1,3,1)=DATE(YEAR(TODAY()),MONTH(TODAY()),1))),1,0))</f>
        <v/>
      </c>
      <c r="S278">
        <f>IF($A278="","",IF(AND($B278&gt;0,F278&lt;$B278,DATE($B$1,4,1)&lt;=TODAY(),OR($O278="",$O278&gt;=DATE($B$1,4,1)),OR(COUNTIF($C278:F278,"&gt;0")&gt;0,DATE($B$1,4,1)=DATE(YEAR(TODAY()),MONTH(TODAY()),1))),1,0))</f>
        <v/>
      </c>
      <c r="T278">
        <f>IF($A278="","",IF(AND($B278&gt;0,G278&lt;$B278,DATE($B$1,5,1)&lt;=TODAY(),OR($O278="",$O278&gt;=DATE($B$1,5,1)),OR(COUNTIF($C278:G278,"&gt;0")&gt;0,DATE($B$1,5,1)=DATE(YEAR(TODAY()),MONTH(TODAY()),1))),1,0))</f>
        <v/>
      </c>
      <c r="U278">
        <f>IF($A278="","",IF(AND($B278&gt;0,H278&lt;$B278,DATE($B$1,6,1)&lt;=TODAY(),OR($O278="",$O278&gt;=DATE($B$1,6,1)),OR(COUNTIF($C278:H278,"&gt;0")&gt;0,DATE($B$1,6,1)=DATE(YEAR(TODAY()),MONTH(TODAY()),1))),1,0))</f>
        <v/>
      </c>
      <c r="V278">
        <f>IF($A278="","",IF(AND($B278&gt;0,I278&lt;$B278,DATE($B$1,7,1)&lt;=TODAY(),OR($O278="",$O278&gt;=DATE($B$1,7,1)),OR(COUNTIF($C278:I278,"&gt;0")&gt;0,DATE($B$1,7,1)=DATE(YEAR(TODAY()),MONTH(TODAY()),1))),1,0))</f>
        <v/>
      </c>
      <c r="W278">
        <f>IF($A278="","",IF(AND($B278&gt;0,J278&lt;$B278,DATE($B$1,8,1)&lt;=TODAY(),OR($O278="",$O278&gt;=DATE($B$1,8,1)),OR(COUNTIF($C278:J278,"&gt;0")&gt;0,DATE($B$1,8,1)=DATE(YEAR(TODAY()),MONTH(TODAY()),1))),1,0))</f>
        <v/>
      </c>
      <c r="X278">
        <f>IF($A278="","",IF(AND($B278&gt;0,K278&lt;$B278,DATE($B$1,9,1)&lt;=TODAY(),OR($O278="",$O278&gt;=DATE($B$1,9,1)),OR(COUNTIF($C278:K278,"&gt;0")&gt;0,DATE($B$1,9,1)=DATE(YEAR(TODAY()),MONTH(TODAY()),1))),1,0))</f>
        <v/>
      </c>
      <c r="Y278">
        <f>IF($A278="","",IF(AND($B278&gt;0,L278&lt;$B278,DATE($B$1,10,1)&lt;=TODAY(),OR($O278="",$O278&gt;=DATE($B$1,10,1)),OR(COUNTIF($C278:L278,"&gt;0")&gt;0,DATE($B$1,10,1)=DATE(YEAR(TODAY()),MONTH(TODAY()),1))),1,0))</f>
        <v/>
      </c>
      <c r="Z278">
        <f>IF($A278="","",IF(AND($B278&gt;0,M278&lt;$B278,DATE($B$1,11,1)&lt;=TODAY(),OR($O278="",$O278&gt;=DATE($B$1,11,1)),OR(COUNTIF($C278:M278,"&gt;0")&gt;0,DATE($B$1,11,1)=DATE(YEAR(TODAY()),MONTH(TODAY()),1))),1,0))</f>
        <v/>
      </c>
      <c r="AA278">
        <f>IF($A278="","",IF(AND($B278&gt;0,N278&lt;$B278,DATE($B$1,12,1)&lt;=TODAY(),OR($O278="",$O278&gt;=DATE($B$1,12,1)),OR(COUNTIF($C278:N278,"&gt;0")&gt;0,DATE($B$1,12,1)=DATE(YEAR(TODAY()),MONTH(TODAY()),1))),1,0))</f>
        <v/>
      </c>
    </row>
    <row r="279">
      <c r="A279" s="13">
        <f>IF(원생!$A277="","",원생!$A277&amp;IF(원생!$G277="",""," ("&amp;원생!$G277&amp;")"))</f>
        <v/>
      </c>
      <c r="B279" s="8">
        <f>IF(원생!$A277="","",원생!$F277)</f>
        <v/>
      </c>
      <c r="C279" s="14">
        <f>IF(원생!$A277="","",SUMIFS(수납!$F:$F,수납!$C:$C,원생!$A277,수납!$D:$D,IF(원생!$G277="","",원생!$G277),수납!$B:$B,$B$1&amp;"-"&amp;TEXT(1,"00")&amp;"*",수납!$E:$E,"수강료")+SUMIFS(수납!$F:$F,수납!$C:$C,원생!$A277,수납!$D:$D,IF(원생!$G277="","",원생!$G277),수납!$B:$B,$B$1&amp;"-"&amp;TEXT(1,"00")&amp;"*",수납!$E:$E,""))</f>
        <v/>
      </c>
      <c r="D279" s="14">
        <f>IF(원생!$A277="","",SUMIFS(수납!$F:$F,수납!$C:$C,원생!$A277,수납!$D:$D,IF(원생!$G277="","",원생!$G277),수납!$B:$B,$B$1&amp;"-"&amp;TEXT(2,"00")&amp;"*",수납!$E:$E,"수강료")+SUMIFS(수납!$F:$F,수납!$C:$C,원생!$A277,수납!$D:$D,IF(원생!$G277="","",원생!$G277),수납!$B:$B,$B$1&amp;"-"&amp;TEXT(2,"00")&amp;"*",수납!$E:$E,""))</f>
        <v/>
      </c>
      <c r="E279" s="14">
        <f>IF(원생!$A277="","",SUMIFS(수납!$F:$F,수납!$C:$C,원생!$A277,수납!$D:$D,IF(원생!$G277="","",원생!$G277),수납!$B:$B,$B$1&amp;"-"&amp;TEXT(3,"00")&amp;"*",수납!$E:$E,"수강료")+SUMIFS(수납!$F:$F,수납!$C:$C,원생!$A277,수납!$D:$D,IF(원생!$G277="","",원생!$G277),수납!$B:$B,$B$1&amp;"-"&amp;TEXT(3,"00")&amp;"*",수납!$E:$E,""))</f>
        <v/>
      </c>
      <c r="F279" s="14">
        <f>IF(원생!$A277="","",SUMIFS(수납!$F:$F,수납!$C:$C,원생!$A277,수납!$D:$D,IF(원생!$G277="","",원생!$G277),수납!$B:$B,$B$1&amp;"-"&amp;TEXT(4,"00")&amp;"*",수납!$E:$E,"수강료")+SUMIFS(수납!$F:$F,수납!$C:$C,원생!$A277,수납!$D:$D,IF(원생!$G277="","",원생!$G277),수납!$B:$B,$B$1&amp;"-"&amp;TEXT(4,"00")&amp;"*",수납!$E:$E,""))</f>
        <v/>
      </c>
      <c r="G279" s="14">
        <f>IF(원생!$A277="","",SUMIFS(수납!$F:$F,수납!$C:$C,원생!$A277,수납!$D:$D,IF(원생!$G277="","",원생!$G277),수납!$B:$B,$B$1&amp;"-"&amp;TEXT(5,"00")&amp;"*",수납!$E:$E,"수강료")+SUMIFS(수납!$F:$F,수납!$C:$C,원생!$A277,수납!$D:$D,IF(원생!$G277="","",원생!$G277),수납!$B:$B,$B$1&amp;"-"&amp;TEXT(5,"00")&amp;"*",수납!$E:$E,""))</f>
        <v/>
      </c>
      <c r="H279" s="14">
        <f>IF(원생!$A277="","",SUMIFS(수납!$F:$F,수납!$C:$C,원생!$A277,수납!$D:$D,IF(원생!$G277="","",원생!$G277),수납!$B:$B,$B$1&amp;"-"&amp;TEXT(6,"00")&amp;"*",수납!$E:$E,"수강료")+SUMIFS(수납!$F:$F,수납!$C:$C,원생!$A277,수납!$D:$D,IF(원생!$G277="","",원생!$G277),수납!$B:$B,$B$1&amp;"-"&amp;TEXT(6,"00")&amp;"*",수납!$E:$E,""))</f>
        <v/>
      </c>
      <c r="I279" s="14">
        <f>IF(원생!$A277="","",SUMIFS(수납!$F:$F,수납!$C:$C,원생!$A277,수납!$D:$D,IF(원생!$G277="","",원생!$G277),수납!$B:$B,$B$1&amp;"-"&amp;TEXT(7,"00")&amp;"*",수납!$E:$E,"수강료")+SUMIFS(수납!$F:$F,수납!$C:$C,원생!$A277,수납!$D:$D,IF(원생!$G277="","",원생!$G277),수납!$B:$B,$B$1&amp;"-"&amp;TEXT(7,"00")&amp;"*",수납!$E:$E,""))</f>
        <v/>
      </c>
      <c r="J279" s="14">
        <f>IF(원생!$A277="","",SUMIFS(수납!$F:$F,수납!$C:$C,원생!$A277,수납!$D:$D,IF(원생!$G277="","",원생!$G277),수납!$B:$B,$B$1&amp;"-"&amp;TEXT(8,"00")&amp;"*",수납!$E:$E,"수강료")+SUMIFS(수납!$F:$F,수납!$C:$C,원생!$A277,수납!$D:$D,IF(원생!$G277="","",원생!$G277),수납!$B:$B,$B$1&amp;"-"&amp;TEXT(8,"00")&amp;"*",수납!$E:$E,""))</f>
        <v/>
      </c>
      <c r="K279" s="14">
        <f>IF(원생!$A277="","",SUMIFS(수납!$F:$F,수납!$C:$C,원생!$A277,수납!$D:$D,IF(원생!$G277="","",원생!$G277),수납!$B:$B,$B$1&amp;"-"&amp;TEXT(9,"00")&amp;"*",수납!$E:$E,"수강료")+SUMIFS(수납!$F:$F,수납!$C:$C,원생!$A277,수납!$D:$D,IF(원생!$G277="","",원생!$G277),수납!$B:$B,$B$1&amp;"-"&amp;TEXT(9,"00")&amp;"*",수납!$E:$E,""))</f>
        <v/>
      </c>
      <c r="L279" s="14">
        <f>IF(원생!$A277="","",SUMIFS(수납!$F:$F,수납!$C:$C,원생!$A277,수납!$D:$D,IF(원생!$G277="","",원생!$G277),수납!$B:$B,$B$1&amp;"-"&amp;TEXT(10,"00")&amp;"*",수납!$E:$E,"수강료")+SUMIFS(수납!$F:$F,수납!$C:$C,원생!$A277,수납!$D:$D,IF(원생!$G277="","",원생!$G277),수납!$B:$B,$B$1&amp;"-"&amp;TEXT(10,"00")&amp;"*",수납!$E:$E,""))</f>
        <v/>
      </c>
      <c r="M279" s="14">
        <f>IF(원생!$A277="","",SUMIFS(수납!$F:$F,수납!$C:$C,원생!$A277,수납!$D:$D,IF(원생!$G277="","",원생!$G277),수납!$B:$B,$B$1&amp;"-"&amp;TEXT(11,"00")&amp;"*",수납!$E:$E,"수강료")+SUMIFS(수납!$F:$F,수납!$C:$C,원생!$A277,수납!$D:$D,IF(원생!$G277="","",원생!$G277),수납!$B:$B,$B$1&amp;"-"&amp;TEXT(11,"00")&amp;"*",수납!$E:$E,""))</f>
        <v/>
      </c>
      <c r="N279" s="14">
        <f>IF(원생!$A277="","",SUMIFS(수납!$F:$F,수납!$C:$C,원생!$A277,수납!$D:$D,IF(원생!$G277="","",원생!$G277),수납!$B:$B,$B$1&amp;"-"&amp;TEXT(12,"00")&amp;"*",수납!$E:$E,"수강료")+SUMIFS(수납!$F:$F,수납!$C:$C,원생!$A277,수납!$D:$D,IF(원생!$G277="","",원생!$G277),수납!$B:$B,$B$1&amp;"-"&amp;TEXT(12,"00")&amp;"*",수납!$E:$E,""))</f>
        <v/>
      </c>
      <c r="O279">
        <f>IF(원생!$I277="","",원생!$I277)</f>
        <v/>
      </c>
      <c r="P279">
        <f>IF($A279="","",IF(AND($B279&gt;0,C279&lt;$B279,DATE($B$1,1,1)&lt;=TODAY(),OR($O279="",$O279&gt;=DATE($B$1,1,1)),OR(COUNTIF($C279:C279,"&gt;0")&gt;0,DATE($B$1,1,1)=DATE(YEAR(TODAY()),MONTH(TODAY()),1))),1,0))</f>
        <v/>
      </c>
      <c r="Q279">
        <f>IF($A279="","",IF(AND($B279&gt;0,D279&lt;$B279,DATE($B$1,2,1)&lt;=TODAY(),OR($O279="",$O279&gt;=DATE($B$1,2,1)),OR(COUNTIF($C279:D279,"&gt;0")&gt;0,DATE($B$1,2,1)=DATE(YEAR(TODAY()),MONTH(TODAY()),1))),1,0))</f>
        <v/>
      </c>
      <c r="R279">
        <f>IF($A279="","",IF(AND($B279&gt;0,E279&lt;$B279,DATE($B$1,3,1)&lt;=TODAY(),OR($O279="",$O279&gt;=DATE($B$1,3,1)),OR(COUNTIF($C279:E279,"&gt;0")&gt;0,DATE($B$1,3,1)=DATE(YEAR(TODAY()),MONTH(TODAY()),1))),1,0))</f>
        <v/>
      </c>
      <c r="S279">
        <f>IF($A279="","",IF(AND($B279&gt;0,F279&lt;$B279,DATE($B$1,4,1)&lt;=TODAY(),OR($O279="",$O279&gt;=DATE($B$1,4,1)),OR(COUNTIF($C279:F279,"&gt;0")&gt;0,DATE($B$1,4,1)=DATE(YEAR(TODAY()),MONTH(TODAY()),1))),1,0))</f>
        <v/>
      </c>
      <c r="T279">
        <f>IF($A279="","",IF(AND($B279&gt;0,G279&lt;$B279,DATE($B$1,5,1)&lt;=TODAY(),OR($O279="",$O279&gt;=DATE($B$1,5,1)),OR(COUNTIF($C279:G279,"&gt;0")&gt;0,DATE($B$1,5,1)=DATE(YEAR(TODAY()),MONTH(TODAY()),1))),1,0))</f>
        <v/>
      </c>
      <c r="U279">
        <f>IF($A279="","",IF(AND($B279&gt;0,H279&lt;$B279,DATE($B$1,6,1)&lt;=TODAY(),OR($O279="",$O279&gt;=DATE($B$1,6,1)),OR(COUNTIF($C279:H279,"&gt;0")&gt;0,DATE($B$1,6,1)=DATE(YEAR(TODAY()),MONTH(TODAY()),1))),1,0))</f>
        <v/>
      </c>
      <c r="V279">
        <f>IF($A279="","",IF(AND($B279&gt;0,I279&lt;$B279,DATE($B$1,7,1)&lt;=TODAY(),OR($O279="",$O279&gt;=DATE($B$1,7,1)),OR(COUNTIF($C279:I279,"&gt;0")&gt;0,DATE($B$1,7,1)=DATE(YEAR(TODAY()),MONTH(TODAY()),1))),1,0))</f>
        <v/>
      </c>
      <c r="W279">
        <f>IF($A279="","",IF(AND($B279&gt;0,J279&lt;$B279,DATE($B$1,8,1)&lt;=TODAY(),OR($O279="",$O279&gt;=DATE($B$1,8,1)),OR(COUNTIF($C279:J279,"&gt;0")&gt;0,DATE($B$1,8,1)=DATE(YEAR(TODAY()),MONTH(TODAY()),1))),1,0))</f>
        <v/>
      </c>
      <c r="X279">
        <f>IF($A279="","",IF(AND($B279&gt;0,K279&lt;$B279,DATE($B$1,9,1)&lt;=TODAY(),OR($O279="",$O279&gt;=DATE($B$1,9,1)),OR(COUNTIF($C279:K279,"&gt;0")&gt;0,DATE($B$1,9,1)=DATE(YEAR(TODAY()),MONTH(TODAY()),1))),1,0))</f>
        <v/>
      </c>
      <c r="Y279">
        <f>IF($A279="","",IF(AND($B279&gt;0,L279&lt;$B279,DATE($B$1,10,1)&lt;=TODAY(),OR($O279="",$O279&gt;=DATE($B$1,10,1)),OR(COUNTIF($C279:L279,"&gt;0")&gt;0,DATE($B$1,10,1)=DATE(YEAR(TODAY()),MONTH(TODAY()),1))),1,0))</f>
        <v/>
      </c>
      <c r="Z279">
        <f>IF($A279="","",IF(AND($B279&gt;0,M279&lt;$B279,DATE($B$1,11,1)&lt;=TODAY(),OR($O279="",$O279&gt;=DATE($B$1,11,1)),OR(COUNTIF($C279:M279,"&gt;0")&gt;0,DATE($B$1,11,1)=DATE(YEAR(TODAY()),MONTH(TODAY()),1))),1,0))</f>
        <v/>
      </c>
      <c r="AA279">
        <f>IF($A279="","",IF(AND($B279&gt;0,N279&lt;$B279,DATE($B$1,12,1)&lt;=TODAY(),OR($O279="",$O279&gt;=DATE($B$1,12,1)),OR(COUNTIF($C279:N279,"&gt;0")&gt;0,DATE($B$1,12,1)=DATE(YEAR(TODAY()),MONTH(TODAY()),1))),1,0))</f>
        <v/>
      </c>
    </row>
    <row r="280">
      <c r="A280" s="13">
        <f>IF(원생!$A278="","",원생!$A278&amp;IF(원생!$G278="",""," ("&amp;원생!$G278&amp;")"))</f>
        <v/>
      </c>
      <c r="B280" s="8">
        <f>IF(원생!$A278="","",원생!$F278)</f>
        <v/>
      </c>
      <c r="C280" s="14">
        <f>IF(원생!$A278="","",SUMIFS(수납!$F:$F,수납!$C:$C,원생!$A278,수납!$D:$D,IF(원생!$G278="","",원생!$G278),수납!$B:$B,$B$1&amp;"-"&amp;TEXT(1,"00")&amp;"*",수납!$E:$E,"수강료")+SUMIFS(수납!$F:$F,수납!$C:$C,원생!$A278,수납!$D:$D,IF(원생!$G278="","",원생!$G278),수납!$B:$B,$B$1&amp;"-"&amp;TEXT(1,"00")&amp;"*",수납!$E:$E,""))</f>
        <v/>
      </c>
      <c r="D280" s="14">
        <f>IF(원생!$A278="","",SUMIFS(수납!$F:$F,수납!$C:$C,원생!$A278,수납!$D:$D,IF(원생!$G278="","",원생!$G278),수납!$B:$B,$B$1&amp;"-"&amp;TEXT(2,"00")&amp;"*",수납!$E:$E,"수강료")+SUMIFS(수납!$F:$F,수납!$C:$C,원생!$A278,수납!$D:$D,IF(원생!$G278="","",원생!$G278),수납!$B:$B,$B$1&amp;"-"&amp;TEXT(2,"00")&amp;"*",수납!$E:$E,""))</f>
        <v/>
      </c>
      <c r="E280" s="14">
        <f>IF(원생!$A278="","",SUMIFS(수납!$F:$F,수납!$C:$C,원생!$A278,수납!$D:$D,IF(원생!$G278="","",원생!$G278),수납!$B:$B,$B$1&amp;"-"&amp;TEXT(3,"00")&amp;"*",수납!$E:$E,"수강료")+SUMIFS(수납!$F:$F,수납!$C:$C,원생!$A278,수납!$D:$D,IF(원생!$G278="","",원생!$G278),수납!$B:$B,$B$1&amp;"-"&amp;TEXT(3,"00")&amp;"*",수납!$E:$E,""))</f>
        <v/>
      </c>
      <c r="F280" s="14">
        <f>IF(원생!$A278="","",SUMIFS(수납!$F:$F,수납!$C:$C,원생!$A278,수납!$D:$D,IF(원생!$G278="","",원생!$G278),수납!$B:$B,$B$1&amp;"-"&amp;TEXT(4,"00")&amp;"*",수납!$E:$E,"수강료")+SUMIFS(수납!$F:$F,수납!$C:$C,원생!$A278,수납!$D:$D,IF(원생!$G278="","",원생!$G278),수납!$B:$B,$B$1&amp;"-"&amp;TEXT(4,"00")&amp;"*",수납!$E:$E,""))</f>
        <v/>
      </c>
      <c r="G280" s="14">
        <f>IF(원생!$A278="","",SUMIFS(수납!$F:$F,수납!$C:$C,원생!$A278,수납!$D:$D,IF(원생!$G278="","",원생!$G278),수납!$B:$B,$B$1&amp;"-"&amp;TEXT(5,"00")&amp;"*",수납!$E:$E,"수강료")+SUMIFS(수납!$F:$F,수납!$C:$C,원생!$A278,수납!$D:$D,IF(원생!$G278="","",원생!$G278),수납!$B:$B,$B$1&amp;"-"&amp;TEXT(5,"00")&amp;"*",수납!$E:$E,""))</f>
        <v/>
      </c>
      <c r="H280" s="14">
        <f>IF(원생!$A278="","",SUMIFS(수납!$F:$F,수납!$C:$C,원생!$A278,수납!$D:$D,IF(원생!$G278="","",원생!$G278),수납!$B:$B,$B$1&amp;"-"&amp;TEXT(6,"00")&amp;"*",수납!$E:$E,"수강료")+SUMIFS(수납!$F:$F,수납!$C:$C,원생!$A278,수납!$D:$D,IF(원생!$G278="","",원생!$G278),수납!$B:$B,$B$1&amp;"-"&amp;TEXT(6,"00")&amp;"*",수납!$E:$E,""))</f>
        <v/>
      </c>
      <c r="I280" s="14">
        <f>IF(원생!$A278="","",SUMIFS(수납!$F:$F,수납!$C:$C,원생!$A278,수납!$D:$D,IF(원생!$G278="","",원생!$G278),수납!$B:$B,$B$1&amp;"-"&amp;TEXT(7,"00")&amp;"*",수납!$E:$E,"수강료")+SUMIFS(수납!$F:$F,수납!$C:$C,원생!$A278,수납!$D:$D,IF(원생!$G278="","",원생!$G278),수납!$B:$B,$B$1&amp;"-"&amp;TEXT(7,"00")&amp;"*",수납!$E:$E,""))</f>
        <v/>
      </c>
      <c r="J280" s="14">
        <f>IF(원생!$A278="","",SUMIFS(수납!$F:$F,수납!$C:$C,원생!$A278,수납!$D:$D,IF(원생!$G278="","",원생!$G278),수납!$B:$B,$B$1&amp;"-"&amp;TEXT(8,"00")&amp;"*",수납!$E:$E,"수강료")+SUMIFS(수납!$F:$F,수납!$C:$C,원생!$A278,수납!$D:$D,IF(원생!$G278="","",원생!$G278),수납!$B:$B,$B$1&amp;"-"&amp;TEXT(8,"00")&amp;"*",수납!$E:$E,""))</f>
        <v/>
      </c>
      <c r="K280" s="14">
        <f>IF(원생!$A278="","",SUMIFS(수납!$F:$F,수납!$C:$C,원생!$A278,수납!$D:$D,IF(원생!$G278="","",원생!$G278),수납!$B:$B,$B$1&amp;"-"&amp;TEXT(9,"00")&amp;"*",수납!$E:$E,"수강료")+SUMIFS(수납!$F:$F,수납!$C:$C,원생!$A278,수납!$D:$D,IF(원생!$G278="","",원생!$G278),수납!$B:$B,$B$1&amp;"-"&amp;TEXT(9,"00")&amp;"*",수납!$E:$E,""))</f>
        <v/>
      </c>
      <c r="L280" s="14">
        <f>IF(원생!$A278="","",SUMIFS(수납!$F:$F,수납!$C:$C,원생!$A278,수납!$D:$D,IF(원생!$G278="","",원생!$G278),수납!$B:$B,$B$1&amp;"-"&amp;TEXT(10,"00")&amp;"*",수납!$E:$E,"수강료")+SUMIFS(수납!$F:$F,수납!$C:$C,원생!$A278,수납!$D:$D,IF(원생!$G278="","",원생!$G278),수납!$B:$B,$B$1&amp;"-"&amp;TEXT(10,"00")&amp;"*",수납!$E:$E,""))</f>
        <v/>
      </c>
      <c r="M280" s="14">
        <f>IF(원생!$A278="","",SUMIFS(수납!$F:$F,수납!$C:$C,원생!$A278,수납!$D:$D,IF(원생!$G278="","",원생!$G278),수납!$B:$B,$B$1&amp;"-"&amp;TEXT(11,"00")&amp;"*",수납!$E:$E,"수강료")+SUMIFS(수납!$F:$F,수납!$C:$C,원생!$A278,수납!$D:$D,IF(원생!$G278="","",원생!$G278),수납!$B:$B,$B$1&amp;"-"&amp;TEXT(11,"00")&amp;"*",수납!$E:$E,""))</f>
        <v/>
      </c>
      <c r="N280" s="14">
        <f>IF(원생!$A278="","",SUMIFS(수납!$F:$F,수납!$C:$C,원생!$A278,수납!$D:$D,IF(원생!$G278="","",원생!$G278),수납!$B:$B,$B$1&amp;"-"&amp;TEXT(12,"00")&amp;"*",수납!$E:$E,"수강료")+SUMIFS(수납!$F:$F,수납!$C:$C,원생!$A278,수납!$D:$D,IF(원생!$G278="","",원생!$G278),수납!$B:$B,$B$1&amp;"-"&amp;TEXT(12,"00")&amp;"*",수납!$E:$E,""))</f>
        <v/>
      </c>
      <c r="O280">
        <f>IF(원생!$I278="","",원생!$I278)</f>
        <v/>
      </c>
      <c r="P280">
        <f>IF($A280="","",IF(AND($B280&gt;0,C280&lt;$B280,DATE($B$1,1,1)&lt;=TODAY(),OR($O280="",$O280&gt;=DATE($B$1,1,1)),OR(COUNTIF($C280:C280,"&gt;0")&gt;0,DATE($B$1,1,1)=DATE(YEAR(TODAY()),MONTH(TODAY()),1))),1,0))</f>
        <v/>
      </c>
      <c r="Q280">
        <f>IF($A280="","",IF(AND($B280&gt;0,D280&lt;$B280,DATE($B$1,2,1)&lt;=TODAY(),OR($O280="",$O280&gt;=DATE($B$1,2,1)),OR(COUNTIF($C280:D280,"&gt;0")&gt;0,DATE($B$1,2,1)=DATE(YEAR(TODAY()),MONTH(TODAY()),1))),1,0))</f>
        <v/>
      </c>
      <c r="R280">
        <f>IF($A280="","",IF(AND($B280&gt;0,E280&lt;$B280,DATE($B$1,3,1)&lt;=TODAY(),OR($O280="",$O280&gt;=DATE($B$1,3,1)),OR(COUNTIF($C280:E280,"&gt;0")&gt;0,DATE($B$1,3,1)=DATE(YEAR(TODAY()),MONTH(TODAY()),1))),1,0))</f>
        <v/>
      </c>
      <c r="S280">
        <f>IF($A280="","",IF(AND($B280&gt;0,F280&lt;$B280,DATE($B$1,4,1)&lt;=TODAY(),OR($O280="",$O280&gt;=DATE($B$1,4,1)),OR(COUNTIF($C280:F280,"&gt;0")&gt;0,DATE($B$1,4,1)=DATE(YEAR(TODAY()),MONTH(TODAY()),1))),1,0))</f>
        <v/>
      </c>
      <c r="T280">
        <f>IF($A280="","",IF(AND($B280&gt;0,G280&lt;$B280,DATE($B$1,5,1)&lt;=TODAY(),OR($O280="",$O280&gt;=DATE($B$1,5,1)),OR(COUNTIF($C280:G280,"&gt;0")&gt;0,DATE($B$1,5,1)=DATE(YEAR(TODAY()),MONTH(TODAY()),1))),1,0))</f>
        <v/>
      </c>
      <c r="U280">
        <f>IF($A280="","",IF(AND($B280&gt;0,H280&lt;$B280,DATE($B$1,6,1)&lt;=TODAY(),OR($O280="",$O280&gt;=DATE($B$1,6,1)),OR(COUNTIF($C280:H280,"&gt;0")&gt;0,DATE($B$1,6,1)=DATE(YEAR(TODAY()),MONTH(TODAY()),1))),1,0))</f>
        <v/>
      </c>
      <c r="V280">
        <f>IF($A280="","",IF(AND($B280&gt;0,I280&lt;$B280,DATE($B$1,7,1)&lt;=TODAY(),OR($O280="",$O280&gt;=DATE($B$1,7,1)),OR(COUNTIF($C280:I280,"&gt;0")&gt;0,DATE($B$1,7,1)=DATE(YEAR(TODAY()),MONTH(TODAY()),1))),1,0))</f>
        <v/>
      </c>
      <c r="W280">
        <f>IF($A280="","",IF(AND($B280&gt;0,J280&lt;$B280,DATE($B$1,8,1)&lt;=TODAY(),OR($O280="",$O280&gt;=DATE($B$1,8,1)),OR(COUNTIF($C280:J280,"&gt;0")&gt;0,DATE($B$1,8,1)=DATE(YEAR(TODAY()),MONTH(TODAY()),1))),1,0))</f>
        <v/>
      </c>
      <c r="X280">
        <f>IF($A280="","",IF(AND($B280&gt;0,K280&lt;$B280,DATE($B$1,9,1)&lt;=TODAY(),OR($O280="",$O280&gt;=DATE($B$1,9,1)),OR(COUNTIF($C280:K280,"&gt;0")&gt;0,DATE($B$1,9,1)=DATE(YEAR(TODAY()),MONTH(TODAY()),1))),1,0))</f>
        <v/>
      </c>
      <c r="Y280">
        <f>IF($A280="","",IF(AND($B280&gt;0,L280&lt;$B280,DATE($B$1,10,1)&lt;=TODAY(),OR($O280="",$O280&gt;=DATE($B$1,10,1)),OR(COUNTIF($C280:L280,"&gt;0")&gt;0,DATE($B$1,10,1)=DATE(YEAR(TODAY()),MONTH(TODAY()),1))),1,0))</f>
        <v/>
      </c>
      <c r="Z280">
        <f>IF($A280="","",IF(AND($B280&gt;0,M280&lt;$B280,DATE($B$1,11,1)&lt;=TODAY(),OR($O280="",$O280&gt;=DATE($B$1,11,1)),OR(COUNTIF($C280:M280,"&gt;0")&gt;0,DATE($B$1,11,1)=DATE(YEAR(TODAY()),MONTH(TODAY()),1))),1,0))</f>
        <v/>
      </c>
      <c r="AA280">
        <f>IF($A280="","",IF(AND($B280&gt;0,N280&lt;$B280,DATE($B$1,12,1)&lt;=TODAY(),OR($O280="",$O280&gt;=DATE($B$1,12,1)),OR(COUNTIF($C280:N280,"&gt;0")&gt;0,DATE($B$1,12,1)=DATE(YEAR(TODAY()),MONTH(TODAY()),1))),1,0))</f>
        <v/>
      </c>
    </row>
    <row r="281">
      <c r="A281" s="13">
        <f>IF(원생!$A279="","",원생!$A279&amp;IF(원생!$G279="",""," ("&amp;원생!$G279&amp;")"))</f>
        <v/>
      </c>
      <c r="B281" s="8">
        <f>IF(원생!$A279="","",원생!$F279)</f>
        <v/>
      </c>
      <c r="C281" s="14">
        <f>IF(원생!$A279="","",SUMIFS(수납!$F:$F,수납!$C:$C,원생!$A279,수납!$D:$D,IF(원생!$G279="","",원생!$G279),수납!$B:$B,$B$1&amp;"-"&amp;TEXT(1,"00")&amp;"*",수납!$E:$E,"수강료")+SUMIFS(수납!$F:$F,수납!$C:$C,원생!$A279,수납!$D:$D,IF(원생!$G279="","",원생!$G279),수납!$B:$B,$B$1&amp;"-"&amp;TEXT(1,"00")&amp;"*",수납!$E:$E,""))</f>
        <v/>
      </c>
      <c r="D281" s="14">
        <f>IF(원생!$A279="","",SUMIFS(수납!$F:$F,수납!$C:$C,원생!$A279,수납!$D:$D,IF(원생!$G279="","",원생!$G279),수납!$B:$B,$B$1&amp;"-"&amp;TEXT(2,"00")&amp;"*",수납!$E:$E,"수강료")+SUMIFS(수납!$F:$F,수납!$C:$C,원생!$A279,수납!$D:$D,IF(원생!$G279="","",원생!$G279),수납!$B:$B,$B$1&amp;"-"&amp;TEXT(2,"00")&amp;"*",수납!$E:$E,""))</f>
        <v/>
      </c>
      <c r="E281" s="14">
        <f>IF(원생!$A279="","",SUMIFS(수납!$F:$F,수납!$C:$C,원생!$A279,수납!$D:$D,IF(원생!$G279="","",원생!$G279),수납!$B:$B,$B$1&amp;"-"&amp;TEXT(3,"00")&amp;"*",수납!$E:$E,"수강료")+SUMIFS(수납!$F:$F,수납!$C:$C,원생!$A279,수납!$D:$D,IF(원생!$G279="","",원생!$G279),수납!$B:$B,$B$1&amp;"-"&amp;TEXT(3,"00")&amp;"*",수납!$E:$E,""))</f>
        <v/>
      </c>
      <c r="F281" s="14">
        <f>IF(원생!$A279="","",SUMIFS(수납!$F:$F,수납!$C:$C,원생!$A279,수납!$D:$D,IF(원생!$G279="","",원생!$G279),수납!$B:$B,$B$1&amp;"-"&amp;TEXT(4,"00")&amp;"*",수납!$E:$E,"수강료")+SUMIFS(수납!$F:$F,수납!$C:$C,원생!$A279,수납!$D:$D,IF(원생!$G279="","",원생!$G279),수납!$B:$B,$B$1&amp;"-"&amp;TEXT(4,"00")&amp;"*",수납!$E:$E,""))</f>
        <v/>
      </c>
      <c r="G281" s="14">
        <f>IF(원생!$A279="","",SUMIFS(수납!$F:$F,수납!$C:$C,원생!$A279,수납!$D:$D,IF(원생!$G279="","",원생!$G279),수납!$B:$B,$B$1&amp;"-"&amp;TEXT(5,"00")&amp;"*",수납!$E:$E,"수강료")+SUMIFS(수납!$F:$F,수납!$C:$C,원생!$A279,수납!$D:$D,IF(원생!$G279="","",원생!$G279),수납!$B:$B,$B$1&amp;"-"&amp;TEXT(5,"00")&amp;"*",수납!$E:$E,""))</f>
        <v/>
      </c>
      <c r="H281" s="14">
        <f>IF(원생!$A279="","",SUMIFS(수납!$F:$F,수납!$C:$C,원생!$A279,수납!$D:$D,IF(원생!$G279="","",원생!$G279),수납!$B:$B,$B$1&amp;"-"&amp;TEXT(6,"00")&amp;"*",수납!$E:$E,"수강료")+SUMIFS(수납!$F:$F,수납!$C:$C,원생!$A279,수납!$D:$D,IF(원생!$G279="","",원생!$G279),수납!$B:$B,$B$1&amp;"-"&amp;TEXT(6,"00")&amp;"*",수납!$E:$E,""))</f>
        <v/>
      </c>
      <c r="I281" s="14">
        <f>IF(원생!$A279="","",SUMIFS(수납!$F:$F,수납!$C:$C,원생!$A279,수납!$D:$D,IF(원생!$G279="","",원생!$G279),수납!$B:$B,$B$1&amp;"-"&amp;TEXT(7,"00")&amp;"*",수납!$E:$E,"수강료")+SUMIFS(수납!$F:$F,수납!$C:$C,원생!$A279,수납!$D:$D,IF(원생!$G279="","",원생!$G279),수납!$B:$B,$B$1&amp;"-"&amp;TEXT(7,"00")&amp;"*",수납!$E:$E,""))</f>
        <v/>
      </c>
      <c r="J281" s="14">
        <f>IF(원생!$A279="","",SUMIFS(수납!$F:$F,수납!$C:$C,원생!$A279,수납!$D:$D,IF(원생!$G279="","",원생!$G279),수납!$B:$B,$B$1&amp;"-"&amp;TEXT(8,"00")&amp;"*",수납!$E:$E,"수강료")+SUMIFS(수납!$F:$F,수납!$C:$C,원생!$A279,수납!$D:$D,IF(원생!$G279="","",원생!$G279),수납!$B:$B,$B$1&amp;"-"&amp;TEXT(8,"00")&amp;"*",수납!$E:$E,""))</f>
        <v/>
      </c>
      <c r="K281" s="14">
        <f>IF(원생!$A279="","",SUMIFS(수납!$F:$F,수납!$C:$C,원생!$A279,수납!$D:$D,IF(원생!$G279="","",원생!$G279),수납!$B:$B,$B$1&amp;"-"&amp;TEXT(9,"00")&amp;"*",수납!$E:$E,"수강료")+SUMIFS(수납!$F:$F,수납!$C:$C,원생!$A279,수납!$D:$D,IF(원생!$G279="","",원생!$G279),수납!$B:$B,$B$1&amp;"-"&amp;TEXT(9,"00")&amp;"*",수납!$E:$E,""))</f>
        <v/>
      </c>
      <c r="L281" s="14">
        <f>IF(원생!$A279="","",SUMIFS(수납!$F:$F,수납!$C:$C,원생!$A279,수납!$D:$D,IF(원생!$G279="","",원생!$G279),수납!$B:$B,$B$1&amp;"-"&amp;TEXT(10,"00")&amp;"*",수납!$E:$E,"수강료")+SUMIFS(수납!$F:$F,수납!$C:$C,원생!$A279,수납!$D:$D,IF(원생!$G279="","",원생!$G279),수납!$B:$B,$B$1&amp;"-"&amp;TEXT(10,"00")&amp;"*",수납!$E:$E,""))</f>
        <v/>
      </c>
      <c r="M281" s="14">
        <f>IF(원생!$A279="","",SUMIFS(수납!$F:$F,수납!$C:$C,원생!$A279,수납!$D:$D,IF(원생!$G279="","",원생!$G279),수납!$B:$B,$B$1&amp;"-"&amp;TEXT(11,"00")&amp;"*",수납!$E:$E,"수강료")+SUMIFS(수납!$F:$F,수납!$C:$C,원생!$A279,수납!$D:$D,IF(원생!$G279="","",원생!$G279),수납!$B:$B,$B$1&amp;"-"&amp;TEXT(11,"00")&amp;"*",수납!$E:$E,""))</f>
        <v/>
      </c>
      <c r="N281" s="14">
        <f>IF(원생!$A279="","",SUMIFS(수납!$F:$F,수납!$C:$C,원생!$A279,수납!$D:$D,IF(원생!$G279="","",원생!$G279),수납!$B:$B,$B$1&amp;"-"&amp;TEXT(12,"00")&amp;"*",수납!$E:$E,"수강료")+SUMIFS(수납!$F:$F,수납!$C:$C,원생!$A279,수납!$D:$D,IF(원생!$G279="","",원생!$G279),수납!$B:$B,$B$1&amp;"-"&amp;TEXT(12,"00")&amp;"*",수납!$E:$E,""))</f>
        <v/>
      </c>
      <c r="O281">
        <f>IF(원생!$I279="","",원생!$I279)</f>
        <v/>
      </c>
      <c r="P281">
        <f>IF($A281="","",IF(AND($B281&gt;0,C281&lt;$B281,DATE($B$1,1,1)&lt;=TODAY(),OR($O281="",$O281&gt;=DATE($B$1,1,1)),OR(COUNTIF($C281:C281,"&gt;0")&gt;0,DATE($B$1,1,1)=DATE(YEAR(TODAY()),MONTH(TODAY()),1))),1,0))</f>
        <v/>
      </c>
      <c r="Q281">
        <f>IF($A281="","",IF(AND($B281&gt;0,D281&lt;$B281,DATE($B$1,2,1)&lt;=TODAY(),OR($O281="",$O281&gt;=DATE($B$1,2,1)),OR(COUNTIF($C281:D281,"&gt;0")&gt;0,DATE($B$1,2,1)=DATE(YEAR(TODAY()),MONTH(TODAY()),1))),1,0))</f>
        <v/>
      </c>
      <c r="R281">
        <f>IF($A281="","",IF(AND($B281&gt;0,E281&lt;$B281,DATE($B$1,3,1)&lt;=TODAY(),OR($O281="",$O281&gt;=DATE($B$1,3,1)),OR(COUNTIF($C281:E281,"&gt;0")&gt;0,DATE($B$1,3,1)=DATE(YEAR(TODAY()),MONTH(TODAY()),1))),1,0))</f>
        <v/>
      </c>
      <c r="S281">
        <f>IF($A281="","",IF(AND($B281&gt;0,F281&lt;$B281,DATE($B$1,4,1)&lt;=TODAY(),OR($O281="",$O281&gt;=DATE($B$1,4,1)),OR(COUNTIF($C281:F281,"&gt;0")&gt;0,DATE($B$1,4,1)=DATE(YEAR(TODAY()),MONTH(TODAY()),1))),1,0))</f>
        <v/>
      </c>
      <c r="T281">
        <f>IF($A281="","",IF(AND($B281&gt;0,G281&lt;$B281,DATE($B$1,5,1)&lt;=TODAY(),OR($O281="",$O281&gt;=DATE($B$1,5,1)),OR(COUNTIF($C281:G281,"&gt;0")&gt;0,DATE($B$1,5,1)=DATE(YEAR(TODAY()),MONTH(TODAY()),1))),1,0))</f>
        <v/>
      </c>
      <c r="U281">
        <f>IF($A281="","",IF(AND($B281&gt;0,H281&lt;$B281,DATE($B$1,6,1)&lt;=TODAY(),OR($O281="",$O281&gt;=DATE($B$1,6,1)),OR(COUNTIF($C281:H281,"&gt;0")&gt;0,DATE($B$1,6,1)=DATE(YEAR(TODAY()),MONTH(TODAY()),1))),1,0))</f>
        <v/>
      </c>
      <c r="V281">
        <f>IF($A281="","",IF(AND($B281&gt;0,I281&lt;$B281,DATE($B$1,7,1)&lt;=TODAY(),OR($O281="",$O281&gt;=DATE($B$1,7,1)),OR(COUNTIF($C281:I281,"&gt;0")&gt;0,DATE($B$1,7,1)=DATE(YEAR(TODAY()),MONTH(TODAY()),1))),1,0))</f>
        <v/>
      </c>
      <c r="W281">
        <f>IF($A281="","",IF(AND($B281&gt;0,J281&lt;$B281,DATE($B$1,8,1)&lt;=TODAY(),OR($O281="",$O281&gt;=DATE($B$1,8,1)),OR(COUNTIF($C281:J281,"&gt;0")&gt;0,DATE($B$1,8,1)=DATE(YEAR(TODAY()),MONTH(TODAY()),1))),1,0))</f>
        <v/>
      </c>
      <c r="X281">
        <f>IF($A281="","",IF(AND($B281&gt;0,K281&lt;$B281,DATE($B$1,9,1)&lt;=TODAY(),OR($O281="",$O281&gt;=DATE($B$1,9,1)),OR(COUNTIF($C281:K281,"&gt;0")&gt;0,DATE($B$1,9,1)=DATE(YEAR(TODAY()),MONTH(TODAY()),1))),1,0))</f>
        <v/>
      </c>
      <c r="Y281">
        <f>IF($A281="","",IF(AND($B281&gt;0,L281&lt;$B281,DATE($B$1,10,1)&lt;=TODAY(),OR($O281="",$O281&gt;=DATE($B$1,10,1)),OR(COUNTIF($C281:L281,"&gt;0")&gt;0,DATE($B$1,10,1)=DATE(YEAR(TODAY()),MONTH(TODAY()),1))),1,0))</f>
        <v/>
      </c>
      <c r="Z281">
        <f>IF($A281="","",IF(AND($B281&gt;0,M281&lt;$B281,DATE($B$1,11,1)&lt;=TODAY(),OR($O281="",$O281&gt;=DATE($B$1,11,1)),OR(COUNTIF($C281:M281,"&gt;0")&gt;0,DATE($B$1,11,1)=DATE(YEAR(TODAY()),MONTH(TODAY()),1))),1,0))</f>
        <v/>
      </c>
      <c r="AA281">
        <f>IF($A281="","",IF(AND($B281&gt;0,N281&lt;$B281,DATE($B$1,12,1)&lt;=TODAY(),OR($O281="",$O281&gt;=DATE($B$1,12,1)),OR(COUNTIF($C281:N281,"&gt;0")&gt;0,DATE($B$1,12,1)=DATE(YEAR(TODAY()),MONTH(TODAY()),1))),1,0))</f>
        <v/>
      </c>
    </row>
    <row r="282">
      <c r="A282" s="13">
        <f>IF(원생!$A280="","",원생!$A280&amp;IF(원생!$G280="",""," ("&amp;원생!$G280&amp;")"))</f>
        <v/>
      </c>
      <c r="B282" s="8">
        <f>IF(원생!$A280="","",원생!$F280)</f>
        <v/>
      </c>
      <c r="C282" s="14">
        <f>IF(원생!$A280="","",SUMIFS(수납!$F:$F,수납!$C:$C,원생!$A280,수납!$D:$D,IF(원생!$G280="","",원생!$G280),수납!$B:$B,$B$1&amp;"-"&amp;TEXT(1,"00")&amp;"*",수납!$E:$E,"수강료")+SUMIFS(수납!$F:$F,수납!$C:$C,원생!$A280,수납!$D:$D,IF(원생!$G280="","",원생!$G280),수납!$B:$B,$B$1&amp;"-"&amp;TEXT(1,"00")&amp;"*",수납!$E:$E,""))</f>
        <v/>
      </c>
      <c r="D282" s="14">
        <f>IF(원생!$A280="","",SUMIFS(수납!$F:$F,수납!$C:$C,원생!$A280,수납!$D:$D,IF(원생!$G280="","",원생!$G280),수납!$B:$B,$B$1&amp;"-"&amp;TEXT(2,"00")&amp;"*",수납!$E:$E,"수강료")+SUMIFS(수납!$F:$F,수납!$C:$C,원생!$A280,수납!$D:$D,IF(원생!$G280="","",원생!$G280),수납!$B:$B,$B$1&amp;"-"&amp;TEXT(2,"00")&amp;"*",수납!$E:$E,""))</f>
        <v/>
      </c>
      <c r="E282" s="14">
        <f>IF(원생!$A280="","",SUMIFS(수납!$F:$F,수납!$C:$C,원생!$A280,수납!$D:$D,IF(원생!$G280="","",원생!$G280),수납!$B:$B,$B$1&amp;"-"&amp;TEXT(3,"00")&amp;"*",수납!$E:$E,"수강료")+SUMIFS(수납!$F:$F,수납!$C:$C,원생!$A280,수납!$D:$D,IF(원생!$G280="","",원생!$G280),수납!$B:$B,$B$1&amp;"-"&amp;TEXT(3,"00")&amp;"*",수납!$E:$E,""))</f>
        <v/>
      </c>
      <c r="F282" s="14">
        <f>IF(원생!$A280="","",SUMIFS(수납!$F:$F,수납!$C:$C,원생!$A280,수납!$D:$D,IF(원생!$G280="","",원생!$G280),수납!$B:$B,$B$1&amp;"-"&amp;TEXT(4,"00")&amp;"*",수납!$E:$E,"수강료")+SUMIFS(수납!$F:$F,수납!$C:$C,원생!$A280,수납!$D:$D,IF(원생!$G280="","",원생!$G280),수납!$B:$B,$B$1&amp;"-"&amp;TEXT(4,"00")&amp;"*",수납!$E:$E,""))</f>
        <v/>
      </c>
      <c r="G282" s="14">
        <f>IF(원생!$A280="","",SUMIFS(수납!$F:$F,수납!$C:$C,원생!$A280,수납!$D:$D,IF(원생!$G280="","",원생!$G280),수납!$B:$B,$B$1&amp;"-"&amp;TEXT(5,"00")&amp;"*",수납!$E:$E,"수강료")+SUMIFS(수납!$F:$F,수납!$C:$C,원생!$A280,수납!$D:$D,IF(원생!$G280="","",원생!$G280),수납!$B:$B,$B$1&amp;"-"&amp;TEXT(5,"00")&amp;"*",수납!$E:$E,""))</f>
        <v/>
      </c>
      <c r="H282" s="14">
        <f>IF(원생!$A280="","",SUMIFS(수납!$F:$F,수납!$C:$C,원생!$A280,수납!$D:$D,IF(원생!$G280="","",원생!$G280),수납!$B:$B,$B$1&amp;"-"&amp;TEXT(6,"00")&amp;"*",수납!$E:$E,"수강료")+SUMIFS(수납!$F:$F,수납!$C:$C,원생!$A280,수납!$D:$D,IF(원생!$G280="","",원생!$G280),수납!$B:$B,$B$1&amp;"-"&amp;TEXT(6,"00")&amp;"*",수납!$E:$E,""))</f>
        <v/>
      </c>
      <c r="I282" s="14">
        <f>IF(원생!$A280="","",SUMIFS(수납!$F:$F,수납!$C:$C,원생!$A280,수납!$D:$D,IF(원생!$G280="","",원생!$G280),수납!$B:$B,$B$1&amp;"-"&amp;TEXT(7,"00")&amp;"*",수납!$E:$E,"수강료")+SUMIFS(수납!$F:$F,수납!$C:$C,원생!$A280,수납!$D:$D,IF(원생!$G280="","",원생!$G280),수납!$B:$B,$B$1&amp;"-"&amp;TEXT(7,"00")&amp;"*",수납!$E:$E,""))</f>
        <v/>
      </c>
      <c r="J282" s="14">
        <f>IF(원생!$A280="","",SUMIFS(수납!$F:$F,수납!$C:$C,원생!$A280,수납!$D:$D,IF(원생!$G280="","",원생!$G280),수납!$B:$B,$B$1&amp;"-"&amp;TEXT(8,"00")&amp;"*",수납!$E:$E,"수강료")+SUMIFS(수납!$F:$F,수납!$C:$C,원생!$A280,수납!$D:$D,IF(원생!$G280="","",원생!$G280),수납!$B:$B,$B$1&amp;"-"&amp;TEXT(8,"00")&amp;"*",수납!$E:$E,""))</f>
        <v/>
      </c>
      <c r="K282" s="14">
        <f>IF(원생!$A280="","",SUMIFS(수납!$F:$F,수납!$C:$C,원생!$A280,수납!$D:$D,IF(원생!$G280="","",원생!$G280),수납!$B:$B,$B$1&amp;"-"&amp;TEXT(9,"00")&amp;"*",수납!$E:$E,"수강료")+SUMIFS(수납!$F:$F,수납!$C:$C,원생!$A280,수납!$D:$D,IF(원생!$G280="","",원생!$G280),수납!$B:$B,$B$1&amp;"-"&amp;TEXT(9,"00")&amp;"*",수납!$E:$E,""))</f>
        <v/>
      </c>
      <c r="L282" s="14">
        <f>IF(원생!$A280="","",SUMIFS(수납!$F:$F,수납!$C:$C,원생!$A280,수납!$D:$D,IF(원생!$G280="","",원생!$G280),수납!$B:$B,$B$1&amp;"-"&amp;TEXT(10,"00")&amp;"*",수납!$E:$E,"수강료")+SUMIFS(수납!$F:$F,수납!$C:$C,원생!$A280,수납!$D:$D,IF(원생!$G280="","",원생!$G280),수납!$B:$B,$B$1&amp;"-"&amp;TEXT(10,"00")&amp;"*",수납!$E:$E,""))</f>
        <v/>
      </c>
      <c r="M282" s="14">
        <f>IF(원생!$A280="","",SUMIFS(수납!$F:$F,수납!$C:$C,원생!$A280,수납!$D:$D,IF(원생!$G280="","",원생!$G280),수납!$B:$B,$B$1&amp;"-"&amp;TEXT(11,"00")&amp;"*",수납!$E:$E,"수강료")+SUMIFS(수납!$F:$F,수납!$C:$C,원생!$A280,수납!$D:$D,IF(원생!$G280="","",원생!$G280),수납!$B:$B,$B$1&amp;"-"&amp;TEXT(11,"00")&amp;"*",수납!$E:$E,""))</f>
        <v/>
      </c>
      <c r="N282" s="14">
        <f>IF(원생!$A280="","",SUMIFS(수납!$F:$F,수납!$C:$C,원생!$A280,수납!$D:$D,IF(원생!$G280="","",원생!$G280),수납!$B:$B,$B$1&amp;"-"&amp;TEXT(12,"00")&amp;"*",수납!$E:$E,"수강료")+SUMIFS(수납!$F:$F,수납!$C:$C,원생!$A280,수납!$D:$D,IF(원생!$G280="","",원생!$G280),수납!$B:$B,$B$1&amp;"-"&amp;TEXT(12,"00")&amp;"*",수납!$E:$E,""))</f>
        <v/>
      </c>
      <c r="O282">
        <f>IF(원생!$I280="","",원생!$I280)</f>
        <v/>
      </c>
      <c r="P282">
        <f>IF($A282="","",IF(AND($B282&gt;0,C282&lt;$B282,DATE($B$1,1,1)&lt;=TODAY(),OR($O282="",$O282&gt;=DATE($B$1,1,1)),OR(COUNTIF($C282:C282,"&gt;0")&gt;0,DATE($B$1,1,1)=DATE(YEAR(TODAY()),MONTH(TODAY()),1))),1,0))</f>
        <v/>
      </c>
      <c r="Q282">
        <f>IF($A282="","",IF(AND($B282&gt;0,D282&lt;$B282,DATE($B$1,2,1)&lt;=TODAY(),OR($O282="",$O282&gt;=DATE($B$1,2,1)),OR(COUNTIF($C282:D282,"&gt;0")&gt;0,DATE($B$1,2,1)=DATE(YEAR(TODAY()),MONTH(TODAY()),1))),1,0))</f>
        <v/>
      </c>
      <c r="R282">
        <f>IF($A282="","",IF(AND($B282&gt;0,E282&lt;$B282,DATE($B$1,3,1)&lt;=TODAY(),OR($O282="",$O282&gt;=DATE($B$1,3,1)),OR(COUNTIF($C282:E282,"&gt;0")&gt;0,DATE($B$1,3,1)=DATE(YEAR(TODAY()),MONTH(TODAY()),1))),1,0))</f>
        <v/>
      </c>
      <c r="S282">
        <f>IF($A282="","",IF(AND($B282&gt;0,F282&lt;$B282,DATE($B$1,4,1)&lt;=TODAY(),OR($O282="",$O282&gt;=DATE($B$1,4,1)),OR(COUNTIF($C282:F282,"&gt;0")&gt;0,DATE($B$1,4,1)=DATE(YEAR(TODAY()),MONTH(TODAY()),1))),1,0))</f>
        <v/>
      </c>
      <c r="T282">
        <f>IF($A282="","",IF(AND($B282&gt;0,G282&lt;$B282,DATE($B$1,5,1)&lt;=TODAY(),OR($O282="",$O282&gt;=DATE($B$1,5,1)),OR(COUNTIF($C282:G282,"&gt;0")&gt;0,DATE($B$1,5,1)=DATE(YEAR(TODAY()),MONTH(TODAY()),1))),1,0))</f>
        <v/>
      </c>
      <c r="U282">
        <f>IF($A282="","",IF(AND($B282&gt;0,H282&lt;$B282,DATE($B$1,6,1)&lt;=TODAY(),OR($O282="",$O282&gt;=DATE($B$1,6,1)),OR(COUNTIF($C282:H282,"&gt;0")&gt;0,DATE($B$1,6,1)=DATE(YEAR(TODAY()),MONTH(TODAY()),1))),1,0))</f>
        <v/>
      </c>
      <c r="V282">
        <f>IF($A282="","",IF(AND($B282&gt;0,I282&lt;$B282,DATE($B$1,7,1)&lt;=TODAY(),OR($O282="",$O282&gt;=DATE($B$1,7,1)),OR(COUNTIF($C282:I282,"&gt;0")&gt;0,DATE($B$1,7,1)=DATE(YEAR(TODAY()),MONTH(TODAY()),1))),1,0))</f>
        <v/>
      </c>
      <c r="W282">
        <f>IF($A282="","",IF(AND($B282&gt;0,J282&lt;$B282,DATE($B$1,8,1)&lt;=TODAY(),OR($O282="",$O282&gt;=DATE($B$1,8,1)),OR(COUNTIF($C282:J282,"&gt;0")&gt;0,DATE($B$1,8,1)=DATE(YEAR(TODAY()),MONTH(TODAY()),1))),1,0))</f>
        <v/>
      </c>
      <c r="X282">
        <f>IF($A282="","",IF(AND($B282&gt;0,K282&lt;$B282,DATE($B$1,9,1)&lt;=TODAY(),OR($O282="",$O282&gt;=DATE($B$1,9,1)),OR(COUNTIF($C282:K282,"&gt;0")&gt;0,DATE($B$1,9,1)=DATE(YEAR(TODAY()),MONTH(TODAY()),1))),1,0))</f>
        <v/>
      </c>
      <c r="Y282">
        <f>IF($A282="","",IF(AND($B282&gt;0,L282&lt;$B282,DATE($B$1,10,1)&lt;=TODAY(),OR($O282="",$O282&gt;=DATE($B$1,10,1)),OR(COUNTIF($C282:L282,"&gt;0")&gt;0,DATE($B$1,10,1)=DATE(YEAR(TODAY()),MONTH(TODAY()),1))),1,0))</f>
        <v/>
      </c>
      <c r="Z282">
        <f>IF($A282="","",IF(AND($B282&gt;0,M282&lt;$B282,DATE($B$1,11,1)&lt;=TODAY(),OR($O282="",$O282&gt;=DATE($B$1,11,1)),OR(COUNTIF($C282:M282,"&gt;0")&gt;0,DATE($B$1,11,1)=DATE(YEAR(TODAY()),MONTH(TODAY()),1))),1,0))</f>
        <v/>
      </c>
      <c r="AA282">
        <f>IF($A282="","",IF(AND($B282&gt;0,N282&lt;$B282,DATE($B$1,12,1)&lt;=TODAY(),OR($O282="",$O282&gt;=DATE($B$1,12,1)),OR(COUNTIF($C282:N282,"&gt;0")&gt;0,DATE($B$1,12,1)=DATE(YEAR(TODAY()),MONTH(TODAY()),1))),1,0))</f>
        <v/>
      </c>
    </row>
    <row r="283">
      <c r="A283" s="13">
        <f>IF(원생!$A281="","",원생!$A281&amp;IF(원생!$G281="",""," ("&amp;원생!$G281&amp;")"))</f>
        <v/>
      </c>
      <c r="B283" s="8">
        <f>IF(원생!$A281="","",원생!$F281)</f>
        <v/>
      </c>
      <c r="C283" s="14">
        <f>IF(원생!$A281="","",SUMIFS(수납!$F:$F,수납!$C:$C,원생!$A281,수납!$D:$D,IF(원생!$G281="","",원생!$G281),수납!$B:$B,$B$1&amp;"-"&amp;TEXT(1,"00")&amp;"*",수납!$E:$E,"수강료")+SUMIFS(수납!$F:$F,수납!$C:$C,원생!$A281,수납!$D:$D,IF(원생!$G281="","",원생!$G281),수납!$B:$B,$B$1&amp;"-"&amp;TEXT(1,"00")&amp;"*",수납!$E:$E,""))</f>
        <v/>
      </c>
      <c r="D283" s="14">
        <f>IF(원생!$A281="","",SUMIFS(수납!$F:$F,수납!$C:$C,원생!$A281,수납!$D:$D,IF(원생!$G281="","",원생!$G281),수납!$B:$B,$B$1&amp;"-"&amp;TEXT(2,"00")&amp;"*",수납!$E:$E,"수강료")+SUMIFS(수납!$F:$F,수납!$C:$C,원생!$A281,수납!$D:$D,IF(원생!$G281="","",원생!$G281),수납!$B:$B,$B$1&amp;"-"&amp;TEXT(2,"00")&amp;"*",수납!$E:$E,""))</f>
        <v/>
      </c>
      <c r="E283" s="14">
        <f>IF(원생!$A281="","",SUMIFS(수납!$F:$F,수납!$C:$C,원생!$A281,수납!$D:$D,IF(원생!$G281="","",원생!$G281),수납!$B:$B,$B$1&amp;"-"&amp;TEXT(3,"00")&amp;"*",수납!$E:$E,"수강료")+SUMIFS(수납!$F:$F,수납!$C:$C,원생!$A281,수납!$D:$D,IF(원생!$G281="","",원생!$G281),수납!$B:$B,$B$1&amp;"-"&amp;TEXT(3,"00")&amp;"*",수납!$E:$E,""))</f>
        <v/>
      </c>
      <c r="F283" s="14">
        <f>IF(원생!$A281="","",SUMIFS(수납!$F:$F,수납!$C:$C,원생!$A281,수납!$D:$D,IF(원생!$G281="","",원생!$G281),수납!$B:$B,$B$1&amp;"-"&amp;TEXT(4,"00")&amp;"*",수납!$E:$E,"수강료")+SUMIFS(수납!$F:$F,수납!$C:$C,원생!$A281,수납!$D:$D,IF(원생!$G281="","",원생!$G281),수납!$B:$B,$B$1&amp;"-"&amp;TEXT(4,"00")&amp;"*",수납!$E:$E,""))</f>
        <v/>
      </c>
      <c r="G283" s="14">
        <f>IF(원생!$A281="","",SUMIFS(수납!$F:$F,수납!$C:$C,원생!$A281,수납!$D:$D,IF(원생!$G281="","",원생!$G281),수납!$B:$B,$B$1&amp;"-"&amp;TEXT(5,"00")&amp;"*",수납!$E:$E,"수강료")+SUMIFS(수납!$F:$F,수납!$C:$C,원생!$A281,수납!$D:$D,IF(원생!$G281="","",원생!$G281),수납!$B:$B,$B$1&amp;"-"&amp;TEXT(5,"00")&amp;"*",수납!$E:$E,""))</f>
        <v/>
      </c>
      <c r="H283" s="14">
        <f>IF(원생!$A281="","",SUMIFS(수납!$F:$F,수납!$C:$C,원생!$A281,수납!$D:$D,IF(원생!$G281="","",원생!$G281),수납!$B:$B,$B$1&amp;"-"&amp;TEXT(6,"00")&amp;"*",수납!$E:$E,"수강료")+SUMIFS(수납!$F:$F,수납!$C:$C,원생!$A281,수납!$D:$D,IF(원생!$G281="","",원생!$G281),수납!$B:$B,$B$1&amp;"-"&amp;TEXT(6,"00")&amp;"*",수납!$E:$E,""))</f>
        <v/>
      </c>
      <c r="I283" s="14">
        <f>IF(원생!$A281="","",SUMIFS(수납!$F:$F,수납!$C:$C,원생!$A281,수납!$D:$D,IF(원생!$G281="","",원생!$G281),수납!$B:$B,$B$1&amp;"-"&amp;TEXT(7,"00")&amp;"*",수납!$E:$E,"수강료")+SUMIFS(수납!$F:$F,수납!$C:$C,원생!$A281,수납!$D:$D,IF(원생!$G281="","",원생!$G281),수납!$B:$B,$B$1&amp;"-"&amp;TEXT(7,"00")&amp;"*",수납!$E:$E,""))</f>
        <v/>
      </c>
      <c r="J283" s="14">
        <f>IF(원생!$A281="","",SUMIFS(수납!$F:$F,수납!$C:$C,원생!$A281,수납!$D:$D,IF(원생!$G281="","",원생!$G281),수납!$B:$B,$B$1&amp;"-"&amp;TEXT(8,"00")&amp;"*",수납!$E:$E,"수강료")+SUMIFS(수납!$F:$F,수납!$C:$C,원생!$A281,수납!$D:$D,IF(원생!$G281="","",원생!$G281),수납!$B:$B,$B$1&amp;"-"&amp;TEXT(8,"00")&amp;"*",수납!$E:$E,""))</f>
        <v/>
      </c>
      <c r="K283" s="14">
        <f>IF(원생!$A281="","",SUMIFS(수납!$F:$F,수납!$C:$C,원생!$A281,수납!$D:$D,IF(원생!$G281="","",원생!$G281),수납!$B:$B,$B$1&amp;"-"&amp;TEXT(9,"00")&amp;"*",수납!$E:$E,"수강료")+SUMIFS(수납!$F:$F,수납!$C:$C,원생!$A281,수납!$D:$D,IF(원생!$G281="","",원생!$G281),수납!$B:$B,$B$1&amp;"-"&amp;TEXT(9,"00")&amp;"*",수납!$E:$E,""))</f>
        <v/>
      </c>
      <c r="L283" s="14">
        <f>IF(원생!$A281="","",SUMIFS(수납!$F:$F,수납!$C:$C,원생!$A281,수납!$D:$D,IF(원생!$G281="","",원생!$G281),수납!$B:$B,$B$1&amp;"-"&amp;TEXT(10,"00")&amp;"*",수납!$E:$E,"수강료")+SUMIFS(수납!$F:$F,수납!$C:$C,원생!$A281,수납!$D:$D,IF(원생!$G281="","",원생!$G281),수납!$B:$B,$B$1&amp;"-"&amp;TEXT(10,"00")&amp;"*",수납!$E:$E,""))</f>
        <v/>
      </c>
      <c r="M283" s="14">
        <f>IF(원생!$A281="","",SUMIFS(수납!$F:$F,수납!$C:$C,원생!$A281,수납!$D:$D,IF(원생!$G281="","",원생!$G281),수납!$B:$B,$B$1&amp;"-"&amp;TEXT(11,"00")&amp;"*",수납!$E:$E,"수강료")+SUMIFS(수납!$F:$F,수납!$C:$C,원생!$A281,수납!$D:$D,IF(원생!$G281="","",원생!$G281),수납!$B:$B,$B$1&amp;"-"&amp;TEXT(11,"00")&amp;"*",수납!$E:$E,""))</f>
        <v/>
      </c>
      <c r="N283" s="14">
        <f>IF(원생!$A281="","",SUMIFS(수납!$F:$F,수납!$C:$C,원생!$A281,수납!$D:$D,IF(원생!$G281="","",원생!$G281),수납!$B:$B,$B$1&amp;"-"&amp;TEXT(12,"00")&amp;"*",수납!$E:$E,"수강료")+SUMIFS(수납!$F:$F,수납!$C:$C,원생!$A281,수납!$D:$D,IF(원생!$G281="","",원생!$G281),수납!$B:$B,$B$1&amp;"-"&amp;TEXT(12,"00")&amp;"*",수납!$E:$E,""))</f>
        <v/>
      </c>
      <c r="O283">
        <f>IF(원생!$I281="","",원생!$I281)</f>
        <v/>
      </c>
      <c r="P283">
        <f>IF($A283="","",IF(AND($B283&gt;0,C283&lt;$B283,DATE($B$1,1,1)&lt;=TODAY(),OR($O283="",$O283&gt;=DATE($B$1,1,1)),OR(COUNTIF($C283:C283,"&gt;0")&gt;0,DATE($B$1,1,1)=DATE(YEAR(TODAY()),MONTH(TODAY()),1))),1,0))</f>
        <v/>
      </c>
      <c r="Q283">
        <f>IF($A283="","",IF(AND($B283&gt;0,D283&lt;$B283,DATE($B$1,2,1)&lt;=TODAY(),OR($O283="",$O283&gt;=DATE($B$1,2,1)),OR(COUNTIF($C283:D283,"&gt;0")&gt;0,DATE($B$1,2,1)=DATE(YEAR(TODAY()),MONTH(TODAY()),1))),1,0))</f>
        <v/>
      </c>
      <c r="R283">
        <f>IF($A283="","",IF(AND($B283&gt;0,E283&lt;$B283,DATE($B$1,3,1)&lt;=TODAY(),OR($O283="",$O283&gt;=DATE($B$1,3,1)),OR(COUNTIF($C283:E283,"&gt;0")&gt;0,DATE($B$1,3,1)=DATE(YEAR(TODAY()),MONTH(TODAY()),1))),1,0))</f>
        <v/>
      </c>
      <c r="S283">
        <f>IF($A283="","",IF(AND($B283&gt;0,F283&lt;$B283,DATE($B$1,4,1)&lt;=TODAY(),OR($O283="",$O283&gt;=DATE($B$1,4,1)),OR(COUNTIF($C283:F283,"&gt;0")&gt;0,DATE($B$1,4,1)=DATE(YEAR(TODAY()),MONTH(TODAY()),1))),1,0))</f>
        <v/>
      </c>
      <c r="T283">
        <f>IF($A283="","",IF(AND($B283&gt;0,G283&lt;$B283,DATE($B$1,5,1)&lt;=TODAY(),OR($O283="",$O283&gt;=DATE($B$1,5,1)),OR(COUNTIF($C283:G283,"&gt;0")&gt;0,DATE($B$1,5,1)=DATE(YEAR(TODAY()),MONTH(TODAY()),1))),1,0))</f>
        <v/>
      </c>
      <c r="U283">
        <f>IF($A283="","",IF(AND($B283&gt;0,H283&lt;$B283,DATE($B$1,6,1)&lt;=TODAY(),OR($O283="",$O283&gt;=DATE($B$1,6,1)),OR(COUNTIF($C283:H283,"&gt;0")&gt;0,DATE($B$1,6,1)=DATE(YEAR(TODAY()),MONTH(TODAY()),1))),1,0))</f>
        <v/>
      </c>
      <c r="V283">
        <f>IF($A283="","",IF(AND($B283&gt;0,I283&lt;$B283,DATE($B$1,7,1)&lt;=TODAY(),OR($O283="",$O283&gt;=DATE($B$1,7,1)),OR(COUNTIF($C283:I283,"&gt;0")&gt;0,DATE($B$1,7,1)=DATE(YEAR(TODAY()),MONTH(TODAY()),1))),1,0))</f>
        <v/>
      </c>
      <c r="W283">
        <f>IF($A283="","",IF(AND($B283&gt;0,J283&lt;$B283,DATE($B$1,8,1)&lt;=TODAY(),OR($O283="",$O283&gt;=DATE($B$1,8,1)),OR(COUNTIF($C283:J283,"&gt;0")&gt;0,DATE($B$1,8,1)=DATE(YEAR(TODAY()),MONTH(TODAY()),1))),1,0))</f>
        <v/>
      </c>
      <c r="X283">
        <f>IF($A283="","",IF(AND($B283&gt;0,K283&lt;$B283,DATE($B$1,9,1)&lt;=TODAY(),OR($O283="",$O283&gt;=DATE($B$1,9,1)),OR(COUNTIF($C283:K283,"&gt;0")&gt;0,DATE($B$1,9,1)=DATE(YEAR(TODAY()),MONTH(TODAY()),1))),1,0))</f>
        <v/>
      </c>
      <c r="Y283">
        <f>IF($A283="","",IF(AND($B283&gt;0,L283&lt;$B283,DATE($B$1,10,1)&lt;=TODAY(),OR($O283="",$O283&gt;=DATE($B$1,10,1)),OR(COUNTIF($C283:L283,"&gt;0")&gt;0,DATE($B$1,10,1)=DATE(YEAR(TODAY()),MONTH(TODAY()),1))),1,0))</f>
        <v/>
      </c>
      <c r="Z283">
        <f>IF($A283="","",IF(AND($B283&gt;0,M283&lt;$B283,DATE($B$1,11,1)&lt;=TODAY(),OR($O283="",$O283&gt;=DATE($B$1,11,1)),OR(COUNTIF($C283:M283,"&gt;0")&gt;0,DATE($B$1,11,1)=DATE(YEAR(TODAY()),MONTH(TODAY()),1))),1,0))</f>
        <v/>
      </c>
      <c r="AA283">
        <f>IF($A283="","",IF(AND($B283&gt;0,N283&lt;$B283,DATE($B$1,12,1)&lt;=TODAY(),OR($O283="",$O283&gt;=DATE($B$1,12,1)),OR(COUNTIF($C283:N283,"&gt;0")&gt;0,DATE($B$1,12,1)=DATE(YEAR(TODAY()),MONTH(TODAY()),1))),1,0))</f>
        <v/>
      </c>
    </row>
    <row r="284">
      <c r="A284" s="13">
        <f>IF(원생!$A282="","",원생!$A282&amp;IF(원생!$G282="",""," ("&amp;원생!$G282&amp;")"))</f>
        <v/>
      </c>
      <c r="B284" s="8">
        <f>IF(원생!$A282="","",원생!$F282)</f>
        <v/>
      </c>
      <c r="C284" s="14">
        <f>IF(원생!$A282="","",SUMIFS(수납!$F:$F,수납!$C:$C,원생!$A282,수납!$D:$D,IF(원생!$G282="","",원생!$G282),수납!$B:$B,$B$1&amp;"-"&amp;TEXT(1,"00")&amp;"*",수납!$E:$E,"수강료")+SUMIFS(수납!$F:$F,수납!$C:$C,원생!$A282,수납!$D:$D,IF(원생!$G282="","",원생!$G282),수납!$B:$B,$B$1&amp;"-"&amp;TEXT(1,"00")&amp;"*",수납!$E:$E,""))</f>
        <v/>
      </c>
      <c r="D284" s="14">
        <f>IF(원생!$A282="","",SUMIFS(수납!$F:$F,수납!$C:$C,원생!$A282,수납!$D:$D,IF(원생!$G282="","",원생!$G282),수납!$B:$B,$B$1&amp;"-"&amp;TEXT(2,"00")&amp;"*",수납!$E:$E,"수강료")+SUMIFS(수납!$F:$F,수납!$C:$C,원생!$A282,수납!$D:$D,IF(원생!$G282="","",원생!$G282),수납!$B:$B,$B$1&amp;"-"&amp;TEXT(2,"00")&amp;"*",수납!$E:$E,""))</f>
        <v/>
      </c>
      <c r="E284" s="14">
        <f>IF(원생!$A282="","",SUMIFS(수납!$F:$F,수납!$C:$C,원생!$A282,수납!$D:$D,IF(원생!$G282="","",원생!$G282),수납!$B:$B,$B$1&amp;"-"&amp;TEXT(3,"00")&amp;"*",수납!$E:$E,"수강료")+SUMIFS(수납!$F:$F,수납!$C:$C,원생!$A282,수납!$D:$D,IF(원생!$G282="","",원생!$G282),수납!$B:$B,$B$1&amp;"-"&amp;TEXT(3,"00")&amp;"*",수납!$E:$E,""))</f>
        <v/>
      </c>
      <c r="F284" s="14">
        <f>IF(원생!$A282="","",SUMIFS(수납!$F:$F,수납!$C:$C,원생!$A282,수납!$D:$D,IF(원생!$G282="","",원생!$G282),수납!$B:$B,$B$1&amp;"-"&amp;TEXT(4,"00")&amp;"*",수납!$E:$E,"수강료")+SUMIFS(수납!$F:$F,수납!$C:$C,원생!$A282,수납!$D:$D,IF(원생!$G282="","",원생!$G282),수납!$B:$B,$B$1&amp;"-"&amp;TEXT(4,"00")&amp;"*",수납!$E:$E,""))</f>
        <v/>
      </c>
      <c r="G284" s="14">
        <f>IF(원생!$A282="","",SUMIFS(수납!$F:$F,수납!$C:$C,원생!$A282,수납!$D:$D,IF(원생!$G282="","",원생!$G282),수납!$B:$B,$B$1&amp;"-"&amp;TEXT(5,"00")&amp;"*",수납!$E:$E,"수강료")+SUMIFS(수납!$F:$F,수납!$C:$C,원생!$A282,수납!$D:$D,IF(원생!$G282="","",원생!$G282),수납!$B:$B,$B$1&amp;"-"&amp;TEXT(5,"00")&amp;"*",수납!$E:$E,""))</f>
        <v/>
      </c>
      <c r="H284" s="14">
        <f>IF(원생!$A282="","",SUMIFS(수납!$F:$F,수납!$C:$C,원생!$A282,수납!$D:$D,IF(원생!$G282="","",원생!$G282),수납!$B:$B,$B$1&amp;"-"&amp;TEXT(6,"00")&amp;"*",수납!$E:$E,"수강료")+SUMIFS(수납!$F:$F,수납!$C:$C,원생!$A282,수납!$D:$D,IF(원생!$G282="","",원생!$G282),수납!$B:$B,$B$1&amp;"-"&amp;TEXT(6,"00")&amp;"*",수납!$E:$E,""))</f>
        <v/>
      </c>
      <c r="I284" s="14">
        <f>IF(원생!$A282="","",SUMIFS(수납!$F:$F,수납!$C:$C,원생!$A282,수납!$D:$D,IF(원생!$G282="","",원생!$G282),수납!$B:$B,$B$1&amp;"-"&amp;TEXT(7,"00")&amp;"*",수납!$E:$E,"수강료")+SUMIFS(수납!$F:$F,수납!$C:$C,원생!$A282,수납!$D:$D,IF(원생!$G282="","",원생!$G282),수납!$B:$B,$B$1&amp;"-"&amp;TEXT(7,"00")&amp;"*",수납!$E:$E,""))</f>
        <v/>
      </c>
      <c r="J284" s="14">
        <f>IF(원생!$A282="","",SUMIFS(수납!$F:$F,수납!$C:$C,원생!$A282,수납!$D:$D,IF(원생!$G282="","",원생!$G282),수납!$B:$B,$B$1&amp;"-"&amp;TEXT(8,"00")&amp;"*",수납!$E:$E,"수강료")+SUMIFS(수납!$F:$F,수납!$C:$C,원생!$A282,수납!$D:$D,IF(원생!$G282="","",원생!$G282),수납!$B:$B,$B$1&amp;"-"&amp;TEXT(8,"00")&amp;"*",수납!$E:$E,""))</f>
        <v/>
      </c>
      <c r="K284" s="14">
        <f>IF(원생!$A282="","",SUMIFS(수납!$F:$F,수납!$C:$C,원생!$A282,수납!$D:$D,IF(원생!$G282="","",원생!$G282),수납!$B:$B,$B$1&amp;"-"&amp;TEXT(9,"00")&amp;"*",수납!$E:$E,"수강료")+SUMIFS(수납!$F:$F,수납!$C:$C,원생!$A282,수납!$D:$D,IF(원생!$G282="","",원생!$G282),수납!$B:$B,$B$1&amp;"-"&amp;TEXT(9,"00")&amp;"*",수납!$E:$E,""))</f>
        <v/>
      </c>
      <c r="L284" s="14">
        <f>IF(원생!$A282="","",SUMIFS(수납!$F:$F,수납!$C:$C,원생!$A282,수납!$D:$D,IF(원생!$G282="","",원생!$G282),수납!$B:$B,$B$1&amp;"-"&amp;TEXT(10,"00")&amp;"*",수납!$E:$E,"수강료")+SUMIFS(수납!$F:$F,수납!$C:$C,원생!$A282,수납!$D:$D,IF(원생!$G282="","",원생!$G282),수납!$B:$B,$B$1&amp;"-"&amp;TEXT(10,"00")&amp;"*",수납!$E:$E,""))</f>
        <v/>
      </c>
      <c r="M284" s="14">
        <f>IF(원생!$A282="","",SUMIFS(수납!$F:$F,수납!$C:$C,원생!$A282,수납!$D:$D,IF(원생!$G282="","",원생!$G282),수납!$B:$B,$B$1&amp;"-"&amp;TEXT(11,"00")&amp;"*",수납!$E:$E,"수강료")+SUMIFS(수납!$F:$F,수납!$C:$C,원생!$A282,수납!$D:$D,IF(원생!$G282="","",원생!$G282),수납!$B:$B,$B$1&amp;"-"&amp;TEXT(11,"00")&amp;"*",수납!$E:$E,""))</f>
        <v/>
      </c>
      <c r="N284" s="14">
        <f>IF(원생!$A282="","",SUMIFS(수납!$F:$F,수납!$C:$C,원생!$A282,수납!$D:$D,IF(원생!$G282="","",원생!$G282),수납!$B:$B,$B$1&amp;"-"&amp;TEXT(12,"00")&amp;"*",수납!$E:$E,"수강료")+SUMIFS(수납!$F:$F,수납!$C:$C,원생!$A282,수납!$D:$D,IF(원생!$G282="","",원생!$G282),수납!$B:$B,$B$1&amp;"-"&amp;TEXT(12,"00")&amp;"*",수납!$E:$E,""))</f>
        <v/>
      </c>
      <c r="O284">
        <f>IF(원생!$I282="","",원생!$I282)</f>
        <v/>
      </c>
      <c r="P284">
        <f>IF($A284="","",IF(AND($B284&gt;0,C284&lt;$B284,DATE($B$1,1,1)&lt;=TODAY(),OR($O284="",$O284&gt;=DATE($B$1,1,1)),OR(COUNTIF($C284:C284,"&gt;0")&gt;0,DATE($B$1,1,1)=DATE(YEAR(TODAY()),MONTH(TODAY()),1))),1,0))</f>
        <v/>
      </c>
      <c r="Q284">
        <f>IF($A284="","",IF(AND($B284&gt;0,D284&lt;$B284,DATE($B$1,2,1)&lt;=TODAY(),OR($O284="",$O284&gt;=DATE($B$1,2,1)),OR(COUNTIF($C284:D284,"&gt;0")&gt;0,DATE($B$1,2,1)=DATE(YEAR(TODAY()),MONTH(TODAY()),1))),1,0))</f>
        <v/>
      </c>
      <c r="R284">
        <f>IF($A284="","",IF(AND($B284&gt;0,E284&lt;$B284,DATE($B$1,3,1)&lt;=TODAY(),OR($O284="",$O284&gt;=DATE($B$1,3,1)),OR(COUNTIF($C284:E284,"&gt;0")&gt;0,DATE($B$1,3,1)=DATE(YEAR(TODAY()),MONTH(TODAY()),1))),1,0))</f>
        <v/>
      </c>
      <c r="S284">
        <f>IF($A284="","",IF(AND($B284&gt;0,F284&lt;$B284,DATE($B$1,4,1)&lt;=TODAY(),OR($O284="",$O284&gt;=DATE($B$1,4,1)),OR(COUNTIF($C284:F284,"&gt;0")&gt;0,DATE($B$1,4,1)=DATE(YEAR(TODAY()),MONTH(TODAY()),1))),1,0))</f>
        <v/>
      </c>
      <c r="T284">
        <f>IF($A284="","",IF(AND($B284&gt;0,G284&lt;$B284,DATE($B$1,5,1)&lt;=TODAY(),OR($O284="",$O284&gt;=DATE($B$1,5,1)),OR(COUNTIF($C284:G284,"&gt;0")&gt;0,DATE($B$1,5,1)=DATE(YEAR(TODAY()),MONTH(TODAY()),1))),1,0))</f>
        <v/>
      </c>
      <c r="U284">
        <f>IF($A284="","",IF(AND($B284&gt;0,H284&lt;$B284,DATE($B$1,6,1)&lt;=TODAY(),OR($O284="",$O284&gt;=DATE($B$1,6,1)),OR(COUNTIF($C284:H284,"&gt;0")&gt;0,DATE($B$1,6,1)=DATE(YEAR(TODAY()),MONTH(TODAY()),1))),1,0))</f>
        <v/>
      </c>
      <c r="V284">
        <f>IF($A284="","",IF(AND($B284&gt;0,I284&lt;$B284,DATE($B$1,7,1)&lt;=TODAY(),OR($O284="",$O284&gt;=DATE($B$1,7,1)),OR(COUNTIF($C284:I284,"&gt;0")&gt;0,DATE($B$1,7,1)=DATE(YEAR(TODAY()),MONTH(TODAY()),1))),1,0))</f>
        <v/>
      </c>
      <c r="W284">
        <f>IF($A284="","",IF(AND($B284&gt;0,J284&lt;$B284,DATE($B$1,8,1)&lt;=TODAY(),OR($O284="",$O284&gt;=DATE($B$1,8,1)),OR(COUNTIF($C284:J284,"&gt;0")&gt;0,DATE($B$1,8,1)=DATE(YEAR(TODAY()),MONTH(TODAY()),1))),1,0))</f>
        <v/>
      </c>
      <c r="X284">
        <f>IF($A284="","",IF(AND($B284&gt;0,K284&lt;$B284,DATE($B$1,9,1)&lt;=TODAY(),OR($O284="",$O284&gt;=DATE($B$1,9,1)),OR(COUNTIF($C284:K284,"&gt;0")&gt;0,DATE($B$1,9,1)=DATE(YEAR(TODAY()),MONTH(TODAY()),1))),1,0))</f>
        <v/>
      </c>
      <c r="Y284">
        <f>IF($A284="","",IF(AND($B284&gt;0,L284&lt;$B284,DATE($B$1,10,1)&lt;=TODAY(),OR($O284="",$O284&gt;=DATE($B$1,10,1)),OR(COUNTIF($C284:L284,"&gt;0")&gt;0,DATE($B$1,10,1)=DATE(YEAR(TODAY()),MONTH(TODAY()),1))),1,0))</f>
        <v/>
      </c>
      <c r="Z284">
        <f>IF($A284="","",IF(AND($B284&gt;0,M284&lt;$B284,DATE($B$1,11,1)&lt;=TODAY(),OR($O284="",$O284&gt;=DATE($B$1,11,1)),OR(COUNTIF($C284:M284,"&gt;0")&gt;0,DATE($B$1,11,1)=DATE(YEAR(TODAY()),MONTH(TODAY()),1))),1,0))</f>
        <v/>
      </c>
      <c r="AA284">
        <f>IF($A284="","",IF(AND($B284&gt;0,N284&lt;$B284,DATE($B$1,12,1)&lt;=TODAY(),OR($O284="",$O284&gt;=DATE($B$1,12,1)),OR(COUNTIF($C284:N284,"&gt;0")&gt;0,DATE($B$1,12,1)=DATE(YEAR(TODAY()),MONTH(TODAY()),1))),1,0))</f>
        <v/>
      </c>
    </row>
    <row r="285">
      <c r="A285" s="13">
        <f>IF(원생!$A283="","",원생!$A283&amp;IF(원생!$G283="",""," ("&amp;원생!$G283&amp;")"))</f>
        <v/>
      </c>
      <c r="B285" s="8">
        <f>IF(원생!$A283="","",원생!$F283)</f>
        <v/>
      </c>
      <c r="C285" s="14">
        <f>IF(원생!$A283="","",SUMIFS(수납!$F:$F,수납!$C:$C,원생!$A283,수납!$D:$D,IF(원생!$G283="","",원생!$G283),수납!$B:$B,$B$1&amp;"-"&amp;TEXT(1,"00")&amp;"*",수납!$E:$E,"수강료")+SUMIFS(수납!$F:$F,수납!$C:$C,원생!$A283,수납!$D:$D,IF(원생!$G283="","",원생!$G283),수납!$B:$B,$B$1&amp;"-"&amp;TEXT(1,"00")&amp;"*",수납!$E:$E,""))</f>
        <v/>
      </c>
      <c r="D285" s="14">
        <f>IF(원생!$A283="","",SUMIFS(수납!$F:$F,수납!$C:$C,원생!$A283,수납!$D:$D,IF(원생!$G283="","",원생!$G283),수납!$B:$B,$B$1&amp;"-"&amp;TEXT(2,"00")&amp;"*",수납!$E:$E,"수강료")+SUMIFS(수납!$F:$F,수납!$C:$C,원생!$A283,수납!$D:$D,IF(원생!$G283="","",원생!$G283),수납!$B:$B,$B$1&amp;"-"&amp;TEXT(2,"00")&amp;"*",수납!$E:$E,""))</f>
        <v/>
      </c>
      <c r="E285" s="14">
        <f>IF(원생!$A283="","",SUMIFS(수납!$F:$F,수납!$C:$C,원생!$A283,수납!$D:$D,IF(원생!$G283="","",원생!$G283),수납!$B:$B,$B$1&amp;"-"&amp;TEXT(3,"00")&amp;"*",수납!$E:$E,"수강료")+SUMIFS(수납!$F:$F,수납!$C:$C,원생!$A283,수납!$D:$D,IF(원생!$G283="","",원생!$G283),수납!$B:$B,$B$1&amp;"-"&amp;TEXT(3,"00")&amp;"*",수납!$E:$E,""))</f>
        <v/>
      </c>
      <c r="F285" s="14">
        <f>IF(원생!$A283="","",SUMIFS(수납!$F:$F,수납!$C:$C,원생!$A283,수납!$D:$D,IF(원생!$G283="","",원생!$G283),수납!$B:$B,$B$1&amp;"-"&amp;TEXT(4,"00")&amp;"*",수납!$E:$E,"수강료")+SUMIFS(수납!$F:$F,수납!$C:$C,원생!$A283,수납!$D:$D,IF(원생!$G283="","",원생!$G283),수납!$B:$B,$B$1&amp;"-"&amp;TEXT(4,"00")&amp;"*",수납!$E:$E,""))</f>
        <v/>
      </c>
      <c r="G285" s="14">
        <f>IF(원생!$A283="","",SUMIFS(수납!$F:$F,수납!$C:$C,원생!$A283,수납!$D:$D,IF(원생!$G283="","",원생!$G283),수납!$B:$B,$B$1&amp;"-"&amp;TEXT(5,"00")&amp;"*",수납!$E:$E,"수강료")+SUMIFS(수납!$F:$F,수납!$C:$C,원생!$A283,수납!$D:$D,IF(원생!$G283="","",원생!$G283),수납!$B:$B,$B$1&amp;"-"&amp;TEXT(5,"00")&amp;"*",수납!$E:$E,""))</f>
        <v/>
      </c>
      <c r="H285" s="14">
        <f>IF(원생!$A283="","",SUMIFS(수납!$F:$F,수납!$C:$C,원생!$A283,수납!$D:$D,IF(원생!$G283="","",원생!$G283),수납!$B:$B,$B$1&amp;"-"&amp;TEXT(6,"00")&amp;"*",수납!$E:$E,"수강료")+SUMIFS(수납!$F:$F,수납!$C:$C,원생!$A283,수납!$D:$D,IF(원생!$G283="","",원생!$G283),수납!$B:$B,$B$1&amp;"-"&amp;TEXT(6,"00")&amp;"*",수납!$E:$E,""))</f>
        <v/>
      </c>
      <c r="I285" s="14">
        <f>IF(원생!$A283="","",SUMIFS(수납!$F:$F,수납!$C:$C,원생!$A283,수납!$D:$D,IF(원생!$G283="","",원생!$G283),수납!$B:$B,$B$1&amp;"-"&amp;TEXT(7,"00")&amp;"*",수납!$E:$E,"수강료")+SUMIFS(수납!$F:$F,수납!$C:$C,원생!$A283,수납!$D:$D,IF(원생!$G283="","",원생!$G283),수납!$B:$B,$B$1&amp;"-"&amp;TEXT(7,"00")&amp;"*",수납!$E:$E,""))</f>
        <v/>
      </c>
      <c r="J285" s="14">
        <f>IF(원생!$A283="","",SUMIFS(수납!$F:$F,수납!$C:$C,원생!$A283,수납!$D:$D,IF(원생!$G283="","",원생!$G283),수납!$B:$B,$B$1&amp;"-"&amp;TEXT(8,"00")&amp;"*",수납!$E:$E,"수강료")+SUMIFS(수납!$F:$F,수납!$C:$C,원생!$A283,수납!$D:$D,IF(원생!$G283="","",원생!$G283),수납!$B:$B,$B$1&amp;"-"&amp;TEXT(8,"00")&amp;"*",수납!$E:$E,""))</f>
        <v/>
      </c>
      <c r="K285" s="14">
        <f>IF(원생!$A283="","",SUMIFS(수납!$F:$F,수납!$C:$C,원생!$A283,수납!$D:$D,IF(원생!$G283="","",원생!$G283),수납!$B:$B,$B$1&amp;"-"&amp;TEXT(9,"00")&amp;"*",수납!$E:$E,"수강료")+SUMIFS(수납!$F:$F,수납!$C:$C,원생!$A283,수납!$D:$D,IF(원생!$G283="","",원생!$G283),수납!$B:$B,$B$1&amp;"-"&amp;TEXT(9,"00")&amp;"*",수납!$E:$E,""))</f>
        <v/>
      </c>
      <c r="L285" s="14">
        <f>IF(원생!$A283="","",SUMIFS(수납!$F:$F,수납!$C:$C,원생!$A283,수납!$D:$D,IF(원생!$G283="","",원생!$G283),수납!$B:$B,$B$1&amp;"-"&amp;TEXT(10,"00")&amp;"*",수납!$E:$E,"수강료")+SUMIFS(수납!$F:$F,수납!$C:$C,원생!$A283,수납!$D:$D,IF(원생!$G283="","",원생!$G283),수납!$B:$B,$B$1&amp;"-"&amp;TEXT(10,"00")&amp;"*",수납!$E:$E,""))</f>
        <v/>
      </c>
      <c r="M285" s="14">
        <f>IF(원생!$A283="","",SUMIFS(수납!$F:$F,수납!$C:$C,원생!$A283,수납!$D:$D,IF(원생!$G283="","",원생!$G283),수납!$B:$B,$B$1&amp;"-"&amp;TEXT(11,"00")&amp;"*",수납!$E:$E,"수강료")+SUMIFS(수납!$F:$F,수납!$C:$C,원생!$A283,수납!$D:$D,IF(원생!$G283="","",원생!$G283),수납!$B:$B,$B$1&amp;"-"&amp;TEXT(11,"00")&amp;"*",수납!$E:$E,""))</f>
        <v/>
      </c>
      <c r="N285" s="14">
        <f>IF(원생!$A283="","",SUMIFS(수납!$F:$F,수납!$C:$C,원생!$A283,수납!$D:$D,IF(원생!$G283="","",원생!$G283),수납!$B:$B,$B$1&amp;"-"&amp;TEXT(12,"00")&amp;"*",수납!$E:$E,"수강료")+SUMIFS(수납!$F:$F,수납!$C:$C,원생!$A283,수납!$D:$D,IF(원생!$G283="","",원생!$G283),수납!$B:$B,$B$1&amp;"-"&amp;TEXT(12,"00")&amp;"*",수납!$E:$E,""))</f>
        <v/>
      </c>
      <c r="O285">
        <f>IF(원생!$I283="","",원생!$I283)</f>
        <v/>
      </c>
      <c r="P285">
        <f>IF($A285="","",IF(AND($B285&gt;0,C285&lt;$B285,DATE($B$1,1,1)&lt;=TODAY(),OR($O285="",$O285&gt;=DATE($B$1,1,1)),OR(COUNTIF($C285:C285,"&gt;0")&gt;0,DATE($B$1,1,1)=DATE(YEAR(TODAY()),MONTH(TODAY()),1))),1,0))</f>
        <v/>
      </c>
      <c r="Q285">
        <f>IF($A285="","",IF(AND($B285&gt;0,D285&lt;$B285,DATE($B$1,2,1)&lt;=TODAY(),OR($O285="",$O285&gt;=DATE($B$1,2,1)),OR(COUNTIF($C285:D285,"&gt;0")&gt;0,DATE($B$1,2,1)=DATE(YEAR(TODAY()),MONTH(TODAY()),1))),1,0))</f>
        <v/>
      </c>
      <c r="R285">
        <f>IF($A285="","",IF(AND($B285&gt;0,E285&lt;$B285,DATE($B$1,3,1)&lt;=TODAY(),OR($O285="",$O285&gt;=DATE($B$1,3,1)),OR(COUNTIF($C285:E285,"&gt;0")&gt;0,DATE($B$1,3,1)=DATE(YEAR(TODAY()),MONTH(TODAY()),1))),1,0))</f>
        <v/>
      </c>
      <c r="S285">
        <f>IF($A285="","",IF(AND($B285&gt;0,F285&lt;$B285,DATE($B$1,4,1)&lt;=TODAY(),OR($O285="",$O285&gt;=DATE($B$1,4,1)),OR(COUNTIF($C285:F285,"&gt;0")&gt;0,DATE($B$1,4,1)=DATE(YEAR(TODAY()),MONTH(TODAY()),1))),1,0))</f>
        <v/>
      </c>
      <c r="T285">
        <f>IF($A285="","",IF(AND($B285&gt;0,G285&lt;$B285,DATE($B$1,5,1)&lt;=TODAY(),OR($O285="",$O285&gt;=DATE($B$1,5,1)),OR(COUNTIF($C285:G285,"&gt;0")&gt;0,DATE($B$1,5,1)=DATE(YEAR(TODAY()),MONTH(TODAY()),1))),1,0))</f>
        <v/>
      </c>
      <c r="U285">
        <f>IF($A285="","",IF(AND($B285&gt;0,H285&lt;$B285,DATE($B$1,6,1)&lt;=TODAY(),OR($O285="",$O285&gt;=DATE($B$1,6,1)),OR(COUNTIF($C285:H285,"&gt;0")&gt;0,DATE($B$1,6,1)=DATE(YEAR(TODAY()),MONTH(TODAY()),1))),1,0))</f>
        <v/>
      </c>
      <c r="V285">
        <f>IF($A285="","",IF(AND($B285&gt;0,I285&lt;$B285,DATE($B$1,7,1)&lt;=TODAY(),OR($O285="",$O285&gt;=DATE($B$1,7,1)),OR(COUNTIF($C285:I285,"&gt;0")&gt;0,DATE($B$1,7,1)=DATE(YEAR(TODAY()),MONTH(TODAY()),1))),1,0))</f>
        <v/>
      </c>
      <c r="W285">
        <f>IF($A285="","",IF(AND($B285&gt;0,J285&lt;$B285,DATE($B$1,8,1)&lt;=TODAY(),OR($O285="",$O285&gt;=DATE($B$1,8,1)),OR(COUNTIF($C285:J285,"&gt;0")&gt;0,DATE($B$1,8,1)=DATE(YEAR(TODAY()),MONTH(TODAY()),1))),1,0))</f>
        <v/>
      </c>
      <c r="X285">
        <f>IF($A285="","",IF(AND($B285&gt;0,K285&lt;$B285,DATE($B$1,9,1)&lt;=TODAY(),OR($O285="",$O285&gt;=DATE($B$1,9,1)),OR(COUNTIF($C285:K285,"&gt;0")&gt;0,DATE($B$1,9,1)=DATE(YEAR(TODAY()),MONTH(TODAY()),1))),1,0))</f>
        <v/>
      </c>
      <c r="Y285">
        <f>IF($A285="","",IF(AND($B285&gt;0,L285&lt;$B285,DATE($B$1,10,1)&lt;=TODAY(),OR($O285="",$O285&gt;=DATE($B$1,10,1)),OR(COUNTIF($C285:L285,"&gt;0")&gt;0,DATE($B$1,10,1)=DATE(YEAR(TODAY()),MONTH(TODAY()),1))),1,0))</f>
        <v/>
      </c>
      <c r="Z285">
        <f>IF($A285="","",IF(AND($B285&gt;0,M285&lt;$B285,DATE($B$1,11,1)&lt;=TODAY(),OR($O285="",$O285&gt;=DATE($B$1,11,1)),OR(COUNTIF($C285:M285,"&gt;0")&gt;0,DATE($B$1,11,1)=DATE(YEAR(TODAY()),MONTH(TODAY()),1))),1,0))</f>
        <v/>
      </c>
      <c r="AA285">
        <f>IF($A285="","",IF(AND($B285&gt;0,N285&lt;$B285,DATE($B$1,12,1)&lt;=TODAY(),OR($O285="",$O285&gt;=DATE($B$1,12,1)),OR(COUNTIF($C285:N285,"&gt;0")&gt;0,DATE($B$1,12,1)=DATE(YEAR(TODAY()),MONTH(TODAY()),1))),1,0))</f>
        <v/>
      </c>
    </row>
    <row r="286">
      <c r="A286" s="13">
        <f>IF(원생!$A284="","",원생!$A284&amp;IF(원생!$G284="",""," ("&amp;원생!$G284&amp;")"))</f>
        <v/>
      </c>
      <c r="B286" s="8">
        <f>IF(원생!$A284="","",원생!$F284)</f>
        <v/>
      </c>
      <c r="C286" s="14">
        <f>IF(원생!$A284="","",SUMIFS(수납!$F:$F,수납!$C:$C,원생!$A284,수납!$D:$D,IF(원생!$G284="","",원생!$G284),수납!$B:$B,$B$1&amp;"-"&amp;TEXT(1,"00")&amp;"*",수납!$E:$E,"수강료")+SUMIFS(수납!$F:$F,수납!$C:$C,원생!$A284,수납!$D:$D,IF(원생!$G284="","",원생!$G284),수납!$B:$B,$B$1&amp;"-"&amp;TEXT(1,"00")&amp;"*",수납!$E:$E,""))</f>
        <v/>
      </c>
      <c r="D286" s="14">
        <f>IF(원생!$A284="","",SUMIFS(수납!$F:$F,수납!$C:$C,원생!$A284,수납!$D:$D,IF(원생!$G284="","",원생!$G284),수납!$B:$B,$B$1&amp;"-"&amp;TEXT(2,"00")&amp;"*",수납!$E:$E,"수강료")+SUMIFS(수납!$F:$F,수납!$C:$C,원생!$A284,수납!$D:$D,IF(원생!$G284="","",원생!$G284),수납!$B:$B,$B$1&amp;"-"&amp;TEXT(2,"00")&amp;"*",수납!$E:$E,""))</f>
        <v/>
      </c>
      <c r="E286" s="14">
        <f>IF(원생!$A284="","",SUMIFS(수납!$F:$F,수납!$C:$C,원생!$A284,수납!$D:$D,IF(원생!$G284="","",원생!$G284),수납!$B:$B,$B$1&amp;"-"&amp;TEXT(3,"00")&amp;"*",수납!$E:$E,"수강료")+SUMIFS(수납!$F:$F,수납!$C:$C,원생!$A284,수납!$D:$D,IF(원생!$G284="","",원생!$G284),수납!$B:$B,$B$1&amp;"-"&amp;TEXT(3,"00")&amp;"*",수납!$E:$E,""))</f>
        <v/>
      </c>
      <c r="F286" s="14">
        <f>IF(원생!$A284="","",SUMIFS(수납!$F:$F,수납!$C:$C,원생!$A284,수납!$D:$D,IF(원생!$G284="","",원생!$G284),수납!$B:$B,$B$1&amp;"-"&amp;TEXT(4,"00")&amp;"*",수납!$E:$E,"수강료")+SUMIFS(수납!$F:$F,수납!$C:$C,원생!$A284,수납!$D:$D,IF(원생!$G284="","",원생!$G284),수납!$B:$B,$B$1&amp;"-"&amp;TEXT(4,"00")&amp;"*",수납!$E:$E,""))</f>
        <v/>
      </c>
      <c r="G286" s="14">
        <f>IF(원생!$A284="","",SUMIFS(수납!$F:$F,수납!$C:$C,원생!$A284,수납!$D:$D,IF(원생!$G284="","",원생!$G284),수납!$B:$B,$B$1&amp;"-"&amp;TEXT(5,"00")&amp;"*",수납!$E:$E,"수강료")+SUMIFS(수납!$F:$F,수납!$C:$C,원생!$A284,수납!$D:$D,IF(원생!$G284="","",원생!$G284),수납!$B:$B,$B$1&amp;"-"&amp;TEXT(5,"00")&amp;"*",수납!$E:$E,""))</f>
        <v/>
      </c>
      <c r="H286" s="14">
        <f>IF(원생!$A284="","",SUMIFS(수납!$F:$F,수납!$C:$C,원생!$A284,수납!$D:$D,IF(원생!$G284="","",원생!$G284),수납!$B:$B,$B$1&amp;"-"&amp;TEXT(6,"00")&amp;"*",수납!$E:$E,"수강료")+SUMIFS(수납!$F:$F,수납!$C:$C,원생!$A284,수납!$D:$D,IF(원생!$G284="","",원생!$G284),수납!$B:$B,$B$1&amp;"-"&amp;TEXT(6,"00")&amp;"*",수납!$E:$E,""))</f>
        <v/>
      </c>
      <c r="I286" s="14">
        <f>IF(원생!$A284="","",SUMIFS(수납!$F:$F,수납!$C:$C,원생!$A284,수납!$D:$D,IF(원생!$G284="","",원생!$G284),수납!$B:$B,$B$1&amp;"-"&amp;TEXT(7,"00")&amp;"*",수납!$E:$E,"수강료")+SUMIFS(수납!$F:$F,수납!$C:$C,원생!$A284,수납!$D:$D,IF(원생!$G284="","",원생!$G284),수납!$B:$B,$B$1&amp;"-"&amp;TEXT(7,"00")&amp;"*",수납!$E:$E,""))</f>
        <v/>
      </c>
      <c r="J286" s="14">
        <f>IF(원생!$A284="","",SUMIFS(수납!$F:$F,수납!$C:$C,원생!$A284,수납!$D:$D,IF(원생!$G284="","",원생!$G284),수납!$B:$B,$B$1&amp;"-"&amp;TEXT(8,"00")&amp;"*",수납!$E:$E,"수강료")+SUMIFS(수납!$F:$F,수납!$C:$C,원생!$A284,수납!$D:$D,IF(원생!$G284="","",원생!$G284),수납!$B:$B,$B$1&amp;"-"&amp;TEXT(8,"00")&amp;"*",수납!$E:$E,""))</f>
        <v/>
      </c>
      <c r="K286" s="14">
        <f>IF(원생!$A284="","",SUMIFS(수납!$F:$F,수납!$C:$C,원생!$A284,수납!$D:$D,IF(원생!$G284="","",원생!$G284),수납!$B:$B,$B$1&amp;"-"&amp;TEXT(9,"00")&amp;"*",수납!$E:$E,"수강료")+SUMIFS(수납!$F:$F,수납!$C:$C,원생!$A284,수납!$D:$D,IF(원생!$G284="","",원생!$G284),수납!$B:$B,$B$1&amp;"-"&amp;TEXT(9,"00")&amp;"*",수납!$E:$E,""))</f>
        <v/>
      </c>
      <c r="L286" s="14">
        <f>IF(원생!$A284="","",SUMIFS(수납!$F:$F,수납!$C:$C,원생!$A284,수납!$D:$D,IF(원생!$G284="","",원생!$G284),수납!$B:$B,$B$1&amp;"-"&amp;TEXT(10,"00")&amp;"*",수납!$E:$E,"수강료")+SUMIFS(수납!$F:$F,수납!$C:$C,원생!$A284,수납!$D:$D,IF(원생!$G284="","",원생!$G284),수납!$B:$B,$B$1&amp;"-"&amp;TEXT(10,"00")&amp;"*",수납!$E:$E,""))</f>
        <v/>
      </c>
      <c r="M286" s="14">
        <f>IF(원생!$A284="","",SUMIFS(수납!$F:$F,수납!$C:$C,원생!$A284,수납!$D:$D,IF(원생!$G284="","",원생!$G284),수납!$B:$B,$B$1&amp;"-"&amp;TEXT(11,"00")&amp;"*",수납!$E:$E,"수강료")+SUMIFS(수납!$F:$F,수납!$C:$C,원생!$A284,수납!$D:$D,IF(원생!$G284="","",원생!$G284),수납!$B:$B,$B$1&amp;"-"&amp;TEXT(11,"00")&amp;"*",수납!$E:$E,""))</f>
        <v/>
      </c>
      <c r="N286" s="14">
        <f>IF(원생!$A284="","",SUMIFS(수납!$F:$F,수납!$C:$C,원생!$A284,수납!$D:$D,IF(원생!$G284="","",원생!$G284),수납!$B:$B,$B$1&amp;"-"&amp;TEXT(12,"00")&amp;"*",수납!$E:$E,"수강료")+SUMIFS(수납!$F:$F,수납!$C:$C,원생!$A284,수납!$D:$D,IF(원생!$G284="","",원생!$G284),수납!$B:$B,$B$1&amp;"-"&amp;TEXT(12,"00")&amp;"*",수납!$E:$E,""))</f>
        <v/>
      </c>
      <c r="O286">
        <f>IF(원생!$I284="","",원생!$I284)</f>
        <v/>
      </c>
      <c r="P286">
        <f>IF($A286="","",IF(AND($B286&gt;0,C286&lt;$B286,DATE($B$1,1,1)&lt;=TODAY(),OR($O286="",$O286&gt;=DATE($B$1,1,1)),OR(COUNTIF($C286:C286,"&gt;0")&gt;0,DATE($B$1,1,1)=DATE(YEAR(TODAY()),MONTH(TODAY()),1))),1,0))</f>
        <v/>
      </c>
      <c r="Q286">
        <f>IF($A286="","",IF(AND($B286&gt;0,D286&lt;$B286,DATE($B$1,2,1)&lt;=TODAY(),OR($O286="",$O286&gt;=DATE($B$1,2,1)),OR(COUNTIF($C286:D286,"&gt;0")&gt;0,DATE($B$1,2,1)=DATE(YEAR(TODAY()),MONTH(TODAY()),1))),1,0))</f>
        <v/>
      </c>
      <c r="R286">
        <f>IF($A286="","",IF(AND($B286&gt;0,E286&lt;$B286,DATE($B$1,3,1)&lt;=TODAY(),OR($O286="",$O286&gt;=DATE($B$1,3,1)),OR(COUNTIF($C286:E286,"&gt;0")&gt;0,DATE($B$1,3,1)=DATE(YEAR(TODAY()),MONTH(TODAY()),1))),1,0))</f>
        <v/>
      </c>
      <c r="S286">
        <f>IF($A286="","",IF(AND($B286&gt;0,F286&lt;$B286,DATE($B$1,4,1)&lt;=TODAY(),OR($O286="",$O286&gt;=DATE($B$1,4,1)),OR(COUNTIF($C286:F286,"&gt;0")&gt;0,DATE($B$1,4,1)=DATE(YEAR(TODAY()),MONTH(TODAY()),1))),1,0))</f>
        <v/>
      </c>
      <c r="T286">
        <f>IF($A286="","",IF(AND($B286&gt;0,G286&lt;$B286,DATE($B$1,5,1)&lt;=TODAY(),OR($O286="",$O286&gt;=DATE($B$1,5,1)),OR(COUNTIF($C286:G286,"&gt;0")&gt;0,DATE($B$1,5,1)=DATE(YEAR(TODAY()),MONTH(TODAY()),1))),1,0))</f>
        <v/>
      </c>
      <c r="U286">
        <f>IF($A286="","",IF(AND($B286&gt;0,H286&lt;$B286,DATE($B$1,6,1)&lt;=TODAY(),OR($O286="",$O286&gt;=DATE($B$1,6,1)),OR(COUNTIF($C286:H286,"&gt;0")&gt;0,DATE($B$1,6,1)=DATE(YEAR(TODAY()),MONTH(TODAY()),1))),1,0))</f>
        <v/>
      </c>
      <c r="V286">
        <f>IF($A286="","",IF(AND($B286&gt;0,I286&lt;$B286,DATE($B$1,7,1)&lt;=TODAY(),OR($O286="",$O286&gt;=DATE($B$1,7,1)),OR(COUNTIF($C286:I286,"&gt;0")&gt;0,DATE($B$1,7,1)=DATE(YEAR(TODAY()),MONTH(TODAY()),1))),1,0))</f>
        <v/>
      </c>
      <c r="W286">
        <f>IF($A286="","",IF(AND($B286&gt;0,J286&lt;$B286,DATE($B$1,8,1)&lt;=TODAY(),OR($O286="",$O286&gt;=DATE($B$1,8,1)),OR(COUNTIF($C286:J286,"&gt;0")&gt;0,DATE($B$1,8,1)=DATE(YEAR(TODAY()),MONTH(TODAY()),1))),1,0))</f>
        <v/>
      </c>
      <c r="X286">
        <f>IF($A286="","",IF(AND($B286&gt;0,K286&lt;$B286,DATE($B$1,9,1)&lt;=TODAY(),OR($O286="",$O286&gt;=DATE($B$1,9,1)),OR(COUNTIF($C286:K286,"&gt;0")&gt;0,DATE($B$1,9,1)=DATE(YEAR(TODAY()),MONTH(TODAY()),1))),1,0))</f>
        <v/>
      </c>
      <c r="Y286">
        <f>IF($A286="","",IF(AND($B286&gt;0,L286&lt;$B286,DATE($B$1,10,1)&lt;=TODAY(),OR($O286="",$O286&gt;=DATE($B$1,10,1)),OR(COUNTIF($C286:L286,"&gt;0")&gt;0,DATE($B$1,10,1)=DATE(YEAR(TODAY()),MONTH(TODAY()),1))),1,0))</f>
        <v/>
      </c>
      <c r="Z286">
        <f>IF($A286="","",IF(AND($B286&gt;0,M286&lt;$B286,DATE($B$1,11,1)&lt;=TODAY(),OR($O286="",$O286&gt;=DATE($B$1,11,1)),OR(COUNTIF($C286:M286,"&gt;0")&gt;0,DATE($B$1,11,1)=DATE(YEAR(TODAY()),MONTH(TODAY()),1))),1,0))</f>
        <v/>
      </c>
      <c r="AA286">
        <f>IF($A286="","",IF(AND($B286&gt;0,N286&lt;$B286,DATE($B$1,12,1)&lt;=TODAY(),OR($O286="",$O286&gt;=DATE($B$1,12,1)),OR(COUNTIF($C286:N286,"&gt;0")&gt;0,DATE($B$1,12,1)=DATE(YEAR(TODAY()),MONTH(TODAY()),1))),1,0))</f>
        <v/>
      </c>
    </row>
    <row r="287">
      <c r="A287" s="13">
        <f>IF(원생!$A285="","",원생!$A285&amp;IF(원생!$G285="",""," ("&amp;원생!$G285&amp;")"))</f>
        <v/>
      </c>
      <c r="B287" s="8">
        <f>IF(원생!$A285="","",원생!$F285)</f>
        <v/>
      </c>
      <c r="C287" s="14">
        <f>IF(원생!$A285="","",SUMIFS(수납!$F:$F,수납!$C:$C,원생!$A285,수납!$D:$D,IF(원생!$G285="","",원생!$G285),수납!$B:$B,$B$1&amp;"-"&amp;TEXT(1,"00")&amp;"*",수납!$E:$E,"수강료")+SUMIFS(수납!$F:$F,수납!$C:$C,원생!$A285,수납!$D:$D,IF(원생!$G285="","",원생!$G285),수납!$B:$B,$B$1&amp;"-"&amp;TEXT(1,"00")&amp;"*",수납!$E:$E,""))</f>
        <v/>
      </c>
      <c r="D287" s="14">
        <f>IF(원생!$A285="","",SUMIFS(수납!$F:$F,수납!$C:$C,원생!$A285,수납!$D:$D,IF(원생!$G285="","",원생!$G285),수납!$B:$B,$B$1&amp;"-"&amp;TEXT(2,"00")&amp;"*",수납!$E:$E,"수강료")+SUMIFS(수납!$F:$F,수납!$C:$C,원생!$A285,수납!$D:$D,IF(원생!$G285="","",원생!$G285),수납!$B:$B,$B$1&amp;"-"&amp;TEXT(2,"00")&amp;"*",수납!$E:$E,""))</f>
        <v/>
      </c>
      <c r="E287" s="14">
        <f>IF(원생!$A285="","",SUMIFS(수납!$F:$F,수납!$C:$C,원생!$A285,수납!$D:$D,IF(원생!$G285="","",원생!$G285),수납!$B:$B,$B$1&amp;"-"&amp;TEXT(3,"00")&amp;"*",수납!$E:$E,"수강료")+SUMIFS(수납!$F:$F,수납!$C:$C,원생!$A285,수납!$D:$D,IF(원생!$G285="","",원생!$G285),수납!$B:$B,$B$1&amp;"-"&amp;TEXT(3,"00")&amp;"*",수납!$E:$E,""))</f>
        <v/>
      </c>
      <c r="F287" s="14">
        <f>IF(원생!$A285="","",SUMIFS(수납!$F:$F,수납!$C:$C,원생!$A285,수납!$D:$D,IF(원생!$G285="","",원생!$G285),수납!$B:$B,$B$1&amp;"-"&amp;TEXT(4,"00")&amp;"*",수납!$E:$E,"수강료")+SUMIFS(수납!$F:$F,수납!$C:$C,원생!$A285,수납!$D:$D,IF(원생!$G285="","",원생!$G285),수납!$B:$B,$B$1&amp;"-"&amp;TEXT(4,"00")&amp;"*",수납!$E:$E,""))</f>
        <v/>
      </c>
      <c r="G287" s="14">
        <f>IF(원생!$A285="","",SUMIFS(수납!$F:$F,수납!$C:$C,원생!$A285,수납!$D:$D,IF(원생!$G285="","",원생!$G285),수납!$B:$B,$B$1&amp;"-"&amp;TEXT(5,"00")&amp;"*",수납!$E:$E,"수강료")+SUMIFS(수납!$F:$F,수납!$C:$C,원생!$A285,수납!$D:$D,IF(원생!$G285="","",원생!$G285),수납!$B:$B,$B$1&amp;"-"&amp;TEXT(5,"00")&amp;"*",수납!$E:$E,""))</f>
        <v/>
      </c>
      <c r="H287" s="14">
        <f>IF(원생!$A285="","",SUMIFS(수납!$F:$F,수납!$C:$C,원생!$A285,수납!$D:$D,IF(원생!$G285="","",원생!$G285),수납!$B:$B,$B$1&amp;"-"&amp;TEXT(6,"00")&amp;"*",수납!$E:$E,"수강료")+SUMIFS(수납!$F:$F,수납!$C:$C,원생!$A285,수납!$D:$D,IF(원생!$G285="","",원생!$G285),수납!$B:$B,$B$1&amp;"-"&amp;TEXT(6,"00")&amp;"*",수납!$E:$E,""))</f>
        <v/>
      </c>
      <c r="I287" s="14">
        <f>IF(원생!$A285="","",SUMIFS(수납!$F:$F,수납!$C:$C,원생!$A285,수납!$D:$D,IF(원생!$G285="","",원생!$G285),수납!$B:$B,$B$1&amp;"-"&amp;TEXT(7,"00")&amp;"*",수납!$E:$E,"수강료")+SUMIFS(수납!$F:$F,수납!$C:$C,원생!$A285,수납!$D:$D,IF(원생!$G285="","",원생!$G285),수납!$B:$B,$B$1&amp;"-"&amp;TEXT(7,"00")&amp;"*",수납!$E:$E,""))</f>
        <v/>
      </c>
      <c r="J287" s="14">
        <f>IF(원생!$A285="","",SUMIFS(수납!$F:$F,수납!$C:$C,원생!$A285,수납!$D:$D,IF(원생!$G285="","",원생!$G285),수납!$B:$B,$B$1&amp;"-"&amp;TEXT(8,"00")&amp;"*",수납!$E:$E,"수강료")+SUMIFS(수납!$F:$F,수납!$C:$C,원생!$A285,수납!$D:$D,IF(원생!$G285="","",원생!$G285),수납!$B:$B,$B$1&amp;"-"&amp;TEXT(8,"00")&amp;"*",수납!$E:$E,""))</f>
        <v/>
      </c>
      <c r="K287" s="14">
        <f>IF(원생!$A285="","",SUMIFS(수납!$F:$F,수납!$C:$C,원생!$A285,수납!$D:$D,IF(원생!$G285="","",원생!$G285),수납!$B:$B,$B$1&amp;"-"&amp;TEXT(9,"00")&amp;"*",수납!$E:$E,"수강료")+SUMIFS(수납!$F:$F,수납!$C:$C,원생!$A285,수납!$D:$D,IF(원생!$G285="","",원생!$G285),수납!$B:$B,$B$1&amp;"-"&amp;TEXT(9,"00")&amp;"*",수납!$E:$E,""))</f>
        <v/>
      </c>
      <c r="L287" s="14">
        <f>IF(원생!$A285="","",SUMIFS(수납!$F:$F,수납!$C:$C,원생!$A285,수납!$D:$D,IF(원생!$G285="","",원생!$G285),수납!$B:$B,$B$1&amp;"-"&amp;TEXT(10,"00")&amp;"*",수납!$E:$E,"수강료")+SUMIFS(수납!$F:$F,수납!$C:$C,원생!$A285,수납!$D:$D,IF(원생!$G285="","",원생!$G285),수납!$B:$B,$B$1&amp;"-"&amp;TEXT(10,"00")&amp;"*",수납!$E:$E,""))</f>
        <v/>
      </c>
      <c r="M287" s="14">
        <f>IF(원생!$A285="","",SUMIFS(수납!$F:$F,수납!$C:$C,원생!$A285,수납!$D:$D,IF(원생!$G285="","",원생!$G285),수납!$B:$B,$B$1&amp;"-"&amp;TEXT(11,"00")&amp;"*",수납!$E:$E,"수강료")+SUMIFS(수납!$F:$F,수납!$C:$C,원생!$A285,수납!$D:$D,IF(원생!$G285="","",원생!$G285),수납!$B:$B,$B$1&amp;"-"&amp;TEXT(11,"00")&amp;"*",수납!$E:$E,""))</f>
        <v/>
      </c>
      <c r="N287" s="14">
        <f>IF(원생!$A285="","",SUMIFS(수납!$F:$F,수납!$C:$C,원생!$A285,수납!$D:$D,IF(원생!$G285="","",원생!$G285),수납!$B:$B,$B$1&amp;"-"&amp;TEXT(12,"00")&amp;"*",수납!$E:$E,"수강료")+SUMIFS(수납!$F:$F,수납!$C:$C,원생!$A285,수납!$D:$D,IF(원생!$G285="","",원생!$G285),수납!$B:$B,$B$1&amp;"-"&amp;TEXT(12,"00")&amp;"*",수납!$E:$E,""))</f>
        <v/>
      </c>
      <c r="O287">
        <f>IF(원생!$I285="","",원생!$I285)</f>
        <v/>
      </c>
      <c r="P287">
        <f>IF($A287="","",IF(AND($B287&gt;0,C287&lt;$B287,DATE($B$1,1,1)&lt;=TODAY(),OR($O287="",$O287&gt;=DATE($B$1,1,1)),OR(COUNTIF($C287:C287,"&gt;0")&gt;0,DATE($B$1,1,1)=DATE(YEAR(TODAY()),MONTH(TODAY()),1))),1,0))</f>
        <v/>
      </c>
      <c r="Q287">
        <f>IF($A287="","",IF(AND($B287&gt;0,D287&lt;$B287,DATE($B$1,2,1)&lt;=TODAY(),OR($O287="",$O287&gt;=DATE($B$1,2,1)),OR(COUNTIF($C287:D287,"&gt;0")&gt;0,DATE($B$1,2,1)=DATE(YEAR(TODAY()),MONTH(TODAY()),1))),1,0))</f>
        <v/>
      </c>
      <c r="R287">
        <f>IF($A287="","",IF(AND($B287&gt;0,E287&lt;$B287,DATE($B$1,3,1)&lt;=TODAY(),OR($O287="",$O287&gt;=DATE($B$1,3,1)),OR(COUNTIF($C287:E287,"&gt;0")&gt;0,DATE($B$1,3,1)=DATE(YEAR(TODAY()),MONTH(TODAY()),1))),1,0))</f>
        <v/>
      </c>
      <c r="S287">
        <f>IF($A287="","",IF(AND($B287&gt;0,F287&lt;$B287,DATE($B$1,4,1)&lt;=TODAY(),OR($O287="",$O287&gt;=DATE($B$1,4,1)),OR(COUNTIF($C287:F287,"&gt;0")&gt;0,DATE($B$1,4,1)=DATE(YEAR(TODAY()),MONTH(TODAY()),1))),1,0))</f>
        <v/>
      </c>
      <c r="T287">
        <f>IF($A287="","",IF(AND($B287&gt;0,G287&lt;$B287,DATE($B$1,5,1)&lt;=TODAY(),OR($O287="",$O287&gt;=DATE($B$1,5,1)),OR(COUNTIF($C287:G287,"&gt;0")&gt;0,DATE($B$1,5,1)=DATE(YEAR(TODAY()),MONTH(TODAY()),1))),1,0))</f>
        <v/>
      </c>
      <c r="U287">
        <f>IF($A287="","",IF(AND($B287&gt;0,H287&lt;$B287,DATE($B$1,6,1)&lt;=TODAY(),OR($O287="",$O287&gt;=DATE($B$1,6,1)),OR(COUNTIF($C287:H287,"&gt;0")&gt;0,DATE($B$1,6,1)=DATE(YEAR(TODAY()),MONTH(TODAY()),1))),1,0))</f>
        <v/>
      </c>
      <c r="V287">
        <f>IF($A287="","",IF(AND($B287&gt;0,I287&lt;$B287,DATE($B$1,7,1)&lt;=TODAY(),OR($O287="",$O287&gt;=DATE($B$1,7,1)),OR(COUNTIF($C287:I287,"&gt;0")&gt;0,DATE($B$1,7,1)=DATE(YEAR(TODAY()),MONTH(TODAY()),1))),1,0))</f>
        <v/>
      </c>
      <c r="W287">
        <f>IF($A287="","",IF(AND($B287&gt;0,J287&lt;$B287,DATE($B$1,8,1)&lt;=TODAY(),OR($O287="",$O287&gt;=DATE($B$1,8,1)),OR(COUNTIF($C287:J287,"&gt;0")&gt;0,DATE($B$1,8,1)=DATE(YEAR(TODAY()),MONTH(TODAY()),1))),1,0))</f>
        <v/>
      </c>
      <c r="X287">
        <f>IF($A287="","",IF(AND($B287&gt;0,K287&lt;$B287,DATE($B$1,9,1)&lt;=TODAY(),OR($O287="",$O287&gt;=DATE($B$1,9,1)),OR(COUNTIF($C287:K287,"&gt;0")&gt;0,DATE($B$1,9,1)=DATE(YEAR(TODAY()),MONTH(TODAY()),1))),1,0))</f>
        <v/>
      </c>
      <c r="Y287">
        <f>IF($A287="","",IF(AND($B287&gt;0,L287&lt;$B287,DATE($B$1,10,1)&lt;=TODAY(),OR($O287="",$O287&gt;=DATE($B$1,10,1)),OR(COUNTIF($C287:L287,"&gt;0")&gt;0,DATE($B$1,10,1)=DATE(YEAR(TODAY()),MONTH(TODAY()),1))),1,0))</f>
        <v/>
      </c>
      <c r="Z287">
        <f>IF($A287="","",IF(AND($B287&gt;0,M287&lt;$B287,DATE($B$1,11,1)&lt;=TODAY(),OR($O287="",$O287&gt;=DATE($B$1,11,1)),OR(COUNTIF($C287:M287,"&gt;0")&gt;0,DATE($B$1,11,1)=DATE(YEAR(TODAY()),MONTH(TODAY()),1))),1,0))</f>
        <v/>
      </c>
      <c r="AA287">
        <f>IF($A287="","",IF(AND($B287&gt;0,N287&lt;$B287,DATE($B$1,12,1)&lt;=TODAY(),OR($O287="",$O287&gt;=DATE($B$1,12,1)),OR(COUNTIF($C287:N287,"&gt;0")&gt;0,DATE($B$1,12,1)=DATE(YEAR(TODAY()),MONTH(TODAY()),1))),1,0))</f>
        <v/>
      </c>
    </row>
    <row r="288">
      <c r="A288" s="13">
        <f>IF(원생!$A286="","",원생!$A286&amp;IF(원생!$G286="",""," ("&amp;원생!$G286&amp;")"))</f>
        <v/>
      </c>
      <c r="B288" s="8">
        <f>IF(원생!$A286="","",원생!$F286)</f>
        <v/>
      </c>
      <c r="C288" s="14">
        <f>IF(원생!$A286="","",SUMIFS(수납!$F:$F,수납!$C:$C,원생!$A286,수납!$D:$D,IF(원생!$G286="","",원생!$G286),수납!$B:$B,$B$1&amp;"-"&amp;TEXT(1,"00")&amp;"*",수납!$E:$E,"수강료")+SUMIFS(수납!$F:$F,수납!$C:$C,원생!$A286,수납!$D:$D,IF(원생!$G286="","",원생!$G286),수납!$B:$B,$B$1&amp;"-"&amp;TEXT(1,"00")&amp;"*",수납!$E:$E,""))</f>
        <v/>
      </c>
      <c r="D288" s="14">
        <f>IF(원생!$A286="","",SUMIFS(수납!$F:$F,수납!$C:$C,원생!$A286,수납!$D:$D,IF(원생!$G286="","",원생!$G286),수납!$B:$B,$B$1&amp;"-"&amp;TEXT(2,"00")&amp;"*",수납!$E:$E,"수강료")+SUMIFS(수납!$F:$F,수납!$C:$C,원생!$A286,수납!$D:$D,IF(원생!$G286="","",원생!$G286),수납!$B:$B,$B$1&amp;"-"&amp;TEXT(2,"00")&amp;"*",수납!$E:$E,""))</f>
        <v/>
      </c>
      <c r="E288" s="14">
        <f>IF(원생!$A286="","",SUMIFS(수납!$F:$F,수납!$C:$C,원생!$A286,수납!$D:$D,IF(원생!$G286="","",원생!$G286),수납!$B:$B,$B$1&amp;"-"&amp;TEXT(3,"00")&amp;"*",수납!$E:$E,"수강료")+SUMIFS(수납!$F:$F,수납!$C:$C,원생!$A286,수납!$D:$D,IF(원생!$G286="","",원생!$G286),수납!$B:$B,$B$1&amp;"-"&amp;TEXT(3,"00")&amp;"*",수납!$E:$E,""))</f>
        <v/>
      </c>
      <c r="F288" s="14">
        <f>IF(원생!$A286="","",SUMIFS(수납!$F:$F,수납!$C:$C,원생!$A286,수납!$D:$D,IF(원생!$G286="","",원생!$G286),수납!$B:$B,$B$1&amp;"-"&amp;TEXT(4,"00")&amp;"*",수납!$E:$E,"수강료")+SUMIFS(수납!$F:$F,수납!$C:$C,원생!$A286,수납!$D:$D,IF(원생!$G286="","",원생!$G286),수납!$B:$B,$B$1&amp;"-"&amp;TEXT(4,"00")&amp;"*",수납!$E:$E,""))</f>
        <v/>
      </c>
      <c r="G288" s="14">
        <f>IF(원생!$A286="","",SUMIFS(수납!$F:$F,수납!$C:$C,원생!$A286,수납!$D:$D,IF(원생!$G286="","",원생!$G286),수납!$B:$B,$B$1&amp;"-"&amp;TEXT(5,"00")&amp;"*",수납!$E:$E,"수강료")+SUMIFS(수납!$F:$F,수납!$C:$C,원생!$A286,수납!$D:$D,IF(원생!$G286="","",원생!$G286),수납!$B:$B,$B$1&amp;"-"&amp;TEXT(5,"00")&amp;"*",수납!$E:$E,""))</f>
        <v/>
      </c>
      <c r="H288" s="14">
        <f>IF(원생!$A286="","",SUMIFS(수납!$F:$F,수납!$C:$C,원생!$A286,수납!$D:$D,IF(원생!$G286="","",원생!$G286),수납!$B:$B,$B$1&amp;"-"&amp;TEXT(6,"00")&amp;"*",수납!$E:$E,"수강료")+SUMIFS(수납!$F:$F,수납!$C:$C,원생!$A286,수납!$D:$D,IF(원생!$G286="","",원생!$G286),수납!$B:$B,$B$1&amp;"-"&amp;TEXT(6,"00")&amp;"*",수납!$E:$E,""))</f>
        <v/>
      </c>
      <c r="I288" s="14">
        <f>IF(원생!$A286="","",SUMIFS(수납!$F:$F,수납!$C:$C,원생!$A286,수납!$D:$D,IF(원생!$G286="","",원생!$G286),수납!$B:$B,$B$1&amp;"-"&amp;TEXT(7,"00")&amp;"*",수납!$E:$E,"수강료")+SUMIFS(수납!$F:$F,수납!$C:$C,원생!$A286,수납!$D:$D,IF(원생!$G286="","",원생!$G286),수납!$B:$B,$B$1&amp;"-"&amp;TEXT(7,"00")&amp;"*",수납!$E:$E,""))</f>
        <v/>
      </c>
      <c r="J288" s="14">
        <f>IF(원생!$A286="","",SUMIFS(수납!$F:$F,수납!$C:$C,원생!$A286,수납!$D:$D,IF(원생!$G286="","",원생!$G286),수납!$B:$B,$B$1&amp;"-"&amp;TEXT(8,"00")&amp;"*",수납!$E:$E,"수강료")+SUMIFS(수납!$F:$F,수납!$C:$C,원생!$A286,수납!$D:$D,IF(원생!$G286="","",원생!$G286),수납!$B:$B,$B$1&amp;"-"&amp;TEXT(8,"00")&amp;"*",수납!$E:$E,""))</f>
        <v/>
      </c>
      <c r="K288" s="14">
        <f>IF(원생!$A286="","",SUMIFS(수납!$F:$F,수납!$C:$C,원생!$A286,수납!$D:$D,IF(원생!$G286="","",원생!$G286),수납!$B:$B,$B$1&amp;"-"&amp;TEXT(9,"00")&amp;"*",수납!$E:$E,"수강료")+SUMIFS(수납!$F:$F,수납!$C:$C,원생!$A286,수납!$D:$D,IF(원생!$G286="","",원생!$G286),수납!$B:$B,$B$1&amp;"-"&amp;TEXT(9,"00")&amp;"*",수납!$E:$E,""))</f>
        <v/>
      </c>
      <c r="L288" s="14">
        <f>IF(원생!$A286="","",SUMIFS(수납!$F:$F,수납!$C:$C,원생!$A286,수납!$D:$D,IF(원생!$G286="","",원생!$G286),수납!$B:$B,$B$1&amp;"-"&amp;TEXT(10,"00")&amp;"*",수납!$E:$E,"수강료")+SUMIFS(수납!$F:$F,수납!$C:$C,원생!$A286,수납!$D:$D,IF(원생!$G286="","",원생!$G286),수납!$B:$B,$B$1&amp;"-"&amp;TEXT(10,"00")&amp;"*",수납!$E:$E,""))</f>
        <v/>
      </c>
      <c r="M288" s="14">
        <f>IF(원생!$A286="","",SUMIFS(수납!$F:$F,수납!$C:$C,원생!$A286,수납!$D:$D,IF(원생!$G286="","",원생!$G286),수납!$B:$B,$B$1&amp;"-"&amp;TEXT(11,"00")&amp;"*",수납!$E:$E,"수강료")+SUMIFS(수납!$F:$F,수납!$C:$C,원생!$A286,수납!$D:$D,IF(원생!$G286="","",원생!$G286),수납!$B:$B,$B$1&amp;"-"&amp;TEXT(11,"00")&amp;"*",수납!$E:$E,""))</f>
        <v/>
      </c>
      <c r="N288" s="14">
        <f>IF(원생!$A286="","",SUMIFS(수납!$F:$F,수납!$C:$C,원생!$A286,수납!$D:$D,IF(원생!$G286="","",원생!$G286),수납!$B:$B,$B$1&amp;"-"&amp;TEXT(12,"00")&amp;"*",수납!$E:$E,"수강료")+SUMIFS(수납!$F:$F,수납!$C:$C,원생!$A286,수납!$D:$D,IF(원생!$G286="","",원생!$G286),수납!$B:$B,$B$1&amp;"-"&amp;TEXT(12,"00")&amp;"*",수납!$E:$E,""))</f>
        <v/>
      </c>
      <c r="O288">
        <f>IF(원생!$I286="","",원생!$I286)</f>
        <v/>
      </c>
      <c r="P288">
        <f>IF($A288="","",IF(AND($B288&gt;0,C288&lt;$B288,DATE($B$1,1,1)&lt;=TODAY(),OR($O288="",$O288&gt;=DATE($B$1,1,1)),OR(COUNTIF($C288:C288,"&gt;0")&gt;0,DATE($B$1,1,1)=DATE(YEAR(TODAY()),MONTH(TODAY()),1))),1,0))</f>
        <v/>
      </c>
      <c r="Q288">
        <f>IF($A288="","",IF(AND($B288&gt;0,D288&lt;$B288,DATE($B$1,2,1)&lt;=TODAY(),OR($O288="",$O288&gt;=DATE($B$1,2,1)),OR(COUNTIF($C288:D288,"&gt;0")&gt;0,DATE($B$1,2,1)=DATE(YEAR(TODAY()),MONTH(TODAY()),1))),1,0))</f>
        <v/>
      </c>
      <c r="R288">
        <f>IF($A288="","",IF(AND($B288&gt;0,E288&lt;$B288,DATE($B$1,3,1)&lt;=TODAY(),OR($O288="",$O288&gt;=DATE($B$1,3,1)),OR(COUNTIF($C288:E288,"&gt;0")&gt;0,DATE($B$1,3,1)=DATE(YEAR(TODAY()),MONTH(TODAY()),1))),1,0))</f>
        <v/>
      </c>
      <c r="S288">
        <f>IF($A288="","",IF(AND($B288&gt;0,F288&lt;$B288,DATE($B$1,4,1)&lt;=TODAY(),OR($O288="",$O288&gt;=DATE($B$1,4,1)),OR(COUNTIF($C288:F288,"&gt;0")&gt;0,DATE($B$1,4,1)=DATE(YEAR(TODAY()),MONTH(TODAY()),1))),1,0))</f>
        <v/>
      </c>
      <c r="T288">
        <f>IF($A288="","",IF(AND($B288&gt;0,G288&lt;$B288,DATE($B$1,5,1)&lt;=TODAY(),OR($O288="",$O288&gt;=DATE($B$1,5,1)),OR(COUNTIF($C288:G288,"&gt;0")&gt;0,DATE($B$1,5,1)=DATE(YEAR(TODAY()),MONTH(TODAY()),1))),1,0))</f>
        <v/>
      </c>
      <c r="U288">
        <f>IF($A288="","",IF(AND($B288&gt;0,H288&lt;$B288,DATE($B$1,6,1)&lt;=TODAY(),OR($O288="",$O288&gt;=DATE($B$1,6,1)),OR(COUNTIF($C288:H288,"&gt;0")&gt;0,DATE($B$1,6,1)=DATE(YEAR(TODAY()),MONTH(TODAY()),1))),1,0))</f>
        <v/>
      </c>
      <c r="V288">
        <f>IF($A288="","",IF(AND($B288&gt;0,I288&lt;$B288,DATE($B$1,7,1)&lt;=TODAY(),OR($O288="",$O288&gt;=DATE($B$1,7,1)),OR(COUNTIF($C288:I288,"&gt;0")&gt;0,DATE($B$1,7,1)=DATE(YEAR(TODAY()),MONTH(TODAY()),1))),1,0))</f>
        <v/>
      </c>
      <c r="W288">
        <f>IF($A288="","",IF(AND($B288&gt;0,J288&lt;$B288,DATE($B$1,8,1)&lt;=TODAY(),OR($O288="",$O288&gt;=DATE($B$1,8,1)),OR(COUNTIF($C288:J288,"&gt;0")&gt;0,DATE($B$1,8,1)=DATE(YEAR(TODAY()),MONTH(TODAY()),1))),1,0))</f>
        <v/>
      </c>
      <c r="X288">
        <f>IF($A288="","",IF(AND($B288&gt;0,K288&lt;$B288,DATE($B$1,9,1)&lt;=TODAY(),OR($O288="",$O288&gt;=DATE($B$1,9,1)),OR(COUNTIF($C288:K288,"&gt;0")&gt;0,DATE($B$1,9,1)=DATE(YEAR(TODAY()),MONTH(TODAY()),1))),1,0))</f>
        <v/>
      </c>
      <c r="Y288">
        <f>IF($A288="","",IF(AND($B288&gt;0,L288&lt;$B288,DATE($B$1,10,1)&lt;=TODAY(),OR($O288="",$O288&gt;=DATE($B$1,10,1)),OR(COUNTIF($C288:L288,"&gt;0")&gt;0,DATE($B$1,10,1)=DATE(YEAR(TODAY()),MONTH(TODAY()),1))),1,0))</f>
        <v/>
      </c>
      <c r="Z288">
        <f>IF($A288="","",IF(AND($B288&gt;0,M288&lt;$B288,DATE($B$1,11,1)&lt;=TODAY(),OR($O288="",$O288&gt;=DATE($B$1,11,1)),OR(COUNTIF($C288:M288,"&gt;0")&gt;0,DATE($B$1,11,1)=DATE(YEAR(TODAY()),MONTH(TODAY()),1))),1,0))</f>
        <v/>
      </c>
      <c r="AA288">
        <f>IF($A288="","",IF(AND($B288&gt;0,N288&lt;$B288,DATE($B$1,12,1)&lt;=TODAY(),OR($O288="",$O288&gt;=DATE($B$1,12,1)),OR(COUNTIF($C288:N288,"&gt;0")&gt;0,DATE($B$1,12,1)=DATE(YEAR(TODAY()),MONTH(TODAY()),1))),1,0))</f>
        <v/>
      </c>
    </row>
    <row r="289">
      <c r="A289" s="13">
        <f>IF(원생!$A287="","",원생!$A287&amp;IF(원생!$G287="",""," ("&amp;원생!$G287&amp;")"))</f>
        <v/>
      </c>
      <c r="B289" s="8">
        <f>IF(원생!$A287="","",원생!$F287)</f>
        <v/>
      </c>
      <c r="C289" s="14">
        <f>IF(원생!$A287="","",SUMIFS(수납!$F:$F,수납!$C:$C,원생!$A287,수납!$D:$D,IF(원생!$G287="","",원생!$G287),수납!$B:$B,$B$1&amp;"-"&amp;TEXT(1,"00")&amp;"*",수납!$E:$E,"수강료")+SUMIFS(수납!$F:$F,수납!$C:$C,원생!$A287,수납!$D:$D,IF(원생!$G287="","",원생!$G287),수납!$B:$B,$B$1&amp;"-"&amp;TEXT(1,"00")&amp;"*",수납!$E:$E,""))</f>
        <v/>
      </c>
      <c r="D289" s="14">
        <f>IF(원생!$A287="","",SUMIFS(수납!$F:$F,수납!$C:$C,원생!$A287,수납!$D:$D,IF(원생!$G287="","",원생!$G287),수납!$B:$B,$B$1&amp;"-"&amp;TEXT(2,"00")&amp;"*",수납!$E:$E,"수강료")+SUMIFS(수납!$F:$F,수납!$C:$C,원생!$A287,수납!$D:$D,IF(원생!$G287="","",원생!$G287),수납!$B:$B,$B$1&amp;"-"&amp;TEXT(2,"00")&amp;"*",수납!$E:$E,""))</f>
        <v/>
      </c>
      <c r="E289" s="14">
        <f>IF(원생!$A287="","",SUMIFS(수납!$F:$F,수납!$C:$C,원생!$A287,수납!$D:$D,IF(원생!$G287="","",원생!$G287),수납!$B:$B,$B$1&amp;"-"&amp;TEXT(3,"00")&amp;"*",수납!$E:$E,"수강료")+SUMIFS(수납!$F:$F,수납!$C:$C,원생!$A287,수납!$D:$D,IF(원생!$G287="","",원생!$G287),수납!$B:$B,$B$1&amp;"-"&amp;TEXT(3,"00")&amp;"*",수납!$E:$E,""))</f>
        <v/>
      </c>
      <c r="F289" s="14">
        <f>IF(원생!$A287="","",SUMIFS(수납!$F:$F,수납!$C:$C,원생!$A287,수납!$D:$D,IF(원생!$G287="","",원생!$G287),수납!$B:$B,$B$1&amp;"-"&amp;TEXT(4,"00")&amp;"*",수납!$E:$E,"수강료")+SUMIFS(수납!$F:$F,수납!$C:$C,원생!$A287,수납!$D:$D,IF(원생!$G287="","",원생!$G287),수납!$B:$B,$B$1&amp;"-"&amp;TEXT(4,"00")&amp;"*",수납!$E:$E,""))</f>
        <v/>
      </c>
      <c r="G289" s="14">
        <f>IF(원생!$A287="","",SUMIFS(수납!$F:$F,수납!$C:$C,원생!$A287,수납!$D:$D,IF(원생!$G287="","",원생!$G287),수납!$B:$B,$B$1&amp;"-"&amp;TEXT(5,"00")&amp;"*",수납!$E:$E,"수강료")+SUMIFS(수납!$F:$F,수납!$C:$C,원생!$A287,수납!$D:$D,IF(원생!$G287="","",원생!$G287),수납!$B:$B,$B$1&amp;"-"&amp;TEXT(5,"00")&amp;"*",수납!$E:$E,""))</f>
        <v/>
      </c>
      <c r="H289" s="14">
        <f>IF(원생!$A287="","",SUMIFS(수납!$F:$F,수납!$C:$C,원생!$A287,수납!$D:$D,IF(원생!$G287="","",원생!$G287),수납!$B:$B,$B$1&amp;"-"&amp;TEXT(6,"00")&amp;"*",수납!$E:$E,"수강료")+SUMIFS(수납!$F:$F,수납!$C:$C,원생!$A287,수납!$D:$D,IF(원생!$G287="","",원생!$G287),수납!$B:$B,$B$1&amp;"-"&amp;TEXT(6,"00")&amp;"*",수납!$E:$E,""))</f>
        <v/>
      </c>
      <c r="I289" s="14">
        <f>IF(원생!$A287="","",SUMIFS(수납!$F:$F,수납!$C:$C,원생!$A287,수납!$D:$D,IF(원생!$G287="","",원생!$G287),수납!$B:$B,$B$1&amp;"-"&amp;TEXT(7,"00")&amp;"*",수납!$E:$E,"수강료")+SUMIFS(수납!$F:$F,수납!$C:$C,원생!$A287,수납!$D:$D,IF(원생!$G287="","",원생!$G287),수납!$B:$B,$B$1&amp;"-"&amp;TEXT(7,"00")&amp;"*",수납!$E:$E,""))</f>
        <v/>
      </c>
      <c r="J289" s="14">
        <f>IF(원생!$A287="","",SUMIFS(수납!$F:$F,수납!$C:$C,원생!$A287,수납!$D:$D,IF(원생!$G287="","",원생!$G287),수납!$B:$B,$B$1&amp;"-"&amp;TEXT(8,"00")&amp;"*",수납!$E:$E,"수강료")+SUMIFS(수납!$F:$F,수납!$C:$C,원생!$A287,수납!$D:$D,IF(원생!$G287="","",원생!$G287),수납!$B:$B,$B$1&amp;"-"&amp;TEXT(8,"00")&amp;"*",수납!$E:$E,""))</f>
        <v/>
      </c>
      <c r="K289" s="14">
        <f>IF(원생!$A287="","",SUMIFS(수납!$F:$F,수납!$C:$C,원생!$A287,수납!$D:$D,IF(원생!$G287="","",원생!$G287),수납!$B:$B,$B$1&amp;"-"&amp;TEXT(9,"00")&amp;"*",수납!$E:$E,"수강료")+SUMIFS(수납!$F:$F,수납!$C:$C,원생!$A287,수납!$D:$D,IF(원생!$G287="","",원생!$G287),수납!$B:$B,$B$1&amp;"-"&amp;TEXT(9,"00")&amp;"*",수납!$E:$E,""))</f>
        <v/>
      </c>
      <c r="L289" s="14">
        <f>IF(원생!$A287="","",SUMIFS(수납!$F:$F,수납!$C:$C,원생!$A287,수납!$D:$D,IF(원생!$G287="","",원생!$G287),수납!$B:$B,$B$1&amp;"-"&amp;TEXT(10,"00")&amp;"*",수납!$E:$E,"수강료")+SUMIFS(수납!$F:$F,수납!$C:$C,원생!$A287,수납!$D:$D,IF(원생!$G287="","",원생!$G287),수납!$B:$B,$B$1&amp;"-"&amp;TEXT(10,"00")&amp;"*",수납!$E:$E,""))</f>
        <v/>
      </c>
      <c r="M289" s="14">
        <f>IF(원생!$A287="","",SUMIFS(수납!$F:$F,수납!$C:$C,원생!$A287,수납!$D:$D,IF(원생!$G287="","",원생!$G287),수납!$B:$B,$B$1&amp;"-"&amp;TEXT(11,"00")&amp;"*",수납!$E:$E,"수강료")+SUMIFS(수납!$F:$F,수납!$C:$C,원생!$A287,수납!$D:$D,IF(원생!$G287="","",원생!$G287),수납!$B:$B,$B$1&amp;"-"&amp;TEXT(11,"00")&amp;"*",수납!$E:$E,""))</f>
        <v/>
      </c>
      <c r="N289" s="14">
        <f>IF(원생!$A287="","",SUMIFS(수납!$F:$F,수납!$C:$C,원생!$A287,수납!$D:$D,IF(원생!$G287="","",원생!$G287),수납!$B:$B,$B$1&amp;"-"&amp;TEXT(12,"00")&amp;"*",수납!$E:$E,"수강료")+SUMIFS(수납!$F:$F,수납!$C:$C,원생!$A287,수납!$D:$D,IF(원생!$G287="","",원생!$G287),수납!$B:$B,$B$1&amp;"-"&amp;TEXT(12,"00")&amp;"*",수납!$E:$E,""))</f>
        <v/>
      </c>
      <c r="O289">
        <f>IF(원생!$I287="","",원생!$I287)</f>
        <v/>
      </c>
      <c r="P289">
        <f>IF($A289="","",IF(AND($B289&gt;0,C289&lt;$B289,DATE($B$1,1,1)&lt;=TODAY(),OR($O289="",$O289&gt;=DATE($B$1,1,1)),OR(COUNTIF($C289:C289,"&gt;0")&gt;0,DATE($B$1,1,1)=DATE(YEAR(TODAY()),MONTH(TODAY()),1))),1,0))</f>
        <v/>
      </c>
      <c r="Q289">
        <f>IF($A289="","",IF(AND($B289&gt;0,D289&lt;$B289,DATE($B$1,2,1)&lt;=TODAY(),OR($O289="",$O289&gt;=DATE($B$1,2,1)),OR(COUNTIF($C289:D289,"&gt;0")&gt;0,DATE($B$1,2,1)=DATE(YEAR(TODAY()),MONTH(TODAY()),1))),1,0))</f>
        <v/>
      </c>
      <c r="R289">
        <f>IF($A289="","",IF(AND($B289&gt;0,E289&lt;$B289,DATE($B$1,3,1)&lt;=TODAY(),OR($O289="",$O289&gt;=DATE($B$1,3,1)),OR(COUNTIF($C289:E289,"&gt;0")&gt;0,DATE($B$1,3,1)=DATE(YEAR(TODAY()),MONTH(TODAY()),1))),1,0))</f>
        <v/>
      </c>
      <c r="S289">
        <f>IF($A289="","",IF(AND($B289&gt;0,F289&lt;$B289,DATE($B$1,4,1)&lt;=TODAY(),OR($O289="",$O289&gt;=DATE($B$1,4,1)),OR(COUNTIF($C289:F289,"&gt;0")&gt;0,DATE($B$1,4,1)=DATE(YEAR(TODAY()),MONTH(TODAY()),1))),1,0))</f>
        <v/>
      </c>
      <c r="T289">
        <f>IF($A289="","",IF(AND($B289&gt;0,G289&lt;$B289,DATE($B$1,5,1)&lt;=TODAY(),OR($O289="",$O289&gt;=DATE($B$1,5,1)),OR(COUNTIF($C289:G289,"&gt;0")&gt;0,DATE($B$1,5,1)=DATE(YEAR(TODAY()),MONTH(TODAY()),1))),1,0))</f>
        <v/>
      </c>
      <c r="U289">
        <f>IF($A289="","",IF(AND($B289&gt;0,H289&lt;$B289,DATE($B$1,6,1)&lt;=TODAY(),OR($O289="",$O289&gt;=DATE($B$1,6,1)),OR(COUNTIF($C289:H289,"&gt;0")&gt;0,DATE($B$1,6,1)=DATE(YEAR(TODAY()),MONTH(TODAY()),1))),1,0))</f>
        <v/>
      </c>
      <c r="V289">
        <f>IF($A289="","",IF(AND($B289&gt;0,I289&lt;$B289,DATE($B$1,7,1)&lt;=TODAY(),OR($O289="",$O289&gt;=DATE($B$1,7,1)),OR(COUNTIF($C289:I289,"&gt;0")&gt;0,DATE($B$1,7,1)=DATE(YEAR(TODAY()),MONTH(TODAY()),1))),1,0))</f>
        <v/>
      </c>
      <c r="W289">
        <f>IF($A289="","",IF(AND($B289&gt;0,J289&lt;$B289,DATE($B$1,8,1)&lt;=TODAY(),OR($O289="",$O289&gt;=DATE($B$1,8,1)),OR(COUNTIF($C289:J289,"&gt;0")&gt;0,DATE($B$1,8,1)=DATE(YEAR(TODAY()),MONTH(TODAY()),1))),1,0))</f>
        <v/>
      </c>
      <c r="X289">
        <f>IF($A289="","",IF(AND($B289&gt;0,K289&lt;$B289,DATE($B$1,9,1)&lt;=TODAY(),OR($O289="",$O289&gt;=DATE($B$1,9,1)),OR(COUNTIF($C289:K289,"&gt;0")&gt;0,DATE($B$1,9,1)=DATE(YEAR(TODAY()),MONTH(TODAY()),1))),1,0))</f>
        <v/>
      </c>
      <c r="Y289">
        <f>IF($A289="","",IF(AND($B289&gt;0,L289&lt;$B289,DATE($B$1,10,1)&lt;=TODAY(),OR($O289="",$O289&gt;=DATE($B$1,10,1)),OR(COUNTIF($C289:L289,"&gt;0")&gt;0,DATE($B$1,10,1)=DATE(YEAR(TODAY()),MONTH(TODAY()),1))),1,0))</f>
        <v/>
      </c>
      <c r="Z289">
        <f>IF($A289="","",IF(AND($B289&gt;0,M289&lt;$B289,DATE($B$1,11,1)&lt;=TODAY(),OR($O289="",$O289&gt;=DATE($B$1,11,1)),OR(COUNTIF($C289:M289,"&gt;0")&gt;0,DATE($B$1,11,1)=DATE(YEAR(TODAY()),MONTH(TODAY()),1))),1,0))</f>
        <v/>
      </c>
      <c r="AA289">
        <f>IF($A289="","",IF(AND($B289&gt;0,N289&lt;$B289,DATE($B$1,12,1)&lt;=TODAY(),OR($O289="",$O289&gt;=DATE($B$1,12,1)),OR(COUNTIF($C289:N289,"&gt;0")&gt;0,DATE($B$1,12,1)=DATE(YEAR(TODAY()),MONTH(TODAY()),1))),1,0))</f>
        <v/>
      </c>
    </row>
    <row r="290">
      <c r="A290" s="13">
        <f>IF(원생!$A288="","",원생!$A288&amp;IF(원생!$G288="",""," ("&amp;원생!$G288&amp;")"))</f>
        <v/>
      </c>
      <c r="B290" s="8">
        <f>IF(원생!$A288="","",원생!$F288)</f>
        <v/>
      </c>
      <c r="C290" s="14">
        <f>IF(원생!$A288="","",SUMIFS(수납!$F:$F,수납!$C:$C,원생!$A288,수납!$D:$D,IF(원생!$G288="","",원생!$G288),수납!$B:$B,$B$1&amp;"-"&amp;TEXT(1,"00")&amp;"*",수납!$E:$E,"수강료")+SUMIFS(수납!$F:$F,수납!$C:$C,원생!$A288,수납!$D:$D,IF(원생!$G288="","",원생!$G288),수납!$B:$B,$B$1&amp;"-"&amp;TEXT(1,"00")&amp;"*",수납!$E:$E,""))</f>
        <v/>
      </c>
      <c r="D290" s="14">
        <f>IF(원생!$A288="","",SUMIFS(수납!$F:$F,수납!$C:$C,원생!$A288,수납!$D:$D,IF(원생!$G288="","",원생!$G288),수납!$B:$B,$B$1&amp;"-"&amp;TEXT(2,"00")&amp;"*",수납!$E:$E,"수강료")+SUMIFS(수납!$F:$F,수납!$C:$C,원생!$A288,수납!$D:$D,IF(원생!$G288="","",원생!$G288),수납!$B:$B,$B$1&amp;"-"&amp;TEXT(2,"00")&amp;"*",수납!$E:$E,""))</f>
        <v/>
      </c>
      <c r="E290" s="14">
        <f>IF(원생!$A288="","",SUMIFS(수납!$F:$F,수납!$C:$C,원생!$A288,수납!$D:$D,IF(원생!$G288="","",원생!$G288),수납!$B:$B,$B$1&amp;"-"&amp;TEXT(3,"00")&amp;"*",수납!$E:$E,"수강료")+SUMIFS(수납!$F:$F,수납!$C:$C,원생!$A288,수납!$D:$D,IF(원생!$G288="","",원생!$G288),수납!$B:$B,$B$1&amp;"-"&amp;TEXT(3,"00")&amp;"*",수납!$E:$E,""))</f>
        <v/>
      </c>
      <c r="F290" s="14">
        <f>IF(원생!$A288="","",SUMIFS(수납!$F:$F,수납!$C:$C,원생!$A288,수납!$D:$D,IF(원생!$G288="","",원생!$G288),수납!$B:$B,$B$1&amp;"-"&amp;TEXT(4,"00")&amp;"*",수납!$E:$E,"수강료")+SUMIFS(수납!$F:$F,수납!$C:$C,원생!$A288,수납!$D:$D,IF(원생!$G288="","",원생!$G288),수납!$B:$B,$B$1&amp;"-"&amp;TEXT(4,"00")&amp;"*",수납!$E:$E,""))</f>
        <v/>
      </c>
      <c r="G290" s="14">
        <f>IF(원생!$A288="","",SUMIFS(수납!$F:$F,수납!$C:$C,원생!$A288,수납!$D:$D,IF(원생!$G288="","",원생!$G288),수납!$B:$B,$B$1&amp;"-"&amp;TEXT(5,"00")&amp;"*",수납!$E:$E,"수강료")+SUMIFS(수납!$F:$F,수납!$C:$C,원생!$A288,수납!$D:$D,IF(원생!$G288="","",원생!$G288),수납!$B:$B,$B$1&amp;"-"&amp;TEXT(5,"00")&amp;"*",수납!$E:$E,""))</f>
        <v/>
      </c>
      <c r="H290" s="14">
        <f>IF(원생!$A288="","",SUMIFS(수납!$F:$F,수납!$C:$C,원생!$A288,수납!$D:$D,IF(원생!$G288="","",원생!$G288),수납!$B:$B,$B$1&amp;"-"&amp;TEXT(6,"00")&amp;"*",수납!$E:$E,"수강료")+SUMIFS(수납!$F:$F,수납!$C:$C,원생!$A288,수납!$D:$D,IF(원생!$G288="","",원생!$G288),수납!$B:$B,$B$1&amp;"-"&amp;TEXT(6,"00")&amp;"*",수납!$E:$E,""))</f>
        <v/>
      </c>
      <c r="I290" s="14">
        <f>IF(원생!$A288="","",SUMIFS(수납!$F:$F,수납!$C:$C,원생!$A288,수납!$D:$D,IF(원생!$G288="","",원생!$G288),수납!$B:$B,$B$1&amp;"-"&amp;TEXT(7,"00")&amp;"*",수납!$E:$E,"수강료")+SUMIFS(수납!$F:$F,수납!$C:$C,원생!$A288,수납!$D:$D,IF(원생!$G288="","",원생!$G288),수납!$B:$B,$B$1&amp;"-"&amp;TEXT(7,"00")&amp;"*",수납!$E:$E,""))</f>
        <v/>
      </c>
      <c r="J290" s="14">
        <f>IF(원생!$A288="","",SUMIFS(수납!$F:$F,수납!$C:$C,원생!$A288,수납!$D:$D,IF(원생!$G288="","",원생!$G288),수납!$B:$B,$B$1&amp;"-"&amp;TEXT(8,"00")&amp;"*",수납!$E:$E,"수강료")+SUMIFS(수납!$F:$F,수납!$C:$C,원생!$A288,수납!$D:$D,IF(원생!$G288="","",원생!$G288),수납!$B:$B,$B$1&amp;"-"&amp;TEXT(8,"00")&amp;"*",수납!$E:$E,""))</f>
        <v/>
      </c>
      <c r="K290" s="14">
        <f>IF(원생!$A288="","",SUMIFS(수납!$F:$F,수납!$C:$C,원생!$A288,수납!$D:$D,IF(원생!$G288="","",원생!$G288),수납!$B:$B,$B$1&amp;"-"&amp;TEXT(9,"00")&amp;"*",수납!$E:$E,"수강료")+SUMIFS(수납!$F:$F,수납!$C:$C,원생!$A288,수납!$D:$D,IF(원생!$G288="","",원생!$G288),수납!$B:$B,$B$1&amp;"-"&amp;TEXT(9,"00")&amp;"*",수납!$E:$E,""))</f>
        <v/>
      </c>
      <c r="L290" s="14">
        <f>IF(원생!$A288="","",SUMIFS(수납!$F:$F,수납!$C:$C,원생!$A288,수납!$D:$D,IF(원생!$G288="","",원생!$G288),수납!$B:$B,$B$1&amp;"-"&amp;TEXT(10,"00")&amp;"*",수납!$E:$E,"수강료")+SUMIFS(수납!$F:$F,수납!$C:$C,원생!$A288,수납!$D:$D,IF(원생!$G288="","",원생!$G288),수납!$B:$B,$B$1&amp;"-"&amp;TEXT(10,"00")&amp;"*",수납!$E:$E,""))</f>
        <v/>
      </c>
      <c r="M290" s="14">
        <f>IF(원생!$A288="","",SUMIFS(수납!$F:$F,수납!$C:$C,원생!$A288,수납!$D:$D,IF(원생!$G288="","",원생!$G288),수납!$B:$B,$B$1&amp;"-"&amp;TEXT(11,"00")&amp;"*",수납!$E:$E,"수강료")+SUMIFS(수납!$F:$F,수납!$C:$C,원생!$A288,수납!$D:$D,IF(원생!$G288="","",원생!$G288),수납!$B:$B,$B$1&amp;"-"&amp;TEXT(11,"00")&amp;"*",수납!$E:$E,""))</f>
        <v/>
      </c>
      <c r="N290" s="14">
        <f>IF(원생!$A288="","",SUMIFS(수납!$F:$F,수납!$C:$C,원생!$A288,수납!$D:$D,IF(원생!$G288="","",원생!$G288),수납!$B:$B,$B$1&amp;"-"&amp;TEXT(12,"00")&amp;"*",수납!$E:$E,"수강료")+SUMIFS(수납!$F:$F,수납!$C:$C,원생!$A288,수납!$D:$D,IF(원생!$G288="","",원생!$G288),수납!$B:$B,$B$1&amp;"-"&amp;TEXT(12,"00")&amp;"*",수납!$E:$E,""))</f>
        <v/>
      </c>
      <c r="O290">
        <f>IF(원생!$I288="","",원생!$I288)</f>
        <v/>
      </c>
      <c r="P290">
        <f>IF($A290="","",IF(AND($B290&gt;0,C290&lt;$B290,DATE($B$1,1,1)&lt;=TODAY(),OR($O290="",$O290&gt;=DATE($B$1,1,1)),OR(COUNTIF($C290:C290,"&gt;0")&gt;0,DATE($B$1,1,1)=DATE(YEAR(TODAY()),MONTH(TODAY()),1))),1,0))</f>
        <v/>
      </c>
      <c r="Q290">
        <f>IF($A290="","",IF(AND($B290&gt;0,D290&lt;$B290,DATE($B$1,2,1)&lt;=TODAY(),OR($O290="",$O290&gt;=DATE($B$1,2,1)),OR(COUNTIF($C290:D290,"&gt;0")&gt;0,DATE($B$1,2,1)=DATE(YEAR(TODAY()),MONTH(TODAY()),1))),1,0))</f>
        <v/>
      </c>
      <c r="R290">
        <f>IF($A290="","",IF(AND($B290&gt;0,E290&lt;$B290,DATE($B$1,3,1)&lt;=TODAY(),OR($O290="",$O290&gt;=DATE($B$1,3,1)),OR(COUNTIF($C290:E290,"&gt;0")&gt;0,DATE($B$1,3,1)=DATE(YEAR(TODAY()),MONTH(TODAY()),1))),1,0))</f>
        <v/>
      </c>
      <c r="S290">
        <f>IF($A290="","",IF(AND($B290&gt;0,F290&lt;$B290,DATE($B$1,4,1)&lt;=TODAY(),OR($O290="",$O290&gt;=DATE($B$1,4,1)),OR(COUNTIF($C290:F290,"&gt;0")&gt;0,DATE($B$1,4,1)=DATE(YEAR(TODAY()),MONTH(TODAY()),1))),1,0))</f>
        <v/>
      </c>
      <c r="T290">
        <f>IF($A290="","",IF(AND($B290&gt;0,G290&lt;$B290,DATE($B$1,5,1)&lt;=TODAY(),OR($O290="",$O290&gt;=DATE($B$1,5,1)),OR(COUNTIF($C290:G290,"&gt;0")&gt;0,DATE($B$1,5,1)=DATE(YEAR(TODAY()),MONTH(TODAY()),1))),1,0))</f>
        <v/>
      </c>
      <c r="U290">
        <f>IF($A290="","",IF(AND($B290&gt;0,H290&lt;$B290,DATE($B$1,6,1)&lt;=TODAY(),OR($O290="",$O290&gt;=DATE($B$1,6,1)),OR(COUNTIF($C290:H290,"&gt;0")&gt;0,DATE($B$1,6,1)=DATE(YEAR(TODAY()),MONTH(TODAY()),1))),1,0))</f>
        <v/>
      </c>
      <c r="V290">
        <f>IF($A290="","",IF(AND($B290&gt;0,I290&lt;$B290,DATE($B$1,7,1)&lt;=TODAY(),OR($O290="",$O290&gt;=DATE($B$1,7,1)),OR(COUNTIF($C290:I290,"&gt;0")&gt;0,DATE($B$1,7,1)=DATE(YEAR(TODAY()),MONTH(TODAY()),1))),1,0))</f>
        <v/>
      </c>
      <c r="W290">
        <f>IF($A290="","",IF(AND($B290&gt;0,J290&lt;$B290,DATE($B$1,8,1)&lt;=TODAY(),OR($O290="",$O290&gt;=DATE($B$1,8,1)),OR(COUNTIF($C290:J290,"&gt;0")&gt;0,DATE($B$1,8,1)=DATE(YEAR(TODAY()),MONTH(TODAY()),1))),1,0))</f>
        <v/>
      </c>
      <c r="X290">
        <f>IF($A290="","",IF(AND($B290&gt;0,K290&lt;$B290,DATE($B$1,9,1)&lt;=TODAY(),OR($O290="",$O290&gt;=DATE($B$1,9,1)),OR(COUNTIF($C290:K290,"&gt;0")&gt;0,DATE($B$1,9,1)=DATE(YEAR(TODAY()),MONTH(TODAY()),1))),1,0))</f>
        <v/>
      </c>
      <c r="Y290">
        <f>IF($A290="","",IF(AND($B290&gt;0,L290&lt;$B290,DATE($B$1,10,1)&lt;=TODAY(),OR($O290="",$O290&gt;=DATE($B$1,10,1)),OR(COUNTIF($C290:L290,"&gt;0")&gt;0,DATE($B$1,10,1)=DATE(YEAR(TODAY()),MONTH(TODAY()),1))),1,0))</f>
        <v/>
      </c>
      <c r="Z290">
        <f>IF($A290="","",IF(AND($B290&gt;0,M290&lt;$B290,DATE($B$1,11,1)&lt;=TODAY(),OR($O290="",$O290&gt;=DATE($B$1,11,1)),OR(COUNTIF($C290:M290,"&gt;0")&gt;0,DATE($B$1,11,1)=DATE(YEAR(TODAY()),MONTH(TODAY()),1))),1,0))</f>
        <v/>
      </c>
      <c r="AA290">
        <f>IF($A290="","",IF(AND($B290&gt;0,N290&lt;$B290,DATE($B$1,12,1)&lt;=TODAY(),OR($O290="",$O290&gt;=DATE($B$1,12,1)),OR(COUNTIF($C290:N290,"&gt;0")&gt;0,DATE($B$1,12,1)=DATE(YEAR(TODAY()),MONTH(TODAY()),1))),1,0))</f>
        <v/>
      </c>
    </row>
    <row r="291">
      <c r="A291" s="13">
        <f>IF(원생!$A289="","",원생!$A289&amp;IF(원생!$G289="",""," ("&amp;원생!$G289&amp;")"))</f>
        <v/>
      </c>
      <c r="B291" s="8">
        <f>IF(원생!$A289="","",원생!$F289)</f>
        <v/>
      </c>
      <c r="C291" s="14">
        <f>IF(원생!$A289="","",SUMIFS(수납!$F:$F,수납!$C:$C,원생!$A289,수납!$D:$D,IF(원생!$G289="","",원생!$G289),수납!$B:$B,$B$1&amp;"-"&amp;TEXT(1,"00")&amp;"*",수납!$E:$E,"수강료")+SUMIFS(수납!$F:$F,수납!$C:$C,원생!$A289,수납!$D:$D,IF(원생!$G289="","",원생!$G289),수납!$B:$B,$B$1&amp;"-"&amp;TEXT(1,"00")&amp;"*",수납!$E:$E,""))</f>
        <v/>
      </c>
      <c r="D291" s="14">
        <f>IF(원생!$A289="","",SUMIFS(수납!$F:$F,수납!$C:$C,원생!$A289,수납!$D:$D,IF(원생!$G289="","",원생!$G289),수납!$B:$B,$B$1&amp;"-"&amp;TEXT(2,"00")&amp;"*",수납!$E:$E,"수강료")+SUMIFS(수납!$F:$F,수납!$C:$C,원생!$A289,수납!$D:$D,IF(원생!$G289="","",원생!$G289),수납!$B:$B,$B$1&amp;"-"&amp;TEXT(2,"00")&amp;"*",수납!$E:$E,""))</f>
        <v/>
      </c>
      <c r="E291" s="14">
        <f>IF(원생!$A289="","",SUMIFS(수납!$F:$F,수납!$C:$C,원생!$A289,수납!$D:$D,IF(원생!$G289="","",원생!$G289),수납!$B:$B,$B$1&amp;"-"&amp;TEXT(3,"00")&amp;"*",수납!$E:$E,"수강료")+SUMIFS(수납!$F:$F,수납!$C:$C,원생!$A289,수납!$D:$D,IF(원생!$G289="","",원생!$G289),수납!$B:$B,$B$1&amp;"-"&amp;TEXT(3,"00")&amp;"*",수납!$E:$E,""))</f>
        <v/>
      </c>
      <c r="F291" s="14">
        <f>IF(원생!$A289="","",SUMIFS(수납!$F:$F,수납!$C:$C,원생!$A289,수납!$D:$D,IF(원생!$G289="","",원생!$G289),수납!$B:$B,$B$1&amp;"-"&amp;TEXT(4,"00")&amp;"*",수납!$E:$E,"수강료")+SUMIFS(수납!$F:$F,수납!$C:$C,원생!$A289,수납!$D:$D,IF(원생!$G289="","",원생!$G289),수납!$B:$B,$B$1&amp;"-"&amp;TEXT(4,"00")&amp;"*",수납!$E:$E,""))</f>
        <v/>
      </c>
      <c r="G291" s="14">
        <f>IF(원생!$A289="","",SUMIFS(수납!$F:$F,수납!$C:$C,원생!$A289,수납!$D:$D,IF(원생!$G289="","",원생!$G289),수납!$B:$B,$B$1&amp;"-"&amp;TEXT(5,"00")&amp;"*",수납!$E:$E,"수강료")+SUMIFS(수납!$F:$F,수납!$C:$C,원생!$A289,수납!$D:$D,IF(원생!$G289="","",원생!$G289),수납!$B:$B,$B$1&amp;"-"&amp;TEXT(5,"00")&amp;"*",수납!$E:$E,""))</f>
        <v/>
      </c>
      <c r="H291" s="14">
        <f>IF(원생!$A289="","",SUMIFS(수납!$F:$F,수납!$C:$C,원생!$A289,수납!$D:$D,IF(원생!$G289="","",원생!$G289),수납!$B:$B,$B$1&amp;"-"&amp;TEXT(6,"00")&amp;"*",수납!$E:$E,"수강료")+SUMIFS(수납!$F:$F,수납!$C:$C,원생!$A289,수납!$D:$D,IF(원생!$G289="","",원생!$G289),수납!$B:$B,$B$1&amp;"-"&amp;TEXT(6,"00")&amp;"*",수납!$E:$E,""))</f>
        <v/>
      </c>
      <c r="I291" s="14">
        <f>IF(원생!$A289="","",SUMIFS(수납!$F:$F,수납!$C:$C,원생!$A289,수납!$D:$D,IF(원생!$G289="","",원생!$G289),수납!$B:$B,$B$1&amp;"-"&amp;TEXT(7,"00")&amp;"*",수납!$E:$E,"수강료")+SUMIFS(수납!$F:$F,수납!$C:$C,원생!$A289,수납!$D:$D,IF(원생!$G289="","",원생!$G289),수납!$B:$B,$B$1&amp;"-"&amp;TEXT(7,"00")&amp;"*",수납!$E:$E,""))</f>
        <v/>
      </c>
      <c r="J291" s="14">
        <f>IF(원생!$A289="","",SUMIFS(수납!$F:$F,수납!$C:$C,원생!$A289,수납!$D:$D,IF(원생!$G289="","",원생!$G289),수납!$B:$B,$B$1&amp;"-"&amp;TEXT(8,"00")&amp;"*",수납!$E:$E,"수강료")+SUMIFS(수납!$F:$F,수납!$C:$C,원생!$A289,수납!$D:$D,IF(원생!$G289="","",원생!$G289),수납!$B:$B,$B$1&amp;"-"&amp;TEXT(8,"00")&amp;"*",수납!$E:$E,""))</f>
        <v/>
      </c>
      <c r="K291" s="14">
        <f>IF(원생!$A289="","",SUMIFS(수납!$F:$F,수납!$C:$C,원생!$A289,수납!$D:$D,IF(원생!$G289="","",원생!$G289),수납!$B:$B,$B$1&amp;"-"&amp;TEXT(9,"00")&amp;"*",수납!$E:$E,"수강료")+SUMIFS(수납!$F:$F,수납!$C:$C,원생!$A289,수납!$D:$D,IF(원생!$G289="","",원생!$G289),수납!$B:$B,$B$1&amp;"-"&amp;TEXT(9,"00")&amp;"*",수납!$E:$E,""))</f>
        <v/>
      </c>
      <c r="L291" s="14">
        <f>IF(원생!$A289="","",SUMIFS(수납!$F:$F,수납!$C:$C,원생!$A289,수납!$D:$D,IF(원생!$G289="","",원생!$G289),수납!$B:$B,$B$1&amp;"-"&amp;TEXT(10,"00")&amp;"*",수납!$E:$E,"수강료")+SUMIFS(수납!$F:$F,수납!$C:$C,원생!$A289,수납!$D:$D,IF(원생!$G289="","",원생!$G289),수납!$B:$B,$B$1&amp;"-"&amp;TEXT(10,"00")&amp;"*",수납!$E:$E,""))</f>
        <v/>
      </c>
      <c r="M291" s="14">
        <f>IF(원생!$A289="","",SUMIFS(수납!$F:$F,수납!$C:$C,원생!$A289,수납!$D:$D,IF(원생!$G289="","",원생!$G289),수납!$B:$B,$B$1&amp;"-"&amp;TEXT(11,"00")&amp;"*",수납!$E:$E,"수강료")+SUMIFS(수납!$F:$F,수납!$C:$C,원생!$A289,수납!$D:$D,IF(원생!$G289="","",원생!$G289),수납!$B:$B,$B$1&amp;"-"&amp;TEXT(11,"00")&amp;"*",수납!$E:$E,""))</f>
        <v/>
      </c>
      <c r="N291" s="14">
        <f>IF(원생!$A289="","",SUMIFS(수납!$F:$F,수납!$C:$C,원생!$A289,수납!$D:$D,IF(원생!$G289="","",원생!$G289),수납!$B:$B,$B$1&amp;"-"&amp;TEXT(12,"00")&amp;"*",수납!$E:$E,"수강료")+SUMIFS(수납!$F:$F,수납!$C:$C,원생!$A289,수납!$D:$D,IF(원생!$G289="","",원생!$G289),수납!$B:$B,$B$1&amp;"-"&amp;TEXT(12,"00")&amp;"*",수납!$E:$E,""))</f>
        <v/>
      </c>
      <c r="O291">
        <f>IF(원생!$I289="","",원생!$I289)</f>
        <v/>
      </c>
      <c r="P291">
        <f>IF($A291="","",IF(AND($B291&gt;0,C291&lt;$B291,DATE($B$1,1,1)&lt;=TODAY(),OR($O291="",$O291&gt;=DATE($B$1,1,1)),OR(COUNTIF($C291:C291,"&gt;0")&gt;0,DATE($B$1,1,1)=DATE(YEAR(TODAY()),MONTH(TODAY()),1))),1,0))</f>
        <v/>
      </c>
      <c r="Q291">
        <f>IF($A291="","",IF(AND($B291&gt;0,D291&lt;$B291,DATE($B$1,2,1)&lt;=TODAY(),OR($O291="",$O291&gt;=DATE($B$1,2,1)),OR(COUNTIF($C291:D291,"&gt;0")&gt;0,DATE($B$1,2,1)=DATE(YEAR(TODAY()),MONTH(TODAY()),1))),1,0))</f>
        <v/>
      </c>
      <c r="R291">
        <f>IF($A291="","",IF(AND($B291&gt;0,E291&lt;$B291,DATE($B$1,3,1)&lt;=TODAY(),OR($O291="",$O291&gt;=DATE($B$1,3,1)),OR(COUNTIF($C291:E291,"&gt;0")&gt;0,DATE($B$1,3,1)=DATE(YEAR(TODAY()),MONTH(TODAY()),1))),1,0))</f>
        <v/>
      </c>
      <c r="S291">
        <f>IF($A291="","",IF(AND($B291&gt;0,F291&lt;$B291,DATE($B$1,4,1)&lt;=TODAY(),OR($O291="",$O291&gt;=DATE($B$1,4,1)),OR(COUNTIF($C291:F291,"&gt;0")&gt;0,DATE($B$1,4,1)=DATE(YEAR(TODAY()),MONTH(TODAY()),1))),1,0))</f>
        <v/>
      </c>
      <c r="T291">
        <f>IF($A291="","",IF(AND($B291&gt;0,G291&lt;$B291,DATE($B$1,5,1)&lt;=TODAY(),OR($O291="",$O291&gt;=DATE($B$1,5,1)),OR(COUNTIF($C291:G291,"&gt;0")&gt;0,DATE($B$1,5,1)=DATE(YEAR(TODAY()),MONTH(TODAY()),1))),1,0))</f>
        <v/>
      </c>
      <c r="U291">
        <f>IF($A291="","",IF(AND($B291&gt;0,H291&lt;$B291,DATE($B$1,6,1)&lt;=TODAY(),OR($O291="",$O291&gt;=DATE($B$1,6,1)),OR(COUNTIF($C291:H291,"&gt;0")&gt;0,DATE($B$1,6,1)=DATE(YEAR(TODAY()),MONTH(TODAY()),1))),1,0))</f>
        <v/>
      </c>
      <c r="V291">
        <f>IF($A291="","",IF(AND($B291&gt;0,I291&lt;$B291,DATE($B$1,7,1)&lt;=TODAY(),OR($O291="",$O291&gt;=DATE($B$1,7,1)),OR(COUNTIF($C291:I291,"&gt;0")&gt;0,DATE($B$1,7,1)=DATE(YEAR(TODAY()),MONTH(TODAY()),1))),1,0))</f>
        <v/>
      </c>
      <c r="W291">
        <f>IF($A291="","",IF(AND($B291&gt;0,J291&lt;$B291,DATE($B$1,8,1)&lt;=TODAY(),OR($O291="",$O291&gt;=DATE($B$1,8,1)),OR(COUNTIF($C291:J291,"&gt;0")&gt;0,DATE($B$1,8,1)=DATE(YEAR(TODAY()),MONTH(TODAY()),1))),1,0))</f>
        <v/>
      </c>
      <c r="X291">
        <f>IF($A291="","",IF(AND($B291&gt;0,K291&lt;$B291,DATE($B$1,9,1)&lt;=TODAY(),OR($O291="",$O291&gt;=DATE($B$1,9,1)),OR(COUNTIF($C291:K291,"&gt;0")&gt;0,DATE($B$1,9,1)=DATE(YEAR(TODAY()),MONTH(TODAY()),1))),1,0))</f>
        <v/>
      </c>
      <c r="Y291">
        <f>IF($A291="","",IF(AND($B291&gt;0,L291&lt;$B291,DATE($B$1,10,1)&lt;=TODAY(),OR($O291="",$O291&gt;=DATE($B$1,10,1)),OR(COUNTIF($C291:L291,"&gt;0")&gt;0,DATE($B$1,10,1)=DATE(YEAR(TODAY()),MONTH(TODAY()),1))),1,0))</f>
        <v/>
      </c>
      <c r="Z291">
        <f>IF($A291="","",IF(AND($B291&gt;0,M291&lt;$B291,DATE($B$1,11,1)&lt;=TODAY(),OR($O291="",$O291&gt;=DATE($B$1,11,1)),OR(COUNTIF($C291:M291,"&gt;0")&gt;0,DATE($B$1,11,1)=DATE(YEAR(TODAY()),MONTH(TODAY()),1))),1,0))</f>
        <v/>
      </c>
      <c r="AA291">
        <f>IF($A291="","",IF(AND($B291&gt;0,N291&lt;$B291,DATE($B$1,12,1)&lt;=TODAY(),OR($O291="",$O291&gt;=DATE($B$1,12,1)),OR(COUNTIF($C291:N291,"&gt;0")&gt;0,DATE($B$1,12,1)=DATE(YEAR(TODAY()),MONTH(TODAY()),1))),1,0))</f>
        <v/>
      </c>
    </row>
    <row r="292">
      <c r="A292" s="13">
        <f>IF(원생!$A290="","",원생!$A290&amp;IF(원생!$G290="",""," ("&amp;원생!$G290&amp;")"))</f>
        <v/>
      </c>
      <c r="B292" s="8">
        <f>IF(원생!$A290="","",원생!$F290)</f>
        <v/>
      </c>
      <c r="C292" s="14">
        <f>IF(원생!$A290="","",SUMIFS(수납!$F:$F,수납!$C:$C,원생!$A290,수납!$D:$D,IF(원생!$G290="","",원생!$G290),수납!$B:$B,$B$1&amp;"-"&amp;TEXT(1,"00")&amp;"*",수납!$E:$E,"수강료")+SUMIFS(수납!$F:$F,수납!$C:$C,원생!$A290,수납!$D:$D,IF(원생!$G290="","",원생!$G290),수납!$B:$B,$B$1&amp;"-"&amp;TEXT(1,"00")&amp;"*",수납!$E:$E,""))</f>
        <v/>
      </c>
      <c r="D292" s="14">
        <f>IF(원생!$A290="","",SUMIFS(수납!$F:$F,수납!$C:$C,원생!$A290,수납!$D:$D,IF(원생!$G290="","",원생!$G290),수납!$B:$B,$B$1&amp;"-"&amp;TEXT(2,"00")&amp;"*",수납!$E:$E,"수강료")+SUMIFS(수납!$F:$F,수납!$C:$C,원생!$A290,수납!$D:$D,IF(원생!$G290="","",원생!$G290),수납!$B:$B,$B$1&amp;"-"&amp;TEXT(2,"00")&amp;"*",수납!$E:$E,""))</f>
        <v/>
      </c>
      <c r="E292" s="14">
        <f>IF(원생!$A290="","",SUMIFS(수납!$F:$F,수납!$C:$C,원생!$A290,수납!$D:$D,IF(원생!$G290="","",원생!$G290),수납!$B:$B,$B$1&amp;"-"&amp;TEXT(3,"00")&amp;"*",수납!$E:$E,"수강료")+SUMIFS(수납!$F:$F,수납!$C:$C,원생!$A290,수납!$D:$D,IF(원생!$G290="","",원생!$G290),수납!$B:$B,$B$1&amp;"-"&amp;TEXT(3,"00")&amp;"*",수납!$E:$E,""))</f>
        <v/>
      </c>
      <c r="F292" s="14">
        <f>IF(원생!$A290="","",SUMIFS(수납!$F:$F,수납!$C:$C,원생!$A290,수납!$D:$D,IF(원생!$G290="","",원생!$G290),수납!$B:$B,$B$1&amp;"-"&amp;TEXT(4,"00")&amp;"*",수납!$E:$E,"수강료")+SUMIFS(수납!$F:$F,수납!$C:$C,원생!$A290,수납!$D:$D,IF(원생!$G290="","",원생!$G290),수납!$B:$B,$B$1&amp;"-"&amp;TEXT(4,"00")&amp;"*",수납!$E:$E,""))</f>
        <v/>
      </c>
      <c r="G292" s="14">
        <f>IF(원생!$A290="","",SUMIFS(수납!$F:$F,수납!$C:$C,원생!$A290,수납!$D:$D,IF(원생!$G290="","",원생!$G290),수납!$B:$B,$B$1&amp;"-"&amp;TEXT(5,"00")&amp;"*",수납!$E:$E,"수강료")+SUMIFS(수납!$F:$F,수납!$C:$C,원생!$A290,수납!$D:$D,IF(원생!$G290="","",원생!$G290),수납!$B:$B,$B$1&amp;"-"&amp;TEXT(5,"00")&amp;"*",수납!$E:$E,""))</f>
        <v/>
      </c>
      <c r="H292" s="14">
        <f>IF(원생!$A290="","",SUMIFS(수납!$F:$F,수납!$C:$C,원생!$A290,수납!$D:$D,IF(원생!$G290="","",원생!$G290),수납!$B:$B,$B$1&amp;"-"&amp;TEXT(6,"00")&amp;"*",수납!$E:$E,"수강료")+SUMIFS(수납!$F:$F,수납!$C:$C,원생!$A290,수납!$D:$D,IF(원생!$G290="","",원생!$G290),수납!$B:$B,$B$1&amp;"-"&amp;TEXT(6,"00")&amp;"*",수납!$E:$E,""))</f>
        <v/>
      </c>
      <c r="I292" s="14">
        <f>IF(원생!$A290="","",SUMIFS(수납!$F:$F,수납!$C:$C,원생!$A290,수납!$D:$D,IF(원생!$G290="","",원생!$G290),수납!$B:$B,$B$1&amp;"-"&amp;TEXT(7,"00")&amp;"*",수납!$E:$E,"수강료")+SUMIFS(수납!$F:$F,수납!$C:$C,원생!$A290,수납!$D:$D,IF(원생!$G290="","",원생!$G290),수납!$B:$B,$B$1&amp;"-"&amp;TEXT(7,"00")&amp;"*",수납!$E:$E,""))</f>
        <v/>
      </c>
      <c r="J292" s="14">
        <f>IF(원생!$A290="","",SUMIFS(수납!$F:$F,수납!$C:$C,원생!$A290,수납!$D:$D,IF(원생!$G290="","",원생!$G290),수납!$B:$B,$B$1&amp;"-"&amp;TEXT(8,"00")&amp;"*",수납!$E:$E,"수강료")+SUMIFS(수납!$F:$F,수납!$C:$C,원생!$A290,수납!$D:$D,IF(원생!$G290="","",원생!$G290),수납!$B:$B,$B$1&amp;"-"&amp;TEXT(8,"00")&amp;"*",수납!$E:$E,""))</f>
        <v/>
      </c>
      <c r="K292" s="14">
        <f>IF(원생!$A290="","",SUMIFS(수납!$F:$F,수납!$C:$C,원생!$A290,수납!$D:$D,IF(원생!$G290="","",원생!$G290),수납!$B:$B,$B$1&amp;"-"&amp;TEXT(9,"00")&amp;"*",수납!$E:$E,"수강료")+SUMIFS(수납!$F:$F,수납!$C:$C,원생!$A290,수납!$D:$D,IF(원생!$G290="","",원생!$G290),수납!$B:$B,$B$1&amp;"-"&amp;TEXT(9,"00")&amp;"*",수납!$E:$E,""))</f>
        <v/>
      </c>
      <c r="L292" s="14">
        <f>IF(원생!$A290="","",SUMIFS(수납!$F:$F,수납!$C:$C,원생!$A290,수납!$D:$D,IF(원생!$G290="","",원생!$G290),수납!$B:$B,$B$1&amp;"-"&amp;TEXT(10,"00")&amp;"*",수납!$E:$E,"수강료")+SUMIFS(수납!$F:$F,수납!$C:$C,원생!$A290,수납!$D:$D,IF(원생!$G290="","",원생!$G290),수납!$B:$B,$B$1&amp;"-"&amp;TEXT(10,"00")&amp;"*",수납!$E:$E,""))</f>
        <v/>
      </c>
      <c r="M292" s="14">
        <f>IF(원생!$A290="","",SUMIFS(수납!$F:$F,수납!$C:$C,원생!$A290,수납!$D:$D,IF(원생!$G290="","",원생!$G290),수납!$B:$B,$B$1&amp;"-"&amp;TEXT(11,"00")&amp;"*",수납!$E:$E,"수강료")+SUMIFS(수납!$F:$F,수납!$C:$C,원생!$A290,수납!$D:$D,IF(원생!$G290="","",원생!$G290),수납!$B:$B,$B$1&amp;"-"&amp;TEXT(11,"00")&amp;"*",수납!$E:$E,""))</f>
        <v/>
      </c>
      <c r="N292" s="14">
        <f>IF(원생!$A290="","",SUMIFS(수납!$F:$F,수납!$C:$C,원생!$A290,수납!$D:$D,IF(원생!$G290="","",원생!$G290),수납!$B:$B,$B$1&amp;"-"&amp;TEXT(12,"00")&amp;"*",수납!$E:$E,"수강료")+SUMIFS(수납!$F:$F,수납!$C:$C,원생!$A290,수납!$D:$D,IF(원생!$G290="","",원생!$G290),수납!$B:$B,$B$1&amp;"-"&amp;TEXT(12,"00")&amp;"*",수납!$E:$E,""))</f>
        <v/>
      </c>
      <c r="O292">
        <f>IF(원생!$I290="","",원생!$I290)</f>
        <v/>
      </c>
      <c r="P292">
        <f>IF($A292="","",IF(AND($B292&gt;0,C292&lt;$B292,DATE($B$1,1,1)&lt;=TODAY(),OR($O292="",$O292&gt;=DATE($B$1,1,1)),OR(COUNTIF($C292:C292,"&gt;0")&gt;0,DATE($B$1,1,1)=DATE(YEAR(TODAY()),MONTH(TODAY()),1))),1,0))</f>
        <v/>
      </c>
      <c r="Q292">
        <f>IF($A292="","",IF(AND($B292&gt;0,D292&lt;$B292,DATE($B$1,2,1)&lt;=TODAY(),OR($O292="",$O292&gt;=DATE($B$1,2,1)),OR(COUNTIF($C292:D292,"&gt;0")&gt;0,DATE($B$1,2,1)=DATE(YEAR(TODAY()),MONTH(TODAY()),1))),1,0))</f>
        <v/>
      </c>
      <c r="R292">
        <f>IF($A292="","",IF(AND($B292&gt;0,E292&lt;$B292,DATE($B$1,3,1)&lt;=TODAY(),OR($O292="",$O292&gt;=DATE($B$1,3,1)),OR(COUNTIF($C292:E292,"&gt;0")&gt;0,DATE($B$1,3,1)=DATE(YEAR(TODAY()),MONTH(TODAY()),1))),1,0))</f>
        <v/>
      </c>
      <c r="S292">
        <f>IF($A292="","",IF(AND($B292&gt;0,F292&lt;$B292,DATE($B$1,4,1)&lt;=TODAY(),OR($O292="",$O292&gt;=DATE($B$1,4,1)),OR(COUNTIF($C292:F292,"&gt;0")&gt;0,DATE($B$1,4,1)=DATE(YEAR(TODAY()),MONTH(TODAY()),1))),1,0))</f>
        <v/>
      </c>
      <c r="T292">
        <f>IF($A292="","",IF(AND($B292&gt;0,G292&lt;$B292,DATE($B$1,5,1)&lt;=TODAY(),OR($O292="",$O292&gt;=DATE($B$1,5,1)),OR(COUNTIF($C292:G292,"&gt;0")&gt;0,DATE($B$1,5,1)=DATE(YEAR(TODAY()),MONTH(TODAY()),1))),1,0))</f>
        <v/>
      </c>
      <c r="U292">
        <f>IF($A292="","",IF(AND($B292&gt;0,H292&lt;$B292,DATE($B$1,6,1)&lt;=TODAY(),OR($O292="",$O292&gt;=DATE($B$1,6,1)),OR(COUNTIF($C292:H292,"&gt;0")&gt;0,DATE($B$1,6,1)=DATE(YEAR(TODAY()),MONTH(TODAY()),1))),1,0))</f>
        <v/>
      </c>
      <c r="V292">
        <f>IF($A292="","",IF(AND($B292&gt;0,I292&lt;$B292,DATE($B$1,7,1)&lt;=TODAY(),OR($O292="",$O292&gt;=DATE($B$1,7,1)),OR(COUNTIF($C292:I292,"&gt;0")&gt;0,DATE($B$1,7,1)=DATE(YEAR(TODAY()),MONTH(TODAY()),1))),1,0))</f>
        <v/>
      </c>
      <c r="W292">
        <f>IF($A292="","",IF(AND($B292&gt;0,J292&lt;$B292,DATE($B$1,8,1)&lt;=TODAY(),OR($O292="",$O292&gt;=DATE($B$1,8,1)),OR(COUNTIF($C292:J292,"&gt;0")&gt;0,DATE($B$1,8,1)=DATE(YEAR(TODAY()),MONTH(TODAY()),1))),1,0))</f>
        <v/>
      </c>
      <c r="X292">
        <f>IF($A292="","",IF(AND($B292&gt;0,K292&lt;$B292,DATE($B$1,9,1)&lt;=TODAY(),OR($O292="",$O292&gt;=DATE($B$1,9,1)),OR(COUNTIF($C292:K292,"&gt;0")&gt;0,DATE($B$1,9,1)=DATE(YEAR(TODAY()),MONTH(TODAY()),1))),1,0))</f>
        <v/>
      </c>
      <c r="Y292">
        <f>IF($A292="","",IF(AND($B292&gt;0,L292&lt;$B292,DATE($B$1,10,1)&lt;=TODAY(),OR($O292="",$O292&gt;=DATE($B$1,10,1)),OR(COUNTIF($C292:L292,"&gt;0")&gt;0,DATE($B$1,10,1)=DATE(YEAR(TODAY()),MONTH(TODAY()),1))),1,0))</f>
        <v/>
      </c>
      <c r="Z292">
        <f>IF($A292="","",IF(AND($B292&gt;0,M292&lt;$B292,DATE($B$1,11,1)&lt;=TODAY(),OR($O292="",$O292&gt;=DATE($B$1,11,1)),OR(COUNTIF($C292:M292,"&gt;0")&gt;0,DATE($B$1,11,1)=DATE(YEAR(TODAY()),MONTH(TODAY()),1))),1,0))</f>
        <v/>
      </c>
      <c r="AA292">
        <f>IF($A292="","",IF(AND($B292&gt;0,N292&lt;$B292,DATE($B$1,12,1)&lt;=TODAY(),OR($O292="",$O292&gt;=DATE($B$1,12,1)),OR(COUNTIF($C292:N292,"&gt;0")&gt;0,DATE($B$1,12,1)=DATE(YEAR(TODAY()),MONTH(TODAY()),1))),1,0))</f>
        <v/>
      </c>
    </row>
    <row r="293">
      <c r="A293" s="13">
        <f>IF(원생!$A291="","",원생!$A291&amp;IF(원생!$G291="",""," ("&amp;원생!$G291&amp;")"))</f>
        <v/>
      </c>
      <c r="B293" s="8">
        <f>IF(원생!$A291="","",원생!$F291)</f>
        <v/>
      </c>
      <c r="C293" s="14">
        <f>IF(원생!$A291="","",SUMIFS(수납!$F:$F,수납!$C:$C,원생!$A291,수납!$D:$D,IF(원생!$G291="","",원생!$G291),수납!$B:$B,$B$1&amp;"-"&amp;TEXT(1,"00")&amp;"*",수납!$E:$E,"수강료")+SUMIFS(수납!$F:$F,수납!$C:$C,원생!$A291,수납!$D:$D,IF(원생!$G291="","",원생!$G291),수납!$B:$B,$B$1&amp;"-"&amp;TEXT(1,"00")&amp;"*",수납!$E:$E,""))</f>
        <v/>
      </c>
      <c r="D293" s="14">
        <f>IF(원생!$A291="","",SUMIFS(수납!$F:$F,수납!$C:$C,원생!$A291,수납!$D:$D,IF(원생!$G291="","",원생!$G291),수납!$B:$B,$B$1&amp;"-"&amp;TEXT(2,"00")&amp;"*",수납!$E:$E,"수강료")+SUMIFS(수납!$F:$F,수납!$C:$C,원생!$A291,수납!$D:$D,IF(원생!$G291="","",원생!$G291),수납!$B:$B,$B$1&amp;"-"&amp;TEXT(2,"00")&amp;"*",수납!$E:$E,""))</f>
        <v/>
      </c>
      <c r="E293" s="14">
        <f>IF(원생!$A291="","",SUMIFS(수납!$F:$F,수납!$C:$C,원생!$A291,수납!$D:$D,IF(원생!$G291="","",원생!$G291),수납!$B:$B,$B$1&amp;"-"&amp;TEXT(3,"00")&amp;"*",수납!$E:$E,"수강료")+SUMIFS(수납!$F:$F,수납!$C:$C,원생!$A291,수납!$D:$D,IF(원생!$G291="","",원생!$G291),수납!$B:$B,$B$1&amp;"-"&amp;TEXT(3,"00")&amp;"*",수납!$E:$E,""))</f>
        <v/>
      </c>
      <c r="F293" s="14">
        <f>IF(원생!$A291="","",SUMIFS(수납!$F:$F,수납!$C:$C,원생!$A291,수납!$D:$D,IF(원생!$G291="","",원생!$G291),수납!$B:$B,$B$1&amp;"-"&amp;TEXT(4,"00")&amp;"*",수납!$E:$E,"수강료")+SUMIFS(수납!$F:$F,수납!$C:$C,원생!$A291,수납!$D:$D,IF(원생!$G291="","",원생!$G291),수납!$B:$B,$B$1&amp;"-"&amp;TEXT(4,"00")&amp;"*",수납!$E:$E,""))</f>
        <v/>
      </c>
      <c r="G293" s="14">
        <f>IF(원생!$A291="","",SUMIFS(수납!$F:$F,수납!$C:$C,원생!$A291,수납!$D:$D,IF(원생!$G291="","",원생!$G291),수납!$B:$B,$B$1&amp;"-"&amp;TEXT(5,"00")&amp;"*",수납!$E:$E,"수강료")+SUMIFS(수납!$F:$F,수납!$C:$C,원생!$A291,수납!$D:$D,IF(원생!$G291="","",원생!$G291),수납!$B:$B,$B$1&amp;"-"&amp;TEXT(5,"00")&amp;"*",수납!$E:$E,""))</f>
        <v/>
      </c>
      <c r="H293" s="14">
        <f>IF(원생!$A291="","",SUMIFS(수납!$F:$F,수납!$C:$C,원생!$A291,수납!$D:$D,IF(원생!$G291="","",원생!$G291),수납!$B:$B,$B$1&amp;"-"&amp;TEXT(6,"00")&amp;"*",수납!$E:$E,"수강료")+SUMIFS(수납!$F:$F,수납!$C:$C,원생!$A291,수납!$D:$D,IF(원생!$G291="","",원생!$G291),수납!$B:$B,$B$1&amp;"-"&amp;TEXT(6,"00")&amp;"*",수납!$E:$E,""))</f>
        <v/>
      </c>
      <c r="I293" s="14">
        <f>IF(원생!$A291="","",SUMIFS(수납!$F:$F,수납!$C:$C,원생!$A291,수납!$D:$D,IF(원생!$G291="","",원생!$G291),수납!$B:$B,$B$1&amp;"-"&amp;TEXT(7,"00")&amp;"*",수납!$E:$E,"수강료")+SUMIFS(수납!$F:$F,수납!$C:$C,원생!$A291,수납!$D:$D,IF(원생!$G291="","",원생!$G291),수납!$B:$B,$B$1&amp;"-"&amp;TEXT(7,"00")&amp;"*",수납!$E:$E,""))</f>
        <v/>
      </c>
      <c r="J293" s="14">
        <f>IF(원생!$A291="","",SUMIFS(수납!$F:$F,수납!$C:$C,원생!$A291,수납!$D:$D,IF(원생!$G291="","",원생!$G291),수납!$B:$B,$B$1&amp;"-"&amp;TEXT(8,"00")&amp;"*",수납!$E:$E,"수강료")+SUMIFS(수납!$F:$F,수납!$C:$C,원생!$A291,수납!$D:$D,IF(원생!$G291="","",원생!$G291),수납!$B:$B,$B$1&amp;"-"&amp;TEXT(8,"00")&amp;"*",수납!$E:$E,""))</f>
        <v/>
      </c>
      <c r="K293" s="14">
        <f>IF(원생!$A291="","",SUMIFS(수납!$F:$F,수납!$C:$C,원생!$A291,수납!$D:$D,IF(원생!$G291="","",원생!$G291),수납!$B:$B,$B$1&amp;"-"&amp;TEXT(9,"00")&amp;"*",수납!$E:$E,"수강료")+SUMIFS(수납!$F:$F,수납!$C:$C,원생!$A291,수납!$D:$D,IF(원생!$G291="","",원생!$G291),수납!$B:$B,$B$1&amp;"-"&amp;TEXT(9,"00")&amp;"*",수납!$E:$E,""))</f>
        <v/>
      </c>
      <c r="L293" s="14">
        <f>IF(원생!$A291="","",SUMIFS(수납!$F:$F,수납!$C:$C,원생!$A291,수납!$D:$D,IF(원생!$G291="","",원생!$G291),수납!$B:$B,$B$1&amp;"-"&amp;TEXT(10,"00")&amp;"*",수납!$E:$E,"수강료")+SUMIFS(수납!$F:$F,수납!$C:$C,원생!$A291,수납!$D:$D,IF(원생!$G291="","",원생!$G291),수납!$B:$B,$B$1&amp;"-"&amp;TEXT(10,"00")&amp;"*",수납!$E:$E,""))</f>
        <v/>
      </c>
      <c r="M293" s="14">
        <f>IF(원생!$A291="","",SUMIFS(수납!$F:$F,수납!$C:$C,원생!$A291,수납!$D:$D,IF(원생!$G291="","",원생!$G291),수납!$B:$B,$B$1&amp;"-"&amp;TEXT(11,"00")&amp;"*",수납!$E:$E,"수강료")+SUMIFS(수납!$F:$F,수납!$C:$C,원생!$A291,수납!$D:$D,IF(원생!$G291="","",원생!$G291),수납!$B:$B,$B$1&amp;"-"&amp;TEXT(11,"00")&amp;"*",수납!$E:$E,""))</f>
        <v/>
      </c>
      <c r="N293" s="14">
        <f>IF(원생!$A291="","",SUMIFS(수납!$F:$F,수납!$C:$C,원생!$A291,수납!$D:$D,IF(원생!$G291="","",원생!$G291),수납!$B:$B,$B$1&amp;"-"&amp;TEXT(12,"00")&amp;"*",수납!$E:$E,"수강료")+SUMIFS(수납!$F:$F,수납!$C:$C,원생!$A291,수납!$D:$D,IF(원생!$G291="","",원생!$G291),수납!$B:$B,$B$1&amp;"-"&amp;TEXT(12,"00")&amp;"*",수납!$E:$E,""))</f>
        <v/>
      </c>
      <c r="O293">
        <f>IF(원생!$I291="","",원생!$I291)</f>
        <v/>
      </c>
      <c r="P293">
        <f>IF($A293="","",IF(AND($B293&gt;0,C293&lt;$B293,DATE($B$1,1,1)&lt;=TODAY(),OR($O293="",$O293&gt;=DATE($B$1,1,1)),OR(COUNTIF($C293:C293,"&gt;0")&gt;0,DATE($B$1,1,1)=DATE(YEAR(TODAY()),MONTH(TODAY()),1))),1,0))</f>
        <v/>
      </c>
      <c r="Q293">
        <f>IF($A293="","",IF(AND($B293&gt;0,D293&lt;$B293,DATE($B$1,2,1)&lt;=TODAY(),OR($O293="",$O293&gt;=DATE($B$1,2,1)),OR(COUNTIF($C293:D293,"&gt;0")&gt;0,DATE($B$1,2,1)=DATE(YEAR(TODAY()),MONTH(TODAY()),1))),1,0))</f>
        <v/>
      </c>
      <c r="R293">
        <f>IF($A293="","",IF(AND($B293&gt;0,E293&lt;$B293,DATE($B$1,3,1)&lt;=TODAY(),OR($O293="",$O293&gt;=DATE($B$1,3,1)),OR(COUNTIF($C293:E293,"&gt;0")&gt;0,DATE($B$1,3,1)=DATE(YEAR(TODAY()),MONTH(TODAY()),1))),1,0))</f>
        <v/>
      </c>
      <c r="S293">
        <f>IF($A293="","",IF(AND($B293&gt;0,F293&lt;$B293,DATE($B$1,4,1)&lt;=TODAY(),OR($O293="",$O293&gt;=DATE($B$1,4,1)),OR(COUNTIF($C293:F293,"&gt;0")&gt;0,DATE($B$1,4,1)=DATE(YEAR(TODAY()),MONTH(TODAY()),1))),1,0))</f>
        <v/>
      </c>
      <c r="T293">
        <f>IF($A293="","",IF(AND($B293&gt;0,G293&lt;$B293,DATE($B$1,5,1)&lt;=TODAY(),OR($O293="",$O293&gt;=DATE($B$1,5,1)),OR(COUNTIF($C293:G293,"&gt;0")&gt;0,DATE($B$1,5,1)=DATE(YEAR(TODAY()),MONTH(TODAY()),1))),1,0))</f>
        <v/>
      </c>
      <c r="U293">
        <f>IF($A293="","",IF(AND($B293&gt;0,H293&lt;$B293,DATE($B$1,6,1)&lt;=TODAY(),OR($O293="",$O293&gt;=DATE($B$1,6,1)),OR(COUNTIF($C293:H293,"&gt;0")&gt;0,DATE($B$1,6,1)=DATE(YEAR(TODAY()),MONTH(TODAY()),1))),1,0))</f>
        <v/>
      </c>
      <c r="V293">
        <f>IF($A293="","",IF(AND($B293&gt;0,I293&lt;$B293,DATE($B$1,7,1)&lt;=TODAY(),OR($O293="",$O293&gt;=DATE($B$1,7,1)),OR(COUNTIF($C293:I293,"&gt;0")&gt;0,DATE($B$1,7,1)=DATE(YEAR(TODAY()),MONTH(TODAY()),1))),1,0))</f>
        <v/>
      </c>
      <c r="W293">
        <f>IF($A293="","",IF(AND($B293&gt;0,J293&lt;$B293,DATE($B$1,8,1)&lt;=TODAY(),OR($O293="",$O293&gt;=DATE($B$1,8,1)),OR(COUNTIF($C293:J293,"&gt;0")&gt;0,DATE($B$1,8,1)=DATE(YEAR(TODAY()),MONTH(TODAY()),1))),1,0))</f>
        <v/>
      </c>
      <c r="X293">
        <f>IF($A293="","",IF(AND($B293&gt;0,K293&lt;$B293,DATE($B$1,9,1)&lt;=TODAY(),OR($O293="",$O293&gt;=DATE($B$1,9,1)),OR(COUNTIF($C293:K293,"&gt;0")&gt;0,DATE($B$1,9,1)=DATE(YEAR(TODAY()),MONTH(TODAY()),1))),1,0))</f>
        <v/>
      </c>
      <c r="Y293">
        <f>IF($A293="","",IF(AND($B293&gt;0,L293&lt;$B293,DATE($B$1,10,1)&lt;=TODAY(),OR($O293="",$O293&gt;=DATE($B$1,10,1)),OR(COUNTIF($C293:L293,"&gt;0")&gt;0,DATE($B$1,10,1)=DATE(YEAR(TODAY()),MONTH(TODAY()),1))),1,0))</f>
        <v/>
      </c>
      <c r="Z293">
        <f>IF($A293="","",IF(AND($B293&gt;0,M293&lt;$B293,DATE($B$1,11,1)&lt;=TODAY(),OR($O293="",$O293&gt;=DATE($B$1,11,1)),OR(COUNTIF($C293:M293,"&gt;0")&gt;0,DATE($B$1,11,1)=DATE(YEAR(TODAY()),MONTH(TODAY()),1))),1,0))</f>
        <v/>
      </c>
      <c r="AA293">
        <f>IF($A293="","",IF(AND($B293&gt;0,N293&lt;$B293,DATE($B$1,12,1)&lt;=TODAY(),OR($O293="",$O293&gt;=DATE($B$1,12,1)),OR(COUNTIF($C293:N293,"&gt;0")&gt;0,DATE($B$1,12,1)=DATE(YEAR(TODAY()),MONTH(TODAY()),1))),1,0))</f>
        <v/>
      </c>
    </row>
    <row r="294">
      <c r="A294" s="13">
        <f>IF(원생!$A292="","",원생!$A292&amp;IF(원생!$G292="",""," ("&amp;원생!$G292&amp;")"))</f>
        <v/>
      </c>
      <c r="B294" s="8">
        <f>IF(원생!$A292="","",원생!$F292)</f>
        <v/>
      </c>
      <c r="C294" s="14">
        <f>IF(원생!$A292="","",SUMIFS(수납!$F:$F,수납!$C:$C,원생!$A292,수납!$D:$D,IF(원생!$G292="","",원생!$G292),수납!$B:$B,$B$1&amp;"-"&amp;TEXT(1,"00")&amp;"*",수납!$E:$E,"수강료")+SUMIFS(수납!$F:$F,수납!$C:$C,원생!$A292,수납!$D:$D,IF(원생!$G292="","",원생!$G292),수납!$B:$B,$B$1&amp;"-"&amp;TEXT(1,"00")&amp;"*",수납!$E:$E,""))</f>
        <v/>
      </c>
      <c r="D294" s="14">
        <f>IF(원생!$A292="","",SUMIFS(수납!$F:$F,수납!$C:$C,원생!$A292,수납!$D:$D,IF(원생!$G292="","",원생!$G292),수납!$B:$B,$B$1&amp;"-"&amp;TEXT(2,"00")&amp;"*",수납!$E:$E,"수강료")+SUMIFS(수납!$F:$F,수납!$C:$C,원생!$A292,수납!$D:$D,IF(원생!$G292="","",원생!$G292),수납!$B:$B,$B$1&amp;"-"&amp;TEXT(2,"00")&amp;"*",수납!$E:$E,""))</f>
        <v/>
      </c>
      <c r="E294" s="14">
        <f>IF(원생!$A292="","",SUMIFS(수납!$F:$F,수납!$C:$C,원생!$A292,수납!$D:$D,IF(원생!$G292="","",원생!$G292),수납!$B:$B,$B$1&amp;"-"&amp;TEXT(3,"00")&amp;"*",수납!$E:$E,"수강료")+SUMIFS(수납!$F:$F,수납!$C:$C,원생!$A292,수납!$D:$D,IF(원생!$G292="","",원생!$G292),수납!$B:$B,$B$1&amp;"-"&amp;TEXT(3,"00")&amp;"*",수납!$E:$E,""))</f>
        <v/>
      </c>
      <c r="F294" s="14">
        <f>IF(원생!$A292="","",SUMIFS(수납!$F:$F,수납!$C:$C,원생!$A292,수납!$D:$D,IF(원생!$G292="","",원생!$G292),수납!$B:$B,$B$1&amp;"-"&amp;TEXT(4,"00")&amp;"*",수납!$E:$E,"수강료")+SUMIFS(수납!$F:$F,수납!$C:$C,원생!$A292,수납!$D:$D,IF(원생!$G292="","",원생!$G292),수납!$B:$B,$B$1&amp;"-"&amp;TEXT(4,"00")&amp;"*",수납!$E:$E,""))</f>
        <v/>
      </c>
      <c r="G294" s="14">
        <f>IF(원생!$A292="","",SUMIFS(수납!$F:$F,수납!$C:$C,원생!$A292,수납!$D:$D,IF(원생!$G292="","",원생!$G292),수납!$B:$B,$B$1&amp;"-"&amp;TEXT(5,"00")&amp;"*",수납!$E:$E,"수강료")+SUMIFS(수납!$F:$F,수납!$C:$C,원생!$A292,수납!$D:$D,IF(원생!$G292="","",원생!$G292),수납!$B:$B,$B$1&amp;"-"&amp;TEXT(5,"00")&amp;"*",수납!$E:$E,""))</f>
        <v/>
      </c>
      <c r="H294" s="14">
        <f>IF(원생!$A292="","",SUMIFS(수납!$F:$F,수납!$C:$C,원생!$A292,수납!$D:$D,IF(원생!$G292="","",원생!$G292),수납!$B:$B,$B$1&amp;"-"&amp;TEXT(6,"00")&amp;"*",수납!$E:$E,"수강료")+SUMIFS(수납!$F:$F,수납!$C:$C,원생!$A292,수납!$D:$D,IF(원생!$G292="","",원생!$G292),수납!$B:$B,$B$1&amp;"-"&amp;TEXT(6,"00")&amp;"*",수납!$E:$E,""))</f>
        <v/>
      </c>
      <c r="I294" s="14">
        <f>IF(원생!$A292="","",SUMIFS(수납!$F:$F,수납!$C:$C,원생!$A292,수납!$D:$D,IF(원생!$G292="","",원생!$G292),수납!$B:$B,$B$1&amp;"-"&amp;TEXT(7,"00")&amp;"*",수납!$E:$E,"수강료")+SUMIFS(수납!$F:$F,수납!$C:$C,원생!$A292,수납!$D:$D,IF(원생!$G292="","",원생!$G292),수납!$B:$B,$B$1&amp;"-"&amp;TEXT(7,"00")&amp;"*",수납!$E:$E,""))</f>
        <v/>
      </c>
      <c r="J294" s="14">
        <f>IF(원생!$A292="","",SUMIFS(수납!$F:$F,수납!$C:$C,원생!$A292,수납!$D:$D,IF(원생!$G292="","",원생!$G292),수납!$B:$B,$B$1&amp;"-"&amp;TEXT(8,"00")&amp;"*",수납!$E:$E,"수강료")+SUMIFS(수납!$F:$F,수납!$C:$C,원생!$A292,수납!$D:$D,IF(원생!$G292="","",원생!$G292),수납!$B:$B,$B$1&amp;"-"&amp;TEXT(8,"00")&amp;"*",수납!$E:$E,""))</f>
        <v/>
      </c>
      <c r="K294" s="14">
        <f>IF(원생!$A292="","",SUMIFS(수납!$F:$F,수납!$C:$C,원생!$A292,수납!$D:$D,IF(원생!$G292="","",원생!$G292),수납!$B:$B,$B$1&amp;"-"&amp;TEXT(9,"00")&amp;"*",수납!$E:$E,"수강료")+SUMIFS(수납!$F:$F,수납!$C:$C,원생!$A292,수납!$D:$D,IF(원생!$G292="","",원생!$G292),수납!$B:$B,$B$1&amp;"-"&amp;TEXT(9,"00")&amp;"*",수납!$E:$E,""))</f>
        <v/>
      </c>
      <c r="L294" s="14">
        <f>IF(원생!$A292="","",SUMIFS(수납!$F:$F,수납!$C:$C,원생!$A292,수납!$D:$D,IF(원생!$G292="","",원생!$G292),수납!$B:$B,$B$1&amp;"-"&amp;TEXT(10,"00")&amp;"*",수납!$E:$E,"수강료")+SUMIFS(수납!$F:$F,수납!$C:$C,원생!$A292,수납!$D:$D,IF(원생!$G292="","",원생!$G292),수납!$B:$B,$B$1&amp;"-"&amp;TEXT(10,"00")&amp;"*",수납!$E:$E,""))</f>
        <v/>
      </c>
      <c r="M294" s="14">
        <f>IF(원생!$A292="","",SUMIFS(수납!$F:$F,수납!$C:$C,원생!$A292,수납!$D:$D,IF(원생!$G292="","",원생!$G292),수납!$B:$B,$B$1&amp;"-"&amp;TEXT(11,"00")&amp;"*",수납!$E:$E,"수강료")+SUMIFS(수납!$F:$F,수납!$C:$C,원생!$A292,수납!$D:$D,IF(원생!$G292="","",원생!$G292),수납!$B:$B,$B$1&amp;"-"&amp;TEXT(11,"00")&amp;"*",수납!$E:$E,""))</f>
        <v/>
      </c>
      <c r="N294" s="14">
        <f>IF(원생!$A292="","",SUMIFS(수납!$F:$F,수납!$C:$C,원생!$A292,수납!$D:$D,IF(원생!$G292="","",원생!$G292),수납!$B:$B,$B$1&amp;"-"&amp;TEXT(12,"00")&amp;"*",수납!$E:$E,"수강료")+SUMIFS(수납!$F:$F,수납!$C:$C,원생!$A292,수납!$D:$D,IF(원생!$G292="","",원생!$G292),수납!$B:$B,$B$1&amp;"-"&amp;TEXT(12,"00")&amp;"*",수납!$E:$E,""))</f>
        <v/>
      </c>
      <c r="O294">
        <f>IF(원생!$I292="","",원생!$I292)</f>
        <v/>
      </c>
      <c r="P294">
        <f>IF($A294="","",IF(AND($B294&gt;0,C294&lt;$B294,DATE($B$1,1,1)&lt;=TODAY(),OR($O294="",$O294&gt;=DATE($B$1,1,1)),OR(COUNTIF($C294:C294,"&gt;0")&gt;0,DATE($B$1,1,1)=DATE(YEAR(TODAY()),MONTH(TODAY()),1))),1,0))</f>
        <v/>
      </c>
      <c r="Q294">
        <f>IF($A294="","",IF(AND($B294&gt;0,D294&lt;$B294,DATE($B$1,2,1)&lt;=TODAY(),OR($O294="",$O294&gt;=DATE($B$1,2,1)),OR(COUNTIF($C294:D294,"&gt;0")&gt;0,DATE($B$1,2,1)=DATE(YEAR(TODAY()),MONTH(TODAY()),1))),1,0))</f>
        <v/>
      </c>
      <c r="R294">
        <f>IF($A294="","",IF(AND($B294&gt;0,E294&lt;$B294,DATE($B$1,3,1)&lt;=TODAY(),OR($O294="",$O294&gt;=DATE($B$1,3,1)),OR(COUNTIF($C294:E294,"&gt;0")&gt;0,DATE($B$1,3,1)=DATE(YEAR(TODAY()),MONTH(TODAY()),1))),1,0))</f>
        <v/>
      </c>
      <c r="S294">
        <f>IF($A294="","",IF(AND($B294&gt;0,F294&lt;$B294,DATE($B$1,4,1)&lt;=TODAY(),OR($O294="",$O294&gt;=DATE($B$1,4,1)),OR(COUNTIF($C294:F294,"&gt;0")&gt;0,DATE($B$1,4,1)=DATE(YEAR(TODAY()),MONTH(TODAY()),1))),1,0))</f>
        <v/>
      </c>
      <c r="T294">
        <f>IF($A294="","",IF(AND($B294&gt;0,G294&lt;$B294,DATE($B$1,5,1)&lt;=TODAY(),OR($O294="",$O294&gt;=DATE($B$1,5,1)),OR(COUNTIF($C294:G294,"&gt;0")&gt;0,DATE($B$1,5,1)=DATE(YEAR(TODAY()),MONTH(TODAY()),1))),1,0))</f>
        <v/>
      </c>
      <c r="U294">
        <f>IF($A294="","",IF(AND($B294&gt;0,H294&lt;$B294,DATE($B$1,6,1)&lt;=TODAY(),OR($O294="",$O294&gt;=DATE($B$1,6,1)),OR(COUNTIF($C294:H294,"&gt;0")&gt;0,DATE($B$1,6,1)=DATE(YEAR(TODAY()),MONTH(TODAY()),1))),1,0))</f>
        <v/>
      </c>
      <c r="V294">
        <f>IF($A294="","",IF(AND($B294&gt;0,I294&lt;$B294,DATE($B$1,7,1)&lt;=TODAY(),OR($O294="",$O294&gt;=DATE($B$1,7,1)),OR(COUNTIF($C294:I294,"&gt;0")&gt;0,DATE($B$1,7,1)=DATE(YEAR(TODAY()),MONTH(TODAY()),1))),1,0))</f>
        <v/>
      </c>
      <c r="W294">
        <f>IF($A294="","",IF(AND($B294&gt;0,J294&lt;$B294,DATE($B$1,8,1)&lt;=TODAY(),OR($O294="",$O294&gt;=DATE($B$1,8,1)),OR(COUNTIF($C294:J294,"&gt;0")&gt;0,DATE($B$1,8,1)=DATE(YEAR(TODAY()),MONTH(TODAY()),1))),1,0))</f>
        <v/>
      </c>
      <c r="X294">
        <f>IF($A294="","",IF(AND($B294&gt;0,K294&lt;$B294,DATE($B$1,9,1)&lt;=TODAY(),OR($O294="",$O294&gt;=DATE($B$1,9,1)),OR(COUNTIF($C294:K294,"&gt;0")&gt;0,DATE($B$1,9,1)=DATE(YEAR(TODAY()),MONTH(TODAY()),1))),1,0))</f>
        <v/>
      </c>
      <c r="Y294">
        <f>IF($A294="","",IF(AND($B294&gt;0,L294&lt;$B294,DATE($B$1,10,1)&lt;=TODAY(),OR($O294="",$O294&gt;=DATE($B$1,10,1)),OR(COUNTIF($C294:L294,"&gt;0")&gt;0,DATE($B$1,10,1)=DATE(YEAR(TODAY()),MONTH(TODAY()),1))),1,0))</f>
        <v/>
      </c>
      <c r="Z294">
        <f>IF($A294="","",IF(AND($B294&gt;0,M294&lt;$B294,DATE($B$1,11,1)&lt;=TODAY(),OR($O294="",$O294&gt;=DATE($B$1,11,1)),OR(COUNTIF($C294:M294,"&gt;0")&gt;0,DATE($B$1,11,1)=DATE(YEAR(TODAY()),MONTH(TODAY()),1))),1,0))</f>
        <v/>
      </c>
      <c r="AA294">
        <f>IF($A294="","",IF(AND($B294&gt;0,N294&lt;$B294,DATE($B$1,12,1)&lt;=TODAY(),OR($O294="",$O294&gt;=DATE($B$1,12,1)),OR(COUNTIF($C294:N294,"&gt;0")&gt;0,DATE($B$1,12,1)=DATE(YEAR(TODAY()),MONTH(TODAY()),1))),1,0))</f>
        <v/>
      </c>
    </row>
    <row r="295">
      <c r="A295" s="13">
        <f>IF(원생!$A293="","",원생!$A293&amp;IF(원생!$G293="",""," ("&amp;원생!$G293&amp;")"))</f>
        <v/>
      </c>
      <c r="B295" s="8">
        <f>IF(원생!$A293="","",원생!$F293)</f>
        <v/>
      </c>
      <c r="C295" s="14">
        <f>IF(원생!$A293="","",SUMIFS(수납!$F:$F,수납!$C:$C,원생!$A293,수납!$D:$D,IF(원생!$G293="","",원생!$G293),수납!$B:$B,$B$1&amp;"-"&amp;TEXT(1,"00")&amp;"*",수납!$E:$E,"수강료")+SUMIFS(수납!$F:$F,수납!$C:$C,원생!$A293,수납!$D:$D,IF(원생!$G293="","",원생!$G293),수납!$B:$B,$B$1&amp;"-"&amp;TEXT(1,"00")&amp;"*",수납!$E:$E,""))</f>
        <v/>
      </c>
      <c r="D295" s="14">
        <f>IF(원생!$A293="","",SUMIFS(수납!$F:$F,수납!$C:$C,원생!$A293,수납!$D:$D,IF(원생!$G293="","",원생!$G293),수납!$B:$B,$B$1&amp;"-"&amp;TEXT(2,"00")&amp;"*",수납!$E:$E,"수강료")+SUMIFS(수납!$F:$F,수납!$C:$C,원생!$A293,수납!$D:$D,IF(원생!$G293="","",원생!$G293),수납!$B:$B,$B$1&amp;"-"&amp;TEXT(2,"00")&amp;"*",수납!$E:$E,""))</f>
        <v/>
      </c>
      <c r="E295" s="14">
        <f>IF(원생!$A293="","",SUMIFS(수납!$F:$F,수납!$C:$C,원생!$A293,수납!$D:$D,IF(원생!$G293="","",원생!$G293),수납!$B:$B,$B$1&amp;"-"&amp;TEXT(3,"00")&amp;"*",수납!$E:$E,"수강료")+SUMIFS(수납!$F:$F,수납!$C:$C,원생!$A293,수납!$D:$D,IF(원생!$G293="","",원생!$G293),수납!$B:$B,$B$1&amp;"-"&amp;TEXT(3,"00")&amp;"*",수납!$E:$E,""))</f>
        <v/>
      </c>
      <c r="F295" s="14">
        <f>IF(원생!$A293="","",SUMIFS(수납!$F:$F,수납!$C:$C,원생!$A293,수납!$D:$D,IF(원생!$G293="","",원생!$G293),수납!$B:$B,$B$1&amp;"-"&amp;TEXT(4,"00")&amp;"*",수납!$E:$E,"수강료")+SUMIFS(수납!$F:$F,수납!$C:$C,원생!$A293,수납!$D:$D,IF(원생!$G293="","",원생!$G293),수납!$B:$B,$B$1&amp;"-"&amp;TEXT(4,"00")&amp;"*",수납!$E:$E,""))</f>
        <v/>
      </c>
      <c r="G295" s="14">
        <f>IF(원생!$A293="","",SUMIFS(수납!$F:$F,수납!$C:$C,원생!$A293,수납!$D:$D,IF(원생!$G293="","",원생!$G293),수납!$B:$B,$B$1&amp;"-"&amp;TEXT(5,"00")&amp;"*",수납!$E:$E,"수강료")+SUMIFS(수납!$F:$F,수납!$C:$C,원생!$A293,수납!$D:$D,IF(원생!$G293="","",원생!$G293),수납!$B:$B,$B$1&amp;"-"&amp;TEXT(5,"00")&amp;"*",수납!$E:$E,""))</f>
        <v/>
      </c>
      <c r="H295" s="14">
        <f>IF(원생!$A293="","",SUMIFS(수납!$F:$F,수납!$C:$C,원생!$A293,수납!$D:$D,IF(원생!$G293="","",원생!$G293),수납!$B:$B,$B$1&amp;"-"&amp;TEXT(6,"00")&amp;"*",수납!$E:$E,"수강료")+SUMIFS(수납!$F:$F,수납!$C:$C,원생!$A293,수납!$D:$D,IF(원생!$G293="","",원생!$G293),수납!$B:$B,$B$1&amp;"-"&amp;TEXT(6,"00")&amp;"*",수납!$E:$E,""))</f>
        <v/>
      </c>
      <c r="I295" s="14">
        <f>IF(원생!$A293="","",SUMIFS(수납!$F:$F,수납!$C:$C,원생!$A293,수납!$D:$D,IF(원생!$G293="","",원생!$G293),수납!$B:$B,$B$1&amp;"-"&amp;TEXT(7,"00")&amp;"*",수납!$E:$E,"수강료")+SUMIFS(수납!$F:$F,수납!$C:$C,원생!$A293,수납!$D:$D,IF(원생!$G293="","",원생!$G293),수납!$B:$B,$B$1&amp;"-"&amp;TEXT(7,"00")&amp;"*",수납!$E:$E,""))</f>
        <v/>
      </c>
      <c r="J295" s="14">
        <f>IF(원생!$A293="","",SUMIFS(수납!$F:$F,수납!$C:$C,원생!$A293,수납!$D:$D,IF(원생!$G293="","",원생!$G293),수납!$B:$B,$B$1&amp;"-"&amp;TEXT(8,"00")&amp;"*",수납!$E:$E,"수강료")+SUMIFS(수납!$F:$F,수납!$C:$C,원생!$A293,수납!$D:$D,IF(원생!$G293="","",원생!$G293),수납!$B:$B,$B$1&amp;"-"&amp;TEXT(8,"00")&amp;"*",수납!$E:$E,""))</f>
        <v/>
      </c>
      <c r="K295" s="14">
        <f>IF(원생!$A293="","",SUMIFS(수납!$F:$F,수납!$C:$C,원생!$A293,수납!$D:$D,IF(원생!$G293="","",원생!$G293),수납!$B:$B,$B$1&amp;"-"&amp;TEXT(9,"00")&amp;"*",수납!$E:$E,"수강료")+SUMIFS(수납!$F:$F,수납!$C:$C,원생!$A293,수납!$D:$D,IF(원생!$G293="","",원생!$G293),수납!$B:$B,$B$1&amp;"-"&amp;TEXT(9,"00")&amp;"*",수납!$E:$E,""))</f>
        <v/>
      </c>
      <c r="L295" s="14">
        <f>IF(원생!$A293="","",SUMIFS(수납!$F:$F,수납!$C:$C,원생!$A293,수납!$D:$D,IF(원생!$G293="","",원생!$G293),수납!$B:$B,$B$1&amp;"-"&amp;TEXT(10,"00")&amp;"*",수납!$E:$E,"수강료")+SUMIFS(수납!$F:$F,수납!$C:$C,원생!$A293,수납!$D:$D,IF(원생!$G293="","",원생!$G293),수납!$B:$B,$B$1&amp;"-"&amp;TEXT(10,"00")&amp;"*",수납!$E:$E,""))</f>
        <v/>
      </c>
      <c r="M295" s="14">
        <f>IF(원생!$A293="","",SUMIFS(수납!$F:$F,수납!$C:$C,원생!$A293,수납!$D:$D,IF(원생!$G293="","",원생!$G293),수납!$B:$B,$B$1&amp;"-"&amp;TEXT(11,"00")&amp;"*",수납!$E:$E,"수강료")+SUMIFS(수납!$F:$F,수납!$C:$C,원생!$A293,수납!$D:$D,IF(원생!$G293="","",원생!$G293),수납!$B:$B,$B$1&amp;"-"&amp;TEXT(11,"00")&amp;"*",수납!$E:$E,""))</f>
        <v/>
      </c>
      <c r="N295" s="14">
        <f>IF(원생!$A293="","",SUMIFS(수납!$F:$F,수납!$C:$C,원생!$A293,수납!$D:$D,IF(원생!$G293="","",원생!$G293),수납!$B:$B,$B$1&amp;"-"&amp;TEXT(12,"00")&amp;"*",수납!$E:$E,"수강료")+SUMIFS(수납!$F:$F,수납!$C:$C,원생!$A293,수납!$D:$D,IF(원생!$G293="","",원생!$G293),수납!$B:$B,$B$1&amp;"-"&amp;TEXT(12,"00")&amp;"*",수납!$E:$E,""))</f>
        <v/>
      </c>
      <c r="O295">
        <f>IF(원생!$I293="","",원생!$I293)</f>
        <v/>
      </c>
      <c r="P295">
        <f>IF($A295="","",IF(AND($B295&gt;0,C295&lt;$B295,DATE($B$1,1,1)&lt;=TODAY(),OR($O295="",$O295&gt;=DATE($B$1,1,1)),OR(COUNTIF($C295:C295,"&gt;0")&gt;0,DATE($B$1,1,1)=DATE(YEAR(TODAY()),MONTH(TODAY()),1))),1,0))</f>
        <v/>
      </c>
      <c r="Q295">
        <f>IF($A295="","",IF(AND($B295&gt;0,D295&lt;$B295,DATE($B$1,2,1)&lt;=TODAY(),OR($O295="",$O295&gt;=DATE($B$1,2,1)),OR(COUNTIF($C295:D295,"&gt;0")&gt;0,DATE($B$1,2,1)=DATE(YEAR(TODAY()),MONTH(TODAY()),1))),1,0))</f>
        <v/>
      </c>
      <c r="R295">
        <f>IF($A295="","",IF(AND($B295&gt;0,E295&lt;$B295,DATE($B$1,3,1)&lt;=TODAY(),OR($O295="",$O295&gt;=DATE($B$1,3,1)),OR(COUNTIF($C295:E295,"&gt;0")&gt;0,DATE($B$1,3,1)=DATE(YEAR(TODAY()),MONTH(TODAY()),1))),1,0))</f>
        <v/>
      </c>
      <c r="S295">
        <f>IF($A295="","",IF(AND($B295&gt;0,F295&lt;$B295,DATE($B$1,4,1)&lt;=TODAY(),OR($O295="",$O295&gt;=DATE($B$1,4,1)),OR(COUNTIF($C295:F295,"&gt;0")&gt;0,DATE($B$1,4,1)=DATE(YEAR(TODAY()),MONTH(TODAY()),1))),1,0))</f>
        <v/>
      </c>
      <c r="T295">
        <f>IF($A295="","",IF(AND($B295&gt;0,G295&lt;$B295,DATE($B$1,5,1)&lt;=TODAY(),OR($O295="",$O295&gt;=DATE($B$1,5,1)),OR(COUNTIF($C295:G295,"&gt;0")&gt;0,DATE($B$1,5,1)=DATE(YEAR(TODAY()),MONTH(TODAY()),1))),1,0))</f>
        <v/>
      </c>
      <c r="U295">
        <f>IF($A295="","",IF(AND($B295&gt;0,H295&lt;$B295,DATE($B$1,6,1)&lt;=TODAY(),OR($O295="",$O295&gt;=DATE($B$1,6,1)),OR(COUNTIF($C295:H295,"&gt;0")&gt;0,DATE($B$1,6,1)=DATE(YEAR(TODAY()),MONTH(TODAY()),1))),1,0))</f>
        <v/>
      </c>
      <c r="V295">
        <f>IF($A295="","",IF(AND($B295&gt;0,I295&lt;$B295,DATE($B$1,7,1)&lt;=TODAY(),OR($O295="",$O295&gt;=DATE($B$1,7,1)),OR(COUNTIF($C295:I295,"&gt;0")&gt;0,DATE($B$1,7,1)=DATE(YEAR(TODAY()),MONTH(TODAY()),1))),1,0))</f>
        <v/>
      </c>
      <c r="W295">
        <f>IF($A295="","",IF(AND($B295&gt;0,J295&lt;$B295,DATE($B$1,8,1)&lt;=TODAY(),OR($O295="",$O295&gt;=DATE($B$1,8,1)),OR(COUNTIF($C295:J295,"&gt;0")&gt;0,DATE($B$1,8,1)=DATE(YEAR(TODAY()),MONTH(TODAY()),1))),1,0))</f>
        <v/>
      </c>
      <c r="X295">
        <f>IF($A295="","",IF(AND($B295&gt;0,K295&lt;$B295,DATE($B$1,9,1)&lt;=TODAY(),OR($O295="",$O295&gt;=DATE($B$1,9,1)),OR(COUNTIF($C295:K295,"&gt;0")&gt;0,DATE($B$1,9,1)=DATE(YEAR(TODAY()),MONTH(TODAY()),1))),1,0))</f>
        <v/>
      </c>
      <c r="Y295">
        <f>IF($A295="","",IF(AND($B295&gt;0,L295&lt;$B295,DATE($B$1,10,1)&lt;=TODAY(),OR($O295="",$O295&gt;=DATE($B$1,10,1)),OR(COUNTIF($C295:L295,"&gt;0")&gt;0,DATE($B$1,10,1)=DATE(YEAR(TODAY()),MONTH(TODAY()),1))),1,0))</f>
        <v/>
      </c>
      <c r="Z295">
        <f>IF($A295="","",IF(AND($B295&gt;0,M295&lt;$B295,DATE($B$1,11,1)&lt;=TODAY(),OR($O295="",$O295&gt;=DATE($B$1,11,1)),OR(COUNTIF($C295:M295,"&gt;0")&gt;0,DATE($B$1,11,1)=DATE(YEAR(TODAY()),MONTH(TODAY()),1))),1,0))</f>
        <v/>
      </c>
      <c r="AA295">
        <f>IF($A295="","",IF(AND($B295&gt;0,N295&lt;$B295,DATE($B$1,12,1)&lt;=TODAY(),OR($O295="",$O295&gt;=DATE($B$1,12,1)),OR(COUNTIF($C295:N295,"&gt;0")&gt;0,DATE($B$1,12,1)=DATE(YEAR(TODAY()),MONTH(TODAY()),1))),1,0))</f>
        <v/>
      </c>
    </row>
    <row r="296">
      <c r="A296" s="13">
        <f>IF(원생!$A294="","",원생!$A294&amp;IF(원생!$G294="",""," ("&amp;원생!$G294&amp;")"))</f>
        <v/>
      </c>
      <c r="B296" s="8">
        <f>IF(원생!$A294="","",원생!$F294)</f>
        <v/>
      </c>
      <c r="C296" s="14">
        <f>IF(원생!$A294="","",SUMIFS(수납!$F:$F,수납!$C:$C,원생!$A294,수납!$D:$D,IF(원생!$G294="","",원생!$G294),수납!$B:$B,$B$1&amp;"-"&amp;TEXT(1,"00")&amp;"*",수납!$E:$E,"수강료")+SUMIFS(수납!$F:$F,수납!$C:$C,원생!$A294,수납!$D:$D,IF(원생!$G294="","",원생!$G294),수납!$B:$B,$B$1&amp;"-"&amp;TEXT(1,"00")&amp;"*",수납!$E:$E,""))</f>
        <v/>
      </c>
      <c r="D296" s="14">
        <f>IF(원생!$A294="","",SUMIFS(수납!$F:$F,수납!$C:$C,원생!$A294,수납!$D:$D,IF(원생!$G294="","",원생!$G294),수납!$B:$B,$B$1&amp;"-"&amp;TEXT(2,"00")&amp;"*",수납!$E:$E,"수강료")+SUMIFS(수납!$F:$F,수납!$C:$C,원생!$A294,수납!$D:$D,IF(원생!$G294="","",원생!$G294),수납!$B:$B,$B$1&amp;"-"&amp;TEXT(2,"00")&amp;"*",수납!$E:$E,""))</f>
        <v/>
      </c>
      <c r="E296" s="14">
        <f>IF(원생!$A294="","",SUMIFS(수납!$F:$F,수납!$C:$C,원생!$A294,수납!$D:$D,IF(원생!$G294="","",원생!$G294),수납!$B:$B,$B$1&amp;"-"&amp;TEXT(3,"00")&amp;"*",수납!$E:$E,"수강료")+SUMIFS(수납!$F:$F,수납!$C:$C,원생!$A294,수납!$D:$D,IF(원생!$G294="","",원생!$G294),수납!$B:$B,$B$1&amp;"-"&amp;TEXT(3,"00")&amp;"*",수납!$E:$E,""))</f>
        <v/>
      </c>
      <c r="F296" s="14">
        <f>IF(원생!$A294="","",SUMIFS(수납!$F:$F,수납!$C:$C,원생!$A294,수납!$D:$D,IF(원생!$G294="","",원생!$G294),수납!$B:$B,$B$1&amp;"-"&amp;TEXT(4,"00")&amp;"*",수납!$E:$E,"수강료")+SUMIFS(수납!$F:$F,수납!$C:$C,원생!$A294,수납!$D:$D,IF(원생!$G294="","",원생!$G294),수납!$B:$B,$B$1&amp;"-"&amp;TEXT(4,"00")&amp;"*",수납!$E:$E,""))</f>
        <v/>
      </c>
      <c r="G296" s="14">
        <f>IF(원생!$A294="","",SUMIFS(수납!$F:$F,수납!$C:$C,원생!$A294,수납!$D:$D,IF(원생!$G294="","",원생!$G294),수납!$B:$B,$B$1&amp;"-"&amp;TEXT(5,"00")&amp;"*",수납!$E:$E,"수강료")+SUMIFS(수납!$F:$F,수납!$C:$C,원생!$A294,수납!$D:$D,IF(원생!$G294="","",원생!$G294),수납!$B:$B,$B$1&amp;"-"&amp;TEXT(5,"00")&amp;"*",수납!$E:$E,""))</f>
        <v/>
      </c>
      <c r="H296" s="14">
        <f>IF(원생!$A294="","",SUMIFS(수납!$F:$F,수납!$C:$C,원생!$A294,수납!$D:$D,IF(원생!$G294="","",원생!$G294),수납!$B:$B,$B$1&amp;"-"&amp;TEXT(6,"00")&amp;"*",수납!$E:$E,"수강료")+SUMIFS(수납!$F:$F,수납!$C:$C,원생!$A294,수납!$D:$D,IF(원생!$G294="","",원생!$G294),수납!$B:$B,$B$1&amp;"-"&amp;TEXT(6,"00")&amp;"*",수납!$E:$E,""))</f>
        <v/>
      </c>
      <c r="I296" s="14">
        <f>IF(원생!$A294="","",SUMIFS(수납!$F:$F,수납!$C:$C,원생!$A294,수납!$D:$D,IF(원생!$G294="","",원생!$G294),수납!$B:$B,$B$1&amp;"-"&amp;TEXT(7,"00")&amp;"*",수납!$E:$E,"수강료")+SUMIFS(수납!$F:$F,수납!$C:$C,원생!$A294,수납!$D:$D,IF(원생!$G294="","",원생!$G294),수납!$B:$B,$B$1&amp;"-"&amp;TEXT(7,"00")&amp;"*",수납!$E:$E,""))</f>
        <v/>
      </c>
      <c r="J296" s="14">
        <f>IF(원생!$A294="","",SUMIFS(수납!$F:$F,수납!$C:$C,원생!$A294,수납!$D:$D,IF(원생!$G294="","",원생!$G294),수납!$B:$B,$B$1&amp;"-"&amp;TEXT(8,"00")&amp;"*",수납!$E:$E,"수강료")+SUMIFS(수납!$F:$F,수납!$C:$C,원생!$A294,수납!$D:$D,IF(원생!$G294="","",원생!$G294),수납!$B:$B,$B$1&amp;"-"&amp;TEXT(8,"00")&amp;"*",수납!$E:$E,""))</f>
        <v/>
      </c>
      <c r="K296" s="14">
        <f>IF(원생!$A294="","",SUMIFS(수납!$F:$F,수납!$C:$C,원생!$A294,수납!$D:$D,IF(원생!$G294="","",원생!$G294),수납!$B:$B,$B$1&amp;"-"&amp;TEXT(9,"00")&amp;"*",수납!$E:$E,"수강료")+SUMIFS(수납!$F:$F,수납!$C:$C,원생!$A294,수납!$D:$D,IF(원생!$G294="","",원생!$G294),수납!$B:$B,$B$1&amp;"-"&amp;TEXT(9,"00")&amp;"*",수납!$E:$E,""))</f>
        <v/>
      </c>
      <c r="L296" s="14">
        <f>IF(원생!$A294="","",SUMIFS(수납!$F:$F,수납!$C:$C,원생!$A294,수납!$D:$D,IF(원생!$G294="","",원생!$G294),수납!$B:$B,$B$1&amp;"-"&amp;TEXT(10,"00")&amp;"*",수납!$E:$E,"수강료")+SUMIFS(수납!$F:$F,수납!$C:$C,원생!$A294,수납!$D:$D,IF(원생!$G294="","",원생!$G294),수납!$B:$B,$B$1&amp;"-"&amp;TEXT(10,"00")&amp;"*",수납!$E:$E,""))</f>
        <v/>
      </c>
      <c r="M296" s="14">
        <f>IF(원생!$A294="","",SUMIFS(수납!$F:$F,수납!$C:$C,원생!$A294,수납!$D:$D,IF(원생!$G294="","",원생!$G294),수납!$B:$B,$B$1&amp;"-"&amp;TEXT(11,"00")&amp;"*",수납!$E:$E,"수강료")+SUMIFS(수납!$F:$F,수납!$C:$C,원생!$A294,수납!$D:$D,IF(원생!$G294="","",원생!$G294),수납!$B:$B,$B$1&amp;"-"&amp;TEXT(11,"00")&amp;"*",수납!$E:$E,""))</f>
        <v/>
      </c>
      <c r="N296" s="14">
        <f>IF(원생!$A294="","",SUMIFS(수납!$F:$F,수납!$C:$C,원생!$A294,수납!$D:$D,IF(원생!$G294="","",원생!$G294),수납!$B:$B,$B$1&amp;"-"&amp;TEXT(12,"00")&amp;"*",수납!$E:$E,"수강료")+SUMIFS(수납!$F:$F,수납!$C:$C,원생!$A294,수납!$D:$D,IF(원생!$G294="","",원생!$G294),수납!$B:$B,$B$1&amp;"-"&amp;TEXT(12,"00")&amp;"*",수납!$E:$E,""))</f>
        <v/>
      </c>
      <c r="O296">
        <f>IF(원생!$I294="","",원생!$I294)</f>
        <v/>
      </c>
      <c r="P296">
        <f>IF($A296="","",IF(AND($B296&gt;0,C296&lt;$B296,DATE($B$1,1,1)&lt;=TODAY(),OR($O296="",$O296&gt;=DATE($B$1,1,1)),OR(COUNTIF($C296:C296,"&gt;0")&gt;0,DATE($B$1,1,1)=DATE(YEAR(TODAY()),MONTH(TODAY()),1))),1,0))</f>
        <v/>
      </c>
      <c r="Q296">
        <f>IF($A296="","",IF(AND($B296&gt;0,D296&lt;$B296,DATE($B$1,2,1)&lt;=TODAY(),OR($O296="",$O296&gt;=DATE($B$1,2,1)),OR(COUNTIF($C296:D296,"&gt;0")&gt;0,DATE($B$1,2,1)=DATE(YEAR(TODAY()),MONTH(TODAY()),1))),1,0))</f>
        <v/>
      </c>
      <c r="R296">
        <f>IF($A296="","",IF(AND($B296&gt;0,E296&lt;$B296,DATE($B$1,3,1)&lt;=TODAY(),OR($O296="",$O296&gt;=DATE($B$1,3,1)),OR(COUNTIF($C296:E296,"&gt;0")&gt;0,DATE($B$1,3,1)=DATE(YEAR(TODAY()),MONTH(TODAY()),1))),1,0))</f>
        <v/>
      </c>
      <c r="S296">
        <f>IF($A296="","",IF(AND($B296&gt;0,F296&lt;$B296,DATE($B$1,4,1)&lt;=TODAY(),OR($O296="",$O296&gt;=DATE($B$1,4,1)),OR(COUNTIF($C296:F296,"&gt;0")&gt;0,DATE($B$1,4,1)=DATE(YEAR(TODAY()),MONTH(TODAY()),1))),1,0))</f>
        <v/>
      </c>
      <c r="T296">
        <f>IF($A296="","",IF(AND($B296&gt;0,G296&lt;$B296,DATE($B$1,5,1)&lt;=TODAY(),OR($O296="",$O296&gt;=DATE($B$1,5,1)),OR(COUNTIF($C296:G296,"&gt;0")&gt;0,DATE($B$1,5,1)=DATE(YEAR(TODAY()),MONTH(TODAY()),1))),1,0))</f>
        <v/>
      </c>
      <c r="U296">
        <f>IF($A296="","",IF(AND($B296&gt;0,H296&lt;$B296,DATE($B$1,6,1)&lt;=TODAY(),OR($O296="",$O296&gt;=DATE($B$1,6,1)),OR(COUNTIF($C296:H296,"&gt;0")&gt;0,DATE($B$1,6,1)=DATE(YEAR(TODAY()),MONTH(TODAY()),1))),1,0))</f>
        <v/>
      </c>
      <c r="V296">
        <f>IF($A296="","",IF(AND($B296&gt;0,I296&lt;$B296,DATE($B$1,7,1)&lt;=TODAY(),OR($O296="",$O296&gt;=DATE($B$1,7,1)),OR(COUNTIF($C296:I296,"&gt;0")&gt;0,DATE($B$1,7,1)=DATE(YEAR(TODAY()),MONTH(TODAY()),1))),1,0))</f>
        <v/>
      </c>
      <c r="W296">
        <f>IF($A296="","",IF(AND($B296&gt;0,J296&lt;$B296,DATE($B$1,8,1)&lt;=TODAY(),OR($O296="",$O296&gt;=DATE($B$1,8,1)),OR(COUNTIF($C296:J296,"&gt;0")&gt;0,DATE($B$1,8,1)=DATE(YEAR(TODAY()),MONTH(TODAY()),1))),1,0))</f>
        <v/>
      </c>
      <c r="X296">
        <f>IF($A296="","",IF(AND($B296&gt;0,K296&lt;$B296,DATE($B$1,9,1)&lt;=TODAY(),OR($O296="",$O296&gt;=DATE($B$1,9,1)),OR(COUNTIF($C296:K296,"&gt;0")&gt;0,DATE($B$1,9,1)=DATE(YEAR(TODAY()),MONTH(TODAY()),1))),1,0))</f>
        <v/>
      </c>
      <c r="Y296">
        <f>IF($A296="","",IF(AND($B296&gt;0,L296&lt;$B296,DATE($B$1,10,1)&lt;=TODAY(),OR($O296="",$O296&gt;=DATE($B$1,10,1)),OR(COUNTIF($C296:L296,"&gt;0")&gt;0,DATE($B$1,10,1)=DATE(YEAR(TODAY()),MONTH(TODAY()),1))),1,0))</f>
        <v/>
      </c>
      <c r="Z296">
        <f>IF($A296="","",IF(AND($B296&gt;0,M296&lt;$B296,DATE($B$1,11,1)&lt;=TODAY(),OR($O296="",$O296&gt;=DATE($B$1,11,1)),OR(COUNTIF($C296:M296,"&gt;0")&gt;0,DATE($B$1,11,1)=DATE(YEAR(TODAY()),MONTH(TODAY()),1))),1,0))</f>
        <v/>
      </c>
      <c r="AA296">
        <f>IF($A296="","",IF(AND($B296&gt;0,N296&lt;$B296,DATE($B$1,12,1)&lt;=TODAY(),OR($O296="",$O296&gt;=DATE($B$1,12,1)),OR(COUNTIF($C296:N296,"&gt;0")&gt;0,DATE($B$1,12,1)=DATE(YEAR(TODAY()),MONTH(TODAY()),1))),1,0))</f>
        <v/>
      </c>
    </row>
    <row r="297">
      <c r="A297" s="13">
        <f>IF(원생!$A295="","",원생!$A295&amp;IF(원생!$G295="",""," ("&amp;원생!$G295&amp;")"))</f>
        <v/>
      </c>
      <c r="B297" s="8">
        <f>IF(원생!$A295="","",원생!$F295)</f>
        <v/>
      </c>
      <c r="C297" s="14">
        <f>IF(원생!$A295="","",SUMIFS(수납!$F:$F,수납!$C:$C,원생!$A295,수납!$D:$D,IF(원생!$G295="","",원생!$G295),수납!$B:$B,$B$1&amp;"-"&amp;TEXT(1,"00")&amp;"*",수납!$E:$E,"수강료")+SUMIFS(수납!$F:$F,수납!$C:$C,원생!$A295,수납!$D:$D,IF(원생!$G295="","",원생!$G295),수납!$B:$B,$B$1&amp;"-"&amp;TEXT(1,"00")&amp;"*",수납!$E:$E,""))</f>
        <v/>
      </c>
      <c r="D297" s="14">
        <f>IF(원생!$A295="","",SUMIFS(수납!$F:$F,수납!$C:$C,원생!$A295,수납!$D:$D,IF(원생!$G295="","",원생!$G295),수납!$B:$B,$B$1&amp;"-"&amp;TEXT(2,"00")&amp;"*",수납!$E:$E,"수강료")+SUMIFS(수납!$F:$F,수납!$C:$C,원생!$A295,수납!$D:$D,IF(원생!$G295="","",원생!$G295),수납!$B:$B,$B$1&amp;"-"&amp;TEXT(2,"00")&amp;"*",수납!$E:$E,""))</f>
        <v/>
      </c>
      <c r="E297" s="14">
        <f>IF(원생!$A295="","",SUMIFS(수납!$F:$F,수납!$C:$C,원생!$A295,수납!$D:$D,IF(원생!$G295="","",원생!$G295),수납!$B:$B,$B$1&amp;"-"&amp;TEXT(3,"00")&amp;"*",수납!$E:$E,"수강료")+SUMIFS(수납!$F:$F,수납!$C:$C,원생!$A295,수납!$D:$D,IF(원생!$G295="","",원생!$G295),수납!$B:$B,$B$1&amp;"-"&amp;TEXT(3,"00")&amp;"*",수납!$E:$E,""))</f>
        <v/>
      </c>
      <c r="F297" s="14">
        <f>IF(원생!$A295="","",SUMIFS(수납!$F:$F,수납!$C:$C,원생!$A295,수납!$D:$D,IF(원생!$G295="","",원생!$G295),수납!$B:$B,$B$1&amp;"-"&amp;TEXT(4,"00")&amp;"*",수납!$E:$E,"수강료")+SUMIFS(수납!$F:$F,수납!$C:$C,원생!$A295,수납!$D:$D,IF(원생!$G295="","",원생!$G295),수납!$B:$B,$B$1&amp;"-"&amp;TEXT(4,"00")&amp;"*",수납!$E:$E,""))</f>
        <v/>
      </c>
      <c r="G297" s="14">
        <f>IF(원생!$A295="","",SUMIFS(수납!$F:$F,수납!$C:$C,원생!$A295,수납!$D:$D,IF(원생!$G295="","",원생!$G295),수납!$B:$B,$B$1&amp;"-"&amp;TEXT(5,"00")&amp;"*",수납!$E:$E,"수강료")+SUMIFS(수납!$F:$F,수납!$C:$C,원생!$A295,수납!$D:$D,IF(원생!$G295="","",원생!$G295),수납!$B:$B,$B$1&amp;"-"&amp;TEXT(5,"00")&amp;"*",수납!$E:$E,""))</f>
        <v/>
      </c>
      <c r="H297" s="14">
        <f>IF(원생!$A295="","",SUMIFS(수납!$F:$F,수납!$C:$C,원생!$A295,수납!$D:$D,IF(원생!$G295="","",원생!$G295),수납!$B:$B,$B$1&amp;"-"&amp;TEXT(6,"00")&amp;"*",수납!$E:$E,"수강료")+SUMIFS(수납!$F:$F,수납!$C:$C,원생!$A295,수납!$D:$D,IF(원생!$G295="","",원생!$G295),수납!$B:$B,$B$1&amp;"-"&amp;TEXT(6,"00")&amp;"*",수납!$E:$E,""))</f>
        <v/>
      </c>
      <c r="I297" s="14">
        <f>IF(원생!$A295="","",SUMIFS(수납!$F:$F,수납!$C:$C,원생!$A295,수납!$D:$D,IF(원생!$G295="","",원생!$G295),수납!$B:$B,$B$1&amp;"-"&amp;TEXT(7,"00")&amp;"*",수납!$E:$E,"수강료")+SUMIFS(수납!$F:$F,수납!$C:$C,원생!$A295,수납!$D:$D,IF(원생!$G295="","",원생!$G295),수납!$B:$B,$B$1&amp;"-"&amp;TEXT(7,"00")&amp;"*",수납!$E:$E,""))</f>
        <v/>
      </c>
      <c r="J297" s="14">
        <f>IF(원생!$A295="","",SUMIFS(수납!$F:$F,수납!$C:$C,원생!$A295,수납!$D:$D,IF(원생!$G295="","",원생!$G295),수납!$B:$B,$B$1&amp;"-"&amp;TEXT(8,"00")&amp;"*",수납!$E:$E,"수강료")+SUMIFS(수납!$F:$F,수납!$C:$C,원생!$A295,수납!$D:$D,IF(원생!$G295="","",원생!$G295),수납!$B:$B,$B$1&amp;"-"&amp;TEXT(8,"00")&amp;"*",수납!$E:$E,""))</f>
        <v/>
      </c>
      <c r="K297" s="14">
        <f>IF(원생!$A295="","",SUMIFS(수납!$F:$F,수납!$C:$C,원생!$A295,수납!$D:$D,IF(원생!$G295="","",원생!$G295),수납!$B:$B,$B$1&amp;"-"&amp;TEXT(9,"00")&amp;"*",수납!$E:$E,"수강료")+SUMIFS(수납!$F:$F,수납!$C:$C,원생!$A295,수납!$D:$D,IF(원생!$G295="","",원생!$G295),수납!$B:$B,$B$1&amp;"-"&amp;TEXT(9,"00")&amp;"*",수납!$E:$E,""))</f>
        <v/>
      </c>
      <c r="L297" s="14">
        <f>IF(원생!$A295="","",SUMIFS(수납!$F:$F,수납!$C:$C,원생!$A295,수납!$D:$D,IF(원생!$G295="","",원생!$G295),수납!$B:$B,$B$1&amp;"-"&amp;TEXT(10,"00")&amp;"*",수납!$E:$E,"수강료")+SUMIFS(수납!$F:$F,수납!$C:$C,원생!$A295,수납!$D:$D,IF(원생!$G295="","",원생!$G295),수납!$B:$B,$B$1&amp;"-"&amp;TEXT(10,"00")&amp;"*",수납!$E:$E,""))</f>
        <v/>
      </c>
      <c r="M297" s="14">
        <f>IF(원생!$A295="","",SUMIFS(수납!$F:$F,수납!$C:$C,원생!$A295,수납!$D:$D,IF(원생!$G295="","",원생!$G295),수납!$B:$B,$B$1&amp;"-"&amp;TEXT(11,"00")&amp;"*",수납!$E:$E,"수강료")+SUMIFS(수납!$F:$F,수납!$C:$C,원생!$A295,수납!$D:$D,IF(원생!$G295="","",원생!$G295),수납!$B:$B,$B$1&amp;"-"&amp;TEXT(11,"00")&amp;"*",수납!$E:$E,""))</f>
        <v/>
      </c>
      <c r="N297" s="14">
        <f>IF(원생!$A295="","",SUMIFS(수납!$F:$F,수납!$C:$C,원생!$A295,수납!$D:$D,IF(원생!$G295="","",원생!$G295),수납!$B:$B,$B$1&amp;"-"&amp;TEXT(12,"00")&amp;"*",수납!$E:$E,"수강료")+SUMIFS(수납!$F:$F,수납!$C:$C,원생!$A295,수납!$D:$D,IF(원생!$G295="","",원생!$G295),수납!$B:$B,$B$1&amp;"-"&amp;TEXT(12,"00")&amp;"*",수납!$E:$E,""))</f>
        <v/>
      </c>
      <c r="O297">
        <f>IF(원생!$I295="","",원생!$I295)</f>
        <v/>
      </c>
      <c r="P297">
        <f>IF($A297="","",IF(AND($B297&gt;0,C297&lt;$B297,DATE($B$1,1,1)&lt;=TODAY(),OR($O297="",$O297&gt;=DATE($B$1,1,1)),OR(COUNTIF($C297:C297,"&gt;0")&gt;0,DATE($B$1,1,1)=DATE(YEAR(TODAY()),MONTH(TODAY()),1))),1,0))</f>
        <v/>
      </c>
      <c r="Q297">
        <f>IF($A297="","",IF(AND($B297&gt;0,D297&lt;$B297,DATE($B$1,2,1)&lt;=TODAY(),OR($O297="",$O297&gt;=DATE($B$1,2,1)),OR(COUNTIF($C297:D297,"&gt;0")&gt;0,DATE($B$1,2,1)=DATE(YEAR(TODAY()),MONTH(TODAY()),1))),1,0))</f>
        <v/>
      </c>
      <c r="R297">
        <f>IF($A297="","",IF(AND($B297&gt;0,E297&lt;$B297,DATE($B$1,3,1)&lt;=TODAY(),OR($O297="",$O297&gt;=DATE($B$1,3,1)),OR(COUNTIF($C297:E297,"&gt;0")&gt;0,DATE($B$1,3,1)=DATE(YEAR(TODAY()),MONTH(TODAY()),1))),1,0))</f>
        <v/>
      </c>
      <c r="S297">
        <f>IF($A297="","",IF(AND($B297&gt;0,F297&lt;$B297,DATE($B$1,4,1)&lt;=TODAY(),OR($O297="",$O297&gt;=DATE($B$1,4,1)),OR(COUNTIF($C297:F297,"&gt;0")&gt;0,DATE($B$1,4,1)=DATE(YEAR(TODAY()),MONTH(TODAY()),1))),1,0))</f>
        <v/>
      </c>
      <c r="T297">
        <f>IF($A297="","",IF(AND($B297&gt;0,G297&lt;$B297,DATE($B$1,5,1)&lt;=TODAY(),OR($O297="",$O297&gt;=DATE($B$1,5,1)),OR(COUNTIF($C297:G297,"&gt;0")&gt;0,DATE($B$1,5,1)=DATE(YEAR(TODAY()),MONTH(TODAY()),1))),1,0))</f>
        <v/>
      </c>
      <c r="U297">
        <f>IF($A297="","",IF(AND($B297&gt;0,H297&lt;$B297,DATE($B$1,6,1)&lt;=TODAY(),OR($O297="",$O297&gt;=DATE($B$1,6,1)),OR(COUNTIF($C297:H297,"&gt;0")&gt;0,DATE($B$1,6,1)=DATE(YEAR(TODAY()),MONTH(TODAY()),1))),1,0))</f>
        <v/>
      </c>
      <c r="V297">
        <f>IF($A297="","",IF(AND($B297&gt;0,I297&lt;$B297,DATE($B$1,7,1)&lt;=TODAY(),OR($O297="",$O297&gt;=DATE($B$1,7,1)),OR(COUNTIF($C297:I297,"&gt;0")&gt;0,DATE($B$1,7,1)=DATE(YEAR(TODAY()),MONTH(TODAY()),1))),1,0))</f>
        <v/>
      </c>
      <c r="W297">
        <f>IF($A297="","",IF(AND($B297&gt;0,J297&lt;$B297,DATE($B$1,8,1)&lt;=TODAY(),OR($O297="",$O297&gt;=DATE($B$1,8,1)),OR(COUNTIF($C297:J297,"&gt;0")&gt;0,DATE($B$1,8,1)=DATE(YEAR(TODAY()),MONTH(TODAY()),1))),1,0))</f>
        <v/>
      </c>
      <c r="X297">
        <f>IF($A297="","",IF(AND($B297&gt;0,K297&lt;$B297,DATE($B$1,9,1)&lt;=TODAY(),OR($O297="",$O297&gt;=DATE($B$1,9,1)),OR(COUNTIF($C297:K297,"&gt;0")&gt;0,DATE($B$1,9,1)=DATE(YEAR(TODAY()),MONTH(TODAY()),1))),1,0))</f>
        <v/>
      </c>
      <c r="Y297">
        <f>IF($A297="","",IF(AND($B297&gt;0,L297&lt;$B297,DATE($B$1,10,1)&lt;=TODAY(),OR($O297="",$O297&gt;=DATE($B$1,10,1)),OR(COUNTIF($C297:L297,"&gt;0")&gt;0,DATE($B$1,10,1)=DATE(YEAR(TODAY()),MONTH(TODAY()),1))),1,0))</f>
        <v/>
      </c>
      <c r="Z297">
        <f>IF($A297="","",IF(AND($B297&gt;0,M297&lt;$B297,DATE($B$1,11,1)&lt;=TODAY(),OR($O297="",$O297&gt;=DATE($B$1,11,1)),OR(COUNTIF($C297:M297,"&gt;0")&gt;0,DATE($B$1,11,1)=DATE(YEAR(TODAY()),MONTH(TODAY()),1))),1,0))</f>
        <v/>
      </c>
      <c r="AA297">
        <f>IF($A297="","",IF(AND($B297&gt;0,N297&lt;$B297,DATE($B$1,12,1)&lt;=TODAY(),OR($O297="",$O297&gt;=DATE($B$1,12,1)),OR(COUNTIF($C297:N297,"&gt;0")&gt;0,DATE($B$1,12,1)=DATE(YEAR(TODAY()),MONTH(TODAY()),1))),1,0))</f>
        <v/>
      </c>
    </row>
    <row r="298">
      <c r="A298" s="13">
        <f>IF(원생!$A296="","",원생!$A296&amp;IF(원생!$G296="",""," ("&amp;원생!$G296&amp;")"))</f>
        <v/>
      </c>
      <c r="B298" s="8">
        <f>IF(원생!$A296="","",원생!$F296)</f>
        <v/>
      </c>
      <c r="C298" s="14">
        <f>IF(원생!$A296="","",SUMIFS(수납!$F:$F,수납!$C:$C,원생!$A296,수납!$D:$D,IF(원생!$G296="","",원생!$G296),수납!$B:$B,$B$1&amp;"-"&amp;TEXT(1,"00")&amp;"*",수납!$E:$E,"수강료")+SUMIFS(수납!$F:$F,수납!$C:$C,원생!$A296,수납!$D:$D,IF(원생!$G296="","",원생!$G296),수납!$B:$B,$B$1&amp;"-"&amp;TEXT(1,"00")&amp;"*",수납!$E:$E,""))</f>
        <v/>
      </c>
      <c r="D298" s="14">
        <f>IF(원생!$A296="","",SUMIFS(수납!$F:$F,수납!$C:$C,원생!$A296,수납!$D:$D,IF(원생!$G296="","",원생!$G296),수납!$B:$B,$B$1&amp;"-"&amp;TEXT(2,"00")&amp;"*",수납!$E:$E,"수강료")+SUMIFS(수납!$F:$F,수납!$C:$C,원생!$A296,수납!$D:$D,IF(원생!$G296="","",원생!$G296),수납!$B:$B,$B$1&amp;"-"&amp;TEXT(2,"00")&amp;"*",수납!$E:$E,""))</f>
        <v/>
      </c>
      <c r="E298" s="14">
        <f>IF(원생!$A296="","",SUMIFS(수납!$F:$F,수납!$C:$C,원생!$A296,수납!$D:$D,IF(원생!$G296="","",원생!$G296),수납!$B:$B,$B$1&amp;"-"&amp;TEXT(3,"00")&amp;"*",수납!$E:$E,"수강료")+SUMIFS(수납!$F:$F,수납!$C:$C,원생!$A296,수납!$D:$D,IF(원생!$G296="","",원생!$G296),수납!$B:$B,$B$1&amp;"-"&amp;TEXT(3,"00")&amp;"*",수납!$E:$E,""))</f>
        <v/>
      </c>
      <c r="F298" s="14">
        <f>IF(원생!$A296="","",SUMIFS(수납!$F:$F,수납!$C:$C,원생!$A296,수납!$D:$D,IF(원생!$G296="","",원생!$G296),수납!$B:$B,$B$1&amp;"-"&amp;TEXT(4,"00")&amp;"*",수납!$E:$E,"수강료")+SUMIFS(수납!$F:$F,수납!$C:$C,원생!$A296,수납!$D:$D,IF(원생!$G296="","",원생!$G296),수납!$B:$B,$B$1&amp;"-"&amp;TEXT(4,"00")&amp;"*",수납!$E:$E,""))</f>
        <v/>
      </c>
      <c r="G298" s="14">
        <f>IF(원생!$A296="","",SUMIFS(수납!$F:$F,수납!$C:$C,원생!$A296,수납!$D:$D,IF(원생!$G296="","",원생!$G296),수납!$B:$B,$B$1&amp;"-"&amp;TEXT(5,"00")&amp;"*",수납!$E:$E,"수강료")+SUMIFS(수납!$F:$F,수납!$C:$C,원생!$A296,수납!$D:$D,IF(원생!$G296="","",원생!$G296),수납!$B:$B,$B$1&amp;"-"&amp;TEXT(5,"00")&amp;"*",수납!$E:$E,""))</f>
        <v/>
      </c>
      <c r="H298" s="14">
        <f>IF(원생!$A296="","",SUMIFS(수납!$F:$F,수납!$C:$C,원생!$A296,수납!$D:$D,IF(원생!$G296="","",원생!$G296),수납!$B:$B,$B$1&amp;"-"&amp;TEXT(6,"00")&amp;"*",수납!$E:$E,"수강료")+SUMIFS(수납!$F:$F,수납!$C:$C,원생!$A296,수납!$D:$D,IF(원생!$G296="","",원생!$G296),수납!$B:$B,$B$1&amp;"-"&amp;TEXT(6,"00")&amp;"*",수납!$E:$E,""))</f>
        <v/>
      </c>
      <c r="I298" s="14">
        <f>IF(원생!$A296="","",SUMIFS(수납!$F:$F,수납!$C:$C,원생!$A296,수납!$D:$D,IF(원생!$G296="","",원생!$G296),수납!$B:$B,$B$1&amp;"-"&amp;TEXT(7,"00")&amp;"*",수납!$E:$E,"수강료")+SUMIFS(수납!$F:$F,수납!$C:$C,원생!$A296,수납!$D:$D,IF(원생!$G296="","",원생!$G296),수납!$B:$B,$B$1&amp;"-"&amp;TEXT(7,"00")&amp;"*",수납!$E:$E,""))</f>
        <v/>
      </c>
      <c r="J298" s="14">
        <f>IF(원생!$A296="","",SUMIFS(수납!$F:$F,수납!$C:$C,원생!$A296,수납!$D:$D,IF(원생!$G296="","",원생!$G296),수납!$B:$B,$B$1&amp;"-"&amp;TEXT(8,"00")&amp;"*",수납!$E:$E,"수강료")+SUMIFS(수납!$F:$F,수납!$C:$C,원생!$A296,수납!$D:$D,IF(원생!$G296="","",원생!$G296),수납!$B:$B,$B$1&amp;"-"&amp;TEXT(8,"00")&amp;"*",수납!$E:$E,""))</f>
        <v/>
      </c>
      <c r="K298" s="14">
        <f>IF(원생!$A296="","",SUMIFS(수납!$F:$F,수납!$C:$C,원생!$A296,수납!$D:$D,IF(원생!$G296="","",원생!$G296),수납!$B:$B,$B$1&amp;"-"&amp;TEXT(9,"00")&amp;"*",수납!$E:$E,"수강료")+SUMIFS(수납!$F:$F,수납!$C:$C,원생!$A296,수납!$D:$D,IF(원생!$G296="","",원생!$G296),수납!$B:$B,$B$1&amp;"-"&amp;TEXT(9,"00")&amp;"*",수납!$E:$E,""))</f>
        <v/>
      </c>
      <c r="L298" s="14">
        <f>IF(원생!$A296="","",SUMIFS(수납!$F:$F,수납!$C:$C,원생!$A296,수납!$D:$D,IF(원생!$G296="","",원생!$G296),수납!$B:$B,$B$1&amp;"-"&amp;TEXT(10,"00")&amp;"*",수납!$E:$E,"수강료")+SUMIFS(수납!$F:$F,수납!$C:$C,원생!$A296,수납!$D:$D,IF(원생!$G296="","",원생!$G296),수납!$B:$B,$B$1&amp;"-"&amp;TEXT(10,"00")&amp;"*",수납!$E:$E,""))</f>
        <v/>
      </c>
      <c r="M298" s="14">
        <f>IF(원생!$A296="","",SUMIFS(수납!$F:$F,수납!$C:$C,원생!$A296,수납!$D:$D,IF(원생!$G296="","",원생!$G296),수납!$B:$B,$B$1&amp;"-"&amp;TEXT(11,"00")&amp;"*",수납!$E:$E,"수강료")+SUMIFS(수납!$F:$F,수납!$C:$C,원생!$A296,수납!$D:$D,IF(원생!$G296="","",원생!$G296),수납!$B:$B,$B$1&amp;"-"&amp;TEXT(11,"00")&amp;"*",수납!$E:$E,""))</f>
        <v/>
      </c>
      <c r="N298" s="14">
        <f>IF(원생!$A296="","",SUMIFS(수납!$F:$F,수납!$C:$C,원생!$A296,수납!$D:$D,IF(원생!$G296="","",원생!$G296),수납!$B:$B,$B$1&amp;"-"&amp;TEXT(12,"00")&amp;"*",수납!$E:$E,"수강료")+SUMIFS(수납!$F:$F,수납!$C:$C,원생!$A296,수납!$D:$D,IF(원생!$G296="","",원생!$G296),수납!$B:$B,$B$1&amp;"-"&amp;TEXT(12,"00")&amp;"*",수납!$E:$E,""))</f>
        <v/>
      </c>
      <c r="O298">
        <f>IF(원생!$I296="","",원생!$I296)</f>
        <v/>
      </c>
      <c r="P298">
        <f>IF($A298="","",IF(AND($B298&gt;0,C298&lt;$B298,DATE($B$1,1,1)&lt;=TODAY(),OR($O298="",$O298&gt;=DATE($B$1,1,1)),OR(COUNTIF($C298:C298,"&gt;0")&gt;0,DATE($B$1,1,1)=DATE(YEAR(TODAY()),MONTH(TODAY()),1))),1,0))</f>
        <v/>
      </c>
      <c r="Q298">
        <f>IF($A298="","",IF(AND($B298&gt;0,D298&lt;$B298,DATE($B$1,2,1)&lt;=TODAY(),OR($O298="",$O298&gt;=DATE($B$1,2,1)),OR(COUNTIF($C298:D298,"&gt;0")&gt;0,DATE($B$1,2,1)=DATE(YEAR(TODAY()),MONTH(TODAY()),1))),1,0))</f>
        <v/>
      </c>
      <c r="R298">
        <f>IF($A298="","",IF(AND($B298&gt;0,E298&lt;$B298,DATE($B$1,3,1)&lt;=TODAY(),OR($O298="",$O298&gt;=DATE($B$1,3,1)),OR(COUNTIF($C298:E298,"&gt;0")&gt;0,DATE($B$1,3,1)=DATE(YEAR(TODAY()),MONTH(TODAY()),1))),1,0))</f>
        <v/>
      </c>
      <c r="S298">
        <f>IF($A298="","",IF(AND($B298&gt;0,F298&lt;$B298,DATE($B$1,4,1)&lt;=TODAY(),OR($O298="",$O298&gt;=DATE($B$1,4,1)),OR(COUNTIF($C298:F298,"&gt;0")&gt;0,DATE($B$1,4,1)=DATE(YEAR(TODAY()),MONTH(TODAY()),1))),1,0))</f>
        <v/>
      </c>
      <c r="T298">
        <f>IF($A298="","",IF(AND($B298&gt;0,G298&lt;$B298,DATE($B$1,5,1)&lt;=TODAY(),OR($O298="",$O298&gt;=DATE($B$1,5,1)),OR(COUNTIF($C298:G298,"&gt;0")&gt;0,DATE($B$1,5,1)=DATE(YEAR(TODAY()),MONTH(TODAY()),1))),1,0))</f>
        <v/>
      </c>
      <c r="U298">
        <f>IF($A298="","",IF(AND($B298&gt;0,H298&lt;$B298,DATE($B$1,6,1)&lt;=TODAY(),OR($O298="",$O298&gt;=DATE($B$1,6,1)),OR(COUNTIF($C298:H298,"&gt;0")&gt;0,DATE($B$1,6,1)=DATE(YEAR(TODAY()),MONTH(TODAY()),1))),1,0))</f>
        <v/>
      </c>
      <c r="V298">
        <f>IF($A298="","",IF(AND($B298&gt;0,I298&lt;$B298,DATE($B$1,7,1)&lt;=TODAY(),OR($O298="",$O298&gt;=DATE($B$1,7,1)),OR(COUNTIF($C298:I298,"&gt;0")&gt;0,DATE($B$1,7,1)=DATE(YEAR(TODAY()),MONTH(TODAY()),1))),1,0))</f>
        <v/>
      </c>
      <c r="W298">
        <f>IF($A298="","",IF(AND($B298&gt;0,J298&lt;$B298,DATE($B$1,8,1)&lt;=TODAY(),OR($O298="",$O298&gt;=DATE($B$1,8,1)),OR(COUNTIF($C298:J298,"&gt;0")&gt;0,DATE($B$1,8,1)=DATE(YEAR(TODAY()),MONTH(TODAY()),1))),1,0))</f>
        <v/>
      </c>
      <c r="X298">
        <f>IF($A298="","",IF(AND($B298&gt;0,K298&lt;$B298,DATE($B$1,9,1)&lt;=TODAY(),OR($O298="",$O298&gt;=DATE($B$1,9,1)),OR(COUNTIF($C298:K298,"&gt;0")&gt;0,DATE($B$1,9,1)=DATE(YEAR(TODAY()),MONTH(TODAY()),1))),1,0))</f>
        <v/>
      </c>
      <c r="Y298">
        <f>IF($A298="","",IF(AND($B298&gt;0,L298&lt;$B298,DATE($B$1,10,1)&lt;=TODAY(),OR($O298="",$O298&gt;=DATE($B$1,10,1)),OR(COUNTIF($C298:L298,"&gt;0")&gt;0,DATE($B$1,10,1)=DATE(YEAR(TODAY()),MONTH(TODAY()),1))),1,0))</f>
        <v/>
      </c>
      <c r="Z298">
        <f>IF($A298="","",IF(AND($B298&gt;0,M298&lt;$B298,DATE($B$1,11,1)&lt;=TODAY(),OR($O298="",$O298&gt;=DATE($B$1,11,1)),OR(COUNTIF($C298:M298,"&gt;0")&gt;0,DATE($B$1,11,1)=DATE(YEAR(TODAY()),MONTH(TODAY()),1))),1,0))</f>
        <v/>
      </c>
      <c r="AA298">
        <f>IF($A298="","",IF(AND($B298&gt;0,N298&lt;$B298,DATE($B$1,12,1)&lt;=TODAY(),OR($O298="",$O298&gt;=DATE($B$1,12,1)),OR(COUNTIF($C298:N298,"&gt;0")&gt;0,DATE($B$1,12,1)=DATE(YEAR(TODAY()),MONTH(TODAY()),1))),1,0))</f>
        <v/>
      </c>
    </row>
    <row r="299">
      <c r="A299" s="13">
        <f>IF(원생!$A297="","",원생!$A297&amp;IF(원생!$G297="",""," ("&amp;원생!$G297&amp;")"))</f>
        <v/>
      </c>
      <c r="B299" s="8">
        <f>IF(원생!$A297="","",원생!$F297)</f>
        <v/>
      </c>
      <c r="C299" s="14">
        <f>IF(원생!$A297="","",SUMIFS(수납!$F:$F,수납!$C:$C,원생!$A297,수납!$D:$D,IF(원생!$G297="","",원생!$G297),수납!$B:$B,$B$1&amp;"-"&amp;TEXT(1,"00")&amp;"*",수납!$E:$E,"수강료")+SUMIFS(수납!$F:$F,수납!$C:$C,원생!$A297,수납!$D:$D,IF(원생!$G297="","",원생!$G297),수납!$B:$B,$B$1&amp;"-"&amp;TEXT(1,"00")&amp;"*",수납!$E:$E,""))</f>
        <v/>
      </c>
      <c r="D299" s="14">
        <f>IF(원생!$A297="","",SUMIFS(수납!$F:$F,수납!$C:$C,원생!$A297,수납!$D:$D,IF(원생!$G297="","",원생!$G297),수납!$B:$B,$B$1&amp;"-"&amp;TEXT(2,"00")&amp;"*",수납!$E:$E,"수강료")+SUMIFS(수납!$F:$F,수납!$C:$C,원생!$A297,수납!$D:$D,IF(원생!$G297="","",원생!$G297),수납!$B:$B,$B$1&amp;"-"&amp;TEXT(2,"00")&amp;"*",수납!$E:$E,""))</f>
        <v/>
      </c>
      <c r="E299" s="14">
        <f>IF(원생!$A297="","",SUMIFS(수납!$F:$F,수납!$C:$C,원생!$A297,수납!$D:$D,IF(원생!$G297="","",원생!$G297),수납!$B:$B,$B$1&amp;"-"&amp;TEXT(3,"00")&amp;"*",수납!$E:$E,"수강료")+SUMIFS(수납!$F:$F,수납!$C:$C,원생!$A297,수납!$D:$D,IF(원생!$G297="","",원생!$G297),수납!$B:$B,$B$1&amp;"-"&amp;TEXT(3,"00")&amp;"*",수납!$E:$E,""))</f>
        <v/>
      </c>
      <c r="F299" s="14">
        <f>IF(원생!$A297="","",SUMIFS(수납!$F:$F,수납!$C:$C,원생!$A297,수납!$D:$D,IF(원생!$G297="","",원생!$G297),수납!$B:$B,$B$1&amp;"-"&amp;TEXT(4,"00")&amp;"*",수납!$E:$E,"수강료")+SUMIFS(수납!$F:$F,수납!$C:$C,원생!$A297,수납!$D:$D,IF(원생!$G297="","",원생!$G297),수납!$B:$B,$B$1&amp;"-"&amp;TEXT(4,"00")&amp;"*",수납!$E:$E,""))</f>
        <v/>
      </c>
      <c r="G299" s="14">
        <f>IF(원생!$A297="","",SUMIFS(수납!$F:$F,수납!$C:$C,원생!$A297,수납!$D:$D,IF(원생!$G297="","",원생!$G297),수납!$B:$B,$B$1&amp;"-"&amp;TEXT(5,"00")&amp;"*",수납!$E:$E,"수강료")+SUMIFS(수납!$F:$F,수납!$C:$C,원생!$A297,수납!$D:$D,IF(원생!$G297="","",원생!$G297),수납!$B:$B,$B$1&amp;"-"&amp;TEXT(5,"00")&amp;"*",수납!$E:$E,""))</f>
        <v/>
      </c>
      <c r="H299" s="14">
        <f>IF(원생!$A297="","",SUMIFS(수납!$F:$F,수납!$C:$C,원생!$A297,수납!$D:$D,IF(원생!$G297="","",원생!$G297),수납!$B:$B,$B$1&amp;"-"&amp;TEXT(6,"00")&amp;"*",수납!$E:$E,"수강료")+SUMIFS(수납!$F:$F,수납!$C:$C,원생!$A297,수납!$D:$D,IF(원생!$G297="","",원생!$G297),수납!$B:$B,$B$1&amp;"-"&amp;TEXT(6,"00")&amp;"*",수납!$E:$E,""))</f>
        <v/>
      </c>
      <c r="I299" s="14">
        <f>IF(원생!$A297="","",SUMIFS(수납!$F:$F,수납!$C:$C,원생!$A297,수납!$D:$D,IF(원생!$G297="","",원생!$G297),수납!$B:$B,$B$1&amp;"-"&amp;TEXT(7,"00")&amp;"*",수납!$E:$E,"수강료")+SUMIFS(수납!$F:$F,수납!$C:$C,원생!$A297,수납!$D:$D,IF(원생!$G297="","",원생!$G297),수납!$B:$B,$B$1&amp;"-"&amp;TEXT(7,"00")&amp;"*",수납!$E:$E,""))</f>
        <v/>
      </c>
      <c r="J299" s="14">
        <f>IF(원생!$A297="","",SUMIFS(수납!$F:$F,수납!$C:$C,원생!$A297,수납!$D:$D,IF(원생!$G297="","",원생!$G297),수납!$B:$B,$B$1&amp;"-"&amp;TEXT(8,"00")&amp;"*",수납!$E:$E,"수강료")+SUMIFS(수납!$F:$F,수납!$C:$C,원생!$A297,수납!$D:$D,IF(원생!$G297="","",원생!$G297),수납!$B:$B,$B$1&amp;"-"&amp;TEXT(8,"00")&amp;"*",수납!$E:$E,""))</f>
        <v/>
      </c>
      <c r="K299" s="14">
        <f>IF(원생!$A297="","",SUMIFS(수납!$F:$F,수납!$C:$C,원생!$A297,수납!$D:$D,IF(원생!$G297="","",원생!$G297),수납!$B:$B,$B$1&amp;"-"&amp;TEXT(9,"00")&amp;"*",수납!$E:$E,"수강료")+SUMIFS(수납!$F:$F,수납!$C:$C,원생!$A297,수납!$D:$D,IF(원생!$G297="","",원생!$G297),수납!$B:$B,$B$1&amp;"-"&amp;TEXT(9,"00")&amp;"*",수납!$E:$E,""))</f>
        <v/>
      </c>
      <c r="L299" s="14">
        <f>IF(원생!$A297="","",SUMIFS(수납!$F:$F,수납!$C:$C,원생!$A297,수납!$D:$D,IF(원생!$G297="","",원생!$G297),수납!$B:$B,$B$1&amp;"-"&amp;TEXT(10,"00")&amp;"*",수납!$E:$E,"수강료")+SUMIFS(수납!$F:$F,수납!$C:$C,원생!$A297,수납!$D:$D,IF(원생!$G297="","",원생!$G297),수납!$B:$B,$B$1&amp;"-"&amp;TEXT(10,"00")&amp;"*",수납!$E:$E,""))</f>
        <v/>
      </c>
      <c r="M299" s="14">
        <f>IF(원생!$A297="","",SUMIFS(수납!$F:$F,수납!$C:$C,원생!$A297,수납!$D:$D,IF(원생!$G297="","",원생!$G297),수납!$B:$B,$B$1&amp;"-"&amp;TEXT(11,"00")&amp;"*",수납!$E:$E,"수강료")+SUMIFS(수납!$F:$F,수납!$C:$C,원생!$A297,수납!$D:$D,IF(원생!$G297="","",원생!$G297),수납!$B:$B,$B$1&amp;"-"&amp;TEXT(11,"00")&amp;"*",수납!$E:$E,""))</f>
        <v/>
      </c>
      <c r="N299" s="14">
        <f>IF(원생!$A297="","",SUMIFS(수납!$F:$F,수납!$C:$C,원생!$A297,수납!$D:$D,IF(원생!$G297="","",원생!$G297),수납!$B:$B,$B$1&amp;"-"&amp;TEXT(12,"00")&amp;"*",수납!$E:$E,"수강료")+SUMIFS(수납!$F:$F,수납!$C:$C,원생!$A297,수납!$D:$D,IF(원생!$G297="","",원생!$G297),수납!$B:$B,$B$1&amp;"-"&amp;TEXT(12,"00")&amp;"*",수납!$E:$E,""))</f>
        <v/>
      </c>
      <c r="O299">
        <f>IF(원생!$I297="","",원생!$I297)</f>
        <v/>
      </c>
      <c r="P299">
        <f>IF($A299="","",IF(AND($B299&gt;0,C299&lt;$B299,DATE($B$1,1,1)&lt;=TODAY(),OR($O299="",$O299&gt;=DATE($B$1,1,1)),OR(COUNTIF($C299:C299,"&gt;0")&gt;0,DATE($B$1,1,1)=DATE(YEAR(TODAY()),MONTH(TODAY()),1))),1,0))</f>
        <v/>
      </c>
      <c r="Q299">
        <f>IF($A299="","",IF(AND($B299&gt;0,D299&lt;$B299,DATE($B$1,2,1)&lt;=TODAY(),OR($O299="",$O299&gt;=DATE($B$1,2,1)),OR(COUNTIF($C299:D299,"&gt;0")&gt;0,DATE($B$1,2,1)=DATE(YEAR(TODAY()),MONTH(TODAY()),1))),1,0))</f>
        <v/>
      </c>
      <c r="R299">
        <f>IF($A299="","",IF(AND($B299&gt;0,E299&lt;$B299,DATE($B$1,3,1)&lt;=TODAY(),OR($O299="",$O299&gt;=DATE($B$1,3,1)),OR(COUNTIF($C299:E299,"&gt;0")&gt;0,DATE($B$1,3,1)=DATE(YEAR(TODAY()),MONTH(TODAY()),1))),1,0))</f>
        <v/>
      </c>
      <c r="S299">
        <f>IF($A299="","",IF(AND($B299&gt;0,F299&lt;$B299,DATE($B$1,4,1)&lt;=TODAY(),OR($O299="",$O299&gt;=DATE($B$1,4,1)),OR(COUNTIF($C299:F299,"&gt;0")&gt;0,DATE($B$1,4,1)=DATE(YEAR(TODAY()),MONTH(TODAY()),1))),1,0))</f>
        <v/>
      </c>
      <c r="T299">
        <f>IF($A299="","",IF(AND($B299&gt;0,G299&lt;$B299,DATE($B$1,5,1)&lt;=TODAY(),OR($O299="",$O299&gt;=DATE($B$1,5,1)),OR(COUNTIF($C299:G299,"&gt;0")&gt;0,DATE($B$1,5,1)=DATE(YEAR(TODAY()),MONTH(TODAY()),1))),1,0))</f>
        <v/>
      </c>
      <c r="U299">
        <f>IF($A299="","",IF(AND($B299&gt;0,H299&lt;$B299,DATE($B$1,6,1)&lt;=TODAY(),OR($O299="",$O299&gt;=DATE($B$1,6,1)),OR(COUNTIF($C299:H299,"&gt;0")&gt;0,DATE($B$1,6,1)=DATE(YEAR(TODAY()),MONTH(TODAY()),1))),1,0))</f>
        <v/>
      </c>
      <c r="V299">
        <f>IF($A299="","",IF(AND($B299&gt;0,I299&lt;$B299,DATE($B$1,7,1)&lt;=TODAY(),OR($O299="",$O299&gt;=DATE($B$1,7,1)),OR(COUNTIF($C299:I299,"&gt;0")&gt;0,DATE($B$1,7,1)=DATE(YEAR(TODAY()),MONTH(TODAY()),1))),1,0))</f>
        <v/>
      </c>
      <c r="W299">
        <f>IF($A299="","",IF(AND($B299&gt;0,J299&lt;$B299,DATE($B$1,8,1)&lt;=TODAY(),OR($O299="",$O299&gt;=DATE($B$1,8,1)),OR(COUNTIF($C299:J299,"&gt;0")&gt;0,DATE($B$1,8,1)=DATE(YEAR(TODAY()),MONTH(TODAY()),1))),1,0))</f>
        <v/>
      </c>
      <c r="X299">
        <f>IF($A299="","",IF(AND($B299&gt;0,K299&lt;$B299,DATE($B$1,9,1)&lt;=TODAY(),OR($O299="",$O299&gt;=DATE($B$1,9,1)),OR(COUNTIF($C299:K299,"&gt;0")&gt;0,DATE($B$1,9,1)=DATE(YEAR(TODAY()),MONTH(TODAY()),1))),1,0))</f>
        <v/>
      </c>
      <c r="Y299">
        <f>IF($A299="","",IF(AND($B299&gt;0,L299&lt;$B299,DATE($B$1,10,1)&lt;=TODAY(),OR($O299="",$O299&gt;=DATE($B$1,10,1)),OR(COUNTIF($C299:L299,"&gt;0")&gt;0,DATE($B$1,10,1)=DATE(YEAR(TODAY()),MONTH(TODAY()),1))),1,0))</f>
        <v/>
      </c>
      <c r="Z299">
        <f>IF($A299="","",IF(AND($B299&gt;0,M299&lt;$B299,DATE($B$1,11,1)&lt;=TODAY(),OR($O299="",$O299&gt;=DATE($B$1,11,1)),OR(COUNTIF($C299:M299,"&gt;0")&gt;0,DATE($B$1,11,1)=DATE(YEAR(TODAY()),MONTH(TODAY()),1))),1,0))</f>
        <v/>
      </c>
      <c r="AA299">
        <f>IF($A299="","",IF(AND($B299&gt;0,N299&lt;$B299,DATE($B$1,12,1)&lt;=TODAY(),OR($O299="",$O299&gt;=DATE($B$1,12,1)),OR(COUNTIF($C299:N299,"&gt;0")&gt;0,DATE($B$1,12,1)=DATE(YEAR(TODAY()),MONTH(TODAY()),1))),1,0))</f>
        <v/>
      </c>
    </row>
    <row r="300">
      <c r="A300" s="13">
        <f>IF(원생!$A298="","",원생!$A298&amp;IF(원생!$G298="",""," ("&amp;원생!$G298&amp;")"))</f>
        <v/>
      </c>
      <c r="B300" s="8">
        <f>IF(원생!$A298="","",원생!$F298)</f>
        <v/>
      </c>
      <c r="C300" s="14">
        <f>IF(원생!$A298="","",SUMIFS(수납!$F:$F,수납!$C:$C,원생!$A298,수납!$D:$D,IF(원생!$G298="","",원생!$G298),수납!$B:$B,$B$1&amp;"-"&amp;TEXT(1,"00")&amp;"*",수납!$E:$E,"수강료")+SUMIFS(수납!$F:$F,수납!$C:$C,원생!$A298,수납!$D:$D,IF(원생!$G298="","",원생!$G298),수납!$B:$B,$B$1&amp;"-"&amp;TEXT(1,"00")&amp;"*",수납!$E:$E,""))</f>
        <v/>
      </c>
      <c r="D300" s="14">
        <f>IF(원생!$A298="","",SUMIFS(수납!$F:$F,수납!$C:$C,원생!$A298,수납!$D:$D,IF(원생!$G298="","",원생!$G298),수납!$B:$B,$B$1&amp;"-"&amp;TEXT(2,"00")&amp;"*",수납!$E:$E,"수강료")+SUMIFS(수납!$F:$F,수납!$C:$C,원생!$A298,수납!$D:$D,IF(원생!$G298="","",원생!$G298),수납!$B:$B,$B$1&amp;"-"&amp;TEXT(2,"00")&amp;"*",수납!$E:$E,""))</f>
        <v/>
      </c>
      <c r="E300" s="14">
        <f>IF(원생!$A298="","",SUMIFS(수납!$F:$F,수납!$C:$C,원생!$A298,수납!$D:$D,IF(원생!$G298="","",원생!$G298),수납!$B:$B,$B$1&amp;"-"&amp;TEXT(3,"00")&amp;"*",수납!$E:$E,"수강료")+SUMIFS(수납!$F:$F,수납!$C:$C,원생!$A298,수납!$D:$D,IF(원생!$G298="","",원생!$G298),수납!$B:$B,$B$1&amp;"-"&amp;TEXT(3,"00")&amp;"*",수납!$E:$E,""))</f>
        <v/>
      </c>
      <c r="F300" s="14">
        <f>IF(원생!$A298="","",SUMIFS(수납!$F:$F,수납!$C:$C,원생!$A298,수납!$D:$D,IF(원생!$G298="","",원생!$G298),수납!$B:$B,$B$1&amp;"-"&amp;TEXT(4,"00")&amp;"*",수납!$E:$E,"수강료")+SUMIFS(수납!$F:$F,수납!$C:$C,원생!$A298,수납!$D:$D,IF(원생!$G298="","",원생!$G298),수납!$B:$B,$B$1&amp;"-"&amp;TEXT(4,"00")&amp;"*",수납!$E:$E,""))</f>
        <v/>
      </c>
      <c r="G300" s="14">
        <f>IF(원생!$A298="","",SUMIFS(수납!$F:$F,수납!$C:$C,원생!$A298,수납!$D:$D,IF(원생!$G298="","",원생!$G298),수납!$B:$B,$B$1&amp;"-"&amp;TEXT(5,"00")&amp;"*",수납!$E:$E,"수강료")+SUMIFS(수납!$F:$F,수납!$C:$C,원생!$A298,수납!$D:$D,IF(원생!$G298="","",원생!$G298),수납!$B:$B,$B$1&amp;"-"&amp;TEXT(5,"00")&amp;"*",수납!$E:$E,""))</f>
        <v/>
      </c>
      <c r="H300" s="14">
        <f>IF(원생!$A298="","",SUMIFS(수납!$F:$F,수납!$C:$C,원생!$A298,수납!$D:$D,IF(원생!$G298="","",원생!$G298),수납!$B:$B,$B$1&amp;"-"&amp;TEXT(6,"00")&amp;"*",수납!$E:$E,"수강료")+SUMIFS(수납!$F:$F,수납!$C:$C,원생!$A298,수납!$D:$D,IF(원생!$G298="","",원생!$G298),수납!$B:$B,$B$1&amp;"-"&amp;TEXT(6,"00")&amp;"*",수납!$E:$E,""))</f>
        <v/>
      </c>
      <c r="I300" s="14">
        <f>IF(원생!$A298="","",SUMIFS(수납!$F:$F,수납!$C:$C,원생!$A298,수납!$D:$D,IF(원생!$G298="","",원생!$G298),수납!$B:$B,$B$1&amp;"-"&amp;TEXT(7,"00")&amp;"*",수납!$E:$E,"수강료")+SUMIFS(수납!$F:$F,수납!$C:$C,원생!$A298,수납!$D:$D,IF(원생!$G298="","",원생!$G298),수납!$B:$B,$B$1&amp;"-"&amp;TEXT(7,"00")&amp;"*",수납!$E:$E,""))</f>
        <v/>
      </c>
      <c r="J300" s="14">
        <f>IF(원생!$A298="","",SUMIFS(수납!$F:$F,수납!$C:$C,원생!$A298,수납!$D:$D,IF(원생!$G298="","",원생!$G298),수납!$B:$B,$B$1&amp;"-"&amp;TEXT(8,"00")&amp;"*",수납!$E:$E,"수강료")+SUMIFS(수납!$F:$F,수납!$C:$C,원생!$A298,수납!$D:$D,IF(원생!$G298="","",원생!$G298),수납!$B:$B,$B$1&amp;"-"&amp;TEXT(8,"00")&amp;"*",수납!$E:$E,""))</f>
        <v/>
      </c>
      <c r="K300" s="14">
        <f>IF(원생!$A298="","",SUMIFS(수납!$F:$F,수납!$C:$C,원생!$A298,수납!$D:$D,IF(원생!$G298="","",원생!$G298),수납!$B:$B,$B$1&amp;"-"&amp;TEXT(9,"00")&amp;"*",수납!$E:$E,"수강료")+SUMIFS(수납!$F:$F,수납!$C:$C,원생!$A298,수납!$D:$D,IF(원생!$G298="","",원생!$G298),수납!$B:$B,$B$1&amp;"-"&amp;TEXT(9,"00")&amp;"*",수납!$E:$E,""))</f>
        <v/>
      </c>
      <c r="L300" s="14">
        <f>IF(원생!$A298="","",SUMIFS(수납!$F:$F,수납!$C:$C,원생!$A298,수납!$D:$D,IF(원생!$G298="","",원생!$G298),수납!$B:$B,$B$1&amp;"-"&amp;TEXT(10,"00")&amp;"*",수납!$E:$E,"수강료")+SUMIFS(수납!$F:$F,수납!$C:$C,원생!$A298,수납!$D:$D,IF(원생!$G298="","",원생!$G298),수납!$B:$B,$B$1&amp;"-"&amp;TEXT(10,"00")&amp;"*",수납!$E:$E,""))</f>
        <v/>
      </c>
      <c r="M300" s="14">
        <f>IF(원생!$A298="","",SUMIFS(수납!$F:$F,수납!$C:$C,원생!$A298,수납!$D:$D,IF(원생!$G298="","",원생!$G298),수납!$B:$B,$B$1&amp;"-"&amp;TEXT(11,"00")&amp;"*",수납!$E:$E,"수강료")+SUMIFS(수납!$F:$F,수납!$C:$C,원생!$A298,수납!$D:$D,IF(원생!$G298="","",원생!$G298),수납!$B:$B,$B$1&amp;"-"&amp;TEXT(11,"00")&amp;"*",수납!$E:$E,""))</f>
        <v/>
      </c>
      <c r="N300" s="14">
        <f>IF(원생!$A298="","",SUMIFS(수납!$F:$F,수납!$C:$C,원생!$A298,수납!$D:$D,IF(원생!$G298="","",원생!$G298),수납!$B:$B,$B$1&amp;"-"&amp;TEXT(12,"00")&amp;"*",수납!$E:$E,"수강료")+SUMIFS(수납!$F:$F,수납!$C:$C,원생!$A298,수납!$D:$D,IF(원생!$G298="","",원생!$G298),수납!$B:$B,$B$1&amp;"-"&amp;TEXT(12,"00")&amp;"*",수납!$E:$E,""))</f>
        <v/>
      </c>
      <c r="O300">
        <f>IF(원생!$I298="","",원생!$I298)</f>
        <v/>
      </c>
      <c r="P300">
        <f>IF($A300="","",IF(AND($B300&gt;0,C300&lt;$B300,DATE($B$1,1,1)&lt;=TODAY(),OR($O300="",$O300&gt;=DATE($B$1,1,1)),OR(COUNTIF($C300:C300,"&gt;0")&gt;0,DATE($B$1,1,1)=DATE(YEAR(TODAY()),MONTH(TODAY()),1))),1,0))</f>
        <v/>
      </c>
      <c r="Q300">
        <f>IF($A300="","",IF(AND($B300&gt;0,D300&lt;$B300,DATE($B$1,2,1)&lt;=TODAY(),OR($O300="",$O300&gt;=DATE($B$1,2,1)),OR(COUNTIF($C300:D300,"&gt;0")&gt;0,DATE($B$1,2,1)=DATE(YEAR(TODAY()),MONTH(TODAY()),1))),1,0))</f>
        <v/>
      </c>
      <c r="R300">
        <f>IF($A300="","",IF(AND($B300&gt;0,E300&lt;$B300,DATE($B$1,3,1)&lt;=TODAY(),OR($O300="",$O300&gt;=DATE($B$1,3,1)),OR(COUNTIF($C300:E300,"&gt;0")&gt;0,DATE($B$1,3,1)=DATE(YEAR(TODAY()),MONTH(TODAY()),1))),1,0))</f>
        <v/>
      </c>
      <c r="S300">
        <f>IF($A300="","",IF(AND($B300&gt;0,F300&lt;$B300,DATE($B$1,4,1)&lt;=TODAY(),OR($O300="",$O300&gt;=DATE($B$1,4,1)),OR(COUNTIF($C300:F300,"&gt;0")&gt;0,DATE($B$1,4,1)=DATE(YEAR(TODAY()),MONTH(TODAY()),1))),1,0))</f>
        <v/>
      </c>
      <c r="T300">
        <f>IF($A300="","",IF(AND($B300&gt;0,G300&lt;$B300,DATE($B$1,5,1)&lt;=TODAY(),OR($O300="",$O300&gt;=DATE($B$1,5,1)),OR(COUNTIF($C300:G300,"&gt;0")&gt;0,DATE($B$1,5,1)=DATE(YEAR(TODAY()),MONTH(TODAY()),1))),1,0))</f>
        <v/>
      </c>
      <c r="U300">
        <f>IF($A300="","",IF(AND($B300&gt;0,H300&lt;$B300,DATE($B$1,6,1)&lt;=TODAY(),OR($O300="",$O300&gt;=DATE($B$1,6,1)),OR(COUNTIF($C300:H300,"&gt;0")&gt;0,DATE($B$1,6,1)=DATE(YEAR(TODAY()),MONTH(TODAY()),1))),1,0))</f>
        <v/>
      </c>
      <c r="V300">
        <f>IF($A300="","",IF(AND($B300&gt;0,I300&lt;$B300,DATE($B$1,7,1)&lt;=TODAY(),OR($O300="",$O300&gt;=DATE($B$1,7,1)),OR(COUNTIF($C300:I300,"&gt;0")&gt;0,DATE($B$1,7,1)=DATE(YEAR(TODAY()),MONTH(TODAY()),1))),1,0))</f>
        <v/>
      </c>
      <c r="W300">
        <f>IF($A300="","",IF(AND($B300&gt;0,J300&lt;$B300,DATE($B$1,8,1)&lt;=TODAY(),OR($O300="",$O300&gt;=DATE($B$1,8,1)),OR(COUNTIF($C300:J300,"&gt;0")&gt;0,DATE($B$1,8,1)=DATE(YEAR(TODAY()),MONTH(TODAY()),1))),1,0))</f>
        <v/>
      </c>
      <c r="X300">
        <f>IF($A300="","",IF(AND($B300&gt;0,K300&lt;$B300,DATE($B$1,9,1)&lt;=TODAY(),OR($O300="",$O300&gt;=DATE($B$1,9,1)),OR(COUNTIF($C300:K300,"&gt;0")&gt;0,DATE($B$1,9,1)=DATE(YEAR(TODAY()),MONTH(TODAY()),1))),1,0))</f>
        <v/>
      </c>
      <c r="Y300">
        <f>IF($A300="","",IF(AND($B300&gt;0,L300&lt;$B300,DATE($B$1,10,1)&lt;=TODAY(),OR($O300="",$O300&gt;=DATE($B$1,10,1)),OR(COUNTIF($C300:L300,"&gt;0")&gt;0,DATE($B$1,10,1)=DATE(YEAR(TODAY()),MONTH(TODAY()),1))),1,0))</f>
        <v/>
      </c>
      <c r="Z300">
        <f>IF($A300="","",IF(AND($B300&gt;0,M300&lt;$B300,DATE($B$1,11,1)&lt;=TODAY(),OR($O300="",$O300&gt;=DATE($B$1,11,1)),OR(COUNTIF($C300:M300,"&gt;0")&gt;0,DATE($B$1,11,1)=DATE(YEAR(TODAY()),MONTH(TODAY()),1))),1,0))</f>
        <v/>
      </c>
      <c r="AA300">
        <f>IF($A300="","",IF(AND($B300&gt;0,N300&lt;$B300,DATE($B$1,12,1)&lt;=TODAY(),OR($O300="",$O300&gt;=DATE($B$1,12,1)),OR(COUNTIF($C300:N300,"&gt;0")&gt;0,DATE($B$1,12,1)=DATE(YEAR(TODAY()),MONTH(TODAY()),1))),1,0))</f>
        <v/>
      </c>
    </row>
    <row r="301">
      <c r="A301" s="13">
        <f>IF(원생!$A299="","",원생!$A299&amp;IF(원생!$G299="",""," ("&amp;원생!$G299&amp;")"))</f>
        <v/>
      </c>
      <c r="B301" s="8">
        <f>IF(원생!$A299="","",원생!$F299)</f>
        <v/>
      </c>
      <c r="C301" s="14">
        <f>IF(원생!$A299="","",SUMIFS(수납!$F:$F,수납!$C:$C,원생!$A299,수납!$D:$D,IF(원생!$G299="","",원생!$G299),수납!$B:$B,$B$1&amp;"-"&amp;TEXT(1,"00")&amp;"*",수납!$E:$E,"수강료")+SUMIFS(수납!$F:$F,수납!$C:$C,원생!$A299,수납!$D:$D,IF(원생!$G299="","",원생!$G299),수납!$B:$B,$B$1&amp;"-"&amp;TEXT(1,"00")&amp;"*",수납!$E:$E,""))</f>
        <v/>
      </c>
      <c r="D301" s="14">
        <f>IF(원생!$A299="","",SUMIFS(수납!$F:$F,수납!$C:$C,원생!$A299,수납!$D:$D,IF(원생!$G299="","",원생!$G299),수납!$B:$B,$B$1&amp;"-"&amp;TEXT(2,"00")&amp;"*",수납!$E:$E,"수강료")+SUMIFS(수납!$F:$F,수납!$C:$C,원생!$A299,수납!$D:$D,IF(원생!$G299="","",원생!$G299),수납!$B:$B,$B$1&amp;"-"&amp;TEXT(2,"00")&amp;"*",수납!$E:$E,""))</f>
        <v/>
      </c>
      <c r="E301" s="14">
        <f>IF(원생!$A299="","",SUMIFS(수납!$F:$F,수납!$C:$C,원생!$A299,수납!$D:$D,IF(원생!$G299="","",원생!$G299),수납!$B:$B,$B$1&amp;"-"&amp;TEXT(3,"00")&amp;"*",수납!$E:$E,"수강료")+SUMIFS(수납!$F:$F,수납!$C:$C,원생!$A299,수납!$D:$D,IF(원생!$G299="","",원생!$G299),수납!$B:$B,$B$1&amp;"-"&amp;TEXT(3,"00")&amp;"*",수납!$E:$E,""))</f>
        <v/>
      </c>
      <c r="F301" s="14">
        <f>IF(원생!$A299="","",SUMIFS(수납!$F:$F,수납!$C:$C,원생!$A299,수납!$D:$D,IF(원생!$G299="","",원생!$G299),수납!$B:$B,$B$1&amp;"-"&amp;TEXT(4,"00")&amp;"*",수납!$E:$E,"수강료")+SUMIFS(수납!$F:$F,수납!$C:$C,원생!$A299,수납!$D:$D,IF(원생!$G299="","",원생!$G299),수납!$B:$B,$B$1&amp;"-"&amp;TEXT(4,"00")&amp;"*",수납!$E:$E,""))</f>
        <v/>
      </c>
      <c r="G301" s="14">
        <f>IF(원생!$A299="","",SUMIFS(수납!$F:$F,수납!$C:$C,원생!$A299,수납!$D:$D,IF(원생!$G299="","",원생!$G299),수납!$B:$B,$B$1&amp;"-"&amp;TEXT(5,"00")&amp;"*",수납!$E:$E,"수강료")+SUMIFS(수납!$F:$F,수납!$C:$C,원생!$A299,수납!$D:$D,IF(원생!$G299="","",원생!$G299),수납!$B:$B,$B$1&amp;"-"&amp;TEXT(5,"00")&amp;"*",수납!$E:$E,""))</f>
        <v/>
      </c>
      <c r="H301" s="14">
        <f>IF(원생!$A299="","",SUMIFS(수납!$F:$F,수납!$C:$C,원생!$A299,수납!$D:$D,IF(원생!$G299="","",원생!$G299),수납!$B:$B,$B$1&amp;"-"&amp;TEXT(6,"00")&amp;"*",수납!$E:$E,"수강료")+SUMIFS(수납!$F:$F,수납!$C:$C,원생!$A299,수납!$D:$D,IF(원생!$G299="","",원생!$G299),수납!$B:$B,$B$1&amp;"-"&amp;TEXT(6,"00")&amp;"*",수납!$E:$E,""))</f>
        <v/>
      </c>
      <c r="I301" s="14">
        <f>IF(원생!$A299="","",SUMIFS(수납!$F:$F,수납!$C:$C,원생!$A299,수납!$D:$D,IF(원생!$G299="","",원생!$G299),수납!$B:$B,$B$1&amp;"-"&amp;TEXT(7,"00")&amp;"*",수납!$E:$E,"수강료")+SUMIFS(수납!$F:$F,수납!$C:$C,원생!$A299,수납!$D:$D,IF(원생!$G299="","",원생!$G299),수납!$B:$B,$B$1&amp;"-"&amp;TEXT(7,"00")&amp;"*",수납!$E:$E,""))</f>
        <v/>
      </c>
      <c r="J301" s="14">
        <f>IF(원생!$A299="","",SUMIFS(수납!$F:$F,수납!$C:$C,원생!$A299,수납!$D:$D,IF(원생!$G299="","",원생!$G299),수납!$B:$B,$B$1&amp;"-"&amp;TEXT(8,"00")&amp;"*",수납!$E:$E,"수강료")+SUMIFS(수납!$F:$F,수납!$C:$C,원생!$A299,수납!$D:$D,IF(원생!$G299="","",원생!$G299),수납!$B:$B,$B$1&amp;"-"&amp;TEXT(8,"00")&amp;"*",수납!$E:$E,""))</f>
        <v/>
      </c>
      <c r="K301" s="14">
        <f>IF(원생!$A299="","",SUMIFS(수납!$F:$F,수납!$C:$C,원생!$A299,수납!$D:$D,IF(원생!$G299="","",원생!$G299),수납!$B:$B,$B$1&amp;"-"&amp;TEXT(9,"00")&amp;"*",수납!$E:$E,"수강료")+SUMIFS(수납!$F:$F,수납!$C:$C,원생!$A299,수납!$D:$D,IF(원생!$G299="","",원생!$G299),수납!$B:$B,$B$1&amp;"-"&amp;TEXT(9,"00")&amp;"*",수납!$E:$E,""))</f>
        <v/>
      </c>
      <c r="L301" s="14">
        <f>IF(원생!$A299="","",SUMIFS(수납!$F:$F,수납!$C:$C,원생!$A299,수납!$D:$D,IF(원생!$G299="","",원생!$G299),수납!$B:$B,$B$1&amp;"-"&amp;TEXT(10,"00")&amp;"*",수납!$E:$E,"수강료")+SUMIFS(수납!$F:$F,수납!$C:$C,원생!$A299,수납!$D:$D,IF(원생!$G299="","",원생!$G299),수납!$B:$B,$B$1&amp;"-"&amp;TEXT(10,"00")&amp;"*",수납!$E:$E,""))</f>
        <v/>
      </c>
      <c r="M301" s="14">
        <f>IF(원생!$A299="","",SUMIFS(수납!$F:$F,수납!$C:$C,원생!$A299,수납!$D:$D,IF(원생!$G299="","",원생!$G299),수납!$B:$B,$B$1&amp;"-"&amp;TEXT(11,"00")&amp;"*",수납!$E:$E,"수강료")+SUMIFS(수납!$F:$F,수납!$C:$C,원생!$A299,수납!$D:$D,IF(원생!$G299="","",원생!$G299),수납!$B:$B,$B$1&amp;"-"&amp;TEXT(11,"00")&amp;"*",수납!$E:$E,""))</f>
        <v/>
      </c>
      <c r="N301" s="14">
        <f>IF(원생!$A299="","",SUMIFS(수납!$F:$F,수납!$C:$C,원생!$A299,수납!$D:$D,IF(원생!$G299="","",원생!$G299),수납!$B:$B,$B$1&amp;"-"&amp;TEXT(12,"00")&amp;"*",수납!$E:$E,"수강료")+SUMIFS(수납!$F:$F,수납!$C:$C,원생!$A299,수납!$D:$D,IF(원생!$G299="","",원생!$G299),수납!$B:$B,$B$1&amp;"-"&amp;TEXT(12,"00")&amp;"*",수납!$E:$E,""))</f>
        <v/>
      </c>
      <c r="O301">
        <f>IF(원생!$I299="","",원생!$I299)</f>
        <v/>
      </c>
      <c r="P301">
        <f>IF($A301="","",IF(AND($B301&gt;0,C301&lt;$B301,DATE($B$1,1,1)&lt;=TODAY(),OR($O301="",$O301&gt;=DATE($B$1,1,1)),OR(COUNTIF($C301:C301,"&gt;0")&gt;0,DATE($B$1,1,1)=DATE(YEAR(TODAY()),MONTH(TODAY()),1))),1,0))</f>
        <v/>
      </c>
      <c r="Q301">
        <f>IF($A301="","",IF(AND($B301&gt;0,D301&lt;$B301,DATE($B$1,2,1)&lt;=TODAY(),OR($O301="",$O301&gt;=DATE($B$1,2,1)),OR(COUNTIF($C301:D301,"&gt;0")&gt;0,DATE($B$1,2,1)=DATE(YEAR(TODAY()),MONTH(TODAY()),1))),1,0))</f>
        <v/>
      </c>
      <c r="R301">
        <f>IF($A301="","",IF(AND($B301&gt;0,E301&lt;$B301,DATE($B$1,3,1)&lt;=TODAY(),OR($O301="",$O301&gt;=DATE($B$1,3,1)),OR(COUNTIF($C301:E301,"&gt;0")&gt;0,DATE($B$1,3,1)=DATE(YEAR(TODAY()),MONTH(TODAY()),1))),1,0))</f>
        <v/>
      </c>
      <c r="S301">
        <f>IF($A301="","",IF(AND($B301&gt;0,F301&lt;$B301,DATE($B$1,4,1)&lt;=TODAY(),OR($O301="",$O301&gt;=DATE($B$1,4,1)),OR(COUNTIF($C301:F301,"&gt;0")&gt;0,DATE($B$1,4,1)=DATE(YEAR(TODAY()),MONTH(TODAY()),1))),1,0))</f>
        <v/>
      </c>
      <c r="T301">
        <f>IF($A301="","",IF(AND($B301&gt;0,G301&lt;$B301,DATE($B$1,5,1)&lt;=TODAY(),OR($O301="",$O301&gt;=DATE($B$1,5,1)),OR(COUNTIF($C301:G301,"&gt;0")&gt;0,DATE($B$1,5,1)=DATE(YEAR(TODAY()),MONTH(TODAY()),1))),1,0))</f>
        <v/>
      </c>
      <c r="U301">
        <f>IF($A301="","",IF(AND($B301&gt;0,H301&lt;$B301,DATE($B$1,6,1)&lt;=TODAY(),OR($O301="",$O301&gt;=DATE($B$1,6,1)),OR(COUNTIF($C301:H301,"&gt;0")&gt;0,DATE($B$1,6,1)=DATE(YEAR(TODAY()),MONTH(TODAY()),1))),1,0))</f>
        <v/>
      </c>
      <c r="V301">
        <f>IF($A301="","",IF(AND($B301&gt;0,I301&lt;$B301,DATE($B$1,7,1)&lt;=TODAY(),OR($O301="",$O301&gt;=DATE($B$1,7,1)),OR(COUNTIF($C301:I301,"&gt;0")&gt;0,DATE($B$1,7,1)=DATE(YEAR(TODAY()),MONTH(TODAY()),1))),1,0))</f>
        <v/>
      </c>
      <c r="W301">
        <f>IF($A301="","",IF(AND($B301&gt;0,J301&lt;$B301,DATE($B$1,8,1)&lt;=TODAY(),OR($O301="",$O301&gt;=DATE($B$1,8,1)),OR(COUNTIF($C301:J301,"&gt;0")&gt;0,DATE($B$1,8,1)=DATE(YEAR(TODAY()),MONTH(TODAY()),1))),1,0))</f>
        <v/>
      </c>
      <c r="X301">
        <f>IF($A301="","",IF(AND($B301&gt;0,K301&lt;$B301,DATE($B$1,9,1)&lt;=TODAY(),OR($O301="",$O301&gt;=DATE($B$1,9,1)),OR(COUNTIF($C301:K301,"&gt;0")&gt;0,DATE($B$1,9,1)=DATE(YEAR(TODAY()),MONTH(TODAY()),1))),1,0))</f>
        <v/>
      </c>
      <c r="Y301">
        <f>IF($A301="","",IF(AND($B301&gt;0,L301&lt;$B301,DATE($B$1,10,1)&lt;=TODAY(),OR($O301="",$O301&gt;=DATE($B$1,10,1)),OR(COUNTIF($C301:L301,"&gt;0")&gt;0,DATE($B$1,10,1)=DATE(YEAR(TODAY()),MONTH(TODAY()),1))),1,0))</f>
        <v/>
      </c>
      <c r="Z301">
        <f>IF($A301="","",IF(AND($B301&gt;0,M301&lt;$B301,DATE($B$1,11,1)&lt;=TODAY(),OR($O301="",$O301&gt;=DATE($B$1,11,1)),OR(COUNTIF($C301:M301,"&gt;0")&gt;0,DATE($B$1,11,1)=DATE(YEAR(TODAY()),MONTH(TODAY()),1))),1,0))</f>
        <v/>
      </c>
      <c r="AA301">
        <f>IF($A301="","",IF(AND($B301&gt;0,N301&lt;$B301,DATE($B$1,12,1)&lt;=TODAY(),OR($O301="",$O301&gt;=DATE($B$1,12,1)),OR(COUNTIF($C301:N301,"&gt;0")&gt;0,DATE($B$1,12,1)=DATE(YEAR(TODAY()),MONTH(TODAY()),1))),1,0))</f>
        <v/>
      </c>
    </row>
    <row r="302">
      <c r="A302" s="13">
        <f>IF(원생!$A300="","",원생!$A300&amp;IF(원생!$G300="",""," ("&amp;원생!$G300&amp;")"))</f>
        <v/>
      </c>
      <c r="B302" s="8">
        <f>IF(원생!$A300="","",원생!$F300)</f>
        <v/>
      </c>
      <c r="C302" s="14">
        <f>IF(원생!$A300="","",SUMIFS(수납!$F:$F,수납!$C:$C,원생!$A300,수납!$D:$D,IF(원생!$G300="","",원생!$G300),수납!$B:$B,$B$1&amp;"-"&amp;TEXT(1,"00")&amp;"*",수납!$E:$E,"수강료")+SUMIFS(수납!$F:$F,수납!$C:$C,원생!$A300,수납!$D:$D,IF(원생!$G300="","",원생!$G300),수납!$B:$B,$B$1&amp;"-"&amp;TEXT(1,"00")&amp;"*",수납!$E:$E,""))</f>
        <v/>
      </c>
      <c r="D302" s="14">
        <f>IF(원생!$A300="","",SUMIFS(수납!$F:$F,수납!$C:$C,원생!$A300,수납!$D:$D,IF(원생!$G300="","",원생!$G300),수납!$B:$B,$B$1&amp;"-"&amp;TEXT(2,"00")&amp;"*",수납!$E:$E,"수강료")+SUMIFS(수납!$F:$F,수납!$C:$C,원생!$A300,수납!$D:$D,IF(원생!$G300="","",원생!$G300),수납!$B:$B,$B$1&amp;"-"&amp;TEXT(2,"00")&amp;"*",수납!$E:$E,""))</f>
        <v/>
      </c>
      <c r="E302" s="14">
        <f>IF(원생!$A300="","",SUMIFS(수납!$F:$F,수납!$C:$C,원생!$A300,수납!$D:$D,IF(원생!$G300="","",원생!$G300),수납!$B:$B,$B$1&amp;"-"&amp;TEXT(3,"00")&amp;"*",수납!$E:$E,"수강료")+SUMIFS(수납!$F:$F,수납!$C:$C,원생!$A300,수납!$D:$D,IF(원생!$G300="","",원생!$G300),수납!$B:$B,$B$1&amp;"-"&amp;TEXT(3,"00")&amp;"*",수납!$E:$E,""))</f>
        <v/>
      </c>
      <c r="F302" s="14">
        <f>IF(원생!$A300="","",SUMIFS(수납!$F:$F,수납!$C:$C,원생!$A300,수납!$D:$D,IF(원생!$G300="","",원생!$G300),수납!$B:$B,$B$1&amp;"-"&amp;TEXT(4,"00")&amp;"*",수납!$E:$E,"수강료")+SUMIFS(수납!$F:$F,수납!$C:$C,원생!$A300,수납!$D:$D,IF(원생!$G300="","",원생!$G300),수납!$B:$B,$B$1&amp;"-"&amp;TEXT(4,"00")&amp;"*",수납!$E:$E,""))</f>
        <v/>
      </c>
      <c r="G302" s="14">
        <f>IF(원생!$A300="","",SUMIFS(수납!$F:$F,수납!$C:$C,원생!$A300,수납!$D:$D,IF(원생!$G300="","",원생!$G300),수납!$B:$B,$B$1&amp;"-"&amp;TEXT(5,"00")&amp;"*",수납!$E:$E,"수강료")+SUMIFS(수납!$F:$F,수납!$C:$C,원생!$A300,수납!$D:$D,IF(원생!$G300="","",원생!$G300),수납!$B:$B,$B$1&amp;"-"&amp;TEXT(5,"00")&amp;"*",수납!$E:$E,""))</f>
        <v/>
      </c>
      <c r="H302" s="14">
        <f>IF(원생!$A300="","",SUMIFS(수납!$F:$F,수납!$C:$C,원생!$A300,수납!$D:$D,IF(원생!$G300="","",원생!$G300),수납!$B:$B,$B$1&amp;"-"&amp;TEXT(6,"00")&amp;"*",수납!$E:$E,"수강료")+SUMIFS(수납!$F:$F,수납!$C:$C,원생!$A300,수납!$D:$D,IF(원생!$G300="","",원생!$G300),수납!$B:$B,$B$1&amp;"-"&amp;TEXT(6,"00")&amp;"*",수납!$E:$E,""))</f>
        <v/>
      </c>
      <c r="I302" s="14">
        <f>IF(원생!$A300="","",SUMIFS(수납!$F:$F,수납!$C:$C,원생!$A300,수납!$D:$D,IF(원생!$G300="","",원생!$G300),수납!$B:$B,$B$1&amp;"-"&amp;TEXT(7,"00")&amp;"*",수납!$E:$E,"수강료")+SUMIFS(수납!$F:$F,수납!$C:$C,원생!$A300,수납!$D:$D,IF(원생!$G300="","",원생!$G300),수납!$B:$B,$B$1&amp;"-"&amp;TEXT(7,"00")&amp;"*",수납!$E:$E,""))</f>
        <v/>
      </c>
      <c r="J302" s="14">
        <f>IF(원생!$A300="","",SUMIFS(수납!$F:$F,수납!$C:$C,원생!$A300,수납!$D:$D,IF(원생!$G300="","",원생!$G300),수납!$B:$B,$B$1&amp;"-"&amp;TEXT(8,"00")&amp;"*",수납!$E:$E,"수강료")+SUMIFS(수납!$F:$F,수납!$C:$C,원생!$A300,수납!$D:$D,IF(원생!$G300="","",원생!$G300),수납!$B:$B,$B$1&amp;"-"&amp;TEXT(8,"00")&amp;"*",수납!$E:$E,""))</f>
        <v/>
      </c>
      <c r="K302" s="14">
        <f>IF(원생!$A300="","",SUMIFS(수납!$F:$F,수납!$C:$C,원생!$A300,수납!$D:$D,IF(원생!$G300="","",원생!$G300),수납!$B:$B,$B$1&amp;"-"&amp;TEXT(9,"00")&amp;"*",수납!$E:$E,"수강료")+SUMIFS(수납!$F:$F,수납!$C:$C,원생!$A300,수납!$D:$D,IF(원생!$G300="","",원생!$G300),수납!$B:$B,$B$1&amp;"-"&amp;TEXT(9,"00")&amp;"*",수납!$E:$E,""))</f>
        <v/>
      </c>
      <c r="L302" s="14">
        <f>IF(원생!$A300="","",SUMIFS(수납!$F:$F,수납!$C:$C,원생!$A300,수납!$D:$D,IF(원생!$G300="","",원생!$G300),수납!$B:$B,$B$1&amp;"-"&amp;TEXT(10,"00")&amp;"*",수납!$E:$E,"수강료")+SUMIFS(수납!$F:$F,수납!$C:$C,원생!$A300,수납!$D:$D,IF(원생!$G300="","",원생!$G300),수납!$B:$B,$B$1&amp;"-"&amp;TEXT(10,"00")&amp;"*",수납!$E:$E,""))</f>
        <v/>
      </c>
      <c r="M302" s="14">
        <f>IF(원생!$A300="","",SUMIFS(수납!$F:$F,수납!$C:$C,원생!$A300,수납!$D:$D,IF(원생!$G300="","",원생!$G300),수납!$B:$B,$B$1&amp;"-"&amp;TEXT(11,"00")&amp;"*",수납!$E:$E,"수강료")+SUMIFS(수납!$F:$F,수납!$C:$C,원생!$A300,수납!$D:$D,IF(원생!$G300="","",원생!$G300),수납!$B:$B,$B$1&amp;"-"&amp;TEXT(11,"00")&amp;"*",수납!$E:$E,""))</f>
        <v/>
      </c>
      <c r="N302" s="14">
        <f>IF(원생!$A300="","",SUMIFS(수납!$F:$F,수납!$C:$C,원생!$A300,수납!$D:$D,IF(원생!$G300="","",원생!$G300),수납!$B:$B,$B$1&amp;"-"&amp;TEXT(12,"00")&amp;"*",수납!$E:$E,"수강료")+SUMIFS(수납!$F:$F,수납!$C:$C,원생!$A300,수납!$D:$D,IF(원생!$G300="","",원생!$G300),수납!$B:$B,$B$1&amp;"-"&amp;TEXT(12,"00")&amp;"*",수납!$E:$E,""))</f>
        <v/>
      </c>
      <c r="O302">
        <f>IF(원생!$I300="","",원생!$I300)</f>
        <v/>
      </c>
      <c r="P302">
        <f>IF($A302="","",IF(AND($B302&gt;0,C302&lt;$B302,DATE($B$1,1,1)&lt;=TODAY(),OR($O302="",$O302&gt;=DATE($B$1,1,1)),OR(COUNTIF($C302:C302,"&gt;0")&gt;0,DATE($B$1,1,1)=DATE(YEAR(TODAY()),MONTH(TODAY()),1))),1,0))</f>
        <v/>
      </c>
      <c r="Q302">
        <f>IF($A302="","",IF(AND($B302&gt;0,D302&lt;$B302,DATE($B$1,2,1)&lt;=TODAY(),OR($O302="",$O302&gt;=DATE($B$1,2,1)),OR(COUNTIF($C302:D302,"&gt;0")&gt;0,DATE($B$1,2,1)=DATE(YEAR(TODAY()),MONTH(TODAY()),1))),1,0))</f>
        <v/>
      </c>
      <c r="R302">
        <f>IF($A302="","",IF(AND($B302&gt;0,E302&lt;$B302,DATE($B$1,3,1)&lt;=TODAY(),OR($O302="",$O302&gt;=DATE($B$1,3,1)),OR(COUNTIF($C302:E302,"&gt;0")&gt;0,DATE($B$1,3,1)=DATE(YEAR(TODAY()),MONTH(TODAY()),1))),1,0))</f>
        <v/>
      </c>
      <c r="S302">
        <f>IF($A302="","",IF(AND($B302&gt;0,F302&lt;$B302,DATE($B$1,4,1)&lt;=TODAY(),OR($O302="",$O302&gt;=DATE($B$1,4,1)),OR(COUNTIF($C302:F302,"&gt;0")&gt;0,DATE($B$1,4,1)=DATE(YEAR(TODAY()),MONTH(TODAY()),1))),1,0))</f>
        <v/>
      </c>
      <c r="T302">
        <f>IF($A302="","",IF(AND($B302&gt;0,G302&lt;$B302,DATE($B$1,5,1)&lt;=TODAY(),OR($O302="",$O302&gt;=DATE($B$1,5,1)),OR(COUNTIF($C302:G302,"&gt;0")&gt;0,DATE($B$1,5,1)=DATE(YEAR(TODAY()),MONTH(TODAY()),1))),1,0))</f>
        <v/>
      </c>
      <c r="U302">
        <f>IF($A302="","",IF(AND($B302&gt;0,H302&lt;$B302,DATE($B$1,6,1)&lt;=TODAY(),OR($O302="",$O302&gt;=DATE($B$1,6,1)),OR(COUNTIF($C302:H302,"&gt;0")&gt;0,DATE($B$1,6,1)=DATE(YEAR(TODAY()),MONTH(TODAY()),1))),1,0))</f>
        <v/>
      </c>
      <c r="V302">
        <f>IF($A302="","",IF(AND($B302&gt;0,I302&lt;$B302,DATE($B$1,7,1)&lt;=TODAY(),OR($O302="",$O302&gt;=DATE($B$1,7,1)),OR(COUNTIF($C302:I302,"&gt;0")&gt;0,DATE($B$1,7,1)=DATE(YEAR(TODAY()),MONTH(TODAY()),1))),1,0))</f>
        <v/>
      </c>
      <c r="W302">
        <f>IF($A302="","",IF(AND($B302&gt;0,J302&lt;$B302,DATE($B$1,8,1)&lt;=TODAY(),OR($O302="",$O302&gt;=DATE($B$1,8,1)),OR(COUNTIF($C302:J302,"&gt;0")&gt;0,DATE($B$1,8,1)=DATE(YEAR(TODAY()),MONTH(TODAY()),1))),1,0))</f>
        <v/>
      </c>
      <c r="X302">
        <f>IF($A302="","",IF(AND($B302&gt;0,K302&lt;$B302,DATE($B$1,9,1)&lt;=TODAY(),OR($O302="",$O302&gt;=DATE($B$1,9,1)),OR(COUNTIF($C302:K302,"&gt;0")&gt;0,DATE($B$1,9,1)=DATE(YEAR(TODAY()),MONTH(TODAY()),1))),1,0))</f>
        <v/>
      </c>
      <c r="Y302">
        <f>IF($A302="","",IF(AND($B302&gt;0,L302&lt;$B302,DATE($B$1,10,1)&lt;=TODAY(),OR($O302="",$O302&gt;=DATE($B$1,10,1)),OR(COUNTIF($C302:L302,"&gt;0")&gt;0,DATE($B$1,10,1)=DATE(YEAR(TODAY()),MONTH(TODAY()),1))),1,0))</f>
        <v/>
      </c>
      <c r="Z302">
        <f>IF($A302="","",IF(AND($B302&gt;0,M302&lt;$B302,DATE($B$1,11,1)&lt;=TODAY(),OR($O302="",$O302&gt;=DATE($B$1,11,1)),OR(COUNTIF($C302:M302,"&gt;0")&gt;0,DATE($B$1,11,1)=DATE(YEAR(TODAY()),MONTH(TODAY()),1))),1,0))</f>
        <v/>
      </c>
      <c r="AA302">
        <f>IF($A302="","",IF(AND($B302&gt;0,N302&lt;$B302,DATE($B$1,12,1)&lt;=TODAY(),OR($O302="",$O302&gt;=DATE($B$1,12,1)),OR(COUNTIF($C302:N302,"&gt;0")&gt;0,DATE($B$1,12,1)=DATE(YEAR(TODAY()),MONTH(TODAY()),1))),1,0))</f>
        <v/>
      </c>
    </row>
    <row r="303">
      <c r="A303" s="13">
        <f>IF(원생!$A301="","",원생!$A301&amp;IF(원생!$G301="",""," ("&amp;원생!$G301&amp;")"))</f>
        <v/>
      </c>
      <c r="B303" s="8">
        <f>IF(원생!$A301="","",원생!$F301)</f>
        <v/>
      </c>
      <c r="C303" s="14">
        <f>IF(원생!$A301="","",SUMIFS(수납!$F:$F,수납!$C:$C,원생!$A301,수납!$D:$D,IF(원생!$G301="","",원생!$G301),수납!$B:$B,$B$1&amp;"-"&amp;TEXT(1,"00")&amp;"*",수납!$E:$E,"수강료")+SUMIFS(수납!$F:$F,수납!$C:$C,원생!$A301,수납!$D:$D,IF(원생!$G301="","",원생!$G301),수납!$B:$B,$B$1&amp;"-"&amp;TEXT(1,"00")&amp;"*",수납!$E:$E,""))</f>
        <v/>
      </c>
      <c r="D303" s="14">
        <f>IF(원생!$A301="","",SUMIFS(수납!$F:$F,수납!$C:$C,원생!$A301,수납!$D:$D,IF(원생!$G301="","",원생!$G301),수납!$B:$B,$B$1&amp;"-"&amp;TEXT(2,"00")&amp;"*",수납!$E:$E,"수강료")+SUMIFS(수납!$F:$F,수납!$C:$C,원생!$A301,수납!$D:$D,IF(원생!$G301="","",원생!$G301),수납!$B:$B,$B$1&amp;"-"&amp;TEXT(2,"00")&amp;"*",수납!$E:$E,""))</f>
        <v/>
      </c>
      <c r="E303" s="14">
        <f>IF(원생!$A301="","",SUMIFS(수납!$F:$F,수납!$C:$C,원생!$A301,수납!$D:$D,IF(원생!$G301="","",원생!$G301),수납!$B:$B,$B$1&amp;"-"&amp;TEXT(3,"00")&amp;"*",수납!$E:$E,"수강료")+SUMIFS(수납!$F:$F,수납!$C:$C,원생!$A301,수납!$D:$D,IF(원생!$G301="","",원생!$G301),수납!$B:$B,$B$1&amp;"-"&amp;TEXT(3,"00")&amp;"*",수납!$E:$E,""))</f>
        <v/>
      </c>
      <c r="F303" s="14">
        <f>IF(원생!$A301="","",SUMIFS(수납!$F:$F,수납!$C:$C,원생!$A301,수납!$D:$D,IF(원생!$G301="","",원생!$G301),수납!$B:$B,$B$1&amp;"-"&amp;TEXT(4,"00")&amp;"*",수납!$E:$E,"수강료")+SUMIFS(수납!$F:$F,수납!$C:$C,원생!$A301,수납!$D:$D,IF(원생!$G301="","",원생!$G301),수납!$B:$B,$B$1&amp;"-"&amp;TEXT(4,"00")&amp;"*",수납!$E:$E,""))</f>
        <v/>
      </c>
      <c r="G303" s="14">
        <f>IF(원생!$A301="","",SUMIFS(수납!$F:$F,수납!$C:$C,원생!$A301,수납!$D:$D,IF(원생!$G301="","",원생!$G301),수납!$B:$B,$B$1&amp;"-"&amp;TEXT(5,"00")&amp;"*",수납!$E:$E,"수강료")+SUMIFS(수납!$F:$F,수납!$C:$C,원생!$A301,수납!$D:$D,IF(원생!$G301="","",원생!$G301),수납!$B:$B,$B$1&amp;"-"&amp;TEXT(5,"00")&amp;"*",수납!$E:$E,""))</f>
        <v/>
      </c>
      <c r="H303" s="14">
        <f>IF(원생!$A301="","",SUMIFS(수납!$F:$F,수납!$C:$C,원생!$A301,수납!$D:$D,IF(원생!$G301="","",원생!$G301),수납!$B:$B,$B$1&amp;"-"&amp;TEXT(6,"00")&amp;"*",수납!$E:$E,"수강료")+SUMIFS(수납!$F:$F,수납!$C:$C,원생!$A301,수납!$D:$D,IF(원생!$G301="","",원생!$G301),수납!$B:$B,$B$1&amp;"-"&amp;TEXT(6,"00")&amp;"*",수납!$E:$E,""))</f>
        <v/>
      </c>
      <c r="I303" s="14">
        <f>IF(원생!$A301="","",SUMIFS(수납!$F:$F,수납!$C:$C,원생!$A301,수납!$D:$D,IF(원생!$G301="","",원생!$G301),수납!$B:$B,$B$1&amp;"-"&amp;TEXT(7,"00")&amp;"*",수납!$E:$E,"수강료")+SUMIFS(수납!$F:$F,수납!$C:$C,원생!$A301,수납!$D:$D,IF(원생!$G301="","",원생!$G301),수납!$B:$B,$B$1&amp;"-"&amp;TEXT(7,"00")&amp;"*",수납!$E:$E,""))</f>
        <v/>
      </c>
      <c r="J303" s="14">
        <f>IF(원생!$A301="","",SUMIFS(수납!$F:$F,수납!$C:$C,원생!$A301,수납!$D:$D,IF(원생!$G301="","",원생!$G301),수납!$B:$B,$B$1&amp;"-"&amp;TEXT(8,"00")&amp;"*",수납!$E:$E,"수강료")+SUMIFS(수납!$F:$F,수납!$C:$C,원생!$A301,수납!$D:$D,IF(원생!$G301="","",원생!$G301),수납!$B:$B,$B$1&amp;"-"&amp;TEXT(8,"00")&amp;"*",수납!$E:$E,""))</f>
        <v/>
      </c>
      <c r="K303" s="14">
        <f>IF(원생!$A301="","",SUMIFS(수납!$F:$F,수납!$C:$C,원생!$A301,수납!$D:$D,IF(원생!$G301="","",원생!$G301),수납!$B:$B,$B$1&amp;"-"&amp;TEXT(9,"00")&amp;"*",수납!$E:$E,"수강료")+SUMIFS(수납!$F:$F,수납!$C:$C,원생!$A301,수납!$D:$D,IF(원생!$G301="","",원생!$G301),수납!$B:$B,$B$1&amp;"-"&amp;TEXT(9,"00")&amp;"*",수납!$E:$E,""))</f>
        <v/>
      </c>
      <c r="L303" s="14">
        <f>IF(원생!$A301="","",SUMIFS(수납!$F:$F,수납!$C:$C,원생!$A301,수납!$D:$D,IF(원생!$G301="","",원생!$G301),수납!$B:$B,$B$1&amp;"-"&amp;TEXT(10,"00")&amp;"*",수납!$E:$E,"수강료")+SUMIFS(수납!$F:$F,수납!$C:$C,원생!$A301,수납!$D:$D,IF(원생!$G301="","",원생!$G301),수납!$B:$B,$B$1&amp;"-"&amp;TEXT(10,"00")&amp;"*",수납!$E:$E,""))</f>
        <v/>
      </c>
      <c r="M303" s="14">
        <f>IF(원생!$A301="","",SUMIFS(수납!$F:$F,수납!$C:$C,원생!$A301,수납!$D:$D,IF(원생!$G301="","",원생!$G301),수납!$B:$B,$B$1&amp;"-"&amp;TEXT(11,"00")&amp;"*",수납!$E:$E,"수강료")+SUMIFS(수납!$F:$F,수납!$C:$C,원생!$A301,수납!$D:$D,IF(원생!$G301="","",원생!$G301),수납!$B:$B,$B$1&amp;"-"&amp;TEXT(11,"00")&amp;"*",수납!$E:$E,""))</f>
        <v/>
      </c>
      <c r="N303" s="14">
        <f>IF(원생!$A301="","",SUMIFS(수납!$F:$F,수납!$C:$C,원생!$A301,수납!$D:$D,IF(원생!$G301="","",원생!$G301),수납!$B:$B,$B$1&amp;"-"&amp;TEXT(12,"00")&amp;"*",수납!$E:$E,"수강료")+SUMIFS(수납!$F:$F,수납!$C:$C,원생!$A301,수납!$D:$D,IF(원생!$G301="","",원생!$G301),수납!$B:$B,$B$1&amp;"-"&amp;TEXT(12,"00")&amp;"*",수납!$E:$E,""))</f>
        <v/>
      </c>
      <c r="O303">
        <f>IF(원생!$I301="","",원생!$I301)</f>
        <v/>
      </c>
      <c r="P303">
        <f>IF($A303="","",IF(AND($B303&gt;0,C303&lt;$B303,DATE($B$1,1,1)&lt;=TODAY(),OR($O303="",$O303&gt;=DATE($B$1,1,1)),OR(COUNTIF($C303:C303,"&gt;0")&gt;0,DATE($B$1,1,1)=DATE(YEAR(TODAY()),MONTH(TODAY()),1))),1,0))</f>
        <v/>
      </c>
      <c r="Q303">
        <f>IF($A303="","",IF(AND($B303&gt;0,D303&lt;$B303,DATE($B$1,2,1)&lt;=TODAY(),OR($O303="",$O303&gt;=DATE($B$1,2,1)),OR(COUNTIF($C303:D303,"&gt;0")&gt;0,DATE($B$1,2,1)=DATE(YEAR(TODAY()),MONTH(TODAY()),1))),1,0))</f>
        <v/>
      </c>
      <c r="R303">
        <f>IF($A303="","",IF(AND($B303&gt;0,E303&lt;$B303,DATE($B$1,3,1)&lt;=TODAY(),OR($O303="",$O303&gt;=DATE($B$1,3,1)),OR(COUNTIF($C303:E303,"&gt;0")&gt;0,DATE($B$1,3,1)=DATE(YEAR(TODAY()),MONTH(TODAY()),1))),1,0))</f>
        <v/>
      </c>
      <c r="S303">
        <f>IF($A303="","",IF(AND($B303&gt;0,F303&lt;$B303,DATE($B$1,4,1)&lt;=TODAY(),OR($O303="",$O303&gt;=DATE($B$1,4,1)),OR(COUNTIF($C303:F303,"&gt;0")&gt;0,DATE($B$1,4,1)=DATE(YEAR(TODAY()),MONTH(TODAY()),1))),1,0))</f>
        <v/>
      </c>
      <c r="T303">
        <f>IF($A303="","",IF(AND($B303&gt;0,G303&lt;$B303,DATE($B$1,5,1)&lt;=TODAY(),OR($O303="",$O303&gt;=DATE($B$1,5,1)),OR(COUNTIF($C303:G303,"&gt;0")&gt;0,DATE($B$1,5,1)=DATE(YEAR(TODAY()),MONTH(TODAY()),1))),1,0))</f>
        <v/>
      </c>
      <c r="U303">
        <f>IF($A303="","",IF(AND($B303&gt;0,H303&lt;$B303,DATE($B$1,6,1)&lt;=TODAY(),OR($O303="",$O303&gt;=DATE($B$1,6,1)),OR(COUNTIF($C303:H303,"&gt;0")&gt;0,DATE($B$1,6,1)=DATE(YEAR(TODAY()),MONTH(TODAY()),1))),1,0))</f>
        <v/>
      </c>
      <c r="V303">
        <f>IF($A303="","",IF(AND($B303&gt;0,I303&lt;$B303,DATE($B$1,7,1)&lt;=TODAY(),OR($O303="",$O303&gt;=DATE($B$1,7,1)),OR(COUNTIF($C303:I303,"&gt;0")&gt;0,DATE($B$1,7,1)=DATE(YEAR(TODAY()),MONTH(TODAY()),1))),1,0))</f>
        <v/>
      </c>
      <c r="W303">
        <f>IF($A303="","",IF(AND($B303&gt;0,J303&lt;$B303,DATE($B$1,8,1)&lt;=TODAY(),OR($O303="",$O303&gt;=DATE($B$1,8,1)),OR(COUNTIF($C303:J303,"&gt;0")&gt;0,DATE($B$1,8,1)=DATE(YEAR(TODAY()),MONTH(TODAY()),1))),1,0))</f>
        <v/>
      </c>
      <c r="X303">
        <f>IF($A303="","",IF(AND($B303&gt;0,K303&lt;$B303,DATE($B$1,9,1)&lt;=TODAY(),OR($O303="",$O303&gt;=DATE($B$1,9,1)),OR(COUNTIF($C303:K303,"&gt;0")&gt;0,DATE($B$1,9,1)=DATE(YEAR(TODAY()),MONTH(TODAY()),1))),1,0))</f>
        <v/>
      </c>
      <c r="Y303">
        <f>IF($A303="","",IF(AND($B303&gt;0,L303&lt;$B303,DATE($B$1,10,1)&lt;=TODAY(),OR($O303="",$O303&gt;=DATE($B$1,10,1)),OR(COUNTIF($C303:L303,"&gt;0")&gt;0,DATE($B$1,10,1)=DATE(YEAR(TODAY()),MONTH(TODAY()),1))),1,0))</f>
        <v/>
      </c>
      <c r="Z303">
        <f>IF($A303="","",IF(AND($B303&gt;0,M303&lt;$B303,DATE($B$1,11,1)&lt;=TODAY(),OR($O303="",$O303&gt;=DATE($B$1,11,1)),OR(COUNTIF($C303:M303,"&gt;0")&gt;0,DATE($B$1,11,1)=DATE(YEAR(TODAY()),MONTH(TODAY()),1))),1,0))</f>
        <v/>
      </c>
      <c r="AA303">
        <f>IF($A303="","",IF(AND($B303&gt;0,N303&lt;$B303,DATE($B$1,12,1)&lt;=TODAY(),OR($O303="",$O303&gt;=DATE($B$1,12,1)),OR(COUNTIF($C303:N303,"&gt;0")&gt;0,DATE($B$1,12,1)=DATE(YEAR(TODAY()),MONTH(TODAY()),1))),1,0))</f>
        <v/>
      </c>
    </row>
    <row r="304">
      <c r="A304" s="13">
        <f>IF(원생!$A302="","",원생!$A302&amp;IF(원생!$G302="",""," ("&amp;원생!$G302&amp;")"))</f>
        <v/>
      </c>
      <c r="B304" s="8">
        <f>IF(원생!$A302="","",원생!$F302)</f>
        <v/>
      </c>
      <c r="C304" s="14">
        <f>IF(원생!$A302="","",SUMIFS(수납!$F:$F,수납!$C:$C,원생!$A302,수납!$D:$D,IF(원생!$G302="","",원생!$G302),수납!$B:$B,$B$1&amp;"-"&amp;TEXT(1,"00")&amp;"*",수납!$E:$E,"수강료")+SUMIFS(수납!$F:$F,수납!$C:$C,원생!$A302,수납!$D:$D,IF(원생!$G302="","",원생!$G302),수납!$B:$B,$B$1&amp;"-"&amp;TEXT(1,"00")&amp;"*",수납!$E:$E,""))</f>
        <v/>
      </c>
      <c r="D304" s="14">
        <f>IF(원생!$A302="","",SUMIFS(수납!$F:$F,수납!$C:$C,원생!$A302,수납!$D:$D,IF(원생!$G302="","",원생!$G302),수납!$B:$B,$B$1&amp;"-"&amp;TEXT(2,"00")&amp;"*",수납!$E:$E,"수강료")+SUMIFS(수납!$F:$F,수납!$C:$C,원생!$A302,수납!$D:$D,IF(원생!$G302="","",원생!$G302),수납!$B:$B,$B$1&amp;"-"&amp;TEXT(2,"00")&amp;"*",수납!$E:$E,""))</f>
        <v/>
      </c>
      <c r="E304" s="14">
        <f>IF(원생!$A302="","",SUMIFS(수납!$F:$F,수납!$C:$C,원생!$A302,수납!$D:$D,IF(원생!$G302="","",원생!$G302),수납!$B:$B,$B$1&amp;"-"&amp;TEXT(3,"00")&amp;"*",수납!$E:$E,"수강료")+SUMIFS(수납!$F:$F,수납!$C:$C,원생!$A302,수납!$D:$D,IF(원생!$G302="","",원생!$G302),수납!$B:$B,$B$1&amp;"-"&amp;TEXT(3,"00")&amp;"*",수납!$E:$E,""))</f>
        <v/>
      </c>
      <c r="F304" s="14">
        <f>IF(원생!$A302="","",SUMIFS(수납!$F:$F,수납!$C:$C,원생!$A302,수납!$D:$D,IF(원생!$G302="","",원생!$G302),수납!$B:$B,$B$1&amp;"-"&amp;TEXT(4,"00")&amp;"*",수납!$E:$E,"수강료")+SUMIFS(수납!$F:$F,수납!$C:$C,원생!$A302,수납!$D:$D,IF(원생!$G302="","",원생!$G302),수납!$B:$B,$B$1&amp;"-"&amp;TEXT(4,"00")&amp;"*",수납!$E:$E,""))</f>
        <v/>
      </c>
      <c r="G304" s="14">
        <f>IF(원생!$A302="","",SUMIFS(수납!$F:$F,수납!$C:$C,원생!$A302,수납!$D:$D,IF(원생!$G302="","",원생!$G302),수납!$B:$B,$B$1&amp;"-"&amp;TEXT(5,"00")&amp;"*",수납!$E:$E,"수강료")+SUMIFS(수납!$F:$F,수납!$C:$C,원생!$A302,수납!$D:$D,IF(원생!$G302="","",원생!$G302),수납!$B:$B,$B$1&amp;"-"&amp;TEXT(5,"00")&amp;"*",수납!$E:$E,""))</f>
        <v/>
      </c>
      <c r="H304" s="14">
        <f>IF(원생!$A302="","",SUMIFS(수납!$F:$F,수납!$C:$C,원생!$A302,수납!$D:$D,IF(원생!$G302="","",원생!$G302),수납!$B:$B,$B$1&amp;"-"&amp;TEXT(6,"00")&amp;"*",수납!$E:$E,"수강료")+SUMIFS(수납!$F:$F,수납!$C:$C,원생!$A302,수납!$D:$D,IF(원생!$G302="","",원생!$G302),수납!$B:$B,$B$1&amp;"-"&amp;TEXT(6,"00")&amp;"*",수납!$E:$E,""))</f>
        <v/>
      </c>
      <c r="I304" s="14">
        <f>IF(원생!$A302="","",SUMIFS(수납!$F:$F,수납!$C:$C,원생!$A302,수납!$D:$D,IF(원생!$G302="","",원생!$G302),수납!$B:$B,$B$1&amp;"-"&amp;TEXT(7,"00")&amp;"*",수납!$E:$E,"수강료")+SUMIFS(수납!$F:$F,수납!$C:$C,원생!$A302,수납!$D:$D,IF(원생!$G302="","",원생!$G302),수납!$B:$B,$B$1&amp;"-"&amp;TEXT(7,"00")&amp;"*",수납!$E:$E,""))</f>
        <v/>
      </c>
      <c r="J304" s="14">
        <f>IF(원생!$A302="","",SUMIFS(수납!$F:$F,수납!$C:$C,원생!$A302,수납!$D:$D,IF(원생!$G302="","",원생!$G302),수납!$B:$B,$B$1&amp;"-"&amp;TEXT(8,"00")&amp;"*",수납!$E:$E,"수강료")+SUMIFS(수납!$F:$F,수납!$C:$C,원생!$A302,수납!$D:$D,IF(원생!$G302="","",원생!$G302),수납!$B:$B,$B$1&amp;"-"&amp;TEXT(8,"00")&amp;"*",수납!$E:$E,""))</f>
        <v/>
      </c>
      <c r="K304" s="14">
        <f>IF(원생!$A302="","",SUMIFS(수납!$F:$F,수납!$C:$C,원생!$A302,수납!$D:$D,IF(원생!$G302="","",원생!$G302),수납!$B:$B,$B$1&amp;"-"&amp;TEXT(9,"00")&amp;"*",수납!$E:$E,"수강료")+SUMIFS(수납!$F:$F,수납!$C:$C,원생!$A302,수납!$D:$D,IF(원생!$G302="","",원생!$G302),수납!$B:$B,$B$1&amp;"-"&amp;TEXT(9,"00")&amp;"*",수납!$E:$E,""))</f>
        <v/>
      </c>
      <c r="L304" s="14">
        <f>IF(원생!$A302="","",SUMIFS(수납!$F:$F,수납!$C:$C,원생!$A302,수납!$D:$D,IF(원생!$G302="","",원생!$G302),수납!$B:$B,$B$1&amp;"-"&amp;TEXT(10,"00")&amp;"*",수납!$E:$E,"수강료")+SUMIFS(수납!$F:$F,수납!$C:$C,원생!$A302,수납!$D:$D,IF(원생!$G302="","",원생!$G302),수납!$B:$B,$B$1&amp;"-"&amp;TEXT(10,"00")&amp;"*",수납!$E:$E,""))</f>
        <v/>
      </c>
      <c r="M304" s="14">
        <f>IF(원생!$A302="","",SUMIFS(수납!$F:$F,수납!$C:$C,원생!$A302,수납!$D:$D,IF(원생!$G302="","",원생!$G302),수납!$B:$B,$B$1&amp;"-"&amp;TEXT(11,"00")&amp;"*",수납!$E:$E,"수강료")+SUMIFS(수납!$F:$F,수납!$C:$C,원생!$A302,수납!$D:$D,IF(원생!$G302="","",원생!$G302),수납!$B:$B,$B$1&amp;"-"&amp;TEXT(11,"00")&amp;"*",수납!$E:$E,""))</f>
        <v/>
      </c>
      <c r="N304" s="14">
        <f>IF(원생!$A302="","",SUMIFS(수납!$F:$F,수납!$C:$C,원생!$A302,수납!$D:$D,IF(원생!$G302="","",원생!$G302),수납!$B:$B,$B$1&amp;"-"&amp;TEXT(12,"00")&amp;"*",수납!$E:$E,"수강료")+SUMIFS(수납!$F:$F,수납!$C:$C,원생!$A302,수납!$D:$D,IF(원생!$G302="","",원생!$G302),수납!$B:$B,$B$1&amp;"-"&amp;TEXT(12,"00")&amp;"*",수납!$E:$E,""))</f>
        <v/>
      </c>
      <c r="O304">
        <f>IF(원생!$I302="","",원생!$I302)</f>
        <v/>
      </c>
      <c r="P304">
        <f>IF($A304="","",IF(AND($B304&gt;0,C304&lt;$B304,DATE($B$1,1,1)&lt;=TODAY(),OR($O304="",$O304&gt;=DATE($B$1,1,1)),OR(COUNTIF($C304:C304,"&gt;0")&gt;0,DATE($B$1,1,1)=DATE(YEAR(TODAY()),MONTH(TODAY()),1))),1,0))</f>
        <v/>
      </c>
      <c r="Q304">
        <f>IF($A304="","",IF(AND($B304&gt;0,D304&lt;$B304,DATE($B$1,2,1)&lt;=TODAY(),OR($O304="",$O304&gt;=DATE($B$1,2,1)),OR(COUNTIF($C304:D304,"&gt;0")&gt;0,DATE($B$1,2,1)=DATE(YEAR(TODAY()),MONTH(TODAY()),1))),1,0))</f>
        <v/>
      </c>
      <c r="R304">
        <f>IF($A304="","",IF(AND($B304&gt;0,E304&lt;$B304,DATE($B$1,3,1)&lt;=TODAY(),OR($O304="",$O304&gt;=DATE($B$1,3,1)),OR(COUNTIF($C304:E304,"&gt;0")&gt;0,DATE($B$1,3,1)=DATE(YEAR(TODAY()),MONTH(TODAY()),1))),1,0))</f>
        <v/>
      </c>
      <c r="S304">
        <f>IF($A304="","",IF(AND($B304&gt;0,F304&lt;$B304,DATE($B$1,4,1)&lt;=TODAY(),OR($O304="",$O304&gt;=DATE($B$1,4,1)),OR(COUNTIF($C304:F304,"&gt;0")&gt;0,DATE($B$1,4,1)=DATE(YEAR(TODAY()),MONTH(TODAY()),1))),1,0))</f>
        <v/>
      </c>
      <c r="T304">
        <f>IF($A304="","",IF(AND($B304&gt;0,G304&lt;$B304,DATE($B$1,5,1)&lt;=TODAY(),OR($O304="",$O304&gt;=DATE($B$1,5,1)),OR(COUNTIF($C304:G304,"&gt;0")&gt;0,DATE($B$1,5,1)=DATE(YEAR(TODAY()),MONTH(TODAY()),1))),1,0))</f>
        <v/>
      </c>
      <c r="U304">
        <f>IF($A304="","",IF(AND($B304&gt;0,H304&lt;$B304,DATE($B$1,6,1)&lt;=TODAY(),OR($O304="",$O304&gt;=DATE($B$1,6,1)),OR(COUNTIF($C304:H304,"&gt;0")&gt;0,DATE($B$1,6,1)=DATE(YEAR(TODAY()),MONTH(TODAY()),1))),1,0))</f>
        <v/>
      </c>
      <c r="V304">
        <f>IF($A304="","",IF(AND($B304&gt;0,I304&lt;$B304,DATE($B$1,7,1)&lt;=TODAY(),OR($O304="",$O304&gt;=DATE($B$1,7,1)),OR(COUNTIF($C304:I304,"&gt;0")&gt;0,DATE($B$1,7,1)=DATE(YEAR(TODAY()),MONTH(TODAY()),1))),1,0))</f>
        <v/>
      </c>
      <c r="W304">
        <f>IF($A304="","",IF(AND($B304&gt;0,J304&lt;$B304,DATE($B$1,8,1)&lt;=TODAY(),OR($O304="",$O304&gt;=DATE($B$1,8,1)),OR(COUNTIF($C304:J304,"&gt;0")&gt;0,DATE($B$1,8,1)=DATE(YEAR(TODAY()),MONTH(TODAY()),1))),1,0))</f>
        <v/>
      </c>
      <c r="X304">
        <f>IF($A304="","",IF(AND($B304&gt;0,K304&lt;$B304,DATE($B$1,9,1)&lt;=TODAY(),OR($O304="",$O304&gt;=DATE($B$1,9,1)),OR(COUNTIF($C304:K304,"&gt;0")&gt;0,DATE($B$1,9,1)=DATE(YEAR(TODAY()),MONTH(TODAY()),1))),1,0))</f>
        <v/>
      </c>
      <c r="Y304">
        <f>IF($A304="","",IF(AND($B304&gt;0,L304&lt;$B304,DATE($B$1,10,1)&lt;=TODAY(),OR($O304="",$O304&gt;=DATE($B$1,10,1)),OR(COUNTIF($C304:L304,"&gt;0")&gt;0,DATE($B$1,10,1)=DATE(YEAR(TODAY()),MONTH(TODAY()),1))),1,0))</f>
        <v/>
      </c>
      <c r="Z304">
        <f>IF($A304="","",IF(AND($B304&gt;0,M304&lt;$B304,DATE($B$1,11,1)&lt;=TODAY(),OR($O304="",$O304&gt;=DATE($B$1,11,1)),OR(COUNTIF($C304:M304,"&gt;0")&gt;0,DATE($B$1,11,1)=DATE(YEAR(TODAY()),MONTH(TODAY()),1))),1,0))</f>
        <v/>
      </c>
      <c r="AA304">
        <f>IF($A304="","",IF(AND($B304&gt;0,N304&lt;$B304,DATE($B$1,12,1)&lt;=TODAY(),OR($O304="",$O304&gt;=DATE($B$1,12,1)),OR(COUNTIF($C304:N304,"&gt;0")&gt;0,DATE($B$1,12,1)=DATE(YEAR(TODAY()),MONTH(TODAY()),1))),1,0))</f>
        <v/>
      </c>
    </row>
    <row r="305">
      <c r="A305" s="13">
        <f>IF(원생!$A303="","",원생!$A303&amp;IF(원생!$G303="",""," ("&amp;원생!$G303&amp;")"))</f>
        <v/>
      </c>
      <c r="B305" s="8">
        <f>IF(원생!$A303="","",원생!$F303)</f>
        <v/>
      </c>
      <c r="C305" s="14">
        <f>IF(원생!$A303="","",SUMIFS(수납!$F:$F,수납!$C:$C,원생!$A303,수납!$D:$D,IF(원생!$G303="","",원생!$G303),수납!$B:$B,$B$1&amp;"-"&amp;TEXT(1,"00")&amp;"*",수납!$E:$E,"수강료")+SUMIFS(수납!$F:$F,수납!$C:$C,원생!$A303,수납!$D:$D,IF(원생!$G303="","",원생!$G303),수납!$B:$B,$B$1&amp;"-"&amp;TEXT(1,"00")&amp;"*",수납!$E:$E,""))</f>
        <v/>
      </c>
      <c r="D305" s="14">
        <f>IF(원생!$A303="","",SUMIFS(수납!$F:$F,수납!$C:$C,원생!$A303,수납!$D:$D,IF(원생!$G303="","",원생!$G303),수납!$B:$B,$B$1&amp;"-"&amp;TEXT(2,"00")&amp;"*",수납!$E:$E,"수강료")+SUMIFS(수납!$F:$F,수납!$C:$C,원생!$A303,수납!$D:$D,IF(원생!$G303="","",원생!$G303),수납!$B:$B,$B$1&amp;"-"&amp;TEXT(2,"00")&amp;"*",수납!$E:$E,""))</f>
        <v/>
      </c>
      <c r="E305" s="14">
        <f>IF(원생!$A303="","",SUMIFS(수납!$F:$F,수납!$C:$C,원생!$A303,수납!$D:$D,IF(원생!$G303="","",원생!$G303),수납!$B:$B,$B$1&amp;"-"&amp;TEXT(3,"00")&amp;"*",수납!$E:$E,"수강료")+SUMIFS(수납!$F:$F,수납!$C:$C,원생!$A303,수납!$D:$D,IF(원생!$G303="","",원생!$G303),수납!$B:$B,$B$1&amp;"-"&amp;TEXT(3,"00")&amp;"*",수납!$E:$E,""))</f>
        <v/>
      </c>
      <c r="F305" s="14">
        <f>IF(원생!$A303="","",SUMIFS(수납!$F:$F,수납!$C:$C,원생!$A303,수납!$D:$D,IF(원생!$G303="","",원생!$G303),수납!$B:$B,$B$1&amp;"-"&amp;TEXT(4,"00")&amp;"*",수납!$E:$E,"수강료")+SUMIFS(수납!$F:$F,수납!$C:$C,원생!$A303,수납!$D:$D,IF(원생!$G303="","",원생!$G303),수납!$B:$B,$B$1&amp;"-"&amp;TEXT(4,"00")&amp;"*",수납!$E:$E,""))</f>
        <v/>
      </c>
      <c r="G305" s="14">
        <f>IF(원생!$A303="","",SUMIFS(수납!$F:$F,수납!$C:$C,원생!$A303,수납!$D:$D,IF(원생!$G303="","",원생!$G303),수납!$B:$B,$B$1&amp;"-"&amp;TEXT(5,"00")&amp;"*",수납!$E:$E,"수강료")+SUMIFS(수납!$F:$F,수납!$C:$C,원생!$A303,수납!$D:$D,IF(원생!$G303="","",원생!$G303),수납!$B:$B,$B$1&amp;"-"&amp;TEXT(5,"00")&amp;"*",수납!$E:$E,""))</f>
        <v/>
      </c>
      <c r="H305" s="14">
        <f>IF(원생!$A303="","",SUMIFS(수납!$F:$F,수납!$C:$C,원생!$A303,수납!$D:$D,IF(원생!$G303="","",원생!$G303),수납!$B:$B,$B$1&amp;"-"&amp;TEXT(6,"00")&amp;"*",수납!$E:$E,"수강료")+SUMIFS(수납!$F:$F,수납!$C:$C,원생!$A303,수납!$D:$D,IF(원생!$G303="","",원생!$G303),수납!$B:$B,$B$1&amp;"-"&amp;TEXT(6,"00")&amp;"*",수납!$E:$E,""))</f>
        <v/>
      </c>
      <c r="I305" s="14">
        <f>IF(원생!$A303="","",SUMIFS(수납!$F:$F,수납!$C:$C,원생!$A303,수납!$D:$D,IF(원생!$G303="","",원생!$G303),수납!$B:$B,$B$1&amp;"-"&amp;TEXT(7,"00")&amp;"*",수납!$E:$E,"수강료")+SUMIFS(수납!$F:$F,수납!$C:$C,원생!$A303,수납!$D:$D,IF(원생!$G303="","",원생!$G303),수납!$B:$B,$B$1&amp;"-"&amp;TEXT(7,"00")&amp;"*",수납!$E:$E,""))</f>
        <v/>
      </c>
      <c r="J305" s="14">
        <f>IF(원생!$A303="","",SUMIFS(수납!$F:$F,수납!$C:$C,원생!$A303,수납!$D:$D,IF(원생!$G303="","",원생!$G303),수납!$B:$B,$B$1&amp;"-"&amp;TEXT(8,"00")&amp;"*",수납!$E:$E,"수강료")+SUMIFS(수납!$F:$F,수납!$C:$C,원생!$A303,수납!$D:$D,IF(원생!$G303="","",원생!$G303),수납!$B:$B,$B$1&amp;"-"&amp;TEXT(8,"00")&amp;"*",수납!$E:$E,""))</f>
        <v/>
      </c>
      <c r="K305" s="14">
        <f>IF(원생!$A303="","",SUMIFS(수납!$F:$F,수납!$C:$C,원생!$A303,수납!$D:$D,IF(원생!$G303="","",원생!$G303),수납!$B:$B,$B$1&amp;"-"&amp;TEXT(9,"00")&amp;"*",수납!$E:$E,"수강료")+SUMIFS(수납!$F:$F,수납!$C:$C,원생!$A303,수납!$D:$D,IF(원생!$G303="","",원생!$G303),수납!$B:$B,$B$1&amp;"-"&amp;TEXT(9,"00")&amp;"*",수납!$E:$E,""))</f>
        <v/>
      </c>
      <c r="L305" s="14">
        <f>IF(원생!$A303="","",SUMIFS(수납!$F:$F,수납!$C:$C,원생!$A303,수납!$D:$D,IF(원생!$G303="","",원생!$G303),수납!$B:$B,$B$1&amp;"-"&amp;TEXT(10,"00")&amp;"*",수납!$E:$E,"수강료")+SUMIFS(수납!$F:$F,수납!$C:$C,원생!$A303,수납!$D:$D,IF(원생!$G303="","",원생!$G303),수납!$B:$B,$B$1&amp;"-"&amp;TEXT(10,"00")&amp;"*",수납!$E:$E,""))</f>
        <v/>
      </c>
      <c r="M305" s="14">
        <f>IF(원생!$A303="","",SUMIFS(수납!$F:$F,수납!$C:$C,원생!$A303,수납!$D:$D,IF(원생!$G303="","",원생!$G303),수납!$B:$B,$B$1&amp;"-"&amp;TEXT(11,"00")&amp;"*",수납!$E:$E,"수강료")+SUMIFS(수납!$F:$F,수납!$C:$C,원생!$A303,수납!$D:$D,IF(원생!$G303="","",원생!$G303),수납!$B:$B,$B$1&amp;"-"&amp;TEXT(11,"00")&amp;"*",수납!$E:$E,""))</f>
        <v/>
      </c>
      <c r="N305" s="14">
        <f>IF(원생!$A303="","",SUMIFS(수납!$F:$F,수납!$C:$C,원생!$A303,수납!$D:$D,IF(원생!$G303="","",원생!$G303),수납!$B:$B,$B$1&amp;"-"&amp;TEXT(12,"00")&amp;"*",수납!$E:$E,"수강료")+SUMIFS(수납!$F:$F,수납!$C:$C,원생!$A303,수납!$D:$D,IF(원생!$G303="","",원생!$G303),수납!$B:$B,$B$1&amp;"-"&amp;TEXT(12,"00")&amp;"*",수납!$E:$E,""))</f>
        <v/>
      </c>
      <c r="O305">
        <f>IF(원생!$I303="","",원생!$I303)</f>
        <v/>
      </c>
      <c r="P305">
        <f>IF($A305="","",IF(AND($B305&gt;0,C305&lt;$B305,DATE($B$1,1,1)&lt;=TODAY(),OR($O305="",$O305&gt;=DATE($B$1,1,1)),OR(COUNTIF($C305:C305,"&gt;0")&gt;0,DATE($B$1,1,1)=DATE(YEAR(TODAY()),MONTH(TODAY()),1))),1,0))</f>
        <v/>
      </c>
      <c r="Q305">
        <f>IF($A305="","",IF(AND($B305&gt;0,D305&lt;$B305,DATE($B$1,2,1)&lt;=TODAY(),OR($O305="",$O305&gt;=DATE($B$1,2,1)),OR(COUNTIF($C305:D305,"&gt;0")&gt;0,DATE($B$1,2,1)=DATE(YEAR(TODAY()),MONTH(TODAY()),1))),1,0))</f>
        <v/>
      </c>
      <c r="R305">
        <f>IF($A305="","",IF(AND($B305&gt;0,E305&lt;$B305,DATE($B$1,3,1)&lt;=TODAY(),OR($O305="",$O305&gt;=DATE($B$1,3,1)),OR(COUNTIF($C305:E305,"&gt;0")&gt;0,DATE($B$1,3,1)=DATE(YEAR(TODAY()),MONTH(TODAY()),1))),1,0))</f>
        <v/>
      </c>
      <c r="S305">
        <f>IF($A305="","",IF(AND($B305&gt;0,F305&lt;$B305,DATE($B$1,4,1)&lt;=TODAY(),OR($O305="",$O305&gt;=DATE($B$1,4,1)),OR(COUNTIF($C305:F305,"&gt;0")&gt;0,DATE($B$1,4,1)=DATE(YEAR(TODAY()),MONTH(TODAY()),1))),1,0))</f>
        <v/>
      </c>
      <c r="T305">
        <f>IF($A305="","",IF(AND($B305&gt;0,G305&lt;$B305,DATE($B$1,5,1)&lt;=TODAY(),OR($O305="",$O305&gt;=DATE($B$1,5,1)),OR(COUNTIF($C305:G305,"&gt;0")&gt;0,DATE($B$1,5,1)=DATE(YEAR(TODAY()),MONTH(TODAY()),1))),1,0))</f>
        <v/>
      </c>
      <c r="U305">
        <f>IF($A305="","",IF(AND($B305&gt;0,H305&lt;$B305,DATE($B$1,6,1)&lt;=TODAY(),OR($O305="",$O305&gt;=DATE($B$1,6,1)),OR(COUNTIF($C305:H305,"&gt;0")&gt;0,DATE($B$1,6,1)=DATE(YEAR(TODAY()),MONTH(TODAY()),1))),1,0))</f>
        <v/>
      </c>
      <c r="V305">
        <f>IF($A305="","",IF(AND($B305&gt;0,I305&lt;$B305,DATE($B$1,7,1)&lt;=TODAY(),OR($O305="",$O305&gt;=DATE($B$1,7,1)),OR(COUNTIF($C305:I305,"&gt;0")&gt;0,DATE($B$1,7,1)=DATE(YEAR(TODAY()),MONTH(TODAY()),1))),1,0))</f>
        <v/>
      </c>
      <c r="W305">
        <f>IF($A305="","",IF(AND($B305&gt;0,J305&lt;$B305,DATE($B$1,8,1)&lt;=TODAY(),OR($O305="",$O305&gt;=DATE($B$1,8,1)),OR(COUNTIF($C305:J305,"&gt;0")&gt;0,DATE($B$1,8,1)=DATE(YEAR(TODAY()),MONTH(TODAY()),1))),1,0))</f>
        <v/>
      </c>
      <c r="X305">
        <f>IF($A305="","",IF(AND($B305&gt;0,K305&lt;$B305,DATE($B$1,9,1)&lt;=TODAY(),OR($O305="",$O305&gt;=DATE($B$1,9,1)),OR(COUNTIF($C305:K305,"&gt;0")&gt;0,DATE($B$1,9,1)=DATE(YEAR(TODAY()),MONTH(TODAY()),1))),1,0))</f>
        <v/>
      </c>
      <c r="Y305">
        <f>IF($A305="","",IF(AND($B305&gt;0,L305&lt;$B305,DATE($B$1,10,1)&lt;=TODAY(),OR($O305="",$O305&gt;=DATE($B$1,10,1)),OR(COUNTIF($C305:L305,"&gt;0")&gt;0,DATE($B$1,10,1)=DATE(YEAR(TODAY()),MONTH(TODAY()),1))),1,0))</f>
        <v/>
      </c>
      <c r="Z305">
        <f>IF($A305="","",IF(AND($B305&gt;0,M305&lt;$B305,DATE($B$1,11,1)&lt;=TODAY(),OR($O305="",$O305&gt;=DATE($B$1,11,1)),OR(COUNTIF($C305:M305,"&gt;0")&gt;0,DATE($B$1,11,1)=DATE(YEAR(TODAY()),MONTH(TODAY()),1))),1,0))</f>
        <v/>
      </c>
      <c r="AA305">
        <f>IF($A305="","",IF(AND($B305&gt;0,N305&lt;$B305,DATE($B$1,12,1)&lt;=TODAY(),OR($O305="",$O305&gt;=DATE($B$1,12,1)),OR(COUNTIF($C305:N305,"&gt;0")&gt;0,DATE($B$1,12,1)=DATE(YEAR(TODAY()),MONTH(TODAY()),1))),1,0))</f>
        <v/>
      </c>
    </row>
    <row r="306">
      <c r="A306" s="13">
        <f>IF(원생!$A304="","",원생!$A304&amp;IF(원생!$G304="",""," ("&amp;원생!$G304&amp;")"))</f>
        <v/>
      </c>
      <c r="B306" s="8">
        <f>IF(원생!$A304="","",원생!$F304)</f>
        <v/>
      </c>
      <c r="C306" s="14">
        <f>IF(원생!$A304="","",SUMIFS(수납!$F:$F,수납!$C:$C,원생!$A304,수납!$D:$D,IF(원생!$G304="","",원생!$G304),수납!$B:$B,$B$1&amp;"-"&amp;TEXT(1,"00")&amp;"*",수납!$E:$E,"수강료")+SUMIFS(수납!$F:$F,수납!$C:$C,원생!$A304,수납!$D:$D,IF(원생!$G304="","",원생!$G304),수납!$B:$B,$B$1&amp;"-"&amp;TEXT(1,"00")&amp;"*",수납!$E:$E,""))</f>
        <v/>
      </c>
      <c r="D306" s="14">
        <f>IF(원생!$A304="","",SUMIFS(수납!$F:$F,수납!$C:$C,원생!$A304,수납!$D:$D,IF(원생!$G304="","",원생!$G304),수납!$B:$B,$B$1&amp;"-"&amp;TEXT(2,"00")&amp;"*",수납!$E:$E,"수강료")+SUMIFS(수납!$F:$F,수납!$C:$C,원생!$A304,수납!$D:$D,IF(원생!$G304="","",원생!$G304),수납!$B:$B,$B$1&amp;"-"&amp;TEXT(2,"00")&amp;"*",수납!$E:$E,""))</f>
        <v/>
      </c>
      <c r="E306" s="14">
        <f>IF(원생!$A304="","",SUMIFS(수납!$F:$F,수납!$C:$C,원생!$A304,수납!$D:$D,IF(원생!$G304="","",원생!$G304),수납!$B:$B,$B$1&amp;"-"&amp;TEXT(3,"00")&amp;"*",수납!$E:$E,"수강료")+SUMIFS(수납!$F:$F,수납!$C:$C,원생!$A304,수납!$D:$D,IF(원생!$G304="","",원생!$G304),수납!$B:$B,$B$1&amp;"-"&amp;TEXT(3,"00")&amp;"*",수납!$E:$E,""))</f>
        <v/>
      </c>
      <c r="F306" s="14">
        <f>IF(원생!$A304="","",SUMIFS(수납!$F:$F,수납!$C:$C,원생!$A304,수납!$D:$D,IF(원생!$G304="","",원생!$G304),수납!$B:$B,$B$1&amp;"-"&amp;TEXT(4,"00")&amp;"*",수납!$E:$E,"수강료")+SUMIFS(수납!$F:$F,수납!$C:$C,원생!$A304,수납!$D:$D,IF(원생!$G304="","",원생!$G304),수납!$B:$B,$B$1&amp;"-"&amp;TEXT(4,"00")&amp;"*",수납!$E:$E,""))</f>
        <v/>
      </c>
      <c r="G306" s="14">
        <f>IF(원생!$A304="","",SUMIFS(수납!$F:$F,수납!$C:$C,원생!$A304,수납!$D:$D,IF(원생!$G304="","",원생!$G304),수납!$B:$B,$B$1&amp;"-"&amp;TEXT(5,"00")&amp;"*",수납!$E:$E,"수강료")+SUMIFS(수납!$F:$F,수납!$C:$C,원생!$A304,수납!$D:$D,IF(원생!$G304="","",원생!$G304),수납!$B:$B,$B$1&amp;"-"&amp;TEXT(5,"00")&amp;"*",수납!$E:$E,""))</f>
        <v/>
      </c>
      <c r="H306" s="14">
        <f>IF(원생!$A304="","",SUMIFS(수납!$F:$F,수납!$C:$C,원생!$A304,수납!$D:$D,IF(원생!$G304="","",원생!$G304),수납!$B:$B,$B$1&amp;"-"&amp;TEXT(6,"00")&amp;"*",수납!$E:$E,"수강료")+SUMIFS(수납!$F:$F,수납!$C:$C,원생!$A304,수납!$D:$D,IF(원생!$G304="","",원생!$G304),수납!$B:$B,$B$1&amp;"-"&amp;TEXT(6,"00")&amp;"*",수납!$E:$E,""))</f>
        <v/>
      </c>
      <c r="I306" s="14">
        <f>IF(원생!$A304="","",SUMIFS(수납!$F:$F,수납!$C:$C,원생!$A304,수납!$D:$D,IF(원생!$G304="","",원생!$G304),수납!$B:$B,$B$1&amp;"-"&amp;TEXT(7,"00")&amp;"*",수납!$E:$E,"수강료")+SUMIFS(수납!$F:$F,수납!$C:$C,원생!$A304,수납!$D:$D,IF(원생!$G304="","",원생!$G304),수납!$B:$B,$B$1&amp;"-"&amp;TEXT(7,"00")&amp;"*",수납!$E:$E,""))</f>
        <v/>
      </c>
      <c r="J306" s="14">
        <f>IF(원생!$A304="","",SUMIFS(수납!$F:$F,수납!$C:$C,원생!$A304,수납!$D:$D,IF(원생!$G304="","",원생!$G304),수납!$B:$B,$B$1&amp;"-"&amp;TEXT(8,"00")&amp;"*",수납!$E:$E,"수강료")+SUMIFS(수납!$F:$F,수납!$C:$C,원생!$A304,수납!$D:$D,IF(원생!$G304="","",원생!$G304),수납!$B:$B,$B$1&amp;"-"&amp;TEXT(8,"00")&amp;"*",수납!$E:$E,""))</f>
        <v/>
      </c>
      <c r="K306" s="14">
        <f>IF(원생!$A304="","",SUMIFS(수납!$F:$F,수납!$C:$C,원생!$A304,수납!$D:$D,IF(원생!$G304="","",원생!$G304),수납!$B:$B,$B$1&amp;"-"&amp;TEXT(9,"00")&amp;"*",수납!$E:$E,"수강료")+SUMIFS(수납!$F:$F,수납!$C:$C,원생!$A304,수납!$D:$D,IF(원생!$G304="","",원생!$G304),수납!$B:$B,$B$1&amp;"-"&amp;TEXT(9,"00")&amp;"*",수납!$E:$E,""))</f>
        <v/>
      </c>
      <c r="L306" s="14">
        <f>IF(원생!$A304="","",SUMIFS(수납!$F:$F,수납!$C:$C,원생!$A304,수납!$D:$D,IF(원생!$G304="","",원생!$G304),수납!$B:$B,$B$1&amp;"-"&amp;TEXT(10,"00")&amp;"*",수납!$E:$E,"수강료")+SUMIFS(수납!$F:$F,수납!$C:$C,원생!$A304,수납!$D:$D,IF(원생!$G304="","",원생!$G304),수납!$B:$B,$B$1&amp;"-"&amp;TEXT(10,"00")&amp;"*",수납!$E:$E,""))</f>
        <v/>
      </c>
      <c r="M306" s="14">
        <f>IF(원생!$A304="","",SUMIFS(수납!$F:$F,수납!$C:$C,원생!$A304,수납!$D:$D,IF(원생!$G304="","",원생!$G304),수납!$B:$B,$B$1&amp;"-"&amp;TEXT(11,"00")&amp;"*",수납!$E:$E,"수강료")+SUMIFS(수납!$F:$F,수납!$C:$C,원생!$A304,수납!$D:$D,IF(원생!$G304="","",원생!$G304),수납!$B:$B,$B$1&amp;"-"&amp;TEXT(11,"00")&amp;"*",수납!$E:$E,""))</f>
        <v/>
      </c>
      <c r="N306" s="14">
        <f>IF(원생!$A304="","",SUMIFS(수납!$F:$F,수납!$C:$C,원생!$A304,수납!$D:$D,IF(원생!$G304="","",원생!$G304),수납!$B:$B,$B$1&amp;"-"&amp;TEXT(12,"00")&amp;"*",수납!$E:$E,"수강료")+SUMIFS(수납!$F:$F,수납!$C:$C,원생!$A304,수납!$D:$D,IF(원생!$G304="","",원생!$G304),수납!$B:$B,$B$1&amp;"-"&amp;TEXT(12,"00")&amp;"*",수납!$E:$E,""))</f>
        <v/>
      </c>
      <c r="O306">
        <f>IF(원생!$I304="","",원생!$I304)</f>
        <v/>
      </c>
      <c r="P306">
        <f>IF($A306="","",IF(AND($B306&gt;0,C306&lt;$B306,DATE($B$1,1,1)&lt;=TODAY(),OR($O306="",$O306&gt;=DATE($B$1,1,1)),OR(COUNTIF($C306:C306,"&gt;0")&gt;0,DATE($B$1,1,1)=DATE(YEAR(TODAY()),MONTH(TODAY()),1))),1,0))</f>
        <v/>
      </c>
      <c r="Q306">
        <f>IF($A306="","",IF(AND($B306&gt;0,D306&lt;$B306,DATE($B$1,2,1)&lt;=TODAY(),OR($O306="",$O306&gt;=DATE($B$1,2,1)),OR(COUNTIF($C306:D306,"&gt;0")&gt;0,DATE($B$1,2,1)=DATE(YEAR(TODAY()),MONTH(TODAY()),1))),1,0))</f>
        <v/>
      </c>
      <c r="R306">
        <f>IF($A306="","",IF(AND($B306&gt;0,E306&lt;$B306,DATE($B$1,3,1)&lt;=TODAY(),OR($O306="",$O306&gt;=DATE($B$1,3,1)),OR(COUNTIF($C306:E306,"&gt;0")&gt;0,DATE($B$1,3,1)=DATE(YEAR(TODAY()),MONTH(TODAY()),1))),1,0))</f>
        <v/>
      </c>
      <c r="S306">
        <f>IF($A306="","",IF(AND($B306&gt;0,F306&lt;$B306,DATE($B$1,4,1)&lt;=TODAY(),OR($O306="",$O306&gt;=DATE($B$1,4,1)),OR(COUNTIF($C306:F306,"&gt;0")&gt;0,DATE($B$1,4,1)=DATE(YEAR(TODAY()),MONTH(TODAY()),1))),1,0))</f>
        <v/>
      </c>
      <c r="T306">
        <f>IF($A306="","",IF(AND($B306&gt;0,G306&lt;$B306,DATE($B$1,5,1)&lt;=TODAY(),OR($O306="",$O306&gt;=DATE($B$1,5,1)),OR(COUNTIF($C306:G306,"&gt;0")&gt;0,DATE($B$1,5,1)=DATE(YEAR(TODAY()),MONTH(TODAY()),1))),1,0))</f>
        <v/>
      </c>
      <c r="U306">
        <f>IF($A306="","",IF(AND($B306&gt;0,H306&lt;$B306,DATE($B$1,6,1)&lt;=TODAY(),OR($O306="",$O306&gt;=DATE($B$1,6,1)),OR(COUNTIF($C306:H306,"&gt;0")&gt;0,DATE($B$1,6,1)=DATE(YEAR(TODAY()),MONTH(TODAY()),1))),1,0))</f>
        <v/>
      </c>
      <c r="V306">
        <f>IF($A306="","",IF(AND($B306&gt;0,I306&lt;$B306,DATE($B$1,7,1)&lt;=TODAY(),OR($O306="",$O306&gt;=DATE($B$1,7,1)),OR(COUNTIF($C306:I306,"&gt;0")&gt;0,DATE($B$1,7,1)=DATE(YEAR(TODAY()),MONTH(TODAY()),1))),1,0))</f>
        <v/>
      </c>
      <c r="W306">
        <f>IF($A306="","",IF(AND($B306&gt;0,J306&lt;$B306,DATE($B$1,8,1)&lt;=TODAY(),OR($O306="",$O306&gt;=DATE($B$1,8,1)),OR(COUNTIF($C306:J306,"&gt;0")&gt;0,DATE($B$1,8,1)=DATE(YEAR(TODAY()),MONTH(TODAY()),1))),1,0))</f>
        <v/>
      </c>
      <c r="X306">
        <f>IF($A306="","",IF(AND($B306&gt;0,K306&lt;$B306,DATE($B$1,9,1)&lt;=TODAY(),OR($O306="",$O306&gt;=DATE($B$1,9,1)),OR(COUNTIF($C306:K306,"&gt;0")&gt;0,DATE($B$1,9,1)=DATE(YEAR(TODAY()),MONTH(TODAY()),1))),1,0))</f>
        <v/>
      </c>
      <c r="Y306">
        <f>IF($A306="","",IF(AND($B306&gt;0,L306&lt;$B306,DATE($B$1,10,1)&lt;=TODAY(),OR($O306="",$O306&gt;=DATE($B$1,10,1)),OR(COUNTIF($C306:L306,"&gt;0")&gt;0,DATE($B$1,10,1)=DATE(YEAR(TODAY()),MONTH(TODAY()),1))),1,0))</f>
        <v/>
      </c>
      <c r="Z306">
        <f>IF($A306="","",IF(AND($B306&gt;0,M306&lt;$B306,DATE($B$1,11,1)&lt;=TODAY(),OR($O306="",$O306&gt;=DATE($B$1,11,1)),OR(COUNTIF($C306:M306,"&gt;0")&gt;0,DATE($B$1,11,1)=DATE(YEAR(TODAY()),MONTH(TODAY()),1))),1,0))</f>
        <v/>
      </c>
      <c r="AA306">
        <f>IF($A306="","",IF(AND($B306&gt;0,N306&lt;$B306,DATE($B$1,12,1)&lt;=TODAY(),OR($O306="",$O306&gt;=DATE($B$1,12,1)),OR(COUNTIF($C306:N306,"&gt;0")&gt;0,DATE($B$1,12,1)=DATE(YEAR(TODAY()),MONTH(TODAY()),1))),1,0))</f>
        <v/>
      </c>
    </row>
    <row r="307">
      <c r="A307" s="13">
        <f>IF(원생!$A305="","",원생!$A305&amp;IF(원생!$G305="",""," ("&amp;원생!$G305&amp;")"))</f>
        <v/>
      </c>
      <c r="B307" s="8">
        <f>IF(원생!$A305="","",원생!$F305)</f>
        <v/>
      </c>
      <c r="C307" s="14">
        <f>IF(원생!$A305="","",SUMIFS(수납!$F:$F,수납!$C:$C,원생!$A305,수납!$D:$D,IF(원생!$G305="","",원생!$G305),수납!$B:$B,$B$1&amp;"-"&amp;TEXT(1,"00")&amp;"*",수납!$E:$E,"수강료")+SUMIFS(수납!$F:$F,수납!$C:$C,원생!$A305,수납!$D:$D,IF(원생!$G305="","",원생!$G305),수납!$B:$B,$B$1&amp;"-"&amp;TEXT(1,"00")&amp;"*",수납!$E:$E,""))</f>
        <v/>
      </c>
      <c r="D307" s="14">
        <f>IF(원생!$A305="","",SUMIFS(수납!$F:$F,수납!$C:$C,원생!$A305,수납!$D:$D,IF(원생!$G305="","",원생!$G305),수납!$B:$B,$B$1&amp;"-"&amp;TEXT(2,"00")&amp;"*",수납!$E:$E,"수강료")+SUMIFS(수납!$F:$F,수납!$C:$C,원생!$A305,수납!$D:$D,IF(원생!$G305="","",원생!$G305),수납!$B:$B,$B$1&amp;"-"&amp;TEXT(2,"00")&amp;"*",수납!$E:$E,""))</f>
        <v/>
      </c>
      <c r="E307" s="14">
        <f>IF(원생!$A305="","",SUMIFS(수납!$F:$F,수납!$C:$C,원생!$A305,수납!$D:$D,IF(원생!$G305="","",원생!$G305),수납!$B:$B,$B$1&amp;"-"&amp;TEXT(3,"00")&amp;"*",수납!$E:$E,"수강료")+SUMIFS(수납!$F:$F,수납!$C:$C,원생!$A305,수납!$D:$D,IF(원생!$G305="","",원생!$G305),수납!$B:$B,$B$1&amp;"-"&amp;TEXT(3,"00")&amp;"*",수납!$E:$E,""))</f>
        <v/>
      </c>
      <c r="F307" s="14">
        <f>IF(원생!$A305="","",SUMIFS(수납!$F:$F,수납!$C:$C,원생!$A305,수납!$D:$D,IF(원생!$G305="","",원생!$G305),수납!$B:$B,$B$1&amp;"-"&amp;TEXT(4,"00")&amp;"*",수납!$E:$E,"수강료")+SUMIFS(수납!$F:$F,수납!$C:$C,원생!$A305,수납!$D:$D,IF(원생!$G305="","",원생!$G305),수납!$B:$B,$B$1&amp;"-"&amp;TEXT(4,"00")&amp;"*",수납!$E:$E,""))</f>
        <v/>
      </c>
      <c r="G307" s="14">
        <f>IF(원생!$A305="","",SUMIFS(수납!$F:$F,수납!$C:$C,원생!$A305,수납!$D:$D,IF(원생!$G305="","",원생!$G305),수납!$B:$B,$B$1&amp;"-"&amp;TEXT(5,"00")&amp;"*",수납!$E:$E,"수강료")+SUMIFS(수납!$F:$F,수납!$C:$C,원생!$A305,수납!$D:$D,IF(원생!$G305="","",원생!$G305),수납!$B:$B,$B$1&amp;"-"&amp;TEXT(5,"00")&amp;"*",수납!$E:$E,""))</f>
        <v/>
      </c>
      <c r="H307" s="14">
        <f>IF(원생!$A305="","",SUMIFS(수납!$F:$F,수납!$C:$C,원생!$A305,수납!$D:$D,IF(원생!$G305="","",원생!$G305),수납!$B:$B,$B$1&amp;"-"&amp;TEXT(6,"00")&amp;"*",수납!$E:$E,"수강료")+SUMIFS(수납!$F:$F,수납!$C:$C,원생!$A305,수납!$D:$D,IF(원생!$G305="","",원생!$G305),수납!$B:$B,$B$1&amp;"-"&amp;TEXT(6,"00")&amp;"*",수납!$E:$E,""))</f>
        <v/>
      </c>
      <c r="I307" s="14">
        <f>IF(원생!$A305="","",SUMIFS(수납!$F:$F,수납!$C:$C,원생!$A305,수납!$D:$D,IF(원생!$G305="","",원생!$G305),수납!$B:$B,$B$1&amp;"-"&amp;TEXT(7,"00")&amp;"*",수납!$E:$E,"수강료")+SUMIFS(수납!$F:$F,수납!$C:$C,원생!$A305,수납!$D:$D,IF(원생!$G305="","",원생!$G305),수납!$B:$B,$B$1&amp;"-"&amp;TEXT(7,"00")&amp;"*",수납!$E:$E,""))</f>
        <v/>
      </c>
      <c r="J307" s="14">
        <f>IF(원생!$A305="","",SUMIFS(수납!$F:$F,수납!$C:$C,원생!$A305,수납!$D:$D,IF(원생!$G305="","",원생!$G305),수납!$B:$B,$B$1&amp;"-"&amp;TEXT(8,"00")&amp;"*",수납!$E:$E,"수강료")+SUMIFS(수납!$F:$F,수납!$C:$C,원생!$A305,수납!$D:$D,IF(원생!$G305="","",원생!$G305),수납!$B:$B,$B$1&amp;"-"&amp;TEXT(8,"00")&amp;"*",수납!$E:$E,""))</f>
        <v/>
      </c>
      <c r="K307" s="14">
        <f>IF(원생!$A305="","",SUMIFS(수납!$F:$F,수납!$C:$C,원생!$A305,수납!$D:$D,IF(원생!$G305="","",원생!$G305),수납!$B:$B,$B$1&amp;"-"&amp;TEXT(9,"00")&amp;"*",수납!$E:$E,"수강료")+SUMIFS(수납!$F:$F,수납!$C:$C,원생!$A305,수납!$D:$D,IF(원생!$G305="","",원생!$G305),수납!$B:$B,$B$1&amp;"-"&amp;TEXT(9,"00")&amp;"*",수납!$E:$E,""))</f>
        <v/>
      </c>
      <c r="L307" s="14">
        <f>IF(원생!$A305="","",SUMIFS(수납!$F:$F,수납!$C:$C,원생!$A305,수납!$D:$D,IF(원생!$G305="","",원생!$G305),수납!$B:$B,$B$1&amp;"-"&amp;TEXT(10,"00")&amp;"*",수납!$E:$E,"수강료")+SUMIFS(수납!$F:$F,수납!$C:$C,원생!$A305,수납!$D:$D,IF(원생!$G305="","",원생!$G305),수납!$B:$B,$B$1&amp;"-"&amp;TEXT(10,"00")&amp;"*",수납!$E:$E,""))</f>
        <v/>
      </c>
      <c r="M307" s="14">
        <f>IF(원생!$A305="","",SUMIFS(수납!$F:$F,수납!$C:$C,원생!$A305,수납!$D:$D,IF(원생!$G305="","",원생!$G305),수납!$B:$B,$B$1&amp;"-"&amp;TEXT(11,"00")&amp;"*",수납!$E:$E,"수강료")+SUMIFS(수납!$F:$F,수납!$C:$C,원생!$A305,수납!$D:$D,IF(원생!$G305="","",원생!$G305),수납!$B:$B,$B$1&amp;"-"&amp;TEXT(11,"00")&amp;"*",수납!$E:$E,""))</f>
        <v/>
      </c>
      <c r="N307" s="14">
        <f>IF(원생!$A305="","",SUMIFS(수납!$F:$F,수납!$C:$C,원생!$A305,수납!$D:$D,IF(원생!$G305="","",원생!$G305),수납!$B:$B,$B$1&amp;"-"&amp;TEXT(12,"00")&amp;"*",수납!$E:$E,"수강료")+SUMIFS(수납!$F:$F,수납!$C:$C,원생!$A305,수납!$D:$D,IF(원생!$G305="","",원생!$G305),수납!$B:$B,$B$1&amp;"-"&amp;TEXT(12,"00")&amp;"*",수납!$E:$E,""))</f>
        <v/>
      </c>
      <c r="O307">
        <f>IF(원생!$I305="","",원생!$I305)</f>
        <v/>
      </c>
      <c r="P307">
        <f>IF($A307="","",IF(AND($B307&gt;0,C307&lt;$B307,DATE($B$1,1,1)&lt;=TODAY(),OR($O307="",$O307&gt;=DATE($B$1,1,1)),OR(COUNTIF($C307:C307,"&gt;0")&gt;0,DATE($B$1,1,1)=DATE(YEAR(TODAY()),MONTH(TODAY()),1))),1,0))</f>
        <v/>
      </c>
      <c r="Q307">
        <f>IF($A307="","",IF(AND($B307&gt;0,D307&lt;$B307,DATE($B$1,2,1)&lt;=TODAY(),OR($O307="",$O307&gt;=DATE($B$1,2,1)),OR(COUNTIF($C307:D307,"&gt;0")&gt;0,DATE($B$1,2,1)=DATE(YEAR(TODAY()),MONTH(TODAY()),1))),1,0))</f>
        <v/>
      </c>
      <c r="R307">
        <f>IF($A307="","",IF(AND($B307&gt;0,E307&lt;$B307,DATE($B$1,3,1)&lt;=TODAY(),OR($O307="",$O307&gt;=DATE($B$1,3,1)),OR(COUNTIF($C307:E307,"&gt;0")&gt;0,DATE($B$1,3,1)=DATE(YEAR(TODAY()),MONTH(TODAY()),1))),1,0))</f>
        <v/>
      </c>
      <c r="S307">
        <f>IF($A307="","",IF(AND($B307&gt;0,F307&lt;$B307,DATE($B$1,4,1)&lt;=TODAY(),OR($O307="",$O307&gt;=DATE($B$1,4,1)),OR(COUNTIF($C307:F307,"&gt;0")&gt;0,DATE($B$1,4,1)=DATE(YEAR(TODAY()),MONTH(TODAY()),1))),1,0))</f>
        <v/>
      </c>
      <c r="T307">
        <f>IF($A307="","",IF(AND($B307&gt;0,G307&lt;$B307,DATE($B$1,5,1)&lt;=TODAY(),OR($O307="",$O307&gt;=DATE($B$1,5,1)),OR(COUNTIF($C307:G307,"&gt;0")&gt;0,DATE($B$1,5,1)=DATE(YEAR(TODAY()),MONTH(TODAY()),1))),1,0))</f>
        <v/>
      </c>
      <c r="U307">
        <f>IF($A307="","",IF(AND($B307&gt;0,H307&lt;$B307,DATE($B$1,6,1)&lt;=TODAY(),OR($O307="",$O307&gt;=DATE($B$1,6,1)),OR(COUNTIF($C307:H307,"&gt;0")&gt;0,DATE($B$1,6,1)=DATE(YEAR(TODAY()),MONTH(TODAY()),1))),1,0))</f>
        <v/>
      </c>
      <c r="V307">
        <f>IF($A307="","",IF(AND($B307&gt;0,I307&lt;$B307,DATE($B$1,7,1)&lt;=TODAY(),OR($O307="",$O307&gt;=DATE($B$1,7,1)),OR(COUNTIF($C307:I307,"&gt;0")&gt;0,DATE($B$1,7,1)=DATE(YEAR(TODAY()),MONTH(TODAY()),1))),1,0))</f>
        <v/>
      </c>
      <c r="W307">
        <f>IF($A307="","",IF(AND($B307&gt;0,J307&lt;$B307,DATE($B$1,8,1)&lt;=TODAY(),OR($O307="",$O307&gt;=DATE($B$1,8,1)),OR(COUNTIF($C307:J307,"&gt;0")&gt;0,DATE($B$1,8,1)=DATE(YEAR(TODAY()),MONTH(TODAY()),1))),1,0))</f>
        <v/>
      </c>
      <c r="X307">
        <f>IF($A307="","",IF(AND($B307&gt;0,K307&lt;$B307,DATE($B$1,9,1)&lt;=TODAY(),OR($O307="",$O307&gt;=DATE($B$1,9,1)),OR(COUNTIF($C307:K307,"&gt;0")&gt;0,DATE($B$1,9,1)=DATE(YEAR(TODAY()),MONTH(TODAY()),1))),1,0))</f>
        <v/>
      </c>
      <c r="Y307">
        <f>IF($A307="","",IF(AND($B307&gt;0,L307&lt;$B307,DATE($B$1,10,1)&lt;=TODAY(),OR($O307="",$O307&gt;=DATE($B$1,10,1)),OR(COUNTIF($C307:L307,"&gt;0")&gt;0,DATE($B$1,10,1)=DATE(YEAR(TODAY()),MONTH(TODAY()),1))),1,0))</f>
        <v/>
      </c>
      <c r="Z307">
        <f>IF($A307="","",IF(AND($B307&gt;0,M307&lt;$B307,DATE($B$1,11,1)&lt;=TODAY(),OR($O307="",$O307&gt;=DATE($B$1,11,1)),OR(COUNTIF($C307:M307,"&gt;0")&gt;0,DATE($B$1,11,1)=DATE(YEAR(TODAY()),MONTH(TODAY()),1))),1,0))</f>
        <v/>
      </c>
      <c r="AA307">
        <f>IF($A307="","",IF(AND($B307&gt;0,N307&lt;$B307,DATE($B$1,12,1)&lt;=TODAY(),OR($O307="",$O307&gt;=DATE($B$1,12,1)),OR(COUNTIF($C307:N307,"&gt;0")&gt;0,DATE($B$1,12,1)=DATE(YEAR(TODAY()),MONTH(TODAY()),1))),1,0))</f>
        <v/>
      </c>
    </row>
    <row r="308">
      <c r="A308" s="13">
        <f>IF(원생!$A306="","",원생!$A306&amp;IF(원생!$G306="",""," ("&amp;원생!$G306&amp;")"))</f>
        <v/>
      </c>
      <c r="B308" s="8">
        <f>IF(원생!$A306="","",원생!$F306)</f>
        <v/>
      </c>
      <c r="C308" s="14">
        <f>IF(원생!$A306="","",SUMIFS(수납!$F:$F,수납!$C:$C,원생!$A306,수납!$D:$D,IF(원생!$G306="","",원생!$G306),수납!$B:$B,$B$1&amp;"-"&amp;TEXT(1,"00")&amp;"*",수납!$E:$E,"수강료")+SUMIFS(수납!$F:$F,수납!$C:$C,원생!$A306,수납!$D:$D,IF(원생!$G306="","",원생!$G306),수납!$B:$B,$B$1&amp;"-"&amp;TEXT(1,"00")&amp;"*",수납!$E:$E,""))</f>
        <v/>
      </c>
      <c r="D308" s="14">
        <f>IF(원생!$A306="","",SUMIFS(수납!$F:$F,수납!$C:$C,원생!$A306,수납!$D:$D,IF(원생!$G306="","",원생!$G306),수납!$B:$B,$B$1&amp;"-"&amp;TEXT(2,"00")&amp;"*",수납!$E:$E,"수강료")+SUMIFS(수납!$F:$F,수납!$C:$C,원생!$A306,수납!$D:$D,IF(원생!$G306="","",원생!$G306),수납!$B:$B,$B$1&amp;"-"&amp;TEXT(2,"00")&amp;"*",수납!$E:$E,""))</f>
        <v/>
      </c>
      <c r="E308" s="14">
        <f>IF(원생!$A306="","",SUMIFS(수납!$F:$F,수납!$C:$C,원생!$A306,수납!$D:$D,IF(원생!$G306="","",원생!$G306),수납!$B:$B,$B$1&amp;"-"&amp;TEXT(3,"00")&amp;"*",수납!$E:$E,"수강료")+SUMIFS(수납!$F:$F,수납!$C:$C,원생!$A306,수납!$D:$D,IF(원생!$G306="","",원생!$G306),수납!$B:$B,$B$1&amp;"-"&amp;TEXT(3,"00")&amp;"*",수납!$E:$E,""))</f>
        <v/>
      </c>
      <c r="F308" s="14">
        <f>IF(원생!$A306="","",SUMIFS(수납!$F:$F,수납!$C:$C,원생!$A306,수납!$D:$D,IF(원생!$G306="","",원생!$G306),수납!$B:$B,$B$1&amp;"-"&amp;TEXT(4,"00")&amp;"*",수납!$E:$E,"수강료")+SUMIFS(수납!$F:$F,수납!$C:$C,원생!$A306,수납!$D:$D,IF(원생!$G306="","",원생!$G306),수납!$B:$B,$B$1&amp;"-"&amp;TEXT(4,"00")&amp;"*",수납!$E:$E,""))</f>
        <v/>
      </c>
      <c r="G308" s="14">
        <f>IF(원생!$A306="","",SUMIFS(수납!$F:$F,수납!$C:$C,원생!$A306,수납!$D:$D,IF(원생!$G306="","",원생!$G306),수납!$B:$B,$B$1&amp;"-"&amp;TEXT(5,"00")&amp;"*",수납!$E:$E,"수강료")+SUMIFS(수납!$F:$F,수납!$C:$C,원생!$A306,수납!$D:$D,IF(원생!$G306="","",원생!$G306),수납!$B:$B,$B$1&amp;"-"&amp;TEXT(5,"00")&amp;"*",수납!$E:$E,""))</f>
        <v/>
      </c>
      <c r="H308" s="14">
        <f>IF(원생!$A306="","",SUMIFS(수납!$F:$F,수납!$C:$C,원생!$A306,수납!$D:$D,IF(원생!$G306="","",원생!$G306),수납!$B:$B,$B$1&amp;"-"&amp;TEXT(6,"00")&amp;"*",수납!$E:$E,"수강료")+SUMIFS(수납!$F:$F,수납!$C:$C,원생!$A306,수납!$D:$D,IF(원생!$G306="","",원생!$G306),수납!$B:$B,$B$1&amp;"-"&amp;TEXT(6,"00")&amp;"*",수납!$E:$E,""))</f>
        <v/>
      </c>
      <c r="I308" s="14">
        <f>IF(원생!$A306="","",SUMIFS(수납!$F:$F,수납!$C:$C,원생!$A306,수납!$D:$D,IF(원생!$G306="","",원생!$G306),수납!$B:$B,$B$1&amp;"-"&amp;TEXT(7,"00")&amp;"*",수납!$E:$E,"수강료")+SUMIFS(수납!$F:$F,수납!$C:$C,원생!$A306,수납!$D:$D,IF(원생!$G306="","",원생!$G306),수납!$B:$B,$B$1&amp;"-"&amp;TEXT(7,"00")&amp;"*",수납!$E:$E,""))</f>
        <v/>
      </c>
      <c r="J308" s="14">
        <f>IF(원생!$A306="","",SUMIFS(수납!$F:$F,수납!$C:$C,원생!$A306,수납!$D:$D,IF(원생!$G306="","",원생!$G306),수납!$B:$B,$B$1&amp;"-"&amp;TEXT(8,"00")&amp;"*",수납!$E:$E,"수강료")+SUMIFS(수납!$F:$F,수납!$C:$C,원생!$A306,수납!$D:$D,IF(원생!$G306="","",원생!$G306),수납!$B:$B,$B$1&amp;"-"&amp;TEXT(8,"00")&amp;"*",수납!$E:$E,""))</f>
        <v/>
      </c>
      <c r="K308" s="14">
        <f>IF(원생!$A306="","",SUMIFS(수납!$F:$F,수납!$C:$C,원생!$A306,수납!$D:$D,IF(원생!$G306="","",원생!$G306),수납!$B:$B,$B$1&amp;"-"&amp;TEXT(9,"00")&amp;"*",수납!$E:$E,"수강료")+SUMIFS(수납!$F:$F,수납!$C:$C,원생!$A306,수납!$D:$D,IF(원생!$G306="","",원생!$G306),수납!$B:$B,$B$1&amp;"-"&amp;TEXT(9,"00")&amp;"*",수납!$E:$E,""))</f>
        <v/>
      </c>
      <c r="L308" s="14">
        <f>IF(원생!$A306="","",SUMIFS(수납!$F:$F,수납!$C:$C,원생!$A306,수납!$D:$D,IF(원생!$G306="","",원생!$G306),수납!$B:$B,$B$1&amp;"-"&amp;TEXT(10,"00")&amp;"*",수납!$E:$E,"수강료")+SUMIFS(수납!$F:$F,수납!$C:$C,원생!$A306,수납!$D:$D,IF(원생!$G306="","",원생!$G306),수납!$B:$B,$B$1&amp;"-"&amp;TEXT(10,"00")&amp;"*",수납!$E:$E,""))</f>
        <v/>
      </c>
      <c r="M308" s="14">
        <f>IF(원생!$A306="","",SUMIFS(수납!$F:$F,수납!$C:$C,원생!$A306,수납!$D:$D,IF(원생!$G306="","",원생!$G306),수납!$B:$B,$B$1&amp;"-"&amp;TEXT(11,"00")&amp;"*",수납!$E:$E,"수강료")+SUMIFS(수납!$F:$F,수납!$C:$C,원생!$A306,수납!$D:$D,IF(원생!$G306="","",원생!$G306),수납!$B:$B,$B$1&amp;"-"&amp;TEXT(11,"00")&amp;"*",수납!$E:$E,""))</f>
        <v/>
      </c>
      <c r="N308" s="14">
        <f>IF(원생!$A306="","",SUMIFS(수납!$F:$F,수납!$C:$C,원생!$A306,수납!$D:$D,IF(원생!$G306="","",원생!$G306),수납!$B:$B,$B$1&amp;"-"&amp;TEXT(12,"00")&amp;"*",수납!$E:$E,"수강료")+SUMIFS(수납!$F:$F,수납!$C:$C,원생!$A306,수납!$D:$D,IF(원생!$G306="","",원생!$G306),수납!$B:$B,$B$1&amp;"-"&amp;TEXT(12,"00")&amp;"*",수납!$E:$E,""))</f>
        <v/>
      </c>
      <c r="O308">
        <f>IF(원생!$I306="","",원생!$I306)</f>
        <v/>
      </c>
      <c r="P308">
        <f>IF($A308="","",IF(AND($B308&gt;0,C308&lt;$B308,DATE($B$1,1,1)&lt;=TODAY(),OR($O308="",$O308&gt;=DATE($B$1,1,1)),OR(COUNTIF($C308:C308,"&gt;0")&gt;0,DATE($B$1,1,1)=DATE(YEAR(TODAY()),MONTH(TODAY()),1))),1,0))</f>
        <v/>
      </c>
      <c r="Q308">
        <f>IF($A308="","",IF(AND($B308&gt;0,D308&lt;$B308,DATE($B$1,2,1)&lt;=TODAY(),OR($O308="",$O308&gt;=DATE($B$1,2,1)),OR(COUNTIF($C308:D308,"&gt;0")&gt;0,DATE($B$1,2,1)=DATE(YEAR(TODAY()),MONTH(TODAY()),1))),1,0))</f>
        <v/>
      </c>
      <c r="R308">
        <f>IF($A308="","",IF(AND($B308&gt;0,E308&lt;$B308,DATE($B$1,3,1)&lt;=TODAY(),OR($O308="",$O308&gt;=DATE($B$1,3,1)),OR(COUNTIF($C308:E308,"&gt;0")&gt;0,DATE($B$1,3,1)=DATE(YEAR(TODAY()),MONTH(TODAY()),1))),1,0))</f>
        <v/>
      </c>
      <c r="S308">
        <f>IF($A308="","",IF(AND($B308&gt;0,F308&lt;$B308,DATE($B$1,4,1)&lt;=TODAY(),OR($O308="",$O308&gt;=DATE($B$1,4,1)),OR(COUNTIF($C308:F308,"&gt;0")&gt;0,DATE($B$1,4,1)=DATE(YEAR(TODAY()),MONTH(TODAY()),1))),1,0))</f>
        <v/>
      </c>
      <c r="T308">
        <f>IF($A308="","",IF(AND($B308&gt;0,G308&lt;$B308,DATE($B$1,5,1)&lt;=TODAY(),OR($O308="",$O308&gt;=DATE($B$1,5,1)),OR(COUNTIF($C308:G308,"&gt;0")&gt;0,DATE($B$1,5,1)=DATE(YEAR(TODAY()),MONTH(TODAY()),1))),1,0))</f>
        <v/>
      </c>
      <c r="U308">
        <f>IF($A308="","",IF(AND($B308&gt;0,H308&lt;$B308,DATE($B$1,6,1)&lt;=TODAY(),OR($O308="",$O308&gt;=DATE($B$1,6,1)),OR(COUNTIF($C308:H308,"&gt;0")&gt;0,DATE($B$1,6,1)=DATE(YEAR(TODAY()),MONTH(TODAY()),1))),1,0))</f>
        <v/>
      </c>
      <c r="V308">
        <f>IF($A308="","",IF(AND($B308&gt;0,I308&lt;$B308,DATE($B$1,7,1)&lt;=TODAY(),OR($O308="",$O308&gt;=DATE($B$1,7,1)),OR(COUNTIF($C308:I308,"&gt;0")&gt;0,DATE($B$1,7,1)=DATE(YEAR(TODAY()),MONTH(TODAY()),1))),1,0))</f>
        <v/>
      </c>
      <c r="W308">
        <f>IF($A308="","",IF(AND($B308&gt;0,J308&lt;$B308,DATE($B$1,8,1)&lt;=TODAY(),OR($O308="",$O308&gt;=DATE($B$1,8,1)),OR(COUNTIF($C308:J308,"&gt;0")&gt;0,DATE($B$1,8,1)=DATE(YEAR(TODAY()),MONTH(TODAY()),1))),1,0))</f>
        <v/>
      </c>
      <c r="X308">
        <f>IF($A308="","",IF(AND($B308&gt;0,K308&lt;$B308,DATE($B$1,9,1)&lt;=TODAY(),OR($O308="",$O308&gt;=DATE($B$1,9,1)),OR(COUNTIF($C308:K308,"&gt;0")&gt;0,DATE($B$1,9,1)=DATE(YEAR(TODAY()),MONTH(TODAY()),1))),1,0))</f>
        <v/>
      </c>
      <c r="Y308">
        <f>IF($A308="","",IF(AND($B308&gt;0,L308&lt;$B308,DATE($B$1,10,1)&lt;=TODAY(),OR($O308="",$O308&gt;=DATE($B$1,10,1)),OR(COUNTIF($C308:L308,"&gt;0")&gt;0,DATE($B$1,10,1)=DATE(YEAR(TODAY()),MONTH(TODAY()),1))),1,0))</f>
        <v/>
      </c>
      <c r="Z308">
        <f>IF($A308="","",IF(AND($B308&gt;0,M308&lt;$B308,DATE($B$1,11,1)&lt;=TODAY(),OR($O308="",$O308&gt;=DATE($B$1,11,1)),OR(COUNTIF($C308:M308,"&gt;0")&gt;0,DATE($B$1,11,1)=DATE(YEAR(TODAY()),MONTH(TODAY()),1))),1,0))</f>
        <v/>
      </c>
      <c r="AA308">
        <f>IF($A308="","",IF(AND($B308&gt;0,N308&lt;$B308,DATE($B$1,12,1)&lt;=TODAY(),OR($O308="",$O308&gt;=DATE($B$1,12,1)),OR(COUNTIF($C308:N308,"&gt;0")&gt;0,DATE($B$1,12,1)=DATE(YEAR(TODAY()),MONTH(TODAY()),1))),1,0))</f>
        <v/>
      </c>
    </row>
    <row r="309">
      <c r="A309" s="13">
        <f>IF(원생!$A307="","",원생!$A307&amp;IF(원생!$G307="",""," ("&amp;원생!$G307&amp;")"))</f>
        <v/>
      </c>
      <c r="B309" s="8">
        <f>IF(원생!$A307="","",원생!$F307)</f>
        <v/>
      </c>
      <c r="C309" s="14">
        <f>IF(원생!$A307="","",SUMIFS(수납!$F:$F,수납!$C:$C,원생!$A307,수납!$D:$D,IF(원생!$G307="","",원생!$G307),수납!$B:$B,$B$1&amp;"-"&amp;TEXT(1,"00")&amp;"*",수납!$E:$E,"수강료")+SUMIFS(수납!$F:$F,수납!$C:$C,원생!$A307,수납!$D:$D,IF(원생!$G307="","",원생!$G307),수납!$B:$B,$B$1&amp;"-"&amp;TEXT(1,"00")&amp;"*",수납!$E:$E,""))</f>
        <v/>
      </c>
      <c r="D309" s="14">
        <f>IF(원생!$A307="","",SUMIFS(수납!$F:$F,수납!$C:$C,원생!$A307,수납!$D:$D,IF(원생!$G307="","",원생!$G307),수납!$B:$B,$B$1&amp;"-"&amp;TEXT(2,"00")&amp;"*",수납!$E:$E,"수강료")+SUMIFS(수납!$F:$F,수납!$C:$C,원생!$A307,수납!$D:$D,IF(원생!$G307="","",원생!$G307),수납!$B:$B,$B$1&amp;"-"&amp;TEXT(2,"00")&amp;"*",수납!$E:$E,""))</f>
        <v/>
      </c>
      <c r="E309" s="14">
        <f>IF(원생!$A307="","",SUMIFS(수납!$F:$F,수납!$C:$C,원생!$A307,수납!$D:$D,IF(원생!$G307="","",원생!$G307),수납!$B:$B,$B$1&amp;"-"&amp;TEXT(3,"00")&amp;"*",수납!$E:$E,"수강료")+SUMIFS(수납!$F:$F,수납!$C:$C,원생!$A307,수납!$D:$D,IF(원생!$G307="","",원생!$G307),수납!$B:$B,$B$1&amp;"-"&amp;TEXT(3,"00")&amp;"*",수납!$E:$E,""))</f>
        <v/>
      </c>
      <c r="F309" s="14">
        <f>IF(원생!$A307="","",SUMIFS(수납!$F:$F,수납!$C:$C,원생!$A307,수납!$D:$D,IF(원생!$G307="","",원생!$G307),수납!$B:$B,$B$1&amp;"-"&amp;TEXT(4,"00")&amp;"*",수납!$E:$E,"수강료")+SUMIFS(수납!$F:$F,수납!$C:$C,원생!$A307,수납!$D:$D,IF(원생!$G307="","",원생!$G307),수납!$B:$B,$B$1&amp;"-"&amp;TEXT(4,"00")&amp;"*",수납!$E:$E,""))</f>
        <v/>
      </c>
      <c r="G309" s="14">
        <f>IF(원생!$A307="","",SUMIFS(수납!$F:$F,수납!$C:$C,원생!$A307,수납!$D:$D,IF(원생!$G307="","",원생!$G307),수납!$B:$B,$B$1&amp;"-"&amp;TEXT(5,"00")&amp;"*",수납!$E:$E,"수강료")+SUMIFS(수납!$F:$F,수납!$C:$C,원생!$A307,수납!$D:$D,IF(원생!$G307="","",원생!$G307),수납!$B:$B,$B$1&amp;"-"&amp;TEXT(5,"00")&amp;"*",수납!$E:$E,""))</f>
        <v/>
      </c>
      <c r="H309" s="14">
        <f>IF(원생!$A307="","",SUMIFS(수납!$F:$F,수납!$C:$C,원생!$A307,수납!$D:$D,IF(원생!$G307="","",원생!$G307),수납!$B:$B,$B$1&amp;"-"&amp;TEXT(6,"00")&amp;"*",수납!$E:$E,"수강료")+SUMIFS(수납!$F:$F,수납!$C:$C,원생!$A307,수납!$D:$D,IF(원생!$G307="","",원생!$G307),수납!$B:$B,$B$1&amp;"-"&amp;TEXT(6,"00")&amp;"*",수납!$E:$E,""))</f>
        <v/>
      </c>
      <c r="I309" s="14">
        <f>IF(원생!$A307="","",SUMIFS(수납!$F:$F,수납!$C:$C,원생!$A307,수납!$D:$D,IF(원생!$G307="","",원생!$G307),수납!$B:$B,$B$1&amp;"-"&amp;TEXT(7,"00")&amp;"*",수납!$E:$E,"수강료")+SUMIFS(수납!$F:$F,수납!$C:$C,원생!$A307,수납!$D:$D,IF(원생!$G307="","",원생!$G307),수납!$B:$B,$B$1&amp;"-"&amp;TEXT(7,"00")&amp;"*",수납!$E:$E,""))</f>
        <v/>
      </c>
      <c r="J309" s="14">
        <f>IF(원생!$A307="","",SUMIFS(수납!$F:$F,수납!$C:$C,원생!$A307,수납!$D:$D,IF(원생!$G307="","",원생!$G307),수납!$B:$B,$B$1&amp;"-"&amp;TEXT(8,"00")&amp;"*",수납!$E:$E,"수강료")+SUMIFS(수납!$F:$F,수납!$C:$C,원생!$A307,수납!$D:$D,IF(원생!$G307="","",원생!$G307),수납!$B:$B,$B$1&amp;"-"&amp;TEXT(8,"00")&amp;"*",수납!$E:$E,""))</f>
        <v/>
      </c>
      <c r="K309" s="14">
        <f>IF(원생!$A307="","",SUMIFS(수납!$F:$F,수납!$C:$C,원생!$A307,수납!$D:$D,IF(원생!$G307="","",원생!$G307),수납!$B:$B,$B$1&amp;"-"&amp;TEXT(9,"00")&amp;"*",수납!$E:$E,"수강료")+SUMIFS(수납!$F:$F,수납!$C:$C,원생!$A307,수납!$D:$D,IF(원생!$G307="","",원생!$G307),수납!$B:$B,$B$1&amp;"-"&amp;TEXT(9,"00")&amp;"*",수납!$E:$E,""))</f>
        <v/>
      </c>
      <c r="L309" s="14">
        <f>IF(원생!$A307="","",SUMIFS(수납!$F:$F,수납!$C:$C,원생!$A307,수납!$D:$D,IF(원생!$G307="","",원생!$G307),수납!$B:$B,$B$1&amp;"-"&amp;TEXT(10,"00")&amp;"*",수납!$E:$E,"수강료")+SUMIFS(수납!$F:$F,수납!$C:$C,원생!$A307,수납!$D:$D,IF(원생!$G307="","",원생!$G307),수납!$B:$B,$B$1&amp;"-"&amp;TEXT(10,"00")&amp;"*",수납!$E:$E,""))</f>
        <v/>
      </c>
      <c r="M309" s="14">
        <f>IF(원생!$A307="","",SUMIFS(수납!$F:$F,수납!$C:$C,원생!$A307,수납!$D:$D,IF(원생!$G307="","",원생!$G307),수납!$B:$B,$B$1&amp;"-"&amp;TEXT(11,"00")&amp;"*",수납!$E:$E,"수강료")+SUMIFS(수납!$F:$F,수납!$C:$C,원생!$A307,수납!$D:$D,IF(원생!$G307="","",원생!$G307),수납!$B:$B,$B$1&amp;"-"&amp;TEXT(11,"00")&amp;"*",수납!$E:$E,""))</f>
        <v/>
      </c>
      <c r="N309" s="14">
        <f>IF(원생!$A307="","",SUMIFS(수납!$F:$F,수납!$C:$C,원생!$A307,수납!$D:$D,IF(원생!$G307="","",원생!$G307),수납!$B:$B,$B$1&amp;"-"&amp;TEXT(12,"00")&amp;"*",수납!$E:$E,"수강료")+SUMIFS(수납!$F:$F,수납!$C:$C,원생!$A307,수납!$D:$D,IF(원생!$G307="","",원생!$G307),수납!$B:$B,$B$1&amp;"-"&amp;TEXT(12,"00")&amp;"*",수납!$E:$E,""))</f>
        <v/>
      </c>
      <c r="O309">
        <f>IF(원생!$I307="","",원생!$I307)</f>
        <v/>
      </c>
      <c r="P309">
        <f>IF($A309="","",IF(AND($B309&gt;0,C309&lt;$B309,DATE($B$1,1,1)&lt;=TODAY(),OR($O309="",$O309&gt;=DATE($B$1,1,1)),OR(COUNTIF($C309:C309,"&gt;0")&gt;0,DATE($B$1,1,1)=DATE(YEAR(TODAY()),MONTH(TODAY()),1))),1,0))</f>
        <v/>
      </c>
      <c r="Q309">
        <f>IF($A309="","",IF(AND($B309&gt;0,D309&lt;$B309,DATE($B$1,2,1)&lt;=TODAY(),OR($O309="",$O309&gt;=DATE($B$1,2,1)),OR(COUNTIF($C309:D309,"&gt;0")&gt;0,DATE($B$1,2,1)=DATE(YEAR(TODAY()),MONTH(TODAY()),1))),1,0))</f>
        <v/>
      </c>
      <c r="R309">
        <f>IF($A309="","",IF(AND($B309&gt;0,E309&lt;$B309,DATE($B$1,3,1)&lt;=TODAY(),OR($O309="",$O309&gt;=DATE($B$1,3,1)),OR(COUNTIF($C309:E309,"&gt;0")&gt;0,DATE($B$1,3,1)=DATE(YEAR(TODAY()),MONTH(TODAY()),1))),1,0))</f>
        <v/>
      </c>
      <c r="S309">
        <f>IF($A309="","",IF(AND($B309&gt;0,F309&lt;$B309,DATE($B$1,4,1)&lt;=TODAY(),OR($O309="",$O309&gt;=DATE($B$1,4,1)),OR(COUNTIF($C309:F309,"&gt;0")&gt;0,DATE($B$1,4,1)=DATE(YEAR(TODAY()),MONTH(TODAY()),1))),1,0))</f>
        <v/>
      </c>
      <c r="T309">
        <f>IF($A309="","",IF(AND($B309&gt;0,G309&lt;$B309,DATE($B$1,5,1)&lt;=TODAY(),OR($O309="",$O309&gt;=DATE($B$1,5,1)),OR(COUNTIF($C309:G309,"&gt;0")&gt;0,DATE($B$1,5,1)=DATE(YEAR(TODAY()),MONTH(TODAY()),1))),1,0))</f>
        <v/>
      </c>
      <c r="U309">
        <f>IF($A309="","",IF(AND($B309&gt;0,H309&lt;$B309,DATE($B$1,6,1)&lt;=TODAY(),OR($O309="",$O309&gt;=DATE($B$1,6,1)),OR(COUNTIF($C309:H309,"&gt;0")&gt;0,DATE($B$1,6,1)=DATE(YEAR(TODAY()),MONTH(TODAY()),1))),1,0))</f>
        <v/>
      </c>
      <c r="V309">
        <f>IF($A309="","",IF(AND($B309&gt;0,I309&lt;$B309,DATE($B$1,7,1)&lt;=TODAY(),OR($O309="",$O309&gt;=DATE($B$1,7,1)),OR(COUNTIF($C309:I309,"&gt;0")&gt;0,DATE($B$1,7,1)=DATE(YEAR(TODAY()),MONTH(TODAY()),1))),1,0))</f>
        <v/>
      </c>
      <c r="W309">
        <f>IF($A309="","",IF(AND($B309&gt;0,J309&lt;$B309,DATE($B$1,8,1)&lt;=TODAY(),OR($O309="",$O309&gt;=DATE($B$1,8,1)),OR(COUNTIF($C309:J309,"&gt;0")&gt;0,DATE($B$1,8,1)=DATE(YEAR(TODAY()),MONTH(TODAY()),1))),1,0))</f>
        <v/>
      </c>
      <c r="X309">
        <f>IF($A309="","",IF(AND($B309&gt;0,K309&lt;$B309,DATE($B$1,9,1)&lt;=TODAY(),OR($O309="",$O309&gt;=DATE($B$1,9,1)),OR(COUNTIF($C309:K309,"&gt;0")&gt;0,DATE($B$1,9,1)=DATE(YEAR(TODAY()),MONTH(TODAY()),1))),1,0))</f>
        <v/>
      </c>
      <c r="Y309">
        <f>IF($A309="","",IF(AND($B309&gt;0,L309&lt;$B309,DATE($B$1,10,1)&lt;=TODAY(),OR($O309="",$O309&gt;=DATE($B$1,10,1)),OR(COUNTIF($C309:L309,"&gt;0")&gt;0,DATE($B$1,10,1)=DATE(YEAR(TODAY()),MONTH(TODAY()),1))),1,0))</f>
        <v/>
      </c>
      <c r="Z309">
        <f>IF($A309="","",IF(AND($B309&gt;0,M309&lt;$B309,DATE($B$1,11,1)&lt;=TODAY(),OR($O309="",$O309&gt;=DATE($B$1,11,1)),OR(COUNTIF($C309:M309,"&gt;0")&gt;0,DATE($B$1,11,1)=DATE(YEAR(TODAY()),MONTH(TODAY()),1))),1,0))</f>
        <v/>
      </c>
      <c r="AA309">
        <f>IF($A309="","",IF(AND($B309&gt;0,N309&lt;$B309,DATE($B$1,12,1)&lt;=TODAY(),OR($O309="",$O309&gt;=DATE($B$1,12,1)),OR(COUNTIF($C309:N309,"&gt;0")&gt;0,DATE($B$1,12,1)=DATE(YEAR(TODAY()),MONTH(TODAY()),1))),1,0))</f>
        <v/>
      </c>
    </row>
    <row r="310">
      <c r="A310" s="13">
        <f>IF(원생!$A308="","",원생!$A308&amp;IF(원생!$G308="",""," ("&amp;원생!$G308&amp;")"))</f>
        <v/>
      </c>
      <c r="B310" s="8">
        <f>IF(원생!$A308="","",원생!$F308)</f>
        <v/>
      </c>
      <c r="C310" s="14">
        <f>IF(원생!$A308="","",SUMIFS(수납!$F:$F,수납!$C:$C,원생!$A308,수납!$D:$D,IF(원생!$G308="","",원생!$G308),수납!$B:$B,$B$1&amp;"-"&amp;TEXT(1,"00")&amp;"*",수납!$E:$E,"수강료")+SUMIFS(수납!$F:$F,수납!$C:$C,원생!$A308,수납!$D:$D,IF(원생!$G308="","",원생!$G308),수납!$B:$B,$B$1&amp;"-"&amp;TEXT(1,"00")&amp;"*",수납!$E:$E,""))</f>
        <v/>
      </c>
      <c r="D310" s="14">
        <f>IF(원생!$A308="","",SUMIFS(수납!$F:$F,수납!$C:$C,원생!$A308,수납!$D:$D,IF(원생!$G308="","",원생!$G308),수납!$B:$B,$B$1&amp;"-"&amp;TEXT(2,"00")&amp;"*",수납!$E:$E,"수강료")+SUMIFS(수납!$F:$F,수납!$C:$C,원생!$A308,수납!$D:$D,IF(원생!$G308="","",원생!$G308),수납!$B:$B,$B$1&amp;"-"&amp;TEXT(2,"00")&amp;"*",수납!$E:$E,""))</f>
        <v/>
      </c>
      <c r="E310" s="14">
        <f>IF(원생!$A308="","",SUMIFS(수납!$F:$F,수납!$C:$C,원생!$A308,수납!$D:$D,IF(원생!$G308="","",원생!$G308),수납!$B:$B,$B$1&amp;"-"&amp;TEXT(3,"00")&amp;"*",수납!$E:$E,"수강료")+SUMIFS(수납!$F:$F,수납!$C:$C,원생!$A308,수납!$D:$D,IF(원생!$G308="","",원생!$G308),수납!$B:$B,$B$1&amp;"-"&amp;TEXT(3,"00")&amp;"*",수납!$E:$E,""))</f>
        <v/>
      </c>
      <c r="F310" s="14">
        <f>IF(원생!$A308="","",SUMIFS(수납!$F:$F,수납!$C:$C,원생!$A308,수납!$D:$D,IF(원생!$G308="","",원생!$G308),수납!$B:$B,$B$1&amp;"-"&amp;TEXT(4,"00")&amp;"*",수납!$E:$E,"수강료")+SUMIFS(수납!$F:$F,수납!$C:$C,원생!$A308,수납!$D:$D,IF(원생!$G308="","",원생!$G308),수납!$B:$B,$B$1&amp;"-"&amp;TEXT(4,"00")&amp;"*",수납!$E:$E,""))</f>
        <v/>
      </c>
      <c r="G310" s="14">
        <f>IF(원생!$A308="","",SUMIFS(수납!$F:$F,수납!$C:$C,원생!$A308,수납!$D:$D,IF(원생!$G308="","",원생!$G308),수납!$B:$B,$B$1&amp;"-"&amp;TEXT(5,"00")&amp;"*",수납!$E:$E,"수강료")+SUMIFS(수납!$F:$F,수납!$C:$C,원생!$A308,수납!$D:$D,IF(원생!$G308="","",원생!$G308),수납!$B:$B,$B$1&amp;"-"&amp;TEXT(5,"00")&amp;"*",수납!$E:$E,""))</f>
        <v/>
      </c>
      <c r="H310" s="14">
        <f>IF(원생!$A308="","",SUMIFS(수납!$F:$F,수납!$C:$C,원생!$A308,수납!$D:$D,IF(원생!$G308="","",원생!$G308),수납!$B:$B,$B$1&amp;"-"&amp;TEXT(6,"00")&amp;"*",수납!$E:$E,"수강료")+SUMIFS(수납!$F:$F,수납!$C:$C,원생!$A308,수납!$D:$D,IF(원생!$G308="","",원생!$G308),수납!$B:$B,$B$1&amp;"-"&amp;TEXT(6,"00")&amp;"*",수납!$E:$E,""))</f>
        <v/>
      </c>
      <c r="I310" s="14">
        <f>IF(원생!$A308="","",SUMIFS(수납!$F:$F,수납!$C:$C,원생!$A308,수납!$D:$D,IF(원생!$G308="","",원생!$G308),수납!$B:$B,$B$1&amp;"-"&amp;TEXT(7,"00")&amp;"*",수납!$E:$E,"수강료")+SUMIFS(수납!$F:$F,수납!$C:$C,원생!$A308,수납!$D:$D,IF(원생!$G308="","",원생!$G308),수납!$B:$B,$B$1&amp;"-"&amp;TEXT(7,"00")&amp;"*",수납!$E:$E,""))</f>
        <v/>
      </c>
      <c r="J310" s="14">
        <f>IF(원생!$A308="","",SUMIFS(수납!$F:$F,수납!$C:$C,원생!$A308,수납!$D:$D,IF(원생!$G308="","",원생!$G308),수납!$B:$B,$B$1&amp;"-"&amp;TEXT(8,"00")&amp;"*",수납!$E:$E,"수강료")+SUMIFS(수납!$F:$F,수납!$C:$C,원생!$A308,수납!$D:$D,IF(원생!$G308="","",원생!$G308),수납!$B:$B,$B$1&amp;"-"&amp;TEXT(8,"00")&amp;"*",수납!$E:$E,""))</f>
        <v/>
      </c>
      <c r="K310" s="14">
        <f>IF(원생!$A308="","",SUMIFS(수납!$F:$F,수납!$C:$C,원생!$A308,수납!$D:$D,IF(원생!$G308="","",원생!$G308),수납!$B:$B,$B$1&amp;"-"&amp;TEXT(9,"00")&amp;"*",수납!$E:$E,"수강료")+SUMIFS(수납!$F:$F,수납!$C:$C,원생!$A308,수납!$D:$D,IF(원생!$G308="","",원생!$G308),수납!$B:$B,$B$1&amp;"-"&amp;TEXT(9,"00")&amp;"*",수납!$E:$E,""))</f>
        <v/>
      </c>
      <c r="L310" s="14">
        <f>IF(원생!$A308="","",SUMIFS(수납!$F:$F,수납!$C:$C,원생!$A308,수납!$D:$D,IF(원생!$G308="","",원생!$G308),수납!$B:$B,$B$1&amp;"-"&amp;TEXT(10,"00")&amp;"*",수납!$E:$E,"수강료")+SUMIFS(수납!$F:$F,수납!$C:$C,원생!$A308,수납!$D:$D,IF(원생!$G308="","",원생!$G308),수납!$B:$B,$B$1&amp;"-"&amp;TEXT(10,"00")&amp;"*",수납!$E:$E,""))</f>
        <v/>
      </c>
      <c r="M310" s="14">
        <f>IF(원생!$A308="","",SUMIFS(수납!$F:$F,수납!$C:$C,원생!$A308,수납!$D:$D,IF(원생!$G308="","",원생!$G308),수납!$B:$B,$B$1&amp;"-"&amp;TEXT(11,"00")&amp;"*",수납!$E:$E,"수강료")+SUMIFS(수납!$F:$F,수납!$C:$C,원생!$A308,수납!$D:$D,IF(원생!$G308="","",원생!$G308),수납!$B:$B,$B$1&amp;"-"&amp;TEXT(11,"00")&amp;"*",수납!$E:$E,""))</f>
        <v/>
      </c>
      <c r="N310" s="14">
        <f>IF(원생!$A308="","",SUMIFS(수납!$F:$F,수납!$C:$C,원생!$A308,수납!$D:$D,IF(원생!$G308="","",원생!$G308),수납!$B:$B,$B$1&amp;"-"&amp;TEXT(12,"00")&amp;"*",수납!$E:$E,"수강료")+SUMIFS(수납!$F:$F,수납!$C:$C,원생!$A308,수납!$D:$D,IF(원생!$G308="","",원생!$G308),수납!$B:$B,$B$1&amp;"-"&amp;TEXT(12,"00")&amp;"*",수납!$E:$E,""))</f>
        <v/>
      </c>
      <c r="O310">
        <f>IF(원생!$I308="","",원생!$I308)</f>
        <v/>
      </c>
      <c r="P310">
        <f>IF($A310="","",IF(AND($B310&gt;0,C310&lt;$B310,DATE($B$1,1,1)&lt;=TODAY(),OR($O310="",$O310&gt;=DATE($B$1,1,1)),OR(COUNTIF($C310:C310,"&gt;0")&gt;0,DATE($B$1,1,1)=DATE(YEAR(TODAY()),MONTH(TODAY()),1))),1,0))</f>
        <v/>
      </c>
      <c r="Q310">
        <f>IF($A310="","",IF(AND($B310&gt;0,D310&lt;$B310,DATE($B$1,2,1)&lt;=TODAY(),OR($O310="",$O310&gt;=DATE($B$1,2,1)),OR(COUNTIF($C310:D310,"&gt;0")&gt;0,DATE($B$1,2,1)=DATE(YEAR(TODAY()),MONTH(TODAY()),1))),1,0))</f>
        <v/>
      </c>
      <c r="R310">
        <f>IF($A310="","",IF(AND($B310&gt;0,E310&lt;$B310,DATE($B$1,3,1)&lt;=TODAY(),OR($O310="",$O310&gt;=DATE($B$1,3,1)),OR(COUNTIF($C310:E310,"&gt;0")&gt;0,DATE($B$1,3,1)=DATE(YEAR(TODAY()),MONTH(TODAY()),1))),1,0))</f>
        <v/>
      </c>
      <c r="S310">
        <f>IF($A310="","",IF(AND($B310&gt;0,F310&lt;$B310,DATE($B$1,4,1)&lt;=TODAY(),OR($O310="",$O310&gt;=DATE($B$1,4,1)),OR(COUNTIF($C310:F310,"&gt;0")&gt;0,DATE($B$1,4,1)=DATE(YEAR(TODAY()),MONTH(TODAY()),1))),1,0))</f>
        <v/>
      </c>
      <c r="T310">
        <f>IF($A310="","",IF(AND($B310&gt;0,G310&lt;$B310,DATE($B$1,5,1)&lt;=TODAY(),OR($O310="",$O310&gt;=DATE($B$1,5,1)),OR(COUNTIF($C310:G310,"&gt;0")&gt;0,DATE($B$1,5,1)=DATE(YEAR(TODAY()),MONTH(TODAY()),1))),1,0))</f>
        <v/>
      </c>
      <c r="U310">
        <f>IF($A310="","",IF(AND($B310&gt;0,H310&lt;$B310,DATE($B$1,6,1)&lt;=TODAY(),OR($O310="",$O310&gt;=DATE($B$1,6,1)),OR(COUNTIF($C310:H310,"&gt;0")&gt;0,DATE($B$1,6,1)=DATE(YEAR(TODAY()),MONTH(TODAY()),1))),1,0))</f>
        <v/>
      </c>
      <c r="V310">
        <f>IF($A310="","",IF(AND($B310&gt;0,I310&lt;$B310,DATE($B$1,7,1)&lt;=TODAY(),OR($O310="",$O310&gt;=DATE($B$1,7,1)),OR(COUNTIF($C310:I310,"&gt;0")&gt;0,DATE($B$1,7,1)=DATE(YEAR(TODAY()),MONTH(TODAY()),1))),1,0))</f>
        <v/>
      </c>
      <c r="W310">
        <f>IF($A310="","",IF(AND($B310&gt;0,J310&lt;$B310,DATE($B$1,8,1)&lt;=TODAY(),OR($O310="",$O310&gt;=DATE($B$1,8,1)),OR(COUNTIF($C310:J310,"&gt;0")&gt;0,DATE($B$1,8,1)=DATE(YEAR(TODAY()),MONTH(TODAY()),1))),1,0))</f>
        <v/>
      </c>
      <c r="X310">
        <f>IF($A310="","",IF(AND($B310&gt;0,K310&lt;$B310,DATE($B$1,9,1)&lt;=TODAY(),OR($O310="",$O310&gt;=DATE($B$1,9,1)),OR(COUNTIF($C310:K310,"&gt;0")&gt;0,DATE($B$1,9,1)=DATE(YEAR(TODAY()),MONTH(TODAY()),1))),1,0))</f>
        <v/>
      </c>
      <c r="Y310">
        <f>IF($A310="","",IF(AND($B310&gt;0,L310&lt;$B310,DATE($B$1,10,1)&lt;=TODAY(),OR($O310="",$O310&gt;=DATE($B$1,10,1)),OR(COUNTIF($C310:L310,"&gt;0")&gt;0,DATE($B$1,10,1)=DATE(YEAR(TODAY()),MONTH(TODAY()),1))),1,0))</f>
        <v/>
      </c>
      <c r="Z310">
        <f>IF($A310="","",IF(AND($B310&gt;0,M310&lt;$B310,DATE($B$1,11,1)&lt;=TODAY(),OR($O310="",$O310&gt;=DATE($B$1,11,1)),OR(COUNTIF($C310:M310,"&gt;0")&gt;0,DATE($B$1,11,1)=DATE(YEAR(TODAY()),MONTH(TODAY()),1))),1,0))</f>
        <v/>
      </c>
      <c r="AA310">
        <f>IF($A310="","",IF(AND($B310&gt;0,N310&lt;$B310,DATE($B$1,12,1)&lt;=TODAY(),OR($O310="",$O310&gt;=DATE($B$1,12,1)),OR(COUNTIF($C310:N310,"&gt;0")&gt;0,DATE($B$1,12,1)=DATE(YEAR(TODAY()),MONTH(TODAY()),1))),1,0))</f>
        <v/>
      </c>
    </row>
    <row r="311">
      <c r="A311" s="13">
        <f>IF(원생!$A309="","",원생!$A309&amp;IF(원생!$G309="",""," ("&amp;원생!$G309&amp;")"))</f>
        <v/>
      </c>
      <c r="B311" s="8">
        <f>IF(원생!$A309="","",원생!$F309)</f>
        <v/>
      </c>
      <c r="C311" s="14">
        <f>IF(원생!$A309="","",SUMIFS(수납!$F:$F,수납!$C:$C,원생!$A309,수납!$D:$D,IF(원생!$G309="","",원생!$G309),수납!$B:$B,$B$1&amp;"-"&amp;TEXT(1,"00")&amp;"*",수납!$E:$E,"수강료")+SUMIFS(수납!$F:$F,수납!$C:$C,원생!$A309,수납!$D:$D,IF(원생!$G309="","",원생!$G309),수납!$B:$B,$B$1&amp;"-"&amp;TEXT(1,"00")&amp;"*",수납!$E:$E,""))</f>
        <v/>
      </c>
      <c r="D311" s="14">
        <f>IF(원생!$A309="","",SUMIFS(수납!$F:$F,수납!$C:$C,원생!$A309,수납!$D:$D,IF(원생!$G309="","",원생!$G309),수납!$B:$B,$B$1&amp;"-"&amp;TEXT(2,"00")&amp;"*",수납!$E:$E,"수강료")+SUMIFS(수납!$F:$F,수납!$C:$C,원생!$A309,수납!$D:$D,IF(원생!$G309="","",원생!$G309),수납!$B:$B,$B$1&amp;"-"&amp;TEXT(2,"00")&amp;"*",수납!$E:$E,""))</f>
        <v/>
      </c>
      <c r="E311" s="14">
        <f>IF(원생!$A309="","",SUMIFS(수납!$F:$F,수납!$C:$C,원생!$A309,수납!$D:$D,IF(원생!$G309="","",원생!$G309),수납!$B:$B,$B$1&amp;"-"&amp;TEXT(3,"00")&amp;"*",수납!$E:$E,"수강료")+SUMIFS(수납!$F:$F,수납!$C:$C,원생!$A309,수납!$D:$D,IF(원생!$G309="","",원생!$G309),수납!$B:$B,$B$1&amp;"-"&amp;TEXT(3,"00")&amp;"*",수납!$E:$E,""))</f>
        <v/>
      </c>
      <c r="F311" s="14">
        <f>IF(원생!$A309="","",SUMIFS(수납!$F:$F,수납!$C:$C,원생!$A309,수납!$D:$D,IF(원생!$G309="","",원생!$G309),수납!$B:$B,$B$1&amp;"-"&amp;TEXT(4,"00")&amp;"*",수납!$E:$E,"수강료")+SUMIFS(수납!$F:$F,수납!$C:$C,원생!$A309,수납!$D:$D,IF(원생!$G309="","",원생!$G309),수납!$B:$B,$B$1&amp;"-"&amp;TEXT(4,"00")&amp;"*",수납!$E:$E,""))</f>
        <v/>
      </c>
      <c r="G311" s="14">
        <f>IF(원생!$A309="","",SUMIFS(수납!$F:$F,수납!$C:$C,원생!$A309,수납!$D:$D,IF(원생!$G309="","",원생!$G309),수납!$B:$B,$B$1&amp;"-"&amp;TEXT(5,"00")&amp;"*",수납!$E:$E,"수강료")+SUMIFS(수납!$F:$F,수납!$C:$C,원생!$A309,수납!$D:$D,IF(원생!$G309="","",원생!$G309),수납!$B:$B,$B$1&amp;"-"&amp;TEXT(5,"00")&amp;"*",수납!$E:$E,""))</f>
        <v/>
      </c>
      <c r="H311" s="14">
        <f>IF(원생!$A309="","",SUMIFS(수납!$F:$F,수납!$C:$C,원생!$A309,수납!$D:$D,IF(원생!$G309="","",원생!$G309),수납!$B:$B,$B$1&amp;"-"&amp;TEXT(6,"00")&amp;"*",수납!$E:$E,"수강료")+SUMIFS(수납!$F:$F,수납!$C:$C,원생!$A309,수납!$D:$D,IF(원생!$G309="","",원생!$G309),수납!$B:$B,$B$1&amp;"-"&amp;TEXT(6,"00")&amp;"*",수납!$E:$E,""))</f>
        <v/>
      </c>
      <c r="I311" s="14">
        <f>IF(원생!$A309="","",SUMIFS(수납!$F:$F,수납!$C:$C,원생!$A309,수납!$D:$D,IF(원생!$G309="","",원생!$G309),수납!$B:$B,$B$1&amp;"-"&amp;TEXT(7,"00")&amp;"*",수납!$E:$E,"수강료")+SUMIFS(수납!$F:$F,수납!$C:$C,원생!$A309,수납!$D:$D,IF(원생!$G309="","",원생!$G309),수납!$B:$B,$B$1&amp;"-"&amp;TEXT(7,"00")&amp;"*",수납!$E:$E,""))</f>
        <v/>
      </c>
      <c r="J311" s="14">
        <f>IF(원생!$A309="","",SUMIFS(수납!$F:$F,수납!$C:$C,원생!$A309,수납!$D:$D,IF(원생!$G309="","",원생!$G309),수납!$B:$B,$B$1&amp;"-"&amp;TEXT(8,"00")&amp;"*",수납!$E:$E,"수강료")+SUMIFS(수납!$F:$F,수납!$C:$C,원생!$A309,수납!$D:$D,IF(원생!$G309="","",원생!$G309),수납!$B:$B,$B$1&amp;"-"&amp;TEXT(8,"00")&amp;"*",수납!$E:$E,""))</f>
        <v/>
      </c>
      <c r="K311" s="14">
        <f>IF(원생!$A309="","",SUMIFS(수납!$F:$F,수납!$C:$C,원생!$A309,수납!$D:$D,IF(원생!$G309="","",원생!$G309),수납!$B:$B,$B$1&amp;"-"&amp;TEXT(9,"00")&amp;"*",수납!$E:$E,"수강료")+SUMIFS(수납!$F:$F,수납!$C:$C,원생!$A309,수납!$D:$D,IF(원생!$G309="","",원생!$G309),수납!$B:$B,$B$1&amp;"-"&amp;TEXT(9,"00")&amp;"*",수납!$E:$E,""))</f>
        <v/>
      </c>
      <c r="L311" s="14">
        <f>IF(원생!$A309="","",SUMIFS(수납!$F:$F,수납!$C:$C,원생!$A309,수납!$D:$D,IF(원생!$G309="","",원생!$G309),수납!$B:$B,$B$1&amp;"-"&amp;TEXT(10,"00")&amp;"*",수납!$E:$E,"수강료")+SUMIFS(수납!$F:$F,수납!$C:$C,원생!$A309,수납!$D:$D,IF(원생!$G309="","",원생!$G309),수납!$B:$B,$B$1&amp;"-"&amp;TEXT(10,"00")&amp;"*",수납!$E:$E,""))</f>
        <v/>
      </c>
      <c r="M311" s="14">
        <f>IF(원생!$A309="","",SUMIFS(수납!$F:$F,수납!$C:$C,원생!$A309,수납!$D:$D,IF(원생!$G309="","",원생!$G309),수납!$B:$B,$B$1&amp;"-"&amp;TEXT(11,"00")&amp;"*",수납!$E:$E,"수강료")+SUMIFS(수납!$F:$F,수납!$C:$C,원생!$A309,수납!$D:$D,IF(원생!$G309="","",원생!$G309),수납!$B:$B,$B$1&amp;"-"&amp;TEXT(11,"00")&amp;"*",수납!$E:$E,""))</f>
        <v/>
      </c>
      <c r="N311" s="14">
        <f>IF(원생!$A309="","",SUMIFS(수납!$F:$F,수납!$C:$C,원생!$A309,수납!$D:$D,IF(원생!$G309="","",원생!$G309),수납!$B:$B,$B$1&amp;"-"&amp;TEXT(12,"00")&amp;"*",수납!$E:$E,"수강료")+SUMIFS(수납!$F:$F,수납!$C:$C,원생!$A309,수납!$D:$D,IF(원생!$G309="","",원생!$G309),수납!$B:$B,$B$1&amp;"-"&amp;TEXT(12,"00")&amp;"*",수납!$E:$E,""))</f>
        <v/>
      </c>
      <c r="O311">
        <f>IF(원생!$I309="","",원생!$I309)</f>
        <v/>
      </c>
      <c r="P311">
        <f>IF($A311="","",IF(AND($B311&gt;0,C311&lt;$B311,DATE($B$1,1,1)&lt;=TODAY(),OR($O311="",$O311&gt;=DATE($B$1,1,1)),OR(COUNTIF($C311:C311,"&gt;0")&gt;0,DATE($B$1,1,1)=DATE(YEAR(TODAY()),MONTH(TODAY()),1))),1,0))</f>
        <v/>
      </c>
      <c r="Q311">
        <f>IF($A311="","",IF(AND($B311&gt;0,D311&lt;$B311,DATE($B$1,2,1)&lt;=TODAY(),OR($O311="",$O311&gt;=DATE($B$1,2,1)),OR(COUNTIF($C311:D311,"&gt;0")&gt;0,DATE($B$1,2,1)=DATE(YEAR(TODAY()),MONTH(TODAY()),1))),1,0))</f>
        <v/>
      </c>
      <c r="R311">
        <f>IF($A311="","",IF(AND($B311&gt;0,E311&lt;$B311,DATE($B$1,3,1)&lt;=TODAY(),OR($O311="",$O311&gt;=DATE($B$1,3,1)),OR(COUNTIF($C311:E311,"&gt;0")&gt;0,DATE($B$1,3,1)=DATE(YEAR(TODAY()),MONTH(TODAY()),1))),1,0))</f>
        <v/>
      </c>
      <c r="S311">
        <f>IF($A311="","",IF(AND($B311&gt;0,F311&lt;$B311,DATE($B$1,4,1)&lt;=TODAY(),OR($O311="",$O311&gt;=DATE($B$1,4,1)),OR(COUNTIF($C311:F311,"&gt;0")&gt;0,DATE($B$1,4,1)=DATE(YEAR(TODAY()),MONTH(TODAY()),1))),1,0))</f>
        <v/>
      </c>
      <c r="T311">
        <f>IF($A311="","",IF(AND($B311&gt;0,G311&lt;$B311,DATE($B$1,5,1)&lt;=TODAY(),OR($O311="",$O311&gt;=DATE($B$1,5,1)),OR(COUNTIF($C311:G311,"&gt;0")&gt;0,DATE($B$1,5,1)=DATE(YEAR(TODAY()),MONTH(TODAY()),1))),1,0))</f>
        <v/>
      </c>
      <c r="U311">
        <f>IF($A311="","",IF(AND($B311&gt;0,H311&lt;$B311,DATE($B$1,6,1)&lt;=TODAY(),OR($O311="",$O311&gt;=DATE($B$1,6,1)),OR(COUNTIF($C311:H311,"&gt;0")&gt;0,DATE($B$1,6,1)=DATE(YEAR(TODAY()),MONTH(TODAY()),1))),1,0))</f>
        <v/>
      </c>
      <c r="V311">
        <f>IF($A311="","",IF(AND($B311&gt;0,I311&lt;$B311,DATE($B$1,7,1)&lt;=TODAY(),OR($O311="",$O311&gt;=DATE($B$1,7,1)),OR(COUNTIF($C311:I311,"&gt;0")&gt;0,DATE($B$1,7,1)=DATE(YEAR(TODAY()),MONTH(TODAY()),1))),1,0))</f>
        <v/>
      </c>
      <c r="W311">
        <f>IF($A311="","",IF(AND($B311&gt;0,J311&lt;$B311,DATE($B$1,8,1)&lt;=TODAY(),OR($O311="",$O311&gt;=DATE($B$1,8,1)),OR(COUNTIF($C311:J311,"&gt;0")&gt;0,DATE($B$1,8,1)=DATE(YEAR(TODAY()),MONTH(TODAY()),1))),1,0))</f>
        <v/>
      </c>
      <c r="X311">
        <f>IF($A311="","",IF(AND($B311&gt;0,K311&lt;$B311,DATE($B$1,9,1)&lt;=TODAY(),OR($O311="",$O311&gt;=DATE($B$1,9,1)),OR(COUNTIF($C311:K311,"&gt;0")&gt;0,DATE($B$1,9,1)=DATE(YEAR(TODAY()),MONTH(TODAY()),1))),1,0))</f>
        <v/>
      </c>
      <c r="Y311">
        <f>IF($A311="","",IF(AND($B311&gt;0,L311&lt;$B311,DATE($B$1,10,1)&lt;=TODAY(),OR($O311="",$O311&gt;=DATE($B$1,10,1)),OR(COUNTIF($C311:L311,"&gt;0")&gt;0,DATE($B$1,10,1)=DATE(YEAR(TODAY()),MONTH(TODAY()),1))),1,0))</f>
        <v/>
      </c>
      <c r="Z311">
        <f>IF($A311="","",IF(AND($B311&gt;0,M311&lt;$B311,DATE($B$1,11,1)&lt;=TODAY(),OR($O311="",$O311&gt;=DATE($B$1,11,1)),OR(COUNTIF($C311:M311,"&gt;0")&gt;0,DATE($B$1,11,1)=DATE(YEAR(TODAY()),MONTH(TODAY()),1))),1,0))</f>
        <v/>
      </c>
      <c r="AA311">
        <f>IF($A311="","",IF(AND($B311&gt;0,N311&lt;$B311,DATE($B$1,12,1)&lt;=TODAY(),OR($O311="",$O311&gt;=DATE($B$1,12,1)),OR(COUNTIF($C311:N311,"&gt;0")&gt;0,DATE($B$1,12,1)=DATE(YEAR(TODAY()),MONTH(TODAY()),1))),1,0))</f>
        <v/>
      </c>
    </row>
    <row r="312">
      <c r="A312" s="13">
        <f>IF(원생!$A310="","",원생!$A310&amp;IF(원생!$G310="",""," ("&amp;원생!$G310&amp;")"))</f>
        <v/>
      </c>
      <c r="B312" s="8">
        <f>IF(원생!$A310="","",원생!$F310)</f>
        <v/>
      </c>
      <c r="C312" s="14">
        <f>IF(원생!$A310="","",SUMIFS(수납!$F:$F,수납!$C:$C,원생!$A310,수납!$D:$D,IF(원생!$G310="","",원생!$G310),수납!$B:$B,$B$1&amp;"-"&amp;TEXT(1,"00")&amp;"*",수납!$E:$E,"수강료")+SUMIFS(수납!$F:$F,수납!$C:$C,원생!$A310,수납!$D:$D,IF(원생!$G310="","",원생!$G310),수납!$B:$B,$B$1&amp;"-"&amp;TEXT(1,"00")&amp;"*",수납!$E:$E,""))</f>
        <v/>
      </c>
      <c r="D312" s="14">
        <f>IF(원생!$A310="","",SUMIFS(수납!$F:$F,수납!$C:$C,원생!$A310,수납!$D:$D,IF(원생!$G310="","",원생!$G310),수납!$B:$B,$B$1&amp;"-"&amp;TEXT(2,"00")&amp;"*",수납!$E:$E,"수강료")+SUMIFS(수납!$F:$F,수납!$C:$C,원생!$A310,수납!$D:$D,IF(원생!$G310="","",원생!$G310),수납!$B:$B,$B$1&amp;"-"&amp;TEXT(2,"00")&amp;"*",수납!$E:$E,""))</f>
        <v/>
      </c>
      <c r="E312" s="14">
        <f>IF(원생!$A310="","",SUMIFS(수납!$F:$F,수납!$C:$C,원생!$A310,수납!$D:$D,IF(원생!$G310="","",원생!$G310),수납!$B:$B,$B$1&amp;"-"&amp;TEXT(3,"00")&amp;"*",수납!$E:$E,"수강료")+SUMIFS(수납!$F:$F,수납!$C:$C,원생!$A310,수납!$D:$D,IF(원생!$G310="","",원생!$G310),수납!$B:$B,$B$1&amp;"-"&amp;TEXT(3,"00")&amp;"*",수납!$E:$E,""))</f>
        <v/>
      </c>
      <c r="F312" s="14">
        <f>IF(원생!$A310="","",SUMIFS(수납!$F:$F,수납!$C:$C,원생!$A310,수납!$D:$D,IF(원생!$G310="","",원생!$G310),수납!$B:$B,$B$1&amp;"-"&amp;TEXT(4,"00")&amp;"*",수납!$E:$E,"수강료")+SUMIFS(수납!$F:$F,수납!$C:$C,원생!$A310,수납!$D:$D,IF(원생!$G310="","",원생!$G310),수납!$B:$B,$B$1&amp;"-"&amp;TEXT(4,"00")&amp;"*",수납!$E:$E,""))</f>
        <v/>
      </c>
      <c r="G312" s="14">
        <f>IF(원생!$A310="","",SUMIFS(수납!$F:$F,수납!$C:$C,원생!$A310,수납!$D:$D,IF(원생!$G310="","",원생!$G310),수납!$B:$B,$B$1&amp;"-"&amp;TEXT(5,"00")&amp;"*",수납!$E:$E,"수강료")+SUMIFS(수납!$F:$F,수납!$C:$C,원생!$A310,수납!$D:$D,IF(원생!$G310="","",원생!$G310),수납!$B:$B,$B$1&amp;"-"&amp;TEXT(5,"00")&amp;"*",수납!$E:$E,""))</f>
        <v/>
      </c>
      <c r="H312" s="14">
        <f>IF(원생!$A310="","",SUMIFS(수납!$F:$F,수납!$C:$C,원생!$A310,수납!$D:$D,IF(원생!$G310="","",원생!$G310),수납!$B:$B,$B$1&amp;"-"&amp;TEXT(6,"00")&amp;"*",수납!$E:$E,"수강료")+SUMIFS(수납!$F:$F,수납!$C:$C,원생!$A310,수납!$D:$D,IF(원생!$G310="","",원생!$G310),수납!$B:$B,$B$1&amp;"-"&amp;TEXT(6,"00")&amp;"*",수납!$E:$E,""))</f>
        <v/>
      </c>
      <c r="I312" s="14">
        <f>IF(원생!$A310="","",SUMIFS(수납!$F:$F,수납!$C:$C,원생!$A310,수납!$D:$D,IF(원생!$G310="","",원생!$G310),수납!$B:$B,$B$1&amp;"-"&amp;TEXT(7,"00")&amp;"*",수납!$E:$E,"수강료")+SUMIFS(수납!$F:$F,수납!$C:$C,원생!$A310,수납!$D:$D,IF(원생!$G310="","",원생!$G310),수납!$B:$B,$B$1&amp;"-"&amp;TEXT(7,"00")&amp;"*",수납!$E:$E,""))</f>
        <v/>
      </c>
      <c r="J312" s="14">
        <f>IF(원생!$A310="","",SUMIFS(수납!$F:$F,수납!$C:$C,원생!$A310,수납!$D:$D,IF(원생!$G310="","",원생!$G310),수납!$B:$B,$B$1&amp;"-"&amp;TEXT(8,"00")&amp;"*",수납!$E:$E,"수강료")+SUMIFS(수납!$F:$F,수납!$C:$C,원생!$A310,수납!$D:$D,IF(원생!$G310="","",원생!$G310),수납!$B:$B,$B$1&amp;"-"&amp;TEXT(8,"00")&amp;"*",수납!$E:$E,""))</f>
        <v/>
      </c>
      <c r="K312" s="14">
        <f>IF(원생!$A310="","",SUMIFS(수납!$F:$F,수납!$C:$C,원생!$A310,수납!$D:$D,IF(원생!$G310="","",원생!$G310),수납!$B:$B,$B$1&amp;"-"&amp;TEXT(9,"00")&amp;"*",수납!$E:$E,"수강료")+SUMIFS(수납!$F:$F,수납!$C:$C,원생!$A310,수납!$D:$D,IF(원생!$G310="","",원생!$G310),수납!$B:$B,$B$1&amp;"-"&amp;TEXT(9,"00")&amp;"*",수납!$E:$E,""))</f>
        <v/>
      </c>
      <c r="L312" s="14">
        <f>IF(원생!$A310="","",SUMIFS(수납!$F:$F,수납!$C:$C,원생!$A310,수납!$D:$D,IF(원생!$G310="","",원생!$G310),수납!$B:$B,$B$1&amp;"-"&amp;TEXT(10,"00")&amp;"*",수납!$E:$E,"수강료")+SUMIFS(수납!$F:$F,수납!$C:$C,원생!$A310,수납!$D:$D,IF(원생!$G310="","",원생!$G310),수납!$B:$B,$B$1&amp;"-"&amp;TEXT(10,"00")&amp;"*",수납!$E:$E,""))</f>
        <v/>
      </c>
      <c r="M312" s="14">
        <f>IF(원생!$A310="","",SUMIFS(수납!$F:$F,수납!$C:$C,원생!$A310,수납!$D:$D,IF(원생!$G310="","",원생!$G310),수납!$B:$B,$B$1&amp;"-"&amp;TEXT(11,"00")&amp;"*",수납!$E:$E,"수강료")+SUMIFS(수납!$F:$F,수납!$C:$C,원생!$A310,수납!$D:$D,IF(원생!$G310="","",원생!$G310),수납!$B:$B,$B$1&amp;"-"&amp;TEXT(11,"00")&amp;"*",수납!$E:$E,""))</f>
        <v/>
      </c>
      <c r="N312" s="14">
        <f>IF(원생!$A310="","",SUMIFS(수납!$F:$F,수납!$C:$C,원생!$A310,수납!$D:$D,IF(원생!$G310="","",원생!$G310),수납!$B:$B,$B$1&amp;"-"&amp;TEXT(12,"00")&amp;"*",수납!$E:$E,"수강료")+SUMIFS(수납!$F:$F,수납!$C:$C,원생!$A310,수납!$D:$D,IF(원생!$G310="","",원생!$G310),수납!$B:$B,$B$1&amp;"-"&amp;TEXT(12,"00")&amp;"*",수납!$E:$E,""))</f>
        <v/>
      </c>
      <c r="O312">
        <f>IF(원생!$I310="","",원생!$I310)</f>
        <v/>
      </c>
      <c r="P312">
        <f>IF($A312="","",IF(AND($B312&gt;0,C312&lt;$B312,DATE($B$1,1,1)&lt;=TODAY(),OR($O312="",$O312&gt;=DATE($B$1,1,1)),OR(COUNTIF($C312:C312,"&gt;0")&gt;0,DATE($B$1,1,1)=DATE(YEAR(TODAY()),MONTH(TODAY()),1))),1,0))</f>
        <v/>
      </c>
      <c r="Q312">
        <f>IF($A312="","",IF(AND($B312&gt;0,D312&lt;$B312,DATE($B$1,2,1)&lt;=TODAY(),OR($O312="",$O312&gt;=DATE($B$1,2,1)),OR(COUNTIF($C312:D312,"&gt;0")&gt;0,DATE($B$1,2,1)=DATE(YEAR(TODAY()),MONTH(TODAY()),1))),1,0))</f>
        <v/>
      </c>
      <c r="R312">
        <f>IF($A312="","",IF(AND($B312&gt;0,E312&lt;$B312,DATE($B$1,3,1)&lt;=TODAY(),OR($O312="",$O312&gt;=DATE($B$1,3,1)),OR(COUNTIF($C312:E312,"&gt;0")&gt;0,DATE($B$1,3,1)=DATE(YEAR(TODAY()),MONTH(TODAY()),1))),1,0))</f>
        <v/>
      </c>
      <c r="S312">
        <f>IF($A312="","",IF(AND($B312&gt;0,F312&lt;$B312,DATE($B$1,4,1)&lt;=TODAY(),OR($O312="",$O312&gt;=DATE($B$1,4,1)),OR(COUNTIF($C312:F312,"&gt;0")&gt;0,DATE($B$1,4,1)=DATE(YEAR(TODAY()),MONTH(TODAY()),1))),1,0))</f>
        <v/>
      </c>
      <c r="T312">
        <f>IF($A312="","",IF(AND($B312&gt;0,G312&lt;$B312,DATE($B$1,5,1)&lt;=TODAY(),OR($O312="",$O312&gt;=DATE($B$1,5,1)),OR(COUNTIF($C312:G312,"&gt;0")&gt;0,DATE($B$1,5,1)=DATE(YEAR(TODAY()),MONTH(TODAY()),1))),1,0))</f>
        <v/>
      </c>
      <c r="U312">
        <f>IF($A312="","",IF(AND($B312&gt;0,H312&lt;$B312,DATE($B$1,6,1)&lt;=TODAY(),OR($O312="",$O312&gt;=DATE($B$1,6,1)),OR(COUNTIF($C312:H312,"&gt;0")&gt;0,DATE($B$1,6,1)=DATE(YEAR(TODAY()),MONTH(TODAY()),1))),1,0))</f>
        <v/>
      </c>
      <c r="V312">
        <f>IF($A312="","",IF(AND($B312&gt;0,I312&lt;$B312,DATE($B$1,7,1)&lt;=TODAY(),OR($O312="",$O312&gt;=DATE($B$1,7,1)),OR(COUNTIF($C312:I312,"&gt;0")&gt;0,DATE($B$1,7,1)=DATE(YEAR(TODAY()),MONTH(TODAY()),1))),1,0))</f>
        <v/>
      </c>
      <c r="W312">
        <f>IF($A312="","",IF(AND($B312&gt;0,J312&lt;$B312,DATE($B$1,8,1)&lt;=TODAY(),OR($O312="",$O312&gt;=DATE($B$1,8,1)),OR(COUNTIF($C312:J312,"&gt;0")&gt;0,DATE($B$1,8,1)=DATE(YEAR(TODAY()),MONTH(TODAY()),1))),1,0))</f>
        <v/>
      </c>
      <c r="X312">
        <f>IF($A312="","",IF(AND($B312&gt;0,K312&lt;$B312,DATE($B$1,9,1)&lt;=TODAY(),OR($O312="",$O312&gt;=DATE($B$1,9,1)),OR(COUNTIF($C312:K312,"&gt;0")&gt;0,DATE($B$1,9,1)=DATE(YEAR(TODAY()),MONTH(TODAY()),1))),1,0))</f>
        <v/>
      </c>
      <c r="Y312">
        <f>IF($A312="","",IF(AND($B312&gt;0,L312&lt;$B312,DATE($B$1,10,1)&lt;=TODAY(),OR($O312="",$O312&gt;=DATE($B$1,10,1)),OR(COUNTIF($C312:L312,"&gt;0")&gt;0,DATE($B$1,10,1)=DATE(YEAR(TODAY()),MONTH(TODAY()),1))),1,0))</f>
        <v/>
      </c>
      <c r="Z312">
        <f>IF($A312="","",IF(AND($B312&gt;0,M312&lt;$B312,DATE($B$1,11,1)&lt;=TODAY(),OR($O312="",$O312&gt;=DATE($B$1,11,1)),OR(COUNTIF($C312:M312,"&gt;0")&gt;0,DATE($B$1,11,1)=DATE(YEAR(TODAY()),MONTH(TODAY()),1))),1,0))</f>
        <v/>
      </c>
      <c r="AA312">
        <f>IF($A312="","",IF(AND($B312&gt;0,N312&lt;$B312,DATE($B$1,12,1)&lt;=TODAY(),OR($O312="",$O312&gt;=DATE($B$1,12,1)),OR(COUNTIF($C312:N312,"&gt;0")&gt;0,DATE($B$1,12,1)=DATE(YEAR(TODAY()),MONTH(TODAY()),1))),1,0))</f>
        <v/>
      </c>
    </row>
    <row r="313">
      <c r="A313" s="13">
        <f>IF(원생!$A311="","",원생!$A311&amp;IF(원생!$G311="",""," ("&amp;원생!$G311&amp;")"))</f>
        <v/>
      </c>
      <c r="B313" s="8">
        <f>IF(원생!$A311="","",원생!$F311)</f>
        <v/>
      </c>
      <c r="C313" s="14">
        <f>IF(원생!$A311="","",SUMIFS(수납!$F:$F,수납!$C:$C,원생!$A311,수납!$D:$D,IF(원생!$G311="","",원생!$G311),수납!$B:$B,$B$1&amp;"-"&amp;TEXT(1,"00")&amp;"*",수납!$E:$E,"수강료")+SUMIFS(수납!$F:$F,수납!$C:$C,원생!$A311,수납!$D:$D,IF(원생!$G311="","",원생!$G311),수납!$B:$B,$B$1&amp;"-"&amp;TEXT(1,"00")&amp;"*",수납!$E:$E,""))</f>
        <v/>
      </c>
      <c r="D313" s="14">
        <f>IF(원생!$A311="","",SUMIFS(수납!$F:$F,수납!$C:$C,원생!$A311,수납!$D:$D,IF(원생!$G311="","",원생!$G311),수납!$B:$B,$B$1&amp;"-"&amp;TEXT(2,"00")&amp;"*",수납!$E:$E,"수강료")+SUMIFS(수납!$F:$F,수납!$C:$C,원생!$A311,수납!$D:$D,IF(원생!$G311="","",원생!$G311),수납!$B:$B,$B$1&amp;"-"&amp;TEXT(2,"00")&amp;"*",수납!$E:$E,""))</f>
        <v/>
      </c>
      <c r="E313" s="14">
        <f>IF(원생!$A311="","",SUMIFS(수납!$F:$F,수납!$C:$C,원생!$A311,수납!$D:$D,IF(원생!$G311="","",원생!$G311),수납!$B:$B,$B$1&amp;"-"&amp;TEXT(3,"00")&amp;"*",수납!$E:$E,"수강료")+SUMIFS(수납!$F:$F,수납!$C:$C,원생!$A311,수납!$D:$D,IF(원생!$G311="","",원생!$G311),수납!$B:$B,$B$1&amp;"-"&amp;TEXT(3,"00")&amp;"*",수납!$E:$E,""))</f>
        <v/>
      </c>
      <c r="F313" s="14">
        <f>IF(원생!$A311="","",SUMIFS(수납!$F:$F,수납!$C:$C,원생!$A311,수납!$D:$D,IF(원생!$G311="","",원생!$G311),수납!$B:$B,$B$1&amp;"-"&amp;TEXT(4,"00")&amp;"*",수납!$E:$E,"수강료")+SUMIFS(수납!$F:$F,수납!$C:$C,원생!$A311,수납!$D:$D,IF(원생!$G311="","",원생!$G311),수납!$B:$B,$B$1&amp;"-"&amp;TEXT(4,"00")&amp;"*",수납!$E:$E,""))</f>
        <v/>
      </c>
      <c r="G313" s="14">
        <f>IF(원생!$A311="","",SUMIFS(수납!$F:$F,수납!$C:$C,원생!$A311,수납!$D:$D,IF(원생!$G311="","",원생!$G311),수납!$B:$B,$B$1&amp;"-"&amp;TEXT(5,"00")&amp;"*",수납!$E:$E,"수강료")+SUMIFS(수납!$F:$F,수납!$C:$C,원생!$A311,수납!$D:$D,IF(원생!$G311="","",원생!$G311),수납!$B:$B,$B$1&amp;"-"&amp;TEXT(5,"00")&amp;"*",수납!$E:$E,""))</f>
        <v/>
      </c>
      <c r="H313" s="14">
        <f>IF(원생!$A311="","",SUMIFS(수납!$F:$F,수납!$C:$C,원생!$A311,수납!$D:$D,IF(원생!$G311="","",원생!$G311),수납!$B:$B,$B$1&amp;"-"&amp;TEXT(6,"00")&amp;"*",수납!$E:$E,"수강료")+SUMIFS(수납!$F:$F,수납!$C:$C,원생!$A311,수납!$D:$D,IF(원생!$G311="","",원생!$G311),수납!$B:$B,$B$1&amp;"-"&amp;TEXT(6,"00")&amp;"*",수납!$E:$E,""))</f>
        <v/>
      </c>
      <c r="I313" s="14">
        <f>IF(원생!$A311="","",SUMIFS(수납!$F:$F,수납!$C:$C,원생!$A311,수납!$D:$D,IF(원생!$G311="","",원생!$G311),수납!$B:$B,$B$1&amp;"-"&amp;TEXT(7,"00")&amp;"*",수납!$E:$E,"수강료")+SUMIFS(수납!$F:$F,수납!$C:$C,원생!$A311,수납!$D:$D,IF(원생!$G311="","",원생!$G311),수납!$B:$B,$B$1&amp;"-"&amp;TEXT(7,"00")&amp;"*",수납!$E:$E,""))</f>
        <v/>
      </c>
      <c r="J313" s="14">
        <f>IF(원생!$A311="","",SUMIFS(수납!$F:$F,수납!$C:$C,원생!$A311,수납!$D:$D,IF(원생!$G311="","",원생!$G311),수납!$B:$B,$B$1&amp;"-"&amp;TEXT(8,"00")&amp;"*",수납!$E:$E,"수강료")+SUMIFS(수납!$F:$F,수납!$C:$C,원생!$A311,수납!$D:$D,IF(원생!$G311="","",원생!$G311),수납!$B:$B,$B$1&amp;"-"&amp;TEXT(8,"00")&amp;"*",수납!$E:$E,""))</f>
        <v/>
      </c>
      <c r="K313" s="14">
        <f>IF(원생!$A311="","",SUMIFS(수납!$F:$F,수납!$C:$C,원생!$A311,수납!$D:$D,IF(원생!$G311="","",원생!$G311),수납!$B:$B,$B$1&amp;"-"&amp;TEXT(9,"00")&amp;"*",수납!$E:$E,"수강료")+SUMIFS(수납!$F:$F,수납!$C:$C,원생!$A311,수납!$D:$D,IF(원생!$G311="","",원생!$G311),수납!$B:$B,$B$1&amp;"-"&amp;TEXT(9,"00")&amp;"*",수납!$E:$E,""))</f>
        <v/>
      </c>
      <c r="L313" s="14">
        <f>IF(원생!$A311="","",SUMIFS(수납!$F:$F,수납!$C:$C,원생!$A311,수납!$D:$D,IF(원생!$G311="","",원생!$G311),수납!$B:$B,$B$1&amp;"-"&amp;TEXT(10,"00")&amp;"*",수납!$E:$E,"수강료")+SUMIFS(수납!$F:$F,수납!$C:$C,원생!$A311,수납!$D:$D,IF(원생!$G311="","",원생!$G311),수납!$B:$B,$B$1&amp;"-"&amp;TEXT(10,"00")&amp;"*",수납!$E:$E,""))</f>
        <v/>
      </c>
      <c r="M313" s="14">
        <f>IF(원생!$A311="","",SUMIFS(수납!$F:$F,수납!$C:$C,원생!$A311,수납!$D:$D,IF(원생!$G311="","",원생!$G311),수납!$B:$B,$B$1&amp;"-"&amp;TEXT(11,"00")&amp;"*",수납!$E:$E,"수강료")+SUMIFS(수납!$F:$F,수납!$C:$C,원생!$A311,수납!$D:$D,IF(원생!$G311="","",원생!$G311),수납!$B:$B,$B$1&amp;"-"&amp;TEXT(11,"00")&amp;"*",수납!$E:$E,""))</f>
        <v/>
      </c>
      <c r="N313" s="14">
        <f>IF(원생!$A311="","",SUMIFS(수납!$F:$F,수납!$C:$C,원생!$A311,수납!$D:$D,IF(원생!$G311="","",원생!$G311),수납!$B:$B,$B$1&amp;"-"&amp;TEXT(12,"00")&amp;"*",수납!$E:$E,"수강료")+SUMIFS(수납!$F:$F,수납!$C:$C,원생!$A311,수납!$D:$D,IF(원생!$G311="","",원생!$G311),수납!$B:$B,$B$1&amp;"-"&amp;TEXT(12,"00")&amp;"*",수납!$E:$E,""))</f>
        <v/>
      </c>
      <c r="O313">
        <f>IF(원생!$I311="","",원생!$I311)</f>
        <v/>
      </c>
      <c r="P313">
        <f>IF($A313="","",IF(AND($B313&gt;0,C313&lt;$B313,DATE($B$1,1,1)&lt;=TODAY(),OR($O313="",$O313&gt;=DATE($B$1,1,1)),OR(COUNTIF($C313:C313,"&gt;0")&gt;0,DATE($B$1,1,1)=DATE(YEAR(TODAY()),MONTH(TODAY()),1))),1,0))</f>
        <v/>
      </c>
      <c r="Q313">
        <f>IF($A313="","",IF(AND($B313&gt;0,D313&lt;$B313,DATE($B$1,2,1)&lt;=TODAY(),OR($O313="",$O313&gt;=DATE($B$1,2,1)),OR(COUNTIF($C313:D313,"&gt;0")&gt;0,DATE($B$1,2,1)=DATE(YEAR(TODAY()),MONTH(TODAY()),1))),1,0))</f>
        <v/>
      </c>
      <c r="R313">
        <f>IF($A313="","",IF(AND($B313&gt;0,E313&lt;$B313,DATE($B$1,3,1)&lt;=TODAY(),OR($O313="",$O313&gt;=DATE($B$1,3,1)),OR(COUNTIF($C313:E313,"&gt;0")&gt;0,DATE($B$1,3,1)=DATE(YEAR(TODAY()),MONTH(TODAY()),1))),1,0))</f>
        <v/>
      </c>
      <c r="S313">
        <f>IF($A313="","",IF(AND($B313&gt;0,F313&lt;$B313,DATE($B$1,4,1)&lt;=TODAY(),OR($O313="",$O313&gt;=DATE($B$1,4,1)),OR(COUNTIF($C313:F313,"&gt;0")&gt;0,DATE($B$1,4,1)=DATE(YEAR(TODAY()),MONTH(TODAY()),1))),1,0))</f>
        <v/>
      </c>
      <c r="T313">
        <f>IF($A313="","",IF(AND($B313&gt;0,G313&lt;$B313,DATE($B$1,5,1)&lt;=TODAY(),OR($O313="",$O313&gt;=DATE($B$1,5,1)),OR(COUNTIF($C313:G313,"&gt;0")&gt;0,DATE($B$1,5,1)=DATE(YEAR(TODAY()),MONTH(TODAY()),1))),1,0))</f>
        <v/>
      </c>
      <c r="U313">
        <f>IF($A313="","",IF(AND($B313&gt;0,H313&lt;$B313,DATE($B$1,6,1)&lt;=TODAY(),OR($O313="",$O313&gt;=DATE($B$1,6,1)),OR(COUNTIF($C313:H313,"&gt;0")&gt;0,DATE($B$1,6,1)=DATE(YEAR(TODAY()),MONTH(TODAY()),1))),1,0))</f>
        <v/>
      </c>
      <c r="V313">
        <f>IF($A313="","",IF(AND($B313&gt;0,I313&lt;$B313,DATE($B$1,7,1)&lt;=TODAY(),OR($O313="",$O313&gt;=DATE($B$1,7,1)),OR(COUNTIF($C313:I313,"&gt;0")&gt;0,DATE($B$1,7,1)=DATE(YEAR(TODAY()),MONTH(TODAY()),1))),1,0))</f>
        <v/>
      </c>
      <c r="W313">
        <f>IF($A313="","",IF(AND($B313&gt;0,J313&lt;$B313,DATE($B$1,8,1)&lt;=TODAY(),OR($O313="",$O313&gt;=DATE($B$1,8,1)),OR(COUNTIF($C313:J313,"&gt;0")&gt;0,DATE($B$1,8,1)=DATE(YEAR(TODAY()),MONTH(TODAY()),1))),1,0))</f>
        <v/>
      </c>
      <c r="X313">
        <f>IF($A313="","",IF(AND($B313&gt;0,K313&lt;$B313,DATE($B$1,9,1)&lt;=TODAY(),OR($O313="",$O313&gt;=DATE($B$1,9,1)),OR(COUNTIF($C313:K313,"&gt;0")&gt;0,DATE($B$1,9,1)=DATE(YEAR(TODAY()),MONTH(TODAY()),1))),1,0))</f>
        <v/>
      </c>
      <c r="Y313">
        <f>IF($A313="","",IF(AND($B313&gt;0,L313&lt;$B313,DATE($B$1,10,1)&lt;=TODAY(),OR($O313="",$O313&gt;=DATE($B$1,10,1)),OR(COUNTIF($C313:L313,"&gt;0")&gt;0,DATE($B$1,10,1)=DATE(YEAR(TODAY()),MONTH(TODAY()),1))),1,0))</f>
        <v/>
      </c>
      <c r="Z313">
        <f>IF($A313="","",IF(AND($B313&gt;0,M313&lt;$B313,DATE($B$1,11,1)&lt;=TODAY(),OR($O313="",$O313&gt;=DATE($B$1,11,1)),OR(COUNTIF($C313:M313,"&gt;0")&gt;0,DATE($B$1,11,1)=DATE(YEAR(TODAY()),MONTH(TODAY()),1))),1,0))</f>
        <v/>
      </c>
      <c r="AA313">
        <f>IF($A313="","",IF(AND($B313&gt;0,N313&lt;$B313,DATE($B$1,12,1)&lt;=TODAY(),OR($O313="",$O313&gt;=DATE($B$1,12,1)),OR(COUNTIF($C313:N313,"&gt;0")&gt;0,DATE($B$1,12,1)=DATE(YEAR(TODAY()),MONTH(TODAY()),1))),1,0))</f>
        <v/>
      </c>
    </row>
    <row r="314">
      <c r="A314" s="13">
        <f>IF(원생!$A312="","",원생!$A312&amp;IF(원생!$G312="",""," ("&amp;원생!$G312&amp;")"))</f>
        <v/>
      </c>
      <c r="B314" s="8">
        <f>IF(원생!$A312="","",원생!$F312)</f>
        <v/>
      </c>
      <c r="C314" s="14">
        <f>IF(원생!$A312="","",SUMIFS(수납!$F:$F,수납!$C:$C,원생!$A312,수납!$D:$D,IF(원생!$G312="","",원생!$G312),수납!$B:$B,$B$1&amp;"-"&amp;TEXT(1,"00")&amp;"*",수납!$E:$E,"수강료")+SUMIFS(수납!$F:$F,수납!$C:$C,원생!$A312,수납!$D:$D,IF(원생!$G312="","",원생!$G312),수납!$B:$B,$B$1&amp;"-"&amp;TEXT(1,"00")&amp;"*",수납!$E:$E,""))</f>
        <v/>
      </c>
      <c r="D314" s="14">
        <f>IF(원생!$A312="","",SUMIFS(수납!$F:$F,수납!$C:$C,원생!$A312,수납!$D:$D,IF(원생!$G312="","",원생!$G312),수납!$B:$B,$B$1&amp;"-"&amp;TEXT(2,"00")&amp;"*",수납!$E:$E,"수강료")+SUMIFS(수납!$F:$F,수납!$C:$C,원생!$A312,수납!$D:$D,IF(원생!$G312="","",원생!$G312),수납!$B:$B,$B$1&amp;"-"&amp;TEXT(2,"00")&amp;"*",수납!$E:$E,""))</f>
        <v/>
      </c>
      <c r="E314" s="14">
        <f>IF(원생!$A312="","",SUMIFS(수납!$F:$F,수납!$C:$C,원생!$A312,수납!$D:$D,IF(원생!$G312="","",원생!$G312),수납!$B:$B,$B$1&amp;"-"&amp;TEXT(3,"00")&amp;"*",수납!$E:$E,"수강료")+SUMIFS(수납!$F:$F,수납!$C:$C,원생!$A312,수납!$D:$D,IF(원생!$G312="","",원생!$G312),수납!$B:$B,$B$1&amp;"-"&amp;TEXT(3,"00")&amp;"*",수납!$E:$E,""))</f>
        <v/>
      </c>
      <c r="F314" s="14">
        <f>IF(원생!$A312="","",SUMIFS(수납!$F:$F,수납!$C:$C,원생!$A312,수납!$D:$D,IF(원생!$G312="","",원생!$G312),수납!$B:$B,$B$1&amp;"-"&amp;TEXT(4,"00")&amp;"*",수납!$E:$E,"수강료")+SUMIFS(수납!$F:$F,수납!$C:$C,원생!$A312,수납!$D:$D,IF(원생!$G312="","",원생!$G312),수납!$B:$B,$B$1&amp;"-"&amp;TEXT(4,"00")&amp;"*",수납!$E:$E,""))</f>
        <v/>
      </c>
      <c r="G314" s="14">
        <f>IF(원생!$A312="","",SUMIFS(수납!$F:$F,수납!$C:$C,원생!$A312,수납!$D:$D,IF(원생!$G312="","",원생!$G312),수납!$B:$B,$B$1&amp;"-"&amp;TEXT(5,"00")&amp;"*",수납!$E:$E,"수강료")+SUMIFS(수납!$F:$F,수납!$C:$C,원생!$A312,수납!$D:$D,IF(원생!$G312="","",원생!$G312),수납!$B:$B,$B$1&amp;"-"&amp;TEXT(5,"00")&amp;"*",수납!$E:$E,""))</f>
        <v/>
      </c>
      <c r="H314" s="14">
        <f>IF(원생!$A312="","",SUMIFS(수납!$F:$F,수납!$C:$C,원생!$A312,수납!$D:$D,IF(원생!$G312="","",원생!$G312),수납!$B:$B,$B$1&amp;"-"&amp;TEXT(6,"00")&amp;"*",수납!$E:$E,"수강료")+SUMIFS(수납!$F:$F,수납!$C:$C,원생!$A312,수납!$D:$D,IF(원생!$G312="","",원생!$G312),수납!$B:$B,$B$1&amp;"-"&amp;TEXT(6,"00")&amp;"*",수납!$E:$E,""))</f>
        <v/>
      </c>
      <c r="I314" s="14">
        <f>IF(원생!$A312="","",SUMIFS(수납!$F:$F,수납!$C:$C,원생!$A312,수납!$D:$D,IF(원생!$G312="","",원생!$G312),수납!$B:$B,$B$1&amp;"-"&amp;TEXT(7,"00")&amp;"*",수납!$E:$E,"수강료")+SUMIFS(수납!$F:$F,수납!$C:$C,원생!$A312,수납!$D:$D,IF(원생!$G312="","",원생!$G312),수납!$B:$B,$B$1&amp;"-"&amp;TEXT(7,"00")&amp;"*",수납!$E:$E,""))</f>
        <v/>
      </c>
      <c r="J314" s="14">
        <f>IF(원생!$A312="","",SUMIFS(수납!$F:$F,수납!$C:$C,원생!$A312,수납!$D:$D,IF(원생!$G312="","",원생!$G312),수납!$B:$B,$B$1&amp;"-"&amp;TEXT(8,"00")&amp;"*",수납!$E:$E,"수강료")+SUMIFS(수납!$F:$F,수납!$C:$C,원생!$A312,수납!$D:$D,IF(원생!$G312="","",원생!$G312),수납!$B:$B,$B$1&amp;"-"&amp;TEXT(8,"00")&amp;"*",수납!$E:$E,""))</f>
        <v/>
      </c>
      <c r="K314" s="14">
        <f>IF(원생!$A312="","",SUMIFS(수납!$F:$F,수납!$C:$C,원생!$A312,수납!$D:$D,IF(원생!$G312="","",원생!$G312),수납!$B:$B,$B$1&amp;"-"&amp;TEXT(9,"00")&amp;"*",수납!$E:$E,"수강료")+SUMIFS(수납!$F:$F,수납!$C:$C,원생!$A312,수납!$D:$D,IF(원생!$G312="","",원생!$G312),수납!$B:$B,$B$1&amp;"-"&amp;TEXT(9,"00")&amp;"*",수납!$E:$E,""))</f>
        <v/>
      </c>
      <c r="L314" s="14">
        <f>IF(원생!$A312="","",SUMIFS(수납!$F:$F,수납!$C:$C,원생!$A312,수납!$D:$D,IF(원생!$G312="","",원생!$G312),수납!$B:$B,$B$1&amp;"-"&amp;TEXT(10,"00")&amp;"*",수납!$E:$E,"수강료")+SUMIFS(수납!$F:$F,수납!$C:$C,원생!$A312,수납!$D:$D,IF(원생!$G312="","",원생!$G312),수납!$B:$B,$B$1&amp;"-"&amp;TEXT(10,"00")&amp;"*",수납!$E:$E,""))</f>
        <v/>
      </c>
      <c r="M314" s="14">
        <f>IF(원생!$A312="","",SUMIFS(수납!$F:$F,수납!$C:$C,원생!$A312,수납!$D:$D,IF(원생!$G312="","",원생!$G312),수납!$B:$B,$B$1&amp;"-"&amp;TEXT(11,"00")&amp;"*",수납!$E:$E,"수강료")+SUMIFS(수납!$F:$F,수납!$C:$C,원생!$A312,수납!$D:$D,IF(원생!$G312="","",원생!$G312),수납!$B:$B,$B$1&amp;"-"&amp;TEXT(11,"00")&amp;"*",수납!$E:$E,""))</f>
        <v/>
      </c>
      <c r="N314" s="14">
        <f>IF(원생!$A312="","",SUMIFS(수납!$F:$F,수납!$C:$C,원생!$A312,수납!$D:$D,IF(원생!$G312="","",원생!$G312),수납!$B:$B,$B$1&amp;"-"&amp;TEXT(12,"00")&amp;"*",수납!$E:$E,"수강료")+SUMIFS(수납!$F:$F,수납!$C:$C,원생!$A312,수납!$D:$D,IF(원생!$G312="","",원생!$G312),수납!$B:$B,$B$1&amp;"-"&amp;TEXT(12,"00")&amp;"*",수납!$E:$E,""))</f>
        <v/>
      </c>
      <c r="O314">
        <f>IF(원생!$I312="","",원생!$I312)</f>
        <v/>
      </c>
      <c r="P314">
        <f>IF($A314="","",IF(AND($B314&gt;0,C314&lt;$B314,DATE($B$1,1,1)&lt;=TODAY(),OR($O314="",$O314&gt;=DATE($B$1,1,1)),OR(COUNTIF($C314:C314,"&gt;0")&gt;0,DATE($B$1,1,1)=DATE(YEAR(TODAY()),MONTH(TODAY()),1))),1,0))</f>
        <v/>
      </c>
      <c r="Q314">
        <f>IF($A314="","",IF(AND($B314&gt;0,D314&lt;$B314,DATE($B$1,2,1)&lt;=TODAY(),OR($O314="",$O314&gt;=DATE($B$1,2,1)),OR(COUNTIF($C314:D314,"&gt;0")&gt;0,DATE($B$1,2,1)=DATE(YEAR(TODAY()),MONTH(TODAY()),1))),1,0))</f>
        <v/>
      </c>
      <c r="R314">
        <f>IF($A314="","",IF(AND($B314&gt;0,E314&lt;$B314,DATE($B$1,3,1)&lt;=TODAY(),OR($O314="",$O314&gt;=DATE($B$1,3,1)),OR(COUNTIF($C314:E314,"&gt;0")&gt;0,DATE($B$1,3,1)=DATE(YEAR(TODAY()),MONTH(TODAY()),1))),1,0))</f>
        <v/>
      </c>
      <c r="S314">
        <f>IF($A314="","",IF(AND($B314&gt;0,F314&lt;$B314,DATE($B$1,4,1)&lt;=TODAY(),OR($O314="",$O314&gt;=DATE($B$1,4,1)),OR(COUNTIF($C314:F314,"&gt;0")&gt;0,DATE($B$1,4,1)=DATE(YEAR(TODAY()),MONTH(TODAY()),1))),1,0))</f>
        <v/>
      </c>
      <c r="T314">
        <f>IF($A314="","",IF(AND($B314&gt;0,G314&lt;$B314,DATE($B$1,5,1)&lt;=TODAY(),OR($O314="",$O314&gt;=DATE($B$1,5,1)),OR(COUNTIF($C314:G314,"&gt;0")&gt;0,DATE($B$1,5,1)=DATE(YEAR(TODAY()),MONTH(TODAY()),1))),1,0))</f>
        <v/>
      </c>
      <c r="U314">
        <f>IF($A314="","",IF(AND($B314&gt;0,H314&lt;$B314,DATE($B$1,6,1)&lt;=TODAY(),OR($O314="",$O314&gt;=DATE($B$1,6,1)),OR(COUNTIF($C314:H314,"&gt;0")&gt;0,DATE($B$1,6,1)=DATE(YEAR(TODAY()),MONTH(TODAY()),1))),1,0))</f>
        <v/>
      </c>
      <c r="V314">
        <f>IF($A314="","",IF(AND($B314&gt;0,I314&lt;$B314,DATE($B$1,7,1)&lt;=TODAY(),OR($O314="",$O314&gt;=DATE($B$1,7,1)),OR(COUNTIF($C314:I314,"&gt;0")&gt;0,DATE($B$1,7,1)=DATE(YEAR(TODAY()),MONTH(TODAY()),1))),1,0))</f>
        <v/>
      </c>
      <c r="W314">
        <f>IF($A314="","",IF(AND($B314&gt;0,J314&lt;$B314,DATE($B$1,8,1)&lt;=TODAY(),OR($O314="",$O314&gt;=DATE($B$1,8,1)),OR(COUNTIF($C314:J314,"&gt;0")&gt;0,DATE($B$1,8,1)=DATE(YEAR(TODAY()),MONTH(TODAY()),1))),1,0))</f>
        <v/>
      </c>
      <c r="X314">
        <f>IF($A314="","",IF(AND($B314&gt;0,K314&lt;$B314,DATE($B$1,9,1)&lt;=TODAY(),OR($O314="",$O314&gt;=DATE($B$1,9,1)),OR(COUNTIF($C314:K314,"&gt;0")&gt;0,DATE($B$1,9,1)=DATE(YEAR(TODAY()),MONTH(TODAY()),1))),1,0))</f>
        <v/>
      </c>
      <c r="Y314">
        <f>IF($A314="","",IF(AND($B314&gt;0,L314&lt;$B314,DATE($B$1,10,1)&lt;=TODAY(),OR($O314="",$O314&gt;=DATE($B$1,10,1)),OR(COUNTIF($C314:L314,"&gt;0")&gt;0,DATE($B$1,10,1)=DATE(YEAR(TODAY()),MONTH(TODAY()),1))),1,0))</f>
        <v/>
      </c>
      <c r="Z314">
        <f>IF($A314="","",IF(AND($B314&gt;0,M314&lt;$B314,DATE($B$1,11,1)&lt;=TODAY(),OR($O314="",$O314&gt;=DATE($B$1,11,1)),OR(COUNTIF($C314:M314,"&gt;0")&gt;0,DATE($B$1,11,1)=DATE(YEAR(TODAY()),MONTH(TODAY()),1))),1,0))</f>
        <v/>
      </c>
      <c r="AA314">
        <f>IF($A314="","",IF(AND($B314&gt;0,N314&lt;$B314,DATE($B$1,12,1)&lt;=TODAY(),OR($O314="",$O314&gt;=DATE($B$1,12,1)),OR(COUNTIF($C314:N314,"&gt;0")&gt;0,DATE($B$1,12,1)=DATE(YEAR(TODAY()),MONTH(TODAY()),1))),1,0))</f>
        <v/>
      </c>
    </row>
    <row r="315">
      <c r="A315" s="13">
        <f>IF(원생!$A313="","",원생!$A313&amp;IF(원생!$G313="",""," ("&amp;원생!$G313&amp;")"))</f>
        <v/>
      </c>
      <c r="B315" s="8">
        <f>IF(원생!$A313="","",원생!$F313)</f>
        <v/>
      </c>
      <c r="C315" s="14">
        <f>IF(원생!$A313="","",SUMIFS(수납!$F:$F,수납!$C:$C,원생!$A313,수납!$D:$D,IF(원생!$G313="","",원생!$G313),수납!$B:$B,$B$1&amp;"-"&amp;TEXT(1,"00")&amp;"*",수납!$E:$E,"수강료")+SUMIFS(수납!$F:$F,수납!$C:$C,원생!$A313,수납!$D:$D,IF(원생!$G313="","",원생!$G313),수납!$B:$B,$B$1&amp;"-"&amp;TEXT(1,"00")&amp;"*",수납!$E:$E,""))</f>
        <v/>
      </c>
      <c r="D315" s="14">
        <f>IF(원생!$A313="","",SUMIFS(수납!$F:$F,수납!$C:$C,원생!$A313,수납!$D:$D,IF(원생!$G313="","",원생!$G313),수납!$B:$B,$B$1&amp;"-"&amp;TEXT(2,"00")&amp;"*",수납!$E:$E,"수강료")+SUMIFS(수납!$F:$F,수납!$C:$C,원생!$A313,수납!$D:$D,IF(원생!$G313="","",원생!$G313),수납!$B:$B,$B$1&amp;"-"&amp;TEXT(2,"00")&amp;"*",수납!$E:$E,""))</f>
        <v/>
      </c>
      <c r="E315" s="14">
        <f>IF(원생!$A313="","",SUMIFS(수납!$F:$F,수납!$C:$C,원생!$A313,수납!$D:$D,IF(원생!$G313="","",원생!$G313),수납!$B:$B,$B$1&amp;"-"&amp;TEXT(3,"00")&amp;"*",수납!$E:$E,"수강료")+SUMIFS(수납!$F:$F,수납!$C:$C,원생!$A313,수납!$D:$D,IF(원생!$G313="","",원생!$G313),수납!$B:$B,$B$1&amp;"-"&amp;TEXT(3,"00")&amp;"*",수납!$E:$E,""))</f>
        <v/>
      </c>
      <c r="F315" s="14">
        <f>IF(원생!$A313="","",SUMIFS(수납!$F:$F,수납!$C:$C,원생!$A313,수납!$D:$D,IF(원생!$G313="","",원생!$G313),수납!$B:$B,$B$1&amp;"-"&amp;TEXT(4,"00")&amp;"*",수납!$E:$E,"수강료")+SUMIFS(수납!$F:$F,수납!$C:$C,원생!$A313,수납!$D:$D,IF(원생!$G313="","",원생!$G313),수납!$B:$B,$B$1&amp;"-"&amp;TEXT(4,"00")&amp;"*",수납!$E:$E,""))</f>
        <v/>
      </c>
      <c r="G315" s="14">
        <f>IF(원생!$A313="","",SUMIFS(수납!$F:$F,수납!$C:$C,원생!$A313,수납!$D:$D,IF(원생!$G313="","",원생!$G313),수납!$B:$B,$B$1&amp;"-"&amp;TEXT(5,"00")&amp;"*",수납!$E:$E,"수강료")+SUMIFS(수납!$F:$F,수납!$C:$C,원생!$A313,수납!$D:$D,IF(원생!$G313="","",원생!$G313),수납!$B:$B,$B$1&amp;"-"&amp;TEXT(5,"00")&amp;"*",수납!$E:$E,""))</f>
        <v/>
      </c>
      <c r="H315" s="14">
        <f>IF(원생!$A313="","",SUMIFS(수납!$F:$F,수납!$C:$C,원생!$A313,수납!$D:$D,IF(원생!$G313="","",원생!$G313),수납!$B:$B,$B$1&amp;"-"&amp;TEXT(6,"00")&amp;"*",수납!$E:$E,"수강료")+SUMIFS(수납!$F:$F,수납!$C:$C,원생!$A313,수납!$D:$D,IF(원생!$G313="","",원생!$G313),수납!$B:$B,$B$1&amp;"-"&amp;TEXT(6,"00")&amp;"*",수납!$E:$E,""))</f>
        <v/>
      </c>
      <c r="I315" s="14">
        <f>IF(원생!$A313="","",SUMIFS(수납!$F:$F,수납!$C:$C,원생!$A313,수납!$D:$D,IF(원생!$G313="","",원생!$G313),수납!$B:$B,$B$1&amp;"-"&amp;TEXT(7,"00")&amp;"*",수납!$E:$E,"수강료")+SUMIFS(수납!$F:$F,수납!$C:$C,원생!$A313,수납!$D:$D,IF(원생!$G313="","",원생!$G313),수납!$B:$B,$B$1&amp;"-"&amp;TEXT(7,"00")&amp;"*",수납!$E:$E,""))</f>
        <v/>
      </c>
      <c r="J315" s="14">
        <f>IF(원생!$A313="","",SUMIFS(수납!$F:$F,수납!$C:$C,원생!$A313,수납!$D:$D,IF(원생!$G313="","",원생!$G313),수납!$B:$B,$B$1&amp;"-"&amp;TEXT(8,"00")&amp;"*",수납!$E:$E,"수강료")+SUMIFS(수납!$F:$F,수납!$C:$C,원생!$A313,수납!$D:$D,IF(원생!$G313="","",원생!$G313),수납!$B:$B,$B$1&amp;"-"&amp;TEXT(8,"00")&amp;"*",수납!$E:$E,""))</f>
        <v/>
      </c>
      <c r="K315" s="14">
        <f>IF(원생!$A313="","",SUMIFS(수납!$F:$F,수납!$C:$C,원생!$A313,수납!$D:$D,IF(원생!$G313="","",원생!$G313),수납!$B:$B,$B$1&amp;"-"&amp;TEXT(9,"00")&amp;"*",수납!$E:$E,"수강료")+SUMIFS(수납!$F:$F,수납!$C:$C,원생!$A313,수납!$D:$D,IF(원생!$G313="","",원생!$G313),수납!$B:$B,$B$1&amp;"-"&amp;TEXT(9,"00")&amp;"*",수납!$E:$E,""))</f>
        <v/>
      </c>
      <c r="L315" s="14">
        <f>IF(원생!$A313="","",SUMIFS(수납!$F:$F,수납!$C:$C,원생!$A313,수납!$D:$D,IF(원생!$G313="","",원생!$G313),수납!$B:$B,$B$1&amp;"-"&amp;TEXT(10,"00")&amp;"*",수납!$E:$E,"수강료")+SUMIFS(수납!$F:$F,수납!$C:$C,원생!$A313,수납!$D:$D,IF(원생!$G313="","",원생!$G313),수납!$B:$B,$B$1&amp;"-"&amp;TEXT(10,"00")&amp;"*",수납!$E:$E,""))</f>
        <v/>
      </c>
      <c r="M315" s="14">
        <f>IF(원생!$A313="","",SUMIFS(수납!$F:$F,수납!$C:$C,원생!$A313,수납!$D:$D,IF(원생!$G313="","",원생!$G313),수납!$B:$B,$B$1&amp;"-"&amp;TEXT(11,"00")&amp;"*",수납!$E:$E,"수강료")+SUMIFS(수납!$F:$F,수납!$C:$C,원생!$A313,수납!$D:$D,IF(원생!$G313="","",원생!$G313),수납!$B:$B,$B$1&amp;"-"&amp;TEXT(11,"00")&amp;"*",수납!$E:$E,""))</f>
        <v/>
      </c>
      <c r="N315" s="14">
        <f>IF(원생!$A313="","",SUMIFS(수납!$F:$F,수납!$C:$C,원생!$A313,수납!$D:$D,IF(원생!$G313="","",원생!$G313),수납!$B:$B,$B$1&amp;"-"&amp;TEXT(12,"00")&amp;"*",수납!$E:$E,"수강료")+SUMIFS(수납!$F:$F,수납!$C:$C,원생!$A313,수납!$D:$D,IF(원생!$G313="","",원생!$G313),수납!$B:$B,$B$1&amp;"-"&amp;TEXT(12,"00")&amp;"*",수납!$E:$E,""))</f>
        <v/>
      </c>
      <c r="O315">
        <f>IF(원생!$I313="","",원생!$I313)</f>
        <v/>
      </c>
      <c r="P315">
        <f>IF($A315="","",IF(AND($B315&gt;0,C315&lt;$B315,DATE($B$1,1,1)&lt;=TODAY(),OR($O315="",$O315&gt;=DATE($B$1,1,1)),OR(COUNTIF($C315:C315,"&gt;0")&gt;0,DATE($B$1,1,1)=DATE(YEAR(TODAY()),MONTH(TODAY()),1))),1,0))</f>
        <v/>
      </c>
      <c r="Q315">
        <f>IF($A315="","",IF(AND($B315&gt;0,D315&lt;$B315,DATE($B$1,2,1)&lt;=TODAY(),OR($O315="",$O315&gt;=DATE($B$1,2,1)),OR(COUNTIF($C315:D315,"&gt;0")&gt;0,DATE($B$1,2,1)=DATE(YEAR(TODAY()),MONTH(TODAY()),1))),1,0))</f>
        <v/>
      </c>
      <c r="R315">
        <f>IF($A315="","",IF(AND($B315&gt;0,E315&lt;$B315,DATE($B$1,3,1)&lt;=TODAY(),OR($O315="",$O315&gt;=DATE($B$1,3,1)),OR(COUNTIF($C315:E315,"&gt;0")&gt;0,DATE($B$1,3,1)=DATE(YEAR(TODAY()),MONTH(TODAY()),1))),1,0))</f>
        <v/>
      </c>
      <c r="S315">
        <f>IF($A315="","",IF(AND($B315&gt;0,F315&lt;$B315,DATE($B$1,4,1)&lt;=TODAY(),OR($O315="",$O315&gt;=DATE($B$1,4,1)),OR(COUNTIF($C315:F315,"&gt;0")&gt;0,DATE($B$1,4,1)=DATE(YEAR(TODAY()),MONTH(TODAY()),1))),1,0))</f>
        <v/>
      </c>
      <c r="T315">
        <f>IF($A315="","",IF(AND($B315&gt;0,G315&lt;$B315,DATE($B$1,5,1)&lt;=TODAY(),OR($O315="",$O315&gt;=DATE($B$1,5,1)),OR(COUNTIF($C315:G315,"&gt;0")&gt;0,DATE($B$1,5,1)=DATE(YEAR(TODAY()),MONTH(TODAY()),1))),1,0))</f>
        <v/>
      </c>
      <c r="U315">
        <f>IF($A315="","",IF(AND($B315&gt;0,H315&lt;$B315,DATE($B$1,6,1)&lt;=TODAY(),OR($O315="",$O315&gt;=DATE($B$1,6,1)),OR(COUNTIF($C315:H315,"&gt;0")&gt;0,DATE($B$1,6,1)=DATE(YEAR(TODAY()),MONTH(TODAY()),1))),1,0))</f>
        <v/>
      </c>
      <c r="V315">
        <f>IF($A315="","",IF(AND($B315&gt;0,I315&lt;$B315,DATE($B$1,7,1)&lt;=TODAY(),OR($O315="",$O315&gt;=DATE($B$1,7,1)),OR(COUNTIF($C315:I315,"&gt;0")&gt;0,DATE($B$1,7,1)=DATE(YEAR(TODAY()),MONTH(TODAY()),1))),1,0))</f>
        <v/>
      </c>
      <c r="W315">
        <f>IF($A315="","",IF(AND($B315&gt;0,J315&lt;$B315,DATE($B$1,8,1)&lt;=TODAY(),OR($O315="",$O315&gt;=DATE($B$1,8,1)),OR(COUNTIF($C315:J315,"&gt;0")&gt;0,DATE($B$1,8,1)=DATE(YEAR(TODAY()),MONTH(TODAY()),1))),1,0))</f>
        <v/>
      </c>
      <c r="X315">
        <f>IF($A315="","",IF(AND($B315&gt;0,K315&lt;$B315,DATE($B$1,9,1)&lt;=TODAY(),OR($O315="",$O315&gt;=DATE($B$1,9,1)),OR(COUNTIF($C315:K315,"&gt;0")&gt;0,DATE($B$1,9,1)=DATE(YEAR(TODAY()),MONTH(TODAY()),1))),1,0))</f>
        <v/>
      </c>
      <c r="Y315">
        <f>IF($A315="","",IF(AND($B315&gt;0,L315&lt;$B315,DATE($B$1,10,1)&lt;=TODAY(),OR($O315="",$O315&gt;=DATE($B$1,10,1)),OR(COUNTIF($C315:L315,"&gt;0")&gt;0,DATE($B$1,10,1)=DATE(YEAR(TODAY()),MONTH(TODAY()),1))),1,0))</f>
        <v/>
      </c>
      <c r="Z315">
        <f>IF($A315="","",IF(AND($B315&gt;0,M315&lt;$B315,DATE($B$1,11,1)&lt;=TODAY(),OR($O315="",$O315&gt;=DATE($B$1,11,1)),OR(COUNTIF($C315:M315,"&gt;0")&gt;0,DATE($B$1,11,1)=DATE(YEAR(TODAY()),MONTH(TODAY()),1))),1,0))</f>
        <v/>
      </c>
      <c r="AA315">
        <f>IF($A315="","",IF(AND($B315&gt;0,N315&lt;$B315,DATE($B$1,12,1)&lt;=TODAY(),OR($O315="",$O315&gt;=DATE($B$1,12,1)),OR(COUNTIF($C315:N315,"&gt;0")&gt;0,DATE($B$1,12,1)=DATE(YEAR(TODAY()),MONTH(TODAY()),1))),1,0))</f>
        <v/>
      </c>
    </row>
    <row r="316">
      <c r="A316" s="13">
        <f>IF(원생!$A314="","",원생!$A314&amp;IF(원생!$G314="",""," ("&amp;원생!$G314&amp;")"))</f>
        <v/>
      </c>
      <c r="B316" s="8">
        <f>IF(원생!$A314="","",원생!$F314)</f>
        <v/>
      </c>
      <c r="C316" s="14">
        <f>IF(원생!$A314="","",SUMIFS(수납!$F:$F,수납!$C:$C,원생!$A314,수납!$D:$D,IF(원생!$G314="","",원생!$G314),수납!$B:$B,$B$1&amp;"-"&amp;TEXT(1,"00")&amp;"*",수납!$E:$E,"수강료")+SUMIFS(수납!$F:$F,수납!$C:$C,원생!$A314,수납!$D:$D,IF(원생!$G314="","",원생!$G314),수납!$B:$B,$B$1&amp;"-"&amp;TEXT(1,"00")&amp;"*",수납!$E:$E,""))</f>
        <v/>
      </c>
      <c r="D316" s="14">
        <f>IF(원생!$A314="","",SUMIFS(수납!$F:$F,수납!$C:$C,원생!$A314,수납!$D:$D,IF(원생!$G314="","",원생!$G314),수납!$B:$B,$B$1&amp;"-"&amp;TEXT(2,"00")&amp;"*",수납!$E:$E,"수강료")+SUMIFS(수납!$F:$F,수납!$C:$C,원생!$A314,수납!$D:$D,IF(원생!$G314="","",원생!$G314),수납!$B:$B,$B$1&amp;"-"&amp;TEXT(2,"00")&amp;"*",수납!$E:$E,""))</f>
        <v/>
      </c>
      <c r="E316" s="14">
        <f>IF(원생!$A314="","",SUMIFS(수납!$F:$F,수납!$C:$C,원생!$A314,수납!$D:$D,IF(원생!$G314="","",원생!$G314),수납!$B:$B,$B$1&amp;"-"&amp;TEXT(3,"00")&amp;"*",수납!$E:$E,"수강료")+SUMIFS(수납!$F:$F,수납!$C:$C,원생!$A314,수납!$D:$D,IF(원생!$G314="","",원생!$G314),수납!$B:$B,$B$1&amp;"-"&amp;TEXT(3,"00")&amp;"*",수납!$E:$E,""))</f>
        <v/>
      </c>
      <c r="F316" s="14">
        <f>IF(원생!$A314="","",SUMIFS(수납!$F:$F,수납!$C:$C,원생!$A314,수납!$D:$D,IF(원생!$G314="","",원생!$G314),수납!$B:$B,$B$1&amp;"-"&amp;TEXT(4,"00")&amp;"*",수납!$E:$E,"수강료")+SUMIFS(수납!$F:$F,수납!$C:$C,원생!$A314,수납!$D:$D,IF(원생!$G314="","",원생!$G314),수납!$B:$B,$B$1&amp;"-"&amp;TEXT(4,"00")&amp;"*",수납!$E:$E,""))</f>
        <v/>
      </c>
      <c r="G316" s="14">
        <f>IF(원생!$A314="","",SUMIFS(수납!$F:$F,수납!$C:$C,원생!$A314,수납!$D:$D,IF(원생!$G314="","",원생!$G314),수납!$B:$B,$B$1&amp;"-"&amp;TEXT(5,"00")&amp;"*",수납!$E:$E,"수강료")+SUMIFS(수납!$F:$F,수납!$C:$C,원생!$A314,수납!$D:$D,IF(원생!$G314="","",원생!$G314),수납!$B:$B,$B$1&amp;"-"&amp;TEXT(5,"00")&amp;"*",수납!$E:$E,""))</f>
        <v/>
      </c>
      <c r="H316" s="14">
        <f>IF(원생!$A314="","",SUMIFS(수납!$F:$F,수납!$C:$C,원생!$A314,수납!$D:$D,IF(원생!$G314="","",원생!$G314),수납!$B:$B,$B$1&amp;"-"&amp;TEXT(6,"00")&amp;"*",수납!$E:$E,"수강료")+SUMIFS(수납!$F:$F,수납!$C:$C,원생!$A314,수납!$D:$D,IF(원생!$G314="","",원생!$G314),수납!$B:$B,$B$1&amp;"-"&amp;TEXT(6,"00")&amp;"*",수납!$E:$E,""))</f>
        <v/>
      </c>
      <c r="I316" s="14">
        <f>IF(원생!$A314="","",SUMIFS(수납!$F:$F,수납!$C:$C,원생!$A314,수납!$D:$D,IF(원생!$G314="","",원생!$G314),수납!$B:$B,$B$1&amp;"-"&amp;TEXT(7,"00")&amp;"*",수납!$E:$E,"수강료")+SUMIFS(수납!$F:$F,수납!$C:$C,원생!$A314,수납!$D:$D,IF(원생!$G314="","",원생!$G314),수납!$B:$B,$B$1&amp;"-"&amp;TEXT(7,"00")&amp;"*",수납!$E:$E,""))</f>
        <v/>
      </c>
      <c r="J316" s="14">
        <f>IF(원생!$A314="","",SUMIFS(수납!$F:$F,수납!$C:$C,원생!$A314,수납!$D:$D,IF(원생!$G314="","",원생!$G314),수납!$B:$B,$B$1&amp;"-"&amp;TEXT(8,"00")&amp;"*",수납!$E:$E,"수강료")+SUMIFS(수납!$F:$F,수납!$C:$C,원생!$A314,수납!$D:$D,IF(원생!$G314="","",원생!$G314),수납!$B:$B,$B$1&amp;"-"&amp;TEXT(8,"00")&amp;"*",수납!$E:$E,""))</f>
        <v/>
      </c>
      <c r="K316" s="14">
        <f>IF(원생!$A314="","",SUMIFS(수납!$F:$F,수납!$C:$C,원생!$A314,수납!$D:$D,IF(원생!$G314="","",원생!$G314),수납!$B:$B,$B$1&amp;"-"&amp;TEXT(9,"00")&amp;"*",수납!$E:$E,"수강료")+SUMIFS(수납!$F:$F,수납!$C:$C,원생!$A314,수납!$D:$D,IF(원생!$G314="","",원생!$G314),수납!$B:$B,$B$1&amp;"-"&amp;TEXT(9,"00")&amp;"*",수납!$E:$E,""))</f>
        <v/>
      </c>
      <c r="L316" s="14">
        <f>IF(원생!$A314="","",SUMIFS(수납!$F:$F,수납!$C:$C,원생!$A314,수납!$D:$D,IF(원생!$G314="","",원생!$G314),수납!$B:$B,$B$1&amp;"-"&amp;TEXT(10,"00")&amp;"*",수납!$E:$E,"수강료")+SUMIFS(수납!$F:$F,수납!$C:$C,원생!$A314,수납!$D:$D,IF(원생!$G314="","",원생!$G314),수납!$B:$B,$B$1&amp;"-"&amp;TEXT(10,"00")&amp;"*",수납!$E:$E,""))</f>
        <v/>
      </c>
      <c r="M316" s="14">
        <f>IF(원생!$A314="","",SUMIFS(수납!$F:$F,수납!$C:$C,원생!$A314,수납!$D:$D,IF(원생!$G314="","",원생!$G314),수납!$B:$B,$B$1&amp;"-"&amp;TEXT(11,"00")&amp;"*",수납!$E:$E,"수강료")+SUMIFS(수납!$F:$F,수납!$C:$C,원생!$A314,수납!$D:$D,IF(원생!$G314="","",원생!$G314),수납!$B:$B,$B$1&amp;"-"&amp;TEXT(11,"00")&amp;"*",수납!$E:$E,""))</f>
        <v/>
      </c>
      <c r="N316" s="14">
        <f>IF(원생!$A314="","",SUMIFS(수납!$F:$F,수납!$C:$C,원생!$A314,수납!$D:$D,IF(원생!$G314="","",원생!$G314),수납!$B:$B,$B$1&amp;"-"&amp;TEXT(12,"00")&amp;"*",수납!$E:$E,"수강료")+SUMIFS(수납!$F:$F,수납!$C:$C,원생!$A314,수납!$D:$D,IF(원생!$G314="","",원생!$G314),수납!$B:$B,$B$1&amp;"-"&amp;TEXT(12,"00")&amp;"*",수납!$E:$E,""))</f>
        <v/>
      </c>
      <c r="O316">
        <f>IF(원생!$I314="","",원생!$I314)</f>
        <v/>
      </c>
      <c r="P316">
        <f>IF($A316="","",IF(AND($B316&gt;0,C316&lt;$B316,DATE($B$1,1,1)&lt;=TODAY(),OR($O316="",$O316&gt;=DATE($B$1,1,1)),OR(COUNTIF($C316:C316,"&gt;0")&gt;0,DATE($B$1,1,1)=DATE(YEAR(TODAY()),MONTH(TODAY()),1))),1,0))</f>
        <v/>
      </c>
      <c r="Q316">
        <f>IF($A316="","",IF(AND($B316&gt;0,D316&lt;$B316,DATE($B$1,2,1)&lt;=TODAY(),OR($O316="",$O316&gt;=DATE($B$1,2,1)),OR(COUNTIF($C316:D316,"&gt;0")&gt;0,DATE($B$1,2,1)=DATE(YEAR(TODAY()),MONTH(TODAY()),1))),1,0))</f>
        <v/>
      </c>
      <c r="R316">
        <f>IF($A316="","",IF(AND($B316&gt;0,E316&lt;$B316,DATE($B$1,3,1)&lt;=TODAY(),OR($O316="",$O316&gt;=DATE($B$1,3,1)),OR(COUNTIF($C316:E316,"&gt;0")&gt;0,DATE($B$1,3,1)=DATE(YEAR(TODAY()),MONTH(TODAY()),1))),1,0))</f>
        <v/>
      </c>
      <c r="S316">
        <f>IF($A316="","",IF(AND($B316&gt;0,F316&lt;$B316,DATE($B$1,4,1)&lt;=TODAY(),OR($O316="",$O316&gt;=DATE($B$1,4,1)),OR(COUNTIF($C316:F316,"&gt;0")&gt;0,DATE($B$1,4,1)=DATE(YEAR(TODAY()),MONTH(TODAY()),1))),1,0))</f>
        <v/>
      </c>
      <c r="T316">
        <f>IF($A316="","",IF(AND($B316&gt;0,G316&lt;$B316,DATE($B$1,5,1)&lt;=TODAY(),OR($O316="",$O316&gt;=DATE($B$1,5,1)),OR(COUNTIF($C316:G316,"&gt;0")&gt;0,DATE($B$1,5,1)=DATE(YEAR(TODAY()),MONTH(TODAY()),1))),1,0))</f>
        <v/>
      </c>
      <c r="U316">
        <f>IF($A316="","",IF(AND($B316&gt;0,H316&lt;$B316,DATE($B$1,6,1)&lt;=TODAY(),OR($O316="",$O316&gt;=DATE($B$1,6,1)),OR(COUNTIF($C316:H316,"&gt;0")&gt;0,DATE($B$1,6,1)=DATE(YEAR(TODAY()),MONTH(TODAY()),1))),1,0))</f>
        <v/>
      </c>
      <c r="V316">
        <f>IF($A316="","",IF(AND($B316&gt;0,I316&lt;$B316,DATE($B$1,7,1)&lt;=TODAY(),OR($O316="",$O316&gt;=DATE($B$1,7,1)),OR(COUNTIF($C316:I316,"&gt;0")&gt;0,DATE($B$1,7,1)=DATE(YEAR(TODAY()),MONTH(TODAY()),1))),1,0))</f>
        <v/>
      </c>
      <c r="W316">
        <f>IF($A316="","",IF(AND($B316&gt;0,J316&lt;$B316,DATE($B$1,8,1)&lt;=TODAY(),OR($O316="",$O316&gt;=DATE($B$1,8,1)),OR(COUNTIF($C316:J316,"&gt;0")&gt;0,DATE($B$1,8,1)=DATE(YEAR(TODAY()),MONTH(TODAY()),1))),1,0))</f>
        <v/>
      </c>
      <c r="X316">
        <f>IF($A316="","",IF(AND($B316&gt;0,K316&lt;$B316,DATE($B$1,9,1)&lt;=TODAY(),OR($O316="",$O316&gt;=DATE($B$1,9,1)),OR(COUNTIF($C316:K316,"&gt;0")&gt;0,DATE($B$1,9,1)=DATE(YEAR(TODAY()),MONTH(TODAY()),1))),1,0))</f>
        <v/>
      </c>
      <c r="Y316">
        <f>IF($A316="","",IF(AND($B316&gt;0,L316&lt;$B316,DATE($B$1,10,1)&lt;=TODAY(),OR($O316="",$O316&gt;=DATE($B$1,10,1)),OR(COUNTIF($C316:L316,"&gt;0")&gt;0,DATE($B$1,10,1)=DATE(YEAR(TODAY()),MONTH(TODAY()),1))),1,0))</f>
        <v/>
      </c>
      <c r="Z316">
        <f>IF($A316="","",IF(AND($B316&gt;0,M316&lt;$B316,DATE($B$1,11,1)&lt;=TODAY(),OR($O316="",$O316&gt;=DATE($B$1,11,1)),OR(COUNTIF($C316:M316,"&gt;0")&gt;0,DATE($B$1,11,1)=DATE(YEAR(TODAY()),MONTH(TODAY()),1))),1,0))</f>
        <v/>
      </c>
      <c r="AA316">
        <f>IF($A316="","",IF(AND($B316&gt;0,N316&lt;$B316,DATE($B$1,12,1)&lt;=TODAY(),OR($O316="",$O316&gt;=DATE($B$1,12,1)),OR(COUNTIF($C316:N316,"&gt;0")&gt;0,DATE($B$1,12,1)=DATE(YEAR(TODAY()),MONTH(TODAY()),1))),1,0))</f>
        <v/>
      </c>
    </row>
    <row r="317">
      <c r="A317" s="13">
        <f>IF(원생!$A315="","",원생!$A315&amp;IF(원생!$G315="",""," ("&amp;원생!$G315&amp;")"))</f>
        <v/>
      </c>
      <c r="B317" s="8">
        <f>IF(원생!$A315="","",원생!$F315)</f>
        <v/>
      </c>
      <c r="C317" s="14">
        <f>IF(원생!$A315="","",SUMIFS(수납!$F:$F,수납!$C:$C,원생!$A315,수납!$D:$D,IF(원생!$G315="","",원생!$G315),수납!$B:$B,$B$1&amp;"-"&amp;TEXT(1,"00")&amp;"*",수납!$E:$E,"수강료")+SUMIFS(수납!$F:$F,수납!$C:$C,원생!$A315,수납!$D:$D,IF(원생!$G315="","",원생!$G315),수납!$B:$B,$B$1&amp;"-"&amp;TEXT(1,"00")&amp;"*",수납!$E:$E,""))</f>
        <v/>
      </c>
      <c r="D317" s="14">
        <f>IF(원생!$A315="","",SUMIFS(수납!$F:$F,수납!$C:$C,원생!$A315,수납!$D:$D,IF(원생!$G315="","",원생!$G315),수납!$B:$B,$B$1&amp;"-"&amp;TEXT(2,"00")&amp;"*",수납!$E:$E,"수강료")+SUMIFS(수납!$F:$F,수납!$C:$C,원생!$A315,수납!$D:$D,IF(원생!$G315="","",원생!$G315),수납!$B:$B,$B$1&amp;"-"&amp;TEXT(2,"00")&amp;"*",수납!$E:$E,""))</f>
        <v/>
      </c>
      <c r="E317" s="14">
        <f>IF(원생!$A315="","",SUMIFS(수납!$F:$F,수납!$C:$C,원생!$A315,수납!$D:$D,IF(원생!$G315="","",원생!$G315),수납!$B:$B,$B$1&amp;"-"&amp;TEXT(3,"00")&amp;"*",수납!$E:$E,"수강료")+SUMIFS(수납!$F:$F,수납!$C:$C,원생!$A315,수납!$D:$D,IF(원생!$G315="","",원생!$G315),수납!$B:$B,$B$1&amp;"-"&amp;TEXT(3,"00")&amp;"*",수납!$E:$E,""))</f>
        <v/>
      </c>
      <c r="F317" s="14">
        <f>IF(원생!$A315="","",SUMIFS(수납!$F:$F,수납!$C:$C,원생!$A315,수납!$D:$D,IF(원생!$G315="","",원생!$G315),수납!$B:$B,$B$1&amp;"-"&amp;TEXT(4,"00")&amp;"*",수납!$E:$E,"수강료")+SUMIFS(수납!$F:$F,수납!$C:$C,원생!$A315,수납!$D:$D,IF(원생!$G315="","",원생!$G315),수납!$B:$B,$B$1&amp;"-"&amp;TEXT(4,"00")&amp;"*",수납!$E:$E,""))</f>
        <v/>
      </c>
      <c r="G317" s="14">
        <f>IF(원생!$A315="","",SUMIFS(수납!$F:$F,수납!$C:$C,원생!$A315,수납!$D:$D,IF(원생!$G315="","",원생!$G315),수납!$B:$B,$B$1&amp;"-"&amp;TEXT(5,"00")&amp;"*",수납!$E:$E,"수강료")+SUMIFS(수납!$F:$F,수납!$C:$C,원생!$A315,수납!$D:$D,IF(원생!$G315="","",원생!$G315),수납!$B:$B,$B$1&amp;"-"&amp;TEXT(5,"00")&amp;"*",수납!$E:$E,""))</f>
        <v/>
      </c>
      <c r="H317" s="14">
        <f>IF(원생!$A315="","",SUMIFS(수납!$F:$F,수납!$C:$C,원생!$A315,수납!$D:$D,IF(원생!$G315="","",원생!$G315),수납!$B:$B,$B$1&amp;"-"&amp;TEXT(6,"00")&amp;"*",수납!$E:$E,"수강료")+SUMIFS(수납!$F:$F,수납!$C:$C,원생!$A315,수납!$D:$D,IF(원생!$G315="","",원생!$G315),수납!$B:$B,$B$1&amp;"-"&amp;TEXT(6,"00")&amp;"*",수납!$E:$E,""))</f>
        <v/>
      </c>
      <c r="I317" s="14">
        <f>IF(원생!$A315="","",SUMIFS(수납!$F:$F,수납!$C:$C,원생!$A315,수납!$D:$D,IF(원생!$G315="","",원생!$G315),수납!$B:$B,$B$1&amp;"-"&amp;TEXT(7,"00")&amp;"*",수납!$E:$E,"수강료")+SUMIFS(수납!$F:$F,수납!$C:$C,원생!$A315,수납!$D:$D,IF(원생!$G315="","",원생!$G315),수납!$B:$B,$B$1&amp;"-"&amp;TEXT(7,"00")&amp;"*",수납!$E:$E,""))</f>
        <v/>
      </c>
      <c r="J317" s="14">
        <f>IF(원생!$A315="","",SUMIFS(수납!$F:$F,수납!$C:$C,원생!$A315,수납!$D:$D,IF(원생!$G315="","",원생!$G315),수납!$B:$B,$B$1&amp;"-"&amp;TEXT(8,"00")&amp;"*",수납!$E:$E,"수강료")+SUMIFS(수납!$F:$F,수납!$C:$C,원생!$A315,수납!$D:$D,IF(원생!$G315="","",원생!$G315),수납!$B:$B,$B$1&amp;"-"&amp;TEXT(8,"00")&amp;"*",수납!$E:$E,""))</f>
        <v/>
      </c>
      <c r="K317" s="14">
        <f>IF(원생!$A315="","",SUMIFS(수납!$F:$F,수납!$C:$C,원생!$A315,수납!$D:$D,IF(원생!$G315="","",원생!$G315),수납!$B:$B,$B$1&amp;"-"&amp;TEXT(9,"00")&amp;"*",수납!$E:$E,"수강료")+SUMIFS(수납!$F:$F,수납!$C:$C,원생!$A315,수납!$D:$D,IF(원생!$G315="","",원생!$G315),수납!$B:$B,$B$1&amp;"-"&amp;TEXT(9,"00")&amp;"*",수납!$E:$E,""))</f>
        <v/>
      </c>
      <c r="L317" s="14">
        <f>IF(원생!$A315="","",SUMIFS(수납!$F:$F,수납!$C:$C,원생!$A315,수납!$D:$D,IF(원생!$G315="","",원생!$G315),수납!$B:$B,$B$1&amp;"-"&amp;TEXT(10,"00")&amp;"*",수납!$E:$E,"수강료")+SUMIFS(수납!$F:$F,수납!$C:$C,원생!$A315,수납!$D:$D,IF(원생!$G315="","",원생!$G315),수납!$B:$B,$B$1&amp;"-"&amp;TEXT(10,"00")&amp;"*",수납!$E:$E,""))</f>
        <v/>
      </c>
      <c r="M317" s="14">
        <f>IF(원생!$A315="","",SUMIFS(수납!$F:$F,수납!$C:$C,원생!$A315,수납!$D:$D,IF(원생!$G315="","",원생!$G315),수납!$B:$B,$B$1&amp;"-"&amp;TEXT(11,"00")&amp;"*",수납!$E:$E,"수강료")+SUMIFS(수납!$F:$F,수납!$C:$C,원생!$A315,수납!$D:$D,IF(원생!$G315="","",원생!$G315),수납!$B:$B,$B$1&amp;"-"&amp;TEXT(11,"00")&amp;"*",수납!$E:$E,""))</f>
        <v/>
      </c>
      <c r="N317" s="14">
        <f>IF(원생!$A315="","",SUMIFS(수납!$F:$F,수납!$C:$C,원생!$A315,수납!$D:$D,IF(원생!$G315="","",원생!$G315),수납!$B:$B,$B$1&amp;"-"&amp;TEXT(12,"00")&amp;"*",수납!$E:$E,"수강료")+SUMIFS(수납!$F:$F,수납!$C:$C,원생!$A315,수납!$D:$D,IF(원생!$G315="","",원생!$G315),수납!$B:$B,$B$1&amp;"-"&amp;TEXT(12,"00")&amp;"*",수납!$E:$E,""))</f>
        <v/>
      </c>
      <c r="O317">
        <f>IF(원생!$I315="","",원생!$I315)</f>
        <v/>
      </c>
      <c r="P317">
        <f>IF($A317="","",IF(AND($B317&gt;0,C317&lt;$B317,DATE($B$1,1,1)&lt;=TODAY(),OR($O317="",$O317&gt;=DATE($B$1,1,1)),OR(COUNTIF($C317:C317,"&gt;0")&gt;0,DATE($B$1,1,1)=DATE(YEAR(TODAY()),MONTH(TODAY()),1))),1,0))</f>
        <v/>
      </c>
      <c r="Q317">
        <f>IF($A317="","",IF(AND($B317&gt;0,D317&lt;$B317,DATE($B$1,2,1)&lt;=TODAY(),OR($O317="",$O317&gt;=DATE($B$1,2,1)),OR(COUNTIF($C317:D317,"&gt;0")&gt;0,DATE($B$1,2,1)=DATE(YEAR(TODAY()),MONTH(TODAY()),1))),1,0))</f>
        <v/>
      </c>
      <c r="R317">
        <f>IF($A317="","",IF(AND($B317&gt;0,E317&lt;$B317,DATE($B$1,3,1)&lt;=TODAY(),OR($O317="",$O317&gt;=DATE($B$1,3,1)),OR(COUNTIF($C317:E317,"&gt;0")&gt;0,DATE($B$1,3,1)=DATE(YEAR(TODAY()),MONTH(TODAY()),1))),1,0))</f>
        <v/>
      </c>
      <c r="S317">
        <f>IF($A317="","",IF(AND($B317&gt;0,F317&lt;$B317,DATE($B$1,4,1)&lt;=TODAY(),OR($O317="",$O317&gt;=DATE($B$1,4,1)),OR(COUNTIF($C317:F317,"&gt;0")&gt;0,DATE($B$1,4,1)=DATE(YEAR(TODAY()),MONTH(TODAY()),1))),1,0))</f>
        <v/>
      </c>
      <c r="T317">
        <f>IF($A317="","",IF(AND($B317&gt;0,G317&lt;$B317,DATE($B$1,5,1)&lt;=TODAY(),OR($O317="",$O317&gt;=DATE($B$1,5,1)),OR(COUNTIF($C317:G317,"&gt;0")&gt;0,DATE($B$1,5,1)=DATE(YEAR(TODAY()),MONTH(TODAY()),1))),1,0))</f>
        <v/>
      </c>
      <c r="U317">
        <f>IF($A317="","",IF(AND($B317&gt;0,H317&lt;$B317,DATE($B$1,6,1)&lt;=TODAY(),OR($O317="",$O317&gt;=DATE($B$1,6,1)),OR(COUNTIF($C317:H317,"&gt;0")&gt;0,DATE($B$1,6,1)=DATE(YEAR(TODAY()),MONTH(TODAY()),1))),1,0))</f>
        <v/>
      </c>
      <c r="V317">
        <f>IF($A317="","",IF(AND($B317&gt;0,I317&lt;$B317,DATE($B$1,7,1)&lt;=TODAY(),OR($O317="",$O317&gt;=DATE($B$1,7,1)),OR(COUNTIF($C317:I317,"&gt;0")&gt;0,DATE($B$1,7,1)=DATE(YEAR(TODAY()),MONTH(TODAY()),1))),1,0))</f>
        <v/>
      </c>
      <c r="W317">
        <f>IF($A317="","",IF(AND($B317&gt;0,J317&lt;$B317,DATE($B$1,8,1)&lt;=TODAY(),OR($O317="",$O317&gt;=DATE($B$1,8,1)),OR(COUNTIF($C317:J317,"&gt;0")&gt;0,DATE($B$1,8,1)=DATE(YEAR(TODAY()),MONTH(TODAY()),1))),1,0))</f>
        <v/>
      </c>
      <c r="X317">
        <f>IF($A317="","",IF(AND($B317&gt;0,K317&lt;$B317,DATE($B$1,9,1)&lt;=TODAY(),OR($O317="",$O317&gt;=DATE($B$1,9,1)),OR(COUNTIF($C317:K317,"&gt;0")&gt;0,DATE($B$1,9,1)=DATE(YEAR(TODAY()),MONTH(TODAY()),1))),1,0))</f>
        <v/>
      </c>
      <c r="Y317">
        <f>IF($A317="","",IF(AND($B317&gt;0,L317&lt;$B317,DATE($B$1,10,1)&lt;=TODAY(),OR($O317="",$O317&gt;=DATE($B$1,10,1)),OR(COUNTIF($C317:L317,"&gt;0")&gt;0,DATE($B$1,10,1)=DATE(YEAR(TODAY()),MONTH(TODAY()),1))),1,0))</f>
        <v/>
      </c>
      <c r="Z317">
        <f>IF($A317="","",IF(AND($B317&gt;0,M317&lt;$B317,DATE($B$1,11,1)&lt;=TODAY(),OR($O317="",$O317&gt;=DATE($B$1,11,1)),OR(COUNTIF($C317:M317,"&gt;0")&gt;0,DATE($B$1,11,1)=DATE(YEAR(TODAY()),MONTH(TODAY()),1))),1,0))</f>
        <v/>
      </c>
      <c r="AA317">
        <f>IF($A317="","",IF(AND($B317&gt;0,N317&lt;$B317,DATE($B$1,12,1)&lt;=TODAY(),OR($O317="",$O317&gt;=DATE($B$1,12,1)),OR(COUNTIF($C317:N317,"&gt;0")&gt;0,DATE($B$1,12,1)=DATE(YEAR(TODAY()),MONTH(TODAY()),1))),1,0))</f>
        <v/>
      </c>
    </row>
    <row r="318">
      <c r="A318" s="13">
        <f>IF(원생!$A316="","",원생!$A316&amp;IF(원생!$G316="",""," ("&amp;원생!$G316&amp;")"))</f>
        <v/>
      </c>
      <c r="B318" s="8">
        <f>IF(원생!$A316="","",원생!$F316)</f>
        <v/>
      </c>
      <c r="C318" s="14">
        <f>IF(원생!$A316="","",SUMIFS(수납!$F:$F,수납!$C:$C,원생!$A316,수납!$D:$D,IF(원생!$G316="","",원생!$G316),수납!$B:$B,$B$1&amp;"-"&amp;TEXT(1,"00")&amp;"*",수납!$E:$E,"수강료")+SUMIFS(수납!$F:$F,수납!$C:$C,원생!$A316,수납!$D:$D,IF(원생!$G316="","",원생!$G316),수납!$B:$B,$B$1&amp;"-"&amp;TEXT(1,"00")&amp;"*",수납!$E:$E,""))</f>
        <v/>
      </c>
      <c r="D318" s="14">
        <f>IF(원생!$A316="","",SUMIFS(수납!$F:$F,수납!$C:$C,원생!$A316,수납!$D:$D,IF(원생!$G316="","",원생!$G316),수납!$B:$B,$B$1&amp;"-"&amp;TEXT(2,"00")&amp;"*",수납!$E:$E,"수강료")+SUMIFS(수납!$F:$F,수납!$C:$C,원생!$A316,수납!$D:$D,IF(원생!$G316="","",원생!$G316),수납!$B:$B,$B$1&amp;"-"&amp;TEXT(2,"00")&amp;"*",수납!$E:$E,""))</f>
        <v/>
      </c>
      <c r="E318" s="14">
        <f>IF(원생!$A316="","",SUMIFS(수납!$F:$F,수납!$C:$C,원생!$A316,수납!$D:$D,IF(원생!$G316="","",원생!$G316),수납!$B:$B,$B$1&amp;"-"&amp;TEXT(3,"00")&amp;"*",수납!$E:$E,"수강료")+SUMIFS(수납!$F:$F,수납!$C:$C,원생!$A316,수납!$D:$D,IF(원생!$G316="","",원생!$G316),수납!$B:$B,$B$1&amp;"-"&amp;TEXT(3,"00")&amp;"*",수납!$E:$E,""))</f>
        <v/>
      </c>
      <c r="F318" s="14">
        <f>IF(원생!$A316="","",SUMIFS(수납!$F:$F,수납!$C:$C,원생!$A316,수납!$D:$D,IF(원생!$G316="","",원생!$G316),수납!$B:$B,$B$1&amp;"-"&amp;TEXT(4,"00")&amp;"*",수납!$E:$E,"수강료")+SUMIFS(수납!$F:$F,수납!$C:$C,원생!$A316,수납!$D:$D,IF(원생!$G316="","",원생!$G316),수납!$B:$B,$B$1&amp;"-"&amp;TEXT(4,"00")&amp;"*",수납!$E:$E,""))</f>
        <v/>
      </c>
      <c r="G318" s="14">
        <f>IF(원생!$A316="","",SUMIFS(수납!$F:$F,수납!$C:$C,원생!$A316,수납!$D:$D,IF(원생!$G316="","",원생!$G316),수납!$B:$B,$B$1&amp;"-"&amp;TEXT(5,"00")&amp;"*",수납!$E:$E,"수강료")+SUMIFS(수납!$F:$F,수납!$C:$C,원생!$A316,수납!$D:$D,IF(원생!$G316="","",원생!$G316),수납!$B:$B,$B$1&amp;"-"&amp;TEXT(5,"00")&amp;"*",수납!$E:$E,""))</f>
        <v/>
      </c>
      <c r="H318" s="14">
        <f>IF(원생!$A316="","",SUMIFS(수납!$F:$F,수납!$C:$C,원생!$A316,수납!$D:$D,IF(원생!$G316="","",원생!$G316),수납!$B:$B,$B$1&amp;"-"&amp;TEXT(6,"00")&amp;"*",수납!$E:$E,"수강료")+SUMIFS(수납!$F:$F,수납!$C:$C,원생!$A316,수납!$D:$D,IF(원생!$G316="","",원생!$G316),수납!$B:$B,$B$1&amp;"-"&amp;TEXT(6,"00")&amp;"*",수납!$E:$E,""))</f>
        <v/>
      </c>
      <c r="I318" s="14">
        <f>IF(원생!$A316="","",SUMIFS(수납!$F:$F,수납!$C:$C,원생!$A316,수납!$D:$D,IF(원생!$G316="","",원생!$G316),수납!$B:$B,$B$1&amp;"-"&amp;TEXT(7,"00")&amp;"*",수납!$E:$E,"수강료")+SUMIFS(수납!$F:$F,수납!$C:$C,원생!$A316,수납!$D:$D,IF(원생!$G316="","",원생!$G316),수납!$B:$B,$B$1&amp;"-"&amp;TEXT(7,"00")&amp;"*",수납!$E:$E,""))</f>
        <v/>
      </c>
      <c r="J318" s="14">
        <f>IF(원생!$A316="","",SUMIFS(수납!$F:$F,수납!$C:$C,원생!$A316,수납!$D:$D,IF(원생!$G316="","",원생!$G316),수납!$B:$B,$B$1&amp;"-"&amp;TEXT(8,"00")&amp;"*",수납!$E:$E,"수강료")+SUMIFS(수납!$F:$F,수납!$C:$C,원생!$A316,수납!$D:$D,IF(원생!$G316="","",원생!$G316),수납!$B:$B,$B$1&amp;"-"&amp;TEXT(8,"00")&amp;"*",수납!$E:$E,""))</f>
        <v/>
      </c>
      <c r="K318" s="14">
        <f>IF(원생!$A316="","",SUMIFS(수납!$F:$F,수납!$C:$C,원생!$A316,수납!$D:$D,IF(원생!$G316="","",원생!$G316),수납!$B:$B,$B$1&amp;"-"&amp;TEXT(9,"00")&amp;"*",수납!$E:$E,"수강료")+SUMIFS(수납!$F:$F,수납!$C:$C,원생!$A316,수납!$D:$D,IF(원생!$G316="","",원생!$G316),수납!$B:$B,$B$1&amp;"-"&amp;TEXT(9,"00")&amp;"*",수납!$E:$E,""))</f>
        <v/>
      </c>
      <c r="L318" s="14">
        <f>IF(원생!$A316="","",SUMIFS(수납!$F:$F,수납!$C:$C,원생!$A316,수납!$D:$D,IF(원생!$G316="","",원생!$G316),수납!$B:$B,$B$1&amp;"-"&amp;TEXT(10,"00")&amp;"*",수납!$E:$E,"수강료")+SUMIFS(수납!$F:$F,수납!$C:$C,원생!$A316,수납!$D:$D,IF(원생!$G316="","",원생!$G316),수납!$B:$B,$B$1&amp;"-"&amp;TEXT(10,"00")&amp;"*",수납!$E:$E,""))</f>
        <v/>
      </c>
      <c r="M318" s="14">
        <f>IF(원생!$A316="","",SUMIFS(수납!$F:$F,수납!$C:$C,원생!$A316,수납!$D:$D,IF(원생!$G316="","",원생!$G316),수납!$B:$B,$B$1&amp;"-"&amp;TEXT(11,"00")&amp;"*",수납!$E:$E,"수강료")+SUMIFS(수납!$F:$F,수납!$C:$C,원생!$A316,수납!$D:$D,IF(원생!$G316="","",원생!$G316),수납!$B:$B,$B$1&amp;"-"&amp;TEXT(11,"00")&amp;"*",수납!$E:$E,""))</f>
        <v/>
      </c>
      <c r="N318" s="14">
        <f>IF(원생!$A316="","",SUMIFS(수납!$F:$F,수납!$C:$C,원생!$A316,수납!$D:$D,IF(원생!$G316="","",원생!$G316),수납!$B:$B,$B$1&amp;"-"&amp;TEXT(12,"00")&amp;"*",수납!$E:$E,"수강료")+SUMIFS(수납!$F:$F,수납!$C:$C,원생!$A316,수납!$D:$D,IF(원생!$G316="","",원생!$G316),수납!$B:$B,$B$1&amp;"-"&amp;TEXT(12,"00")&amp;"*",수납!$E:$E,""))</f>
        <v/>
      </c>
      <c r="O318">
        <f>IF(원생!$I316="","",원생!$I316)</f>
        <v/>
      </c>
      <c r="P318">
        <f>IF($A318="","",IF(AND($B318&gt;0,C318&lt;$B318,DATE($B$1,1,1)&lt;=TODAY(),OR($O318="",$O318&gt;=DATE($B$1,1,1)),OR(COUNTIF($C318:C318,"&gt;0")&gt;0,DATE($B$1,1,1)=DATE(YEAR(TODAY()),MONTH(TODAY()),1))),1,0))</f>
        <v/>
      </c>
      <c r="Q318">
        <f>IF($A318="","",IF(AND($B318&gt;0,D318&lt;$B318,DATE($B$1,2,1)&lt;=TODAY(),OR($O318="",$O318&gt;=DATE($B$1,2,1)),OR(COUNTIF($C318:D318,"&gt;0")&gt;0,DATE($B$1,2,1)=DATE(YEAR(TODAY()),MONTH(TODAY()),1))),1,0))</f>
        <v/>
      </c>
      <c r="R318">
        <f>IF($A318="","",IF(AND($B318&gt;0,E318&lt;$B318,DATE($B$1,3,1)&lt;=TODAY(),OR($O318="",$O318&gt;=DATE($B$1,3,1)),OR(COUNTIF($C318:E318,"&gt;0")&gt;0,DATE($B$1,3,1)=DATE(YEAR(TODAY()),MONTH(TODAY()),1))),1,0))</f>
        <v/>
      </c>
      <c r="S318">
        <f>IF($A318="","",IF(AND($B318&gt;0,F318&lt;$B318,DATE($B$1,4,1)&lt;=TODAY(),OR($O318="",$O318&gt;=DATE($B$1,4,1)),OR(COUNTIF($C318:F318,"&gt;0")&gt;0,DATE($B$1,4,1)=DATE(YEAR(TODAY()),MONTH(TODAY()),1))),1,0))</f>
        <v/>
      </c>
      <c r="T318">
        <f>IF($A318="","",IF(AND($B318&gt;0,G318&lt;$B318,DATE($B$1,5,1)&lt;=TODAY(),OR($O318="",$O318&gt;=DATE($B$1,5,1)),OR(COUNTIF($C318:G318,"&gt;0")&gt;0,DATE($B$1,5,1)=DATE(YEAR(TODAY()),MONTH(TODAY()),1))),1,0))</f>
        <v/>
      </c>
      <c r="U318">
        <f>IF($A318="","",IF(AND($B318&gt;0,H318&lt;$B318,DATE($B$1,6,1)&lt;=TODAY(),OR($O318="",$O318&gt;=DATE($B$1,6,1)),OR(COUNTIF($C318:H318,"&gt;0")&gt;0,DATE($B$1,6,1)=DATE(YEAR(TODAY()),MONTH(TODAY()),1))),1,0))</f>
        <v/>
      </c>
      <c r="V318">
        <f>IF($A318="","",IF(AND($B318&gt;0,I318&lt;$B318,DATE($B$1,7,1)&lt;=TODAY(),OR($O318="",$O318&gt;=DATE($B$1,7,1)),OR(COUNTIF($C318:I318,"&gt;0")&gt;0,DATE($B$1,7,1)=DATE(YEAR(TODAY()),MONTH(TODAY()),1))),1,0))</f>
        <v/>
      </c>
      <c r="W318">
        <f>IF($A318="","",IF(AND($B318&gt;0,J318&lt;$B318,DATE($B$1,8,1)&lt;=TODAY(),OR($O318="",$O318&gt;=DATE($B$1,8,1)),OR(COUNTIF($C318:J318,"&gt;0")&gt;0,DATE($B$1,8,1)=DATE(YEAR(TODAY()),MONTH(TODAY()),1))),1,0))</f>
        <v/>
      </c>
      <c r="X318">
        <f>IF($A318="","",IF(AND($B318&gt;0,K318&lt;$B318,DATE($B$1,9,1)&lt;=TODAY(),OR($O318="",$O318&gt;=DATE($B$1,9,1)),OR(COUNTIF($C318:K318,"&gt;0")&gt;0,DATE($B$1,9,1)=DATE(YEAR(TODAY()),MONTH(TODAY()),1))),1,0))</f>
        <v/>
      </c>
      <c r="Y318">
        <f>IF($A318="","",IF(AND($B318&gt;0,L318&lt;$B318,DATE($B$1,10,1)&lt;=TODAY(),OR($O318="",$O318&gt;=DATE($B$1,10,1)),OR(COUNTIF($C318:L318,"&gt;0")&gt;0,DATE($B$1,10,1)=DATE(YEAR(TODAY()),MONTH(TODAY()),1))),1,0))</f>
        <v/>
      </c>
      <c r="Z318">
        <f>IF($A318="","",IF(AND($B318&gt;0,M318&lt;$B318,DATE($B$1,11,1)&lt;=TODAY(),OR($O318="",$O318&gt;=DATE($B$1,11,1)),OR(COUNTIF($C318:M318,"&gt;0")&gt;0,DATE($B$1,11,1)=DATE(YEAR(TODAY()),MONTH(TODAY()),1))),1,0))</f>
        <v/>
      </c>
      <c r="AA318">
        <f>IF($A318="","",IF(AND($B318&gt;0,N318&lt;$B318,DATE($B$1,12,1)&lt;=TODAY(),OR($O318="",$O318&gt;=DATE($B$1,12,1)),OR(COUNTIF($C318:N318,"&gt;0")&gt;0,DATE($B$1,12,1)=DATE(YEAR(TODAY()),MONTH(TODAY()),1))),1,0))</f>
        <v/>
      </c>
    </row>
    <row r="319">
      <c r="A319" s="13">
        <f>IF(원생!$A317="","",원생!$A317&amp;IF(원생!$G317="",""," ("&amp;원생!$G317&amp;")"))</f>
        <v/>
      </c>
      <c r="B319" s="8">
        <f>IF(원생!$A317="","",원생!$F317)</f>
        <v/>
      </c>
      <c r="C319" s="14">
        <f>IF(원생!$A317="","",SUMIFS(수납!$F:$F,수납!$C:$C,원생!$A317,수납!$D:$D,IF(원생!$G317="","",원생!$G317),수납!$B:$B,$B$1&amp;"-"&amp;TEXT(1,"00")&amp;"*",수납!$E:$E,"수강료")+SUMIFS(수납!$F:$F,수납!$C:$C,원생!$A317,수납!$D:$D,IF(원생!$G317="","",원생!$G317),수납!$B:$B,$B$1&amp;"-"&amp;TEXT(1,"00")&amp;"*",수납!$E:$E,""))</f>
        <v/>
      </c>
      <c r="D319" s="14">
        <f>IF(원생!$A317="","",SUMIFS(수납!$F:$F,수납!$C:$C,원생!$A317,수납!$D:$D,IF(원생!$G317="","",원생!$G317),수납!$B:$B,$B$1&amp;"-"&amp;TEXT(2,"00")&amp;"*",수납!$E:$E,"수강료")+SUMIFS(수납!$F:$F,수납!$C:$C,원생!$A317,수납!$D:$D,IF(원생!$G317="","",원생!$G317),수납!$B:$B,$B$1&amp;"-"&amp;TEXT(2,"00")&amp;"*",수납!$E:$E,""))</f>
        <v/>
      </c>
      <c r="E319" s="14">
        <f>IF(원생!$A317="","",SUMIFS(수납!$F:$F,수납!$C:$C,원생!$A317,수납!$D:$D,IF(원생!$G317="","",원생!$G317),수납!$B:$B,$B$1&amp;"-"&amp;TEXT(3,"00")&amp;"*",수납!$E:$E,"수강료")+SUMIFS(수납!$F:$F,수납!$C:$C,원생!$A317,수납!$D:$D,IF(원생!$G317="","",원생!$G317),수납!$B:$B,$B$1&amp;"-"&amp;TEXT(3,"00")&amp;"*",수납!$E:$E,""))</f>
        <v/>
      </c>
      <c r="F319" s="14">
        <f>IF(원생!$A317="","",SUMIFS(수납!$F:$F,수납!$C:$C,원생!$A317,수납!$D:$D,IF(원생!$G317="","",원생!$G317),수납!$B:$B,$B$1&amp;"-"&amp;TEXT(4,"00")&amp;"*",수납!$E:$E,"수강료")+SUMIFS(수납!$F:$F,수납!$C:$C,원생!$A317,수납!$D:$D,IF(원생!$G317="","",원생!$G317),수납!$B:$B,$B$1&amp;"-"&amp;TEXT(4,"00")&amp;"*",수납!$E:$E,""))</f>
        <v/>
      </c>
      <c r="G319" s="14">
        <f>IF(원생!$A317="","",SUMIFS(수납!$F:$F,수납!$C:$C,원생!$A317,수납!$D:$D,IF(원생!$G317="","",원생!$G317),수납!$B:$B,$B$1&amp;"-"&amp;TEXT(5,"00")&amp;"*",수납!$E:$E,"수강료")+SUMIFS(수납!$F:$F,수납!$C:$C,원생!$A317,수납!$D:$D,IF(원생!$G317="","",원생!$G317),수납!$B:$B,$B$1&amp;"-"&amp;TEXT(5,"00")&amp;"*",수납!$E:$E,""))</f>
        <v/>
      </c>
      <c r="H319" s="14">
        <f>IF(원생!$A317="","",SUMIFS(수납!$F:$F,수납!$C:$C,원생!$A317,수납!$D:$D,IF(원생!$G317="","",원생!$G317),수납!$B:$B,$B$1&amp;"-"&amp;TEXT(6,"00")&amp;"*",수납!$E:$E,"수강료")+SUMIFS(수납!$F:$F,수납!$C:$C,원생!$A317,수납!$D:$D,IF(원생!$G317="","",원생!$G317),수납!$B:$B,$B$1&amp;"-"&amp;TEXT(6,"00")&amp;"*",수납!$E:$E,""))</f>
        <v/>
      </c>
      <c r="I319" s="14">
        <f>IF(원생!$A317="","",SUMIFS(수납!$F:$F,수납!$C:$C,원생!$A317,수납!$D:$D,IF(원생!$G317="","",원생!$G317),수납!$B:$B,$B$1&amp;"-"&amp;TEXT(7,"00")&amp;"*",수납!$E:$E,"수강료")+SUMIFS(수납!$F:$F,수납!$C:$C,원생!$A317,수납!$D:$D,IF(원생!$G317="","",원생!$G317),수납!$B:$B,$B$1&amp;"-"&amp;TEXT(7,"00")&amp;"*",수납!$E:$E,""))</f>
        <v/>
      </c>
      <c r="J319" s="14">
        <f>IF(원생!$A317="","",SUMIFS(수납!$F:$F,수납!$C:$C,원생!$A317,수납!$D:$D,IF(원생!$G317="","",원생!$G317),수납!$B:$B,$B$1&amp;"-"&amp;TEXT(8,"00")&amp;"*",수납!$E:$E,"수강료")+SUMIFS(수납!$F:$F,수납!$C:$C,원생!$A317,수납!$D:$D,IF(원생!$G317="","",원생!$G317),수납!$B:$B,$B$1&amp;"-"&amp;TEXT(8,"00")&amp;"*",수납!$E:$E,""))</f>
        <v/>
      </c>
      <c r="K319" s="14">
        <f>IF(원생!$A317="","",SUMIFS(수납!$F:$F,수납!$C:$C,원생!$A317,수납!$D:$D,IF(원생!$G317="","",원생!$G317),수납!$B:$B,$B$1&amp;"-"&amp;TEXT(9,"00")&amp;"*",수납!$E:$E,"수강료")+SUMIFS(수납!$F:$F,수납!$C:$C,원생!$A317,수납!$D:$D,IF(원생!$G317="","",원생!$G317),수납!$B:$B,$B$1&amp;"-"&amp;TEXT(9,"00")&amp;"*",수납!$E:$E,""))</f>
        <v/>
      </c>
      <c r="L319" s="14">
        <f>IF(원생!$A317="","",SUMIFS(수납!$F:$F,수납!$C:$C,원생!$A317,수납!$D:$D,IF(원생!$G317="","",원생!$G317),수납!$B:$B,$B$1&amp;"-"&amp;TEXT(10,"00")&amp;"*",수납!$E:$E,"수강료")+SUMIFS(수납!$F:$F,수납!$C:$C,원생!$A317,수납!$D:$D,IF(원생!$G317="","",원생!$G317),수납!$B:$B,$B$1&amp;"-"&amp;TEXT(10,"00")&amp;"*",수납!$E:$E,""))</f>
        <v/>
      </c>
      <c r="M319" s="14">
        <f>IF(원생!$A317="","",SUMIFS(수납!$F:$F,수납!$C:$C,원생!$A317,수납!$D:$D,IF(원생!$G317="","",원생!$G317),수납!$B:$B,$B$1&amp;"-"&amp;TEXT(11,"00")&amp;"*",수납!$E:$E,"수강료")+SUMIFS(수납!$F:$F,수납!$C:$C,원생!$A317,수납!$D:$D,IF(원생!$G317="","",원생!$G317),수납!$B:$B,$B$1&amp;"-"&amp;TEXT(11,"00")&amp;"*",수납!$E:$E,""))</f>
        <v/>
      </c>
      <c r="N319" s="14">
        <f>IF(원생!$A317="","",SUMIFS(수납!$F:$F,수납!$C:$C,원생!$A317,수납!$D:$D,IF(원생!$G317="","",원생!$G317),수납!$B:$B,$B$1&amp;"-"&amp;TEXT(12,"00")&amp;"*",수납!$E:$E,"수강료")+SUMIFS(수납!$F:$F,수납!$C:$C,원생!$A317,수납!$D:$D,IF(원생!$G317="","",원생!$G317),수납!$B:$B,$B$1&amp;"-"&amp;TEXT(12,"00")&amp;"*",수납!$E:$E,""))</f>
        <v/>
      </c>
      <c r="O319">
        <f>IF(원생!$I317="","",원생!$I317)</f>
        <v/>
      </c>
      <c r="P319">
        <f>IF($A319="","",IF(AND($B319&gt;0,C319&lt;$B319,DATE($B$1,1,1)&lt;=TODAY(),OR($O319="",$O319&gt;=DATE($B$1,1,1)),OR(COUNTIF($C319:C319,"&gt;0")&gt;0,DATE($B$1,1,1)=DATE(YEAR(TODAY()),MONTH(TODAY()),1))),1,0))</f>
        <v/>
      </c>
      <c r="Q319">
        <f>IF($A319="","",IF(AND($B319&gt;0,D319&lt;$B319,DATE($B$1,2,1)&lt;=TODAY(),OR($O319="",$O319&gt;=DATE($B$1,2,1)),OR(COUNTIF($C319:D319,"&gt;0")&gt;0,DATE($B$1,2,1)=DATE(YEAR(TODAY()),MONTH(TODAY()),1))),1,0))</f>
        <v/>
      </c>
      <c r="R319">
        <f>IF($A319="","",IF(AND($B319&gt;0,E319&lt;$B319,DATE($B$1,3,1)&lt;=TODAY(),OR($O319="",$O319&gt;=DATE($B$1,3,1)),OR(COUNTIF($C319:E319,"&gt;0")&gt;0,DATE($B$1,3,1)=DATE(YEAR(TODAY()),MONTH(TODAY()),1))),1,0))</f>
        <v/>
      </c>
      <c r="S319">
        <f>IF($A319="","",IF(AND($B319&gt;0,F319&lt;$B319,DATE($B$1,4,1)&lt;=TODAY(),OR($O319="",$O319&gt;=DATE($B$1,4,1)),OR(COUNTIF($C319:F319,"&gt;0")&gt;0,DATE($B$1,4,1)=DATE(YEAR(TODAY()),MONTH(TODAY()),1))),1,0))</f>
        <v/>
      </c>
      <c r="T319">
        <f>IF($A319="","",IF(AND($B319&gt;0,G319&lt;$B319,DATE($B$1,5,1)&lt;=TODAY(),OR($O319="",$O319&gt;=DATE($B$1,5,1)),OR(COUNTIF($C319:G319,"&gt;0")&gt;0,DATE($B$1,5,1)=DATE(YEAR(TODAY()),MONTH(TODAY()),1))),1,0))</f>
        <v/>
      </c>
      <c r="U319">
        <f>IF($A319="","",IF(AND($B319&gt;0,H319&lt;$B319,DATE($B$1,6,1)&lt;=TODAY(),OR($O319="",$O319&gt;=DATE($B$1,6,1)),OR(COUNTIF($C319:H319,"&gt;0")&gt;0,DATE($B$1,6,1)=DATE(YEAR(TODAY()),MONTH(TODAY()),1))),1,0))</f>
        <v/>
      </c>
      <c r="V319">
        <f>IF($A319="","",IF(AND($B319&gt;0,I319&lt;$B319,DATE($B$1,7,1)&lt;=TODAY(),OR($O319="",$O319&gt;=DATE($B$1,7,1)),OR(COUNTIF($C319:I319,"&gt;0")&gt;0,DATE($B$1,7,1)=DATE(YEAR(TODAY()),MONTH(TODAY()),1))),1,0))</f>
        <v/>
      </c>
      <c r="W319">
        <f>IF($A319="","",IF(AND($B319&gt;0,J319&lt;$B319,DATE($B$1,8,1)&lt;=TODAY(),OR($O319="",$O319&gt;=DATE($B$1,8,1)),OR(COUNTIF($C319:J319,"&gt;0")&gt;0,DATE($B$1,8,1)=DATE(YEAR(TODAY()),MONTH(TODAY()),1))),1,0))</f>
        <v/>
      </c>
      <c r="X319">
        <f>IF($A319="","",IF(AND($B319&gt;0,K319&lt;$B319,DATE($B$1,9,1)&lt;=TODAY(),OR($O319="",$O319&gt;=DATE($B$1,9,1)),OR(COUNTIF($C319:K319,"&gt;0")&gt;0,DATE($B$1,9,1)=DATE(YEAR(TODAY()),MONTH(TODAY()),1))),1,0))</f>
        <v/>
      </c>
      <c r="Y319">
        <f>IF($A319="","",IF(AND($B319&gt;0,L319&lt;$B319,DATE($B$1,10,1)&lt;=TODAY(),OR($O319="",$O319&gt;=DATE($B$1,10,1)),OR(COUNTIF($C319:L319,"&gt;0")&gt;0,DATE($B$1,10,1)=DATE(YEAR(TODAY()),MONTH(TODAY()),1))),1,0))</f>
        <v/>
      </c>
      <c r="Z319">
        <f>IF($A319="","",IF(AND($B319&gt;0,M319&lt;$B319,DATE($B$1,11,1)&lt;=TODAY(),OR($O319="",$O319&gt;=DATE($B$1,11,1)),OR(COUNTIF($C319:M319,"&gt;0")&gt;0,DATE($B$1,11,1)=DATE(YEAR(TODAY()),MONTH(TODAY()),1))),1,0))</f>
        <v/>
      </c>
      <c r="AA319">
        <f>IF($A319="","",IF(AND($B319&gt;0,N319&lt;$B319,DATE($B$1,12,1)&lt;=TODAY(),OR($O319="",$O319&gt;=DATE($B$1,12,1)),OR(COUNTIF($C319:N319,"&gt;0")&gt;0,DATE($B$1,12,1)=DATE(YEAR(TODAY()),MONTH(TODAY()),1))),1,0))</f>
        <v/>
      </c>
    </row>
    <row r="320">
      <c r="A320" s="13">
        <f>IF(원생!$A318="","",원생!$A318&amp;IF(원생!$G318="",""," ("&amp;원생!$G318&amp;")"))</f>
        <v/>
      </c>
      <c r="B320" s="8">
        <f>IF(원생!$A318="","",원생!$F318)</f>
        <v/>
      </c>
      <c r="C320" s="14">
        <f>IF(원생!$A318="","",SUMIFS(수납!$F:$F,수납!$C:$C,원생!$A318,수납!$D:$D,IF(원생!$G318="","",원생!$G318),수납!$B:$B,$B$1&amp;"-"&amp;TEXT(1,"00")&amp;"*",수납!$E:$E,"수강료")+SUMIFS(수납!$F:$F,수납!$C:$C,원생!$A318,수납!$D:$D,IF(원생!$G318="","",원생!$G318),수납!$B:$B,$B$1&amp;"-"&amp;TEXT(1,"00")&amp;"*",수납!$E:$E,""))</f>
        <v/>
      </c>
      <c r="D320" s="14">
        <f>IF(원생!$A318="","",SUMIFS(수납!$F:$F,수납!$C:$C,원생!$A318,수납!$D:$D,IF(원생!$G318="","",원생!$G318),수납!$B:$B,$B$1&amp;"-"&amp;TEXT(2,"00")&amp;"*",수납!$E:$E,"수강료")+SUMIFS(수납!$F:$F,수납!$C:$C,원생!$A318,수납!$D:$D,IF(원생!$G318="","",원생!$G318),수납!$B:$B,$B$1&amp;"-"&amp;TEXT(2,"00")&amp;"*",수납!$E:$E,""))</f>
        <v/>
      </c>
      <c r="E320" s="14">
        <f>IF(원생!$A318="","",SUMIFS(수납!$F:$F,수납!$C:$C,원생!$A318,수납!$D:$D,IF(원생!$G318="","",원생!$G318),수납!$B:$B,$B$1&amp;"-"&amp;TEXT(3,"00")&amp;"*",수납!$E:$E,"수강료")+SUMIFS(수납!$F:$F,수납!$C:$C,원생!$A318,수납!$D:$D,IF(원생!$G318="","",원생!$G318),수납!$B:$B,$B$1&amp;"-"&amp;TEXT(3,"00")&amp;"*",수납!$E:$E,""))</f>
        <v/>
      </c>
      <c r="F320" s="14">
        <f>IF(원생!$A318="","",SUMIFS(수납!$F:$F,수납!$C:$C,원생!$A318,수납!$D:$D,IF(원생!$G318="","",원생!$G318),수납!$B:$B,$B$1&amp;"-"&amp;TEXT(4,"00")&amp;"*",수납!$E:$E,"수강료")+SUMIFS(수납!$F:$F,수납!$C:$C,원생!$A318,수납!$D:$D,IF(원생!$G318="","",원생!$G318),수납!$B:$B,$B$1&amp;"-"&amp;TEXT(4,"00")&amp;"*",수납!$E:$E,""))</f>
        <v/>
      </c>
      <c r="G320" s="14">
        <f>IF(원생!$A318="","",SUMIFS(수납!$F:$F,수납!$C:$C,원생!$A318,수납!$D:$D,IF(원생!$G318="","",원생!$G318),수납!$B:$B,$B$1&amp;"-"&amp;TEXT(5,"00")&amp;"*",수납!$E:$E,"수강료")+SUMIFS(수납!$F:$F,수납!$C:$C,원생!$A318,수납!$D:$D,IF(원생!$G318="","",원생!$G318),수납!$B:$B,$B$1&amp;"-"&amp;TEXT(5,"00")&amp;"*",수납!$E:$E,""))</f>
        <v/>
      </c>
      <c r="H320" s="14">
        <f>IF(원생!$A318="","",SUMIFS(수납!$F:$F,수납!$C:$C,원생!$A318,수납!$D:$D,IF(원생!$G318="","",원생!$G318),수납!$B:$B,$B$1&amp;"-"&amp;TEXT(6,"00")&amp;"*",수납!$E:$E,"수강료")+SUMIFS(수납!$F:$F,수납!$C:$C,원생!$A318,수납!$D:$D,IF(원생!$G318="","",원생!$G318),수납!$B:$B,$B$1&amp;"-"&amp;TEXT(6,"00")&amp;"*",수납!$E:$E,""))</f>
        <v/>
      </c>
      <c r="I320" s="14">
        <f>IF(원생!$A318="","",SUMIFS(수납!$F:$F,수납!$C:$C,원생!$A318,수납!$D:$D,IF(원생!$G318="","",원생!$G318),수납!$B:$B,$B$1&amp;"-"&amp;TEXT(7,"00")&amp;"*",수납!$E:$E,"수강료")+SUMIFS(수납!$F:$F,수납!$C:$C,원생!$A318,수납!$D:$D,IF(원생!$G318="","",원생!$G318),수납!$B:$B,$B$1&amp;"-"&amp;TEXT(7,"00")&amp;"*",수납!$E:$E,""))</f>
        <v/>
      </c>
      <c r="J320" s="14">
        <f>IF(원생!$A318="","",SUMIFS(수납!$F:$F,수납!$C:$C,원생!$A318,수납!$D:$D,IF(원생!$G318="","",원생!$G318),수납!$B:$B,$B$1&amp;"-"&amp;TEXT(8,"00")&amp;"*",수납!$E:$E,"수강료")+SUMIFS(수납!$F:$F,수납!$C:$C,원생!$A318,수납!$D:$D,IF(원생!$G318="","",원생!$G318),수납!$B:$B,$B$1&amp;"-"&amp;TEXT(8,"00")&amp;"*",수납!$E:$E,""))</f>
        <v/>
      </c>
      <c r="K320" s="14">
        <f>IF(원생!$A318="","",SUMIFS(수납!$F:$F,수납!$C:$C,원생!$A318,수납!$D:$D,IF(원생!$G318="","",원생!$G318),수납!$B:$B,$B$1&amp;"-"&amp;TEXT(9,"00")&amp;"*",수납!$E:$E,"수강료")+SUMIFS(수납!$F:$F,수납!$C:$C,원생!$A318,수납!$D:$D,IF(원생!$G318="","",원생!$G318),수납!$B:$B,$B$1&amp;"-"&amp;TEXT(9,"00")&amp;"*",수납!$E:$E,""))</f>
        <v/>
      </c>
      <c r="L320" s="14">
        <f>IF(원생!$A318="","",SUMIFS(수납!$F:$F,수납!$C:$C,원생!$A318,수납!$D:$D,IF(원생!$G318="","",원생!$G318),수납!$B:$B,$B$1&amp;"-"&amp;TEXT(10,"00")&amp;"*",수납!$E:$E,"수강료")+SUMIFS(수납!$F:$F,수납!$C:$C,원생!$A318,수납!$D:$D,IF(원생!$G318="","",원생!$G318),수납!$B:$B,$B$1&amp;"-"&amp;TEXT(10,"00")&amp;"*",수납!$E:$E,""))</f>
        <v/>
      </c>
      <c r="M320" s="14">
        <f>IF(원생!$A318="","",SUMIFS(수납!$F:$F,수납!$C:$C,원생!$A318,수납!$D:$D,IF(원생!$G318="","",원생!$G318),수납!$B:$B,$B$1&amp;"-"&amp;TEXT(11,"00")&amp;"*",수납!$E:$E,"수강료")+SUMIFS(수납!$F:$F,수납!$C:$C,원생!$A318,수납!$D:$D,IF(원생!$G318="","",원생!$G318),수납!$B:$B,$B$1&amp;"-"&amp;TEXT(11,"00")&amp;"*",수납!$E:$E,""))</f>
        <v/>
      </c>
      <c r="N320" s="14">
        <f>IF(원생!$A318="","",SUMIFS(수납!$F:$F,수납!$C:$C,원생!$A318,수납!$D:$D,IF(원생!$G318="","",원생!$G318),수납!$B:$B,$B$1&amp;"-"&amp;TEXT(12,"00")&amp;"*",수납!$E:$E,"수강료")+SUMIFS(수납!$F:$F,수납!$C:$C,원생!$A318,수납!$D:$D,IF(원생!$G318="","",원생!$G318),수납!$B:$B,$B$1&amp;"-"&amp;TEXT(12,"00")&amp;"*",수납!$E:$E,""))</f>
        <v/>
      </c>
      <c r="O320">
        <f>IF(원생!$I318="","",원생!$I318)</f>
        <v/>
      </c>
      <c r="P320">
        <f>IF($A320="","",IF(AND($B320&gt;0,C320&lt;$B320,DATE($B$1,1,1)&lt;=TODAY(),OR($O320="",$O320&gt;=DATE($B$1,1,1)),OR(COUNTIF($C320:C320,"&gt;0")&gt;0,DATE($B$1,1,1)=DATE(YEAR(TODAY()),MONTH(TODAY()),1))),1,0))</f>
        <v/>
      </c>
      <c r="Q320">
        <f>IF($A320="","",IF(AND($B320&gt;0,D320&lt;$B320,DATE($B$1,2,1)&lt;=TODAY(),OR($O320="",$O320&gt;=DATE($B$1,2,1)),OR(COUNTIF($C320:D320,"&gt;0")&gt;0,DATE($B$1,2,1)=DATE(YEAR(TODAY()),MONTH(TODAY()),1))),1,0))</f>
        <v/>
      </c>
      <c r="R320">
        <f>IF($A320="","",IF(AND($B320&gt;0,E320&lt;$B320,DATE($B$1,3,1)&lt;=TODAY(),OR($O320="",$O320&gt;=DATE($B$1,3,1)),OR(COUNTIF($C320:E320,"&gt;0")&gt;0,DATE($B$1,3,1)=DATE(YEAR(TODAY()),MONTH(TODAY()),1))),1,0))</f>
        <v/>
      </c>
      <c r="S320">
        <f>IF($A320="","",IF(AND($B320&gt;0,F320&lt;$B320,DATE($B$1,4,1)&lt;=TODAY(),OR($O320="",$O320&gt;=DATE($B$1,4,1)),OR(COUNTIF($C320:F320,"&gt;0")&gt;0,DATE($B$1,4,1)=DATE(YEAR(TODAY()),MONTH(TODAY()),1))),1,0))</f>
        <v/>
      </c>
      <c r="T320">
        <f>IF($A320="","",IF(AND($B320&gt;0,G320&lt;$B320,DATE($B$1,5,1)&lt;=TODAY(),OR($O320="",$O320&gt;=DATE($B$1,5,1)),OR(COUNTIF($C320:G320,"&gt;0")&gt;0,DATE($B$1,5,1)=DATE(YEAR(TODAY()),MONTH(TODAY()),1))),1,0))</f>
        <v/>
      </c>
      <c r="U320">
        <f>IF($A320="","",IF(AND($B320&gt;0,H320&lt;$B320,DATE($B$1,6,1)&lt;=TODAY(),OR($O320="",$O320&gt;=DATE($B$1,6,1)),OR(COUNTIF($C320:H320,"&gt;0")&gt;0,DATE($B$1,6,1)=DATE(YEAR(TODAY()),MONTH(TODAY()),1))),1,0))</f>
        <v/>
      </c>
      <c r="V320">
        <f>IF($A320="","",IF(AND($B320&gt;0,I320&lt;$B320,DATE($B$1,7,1)&lt;=TODAY(),OR($O320="",$O320&gt;=DATE($B$1,7,1)),OR(COUNTIF($C320:I320,"&gt;0")&gt;0,DATE($B$1,7,1)=DATE(YEAR(TODAY()),MONTH(TODAY()),1))),1,0))</f>
        <v/>
      </c>
      <c r="W320">
        <f>IF($A320="","",IF(AND($B320&gt;0,J320&lt;$B320,DATE($B$1,8,1)&lt;=TODAY(),OR($O320="",$O320&gt;=DATE($B$1,8,1)),OR(COUNTIF($C320:J320,"&gt;0")&gt;0,DATE($B$1,8,1)=DATE(YEAR(TODAY()),MONTH(TODAY()),1))),1,0))</f>
        <v/>
      </c>
      <c r="X320">
        <f>IF($A320="","",IF(AND($B320&gt;0,K320&lt;$B320,DATE($B$1,9,1)&lt;=TODAY(),OR($O320="",$O320&gt;=DATE($B$1,9,1)),OR(COUNTIF($C320:K320,"&gt;0")&gt;0,DATE($B$1,9,1)=DATE(YEAR(TODAY()),MONTH(TODAY()),1))),1,0))</f>
        <v/>
      </c>
      <c r="Y320">
        <f>IF($A320="","",IF(AND($B320&gt;0,L320&lt;$B320,DATE($B$1,10,1)&lt;=TODAY(),OR($O320="",$O320&gt;=DATE($B$1,10,1)),OR(COUNTIF($C320:L320,"&gt;0")&gt;0,DATE($B$1,10,1)=DATE(YEAR(TODAY()),MONTH(TODAY()),1))),1,0))</f>
        <v/>
      </c>
      <c r="Z320">
        <f>IF($A320="","",IF(AND($B320&gt;0,M320&lt;$B320,DATE($B$1,11,1)&lt;=TODAY(),OR($O320="",$O320&gt;=DATE($B$1,11,1)),OR(COUNTIF($C320:M320,"&gt;0")&gt;0,DATE($B$1,11,1)=DATE(YEAR(TODAY()),MONTH(TODAY()),1))),1,0))</f>
        <v/>
      </c>
      <c r="AA320">
        <f>IF($A320="","",IF(AND($B320&gt;0,N320&lt;$B320,DATE($B$1,12,1)&lt;=TODAY(),OR($O320="",$O320&gt;=DATE($B$1,12,1)),OR(COUNTIF($C320:N320,"&gt;0")&gt;0,DATE($B$1,12,1)=DATE(YEAR(TODAY()),MONTH(TODAY()),1))),1,0))</f>
        <v/>
      </c>
    </row>
    <row r="321">
      <c r="A321" s="13">
        <f>IF(원생!$A319="","",원생!$A319&amp;IF(원생!$G319="",""," ("&amp;원생!$G319&amp;")"))</f>
        <v/>
      </c>
      <c r="B321" s="8">
        <f>IF(원생!$A319="","",원생!$F319)</f>
        <v/>
      </c>
      <c r="C321" s="14">
        <f>IF(원생!$A319="","",SUMIFS(수납!$F:$F,수납!$C:$C,원생!$A319,수납!$D:$D,IF(원생!$G319="","",원생!$G319),수납!$B:$B,$B$1&amp;"-"&amp;TEXT(1,"00")&amp;"*",수납!$E:$E,"수강료")+SUMIFS(수납!$F:$F,수납!$C:$C,원생!$A319,수납!$D:$D,IF(원생!$G319="","",원생!$G319),수납!$B:$B,$B$1&amp;"-"&amp;TEXT(1,"00")&amp;"*",수납!$E:$E,""))</f>
        <v/>
      </c>
      <c r="D321" s="14">
        <f>IF(원생!$A319="","",SUMIFS(수납!$F:$F,수납!$C:$C,원생!$A319,수납!$D:$D,IF(원생!$G319="","",원생!$G319),수납!$B:$B,$B$1&amp;"-"&amp;TEXT(2,"00")&amp;"*",수납!$E:$E,"수강료")+SUMIFS(수납!$F:$F,수납!$C:$C,원생!$A319,수납!$D:$D,IF(원생!$G319="","",원생!$G319),수납!$B:$B,$B$1&amp;"-"&amp;TEXT(2,"00")&amp;"*",수납!$E:$E,""))</f>
        <v/>
      </c>
      <c r="E321" s="14">
        <f>IF(원생!$A319="","",SUMIFS(수납!$F:$F,수납!$C:$C,원생!$A319,수납!$D:$D,IF(원생!$G319="","",원생!$G319),수납!$B:$B,$B$1&amp;"-"&amp;TEXT(3,"00")&amp;"*",수납!$E:$E,"수강료")+SUMIFS(수납!$F:$F,수납!$C:$C,원생!$A319,수납!$D:$D,IF(원생!$G319="","",원생!$G319),수납!$B:$B,$B$1&amp;"-"&amp;TEXT(3,"00")&amp;"*",수납!$E:$E,""))</f>
        <v/>
      </c>
      <c r="F321" s="14">
        <f>IF(원생!$A319="","",SUMIFS(수납!$F:$F,수납!$C:$C,원생!$A319,수납!$D:$D,IF(원생!$G319="","",원생!$G319),수납!$B:$B,$B$1&amp;"-"&amp;TEXT(4,"00")&amp;"*",수납!$E:$E,"수강료")+SUMIFS(수납!$F:$F,수납!$C:$C,원생!$A319,수납!$D:$D,IF(원생!$G319="","",원생!$G319),수납!$B:$B,$B$1&amp;"-"&amp;TEXT(4,"00")&amp;"*",수납!$E:$E,""))</f>
        <v/>
      </c>
      <c r="G321" s="14">
        <f>IF(원생!$A319="","",SUMIFS(수납!$F:$F,수납!$C:$C,원생!$A319,수납!$D:$D,IF(원생!$G319="","",원생!$G319),수납!$B:$B,$B$1&amp;"-"&amp;TEXT(5,"00")&amp;"*",수납!$E:$E,"수강료")+SUMIFS(수납!$F:$F,수납!$C:$C,원생!$A319,수납!$D:$D,IF(원생!$G319="","",원생!$G319),수납!$B:$B,$B$1&amp;"-"&amp;TEXT(5,"00")&amp;"*",수납!$E:$E,""))</f>
        <v/>
      </c>
      <c r="H321" s="14">
        <f>IF(원생!$A319="","",SUMIFS(수납!$F:$F,수납!$C:$C,원생!$A319,수납!$D:$D,IF(원생!$G319="","",원생!$G319),수납!$B:$B,$B$1&amp;"-"&amp;TEXT(6,"00")&amp;"*",수납!$E:$E,"수강료")+SUMIFS(수납!$F:$F,수납!$C:$C,원생!$A319,수납!$D:$D,IF(원생!$G319="","",원생!$G319),수납!$B:$B,$B$1&amp;"-"&amp;TEXT(6,"00")&amp;"*",수납!$E:$E,""))</f>
        <v/>
      </c>
      <c r="I321" s="14">
        <f>IF(원생!$A319="","",SUMIFS(수납!$F:$F,수납!$C:$C,원생!$A319,수납!$D:$D,IF(원생!$G319="","",원생!$G319),수납!$B:$B,$B$1&amp;"-"&amp;TEXT(7,"00")&amp;"*",수납!$E:$E,"수강료")+SUMIFS(수납!$F:$F,수납!$C:$C,원생!$A319,수납!$D:$D,IF(원생!$G319="","",원생!$G319),수납!$B:$B,$B$1&amp;"-"&amp;TEXT(7,"00")&amp;"*",수납!$E:$E,""))</f>
        <v/>
      </c>
      <c r="J321" s="14">
        <f>IF(원생!$A319="","",SUMIFS(수납!$F:$F,수납!$C:$C,원생!$A319,수납!$D:$D,IF(원생!$G319="","",원생!$G319),수납!$B:$B,$B$1&amp;"-"&amp;TEXT(8,"00")&amp;"*",수납!$E:$E,"수강료")+SUMIFS(수납!$F:$F,수납!$C:$C,원생!$A319,수납!$D:$D,IF(원생!$G319="","",원생!$G319),수납!$B:$B,$B$1&amp;"-"&amp;TEXT(8,"00")&amp;"*",수납!$E:$E,""))</f>
        <v/>
      </c>
      <c r="K321" s="14">
        <f>IF(원생!$A319="","",SUMIFS(수납!$F:$F,수납!$C:$C,원생!$A319,수납!$D:$D,IF(원생!$G319="","",원생!$G319),수납!$B:$B,$B$1&amp;"-"&amp;TEXT(9,"00")&amp;"*",수납!$E:$E,"수강료")+SUMIFS(수납!$F:$F,수납!$C:$C,원생!$A319,수납!$D:$D,IF(원생!$G319="","",원생!$G319),수납!$B:$B,$B$1&amp;"-"&amp;TEXT(9,"00")&amp;"*",수납!$E:$E,""))</f>
        <v/>
      </c>
      <c r="L321" s="14">
        <f>IF(원생!$A319="","",SUMIFS(수납!$F:$F,수납!$C:$C,원생!$A319,수납!$D:$D,IF(원생!$G319="","",원생!$G319),수납!$B:$B,$B$1&amp;"-"&amp;TEXT(10,"00")&amp;"*",수납!$E:$E,"수강료")+SUMIFS(수납!$F:$F,수납!$C:$C,원생!$A319,수납!$D:$D,IF(원생!$G319="","",원생!$G319),수납!$B:$B,$B$1&amp;"-"&amp;TEXT(10,"00")&amp;"*",수납!$E:$E,""))</f>
        <v/>
      </c>
      <c r="M321" s="14">
        <f>IF(원생!$A319="","",SUMIFS(수납!$F:$F,수납!$C:$C,원생!$A319,수납!$D:$D,IF(원생!$G319="","",원생!$G319),수납!$B:$B,$B$1&amp;"-"&amp;TEXT(11,"00")&amp;"*",수납!$E:$E,"수강료")+SUMIFS(수납!$F:$F,수납!$C:$C,원생!$A319,수납!$D:$D,IF(원생!$G319="","",원생!$G319),수납!$B:$B,$B$1&amp;"-"&amp;TEXT(11,"00")&amp;"*",수납!$E:$E,""))</f>
        <v/>
      </c>
      <c r="N321" s="14">
        <f>IF(원생!$A319="","",SUMIFS(수납!$F:$F,수납!$C:$C,원생!$A319,수납!$D:$D,IF(원생!$G319="","",원생!$G319),수납!$B:$B,$B$1&amp;"-"&amp;TEXT(12,"00")&amp;"*",수납!$E:$E,"수강료")+SUMIFS(수납!$F:$F,수납!$C:$C,원생!$A319,수납!$D:$D,IF(원생!$G319="","",원생!$G319),수납!$B:$B,$B$1&amp;"-"&amp;TEXT(12,"00")&amp;"*",수납!$E:$E,""))</f>
        <v/>
      </c>
      <c r="O321">
        <f>IF(원생!$I319="","",원생!$I319)</f>
        <v/>
      </c>
      <c r="P321">
        <f>IF($A321="","",IF(AND($B321&gt;0,C321&lt;$B321,DATE($B$1,1,1)&lt;=TODAY(),OR($O321="",$O321&gt;=DATE($B$1,1,1)),OR(COUNTIF($C321:C321,"&gt;0")&gt;0,DATE($B$1,1,1)=DATE(YEAR(TODAY()),MONTH(TODAY()),1))),1,0))</f>
        <v/>
      </c>
      <c r="Q321">
        <f>IF($A321="","",IF(AND($B321&gt;0,D321&lt;$B321,DATE($B$1,2,1)&lt;=TODAY(),OR($O321="",$O321&gt;=DATE($B$1,2,1)),OR(COUNTIF($C321:D321,"&gt;0")&gt;0,DATE($B$1,2,1)=DATE(YEAR(TODAY()),MONTH(TODAY()),1))),1,0))</f>
        <v/>
      </c>
      <c r="R321">
        <f>IF($A321="","",IF(AND($B321&gt;0,E321&lt;$B321,DATE($B$1,3,1)&lt;=TODAY(),OR($O321="",$O321&gt;=DATE($B$1,3,1)),OR(COUNTIF($C321:E321,"&gt;0")&gt;0,DATE($B$1,3,1)=DATE(YEAR(TODAY()),MONTH(TODAY()),1))),1,0))</f>
        <v/>
      </c>
      <c r="S321">
        <f>IF($A321="","",IF(AND($B321&gt;0,F321&lt;$B321,DATE($B$1,4,1)&lt;=TODAY(),OR($O321="",$O321&gt;=DATE($B$1,4,1)),OR(COUNTIF($C321:F321,"&gt;0")&gt;0,DATE($B$1,4,1)=DATE(YEAR(TODAY()),MONTH(TODAY()),1))),1,0))</f>
        <v/>
      </c>
      <c r="T321">
        <f>IF($A321="","",IF(AND($B321&gt;0,G321&lt;$B321,DATE($B$1,5,1)&lt;=TODAY(),OR($O321="",$O321&gt;=DATE($B$1,5,1)),OR(COUNTIF($C321:G321,"&gt;0")&gt;0,DATE($B$1,5,1)=DATE(YEAR(TODAY()),MONTH(TODAY()),1))),1,0))</f>
        <v/>
      </c>
      <c r="U321">
        <f>IF($A321="","",IF(AND($B321&gt;0,H321&lt;$B321,DATE($B$1,6,1)&lt;=TODAY(),OR($O321="",$O321&gt;=DATE($B$1,6,1)),OR(COUNTIF($C321:H321,"&gt;0")&gt;0,DATE($B$1,6,1)=DATE(YEAR(TODAY()),MONTH(TODAY()),1))),1,0))</f>
        <v/>
      </c>
      <c r="V321">
        <f>IF($A321="","",IF(AND($B321&gt;0,I321&lt;$B321,DATE($B$1,7,1)&lt;=TODAY(),OR($O321="",$O321&gt;=DATE($B$1,7,1)),OR(COUNTIF($C321:I321,"&gt;0")&gt;0,DATE($B$1,7,1)=DATE(YEAR(TODAY()),MONTH(TODAY()),1))),1,0))</f>
        <v/>
      </c>
      <c r="W321">
        <f>IF($A321="","",IF(AND($B321&gt;0,J321&lt;$B321,DATE($B$1,8,1)&lt;=TODAY(),OR($O321="",$O321&gt;=DATE($B$1,8,1)),OR(COUNTIF($C321:J321,"&gt;0")&gt;0,DATE($B$1,8,1)=DATE(YEAR(TODAY()),MONTH(TODAY()),1))),1,0))</f>
        <v/>
      </c>
      <c r="X321">
        <f>IF($A321="","",IF(AND($B321&gt;0,K321&lt;$B321,DATE($B$1,9,1)&lt;=TODAY(),OR($O321="",$O321&gt;=DATE($B$1,9,1)),OR(COUNTIF($C321:K321,"&gt;0")&gt;0,DATE($B$1,9,1)=DATE(YEAR(TODAY()),MONTH(TODAY()),1))),1,0))</f>
        <v/>
      </c>
      <c r="Y321">
        <f>IF($A321="","",IF(AND($B321&gt;0,L321&lt;$B321,DATE($B$1,10,1)&lt;=TODAY(),OR($O321="",$O321&gt;=DATE($B$1,10,1)),OR(COUNTIF($C321:L321,"&gt;0")&gt;0,DATE($B$1,10,1)=DATE(YEAR(TODAY()),MONTH(TODAY()),1))),1,0))</f>
        <v/>
      </c>
      <c r="Z321">
        <f>IF($A321="","",IF(AND($B321&gt;0,M321&lt;$B321,DATE($B$1,11,1)&lt;=TODAY(),OR($O321="",$O321&gt;=DATE($B$1,11,1)),OR(COUNTIF($C321:M321,"&gt;0")&gt;0,DATE($B$1,11,1)=DATE(YEAR(TODAY()),MONTH(TODAY()),1))),1,0))</f>
        <v/>
      </c>
      <c r="AA321">
        <f>IF($A321="","",IF(AND($B321&gt;0,N321&lt;$B321,DATE($B$1,12,1)&lt;=TODAY(),OR($O321="",$O321&gt;=DATE($B$1,12,1)),OR(COUNTIF($C321:N321,"&gt;0")&gt;0,DATE($B$1,12,1)=DATE(YEAR(TODAY()),MONTH(TODAY()),1))),1,0))</f>
        <v/>
      </c>
    </row>
    <row r="322">
      <c r="A322" s="13">
        <f>IF(원생!$A320="","",원생!$A320&amp;IF(원생!$G320="",""," ("&amp;원생!$G320&amp;")"))</f>
        <v/>
      </c>
      <c r="B322" s="8">
        <f>IF(원생!$A320="","",원생!$F320)</f>
        <v/>
      </c>
      <c r="C322" s="14">
        <f>IF(원생!$A320="","",SUMIFS(수납!$F:$F,수납!$C:$C,원생!$A320,수납!$D:$D,IF(원생!$G320="","",원생!$G320),수납!$B:$B,$B$1&amp;"-"&amp;TEXT(1,"00")&amp;"*",수납!$E:$E,"수강료")+SUMIFS(수납!$F:$F,수납!$C:$C,원생!$A320,수납!$D:$D,IF(원생!$G320="","",원생!$G320),수납!$B:$B,$B$1&amp;"-"&amp;TEXT(1,"00")&amp;"*",수납!$E:$E,""))</f>
        <v/>
      </c>
      <c r="D322" s="14">
        <f>IF(원생!$A320="","",SUMIFS(수납!$F:$F,수납!$C:$C,원생!$A320,수납!$D:$D,IF(원생!$G320="","",원생!$G320),수납!$B:$B,$B$1&amp;"-"&amp;TEXT(2,"00")&amp;"*",수납!$E:$E,"수강료")+SUMIFS(수납!$F:$F,수납!$C:$C,원생!$A320,수납!$D:$D,IF(원생!$G320="","",원생!$G320),수납!$B:$B,$B$1&amp;"-"&amp;TEXT(2,"00")&amp;"*",수납!$E:$E,""))</f>
        <v/>
      </c>
      <c r="E322" s="14">
        <f>IF(원생!$A320="","",SUMIFS(수납!$F:$F,수납!$C:$C,원생!$A320,수납!$D:$D,IF(원생!$G320="","",원생!$G320),수납!$B:$B,$B$1&amp;"-"&amp;TEXT(3,"00")&amp;"*",수납!$E:$E,"수강료")+SUMIFS(수납!$F:$F,수납!$C:$C,원생!$A320,수납!$D:$D,IF(원생!$G320="","",원생!$G320),수납!$B:$B,$B$1&amp;"-"&amp;TEXT(3,"00")&amp;"*",수납!$E:$E,""))</f>
        <v/>
      </c>
      <c r="F322" s="14">
        <f>IF(원생!$A320="","",SUMIFS(수납!$F:$F,수납!$C:$C,원생!$A320,수납!$D:$D,IF(원생!$G320="","",원생!$G320),수납!$B:$B,$B$1&amp;"-"&amp;TEXT(4,"00")&amp;"*",수납!$E:$E,"수강료")+SUMIFS(수납!$F:$F,수납!$C:$C,원생!$A320,수납!$D:$D,IF(원생!$G320="","",원생!$G320),수납!$B:$B,$B$1&amp;"-"&amp;TEXT(4,"00")&amp;"*",수납!$E:$E,""))</f>
        <v/>
      </c>
      <c r="G322" s="14">
        <f>IF(원생!$A320="","",SUMIFS(수납!$F:$F,수납!$C:$C,원생!$A320,수납!$D:$D,IF(원생!$G320="","",원생!$G320),수납!$B:$B,$B$1&amp;"-"&amp;TEXT(5,"00")&amp;"*",수납!$E:$E,"수강료")+SUMIFS(수납!$F:$F,수납!$C:$C,원생!$A320,수납!$D:$D,IF(원생!$G320="","",원생!$G320),수납!$B:$B,$B$1&amp;"-"&amp;TEXT(5,"00")&amp;"*",수납!$E:$E,""))</f>
        <v/>
      </c>
      <c r="H322" s="14">
        <f>IF(원생!$A320="","",SUMIFS(수납!$F:$F,수납!$C:$C,원생!$A320,수납!$D:$D,IF(원생!$G320="","",원생!$G320),수납!$B:$B,$B$1&amp;"-"&amp;TEXT(6,"00")&amp;"*",수납!$E:$E,"수강료")+SUMIFS(수납!$F:$F,수납!$C:$C,원생!$A320,수납!$D:$D,IF(원생!$G320="","",원생!$G320),수납!$B:$B,$B$1&amp;"-"&amp;TEXT(6,"00")&amp;"*",수납!$E:$E,""))</f>
        <v/>
      </c>
      <c r="I322" s="14">
        <f>IF(원생!$A320="","",SUMIFS(수납!$F:$F,수납!$C:$C,원생!$A320,수납!$D:$D,IF(원생!$G320="","",원생!$G320),수납!$B:$B,$B$1&amp;"-"&amp;TEXT(7,"00")&amp;"*",수납!$E:$E,"수강료")+SUMIFS(수납!$F:$F,수납!$C:$C,원생!$A320,수납!$D:$D,IF(원생!$G320="","",원생!$G320),수납!$B:$B,$B$1&amp;"-"&amp;TEXT(7,"00")&amp;"*",수납!$E:$E,""))</f>
        <v/>
      </c>
      <c r="J322" s="14">
        <f>IF(원생!$A320="","",SUMIFS(수납!$F:$F,수납!$C:$C,원생!$A320,수납!$D:$D,IF(원생!$G320="","",원생!$G320),수납!$B:$B,$B$1&amp;"-"&amp;TEXT(8,"00")&amp;"*",수납!$E:$E,"수강료")+SUMIFS(수납!$F:$F,수납!$C:$C,원생!$A320,수납!$D:$D,IF(원생!$G320="","",원생!$G320),수납!$B:$B,$B$1&amp;"-"&amp;TEXT(8,"00")&amp;"*",수납!$E:$E,""))</f>
        <v/>
      </c>
      <c r="K322" s="14">
        <f>IF(원생!$A320="","",SUMIFS(수납!$F:$F,수납!$C:$C,원생!$A320,수납!$D:$D,IF(원생!$G320="","",원생!$G320),수납!$B:$B,$B$1&amp;"-"&amp;TEXT(9,"00")&amp;"*",수납!$E:$E,"수강료")+SUMIFS(수납!$F:$F,수납!$C:$C,원생!$A320,수납!$D:$D,IF(원생!$G320="","",원생!$G320),수납!$B:$B,$B$1&amp;"-"&amp;TEXT(9,"00")&amp;"*",수납!$E:$E,""))</f>
        <v/>
      </c>
      <c r="L322" s="14">
        <f>IF(원생!$A320="","",SUMIFS(수납!$F:$F,수납!$C:$C,원생!$A320,수납!$D:$D,IF(원생!$G320="","",원생!$G320),수납!$B:$B,$B$1&amp;"-"&amp;TEXT(10,"00")&amp;"*",수납!$E:$E,"수강료")+SUMIFS(수납!$F:$F,수납!$C:$C,원생!$A320,수납!$D:$D,IF(원생!$G320="","",원생!$G320),수납!$B:$B,$B$1&amp;"-"&amp;TEXT(10,"00")&amp;"*",수납!$E:$E,""))</f>
        <v/>
      </c>
      <c r="M322" s="14">
        <f>IF(원생!$A320="","",SUMIFS(수납!$F:$F,수납!$C:$C,원생!$A320,수납!$D:$D,IF(원생!$G320="","",원생!$G320),수납!$B:$B,$B$1&amp;"-"&amp;TEXT(11,"00")&amp;"*",수납!$E:$E,"수강료")+SUMIFS(수납!$F:$F,수납!$C:$C,원생!$A320,수납!$D:$D,IF(원생!$G320="","",원생!$G320),수납!$B:$B,$B$1&amp;"-"&amp;TEXT(11,"00")&amp;"*",수납!$E:$E,""))</f>
        <v/>
      </c>
      <c r="N322" s="14">
        <f>IF(원생!$A320="","",SUMIFS(수납!$F:$F,수납!$C:$C,원생!$A320,수납!$D:$D,IF(원생!$G320="","",원생!$G320),수납!$B:$B,$B$1&amp;"-"&amp;TEXT(12,"00")&amp;"*",수납!$E:$E,"수강료")+SUMIFS(수납!$F:$F,수납!$C:$C,원생!$A320,수납!$D:$D,IF(원생!$G320="","",원생!$G320),수납!$B:$B,$B$1&amp;"-"&amp;TEXT(12,"00")&amp;"*",수납!$E:$E,""))</f>
        <v/>
      </c>
      <c r="O322">
        <f>IF(원생!$I320="","",원생!$I320)</f>
        <v/>
      </c>
      <c r="P322">
        <f>IF($A322="","",IF(AND($B322&gt;0,C322&lt;$B322,DATE($B$1,1,1)&lt;=TODAY(),OR($O322="",$O322&gt;=DATE($B$1,1,1)),OR(COUNTIF($C322:C322,"&gt;0")&gt;0,DATE($B$1,1,1)=DATE(YEAR(TODAY()),MONTH(TODAY()),1))),1,0))</f>
        <v/>
      </c>
      <c r="Q322">
        <f>IF($A322="","",IF(AND($B322&gt;0,D322&lt;$B322,DATE($B$1,2,1)&lt;=TODAY(),OR($O322="",$O322&gt;=DATE($B$1,2,1)),OR(COUNTIF($C322:D322,"&gt;0")&gt;0,DATE($B$1,2,1)=DATE(YEAR(TODAY()),MONTH(TODAY()),1))),1,0))</f>
        <v/>
      </c>
      <c r="R322">
        <f>IF($A322="","",IF(AND($B322&gt;0,E322&lt;$B322,DATE($B$1,3,1)&lt;=TODAY(),OR($O322="",$O322&gt;=DATE($B$1,3,1)),OR(COUNTIF($C322:E322,"&gt;0")&gt;0,DATE($B$1,3,1)=DATE(YEAR(TODAY()),MONTH(TODAY()),1))),1,0))</f>
        <v/>
      </c>
      <c r="S322">
        <f>IF($A322="","",IF(AND($B322&gt;0,F322&lt;$B322,DATE($B$1,4,1)&lt;=TODAY(),OR($O322="",$O322&gt;=DATE($B$1,4,1)),OR(COUNTIF($C322:F322,"&gt;0")&gt;0,DATE($B$1,4,1)=DATE(YEAR(TODAY()),MONTH(TODAY()),1))),1,0))</f>
        <v/>
      </c>
      <c r="T322">
        <f>IF($A322="","",IF(AND($B322&gt;0,G322&lt;$B322,DATE($B$1,5,1)&lt;=TODAY(),OR($O322="",$O322&gt;=DATE($B$1,5,1)),OR(COUNTIF($C322:G322,"&gt;0")&gt;0,DATE($B$1,5,1)=DATE(YEAR(TODAY()),MONTH(TODAY()),1))),1,0))</f>
        <v/>
      </c>
      <c r="U322">
        <f>IF($A322="","",IF(AND($B322&gt;0,H322&lt;$B322,DATE($B$1,6,1)&lt;=TODAY(),OR($O322="",$O322&gt;=DATE($B$1,6,1)),OR(COUNTIF($C322:H322,"&gt;0")&gt;0,DATE($B$1,6,1)=DATE(YEAR(TODAY()),MONTH(TODAY()),1))),1,0))</f>
        <v/>
      </c>
      <c r="V322">
        <f>IF($A322="","",IF(AND($B322&gt;0,I322&lt;$B322,DATE($B$1,7,1)&lt;=TODAY(),OR($O322="",$O322&gt;=DATE($B$1,7,1)),OR(COUNTIF($C322:I322,"&gt;0")&gt;0,DATE($B$1,7,1)=DATE(YEAR(TODAY()),MONTH(TODAY()),1))),1,0))</f>
        <v/>
      </c>
      <c r="W322">
        <f>IF($A322="","",IF(AND($B322&gt;0,J322&lt;$B322,DATE($B$1,8,1)&lt;=TODAY(),OR($O322="",$O322&gt;=DATE($B$1,8,1)),OR(COUNTIF($C322:J322,"&gt;0")&gt;0,DATE($B$1,8,1)=DATE(YEAR(TODAY()),MONTH(TODAY()),1))),1,0))</f>
        <v/>
      </c>
      <c r="X322">
        <f>IF($A322="","",IF(AND($B322&gt;0,K322&lt;$B322,DATE($B$1,9,1)&lt;=TODAY(),OR($O322="",$O322&gt;=DATE($B$1,9,1)),OR(COUNTIF($C322:K322,"&gt;0")&gt;0,DATE($B$1,9,1)=DATE(YEAR(TODAY()),MONTH(TODAY()),1))),1,0))</f>
        <v/>
      </c>
      <c r="Y322">
        <f>IF($A322="","",IF(AND($B322&gt;0,L322&lt;$B322,DATE($B$1,10,1)&lt;=TODAY(),OR($O322="",$O322&gt;=DATE($B$1,10,1)),OR(COUNTIF($C322:L322,"&gt;0")&gt;0,DATE($B$1,10,1)=DATE(YEAR(TODAY()),MONTH(TODAY()),1))),1,0))</f>
        <v/>
      </c>
      <c r="Z322">
        <f>IF($A322="","",IF(AND($B322&gt;0,M322&lt;$B322,DATE($B$1,11,1)&lt;=TODAY(),OR($O322="",$O322&gt;=DATE($B$1,11,1)),OR(COUNTIF($C322:M322,"&gt;0")&gt;0,DATE($B$1,11,1)=DATE(YEAR(TODAY()),MONTH(TODAY()),1))),1,0))</f>
        <v/>
      </c>
      <c r="AA322">
        <f>IF($A322="","",IF(AND($B322&gt;0,N322&lt;$B322,DATE($B$1,12,1)&lt;=TODAY(),OR($O322="",$O322&gt;=DATE($B$1,12,1)),OR(COUNTIF($C322:N322,"&gt;0")&gt;0,DATE($B$1,12,1)=DATE(YEAR(TODAY()),MONTH(TODAY()),1))),1,0))</f>
        <v/>
      </c>
    </row>
    <row r="323">
      <c r="A323" s="13">
        <f>IF(원생!$A321="","",원생!$A321&amp;IF(원생!$G321="",""," ("&amp;원생!$G321&amp;")"))</f>
        <v/>
      </c>
      <c r="B323" s="8">
        <f>IF(원생!$A321="","",원생!$F321)</f>
        <v/>
      </c>
      <c r="C323" s="14">
        <f>IF(원생!$A321="","",SUMIFS(수납!$F:$F,수납!$C:$C,원생!$A321,수납!$D:$D,IF(원생!$G321="","",원생!$G321),수납!$B:$B,$B$1&amp;"-"&amp;TEXT(1,"00")&amp;"*",수납!$E:$E,"수강료")+SUMIFS(수납!$F:$F,수납!$C:$C,원생!$A321,수납!$D:$D,IF(원생!$G321="","",원생!$G321),수납!$B:$B,$B$1&amp;"-"&amp;TEXT(1,"00")&amp;"*",수납!$E:$E,""))</f>
        <v/>
      </c>
      <c r="D323" s="14">
        <f>IF(원생!$A321="","",SUMIFS(수납!$F:$F,수납!$C:$C,원생!$A321,수납!$D:$D,IF(원생!$G321="","",원생!$G321),수납!$B:$B,$B$1&amp;"-"&amp;TEXT(2,"00")&amp;"*",수납!$E:$E,"수강료")+SUMIFS(수납!$F:$F,수납!$C:$C,원생!$A321,수납!$D:$D,IF(원생!$G321="","",원생!$G321),수납!$B:$B,$B$1&amp;"-"&amp;TEXT(2,"00")&amp;"*",수납!$E:$E,""))</f>
        <v/>
      </c>
      <c r="E323" s="14">
        <f>IF(원생!$A321="","",SUMIFS(수납!$F:$F,수납!$C:$C,원생!$A321,수납!$D:$D,IF(원생!$G321="","",원생!$G321),수납!$B:$B,$B$1&amp;"-"&amp;TEXT(3,"00")&amp;"*",수납!$E:$E,"수강료")+SUMIFS(수납!$F:$F,수납!$C:$C,원생!$A321,수납!$D:$D,IF(원생!$G321="","",원생!$G321),수납!$B:$B,$B$1&amp;"-"&amp;TEXT(3,"00")&amp;"*",수납!$E:$E,""))</f>
        <v/>
      </c>
      <c r="F323" s="14">
        <f>IF(원생!$A321="","",SUMIFS(수납!$F:$F,수납!$C:$C,원생!$A321,수납!$D:$D,IF(원생!$G321="","",원생!$G321),수납!$B:$B,$B$1&amp;"-"&amp;TEXT(4,"00")&amp;"*",수납!$E:$E,"수강료")+SUMIFS(수납!$F:$F,수납!$C:$C,원생!$A321,수납!$D:$D,IF(원생!$G321="","",원생!$G321),수납!$B:$B,$B$1&amp;"-"&amp;TEXT(4,"00")&amp;"*",수납!$E:$E,""))</f>
        <v/>
      </c>
      <c r="G323" s="14">
        <f>IF(원생!$A321="","",SUMIFS(수납!$F:$F,수납!$C:$C,원생!$A321,수납!$D:$D,IF(원생!$G321="","",원생!$G321),수납!$B:$B,$B$1&amp;"-"&amp;TEXT(5,"00")&amp;"*",수납!$E:$E,"수강료")+SUMIFS(수납!$F:$F,수납!$C:$C,원생!$A321,수납!$D:$D,IF(원생!$G321="","",원생!$G321),수납!$B:$B,$B$1&amp;"-"&amp;TEXT(5,"00")&amp;"*",수납!$E:$E,""))</f>
        <v/>
      </c>
      <c r="H323" s="14">
        <f>IF(원생!$A321="","",SUMIFS(수납!$F:$F,수납!$C:$C,원생!$A321,수납!$D:$D,IF(원생!$G321="","",원생!$G321),수납!$B:$B,$B$1&amp;"-"&amp;TEXT(6,"00")&amp;"*",수납!$E:$E,"수강료")+SUMIFS(수납!$F:$F,수납!$C:$C,원생!$A321,수납!$D:$D,IF(원생!$G321="","",원생!$G321),수납!$B:$B,$B$1&amp;"-"&amp;TEXT(6,"00")&amp;"*",수납!$E:$E,""))</f>
        <v/>
      </c>
      <c r="I323" s="14">
        <f>IF(원생!$A321="","",SUMIFS(수납!$F:$F,수납!$C:$C,원생!$A321,수납!$D:$D,IF(원생!$G321="","",원생!$G321),수납!$B:$B,$B$1&amp;"-"&amp;TEXT(7,"00")&amp;"*",수납!$E:$E,"수강료")+SUMIFS(수납!$F:$F,수납!$C:$C,원생!$A321,수납!$D:$D,IF(원생!$G321="","",원생!$G321),수납!$B:$B,$B$1&amp;"-"&amp;TEXT(7,"00")&amp;"*",수납!$E:$E,""))</f>
        <v/>
      </c>
      <c r="J323" s="14">
        <f>IF(원생!$A321="","",SUMIFS(수납!$F:$F,수납!$C:$C,원생!$A321,수납!$D:$D,IF(원생!$G321="","",원생!$G321),수납!$B:$B,$B$1&amp;"-"&amp;TEXT(8,"00")&amp;"*",수납!$E:$E,"수강료")+SUMIFS(수납!$F:$F,수납!$C:$C,원생!$A321,수납!$D:$D,IF(원생!$G321="","",원생!$G321),수납!$B:$B,$B$1&amp;"-"&amp;TEXT(8,"00")&amp;"*",수납!$E:$E,""))</f>
        <v/>
      </c>
      <c r="K323" s="14">
        <f>IF(원생!$A321="","",SUMIFS(수납!$F:$F,수납!$C:$C,원생!$A321,수납!$D:$D,IF(원생!$G321="","",원생!$G321),수납!$B:$B,$B$1&amp;"-"&amp;TEXT(9,"00")&amp;"*",수납!$E:$E,"수강료")+SUMIFS(수납!$F:$F,수납!$C:$C,원생!$A321,수납!$D:$D,IF(원생!$G321="","",원생!$G321),수납!$B:$B,$B$1&amp;"-"&amp;TEXT(9,"00")&amp;"*",수납!$E:$E,""))</f>
        <v/>
      </c>
      <c r="L323" s="14">
        <f>IF(원생!$A321="","",SUMIFS(수납!$F:$F,수납!$C:$C,원생!$A321,수납!$D:$D,IF(원생!$G321="","",원생!$G321),수납!$B:$B,$B$1&amp;"-"&amp;TEXT(10,"00")&amp;"*",수납!$E:$E,"수강료")+SUMIFS(수납!$F:$F,수납!$C:$C,원생!$A321,수납!$D:$D,IF(원생!$G321="","",원생!$G321),수납!$B:$B,$B$1&amp;"-"&amp;TEXT(10,"00")&amp;"*",수납!$E:$E,""))</f>
        <v/>
      </c>
      <c r="M323" s="14">
        <f>IF(원생!$A321="","",SUMIFS(수납!$F:$F,수납!$C:$C,원생!$A321,수납!$D:$D,IF(원생!$G321="","",원생!$G321),수납!$B:$B,$B$1&amp;"-"&amp;TEXT(11,"00")&amp;"*",수납!$E:$E,"수강료")+SUMIFS(수납!$F:$F,수납!$C:$C,원생!$A321,수납!$D:$D,IF(원생!$G321="","",원생!$G321),수납!$B:$B,$B$1&amp;"-"&amp;TEXT(11,"00")&amp;"*",수납!$E:$E,""))</f>
        <v/>
      </c>
      <c r="N323" s="14">
        <f>IF(원생!$A321="","",SUMIFS(수납!$F:$F,수납!$C:$C,원생!$A321,수납!$D:$D,IF(원생!$G321="","",원생!$G321),수납!$B:$B,$B$1&amp;"-"&amp;TEXT(12,"00")&amp;"*",수납!$E:$E,"수강료")+SUMIFS(수납!$F:$F,수납!$C:$C,원생!$A321,수납!$D:$D,IF(원생!$G321="","",원생!$G321),수납!$B:$B,$B$1&amp;"-"&amp;TEXT(12,"00")&amp;"*",수납!$E:$E,""))</f>
        <v/>
      </c>
      <c r="O323">
        <f>IF(원생!$I321="","",원생!$I321)</f>
        <v/>
      </c>
      <c r="P323">
        <f>IF($A323="","",IF(AND($B323&gt;0,C323&lt;$B323,DATE($B$1,1,1)&lt;=TODAY(),OR($O323="",$O323&gt;=DATE($B$1,1,1)),OR(COUNTIF($C323:C323,"&gt;0")&gt;0,DATE($B$1,1,1)=DATE(YEAR(TODAY()),MONTH(TODAY()),1))),1,0))</f>
        <v/>
      </c>
      <c r="Q323">
        <f>IF($A323="","",IF(AND($B323&gt;0,D323&lt;$B323,DATE($B$1,2,1)&lt;=TODAY(),OR($O323="",$O323&gt;=DATE($B$1,2,1)),OR(COUNTIF($C323:D323,"&gt;0")&gt;0,DATE($B$1,2,1)=DATE(YEAR(TODAY()),MONTH(TODAY()),1))),1,0))</f>
        <v/>
      </c>
      <c r="R323">
        <f>IF($A323="","",IF(AND($B323&gt;0,E323&lt;$B323,DATE($B$1,3,1)&lt;=TODAY(),OR($O323="",$O323&gt;=DATE($B$1,3,1)),OR(COUNTIF($C323:E323,"&gt;0")&gt;0,DATE($B$1,3,1)=DATE(YEAR(TODAY()),MONTH(TODAY()),1))),1,0))</f>
        <v/>
      </c>
      <c r="S323">
        <f>IF($A323="","",IF(AND($B323&gt;0,F323&lt;$B323,DATE($B$1,4,1)&lt;=TODAY(),OR($O323="",$O323&gt;=DATE($B$1,4,1)),OR(COUNTIF($C323:F323,"&gt;0")&gt;0,DATE($B$1,4,1)=DATE(YEAR(TODAY()),MONTH(TODAY()),1))),1,0))</f>
        <v/>
      </c>
      <c r="T323">
        <f>IF($A323="","",IF(AND($B323&gt;0,G323&lt;$B323,DATE($B$1,5,1)&lt;=TODAY(),OR($O323="",$O323&gt;=DATE($B$1,5,1)),OR(COUNTIF($C323:G323,"&gt;0")&gt;0,DATE($B$1,5,1)=DATE(YEAR(TODAY()),MONTH(TODAY()),1))),1,0))</f>
        <v/>
      </c>
      <c r="U323">
        <f>IF($A323="","",IF(AND($B323&gt;0,H323&lt;$B323,DATE($B$1,6,1)&lt;=TODAY(),OR($O323="",$O323&gt;=DATE($B$1,6,1)),OR(COUNTIF($C323:H323,"&gt;0")&gt;0,DATE($B$1,6,1)=DATE(YEAR(TODAY()),MONTH(TODAY()),1))),1,0))</f>
        <v/>
      </c>
      <c r="V323">
        <f>IF($A323="","",IF(AND($B323&gt;0,I323&lt;$B323,DATE($B$1,7,1)&lt;=TODAY(),OR($O323="",$O323&gt;=DATE($B$1,7,1)),OR(COUNTIF($C323:I323,"&gt;0")&gt;0,DATE($B$1,7,1)=DATE(YEAR(TODAY()),MONTH(TODAY()),1))),1,0))</f>
        <v/>
      </c>
      <c r="W323">
        <f>IF($A323="","",IF(AND($B323&gt;0,J323&lt;$B323,DATE($B$1,8,1)&lt;=TODAY(),OR($O323="",$O323&gt;=DATE($B$1,8,1)),OR(COUNTIF($C323:J323,"&gt;0")&gt;0,DATE($B$1,8,1)=DATE(YEAR(TODAY()),MONTH(TODAY()),1))),1,0))</f>
        <v/>
      </c>
      <c r="X323">
        <f>IF($A323="","",IF(AND($B323&gt;0,K323&lt;$B323,DATE($B$1,9,1)&lt;=TODAY(),OR($O323="",$O323&gt;=DATE($B$1,9,1)),OR(COUNTIF($C323:K323,"&gt;0")&gt;0,DATE($B$1,9,1)=DATE(YEAR(TODAY()),MONTH(TODAY()),1))),1,0))</f>
        <v/>
      </c>
      <c r="Y323">
        <f>IF($A323="","",IF(AND($B323&gt;0,L323&lt;$B323,DATE($B$1,10,1)&lt;=TODAY(),OR($O323="",$O323&gt;=DATE($B$1,10,1)),OR(COUNTIF($C323:L323,"&gt;0")&gt;0,DATE($B$1,10,1)=DATE(YEAR(TODAY()),MONTH(TODAY()),1))),1,0))</f>
        <v/>
      </c>
      <c r="Z323">
        <f>IF($A323="","",IF(AND($B323&gt;0,M323&lt;$B323,DATE($B$1,11,1)&lt;=TODAY(),OR($O323="",$O323&gt;=DATE($B$1,11,1)),OR(COUNTIF($C323:M323,"&gt;0")&gt;0,DATE($B$1,11,1)=DATE(YEAR(TODAY()),MONTH(TODAY()),1))),1,0))</f>
        <v/>
      </c>
      <c r="AA323">
        <f>IF($A323="","",IF(AND($B323&gt;0,N323&lt;$B323,DATE($B$1,12,1)&lt;=TODAY(),OR($O323="",$O323&gt;=DATE($B$1,12,1)),OR(COUNTIF($C323:N323,"&gt;0")&gt;0,DATE($B$1,12,1)=DATE(YEAR(TODAY()),MONTH(TODAY()),1))),1,0))</f>
        <v/>
      </c>
    </row>
    <row r="324">
      <c r="A324" s="13">
        <f>IF(원생!$A322="","",원생!$A322&amp;IF(원생!$G322="",""," ("&amp;원생!$G322&amp;")"))</f>
        <v/>
      </c>
      <c r="B324" s="8">
        <f>IF(원생!$A322="","",원생!$F322)</f>
        <v/>
      </c>
      <c r="C324" s="14">
        <f>IF(원생!$A322="","",SUMIFS(수납!$F:$F,수납!$C:$C,원생!$A322,수납!$D:$D,IF(원생!$G322="","",원생!$G322),수납!$B:$B,$B$1&amp;"-"&amp;TEXT(1,"00")&amp;"*",수납!$E:$E,"수강료")+SUMIFS(수납!$F:$F,수납!$C:$C,원생!$A322,수납!$D:$D,IF(원생!$G322="","",원생!$G322),수납!$B:$B,$B$1&amp;"-"&amp;TEXT(1,"00")&amp;"*",수납!$E:$E,""))</f>
        <v/>
      </c>
      <c r="D324" s="14">
        <f>IF(원생!$A322="","",SUMIFS(수납!$F:$F,수납!$C:$C,원생!$A322,수납!$D:$D,IF(원생!$G322="","",원생!$G322),수납!$B:$B,$B$1&amp;"-"&amp;TEXT(2,"00")&amp;"*",수납!$E:$E,"수강료")+SUMIFS(수납!$F:$F,수납!$C:$C,원생!$A322,수납!$D:$D,IF(원생!$G322="","",원생!$G322),수납!$B:$B,$B$1&amp;"-"&amp;TEXT(2,"00")&amp;"*",수납!$E:$E,""))</f>
        <v/>
      </c>
      <c r="E324" s="14">
        <f>IF(원생!$A322="","",SUMIFS(수납!$F:$F,수납!$C:$C,원생!$A322,수납!$D:$D,IF(원생!$G322="","",원생!$G322),수납!$B:$B,$B$1&amp;"-"&amp;TEXT(3,"00")&amp;"*",수납!$E:$E,"수강료")+SUMIFS(수납!$F:$F,수납!$C:$C,원생!$A322,수납!$D:$D,IF(원생!$G322="","",원생!$G322),수납!$B:$B,$B$1&amp;"-"&amp;TEXT(3,"00")&amp;"*",수납!$E:$E,""))</f>
        <v/>
      </c>
      <c r="F324" s="14">
        <f>IF(원생!$A322="","",SUMIFS(수납!$F:$F,수납!$C:$C,원생!$A322,수납!$D:$D,IF(원생!$G322="","",원생!$G322),수납!$B:$B,$B$1&amp;"-"&amp;TEXT(4,"00")&amp;"*",수납!$E:$E,"수강료")+SUMIFS(수납!$F:$F,수납!$C:$C,원생!$A322,수납!$D:$D,IF(원생!$G322="","",원생!$G322),수납!$B:$B,$B$1&amp;"-"&amp;TEXT(4,"00")&amp;"*",수납!$E:$E,""))</f>
        <v/>
      </c>
      <c r="G324" s="14">
        <f>IF(원생!$A322="","",SUMIFS(수납!$F:$F,수납!$C:$C,원생!$A322,수납!$D:$D,IF(원생!$G322="","",원생!$G322),수납!$B:$B,$B$1&amp;"-"&amp;TEXT(5,"00")&amp;"*",수납!$E:$E,"수강료")+SUMIFS(수납!$F:$F,수납!$C:$C,원생!$A322,수납!$D:$D,IF(원생!$G322="","",원생!$G322),수납!$B:$B,$B$1&amp;"-"&amp;TEXT(5,"00")&amp;"*",수납!$E:$E,""))</f>
        <v/>
      </c>
      <c r="H324" s="14">
        <f>IF(원생!$A322="","",SUMIFS(수납!$F:$F,수납!$C:$C,원생!$A322,수납!$D:$D,IF(원생!$G322="","",원생!$G322),수납!$B:$B,$B$1&amp;"-"&amp;TEXT(6,"00")&amp;"*",수납!$E:$E,"수강료")+SUMIFS(수납!$F:$F,수납!$C:$C,원생!$A322,수납!$D:$D,IF(원생!$G322="","",원생!$G322),수납!$B:$B,$B$1&amp;"-"&amp;TEXT(6,"00")&amp;"*",수납!$E:$E,""))</f>
        <v/>
      </c>
      <c r="I324" s="14">
        <f>IF(원생!$A322="","",SUMIFS(수납!$F:$F,수납!$C:$C,원생!$A322,수납!$D:$D,IF(원생!$G322="","",원생!$G322),수납!$B:$B,$B$1&amp;"-"&amp;TEXT(7,"00")&amp;"*",수납!$E:$E,"수강료")+SUMIFS(수납!$F:$F,수납!$C:$C,원생!$A322,수납!$D:$D,IF(원생!$G322="","",원생!$G322),수납!$B:$B,$B$1&amp;"-"&amp;TEXT(7,"00")&amp;"*",수납!$E:$E,""))</f>
        <v/>
      </c>
      <c r="J324" s="14">
        <f>IF(원생!$A322="","",SUMIFS(수납!$F:$F,수납!$C:$C,원생!$A322,수납!$D:$D,IF(원생!$G322="","",원생!$G322),수납!$B:$B,$B$1&amp;"-"&amp;TEXT(8,"00")&amp;"*",수납!$E:$E,"수강료")+SUMIFS(수납!$F:$F,수납!$C:$C,원생!$A322,수납!$D:$D,IF(원생!$G322="","",원생!$G322),수납!$B:$B,$B$1&amp;"-"&amp;TEXT(8,"00")&amp;"*",수납!$E:$E,""))</f>
        <v/>
      </c>
      <c r="K324" s="14">
        <f>IF(원생!$A322="","",SUMIFS(수납!$F:$F,수납!$C:$C,원생!$A322,수납!$D:$D,IF(원생!$G322="","",원생!$G322),수납!$B:$B,$B$1&amp;"-"&amp;TEXT(9,"00")&amp;"*",수납!$E:$E,"수강료")+SUMIFS(수납!$F:$F,수납!$C:$C,원생!$A322,수납!$D:$D,IF(원생!$G322="","",원생!$G322),수납!$B:$B,$B$1&amp;"-"&amp;TEXT(9,"00")&amp;"*",수납!$E:$E,""))</f>
        <v/>
      </c>
      <c r="L324" s="14">
        <f>IF(원생!$A322="","",SUMIFS(수납!$F:$F,수납!$C:$C,원생!$A322,수납!$D:$D,IF(원생!$G322="","",원생!$G322),수납!$B:$B,$B$1&amp;"-"&amp;TEXT(10,"00")&amp;"*",수납!$E:$E,"수강료")+SUMIFS(수납!$F:$F,수납!$C:$C,원생!$A322,수납!$D:$D,IF(원생!$G322="","",원생!$G322),수납!$B:$B,$B$1&amp;"-"&amp;TEXT(10,"00")&amp;"*",수납!$E:$E,""))</f>
        <v/>
      </c>
      <c r="M324" s="14">
        <f>IF(원생!$A322="","",SUMIFS(수납!$F:$F,수납!$C:$C,원생!$A322,수납!$D:$D,IF(원생!$G322="","",원생!$G322),수납!$B:$B,$B$1&amp;"-"&amp;TEXT(11,"00")&amp;"*",수납!$E:$E,"수강료")+SUMIFS(수납!$F:$F,수납!$C:$C,원생!$A322,수납!$D:$D,IF(원생!$G322="","",원생!$G322),수납!$B:$B,$B$1&amp;"-"&amp;TEXT(11,"00")&amp;"*",수납!$E:$E,""))</f>
        <v/>
      </c>
      <c r="N324" s="14">
        <f>IF(원생!$A322="","",SUMIFS(수납!$F:$F,수납!$C:$C,원생!$A322,수납!$D:$D,IF(원생!$G322="","",원생!$G322),수납!$B:$B,$B$1&amp;"-"&amp;TEXT(12,"00")&amp;"*",수납!$E:$E,"수강료")+SUMIFS(수납!$F:$F,수납!$C:$C,원생!$A322,수납!$D:$D,IF(원생!$G322="","",원생!$G322),수납!$B:$B,$B$1&amp;"-"&amp;TEXT(12,"00")&amp;"*",수납!$E:$E,""))</f>
        <v/>
      </c>
      <c r="O324">
        <f>IF(원생!$I322="","",원생!$I322)</f>
        <v/>
      </c>
      <c r="P324">
        <f>IF($A324="","",IF(AND($B324&gt;0,C324&lt;$B324,DATE($B$1,1,1)&lt;=TODAY(),OR($O324="",$O324&gt;=DATE($B$1,1,1)),OR(COUNTIF($C324:C324,"&gt;0")&gt;0,DATE($B$1,1,1)=DATE(YEAR(TODAY()),MONTH(TODAY()),1))),1,0))</f>
        <v/>
      </c>
      <c r="Q324">
        <f>IF($A324="","",IF(AND($B324&gt;0,D324&lt;$B324,DATE($B$1,2,1)&lt;=TODAY(),OR($O324="",$O324&gt;=DATE($B$1,2,1)),OR(COUNTIF($C324:D324,"&gt;0")&gt;0,DATE($B$1,2,1)=DATE(YEAR(TODAY()),MONTH(TODAY()),1))),1,0))</f>
        <v/>
      </c>
      <c r="R324">
        <f>IF($A324="","",IF(AND($B324&gt;0,E324&lt;$B324,DATE($B$1,3,1)&lt;=TODAY(),OR($O324="",$O324&gt;=DATE($B$1,3,1)),OR(COUNTIF($C324:E324,"&gt;0")&gt;0,DATE($B$1,3,1)=DATE(YEAR(TODAY()),MONTH(TODAY()),1))),1,0))</f>
        <v/>
      </c>
      <c r="S324">
        <f>IF($A324="","",IF(AND($B324&gt;0,F324&lt;$B324,DATE($B$1,4,1)&lt;=TODAY(),OR($O324="",$O324&gt;=DATE($B$1,4,1)),OR(COUNTIF($C324:F324,"&gt;0")&gt;0,DATE($B$1,4,1)=DATE(YEAR(TODAY()),MONTH(TODAY()),1))),1,0))</f>
        <v/>
      </c>
      <c r="T324">
        <f>IF($A324="","",IF(AND($B324&gt;0,G324&lt;$B324,DATE($B$1,5,1)&lt;=TODAY(),OR($O324="",$O324&gt;=DATE($B$1,5,1)),OR(COUNTIF($C324:G324,"&gt;0")&gt;0,DATE($B$1,5,1)=DATE(YEAR(TODAY()),MONTH(TODAY()),1))),1,0))</f>
        <v/>
      </c>
      <c r="U324">
        <f>IF($A324="","",IF(AND($B324&gt;0,H324&lt;$B324,DATE($B$1,6,1)&lt;=TODAY(),OR($O324="",$O324&gt;=DATE($B$1,6,1)),OR(COUNTIF($C324:H324,"&gt;0")&gt;0,DATE($B$1,6,1)=DATE(YEAR(TODAY()),MONTH(TODAY()),1))),1,0))</f>
        <v/>
      </c>
      <c r="V324">
        <f>IF($A324="","",IF(AND($B324&gt;0,I324&lt;$B324,DATE($B$1,7,1)&lt;=TODAY(),OR($O324="",$O324&gt;=DATE($B$1,7,1)),OR(COUNTIF($C324:I324,"&gt;0")&gt;0,DATE($B$1,7,1)=DATE(YEAR(TODAY()),MONTH(TODAY()),1))),1,0))</f>
        <v/>
      </c>
      <c r="W324">
        <f>IF($A324="","",IF(AND($B324&gt;0,J324&lt;$B324,DATE($B$1,8,1)&lt;=TODAY(),OR($O324="",$O324&gt;=DATE($B$1,8,1)),OR(COUNTIF($C324:J324,"&gt;0")&gt;0,DATE($B$1,8,1)=DATE(YEAR(TODAY()),MONTH(TODAY()),1))),1,0))</f>
        <v/>
      </c>
      <c r="X324">
        <f>IF($A324="","",IF(AND($B324&gt;0,K324&lt;$B324,DATE($B$1,9,1)&lt;=TODAY(),OR($O324="",$O324&gt;=DATE($B$1,9,1)),OR(COUNTIF($C324:K324,"&gt;0")&gt;0,DATE($B$1,9,1)=DATE(YEAR(TODAY()),MONTH(TODAY()),1))),1,0))</f>
        <v/>
      </c>
      <c r="Y324">
        <f>IF($A324="","",IF(AND($B324&gt;0,L324&lt;$B324,DATE($B$1,10,1)&lt;=TODAY(),OR($O324="",$O324&gt;=DATE($B$1,10,1)),OR(COUNTIF($C324:L324,"&gt;0")&gt;0,DATE($B$1,10,1)=DATE(YEAR(TODAY()),MONTH(TODAY()),1))),1,0))</f>
        <v/>
      </c>
      <c r="Z324">
        <f>IF($A324="","",IF(AND($B324&gt;0,M324&lt;$B324,DATE($B$1,11,1)&lt;=TODAY(),OR($O324="",$O324&gt;=DATE($B$1,11,1)),OR(COUNTIF($C324:M324,"&gt;0")&gt;0,DATE($B$1,11,1)=DATE(YEAR(TODAY()),MONTH(TODAY()),1))),1,0))</f>
        <v/>
      </c>
      <c r="AA324">
        <f>IF($A324="","",IF(AND($B324&gt;0,N324&lt;$B324,DATE($B$1,12,1)&lt;=TODAY(),OR($O324="",$O324&gt;=DATE($B$1,12,1)),OR(COUNTIF($C324:N324,"&gt;0")&gt;0,DATE($B$1,12,1)=DATE(YEAR(TODAY()),MONTH(TODAY()),1))),1,0))</f>
        <v/>
      </c>
    </row>
    <row r="325">
      <c r="A325" s="13">
        <f>IF(원생!$A323="","",원생!$A323&amp;IF(원생!$G323="",""," ("&amp;원생!$G323&amp;")"))</f>
        <v/>
      </c>
      <c r="B325" s="8">
        <f>IF(원생!$A323="","",원생!$F323)</f>
        <v/>
      </c>
      <c r="C325" s="14">
        <f>IF(원생!$A323="","",SUMIFS(수납!$F:$F,수납!$C:$C,원생!$A323,수납!$D:$D,IF(원생!$G323="","",원생!$G323),수납!$B:$B,$B$1&amp;"-"&amp;TEXT(1,"00")&amp;"*",수납!$E:$E,"수강료")+SUMIFS(수납!$F:$F,수납!$C:$C,원생!$A323,수납!$D:$D,IF(원생!$G323="","",원생!$G323),수납!$B:$B,$B$1&amp;"-"&amp;TEXT(1,"00")&amp;"*",수납!$E:$E,""))</f>
        <v/>
      </c>
      <c r="D325" s="14">
        <f>IF(원생!$A323="","",SUMIFS(수납!$F:$F,수납!$C:$C,원생!$A323,수납!$D:$D,IF(원생!$G323="","",원생!$G323),수납!$B:$B,$B$1&amp;"-"&amp;TEXT(2,"00")&amp;"*",수납!$E:$E,"수강료")+SUMIFS(수납!$F:$F,수납!$C:$C,원생!$A323,수납!$D:$D,IF(원생!$G323="","",원생!$G323),수납!$B:$B,$B$1&amp;"-"&amp;TEXT(2,"00")&amp;"*",수납!$E:$E,""))</f>
        <v/>
      </c>
      <c r="E325" s="14">
        <f>IF(원생!$A323="","",SUMIFS(수납!$F:$F,수납!$C:$C,원생!$A323,수납!$D:$D,IF(원생!$G323="","",원생!$G323),수납!$B:$B,$B$1&amp;"-"&amp;TEXT(3,"00")&amp;"*",수납!$E:$E,"수강료")+SUMIFS(수납!$F:$F,수납!$C:$C,원생!$A323,수납!$D:$D,IF(원생!$G323="","",원생!$G323),수납!$B:$B,$B$1&amp;"-"&amp;TEXT(3,"00")&amp;"*",수납!$E:$E,""))</f>
        <v/>
      </c>
      <c r="F325" s="14">
        <f>IF(원생!$A323="","",SUMIFS(수납!$F:$F,수납!$C:$C,원생!$A323,수납!$D:$D,IF(원생!$G323="","",원생!$G323),수납!$B:$B,$B$1&amp;"-"&amp;TEXT(4,"00")&amp;"*",수납!$E:$E,"수강료")+SUMIFS(수납!$F:$F,수납!$C:$C,원생!$A323,수납!$D:$D,IF(원생!$G323="","",원생!$G323),수납!$B:$B,$B$1&amp;"-"&amp;TEXT(4,"00")&amp;"*",수납!$E:$E,""))</f>
        <v/>
      </c>
      <c r="G325" s="14">
        <f>IF(원생!$A323="","",SUMIFS(수납!$F:$F,수납!$C:$C,원생!$A323,수납!$D:$D,IF(원생!$G323="","",원생!$G323),수납!$B:$B,$B$1&amp;"-"&amp;TEXT(5,"00")&amp;"*",수납!$E:$E,"수강료")+SUMIFS(수납!$F:$F,수납!$C:$C,원생!$A323,수납!$D:$D,IF(원생!$G323="","",원생!$G323),수납!$B:$B,$B$1&amp;"-"&amp;TEXT(5,"00")&amp;"*",수납!$E:$E,""))</f>
        <v/>
      </c>
      <c r="H325" s="14">
        <f>IF(원생!$A323="","",SUMIFS(수납!$F:$F,수납!$C:$C,원생!$A323,수납!$D:$D,IF(원생!$G323="","",원생!$G323),수납!$B:$B,$B$1&amp;"-"&amp;TEXT(6,"00")&amp;"*",수납!$E:$E,"수강료")+SUMIFS(수납!$F:$F,수납!$C:$C,원생!$A323,수납!$D:$D,IF(원생!$G323="","",원생!$G323),수납!$B:$B,$B$1&amp;"-"&amp;TEXT(6,"00")&amp;"*",수납!$E:$E,""))</f>
        <v/>
      </c>
      <c r="I325" s="14">
        <f>IF(원생!$A323="","",SUMIFS(수납!$F:$F,수납!$C:$C,원생!$A323,수납!$D:$D,IF(원생!$G323="","",원생!$G323),수납!$B:$B,$B$1&amp;"-"&amp;TEXT(7,"00")&amp;"*",수납!$E:$E,"수강료")+SUMIFS(수납!$F:$F,수납!$C:$C,원생!$A323,수납!$D:$D,IF(원생!$G323="","",원생!$G323),수납!$B:$B,$B$1&amp;"-"&amp;TEXT(7,"00")&amp;"*",수납!$E:$E,""))</f>
        <v/>
      </c>
      <c r="J325" s="14">
        <f>IF(원생!$A323="","",SUMIFS(수납!$F:$F,수납!$C:$C,원생!$A323,수납!$D:$D,IF(원생!$G323="","",원생!$G323),수납!$B:$B,$B$1&amp;"-"&amp;TEXT(8,"00")&amp;"*",수납!$E:$E,"수강료")+SUMIFS(수납!$F:$F,수납!$C:$C,원생!$A323,수납!$D:$D,IF(원생!$G323="","",원생!$G323),수납!$B:$B,$B$1&amp;"-"&amp;TEXT(8,"00")&amp;"*",수납!$E:$E,""))</f>
        <v/>
      </c>
      <c r="K325" s="14">
        <f>IF(원생!$A323="","",SUMIFS(수납!$F:$F,수납!$C:$C,원생!$A323,수납!$D:$D,IF(원생!$G323="","",원생!$G323),수납!$B:$B,$B$1&amp;"-"&amp;TEXT(9,"00")&amp;"*",수납!$E:$E,"수강료")+SUMIFS(수납!$F:$F,수납!$C:$C,원생!$A323,수납!$D:$D,IF(원생!$G323="","",원생!$G323),수납!$B:$B,$B$1&amp;"-"&amp;TEXT(9,"00")&amp;"*",수납!$E:$E,""))</f>
        <v/>
      </c>
      <c r="L325" s="14">
        <f>IF(원생!$A323="","",SUMIFS(수납!$F:$F,수납!$C:$C,원생!$A323,수납!$D:$D,IF(원생!$G323="","",원생!$G323),수납!$B:$B,$B$1&amp;"-"&amp;TEXT(10,"00")&amp;"*",수납!$E:$E,"수강료")+SUMIFS(수납!$F:$F,수납!$C:$C,원생!$A323,수납!$D:$D,IF(원생!$G323="","",원생!$G323),수납!$B:$B,$B$1&amp;"-"&amp;TEXT(10,"00")&amp;"*",수납!$E:$E,""))</f>
        <v/>
      </c>
      <c r="M325" s="14">
        <f>IF(원생!$A323="","",SUMIFS(수납!$F:$F,수납!$C:$C,원생!$A323,수납!$D:$D,IF(원생!$G323="","",원생!$G323),수납!$B:$B,$B$1&amp;"-"&amp;TEXT(11,"00")&amp;"*",수납!$E:$E,"수강료")+SUMIFS(수납!$F:$F,수납!$C:$C,원생!$A323,수납!$D:$D,IF(원생!$G323="","",원생!$G323),수납!$B:$B,$B$1&amp;"-"&amp;TEXT(11,"00")&amp;"*",수납!$E:$E,""))</f>
        <v/>
      </c>
      <c r="N325" s="14">
        <f>IF(원생!$A323="","",SUMIFS(수납!$F:$F,수납!$C:$C,원생!$A323,수납!$D:$D,IF(원생!$G323="","",원생!$G323),수납!$B:$B,$B$1&amp;"-"&amp;TEXT(12,"00")&amp;"*",수납!$E:$E,"수강료")+SUMIFS(수납!$F:$F,수납!$C:$C,원생!$A323,수납!$D:$D,IF(원생!$G323="","",원생!$G323),수납!$B:$B,$B$1&amp;"-"&amp;TEXT(12,"00")&amp;"*",수납!$E:$E,""))</f>
        <v/>
      </c>
      <c r="O325">
        <f>IF(원생!$I323="","",원생!$I323)</f>
        <v/>
      </c>
      <c r="P325">
        <f>IF($A325="","",IF(AND($B325&gt;0,C325&lt;$B325,DATE($B$1,1,1)&lt;=TODAY(),OR($O325="",$O325&gt;=DATE($B$1,1,1)),OR(COUNTIF($C325:C325,"&gt;0")&gt;0,DATE($B$1,1,1)=DATE(YEAR(TODAY()),MONTH(TODAY()),1))),1,0))</f>
        <v/>
      </c>
      <c r="Q325">
        <f>IF($A325="","",IF(AND($B325&gt;0,D325&lt;$B325,DATE($B$1,2,1)&lt;=TODAY(),OR($O325="",$O325&gt;=DATE($B$1,2,1)),OR(COUNTIF($C325:D325,"&gt;0")&gt;0,DATE($B$1,2,1)=DATE(YEAR(TODAY()),MONTH(TODAY()),1))),1,0))</f>
        <v/>
      </c>
      <c r="R325">
        <f>IF($A325="","",IF(AND($B325&gt;0,E325&lt;$B325,DATE($B$1,3,1)&lt;=TODAY(),OR($O325="",$O325&gt;=DATE($B$1,3,1)),OR(COUNTIF($C325:E325,"&gt;0")&gt;0,DATE($B$1,3,1)=DATE(YEAR(TODAY()),MONTH(TODAY()),1))),1,0))</f>
        <v/>
      </c>
      <c r="S325">
        <f>IF($A325="","",IF(AND($B325&gt;0,F325&lt;$B325,DATE($B$1,4,1)&lt;=TODAY(),OR($O325="",$O325&gt;=DATE($B$1,4,1)),OR(COUNTIF($C325:F325,"&gt;0")&gt;0,DATE($B$1,4,1)=DATE(YEAR(TODAY()),MONTH(TODAY()),1))),1,0))</f>
        <v/>
      </c>
      <c r="T325">
        <f>IF($A325="","",IF(AND($B325&gt;0,G325&lt;$B325,DATE($B$1,5,1)&lt;=TODAY(),OR($O325="",$O325&gt;=DATE($B$1,5,1)),OR(COUNTIF($C325:G325,"&gt;0")&gt;0,DATE($B$1,5,1)=DATE(YEAR(TODAY()),MONTH(TODAY()),1))),1,0))</f>
        <v/>
      </c>
      <c r="U325">
        <f>IF($A325="","",IF(AND($B325&gt;0,H325&lt;$B325,DATE($B$1,6,1)&lt;=TODAY(),OR($O325="",$O325&gt;=DATE($B$1,6,1)),OR(COUNTIF($C325:H325,"&gt;0")&gt;0,DATE($B$1,6,1)=DATE(YEAR(TODAY()),MONTH(TODAY()),1))),1,0))</f>
        <v/>
      </c>
      <c r="V325">
        <f>IF($A325="","",IF(AND($B325&gt;0,I325&lt;$B325,DATE($B$1,7,1)&lt;=TODAY(),OR($O325="",$O325&gt;=DATE($B$1,7,1)),OR(COUNTIF($C325:I325,"&gt;0")&gt;0,DATE($B$1,7,1)=DATE(YEAR(TODAY()),MONTH(TODAY()),1))),1,0))</f>
        <v/>
      </c>
      <c r="W325">
        <f>IF($A325="","",IF(AND($B325&gt;0,J325&lt;$B325,DATE($B$1,8,1)&lt;=TODAY(),OR($O325="",$O325&gt;=DATE($B$1,8,1)),OR(COUNTIF($C325:J325,"&gt;0")&gt;0,DATE($B$1,8,1)=DATE(YEAR(TODAY()),MONTH(TODAY()),1))),1,0))</f>
        <v/>
      </c>
      <c r="X325">
        <f>IF($A325="","",IF(AND($B325&gt;0,K325&lt;$B325,DATE($B$1,9,1)&lt;=TODAY(),OR($O325="",$O325&gt;=DATE($B$1,9,1)),OR(COUNTIF($C325:K325,"&gt;0")&gt;0,DATE($B$1,9,1)=DATE(YEAR(TODAY()),MONTH(TODAY()),1))),1,0))</f>
        <v/>
      </c>
      <c r="Y325">
        <f>IF($A325="","",IF(AND($B325&gt;0,L325&lt;$B325,DATE($B$1,10,1)&lt;=TODAY(),OR($O325="",$O325&gt;=DATE($B$1,10,1)),OR(COUNTIF($C325:L325,"&gt;0")&gt;0,DATE($B$1,10,1)=DATE(YEAR(TODAY()),MONTH(TODAY()),1))),1,0))</f>
        <v/>
      </c>
      <c r="Z325">
        <f>IF($A325="","",IF(AND($B325&gt;0,M325&lt;$B325,DATE($B$1,11,1)&lt;=TODAY(),OR($O325="",$O325&gt;=DATE($B$1,11,1)),OR(COUNTIF($C325:M325,"&gt;0")&gt;0,DATE($B$1,11,1)=DATE(YEAR(TODAY()),MONTH(TODAY()),1))),1,0))</f>
        <v/>
      </c>
      <c r="AA325">
        <f>IF($A325="","",IF(AND($B325&gt;0,N325&lt;$B325,DATE($B$1,12,1)&lt;=TODAY(),OR($O325="",$O325&gt;=DATE($B$1,12,1)),OR(COUNTIF($C325:N325,"&gt;0")&gt;0,DATE($B$1,12,1)=DATE(YEAR(TODAY()),MONTH(TODAY()),1))),1,0))</f>
        <v/>
      </c>
    </row>
    <row r="326">
      <c r="A326" s="13">
        <f>IF(원생!$A324="","",원생!$A324&amp;IF(원생!$G324="",""," ("&amp;원생!$G324&amp;")"))</f>
        <v/>
      </c>
      <c r="B326" s="8">
        <f>IF(원생!$A324="","",원생!$F324)</f>
        <v/>
      </c>
      <c r="C326" s="14">
        <f>IF(원생!$A324="","",SUMIFS(수납!$F:$F,수납!$C:$C,원생!$A324,수납!$D:$D,IF(원생!$G324="","",원생!$G324),수납!$B:$B,$B$1&amp;"-"&amp;TEXT(1,"00")&amp;"*",수납!$E:$E,"수강료")+SUMIFS(수납!$F:$F,수납!$C:$C,원생!$A324,수납!$D:$D,IF(원생!$G324="","",원생!$G324),수납!$B:$B,$B$1&amp;"-"&amp;TEXT(1,"00")&amp;"*",수납!$E:$E,""))</f>
        <v/>
      </c>
      <c r="D326" s="14">
        <f>IF(원생!$A324="","",SUMIFS(수납!$F:$F,수납!$C:$C,원생!$A324,수납!$D:$D,IF(원생!$G324="","",원생!$G324),수납!$B:$B,$B$1&amp;"-"&amp;TEXT(2,"00")&amp;"*",수납!$E:$E,"수강료")+SUMIFS(수납!$F:$F,수납!$C:$C,원생!$A324,수납!$D:$D,IF(원생!$G324="","",원생!$G324),수납!$B:$B,$B$1&amp;"-"&amp;TEXT(2,"00")&amp;"*",수납!$E:$E,""))</f>
        <v/>
      </c>
      <c r="E326" s="14">
        <f>IF(원생!$A324="","",SUMIFS(수납!$F:$F,수납!$C:$C,원생!$A324,수납!$D:$D,IF(원생!$G324="","",원생!$G324),수납!$B:$B,$B$1&amp;"-"&amp;TEXT(3,"00")&amp;"*",수납!$E:$E,"수강료")+SUMIFS(수납!$F:$F,수납!$C:$C,원생!$A324,수납!$D:$D,IF(원생!$G324="","",원생!$G324),수납!$B:$B,$B$1&amp;"-"&amp;TEXT(3,"00")&amp;"*",수납!$E:$E,""))</f>
        <v/>
      </c>
      <c r="F326" s="14">
        <f>IF(원생!$A324="","",SUMIFS(수납!$F:$F,수납!$C:$C,원생!$A324,수납!$D:$D,IF(원생!$G324="","",원생!$G324),수납!$B:$B,$B$1&amp;"-"&amp;TEXT(4,"00")&amp;"*",수납!$E:$E,"수강료")+SUMIFS(수납!$F:$F,수납!$C:$C,원생!$A324,수납!$D:$D,IF(원생!$G324="","",원생!$G324),수납!$B:$B,$B$1&amp;"-"&amp;TEXT(4,"00")&amp;"*",수납!$E:$E,""))</f>
        <v/>
      </c>
      <c r="G326" s="14">
        <f>IF(원생!$A324="","",SUMIFS(수납!$F:$F,수납!$C:$C,원생!$A324,수납!$D:$D,IF(원생!$G324="","",원생!$G324),수납!$B:$B,$B$1&amp;"-"&amp;TEXT(5,"00")&amp;"*",수납!$E:$E,"수강료")+SUMIFS(수납!$F:$F,수납!$C:$C,원생!$A324,수납!$D:$D,IF(원생!$G324="","",원생!$G324),수납!$B:$B,$B$1&amp;"-"&amp;TEXT(5,"00")&amp;"*",수납!$E:$E,""))</f>
        <v/>
      </c>
      <c r="H326" s="14">
        <f>IF(원생!$A324="","",SUMIFS(수납!$F:$F,수납!$C:$C,원생!$A324,수납!$D:$D,IF(원생!$G324="","",원생!$G324),수납!$B:$B,$B$1&amp;"-"&amp;TEXT(6,"00")&amp;"*",수납!$E:$E,"수강료")+SUMIFS(수납!$F:$F,수납!$C:$C,원생!$A324,수납!$D:$D,IF(원생!$G324="","",원생!$G324),수납!$B:$B,$B$1&amp;"-"&amp;TEXT(6,"00")&amp;"*",수납!$E:$E,""))</f>
        <v/>
      </c>
      <c r="I326" s="14">
        <f>IF(원생!$A324="","",SUMIFS(수납!$F:$F,수납!$C:$C,원생!$A324,수납!$D:$D,IF(원생!$G324="","",원생!$G324),수납!$B:$B,$B$1&amp;"-"&amp;TEXT(7,"00")&amp;"*",수납!$E:$E,"수강료")+SUMIFS(수납!$F:$F,수납!$C:$C,원생!$A324,수납!$D:$D,IF(원생!$G324="","",원생!$G324),수납!$B:$B,$B$1&amp;"-"&amp;TEXT(7,"00")&amp;"*",수납!$E:$E,""))</f>
        <v/>
      </c>
      <c r="J326" s="14">
        <f>IF(원생!$A324="","",SUMIFS(수납!$F:$F,수납!$C:$C,원생!$A324,수납!$D:$D,IF(원생!$G324="","",원생!$G324),수납!$B:$B,$B$1&amp;"-"&amp;TEXT(8,"00")&amp;"*",수납!$E:$E,"수강료")+SUMIFS(수납!$F:$F,수납!$C:$C,원생!$A324,수납!$D:$D,IF(원생!$G324="","",원생!$G324),수납!$B:$B,$B$1&amp;"-"&amp;TEXT(8,"00")&amp;"*",수납!$E:$E,""))</f>
        <v/>
      </c>
      <c r="K326" s="14">
        <f>IF(원생!$A324="","",SUMIFS(수납!$F:$F,수납!$C:$C,원생!$A324,수납!$D:$D,IF(원생!$G324="","",원생!$G324),수납!$B:$B,$B$1&amp;"-"&amp;TEXT(9,"00")&amp;"*",수납!$E:$E,"수강료")+SUMIFS(수납!$F:$F,수납!$C:$C,원생!$A324,수납!$D:$D,IF(원생!$G324="","",원생!$G324),수납!$B:$B,$B$1&amp;"-"&amp;TEXT(9,"00")&amp;"*",수납!$E:$E,""))</f>
        <v/>
      </c>
      <c r="L326" s="14">
        <f>IF(원생!$A324="","",SUMIFS(수납!$F:$F,수납!$C:$C,원생!$A324,수납!$D:$D,IF(원생!$G324="","",원생!$G324),수납!$B:$B,$B$1&amp;"-"&amp;TEXT(10,"00")&amp;"*",수납!$E:$E,"수강료")+SUMIFS(수납!$F:$F,수납!$C:$C,원생!$A324,수납!$D:$D,IF(원생!$G324="","",원생!$G324),수납!$B:$B,$B$1&amp;"-"&amp;TEXT(10,"00")&amp;"*",수납!$E:$E,""))</f>
        <v/>
      </c>
      <c r="M326" s="14">
        <f>IF(원생!$A324="","",SUMIFS(수납!$F:$F,수납!$C:$C,원생!$A324,수납!$D:$D,IF(원생!$G324="","",원생!$G324),수납!$B:$B,$B$1&amp;"-"&amp;TEXT(11,"00")&amp;"*",수납!$E:$E,"수강료")+SUMIFS(수납!$F:$F,수납!$C:$C,원생!$A324,수납!$D:$D,IF(원생!$G324="","",원생!$G324),수납!$B:$B,$B$1&amp;"-"&amp;TEXT(11,"00")&amp;"*",수납!$E:$E,""))</f>
        <v/>
      </c>
      <c r="N326" s="14">
        <f>IF(원생!$A324="","",SUMIFS(수납!$F:$F,수납!$C:$C,원생!$A324,수납!$D:$D,IF(원생!$G324="","",원생!$G324),수납!$B:$B,$B$1&amp;"-"&amp;TEXT(12,"00")&amp;"*",수납!$E:$E,"수강료")+SUMIFS(수납!$F:$F,수납!$C:$C,원생!$A324,수납!$D:$D,IF(원생!$G324="","",원생!$G324),수납!$B:$B,$B$1&amp;"-"&amp;TEXT(12,"00")&amp;"*",수납!$E:$E,""))</f>
        <v/>
      </c>
      <c r="O326">
        <f>IF(원생!$I324="","",원생!$I324)</f>
        <v/>
      </c>
      <c r="P326">
        <f>IF($A326="","",IF(AND($B326&gt;0,C326&lt;$B326,DATE($B$1,1,1)&lt;=TODAY(),OR($O326="",$O326&gt;=DATE($B$1,1,1)),OR(COUNTIF($C326:C326,"&gt;0")&gt;0,DATE($B$1,1,1)=DATE(YEAR(TODAY()),MONTH(TODAY()),1))),1,0))</f>
        <v/>
      </c>
      <c r="Q326">
        <f>IF($A326="","",IF(AND($B326&gt;0,D326&lt;$B326,DATE($B$1,2,1)&lt;=TODAY(),OR($O326="",$O326&gt;=DATE($B$1,2,1)),OR(COUNTIF($C326:D326,"&gt;0")&gt;0,DATE($B$1,2,1)=DATE(YEAR(TODAY()),MONTH(TODAY()),1))),1,0))</f>
        <v/>
      </c>
      <c r="R326">
        <f>IF($A326="","",IF(AND($B326&gt;0,E326&lt;$B326,DATE($B$1,3,1)&lt;=TODAY(),OR($O326="",$O326&gt;=DATE($B$1,3,1)),OR(COUNTIF($C326:E326,"&gt;0")&gt;0,DATE($B$1,3,1)=DATE(YEAR(TODAY()),MONTH(TODAY()),1))),1,0))</f>
        <v/>
      </c>
      <c r="S326">
        <f>IF($A326="","",IF(AND($B326&gt;0,F326&lt;$B326,DATE($B$1,4,1)&lt;=TODAY(),OR($O326="",$O326&gt;=DATE($B$1,4,1)),OR(COUNTIF($C326:F326,"&gt;0")&gt;0,DATE($B$1,4,1)=DATE(YEAR(TODAY()),MONTH(TODAY()),1))),1,0))</f>
        <v/>
      </c>
      <c r="T326">
        <f>IF($A326="","",IF(AND($B326&gt;0,G326&lt;$B326,DATE($B$1,5,1)&lt;=TODAY(),OR($O326="",$O326&gt;=DATE($B$1,5,1)),OR(COUNTIF($C326:G326,"&gt;0")&gt;0,DATE($B$1,5,1)=DATE(YEAR(TODAY()),MONTH(TODAY()),1))),1,0))</f>
        <v/>
      </c>
      <c r="U326">
        <f>IF($A326="","",IF(AND($B326&gt;0,H326&lt;$B326,DATE($B$1,6,1)&lt;=TODAY(),OR($O326="",$O326&gt;=DATE($B$1,6,1)),OR(COUNTIF($C326:H326,"&gt;0")&gt;0,DATE($B$1,6,1)=DATE(YEAR(TODAY()),MONTH(TODAY()),1))),1,0))</f>
        <v/>
      </c>
      <c r="V326">
        <f>IF($A326="","",IF(AND($B326&gt;0,I326&lt;$B326,DATE($B$1,7,1)&lt;=TODAY(),OR($O326="",$O326&gt;=DATE($B$1,7,1)),OR(COUNTIF($C326:I326,"&gt;0")&gt;0,DATE($B$1,7,1)=DATE(YEAR(TODAY()),MONTH(TODAY()),1))),1,0))</f>
        <v/>
      </c>
      <c r="W326">
        <f>IF($A326="","",IF(AND($B326&gt;0,J326&lt;$B326,DATE($B$1,8,1)&lt;=TODAY(),OR($O326="",$O326&gt;=DATE($B$1,8,1)),OR(COUNTIF($C326:J326,"&gt;0")&gt;0,DATE($B$1,8,1)=DATE(YEAR(TODAY()),MONTH(TODAY()),1))),1,0))</f>
        <v/>
      </c>
      <c r="X326">
        <f>IF($A326="","",IF(AND($B326&gt;0,K326&lt;$B326,DATE($B$1,9,1)&lt;=TODAY(),OR($O326="",$O326&gt;=DATE($B$1,9,1)),OR(COUNTIF($C326:K326,"&gt;0")&gt;0,DATE($B$1,9,1)=DATE(YEAR(TODAY()),MONTH(TODAY()),1))),1,0))</f>
        <v/>
      </c>
      <c r="Y326">
        <f>IF($A326="","",IF(AND($B326&gt;0,L326&lt;$B326,DATE($B$1,10,1)&lt;=TODAY(),OR($O326="",$O326&gt;=DATE($B$1,10,1)),OR(COUNTIF($C326:L326,"&gt;0")&gt;0,DATE($B$1,10,1)=DATE(YEAR(TODAY()),MONTH(TODAY()),1))),1,0))</f>
        <v/>
      </c>
      <c r="Z326">
        <f>IF($A326="","",IF(AND($B326&gt;0,M326&lt;$B326,DATE($B$1,11,1)&lt;=TODAY(),OR($O326="",$O326&gt;=DATE($B$1,11,1)),OR(COUNTIF($C326:M326,"&gt;0")&gt;0,DATE($B$1,11,1)=DATE(YEAR(TODAY()),MONTH(TODAY()),1))),1,0))</f>
        <v/>
      </c>
      <c r="AA326">
        <f>IF($A326="","",IF(AND($B326&gt;0,N326&lt;$B326,DATE($B$1,12,1)&lt;=TODAY(),OR($O326="",$O326&gt;=DATE($B$1,12,1)),OR(COUNTIF($C326:N326,"&gt;0")&gt;0,DATE($B$1,12,1)=DATE(YEAR(TODAY()),MONTH(TODAY()),1))),1,0))</f>
        <v/>
      </c>
    </row>
    <row r="327">
      <c r="A327" s="13">
        <f>IF(원생!$A325="","",원생!$A325&amp;IF(원생!$G325="",""," ("&amp;원생!$G325&amp;")"))</f>
        <v/>
      </c>
      <c r="B327" s="8">
        <f>IF(원생!$A325="","",원생!$F325)</f>
        <v/>
      </c>
      <c r="C327" s="14">
        <f>IF(원생!$A325="","",SUMIFS(수납!$F:$F,수납!$C:$C,원생!$A325,수납!$D:$D,IF(원생!$G325="","",원생!$G325),수납!$B:$B,$B$1&amp;"-"&amp;TEXT(1,"00")&amp;"*",수납!$E:$E,"수강료")+SUMIFS(수납!$F:$F,수납!$C:$C,원생!$A325,수납!$D:$D,IF(원생!$G325="","",원생!$G325),수납!$B:$B,$B$1&amp;"-"&amp;TEXT(1,"00")&amp;"*",수납!$E:$E,""))</f>
        <v/>
      </c>
      <c r="D327" s="14">
        <f>IF(원생!$A325="","",SUMIFS(수납!$F:$F,수납!$C:$C,원생!$A325,수납!$D:$D,IF(원생!$G325="","",원생!$G325),수납!$B:$B,$B$1&amp;"-"&amp;TEXT(2,"00")&amp;"*",수납!$E:$E,"수강료")+SUMIFS(수납!$F:$F,수납!$C:$C,원생!$A325,수납!$D:$D,IF(원생!$G325="","",원생!$G325),수납!$B:$B,$B$1&amp;"-"&amp;TEXT(2,"00")&amp;"*",수납!$E:$E,""))</f>
        <v/>
      </c>
      <c r="E327" s="14">
        <f>IF(원생!$A325="","",SUMIFS(수납!$F:$F,수납!$C:$C,원생!$A325,수납!$D:$D,IF(원생!$G325="","",원생!$G325),수납!$B:$B,$B$1&amp;"-"&amp;TEXT(3,"00")&amp;"*",수납!$E:$E,"수강료")+SUMIFS(수납!$F:$F,수납!$C:$C,원생!$A325,수납!$D:$D,IF(원생!$G325="","",원생!$G325),수납!$B:$B,$B$1&amp;"-"&amp;TEXT(3,"00")&amp;"*",수납!$E:$E,""))</f>
        <v/>
      </c>
      <c r="F327" s="14">
        <f>IF(원생!$A325="","",SUMIFS(수납!$F:$F,수납!$C:$C,원생!$A325,수납!$D:$D,IF(원생!$G325="","",원생!$G325),수납!$B:$B,$B$1&amp;"-"&amp;TEXT(4,"00")&amp;"*",수납!$E:$E,"수강료")+SUMIFS(수납!$F:$F,수납!$C:$C,원생!$A325,수납!$D:$D,IF(원생!$G325="","",원생!$G325),수납!$B:$B,$B$1&amp;"-"&amp;TEXT(4,"00")&amp;"*",수납!$E:$E,""))</f>
        <v/>
      </c>
      <c r="G327" s="14">
        <f>IF(원생!$A325="","",SUMIFS(수납!$F:$F,수납!$C:$C,원생!$A325,수납!$D:$D,IF(원생!$G325="","",원생!$G325),수납!$B:$B,$B$1&amp;"-"&amp;TEXT(5,"00")&amp;"*",수납!$E:$E,"수강료")+SUMIFS(수납!$F:$F,수납!$C:$C,원생!$A325,수납!$D:$D,IF(원생!$G325="","",원생!$G325),수납!$B:$B,$B$1&amp;"-"&amp;TEXT(5,"00")&amp;"*",수납!$E:$E,""))</f>
        <v/>
      </c>
      <c r="H327" s="14">
        <f>IF(원생!$A325="","",SUMIFS(수납!$F:$F,수납!$C:$C,원생!$A325,수납!$D:$D,IF(원생!$G325="","",원생!$G325),수납!$B:$B,$B$1&amp;"-"&amp;TEXT(6,"00")&amp;"*",수납!$E:$E,"수강료")+SUMIFS(수납!$F:$F,수납!$C:$C,원생!$A325,수납!$D:$D,IF(원생!$G325="","",원생!$G325),수납!$B:$B,$B$1&amp;"-"&amp;TEXT(6,"00")&amp;"*",수납!$E:$E,""))</f>
        <v/>
      </c>
      <c r="I327" s="14">
        <f>IF(원생!$A325="","",SUMIFS(수납!$F:$F,수납!$C:$C,원생!$A325,수납!$D:$D,IF(원생!$G325="","",원생!$G325),수납!$B:$B,$B$1&amp;"-"&amp;TEXT(7,"00")&amp;"*",수납!$E:$E,"수강료")+SUMIFS(수납!$F:$F,수납!$C:$C,원생!$A325,수납!$D:$D,IF(원생!$G325="","",원생!$G325),수납!$B:$B,$B$1&amp;"-"&amp;TEXT(7,"00")&amp;"*",수납!$E:$E,""))</f>
        <v/>
      </c>
      <c r="J327" s="14">
        <f>IF(원생!$A325="","",SUMIFS(수납!$F:$F,수납!$C:$C,원생!$A325,수납!$D:$D,IF(원생!$G325="","",원생!$G325),수납!$B:$B,$B$1&amp;"-"&amp;TEXT(8,"00")&amp;"*",수납!$E:$E,"수강료")+SUMIFS(수납!$F:$F,수납!$C:$C,원생!$A325,수납!$D:$D,IF(원생!$G325="","",원생!$G325),수납!$B:$B,$B$1&amp;"-"&amp;TEXT(8,"00")&amp;"*",수납!$E:$E,""))</f>
        <v/>
      </c>
      <c r="K327" s="14">
        <f>IF(원생!$A325="","",SUMIFS(수납!$F:$F,수납!$C:$C,원생!$A325,수납!$D:$D,IF(원생!$G325="","",원생!$G325),수납!$B:$B,$B$1&amp;"-"&amp;TEXT(9,"00")&amp;"*",수납!$E:$E,"수강료")+SUMIFS(수납!$F:$F,수납!$C:$C,원생!$A325,수납!$D:$D,IF(원생!$G325="","",원생!$G325),수납!$B:$B,$B$1&amp;"-"&amp;TEXT(9,"00")&amp;"*",수납!$E:$E,""))</f>
        <v/>
      </c>
      <c r="L327" s="14">
        <f>IF(원생!$A325="","",SUMIFS(수납!$F:$F,수납!$C:$C,원생!$A325,수납!$D:$D,IF(원생!$G325="","",원생!$G325),수납!$B:$B,$B$1&amp;"-"&amp;TEXT(10,"00")&amp;"*",수납!$E:$E,"수강료")+SUMIFS(수납!$F:$F,수납!$C:$C,원생!$A325,수납!$D:$D,IF(원생!$G325="","",원생!$G325),수납!$B:$B,$B$1&amp;"-"&amp;TEXT(10,"00")&amp;"*",수납!$E:$E,""))</f>
        <v/>
      </c>
      <c r="M327" s="14">
        <f>IF(원생!$A325="","",SUMIFS(수납!$F:$F,수납!$C:$C,원생!$A325,수납!$D:$D,IF(원생!$G325="","",원생!$G325),수납!$B:$B,$B$1&amp;"-"&amp;TEXT(11,"00")&amp;"*",수납!$E:$E,"수강료")+SUMIFS(수납!$F:$F,수납!$C:$C,원생!$A325,수납!$D:$D,IF(원생!$G325="","",원생!$G325),수납!$B:$B,$B$1&amp;"-"&amp;TEXT(11,"00")&amp;"*",수납!$E:$E,""))</f>
        <v/>
      </c>
      <c r="N327" s="14">
        <f>IF(원생!$A325="","",SUMIFS(수납!$F:$F,수납!$C:$C,원생!$A325,수납!$D:$D,IF(원생!$G325="","",원생!$G325),수납!$B:$B,$B$1&amp;"-"&amp;TEXT(12,"00")&amp;"*",수납!$E:$E,"수강료")+SUMIFS(수납!$F:$F,수납!$C:$C,원생!$A325,수납!$D:$D,IF(원생!$G325="","",원생!$G325),수납!$B:$B,$B$1&amp;"-"&amp;TEXT(12,"00")&amp;"*",수납!$E:$E,""))</f>
        <v/>
      </c>
      <c r="O327">
        <f>IF(원생!$I325="","",원생!$I325)</f>
        <v/>
      </c>
      <c r="P327">
        <f>IF($A327="","",IF(AND($B327&gt;0,C327&lt;$B327,DATE($B$1,1,1)&lt;=TODAY(),OR($O327="",$O327&gt;=DATE($B$1,1,1)),OR(COUNTIF($C327:C327,"&gt;0")&gt;0,DATE($B$1,1,1)=DATE(YEAR(TODAY()),MONTH(TODAY()),1))),1,0))</f>
        <v/>
      </c>
      <c r="Q327">
        <f>IF($A327="","",IF(AND($B327&gt;0,D327&lt;$B327,DATE($B$1,2,1)&lt;=TODAY(),OR($O327="",$O327&gt;=DATE($B$1,2,1)),OR(COUNTIF($C327:D327,"&gt;0")&gt;0,DATE($B$1,2,1)=DATE(YEAR(TODAY()),MONTH(TODAY()),1))),1,0))</f>
        <v/>
      </c>
      <c r="R327">
        <f>IF($A327="","",IF(AND($B327&gt;0,E327&lt;$B327,DATE($B$1,3,1)&lt;=TODAY(),OR($O327="",$O327&gt;=DATE($B$1,3,1)),OR(COUNTIF($C327:E327,"&gt;0")&gt;0,DATE($B$1,3,1)=DATE(YEAR(TODAY()),MONTH(TODAY()),1))),1,0))</f>
        <v/>
      </c>
      <c r="S327">
        <f>IF($A327="","",IF(AND($B327&gt;0,F327&lt;$B327,DATE($B$1,4,1)&lt;=TODAY(),OR($O327="",$O327&gt;=DATE($B$1,4,1)),OR(COUNTIF($C327:F327,"&gt;0")&gt;0,DATE($B$1,4,1)=DATE(YEAR(TODAY()),MONTH(TODAY()),1))),1,0))</f>
        <v/>
      </c>
      <c r="T327">
        <f>IF($A327="","",IF(AND($B327&gt;0,G327&lt;$B327,DATE($B$1,5,1)&lt;=TODAY(),OR($O327="",$O327&gt;=DATE($B$1,5,1)),OR(COUNTIF($C327:G327,"&gt;0")&gt;0,DATE($B$1,5,1)=DATE(YEAR(TODAY()),MONTH(TODAY()),1))),1,0))</f>
        <v/>
      </c>
      <c r="U327">
        <f>IF($A327="","",IF(AND($B327&gt;0,H327&lt;$B327,DATE($B$1,6,1)&lt;=TODAY(),OR($O327="",$O327&gt;=DATE($B$1,6,1)),OR(COUNTIF($C327:H327,"&gt;0")&gt;0,DATE($B$1,6,1)=DATE(YEAR(TODAY()),MONTH(TODAY()),1))),1,0))</f>
        <v/>
      </c>
      <c r="V327">
        <f>IF($A327="","",IF(AND($B327&gt;0,I327&lt;$B327,DATE($B$1,7,1)&lt;=TODAY(),OR($O327="",$O327&gt;=DATE($B$1,7,1)),OR(COUNTIF($C327:I327,"&gt;0")&gt;0,DATE($B$1,7,1)=DATE(YEAR(TODAY()),MONTH(TODAY()),1))),1,0))</f>
        <v/>
      </c>
      <c r="W327">
        <f>IF($A327="","",IF(AND($B327&gt;0,J327&lt;$B327,DATE($B$1,8,1)&lt;=TODAY(),OR($O327="",$O327&gt;=DATE($B$1,8,1)),OR(COUNTIF($C327:J327,"&gt;0")&gt;0,DATE($B$1,8,1)=DATE(YEAR(TODAY()),MONTH(TODAY()),1))),1,0))</f>
        <v/>
      </c>
      <c r="X327">
        <f>IF($A327="","",IF(AND($B327&gt;0,K327&lt;$B327,DATE($B$1,9,1)&lt;=TODAY(),OR($O327="",$O327&gt;=DATE($B$1,9,1)),OR(COUNTIF($C327:K327,"&gt;0")&gt;0,DATE($B$1,9,1)=DATE(YEAR(TODAY()),MONTH(TODAY()),1))),1,0))</f>
        <v/>
      </c>
      <c r="Y327">
        <f>IF($A327="","",IF(AND($B327&gt;0,L327&lt;$B327,DATE($B$1,10,1)&lt;=TODAY(),OR($O327="",$O327&gt;=DATE($B$1,10,1)),OR(COUNTIF($C327:L327,"&gt;0")&gt;0,DATE($B$1,10,1)=DATE(YEAR(TODAY()),MONTH(TODAY()),1))),1,0))</f>
        <v/>
      </c>
      <c r="Z327">
        <f>IF($A327="","",IF(AND($B327&gt;0,M327&lt;$B327,DATE($B$1,11,1)&lt;=TODAY(),OR($O327="",$O327&gt;=DATE($B$1,11,1)),OR(COUNTIF($C327:M327,"&gt;0")&gt;0,DATE($B$1,11,1)=DATE(YEAR(TODAY()),MONTH(TODAY()),1))),1,0))</f>
        <v/>
      </c>
      <c r="AA327">
        <f>IF($A327="","",IF(AND($B327&gt;0,N327&lt;$B327,DATE($B$1,12,1)&lt;=TODAY(),OR($O327="",$O327&gt;=DATE($B$1,12,1)),OR(COUNTIF($C327:N327,"&gt;0")&gt;0,DATE($B$1,12,1)=DATE(YEAR(TODAY()),MONTH(TODAY()),1))),1,0))</f>
        <v/>
      </c>
    </row>
    <row r="328">
      <c r="A328" s="13">
        <f>IF(원생!$A326="","",원생!$A326&amp;IF(원생!$G326="",""," ("&amp;원생!$G326&amp;")"))</f>
        <v/>
      </c>
      <c r="B328" s="8">
        <f>IF(원생!$A326="","",원생!$F326)</f>
        <v/>
      </c>
      <c r="C328" s="14">
        <f>IF(원생!$A326="","",SUMIFS(수납!$F:$F,수납!$C:$C,원생!$A326,수납!$D:$D,IF(원생!$G326="","",원생!$G326),수납!$B:$B,$B$1&amp;"-"&amp;TEXT(1,"00")&amp;"*",수납!$E:$E,"수강료")+SUMIFS(수납!$F:$F,수납!$C:$C,원생!$A326,수납!$D:$D,IF(원생!$G326="","",원생!$G326),수납!$B:$B,$B$1&amp;"-"&amp;TEXT(1,"00")&amp;"*",수납!$E:$E,""))</f>
        <v/>
      </c>
      <c r="D328" s="14">
        <f>IF(원생!$A326="","",SUMIFS(수납!$F:$F,수납!$C:$C,원생!$A326,수납!$D:$D,IF(원생!$G326="","",원생!$G326),수납!$B:$B,$B$1&amp;"-"&amp;TEXT(2,"00")&amp;"*",수납!$E:$E,"수강료")+SUMIFS(수납!$F:$F,수납!$C:$C,원생!$A326,수납!$D:$D,IF(원생!$G326="","",원생!$G326),수납!$B:$B,$B$1&amp;"-"&amp;TEXT(2,"00")&amp;"*",수납!$E:$E,""))</f>
        <v/>
      </c>
      <c r="E328" s="14">
        <f>IF(원생!$A326="","",SUMIFS(수납!$F:$F,수납!$C:$C,원생!$A326,수납!$D:$D,IF(원생!$G326="","",원생!$G326),수납!$B:$B,$B$1&amp;"-"&amp;TEXT(3,"00")&amp;"*",수납!$E:$E,"수강료")+SUMIFS(수납!$F:$F,수납!$C:$C,원생!$A326,수납!$D:$D,IF(원생!$G326="","",원생!$G326),수납!$B:$B,$B$1&amp;"-"&amp;TEXT(3,"00")&amp;"*",수납!$E:$E,""))</f>
        <v/>
      </c>
      <c r="F328" s="14">
        <f>IF(원생!$A326="","",SUMIFS(수납!$F:$F,수납!$C:$C,원생!$A326,수납!$D:$D,IF(원생!$G326="","",원생!$G326),수납!$B:$B,$B$1&amp;"-"&amp;TEXT(4,"00")&amp;"*",수납!$E:$E,"수강료")+SUMIFS(수납!$F:$F,수납!$C:$C,원생!$A326,수납!$D:$D,IF(원생!$G326="","",원생!$G326),수납!$B:$B,$B$1&amp;"-"&amp;TEXT(4,"00")&amp;"*",수납!$E:$E,""))</f>
        <v/>
      </c>
      <c r="G328" s="14">
        <f>IF(원생!$A326="","",SUMIFS(수납!$F:$F,수납!$C:$C,원생!$A326,수납!$D:$D,IF(원생!$G326="","",원생!$G326),수납!$B:$B,$B$1&amp;"-"&amp;TEXT(5,"00")&amp;"*",수납!$E:$E,"수강료")+SUMIFS(수납!$F:$F,수납!$C:$C,원생!$A326,수납!$D:$D,IF(원생!$G326="","",원생!$G326),수납!$B:$B,$B$1&amp;"-"&amp;TEXT(5,"00")&amp;"*",수납!$E:$E,""))</f>
        <v/>
      </c>
      <c r="H328" s="14">
        <f>IF(원생!$A326="","",SUMIFS(수납!$F:$F,수납!$C:$C,원생!$A326,수납!$D:$D,IF(원생!$G326="","",원생!$G326),수납!$B:$B,$B$1&amp;"-"&amp;TEXT(6,"00")&amp;"*",수납!$E:$E,"수강료")+SUMIFS(수납!$F:$F,수납!$C:$C,원생!$A326,수납!$D:$D,IF(원생!$G326="","",원생!$G326),수납!$B:$B,$B$1&amp;"-"&amp;TEXT(6,"00")&amp;"*",수납!$E:$E,""))</f>
        <v/>
      </c>
      <c r="I328" s="14">
        <f>IF(원생!$A326="","",SUMIFS(수납!$F:$F,수납!$C:$C,원생!$A326,수납!$D:$D,IF(원생!$G326="","",원생!$G326),수납!$B:$B,$B$1&amp;"-"&amp;TEXT(7,"00")&amp;"*",수납!$E:$E,"수강료")+SUMIFS(수납!$F:$F,수납!$C:$C,원생!$A326,수납!$D:$D,IF(원생!$G326="","",원생!$G326),수납!$B:$B,$B$1&amp;"-"&amp;TEXT(7,"00")&amp;"*",수납!$E:$E,""))</f>
        <v/>
      </c>
      <c r="J328" s="14">
        <f>IF(원생!$A326="","",SUMIFS(수납!$F:$F,수납!$C:$C,원생!$A326,수납!$D:$D,IF(원생!$G326="","",원생!$G326),수납!$B:$B,$B$1&amp;"-"&amp;TEXT(8,"00")&amp;"*",수납!$E:$E,"수강료")+SUMIFS(수납!$F:$F,수납!$C:$C,원생!$A326,수납!$D:$D,IF(원생!$G326="","",원생!$G326),수납!$B:$B,$B$1&amp;"-"&amp;TEXT(8,"00")&amp;"*",수납!$E:$E,""))</f>
        <v/>
      </c>
      <c r="K328" s="14">
        <f>IF(원생!$A326="","",SUMIFS(수납!$F:$F,수납!$C:$C,원생!$A326,수납!$D:$D,IF(원생!$G326="","",원생!$G326),수납!$B:$B,$B$1&amp;"-"&amp;TEXT(9,"00")&amp;"*",수납!$E:$E,"수강료")+SUMIFS(수납!$F:$F,수납!$C:$C,원생!$A326,수납!$D:$D,IF(원생!$G326="","",원생!$G326),수납!$B:$B,$B$1&amp;"-"&amp;TEXT(9,"00")&amp;"*",수납!$E:$E,""))</f>
        <v/>
      </c>
      <c r="L328" s="14">
        <f>IF(원생!$A326="","",SUMIFS(수납!$F:$F,수납!$C:$C,원생!$A326,수납!$D:$D,IF(원생!$G326="","",원생!$G326),수납!$B:$B,$B$1&amp;"-"&amp;TEXT(10,"00")&amp;"*",수납!$E:$E,"수강료")+SUMIFS(수납!$F:$F,수납!$C:$C,원생!$A326,수납!$D:$D,IF(원생!$G326="","",원생!$G326),수납!$B:$B,$B$1&amp;"-"&amp;TEXT(10,"00")&amp;"*",수납!$E:$E,""))</f>
        <v/>
      </c>
      <c r="M328" s="14">
        <f>IF(원생!$A326="","",SUMIFS(수납!$F:$F,수납!$C:$C,원생!$A326,수납!$D:$D,IF(원생!$G326="","",원생!$G326),수납!$B:$B,$B$1&amp;"-"&amp;TEXT(11,"00")&amp;"*",수납!$E:$E,"수강료")+SUMIFS(수납!$F:$F,수납!$C:$C,원생!$A326,수납!$D:$D,IF(원생!$G326="","",원생!$G326),수납!$B:$B,$B$1&amp;"-"&amp;TEXT(11,"00")&amp;"*",수납!$E:$E,""))</f>
        <v/>
      </c>
      <c r="N328" s="14">
        <f>IF(원생!$A326="","",SUMIFS(수납!$F:$F,수납!$C:$C,원생!$A326,수납!$D:$D,IF(원생!$G326="","",원생!$G326),수납!$B:$B,$B$1&amp;"-"&amp;TEXT(12,"00")&amp;"*",수납!$E:$E,"수강료")+SUMIFS(수납!$F:$F,수납!$C:$C,원생!$A326,수납!$D:$D,IF(원생!$G326="","",원생!$G326),수납!$B:$B,$B$1&amp;"-"&amp;TEXT(12,"00")&amp;"*",수납!$E:$E,""))</f>
        <v/>
      </c>
      <c r="O328">
        <f>IF(원생!$I326="","",원생!$I326)</f>
        <v/>
      </c>
      <c r="P328">
        <f>IF($A328="","",IF(AND($B328&gt;0,C328&lt;$B328,DATE($B$1,1,1)&lt;=TODAY(),OR($O328="",$O328&gt;=DATE($B$1,1,1)),OR(COUNTIF($C328:C328,"&gt;0")&gt;0,DATE($B$1,1,1)=DATE(YEAR(TODAY()),MONTH(TODAY()),1))),1,0))</f>
        <v/>
      </c>
      <c r="Q328">
        <f>IF($A328="","",IF(AND($B328&gt;0,D328&lt;$B328,DATE($B$1,2,1)&lt;=TODAY(),OR($O328="",$O328&gt;=DATE($B$1,2,1)),OR(COUNTIF($C328:D328,"&gt;0")&gt;0,DATE($B$1,2,1)=DATE(YEAR(TODAY()),MONTH(TODAY()),1))),1,0))</f>
        <v/>
      </c>
      <c r="R328">
        <f>IF($A328="","",IF(AND($B328&gt;0,E328&lt;$B328,DATE($B$1,3,1)&lt;=TODAY(),OR($O328="",$O328&gt;=DATE($B$1,3,1)),OR(COUNTIF($C328:E328,"&gt;0")&gt;0,DATE($B$1,3,1)=DATE(YEAR(TODAY()),MONTH(TODAY()),1))),1,0))</f>
        <v/>
      </c>
      <c r="S328">
        <f>IF($A328="","",IF(AND($B328&gt;0,F328&lt;$B328,DATE($B$1,4,1)&lt;=TODAY(),OR($O328="",$O328&gt;=DATE($B$1,4,1)),OR(COUNTIF($C328:F328,"&gt;0")&gt;0,DATE($B$1,4,1)=DATE(YEAR(TODAY()),MONTH(TODAY()),1))),1,0))</f>
        <v/>
      </c>
      <c r="T328">
        <f>IF($A328="","",IF(AND($B328&gt;0,G328&lt;$B328,DATE($B$1,5,1)&lt;=TODAY(),OR($O328="",$O328&gt;=DATE($B$1,5,1)),OR(COUNTIF($C328:G328,"&gt;0")&gt;0,DATE($B$1,5,1)=DATE(YEAR(TODAY()),MONTH(TODAY()),1))),1,0))</f>
        <v/>
      </c>
      <c r="U328">
        <f>IF($A328="","",IF(AND($B328&gt;0,H328&lt;$B328,DATE($B$1,6,1)&lt;=TODAY(),OR($O328="",$O328&gt;=DATE($B$1,6,1)),OR(COUNTIF($C328:H328,"&gt;0")&gt;0,DATE($B$1,6,1)=DATE(YEAR(TODAY()),MONTH(TODAY()),1))),1,0))</f>
        <v/>
      </c>
      <c r="V328">
        <f>IF($A328="","",IF(AND($B328&gt;0,I328&lt;$B328,DATE($B$1,7,1)&lt;=TODAY(),OR($O328="",$O328&gt;=DATE($B$1,7,1)),OR(COUNTIF($C328:I328,"&gt;0")&gt;0,DATE($B$1,7,1)=DATE(YEAR(TODAY()),MONTH(TODAY()),1))),1,0))</f>
        <v/>
      </c>
      <c r="W328">
        <f>IF($A328="","",IF(AND($B328&gt;0,J328&lt;$B328,DATE($B$1,8,1)&lt;=TODAY(),OR($O328="",$O328&gt;=DATE($B$1,8,1)),OR(COUNTIF($C328:J328,"&gt;0")&gt;0,DATE($B$1,8,1)=DATE(YEAR(TODAY()),MONTH(TODAY()),1))),1,0))</f>
        <v/>
      </c>
      <c r="X328">
        <f>IF($A328="","",IF(AND($B328&gt;0,K328&lt;$B328,DATE($B$1,9,1)&lt;=TODAY(),OR($O328="",$O328&gt;=DATE($B$1,9,1)),OR(COUNTIF($C328:K328,"&gt;0")&gt;0,DATE($B$1,9,1)=DATE(YEAR(TODAY()),MONTH(TODAY()),1))),1,0))</f>
        <v/>
      </c>
      <c r="Y328">
        <f>IF($A328="","",IF(AND($B328&gt;0,L328&lt;$B328,DATE($B$1,10,1)&lt;=TODAY(),OR($O328="",$O328&gt;=DATE($B$1,10,1)),OR(COUNTIF($C328:L328,"&gt;0")&gt;0,DATE($B$1,10,1)=DATE(YEAR(TODAY()),MONTH(TODAY()),1))),1,0))</f>
        <v/>
      </c>
      <c r="Z328">
        <f>IF($A328="","",IF(AND($B328&gt;0,M328&lt;$B328,DATE($B$1,11,1)&lt;=TODAY(),OR($O328="",$O328&gt;=DATE($B$1,11,1)),OR(COUNTIF($C328:M328,"&gt;0")&gt;0,DATE($B$1,11,1)=DATE(YEAR(TODAY()),MONTH(TODAY()),1))),1,0))</f>
        <v/>
      </c>
      <c r="AA328">
        <f>IF($A328="","",IF(AND($B328&gt;0,N328&lt;$B328,DATE($B$1,12,1)&lt;=TODAY(),OR($O328="",$O328&gt;=DATE($B$1,12,1)),OR(COUNTIF($C328:N328,"&gt;0")&gt;0,DATE($B$1,12,1)=DATE(YEAR(TODAY()),MONTH(TODAY()),1))),1,0))</f>
        <v/>
      </c>
    </row>
    <row r="329">
      <c r="A329" s="13">
        <f>IF(원생!$A327="","",원생!$A327&amp;IF(원생!$G327="",""," ("&amp;원생!$G327&amp;")"))</f>
        <v/>
      </c>
      <c r="B329" s="8">
        <f>IF(원생!$A327="","",원생!$F327)</f>
        <v/>
      </c>
      <c r="C329" s="14">
        <f>IF(원생!$A327="","",SUMIFS(수납!$F:$F,수납!$C:$C,원생!$A327,수납!$D:$D,IF(원생!$G327="","",원생!$G327),수납!$B:$B,$B$1&amp;"-"&amp;TEXT(1,"00")&amp;"*",수납!$E:$E,"수강료")+SUMIFS(수납!$F:$F,수납!$C:$C,원생!$A327,수납!$D:$D,IF(원생!$G327="","",원생!$G327),수납!$B:$B,$B$1&amp;"-"&amp;TEXT(1,"00")&amp;"*",수납!$E:$E,""))</f>
        <v/>
      </c>
      <c r="D329" s="14">
        <f>IF(원생!$A327="","",SUMIFS(수납!$F:$F,수납!$C:$C,원생!$A327,수납!$D:$D,IF(원생!$G327="","",원생!$G327),수납!$B:$B,$B$1&amp;"-"&amp;TEXT(2,"00")&amp;"*",수납!$E:$E,"수강료")+SUMIFS(수납!$F:$F,수납!$C:$C,원생!$A327,수납!$D:$D,IF(원생!$G327="","",원생!$G327),수납!$B:$B,$B$1&amp;"-"&amp;TEXT(2,"00")&amp;"*",수납!$E:$E,""))</f>
        <v/>
      </c>
      <c r="E329" s="14">
        <f>IF(원생!$A327="","",SUMIFS(수납!$F:$F,수납!$C:$C,원생!$A327,수납!$D:$D,IF(원생!$G327="","",원생!$G327),수납!$B:$B,$B$1&amp;"-"&amp;TEXT(3,"00")&amp;"*",수납!$E:$E,"수강료")+SUMIFS(수납!$F:$F,수납!$C:$C,원생!$A327,수납!$D:$D,IF(원생!$G327="","",원생!$G327),수납!$B:$B,$B$1&amp;"-"&amp;TEXT(3,"00")&amp;"*",수납!$E:$E,""))</f>
        <v/>
      </c>
      <c r="F329" s="14">
        <f>IF(원생!$A327="","",SUMIFS(수납!$F:$F,수납!$C:$C,원생!$A327,수납!$D:$D,IF(원생!$G327="","",원생!$G327),수납!$B:$B,$B$1&amp;"-"&amp;TEXT(4,"00")&amp;"*",수납!$E:$E,"수강료")+SUMIFS(수납!$F:$F,수납!$C:$C,원생!$A327,수납!$D:$D,IF(원생!$G327="","",원생!$G327),수납!$B:$B,$B$1&amp;"-"&amp;TEXT(4,"00")&amp;"*",수납!$E:$E,""))</f>
        <v/>
      </c>
      <c r="G329" s="14">
        <f>IF(원생!$A327="","",SUMIFS(수납!$F:$F,수납!$C:$C,원생!$A327,수납!$D:$D,IF(원생!$G327="","",원생!$G327),수납!$B:$B,$B$1&amp;"-"&amp;TEXT(5,"00")&amp;"*",수납!$E:$E,"수강료")+SUMIFS(수납!$F:$F,수납!$C:$C,원생!$A327,수납!$D:$D,IF(원생!$G327="","",원생!$G327),수납!$B:$B,$B$1&amp;"-"&amp;TEXT(5,"00")&amp;"*",수납!$E:$E,""))</f>
        <v/>
      </c>
      <c r="H329" s="14">
        <f>IF(원생!$A327="","",SUMIFS(수납!$F:$F,수납!$C:$C,원생!$A327,수납!$D:$D,IF(원생!$G327="","",원생!$G327),수납!$B:$B,$B$1&amp;"-"&amp;TEXT(6,"00")&amp;"*",수납!$E:$E,"수강료")+SUMIFS(수납!$F:$F,수납!$C:$C,원생!$A327,수납!$D:$D,IF(원생!$G327="","",원생!$G327),수납!$B:$B,$B$1&amp;"-"&amp;TEXT(6,"00")&amp;"*",수납!$E:$E,""))</f>
        <v/>
      </c>
      <c r="I329" s="14">
        <f>IF(원생!$A327="","",SUMIFS(수납!$F:$F,수납!$C:$C,원생!$A327,수납!$D:$D,IF(원생!$G327="","",원생!$G327),수납!$B:$B,$B$1&amp;"-"&amp;TEXT(7,"00")&amp;"*",수납!$E:$E,"수강료")+SUMIFS(수납!$F:$F,수납!$C:$C,원생!$A327,수납!$D:$D,IF(원생!$G327="","",원생!$G327),수납!$B:$B,$B$1&amp;"-"&amp;TEXT(7,"00")&amp;"*",수납!$E:$E,""))</f>
        <v/>
      </c>
      <c r="J329" s="14">
        <f>IF(원생!$A327="","",SUMIFS(수납!$F:$F,수납!$C:$C,원생!$A327,수납!$D:$D,IF(원생!$G327="","",원생!$G327),수납!$B:$B,$B$1&amp;"-"&amp;TEXT(8,"00")&amp;"*",수납!$E:$E,"수강료")+SUMIFS(수납!$F:$F,수납!$C:$C,원생!$A327,수납!$D:$D,IF(원생!$G327="","",원생!$G327),수납!$B:$B,$B$1&amp;"-"&amp;TEXT(8,"00")&amp;"*",수납!$E:$E,""))</f>
        <v/>
      </c>
      <c r="K329" s="14">
        <f>IF(원생!$A327="","",SUMIFS(수납!$F:$F,수납!$C:$C,원생!$A327,수납!$D:$D,IF(원생!$G327="","",원생!$G327),수납!$B:$B,$B$1&amp;"-"&amp;TEXT(9,"00")&amp;"*",수납!$E:$E,"수강료")+SUMIFS(수납!$F:$F,수납!$C:$C,원생!$A327,수납!$D:$D,IF(원생!$G327="","",원생!$G327),수납!$B:$B,$B$1&amp;"-"&amp;TEXT(9,"00")&amp;"*",수납!$E:$E,""))</f>
        <v/>
      </c>
      <c r="L329" s="14">
        <f>IF(원생!$A327="","",SUMIFS(수납!$F:$F,수납!$C:$C,원생!$A327,수납!$D:$D,IF(원생!$G327="","",원생!$G327),수납!$B:$B,$B$1&amp;"-"&amp;TEXT(10,"00")&amp;"*",수납!$E:$E,"수강료")+SUMIFS(수납!$F:$F,수납!$C:$C,원생!$A327,수납!$D:$D,IF(원생!$G327="","",원생!$G327),수납!$B:$B,$B$1&amp;"-"&amp;TEXT(10,"00")&amp;"*",수납!$E:$E,""))</f>
        <v/>
      </c>
      <c r="M329" s="14">
        <f>IF(원생!$A327="","",SUMIFS(수납!$F:$F,수납!$C:$C,원생!$A327,수납!$D:$D,IF(원생!$G327="","",원생!$G327),수납!$B:$B,$B$1&amp;"-"&amp;TEXT(11,"00")&amp;"*",수납!$E:$E,"수강료")+SUMIFS(수납!$F:$F,수납!$C:$C,원생!$A327,수납!$D:$D,IF(원생!$G327="","",원생!$G327),수납!$B:$B,$B$1&amp;"-"&amp;TEXT(11,"00")&amp;"*",수납!$E:$E,""))</f>
        <v/>
      </c>
      <c r="N329" s="14">
        <f>IF(원생!$A327="","",SUMIFS(수납!$F:$F,수납!$C:$C,원생!$A327,수납!$D:$D,IF(원생!$G327="","",원생!$G327),수납!$B:$B,$B$1&amp;"-"&amp;TEXT(12,"00")&amp;"*",수납!$E:$E,"수강료")+SUMIFS(수납!$F:$F,수납!$C:$C,원생!$A327,수납!$D:$D,IF(원생!$G327="","",원생!$G327),수납!$B:$B,$B$1&amp;"-"&amp;TEXT(12,"00")&amp;"*",수납!$E:$E,""))</f>
        <v/>
      </c>
      <c r="O329">
        <f>IF(원생!$I327="","",원생!$I327)</f>
        <v/>
      </c>
      <c r="P329">
        <f>IF($A329="","",IF(AND($B329&gt;0,C329&lt;$B329,DATE($B$1,1,1)&lt;=TODAY(),OR($O329="",$O329&gt;=DATE($B$1,1,1)),OR(COUNTIF($C329:C329,"&gt;0")&gt;0,DATE($B$1,1,1)=DATE(YEAR(TODAY()),MONTH(TODAY()),1))),1,0))</f>
        <v/>
      </c>
      <c r="Q329">
        <f>IF($A329="","",IF(AND($B329&gt;0,D329&lt;$B329,DATE($B$1,2,1)&lt;=TODAY(),OR($O329="",$O329&gt;=DATE($B$1,2,1)),OR(COUNTIF($C329:D329,"&gt;0")&gt;0,DATE($B$1,2,1)=DATE(YEAR(TODAY()),MONTH(TODAY()),1))),1,0))</f>
        <v/>
      </c>
      <c r="R329">
        <f>IF($A329="","",IF(AND($B329&gt;0,E329&lt;$B329,DATE($B$1,3,1)&lt;=TODAY(),OR($O329="",$O329&gt;=DATE($B$1,3,1)),OR(COUNTIF($C329:E329,"&gt;0")&gt;0,DATE($B$1,3,1)=DATE(YEAR(TODAY()),MONTH(TODAY()),1))),1,0))</f>
        <v/>
      </c>
      <c r="S329">
        <f>IF($A329="","",IF(AND($B329&gt;0,F329&lt;$B329,DATE($B$1,4,1)&lt;=TODAY(),OR($O329="",$O329&gt;=DATE($B$1,4,1)),OR(COUNTIF($C329:F329,"&gt;0")&gt;0,DATE($B$1,4,1)=DATE(YEAR(TODAY()),MONTH(TODAY()),1))),1,0))</f>
        <v/>
      </c>
      <c r="T329">
        <f>IF($A329="","",IF(AND($B329&gt;0,G329&lt;$B329,DATE($B$1,5,1)&lt;=TODAY(),OR($O329="",$O329&gt;=DATE($B$1,5,1)),OR(COUNTIF($C329:G329,"&gt;0")&gt;0,DATE($B$1,5,1)=DATE(YEAR(TODAY()),MONTH(TODAY()),1))),1,0))</f>
        <v/>
      </c>
      <c r="U329">
        <f>IF($A329="","",IF(AND($B329&gt;0,H329&lt;$B329,DATE($B$1,6,1)&lt;=TODAY(),OR($O329="",$O329&gt;=DATE($B$1,6,1)),OR(COUNTIF($C329:H329,"&gt;0")&gt;0,DATE($B$1,6,1)=DATE(YEAR(TODAY()),MONTH(TODAY()),1))),1,0))</f>
        <v/>
      </c>
      <c r="V329">
        <f>IF($A329="","",IF(AND($B329&gt;0,I329&lt;$B329,DATE($B$1,7,1)&lt;=TODAY(),OR($O329="",$O329&gt;=DATE($B$1,7,1)),OR(COUNTIF($C329:I329,"&gt;0")&gt;0,DATE($B$1,7,1)=DATE(YEAR(TODAY()),MONTH(TODAY()),1))),1,0))</f>
        <v/>
      </c>
      <c r="W329">
        <f>IF($A329="","",IF(AND($B329&gt;0,J329&lt;$B329,DATE($B$1,8,1)&lt;=TODAY(),OR($O329="",$O329&gt;=DATE($B$1,8,1)),OR(COUNTIF($C329:J329,"&gt;0")&gt;0,DATE($B$1,8,1)=DATE(YEAR(TODAY()),MONTH(TODAY()),1))),1,0))</f>
        <v/>
      </c>
      <c r="X329">
        <f>IF($A329="","",IF(AND($B329&gt;0,K329&lt;$B329,DATE($B$1,9,1)&lt;=TODAY(),OR($O329="",$O329&gt;=DATE($B$1,9,1)),OR(COUNTIF($C329:K329,"&gt;0")&gt;0,DATE($B$1,9,1)=DATE(YEAR(TODAY()),MONTH(TODAY()),1))),1,0))</f>
        <v/>
      </c>
      <c r="Y329">
        <f>IF($A329="","",IF(AND($B329&gt;0,L329&lt;$B329,DATE($B$1,10,1)&lt;=TODAY(),OR($O329="",$O329&gt;=DATE($B$1,10,1)),OR(COUNTIF($C329:L329,"&gt;0")&gt;0,DATE($B$1,10,1)=DATE(YEAR(TODAY()),MONTH(TODAY()),1))),1,0))</f>
        <v/>
      </c>
      <c r="Z329">
        <f>IF($A329="","",IF(AND($B329&gt;0,M329&lt;$B329,DATE($B$1,11,1)&lt;=TODAY(),OR($O329="",$O329&gt;=DATE($B$1,11,1)),OR(COUNTIF($C329:M329,"&gt;0")&gt;0,DATE($B$1,11,1)=DATE(YEAR(TODAY()),MONTH(TODAY()),1))),1,0))</f>
        <v/>
      </c>
      <c r="AA329">
        <f>IF($A329="","",IF(AND($B329&gt;0,N329&lt;$B329,DATE($B$1,12,1)&lt;=TODAY(),OR($O329="",$O329&gt;=DATE($B$1,12,1)),OR(COUNTIF($C329:N329,"&gt;0")&gt;0,DATE($B$1,12,1)=DATE(YEAR(TODAY()),MONTH(TODAY()),1))),1,0))</f>
        <v/>
      </c>
    </row>
    <row r="330">
      <c r="A330" s="13">
        <f>IF(원생!$A328="","",원생!$A328&amp;IF(원생!$G328="",""," ("&amp;원생!$G328&amp;")"))</f>
        <v/>
      </c>
      <c r="B330" s="8">
        <f>IF(원생!$A328="","",원생!$F328)</f>
        <v/>
      </c>
      <c r="C330" s="14">
        <f>IF(원생!$A328="","",SUMIFS(수납!$F:$F,수납!$C:$C,원생!$A328,수납!$D:$D,IF(원생!$G328="","",원생!$G328),수납!$B:$B,$B$1&amp;"-"&amp;TEXT(1,"00")&amp;"*",수납!$E:$E,"수강료")+SUMIFS(수납!$F:$F,수납!$C:$C,원생!$A328,수납!$D:$D,IF(원생!$G328="","",원생!$G328),수납!$B:$B,$B$1&amp;"-"&amp;TEXT(1,"00")&amp;"*",수납!$E:$E,""))</f>
        <v/>
      </c>
      <c r="D330" s="14">
        <f>IF(원생!$A328="","",SUMIFS(수납!$F:$F,수납!$C:$C,원생!$A328,수납!$D:$D,IF(원생!$G328="","",원생!$G328),수납!$B:$B,$B$1&amp;"-"&amp;TEXT(2,"00")&amp;"*",수납!$E:$E,"수강료")+SUMIFS(수납!$F:$F,수납!$C:$C,원생!$A328,수납!$D:$D,IF(원생!$G328="","",원생!$G328),수납!$B:$B,$B$1&amp;"-"&amp;TEXT(2,"00")&amp;"*",수납!$E:$E,""))</f>
        <v/>
      </c>
      <c r="E330" s="14">
        <f>IF(원생!$A328="","",SUMIFS(수납!$F:$F,수납!$C:$C,원생!$A328,수납!$D:$D,IF(원생!$G328="","",원생!$G328),수납!$B:$B,$B$1&amp;"-"&amp;TEXT(3,"00")&amp;"*",수납!$E:$E,"수강료")+SUMIFS(수납!$F:$F,수납!$C:$C,원생!$A328,수납!$D:$D,IF(원생!$G328="","",원생!$G328),수납!$B:$B,$B$1&amp;"-"&amp;TEXT(3,"00")&amp;"*",수납!$E:$E,""))</f>
        <v/>
      </c>
      <c r="F330" s="14">
        <f>IF(원생!$A328="","",SUMIFS(수납!$F:$F,수납!$C:$C,원생!$A328,수납!$D:$D,IF(원생!$G328="","",원생!$G328),수납!$B:$B,$B$1&amp;"-"&amp;TEXT(4,"00")&amp;"*",수납!$E:$E,"수강료")+SUMIFS(수납!$F:$F,수납!$C:$C,원생!$A328,수납!$D:$D,IF(원생!$G328="","",원생!$G328),수납!$B:$B,$B$1&amp;"-"&amp;TEXT(4,"00")&amp;"*",수납!$E:$E,""))</f>
        <v/>
      </c>
      <c r="G330" s="14">
        <f>IF(원생!$A328="","",SUMIFS(수납!$F:$F,수납!$C:$C,원생!$A328,수납!$D:$D,IF(원생!$G328="","",원생!$G328),수납!$B:$B,$B$1&amp;"-"&amp;TEXT(5,"00")&amp;"*",수납!$E:$E,"수강료")+SUMIFS(수납!$F:$F,수납!$C:$C,원생!$A328,수납!$D:$D,IF(원생!$G328="","",원생!$G328),수납!$B:$B,$B$1&amp;"-"&amp;TEXT(5,"00")&amp;"*",수납!$E:$E,""))</f>
        <v/>
      </c>
      <c r="H330" s="14">
        <f>IF(원생!$A328="","",SUMIFS(수납!$F:$F,수납!$C:$C,원생!$A328,수납!$D:$D,IF(원생!$G328="","",원생!$G328),수납!$B:$B,$B$1&amp;"-"&amp;TEXT(6,"00")&amp;"*",수납!$E:$E,"수강료")+SUMIFS(수납!$F:$F,수납!$C:$C,원생!$A328,수납!$D:$D,IF(원생!$G328="","",원생!$G328),수납!$B:$B,$B$1&amp;"-"&amp;TEXT(6,"00")&amp;"*",수납!$E:$E,""))</f>
        <v/>
      </c>
      <c r="I330" s="14">
        <f>IF(원생!$A328="","",SUMIFS(수납!$F:$F,수납!$C:$C,원생!$A328,수납!$D:$D,IF(원생!$G328="","",원생!$G328),수납!$B:$B,$B$1&amp;"-"&amp;TEXT(7,"00")&amp;"*",수납!$E:$E,"수강료")+SUMIFS(수납!$F:$F,수납!$C:$C,원생!$A328,수납!$D:$D,IF(원생!$G328="","",원생!$G328),수납!$B:$B,$B$1&amp;"-"&amp;TEXT(7,"00")&amp;"*",수납!$E:$E,""))</f>
        <v/>
      </c>
      <c r="J330" s="14">
        <f>IF(원생!$A328="","",SUMIFS(수납!$F:$F,수납!$C:$C,원생!$A328,수납!$D:$D,IF(원생!$G328="","",원생!$G328),수납!$B:$B,$B$1&amp;"-"&amp;TEXT(8,"00")&amp;"*",수납!$E:$E,"수강료")+SUMIFS(수납!$F:$F,수납!$C:$C,원생!$A328,수납!$D:$D,IF(원생!$G328="","",원생!$G328),수납!$B:$B,$B$1&amp;"-"&amp;TEXT(8,"00")&amp;"*",수납!$E:$E,""))</f>
        <v/>
      </c>
      <c r="K330" s="14">
        <f>IF(원생!$A328="","",SUMIFS(수납!$F:$F,수납!$C:$C,원생!$A328,수납!$D:$D,IF(원생!$G328="","",원생!$G328),수납!$B:$B,$B$1&amp;"-"&amp;TEXT(9,"00")&amp;"*",수납!$E:$E,"수강료")+SUMIFS(수납!$F:$F,수납!$C:$C,원생!$A328,수납!$D:$D,IF(원생!$G328="","",원생!$G328),수납!$B:$B,$B$1&amp;"-"&amp;TEXT(9,"00")&amp;"*",수납!$E:$E,""))</f>
        <v/>
      </c>
      <c r="L330" s="14">
        <f>IF(원생!$A328="","",SUMIFS(수납!$F:$F,수납!$C:$C,원생!$A328,수납!$D:$D,IF(원생!$G328="","",원생!$G328),수납!$B:$B,$B$1&amp;"-"&amp;TEXT(10,"00")&amp;"*",수납!$E:$E,"수강료")+SUMIFS(수납!$F:$F,수납!$C:$C,원생!$A328,수납!$D:$D,IF(원생!$G328="","",원생!$G328),수납!$B:$B,$B$1&amp;"-"&amp;TEXT(10,"00")&amp;"*",수납!$E:$E,""))</f>
        <v/>
      </c>
      <c r="M330" s="14">
        <f>IF(원생!$A328="","",SUMIFS(수납!$F:$F,수납!$C:$C,원생!$A328,수납!$D:$D,IF(원생!$G328="","",원생!$G328),수납!$B:$B,$B$1&amp;"-"&amp;TEXT(11,"00")&amp;"*",수납!$E:$E,"수강료")+SUMIFS(수납!$F:$F,수납!$C:$C,원생!$A328,수납!$D:$D,IF(원생!$G328="","",원생!$G328),수납!$B:$B,$B$1&amp;"-"&amp;TEXT(11,"00")&amp;"*",수납!$E:$E,""))</f>
        <v/>
      </c>
      <c r="N330" s="14">
        <f>IF(원생!$A328="","",SUMIFS(수납!$F:$F,수납!$C:$C,원생!$A328,수납!$D:$D,IF(원생!$G328="","",원생!$G328),수납!$B:$B,$B$1&amp;"-"&amp;TEXT(12,"00")&amp;"*",수납!$E:$E,"수강료")+SUMIFS(수납!$F:$F,수납!$C:$C,원생!$A328,수납!$D:$D,IF(원생!$G328="","",원생!$G328),수납!$B:$B,$B$1&amp;"-"&amp;TEXT(12,"00")&amp;"*",수납!$E:$E,""))</f>
        <v/>
      </c>
      <c r="O330">
        <f>IF(원생!$I328="","",원생!$I328)</f>
        <v/>
      </c>
      <c r="P330">
        <f>IF($A330="","",IF(AND($B330&gt;0,C330&lt;$B330,DATE($B$1,1,1)&lt;=TODAY(),OR($O330="",$O330&gt;=DATE($B$1,1,1)),OR(COUNTIF($C330:C330,"&gt;0")&gt;0,DATE($B$1,1,1)=DATE(YEAR(TODAY()),MONTH(TODAY()),1))),1,0))</f>
        <v/>
      </c>
      <c r="Q330">
        <f>IF($A330="","",IF(AND($B330&gt;0,D330&lt;$B330,DATE($B$1,2,1)&lt;=TODAY(),OR($O330="",$O330&gt;=DATE($B$1,2,1)),OR(COUNTIF($C330:D330,"&gt;0")&gt;0,DATE($B$1,2,1)=DATE(YEAR(TODAY()),MONTH(TODAY()),1))),1,0))</f>
        <v/>
      </c>
      <c r="R330">
        <f>IF($A330="","",IF(AND($B330&gt;0,E330&lt;$B330,DATE($B$1,3,1)&lt;=TODAY(),OR($O330="",$O330&gt;=DATE($B$1,3,1)),OR(COUNTIF($C330:E330,"&gt;0")&gt;0,DATE($B$1,3,1)=DATE(YEAR(TODAY()),MONTH(TODAY()),1))),1,0))</f>
        <v/>
      </c>
      <c r="S330">
        <f>IF($A330="","",IF(AND($B330&gt;0,F330&lt;$B330,DATE($B$1,4,1)&lt;=TODAY(),OR($O330="",$O330&gt;=DATE($B$1,4,1)),OR(COUNTIF($C330:F330,"&gt;0")&gt;0,DATE($B$1,4,1)=DATE(YEAR(TODAY()),MONTH(TODAY()),1))),1,0))</f>
        <v/>
      </c>
      <c r="T330">
        <f>IF($A330="","",IF(AND($B330&gt;0,G330&lt;$B330,DATE($B$1,5,1)&lt;=TODAY(),OR($O330="",$O330&gt;=DATE($B$1,5,1)),OR(COUNTIF($C330:G330,"&gt;0")&gt;0,DATE($B$1,5,1)=DATE(YEAR(TODAY()),MONTH(TODAY()),1))),1,0))</f>
        <v/>
      </c>
      <c r="U330">
        <f>IF($A330="","",IF(AND($B330&gt;0,H330&lt;$B330,DATE($B$1,6,1)&lt;=TODAY(),OR($O330="",$O330&gt;=DATE($B$1,6,1)),OR(COUNTIF($C330:H330,"&gt;0")&gt;0,DATE($B$1,6,1)=DATE(YEAR(TODAY()),MONTH(TODAY()),1))),1,0))</f>
        <v/>
      </c>
      <c r="V330">
        <f>IF($A330="","",IF(AND($B330&gt;0,I330&lt;$B330,DATE($B$1,7,1)&lt;=TODAY(),OR($O330="",$O330&gt;=DATE($B$1,7,1)),OR(COUNTIF($C330:I330,"&gt;0")&gt;0,DATE($B$1,7,1)=DATE(YEAR(TODAY()),MONTH(TODAY()),1))),1,0))</f>
        <v/>
      </c>
      <c r="W330">
        <f>IF($A330="","",IF(AND($B330&gt;0,J330&lt;$B330,DATE($B$1,8,1)&lt;=TODAY(),OR($O330="",$O330&gt;=DATE($B$1,8,1)),OR(COUNTIF($C330:J330,"&gt;0")&gt;0,DATE($B$1,8,1)=DATE(YEAR(TODAY()),MONTH(TODAY()),1))),1,0))</f>
        <v/>
      </c>
      <c r="X330">
        <f>IF($A330="","",IF(AND($B330&gt;0,K330&lt;$B330,DATE($B$1,9,1)&lt;=TODAY(),OR($O330="",$O330&gt;=DATE($B$1,9,1)),OR(COUNTIF($C330:K330,"&gt;0")&gt;0,DATE($B$1,9,1)=DATE(YEAR(TODAY()),MONTH(TODAY()),1))),1,0))</f>
        <v/>
      </c>
      <c r="Y330">
        <f>IF($A330="","",IF(AND($B330&gt;0,L330&lt;$B330,DATE($B$1,10,1)&lt;=TODAY(),OR($O330="",$O330&gt;=DATE($B$1,10,1)),OR(COUNTIF($C330:L330,"&gt;0")&gt;0,DATE($B$1,10,1)=DATE(YEAR(TODAY()),MONTH(TODAY()),1))),1,0))</f>
        <v/>
      </c>
      <c r="Z330">
        <f>IF($A330="","",IF(AND($B330&gt;0,M330&lt;$B330,DATE($B$1,11,1)&lt;=TODAY(),OR($O330="",$O330&gt;=DATE($B$1,11,1)),OR(COUNTIF($C330:M330,"&gt;0")&gt;0,DATE($B$1,11,1)=DATE(YEAR(TODAY()),MONTH(TODAY()),1))),1,0))</f>
        <v/>
      </c>
      <c r="AA330">
        <f>IF($A330="","",IF(AND($B330&gt;0,N330&lt;$B330,DATE($B$1,12,1)&lt;=TODAY(),OR($O330="",$O330&gt;=DATE($B$1,12,1)),OR(COUNTIF($C330:N330,"&gt;0")&gt;0,DATE($B$1,12,1)=DATE(YEAR(TODAY()),MONTH(TODAY()),1))),1,0))</f>
        <v/>
      </c>
    </row>
    <row r="331">
      <c r="A331" s="13">
        <f>IF(원생!$A329="","",원생!$A329&amp;IF(원생!$G329="",""," ("&amp;원생!$G329&amp;")"))</f>
        <v/>
      </c>
      <c r="B331" s="8">
        <f>IF(원생!$A329="","",원생!$F329)</f>
        <v/>
      </c>
      <c r="C331" s="14">
        <f>IF(원생!$A329="","",SUMIFS(수납!$F:$F,수납!$C:$C,원생!$A329,수납!$D:$D,IF(원생!$G329="","",원생!$G329),수납!$B:$B,$B$1&amp;"-"&amp;TEXT(1,"00")&amp;"*",수납!$E:$E,"수강료")+SUMIFS(수납!$F:$F,수납!$C:$C,원생!$A329,수납!$D:$D,IF(원생!$G329="","",원생!$G329),수납!$B:$B,$B$1&amp;"-"&amp;TEXT(1,"00")&amp;"*",수납!$E:$E,""))</f>
        <v/>
      </c>
      <c r="D331" s="14">
        <f>IF(원생!$A329="","",SUMIFS(수납!$F:$F,수납!$C:$C,원생!$A329,수납!$D:$D,IF(원생!$G329="","",원생!$G329),수납!$B:$B,$B$1&amp;"-"&amp;TEXT(2,"00")&amp;"*",수납!$E:$E,"수강료")+SUMIFS(수납!$F:$F,수납!$C:$C,원생!$A329,수납!$D:$D,IF(원생!$G329="","",원생!$G329),수납!$B:$B,$B$1&amp;"-"&amp;TEXT(2,"00")&amp;"*",수납!$E:$E,""))</f>
        <v/>
      </c>
      <c r="E331" s="14">
        <f>IF(원생!$A329="","",SUMIFS(수납!$F:$F,수납!$C:$C,원생!$A329,수납!$D:$D,IF(원생!$G329="","",원생!$G329),수납!$B:$B,$B$1&amp;"-"&amp;TEXT(3,"00")&amp;"*",수납!$E:$E,"수강료")+SUMIFS(수납!$F:$F,수납!$C:$C,원생!$A329,수납!$D:$D,IF(원생!$G329="","",원생!$G329),수납!$B:$B,$B$1&amp;"-"&amp;TEXT(3,"00")&amp;"*",수납!$E:$E,""))</f>
        <v/>
      </c>
      <c r="F331" s="14">
        <f>IF(원생!$A329="","",SUMIFS(수납!$F:$F,수납!$C:$C,원생!$A329,수납!$D:$D,IF(원생!$G329="","",원생!$G329),수납!$B:$B,$B$1&amp;"-"&amp;TEXT(4,"00")&amp;"*",수납!$E:$E,"수강료")+SUMIFS(수납!$F:$F,수납!$C:$C,원생!$A329,수납!$D:$D,IF(원생!$G329="","",원생!$G329),수납!$B:$B,$B$1&amp;"-"&amp;TEXT(4,"00")&amp;"*",수납!$E:$E,""))</f>
        <v/>
      </c>
      <c r="G331" s="14">
        <f>IF(원생!$A329="","",SUMIFS(수납!$F:$F,수납!$C:$C,원생!$A329,수납!$D:$D,IF(원생!$G329="","",원생!$G329),수납!$B:$B,$B$1&amp;"-"&amp;TEXT(5,"00")&amp;"*",수납!$E:$E,"수강료")+SUMIFS(수납!$F:$F,수납!$C:$C,원생!$A329,수납!$D:$D,IF(원생!$G329="","",원생!$G329),수납!$B:$B,$B$1&amp;"-"&amp;TEXT(5,"00")&amp;"*",수납!$E:$E,""))</f>
        <v/>
      </c>
      <c r="H331" s="14">
        <f>IF(원생!$A329="","",SUMIFS(수납!$F:$F,수납!$C:$C,원생!$A329,수납!$D:$D,IF(원생!$G329="","",원생!$G329),수납!$B:$B,$B$1&amp;"-"&amp;TEXT(6,"00")&amp;"*",수납!$E:$E,"수강료")+SUMIFS(수납!$F:$F,수납!$C:$C,원생!$A329,수납!$D:$D,IF(원생!$G329="","",원생!$G329),수납!$B:$B,$B$1&amp;"-"&amp;TEXT(6,"00")&amp;"*",수납!$E:$E,""))</f>
        <v/>
      </c>
      <c r="I331" s="14">
        <f>IF(원생!$A329="","",SUMIFS(수납!$F:$F,수납!$C:$C,원생!$A329,수납!$D:$D,IF(원생!$G329="","",원생!$G329),수납!$B:$B,$B$1&amp;"-"&amp;TEXT(7,"00")&amp;"*",수납!$E:$E,"수강료")+SUMIFS(수납!$F:$F,수납!$C:$C,원생!$A329,수납!$D:$D,IF(원생!$G329="","",원생!$G329),수납!$B:$B,$B$1&amp;"-"&amp;TEXT(7,"00")&amp;"*",수납!$E:$E,""))</f>
        <v/>
      </c>
      <c r="J331" s="14">
        <f>IF(원생!$A329="","",SUMIFS(수납!$F:$F,수납!$C:$C,원생!$A329,수납!$D:$D,IF(원생!$G329="","",원생!$G329),수납!$B:$B,$B$1&amp;"-"&amp;TEXT(8,"00")&amp;"*",수납!$E:$E,"수강료")+SUMIFS(수납!$F:$F,수납!$C:$C,원생!$A329,수납!$D:$D,IF(원생!$G329="","",원생!$G329),수납!$B:$B,$B$1&amp;"-"&amp;TEXT(8,"00")&amp;"*",수납!$E:$E,""))</f>
        <v/>
      </c>
      <c r="K331" s="14">
        <f>IF(원생!$A329="","",SUMIFS(수납!$F:$F,수납!$C:$C,원생!$A329,수납!$D:$D,IF(원생!$G329="","",원생!$G329),수납!$B:$B,$B$1&amp;"-"&amp;TEXT(9,"00")&amp;"*",수납!$E:$E,"수강료")+SUMIFS(수납!$F:$F,수납!$C:$C,원생!$A329,수납!$D:$D,IF(원생!$G329="","",원생!$G329),수납!$B:$B,$B$1&amp;"-"&amp;TEXT(9,"00")&amp;"*",수납!$E:$E,""))</f>
        <v/>
      </c>
      <c r="L331" s="14">
        <f>IF(원생!$A329="","",SUMIFS(수납!$F:$F,수납!$C:$C,원생!$A329,수납!$D:$D,IF(원생!$G329="","",원생!$G329),수납!$B:$B,$B$1&amp;"-"&amp;TEXT(10,"00")&amp;"*",수납!$E:$E,"수강료")+SUMIFS(수납!$F:$F,수납!$C:$C,원생!$A329,수납!$D:$D,IF(원생!$G329="","",원생!$G329),수납!$B:$B,$B$1&amp;"-"&amp;TEXT(10,"00")&amp;"*",수납!$E:$E,""))</f>
        <v/>
      </c>
      <c r="M331" s="14">
        <f>IF(원생!$A329="","",SUMIFS(수납!$F:$F,수납!$C:$C,원생!$A329,수납!$D:$D,IF(원생!$G329="","",원생!$G329),수납!$B:$B,$B$1&amp;"-"&amp;TEXT(11,"00")&amp;"*",수납!$E:$E,"수강료")+SUMIFS(수납!$F:$F,수납!$C:$C,원생!$A329,수납!$D:$D,IF(원생!$G329="","",원생!$G329),수납!$B:$B,$B$1&amp;"-"&amp;TEXT(11,"00")&amp;"*",수납!$E:$E,""))</f>
        <v/>
      </c>
      <c r="N331" s="14">
        <f>IF(원생!$A329="","",SUMIFS(수납!$F:$F,수납!$C:$C,원생!$A329,수납!$D:$D,IF(원생!$G329="","",원생!$G329),수납!$B:$B,$B$1&amp;"-"&amp;TEXT(12,"00")&amp;"*",수납!$E:$E,"수강료")+SUMIFS(수납!$F:$F,수납!$C:$C,원생!$A329,수납!$D:$D,IF(원생!$G329="","",원생!$G329),수납!$B:$B,$B$1&amp;"-"&amp;TEXT(12,"00")&amp;"*",수납!$E:$E,""))</f>
        <v/>
      </c>
      <c r="O331">
        <f>IF(원생!$I329="","",원생!$I329)</f>
        <v/>
      </c>
      <c r="P331">
        <f>IF($A331="","",IF(AND($B331&gt;0,C331&lt;$B331,DATE($B$1,1,1)&lt;=TODAY(),OR($O331="",$O331&gt;=DATE($B$1,1,1)),OR(COUNTIF($C331:C331,"&gt;0")&gt;0,DATE($B$1,1,1)=DATE(YEAR(TODAY()),MONTH(TODAY()),1))),1,0))</f>
        <v/>
      </c>
      <c r="Q331">
        <f>IF($A331="","",IF(AND($B331&gt;0,D331&lt;$B331,DATE($B$1,2,1)&lt;=TODAY(),OR($O331="",$O331&gt;=DATE($B$1,2,1)),OR(COUNTIF($C331:D331,"&gt;0")&gt;0,DATE($B$1,2,1)=DATE(YEAR(TODAY()),MONTH(TODAY()),1))),1,0))</f>
        <v/>
      </c>
      <c r="R331">
        <f>IF($A331="","",IF(AND($B331&gt;0,E331&lt;$B331,DATE($B$1,3,1)&lt;=TODAY(),OR($O331="",$O331&gt;=DATE($B$1,3,1)),OR(COUNTIF($C331:E331,"&gt;0")&gt;0,DATE($B$1,3,1)=DATE(YEAR(TODAY()),MONTH(TODAY()),1))),1,0))</f>
        <v/>
      </c>
      <c r="S331">
        <f>IF($A331="","",IF(AND($B331&gt;0,F331&lt;$B331,DATE($B$1,4,1)&lt;=TODAY(),OR($O331="",$O331&gt;=DATE($B$1,4,1)),OR(COUNTIF($C331:F331,"&gt;0")&gt;0,DATE($B$1,4,1)=DATE(YEAR(TODAY()),MONTH(TODAY()),1))),1,0))</f>
        <v/>
      </c>
      <c r="T331">
        <f>IF($A331="","",IF(AND($B331&gt;0,G331&lt;$B331,DATE($B$1,5,1)&lt;=TODAY(),OR($O331="",$O331&gt;=DATE($B$1,5,1)),OR(COUNTIF($C331:G331,"&gt;0")&gt;0,DATE($B$1,5,1)=DATE(YEAR(TODAY()),MONTH(TODAY()),1))),1,0))</f>
        <v/>
      </c>
      <c r="U331">
        <f>IF($A331="","",IF(AND($B331&gt;0,H331&lt;$B331,DATE($B$1,6,1)&lt;=TODAY(),OR($O331="",$O331&gt;=DATE($B$1,6,1)),OR(COUNTIF($C331:H331,"&gt;0")&gt;0,DATE($B$1,6,1)=DATE(YEAR(TODAY()),MONTH(TODAY()),1))),1,0))</f>
        <v/>
      </c>
      <c r="V331">
        <f>IF($A331="","",IF(AND($B331&gt;0,I331&lt;$B331,DATE($B$1,7,1)&lt;=TODAY(),OR($O331="",$O331&gt;=DATE($B$1,7,1)),OR(COUNTIF($C331:I331,"&gt;0")&gt;0,DATE($B$1,7,1)=DATE(YEAR(TODAY()),MONTH(TODAY()),1))),1,0))</f>
        <v/>
      </c>
      <c r="W331">
        <f>IF($A331="","",IF(AND($B331&gt;0,J331&lt;$B331,DATE($B$1,8,1)&lt;=TODAY(),OR($O331="",$O331&gt;=DATE($B$1,8,1)),OR(COUNTIF($C331:J331,"&gt;0")&gt;0,DATE($B$1,8,1)=DATE(YEAR(TODAY()),MONTH(TODAY()),1))),1,0))</f>
        <v/>
      </c>
      <c r="X331">
        <f>IF($A331="","",IF(AND($B331&gt;0,K331&lt;$B331,DATE($B$1,9,1)&lt;=TODAY(),OR($O331="",$O331&gt;=DATE($B$1,9,1)),OR(COUNTIF($C331:K331,"&gt;0")&gt;0,DATE($B$1,9,1)=DATE(YEAR(TODAY()),MONTH(TODAY()),1))),1,0))</f>
        <v/>
      </c>
      <c r="Y331">
        <f>IF($A331="","",IF(AND($B331&gt;0,L331&lt;$B331,DATE($B$1,10,1)&lt;=TODAY(),OR($O331="",$O331&gt;=DATE($B$1,10,1)),OR(COUNTIF($C331:L331,"&gt;0")&gt;0,DATE($B$1,10,1)=DATE(YEAR(TODAY()),MONTH(TODAY()),1))),1,0))</f>
        <v/>
      </c>
      <c r="Z331">
        <f>IF($A331="","",IF(AND($B331&gt;0,M331&lt;$B331,DATE($B$1,11,1)&lt;=TODAY(),OR($O331="",$O331&gt;=DATE($B$1,11,1)),OR(COUNTIF($C331:M331,"&gt;0")&gt;0,DATE($B$1,11,1)=DATE(YEAR(TODAY()),MONTH(TODAY()),1))),1,0))</f>
        <v/>
      </c>
      <c r="AA331">
        <f>IF($A331="","",IF(AND($B331&gt;0,N331&lt;$B331,DATE($B$1,12,1)&lt;=TODAY(),OR($O331="",$O331&gt;=DATE($B$1,12,1)),OR(COUNTIF($C331:N331,"&gt;0")&gt;0,DATE($B$1,12,1)=DATE(YEAR(TODAY()),MONTH(TODAY()),1))),1,0))</f>
        <v/>
      </c>
    </row>
    <row r="332">
      <c r="A332" s="13">
        <f>IF(원생!$A330="","",원생!$A330&amp;IF(원생!$G330="",""," ("&amp;원생!$G330&amp;")"))</f>
        <v/>
      </c>
      <c r="B332" s="8">
        <f>IF(원생!$A330="","",원생!$F330)</f>
        <v/>
      </c>
      <c r="C332" s="14">
        <f>IF(원생!$A330="","",SUMIFS(수납!$F:$F,수납!$C:$C,원생!$A330,수납!$D:$D,IF(원생!$G330="","",원생!$G330),수납!$B:$B,$B$1&amp;"-"&amp;TEXT(1,"00")&amp;"*",수납!$E:$E,"수강료")+SUMIFS(수납!$F:$F,수납!$C:$C,원생!$A330,수납!$D:$D,IF(원생!$G330="","",원생!$G330),수납!$B:$B,$B$1&amp;"-"&amp;TEXT(1,"00")&amp;"*",수납!$E:$E,""))</f>
        <v/>
      </c>
      <c r="D332" s="14">
        <f>IF(원생!$A330="","",SUMIFS(수납!$F:$F,수납!$C:$C,원생!$A330,수납!$D:$D,IF(원생!$G330="","",원생!$G330),수납!$B:$B,$B$1&amp;"-"&amp;TEXT(2,"00")&amp;"*",수납!$E:$E,"수강료")+SUMIFS(수납!$F:$F,수납!$C:$C,원생!$A330,수납!$D:$D,IF(원생!$G330="","",원생!$G330),수납!$B:$B,$B$1&amp;"-"&amp;TEXT(2,"00")&amp;"*",수납!$E:$E,""))</f>
        <v/>
      </c>
      <c r="E332" s="14">
        <f>IF(원생!$A330="","",SUMIFS(수납!$F:$F,수납!$C:$C,원생!$A330,수납!$D:$D,IF(원생!$G330="","",원생!$G330),수납!$B:$B,$B$1&amp;"-"&amp;TEXT(3,"00")&amp;"*",수납!$E:$E,"수강료")+SUMIFS(수납!$F:$F,수납!$C:$C,원생!$A330,수납!$D:$D,IF(원생!$G330="","",원생!$G330),수납!$B:$B,$B$1&amp;"-"&amp;TEXT(3,"00")&amp;"*",수납!$E:$E,""))</f>
        <v/>
      </c>
      <c r="F332" s="14">
        <f>IF(원생!$A330="","",SUMIFS(수납!$F:$F,수납!$C:$C,원생!$A330,수납!$D:$D,IF(원생!$G330="","",원생!$G330),수납!$B:$B,$B$1&amp;"-"&amp;TEXT(4,"00")&amp;"*",수납!$E:$E,"수강료")+SUMIFS(수납!$F:$F,수납!$C:$C,원생!$A330,수납!$D:$D,IF(원생!$G330="","",원생!$G330),수납!$B:$B,$B$1&amp;"-"&amp;TEXT(4,"00")&amp;"*",수납!$E:$E,""))</f>
        <v/>
      </c>
      <c r="G332" s="14">
        <f>IF(원생!$A330="","",SUMIFS(수납!$F:$F,수납!$C:$C,원생!$A330,수납!$D:$D,IF(원생!$G330="","",원생!$G330),수납!$B:$B,$B$1&amp;"-"&amp;TEXT(5,"00")&amp;"*",수납!$E:$E,"수강료")+SUMIFS(수납!$F:$F,수납!$C:$C,원생!$A330,수납!$D:$D,IF(원생!$G330="","",원생!$G330),수납!$B:$B,$B$1&amp;"-"&amp;TEXT(5,"00")&amp;"*",수납!$E:$E,""))</f>
        <v/>
      </c>
      <c r="H332" s="14">
        <f>IF(원생!$A330="","",SUMIFS(수납!$F:$F,수납!$C:$C,원생!$A330,수납!$D:$D,IF(원생!$G330="","",원생!$G330),수납!$B:$B,$B$1&amp;"-"&amp;TEXT(6,"00")&amp;"*",수납!$E:$E,"수강료")+SUMIFS(수납!$F:$F,수납!$C:$C,원생!$A330,수납!$D:$D,IF(원생!$G330="","",원생!$G330),수납!$B:$B,$B$1&amp;"-"&amp;TEXT(6,"00")&amp;"*",수납!$E:$E,""))</f>
        <v/>
      </c>
      <c r="I332" s="14">
        <f>IF(원생!$A330="","",SUMIFS(수납!$F:$F,수납!$C:$C,원생!$A330,수납!$D:$D,IF(원생!$G330="","",원생!$G330),수납!$B:$B,$B$1&amp;"-"&amp;TEXT(7,"00")&amp;"*",수납!$E:$E,"수강료")+SUMIFS(수납!$F:$F,수납!$C:$C,원생!$A330,수납!$D:$D,IF(원생!$G330="","",원생!$G330),수납!$B:$B,$B$1&amp;"-"&amp;TEXT(7,"00")&amp;"*",수납!$E:$E,""))</f>
        <v/>
      </c>
      <c r="J332" s="14">
        <f>IF(원생!$A330="","",SUMIFS(수납!$F:$F,수납!$C:$C,원생!$A330,수납!$D:$D,IF(원생!$G330="","",원생!$G330),수납!$B:$B,$B$1&amp;"-"&amp;TEXT(8,"00")&amp;"*",수납!$E:$E,"수강료")+SUMIFS(수납!$F:$F,수납!$C:$C,원생!$A330,수납!$D:$D,IF(원생!$G330="","",원생!$G330),수납!$B:$B,$B$1&amp;"-"&amp;TEXT(8,"00")&amp;"*",수납!$E:$E,""))</f>
        <v/>
      </c>
      <c r="K332" s="14">
        <f>IF(원생!$A330="","",SUMIFS(수납!$F:$F,수납!$C:$C,원생!$A330,수납!$D:$D,IF(원생!$G330="","",원생!$G330),수납!$B:$B,$B$1&amp;"-"&amp;TEXT(9,"00")&amp;"*",수납!$E:$E,"수강료")+SUMIFS(수납!$F:$F,수납!$C:$C,원생!$A330,수납!$D:$D,IF(원생!$G330="","",원생!$G330),수납!$B:$B,$B$1&amp;"-"&amp;TEXT(9,"00")&amp;"*",수납!$E:$E,""))</f>
        <v/>
      </c>
      <c r="L332" s="14">
        <f>IF(원생!$A330="","",SUMIFS(수납!$F:$F,수납!$C:$C,원생!$A330,수납!$D:$D,IF(원생!$G330="","",원생!$G330),수납!$B:$B,$B$1&amp;"-"&amp;TEXT(10,"00")&amp;"*",수납!$E:$E,"수강료")+SUMIFS(수납!$F:$F,수납!$C:$C,원생!$A330,수납!$D:$D,IF(원생!$G330="","",원생!$G330),수납!$B:$B,$B$1&amp;"-"&amp;TEXT(10,"00")&amp;"*",수납!$E:$E,""))</f>
        <v/>
      </c>
      <c r="M332" s="14">
        <f>IF(원생!$A330="","",SUMIFS(수납!$F:$F,수납!$C:$C,원생!$A330,수납!$D:$D,IF(원생!$G330="","",원생!$G330),수납!$B:$B,$B$1&amp;"-"&amp;TEXT(11,"00")&amp;"*",수납!$E:$E,"수강료")+SUMIFS(수납!$F:$F,수납!$C:$C,원생!$A330,수납!$D:$D,IF(원생!$G330="","",원생!$G330),수납!$B:$B,$B$1&amp;"-"&amp;TEXT(11,"00")&amp;"*",수납!$E:$E,""))</f>
        <v/>
      </c>
      <c r="N332" s="14">
        <f>IF(원생!$A330="","",SUMIFS(수납!$F:$F,수납!$C:$C,원생!$A330,수납!$D:$D,IF(원생!$G330="","",원생!$G330),수납!$B:$B,$B$1&amp;"-"&amp;TEXT(12,"00")&amp;"*",수납!$E:$E,"수강료")+SUMIFS(수납!$F:$F,수납!$C:$C,원생!$A330,수납!$D:$D,IF(원생!$G330="","",원생!$G330),수납!$B:$B,$B$1&amp;"-"&amp;TEXT(12,"00")&amp;"*",수납!$E:$E,""))</f>
        <v/>
      </c>
      <c r="O332">
        <f>IF(원생!$I330="","",원생!$I330)</f>
        <v/>
      </c>
      <c r="P332">
        <f>IF($A332="","",IF(AND($B332&gt;0,C332&lt;$B332,DATE($B$1,1,1)&lt;=TODAY(),OR($O332="",$O332&gt;=DATE($B$1,1,1)),OR(COUNTIF($C332:C332,"&gt;0")&gt;0,DATE($B$1,1,1)=DATE(YEAR(TODAY()),MONTH(TODAY()),1))),1,0))</f>
        <v/>
      </c>
      <c r="Q332">
        <f>IF($A332="","",IF(AND($B332&gt;0,D332&lt;$B332,DATE($B$1,2,1)&lt;=TODAY(),OR($O332="",$O332&gt;=DATE($B$1,2,1)),OR(COUNTIF($C332:D332,"&gt;0")&gt;0,DATE($B$1,2,1)=DATE(YEAR(TODAY()),MONTH(TODAY()),1))),1,0))</f>
        <v/>
      </c>
      <c r="R332">
        <f>IF($A332="","",IF(AND($B332&gt;0,E332&lt;$B332,DATE($B$1,3,1)&lt;=TODAY(),OR($O332="",$O332&gt;=DATE($B$1,3,1)),OR(COUNTIF($C332:E332,"&gt;0")&gt;0,DATE($B$1,3,1)=DATE(YEAR(TODAY()),MONTH(TODAY()),1))),1,0))</f>
        <v/>
      </c>
      <c r="S332">
        <f>IF($A332="","",IF(AND($B332&gt;0,F332&lt;$B332,DATE($B$1,4,1)&lt;=TODAY(),OR($O332="",$O332&gt;=DATE($B$1,4,1)),OR(COUNTIF($C332:F332,"&gt;0")&gt;0,DATE($B$1,4,1)=DATE(YEAR(TODAY()),MONTH(TODAY()),1))),1,0))</f>
        <v/>
      </c>
      <c r="T332">
        <f>IF($A332="","",IF(AND($B332&gt;0,G332&lt;$B332,DATE($B$1,5,1)&lt;=TODAY(),OR($O332="",$O332&gt;=DATE($B$1,5,1)),OR(COUNTIF($C332:G332,"&gt;0")&gt;0,DATE($B$1,5,1)=DATE(YEAR(TODAY()),MONTH(TODAY()),1))),1,0))</f>
        <v/>
      </c>
      <c r="U332">
        <f>IF($A332="","",IF(AND($B332&gt;0,H332&lt;$B332,DATE($B$1,6,1)&lt;=TODAY(),OR($O332="",$O332&gt;=DATE($B$1,6,1)),OR(COUNTIF($C332:H332,"&gt;0")&gt;0,DATE($B$1,6,1)=DATE(YEAR(TODAY()),MONTH(TODAY()),1))),1,0))</f>
        <v/>
      </c>
      <c r="V332">
        <f>IF($A332="","",IF(AND($B332&gt;0,I332&lt;$B332,DATE($B$1,7,1)&lt;=TODAY(),OR($O332="",$O332&gt;=DATE($B$1,7,1)),OR(COUNTIF($C332:I332,"&gt;0")&gt;0,DATE($B$1,7,1)=DATE(YEAR(TODAY()),MONTH(TODAY()),1))),1,0))</f>
        <v/>
      </c>
      <c r="W332">
        <f>IF($A332="","",IF(AND($B332&gt;0,J332&lt;$B332,DATE($B$1,8,1)&lt;=TODAY(),OR($O332="",$O332&gt;=DATE($B$1,8,1)),OR(COUNTIF($C332:J332,"&gt;0")&gt;0,DATE($B$1,8,1)=DATE(YEAR(TODAY()),MONTH(TODAY()),1))),1,0))</f>
        <v/>
      </c>
      <c r="X332">
        <f>IF($A332="","",IF(AND($B332&gt;0,K332&lt;$B332,DATE($B$1,9,1)&lt;=TODAY(),OR($O332="",$O332&gt;=DATE($B$1,9,1)),OR(COUNTIF($C332:K332,"&gt;0")&gt;0,DATE($B$1,9,1)=DATE(YEAR(TODAY()),MONTH(TODAY()),1))),1,0))</f>
        <v/>
      </c>
      <c r="Y332">
        <f>IF($A332="","",IF(AND($B332&gt;0,L332&lt;$B332,DATE($B$1,10,1)&lt;=TODAY(),OR($O332="",$O332&gt;=DATE($B$1,10,1)),OR(COUNTIF($C332:L332,"&gt;0")&gt;0,DATE($B$1,10,1)=DATE(YEAR(TODAY()),MONTH(TODAY()),1))),1,0))</f>
        <v/>
      </c>
      <c r="Z332">
        <f>IF($A332="","",IF(AND($B332&gt;0,M332&lt;$B332,DATE($B$1,11,1)&lt;=TODAY(),OR($O332="",$O332&gt;=DATE($B$1,11,1)),OR(COUNTIF($C332:M332,"&gt;0")&gt;0,DATE($B$1,11,1)=DATE(YEAR(TODAY()),MONTH(TODAY()),1))),1,0))</f>
        <v/>
      </c>
      <c r="AA332">
        <f>IF($A332="","",IF(AND($B332&gt;0,N332&lt;$B332,DATE($B$1,12,1)&lt;=TODAY(),OR($O332="",$O332&gt;=DATE($B$1,12,1)),OR(COUNTIF($C332:N332,"&gt;0")&gt;0,DATE($B$1,12,1)=DATE(YEAR(TODAY()),MONTH(TODAY()),1))),1,0))</f>
        <v/>
      </c>
    </row>
    <row r="333">
      <c r="A333" s="13">
        <f>IF(원생!$A331="","",원생!$A331&amp;IF(원생!$G331="",""," ("&amp;원생!$G331&amp;")"))</f>
        <v/>
      </c>
      <c r="B333" s="8">
        <f>IF(원생!$A331="","",원생!$F331)</f>
        <v/>
      </c>
      <c r="C333" s="14">
        <f>IF(원생!$A331="","",SUMIFS(수납!$F:$F,수납!$C:$C,원생!$A331,수납!$D:$D,IF(원생!$G331="","",원생!$G331),수납!$B:$B,$B$1&amp;"-"&amp;TEXT(1,"00")&amp;"*",수납!$E:$E,"수강료")+SUMIFS(수납!$F:$F,수납!$C:$C,원생!$A331,수납!$D:$D,IF(원생!$G331="","",원생!$G331),수납!$B:$B,$B$1&amp;"-"&amp;TEXT(1,"00")&amp;"*",수납!$E:$E,""))</f>
        <v/>
      </c>
      <c r="D333" s="14">
        <f>IF(원생!$A331="","",SUMIFS(수납!$F:$F,수납!$C:$C,원생!$A331,수납!$D:$D,IF(원생!$G331="","",원생!$G331),수납!$B:$B,$B$1&amp;"-"&amp;TEXT(2,"00")&amp;"*",수납!$E:$E,"수강료")+SUMIFS(수납!$F:$F,수납!$C:$C,원생!$A331,수납!$D:$D,IF(원생!$G331="","",원생!$G331),수납!$B:$B,$B$1&amp;"-"&amp;TEXT(2,"00")&amp;"*",수납!$E:$E,""))</f>
        <v/>
      </c>
      <c r="E333" s="14">
        <f>IF(원생!$A331="","",SUMIFS(수납!$F:$F,수납!$C:$C,원생!$A331,수납!$D:$D,IF(원생!$G331="","",원생!$G331),수납!$B:$B,$B$1&amp;"-"&amp;TEXT(3,"00")&amp;"*",수납!$E:$E,"수강료")+SUMIFS(수납!$F:$F,수납!$C:$C,원생!$A331,수납!$D:$D,IF(원생!$G331="","",원생!$G331),수납!$B:$B,$B$1&amp;"-"&amp;TEXT(3,"00")&amp;"*",수납!$E:$E,""))</f>
        <v/>
      </c>
      <c r="F333" s="14">
        <f>IF(원생!$A331="","",SUMIFS(수납!$F:$F,수납!$C:$C,원생!$A331,수납!$D:$D,IF(원생!$G331="","",원생!$G331),수납!$B:$B,$B$1&amp;"-"&amp;TEXT(4,"00")&amp;"*",수납!$E:$E,"수강료")+SUMIFS(수납!$F:$F,수납!$C:$C,원생!$A331,수납!$D:$D,IF(원생!$G331="","",원생!$G331),수납!$B:$B,$B$1&amp;"-"&amp;TEXT(4,"00")&amp;"*",수납!$E:$E,""))</f>
        <v/>
      </c>
      <c r="G333" s="14">
        <f>IF(원생!$A331="","",SUMIFS(수납!$F:$F,수납!$C:$C,원생!$A331,수납!$D:$D,IF(원생!$G331="","",원생!$G331),수납!$B:$B,$B$1&amp;"-"&amp;TEXT(5,"00")&amp;"*",수납!$E:$E,"수강료")+SUMIFS(수납!$F:$F,수납!$C:$C,원생!$A331,수납!$D:$D,IF(원생!$G331="","",원생!$G331),수납!$B:$B,$B$1&amp;"-"&amp;TEXT(5,"00")&amp;"*",수납!$E:$E,""))</f>
        <v/>
      </c>
      <c r="H333" s="14">
        <f>IF(원생!$A331="","",SUMIFS(수납!$F:$F,수납!$C:$C,원생!$A331,수납!$D:$D,IF(원생!$G331="","",원생!$G331),수납!$B:$B,$B$1&amp;"-"&amp;TEXT(6,"00")&amp;"*",수납!$E:$E,"수강료")+SUMIFS(수납!$F:$F,수납!$C:$C,원생!$A331,수납!$D:$D,IF(원생!$G331="","",원생!$G331),수납!$B:$B,$B$1&amp;"-"&amp;TEXT(6,"00")&amp;"*",수납!$E:$E,""))</f>
        <v/>
      </c>
      <c r="I333" s="14">
        <f>IF(원생!$A331="","",SUMIFS(수납!$F:$F,수납!$C:$C,원생!$A331,수납!$D:$D,IF(원생!$G331="","",원생!$G331),수납!$B:$B,$B$1&amp;"-"&amp;TEXT(7,"00")&amp;"*",수납!$E:$E,"수강료")+SUMIFS(수납!$F:$F,수납!$C:$C,원생!$A331,수납!$D:$D,IF(원생!$G331="","",원생!$G331),수납!$B:$B,$B$1&amp;"-"&amp;TEXT(7,"00")&amp;"*",수납!$E:$E,""))</f>
        <v/>
      </c>
      <c r="J333" s="14">
        <f>IF(원생!$A331="","",SUMIFS(수납!$F:$F,수납!$C:$C,원생!$A331,수납!$D:$D,IF(원생!$G331="","",원생!$G331),수납!$B:$B,$B$1&amp;"-"&amp;TEXT(8,"00")&amp;"*",수납!$E:$E,"수강료")+SUMIFS(수납!$F:$F,수납!$C:$C,원생!$A331,수납!$D:$D,IF(원생!$G331="","",원생!$G331),수납!$B:$B,$B$1&amp;"-"&amp;TEXT(8,"00")&amp;"*",수납!$E:$E,""))</f>
        <v/>
      </c>
      <c r="K333" s="14">
        <f>IF(원생!$A331="","",SUMIFS(수납!$F:$F,수납!$C:$C,원생!$A331,수납!$D:$D,IF(원생!$G331="","",원생!$G331),수납!$B:$B,$B$1&amp;"-"&amp;TEXT(9,"00")&amp;"*",수납!$E:$E,"수강료")+SUMIFS(수납!$F:$F,수납!$C:$C,원생!$A331,수납!$D:$D,IF(원생!$G331="","",원생!$G331),수납!$B:$B,$B$1&amp;"-"&amp;TEXT(9,"00")&amp;"*",수납!$E:$E,""))</f>
        <v/>
      </c>
      <c r="L333" s="14">
        <f>IF(원생!$A331="","",SUMIFS(수납!$F:$F,수납!$C:$C,원생!$A331,수납!$D:$D,IF(원생!$G331="","",원생!$G331),수납!$B:$B,$B$1&amp;"-"&amp;TEXT(10,"00")&amp;"*",수납!$E:$E,"수강료")+SUMIFS(수납!$F:$F,수납!$C:$C,원생!$A331,수납!$D:$D,IF(원생!$G331="","",원생!$G331),수납!$B:$B,$B$1&amp;"-"&amp;TEXT(10,"00")&amp;"*",수납!$E:$E,""))</f>
        <v/>
      </c>
      <c r="M333" s="14">
        <f>IF(원생!$A331="","",SUMIFS(수납!$F:$F,수납!$C:$C,원생!$A331,수납!$D:$D,IF(원생!$G331="","",원생!$G331),수납!$B:$B,$B$1&amp;"-"&amp;TEXT(11,"00")&amp;"*",수납!$E:$E,"수강료")+SUMIFS(수납!$F:$F,수납!$C:$C,원생!$A331,수납!$D:$D,IF(원생!$G331="","",원생!$G331),수납!$B:$B,$B$1&amp;"-"&amp;TEXT(11,"00")&amp;"*",수납!$E:$E,""))</f>
        <v/>
      </c>
      <c r="N333" s="14">
        <f>IF(원생!$A331="","",SUMIFS(수납!$F:$F,수납!$C:$C,원생!$A331,수납!$D:$D,IF(원생!$G331="","",원생!$G331),수납!$B:$B,$B$1&amp;"-"&amp;TEXT(12,"00")&amp;"*",수납!$E:$E,"수강료")+SUMIFS(수납!$F:$F,수납!$C:$C,원생!$A331,수납!$D:$D,IF(원생!$G331="","",원생!$G331),수납!$B:$B,$B$1&amp;"-"&amp;TEXT(12,"00")&amp;"*",수납!$E:$E,""))</f>
        <v/>
      </c>
      <c r="O333">
        <f>IF(원생!$I331="","",원생!$I331)</f>
        <v/>
      </c>
      <c r="P333">
        <f>IF($A333="","",IF(AND($B333&gt;0,C333&lt;$B333,DATE($B$1,1,1)&lt;=TODAY(),OR($O333="",$O333&gt;=DATE($B$1,1,1)),OR(COUNTIF($C333:C333,"&gt;0")&gt;0,DATE($B$1,1,1)=DATE(YEAR(TODAY()),MONTH(TODAY()),1))),1,0))</f>
        <v/>
      </c>
      <c r="Q333">
        <f>IF($A333="","",IF(AND($B333&gt;0,D333&lt;$B333,DATE($B$1,2,1)&lt;=TODAY(),OR($O333="",$O333&gt;=DATE($B$1,2,1)),OR(COUNTIF($C333:D333,"&gt;0")&gt;0,DATE($B$1,2,1)=DATE(YEAR(TODAY()),MONTH(TODAY()),1))),1,0))</f>
        <v/>
      </c>
      <c r="R333">
        <f>IF($A333="","",IF(AND($B333&gt;0,E333&lt;$B333,DATE($B$1,3,1)&lt;=TODAY(),OR($O333="",$O333&gt;=DATE($B$1,3,1)),OR(COUNTIF($C333:E333,"&gt;0")&gt;0,DATE($B$1,3,1)=DATE(YEAR(TODAY()),MONTH(TODAY()),1))),1,0))</f>
        <v/>
      </c>
      <c r="S333">
        <f>IF($A333="","",IF(AND($B333&gt;0,F333&lt;$B333,DATE($B$1,4,1)&lt;=TODAY(),OR($O333="",$O333&gt;=DATE($B$1,4,1)),OR(COUNTIF($C333:F333,"&gt;0")&gt;0,DATE($B$1,4,1)=DATE(YEAR(TODAY()),MONTH(TODAY()),1))),1,0))</f>
        <v/>
      </c>
      <c r="T333">
        <f>IF($A333="","",IF(AND($B333&gt;0,G333&lt;$B333,DATE($B$1,5,1)&lt;=TODAY(),OR($O333="",$O333&gt;=DATE($B$1,5,1)),OR(COUNTIF($C333:G333,"&gt;0")&gt;0,DATE($B$1,5,1)=DATE(YEAR(TODAY()),MONTH(TODAY()),1))),1,0))</f>
        <v/>
      </c>
      <c r="U333">
        <f>IF($A333="","",IF(AND($B333&gt;0,H333&lt;$B333,DATE($B$1,6,1)&lt;=TODAY(),OR($O333="",$O333&gt;=DATE($B$1,6,1)),OR(COUNTIF($C333:H333,"&gt;0")&gt;0,DATE($B$1,6,1)=DATE(YEAR(TODAY()),MONTH(TODAY()),1))),1,0))</f>
        <v/>
      </c>
      <c r="V333">
        <f>IF($A333="","",IF(AND($B333&gt;0,I333&lt;$B333,DATE($B$1,7,1)&lt;=TODAY(),OR($O333="",$O333&gt;=DATE($B$1,7,1)),OR(COUNTIF($C333:I333,"&gt;0")&gt;0,DATE($B$1,7,1)=DATE(YEAR(TODAY()),MONTH(TODAY()),1))),1,0))</f>
        <v/>
      </c>
      <c r="W333">
        <f>IF($A333="","",IF(AND($B333&gt;0,J333&lt;$B333,DATE($B$1,8,1)&lt;=TODAY(),OR($O333="",$O333&gt;=DATE($B$1,8,1)),OR(COUNTIF($C333:J333,"&gt;0")&gt;0,DATE($B$1,8,1)=DATE(YEAR(TODAY()),MONTH(TODAY()),1))),1,0))</f>
        <v/>
      </c>
      <c r="X333">
        <f>IF($A333="","",IF(AND($B333&gt;0,K333&lt;$B333,DATE($B$1,9,1)&lt;=TODAY(),OR($O333="",$O333&gt;=DATE($B$1,9,1)),OR(COUNTIF($C333:K333,"&gt;0")&gt;0,DATE($B$1,9,1)=DATE(YEAR(TODAY()),MONTH(TODAY()),1))),1,0))</f>
        <v/>
      </c>
      <c r="Y333">
        <f>IF($A333="","",IF(AND($B333&gt;0,L333&lt;$B333,DATE($B$1,10,1)&lt;=TODAY(),OR($O333="",$O333&gt;=DATE($B$1,10,1)),OR(COUNTIF($C333:L333,"&gt;0")&gt;0,DATE($B$1,10,1)=DATE(YEAR(TODAY()),MONTH(TODAY()),1))),1,0))</f>
        <v/>
      </c>
      <c r="Z333">
        <f>IF($A333="","",IF(AND($B333&gt;0,M333&lt;$B333,DATE($B$1,11,1)&lt;=TODAY(),OR($O333="",$O333&gt;=DATE($B$1,11,1)),OR(COUNTIF($C333:M333,"&gt;0")&gt;0,DATE($B$1,11,1)=DATE(YEAR(TODAY()),MONTH(TODAY()),1))),1,0))</f>
        <v/>
      </c>
      <c r="AA333">
        <f>IF($A333="","",IF(AND($B333&gt;0,N333&lt;$B333,DATE($B$1,12,1)&lt;=TODAY(),OR($O333="",$O333&gt;=DATE($B$1,12,1)),OR(COUNTIF($C333:N333,"&gt;0")&gt;0,DATE($B$1,12,1)=DATE(YEAR(TODAY()),MONTH(TODAY()),1))),1,0))</f>
        <v/>
      </c>
    </row>
    <row r="334">
      <c r="A334" s="13">
        <f>IF(원생!$A332="","",원생!$A332&amp;IF(원생!$G332="",""," ("&amp;원생!$G332&amp;")"))</f>
        <v/>
      </c>
      <c r="B334" s="8">
        <f>IF(원생!$A332="","",원생!$F332)</f>
        <v/>
      </c>
      <c r="C334" s="14">
        <f>IF(원생!$A332="","",SUMIFS(수납!$F:$F,수납!$C:$C,원생!$A332,수납!$D:$D,IF(원생!$G332="","",원생!$G332),수납!$B:$B,$B$1&amp;"-"&amp;TEXT(1,"00")&amp;"*",수납!$E:$E,"수강료")+SUMIFS(수납!$F:$F,수납!$C:$C,원생!$A332,수납!$D:$D,IF(원생!$G332="","",원생!$G332),수납!$B:$B,$B$1&amp;"-"&amp;TEXT(1,"00")&amp;"*",수납!$E:$E,""))</f>
        <v/>
      </c>
      <c r="D334" s="14">
        <f>IF(원생!$A332="","",SUMIFS(수납!$F:$F,수납!$C:$C,원생!$A332,수납!$D:$D,IF(원생!$G332="","",원생!$G332),수납!$B:$B,$B$1&amp;"-"&amp;TEXT(2,"00")&amp;"*",수납!$E:$E,"수강료")+SUMIFS(수납!$F:$F,수납!$C:$C,원생!$A332,수납!$D:$D,IF(원생!$G332="","",원생!$G332),수납!$B:$B,$B$1&amp;"-"&amp;TEXT(2,"00")&amp;"*",수납!$E:$E,""))</f>
        <v/>
      </c>
      <c r="E334" s="14">
        <f>IF(원생!$A332="","",SUMIFS(수납!$F:$F,수납!$C:$C,원생!$A332,수납!$D:$D,IF(원생!$G332="","",원생!$G332),수납!$B:$B,$B$1&amp;"-"&amp;TEXT(3,"00")&amp;"*",수납!$E:$E,"수강료")+SUMIFS(수납!$F:$F,수납!$C:$C,원생!$A332,수납!$D:$D,IF(원생!$G332="","",원생!$G332),수납!$B:$B,$B$1&amp;"-"&amp;TEXT(3,"00")&amp;"*",수납!$E:$E,""))</f>
        <v/>
      </c>
      <c r="F334" s="14">
        <f>IF(원생!$A332="","",SUMIFS(수납!$F:$F,수납!$C:$C,원생!$A332,수납!$D:$D,IF(원생!$G332="","",원생!$G332),수납!$B:$B,$B$1&amp;"-"&amp;TEXT(4,"00")&amp;"*",수납!$E:$E,"수강료")+SUMIFS(수납!$F:$F,수납!$C:$C,원생!$A332,수납!$D:$D,IF(원생!$G332="","",원생!$G332),수납!$B:$B,$B$1&amp;"-"&amp;TEXT(4,"00")&amp;"*",수납!$E:$E,""))</f>
        <v/>
      </c>
      <c r="G334" s="14">
        <f>IF(원생!$A332="","",SUMIFS(수납!$F:$F,수납!$C:$C,원생!$A332,수납!$D:$D,IF(원생!$G332="","",원생!$G332),수납!$B:$B,$B$1&amp;"-"&amp;TEXT(5,"00")&amp;"*",수납!$E:$E,"수강료")+SUMIFS(수납!$F:$F,수납!$C:$C,원생!$A332,수납!$D:$D,IF(원생!$G332="","",원생!$G332),수납!$B:$B,$B$1&amp;"-"&amp;TEXT(5,"00")&amp;"*",수납!$E:$E,""))</f>
        <v/>
      </c>
      <c r="H334" s="14">
        <f>IF(원생!$A332="","",SUMIFS(수납!$F:$F,수납!$C:$C,원생!$A332,수납!$D:$D,IF(원생!$G332="","",원생!$G332),수납!$B:$B,$B$1&amp;"-"&amp;TEXT(6,"00")&amp;"*",수납!$E:$E,"수강료")+SUMIFS(수납!$F:$F,수납!$C:$C,원생!$A332,수납!$D:$D,IF(원생!$G332="","",원생!$G332),수납!$B:$B,$B$1&amp;"-"&amp;TEXT(6,"00")&amp;"*",수납!$E:$E,""))</f>
        <v/>
      </c>
      <c r="I334" s="14">
        <f>IF(원생!$A332="","",SUMIFS(수납!$F:$F,수납!$C:$C,원생!$A332,수납!$D:$D,IF(원생!$G332="","",원생!$G332),수납!$B:$B,$B$1&amp;"-"&amp;TEXT(7,"00")&amp;"*",수납!$E:$E,"수강료")+SUMIFS(수납!$F:$F,수납!$C:$C,원생!$A332,수납!$D:$D,IF(원생!$G332="","",원생!$G332),수납!$B:$B,$B$1&amp;"-"&amp;TEXT(7,"00")&amp;"*",수납!$E:$E,""))</f>
        <v/>
      </c>
      <c r="J334" s="14">
        <f>IF(원생!$A332="","",SUMIFS(수납!$F:$F,수납!$C:$C,원생!$A332,수납!$D:$D,IF(원생!$G332="","",원생!$G332),수납!$B:$B,$B$1&amp;"-"&amp;TEXT(8,"00")&amp;"*",수납!$E:$E,"수강료")+SUMIFS(수납!$F:$F,수납!$C:$C,원생!$A332,수납!$D:$D,IF(원생!$G332="","",원생!$G332),수납!$B:$B,$B$1&amp;"-"&amp;TEXT(8,"00")&amp;"*",수납!$E:$E,""))</f>
        <v/>
      </c>
      <c r="K334" s="14">
        <f>IF(원생!$A332="","",SUMIFS(수납!$F:$F,수납!$C:$C,원생!$A332,수납!$D:$D,IF(원생!$G332="","",원생!$G332),수납!$B:$B,$B$1&amp;"-"&amp;TEXT(9,"00")&amp;"*",수납!$E:$E,"수강료")+SUMIFS(수납!$F:$F,수납!$C:$C,원생!$A332,수납!$D:$D,IF(원생!$G332="","",원생!$G332),수납!$B:$B,$B$1&amp;"-"&amp;TEXT(9,"00")&amp;"*",수납!$E:$E,""))</f>
        <v/>
      </c>
      <c r="L334" s="14">
        <f>IF(원생!$A332="","",SUMIFS(수납!$F:$F,수납!$C:$C,원생!$A332,수납!$D:$D,IF(원생!$G332="","",원생!$G332),수납!$B:$B,$B$1&amp;"-"&amp;TEXT(10,"00")&amp;"*",수납!$E:$E,"수강료")+SUMIFS(수납!$F:$F,수납!$C:$C,원생!$A332,수납!$D:$D,IF(원생!$G332="","",원생!$G332),수납!$B:$B,$B$1&amp;"-"&amp;TEXT(10,"00")&amp;"*",수납!$E:$E,""))</f>
        <v/>
      </c>
      <c r="M334" s="14">
        <f>IF(원생!$A332="","",SUMIFS(수납!$F:$F,수납!$C:$C,원생!$A332,수납!$D:$D,IF(원생!$G332="","",원생!$G332),수납!$B:$B,$B$1&amp;"-"&amp;TEXT(11,"00")&amp;"*",수납!$E:$E,"수강료")+SUMIFS(수납!$F:$F,수납!$C:$C,원생!$A332,수납!$D:$D,IF(원생!$G332="","",원생!$G332),수납!$B:$B,$B$1&amp;"-"&amp;TEXT(11,"00")&amp;"*",수납!$E:$E,""))</f>
        <v/>
      </c>
      <c r="N334" s="14">
        <f>IF(원생!$A332="","",SUMIFS(수납!$F:$F,수납!$C:$C,원생!$A332,수납!$D:$D,IF(원생!$G332="","",원생!$G332),수납!$B:$B,$B$1&amp;"-"&amp;TEXT(12,"00")&amp;"*",수납!$E:$E,"수강료")+SUMIFS(수납!$F:$F,수납!$C:$C,원생!$A332,수납!$D:$D,IF(원생!$G332="","",원생!$G332),수납!$B:$B,$B$1&amp;"-"&amp;TEXT(12,"00")&amp;"*",수납!$E:$E,""))</f>
        <v/>
      </c>
      <c r="O334">
        <f>IF(원생!$I332="","",원생!$I332)</f>
        <v/>
      </c>
      <c r="P334">
        <f>IF($A334="","",IF(AND($B334&gt;0,C334&lt;$B334,DATE($B$1,1,1)&lt;=TODAY(),OR($O334="",$O334&gt;=DATE($B$1,1,1)),OR(COUNTIF($C334:C334,"&gt;0")&gt;0,DATE($B$1,1,1)=DATE(YEAR(TODAY()),MONTH(TODAY()),1))),1,0))</f>
        <v/>
      </c>
      <c r="Q334">
        <f>IF($A334="","",IF(AND($B334&gt;0,D334&lt;$B334,DATE($B$1,2,1)&lt;=TODAY(),OR($O334="",$O334&gt;=DATE($B$1,2,1)),OR(COUNTIF($C334:D334,"&gt;0")&gt;0,DATE($B$1,2,1)=DATE(YEAR(TODAY()),MONTH(TODAY()),1))),1,0))</f>
        <v/>
      </c>
      <c r="R334">
        <f>IF($A334="","",IF(AND($B334&gt;0,E334&lt;$B334,DATE($B$1,3,1)&lt;=TODAY(),OR($O334="",$O334&gt;=DATE($B$1,3,1)),OR(COUNTIF($C334:E334,"&gt;0")&gt;0,DATE($B$1,3,1)=DATE(YEAR(TODAY()),MONTH(TODAY()),1))),1,0))</f>
        <v/>
      </c>
      <c r="S334">
        <f>IF($A334="","",IF(AND($B334&gt;0,F334&lt;$B334,DATE($B$1,4,1)&lt;=TODAY(),OR($O334="",$O334&gt;=DATE($B$1,4,1)),OR(COUNTIF($C334:F334,"&gt;0")&gt;0,DATE($B$1,4,1)=DATE(YEAR(TODAY()),MONTH(TODAY()),1))),1,0))</f>
        <v/>
      </c>
      <c r="T334">
        <f>IF($A334="","",IF(AND($B334&gt;0,G334&lt;$B334,DATE($B$1,5,1)&lt;=TODAY(),OR($O334="",$O334&gt;=DATE($B$1,5,1)),OR(COUNTIF($C334:G334,"&gt;0")&gt;0,DATE($B$1,5,1)=DATE(YEAR(TODAY()),MONTH(TODAY()),1))),1,0))</f>
        <v/>
      </c>
      <c r="U334">
        <f>IF($A334="","",IF(AND($B334&gt;0,H334&lt;$B334,DATE($B$1,6,1)&lt;=TODAY(),OR($O334="",$O334&gt;=DATE($B$1,6,1)),OR(COUNTIF($C334:H334,"&gt;0")&gt;0,DATE($B$1,6,1)=DATE(YEAR(TODAY()),MONTH(TODAY()),1))),1,0))</f>
        <v/>
      </c>
      <c r="V334">
        <f>IF($A334="","",IF(AND($B334&gt;0,I334&lt;$B334,DATE($B$1,7,1)&lt;=TODAY(),OR($O334="",$O334&gt;=DATE($B$1,7,1)),OR(COUNTIF($C334:I334,"&gt;0")&gt;0,DATE($B$1,7,1)=DATE(YEAR(TODAY()),MONTH(TODAY()),1))),1,0))</f>
        <v/>
      </c>
      <c r="W334">
        <f>IF($A334="","",IF(AND($B334&gt;0,J334&lt;$B334,DATE($B$1,8,1)&lt;=TODAY(),OR($O334="",$O334&gt;=DATE($B$1,8,1)),OR(COUNTIF($C334:J334,"&gt;0")&gt;0,DATE($B$1,8,1)=DATE(YEAR(TODAY()),MONTH(TODAY()),1))),1,0))</f>
        <v/>
      </c>
      <c r="X334">
        <f>IF($A334="","",IF(AND($B334&gt;0,K334&lt;$B334,DATE($B$1,9,1)&lt;=TODAY(),OR($O334="",$O334&gt;=DATE($B$1,9,1)),OR(COUNTIF($C334:K334,"&gt;0")&gt;0,DATE($B$1,9,1)=DATE(YEAR(TODAY()),MONTH(TODAY()),1))),1,0))</f>
        <v/>
      </c>
      <c r="Y334">
        <f>IF($A334="","",IF(AND($B334&gt;0,L334&lt;$B334,DATE($B$1,10,1)&lt;=TODAY(),OR($O334="",$O334&gt;=DATE($B$1,10,1)),OR(COUNTIF($C334:L334,"&gt;0")&gt;0,DATE($B$1,10,1)=DATE(YEAR(TODAY()),MONTH(TODAY()),1))),1,0))</f>
        <v/>
      </c>
      <c r="Z334">
        <f>IF($A334="","",IF(AND($B334&gt;0,M334&lt;$B334,DATE($B$1,11,1)&lt;=TODAY(),OR($O334="",$O334&gt;=DATE($B$1,11,1)),OR(COUNTIF($C334:M334,"&gt;0")&gt;0,DATE($B$1,11,1)=DATE(YEAR(TODAY()),MONTH(TODAY()),1))),1,0))</f>
        <v/>
      </c>
      <c r="AA334">
        <f>IF($A334="","",IF(AND($B334&gt;0,N334&lt;$B334,DATE($B$1,12,1)&lt;=TODAY(),OR($O334="",$O334&gt;=DATE($B$1,12,1)),OR(COUNTIF($C334:N334,"&gt;0")&gt;0,DATE($B$1,12,1)=DATE(YEAR(TODAY()),MONTH(TODAY()),1))),1,0))</f>
        <v/>
      </c>
    </row>
    <row r="335">
      <c r="A335" s="13">
        <f>IF(원생!$A333="","",원생!$A333&amp;IF(원생!$G333="",""," ("&amp;원생!$G333&amp;")"))</f>
        <v/>
      </c>
      <c r="B335" s="8">
        <f>IF(원생!$A333="","",원생!$F333)</f>
        <v/>
      </c>
      <c r="C335" s="14">
        <f>IF(원생!$A333="","",SUMIFS(수납!$F:$F,수납!$C:$C,원생!$A333,수납!$D:$D,IF(원생!$G333="","",원생!$G333),수납!$B:$B,$B$1&amp;"-"&amp;TEXT(1,"00")&amp;"*",수납!$E:$E,"수강료")+SUMIFS(수납!$F:$F,수납!$C:$C,원생!$A333,수납!$D:$D,IF(원생!$G333="","",원생!$G333),수납!$B:$B,$B$1&amp;"-"&amp;TEXT(1,"00")&amp;"*",수납!$E:$E,""))</f>
        <v/>
      </c>
      <c r="D335" s="14">
        <f>IF(원생!$A333="","",SUMIFS(수납!$F:$F,수납!$C:$C,원생!$A333,수납!$D:$D,IF(원생!$G333="","",원생!$G333),수납!$B:$B,$B$1&amp;"-"&amp;TEXT(2,"00")&amp;"*",수납!$E:$E,"수강료")+SUMIFS(수납!$F:$F,수납!$C:$C,원생!$A333,수납!$D:$D,IF(원생!$G333="","",원생!$G333),수납!$B:$B,$B$1&amp;"-"&amp;TEXT(2,"00")&amp;"*",수납!$E:$E,""))</f>
        <v/>
      </c>
      <c r="E335" s="14">
        <f>IF(원생!$A333="","",SUMIFS(수납!$F:$F,수납!$C:$C,원생!$A333,수납!$D:$D,IF(원생!$G333="","",원생!$G333),수납!$B:$B,$B$1&amp;"-"&amp;TEXT(3,"00")&amp;"*",수납!$E:$E,"수강료")+SUMIFS(수납!$F:$F,수납!$C:$C,원생!$A333,수납!$D:$D,IF(원생!$G333="","",원생!$G333),수납!$B:$B,$B$1&amp;"-"&amp;TEXT(3,"00")&amp;"*",수납!$E:$E,""))</f>
        <v/>
      </c>
      <c r="F335" s="14">
        <f>IF(원생!$A333="","",SUMIFS(수납!$F:$F,수납!$C:$C,원생!$A333,수납!$D:$D,IF(원생!$G333="","",원생!$G333),수납!$B:$B,$B$1&amp;"-"&amp;TEXT(4,"00")&amp;"*",수납!$E:$E,"수강료")+SUMIFS(수납!$F:$F,수납!$C:$C,원생!$A333,수납!$D:$D,IF(원생!$G333="","",원생!$G333),수납!$B:$B,$B$1&amp;"-"&amp;TEXT(4,"00")&amp;"*",수납!$E:$E,""))</f>
        <v/>
      </c>
      <c r="G335" s="14">
        <f>IF(원생!$A333="","",SUMIFS(수납!$F:$F,수납!$C:$C,원생!$A333,수납!$D:$D,IF(원생!$G333="","",원생!$G333),수납!$B:$B,$B$1&amp;"-"&amp;TEXT(5,"00")&amp;"*",수납!$E:$E,"수강료")+SUMIFS(수납!$F:$F,수납!$C:$C,원생!$A333,수납!$D:$D,IF(원생!$G333="","",원생!$G333),수납!$B:$B,$B$1&amp;"-"&amp;TEXT(5,"00")&amp;"*",수납!$E:$E,""))</f>
        <v/>
      </c>
      <c r="H335" s="14">
        <f>IF(원생!$A333="","",SUMIFS(수납!$F:$F,수납!$C:$C,원생!$A333,수납!$D:$D,IF(원생!$G333="","",원생!$G333),수납!$B:$B,$B$1&amp;"-"&amp;TEXT(6,"00")&amp;"*",수납!$E:$E,"수강료")+SUMIFS(수납!$F:$F,수납!$C:$C,원생!$A333,수납!$D:$D,IF(원생!$G333="","",원생!$G333),수납!$B:$B,$B$1&amp;"-"&amp;TEXT(6,"00")&amp;"*",수납!$E:$E,""))</f>
        <v/>
      </c>
      <c r="I335" s="14">
        <f>IF(원생!$A333="","",SUMIFS(수납!$F:$F,수납!$C:$C,원생!$A333,수납!$D:$D,IF(원생!$G333="","",원생!$G333),수납!$B:$B,$B$1&amp;"-"&amp;TEXT(7,"00")&amp;"*",수납!$E:$E,"수강료")+SUMIFS(수납!$F:$F,수납!$C:$C,원생!$A333,수납!$D:$D,IF(원생!$G333="","",원생!$G333),수납!$B:$B,$B$1&amp;"-"&amp;TEXT(7,"00")&amp;"*",수납!$E:$E,""))</f>
        <v/>
      </c>
      <c r="J335" s="14">
        <f>IF(원생!$A333="","",SUMIFS(수납!$F:$F,수납!$C:$C,원생!$A333,수납!$D:$D,IF(원생!$G333="","",원생!$G333),수납!$B:$B,$B$1&amp;"-"&amp;TEXT(8,"00")&amp;"*",수납!$E:$E,"수강료")+SUMIFS(수납!$F:$F,수납!$C:$C,원생!$A333,수납!$D:$D,IF(원생!$G333="","",원생!$G333),수납!$B:$B,$B$1&amp;"-"&amp;TEXT(8,"00")&amp;"*",수납!$E:$E,""))</f>
        <v/>
      </c>
      <c r="K335" s="14">
        <f>IF(원생!$A333="","",SUMIFS(수납!$F:$F,수납!$C:$C,원생!$A333,수납!$D:$D,IF(원생!$G333="","",원생!$G333),수납!$B:$B,$B$1&amp;"-"&amp;TEXT(9,"00")&amp;"*",수납!$E:$E,"수강료")+SUMIFS(수납!$F:$F,수납!$C:$C,원생!$A333,수납!$D:$D,IF(원생!$G333="","",원생!$G333),수납!$B:$B,$B$1&amp;"-"&amp;TEXT(9,"00")&amp;"*",수납!$E:$E,""))</f>
        <v/>
      </c>
      <c r="L335" s="14">
        <f>IF(원생!$A333="","",SUMIFS(수납!$F:$F,수납!$C:$C,원생!$A333,수납!$D:$D,IF(원생!$G333="","",원생!$G333),수납!$B:$B,$B$1&amp;"-"&amp;TEXT(10,"00")&amp;"*",수납!$E:$E,"수강료")+SUMIFS(수납!$F:$F,수납!$C:$C,원생!$A333,수납!$D:$D,IF(원생!$G333="","",원생!$G333),수납!$B:$B,$B$1&amp;"-"&amp;TEXT(10,"00")&amp;"*",수납!$E:$E,""))</f>
        <v/>
      </c>
      <c r="M335" s="14">
        <f>IF(원생!$A333="","",SUMIFS(수납!$F:$F,수납!$C:$C,원생!$A333,수납!$D:$D,IF(원생!$G333="","",원생!$G333),수납!$B:$B,$B$1&amp;"-"&amp;TEXT(11,"00")&amp;"*",수납!$E:$E,"수강료")+SUMIFS(수납!$F:$F,수납!$C:$C,원생!$A333,수납!$D:$D,IF(원생!$G333="","",원생!$G333),수납!$B:$B,$B$1&amp;"-"&amp;TEXT(11,"00")&amp;"*",수납!$E:$E,""))</f>
        <v/>
      </c>
      <c r="N335" s="14">
        <f>IF(원생!$A333="","",SUMIFS(수납!$F:$F,수납!$C:$C,원생!$A333,수납!$D:$D,IF(원생!$G333="","",원생!$G333),수납!$B:$B,$B$1&amp;"-"&amp;TEXT(12,"00")&amp;"*",수납!$E:$E,"수강료")+SUMIFS(수납!$F:$F,수납!$C:$C,원생!$A333,수납!$D:$D,IF(원생!$G333="","",원생!$G333),수납!$B:$B,$B$1&amp;"-"&amp;TEXT(12,"00")&amp;"*",수납!$E:$E,""))</f>
        <v/>
      </c>
      <c r="O335">
        <f>IF(원생!$I333="","",원생!$I333)</f>
        <v/>
      </c>
      <c r="P335">
        <f>IF($A335="","",IF(AND($B335&gt;0,C335&lt;$B335,DATE($B$1,1,1)&lt;=TODAY(),OR($O335="",$O335&gt;=DATE($B$1,1,1)),OR(COUNTIF($C335:C335,"&gt;0")&gt;0,DATE($B$1,1,1)=DATE(YEAR(TODAY()),MONTH(TODAY()),1))),1,0))</f>
        <v/>
      </c>
      <c r="Q335">
        <f>IF($A335="","",IF(AND($B335&gt;0,D335&lt;$B335,DATE($B$1,2,1)&lt;=TODAY(),OR($O335="",$O335&gt;=DATE($B$1,2,1)),OR(COUNTIF($C335:D335,"&gt;0")&gt;0,DATE($B$1,2,1)=DATE(YEAR(TODAY()),MONTH(TODAY()),1))),1,0))</f>
        <v/>
      </c>
      <c r="R335">
        <f>IF($A335="","",IF(AND($B335&gt;0,E335&lt;$B335,DATE($B$1,3,1)&lt;=TODAY(),OR($O335="",$O335&gt;=DATE($B$1,3,1)),OR(COUNTIF($C335:E335,"&gt;0")&gt;0,DATE($B$1,3,1)=DATE(YEAR(TODAY()),MONTH(TODAY()),1))),1,0))</f>
        <v/>
      </c>
      <c r="S335">
        <f>IF($A335="","",IF(AND($B335&gt;0,F335&lt;$B335,DATE($B$1,4,1)&lt;=TODAY(),OR($O335="",$O335&gt;=DATE($B$1,4,1)),OR(COUNTIF($C335:F335,"&gt;0")&gt;0,DATE($B$1,4,1)=DATE(YEAR(TODAY()),MONTH(TODAY()),1))),1,0))</f>
        <v/>
      </c>
      <c r="T335">
        <f>IF($A335="","",IF(AND($B335&gt;0,G335&lt;$B335,DATE($B$1,5,1)&lt;=TODAY(),OR($O335="",$O335&gt;=DATE($B$1,5,1)),OR(COUNTIF($C335:G335,"&gt;0")&gt;0,DATE($B$1,5,1)=DATE(YEAR(TODAY()),MONTH(TODAY()),1))),1,0))</f>
        <v/>
      </c>
      <c r="U335">
        <f>IF($A335="","",IF(AND($B335&gt;0,H335&lt;$B335,DATE($B$1,6,1)&lt;=TODAY(),OR($O335="",$O335&gt;=DATE($B$1,6,1)),OR(COUNTIF($C335:H335,"&gt;0")&gt;0,DATE($B$1,6,1)=DATE(YEAR(TODAY()),MONTH(TODAY()),1))),1,0))</f>
        <v/>
      </c>
      <c r="V335">
        <f>IF($A335="","",IF(AND($B335&gt;0,I335&lt;$B335,DATE($B$1,7,1)&lt;=TODAY(),OR($O335="",$O335&gt;=DATE($B$1,7,1)),OR(COUNTIF($C335:I335,"&gt;0")&gt;0,DATE($B$1,7,1)=DATE(YEAR(TODAY()),MONTH(TODAY()),1))),1,0))</f>
        <v/>
      </c>
      <c r="W335">
        <f>IF($A335="","",IF(AND($B335&gt;0,J335&lt;$B335,DATE($B$1,8,1)&lt;=TODAY(),OR($O335="",$O335&gt;=DATE($B$1,8,1)),OR(COUNTIF($C335:J335,"&gt;0")&gt;0,DATE($B$1,8,1)=DATE(YEAR(TODAY()),MONTH(TODAY()),1))),1,0))</f>
        <v/>
      </c>
      <c r="X335">
        <f>IF($A335="","",IF(AND($B335&gt;0,K335&lt;$B335,DATE($B$1,9,1)&lt;=TODAY(),OR($O335="",$O335&gt;=DATE($B$1,9,1)),OR(COUNTIF($C335:K335,"&gt;0")&gt;0,DATE($B$1,9,1)=DATE(YEAR(TODAY()),MONTH(TODAY()),1))),1,0))</f>
        <v/>
      </c>
      <c r="Y335">
        <f>IF($A335="","",IF(AND($B335&gt;0,L335&lt;$B335,DATE($B$1,10,1)&lt;=TODAY(),OR($O335="",$O335&gt;=DATE($B$1,10,1)),OR(COUNTIF($C335:L335,"&gt;0")&gt;0,DATE($B$1,10,1)=DATE(YEAR(TODAY()),MONTH(TODAY()),1))),1,0))</f>
        <v/>
      </c>
      <c r="Z335">
        <f>IF($A335="","",IF(AND($B335&gt;0,M335&lt;$B335,DATE($B$1,11,1)&lt;=TODAY(),OR($O335="",$O335&gt;=DATE($B$1,11,1)),OR(COUNTIF($C335:M335,"&gt;0")&gt;0,DATE($B$1,11,1)=DATE(YEAR(TODAY()),MONTH(TODAY()),1))),1,0))</f>
        <v/>
      </c>
      <c r="AA335">
        <f>IF($A335="","",IF(AND($B335&gt;0,N335&lt;$B335,DATE($B$1,12,1)&lt;=TODAY(),OR($O335="",$O335&gt;=DATE($B$1,12,1)),OR(COUNTIF($C335:N335,"&gt;0")&gt;0,DATE($B$1,12,1)=DATE(YEAR(TODAY()),MONTH(TODAY()),1))),1,0))</f>
        <v/>
      </c>
    </row>
    <row r="336">
      <c r="A336" s="13">
        <f>IF(원생!$A334="","",원생!$A334&amp;IF(원생!$G334="",""," ("&amp;원생!$G334&amp;")"))</f>
        <v/>
      </c>
      <c r="B336" s="8">
        <f>IF(원생!$A334="","",원생!$F334)</f>
        <v/>
      </c>
      <c r="C336" s="14">
        <f>IF(원생!$A334="","",SUMIFS(수납!$F:$F,수납!$C:$C,원생!$A334,수납!$D:$D,IF(원생!$G334="","",원생!$G334),수납!$B:$B,$B$1&amp;"-"&amp;TEXT(1,"00")&amp;"*",수납!$E:$E,"수강료")+SUMIFS(수납!$F:$F,수납!$C:$C,원생!$A334,수납!$D:$D,IF(원생!$G334="","",원생!$G334),수납!$B:$B,$B$1&amp;"-"&amp;TEXT(1,"00")&amp;"*",수납!$E:$E,""))</f>
        <v/>
      </c>
      <c r="D336" s="14">
        <f>IF(원생!$A334="","",SUMIFS(수납!$F:$F,수납!$C:$C,원생!$A334,수납!$D:$D,IF(원생!$G334="","",원생!$G334),수납!$B:$B,$B$1&amp;"-"&amp;TEXT(2,"00")&amp;"*",수납!$E:$E,"수강료")+SUMIFS(수납!$F:$F,수납!$C:$C,원생!$A334,수납!$D:$D,IF(원생!$G334="","",원생!$G334),수납!$B:$B,$B$1&amp;"-"&amp;TEXT(2,"00")&amp;"*",수납!$E:$E,""))</f>
        <v/>
      </c>
      <c r="E336" s="14">
        <f>IF(원생!$A334="","",SUMIFS(수납!$F:$F,수납!$C:$C,원생!$A334,수납!$D:$D,IF(원생!$G334="","",원생!$G334),수납!$B:$B,$B$1&amp;"-"&amp;TEXT(3,"00")&amp;"*",수납!$E:$E,"수강료")+SUMIFS(수납!$F:$F,수납!$C:$C,원생!$A334,수납!$D:$D,IF(원생!$G334="","",원생!$G334),수납!$B:$B,$B$1&amp;"-"&amp;TEXT(3,"00")&amp;"*",수납!$E:$E,""))</f>
        <v/>
      </c>
      <c r="F336" s="14">
        <f>IF(원생!$A334="","",SUMIFS(수납!$F:$F,수납!$C:$C,원생!$A334,수납!$D:$D,IF(원생!$G334="","",원생!$G334),수납!$B:$B,$B$1&amp;"-"&amp;TEXT(4,"00")&amp;"*",수납!$E:$E,"수강료")+SUMIFS(수납!$F:$F,수납!$C:$C,원생!$A334,수납!$D:$D,IF(원생!$G334="","",원생!$G334),수납!$B:$B,$B$1&amp;"-"&amp;TEXT(4,"00")&amp;"*",수납!$E:$E,""))</f>
        <v/>
      </c>
      <c r="G336" s="14">
        <f>IF(원생!$A334="","",SUMIFS(수납!$F:$F,수납!$C:$C,원생!$A334,수납!$D:$D,IF(원생!$G334="","",원생!$G334),수납!$B:$B,$B$1&amp;"-"&amp;TEXT(5,"00")&amp;"*",수납!$E:$E,"수강료")+SUMIFS(수납!$F:$F,수납!$C:$C,원생!$A334,수납!$D:$D,IF(원생!$G334="","",원생!$G334),수납!$B:$B,$B$1&amp;"-"&amp;TEXT(5,"00")&amp;"*",수납!$E:$E,""))</f>
        <v/>
      </c>
      <c r="H336" s="14">
        <f>IF(원생!$A334="","",SUMIFS(수납!$F:$F,수납!$C:$C,원생!$A334,수납!$D:$D,IF(원생!$G334="","",원생!$G334),수납!$B:$B,$B$1&amp;"-"&amp;TEXT(6,"00")&amp;"*",수납!$E:$E,"수강료")+SUMIFS(수납!$F:$F,수납!$C:$C,원생!$A334,수납!$D:$D,IF(원생!$G334="","",원생!$G334),수납!$B:$B,$B$1&amp;"-"&amp;TEXT(6,"00")&amp;"*",수납!$E:$E,""))</f>
        <v/>
      </c>
      <c r="I336" s="14">
        <f>IF(원생!$A334="","",SUMIFS(수납!$F:$F,수납!$C:$C,원생!$A334,수납!$D:$D,IF(원생!$G334="","",원생!$G334),수납!$B:$B,$B$1&amp;"-"&amp;TEXT(7,"00")&amp;"*",수납!$E:$E,"수강료")+SUMIFS(수납!$F:$F,수납!$C:$C,원생!$A334,수납!$D:$D,IF(원생!$G334="","",원생!$G334),수납!$B:$B,$B$1&amp;"-"&amp;TEXT(7,"00")&amp;"*",수납!$E:$E,""))</f>
        <v/>
      </c>
      <c r="J336" s="14">
        <f>IF(원생!$A334="","",SUMIFS(수납!$F:$F,수납!$C:$C,원생!$A334,수납!$D:$D,IF(원생!$G334="","",원생!$G334),수납!$B:$B,$B$1&amp;"-"&amp;TEXT(8,"00")&amp;"*",수납!$E:$E,"수강료")+SUMIFS(수납!$F:$F,수납!$C:$C,원생!$A334,수납!$D:$D,IF(원생!$G334="","",원생!$G334),수납!$B:$B,$B$1&amp;"-"&amp;TEXT(8,"00")&amp;"*",수납!$E:$E,""))</f>
        <v/>
      </c>
      <c r="K336" s="14">
        <f>IF(원생!$A334="","",SUMIFS(수납!$F:$F,수납!$C:$C,원생!$A334,수납!$D:$D,IF(원생!$G334="","",원생!$G334),수납!$B:$B,$B$1&amp;"-"&amp;TEXT(9,"00")&amp;"*",수납!$E:$E,"수강료")+SUMIFS(수납!$F:$F,수납!$C:$C,원생!$A334,수납!$D:$D,IF(원생!$G334="","",원생!$G334),수납!$B:$B,$B$1&amp;"-"&amp;TEXT(9,"00")&amp;"*",수납!$E:$E,""))</f>
        <v/>
      </c>
      <c r="L336" s="14">
        <f>IF(원생!$A334="","",SUMIFS(수납!$F:$F,수납!$C:$C,원생!$A334,수납!$D:$D,IF(원생!$G334="","",원생!$G334),수납!$B:$B,$B$1&amp;"-"&amp;TEXT(10,"00")&amp;"*",수납!$E:$E,"수강료")+SUMIFS(수납!$F:$F,수납!$C:$C,원생!$A334,수납!$D:$D,IF(원생!$G334="","",원생!$G334),수납!$B:$B,$B$1&amp;"-"&amp;TEXT(10,"00")&amp;"*",수납!$E:$E,""))</f>
        <v/>
      </c>
      <c r="M336" s="14">
        <f>IF(원생!$A334="","",SUMIFS(수납!$F:$F,수납!$C:$C,원생!$A334,수납!$D:$D,IF(원생!$G334="","",원생!$G334),수납!$B:$B,$B$1&amp;"-"&amp;TEXT(11,"00")&amp;"*",수납!$E:$E,"수강료")+SUMIFS(수납!$F:$F,수납!$C:$C,원생!$A334,수납!$D:$D,IF(원생!$G334="","",원생!$G334),수납!$B:$B,$B$1&amp;"-"&amp;TEXT(11,"00")&amp;"*",수납!$E:$E,""))</f>
        <v/>
      </c>
      <c r="N336" s="14">
        <f>IF(원생!$A334="","",SUMIFS(수납!$F:$F,수납!$C:$C,원생!$A334,수납!$D:$D,IF(원생!$G334="","",원생!$G334),수납!$B:$B,$B$1&amp;"-"&amp;TEXT(12,"00")&amp;"*",수납!$E:$E,"수강료")+SUMIFS(수납!$F:$F,수납!$C:$C,원생!$A334,수납!$D:$D,IF(원생!$G334="","",원생!$G334),수납!$B:$B,$B$1&amp;"-"&amp;TEXT(12,"00")&amp;"*",수납!$E:$E,""))</f>
        <v/>
      </c>
      <c r="O336">
        <f>IF(원생!$I334="","",원생!$I334)</f>
        <v/>
      </c>
      <c r="P336">
        <f>IF($A336="","",IF(AND($B336&gt;0,C336&lt;$B336,DATE($B$1,1,1)&lt;=TODAY(),OR($O336="",$O336&gt;=DATE($B$1,1,1)),OR(COUNTIF($C336:C336,"&gt;0")&gt;0,DATE($B$1,1,1)=DATE(YEAR(TODAY()),MONTH(TODAY()),1))),1,0))</f>
        <v/>
      </c>
      <c r="Q336">
        <f>IF($A336="","",IF(AND($B336&gt;0,D336&lt;$B336,DATE($B$1,2,1)&lt;=TODAY(),OR($O336="",$O336&gt;=DATE($B$1,2,1)),OR(COUNTIF($C336:D336,"&gt;0")&gt;0,DATE($B$1,2,1)=DATE(YEAR(TODAY()),MONTH(TODAY()),1))),1,0))</f>
        <v/>
      </c>
      <c r="R336">
        <f>IF($A336="","",IF(AND($B336&gt;0,E336&lt;$B336,DATE($B$1,3,1)&lt;=TODAY(),OR($O336="",$O336&gt;=DATE($B$1,3,1)),OR(COUNTIF($C336:E336,"&gt;0")&gt;0,DATE($B$1,3,1)=DATE(YEAR(TODAY()),MONTH(TODAY()),1))),1,0))</f>
        <v/>
      </c>
      <c r="S336">
        <f>IF($A336="","",IF(AND($B336&gt;0,F336&lt;$B336,DATE($B$1,4,1)&lt;=TODAY(),OR($O336="",$O336&gt;=DATE($B$1,4,1)),OR(COUNTIF($C336:F336,"&gt;0")&gt;0,DATE($B$1,4,1)=DATE(YEAR(TODAY()),MONTH(TODAY()),1))),1,0))</f>
        <v/>
      </c>
      <c r="T336">
        <f>IF($A336="","",IF(AND($B336&gt;0,G336&lt;$B336,DATE($B$1,5,1)&lt;=TODAY(),OR($O336="",$O336&gt;=DATE($B$1,5,1)),OR(COUNTIF($C336:G336,"&gt;0")&gt;0,DATE($B$1,5,1)=DATE(YEAR(TODAY()),MONTH(TODAY()),1))),1,0))</f>
        <v/>
      </c>
      <c r="U336">
        <f>IF($A336="","",IF(AND($B336&gt;0,H336&lt;$B336,DATE($B$1,6,1)&lt;=TODAY(),OR($O336="",$O336&gt;=DATE($B$1,6,1)),OR(COUNTIF($C336:H336,"&gt;0")&gt;0,DATE($B$1,6,1)=DATE(YEAR(TODAY()),MONTH(TODAY()),1))),1,0))</f>
        <v/>
      </c>
      <c r="V336">
        <f>IF($A336="","",IF(AND($B336&gt;0,I336&lt;$B336,DATE($B$1,7,1)&lt;=TODAY(),OR($O336="",$O336&gt;=DATE($B$1,7,1)),OR(COUNTIF($C336:I336,"&gt;0")&gt;0,DATE($B$1,7,1)=DATE(YEAR(TODAY()),MONTH(TODAY()),1))),1,0))</f>
        <v/>
      </c>
      <c r="W336">
        <f>IF($A336="","",IF(AND($B336&gt;0,J336&lt;$B336,DATE($B$1,8,1)&lt;=TODAY(),OR($O336="",$O336&gt;=DATE($B$1,8,1)),OR(COUNTIF($C336:J336,"&gt;0")&gt;0,DATE($B$1,8,1)=DATE(YEAR(TODAY()),MONTH(TODAY()),1))),1,0))</f>
        <v/>
      </c>
      <c r="X336">
        <f>IF($A336="","",IF(AND($B336&gt;0,K336&lt;$B336,DATE($B$1,9,1)&lt;=TODAY(),OR($O336="",$O336&gt;=DATE($B$1,9,1)),OR(COUNTIF($C336:K336,"&gt;0")&gt;0,DATE($B$1,9,1)=DATE(YEAR(TODAY()),MONTH(TODAY()),1))),1,0))</f>
        <v/>
      </c>
      <c r="Y336">
        <f>IF($A336="","",IF(AND($B336&gt;0,L336&lt;$B336,DATE($B$1,10,1)&lt;=TODAY(),OR($O336="",$O336&gt;=DATE($B$1,10,1)),OR(COUNTIF($C336:L336,"&gt;0")&gt;0,DATE($B$1,10,1)=DATE(YEAR(TODAY()),MONTH(TODAY()),1))),1,0))</f>
        <v/>
      </c>
      <c r="Z336">
        <f>IF($A336="","",IF(AND($B336&gt;0,M336&lt;$B336,DATE($B$1,11,1)&lt;=TODAY(),OR($O336="",$O336&gt;=DATE($B$1,11,1)),OR(COUNTIF($C336:M336,"&gt;0")&gt;0,DATE($B$1,11,1)=DATE(YEAR(TODAY()),MONTH(TODAY()),1))),1,0))</f>
        <v/>
      </c>
      <c r="AA336">
        <f>IF($A336="","",IF(AND($B336&gt;0,N336&lt;$B336,DATE($B$1,12,1)&lt;=TODAY(),OR($O336="",$O336&gt;=DATE($B$1,12,1)),OR(COUNTIF($C336:N336,"&gt;0")&gt;0,DATE($B$1,12,1)=DATE(YEAR(TODAY()),MONTH(TODAY()),1))),1,0))</f>
        <v/>
      </c>
    </row>
    <row r="337">
      <c r="A337" s="13">
        <f>IF(원생!$A335="","",원생!$A335&amp;IF(원생!$G335="",""," ("&amp;원생!$G335&amp;")"))</f>
        <v/>
      </c>
      <c r="B337" s="8">
        <f>IF(원생!$A335="","",원생!$F335)</f>
        <v/>
      </c>
      <c r="C337" s="14">
        <f>IF(원생!$A335="","",SUMIFS(수납!$F:$F,수납!$C:$C,원생!$A335,수납!$D:$D,IF(원생!$G335="","",원생!$G335),수납!$B:$B,$B$1&amp;"-"&amp;TEXT(1,"00")&amp;"*",수납!$E:$E,"수강료")+SUMIFS(수납!$F:$F,수납!$C:$C,원생!$A335,수납!$D:$D,IF(원생!$G335="","",원생!$G335),수납!$B:$B,$B$1&amp;"-"&amp;TEXT(1,"00")&amp;"*",수납!$E:$E,""))</f>
        <v/>
      </c>
      <c r="D337" s="14">
        <f>IF(원생!$A335="","",SUMIFS(수납!$F:$F,수납!$C:$C,원생!$A335,수납!$D:$D,IF(원생!$G335="","",원생!$G335),수납!$B:$B,$B$1&amp;"-"&amp;TEXT(2,"00")&amp;"*",수납!$E:$E,"수강료")+SUMIFS(수납!$F:$F,수납!$C:$C,원생!$A335,수납!$D:$D,IF(원생!$G335="","",원생!$G335),수납!$B:$B,$B$1&amp;"-"&amp;TEXT(2,"00")&amp;"*",수납!$E:$E,""))</f>
        <v/>
      </c>
      <c r="E337" s="14">
        <f>IF(원생!$A335="","",SUMIFS(수납!$F:$F,수납!$C:$C,원생!$A335,수납!$D:$D,IF(원생!$G335="","",원생!$G335),수납!$B:$B,$B$1&amp;"-"&amp;TEXT(3,"00")&amp;"*",수납!$E:$E,"수강료")+SUMIFS(수납!$F:$F,수납!$C:$C,원생!$A335,수납!$D:$D,IF(원생!$G335="","",원생!$G335),수납!$B:$B,$B$1&amp;"-"&amp;TEXT(3,"00")&amp;"*",수납!$E:$E,""))</f>
        <v/>
      </c>
      <c r="F337" s="14">
        <f>IF(원생!$A335="","",SUMIFS(수납!$F:$F,수납!$C:$C,원생!$A335,수납!$D:$D,IF(원생!$G335="","",원생!$G335),수납!$B:$B,$B$1&amp;"-"&amp;TEXT(4,"00")&amp;"*",수납!$E:$E,"수강료")+SUMIFS(수납!$F:$F,수납!$C:$C,원생!$A335,수납!$D:$D,IF(원생!$G335="","",원생!$G335),수납!$B:$B,$B$1&amp;"-"&amp;TEXT(4,"00")&amp;"*",수납!$E:$E,""))</f>
        <v/>
      </c>
      <c r="G337" s="14">
        <f>IF(원생!$A335="","",SUMIFS(수납!$F:$F,수납!$C:$C,원생!$A335,수납!$D:$D,IF(원생!$G335="","",원생!$G335),수납!$B:$B,$B$1&amp;"-"&amp;TEXT(5,"00")&amp;"*",수납!$E:$E,"수강료")+SUMIFS(수납!$F:$F,수납!$C:$C,원생!$A335,수납!$D:$D,IF(원생!$G335="","",원생!$G335),수납!$B:$B,$B$1&amp;"-"&amp;TEXT(5,"00")&amp;"*",수납!$E:$E,""))</f>
        <v/>
      </c>
      <c r="H337" s="14">
        <f>IF(원생!$A335="","",SUMIFS(수납!$F:$F,수납!$C:$C,원생!$A335,수납!$D:$D,IF(원생!$G335="","",원생!$G335),수납!$B:$B,$B$1&amp;"-"&amp;TEXT(6,"00")&amp;"*",수납!$E:$E,"수강료")+SUMIFS(수납!$F:$F,수납!$C:$C,원생!$A335,수납!$D:$D,IF(원생!$G335="","",원생!$G335),수납!$B:$B,$B$1&amp;"-"&amp;TEXT(6,"00")&amp;"*",수납!$E:$E,""))</f>
        <v/>
      </c>
      <c r="I337" s="14">
        <f>IF(원생!$A335="","",SUMIFS(수납!$F:$F,수납!$C:$C,원생!$A335,수납!$D:$D,IF(원생!$G335="","",원생!$G335),수납!$B:$B,$B$1&amp;"-"&amp;TEXT(7,"00")&amp;"*",수납!$E:$E,"수강료")+SUMIFS(수납!$F:$F,수납!$C:$C,원생!$A335,수납!$D:$D,IF(원생!$G335="","",원생!$G335),수납!$B:$B,$B$1&amp;"-"&amp;TEXT(7,"00")&amp;"*",수납!$E:$E,""))</f>
        <v/>
      </c>
      <c r="J337" s="14">
        <f>IF(원생!$A335="","",SUMIFS(수납!$F:$F,수납!$C:$C,원생!$A335,수납!$D:$D,IF(원생!$G335="","",원생!$G335),수납!$B:$B,$B$1&amp;"-"&amp;TEXT(8,"00")&amp;"*",수납!$E:$E,"수강료")+SUMIFS(수납!$F:$F,수납!$C:$C,원생!$A335,수납!$D:$D,IF(원생!$G335="","",원생!$G335),수납!$B:$B,$B$1&amp;"-"&amp;TEXT(8,"00")&amp;"*",수납!$E:$E,""))</f>
        <v/>
      </c>
      <c r="K337" s="14">
        <f>IF(원생!$A335="","",SUMIFS(수납!$F:$F,수납!$C:$C,원생!$A335,수납!$D:$D,IF(원생!$G335="","",원생!$G335),수납!$B:$B,$B$1&amp;"-"&amp;TEXT(9,"00")&amp;"*",수납!$E:$E,"수강료")+SUMIFS(수납!$F:$F,수납!$C:$C,원생!$A335,수납!$D:$D,IF(원생!$G335="","",원생!$G335),수납!$B:$B,$B$1&amp;"-"&amp;TEXT(9,"00")&amp;"*",수납!$E:$E,""))</f>
        <v/>
      </c>
      <c r="L337" s="14">
        <f>IF(원생!$A335="","",SUMIFS(수납!$F:$F,수납!$C:$C,원생!$A335,수납!$D:$D,IF(원생!$G335="","",원생!$G335),수납!$B:$B,$B$1&amp;"-"&amp;TEXT(10,"00")&amp;"*",수납!$E:$E,"수강료")+SUMIFS(수납!$F:$F,수납!$C:$C,원생!$A335,수납!$D:$D,IF(원생!$G335="","",원생!$G335),수납!$B:$B,$B$1&amp;"-"&amp;TEXT(10,"00")&amp;"*",수납!$E:$E,""))</f>
        <v/>
      </c>
      <c r="M337" s="14">
        <f>IF(원생!$A335="","",SUMIFS(수납!$F:$F,수납!$C:$C,원생!$A335,수납!$D:$D,IF(원생!$G335="","",원생!$G335),수납!$B:$B,$B$1&amp;"-"&amp;TEXT(11,"00")&amp;"*",수납!$E:$E,"수강료")+SUMIFS(수납!$F:$F,수납!$C:$C,원생!$A335,수납!$D:$D,IF(원생!$G335="","",원생!$G335),수납!$B:$B,$B$1&amp;"-"&amp;TEXT(11,"00")&amp;"*",수납!$E:$E,""))</f>
        <v/>
      </c>
      <c r="N337" s="14">
        <f>IF(원생!$A335="","",SUMIFS(수납!$F:$F,수납!$C:$C,원생!$A335,수납!$D:$D,IF(원생!$G335="","",원생!$G335),수납!$B:$B,$B$1&amp;"-"&amp;TEXT(12,"00")&amp;"*",수납!$E:$E,"수강료")+SUMIFS(수납!$F:$F,수납!$C:$C,원생!$A335,수납!$D:$D,IF(원생!$G335="","",원생!$G335),수납!$B:$B,$B$1&amp;"-"&amp;TEXT(12,"00")&amp;"*",수납!$E:$E,""))</f>
        <v/>
      </c>
      <c r="O337">
        <f>IF(원생!$I335="","",원생!$I335)</f>
        <v/>
      </c>
      <c r="P337">
        <f>IF($A337="","",IF(AND($B337&gt;0,C337&lt;$B337,DATE($B$1,1,1)&lt;=TODAY(),OR($O337="",$O337&gt;=DATE($B$1,1,1)),OR(COUNTIF($C337:C337,"&gt;0")&gt;0,DATE($B$1,1,1)=DATE(YEAR(TODAY()),MONTH(TODAY()),1))),1,0))</f>
        <v/>
      </c>
      <c r="Q337">
        <f>IF($A337="","",IF(AND($B337&gt;0,D337&lt;$B337,DATE($B$1,2,1)&lt;=TODAY(),OR($O337="",$O337&gt;=DATE($B$1,2,1)),OR(COUNTIF($C337:D337,"&gt;0")&gt;0,DATE($B$1,2,1)=DATE(YEAR(TODAY()),MONTH(TODAY()),1))),1,0))</f>
        <v/>
      </c>
      <c r="R337">
        <f>IF($A337="","",IF(AND($B337&gt;0,E337&lt;$B337,DATE($B$1,3,1)&lt;=TODAY(),OR($O337="",$O337&gt;=DATE($B$1,3,1)),OR(COUNTIF($C337:E337,"&gt;0")&gt;0,DATE($B$1,3,1)=DATE(YEAR(TODAY()),MONTH(TODAY()),1))),1,0))</f>
        <v/>
      </c>
      <c r="S337">
        <f>IF($A337="","",IF(AND($B337&gt;0,F337&lt;$B337,DATE($B$1,4,1)&lt;=TODAY(),OR($O337="",$O337&gt;=DATE($B$1,4,1)),OR(COUNTIF($C337:F337,"&gt;0")&gt;0,DATE($B$1,4,1)=DATE(YEAR(TODAY()),MONTH(TODAY()),1))),1,0))</f>
        <v/>
      </c>
      <c r="T337">
        <f>IF($A337="","",IF(AND($B337&gt;0,G337&lt;$B337,DATE($B$1,5,1)&lt;=TODAY(),OR($O337="",$O337&gt;=DATE($B$1,5,1)),OR(COUNTIF($C337:G337,"&gt;0")&gt;0,DATE($B$1,5,1)=DATE(YEAR(TODAY()),MONTH(TODAY()),1))),1,0))</f>
        <v/>
      </c>
      <c r="U337">
        <f>IF($A337="","",IF(AND($B337&gt;0,H337&lt;$B337,DATE($B$1,6,1)&lt;=TODAY(),OR($O337="",$O337&gt;=DATE($B$1,6,1)),OR(COUNTIF($C337:H337,"&gt;0")&gt;0,DATE($B$1,6,1)=DATE(YEAR(TODAY()),MONTH(TODAY()),1))),1,0))</f>
        <v/>
      </c>
      <c r="V337">
        <f>IF($A337="","",IF(AND($B337&gt;0,I337&lt;$B337,DATE($B$1,7,1)&lt;=TODAY(),OR($O337="",$O337&gt;=DATE($B$1,7,1)),OR(COUNTIF($C337:I337,"&gt;0")&gt;0,DATE($B$1,7,1)=DATE(YEAR(TODAY()),MONTH(TODAY()),1))),1,0))</f>
        <v/>
      </c>
      <c r="W337">
        <f>IF($A337="","",IF(AND($B337&gt;0,J337&lt;$B337,DATE($B$1,8,1)&lt;=TODAY(),OR($O337="",$O337&gt;=DATE($B$1,8,1)),OR(COUNTIF($C337:J337,"&gt;0")&gt;0,DATE($B$1,8,1)=DATE(YEAR(TODAY()),MONTH(TODAY()),1))),1,0))</f>
        <v/>
      </c>
      <c r="X337">
        <f>IF($A337="","",IF(AND($B337&gt;0,K337&lt;$B337,DATE($B$1,9,1)&lt;=TODAY(),OR($O337="",$O337&gt;=DATE($B$1,9,1)),OR(COUNTIF($C337:K337,"&gt;0")&gt;0,DATE($B$1,9,1)=DATE(YEAR(TODAY()),MONTH(TODAY()),1))),1,0))</f>
        <v/>
      </c>
      <c r="Y337">
        <f>IF($A337="","",IF(AND($B337&gt;0,L337&lt;$B337,DATE($B$1,10,1)&lt;=TODAY(),OR($O337="",$O337&gt;=DATE($B$1,10,1)),OR(COUNTIF($C337:L337,"&gt;0")&gt;0,DATE($B$1,10,1)=DATE(YEAR(TODAY()),MONTH(TODAY()),1))),1,0))</f>
        <v/>
      </c>
      <c r="Z337">
        <f>IF($A337="","",IF(AND($B337&gt;0,M337&lt;$B337,DATE($B$1,11,1)&lt;=TODAY(),OR($O337="",$O337&gt;=DATE($B$1,11,1)),OR(COUNTIF($C337:M337,"&gt;0")&gt;0,DATE($B$1,11,1)=DATE(YEAR(TODAY()),MONTH(TODAY()),1))),1,0))</f>
        <v/>
      </c>
      <c r="AA337">
        <f>IF($A337="","",IF(AND($B337&gt;0,N337&lt;$B337,DATE($B$1,12,1)&lt;=TODAY(),OR($O337="",$O337&gt;=DATE($B$1,12,1)),OR(COUNTIF($C337:N337,"&gt;0")&gt;0,DATE($B$1,12,1)=DATE(YEAR(TODAY()),MONTH(TODAY()),1))),1,0))</f>
        <v/>
      </c>
    </row>
    <row r="338">
      <c r="A338" s="13">
        <f>IF(원생!$A336="","",원생!$A336&amp;IF(원생!$G336="",""," ("&amp;원생!$G336&amp;")"))</f>
        <v/>
      </c>
      <c r="B338" s="8">
        <f>IF(원생!$A336="","",원생!$F336)</f>
        <v/>
      </c>
      <c r="C338" s="14">
        <f>IF(원생!$A336="","",SUMIFS(수납!$F:$F,수납!$C:$C,원생!$A336,수납!$D:$D,IF(원생!$G336="","",원생!$G336),수납!$B:$B,$B$1&amp;"-"&amp;TEXT(1,"00")&amp;"*",수납!$E:$E,"수강료")+SUMIFS(수납!$F:$F,수납!$C:$C,원생!$A336,수납!$D:$D,IF(원생!$G336="","",원생!$G336),수납!$B:$B,$B$1&amp;"-"&amp;TEXT(1,"00")&amp;"*",수납!$E:$E,""))</f>
        <v/>
      </c>
      <c r="D338" s="14">
        <f>IF(원생!$A336="","",SUMIFS(수납!$F:$F,수납!$C:$C,원생!$A336,수납!$D:$D,IF(원생!$G336="","",원생!$G336),수납!$B:$B,$B$1&amp;"-"&amp;TEXT(2,"00")&amp;"*",수납!$E:$E,"수강료")+SUMIFS(수납!$F:$F,수납!$C:$C,원생!$A336,수납!$D:$D,IF(원생!$G336="","",원생!$G336),수납!$B:$B,$B$1&amp;"-"&amp;TEXT(2,"00")&amp;"*",수납!$E:$E,""))</f>
        <v/>
      </c>
      <c r="E338" s="14">
        <f>IF(원생!$A336="","",SUMIFS(수납!$F:$F,수납!$C:$C,원생!$A336,수납!$D:$D,IF(원생!$G336="","",원생!$G336),수납!$B:$B,$B$1&amp;"-"&amp;TEXT(3,"00")&amp;"*",수납!$E:$E,"수강료")+SUMIFS(수납!$F:$F,수납!$C:$C,원생!$A336,수납!$D:$D,IF(원생!$G336="","",원생!$G336),수납!$B:$B,$B$1&amp;"-"&amp;TEXT(3,"00")&amp;"*",수납!$E:$E,""))</f>
        <v/>
      </c>
      <c r="F338" s="14">
        <f>IF(원생!$A336="","",SUMIFS(수납!$F:$F,수납!$C:$C,원생!$A336,수납!$D:$D,IF(원생!$G336="","",원생!$G336),수납!$B:$B,$B$1&amp;"-"&amp;TEXT(4,"00")&amp;"*",수납!$E:$E,"수강료")+SUMIFS(수납!$F:$F,수납!$C:$C,원생!$A336,수납!$D:$D,IF(원생!$G336="","",원생!$G336),수납!$B:$B,$B$1&amp;"-"&amp;TEXT(4,"00")&amp;"*",수납!$E:$E,""))</f>
        <v/>
      </c>
      <c r="G338" s="14">
        <f>IF(원생!$A336="","",SUMIFS(수납!$F:$F,수납!$C:$C,원생!$A336,수납!$D:$D,IF(원생!$G336="","",원생!$G336),수납!$B:$B,$B$1&amp;"-"&amp;TEXT(5,"00")&amp;"*",수납!$E:$E,"수강료")+SUMIFS(수납!$F:$F,수납!$C:$C,원생!$A336,수납!$D:$D,IF(원생!$G336="","",원생!$G336),수납!$B:$B,$B$1&amp;"-"&amp;TEXT(5,"00")&amp;"*",수납!$E:$E,""))</f>
        <v/>
      </c>
      <c r="H338" s="14">
        <f>IF(원생!$A336="","",SUMIFS(수납!$F:$F,수납!$C:$C,원생!$A336,수납!$D:$D,IF(원생!$G336="","",원생!$G336),수납!$B:$B,$B$1&amp;"-"&amp;TEXT(6,"00")&amp;"*",수납!$E:$E,"수강료")+SUMIFS(수납!$F:$F,수납!$C:$C,원생!$A336,수납!$D:$D,IF(원생!$G336="","",원생!$G336),수납!$B:$B,$B$1&amp;"-"&amp;TEXT(6,"00")&amp;"*",수납!$E:$E,""))</f>
        <v/>
      </c>
      <c r="I338" s="14">
        <f>IF(원생!$A336="","",SUMIFS(수납!$F:$F,수납!$C:$C,원생!$A336,수납!$D:$D,IF(원생!$G336="","",원생!$G336),수납!$B:$B,$B$1&amp;"-"&amp;TEXT(7,"00")&amp;"*",수납!$E:$E,"수강료")+SUMIFS(수납!$F:$F,수납!$C:$C,원생!$A336,수납!$D:$D,IF(원생!$G336="","",원생!$G336),수납!$B:$B,$B$1&amp;"-"&amp;TEXT(7,"00")&amp;"*",수납!$E:$E,""))</f>
        <v/>
      </c>
      <c r="J338" s="14">
        <f>IF(원생!$A336="","",SUMIFS(수납!$F:$F,수납!$C:$C,원생!$A336,수납!$D:$D,IF(원생!$G336="","",원생!$G336),수납!$B:$B,$B$1&amp;"-"&amp;TEXT(8,"00")&amp;"*",수납!$E:$E,"수강료")+SUMIFS(수납!$F:$F,수납!$C:$C,원생!$A336,수납!$D:$D,IF(원생!$G336="","",원생!$G336),수납!$B:$B,$B$1&amp;"-"&amp;TEXT(8,"00")&amp;"*",수납!$E:$E,""))</f>
        <v/>
      </c>
      <c r="K338" s="14">
        <f>IF(원생!$A336="","",SUMIFS(수납!$F:$F,수납!$C:$C,원생!$A336,수납!$D:$D,IF(원생!$G336="","",원생!$G336),수납!$B:$B,$B$1&amp;"-"&amp;TEXT(9,"00")&amp;"*",수납!$E:$E,"수강료")+SUMIFS(수납!$F:$F,수납!$C:$C,원생!$A336,수납!$D:$D,IF(원생!$G336="","",원생!$G336),수납!$B:$B,$B$1&amp;"-"&amp;TEXT(9,"00")&amp;"*",수납!$E:$E,""))</f>
        <v/>
      </c>
      <c r="L338" s="14">
        <f>IF(원생!$A336="","",SUMIFS(수납!$F:$F,수납!$C:$C,원생!$A336,수납!$D:$D,IF(원생!$G336="","",원생!$G336),수납!$B:$B,$B$1&amp;"-"&amp;TEXT(10,"00")&amp;"*",수납!$E:$E,"수강료")+SUMIFS(수납!$F:$F,수납!$C:$C,원생!$A336,수납!$D:$D,IF(원생!$G336="","",원생!$G336),수납!$B:$B,$B$1&amp;"-"&amp;TEXT(10,"00")&amp;"*",수납!$E:$E,""))</f>
        <v/>
      </c>
      <c r="M338" s="14">
        <f>IF(원생!$A336="","",SUMIFS(수납!$F:$F,수납!$C:$C,원생!$A336,수납!$D:$D,IF(원생!$G336="","",원생!$G336),수납!$B:$B,$B$1&amp;"-"&amp;TEXT(11,"00")&amp;"*",수납!$E:$E,"수강료")+SUMIFS(수납!$F:$F,수납!$C:$C,원생!$A336,수납!$D:$D,IF(원생!$G336="","",원생!$G336),수납!$B:$B,$B$1&amp;"-"&amp;TEXT(11,"00")&amp;"*",수납!$E:$E,""))</f>
        <v/>
      </c>
      <c r="N338" s="14">
        <f>IF(원생!$A336="","",SUMIFS(수납!$F:$F,수납!$C:$C,원생!$A336,수납!$D:$D,IF(원생!$G336="","",원생!$G336),수납!$B:$B,$B$1&amp;"-"&amp;TEXT(12,"00")&amp;"*",수납!$E:$E,"수강료")+SUMIFS(수납!$F:$F,수납!$C:$C,원생!$A336,수납!$D:$D,IF(원생!$G336="","",원생!$G336),수납!$B:$B,$B$1&amp;"-"&amp;TEXT(12,"00")&amp;"*",수납!$E:$E,""))</f>
        <v/>
      </c>
      <c r="O338">
        <f>IF(원생!$I336="","",원생!$I336)</f>
        <v/>
      </c>
      <c r="P338">
        <f>IF($A338="","",IF(AND($B338&gt;0,C338&lt;$B338,DATE($B$1,1,1)&lt;=TODAY(),OR($O338="",$O338&gt;=DATE($B$1,1,1)),OR(COUNTIF($C338:C338,"&gt;0")&gt;0,DATE($B$1,1,1)=DATE(YEAR(TODAY()),MONTH(TODAY()),1))),1,0))</f>
        <v/>
      </c>
      <c r="Q338">
        <f>IF($A338="","",IF(AND($B338&gt;0,D338&lt;$B338,DATE($B$1,2,1)&lt;=TODAY(),OR($O338="",$O338&gt;=DATE($B$1,2,1)),OR(COUNTIF($C338:D338,"&gt;0")&gt;0,DATE($B$1,2,1)=DATE(YEAR(TODAY()),MONTH(TODAY()),1))),1,0))</f>
        <v/>
      </c>
      <c r="R338">
        <f>IF($A338="","",IF(AND($B338&gt;0,E338&lt;$B338,DATE($B$1,3,1)&lt;=TODAY(),OR($O338="",$O338&gt;=DATE($B$1,3,1)),OR(COUNTIF($C338:E338,"&gt;0")&gt;0,DATE($B$1,3,1)=DATE(YEAR(TODAY()),MONTH(TODAY()),1))),1,0))</f>
        <v/>
      </c>
      <c r="S338">
        <f>IF($A338="","",IF(AND($B338&gt;0,F338&lt;$B338,DATE($B$1,4,1)&lt;=TODAY(),OR($O338="",$O338&gt;=DATE($B$1,4,1)),OR(COUNTIF($C338:F338,"&gt;0")&gt;0,DATE($B$1,4,1)=DATE(YEAR(TODAY()),MONTH(TODAY()),1))),1,0))</f>
        <v/>
      </c>
      <c r="T338">
        <f>IF($A338="","",IF(AND($B338&gt;0,G338&lt;$B338,DATE($B$1,5,1)&lt;=TODAY(),OR($O338="",$O338&gt;=DATE($B$1,5,1)),OR(COUNTIF($C338:G338,"&gt;0")&gt;0,DATE($B$1,5,1)=DATE(YEAR(TODAY()),MONTH(TODAY()),1))),1,0))</f>
        <v/>
      </c>
      <c r="U338">
        <f>IF($A338="","",IF(AND($B338&gt;0,H338&lt;$B338,DATE($B$1,6,1)&lt;=TODAY(),OR($O338="",$O338&gt;=DATE($B$1,6,1)),OR(COUNTIF($C338:H338,"&gt;0")&gt;0,DATE($B$1,6,1)=DATE(YEAR(TODAY()),MONTH(TODAY()),1))),1,0))</f>
        <v/>
      </c>
      <c r="V338">
        <f>IF($A338="","",IF(AND($B338&gt;0,I338&lt;$B338,DATE($B$1,7,1)&lt;=TODAY(),OR($O338="",$O338&gt;=DATE($B$1,7,1)),OR(COUNTIF($C338:I338,"&gt;0")&gt;0,DATE($B$1,7,1)=DATE(YEAR(TODAY()),MONTH(TODAY()),1))),1,0))</f>
        <v/>
      </c>
      <c r="W338">
        <f>IF($A338="","",IF(AND($B338&gt;0,J338&lt;$B338,DATE($B$1,8,1)&lt;=TODAY(),OR($O338="",$O338&gt;=DATE($B$1,8,1)),OR(COUNTIF($C338:J338,"&gt;0")&gt;0,DATE($B$1,8,1)=DATE(YEAR(TODAY()),MONTH(TODAY()),1))),1,0))</f>
        <v/>
      </c>
      <c r="X338">
        <f>IF($A338="","",IF(AND($B338&gt;0,K338&lt;$B338,DATE($B$1,9,1)&lt;=TODAY(),OR($O338="",$O338&gt;=DATE($B$1,9,1)),OR(COUNTIF($C338:K338,"&gt;0")&gt;0,DATE($B$1,9,1)=DATE(YEAR(TODAY()),MONTH(TODAY()),1))),1,0))</f>
        <v/>
      </c>
      <c r="Y338">
        <f>IF($A338="","",IF(AND($B338&gt;0,L338&lt;$B338,DATE($B$1,10,1)&lt;=TODAY(),OR($O338="",$O338&gt;=DATE($B$1,10,1)),OR(COUNTIF($C338:L338,"&gt;0")&gt;0,DATE($B$1,10,1)=DATE(YEAR(TODAY()),MONTH(TODAY()),1))),1,0))</f>
        <v/>
      </c>
      <c r="Z338">
        <f>IF($A338="","",IF(AND($B338&gt;0,M338&lt;$B338,DATE($B$1,11,1)&lt;=TODAY(),OR($O338="",$O338&gt;=DATE($B$1,11,1)),OR(COUNTIF($C338:M338,"&gt;0")&gt;0,DATE($B$1,11,1)=DATE(YEAR(TODAY()),MONTH(TODAY()),1))),1,0))</f>
        <v/>
      </c>
      <c r="AA338">
        <f>IF($A338="","",IF(AND($B338&gt;0,N338&lt;$B338,DATE($B$1,12,1)&lt;=TODAY(),OR($O338="",$O338&gt;=DATE($B$1,12,1)),OR(COUNTIF($C338:N338,"&gt;0")&gt;0,DATE($B$1,12,1)=DATE(YEAR(TODAY()),MONTH(TODAY()),1))),1,0))</f>
        <v/>
      </c>
    </row>
    <row r="339">
      <c r="A339" s="13">
        <f>IF(원생!$A337="","",원생!$A337&amp;IF(원생!$G337="",""," ("&amp;원생!$G337&amp;")"))</f>
        <v/>
      </c>
      <c r="B339" s="8">
        <f>IF(원생!$A337="","",원생!$F337)</f>
        <v/>
      </c>
      <c r="C339" s="14">
        <f>IF(원생!$A337="","",SUMIFS(수납!$F:$F,수납!$C:$C,원생!$A337,수납!$D:$D,IF(원생!$G337="","",원생!$G337),수납!$B:$B,$B$1&amp;"-"&amp;TEXT(1,"00")&amp;"*",수납!$E:$E,"수강료")+SUMIFS(수납!$F:$F,수납!$C:$C,원생!$A337,수납!$D:$D,IF(원생!$G337="","",원생!$G337),수납!$B:$B,$B$1&amp;"-"&amp;TEXT(1,"00")&amp;"*",수납!$E:$E,""))</f>
        <v/>
      </c>
      <c r="D339" s="14">
        <f>IF(원생!$A337="","",SUMIFS(수납!$F:$F,수납!$C:$C,원생!$A337,수납!$D:$D,IF(원생!$G337="","",원생!$G337),수납!$B:$B,$B$1&amp;"-"&amp;TEXT(2,"00")&amp;"*",수납!$E:$E,"수강료")+SUMIFS(수납!$F:$F,수납!$C:$C,원생!$A337,수납!$D:$D,IF(원생!$G337="","",원생!$G337),수납!$B:$B,$B$1&amp;"-"&amp;TEXT(2,"00")&amp;"*",수납!$E:$E,""))</f>
        <v/>
      </c>
      <c r="E339" s="14">
        <f>IF(원생!$A337="","",SUMIFS(수납!$F:$F,수납!$C:$C,원생!$A337,수납!$D:$D,IF(원생!$G337="","",원생!$G337),수납!$B:$B,$B$1&amp;"-"&amp;TEXT(3,"00")&amp;"*",수납!$E:$E,"수강료")+SUMIFS(수납!$F:$F,수납!$C:$C,원생!$A337,수납!$D:$D,IF(원생!$G337="","",원생!$G337),수납!$B:$B,$B$1&amp;"-"&amp;TEXT(3,"00")&amp;"*",수납!$E:$E,""))</f>
        <v/>
      </c>
      <c r="F339" s="14">
        <f>IF(원생!$A337="","",SUMIFS(수납!$F:$F,수납!$C:$C,원생!$A337,수납!$D:$D,IF(원생!$G337="","",원생!$G337),수납!$B:$B,$B$1&amp;"-"&amp;TEXT(4,"00")&amp;"*",수납!$E:$E,"수강료")+SUMIFS(수납!$F:$F,수납!$C:$C,원생!$A337,수납!$D:$D,IF(원생!$G337="","",원생!$G337),수납!$B:$B,$B$1&amp;"-"&amp;TEXT(4,"00")&amp;"*",수납!$E:$E,""))</f>
        <v/>
      </c>
      <c r="G339" s="14">
        <f>IF(원생!$A337="","",SUMIFS(수납!$F:$F,수납!$C:$C,원생!$A337,수납!$D:$D,IF(원생!$G337="","",원생!$G337),수납!$B:$B,$B$1&amp;"-"&amp;TEXT(5,"00")&amp;"*",수납!$E:$E,"수강료")+SUMIFS(수납!$F:$F,수납!$C:$C,원생!$A337,수납!$D:$D,IF(원생!$G337="","",원생!$G337),수납!$B:$B,$B$1&amp;"-"&amp;TEXT(5,"00")&amp;"*",수납!$E:$E,""))</f>
        <v/>
      </c>
      <c r="H339" s="14">
        <f>IF(원생!$A337="","",SUMIFS(수납!$F:$F,수납!$C:$C,원생!$A337,수납!$D:$D,IF(원생!$G337="","",원생!$G337),수납!$B:$B,$B$1&amp;"-"&amp;TEXT(6,"00")&amp;"*",수납!$E:$E,"수강료")+SUMIFS(수납!$F:$F,수납!$C:$C,원생!$A337,수납!$D:$D,IF(원생!$G337="","",원생!$G337),수납!$B:$B,$B$1&amp;"-"&amp;TEXT(6,"00")&amp;"*",수납!$E:$E,""))</f>
        <v/>
      </c>
      <c r="I339" s="14">
        <f>IF(원생!$A337="","",SUMIFS(수납!$F:$F,수납!$C:$C,원생!$A337,수납!$D:$D,IF(원생!$G337="","",원생!$G337),수납!$B:$B,$B$1&amp;"-"&amp;TEXT(7,"00")&amp;"*",수납!$E:$E,"수강료")+SUMIFS(수납!$F:$F,수납!$C:$C,원생!$A337,수납!$D:$D,IF(원생!$G337="","",원생!$G337),수납!$B:$B,$B$1&amp;"-"&amp;TEXT(7,"00")&amp;"*",수납!$E:$E,""))</f>
        <v/>
      </c>
      <c r="J339" s="14">
        <f>IF(원생!$A337="","",SUMIFS(수납!$F:$F,수납!$C:$C,원생!$A337,수납!$D:$D,IF(원생!$G337="","",원생!$G337),수납!$B:$B,$B$1&amp;"-"&amp;TEXT(8,"00")&amp;"*",수납!$E:$E,"수강료")+SUMIFS(수납!$F:$F,수납!$C:$C,원생!$A337,수납!$D:$D,IF(원생!$G337="","",원생!$G337),수납!$B:$B,$B$1&amp;"-"&amp;TEXT(8,"00")&amp;"*",수납!$E:$E,""))</f>
        <v/>
      </c>
      <c r="K339" s="14">
        <f>IF(원생!$A337="","",SUMIFS(수납!$F:$F,수납!$C:$C,원생!$A337,수납!$D:$D,IF(원생!$G337="","",원생!$G337),수납!$B:$B,$B$1&amp;"-"&amp;TEXT(9,"00")&amp;"*",수납!$E:$E,"수강료")+SUMIFS(수납!$F:$F,수납!$C:$C,원생!$A337,수납!$D:$D,IF(원생!$G337="","",원생!$G337),수납!$B:$B,$B$1&amp;"-"&amp;TEXT(9,"00")&amp;"*",수납!$E:$E,""))</f>
        <v/>
      </c>
      <c r="L339" s="14">
        <f>IF(원생!$A337="","",SUMIFS(수납!$F:$F,수납!$C:$C,원생!$A337,수납!$D:$D,IF(원생!$G337="","",원생!$G337),수납!$B:$B,$B$1&amp;"-"&amp;TEXT(10,"00")&amp;"*",수납!$E:$E,"수강료")+SUMIFS(수납!$F:$F,수납!$C:$C,원생!$A337,수납!$D:$D,IF(원생!$G337="","",원생!$G337),수납!$B:$B,$B$1&amp;"-"&amp;TEXT(10,"00")&amp;"*",수납!$E:$E,""))</f>
        <v/>
      </c>
      <c r="M339" s="14">
        <f>IF(원생!$A337="","",SUMIFS(수납!$F:$F,수납!$C:$C,원생!$A337,수납!$D:$D,IF(원생!$G337="","",원생!$G337),수납!$B:$B,$B$1&amp;"-"&amp;TEXT(11,"00")&amp;"*",수납!$E:$E,"수강료")+SUMIFS(수납!$F:$F,수납!$C:$C,원생!$A337,수납!$D:$D,IF(원생!$G337="","",원생!$G337),수납!$B:$B,$B$1&amp;"-"&amp;TEXT(11,"00")&amp;"*",수납!$E:$E,""))</f>
        <v/>
      </c>
      <c r="N339" s="14">
        <f>IF(원생!$A337="","",SUMIFS(수납!$F:$F,수납!$C:$C,원생!$A337,수납!$D:$D,IF(원생!$G337="","",원생!$G337),수납!$B:$B,$B$1&amp;"-"&amp;TEXT(12,"00")&amp;"*",수납!$E:$E,"수강료")+SUMIFS(수납!$F:$F,수납!$C:$C,원생!$A337,수납!$D:$D,IF(원생!$G337="","",원생!$G337),수납!$B:$B,$B$1&amp;"-"&amp;TEXT(12,"00")&amp;"*",수납!$E:$E,""))</f>
        <v/>
      </c>
      <c r="O339">
        <f>IF(원생!$I337="","",원생!$I337)</f>
        <v/>
      </c>
      <c r="P339">
        <f>IF($A339="","",IF(AND($B339&gt;0,C339&lt;$B339,DATE($B$1,1,1)&lt;=TODAY(),OR($O339="",$O339&gt;=DATE($B$1,1,1)),OR(COUNTIF($C339:C339,"&gt;0")&gt;0,DATE($B$1,1,1)=DATE(YEAR(TODAY()),MONTH(TODAY()),1))),1,0))</f>
        <v/>
      </c>
      <c r="Q339">
        <f>IF($A339="","",IF(AND($B339&gt;0,D339&lt;$B339,DATE($B$1,2,1)&lt;=TODAY(),OR($O339="",$O339&gt;=DATE($B$1,2,1)),OR(COUNTIF($C339:D339,"&gt;0")&gt;0,DATE($B$1,2,1)=DATE(YEAR(TODAY()),MONTH(TODAY()),1))),1,0))</f>
        <v/>
      </c>
      <c r="R339">
        <f>IF($A339="","",IF(AND($B339&gt;0,E339&lt;$B339,DATE($B$1,3,1)&lt;=TODAY(),OR($O339="",$O339&gt;=DATE($B$1,3,1)),OR(COUNTIF($C339:E339,"&gt;0")&gt;0,DATE($B$1,3,1)=DATE(YEAR(TODAY()),MONTH(TODAY()),1))),1,0))</f>
        <v/>
      </c>
      <c r="S339">
        <f>IF($A339="","",IF(AND($B339&gt;0,F339&lt;$B339,DATE($B$1,4,1)&lt;=TODAY(),OR($O339="",$O339&gt;=DATE($B$1,4,1)),OR(COUNTIF($C339:F339,"&gt;0")&gt;0,DATE($B$1,4,1)=DATE(YEAR(TODAY()),MONTH(TODAY()),1))),1,0))</f>
        <v/>
      </c>
      <c r="T339">
        <f>IF($A339="","",IF(AND($B339&gt;0,G339&lt;$B339,DATE($B$1,5,1)&lt;=TODAY(),OR($O339="",$O339&gt;=DATE($B$1,5,1)),OR(COUNTIF($C339:G339,"&gt;0")&gt;0,DATE($B$1,5,1)=DATE(YEAR(TODAY()),MONTH(TODAY()),1))),1,0))</f>
        <v/>
      </c>
      <c r="U339">
        <f>IF($A339="","",IF(AND($B339&gt;0,H339&lt;$B339,DATE($B$1,6,1)&lt;=TODAY(),OR($O339="",$O339&gt;=DATE($B$1,6,1)),OR(COUNTIF($C339:H339,"&gt;0")&gt;0,DATE($B$1,6,1)=DATE(YEAR(TODAY()),MONTH(TODAY()),1))),1,0))</f>
        <v/>
      </c>
      <c r="V339">
        <f>IF($A339="","",IF(AND($B339&gt;0,I339&lt;$B339,DATE($B$1,7,1)&lt;=TODAY(),OR($O339="",$O339&gt;=DATE($B$1,7,1)),OR(COUNTIF($C339:I339,"&gt;0")&gt;0,DATE($B$1,7,1)=DATE(YEAR(TODAY()),MONTH(TODAY()),1))),1,0))</f>
        <v/>
      </c>
      <c r="W339">
        <f>IF($A339="","",IF(AND($B339&gt;0,J339&lt;$B339,DATE($B$1,8,1)&lt;=TODAY(),OR($O339="",$O339&gt;=DATE($B$1,8,1)),OR(COUNTIF($C339:J339,"&gt;0")&gt;0,DATE($B$1,8,1)=DATE(YEAR(TODAY()),MONTH(TODAY()),1))),1,0))</f>
        <v/>
      </c>
      <c r="X339">
        <f>IF($A339="","",IF(AND($B339&gt;0,K339&lt;$B339,DATE($B$1,9,1)&lt;=TODAY(),OR($O339="",$O339&gt;=DATE($B$1,9,1)),OR(COUNTIF($C339:K339,"&gt;0")&gt;0,DATE($B$1,9,1)=DATE(YEAR(TODAY()),MONTH(TODAY()),1))),1,0))</f>
        <v/>
      </c>
      <c r="Y339">
        <f>IF($A339="","",IF(AND($B339&gt;0,L339&lt;$B339,DATE($B$1,10,1)&lt;=TODAY(),OR($O339="",$O339&gt;=DATE($B$1,10,1)),OR(COUNTIF($C339:L339,"&gt;0")&gt;0,DATE($B$1,10,1)=DATE(YEAR(TODAY()),MONTH(TODAY()),1))),1,0))</f>
        <v/>
      </c>
      <c r="Z339">
        <f>IF($A339="","",IF(AND($B339&gt;0,M339&lt;$B339,DATE($B$1,11,1)&lt;=TODAY(),OR($O339="",$O339&gt;=DATE($B$1,11,1)),OR(COUNTIF($C339:M339,"&gt;0")&gt;0,DATE($B$1,11,1)=DATE(YEAR(TODAY()),MONTH(TODAY()),1))),1,0))</f>
        <v/>
      </c>
      <c r="AA339">
        <f>IF($A339="","",IF(AND($B339&gt;0,N339&lt;$B339,DATE($B$1,12,1)&lt;=TODAY(),OR($O339="",$O339&gt;=DATE($B$1,12,1)),OR(COUNTIF($C339:N339,"&gt;0")&gt;0,DATE($B$1,12,1)=DATE(YEAR(TODAY()),MONTH(TODAY()),1))),1,0))</f>
        <v/>
      </c>
    </row>
    <row r="340">
      <c r="A340" s="13">
        <f>IF(원생!$A338="","",원생!$A338&amp;IF(원생!$G338="",""," ("&amp;원생!$G338&amp;")"))</f>
        <v/>
      </c>
      <c r="B340" s="8">
        <f>IF(원생!$A338="","",원생!$F338)</f>
        <v/>
      </c>
      <c r="C340" s="14">
        <f>IF(원생!$A338="","",SUMIFS(수납!$F:$F,수납!$C:$C,원생!$A338,수납!$D:$D,IF(원생!$G338="","",원생!$G338),수납!$B:$B,$B$1&amp;"-"&amp;TEXT(1,"00")&amp;"*",수납!$E:$E,"수강료")+SUMIFS(수납!$F:$F,수납!$C:$C,원생!$A338,수납!$D:$D,IF(원생!$G338="","",원생!$G338),수납!$B:$B,$B$1&amp;"-"&amp;TEXT(1,"00")&amp;"*",수납!$E:$E,""))</f>
        <v/>
      </c>
      <c r="D340" s="14">
        <f>IF(원생!$A338="","",SUMIFS(수납!$F:$F,수납!$C:$C,원생!$A338,수납!$D:$D,IF(원생!$G338="","",원생!$G338),수납!$B:$B,$B$1&amp;"-"&amp;TEXT(2,"00")&amp;"*",수납!$E:$E,"수강료")+SUMIFS(수납!$F:$F,수납!$C:$C,원생!$A338,수납!$D:$D,IF(원생!$G338="","",원생!$G338),수납!$B:$B,$B$1&amp;"-"&amp;TEXT(2,"00")&amp;"*",수납!$E:$E,""))</f>
        <v/>
      </c>
      <c r="E340" s="14">
        <f>IF(원생!$A338="","",SUMIFS(수납!$F:$F,수납!$C:$C,원생!$A338,수납!$D:$D,IF(원생!$G338="","",원생!$G338),수납!$B:$B,$B$1&amp;"-"&amp;TEXT(3,"00")&amp;"*",수납!$E:$E,"수강료")+SUMIFS(수납!$F:$F,수납!$C:$C,원생!$A338,수납!$D:$D,IF(원생!$G338="","",원생!$G338),수납!$B:$B,$B$1&amp;"-"&amp;TEXT(3,"00")&amp;"*",수납!$E:$E,""))</f>
        <v/>
      </c>
      <c r="F340" s="14">
        <f>IF(원생!$A338="","",SUMIFS(수납!$F:$F,수납!$C:$C,원생!$A338,수납!$D:$D,IF(원생!$G338="","",원생!$G338),수납!$B:$B,$B$1&amp;"-"&amp;TEXT(4,"00")&amp;"*",수납!$E:$E,"수강료")+SUMIFS(수납!$F:$F,수납!$C:$C,원생!$A338,수납!$D:$D,IF(원생!$G338="","",원생!$G338),수납!$B:$B,$B$1&amp;"-"&amp;TEXT(4,"00")&amp;"*",수납!$E:$E,""))</f>
        <v/>
      </c>
      <c r="G340" s="14">
        <f>IF(원생!$A338="","",SUMIFS(수납!$F:$F,수납!$C:$C,원생!$A338,수납!$D:$D,IF(원생!$G338="","",원생!$G338),수납!$B:$B,$B$1&amp;"-"&amp;TEXT(5,"00")&amp;"*",수납!$E:$E,"수강료")+SUMIFS(수납!$F:$F,수납!$C:$C,원생!$A338,수납!$D:$D,IF(원생!$G338="","",원생!$G338),수납!$B:$B,$B$1&amp;"-"&amp;TEXT(5,"00")&amp;"*",수납!$E:$E,""))</f>
        <v/>
      </c>
      <c r="H340" s="14">
        <f>IF(원생!$A338="","",SUMIFS(수납!$F:$F,수납!$C:$C,원생!$A338,수납!$D:$D,IF(원생!$G338="","",원생!$G338),수납!$B:$B,$B$1&amp;"-"&amp;TEXT(6,"00")&amp;"*",수납!$E:$E,"수강료")+SUMIFS(수납!$F:$F,수납!$C:$C,원생!$A338,수납!$D:$D,IF(원생!$G338="","",원생!$G338),수납!$B:$B,$B$1&amp;"-"&amp;TEXT(6,"00")&amp;"*",수납!$E:$E,""))</f>
        <v/>
      </c>
      <c r="I340" s="14">
        <f>IF(원생!$A338="","",SUMIFS(수납!$F:$F,수납!$C:$C,원생!$A338,수납!$D:$D,IF(원생!$G338="","",원생!$G338),수납!$B:$B,$B$1&amp;"-"&amp;TEXT(7,"00")&amp;"*",수납!$E:$E,"수강료")+SUMIFS(수납!$F:$F,수납!$C:$C,원생!$A338,수납!$D:$D,IF(원생!$G338="","",원생!$G338),수납!$B:$B,$B$1&amp;"-"&amp;TEXT(7,"00")&amp;"*",수납!$E:$E,""))</f>
        <v/>
      </c>
      <c r="J340" s="14">
        <f>IF(원생!$A338="","",SUMIFS(수납!$F:$F,수납!$C:$C,원생!$A338,수납!$D:$D,IF(원생!$G338="","",원생!$G338),수납!$B:$B,$B$1&amp;"-"&amp;TEXT(8,"00")&amp;"*",수납!$E:$E,"수강료")+SUMIFS(수납!$F:$F,수납!$C:$C,원생!$A338,수납!$D:$D,IF(원생!$G338="","",원생!$G338),수납!$B:$B,$B$1&amp;"-"&amp;TEXT(8,"00")&amp;"*",수납!$E:$E,""))</f>
        <v/>
      </c>
      <c r="K340" s="14">
        <f>IF(원생!$A338="","",SUMIFS(수납!$F:$F,수납!$C:$C,원생!$A338,수납!$D:$D,IF(원생!$G338="","",원생!$G338),수납!$B:$B,$B$1&amp;"-"&amp;TEXT(9,"00")&amp;"*",수납!$E:$E,"수강료")+SUMIFS(수납!$F:$F,수납!$C:$C,원생!$A338,수납!$D:$D,IF(원생!$G338="","",원생!$G338),수납!$B:$B,$B$1&amp;"-"&amp;TEXT(9,"00")&amp;"*",수납!$E:$E,""))</f>
        <v/>
      </c>
      <c r="L340" s="14">
        <f>IF(원생!$A338="","",SUMIFS(수납!$F:$F,수납!$C:$C,원생!$A338,수납!$D:$D,IF(원생!$G338="","",원생!$G338),수납!$B:$B,$B$1&amp;"-"&amp;TEXT(10,"00")&amp;"*",수납!$E:$E,"수강료")+SUMIFS(수납!$F:$F,수납!$C:$C,원생!$A338,수납!$D:$D,IF(원생!$G338="","",원생!$G338),수납!$B:$B,$B$1&amp;"-"&amp;TEXT(10,"00")&amp;"*",수납!$E:$E,""))</f>
        <v/>
      </c>
      <c r="M340" s="14">
        <f>IF(원생!$A338="","",SUMIFS(수납!$F:$F,수납!$C:$C,원생!$A338,수납!$D:$D,IF(원생!$G338="","",원생!$G338),수납!$B:$B,$B$1&amp;"-"&amp;TEXT(11,"00")&amp;"*",수납!$E:$E,"수강료")+SUMIFS(수납!$F:$F,수납!$C:$C,원생!$A338,수납!$D:$D,IF(원생!$G338="","",원생!$G338),수납!$B:$B,$B$1&amp;"-"&amp;TEXT(11,"00")&amp;"*",수납!$E:$E,""))</f>
        <v/>
      </c>
      <c r="N340" s="14">
        <f>IF(원생!$A338="","",SUMIFS(수납!$F:$F,수납!$C:$C,원생!$A338,수납!$D:$D,IF(원생!$G338="","",원생!$G338),수납!$B:$B,$B$1&amp;"-"&amp;TEXT(12,"00")&amp;"*",수납!$E:$E,"수강료")+SUMIFS(수납!$F:$F,수납!$C:$C,원생!$A338,수납!$D:$D,IF(원생!$G338="","",원생!$G338),수납!$B:$B,$B$1&amp;"-"&amp;TEXT(12,"00")&amp;"*",수납!$E:$E,""))</f>
        <v/>
      </c>
      <c r="O340">
        <f>IF(원생!$I338="","",원생!$I338)</f>
        <v/>
      </c>
      <c r="P340">
        <f>IF($A340="","",IF(AND($B340&gt;0,C340&lt;$B340,DATE($B$1,1,1)&lt;=TODAY(),OR($O340="",$O340&gt;=DATE($B$1,1,1)),OR(COUNTIF($C340:C340,"&gt;0")&gt;0,DATE($B$1,1,1)=DATE(YEAR(TODAY()),MONTH(TODAY()),1))),1,0))</f>
        <v/>
      </c>
      <c r="Q340">
        <f>IF($A340="","",IF(AND($B340&gt;0,D340&lt;$B340,DATE($B$1,2,1)&lt;=TODAY(),OR($O340="",$O340&gt;=DATE($B$1,2,1)),OR(COUNTIF($C340:D340,"&gt;0")&gt;0,DATE($B$1,2,1)=DATE(YEAR(TODAY()),MONTH(TODAY()),1))),1,0))</f>
        <v/>
      </c>
      <c r="R340">
        <f>IF($A340="","",IF(AND($B340&gt;0,E340&lt;$B340,DATE($B$1,3,1)&lt;=TODAY(),OR($O340="",$O340&gt;=DATE($B$1,3,1)),OR(COUNTIF($C340:E340,"&gt;0")&gt;0,DATE($B$1,3,1)=DATE(YEAR(TODAY()),MONTH(TODAY()),1))),1,0))</f>
        <v/>
      </c>
      <c r="S340">
        <f>IF($A340="","",IF(AND($B340&gt;0,F340&lt;$B340,DATE($B$1,4,1)&lt;=TODAY(),OR($O340="",$O340&gt;=DATE($B$1,4,1)),OR(COUNTIF($C340:F340,"&gt;0")&gt;0,DATE($B$1,4,1)=DATE(YEAR(TODAY()),MONTH(TODAY()),1))),1,0))</f>
        <v/>
      </c>
      <c r="T340">
        <f>IF($A340="","",IF(AND($B340&gt;0,G340&lt;$B340,DATE($B$1,5,1)&lt;=TODAY(),OR($O340="",$O340&gt;=DATE($B$1,5,1)),OR(COUNTIF($C340:G340,"&gt;0")&gt;0,DATE($B$1,5,1)=DATE(YEAR(TODAY()),MONTH(TODAY()),1))),1,0))</f>
        <v/>
      </c>
      <c r="U340">
        <f>IF($A340="","",IF(AND($B340&gt;0,H340&lt;$B340,DATE($B$1,6,1)&lt;=TODAY(),OR($O340="",$O340&gt;=DATE($B$1,6,1)),OR(COUNTIF($C340:H340,"&gt;0")&gt;0,DATE($B$1,6,1)=DATE(YEAR(TODAY()),MONTH(TODAY()),1))),1,0))</f>
        <v/>
      </c>
      <c r="V340">
        <f>IF($A340="","",IF(AND($B340&gt;0,I340&lt;$B340,DATE($B$1,7,1)&lt;=TODAY(),OR($O340="",$O340&gt;=DATE($B$1,7,1)),OR(COUNTIF($C340:I340,"&gt;0")&gt;0,DATE($B$1,7,1)=DATE(YEAR(TODAY()),MONTH(TODAY()),1))),1,0))</f>
        <v/>
      </c>
      <c r="W340">
        <f>IF($A340="","",IF(AND($B340&gt;0,J340&lt;$B340,DATE($B$1,8,1)&lt;=TODAY(),OR($O340="",$O340&gt;=DATE($B$1,8,1)),OR(COUNTIF($C340:J340,"&gt;0")&gt;0,DATE($B$1,8,1)=DATE(YEAR(TODAY()),MONTH(TODAY()),1))),1,0))</f>
        <v/>
      </c>
      <c r="X340">
        <f>IF($A340="","",IF(AND($B340&gt;0,K340&lt;$B340,DATE($B$1,9,1)&lt;=TODAY(),OR($O340="",$O340&gt;=DATE($B$1,9,1)),OR(COUNTIF($C340:K340,"&gt;0")&gt;0,DATE($B$1,9,1)=DATE(YEAR(TODAY()),MONTH(TODAY()),1))),1,0))</f>
        <v/>
      </c>
      <c r="Y340">
        <f>IF($A340="","",IF(AND($B340&gt;0,L340&lt;$B340,DATE($B$1,10,1)&lt;=TODAY(),OR($O340="",$O340&gt;=DATE($B$1,10,1)),OR(COUNTIF($C340:L340,"&gt;0")&gt;0,DATE($B$1,10,1)=DATE(YEAR(TODAY()),MONTH(TODAY()),1))),1,0))</f>
        <v/>
      </c>
      <c r="Z340">
        <f>IF($A340="","",IF(AND($B340&gt;0,M340&lt;$B340,DATE($B$1,11,1)&lt;=TODAY(),OR($O340="",$O340&gt;=DATE($B$1,11,1)),OR(COUNTIF($C340:M340,"&gt;0")&gt;0,DATE($B$1,11,1)=DATE(YEAR(TODAY()),MONTH(TODAY()),1))),1,0))</f>
        <v/>
      </c>
      <c r="AA340">
        <f>IF($A340="","",IF(AND($B340&gt;0,N340&lt;$B340,DATE($B$1,12,1)&lt;=TODAY(),OR($O340="",$O340&gt;=DATE($B$1,12,1)),OR(COUNTIF($C340:N340,"&gt;0")&gt;0,DATE($B$1,12,1)=DATE(YEAR(TODAY()),MONTH(TODAY()),1))),1,0))</f>
        <v/>
      </c>
    </row>
    <row r="341">
      <c r="A341" s="13">
        <f>IF(원생!$A339="","",원생!$A339&amp;IF(원생!$G339="",""," ("&amp;원생!$G339&amp;")"))</f>
        <v/>
      </c>
      <c r="B341" s="8">
        <f>IF(원생!$A339="","",원생!$F339)</f>
        <v/>
      </c>
      <c r="C341" s="14">
        <f>IF(원생!$A339="","",SUMIFS(수납!$F:$F,수납!$C:$C,원생!$A339,수납!$D:$D,IF(원생!$G339="","",원생!$G339),수납!$B:$B,$B$1&amp;"-"&amp;TEXT(1,"00")&amp;"*",수납!$E:$E,"수강료")+SUMIFS(수납!$F:$F,수납!$C:$C,원생!$A339,수납!$D:$D,IF(원생!$G339="","",원생!$G339),수납!$B:$B,$B$1&amp;"-"&amp;TEXT(1,"00")&amp;"*",수납!$E:$E,""))</f>
        <v/>
      </c>
      <c r="D341" s="14">
        <f>IF(원생!$A339="","",SUMIFS(수납!$F:$F,수납!$C:$C,원생!$A339,수납!$D:$D,IF(원생!$G339="","",원생!$G339),수납!$B:$B,$B$1&amp;"-"&amp;TEXT(2,"00")&amp;"*",수납!$E:$E,"수강료")+SUMIFS(수납!$F:$F,수납!$C:$C,원생!$A339,수납!$D:$D,IF(원생!$G339="","",원생!$G339),수납!$B:$B,$B$1&amp;"-"&amp;TEXT(2,"00")&amp;"*",수납!$E:$E,""))</f>
        <v/>
      </c>
      <c r="E341" s="14">
        <f>IF(원생!$A339="","",SUMIFS(수납!$F:$F,수납!$C:$C,원생!$A339,수납!$D:$D,IF(원생!$G339="","",원생!$G339),수납!$B:$B,$B$1&amp;"-"&amp;TEXT(3,"00")&amp;"*",수납!$E:$E,"수강료")+SUMIFS(수납!$F:$F,수납!$C:$C,원생!$A339,수납!$D:$D,IF(원생!$G339="","",원생!$G339),수납!$B:$B,$B$1&amp;"-"&amp;TEXT(3,"00")&amp;"*",수납!$E:$E,""))</f>
        <v/>
      </c>
      <c r="F341" s="14">
        <f>IF(원생!$A339="","",SUMIFS(수납!$F:$F,수납!$C:$C,원생!$A339,수납!$D:$D,IF(원생!$G339="","",원생!$G339),수납!$B:$B,$B$1&amp;"-"&amp;TEXT(4,"00")&amp;"*",수납!$E:$E,"수강료")+SUMIFS(수납!$F:$F,수납!$C:$C,원생!$A339,수납!$D:$D,IF(원생!$G339="","",원생!$G339),수납!$B:$B,$B$1&amp;"-"&amp;TEXT(4,"00")&amp;"*",수납!$E:$E,""))</f>
        <v/>
      </c>
      <c r="G341" s="14">
        <f>IF(원생!$A339="","",SUMIFS(수납!$F:$F,수납!$C:$C,원생!$A339,수납!$D:$D,IF(원생!$G339="","",원생!$G339),수납!$B:$B,$B$1&amp;"-"&amp;TEXT(5,"00")&amp;"*",수납!$E:$E,"수강료")+SUMIFS(수납!$F:$F,수납!$C:$C,원생!$A339,수납!$D:$D,IF(원생!$G339="","",원생!$G339),수납!$B:$B,$B$1&amp;"-"&amp;TEXT(5,"00")&amp;"*",수납!$E:$E,""))</f>
        <v/>
      </c>
      <c r="H341" s="14">
        <f>IF(원생!$A339="","",SUMIFS(수납!$F:$F,수납!$C:$C,원생!$A339,수납!$D:$D,IF(원생!$G339="","",원생!$G339),수납!$B:$B,$B$1&amp;"-"&amp;TEXT(6,"00")&amp;"*",수납!$E:$E,"수강료")+SUMIFS(수납!$F:$F,수납!$C:$C,원생!$A339,수납!$D:$D,IF(원생!$G339="","",원생!$G339),수납!$B:$B,$B$1&amp;"-"&amp;TEXT(6,"00")&amp;"*",수납!$E:$E,""))</f>
        <v/>
      </c>
      <c r="I341" s="14">
        <f>IF(원생!$A339="","",SUMIFS(수납!$F:$F,수납!$C:$C,원생!$A339,수납!$D:$D,IF(원생!$G339="","",원생!$G339),수납!$B:$B,$B$1&amp;"-"&amp;TEXT(7,"00")&amp;"*",수납!$E:$E,"수강료")+SUMIFS(수납!$F:$F,수납!$C:$C,원생!$A339,수납!$D:$D,IF(원생!$G339="","",원생!$G339),수납!$B:$B,$B$1&amp;"-"&amp;TEXT(7,"00")&amp;"*",수납!$E:$E,""))</f>
        <v/>
      </c>
      <c r="J341" s="14">
        <f>IF(원생!$A339="","",SUMIFS(수납!$F:$F,수납!$C:$C,원생!$A339,수납!$D:$D,IF(원생!$G339="","",원생!$G339),수납!$B:$B,$B$1&amp;"-"&amp;TEXT(8,"00")&amp;"*",수납!$E:$E,"수강료")+SUMIFS(수납!$F:$F,수납!$C:$C,원생!$A339,수납!$D:$D,IF(원생!$G339="","",원생!$G339),수납!$B:$B,$B$1&amp;"-"&amp;TEXT(8,"00")&amp;"*",수납!$E:$E,""))</f>
        <v/>
      </c>
      <c r="K341" s="14">
        <f>IF(원생!$A339="","",SUMIFS(수납!$F:$F,수납!$C:$C,원생!$A339,수납!$D:$D,IF(원생!$G339="","",원생!$G339),수납!$B:$B,$B$1&amp;"-"&amp;TEXT(9,"00")&amp;"*",수납!$E:$E,"수강료")+SUMIFS(수납!$F:$F,수납!$C:$C,원생!$A339,수납!$D:$D,IF(원생!$G339="","",원생!$G339),수납!$B:$B,$B$1&amp;"-"&amp;TEXT(9,"00")&amp;"*",수납!$E:$E,""))</f>
        <v/>
      </c>
      <c r="L341" s="14">
        <f>IF(원생!$A339="","",SUMIFS(수납!$F:$F,수납!$C:$C,원생!$A339,수납!$D:$D,IF(원생!$G339="","",원생!$G339),수납!$B:$B,$B$1&amp;"-"&amp;TEXT(10,"00")&amp;"*",수납!$E:$E,"수강료")+SUMIFS(수납!$F:$F,수납!$C:$C,원생!$A339,수납!$D:$D,IF(원생!$G339="","",원생!$G339),수납!$B:$B,$B$1&amp;"-"&amp;TEXT(10,"00")&amp;"*",수납!$E:$E,""))</f>
        <v/>
      </c>
      <c r="M341" s="14">
        <f>IF(원생!$A339="","",SUMIFS(수납!$F:$F,수납!$C:$C,원생!$A339,수납!$D:$D,IF(원생!$G339="","",원생!$G339),수납!$B:$B,$B$1&amp;"-"&amp;TEXT(11,"00")&amp;"*",수납!$E:$E,"수강료")+SUMIFS(수납!$F:$F,수납!$C:$C,원생!$A339,수납!$D:$D,IF(원생!$G339="","",원생!$G339),수납!$B:$B,$B$1&amp;"-"&amp;TEXT(11,"00")&amp;"*",수납!$E:$E,""))</f>
        <v/>
      </c>
      <c r="N341" s="14">
        <f>IF(원생!$A339="","",SUMIFS(수납!$F:$F,수납!$C:$C,원생!$A339,수납!$D:$D,IF(원생!$G339="","",원생!$G339),수납!$B:$B,$B$1&amp;"-"&amp;TEXT(12,"00")&amp;"*",수납!$E:$E,"수강료")+SUMIFS(수납!$F:$F,수납!$C:$C,원생!$A339,수납!$D:$D,IF(원생!$G339="","",원생!$G339),수납!$B:$B,$B$1&amp;"-"&amp;TEXT(12,"00")&amp;"*",수납!$E:$E,""))</f>
        <v/>
      </c>
      <c r="O341">
        <f>IF(원생!$I339="","",원생!$I339)</f>
        <v/>
      </c>
      <c r="P341">
        <f>IF($A341="","",IF(AND($B341&gt;0,C341&lt;$B341,DATE($B$1,1,1)&lt;=TODAY(),OR($O341="",$O341&gt;=DATE($B$1,1,1)),OR(COUNTIF($C341:C341,"&gt;0")&gt;0,DATE($B$1,1,1)=DATE(YEAR(TODAY()),MONTH(TODAY()),1))),1,0))</f>
        <v/>
      </c>
      <c r="Q341">
        <f>IF($A341="","",IF(AND($B341&gt;0,D341&lt;$B341,DATE($B$1,2,1)&lt;=TODAY(),OR($O341="",$O341&gt;=DATE($B$1,2,1)),OR(COUNTIF($C341:D341,"&gt;0")&gt;0,DATE($B$1,2,1)=DATE(YEAR(TODAY()),MONTH(TODAY()),1))),1,0))</f>
        <v/>
      </c>
      <c r="R341">
        <f>IF($A341="","",IF(AND($B341&gt;0,E341&lt;$B341,DATE($B$1,3,1)&lt;=TODAY(),OR($O341="",$O341&gt;=DATE($B$1,3,1)),OR(COUNTIF($C341:E341,"&gt;0")&gt;0,DATE($B$1,3,1)=DATE(YEAR(TODAY()),MONTH(TODAY()),1))),1,0))</f>
        <v/>
      </c>
      <c r="S341">
        <f>IF($A341="","",IF(AND($B341&gt;0,F341&lt;$B341,DATE($B$1,4,1)&lt;=TODAY(),OR($O341="",$O341&gt;=DATE($B$1,4,1)),OR(COUNTIF($C341:F341,"&gt;0")&gt;0,DATE($B$1,4,1)=DATE(YEAR(TODAY()),MONTH(TODAY()),1))),1,0))</f>
        <v/>
      </c>
      <c r="T341">
        <f>IF($A341="","",IF(AND($B341&gt;0,G341&lt;$B341,DATE($B$1,5,1)&lt;=TODAY(),OR($O341="",$O341&gt;=DATE($B$1,5,1)),OR(COUNTIF($C341:G341,"&gt;0")&gt;0,DATE($B$1,5,1)=DATE(YEAR(TODAY()),MONTH(TODAY()),1))),1,0))</f>
        <v/>
      </c>
      <c r="U341">
        <f>IF($A341="","",IF(AND($B341&gt;0,H341&lt;$B341,DATE($B$1,6,1)&lt;=TODAY(),OR($O341="",$O341&gt;=DATE($B$1,6,1)),OR(COUNTIF($C341:H341,"&gt;0")&gt;0,DATE($B$1,6,1)=DATE(YEAR(TODAY()),MONTH(TODAY()),1))),1,0))</f>
        <v/>
      </c>
      <c r="V341">
        <f>IF($A341="","",IF(AND($B341&gt;0,I341&lt;$B341,DATE($B$1,7,1)&lt;=TODAY(),OR($O341="",$O341&gt;=DATE($B$1,7,1)),OR(COUNTIF($C341:I341,"&gt;0")&gt;0,DATE($B$1,7,1)=DATE(YEAR(TODAY()),MONTH(TODAY()),1))),1,0))</f>
        <v/>
      </c>
      <c r="W341">
        <f>IF($A341="","",IF(AND($B341&gt;0,J341&lt;$B341,DATE($B$1,8,1)&lt;=TODAY(),OR($O341="",$O341&gt;=DATE($B$1,8,1)),OR(COUNTIF($C341:J341,"&gt;0")&gt;0,DATE($B$1,8,1)=DATE(YEAR(TODAY()),MONTH(TODAY()),1))),1,0))</f>
        <v/>
      </c>
      <c r="X341">
        <f>IF($A341="","",IF(AND($B341&gt;0,K341&lt;$B341,DATE($B$1,9,1)&lt;=TODAY(),OR($O341="",$O341&gt;=DATE($B$1,9,1)),OR(COUNTIF($C341:K341,"&gt;0")&gt;0,DATE($B$1,9,1)=DATE(YEAR(TODAY()),MONTH(TODAY()),1))),1,0))</f>
        <v/>
      </c>
      <c r="Y341">
        <f>IF($A341="","",IF(AND($B341&gt;0,L341&lt;$B341,DATE($B$1,10,1)&lt;=TODAY(),OR($O341="",$O341&gt;=DATE($B$1,10,1)),OR(COUNTIF($C341:L341,"&gt;0")&gt;0,DATE($B$1,10,1)=DATE(YEAR(TODAY()),MONTH(TODAY()),1))),1,0))</f>
        <v/>
      </c>
      <c r="Z341">
        <f>IF($A341="","",IF(AND($B341&gt;0,M341&lt;$B341,DATE($B$1,11,1)&lt;=TODAY(),OR($O341="",$O341&gt;=DATE($B$1,11,1)),OR(COUNTIF($C341:M341,"&gt;0")&gt;0,DATE($B$1,11,1)=DATE(YEAR(TODAY()),MONTH(TODAY()),1))),1,0))</f>
        <v/>
      </c>
      <c r="AA341">
        <f>IF($A341="","",IF(AND($B341&gt;0,N341&lt;$B341,DATE($B$1,12,1)&lt;=TODAY(),OR($O341="",$O341&gt;=DATE($B$1,12,1)),OR(COUNTIF($C341:N341,"&gt;0")&gt;0,DATE($B$1,12,1)=DATE(YEAR(TODAY()),MONTH(TODAY()),1))),1,0))</f>
        <v/>
      </c>
    </row>
    <row r="342">
      <c r="A342" s="13">
        <f>IF(원생!$A340="","",원생!$A340&amp;IF(원생!$G340="",""," ("&amp;원생!$G340&amp;")"))</f>
        <v/>
      </c>
      <c r="B342" s="8">
        <f>IF(원생!$A340="","",원생!$F340)</f>
        <v/>
      </c>
      <c r="C342" s="14">
        <f>IF(원생!$A340="","",SUMIFS(수납!$F:$F,수납!$C:$C,원생!$A340,수납!$D:$D,IF(원생!$G340="","",원생!$G340),수납!$B:$B,$B$1&amp;"-"&amp;TEXT(1,"00")&amp;"*",수납!$E:$E,"수강료")+SUMIFS(수납!$F:$F,수납!$C:$C,원생!$A340,수납!$D:$D,IF(원생!$G340="","",원생!$G340),수납!$B:$B,$B$1&amp;"-"&amp;TEXT(1,"00")&amp;"*",수납!$E:$E,""))</f>
        <v/>
      </c>
      <c r="D342" s="14">
        <f>IF(원생!$A340="","",SUMIFS(수납!$F:$F,수납!$C:$C,원생!$A340,수납!$D:$D,IF(원생!$G340="","",원생!$G340),수납!$B:$B,$B$1&amp;"-"&amp;TEXT(2,"00")&amp;"*",수납!$E:$E,"수강료")+SUMIFS(수납!$F:$F,수납!$C:$C,원생!$A340,수납!$D:$D,IF(원생!$G340="","",원생!$G340),수납!$B:$B,$B$1&amp;"-"&amp;TEXT(2,"00")&amp;"*",수납!$E:$E,""))</f>
        <v/>
      </c>
      <c r="E342" s="14">
        <f>IF(원생!$A340="","",SUMIFS(수납!$F:$F,수납!$C:$C,원생!$A340,수납!$D:$D,IF(원생!$G340="","",원생!$G340),수납!$B:$B,$B$1&amp;"-"&amp;TEXT(3,"00")&amp;"*",수납!$E:$E,"수강료")+SUMIFS(수납!$F:$F,수납!$C:$C,원생!$A340,수납!$D:$D,IF(원생!$G340="","",원생!$G340),수납!$B:$B,$B$1&amp;"-"&amp;TEXT(3,"00")&amp;"*",수납!$E:$E,""))</f>
        <v/>
      </c>
      <c r="F342" s="14">
        <f>IF(원생!$A340="","",SUMIFS(수납!$F:$F,수납!$C:$C,원생!$A340,수납!$D:$D,IF(원생!$G340="","",원생!$G340),수납!$B:$B,$B$1&amp;"-"&amp;TEXT(4,"00")&amp;"*",수납!$E:$E,"수강료")+SUMIFS(수납!$F:$F,수납!$C:$C,원생!$A340,수납!$D:$D,IF(원생!$G340="","",원생!$G340),수납!$B:$B,$B$1&amp;"-"&amp;TEXT(4,"00")&amp;"*",수납!$E:$E,""))</f>
        <v/>
      </c>
      <c r="G342" s="14">
        <f>IF(원생!$A340="","",SUMIFS(수납!$F:$F,수납!$C:$C,원생!$A340,수납!$D:$D,IF(원생!$G340="","",원생!$G340),수납!$B:$B,$B$1&amp;"-"&amp;TEXT(5,"00")&amp;"*",수납!$E:$E,"수강료")+SUMIFS(수납!$F:$F,수납!$C:$C,원생!$A340,수납!$D:$D,IF(원생!$G340="","",원생!$G340),수납!$B:$B,$B$1&amp;"-"&amp;TEXT(5,"00")&amp;"*",수납!$E:$E,""))</f>
        <v/>
      </c>
      <c r="H342" s="14">
        <f>IF(원생!$A340="","",SUMIFS(수납!$F:$F,수납!$C:$C,원생!$A340,수납!$D:$D,IF(원생!$G340="","",원생!$G340),수납!$B:$B,$B$1&amp;"-"&amp;TEXT(6,"00")&amp;"*",수납!$E:$E,"수강료")+SUMIFS(수납!$F:$F,수납!$C:$C,원생!$A340,수납!$D:$D,IF(원생!$G340="","",원생!$G340),수납!$B:$B,$B$1&amp;"-"&amp;TEXT(6,"00")&amp;"*",수납!$E:$E,""))</f>
        <v/>
      </c>
      <c r="I342" s="14">
        <f>IF(원생!$A340="","",SUMIFS(수납!$F:$F,수납!$C:$C,원생!$A340,수납!$D:$D,IF(원생!$G340="","",원생!$G340),수납!$B:$B,$B$1&amp;"-"&amp;TEXT(7,"00")&amp;"*",수납!$E:$E,"수강료")+SUMIFS(수납!$F:$F,수납!$C:$C,원생!$A340,수납!$D:$D,IF(원생!$G340="","",원생!$G340),수납!$B:$B,$B$1&amp;"-"&amp;TEXT(7,"00")&amp;"*",수납!$E:$E,""))</f>
        <v/>
      </c>
      <c r="J342" s="14">
        <f>IF(원생!$A340="","",SUMIFS(수납!$F:$F,수납!$C:$C,원생!$A340,수납!$D:$D,IF(원생!$G340="","",원생!$G340),수납!$B:$B,$B$1&amp;"-"&amp;TEXT(8,"00")&amp;"*",수납!$E:$E,"수강료")+SUMIFS(수납!$F:$F,수납!$C:$C,원생!$A340,수납!$D:$D,IF(원생!$G340="","",원생!$G340),수납!$B:$B,$B$1&amp;"-"&amp;TEXT(8,"00")&amp;"*",수납!$E:$E,""))</f>
        <v/>
      </c>
      <c r="K342" s="14">
        <f>IF(원생!$A340="","",SUMIFS(수납!$F:$F,수납!$C:$C,원생!$A340,수납!$D:$D,IF(원생!$G340="","",원생!$G340),수납!$B:$B,$B$1&amp;"-"&amp;TEXT(9,"00")&amp;"*",수납!$E:$E,"수강료")+SUMIFS(수납!$F:$F,수납!$C:$C,원생!$A340,수납!$D:$D,IF(원생!$G340="","",원생!$G340),수납!$B:$B,$B$1&amp;"-"&amp;TEXT(9,"00")&amp;"*",수납!$E:$E,""))</f>
        <v/>
      </c>
      <c r="L342" s="14">
        <f>IF(원생!$A340="","",SUMIFS(수납!$F:$F,수납!$C:$C,원생!$A340,수납!$D:$D,IF(원생!$G340="","",원생!$G340),수납!$B:$B,$B$1&amp;"-"&amp;TEXT(10,"00")&amp;"*",수납!$E:$E,"수강료")+SUMIFS(수납!$F:$F,수납!$C:$C,원생!$A340,수납!$D:$D,IF(원생!$G340="","",원생!$G340),수납!$B:$B,$B$1&amp;"-"&amp;TEXT(10,"00")&amp;"*",수납!$E:$E,""))</f>
        <v/>
      </c>
      <c r="M342" s="14">
        <f>IF(원생!$A340="","",SUMIFS(수납!$F:$F,수납!$C:$C,원생!$A340,수납!$D:$D,IF(원생!$G340="","",원생!$G340),수납!$B:$B,$B$1&amp;"-"&amp;TEXT(11,"00")&amp;"*",수납!$E:$E,"수강료")+SUMIFS(수납!$F:$F,수납!$C:$C,원생!$A340,수납!$D:$D,IF(원생!$G340="","",원생!$G340),수납!$B:$B,$B$1&amp;"-"&amp;TEXT(11,"00")&amp;"*",수납!$E:$E,""))</f>
        <v/>
      </c>
      <c r="N342" s="14">
        <f>IF(원생!$A340="","",SUMIFS(수납!$F:$F,수납!$C:$C,원생!$A340,수납!$D:$D,IF(원생!$G340="","",원생!$G340),수납!$B:$B,$B$1&amp;"-"&amp;TEXT(12,"00")&amp;"*",수납!$E:$E,"수강료")+SUMIFS(수납!$F:$F,수납!$C:$C,원생!$A340,수납!$D:$D,IF(원생!$G340="","",원생!$G340),수납!$B:$B,$B$1&amp;"-"&amp;TEXT(12,"00")&amp;"*",수납!$E:$E,""))</f>
        <v/>
      </c>
      <c r="O342">
        <f>IF(원생!$I340="","",원생!$I340)</f>
        <v/>
      </c>
      <c r="P342">
        <f>IF($A342="","",IF(AND($B342&gt;0,C342&lt;$B342,DATE($B$1,1,1)&lt;=TODAY(),OR($O342="",$O342&gt;=DATE($B$1,1,1)),OR(COUNTIF($C342:C342,"&gt;0")&gt;0,DATE($B$1,1,1)=DATE(YEAR(TODAY()),MONTH(TODAY()),1))),1,0))</f>
        <v/>
      </c>
      <c r="Q342">
        <f>IF($A342="","",IF(AND($B342&gt;0,D342&lt;$B342,DATE($B$1,2,1)&lt;=TODAY(),OR($O342="",$O342&gt;=DATE($B$1,2,1)),OR(COUNTIF($C342:D342,"&gt;0")&gt;0,DATE($B$1,2,1)=DATE(YEAR(TODAY()),MONTH(TODAY()),1))),1,0))</f>
        <v/>
      </c>
      <c r="R342">
        <f>IF($A342="","",IF(AND($B342&gt;0,E342&lt;$B342,DATE($B$1,3,1)&lt;=TODAY(),OR($O342="",$O342&gt;=DATE($B$1,3,1)),OR(COUNTIF($C342:E342,"&gt;0")&gt;0,DATE($B$1,3,1)=DATE(YEAR(TODAY()),MONTH(TODAY()),1))),1,0))</f>
        <v/>
      </c>
      <c r="S342">
        <f>IF($A342="","",IF(AND($B342&gt;0,F342&lt;$B342,DATE($B$1,4,1)&lt;=TODAY(),OR($O342="",$O342&gt;=DATE($B$1,4,1)),OR(COUNTIF($C342:F342,"&gt;0")&gt;0,DATE($B$1,4,1)=DATE(YEAR(TODAY()),MONTH(TODAY()),1))),1,0))</f>
        <v/>
      </c>
      <c r="T342">
        <f>IF($A342="","",IF(AND($B342&gt;0,G342&lt;$B342,DATE($B$1,5,1)&lt;=TODAY(),OR($O342="",$O342&gt;=DATE($B$1,5,1)),OR(COUNTIF($C342:G342,"&gt;0")&gt;0,DATE($B$1,5,1)=DATE(YEAR(TODAY()),MONTH(TODAY()),1))),1,0))</f>
        <v/>
      </c>
      <c r="U342">
        <f>IF($A342="","",IF(AND($B342&gt;0,H342&lt;$B342,DATE($B$1,6,1)&lt;=TODAY(),OR($O342="",$O342&gt;=DATE($B$1,6,1)),OR(COUNTIF($C342:H342,"&gt;0")&gt;0,DATE($B$1,6,1)=DATE(YEAR(TODAY()),MONTH(TODAY()),1))),1,0))</f>
        <v/>
      </c>
      <c r="V342">
        <f>IF($A342="","",IF(AND($B342&gt;0,I342&lt;$B342,DATE($B$1,7,1)&lt;=TODAY(),OR($O342="",$O342&gt;=DATE($B$1,7,1)),OR(COUNTIF($C342:I342,"&gt;0")&gt;0,DATE($B$1,7,1)=DATE(YEAR(TODAY()),MONTH(TODAY()),1))),1,0))</f>
        <v/>
      </c>
      <c r="W342">
        <f>IF($A342="","",IF(AND($B342&gt;0,J342&lt;$B342,DATE($B$1,8,1)&lt;=TODAY(),OR($O342="",$O342&gt;=DATE($B$1,8,1)),OR(COUNTIF($C342:J342,"&gt;0")&gt;0,DATE($B$1,8,1)=DATE(YEAR(TODAY()),MONTH(TODAY()),1))),1,0))</f>
        <v/>
      </c>
      <c r="X342">
        <f>IF($A342="","",IF(AND($B342&gt;0,K342&lt;$B342,DATE($B$1,9,1)&lt;=TODAY(),OR($O342="",$O342&gt;=DATE($B$1,9,1)),OR(COUNTIF($C342:K342,"&gt;0")&gt;0,DATE($B$1,9,1)=DATE(YEAR(TODAY()),MONTH(TODAY()),1))),1,0))</f>
        <v/>
      </c>
      <c r="Y342">
        <f>IF($A342="","",IF(AND($B342&gt;0,L342&lt;$B342,DATE($B$1,10,1)&lt;=TODAY(),OR($O342="",$O342&gt;=DATE($B$1,10,1)),OR(COUNTIF($C342:L342,"&gt;0")&gt;0,DATE($B$1,10,1)=DATE(YEAR(TODAY()),MONTH(TODAY()),1))),1,0))</f>
        <v/>
      </c>
      <c r="Z342">
        <f>IF($A342="","",IF(AND($B342&gt;0,M342&lt;$B342,DATE($B$1,11,1)&lt;=TODAY(),OR($O342="",$O342&gt;=DATE($B$1,11,1)),OR(COUNTIF($C342:M342,"&gt;0")&gt;0,DATE($B$1,11,1)=DATE(YEAR(TODAY()),MONTH(TODAY()),1))),1,0))</f>
        <v/>
      </c>
      <c r="AA342">
        <f>IF($A342="","",IF(AND($B342&gt;0,N342&lt;$B342,DATE($B$1,12,1)&lt;=TODAY(),OR($O342="",$O342&gt;=DATE($B$1,12,1)),OR(COUNTIF($C342:N342,"&gt;0")&gt;0,DATE($B$1,12,1)=DATE(YEAR(TODAY()),MONTH(TODAY()),1))),1,0))</f>
        <v/>
      </c>
    </row>
    <row r="343">
      <c r="A343" s="13">
        <f>IF(원생!$A341="","",원생!$A341&amp;IF(원생!$G341="",""," ("&amp;원생!$G341&amp;")"))</f>
        <v/>
      </c>
      <c r="B343" s="8">
        <f>IF(원생!$A341="","",원생!$F341)</f>
        <v/>
      </c>
      <c r="C343" s="14">
        <f>IF(원생!$A341="","",SUMIFS(수납!$F:$F,수납!$C:$C,원생!$A341,수납!$D:$D,IF(원생!$G341="","",원생!$G341),수납!$B:$B,$B$1&amp;"-"&amp;TEXT(1,"00")&amp;"*",수납!$E:$E,"수강료")+SUMIFS(수납!$F:$F,수납!$C:$C,원생!$A341,수납!$D:$D,IF(원생!$G341="","",원생!$G341),수납!$B:$B,$B$1&amp;"-"&amp;TEXT(1,"00")&amp;"*",수납!$E:$E,""))</f>
        <v/>
      </c>
      <c r="D343" s="14">
        <f>IF(원생!$A341="","",SUMIFS(수납!$F:$F,수납!$C:$C,원생!$A341,수납!$D:$D,IF(원생!$G341="","",원생!$G341),수납!$B:$B,$B$1&amp;"-"&amp;TEXT(2,"00")&amp;"*",수납!$E:$E,"수강료")+SUMIFS(수납!$F:$F,수납!$C:$C,원생!$A341,수납!$D:$D,IF(원생!$G341="","",원생!$G341),수납!$B:$B,$B$1&amp;"-"&amp;TEXT(2,"00")&amp;"*",수납!$E:$E,""))</f>
        <v/>
      </c>
      <c r="E343" s="14">
        <f>IF(원생!$A341="","",SUMIFS(수납!$F:$F,수납!$C:$C,원생!$A341,수납!$D:$D,IF(원생!$G341="","",원생!$G341),수납!$B:$B,$B$1&amp;"-"&amp;TEXT(3,"00")&amp;"*",수납!$E:$E,"수강료")+SUMIFS(수납!$F:$F,수납!$C:$C,원생!$A341,수납!$D:$D,IF(원생!$G341="","",원생!$G341),수납!$B:$B,$B$1&amp;"-"&amp;TEXT(3,"00")&amp;"*",수납!$E:$E,""))</f>
        <v/>
      </c>
      <c r="F343" s="14">
        <f>IF(원생!$A341="","",SUMIFS(수납!$F:$F,수납!$C:$C,원생!$A341,수납!$D:$D,IF(원생!$G341="","",원생!$G341),수납!$B:$B,$B$1&amp;"-"&amp;TEXT(4,"00")&amp;"*",수납!$E:$E,"수강료")+SUMIFS(수납!$F:$F,수납!$C:$C,원생!$A341,수납!$D:$D,IF(원생!$G341="","",원생!$G341),수납!$B:$B,$B$1&amp;"-"&amp;TEXT(4,"00")&amp;"*",수납!$E:$E,""))</f>
        <v/>
      </c>
      <c r="G343" s="14">
        <f>IF(원생!$A341="","",SUMIFS(수납!$F:$F,수납!$C:$C,원생!$A341,수납!$D:$D,IF(원생!$G341="","",원생!$G341),수납!$B:$B,$B$1&amp;"-"&amp;TEXT(5,"00")&amp;"*",수납!$E:$E,"수강료")+SUMIFS(수납!$F:$F,수납!$C:$C,원생!$A341,수납!$D:$D,IF(원생!$G341="","",원생!$G341),수납!$B:$B,$B$1&amp;"-"&amp;TEXT(5,"00")&amp;"*",수납!$E:$E,""))</f>
        <v/>
      </c>
      <c r="H343" s="14">
        <f>IF(원생!$A341="","",SUMIFS(수납!$F:$F,수납!$C:$C,원생!$A341,수납!$D:$D,IF(원생!$G341="","",원생!$G341),수납!$B:$B,$B$1&amp;"-"&amp;TEXT(6,"00")&amp;"*",수납!$E:$E,"수강료")+SUMIFS(수납!$F:$F,수납!$C:$C,원생!$A341,수납!$D:$D,IF(원생!$G341="","",원생!$G341),수납!$B:$B,$B$1&amp;"-"&amp;TEXT(6,"00")&amp;"*",수납!$E:$E,""))</f>
        <v/>
      </c>
      <c r="I343" s="14">
        <f>IF(원생!$A341="","",SUMIFS(수납!$F:$F,수납!$C:$C,원생!$A341,수납!$D:$D,IF(원생!$G341="","",원생!$G341),수납!$B:$B,$B$1&amp;"-"&amp;TEXT(7,"00")&amp;"*",수납!$E:$E,"수강료")+SUMIFS(수납!$F:$F,수납!$C:$C,원생!$A341,수납!$D:$D,IF(원생!$G341="","",원생!$G341),수납!$B:$B,$B$1&amp;"-"&amp;TEXT(7,"00")&amp;"*",수납!$E:$E,""))</f>
        <v/>
      </c>
      <c r="J343" s="14">
        <f>IF(원생!$A341="","",SUMIFS(수납!$F:$F,수납!$C:$C,원생!$A341,수납!$D:$D,IF(원생!$G341="","",원생!$G341),수납!$B:$B,$B$1&amp;"-"&amp;TEXT(8,"00")&amp;"*",수납!$E:$E,"수강료")+SUMIFS(수납!$F:$F,수납!$C:$C,원생!$A341,수납!$D:$D,IF(원생!$G341="","",원생!$G341),수납!$B:$B,$B$1&amp;"-"&amp;TEXT(8,"00")&amp;"*",수납!$E:$E,""))</f>
        <v/>
      </c>
      <c r="K343" s="14">
        <f>IF(원생!$A341="","",SUMIFS(수납!$F:$F,수납!$C:$C,원생!$A341,수납!$D:$D,IF(원생!$G341="","",원생!$G341),수납!$B:$B,$B$1&amp;"-"&amp;TEXT(9,"00")&amp;"*",수납!$E:$E,"수강료")+SUMIFS(수납!$F:$F,수납!$C:$C,원생!$A341,수납!$D:$D,IF(원생!$G341="","",원생!$G341),수납!$B:$B,$B$1&amp;"-"&amp;TEXT(9,"00")&amp;"*",수납!$E:$E,""))</f>
        <v/>
      </c>
      <c r="L343" s="14">
        <f>IF(원생!$A341="","",SUMIFS(수납!$F:$F,수납!$C:$C,원생!$A341,수납!$D:$D,IF(원생!$G341="","",원생!$G341),수납!$B:$B,$B$1&amp;"-"&amp;TEXT(10,"00")&amp;"*",수납!$E:$E,"수강료")+SUMIFS(수납!$F:$F,수납!$C:$C,원생!$A341,수납!$D:$D,IF(원생!$G341="","",원생!$G341),수납!$B:$B,$B$1&amp;"-"&amp;TEXT(10,"00")&amp;"*",수납!$E:$E,""))</f>
        <v/>
      </c>
      <c r="M343" s="14">
        <f>IF(원생!$A341="","",SUMIFS(수납!$F:$F,수납!$C:$C,원생!$A341,수납!$D:$D,IF(원생!$G341="","",원생!$G341),수납!$B:$B,$B$1&amp;"-"&amp;TEXT(11,"00")&amp;"*",수납!$E:$E,"수강료")+SUMIFS(수납!$F:$F,수납!$C:$C,원생!$A341,수납!$D:$D,IF(원생!$G341="","",원생!$G341),수납!$B:$B,$B$1&amp;"-"&amp;TEXT(11,"00")&amp;"*",수납!$E:$E,""))</f>
        <v/>
      </c>
      <c r="N343" s="14">
        <f>IF(원생!$A341="","",SUMIFS(수납!$F:$F,수납!$C:$C,원생!$A341,수납!$D:$D,IF(원생!$G341="","",원생!$G341),수납!$B:$B,$B$1&amp;"-"&amp;TEXT(12,"00")&amp;"*",수납!$E:$E,"수강료")+SUMIFS(수납!$F:$F,수납!$C:$C,원생!$A341,수납!$D:$D,IF(원생!$G341="","",원생!$G341),수납!$B:$B,$B$1&amp;"-"&amp;TEXT(12,"00")&amp;"*",수납!$E:$E,""))</f>
        <v/>
      </c>
      <c r="O343">
        <f>IF(원생!$I341="","",원생!$I341)</f>
        <v/>
      </c>
      <c r="P343">
        <f>IF($A343="","",IF(AND($B343&gt;0,C343&lt;$B343,DATE($B$1,1,1)&lt;=TODAY(),OR($O343="",$O343&gt;=DATE($B$1,1,1)),OR(COUNTIF($C343:C343,"&gt;0")&gt;0,DATE($B$1,1,1)=DATE(YEAR(TODAY()),MONTH(TODAY()),1))),1,0))</f>
        <v/>
      </c>
      <c r="Q343">
        <f>IF($A343="","",IF(AND($B343&gt;0,D343&lt;$B343,DATE($B$1,2,1)&lt;=TODAY(),OR($O343="",$O343&gt;=DATE($B$1,2,1)),OR(COUNTIF($C343:D343,"&gt;0")&gt;0,DATE($B$1,2,1)=DATE(YEAR(TODAY()),MONTH(TODAY()),1))),1,0))</f>
        <v/>
      </c>
      <c r="R343">
        <f>IF($A343="","",IF(AND($B343&gt;0,E343&lt;$B343,DATE($B$1,3,1)&lt;=TODAY(),OR($O343="",$O343&gt;=DATE($B$1,3,1)),OR(COUNTIF($C343:E343,"&gt;0")&gt;0,DATE($B$1,3,1)=DATE(YEAR(TODAY()),MONTH(TODAY()),1))),1,0))</f>
        <v/>
      </c>
      <c r="S343">
        <f>IF($A343="","",IF(AND($B343&gt;0,F343&lt;$B343,DATE($B$1,4,1)&lt;=TODAY(),OR($O343="",$O343&gt;=DATE($B$1,4,1)),OR(COUNTIF($C343:F343,"&gt;0")&gt;0,DATE($B$1,4,1)=DATE(YEAR(TODAY()),MONTH(TODAY()),1))),1,0))</f>
        <v/>
      </c>
      <c r="T343">
        <f>IF($A343="","",IF(AND($B343&gt;0,G343&lt;$B343,DATE($B$1,5,1)&lt;=TODAY(),OR($O343="",$O343&gt;=DATE($B$1,5,1)),OR(COUNTIF($C343:G343,"&gt;0")&gt;0,DATE($B$1,5,1)=DATE(YEAR(TODAY()),MONTH(TODAY()),1))),1,0))</f>
        <v/>
      </c>
      <c r="U343">
        <f>IF($A343="","",IF(AND($B343&gt;0,H343&lt;$B343,DATE($B$1,6,1)&lt;=TODAY(),OR($O343="",$O343&gt;=DATE($B$1,6,1)),OR(COUNTIF($C343:H343,"&gt;0")&gt;0,DATE($B$1,6,1)=DATE(YEAR(TODAY()),MONTH(TODAY()),1))),1,0))</f>
        <v/>
      </c>
      <c r="V343">
        <f>IF($A343="","",IF(AND($B343&gt;0,I343&lt;$B343,DATE($B$1,7,1)&lt;=TODAY(),OR($O343="",$O343&gt;=DATE($B$1,7,1)),OR(COUNTIF($C343:I343,"&gt;0")&gt;0,DATE($B$1,7,1)=DATE(YEAR(TODAY()),MONTH(TODAY()),1))),1,0))</f>
        <v/>
      </c>
      <c r="W343">
        <f>IF($A343="","",IF(AND($B343&gt;0,J343&lt;$B343,DATE($B$1,8,1)&lt;=TODAY(),OR($O343="",$O343&gt;=DATE($B$1,8,1)),OR(COUNTIF($C343:J343,"&gt;0")&gt;0,DATE($B$1,8,1)=DATE(YEAR(TODAY()),MONTH(TODAY()),1))),1,0))</f>
        <v/>
      </c>
      <c r="X343">
        <f>IF($A343="","",IF(AND($B343&gt;0,K343&lt;$B343,DATE($B$1,9,1)&lt;=TODAY(),OR($O343="",$O343&gt;=DATE($B$1,9,1)),OR(COUNTIF($C343:K343,"&gt;0")&gt;0,DATE($B$1,9,1)=DATE(YEAR(TODAY()),MONTH(TODAY()),1))),1,0))</f>
        <v/>
      </c>
      <c r="Y343">
        <f>IF($A343="","",IF(AND($B343&gt;0,L343&lt;$B343,DATE($B$1,10,1)&lt;=TODAY(),OR($O343="",$O343&gt;=DATE($B$1,10,1)),OR(COUNTIF($C343:L343,"&gt;0")&gt;0,DATE($B$1,10,1)=DATE(YEAR(TODAY()),MONTH(TODAY()),1))),1,0))</f>
        <v/>
      </c>
      <c r="Z343">
        <f>IF($A343="","",IF(AND($B343&gt;0,M343&lt;$B343,DATE($B$1,11,1)&lt;=TODAY(),OR($O343="",$O343&gt;=DATE($B$1,11,1)),OR(COUNTIF($C343:M343,"&gt;0")&gt;0,DATE($B$1,11,1)=DATE(YEAR(TODAY()),MONTH(TODAY()),1))),1,0))</f>
        <v/>
      </c>
      <c r="AA343">
        <f>IF($A343="","",IF(AND($B343&gt;0,N343&lt;$B343,DATE($B$1,12,1)&lt;=TODAY(),OR($O343="",$O343&gt;=DATE($B$1,12,1)),OR(COUNTIF($C343:N343,"&gt;0")&gt;0,DATE($B$1,12,1)=DATE(YEAR(TODAY()),MONTH(TODAY()),1))),1,0))</f>
        <v/>
      </c>
    </row>
    <row r="344">
      <c r="A344" s="13">
        <f>IF(원생!$A342="","",원생!$A342&amp;IF(원생!$G342="",""," ("&amp;원생!$G342&amp;")"))</f>
        <v/>
      </c>
      <c r="B344" s="8">
        <f>IF(원생!$A342="","",원생!$F342)</f>
        <v/>
      </c>
      <c r="C344" s="14">
        <f>IF(원생!$A342="","",SUMIFS(수납!$F:$F,수납!$C:$C,원생!$A342,수납!$D:$D,IF(원생!$G342="","",원생!$G342),수납!$B:$B,$B$1&amp;"-"&amp;TEXT(1,"00")&amp;"*",수납!$E:$E,"수강료")+SUMIFS(수납!$F:$F,수납!$C:$C,원생!$A342,수납!$D:$D,IF(원생!$G342="","",원생!$G342),수납!$B:$B,$B$1&amp;"-"&amp;TEXT(1,"00")&amp;"*",수납!$E:$E,""))</f>
        <v/>
      </c>
      <c r="D344" s="14">
        <f>IF(원생!$A342="","",SUMIFS(수납!$F:$F,수납!$C:$C,원생!$A342,수납!$D:$D,IF(원생!$G342="","",원생!$G342),수납!$B:$B,$B$1&amp;"-"&amp;TEXT(2,"00")&amp;"*",수납!$E:$E,"수강료")+SUMIFS(수납!$F:$F,수납!$C:$C,원생!$A342,수납!$D:$D,IF(원생!$G342="","",원생!$G342),수납!$B:$B,$B$1&amp;"-"&amp;TEXT(2,"00")&amp;"*",수납!$E:$E,""))</f>
        <v/>
      </c>
      <c r="E344" s="14">
        <f>IF(원생!$A342="","",SUMIFS(수납!$F:$F,수납!$C:$C,원생!$A342,수납!$D:$D,IF(원생!$G342="","",원생!$G342),수납!$B:$B,$B$1&amp;"-"&amp;TEXT(3,"00")&amp;"*",수납!$E:$E,"수강료")+SUMIFS(수납!$F:$F,수납!$C:$C,원생!$A342,수납!$D:$D,IF(원생!$G342="","",원생!$G342),수납!$B:$B,$B$1&amp;"-"&amp;TEXT(3,"00")&amp;"*",수납!$E:$E,""))</f>
        <v/>
      </c>
      <c r="F344" s="14">
        <f>IF(원생!$A342="","",SUMIFS(수납!$F:$F,수납!$C:$C,원생!$A342,수납!$D:$D,IF(원생!$G342="","",원생!$G342),수납!$B:$B,$B$1&amp;"-"&amp;TEXT(4,"00")&amp;"*",수납!$E:$E,"수강료")+SUMIFS(수납!$F:$F,수납!$C:$C,원생!$A342,수납!$D:$D,IF(원생!$G342="","",원생!$G342),수납!$B:$B,$B$1&amp;"-"&amp;TEXT(4,"00")&amp;"*",수납!$E:$E,""))</f>
        <v/>
      </c>
      <c r="G344" s="14">
        <f>IF(원생!$A342="","",SUMIFS(수납!$F:$F,수납!$C:$C,원생!$A342,수납!$D:$D,IF(원생!$G342="","",원생!$G342),수납!$B:$B,$B$1&amp;"-"&amp;TEXT(5,"00")&amp;"*",수납!$E:$E,"수강료")+SUMIFS(수납!$F:$F,수납!$C:$C,원생!$A342,수납!$D:$D,IF(원생!$G342="","",원생!$G342),수납!$B:$B,$B$1&amp;"-"&amp;TEXT(5,"00")&amp;"*",수납!$E:$E,""))</f>
        <v/>
      </c>
      <c r="H344" s="14">
        <f>IF(원생!$A342="","",SUMIFS(수납!$F:$F,수납!$C:$C,원생!$A342,수납!$D:$D,IF(원생!$G342="","",원생!$G342),수납!$B:$B,$B$1&amp;"-"&amp;TEXT(6,"00")&amp;"*",수납!$E:$E,"수강료")+SUMIFS(수납!$F:$F,수납!$C:$C,원생!$A342,수납!$D:$D,IF(원생!$G342="","",원생!$G342),수납!$B:$B,$B$1&amp;"-"&amp;TEXT(6,"00")&amp;"*",수납!$E:$E,""))</f>
        <v/>
      </c>
      <c r="I344" s="14">
        <f>IF(원생!$A342="","",SUMIFS(수납!$F:$F,수납!$C:$C,원생!$A342,수납!$D:$D,IF(원생!$G342="","",원생!$G342),수납!$B:$B,$B$1&amp;"-"&amp;TEXT(7,"00")&amp;"*",수납!$E:$E,"수강료")+SUMIFS(수납!$F:$F,수납!$C:$C,원생!$A342,수납!$D:$D,IF(원생!$G342="","",원생!$G342),수납!$B:$B,$B$1&amp;"-"&amp;TEXT(7,"00")&amp;"*",수납!$E:$E,""))</f>
        <v/>
      </c>
      <c r="J344" s="14">
        <f>IF(원생!$A342="","",SUMIFS(수납!$F:$F,수납!$C:$C,원생!$A342,수납!$D:$D,IF(원생!$G342="","",원생!$G342),수납!$B:$B,$B$1&amp;"-"&amp;TEXT(8,"00")&amp;"*",수납!$E:$E,"수강료")+SUMIFS(수납!$F:$F,수납!$C:$C,원생!$A342,수납!$D:$D,IF(원생!$G342="","",원생!$G342),수납!$B:$B,$B$1&amp;"-"&amp;TEXT(8,"00")&amp;"*",수납!$E:$E,""))</f>
        <v/>
      </c>
      <c r="K344" s="14">
        <f>IF(원생!$A342="","",SUMIFS(수납!$F:$F,수납!$C:$C,원생!$A342,수납!$D:$D,IF(원생!$G342="","",원생!$G342),수납!$B:$B,$B$1&amp;"-"&amp;TEXT(9,"00")&amp;"*",수납!$E:$E,"수강료")+SUMIFS(수납!$F:$F,수납!$C:$C,원생!$A342,수납!$D:$D,IF(원생!$G342="","",원생!$G342),수납!$B:$B,$B$1&amp;"-"&amp;TEXT(9,"00")&amp;"*",수납!$E:$E,""))</f>
        <v/>
      </c>
      <c r="L344" s="14">
        <f>IF(원생!$A342="","",SUMIFS(수납!$F:$F,수납!$C:$C,원생!$A342,수납!$D:$D,IF(원생!$G342="","",원생!$G342),수납!$B:$B,$B$1&amp;"-"&amp;TEXT(10,"00")&amp;"*",수납!$E:$E,"수강료")+SUMIFS(수납!$F:$F,수납!$C:$C,원생!$A342,수납!$D:$D,IF(원생!$G342="","",원생!$G342),수납!$B:$B,$B$1&amp;"-"&amp;TEXT(10,"00")&amp;"*",수납!$E:$E,""))</f>
        <v/>
      </c>
      <c r="M344" s="14">
        <f>IF(원생!$A342="","",SUMIFS(수납!$F:$F,수납!$C:$C,원생!$A342,수납!$D:$D,IF(원생!$G342="","",원생!$G342),수납!$B:$B,$B$1&amp;"-"&amp;TEXT(11,"00")&amp;"*",수납!$E:$E,"수강료")+SUMIFS(수납!$F:$F,수납!$C:$C,원생!$A342,수납!$D:$D,IF(원생!$G342="","",원생!$G342),수납!$B:$B,$B$1&amp;"-"&amp;TEXT(11,"00")&amp;"*",수납!$E:$E,""))</f>
        <v/>
      </c>
      <c r="N344" s="14">
        <f>IF(원생!$A342="","",SUMIFS(수납!$F:$F,수납!$C:$C,원생!$A342,수납!$D:$D,IF(원생!$G342="","",원생!$G342),수납!$B:$B,$B$1&amp;"-"&amp;TEXT(12,"00")&amp;"*",수납!$E:$E,"수강료")+SUMIFS(수납!$F:$F,수납!$C:$C,원생!$A342,수납!$D:$D,IF(원생!$G342="","",원생!$G342),수납!$B:$B,$B$1&amp;"-"&amp;TEXT(12,"00")&amp;"*",수납!$E:$E,""))</f>
        <v/>
      </c>
      <c r="O344">
        <f>IF(원생!$I342="","",원생!$I342)</f>
        <v/>
      </c>
      <c r="P344">
        <f>IF($A344="","",IF(AND($B344&gt;0,C344&lt;$B344,DATE($B$1,1,1)&lt;=TODAY(),OR($O344="",$O344&gt;=DATE($B$1,1,1)),OR(COUNTIF($C344:C344,"&gt;0")&gt;0,DATE($B$1,1,1)=DATE(YEAR(TODAY()),MONTH(TODAY()),1))),1,0))</f>
        <v/>
      </c>
      <c r="Q344">
        <f>IF($A344="","",IF(AND($B344&gt;0,D344&lt;$B344,DATE($B$1,2,1)&lt;=TODAY(),OR($O344="",$O344&gt;=DATE($B$1,2,1)),OR(COUNTIF($C344:D344,"&gt;0")&gt;0,DATE($B$1,2,1)=DATE(YEAR(TODAY()),MONTH(TODAY()),1))),1,0))</f>
        <v/>
      </c>
      <c r="R344">
        <f>IF($A344="","",IF(AND($B344&gt;0,E344&lt;$B344,DATE($B$1,3,1)&lt;=TODAY(),OR($O344="",$O344&gt;=DATE($B$1,3,1)),OR(COUNTIF($C344:E344,"&gt;0")&gt;0,DATE($B$1,3,1)=DATE(YEAR(TODAY()),MONTH(TODAY()),1))),1,0))</f>
        <v/>
      </c>
      <c r="S344">
        <f>IF($A344="","",IF(AND($B344&gt;0,F344&lt;$B344,DATE($B$1,4,1)&lt;=TODAY(),OR($O344="",$O344&gt;=DATE($B$1,4,1)),OR(COUNTIF($C344:F344,"&gt;0")&gt;0,DATE($B$1,4,1)=DATE(YEAR(TODAY()),MONTH(TODAY()),1))),1,0))</f>
        <v/>
      </c>
      <c r="T344">
        <f>IF($A344="","",IF(AND($B344&gt;0,G344&lt;$B344,DATE($B$1,5,1)&lt;=TODAY(),OR($O344="",$O344&gt;=DATE($B$1,5,1)),OR(COUNTIF($C344:G344,"&gt;0")&gt;0,DATE($B$1,5,1)=DATE(YEAR(TODAY()),MONTH(TODAY()),1))),1,0))</f>
        <v/>
      </c>
      <c r="U344">
        <f>IF($A344="","",IF(AND($B344&gt;0,H344&lt;$B344,DATE($B$1,6,1)&lt;=TODAY(),OR($O344="",$O344&gt;=DATE($B$1,6,1)),OR(COUNTIF($C344:H344,"&gt;0")&gt;0,DATE($B$1,6,1)=DATE(YEAR(TODAY()),MONTH(TODAY()),1))),1,0))</f>
        <v/>
      </c>
      <c r="V344">
        <f>IF($A344="","",IF(AND($B344&gt;0,I344&lt;$B344,DATE($B$1,7,1)&lt;=TODAY(),OR($O344="",$O344&gt;=DATE($B$1,7,1)),OR(COUNTIF($C344:I344,"&gt;0")&gt;0,DATE($B$1,7,1)=DATE(YEAR(TODAY()),MONTH(TODAY()),1))),1,0))</f>
        <v/>
      </c>
      <c r="W344">
        <f>IF($A344="","",IF(AND($B344&gt;0,J344&lt;$B344,DATE($B$1,8,1)&lt;=TODAY(),OR($O344="",$O344&gt;=DATE($B$1,8,1)),OR(COUNTIF($C344:J344,"&gt;0")&gt;0,DATE($B$1,8,1)=DATE(YEAR(TODAY()),MONTH(TODAY()),1))),1,0))</f>
        <v/>
      </c>
      <c r="X344">
        <f>IF($A344="","",IF(AND($B344&gt;0,K344&lt;$B344,DATE($B$1,9,1)&lt;=TODAY(),OR($O344="",$O344&gt;=DATE($B$1,9,1)),OR(COUNTIF($C344:K344,"&gt;0")&gt;0,DATE($B$1,9,1)=DATE(YEAR(TODAY()),MONTH(TODAY()),1))),1,0))</f>
        <v/>
      </c>
      <c r="Y344">
        <f>IF($A344="","",IF(AND($B344&gt;0,L344&lt;$B344,DATE($B$1,10,1)&lt;=TODAY(),OR($O344="",$O344&gt;=DATE($B$1,10,1)),OR(COUNTIF($C344:L344,"&gt;0")&gt;0,DATE($B$1,10,1)=DATE(YEAR(TODAY()),MONTH(TODAY()),1))),1,0))</f>
        <v/>
      </c>
      <c r="Z344">
        <f>IF($A344="","",IF(AND($B344&gt;0,M344&lt;$B344,DATE($B$1,11,1)&lt;=TODAY(),OR($O344="",$O344&gt;=DATE($B$1,11,1)),OR(COUNTIF($C344:M344,"&gt;0")&gt;0,DATE($B$1,11,1)=DATE(YEAR(TODAY()),MONTH(TODAY()),1))),1,0))</f>
        <v/>
      </c>
      <c r="AA344">
        <f>IF($A344="","",IF(AND($B344&gt;0,N344&lt;$B344,DATE($B$1,12,1)&lt;=TODAY(),OR($O344="",$O344&gt;=DATE($B$1,12,1)),OR(COUNTIF($C344:N344,"&gt;0")&gt;0,DATE($B$1,12,1)=DATE(YEAR(TODAY()),MONTH(TODAY()),1))),1,0))</f>
        <v/>
      </c>
    </row>
    <row r="345">
      <c r="A345" s="13">
        <f>IF(원생!$A343="","",원생!$A343&amp;IF(원생!$G343="",""," ("&amp;원생!$G343&amp;")"))</f>
        <v/>
      </c>
      <c r="B345" s="8">
        <f>IF(원생!$A343="","",원생!$F343)</f>
        <v/>
      </c>
      <c r="C345" s="14">
        <f>IF(원생!$A343="","",SUMIFS(수납!$F:$F,수납!$C:$C,원생!$A343,수납!$D:$D,IF(원생!$G343="","",원생!$G343),수납!$B:$B,$B$1&amp;"-"&amp;TEXT(1,"00")&amp;"*",수납!$E:$E,"수강료")+SUMIFS(수납!$F:$F,수납!$C:$C,원생!$A343,수납!$D:$D,IF(원생!$G343="","",원생!$G343),수납!$B:$B,$B$1&amp;"-"&amp;TEXT(1,"00")&amp;"*",수납!$E:$E,""))</f>
        <v/>
      </c>
      <c r="D345" s="14">
        <f>IF(원생!$A343="","",SUMIFS(수납!$F:$F,수납!$C:$C,원생!$A343,수납!$D:$D,IF(원생!$G343="","",원생!$G343),수납!$B:$B,$B$1&amp;"-"&amp;TEXT(2,"00")&amp;"*",수납!$E:$E,"수강료")+SUMIFS(수납!$F:$F,수납!$C:$C,원생!$A343,수납!$D:$D,IF(원생!$G343="","",원생!$G343),수납!$B:$B,$B$1&amp;"-"&amp;TEXT(2,"00")&amp;"*",수납!$E:$E,""))</f>
        <v/>
      </c>
      <c r="E345" s="14">
        <f>IF(원생!$A343="","",SUMIFS(수납!$F:$F,수납!$C:$C,원생!$A343,수납!$D:$D,IF(원생!$G343="","",원생!$G343),수납!$B:$B,$B$1&amp;"-"&amp;TEXT(3,"00")&amp;"*",수납!$E:$E,"수강료")+SUMIFS(수납!$F:$F,수납!$C:$C,원생!$A343,수납!$D:$D,IF(원생!$G343="","",원생!$G343),수납!$B:$B,$B$1&amp;"-"&amp;TEXT(3,"00")&amp;"*",수납!$E:$E,""))</f>
        <v/>
      </c>
      <c r="F345" s="14">
        <f>IF(원생!$A343="","",SUMIFS(수납!$F:$F,수납!$C:$C,원생!$A343,수납!$D:$D,IF(원생!$G343="","",원생!$G343),수납!$B:$B,$B$1&amp;"-"&amp;TEXT(4,"00")&amp;"*",수납!$E:$E,"수강료")+SUMIFS(수납!$F:$F,수납!$C:$C,원생!$A343,수납!$D:$D,IF(원생!$G343="","",원생!$G343),수납!$B:$B,$B$1&amp;"-"&amp;TEXT(4,"00")&amp;"*",수납!$E:$E,""))</f>
        <v/>
      </c>
      <c r="G345" s="14">
        <f>IF(원생!$A343="","",SUMIFS(수납!$F:$F,수납!$C:$C,원생!$A343,수납!$D:$D,IF(원생!$G343="","",원생!$G343),수납!$B:$B,$B$1&amp;"-"&amp;TEXT(5,"00")&amp;"*",수납!$E:$E,"수강료")+SUMIFS(수납!$F:$F,수납!$C:$C,원생!$A343,수납!$D:$D,IF(원생!$G343="","",원생!$G343),수납!$B:$B,$B$1&amp;"-"&amp;TEXT(5,"00")&amp;"*",수납!$E:$E,""))</f>
        <v/>
      </c>
      <c r="H345" s="14">
        <f>IF(원생!$A343="","",SUMIFS(수납!$F:$F,수납!$C:$C,원생!$A343,수납!$D:$D,IF(원생!$G343="","",원생!$G343),수납!$B:$B,$B$1&amp;"-"&amp;TEXT(6,"00")&amp;"*",수납!$E:$E,"수강료")+SUMIFS(수납!$F:$F,수납!$C:$C,원생!$A343,수납!$D:$D,IF(원생!$G343="","",원생!$G343),수납!$B:$B,$B$1&amp;"-"&amp;TEXT(6,"00")&amp;"*",수납!$E:$E,""))</f>
        <v/>
      </c>
      <c r="I345" s="14">
        <f>IF(원생!$A343="","",SUMIFS(수납!$F:$F,수납!$C:$C,원생!$A343,수납!$D:$D,IF(원생!$G343="","",원생!$G343),수납!$B:$B,$B$1&amp;"-"&amp;TEXT(7,"00")&amp;"*",수납!$E:$E,"수강료")+SUMIFS(수납!$F:$F,수납!$C:$C,원생!$A343,수납!$D:$D,IF(원생!$G343="","",원생!$G343),수납!$B:$B,$B$1&amp;"-"&amp;TEXT(7,"00")&amp;"*",수납!$E:$E,""))</f>
        <v/>
      </c>
      <c r="J345" s="14">
        <f>IF(원생!$A343="","",SUMIFS(수납!$F:$F,수납!$C:$C,원생!$A343,수납!$D:$D,IF(원생!$G343="","",원생!$G343),수납!$B:$B,$B$1&amp;"-"&amp;TEXT(8,"00")&amp;"*",수납!$E:$E,"수강료")+SUMIFS(수납!$F:$F,수납!$C:$C,원생!$A343,수납!$D:$D,IF(원생!$G343="","",원생!$G343),수납!$B:$B,$B$1&amp;"-"&amp;TEXT(8,"00")&amp;"*",수납!$E:$E,""))</f>
        <v/>
      </c>
      <c r="K345" s="14">
        <f>IF(원생!$A343="","",SUMIFS(수납!$F:$F,수납!$C:$C,원생!$A343,수납!$D:$D,IF(원생!$G343="","",원생!$G343),수납!$B:$B,$B$1&amp;"-"&amp;TEXT(9,"00")&amp;"*",수납!$E:$E,"수강료")+SUMIFS(수납!$F:$F,수납!$C:$C,원생!$A343,수납!$D:$D,IF(원생!$G343="","",원생!$G343),수납!$B:$B,$B$1&amp;"-"&amp;TEXT(9,"00")&amp;"*",수납!$E:$E,""))</f>
        <v/>
      </c>
      <c r="L345" s="14">
        <f>IF(원생!$A343="","",SUMIFS(수납!$F:$F,수납!$C:$C,원생!$A343,수납!$D:$D,IF(원생!$G343="","",원생!$G343),수납!$B:$B,$B$1&amp;"-"&amp;TEXT(10,"00")&amp;"*",수납!$E:$E,"수강료")+SUMIFS(수납!$F:$F,수납!$C:$C,원생!$A343,수납!$D:$D,IF(원생!$G343="","",원생!$G343),수납!$B:$B,$B$1&amp;"-"&amp;TEXT(10,"00")&amp;"*",수납!$E:$E,""))</f>
        <v/>
      </c>
      <c r="M345" s="14">
        <f>IF(원생!$A343="","",SUMIFS(수납!$F:$F,수납!$C:$C,원생!$A343,수납!$D:$D,IF(원생!$G343="","",원생!$G343),수납!$B:$B,$B$1&amp;"-"&amp;TEXT(11,"00")&amp;"*",수납!$E:$E,"수강료")+SUMIFS(수납!$F:$F,수납!$C:$C,원생!$A343,수납!$D:$D,IF(원생!$G343="","",원생!$G343),수납!$B:$B,$B$1&amp;"-"&amp;TEXT(11,"00")&amp;"*",수납!$E:$E,""))</f>
        <v/>
      </c>
      <c r="N345" s="14">
        <f>IF(원생!$A343="","",SUMIFS(수납!$F:$F,수납!$C:$C,원생!$A343,수납!$D:$D,IF(원생!$G343="","",원생!$G343),수납!$B:$B,$B$1&amp;"-"&amp;TEXT(12,"00")&amp;"*",수납!$E:$E,"수강료")+SUMIFS(수납!$F:$F,수납!$C:$C,원생!$A343,수납!$D:$D,IF(원생!$G343="","",원생!$G343),수납!$B:$B,$B$1&amp;"-"&amp;TEXT(12,"00")&amp;"*",수납!$E:$E,""))</f>
        <v/>
      </c>
      <c r="O345">
        <f>IF(원생!$I343="","",원생!$I343)</f>
        <v/>
      </c>
      <c r="P345">
        <f>IF($A345="","",IF(AND($B345&gt;0,C345&lt;$B345,DATE($B$1,1,1)&lt;=TODAY(),OR($O345="",$O345&gt;=DATE($B$1,1,1)),OR(COUNTIF($C345:C345,"&gt;0")&gt;0,DATE($B$1,1,1)=DATE(YEAR(TODAY()),MONTH(TODAY()),1))),1,0))</f>
        <v/>
      </c>
      <c r="Q345">
        <f>IF($A345="","",IF(AND($B345&gt;0,D345&lt;$B345,DATE($B$1,2,1)&lt;=TODAY(),OR($O345="",$O345&gt;=DATE($B$1,2,1)),OR(COUNTIF($C345:D345,"&gt;0")&gt;0,DATE($B$1,2,1)=DATE(YEAR(TODAY()),MONTH(TODAY()),1))),1,0))</f>
        <v/>
      </c>
      <c r="R345">
        <f>IF($A345="","",IF(AND($B345&gt;0,E345&lt;$B345,DATE($B$1,3,1)&lt;=TODAY(),OR($O345="",$O345&gt;=DATE($B$1,3,1)),OR(COUNTIF($C345:E345,"&gt;0")&gt;0,DATE($B$1,3,1)=DATE(YEAR(TODAY()),MONTH(TODAY()),1))),1,0))</f>
        <v/>
      </c>
      <c r="S345">
        <f>IF($A345="","",IF(AND($B345&gt;0,F345&lt;$B345,DATE($B$1,4,1)&lt;=TODAY(),OR($O345="",$O345&gt;=DATE($B$1,4,1)),OR(COUNTIF($C345:F345,"&gt;0")&gt;0,DATE($B$1,4,1)=DATE(YEAR(TODAY()),MONTH(TODAY()),1))),1,0))</f>
        <v/>
      </c>
      <c r="T345">
        <f>IF($A345="","",IF(AND($B345&gt;0,G345&lt;$B345,DATE($B$1,5,1)&lt;=TODAY(),OR($O345="",$O345&gt;=DATE($B$1,5,1)),OR(COUNTIF($C345:G345,"&gt;0")&gt;0,DATE($B$1,5,1)=DATE(YEAR(TODAY()),MONTH(TODAY()),1))),1,0))</f>
        <v/>
      </c>
      <c r="U345">
        <f>IF($A345="","",IF(AND($B345&gt;0,H345&lt;$B345,DATE($B$1,6,1)&lt;=TODAY(),OR($O345="",$O345&gt;=DATE($B$1,6,1)),OR(COUNTIF($C345:H345,"&gt;0")&gt;0,DATE($B$1,6,1)=DATE(YEAR(TODAY()),MONTH(TODAY()),1))),1,0))</f>
        <v/>
      </c>
      <c r="V345">
        <f>IF($A345="","",IF(AND($B345&gt;0,I345&lt;$B345,DATE($B$1,7,1)&lt;=TODAY(),OR($O345="",$O345&gt;=DATE($B$1,7,1)),OR(COUNTIF($C345:I345,"&gt;0")&gt;0,DATE($B$1,7,1)=DATE(YEAR(TODAY()),MONTH(TODAY()),1))),1,0))</f>
        <v/>
      </c>
      <c r="W345">
        <f>IF($A345="","",IF(AND($B345&gt;0,J345&lt;$B345,DATE($B$1,8,1)&lt;=TODAY(),OR($O345="",$O345&gt;=DATE($B$1,8,1)),OR(COUNTIF($C345:J345,"&gt;0")&gt;0,DATE($B$1,8,1)=DATE(YEAR(TODAY()),MONTH(TODAY()),1))),1,0))</f>
        <v/>
      </c>
      <c r="X345">
        <f>IF($A345="","",IF(AND($B345&gt;0,K345&lt;$B345,DATE($B$1,9,1)&lt;=TODAY(),OR($O345="",$O345&gt;=DATE($B$1,9,1)),OR(COUNTIF($C345:K345,"&gt;0")&gt;0,DATE($B$1,9,1)=DATE(YEAR(TODAY()),MONTH(TODAY()),1))),1,0))</f>
        <v/>
      </c>
      <c r="Y345">
        <f>IF($A345="","",IF(AND($B345&gt;0,L345&lt;$B345,DATE($B$1,10,1)&lt;=TODAY(),OR($O345="",$O345&gt;=DATE($B$1,10,1)),OR(COUNTIF($C345:L345,"&gt;0")&gt;0,DATE($B$1,10,1)=DATE(YEAR(TODAY()),MONTH(TODAY()),1))),1,0))</f>
        <v/>
      </c>
      <c r="Z345">
        <f>IF($A345="","",IF(AND($B345&gt;0,M345&lt;$B345,DATE($B$1,11,1)&lt;=TODAY(),OR($O345="",$O345&gt;=DATE($B$1,11,1)),OR(COUNTIF($C345:M345,"&gt;0")&gt;0,DATE($B$1,11,1)=DATE(YEAR(TODAY()),MONTH(TODAY()),1))),1,0))</f>
        <v/>
      </c>
      <c r="AA345">
        <f>IF($A345="","",IF(AND($B345&gt;0,N345&lt;$B345,DATE($B$1,12,1)&lt;=TODAY(),OR($O345="",$O345&gt;=DATE($B$1,12,1)),OR(COUNTIF($C345:N345,"&gt;0")&gt;0,DATE($B$1,12,1)=DATE(YEAR(TODAY()),MONTH(TODAY()),1))),1,0))</f>
        <v/>
      </c>
    </row>
    <row r="346">
      <c r="A346" s="13">
        <f>IF(원생!$A344="","",원생!$A344&amp;IF(원생!$G344="",""," ("&amp;원생!$G344&amp;")"))</f>
        <v/>
      </c>
      <c r="B346" s="8">
        <f>IF(원생!$A344="","",원생!$F344)</f>
        <v/>
      </c>
      <c r="C346" s="14">
        <f>IF(원생!$A344="","",SUMIFS(수납!$F:$F,수납!$C:$C,원생!$A344,수납!$D:$D,IF(원생!$G344="","",원생!$G344),수납!$B:$B,$B$1&amp;"-"&amp;TEXT(1,"00")&amp;"*",수납!$E:$E,"수강료")+SUMIFS(수납!$F:$F,수납!$C:$C,원생!$A344,수납!$D:$D,IF(원생!$G344="","",원생!$G344),수납!$B:$B,$B$1&amp;"-"&amp;TEXT(1,"00")&amp;"*",수납!$E:$E,""))</f>
        <v/>
      </c>
      <c r="D346" s="14">
        <f>IF(원생!$A344="","",SUMIFS(수납!$F:$F,수납!$C:$C,원생!$A344,수납!$D:$D,IF(원생!$G344="","",원생!$G344),수납!$B:$B,$B$1&amp;"-"&amp;TEXT(2,"00")&amp;"*",수납!$E:$E,"수강료")+SUMIFS(수납!$F:$F,수납!$C:$C,원생!$A344,수납!$D:$D,IF(원생!$G344="","",원생!$G344),수납!$B:$B,$B$1&amp;"-"&amp;TEXT(2,"00")&amp;"*",수납!$E:$E,""))</f>
        <v/>
      </c>
      <c r="E346" s="14">
        <f>IF(원생!$A344="","",SUMIFS(수납!$F:$F,수납!$C:$C,원생!$A344,수납!$D:$D,IF(원생!$G344="","",원생!$G344),수납!$B:$B,$B$1&amp;"-"&amp;TEXT(3,"00")&amp;"*",수납!$E:$E,"수강료")+SUMIFS(수납!$F:$F,수납!$C:$C,원생!$A344,수납!$D:$D,IF(원생!$G344="","",원생!$G344),수납!$B:$B,$B$1&amp;"-"&amp;TEXT(3,"00")&amp;"*",수납!$E:$E,""))</f>
        <v/>
      </c>
      <c r="F346" s="14">
        <f>IF(원생!$A344="","",SUMIFS(수납!$F:$F,수납!$C:$C,원생!$A344,수납!$D:$D,IF(원생!$G344="","",원생!$G344),수납!$B:$B,$B$1&amp;"-"&amp;TEXT(4,"00")&amp;"*",수납!$E:$E,"수강료")+SUMIFS(수납!$F:$F,수납!$C:$C,원생!$A344,수납!$D:$D,IF(원생!$G344="","",원생!$G344),수납!$B:$B,$B$1&amp;"-"&amp;TEXT(4,"00")&amp;"*",수납!$E:$E,""))</f>
        <v/>
      </c>
      <c r="G346" s="14">
        <f>IF(원생!$A344="","",SUMIFS(수납!$F:$F,수납!$C:$C,원생!$A344,수납!$D:$D,IF(원생!$G344="","",원생!$G344),수납!$B:$B,$B$1&amp;"-"&amp;TEXT(5,"00")&amp;"*",수납!$E:$E,"수강료")+SUMIFS(수납!$F:$F,수납!$C:$C,원생!$A344,수납!$D:$D,IF(원생!$G344="","",원생!$G344),수납!$B:$B,$B$1&amp;"-"&amp;TEXT(5,"00")&amp;"*",수납!$E:$E,""))</f>
        <v/>
      </c>
      <c r="H346" s="14">
        <f>IF(원생!$A344="","",SUMIFS(수납!$F:$F,수납!$C:$C,원생!$A344,수납!$D:$D,IF(원생!$G344="","",원생!$G344),수납!$B:$B,$B$1&amp;"-"&amp;TEXT(6,"00")&amp;"*",수납!$E:$E,"수강료")+SUMIFS(수납!$F:$F,수납!$C:$C,원생!$A344,수납!$D:$D,IF(원생!$G344="","",원생!$G344),수납!$B:$B,$B$1&amp;"-"&amp;TEXT(6,"00")&amp;"*",수납!$E:$E,""))</f>
        <v/>
      </c>
      <c r="I346" s="14">
        <f>IF(원생!$A344="","",SUMIFS(수납!$F:$F,수납!$C:$C,원생!$A344,수납!$D:$D,IF(원생!$G344="","",원생!$G344),수납!$B:$B,$B$1&amp;"-"&amp;TEXT(7,"00")&amp;"*",수납!$E:$E,"수강료")+SUMIFS(수납!$F:$F,수납!$C:$C,원생!$A344,수납!$D:$D,IF(원생!$G344="","",원생!$G344),수납!$B:$B,$B$1&amp;"-"&amp;TEXT(7,"00")&amp;"*",수납!$E:$E,""))</f>
        <v/>
      </c>
      <c r="J346" s="14">
        <f>IF(원생!$A344="","",SUMIFS(수납!$F:$F,수납!$C:$C,원생!$A344,수납!$D:$D,IF(원생!$G344="","",원생!$G344),수납!$B:$B,$B$1&amp;"-"&amp;TEXT(8,"00")&amp;"*",수납!$E:$E,"수강료")+SUMIFS(수납!$F:$F,수납!$C:$C,원생!$A344,수납!$D:$D,IF(원생!$G344="","",원생!$G344),수납!$B:$B,$B$1&amp;"-"&amp;TEXT(8,"00")&amp;"*",수납!$E:$E,""))</f>
        <v/>
      </c>
      <c r="K346" s="14">
        <f>IF(원생!$A344="","",SUMIFS(수납!$F:$F,수납!$C:$C,원생!$A344,수납!$D:$D,IF(원생!$G344="","",원생!$G344),수납!$B:$B,$B$1&amp;"-"&amp;TEXT(9,"00")&amp;"*",수납!$E:$E,"수강료")+SUMIFS(수납!$F:$F,수납!$C:$C,원생!$A344,수납!$D:$D,IF(원생!$G344="","",원생!$G344),수납!$B:$B,$B$1&amp;"-"&amp;TEXT(9,"00")&amp;"*",수납!$E:$E,""))</f>
        <v/>
      </c>
      <c r="L346" s="14">
        <f>IF(원생!$A344="","",SUMIFS(수납!$F:$F,수납!$C:$C,원생!$A344,수납!$D:$D,IF(원생!$G344="","",원생!$G344),수납!$B:$B,$B$1&amp;"-"&amp;TEXT(10,"00")&amp;"*",수납!$E:$E,"수강료")+SUMIFS(수납!$F:$F,수납!$C:$C,원생!$A344,수납!$D:$D,IF(원생!$G344="","",원생!$G344),수납!$B:$B,$B$1&amp;"-"&amp;TEXT(10,"00")&amp;"*",수납!$E:$E,""))</f>
        <v/>
      </c>
      <c r="M346" s="14">
        <f>IF(원생!$A344="","",SUMIFS(수납!$F:$F,수납!$C:$C,원생!$A344,수납!$D:$D,IF(원생!$G344="","",원생!$G344),수납!$B:$B,$B$1&amp;"-"&amp;TEXT(11,"00")&amp;"*",수납!$E:$E,"수강료")+SUMIFS(수납!$F:$F,수납!$C:$C,원생!$A344,수납!$D:$D,IF(원생!$G344="","",원생!$G344),수납!$B:$B,$B$1&amp;"-"&amp;TEXT(11,"00")&amp;"*",수납!$E:$E,""))</f>
        <v/>
      </c>
      <c r="N346" s="14">
        <f>IF(원생!$A344="","",SUMIFS(수납!$F:$F,수납!$C:$C,원생!$A344,수납!$D:$D,IF(원생!$G344="","",원생!$G344),수납!$B:$B,$B$1&amp;"-"&amp;TEXT(12,"00")&amp;"*",수납!$E:$E,"수강료")+SUMIFS(수납!$F:$F,수납!$C:$C,원생!$A344,수납!$D:$D,IF(원생!$G344="","",원생!$G344),수납!$B:$B,$B$1&amp;"-"&amp;TEXT(12,"00")&amp;"*",수납!$E:$E,""))</f>
        <v/>
      </c>
      <c r="O346">
        <f>IF(원생!$I344="","",원생!$I344)</f>
        <v/>
      </c>
      <c r="P346">
        <f>IF($A346="","",IF(AND($B346&gt;0,C346&lt;$B346,DATE($B$1,1,1)&lt;=TODAY(),OR($O346="",$O346&gt;=DATE($B$1,1,1)),OR(COUNTIF($C346:C346,"&gt;0")&gt;0,DATE($B$1,1,1)=DATE(YEAR(TODAY()),MONTH(TODAY()),1))),1,0))</f>
        <v/>
      </c>
      <c r="Q346">
        <f>IF($A346="","",IF(AND($B346&gt;0,D346&lt;$B346,DATE($B$1,2,1)&lt;=TODAY(),OR($O346="",$O346&gt;=DATE($B$1,2,1)),OR(COUNTIF($C346:D346,"&gt;0")&gt;0,DATE($B$1,2,1)=DATE(YEAR(TODAY()),MONTH(TODAY()),1))),1,0))</f>
        <v/>
      </c>
      <c r="R346">
        <f>IF($A346="","",IF(AND($B346&gt;0,E346&lt;$B346,DATE($B$1,3,1)&lt;=TODAY(),OR($O346="",$O346&gt;=DATE($B$1,3,1)),OR(COUNTIF($C346:E346,"&gt;0")&gt;0,DATE($B$1,3,1)=DATE(YEAR(TODAY()),MONTH(TODAY()),1))),1,0))</f>
        <v/>
      </c>
      <c r="S346">
        <f>IF($A346="","",IF(AND($B346&gt;0,F346&lt;$B346,DATE($B$1,4,1)&lt;=TODAY(),OR($O346="",$O346&gt;=DATE($B$1,4,1)),OR(COUNTIF($C346:F346,"&gt;0")&gt;0,DATE($B$1,4,1)=DATE(YEAR(TODAY()),MONTH(TODAY()),1))),1,0))</f>
        <v/>
      </c>
      <c r="T346">
        <f>IF($A346="","",IF(AND($B346&gt;0,G346&lt;$B346,DATE($B$1,5,1)&lt;=TODAY(),OR($O346="",$O346&gt;=DATE($B$1,5,1)),OR(COUNTIF($C346:G346,"&gt;0")&gt;0,DATE($B$1,5,1)=DATE(YEAR(TODAY()),MONTH(TODAY()),1))),1,0))</f>
        <v/>
      </c>
      <c r="U346">
        <f>IF($A346="","",IF(AND($B346&gt;0,H346&lt;$B346,DATE($B$1,6,1)&lt;=TODAY(),OR($O346="",$O346&gt;=DATE($B$1,6,1)),OR(COUNTIF($C346:H346,"&gt;0")&gt;0,DATE($B$1,6,1)=DATE(YEAR(TODAY()),MONTH(TODAY()),1))),1,0))</f>
        <v/>
      </c>
      <c r="V346">
        <f>IF($A346="","",IF(AND($B346&gt;0,I346&lt;$B346,DATE($B$1,7,1)&lt;=TODAY(),OR($O346="",$O346&gt;=DATE($B$1,7,1)),OR(COUNTIF($C346:I346,"&gt;0")&gt;0,DATE($B$1,7,1)=DATE(YEAR(TODAY()),MONTH(TODAY()),1))),1,0))</f>
        <v/>
      </c>
      <c r="W346">
        <f>IF($A346="","",IF(AND($B346&gt;0,J346&lt;$B346,DATE($B$1,8,1)&lt;=TODAY(),OR($O346="",$O346&gt;=DATE($B$1,8,1)),OR(COUNTIF($C346:J346,"&gt;0")&gt;0,DATE($B$1,8,1)=DATE(YEAR(TODAY()),MONTH(TODAY()),1))),1,0))</f>
        <v/>
      </c>
      <c r="X346">
        <f>IF($A346="","",IF(AND($B346&gt;0,K346&lt;$B346,DATE($B$1,9,1)&lt;=TODAY(),OR($O346="",$O346&gt;=DATE($B$1,9,1)),OR(COUNTIF($C346:K346,"&gt;0")&gt;0,DATE($B$1,9,1)=DATE(YEAR(TODAY()),MONTH(TODAY()),1))),1,0))</f>
        <v/>
      </c>
      <c r="Y346">
        <f>IF($A346="","",IF(AND($B346&gt;0,L346&lt;$B346,DATE($B$1,10,1)&lt;=TODAY(),OR($O346="",$O346&gt;=DATE($B$1,10,1)),OR(COUNTIF($C346:L346,"&gt;0")&gt;0,DATE($B$1,10,1)=DATE(YEAR(TODAY()),MONTH(TODAY()),1))),1,0))</f>
        <v/>
      </c>
      <c r="Z346">
        <f>IF($A346="","",IF(AND($B346&gt;0,M346&lt;$B346,DATE($B$1,11,1)&lt;=TODAY(),OR($O346="",$O346&gt;=DATE($B$1,11,1)),OR(COUNTIF($C346:M346,"&gt;0")&gt;0,DATE($B$1,11,1)=DATE(YEAR(TODAY()),MONTH(TODAY()),1))),1,0))</f>
        <v/>
      </c>
      <c r="AA346">
        <f>IF($A346="","",IF(AND($B346&gt;0,N346&lt;$B346,DATE($B$1,12,1)&lt;=TODAY(),OR($O346="",$O346&gt;=DATE($B$1,12,1)),OR(COUNTIF($C346:N346,"&gt;0")&gt;0,DATE($B$1,12,1)=DATE(YEAR(TODAY()),MONTH(TODAY()),1))),1,0))</f>
        <v/>
      </c>
    </row>
    <row r="347">
      <c r="A347" s="13">
        <f>IF(원생!$A345="","",원생!$A345&amp;IF(원생!$G345="",""," ("&amp;원생!$G345&amp;")"))</f>
        <v/>
      </c>
      <c r="B347" s="8">
        <f>IF(원생!$A345="","",원생!$F345)</f>
        <v/>
      </c>
      <c r="C347" s="14">
        <f>IF(원생!$A345="","",SUMIFS(수납!$F:$F,수납!$C:$C,원생!$A345,수납!$D:$D,IF(원생!$G345="","",원생!$G345),수납!$B:$B,$B$1&amp;"-"&amp;TEXT(1,"00")&amp;"*",수납!$E:$E,"수강료")+SUMIFS(수납!$F:$F,수납!$C:$C,원생!$A345,수납!$D:$D,IF(원생!$G345="","",원생!$G345),수납!$B:$B,$B$1&amp;"-"&amp;TEXT(1,"00")&amp;"*",수납!$E:$E,""))</f>
        <v/>
      </c>
      <c r="D347" s="14">
        <f>IF(원생!$A345="","",SUMIFS(수납!$F:$F,수납!$C:$C,원생!$A345,수납!$D:$D,IF(원생!$G345="","",원생!$G345),수납!$B:$B,$B$1&amp;"-"&amp;TEXT(2,"00")&amp;"*",수납!$E:$E,"수강료")+SUMIFS(수납!$F:$F,수납!$C:$C,원생!$A345,수납!$D:$D,IF(원생!$G345="","",원생!$G345),수납!$B:$B,$B$1&amp;"-"&amp;TEXT(2,"00")&amp;"*",수납!$E:$E,""))</f>
        <v/>
      </c>
      <c r="E347" s="14">
        <f>IF(원생!$A345="","",SUMIFS(수납!$F:$F,수납!$C:$C,원생!$A345,수납!$D:$D,IF(원생!$G345="","",원생!$G345),수납!$B:$B,$B$1&amp;"-"&amp;TEXT(3,"00")&amp;"*",수납!$E:$E,"수강료")+SUMIFS(수납!$F:$F,수납!$C:$C,원생!$A345,수납!$D:$D,IF(원생!$G345="","",원생!$G345),수납!$B:$B,$B$1&amp;"-"&amp;TEXT(3,"00")&amp;"*",수납!$E:$E,""))</f>
        <v/>
      </c>
      <c r="F347" s="14">
        <f>IF(원생!$A345="","",SUMIFS(수납!$F:$F,수납!$C:$C,원생!$A345,수납!$D:$D,IF(원생!$G345="","",원생!$G345),수납!$B:$B,$B$1&amp;"-"&amp;TEXT(4,"00")&amp;"*",수납!$E:$E,"수강료")+SUMIFS(수납!$F:$F,수납!$C:$C,원생!$A345,수납!$D:$D,IF(원생!$G345="","",원생!$G345),수납!$B:$B,$B$1&amp;"-"&amp;TEXT(4,"00")&amp;"*",수납!$E:$E,""))</f>
        <v/>
      </c>
      <c r="G347" s="14">
        <f>IF(원생!$A345="","",SUMIFS(수납!$F:$F,수납!$C:$C,원생!$A345,수납!$D:$D,IF(원생!$G345="","",원생!$G345),수납!$B:$B,$B$1&amp;"-"&amp;TEXT(5,"00")&amp;"*",수납!$E:$E,"수강료")+SUMIFS(수납!$F:$F,수납!$C:$C,원생!$A345,수납!$D:$D,IF(원생!$G345="","",원생!$G345),수납!$B:$B,$B$1&amp;"-"&amp;TEXT(5,"00")&amp;"*",수납!$E:$E,""))</f>
        <v/>
      </c>
      <c r="H347" s="14">
        <f>IF(원생!$A345="","",SUMIFS(수납!$F:$F,수납!$C:$C,원생!$A345,수납!$D:$D,IF(원생!$G345="","",원생!$G345),수납!$B:$B,$B$1&amp;"-"&amp;TEXT(6,"00")&amp;"*",수납!$E:$E,"수강료")+SUMIFS(수납!$F:$F,수납!$C:$C,원생!$A345,수납!$D:$D,IF(원생!$G345="","",원생!$G345),수납!$B:$B,$B$1&amp;"-"&amp;TEXT(6,"00")&amp;"*",수납!$E:$E,""))</f>
        <v/>
      </c>
      <c r="I347" s="14">
        <f>IF(원생!$A345="","",SUMIFS(수납!$F:$F,수납!$C:$C,원생!$A345,수납!$D:$D,IF(원생!$G345="","",원생!$G345),수납!$B:$B,$B$1&amp;"-"&amp;TEXT(7,"00")&amp;"*",수납!$E:$E,"수강료")+SUMIFS(수납!$F:$F,수납!$C:$C,원생!$A345,수납!$D:$D,IF(원생!$G345="","",원생!$G345),수납!$B:$B,$B$1&amp;"-"&amp;TEXT(7,"00")&amp;"*",수납!$E:$E,""))</f>
        <v/>
      </c>
      <c r="J347" s="14">
        <f>IF(원생!$A345="","",SUMIFS(수납!$F:$F,수납!$C:$C,원생!$A345,수납!$D:$D,IF(원생!$G345="","",원생!$G345),수납!$B:$B,$B$1&amp;"-"&amp;TEXT(8,"00")&amp;"*",수납!$E:$E,"수강료")+SUMIFS(수납!$F:$F,수납!$C:$C,원생!$A345,수납!$D:$D,IF(원생!$G345="","",원생!$G345),수납!$B:$B,$B$1&amp;"-"&amp;TEXT(8,"00")&amp;"*",수납!$E:$E,""))</f>
        <v/>
      </c>
      <c r="K347" s="14">
        <f>IF(원생!$A345="","",SUMIFS(수납!$F:$F,수납!$C:$C,원생!$A345,수납!$D:$D,IF(원생!$G345="","",원생!$G345),수납!$B:$B,$B$1&amp;"-"&amp;TEXT(9,"00")&amp;"*",수납!$E:$E,"수강료")+SUMIFS(수납!$F:$F,수납!$C:$C,원생!$A345,수납!$D:$D,IF(원생!$G345="","",원생!$G345),수납!$B:$B,$B$1&amp;"-"&amp;TEXT(9,"00")&amp;"*",수납!$E:$E,""))</f>
        <v/>
      </c>
      <c r="L347" s="14">
        <f>IF(원생!$A345="","",SUMIFS(수납!$F:$F,수납!$C:$C,원생!$A345,수납!$D:$D,IF(원생!$G345="","",원생!$G345),수납!$B:$B,$B$1&amp;"-"&amp;TEXT(10,"00")&amp;"*",수납!$E:$E,"수강료")+SUMIFS(수납!$F:$F,수납!$C:$C,원생!$A345,수납!$D:$D,IF(원생!$G345="","",원생!$G345),수납!$B:$B,$B$1&amp;"-"&amp;TEXT(10,"00")&amp;"*",수납!$E:$E,""))</f>
        <v/>
      </c>
      <c r="M347" s="14">
        <f>IF(원생!$A345="","",SUMIFS(수납!$F:$F,수납!$C:$C,원생!$A345,수납!$D:$D,IF(원생!$G345="","",원생!$G345),수납!$B:$B,$B$1&amp;"-"&amp;TEXT(11,"00")&amp;"*",수납!$E:$E,"수강료")+SUMIFS(수납!$F:$F,수납!$C:$C,원생!$A345,수납!$D:$D,IF(원생!$G345="","",원생!$G345),수납!$B:$B,$B$1&amp;"-"&amp;TEXT(11,"00")&amp;"*",수납!$E:$E,""))</f>
        <v/>
      </c>
      <c r="N347" s="14">
        <f>IF(원생!$A345="","",SUMIFS(수납!$F:$F,수납!$C:$C,원생!$A345,수납!$D:$D,IF(원생!$G345="","",원생!$G345),수납!$B:$B,$B$1&amp;"-"&amp;TEXT(12,"00")&amp;"*",수납!$E:$E,"수강료")+SUMIFS(수납!$F:$F,수납!$C:$C,원생!$A345,수납!$D:$D,IF(원생!$G345="","",원생!$G345),수납!$B:$B,$B$1&amp;"-"&amp;TEXT(12,"00")&amp;"*",수납!$E:$E,""))</f>
        <v/>
      </c>
      <c r="O347">
        <f>IF(원생!$I345="","",원생!$I345)</f>
        <v/>
      </c>
      <c r="P347">
        <f>IF($A347="","",IF(AND($B347&gt;0,C347&lt;$B347,DATE($B$1,1,1)&lt;=TODAY(),OR($O347="",$O347&gt;=DATE($B$1,1,1)),OR(COUNTIF($C347:C347,"&gt;0")&gt;0,DATE($B$1,1,1)=DATE(YEAR(TODAY()),MONTH(TODAY()),1))),1,0))</f>
        <v/>
      </c>
      <c r="Q347">
        <f>IF($A347="","",IF(AND($B347&gt;0,D347&lt;$B347,DATE($B$1,2,1)&lt;=TODAY(),OR($O347="",$O347&gt;=DATE($B$1,2,1)),OR(COUNTIF($C347:D347,"&gt;0")&gt;0,DATE($B$1,2,1)=DATE(YEAR(TODAY()),MONTH(TODAY()),1))),1,0))</f>
        <v/>
      </c>
      <c r="R347">
        <f>IF($A347="","",IF(AND($B347&gt;0,E347&lt;$B347,DATE($B$1,3,1)&lt;=TODAY(),OR($O347="",$O347&gt;=DATE($B$1,3,1)),OR(COUNTIF($C347:E347,"&gt;0")&gt;0,DATE($B$1,3,1)=DATE(YEAR(TODAY()),MONTH(TODAY()),1))),1,0))</f>
        <v/>
      </c>
      <c r="S347">
        <f>IF($A347="","",IF(AND($B347&gt;0,F347&lt;$B347,DATE($B$1,4,1)&lt;=TODAY(),OR($O347="",$O347&gt;=DATE($B$1,4,1)),OR(COUNTIF($C347:F347,"&gt;0")&gt;0,DATE($B$1,4,1)=DATE(YEAR(TODAY()),MONTH(TODAY()),1))),1,0))</f>
        <v/>
      </c>
      <c r="T347">
        <f>IF($A347="","",IF(AND($B347&gt;0,G347&lt;$B347,DATE($B$1,5,1)&lt;=TODAY(),OR($O347="",$O347&gt;=DATE($B$1,5,1)),OR(COUNTIF($C347:G347,"&gt;0")&gt;0,DATE($B$1,5,1)=DATE(YEAR(TODAY()),MONTH(TODAY()),1))),1,0))</f>
        <v/>
      </c>
      <c r="U347">
        <f>IF($A347="","",IF(AND($B347&gt;0,H347&lt;$B347,DATE($B$1,6,1)&lt;=TODAY(),OR($O347="",$O347&gt;=DATE($B$1,6,1)),OR(COUNTIF($C347:H347,"&gt;0")&gt;0,DATE($B$1,6,1)=DATE(YEAR(TODAY()),MONTH(TODAY()),1))),1,0))</f>
        <v/>
      </c>
      <c r="V347">
        <f>IF($A347="","",IF(AND($B347&gt;0,I347&lt;$B347,DATE($B$1,7,1)&lt;=TODAY(),OR($O347="",$O347&gt;=DATE($B$1,7,1)),OR(COUNTIF($C347:I347,"&gt;0")&gt;0,DATE($B$1,7,1)=DATE(YEAR(TODAY()),MONTH(TODAY()),1))),1,0))</f>
        <v/>
      </c>
      <c r="W347">
        <f>IF($A347="","",IF(AND($B347&gt;0,J347&lt;$B347,DATE($B$1,8,1)&lt;=TODAY(),OR($O347="",$O347&gt;=DATE($B$1,8,1)),OR(COUNTIF($C347:J347,"&gt;0")&gt;0,DATE($B$1,8,1)=DATE(YEAR(TODAY()),MONTH(TODAY()),1))),1,0))</f>
        <v/>
      </c>
      <c r="X347">
        <f>IF($A347="","",IF(AND($B347&gt;0,K347&lt;$B347,DATE($B$1,9,1)&lt;=TODAY(),OR($O347="",$O347&gt;=DATE($B$1,9,1)),OR(COUNTIF($C347:K347,"&gt;0")&gt;0,DATE($B$1,9,1)=DATE(YEAR(TODAY()),MONTH(TODAY()),1))),1,0))</f>
        <v/>
      </c>
      <c r="Y347">
        <f>IF($A347="","",IF(AND($B347&gt;0,L347&lt;$B347,DATE($B$1,10,1)&lt;=TODAY(),OR($O347="",$O347&gt;=DATE($B$1,10,1)),OR(COUNTIF($C347:L347,"&gt;0")&gt;0,DATE($B$1,10,1)=DATE(YEAR(TODAY()),MONTH(TODAY()),1))),1,0))</f>
        <v/>
      </c>
      <c r="Z347">
        <f>IF($A347="","",IF(AND($B347&gt;0,M347&lt;$B347,DATE($B$1,11,1)&lt;=TODAY(),OR($O347="",$O347&gt;=DATE($B$1,11,1)),OR(COUNTIF($C347:M347,"&gt;0")&gt;0,DATE($B$1,11,1)=DATE(YEAR(TODAY()),MONTH(TODAY()),1))),1,0))</f>
        <v/>
      </c>
      <c r="AA347">
        <f>IF($A347="","",IF(AND($B347&gt;0,N347&lt;$B347,DATE($B$1,12,1)&lt;=TODAY(),OR($O347="",$O347&gt;=DATE($B$1,12,1)),OR(COUNTIF($C347:N347,"&gt;0")&gt;0,DATE($B$1,12,1)=DATE(YEAR(TODAY()),MONTH(TODAY()),1))),1,0))</f>
        <v/>
      </c>
    </row>
    <row r="348">
      <c r="A348" s="13">
        <f>IF(원생!$A346="","",원생!$A346&amp;IF(원생!$G346="",""," ("&amp;원생!$G346&amp;")"))</f>
        <v/>
      </c>
      <c r="B348" s="8">
        <f>IF(원생!$A346="","",원생!$F346)</f>
        <v/>
      </c>
      <c r="C348" s="14">
        <f>IF(원생!$A346="","",SUMIFS(수납!$F:$F,수납!$C:$C,원생!$A346,수납!$D:$D,IF(원생!$G346="","",원생!$G346),수납!$B:$B,$B$1&amp;"-"&amp;TEXT(1,"00")&amp;"*",수납!$E:$E,"수강료")+SUMIFS(수납!$F:$F,수납!$C:$C,원생!$A346,수납!$D:$D,IF(원생!$G346="","",원생!$G346),수납!$B:$B,$B$1&amp;"-"&amp;TEXT(1,"00")&amp;"*",수납!$E:$E,""))</f>
        <v/>
      </c>
      <c r="D348" s="14">
        <f>IF(원생!$A346="","",SUMIFS(수납!$F:$F,수납!$C:$C,원생!$A346,수납!$D:$D,IF(원생!$G346="","",원생!$G346),수납!$B:$B,$B$1&amp;"-"&amp;TEXT(2,"00")&amp;"*",수납!$E:$E,"수강료")+SUMIFS(수납!$F:$F,수납!$C:$C,원생!$A346,수납!$D:$D,IF(원생!$G346="","",원생!$G346),수납!$B:$B,$B$1&amp;"-"&amp;TEXT(2,"00")&amp;"*",수납!$E:$E,""))</f>
        <v/>
      </c>
      <c r="E348" s="14">
        <f>IF(원생!$A346="","",SUMIFS(수납!$F:$F,수납!$C:$C,원생!$A346,수납!$D:$D,IF(원생!$G346="","",원생!$G346),수납!$B:$B,$B$1&amp;"-"&amp;TEXT(3,"00")&amp;"*",수납!$E:$E,"수강료")+SUMIFS(수납!$F:$F,수납!$C:$C,원생!$A346,수납!$D:$D,IF(원생!$G346="","",원생!$G346),수납!$B:$B,$B$1&amp;"-"&amp;TEXT(3,"00")&amp;"*",수납!$E:$E,""))</f>
        <v/>
      </c>
      <c r="F348" s="14">
        <f>IF(원생!$A346="","",SUMIFS(수납!$F:$F,수납!$C:$C,원생!$A346,수납!$D:$D,IF(원생!$G346="","",원생!$G346),수납!$B:$B,$B$1&amp;"-"&amp;TEXT(4,"00")&amp;"*",수납!$E:$E,"수강료")+SUMIFS(수납!$F:$F,수납!$C:$C,원생!$A346,수납!$D:$D,IF(원생!$G346="","",원생!$G346),수납!$B:$B,$B$1&amp;"-"&amp;TEXT(4,"00")&amp;"*",수납!$E:$E,""))</f>
        <v/>
      </c>
      <c r="G348" s="14">
        <f>IF(원생!$A346="","",SUMIFS(수납!$F:$F,수납!$C:$C,원생!$A346,수납!$D:$D,IF(원생!$G346="","",원생!$G346),수납!$B:$B,$B$1&amp;"-"&amp;TEXT(5,"00")&amp;"*",수납!$E:$E,"수강료")+SUMIFS(수납!$F:$F,수납!$C:$C,원생!$A346,수납!$D:$D,IF(원생!$G346="","",원생!$G346),수납!$B:$B,$B$1&amp;"-"&amp;TEXT(5,"00")&amp;"*",수납!$E:$E,""))</f>
        <v/>
      </c>
      <c r="H348" s="14">
        <f>IF(원생!$A346="","",SUMIFS(수납!$F:$F,수납!$C:$C,원생!$A346,수납!$D:$D,IF(원생!$G346="","",원생!$G346),수납!$B:$B,$B$1&amp;"-"&amp;TEXT(6,"00")&amp;"*",수납!$E:$E,"수강료")+SUMIFS(수납!$F:$F,수납!$C:$C,원생!$A346,수납!$D:$D,IF(원생!$G346="","",원생!$G346),수납!$B:$B,$B$1&amp;"-"&amp;TEXT(6,"00")&amp;"*",수납!$E:$E,""))</f>
        <v/>
      </c>
      <c r="I348" s="14">
        <f>IF(원생!$A346="","",SUMIFS(수납!$F:$F,수납!$C:$C,원생!$A346,수납!$D:$D,IF(원생!$G346="","",원생!$G346),수납!$B:$B,$B$1&amp;"-"&amp;TEXT(7,"00")&amp;"*",수납!$E:$E,"수강료")+SUMIFS(수납!$F:$F,수납!$C:$C,원생!$A346,수납!$D:$D,IF(원생!$G346="","",원생!$G346),수납!$B:$B,$B$1&amp;"-"&amp;TEXT(7,"00")&amp;"*",수납!$E:$E,""))</f>
        <v/>
      </c>
      <c r="J348" s="14">
        <f>IF(원생!$A346="","",SUMIFS(수납!$F:$F,수납!$C:$C,원생!$A346,수납!$D:$D,IF(원생!$G346="","",원생!$G346),수납!$B:$B,$B$1&amp;"-"&amp;TEXT(8,"00")&amp;"*",수납!$E:$E,"수강료")+SUMIFS(수납!$F:$F,수납!$C:$C,원생!$A346,수납!$D:$D,IF(원생!$G346="","",원생!$G346),수납!$B:$B,$B$1&amp;"-"&amp;TEXT(8,"00")&amp;"*",수납!$E:$E,""))</f>
        <v/>
      </c>
      <c r="K348" s="14">
        <f>IF(원생!$A346="","",SUMIFS(수납!$F:$F,수납!$C:$C,원생!$A346,수납!$D:$D,IF(원생!$G346="","",원생!$G346),수납!$B:$B,$B$1&amp;"-"&amp;TEXT(9,"00")&amp;"*",수납!$E:$E,"수강료")+SUMIFS(수납!$F:$F,수납!$C:$C,원생!$A346,수납!$D:$D,IF(원생!$G346="","",원생!$G346),수납!$B:$B,$B$1&amp;"-"&amp;TEXT(9,"00")&amp;"*",수납!$E:$E,""))</f>
        <v/>
      </c>
      <c r="L348" s="14">
        <f>IF(원생!$A346="","",SUMIFS(수납!$F:$F,수납!$C:$C,원생!$A346,수납!$D:$D,IF(원생!$G346="","",원생!$G346),수납!$B:$B,$B$1&amp;"-"&amp;TEXT(10,"00")&amp;"*",수납!$E:$E,"수강료")+SUMIFS(수납!$F:$F,수납!$C:$C,원생!$A346,수납!$D:$D,IF(원생!$G346="","",원생!$G346),수납!$B:$B,$B$1&amp;"-"&amp;TEXT(10,"00")&amp;"*",수납!$E:$E,""))</f>
        <v/>
      </c>
      <c r="M348" s="14">
        <f>IF(원생!$A346="","",SUMIFS(수납!$F:$F,수납!$C:$C,원생!$A346,수납!$D:$D,IF(원생!$G346="","",원생!$G346),수납!$B:$B,$B$1&amp;"-"&amp;TEXT(11,"00")&amp;"*",수납!$E:$E,"수강료")+SUMIFS(수납!$F:$F,수납!$C:$C,원생!$A346,수납!$D:$D,IF(원생!$G346="","",원생!$G346),수납!$B:$B,$B$1&amp;"-"&amp;TEXT(11,"00")&amp;"*",수납!$E:$E,""))</f>
        <v/>
      </c>
      <c r="N348" s="14">
        <f>IF(원생!$A346="","",SUMIFS(수납!$F:$F,수납!$C:$C,원생!$A346,수납!$D:$D,IF(원생!$G346="","",원생!$G346),수납!$B:$B,$B$1&amp;"-"&amp;TEXT(12,"00")&amp;"*",수납!$E:$E,"수강료")+SUMIFS(수납!$F:$F,수납!$C:$C,원생!$A346,수납!$D:$D,IF(원생!$G346="","",원생!$G346),수납!$B:$B,$B$1&amp;"-"&amp;TEXT(12,"00")&amp;"*",수납!$E:$E,""))</f>
        <v/>
      </c>
      <c r="O348">
        <f>IF(원생!$I346="","",원생!$I346)</f>
        <v/>
      </c>
      <c r="P348">
        <f>IF($A348="","",IF(AND($B348&gt;0,C348&lt;$B348,DATE($B$1,1,1)&lt;=TODAY(),OR($O348="",$O348&gt;=DATE($B$1,1,1)),OR(COUNTIF($C348:C348,"&gt;0")&gt;0,DATE($B$1,1,1)=DATE(YEAR(TODAY()),MONTH(TODAY()),1))),1,0))</f>
        <v/>
      </c>
      <c r="Q348">
        <f>IF($A348="","",IF(AND($B348&gt;0,D348&lt;$B348,DATE($B$1,2,1)&lt;=TODAY(),OR($O348="",$O348&gt;=DATE($B$1,2,1)),OR(COUNTIF($C348:D348,"&gt;0")&gt;0,DATE($B$1,2,1)=DATE(YEAR(TODAY()),MONTH(TODAY()),1))),1,0))</f>
        <v/>
      </c>
      <c r="R348">
        <f>IF($A348="","",IF(AND($B348&gt;0,E348&lt;$B348,DATE($B$1,3,1)&lt;=TODAY(),OR($O348="",$O348&gt;=DATE($B$1,3,1)),OR(COUNTIF($C348:E348,"&gt;0")&gt;0,DATE($B$1,3,1)=DATE(YEAR(TODAY()),MONTH(TODAY()),1))),1,0))</f>
        <v/>
      </c>
      <c r="S348">
        <f>IF($A348="","",IF(AND($B348&gt;0,F348&lt;$B348,DATE($B$1,4,1)&lt;=TODAY(),OR($O348="",$O348&gt;=DATE($B$1,4,1)),OR(COUNTIF($C348:F348,"&gt;0")&gt;0,DATE($B$1,4,1)=DATE(YEAR(TODAY()),MONTH(TODAY()),1))),1,0))</f>
        <v/>
      </c>
      <c r="T348">
        <f>IF($A348="","",IF(AND($B348&gt;0,G348&lt;$B348,DATE($B$1,5,1)&lt;=TODAY(),OR($O348="",$O348&gt;=DATE($B$1,5,1)),OR(COUNTIF($C348:G348,"&gt;0")&gt;0,DATE($B$1,5,1)=DATE(YEAR(TODAY()),MONTH(TODAY()),1))),1,0))</f>
        <v/>
      </c>
      <c r="U348">
        <f>IF($A348="","",IF(AND($B348&gt;0,H348&lt;$B348,DATE($B$1,6,1)&lt;=TODAY(),OR($O348="",$O348&gt;=DATE($B$1,6,1)),OR(COUNTIF($C348:H348,"&gt;0")&gt;0,DATE($B$1,6,1)=DATE(YEAR(TODAY()),MONTH(TODAY()),1))),1,0))</f>
        <v/>
      </c>
      <c r="V348">
        <f>IF($A348="","",IF(AND($B348&gt;0,I348&lt;$B348,DATE($B$1,7,1)&lt;=TODAY(),OR($O348="",$O348&gt;=DATE($B$1,7,1)),OR(COUNTIF($C348:I348,"&gt;0")&gt;0,DATE($B$1,7,1)=DATE(YEAR(TODAY()),MONTH(TODAY()),1))),1,0))</f>
        <v/>
      </c>
      <c r="W348">
        <f>IF($A348="","",IF(AND($B348&gt;0,J348&lt;$B348,DATE($B$1,8,1)&lt;=TODAY(),OR($O348="",$O348&gt;=DATE($B$1,8,1)),OR(COUNTIF($C348:J348,"&gt;0")&gt;0,DATE($B$1,8,1)=DATE(YEAR(TODAY()),MONTH(TODAY()),1))),1,0))</f>
        <v/>
      </c>
      <c r="X348">
        <f>IF($A348="","",IF(AND($B348&gt;0,K348&lt;$B348,DATE($B$1,9,1)&lt;=TODAY(),OR($O348="",$O348&gt;=DATE($B$1,9,1)),OR(COUNTIF($C348:K348,"&gt;0")&gt;0,DATE($B$1,9,1)=DATE(YEAR(TODAY()),MONTH(TODAY()),1))),1,0))</f>
        <v/>
      </c>
      <c r="Y348">
        <f>IF($A348="","",IF(AND($B348&gt;0,L348&lt;$B348,DATE($B$1,10,1)&lt;=TODAY(),OR($O348="",$O348&gt;=DATE($B$1,10,1)),OR(COUNTIF($C348:L348,"&gt;0")&gt;0,DATE($B$1,10,1)=DATE(YEAR(TODAY()),MONTH(TODAY()),1))),1,0))</f>
        <v/>
      </c>
      <c r="Z348">
        <f>IF($A348="","",IF(AND($B348&gt;0,M348&lt;$B348,DATE($B$1,11,1)&lt;=TODAY(),OR($O348="",$O348&gt;=DATE($B$1,11,1)),OR(COUNTIF($C348:M348,"&gt;0")&gt;0,DATE($B$1,11,1)=DATE(YEAR(TODAY()),MONTH(TODAY()),1))),1,0))</f>
        <v/>
      </c>
      <c r="AA348">
        <f>IF($A348="","",IF(AND($B348&gt;0,N348&lt;$B348,DATE($B$1,12,1)&lt;=TODAY(),OR($O348="",$O348&gt;=DATE($B$1,12,1)),OR(COUNTIF($C348:N348,"&gt;0")&gt;0,DATE($B$1,12,1)=DATE(YEAR(TODAY()),MONTH(TODAY()),1))),1,0))</f>
        <v/>
      </c>
    </row>
    <row r="349">
      <c r="A349" s="13">
        <f>IF(원생!$A347="","",원생!$A347&amp;IF(원생!$G347="",""," ("&amp;원생!$G347&amp;")"))</f>
        <v/>
      </c>
      <c r="B349" s="8">
        <f>IF(원생!$A347="","",원생!$F347)</f>
        <v/>
      </c>
      <c r="C349" s="14">
        <f>IF(원생!$A347="","",SUMIFS(수납!$F:$F,수납!$C:$C,원생!$A347,수납!$D:$D,IF(원생!$G347="","",원생!$G347),수납!$B:$B,$B$1&amp;"-"&amp;TEXT(1,"00")&amp;"*",수납!$E:$E,"수강료")+SUMIFS(수납!$F:$F,수납!$C:$C,원생!$A347,수납!$D:$D,IF(원생!$G347="","",원생!$G347),수납!$B:$B,$B$1&amp;"-"&amp;TEXT(1,"00")&amp;"*",수납!$E:$E,""))</f>
        <v/>
      </c>
      <c r="D349" s="14">
        <f>IF(원생!$A347="","",SUMIFS(수납!$F:$F,수납!$C:$C,원생!$A347,수납!$D:$D,IF(원생!$G347="","",원생!$G347),수납!$B:$B,$B$1&amp;"-"&amp;TEXT(2,"00")&amp;"*",수납!$E:$E,"수강료")+SUMIFS(수납!$F:$F,수납!$C:$C,원생!$A347,수납!$D:$D,IF(원생!$G347="","",원생!$G347),수납!$B:$B,$B$1&amp;"-"&amp;TEXT(2,"00")&amp;"*",수납!$E:$E,""))</f>
        <v/>
      </c>
      <c r="E349" s="14">
        <f>IF(원생!$A347="","",SUMIFS(수납!$F:$F,수납!$C:$C,원생!$A347,수납!$D:$D,IF(원생!$G347="","",원생!$G347),수납!$B:$B,$B$1&amp;"-"&amp;TEXT(3,"00")&amp;"*",수납!$E:$E,"수강료")+SUMIFS(수납!$F:$F,수납!$C:$C,원생!$A347,수납!$D:$D,IF(원생!$G347="","",원생!$G347),수납!$B:$B,$B$1&amp;"-"&amp;TEXT(3,"00")&amp;"*",수납!$E:$E,""))</f>
        <v/>
      </c>
      <c r="F349" s="14">
        <f>IF(원생!$A347="","",SUMIFS(수납!$F:$F,수납!$C:$C,원생!$A347,수납!$D:$D,IF(원생!$G347="","",원생!$G347),수납!$B:$B,$B$1&amp;"-"&amp;TEXT(4,"00")&amp;"*",수납!$E:$E,"수강료")+SUMIFS(수납!$F:$F,수납!$C:$C,원생!$A347,수납!$D:$D,IF(원생!$G347="","",원생!$G347),수납!$B:$B,$B$1&amp;"-"&amp;TEXT(4,"00")&amp;"*",수납!$E:$E,""))</f>
        <v/>
      </c>
      <c r="G349" s="14">
        <f>IF(원생!$A347="","",SUMIFS(수납!$F:$F,수납!$C:$C,원생!$A347,수납!$D:$D,IF(원생!$G347="","",원생!$G347),수납!$B:$B,$B$1&amp;"-"&amp;TEXT(5,"00")&amp;"*",수납!$E:$E,"수강료")+SUMIFS(수납!$F:$F,수납!$C:$C,원생!$A347,수납!$D:$D,IF(원생!$G347="","",원생!$G347),수납!$B:$B,$B$1&amp;"-"&amp;TEXT(5,"00")&amp;"*",수납!$E:$E,""))</f>
        <v/>
      </c>
      <c r="H349" s="14">
        <f>IF(원생!$A347="","",SUMIFS(수납!$F:$F,수납!$C:$C,원생!$A347,수납!$D:$D,IF(원생!$G347="","",원생!$G347),수납!$B:$B,$B$1&amp;"-"&amp;TEXT(6,"00")&amp;"*",수납!$E:$E,"수강료")+SUMIFS(수납!$F:$F,수납!$C:$C,원생!$A347,수납!$D:$D,IF(원생!$G347="","",원생!$G347),수납!$B:$B,$B$1&amp;"-"&amp;TEXT(6,"00")&amp;"*",수납!$E:$E,""))</f>
        <v/>
      </c>
      <c r="I349" s="14">
        <f>IF(원생!$A347="","",SUMIFS(수납!$F:$F,수납!$C:$C,원생!$A347,수납!$D:$D,IF(원생!$G347="","",원생!$G347),수납!$B:$B,$B$1&amp;"-"&amp;TEXT(7,"00")&amp;"*",수납!$E:$E,"수강료")+SUMIFS(수납!$F:$F,수납!$C:$C,원생!$A347,수납!$D:$D,IF(원생!$G347="","",원생!$G347),수납!$B:$B,$B$1&amp;"-"&amp;TEXT(7,"00")&amp;"*",수납!$E:$E,""))</f>
        <v/>
      </c>
      <c r="J349" s="14">
        <f>IF(원생!$A347="","",SUMIFS(수납!$F:$F,수납!$C:$C,원생!$A347,수납!$D:$D,IF(원생!$G347="","",원생!$G347),수납!$B:$B,$B$1&amp;"-"&amp;TEXT(8,"00")&amp;"*",수납!$E:$E,"수강료")+SUMIFS(수납!$F:$F,수납!$C:$C,원생!$A347,수납!$D:$D,IF(원생!$G347="","",원생!$G347),수납!$B:$B,$B$1&amp;"-"&amp;TEXT(8,"00")&amp;"*",수납!$E:$E,""))</f>
        <v/>
      </c>
      <c r="K349" s="14">
        <f>IF(원생!$A347="","",SUMIFS(수납!$F:$F,수납!$C:$C,원생!$A347,수납!$D:$D,IF(원생!$G347="","",원생!$G347),수납!$B:$B,$B$1&amp;"-"&amp;TEXT(9,"00")&amp;"*",수납!$E:$E,"수강료")+SUMIFS(수납!$F:$F,수납!$C:$C,원생!$A347,수납!$D:$D,IF(원생!$G347="","",원생!$G347),수납!$B:$B,$B$1&amp;"-"&amp;TEXT(9,"00")&amp;"*",수납!$E:$E,""))</f>
        <v/>
      </c>
      <c r="L349" s="14">
        <f>IF(원생!$A347="","",SUMIFS(수납!$F:$F,수납!$C:$C,원생!$A347,수납!$D:$D,IF(원생!$G347="","",원생!$G347),수납!$B:$B,$B$1&amp;"-"&amp;TEXT(10,"00")&amp;"*",수납!$E:$E,"수강료")+SUMIFS(수납!$F:$F,수납!$C:$C,원생!$A347,수납!$D:$D,IF(원생!$G347="","",원생!$G347),수납!$B:$B,$B$1&amp;"-"&amp;TEXT(10,"00")&amp;"*",수납!$E:$E,""))</f>
        <v/>
      </c>
      <c r="M349" s="14">
        <f>IF(원생!$A347="","",SUMIFS(수납!$F:$F,수납!$C:$C,원생!$A347,수납!$D:$D,IF(원생!$G347="","",원생!$G347),수납!$B:$B,$B$1&amp;"-"&amp;TEXT(11,"00")&amp;"*",수납!$E:$E,"수강료")+SUMIFS(수납!$F:$F,수납!$C:$C,원생!$A347,수납!$D:$D,IF(원생!$G347="","",원생!$G347),수납!$B:$B,$B$1&amp;"-"&amp;TEXT(11,"00")&amp;"*",수납!$E:$E,""))</f>
        <v/>
      </c>
      <c r="N349" s="14">
        <f>IF(원생!$A347="","",SUMIFS(수납!$F:$F,수납!$C:$C,원생!$A347,수납!$D:$D,IF(원생!$G347="","",원생!$G347),수납!$B:$B,$B$1&amp;"-"&amp;TEXT(12,"00")&amp;"*",수납!$E:$E,"수강료")+SUMIFS(수납!$F:$F,수납!$C:$C,원생!$A347,수납!$D:$D,IF(원생!$G347="","",원생!$G347),수납!$B:$B,$B$1&amp;"-"&amp;TEXT(12,"00")&amp;"*",수납!$E:$E,""))</f>
        <v/>
      </c>
      <c r="O349">
        <f>IF(원생!$I347="","",원생!$I347)</f>
        <v/>
      </c>
      <c r="P349">
        <f>IF($A349="","",IF(AND($B349&gt;0,C349&lt;$B349,DATE($B$1,1,1)&lt;=TODAY(),OR($O349="",$O349&gt;=DATE($B$1,1,1)),OR(COUNTIF($C349:C349,"&gt;0")&gt;0,DATE($B$1,1,1)=DATE(YEAR(TODAY()),MONTH(TODAY()),1))),1,0))</f>
        <v/>
      </c>
      <c r="Q349">
        <f>IF($A349="","",IF(AND($B349&gt;0,D349&lt;$B349,DATE($B$1,2,1)&lt;=TODAY(),OR($O349="",$O349&gt;=DATE($B$1,2,1)),OR(COUNTIF($C349:D349,"&gt;0")&gt;0,DATE($B$1,2,1)=DATE(YEAR(TODAY()),MONTH(TODAY()),1))),1,0))</f>
        <v/>
      </c>
      <c r="R349">
        <f>IF($A349="","",IF(AND($B349&gt;0,E349&lt;$B349,DATE($B$1,3,1)&lt;=TODAY(),OR($O349="",$O349&gt;=DATE($B$1,3,1)),OR(COUNTIF($C349:E349,"&gt;0")&gt;0,DATE($B$1,3,1)=DATE(YEAR(TODAY()),MONTH(TODAY()),1))),1,0))</f>
        <v/>
      </c>
      <c r="S349">
        <f>IF($A349="","",IF(AND($B349&gt;0,F349&lt;$B349,DATE($B$1,4,1)&lt;=TODAY(),OR($O349="",$O349&gt;=DATE($B$1,4,1)),OR(COUNTIF($C349:F349,"&gt;0")&gt;0,DATE($B$1,4,1)=DATE(YEAR(TODAY()),MONTH(TODAY()),1))),1,0))</f>
        <v/>
      </c>
      <c r="T349">
        <f>IF($A349="","",IF(AND($B349&gt;0,G349&lt;$B349,DATE($B$1,5,1)&lt;=TODAY(),OR($O349="",$O349&gt;=DATE($B$1,5,1)),OR(COUNTIF($C349:G349,"&gt;0")&gt;0,DATE($B$1,5,1)=DATE(YEAR(TODAY()),MONTH(TODAY()),1))),1,0))</f>
        <v/>
      </c>
      <c r="U349">
        <f>IF($A349="","",IF(AND($B349&gt;0,H349&lt;$B349,DATE($B$1,6,1)&lt;=TODAY(),OR($O349="",$O349&gt;=DATE($B$1,6,1)),OR(COUNTIF($C349:H349,"&gt;0")&gt;0,DATE($B$1,6,1)=DATE(YEAR(TODAY()),MONTH(TODAY()),1))),1,0))</f>
        <v/>
      </c>
      <c r="V349">
        <f>IF($A349="","",IF(AND($B349&gt;0,I349&lt;$B349,DATE($B$1,7,1)&lt;=TODAY(),OR($O349="",$O349&gt;=DATE($B$1,7,1)),OR(COUNTIF($C349:I349,"&gt;0")&gt;0,DATE($B$1,7,1)=DATE(YEAR(TODAY()),MONTH(TODAY()),1))),1,0))</f>
        <v/>
      </c>
      <c r="W349">
        <f>IF($A349="","",IF(AND($B349&gt;0,J349&lt;$B349,DATE($B$1,8,1)&lt;=TODAY(),OR($O349="",$O349&gt;=DATE($B$1,8,1)),OR(COUNTIF($C349:J349,"&gt;0")&gt;0,DATE($B$1,8,1)=DATE(YEAR(TODAY()),MONTH(TODAY()),1))),1,0))</f>
        <v/>
      </c>
      <c r="X349">
        <f>IF($A349="","",IF(AND($B349&gt;0,K349&lt;$B349,DATE($B$1,9,1)&lt;=TODAY(),OR($O349="",$O349&gt;=DATE($B$1,9,1)),OR(COUNTIF($C349:K349,"&gt;0")&gt;0,DATE($B$1,9,1)=DATE(YEAR(TODAY()),MONTH(TODAY()),1))),1,0))</f>
        <v/>
      </c>
      <c r="Y349">
        <f>IF($A349="","",IF(AND($B349&gt;0,L349&lt;$B349,DATE($B$1,10,1)&lt;=TODAY(),OR($O349="",$O349&gt;=DATE($B$1,10,1)),OR(COUNTIF($C349:L349,"&gt;0")&gt;0,DATE($B$1,10,1)=DATE(YEAR(TODAY()),MONTH(TODAY()),1))),1,0))</f>
        <v/>
      </c>
      <c r="Z349">
        <f>IF($A349="","",IF(AND($B349&gt;0,M349&lt;$B349,DATE($B$1,11,1)&lt;=TODAY(),OR($O349="",$O349&gt;=DATE($B$1,11,1)),OR(COUNTIF($C349:M349,"&gt;0")&gt;0,DATE($B$1,11,1)=DATE(YEAR(TODAY()),MONTH(TODAY()),1))),1,0))</f>
        <v/>
      </c>
      <c r="AA349">
        <f>IF($A349="","",IF(AND($B349&gt;0,N349&lt;$B349,DATE($B$1,12,1)&lt;=TODAY(),OR($O349="",$O349&gt;=DATE($B$1,12,1)),OR(COUNTIF($C349:N349,"&gt;0")&gt;0,DATE($B$1,12,1)=DATE(YEAR(TODAY()),MONTH(TODAY()),1))),1,0))</f>
        <v/>
      </c>
    </row>
    <row r="350">
      <c r="A350" s="13">
        <f>IF(원생!$A348="","",원생!$A348&amp;IF(원생!$G348="",""," ("&amp;원생!$G348&amp;")"))</f>
        <v/>
      </c>
      <c r="B350" s="8">
        <f>IF(원생!$A348="","",원생!$F348)</f>
        <v/>
      </c>
      <c r="C350" s="14">
        <f>IF(원생!$A348="","",SUMIFS(수납!$F:$F,수납!$C:$C,원생!$A348,수납!$D:$D,IF(원생!$G348="","",원생!$G348),수납!$B:$B,$B$1&amp;"-"&amp;TEXT(1,"00")&amp;"*",수납!$E:$E,"수강료")+SUMIFS(수납!$F:$F,수납!$C:$C,원생!$A348,수납!$D:$D,IF(원생!$G348="","",원생!$G348),수납!$B:$B,$B$1&amp;"-"&amp;TEXT(1,"00")&amp;"*",수납!$E:$E,""))</f>
        <v/>
      </c>
      <c r="D350" s="14">
        <f>IF(원생!$A348="","",SUMIFS(수납!$F:$F,수납!$C:$C,원생!$A348,수납!$D:$D,IF(원생!$G348="","",원생!$G348),수납!$B:$B,$B$1&amp;"-"&amp;TEXT(2,"00")&amp;"*",수납!$E:$E,"수강료")+SUMIFS(수납!$F:$F,수납!$C:$C,원생!$A348,수납!$D:$D,IF(원생!$G348="","",원생!$G348),수납!$B:$B,$B$1&amp;"-"&amp;TEXT(2,"00")&amp;"*",수납!$E:$E,""))</f>
        <v/>
      </c>
      <c r="E350" s="14">
        <f>IF(원생!$A348="","",SUMIFS(수납!$F:$F,수납!$C:$C,원생!$A348,수납!$D:$D,IF(원생!$G348="","",원생!$G348),수납!$B:$B,$B$1&amp;"-"&amp;TEXT(3,"00")&amp;"*",수납!$E:$E,"수강료")+SUMIFS(수납!$F:$F,수납!$C:$C,원생!$A348,수납!$D:$D,IF(원생!$G348="","",원생!$G348),수납!$B:$B,$B$1&amp;"-"&amp;TEXT(3,"00")&amp;"*",수납!$E:$E,""))</f>
        <v/>
      </c>
      <c r="F350" s="14">
        <f>IF(원생!$A348="","",SUMIFS(수납!$F:$F,수납!$C:$C,원생!$A348,수납!$D:$D,IF(원생!$G348="","",원생!$G348),수납!$B:$B,$B$1&amp;"-"&amp;TEXT(4,"00")&amp;"*",수납!$E:$E,"수강료")+SUMIFS(수납!$F:$F,수납!$C:$C,원생!$A348,수납!$D:$D,IF(원생!$G348="","",원생!$G348),수납!$B:$B,$B$1&amp;"-"&amp;TEXT(4,"00")&amp;"*",수납!$E:$E,""))</f>
        <v/>
      </c>
      <c r="G350" s="14">
        <f>IF(원생!$A348="","",SUMIFS(수납!$F:$F,수납!$C:$C,원생!$A348,수납!$D:$D,IF(원생!$G348="","",원생!$G348),수납!$B:$B,$B$1&amp;"-"&amp;TEXT(5,"00")&amp;"*",수납!$E:$E,"수강료")+SUMIFS(수납!$F:$F,수납!$C:$C,원생!$A348,수납!$D:$D,IF(원생!$G348="","",원생!$G348),수납!$B:$B,$B$1&amp;"-"&amp;TEXT(5,"00")&amp;"*",수납!$E:$E,""))</f>
        <v/>
      </c>
      <c r="H350" s="14">
        <f>IF(원생!$A348="","",SUMIFS(수납!$F:$F,수납!$C:$C,원생!$A348,수납!$D:$D,IF(원생!$G348="","",원생!$G348),수납!$B:$B,$B$1&amp;"-"&amp;TEXT(6,"00")&amp;"*",수납!$E:$E,"수강료")+SUMIFS(수납!$F:$F,수납!$C:$C,원생!$A348,수납!$D:$D,IF(원생!$G348="","",원생!$G348),수납!$B:$B,$B$1&amp;"-"&amp;TEXT(6,"00")&amp;"*",수납!$E:$E,""))</f>
        <v/>
      </c>
      <c r="I350" s="14">
        <f>IF(원생!$A348="","",SUMIFS(수납!$F:$F,수납!$C:$C,원생!$A348,수납!$D:$D,IF(원생!$G348="","",원생!$G348),수납!$B:$B,$B$1&amp;"-"&amp;TEXT(7,"00")&amp;"*",수납!$E:$E,"수강료")+SUMIFS(수납!$F:$F,수납!$C:$C,원생!$A348,수납!$D:$D,IF(원생!$G348="","",원생!$G348),수납!$B:$B,$B$1&amp;"-"&amp;TEXT(7,"00")&amp;"*",수납!$E:$E,""))</f>
        <v/>
      </c>
      <c r="J350" s="14">
        <f>IF(원생!$A348="","",SUMIFS(수납!$F:$F,수납!$C:$C,원생!$A348,수납!$D:$D,IF(원생!$G348="","",원생!$G348),수납!$B:$B,$B$1&amp;"-"&amp;TEXT(8,"00")&amp;"*",수납!$E:$E,"수강료")+SUMIFS(수납!$F:$F,수납!$C:$C,원생!$A348,수납!$D:$D,IF(원생!$G348="","",원생!$G348),수납!$B:$B,$B$1&amp;"-"&amp;TEXT(8,"00")&amp;"*",수납!$E:$E,""))</f>
        <v/>
      </c>
      <c r="K350" s="14">
        <f>IF(원생!$A348="","",SUMIFS(수납!$F:$F,수납!$C:$C,원생!$A348,수납!$D:$D,IF(원생!$G348="","",원생!$G348),수납!$B:$B,$B$1&amp;"-"&amp;TEXT(9,"00")&amp;"*",수납!$E:$E,"수강료")+SUMIFS(수납!$F:$F,수납!$C:$C,원생!$A348,수납!$D:$D,IF(원생!$G348="","",원생!$G348),수납!$B:$B,$B$1&amp;"-"&amp;TEXT(9,"00")&amp;"*",수납!$E:$E,""))</f>
        <v/>
      </c>
      <c r="L350" s="14">
        <f>IF(원생!$A348="","",SUMIFS(수납!$F:$F,수납!$C:$C,원생!$A348,수납!$D:$D,IF(원생!$G348="","",원생!$G348),수납!$B:$B,$B$1&amp;"-"&amp;TEXT(10,"00")&amp;"*",수납!$E:$E,"수강료")+SUMIFS(수납!$F:$F,수납!$C:$C,원생!$A348,수납!$D:$D,IF(원생!$G348="","",원생!$G348),수납!$B:$B,$B$1&amp;"-"&amp;TEXT(10,"00")&amp;"*",수납!$E:$E,""))</f>
        <v/>
      </c>
      <c r="M350" s="14">
        <f>IF(원생!$A348="","",SUMIFS(수납!$F:$F,수납!$C:$C,원생!$A348,수납!$D:$D,IF(원생!$G348="","",원생!$G348),수납!$B:$B,$B$1&amp;"-"&amp;TEXT(11,"00")&amp;"*",수납!$E:$E,"수강료")+SUMIFS(수납!$F:$F,수납!$C:$C,원생!$A348,수납!$D:$D,IF(원생!$G348="","",원생!$G348),수납!$B:$B,$B$1&amp;"-"&amp;TEXT(11,"00")&amp;"*",수납!$E:$E,""))</f>
        <v/>
      </c>
      <c r="N350" s="14">
        <f>IF(원생!$A348="","",SUMIFS(수납!$F:$F,수납!$C:$C,원생!$A348,수납!$D:$D,IF(원생!$G348="","",원생!$G348),수납!$B:$B,$B$1&amp;"-"&amp;TEXT(12,"00")&amp;"*",수납!$E:$E,"수강료")+SUMIFS(수납!$F:$F,수납!$C:$C,원생!$A348,수납!$D:$D,IF(원생!$G348="","",원생!$G348),수납!$B:$B,$B$1&amp;"-"&amp;TEXT(12,"00")&amp;"*",수납!$E:$E,""))</f>
        <v/>
      </c>
      <c r="O350">
        <f>IF(원생!$I348="","",원생!$I348)</f>
        <v/>
      </c>
      <c r="P350">
        <f>IF($A350="","",IF(AND($B350&gt;0,C350&lt;$B350,DATE($B$1,1,1)&lt;=TODAY(),OR($O350="",$O350&gt;=DATE($B$1,1,1)),OR(COUNTIF($C350:C350,"&gt;0")&gt;0,DATE($B$1,1,1)=DATE(YEAR(TODAY()),MONTH(TODAY()),1))),1,0))</f>
        <v/>
      </c>
      <c r="Q350">
        <f>IF($A350="","",IF(AND($B350&gt;0,D350&lt;$B350,DATE($B$1,2,1)&lt;=TODAY(),OR($O350="",$O350&gt;=DATE($B$1,2,1)),OR(COUNTIF($C350:D350,"&gt;0")&gt;0,DATE($B$1,2,1)=DATE(YEAR(TODAY()),MONTH(TODAY()),1))),1,0))</f>
        <v/>
      </c>
      <c r="R350">
        <f>IF($A350="","",IF(AND($B350&gt;0,E350&lt;$B350,DATE($B$1,3,1)&lt;=TODAY(),OR($O350="",$O350&gt;=DATE($B$1,3,1)),OR(COUNTIF($C350:E350,"&gt;0")&gt;0,DATE($B$1,3,1)=DATE(YEAR(TODAY()),MONTH(TODAY()),1))),1,0))</f>
        <v/>
      </c>
      <c r="S350">
        <f>IF($A350="","",IF(AND($B350&gt;0,F350&lt;$B350,DATE($B$1,4,1)&lt;=TODAY(),OR($O350="",$O350&gt;=DATE($B$1,4,1)),OR(COUNTIF($C350:F350,"&gt;0")&gt;0,DATE($B$1,4,1)=DATE(YEAR(TODAY()),MONTH(TODAY()),1))),1,0))</f>
        <v/>
      </c>
      <c r="T350">
        <f>IF($A350="","",IF(AND($B350&gt;0,G350&lt;$B350,DATE($B$1,5,1)&lt;=TODAY(),OR($O350="",$O350&gt;=DATE($B$1,5,1)),OR(COUNTIF($C350:G350,"&gt;0")&gt;0,DATE($B$1,5,1)=DATE(YEAR(TODAY()),MONTH(TODAY()),1))),1,0))</f>
        <v/>
      </c>
      <c r="U350">
        <f>IF($A350="","",IF(AND($B350&gt;0,H350&lt;$B350,DATE($B$1,6,1)&lt;=TODAY(),OR($O350="",$O350&gt;=DATE($B$1,6,1)),OR(COUNTIF($C350:H350,"&gt;0")&gt;0,DATE($B$1,6,1)=DATE(YEAR(TODAY()),MONTH(TODAY()),1))),1,0))</f>
        <v/>
      </c>
      <c r="V350">
        <f>IF($A350="","",IF(AND($B350&gt;0,I350&lt;$B350,DATE($B$1,7,1)&lt;=TODAY(),OR($O350="",$O350&gt;=DATE($B$1,7,1)),OR(COUNTIF($C350:I350,"&gt;0")&gt;0,DATE($B$1,7,1)=DATE(YEAR(TODAY()),MONTH(TODAY()),1))),1,0))</f>
        <v/>
      </c>
      <c r="W350">
        <f>IF($A350="","",IF(AND($B350&gt;0,J350&lt;$B350,DATE($B$1,8,1)&lt;=TODAY(),OR($O350="",$O350&gt;=DATE($B$1,8,1)),OR(COUNTIF($C350:J350,"&gt;0")&gt;0,DATE($B$1,8,1)=DATE(YEAR(TODAY()),MONTH(TODAY()),1))),1,0))</f>
        <v/>
      </c>
      <c r="X350">
        <f>IF($A350="","",IF(AND($B350&gt;0,K350&lt;$B350,DATE($B$1,9,1)&lt;=TODAY(),OR($O350="",$O350&gt;=DATE($B$1,9,1)),OR(COUNTIF($C350:K350,"&gt;0")&gt;0,DATE($B$1,9,1)=DATE(YEAR(TODAY()),MONTH(TODAY()),1))),1,0))</f>
        <v/>
      </c>
      <c r="Y350">
        <f>IF($A350="","",IF(AND($B350&gt;0,L350&lt;$B350,DATE($B$1,10,1)&lt;=TODAY(),OR($O350="",$O350&gt;=DATE($B$1,10,1)),OR(COUNTIF($C350:L350,"&gt;0")&gt;0,DATE($B$1,10,1)=DATE(YEAR(TODAY()),MONTH(TODAY()),1))),1,0))</f>
        <v/>
      </c>
      <c r="Z350">
        <f>IF($A350="","",IF(AND($B350&gt;0,M350&lt;$B350,DATE($B$1,11,1)&lt;=TODAY(),OR($O350="",$O350&gt;=DATE($B$1,11,1)),OR(COUNTIF($C350:M350,"&gt;0")&gt;0,DATE($B$1,11,1)=DATE(YEAR(TODAY()),MONTH(TODAY()),1))),1,0))</f>
        <v/>
      </c>
      <c r="AA350">
        <f>IF($A350="","",IF(AND($B350&gt;0,N350&lt;$B350,DATE($B$1,12,1)&lt;=TODAY(),OR($O350="",$O350&gt;=DATE($B$1,12,1)),OR(COUNTIF($C350:N350,"&gt;0")&gt;0,DATE($B$1,12,1)=DATE(YEAR(TODAY()),MONTH(TODAY()),1))),1,0))</f>
        <v/>
      </c>
    </row>
    <row r="351">
      <c r="A351" s="13">
        <f>IF(원생!$A349="","",원생!$A349&amp;IF(원생!$G349="",""," ("&amp;원생!$G349&amp;")"))</f>
        <v/>
      </c>
      <c r="B351" s="8">
        <f>IF(원생!$A349="","",원생!$F349)</f>
        <v/>
      </c>
      <c r="C351" s="14">
        <f>IF(원생!$A349="","",SUMIFS(수납!$F:$F,수납!$C:$C,원생!$A349,수납!$D:$D,IF(원생!$G349="","",원생!$G349),수납!$B:$B,$B$1&amp;"-"&amp;TEXT(1,"00")&amp;"*",수납!$E:$E,"수강료")+SUMIFS(수납!$F:$F,수납!$C:$C,원생!$A349,수납!$D:$D,IF(원생!$G349="","",원생!$G349),수납!$B:$B,$B$1&amp;"-"&amp;TEXT(1,"00")&amp;"*",수납!$E:$E,""))</f>
        <v/>
      </c>
      <c r="D351" s="14">
        <f>IF(원생!$A349="","",SUMIFS(수납!$F:$F,수납!$C:$C,원생!$A349,수납!$D:$D,IF(원생!$G349="","",원생!$G349),수납!$B:$B,$B$1&amp;"-"&amp;TEXT(2,"00")&amp;"*",수납!$E:$E,"수강료")+SUMIFS(수납!$F:$F,수납!$C:$C,원생!$A349,수납!$D:$D,IF(원생!$G349="","",원생!$G349),수납!$B:$B,$B$1&amp;"-"&amp;TEXT(2,"00")&amp;"*",수납!$E:$E,""))</f>
        <v/>
      </c>
      <c r="E351" s="14">
        <f>IF(원생!$A349="","",SUMIFS(수납!$F:$F,수납!$C:$C,원생!$A349,수납!$D:$D,IF(원생!$G349="","",원생!$G349),수납!$B:$B,$B$1&amp;"-"&amp;TEXT(3,"00")&amp;"*",수납!$E:$E,"수강료")+SUMIFS(수납!$F:$F,수납!$C:$C,원생!$A349,수납!$D:$D,IF(원생!$G349="","",원생!$G349),수납!$B:$B,$B$1&amp;"-"&amp;TEXT(3,"00")&amp;"*",수납!$E:$E,""))</f>
        <v/>
      </c>
      <c r="F351" s="14">
        <f>IF(원생!$A349="","",SUMIFS(수납!$F:$F,수납!$C:$C,원생!$A349,수납!$D:$D,IF(원생!$G349="","",원생!$G349),수납!$B:$B,$B$1&amp;"-"&amp;TEXT(4,"00")&amp;"*",수납!$E:$E,"수강료")+SUMIFS(수납!$F:$F,수납!$C:$C,원생!$A349,수납!$D:$D,IF(원생!$G349="","",원생!$G349),수납!$B:$B,$B$1&amp;"-"&amp;TEXT(4,"00")&amp;"*",수납!$E:$E,""))</f>
        <v/>
      </c>
      <c r="G351" s="14">
        <f>IF(원생!$A349="","",SUMIFS(수납!$F:$F,수납!$C:$C,원생!$A349,수납!$D:$D,IF(원생!$G349="","",원생!$G349),수납!$B:$B,$B$1&amp;"-"&amp;TEXT(5,"00")&amp;"*",수납!$E:$E,"수강료")+SUMIFS(수납!$F:$F,수납!$C:$C,원생!$A349,수납!$D:$D,IF(원생!$G349="","",원생!$G349),수납!$B:$B,$B$1&amp;"-"&amp;TEXT(5,"00")&amp;"*",수납!$E:$E,""))</f>
        <v/>
      </c>
      <c r="H351" s="14">
        <f>IF(원생!$A349="","",SUMIFS(수납!$F:$F,수납!$C:$C,원생!$A349,수납!$D:$D,IF(원생!$G349="","",원생!$G349),수납!$B:$B,$B$1&amp;"-"&amp;TEXT(6,"00")&amp;"*",수납!$E:$E,"수강료")+SUMIFS(수납!$F:$F,수납!$C:$C,원생!$A349,수납!$D:$D,IF(원생!$G349="","",원생!$G349),수납!$B:$B,$B$1&amp;"-"&amp;TEXT(6,"00")&amp;"*",수납!$E:$E,""))</f>
        <v/>
      </c>
      <c r="I351" s="14">
        <f>IF(원생!$A349="","",SUMIFS(수납!$F:$F,수납!$C:$C,원생!$A349,수납!$D:$D,IF(원생!$G349="","",원생!$G349),수납!$B:$B,$B$1&amp;"-"&amp;TEXT(7,"00")&amp;"*",수납!$E:$E,"수강료")+SUMIFS(수납!$F:$F,수납!$C:$C,원생!$A349,수납!$D:$D,IF(원생!$G349="","",원생!$G349),수납!$B:$B,$B$1&amp;"-"&amp;TEXT(7,"00")&amp;"*",수납!$E:$E,""))</f>
        <v/>
      </c>
      <c r="J351" s="14">
        <f>IF(원생!$A349="","",SUMIFS(수납!$F:$F,수납!$C:$C,원생!$A349,수납!$D:$D,IF(원생!$G349="","",원생!$G349),수납!$B:$B,$B$1&amp;"-"&amp;TEXT(8,"00")&amp;"*",수납!$E:$E,"수강료")+SUMIFS(수납!$F:$F,수납!$C:$C,원생!$A349,수납!$D:$D,IF(원생!$G349="","",원생!$G349),수납!$B:$B,$B$1&amp;"-"&amp;TEXT(8,"00")&amp;"*",수납!$E:$E,""))</f>
        <v/>
      </c>
      <c r="K351" s="14">
        <f>IF(원생!$A349="","",SUMIFS(수납!$F:$F,수납!$C:$C,원생!$A349,수납!$D:$D,IF(원생!$G349="","",원생!$G349),수납!$B:$B,$B$1&amp;"-"&amp;TEXT(9,"00")&amp;"*",수납!$E:$E,"수강료")+SUMIFS(수납!$F:$F,수납!$C:$C,원생!$A349,수납!$D:$D,IF(원생!$G349="","",원생!$G349),수납!$B:$B,$B$1&amp;"-"&amp;TEXT(9,"00")&amp;"*",수납!$E:$E,""))</f>
        <v/>
      </c>
      <c r="L351" s="14">
        <f>IF(원생!$A349="","",SUMIFS(수납!$F:$F,수납!$C:$C,원생!$A349,수납!$D:$D,IF(원생!$G349="","",원생!$G349),수납!$B:$B,$B$1&amp;"-"&amp;TEXT(10,"00")&amp;"*",수납!$E:$E,"수강료")+SUMIFS(수납!$F:$F,수납!$C:$C,원생!$A349,수납!$D:$D,IF(원생!$G349="","",원생!$G349),수납!$B:$B,$B$1&amp;"-"&amp;TEXT(10,"00")&amp;"*",수납!$E:$E,""))</f>
        <v/>
      </c>
      <c r="M351" s="14">
        <f>IF(원생!$A349="","",SUMIFS(수납!$F:$F,수납!$C:$C,원생!$A349,수납!$D:$D,IF(원생!$G349="","",원생!$G349),수납!$B:$B,$B$1&amp;"-"&amp;TEXT(11,"00")&amp;"*",수납!$E:$E,"수강료")+SUMIFS(수납!$F:$F,수납!$C:$C,원생!$A349,수납!$D:$D,IF(원생!$G349="","",원생!$G349),수납!$B:$B,$B$1&amp;"-"&amp;TEXT(11,"00")&amp;"*",수납!$E:$E,""))</f>
        <v/>
      </c>
      <c r="N351" s="14">
        <f>IF(원생!$A349="","",SUMIFS(수납!$F:$F,수납!$C:$C,원생!$A349,수납!$D:$D,IF(원생!$G349="","",원생!$G349),수납!$B:$B,$B$1&amp;"-"&amp;TEXT(12,"00")&amp;"*",수납!$E:$E,"수강료")+SUMIFS(수납!$F:$F,수납!$C:$C,원생!$A349,수납!$D:$D,IF(원생!$G349="","",원생!$G349),수납!$B:$B,$B$1&amp;"-"&amp;TEXT(12,"00")&amp;"*",수납!$E:$E,""))</f>
        <v/>
      </c>
      <c r="O351">
        <f>IF(원생!$I349="","",원생!$I349)</f>
        <v/>
      </c>
      <c r="P351">
        <f>IF($A351="","",IF(AND($B351&gt;0,C351&lt;$B351,DATE($B$1,1,1)&lt;=TODAY(),OR($O351="",$O351&gt;=DATE($B$1,1,1)),OR(COUNTIF($C351:C351,"&gt;0")&gt;0,DATE($B$1,1,1)=DATE(YEAR(TODAY()),MONTH(TODAY()),1))),1,0))</f>
        <v/>
      </c>
      <c r="Q351">
        <f>IF($A351="","",IF(AND($B351&gt;0,D351&lt;$B351,DATE($B$1,2,1)&lt;=TODAY(),OR($O351="",$O351&gt;=DATE($B$1,2,1)),OR(COUNTIF($C351:D351,"&gt;0")&gt;0,DATE($B$1,2,1)=DATE(YEAR(TODAY()),MONTH(TODAY()),1))),1,0))</f>
        <v/>
      </c>
      <c r="R351">
        <f>IF($A351="","",IF(AND($B351&gt;0,E351&lt;$B351,DATE($B$1,3,1)&lt;=TODAY(),OR($O351="",$O351&gt;=DATE($B$1,3,1)),OR(COUNTIF($C351:E351,"&gt;0")&gt;0,DATE($B$1,3,1)=DATE(YEAR(TODAY()),MONTH(TODAY()),1))),1,0))</f>
        <v/>
      </c>
      <c r="S351">
        <f>IF($A351="","",IF(AND($B351&gt;0,F351&lt;$B351,DATE($B$1,4,1)&lt;=TODAY(),OR($O351="",$O351&gt;=DATE($B$1,4,1)),OR(COUNTIF($C351:F351,"&gt;0")&gt;0,DATE($B$1,4,1)=DATE(YEAR(TODAY()),MONTH(TODAY()),1))),1,0))</f>
        <v/>
      </c>
      <c r="T351">
        <f>IF($A351="","",IF(AND($B351&gt;0,G351&lt;$B351,DATE($B$1,5,1)&lt;=TODAY(),OR($O351="",$O351&gt;=DATE($B$1,5,1)),OR(COUNTIF($C351:G351,"&gt;0")&gt;0,DATE($B$1,5,1)=DATE(YEAR(TODAY()),MONTH(TODAY()),1))),1,0))</f>
        <v/>
      </c>
      <c r="U351">
        <f>IF($A351="","",IF(AND($B351&gt;0,H351&lt;$B351,DATE($B$1,6,1)&lt;=TODAY(),OR($O351="",$O351&gt;=DATE($B$1,6,1)),OR(COUNTIF($C351:H351,"&gt;0")&gt;0,DATE($B$1,6,1)=DATE(YEAR(TODAY()),MONTH(TODAY()),1))),1,0))</f>
        <v/>
      </c>
      <c r="V351">
        <f>IF($A351="","",IF(AND($B351&gt;0,I351&lt;$B351,DATE($B$1,7,1)&lt;=TODAY(),OR($O351="",$O351&gt;=DATE($B$1,7,1)),OR(COUNTIF($C351:I351,"&gt;0")&gt;0,DATE($B$1,7,1)=DATE(YEAR(TODAY()),MONTH(TODAY()),1))),1,0))</f>
        <v/>
      </c>
      <c r="W351">
        <f>IF($A351="","",IF(AND($B351&gt;0,J351&lt;$B351,DATE($B$1,8,1)&lt;=TODAY(),OR($O351="",$O351&gt;=DATE($B$1,8,1)),OR(COUNTIF($C351:J351,"&gt;0")&gt;0,DATE($B$1,8,1)=DATE(YEAR(TODAY()),MONTH(TODAY()),1))),1,0))</f>
        <v/>
      </c>
      <c r="X351">
        <f>IF($A351="","",IF(AND($B351&gt;0,K351&lt;$B351,DATE($B$1,9,1)&lt;=TODAY(),OR($O351="",$O351&gt;=DATE($B$1,9,1)),OR(COUNTIF($C351:K351,"&gt;0")&gt;0,DATE($B$1,9,1)=DATE(YEAR(TODAY()),MONTH(TODAY()),1))),1,0))</f>
        <v/>
      </c>
      <c r="Y351">
        <f>IF($A351="","",IF(AND($B351&gt;0,L351&lt;$B351,DATE($B$1,10,1)&lt;=TODAY(),OR($O351="",$O351&gt;=DATE($B$1,10,1)),OR(COUNTIF($C351:L351,"&gt;0")&gt;0,DATE($B$1,10,1)=DATE(YEAR(TODAY()),MONTH(TODAY()),1))),1,0))</f>
        <v/>
      </c>
      <c r="Z351">
        <f>IF($A351="","",IF(AND($B351&gt;0,M351&lt;$B351,DATE($B$1,11,1)&lt;=TODAY(),OR($O351="",$O351&gt;=DATE($B$1,11,1)),OR(COUNTIF($C351:M351,"&gt;0")&gt;0,DATE($B$1,11,1)=DATE(YEAR(TODAY()),MONTH(TODAY()),1))),1,0))</f>
        <v/>
      </c>
      <c r="AA351">
        <f>IF($A351="","",IF(AND($B351&gt;0,N351&lt;$B351,DATE($B$1,12,1)&lt;=TODAY(),OR($O351="",$O351&gt;=DATE($B$1,12,1)),OR(COUNTIF($C351:N351,"&gt;0")&gt;0,DATE($B$1,12,1)=DATE(YEAR(TODAY()),MONTH(TODAY()),1))),1,0))</f>
        <v/>
      </c>
    </row>
    <row r="352">
      <c r="A352" s="13">
        <f>IF(원생!$A350="","",원생!$A350&amp;IF(원생!$G350="",""," ("&amp;원생!$G350&amp;")"))</f>
        <v/>
      </c>
      <c r="B352" s="8">
        <f>IF(원생!$A350="","",원생!$F350)</f>
        <v/>
      </c>
      <c r="C352" s="14">
        <f>IF(원생!$A350="","",SUMIFS(수납!$F:$F,수납!$C:$C,원생!$A350,수납!$D:$D,IF(원생!$G350="","",원생!$G350),수납!$B:$B,$B$1&amp;"-"&amp;TEXT(1,"00")&amp;"*",수납!$E:$E,"수강료")+SUMIFS(수납!$F:$F,수납!$C:$C,원생!$A350,수납!$D:$D,IF(원생!$G350="","",원생!$G350),수납!$B:$B,$B$1&amp;"-"&amp;TEXT(1,"00")&amp;"*",수납!$E:$E,""))</f>
        <v/>
      </c>
      <c r="D352" s="14">
        <f>IF(원생!$A350="","",SUMIFS(수납!$F:$F,수납!$C:$C,원생!$A350,수납!$D:$D,IF(원생!$G350="","",원생!$G350),수납!$B:$B,$B$1&amp;"-"&amp;TEXT(2,"00")&amp;"*",수납!$E:$E,"수강료")+SUMIFS(수납!$F:$F,수납!$C:$C,원생!$A350,수납!$D:$D,IF(원생!$G350="","",원생!$G350),수납!$B:$B,$B$1&amp;"-"&amp;TEXT(2,"00")&amp;"*",수납!$E:$E,""))</f>
        <v/>
      </c>
      <c r="E352" s="14">
        <f>IF(원생!$A350="","",SUMIFS(수납!$F:$F,수납!$C:$C,원생!$A350,수납!$D:$D,IF(원생!$G350="","",원생!$G350),수납!$B:$B,$B$1&amp;"-"&amp;TEXT(3,"00")&amp;"*",수납!$E:$E,"수강료")+SUMIFS(수납!$F:$F,수납!$C:$C,원생!$A350,수납!$D:$D,IF(원생!$G350="","",원생!$G350),수납!$B:$B,$B$1&amp;"-"&amp;TEXT(3,"00")&amp;"*",수납!$E:$E,""))</f>
        <v/>
      </c>
      <c r="F352" s="14">
        <f>IF(원생!$A350="","",SUMIFS(수납!$F:$F,수납!$C:$C,원생!$A350,수납!$D:$D,IF(원생!$G350="","",원생!$G350),수납!$B:$B,$B$1&amp;"-"&amp;TEXT(4,"00")&amp;"*",수납!$E:$E,"수강료")+SUMIFS(수납!$F:$F,수납!$C:$C,원생!$A350,수납!$D:$D,IF(원생!$G350="","",원생!$G350),수납!$B:$B,$B$1&amp;"-"&amp;TEXT(4,"00")&amp;"*",수납!$E:$E,""))</f>
        <v/>
      </c>
      <c r="G352" s="14">
        <f>IF(원생!$A350="","",SUMIFS(수납!$F:$F,수납!$C:$C,원생!$A350,수납!$D:$D,IF(원생!$G350="","",원생!$G350),수납!$B:$B,$B$1&amp;"-"&amp;TEXT(5,"00")&amp;"*",수납!$E:$E,"수강료")+SUMIFS(수납!$F:$F,수납!$C:$C,원생!$A350,수납!$D:$D,IF(원생!$G350="","",원생!$G350),수납!$B:$B,$B$1&amp;"-"&amp;TEXT(5,"00")&amp;"*",수납!$E:$E,""))</f>
        <v/>
      </c>
      <c r="H352" s="14">
        <f>IF(원생!$A350="","",SUMIFS(수납!$F:$F,수납!$C:$C,원생!$A350,수납!$D:$D,IF(원생!$G350="","",원생!$G350),수납!$B:$B,$B$1&amp;"-"&amp;TEXT(6,"00")&amp;"*",수납!$E:$E,"수강료")+SUMIFS(수납!$F:$F,수납!$C:$C,원생!$A350,수납!$D:$D,IF(원생!$G350="","",원생!$G350),수납!$B:$B,$B$1&amp;"-"&amp;TEXT(6,"00")&amp;"*",수납!$E:$E,""))</f>
        <v/>
      </c>
      <c r="I352" s="14">
        <f>IF(원생!$A350="","",SUMIFS(수납!$F:$F,수납!$C:$C,원생!$A350,수납!$D:$D,IF(원생!$G350="","",원생!$G350),수납!$B:$B,$B$1&amp;"-"&amp;TEXT(7,"00")&amp;"*",수납!$E:$E,"수강료")+SUMIFS(수납!$F:$F,수납!$C:$C,원생!$A350,수납!$D:$D,IF(원생!$G350="","",원생!$G350),수납!$B:$B,$B$1&amp;"-"&amp;TEXT(7,"00")&amp;"*",수납!$E:$E,""))</f>
        <v/>
      </c>
      <c r="J352" s="14">
        <f>IF(원생!$A350="","",SUMIFS(수납!$F:$F,수납!$C:$C,원생!$A350,수납!$D:$D,IF(원생!$G350="","",원생!$G350),수납!$B:$B,$B$1&amp;"-"&amp;TEXT(8,"00")&amp;"*",수납!$E:$E,"수강료")+SUMIFS(수납!$F:$F,수납!$C:$C,원생!$A350,수납!$D:$D,IF(원생!$G350="","",원생!$G350),수납!$B:$B,$B$1&amp;"-"&amp;TEXT(8,"00")&amp;"*",수납!$E:$E,""))</f>
        <v/>
      </c>
      <c r="K352" s="14">
        <f>IF(원생!$A350="","",SUMIFS(수납!$F:$F,수납!$C:$C,원생!$A350,수납!$D:$D,IF(원생!$G350="","",원생!$G350),수납!$B:$B,$B$1&amp;"-"&amp;TEXT(9,"00")&amp;"*",수납!$E:$E,"수강료")+SUMIFS(수납!$F:$F,수납!$C:$C,원생!$A350,수납!$D:$D,IF(원생!$G350="","",원생!$G350),수납!$B:$B,$B$1&amp;"-"&amp;TEXT(9,"00")&amp;"*",수납!$E:$E,""))</f>
        <v/>
      </c>
      <c r="L352" s="14">
        <f>IF(원생!$A350="","",SUMIFS(수납!$F:$F,수납!$C:$C,원생!$A350,수납!$D:$D,IF(원생!$G350="","",원생!$G350),수납!$B:$B,$B$1&amp;"-"&amp;TEXT(10,"00")&amp;"*",수납!$E:$E,"수강료")+SUMIFS(수납!$F:$F,수납!$C:$C,원생!$A350,수납!$D:$D,IF(원생!$G350="","",원생!$G350),수납!$B:$B,$B$1&amp;"-"&amp;TEXT(10,"00")&amp;"*",수납!$E:$E,""))</f>
        <v/>
      </c>
      <c r="M352" s="14">
        <f>IF(원생!$A350="","",SUMIFS(수납!$F:$F,수납!$C:$C,원생!$A350,수납!$D:$D,IF(원생!$G350="","",원생!$G350),수납!$B:$B,$B$1&amp;"-"&amp;TEXT(11,"00")&amp;"*",수납!$E:$E,"수강료")+SUMIFS(수납!$F:$F,수납!$C:$C,원생!$A350,수납!$D:$D,IF(원생!$G350="","",원생!$G350),수납!$B:$B,$B$1&amp;"-"&amp;TEXT(11,"00")&amp;"*",수납!$E:$E,""))</f>
        <v/>
      </c>
      <c r="N352" s="14">
        <f>IF(원생!$A350="","",SUMIFS(수납!$F:$F,수납!$C:$C,원생!$A350,수납!$D:$D,IF(원생!$G350="","",원생!$G350),수납!$B:$B,$B$1&amp;"-"&amp;TEXT(12,"00")&amp;"*",수납!$E:$E,"수강료")+SUMIFS(수납!$F:$F,수납!$C:$C,원생!$A350,수납!$D:$D,IF(원생!$G350="","",원생!$G350),수납!$B:$B,$B$1&amp;"-"&amp;TEXT(12,"00")&amp;"*",수납!$E:$E,""))</f>
        <v/>
      </c>
      <c r="O352">
        <f>IF(원생!$I350="","",원생!$I350)</f>
        <v/>
      </c>
      <c r="P352">
        <f>IF($A352="","",IF(AND($B352&gt;0,C352&lt;$B352,DATE($B$1,1,1)&lt;=TODAY(),OR($O352="",$O352&gt;=DATE($B$1,1,1)),OR(COUNTIF($C352:C352,"&gt;0")&gt;0,DATE($B$1,1,1)=DATE(YEAR(TODAY()),MONTH(TODAY()),1))),1,0))</f>
        <v/>
      </c>
      <c r="Q352">
        <f>IF($A352="","",IF(AND($B352&gt;0,D352&lt;$B352,DATE($B$1,2,1)&lt;=TODAY(),OR($O352="",$O352&gt;=DATE($B$1,2,1)),OR(COUNTIF($C352:D352,"&gt;0")&gt;0,DATE($B$1,2,1)=DATE(YEAR(TODAY()),MONTH(TODAY()),1))),1,0))</f>
        <v/>
      </c>
      <c r="R352">
        <f>IF($A352="","",IF(AND($B352&gt;0,E352&lt;$B352,DATE($B$1,3,1)&lt;=TODAY(),OR($O352="",$O352&gt;=DATE($B$1,3,1)),OR(COUNTIF($C352:E352,"&gt;0")&gt;0,DATE($B$1,3,1)=DATE(YEAR(TODAY()),MONTH(TODAY()),1))),1,0))</f>
        <v/>
      </c>
      <c r="S352">
        <f>IF($A352="","",IF(AND($B352&gt;0,F352&lt;$B352,DATE($B$1,4,1)&lt;=TODAY(),OR($O352="",$O352&gt;=DATE($B$1,4,1)),OR(COUNTIF($C352:F352,"&gt;0")&gt;0,DATE($B$1,4,1)=DATE(YEAR(TODAY()),MONTH(TODAY()),1))),1,0))</f>
        <v/>
      </c>
      <c r="T352">
        <f>IF($A352="","",IF(AND($B352&gt;0,G352&lt;$B352,DATE($B$1,5,1)&lt;=TODAY(),OR($O352="",$O352&gt;=DATE($B$1,5,1)),OR(COUNTIF($C352:G352,"&gt;0")&gt;0,DATE($B$1,5,1)=DATE(YEAR(TODAY()),MONTH(TODAY()),1))),1,0))</f>
        <v/>
      </c>
      <c r="U352">
        <f>IF($A352="","",IF(AND($B352&gt;0,H352&lt;$B352,DATE($B$1,6,1)&lt;=TODAY(),OR($O352="",$O352&gt;=DATE($B$1,6,1)),OR(COUNTIF($C352:H352,"&gt;0")&gt;0,DATE($B$1,6,1)=DATE(YEAR(TODAY()),MONTH(TODAY()),1))),1,0))</f>
        <v/>
      </c>
      <c r="V352">
        <f>IF($A352="","",IF(AND($B352&gt;0,I352&lt;$B352,DATE($B$1,7,1)&lt;=TODAY(),OR($O352="",$O352&gt;=DATE($B$1,7,1)),OR(COUNTIF($C352:I352,"&gt;0")&gt;0,DATE($B$1,7,1)=DATE(YEAR(TODAY()),MONTH(TODAY()),1))),1,0))</f>
        <v/>
      </c>
      <c r="W352">
        <f>IF($A352="","",IF(AND($B352&gt;0,J352&lt;$B352,DATE($B$1,8,1)&lt;=TODAY(),OR($O352="",$O352&gt;=DATE($B$1,8,1)),OR(COUNTIF($C352:J352,"&gt;0")&gt;0,DATE($B$1,8,1)=DATE(YEAR(TODAY()),MONTH(TODAY()),1))),1,0))</f>
        <v/>
      </c>
      <c r="X352">
        <f>IF($A352="","",IF(AND($B352&gt;0,K352&lt;$B352,DATE($B$1,9,1)&lt;=TODAY(),OR($O352="",$O352&gt;=DATE($B$1,9,1)),OR(COUNTIF($C352:K352,"&gt;0")&gt;0,DATE($B$1,9,1)=DATE(YEAR(TODAY()),MONTH(TODAY()),1))),1,0))</f>
        <v/>
      </c>
      <c r="Y352">
        <f>IF($A352="","",IF(AND($B352&gt;0,L352&lt;$B352,DATE($B$1,10,1)&lt;=TODAY(),OR($O352="",$O352&gt;=DATE($B$1,10,1)),OR(COUNTIF($C352:L352,"&gt;0")&gt;0,DATE($B$1,10,1)=DATE(YEAR(TODAY()),MONTH(TODAY()),1))),1,0))</f>
        <v/>
      </c>
      <c r="Z352">
        <f>IF($A352="","",IF(AND($B352&gt;0,M352&lt;$B352,DATE($B$1,11,1)&lt;=TODAY(),OR($O352="",$O352&gt;=DATE($B$1,11,1)),OR(COUNTIF($C352:M352,"&gt;0")&gt;0,DATE($B$1,11,1)=DATE(YEAR(TODAY()),MONTH(TODAY()),1))),1,0))</f>
        <v/>
      </c>
      <c r="AA352">
        <f>IF($A352="","",IF(AND($B352&gt;0,N352&lt;$B352,DATE($B$1,12,1)&lt;=TODAY(),OR($O352="",$O352&gt;=DATE($B$1,12,1)),OR(COUNTIF($C352:N352,"&gt;0")&gt;0,DATE($B$1,12,1)=DATE(YEAR(TODAY()),MONTH(TODAY()),1))),1,0))</f>
        <v/>
      </c>
    </row>
    <row r="353">
      <c r="A353" s="13">
        <f>IF(원생!$A351="","",원생!$A351&amp;IF(원생!$G351="",""," ("&amp;원생!$G351&amp;")"))</f>
        <v/>
      </c>
      <c r="B353" s="8">
        <f>IF(원생!$A351="","",원생!$F351)</f>
        <v/>
      </c>
      <c r="C353" s="14">
        <f>IF(원생!$A351="","",SUMIFS(수납!$F:$F,수납!$C:$C,원생!$A351,수납!$D:$D,IF(원생!$G351="","",원생!$G351),수납!$B:$B,$B$1&amp;"-"&amp;TEXT(1,"00")&amp;"*",수납!$E:$E,"수강료")+SUMIFS(수납!$F:$F,수납!$C:$C,원생!$A351,수납!$D:$D,IF(원생!$G351="","",원생!$G351),수납!$B:$B,$B$1&amp;"-"&amp;TEXT(1,"00")&amp;"*",수납!$E:$E,""))</f>
        <v/>
      </c>
      <c r="D353" s="14">
        <f>IF(원생!$A351="","",SUMIFS(수납!$F:$F,수납!$C:$C,원생!$A351,수납!$D:$D,IF(원생!$G351="","",원생!$G351),수납!$B:$B,$B$1&amp;"-"&amp;TEXT(2,"00")&amp;"*",수납!$E:$E,"수강료")+SUMIFS(수납!$F:$F,수납!$C:$C,원생!$A351,수납!$D:$D,IF(원생!$G351="","",원생!$G351),수납!$B:$B,$B$1&amp;"-"&amp;TEXT(2,"00")&amp;"*",수납!$E:$E,""))</f>
        <v/>
      </c>
      <c r="E353" s="14">
        <f>IF(원생!$A351="","",SUMIFS(수납!$F:$F,수납!$C:$C,원생!$A351,수납!$D:$D,IF(원생!$G351="","",원생!$G351),수납!$B:$B,$B$1&amp;"-"&amp;TEXT(3,"00")&amp;"*",수납!$E:$E,"수강료")+SUMIFS(수납!$F:$F,수납!$C:$C,원생!$A351,수납!$D:$D,IF(원생!$G351="","",원생!$G351),수납!$B:$B,$B$1&amp;"-"&amp;TEXT(3,"00")&amp;"*",수납!$E:$E,""))</f>
        <v/>
      </c>
      <c r="F353" s="14">
        <f>IF(원생!$A351="","",SUMIFS(수납!$F:$F,수납!$C:$C,원생!$A351,수납!$D:$D,IF(원생!$G351="","",원생!$G351),수납!$B:$B,$B$1&amp;"-"&amp;TEXT(4,"00")&amp;"*",수납!$E:$E,"수강료")+SUMIFS(수납!$F:$F,수납!$C:$C,원생!$A351,수납!$D:$D,IF(원생!$G351="","",원생!$G351),수납!$B:$B,$B$1&amp;"-"&amp;TEXT(4,"00")&amp;"*",수납!$E:$E,""))</f>
        <v/>
      </c>
      <c r="G353" s="14">
        <f>IF(원생!$A351="","",SUMIFS(수납!$F:$F,수납!$C:$C,원생!$A351,수납!$D:$D,IF(원생!$G351="","",원생!$G351),수납!$B:$B,$B$1&amp;"-"&amp;TEXT(5,"00")&amp;"*",수납!$E:$E,"수강료")+SUMIFS(수납!$F:$F,수납!$C:$C,원생!$A351,수납!$D:$D,IF(원생!$G351="","",원생!$G351),수납!$B:$B,$B$1&amp;"-"&amp;TEXT(5,"00")&amp;"*",수납!$E:$E,""))</f>
        <v/>
      </c>
      <c r="H353" s="14">
        <f>IF(원생!$A351="","",SUMIFS(수납!$F:$F,수납!$C:$C,원생!$A351,수납!$D:$D,IF(원생!$G351="","",원생!$G351),수납!$B:$B,$B$1&amp;"-"&amp;TEXT(6,"00")&amp;"*",수납!$E:$E,"수강료")+SUMIFS(수납!$F:$F,수납!$C:$C,원생!$A351,수납!$D:$D,IF(원생!$G351="","",원생!$G351),수납!$B:$B,$B$1&amp;"-"&amp;TEXT(6,"00")&amp;"*",수납!$E:$E,""))</f>
        <v/>
      </c>
      <c r="I353" s="14">
        <f>IF(원생!$A351="","",SUMIFS(수납!$F:$F,수납!$C:$C,원생!$A351,수납!$D:$D,IF(원생!$G351="","",원생!$G351),수납!$B:$B,$B$1&amp;"-"&amp;TEXT(7,"00")&amp;"*",수납!$E:$E,"수강료")+SUMIFS(수납!$F:$F,수납!$C:$C,원생!$A351,수납!$D:$D,IF(원생!$G351="","",원생!$G351),수납!$B:$B,$B$1&amp;"-"&amp;TEXT(7,"00")&amp;"*",수납!$E:$E,""))</f>
        <v/>
      </c>
      <c r="J353" s="14">
        <f>IF(원생!$A351="","",SUMIFS(수납!$F:$F,수납!$C:$C,원생!$A351,수납!$D:$D,IF(원생!$G351="","",원생!$G351),수납!$B:$B,$B$1&amp;"-"&amp;TEXT(8,"00")&amp;"*",수납!$E:$E,"수강료")+SUMIFS(수납!$F:$F,수납!$C:$C,원생!$A351,수납!$D:$D,IF(원생!$G351="","",원생!$G351),수납!$B:$B,$B$1&amp;"-"&amp;TEXT(8,"00")&amp;"*",수납!$E:$E,""))</f>
        <v/>
      </c>
      <c r="K353" s="14">
        <f>IF(원생!$A351="","",SUMIFS(수납!$F:$F,수납!$C:$C,원생!$A351,수납!$D:$D,IF(원생!$G351="","",원생!$G351),수납!$B:$B,$B$1&amp;"-"&amp;TEXT(9,"00")&amp;"*",수납!$E:$E,"수강료")+SUMIFS(수납!$F:$F,수납!$C:$C,원생!$A351,수납!$D:$D,IF(원생!$G351="","",원생!$G351),수납!$B:$B,$B$1&amp;"-"&amp;TEXT(9,"00")&amp;"*",수납!$E:$E,""))</f>
        <v/>
      </c>
      <c r="L353" s="14">
        <f>IF(원생!$A351="","",SUMIFS(수납!$F:$F,수납!$C:$C,원생!$A351,수납!$D:$D,IF(원생!$G351="","",원생!$G351),수납!$B:$B,$B$1&amp;"-"&amp;TEXT(10,"00")&amp;"*",수납!$E:$E,"수강료")+SUMIFS(수납!$F:$F,수납!$C:$C,원생!$A351,수납!$D:$D,IF(원생!$G351="","",원생!$G351),수납!$B:$B,$B$1&amp;"-"&amp;TEXT(10,"00")&amp;"*",수납!$E:$E,""))</f>
        <v/>
      </c>
      <c r="M353" s="14">
        <f>IF(원생!$A351="","",SUMIFS(수납!$F:$F,수납!$C:$C,원생!$A351,수납!$D:$D,IF(원생!$G351="","",원생!$G351),수납!$B:$B,$B$1&amp;"-"&amp;TEXT(11,"00")&amp;"*",수납!$E:$E,"수강료")+SUMIFS(수납!$F:$F,수납!$C:$C,원생!$A351,수납!$D:$D,IF(원생!$G351="","",원생!$G351),수납!$B:$B,$B$1&amp;"-"&amp;TEXT(11,"00")&amp;"*",수납!$E:$E,""))</f>
        <v/>
      </c>
      <c r="N353" s="14">
        <f>IF(원생!$A351="","",SUMIFS(수납!$F:$F,수납!$C:$C,원생!$A351,수납!$D:$D,IF(원생!$G351="","",원생!$G351),수납!$B:$B,$B$1&amp;"-"&amp;TEXT(12,"00")&amp;"*",수납!$E:$E,"수강료")+SUMIFS(수납!$F:$F,수납!$C:$C,원생!$A351,수납!$D:$D,IF(원생!$G351="","",원생!$G351),수납!$B:$B,$B$1&amp;"-"&amp;TEXT(12,"00")&amp;"*",수납!$E:$E,""))</f>
        <v/>
      </c>
      <c r="O353">
        <f>IF(원생!$I351="","",원생!$I351)</f>
        <v/>
      </c>
      <c r="P353">
        <f>IF($A353="","",IF(AND($B353&gt;0,C353&lt;$B353,DATE($B$1,1,1)&lt;=TODAY(),OR($O353="",$O353&gt;=DATE($B$1,1,1)),OR(COUNTIF($C353:C353,"&gt;0")&gt;0,DATE($B$1,1,1)=DATE(YEAR(TODAY()),MONTH(TODAY()),1))),1,0))</f>
        <v/>
      </c>
      <c r="Q353">
        <f>IF($A353="","",IF(AND($B353&gt;0,D353&lt;$B353,DATE($B$1,2,1)&lt;=TODAY(),OR($O353="",$O353&gt;=DATE($B$1,2,1)),OR(COUNTIF($C353:D353,"&gt;0")&gt;0,DATE($B$1,2,1)=DATE(YEAR(TODAY()),MONTH(TODAY()),1))),1,0))</f>
        <v/>
      </c>
      <c r="R353">
        <f>IF($A353="","",IF(AND($B353&gt;0,E353&lt;$B353,DATE($B$1,3,1)&lt;=TODAY(),OR($O353="",$O353&gt;=DATE($B$1,3,1)),OR(COUNTIF($C353:E353,"&gt;0")&gt;0,DATE($B$1,3,1)=DATE(YEAR(TODAY()),MONTH(TODAY()),1))),1,0))</f>
        <v/>
      </c>
      <c r="S353">
        <f>IF($A353="","",IF(AND($B353&gt;0,F353&lt;$B353,DATE($B$1,4,1)&lt;=TODAY(),OR($O353="",$O353&gt;=DATE($B$1,4,1)),OR(COUNTIF($C353:F353,"&gt;0")&gt;0,DATE($B$1,4,1)=DATE(YEAR(TODAY()),MONTH(TODAY()),1))),1,0))</f>
        <v/>
      </c>
      <c r="T353">
        <f>IF($A353="","",IF(AND($B353&gt;0,G353&lt;$B353,DATE($B$1,5,1)&lt;=TODAY(),OR($O353="",$O353&gt;=DATE($B$1,5,1)),OR(COUNTIF($C353:G353,"&gt;0")&gt;0,DATE($B$1,5,1)=DATE(YEAR(TODAY()),MONTH(TODAY()),1))),1,0))</f>
        <v/>
      </c>
      <c r="U353">
        <f>IF($A353="","",IF(AND($B353&gt;0,H353&lt;$B353,DATE($B$1,6,1)&lt;=TODAY(),OR($O353="",$O353&gt;=DATE($B$1,6,1)),OR(COUNTIF($C353:H353,"&gt;0")&gt;0,DATE($B$1,6,1)=DATE(YEAR(TODAY()),MONTH(TODAY()),1))),1,0))</f>
        <v/>
      </c>
      <c r="V353">
        <f>IF($A353="","",IF(AND($B353&gt;0,I353&lt;$B353,DATE($B$1,7,1)&lt;=TODAY(),OR($O353="",$O353&gt;=DATE($B$1,7,1)),OR(COUNTIF($C353:I353,"&gt;0")&gt;0,DATE($B$1,7,1)=DATE(YEAR(TODAY()),MONTH(TODAY()),1))),1,0))</f>
        <v/>
      </c>
      <c r="W353">
        <f>IF($A353="","",IF(AND($B353&gt;0,J353&lt;$B353,DATE($B$1,8,1)&lt;=TODAY(),OR($O353="",$O353&gt;=DATE($B$1,8,1)),OR(COUNTIF($C353:J353,"&gt;0")&gt;0,DATE($B$1,8,1)=DATE(YEAR(TODAY()),MONTH(TODAY()),1))),1,0))</f>
        <v/>
      </c>
      <c r="X353">
        <f>IF($A353="","",IF(AND($B353&gt;0,K353&lt;$B353,DATE($B$1,9,1)&lt;=TODAY(),OR($O353="",$O353&gt;=DATE($B$1,9,1)),OR(COUNTIF($C353:K353,"&gt;0")&gt;0,DATE($B$1,9,1)=DATE(YEAR(TODAY()),MONTH(TODAY()),1))),1,0))</f>
        <v/>
      </c>
      <c r="Y353">
        <f>IF($A353="","",IF(AND($B353&gt;0,L353&lt;$B353,DATE($B$1,10,1)&lt;=TODAY(),OR($O353="",$O353&gt;=DATE($B$1,10,1)),OR(COUNTIF($C353:L353,"&gt;0")&gt;0,DATE($B$1,10,1)=DATE(YEAR(TODAY()),MONTH(TODAY()),1))),1,0))</f>
        <v/>
      </c>
      <c r="Z353">
        <f>IF($A353="","",IF(AND($B353&gt;0,M353&lt;$B353,DATE($B$1,11,1)&lt;=TODAY(),OR($O353="",$O353&gt;=DATE($B$1,11,1)),OR(COUNTIF($C353:M353,"&gt;0")&gt;0,DATE($B$1,11,1)=DATE(YEAR(TODAY()),MONTH(TODAY()),1))),1,0))</f>
        <v/>
      </c>
      <c r="AA353">
        <f>IF($A353="","",IF(AND($B353&gt;0,N353&lt;$B353,DATE($B$1,12,1)&lt;=TODAY(),OR($O353="",$O353&gt;=DATE($B$1,12,1)),OR(COUNTIF($C353:N353,"&gt;0")&gt;0,DATE($B$1,12,1)=DATE(YEAR(TODAY()),MONTH(TODAY()),1))),1,0))</f>
        <v/>
      </c>
    </row>
    <row r="354">
      <c r="A354" s="13">
        <f>IF(원생!$A352="","",원생!$A352&amp;IF(원생!$G352="",""," ("&amp;원생!$G352&amp;")"))</f>
        <v/>
      </c>
      <c r="B354" s="8">
        <f>IF(원생!$A352="","",원생!$F352)</f>
        <v/>
      </c>
      <c r="C354" s="14">
        <f>IF(원생!$A352="","",SUMIFS(수납!$F:$F,수납!$C:$C,원생!$A352,수납!$D:$D,IF(원생!$G352="","",원생!$G352),수납!$B:$B,$B$1&amp;"-"&amp;TEXT(1,"00")&amp;"*",수납!$E:$E,"수강료")+SUMIFS(수납!$F:$F,수납!$C:$C,원생!$A352,수납!$D:$D,IF(원생!$G352="","",원생!$G352),수납!$B:$B,$B$1&amp;"-"&amp;TEXT(1,"00")&amp;"*",수납!$E:$E,""))</f>
        <v/>
      </c>
      <c r="D354" s="14">
        <f>IF(원생!$A352="","",SUMIFS(수납!$F:$F,수납!$C:$C,원생!$A352,수납!$D:$D,IF(원생!$G352="","",원생!$G352),수납!$B:$B,$B$1&amp;"-"&amp;TEXT(2,"00")&amp;"*",수납!$E:$E,"수강료")+SUMIFS(수납!$F:$F,수납!$C:$C,원생!$A352,수납!$D:$D,IF(원생!$G352="","",원생!$G352),수납!$B:$B,$B$1&amp;"-"&amp;TEXT(2,"00")&amp;"*",수납!$E:$E,""))</f>
        <v/>
      </c>
      <c r="E354" s="14">
        <f>IF(원생!$A352="","",SUMIFS(수납!$F:$F,수납!$C:$C,원생!$A352,수납!$D:$D,IF(원생!$G352="","",원생!$G352),수납!$B:$B,$B$1&amp;"-"&amp;TEXT(3,"00")&amp;"*",수납!$E:$E,"수강료")+SUMIFS(수납!$F:$F,수납!$C:$C,원생!$A352,수납!$D:$D,IF(원생!$G352="","",원생!$G352),수납!$B:$B,$B$1&amp;"-"&amp;TEXT(3,"00")&amp;"*",수납!$E:$E,""))</f>
        <v/>
      </c>
      <c r="F354" s="14">
        <f>IF(원생!$A352="","",SUMIFS(수납!$F:$F,수납!$C:$C,원생!$A352,수납!$D:$D,IF(원생!$G352="","",원생!$G352),수납!$B:$B,$B$1&amp;"-"&amp;TEXT(4,"00")&amp;"*",수납!$E:$E,"수강료")+SUMIFS(수납!$F:$F,수납!$C:$C,원생!$A352,수납!$D:$D,IF(원생!$G352="","",원생!$G352),수납!$B:$B,$B$1&amp;"-"&amp;TEXT(4,"00")&amp;"*",수납!$E:$E,""))</f>
        <v/>
      </c>
      <c r="G354" s="14">
        <f>IF(원생!$A352="","",SUMIFS(수납!$F:$F,수납!$C:$C,원생!$A352,수납!$D:$D,IF(원생!$G352="","",원생!$G352),수납!$B:$B,$B$1&amp;"-"&amp;TEXT(5,"00")&amp;"*",수납!$E:$E,"수강료")+SUMIFS(수납!$F:$F,수납!$C:$C,원생!$A352,수납!$D:$D,IF(원생!$G352="","",원생!$G352),수납!$B:$B,$B$1&amp;"-"&amp;TEXT(5,"00")&amp;"*",수납!$E:$E,""))</f>
        <v/>
      </c>
      <c r="H354" s="14">
        <f>IF(원생!$A352="","",SUMIFS(수납!$F:$F,수납!$C:$C,원생!$A352,수납!$D:$D,IF(원생!$G352="","",원생!$G352),수납!$B:$B,$B$1&amp;"-"&amp;TEXT(6,"00")&amp;"*",수납!$E:$E,"수강료")+SUMIFS(수납!$F:$F,수납!$C:$C,원생!$A352,수납!$D:$D,IF(원생!$G352="","",원생!$G352),수납!$B:$B,$B$1&amp;"-"&amp;TEXT(6,"00")&amp;"*",수납!$E:$E,""))</f>
        <v/>
      </c>
      <c r="I354" s="14">
        <f>IF(원생!$A352="","",SUMIFS(수납!$F:$F,수납!$C:$C,원생!$A352,수납!$D:$D,IF(원생!$G352="","",원생!$G352),수납!$B:$B,$B$1&amp;"-"&amp;TEXT(7,"00")&amp;"*",수납!$E:$E,"수강료")+SUMIFS(수납!$F:$F,수납!$C:$C,원생!$A352,수납!$D:$D,IF(원생!$G352="","",원생!$G352),수납!$B:$B,$B$1&amp;"-"&amp;TEXT(7,"00")&amp;"*",수납!$E:$E,""))</f>
        <v/>
      </c>
      <c r="J354" s="14">
        <f>IF(원생!$A352="","",SUMIFS(수납!$F:$F,수납!$C:$C,원생!$A352,수납!$D:$D,IF(원생!$G352="","",원생!$G352),수납!$B:$B,$B$1&amp;"-"&amp;TEXT(8,"00")&amp;"*",수납!$E:$E,"수강료")+SUMIFS(수납!$F:$F,수납!$C:$C,원생!$A352,수납!$D:$D,IF(원생!$G352="","",원생!$G352),수납!$B:$B,$B$1&amp;"-"&amp;TEXT(8,"00")&amp;"*",수납!$E:$E,""))</f>
        <v/>
      </c>
      <c r="K354" s="14">
        <f>IF(원생!$A352="","",SUMIFS(수납!$F:$F,수납!$C:$C,원생!$A352,수납!$D:$D,IF(원생!$G352="","",원생!$G352),수납!$B:$B,$B$1&amp;"-"&amp;TEXT(9,"00")&amp;"*",수납!$E:$E,"수강료")+SUMIFS(수납!$F:$F,수납!$C:$C,원생!$A352,수납!$D:$D,IF(원생!$G352="","",원생!$G352),수납!$B:$B,$B$1&amp;"-"&amp;TEXT(9,"00")&amp;"*",수납!$E:$E,""))</f>
        <v/>
      </c>
      <c r="L354" s="14">
        <f>IF(원생!$A352="","",SUMIFS(수납!$F:$F,수납!$C:$C,원생!$A352,수납!$D:$D,IF(원생!$G352="","",원생!$G352),수납!$B:$B,$B$1&amp;"-"&amp;TEXT(10,"00")&amp;"*",수납!$E:$E,"수강료")+SUMIFS(수납!$F:$F,수납!$C:$C,원생!$A352,수납!$D:$D,IF(원생!$G352="","",원생!$G352),수납!$B:$B,$B$1&amp;"-"&amp;TEXT(10,"00")&amp;"*",수납!$E:$E,""))</f>
        <v/>
      </c>
      <c r="M354" s="14">
        <f>IF(원생!$A352="","",SUMIFS(수납!$F:$F,수납!$C:$C,원생!$A352,수납!$D:$D,IF(원생!$G352="","",원생!$G352),수납!$B:$B,$B$1&amp;"-"&amp;TEXT(11,"00")&amp;"*",수납!$E:$E,"수강료")+SUMIFS(수납!$F:$F,수납!$C:$C,원생!$A352,수납!$D:$D,IF(원생!$G352="","",원생!$G352),수납!$B:$B,$B$1&amp;"-"&amp;TEXT(11,"00")&amp;"*",수납!$E:$E,""))</f>
        <v/>
      </c>
      <c r="N354" s="14">
        <f>IF(원생!$A352="","",SUMIFS(수납!$F:$F,수납!$C:$C,원생!$A352,수납!$D:$D,IF(원생!$G352="","",원생!$G352),수납!$B:$B,$B$1&amp;"-"&amp;TEXT(12,"00")&amp;"*",수납!$E:$E,"수강료")+SUMIFS(수납!$F:$F,수납!$C:$C,원생!$A352,수납!$D:$D,IF(원생!$G352="","",원생!$G352),수납!$B:$B,$B$1&amp;"-"&amp;TEXT(12,"00")&amp;"*",수납!$E:$E,""))</f>
        <v/>
      </c>
      <c r="O354">
        <f>IF(원생!$I352="","",원생!$I352)</f>
        <v/>
      </c>
      <c r="P354">
        <f>IF($A354="","",IF(AND($B354&gt;0,C354&lt;$B354,DATE($B$1,1,1)&lt;=TODAY(),OR($O354="",$O354&gt;=DATE($B$1,1,1)),OR(COUNTIF($C354:C354,"&gt;0")&gt;0,DATE($B$1,1,1)=DATE(YEAR(TODAY()),MONTH(TODAY()),1))),1,0))</f>
        <v/>
      </c>
      <c r="Q354">
        <f>IF($A354="","",IF(AND($B354&gt;0,D354&lt;$B354,DATE($B$1,2,1)&lt;=TODAY(),OR($O354="",$O354&gt;=DATE($B$1,2,1)),OR(COUNTIF($C354:D354,"&gt;0")&gt;0,DATE($B$1,2,1)=DATE(YEAR(TODAY()),MONTH(TODAY()),1))),1,0))</f>
        <v/>
      </c>
      <c r="R354">
        <f>IF($A354="","",IF(AND($B354&gt;0,E354&lt;$B354,DATE($B$1,3,1)&lt;=TODAY(),OR($O354="",$O354&gt;=DATE($B$1,3,1)),OR(COUNTIF($C354:E354,"&gt;0")&gt;0,DATE($B$1,3,1)=DATE(YEAR(TODAY()),MONTH(TODAY()),1))),1,0))</f>
        <v/>
      </c>
      <c r="S354">
        <f>IF($A354="","",IF(AND($B354&gt;0,F354&lt;$B354,DATE($B$1,4,1)&lt;=TODAY(),OR($O354="",$O354&gt;=DATE($B$1,4,1)),OR(COUNTIF($C354:F354,"&gt;0")&gt;0,DATE($B$1,4,1)=DATE(YEAR(TODAY()),MONTH(TODAY()),1))),1,0))</f>
        <v/>
      </c>
      <c r="T354">
        <f>IF($A354="","",IF(AND($B354&gt;0,G354&lt;$B354,DATE($B$1,5,1)&lt;=TODAY(),OR($O354="",$O354&gt;=DATE($B$1,5,1)),OR(COUNTIF($C354:G354,"&gt;0")&gt;0,DATE($B$1,5,1)=DATE(YEAR(TODAY()),MONTH(TODAY()),1))),1,0))</f>
        <v/>
      </c>
      <c r="U354">
        <f>IF($A354="","",IF(AND($B354&gt;0,H354&lt;$B354,DATE($B$1,6,1)&lt;=TODAY(),OR($O354="",$O354&gt;=DATE($B$1,6,1)),OR(COUNTIF($C354:H354,"&gt;0")&gt;0,DATE($B$1,6,1)=DATE(YEAR(TODAY()),MONTH(TODAY()),1))),1,0))</f>
        <v/>
      </c>
      <c r="V354">
        <f>IF($A354="","",IF(AND($B354&gt;0,I354&lt;$B354,DATE($B$1,7,1)&lt;=TODAY(),OR($O354="",$O354&gt;=DATE($B$1,7,1)),OR(COUNTIF($C354:I354,"&gt;0")&gt;0,DATE($B$1,7,1)=DATE(YEAR(TODAY()),MONTH(TODAY()),1))),1,0))</f>
        <v/>
      </c>
      <c r="W354">
        <f>IF($A354="","",IF(AND($B354&gt;0,J354&lt;$B354,DATE($B$1,8,1)&lt;=TODAY(),OR($O354="",$O354&gt;=DATE($B$1,8,1)),OR(COUNTIF($C354:J354,"&gt;0")&gt;0,DATE($B$1,8,1)=DATE(YEAR(TODAY()),MONTH(TODAY()),1))),1,0))</f>
        <v/>
      </c>
      <c r="X354">
        <f>IF($A354="","",IF(AND($B354&gt;0,K354&lt;$B354,DATE($B$1,9,1)&lt;=TODAY(),OR($O354="",$O354&gt;=DATE($B$1,9,1)),OR(COUNTIF($C354:K354,"&gt;0")&gt;0,DATE($B$1,9,1)=DATE(YEAR(TODAY()),MONTH(TODAY()),1))),1,0))</f>
        <v/>
      </c>
      <c r="Y354">
        <f>IF($A354="","",IF(AND($B354&gt;0,L354&lt;$B354,DATE($B$1,10,1)&lt;=TODAY(),OR($O354="",$O354&gt;=DATE($B$1,10,1)),OR(COUNTIF($C354:L354,"&gt;0")&gt;0,DATE($B$1,10,1)=DATE(YEAR(TODAY()),MONTH(TODAY()),1))),1,0))</f>
        <v/>
      </c>
      <c r="Z354">
        <f>IF($A354="","",IF(AND($B354&gt;0,M354&lt;$B354,DATE($B$1,11,1)&lt;=TODAY(),OR($O354="",$O354&gt;=DATE($B$1,11,1)),OR(COUNTIF($C354:M354,"&gt;0")&gt;0,DATE($B$1,11,1)=DATE(YEAR(TODAY()),MONTH(TODAY()),1))),1,0))</f>
        <v/>
      </c>
      <c r="AA354">
        <f>IF($A354="","",IF(AND($B354&gt;0,N354&lt;$B354,DATE($B$1,12,1)&lt;=TODAY(),OR($O354="",$O354&gt;=DATE($B$1,12,1)),OR(COUNTIF($C354:N354,"&gt;0")&gt;0,DATE($B$1,12,1)=DATE(YEAR(TODAY()),MONTH(TODAY()),1))),1,0))</f>
        <v/>
      </c>
    </row>
    <row r="355">
      <c r="A355" s="13">
        <f>IF(원생!$A353="","",원생!$A353&amp;IF(원생!$G353="",""," ("&amp;원생!$G353&amp;")"))</f>
        <v/>
      </c>
      <c r="B355" s="8">
        <f>IF(원생!$A353="","",원생!$F353)</f>
        <v/>
      </c>
      <c r="C355" s="14">
        <f>IF(원생!$A353="","",SUMIFS(수납!$F:$F,수납!$C:$C,원생!$A353,수납!$D:$D,IF(원생!$G353="","",원생!$G353),수납!$B:$B,$B$1&amp;"-"&amp;TEXT(1,"00")&amp;"*",수납!$E:$E,"수강료")+SUMIFS(수납!$F:$F,수납!$C:$C,원생!$A353,수납!$D:$D,IF(원생!$G353="","",원생!$G353),수납!$B:$B,$B$1&amp;"-"&amp;TEXT(1,"00")&amp;"*",수납!$E:$E,""))</f>
        <v/>
      </c>
      <c r="D355" s="14">
        <f>IF(원생!$A353="","",SUMIFS(수납!$F:$F,수납!$C:$C,원생!$A353,수납!$D:$D,IF(원생!$G353="","",원생!$G353),수납!$B:$B,$B$1&amp;"-"&amp;TEXT(2,"00")&amp;"*",수납!$E:$E,"수강료")+SUMIFS(수납!$F:$F,수납!$C:$C,원생!$A353,수납!$D:$D,IF(원생!$G353="","",원생!$G353),수납!$B:$B,$B$1&amp;"-"&amp;TEXT(2,"00")&amp;"*",수납!$E:$E,""))</f>
        <v/>
      </c>
      <c r="E355" s="14">
        <f>IF(원생!$A353="","",SUMIFS(수납!$F:$F,수납!$C:$C,원생!$A353,수납!$D:$D,IF(원생!$G353="","",원생!$G353),수납!$B:$B,$B$1&amp;"-"&amp;TEXT(3,"00")&amp;"*",수납!$E:$E,"수강료")+SUMIFS(수납!$F:$F,수납!$C:$C,원생!$A353,수납!$D:$D,IF(원생!$G353="","",원생!$G353),수납!$B:$B,$B$1&amp;"-"&amp;TEXT(3,"00")&amp;"*",수납!$E:$E,""))</f>
        <v/>
      </c>
      <c r="F355" s="14">
        <f>IF(원생!$A353="","",SUMIFS(수납!$F:$F,수납!$C:$C,원생!$A353,수납!$D:$D,IF(원생!$G353="","",원생!$G353),수납!$B:$B,$B$1&amp;"-"&amp;TEXT(4,"00")&amp;"*",수납!$E:$E,"수강료")+SUMIFS(수납!$F:$F,수납!$C:$C,원생!$A353,수납!$D:$D,IF(원생!$G353="","",원생!$G353),수납!$B:$B,$B$1&amp;"-"&amp;TEXT(4,"00")&amp;"*",수납!$E:$E,""))</f>
        <v/>
      </c>
      <c r="G355" s="14">
        <f>IF(원생!$A353="","",SUMIFS(수납!$F:$F,수납!$C:$C,원생!$A353,수납!$D:$D,IF(원생!$G353="","",원생!$G353),수납!$B:$B,$B$1&amp;"-"&amp;TEXT(5,"00")&amp;"*",수납!$E:$E,"수강료")+SUMIFS(수납!$F:$F,수납!$C:$C,원생!$A353,수납!$D:$D,IF(원생!$G353="","",원생!$G353),수납!$B:$B,$B$1&amp;"-"&amp;TEXT(5,"00")&amp;"*",수납!$E:$E,""))</f>
        <v/>
      </c>
      <c r="H355" s="14">
        <f>IF(원생!$A353="","",SUMIFS(수납!$F:$F,수납!$C:$C,원생!$A353,수납!$D:$D,IF(원생!$G353="","",원생!$G353),수납!$B:$B,$B$1&amp;"-"&amp;TEXT(6,"00")&amp;"*",수납!$E:$E,"수강료")+SUMIFS(수납!$F:$F,수납!$C:$C,원생!$A353,수납!$D:$D,IF(원생!$G353="","",원생!$G353),수납!$B:$B,$B$1&amp;"-"&amp;TEXT(6,"00")&amp;"*",수납!$E:$E,""))</f>
        <v/>
      </c>
      <c r="I355" s="14">
        <f>IF(원생!$A353="","",SUMIFS(수납!$F:$F,수납!$C:$C,원생!$A353,수납!$D:$D,IF(원생!$G353="","",원생!$G353),수납!$B:$B,$B$1&amp;"-"&amp;TEXT(7,"00")&amp;"*",수납!$E:$E,"수강료")+SUMIFS(수납!$F:$F,수납!$C:$C,원생!$A353,수납!$D:$D,IF(원생!$G353="","",원생!$G353),수납!$B:$B,$B$1&amp;"-"&amp;TEXT(7,"00")&amp;"*",수납!$E:$E,""))</f>
        <v/>
      </c>
      <c r="J355" s="14">
        <f>IF(원생!$A353="","",SUMIFS(수납!$F:$F,수납!$C:$C,원생!$A353,수납!$D:$D,IF(원생!$G353="","",원생!$G353),수납!$B:$B,$B$1&amp;"-"&amp;TEXT(8,"00")&amp;"*",수납!$E:$E,"수강료")+SUMIFS(수납!$F:$F,수납!$C:$C,원생!$A353,수납!$D:$D,IF(원생!$G353="","",원생!$G353),수납!$B:$B,$B$1&amp;"-"&amp;TEXT(8,"00")&amp;"*",수납!$E:$E,""))</f>
        <v/>
      </c>
      <c r="K355" s="14">
        <f>IF(원생!$A353="","",SUMIFS(수납!$F:$F,수납!$C:$C,원생!$A353,수납!$D:$D,IF(원생!$G353="","",원생!$G353),수납!$B:$B,$B$1&amp;"-"&amp;TEXT(9,"00")&amp;"*",수납!$E:$E,"수강료")+SUMIFS(수납!$F:$F,수납!$C:$C,원생!$A353,수납!$D:$D,IF(원생!$G353="","",원생!$G353),수납!$B:$B,$B$1&amp;"-"&amp;TEXT(9,"00")&amp;"*",수납!$E:$E,""))</f>
        <v/>
      </c>
      <c r="L355" s="14">
        <f>IF(원생!$A353="","",SUMIFS(수납!$F:$F,수납!$C:$C,원생!$A353,수납!$D:$D,IF(원생!$G353="","",원생!$G353),수납!$B:$B,$B$1&amp;"-"&amp;TEXT(10,"00")&amp;"*",수납!$E:$E,"수강료")+SUMIFS(수납!$F:$F,수납!$C:$C,원생!$A353,수납!$D:$D,IF(원생!$G353="","",원생!$G353),수납!$B:$B,$B$1&amp;"-"&amp;TEXT(10,"00")&amp;"*",수납!$E:$E,""))</f>
        <v/>
      </c>
      <c r="M355" s="14">
        <f>IF(원생!$A353="","",SUMIFS(수납!$F:$F,수납!$C:$C,원생!$A353,수납!$D:$D,IF(원생!$G353="","",원생!$G353),수납!$B:$B,$B$1&amp;"-"&amp;TEXT(11,"00")&amp;"*",수납!$E:$E,"수강료")+SUMIFS(수납!$F:$F,수납!$C:$C,원생!$A353,수납!$D:$D,IF(원생!$G353="","",원생!$G353),수납!$B:$B,$B$1&amp;"-"&amp;TEXT(11,"00")&amp;"*",수납!$E:$E,""))</f>
        <v/>
      </c>
      <c r="N355" s="14">
        <f>IF(원생!$A353="","",SUMIFS(수납!$F:$F,수납!$C:$C,원생!$A353,수납!$D:$D,IF(원생!$G353="","",원생!$G353),수납!$B:$B,$B$1&amp;"-"&amp;TEXT(12,"00")&amp;"*",수납!$E:$E,"수강료")+SUMIFS(수납!$F:$F,수납!$C:$C,원생!$A353,수납!$D:$D,IF(원생!$G353="","",원생!$G353),수납!$B:$B,$B$1&amp;"-"&amp;TEXT(12,"00")&amp;"*",수납!$E:$E,""))</f>
        <v/>
      </c>
      <c r="O355">
        <f>IF(원생!$I353="","",원생!$I353)</f>
        <v/>
      </c>
      <c r="P355">
        <f>IF($A355="","",IF(AND($B355&gt;0,C355&lt;$B355,DATE($B$1,1,1)&lt;=TODAY(),OR($O355="",$O355&gt;=DATE($B$1,1,1)),OR(COUNTIF($C355:C355,"&gt;0")&gt;0,DATE($B$1,1,1)=DATE(YEAR(TODAY()),MONTH(TODAY()),1))),1,0))</f>
        <v/>
      </c>
      <c r="Q355">
        <f>IF($A355="","",IF(AND($B355&gt;0,D355&lt;$B355,DATE($B$1,2,1)&lt;=TODAY(),OR($O355="",$O355&gt;=DATE($B$1,2,1)),OR(COUNTIF($C355:D355,"&gt;0")&gt;0,DATE($B$1,2,1)=DATE(YEAR(TODAY()),MONTH(TODAY()),1))),1,0))</f>
        <v/>
      </c>
      <c r="R355">
        <f>IF($A355="","",IF(AND($B355&gt;0,E355&lt;$B355,DATE($B$1,3,1)&lt;=TODAY(),OR($O355="",$O355&gt;=DATE($B$1,3,1)),OR(COUNTIF($C355:E355,"&gt;0")&gt;0,DATE($B$1,3,1)=DATE(YEAR(TODAY()),MONTH(TODAY()),1))),1,0))</f>
        <v/>
      </c>
      <c r="S355">
        <f>IF($A355="","",IF(AND($B355&gt;0,F355&lt;$B355,DATE($B$1,4,1)&lt;=TODAY(),OR($O355="",$O355&gt;=DATE($B$1,4,1)),OR(COUNTIF($C355:F355,"&gt;0")&gt;0,DATE($B$1,4,1)=DATE(YEAR(TODAY()),MONTH(TODAY()),1))),1,0))</f>
        <v/>
      </c>
      <c r="T355">
        <f>IF($A355="","",IF(AND($B355&gt;0,G355&lt;$B355,DATE($B$1,5,1)&lt;=TODAY(),OR($O355="",$O355&gt;=DATE($B$1,5,1)),OR(COUNTIF($C355:G355,"&gt;0")&gt;0,DATE($B$1,5,1)=DATE(YEAR(TODAY()),MONTH(TODAY()),1))),1,0))</f>
        <v/>
      </c>
      <c r="U355">
        <f>IF($A355="","",IF(AND($B355&gt;0,H355&lt;$B355,DATE($B$1,6,1)&lt;=TODAY(),OR($O355="",$O355&gt;=DATE($B$1,6,1)),OR(COUNTIF($C355:H355,"&gt;0")&gt;0,DATE($B$1,6,1)=DATE(YEAR(TODAY()),MONTH(TODAY()),1))),1,0))</f>
        <v/>
      </c>
      <c r="V355">
        <f>IF($A355="","",IF(AND($B355&gt;0,I355&lt;$B355,DATE($B$1,7,1)&lt;=TODAY(),OR($O355="",$O355&gt;=DATE($B$1,7,1)),OR(COUNTIF($C355:I355,"&gt;0")&gt;0,DATE($B$1,7,1)=DATE(YEAR(TODAY()),MONTH(TODAY()),1))),1,0))</f>
        <v/>
      </c>
      <c r="W355">
        <f>IF($A355="","",IF(AND($B355&gt;0,J355&lt;$B355,DATE($B$1,8,1)&lt;=TODAY(),OR($O355="",$O355&gt;=DATE($B$1,8,1)),OR(COUNTIF($C355:J355,"&gt;0")&gt;0,DATE($B$1,8,1)=DATE(YEAR(TODAY()),MONTH(TODAY()),1))),1,0))</f>
        <v/>
      </c>
      <c r="X355">
        <f>IF($A355="","",IF(AND($B355&gt;0,K355&lt;$B355,DATE($B$1,9,1)&lt;=TODAY(),OR($O355="",$O355&gt;=DATE($B$1,9,1)),OR(COUNTIF($C355:K355,"&gt;0")&gt;0,DATE($B$1,9,1)=DATE(YEAR(TODAY()),MONTH(TODAY()),1))),1,0))</f>
        <v/>
      </c>
      <c r="Y355">
        <f>IF($A355="","",IF(AND($B355&gt;0,L355&lt;$B355,DATE($B$1,10,1)&lt;=TODAY(),OR($O355="",$O355&gt;=DATE($B$1,10,1)),OR(COUNTIF($C355:L355,"&gt;0")&gt;0,DATE($B$1,10,1)=DATE(YEAR(TODAY()),MONTH(TODAY()),1))),1,0))</f>
        <v/>
      </c>
      <c r="Z355">
        <f>IF($A355="","",IF(AND($B355&gt;0,M355&lt;$B355,DATE($B$1,11,1)&lt;=TODAY(),OR($O355="",$O355&gt;=DATE($B$1,11,1)),OR(COUNTIF($C355:M355,"&gt;0")&gt;0,DATE($B$1,11,1)=DATE(YEAR(TODAY()),MONTH(TODAY()),1))),1,0))</f>
        <v/>
      </c>
      <c r="AA355">
        <f>IF($A355="","",IF(AND($B355&gt;0,N355&lt;$B355,DATE($B$1,12,1)&lt;=TODAY(),OR($O355="",$O355&gt;=DATE($B$1,12,1)),OR(COUNTIF($C355:N355,"&gt;0")&gt;0,DATE($B$1,12,1)=DATE(YEAR(TODAY()),MONTH(TODAY()),1))),1,0))</f>
        <v/>
      </c>
    </row>
    <row r="356">
      <c r="A356" s="13">
        <f>IF(원생!$A354="","",원생!$A354&amp;IF(원생!$G354="",""," ("&amp;원생!$G354&amp;")"))</f>
        <v/>
      </c>
      <c r="B356" s="8">
        <f>IF(원생!$A354="","",원생!$F354)</f>
        <v/>
      </c>
      <c r="C356" s="14">
        <f>IF(원생!$A354="","",SUMIFS(수납!$F:$F,수납!$C:$C,원생!$A354,수납!$D:$D,IF(원생!$G354="","",원생!$G354),수납!$B:$B,$B$1&amp;"-"&amp;TEXT(1,"00")&amp;"*",수납!$E:$E,"수강료")+SUMIFS(수납!$F:$F,수납!$C:$C,원생!$A354,수납!$D:$D,IF(원생!$G354="","",원생!$G354),수납!$B:$B,$B$1&amp;"-"&amp;TEXT(1,"00")&amp;"*",수납!$E:$E,""))</f>
        <v/>
      </c>
      <c r="D356" s="14">
        <f>IF(원생!$A354="","",SUMIFS(수납!$F:$F,수납!$C:$C,원생!$A354,수납!$D:$D,IF(원생!$G354="","",원생!$G354),수납!$B:$B,$B$1&amp;"-"&amp;TEXT(2,"00")&amp;"*",수납!$E:$E,"수강료")+SUMIFS(수납!$F:$F,수납!$C:$C,원생!$A354,수납!$D:$D,IF(원생!$G354="","",원생!$G354),수납!$B:$B,$B$1&amp;"-"&amp;TEXT(2,"00")&amp;"*",수납!$E:$E,""))</f>
        <v/>
      </c>
      <c r="E356" s="14">
        <f>IF(원생!$A354="","",SUMIFS(수납!$F:$F,수납!$C:$C,원생!$A354,수납!$D:$D,IF(원생!$G354="","",원생!$G354),수납!$B:$B,$B$1&amp;"-"&amp;TEXT(3,"00")&amp;"*",수납!$E:$E,"수강료")+SUMIFS(수납!$F:$F,수납!$C:$C,원생!$A354,수납!$D:$D,IF(원생!$G354="","",원생!$G354),수납!$B:$B,$B$1&amp;"-"&amp;TEXT(3,"00")&amp;"*",수납!$E:$E,""))</f>
        <v/>
      </c>
      <c r="F356" s="14">
        <f>IF(원생!$A354="","",SUMIFS(수납!$F:$F,수납!$C:$C,원생!$A354,수납!$D:$D,IF(원생!$G354="","",원생!$G354),수납!$B:$B,$B$1&amp;"-"&amp;TEXT(4,"00")&amp;"*",수납!$E:$E,"수강료")+SUMIFS(수납!$F:$F,수납!$C:$C,원생!$A354,수납!$D:$D,IF(원생!$G354="","",원생!$G354),수납!$B:$B,$B$1&amp;"-"&amp;TEXT(4,"00")&amp;"*",수납!$E:$E,""))</f>
        <v/>
      </c>
      <c r="G356" s="14">
        <f>IF(원생!$A354="","",SUMIFS(수납!$F:$F,수납!$C:$C,원생!$A354,수납!$D:$D,IF(원생!$G354="","",원생!$G354),수납!$B:$B,$B$1&amp;"-"&amp;TEXT(5,"00")&amp;"*",수납!$E:$E,"수강료")+SUMIFS(수납!$F:$F,수납!$C:$C,원생!$A354,수납!$D:$D,IF(원생!$G354="","",원생!$G354),수납!$B:$B,$B$1&amp;"-"&amp;TEXT(5,"00")&amp;"*",수납!$E:$E,""))</f>
        <v/>
      </c>
      <c r="H356" s="14">
        <f>IF(원생!$A354="","",SUMIFS(수납!$F:$F,수납!$C:$C,원생!$A354,수납!$D:$D,IF(원생!$G354="","",원생!$G354),수납!$B:$B,$B$1&amp;"-"&amp;TEXT(6,"00")&amp;"*",수납!$E:$E,"수강료")+SUMIFS(수납!$F:$F,수납!$C:$C,원생!$A354,수납!$D:$D,IF(원생!$G354="","",원생!$G354),수납!$B:$B,$B$1&amp;"-"&amp;TEXT(6,"00")&amp;"*",수납!$E:$E,""))</f>
        <v/>
      </c>
      <c r="I356" s="14">
        <f>IF(원생!$A354="","",SUMIFS(수납!$F:$F,수납!$C:$C,원생!$A354,수납!$D:$D,IF(원생!$G354="","",원생!$G354),수납!$B:$B,$B$1&amp;"-"&amp;TEXT(7,"00")&amp;"*",수납!$E:$E,"수강료")+SUMIFS(수납!$F:$F,수납!$C:$C,원생!$A354,수납!$D:$D,IF(원생!$G354="","",원생!$G354),수납!$B:$B,$B$1&amp;"-"&amp;TEXT(7,"00")&amp;"*",수납!$E:$E,""))</f>
        <v/>
      </c>
      <c r="J356" s="14">
        <f>IF(원생!$A354="","",SUMIFS(수납!$F:$F,수납!$C:$C,원생!$A354,수납!$D:$D,IF(원생!$G354="","",원생!$G354),수납!$B:$B,$B$1&amp;"-"&amp;TEXT(8,"00")&amp;"*",수납!$E:$E,"수강료")+SUMIFS(수납!$F:$F,수납!$C:$C,원생!$A354,수납!$D:$D,IF(원생!$G354="","",원생!$G354),수납!$B:$B,$B$1&amp;"-"&amp;TEXT(8,"00")&amp;"*",수납!$E:$E,""))</f>
        <v/>
      </c>
      <c r="K356" s="14">
        <f>IF(원생!$A354="","",SUMIFS(수납!$F:$F,수납!$C:$C,원생!$A354,수납!$D:$D,IF(원생!$G354="","",원생!$G354),수납!$B:$B,$B$1&amp;"-"&amp;TEXT(9,"00")&amp;"*",수납!$E:$E,"수강료")+SUMIFS(수납!$F:$F,수납!$C:$C,원생!$A354,수납!$D:$D,IF(원생!$G354="","",원생!$G354),수납!$B:$B,$B$1&amp;"-"&amp;TEXT(9,"00")&amp;"*",수납!$E:$E,""))</f>
        <v/>
      </c>
      <c r="L356" s="14">
        <f>IF(원생!$A354="","",SUMIFS(수납!$F:$F,수납!$C:$C,원생!$A354,수납!$D:$D,IF(원생!$G354="","",원생!$G354),수납!$B:$B,$B$1&amp;"-"&amp;TEXT(10,"00")&amp;"*",수납!$E:$E,"수강료")+SUMIFS(수납!$F:$F,수납!$C:$C,원생!$A354,수납!$D:$D,IF(원생!$G354="","",원생!$G354),수납!$B:$B,$B$1&amp;"-"&amp;TEXT(10,"00")&amp;"*",수납!$E:$E,""))</f>
        <v/>
      </c>
      <c r="M356" s="14">
        <f>IF(원생!$A354="","",SUMIFS(수납!$F:$F,수납!$C:$C,원생!$A354,수납!$D:$D,IF(원생!$G354="","",원생!$G354),수납!$B:$B,$B$1&amp;"-"&amp;TEXT(11,"00")&amp;"*",수납!$E:$E,"수강료")+SUMIFS(수납!$F:$F,수납!$C:$C,원생!$A354,수납!$D:$D,IF(원생!$G354="","",원생!$G354),수납!$B:$B,$B$1&amp;"-"&amp;TEXT(11,"00")&amp;"*",수납!$E:$E,""))</f>
        <v/>
      </c>
      <c r="N356" s="14">
        <f>IF(원생!$A354="","",SUMIFS(수납!$F:$F,수납!$C:$C,원생!$A354,수납!$D:$D,IF(원생!$G354="","",원생!$G354),수납!$B:$B,$B$1&amp;"-"&amp;TEXT(12,"00")&amp;"*",수납!$E:$E,"수강료")+SUMIFS(수납!$F:$F,수납!$C:$C,원생!$A354,수납!$D:$D,IF(원생!$G354="","",원생!$G354),수납!$B:$B,$B$1&amp;"-"&amp;TEXT(12,"00")&amp;"*",수납!$E:$E,""))</f>
        <v/>
      </c>
      <c r="O356">
        <f>IF(원생!$I354="","",원생!$I354)</f>
        <v/>
      </c>
      <c r="P356">
        <f>IF($A356="","",IF(AND($B356&gt;0,C356&lt;$B356,DATE($B$1,1,1)&lt;=TODAY(),OR($O356="",$O356&gt;=DATE($B$1,1,1)),OR(COUNTIF($C356:C356,"&gt;0")&gt;0,DATE($B$1,1,1)=DATE(YEAR(TODAY()),MONTH(TODAY()),1))),1,0))</f>
        <v/>
      </c>
      <c r="Q356">
        <f>IF($A356="","",IF(AND($B356&gt;0,D356&lt;$B356,DATE($B$1,2,1)&lt;=TODAY(),OR($O356="",$O356&gt;=DATE($B$1,2,1)),OR(COUNTIF($C356:D356,"&gt;0")&gt;0,DATE($B$1,2,1)=DATE(YEAR(TODAY()),MONTH(TODAY()),1))),1,0))</f>
        <v/>
      </c>
      <c r="R356">
        <f>IF($A356="","",IF(AND($B356&gt;0,E356&lt;$B356,DATE($B$1,3,1)&lt;=TODAY(),OR($O356="",$O356&gt;=DATE($B$1,3,1)),OR(COUNTIF($C356:E356,"&gt;0")&gt;0,DATE($B$1,3,1)=DATE(YEAR(TODAY()),MONTH(TODAY()),1))),1,0))</f>
        <v/>
      </c>
      <c r="S356">
        <f>IF($A356="","",IF(AND($B356&gt;0,F356&lt;$B356,DATE($B$1,4,1)&lt;=TODAY(),OR($O356="",$O356&gt;=DATE($B$1,4,1)),OR(COUNTIF($C356:F356,"&gt;0")&gt;0,DATE($B$1,4,1)=DATE(YEAR(TODAY()),MONTH(TODAY()),1))),1,0))</f>
        <v/>
      </c>
      <c r="T356">
        <f>IF($A356="","",IF(AND($B356&gt;0,G356&lt;$B356,DATE($B$1,5,1)&lt;=TODAY(),OR($O356="",$O356&gt;=DATE($B$1,5,1)),OR(COUNTIF($C356:G356,"&gt;0")&gt;0,DATE($B$1,5,1)=DATE(YEAR(TODAY()),MONTH(TODAY()),1))),1,0))</f>
        <v/>
      </c>
      <c r="U356">
        <f>IF($A356="","",IF(AND($B356&gt;0,H356&lt;$B356,DATE($B$1,6,1)&lt;=TODAY(),OR($O356="",$O356&gt;=DATE($B$1,6,1)),OR(COUNTIF($C356:H356,"&gt;0")&gt;0,DATE($B$1,6,1)=DATE(YEAR(TODAY()),MONTH(TODAY()),1))),1,0))</f>
        <v/>
      </c>
      <c r="V356">
        <f>IF($A356="","",IF(AND($B356&gt;0,I356&lt;$B356,DATE($B$1,7,1)&lt;=TODAY(),OR($O356="",$O356&gt;=DATE($B$1,7,1)),OR(COUNTIF($C356:I356,"&gt;0")&gt;0,DATE($B$1,7,1)=DATE(YEAR(TODAY()),MONTH(TODAY()),1))),1,0))</f>
        <v/>
      </c>
      <c r="W356">
        <f>IF($A356="","",IF(AND($B356&gt;0,J356&lt;$B356,DATE($B$1,8,1)&lt;=TODAY(),OR($O356="",$O356&gt;=DATE($B$1,8,1)),OR(COUNTIF($C356:J356,"&gt;0")&gt;0,DATE($B$1,8,1)=DATE(YEAR(TODAY()),MONTH(TODAY()),1))),1,0))</f>
        <v/>
      </c>
      <c r="X356">
        <f>IF($A356="","",IF(AND($B356&gt;0,K356&lt;$B356,DATE($B$1,9,1)&lt;=TODAY(),OR($O356="",$O356&gt;=DATE($B$1,9,1)),OR(COUNTIF($C356:K356,"&gt;0")&gt;0,DATE($B$1,9,1)=DATE(YEAR(TODAY()),MONTH(TODAY()),1))),1,0))</f>
        <v/>
      </c>
      <c r="Y356">
        <f>IF($A356="","",IF(AND($B356&gt;0,L356&lt;$B356,DATE($B$1,10,1)&lt;=TODAY(),OR($O356="",$O356&gt;=DATE($B$1,10,1)),OR(COUNTIF($C356:L356,"&gt;0")&gt;0,DATE($B$1,10,1)=DATE(YEAR(TODAY()),MONTH(TODAY()),1))),1,0))</f>
        <v/>
      </c>
      <c r="Z356">
        <f>IF($A356="","",IF(AND($B356&gt;0,M356&lt;$B356,DATE($B$1,11,1)&lt;=TODAY(),OR($O356="",$O356&gt;=DATE($B$1,11,1)),OR(COUNTIF($C356:M356,"&gt;0")&gt;0,DATE($B$1,11,1)=DATE(YEAR(TODAY()),MONTH(TODAY()),1))),1,0))</f>
        <v/>
      </c>
      <c r="AA356">
        <f>IF($A356="","",IF(AND($B356&gt;0,N356&lt;$B356,DATE($B$1,12,1)&lt;=TODAY(),OR($O356="",$O356&gt;=DATE($B$1,12,1)),OR(COUNTIF($C356:N356,"&gt;0")&gt;0,DATE($B$1,12,1)=DATE(YEAR(TODAY()),MONTH(TODAY()),1))),1,0))</f>
        <v/>
      </c>
    </row>
    <row r="357">
      <c r="A357" s="13">
        <f>IF(원생!$A355="","",원생!$A355&amp;IF(원생!$G355="",""," ("&amp;원생!$G355&amp;")"))</f>
        <v/>
      </c>
      <c r="B357" s="8">
        <f>IF(원생!$A355="","",원생!$F355)</f>
        <v/>
      </c>
      <c r="C357" s="14">
        <f>IF(원생!$A355="","",SUMIFS(수납!$F:$F,수납!$C:$C,원생!$A355,수납!$D:$D,IF(원생!$G355="","",원생!$G355),수납!$B:$B,$B$1&amp;"-"&amp;TEXT(1,"00")&amp;"*",수납!$E:$E,"수강료")+SUMIFS(수납!$F:$F,수납!$C:$C,원생!$A355,수납!$D:$D,IF(원생!$G355="","",원생!$G355),수납!$B:$B,$B$1&amp;"-"&amp;TEXT(1,"00")&amp;"*",수납!$E:$E,""))</f>
        <v/>
      </c>
      <c r="D357" s="14">
        <f>IF(원생!$A355="","",SUMIFS(수납!$F:$F,수납!$C:$C,원생!$A355,수납!$D:$D,IF(원생!$G355="","",원생!$G355),수납!$B:$B,$B$1&amp;"-"&amp;TEXT(2,"00")&amp;"*",수납!$E:$E,"수강료")+SUMIFS(수납!$F:$F,수납!$C:$C,원생!$A355,수납!$D:$D,IF(원생!$G355="","",원생!$G355),수납!$B:$B,$B$1&amp;"-"&amp;TEXT(2,"00")&amp;"*",수납!$E:$E,""))</f>
        <v/>
      </c>
      <c r="E357" s="14">
        <f>IF(원생!$A355="","",SUMIFS(수납!$F:$F,수납!$C:$C,원생!$A355,수납!$D:$D,IF(원생!$G355="","",원생!$G355),수납!$B:$B,$B$1&amp;"-"&amp;TEXT(3,"00")&amp;"*",수납!$E:$E,"수강료")+SUMIFS(수납!$F:$F,수납!$C:$C,원생!$A355,수납!$D:$D,IF(원생!$G355="","",원생!$G355),수납!$B:$B,$B$1&amp;"-"&amp;TEXT(3,"00")&amp;"*",수납!$E:$E,""))</f>
        <v/>
      </c>
      <c r="F357" s="14">
        <f>IF(원생!$A355="","",SUMIFS(수납!$F:$F,수납!$C:$C,원생!$A355,수납!$D:$D,IF(원생!$G355="","",원생!$G355),수납!$B:$B,$B$1&amp;"-"&amp;TEXT(4,"00")&amp;"*",수납!$E:$E,"수강료")+SUMIFS(수납!$F:$F,수납!$C:$C,원생!$A355,수납!$D:$D,IF(원생!$G355="","",원생!$G355),수납!$B:$B,$B$1&amp;"-"&amp;TEXT(4,"00")&amp;"*",수납!$E:$E,""))</f>
        <v/>
      </c>
      <c r="G357" s="14">
        <f>IF(원생!$A355="","",SUMIFS(수납!$F:$F,수납!$C:$C,원생!$A355,수납!$D:$D,IF(원생!$G355="","",원생!$G355),수납!$B:$B,$B$1&amp;"-"&amp;TEXT(5,"00")&amp;"*",수납!$E:$E,"수강료")+SUMIFS(수납!$F:$F,수납!$C:$C,원생!$A355,수납!$D:$D,IF(원생!$G355="","",원생!$G355),수납!$B:$B,$B$1&amp;"-"&amp;TEXT(5,"00")&amp;"*",수납!$E:$E,""))</f>
        <v/>
      </c>
      <c r="H357" s="14">
        <f>IF(원생!$A355="","",SUMIFS(수납!$F:$F,수납!$C:$C,원생!$A355,수납!$D:$D,IF(원생!$G355="","",원생!$G355),수납!$B:$B,$B$1&amp;"-"&amp;TEXT(6,"00")&amp;"*",수납!$E:$E,"수강료")+SUMIFS(수납!$F:$F,수납!$C:$C,원생!$A355,수납!$D:$D,IF(원생!$G355="","",원생!$G355),수납!$B:$B,$B$1&amp;"-"&amp;TEXT(6,"00")&amp;"*",수납!$E:$E,""))</f>
        <v/>
      </c>
      <c r="I357" s="14">
        <f>IF(원생!$A355="","",SUMIFS(수납!$F:$F,수납!$C:$C,원생!$A355,수납!$D:$D,IF(원생!$G355="","",원생!$G355),수납!$B:$B,$B$1&amp;"-"&amp;TEXT(7,"00")&amp;"*",수납!$E:$E,"수강료")+SUMIFS(수납!$F:$F,수납!$C:$C,원생!$A355,수납!$D:$D,IF(원생!$G355="","",원생!$G355),수납!$B:$B,$B$1&amp;"-"&amp;TEXT(7,"00")&amp;"*",수납!$E:$E,""))</f>
        <v/>
      </c>
      <c r="J357" s="14">
        <f>IF(원생!$A355="","",SUMIFS(수납!$F:$F,수납!$C:$C,원생!$A355,수납!$D:$D,IF(원생!$G355="","",원생!$G355),수납!$B:$B,$B$1&amp;"-"&amp;TEXT(8,"00")&amp;"*",수납!$E:$E,"수강료")+SUMIFS(수납!$F:$F,수납!$C:$C,원생!$A355,수납!$D:$D,IF(원생!$G355="","",원생!$G355),수납!$B:$B,$B$1&amp;"-"&amp;TEXT(8,"00")&amp;"*",수납!$E:$E,""))</f>
        <v/>
      </c>
      <c r="K357" s="14">
        <f>IF(원생!$A355="","",SUMIFS(수납!$F:$F,수납!$C:$C,원생!$A355,수납!$D:$D,IF(원생!$G355="","",원생!$G355),수납!$B:$B,$B$1&amp;"-"&amp;TEXT(9,"00")&amp;"*",수납!$E:$E,"수강료")+SUMIFS(수납!$F:$F,수납!$C:$C,원생!$A355,수납!$D:$D,IF(원생!$G355="","",원생!$G355),수납!$B:$B,$B$1&amp;"-"&amp;TEXT(9,"00")&amp;"*",수납!$E:$E,""))</f>
        <v/>
      </c>
      <c r="L357" s="14">
        <f>IF(원생!$A355="","",SUMIFS(수납!$F:$F,수납!$C:$C,원생!$A355,수납!$D:$D,IF(원생!$G355="","",원생!$G355),수납!$B:$B,$B$1&amp;"-"&amp;TEXT(10,"00")&amp;"*",수납!$E:$E,"수강료")+SUMIFS(수납!$F:$F,수납!$C:$C,원생!$A355,수납!$D:$D,IF(원생!$G355="","",원생!$G355),수납!$B:$B,$B$1&amp;"-"&amp;TEXT(10,"00")&amp;"*",수납!$E:$E,""))</f>
        <v/>
      </c>
      <c r="M357" s="14">
        <f>IF(원생!$A355="","",SUMIFS(수납!$F:$F,수납!$C:$C,원생!$A355,수납!$D:$D,IF(원생!$G355="","",원생!$G355),수납!$B:$B,$B$1&amp;"-"&amp;TEXT(11,"00")&amp;"*",수납!$E:$E,"수강료")+SUMIFS(수납!$F:$F,수납!$C:$C,원생!$A355,수납!$D:$D,IF(원생!$G355="","",원생!$G355),수납!$B:$B,$B$1&amp;"-"&amp;TEXT(11,"00")&amp;"*",수납!$E:$E,""))</f>
        <v/>
      </c>
      <c r="N357" s="14">
        <f>IF(원생!$A355="","",SUMIFS(수납!$F:$F,수납!$C:$C,원생!$A355,수납!$D:$D,IF(원생!$G355="","",원생!$G355),수납!$B:$B,$B$1&amp;"-"&amp;TEXT(12,"00")&amp;"*",수납!$E:$E,"수강료")+SUMIFS(수납!$F:$F,수납!$C:$C,원생!$A355,수납!$D:$D,IF(원생!$G355="","",원생!$G355),수납!$B:$B,$B$1&amp;"-"&amp;TEXT(12,"00")&amp;"*",수납!$E:$E,""))</f>
        <v/>
      </c>
      <c r="O357">
        <f>IF(원생!$I355="","",원생!$I355)</f>
        <v/>
      </c>
      <c r="P357">
        <f>IF($A357="","",IF(AND($B357&gt;0,C357&lt;$B357,DATE($B$1,1,1)&lt;=TODAY(),OR($O357="",$O357&gt;=DATE($B$1,1,1)),OR(COUNTIF($C357:C357,"&gt;0")&gt;0,DATE($B$1,1,1)=DATE(YEAR(TODAY()),MONTH(TODAY()),1))),1,0))</f>
        <v/>
      </c>
      <c r="Q357">
        <f>IF($A357="","",IF(AND($B357&gt;0,D357&lt;$B357,DATE($B$1,2,1)&lt;=TODAY(),OR($O357="",$O357&gt;=DATE($B$1,2,1)),OR(COUNTIF($C357:D357,"&gt;0")&gt;0,DATE($B$1,2,1)=DATE(YEAR(TODAY()),MONTH(TODAY()),1))),1,0))</f>
        <v/>
      </c>
      <c r="R357">
        <f>IF($A357="","",IF(AND($B357&gt;0,E357&lt;$B357,DATE($B$1,3,1)&lt;=TODAY(),OR($O357="",$O357&gt;=DATE($B$1,3,1)),OR(COUNTIF($C357:E357,"&gt;0")&gt;0,DATE($B$1,3,1)=DATE(YEAR(TODAY()),MONTH(TODAY()),1))),1,0))</f>
        <v/>
      </c>
      <c r="S357">
        <f>IF($A357="","",IF(AND($B357&gt;0,F357&lt;$B357,DATE($B$1,4,1)&lt;=TODAY(),OR($O357="",$O357&gt;=DATE($B$1,4,1)),OR(COUNTIF($C357:F357,"&gt;0")&gt;0,DATE($B$1,4,1)=DATE(YEAR(TODAY()),MONTH(TODAY()),1))),1,0))</f>
        <v/>
      </c>
      <c r="T357">
        <f>IF($A357="","",IF(AND($B357&gt;0,G357&lt;$B357,DATE($B$1,5,1)&lt;=TODAY(),OR($O357="",$O357&gt;=DATE($B$1,5,1)),OR(COUNTIF($C357:G357,"&gt;0")&gt;0,DATE($B$1,5,1)=DATE(YEAR(TODAY()),MONTH(TODAY()),1))),1,0))</f>
        <v/>
      </c>
      <c r="U357">
        <f>IF($A357="","",IF(AND($B357&gt;0,H357&lt;$B357,DATE($B$1,6,1)&lt;=TODAY(),OR($O357="",$O357&gt;=DATE($B$1,6,1)),OR(COUNTIF($C357:H357,"&gt;0")&gt;0,DATE($B$1,6,1)=DATE(YEAR(TODAY()),MONTH(TODAY()),1))),1,0))</f>
        <v/>
      </c>
      <c r="V357">
        <f>IF($A357="","",IF(AND($B357&gt;0,I357&lt;$B357,DATE($B$1,7,1)&lt;=TODAY(),OR($O357="",$O357&gt;=DATE($B$1,7,1)),OR(COUNTIF($C357:I357,"&gt;0")&gt;0,DATE($B$1,7,1)=DATE(YEAR(TODAY()),MONTH(TODAY()),1))),1,0))</f>
        <v/>
      </c>
      <c r="W357">
        <f>IF($A357="","",IF(AND($B357&gt;0,J357&lt;$B357,DATE($B$1,8,1)&lt;=TODAY(),OR($O357="",$O357&gt;=DATE($B$1,8,1)),OR(COUNTIF($C357:J357,"&gt;0")&gt;0,DATE($B$1,8,1)=DATE(YEAR(TODAY()),MONTH(TODAY()),1))),1,0))</f>
        <v/>
      </c>
      <c r="X357">
        <f>IF($A357="","",IF(AND($B357&gt;0,K357&lt;$B357,DATE($B$1,9,1)&lt;=TODAY(),OR($O357="",$O357&gt;=DATE($B$1,9,1)),OR(COUNTIF($C357:K357,"&gt;0")&gt;0,DATE($B$1,9,1)=DATE(YEAR(TODAY()),MONTH(TODAY()),1))),1,0))</f>
        <v/>
      </c>
      <c r="Y357">
        <f>IF($A357="","",IF(AND($B357&gt;0,L357&lt;$B357,DATE($B$1,10,1)&lt;=TODAY(),OR($O357="",$O357&gt;=DATE($B$1,10,1)),OR(COUNTIF($C357:L357,"&gt;0")&gt;0,DATE($B$1,10,1)=DATE(YEAR(TODAY()),MONTH(TODAY()),1))),1,0))</f>
        <v/>
      </c>
      <c r="Z357">
        <f>IF($A357="","",IF(AND($B357&gt;0,M357&lt;$B357,DATE($B$1,11,1)&lt;=TODAY(),OR($O357="",$O357&gt;=DATE($B$1,11,1)),OR(COUNTIF($C357:M357,"&gt;0")&gt;0,DATE($B$1,11,1)=DATE(YEAR(TODAY()),MONTH(TODAY()),1))),1,0))</f>
        <v/>
      </c>
      <c r="AA357">
        <f>IF($A357="","",IF(AND($B357&gt;0,N357&lt;$B357,DATE($B$1,12,1)&lt;=TODAY(),OR($O357="",$O357&gt;=DATE($B$1,12,1)),OR(COUNTIF($C357:N357,"&gt;0")&gt;0,DATE($B$1,12,1)=DATE(YEAR(TODAY()),MONTH(TODAY()),1))),1,0))</f>
        <v/>
      </c>
    </row>
    <row r="358">
      <c r="A358" s="13">
        <f>IF(원생!$A356="","",원생!$A356&amp;IF(원생!$G356="",""," ("&amp;원생!$G356&amp;")"))</f>
        <v/>
      </c>
      <c r="B358" s="8">
        <f>IF(원생!$A356="","",원생!$F356)</f>
        <v/>
      </c>
      <c r="C358" s="14">
        <f>IF(원생!$A356="","",SUMIFS(수납!$F:$F,수납!$C:$C,원생!$A356,수납!$D:$D,IF(원생!$G356="","",원생!$G356),수납!$B:$B,$B$1&amp;"-"&amp;TEXT(1,"00")&amp;"*",수납!$E:$E,"수강료")+SUMIFS(수납!$F:$F,수납!$C:$C,원생!$A356,수납!$D:$D,IF(원생!$G356="","",원생!$G356),수납!$B:$B,$B$1&amp;"-"&amp;TEXT(1,"00")&amp;"*",수납!$E:$E,""))</f>
        <v/>
      </c>
      <c r="D358" s="14">
        <f>IF(원생!$A356="","",SUMIFS(수납!$F:$F,수납!$C:$C,원생!$A356,수납!$D:$D,IF(원생!$G356="","",원생!$G356),수납!$B:$B,$B$1&amp;"-"&amp;TEXT(2,"00")&amp;"*",수납!$E:$E,"수강료")+SUMIFS(수납!$F:$F,수납!$C:$C,원생!$A356,수납!$D:$D,IF(원생!$G356="","",원생!$G356),수납!$B:$B,$B$1&amp;"-"&amp;TEXT(2,"00")&amp;"*",수납!$E:$E,""))</f>
        <v/>
      </c>
      <c r="E358" s="14">
        <f>IF(원생!$A356="","",SUMIFS(수납!$F:$F,수납!$C:$C,원생!$A356,수납!$D:$D,IF(원생!$G356="","",원생!$G356),수납!$B:$B,$B$1&amp;"-"&amp;TEXT(3,"00")&amp;"*",수납!$E:$E,"수강료")+SUMIFS(수납!$F:$F,수납!$C:$C,원생!$A356,수납!$D:$D,IF(원생!$G356="","",원생!$G356),수납!$B:$B,$B$1&amp;"-"&amp;TEXT(3,"00")&amp;"*",수납!$E:$E,""))</f>
        <v/>
      </c>
      <c r="F358" s="14">
        <f>IF(원생!$A356="","",SUMIFS(수납!$F:$F,수납!$C:$C,원생!$A356,수납!$D:$D,IF(원생!$G356="","",원생!$G356),수납!$B:$B,$B$1&amp;"-"&amp;TEXT(4,"00")&amp;"*",수납!$E:$E,"수강료")+SUMIFS(수납!$F:$F,수납!$C:$C,원생!$A356,수납!$D:$D,IF(원생!$G356="","",원생!$G356),수납!$B:$B,$B$1&amp;"-"&amp;TEXT(4,"00")&amp;"*",수납!$E:$E,""))</f>
        <v/>
      </c>
      <c r="G358" s="14">
        <f>IF(원생!$A356="","",SUMIFS(수납!$F:$F,수납!$C:$C,원생!$A356,수납!$D:$D,IF(원생!$G356="","",원생!$G356),수납!$B:$B,$B$1&amp;"-"&amp;TEXT(5,"00")&amp;"*",수납!$E:$E,"수강료")+SUMIFS(수납!$F:$F,수납!$C:$C,원생!$A356,수납!$D:$D,IF(원생!$G356="","",원생!$G356),수납!$B:$B,$B$1&amp;"-"&amp;TEXT(5,"00")&amp;"*",수납!$E:$E,""))</f>
        <v/>
      </c>
      <c r="H358" s="14">
        <f>IF(원생!$A356="","",SUMIFS(수납!$F:$F,수납!$C:$C,원생!$A356,수납!$D:$D,IF(원생!$G356="","",원생!$G356),수납!$B:$B,$B$1&amp;"-"&amp;TEXT(6,"00")&amp;"*",수납!$E:$E,"수강료")+SUMIFS(수납!$F:$F,수납!$C:$C,원생!$A356,수납!$D:$D,IF(원생!$G356="","",원생!$G356),수납!$B:$B,$B$1&amp;"-"&amp;TEXT(6,"00")&amp;"*",수납!$E:$E,""))</f>
        <v/>
      </c>
      <c r="I358" s="14">
        <f>IF(원생!$A356="","",SUMIFS(수납!$F:$F,수납!$C:$C,원생!$A356,수납!$D:$D,IF(원생!$G356="","",원생!$G356),수납!$B:$B,$B$1&amp;"-"&amp;TEXT(7,"00")&amp;"*",수납!$E:$E,"수강료")+SUMIFS(수납!$F:$F,수납!$C:$C,원생!$A356,수납!$D:$D,IF(원생!$G356="","",원생!$G356),수납!$B:$B,$B$1&amp;"-"&amp;TEXT(7,"00")&amp;"*",수납!$E:$E,""))</f>
        <v/>
      </c>
      <c r="J358" s="14">
        <f>IF(원생!$A356="","",SUMIFS(수납!$F:$F,수납!$C:$C,원생!$A356,수납!$D:$D,IF(원생!$G356="","",원생!$G356),수납!$B:$B,$B$1&amp;"-"&amp;TEXT(8,"00")&amp;"*",수납!$E:$E,"수강료")+SUMIFS(수납!$F:$F,수납!$C:$C,원생!$A356,수납!$D:$D,IF(원생!$G356="","",원생!$G356),수납!$B:$B,$B$1&amp;"-"&amp;TEXT(8,"00")&amp;"*",수납!$E:$E,""))</f>
        <v/>
      </c>
      <c r="K358" s="14">
        <f>IF(원생!$A356="","",SUMIFS(수납!$F:$F,수납!$C:$C,원생!$A356,수납!$D:$D,IF(원생!$G356="","",원생!$G356),수납!$B:$B,$B$1&amp;"-"&amp;TEXT(9,"00")&amp;"*",수납!$E:$E,"수강료")+SUMIFS(수납!$F:$F,수납!$C:$C,원생!$A356,수납!$D:$D,IF(원생!$G356="","",원생!$G356),수납!$B:$B,$B$1&amp;"-"&amp;TEXT(9,"00")&amp;"*",수납!$E:$E,""))</f>
        <v/>
      </c>
      <c r="L358" s="14">
        <f>IF(원생!$A356="","",SUMIFS(수납!$F:$F,수납!$C:$C,원생!$A356,수납!$D:$D,IF(원생!$G356="","",원생!$G356),수납!$B:$B,$B$1&amp;"-"&amp;TEXT(10,"00")&amp;"*",수납!$E:$E,"수강료")+SUMIFS(수납!$F:$F,수납!$C:$C,원생!$A356,수납!$D:$D,IF(원생!$G356="","",원생!$G356),수납!$B:$B,$B$1&amp;"-"&amp;TEXT(10,"00")&amp;"*",수납!$E:$E,""))</f>
        <v/>
      </c>
      <c r="M358" s="14">
        <f>IF(원생!$A356="","",SUMIFS(수납!$F:$F,수납!$C:$C,원생!$A356,수납!$D:$D,IF(원생!$G356="","",원생!$G356),수납!$B:$B,$B$1&amp;"-"&amp;TEXT(11,"00")&amp;"*",수납!$E:$E,"수강료")+SUMIFS(수납!$F:$F,수납!$C:$C,원생!$A356,수납!$D:$D,IF(원생!$G356="","",원생!$G356),수납!$B:$B,$B$1&amp;"-"&amp;TEXT(11,"00")&amp;"*",수납!$E:$E,""))</f>
        <v/>
      </c>
      <c r="N358" s="14">
        <f>IF(원생!$A356="","",SUMIFS(수납!$F:$F,수납!$C:$C,원생!$A356,수납!$D:$D,IF(원생!$G356="","",원생!$G356),수납!$B:$B,$B$1&amp;"-"&amp;TEXT(12,"00")&amp;"*",수납!$E:$E,"수강료")+SUMIFS(수납!$F:$F,수납!$C:$C,원생!$A356,수납!$D:$D,IF(원생!$G356="","",원생!$G356),수납!$B:$B,$B$1&amp;"-"&amp;TEXT(12,"00")&amp;"*",수납!$E:$E,""))</f>
        <v/>
      </c>
      <c r="O358">
        <f>IF(원생!$I356="","",원생!$I356)</f>
        <v/>
      </c>
      <c r="P358">
        <f>IF($A358="","",IF(AND($B358&gt;0,C358&lt;$B358,DATE($B$1,1,1)&lt;=TODAY(),OR($O358="",$O358&gt;=DATE($B$1,1,1)),OR(COUNTIF($C358:C358,"&gt;0")&gt;0,DATE($B$1,1,1)=DATE(YEAR(TODAY()),MONTH(TODAY()),1))),1,0))</f>
        <v/>
      </c>
      <c r="Q358">
        <f>IF($A358="","",IF(AND($B358&gt;0,D358&lt;$B358,DATE($B$1,2,1)&lt;=TODAY(),OR($O358="",$O358&gt;=DATE($B$1,2,1)),OR(COUNTIF($C358:D358,"&gt;0")&gt;0,DATE($B$1,2,1)=DATE(YEAR(TODAY()),MONTH(TODAY()),1))),1,0))</f>
        <v/>
      </c>
      <c r="R358">
        <f>IF($A358="","",IF(AND($B358&gt;0,E358&lt;$B358,DATE($B$1,3,1)&lt;=TODAY(),OR($O358="",$O358&gt;=DATE($B$1,3,1)),OR(COUNTIF($C358:E358,"&gt;0")&gt;0,DATE($B$1,3,1)=DATE(YEAR(TODAY()),MONTH(TODAY()),1))),1,0))</f>
        <v/>
      </c>
      <c r="S358">
        <f>IF($A358="","",IF(AND($B358&gt;0,F358&lt;$B358,DATE($B$1,4,1)&lt;=TODAY(),OR($O358="",$O358&gt;=DATE($B$1,4,1)),OR(COUNTIF($C358:F358,"&gt;0")&gt;0,DATE($B$1,4,1)=DATE(YEAR(TODAY()),MONTH(TODAY()),1))),1,0))</f>
        <v/>
      </c>
      <c r="T358">
        <f>IF($A358="","",IF(AND($B358&gt;0,G358&lt;$B358,DATE($B$1,5,1)&lt;=TODAY(),OR($O358="",$O358&gt;=DATE($B$1,5,1)),OR(COUNTIF($C358:G358,"&gt;0")&gt;0,DATE($B$1,5,1)=DATE(YEAR(TODAY()),MONTH(TODAY()),1))),1,0))</f>
        <v/>
      </c>
      <c r="U358">
        <f>IF($A358="","",IF(AND($B358&gt;0,H358&lt;$B358,DATE($B$1,6,1)&lt;=TODAY(),OR($O358="",$O358&gt;=DATE($B$1,6,1)),OR(COUNTIF($C358:H358,"&gt;0")&gt;0,DATE($B$1,6,1)=DATE(YEAR(TODAY()),MONTH(TODAY()),1))),1,0))</f>
        <v/>
      </c>
      <c r="V358">
        <f>IF($A358="","",IF(AND($B358&gt;0,I358&lt;$B358,DATE($B$1,7,1)&lt;=TODAY(),OR($O358="",$O358&gt;=DATE($B$1,7,1)),OR(COUNTIF($C358:I358,"&gt;0")&gt;0,DATE($B$1,7,1)=DATE(YEAR(TODAY()),MONTH(TODAY()),1))),1,0))</f>
        <v/>
      </c>
      <c r="W358">
        <f>IF($A358="","",IF(AND($B358&gt;0,J358&lt;$B358,DATE($B$1,8,1)&lt;=TODAY(),OR($O358="",$O358&gt;=DATE($B$1,8,1)),OR(COUNTIF($C358:J358,"&gt;0")&gt;0,DATE($B$1,8,1)=DATE(YEAR(TODAY()),MONTH(TODAY()),1))),1,0))</f>
        <v/>
      </c>
      <c r="X358">
        <f>IF($A358="","",IF(AND($B358&gt;0,K358&lt;$B358,DATE($B$1,9,1)&lt;=TODAY(),OR($O358="",$O358&gt;=DATE($B$1,9,1)),OR(COUNTIF($C358:K358,"&gt;0")&gt;0,DATE($B$1,9,1)=DATE(YEAR(TODAY()),MONTH(TODAY()),1))),1,0))</f>
        <v/>
      </c>
      <c r="Y358">
        <f>IF($A358="","",IF(AND($B358&gt;0,L358&lt;$B358,DATE($B$1,10,1)&lt;=TODAY(),OR($O358="",$O358&gt;=DATE($B$1,10,1)),OR(COUNTIF($C358:L358,"&gt;0")&gt;0,DATE($B$1,10,1)=DATE(YEAR(TODAY()),MONTH(TODAY()),1))),1,0))</f>
        <v/>
      </c>
      <c r="Z358">
        <f>IF($A358="","",IF(AND($B358&gt;0,M358&lt;$B358,DATE($B$1,11,1)&lt;=TODAY(),OR($O358="",$O358&gt;=DATE($B$1,11,1)),OR(COUNTIF($C358:M358,"&gt;0")&gt;0,DATE($B$1,11,1)=DATE(YEAR(TODAY()),MONTH(TODAY()),1))),1,0))</f>
        <v/>
      </c>
      <c r="AA358">
        <f>IF($A358="","",IF(AND($B358&gt;0,N358&lt;$B358,DATE($B$1,12,1)&lt;=TODAY(),OR($O358="",$O358&gt;=DATE($B$1,12,1)),OR(COUNTIF($C358:N358,"&gt;0")&gt;0,DATE($B$1,12,1)=DATE(YEAR(TODAY()),MONTH(TODAY()),1))),1,0))</f>
        <v/>
      </c>
    </row>
    <row r="359">
      <c r="A359" s="13">
        <f>IF(원생!$A357="","",원생!$A357&amp;IF(원생!$G357="",""," ("&amp;원생!$G357&amp;")"))</f>
        <v/>
      </c>
      <c r="B359" s="8">
        <f>IF(원생!$A357="","",원생!$F357)</f>
        <v/>
      </c>
      <c r="C359" s="14">
        <f>IF(원생!$A357="","",SUMIFS(수납!$F:$F,수납!$C:$C,원생!$A357,수납!$D:$D,IF(원생!$G357="","",원생!$G357),수납!$B:$B,$B$1&amp;"-"&amp;TEXT(1,"00")&amp;"*",수납!$E:$E,"수강료")+SUMIFS(수납!$F:$F,수납!$C:$C,원생!$A357,수납!$D:$D,IF(원생!$G357="","",원생!$G357),수납!$B:$B,$B$1&amp;"-"&amp;TEXT(1,"00")&amp;"*",수납!$E:$E,""))</f>
        <v/>
      </c>
      <c r="D359" s="14">
        <f>IF(원생!$A357="","",SUMIFS(수납!$F:$F,수납!$C:$C,원생!$A357,수납!$D:$D,IF(원생!$G357="","",원생!$G357),수납!$B:$B,$B$1&amp;"-"&amp;TEXT(2,"00")&amp;"*",수납!$E:$E,"수강료")+SUMIFS(수납!$F:$F,수납!$C:$C,원생!$A357,수납!$D:$D,IF(원생!$G357="","",원생!$G357),수납!$B:$B,$B$1&amp;"-"&amp;TEXT(2,"00")&amp;"*",수납!$E:$E,""))</f>
        <v/>
      </c>
      <c r="E359" s="14">
        <f>IF(원생!$A357="","",SUMIFS(수납!$F:$F,수납!$C:$C,원생!$A357,수납!$D:$D,IF(원생!$G357="","",원생!$G357),수납!$B:$B,$B$1&amp;"-"&amp;TEXT(3,"00")&amp;"*",수납!$E:$E,"수강료")+SUMIFS(수납!$F:$F,수납!$C:$C,원생!$A357,수납!$D:$D,IF(원생!$G357="","",원생!$G357),수납!$B:$B,$B$1&amp;"-"&amp;TEXT(3,"00")&amp;"*",수납!$E:$E,""))</f>
        <v/>
      </c>
      <c r="F359" s="14">
        <f>IF(원생!$A357="","",SUMIFS(수납!$F:$F,수납!$C:$C,원생!$A357,수납!$D:$D,IF(원생!$G357="","",원생!$G357),수납!$B:$B,$B$1&amp;"-"&amp;TEXT(4,"00")&amp;"*",수납!$E:$E,"수강료")+SUMIFS(수납!$F:$F,수납!$C:$C,원생!$A357,수납!$D:$D,IF(원생!$G357="","",원생!$G357),수납!$B:$B,$B$1&amp;"-"&amp;TEXT(4,"00")&amp;"*",수납!$E:$E,""))</f>
        <v/>
      </c>
      <c r="G359" s="14">
        <f>IF(원생!$A357="","",SUMIFS(수납!$F:$F,수납!$C:$C,원생!$A357,수납!$D:$D,IF(원생!$G357="","",원생!$G357),수납!$B:$B,$B$1&amp;"-"&amp;TEXT(5,"00")&amp;"*",수납!$E:$E,"수강료")+SUMIFS(수납!$F:$F,수납!$C:$C,원생!$A357,수납!$D:$D,IF(원생!$G357="","",원생!$G357),수납!$B:$B,$B$1&amp;"-"&amp;TEXT(5,"00")&amp;"*",수납!$E:$E,""))</f>
        <v/>
      </c>
      <c r="H359" s="14">
        <f>IF(원생!$A357="","",SUMIFS(수납!$F:$F,수납!$C:$C,원생!$A357,수납!$D:$D,IF(원생!$G357="","",원생!$G357),수납!$B:$B,$B$1&amp;"-"&amp;TEXT(6,"00")&amp;"*",수납!$E:$E,"수강료")+SUMIFS(수납!$F:$F,수납!$C:$C,원생!$A357,수납!$D:$D,IF(원생!$G357="","",원생!$G357),수납!$B:$B,$B$1&amp;"-"&amp;TEXT(6,"00")&amp;"*",수납!$E:$E,""))</f>
        <v/>
      </c>
      <c r="I359" s="14">
        <f>IF(원생!$A357="","",SUMIFS(수납!$F:$F,수납!$C:$C,원생!$A357,수납!$D:$D,IF(원생!$G357="","",원생!$G357),수납!$B:$B,$B$1&amp;"-"&amp;TEXT(7,"00")&amp;"*",수납!$E:$E,"수강료")+SUMIFS(수납!$F:$F,수납!$C:$C,원생!$A357,수납!$D:$D,IF(원생!$G357="","",원생!$G357),수납!$B:$B,$B$1&amp;"-"&amp;TEXT(7,"00")&amp;"*",수납!$E:$E,""))</f>
        <v/>
      </c>
      <c r="J359" s="14">
        <f>IF(원생!$A357="","",SUMIFS(수납!$F:$F,수납!$C:$C,원생!$A357,수납!$D:$D,IF(원생!$G357="","",원생!$G357),수납!$B:$B,$B$1&amp;"-"&amp;TEXT(8,"00")&amp;"*",수납!$E:$E,"수강료")+SUMIFS(수납!$F:$F,수납!$C:$C,원생!$A357,수납!$D:$D,IF(원생!$G357="","",원생!$G357),수납!$B:$B,$B$1&amp;"-"&amp;TEXT(8,"00")&amp;"*",수납!$E:$E,""))</f>
        <v/>
      </c>
      <c r="K359" s="14">
        <f>IF(원생!$A357="","",SUMIFS(수납!$F:$F,수납!$C:$C,원생!$A357,수납!$D:$D,IF(원생!$G357="","",원생!$G357),수납!$B:$B,$B$1&amp;"-"&amp;TEXT(9,"00")&amp;"*",수납!$E:$E,"수강료")+SUMIFS(수납!$F:$F,수납!$C:$C,원생!$A357,수납!$D:$D,IF(원생!$G357="","",원생!$G357),수납!$B:$B,$B$1&amp;"-"&amp;TEXT(9,"00")&amp;"*",수납!$E:$E,""))</f>
        <v/>
      </c>
      <c r="L359" s="14">
        <f>IF(원생!$A357="","",SUMIFS(수납!$F:$F,수납!$C:$C,원생!$A357,수납!$D:$D,IF(원생!$G357="","",원생!$G357),수납!$B:$B,$B$1&amp;"-"&amp;TEXT(10,"00")&amp;"*",수납!$E:$E,"수강료")+SUMIFS(수납!$F:$F,수납!$C:$C,원생!$A357,수납!$D:$D,IF(원생!$G357="","",원생!$G357),수납!$B:$B,$B$1&amp;"-"&amp;TEXT(10,"00")&amp;"*",수납!$E:$E,""))</f>
        <v/>
      </c>
      <c r="M359" s="14">
        <f>IF(원생!$A357="","",SUMIFS(수납!$F:$F,수납!$C:$C,원생!$A357,수납!$D:$D,IF(원생!$G357="","",원생!$G357),수납!$B:$B,$B$1&amp;"-"&amp;TEXT(11,"00")&amp;"*",수납!$E:$E,"수강료")+SUMIFS(수납!$F:$F,수납!$C:$C,원생!$A357,수납!$D:$D,IF(원생!$G357="","",원생!$G357),수납!$B:$B,$B$1&amp;"-"&amp;TEXT(11,"00")&amp;"*",수납!$E:$E,""))</f>
        <v/>
      </c>
      <c r="N359" s="14">
        <f>IF(원생!$A357="","",SUMIFS(수납!$F:$F,수납!$C:$C,원생!$A357,수납!$D:$D,IF(원생!$G357="","",원생!$G357),수납!$B:$B,$B$1&amp;"-"&amp;TEXT(12,"00")&amp;"*",수납!$E:$E,"수강료")+SUMIFS(수납!$F:$F,수납!$C:$C,원생!$A357,수납!$D:$D,IF(원생!$G357="","",원생!$G357),수납!$B:$B,$B$1&amp;"-"&amp;TEXT(12,"00")&amp;"*",수납!$E:$E,""))</f>
        <v/>
      </c>
      <c r="O359">
        <f>IF(원생!$I357="","",원생!$I357)</f>
        <v/>
      </c>
      <c r="P359">
        <f>IF($A359="","",IF(AND($B359&gt;0,C359&lt;$B359,DATE($B$1,1,1)&lt;=TODAY(),OR($O359="",$O359&gt;=DATE($B$1,1,1)),OR(COUNTIF($C359:C359,"&gt;0")&gt;0,DATE($B$1,1,1)=DATE(YEAR(TODAY()),MONTH(TODAY()),1))),1,0))</f>
        <v/>
      </c>
      <c r="Q359">
        <f>IF($A359="","",IF(AND($B359&gt;0,D359&lt;$B359,DATE($B$1,2,1)&lt;=TODAY(),OR($O359="",$O359&gt;=DATE($B$1,2,1)),OR(COUNTIF($C359:D359,"&gt;0")&gt;0,DATE($B$1,2,1)=DATE(YEAR(TODAY()),MONTH(TODAY()),1))),1,0))</f>
        <v/>
      </c>
      <c r="R359">
        <f>IF($A359="","",IF(AND($B359&gt;0,E359&lt;$B359,DATE($B$1,3,1)&lt;=TODAY(),OR($O359="",$O359&gt;=DATE($B$1,3,1)),OR(COUNTIF($C359:E359,"&gt;0")&gt;0,DATE($B$1,3,1)=DATE(YEAR(TODAY()),MONTH(TODAY()),1))),1,0))</f>
        <v/>
      </c>
      <c r="S359">
        <f>IF($A359="","",IF(AND($B359&gt;0,F359&lt;$B359,DATE($B$1,4,1)&lt;=TODAY(),OR($O359="",$O359&gt;=DATE($B$1,4,1)),OR(COUNTIF($C359:F359,"&gt;0")&gt;0,DATE($B$1,4,1)=DATE(YEAR(TODAY()),MONTH(TODAY()),1))),1,0))</f>
        <v/>
      </c>
      <c r="T359">
        <f>IF($A359="","",IF(AND($B359&gt;0,G359&lt;$B359,DATE($B$1,5,1)&lt;=TODAY(),OR($O359="",$O359&gt;=DATE($B$1,5,1)),OR(COUNTIF($C359:G359,"&gt;0")&gt;0,DATE($B$1,5,1)=DATE(YEAR(TODAY()),MONTH(TODAY()),1))),1,0))</f>
        <v/>
      </c>
      <c r="U359">
        <f>IF($A359="","",IF(AND($B359&gt;0,H359&lt;$B359,DATE($B$1,6,1)&lt;=TODAY(),OR($O359="",$O359&gt;=DATE($B$1,6,1)),OR(COUNTIF($C359:H359,"&gt;0")&gt;0,DATE($B$1,6,1)=DATE(YEAR(TODAY()),MONTH(TODAY()),1))),1,0))</f>
        <v/>
      </c>
      <c r="V359">
        <f>IF($A359="","",IF(AND($B359&gt;0,I359&lt;$B359,DATE($B$1,7,1)&lt;=TODAY(),OR($O359="",$O359&gt;=DATE($B$1,7,1)),OR(COUNTIF($C359:I359,"&gt;0")&gt;0,DATE($B$1,7,1)=DATE(YEAR(TODAY()),MONTH(TODAY()),1))),1,0))</f>
        <v/>
      </c>
      <c r="W359">
        <f>IF($A359="","",IF(AND($B359&gt;0,J359&lt;$B359,DATE($B$1,8,1)&lt;=TODAY(),OR($O359="",$O359&gt;=DATE($B$1,8,1)),OR(COUNTIF($C359:J359,"&gt;0")&gt;0,DATE($B$1,8,1)=DATE(YEAR(TODAY()),MONTH(TODAY()),1))),1,0))</f>
        <v/>
      </c>
      <c r="X359">
        <f>IF($A359="","",IF(AND($B359&gt;0,K359&lt;$B359,DATE($B$1,9,1)&lt;=TODAY(),OR($O359="",$O359&gt;=DATE($B$1,9,1)),OR(COUNTIF($C359:K359,"&gt;0")&gt;0,DATE($B$1,9,1)=DATE(YEAR(TODAY()),MONTH(TODAY()),1))),1,0))</f>
        <v/>
      </c>
      <c r="Y359">
        <f>IF($A359="","",IF(AND($B359&gt;0,L359&lt;$B359,DATE($B$1,10,1)&lt;=TODAY(),OR($O359="",$O359&gt;=DATE($B$1,10,1)),OR(COUNTIF($C359:L359,"&gt;0")&gt;0,DATE($B$1,10,1)=DATE(YEAR(TODAY()),MONTH(TODAY()),1))),1,0))</f>
        <v/>
      </c>
      <c r="Z359">
        <f>IF($A359="","",IF(AND($B359&gt;0,M359&lt;$B359,DATE($B$1,11,1)&lt;=TODAY(),OR($O359="",$O359&gt;=DATE($B$1,11,1)),OR(COUNTIF($C359:M359,"&gt;0")&gt;0,DATE($B$1,11,1)=DATE(YEAR(TODAY()),MONTH(TODAY()),1))),1,0))</f>
        <v/>
      </c>
      <c r="AA359">
        <f>IF($A359="","",IF(AND($B359&gt;0,N359&lt;$B359,DATE($B$1,12,1)&lt;=TODAY(),OR($O359="",$O359&gt;=DATE($B$1,12,1)),OR(COUNTIF($C359:N359,"&gt;0")&gt;0,DATE($B$1,12,1)=DATE(YEAR(TODAY()),MONTH(TODAY()),1))),1,0))</f>
        <v/>
      </c>
    </row>
    <row r="360">
      <c r="A360" s="13">
        <f>IF(원생!$A358="","",원생!$A358&amp;IF(원생!$G358="",""," ("&amp;원생!$G358&amp;")"))</f>
        <v/>
      </c>
      <c r="B360" s="8">
        <f>IF(원생!$A358="","",원생!$F358)</f>
        <v/>
      </c>
      <c r="C360" s="14">
        <f>IF(원생!$A358="","",SUMIFS(수납!$F:$F,수납!$C:$C,원생!$A358,수납!$D:$D,IF(원생!$G358="","",원생!$G358),수납!$B:$B,$B$1&amp;"-"&amp;TEXT(1,"00")&amp;"*",수납!$E:$E,"수강료")+SUMIFS(수납!$F:$F,수납!$C:$C,원생!$A358,수납!$D:$D,IF(원생!$G358="","",원생!$G358),수납!$B:$B,$B$1&amp;"-"&amp;TEXT(1,"00")&amp;"*",수납!$E:$E,""))</f>
        <v/>
      </c>
      <c r="D360" s="14">
        <f>IF(원생!$A358="","",SUMIFS(수납!$F:$F,수납!$C:$C,원생!$A358,수납!$D:$D,IF(원생!$G358="","",원생!$G358),수납!$B:$B,$B$1&amp;"-"&amp;TEXT(2,"00")&amp;"*",수납!$E:$E,"수강료")+SUMIFS(수납!$F:$F,수납!$C:$C,원생!$A358,수납!$D:$D,IF(원생!$G358="","",원생!$G358),수납!$B:$B,$B$1&amp;"-"&amp;TEXT(2,"00")&amp;"*",수납!$E:$E,""))</f>
        <v/>
      </c>
      <c r="E360" s="14">
        <f>IF(원생!$A358="","",SUMIFS(수납!$F:$F,수납!$C:$C,원생!$A358,수납!$D:$D,IF(원생!$G358="","",원생!$G358),수납!$B:$B,$B$1&amp;"-"&amp;TEXT(3,"00")&amp;"*",수납!$E:$E,"수강료")+SUMIFS(수납!$F:$F,수납!$C:$C,원생!$A358,수납!$D:$D,IF(원생!$G358="","",원생!$G358),수납!$B:$B,$B$1&amp;"-"&amp;TEXT(3,"00")&amp;"*",수납!$E:$E,""))</f>
        <v/>
      </c>
      <c r="F360" s="14">
        <f>IF(원생!$A358="","",SUMIFS(수납!$F:$F,수납!$C:$C,원생!$A358,수납!$D:$D,IF(원생!$G358="","",원생!$G358),수납!$B:$B,$B$1&amp;"-"&amp;TEXT(4,"00")&amp;"*",수납!$E:$E,"수강료")+SUMIFS(수납!$F:$F,수납!$C:$C,원생!$A358,수납!$D:$D,IF(원생!$G358="","",원생!$G358),수납!$B:$B,$B$1&amp;"-"&amp;TEXT(4,"00")&amp;"*",수납!$E:$E,""))</f>
        <v/>
      </c>
      <c r="G360" s="14">
        <f>IF(원생!$A358="","",SUMIFS(수납!$F:$F,수납!$C:$C,원생!$A358,수납!$D:$D,IF(원생!$G358="","",원생!$G358),수납!$B:$B,$B$1&amp;"-"&amp;TEXT(5,"00")&amp;"*",수납!$E:$E,"수강료")+SUMIFS(수납!$F:$F,수납!$C:$C,원생!$A358,수납!$D:$D,IF(원생!$G358="","",원생!$G358),수납!$B:$B,$B$1&amp;"-"&amp;TEXT(5,"00")&amp;"*",수납!$E:$E,""))</f>
        <v/>
      </c>
      <c r="H360" s="14">
        <f>IF(원생!$A358="","",SUMIFS(수납!$F:$F,수납!$C:$C,원생!$A358,수납!$D:$D,IF(원생!$G358="","",원생!$G358),수납!$B:$B,$B$1&amp;"-"&amp;TEXT(6,"00")&amp;"*",수납!$E:$E,"수강료")+SUMIFS(수납!$F:$F,수납!$C:$C,원생!$A358,수납!$D:$D,IF(원생!$G358="","",원생!$G358),수납!$B:$B,$B$1&amp;"-"&amp;TEXT(6,"00")&amp;"*",수납!$E:$E,""))</f>
        <v/>
      </c>
      <c r="I360" s="14">
        <f>IF(원생!$A358="","",SUMIFS(수납!$F:$F,수납!$C:$C,원생!$A358,수납!$D:$D,IF(원생!$G358="","",원생!$G358),수납!$B:$B,$B$1&amp;"-"&amp;TEXT(7,"00")&amp;"*",수납!$E:$E,"수강료")+SUMIFS(수납!$F:$F,수납!$C:$C,원생!$A358,수납!$D:$D,IF(원생!$G358="","",원생!$G358),수납!$B:$B,$B$1&amp;"-"&amp;TEXT(7,"00")&amp;"*",수납!$E:$E,""))</f>
        <v/>
      </c>
      <c r="J360" s="14">
        <f>IF(원생!$A358="","",SUMIFS(수납!$F:$F,수납!$C:$C,원생!$A358,수납!$D:$D,IF(원생!$G358="","",원생!$G358),수납!$B:$B,$B$1&amp;"-"&amp;TEXT(8,"00")&amp;"*",수납!$E:$E,"수강료")+SUMIFS(수납!$F:$F,수납!$C:$C,원생!$A358,수납!$D:$D,IF(원생!$G358="","",원생!$G358),수납!$B:$B,$B$1&amp;"-"&amp;TEXT(8,"00")&amp;"*",수납!$E:$E,""))</f>
        <v/>
      </c>
      <c r="K360" s="14">
        <f>IF(원생!$A358="","",SUMIFS(수납!$F:$F,수납!$C:$C,원생!$A358,수납!$D:$D,IF(원생!$G358="","",원생!$G358),수납!$B:$B,$B$1&amp;"-"&amp;TEXT(9,"00")&amp;"*",수납!$E:$E,"수강료")+SUMIFS(수납!$F:$F,수납!$C:$C,원생!$A358,수납!$D:$D,IF(원생!$G358="","",원생!$G358),수납!$B:$B,$B$1&amp;"-"&amp;TEXT(9,"00")&amp;"*",수납!$E:$E,""))</f>
        <v/>
      </c>
      <c r="L360" s="14">
        <f>IF(원생!$A358="","",SUMIFS(수납!$F:$F,수납!$C:$C,원생!$A358,수납!$D:$D,IF(원생!$G358="","",원생!$G358),수납!$B:$B,$B$1&amp;"-"&amp;TEXT(10,"00")&amp;"*",수납!$E:$E,"수강료")+SUMIFS(수납!$F:$F,수납!$C:$C,원생!$A358,수납!$D:$D,IF(원생!$G358="","",원생!$G358),수납!$B:$B,$B$1&amp;"-"&amp;TEXT(10,"00")&amp;"*",수납!$E:$E,""))</f>
        <v/>
      </c>
      <c r="M360" s="14">
        <f>IF(원생!$A358="","",SUMIFS(수납!$F:$F,수납!$C:$C,원생!$A358,수납!$D:$D,IF(원생!$G358="","",원생!$G358),수납!$B:$B,$B$1&amp;"-"&amp;TEXT(11,"00")&amp;"*",수납!$E:$E,"수강료")+SUMIFS(수납!$F:$F,수납!$C:$C,원생!$A358,수납!$D:$D,IF(원생!$G358="","",원생!$G358),수납!$B:$B,$B$1&amp;"-"&amp;TEXT(11,"00")&amp;"*",수납!$E:$E,""))</f>
        <v/>
      </c>
      <c r="N360" s="14">
        <f>IF(원생!$A358="","",SUMIFS(수납!$F:$F,수납!$C:$C,원생!$A358,수납!$D:$D,IF(원생!$G358="","",원생!$G358),수납!$B:$B,$B$1&amp;"-"&amp;TEXT(12,"00")&amp;"*",수납!$E:$E,"수강료")+SUMIFS(수납!$F:$F,수납!$C:$C,원생!$A358,수납!$D:$D,IF(원생!$G358="","",원생!$G358),수납!$B:$B,$B$1&amp;"-"&amp;TEXT(12,"00")&amp;"*",수납!$E:$E,""))</f>
        <v/>
      </c>
      <c r="O360">
        <f>IF(원생!$I358="","",원생!$I358)</f>
        <v/>
      </c>
      <c r="P360">
        <f>IF($A360="","",IF(AND($B360&gt;0,C360&lt;$B360,DATE($B$1,1,1)&lt;=TODAY(),OR($O360="",$O360&gt;=DATE($B$1,1,1)),OR(COUNTIF($C360:C360,"&gt;0")&gt;0,DATE($B$1,1,1)=DATE(YEAR(TODAY()),MONTH(TODAY()),1))),1,0))</f>
        <v/>
      </c>
      <c r="Q360">
        <f>IF($A360="","",IF(AND($B360&gt;0,D360&lt;$B360,DATE($B$1,2,1)&lt;=TODAY(),OR($O360="",$O360&gt;=DATE($B$1,2,1)),OR(COUNTIF($C360:D360,"&gt;0")&gt;0,DATE($B$1,2,1)=DATE(YEAR(TODAY()),MONTH(TODAY()),1))),1,0))</f>
        <v/>
      </c>
      <c r="R360">
        <f>IF($A360="","",IF(AND($B360&gt;0,E360&lt;$B360,DATE($B$1,3,1)&lt;=TODAY(),OR($O360="",$O360&gt;=DATE($B$1,3,1)),OR(COUNTIF($C360:E360,"&gt;0")&gt;0,DATE($B$1,3,1)=DATE(YEAR(TODAY()),MONTH(TODAY()),1))),1,0))</f>
        <v/>
      </c>
      <c r="S360">
        <f>IF($A360="","",IF(AND($B360&gt;0,F360&lt;$B360,DATE($B$1,4,1)&lt;=TODAY(),OR($O360="",$O360&gt;=DATE($B$1,4,1)),OR(COUNTIF($C360:F360,"&gt;0")&gt;0,DATE($B$1,4,1)=DATE(YEAR(TODAY()),MONTH(TODAY()),1))),1,0))</f>
        <v/>
      </c>
      <c r="T360">
        <f>IF($A360="","",IF(AND($B360&gt;0,G360&lt;$B360,DATE($B$1,5,1)&lt;=TODAY(),OR($O360="",$O360&gt;=DATE($B$1,5,1)),OR(COUNTIF($C360:G360,"&gt;0")&gt;0,DATE($B$1,5,1)=DATE(YEAR(TODAY()),MONTH(TODAY()),1))),1,0))</f>
        <v/>
      </c>
      <c r="U360">
        <f>IF($A360="","",IF(AND($B360&gt;0,H360&lt;$B360,DATE($B$1,6,1)&lt;=TODAY(),OR($O360="",$O360&gt;=DATE($B$1,6,1)),OR(COUNTIF($C360:H360,"&gt;0")&gt;0,DATE($B$1,6,1)=DATE(YEAR(TODAY()),MONTH(TODAY()),1))),1,0))</f>
        <v/>
      </c>
      <c r="V360">
        <f>IF($A360="","",IF(AND($B360&gt;0,I360&lt;$B360,DATE($B$1,7,1)&lt;=TODAY(),OR($O360="",$O360&gt;=DATE($B$1,7,1)),OR(COUNTIF($C360:I360,"&gt;0")&gt;0,DATE($B$1,7,1)=DATE(YEAR(TODAY()),MONTH(TODAY()),1))),1,0))</f>
        <v/>
      </c>
      <c r="W360">
        <f>IF($A360="","",IF(AND($B360&gt;0,J360&lt;$B360,DATE($B$1,8,1)&lt;=TODAY(),OR($O360="",$O360&gt;=DATE($B$1,8,1)),OR(COUNTIF($C360:J360,"&gt;0")&gt;0,DATE($B$1,8,1)=DATE(YEAR(TODAY()),MONTH(TODAY()),1))),1,0))</f>
        <v/>
      </c>
      <c r="X360">
        <f>IF($A360="","",IF(AND($B360&gt;0,K360&lt;$B360,DATE($B$1,9,1)&lt;=TODAY(),OR($O360="",$O360&gt;=DATE($B$1,9,1)),OR(COUNTIF($C360:K360,"&gt;0")&gt;0,DATE($B$1,9,1)=DATE(YEAR(TODAY()),MONTH(TODAY()),1))),1,0))</f>
        <v/>
      </c>
      <c r="Y360">
        <f>IF($A360="","",IF(AND($B360&gt;0,L360&lt;$B360,DATE($B$1,10,1)&lt;=TODAY(),OR($O360="",$O360&gt;=DATE($B$1,10,1)),OR(COUNTIF($C360:L360,"&gt;0")&gt;0,DATE($B$1,10,1)=DATE(YEAR(TODAY()),MONTH(TODAY()),1))),1,0))</f>
        <v/>
      </c>
      <c r="Z360">
        <f>IF($A360="","",IF(AND($B360&gt;0,M360&lt;$B360,DATE($B$1,11,1)&lt;=TODAY(),OR($O360="",$O360&gt;=DATE($B$1,11,1)),OR(COUNTIF($C360:M360,"&gt;0")&gt;0,DATE($B$1,11,1)=DATE(YEAR(TODAY()),MONTH(TODAY()),1))),1,0))</f>
        <v/>
      </c>
      <c r="AA360">
        <f>IF($A360="","",IF(AND($B360&gt;0,N360&lt;$B360,DATE($B$1,12,1)&lt;=TODAY(),OR($O360="",$O360&gt;=DATE($B$1,12,1)),OR(COUNTIF($C360:N360,"&gt;0")&gt;0,DATE($B$1,12,1)=DATE(YEAR(TODAY()),MONTH(TODAY()),1))),1,0))</f>
        <v/>
      </c>
    </row>
    <row r="361">
      <c r="A361" s="13">
        <f>IF(원생!$A359="","",원생!$A359&amp;IF(원생!$G359="",""," ("&amp;원생!$G359&amp;")"))</f>
        <v/>
      </c>
      <c r="B361" s="8">
        <f>IF(원생!$A359="","",원생!$F359)</f>
        <v/>
      </c>
      <c r="C361" s="14">
        <f>IF(원생!$A359="","",SUMIFS(수납!$F:$F,수납!$C:$C,원생!$A359,수납!$D:$D,IF(원생!$G359="","",원생!$G359),수납!$B:$B,$B$1&amp;"-"&amp;TEXT(1,"00")&amp;"*",수납!$E:$E,"수강료")+SUMIFS(수납!$F:$F,수납!$C:$C,원생!$A359,수납!$D:$D,IF(원생!$G359="","",원생!$G359),수납!$B:$B,$B$1&amp;"-"&amp;TEXT(1,"00")&amp;"*",수납!$E:$E,""))</f>
        <v/>
      </c>
      <c r="D361" s="14">
        <f>IF(원생!$A359="","",SUMIFS(수납!$F:$F,수납!$C:$C,원생!$A359,수납!$D:$D,IF(원생!$G359="","",원생!$G359),수납!$B:$B,$B$1&amp;"-"&amp;TEXT(2,"00")&amp;"*",수납!$E:$E,"수강료")+SUMIFS(수납!$F:$F,수납!$C:$C,원생!$A359,수납!$D:$D,IF(원생!$G359="","",원생!$G359),수납!$B:$B,$B$1&amp;"-"&amp;TEXT(2,"00")&amp;"*",수납!$E:$E,""))</f>
        <v/>
      </c>
      <c r="E361" s="14">
        <f>IF(원생!$A359="","",SUMIFS(수납!$F:$F,수납!$C:$C,원생!$A359,수납!$D:$D,IF(원생!$G359="","",원생!$G359),수납!$B:$B,$B$1&amp;"-"&amp;TEXT(3,"00")&amp;"*",수납!$E:$E,"수강료")+SUMIFS(수납!$F:$F,수납!$C:$C,원생!$A359,수납!$D:$D,IF(원생!$G359="","",원생!$G359),수납!$B:$B,$B$1&amp;"-"&amp;TEXT(3,"00")&amp;"*",수납!$E:$E,""))</f>
        <v/>
      </c>
      <c r="F361" s="14">
        <f>IF(원생!$A359="","",SUMIFS(수납!$F:$F,수납!$C:$C,원생!$A359,수납!$D:$D,IF(원생!$G359="","",원생!$G359),수납!$B:$B,$B$1&amp;"-"&amp;TEXT(4,"00")&amp;"*",수납!$E:$E,"수강료")+SUMIFS(수납!$F:$F,수납!$C:$C,원생!$A359,수납!$D:$D,IF(원생!$G359="","",원생!$G359),수납!$B:$B,$B$1&amp;"-"&amp;TEXT(4,"00")&amp;"*",수납!$E:$E,""))</f>
        <v/>
      </c>
      <c r="G361" s="14">
        <f>IF(원생!$A359="","",SUMIFS(수납!$F:$F,수납!$C:$C,원생!$A359,수납!$D:$D,IF(원생!$G359="","",원생!$G359),수납!$B:$B,$B$1&amp;"-"&amp;TEXT(5,"00")&amp;"*",수납!$E:$E,"수강료")+SUMIFS(수납!$F:$F,수납!$C:$C,원생!$A359,수납!$D:$D,IF(원생!$G359="","",원생!$G359),수납!$B:$B,$B$1&amp;"-"&amp;TEXT(5,"00")&amp;"*",수납!$E:$E,""))</f>
        <v/>
      </c>
      <c r="H361" s="14">
        <f>IF(원생!$A359="","",SUMIFS(수납!$F:$F,수납!$C:$C,원생!$A359,수납!$D:$D,IF(원생!$G359="","",원생!$G359),수납!$B:$B,$B$1&amp;"-"&amp;TEXT(6,"00")&amp;"*",수납!$E:$E,"수강료")+SUMIFS(수납!$F:$F,수납!$C:$C,원생!$A359,수납!$D:$D,IF(원생!$G359="","",원생!$G359),수납!$B:$B,$B$1&amp;"-"&amp;TEXT(6,"00")&amp;"*",수납!$E:$E,""))</f>
        <v/>
      </c>
      <c r="I361" s="14">
        <f>IF(원생!$A359="","",SUMIFS(수납!$F:$F,수납!$C:$C,원생!$A359,수납!$D:$D,IF(원생!$G359="","",원생!$G359),수납!$B:$B,$B$1&amp;"-"&amp;TEXT(7,"00")&amp;"*",수납!$E:$E,"수강료")+SUMIFS(수납!$F:$F,수납!$C:$C,원생!$A359,수납!$D:$D,IF(원생!$G359="","",원생!$G359),수납!$B:$B,$B$1&amp;"-"&amp;TEXT(7,"00")&amp;"*",수납!$E:$E,""))</f>
        <v/>
      </c>
      <c r="J361" s="14">
        <f>IF(원생!$A359="","",SUMIFS(수납!$F:$F,수납!$C:$C,원생!$A359,수납!$D:$D,IF(원생!$G359="","",원생!$G359),수납!$B:$B,$B$1&amp;"-"&amp;TEXT(8,"00")&amp;"*",수납!$E:$E,"수강료")+SUMIFS(수납!$F:$F,수납!$C:$C,원생!$A359,수납!$D:$D,IF(원생!$G359="","",원생!$G359),수납!$B:$B,$B$1&amp;"-"&amp;TEXT(8,"00")&amp;"*",수납!$E:$E,""))</f>
        <v/>
      </c>
      <c r="K361" s="14">
        <f>IF(원생!$A359="","",SUMIFS(수납!$F:$F,수납!$C:$C,원생!$A359,수납!$D:$D,IF(원생!$G359="","",원생!$G359),수납!$B:$B,$B$1&amp;"-"&amp;TEXT(9,"00")&amp;"*",수납!$E:$E,"수강료")+SUMIFS(수납!$F:$F,수납!$C:$C,원생!$A359,수납!$D:$D,IF(원생!$G359="","",원생!$G359),수납!$B:$B,$B$1&amp;"-"&amp;TEXT(9,"00")&amp;"*",수납!$E:$E,""))</f>
        <v/>
      </c>
      <c r="L361" s="14">
        <f>IF(원생!$A359="","",SUMIFS(수납!$F:$F,수납!$C:$C,원생!$A359,수납!$D:$D,IF(원생!$G359="","",원생!$G359),수납!$B:$B,$B$1&amp;"-"&amp;TEXT(10,"00")&amp;"*",수납!$E:$E,"수강료")+SUMIFS(수납!$F:$F,수납!$C:$C,원생!$A359,수납!$D:$D,IF(원생!$G359="","",원생!$G359),수납!$B:$B,$B$1&amp;"-"&amp;TEXT(10,"00")&amp;"*",수납!$E:$E,""))</f>
        <v/>
      </c>
      <c r="M361" s="14">
        <f>IF(원생!$A359="","",SUMIFS(수납!$F:$F,수납!$C:$C,원생!$A359,수납!$D:$D,IF(원생!$G359="","",원생!$G359),수납!$B:$B,$B$1&amp;"-"&amp;TEXT(11,"00")&amp;"*",수납!$E:$E,"수강료")+SUMIFS(수납!$F:$F,수납!$C:$C,원생!$A359,수납!$D:$D,IF(원생!$G359="","",원생!$G359),수납!$B:$B,$B$1&amp;"-"&amp;TEXT(11,"00")&amp;"*",수납!$E:$E,""))</f>
        <v/>
      </c>
      <c r="N361" s="14">
        <f>IF(원생!$A359="","",SUMIFS(수납!$F:$F,수납!$C:$C,원생!$A359,수납!$D:$D,IF(원생!$G359="","",원생!$G359),수납!$B:$B,$B$1&amp;"-"&amp;TEXT(12,"00")&amp;"*",수납!$E:$E,"수강료")+SUMIFS(수납!$F:$F,수납!$C:$C,원생!$A359,수납!$D:$D,IF(원생!$G359="","",원생!$G359),수납!$B:$B,$B$1&amp;"-"&amp;TEXT(12,"00")&amp;"*",수납!$E:$E,""))</f>
        <v/>
      </c>
      <c r="O361">
        <f>IF(원생!$I359="","",원생!$I359)</f>
        <v/>
      </c>
      <c r="P361">
        <f>IF($A361="","",IF(AND($B361&gt;0,C361&lt;$B361,DATE($B$1,1,1)&lt;=TODAY(),OR($O361="",$O361&gt;=DATE($B$1,1,1)),OR(COUNTIF($C361:C361,"&gt;0")&gt;0,DATE($B$1,1,1)=DATE(YEAR(TODAY()),MONTH(TODAY()),1))),1,0))</f>
        <v/>
      </c>
      <c r="Q361">
        <f>IF($A361="","",IF(AND($B361&gt;0,D361&lt;$B361,DATE($B$1,2,1)&lt;=TODAY(),OR($O361="",$O361&gt;=DATE($B$1,2,1)),OR(COUNTIF($C361:D361,"&gt;0")&gt;0,DATE($B$1,2,1)=DATE(YEAR(TODAY()),MONTH(TODAY()),1))),1,0))</f>
        <v/>
      </c>
      <c r="R361">
        <f>IF($A361="","",IF(AND($B361&gt;0,E361&lt;$B361,DATE($B$1,3,1)&lt;=TODAY(),OR($O361="",$O361&gt;=DATE($B$1,3,1)),OR(COUNTIF($C361:E361,"&gt;0")&gt;0,DATE($B$1,3,1)=DATE(YEAR(TODAY()),MONTH(TODAY()),1))),1,0))</f>
        <v/>
      </c>
      <c r="S361">
        <f>IF($A361="","",IF(AND($B361&gt;0,F361&lt;$B361,DATE($B$1,4,1)&lt;=TODAY(),OR($O361="",$O361&gt;=DATE($B$1,4,1)),OR(COUNTIF($C361:F361,"&gt;0")&gt;0,DATE($B$1,4,1)=DATE(YEAR(TODAY()),MONTH(TODAY()),1))),1,0))</f>
        <v/>
      </c>
      <c r="T361">
        <f>IF($A361="","",IF(AND($B361&gt;0,G361&lt;$B361,DATE($B$1,5,1)&lt;=TODAY(),OR($O361="",$O361&gt;=DATE($B$1,5,1)),OR(COUNTIF($C361:G361,"&gt;0")&gt;0,DATE($B$1,5,1)=DATE(YEAR(TODAY()),MONTH(TODAY()),1))),1,0))</f>
        <v/>
      </c>
      <c r="U361">
        <f>IF($A361="","",IF(AND($B361&gt;0,H361&lt;$B361,DATE($B$1,6,1)&lt;=TODAY(),OR($O361="",$O361&gt;=DATE($B$1,6,1)),OR(COUNTIF($C361:H361,"&gt;0")&gt;0,DATE($B$1,6,1)=DATE(YEAR(TODAY()),MONTH(TODAY()),1))),1,0))</f>
        <v/>
      </c>
      <c r="V361">
        <f>IF($A361="","",IF(AND($B361&gt;0,I361&lt;$B361,DATE($B$1,7,1)&lt;=TODAY(),OR($O361="",$O361&gt;=DATE($B$1,7,1)),OR(COUNTIF($C361:I361,"&gt;0")&gt;0,DATE($B$1,7,1)=DATE(YEAR(TODAY()),MONTH(TODAY()),1))),1,0))</f>
        <v/>
      </c>
      <c r="W361">
        <f>IF($A361="","",IF(AND($B361&gt;0,J361&lt;$B361,DATE($B$1,8,1)&lt;=TODAY(),OR($O361="",$O361&gt;=DATE($B$1,8,1)),OR(COUNTIF($C361:J361,"&gt;0")&gt;0,DATE($B$1,8,1)=DATE(YEAR(TODAY()),MONTH(TODAY()),1))),1,0))</f>
        <v/>
      </c>
      <c r="X361">
        <f>IF($A361="","",IF(AND($B361&gt;0,K361&lt;$B361,DATE($B$1,9,1)&lt;=TODAY(),OR($O361="",$O361&gt;=DATE($B$1,9,1)),OR(COUNTIF($C361:K361,"&gt;0")&gt;0,DATE($B$1,9,1)=DATE(YEAR(TODAY()),MONTH(TODAY()),1))),1,0))</f>
        <v/>
      </c>
      <c r="Y361">
        <f>IF($A361="","",IF(AND($B361&gt;0,L361&lt;$B361,DATE($B$1,10,1)&lt;=TODAY(),OR($O361="",$O361&gt;=DATE($B$1,10,1)),OR(COUNTIF($C361:L361,"&gt;0")&gt;0,DATE($B$1,10,1)=DATE(YEAR(TODAY()),MONTH(TODAY()),1))),1,0))</f>
        <v/>
      </c>
      <c r="Z361">
        <f>IF($A361="","",IF(AND($B361&gt;0,M361&lt;$B361,DATE($B$1,11,1)&lt;=TODAY(),OR($O361="",$O361&gt;=DATE($B$1,11,1)),OR(COUNTIF($C361:M361,"&gt;0")&gt;0,DATE($B$1,11,1)=DATE(YEAR(TODAY()),MONTH(TODAY()),1))),1,0))</f>
        <v/>
      </c>
      <c r="AA361">
        <f>IF($A361="","",IF(AND($B361&gt;0,N361&lt;$B361,DATE($B$1,12,1)&lt;=TODAY(),OR($O361="",$O361&gt;=DATE($B$1,12,1)),OR(COUNTIF($C361:N361,"&gt;0")&gt;0,DATE($B$1,12,1)=DATE(YEAR(TODAY()),MONTH(TODAY()),1))),1,0))</f>
        <v/>
      </c>
    </row>
    <row r="362">
      <c r="A362" s="13">
        <f>IF(원생!$A360="","",원생!$A360&amp;IF(원생!$G360="",""," ("&amp;원생!$G360&amp;")"))</f>
        <v/>
      </c>
      <c r="B362" s="8">
        <f>IF(원생!$A360="","",원생!$F360)</f>
        <v/>
      </c>
      <c r="C362" s="14">
        <f>IF(원생!$A360="","",SUMIFS(수납!$F:$F,수납!$C:$C,원생!$A360,수납!$D:$D,IF(원생!$G360="","",원생!$G360),수납!$B:$B,$B$1&amp;"-"&amp;TEXT(1,"00")&amp;"*",수납!$E:$E,"수강료")+SUMIFS(수납!$F:$F,수납!$C:$C,원생!$A360,수납!$D:$D,IF(원생!$G360="","",원생!$G360),수납!$B:$B,$B$1&amp;"-"&amp;TEXT(1,"00")&amp;"*",수납!$E:$E,""))</f>
        <v/>
      </c>
      <c r="D362" s="14">
        <f>IF(원생!$A360="","",SUMIFS(수납!$F:$F,수납!$C:$C,원생!$A360,수납!$D:$D,IF(원생!$G360="","",원생!$G360),수납!$B:$B,$B$1&amp;"-"&amp;TEXT(2,"00")&amp;"*",수납!$E:$E,"수강료")+SUMIFS(수납!$F:$F,수납!$C:$C,원생!$A360,수납!$D:$D,IF(원생!$G360="","",원생!$G360),수납!$B:$B,$B$1&amp;"-"&amp;TEXT(2,"00")&amp;"*",수납!$E:$E,""))</f>
        <v/>
      </c>
      <c r="E362" s="14">
        <f>IF(원생!$A360="","",SUMIFS(수납!$F:$F,수납!$C:$C,원생!$A360,수납!$D:$D,IF(원생!$G360="","",원생!$G360),수납!$B:$B,$B$1&amp;"-"&amp;TEXT(3,"00")&amp;"*",수납!$E:$E,"수강료")+SUMIFS(수납!$F:$F,수납!$C:$C,원생!$A360,수납!$D:$D,IF(원생!$G360="","",원생!$G360),수납!$B:$B,$B$1&amp;"-"&amp;TEXT(3,"00")&amp;"*",수납!$E:$E,""))</f>
        <v/>
      </c>
      <c r="F362" s="14">
        <f>IF(원생!$A360="","",SUMIFS(수납!$F:$F,수납!$C:$C,원생!$A360,수납!$D:$D,IF(원생!$G360="","",원생!$G360),수납!$B:$B,$B$1&amp;"-"&amp;TEXT(4,"00")&amp;"*",수납!$E:$E,"수강료")+SUMIFS(수납!$F:$F,수납!$C:$C,원생!$A360,수납!$D:$D,IF(원생!$G360="","",원생!$G360),수납!$B:$B,$B$1&amp;"-"&amp;TEXT(4,"00")&amp;"*",수납!$E:$E,""))</f>
        <v/>
      </c>
      <c r="G362" s="14">
        <f>IF(원생!$A360="","",SUMIFS(수납!$F:$F,수납!$C:$C,원생!$A360,수납!$D:$D,IF(원생!$G360="","",원생!$G360),수납!$B:$B,$B$1&amp;"-"&amp;TEXT(5,"00")&amp;"*",수납!$E:$E,"수강료")+SUMIFS(수납!$F:$F,수납!$C:$C,원생!$A360,수납!$D:$D,IF(원생!$G360="","",원생!$G360),수납!$B:$B,$B$1&amp;"-"&amp;TEXT(5,"00")&amp;"*",수납!$E:$E,""))</f>
        <v/>
      </c>
      <c r="H362" s="14">
        <f>IF(원생!$A360="","",SUMIFS(수납!$F:$F,수납!$C:$C,원생!$A360,수납!$D:$D,IF(원생!$G360="","",원생!$G360),수납!$B:$B,$B$1&amp;"-"&amp;TEXT(6,"00")&amp;"*",수납!$E:$E,"수강료")+SUMIFS(수납!$F:$F,수납!$C:$C,원생!$A360,수납!$D:$D,IF(원생!$G360="","",원생!$G360),수납!$B:$B,$B$1&amp;"-"&amp;TEXT(6,"00")&amp;"*",수납!$E:$E,""))</f>
        <v/>
      </c>
      <c r="I362" s="14">
        <f>IF(원생!$A360="","",SUMIFS(수납!$F:$F,수납!$C:$C,원생!$A360,수납!$D:$D,IF(원생!$G360="","",원생!$G360),수납!$B:$B,$B$1&amp;"-"&amp;TEXT(7,"00")&amp;"*",수납!$E:$E,"수강료")+SUMIFS(수납!$F:$F,수납!$C:$C,원생!$A360,수납!$D:$D,IF(원생!$G360="","",원생!$G360),수납!$B:$B,$B$1&amp;"-"&amp;TEXT(7,"00")&amp;"*",수납!$E:$E,""))</f>
        <v/>
      </c>
      <c r="J362" s="14">
        <f>IF(원생!$A360="","",SUMIFS(수납!$F:$F,수납!$C:$C,원생!$A360,수납!$D:$D,IF(원생!$G360="","",원생!$G360),수납!$B:$B,$B$1&amp;"-"&amp;TEXT(8,"00")&amp;"*",수납!$E:$E,"수강료")+SUMIFS(수납!$F:$F,수납!$C:$C,원생!$A360,수납!$D:$D,IF(원생!$G360="","",원생!$G360),수납!$B:$B,$B$1&amp;"-"&amp;TEXT(8,"00")&amp;"*",수납!$E:$E,""))</f>
        <v/>
      </c>
      <c r="K362" s="14">
        <f>IF(원생!$A360="","",SUMIFS(수납!$F:$F,수납!$C:$C,원생!$A360,수납!$D:$D,IF(원생!$G360="","",원생!$G360),수납!$B:$B,$B$1&amp;"-"&amp;TEXT(9,"00")&amp;"*",수납!$E:$E,"수강료")+SUMIFS(수납!$F:$F,수납!$C:$C,원생!$A360,수납!$D:$D,IF(원생!$G360="","",원생!$G360),수납!$B:$B,$B$1&amp;"-"&amp;TEXT(9,"00")&amp;"*",수납!$E:$E,""))</f>
        <v/>
      </c>
      <c r="L362" s="14">
        <f>IF(원생!$A360="","",SUMIFS(수납!$F:$F,수납!$C:$C,원생!$A360,수납!$D:$D,IF(원생!$G360="","",원생!$G360),수납!$B:$B,$B$1&amp;"-"&amp;TEXT(10,"00")&amp;"*",수납!$E:$E,"수강료")+SUMIFS(수납!$F:$F,수납!$C:$C,원생!$A360,수납!$D:$D,IF(원생!$G360="","",원생!$G360),수납!$B:$B,$B$1&amp;"-"&amp;TEXT(10,"00")&amp;"*",수납!$E:$E,""))</f>
        <v/>
      </c>
      <c r="M362" s="14">
        <f>IF(원생!$A360="","",SUMIFS(수납!$F:$F,수납!$C:$C,원생!$A360,수납!$D:$D,IF(원생!$G360="","",원생!$G360),수납!$B:$B,$B$1&amp;"-"&amp;TEXT(11,"00")&amp;"*",수납!$E:$E,"수강료")+SUMIFS(수납!$F:$F,수납!$C:$C,원생!$A360,수납!$D:$D,IF(원생!$G360="","",원생!$G360),수납!$B:$B,$B$1&amp;"-"&amp;TEXT(11,"00")&amp;"*",수납!$E:$E,""))</f>
        <v/>
      </c>
      <c r="N362" s="14">
        <f>IF(원생!$A360="","",SUMIFS(수납!$F:$F,수납!$C:$C,원생!$A360,수납!$D:$D,IF(원생!$G360="","",원생!$G360),수납!$B:$B,$B$1&amp;"-"&amp;TEXT(12,"00")&amp;"*",수납!$E:$E,"수강료")+SUMIFS(수납!$F:$F,수납!$C:$C,원생!$A360,수납!$D:$D,IF(원생!$G360="","",원생!$G360),수납!$B:$B,$B$1&amp;"-"&amp;TEXT(12,"00")&amp;"*",수납!$E:$E,""))</f>
        <v/>
      </c>
      <c r="O362">
        <f>IF(원생!$I360="","",원생!$I360)</f>
        <v/>
      </c>
      <c r="P362">
        <f>IF($A362="","",IF(AND($B362&gt;0,C362&lt;$B362,DATE($B$1,1,1)&lt;=TODAY(),OR($O362="",$O362&gt;=DATE($B$1,1,1)),OR(COUNTIF($C362:C362,"&gt;0")&gt;0,DATE($B$1,1,1)=DATE(YEAR(TODAY()),MONTH(TODAY()),1))),1,0))</f>
        <v/>
      </c>
      <c r="Q362">
        <f>IF($A362="","",IF(AND($B362&gt;0,D362&lt;$B362,DATE($B$1,2,1)&lt;=TODAY(),OR($O362="",$O362&gt;=DATE($B$1,2,1)),OR(COUNTIF($C362:D362,"&gt;0")&gt;0,DATE($B$1,2,1)=DATE(YEAR(TODAY()),MONTH(TODAY()),1))),1,0))</f>
        <v/>
      </c>
      <c r="R362">
        <f>IF($A362="","",IF(AND($B362&gt;0,E362&lt;$B362,DATE($B$1,3,1)&lt;=TODAY(),OR($O362="",$O362&gt;=DATE($B$1,3,1)),OR(COUNTIF($C362:E362,"&gt;0")&gt;0,DATE($B$1,3,1)=DATE(YEAR(TODAY()),MONTH(TODAY()),1))),1,0))</f>
        <v/>
      </c>
      <c r="S362">
        <f>IF($A362="","",IF(AND($B362&gt;0,F362&lt;$B362,DATE($B$1,4,1)&lt;=TODAY(),OR($O362="",$O362&gt;=DATE($B$1,4,1)),OR(COUNTIF($C362:F362,"&gt;0")&gt;0,DATE($B$1,4,1)=DATE(YEAR(TODAY()),MONTH(TODAY()),1))),1,0))</f>
        <v/>
      </c>
      <c r="T362">
        <f>IF($A362="","",IF(AND($B362&gt;0,G362&lt;$B362,DATE($B$1,5,1)&lt;=TODAY(),OR($O362="",$O362&gt;=DATE($B$1,5,1)),OR(COUNTIF($C362:G362,"&gt;0")&gt;0,DATE($B$1,5,1)=DATE(YEAR(TODAY()),MONTH(TODAY()),1))),1,0))</f>
        <v/>
      </c>
      <c r="U362">
        <f>IF($A362="","",IF(AND($B362&gt;0,H362&lt;$B362,DATE($B$1,6,1)&lt;=TODAY(),OR($O362="",$O362&gt;=DATE($B$1,6,1)),OR(COUNTIF($C362:H362,"&gt;0")&gt;0,DATE($B$1,6,1)=DATE(YEAR(TODAY()),MONTH(TODAY()),1))),1,0))</f>
        <v/>
      </c>
      <c r="V362">
        <f>IF($A362="","",IF(AND($B362&gt;0,I362&lt;$B362,DATE($B$1,7,1)&lt;=TODAY(),OR($O362="",$O362&gt;=DATE($B$1,7,1)),OR(COUNTIF($C362:I362,"&gt;0")&gt;0,DATE($B$1,7,1)=DATE(YEAR(TODAY()),MONTH(TODAY()),1))),1,0))</f>
        <v/>
      </c>
      <c r="W362">
        <f>IF($A362="","",IF(AND($B362&gt;0,J362&lt;$B362,DATE($B$1,8,1)&lt;=TODAY(),OR($O362="",$O362&gt;=DATE($B$1,8,1)),OR(COUNTIF($C362:J362,"&gt;0")&gt;0,DATE($B$1,8,1)=DATE(YEAR(TODAY()),MONTH(TODAY()),1))),1,0))</f>
        <v/>
      </c>
      <c r="X362">
        <f>IF($A362="","",IF(AND($B362&gt;0,K362&lt;$B362,DATE($B$1,9,1)&lt;=TODAY(),OR($O362="",$O362&gt;=DATE($B$1,9,1)),OR(COUNTIF($C362:K362,"&gt;0")&gt;0,DATE($B$1,9,1)=DATE(YEAR(TODAY()),MONTH(TODAY()),1))),1,0))</f>
        <v/>
      </c>
      <c r="Y362">
        <f>IF($A362="","",IF(AND($B362&gt;0,L362&lt;$B362,DATE($B$1,10,1)&lt;=TODAY(),OR($O362="",$O362&gt;=DATE($B$1,10,1)),OR(COUNTIF($C362:L362,"&gt;0")&gt;0,DATE($B$1,10,1)=DATE(YEAR(TODAY()),MONTH(TODAY()),1))),1,0))</f>
        <v/>
      </c>
      <c r="Z362">
        <f>IF($A362="","",IF(AND($B362&gt;0,M362&lt;$B362,DATE($B$1,11,1)&lt;=TODAY(),OR($O362="",$O362&gt;=DATE($B$1,11,1)),OR(COUNTIF($C362:M362,"&gt;0")&gt;0,DATE($B$1,11,1)=DATE(YEAR(TODAY()),MONTH(TODAY()),1))),1,0))</f>
        <v/>
      </c>
      <c r="AA362">
        <f>IF($A362="","",IF(AND($B362&gt;0,N362&lt;$B362,DATE($B$1,12,1)&lt;=TODAY(),OR($O362="",$O362&gt;=DATE($B$1,12,1)),OR(COUNTIF($C362:N362,"&gt;0")&gt;0,DATE($B$1,12,1)=DATE(YEAR(TODAY()),MONTH(TODAY()),1))),1,0))</f>
        <v/>
      </c>
    </row>
    <row r="363">
      <c r="A363" s="13">
        <f>IF(원생!$A361="","",원생!$A361&amp;IF(원생!$G361="",""," ("&amp;원생!$G361&amp;")"))</f>
        <v/>
      </c>
      <c r="B363" s="8">
        <f>IF(원생!$A361="","",원생!$F361)</f>
        <v/>
      </c>
      <c r="C363" s="14">
        <f>IF(원생!$A361="","",SUMIFS(수납!$F:$F,수납!$C:$C,원생!$A361,수납!$D:$D,IF(원생!$G361="","",원생!$G361),수납!$B:$B,$B$1&amp;"-"&amp;TEXT(1,"00")&amp;"*",수납!$E:$E,"수강료")+SUMIFS(수납!$F:$F,수납!$C:$C,원생!$A361,수납!$D:$D,IF(원생!$G361="","",원생!$G361),수납!$B:$B,$B$1&amp;"-"&amp;TEXT(1,"00")&amp;"*",수납!$E:$E,""))</f>
        <v/>
      </c>
      <c r="D363" s="14">
        <f>IF(원생!$A361="","",SUMIFS(수납!$F:$F,수납!$C:$C,원생!$A361,수납!$D:$D,IF(원생!$G361="","",원생!$G361),수납!$B:$B,$B$1&amp;"-"&amp;TEXT(2,"00")&amp;"*",수납!$E:$E,"수강료")+SUMIFS(수납!$F:$F,수납!$C:$C,원생!$A361,수납!$D:$D,IF(원생!$G361="","",원생!$G361),수납!$B:$B,$B$1&amp;"-"&amp;TEXT(2,"00")&amp;"*",수납!$E:$E,""))</f>
        <v/>
      </c>
      <c r="E363" s="14">
        <f>IF(원생!$A361="","",SUMIFS(수납!$F:$F,수납!$C:$C,원생!$A361,수납!$D:$D,IF(원생!$G361="","",원생!$G361),수납!$B:$B,$B$1&amp;"-"&amp;TEXT(3,"00")&amp;"*",수납!$E:$E,"수강료")+SUMIFS(수납!$F:$F,수납!$C:$C,원생!$A361,수납!$D:$D,IF(원생!$G361="","",원생!$G361),수납!$B:$B,$B$1&amp;"-"&amp;TEXT(3,"00")&amp;"*",수납!$E:$E,""))</f>
        <v/>
      </c>
      <c r="F363" s="14">
        <f>IF(원생!$A361="","",SUMIFS(수납!$F:$F,수납!$C:$C,원생!$A361,수납!$D:$D,IF(원생!$G361="","",원생!$G361),수납!$B:$B,$B$1&amp;"-"&amp;TEXT(4,"00")&amp;"*",수납!$E:$E,"수강료")+SUMIFS(수납!$F:$F,수납!$C:$C,원생!$A361,수납!$D:$D,IF(원생!$G361="","",원생!$G361),수납!$B:$B,$B$1&amp;"-"&amp;TEXT(4,"00")&amp;"*",수납!$E:$E,""))</f>
        <v/>
      </c>
      <c r="G363" s="14">
        <f>IF(원생!$A361="","",SUMIFS(수납!$F:$F,수납!$C:$C,원생!$A361,수납!$D:$D,IF(원생!$G361="","",원생!$G361),수납!$B:$B,$B$1&amp;"-"&amp;TEXT(5,"00")&amp;"*",수납!$E:$E,"수강료")+SUMIFS(수납!$F:$F,수납!$C:$C,원생!$A361,수납!$D:$D,IF(원생!$G361="","",원생!$G361),수납!$B:$B,$B$1&amp;"-"&amp;TEXT(5,"00")&amp;"*",수납!$E:$E,""))</f>
        <v/>
      </c>
      <c r="H363" s="14">
        <f>IF(원생!$A361="","",SUMIFS(수납!$F:$F,수납!$C:$C,원생!$A361,수납!$D:$D,IF(원생!$G361="","",원생!$G361),수납!$B:$B,$B$1&amp;"-"&amp;TEXT(6,"00")&amp;"*",수납!$E:$E,"수강료")+SUMIFS(수납!$F:$F,수납!$C:$C,원생!$A361,수납!$D:$D,IF(원생!$G361="","",원생!$G361),수납!$B:$B,$B$1&amp;"-"&amp;TEXT(6,"00")&amp;"*",수납!$E:$E,""))</f>
        <v/>
      </c>
      <c r="I363" s="14">
        <f>IF(원생!$A361="","",SUMIFS(수납!$F:$F,수납!$C:$C,원생!$A361,수납!$D:$D,IF(원생!$G361="","",원생!$G361),수납!$B:$B,$B$1&amp;"-"&amp;TEXT(7,"00")&amp;"*",수납!$E:$E,"수강료")+SUMIFS(수납!$F:$F,수납!$C:$C,원생!$A361,수납!$D:$D,IF(원생!$G361="","",원생!$G361),수납!$B:$B,$B$1&amp;"-"&amp;TEXT(7,"00")&amp;"*",수납!$E:$E,""))</f>
        <v/>
      </c>
      <c r="J363" s="14">
        <f>IF(원생!$A361="","",SUMIFS(수납!$F:$F,수납!$C:$C,원생!$A361,수납!$D:$D,IF(원생!$G361="","",원생!$G361),수납!$B:$B,$B$1&amp;"-"&amp;TEXT(8,"00")&amp;"*",수납!$E:$E,"수강료")+SUMIFS(수납!$F:$F,수납!$C:$C,원생!$A361,수납!$D:$D,IF(원생!$G361="","",원생!$G361),수납!$B:$B,$B$1&amp;"-"&amp;TEXT(8,"00")&amp;"*",수납!$E:$E,""))</f>
        <v/>
      </c>
      <c r="K363" s="14">
        <f>IF(원생!$A361="","",SUMIFS(수납!$F:$F,수납!$C:$C,원생!$A361,수납!$D:$D,IF(원생!$G361="","",원생!$G361),수납!$B:$B,$B$1&amp;"-"&amp;TEXT(9,"00")&amp;"*",수납!$E:$E,"수강료")+SUMIFS(수납!$F:$F,수납!$C:$C,원생!$A361,수납!$D:$D,IF(원생!$G361="","",원생!$G361),수납!$B:$B,$B$1&amp;"-"&amp;TEXT(9,"00")&amp;"*",수납!$E:$E,""))</f>
        <v/>
      </c>
      <c r="L363" s="14">
        <f>IF(원생!$A361="","",SUMIFS(수납!$F:$F,수납!$C:$C,원생!$A361,수납!$D:$D,IF(원생!$G361="","",원생!$G361),수납!$B:$B,$B$1&amp;"-"&amp;TEXT(10,"00")&amp;"*",수납!$E:$E,"수강료")+SUMIFS(수납!$F:$F,수납!$C:$C,원생!$A361,수납!$D:$D,IF(원생!$G361="","",원생!$G361),수납!$B:$B,$B$1&amp;"-"&amp;TEXT(10,"00")&amp;"*",수납!$E:$E,""))</f>
        <v/>
      </c>
      <c r="M363" s="14">
        <f>IF(원생!$A361="","",SUMIFS(수납!$F:$F,수납!$C:$C,원생!$A361,수납!$D:$D,IF(원생!$G361="","",원생!$G361),수납!$B:$B,$B$1&amp;"-"&amp;TEXT(11,"00")&amp;"*",수납!$E:$E,"수강료")+SUMIFS(수납!$F:$F,수납!$C:$C,원생!$A361,수납!$D:$D,IF(원생!$G361="","",원생!$G361),수납!$B:$B,$B$1&amp;"-"&amp;TEXT(11,"00")&amp;"*",수납!$E:$E,""))</f>
        <v/>
      </c>
      <c r="N363" s="14">
        <f>IF(원생!$A361="","",SUMIFS(수납!$F:$F,수납!$C:$C,원생!$A361,수납!$D:$D,IF(원생!$G361="","",원생!$G361),수납!$B:$B,$B$1&amp;"-"&amp;TEXT(12,"00")&amp;"*",수납!$E:$E,"수강료")+SUMIFS(수납!$F:$F,수납!$C:$C,원생!$A361,수납!$D:$D,IF(원생!$G361="","",원생!$G361),수납!$B:$B,$B$1&amp;"-"&amp;TEXT(12,"00")&amp;"*",수납!$E:$E,""))</f>
        <v/>
      </c>
      <c r="O363">
        <f>IF(원생!$I361="","",원생!$I361)</f>
        <v/>
      </c>
      <c r="P363">
        <f>IF($A363="","",IF(AND($B363&gt;0,C363&lt;$B363,DATE($B$1,1,1)&lt;=TODAY(),OR($O363="",$O363&gt;=DATE($B$1,1,1)),OR(COUNTIF($C363:C363,"&gt;0")&gt;0,DATE($B$1,1,1)=DATE(YEAR(TODAY()),MONTH(TODAY()),1))),1,0))</f>
        <v/>
      </c>
      <c r="Q363">
        <f>IF($A363="","",IF(AND($B363&gt;0,D363&lt;$B363,DATE($B$1,2,1)&lt;=TODAY(),OR($O363="",$O363&gt;=DATE($B$1,2,1)),OR(COUNTIF($C363:D363,"&gt;0")&gt;0,DATE($B$1,2,1)=DATE(YEAR(TODAY()),MONTH(TODAY()),1))),1,0))</f>
        <v/>
      </c>
      <c r="R363">
        <f>IF($A363="","",IF(AND($B363&gt;0,E363&lt;$B363,DATE($B$1,3,1)&lt;=TODAY(),OR($O363="",$O363&gt;=DATE($B$1,3,1)),OR(COUNTIF($C363:E363,"&gt;0")&gt;0,DATE($B$1,3,1)=DATE(YEAR(TODAY()),MONTH(TODAY()),1))),1,0))</f>
        <v/>
      </c>
      <c r="S363">
        <f>IF($A363="","",IF(AND($B363&gt;0,F363&lt;$B363,DATE($B$1,4,1)&lt;=TODAY(),OR($O363="",$O363&gt;=DATE($B$1,4,1)),OR(COUNTIF($C363:F363,"&gt;0")&gt;0,DATE($B$1,4,1)=DATE(YEAR(TODAY()),MONTH(TODAY()),1))),1,0))</f>
        <v/>
      </c>
      <c r="T363">
        <f>IF($A363="","",IF(AND($B363&gt;0,G363&lt;$B363,DATE($B$1,5,1)&lt;=TODAY(),OR($O363="",$O363&gt;=DATE($B$1,5,1)),OR(COUNTIF($C363:G363,"&gt;0")&gt;0,DATE($B$1,5,1)=DATE(YEAR(TODAY()),MONTH(TODAY()),1))),1,0))</f>
        <v/>
      </c>
      <c r="U363">
        <f>IF($A363="","",IF(AND($B363&gt;0,H363&lt;$B363,DATE($B$1,6,1)&lt;=TODAY(),OR($O363="",$O363&gt;=DATE($B$1,6,1)),OR(COUNTIF($C363:H363,"&gt;0")&gt;0,DATE($B$1,6,1)=DATE(YEAR(TODAY()),MONTH(TODAY()),1))),1,0))</f>
        <v/>
      </c>
      <c r="V363">
        <f>IF($A363="","",IF(AND($B363&gt;0,I363&lt;$B363,DATE($B$1,7,1)&lt;=TODAY(),OR($O363="",$O363&gt;=DATE($B$1,7,1)),OR(COUNTIF($C363:I363,"&gt;0")&gt;0,DATE($B$1,7,1)=DATE(YEAR(TODAY()),MONTH(TODAY()),1))),1,0))</f>
        <v/>
      </c>
      <c r="W363">
        <f>IF($A363="","",IF(AND($B363&gt;0,J363&lt;$B363,DATE($B$1,8,1)&lt;=TODAY(),OR($O363="",$O363&gt;=DATE($B$1,8,1)),OR(COUNTIF($C363:J363,"&gt;0")&gt;0,DATE($B$1,8,1)=DATE(YEAR(TODAY()),MONTH(TODAY()),1))),1,0))</f>
        <v/>
      </c>
      <c r="X363">
        <f>IF($A363="","",IF(AND($B363&gt;0,K363&lt;$B363,DATE($B$1,9,1)&lt;=TODAY(),OR($O363="",$O363&gt;=DATE($B$1,9,1)),OR(COUNTIF($C363:K363,"&gt;0")&gt;0,DATE($B$1,9,1)=DATE(YEAR(TODAY()),MONTH(TODAY()),1))),1,0))</f>
        <v/>
      </c>
      <c r="Y363">
        <f>IF($A363="","",IF(AND($B363&gt;0,L363&lt;$B363,DATE($B$1,10,1)&lt;=TODAY(),OR($O363="",$O363&gt;=DATE($B$1,10,1)),OR(COUNTIF($C363:L363,"&gt;0")&gt;0,DATE($B$1,10,1)=DATE(YEAR(TODAY()),MONTH(TODAY()),1))),1,0))</f>
        <v/>
      </c>
      <c r="Z363">
        <f>IF($A363="","",IF(AND($B363&gt;0,M363&lt;$B363,DATE($B$1,11,1)&lt;=TODAY(),OR($O363="",$O363&gt;=DATE($B$1,11,1)),OR(COUNTIF($C363:M363,"&gt;0")&gt;0,DATE($B$1,11,1)=DATE(YEAR(TODAY()),MONTH(TODAY()),1))),1,0))</f>
        <v/>
      </c>
      <c r="AA363">
        <f>IF($A363="","",IF(AND($B363&gt;0,N363&lt;$B363,DATE($B$1,12,1)&lt;=TODAY(),OR($O363="",$O363&gt;=DATE($B$1,12,1)),OR(COUNTIF($C363:N363,"&gt;0")&gt;0,DATE($B$1,12,1)=DATE(YEAR(TODAY()),MONTH(TODAY()),1))),1,0))</f>
        <v/>
      </c>
    </row>
    <row r="364">
      <c r="A364" s="13">
        <f>IF(원생!$A362="","",원생!$A362&amp;IF(원생!$G362="",""," ("&amp;원생!$G362&amp;")"))</f>
        <v/>
      </c>
      <c r="B364" s="8">
        <f>IF(원생!$A362="","",원생!$F362)</f>
        <v/>
      </c>
      <c r="C364" s="14">
        <f>IF(원생!$A362="","",SUMIFS(수납!$F:$F,수납!$C:$C,원생!$A362,수납!$D:$D,IF(원생!$G362="","",원생!$G362),수납!$B:$B,$B$1&amp;"-"&amp;TEXT(1,"00")&amp;"*",수납!$E:$E,"수강료")+SUMIFS(수납!$F:$F,수납!$C:$C,원생!$A362,수납!$D:$D,IF(원생!$G362="","",원생!$G362),수납!$B:$B,$B$1&amp;"-"&amp;TEXT(1,"00")&amp;"*",수납!$E:$E,""))</f>
        <v/>
      </c>
      <c r="D364" s="14">
        <f>IF(원생!$A362="","",SUMIFS(수납!$F:$F,수납!$C:$C,원생!$A362,수납!$D:$D,IF(원생!$G362="","",원생!$G362),수납!$B:$B,$B$1&amp;"-"&amp;TEXT(2,"00")&amp;"*",수납!$E:$E,"수강료")+SUMIFS(수납!$F:$F,수납!$C:$C,원생!$A362,수납!$D:$D,IF(원생!$G362="","",원생!$G362),수납!$B:$B,$B$1&amp;"-"&amp;TEXT(2,"00")&amp;"*",수납!$E:$E,""))</f>
        <v/>
      </c>
      <c r="E364" s="14">
        <f>IF(원생!$A362="","",SUMIFS(수납!$F:$F,수납!$C:$C,원생!$A362,수납!$D:$D,IF(원생!$G362="","",원생!$G362),수납!$B:$B,$B$1&amp;"-"&amp;TEXT(3,"00")&amp;"*",수납!$E:$E,"수강료")+SUMIFS(수납!$F:$F,수납!$C:$C,원생!$A362,수납!$D:$D,IF(원생!$G362="","",원생!$G362),수납!$B:$B,$B$1&amp;"-"&amp;TEXT(3,"00")&amp;"*",수납!$E:$E,""))</f>
        <v/>
      </c>
      <c r="F364" s="14">
        <f>IF(원생!$A362="","",SUMIFS(수납!$F:$F,수납!$C:$C,원생!$A362,수납!$D:$D,IF(원생!$G362="","",원생!$G362),수납!$B:$B,$B$1&amp;"-"&amp;TEXT(4,"00")&amp;"*",수납!$E:$E,"수강료")+SUMIFS(수납!$F:$F,수납!$C:$C,원생!$A362,수납!$D:$D,IF(원생!$G362="","",원생!$G362),수납!$B:$B,$B$1&amp;"-"&amp;TEXT(4,"00")&amp;"*",수납!$E:$E,""))</f>
        <v/>
      </c>
      <c r="G364" s="14">
        <f>IF(원생!$A362="","",SUMIFS(수납!$F:$F,수납!$C:$C,원생!$A362,수납!$D:$D,IF(원생!$G362="","",원생!$G362),수납!$B:$B,$B$1&amp;"-"&amp;TEXT(5,"00")&amp;"*",수납!$E:$E,"수강료")+SUMIFS(수납!$F:$F,수납!$C:$C,원생!$A362,수납!$D:$D,IF(원생!$G362="","",원생!$G362),수납!$B:$B,$B$1&amp;"-"&amp;TEXT(5,"00")&amp;"*",수납!$E:$E,""))</f>
        <v/>
      </c>
      <c r="H364" s="14">
        <f>IF(원생!$A362="","",SUMIFS(수납!$F:$F,수납!$C:$C,원생!$A362,수납!$D:$D,IF(원생!$G362="","",원생!$G362),수납!$B:$B,$B$1&amp;"-"&amp;TEXT(6,"00")&amp;"*",수납!$E:$E,"수강료")+SUMIFS(수납!$F:$F,수납!$C:$C,원생!$A362,수납!$D:$D,IF(원생!$G362="","",원생!$G362),수납!$B:$B,$B$1&amp;"-"&amp;TEXT(6,"00")&amp;"*",수납!$E:$E,""))</f>
        <v/>
      </c>
      <c r="I364" s="14">
        <f>IF(원생!$A362="","",SUMIFS(수납!$F:$F,수납!$C:$C,원생!$A362,수납!$D:$D,IF(원생!$G362="","",원생!$G362),수납!$B:$B,$B$1&amp;"-"&amp;TEXT(7,"00")&amp;"*",수납!$E:$E,"수강료")+SUMIFS(수납!$F:$F,수납!$C:$C,원생!$A362,수납!$D:$D,IF(원생!$G362="","",원생!$G362),수납!$B:$B,$B$1&amp;"-"&amp;TEXT(7,"00")&amp;"*",수납!$E:$E,""))</f>
        <v/>
      </c>
      <c r="J364" s="14">
        <f>IF(원생!$A362="","",SUMIFS(수납!$F:$F,수납!$C:$C,원생!$A362,수납!$D:$D,IF(원생!$G362="","",원생!$G362),수납!$B:$B,$B$1&amp;"-"&amp;TEXT(8,"00")&amp;"*",수납!$E:$E,"수강료")+SUMIFS(수납!$F:$F,수납!$C:$C,원생!$A362,수납!$D:$D,IF(원생!$G362="","",원생!$G362),수납!$B:$B,$B$1&amp;"-"&amp;TEXT(8,"00")&amp;"*",수납!$E:$E,""))</f>
        <v/>
      </c>
      <c r="K364" s="14">
        <f>IF(원생!$A362="","",SUMIFS(수납!$F:$F,수납!$C:$C,원생!$A362,수납!$D:$D,IF(원생!$G362="","",원생!$G362),수납!$B:$B,$B$1&amp;"-"&amp;TEXT(9,"00")&amp;"*",수납!$E:$E,"수강료")+SUMIFS(수납!$F:$F,수납!$C:$C,원생!$A362,수납!$D:$D,IF(원생!$G362="","",원생!$G362),수납!$B:$B,$B$1&amp;"-"&amp;TEXT(9,"00")&amp;"*",수납!$E:$E,""))</f>
        <v/>
      </c>
      <c r="L364" s="14">
        <f>IF(원생!$A362="","",SUMIFS(수납!$F:$F,수납!$C:$C,원생!$A362,수납!$D:$D,IF(원생!$G362="","",원생!$G362),수납!$B:$B,$B$1&amp;"-"&amp;TEXT(10,"00")&amp;"*",수납!$E:$E,"수강료")+SUMIFS(수납!$F:$F,수납!$C:$C,원생!$A362,수납!$D:$D,IF(원생!$G362="","",원생!$G362),수납!$B:$B,$B$1&amp;"-"&amp;TEXT(10,"00")&amp;"*",수납!$E:$E,""))</f>
        <v/>
      </c>
      <c r="M364" s="14">
        <f>IF(원생!$A362="","",SUMIFS(수납!$F:$F,수납!$C:$C,원생!$A362,수납!$D:$D,IF(원생!$G362="","",원생!$G362),수납!$B:$B,$B$1&amp;"-"&amp;TEXT(11,"00")&amp;"*",수납!$E:$E,"수강료")+SUMIFS(수납!$F:$F,수납!$C:$C,원생!$A362,수납!$D:$D,IF(원생!$G362="","",원생!$G362),수납!$B:$B,$B$1&amp;"-"&amp;TEXT(11,"00")&amp;"*",수납!$E:$E,""))</f>
        <v/>
      </c>
      <c r="N364" s="14">
        <f>IF(원생!$A362="","",SUMIFS(수납!$F:$F,수납!$C:$C,원생!$A362,수납!$D:$D,IF(원생!$G362="","",원생!$G362),수납!$B:$B,$B$1&amp;"-"&amp;TEXT(12,"00")&amp;"*",수납!$E:$E,"수강료")+SUMIFS(수납!$F:$F,수납!$C:$C,원생!$A362,수납!$D:$D,IF(원생!$G362="","",원생!$G362),수납!$B:$B,$B$1&amp;"-"&amp;TEXT(12,"00")&amp;"*",수납!$E:$E,""))</f>
        <v/>
      </c>
      <c r="O364">
        <f>IF(원생!$I362="","",원생!$I362)</f>
        <v/>
      </c>
      <c r="P364">
        <f>IF($A364="","",IF(AND($B364&gt;0,C364&lt;$B364,DATE($B$1,1,1)&lt;=TODAY(),OR($O364="",$O364&gt;=DATE($B$1,1,1)),OR(COUNTIF($C364:C364,"&gt;0")&gt;0,DATE($B$1,1,1)=DATE(YEAR(TODAY()),MONTH(TODAY()),1))),1,0))</f>
        <v/>
      </c>
      <c r="Q364">
        <f>IF($A364="","",IF(AND($B364&gt;0,D364&lt;$B364,DATE($B$1,2,1)&lt;=TODAY(),OR($O364="",$O364&gt;=DATE($B$1,2,1)),OR(COUNTIF($C364:D364,"&gt;0")&gt;0,DATE($B$1,2,1)=DATE(YEAR(TODAY()),MONTH(TODAY()),1))),1,0))</f>
        <v/>
      </c>
      <c r="R364">
        <f>IF($A364="","",IF(AND($B364&gt;0,E364&lt;$B364,DATE($B$1,3,1)&lt;=TODAY(),OR($O364="",$O364&gt;=DATE($B$1,3,1)),OR(COUNTIF($C364:E364,"&gt;0")&gt;0,DATE($B$1,3,1)=DATE(YEAR(TODAY()),MONTH(TODAY()),1))),1,0))</f>
        <v/>
      </c>
      <c r="S364">
        <f>IF($A364="","",IF(AND($B364&gt;0,F364&lt;$B364,DATE($B$1,4,1)&lt;=TODAY(),OR($O364="",$O364&gt;=DATE($B$1,4,1)),OR(COUNTIF($C364:F364,"&gt;0")&gt;0,DATE($B$1,4,1)=DATE(YEAR(TODAY()),MONTH(TODAY()),1))),1,0))</f>
        <v/>
      </c>
      <c r="T364">
        <f>IF($A364="","",IF(AND($B364&gt;0,G364&lt;$B364,DATE($B$1,5,1)&lt;=TODAY(),OR($O364="",$O364&gt;=DATE($B$1,5,1)),OR(COUNTIF($C364:G364,"&gt;0")&gt;0,DATE($B$1,5,1)=DATE(YEAR(TODAY()),MONTH(TODAY()),1))),1,0))</f>
        <v/>
      </c>
      <c r="U364">
        <f>IF($A364="","",IF(AND($B364&gt;0,H364&lt;$B364,DATE($B$1,6,1)&lt;=TODAY(),OR($O364="",$O364&gt;=DATE($B$1,6,1)),OR(COUNTIF($C364:H364,"&gt;0")&gt;0,DATE($B$1,6,1)=DATE(YEAR(TODAY()),MONTH(TODAY()),1))),1,0))</f>
        <v/>
      </c>
      <c r="V364">
        <f>IF($A364="","",IF(AND($B364&gt;0,I364&lt;$B364,DATE($B$1,7,1)&lt;=TODAY(),OR($O364="",$O364&gt;=DATE($B$1,7,1)),OR(COUNTIF($C364:I364,"&gt;0")&gt;0,DATE($B$1,7,1)=DATE(YEAR(TODAY()),MONTH(TODAY()),1))),1,0))</f>
        <v/>
      </c>
      <c r="W364">
        <f>IF($A364="","",IF(AND($B364&gt;0,J364&lt;$B364,DATE($B$1,8,1)&lt;=TODAY(),OR($O364="",$O364&gt;=DATE($B$1,8,1)),OR(COUNTIF($C364:J364,"&gt;0")&gt;0,DATE($B$1,8,1)=DATE(YEAR(TODAY()),MONTH(TODAY()),1))),1,0))</f>
        <v/>
      </c>
      <c r="X364">
        <f>IF($A364="","",IF(AND($B364&gt;0,K364&lt;$B364,DATE($B$1,9,1)&lt;=TODAY(),OR($O364="",$O364&gt;=DATE($B$1,9,1)),OR(COUNTIF($C364:K364,"&gt;0")&gt;0,DATE($B$1,9,1)=DATE(YEAR(TODAY()),MONTH(TODAY()),1))),1,0))</f>
        <v/>
      </c>
      <c r="Y364">
        <f>IF($A364="","",IF(AND($B364&gt;0,L364&lt;$B364,DATE($B$1,10,1)&lt;=TODAY(),OR($O364="",$O364&gt;=DATE($B$1,10,1)),OR(COUNTIF($C364:L364,"&gt;0")&gt;0,DATE($B$1,10,1)=DATE(YEAR(TODAY()),MONTH(TODAY()),1))),1,0))</f>
        <v/>
      </c>
      <c r="Z364">
        <f>IF($A364="","",IF(AND($B364&gt;0,M364&lt;$B364,DATE($B$1,11,1)&lt;=TODAY(),OR($O364="",$O364&gt;=DATE($B$1,11,1)),OR(COUNTIF($C364:M364,"&gt;0")&gt;0,DATE($B$1,11,1)=DATE(YEAR(TODAY()),MONTH(TODAY()),1))),1,0))</f>
        <v/>
      </c>
      <c r="AA364">
        <f>IF($A364="","",IF(AND($B364&gt;0,N364&lt;$B364,DATE($B$1,12,1)&lt;=TODAY(),OR($O364="",$O364&gt;=DATE($B$1,12,1)),OR(COUNTIF($C364:N364,"&gt;0")&gt;0,DATE($B$1,12,1)=DATE(YEAR(TODAY()),MONTH(TODAY()),1))),1,0))</f>
        <v/>
      </c>
    </row>
    <row r="365">
      <c r="A365" s="13">
        <f>IF(원생!$A363="","",원생!$A363&amp;IF(원생!$G363="",""," ("&amp;원생!$G363&amp;")"))</f>
        <v/>
      </c>
      <c r="B365" s="8">
        <f>IF(원생!$A363="","",원생!$F363)</f>
        <v/>
      </c>
      <c r="C365" s="14">
        <f>IF(원생!$A363="","",SUMIFS(수납!$F:$F,수납!$C:$C,원생!$A363,수납!$D:$D,IF(원생!$G363="","",원생!$G363),수납!$B:$B,$B$1&amp;"-"&amp;TEXT(1,"00")&amp;"*",수납!$E:$E,"수강료")+SUMIFS(수납!$F:$F,수납!$C:$C,원생!$A363,수납!$D:$D,IF(원생!$G363="","",원생!$G363),수납!$B:$B,$B$1&amp;"-"&amp;TEXT(1,"00")&amp;"*",수납!$E:$E,""))</f>
        <v/>
      </c>
      <c r="D365" s="14">
        <f>IF(원생!$A363="","",SUMIFS(수납!$F:$F,수납!$C:$C,원생!$A363,수납!$D:$D,IF(원생!$G363="","",원생!$G363),수납!$B:$B,$B$1&amp;"-"&amp;TEXT(2,"00")&amp;"*",수납!$E:$E,"수강료")+SUMIFS(수납!$F:$F,수납!$C:$C,원생!$A363,수납!$D:$D,IF(원생!$G363="","",원생!$G363),수납!$B:$B,$B$1&amp;"-"&amp;TEXT(2,"00")&amp;"*",수납!$E:$E,""))</f>
        <v/>
      </c>
      <c r="E365" s="14">
        <f>IF(원생!$A363="","",SUMIFS(수납!$F:$F,수납!$C:$C,원생!$A363,수납!$D:$D,IF(원생!$G363="","",원생!$G363),수납!$B:$B,$B$1&amp;"-"&amp;TEXT(3,"00")&amp;"*",수납!$E:$E,"수강료")+SUMIFS(수납!$F:$F,수납!$C:$C,원생!$A363,수납!$D:$D,IF(원생!$G363="","",원생!$G363),수납!$B:$B,$B$1&amp;"-"&amp;TEXT(3,"00")&amp;"*",수납!$E:$E,""))</f>
        <v/>
      </c>
      <c r="F365" s="14">
        <f>IF(원생!$A363="","",SUMIFS(수납!$F:$F,수납!$C:$C,원생!$A363,수납!$D:$D,IF(원생!$G363="","",원생!$G363),수납!$B:$B,$B$1&amp;"-"&amp;TEXT(4,"00")&amp;"*",수납!$E:$E,"수강료")+SUMIFS(수납!$F:$F,수납!$C:$C,원생!$A363,수납!$D:$D,IF(원생!$G363="","",원생!$G363),수납!$B:$B,$B$1&amp;"-"&amp;TEXT(4,"00")&amp;"*",수납!$E:$E,""))</f>
        <v/>
      </c>
      <c r="G365" s="14">
        <f>IF(원생!$A363="","",SUMIFS(수납!$F:$F,수납!$C:$C,원생!$A363,수납!$D:$D,IF(원생!$G363="","",원생!$G363),수납!$B:$B,$B$1&amp;"-"&amp;TEXT(5,"00")&amp;"*",수납!$E:$E,"수강료")+SUMIFS(수납!$F:$F,수납!$C:$C,원생!$A363,수납!$D:$D,IF(원생!$G363="","",원생!$G363),수납!$B:$B,$B$1&amp;"-"&amp;TEXT(5,"00")&amp;"*",수납!$E:$E,""))</f>
        <v/>
      </c>
      <c r="H365" s="14">
        <f>IF(원생!$A363="","",SUMIFS(수납!$F:$F,수납!$C:$C,원생!$A363,수납!$D:$D,IF(원생!$G363="","",원생!$G363),수납!$B:$B,$B$1&amp;"-"&amp;TEXT(6,"00")&amp;"*",수납!$E:$E,"수강료")+SUMIFS(수납!$F:$F,수납!$C:$C,원생!$A363,수납!$D:$D,IF(원생!$G363="","",원생!$G363),수납!$B:$B,$B$1&amp;"-"&amp;TEXT(6,"00")&amp;"*",수납!$E:$E,""))</f>
        <v/>
      </c>
      <c r="I365" s="14">
        <f>IF(원생!$A363="","",SUMIFS(수납!$F:$F,수납!$C:$C,원생!$A363,수납!$D:$D,IF(원생!$G363="","",원생!$G363),수납!$B:$B,$B$1&amp;"-"&amp;TEXT(7,"00")&amp;"*",수납!$E:$E,"수강료")+SUMIFS(수납!$F:$F,수납!$C:$C,원생!$A363,수납!$D:$D,IF(원생!$G363="","",원생!$G363),수납!$B:$B,$B$1&amp;"-"&amp;TEXT(7,"00")&amp;"*",수납!$E:$E,""))</f>
        <v/>
      </c>
      <c r="J365" s="14">
        <f>IF(원생!$A363="","",SUMIFS(수납!$F:$F,수납!$C:$C,원생!$A363,수납!$D:$D,IF(원생!$G363="","",원생!$G363),수납!$B:$B,$B$1&amp;"-"&amp;TEXT(8,"00")&amp;"*",수납!$E:$E,"수강료")+SUMIFS(수납!$F:$F,수납!$C:$C,원생!$A363,수납!$D:$D,IF(원생!$G363="","",원생!$G363),수납!$B:$B,$B$1&amp;"-"&amp;TEXT(8,"00")&amp;"*",수납!$E:$E,""))</f>
        <v/>
      </c>
      <c r="K365" s="14">
        <f>IF(원생!$A363="","",SUMIFS(수납!$F:$F,수납!$C:$C,원생!$A363,수납!$D:$D,IF(원생!$G363="","",원생!$G363),수납!$B:$B,$B$1&amp;"-"&amp;TEXT(9,"00")&amp;"*",수납!$E:$E,"수강료")+SUMIFS(수납!$F:$F,수납!$C:$C,원생!$A363,수납!$D:$D,IF(원생!$G363="","",원생!$G363),수납!$B:$B,$B$1&amp;"-"&amp;TEXT(9,"00")&amp;"*",수납!$E:$E,""))</f>
        <v/>
      </c>
      <c r="L365" s="14">
        <f>IF(원생!$A363="","",SUMIFS(수납!$F:$F,수납!$C:$C,원생!$A363,수납!$D:$D,IF(원생!$G363="","",원생!$G363),수납!$B:$B,$B$1&amp;"-"&amp;TEXT(10,"00")&amp;"*",수납!$E:$E,"수강료")+SUMIFS(수납!$F:$F,수납!$C:$C,원생!$A363,수납!$D:$D,IF(원생!$G363="","",원생!$G363),수납!$B:$B,$B$1&amp;"-"&amp;TEXT(10,"00")&amp;"*",수납!$E:$E,""))</f>
        <v/>
      </c>
      <c r="M365" s="14">
        <f>IF(원생!$A363="","",SUMIFS(수납!$F:$F,수납!$C:$C,원생!$A363,수납!$D:$D,IF(원생!$G363="","",원생!$G363),수납!$B:$B,$B$1&amp;"-"&amp;TEXT(11,"00")&amp;"*",수납!$E:$E,"수강료")+SUMIFS(수납!$F:$F,수납!$C:$C,원생!$A363,수납!$D:$D,IF(원생!$G363="","",원생!$G363),수납!$B:$B,$B$1&amp;"-"&amp;TEXT(11,"00")&amp;"*",수납!$E:$E,""))</f>
        <v/>
      </c>
      <c r="N365" s="14">
        <f>IF(원생!$A363="","",SUMIFS(수납!$F:$F,수납!$C:$C,원생!$A363,수납!$D:$D,IF(원생!$G363="","",원생!$G363),수납!$B:$B,$B$1&amp;"-"&amp;TEXT(12,"00")&amp;"*",수납!$E:$E,"수강료")+SUMIFS(수납!$F:$F,수납!$C:$C,원생!$A363,수납!$D:$D,IF(원생!$G363="","",원생!$G363),수납!$B:$B,$B$1&amp;"-"&amp;TEXT(12,"00")&amp;"*",수납!$E:$E,""))</f>
        <v/>
      </c>
      <c r="O365">
        <f>IF(원생!$I363="","",원생!$I363)</f>
        <v/>
      </c>
      <c r="P365">
        <f>IF($A365="","",IF(AND($B365&gt;0,C365&lt;$B365,DATE($B$1,1,1)&lt;=TODAY(),OR($O365="",$O365&gt;=DATE($B$1,1,1)),OR(COUNTIF($C365:C365,"&gt;0")&gt;0,DATE($B$1,1,1)=DATE(YEAR(TODAY()),MONTH(TODAY()),1))),1,0))</f>
        <v/>
      </c>
      <c r="Q365">
        <f>IF($A365="","",IF(AND($B365&gt;0,D365&lt;$B365,DATE($B$1,2,1)&lt;=TODAY(),OR($O365="",$O365&gt;=DATE($B$1,2,1)),OR(COUNTIF($C365:D365,"&gt;0")&gt;0,DATE($B$1,2,1)=DATE(YEAR(TODAY()),MONTH(TODAY()),1))),1,0))</f>
        <v/>
      </c>
      <c r="R365">
        <f>IF($A365="","",IF(AND($B365&gt;0,E365&lt;$B365,DATE($B$1,3,1)&lt;=TODAY(),OR($O365="",$O365&gt;=DATE($B$1,3,1)),OR(COUNTIF($C365:E365,"&gt;0")&gt;0,DATE($B$1,3,1)=DATE(YEAR(TODAY()),MONTH(TODAY()),1))),1,0))</f>
        <v/>
      </c>
      <c r="S365">
        <f>IF($A365="","",IF(AND($B365&gt;0,F365&lt;$B365,DATE($B$1,4,1)&lt;=TODAY(),OR($O365="",$O365&gt;=DATE($B$1,4,1)),OR(COUNTIF($C365:F365,"&gt;0")&gt;0,DATE($B$1,4,1)=DATE(YEAR(TODAY()),MONTH(TODAY()),1))),1,0))</f>
        <v/>
      </c>
      <c r="T365">
        <f>IF($A365="","",IF(AND($B365&gt;0,G365&lt;$B365,DATE($B$1,5,1)&lt;=TODAY(),OR($O365="",$O365&gt;=DATE($B$1,5,1)),OR(COUNTIF($C365:G365,"&gt;0")&gt;0,DATE($B$1,5,1)=DATE(YEAR(TODAY()),MONTH(TODAY()),1))),1,0))</f>
        <v/>
      </c>
      <c r="U365">
        <f>IF($A365="","",IF(AND($B365&gt;0,H365&lt;$B365,DATE($B$1,6,1)&lt;=TODAY(),OR($O365="",$O365&gt;=DATE($B$1,6,1)),OR(COUNTIF($C365:H365,"&gt;0")&gt;0,DATE($B$1,6,1)=DATE(YEAR(TODAY()),MONTH(TODAY()),1))),1,0))</f>
        <v/>
      </c>
      <c r="V365">
        <f>IF($A365="","",IF(AND($B365&gt;0,I365&lt;$B365,DATE($B$1,7,1)&lt;=TODAY(),OR($O365="",$O365&gt;=DATE($B$1,7,1)),OR(COUNTIF($C365:I365,"&gt;0")&gt;0,DATE($B$1,7,1)=DATE(YEAR(TODAY()),MONTH(TODAY()),1))),1,0))</f>
        <v/>
      </c>
      <c r="W365">
        <f>IF($A365="","",IF(AND($B365&gt;0,J365&lt;$B365,DATE($B$1,8,1)&lt;=TODAY(),OR($O365="",$O365&gt;=DATE($B$1,8,1)),OR(COUNTIF($C365:J365,"&gt;0")&gt;0,DATE($B$1,8,1)=DATE(YEAR(TODAY()),MONTH(TODAY()),1))),1,0))</f>
        <v/>
      </c>
      <c r="X365">
        <f>IF($A365="","",IF(AND($B365&gt;0,K365&lt;$B365,DATE($B$1,9,1)&lt;=TODAY(),OR($O365="",$O365&gt;=DATE($B$1,9,1)),OR(COUNTIF($C365:K365,"&gt;0")&gt;0,DATE($B$1,9,1)=DATE(YEAR(TODAY()),MONTH(TODAY()),1))),1,0))</f>
        <v/>
      </c>
      <c r="Y365">
        <f>IF($A365="","",IF(AND($B365&gt;0,L365&lt;$B365,DATE($B$1,10,1)&lt;=TODAY(),OR($O365="",$O365&gt;=DATE($B$1,10,1)),OR(COUNTIF($C365:L365,"&gt;0")&gt;0,DATE($B$1,10,1)=DATE(YEAR(TODAY()),MONTH(TODAY()),1))),1,0))</f>
        <v/>
      </c>
      <c r="Z365">
        <f>IF($A365="","",IF(AND($B365&gt;0,M365&lt;$B365,DATE($B$1,11,1)&lt;=TODAY(),OR($O365="",$O365&gt;=DATE($B$1,11,1)),OR(COUNTIF($C365:M365,"&gt;0")&gt;0,DATE($B$1,11,1)=DATE(YEAR(TODAY()),MONTH(TODAY()),1))),1,0))</f>
        <v/>
      </c>
      <c r="AA365">
        <f>IF($A365="","",IF(AND($B365&gt;0,N365&lt;$B365,DATE($B$1,12,1)&lt;=TODAY(),OR($O365="",$O365&gt;=DATE($B$1,12,1)),OR(COUNTIF($C365:N365,"&gt;0")&gt;0,DATE($B$1,12,1)=DATE(YEAR(TODAY()),MONTH(TODAY()),1))),1,0))</f>
        <v/>
      </c>
    </row>
    <row r="366">
      <c r="A366" s="13">
        <f>IF(원생!$A364="","",원생!$A364&amp;IF(원생!$G364="",""," ("&amp;원생!$G364&amp;")"))</f>
        <v/>
      </c>
      <c r="B366" s="8">
        <f>IF(원생!$A364="","",원생!$F364)</f>
        <v/>
      </c>
      <c r="C366" s="14">
        <f>IF(원생!$A364="","",SUMIFS(수납!$F:$F,수납!$C:$C,원생!$A364,수납!$D:$D,IF(원생!$G364="","",원생!$G364),수납!$B:$B,$B$1&amp;"-"&amp;TEXT(1,"00")&amp;"*",수납!$E:$E,"수강료")+SUMIFS(수납!$F:$F,수납!$C:$C,원생!$A364,수납!$D:$D,IF(원생!$G364="","",원생!$G364),수납!$B:$B,$B$1&amp;"-"&amp;TEXT(1,"00")&amp;"*",수납!$E:$E,""))</f>
        <v/>
      </c>
      <c r="D366" s="14">
        <f>IF(원생!$A364="","",SUMIFS(수납!$F:$F,수납!$C:$C,원생!$A364,수납!$D:$D,IF(원생!$G364="","",원생!$G364),수납!$B:$B,$B$1&amp;"-"&amp;TEXT(2,"00")&amp;"*",수납!$E:$E,"수강료")+SUMIFS(수납!$F:$F,수납!$C:$C,원생!$A364,수납!$D:$D,IF(원생!$G364="","",원생!$G364),수납!$B:$B,$B$1&amp;"-"&amp;TEXT(2,"00")&amp;"*",수납!$E:$E,""))</f>
        <v/>
      </c>
      <c r="E366" s="14">
        <f>IF(원생!$A364="","",SUMIFS(수납!$F:$F,수납!$C:$C,원생!$A364,수납!$D:$D,IF(원생!$G364="","",원생!$G364),수납!$B:$B,$B$1&amp;"-"&amp;TEXT(3,"00")&amp;"*",수납!$E:$E,"수강료")+SUMIFS(수납!$F:$F,수납!$C:$C,원생!$A364,수납!$D:$D,IF(원생!$G364="","",원생!$G364),수납!$B:$B,$B$1&amp;"-"&amp;TEXT(3,"00")&amp;"*",수납!$E:$E,""))</f>
        <v/>
      </c>
      <c r="F366" s="14">
        <f>IF(원생!$A364="","",SUMIFS(수납!$F:$F,수납!$C:$C,원생!$A364,수납!$D:$D,IF(원생!$G364="","",원생!$G364),수납!$B:$B,$B$1&amp;"-"&amp;TEXT(4,"00")&amp;"*",수납!$E:$E,"수강료")+SUMIFS(수납!$F:$F,수납!$C:$C,원생!$A364,수납!$D:$D,IF(원생!$G364="","",원생!$G364),수납!$B:$B,$B$1&amp;"-"&amp;TEXT(4,"00")&amp;"*",수납!$E:$E,""))</f>
        <v/>
      </c>
      <c r="G366" s="14">
        <f>IF(원생!$A364="","",SUMIFS(수납!$F:$F,수납!$C:$C,원생!$A364,수납!$D:$D,IF(원생!$G364="","",원생!$G364),수납!$B:$B,$B$1&amp;"-"&amp;TEXT(5,"00")&amp;"*",수납!$E:$E,"수강료")+SUMIFS(수납!$F:$F,수납!$C:$C,원생!$A364,수납!$D:$D,IF(원생!$G364="","",원생!$G364),수납!$B:$B,$B$1&amp;"-"&amp;TEXT(5,"00")&amp;"*",수납!$E:$E,""))</f>
        <v/>
      </c>
      <c r="H366" s="14">
        <f>IF(원생!$A364="","",SUMIFS(수납!$F:$F,수납!$C:$C,원생!$A364,수납!$D:$D,IF(원생!$G364="","",원생!$G364),수납!$B:$B,$B$1&amp;"-"&amp;TEXT(6,"00")&amp;"*",수납!$E:$E,"수강료")+SUMIFS(수납!$F:$F,수납!$C:$C,원생!$A364,수납!$D:$D,IF(원생!$G364="","",원생!$G364),수납!$B:$B,$B$1&amp;"-"&amp;TEXT(6,"00")&amp;"*",수납!$E:$E,""))</f>
        <v/>
      </c>
      <c r="I366" s="14">
        <f>IF(원생!$A364="","",SUMIFS(수납!$F:$F,수납!$C:$C,원생!$A364,수납!$D:$D,IF(원생!$G364="","",원생!$G364),수납!$B:$B,$B$1&amp;"-"&amp;TEXT(7,"00")&amp;"*",수납!$E:$E,"수강료")+SUMIFS(수납!$F:$F,수납!$C:$C,원생!$A364,수납!$D:$D,IF(원생!$G364="","",원생!$G364),수납!$B:$B,$B$1&amp;"-"&amp;TEXT(7,"00")&amp;"*",수납!$E:$E,""))</f>
        <v/>
      </c>
      <c r="J366" s="14">
        <f>IF(원생!$A364="","",SUMIFS(수납!$F:$F,수납!$C:$C,원생!$A364,수납!$D:$D,IF(원생!$G364="","",원생!$G364),수납!$B:$B,$B$1&amp;"-"&amp;TEXT(8,"00")&amp;"*",수납!$E:$E,"수강료")+SUMIFS(수납!$F:$F,수납!$C:$C,원생!$A364,수납!$D:$D,IF(원생!$G364="","",원생!$G364),수납!$B:$B,$B$1&amp;"-"&amp;TEXT(8,"00")&amp;"*",수납!$E:$E,""))</f>
        <v/>
      </c>
      <c r="K366" s="14">
        <f>IF(원생!$A364="","",SUMIFS(수납!$F:$F,수납!$C:$C,원생!$A364,수납!$D:$D,IF(원생!$G364="","",원생!$G364),수납!$B:$B,$B$1&amp;"-"&amp;TEXT(9,"00")&amp;"*",수납!$E:$E,"수강료")+SUMIFS(수납!$F:$F,수납!$C:$C,원생!$A364,수납!$D:$D,IF(원생!$G364="","",원생!$G364),수납!$B:$B,$B$1&amp;"-"&amp;TEXT(9,"00")&amp;"*",수납!$E:$E,""))</f>
        <v/>
      </c>
      <c r="L366" s="14">
        <f>IF(원생!$A364="","",SUMIFS(수납!$F:$F,수납!$C:$C,원생!$A364,수납!$D:$D,IF(원생!$G364="","",원생!$G364),수납!$B:$B,$B$1&amp;"-"&amp;TEXT(10,"00")&amp;"*",수납!$E:$E,"수강료")+SUMIFS(수납!$F:$F,수납!$C:$C,원생!$A364,수납!$D:$D,IF(원생!$G364="","",원생!$G364),수납!$B:$B,$B$1&amp;"-"&amp;TEXT(10,"00")&amp;"*",수납!$E:$E,""))</f>
        <v/>
      </c>
      <c r="M366" s="14">
        <f>IF(원생!$A364="","",SUMIFS(수납!$F:$F,수납!$C:$C,원생!$A364,수납!$D:$D,IF(원생!$G364="","",원생!$G364),수납!$B:$B,$B$1&amp;"-"&amp;TEXT(11,"00")&amp;"*",수납!$E:$E,"수강료")+SUMIFS(수납!$F:$F,수납!$C:$C,원생!$A364,수납!$D:$D,IF(원생!$G364="","",원생!$G364),수납!$B:$B,$B$1&amp;"-"&amp;TEXT(11,"00")&amp;"*",수납!$E:$E,""))</f>
        <v/>
      </c>
      <c r="N366" s="14">
        <f>IF(원생!$A364="","",SUMIFS(수납!$F:$F,수납!$C:$C,원생!$A364,수납!$D:$D,IF(원생!$G364="","",원생!$G364),수납!$B:$B,$B$1&amp;"-"&amp;TEXT(12,"00")&amp;"*",수납!$E:$E,"수강료")+SUMIFS(수납!$F:$F,수납!$C:$C,원생!$A364,수납!$D:$D,IF(원생!$G364="","",원생!$G364),수납!$B:$B,$B$1&amp;"-"&amp;TEXT(12,"00")&amp;"*",수납!$E:$E,""))</f>
        <v/>
      </c>
      <c r="O366">
        <f>IF(원생!$I364="","",원생!$I364)</f>
        <v/>
      </c>
      <c r="P366">
        <f>IF($A366="","",IF(AND($B366&gt;0,C366&lt;$B366,DATE($B$1,1,1)&lt;=TODAY(),OR($O366="",$O366&gt;=DATE($B$1,1,1)),OR(COUNTIF($C366:C366,"&gt;0")&gt;0,DATE($B$1,1,1)=DATE(YEAR(TODAY()),MONTH(TODAY()),1))),1,0))</f>
        <v/>
      </c>
      <c r="Q366">
        <f>IF($A366="","",IF(AND($B366&gt;0,D366&lt;$B366,DATE($B$1,2,1)&lt;=TODAY(),OR($O366="",$O366&gt;=DATE($B$1,2,1)),OR(COUNTIF($C366:D366,"&gt;0")&gt;0,DATE($B$1,2,1)=DATE(YEAR(TODAY()),MONTH(TODAY()),1))),1,0))</f>
        <v/>
      </c>
      <c r="R366">
        <f>IF($A366="","",IF(AND($B366&gt;0,E366&lt;$B366,DATE($B$1,3,1)&lt;=TODAY(),OR($O366="",$O366&gt;=DATE($B$1,3,1)),OR(COUNTIF($C366:E366,"&gt;0")&gt;0,DATE($B$1,3,1)=DATE(YEAR(TODAY()),MONTH(TODAY()),1))),1,0))</f>
        <v/>
      </c>
      <c r="S366">
        <f>IF($A366="","",IF(AND($B366&gt;0,F366&lt;$B366,DATE($B$1,4,1)&lt;=TODAY(),OR($O366="",$O366&gt;=DATE($B$1,4,1)),OR(COUNTIF($C366:F366,"&gt;0")&gt;0,DATE($B$1,4,1)=DATE(YEAR(TODAY()),MONTH(TODAY()),1))),1,0))</f>
        <v/>
      </c>
      <c r="T366">
        <f>IF($A366="","",IF(AND($B366&gt;0,G366&lt;$B366,DATE($B$1,5,1)&lt;=TODAY(),OR($O366="",$O366&gt;=DATE($B$1,5,1)),OR(COUNTIF($C366:G366,"&gt;0")&gt;0,DATE($B$1,5,1)=DATE(YEAR(TODAY()),MONTH(TODAY()),1))),1,0))</f>
        <v/>
      </c>
      <c r="U366">
        <f>IF($A366="","",IF(AND($B366&gt;0,H366&lt;$B366,DATE($B$1,6,1)&lt;=TODAY(),OR($O366="",$O366&gt;=DATE($B$1,6,1)),OR(COUNTIF($C366:H366,"&gt;0")&gt;0,DATE($B$1,6,1)=DATE(YEAR(TODAY()),MONTH(TODAY()),1))),1,0))</f>
        <v/>
      </c>
      <c r="V366">
        <f>IF($A366="","",IF(AND($B366&gt;0,I366&lt;$B366,DATE($B$1,7,1)&lt;=TODAY(),OR($O366="",$O366&gt;=DATE($B$1,7,1)),OR(COUNTIF($C366:I366,"&gt;0")&gt;0,DATE($B$1,7,1)=DATE(YEAR(TODAY()),MONTH(TODAY()),1))),1,0))</f>
        <v/>
      </c>
      <c r="W366">
        <f>IF($A366="","",IF(AND($B366&gt;0,J366&lt;$B366,DATE($B$1,8,1)&lt;=TODAY(),OR($O366="",$O366&gt;=DATE($B$1,8,1)),OR(COUNTIF($C366:J366,"&gt;0")&gt;0,DATE($B$1,8,1)=DATE(YEAR(TODAY()),MONTH(TODAY()),1))),1,0))</f>
        <v/>
      </c>
      <c r="X366">
        <f>IF($A366="","",IF(AND($B366&gt;0,K366&lt;$B366,DATE($B$1,9,1)&lt;=TODAY(),OR($O366="",$O366&gt;=DATE($B$1,9,1)),OR(COUNTIF($C366:K366,"&gt;0")&gt;0,DATE($B$1,9,1)=DATE(YEAR(TODAY()),MONTH(TODAY()),1))),1,0))</f>
        <v/>
      </c>
      <c r="Y366">
        <f>IF($A366="","",IF(AND($B366&gt;0,L366&lt;$B366,DATE($B$1,10,1)&lt;=TODAY(),OR($O366="",$O366&gt;=DATE($B$1,10,1)),OR(COUNTIF($C366:L366,"&gt;0")&gt;0,DATE($B$1,10,1)=DATE(YEAR(TODAY()),MONTH(TODAY()),1))),1,0))</f>
        <v/>
      </c>
      <c r="Z366">
        <f>IF($A366="","",IF(AND($B366&gt;0,M366&lt;$B366,DATE($B$1,11,1)&lt;=TODAY(),OR($O366="",$O366&gt;=DATE($B$1,11,1)),OR(COUNTIF($C366:M366,"&gt;0")&gt;0,DATE($B$1,11,1)=DATE(YEAR(TODAY()),MONTH(TODAY()),1))),1,0))</f>
        <v/>
      </c>
      <c r="AA366">
        <f>IF($A366="","",IF(AND($B366&gt;0,N366&lt;$B366,DATE($B$1,12,1)&lt;=TODAY(),OR($O366="",$O366&gt;=DATE($B$1,12,1)),OR(COUNTIF($C366:N366,"&gt;0")&gt;0,DATE($B$1,12,1)=DATE(YEAR(TODAY()),MONTH(TODAY()),1))),1,0))</f>
        <v/>
      </c>
    </row>
    <row r="367">
      <c r="A367" s="13">
        <f>IF(원생!$A365="","",원생!$A365&amp;IF(원생!$G365="",""," ("&amp;원생!$G365&amp;")"))</f>
        <v/>
      </c>
      <c r="B367" s="8">
        <f>IF(원생!$A365="","",원생!$F365)</f>
        <v/>
      </c>
      <c r="C367" s="14">
        <f>IF(원생!$A365="","",SUMIFS(수납!$F:$F,수납!$C:$C,원생!$A365,수납!$D:$D,IF(원생!$G365="","",원생!$G365),수납!$B:$B,$B$1&amp;"-"&amp;TEXT(1,"00")&amp;"*",수납!$E:$E,"수강료")+SUMIFS(수납!$F:$F,수납!$C:$C,원생!$A365,수납!$D:$D,IF(원생!$G365="","",원생!$G365),수납!$B:$B,$B$1&amp;"-"&amp;TEXT(1,"00")&amp;"*",수납!$E:$E,""))</f>
        <v/>
      </c>
      <c r="D367" s="14">
        <f>IF(원생!$A365="","",SUMIFS(수납!$F:$F,수납!$C:$C,원생!$A365,수납!$D:$D,IF(원생!$G365="","",원생!$G365),수납!$B:$B,$B$1&amp;"-"&amp;TEXT(2,"00")&amp;"*",수납!$E:$E,"수강료")+SUMIFS(수납!$F:$F,수납!$C:$C,원생!$A365,수납!$D:$D,IF(원생!$G365="","",원생!$G365),수납!$B:$B,$B$1&amp;"-"&amp;TEXT(2,"00")&amp;"*",수납!$E:$E,""))</f>
        <v/>
      </c>
      <c r="E367" s="14">
        <f>IF(원생!$A365="","",SUMIFS(수납!$F:$F,수납!$C:$C,원생!$A365,수납!$D:$D,IF(원생!$G365="","",원생!$G365),수납!$B:$B,$B$1&amp;"-"&amp;TEXT(3,"00")&amp;"*",수납!$E:$E,"수강료")+SUMIFS(수납!$F:$F,수납!$C:$C,원생!$A365,수납!$D:$D,IF(원생!$G365="","",원생!$G365),수납!$B:$B,$B$1&amp;"-"&amp;TEXT(3,"00")&amp;"*",수납!$E:$E,""))</f>
        <v/>
      </c>
      <c r="F367" s="14">
        <f>IF(원생!$A365="","",SUMIFS(수납!$F:$F,수납!$C:$C,원생!$A365,수납!$D:$D,IF(원생!$G365="","",원생!$G365),수납!$B:$B,$B$1&amp;"-"&amp;TEXT(4,"00")&amp;"*",수납!$E:$E,"수강료")+SUMIFS(수납!$F:$F,수납!$C:$C,원생!$A365,수납!$D:$D,IF(원생!$G365="","",원생!$G365),수납!$B:$B,$B$1&amp;"-"&amp;TEXT(4,"00")&amp;"*",수납!$E:$E,""))</f>
        <v/>
      </c>
      <c r="G367" s="14">
        <f>IF(원생!$A365="","",SUMIFS(수납!$F:$F,수납!$C:$C,원생!$A365,수납!$D:$D,IF(원생!$G365="","",원생!$G365),수납!$B:$B,$B$1&amp;"-"&amp;TEXT(5,"00")&amp;"*",수납!$E:$E,"수강료")+SUMIFS(수납!$F:$F,수납!$C:$C,원생!$A365,수납!$D:$D,IF(원생!$G365="","",원생!$G365),수납!$B:$B,$B$1&amp;"-"&amp;TEXT(5,"00")&amp;"*",수납!$E:$E,""))</f>
        <v/>
      </c>
      <c r="H367" s="14">
        <f>IF(원생!$A365="","",SUMIFS(수납!$F:$F,수납!$C:$C,원생!$A365,수납!$D:$D,IF(원생!$G365="","",원생!$G365),수납!$B:$B,$B$1&amp;"-"&amp;TEXT(6,"00")&amp;"*",수납!$E:$E,"수강료")+SUMIFS(수납!$F:$F,수납!$C:$C,원생!$A365,수납!$D:$D,IF(원생!$G365="","",원생!$G365),수납!$B:$B,$B$1&amp;"-"&amp;TEXT(6,"00")&amp;"*",수납!$E:$E,""))</f>
        <v/>
      </c>
      <c r="I367" s="14">
        <f>IF(원생!$A365="","",SUMIFS(수납!$F:$F,수납!$C:$C,원생!$A365,수납!$D:$D,IF(원생!$G365="","",원생!$G365),수납!$B:$B,$B$1&amp;"-"&amp;TEXT(7,"00")&amp;"*",수납!$E:$E,"수강료")+SUMIFS(수납!$F:$F,수납!$C:$C,원생!$A365,수납!$D:$D,IF(원생!$G365="","",원생!$G365),수납!$B:$B,$B$1&amp;"-"&amp;TEXT(7,"00")&amp;"*",수납!$E:$E,""))</f>
        <v/>
      </c>
      <c r="J367" s="14">
        <f>IF(원생!$A365="","",SUMIFS(수납!$F:$F,수납!$C:$C,원생!$A365,수납!$D:$D,IF(원생!$G365="","",원생!$G365),수납!$B:$B,$B$1&amp;"-"&amp;TEXT(8,"00")&amp;"*",수납!$E:$E,"수강료")+SUMIFS(수납!$F:$F,수납!$C:$C,원생!$A365,수납!$D:$D,IF(원생!$G365="","",원생!$G365),수납!$B:$B,$B$1&amp;"-"&amp;TEXT(8,"00")&amp;"*",수납!$E:$E,""))</f>
        <v/>
      </c>
      <c r="K367" s="14">
        <f>IF(원생!$A365="","",SUMIFS(수납!$F:$F,수납!$C:$C,원생!$A365,수납!$D:$D,IF(원생!$G365="","",원생!$G365),수납!$B:$B,$B$1&amp;"-"&amp;TEXT(9,"00")&amp;"*",수납!$E:$E,"수강료")+SUMIFS(수납!$F:$F,수납!$C:$C,원생!$A365,수납!$D:$D,IF(원생!$G365="","",원생!$G365),수납!$B:$B,$B$1&amp;"-"&amp;TEXT(9,"00")&amp;"*",수납!$E:$E,""))</f>
        <v/>
      </c>
      <c r="L367" s="14">
        <f>IF(원생!$A365="","",SUMIFS(수납!$F:$F,수납!$C:$C,원생!$A365,수납!$D:$D,IF(원생!$G365="","",원생!$G365),수납!$B:$B,$B$1&amp;"-"&amp;TEXT(10,"00")&amp;"*",수납!$E:$E,"수강료")+SUMIFS(수납!$F:$F,수납!$C:$C,원생!$A365,수납!$D:$D,IF(원생!$G365="","",원생!$G365),수납!$B:$B,$B$1&amp;"-"&amp;TEXT(10,"00")&amp;"*",수납!$E:$E,""))</f>
        <v/>
      </c>
      <c r="M367" s="14">
        <f>IF(원생!$A365="","",SUMIFS(수납!$F:$F,수납!$C:$C,원생!$A365,수납!$D:$D,IF(원생!$G365="","",원생!$G365),수납!$B:$B,$B$1&amp;"-"&amp;TEXT(11,"00")&amp;"*",수납!$E:$E,"수강료")+SUMIFS(수납!$F:$F,수납!$C:$C,원생!$A365,수납!$D:$D,IF(원생!$G365="","",원생!$G365),수납!$B:$B,$B$1&amp;"-"&amp;TEXT(11,"00")&amp;"*",수납!$E:$E,""))</f>
        <v/>
      </c>
      <c r="N367" s="14">
        <f>IF(원생!$A365="","",SUMIFS(수납!$F:$F,수납!$C:$C,원생!$A365,수납!$D:$D,IF(원생!$G365="","",원생!$G365),수납!$B:$B,$B$1&amp;"-"&amp;TEXT(12,"00")&amp;"*",수납!$E:$E,"수강료")+SUMIFS(수납!$F:$F,수납!$C:$C,원생!$A365,수납!$D:$D,IF(원생!$G365="","",원생!$G365),수납!$B:$B,$B$1&amp;"-"&amp;TEXT(12,"00")&amp;"*",수납!$E:$E,""))</f>
        <v/>
      </c>
      <c r="O367">
        <f>IF(원생!$I365="","",원생!$I365)</f>
        <v/>
      </c>
      <c r="P367">
        <f>IF($A367="","",IF(AND($B367&gt;0,C367&lt;$B367,DATE($B$1,1,1)&lt;=TODAY(),OR($O367="",$O367&gt;=DATE($B$1,1,1)),OR(COUNTIF($C367:C367,"&gt;0")&gt;0,DATE($B$1,1,1)=DATE(YEAR(TODAY()),MONTH(TODAY()),1))),1,0))</f>
        <v/>
      </c>
      <c r="Q367">
        <f>IF($A367="","",IF(AND($B367&gt;0,D367&lt;$B367,DATE($B$1,2,1)&lt;=TODAY(),OR($O367="",$O367&gt;=DATE($B$1,2,1)),OR(COUNTIF($C367:D367,"&gt;0")&gt;0,DATE($B$1,2,1)=DATE(YEAR(TODAY()),MONTH(TODAY()),1))),1,0))</f>
        <v/>
      </c>
      <c r="R367">
        <f>IF($A367="","",IF(AND($B367&gt;0,E367&lt;$B367,DATE($B$1,3,1)&lt;=TODAY(),OR($O367="",$O367&gt;=DATE($B$1,3,1)),OR(COUNTIF($C367:E367,"&gt;0")&gt;0,DATE($B$1,3,1)=DATE(YEAR(TODAY()),MONTH(TODAY()),1))),1,0))</f>
        <v/>
      </c>
      <c r="S367">
        <f>IF($A367="","",IF(AND($B367&gt;0,F367&lt;$B367,DATE($B$1,4,1)&lt;=TODAY(),OR($O367="",$O367&gt;=DATE($B$1,4,1)),OR(COUNTIF($C367:F367,"&gt;0")&gt;0,DATE($B$1,4,1)=DATE(YEAR(TODAY()),MONTH(TODAY()),1))),1,0))</f>
        <v/>
      </c>
      <c r="T367">
        <f>IF($A367="","",IF(AND($B367&gt;0,G367&lt;$B367,DATE($B$1,5,1)&lt;=TODAY(),OR($O367="",$O367&gt;=DATE($B$1,5,1)),OR(COUNTIF($C367:G367,"&gt;0")&gt;0,DATE($B$1,5,1)=DATE(YEAR(TODAY()),MONTH(TODAY()),1))),1,0))</f>
        <v/>
      </c>
      <c r="U367">
        <f>IF($A367="","",IF(AND($B367&gt;0,H367&lt;$B367,DATE($B$1,6,1)&lt;=TODAY(),OR($O367="",$O367&gt;=DATE($B$1,6,1)),OR(COUNTIF($C367:H367,"&gt;0")&gt;0,DATE($B$1,6,1)=DATE(YEAR(TODAY()),MONTH(TODAY()),1))),1,0))</f>
        <v/>
      </c>
      <c r="V367">
        <f>IF($A367="","",IF(AND($B367&gt;0,I367&lt;$B367,DATE($B$1,7,1)&lt;=TODAY(),OR($O367="",$O367&gt;=DATE($B$1,7,1)),OR(COUNTIF($C367:I367,"&gt;0")&gt;0,DATE($B$1,7,1)=DATE(YEAR(TODAY()),MONTH(TODAY()),1))),1,0))</f>
        <v/>
      </c>
      <c r="W367">
        <f>IF($A367="","",IF(AND($B367&gt;0,J367&lt;$B367,DATE($B$1,8,1)&lt;=TODAY(),OR($O367="",$O367&gt;=DATE($B$1,8,1)),OR(COUNTIF($C367:J367,"&gt;0")&gt;0,DATE($B$1,8,1)=DATE(YEAR(TODAY()),MONTH(TODAY()),1))),1,0))</f>
        <v/>
      </c>
      <c r="X367">
        <f>IF($A367="","",IF(AND($B367&gt;0,K367&lt;$B367,DATE($B$1,9,1)&lt;=TODAY(),OR($O367="",$O367&gt;=DATE($B$1,9,1)),OR(COUNTIF($C367:K367,"&gt;0")&gt;0,DATE($B$1,9,1)=DATE(YEAR(TODAY()),MONTH(TODAY()),1))),1,0))</f>
        <v/>
      </c>
      <c r="Y367">
        <f>IF($A367="","",IF(AND($B367&gt;0,L367&lt;$B367,DATE($B$1,10,1)&lt;=TODAY(),OR($O367="",$O367&gt;=DATE($B$1,10,1)),OR(COUNTIF($C367:L367,"&gt;0")&gt;0,DATE($B$1,10,1)=DATE(YEAR(TODAY()),MONTH(TODAY()),1))),1,0))</f>
        <v/>
      </c>
      <c r="Z367">
        <f>IF($A367="","",IF(AND($B367&gt;0,M367&lt;$B367,DATE($B$1,11,1)&lt;=TODAY(),OR($O367="",$O367&gt;=DATE($B$1,11,1)),OR(COUNTIF($C367:M367,"&gt;0")&gt;0,DATE($B$1,11,1)=DATE(YEAR(TODAY()),MONTH(TODAY()),1))),1,0))</f>
        <v/>
      </c>
      <c r="AA367">
        <f>IF($A367="","",IF(AND($B367&gt;0,N367&lt;$B367,DATE($B$1,12,1)&lt;=TODAY(),OR($O367="",$O367&gt;=DATE($B$1,12,1)),OR(COUNTIF($C367:N367,"&gt;0")&gt;0,DATE($B$1,12,1)=DATE(YEAR(TODAY()),MONTH(TODAY()),1))),1,0))</f>
        <v/>
      </c>
    </row>
    <row r="368">
      <c r="A368" s="13">
        <f>IF(원생!$A366="","",원생!$A366&amp;IF(원생!$G366="",""," ("&amp;원생!$G366&amp;")"))</f>
        <v/>
      </c>
      <c r="B368" s="8">
        <f>IF(원생!$A366="","",원생!$F366)</f>
        <v/>
      </c>
      <c r="C368" s="14">
        <f>IF(원생!$A366="","",SUMIFS(수납!$F:$F,수납!$C:$C,원생!$A366,수납!$D:$D,IF(원생!$G366="","",원생!$G366),수납!$B:$B,$B$1&amp;"-"&amp;TEXT(1,"00")&amp;"*",수납!$E:$E,"수강료")+SUMIFS(수납!$F:$F,수납!$C:$C,원생!$A366,수납!$D:$D,IF(원생!$G366="","",원생!$G366),수납!$B:$B,$B$1&amp;"-"&amp;TEXT(1,"00")&amp;"*",수납!$E:$E,""))</f>
        <v/>
      </c>
      <c r="D368" s="14">
        <f>IF(원생!$A366="","",SUMIFS(수납!$F:$F,수납!$C:$C,원생!$A366,수납!$D:$D,IF(원생!$G366="","",원생!$G366),수납!$B:$B,$B$1&amp;"-"&amp;TEXT(2,"00")&amp;"*",수납!$E:$E,"수강료")+SUMIFS(수납!$F:$F,수납!$C:$C,원생!$A366,수납!$D:$D,IF(원생!$G366="","",원생!$G366),수납!$B:$B,$B$1&amp;"-"&amp;TEXT(2,"00")&amp;"*",수납!$E:$E,""))</f>
        <v/>
      </c>
      <c r="E368" s="14">
        <f>IF(원생!$A366="","",SUMIFS(수납!$F:$F,수납!$C:$C,원생!$A366,수납!$D:$D,IF(원생!$G366="","",원생!$G366),수납!$B:$B,$B$1&amp;"-"&amp;TEXT(3,"00")&amp;"*",수납!$E:$E,"수강료")+SUMIFS(수납!$F:$F,수납!$C:$C,원생!$A366,수납!$D:$D,IF(원생!$G366="","",원생!$G366),수납!$B:$B,$B$1&amp;"-"&amp;TEXT(3,"00")&amp;"*",수납!$E:$E,""))</f>
        <v/>
      </c>
      <c r="F368" s="14">
        <f>IF(원생!$A366="","",SUMIFS(수납!$F:$F,수납!$C:$C,원생!$A366,수납!$D:$D,IF(원생!$G366="","",원생!$G366),수납!$B:$B,$B$1&amp;"-"&amp;TEXT(4,"00")&amp;"*",수납!$E:$E,"수강료")+SUMIFS(수납!$F:$F,수납!$C:$C,원생!$A366,수납!$D:$D,IF(원생!$G366="","",원생!$G366),수납!$B:$B,$B$1&amp;"-"&amp;TEXT(4,"00")&amp;"*",수납!$E:$E,""))</f>
        <v/>
      </c>
      <c r="G368" s="14">
        <f>IF(원생!$A366="","",SUMIFS(수납!$F:$F,수납!$C:$C,원생!$A366,수납!$D:$D,IF(원생!$G366="","",원생!$G366),수납!$B:$B,$B$1&amp;"-"&amp;TEXT(5,"00")&amp;"*",수납!$E:$E,"수강료")+SUMIFS(수납!$F:$F,수납!$C:$C,원생!$A366,수납!$D:$D,IF(원생!$G366="","",원생!$G366),수납!$B:$B,$B$1&amp;"-"&amp;TEXT(5,"00")&amp;"*",수납!$E:$E,""))</f>
        <v/>
      </c>
      <c r="H368" s="14">
        <f>IF(원생!$A366="","",SUMIFS(수납!$F:$F,수납!$C:$C,원생!$A366,수납!$D:$D,IF(원생!$G366="","",원생!$G366),수납!$B:$B,$B$1&amp;"-"&amp;TEXT(6,"00")&amp;"*",수납!$E:$E,"수강료")+SUMIFS(수납!$F:$F,수납!$C:$C,원생!$A366,수납!$D:$D,IF(원생!$G366="","",원생!$G366),수납!$B:$B,$B$1&amp;"-"&amp;TEXT(6,"00")&amp;"*",수납!$E:$E,""))</f>
        <v/>
      </c>
      <c r="I368" s="14">
        <f>IF(원생!$A366="","",SUMIFS(수납!$F:$F,수납!$C:$C,원생!$A366,수납!$D:$D,IF(원생!$G366="","",원생!$G366),수납!$B:$B,$B$1&amp;"-"&amp;TEXT(7,"00")&amp;"*",수납!$E:$E,"수강료")+SUMIFS(수납!$F:$F,수납!$C:$C,원생!$A366,수납!$D:$D,IF(원생!$G366="","",원생!$G366),수납!$B:$B,$B$1&amp;"-"&amp;TEXT(7,"00")&amp;"*",수납!$E:$E,""))</f>
        <v/>
      </c>
      <c r="J368" s="14">
        <f>IF(원생!$A366="","",SUMIFS(수납!$F:$F,수납!$C:$C,원생!$A366,수납!$D:$D,IF(원생!$G366="","",원생!$G366),수납!$B:$B,$B$1&amp;"-"&amp;TEXT(8,"00")&amp;"*",수납!$E:$E,"수강료")+SUMIFS(수납!$F:$F,수납!$C:$C,원생!$A366,수납!$D:$D,IF(원생!$G366="","",원생!$G366),수납!$B:$B,$B$1&amp;"-"&amp;TEXT(8,"00")&amp;"*",수납!$E:$E,""))</f>
        <v/>
      </c>
      <c r="K368" s="14">
        <f>IF(원생!$A366="","",SUMIFS(수납!$F:$F,수납!$C:$C,원생!$A366,수납!$D:$D,IF(원생!$G366="","",원생!$G366),수납!$B:$B,$B$1&amp;"-"&amp;TEXT(9,"00")&amp;"*",수납!$E:$E,"수강료")+SUMIFS(수납!$F:$F,수납!$C:$C,원생!$A366,수납!$D:$D,IF(원생!$G366="","",원생!$G366),수납!$B:$B,$B$1&amp;"-"&amp;TEXT(9,"00")&amp;"*",수납!$E:$E,""))</f>
        <v/>
      </c>
      <c r="L368" s="14">
        <f>IF(원생!$A366="","",SUMIFS(수납!$F:$F,수납!$C:$C,원생!$A366,수납!$D:$D,IF(원생!$G366="","",원생!$G366),수납!$B:$B,$B$1&amp;"-"&amp;TEXT(10,"00")&amp;"*",수납!$E:$E,"수강료")+SUMIFS(수납!$F:$F,수납!$C:$C,원생!$A366,수납!$D:$D,IF(원생!$G366="","",원생!$G366),수납!$B:$B,$B$1&amp;"-"&amp;TEXT(10,"00")&amp;"*",수납!$E:$E,""))</f>
        <v/>
      </c>
      <c r="M368" s="14">
        <f>IF(원생!$A366="","",SUMIFS(수납!$F:$F,수납!$C:$C,원생!$A366,수납!$D:$D,IF(원생!$G366="","",원생!$G366),수납!$B:$B,$B$1&amp;"-"&amp;TEXT(11,"00")&amp;"*",수납!$E:$E,"수강료")+SUMIFS(수납!$F:$F,수납!$C:$C,원생!$A366,수납!$D:$D,IF(원생!$G366="","",원생!$G366),수납!$B:$B,$B$1&amp;"-"&amp;TEXT(11,"00")&amp;"*",수납!$E:$E,""))</f>
        <v/>
      </c>
      <c r="N368" s="14">
        <f>IF(원생!$A366="","",SUMIFS(수납!$F:$F,수납!$C:$C,원생!$A366,수납!$D:$D,IF(원생!$G366="","",원생!$G366),수납!$B:$B,$B$1&amp;"-"&amp;TEXT(12,"00")&amp;"*",수납!$E:$E,"수강료")+SUMIFS(수납!$F:$F,수납!$C:$C,원생!$A366,수납!$D:$D,IF(원생!$G366="","",원생!$G366),수납!$B:$B,$B$1&amp;"-"&amp;TEXT(12,"00")&amp;"*",수납!$E:$E,""))</f>
        <v/>
      </c>
      <c r="O368">
        <f>IF(원생!$I366="","",원생!$I366)</f>
        <v/>
      </c>
      <c r="P368">
        <f>IF($A368="","",IF(AND($B368&gt;0,C368&lt;$B368,DATE($B$1,1,1)&lt;=TODAY(),OR($O368="",$O368&gt;=DATE($B$1,1,1)),OR(COUNTIF($C368:C368,"&gt;0")&gt;0,DATE($B$1,1,1)=DATE(YEAR(TODAY()),MONTH(TODAY()),1))),1,0))</f>
        <v/>
      </c>
      <c r="Q368">
        <f>IF($A368="","",IF(AND($B368&gt;0,D368&lt;$B368,DATE($B$1,2,1)&lt;=TODAY(),OR($O368="",$O368&gt;=DATE($B$1,2,1)),OR(COUNTIF($C368:D368,"&gt;0")&gt;0,DATE($B$1,2,1)=DATE(YEAR(TODAY()),MONTH(TODAY()),1))),1,0))</f>
        <v/>
      </c>
      <c r="R368">
        <f>IF($A368="","",IF(AND($B368&gt;0,E368&lt;$B368,DATE($B$1,3,1)&lt;=TODAY(),OR($O368="",$O368&gt;=DATE($B$1,3,1)),OR(COUNTIF($C368:E368,"&gt;0")&gt;0,DATE($B$1,3,1)=DATE(YEAR(TODAY()),MONTH(TODAY()),1))),1,0))</f>
        <v/>
      </c>
      <c r="S368">
        <f>IF($A368="","",IF(AND($B368&gt;0,F368&lt;$B368,DATE($B$1,4,1)&lt;=TODAY(),OR($O368="",$O368&gt;=DATE($B$1,4,1)),OR(COUNTIF($C368:F368,"&gt;0")&gt;0,DATE($B$1,4,1)=DATE(YEAR(TODAY()),MONTH(TODAY()),1))),1,0))</f>
        <v/>
      </c>
      <c r="T368">
        <f>IF($A368="","",IF(AND($B368&gt;0,G368&lt;$B368,DATE($B$1,5,1)&lt;=TODAY(),OR($O368="",$O368&gt;=DATE($B$1,5,1)),OR(COUNTIF($C368:G368,"&gt;0")&gt;0,DATE($B$1,5,1)=DATE(YEAR(TODAY()),MONTH(TODAY()),1))),1,0))</f>
        <v/>
      </c>
      <c r="U368">
        <f>IF($A368="","",IF(AND($B368&gt;0,H368&lt;$B368,DATE($B$1,6,1)&lt;=TODAY(),OR($O368="",$O368&gt;=DATE($B$1,6,1)),OR(COUNTIF($C368:H368,"&gt;0")&gt;0,DATE($B$1,6,1)=DATE(YEAR(TODAY()),MONTH(TODAY()),1))),1,0))</f>
        <v/>
      </c>
      <c r="V368">
        <f>IF($A368="","",IF(AND($B368&gt;0,I368&lt;$B368,DATE($B$1,7,1)&lt;=TODAY(),OR($O368="",$O368&gt;=DATE($B$1,7,1)),OR(COUNTIF($C368:I368,"&gt;0")&gt;0,DATE($B$1,7,1)=DATE(YEAR(TODAY()),MONTH(TODAY()),1))),1,0))</f>
        <v/>
      </c>
      <c r="W368">
        <f>IF($A368="","",IF(AND($B368&gt;0,J368&lt;$B368,DATE($B$1,8,1)&lt;=TODAY(),OR($O368="",$O368&gt;=DATE($B$1,8,1)),OR(COUNTIF($C368:J368,"&gt;0")&gt;0,DATE($B$1,8,1)=DATE(YEAR(TODAY()),MONTH(TODAY()),1))),1,0))</f>
        <v/>
      </c>
      <c r="X368">
        <f>IF($A368="","",IF(AND($B368&gt;0,K368&lt;$B368,DATE($B$1,9,1)&lt;=TODAY(),OR($O368="",$O368&gt;=DATE($B$1,9,1)),OR(COUNTIF($C368:K368,"&gt;0")&gt;0,DATE($B$1,9,1)=DATE(YEAR(TODAY()),MONTH(TODAY()),1))),1,0))</f>
        <v/>
      </c>
      <c r="Y368">
        <f>IF($A368="","",IF(AND($B368&gt;0,L368&lt;$B368,DATE($B$1,10,1)&lt;=TODAY(),OR($O368="",$O368&gt;=DATE($B$1,10,1)),OR(COUNTIF($C368:L368,"&gt;0")&gt;0,DATE($B$1,10,1)=DATE(YEAR(TODAY()),MONTH(TODAY()),1))),1,0))</f>
        <v/>
      </c>
      <c r="Z368">
        <f>IF($A368="","",IF(AND($B368&gt;0,M368&lt;$B368,DATE($B$1,11,1)&lt;=TODAY(),OR($O368="",$O368&gt;=DATE($B$1,11,1)),OR(COUNTIF($C368:M368,"&gt;0")&gt;0,DATE($B$1,11,1)=DATE(YEAR(TODAY()),MONTH(TODAY()),1))),1,0))</f>
        <v/>
      </c>
      <c r="AA368">
        <f>IF($A368="","",IF(AND($B368&gt;0,N368&lt;$B368,DATE($B$1,12,1)&lt;=TODAY(),OR($O368="",$O368&gt;=DATE($B$1,12,1)),OR(COUNTIF($C368:N368,"&gt;0")&gt;0,DATE($B$1,12,1)=DATE(YEAR(TODAY()),MONTH(TODAY()),1))),1,0))</f>
        <v/>
      </c>
    </row>
    <row r="369">
      <c r="A369" s="13">
        <f>IF(원생!$A367="","",원생!$A367&amp;IF(원생!$G367="",""," ("&amp;원생!$G367&amp;")"))</f>
        <v/>
      </c>
      <c r="B369" s="8">
        <f>IF(원생!$A367="","",원생!$F367)</f>
        <v/>
      </c>
      <c r="C369" s="14">
        <f>IF(원생!$A367="","",SUMIFS(수납!$F:$F,수납!$C:$C,원생!$A367,수납!$D:$D,IF(원생!$G367="","",원생!$G367),수납!$B:$B,$B$1&amp;"-"&amp;TEXT(1,"00")&amp;"*",수납!$E:$E,"수강료")+SUMIFS(수납!$F:$F,수납!$C:$C,원생!$A367,수납!$D:$D,IF(원생!$G367="","",원생!$G367),수납!$B:$B,$B$1&amp;"-"&amp;TEXT(1,"00")&amp;"*",수납!$E:$E,""))</f>
        <v/>
      </c>
      <c r="D369" s="14">
        <f>IF(원생!$A367="","",SUMIFS(수납!$F:$F,수납!$C:$C,원생!$A367,수납!$D:$D,IF(원생!$G367="","",원생!$G367),수납!$B:$B,$B$1&amp;"-"&amp;TEXT(2,"00")&amp;"*",수납!$E:$E,"수강료")+SUMIFS(수납!$F:$F,수납!$C:$C,원생!$A367,수납!$D:$D,IF(원생!$G367="","",원생!$G367),수납!$B:$B,$B$1&amp;"-"&amp;TEXT(2,"00")&amp;"*",수납!$E:$E,""))</f>
        <v/>
      </c>
      <c r="E369" s="14">
        <f>IF(원생!$A367="","",SUMIFS(수납!$F:$F,수납!$C:$C,원생!$A367,수납!$D:$D,IF(원생!$G367="","",원생!$G367),수납!$B:$B,$B$1&amp;"-"&amp;TEXT(3,"00")&amp;"*",수납!$E:$E,"수강료")+SUMIFS(수납!$F:$F,수납!$C:$C,원생!$A367,수납!$D:$D,IF(원생!$G367="","",원생!$G367),수납!$B:$B,$B$1&amp;"-"&amp;TEXT(3,"00")&amp;"*",수납!$E:$E,""))</f>
        <v/>
      </c>
      <c r="F369" s="14">
        <f>IF(원생!$A367="","",SUMIFS(수납!$F:$F,수납!$C:$C,원생!$A367,수납!$D:$D,IF(원생!$G367="","",원생!$G367),수납!$B:$B,$B$1&amp;"-"&amp;TEXT(4,"00")&amp;"*",수납!$E:$E,"수강료")+SUMIFS(수납!$F:$F,수납!$C:$C,원생!$A367,수납!$D:$D,IF(원생!$G367="","",원생!$G367),수납!$B:$B,$B$1&amp;"-"&amp;TEXT(4,"00")&amp;"*",수납!$E:$E,""))</f>
        <v/>
      </c>
      <c r="G369" s="14">
        <f>IF(원생!$A367="","",SUMIFS(수납!$F:$F,수납!$C:$C,원생!$A367,수납!$D:$D,IF(원생!$G367="","",원생!$G367),수납!$B:$B,$B$1&amp;"-"&amp;TEXT(5,"00")&amp;"*",수납!$E:$E,"수강료")+SUMIFS(수납!$F:$F,수납!$C:$C,원생!$A367,수납!$D:$D,IF(원생!$G367="","",원생!$G367),수납!$B:$B,$B$1&amp;"-"&amp;TEXT(5,"00")&amp;"*",수납!$E:$E,""))</f>
        <v/>
      </c>
      <c r="H369" s="14">
        <f>IF(원생!$A367="","",SUMIFS(수납!$F:$F,수납!$C:$C,원생!$A367,수납!$D:$D,IF(원생!$G367="","",원생!$G367),수납!$B:$B,$B$1&amp;"-"&amp;TEXT(6,"00")&amp;"*",수납!$E:$E,"수강료")+SUMIFS(수납!$F:$F,수납!$C:$C,원생!$A367,수납!$D:$D,IF(원생!$G367="","",원생!$G367),수납!$B:$B,$B$1&amp;"-"&amp;TEXT(6,"00")&amp;"*",수납!$E:$E,""))</f>
        <v/>
      </c>
      <c r="I369" s="14">
        <f>IF(원생!$A367="","",SUMIFS(수납!$F:$F,수납!$C:$C,원생!$A367,수납!$D:$D,IF(원생!$G367="","",원생!$G367),수납!$B:$B,$B$1&amp;"-"&amp;TEXT(7,"00")&amp;"*",수납!$E:$E,"수강료")+SUMIFS(수납!$F:$F,수납!$C:$C,원생!$A367,수납!$D:$D,IF(원생!$G367="","",원생!$G367),수납!$B:$B,$B$1&amp;"-"&amp;TEXT(7,"00")&amp;"*",수납!$E:$E,""))</f>
        <v/>
      </c>
      <c r="J369" s="14">
        <f>IF(원생!$A367="","",SUMIFS(수납!$F:$F,수납!$C:$C,원생!$A367,수납!$D:$D,IF(원생!$G367="","",원생!$G367),수납!$B:$B,$B$1&amp;"-"&amp;TEXT(8,"00")&amp;"*",수납!$E:$E,"수강료")+SUMIFS(수납!$F:$F,수납!$C:$C,원생!$A367,수납!$D:$D,IF(원생!$G367="","",원생!$G367),수납!$B:$B,$B$1&amp;"-"&amp;TEXT(8,"00")&amp;"*",수납!$E:$E,""))</f>
        <v/>
      </c>
      <c r="K369" s="14">
        <f>IF(원생!$A367="","",SUMIFS(수납!$F:$F,수납!$C:$C,원생!$A367,수납!$D:$D,IF(원생!$G367="","",원생!$G367),수납!$B:$B,$B$1&amp;"-"&amp;TEXT(9,"00")&amp;"*",수납!$E:$E,"수강료")+SUMIFS(수납!$F:$F,수납!$C:$C,원생!$A367,수납!$D:$D,IF(원생!$G367="","",원생!$G367),수납!$B:$B,$B$1&amp;"-"&amp;TEXT(9,"00")&amp;"*",수납!$E:$E,""))</f>
        <v/>
      </c>
      <c r="L369" s="14">
        <f>IF(원생!$A367="","",SUMIFS(수납!$F:$F,수납!$C:$C,원생!$A367,수납!$D:$D,IF(원생!$G367="","",원생!$G367),수납!$B:$B,$B$1&amp;"-"&amp;TEXT(10,"00")&amp;"*",수납!$E:$E,"수강료")+SUMIFS(수납!$F:$F,수납!$C:$C,원생!$A367,수납!$D:$D,IF(원생!$G367="","",원생!$G367),수납!$B:$B,$B$1&amp;"-"&amp;TEXT(10,"00")&amp;"*",수납!$E:$E,""))</f>
        <v/>
      </c>
      <c r="M369" s="14">
        <f>IF(원생!$A367="","",SUMIFS(수납!$F:$F,수납!$C:$C,원생!$A367,수납!$D:$D,IF(원생!$G367="","",원생!$G367),수납!$B:$B,$B$1&amp;"-"&amp;TEXT(11,"00")&amp;"*",수납!$E:$E,"수강료")+SUMIFS(수납!$F:$F,수납!$C:$C,원생!$A367,수납!$D:$D,IF(원생!$G367="","",원생!$G367),수납!$B:$B,$B$1&amp;"-"&amp;TEXT(11,"00")&amp;"*",수납!$E:$E,""))</f>
        <v/>
      </c>
      <c r="N369" s="14">
        <f>IF(원생!$A367="","",SUMIFS(수납!$F:$F,수납!$C:$C,원생!$A367,수납!$D:$D,IF(원생!$G367="","",원생!$G367),수납!$B:$B,$B$1&amp;"-"&amp;TEXT(12,"00")&amp;"*",수납!$E:$E,"수강료")+SUMIFS(수납!$F:$F,수납!$C:$C,원생!$A367,수납!$D:$D,IF(원생!$G367="","",원생!$G367),수납!$B:$B,$B$1&amp;"-"&amp;TEXT(12,"00")&amp;"*",수납!$E:$E,""))</f>
        <v/>
      </c>
      <c r="O369">
        <f>IF(원생!$I367="","",원생!$I367)</f>
        <v/>
      </c>
      <c r="P369">
        <f>IF($A369="","",IF(AND($B369&gt;0,C369&lt;$B369,DATE($B$1,1,1)&lt;=TODAY(),OR($O369="",$O369&gt;=DATE($B$1,1,1)),OR(COUNTIF($C369:C369,"&gt;0")&gt;0,DATE($B$1,1,1)=DATE(YEAR(TODAY()),MONTH(TODAY()),1))),1,0))</f>
        <v/>
      </c>
      <c r="Q369">
        <f>IF($A369="","",IF(AND($B369&gt;0,D369&lt;$B369,DATE($B$1,2,1)&lt;=TODAY(),OR($O369="",$O369&gt;=DATE($B$1,2,1)),OR(COUNTIF($C369:D369,"&gt;0")&gt;0,DATE($B$1,2,1)=DATE(YEAR(TODAY()),MONTH(TODAY()),1))),1,0))</f>
        <v/>
      </c>
      <c r="R369">
        <f>IF($A369="","",IF(AND($B369&gt;0,E369&lt;$B369,DATE($B$1,3,1)&lt;=TODAY(),OR($O369="",$O369&gt;=DATE($B$1,3,1)),OR(COUNTIF($C369:E369,"&gt;0")&gt;0,DATE($B$1,3,1)=DATE(YEAR(TODAY()),MONTH(TODAY()),1))),1,0))</f>
        <v/>
      </c>
      <c r="S369">
        <f>IF($A369="","",IF(AND($B369&gt;0,F369&lt;$B369,DATE($B$1,4,1)&lt;=TODAY(),OR($O369="",$O369&gt;=DATE($B$1,4,1)),OR(COUNTIF($C369:F369,"&gt;0")&gt;0,DATE($B$1,4,1)=DATE(YEAR(TODAY()),MONTH(TODAY()),1))),1,0))</f>
        <v/>
      </c>
      <c r="T369">
        <f>IF($A369="","",IF(AND($B369&gt;0,G369&lt;$B369,DATE($B$1,5,1)&lt;=TODAY(),OR($O369="",$O369&gt;=DATE($B$1,5,1)),OR(COUNTIF($C369:G369,"&gt;0")&gt;0,DATE($B$1,5,1)=DATE(YEAR(TODAY()),MONTH(TODAY()),1))),1,0))</f>
        <v/>
      </c>
      <c r="U369">
        <f>IF($A369="","",IF(AND($B369&gt;0,H369&lt;$B369,DATE($B$1,6,1)&lt;=TODAY(),OR($O369="",$O369&gt;=DATE($B$1,6,1)),OR(COUNTIF($C369:H369,"&gt;0")&gt;0,DATE($B$1,6,1)=DATE(YEAR(TODAY()),MONTH(TODAY()),1))),1,0))</f>
        <v/>
      </c>
      <c r="V369">
        <f>IF($A369="","",IF(AND($B369&gt;0,I369&lt;$B369,DATE($B$1,7,1)&lt;=TODAY(),OR($O369="",$O369&gt;=DATE($B$1,7,1)),OR(COUNTIF($C369:I369,"&gt;0")&gt;0,DATE($B$1,7,1)=DATE(YEAR(TODAY()),MONTH(TODAY()),1))),1,0))</f>
        <v/>
      </c>
      <c r="W369">
        <f>IF($A369="","",IF(AND($B369&gt;0,J369&lt;$B369,DATE($B$1,8,1)&lt;=TODAY(),OR($O369="",$O369&gt;=DATE($B$1,8,1)),OR(COUNTIF($C369:J369,"&gt;0")&gt;0,DATE($B$1,8,1)=DATE(YEAR(TODAY()),MONTH(TODAY()),1))),1,0))</f>
        <v/>
      </c>
      <c r="X369">
        <f>IF($A369="","",IF(AND($B369&gt;0,K369&lt;$B369,DATE($B$1,9,1)&lt;=TODAY(),OR($O369="",$O369&gt;=DATE($B$1,9,1)),OR(COUNTIF($C369:K369,"&gt;0")&gt;0,DATE($B$1,9,1)=DATE(YEAR(TODAY()),MONTH(TODAY()),1))),1,0))</f>
        <v/>
      </c>
      <c r="Y369">
        <f>IF($A369="","",IF(AND($B369&gt;0,L369&lt;$B369,DATE($B$1,10,1)&lt;=TODAY(),OR($O369="",$O369&gt;=DATE($B$1,10,1)),OR(COUNTIF($C369:L369,"&gt;0")&gt;0,DATE($B$1,10,1)=DATE(YEAR(TODAY()),MONTH(TODAY()),1))),1,0))</f>
        <v/>
      </c>
      <c r="Z369">
        <f>IF($A369="","",IF(AND($B369&gt;0,M369&lt;$B369,DATE($B$1,11,1)&lt;=TODAY(),OR($O369="",$O369&gt;=DATE($B$1,11,1)),OR(COUNTIF($C369:M369,"&gt;0")&gt;0,DATE($B$1,11,1)=DATE(YEAR(TODAY()),MONTH(TODAY()),1))),1,0))</f>
        <v/>
      </c>
      <c r="AA369">
        <f>IF($A369="","",IF(AND($B369&gt;0,N369&lt;$B369,DATE($B$1,12,1)&lt;=TODAY(),OR($O369="",$O369&gt;=DATE($B$1,12,1)),OR(COUNTIF($C369:N369,"&gt;0")&gt;0,DATE($B$1,12,1)=DATE(YEAR(TODAY()),MONTH(TODAY()),1))),1,0))</f>
        <v/>
      </c>
    </row>
    <row r="370">
      <c r="A370" s="13">
        <f>IF(원생!$A368="","",원생!$A368&amp;IF(원생!$G368="",""," ("&amp;원생!$G368&amp;")"))</f>
        <v/>
      </c>
      <c r="B370" s="8">
        <f>IF(원생!$A368="","",원생!$F368)</f>
        <v/>
      </c>
      <c r="C370" s="14">
        <f>IF(원생!$A368="","",SUMIFS(수납!$F:$F,수납!$C:$C,원생!$A368,수납!$D:$D,IF(원생!$G368="","",원생!$G368),수납!$B:$B,$B$1&amp;"-"&amp;TEXT(1,"00")&amp;"*",수납!$E:$E,"수강료")+SUMIFS(수납!$F:$F,수납!$C:$C,원생!$A368,수납!$D:$D,IF(원생!$G368="","",원생!$G368),수납!$B:$B,$B$1&amp;"-"&amp;TEXT(1,"00")&amp;"*",수납!$E:$E,""))</f>
        <v/>
      </c>
      <c r="D370" s="14">
        <f>IF(원생!$A368="","",SUMIFS(수납!$F:$F,수납!$C:$C,원생!$A368,수납!$D:$D,IF(원생!$G368="","",원생!$G368),수납!$B:$B,$B$1&amp;"-"&amp;TEXT(2,"00")&amp;"*",수납!$E:$E,"수강료")+SUMIFS(수납!$F:$F,수납!$C:$C,원생!$A368,수납!$D:$D,IF(원생!$G368="","",원생!$G368),수납!$B:$B,$B$1&amp;"-"&amp;TEXT(2,"00")&amp;"*",수납!$E:$E,""))</f>
        <v/>
      </c>
      <c r="E370" s="14">
        <f>IF(원생!$A368="","",SUMIFS(수납!$F:$F,수납!$C:$C,원생!$A368,수납!$D:$D,IF(원생!$G368="","",원생!$G368),수납!$B:$B,$B$1&amp;"-"&amp;TEXT(3,"00")&amp;"*",수납!$E:$E,"수강료")+SUMIFS(수납!$F:$F,수납!$C:$C,원생!$A368,수납!$D:$D,IF(원생!$G368="","",원생!$G368),수납!$B:$B,$B$1&amp;"-"&amp;TEXT(3,"00")&amp;"*",수납!$E:$E,""))</f>
        <v/>
      </c>
      <c r="F370" s="14">
        <f>IF(원생!$A368="","",SUMIFS(수납!$F:$F,수납!$C:$C,원생!$A368,수납!$D:$D,IF(원생!$G368="","",원생!$G368),수납!$B:$B,$B$1&amp;"-"&amp;TEXT(4,"00")&amp;"*",수납!$E:$E,"수강료")+SUMIFS(수납!$F:$F,수납!$C:$C,원생!$A368,수납!$D:$D,IF(원생!$G368="","",원생!$G368),수납!$B:$B,$B$1&amp;"-"&amp;TEXT(4,"00")&amp;"*",수납!$E:$E,""))</f>
        <v/>
      </c>
      <c r="G370" s="14">
        <f>IF(원생!$A368="","",SUMIFS(수납!$F:$F,수납!$C:$C,원생!$A368,수납!$D:$D,IF(원생!$G368="","",원생!$G368),수납!$B:$B,$B$1&amp;"-"&amp;TEXT(5,"00")&amp;"*",수납!$E:$E,"수강료")+SUMIFS(수납!$F:$F,수납!$C:$C,원생!$A368,수납!$D:$D,IF(원생!$G368="","",원생!$G368),수납!$B:$B,$B$1&amp;"-"&amp;TEXT(5,"00")&amp;"*",수납!$E:$E,""))</f>
        <v/>
      </c>
      <c r="H370" s="14">
        <f>IF(원생!$A368="","",SUMIFS(수납!$F:$F,수납!$C:$C,원생!$A368,수납!$D:$D,IF(원생!$G368="","",원생!$G368),수납!$B:$B,$B$1&amp;"-"&amp;TEXT(6,"00")&amp;"*",수납!$E:$E,"수강료")+SUMIFS(수납!$F:$F,수납!$C:$C,원생!$A368,수납!$D:$D,IF(원생!$G368="","",원생!$G368),수납!$B:$B,$B$1&amp;"-"&amp;TEXT(6,"00")&amp;"*",수납!$E:$E,""))</f>
        <v/>
      </c>
      <c r="I370" s="14">
        <f>IF(원생!$A368="","",SUMIFS(수납!$F:$F,수납!$C:$C,원생!$A368,수납!$D:$D,IF(원생!$G368="","",원생!$G368),수납!$B:$B,$B$1&amp;"-"&amp;TEXT(7,"00")&amp;"*",수납!$E:$E,"수강료")+SUMIFS(수납!$F:$F,수납!$C:$C,원생!$A368,수납!$D:$D,IF(원생!$G368="","",원생!$G368),수납!$B:$B,$B$1&amp;"-"&amp;TEXT(7,"00")&amp;"*",수납!$E:$E,""))</f>
        <v/>
      </c>
      <c r="J370" s="14">
        <f>IF(원생!$A368="","",SUMIFS(수납!$F:$F,수납!$C:$C,원생!$A368,수납!$D:$D,IF(원생!$G368="","",원생!$G368),수납!$B:$B,$B$1&amp;"-"&amp;TEXT(8,"00")&amp;"*",수납!$E:$E,"수강료")+SUMIFS(수납!$F:$F,수납!$C:$C,원생!$A368,수납!$D:$D,IF(원생!$G368="","",원생!$G368),수납!$B:$B,$B$1&amp;"-"&amp;TEXT(8,"00")&amp;"*",수납!$E:$E,""))</f>
        <v/>
      </c>
      <c r="K370" s="14">
        <f>IF(원생!$A368="","",SUMIFS(수납!$F:$F,수납!$C:$C,원생!$A368,수납!$D:$D,IF(원생!$G368="","",원생!$G368),수납!$B:$B,$B$1&amp;"-"&amp;TEXT(9,"00")&amp;"*",수납!$E:$E,"수강료")+SUMIFS(수납!$F:$F,수납!$C:$C,원생!$A368,수납!$D:$D,IF(원생!$G368="","",원생!$G368),수납!$B:$B,$B$1&amp;"-"&amp;TEXT(9,"00")&amp;"*",수납!$E:$E,""))</f>
        <v/>
      </c>
      <c r="L370" s="14">
        <f>IF(원생!$A368="","",SUMIFS(수납!$F:$F,수납!$C:$C,원생!$A368,수납!$D:$D,IF(원생!$G368="","",원생!$G368),수납!$B:$B,$B$1&amp;"-"&amp;TEXT(10,"00")&amp;"*",수납!$E:$E,"수강료")+SUMIFS(수납!$F:$F,수납!$C:$C,원생!$A368,수납!$D:$D,IF(원생!$G368="","",원생!$G368),수납!$B:$B,$B$1&amp;"-"&amp;TEXT(10,"00")&amp;"*",수납!$E:$E,""))</f>
        <v/>
      </c>
      <c r="M370" s="14">
        <f>IF(원생!$A368="","",SUMIFS(수납!$F:$F,수납!$C:$C,원생!$A368,수납!$D:$D,IF(원생!$G368="","",원생!$G368),수납!$B:$B,$B$1&amp;"-"&amp;TEXT(11,"00")&amp;"*",수납!$E:$E,"수강료")+SUMIFS(수납!$F:$F,수납!$C:$C,원생!$A368,수납!$D:$D,IF(원생!$G368="","",원생!$G368),수납!$B:$B,$B$1&amp;"-"&amp;TEXT(11,"00")&amp;"*",수납!$E:$E,""))</f>
        <v/>
      </c>
      <c r="N370" s="14">
        <f>IF(원생!$A368="","",SUMIFS(수납!$F:$F,수납!$C:$C,원생!$A368,수납!$D:$D,IF(원생!$G368="","",원생!$G368),수납!$B:$B,$B$1&amp;"-"&amp;TEXT(12,"00")&amp;"*",수납!$E:$E,"수강료")+SUMIFS(수납!$F:$F,수납!$C:$C,원생!$A368,수납!$D:$D,IF(원생!$G368="","",원생!$G368),수납!$B:$B,$B$1&amp;"-"&amp;TEXT(12,"00")&amp;"*",수납!$E:$E,""))</f>
        <v/>
      </c>
      <c r="O370">
        <f>IF(원생!$I368="","",원생!$I368)</f>
        <v/>
      </c>
      <c r="P370">
        <f>IF($A370="","",IF(AND($B370&gt;0,C370&lt;$B370,DATE($B$1,1,1)&lt;=TODAY(),OR($O370="",$O370&gt;=DATE($B$1,1,1)),OR(COUNTIF($C370:C370,"&gt;0")&gt;0,DATE($B$1,1,1)=DATE(YEAR(TODAY()),MONTH(TODAY()),1))),1,0))</f>
        <v/>
      </c>
      <c r="Q370">
        <f>IF($A370="","",IF(AND($B370&gt;0,D370&lt;$B370,DATE($B$1,2,1)&lt;=TODAY(),OR($O370="",$O370&gt;=DATE($B$1,2,1)),OR(COUNTIF($C370:D370,"&gt;0")&gt;0,DATE($B$1,2,1)=DATE(YEAR(TODAY()),MONTH(TODAY()),1))),1,0))</f>
        <v/>
      </c>
      <c r="R370">
        <f>IF($A370="","",IF(AND($B370&gt;0,E370&lt;$B370,DATE($B$1,3,1)&lt;=TODAY(),OR($O370="",$O370&gt;=DATE($B$1,3,1)),OR(COUNTIF($C370:E370,"&gt;0")&gt;0,DATE($B$1,3,1)=DATE(YEAR(TODAY()),MONTH(TODAY()),1))),1,0))</f>
        <v/>
      </c>
      <c r="S370">
        <f>IF($A370="","",IF(AND($B370&gt;0,F370&lt;$B370,DATE($B$1,4,1)&lt;=TODAY(),OR($O370="",$O370&gt;=DATE($B$1,4,1)),OR(COUNTIF($C370:F370,"&gt;0")&gt;0,DATE($B$1,4,1)=DATE(YEAR(TODAY()),MONTH(TODAY()),1))),1,0))</f>
        <v/>
      </c>
      <c r="T370">
        <f>IF($A370="","",IF(AND($B370&gt;0,G370&lt;$B370,DATE($B$1,5,1)&lt;=TODAY(),OR($O370="",$O370&gt;=DATE($B$1,5,1)),OR(COUNTIF($C370:G370,"&gt;0")&gt;0,DATE($B$1,5,1)=DATE(YEAR(TODAY()),MONTH(TODAY()),1))),1,0))</f>
        <v/>
      </c>
      <c r="U370">
        <f>IF($A370="","",IF(AND($B370&gt;0,H370&lt;$B370,DATE($B$1,6,1)&lt;=TODAY(),OR($O370="",$O370&gt;=DATE($B$1,6,1)),OR(COUNTIF($C370:H370,"&gt;0")&gt;0,DATE($B$1,6,1)=DATE(YEAR(TODAY()),MONTH(TODAY()),1))),1,0))</f>
        <v/>
      </c>
      <c r="V370">
        <f>IF($A370="","",IF(AND($B370&gt;0,I370&lt;$B370,DATE($B$1,7,1)&lt;=TODAY(),OR($O370="",$O370&gt;=DATE($B$1,7,1)),OR(COUNTIF($C370:I370,"&gt;0")&gt;0,DATE($B$1,7,1)=DATE(YEAR(TODAY()),MONTH(TODAY()),1))),1,0))</f>
        <v/>
      </c>
      <c r="W370">
        <f>IF($A370="","",IF(AND($B370&gt;0,J370&lt;$B370,DATE($B$1,8,1)&lt;=TODAY(),OR($O370="",$O370&gt;=DATE($B$1,8,1)),OR(COUNTIF($C370:J370,"&gt;0")&gt;0,DATE($B$1,8,1)=DATE(YEAR(TODAY()),MONTH(TODAY()),1))),1,0))</f>
        <v/>
      </c>
      <c r="X370">
        <f>IF($A370="","",IF(AND($B370&gt;0,K370&lt;$B370,DATE($B$1,9,1)&lt;=TODAY(),OR($O370="",$O370&gt;=DATE($B$1,9,1)),OR(COUNTIF($C370:K370,"&gt;0")&gt;0,DATE($B$1,9,1)=DATE(YEAR(TODAY()),MONTH(TODAY()),1))),1,0))</f>
        <v/>
      </c>
      <c r="Y370">
        <f>IF($A370="","",IF(AND($B370&gt;0,L370&lt;$B370,DATE($B$1,10,1)&lt;=TODAY(),OR($O370="",$O370&gt;=DATE($B$1,10,1)),OR(COUNTIF($C370:L370,"&gt;0")&gt;0,DATE($B$1,10,1)=DATE(YEAR(TODAY()),MONTH(TODAY()),1))),1,0))</f>
        <v/>
      </c>
      <c r="Z370">
        <f>IF($A370="","",IF(AND($B370&gt;0,M370&lt;$B370,DATE($B$1,11,1)&lt;=TODAY(),OR($O370="",$O370&gt;=DATE($B$1,11,1)),OR(COUNTIF($C370:M370,"&gt;0")&gt;0,DATE($B$1,11,1)=DATE(YEAR(TODAY()),MONTH(TODAY()),1))),1,0))</f>
        <v/>
      </c>
      <c r="AA370">
        <f>IF($A370="","",IF(AND($B370&gt;0,N370&lt;$B370,DATE($B$1,12,1)&lt;=TODAY(),OR($O370="",$O370&gt;=DATE($B$1,12,1)),OR(COUNTIF($C370:N370,"&gt;0")&gt;0,DATE($B$1,12,1)=DATE(YEAR(TODAY()),MONTH(TODAY()),1))),1,0))</f>
        <v/>
      </c>
    </row>
    <row r="371">
      <c r="A371" s="13">
        <f>IF(원생!$A369="","",원생!$A369&amp;IF(원생!$G369="",""," ("&amp;원생!$G369&amp;")"))</f>
        <v/>
      </c>
      <c r="B371" s="8">
        <f>IF(원생!$A369="","",원생!$F369)</f>
        <v/>
      </c>
      <c r="C371" s="14">
        <f>IF(원생!$A369="","",SUMIFS(수납!$F:$F,수납!$C:$C,원생!$A369,수납!$D:$D,IF(원생!$G369="","",원생!$G369),수납!$B:$B,$B$1&amp;"-"&amp;TEXT(1,"00")&amp;"*",수납!$E:$E,"수강료")+SUMIFS(수납!$F:$F,수납!$C:$C,원생!$A369,수납!$D:$D,IF(원생!$G369="","",원생!$G369),수납!$B:$B,$B$1&amp;"-"&amp;TEXT(1,"00")&amp;"*",수납!$E:$E,""))</f>
        <v/>
      </c>
      <c r="D371" s="14">
        <f>IF(원생!$A369="","",SUMIFS(수납!$F:$F,수납!$C:$C,원생!$A369,수납!$D:$D,IF(원생!$G369="","",원생!$G369),수납!$B:$B,$B$1&amp;"-"&amp;TEXT(2,"00")&amp;"*",수납!$E:$E,"수강료")+SUMIFS(수납!$F:$F,수납!$C:$C,원생!$A369,수납!$D:$D,IF(원생!$G369="","",원생!$G369),수납!$B:$B,$B$1&amp;"-"&amp;TEXT(2,"00")&amp;"*",수납!$E:$E,""))</f>
        <v/>
      </c>
      <c r="E371" s="14">
        <f>IF(원생!$A369="","",SUMIFS(수납!$F:$F,수납!$C:$C,원생!$A369,수납!$D:$D,IF(원생!$G369="","",원생!$G369),수납!$B:$B,$B$1&amp;"-"&amp;TEXT(3,"00")&amp;"*",수납!$E:$E,"수강료")+SUMIFS(수납!$F:$F,수납!$C:$C,원생!$A369,수납!$D:$D,IF(원생!$G369="","",원생!$G369),수납!$B:$B,$B$1&amp;"-"&amp;TEXT(3,"00")&amp;"*",수납!$E:$E,""))</f>
        <v/>
      </c>
      <c r="F371" s="14">
        <f>IF(원생!$A369="","",SUMIFS(수납!$F:$F,수납!$C:$C,원생!$A369,수납!$D:$D,IF(원생!$G369="","",원생!$G369),수납!$B:$B,$B$1&amp;"-"&amp;TEXT(4,"00")&amp;"*",수납!$E:$E,"수강료")+SUMIFS(수납!$F:$F,수납!$C:$C,원생!$A369,수납!$D:$D,IF(원생!$G369="","",원생!$G369),수납!$B:$B,$B$1&amp;"-"&amp;TEXT(4,"00")&amp;"*",수납!$E:$E,""))</f>
        <v/>
      </c>
      <c r="G371" s="14">
        <f>IF(원생!$A369="","",SUMIFS(수납!$F:$F,수납!$C:$C,원생!$A369,수납!$D:$D,IF(원생!$G369="","",원생!$G369),수납!$B:$B,$B$1&amp;"-"&amp;TEXT(5,"00")&amp;"*",수납!$E:$E,"수강료")+SUMIFS(수납!$F:$F,수납!$C:$C,원생!$A369,수납!$D:$D,IF(원생!$G369="","",원생!$G369),수납!$B:$B,$B$1&amp;"-"&amp;TEXT(5,"00")&amp;"*",수납!$E:$E,""))</f>
        <v/>
      </c>
      <c r="H371" s="14">
        <f>IF(원생!$A369="","",SUMIFS(수납!$F:$F,수납!$C:$C,원생!$A369,수납!$D:$D,IF(원생!$G369="","",원생!$G369),수납!$B:$B,$B$1&amp;"-"&amp;TEXT(6,"00")&amp;"*",수납!$E:$E,"수강료")+SUMIFS(수납!$F:$F,수납!$C:$C,원생!$A369,수납!$D:$D,IF(원생!$G369="","",원생!$G369),수납!$B:$B,$B$1&amp;"-"&amp;TEXT(6,"00")&amp;"*",수납!$E:$E,""))</f>
        <v/>
      </c>
      <c r="I371" s="14">
        <f>IF(원생!$A369="","",SUMIFS(수납!$F:$F,수납!$C:$C,원생!$A369,수납!$D:$D,IF(원생!$G369="","",원생!$G369),수납!$B:$B,$B$1&amp;"-"&amp;TEXT(7,"00")&amp;"*",수납!$E:$E,"수강료")+SUMIFS(수납!$F:$F,수납!$C:$C,원생!$A369,수납!$D:$D,IF(원생!$G369="","",원생!$G369),수납!$B:$B,$B$1&amp;"-"&amp;TEXT(7,"00")&amp;"*",수납!$E:$E,""))</f>
        <v/>
      </c>
      <c r="J371" s="14">
        <f>IF(원생!$A369="","",SUMIFS(수납!$F:$F,수납!$C:$C,원생!$A369,수납!$D:$D,IF(원생!$G369="","",원생!$G369),수납!$B:$B,$B$1&amp;"-"&amp;TEXT(8,"00")&amp;"*",수납!$E:$E,"수강료")+SUMIFS(수납!$F:$F,수납!$C:$C,원생!$A369,수납!$D:$D,IF(원생!$G369="","",원생!$G369),수납!$B:$B,$B$1&amp;"-"&amp;TEXT(8,"00")&amp;"*",수납!$E:$E,""))</f>
        <v/>
      </c>
      <c r="K371" s="14">
        <f>IF(원생!$A369="","",SUMIFS(수납!$F:$F,수납!$C:$C,원생!$A369,수납!$D:$D,IF(원생!$G369="","",원생!$G369),수납!$B:$B,$B$1&amp;"-"&amp;TEXT(9,"00")&amp;"*",수납!$E:$E,"수강료")+SUMIFS(수납!$F:$F,수납!$C:$C,원생!$A369,수납!$D:$D,IF(원생!$G369="","",원생!$G369),수납!$B:$B,$B$1&amp;"-"&amp;TEXT(9,"00")&amp;"*",수납!$E:$E,""))</f>
        <v/>
      </c>
      <c r="L371" s="14">
        <f>IF(원생!$A369="","",SUMIFS(수납!$F:$F,수납!$C:$C,원생!$A369,수납!$D:$D,IF(원생!$G369="","",원생!$G369),수납!$B:$B,$B$1&amp;"-"&amp;TEXT(10,"00")&amp;"*",수납!$E:$E,"수강료")+SUMIFS(수납!$F:$F,수납!$C:$C,원생!$A369,수납!$D:$D,IF(원생!$G369="","",원생!$G369),수납!$B:$B,$B$1&amp;"-"&amp;TEXT(10,"00")&amp;"*",수납!$E:$E,""))</f>
        <v/>
      </c>
      <c r="M371" s="14">
        <f>IF(원생!$A369="","",SUMIFS(수납!$F:$F,수납!$C:$C,원생!$A369,수납!$D:$D,IF(원생!$G369="","",원생!$G369),수납!$B:$B,$B$1&amp;"-"&amp;TEXT(11,"00")&amp;"*",수납!$E:$E,"수강료")+SUMIFS(수납!$F:$F,수납!$C:$C,원생!$A369,수납!$D:$D,IF(원생!$G369="","",원생!$G369),수납!$B:$B,$B$1&amp;"-"&amp;TEXT(11,"00")&amp;"*",수납!$E:$E,""))</f>
        <v/>
      </c>
      <c r="N371" s="14">
        <f>IF(원생!$A369="","",SUMIFS(수납!$F:$F,수납!$C:$C,원생!$A369,수납!$D:$D,IF(원생!$G369="","",원생!$G369),수납!$B:$B,$B$1&amp;"-"&amp;TEXT(12,"00")&amp;"*",수납!$E:$E,"수강료")+SUMIFS(수납!$F:$F,수납!$C:$C,원생!$A369,수납!$D:$D,IF(원생!$G369="","",원생!$G369),수납!$B:$B,$B$1&amp;"-"&amp;TEXT(12,"00")&amp;"*",수납!$E:$E,""))</f>
        <v/>
      </c>
      <c r="O371">
        <f>IF(원생!$I369="","",원생!$I369)</f>
        <v/>
      </c>
      <c r="P371">
        <f>IF($A371="","",IF(AND($B371&gt;0,C371&lt;$B371,DATE($B$1,1,1)&lt;=TODAY(),OR($O371="",$O371&gt;=DATE($B$1,1,1)),OR(COUNTIF($C371:C371,"&gt;0")&gt;0,DATE($B$1,1,1)=DATE(YEAR(TODAY()),MONTH(TODAY()),1))),1,0))</f>
        <v/>
      </c>
      <c r="Q371">
        <f>IF($A371="","",IF(AND($B371&gt;0,D371&lt;$B371,DATE($B$1,2,1)&lt;=TODAY(),OR($O371="",$O371&gt;=DATE($B$1,2,1)),OR(COUNTIF($C371:D371,"&gt;0")&gt;0,DATE($B$1,2,1)=DATE(YEAR(TODAY()),MONTH(TODAY()),1))),1,0))</f>
        <v/>
      </c>
      <c r="R371">
        <f>IF($A371="","",IF(AND($B371&gt;0,E371&lt;$B371,DATE($B$1,3,1)&lt;=TODAY(),OR($O371="",$O371&gt;=DATE($B$1,3,1)),OR(COUNTIF($C371:E371,"&gt;0")&gt;0,DATE($B$1,3,1)=DATE(YEAR(TODAY()),MONTH(TODAY()),1))),1,0))</f>
        <v/>
      </c>
      <c r="S371">
        <f>IF($A371="","",IF(AND($B371&gt;0,F371&lt;$B371,DATE($B$1,4,1)&lt;=TODAY(),OR($O371="",$O371&gt;=DATE($B$1,4,1)),OR(COUNTIF($C371:F371,"&gt;0")&gt;0,DATE($B$1,4,1)=DATE(YEAR(TODAY()),MONTH(TODAY()),1))),1,0))</f>
        <v/>
      </c>
      <c r="T371">
        <f>IF($A371="","",IF(AND($B371&gt;0,G371&lt;$B371,DATE($B$1,5,1)&lt;=TODAY(),OR($O371="",$O371&gt;=DATE($B$1,5,1)),OR(COUNTIF($C371:G371,"&gt;0")&gt;0,DATE($B$1,5,1)=DATE(YEAR(TODAY()),MONTH(TODAY()),1))),1,0))</f>
        <v/>
      </c>
      <c r="U371">
        <f>IF($A371="","",IF(AND($B371&gt;0,H371&lt;$B371,DATE($B$1,6,1)&lt;=TODAY(),OR($O371="",$O371&gt;=DATE($B$1,6,1)),OR(COUNTIF($C371:H371,"&gt;0")&gt;0,DATE($B$1,6,1)=DATE(YEAR(TODAY()),MONTH(TODAY()),1))),1,0))</f>
        <v/>
      </c>
      <c r="V371">
        <f>IF($A371="","",IF(AND($B371&gt;0,I371&lt;$B371,DATE($B$1,7,1)&lt;=TODAY(),OR($O371="",$O371&gt;=DATE($B$1,7,1)),OR(COUNTIF($C371:I371,"&gt;0")&gt;0,DATE($B$1,7,1)=DATE(YEAR(TODAY()),MONTH(TODAY()),1))),1,0))</f>
        <v/>
      </c>
      <c r="W371">
        <f>IF($A371="","",IF(AND($B371&gt;0,J371&lt;$B371,DATE($B$1,8,1)&lt;=TODAY(),OR($O371="",$O371&gt;=DATE($B$1,8,1)),OR(COUNTIF($C371:J371,"&gt;0")&gt;0,DATE($B$1,8,1)=DATE(YEAR(TODAY()),MONTH(TODAY()),1))),1,0))</f>
        <v/>
      </c>
      <c r="X371">
        <f>IF($A371="","",IF(AND($B371&gt;0,K371&lt;$B371,DATE($B$1,9,1)&lt;=TODAY(),OR($O371="",$O371&gt;=DATE($B$1,9,1)),OR(COUNTIF($C371:K371,"&gt;0")&gt;0,DATE($B$1,9,1)=DATE(YEAR(TODAY()),MONTH(TODAY()),1))),1,0))</f>
        <v/>
      </c>
      <c r="Y371">
        <f>IF($A371="","",IF(AND($B371&gt;0,L371&lt;$B371,DATE($B$1,10,1)&lt;=TODAY(),OR($O371="",$O371&gt;=DATE($B$1,10,1)),OR(COUNTIF($C371:L371,"&gt;0")&gt;0,DATE($B$1,10,1)=DATE(YEAR(TODAY()),MONTH(TODAY()),1))),1,0))</f>
        <v/>
      </c>
      <c r="Z371">
        <f>IF($A371="","",IF(AND($B371&gt;0,M371&lt;$B371,DATE($B$1,11,1)&lt;=TODAY(),OR($O371="",$O371&gt;=DATE($B$1,11,1)),OR(COUNTIF($C371:M371,"&gt;0")&gt;0,DATE($B$1,11,1)=DATE(YEAR(TODAY()),MONTH(TODAY()),1))),1,0))</f>
        <v/>
      </c>
      <c r="AA371">
        <f>IF($A371="","",IF(AND($B371&gt;0,N371&lt;$B371,DATE($B$1,12,1)&lt;=TODAY(),OR($O371="",$O371&gt;=DATE($B$1,12,1)),OR(COUNTIF($C371:N371,"&gt;0")&gt;0,DATE($B$1,12,1)=DATE(YEAR(TODAY()),MONTH(TODAY()),1))),1,0))</f>
        <v/>
      </c>
    </row>
    <row r="372">
      <c r="A372" s="13">
        <f>IF(원생!$A370="","",원생!$A370&amp;IF(원생!$G370="",""," ("&amp;원생!$G370&amp;")"))</f>
        <v/>
      </c>
      <c r="B372" s="8">
        <f>IF(원생!$A370="","",원생!$F370)</f>
        <v/>
      </c>
      <c r="C372" s="14">
        <f>IF(원생!$A370="","",SUMIFS(수납!$F:$F,수납!$C:$C,원생!$A370,수납!$D:$D,IF(원생!$G370="","",원생!$G370),수납!$B:$B,$B$1&amp;"-"&amp;TEXT(1,"00")&amp;"*",수납!$E:$E,"수강료")+SUMIFS(수납!$F:$F,수납!$C:$C,원생!$A370,수납!$D:$D,IF(원생!$G370="","",원생!$G370),수납!$B:$B,$B$1&amp;"-"&amp;TEXT(1,"00")&amp;"*",수납!$E:$E,""))</f>
        <v/>
      </c>
      <c r="D372" s="14">
        <f>IF(원생!$A370="","",SUMIFS(수납!$F:$F,수납!$C:$C,원생!$A370,수납!$D:$D,IF(원생!$G370="","",원생!$G370),수납!$B:$B,$B$1&amp;"-"&amp;TEXT(2,"00")&amp;"*",수납!$E:$E,"수강료")+SUMIFS(수납!$F:$F,수납!$C:$C,원생!$A370,수납!$D:$D,IF(원생!$G370="","",원생!$G370),수납!$B:$B,$B$1&amp;"-"&amp;TEXT(2,"00")&amp;"*",수납!$E:$E,""))</f>
        <v/>
      </c>
      <c r="E372" s="14">
        <f>IF(원생!$A370="","",SUMIFS(수납!$F:$F,수납!$C:$C,원생!$A370,수납!$D:$D,IF(원생!$G370="","",원생!$G370),수납!$B:$B,$B$1&amp;"-"&amp;TEXT(3,"00")&amp;"*",수납!$E:$E,"수강료")+SUMIFS(수납!$F:$F,수납!$C:$C,원생!$A370,수납!$D:$D,IF(원생!$G370="","",원생!$G370),수납!$B:$B,$B$1&amp;"-"&amp;TEXT(3,"00")&amp;"*",수납!$E:$E,""))</f>
        <v/>
      </c>
      <c r="F372" s="14">
        <f>IF(원생!$A370="","",SUMIFS(수납!$F:$F,수납!$C:$C,원생!$A370,수납!$D:$D,IF(원생!$G370="","",원생!$G370),수납!$B:$B,$B$1&amp;"-"&amp;TEXT(4,"00")&amp;"*",수납!$E:$E,"수강료")+SUMIFS(수납!$F:$F,수납!$C:$C,원생!$A370,수납!$D:$D,IF(원생!$G370="","",원생!$G370),수납!$B:$B,$B$1&amp;"-"&amp;TEXT(4,"00")&amp;"*",수납!$E:$E,""))</f>
        <v/>
      </c>
      <c r="G372" s="14">
        <f>IF(원생!$A370="","",SUMIFS(수납!$F:$F,수납!$C:$C,원생!$A370,수납!$D:$D,IF(원생!$G370="","",원생!$G370),수납!$B:$B,$B$1&amp;"-"&amp;TEXT(5,"00")&amp;"*",수납!$E:$E,"수강료")+SUMIFS(수납!$F:$F,수납!$C:$C,원생!$A370,수납!$D:$D,IF(원생!$G370="","",원생!$G370),수납!$B:$B,$B$1&amp;"-"&amp;TEXT(5,"00")&amp;"*",수납!$E:$E,""))</f>
        <v/>
      </c>
      <c r="H372" s="14">
        <f>IF(원생!$A370="","",SUMIFS(수납!$F:$F,수납!$C:$C,원생!$A370,수납!$D:$D,IF(원생!$G370="","",원생!$G370),수납!$B:$B,$B$1&amp;"-"&amp;TEXT(6,"00")&amp;"*",수납!$E:$E,"수강료")+SUMIFS(수납!$F:$F,수납!$C:$C,원생!$A370,수납!$D:$D,IF(원생!$G370="","",원생!$G370),수납!$B:$B,$B$1&amp;"-"&amp;TEXT(6,"00")&amp;"*",수납!$E:$E,""))</f>
        <v/>
      </c>
      <c r="I372" s="14">
        <f>IF(원생!$A370="","",SUMIFS(수납!$F:$F,수납!$C:$C,원생!$A370,수납!$D:$D,IF(원생!$G370="","",원생!$G370),수납!$B:$B,$B$1&amp;"-"&amp;TEXT(7,"00")&amp;"*",수납!$E:$E,"수강료")+SUMIFS(수납!$F:$F,수납!$C:$C,원생!$A370,수납!$D:$D,IF(원생!$G370="","",원생!$G370),수납!$B:$B,$B$1&amp;"-"&amp;TEXT(7,"00")&amp;"*",수납!$E:$E,""))</f>
        <v/>
      </c>
      <c r="J372" s="14">
        <f>IF(원생!$A370="","",SUMIFS(수납!$F:$F,수납!$C:$C,원생!$A370,수납!$D:$D,IF(원생!$G370="","",원생!$G370),수납!$B:$B,$B$1&amp;"-"&amp;TEXT(8,"00")&amp;"*",수납!$E:$E,"수강료")+SUMIFS(수납!$F:$F,수납!$C:$C,원생!$A370,수납!$D:$D,IF(원생!$G370="","",원생!$G370),수납!$B:$B,$B$1&amp;"-"&amp;TEXT(8,"00")&amp;"*",수납!$E:$E,""))</f>
        <v/>
      </c>
      <c r="K372" s="14">
        <f>IF(원생!$A370="","",SUMIFS(수납!$F:$F,수납!$C:$C,원생!$A370,수납!$D:$D,IF(원생!$G370="","",원생!$G370),수납!$B:$B,$B$1&amp;"-"&amp;TEXT(9,"00")&amp;"*",수납!$E:$E,"수강료")+SUMIFS(수납!$F:$F,수납!$C:$C,원생!$A370,수납!$D:$D,IF(원생!$G370="","",원생!$G370),수납!$B:$B,$B$1&amp;"-"&amp;TEXT(9,"00")&amp;"*",수납!$E:$E,""))</f>
        <v/>
      </c>
      <c r="L372" s="14">
        <f>IF(원생!$A370="","",SUMIFS(수납!$F:$F,수납!$C:$C,원생!$A370,수납!$D:$D,IF(원생!$G370="","",원생!$G370),수납!$B:$B,$B$1&amp;"-"&amp;TEXT(10,"00")&amp;"*",수납!$E:$E,"수강료")+SUMIFS(수납!$F:$F,수납!$C:$C,원생!$A370,수납!$D:$D,IF(원생!$G370="","",원생!$G370),수납!$B:$B,$B$1&amp;"-"&amp;TEXT(10,"00")&amp;"*",수납!$E:$E,""))</f>
        <v/>
      </c>
      <c r="M372" s="14">
        <f>IF(원생!$A370="","",SUMIFS(수납!$F:$F,수납!$C:$C,원생!$A370,수납!$D:$D,IF(원생!$G370="","",원생!$G370),수납!$B:$B,$B$1&amp;"-"&amp;TEXT(11,"00")&amp;"*",수납!$E:$E,"수강료")+SUMIFS(수납!$F:$F,수납!$C:$C,원생!$A370,수납!$D:$D,IF(원생!$G370="","",원생!$G370),수납!$B:$B,$B$1&amp;"-"&amp;TEXT(11,"00")&amp;"*",수납!$E:$E,""))</f>
        <v/>
      </c>
      <c r="N372" s="14">
        <f>IF(원생!$A370="","",SUMIFS(수납!$F:$F,수납!$C:$C,원생!$A370,수납!$D:$D,IF(원생!$G370="","",원생!$G370),수납!$B:$B,$B$1&amp;"-"&amp;TEXT(12,"00")&amp;"*",수납!$E:$E,"수강료")+SUMIFS(수납!$F:$F,수납!$C:$C,원생!$A370,수납!$D:$D,IF(원생!$G370="","",원생!$G370),수납!$B:$B,$B$1&amp;"-"&amp;TEXT(12,"00")&amp;"*",수납!$E:$E,""))</f>
        <v/>
      </c>
      <c r="O372">
        <f>IF(원생!$I370="","",원생!$I370)</f>
        <v/>
      </c>
      <c r="P372">
        <f>IF($A372="","",IF(AND($B372&gt;0,C372&lt;$B372,DATE($B$1,1,1)&lt;=TODAY(),OR($O372="",$O372&gt;=DATE($B$1,1,1)),OR(COUNTIF($C372:C372,"&gt;0")&gt;0,DATE($B$1,1,1)=DATE(YEAR(TODAY()),MONTH(TODAY()),1))),1,0))</f>
        <v/>
      </c>
      <c r="Q372">
        <f>IF($A372="","",IF(AND($B372&gt;0,D372&lt;$B372,DATE($B$1,2,1)&lt;=TODAY(),OR($O372="",$O372&gt;=DATE($B$1,2,1)),OR(COUNTIF($C372:D372,"&gt;0")&gt;0,DATE($B$1,2,1)=DATE(YEAR(TODAY()),MONTH(TODAY()),1))),1,0))</f>
        <v/>
      </c>
      <c r="R372">
        <f>IF($A372="","",IF(AND($B372&gt;0,E372&lt;$B372,DATE($B$1,3,1)&lt;=TODAY(),OR($O372="",$O372&gt;=DATE($B$1,3,1)),OR(COUNTIF($C372:E372,"&gt;0")&gt;0,DATE($B$1,3,1)=DATE(YEAR(TODAY()),MONTH(TODAY()),1))),1,0))</f>
        <v/>
      </c>
      <c r="S372">
        <f>IF($A372="","",IF(AND($B372&gt;0,F372&lt;$B372,DATE($B$1,4,1)&lt;=TODAY(),OR($O372="",$O372&gt;=DATE($B$1,4,1)),OR(COUNTIF($C372:F372,"&gt;0")&gt;0,DATE($B$1,4,1)=DATE(YEAR(TODAY()),MONTH(TODAY()),1))),1,0))</f>
        <v/>
      </c>
      <c r="T372">
        <f>IF($A372="","",IF(AND($B372&gt;0,G372&lt;$B372,DATE($B$1,5,1)&lt;=TODAY(),OR($O372="",$O372&gt;=DATE($B$1,5,1)),OR(COUNTIF($C372:G372,"&gt;0")&gt;0,DATE($B$1,5,1)=DATE(YEAR(TODAY()),MONTH(TODAY()),1))),1,0))</f>
        <v/>
      </c>
      <c r="U372">
        <f>IF($A372="","",IF(AND($B372&gt;0,H372&lt;$B372,DATE($B$1,6,1)&lt;=TODAY(),OR($O372="",$O372&gt;=DATE($B$1,6,1)),OR(COUNTIF($C372:H372,"&gt;0")&gt;0,DATE($B$1,6,1)=DATE(YEAR(TODAY()),MONTH(TODAY()),1))),1,0))</f>
        <v/>
      </c>
      <c r="V372">
        <f>IF($A372="","",IF(AND($B372&gt;0,I372&lt;$B372,DATE($B$1,7,1)&lt;=TODAY(),OR($O372="",$O372&gt;=DATE($B$1,7,1)),OR(COUNTIF($C372:I372,"&gt;0")&gt;0,DATE($B$1,7,1)=DATE(YEAR(TODAY()),MONTH(TODAY()),1))),1,0))</f>
        <v/>
      </c>
      <c r="W372">
        <f>IF($A372="","",IF(AND($B372&gt;0,J372&lt;$B372,DATE($B$1,8,1)&lt;=TODAY(),OR($O372="",$O372&gt;=DATE($B$1,8,1)),OR(COUNTIF($C372:J372,"&gt;0")&gt;0,DATE($B$1,8,1)=DATE(YEAR(TODAY()),MONTH(TODAY()),1))),1,0))</f>
        <v/>
      </c>
      <c r="X372">
        <f>IF($A372="","",IF(AND($B372&gt;0,K372&lt;$B372,DATE($B$1,9,1)&lt;=TODAY(),OR($O372="",$O372&gt;=DATE($B$1,9,1)),OR(COUNTIF($C372:K372,"&gt;0")&gt;0,DATE($B$1,9,1)=DATE(YEAR(TODAY()),MONTH(TODAY()),1))),1,0))</f>
        <v/>
      </c>
      <c r="Y372">
        <f>IF($A372="","",IF(AND($B372&gt;0,L372&lt;$B372,DATE($B$1,10,1)&lt;=TODAY(),OR($O372="",$O372&gt;=DATE($B$1,10,1)),OR(COUNTIF($C372:L372,"&gt;0")&gt;0,DATE($B$1,10,1)=DATE(YEAR(TODAY()),MONTH(TODAY()),1))),1,0))</f>
        <v/>
      </c>
      <c r="Z372">
        <f>IF($A372="","",IF(AND($B372&gt;0,M372&lt;$B372,DATE($B$1,11,1)&lt;=TODAY(),OR($O372="",$O372&gt;=DATE($B$1,11,1)),OR(COUNTIF($C372:M372,"&gt;0")&gt;0,DATE($B$1,11,1)=DATE(YEAR(TODAY()),MONTH(TODAY()),1))),1,0))</f>
        <v/>
      </c>
      <c r="AA372">
        <f>IF($A372="","",IF(AND($B372&gt;0,N372&lt;$B372,DATE($B$1,12,1)&lt;=TODAY(),OR($O372="",$O372&gt;=DATE($B$1,12,1)),OR(COUNTIF($C372:N372,"&gt;0")&gt;0,DATE($B$1,12,1)=DATE(YEAR(TODAY()),MONTH(TODAY()),1))),1,0))</f>
        <v/>
      </c>
    </row>
    <row r="373">
      <c r="A373" s="13">
        <f>IF(원생!$A371="","",원생!$A371&amp;IF(원생!$G371="",""," ("&amp;원생!$G371&amp;")"))</f>
        <v/>
      </c>
      <c r="B373" s="8">
        <f>IF(원생!$A371="","",원생!$F371)</f>
        <v/>
      </c>
      <c r="C373" s="14">
        <f>IF(원생!$A371="","",SUMIFS(수납!$F:$F,수납!$C:$C,원생!$A371,수납!$D:$D,IF(원생!$G371="","",원생!$G371),수납!$B:$B,$B$1&amp;"-"&amp;TEXT(1,"00")&amp;"*",수납!$E:$E,"수강료")+SUMIFS(수납!$F:$F,수납!$C:$C,원생!$A371,수납!$D:$D,IF(원생!$G371="","",원생!$G371),수납!$B:$B,$B$1&amp;"-"&amp;TEXT(1,"00")&amp;"*",수납!$E:$E,""))</f>
        <v/>
      </c>
      <c r="D373" s="14">
        <f>IF(원생!$A371="","",SUMIFS(수납!$F:$F,수납!$C:$C,원생!$A371,수납!$D:$D,IF(원생!$G371="","",원생!$G371),수납!$B:$B,$B$1&amp;"-"&amp;TEXT(2,"00")&amp;"*",수납!$E:$E,"수강료")+SUMIFS(수납!$F:$F,수납!$C:$C,원생!$A371,수납!$D:$D,IF(원생!$G371="","",원생!$G371),수납!$B:$B,$B$1&amp;"-"&amp;TEXT(2,"00")&amp;"*",수납!$E:$E,""))</f>
        <v/>
      </c>
      <c r="E373" s="14">
        <f>IF(원생!$A371="","",SUMIFS(수납!$F:$F,수납!$C:$C,원생!$A371,수납!$D:$D,IF(원생!$G371="","",원생!$G371),수납!$B:$B,$B$1&amp;"-"&amp;TEXT(3,"00")&amp;"*",수납!$E:$E,"수강료")+SUMIFS(수납!$F:$F,수납!$C:$C,원생!$A371,수납!$D:$D,IF(원생!$G371="","",원생!$G371),수납!$B:$B,$B$1&amp;"-"&amp;TEXT(3,"00")&amp;"*",수납!$E:$E,""))</f>
        <v/>
      </c>
      <c r="F373" s="14">
        <f>IF(원생!$A371="","",SUMIFS(수납!$F:$F,수납!$C:$C,원생!$A371,수납!$D:$D,IF(원생!$G371="","",원생!$G371),수납!$B:$B,$B$1&amp;"-"&amp;TEXT(4,"00")&amp;"*",수납!$E:$E,"수강료")+SUMIFS(수납!$F:$F,수납!$C:$C,원생!$A371,수납!$D:$D,IF(원생!$G371="","",원생!$G371),수납!$B:$B,$B$1&amp;"-"&amp;TEXT(4,"00")&amp;"*",수납!$E:$E,""))</f>
        <v/>
      </c>
      <c r="G373" s="14">
        <f>IF(원생!$A371="","",SUMIFS(수납!$F:$F,수납!$C:$C,원생!$A371,수납!$D:$D,IF(원생!$G371="","",원생!$G371),수납!$B:$B,$B$1&amp;"-"&amp;TEXT(5,"00")&amp;"*",수납!$E:$E,"수강료")+SUMIFS(수납!$F:$F,수납!$C:$C,원생!$A371,수납!$D:$D,IF(원생!$G371="","",원생!$G371),수납!$B:$B,$B$1&amp;"-"&amp;TEXT(5,"00")&amp;"*",수납!$E:$E,""))</f>
        <v/>
      </c>
      <c r="H373" s="14">
        <f>IF(원생!$A371="","",SUMIFS(수납!$F:$F,수납!$C:$C,원생!$A371,수납!$D:$D,IF(원생!$G371="","",원생!$G371),수납!$B:$B,$B$1&amp;"-"&amp;TEXT(6,"00")&amp;"*",수납!$E:$E,"수강료")+SUMIFS(수납!$F:$F,수납!$C:$C,원생!$A371,수납!$D:$D,IF(원생!$G371="","",원생!$G371),수납!$B:$B,$B$1&amp;"-"&amp;TEXT(6,"00")&amp;"*",수납!$E:$E,""))</f>
        <v/>
      </c>
      <c r="I373" s="14">
        <f>IF(원생!$A371="","",SUMIFS(수납!$F:$F,수납!$C:$C,원생!$A371,수납!$D:$D,IF(원생!$G371="","",원생!$G371),수납!$B:$B,$B$1&amp;"-"&amp;TEXT(7,"00")&amp;"*",수납!$E:$E,"수강료")+SUMIFS(수납!$F:$F,수납!$C:$C,원생!$A371,수납!$D:$D,IF(원생!$G371="","",원생!$G371),수납!$B:$B,$B$1&amp;"-"&amp;TEXT(7,"00")&amp;"*",수납!$E:$E,""))</f>
        <v/>
      </c>
      <c r="J373" s="14">
        <f>IF(원생!$A371="","",SUMIFS(수납!$F:$F,수납!$C:$C,원생!$A371,수납!$D:$D,IF(원생!$G371="","",원생!$G371),수납!$B:$B,$B$1&amp;"-"&amp;TEXT(8,"00")&amp;"*",수납!$E:$E,"수강료")+SUMIFS(수납!$F:$F,수납!$C:$C,원생!$A371,수납!$D:$D,IF(원생!$G371="","",원생!$G371),수납!$B:$B,$B$1&amp;"-"&amp;TEXT(8,"00")&amp;"*",수납!$E:$E,""))</f>
        <v/>
      </c>
      <c r="K373" s="14">
        <f>IF(원생!$A371="","",SUMIFS(수납!$F:$F,수납!$C:$C,원생!$A371,수납!$D:$D,IF(원생!$G371="","",원생!$G371),수납!$B:$B,$B$1&amp;"-"&amp;TEXT(9,"00")&amp;"*",수납!$E:$E,"수강료")+SUMIFS(수납!$F:$F,수납!$C:$C,원생!$A371,수납!$D:$D,IF(원생!$G371="","",원생!$G371),수납!$B:$B,$B$1&amp;"-"&amp;TEXT(9,"00")&amp;"*",수납!$E:$E,""))</f>
        <v/>
      </c>
      <c r="L373" s="14">
        <f>IF(원생!$A371="","",SUMIFS(수납!$F:$F,수납!$C:$C,원생!$A371,수납!$D:$D,IF(원생!$G371="","",원생!$G371),수납!$B:$B,$B$1&amp;"-"&amp;TEXT(10,"00")&amp;"*",수납!$E:$E,"수강료")+SUMIFS(수납!$F:$F,수납!$C:$C,원생!$A371,수납!$D:$D,IF(원생!$G371="","",원생!$G371),수납!$B:$B,$B$1&amp;"-"&amp;TEXT(10,"00")&amp;"*",수납!$E:$E,""))</f>
        <v/>
      </c>
      <c r="M373" s="14">
        <f>IF(원생!$A371="","",SUMIFS(수납!$F:$F,수납!$C:$C,원생!$A371,수납!$D:$D,IF(원생!$G371="","",원생!$G371),수납!$B:$B,$B$1&amp;"-"&amp;TEXT(11,"00")&amp;"*",수납!$E:$E,"수강료")+SUMIFS(수납!$F:$F,수납!$C:$C,원생!$A371,수납!$D:$D,IF(원생!$G371="","",원생!$G371),수납!$B:$B,$B$1&amp;"-"&amp;TEXT(11,"00")&amp;"*",수납!$E:$E,""))</f>
        <v/>
      </c>
      <c r="N373" s="14">
        <f>IF(원생!$A371="","",SUMIFS(수납!$F:$F,수납!$C:$C,원생!$A371,수납!$D:$D,IF(원생!$G371="","",원생!$G371),수납!$B:$B,$B$1&amp;"-"&amp;TEXT(12,"00")&amp;"*",수납!$E:$E,"수강료")+SUMIFS(수납!$F:$F,수납!$C:$C,원생!$A371,수납!$D:$D,IF(원생!$G371="","",원생!$G371),수납!$B:$B,$B$1&amp;"-"&amp;TEXT(12,"00")&amp;"*",수납!$E:$E,""))</f>
        <v/>
      </c>
      <c r="O373">
        <f>IF(원생!$I371="","",원생!$I371)</f>
        <v/>
      </c>
      <c r="P373">
        <f>IF($A373="","",IF(AND($B373&gt;0,C373&lt;$B373,DATE($B$1,1,1)&lt;=TODAY(),OR($O373="",$O373&gt;=DATE($B$1,1,1)),OR(COUNTIF($C373:C373,"&gt;0")&gt;0,DATE($B$1,1,1)=DATE(YEAR(TODAY()),MONTH(TODAY()),1))),1,0))</f>
        <v/>
      </c>
      <c r="Q373">
        <f>IF($A373="","",IF(AND($B373&gt;0,D373&lt;$B373,DATE($B$1,2,1)&lt;=TODAY(),OR($O373="",$O373&gt;=DATE($B$1,2,1)),OR(COUNTIF($C373:D373,"&gt;0")&gt;0,DATE($B$1,2,1)=DATE(YEAR(TODAY()),MONTH(TODAY()),1))),1,0))</f>
        <v/>
      </c>
      <c r="R373">
        <f>IF($A373="","",IF(AND($B373&gt;0,E373&lt;$B373,DATE($B$1,3,1)&lt;=TODAY(),OR($O373="",$O373&gt;=DATE($B$1,3,1)),OR(COUNTIF($C373:E373,"&gt;0")&gt;0,DATE($B$1,3,1)=DATE(YEAR(TODAY()),MONTH(TODAY()),1))),1,0))</f>
        <v/>
      </c>
      <c r="S373">
        <f>IF($A373="","",IF(AND($B373&gt;0,F373&lt;$B373,DATE($B$1,4,1)&lt;=TODAY(),OR($O373="",$O373&gt;=DATE($B$1,4,1)),OR(COUNTIF($C373:F373,"&gt;0")&gt;0,DATE($B$1,4,1)=DATE(YEAR(TODAY()),MONTH(TODAY()),1))),1,0))</f>
        <v/>
      </c>
      <c r="T373">
        <f>IF($A373="","",IF(AND($B373&gt;0,G373&lt;$B373,DATE($B$1,5,1)&lt;=TODAY(),OR($O373="",$O373&gt;=DATE($B$1,5,1)),OR(COUNTIF($C373:G373,"&gt;0")&gt;0,DATE($B$1,5,1)=DATE(YEAR(TODAY()),MONTH(TODAY()),1))),1,0))</f>
        <v/>
      </c>
      <c r="U373">
        <f>IF($A373="","",IF(AND($B373&gt;0,H373&lt;$B373,DATE($B$1,6,1)&lt;=TODAY(),OR($O373="",$O373&gt;=DATE($B$1,6,1)),OR(COUNTIF($C373:H373,"&gt;0")&gt;0,DATE($B$1,6,1)=DATE(YEAR(TODAY()),MONTH(TODAY()),1))),1,0))</f>
        <v/>
      </c>
      <c r="V373">
        <f>IF($A373="","",IF(AND($B373&gt;0,I373&lt;$B373,DATE($B$1,7,1)&lt;=TODAY(),OR($O373="",$O373&gt;=DATE($B$1,7,1)),OR(COUNTIF($C373:I373,"&gt;0")&gt;0,DATE($B$1,7,1)=DATE(YEAR(TODAY()),MONTH(TODAY()),1))),1,0))</f>
        <v/>
      </c>
      <c r="W373">
        <f>IF($A373="","",IF(AND($B373&gt;0,J373&lt;$B373,DATE($B$1,8,1)&lt;=TODAY(),OR($O373="",$O373&gt;=DATE($B$1,8,1)),OR(COUNTIF($C373:J373,"&gt;0")&gt;0,DATE($B$1,8,1)=DATE(YEAR(TODAY()),MONTH(TODAY()),1))),1,0))</f>
        <v/>
      </c>
      <c r="X373">
        <f>IF($A373="","",IF(AND($B373&gt;0,K373&lt;$B373,DATE($B$1,9,1)&lt;=TODAY(),OR($O373="",$O373&gt;=DATE($B$1,9,1)),OR(COUNTIF($C373:K373,"&gt;0")&gt;0,DATE($B$1,9,1)=DATE(YEAR(TODAY()),MONTH(TODAY()),1))),1,0))</f>
        <v/>
      </c>
      <c r="Y373">
        <f>IF($A373="","",IF(AND($B373&gt;0,L373&lt;$B373,DATE($B$1,10,1)&lt;=TODAY(),OR($O373="",$O373&gt;=DATE($B$1,10,1)),OR(COUNTIF($C373:L373,"&gt;0")&gt;0,DATE($B$1,10,1)=DATE(YEAR(TODAY()),MONTH(TODAY()),1))),1,0))</f>
        <v/>
      </c>
      <c r="Z373">
        <f>IF($A373="","",IF(AND($B373&gt;0,M373&lt;$B373,DATE($B$1,11,1)&lt;=TODAY(),OR($O373="",$O373&gt;=DATE($B$1,11,1)),OR(COUNTIF($C373:M373,"&gt;0")&gt;0,DATE($B$1,11,1)=DATE(YEAR(TODAY()),MONTH(TODAY()),1))),1,0))</f>
        <v/>
      </c>
      <c r="AA373">
        <f>IF($A373="","",IF(AND($B373&gt;0,N373&lt;$B373,DATE($B$1,12,1)&lt;=TODAY(),OR($O373="",$O373&gt;=DATE($B$1,12,1)),OR(COUNTIF($C373:N373,"&gt;0")&gt;0,DATE($B$1,12,1)=DATE(YEAR(TODAY()),MONTH(TODAY()),1))),1,0))</f>
        <v/>
      </c>
    </row>
    <row r="374">
      <c r="A374" s="13">
        <f>IF(원생!$A372="","",원생!$A372&amp;IF(원생!$G372="",""," ("&amp;원생!$G372&amp;")"))</f>
        <v/>
      </c>
      <c r="B374" s="8">
        <f>IF(원생!$A372="","",원생!$F372)</f>
        <v/>
      </c>
      <c r="C374" s="14">
        <f>IF(원생!$A372="","",SUMIFS(수납!$F:$F,수납!$C:$C,원생!$A372,수납!$D:$D,IF(원생!$G372="","",원생!$G372),수납!$B:$B,$B$1&amp;"-"&amp;TEXT(1,"00")&amp;"*",수납!$E:$E,"수강료")+SUMIFS(수납!$F:$F,수납!$C:$C,원생!$A372,수납!$D:$D,IF(원생!$G372="","",원생!$G372),수납!$B:$B,$B$1&amp;"-"&amp;TEXT(1,"00")&amp;"*",수납!$E:$E,""))</f>
        <v/>
      </c>
      <c r="D374" s="14">
        <f>IF(원생!$A372="","",SUMIFS(수납!$F:$F,수납!$C:$C,원생!$A372,수납!$D:$D,IF(원생!$G372="","",원생!$G372),수납!$B:$B,$B$1&amp;"-"&amp;TEXT(2,"00")&amp;"*",수납!$E:$E,"수강료")+SUMIFS(수납!$F:$F,수납!$C:$C,원생!$A372,수납!$D:$D,IF(원생!$G372="","",원생!$G372),수납!$B:$B,$B$1&amp;"-"&amp;TEXT(2,"00")&amp;"*",수납!$E:$E,""))</f>
        <v/>
      </c>
      <c r="E374" s="14">
        <f>IF(원생!$A372="","",SUMIFS(수납!$F:$F,수납!$C:$C,원생!$A372,수납!$D:$D,IF(원생!$G372="","",원생!$G372),수납!$B:$B,$B$1&amp;"-"&amp;TEXT(3,"00")&amp;"*",수납!$E:$E,"수강료")+SUMIFS(수납!$F:$F,수납!$C:$C,원생!$A372,수납!$D:$D,IF(원생!$G372="","",원생!$G372),수납!$B:$B,$B$1&amp;"-"&amp;TEXT(3,"00")&amp;"*",수납!$E:$E,""))</f>
        <v/>
      </c>
      <c r="F374" s="14">
        <f>IF(원생!$A372="","",SUMIFS(수납!$F:$F,수납!$C:$C,원생!$A372,수납!$D:$D,IF(원생!$G372="","",원생!$G372),수납!$B:$B,$B$1&amp;"-"&amp;TEXT(4,"00")&amp;"*",수납!$E:$E,"수강료")+SUMIFS(수납!$F:$F,수납!$C:$C,원생!$A372,수납!$D:$D,IF(원생!$G372="","",원생!$G372),수납!$B:$B,$B$1&amp;"-"&amp;TEXT(4,"00")&amp;"*",수납!$E:$E,""))</f>
        <v/>
      </c>
      <c r="G374" s="14">
        <f>IF(원생!$A372="","",SUMIFS(수납!$F:$F,수납!$C:$C,원생!$A372,수납!$D:$D,IF(원생!$G372="","",원생!$G372),수납!$B:$B,$B$1&amp;"-"&amp;TEXT(5,"00")&amp;"*",수납!$E:$E,"수강료")+SUMIFS(수납!$F:$F,수납!$C:$C,원생!$A372,수납!$D:$D,IF(원생!$G372="","",원생!$G372),수납!$B:$B,$B$1&amp;"-"&amp;TEXT(5,"00")&amp;"*",수납!$E:$E,""))</f>
        <v/>
      </c>
      <c r="H374" s="14">
        <f>IF(원생!$A372="","",SUMIFS(수납!$F:$F,수납!$C:$C,원생!$A372,수납!$D:$D,IF(원생!$G372="","",원생!$G372),수납!$B:$B,$B$1&amp;"-"&amp;TEXT(6,"00")&amp;"*",수납!$E:$E,"수강료")+SUMIFS(수납!$F:$F,수납!$C:$C,원생!$A372,수납!$D:$D,IF(원생!$G372="","",원생!$G372),수납!$B:$B,$B$1&amp;"-"&amp;TEXT(6,"00")&amp;"*",수납!$E:$E,""))</f>
        <v/>
      </c>
      <c r="I374" s="14">
        <f>IF(원생!$A372="","",SUMIFS(수납!$F:$F,수납!$C:$C,원생!$A372,수납!$D:$D,IF(원생!$G372="","",원생!$G372),수납!$B:$B,$B$1&amp;"-"&amp;TEXT(7,"00")&amp;"*",수납!$E:$E,"수강료")+SUMIFS(수납!$F:$F,수납!$C:$C,원생!$A372,수납!$D:$D,IF(원생!$G372="","",원생!$G372),수납!$B:$B,$B$1&amp;"-"&amp;TEXT(7,"00")&amp;"*",수납!$E:$E,""))</f>
        <v/>
      </c>
      <c r="J374" s="14">
        <f>IF(원생!$A372="","",SUMIFS(수납!$F:$F,수납!$C:$C,원생!$A372,수납!$D:$D,IF(원생!$G372="","",원생!$G372),수납!$B:$B,$B$1&amp;"-"&amp;TEXT(8,"00")&amp;"*",수납!$E:$E,"수강료")+SUMIFS(수납!$F:$F,수납!$C:$C,원생!$A372,수납!$D:$D,IF(원생!$G372="","",원생!$G372),수납!$B:$B,$B$1&amp;"-"&amp;TEXT(8,"00")&amp;"*",수납!$E:$E,""))</f>
        <v/>
      </c>
      <c r="K374" s="14">
        <f>IF(원생!$A372="","",SUMIFS(수납!$F:$F,수납!$C:$C,원생!$A372,수납!$D:$D,IF(원생!$G372="","",원생!$G372),수납!$B:$B,$B$1&amp;"-"&amp;TEXT(9,"00")&amp;"*",수납!$E:$E,"수강료")+SUMIFS(수납!$F:$F,수납!$C:$C,원생!$A372,수납!$D:$D,IF(원생!$G372="","",원생!$G372),수납!$B:$B,$B$1&amp;"-"&amp;TEXT(9,"00")&amp;"*",수납!$E:$E,""))</f>
        <v/>
      </c>
      <c r="L374" s="14">
        <f>IF(원생!$A372="","",SUMIFS(수납!$F:$F,수납!$C:$C,원생!$A372,수납!$D:$D,IF(원생!$G372="","",원생!$G372),수납!$B:$B,$B$1&amp;"-"&amp;TEXT(10,"00")&amp;"*",수납!$E:$E,"수강료")+SUMIFS(수납!$F:$F,수납!$C:$C,원생!$A372,수납!$D:$D,IF(원생!$G372="","",원생!$G372),수납!$B:$B,$B$1&amp;"-"&amp;TEXT(10,"00")&amp;"*",수납!$E:$E,""))</f>
        <v/>
      </c>
      <c r="M374" s="14">
        <f>IF(원생!$A372="","",SUMIFS(수납!$F:$F,수납!$C:$C,원생!$A372,수납!$D:$D,IF(원생!$G372="","",원생!$G372),수납!$B:$B,$B$1&amp;"-"&amp;TEXT(11,"00")&amp;"*",수납!$E:$E,"수강료")+SUMIFS(수납!$F:$F,수납!$C:$C,원생!$A372,수납!$D:$D,IF(원생!$G372="","",원생!$G372),수납!$B:$B,$B$1&amp;"-"&amp;TEXT(11,"00")&amp;"*",수납!$E:$E,""))</f>
        <v/>
      </c>
      <c r="N374" s="14">
        <f>IF(원생!$A372="","",SUMIFS(수납!$F:$F,수납!$C:$C,원생!$A372,수납!$D:$D,IF(원생!$G372="","",원생!$G372),수납!$B:$B,$B$1&amp;"-"&amp;TEXT(12,"00")&amp;"*",수납!$E:$E,"수강료")+SUMIFS(수납!$F:$F,수납!$C:$C,원생!$A372,수납!$D:$D,IF(원생!$G372="","",원생!$G372),수납!$B:$B,$B$1&amp;"-"&amp;TEXT(12,"00")&amp;"*",수납!$E:$E,""))</f>
        <v/>
      </c>
      <c r="O374">
        <f>IF(원생!$I372="","",원생!$I372)</f>
        <v/>
      </c>
      <c r="P374">
        <f>IF($A374="","",IF(AND($B374&gt;0,C374&lt;$B374,DATE($B$1,1,1)&lt;=TODAY(),OR($O374="",$O374&gt;=DATE($B$1,1,1)),OR(COUNTIF($C374:C374,"&gt;0")&gt;0,DATE($B$1,1,1)=DATE(YEAR(TODAY()),MONTH(TODAY()),1))),1,0))</f>
        <v/>
      </c>
      <c r="Q374">
        <f>IF($A374="","",IF(AND($B374&gt;0,D374&lt;$B374,DATE($B$1,2,1)&lt;=TODAY(),OR($O374="",$O374&gt;=DATE($B$1,2,1)),OR(COUNTIF($C374:D374,"&gt;0")&gt;0,DATE($B$1,2,1)=DATE(YEAR(TODAY()),MONTH(TODAY()),1))),1,0))</f>
        <v/>
      </c>
      <c r="R374">
        <f>IF($A374="","",IF(AND($B374&gt;0,E374&lt;$B374,DATE($B$1,3,1)&lt;=TODAY(),OR($O374="",$O374&gt;=DATE($B$1,3,1)),OR(COUNTIF($C374:E374,"&gt;0")&gt;0,DATE($B$1,3,1)=DATE(YEAR(TODAY()),MONTH(TODAY()),1))),1,0))</f>
        <v/>
      </c>
      <c r="S374">
        <f>IF($A374="","",IF(AND($B374&gt;0,F374&lt;$B374,DATE($B$1,4,1)&lt;=TODAY(),OR($O374="",$O374&gt;=DATE($B$1,4,1)),OR(COUNTIF($C374:F374,"&gt;0")&gt;0,DATE($B$1,4,1)=DATE(YEAR(TODAY()),MONTH(TODAY()),1))),1,0))</f>
        <v/>
      </c>
      <c r="T374">
        <f>IF($A374="","",IF(AND($B374&gt;0,G374&lt;$B374,DATE($B$1,5,1)&lt;=TODAY(),OR($O374="",$O374&gt;=DATE($B$1,5,1)),OR(COUNTIF($C374:G374,"&gt;0")&gt;0,DATE($B$1,5,1)=DATE(YEAR(TODAY()),MONTH(TODAY()),1))),1,0))</f>
        <v/>
      </c>
      <c r="U374">
        <f>IF($A374="","",IF(AND($B374&gt;0,H374&lt;$B374,DATE($B$1,6,1)&lt;=TODAY(),OR($O374="",$O374&gt;=DATE($B$1,6,1)),OR(COUNTIF($C374:H374,"&gt;0")&gt;0,DATE($B$1,6,1)=DATE(YEAR(TODAY()),MONTH(TODAY()),1))),1,0))</f>
        <v/>
      </c>
      <c r="V374">
        <f>IF($A374="","",IF(AND($B374&gt;0,I374&lt;$B374,DATE($B$1,7,1)&lt;=TODAY(),OR($O374="",$O374&gt;=DATE($B$1,7,1)),OR(COUNTIF($C374:I374,"&gt;0")&gt;0,DATE($B$1,7,1)=DATE(YEAR(TODAY()),MONTH(TODAY()),1))),1,0))</f>
        <v/>
      </c>
      <c r="W374">
        <f>IF($A374="","",IF(AND($B374&gt;0,J374&lt;$B374,DATE($B$1,8,1)&lt;=TODAY(),OR($O374="",$O374&gt;=DATE($B$1,8,1)),OR(COUNTIF($C374:J374,"&gt;0")&gt;0,DATE($B$1,8,1)=DATE(YEAR(TODAY()),MONTH(TODAY()),1))),1,0))</f>
        <v/>
      </c>
      <c r="X374">
        <f>IF($A374="","",IF(AND($B374&gt;0,K374&lt;$B374,DATE($B$1,9,1)&lt;=TODAY(),OR($O374="",$O374&gt;=DATE($B$1,9,1)),OR(COUNTIF($C374:K374,"&gt;0")&gt;0,DATE($B$1,9,1)=DATE(YEAR(TODAY()),MONTH(TODAY()),1))),1,0))</f>
        <v/>
      </c>
      <c r="Y374">
        <f>IF($A374="","",IF(AND($B374&gt;0,L374&lt;$B374,DATE($B$1,10,1)&lt;=TODAY(),OR($O374="",$O374&gt;=DATE($B$1,10,1)),OR(COUNTIF($C374:L374,"&gt;0")&gt;0,DATE($B$1,10,1)=DATE(YEAR(TODAY()),MONTH(TODAY()),1))),1,0))</f>
        <v/>
      </c>
      <c r="Z374">
        <f>IF($A374="","",IF(AND($B374&gt;0,M374&lt;$B374,DATE($B$1,11,1)&lt;=TODAY(),OR($O374="",$O374&gt;=DATE($B$1,11,1)),OR(COUNTIF($C374:M374,"&gt;0")&gt;0,DATE($B$1,11,1)=DATE(YEAR(TODAY()),MONTH(TODAY()),1))),1,0))</f>
        <v/>
      </c>
      <c r="AA374">
        <f>IF($A374="","",IF(AND($B374&gt;0,N374&lt;$B374,DATE($B$1,12,1)&lt;=TODAY(),OR($O374="",$O374&gt;=DATE($B$1,12,1)),OR(COUNTIF($C374:N374,"&gt;0")&gt;0,DATE($B$1,12,1)=DATE(YEAR(TODAY()),MONTH(TODAY()),1))),1,0))</f>
        <v/>
      </c>
    </row>
    <row r="375">
      <c r="A375" s="13">
        <f>IF(원생!$A373="","",원생!$A373&amp;IF(원생!$G373="",""," ("&amp;원생!$G373&amp;")"))</f>
        <v/>
      </c>
      <c r="B375" s="8">
        <f>IF(원생!$A373="","",원생!$F373)</f>
        <v/>
      </c>
      <c r="C375" s="14">
        <f>IF(원생!$A373="","",SUMIFS(수납!$F:$F,수납!$C:$C,원생!$A373,수납!$D:$D,IF(원생!$G373="","",원생!$G373),수납!$B:$B,$B$1&amp;"-"&amp;TEXT(1,"00")&amp;"*",수납!$E:$E,"수강료")+SUMIFS(수납!$F:$F,수납!$C:$C,원생!$A373,수납!$D:$D,IF(원생!$G373="","",원생!$G373),수납!$B:$B,$B$1&amp;"-"&amp;TEXT(1,"00")&amp;"*",수납!$E:$E,""))</f>
        <v/>
      </c>
      <c r="D375" s="14">
        <f>IF(원생!$A373="","",SUMIFS(수납!$F:$F,수납!$C:$C,원생!$A373,수납!$D:$D,IF(원생!$G373="","",원생!$G373),수납!$B:$B,$B$1&amp;"-"&amp;TEXT(2,"00")&amp;"*",수납!$E:$E,"수강료")+SUMIFS(수납!$F:$F,수납!$C:$C,원생!$A373,수납!$D:$D,IF(원생!$G373="","",원생!$G373),수납!$B:$B,$B$1&amp;"-"&amp;TEXT(2,"00")&amp;"*",수납!$E:$E,""))</f>
        <v/>
      </c>
      <c r="E375" s="14">
        <f>IF(원생!$A373="","",SUMIFS(수납!$F:$F,수납!$C:$C,원생!$A373,수납!$D:$D,IF(원생!$G373="","",원생!$G373),수납!$B:$B,$B$1&amp;"-"&amp;TEXT(3,"00")&amp;"*",수납!$E:$E,"수강료")+SUMIFS(수납!$F:$F,수납!$C:$C,원생!$A373,수납!$D:$D,IF(원생!$G373="","",원생!$G373),수납!$B:$B,$B$1&amp;"-"&amp;TEXT(3,"00")&amp;"*",수납!$E:$E,""))</f>
        <v/>
      </c>
      <c r="F375" s="14">
        <f>IF(원생!$A373="","",SUMIFS(수납!$F:$F,수납!$C:$C,원생!$A373,수납!$D:$D,IF(원생!$G373="","",원생!$G373),수납!$B:$B,$B$1&amp;"-"&amp;TEXT(4,"00")&amp;"*",수납!$E:$E,"수강료")+SUMIFS(수납!$F:$F,수납!$C:$C,원생!$A373,수납!$D:$D,IF(원생!$G373="","",원생!$G373),수납!$B:$B,$B$1&amp;"-"&amp;TEXT(4,"00")&amp;"*",수납!$E:$E,""))</f>
        <v/>
      </c>
      <c r="G375" s="14">
        <f>IF(원생!$A373="","",SUMIFS(수납!$F:$F,수납!$C:$C,원생!$A373,수납!$D:$D,IF(원생!$G373="","",원생!$G373),수납!$B:$B,$B$1&amp;"-"&amp;TEXT(5,"00")&amp;"*",수납!$E:$E,"수강료")+SUMIFS(수납!$F:$F,수납!$C:$C,원생!$A373,수납!$D:$D,IF(원생!$G373="","",원생!$G373),수납!$B:$B,$B$1&amp;"-"&amp;TEXT(5,"00")&amp;"*",수납!$E:$E,""))</f>
        <v/>
      </c>
      <c r="H375" s="14">
        <f>IF(원생!$A373="","",SUMIFS(수납!$F:$F,수납!$C:$C,원생!$A373,수납!$D:$D,IF(원생!$G373="","",원생!$G373),수납!$B:$B,$B$1&amp;"-"&amp;TEXT(6,"00")&amp;"*",수납!$E:$E,"수강료")+SUMIFS(수납!$F:$F,수납!$C:$C,원생!$A373,수납!$D:$D,IF(원생!$G373="","",원생!$G373),수납!$B:$B,$B$1&amp;"-"&amp;TEXT(6,"00")&amp;"*",수납!$E:$E,""))</f>
        <v/>
      </c>
      <c r="I375" s="14">
        <f>IF(원생!$A373="","",SUMIFS(수납!$F:$F,수납!$C:$C,원생!$A373,수납!$D:$D,IF(원생!$G373="","",원생!$G373),수납!$B:$B,$B$1&amp;"-"&amp;TEXT(7,"00")&amp;"*",수납!$E:$E,"수강료")+SUMIFS(수납!$F:$F,수납!$C:$C,원생!$A373,수납!$D:$D,IF(원생!$G373="","",원생!$G373),수납!$B:$B,$B$1&amp;"-"&amp;TEXT(7,"00")&amp;"*",수납!$E:$E,""))</f>
        <v/>
      </c>
      <c r="J375" s="14">
        <f>IF(원생!$A373="","",SUMIFS(수납!$F:$F,수납!$C:$C,원생!$A373,수납!$D:$D,IF(원생!$G373="","",원생!$G373),수납!$B:$B,$B$1&amp;"-"&amp;TEXT(8,"00")&amp;"*",수납!$E:$E,"수강료")+SUMIFS(수납!$F:$F,수납!$C:$C,원생!$A373,수납!$D:$D,IF(원생!$G373="","",원생!$G373),수납!$B:$B,$B$1&amp;"-"&amp;TEXT(8,"00")&amp;"*",수납!$E:$E,""))</f>
        <v/>
      </c>
      <c r="K375" s="14">
        <f>IF(원생!$A373="","",SUMIFS(수납!$F:$F,수납!$C:$C,원생!$A373,수납!$D:$D,IF(원생!$G373="","",원생!$G373),수납!$B:$B,$B$1&amp;"-"&amp;TEXT(9,"00")&amp;"*",수납!$E:$E,"수강료")+SUMIFS(수납!$F:$F,수납!$C:$C,원생!$A373,수납!$D:$D,IF(원생!$G373="","",원생!$G373),수납!$B:$B,$B$1&amp;"-"&amp;TEXT(9,"00")&amp;"*",수납!$E:$E,""))</f>
        <v/>
      </c>
      <c r="L375" s="14">
        <f>IF(원생!$A373="","",SUMIFS(수납!$F:$F,수납!$C:$C,원생!$A373,수납!$D:$D,IF(원생!$G373="","",원생!$G373),수납!$B:$B,$B$1&amp;"-"&amp;TEXT(10,"00")&amp;"*",수납!$E:$E,"수강료")+SUMIFS(수납!$F:$F,수납!$C:$C,원생!$A373,수납!$D:$D,IF(원생!$G373="","",원생!$G373),수납!$B:$B,$B$1&amp;"-"&amp;TEXT(10,"00")&amp;"*",수납!$E:$E,""))</f>
        <v/>
      </c>
      <c r="M375" s="14">
        <f>IF(원생!$A373="","",SUMIFS(수납!$F:$F,수납!$C:$C,원생!$A373,수납!$D:$D,IF(원생!$G373="","",원생!$G373),수납!$B:$B,$B$1&amp;"-"&amp;TEXT(11,"00")&amp;"*",수납!$E:$E,"수강료")+SUMIFS(수납!$F:$F,수납!$C:$C,원생!$A373,수납!$D:$D,IF(원생!$G373="","",원생!$G373),수납!$B:$B,$B$1&amp;"-"&amp;TEXT(11,"00")&amp;"*",수납!$E:$E,""))</f>
        <v/>
      </c>
      <c r="N375" s="14">
        <f>IF(원생!$A373="","",SUMIFS(수납!$F:$F,수납!$C:$C,원생!$A373,수납!$D:$D,IF(원생!$G373="","",원생!$G373),수납!$B:$B,$B$1&amp;"-"&amp;TEXT(12,"00")&amp;"*",수납!$E:$E,"수강료")+SUMIFS(수납!$F:$F,수납!$C:$C,원생!$A373,수납!$D:$D,IF(원생!$G373="","",원생!$G373),수납!$B:$B,$B$1&amp;"-"&amp;TEXT(12,"00")&amp;"*",수납!$E:$E,""))</f>
        <v/>
      </c>
      <c r="O375">
        <f>IF(원생!$I373="","",원생!$I373)</f>
        <v/>
      </c>
      <c r="P375">
        <f>IF($A375="","",IF(AND($B375&gt;0,C375&lt;$B375,DATE($B$1,1,1)&lt;=TODAY(),OR($O375="",$O375&gt;=DATE($B$1,1,1)),OR(COUNTIF($C375:C375,"&gt;0")&gt;0,DATE($B$1,1,1)=DATE(YEAR(TODAY()),MONTH(TODAY()),1))),1,0))</f>
        <v/>
      </c>
      <c r="Q375">
        <f>IF($A375="","",IF(AND($B375&gt;0,D375&lt;$B375,DATE($B$1,2,1)&lt;=TODAY(),OR($O375="",$O375&gt;=DATE($B$1,2,1)),OR(COUNTIF($C375:D375,"&gt;0")&gt;0,DATE($B$1,2,1)=DATE(YEAR(TODAY()),MONTH(TODAY()),1))),1,0))</f>
        <v/>
      </c>
      <c r="R375">
        <f>IF($A375="","",IF(AND($B375&gt;0,E375&lt;$B375,DATE($B$1,3,1)&lt;=TODAY(),OR($O375="",$O375&gt;=DATE($B$1,3,1)),OR(COUNTIF($C375:E375,"&gt;0")&gt;0,DATE($B$1,3,1)=DATE(YEAR(TODAY()),MONTH(TODAY()),1))),1,0))</f>
        <v/>
      </c>
      <c r="S375">
        <f>IF($A375="","",IF(AND($B375&gt;0,F375&lt;$B375,DATE($B$1,4,1)&lt;=TODAY(),OR($O375="",$O375&gt;=DATE($B$1,4,1)),OR(COUNTIF($C375:F375,"&gt;0")&gt;0,DATE($B$1,4,1)=DATE(YEAR(TODAY()),MONTH(TODAY()),1))),1,0))</f>
        <v/>
      </c>
      <c r="T375">
        <f>IF($A375="","",IF(AND($B375&gt;0,G375&lt;$B375,DATE($B$1,5,1)&lt;=TODAY(),OR($O375="",$O375&gt;=DATE($B$1,5,1)),OR(COUNTIF($C375:G375,"&gt;0")&gt;0,DATE($B$1,5,1)=DATE(YEAR(TODAY()),MONTH(TODAY()),1))),1,0))</f>
        <v/>
      </c>
      <c r="U375">
        <f>IF($A375="","",IF(AND($B375&gt;0,H375&lt;$B375,DATE($B$1,6,1)&lt;=TODAY(),OR($O375="",$O375&gt;=DATE($B$1,6,1)),OR(COUNTIF($C375:H375,"&gt;0")&gt;0,DATE($B$1,6,1)=DATE(YEAR(TODAY()),MONTH(TODAY()),1))),1,0))</f>
        <v/>
      </c>
      <c r="V375">
        <f>IF($A375="","",IF(AND($B375&gt;0,I375&lt;$B375,DATE($B$1,7,1)&lt;=TODAY(),OR($O375="",$O375&gt;=DATE($B$1,7,1)),OR(COUNTIF($C375:I375,"&gt;0")&gt;0,DATE($B$1,7,1)=DATE(YEAR(TODAY()),MONTH(TODAY()),1))),1,0))</f>
        <v/>
      </c>
      <c r="W375">
        <f>IF($A375="","",IF(AND($B375&gt;0,J375&lt;$B375,DATE($B$1,8,1)&lt;=TODAY(),OR($O375="",$O375&gt;=DATE($B$1,8,1)),OR(COUNTIF($C375:J375,"&gt;0")&gt;0,DATE($B$1,8,1)=DATE(YEAR(TODAY()),MONTH(TODAY()),1))),1,0))</f>
        <v/>
      </c>
      <c r="X375">
        <f>IF($A375="","",IF(AND($B375&gt;0,K375&lt;$B375,DATE($B$1,9,1)&lt;=TODAY(),OR($O375="",$O375&gt;=DATE($B$1,9,1)),OR(COUNTIF($C375:K375,"&gt;0")&gt;0,DATE($B$1,9,1)=DATE(YEAR(TODAY()),MONTH(TODAY()),1))),1,0))</f>
        <v/>
      </c>
      <c r="Y375">
        <f>IF($A375="","",IF(AND($B375&gt;0,L375&lt;$B375,DATE($B$1,10,1)&lt;=TODAY(),OR($O375="",$O375&gt;=DATE($B$1,10,1)),OR(COUNTIF($C375:L375,"&gt;0")&gt;0,DATE($B$1,10,1)=DATE(YEAR(TODAY()),MONTH(TODAY()),1))),1,0))</f>
        <v/>
      </c>
      <c r="Z375">
        <f>IF($A375="","",IF(AND($B375&gt;0,M375&lt;$B375,DATE($B$1,11,1)&lt;=TODAY(),OR($O375="",$O375&gt;=DATE($B$1,11,1)),OR(COUNTIF($C375:M375,"&gt;0")&gt;0,DATE($B$1,11,1)=DATE(YEAR(TODAY()),MONTH(TODAY()),1))),1,0))</f>
        <v/>
      </c>
      <c r="AA375">
        <f>IF($A375="","",IF(AND($B375&gt;0,N375&lt;$B375,DATE($B$1,12,1)&lt;=TODAY(),OR($O375="",$O375&gt;=DATE($B$1,12,1)),OR(COUNTIF($C375:N375,"&gt;0")&gt;0,DATE($B$1,12,1)=DATE(YEAR(TODAY()),MONTH(TODAY()),1))),1,0))</f>
        <v/>
      </c>
    </row>
    <row r="376">
      <c r="A376" s="13">
        <f>IF(원생!$A374="","",원생!$A374&amp;IF(원생!$G374="",""," ("&amp;원생!$G374&amp;")"))</f>
        <v/>
      </c>
      <c r="B376" s="8">
        <f>IF(원생!$A374="","",원생!$F374)</f>
        <v/>
      </c>
      <c r="C376" s="14">
        <f>IF(원생!$A374="","",SUMIFS(수납!$F:$F,수납!$C:$C,원생!$A374,수납!$D:$D,IF(원생!$G374="","",원생!$G374),수납!$B:$B,$B$1&amp;"-"&amp;TEXT(1,"00")&amp;"*",수납!$E:$E,"수강료")+SUMIFS(수납!$F:$F,수납!$C:$C,원생!$A374,수납!$D:$D,IF(원생!$G374="","",원생!$G374),수납!$B:$B,$B$1&amp;"-"&amp;TEXT(1,"00")&amp;"*",수납!$E:$E,""))</f>
        <v/>
      </c>
      <c r="D376" s="14">
        <f>IF(원생!$A374="","",SUMIFS(수납!$F:$F,수납!$C:$C,원생!$A374,수납!$D:$D,IF(원생!$G374="","",원생!$G374),수납!$B:$B,$B$1&amp;"-"&amp;TEXT(2,"00")&amp;"*",수납!$E:$E,"수강료")+SUMIFS(수납!$F:$F,수납!$C:$C,원생!$A374,수납!$D:$D,IF(원생!$G374="","",원생!$G374),수납!$B:$B,$B$1&amp;"-"&amp;TEXT(2,"00")&amp;"*",수납!$E:$E,""))</f>
        <v/>
      </c>
      <c r="E376" s="14">
        <f>IF(원생!$A374="","",SUMIFS(수납!$F:$F,수납!$C:$C,원생!$A374,수납!$D:$D,IF(원생!$G374="","",원생!$G374),수납!$B:$B,$B$1&amp;"-"&amp;TEXT(3,"00")&amp;"*",수납!$E:$E,"수강료")+SUMIFS(수납!$F:$F,수납!$C:$C,원생!$A374,수납!$D:$D,IF(원생!$G374="","",원생!$G374),수납!$B:$B,$B$1&amp;"-"&amp;TEXT(3,"00")&amp;"*",수납!$E:$E,""))</f>
        <v/>
      </c>
      <c r="F376" s="14">
        <f>IF(원생!$A374="","",SUMIFS(수납!$F:$F,수납!$C:$C,원생!$A374,수납!$D:$D,IF(원생!$G374="","",원생!$G374),수납!$B:$B,$B$1&amp;"-"&amp;TEXT(4,"00")&amp;"*",수납!$E:$E,"수강료")+SUMIFS(수납!$F:$F,수납!$C:$C,원생!$A374,수납!$D:$D,IF(원생!$G374="","",원생!$G374),수납!$B:$B,$B$1&amp;"-"&amp;TEXT(4,"00")&amp;"*",수납!$E:$E,""))</f>
        <v/>
      </c>
      <c r="G376" s="14">
        <f>IF(원생!$A374="","",SUMIFS(수납!$F:$F,수납!$C:$C,원생!$A374,수납!$D:$D,IF(원생!$G374="","",원생!$G374),수납!$B:$B,$B$1&amp;"-"&amp;TEXT(5,"00")&amp;"*",수납!$E:$E,"수강료")+SUMIFS(수납!$F:$F,수납!$C:$C,원생!$A374,수납!$D:$D,IF(원생!$G374="","",원생!$G374),수납!$B:$B,$B$1&amp;"-"&amp;TEXT(5,"00")&amp;"*",수납!$E:$E,""))</f>
        <v/>
      </c>
      <c r="H376" s="14">
        <f>IF(원생!$A374="","",SUMIFS(수납!$F:$F,수납!$C:$C,원생!$A374,수납!$D:$D,IF(원생!$G374="","",원생!$G374),수납!$B:$B,$B$1&amp;"-"&amp;TEXT(6,"00")&amp;"*",수납!$E:$E,"수강료")+SUMIFS(수납!$F:$F,수납!$C:$C,원생!$A374,수납!$D:$D,IF(원생!$G374="","",원생!$G374),수납!$B:$B,$B$1&amp;"-"&amp;TEXT(6,"00")&amp;"*",수납!$E:$E,""))</f>
        <v/>
      </c>
      <c r="I376" s="14">
        <f>IF(원생!$A374="","",SUMIFS(수납!$F:$F,수납!$C:$C,원생!$A374,수납!$D:$D,IF(원생!$G374="","",원생!$G374),수납!$B:$B,$B$1&amp;"-"&amp;TEXT(7,"00")&amp;"*",수납!$E:$E,"수강료")+SUMIFS(수납!$F:$F,수납!$C:$C,원생!$A374,수납!$D:$D,IF(원생!$G374="","",원생!$G374),수납!$B:$B,$B$1&amp;"-"&amp;TEXT(7,"00")&amp;"*",수납!$E:$E,""))</f>
        <v/>
      </c>
      <c r="J376" s="14">
        <f>IF(원생!$A374="","",SUMIFS(수납!$F:$F,수납!$C:$C,원생!$A374,수납!$D:$D,IF(원생!$G374="","",원생!$G374),수납!$B:$B,$B$1&amp;"-"&amp;TEXT(8,"00")&amp;"*",수납!$E:$E,"수강료")+SUMIFS(수납!$F:$F,수납!$C:$C,원생!$A374,수납!$D:$D,IF(원생!$G374="","",원생!$G374),수납!$B:$B,$B$1&amp;"-"&amp;TEXT(8,"00")&amp;"*",수납!$E:$E,""))</f>
        <v/>
      </c>
      <c r="K376" s="14">
        <f>IF(원생!$A374="","",SUMIFS(수납!$F:$F,수납!$C:$C,원생!$A374,수납!$D:$D,IF(원생!$G374="","",원생!$G374),수납!$B:$B,$B$1&amp;"-"&amp;TEXT(9,"00")&amp;"*",수납!$E:$E,"수강료")+SUMIFS(수납!$F:$F,수납!$C:$C,원생!$A374,수납!$D:$D,IF(원생!$G374="","",원생!$G374),수납!$B:$B,$B$1&amp;"-"&amp;TEXT(9,"00")&amp;"*",수납!$E:$E,""))</f>
        <v/>
      </c>
      <c r="L376" s="14">
        <f>IF(원생!$A374="","",SUMIFS(수납!$F:$F,수납!$C:$C,원생!$A374,수납!$D:$D,IF(원생!$G374="","",원생!$G374),수납!$B:$B,$B$1&amp;"-"&amp;TEXT(10,"00")&amp;"*",수납!$E:$E,"수강료")+SUMIFS(수납!$F:$F,수납!$C:$C,원생!$A374,수납!$D:$D,IF(원생!$G374="","",원생!$G374),수납!$B:$B,$B$1&amp;"-"&amp;TEXT(10,"00")&amp;"*",수납!$E:$E,""))</f>
        <v/>
      </c>
      <c r="M376" s="14">
        <f>IF(원생!$A374="","",SUMIFS(수납!$F:$F,수납!$C:$C,원생!$A374,수납!$D:$D,IF(원생!$G374="","",원생!$G374),수납!$B:$B,$B$1&amp;"-"&amp;TEXT(11,"00")&amp;"*",수납!$E:$E,"수강료")+SUMIFS(수납!$F:$F,수납!$C:$C,원생!$A374,수납!$D:$D,IF(원생!$G374="","",원생!$G374),수납!$B:$B,$B$1&amp;"-"&amp;TEXT(11,"00")&amp;"*",수납!$E:$E,""))</f>
        <v/>
      </c>
      <c r="N376" s="14">
        <f>IF(원생!$A374="","",SUMIFS(수납!$F:$F,수납!$C:$C,원생!$A374,수납!$D:$D,IF(원생!$G374="","",원생!$G374),수납!$B:$B,$B$1&amp;"-"&amp;TEXT(12,"00")&amp;"*",수납!$E:$E,"수강료")+SUMIFS(수납!$F:$F,수납!$C:$C,원생!$A374,수납!$D:$D,IF(원생!$G374="","",원생!$G374),수납!$B:$B,$B$1&amp;"-"&amp;TEXT(12,"00")&amp;"*",수납!$E:$E,""))</f>
        <v/>
      </c>
      <c r="O376">
        <f>IF(원생!$I374="","",원생!$I374)</f>
        <v/>
      </c>
      <c r="P376">
        <f>IF($A376="","",IF(AND($B376&gt;0,C376&lt;$B376,DATE($B$1,1,1)&lt;=TODAY(),OR($O376="",$O376&gt;=DATE($B$1,1,1)),OR(COUNTIF($C376:C376,"&gt;0")&gt;0,DATE($B$1,1,1)=DATE(YEAR(TODAY()),MONTH(TODAY()),1))),1,0))</f>
        <v/>
      </c>
      <c r="Q376">
        <f>IF($A376="","",IF(AND($B376&gt;0,D376&lt;$B376,DATE($B$1,2,1)&lt;=TODAY(),OR($O376="",$O376&gt;=DATE($B$1,2,1)),OR(COUNTIF($C376:D376,"&gt;0")&gt;0,DATE($B$1,2,1)=DATE(YEAR(TODAY()),MONTH(TODAY()),1))),1,0))</f>
        <v/>
      </c>
      <c r="R376">
        <f>IF($A376="","",IF(AND($B376&gt;0,E376&lt;$B376,DATE($B$1,3,1)&lt;=TODAY(),OR($O376="",$O376&gt;=DATE($B$1,3,1)),OR(COUNTIF($C376:E376,"&gt;0")&gt;0,DATE($B$1,3,1)=DATE(YEAR(TODAY()),MONTH(TODAY()),1))),1,0))</f>
        <v/>
      </c>
      <c r="S376">
        <f>IF($A376="","",IF(AND($B376&gt;0,F376&lt;$B376,DATE($B$1,4,1)&lt;=TODAY(),OR($O376="",$O376&gt;=DATE($B$1,4,1)),OR(COUNTIF($C376:F376,"&gt;0")&gt;0,DATE($B$1,4,1)=DATE(YEAR(TODAY()),MONTH(TODAY()),1))),1,0))</f>
        <v/>
      </c>
      <c r="T376">
        <f>IF($A376="","",IF(AND($B376&gt;0,G376&lt;$B376,DATE($B$1,5,1)&lt;=TODAY(),OR($O376="",$O376&gt;=DATE($B$1,5,1)),OR(COUNTIF($C376:G376,"&gt;0")&gt;0,DATE($B$1,5,1)=DATE(YEAR(TODAY()),MONTH(TODAY()),1))),1,0))</f>
        <v/>
      </c>
      <c r="U376">
        <f>IF($A376="","",IF(AND($B376&gt;0,H376&lt;$B376,DATE($B$1,6,1)&lt;=TODAY(),OR($O376="",$O376&gt;=DATE($B$1,6,1)),OR(COUNTIF($C376:H376,"&gt;0")&gt;0,DATE($B$1,6,1)=DATE(YEAR(TODAY()),MONTH(TODAY()),1))),1,0))</f>
        <v/>
      </c>
      <c r="V376">
        <f>IF($A376="","",IF(AND($B376&gt;0,I376&lt;$B376,DATE($B$1,7,1)&lt;=TODAY(),OR($O376="",$O376&gt;=DATE($B$1,7,1)),OR(COUNTIF($C376:I376,"&gt;0")&gt;0,DATE($B$1,7,1)=DATE(YEAR(TODAY()),MONTH(TODAY()),1))),1,0))</f>
        <v/>
      </c>
      <c r="W376">
        <f>IF($A376="","",IF(AND($B376&gt;0,J376&lt;$B376,DATE($B$1,8,1)&lt;=TODAY(),OR($O376="",$O376&gt;=DATE($B$1,8,1)),OR(COUNTIF($C376:J376,"&gt;0")&gt;0,DATE($B$1,8,1)=DATE(YEAR(TODAY()),MONTH(TODAY()),1))),1,0))</f>
        <v/>
      </c>
      <c r="X376">
        <f>IF($A376="","",IF(AND($B376&gt;0,K376&lt;$B376,DATE($B$1,9,1)&lt;=TODAY(),OR($O376="",$O376&gt;=DATE($B$1,9,1)),OR(COUNTIF($C376:K376,"&gt;0")&gt;0,DATE($B$1,9,1)=DATE(YEAR(TODAY()),MONTH(TODAY()),1))),1,0))</f>
        <v/>
      </c>
      <c r="Y376">
        <f>IF($A376="","",IF(AND($B376&gt;0,L376&lt;$B376,DATE($B$1,10,1)&lt;=TODAY(),OR($O376="",$O376&gt;=DATE($B$1,10,1)),OR(COUNTIF($C376:L376,"&gt;0")&gt;0,DATE($B$1,10,1)=DATE(YEAR(TODAY()),MONTH(TODAY()),1))),1,0))</f>
        <v/>
      </c>
      <c r="Z376">
        <f>IF($A376="","",IF(AND($B376&gt;0,M376&lt;$B376,DATE($B$1,11,1)&lt;=TODAY(),OR($O376="",$O376&gt;=DATE($B$1,11,1)),OR(COUNTIF($C376:M376,"&gt;0")&gt;0,DATE($B$1,11,1)=DATE(YEAR(TODAY()),MONTH(TODAY()),1))),1,0))</f>
        <v/>
      </c>
      <c r="AA376">
        <f>IF($A376="","",IF(AND($B376&gt;0,N376&lt;$B376,DATE($B$1,12,1)&lt;=TODAY(),OR($O376="",$O376&gt;=DATE($B$1,12,1)),OR(COUNTIF($C376:N376,"&gt;0")&gt;0,DATE($B$1,12,1)=DATE(YEAR(TODAY()),MONTH(TODAY()),1))),1,0))</f>
        <v/>
      </c>
    </row>
    <row r="377">
      <c r="A377" s="13">
        <f>IF(원생!$A375="","",원생!$A375&amp;IF(원생!$G375="",""," ("&amp;원생!$G375&amp;")"))</f>
        <v/>
      </c>
      <c r="B377" s="8">
        <f>IF(원생!$A375="","",원생!$F375)</f>
        <v/>
      </c>
      <c r="C377" s="14">
        <f>IF(원생!$A375="","",SUMIFS(수납!$F:$F,수납!$C:$C,원생!$A375,수납!$D:$D,IF(원생!$G375="","",원생!$G375),수납!$B:$B,$B$1&amp;"-"&amp;TEXT(1,"00")&amp;"*",수납!$E:$E,"수강료")+SUMIFS(수납!$F:$F,수납!$C:$C,원생!$A375,수납!$D:$D,IF(원생!$G375="","",원생!$G375),수납!$B:$B,$B$1&amp;"-"&amp;TEXT(1,"00")&amp;"*",수납!$E:$E,""))</f>
        <v/>
      </c>
      <c r="D377" s="14">
        <f>IF(원생!$A375="","",SUMIFS(수납!$F:$F,수납!$C:$C,원생!$A375,수납!$D:$D,IF(원생!$G375="","",원생!$G375),수납!$B:$B,$B$1&amp;"-"&amp;TEXT(2,"00")&amp;"*",수납!$E:$E,"수강료")+SUMIFS(수납!$F:$F,수납!$C:$C,원생!$A375,수납!$D:$D,IF(원생!$G375="","",원생!$G375),수납!$B:$B,$B$1&amp;"-"&amp;TEXT(2,"00")&amp;"*",수납!$E:$E,""))</f>
        <v/>
      </c>
      <c r="E377" s="14">
        <f>IF(원생!$A375="","",SUMIFS(수납!$F:$F,수납!$C:$C,원생!$A375,수납!$D:$D,IF(원생!$G375="","",원생!$G375),수납!$B:$B,$B$1&amp;"-"&amp;TEXT(3,"00")&amp;"*",수납!$E:$E,"수강료")+SUMIFS(수납!$F:$F,수납!$C:$C,원생!$A375,수납!$D:$D,IF(원생!$G375="","",원생!$G375),수납!$B:$B,$B$1&amp;"-"&amp;TEXT(3,"00")&amp;"*",수납!$E:$E,""))</f>
        <v/>
      </c>
      <c r="F377" s="14">
        <f>IF(원생!$A375="","",SUMIFS(수납!$F:$F,수납!$C:$C,원생!$A375,수납!$D:$D,IF(원생!$G375="","",원생!$G375),수납!$B:$B,$B$1&amp;"-"&amp;TEXT(4,"00")&amp;"*",수납!$E:$E,"수강료")+SUMIFS(수납!$F:$F,수납!$C:$C,원생!$A375,수납!$D:$D,IF(원생!$G375="","",원생!$G375),수납!$B:$B,$B$1&amp;"-"&amp;TEXT(4,"00")&amp;"*",수납!$E:$E,""))</f>
        <v/>
      </c>
      <c r="G377" s="14">
        <f>IF(원생!$A375="","",SUMIFS(수납!$F:$F,수납!$C:$C,원생!$A375,수납!$D:$D,IF(원생!$G375="","",원생!$G375),수납!$B:$B,$B$1&amp;"-"&amp;TEXT(5,"00")&amp;"*",수납!$E:$E,"수강료")+SUMIFS(수납!$F:$F,수납!$C:$C,원생!$A375,수납!$D:$D,IF(원생!$G375="","",원생!$G375),수납!$B:$B,$B$1&amp;"-"&amp;TEXT(5,"00")&amp;"*",수납!$E:$E,""))</f>
        <v/>
      </c>
      <c r="H377" s="14">
        <f>IF(원생!$A375="","",SUMIFS(수납!$F:$F,수납!$C:$C,원생!$A375,수납!$D:$D,IF(원생!$G375="","",원생!$G375),수납!$B:$B,$B$1&amp;"-"&amp;TEXT(6,"00")&amp;"*",수납!$E:$E,"수강료")+SUMIFS(수납!$F:$F,수납!$C:$C,원생!$A375,수납!$D:$D,IF(원생!$G375="","",원생!$G375),수납!$B:$B,$B$1&amp;"-"&amp;TEXT(6,"00")&amp;"*",수납!$E:$E,""))</f>
        <v/>
      </c>
      <c r="I377" s="14">
        <f>IF(원생!$A375="","",SUMIFS(수납!$F:$F,수납!$C:$C,원생!$A375,수납!$D:$D,IF(원생!$G375="","",원생!$G375),수납!$B:$B,$B$1&amp;"-"&amp;TEXT(7,"00")&amp;"*",수납!$E:$E,"수강료")+SUMIFS(수납!$F:$F,수납!$C:$C,원생!$A375,수납!$D:$D,IF(원생!$G375="","",원생!$G375),수납!$B:$B,$B$1&amp;"-"&amp;TEXT(7,"00")&amp;"*",수납!$E:$E,""))</f>
        <v/>
      </c>
      <c r="J377" s="14">
        <f>IF(원생!$A375="","",SUMIFS(수납!$F:$F,수납!$C:$C,원생!$A375,수납!$D:$D,IF(원생!$G375="","",원생!$G375),수납!$B:$B,$B$1&amp;"-"&amp;TEXT(8,"00")&amp;"*",수납!$E:$E,"수강료")+SUMIFS(수납!$F:$F,수납!$C:$C,원생!$A375,수납!$D:$D,IF(원생!$G375="","",원생!$G375),수납!$B:$B,$B$1&amp;"-"&amp;TEXT(8,"00")&amp;"*",수납!$E:$E,""))</f>
        <v/>
      </c>
      <c r="K377" s="14">
        <f>IF(원생!$A375="","",SUMIFS(수납!$F:$F,수납!$C:$C,원생!$A375,수납!$D:$D,IF(원생!$G375="","",원생!$G375),수납!$B:$B,$B$1&amp;"-"&amp;TEXT(9,"00")&amp;"*",수납!$E:$E,"수강료")+SUMIFS(수납!$F:$F,수납!$C:$C,원생!$A375,수납!$D:$D,IF(원생!$G375="","",원생!$G375),수납!$B:$B,$B$1&amp;"-"&amp;TEXT(9,"00")&amp;"*",수납!$E:$E,""))</f>
        <v/>
      </c>
      <c r="L377" s="14">
        <f>IF(원생!$A375="","",SUMIFS(수납!$F:$F,수납!$C:$C,원생!$A375,수납!$D:$D,IF(원생!$G375="","",원생!$G375),수납!$B:$B,$B$1&amp;"-"&amp;TEXT(10,"00")&amp;"*",수납!$E:$E,"수강료")+SUMIFS(수납!$F:$F,수납!$C:$C,원생!$A375,수납!$D:$D,IF(원생!$G375="","",원생!$G375),수납!$B:$B,$B$1&amp;"-"&amp;TEXT(10,"00")&amp;"*",수납!$E:$E,""))</f>
        <v/>
      </c>
      <c r="M377" s="14">
        <f>IF(원생!$A375="","",SUMIFS(수납!$F:$F,수납!$C:$C,원생!$A375,수납!$D:$D,IF(원생!$G375="","",원생!$G375),수납!$B:$B,$B$1&amp;"-"&amp;TEXT(11,"00")&amp;"*",수납!$E:$E,"수강료")+SUMIFS(수납!$F:$F,수납!$C:$C,원생!$A375,수납!$D:$D,IF(원생!$G375="","",원생!$G375),수납!$B:$B,$B$1&amp;"-"&amp;TEXT(11,"00")&amp;"*",수납!$E:$E,""))</f>
        <v/>
      </c>
      <c r="N377" s="14">
        <f>IF(원생!$A375="","",SUMIFS(수납!$F:$F,수납!$C:$C,원생!$A375,수납!$D:$D,IF(원생!$G375="","",원생!$G375),수납!$B:$B,$B$1&amp;"-"&amp;TEXT(12,"00")&amp;"*",수납!$E:$E,"수강료")+SUMIFS(수납!$F:$F,수납!$C:$C,원생!$A375,수납!$D:$D,IF(원생!$G375="","",원생!$G375),수납!$B:$B,$B$1&amp;"-"&amp;TEXT(12,"00")&amp;"*",수납!$E:$E,""))</f>
        <v/>
      </c>
      <c r="O377">
        <f>IF(원생!$I375="","",원생!$I375)</f>
        <v/>
      </c>
      <c r="P377">
        <f>IF($A377="","",IF(AND($B377&gt;0,C377&lt;$B377,DATE($B$1,1,1)&lt;=TODAY(),OR($O377="",$O377&gt;=DATE($B$1,1,1)),OR(COUNTIF($C377:C377,"&gt;0")&gt;0,DATE($B$1,1,1)=DATE(YEAR(TODAY()),MONTH(TODAY()),1))),1,0))</f>
        <v/>
      </c>
      <c r="Q377">
        <f>IF($A377="","",IF(AND($B377&gt;0,D377&lt;$B377,DATE($B$1,2,1)&lt;=TODAY(),OR($O377="",$O377&gt;=DATE($B$1,2,1)),OR(COUNTIF($C377:D377,"&gt;0")&gt;0,DATE($B$1,2,1)=DATE(YEAR(TODAY()),MONTH(TODAY()),1))),1,0))</f>
        <v/>
      </c>
      <c r="R377">
        <f>IF($A377="","",IF(AND($B377&gt;0,E377&lt;$B377,DATE($B$1,3,1)&lt;=TODAY(),OR($O377="",$O377&gt;=DATE($B$1,3,1)),OR(COUNTIF($C377:E377,"&gt;0")&gt;0,DATE($B$1,3,1)=DATE(YEAR(TODAY()),MONTH(TODAY()),1))),1,0))</f>
        <v/>
      </c>
      <c r="S377">
        <f>IF($A377="","",IF(AND($B377&gt;0,F377&lt;$B377,DATE($B$1,4,1)&lt;=TODAY(),OR($O377="",$O377&gt;=DATE($B$1,4,1)),OR(COUNTIF($C377:F377,"&gt;0")&gt;0,DATE($B$1,4,1)=DATE(YEAR(TODAY()),MONTH(TODAY()),1))),1,0))</f>
        <v/>
      </c>
      <c r="T377">
        <f>IF($A377="","",IF(AND($B377&gt;0,G377&lt;$B377,DATE($B$1,5,1)&lt;=TODAY(),OR($O377="",$O377&gt;=DATE($B$1,5,1)),OR(COUNTIF($C377:G377,"&gt;0")&gt;0,DATE($B$1,5,1)=DATE(YEAR(TODAY()),MONTH(TODAY()),1))),1,0))</f>
        <v/>
      </c>
      <c r="U377">
        <f>IF($A377="","",IF(AND($B377&gt;0,H377&lt;$B377,DATE($B$1,6,1)&lt;=TODAY(),OR($O377="",$O377&gt;=DATE($B$1,6,1)),OR(COUNTIF($C377:H377,"&gt;0")&gt;0,DATE($B$1,6,1)=DATE(YEAR(TODAY()),MONTH(TODAY()),1))),1,0))</f>
        <v/>
      </c>
      <c r="V377">
        <f>IF($A377="","",IF(AND($B377&gt;0,I377&lt;$B377,DATE($B$1,7,1)&lt;=TODAY(),OR($O377="",$O377&gt;=DATE($B$1,7,1)),OR(COUNTIF($C377:I377,"&gt;0")&gt;0,DATE($B$1,7,1)=DATE(YEAR(TODAY()),MONTH(TODAY()),1))),1,0))</f>
        <v/>
      </c>
      <c r="W377">
        <f>IF($A377="","",IF(AND($B377&gt;0,J377&lt;$B377,DATE($B$1,8,1)&lt;=TODAY(),OR($O377="",$O377&gt;=DATE($B$1,8,1)),OR(COUNTIF($C377:J377,"&gt;0")&gt;0,DATE($B$1,8,1)=DATE(YEAR(TODAY()),MONTH(TODAY()),1))),1,0))</f>
        <v/>
      </c>
      <c r="X377">
        <f>IF($A377="","",IF(AND($B377&gt;0,K377&lt;$B377,DATE($B$1,9,1)&lt;=TODAY(),OR($O377="",$O377&gt;=DATE($B$1,9,1)),OR(COUNTIF($C377:K377,"&gt;0")&gt;0,DATE($B$1,9,1)=DATE(YEAR(TODAY()),MONTH(TODAY()),1))),1,0))</f>
        <v/>
      </c>
      <c r="Y377">
        <f>IF($A377="","",IF(AND($B377&gt;0,L377&lt;$B377,DATE($B$1,10,1)&lt;=TODAY(),OR($O377="",$O377&gt;=DATE($B$1,10,1)),OR(COUNTIF($C377:L377,"&gt;0")&gt;0,DATE($B$1,10,1)=DATE(YEAR(TODAY()),MONTH(TODAY()),1))),1,0))</f>
        <v/>
      </c>
      <c r="Z377">
        <f>IF($A377="","",IF(AND($B377&gt;0,M377&lt;$B377,DATE($B$1,11,1)&lt;=TODAY(),OR($O377="",$O377&gt;=DATE($B$1,11,1)),OR(COUNTIF($C377:M377,"&gt;0")&gt;0,DATE($B$1,11,1)=DATE(YEAR(TODAY()),MONTH(TODAY()),1))),1,0))</f>
        <v/>
      </c>
      <c r="AA377">
        <f>IF($A377="","",IF(AND($B377&gt;0,N377&lt;$B377,DATE($B$1,12,1)&lt;=TODAY(),OR($O377="",$O377&gt;=DATE($B$1,12,1)),OR(COUNTIF($C377:N377,"&gt;0")&gt;0,DATE($B$1,12,1)=DATE(YEAR(TODAY()),MONTH(TODAY()),1))),1,0))</f>
        <v/>
      </c>
    </row>
    <row r="378">
      <c r="A378" s="13">
        <f>IF(원생!$A376="","",원생!$A376&amp;IF(원생!$G376="",""," ("&amp;원생!$G376&amp;")"))</f>
        <v/>
      </c>
      <c r="B378" s="8">
        <f>IF(원생!$A376="","",원생!$F376)</f>
        <v/>
      </c>
      <c r="C378" s="14">
        <f>IF(원생!$A376="","",SUMIFS(수납!$F:$F,수납!$C:$C,원생!$A376,수납!$D:$D,IF(원생!$G376="","",원생!$G376),수납!$B:$B,$B$1&amp;"-"&amp;TEXT(1,"00")&amp;"*",수납!$E:$E,"수강료")+SUMIFS(수납!$F:$F,수납!$C:$C,원생!$A376,수납!$D:$D,IF(원생!$G376="","",원생!$G376),수납!$B:$B,$B$1&amp;"-"&amp;TEXT(1,"00")&amp;"*",수납!$E:$E,""))</f>
        <v/>
      </c>
      <c r="D378" s="14">
        <f>IF(원생!$A376="","",SUMIFS(수납!$F:$F,수납!$C:$C,원생!$A376,수납!$D:$D,IF(원생!$G376="","",원생!$G376),수납!$B:$B,$B$1&amp;"-"&amp;TEXT(2,"00")&amp;"*",수납!$E:$E,"수강료")+SUMIFS(수납!$F:$F,수납!$C:$C,원생!$A376,수납!$D:$D,IF(원생!$G376="","",원생!$G376),수납!$B:$B,$B$1&amp;"-"&amp;TEXT(2,"00")&amp;"*",수납!$E:$E,""))</f>
        <v/>
      </c>
      <c r="E378" s="14">
        <f>IF(원생!$A376="","",SUMIFS(수납!$F:$F,수납!$C:$C,원생!$A376,수납!$D:$D,IF(원생!$G376="","",원생!$G376),수납!$B:$B,$B$1&amp;"-"&amp;TEXT(3,"00")&amp;"*",수납!$E:$E,"수강료")+SUMIFS(수납!$F:$F,수납!$C:$C,원생!$A376,수납!$D:$D,IF(원생!$G376="","",원생!$G376),수납!$B:$B,$B$1&amp;"-"&amp;TEXT(3,"00")&amp;"*",수납!$E:$E,""))</f>
        <v/>
      </c>
      <c r="F378" s="14">
        <f>IF(원생!$A376="","",SUMIFS(수납!$F:$F,수납!$C:$C,원생!$A376,수납!$D:$D,IF(원생!$G376="","",원생!$G376),수납!$B:$B,$B$1&amp;"-"&amp;TEXT(4,"00")&amp;"*",수납!$E:$E,"수강료")+SUMIFS(수납!$F:$F,수납!$C:$C,원생!$A376,수납!$D:$D,IF(원생!$G376="","",원생!$G376),수납!$B:$B,$B$1&amp;"-"&amp;TEXT(4,"00")&amp;"*",수납!$E:$E,""))</f>
        <v/>
      </c>
      <c r="G378" s="14">
        <f>IF(원생!$A376="","",SUMIFS(수납!$F:$F,수납!$C:$C,원생!$A376,수납!$D:$D,IF(원생!$G376="","",원생!$G376),수납!$B:$B,$B$1&amp;"-"&amp;TEXT(5,"00")&amp;"*",수납!$E:$E,"수강료")+SUMIFS(수납!$F:$F,수납!$C:$C,원생!$A376,수납!$D:$D,IF(원생!$G376="","",원생!$G376),수납!$B:$B,$B$1&amp;"-"&amp;TEXT(5,"00")&amp;"*",수납!$E:$E,""))</f>
        <v/>
      </c>
      <c r="H378" s="14">
        <f>IF(원생!$A376="","",SUMIFS(수납!$F:$F,수납!$C:$C,원생!$A376,수납!$D:$D,IF(원생!$G376="","",원생!$G376),수납!$B:$B,$B$1&amp;"-"&amp;TEXT(6,"00")&amp;"*",수납!$E:$E,"수강료")+SUMIFS(수납!$F:$F,수납!$C:$C,원생!$A376,수납!$D:$D,IF(원생!$G376="","",원생!$G376),수납!$B:$B,$B$1&amp;"-"&amp;TEXT(6,"00")&amp;"*",수납!$E:$E,""))</f>
        <v/>
      </c>
      <c r="I378" s="14">
        <f>IF(원생!$A376="","",SUMIFS(수납!$F:$F,수납!$C:$C,원생!$A376,수납!$D:$D,IF(원생!$G376="","",원생!$G376),수납!$B:$B,$B$1&amp;"-"&amp;TEXT(7,"00")&amp;"*",수납!$E:$E,"수강료")+SUMIFS(수납!$F:$F,수납!$C:$C,원생!$A376,수납!$D:$D,IF(원생!$G376="","",원생!$G376),수납!$B:$B,$B$1&amp;"-"&amp;TEXT(7,"00")&amp;"*",수납!$E:$E,""))</f>
        <v/>
      </c>
      <c r="J378" s="14">
        <f>IF(원생!$A376="","",SUMIFS(수납!$F:$F,수납!$C:$C,원생!$A376,수납!$D:$D,IF(원생!$G376="","",원생!$G376),수납!$B:$B,$B$1&amp;"-"&amp;TEXT(8,"00")&amp;"*",수납!$E:$E,"수강료")+SUMIFS(수납!$F:$F,수납!$C:$C,원생!$A376,수납!$D:$D,IF(원생!$G376="","",원생!$G376),수납!$B:$B,$B$1&amp;"-"&amp;TEXT(8,"00")&amp;"*",수납!$E:$E,""))</f>
        <v/>
      </c>
      <c r="K378" s="14">
        <f>IF(원생!$A376="","",SUMIFS(수납!$F:$F,수납!$C:$C,원생!$A376,수납!$D:$D,IF(원생!$G376="","",원생!$G376),수납!$B:$B,$B$1&amp;"-"&amp;TEXT(9,"00")&amp;"*",수납!$E:$E,"수강료")+SUMIFS(수납!$F:$F,수납!$C:$C,원생!$A376,수납!$D:$D,IF(원생!$G376="","",원생!$G376),수납!$B:$B,$B$1&amp;"-"&amp;TEXT(9,"00")&amp;"*",수납!$E:$E,""))</f>
        <v/>
      </c>
      <c r="L378" s="14">
        <f>IF(원생!$A376="","",SUMIFS(수납!$F:$F,수납!$C:$C,원생!$A376,수납!$D:$D,IF(원생!$G376="","",원생!$G376),수납!$B:$B,$B$1&amp;"-"&amp;TEXT(10,"00")&amp;"*",수납!$E:$E,"수강료")+SUMIFS(수납!$F:$F,수납!$C:$C,원생!$A376,수납!$D:$D,IF(원생!$G376="","",원생!$G376),수납!$B:$B,$B$1&amp;"-"&amp;TEXT(10,"00")&amp;"*",수납!$E:$E,""))</f>
        <v/>
      </c>
      <c r="M378" s="14">
        <f>IF(원생!$A376="","",SUMIFS(수납!$F:$F,수납!$C:$C,원생!$A376,수납!$D:$D,IF(원생!$G376="","",원생!$G376),수납!$B:$B,$B$1&amp;"-"&amp;TEXT(11,"00")&amp;"*",수납!$E:$E,"수강료")+SUMIFS(수납!$F:$F,수납!$C:$C,원생!$A376,수납!$D:$D,IF(원생!$G376="","",원생!$G376),수납!$B:$B,$B$1&amp;"-"&amp;TEXT(11,"00")&amp;"*",수납!$E:$E,""))</f>
        <v/>
      </c>
      <c r="N378" s="14">
        <f>IF(원생!$A376="","",SUMIFS(수납!$F:$F,수납!$C:$C,원생!$A376,수납!$D:$D,IF(원생!$G376="","",원생!$G376),수납!$B:$B,$B$1&amp;"-"&amp;TEXT(12,"00")&amp;"*",수납!$E:$E,"수강료")+SUMIFS(수납!$F:$F,수납!$C:$C,원생!$A376,수납!$D:$D,IF(원생!$G376="","",원생!$G376),수납!$B:$B,$B$1&amp;"-"&amp;TEXT(12,"00")&amp;"*",수납!$E:$E,""))</f>
        <v/>
      </c>
      <c r="O378">
        <f>IF(원생!$I376="","",원생!$I376)</f>
        <v/>
      </c>
      <c r="P378">
        <f>IF($A378="","",IF(AND($B378&gt;0,C378&lt;$B378,DATE($B$1,1,1)&lt;=TODAY(),OR($O378="",$O378&gt;=DATE($B$1,1,1)),OR(COUNTIF($C378:C378,"&gt;0")&gt;0,DATE($B$1,1,1)=DATE(YEAR(TODAY()),MONTH(TODAY()),1))),1,0))</f>
        <v/>
      </c>
      <c r="Q378">
        <f>IF($A378="","",IF(AND($B378&gt;0,D378&lt;$B378,DATE($B$1,2,1)&lt;=TODAY(),OR($O378="",$O378&gt;=DATE($B$1,2,1)),OR(COUNTIF($C378:D378,"&gt;0")&gt;0,DATE($B$1,2,1)=DATE(YEAR(TODAY()),MONTH(TODAY()),1))),1,0))</f>
        <v/>
      </c>
      <c r="R378">
        <f>IF($A378="","",IF(AND($B378&gt;0,E378&lt;$B378,DATE($B$1,3,1)&lt;=TODAY(),OR($O378="",$O378&gt;=DATE($B$1,3,1)),OR(COUNTIF($C378:E378,"&gt;0")&gt;0,DATE($B$1,3,1)=DATE(YEAR(TODAY()),MONTH(TODAY()),1))),1,0))</f>
        <v/>
      </c>
      <c r="S378">
        <f>IF($A378="","",IF(AND($B378&gt;0,F378&lt;$B378,DATE($B$1,4,1)&lt;=TODAY(),OR($O378="",$O378&gt;=DATE($B$1,4,1)),OR(COUNTIF($C378:F378,"&gt;0")&gt;0,DATE($B$1,4,1)=DATE(YEAR(TODAY()),MONTH(TODAY()),1))),1,0))</f>
        <v/>
      </c>
      <c r="T378">
        <f>IF($A378="","",IF(AND($B378&gt;0,G378&lt;$B378,DATE($B$1,5,1)&lt;=TODAY(),OR($O378="",$O378&gt;=DATE($B$1,5,1)),OR(COUNTIF($C378:G378,"&gt;0")&gt;0,DATE($B$1,5,1)=DATE(YEAR(TODAY()),MONTH(TODAY()),1))),1,0))</f>
        <v/>
      </c>
      <c r="U378">
        <f>IF($A378="","",IF(AND($B378&gt;0,H378&lt;$B378,DATE($B$1,6,1)&lt;=TODAY(),OR($O378="",$O378&gt;=DATE($B$1,6,1)),OR(COUNTIF($C378:H378,"&gt;0")&gt;0,DATE($B$1,6,1)=DATE(YEAR(TODAY()),MONTH(TODAY()),1))),1,0))</f>
        <v/>
      </c>
      <c r="V378">
        <f>IF($A378="","",IF(AND($B378&gt;0,I378&lt;$B378,DATE($B$1,7,1)&lt;=TODAY(),OR($O378="",$O378&gt;=DATE($B$1,7,1)),OR(COUNTIF($C378:I378,"&gt;0")&gt;0,DATE($B$1,7,1)=DATE(YEAR(TODAY()),MONTH(TODAY()),1))),1,0))</f>
        <v/>
      </c>
      <c r="W378">
        <f>IF($A378="","",IF(AND($B378&gt;0,J378&lt;$B378,DATE($B$1,8,1)&lt;=TODAY(),OR($O378="",$O378&gt;=DATE($B$1,8,1)),OR(COUNTIF($C378:J378,"&gt;0")&gt;0,DATE($B$1,8,1)=DATE(YEAR(TODAY()),MONTH(TODAY()),1))),1,0))</f>
        <v/>
      </c>
      <c r="X378">
        <f>IF($A378="","",IF(AND($B378&gt;0,K378&lt;$B378,DATE($B$1,9,1)&lt;=TODAY(),OR($O378="",$O378&gt;=DATE($B$1,9,1)),OR(COUNTIF($C378:K378,"&gt;0")&gt;0,DATE($B$1,9,1)=DATE(YEAR(TODAY()),MONTH(TODAY()),1))),1,0))</f>
        <v/>
      </c>
      <c r="Y378">
        <f>IF($A378="","",IF(AND($B378&gt;0,L378&lt;$B378,DATE($B$1,10,1)&lt;=TODAY(),OR($O378="",$O378&gt;=DATE($B$1,10,1)),OR(COUNTIF($C378:L378,"&gt;0")&gt;0,DATE($B$1,10,1)=DATE(YEAR(TODAY()),MONTH(TODAY()),1))),1,0))</f>
        <v/>
      </c>
      <c r="Z378">
        <f>IF($A378="","",IF(AND($B378&gt;0,M378&lt;$B378,DATE($B$1,11,1)&lt;=TODAY(),OR($O378="",$O378&gt;=DATE($B$1,11,1)),OR(COUNTIF($C378:M378,"&gt;0")&gt;0,DATE($B$1,11,1)=DATE(YEAR(TODAY()),MONTH(TODAY()),1))),1,0))</f>
        <v/>
      </c>
      <c r="AA378">
        <f>IF($A378="","",IF(AND($B378&gt;0,N378&lt;$B378,DATE($B$1,12,1)&lt;=TODAY(),OR($O378="",$O378&gt;=DATE($B$1,12,1)),OR(COUNTIF($C378:N378,"&gt;0")&gt;0,DATE($B$1,12,1)=DATE(YEAR(TODAY()),MONTH(TODAY()),1))),1,0))</f>
        <v/>
      </c>
    </row>
    <row r="379">
      <c r="A379" s="13">
        <f>IF(원생!$A377="","",원생!$A377&amp;IF(원생!$G377="",""," ("&amp;원생!$G377&amp;")"))</f>
        <v/>
      </c>
      <c r="B379" s="8">
        <f>IF(원생!$A377="","",원생!$F377)</f>
        <v/>
      </c>
      <c r="C379" s="14">
        <f>IF(원생!$A377="","",SUMIFS(수납!$F:$F,수납!$C:$C,원생!$A377,수납!$D:$D,IF(원생!$G377="","",원생!$G377),수납!$B:$B,$B$1&amp;"-"&amp;TEXT(1,"00")&amp;"*",수납!$E:$E,"수강료")+SUMIFS(수납!$F:$F,수납!$C:$C,원생!$A377,수납!$D:$D,IF(원생!$G377="","",원생!$G377),수납!$B:$B,$B$1&amp;"-"&amp;TEXT(1,"00")&amp;"*",수납!$E:$E,""))</f>
        <v/>
      </c>
      <c r="D379" s="14">
        <f>IF(원생!$A377="","",SUMIFS(수납!$F:$F,수납!$C:$C,원생!$A377,수납!$D:$D,IF(원생!$G377="","",원생!$G377),수납!$B:$B,$B$1&amp;"-"&amp;TEXT(2,"00")&amp;"*",수납!$E:$E,"수강료")+SUMIFS(수납!$F:$F,수납!$C:$C,원생!$A377,수납!$D:$D,IF(원생!$G377="","",원생!$G377),수납!$B:$B,$B$1&amp;"-"&amp;TEXT(2,"00")&amp;"*",수납!$E:$E,""))</f>
        <v/>
      </c>
      <c r="E379" s="14">
        <f>IF(원생!$A377="","",SUMIFS(수납!$F:$F,수납!$C:$C,원생!$A377,수납!$D:$D,IF(원생!$G377="","",원생!$G377),수납!$B:$B,$B$1&amp;"-"&amp;TEXT(3,"00")&amp;"*",수납!$E:$E,"수강료")+SUMIFS(수납!$F:$F,수납!$C:$C,원생!$A377,수납!$D:$D,IF(원생!$G377="","",원생!$G377),수납!$B:$B,$B$1&amp;"-"&amp;TEXT(3,"00")&amp;"*",수납!$E:$E,""))</f>
        <v/>
      </c>
      <c r="F379" s="14">
        <f>IF(원생!$A377="","",SUMIFS(수납!$F:$F,수납!$C:$C,원생!$A377,수납!$D:$D,IF(원생!$G377="","",원생!$G377),수납!$B:$B,$B$1&amp;"-"&amp;TEXT(4,"00")&amp;"*",수납!$E:$E,"수강료")+SUMIFS(수납!$F:$F,수납!$C:$C,원생!$A377,수납!$D:$D,IF(원생!$G377="","",원생!$G377),수납!$B:$B,$B$1&amp;"-"&amp;TEXT(4,"00")&amp;"*",수납!$E:$E,""))</f>
        <v/>
      </c>
      <c r="G379" s="14">
        <f>IF(원생!$A377="","",SUMIFS(수납!$F:$F,수납!$C:$C,원생!$A377,수납!$D:$D,IF(원생!$G377="","",원생!$G377),수납!$B:$B,$B$1&amp;"-"&amp;TEXT(5,"00")&amp;"*",수납!$E:$E,"수강료")+SUMIFS(수납!$F:$F,수납!$C:$C,원생!$A377,수납!$D:$D,IF(원생!$G377="","",원생!$G377),수납!$B:$B,$B$1&amp;"-"&amp;TEXT(5,"00")&amp;"*",수납!$E:$E,""))</f>
        <v/>
      </c>
      <c r="H379" s="14">
        <f>IF(원생!$A377="","",SUMIFS(수납!$F:$F,수납!$C:$C,원생!$A377,수납!$D:$D,IF(원생!$G377="","",원생!$G377),수납!$B:$B,$B$1&amp;"-"&amp;TEXT(6,"00")&amp;"*",수납!$E:$E,"수강료")+SUMIFS(수납!$F:$F,수납!$C:$C,원생!$A377,수납!$D:$D,IF(원생!$G377="","",원생!$G377),수납!$B:$B,$B$1&amp;"-"&amp;TEXT(6,"00")&amp;"*",수납!$E:$E,""))</f>
        <v/>
      </c>
      <c r="I379" s="14">
        <f>IF(원생!$A377="","",SUMIFS(수납!$F:$F,수납!$C:$C,원생!$A377,수납!$D:$D,IF(원생!$G377="","",원생!$G377),수납!$B:$B,$B$1&amp;"-"&amp;TEXT(7,"00")&amp;"*",수납!$E:$E,"수강료")+SUMIFS(수납!$F:$F,수납!$C:$C,원생!$A377,수납!$D:$D,IF(원생!$G377="","",원생!$G377),수납!$B:$B,$B$1&amp;"-"&amp;TEXT(7,"00")&amp;"*",수납!$E:$E,""))</f>
        <v/>
      </c>
      <c r="J379" s="14">
        <f>IF(원생!$A377="","",SUMIFS(수납!$F:$F,수납!$C:$C,원생!$A377,수납!$D:$D,IF(원생!$G377="","",원생!$G377),수납!$B:$B,$B$1&amp;"-"&amp;TEXT(8,"00")&amp;"*",수납!$E:$E,"수강료")+SUMIFS(수납!$F:$F,수납!$C:$C,원생!$A377,수납!$D:$D,IF(원생!$G377="","",원생!$G377),수납!$B:$B,$B$1&amp;"-"&amp;TEXT(8,"00")&amp;"*",수납!$E:$E,""))</f>
        <v/>
      </c>
      <c r="K379" s="14">
        <f>IF(원생!$A377="","",SUMIFS(수납!$F:$F,수납!$C:$C,원생!$A377,수납!$D:$D,IF(원생!$G377="","",원생!$G377),수납!$B:$B,$B$1&amp;"-"&amp;TEXT(9,"00")&amp;"*",수납!$E:$E,"수강료")+SUMIFS(수납!$F:$F,수납!$C:$C,원생!$A377,수납!$D:$D,IF(원생!$G377="","",원생!$G377),수납!$B:$B,$B$1&amp;"-"&amp;TEXT(9,"00")&amp;"*",수납!$E:$E,""))</f>
        <v/>
      </c>
      <c r="L379" s="14">
        <f>IF(원생!$A377="","",SUMIFS(수납!$F:$F,수납!$C:$C,원생!$A377,수납!$D:$D,IF(원생!$G377="","",원생!$G377),수납!$B:$B,$B$1&amp;"-"&amp;TEXT(10,"00")&amp;"*",수납!$E:$E,"수강료")+SUMIFS(수납!$F:$F,수납!$C:$C,원생!$A377,수납!$D:$D,IF(원생!$G377="","",원생!$G377),수납!$B:$B,$B$1&amp;"-"&amp;TEXT(10,"00")&amp;"*",수납!$E:$E,""))</f>
        <v/>
      </c>
      <c r="M379" s="14">
        <f>IF(원생!$A377="","",SUMIFS(수납!$F:$F,수납!$C:$C,원생!$A377,수납!$D:$D,IF(원생!$G377="","",원생!$G377),수납!$B:$B,$B$1&amp;"-"&amp;TEXT(11,"00")&amp;"*",수납!$E:$E,"수강료")+SUMIFS(수납!$F:$F,수납!$C:$C,원생!$A377,수납!$D:$D,IF(원생!$G377="","",원생!$G377),수납!$B:$B,$B$1&amp;"-"&amp;TEXT(11,"00")&amp;"*",수납!$E:$E,""))</f>
        <v/>
      </c>
      <c r="N379" s="14">
        <f>IF(원생!$A377="","",SUMIFS(수납!$F:$F,수납!$C:$C,원생!$A377,수납!$D:$D,IF(원생!$G377="","",원생!$G377),수납!$B:$B,$B$1&amp;"-"&amp;TEXT(12,"00")&amp;"*",수납!$E:$E,"수강료")+SUMIFS(수납!$F:$F,수납!$C:$C,원생!$A377,수납!$D:$D,IF(원생!$G377="","",원생!$G377),수납!$B:$B,$B$1&amp;"-"&amp;TEXT(12,"00")&amp;"*",수납!$E:$E,""))</f>
        <v/>
      </c>
      <c r="O379">
        <f>IF(원생!$I377="","",원생!$I377)</f>
        <v/>
      </c>
      <c r="P379">
        <f>IF($A379="","",IF(AND($B379&gt;0,C379&lt;$B379,DATE($B$1,1,1)&lt;=TODAY(),OR($O379="",$O379&gt;=DATE($B$1,1,1)),OR(COUNTIF($C379:C379,"&gt;0")&gt;0,DATE($B$1,1,1)=DATE(YEAR(TODAY()),MONTH(TODAY()),1))),1,0))</f>
        <v/>
      </c>
      <c r="Q379">
        <f>IF($A379="","",IF(AND($B379&gt;0,D379&lt;$B379,DATE($B$1,2,1)&lt;=TODAY(),OR($O379="",$O379&gt;=DATE($B$1,2,1)),OR(COUNTIF($C379:D379,"&gt;0")&gt;0,DATE($B$1,2,1)=DATE(YEAR(TODAY()),MONTH(TODAY()),1))),1,0))</f>
        <v/>
      </c>
      <c r="R379">
        <f>IF($A379="","",IF(AND($B379&gt;0,E379&lt;$B379,DATE($B$1,3,1)&lt;=TODAY(),OR($O379="",$O379&gt;=DATE($B$1,3,1)),OR(COUNTIF($C379:E379,"&gt;0")&gt;0,DATE($B$1,3,1)=DATE(YEAR(TODAY()),MONTH(TODAY()),1))),1,0))</f>
        <v/>
      </c>
      <c r="S379">
        <f>IF($A379="","",IF(AND($B379&gt;0,F379&lt;$B379,DATE($B$1,4,1)&lt;=TODAY(),OR($O379="",$O379&gt;=DATE($B$1,4,1)),OR(COUNTIF($C379:F379,"&gt;0")&gt;0,DATE($B$1,4,1)=DATE(YEAR(TODAY()),MONTH(TODAY()),1))),1,0))</f>
        <v/>
      </c>
      <c r="T379">
        <f>IF($A379="","",IF(AND($B379&gt;0,G379&lt;$B379,DATE($B$1,5,1)&lt;=TODAY(),OR($O379="",$O379&gt;=DATE($B$1,5,1)),OR(COUNTIF($C379:G379,"&gt;0")&gt;0,DATE($B$1,5,1)=DATE(YEAR(TODAY()),MONTH(TODAY()),1))),1,0))</f>
        <v/>
      </c>
      <c r="U379">
        <f>IF($A379="","",IF(AND($B379&gt;0,H379&lt;$B379,DATE($B$1,6,1)&lt;=TODAY(),OR($O379="",$O379&gt;=DATE($B$1,6,1)),OR(COUNTIF($C379:H379,"&gt;0")&gt;0,DATE($B$1,6,1)=DATE(YEAR(TODAY()),MONTH(TODAY()),1))),1,0))</f>
        <v/>
      </c>
      <c r="V379">
        <f>IF($A379="","",IF(AND($B379&gt;0,I379&lt;$B379,DATE($B$1,7,1)&lt;=TODAY(),OR($O379="",$O379&gt;=DATE($B$1,7,1)),OR(COUNTIF($C379:I379,"&gt;0")&gt;0,DATE($B$1,7,1)=DATE(YEAR(TODAY()),MONTH(TODAY()),1))),1,0))</f>
        <v/>
      </c>
      <c r="W379">
        <f>IF($A379="","",IF(AND($B379&gt;0,J379&lt;$B379,DATE($B$1,8,1)&lt;=TODAY(),OR($O379="",$O379&gt;=DATE($B$1,8,1)),OR(COUNTIF($C379:J379,"&gt;0")&gt;0,DATE($B$1,8,1)=DATE(YEAR(TODAY()),MONTH(TODAY()),1))),1,0))</f>
        <v/>
      </c>
      <c r="X379">
        <f>IF($A379="","",IF(AND($B379&gt;0,K379&lt;$B379,DATE($B$1,9,1)&lt;=TODAY(),OR($O379="",$O379&gt;=DATE($B$1,9,1)),OR(COUNTIF($C379:K379,"&gt;0")&gt;0,DATE($B$1,9,1)=DATE(YEAR(TODAY()),MONTH(TODAY()),1))),1,0))</f>
        <v/>
      </c>
      <c r="Y379">
        <f>IF($A379="","",IF(AND($B379&gt;0,L379&lt;$B379,DATE($B$1,10,1)&lt;=TODAY(),OR($O379="",$O379&gt;=DATE($B$1,10,1)),OR(COUNTIF($C379:L379,"&gt;0")&gt;0,DATE($B$1,10,1)=DATE(YEAR(TODAY()),MONTH(TODAY()),1))),1,0))</f>
        <v/>
      </c>
      <c r="Z379">
        <f>IF($A379="","",IF(AND($B379&gt;0,M379&lt;$B379,DATE($B$1,11,1)&lt;=TODAY(),OR($O379="",$O379&gt;=DATE($B$1,11,1)),OR(COUNTIF($C379:M379,"&gt;0")&gt;0,DATE($B$1,11,1)=DATE(YEAR(TODAY()),MONTH(TODAY()),1))),1,0))</f>
        <v/>
      </c>
      <c r="AA379">
        <f>IF($A379="","",IF(AND($B379&gt;0,N379&lt;$B379,DATE($B$1,12,1)&lt;=TODAY(),OR($O379="",$O379&gt;=DATE($B$1,12,1)),OR(COUNTIF($C379:N379,"&gt;0")&gt;0,DATE($B$1,12,1)=DATE(YEAR(TODAY()),MONTH(TODAY()),1))),1,0))</f>
        <v/>
      </c>
    </row>
    <row r="380">
      <c r="A380" s="13">
        <f>IF(원생!$A378="","",원생!$A378&amp;IF(원생!$G378="",""," ("&amp;원생!$G378&amp;")"))</f>
        <v/>
      </c>
      <c r="B380" s="8">
        <f>IF(원생!$A378="","",원생!$F378)</f>
        <v/>
      </c>
      <c r="C380" s="14">
        <f>IF(원생!$A378="","",SUMIFS(수납!$F:$F,수납!$C:$C,원생!$A378,수납!$D:$D,IF(원생!$G378="","",원생!$G378),수납!$B:$B,$B$1&amp;"-"&amp;TEXT(1,"00")&amp;"*",수납!$E:$E,"수강료")+SUMIFS(수납!$F:$F,수납!$C:$C,원생!$A378,수납!$D:$D,IF(원생!$G378="","",원생!$G378),수납!$B:$B,$B$1&amp;"-"&amp;TEXT(1,"00")&amp;"*",수납!$E:$E,""))</f>
        <v/>
      </c>
      <c r="D380" s="14">
        <f>IF(원생!$A378="","",SUMIFS(수납!$F:$F,수납!$C:$C,원생!$A378,수납!$D:$D,IF(원생!$G378="","",원생!$G378),수납!$B:$B,$B$1&amp;"-"&amp;TEXT(2,"00")&amp;"*",수납!$E:$E,"수강료")+SUMIFS(수납!$F:$F,수납!$C:$C,원생!$A378,수납!$D:$D,IF(원생!$G378="","",원생!$G378),수납!$B:$B,$B$1&amp;"-"&amp;TEXT(2,"00")&amp;"*",수납!$E:$E,""))</f>
        <v/>
      </c>
      <c r="E380" s="14">
        <f>IF(원생!$A378="","",SUMIFS(수납!$F:$F,수납!$C:$C,원생!$A378,수납!$D:$D,IF(원생!$G378="","",원생!$G378),수납!$B:$B,$B$1&amp;"-"&amp;TEXT(3,"00")&amp;"*",수납!$E:$E,"수강료")+SUMIFS(수납!$F:$F,수납!$C:$C,원생!$A378,수납!$D:$D,IF(원생!$G378="","",원생!$G378),수납!$B:$B,$B$1&amp;"-"&amp;TEXT(3,"00")&amp;"*",수납!$E:$E,""))</f>
        <v/>
      </c>
      <c r="F380" s="14">
        <f>IF(원생!$A378="","",SUMIFS(수납!$F:$F,수납!$C:$C,원생!$A378,수납!$D:$D,IF(원생!$G378="","",원생!$G378),수납!$B:$B,$B$1&amp;"-"&amp;TEXT(4,"00")&amp;"*",수납!$E:$E,"수강료")+SUMIFS(수납!$F:$F,수납!$C:$C,원생!$A378,수납!$D:$D,IF(원생!$G378="","",원생!$G378),수납!$B:$B,$B$1&amp;"-"&amp;TEXT(4,"00")&amp;"*",수납!$E:$E,""))</f>
        <v/>
      </c>
      <c r="G380" s="14">
        <f>IF(원생!$A378="","",SUMIFS(수납!$F:$F,수납!$C:$C,원생!$A378,수납!$D:$D,IF(원생!$G378="","",원생!$G378),수납!$B:$B,$B$1&amp;"-"&amp;TEXT(5,"00")&amp;"*",수납!$E:$E,"수강료")+SUMIFS(수납!$F:$F,수납!$C:$C,원생!$A378,수납!$D:$D,IF(원생!$G378="","",원생!$G378),수납!$B:$B,$B$1&amp;"-"&amp;TEXT(5,"00")&amp;"*",수납!$E:$E,""))</f>
        <v/>
      </c>
      <c r="H380" s="14">
        <f>IF(원생!$A378="","",SUMIFS(수납!$F:$F,수납!$C:$C,원생!$A378,수납!$D:$D,IF(원생!$G378="","",원생!$G378),수납!$B:$B,$B$1&amp;"-"&amp;TEXT(6,"00")&amp;"*",수납!$E:$E,"수강료")+SUMIFS(수납!$F:$F,수납!$C:$C,원생!$A378,수납!$D:$D,IF(원생!$G378="","",원생!$G378),수납!$B:$B,$B$1&amp;"-"&amp;TEXT(6,"00")&amp;"*",수납!$E:$E,""))</f>
        <v/>
      </c>
      <c r="I380" s="14">
        <f>IF(원생!$A378="","",SUMIFS(수납!$F:$F,수납!$C:$C,원생!$A378,수납!$D:$D,IF(원생!$G378="","",원생!$G378),수납!$B:$B,$B$1&amp;"-"&amp;TEXT(7,"00")&amp;"*",수납!$E:$E,"수강료")+SUMIFS(수납!$F:$F,수납!$C:$C,원생!$A378,수납!$D:$D,IF(원생!$G378="","",원생!$G378),수납!$B:$B,$B$1&amp;"-"&amp;TEXT(7,"00")&amp;"*",수납!$E:$E,""))</f>
        <v/>
      </c>
      <c r="J380" s="14">
        <f>IF(원생!$A378="","",SUMIFS(수납!$F:$F,수납!$C:$C,원생!$A378,수납!$D:$D,IF(원생!$G378="","",원생!$G378),수납!$B:$B,$B$1&amp;"-"&amp;TEXT(8,"00")&amp;"*",수납!$E:$E,"수강료")+SUMIFS(수납!$F:$F,수납!$C:$C,원생!$A378,수납!$D:$D,IF(원생!$G378="","",원생!$G378),수납!$B:$B,$B$1&amp;"-"&amp;TEXT(8,"00")&amp;"*",수납!$E:$E,""))</f>
        <v/>
      </c>
      <c r="K380" s="14">
        <f>IF(원생!$A378="","",SUMIFS(수납!$F:$F,수납!$C:$C,원생!$A378,수납!$D:$D,IF(원생!$G378="","",원생!$G378),수납!$B:$B,$B$1&amp;"-"&amp;TEXT(9,"00")&amp;"*",수납!$E:$E,"수강료")+SUMIFS(수납!$F:$F,수납!$C:$C,원생!$A378,수납!$D:$D,IF(원생!$G378="","",원생!$G378),수납!$B:$B,$B$1&amp;"-"&amp;TEXT(9,"00")&amp;"*",수납!$E:$E,""))</f>
        <v/>
      </c>
      <c r="L380" s="14">
        <f>IF(원생!$A378="","",SUMIFS(수납!$F:$F,수납!$C:$C,원생!$A378,수납!$D:$D,IF(원생!$G378="","",원생!$G378),수납!$B:$B,$B$1&amp;"-"&amp;TEXT(10,"00")&amp;"*",수납!$E:$E,"수강료")+SUMIFS(수납!$F:$F,수납!$C:$C,원생!$A378,수납!$D:$D,IF(원생!$G378="","",원생!$G378),수납!$B:$B,$B$1&amp;"-"&amp;TEXT(10,"00")&amp;"*",수납!$E:$E,""))</f>
        <v/>
      </c>
      <c r="M380" s="14">
        <f>IF(원생!$A378="","",SUMIFS(수납!$F:$F,수납!$C:$C,원생!$A378,수납!$D:$D,IF(원생!$G378="","",원생!$G378),수납!$B:$B,$B$1&amp;"-"&amp;TEXT(11,"00")&amp;"*",수납!$E:$E,"수강료")+SUMIFS(수납!$F:$F,수납!$C:$C,원생!$A378,수납!$D:$D,IF(원생!$G378="","",원생!$G378),수납!$B:$B,$B$1&amp;"-"&amp;TEXT(11,"00")&amp;"*",수납!$E:$E,""))</f>
        <v/>
      </c>
      <c r="N380" s="14">
        <f>IF(원생!$A378="","",SUMIFS(수납!$F:$F,수납!$C:$C,원생!$A378,수납!$D:$D,IF(원생!$G378="","",원생!$G378),수납!$B:$B,$B$1&amp;"-"&amp;TEXT(12,"00")&amp;"*",수납!$E:$E,"수강료")+SUMIFS(수납!$F:$F,수납!$C:$C,원생!$A378,수납!$D:$D,IF(원생!$G378="","",원생!$G378),수납!$B:$B,$B$1&amp;"-"&amp;TEXT(12,"00")&amp;"*",수납!$E:$E,""))</f>
        <v/>
      </c>
      <c r="O380">
        <f>IF(원생!$I378="","",원생!$I378)</f>
        <v/>
      </c>
      <c r="P380">
        <f>IF($A380="","",IF(AND($B380&gt;0,C380&lt;$B380,DATE($B$1,1,1)&lt;=TODAY(),OR($O380="",$O380&gt;=DATE($B$1,1,1)),OR(COUNTIF($C380:C380,"&gt;0")&gt;0,DATE($B$1,1,1)=DATE(YEAR(TODAY()),MONTH(TODAY()),1))),1,0))</f>
        <v/>
      </c>
      <c r="Q380">
        <f>IF($A380="","",IF(AND($B380&gt;0,D380&lt;$B380,DATE($B$1,2,1)&lt;=TODAY(),OR($O380="",$O380&gt;=DATE($B$1,2,1)),OR(COUNTIF($C380:D380,"&gt;0")&gt;0,DATE($B$1,2,1)=DATE(YEAR(TODAY()),MONTH(TODAY()),1))),1,0))</f>
        <v/>
      </c>
      <c r="R380">
        <f>IF($A380="","",IF(AND($B380&gt;0,E380&lt;$B380,DATE($B$1,3,1)&lt;=TODAY(),OR($O380="",$O380&gt;=DATE($B$1,3,1)),OR(COUNTIF($C380:E380,"&gt;0")&gt;0,DATE($B$1,3,1)=DATE(YEAR(TODAY()),MONTH(TODAY()),1))),1,0))</f>
        <v/>
      </c>
      <c r="S380">
        <f>IF($A380="","",IF(AND($B380&gt;0,F380&lt;$B380,DATE($B$1,4,1)&lt;=TODAY(),OR($O380="",$O380&gt;=DATE($B$1,4,1)),OR(COUNTIF($C380:F380,"&gt;0")&gt;0,DATE($B$1,4,1)=DATE(YEAR(TODAY()),MONTH(TODAY()),1))),1,0))</f>
        <v/>
      </c>
      <c r="T380">
        <f>IF($A380="","",IF(AND($B380&gt;0,G380&lt;$B380,DATE($B$1,5,1)&lt;=TODAY(),OR($O380="",$O380&gt;=DATE($B$1,5,1)),OR(COUNTIF($C380:G380,"&gt;0")&gt;0,DATE($B$1,5,1)=DATE(YEAR(TODAY()),MONTH(TODAY()),1))),1,0))</f>
        <v/>
      </c>
      <c r="U380">
        <f>IF($A380="","",IF(AND($B380&gt;0,H380&lt;$B380,DATE($B$1,6,1)&lt;=TODAY(),OR($O380="",$O380&gt;=DATE($B$1,6,1)),OR(COUNTIF($C380:H380,"&gt;0")&gt;0,DATE($B$1,6,1)=DATE(YEAR(TODAY()),MONTH(TODAY()),1))),1,0))</f>
        <v/>
      </c>
      <c r="V380">
        <f>IF($A380="","",IF(AND($B380&gt;0,I380&lt;$B380,DATE($B$1,7,1)&lt;=TODAY(),OR($O380="",$O380&gt;=DATE($B$1,7,1)),OR(COUNTIF($C380:I380,"&gt;0")&gt;0,DATE($B$1,7,1)=DATE(YEAR(TODAY()),MONTH(TODAY()),1))),1,0))</f>
        <v/>
      </c>
      <c r="W380">
        <f>IF($A380="","",IF(AND($B380&gt;0,J380&lt;$B380,DATE($B$1,8,1)&lt;=TODAY(),OR($O380="",$O380&gt;=DATE($B$1,8,1)),OR(COUNTIF($C380:J380,"&gt;0")&gt;0,DATE($B$1,8,1)=DATE(YEAR(TODAY()),MONTH(TODAY()),1))),1,0))</f>
        <v/>
      </c>
      <c r="X380">
        <f>IF($A380="","",IF(AND($B380&gt;0,K380&lt;$B380,DATE($B$1,9,1)&lt;=TODAY(),OR($O380="",$O380&gt;=DATE($B$1,9,1)),OR(COUNTIF($C380:K380,"&gt;0")&gt;0,DATE($B$1,9,1)=DATE(YEAR(TODAY()),MONTH(TODAY()),1))),1,0))</f>
        <v/>
      </c>
      <c r="Y380">
        <f>IF($A380="","",IF(AND($B380&gt;0,L380&lt;$B380,DATE($B$1,10,1)&lt;=TODAY(),OR($O380="",$O380&gt;=DATE($B$1,10,1)),OR(COUNTIF($C380:L380,"&gt;0")&gt;0,DATE($B$1,10,1)=DATE(YEAR(TODAY()),MONTH(TODAY()),1))),1,0))</f>
        <v/>
      </c>
      <c r="Z380">
        <f>IF($A380="","",IF(AND($B380&gt;0,M380&lt;$B380,DATE($B$1,11,1)&lt;=TODAY(),OR($O380="",$O380&gt;=DATE($B$1,11,1)),OR(COUNTIF($C380:M380,"&gt;0")&gt;0,DATE($B$1,11,1)=DATE(YEAR(TODAY()),MONTH(TODAY()),1))),1,0))</f>
        <v/>
      </c>
      <c r="AA380">
        <f>IF($A380="","",IF(AND($B380&gt;0,N380&lt;$B380,DATE($B$1,12,1)&lt;=TODAY(),OR($O380="",$O380&gt;=DATE($B$1,12,1)),OR(COUNTIF($C380:N380,"&gt;0")&gt;0,DATE($B$1,12,1)=DATE(YEAR(TODAY()),MONTH(TODAY()),1))),1,0))</f>
        <v/>
      </c>
    </row>
    <row r="381">
      <c r="A381" s="13">
        <f>IF(원생!$A379="","",원생!$A379&amp;IF(원생!$G379="",""," ("&amp;원생!$G379&amp;")"))</f>
        <v/>
      </c>
      <c r="B381" s="8">
        <f>IF(원생!$A379="","",원생!$F379)</f>
        <v/>
      </c>
      <c r="C381" s="14">
        <f>IF(원생!$A379="","",SUMIFS(수납!$F:$F,수납!$C:$C,원생!$A379,수납!$D:$D,IF(원생!$G379="","",원생!$G379),수납!$B:$B,$B$1&amp;"-"&amp;TEXT(1,"00")&amp;"*",수납!$E:$E,"수강료")+SUMIFS(수납!$F:$F,수납!$C:$C,원생!$A379,수납!$D:$D,IF(원생!$G379="","",원생!$G379),수납!$B:$B,$B$1&amp;"-"&amp;TEXT(1,"00")&amp;"*",수납!$E:$E,""))</f>
        <v/>
      </c>
      <c r="D381" s="14">
        <f>IF(원생!$A379="","",SUMIFS(수납!$F:$F,수납!$C:$C,원생!$A379,수납!$D:$D,IF(원생!$G379="","",원생!$G379),수납!$B:$B,$B$1&amp;"-"&amp;TEXT(2,"00")&amp;"*",수납!$E:$E,"수강료")+SUMIFS(수납!$F:$F,수납!$C:$C,원생!$A379,수납!$D:$D,IF(원생!$G379="","",원생!$G379),수납!$B:$B,$B$1&amp;"-"&amp;TEXT(2,"00")&amp;"*",수납!$E:$E,""))</f>
        <v/>
      </c>
      <c r="E381" s="14">
        <f>IF(원생!$A379="","",SUMIFS(수납!$F:$F,수납!$C:$C,원생!$A379,수납!$D:$D,IF(원생!$G379="","",원생!$G379),수납!$B:$B,$B$1&amp;"-"&amp;TEXT(3,"00")&amp;"*",수납!$E:$E,"수강료")+SUMIFS(수납!$F:$F,수납!$C:$C,원생!$A379,수납!$D:$D,IF(원생!$G379="","",원생!$G379),수납!$B:$B,$B$1&amp;"-"&amp;TEXT(3,"00")&amp;"*",수납!$E:$E,""))</f>
        <v/>
      </c>
      <c r="F381" s="14">
        <f>IF(원생!$A379="","",SUMIFS(수납!$F:$F,수납!$C:$C,원생!$A379,수납!$D:$D,IF(원생!$G379="","",원생!$G379),수납!$B:$B,$B$1&amp;"-"&amp;TEXT(4,"00")&amp;"*",수납!$E:$E,"수강료")+SUMIFS(수납!$F:$F,수납!$C:$C,원생!$A379,수납!$D:$D,IF(원생!$G379="","",원생!$G379),수납!$B:$B,$B$1&amp;"-"&amp;TEXT(4,"00")&amp;"*",수납!$E:$E,""))</f>
        <v/>
      </c>
      <c r="G381" s="14">
        <f>IF(원생!$A379="","",SUMIFS(수납!$F:$F,수납!$C:$C,원생!$A379,수납!$D:$D,IF(원생!$G379="","",원생!$G379),수납!$B:$B,$B$1&amp;"-"&amp;TEXT(5,"00")&amp;"*",수납!$E:$E,"수강료")+SUMIFS(수납!$F:$F,수납!$C:$C,원생!$A379,수납!$D:$D,IF(원생!$G379="","",원생!$G379),수납!$B:$B,$B$1&amp;"-"&amp;TEXT(5,"00")&amp;"*",수납!$E:$E,""))</f>
        <v/>
      </c>
      <c r="H381" s="14">
        <f>IF(원생!$A379="","",SUMIFS(수납!$F:$F,수납!$C:$C,원생!$A379,수납!$D:$D,IF(원생!$G379="","",원생!$G379),수납!$B:$B,$B$1&amp;"-"&amp;TEXT(6,"00")&amp;"*",수납!$E:$E,"수강료")+SUMIFS(수납!$F:$F,수납!$C:$C,원생!$A379,수납!$D:$D,IF(원생!$G379="","",원생!$G379),수납!$B:$B,$B$1&amp;"-"&amp;TEXT(6,"00")&amp;"*",수납!$E:$E,""))</f>
        <v/>
      </c>
      <c r="I381" s="14">
        <f>IF(원생!$A379="","",SUMIFS(수납!$F:$F,수납!$C:$C,원생!$A379,수납!$D:$D,IF(원생!$G379="","",원생!$G379),수납!$B:$B,$B$1&amp;"-"&amp;TEXT(7,"00")&amp;"*",수납!$E:$E,"수강료")+SUMIFS(수납!$F:$F,수납!$C:$C,원생!$A379,수납!$D:$D,IF(원생!$G379="","",원생!$G379),수납!$B:$B,$B$1&amp;"-"&amp;TEXT(7,"00")&amp;"*",수납!$E:$E,""))</f>
        <v/>
      </c>
      <c r="J381" s="14">
        <f>IF(원생!$A379="","",SUMIFS(수납!$F:$F,수납!$C:$C,원생!$A379,수납!$D:$D,IF(원생!$G379="","",원생!$G379),수납!$B:$B,$B$1&amp;"-"&amp;TEXT(8,"00")&amp;"*",수납!$E:$E,"수강료")+SUMIFS(수납!$F:$F,수납!$C:$C,원생!$A379,수납!$D:$D,IF(원생!$G379="","",원생!$G379),수납!$B:$B,$B$1&amp;"-"&amp;TEXT(8,"00")&amp;"*",수납!$E:$E,""))</f>
        <v/>
      </c>
      <c r="K381" s="14">
        <f>IF(원생!$A379="","",SUMIFS(수납!$F:$F,수납!$C:$C,원생!$A379,수납!$D:$D,IF(원생!$G379="","",원생!$G379),수납!$B:$B,$B$1&amp;"-"&amp;TEXT(9,"00")&amp;"*",수납!$E:$E,"수강료")+SUMIFS(수납!$F:$F,수납!$C:$C,원생!$A379,수납!$D:$D,IF(원생!$G379="","",원생!$G379),수납!$B:$B,$B$1&amp;"-"&amp;TEXT(9,"00")&amp;"*",수납!$E:$E,""))</f>
        <v/>
      </c>
      <c r="L381" s="14">
        <f>IF(원생!$A379="","",SUMIFS(수납!$F:$F,수납!$C:$C,원생!$A379,수납!$D:$D,IF(원생!$G379="","",원생!$G379),수납!$B:$B,$B$1&amp;"-"&amp;TEXT(10,"00")&amp;"*",수납!$E:$E,"수강료")+SUMIFS(수납!$F:$F,수납!$C:$C,원생!$A379,수납!$D:$D,IF(원생!$G379="","",원생!$G379),수납!$B:$B,$B$1&amp;"-"&amp;TEXT(10,"00")&amp;"*",수납!$E:$E,""))</f>
        <v/>
      </c>
      <c r="M381" s="14">
        <f>IF(원생!$A379="","",SUMIFS(수납!$F:$F,수납!$C:$C,원생!$A379,수납!$D:$D,IF(원생!$G379="","",원생!$G379),수납!$B:$B,$B$1&amp;"-"&amp;TEXT(11,"00")&amp;"*",수납!$E:$E,"수강료")+SUMIFS(수납!$F:$F,수납!$C:$C,원생!$A379,수납!$D:$D,IF(원생!$G379="","",원생!$G379),수납!$B:$B,$B$1&amp;"-"&amp;TEXT(11,"00")&amp;"*",수납!$E:$E,""))</f>
        <v/>
      </c>
      <c r="N381" s="14">
        <f>IF(원생!$A379="","",SUMIFS(수납!$F:$F,수납!$C:$C,원생!$A379,수납!$D:$D,IF(원생!$G379="","",원생!$G379),수납!$B:$B,$B$1&amp;"-"&amp;TEXT(12,"00")&amp;"*",수납!$E:$E,"수강료")+SUMIFS(수납!$F:$F,수납!$C:$C,원생!$A379,수납!$D:$D,IF(원생!$G379="","",원생!$G379),수납!$B:$B,$B$1&amp;"-"&amp;TEXT(12,"00")&amp;"*",수납!$E:$E,""))</f>
        <v/>
      </c>
      <c r="O381">
        <f>IF(원생!$I379="","",원생!$I379)</f>
        <v/>
      </c>
      <c r="P381">
        <f>IF($A381="","",IF(AND($B381&gt;0,C381&lt;$B381,DATE($B$1,1,1)&lt;=TODAY(),OR($O381="",$O381&gt;=DATE($B$1,1,1)),OR(COUNTIF($C381:C381,"&gt;0")&gt;0,DATE($B$1,1,1)=DATE(YEAR(TODAY()),MONTH(TODAY()),1))),1,0))</f>
        <v/>
      </c>
      <c r="Q381">
        <f>IF($A381="","",IF(AND($B381&gt;0,D381&lt;$B381,DATE($B$1,2,1)&lt;=TODAY(),OR($O381="",$O381&gt;=DATE($B$1,2,1)),OR(COUNTIF($C381:D381,"&gt;0")&gt;0,DATE($B$1,2,1)=DATE(YEAR(TODAY()),MONTH(TODAY()),1))),1,0))</f>
        <v/>
      </c>
      <c r="R381">
        <f>IF($A381="","",IF(AND($B381&gt;0,E381&lt;$B381,DATE($B$1,3,1)&lt;=TODAY(),OR($O381="",$O381&gt;=DATE($B$1,3,1)),OR(COUNTIF($C381:E381,"&gt;0")&gt;0,DATE($B$1,3,1)=DATE(YEAR(TODAY()),MONTH(TODAY()),1))),1,0))</f>
        <v/>
      </c>
      <c r="S381">
        <f>IF($A381="","",IF(AND($B381&gt;0,F381&lt;$B381,DATE($B$1,4,1)&lt;=TODAY(),OR($O381="",$O381&gt;=DATE($B$1,4,1)),OR(COUNTIF($C381:F381,"&gt;0")&gt;0,DATE($B$1,4,1)=DATE(YEAR(TODAY()),MONTH(TODAY()),1))),1,0))</f>
        <v/>
      </c>
      <c r="T381">
        <f>IF($A381="","",IF(AND($B381&gt;0,G381&lt;$B381,DATE($B$1,5,1)&lt;=TODAY(),OR($O381="",$O381&gt;=DATE($B$1,5,1)),OR(COUNTIF($C381:G381,"&gt;0")&gt;0,DATE($B$1,5,1)=DATE(YEAR(TODAY()),MONTH(TODAY()),1))),1,0))</f>
        <v/>
      </c>
      <c r="U381">
        <f>IF($A381="","",IF(AND($B381&gt;0,H381&lt;$B381,DATE($B$1,6,1)&lt;=TODAY(),OR($O381="",$O381&gt;=DATE($B$1,6,1)),OR(COUNTIF($C381:H381,"&gt;0")&gt;0,DATE($B$1,6,1)=DATE(YEAR(TODAY()),MONTH(TODAY()),1))),1,0))</f>
        <v/>
      </c>
      <c r="V381">
        <f>IF($A381="","",IF(AND($B381&gt;0,I381&lt;$B381,DATE($B$1,7,1)&lt;=TODAY(),OR($O381="",$O381&gt;=DATE($B$1,7,1)),OR(COUNTIF($C381:I381,"&gt;0")&gt;0,DATE($B$1,7,1)=DATE(YEAR(TODAY()),MONTH(TODAY()),1))),1,0))</f>
        <v/>
      </c>
      <c r="W381">
        <f>IF($A381="","",IF(AND($B381&gt;0,J381&lt;$B381,DATE($B$1,8,1)&lt;=TODAY(),OR($O381="",$O381&gt;=DATE($B$1,8,1)),OR(COUNTIF($C381:J381,"&gt;0")&gt;0,DATE($B$1,8,1)=DATE(YEAR(TODAY()),MONTH(TODAY()),1))),1,0))</f>
        <v/>
      </c>
      <c r="X381">
        <f>IF($A381="","",IF(AND($B381&gt;0,K381&lt;$B381,DATE($B$1,9,1)&lt;=TODAY(),OR($O381="",$O381&gt;=DATE($B$1,9,1)),OR(COUNTIF($C381:K381,"&gt;0")&gt;0,DATE($B$1,9,1)=DATE(YEAR(TODAY()),MONTH(TODAY()),1))),1,0))</f>
        <v/>
      </c>
      <c r="Y381">
        <f>IF($A381="","",IF(AND($B381&gt;0,L381&lt;$B381,DATE($B$1,10,1)&lt;=TODAY(),OR($O381="",$O381&gt;=DATE($B$1,10,1)),OR(COUNTIF($C381:L381,"&gt;0")&gt;0,DATE($B$1,10,1)=DATE(YEAR(TODAY()),MONTH(TODAY()),1))),1,0))</f>
        <v/>
      </c>
      <c r="Z381">
        <f>IF($A381="","",IF(AND($B381&gt;0,M381&lt;$B381,DATE($B$1,11,1)&lt;=TODAY(),OR($O381="",$O381&gt;=DATE($B$1,11,1)),OR(COUNTIF($C381:M381,"&gt;0")&gt;0,DATE($B$1,11,1)=DATE(YEAR(TODAY()),MONTH(TODAY()),1))),1,0))</f>
        <v/>
      </c>
      <c r="AA381">
        <f>IF($A381="","",IF(AND($B381&gt;0,N381&lt;$B381,DATE($B$1,12,1)&lt;=TODAY(),OR($O381="",$O381&gt;=DATE($B$1,12,1)),OR(COUNTIF($C381:N381,"&gt;0")&gt;0,DATE($B$1,12,1)=DATE(YEAR(TODAY()),MONTH(TODAY()),1))),1,0))</f>
        <v/>
      </c>
    </row>
    <row r="382">
      <c r="A382" s="13">
        <f>IF(원생!$A380="","",원생!$A380&amp;IF(원생!$G380="",""," ("&amp;원생!$G380&amp;")"))</f>
        <v/>
      </c>
      <c r="B382" s="8">
        <f>IF(원생!$A380="","",원생!$F380)</f>
        <v/>
      </c>
      <c r="C382" s="14">
        <f>IF(원생!$A380="","",SUMIFS(수납!$F:$F,수납!$C:$C,원생!$A380,수납!$D:$D,IF(원생!$G380="","",원생!$G380),수납!$B:$B,$B$1&amp;"-"&amp;TEXT(1,"00")&amp;"*",수납!$E:$E,"수강료")+SUMIFS(수납!$F:$F,수납!$C:$C,원생!$A380,수납!$D:$D,IF(원생!$G380="","",원생!$G380),수납!$B:$B,$B$1&amp;"-"&amp;TEXT(1,"00")&amp;"*",수납!$E:$E,""))</f>
        <v/>
      </c>
      <c r="D382" s="14">
        <f>IF(원생!$A380="","",SUMIFS(수납!$F:$F,수납!$C:$C,원생!$A380,수납!$D:$D,IF(원생!$G380="","",원생!$G380),수납!$B:$B,$B$1&amp;"-"&amp;TEXT(2,"00")&amp;"*",수납!$E:$E,"수강료")+SUMIFS(수납!$F:$F,수납!$C:$C,원생!$A380,수납!$D:$D,IF(원생!$G380="","",원생!$G380),수납!$B:$B,$B$1&amp;"-"&amp;TEXT(2,"00")&amp;"*",수납!$E:$E,""))</f>
        <v/>
      </c>
      <c r="E382" s="14">
        <f>IF(원생!$A380="","",SUMIFS(수납!$F:$F,수납!$C:$C,원생!$A380,수납!$D:$D,IF(원생!$G380="","",원생!$G380),수납!$B:$B,$B$1&amp;"-"&amp;TEXT(3,"00")&amp;"*",수납!$E:$E,"수강료")+SUMIFS(수납!$F:$F,수납!$C:$C,원생!$A380,수납!$D:$D,IF(원생!$G380="","",원생!$G380),수납!$B:$B,$B$1&amp;"-"&amp;TEXT(3,"00")&amp;"*",수납!$E:$E,""))</f>
        <v/>
      </c>
      <c r="F382" s="14">
        <f>IF(원생!$A380="","",SUMIFS(수납!$F:$F,수납!$C:$C,원생!$A380,수납!$D:$D,IF(원생!$G380="","",원생!$G380),수납!$B:$B,$B$1&amp;"-"&amp;TEXT(4,"00")&amp;"*",수납!$E:$E,"수강료")+SUMIFS(수납!$F:$F,수납!$C:$C,원생!$A380,수납!$D:$D,IF(원생!$G380="","",원생!$G380),수납!$B:$B,$B$1&amp;"-"&amp;TEXT(4,"00")&amp;"*",수납!$E:$E,""))</f>
        <v/>
      </c>
      <c r="G382" s="14">
        <f>IF(원생!$A380="","",SUMIFS(수납!$F:$F,수납!$C:$C,원생!$A380,수납!$D:$D,IF(원생!$G380="","",원생!$G380),수납!$B:$B,$B$1&amp;"-"&amp;TEXT(5,"00")&amp;"*",수납!$E:$E,"수강료")+SUMIFS(수납!$F:$F,수납!$C:$C,원생!$A380,수납!$D:$D,IF(원생!$G380="","",원생!$G380),수납!$B:$B,$B$1&amp;"-"&amp;TEXT(5,"00")&amp;"*",수납!$E:$E,""))</f>
        <v/>
      </c>
      <c r="H382" s="14">
        <f>IF(원생!$A380="","",SUMIFS(수납!$F:$F,수납!$C:$C,원생!$A380,수납!$D:$D,IF(원생!$G380="","",원생!$G380),수납!$B:$B,$B$1&amp;"-"&amp;TEXT(6,"00")&amp;"*",수납!$E:$E,"수강료")+SUMIFS(수납!$F:$F,수납!$C:$C,원생!$A380,수납!$D:$D,IF(원생!$G380="","",원생!$G380),수납!$B:$B,$B$1&amp;"-"&amp;TEXT(6,"00")&amp;"*",수납!$E:$E,""))</f>
        <v/>
      </c>
      <c r="I382" s="14">
        <f>IF(원생!$A380="","",SUMIFS(수납!$F:$F,수납!$C:$C,원생!$A380,수납!$D:$D,IF(원생!$G380="","",원생!$G380),수납!$B:$B,$B$1&amp;"-"&amp;TEXT(7,"00")&amp;"*",수납!$E:$E,"수강료")+SUMIFS(수납!$F:$F,수납!$C:$C,원생!$A380,수납!$D:$D,IF(원생!$G380="","",원생!$G380),수납!$B:$B,$B$1&amp;"-"&amp;TEXT(7,"00")&amp;"*",수납!$E:$E,""))</f>
        <v/>
      </c>
      <c r="J382" s="14">
        <f>IF(원생!$A380="","",SUMIFS(수납!$F:$F,수납!$C:$C,원생!$A380,수납!$D:$D,IF(원생!$G380="","",원생!$G380),수납!$B:$B,$B$1&amp;"-"&amp;TEXT(8,"00")&amp;"*",수납!$E:$E,"수강료")+SUMIFS(수납!$F:$F,수납!$C:$C,원생!$A380,수납!$D:$D,IF(원생!$G380="","",원생!$G380),수납!$B:$B,$B$1&amp;"-"&amp;TEXT(8,"00")&amp;"*",수납!$E:$E,""))</f>
        <v/>
      </c>
      <c r="K382" s="14">
        <f>IF(원생!$A380="","",SUMIFS(수납!$F:$F,수납!$C:$C,원생!$A380,수납!$D:$D,IF(원생!$G380="","",원생!$G380),수납!$B:$B,$B$1&amp;"-"&amp;TEXT(9,"00")&amp;"*",수납!$E:$E,"수강료")+SUMIFS(수납!$F:$F,수납!$C:$C,원생!$A380,수납!$D:$D,IF(원생!$G380="","",원생!$G380),수납!$B:$B,$B$1&amp;"-"&amp;TEXT(9,"00")&amp;"*",수납!$E:$E,""))</f>
        <v/>
      </c>
      <c r="L382" s="14">
        <f>IF(원생!$A380="","",SUMIFS(수납!$F:$F,수납!$C:$C,원생!$A380,수납!$D:$D,IF(원생!$G380="","",원생!$G380),수납!$B:$B,$B$1&amp;"-"&amp;TEXT(10,"00")&amp;"*",수납!$E:$E,"수강료")+SUMIFS(수납!$F:$F,수납!$C:$C,원생!$A380,수납!$D:$D,IF(원생!$G380="","",원생!$G380),수납!$B:$B,$B$1&amp;"-"&amp;TEXT(10,"00")&amp;"*",수납!$E:$E,""))</f>
        <v/>
      </c>
      <c r="M382" s="14">
        <f>IF(원생!$A380="","",SUMIFS(수납!$F:$F,수납!$C:$C,원생!$A380,수납!$D:$D,IF(원생!$G380="","",원생!$G380),수납!$B:$B,$B$1&amp;"-"&amp;TEXT(11,"00")&amp;"*",수납!$E:$E,"수강료")+SUMIFS(수납!$F:$F,수납!$C:$C,원생!$A380,수납!$D:$D,IF(원생!$G380="","",원생!$G380),수납!$B:$B,$B$1&amp;"-"&amp;TEXT(11,"00")&amp;"*",수납!$E:$E,""))</f>
        <v/>
      </c>
      <c r="N382" s="14">
        <f>IF(원생!$A380="","",SUMIFS(수납!$F:$F,수납!$C:$C,원생!$A380,수납!$D:$D,IF(원생!$G380="","",원생!$G380),수납!$B:$B,$B$1&amp;"-"&amp;TEXT(12,"00")&amp;"*",수납!$E:$E,"수강료")+SUMIFS(수납!$F:$F,수납!$C:$C,원생!$A380,수납!$D:$D,IF(원생!$G380="","",원생!$G380),수납!$B:$B,$B$1&amp;"-"&amp;TEXT(12,"00")&amp;"*",수납!$E:$E,""))</f>
        <v/>
      </c>
      <c r="O382">
        <f>IF(원생!$I380="","",원생!$I380)</f>
        <v/>
      </c>
      <c r="P382">
        <f>IF($A382="","",IF(AND($B382&gt;0,C382&lt;$B382,DATE($B$1,1,1)&lt;=TODAY(),OR($O382="",$O382&gt;=DATE($B$1,1,1)),OR(COUNTIF($C382:C382,"&gt;0")&gt;0,DATE($B$1,1,1)=DATE(YEAR(TODAY()),MONTH(TODAY()),1))),1,0))</f>
        <v/>
      </c>
      <c r="Q382">
        <f>IF($A382="","",IF(AND($B382&gt;0,D382&lt;$B382,DATE($B$1,2,1)&lt;=TODAY(),OR($O382="",$O382&gt;=DATE($B$1,2,1)),OR(COUNTIF($C382:D382,"&gt;0")&gt;0,DATE($B$1,2,1)=DATE(YEAR(TODAY()),MONTH(TODAY()),1))),1,0))</f>
        <v/>
      </c>
      <c r="R382">
        <f>IF($A382="","",IF(AND($B382&gt;0,E382&lt;$B382,DATE($B$1,3,1)&lt;=TODAY(),OR($O382="",$O382&gt;=DATE($B$1,3,1)),OR(COUNTIF($C382:E382,"&gt;0")&gt;0,DATE($B$1,3,1)=DATE(YEAR(TODAY()),MONTH(TODAY()),1))),1,0))</f>
        <v/>
      </c>
      <c r="S382">
        <f>IF($A382="","",IF(AND($B382&gt;0,F382&lt;$B382,DATE($B$1,4,1)&lt;=TODAY(),OR($O382="",$O382&gt;=DATE($B$1,4,1)),OR(COUNTIF($C382:F382,"&gt;0")&gt;0,DATE($B$1,4,1)=DATE(YEAR(TODAY()),MONTH(TODAY()),1))),1,0))</f>
        <v/>
      </c>
      <c r="T382">
        <f>IF($A382="","",IF(AND($B382&gt;0,G382&lt;$B382,DATE($B$1,5,1)&lt;=TODAY(),OR($O382="",$O382&gt;=DATE($B$1,5,1)),OR(COUNTIF($C382:G382,"&gt;0")&gt;0,DATE($B$1,5,1)=DATE(YEAR(TODAY()),MONTH(TODAY()),1))),1,0))</f>
        <v/>
      </c>
      <c r="U382">
        <f>IF($A382="","",IF(AND($B382&gt;0,H382&lt;$B382,DATE($B$1,6,1)&lt;=TODAY(),OR($O382="",$O382&gt;=DATE($B$1,6,1)),OR(COUNTIF($C382:H382,"&gt;0")&gt;0,DATE($B$1,6,1)=DATE(YEAR(TODAY()),MONTH(TODAY()),1))),1,0))</f>
        <v/>
      </c>
      <c r="V382">
        <f>IF($A382="","",IF(AND($B382&gt;0,I382&lt;$B382,DATE($B$1,7,1)&lt;=TODAY(),OR($O382="",$O382&gt;=DATE($B$1,7,1)),OR(COUNTIF($C382:I382,"&gt;0")&gt;0,DATE($B$1,7,1)=DATE(YEAR(TODAY()),MONTH(TODAY()),1))),1,0))</f>
        <v/>
      </c>
      <c r="W382">
        <f>IF($A382="","",IF(AND($B382&gt;0,J382&lt;$B382,DATE($B$1,8,1)&lt;=TODAY(),OR($O382="",$O382&gt;=DATE($B$1,8,1)),OR(COUNTIF($C382:J382,"&gt;0")&gt;0,DATE($B$1,8,1)=DATE(YEAR(TODAY()),MONTH(TODAY()),1))),1,0))</f>
        <v/>
      </c>
      <c r="X382">
        <f>IF($A382="","",IF(AND($B382&gt;0,K382&lt;$B382,DATE($B$1,9,1)&lt;=TODAY(),OR($O382="",$O382&gt;=DATE($B$1,9,1)),OR(COUNTIF($C382:K382,"&gt;0")&gt;0,DATE($B$1,9,1)=DATE(YEAR(TODAY()),MONTH(TODAY()),1))),1,0))</f>
        <v/>
      </c>
      <c r="Y382">
        <f>IF($A382="","",IF(AND($B382&gt;0,L382&lt;$B382,DATE($B$1,10,1)&lt;=TODAY(),OR($O382="",$O382&gt;=DATE($B$1,10,1)),OR(COUNTIF($C382:L382,"&gt;0")&gt;0,DATE($B$1,10,1)=DATE(YEAR(TODAY()),MONTH(TODAY()),1))),1,0))</f>
        <v/>
      </c>
      <c r="Z382">
        <f>IF($A382="","",IF(AND($B382&gt;0,M382&lt;$B382,DATE($B$1,11,1)&lt;=TODAY(),OR($O382="",$O382&gt;=DATE($B$1,11,1)),OR(COUNTIF($C382:M382,"&gt;0")&gt;0,DATE($B$1,11,1)=DATE(YEAR(TODAY()),MONTH(TODAY()),1))),1,0))</f>
        <v/>
      </c>
      <c r="AA382">
        <f>IF($A382="","",IF(AND($B382&gt;0,N382&lt;$B382,DATE($B$1,12,1)&lt;=TODAY(),OR($O382="",$O382&gt;=DATE($B$1,12,1)),OR(COUNTIF($C382:N382,"&gt;0")&gt;0,DATE($B$1,12,1)=DATE(YEAR(TODAY()),MONTH(TODAY()),1))),1,0))</f>
        <v/>
      </c>
    </row>
    <row r="383">
      <c r="A383" s="13">
        <f>IF(원생!$A381="","",원생!$A381&amp;IF(원생!$G381="",""," ("&amp;원생!$G381&amp;")"))</f>
        <v/>
      </c>
      <c r="B383" s="8">
        <f>IF(원생!$A381="","",원생!$F381)</f>
        <v/>
      </c>
      <c r="C383" s="14">
        <f>IF(원생!$A381="","",SUMIFS(수납!$F:$F,수납!$C:$C,원생!$A381,수납!$D:$D,IF(원생!$G381="","",원생!$G381),수납!$B:$B,$B$1&amp;"-"&amp;TEXT(1,"00")&amp;"*",수납!$E:$E,"수강료")+SUMIFS(수납!$F:$F,수납!$C:$C,원생!$A381,수납!$D:$D,IF(원생!$G381="","",원생!$G381),수납!$B:$B,$B$1&amp;"-"&amp;TEXT(1,"00")&amp;"*",수납!$E:$E,""))</f>
        <v/>
      </c>
      <c r="D383" s="14">
        <f>IF(원생!$A381="","",SUMIFS(수납!$F:$F,수납!$C:$C,원생!$A381,수납!$D:$D,IF(원생!$G381="","",원생!$G381),수납!$B:$B,$B$1&amp;"-"&amp;TEXT(2,"00")&amp;"*",수납!$E:$E,"수강료")+SUMIFS(수납!$F:$F,수납!$C:$C,원생!$A381,수납!$D:$D,IF(원생!$G381="","",원생!$G381),수납!$B:$B,$B$1&amp;"-"&amp;TEXT(2,"00")&amp;"*",수납!$E:$E,""))</f>
        <v/>
      </c>
      <c r="E383" s="14">
        <f>IF(원생!$A381="","",SUMIFS(수납!$F:$F,수납!$C:$C,원생!$A381,수납!$D:$D,IF(원생!$G381="","",원생!$G381),수납!$B:$B,$B$1&amp;"-"&amp;TEXT(3,"00")&amp;"*",수납!$E:$E,"수강료")+SUMIFS(수납!$F:$F,수납!$C:$C,원생!$A381,수납!$D:$D,IF(원생!$G381="","",원생!$G381),수납!$B:$B,$B$1&amp;"-"&amp;TEXT(3,"00")&amp;"*",수납!$E:$E,""))</f>
        <v/>
      </c>
      <c r="F383" s="14">
        <f>IF(원생!$A381="","",SUMIFS(수납!$F:$F,수납!$C:$C,원생!$A381,수납!$D:$D,IF(원생!$G381="","",원생!$G381),수납!$B:$B,$B$1&amp;"-"&amp;TEXT(4,"00")&amp;"*",수납!$E:$E,"수강료")+SUMIFS(수납!$F:$F,수납!$C:$C,원생!$A381,수납!$D:$D,IF(원생!$G381="","",원생!$G381),수납!$B:$B,$B$1&amp;"-"&amp;TEXT(4,"00")&amp;"*",수납!$E:$E,""))</f>
        <v/>
      </c>
      <c r="G383" s="14">
        <f>IF(원생!$A381="","",SUMIFS(수납!$F:$F,수납!$C:$C,원생!$A381,수납!$D:$D,IF(원생!$G381="","",원생!$G381),수납!$B:$B,$B$1&amp;"-"&amp;TEXT(5,"00")&amp;"*",수납!$E:$E,"수강료")+SUMIFS(수납!$F:$F,수납!$C:$C,원생!$A381,수납!$D:$D,IF(원생!$G381="","",원생!$G381),수납!$B:$B,$B$1&amp;"-"&amp;TEXT(5,"00")&amp;"*",수납!$E:$E,""))</f>
        <v/>
      </c>
      <c r="H383" s="14">
        <f>IF(원생!$A381="","",SUMIFS(수납!$F:$F,수납!$C:$C,원생!$A381,수납!$D:$D,IF(원생!$G381="","",원생!$G381),수납!$B:$B,$B$1&amp;"-"&amp;TEXT(6,"00")&amp;"*",수납!$E:$E,"수강료")+SUMIFS(수납!$F:$F,수납!$C:$C,원생!$A381,수납!$D:$D,IF(원생!$G381="","",원생!$G381),수납!$B:$B,$B$1&amp;"-"&amp;TEXT(6,"00")&amp;"*",수납!$E:$E,""))</f>
        <v/>
      </c>
      <c r="I383" s="14">
        <f>IF(원생!$A381="","",SUMIFS(수납!$F:$F,수납!$C:$C,원생!$A381,수납!$D:$D,IF(원생!$G381="","",원생!$G381),수납!$B:$B,$B$1&amp;"-"&amp;TEXT(7,"00")&amp;"*",수납!$E:$E,"수강료")+SUMIFS(수납!$F:$F,수납!$C:$C,원생!$A381,수납!$D:$D,IF(원생!$G381="","",원생!$G381),수납!$B:$B,$B$1&amp;"-"&amp;TEXT(7,"00")&amp;"*",수납!$E:$E,""))</f>
        <v/>
      </c>
      <c r="J383" s="14">
        <f>IF(원생!$A381="","",SUMIFS(수납!$F:$F,수납!$C:$C,원생!$A381,수납!$D:$D,IF(원생!$G381="","",원생!$G381),수납!$B:$B,$B$1&amp;"-"&amp;TEXT(8,"00")&amp;"*",수납!$E:$E,"수강료")+SUMIFS(수납!$F:$F,수납!$C:$C,원생!$A381,수납!$D:$D,IF(원생!$G381="","",원생!$G381),수납!$B:$B,$B$1&amp;"-"&amp;TEXT(8,"00")&amp;"*",수납!$E:$E,""))</f>
        <v/>
      </c>
      <c r="K383" s="14">
        <f>IF(원생!$A381="","",SUMIFS(수납!$F:$F,수납!$C:$C,원생!$A381,수납!$D:$D,IF(원생!$G381="","",원생!$G381),수납!$B:$B,$B$1&amp;"-"&amp;TEXT(9,"00")&amp;"*",수납!$E:$E,"수강료")+SUMIFS(수납!$F:$F,수납!$C:$C,원생!$A381,수납!$D:$D,IF(원생!$G381="","",원생!$G381),수납!$B:$B,$B$1&amp;"-"&amp;TEXT(9,"00")&amp;"*",수납!$E:$E,""))</f>
        <v/>
      </c>
      <c r="L383" s="14">
        <f>IF(원생!$A381="","",SUMIFS(수납!$F:$F,수납!$C:$C,원생!$A381,수납!$D:$D,IF(원생!$G381="","",원생!$G381),수납!$B:$B,$B$1&amp;"-"&amp;TEXT(10,"00")&amp;"*",수납!$E:$E,"수강료")+SUMIFS(수납!$F:$F,수납!$C:$C,원생!$A381,수납!$D:$D,IF(원생!$G381="","",원생!$G381),수납!$B:$B,$B$1&amp;"-"&amp;TEXT(10,"00")&amp;"*",수납!$E:$E,""))</f>
        <v/>
      </c>
      <c r="M383" s="14">
        <f>IF(원생!$A381="","",SUMIFS(수납!$F:$F,수납!$C:$C,원생!$A381,수납!$D:$D,IF(원생!$G381="","",원생!$G381),수납!$B:$B,$B$1&amp;"-"&amp;TEXT(11,"00")&amp;"*",수납!$E:$E,"수강료")+SUMIFS(수납!$F:$F,수납!$C:$C,원생!$A381,수납!$D:$D,IF(원생!$G381="","",원생!$G381),수납!$B:$B,$B$1&amp;"-"&amp;TEXT(11,"00")&amp;"*",수납!$E:$E,""))</f>
        <v/>
      </c>
      <c r="N383" s="14">
        <f>IF(원생!$A381="","",SUMIFS(수납!$F:$F,수납!$C:$C,원생!$A381,수납!$D:$D,IF(원생!$G381="","",원생!$G381),수납!$B:$B,$B$1&amp;"-"&amp;TEXT(12,"00")&amp;"*",수납!$E:$E,"수강료")+SUMIFS(수납!$F:$F,수납!$C:$C,원생!$A381,수납!$D:$D,IF(원생!$G381="","",원생!$G381),수납!$B:$B,$B$1&amp;"-"&amp;TEXT(12,"00")&amp;"*",수납!$E:$E,""))</f>
        <v/>
      </c>
      <c r="O383">
        <f>IF(원생!$I381="","",원생!$I381)</f>
        <v/>
      </c>
      <c r="P383">
        <f>IF($A383="","",IF(AND($B383&gt;0,C383&lt;$B383,DATE($B$1,1,1)&lt;=TODAY(),OR($O383="",$O383&gt;=DATE($B$1,1,1)),OR(COUNTIF($C383:C383,"&gt;0")&gt;0,DATE($B$1,1,1)=DATE(YEAR(TODAY()),MONTH(TODAY()),1))),1,0))</f>
        <v/>
      </c>
      <c r="Q383">
        <f>IF($A383="","",IF(AND($B383&gt;0,D383&lt;$B383,DATE($B$1,2,1)&lt;=TODAY(),OR($O383="",$O383&gt;=DATE($B$1,2,1)),OR(COUNTIF($C383:D383,"&gt;0")&gt;0,DATE($B$1,2,1)=DATE(YEAR(TODAY()),MONTH(TODAY()),1))),1,0))</f>
        <v/>
      </c>
      <c r="R383">
        <f>IF($A383="","",IF(AND($B383&gt;0,E383&lt;$B383,DATE($B$1,3,1)&lt;=TODAY(),OR($O383="",$O383&gt;=DATE($B$1,3,1)),OR(COUNTIF($C383:E383,"&gt;0")&gt;0,DATE($B$1,3,1)=DATE(YEAR(TODAY()),MONTH(TODAY()),1))),1,0))</f>
        <v/>
      </c>
      <c r="S383">
        <f>IF($A383="","",IF(AND($B383&gt;0,F383&lt;$B383,DATE($B$1,4,1)&lt;=TODAY(),OR($O383="",$O383&gt;=DATE($B$1,4,1)),OR(COUNTIF($C383:F383,"&gt;0")&gt;0,DATE($B$1,4,1)=DATE(YEAR(TODAY()),MONTH(TODAY()),1))),1,0))</f>
        <v/>
      </c>
      <c r="T383">
        <f>IF($A383="","",IF(AND($B383&gt;0,G383&lt;$B383,DATE($B$1,5,1)&lt;=TODAY(),OR($O383="",$O383&gt;=DATE($B$1,5,1)),OR(COUNTIF($C383:G383,"&gt;0")&gt;0,DATE($B$1,5,1)=DATE(YEAR(TODAY()),MONTH(TODAY()),1))),1,0))</f>
        <v/>
      </c>
      <c r="U383">
        <f>IF($A383="","",IF(AND($B383&gt;0,H383&lt;$B383,DATE($B$1,6,1)&lt;=TODAY(),OR($O383="",$O383&gt;=DATE($B$1,6,1)),OR(COUNTIF($C383:H383,"&gt;0")&gt;0,DATE($B$1,6,1)=DATE(YEAR(TODAY()),MONTH(TODAY()),1))),1,0))</f>
        <v/>
      </c>
      <c r="V383">
        <f>IF($A383="","",IF(AND($B383&gt;0,I383&lt;$B383,DATE($B$1,7,1)&lt;=TODAY(),OR($O383="",$O383&gt;=DATE($B$1,7,1)),OR(COUNTIF($C383:I383,"&gt;0")&gt;0,DATE($B$1,7,1)=DATE(YEAR(TODAY()),MONTH(TODAY()),1))),1,0))</f>
        <v/>
      </c>
      <c r="W383">
        <f>IF($A383="","",IF(AND($B383&gt;0,J383&lt;$B383,DATE($B$1,8,1)&lt;=TODAY(),OR($O383="",$O383&gt;=DATE($B$1,8,1)),OR(COUNTIF($C383:J383,"&gt;0")&gt;0,DATE($B$1,8,1)=DATE(YEAR(TODAY()),MONTH(TODAY()),1))),1,0))</f>
        <v/>
      </c>
      <c r="X383">
        <f>IF($A383="","",IF(AND($B383&gt;0,K383&lt;$B383,DATE($B$1,9,1)&lt;=TODAY(),OR($O383="",$O383&gt;=DATE($B$1,9,1)),OR(COUNTIF($C383:K383,"&gt;0")&gt;0,DATE($B$1,9,1)=DATE(YEAR(TODAY()),MONTH(TODAY()),1))),1,0))</f>
        <v/>
      </c>
      <c r="Y383">
        <f>IF($A383="","",IF(AND($B383&gt;0,L383&lt;$B383,DATE($B$1,10,1)&lt;=TODAY(),OR($O383="",$O383&gt;=DATE($B$1,10,1)),OR(COUNTIF($C383:L383,"&gt;0")&gt;0,DATE($B$1,10,1)=DATE(YEAR(TODAY()),MONTH(TODAY()),1))),1,0))</f>
        <v/>
      </c>
      <c r="Z383">
        <f>IF($A383="","",IF(AND($B383&gt;0,M383&lt;$B383,DATE($B$1,11,1)&lt;=TODAY(),OR($O383="",$O383&gt;=DATE($B$1,11,1)),OR(COUNTIF($C383:M383,"&gt;0")&gt;0,DATE($B$1,11,1)=DATE(YEAR(TODAY()),MONTH(TODAY()),1))),1,0))</f>
        <v/>
      </c>
      <c r="AA383">
        <f>IF($A383="","",IF(AND($B383&gt;0,N383&lt;$B383,DATE($B$1,12,1)&lt;=TODAY(),OR($O383="",$O383&gt;=DATE($B$1,12,1)),OR(COUNTIF($C383:N383,"&gt;0")&gt;0,DATE($B$1,12,1)=DATE(YEAR(TODAY()),MONTH(TODAY()),1))),1,0))</f>
        <v/>
      </c>
    </row>
    <row r="384">
      <c r="A384" s="13">
        <f>IF(원생!$A382="","",원생!$A382&amp;IF(원생!$G382="",""," ("&amp;원생!$G382&amp;")"))</f>
        <v/>
      </c>
      <c r="B384" s="8">
        <f>IF(원생!$A382="","",원생!$F382)</f>
        <v/>
      </c>
      <c r="C384" s="14">
        <f>IF(원생!$A382="","",SUMIFS(수납!$F:$F,수납!$C:$C,원생!$A382,수납!$D:$D,IF(원생!$G382="","",원생!$G382),수납!$B:$B,$B$1&amp;"-"&amp;TEXT(1,"00")&amp;"*",수납!$E:$E,"수강료")+SUMIFS(수납!$F:$F,수납!$C:$C,원생!$A382,수납!$D:$D,IF(원생!$G382="","",원생!$G382),수납!$B:$B,$B$1&amp;"-"&amp;TEXT(1,"00")&amp;"*",수납!$E:$E,""))</f>
        <v/>
      </c>
      <c r="D384" s="14">
        <f>IF(원생!$A382="","",SUMIFS(수납!$F:$F,수납!$C:$C,원생!$A382,수납!$D:$D,IF(원생!$G382="","",원생!$G382),수납!$B:$B,$B$1&amp;"-"&amp;TEXT(2,"00")&amp;"*",수납!$E:$E,"수강료")+SUMIFS(수납!$F:$F,수납!$C:$C,원생!$A382,수납!$D:$D,IF(원생!$G382="","",원생!$G382),수납!$B:$B,$B$1&amp;"-"&amp;TEXT(2,"00")&amp;"*",수납!$E:$E,""))</f>
        <v/>
      </c>
      <c r="E384" s="14">
        <f>IF(원생!$A382="","",SUMIFS(수납!$F:$F,수납!$C:$C,원생!$A382,수납!$D:$D,IF(원생!$G382="","",원생!$G382),수납!$B:$B,$B$1&amp;"-"&amp;TEXT(3,"00")&amp;"*",수납!$E:$E,"수강료")+SUMIFS(수납!$F:$F,수납!$C:$C,원생!$A382,수납!$D:$D,IF(원생!$G382="","",원생!$G382),수납!$B:$B,$B$1&amp;"-"&amp;TEXT(3,"00")&amp;"*",수납!$E:$E,""))</f>
        <v/>
      </c>
      <c r="F384" s="14">
        <f>IF(원생!$A382="","",SUMIFS(수납!$F:$F,수납!$C:$C,원생!$A382,수납!$D:$D,IF(원생!$G382="","",원생!$G382),수납!$B:$B,$B$1&amp;"-"&amp;TEXT(4,"00")&amp;"*",수납!$E:$E,"수강료")+SUMIFS(수납!$F:$F,수납!$C:$C,원생!$A382,수납!$D:$D,IF(원생!$G382="","",원생!$G382),수납!$B:$B,$B$1&amp;"-"&amp;TEXT(4,"00")&amp;"*",수납!$E:$E,""))</f>
        <v/>
      </c>
      <c r="G384" s="14">
        <f>IF(원생!$A382="","",SUMIFS(수납!$F:$F,수납!$C:$C,원생!$A382,수납!$D:$D,IF(원생!$G382="","",원생!$G382),수납!$B:$B,$B$1&amp;"-"&amp;TEXT(5,"00")&amp;"*",수납!$E:$E,"수강료")+SUMIFS(수납!$F:$F,수납!$C:$C,원생!$A382,수납!$D:$D,IF(원생!$G382="","",원생!$G382),수납!$B:$B,$B$1&amp;"-"&amp;TEXT(5,"00")&amp;"*",수납!$E:$E,""))</f>
        <v/>
      </c>
      <c r="H384" s="14">
        <f>IF(원생!$A382="","",SUMIFS(수납!$F:$F,수납!$C:$C,원생!$A382,수납!$D:$D,IF(원생!$G382="","",원생!$G382),수납!$B:$B,$B$1&amp;"-"&amp;TEXT(6,"00")&amp;"*",수납!$E:$E,"수강료")+SUMIFS(수납!$F:$F,수납!$C:$C,원생!$A382,수납!$D:$D,IF(원생!$G382="","",원생!$G382),수납!$B:$B,$B$1&amp;"-"&amp;TEXT(6,"00")&amp;"*",수납!$E:$E,""))</f>
        <v/>
      </c>
      <c r="I384" s="14">
        <f>IF(원생!$A382="","",SUMIFS(수납!$F:$F,수납!$C:$C,원생!$A382,수납!$D:$D,IF(원생!$G382="","",원생!$G382),수납!$B:$B,$B$1&amp;"-"&amp;TEXT(7,"00")&amp;"*",수납!$E:$E,"수강료")+SUMIFS(수납!$F:$F,수납!$C:$C,원생!$A382,수납!$D:$D,IF(원생!$G382="","",원생!$G382),수납!$B:$B,$B$1&amp;"-"&amp;TEXT(7,"00")&amp;"*",수납!$E:$E,""))</f>
        <v/>
      </c>
      <c r="J384" s="14">
        <f>IF(원생!$A382="","",SUMIFS(수납!$F:$F,수납!$C:$C,원생!$A382,수납!$D:$D,IF(원생!$G382="","",원생!$G382),수납!$B:$B,$B$1&amp;"-"&amp;TEXT(8,"00")&amp;"*",수납!$E:$E,"수강료")+SUMIFS(수납!$F:$F,수납!$C:$C,원생!$A382,수납!$D:$D,IF(원생!$G382="","",원생!$G382),수납!$B:$B,$B$1&amp;"-"&amp;TEXT(8,"00")&amp;"*",수납!$E:$E,""))</f>
        <v/>
      </c>
      <c r="K384" s="14">
        <f>IF(원생!$A382="","",SUMIFS(수납!$F:$F,수납!$C:$C,원생!$A382,수납!$D:$D,IF(원생!$G382="","",원생!$G382),수납!$B:$B,$B$1&amp;"-"&amp;TEXT(9,"00")&amp;"*",수납!$E:$E,"수강료")+SUMIFS(수납!$F:$F,수납!$C:$C,원생!$A382,수납!$D:$D,IF(원생!$G382="","",원생!$G382),수납!$B:$B,$B$1&amp;"-"&amp;TEXT(9,"00")&amp;"*",수납!$E:$E,""))</f>
        <v/>
      </c>
      <c r="L384" s="14">
        <f>IF(원생!$A382="","",SUMIFS(수납!$F:$F,수납!$C:$C,원생!$A382,수납!$D:$D,IF(원생!$G382="","",원생!$G382),수납!$B:$B,$B$1&amp;"-"&amp;TEXT(10,"00")&amp;"*",수납!$E:$E,"수강료")+SUMIFS(수납!$F:$F,수납!$C:$C,원생!$A382,수납!$D:$D,IF(원생!$G382="","",원생!$G382),수납!$B:$B,$B$1&amp;"-"&amp;TEXT(10,"00")&amp;"*",수납!$E:$E,""))</f>
        <v/>
      </c>
      <c r="M384" s="14">
        <f>IF(원생!$A382="","",SUMIFS(수납!$F:$F,수납!$C:$C,원생!$A382,수납!$D:$D,IF(원생!$G382="","",원생!$G382),수납!$B:$B,$B$1&amp;"-"&amp;TEXT(11,"00")&amp;"*",수납!$E:$E,"수강료")+SUMIFS(수납!$F:$F,수납!$C:$C,원생!$A382,수납!$D:$D,IF(원생!$G382="","",원생!$G382),수납!$B:$B,$B$1&amp;"-"&amp;TEXT(11,"00")&amp;"*",수납!$E:$E,""))</f>
        <v/>
      </c>
      <c r="N384" s="14">
        <f>IF(원생!$A382="","",SUMIFS(수납!$F:$F,수납!$C:$C,원생!$A382,수납!$D:$D,IF(원생!$G382="","",원생!$G382),수납!$B:$B,$B$1&amp;"-"&amp;TEXT(12,"00")&amp;"*",수납!$E:$E,"수강료")+SUMIFS(수납!$F:$F,수납!$C:$C,원생!$A382,수납!$D:$D,IF(원생!$G382="","",원생!$G382),수납!$B:$B,$B$1&amp;"-"&amp;TEXT(12,"00")&amp;"*",수납!$E:$E,""))</f>
        <v/>
      </c>
      <c r="O384">
        <f>IF(원생!$I382="","",원생!$I382)</f>
        <v/>
      </c>
      <c r="P384">
        <f>IF($A384="","",IF(AND($B384&gt;0,C384&lt;$B384,DATE($B$1,1,1)&lt;=TODAY(),OR($O384="",$O384&gt;=DATE($B$1,1,1)),OR(COUNTIF($C384:C384,"&gt;0")&gt;0,DATE($B$1,1,1)=DATE(YEAR(TODAY()),MONTH(TODAY()),1))),1,0))</f>
        <v/>
      </c>
      <c r="Q384">
        <f>IF($A384="","",IF(AND($B384&gt;0,D384&lt;$B384,DATE($B$1,2,1)&lt;=TODAY(),OR($O384="",$O384&gt;=DATE($B$1,2,1)),OR(COUNTIF($C384:D384,"&gt;0")&gt;0,DATE($B$1,2,1)=DATE(YEAR(TODAY()),MONTH(TODAY()),1))),1,0))</f>
        <v/>
      </c>
      <c r="R384">
        <f>IF($A384="","",IF(AND($B384&gt;0,E384&lt;$B384,DATE($B$1,3,1)&lt;=TODAY(),OR($O384="",$O384&gt;=DATE($B$1,3,1)),OR(COUNTIF($C384:E384,"&gt;0")&gt;0,DATE($B$1,3,1)=DATE(YEAR(TODAY()),MONTH(TODAY()),1))),1,0))</f>
        <v/>
      </c>
      <c r="S384">
        <f>IF($A384="","",IF(AND($B384&gt;0,F384&lt;$B384,DATE($B$1,4,1)&lt;=TODAY(),OR($O384="",$O384&gt;=DATE($B$1,4,1)),OR(COUNTIF($C384:F384,"&gt;0")&gt;0,DATE($B$1,4,1)=DATE(YEAR(TODAY()),MONTH(TODAY()),1))),1,0))</f>
        <v/>
      </c>
      <c r="T384">
        <f>IF($A384="","",IF(AND($B384&gt;0,G384&lt;$B384,DATE($B$1,5,1)&lt;=TODAY(),OR($O384="",$O384&gt;=DATE($B$1,5,1)),OR(COUNTIF($C384:G384,"&gt;0")&gt;0,DATE($B$1,5,1)=DATE(YEAR(TODAY()),MONTH(TODAY()),1))),1,0))</f>
        <v/>
      </c>
      <c r="U384">
        <f>IF($A384="","",IF(AND($B384&gt;0,H384&lt;$B384,DATE($B$1,6,1)&lt;=TODAY(),OR($O384="",$O384&gt;=DATE($B$1,6,1)),OR(COUNTIF($C384:H384,"&gt;0")&gt;0,DATE($B$1,6,1)=DATE(YEAR(TODAY()),MONTH(TODAY()),1))),1,0))</f>
        <v/>
      </c>
      <c r="V384">
        <f>IF($A384="","",IF(AND($B384&gt;0,I384&lt;$B384,DATE($B$1,7,1)&lt;=TODAY(),OR($O384="",$O384&gt;=DATE($B$1,7,1)),OR(COUNTIF($C384:I384,"&gt;0")&gt;0,DATE($B$1,7,1)=DATE(YEAR(TODAY()),MONTH(TODAY()),1))),1,0))</f>
        <v/>
      </c>
      <c r="W384">
        <f>IF($A384="","",IF(AND($B384&gt;0,J384&lt;$B384,DATE($B$1,8,1)&lt;=TODAY(),OR($O384="",$O384&gt;=DATE($B$1,8,1)),OR(COUNTIF($C384:J384,"&gt;0")&gt;0,DATE($B$1,8,1)=DATE(YEAR(TODAY()),MONTH(TODAY()),1))),1,0))</f>
        <v/>
      </c>
      <c r="X384">
        <f>IF($A384="","",IF(AND($B384&gt;0,K384&lt;$B384,DATE($B$1,9,1)&lt;=TODAY(),OR($O384="",$O384&gt;=DATE($B$1,9,1)),OR(COUNTIF($C384:K384,"&gt;0")&gt;0,DATE($B$1,9,1)=DATE(YEAR(TODAY()),MONTH(TODAY()),1))),1,0))</f>
        <v/>
      </c>
      <c r="Y384">
        <f>IF($A384="","",IF(AND($B384&gt;0,L384&lt;$B384,DATE($B$1,10,1)&lt;=TODAY(),OR($O384="",$O384&gt;=DATE($B$1,10,1)),OR(COUNTIF($C384:L384,"&gt;0")&gt;0,DATE($B$1,10,1)=DATE(YEAR(TODAY()),MONTH(TODAY()),1))),1,0))</f>
        <v/>
      </c>
      <c r="Z384">
        <f>IF($A384="","",IF(AND($B384&gt;0,M384&lt;$B384,DATE($B$1,11,1)&lt;=TODAY(),OR($O384="",$O384&gt;=DATE($B$1,11,1)),OR(COUNTIF($C384:M384,"&gt;0")&gt;0,DATE($B$1,11,1)=DATE(YEAR(TODAY()),MONTH(TODAY()),1))),1,0))</f>
        <v/>
      </c>
      <c r="AA384">
        <f>IF($A384="","",IF(AND($B384&gt;0,N384&lt;$B384,DATE($B$1,12,1)&lt;=TODAY(),OR($O384="",$O384&gt;=DATE($B$1,12,1)),OR(COUNTIF($C384:N384,"&gt;0")&gt;0,DATE($B$1,12,1)=DATE(YEAR(TODAY()),MONTH(TODAY()),1))),1,0))</f>
        <v/>
      </c>
    </row>
    <row r="385">
      <c r="A385" s="13">
        <f>IF(원생!$A383="","",원생!$A383&amp;IF(원생!$G383="",""," ("&amp;원생!$G383&amp;")"))</f>
        <v/>
      </c>
      <c r="B385" s="8">
        <f>IF(원생!$A383="","",원생!$F383)</f>
        <v/>
      </c>
      <c r="C385" s="14">
        <f>IF(원생!$A383="","",SUMIFS(수납!$F:$F,수납!$C:$C,원생!$A383,수납!$D:$D,IF(원생!$G383="","",원생!$G383),수납!$B:$B,$B$1&amp;"-"&amp;TEXT(1,"00")&amp;"*",수납!$E:$E,"수강료")+SUMIFS(수납!$F:$F,수납!$C:$C,원생!$A383,수납!$D:$D,IF(원생!$G383="","",원생!$G383),수납!$B:$B,$B$1&amp;"-"&amp;TEXT(1,"00")&amp;"*",수납!$E:$E,""))</f>
        <v/>
      </c>
      <c r="D385" s="14">
        <f>IF(원생!$A383="","",SUMIFS(수납!$F:$F,수납!$C:$C,원생!$A383,수납!$D:$D,IF(원생!$G383="","",원생!$G383),수납!$B:$B,$B$1&amp;"-"&amp;TEXT(2,"00")&amp;"*",수납!$E:$E,"수강료")+SUMIFS(수납!$F:$F,수납!$C:$C,원생!$A383,수납!$D:$D,IF(원생!$G383="","",원생!$G383),수납!$B:$B,$B$1&amp;"-"&amp;TEXT(2,"00")&amp;"*",수납!$E:$E,""))</f>
        <v/>
      </c>
      <c r="E385" s="14">
        <f>IF(원생!$A383="","",SUMIFS(수납!$F:$F,수납!$C:$C,원생!$A383,수납!$D:$D,IF(원생!$G383="","",원생!$G383),수납!$B:$B,$B$1&amp;"-"&amp;TEXT(3,"00")&amp;"*",수납!$E:$E,"수강료")+SUMIFS(수납!$F:$F,수납!$C:$C,원생!$A383,수납!$D:$D,IF(원생!$G383="","",원생!$G383),수납!$B:$B,$B$1&amp;"-"&amp;TEXT(3,"00")&amp;"*",수납!$E:$E,""))</f>
        <v/>
      </c>
      <c r="F385" s="14">
        <f>IF(원생!$A383="","",SUMIFS(수납!$F:$F,수납!$C:$C,원생!$A383,수납!$D:$D,IF(원생!$G383="","",원생!$G383),수납!$B:$B,$B$1&amp;"-"&amp;TEXT(4,"00")&amp;"*",수납!$E:$E,"수강료")+SUMIFS(수납!$F:$F,수납!$C:$C,원생!$A383,수납!$D:$D,IF(원생!$G383="","",원생!$G383),수납!$B:$B,$B$1&amp;"-"&amp;TEXT(4,"00")&amp;"*",수납!$E:$E,""))</f>
        <v/>
      </c>
      <c r="G385" s="14">
        <f>IF(원생!$A383="","",SUMIFS(수납!$F:$F,수납!$C:$C,원생!$A383,수납!$D:$D,IF(원생!$G383="","",원생!$G383),수납!$B:$B,$B$1&amp;"-"&amp;TEXT(5,"00")&amp;"*",수납!$E:$E,"수강료")+SUMIFS(수납!$F:$F,수납!$C:$C,원생!$A383,수납!$D:$D,IF(원생!$G383="","",원생!$G383),수납!$B:$B,$B$1&amp;"-"&amp;TEXT(5,"00")&amp;"*",수납!$E:$E,""))</f>
        <v/>
      </c>
      <c r="H385" s="14">
        <f>IF(원생!$A383="","",SUMIFS(수납!$F:$F,수납!$C:$C,원생!$A383,수납!$D:$D,IF(원생!$G383="","",원생!$G383),수납!$B:$B,$B$1&amp;"-"&amp;TEXT(6,"00")&amp;"*",수납!$E:$E,"수강료")+SUMIFS(수납!$F:$F,수납!$C:$C,원생!$A383,수납!$D:$D,IF(원생!$G383="","",원생!$G383),수납!$B:$B,$B$1&amp;"-"&amp;TEXT(6,"00")&amp;"*",수납!$E:$E,""))</f>
        <v/>
      </c>
      <c r="I385" s="14">
        <f>IF(원생!$A383="","",SUMIFS(수납!$F:$F,수납!$C:$C,원생!$A383,수납!$D:$D,IF(원생!$G383="","",원생!$G383),수납!$B:$B,$B$1&amp;"-"&amp;TEXT(7,"00")&amp;"*",수납!$E:$E,"수강료")+SUMIFS(수납!$F:$F,수납!$C:$C,원생!$A383,수납!$D:$D,IF(원생!$G383="","",원생!$G383),수납!$B:$B,$B$1&amp;"-"&amp;TEXT(7,"00")&amp;"*",수납!$E:$E,""))</f>
        <v/>
      </c>
      <c r="J385" s="14">
        <f>IF(원생!$A383="","",SUMIFS(수납!$F:$F,수납!$C:$C,원생!$A383,수납!$D:$D,IF(원생!$G383="","",원생!$G383),수납!$B:$B,$B$1&amp;"-"&amp;TEXT(8,"00")&amp;"*",수납!$E:$E,"수강료")+SUMIFS(수납!$F:$F,수납!$C:$C,원생!$A383,수납!$D:$D,IF(원생!$G383="","",원생!$G383),수납!$B:$B,$B$1&amp;"-"&amp;TEXT(8,"00")&amp;"*",수납!$E:$E,""))</f>
        <v/>
      </c>
      <c r="K385" s="14">
        <f>IF(원생!$A383="","",SUMIFS(수납!$F:$F,수납!$C:$C,원생!$A383,수납!$D:$D,IF(원생!$G383="","",원생!$G383),수납!$B:$B,$B$1&amp;"-"&amp;TEXT(9,"00")&amp;"*",수납!$E:$E,"수강료")+SUMIFS(수납!$F:$F,수납!$C:$C,원생!$A383,수납!$D:$D,IF(원생!$G383="","",원생!$G383),수납!$B:$B,$B$1&amp;"-"&amp;TEXT(9,"00")&amp;"*",수납!$E:$E,""))</f>
        <v/>
      </c>
      <c r="L385" s="14">
        <f>IF(원생!$A383="","",SUMIFS(수납!$F:$F,수납!$C:$C,원생!$A383,수납!$D:$D,IF(원생!$G383="","",원생!$G383),수납!$B:$B,$B$1&amp;"-"&amp;TEXT(10,"00")&amp;"*",수납!$E:$E,"수강료")+SUMIFS(수납!$F:$F,수납!$C:$C,원생!$A383,수납!$D:$D,IF(원생!$G383="","",원생!$G383),수납!$B:$B,$B$1&amp;"-"&amp;TEXT(10,"00")&amp;"*",수납!$E:$E,""))</f>
        <v/>
      </c>
      <c r="M385" s="14">
        <f>IF(원생!$A383="","",SUMIFS(수납!$F:$F,수납!$C:$C,원생!$A383,수납!$D:$D,IF(원생!$G383="","",원생!$G383),수납!$B:$B,$B$1&amp;"-"&amp;TEXT(11,"00")&amp;"*",수납!$E:$E,"수강료")+SUMIFS(수납!$F:$F,수납!$C:$C,원생!$A383,수납!$D:$D,IF(원생!$G383="","",원생!$G383),수납!$B:$B,$B$1&amp;"-"&amp;TEXT(11,"00")&amp;"*",수납!$E:$E,""))</f>
        <v/>
      </c>
      <c r="N385" s="14">
        <f>IF(원생!$A383="","",SUMIFS(수납!$F:$F,수납!$C:$C,원생!$A383,수납!$D:$D,IF(원생!$G383="","",원생!$G383),수납!$B:$B,$B$1&amp;"-"&amp;TEXT(12,"00")&amp;"*",수납!$E:$E,"수강료")+SUMIFS(수납!$F:$F,수납!$C:$C,원생!$A383,수납!$D:$D,IF(원생!$G383="","",원생!$G383),수납!$B:$B,$B$1&amp;"-"&amp;TEXT(12,"00")&amp;"*",수납!$E:$E,""))</f>
        <v/>
      </c>
      <c r="O385">
        <f>IF(원생!$I383="","",원생!$I383)</f>
        <v/>
      </c>
      <c r="P385">
        <f>IF($A385="","",IF(AND($B385&gt;0,C385&lt;$B385,DATE($B$1,1,1)&lt;=TODAY(),OR($O385="",$O385&gt;=DATE($B$1,1,1)),OR(COUNTIF($C385:C385,"&gt;0")&gt;0,DATE($B$1,1,1)=DATE(YEAR(TODAY()),MONTH(TODAY()),1))),1,0))</f>
        <v/>
      </c>
      <c r="Q385">
        <f>IF($A385="","",IF(AND($B385&gt;0,D385&lt;$B385,DATE($B$1,2,1)&lt;=TODAY(),OR($O385="",$O385&gt;=DATE($B$1,2,1)),OR(COUNTIF($C385:D385,"&gt;0")&gt;0,DATE($B$1,2,1)=DATE(YEAR(TODAY()),MONTH(TODAY()),1))),1,0))</f>
        <v/>
      </c>
      <c r="R385">
        <f>IF($A385="","",IF(AND($B385&gt;0,E385&lt;$B385,DATE($B$1,3,1)&lt;=TODAY(),OR($O385="",$O385&gt;=DATE($B$1,3,1)),OR(COUNTIF($C385:E385,"&gt;0")&gt;0,DATE($B$1,3,1)=DATE(YEAR(TODAY()),MONTH(TODAY()),1))),1,0))</f>
        <v/>
      </c>
      <c r="S385">
        <f>IF($A385="","",IF(AND($B385&gt;0,F385&lt;$B385,DATE($B$1,4,1)&lt;=TODAY(),OR($O385="",$O385&gt;=DATE($B$1,4,1)),OR(COUNTIF($C385:F385,"&gt;0")&gt;0,DATE($B$1,4,1)=DATE(YEAR(TODAY()),MONTH(TODAY()),1))),1,0))</f>
        <v/>
      </c>
      <c r="T385">
        <f>IF($A385="","",IF(AND($B385&gt;0,G385&lt;$B385,DATE($B$1,5,1)&lt;=TODAY(),OR($O385="",$O385&gt;=DATE($B$1,5,1)),OR(COUNTIF($C385:G385,"&gt;0")&gt;0,DATE($B$1,5,1)=DATE(YEAR(TODAY()),MONTH(TODAY()),1))),1,0))</f>
        <v/>
      </c>
      <c r="U385">
        <f>IF($A385="","",IF(AND($B385&gt;0,H385&lt;$B385,DATE($B$1,6,1)&lt;=TODAY(),OR($O385="",$O385&gt;=DATE($B$1,6,1)),OR(COUNTIF($C385:H385,"&gt;0")&gt;0,DATE($B$1,6,1)=DATE(YEAR(TODAY()),MONTH(TODAY()),1))),1,0))</f>
        <v/>
      </c>
      <c r="V385">
        <f>IF($A385="","",IF(AND($B385&gt;0,I385&lt;$B385,DATE($B$1,7,1)&lt;=TODAY(),OR($O385="",$O385&gt;=DATE($B$1,7,1)),OR(COUNTIF($C385:I385,"&gt;0")&gt;0,DATE($B$1,7,1)=DATE(YEAR(TODAY()),MONTH(TODAY()),1))),1,0))</f>
        <v/>
      </c>
      <c r="W385">
        <f>IF($A385="","",IF(AND($B385&gt;0,J385&lt;$B385,DATE($B$1,8,1)&lt;=TODAY(),OR($O385="",$O385&gt;=DATE($B$1,8,1)),OR(COUNTIF($C385:J385,"&gt;0")&gt;0,DATE($B$1,8,1)=DATE(YEAR(TODAY()),MONTH(TODAY()),1))),1,0))</f>
        <v/>
      </c>
      <c r="X385">
        <f>IF($A385="","",IF(AND($B385&gt;0,K385&lt;$B385,DATE($B$1,9,1)&lt;=TODAY(),OR($O385="",$O385&gt;=DATE($B$1,9,1)),OR(COUNTIF($C385:K385,"&gt;0")&gt;0,DATE($B$1,9,1)=DATE(YEAR(TODAY()),MONTH(TODAY()),1))),1,0))</f>
        <v/>
      </c>
      <c r="Y385">
        <f>IF($A385="","",IF(AND($B385&gt;0,L385&lt;$B385,DATE($B$1,10,1)&lt;=TODAY(),OR($O385="",$O385&gt;=DATE($B$1,10,1)),OR(COUNTIF($C385:L385,"&gt;0")&gt;0,DATE($B$1,10,1)=DATE(YEAR(TODAY()),MONTH(TODAY()),1))),1,0))</f>
        <v/>
      </c>
      <c r="Z385">
        <f>IF($A385="","",IF(AND($B385&gt;0,M385&lt;$B385,DATE($B$1,11,1)&lt;=TODAY(),OR($O385="",$O385&gt;=DATE($B$1,11,1)),OR(COUNTIF($C385:M385,"&gt;0")&gt;0,DATE($B$1,11,1)=DATE(YEAR(TODAY()),MONTH(TODAY()),1))),1,0))</f>
        <v/>
      </c>
      <c r="AA385">
        <f>IF($A385="","",IF(AND($B385&gt;0,N385&lt;$B385,DATE($B$1,12,1)&lt;=TODAY(),OR($O385="",$O385&gt;=DATE($B$1,12,1)),OR(COUNTIF($C385:N385,"&gt;0")&gt;0,DATE($B$1,12,1)=DATE(YEAR(TODAY()),MONTH(TODAY()),1))),1,0))</f>
        <v/>
      </c>
    </row>
    <row r="386">
      <c r="A386" s="13">
        <f>IF(원생!$A384="","",원생!$A384&amp;IF(원생!$G384="",""," ("&amp;원생!$G384&amp;")"))</f>
        <v/>
      </c>
      <c r="B386" s="8">
        <f>IF(원생!$A384="","",원생!$F384)</f>
        <v/>
      </c>
      <c r="C386" s="14">
        <f>IF(원생!$A384="","",SUMIFS(수납!$F:$F,수납!$C:$C,원생!$A384,수납!$D:$D,IF(원생!$G384="","",원생!$G384),수납!$B:$B,$B$1&amp;"-"&amp;TEXT(1,"00")&amp;"*",수납!$E:$E,"수강료")+SUMIFS(수납!$F:$F,수납!$C:$C,원생!$A384,수납!$D:$D,IF(원생!$G384="","",원생!$G384),수납!$B:$B,$B$1&amp;"-"&amp;TEXT(1,"00")&amp;"*",수납!$E:$E,""))</f>
        <v/>
      </c>
      <c r="D386" s="14">
        <f>IF(원생!$A384="","",SUMIFS(수납!$F:$F,수납!$C:$C,원생!$A384,수납!$D:$D,IF(원생!$G384="","",원생!$G384),수납!$B:$B,$B$1&amp;"-"&amp;TEXT(2,"00")&amp;"*",수납!$E:$E,"수강료")+SUMIFS(수납!$F:$F,수납!$C:$C,원생!$A384,수납!$D:$D,IF(원생!$G384="","",원생!$G384),수납!$B:$B,$B$1&amp;"-"&amp;TEXT(2,"00")&amp;"*",수납!$E:$E,""))</f>
        <v/>
      </c>
      <c r="E386" s="14">
        <f>IF(원생!$A384="","",SUMIFS(수납!$F:$F,수납!$C:$C,원생!$A384,수납!$D:$D,IF(원생!$G384="","",원생!$G384),수납!$B:$B,$B$1&amp;"-"&amp;TEXT(3,"00")&amp;"*",수납!$E:$E,"수강료")+SUMIFS(수납!$F:$F,수납!$C:$C,원생!$A384,수납!$D:$D,IF(원생!$G384="","",원생!$G384),수납!$B:$B,$B$1&amp;"-"&amp;TEXT(3,"00")&amp;"*",수납!$E:$E,""))</f>
        <v/>
      </c>
      <c r="F386" s="14">
        <f>IF(원생!$A384="","",SUMIFS(수납!$F:$F,수납!$C:$C,원생!$A384,수납!$D:$D,IF(원생!$G384="","",원생!$G384),수납!$B:$B,$B$1&amp;"-"&amp;TEXT(4,"00")&amp;"*",수납!$E:$E,"수강료")+SUMIFS(수납!$F:$F,수납!$C:$C,원생!$A384,수납!$D:$D,IF(원생!$G384="","",원생!$G384),수납!$B:$B,$B$1&amp;"-"&amp;TEXT(4,"00")&amp;"*",수납!$E:$E,""))</f>
        <v/>
      </c>
      <c r="G386" s="14">
        <f>IF(원생!$A384="","",SUMIFS(수납!$F:$F,수납!$C:$C,원생!$A384,수납!$D:$D,IF(원생!$G384="","",원생!$G384),수납!$B:$B,$B$1&amp;"-"&amp;TEXT(5,"00")&amp;"*",수납!$E:$E,"수강료")+SUMIFS(수납!$F:$F,수납!$C:$C,원생!$A384,수납!$D:$D,IF(원생!$G384="","",원생!$G384),수납!$B:$B,$B$1&amp;"-"&amp;TEXT(5,"00")&amp;"*",수납!$E:$E,""))</f>
        <v/>
      </c>
      <c r="H386" s="14">
        <f>IF(원생!$A384="","",SUMIFS(수납!$F:$F,수납!$C:$C,원생!$A384,수납!$D:$D,IF(원생!$G384="","",원생!$G384),수납!$B:$B,$B$1&amp;"-"&amp;TEXT(6,"00")&amp;"*",수납!$E:$E,"수강료")+SUMIFS(수납!$F:$F,수납!$C:$C,원생!$A384,수납!$D:$D,IF(원생!$G384="","",원생!$G384),수납!$B:$B,$B$1&amp;"-"&amp;TEXT(6,"00")&amp;"*",수납!$E:$E,""))</f>
        <v/>
      </c>
      <c r="I386" s="14">
        <f>IF(원생!$A384="","",SUMIFS(수납!$F:$F,수납!$C:$C,원생!$A384,수납!$D:$D,IF(원생!$G384="","",원생!$G384),수납!$B:$B,$B$1&amp;"-"&amp;TEXT(7,"00")&amp;"*",수납!$E:$E,"수강료")+SUMIFS(수납!$F:$F,수납!$C:$C,원생!$A384,수납!$D:$D,IF(원생!$G384="","",원생!$G384),수납!$B:$B,$B$1&amp;"-"&amp;TEXT(7,"00")&amp;"*",수납!$E:$E,""))</f>
        <v/>
      </c>
      <c r="J386" s="14">
        <f>IF(원생!$A384="","",SUMIFS(수납!$F:$F,수납!$C:$C,원생!$A384,수납!$D:$D,IF(원생!$G384="","",원생!$G384),수납!$B:$B,$B$1&amp;"-"&amp;TEXT(8,"00")&amp;"*",수납!$E:$E,"수강료")+SUMIFS(수납!$F:$F,수납!$C:$C,원생!$A384,수납!$D:$D,IF(원생!$G384="","",원생!$G384),수납!$B:$B,$B$1&amp;"-"&amp;TEXT(8,"00")&amp;"*",수납!$E:$E,""))</f>
        <v/>
      </c>
      <c r="K386" s="14">
        <f>IF(원생!$A384="","",SUMIFS(수납!$F:$F,수납!$C:$C,원생!$A384,수납!$D:$D,IF(원생!$G384="","",원생!$G384),수납!$B:$B,$B$1&amp;"-"&amp;TEXT(9,"00")&amp;"*",수납!$E:$E,"수강료")+SUMIFS(수납!$F:$F,수납!$C:$C,원생!$A384,수납!$D:$D,IF(원생!$G384="","",원생!$G384),수납!$B:$B,$B$1&amp;"-"&amp;TEXT(9,"00")&amp;"*",수납!$E:$E,""))</f>
        <v/>
      </c>
      <c r="L386" s="14">
        <f>IF(원생!$A384="","",SUMIFS(수납!$F:$F,수납!$C:$C,원생!$A384,수납!$D:$D,IF(원생!$G384="","",원생!$G384),수납!$B:$B,$B$1&amp;"-"&amp;TEXT(10,"00")&amp;"*",수납!$E:$E,"수강료")+SUMIFS(수납!$F:$F,수납!$C:$C,원생!$A384,수납!$D:$D,IF(원생!$G384="","",원생!$G384),수납!$B:$B,$B$1&amp;"-"&amp;TEXT(10,"00")&amp;"*",수납!$E:$E,""))</f>
        <v/>
      </c>
      <c r="M386" s="14">
        <f>IF(원생!$A384="","",SUMIFS(수납!$F:$F,수납!$C:$C,원생!$A384,수납!$D:$D,IF(원생!$G384="","",원생!$G384),수납!$B:$B,$B$1&amp;"-"&amp;TEXT(11,"00")&amp;"*",수납!$E:$E,"수강료")+SUMIFS(수납!$F:$F,수납!$C:$C,원생!$A384,수납!$D:$D,IF(원생!$G384="","",원생!$G384),수납!$B:$B,$B$1&amp;"-"&amp;TEXT(11,"00")&amp;"*",수납!$E:$E,""))</f>
        <v/>
      </c>
      <c r="N386" s="14">
        <f>IF(원생!$A384="","",SUMIFS(수납!$F:$F,수납!$C:$C,원생!$A384,수납!$D:$D,IF(원생!$G384="","",원생!$G384),수납!$B:$B,$B$1&amp;"-"&amp;TEXT(12,"00")&amp;"*",수납!$E:$E,"수강료")+SUMIFS(수납!$F:$F,수납!$C:$C,원생!$A384,수납!$D:$D,IF(원생!$G384="","",원생!$G384),수납!$B:$B,$B$1&amp;"-"&amp;TEXT(12,"00")&amp;"*",수납!$E:$E,""))</f>
        <v/>
      </c>
      <c r="O386">
        <f>IF(원생!$I384="","",원생!$I384)</f>
        <v/>
      </c>
      <c r="P386">
        <f>IF($A386="","",IF(AND($B386&gt;0,C386&lt;$B386,DATE($B$1,1,1)&lt;=TODAY(),OR($O386="",$O386&gt;=DATE($B$1,1,1)),OR(COUNTIF($C386:C386,"&gt;0")&gt;0,DATE($B$1,1,1)=DATE(YEAR(TODAY()),MONTH(TODAY()),1))),1,0))</f>
        <v/>
      </c>
      <c r="Q386">
        <f>IF($A386="","",IF(AND($B386&gt;0,D386&lt;$B386,DATE($B$1,2,1)&lt;=TODAY(),OR($O386="",$O386&gt;=DATE($B$1,2,1)),OR(COUNTIF($C386:D386,"&gt;0")&gt;0,DATE($B$1,2,1)=DATE(YEAR(TODAY()),MONTH(TODAY()),1))),1,0))</f>
        <v/>
      </c>
      <c r="R386">
        <f>IF($A386="","",IF(AND($B386&gt;0,E386&lt;$B386,DATE($B$1,3,1)&lt;=TODAY(),OR($O386="",$O386&gt;=DATE($B$1,3,1)),OR(COUNTIF($C386:E386,"&gt;0")&gt;0,DATE($B$1,3,1)=DATE(YEAR(TODAY()),MONTH(TODAY()),1))),1,0))</f>
        <v/>
      </c>
      <c r="S386">
        <f>IF($A386="","",IF(AND($B386&gt;0,F386&lt;$B386,DATE($B$1,4,1)&lt;=TODAY(),OR($O386="",$O386&gt;=DATE($B$1,4,1)),OR(COUNTIF($C386:F386,"&gt;0")&gt;0,DATE($B$1,4,1)=DATE(YEAR(TODAY()),MONTH(TODAY()),1))),1,0))</f>
        <v/>
      </c>
      <c r="T386">
        <f>IF($A386="","",IF(AND($B386&gt;0,G386&lt;$B386,DATE($B$1,5,1)&lt;=TODAY(),OR($O386="",$O386&gt;=DATE($B$1,5,1)),OR(COUNTIF($C386:G386,"&gt;0")&gt;0,DATE($B$1,5,1)=DATE(YEAR(TODAY()),MONTH(TODAY()),1))),1,0))</f>
        <v/>
      </c>
      <c r="U386">
        <f>IF($A386="","",IF(AND($B386&gt;0,H386&lt;$B386,DATE($B$1,6,1)&lt;=TODAY(),OR($O386="",$O386&gt;=DATE($B$1,6,1)),OR(COUNTIF($C386:H386,"&gt;0")&gt;0,DATE($B$1,6,1)=DATE(YEAR(TODAY()),MONTH(TODAY()),1))),1,0))</f>
        <v/>
      </c>
      <c r="V386">
        <f>IF($A386="","",IF(AND($B386&gt;0,I386&lt;$B386,DATE($B$1,7,1)&lt;=TODAY(),OR($O386="",$O386&gt;=DATE($B$1,7,1)),OR(COUNTIF($C386:I386,"&gt;0")&gt;0,DATE($B$1,7,1)=DATE(YEAR(TODAY()),MONTH(TODAY()),1))),1,0))</f>
        <v/>
      </c>
      <c r="W386">
        <f>IF($A386="","",IF(AND($B386&gt;0,J386&lt;$B386,DATE($B$1,8,1)&lt;=TODAY(),OR($O386="",$O386&gt;=DATE($B$1,8,1)),OR(COUNTIF($C386:J386,"&gt;0")&gt;0,DATE($B$1,8,1)=DATE(YEAR(TODAY()),MONTH(TODAY()),1))),1,0))</f>
        <v/>
      </c>
      <c r="X386">
        <f>IF($A386="","",IF(AND($B386&gt;0,K386&lt;$B386,DATE($B$1,9,1)&lt;=TODAY(),OR($O386="",$O386&gt;=DATE($B$1,9,1)),OR(COUNTIF($C386:K386,"&gt;0")&gt;0,DATE($B$1,9,1)=DATE(YEAR(TODAY()),MONTH(TODAY()),1))),1,0))</f>
        <v/>
      </c>
      <c r="Y386">
        <f>IF($A386="","",IF(AND($B386&gt;0,L386&lt;$B386,DATE($B$1,10,1)&lt;=TODAY(),OR($O386="",$O386&gt;=DATE($B$1,10,1)),OR(COUNTIF($C386:L386,"&gt;0")&gt;0,DATE($B$1,10,1)=DATE(YEAR(TODAY()),MONTH(TODAY()),1))),1,0))</f>
        <v/>
      </c>
      <c r="Z386">
        <f>IF($A386="","",IF(AND($B386&gt;0,M386&lt;$B386,DATE($B$1,11,1)&lt;=TODAY(),OR($O386="",$O386&gt;=DATE($B$1,11,1)),OR(COUNTIF($C386:M386,"&gt;0")&gt;0,DATE($B$1,11,1)=DATE(YEAR(TODAY()),MONTH(TODAY()),1))),1,0))</f>
        <v/>
      </c>
      <c r="AA386">
        <f>IF($A386="","",IF(AND($B386&gt;0,N386&lt;$B386,DATE($B$1,12,1)&lt;=TODAY(),OR($O386="",$O386&gt;=DATE($B$1,12,1)),OR(COUNTIF($C386:N386,"&gt;0")&gt;0,DATE($B$1,12,1)=DATE(YEAR(TODAY()),MONTH(TODAY()),1))),1,0))</f>
        <v/>
      </c>
    </row>
    <row r="387">
      <c r="A387" s="13">
        <f>IF(원생!$A385="","",원생!$A385&amp;IF(원생!$G385="",""," ("&amp;원생!$G385&amp;")"))</f>
        <v/>
      </c>
      <c r="B387" s="8">
        <f>IF(원생!$A385="","",원생!$F385)</f>
        <v/>
      </c>
      <c r="C387" s="14">
        <f>IF(원생!$A385="","",SUMIFS(수납!$F:$F,수납!$C:$C,원생!$A385,수납!$D:$D,IF(원생!$G385="","",원생!$G385),수납!$B:$B,$B$1&amp;"-"&amp;TEXT(1,"00")&amp;"*",수납!$E:$E,"수강료")+SUMIFS(수납!$F:$F,수납!$C:$C,원생!$A385,수납!$D:$D,IF(원생!$G385="","",원생!$G385),수납!$B:$B,$B$1&amp;"-"&amp;TEXT(1,"00")&amp;"*",수납!$E:$E,""))</f>
        <v/>
      </c>
      <c r="D387" s="14">
        <f>IF(원생!$A385="","",SUMIFS(수납!$F:$F,수납!$C:$C,원생!$A385,수납!$D:$D,IF(원생!$G385="","",원생!$G385),수납!$B:$B,$B$1&amp;"-"&amp;TEXT(2,"00")&amp;"*",수납!$E:$E,"수강료")+SUMIFS(수납!$F:$F,수납!$C:$C,원생!$A385,수납!$D:$D,IF(원생!$G385="","",원생!$G385),수납!$B:$B,$B$1&amp;"-"&amp;TEXT(2,"00")&amp;"*",수납!$E:$E,""))</f>
        <v/>
      </c>
      <c r="E387" s="14">
        <f>IF(원생!$A385="","",SUMIFS(수납!$F:$F,수납!$C:$C,원생!$A385,수납!$D:$D,IF(원생!$G385="","",원생!$G385),수납!$B:$B,$B$1&amp;"-"&amp;TEXT(3,"00")&amp;"*",수납!$E:$E,"수강료")+SUMIFS(수납!$F:$F,수납!$C:$C,원생!$A385,수납!$D:$D,IF(원생!$G385="","",원생!$G385),수납!$B:$B,$B$1&amp;"-"&amp;TEXT(3,"00")&amp;"*",수납!$E:$E,""))</f>
        <v/>
      </c>
      <c r="F387" s="14">
        <f>IF(원생!$A385="","",SUMIFS(수납!$F:$F,수납!$C:$C,원생!$A385,수납!$D:$D,IF(원생!$G385="","",원생!$G385),수납!$B:$B,$B$1&amp;"-"&amp;TEXT(4,"00")&amp;"*",수납!$E:$E,"수강료")+SUMIFS(수납!$F:$F,수납!$C:$C,원생!$A385,수납!$D:$D,IF(원생!$G385="","",원생!$G385),수납!$B:$B,$B$1&amp;"-"&amp;TEXT(4,"00")&amp;"*",수납!$E:$E,""))</f>
        <v/>
      </c>
      <c r="G387" s="14">
        <f>IF(원생!$A385="","",SUMIFS(수납!$F:$F,수납!$C:$C,원생!$A385,수납!$D:$D,IF(원생!$G385="","",원생!$G385),수납!$B:$B,$B$1&amp;"-"&amp;TEXT(5,"00")&amp;"*",수납!$E:$E,"수강료")+SUMIFS(수납!$F:$F,수납!$C:$C,원생!$A385,수납!$D:$D,IF(원생!$G385="","",원생!$G385),수납!$B:$B,$B$1&amp;"-"&amp;TEXT(5,"00")&amp;"*",수납!$E:$E,""))</f>
        <v/>
      </c>
      <c r="H387" s="14">
        <f>IF(원생!$A385="","",SUMIFS(수납!$F:$F,수납!$C:$C,원생!$A385,수납!$D:$D,IF(원생!$G385="","",원생!$G385),수납!$B:$B,$B$1&amp;"-"&amp;TEXT(6,"00")&amp;"*",수납!$E:$E,"수강료")+SUMIFS(수납!$F:$F,수납!$C:$C,원생!$A385,수납!$D:$D,IF(원생!$G385="","",원생!$G385),수납!$B:$B,$B$1&amp;"-"&amp;TEXT(6,"00")&amp;"*",수납!$E:$E,""))</f>
        <v/>
      </c>
      <c r="I387" s="14">
        <f>IF(원생!$A385="","",SUMIFS(수납!$F:$F,수납!$C:$C,원생!$A385,수납!$D:$D,IF(원생!$G385="","",원생!$G385),수납!$B:$B,$B$1&amp;"-"&amp;TEXT(7,"00")&amp;"*",수납!$E:$E,"수강료")+SUMIFS(수납!$F:$F,수납!$C:$C,원생!$A385,수납!$D:$D,IF(원생!$G385="","",원생!$G385),수납!$B:$B,$B$1&amp;"-"&amp;TEXT(7,"00")&amp;"*",수납!$E:$E,""))</f>
        <v/>
      </c>
      <c r="J387" s="14">
        <f>IF(원생!$A385="","",SUMIFS(수납!$F:$F,수납!$C:$C,원생!$A385,수납!$D:$D,IF(원생!$G385="","",원생!$G385),수납!$B:$B,$B$1&amp;"-"&amp;TEXT(8,"00")&amp;"*",수납!$E:$E,"수강료")+SUMIFS(수납!$F:$F,수납!$C:$C,원생!$A385,수납!$D:$D,IF(원생!$G385="","",원생!$G385),수납!$B:$B,$B$1&amp;"-"&amp;TEXT(8,"00")&amp;"*",수납!$E:$E,""))</f>
        <v/>
      </c>
      <c r="K387" s="14">
        <f>IF(원생!$A385="","",SUMIFS(수납!$F:$F,수납!$C:$C,원생!$A385,수납!$D:$D,IF(원생!$G385="","",원생!$G385),수납!$B:$B,$B$1&amp;"-"&amp;TEXT(9,"00")&amp;"*",수납!$E:$E,"수강료")+SUMIFS(수납!$F:$F,수납!$C:$C,원생!$A385,수납!$D:$D,IF(원생!$G385="","",원생!$G385),수납!$B:$B,$B$1&amp;"-"&amp;TEXT(9,"00")&amp;"*",수납!$E:$E,""))</f>
        <v/>
      </c>
      <c r="L387" s="14">
        <f>IF(원생!$A385="","",SUMIFS(수납!$F:$F,수납!$C:$C,원생!$A385,수납!$D:$D,IF(원생!$G385="","",원생!$G385),수납!$B:$B,$B$1&amp;"-"&amp;TEXT(10,"00")&amp;"*",수납!$E:$E,"수강료")+SUMIFS(수납!$F:$F,수납!$C:$C,원생!$A385,수납!$D:$D,IF(원생!$G385="","",원생!$G385),수납!$B:$B,$B$1&amp;"-"&amp;TEXT(10,"00")&amp;"*",수납!$E:$E,""))</f>
        <v/>
      </c>
      <c r="M387" s="14">
        <f>IF(원생!$A385="","",SUMIFS(수납!$F:$F,수납!$C:$C,원생!$A385,수납!$D:$D,IF(원생!$G385="","",원생!$G385),수납!$B:$B,$B$1&amp;"-"&amp;TEXT(11,"00")&amp;"*",수납!$E:$E,"수강료")+SUMIFS(수납!$F:$F,수납!$C:$C,원생!$A385,수납!$D:$D,IF(원생!$G385="","",원생!$G385),수납!$B:$B,$B$1&amp;"-"&amp;TEXT(11,"00")&amp;"*",수납!$E:$E,""))</f>
        <v/>
      </c>
      <c r="N387" s="14">
        <f>IF(원생!$A385="","",SUMIFS(수납!$F:$F,수납!$C:$C,원생!$A385,수납!$D:$D,IF(원생!$G385="","",원생!$G385),수납!$B:$B,$B$1&amp;"-"&amp;TEXT(12,"00")&amp;"*",수납!$E:$E,"수강료")+SUMIFS(수납!$F:$F,수납!$C:$C,원생!$A385,수납!$D:$D,IF(원생!$G385="","",원생!$G385),수납!$B:$B,$B$1&amp;"-"&amp;TEXT(12,"00")&amp;"*",수납!$E:$E,""))</f>
        <v/>
      </c>
      <c r="O387">
        <f>IF(원생!$I385="","",원생!$I385)</f>
        <v/>
      </c>
      <c r="P387">
        <f>IF($A387="","",IF(AND($B387&gt;0,C387&lt;$B387,DATE($B$1,1,1)&lt;=TODAY(),OR($O387="",$O387&gt;=DATE($B$1,1,1)),OR(COUNTIF($C387:C387,"&gt;0")&gt;0,DATE($B$1,1,1)=DATE(YEAR(TODAY()),MONTH(TODAY()),1))),1,0))</f>
        <v/>
      </c>
      <c r="Q387">
        <f>IF($A387="","",IF(AND($B387&gt;0,D387&lt;$B387,DATE($B$1,2,1)&lt;=TODAY(),OR($O387="",$O387&gt;=DATE($B$1,2,1)),OR(COUNTIF($C387:D387,"&gt;0")&gt;0,DATE($B$1,2,1)=DATE(YEAR(TODAY()),MONTH(TODAY()),1))),1,0))</f>
        <v/>
      </c>
      <c r="R387">
        <f>IF($A387="","",IF(AND($B387&gt;0,E387&lt;$B387,DATE($B$1,3,1)&lt;=TODAY(),OR($O387="",$O387&gt;=DATE($B$1,3,1)),OR(COUNTIF($C387:E387,"&gt;0")&gt;0,DATE($B$1,3,1)=DATE(YEAR(TODAY()),MONTH(TODAY()),1))),1,0))</f>
        <v/>
      </c>
      <c r="S387">
        <f>IF($A387="","",IF(AND($B387&gt;0,F387&lt;$B387,DATE($B$1,4,1)&lt;=TODAY(),OR($O387="",$O387&gt;=DATE($B$1,4,1)),OR(COUNTIF($C387:F387,"&gt;0")&gt;0,DATE($B$1,4,1)=DATE(YEAR(TODAY()),MONTH(TODAY()),1))),1,0))</f>
        <v/>
      </c>
      <c r="T387">
        <f>IF($A387="","",IF(AND($B387&gt;0,G387&lt;$B387,DATE($B$1,5,1)&lt;=TODAY(),OR($O387="",$O387&gt;=DATE($B$1,5,1)),OR(COUNTIF($C387:G387,"&gt;0")&gt;0,DATE($B$1,5,1)=DATE(YEAR(TODAY()),MONTH(TODAY()),1))),1,0))</f>
        <v/>
      </c>
      <c r="U387">
        <f>IF($A387="","",IF(AND($B387&gt;0,H387&lt;$B387,DATE($B$1,6,1)&lt;=TODAY(),OR($O387="",$O387&gt;=DATE($B$1,6,1)),OR(COUNTIF($C387:H387,"&gt;0")&gt;0,DATE($B$1,6,1)=DATE(YEAR(TODAY()),MONTH(TODAY()),1))),1,0))</f>
        <v/>
      </c>
      <c r="V387">
        <f>IF($A387="","",IF(AND($B387&gt;0,I387&lt;$B387,DATE($B$1,7,1)&lt;=TODAY(),OR($O387="",$O387&gt;=DATE($B$1,7,1)),OR(COUNTIF($C387:I387,"&gt;0")&gt;0,DATE($B$1,7,1)=DATE(YEAR(TODAY()),MONTH(TODAY()),1))),1,0))</f>
        <v/>
      </c>
      <c r="W387">
        <f>IF($A387="","",IF(AND($B387&gt;0,J387&lt;$B387,DATE($B$1,8,1)&lt;=TODAY(),OR($O387="",$O387&gt;=DATE($B$1,8,1)),OR(COUNTIF($C387:J387,"&gt;0")&gt;0,DATE($B$1,8,1)=DATE(YEAR(TODAY()),MONTH(TODAY()),1))),1,0))</f>
        <v/>
      </c>
      <c r="X387">
        <f>IF($A387="","",IF(AND($B387&gt;0,K387&lt;$B387,DATE($B$1,9,1)&lt;=TODAY(),OR($O387="",$O387&gt;=DATE($B$1,9,1)),OR(COUNTIF($C387:K387,"&gt;0")&gt;0,DATE($B$1,9,1)=DATE(YEAR(TODAY()),MONTH(TODAY()),1))),1,0))</f>
        <v/>
      </c>
      <c r="Y387">
        <f>IF($A387="","",IF(AND($B387&gt;0,L387&lt;$B387,DATE($B$1,10,1)&lt;=TODAY(),OR($O387="",$O387&gt;=DATE($B$1,10,1)),OR(COUNTIF($C387:L387,"&gt;0")&gt;0,DATE($B$1,10,1)=DATE(YEAR(TODAY()),MONTH(TODAY()),1))),1,0))</f>
        <v/>
      </c>
      <c r="Z387">
        <f>IF($A387="","",IF(AND($B387&gt;0,M387&lt;$B387,DATE($B$1,11,1)&lt;=TODAY(),OR($O387="",$O387&gt;=DATE($B$1,11,1)),OR(COUNTIF($C387:M387,"&gt;0")&gt;0,DATE($B$1,11,1)=DATE(YEAR(TODAY()),MONTH(TODAY()),1))),1,0))</f>
        <v/>
      </c>
      <c r="AA387">
        <f>IF($A387="","",IF(AND($B387&gt;0,N387&lt;$B387,DATE($B$1,12,1)&lt;=TODAY(),OR($O387="",$O387&gt;=DATE($B$1,12,1)),OR(COUNTIF($C387:N387,"&gt;0")&gt;0,DATE($B$1,12,1)=DATE(YEAR(TODAY()),MONTH(TODAY()),1))),1,0))</f>
        <v/>
      </c>
    </row>
    <row r="388">
      <c r="A388" s="13">
        <f>IF(원생!$A386="","",원생!$A386&amp;IF(원생!$G386="",""," ("&amp;원생!$G386&amp;")"))</f>
        <v/>
      </c>
      <c r="B388" s="8">
        <f>IF(원생!$A386="","",원생!$F386)</f>
        <v/>
      </c>
      <c r="C388" s="14">
        <f>IF(원생!$A386="","",SUMIFS(수납!$F:$F,수납!$C:$C,원생!$A386,수납!$D:$D,IF(원생!$G386="","",원생!$G386),수납!$B:$B,$B$1&amp;"-"&amp;TEXT(1,"00")&amp;"*",수납!$E:$E,"수강료")+SUMIFS(수납!$F:$F,수납!$C:$C,원생!$A386,수납!$D:$D,IF(원생!$G386="","",원생!$G386),수납!$B:$B,$B$1&amp;"-"&amp;TEXT(1,"00")&amp;"*",수납!$E:$E,""))</f>
        <v/>
      </c>
      <c r="D388" s="14">
        <f>IF(원생!$A386="","",SUMIFS(수납!$F:$F,수납!$C:$C,원생!$A386,수납!$D:$D,IF(원생!$G386="","",원생!$G386),수납!$B:$B,$B$1&amp;"-"&amp;TEXT(2,"00")&amp;"*",수납!$E:$E,"수강료")+SUMIFS(수납!$F:$F,수납!$C:$C,원생!$A386,수납!$D:$D,IF(원생!$G386="","",원생!$G386),수납!$B:$B,$B$1&amp;"-"&amp;TEXT(2,"00")&amp;"*",수납!$E:$E,""))</f>
        <v/>
      </c>
      <c r="E388" s="14">
        <f>IF(원생!$A386="","",SUMIFS(수납!$F:$F,수납!$C:$C,원생!$A386,수납!$D:$D,IF(원생!$G386="","",원생!$G386),수납!$B:$B,$B$1&amp;"-"&amp;TEXT(3,"00")&amp;"*",수납!$E:$E,"수강료")+SUMIFS(수납!$F:$F,수납!$C:$C,원생!$A386,수납!$D:$D,IF(원생!$G386="","",원생!$G386),수납!$B:$B,$B$1&amp;"-"&amp;TEXT(3,"00")&amp;"*",수납!$E:$E,""))</f>
        <v/>
      </c>
      <c r="F388" s="14">
        <f>IF(원생!$A386="","",SUMIFS(수납!$F:$F,수납!$C:$C,원생!$A386,수납!$D:$D,IF(원생!$G386="","",원생!$G386),수납!$B:$B,$B$1&amp;"-"&amp;TEXT(4,"00")&amp;"*",수납!$E:$E,"수강료")+SUMIFS(수납!$F:$F,수납!$C:$C,원생!$A386,수납!$D:$D,IF(원생!$G386="","",원생!$G386),수납!$B:$B,$B$1&amp;"-"&amp;TEXT(4,"00")&amp;"*",수납!$E:$E,""))</f>
        <v/>
      </c>
      <c r="G388" s="14">
        <f>IF(원생!$A386="","",SUMIFS(수납!$F:$F,수납!$C:$C,원생!$A386,수납!$D:$D,IF(원생!$G386="","",원생!$G386),수납!$B:$B,$B$1&amp;"-"&amp;TEXT(5,"00")&amp;"*",수납!$E:$E,"수강료")+SUMIFS(수납!$F:$F,수납!$C:$C,원생!$A386,수납!$D:$D,IF(원생!$G386="","",원생!$G386),수납!$B:$B,$B$1&amp;"-"&amp;TEXT(5,"00")&amp;"*",수납!$E:$E,""))</f>
        <v/>
      </c>
      <c r="H388" s="14">
        <f>IF(원생!$A386="","",SUMIFS(수납!$F:$F,수납!$C:$C,원생!$A386,수납!$D:$D,IF(원생!$G386="","",원생!$G386),수납!$B:$B,$B$1&amp;"-"&amp;TEXT(6,"00")&amp;"*",수납!$E:$E,"수강료")+SUMIFS(수납!$F:$F,수납!$C:$C,원생!$A386,수납!$D:$D,IF(원생!$G386="","",원생!$G386),수납!$B:$B,$B$1&amp;"-"&amp;TEXT(6,"00")&amp;"*",수납!$E:$E,""))</f>
        <v/>
      </c>
      <c r="I388" s="14">
        <f>IF(원생!$A386="","",SUMIFS(수납!$F:$F,수납!$C:$C,원생!$A386,수납!$D:$D,IF(원생!$G386="","",원생!$G386),수납!$B:$B,$B$1&amp;"-"&amp;TEXT(7,"00")&amp;"*",수납!$E:$E,"수강료")+SUMIFS(수납!$F:$F,수납!$C:$C,원생!$A386,수납!$D:$D,IF(원생!$G386="","",원생!$G386),수납!$B:$B,$B$1&amp;"-"&amp;TEXT(7,"00")&amp;"*",수납!$E:$E,""))</f>
        <v/>
      </c>
      <c r="J388" s="14">
        <f>IF(원생!$A386="","",SUMIFS(수납!$F:$F,수납!$C:$C,원생!$A386,수납!$D:$D,IF(원생!$G386="","",원생!$G386),수납!$B:$B,$B$1&amp;"-"&amp;TEXT(8,"00")&amp;"*",수납!$E:$E,"수강료")+SUMIFS(수납!$F:$F,수납!$C:$C,원생!$A386,수납!$D:$D,IF(원생!$G386="","",원생!$G386),수납!$B:$B,$B$1&amp;"-"&amp;TEXT(8,"00")&amp;"*",수납!$E:$E,""))</f>
        <v/>
      </c>
      <c r="K388" s="14">
        <f>IF(원생!$A386="","",SUMIFS(수납!$F:$F,수납!$C:$C,원생!$A386,수납!$D:$D,IF(원생!$G386="","",원생!$G386),수납!$B:$B,$B$1&amp;"-"&amp;TEXT(9,"00")&amp;"*",수납!$E:$E,"수강료")+SUMIFS(수납!$F:$F,수납!$C:$C,원생!$A386,수납!$D:$D,IF(원생!$G386="","",원생!$G386),수납!$B:$B,$B$1&amp;"-"&amp;TEXT(9,"00")&amp;"*",수납!$E:$E,""))</f>
        <v/>
      </c>
      <c r="L388" s="14">
        <f>IF(원생!$A386="","",SUMIFS(수납!$F:$F,수납!$C:$C,원생!$A386,수납!$D:$D,IF(원생!$G386="","",원생!$G386),수납!$B:$B,$B$1&amp;"-"&amp;TEXT(10,"00")&amp;"*",수납!$E:$E,"수강료")+SUMIFS(수납!$F:$F,수납!$C:$C,원생!$A386,수납!$D:$D,IF(원생!$G386="","",원생!$G386),수납!$B:$B,$B$1&amp;"-"&amp;TEXT(10,"00")&amp;"*",수납!$E:$E,""))</f>
        <v/>
      </c>
      <c r="M388" s="14">
        <f>IF(원생!$A386="","",SUMIFS(수납!$F:$F,수납!$C:$C,원생!$A386,수납!$D:$D,IF(원생!$G386="","",원생!$G386),수납!$B:$B,$B$1&amp;"-"&amp;TEXT(11,"00")&amp;"*",수납!$E:$E,"수강료")+SUMIFS(수납!$F:$F,수납!$C:$C,원생!$A386,수납!$D:$D,IF(원생!$G386="","",원생!$G386),수납!$B:$B,$B$1&amp;"-"&amp;TEXT(11,"00")&amp;"*",수납!$E:$E,""))</f>
        <v/>
      </c>
      <c r="N388" s="14">
        <f>IF(원생!$A386="","",SUMIFS(수납!$F:$F,수납!$C:$C,원생!$A386,수납!$D:$D,IF(원생!$G386="","",원생!$G386),수납!$B:$B,$B$1&amp;"-"&amp;TEXT(12,"00")&amp;"*",수납!$E:$E,"수강료")+SUMIFS(수납!$F:$F,수납!$C:$C,원생!$A386,수납!$D:$D,IF(원생!$G386="","",원생!$G386),수납!$B:$B,$B$1&amp;"-"&amp;TEXT(12,"00")&amp;"*",수납!$E:$E,""))</f>
        <v/>
      </c>
      <c r="O388">
        <f>IF(원생!$I386="","",원생!$I386)</f>
        <v/>
      </c>
      <c r="P388">
        <f>IF($A388="","",IF(AND($B388&gt;0,C388&lt;$B388,DATE($B$1,1,1)&lt;=TODAY(),OR($O388="",$O388&gt;=DATE($B$1,1,1)),OR(COUNTIF($C388:C388,"&gt;0")&gt;0,DATE($B$1,1,1)=DATE(YEAR(TODAY()),MONTH(TODAY()),1))),1,0))</f>
        <v/>
      </c>
      <c r="Q388">
        <f>IF($A388="","",IF(AND($B388&gt;0,D388&lt;$B388,DATE($B$1,2,1)&lt;=TODAY(),OR($O388="",$O388&gt;=DATE($B$1,2,1)),OR(COUNTIF($C388:D388,"&gt;0")&gt;0,DATE($B$1,2,1)=DATE(YEAR(TODAY()),MONTH(TODAY()),1))),1,0))</f>
        <v/>
      </c>
      <c r="R388">
        <f>IF($A388="","",IF(AND($B388&gt;0,E388&lt;$B388,DATE($B$1,3,1)&lt;=TODAY(),OR($O388="",$O388&gt;=DATE($B$1,3,1)),OR(COUNTIF($C388:E388,"&gt;0")&gt;0,DATE($B$1,3,1)=DATE(YEAR(TODAY()),MONTH(TODAY()),1))),1,0))</f>
        <v/>
      </c>
      <c r="S388">
        <f>IF($A388="","",IF(AND($B388&gt;0,F388&lt;$B388,DATE($B$1,4,1)&lt;=TODAY(),OR($O388="",$O388&gt;=DATE($B$1,4,1)),OR(COUNTIF($C388:F388,"&gt;0")&gt;0,DATE($B$1,4,1)=DATE(YEAR(TODAY()),MONTH(TODAY()),1))),1,0))</f>
        <v/>
      </c>
      <c r="T388">
        <f>IF($A388="","",IF(AND($B388&gt;0,G388&lt;$B388,DATE($B$1,5,1)&lt;=TODAY(),OR($O388="",$O388&gt;=DATE($B$1,5,1)),OR(COUNTIF($C388:G388,"&gt;0")&gt;0,DATE($B$1,5,1)=DATE(YEAR(TODAY()),MONTH(TODAY()),1))),1,0))</f>
        <v/>
      </c>
      <c r="U388">
        <f>IF($A388="","",IF(AND($B388&gt;0,H388&lt;$B388,DATE($B$1,6,1)&lt;=TODAY(),OR($O388="",$O388&gt;=DATE($B$1,6,1)),OR(COUNTIF($C388:H388,"&gt;0")&gt;0,DATE($B$1,6,1)=DATE(YEAR(TODAY()),MONTH(TODAY()),1))),1,0))</f>
        <v/>
      </c>
      <c r="V388">
        <f>IF($A388="","",IF(AND($B388&gt;0,I388&lt;$B388,DATE($B$1,7,1)&lt;=TODAY(),OR($O388="",$O388&gt;=DATE($B$1,7,1)),OR(COUNTIF($C388:I388,"&gt;0")&gt;0,DATE($B$1,7,1)=DATE(YEAR(TODAY()),MONTH(TODAY()),1))),1,0))</f>
        <v/>
      </c>
      <c r="W388">
        <f>IF($A388="","",IF(AND($B388&gt;0,J388&lt;$B388,DATE($B$1,8,1)&lt;=TODAY(),OR($O388="",$O388&gt;=DATE($B$1,8,1)),OR(COUNTIF($C388:J388,"&gt;0")&gt;0,DATE($B$1,8,1)=DATE(YEAR(TODAY()),MONTH(TODAY()),1))),1,0))</f>
        <v/>
      </c>
      <c r="X388">
        <f>IF($A388="","",IF(AND($B388&gt;0,K388&lt;$B388,DATE($B$1,9,1)&lt;=TODAY(),OR($O388="",$O388&gt;=DATE($B$1,9,1)),OR(COUNTIF($C388:K388,"&gt;0")&gt;0,DATE($B$1,9,1)=DATE(YEAR(TODAY()),MONTH(TODAY()),1))),1,0))</f>
        <v/>
      </c>
      <c r="Y388">
        <f>IF($A388="","",IF(AND($B388&gt;0,L388&lt;$B388,DATE($B$1,10,1)&lt;=TODAY(),OR($O388="",$O388&gt;=DATE($B$1,10,1)),OR(COUNTIF($C388:L388,"&gt;0")&gt;0,DATE($B$1,10,1)=DATE(YEAR(TODAY()),MONTH(TODAY()),1))),1,0))</f>
        <v/>
      </c>
      <c r="Z388">
        <f>IF($A388="","",IF(AND($B388&gt;0,M388&lt;$B388,DATE($B$1,11,1)&lt;=TODAY(),OR($O388="",$O388&gt;=DATE($B$1,11,1)),OR(COUNTIF($C388:M388,"&gt;0")&gt;0,DATE($B$1,11,1)=DATE(YEAR(TODAY()),MONTH(TODAY()),1))),1,0))</f>
        <v/>
      </c>
      <c r="AA388">
        <f>IF($A388="","",IF(AND($B388&gt;0,N388&lt;$B388,DATE($B$1,12,1)&lt;=TODAY(),OR($O388="",$O388&gt;=DATE($B$1,12,1)),OR(COUNTIF($C388:N388,"&gt;0")&gt;0,DATE($B$1,12,1)=DATE(YEAR(TODAY()),MONTH(TODAY()),1))),1,0))</f>
        <v/>
      </c>
    </row>
    <row r="389">
      <c r="A389" s="13">
        <f>IF(원생!$A387="","",원생!$A387&amp;IF(원생!$G387="",""," ("&amp;원생!$G387&amp;")"))</f>
        <v/>
      </c>
      <c r="B389" s="8">
        <f>IF(원생!$A387="","",원생!$F387)</f>
        <v/>
      </c>
      <c r="C389" s="14">
        <f>IF(원생!$A387="","",SUMIFS(수납!$F:$F,수납!$C:$C,원생!$A387,수납!$D:$D,IF(원생!$G387="","",원생!$G387),수납!$B:$B,$B$1&amp;"-"&amp;TEXT(1,"00")&amp;"*",수납!$E:$E,"수강료")+SUMIFS(수납!$F:$F,수납!$C:$C,원생!$A387,수납!$D:$D,IF(원생!$G387="","",원생!$G387),수납!$B:$B,$B$1&amp;"-"&amp;TEXT(1,"00")&amp;"*",수납!$E:$E,""))</f>
        <v/>
      </c>
      <c r="D389" s="14">
        <f>IF(원생!$A387="","",SUMIFS(수납!$F:$F,수납!$C:$C,원생!$A387,수납!$D:$D,IF(원생!$G387="","",원생!$G387),수납!$B:$B,$B$1&amp;"-"&amp;TEXT(2,"00")&amp;"*",수납!$E:$E,"수강료")+SUMIFS(수납!$F:$F,수납!$C:$C,원생!$A387,수납!$D:$D,IF(원생!$G387="","",원생!$G387),수납!$B:$B,$B$1&amp;"-"&amp;TEXT(2,"00")&amp;"*",수납!$E:$E,""))</f>
        <v/>
      </c>
      <c r="E389" s="14">
        <f>IF(원생!$A387="","",SUMIFS(수납!$F:$F,수납!$C:$C,원생!$A387,수납!$D:$D,IF(원생!$G387="","",원생!$G387),수납!$B:$B,$B$1&amp;"-"&amp;TEXT(3,"00")&amp;"*",수납!$E:$E,"수강료")+SUMIFS(수납!$F:$F,수납!$C:$C,원생!$A387,수납!$D:$D,IF(원생!$G387="","",원생!$G387),수납!$B:$B,$B$1&amp;"-"&amp;TEXT(3,"00")&amp;"*",수납!$E:$E,""))</f>
        <v/>
      </c>
      <c r="F389" s="14">
        <f>IF(원생!$A387="","",SUMIFS(수납!$F:$F,수납!$C:$C,원생!$A387,수납!$D:$D,IF(원생!$G387="","",원생!$G387),수납!$B:$B,$B$1&amp;"-"&amp;TEXT(4,"00")&amp;"*",수납!$E:$E,"수강료")+SUMIFS(수납!$F:$F,수납!$C:$C,원생!$A387,수납!$D:$D,IF(원생!$G387="","",원생!$G387),수납!$B:$B,$B$1&amp;"-"&amp;TEXT(4,"00")&amp;"*",수납!$E:$E,""))</f>
        <v/>
      </c>
      <c r="G389" s="14">
        <f>IF(원생!$A387="","",SUMIFS(수납!$F:$F,수납!$C:$C,원생!$A387,수납!$D:$D,IF(원생!$G387="","",원생!$G387),수납!$B:$B,$B$1&amp;"-"&amp;TEXT(5,"00")&amp;"*",수납!$E:$E,"수강료")+SUMIFS(수납!$F:$F,수납!$C:$C,원생!$A387,수납!$D:$D,IF(원생!$G387="","",원생!$G387),수납!$B:$B,$B$1&amp;"-"&amp;TEXT(5,"00")&amp;"*",수납!$E:$E,""))</f>
        <v/>
      </c>
      <c r="H389" s="14">
        <f>IF(원생!$A387="","",SUMIFS(수납!$F:$F,수납!$C:$C,원생!$A387,수납!$D:$D,IF(원생!$G387="","",원생!$G387),수납!$B:$B,$B$1&amp;"-"&amp;TEXT(6,"00")&amp;"*",수납!$E:$E,"수강료")+SUMIFS(수납!$F:$F,수납!$C:$C,원생!$A387,수납!$D:$D,IF(원생!$G387="","",원생!$G387),수납!$B:$B,$B$1&amp;"-"&amp;TEXT(6,"00")&amp;"*",수납!$E:$E,""))</f>
        <v/>
      </c>
      <c r="I389" s="14">
        <f>IF(원생!$A387="","",SUMIFS(수납!$F:$F,수납!$C:$C,원생!$A387,수납!$D:$D,IF(원생!$G387="","",원생!$G387),수납!$B:$B,$B$1&amp;"-"&amp;TEXT(7,"00")&amp;"*",수납!$E:$E,"수강료")+SUMIFS(수납!$F:$F,수납!$C:$C,원생!$A387,수납!$D:$D,IF(원생!$G387="","",원생!$G387),수납!$B:$B,$B$1&amp;"-"&amp;TEXT(7,"00")&amp;"*",수납!$E:$E,""))</f>
        <v/>
      </c>
      <c r="J389" s="14">
        <f>IF(원생!$A387="","",SUMIFS(수납!$F:$F,수납!$C:$C,원생!$A387,수납!$D:$D,IF(원생!$G387="","",원생!$G387),수납!$B:$B,$B$1&amp;"-"&amp;TEXT(8,"00")&amp;"*",수납!$E:$E,"수강료")+SUMIFS(수납!$F:$F,수납!$C:$C,원생!$A387,수납!$D:$D,IF(원생!$G387="","",원생!$G387),수납!$B:$B,$B$1&amp;"-"&amp;TEXT(8,"00")&amp;"*",수납!$E:$E,""))</f>
        <v/>
      </c>
      <c r="K389" s="14">
        <f>IF(원생!$A387="","",SUMIFS(수납!$F:$F,수납!$C:$C,원생!$A387,수납!$D:$D,IF(원생!$G387="","",원생!$G387),수납!$B:$B,$B$1&amp;"-"&amp;TEXT(9,"00")&amp;"*",수납!$E:$E,"수강료")+SUMIFS(수납!$F:$F,수납!$C:$C,원생!$A387,수납!$D:$D,IF(원생!$G387="","",원생!$G387),수납!$B:$B,$B$1&amp;"-"&amp;TEXT(9,"00")&amp;"*",수납!$E:$E,""))</f>
        <v/>
      </c>
      <c r="L389" s="14">
        <f>IF(원생!$A387="","",SUMIFS(수납!$F:$F,수납!$C:$C,원생!$A387,수납!$D:$D,IF(원생!$G387="","",원생!$G387),수납!$B:$B,$B$1&amp;"-"&amp;TEXT(10,"00")&amp;"*",수납!$E:$E,"수강료")+SUMIFS(수납!$F:$F,수납!$C:$C,원생!$A387,수납!$D:$D,IF(원생!$G387="","",원생!$G387),수납!$B:$B,$B$1&amp;"-"&amp;TEXT(10,"00")&amp;"*",수납!$E:$E,""))</f>
        <v/>
      </c>
      <c r="M389" s="14">
        <f>IF(원생!$A387="","",SUMIFS(수납!$F:$F,수납!$C:$C,원생!$A387,수납!$D:$D,IF(원생!$G387="","",원생!$G387),수납!$B:$B,$B$1&amp;"-"&amp;TEXT(11,"00")&amp;"*",수납!$E:$E,"수강료")+SUMIFS(수납!$F:$F,수납!$C:$C,원생!$A387,수납!$D:$D,IF(원생!$G387="","",원생!$G387),수납!$B:$B,$B$1&amp;"-"&amp;TEXT(11,"00")&amp;"*",수납!$E:$E,""))</f>
        <v/>
      </c>
      <c r="N389" s="14">
        <f>IF(원생!$A387="","",SUMIFS(수납!$F:$F,수납!$C:$C,원생!$A387,수납!$D:$D,IF(원생!$G387="","",원생!$G387),수납!$B:$B,$B$1&amp;"-"&amp;TEXT(12,"00")&amp;"*",수납!$E:$E,"수강료")+SUMIFS(수납!$F:$F,수납!$C:$C,원생!$A387,수납!$D:$D,IF(원생!$G387="","",원생!$G387),수납!$B:$B,$B$1&amp;"-"&amp;TEXT(12,"00")&amp;"*",수납!$E:$E,""))</f>
        <v/>
      </c>
      <c r="O389">
        <f>IF(원생!$I387="","",원생!$I387)</f>
        <v/>
      </c>
      <c r="P389">
        <f>IF($A389="","",IF(AND($B389&gt;0,C389&lt;$B389,DATE($B$1,1,1)&lt;=TODAY(),OR($O389="",$O389&gt;=DATE($B$1,1,1)),OR(COUNTIF($C389:C389,"&gt;0")&gt;0,DATE($B$1,1,1)=DATE(YEAR(TODAY()),MONTH(TODAY()),1))),1,0))</f>
        <v/>
      </c>
      <c r="Q389">
        <f>IF($A389="","",IF(AND($B389&gt;0,D389&lt;$B389,DATE($B$1,2,1)&lt;=TODAY(),OR($O389="",$O389&gt;=DATE($B$1,2,1)),OR(COUNTIF($C389:D389,"&gt;0")&gt;0,DATE($B$1,2,1)=DATE(YEAR(TODAY()),MONTH(TODAY()),1))),1,0))</f>
        <v/>
      </c>
      <c r="R389">
        <f>IF($A389="","",IF(AND($B389&gt;0,E389&lt;$B389,DATE($B$1,3,1)&lt;=TODAY(),OR($O389="",$O389&gt;=DATE($B$1,3,1)),OR(COUNTIF($C389:E389,"&gt;0")&gt;0,DATE($B$1,3,1)=DATE(YEAR(TODAY()),MONTH(TODAY()),1))),1,0))</f>
        <v/>
      </c>
      <c r="S389">
        <f>IF($A389="","",IF(AND($B389&gt;0,F389&lt;$B389,DATE($B$1,4,1)&lt;=TODAY(),OR($O389="",$O389&gt;=DATE($B$1,4,1)),OR(COUNTIF($C389:F389,"&gt;0")&gt;0,DATE($B$1,4,1)=DATE(YEAR(TODAY()),MONTH(TODAY()),1))),1,0))</f>
        <v/>
      </c>
      <c r="T389">
        <f>IF($A389="","",IF(AND($B389&gt;0,G389&lt;$B389,DATE($B$1,5,1)&lt;=TODAY(),OR($O389="",$O389&gt;=DATE($B$1,5,1)),OR(COUNTIF($C389:G389,"&gt;0")&gt;0,DATE($B$1,5,1)=DATE(YEAR(TODAY()),MONTH(TODAY()),1))),1,0))</f>
        <v/>
      </c>
      <c r="U389">
        <f>IF($A389="","",IF(AND($B389&gt;0,H389&lt;$B389,DATE($B$1,6,1)&lt;=TODAY(),OR($O389="",$O389&gt;=DATE($B$1,6,1)),OR(COUNTIF($C389:H389,"&gt;0")&gt;0,DATE($B$1,6,1)=DATE(YEAR(TODAY()),MONTH(TODAY()),1))),1,0))</f>
        <v/>
      </c>
      <c r="V389">
        <f>IF($A389="","",IF(AND($B389&gt;0,I389&lt;$B389,DATE($B$1,7,1)&lt;=TODAY(),OR($O389="",$O389&gt;=DATE($B$1,7,1)),OR(COUNTIF($C389:I389,"&gt;0")&gt;0,DATE($B$1,7,1)=DATE(YEAR(TODAY()),MONTH(TODAY()),1))),1,0))</f>
        <v/>
      </c>
      <c r="W389">
        <f>IF($A389="","",IF(AND($B389&gt;0,J389&lt;$B389,DATE($B$1,8,1)&lt;=TODAY(),OR($O389="",$O389&gt;=DATE($B$1,8,1)),OR(COUNTIF($C389:J389,"&gt;0")&gt;0,DATE($B$1,8,1)=DATE(YEAR(TODAY()),MONTH(TODAY()),1))),1,0))</f>
        <v/>
      </c>
      <c r="X389">
        <f>IF($A389="","",IF(AND($B389&gt;0,K389&lt;$B389,DATE($B$1,9,1)&lt;=TODAY(),OR($O389="",$O389&gt;=DATE($B$1,9,1)),OR(COUNTIF($C389:K389,"&gt;0")&gt;0,DATE($B$1,9,1)=DATE(YEAR(TODAY()),MONTH(TODAY()),1))),1,0))</f>
        <v/>
      </c>
      <c r="Y389">
        <f>IF($A389="","",IF(AND($B389&gt;0,L389&lt;$B389,DATE($B$1,10,1)&lt;=TODAY(),OR($O389="",$O389&gt;=DATE($B$1,10,1)),OR(COUNTIF($C389:L389,"&gt;0")&gt;0,DATE($B$1,10,1)=DATE(YEAR(TODAY()),MONTH(TODAY()),1))),1,0))</f>
        <v/>
      </c>
      <c r="Z389">
        <f>IF($A389="","",IF(AND($B389&gt;0,M389&lt;$B389,DATE($B$1,11,1)&lt;=TODAY(),OR($O389="",$O389&gt;=DATE($B$1,11,1)),OR(COUNTIF($C389:M389,"&gt;0")&gt;0,DATE($B$1,11,1)=DATE(YEAR(TODAY()),MONTH(TODAY()),1))),1,0))</f>
        <v/>
      </c>
      <c r="AA389">
        <f>IF($A389="","",IF(AND($B389&gt;0,N389&lt;$B389,DATE($B$1,12,1)&lt;=TODAY(),OR($O389="",$O389&gt;=DATE($B$1,12,1)),OR(COUNTIF($C389:N389,"&gt;0")&gt;0,DATE($B$1,12,1)=DATE(YEAR(TODAY()),MONTH(TODAY()),1))),1,0))</f>
        <v/>
      </c>
    </row>
    <row r="390">
      <c r="A390" s="13">
        <f>IF(원생!$A388="","",원생!$A388&amp;IF(원생!$G388="",""," ("&amp;원생!$G388&amp;")"))</f>
        <v/>
      </c>
      <c r="B390" s="8">
        <f>IF(원생!$A388="","",원생!$F388)</f>
        <v/>
      </c>
      <c r="C390" s="14">
        <f>IF(원생!$A388="","",SUMIFS(수납!$F:$F,수납!$C:$C,원생!$A388,수납!$D:$D,IF(원생!$G388="","",원생!$G388),수납!$B:$B,$B$1&amp;"-"&amp;TEXT(1,"00")&amp;"*",수납!$E:$E,"수강료")+SUMIFS(수납!$F:$F,수납!$C:$C,원생!$A388,수납!$D:$D,IF(원생!$G388="","",원생!$G388),수납!$B:$B,$B$1&amp;"-"&amp;TEXT(1,"00")&amp;"*",수납!$E:$E,""))</f>
        <v/>
      </c>
      <c r="D390" s="14">
        <f>IF(원생!$A388="","",SUMIFS(수납!$F:$F,수납!$C:$C,원생!$A388,수납!$D:$D,IF(원생!$G388="","",원생!$G388),수납!$B:$B,$B$1&amp;"-"&amp;TEXT(2,"00")&amp;"*",수납!$E:$E,"수강료")+SUMIFS(수납!$F:$F,수납!$C:$C,원생!$A388,수납!$D:$D,IF(원생!$G388="","",원생!$G388),수납!$B:$B,$B$1&amp;"-"&amp;TEXT(2,"00")&amp;"*",수납!$E:$E,""))</f>
        <v/>
      </c>
      <c r="E390" s="14">
        <f>IF(원생!$A388="","",SUMIFS(수납!$F:$F,수납!$C:$C,원생!$A388,수납!$D:$D,IF(원생!$G388="","",원생!$G388),수납!$B:$B,$B$1&amp;"-"&amp;TEXT(3,"00")&amp;"*",수납!$E:$E,"수강료")+SUMIFS(수납!$F:$F,수납!$C:$C,원생!$A388,수납!$D:$D,IF(원생!$G388="","",원생!$G388),수납!$B:$B,$B$1&amp;"-"&amp;TEXT(3,"00")&amp;"*",수납!$E:$E,""))</f>
        <v/>
      </c>
      <c r="F390" s="14">
        <f>IF(원생!$A388="","",SUMIFS(수납!$F:$F,수납!$C:$C,원생!$A388,수납!$D:$D,IF(원생!$G388="","",원생!$G388),수납!$B:$B,$B$1&amp;"-"&amp;TEXT(4,"00")&amp;"*",수납!$E:$E,"수강료")+SUMIFS(수납!$F:$F,수납!$C:$C,원생!$A388,수납!$D:$D,IF(원생!$G388="","",원생!$G388),수납!$B:$B,$B$1&amp;"-"&amp;TEXT(4,"00")&amp;"*",수납!$E:$E,""))</f>
        <v/>
      </c>
      <c r="G390" s="14">
        <f>IF(원생!$A388="","",SUMIFS(수납!$F:$F,수납!$C:$C,원생!$A388,수납!$D:$D,IF(원생!$G388="","",원생!$G388),수납!$B:$B,$B$1&amp;"-"&amp;TEXT(5,"00")&amp;"*",수납!$E:$E,"수강료")+SUMIFS(수납!$F:$F,수납!$C:$C,원생!$A388,수납!$D:$D,IF(원생!$G388="","",원생!$G388),수납!$B:$B,$B$1&amp;"-"&amp;TEXT(5,"00")&amp;"*",수납!$E:$E,""))</f>
        <v/>
      </c>
      <c r="H390" s="14">
        <f>IF(원생!$A388="","",SUMIFS(수납!$F:$F,수납!$C:$C,원생!$A388,수납!$D:$D,IF(원생!$G388="","",원생!$G388),수납!$B:$B,$B$1&amp;"-"&amp;TEXT(6,"00")&amp;"*",수납!$E:$E,"수강료")+SUMIFS(수납!$F:$F,수납!$C:$C,원생!$A388,수납!$D:$D,IF(원생!$G388="","",원생!$G388),수납!$B:$B,$B$1&amp;"-"&amp;TEXT(6,"00")&amp;"*",수납!$E:$E,""))</f>
        <v/>
      </c>
      <c r="I390" s="14">
        <f>IF(원생!$A388="","",SUMIFS(수납!$F:$F,수납!$C:$C,원생!$A388,수납!$D:$D,IF(원생!$G388="","",원생!$G388),수납!$B:$B,$B$1&amp;"-"&amp;TEXT(7,"00")&amp;"*",수납!$E:$E,"수강료")+SUMIFS(수납!$F:$F,수납!$C:$C,원생!$A388,수납!$D:$D,IF(원생!$G388="","",원생!$G388),수납!$B:$B,$B$1&amp;"-"&amp;TEXT(7,"00")&amp;"*",수납!$E:$E,""))</f>
        <v/>
      </c>
      <c r="J390" s="14">
        <f>IF(원생!$A388="","",SUMIFS(수납!$F:$F,수납!$C:$C,원생!$A388,수납!$D:$D,IF(원생!$G388="","",원생!$G388),수납!$B:$B,$B$1&amp;"-"&amp;TEXT(8,"00")&amp;"*",수납!$E:$E,"수강료")+SUMIFS(수납!$F:$F,수납!$C:$C,원생!$A388,수납!$D:$D,IF(원생!$G388="","",원생!$G388),수납!$B:$B,$B$1&amp;"-"&amp;TEXT(8,"00")&amp;"*",수납!$E:$E,""))</f>
        <v/>
      </c>
      <c r="K390" s="14">
        <f>IF(원생!$A388="","",SUMIFS(수납!$F:$F,수납!$C:$C,원생!$A388,수납!$D:$D,IF(원생!$G388="","",원생!$G388),수납!$B:$B,$B$1&amp;"-"&amp;TEXT(9,"00")&amp;"*",수납!$E:$E,"수강료")+SUMIFS(수납!$F:$F,수납!$C:$C,원생!$A388,수납!$D:$D,IF(원생!$G388="","",원생!$G388),수납!$B:$B,$B$1&amp;"-"&amp;TEXT(9,"00")&amp;"*",수납!$E:$E,""))</f>
        <v/>
      </c>
      <c r="L390" s="14">
        <f>IF(원생!$A388="","",SUMIFS(수납!$F:$F,수납!$C:$C,원생!$A388,수납!$D:$D,IF(원생!$G388="","",원생!$G388),수납!$B:$B,$B$1&amp;"-"&amp;TEXT(10,"00")&amp;"*",수납!$E:$E,"수강료")+SUMIFS(수납!$F:$F,수납!$C:$C,원생!$A388,수납!$D:$D,IF(원생!$G388="","",원생!$G388),수납!$B:$B,$B$1&amp;"-"&amp;TEXT(10,"00")&amp;"*",수납!$E:$E,""))</f>
        <v/>
      </c>
      <c r="M390" s="14">
        <f>IF(원생!$A388="","",SUMIFS(수납!$F:$F,수납!$C:$C,원생!$A388,수납!$D:$D,IF(원생!$G388="","",원생!$G388),수납!$B:$B,$B$1&amp;"-"&amp;TEXT(11,"00")&amp;"*",수납!$E:$E,"수강료")+SUMIFS(수납!$F:$F,수납!$C:$C,원생!$A388,수납!$D:$D,IF(원생!$G388="","",원생!$G388),수납!$B:$B,$B$1&amp;"-"&amp;TEXT(11,"00")&amp;"*",수납!$E:$E,""))</f>
        <v/>
      </c>
      <c r="N390" s="14">
        <f>IF(원생!$A388="","",SUMIFS(수납!$F:$F,수납!$C:$C,원생!$A388,수납!$D:$D,IF(원생!$G388="","",원생!$G388),수납!$B:$B,$B$1&amp;"-"&amp;TEXT(12,"00")&amp;"*",수납!$E:$E,"수강료")+SUMIFS(수납!$F:$F,수납!$C:$C,원생!$A388,수납!$D:$D,IF(원생!$G388="","",원생!$G388),수납!$B:$B,$B$1&amp;"-"&amp;TEXT(12,"00")&amp;"*",수납!$E:$E,""))</f>
        <v/>
      </c>
      <c r="O390">
        <f>IF(원생!$I388="","",원생!$I388)</f>
        <v/>
      </c>
      <c r="P390">
        <f>IF($A390="","",IF(AND($B390&gt;0,C390&lt;$B390,DATE($B$1,1,1)&lt;=TODAY(),OR($O390="",$O390&gt;=DATE($B$1,1,1)),OR(COUNTIF($C390:C390,"&gt;0")&gt;0,DATE($B$1,1,1)=DATE(YEAR(TODAY()),MONTH(TODAY()),1))),1,0))</f>
        <v/>
      </c>
      <c r="Q390">
        <f>IF($A390="","",IF(AND($B390&gt;0,D390&lt;$B390,DATE($B$1,2,1)&lt;=TODAY(),OR($O390="",$O390&gt;=DATE($B$1,2,1)),OR(COUNTIF($C390:D390,"&gt;0")&gt;0,DATE($B$1,2,1)=DATE(YEAR(TODAY()),MONTH(TODAY()),1))),1,0))</f>
        <v/>
      </c>
      <c r="R390">
        <f>IF($A390="","",IF(AND($B390&gt;0,E390&lt;$B390,DATE($B$1,3,1)&lt;=TODAY(),OR($O390="",$O390&gt;=DATE($B$1,3,1)),OR(COUNTIF($C390:E390,"&gt;0")&gt;0,DATE($B$1,3,1)=DATE(YEAR(TODAY()),MONTH(TODAY()),1))),1,0))</f>
        <v/>
      </c>
      <c r="S390">
        <f>IF($A390="","",IF(AND($B390&gt;0,F390&lt;$B390,DATE($B$1,4,1)&lt;=TODAY(),OR($O390="",$O390&gt;=DATE($B$1,4,1)),OR(COUNTIF($C390:F390,"&gt;0")&gt;0,DATE($B$1,4,1)=DATE(YEAR(TODAY()),MONTH(TODAY()),1))),1,0))</f>
        <v/>
      </c>
      <c r="T390">
        <f>IF($A390="","",IF(AND($B390&gt;0,G390&lt;$B390,DATE($B$1,5,1)&lt;=TODAY(),OR($O390="",$O390&gt;=DATE($B$1,5,1)),OR(COUNTIF($C390:G390,"&gt;0")&gt;0,DATE($B$1,5,1)=DATE(YEAR(TODAY()),MONTH(TODAY()),1))),1,0))</f>
        <v/>
      </c>
      <c r="U390">
        <f>IF($A390="","",IF(AND($B390&gt;0,H390&lt;$B390,DATE($B$1,6,1)&lt;=TODAY(),OR($O390="",$O390&gt;=DATE($B$1,6,1)),OR(COUNTIF($C390:H390,"&gt;0")&gt;0,DATE($B$1,6,1)=DATE(YEAR(TODAY()),MONTH(TODAY()),1))),1,0))</f>
        <v/>
      </c>
      <c r="V390">
        <f>IF($A390="","",IF(AND($B390&gt;0,I390&lt;$B390,DATE($B$1,7,1)&lt;=TODAY(),OR($O390="",$O390&gt;=DATE($B$1,7,1)),OR(COUNTIF($C390:I390,"&gt;0")&gt;0,DATE($B$1,7,1)=DATE(YEAR(TODAY()),MONTH(TODAY()),1))),1,0))</f>
        <v/>
      </c>
      <c r="W390">
        <f>IF($A390="","",IF(AND($B390&gt;0,J390&lt;$B390,DATE($B$1,8,1)&lt;=TODAY(),OR($O390="",$O390&gt;=DATE($B$1,8,1)),OR(COUNTIF($C390:J390,"&gt;0")&gt;0,DATE($B$1,8,1)=DATE(YEAR(TODAY()),MONTH(TODAY()),1))),1,0))</f>
        <v/>
      </c>
      <c r="X390">
        <f>IF($A390="","",IF(AND($B390&gt;0,K390&lt;$B390,DATE($B$1,9,1)&lt;=TODAY(),OR($O390="",$O390&gt;=DATE($B$1,9,1)),OR(COUNTIF($C390:K390,"&gt;0")&gt;0,DATE($B$1,9,1)=DATE(YEAR(TODAY()),MONTH(TODAY()),1))),1,0))</f>
        <v/>
      </c>
      <c r="Y390">
        <f>IF($A390="","",IF(AND($B390&gt;0,L390&lt;$B390,DATE($B$1,10,1)&lt;=TODAY(),OR($O390="",$O390&gt;=DATE($B$1,10,1)),OR(COUNTIF($C390:L390,"&gt;0")&gt;0,DATE($B$1,10,1)=DATE(YEAR(TODAY()),MONTH(TODAY()),1))),1,0))</f>
        <v/>
      </c>
      <c r="Z390">
        <f>IF($A390="","",IF(AND($B390&gt;0,M390&lt;$B390,DATE($B$1,11,1)&lt;=TODAY(),OR($O390="",$O390&gt;=DATE($B$1,11,1)),OR(COUNTIF($C390:M390,"&gt;0")&gt;0,DATE($B$1,11,1)=DATE(YEAR(TODAY()),MONTH(TODAY()),1))),1,0))</f>
        <v/>
      </c>
      <c r="AA390">
        <f>IF($A390="","",IF(AND($B390&gt;0,N390&lt;$B390,DATE($B$1,12,1)&lt;=TODAY(),OR($O390="",$O390&gt;=DATE($B$1,12,1)),OR(COUNTIF($C390:N390,"&gt;0")&gt;0,DATE($B$1,12,1)=DATE(YEAR(TODAY()),MONTH(TODAY()),1))),1,0))</f>
        <v/>
      </c>
    </row>
    <row r="391">
      <c r="A391" s="13">
        <f>IF(원생!$A389="","",원생!$A389&amp;IF(원생!$G389="",""," ("&amp;원생!$G389&amp;")"))</f>
        <v/>
      </c>
      <c r="B391" s="8">
        <f>IF(원생!$A389="","",원생!$F389)</f>
        <v/>
      </c>
      <c r="C391" s="14">
        <f>IF(원생!$A389="","",SUMIFS(수납!$F:$F,수납!$C:$C,원생!$A389,수납!$D:$D,IF(원생!$G389="","",원생!$G389),수납!$B:$B,$B$1&amp;"-"&amp;TEXT(1,"00")&amp;"*",수납!$E:$E,"수강료")+SUMIFS(수납!$F:$F,수납!$C:$C,원생!$A389,수납!$D:$D,IF(원생!$G389="","",원생!$G389),수납!$B:$B,$B$1&amp;"-"&amp;TEXT(1,"00")&amp;"*",수납!$E:$E,""))</f>
        <v/>
      </c>
      <c r="D391" s="14">
        <f>IF(원생!$A389="","",SUMIFS(수납!$F:$F,수납!$C:$C,원생!$A389,수납!$D:$D,IF(원생!$G389="","",원생!$G389),수납!$B:$B,$B$1&amp;"-"&amp;TEXT(2,"00")&amp;"*",수납!$E:$E,"수강료")+SUMIFS(수납!$F:$F,수납!$C:$C,원생!$A389,수납!$D:$D,IF(원생!$G389="","",원생!$G389),수납!$B:$B,$B$1&amp;"-"&amp;TEXT(2,"00")&amp;"*",수납!$E:$E,""))</f>
        <v/>
      </c>
      <c r="E391" s="14">
        <f>IF(원생!$A389="","",SUMIFS(수납!$F:$F,수납!$C:$C,원생!$A389,수납!$D:$D,IF(원생!$G389="","",원생!$G389),수납!$B:$B,$B$1&amp;"-"&amp;TEXT(3,"00")&amp;"*",수납!$E:$E,"수강료")+SUMIFS(수납!$F:$F,수납!$C:$C,원생!$A389,수납!$D:$D,IF(원생!$G389="","",원생!$G389),수납!$B:$B,$B$1&amp;"-"&amp;TEXT(3,"00")&amp;"*",수납!$E:$E,""))</f>
        <v/>
      </c>
      <c r="F391" s="14">
        <f>IF(원생!$A389="","",SUMIFS(수납!$F:$F,수납!$C:$C,원생!$A389,수납!$D:$D,IF(원생!$G389="","",원생!$G389),수납!$B:$B,$B$1&amp;"-"&amp;TEXT(4,"00")&amp;"*",수납!$E:$E,"수강료")+SUMIFS(수납!$F:$F,수납!$C:$C,원생!$A389,수납!$D:$D,IF(원생!$G389="","",원생!$G389),수납!$B:$B,$B$1&amp;"-"&amp;TEXT(4,"00")&amp;"*",수납!$E:$E,""))</f>
        <v/>
      </c>
      <c r="G391" s="14">
        <f>IF(원생!$A389="","",SUMIFS(수납!$F:$F,수납!$C:$C,원생!$A389,수납!$D:$D,IF(원생!$G389="","",원생!$G389),수납!$B:$B,$B$1&amp;"-"&amp;TEXT(5,"00")&amp;"*",수납!$E:$E,"수강료")+SUMIFS(수납!$F:$F,수납!$C:$C,원생!$A389,수납!$D:$D,IF(원생!$G389="","",원생!$G389),수납!$B:$B,$B$1&amp;"-"&amp;TEXT(5,"00")&amp;"*",수납!$E:$E,""))</f>
        <v/>
      </c>
      <c r="H391" s="14">
        <f>IF(원생!$A389="","",SUMIFS(수납!$F:$F,수납!$C:$C,원생!$A389,수납!$D:$D,IF(원생!$G389="","",원생!$G389),수납!$B:$B,$B$1&amp;"-"&amp;TEXT(6,"00")&amp;"*",수납!$E:$E,"수강료")+SUMIFS(수납!$F:$F,수납!$C:$C,원생!$A389,수납!$D:$D,IF(원생!$G389="","",원생!$G389),수납!$B:$B,$B$1&amp;"-"&amp;TEXT(6,"00")&amp;"*",수납!$E:$E,""))</f>
        <v/>
      </c>
      <c r="I391" s="14">
        <f>IF(원생!$A389="","",SUMIFS(수납!$F:$F,수납!$C:$C,원생!$A389,수납!$D:$D,IF(원생!$G389="","",원생!$G389),수납!$B:$B,$B$1&amp;"-"&amp;TEXT(7,"00")&amp;"*",수납!$E:$E,"수강료")+SUMIFS(수납!$F:$F,수납!$C:$C,원생!$A389,수납!$D:$D,IF(원생!$G389="","",원생!$G389),수납!$B:$B,$B$1&amp;"-"&amp;TEXT(7,"00")&amp;"*",수납!$E:$E,""))</f>
        <v/>
      </c>
      <c r="J391" s="14">
        <f>IF(원생!$A389="","",SUMIFS(수납!$F:$F,수납!$C:$C,원생!$A389,수납!$D:$D,IF(원생!$G389="","",원생!$G389),수납!$B:$B,$B$1&amp;"-"&amp;TEXT(8,"00")&amp;"*",수납!$E:$E,"수강료")+SUMIFS(수납!$F:$F,수납!$C:$C,원생!$A389,수납!$D:$D,IF(원생!$G389="","",원생!$G389),수납!$B:$B,$B$1&amp;"-"&amp;TEXT(8,"00")&amp;"*",수납!$E:$E,""))</f>
        <v/>
      </c>
      <c r="K391" s="14">
        <f>IF(원생!$A389="","",SUMIFS(수납!$F:$F,수납!$C:$C,원생!$A389,수납!$D:$D,IF(원생!$G389="","",원생!$G389),수납!$B:$B,$B$1&amp;"-"&amp;TEXT(9,"00")&amp;"*",수납!$E:$E,"수강료")+SUMIFS(수납!$F:$F,수납!$C:$C,원생!$A389,수납!$D:$D,IF(원생!$G389="","",원생!$G389),수납!$B:$B,$B$1&amp;"-"&amp;TEXT(9,"00")&amp;"*",수납!$E:$E,""))</f>
        <v/>
      </c>
      <c r="L391" s="14">
        <f>IF(원생!$A389="","",SUMIFS(수납!$F:$F,수납!$C:$C,원생!$A389,수납!$D:$D,IF(원생!$G389="","",원생!$G389),수납!$B:$B,$B$1&amp;"-"&amp;TEXT(10,"00")&amp;"*",수납!$E:$E,"수강료")+SUMIFS(수납!$F:$F,수납!$C:$C,원생!$A389,수납!$D:$D,IF(원생!$G389="","",원생!$G389),수납!$B:$B,$B$1&amp;"-"&amp;TEXT(10,"00")&amp;"*",수납!$E:$E,""))</f>
        <v/>
      </c>
      <c r="M391" s="14">
        <f>IF(원생!$A389="","",SUMIFS(수납!$F:$F,수납!$C:$C,원생!$A389,수납!$D:$D,IF(원생!$G389="","",원생!$G389),수납!$B:$B,$B$1&amp;"-"&amp;TEXT(11,"00")&amp;"*",수납!$E:$E,"수강료")+SUMIFS(수납!$F:$F,수납!$C:$C,원생!$A389,수납!$D:$D,IF(원생!$G389="","",원생!$G389),수납!$B:$B,$B$1&amp;"-"&amp;TEXT(11,"00")&amp;"*",수납!$E:$E,""))</f>
        <v/>
      </c>
      <c r="N391" s="14">
        <f>IF(원생!$A389="","",SUMIFS(수납!$F:$F,수납!$C:$C,원생!$A389,수납!$D:$D,IF(원생!$G389="","",원생!$G389),수납!$B:$B,$B$1&amp;"-"&amp;TEXT(12,"00")&amp;"*",수납!$E:$E,"수강료")+SUMIFS(수납!$F:$F,수납!$C:$C,원생!$A389,수납!$D:$D,IF(원생!$G389="","",원생!$G389),수납!$B:$B,$B$1&amp;"-"&amp;TEXT(12,"00")&amp;"*",수납!$E:$E,""))</f>
        <v/>
      </c>
      <c r="O391">
        <f>IF(원생!$I389="","",원생!$I389)</f>
        <v/>
      </c>
      <c r="P391">
        <f>IF($A391="","",IF(AND($B391&gt;0,C391&lt;$B391,DATE($B$1,1,1)&lt;=TODAY(),OR($O391="",$O391&gt;=DATE($B$1,1,1)),OR(COUNTIF($C391:C391,"&gt;0")&gt;0,DATE($B$1,1,1)=DATE(YEAR(TODAY()),MONTH(TODAY()),1))),1,0))</f>
        <v/>
      </c>
      <c r="Q391">
        <f>IF($A391="","",IF(AND($B391&gt;0,D391&lt;$B391,DATE($B$1,2,1)&lt;=TODAY(),OR($O391="",$O391&gt;=DATE($B$1,2,1)),OR(COUNTIF($C391:D391,"&gt;0")&gt;0,DATE($B$1,2,1)=DATE(YEAR(TODAY()),MONTH(TODAY()),1))),1,0))</f>
        <v/>
      </c>
      <c r="R391">
        <f>IF($A391="","",IF(AND($B391&gt;0,E391&lt;$B391,DATE($B$1,3,1)&lt;=TODAY(),OR($O391="",$O391&gt;=DATE($B$1,3,1)),OR(COUNTIF($C391:E391,"&gt;0")&gt;0,DATE($B$1,3,1)=DATE(YEAR(TODAY()),MONTH(TODAY()),1))),1,0))</f>
        <v/>
      </c>
      <c r="S391">
        <f>IF($A391="","",IF(AND($B391&gt;0,F391&lt;$B391,DATE($B$1,4,1)&lt;=TODAY(),OR($O391="",$O391&gt;=DATE($B$1,4,1)),OR(COUNTIF($C391:F391,"&gt;0")&gt;0,DATE($B$1,4,1)=DATE(YEAR(TODAY()),MONTH(TODAY()),1))),1,0))</f>
        <v/>
      </c>
      <c r="T391">
        <f>IF($A391="","",IF(AND($B391&gt;0,G391&lt;$B391,DATE($B$1,5,1)&lt;=TODAY(),OR($O391="",$O391&gt;=DATE($B$1,5,1)),OR(COUNTIF($C391:G391,"&gt;0")&gt;0,DATE($B$1,5,1)=DATE(YEAR(TODAY()),MONTH(TODAY()),1))),1,0))</f>
        <v/>
      </c>
      <c r="U391">
        <f>IF($A391="","",IF(AND($B391&gt;0,H391&lt;$B391,DATE($B$1,6,1)&lt;=TODAY(),OR($O391="",$O391&gt;=DATE($B$1,6,1)),OR(COUNTIF($C391:H391,"&gt;0")&gt;0,DATE($B$1,6,1)=DATE(YEAR(TODAY()),MONTH(TODAY()),1))),1,0))</f>
        <v/>
      </c>
      <c r="V391">
        <f>IF($A391="","",IF(AND($B391&gt;0,I391&lt;$B391,DATE($B$1,7,1)&lt;=TODAY(),OR($O391="",$O391&gt;=DATE($B$1,7,1)),OR(COUNTIF($C391:I391,"&gt;0")&gt;0,DATE($B$1,7,1)=DATE(YEAR(TODAY()),MONTH(TODAY()),1))),1,0))</f>
        <v/>
      </c>
      <c r="W391">
        <f>IF($A391="","",IF(AND($B391&gt;0,J391&lt;$B391,DATE($B$1,8,1)&lt;=TODAY(),OR($O391="",$O391&gt;=DATE($B$1,8,1)),OR(COUNTIF($C391:J391,"&gt;0")&gt;0,DATE($B$1,8,1)=DATE(YEAR(TODAY()),MONTH(TODAY()),1))),1,0))</f>
        <v/>
      </c>
      <c r="X391">
        <f>IF($A391="","",IF(AND($B391&gt;0,K391&lt;$B391,DATE($B$1,9,1)&lt;=TODAY(),OR($O391="",$O391&gt;=DATE($B$1,9,1)),OR(COUNTIF($C391:K391,"&gt;0")&gt;0,DATE($B$1,9,1)=DATE(YEAR(TODAY()),MONTH(TODAY()),1))),1,0))</f>
        <v/>
      </c>
      <c r="Y391">
        <f>IF($A391="","",IF(AND($B391&gt;0,L391&lt;$B391,DATE($B$1,10,1)&lt;=TODAY(),OR($O391="",$O391&gt;=DATE($B$1,10,1)),OR(COUNTIF($C391:L391,"&gt;0")&gt;0,DATE($B$1,10,1)=DATE(YEAR(TODAY()),MONTH(TODAY()),1))),1,0))</f>
        <v/>
      </c>
      <c r="Z391">
        <f>IF($A391="","",IF(AND($B391&gt;0,M391&lt;$B391,DATE($B$1,11,1)&lt;=TODAY(),OR($O391="",$O391&gt;=DATE($B$1,11,1)),OR(COUNTIF($C391:M391,"&gt;0")&gt;0,DATE($B$1,11,1)=DATE(YEAR(TODAY()),MONTH(TODAY()),1))),1,0))</f>
        <v/>
      </c>
      <c r="AA391">
        <f>IF($A391="","",IF(AND($B391&gt;0,N391&lt;$B391,DATE($B$1,12,1)&lt;=TODAY(),OR($O391="",$O391&gt;=DATE($B$1,12,1)),OR(COUNTIF($C391:N391,"&gt;0")&gt;0,DATE($B$1,12,1)=DATE(YEAR(TODAY()),MONTH(TODAY()),1))),1,0))</f>
        <v/>
      </c>
    </row>
    <row r="392">
      <c r="A392" s="13">
        <f>IF(원생!$A390="","",원생!$A390&amp;IF(원생!$G390="",""," ("&amp;원생!$G390&amp;")"))</f>
        <v/>
      </c>
      <c r="B392" s="8">
        <f>IF(원생!$A390="","",원생!$F390)</f>
        <v/>
      </c>
      <c r="C392" s="14">
        <f>IF(원생!$A390="","",SUMIFS(수납!$F:$F,수납!$C:$C,원생!$A390,수납!$D:$D,IF(원생!$G390="","",원생!$G390),수납!$B:$B,$B$1&amp;"-"&amp;TEXT(1,"00")&amp;"*",수납!$E:$E,"수강료")+SUMIFS(수납!$F:$F,수납!$C:$C,원생!$A390,수납!$D:$D,IF(원생!$G390="","",원생!$G390),수납!$B:$B,$B$1&amp;"-"&amp;TEXT(1,"00")&amp;"*",수납!$E:$E,""))</f>
        <v/>
      </c>
      <c r="D392" s="14">
        <f>IF(원생!$A390="","",SUMIFS(수납!$F:$F,수납!$C:$C,원생!$A390,수납!$D:$D,IF(원생!$G390="","",원생!$G390),수납!$B:$B,$B$1&amp;"-"&amp;TEXT(2,"00")&amp;"*",수납!$E:$E,"수강료")+SUMIFS(수납!$F:$F,수납!$C:$C,원생!$A390,수납!$D:$D,IF(원생!$G390="","",원생!$G390),수납!$B:$B,$B$1&amp;"-"&amp;TEXT(2,"00")&amp;"*",수납!$E:$E,""))</f>
        <v/>
      </c>
      <c r="E392" s="14">
        <f>IF(원생!$A390="","",SUMIFS(수납!$F:$F,수납!$C:$C,원생!$A390,수납!$D:$D,IF(원생!$G390="","",원생!$G390),수납!$B:$B,$B$1&amp;"-"&amp;TEXT(3,"00")&amp;"*",수납!$E:$E,"수강료")+SUMIFS(수납!$F:$F,수납!$C:$C,원생!$A390,수납!$D:$D,IF(원생!$G390="","",원생!$G390),수납!$B:$B,$B$1&amp;"-"&amp;TEXT(3,"00")&amp;"*",수납!$E:$E,""))</f>
        <v/>
      </c>
      <c r="F392" s="14">
        <f>IF(원생!$A390="","",SUMIFS(수납!$F:$F,수납!$C:$C,원생!$A390,수납!$D:$D,IF(원생!$G390="","",원생!$G390),수납!$B:$B,$B$1&amp;"-"&amp;TEXT(4,"00")&amp;"*",수납!$E:$E,"수강료")+SUMIFS(수납!$F:$F,수납!$C:$C,원생!$A390,수납!$D:$D,IF(원생!$G390="","",원생!$G390),수납!$B:$B,$B$1&amp;"-"&amp;TEXT(4,"00")&amp;"*",수납!$E:$E,""))</f>
        <v/>
      </c>
      <c r="G392" s="14">
        <f>IF(원생!$A390="","",SUMIFS(수납!$F:$F,수납!$C:$C,원생!$A390,수납!$D:$D,IF(원생!$G390="","",원생!$G390),수납!$B:$B,$B$1&amp;"-"&amp;TEXT(5,"00")&amp;"*",수납!$E:$E,"수강료")+SUMIFS(수납!$F:$F,수납!$C:$C,원생!$A390,수납!$D:$D,IF(원생!$G390="","",원생!$G390),수납!$B:$B,$B$1&amp;"-"&amp;TEXT(5,"00")&amp;"*",수납!$E:$E,""))</f>
        <v/>
      </c>
      <c r="H392" s="14">
        <f>IF(원생!$A390="","",SUMIFS(수납!$F:$F,수납!$C:$C,원생!$A390,수납!$D:$D,IF(원생!$G390="","",원생!$G390),수납!$B:$B,$B$1&amp;"-"&amp;TEXT(6,"00")&amp;"*",수납!$E:$E,"수강료")+SUMIFS(수납!$F:$F,수납!$C:$C,원생!$A390,수납!$D:$D,IF(원생!$G390="","",원생!$G390),수납!$B:$B,$B$1&amp;"-"&amp;TEXT(6,"00")&amp;"*",수납!$E:$E,""))</f>
        <v/>
      </c>
      <c r="I392" s="14">
        <f>IF(원생!$A390="","",SUMIFS(수납!$F:$F,수납!$C:$C,원생!$A390,수납!$D:$D,IF(원생!$G390="","",원생!$G390),수납!$B:$B,$B$1&amp;"-"&amp;TEXT(7,"00")&amp;"*",수납!$E:$E,"수강료")+SUMIFS(수납!$F:$F,수납!$C:$C,원생!$A390,수납!$D:$D,IF(원생!$G390="","",원생!$G390),수납!$B:$B,$B$1&amp;"-"&amp;TEXT(7,"00")&amp;"*",수납!$E:$E,""))</f>
        <v/>
      </c>
      <c r="J392" s="14">
        <f>IF(원생!$A390="","",SUMIFS(수납!$F:$F,수납!$C:$C,원생!$A390,수납!$D:$D,IF(원생!$G390="","",원생!$G390),수납!$B:$B,$B$1&amp;"-"&amp;TEXT(8,"00")&amp;"*",수납!$E:$E,"수강료")+SUMIFS(수납!$F:$F,수납!$C:$C,원생!$A390,수납!$D:$D,IF(원생!$G390="","",원생!$G390),수납!$B:$B,$B$1&amp;"-"&amp;TEXT(8,"00")&amp;"*",수납!$E:$E,""))</f>
        <v/>
      </c>
      <c r="K392" s="14">
        <f>IF(원생!$A390="","",SUMIFS(수납!$F:$F,수납!$C:$C,원생!$A390,수납!$D:$D,IF(원생!$G390="","",원생!$G390),수납!$B:$B,$B$1&amp;"-"&amp;TEXT(9,"00")&amp;"*",수납!$E:$E,"수강료")+SUMIFS(수납!$F:$F,수납!$C:$C,원생!$A390,수납!$D:$D,IF(원생!$G390="","",원생!$G390),수납!$B:$B,$B$1&amp;"-"&amp;TEXT(9,"00")&amp;"*",수납!$E:$E,""))</f>
        <v/>
      </c>
      <c r="L392" s="14">
        <f>IF(원생!$A390="","",SUMIFS(수납!$F:$F,수납!$C:$C,원생!$A390,수납!$D:$D,IF(원생!$G390="","",원생!$G390),수납!$B:$B,$B$1&amp;"-"&amp;TEXT(10,"00")&amp;"*",수납!$E:$E,"수강료")+SUMIFS(수납!$F:$F,수납!$C:$C,원생!$A390,수납!$D:$D,IF(원생!$G390="","",원생!$G390),수납!$B:$B,$B$1&amp;"-"&amp;TEXT(10,"00")&amp;"*",수납!$E:$E,""))</f>
        <v/>
      </c>
      <c r="M392" s="14">
        <f>IF(원생!$A390="","",SUMIFS(수납!$F:$F,수납!$C:$C,원생!$A390,수납!$D:$D,IF(원생!$G390="","",원생!$G390),수납!$B:$B,$B$1&amp;"-"&amp;TEXT(11,"00")&amp;"*",수납!$E:$E,"수강료")+SUMIFS(수납!$F:$F,수납!$C:$C,원생!$A390,수납!$D:$D,IF(원생!$G390="","",원생!$G390),수납!$B:$B,$B$1&amp;"-"&amp;TEXT(11,"00")&amp;"*",수납!$E:$E,""))</f>
        <v/>
      </c>
      <c r="N392" s="14">
        <f>IF(원생!$A390="","",SUMIFS(수납!$F:$F,수납!$C:$C,원생!$A390,수납!$D:$D,IF(원생!$G390="","",원생!$G390),수납!$B:$B,$B$1&amp;"-"&amp;TEXT(12,"00")&amp;"*",수납!$E:$E,"수강료")+SUMIFS(수납!$F:$F,수납!$C:$C,원생!$A390,수납!$D:$D,IF(원생!$G390="","",원생!$G390),수납!$B:$B,$B$1&amp;"-"&amp;TEXT(12,"00")&amp;"*",수납!$E:$E,""))</f>
        <v/>
      </c>
      <c r="O392">
        <f>IF(원생!$I390="","",원생!$I390)</f>
        <v/>
      </c>
      <c r="P392">
        <f>IF($A392="","",IF(AND($B392&gt;0,C392&lt;$B392,DATE($B$1,1,1)&lt;=TODAY(),OR($O392="",$O392&gt;=DATE($B$1,1,1)),OR(COUNTIF($C392:C392,"&gt;0")&gt;0,DATE($B$1,1,1)=DATE(YEAR(TODAY()),MONTH(TODAY()),1))),1,0))</f>
        <v/>
      </c>
      <c r="Q392">
        <f>IF($A392="","",IF(AND($B392&gt;0,D392&lt;$B392,DATE($B$1,2,1)&lt;=TODAY(),OR($O392="",$O392&gt;=DATE($B$1,2,1)),OR(COUNTIF($C392:D392,"&gt;0")&gt;0,DATE($B$1,2,1)=DATE(YEAR(TODAY()),MONTH(TODAY()),1))),1,0))</f>
        <v/>
      </c>
      <c r="R392">
        <f>IF($A392="","",IF(AND($B392&gt;0,E392&lt;$B392,DATE($B$1,3,1)&lt;=TODAY(),OR($O392="",$O392&gt;=DATE($B$1,3,1)),OR(COUNTIF($C392:E392,"&gt;0")&gt;0,DATE($B$1,3,1)=DATE(YEAR(TODAY()),MONTH(TODAY()),1))),1,0))</f>
        <v/>
      </c>
      <c r="S392">
        <f>IF($A392="","",IF(AND($B392&gt;0,F392&lt;$B392,DATE($B$1,4,1)&lt;=TODAY(),OR($O392="",$O392&gt;=DATE($B$1,4,1)),OR(COUNTIF($C392:F392,"&gt;0")&gt;0,DATE($B$1,4,1)=DATE(YEAR(TODAY()),MONTH(TODAY()),1))),1,0))</f>
        <v/>
      </c>
      <c r="T392">
        <f>IF($A392="","",IF(AND($B392&gt;0,G392&lt;$B392,DATE($B$1,5,1)&lt;=TODAY(),OR($O392="",$O392&gt;=DATE($B$1,5,1)),OR(COUNTIF($C392:G392,"&gt;0")&gt;0,DATE($B$1,5,1)=DATE(YEAR(TODAY()),MONTH(TODAY()),1))),1,0))</f>
        <v/>
      </c>
      <c r="U392">
        <f>IF($A392="","",IF(AND($B392&gt;0,H392&lt;$B392,DATE($B$1,6,1)&lt;=TODAY(),OR($O392="",$O392&gt;=DATE($B$1,6,1)),OR(COUNTIF($C392:H392,"&gt;0")&gt;0,DATE($B$1,6,1)=DATE(YEAR(TODAY()),MONTH(TODAY()),1))),1,0))</f>
        <v/>
      </c>
      <c r="V392">
        <f>IF($A392="","",IF(AND($B392&gt;0,I392&lt;$B392,DATE($B$1,7,1)&lt;=TODAY(),OR($O392="",$O392&gt;=DATE($B$1,7,1)),OR(COUNTIF($C392:I392,"&gt;0")&gt;0,DATE($B$1,7,1)=DATE(YEAR(TODAY()),MONTH(TODAY()),1))),1,0))</f>
        <v/>
      </c>
      <c r="W392">
        <f>IF($A392="","",IF(AND($B392&gt;0,J392&lt;$B392,DATE($B$1,8,1)&lt;=TODAY(),OR($O392="",$O392&gt;=DATE($B$1,8,1)),OR(COUNTIF($C392:J392,"&gt;0")&gt;0,DATE($B$1,8,1)=DATE(YEAR(TODAY()),MONTH(TODAY()),1))),1,0))</f>
        <v/>
      </c>
      <c r="X392">
        <f>IF($A392="","",IF(AND($B392&gt;0,K392&lt;$B392,DATE($B$1,9,1)&lt;=TODAY(),OR($O392="",$O392&gt;=DATE($B$1,9,1)),OR(COUNTIF($C392:K392,"&gt;0")&gt;0,DATE($B$1,9,1)=DATE(YEAR(TODAY()),MONTH(TODAY()),1))),1,0))</f>
        <v/>
      </c>
      <c r="Y392">
        <f>IF($A392="","",IF(AND($B392&gt;0,L392&lt;$B392,DATE($B$1,10,1)&lt;=TODAY(),OR($O392="",$O392&gt;=DATE($B$1,10,1)),OR(COUNTIF($C392:L392,"&gt;0")&gt;0,DATE($B$1,10,1)=DATE(YEAR(TODAY()),MONTH(TODAY()),1))),1,0))</f>
        <v/>
      </c>
      <c r="Z392">
        <f>IF($A392="","",IF(AND($B392&gt;0,M392&lt;$B392,DATE($B$1,11,1)&lt;=TODAY(),OR($O392="",$O392&gt;=DATE($B$1,11,1)),OR(COUNTIF($C392:M392,"&gt;0")&gt;0,DATE($B$1,11,1)=DATE(YEAR(TODAY()),MONTH(TODAY()),1))),1,0))</f>
        <v/>
      </c>
      <c r="AA392">
        <f>IF($A392="","",IF(AND($B392&gt;0,N392&lt;$B392,DATE($B$1,12,1)&lt;=TODAY(),OR($O392="",$O392&gt;=DATE($B$1,12,1)),OR(COUNTIF($C392:N392,"&gt;0")&gt;0,DATE($B$1,12,1)=DATE(YEAR(TODAY()),MONTH(TODAY()),1))),1,0))</f>
        <v/>
      </c>
    </row>
    <row r="393">
      <c r="A393" s="13">
        <f>IF(원생!$A391="","",원생!$A391&amp;IF(원생!$G391="",""," ("&amp;원생!$G391&amp;")"))</f>
        <v/>
      </c>
      <c r="B393" s="8">
        <f>IF(원생!$A391="","",원생!$F391)</f>
        <v/>
      </c>
      <c r="C393" s="14">
        <f>IF(원생!$A391="","",SUMIFS(수납!$F:$F,수납!$C:$C,원생!$A391,수납!$D:$D,IF(원생!$G391="","",원생!$G391),수납!$B:$B,$B$1&amp;"-"&amp;TEXT(1,"00")&amp;"*",수납!$E:$E,"수강료")+SUMIFS(수납!$F:$F,수납!$C:$C,원생!$A391,수납!$D:$D,IF(원생!$G391="","",원생!$G391),수납!$B:$B,$B$1&amp;"-"&amp;TEXT(1,"00")&amp;"*",수납!$E:$E,""))</f>
        <v/>
      </c>
      <c r="D393" s="14">
        <f>IF(원생!$A391="","",SUMIFS(수납!$F:$F,수납!$C:$C,원생!$A391,수납!$D:$D,IF(원생!$G391="","",원생!$G391),수납!$B:$B,$B$1&amp;"-"&amp;TEXT(2,"00")&amp;"*",수납!$E:$E,"수강료")+SUMIFS(수납!$F:$F,수납!$C:$C,원생!$A391,수납!$D:$D,IF(원생!$G391="","",원생!$G391),수납!$B:$B,$B$1&amp;"-"&amp;TEXT(2,"00")&amp;"*",수납!$E:$E,""))</f>
        <v/>
      </c>
      <c r="E393" s="14">
        <f>IF(원생!$A391="","",SUMIFS(수납!$F:$F,수납!$C:$C,원생!$A391,수납!$D:$D,IF(원생!$G391="","",원생!$G391),수납!$B:$B,$B$1&amp;"-"&amp;TEXT(3,"00")&amp;"*",수납!$E:$E,"수강료")+SUMIFS(수납!$F:$F,수납!$C:$C,원생!$A391,수납!$D:$D,IF(원생!$G391="","",원생!$G391),수납!$B:$B,$B$1&amp;"-"&amp;TEXT(3,"00")&amp;"*",수납!$E:$E,""))</f>
        <v/>
      </c>
      <c r="F393" s="14">
        <f>IF(원생!$A391="","",SUMIFS(수납!$F:$F,수납!$C:$C,원생!$A391,수납!$D:$D,IF(원생!$G391="","",원생!$G391),수납!$B:$B,$B$1&amp;"-"&amp;TEXT(4,"00")&amp;"*",수납!$E:$E,"수강료")+SUMIFS(수납!$F:$F,수납!$C:$C,원생!$A391,수납!$D:$D,IF(원생!$G391="","",원생!$G391),수납!$B:$B,$B$1&amp;"-"&amp;TEXT(4,"00")&amp;"*",수납!$E:$E,""))</f>
        <v/>
      </c>
      <c r="G393" s="14">
        <f>IF(원생!$A391="","",SUMIFS(수납!$F:$F,수납!$C:$C,원생!$A391,수납!$D:$D,IF(원생!$G391="","",원생!$G391),수납!$B:$B,$B$1&amp;"-"&amp;TEXT(5,"00")&amp;"*",수납!$E:$E,"수강료")+SUMIFS(수납!$F:$F,수납!$C:$C,원생!$A391,수납!$D:$D,IF(원생!$G391="","",원생!$G391),수납!$B:$B,$B$1&amp;"-"&amp;TEXT(5,"00")&amp;"*",수납!$E:$E,""))</f>
        <v/>
      </c>
      <c r="H393" s="14">
        <f>IF(원생!$A391="","",SUMIFS(수납!$F:$F,수납!$C:$C,원생!$A391,수납!$D:$D,IF(원생!$G391="","",원생!$G391),수납!$B:$B,$B$1&amp;"-"&amp;TEXT(6,"00")&amp;"*",수납!$E:$E,"수강료")+SUMIFS(수납!$F:$F,수납!$C:$C,원생!$A391,수납!$D:$D,IF(원생!$G391="","",원생!$G391),수납!$B:$B,$B$1&amp;"-"&amp;TEXT(6,"00")&amp;"*",수납!$E:$E,""))</f>
        <v/>
      </c>
      <c r="I393" s="14">
        <f>IF(원생!$A391="","",SUMIFS(수납!$F:$F,수납!$C:$C,원생!$A391,수납!$D:$D,IF(원생!$G391="","",원생!$G391),수납!$B:$B,$B$1&amp;"-"&amp;TEXT(7,"00")&amp;"*",수납!$E:$E,"수강료")+SUMIFS(수납!$F:$F,수납!$C:$C,원생!$A391,수납!$D:$D,IF(원생!$G391="","",원생!$G391),수납!$B:$B,$B$1&amp;"-"&amp;TEXT(7,"00")&amp;"*",수납!$E:$E,""))</f>
        <v/>
      </c>
      <c r="J393" s="14">
        <f>IF(원생!$A391="","",SUMIFS(수납!$F:$F,수납!$C:$C,원생!$A391,수납!$D:$D,IF(원생!$G391="","",원생!$G391),수납!$B:$B,$B$1&amp;"-"&amp;TEXT(8,"00")&amp;"*",수납!$E:$E,"수강료")+SUMIFS(수납!$F:$F,수납!$C:$C,원생!$A391,수납!$D:$D,IF(원생!$G391="","",원생!$G391),수납!$B:$B,$B$1&amp;"-"&amp;TEXT(8,"00")&amp;"*",수납!$E:$E,""))</f>
        <v/>
      </c>
      <c r="K393" s="14">
        <f>IF(원생!$A391="","",SUMIFS(수납!$F:$F,수납!$C:$C,원생!$A391,수납!$D:$D,IF(원생!$G391="","",원생!$G391),수납!$B:$B,$B$1&amp;"-"&amp;TEXT(9,"00")&amp;"*",수납!$E:$E,"수강료")+SUMIFS(수납!$F:$F,수납!$C:$C,원생!$A391,수납!$D:$D,IF(원생!$G391="","",원생!$G391),수납!$B:$B,$B$1&amp;"-"&amp;TEXT(9,"00")&amp;"*",수납!$E:$E,""))</f>
        <v/>
      </c>
      <c r="L393" s="14">
        <f>IF(원생!$A391="","",SUMIFS(수납!$F:$F,수납!$C:$C,원생!$A391,수납!$D:$D,IF(원생!$G391="","",원생!$G391),수납!$B:$B,$B$1&amp;"-"&amp;TEXT(10,"00")&amp;"*",수납!$E:$E,"수강료")+SUMIFS(수납!$F:$F,수납!$C:$C,원생!$A391,수납!$D:$D,IF(원생!$G391="","",원생!$G391),수납!$B:$B,$B$1&amp;"-"&amp;TEXT(10,"00")&amp;"*",수납!$E:$E,""))</f>
        <v/>
      </c>
      <c r="M393" s="14">
        <f>IF(원생!$A391="","",SUMIFS(수납!$F:$F,수납!$C:$C,원생!$A391,수납!$D:$D,IF(원생!$G391="","",원생!$G391),수납!$B:$B,$B$1&amp;"-"&amp;TEXT(11,"00")&amp;"*",수납!$E:$E,"수강료")+SUMIFS(수납!$F:$F,수납!$C:$C,원생!$A391,수납!$D:$D,IF(원생!$G391="","",원생!$G391),수납!$B:$B,$B$1&amp;"-"&amp;TEXT(11,"00")&amp;"*",수납!$E:$E,""))</f>
        <v/>
      </c>
      <c r="N393" s="14">
        <f>IF(원생!$A391="","",SUMIFS(수납!$F:$F,수납!$C:$C,원생!$A391,수납!$D:$D,IF(원생!$G391="","",원생!$G391),수납!$B:$B,$B$1&amp;"-"&amp;TEXT(12,"00")&amp;"*",수납!$E:$E,"수강료")+SUMIFS(수납!$F:$F,수납!$C:$C,원생!$A391,수납!$D:$D,IF(원생!$G391="","",원생!$G391),수납!$B:$B,$B$1&amp;"-"&amp;TEXT(12,"00")&amp;"*",수납!$E:$E,""))</f>
        <v/>
      </c>
      <c r="O393">
        <f>IF(원생!$I391="","",원생!$I391)</f>
        <v/>
      </c>
      <c r="P393">
        <f>IF($A393="","",IF(AND($B393&gt;0,C393&lt;$B393,DATE($B$1,1,1)&lt;=TODAY(),OR($O393="",$O393&gt;=DATE($B$1,1,1)),OR(COUNTIF($C393:C393,"&gt;0")&gt;0,DATE($B$1,1,1)=DATE(YEAR(TODAY()),MONTH(TODAY()),1))),1,0))</f>
        <v/>
      </c>
      <c r="Q393">
        <f>IF($A393="","",IF(AND($B393&gt;0,D393&lt;$B393,DATE($B$1,2,1)&lt;=TODAY(),OR($O393="",$O393&gt;=DATE($B$1,2,1)),OR(COUNTIF($C393:D393,"&gt;0")&gt;0,DATE($B$1,2,1)=DATE(YEAR(TODAY()),MONTH(TODAY()),1))),1,0))</f>
        <v/>
      </c>
      <c r="R393">
        <f>IF($A393="","",IF(AND($B393&gt;0,E393&lt;$B393,DATE($B$1,3,1)&lt;=TODAY(),OR($O393="",$O393&gt;=DATE($B$1,3,1)),OR(COUNTIF($C393:E393,"&gt;0")&gt;0,DATE($B$1,3,1)=DATE(YEAR(TODAY()),MONTH(TODAY()),1))),1,0))</f>
        <v/>
      </c>
      <c r="S393">
        <f>IF($A393="","",IF(AND($B393&gt;0,F393&lt;$B393,DATE($B$1,4,1)&lt;=TODAY(),OR($O393="",$O393&gt;=DATE($B$1,4,1)),OR(COUNTIF($C393:F393,"&gt;0")&gt;0,DATE($B$1,4,1)=DATE(YEAR(TODAY()),MONTH(TODAY()),1))),1,0))</f>
        <v/>
      </c>
      <c r="T393">
        <f>IF($A393="","",IF(AND($B393&gt;0,G393&lt;$B393,DATE($B$1,5,1)&lt;=TODAY(),OR($O393="",$O393&gt;=DATE($B$1,5,1)),OR(COUNTIF($C393:G393,"&gt;0")&gt;0,DATE($B$1,5,1)=DATE(YEAR(TODAY()),MONTH(TODAY()),1))),1,0))</f>
        <v/>
      </c>
      <c r="U393">
        <f>IF($A393="","",IF(AND($B393&gt;0,H393&lt;$B393,DATE($B$1,6,1)&lt;=TODAY(),OR($O393="",$O393&gt;=DATE($B$1,6,1)),OR(COUNTIF($C393:H393,"&gt;0")&gt;0,DATE($B$1,6,1)=DATE(YEAR(TODAY()),MONTH(TODAY()),1))),1,0))</f>
        <v/>
      </c>
      <c r="V393">
        <f>IF($A393="","",IF(AND($B393&gt;0,I393&lt;$B393,DATE($B$1,7,1)&lt;=TODAY(),OR($O393="",$O393&gt;=DATE($B$1,7,1)),OR(COUNTIF($C393:I393,"&gt;0")&gt;0,DATE($B$1,7,1)=DATE(YEAR(TODAY()),MONTH(TODAY()),1))),1,0))</f>
        <v/>
      </c>
      <c r="W393">
        <f>IF($A393="","",IF(AND($B393&gt;0,J393&lt;$B393,DATE($B$1,8,1)&lt;=TODAY(),OR($O393="",$O393&gt;=DATE($B$1,8,1)),OR(COUNTIF($C393:J393,"&gt;0")&gt;0,DATE($B$1,8,1)=DATE(YEAR(TODAY()),MONTH(TODAY()),1))),1,0))</f>
        <v/>
      </c>
      <c r="X393">
        <f>IF($A393="","",IF(AND($B393&gt;0,K393&lt;$B393,DATE($B$1,9,1)&lt;=TODAY(),OR($O393="",$O393&gt;=DATE($B$1,9,1)),OR(COUNTIF($C393:K393,"&gt;0")&gt;0,DATE($B$1,9,1)=DATE(YEAR(TODAY()),MONTH(TODAY()),1))),1,0))</f>
        <v/>
      </c>
      <c r="Y393">
        <f>IF($A393="","",IF(AND($B393&gt;0,L393&lt;$B393,DATE($B$1,10,1)&lt;=TODAY(),OR($O393="",$O393&gt;=DATE($B$1,10,1)),OR(COUNTIF($C393:L393,"&gt;0")&gt;0,DATE($B$1,10,1)=DATE(YEAR(TODAY()),MONTH(TODAY()),1))),1,0))</f>
        <v/>
      </c>
      <c r="Z393">
        <f>IF($A393="","",IF(AND($B393&gt;0,M393&lt;$B393,DATE($B$1,11,1)&lt;=TODAY(),OR($O393="",$O393&gt;=DATE($B$1,11,1)),OR(COUNTIF($C393:M393,"&gt;0")&gt;0,DATE($B$1,11,1)=DATE(YEAR(TODAY()),MONTH(TODAY()),1))),1,0))</f>
        <v/>
      </c>
      <c r="AA393">
        <f>IF($A393="","",IF(AND($B393&gt;0,N393&lt;$B393,DATE($B$1,12,1)&lt;=TODAY(),OR($O393="",$O393&gt;=DATE($B$1,12,1)),OR(COUNTIF($C393:N393,"&gt;0")&gt;0,DATE($B$1,12,1)=DATE(YEAR(TODAY()),MONTH(TODAY()),1))),1,0))</f>
        <v/>
      </c>
    </row>
    <row r="394">
      <c r="A394" s="13">
        <f>IF(원생!$A392="","",원생!$A392&amp;IF(원생!$G392="",""," ("&amp;원생!$G392&amp;")"))</f>
        <v/>
      </c>
      <c r="B394" s="8">
        <f>IF(원생!$A392="","",원생!$F392)</f>
        <v/>
      </c>
      <c r="C394" s="14">
        <f>IF(원생!$A392="","",SUMIFS(수납!$F:$F,수납!$C:$C,원생!$A392,수납!$D:$D,IF(원생!$G392="","",원생!$G392),수납!$B:$B,$B$1&amp;"-"&amp;TEXT(1,"00")&amp;"*",수납!$E:$E,"수강료")+SUMIFS(수납!$F:$F,수납!$C:$C,원생!$A392,수납!$D:$D,IF(원생!$G392="","",원생!$G392),수납!$B:$B,$B$1&amp;"-"&amp;TEXT(1,"00")&amp;"*",수납!$E:$E,""))</f>
        <v/>
      </c>
      <c r="D394" s="14">
        <f>IF(원생!$A392="","",SUMIFS(수납!$F:$F,수납!$C:$C,원생!$A392,수납!$D:$D,IF(원생!$G392="","",원생!$G392),수납!$B:$B,$B$1&amp;"-"&amp;TEXT(2,"00")&amp;"*",수납!$E:$E,"수강료")+SUMIFS(수납!$F:$F,수납!$C:$C,원생!$A392,수납!$D:$D,IF(원생!$G392="","",원생!$G392),수납!$B:$B,$B$1&amp;"-"&amp;TEXT(2,"00")&amp;"*",수납!$E:$E,""))</f>
        <v/>
      </c>
      <c r="E394" s="14">
        <f>IF(원생!$A392="","",SUMIFS(수납!$F:$F,수납!$C:$C,원생!$A392,수납!$D:$D,IF(원생!$G392="","",원생!$G392),수납!$B:$B,$B$1&amp;"-"&amp;TEXT(3,"00")&amp;"*",수납!$E:$E,"수강료")+SUMIFS(수납!$F:$F,수납!$C:$C,원생!$A392,수납!$D:$D,IF(원생!$G392="","",원생!$G392),수납!$B:$B,$B$1&amp;"-"&amp;TEXT(3,"00")&amp;"*",수납!$E:$E,""))</f>
        <v/>
      </c>
      <c r="F394" s="14">
        <f>IF(원생!$A392="","",SUMIFS(수납!$F:$F,수납!$C:$C,원생!$A392,수납!$D:$D,IF(원생!$G392="","",원생!$G392),수납!$B:$B,$B$1&amp;"-"&amp;TEXT(4,"00")&amp;"*",수납!$E:$E,"수강료")+SUMIFS(수납!$F:$F,수납!$C:$C,원생!$A392,수납!$D:$D,IF(원생!$G392="","",원생!$G392),수납!$B:$B,$B$1&amp;"-"&amp;TEXT(4,"00")&amp;"*",수납!$E:$E,""))</f>
        <v/>
      </c>
      <c r="G394" s="14">
        <f>IF(원생!$A392="","",SUMIFS(수납!$F:$F,수납!$C:$C,원생!$A392,수납!$D:$D,IF(원생!$G392="","",원생!$G392),수납!$B:$B,$B$1&amp;"-"&amp;TEXT(5,"00")&amp;"*",수납!$E:$E,"수강료")+SUMIFS(수납!$F:$F,수납!$C:$C,원생!$A392,수납!$D:$D,IF(원생!$G392="","",원생!$G392),수납!$B:$B,$B$1&amp;"-"&amp;TEXT(5,"00")&amp;"*",수납!$E:$E,""))</f>
        <v/>
      </c>
      <c r="H394" s="14">
        <f>IF(원생!$A392="","",SUMIFS(수납!$F:$F,수납!$C:$C,원생!$A392,수납!$D:$D,IF(원생!$G392="","",원생!$G392),수납!$B:$B,$B$1&amp;"-"&amp;TEXT(6,"00")&amp;"*",수납!$E:$E,"수강료")+SUMIFS(수납!$F:$F,수납!$C:$C,원생!$A392,수납!$D:$D,IF(원생!$G392="","",원생!$G392),수납!$B:$B,$B$1&amp;"-"&amp;TEXT(6,"00")&amp;"*",수납!$E:$E,""))</f>
        <v/>
      </c>
      <c r="I394" s="14">
        <f>IF(원생!$A392="","",SUMIFS(수납!$F:$F,수납!$C:$C,원생!$A392,수납!$D:$D,IF(원생!$G392="","",원생!$G392),수납!$B:$B,$B$1&amp;"-"&amp;TEXT(7,"00")&amp;"*",수납!$E:$E,"수강료")+SUMIFS(수납!$F:$F,수납!$C:$C,원생!$A392,수납!$D:$D,IF(원생!$G392="","",원생!$G392),수납!$B:$B,$B$1&amp;"-"&amp;TEXT(7,"00")&amp;"*",수납!$E:$E,""))</f>
        <v/>
      </c>
      <c r="J394" s="14">
        <f>IF(원생!$A392="","",SUMIFS(수납!$F:$F,수납!$C:$C,원생!$A392,수납!$D:$D,IF(원생!$G392="","",원생!$G392),수납!$B:$B,$B$1&amp;"-"&amp;TEXT(8,"00")&amp;"*",수납!$E:$E,"수강료")+SUMIFS(수납!$F:$F,수납!$C:$C,원생!$A392,수납!$D:$D,IF(원생!$G392="","",원생!$G392),수납!$B:$B,$B$1&amp;"-"&amp;TEXT(8,"00")&amp;"*",수납!$E:$E,""))</f>
        <v/>
      </c>
      <c r="K394" s="14">
        <f>IF(원생!$A392="","",SUMIFS(수납!$F:$F,수납!$C:$C,원생!$A392,수납!$D:$D,IF(원생!$G392="","",원생!$G392),수납!$B:$B,$B$1&amp;"-"&amp;TEXT(9,"00")&amp;"*",수납!$E:$E,"수강료")+SUMIFS(수납!$F:$F,수납!$C:$C,원생!$A392,수납!$D:$D,IF(원생!$G392="","",원생!$G392),수납!$B:$B,$B$1&amp;"-"&amp;TEXT(9,"00")&amp;"*",수납!$E:$E,""))</f>
        <v/>
      </c>
      <c r="L394" s="14">
        <f>IF(원생!$A392="","",SUMIFS(수납!$F:$F,수납!$C:$C,원생!$A392,수납!$D:$D,IF(원생!$G392="","",원생!$G392),수납!$B:$B,$B$1&amp;"-"&amp;TEXT(10,"00")&amp;"*",수납!$E:$E,"수강료")+SUMIFS(수납!$F:$F,수납!$C:$C,원생!$A392,수납!$D:$D,IF(원생!$G392="","",원생!$G392),수납!$B:$B,$B$1&amp;"-"&amp;TEXT(10,"00")&amp;"*",수납!$E:$E,""))</f>
        <v/>
      </c>
      <c r="M394" s="14">
        <f>IF(원생!$A392="","",SUMIFS(수납!$F:$F,수납!$C:$C,원생!$A392,수납!$D:$D,IF(원생!$G392="","",원생!$G392),수납!$B:$B,$B$1&amp;"-"&amp;TEXT(11,"00")&amp;"*",수납!$E:$E,"수강료")+SUMIFS(수납!$F:$F,수납!$C:$C,원생!$A392,수납!$D:$D,IF(원생!$G392="","",원생!$G392),수납!$B:$B,$B$1&amp;"-"&amp;TEXT(11,"00")&amp;"*",수납!$E:$E,""))</f>
        <v/>
      </c>
      <c r="N394" s="14">
        <f>IF(원생!$A392="","",SUMIFS(수납!$F:$F,수납!$C:$C,원생!$A392,수납!$D:$D,IF(원생!$G392="","",원생!$G392),수납!$B:$B,$B$1&amp;"-"&amp;TEXT(12,"00")&amp;"*",수납!$E:$E,"수강료")+SUMIFS(수납!$F:$F,수납!$C:$C,원생!$A392,수납!$D:$D,IF(원생!$G392="","",원생!$G392),수납!$B:$B,$B$1&amp;"-"&amp;TEXT(12,"00")&amp;"*",수납!$E:$E,""))</f>
        <v/>
      </c>
      <c r="O394">
        <f>IF(원생!$I392="","",원생!$I392)</f>
        <v/>
      </c>
      <c r="P394">
        <f>IF($A394="","",IF(AND($B394&gt;0,C394&lt;$B394,DATE($B$1,1,1)&lt;=TODAY(),OR($O394="",$O394&gt;=DATE($B$1,1,1)),OR(COUNTIF($C394:C394,"&gt;0")&gt;0,DATE($B$1,1,1)=DATE(YEAR(TODAY()),MONTH(TODAY()),1))),1,0))</f>
        <v/>
      </c>
      <c r="Q394">
        <f>IF($A394="","",IF(AND($B394&gt;0,D394&lt;$B394,DATE($B$1,2,1)&lt;=TODAY(),OR($O394="",$O394&gt;=DATE($B$1,2,1)),OR(COUNTIF($C394:D394,"&gt;0")&gt;0,DATE($B$1,2,1)=DATE(YEAR(TODAY()),MONTH(TODAY()),1))),1,0))</f>
        <v/>
      </c>
      <c r="R394">
        <f>IF($A394="","",IF(AND($B394&gt;0,E394&lt;$B394,DATE($B$1,3,1)&lt;=TODAY(),OR($O394="",$O394&gt;=DATE($B$1,3,1)),OR(COUNTIF($C394:E394,"&gt;0")&gt;0,DATE($B$1,3,1)=DATE(YEAR(TODAY()),MONTH(TODAY()),1))),1,0))</f>
        <v/>
      </c>
      <c r="S394">
        <f>IF($A394="","",IF(AND($B394&gt;0,F394&lt;$B394,DATE($B$1,4,1)&lt;=TODAY(),OR($O394="",$O394&gt;=DATE($B$1,4,1)),OR(COUNTIF($C394:F394,"&gt;0")&gt;0,DATE($B$1,4,1)=DATE(YEAR(TODAY()),MONTH(TODAY()),1))),1,0))</f>
        <v/>
      </c>
      <c r="T394">
        <f>IF($A394="","",IF(AND($B394&gt;0,G394&lt;$B394,DATE($B$1,5,1)&lt;=TODAY(),OR($O394="",$O394&gt;=DATE($B$1,5,1)),OR(COUNTIF($C394:G394,"&gt;0")&gt;0,DATE($B$1,5,1)=DATE(YEAR(TODAY()),MONTH(TODAY()),1))),1,0))</f>
        <v/>
      </c>
      <c r="U394">
        <f>IF($A394="","",IF(AND($B394&gt;0,H394&lt;$B394,DATE($B$1,6,1)&lt;=TODAY(),OR($O394="",$O394&gt;=DATE($B$1,6,1)),OR(COUNTIF($C394:H394,"&gt;0")&gt;0,DATE($B$1,6,1)=DATE(YEAR(TODAY()),MONTH(TODAY()),1))),1,0))</f>
        <v/>
      </c>
      <c r="V394">
        <f>IF($A394="","",IF(AND($B394&gt;0,I394&lt;$B394,DATE($B$1,7,1)&lt;=TODAY(),OR($O394="",$O394&gt;=DATE($B$1,7,1)),OR(COUNTIF($C394:I394,"&gt;0")&gt;0,DATE($B$1,7,1)=DATE(YEAR(TODAY()),MONTH(TODAY()),1))),1,0))</f>
        <v/>
      </c>
      <c r="W394">
        <f>IF($A394="","",IF(AND($B394&gt;0,J394&lt;$B394,DATE($B$1,8,1)&lt;=TODAY(),OR($O394="",$O394&gt;=DATE($B$1,8,1)),OR(COUNTIF($C394:J394,"&gt;0")&gt;0,DATE($B$1,8,1)=DATE(YEAR(TODAY()),MONTH(TODAY()),1))),1,0))</f>
        <v/>
      </c>
      <c r="X394">
        <f>IF($A394="","",IF(AND($B394&gt;0,K394&lt;$B394,DATE($B$1,9,1)&lt;=TODAY(),OR($O394="",$O394&gt;=DATE($B$1,9,1)),OR(COUNTIF($C394:K394,"&gt;0")&gt;0,DATE($B$1,9,1)=DATE(YEAR(TODAY()),MONTH(TODAY()),1))),1,0))</f>
        <v/>
      </c>
      <c r="Y394">
        <f>IF($A394="","",IF(AND($B394&gt;0,L394&lt;$B394,DATE($B$1,10,1)&lt;=TODAY(),OR($O394="",$O394&gt;=DATE($B$1,10,1)),OR(COUNTIF($C394:L394,"&gt;0")&gt;0,DATE($B$1,10,1)=DATE(YEAR(TODAY()),MONTH(TODAY()),1))),1,0))</f>
        <v/>
      </c>
      <c r="Z394">
        <f>IF($A394="","",IF(AND($B394&gt;0,M394&lt;$B394,DATE($B$1,11,1)&lt;=TODAY(),OR($O394="",$O394&gt;=DATE($B$1,11,1)),OR(COUNTIF($C394:M394,"&gt;0")&gt;0,DATE($B$1,11,1)=DATE(YEAR(TODAY()),MONTH(TODAY()),1))),1,0))</f>
        <v/>
      </c>
      <c r="AA394">
        <f>IF($A394="","",IF(AND($B394&gt;0,N394&lt;$B394,DATE($B$1,12,1)&lt;=TODAY(),OR($O394="",$O394&gt;=DATE($B$1,12,1)),OR(COUNTIF($C394:N394,"&gt;0")&gt;0,DATE($B$1,12,1)=DATE(YEAR(TODAY()),MONTH(TODAY()),1))),1,0))</f>
        <v/>
      </c>
    </row>
    <row r="395">
      <c r="A395" s="13">
        <f>IF(원생!$A393="","",원생!$A393&amp;IF(원생!$G393="",""," ("&amp;원생!$G393&amp;")"))</f>
        <v/>
      </c>
      <c r="B395" s="8">
        <f>IF(원생!$A393="","",원생!$F393)</f>
        <v/>
      </c>
      <c r="C395" s="14">
        <f>IF(원생!$A393="","",SUMIFS(수납!$F:$F,수납!$C:$C,원생!$A393,수납!$D:$D,IF(원생!$G393="","",원생!$G393),수납!$B:$B,$B$1&amp;"-"&amp;TEXT(1,"00")&amp;"*",수납!$E:$E,"수강료")+SUMIFS(수납!$F:$F,수납!$C:$C,원생!$A393,수납!$D:$D,IF(원생!$G393="","",원생!$G393),수납!$B:$B,$B$1&amp;"-"&amp;TEXT(1,"00")&amp;"*",수납!$E:$E,""))</f>
        <v/>
      </c>
      <c r="D395" s="14">
        <f>IF(원생!$A393="","",SUMIFS(수납!$F:$F,수납!$C:$C,원생!$A393,수납!$D:$D,IF(원생!$G393="","",원생!$G393),수납!$B:$B,$B$1&amp;"-"&amp;TEXT(2,"00")&amp;"*",수납!$E:$E,"수강료")+SUMIFS(수납!$F:$F,수납!$C:$C,원생!$A393,수납!$D:$D,IF(원생!$G393="","",원생!$G393),수납!$B:$B,$B$1&amp;"-"&amp;TEXT(2,"00")&amp;"*",수납!$E:$E,""))</f>
        <v/>
      </c>
      <c r="E395" s="14">
        <f>IF(원생!$A393="","",SUMIFS(수납!$F:$F,수납!$C:$C,원생!$A393,수납!$D:$D,IF(원생!$G393="","",원생!$G393),수납!$B:$B,$B$1&amp;"-"&amp;TEXT(3,"00")&amp;"*",수납!$E:$E,"수강료")+SUMIFS(수납!$F:$F,수납!$C:$C,원생!$A393,수납!$D:$D,IF(원생!$G393="","",원생!$G393),수납!$B:$B,$B$1&amp;"-"&amp;TEXT(3,"00")&amp;"*",수납!$E:$E,""))</f>
        <v/>
      </c>
      <c r="F395" s="14">
        <f>IF(원생!$A393="","",SUMIFS(수납!$F:$F,수납!$C:$C,원생!$A393,수납!$D:$D,IF(원생!$G393="","",원생!$G393),수납!$B:$B,$B$1&amp;"-"&amp;TEXT(4,"00")&amp;"*",수납!$E:$E,"수강료")+SUMIFS(수납!$F:$F,수납!$C:$C,원생!$A393,수납!$D:$D,IF(원생!$G393="","",원생!$G393),수납!$B:$B,$B$1&amp;"-"&amp;TEXT(4,"00")&amp;"*",수납!$E:$E,""))</f>
        <v/>
      </c>
      <c r="G395" s="14">
        <f>IF(원생!$A393="","",SUMIFS(수납!$F:$F,수납!$C:$C,원생!$A393,수납!$D:$D,IF(원생!$G393="","",원생!$G393),수납!$B:$B,$B$1&amp;"-"&amp;TEXT(5,"00")&amp;"*",수납!$E:$E,"수강료")+SUMIFS(수납!$F:$F,수납!$C:$C,원생!$A393,수납!$D:$D,IF(원생!$G393="","",원생!$G393),수납!$B:$B,$B$1&amp;"-"&amp;TEXT(5,"00")&amp;"*",수납!$E:$E,""))</f>
        <v/>
      </c>
      <c r="H395" s="14">
        <f>IF(원생!$A393="","",SUMIFS(수납!$F:$F,수납!$C:$C,원생!$A393,수납!$D:$D,IF(원생!$G393="","",원생!$G393),수납!$B:$B,$B$1&amp;"-"&amp;TEXT(6,"00")&amp;"*",수납!$E:$E,"수강료")+SUMIFS(수납!$F:$F,수납!$C:$C,원생!$A393,수납!$D:$D,IF(원생!$G393="","",원생!$G393),수납!$B:$B,$B$1&amp;"-"&amp;TEXT(6,"00")&amp;"*",수납!$E:$E,""))</f>
        <v/>
      </c>
      <c r="I395" s="14">
        <f>IF(원생!$A393="","",SUMIFS(수납!$F:$F,수납!$C:$C,원생!$A393,수납!$D:$D,IF(원생!$G393="","",원생!$G393),수납!$B:$B,$B$1&amp;"-"&amp;TEXT(7,"00")&amp;"*",수납!$E:$E,"수강료")+SUMIFS(수납!$F:$F,수납!$C:$C,원생!$A393,수납!$D:$D,IF(원생!$G393="","",원생!$G393),수납!$B:$B,$B$1&amp;"-"&amp;TEXT(7,"00")&amp;"*",수납!$E:$E,""))</f>
        <v/>
      </c>
      <c r="J395" s="14">
        <f>IF(원생!$A393="","",SUMIFS(수납!$F:$F,수납!$C:$C,원생!$A393,수납!$D:$D,IF(원생!$G393="","",원생!$G393),수납!$B:$B,$B$1&amp;"-"&amp;TEXT(8,"00")&amp;"*",수납!$E:$E,"수강료")+SUMIFS(수납!$F:$F,수납!$C:$C,원생!$A393,수납!$D:$D,IF(원생!$G393="","",원생!$G393),수납!$B:$B,$B$1&amp;"-"&amp;TEXT(8,"00")&amp;"*",수납!$E:$E,""))</f>
        <v/>
      </c>
      <c r="K395" s="14">
        <f>IF(원생!$A393="","",SUMIFS(수납!$F:$F,수납!$C:$C,원생!$A393,수납!$D:$D,IF(원생!$G393="","",원생!$G393),수납!$B:$B,$B$1&amp;"-"&amp;TEXT(9,"00")&amp;"*",수납!$E:$E,"수강료")+SUMIFS(수납!$F:$F,수납!$C:$C,원생!$A393,수납!$D:$D,IF(원생!$G393="","",원생!$G393),수납!$B:$B,$B$1&amp;"-"&amp;TEXT(9,"00")&amp;"*",수납!$E:$E,""))</f>
        <v/>
      </c>
      <c r="L395" s="14">
        <f>IF(원생!$A393="","",SUMIFS(수납!$F:$F,수납!$C:$C,원생!$A393,수납!$D:$D,IF(원생!$G393="","",원생!$G393),수납!$B:$B,$B$1&amp;"-"&amp;TEXT(10,"00")&amp;"*",수납!$E:$E,"수강료")+SUMIFS(수납!$F:$F,수납!$C:$C,원생!$A393,수납!$D:$D,IF(원생!$G393="","",원생!$G393),수납!$B:$B,$B$1&amp;"-"&amp;TEXT(10,"00")&amp;"*",수납!$E:$E,""))</f>
        <v/>
      </c>
      <c r="M395" s="14">
        <f>IF(원생!$A393="","",SUMIFS(수납!$F:$F,수납!$C:$C,원생!$A393,수납!$D:$D,IF(원생!$G393="","",원생!$G393),수납!$B:$B,$B$1&amp;"-"&amp;TEXT(11,"00")&amp;"*",수납!$E:$E,"수강료")+SUMIFS(수납!$F:$F,수납!$C:$C,원생!$A393,수납!$D:$D,IF(원생!$G393="","",원생!$G393),수납!$B:$B,$B$1&amp;"-"&amp;TEXT(11,"00")&amp;"*",수납!$E:$E,""))</f>
        <v/>
      </c>
      <c r="N395" s="14">
        <f>IF(원생!$A393="","",SUMIFS(수납!$F:$F,수납!$C:$C,원생!$A393,수납!$D:$D,IF(원생!$G393="","",원생!$G393),수납!$B:$B,$B$1&amp;"-"&amp;TEXT(12,"00")&amp;"*",수납!$E:$E,"수강료")+SUMIFS(수납!$F:$F,수납!$C:$C,원생!$A393,수납!$D:$D,IF(원생!$G393="","",원생!$G393),수납!$B:$B,$B$1&amp;"-"&amp;TEXT(12,"00")&amp;"*",수납!$E:$E,""))</f>
        <v/>
      </c>
      <c r="O395">
        <f>IF(원생!$I393="","",원생!$I393)</f>
        <v/>
      </c>
      <c r="P395">
        <f>IF($A395="","",IF(AND($B395&gt;0,C395&lt;$B395,DATE($B$1,1,1)&lt;=TODAY(),OR($O395="",$O395&gt;=DATE($B$1,1,1)),OR(COUNTIF($C395:C395,"&gt;0")&gt;0,DATE($B$1,1,1)=DATE(YEAR(TODAY()),MONTH(TODAY()),1))),1,0))</f>
        <v/>
      </c>
      <c r="Q395">
        <f>IF($A395="","",IF(AND($B395&gt;0,D395&lt;$B395,DATE($B$1,2,1)&lt;=TODAY(),OR($O395="",$O395&gt;=DATE($B$1,2,1)),OR(COUNTIF($C395:D395,"&gt;0")&gt;0,DATE($B$1,2,1)=DATE(YEAR(TODAY()),MONTH(TODAY()),1))),1,0))</f>
        <v/>
      </c>
      <c r="R395">
        <f>IF($A395="","",IF(AND($B395&gt;0,E395&lt;$B395,DATE($B$1,3,1)&lt;=TODAY(),OR($O395="",$O395&gt;=DATE($B$1,3,1)),OR(COUNTIF($C395:E395,"&gt;0")&gt;0,DATE($B$1,3,1)=DATE(YEAR(TODAY()),MONTH(TODAY()),1))),1,0))</f>
        <v/>
      </c>
      <c r="S395">
        <f>IF($A395="","",IF(AND($B395&gt;0,F395&lt;$B395,DATE($B$1,4,1)&lt;=TODAY(),OR($O395="",$O395&gt;=DATE($B$1,4,1)),OR(COUNTIF($C395:F395,"&gt;0")&gt;0,DATE($B$1,4,1)=DATE(YEAR(TODAY()),MONTH(TODAY()),1))),1,0))</f>
        <v/>
      </c>
      <c r="T395">
        <f>IF($A395="","",IF(AND($B395&gt;0,G395&lt;$B395,DATE($B$1,5,1)&lt;=TODAY(),OR($O395="",$O395&gt;=DATE($B$1,5,1)),OR(COUNTIF($C395:G395,"&gt;0")&gt;0,DATE($B$1,5,1)=DATE(YEAR(TODAY()),MONTH(TODAY()),1))),1,0))</f>
        <v/>
      </c>
      <c r="U395">
        <f>IF($A395="","",IF(AND($B395&gt;0,H395&lt;$B395,DATE($B$1,6,1)&lt;=TODAY(),OR($O395="",$O395&gt;=DATE($B$1,6,1)),OR(COUNTIF($C395:H395,"&gt;0")&gt;0,DATE($B$1,6,1)=DATE(YEAR(TODAY()),MONTH(TODAY()),1))),1,0))</f>
        <v/>
      </c>
      <c r="V395">
        <f>IF($A395="","",IF(AND($B395&gt;0,I395&lt;$B395,DATE($B$1,7,1)&lt;=TODAY(),OR($O395="",$O395&gt;=DATE($B$1,7,1)),OR(COUNTIF($C395:I395,"&gt;0")&gt;0,DATE($B$1,7,1)=DATE(YEAR(TODAY()),MONTH(TODAY()),1))),1,0))</f>
        <v/>
      </c>
      <c r="W395">
        <f>IF($A395="","",IF(AND($B395&gt;0,J395&lt;$B395,DATE($B$1,8,1)&lt;=TODAY(),OR($O395="",$O395&gt;=DATE($B$1,8,1)),OR(COUNTIF($C395:J395,"&gt;0")&gt;0,DATE($B$1,8,1)=DATE(YEAR(TODAY()),MONTH(TODAY()),1))),1,0))</f>
        <v/>
      </c>
      <c r="X395">
        <f>IF($A395="","",IF(AND($B395&gt;0,K395&lt;$B395,DATE($B$1,9,1)&lt;=TODAY(),OR($O395="",$O395&gt;=DATE($B$1,9,1)),OR(COUNTIF($C395:K395,"&gt;0")&gt;0,DATE($B$1,9,1)=DATE(YEAR(TODAY()),MONTH(TODAY()),1))),1,0))</f>
        <v/>
      </c>
      <c r="Y395">
        <f>IF($A395="","",IF(AND($B395&gt;0,L395&lt;$B395,DATE($B$1,10,1)&lt;=TODAY(),OR($O395="",$O395&gt;=DATE($B$1,10,1)),OR(COUNTIF($C395:L395,"&gt;0")&gt;0,DATE($B$1,10,1)=DATE(YEAR(TODAY()),MONTH(TODAY()),1))),1,0))</f>
        <v/>
      </c>
      <c r="Z395">
        <f>IF($A395="","",IF(AND($B395&gt;0,M395&lt;$B395,DATE($B$1,11,1)&lt;=TODAY(),OR($O395="",$O395&gt;=DATE($B$1,11,1)),OR(COUNTIF($C395:M395,"&gt;0")&gt;0,DATE($B$1,11,1)=DATE(YEAR(TODAY()),MONTH(TODAY()),1))),1,0))</f>
        <v/>
      </c>
      <c r="AA395">
        <f>IF($A395="","",IF(AND($B395&gt;0,N395&lt;$B395,DATE($B$1,12,1)&lt;=TODAY(),OR($O395="",$O395&gt;=DATE($B$1,12,1)),OR(COUNTIF($C395:N395,"&gt;0")&gt;0,DATE($B$1,12,1)=DATE(YEAR(TODAY()),MONTH(TODAY()),1))),1,0))</f>
        <v/>
      </c>
    </row>
    <row r="396">
      <c r="A396" s="13">
        <f>IF(원생!$A394="","",원생!$A394&amp;IF(원생!$G394="",""," ("&amp;원생!$G394&amp;")"))</f>
        <v/>
      </c>
      <c r="B396" s="8">
        <f>IF(원생!$A394="","",원생!$F394)</f>
        <v/>
      </c>
      <c r="C396" s="14">
        <f>IF(원생!$A394="","",SUMIFS(수납!$F:$F,수납!$C:$C,원생!$A394,수납!$D:$D,IF(원생!$G394="","",원생!$G394),수납!$B:$B,$B$1&amp;"-"&amp;TEXT(1,"00")&amp;"*",수납!$E:$E,"수강료")+SUMIFS(수납!$F:$F,수납!$C:$C,원생!$A394,수납!$D:$D,IF(원생!$G394="","",원생!$G394),수납!$B:$B,$B$1&amp;"-"&amp;TEXT(1,"00")&amp;"*",수납!$E:$E,""))</f>
        <v/>
      </c>
      <c r="D396" s="14">
        <f>IF(원생!$A394="","",SUMIFS(수납!$F:$F,수납!$C:$C,원생!$A394,수납!$D:$D,IF(원생!$G394="","",원생!$G394),수납!$B:$B,$B$1&amp;"-"&amp;TEXT(2,"00")&amp;"*",수납!$E:$E,"수강료")+SUMIFS(수납!$F:$F,수납!$C:$C,원생!$A394,수납!$D:$D,IF(원생!$G394="","",원생!$G394),수납!$B:$B,$B$1&amp;"-"&amp;TEXT(2,"00")&amp;"*",수납!$E:$E,""))</f>
        <v/>
      </c>
      <c r="E396" s="14">
        <f>IF(원생!$A394="","",SUMIFS(수납!$F:$F,수납!$C:$C,원생!$A394,수납!$D:$D,IF(원생!$G394="","",원생!$G394),수납!$B:$B,$B$1&amp;"-"&amp;TEXT(3,"00")&amp;"*",수납!$E:$E,"수강료")+SUMIFS(수납!$F:$F,수납!$C:$C,원생!$A394,수납!$D:$D,IF(원생!$G394="","",원생!$G394),수납!$B:$B,$B$1&amp;"-"&amp;TEXT(3,"00")&amp;"*",수납!$E:$E,""))</f>
        <v/>
      </c>
      <c r="F396" s="14">
        <f>IF(원생!$A394="","",SUMIFS(수납!$F:$F,수납!$C:$C,원생!$A394,수납!$D:$D,IF(원생!$G394="","",원생!$G394),수납!$B:$B,$B$1&amp;"-"&amp;TEXT(4,"00")&amp;"*",수납!$E:$E,"수강료")+SUMIFS(수납!$F:$F,수납!$C:$C,원생!$A394,수납!$D:$D,IF(원생!$G394="","",원생!$G394),수납!$B:$B,$B$1&amp;"-"&amp;TEXT(4,"00")&amp;"*",수납!$E:$E,""))</f>
        <v/>
      </c>
      <c r="G396" s="14">
        <f>IF(원생!$A394="","",SUMIFS(수납!$F:$F,수납!$C:$C,원생!$A394,수납!$D:$D,IF(원생!$G394="","",원생!$G394),수납!$B:$B,$B$1&amp;"-"&amp;TEXT(5,"00")&amp;"*",수납!$E:$E,"수강료")+SUMIFS(수납!$F:$F,수납!$C:$C,원생!$A394,수납!$D:$D,IF(원생!$G394="","",원생!$G394),수납!$B:$B,$B$1&amp;"-"&amp;TEXT(5,"00")&amp;"*",수납!$E:$E,""))</f>
        <v/>
      </c>
      <c r="H396" s="14">
        <f>IF(원생!$A394="","",SUMIFS(수납!$F:$F,수납!$C:$C,원생!$A394,수납!$D:$D,IF(원생!$G394="","",원생!$G394),수납!$B:$B,$B$1&amp;"-"&amp;TEXT(6,"00")&amp;"*",수납!$E:$E,"수강료")+SUMIFS(수납!$F:$F,수납!$C:$C,원생!$A394,수납!$D:$D,IF(원생!$G394="","",원생!$G394),수납!$B:$B,$B$1&amp;"-"&amp;TEXT(6,"00")&amp;"*",수납!$E:$E,""))</f>
        <v/>
      </c>
      <c r="I396" s="14">
        <f>IF(원생!$A394="","",SUMIFS(수납!$F:$F,수납!$C:$C,원생!$A394,수납!$D:$D,IF(원생!$G394="","",원생!$G394),수납!$B:$B,$B$1&amp;"-"&amp;TEXT(7,"00")&amp;"*",수납!$E:$E,"수강료")+SUMIFS(수납!$F:$F,수납!$C:$C,원생!$A394,수납!$D:$D,IF(원생!$G394="","",원생!$G394),수납!$B:$B,$B$1&amp;"-"&amp;TEXT(7,"00")&amp;"*",수납!$E:$E,""))</f>
        <v/>
      </c>
      <c r="J396" s="14">
        <f>IF(원생!$A394="","",SUMIFS(수납!$F:$F,수납!$C:$C,원생!$A394,수납!$D:$D,IF(원생!$G394="","",원생!$G394),수납!$B:$B,$B$1&amp;"-"&amp;TEXT(8,"00")&amp;"*",수납!$E:$E,"수강료")+SUMIFS(수납!$F:$F,수납!$C:$C,원생!$A394,수납!$D:$D,IF(원생!$G394="","",원생!$G394),수납!$B:$B,$B$1&amp;"-"&amp;TEXT(8,"00")&amp;"*",수납!$E:$E,""))</f>
        <v/>
      </c>
      <c r="K396" s="14">
        <f>IF(원생!$A394="","",SUMIFS(수납!$F:$F,수납!$C:$C,원생!$A394,수납!$D:$D,IF(원생!$G394="","",원생!$G394),수납!$B:$B,$B$1&amp;"-"&amp;TEXT(9,"00")&amp;"*",수납!$E:$E,"수강료")+SUMIFS(수납!$F:$F,수납!$C:$C,원생!$A394,수납!$D:$D,IF(원생!$G394="","",원생!$G394),수납!$B:$B,$B$1&amp;"-"&amp;TEXT(9,"00")&amp;"*",수납!$E:$E,""))</f>
        <v/>
      </c>
      <c r="L396" s="14">
        <f>IF(원생!$A394="","",SUMIFS(수납!$F:$F,수납!$C:$C,원생!$A394,수납!$D:$D,IF(원생!$G394="","",원생!$G394),수납!$B:$B,$B$1&amp;"-"&amp;TEXT(10,"00")&amp;"*",수납!$E:$E,"수강료")+SUMIFS(수납!$F:$F,수납!$C:$C,원생!$A394,수납!$D:$D,IF(원생!$G394="","",원생!$G394),수납!$B:$B,$B$1&amp;"-"&amp;TEXT(10,"00")&amp;"*",수납!$E:$E,""))</f>
        <v/>
      </c>
      <c r="M396" s="14">
        <f>IF(원생!$A394="","",SUMIFS(수납!$F:$F,수납!$C:$C,원생!$A394,수납!$D:$D,IF(원생!$G394="","",원생!$G394),수납!$B:$B,$B$1&amp;"-"&amp;TEXT(11,"00")&amp;"*",수납!$E:$E,"수강료")+SUMIFS(수납!$F:$F,수납!$C:$C,원생!$A394,수납!$D:$D,IF(원생!$G394="","",원생!$G394),수납!$B:$B,$B$1&amp;"-"&amp;TEXT(11,"00")&amp;"*",수납!$E:$E,""))</f>
        <v/>
      </c>
      <c r="N396" s="14">
        <f>IF(원생!$A394="","",SUMIFS(수납!$F:$F,수납!$C:$C,원생!$A394,수납!$D:$D,IF(원생!$G394="","",원생!$G394),수납!$B:$B,$B$1&amp;"-"&amp;TEXT(12,"00")&amp;"*",수납!$E:$E,"수강료")+SUMIFS(수납!$F:$F,수납!$C:$C,원생!$A394,수납!$D:$D,IF(원생!$G394="","",원생!$G394),수납!$B:$B,$B$1&amp;"-"&amp;TEXT(12,"00")&amp;"*",수납!$E:$E,""))</f>
        <v/>
      </c>
      <c r="O396">
        <f>IF(원생!$I394="","",원생!$I394)</f>
        <v/>
      </c>
      <c r="P396">
        <f>IF($A396="","",IF(AND($B396&gt;0,C396&lt;$B396,DATE($B$1,1,1)&lt;=TODAY(),OR($O396="",$O396&gt;=DATE($B$1,1,1)),OR(COUNTIF($C396:C396,"&gt;0")&gt;0,DATE($B$1,1,1)=DATE(YEAR(TODAY()),MONTH(TODAY()),1))),1,0))</f>
        <v/>
      </c>
      <c r="Q396">
        <f>IF($A396="","",IF(AND($B396&gt;0,D396&lt;$B396,DATE($B$1,2,1)&lt;=TODAY(),OR($O396="",$O396&gt;=DATE($B$1,2,1)),OR(COUNTIF($C396:D396,"&gt;0")&gt;0,DATE($B$1,2,1)=DATE(YEAR(TODAY()),MONTH(TODAY()),1))),1,0))</f>
        <v/>
      </c>
      <c r="R396">
        <f>IF($A396="","",IF(AND($B396&gt;0,E396&lt;$B396,DATE($B$1,3,1)&lt;=TODAY(),OR($O396="",$O396&gt;=DATE($B$1,3,1)),OR(COUNTIF($C396:E396,"&gt;0")&gt;0,DATE($B$1,3,1)=DATE(YEAR(TODAY()),MONTH(TODAY()),1))),1,0))</f>
        <v/>
      </c>
      <c r="S396">
        <f>IF($A396="","",IF(AND($B396&gt;0,F396&lt;$B396,DATE($B$1,4,1)&lt;=TODAY(),OR($O396="",$O396&gt;=DATE($B$1,4,1)),OR(COUNTIF($C396:F396,"&gt;0")&gt;0,DATE($B$1,4,1)=DATE(YEAR(TODAY()),MONTH(TODAY()),1))),1,0))</f>
        <v/>
      </c>
      <c r="T396">
        <f>IF($A396="","",IF(AND($B396&gt;0,G396&lt;$B396,DATE($B$1,5,1)&lt;=TODAY(),OR($O396="",$O396&gt;=DATE($B$1,5,1)),OR(COUNTIF($C396:G396,"&gt;0")&gt;0,DATE($B$1,5,1)=DATE(YEAR(TODAY()),MONTH(TODAY()),1))),1,0))</f>
        <v/>
      </c>
      <c r="U396">
        <f>IF($A396="","",IF(AND($B396&gt;0,H396&lt;$B396,DATE($B$1,6,1)&lt;=TODAY(),OR($O396="",$O396&gt;=DATE($B$1,6,1)),OR(COUNTIF($C396:H396,"&gt;0")&gt;0,DATE($B$1,6,1)=DATE(YEAR(TODAY()),MONTH(TODAY()),1))),1,0))</f>
        <v/>
      </c>
      <c r="V396">
        <f>IF($A396="","",IF(AND($B396&gt;0,I396&lt;$B396,DATE($B$1,7,1)&lt;=TODAY(),OR($O396="",$O396&gt;=DATE($B$1,7,1)),OR(COUNTIF($C396:I396,"&gt;0")&gt;0,DATE($B$1,7,1)=DATE(YEAR(TODAY()),MONTH(TODAY()),1))),1,0))</f>
        <v/>
      </c>
      <c r="W396">
        <f>IF($A396="","",IF(AND($B396&gt;0,J396&lt;$B396,DATE($B$1,8,1)&lt;=TODAY(),OR($O396="",$O396&gt;=DATE($B$1,8,1)),OR(COUNTIF($C396:J396,"&gt;0")&gt;0,DATE($B$1,8,1)=DATE(YEAR(TODAY()),MONTH(TODAY()),1))),1,0))</f>
        <v/>
      </c>
      <c r="X396">
        <f>IF($A396="","",IF(AND($B396&gt;0,K396&lt;$B396,DATE($B$1,9,1)&lt;=TODAY(),OR($O396="",$O396&gt;=DATE($B$1,9,1)),OR(COUNTIF($C396:K396,"&gt;0")&gt;0,DATE($B$1,9,1)=DATE(YEAR(TODAY()),MONTH(TODAY()),1))),1,0))</f>
        <v/>
      </c>
      <c r="Y396">
        <f>IF($A396="","",IF(AND($B396&gt;0,L396&lt;$B396,DATE($B$1,10,1)&lt;=TODAY(),OR($O396="",$O396&gt;=DATE($B$1,10,1)),OR(COUNTIF($C396:L396,"&gt;0")&gt;0,DATE($B$1,10,1)=DATE(YEAR(TODAY()),MONTH(TODAY()),1))),1,0))</f>
        <v/>
      </c>
      <c r="Z396">
        <f>IF($A396="","",IF(AND($B396&gt;0,M396&lt;$B396,DATE($B$1,11,1)&lt;=TODAY(),OR($O396="",$O396&gt;=DATE($B$1,11,1)),OR(COUNTIF($C396:M396,"&gt;0")&gt;0,DATE($B$1,11,1)=DATE(YEAR(TODAY()),MONTH(TODAY()),1))),1,0))</f>
        <v/>
      </c>
      <c r="AA396">
        <f>IF($A396="","",IF(AND($B396&gt;0,N396&lt;$B396,DATE($B$1,12,1)&lt;=TODAY(),OR($O396="",$O396&gt;=DATE($B$1,12,1)),OR(COUNTIF($C396:N396,"&gt;0")&gt;0,DATE($B$1,12,1)=DATE(YEAR(TODAY()),MONTH(TODAY()),1))),1,0))</f>
        <v/>
      </c>
    </row>
    <row r="397">
      <c r="A397" s="13">
        <f>IF(원생!$A395="","",원생!$A395&amp;IF(원생!$G395="",""," ("&amp;원생!$G395&amp;")"))</f>
        <v/>
      </c>
      <c r="B397" s="8">
        <f>IF(원생!$A395="","",원생!$F395)</f>
        <v/>
      </c>
      <c r="C397" s="14">
        <f>IF(원생!$A395="","",SUMIFS(수납!$F:$F,수납!$C:$C,원생!$A395,수납!$D:$D,IF(원생!$G395="","",원생!$G395),수납!$B:$B,$B$1&amp;"-"&amp;TEXT(1,"00")&amp;"*",수납!$E:$E,"수강료")+SUMIFS(수납!$F:$F,수납!$C:$C,원생!$A395,수납!$D:$D,IF(원생!$G395="","",원생!$G395),수납!$B:$B,$B$1&amp;"-"&amp;TEXT(1,"00")&amp;"*",수납!$E:$E,""))</f>
        <v/>
      </c>
      <c r="D397" s="14">
        <f>IF(원생!$A395="","",SUMIFS(수납!$F:$F,수납!$C:$C,원생!$A395,수납!$D:$D,IF(원생!$G395="","",원생!$G395),수납!$B:$B,$B$1&amp;"-"&amp;TEXT(2,"00")&amp;"*",수납!$E:$E,"수강료")+SUMIFS(수납!$F:$F,수납!$C:$C,원생!$A395,수납!$D:$D,IF(원생!$G395="","",원생!$G395),수납!$B:$B,$B$1&amp;"-"&amp;TEXT(2,"00")&amp;"*",수납!$E:$E,""))</f>
        <v/>
      </c>
      <c r="E397" s="14">
        <f>IF(원생!$A395="","",SUMIFS(수납!$F:$F,수납!$C:$C,원생!$A395,수납!$D:$D,IF(원생!$G395="","",원생!$G395),수납!$B:$B,$B$1&amp;"-"&amp;TEXT(3,"00")&amp;"*",수납!$E:$E,"수강료")+SUMIFS(수납!$F:$F,수납!$C:$C,원생!$A395,수납!$D:$D,IF(원생!$G395="","",원생!$G395),수납!$B:$B,$B$1&amp;"-"&amp;TEXT(3,"00")&amp;"*",수납!$E:$E,""))</f>
        <v/>
      </c>
      <c r="F397" s="14">
        <f>IF(원생!$A395="","",SUMIFS(수납!$F:$F,수납!$C:$C,원생!$A395,수납!$D:$D,IF(원생!$G395="","",원생!$G395),수납!$B:$B,$B$1&amp;"-"&amp;TEXT(4,"00")&amp;"*",수납!$E:$E,"수강료")+SUMIFS(수납!$F:$F,수납!$C:$C,원생!$A395,수납!$D:$D,IF(원생!$G395="","",원생!$G395),수납!$B:$B,$B$1&amp;"-"&amp;TEXT(4,"00")&amp;"*",수납!$E:$E,""))</f>
        <v/>
      </c>
      <c r="G397" s="14">
        <f>IF(원생!$A395="","",SUMIFS(수납!$F:$F,수납!$C:$C,원생!$A395,수납!$D:$D,IF(원생!$G395="","",원생!$G395),수납!$B:$B,$B$1&amp;"-"&amp;TEXT(5,"00")&amp;"*",수납!$E:$E,"수강료")+SUMIFS(수납!$F:$F,수납!$C:$C,원생!$A395,수납!$D:$D,IF(원생!$G395="","",원생!$G395),수납!$B:$B,$B$1&amp;"-"&amp;TEXT(5,"00")&amp;"*",수납!$E:$E,""))</f>
        <v/>
      </c>
      <c r="H397" s="14">
        <f>IF(원생!$A395="","",SUMIFS(수납!$F:$F,수납!$C:$C,원생!$A395,수납!$D:$D,IF(원생!$G395="","",원생!$G395),수납!$B:$B,$B$1&amp;"-"&amp;TEXT(6,"00")&amp;"*",수납!$E:$E,"수강료")+SUMIFS(수납!$F:$F,수납!$C:$C,원생!$A395,수납!$D:$D,IF(원생!$G395="","",원생!$G395),수납!$B:$B,$B$1&amp;"-"&amp;TEXT(6,"00")&amp;"*",수납!$E:$E,""))</f>
        <v/>
      </c>
      <c r="I397" s="14">
        <f>IF(원생!$A395="","",SUMIFS(수납!$F:$F,수납!$C:$C,원생!$A395,수납!$D:$D,IF(원생!$G395="","",원생!$G395),수납!$B:$B,$B$1&amp;"-"&amp;TEXT(7,"00")&amp;"*",수납!$E:$E,"수강료")+SUMIFS(수납!$F:$F,수납!$C:$C,원생!$A395,수납!$D:$D,IF(원생!$G395="","",원생!$G395),수납!$B:$B,$B$1&amp;"-"&amp;TEXT(7,"00")&amp;"*",수납!$E:$E,""))</f>
        <v/>
      </c>
      <c r="J397" s="14">
        <f>IF(원생!$A395="","",SUMIFS(수납!$F:$F,수납!$C:$C,원생!$A395,수납!$D:$D,IF(원생!$G395="","",원생!$G395),수납!$B:$B,$B$1&amp;"-"&amp;TEXT(8,"00")&amp;"*",수납!$E:$E,"수강료")+SUMIFS(수납!$F:$F,수납!$C:$C,원생!$A395,수납!$D:$D,IF(원생!$G395="","",원생!$G395),수납!$B:$B,$B$1&amp;"-"&amp;TEXT(8,"00")&amp;"*",수납!$E:$E,""))</f>
        <v/>
      </c>
      <c r="K397" s="14">
        <f>IF(원생!$A395="","",SUMIFS(수납!$F:$F,수납!$C:$C,원생!$A395,수납!$D:$D,IF(원생!$G395="","",원생!$G395),수납!$B:$B,$B$1&amp;"-"&amp;TEXT(9,"00")&amp;"*",수납!$E:$E,"수강료")+SUMIFS(수납!$F:$F,수납!$C:$C,원생!$A395,수납!$D:$D,IF(원생!$G395="","",원생!$G395),수납!$B:$B,$B$1&amp;"-"&amp;TEXT(9,"00")&amp;"*",수납!$E:$E,""))</f>
        <v/>
      </c>
      <c r="L397" s="14">
        <f>IF(원생!$A395="","",SUMIFS(수납!$F:$F,수납!$C:$C,원생!$A395,수납!$D:$D,IF(원생!$G395="","",원생!$G395),수납!$B:$B,$B$1&amp;"-"&amp;TEXT(10,"00")&amp;"*",수납!$E:$E,"수강료")+SUMIFS(수납!$F:$F,수납!$C:$C,원생!$A395,수납!$D:$D,IF(원생!$G395="","",원생!$G395),수납!$B:$B,$B$1&amp;"-"&amp;TEXT(10,"00")&amp;"*",수납!$E:$E,""))</f>
        <v/>
      </c>
      <c r="M397" s="14">
        <f>IF(원생!$A395="","",SUMIFS(수납!$F:$F,수납!$C:$C,원생!$A395,수납!$D:$D,IF(원생!$G395="","",원생!$G395),수납!$B:$B,$B$1&amp;"-"&amp;TEXT(11,"00")&amp;"*",수납!$E:$E,"수강료")+SUMIFS(수납!$F:$F,수납!$C:$C,원생!$A395,수납!$D:$D,IF(원생!$G395="","",원생!$G395),수납!$B:$B,$B$1&amp;"-"&amp;TEXT(11,"00")&amp;"*",수납!$E:$E,""))</f>
        <v/>
      </c>
      <c r="N397" s="14">
        <f>IF(원생!$A395="","",SUMIFS(수납!$F:$F,수납!$C:$C,원생!$A395,수납!$D:$D,IF(원생!$G395="","",원생!$G395),수납!$B:$B,$B$1&amp;"-"&amp;TEXT(12,"00")&amp;"*",수납!$E:$E,"수강료")+SUMIFS(수납!$F:$F,수납!$C:$C,원생!$A395,수납!$D:$D,IF(원생!$G395="","",원생!$G395),수납!$B:$B,$B$1&amp;"-"&amp;TEXT(12,"00")&amp;"*",수납!$E:$E,""))</f>
        <v/>
      </c>
      <c r="O397">
        <f>IF(원생!$I395="","",원생!$I395)</f>
        <v/>
      </c>
      <c r="P397">
        <f>IF($A397="","",IF(AND($B397&gt;0,C397&lt;$B397,DATE($B$1,1,1)&lt;=TODAY(),OR($O397="",$O397&gt;=DATE($B$1,1,1)),OR(COUNTIF($C397:C397,"&gt;0")&gt;0,DATE($B$1,1,1)=DATE(YEAR(TODAY()),MONTH(TODAY()),1))),1,0))</f>
        <v/>
      </c>
      <c r="Q397">
        <f>IF($A397="","",IF(AND($B397&gt;0,D397&lt;$B397,DATE($B$1,2,1)&lt;=TODAY(),OR($O397="",$O397&gt;=DATE($B$1,2,1)),OR(COUNTIF($C397:D397,"&gt;0")&gt;0,DATE($B$1,2,1)=DATE(YEAR(TODAY()),MONTH(TODAY()),1))),1,0))</f>
        <v/>
      </c>
      <c r="R397">
        <f>IF($A397="","",IF(AND($B397&gt;0,E397&lt;$B397,DATE($B$1,3,1)&lt;=TODAY(),OR($O397="",$O397&gt;=DATE($B$1,3,1)),OR(COUNTIF($C397:E397,"&gt;0")&gt;0,DATE($B$1,3,1)=DATE(YEAR(TODAY()),MONTH(TODAY()),1))),1,0))</f>
        <v/>
      </c>
      <c r="S397">
        <f>IF($A397="","",IF(AND($B397&gt;0,F397&lt;$B397,DATE($B$1,4,1)&lt;=TODAY(),OR($O397="",$O397&gt;=DATE($B$1,4,1)),OR(COUNTIF($C397:F397,"&gt;0")&gt;0,DATE($B$1,4,1)=DATE(YEAR(TODAY()),MONTH(TODAY()),1))),1,0))</f>
        <v/>
      </c>
      <c r="T397">
        <f>IF($A397="","",IF(AND($B397&gt;0,G397&lt;$B397,DATE($B$1,5,1)&lt;=TODAY(),OR($O397="",$O397&gt;=DATE($B$1,5,1)),OR(COUNTIF($C397:G397,"&gt;0")&gt;0,DATE($B$1,5,1)=DATE(YEAR(TODAY()),MONTH(TODAY()),1))),1,0))</f>
        <v/>
      </c>
      <c r="U397">
        <f>IF($A397="","",IF(AND($B397&gt;0,H397&lt;$B397,DATE($B$1,6,1)&lt;=TODAY(),OR($O397="",$O397&gt;=DATE($B$1,6,1)),OR(COUNTIF($C397:H397,"&gt;0")&gt;0,DATE($B$1,6,1)=DATE(YEAR(TODAY()),MONTH(TODAY()),1))),1,0))</f>
        <v/>
      </c>
      <c r="V397">
        <f>IF($A397="","",IF(AND($B397&gt;0,I397&lt;$B397,DATE($B$1,7,1)&lt;=TODAY(),OR($O397="",$O397&gt;=DATE($B$1,7,1)),OR(COUNTIF($C397:I397,"&gt;0")&gt;0,DATE($B$1,7,1)=DATE(YEAR(TODAY()),MONTH(TODAY()),1))),1,0))</f>
        <v/>
      </c>
      <c r="W397">
        <f>IF($A397="","",IF(AND($B397&gt;0,J397&lt;$B397,DATE($B$1,8,1)&lt;=TODAY(),OR($O397="",$O397&gt;=DATE($B$1,8,1)),OR(COUNTIF($C397:J397,"&gt;0")&gt;0,DATE($B$1,8,1)=DATE(YEAR(TODAY()),MONTH(TODAY()),1))),1,0))</f>
        <v/>
      </c>
      <c r="X397">
        <f>IF($A397="","",IF(AND($B397&gt;0,K397&lt;$B397,DATE($B$1,9,1)&lt;=TODAY(),OR($O397="",$O397&gt;=DATE($B$1,9,1)),OR(COUNTIF($C397:K397,"&gt;0")&gt;0,DATE($B$1,9,1)=DATE(YEAR(TODAY()),MONTH(TODAY()),1))),1,0))</f>
        <v/>
      </c>
      <c r="Y397">
        <f>IF($A397="","",IF(AND($B397&gt;0,L397&lt;$B397,DATE($B$1,10,1)&lt;=TODAY(),OR($O397="",$O397&gt;=DATE($B$1,10,1)),OR(COUNTIF($C397:L397,"&gt;0")&gt;0,DATE($B$1,10,1)=DATE(YEAR(TODAY()),MONTH(TODAY()),1))),1,0))</f>
        <v/>
      </c>
      <c r="Z397">
        <f>IF($A397="","",IF(AND($B397&gt;0,M397&lt;$B397,DATE($B$1,11,1)&lt;=TODAY(),OR($O397="",$O397&gt;=DATE($B$1,11,1)),OR(COUNTIF($C397:M397,"&gt;0")&gt;0,DATE($B$1,11,1)=DATE(YEAR(TODAY()),MONTH(TODAY()),1))),1,0))</f>
        <v/>
      </c>
      <c r="AA397">
        <f>IF($A397="","",IF(AND($B397&gt;0,N397&lt;$B397,DATE($B$1,12,1)&lt;=TODAY(),OR($O397="",$O397&gt;=DATE($B$1,12,1)),OR(COUNTIF($C397:N397,"&gt;0")&gt;0,DATE($B$1,12,1)=DATE(YEAR(TODAY()),MONTH(TODAY()),1))),1,0))</f>
        <v/>
      </c>
    </row>
    <row r="398">
      <c r="A398" s="13">
        <f>IF(원생!$A396="","",원생!$A396&amp;IF(원생!$G396="",""," ("&amp;원생!$G396&amp;")"))</f>
        <v/>
      </c>
      <c r="B398" s="8">
        <f>IF(원생!$A396="","",원생!$F396)</f>
        <v/>
      </c>
      <c r="C398" s="14">
        <f>IF(원생!$A396="","",SUMIFS(수납!$F:$F,수납!$C:$C,원생!$A396,수납!$D:$D,IF(원생!$G396="","",원생!$G396),수납!$B:$B,$B$1&amp;"-"&amp;TEXT(1,"00")&amp;"*",수납!$E:$E,"수강료")+SUMIFS(수납!$F:$F,수납!$C:$C,원생!$A396,수납!$D:$D,IF(원생!$G396="","",원생!$G396),수납!$B:$B,$B$1&amp;"-"&amp;TEXT(1,"00")&amp;"*",수납!$E:$E,""))</f>
        <v/>
      </c>
      <c r="D398" s="14">
        <f>IF(원생!$A396="","",SUMIFS(수납!$F:$F,수납!$C:$C,원생!$A396,수납!$D:$D,IF(원생!$G396="","",원생!$G396),수납!$B:$B,$B$1&amp;"-"&amp;TEXT(2,"00")&amp;"*",수납!$E:$E,"수강료")+SUMIFS(수납!$F:$F,수납!$C:$C,원생!$A396,수납!$D:$D,IF(원생!$G396="","",원생!$G396),수납!$B:$B,$B$1&amp;"-"&amp;TEXT(2,"00")&amp;"*",수납!$E:$E,""))</f>
        <v/>
      </c>
      <c r="E398" s="14">
        <f>IF(원생!$A396="","",SUMIFS(수납!$F:$F,수납!$C:$C,원생!$A396,수납!$D:$D,IF(원생!$G396="","",원생!$G396),수납!$B:$B,$B$1&amp;"-"&amp;TEXT(3,"00")&amp;"*",수납!$E:$E,"수강료")+SUMIFS(수납!$F:$F,수납!$C:$C,원생!$A396,수납!$D:$D,IF(원생!$G396="","",원생!$G396),수납!$B:$B,$B$1&amp;"-"&amp;TEXT(3,"00")&amp;"*",수납!$E:$E,""))</f>
        <v/>
      </c>
      <c r="F398" s="14">
        <f>IF(원생!$A396="","",SUMIFS(수납!$F:$F,수납!$C:$C,원생!$A396,수납!$D:$D,IF(원생!$G396="","",원생!$G396),수납!$B:$B,$B$1&amp;"-"&amp;TEXT(4,"00")&amp;"*",수납!$E:$E,"수강료")+SUMIFS(수납!$F:$F,수납!$C:$C,원생!$A396,수납!$D:$D,IF(원생!$G396="","",원생!$G396),수납!$B:$B,$B$1&amp;"-"&amp;TEXT(4,"00")&amp;"*",수납!$E:$E,""))</f>
        <v/>
      </c>
      <c r="G398" s="14">
        <f>IF(원생!$A396="","",SUMIFS(수납!$F:$F,수납!$C:$C,원생!$A396,수납!$D:$D,IF(원생!$G396="","",원생!$G396),수납!$B:$B,$B$1&amp;"-"&amp;TEXT(5,"00")&amp;"*",수납!$E:$E,"수강료")+SUMIFS(수납!$F:$F,수납!$C:$C,원생!$A396,수납!$D:$D,IF(원생!$G396="","",원생!$G396),수납!$B:$B,$B$1&amp;"-"&amp;TEXT(5,"00")&amp;"*",수납!$E:$E,""))</f>
        <v/>
      </c>
      <c r="H398" s="14">
        <f>IF(원생!$A396="","",SUMIFS(수납!$F:$F,수납!$C:$C,원생!$A396,수납!$D:$D,IF(원생!$G396="","",원생!$G396),수납!$B:$B,$B$1&amp;"-"&amp;TEXT(6,"00")&amp;"*",수납!$E:$E,"수강료")+SUMIFS(수납!$F:$F,수납!$C:$C,원생!$A396,수납!$D:$D,IF(원생!$G396="","",원생!$G396),수납!$B:$B,$B$1&amp;"-"&amp;TEXT(6,"00")&amp;"*",수납!$E:$E,""))</f>
        <v/>
      </c>
      <c r="I398" s="14">
        <f>IF(원생!$A396="","",SUMIFS(수납!$F:$F,수납!$C:$C,원생!$A396,수납!$D:$D,IF(원생!$G396="","",원생!$G396),수납!$B:$B,$B$1&amp;"-"&amp;TEXT(7,"00")&amp;"*",수납!$E:$E,"수강료")+SUMIFS(수납!$F:$F,수납!$C:$C,원생!$A396,수납!$D:$D,IF(원생!$G396="","",원생!$G396),수납!$B:$B,$B$1&amp;"-"&amp;TEXT(7,"00")&amp;"*",수납!$E:$E,""))</f>
        <v/>
      </c>
      <c r="J398" s="14">
        <f>IF(원생!$A396="","",SUMIFS(수납!$F:$F,수납!$C:$C,원생!$A396,수납!$D:$D,IF(원생!$G396="","",원생!$G396),수납!$B:$B,$B$1&amp;"-"&amp;TEXT(8,"00")&amp;"*",수납!$E:$E,"수강료")+SUMIFS(수납!$F:$F,수납!$C:$C,원생!$A396,수납!$D:$D,IF(원생!$G396="","",원생!$G396),수납!$B:$B,$B$1&amp;"-"&amp;TEXT(8,"00")&amp;"*",수납!$E:$E,""))</f>
        <v/>
      </c>
      <c r="K398" s="14">
        <f>IF(원생!$A396="","",SUMIFS(수납!$F:$F,수납!$C:$C,원생!$A396,수납!$D:$D,IF(원생!$G396="","",원생!$G396),수납!$B:$B,$B$1&amp;"-"&amp;TEXT(9,"00")&amp;"*",수납!$E:$E,"수강료")+SUMIFS(수납!$F:$F,수납!$C:$C,원생!$A396,수납!$D:$D,IF(원생!$G396="","",원생!$G396),수납!$B:$B,$B$1&amp;"-"&amp;TEXT(9,"00")&amp;"*",수납!$E:$E,""))</f>
        <v/>
      </c>
      <c r="L398" s="14">
        <f>IF(원생!$A396="","",SUMIFS(수납!$F:$F,수납!$C:$C,원생!$A396,수납!$D:$D,IF(원생!$G396="","",원생!$G396),수납!$B:$B,$B$1&amp;"-"&amp;TEXT(10,"00")&amp;"*",수납!$E:$E,"수강료")+SUMIFS(수납!$F:$F,수납!$C:$C,원생!$A396,수납!$D:$D,IF(원생!$G396="","",원생!$G396),수납!$B:$B,$B$1&amp;"-"&amp;TEXT(10,"00")&amp;"*",수납!$E:$E,""))</f>
        <v/>
      </c>
      <c r="M398" s="14">
        <f>IF(원생!$A396="","",SUMIFS(수납!$F:$F,수납!$C:$C,원생!$A396,수납!$D:$D,IF(원생!$G396="","",원생!$G396),수납!$B:$B,$B$1&amp;"-"&amp;TEXT(11,"00")&amp;"*",수납!$E:$E,"수강료")+SUMIFS(수납!$F:$F,수납!$C:$C,원생!$A396,수납!$D:$D,IF(원생!$G396="","",원생!$G396),수납!$B:$B,$B$1&amp;"-"&amp;TEXT(11,"00")&amp;"*",수납!$E:$E,""))</f>
        <v/>
      </c>
      <c r="N398" s="14">
        <f>IF(원생!$A396="","",SUMIFS(수납!$F:$F,수납!$C:$C,원생!$A396,수납!$D:$D,IF(원생!$G396="","",원생!$G396),수납!$B:$B,$B$1&amp;"-"&amp;TEXT(12,"00")&amp;"*",수납!$E:$E,"수강료")+SUMIFS(수납!$F:$F,수납!$C:$C,원생!$A396,수납!$D:$D,IF(원생!$G396="","",원생!$G396),수납!$B:$B,$B$1&amp;"-"&amp;TEXT(12,"00")&amp;"*",수납!$E:$E,""))</f>
        <v/>
      </c>
      <c r="O398">
        <f>IF(원생!$I396="","",원생!$I396)</f>
        <v/>
      </c>
      <c r="P398">
        <f>IF($A398="","",IF(AND($B398&gt;0,C398&lt;$B398,DATE($B$1,1,1)&lt;=TODAY(),OR($O398="",$O398&gt;=DATE($B$1,1,1)),OR(COUNTIF($C398:C398,"&gt;0")&gt;0,DATE($B$1,1,1)=DATE(YEAR(TODAY()),MONTH(TODAY()),1))),1,0))</f>
        <v/>
      </c>
      <c r="Q398">
        <f>IF($A398="","",IF(AND($B398&gt;0,D398&lt;$B398,DATE($B$1,2,1)&lt;=TODAY(),OR($O398="",$O398&gt;=DATE($B$1,2,1)),OR(COUNTIF($C398:D398,"&gt;0")&gt;0,DATE($B$1,2,1)=DATE(YEAR(TODAY()),MONTH(TODAY()),1))),1,0))</f>
        <v/>
      </c>
      <c r="R398">
        <f>IF($A398="","",IF(AND($B398&gt;0,E398&lt;$B398,DATE($B$1,3,1)&lt;=TODAY(),OR($O398="",$O398&gt;=DATE($B$1,3,1)),OR(COUNTIF($C398:E398,"&gt;0")&gt;0,DATE($B$1,3,1)=DATE(YEAR(TODAY()),MONTH(TODAY()),1))),1,0))</f>
        <v/>
      </c>
      <c r="S398">
        <f>IF($A398="","",IF(AND($B398&gt;0,F398&lt;$B398,DATE($B$1,4,1)&lt;=TODAY(),OR($O398="",$O398&gt;=DATE($B$1,4,1)),OR(COUNTIF($C398:F398,"&gt;0")&gt;0,DATE($B$1,4,1)=DATE(YEAR(TODAY()),MONTH(TODAY()),1))),1,0))</f>
        <v/>
      </c>
      <c r="T398">
        <f>IF($A398="","",IF(AND($B398&gt;0,G398&lt;$B398,DATE($B$1,5,1)&lt;=TODAY(),OR($O398="",$O398&gt;=DATE($B$1,5,1)),OR(COUNTIF($C398:G398,"&gt;0")&gt;0,DATE($B$1,5,1)=DATE(YEAR(TODAY()),MONTH(TODAY()),1))),1,0))</f>
        <v/>
      </c>
      <c r="U398">
        <f>IF($A398="","",IF(AND($B398&gt;0,H398&lt;$B398,DATE($B$1,6,1)&lt;=TODAY(),OR($O398="",$O398&gt;=DATE($B$1,6,1)),OR(COUNTIF($C398:H398,"&gt;0")&gt;0,DATE($B$1,6,1)=DATE(YEAR(TODAY()),MONTH(TODAY()),1))),1,0))</f>
        <v/>
      </c>
      <c r="V398">
        <f>IF($A398="","",IF(AND($B398&gt;0,I398&lt;$B398,DATE($B$1,7,1)&lt;=TODAY(),OR($O398="",$O398&gt;=DATE($B$1,7,1)),OR(COUNTIF($C398:I398,"&gt;0")&gt;0,DATE($B$1,7,1)=DATE(YEAR(TODAY()),MONTH(TODAY()),1))),1,0))</f>
        <v/>
      </c>
      <c r="W398">
        <f>IF($A398="","",IF(AND($B398&gt;0,J398&lt;$B398,DATE($B$1,8,1)&lt;=TODAY(),OR($O398="",$O398&gt;=DATE($B$1,8,1)),OR(COUNTIF($C398:J398,"&gt;0")&gt;0,DATE($B$1,8,1)=DATE(YEAR(TODAY()),MONTH(TODAY()),1))),1,0))</f>
        <v/>
      </c>
      <c r="X398">
        <f>IF($A398="","",IF(AND($B398&gt;0,K398&lt;$B398,DATE($B$1,9,1)&lt;=TODAY(),OR($O398="",$O398&gt;=DATE($B$1,9,1)),OR(COUNTIF($C398:K398,"&gt;0")&gt;0,DATE($B$1,9,1)=DATE(YEAR(TODAY()),MONTH(TODAY()),1))),1,0))</f>
        <v/>
      </c>
      <c r="Y398">
        <f>IF($A398="","",IF(AND($B398&gt;0,L398&lt;$B398,DATE($B$1,10,1)&lt;=TODAY(),OR($O398="",$O398&gt;=DATE($B$1,10,1)),OR(COUNTIF($C398:L398,"&gt;0")&gt;0,DATE($B$1,10,1)=DATE(YEAR(TODAY()),MONTH(TODAY()),1))),1,0))</f>
        <v/>
      </c>
      <c r="Z398">
        <f>IF($A398="","",IF(AND($B398&gt;0,M398&lt;$B398,DATE($B$1,11,1)&lt;=TODAY(),OR($O398="",$O398&gt;=DATE($B$1,11,1)),OR(COUNTIF($C398:M398,"&gt;0")&gt;0,DATE($B$1,11,1)=DATE(YEAR(TODAY()),MONTH(TODAY()),1))),1,0))</f>
        <v/>
      </c>
      <c r="AA398">
        <f>IF($A398="","",IF(AND($B398&gt;0,N398&lt;$B398,DATE($B$1,12,1)&lt;=TODAY(),OR($O398="",$O398&gt;=DATE($B$1,12,1)),OR(COUNTIF($C398:N398,"&gt;0")&gt;0,DATE($B$1,12,1)=DATE(YEAR(TODAY()),MONTH(TODAY()),1))),1,0))</f>
        <v/>
      </c>
    </row>
    <row r="399">
      <c r="A399" s="13">
        <f>IF(원생!$A397="","",원생!$A397&amp;IF(원생!$G397="",""," ("&amp;원생!$G397&amp;")"))</f>
        <v/>
      </c>
      <c r="B399" s="8">
        <f>IF(원생!$A397="","",원생!$F397)</f>
        <v/>
      </c>
      <c r="C399" s="14">
        <f>IF(원생!$A397="","",SUMIFS(수납!$F:$F,수납!$C:$C,원생!$A397,수납!$D:$D,IF(원생!$G397="","",원생!$G397),수납!$B:$B,$B$1&amp;"-"&amp;TEXT(1,"00")&amp;"*",수납!$E:$E,"수강료")+SUMIFS(수납!$F:$F,수납!$C:$C,원생!$A397,수납!$D:$D,IF(원생!$G397="","",원생!$G397),수납!$B:$B,$B$1&amp;"-"&amp;TEXT(1,"00")&amp;"*",수납!$E:$E,""))</f>
        <v/>
      </c>
      <c r="D399" s="14">
        <f>IF(원생!$A397="","",SUMIFS(수납!$F:$F,수납!$C:$C,원생!$A397,수납!$D:$D,IF(원생!$G397="","",원생!$G397),수납!$B:$B,$B$1&amp;"-"&amp;TEXT(2,"00")&amp;"*",수납!$E:$E,"수강료")+SUMIFS(수납!$F:$F,수납!$C:$C,원생!$A397,수납!$D:$D,IF(원생!$G397="","",원생!$G397),수납!$B:$B,$B$1&amp;"-"&amp;TEXT(2,"00")&amp;"*",수납!$E:$E,""))</f>
        <v/>
      </c>
      <c r="E399" s="14">
        <f>IF(원생!$A397="","",SUMIFS(수납!$F:$F,수납!$C:$C,원생!$A397,수납!$D:$D,IF(원생!$G397="","",원생!$G397),수납!$B:$B,$B$1&amp;"-"&amp;TEXT(3,"00")&amp;"*",수납!$E:$E,"수강료")+SUMIFS(수납!$F:$F,수납!$C:$C,원생!$A397,수납!$D:$D,IF(원생!$G397="","",원생!$G397),수납!$B:$B,$B$1&amp;"-"&amp;TEXT(3,"00")&amp;"*",수납!$E:$E,""))</f>
        <v/>
      </c>
      <c r="F399" s="14">
        <f>IF(원생!$A397="","",SUMIFS(수납!$F:$F,수납!$C:$C,원생!$A397,수납!$D:$D,IF(원생!$G397="","",원생!$G397),수납!$B:$B,$B$1&amp;"-"&amp;TEXT(4,"00")&amp;"*",수납!$E:$E,"수강료")+SUMIFS(수납!$F:$F,수납!$C:$C,원생!$A397,수납!$D:$D,IF(원생!$G397="","",원생!$G397),수납!$B:$B,$B$1&amp;"-"&amp;TEXT(4,"00")&amp;"*",수납!$E:$E,""))</f>
        <v/>
      </c>
      <c r="G399" s="14">
        <f>IF(원생!$A397="","",SUMIFS(수납!$F:$F,수납!$C:$C,원생!$A397,수납!$D:$D,IF(원생!$G397="","",원생!$G397),수납!$B:$B,$B$1&amp;"-"&amp;TEXT(5,"00")&amp;"*",수납!$E:$E,"수강료")+SUMIFS(수납!$F:$F,수납!$C:$C,원생!$A397,수납!$D:$D,IF(원생!$G397="","",원생!$G397),수납!$B:$B,$B$1&amp;"-"&amp;TEXT(5,"00")&amp;"*",수납!$E:$E,""))</f>
        <v/>
      </c>
      <c r="H399" s="14">
        <f>IF(원생!$A397="","",SUMIFS(수납!$F:$F,수납!$C:$C,원생!$A397,수납!$D:$D,IF(원생!$G397="","",원생!$G397),수납!$B:$B,$B$1&amp;"-"&amp;TEXT(6,"00")&amp;"*",수납!$E:$E,"수강료")+SUMIFS(수납!$F:$F,수납!$C:$C,원생!$A397,수납!$D:$D,IF(원생!$G397="","",원생!$G397),수납!$B:$B,$B$1&amp;"-"&amp;TEXT(6,"00")&amp;"*",수납!$E:$E,""))</f>
        <v/>
      </c>
      <c r="I399" s="14">
        <f>IF(원생!$A397="","",SUMIFS(수납!$F:$F,수납!$C:$C,원생!$A397,수납!$D:$D,IF(원생!$G397="","",원생!$G397),수납!$B:$B,$B$1&amp;"-"&amp;TEXT(7,"00")&amp;"*",수납!$E:$E,"수강료")+SUMIFS(수납!$F:$F,수납!$C:$C,원생!$A397,수납!$D:$D,IF(원생!$G397="","",원생!$G397),수납!$B:$B,$B$1&amp;"-"&amp;TEXT(7,"00")&amp;"*",수납!$E:$E,""))</f>
        <v/>
      </c>
      <c r="J399" s="14">
        <f>IF(원생!$A397="","",SUMIFS(수납!$F:$F,수납!$C:$C,원생!$A397,수납!$D:$D,IF(원생!$G397="","",원생!$G397),수납!$B:$B,$B$1&amp;"-"&amp;TEXT(8,"00")&amp;"*",수납!$E:$E,"수강료")+SUMIFS(수납!$F:$F,수납!$C:$C,원생!$A397,수납!$D:$D,IF(원생!$G397="","",원생!$G397),수납!$B:$B,$B$1&amp;"-"&amp;TEXT(8,"00")&amp;"*",수납!$E:$E,""))</f>
        <v/>
      </c>
      <c r="K399" s="14">
        <f>IF(원생!$A397="","",SUMIFS(수납!$F:$F,수납!$C:$C,원생!$A397,수납!$D:$D,IF(원생!$G397="","",원생!$G397),수납!$B:$B,$B$1&amp;"-"&amp;TEXT(9,"00")&amp;"*",수납!$E:$E,"수강료")+SUMIFS(수납!$F:$F,수납!$C:$C,원생!$A397,수납!$D:$D,IF(원생!$G397="","",원생!$G397),수납!$B:$B,$B$1&amp;"-"&amp;TEXT(9,"00")&amp;"*",수납!$E:$E,""))</f>
        <v/>
      </c>
      <c r="L399" s="14">
        <f>IF(원생!$A397="","",SUMIFS(수납!$F:$F,수납!$C:$C,원생!$A397,수납!$D:$D,IF(원생!$G397="","",원생!$G397),수납!$B:$B,$B$1&amp;"-"&amp;TEXT(10,"00")&amp;"*",수납!$E:$E,"수강료")+SUMIFS(수납!$F:$F,수납!$C:$C,원생!$A397,수납!$D:$D,IF(원생!$G397="","",원생!$G397),수납!$B:$B,$B$1&amp;"-"&amp;TEXT(10,"00")&amp;"*",수납!$E:$E,""))</f>
        <v/>
      </c>
      <c r="M399" s="14">
        <f>IF(원생!$A397="","",SUMIFS(수납!$F:$F,수납!$C:$C,원생!$A397,수납!$D:$D,IF(원생!$G397="","",원생!$G397),수납!$B:$B,$B$1&amp;"-"&amp;TEXT(11,"00")&amp;"*",수납!$E:$E,"수강료")+SUMIFS(수납!$F:$F,수납!$C:$C,원생!$A397,수납!$D:$D,IF(원생!$G397="","",원생!$G397),수납!$B:$B,$B$1&amp;"-"&amp;TEXT(11,"00")&amp;"*",수납!$E:$E,""))</f>
        <v/>
      </c>
      <c r="N399" s="14">
        <f>IF(원생!$A397="","",SUMIFS(수납!$F:$F,수납!$C:$C,원생!$A397,수납!$D:$D,IF(원생!$G397="","",원생!$G397),수납!$B:$B,$B$1&amp;"-"&amp;TEXT(12,"00")&amp;"*",수납!$E:$E,"수강료")+SUMIFS(수납!$F:$F,수납!$C:$C,원생!$A397,수납!$D:$D,IF(원생!$G397="","",원생!$G397),수납!$B:$B,$B$1&amp;"-"&amp;TEXT(12,"00")&amp;"*",수납!$E:$E,""))</f>
        <v/>
      </c>
      <c r="O399">
        <f>IF(원생!$I397="","",원생!$I397)</f>
        <v/>
      </c>
      <c r="P399">
        <f>IF($A399="","",IF(AND($B399&gt;0,C399&lt;$B399,DATE($B$1,1,1)&lt;=TODAY(),OR($O399="",$O399&gt;=DATE($B$1,1,1)),OR(COUNTIF($C399:C399,"&gt;0")&gt;0,DATE($B$1,1,1)=DATE(YEAR(TODAY()),MONTH(TODAY()),1))),1,0))</f>
        <v/>
      </c>
      <c r="Q399">
        <f>IF($A399="","",IF(AND($B399&gt;0,D399&lt;$B399,DATE($B$1,2,1)&lt;=TODAY(),OR($O399="",$O399&gt;=DATE($B$1,2,1)),OR(COUNTIF($C399:D399,"&gt;0")&gt;0,DATE($B$1,2,1)=DATE(YEAR(TODAY()),MONTH(TODAY()),1))),1,0))</f>
        <v/>
      </c>
      <c r="R399">
        <f>IF($A399="","",IF(AND($B399&gt;0,E399&lt;$B399,DATE($B$1,3,1)&lt;=TODAY(),OR($O399="",$O399&gt;=DATE($B$1,3,1)),OR(COUNTIF($C399:E399,"&gt;0")&gt;0,DATE($B$1,3,1)=DATE(YEAR(TODAY()),MONTH(TODAY()),1))),1,0))</f>
        <v/>
      </c>
      <c r="S399">
        <f>IF($A399="","",IF(AND($B399&gt;0,F399&lt;$B399,DATE($B$1,4,1)&lt;=TODAY(),OR($O399="",$O399&gt;=DATE($B$1,4,1)),OR(COUNTIF($C399:F399,"&gt;0")&gt;0,DATE($B$1,4,1)=DATE(YEAR(TODAY()),MONTH(TODAY()),1))),1,0))</f>
        <v/>
      </c>
      <c r="T399">
        <f>IF($A399="","",IF(AND($B399&gt;0,G399&lt;$B399,DATE($B$1,5,1)&lt;=TODAY(),OR($O399="",$O399&gt;=DATE($B$1,5,1)),OR(COUNTIF($C399:G399,"&gt;0")&gt;0,DATE($B$1,5,1)=DATE(YEAR(TODAY()),MONTH(TODAY()),1))),1,0))</f>
        <v/>
      </c>
      <c r="U399">
        <f>IF($A399="","",IF(AND($B399&gt;0,H399&lt;$B399,DATE($B$1,6,1)&lt;=TODAY(),OR($O399="",$O399&gt;=DATE($B$1,6,1)),OR(COUNTIF($C399:H399,"&gt;0")&gt;0,DATE($B$1,6,1)=DATE(YEAR(TODAY()),MONTH(TODAY()),1))),1,0))</f>
        <v/>
      </c>
      <c r="V399">
        <f>IF($A399="","",IF(AND($B399&gt;0,I399&lt;$B399,DATE($B$1,7,1)&lt;=TODAY(),OR($O399="",$O399&gt;=DATE($B$1,7,1)),OR(COUNTIF($C399:I399,"&gt;0")&gt;0,DATE($B$1,7,1)=DATE(YEAR(TODAY()),MONTH(TODAY()),1))),1,0))</f>
        <v/>
      </c>
      <c r="W399">
        <f>IF($A399="","",IF(AND($B399&gt;0,J399&lt;$B399,DATE($B$1,8,1)&lt;=TODAY(),OR($O399="",$O399&gt;=DATE($B$1,8,1)),OR(COUNTIF($C399:J399,"&gt;0")&gt;0,DATE($B$1,8,1)=DATE(YEAR(TODAY()),MONTH(TODAY()),1))),1,0))</f>
        <v/>
      </c>
      <c r="X399">
        <f>IF($A399="","",IF(AND($B399&gt;0,K399&lt;$B399,DATE($B$1,9,1)&lt;=TODAY(),OR($O399="",$O399&gt;=DATE($B$1,9,1)),OR(COUNTIF($C399:K399,"&gt;0")&gt;0,DATE($B$1,9,1)=DATE(YEAR(TODAY()),MONTH(TODAY()),1))),1,0))</f>
        <v/>
      </c>
      <c r="Y399">
        <f>IF($A399="","",IF(AND($B399&gt;0,L399&lt;$B399,DATE($B$1,10,1)&lt;=TODAY(),OR($O399="",$O399&gt;=DATE($B$1,10,1)),OR(COUNTIF($C399:L399,"&gt;0")&gt;0,DATE($B$1,10,1)=DATE(YEAR(TODAY()),MONTH(TODAY()),1))),1,0))</f>
        <v/>
      </c>
      <c r="Z399">
        <f>IF($A399="","",IF(AND($B399&gt;0,M399&lt;$B399,DATE($B$1,11,1)&lt;=TODAY(),OR($O399="",$O399&gt;=DATE($B$1,11,1)),OR(COUNTIF($C399:M399,"&gt;0")&gt;0,DATE($B$1,11,1)=DATE(YEAR(TODAY()),MONTH(TODAY()),1))),1,0))</f>
        <v/>
      </c>
      <c r="AA399">
        <f>IF($A399="","",IF(AND($B399&gt;0,N399&lt;$B399,DATE($B$1,12,1)&lt;=TODAY(),OR($O399="",$O399&gt;=DATE($B$1,12,1)),OR(COUNTIF($C399:N399,"&gt;0")&gt;0,DATE($B$1,12,1)=DATE(YEAR(TODAY()),MONTH(TODAY()),1))),1,0))</f>
        <v/>
      </c>
    </row>
    <row r="400">
      <c r="A400" s="13">
        <f>IF(원생!$A398="","",원생!$A398&amp;IF(원생!$G398="",""," ("&amp;원생!$G398&amp;")"))</f>
        <v/>
      </c>
      <c r="B400" s="8">
        <f>IF(원생!$A398="","",원생!$F398)</f>
        <v/>
      </c>
      <c r="C400" s="14">
        <f>IF(원생!$A398="","",SUMIFS(수납!$F:$F,수납!$C:$C,원생!$A398,수납!$D:$D,IF(원생!$G398="","",원생!$G398),수납!$B:$B,$B$1&amp;"-"&amp;TEXT(1,"00")&amp;"*",수납!$E:$E,"수강료")+SUMIFS(수납!$F:$F,수납!$C:$C,원생!$A398,수납!$D:$D,IF(원생!$G398="","",원생!$G398),수납!$B:$B,$B$1&amp;"-"&amp;TEXT(1,"00")&amp;"*",수납!$E:$E,""))</f>
        <v/>
      </c>
      <c r="D400" s="14">
        <f>IF(원생!$A398="","",SUMIFS(수납!$F:$F,수납!$C:$C,원생!$A398,수납!$D:$D,IF(원생!$G398="","",원생!$G398),수납!$B:$B,$B$1&amp;"-"&amp;TEXT(2,"00")&amp;"*",수납!$E:$E,"수강료")+SUMIFS(수납!$F:$F,수납!$C:$C,원생!$A398,수납!$D:$D,IF(원생!$G398="","",원생!$G398),수납!$B:$B,$B$1&amp;"-"&amp;TEXT(2,"00")&amp;"*",수납!$E:$E,""))</f>
        <v/>
      </c>
      <c r="E400" s="14">
        <f>IF(원생!$A398="","",SUMIFS(수납!$F:$F,수납!$C:$C,원생!$A398,수납!$D:$D,IF(원생!$G398="","",원생!$G398),수납!$B:$B,$B$1&amp;"-"&amp;TEXT(3,"00")&amp;"*",수납!$E:$E,"수강료")+SUMIFS(수납!$F:$F,수납!$C:$C,원생!$A398,수납!$D:$D,IF(원생!$G398="","",원생!$G398),수납!$B:$B,$B$1&amp;"-"&amp;TEXT(3,"00")&amp;"*",수납!$E:$E,""))</f>
        <v/>
      </c>
      <c r="F400" s="14">
        <f>IF(원생!$A398="","",SUMIFS(수납!$F:$F,수납!$C:$C,원생!$A398,수납!$D:$D,IF(원생!$G398="","",원생!$G398),수납!$B:$B,$B$1&amp;"-"&amp;TEXT(4,"00")&amp;"*",수납!$E:$E,"수강료")+SUMIFS(수납!$F:$F,수납!$C:$C,원생!$A398,수납!$D:$D,IF(원생!$G398="","",원생!$G398),수납!$B:$B,$B$1&amp;"-"&amp;TEXT(4,"00")&amp;"*",수납!$E:$E,""))</f>
        <v/>
      </c>
      <c r="G400" s="14">
        <f>IF(원생!$A398="","",SUMIFS(수납!$F:$F,수납!$C:$C,원생!$A398,수납!$D:$D,IF(원생!$G398="","",원생!$G398),수납!$B:$B,$B$1&amp;"-"&amp;TEXT(5,"00")&amp;"*",수납!$E:$E,"수강료")+SUMIFS(수납!$F:$F,수납!$C:$C,원생!$A398,수납!$D:$D,IF(원생!$G398="","",원생!$G398),수납!$B:$B,$B$1&amp;"-"&amp;TEXT(5,"00")&amp;"*",수납!$E:$E,""))</f>
        <v/>
      </c>
      <c r="H400" s="14">
        <f>IF(원생!$A398="","",SUMIFS(수납!$F:$F,수납!$C:$C,원생!$A398,수납!$D:$D,IF(원생!$G398="","",원생!$G398),수납!$B:$B,$B$1&amp;"-"&amp;TEXT(6,"00")&amp;"*",수납!$E:$E,"수강료")+SUMIFS(수납!$F:$F,수납!$C:$C,원생!$A398,수납!$D:$D,IF(원생!$G398="","",원생!$G398),수납!$B:$B,$B$1&amp;"-"&amp;TEXT(6,"00")&amp;"*",수납!$E:$E,""))</f>
        <v/>
      </c>
      <c r="I400" s="14">
        <f>IF(원생!$A398="","",SUMIFS(수납!$F:$F,수납!$C:$C,원생!$A398,수납!$D:$D,IF(원생!$G398="","",원생!$G398),수납!$B:$B,$B$1&amp;"-"&amp;TEXT(7,"00")&amp;"*",수납!$E:$E,"수강료")+SUMIFS(수납!$F:$F,수납!$C:$C,원생!$A398,수납!$D:$D,IF(원생!$G398="","",원생!$G398),수납!$B:$B,$B$1&amp;"-"&amp;TEXT(7,"00")&amp;"*",수납!$E:$E,""))</f>
        <v/>
      </c>
      <c r="J400" s="14">
        <f>IF(원생!$A398="","",SUMIFS(수납!$F:$F,수납!$C:$C,원생!$A398,수납!$D:$D,IF(원생!$G398="","",원생!$G398),수납!$B:$B,$B$1&amp;"-"&amp;TEXT(8,"00")&amp;"*",수납!$E:$E,"수강료")+SUMIFS(수납!$F:$F,수납!$C:$C,원생!$A398,수납!$D:$D,IF(원생!$G398="","",원생!$G398),수납!$B:$B,$B$1&amp;"-"&amp;TEXT(8,"00")&amp;"*",수납!$E:$E,""))</f>
        <v/>
      </c>
      <c r="K400" s="14">
        <f>IF(원생!$A398="","",SUMIFS(수납!$F:$F,수납!$C:$C,원생!$A398,수납!$D:$D,IF(원생!$G398="","",원생!$G398),수납!$B:$B,$B$1&amp;"-"&amp;TEXT(9,"00")&amp;"*",수납!$E:$E,"수강료")+SUMIFS(수납!$F:$F,수납!$C:$C,원생!$A398,수납!$D:$D,IF(원생!$G398="","",원생!$G398),수납!$B:$B,$B$1&amp;"-"&amp;TEXT(9,"00")&amp;"*",수납!$E:$E,""))</f>
        <v/>
      </c>
      <c r="L400" s="14">
        <f>IF(원생!$A398="","",SUMIFS(수납!$F:$F,수납!$C:$C,원생!$A398,수납!$D:$D,IF(원생!$G398="","",원생!$G398),수납!$B:$B,$B$1&amp;"-"&amp;TEXT(10,"00")&amp;"*",수납!$E:$E,"수강료")+SUMIFS(수납!$F:$F,수납!$C:$C,원생!$A398,수납!$D:$D,IF(원생!$G398="","",원생!$G398),수납!$B:$B,$B$1&amp;"-"&amp;TEXT(10,"00")&amp;"*",수납!$E:$E,""))</f>
        <v/>
      </c>
      <c r="M400" s="14">
        <f>IF(원생!$A398="","",SUMIFS(수납!$F:$F,수납!$C:$C,원생!$A398,수납!$D:$D,IF(원생!$G398="","",원생!$G398),수납!$B:$B,$B$1&amp;"-"&amp;TEXT(11,"00")&amp;"*",수납!$E:$E,"수강료")+SUMIFS(수납!$F:$F,수납!$C:$C,원생!$A398,수납!$D:$D,IF(원생!$G398="","",원생!$G398),수납!$B:$B,$B$1&amp;"-"&amp;TEXT(11,"00")&amp;"*",수납!$E:$E,""))</f>
        <v/>
      </c>
      <c r="N400" s="14">
        <f>IF(원생!$A398="","",SUMIFS(수납!$F:$F,수납!$C:$C,원생!$A398,수납!$D:$D,IF(원생!$G398="","",원생!$G398),수납!$B:$B,$B$1&amp;"-"&amp;TEXT(12,"00")&amp;"*",수납!$E:$E,"수강료")+SUMIFS(수납!$F:$F,수납!$C:$C,원생!$A398,수납!$D:$D,IF(원생!$G398="","",원생!$G398),수납!$B:$B,$B$1&amp;"-"&amp;TEXT(12,"00")&amp;"*",수납!$E:$E,""))</f>
        <v/>
      </c>
      <c r="O400">
        <f>IF(원생!$I398="","",원생!$I398)</f>
        <v/>
      </c>
      <c r="P400">
        <f>IF($A400="","",IF(AND($B400&gt;0,C400&lt;$B400,DATE($B$1,1,1)&lt;=TODAY(),OR($O400="",$O400&gt;=DATE($B$1,1,1)),OR(COUNTIF($C400:C400,"&gt;0")&gt;0,DATE($B$1,1,1)=DATE(YEAR(TODAY()),MONTH(TODAY()),1))),1,0))</f>
        <v/>
      </c>
      <c r="Q400">
        <f>IF($A400="","",IF(AND($B400&gt;0,D400&lt;$B400,DATE($B$1,2,1)&lt;=TODAY(),OR($O400="",$O400&gt;=DATE($B$1,2,1)),OR(COUNTIF($C400:D400,"&gt;0")&gt;0,DATE($B$1,2,1)=DATE(YEAR(TODAY()),MONTH(TODAY()),1))),1,0))</f>
        <v/>
      </c>
      <c r="R400">
        <f>IF($A400="","",IF(AND($B400&gt;0,E400&lt;$B400,DATE($B$1,3,1)&lt;=TODAY(),OR($O400="",$O400&gt;=DATE($B$1,3,1)),OR(COUNTIF($C400:E400,"&gt;0")&gt;0,DATE($B$1,3,1)=DATE(YEAR(TODAY()),MONTH(TODAY()),1))),1,0))</f>
        <v/>
      </c>
      <c r="S400">
        <f>IF($A400="","",IF(AND($B400&gt;0,F400&lt;$B400,DATE($B$1,4,1)&lt;=TODAY(),OR($O400="",$O400&gt;=DATE($B$1,4,1)),OR(COUNTIF($C400:F400,"&gt;0")&gt;0,DATE($B$1,4,1)=DATE(YEAR(TODAY()),MONTH(TODAY()),1))),1,0))</f>
        <v/>
      </c>
      <c r="T400">
        <f>IF($A400="","",IF(AND($B400&gt;0,G400&lt;$B400,DATE($B$1,5,1)&lt;=TODAY(),OR($O400="",$O400&gt;=DATE($B$1,5,1)),OR(COUNTIF($C400:G400,"&gt;0")&gt;0,DATE($B$1,5,1)=DATE(YEAR(TODAY()),MONTH(TODAY()),1))),1,0))</f>
        <v/>
      </c>
      <c r="U400">
        <f>IF($A400="","",IF(AND($B400&gt;0,H400&lt;$B400,DATE($B$1,6,1)&lt;=TODAY(),OR($O400="",$O400&gt;=DATE($B$1,6,1)),OR(COUNTIF($C400:H400,"&gt;0")&gt;0,DATE($B$1,6,1)=DATE(YEAR(TODAY()),MONTH(TODAY()),1))),1,0))</f>
        <v/>
      </c>
      <c r="V400">
        <f>IF($A400="","",IF(AND($B400&gt;0,I400&lt;$B400,DATE($B$1,7,1)&lt;=TODAY(),OR($O400="",$O400&gt;=DATE($B$1,7,1)),OR(COUNTIF($C400:I400,"&gt;0")&gt;0,DATE($B$1,7,1)=DATE(YEAR(TODAY()),MONTH(TODAY()),1))),1,0))</f>
        <v/>
      </c>
      <c r="W400">
        <f>IF($A400="","",IF(AND($B400&gt;0,J400&lt;$B400,DATE($B$1,8,1)&lt;=TODAY(),OR($O400="",$O400&gt;=DATE($B$1,8,1)),OR(COUNTIF($C400:J400,"&gt;0")&gt;0,DATE($B$1,8,1)=DATE(YEAR(TODAY()),MONTH(TODAY()),1))),1,0))</f>
        <v/>
      </c>
      <c r="X400">
        <f>IF($A400="","",IF(AND($B400&gt;0,K400&lt;$B400,DATE($B$1,9,1)&lt;=TODAY(),OR($O400="",$O400&gt;=DATE($B$1,9,1)),OR(COUNTIF($C400:K400,"&gt;0")&gt;0,DATE($B$1,9,1)=DATE(YEAR(TODAY()),MONTH(TODAY()),1))),1,0))</f>
        <v/>
      </c>
      <c r="Y400">
        <f>IF($A400="","",IF(AND($B400&gt;0,L400&lt;$B400,DATE($B$1,10,1)&lt;=TODAY(),OR($O400="",$O400&gt;=DATE($B$1,10,1)),OR(COUNTIF($C400:L400,"&gt;0")&gt;0,DATE($B$1,10,1)=DATE(YEAR(TODAY()),MONTH(TODAY()),1))),1,0))</f>
        <v/>
      </c>
      <c r="Z400">
        <f>IF($A400="","",IF(AND($B400&gt;0,M400&lt;$B400,DATE($B$1,11,1)&lt;=TODAY(),OR($O400="",$O400&gt;=DATE($B$1,11,1)),OR(COUNTIF($C400:M400,"&gt;0")&gt;0,DATE($B$1,11,1)=DATE(YEAR(TODAY()),MONTH(TODAY()),1))),1,0))</f>
        <v/>
      </c>
      <c r="AA400">
        <f>IF($A400="","",IF(AND($B400&gt;0,N400&lt;$B400,DATE($B$1,12,1)&lt;=TODAY(),OR($O400="",$O400&gt;=DATE($B$1,12,1)),OR(COUNTIF($C400:N400,"&gt;0")&gt;0,DATE($B$1,12,1)=DATE(YEAR(TODAY()),MONTH(TODAY()),1))),1,0))</f>
        <v/>
      </c>
    </row>
    <row r="401">
      <c r="A401" s="13">
        <f>IF(원생!$A399="","",원생!$A399&amp;IF(원생!$G399="",""," ("&amp;원생!$G399&amp;")"))</f>
        <v/>
      </c>
      <c r="B401" s="8">
        <f>IF(원생!$A399="","",원생!$F399)</f>
        <v/>
      </c>
      <c r="C401" s="14">
        <f>IF(원생!$A399="","",SUMIFS(수납!$F:$F,수납!$C:$C,원생!$A399,수납!$D:$D,IF(원생!$G399="","",원생!$G399),수납!$B:$B,$B$1&amp;"-"&amp;TEXT(1,"00")&amp;"*",수납!$E:$E,"수강료")+SUMIFS(수납!$F:$F,수납!$C:$C,원생!$A399,수납!$D:$D,IF(원생!$G399="","",원생!$G399),수납!$B:$B,$B$1&amp;"-"&amp;TEXT(1,"00")&amp;"*",수납!$E:$E,""))</f>
        <v/>
      </c>
      <c r="D401" s="14">
        <f>IF(원생!$A399="","",SUMIFS(수납!$F:$F,수납!$C:$C,원생!$A399,수납!$D:$D,IF(원생!$G399="","",원생!$G399),수납!$B:$B,$B$1&amp;"-"&amp;TEXT(2,"00")&amp;"*",수납!$E:$E,"수강료")+SUMIFS(수납!$F:$F,수납!$C:$C,원생!$A399,수납!$D:$D,IF(원생!$G399="","",원생!$G399),수납!$B:$B,$B$1&amp;"-"&amp;TEXT(2,"00")&amp;"*",수납!$E:$E,""))</f>
        <v/>
      </c>
      <c r="E401" s="14">
        <f>IF(원생!$A399="","",SUMIFS(수납!$F:$F,수납!$C:$C,원생!$A399,수납!$D:$D,IF(원생!$G399="","",원생!$G399),수납!$B:$B,$B$1&amp;"-"&amp;TEXT(3,"00")&amp;"*",수납!$E:$E,"수강료")+SUMIFS(수납!$F:$F,수납!$C:$C,원생!$A399,수납!$D:$D,IF(원생!$G399="","",원생!$G399),수납!$B:$B,$B$1&amp;"-"&amp;TEXT(3,"00")&amp;"*",수납!$E:$E,""))</f>
        <v/>
      </c>
      <c r="F401" s="14">
        <f>IF(원생!$A399="","",SUMIFS(수납!$F:$F,수납!$C:$C,원생!$A399,수납!$D:$D,IF(원생!$G399="","",원생!$G399),수납!$B:$B,$B$1&amp;"-"&amp;TEXT(4,"00")&amp;"*",수납!$E:$E,"수강료")+SUMIFS(수납!$F:$F,수납!$C:$C,원생!$A399,수납!$D:$D,IF(원생!$G399="","",원생!$G399),수납!$B:$B,$B$1&amp;"-"&amp;TEXT(4,"00")&amp;"*",수납!$E:$E,""))</f>
        <v/>
      </c>
      <c r="G401" s="14">
        <f>IF(원생!$A399="","",SUMIFS(수납!$F:$F,수납!$C:$C,원생!$A399,수납!$D:$D,IF(원생!$G399="","",원생!$G399),수납!$B:$B,$B$1&amp;"-"&amp;TEXT(5,"00")&amp;"*",수납!$E:$E,"수강료")+SUMIFS(수납!$F:$F,수납!$C:$C,원생!$A399,수납!$D:$D,IF(원생!$G399="","",원생!$G399),수납!$B:$B,$B$1&amp;"-"&amp;TEXT(5,"00")&amp;"*",수납!$E:$E,""))</f>
        <v/>
      </c>
      <c r="H401" s="14">
        <f>IF(원생!$A399="","",SUMIFS(수납!$F:$F,수납!$C:$C,원생!$A399,수납!$D:$D,IF(원생!$G399="","",원생!$G399),수납!$B:$B,$B$1&amp;"-"&amp;TEXT(6,"00")&amp;"*",수납!$E:$E,"수강료")+SUMIFS(수납!$F:$F,수납!$C:$C,원생!$A399,수납!$D:$D,IF(원생!$G399="","",원생!$G399),수납!$B:$B,$B$1&amp;"-"&amp;TEXT(6,"00")&amp;"*",수납!$E:$E,""))</f>
        <v/>
      </c>
      <c r="I401" s="14">
        <f>IF(원생!$A399="","",SUMIFS(수납!$F:$F,수납!$C:$C,원생!$A399,수납!$D:$D,IF(원생!$G399="","",원생!$G399),수납!$B:$B,$B$1&amp;"-"&amp;TEXT(7,"00")&amp;"*",수납!$E:$E,"수강료")+SUMIFS(수납!$F:$F,수납!$C:$C,원생!$A399,수납!$D:$D,IF(원생!$G399="","",원생!$G399),수납!$B:$B,$B$1&amp;"-"&amp;TEXT(7,"00")&amp;"*",수납!$E:$E,""))</f>
        <v/>
      </c>
      <c r="J401" s="14">
        <f>IF(원생!$A399="","",SUMIFS(수납!$F:$F,수납!$C:$C,원생!$A399,수납!$D:$D,IF(원생!$G399="","",원생!$G399),수납!$B:$B,$B$1&amp;"-"&amp;TEXT(8,"00")&amp;"*",수납!$E:$E,"수강료")+SUMIFS(수납!$F:$F,수납!$C:$C,원생!$A399,수납!$D:$D,IF(원생!$G399="","",원생!$G399),수납!$B:$B,$B$1&amp;"-"&amp;TEXT(8,"00")&amp;"*",수납!$E:$E,""))</f>
        <v/>
      </c>
      <c r="K401" s="14">
        <f>IF(원생!$A399="","",SUMIFS(수납!$F:$F,수납!$C:$C,원생!$A399,수납!$D:$D,IF(원생!$G399="","",원생!$G399),수납!$B:$B,$B$1&amp;"-"&amp;TEXT(9,"00")&amp;"*",수납!$E:$E,"수강료")+SUMIFS(수납!$F:$F,수납!$C:$C,원생!$A399,수납!$D:$D,IF(원생!$G399="","",원생!$G399),수납!$B:$B,$B$1&amp;"-"&amp;TEXT(9,"00")&amp;"*",수납!$E:$E,""))</f>
        <v/>
      </c>
      <c r="L401" s="14">
        <f>IF(원생!$A399="","",SUMIFS(수납!$F:$F,수납!$C:$C,원생!$A399,수납!$D:$D,IF(원생!$G399="","",원생!$G399),수납!$B:$B,$B$1&amp;"-"&amp;TEXT(10,"00")&amp;"*",수납!$E:$E,"수강료")+SUMIFS(수납!$F:$F,수납!$C:$C,원생!$A399,수납!$D:$D,IF(원생!$G399="","",원생!$G399),수납!$B:$B,$B$1&amp;"-"&amp;TEXT(10,"00")&amp;"*",수납!$E:$E,""))</f>
        <v/>
      </c>
      <c r="M401" s="14">
        <f>IF(원생!$A399="","",SUMIFS(수납!$F:$F,수납!$C:$C,원생!$A399,수납!$D:$D,IF(원생!$G399="","",원생!$G399),수납!$B:$B,$B$1&amp;"-"&amp;TEXT(11,"00")&amp;"*",수납!$E:$E,"수강료")+SUMIFS(수납!$F:$F,수납!$C:$C,원생!$A399,수납!$D:$D,IF(원생!$G399="","",원생!$G399),수납!$B:$B,$B$1&amp;"-"&amp;TEXT(11,"00")&amp;"*",수납!$E:$E,""))</f>
        <v/>
      </c>
      <c r="N401" s="14">
        <f>IF(원생!$A399="","",SUMIFS(수납!$F:$F,수납!$C:$C,원생!$A399,수납!$D:$D,IF(원생!$G399="","",원생!$G399),수납!$B:$B,$B$1&amp;"-"&amp;TEXT(12,"00")&amp;"*",수납!$E:$E,"수강료")+SUMIFS(수납!$F:$F,수납!$C:$C,원생!$A399,수납!$D:$D,IF(원생!$G399="","",원생!$G399),수납!$B:$B,$B$1&amp;"-"&amp;TEXT(12,"00")&amp;"*",수납!$E:$E,""))</f>
        <v/>
      </c>
      <c r="O401">
        <f>IF(원생!$I399="","",원생!$I399)</f>
        <v/>
      </c>
      <c r="P401">
        <f>IF($A401="","",IF(AND($B401&gt;0,C401&lt;$B401,DATE($B$1,1,1)&lt;=TODAY(),OR($O401="",$O401&gt;=DATE($B$1,1,1)),OR(COUNTIF($C401:C401,"&gt;0")&gt;0,DATE($B$1,1,1)=DATE(YEAR(TODAY()),MONTH(TODAY()),1))),1,0))</f>
        <v/>
      </c>
      <c r="Q401">
        <f>IF($A401="","",IF(AND($B401&gt;0,D401&lt;$B401,DATE($B$1,2,1)&lt;=TODAY(),OR($O401="",$O401&gt;=DATE($B$1,2,1)),OR(COUNTIF($C401:D401,"&gt;0")&gt;0,DATE($B$1,2,1)=DATE(YEAR(TODAY()),MONTH(TODAY()),1))),1,0))</f>
        <v/>
      </c>
      <c r="R401">
        <f>IF($A401="","",IF(AND($B401&gt;0,E401&lt;$B401,DATE($B$1,3,1)&lt;=TODAY(),OR($O401="",$O401&gt;=DATE($B$1,3,1)),OR(COUNTIF($C401:E401,"&gt;0")&gt;0,DATE($B$1,3,1)=DATE(YEAR(TODAY()),MONTH(TODAY()),1))),1,0))</f>
        <v/>
      </c>
      <c r="S401">
        <f>IF($A401="","",IF(AND($B401&gt;0,F401&lt;$B401,DATE($B$1,4,1)&lt;=TODAY(),OR($O401="",$O401&gt;=DATE($B$1,4,1)),OR(COUNTIF($C401:F401,"&gt;0")&gt;0,DATE($B$1,4,1)=DATE(YEAR(TODAY()),MONTH(TODAY()),1))),1,0))</f>
        <v/>
      </c>
      <c r="T401">
        <f>IF($A401="","",IF(AND($B401&gt;0,G401&lt;$B401,DATE($B$1,5,1)&lt;=TODAY(),OR($O401="",$O401&gt;=DATE($B$1,5,1)),OR(COUNTIF($C401:G401,"&gt;0")&gt;0,DATE($B$1,5,1)=DATE(YEAR(TODAY()),MONTH(TODAY()),1))),1,0))</f>
        <v/>
      </c>
      <c r="U401">
        <f>IF($A401="","",IF(AND($B401&gt;0,H401&lt;$B401,DATE($B$1,6,1)&lt;=TODAY(),OR($O401="",$O401&gt;=DATE($B$1,6,1)),OR(COUNTIF($C401:H401,"&gt;0")&gt;0,DATE($B$1,6,1)=DATE(YEAR(TODAY()),MONTH(TODAY()),1))),1,0))</f>
        <v/>
      </c>
      <c r="V401">
        <f>IF($A401="","",IF(AND($B401&gt;0,I401&lt;$B401,DATE($B$1,7,1)&lt;=TODAY(),OR($O401="",$O401&gt;=DATE($B$1,7,1)),OR(COUNTIF($C401:I401,"&gt;0")&gt;0,DATE($B$1,7,1)=DATE(YEAR(TODAY()),MONTH(TODAY()),1))),1,0))</f>
        <v/>
      </c>
      <c r="W401">
        <f>IF($A401="","",IF(AND($B401&gt;0,J401&lt;$B401,DATE($B$1,8,1)&lt;=TODAY(),OR($O401="",$O401&gt;=DATE($B$1,8,1)),OR(COUNTIF($C401:J401,"&gt;0")&gt;0,DATE($B$1,8,1)=DATE(YEAR(TODAY()),MONTH(TODAY()),1))),1,0))</f>
        <v/>
      </c>
      <c r="X401">
        <f>IF($A401="","",IF(AND($B401&gt;0,K401&lt;$B401,DATE($B$1,9,1)&lt;=TODAY(),OR($O401="",$O401&gt;=DATE($B$1,9,1)),OR(COUNTIF($C401:K401,"&gt;0")&gt;0,DATE($B$1,9,1)=DATE(YEAR(TODAY()),MONTH(TODAY()),1))),1,0))</f>
        <v/>
      </c>
      <c r="Y401">
        <f>IF($A401="","",IF(AND($B401&gt;0,L401&lt;$B401,DATE($B$1,10,1)&lt;=TODAY(),OR($O401="",$O401&gt;=DATE($B$1,10,1)),OR(COUNTIF($C401:L401,"&gt;0")&gt;0,DATE($B$1,10,1)=DATE(YEAR(TODAY()),MONTH(TODAY()),1))),1,0))</f>
        <v/>
      </c>
      <c r="Z401">
        <f>IF($A401="","",IF(AND($B401&gt;0,M401&lt;$B401,DATE($B$1,11,1)&lt;=TODAY(),OR($O401="",$O401&gt;=DATE($B$1,11,1)),OR(COUNTIF($C401:M401,"&gt;0")&gt;0,DATE($B$1,11,1)=DATE(YEAR(TODAY()),MONTH(TODAY()),1))),1,0))</f>
        <v/>
      </c>
      <c r="AA401">
        <f>IF($A401="","",IF(AND($B401&gt;0,N401&lt;$B401,DATE($B$1,12,1)&lt;=TODAY(),OR($O401="",$O401&gt;=DATE($B$1,12,1)),OR(COUNTIF($C401:N401,"&gt;0")&gt;0,DATE($B$1,12,1)=DATE(YEAR(TODAY()),MONTH(TODAY()),1))),1,0))</f>
        <v/>
      </c>
    </row>
    <row r="402">
      <c r="A402" s="13">
        <f>IF(원생!$A400="","",원생!$A400&amp;IF(원생!$G400="",""," ("&amp;원생!$G400&amp;")"))</f>
        <v/>
      </c>
      <c r="B402" s="8">
        <f>IF(원생!$A400="","",원생!$F400)</f>
        <v/>
      </c>
      <c r="C402" s="14">
        <f>IF(원생!$A400="","",SUMIFS(수납!$F:$F,수납!$C:$C,원생!$A400,수납!$D:$D,IF(원생!$G400="","",원생!$G400),수납!$B:$B,$B$1&amp;"-"&amp;TEXT(1,"00")&amp;"*",수납!$E:$E,"수강료")+SUMIFS(수납!$F:$F,수납!$C:$C,원생!$A400,수납!$D:$D,IF(원생!$G400="","",원생!$G400),수납!$B:$B,$B$1&amp;"-"&amp;TEXT(1,"00")&amp;"*",수납!$E:$E,""))</f>
        <v/>
      </c>
      <c r="D402" s="14">
        <f>IF(원생!$A400="","",SUMIFS(수납!$F:$F,수납!$C:$C,원생!$A400,수납!$D:$D,IF(원생!$G400="","",원생!$G400),수납!$B:$B,$B$1&amp;"-"&amp;TEXT(2,"00")&amp;"*",수납!$E:$E,"수강료")+SUMIFS(수납!$F:$F,수납!$C:$C,원생!$A400,수납!$D:$D,IF(원생!$G400="","",원생!$G400),수납!$B:$B,$B$1&amp;"-"&amp;TEXT(2,"00")&amp;"*",수납!$E:$E,""))</f>
        <v/>
      </c>
      <c r="E402" s="14">
        <f>IF(원생!$A400="","",SUMIFS(수납!$F:$F,수납!$C:$C,원생!$A400,수납!$D:$D,IF(원생!$G400="","",원생!$G400),수납!$B:$B,$B$1&amp;"-"&amp;TEXT(3,"00")&amp;"*",수납!$E:$E,"수강료")+SUMIFS(수납!$F:$F,수납!$C:$C,원생!$A400,수납!$D:$D,IF(원생!$G400="","",원생!$G400),수납!$B:$B,$B$1&amp;"-"&amp;TEXT(3,"00")&amp;"*",수납!$E:$E,""))</f>
        <v/>
      </c>
      <c r="F402" s="14">
        <f>IF(원생!$A400="","",SUMIFS(수납!$F:$F,수납!$C:$C,원생!$A400,수납!$D:$D,IF(원생!$G400="","",원생!$G400),수납!$B:$B,$B$1&amp;"-"&amp;TEXT(4,"00")&amp;"*",수납!$E:$E,"수강료")+SUMIFS(수납!$F:$F,수납!$C:$C,원생!$A400,수납!$D:$D,IF(원생!$G400="","",원생!$G400),수납!$B:$B,$B$1&amp;"-"&amp;TEXT(4,"00")&amp;"*",수납!$E:$E,""))</f>
        <v/>
      </c>
      <c r="G402" s="14">
        <f>IF(원생!$A400="","",SUMIFS(수납!$F:$F,수납!$C:$C,원생!$A400,수납!$D:$D,IF(원생!$G400="","",원생!$G400),수납!$B:$B,$B$1&amp;"-"&amp;TEXT(5,"00")&amp;"*",수납!$E:$E,"수강료")+SUMIFS(수납!$F:$F,수납!$C:$C,원생!$A400,수납!$D:$D,IF(원생!$G400="","",원생!$G400),수납!$B:$B,$B$1&amp;"-"&amp;TEXT(5,"00")&amp;"*",수납!$E:$E,""))</f>
        <v/>
      </c>
      <c r="H402" s="14">
        <f>IF(원생!$A400="","",SUMIFS(수납!$F:$F,수납!$C:$C,원생!$A400,수납!$D:$D,IF(원생!$G400="","",원생!$G400),수납!$B:$B,$B$1&amp;"-"&amp;TEXT(6,"00")&amp;"*",수납!$E:$E,"수강료")+SUMIFS(수납!$F:$F,수납!$C:$C,원생!$A400,수납!$D:$D,IF(원생!$G400="","",원생!$G400),수납!$B:$B,$B$1&amp;"-"&amp;TEXT(6,"00")&amp;"*",수납!$E:$E,""))</f>
        <v/>
      </c>
      <c r="I402" s="14">
        <f>IF(원생!$A400="","",SUMIFS(수납!$F:$F,수납!$C:$C,원생!$A400,수납!$D:$D,IF(원생!$G400="","",원생!$G400),수납!$B:$B,$B$1&amp;"-"&amp;TEXT(7,"00")&amp;"*",수납!$E:$E,"수강료")+SUMIFS(수납!$F:$F,수납!$C:$C,원생!$A400,수납!$D:$D,IF(원생!$G400="","",원생!$G400),수납!$B:$B,$B$1&amp;"-"&amp;TEXT(7,"00")&amp;"*",수납!$E:$E,""))</f>
        <v/>
      </c>
      <c r="J402" s="14">
        <f>IF(원생!$A400="","",SUMIFS(수납!$F:$F,수납!$C:$C,원생!$A400,수납!$D:$D,IF(원생!$G400="","",원생!$G400),수납!$B:$B,$B$1&amp;"-"&amp;TEXT(8,"00")&amp;"*",수납!$E:$E,"수강료")+SUMIFS(수납!$F:$F,수납!$C:$C,원생!$A400,수납!$D:$D,IF(원생!$G400="","",원생!$G400),수납!$B:$B,$B$1&amp;"-"&amp;TEXT(8,"00")&amp;"*",수납!$E:$E,""))</f>
        <v/>
      </c>
      <c r="K402" s="14">
        <f>IF(원생!$A400="","",SUMIFS(수납!$F:$F,수납!$C:$C,원생!$A400,수납!$D:$D,IF(원생!$G400="","",원생!$G400),수납!$B:$B,$B$1&amp;"-"&amp;TEXT(9,"00")&amp;"*",수납!$E:$E,"수강료")+SUMIFS(수납!$F:$F,수납!$C:$C,원생!$A400,수납!$D:$D,IF(원생!$G400="","",원생!$G400),수납!$B:$B,$B$1&amp;"-"&amp;TEXT(9,"00")&amp;"*",수납!$E:$E,""))</f>
        <v/>
      </c>
      <c r="L402" s="14">
        <f>IF(원생!$A400="","",SUMIFS(수납!$F:$F,수납!$C:$C,원생!$A400,수납!$D:$D,IF(원생!$G400="","",원생!$G400),수납!$B:$B,$B$1&amp;"-"&amp;TEXT(10,"00")&amp;"*",수납!$E:$E,"수강료")+SUMIFS(수납!$F:$F,수납!$C:$C,원생!$A400,수납!$D:$D,IF(원생!$G400="","",원생!$G400),수납!$B:$B,$B$1&amp;"-"&amp;TEXT(10,"00")&amp;"*",수납!$E:$E,""))</f>
        <v/>
      </c>
      <c r="M402" s="14">
        <f>IF(원생!$A400="","",SUMIFS(수납!$F:$F,수납!$C:$C,원생!$A400,수납!$D:$D,IF(원생!$G400="","",원생!$G400),수납!$B:$B,$B$1&amp;"-"&amp;TEXT(11,"00")&amp;"*",수납!$E:$E,"수강료")+SUMIFS(수납!$F:$F,수납!$C:$C,원생!$A400,수납!$D:$D,IF(원생!$G400="","",원생!$G400),수납!$B:$B,$B$1&amp;"-"&amp;TEXT(11,"00")&amp;"*",수납!$E:$E,""))</f>
        <v/>
      </c>
      <c r="N402" s="14">
        <f>IF(원생!$A400="","",SUMIFS(수납!$F:$F,수납!$C:$C,원생!$A400,수납!$D:$D,IF(원생!$G400="","",원생!$G400),수납!$B:$B,$B$1&amp;"-"&amp;TEXT(12,"00")&amp;"*",수납!$E:$E,"수강료")+SUMIFS(수납!$F:$F,수납!$C:$C,원생!$A400,수납!$D:$D,IF(원생!$G400="","",원생!$G400),수납!$B:$B,$B$1&amp;"-"&amp;TEXT(12,"00")&amp;"*",수납!$E:$E,""))</f>
        <v/>
      </c>
      <c r="O402">
        <f>IF(원생!$I400="","",원생!$I400)</f>
        <v/>
      </c>
      <c r="P402">
        <f>IF($A402="","",IF(AND($B402&gt;0,C402&lt;$B402,DATE($B$1,1,1)&lt;=TODAY(),OR($O402="",$O402&gt;=DATE($B$1,1,1)),OR(COUNTIF($C402:C402,"&gt;0")&gt;0,DATE($B$1,1,1)=DATE(YEAR(TODAY()),MONTH(TODAY()),1))),1,0))</f>
        <v/>
      </c>
      <c r="Q402">
        <f>IF($A402="","",IF(AND($B402&gt;0,D402&lt;$B402,DATE($B$1,2,1)&lt;=TODAY(),OR($O402="",$O402&gt;=DATE($B$1,2,1)),OR(COUNTIF($C402:D402,"&gt;0")&gt;0,DATE($B$1,2,1)=DATE(YEAR(TODAY()),MONTH(TODAY()),1))),1,0))</f>
        <v/>
      </c>
      <c r="R402">
        <f>IF($A402="","",IF(AND($B402&gt;0,E402&lt;$B402,DATE($B$1,3,1)&lt;=TODAY(),OR($O402="",$O402&gt;=DATE($B$1,3,1)),OR(COUNTIF($C402:E402,"&gt;0")&gt;0,DATE($B$1,3,1)=DATE(YEAR(TODAY()),MONTH(TODAY()),1))),1,0))</f>
        <v/>
      </c>
      <c r="S402">
        <f>IF($A402="","",IF(AND($B402&gt;0,F402&lt;$B402,DATE($B$1,4,1)&lt;=TODAY(),OR($O402="",$O402&gt;=DATE($B$1,4,1)),OR(COUNTIF($C402:F402,"&gt;0")&gt;0,DATE($B$1,4,1)=DATE(YEAR(TODAY()),MONTH(TODAY()),1))),1,0))</f>
        <v/>
      </c>
      <c r="T402">
        <f>IF($A402="","",IF(AND($B402&gt;0,G402&lt;$B402,DATE($B$1,5,1)&lt;=TODAY(),OR($O402="",$O402&gt;=DATE($B$1,5,1)),OR(COUNTIF($C402:G402,"&gt;0")&gt;0,DATE($B$1,5,1)=DATE(YEAR(TODAY()),MONTH(TODAY()),1))),1,0))</f>
        <v/>
      </c>
      <c r="U402">
        <f>IF($A402="","",IF(AND($B402&gt;0,H402&lt;$B402,DATE($B$1,6,1)&lt;=TODAY(),OR($O402="",$O402&gt;=DATE($B$1,6,1)),OR(COUNTIF($C402:H402,"&gt;0")&gt;0,DATE($B$1,6,1)=DATE(YEAR(TODAY()),MONTH(TODAY()),1))),1,0))</f>
        <v/>
      </c>
      <c r="V402">
        <f>IF($A402="","",IF(AND($B402&gt;0,I402&lt;$B402,DATE($B$1,7,1)&lt;=TODAY(),OR($O402="",$O402&gt;=DATE($B$1,7,1)),OR(COUNTIF($C402:I402,"&gt;0")&gt;0,DATE($B$1,7,1)=DATE(YEAR(TODAY()),MONTH(TODAY()),1))),1,0))</f>
        <v/>
      </c>
      <c r="W402">
        <f>IF($A402="","",IF(AND($B402&gt;0,J402&lt;$B402,DATE($B$1,8,1)&lt;=TODAY(),OR($O402="",$O402&gt;=DATE($B$1,8,1)),OR(COUNTIF($C402:J402,"&gt;0")&gt;0,DATE($B$1,8,1)=DATE(YEAR(TODAY()),MONTH(TODAY()),1))),1,0))</f>
        <v/>
      </c>
      <c r="X402">
        <f>IF($A402="","",IF(AND($B402&gt;0,K402&lt;$B402,DATE($B$1,9,1)&lt;=TODAY(),OR($O402="",$O402&gt;=DATE($B$1,9,1)),OR(COUNTIF($C402:K402,"&gt;0")&gt;0,DATE($B$1,9,1)=DATE(YEAR(TODAY()),MONTH(TODAY()),1))),1,0))</f>
        <v/>
      </c>
      <c r="Y402">
        <f>IF($A402="","",IF(AND($B402&gt;0,L402&lt;$B402,DATE($B$1,10,1)&lt;=TODAY(),OR($O402="",$O402&gt;=DATE($B$1,10,1)),OR(COUNTIF($C402:L402,"&gt;0")&gt;0,DATE($B$1,10,1)=DATE(YEAR(TODAY()),MONTH(TODAY()),1))),1,0))</f>
        <v/>
      </c>
      <c r="Z402">
        <f>IF($A402="","",IF(AND($B402&gt;0,M402&lt;$B402,DATE($B$1,11,1)&lt;=TODAY(),OR($O402="",$O402&gt;=DATE($B$1,11,1)),OR(COUNTIF($C402:M402,"&gt;0")&gt;0,DATE($B$1,11,1)=DATE(YEAR(TODAY()),MONTH(TODAY()),1))),1,0))</f>
        <v/>
      </c>
      <c r="AA402">
        <f>IF($A402="","",IF(AND($B402&gt;0,N402&lt;$B402,DATE($B$1,12,1)&lt;=TODAY(),OR($O402="",$O402&gt;=DATE($B$1,12,1)),OR(COUNTIF($C402:N402,"&gt;0")&gt;0,DATE($B$1,12,1)=DATE(YEAR(TODAY()),MONTH(TODAY()),1))),1,0))</f>
        <v/>
      </c>
    </row>
    <row r="403">
      <c r="A403" s="13">
        <f>IF(원생!$A401="","",원생!$A401&amp;IF(원생!$G401="",""," ("&amp;원생!$G401&amp;")"))</f>
        <v/>
      </c>
      <c r="B403" s="8">
        <f>IF(원생!$A401="","",원생!$F401)</f>
        <v/>
      </c>
      <c r="C403" s="14">
        <f>IF(원생!$A401="","",SUMIFS(수납!$F:$F,수납!$C:$C,원생!$A401,수납!$D:$D,IF(원생!$G401="","",원생!$G401),수납!$B:$B,$B$1&amp;"-"&amp;TEXT(1,"00")&amp;"*",수납!$E:$E,"수강료")+SUMIFS(수납!$F:$F,수납!$C:$C,원생!$A401,수납!$D:$D,IF(원생!$G401="","",원생!$G401),수납!$B:$B,$B$1&amp;"-"&amp;TEXT(1,"00")&amp;"*",수납!$E:$E,""))</f>
        <v/>
      </c>
      <c r="D403" s="14">
        <f>IF(원생!$A401="","",SUMIFS(수납!$F:$F,수납!$C:$C,원생!$A401,수납!$D:$D,IF(원생!$G401="","",원생!$G401),수납!$B:$B,$B$1&amp;"-"&amp;TEXT(2,"00")&amp;"*",수납!$E:$E,"수강료")+SUMIFS(수납!$F:$F,수납!$C:$C,원생!$A401,수납!$D:$D,IF(원생!$G401="","",원생!$G401),수납!$B:$B,$B$1&amp;"-"&amp;TEXT(2,"00")&amp;"*",수납!$E:$E,""))</f>
        <v/>
      </c>
      <c r="E403" s="14">
        <f>IF(원생!$A401="","",SUMIFS(수납!$F:$F,수납!$C:$C,원생!$A401,수납!$D:$D,IF(원생!$G401="","",원생!$G401),수납!$B:$B,$B$1&amp;"-"&amp;TEXT(3,"00")&amp;"*",수납!$E:$E,"수강료")+SUMIFS(수납!$F:$F,수납!$C:$C,원생!$A401,수납!$D:$D,IF(원생!$G401="","",원생!$G401),수납!$B:$B,$B$1&amp;"-"&amp;TEXT(3,"00")&amp;"*",수납!$E:$E,""))</f>
        <v/>
      </c>
      <c r="F403" s="14">
        <f>IF(원생!$A401="","",SUMIFS(수납!$F:$F,수납!$C:$C,원생!$A401,수납!$D:$D,IF(원생!$G401="","",원생!$G401),수납!$B:$B,$B$1&amp;"-"&amp;TEXT(4,"00")&amp;"*",수납!$E:$E,"수강료")+SUMIFS(수납!$F:$F,수납!$C:$C,원생!$A401,수납!$D:$D,IF(원생!$G401="","",원생!$G401),수납!$B:$B,$B$1&amp;"-"&amp;TEXT(4,"00")&amp;"*",수납!$E:$E,""))</f>
        <v/>
      </c>
      <c r="G403" s="14">
        <f>IF(원생!$A401="","",SUMIFS(수납!$F:$F,수납!$C:$C,원생!$A401,수납!$D:$D,IF(원생!$G401="","",원생!$G401),수납!$B:$B,$B$1&amp;"-"&amp;TEXT(5,"00")&amp;"*",수납!$E:$E,"수강료")+SUMIFS(수납!$F:$F,수납!$C:$C,원생!$A401,수납!$D:$D,IF(원생!$G401="","",원생!$G401),수납!$B:$B,$B$1&amp;"-"&amp;TEXT(5,"00")&amp;"*",수납!$E:$E,""))</f>
        <v/>
      </c>
      <c r="H403" s="14">
        <f>IF(원생!$A401="","",SUMIFS(수납!$F:$F,수납!$C:$C,원생!$A401,수납!$D:$D,IF(원생!$G401="","",원생!$G401),수납!$B:$B,$B$1&amp;"-"&amp;TEXT(6,"00")&amp;"*",수납!$E:$E,"수강료")+SUMIFS(수납!$F:$F,수납!$C:$C,원생!$A401,수납!$D:$D,IF(원생!$G401="","",원생!$G401),수납!$B:$B,$B$1&amp;"-"&amp;TEXT(6,"00")&amp;"*",수납!$E:$E,""))</f>
        <v/>
      </c>
      <c r="I403" s="14">
        <f>IF(원생!$A401="","",SUMIFS(수납!$F:$F,수납!$C:$C,원생!$A401,수납!$D:$D,IF(원생!$G401="","",원생!$G401),수납!$B:$B,$B$1&amp;"-"&amp;TEXT(7,"00")&amp;"*",수납!$E:$E,"수강료")+SUMIFS(수납!$F:$F,수납!$C:$C,원생!$A401,수납!$D:$D,IF(원생!$G401="","",원생!$G401),수납!$B:$B,$B$1&amp;"-"&amp;TEXT(7,"00")&amp;"*",수납!$E:$E,""))</f>
        <v/>
      </c>
      <c r="J403" s="14">
        <f>IF(원생!$A401="","",SUMIFS(수납!$F:$F,수납!$C:$C,원생!$A401,수납!$D:$D,IF(원생!$G401="","",원생!$G401),수납!$B:$B,$B$1&amp;"-"&amp;TEXT(8,"00")&amp;"*",수납!$E:$E,"수강료")+SUMIFS(수납!$F:$F,수납!$C:$C,원생!$A401,수납!$D:$D,IF(원생!$G401="","",원생!$G401),수납!$B:$B,$B$1&amp;"-"&amp;TEXT(8,"00")&amp;"*",수납!$E:$E,""))</f>
        <v/>
      </c>
      <c r="K403" s="14">
        <f>IF(원생!$A401="","",SUMIFS(수납!$F:$F,수납!$C:$C,원생!$A401,수납!$D:$D,IF(원생!$G401="","",원생!$G401),수납!$B:$B,$B$1&amp;"-"&amp;TEXT(9,"00")&amp;"*",수납!$E:$E,"수강료")+SUMIFS(수납!$F:$F,수납!$C:$C,원생!$A401,수납!$D:$D,IF(원생!$G401="","",원생!$G401),수납!$B:$B,$B$1&amp;"-"&amp;TEXT(9,"00")&amp;"*",수납!$E:$E,""))</f>
        <v/>
      </c>
      <c r="L403" s="14">
        <f>IF(원생!$A401="","",SUMIFS(수납!$F:$F,수납!$C:$C,원생!$A401,수납!$D:$D,IF(원생!$G401="","",원생!$G401),수납!$B:$B,$B$1&amp;"-"&amp;TEXT(10,"00")&amp;"*",수납!$E:$E,"수강료")+SUMIFS(수납!$F:$F,수납!$C:$C,원생!$A401,수납!$D:$D,IF(원생!$G401="","",원생!$G401),수납!$B:$B,$B$1&amp;"-"&amp;TEXT(10,"00")&amp;"*",수납!$E:$E,""))</f>
        <v/>
      </c>
      <c r="M403" s="14">
        <f>IF(원생!$A401="","",SUMIFS(수납!$F:$F,수납!$C:$C,원생!$A401,수납!$D:$D,IF(원생!$G401="","",원생!$G401),수납!$B:$B,$B$1&amp;"-"&amp;TEXT(11,"00")&amp;"*",수납!$E:$E,"수강료")+SUMIFS(수납!$F:$F,수납!$C:$C,원생!$A401,수납!$D:$D,IF(원생!$G401="","",원생!$G401),수납!$B:$B,$B$1&amp;"-"&amp;TEXT(11,"00")&amp;"*",수납!$E:$E,""))</f>
        <v/>
      </c>
      <c r="N403" s="14">
        <f>IF(원생!$A401="","",SUMIFS(수납!$F:$F,수납!$C:$C,원생!$A401,수납!$D:$D,IF(원생!$G401="","",원생!$G401),수납!$B:$B,$B$1&amp;"-"&amp;TEXT(12,"00")&amp;"*",수납!$E:$E,"수강료")+SUMIFS(수납!$F:$F,수납!$C:$C,원생!$A401,수납!$D:$D,IF(원생!$G401="","",원생!$G401),수납!$B:$B,$B$1&amp;"-"&amp;TEXT(12,"00")&amp;"*",수납!$E:$E,""))</f>
        <v/>
      </c>
      <c r="O403">
        <f>IF(원생!$I401="","",원생!$I401)</f>
        <v/>
      </c>
      <c r="P403">
        <f>IF($A403="","",IF(AND($B403&gt;0,C403&lt;$B403,DATE($B$1,1,1)&lt;=TODAY(),OR($O403="",$O403&gt;=DATE($B$1,1,1)),OR(COUNTIF($C403:C403,"&gt;0")&gt;0,DATE($B$1,1,1)=DATE(YEAR(TODAY()),MONTH(TODAY()),1))),1,0))</f>
        <v/>
      </c>
      <c r="Q403">
        <f>IF($A403="","",IF(AND($B403&gt;0,D403&lt;$B403,DATE($B$1,2,1)&lt;=TODAY(),OR($O403="",$O403&gt;=DATE($B$1,2,1)),OR(COUNTIF($C403:D403,"&gt;0")&gt;0,DATE($B$1,2,1)=DATE(YEAR(TODAY()),MONTH(TODAY()),1))),1,0))</f>
        <v/>
      </c>
      <c r="R403">
        <f>IF($A403="","",IF(AND($B403&gt;0,E403&lt;$B403,DATE($B$1,3,1)&lt;=TODAY(),OR($O403="",$O403&gt;=DATE($B$1,3,1)),OR(COUNTIF($C403:E403,"&gt;0")&gt;0,DATE($B$1,3,1)=DATE(YEAR(TODAY()),MONTH(TODAY()),1))),1,0))</f>
        <v/>
      </c>
      <c r="S403">
        <f>IF($A403="","",IF(AND($B403&gt;0,F403&lt;$B403,DATE($B$1,4,1)&lt;=TODAY(),OR($O403="",$O403&gt;=DATE($B$1,4,1)),OR(COUNTIF($C403:F403,"&gt;0")&gt;0,DATE($B$1,4,1)=DATE(YEAR(TODAY()),MONTH(TODAY()),1))),1,0))</f>
        <v/>
      </c>
      <c r="T403">
        <f>IF($A403="","",IF(AND($B403&gt;0,G403&lt;$B403,DATE($B$1,5,1)&lt;=TODAY(),OR($O403="",$O403&gt;=DATE($B$1,5,1)),OR(COUNTIF($C403:G403,"&gt;0")&gt;0,DATE($B$1,5,1)=DATE(YEAR(TODAY()),MONTH(TODAY()),1))),1,0))</f>
        <v/>
      </c>
      <c r="U403">
        <f>IF($A403="","",IF(AND($B403&gt;0,H403&lt;$B403,DATE($B$1,6,1)&lt;=TODAY(),OR($O403="",$O403&gt;=DATE($B$1,6,1)),OR(COUNTIF($C403:H403,"&gt;0")&gt;0,DATE($B$1,6,1)=DATE(YEAR(TODAY()),MONTH(TODAY()),1))),1,0))</f>
        <v/>
      </c>
      <c r="V403">
        <f>IF($A403="","",IF(AND($B403&gt;0,I403&lt;$B403,DATE($B$1,7,1)&lt;=TODAY(),OR($O403="",$O403&gt;=DATE($B$1,7,1)),OR(COUNTIF($C403:I403,"&gt;0")&gt;0,DATE($B$1,7,1)=DATE(YEAR(TODAY()),MONTH(TODAY()),1))),1,0))</f>
        <v/>
      </c>
      <c r="W403">
        <f>IF($A403="","",IF(AND($B403&gt;0,J403&lt;$B403,DATE($B$1,8,1)&lt;=TODAY(),OR($O403="",$O403&gt;=DATE($B$1,8,1)),OR(COUNTIF($C403:J403,"&gt;0")&gt;0,DATE($B$1,8,1)=DATE(YEAR(TODAY()),MONTH(TODAY()),1))),1,0))</f>
        <v/>
      </c>
      <c r="X403">
        <f>IF($A403="","",IF(AND($B403&gt;0,K403&lt;$B403,DATE($B$1,9,1)&lt;=TODAY(),OR($O403="",$O403&gt;=DATE($B$1,9,1)),OR(COUNTIF($C403:K403,"&gt;0")&gt;0,DATE($B$1,9,1)=DATE(YEAR(TODAY()),MONTH(TODAY()),1))),1,0))</f>
        <v/>
      </c>
      <c r="Y403">
        <f>IF($A403="","",IF(AND($B403&gt;0,L403&lt;$B403,DATE($B$1,10,1)&lt;=TODAY(),OR($O403="",$O403&gt;=DATE($B$1,10,1)),OR(COUNTIF($C403:L403,"&gt;0")&gt;0,DATE($B$1,10,1)=DATE(YEAR(TODAY()),MONTH(TODAY()),1))),1,0))</f>
        <v/>
      </c>
      <c r="Z403">
        <f>IF($A403="","",IF(AND($B403&gt;0,M403&lt;$B403,DATE($B$1,11,1)&lt;=TODAY(),OR($O403="",$O403&gt;=DATE($B$1,11,1)),OR(COUNTIF($C403:M403,"&gt;0")&gt;0,DATE($B$1,11,1)=DATE(YEAR(TODAY()),MONTH(TODAY()),1))),1,0))</f>
        <v/>
      </c>
      <c r="AA403">
        <f>IF($A403="","",IF(AND($B403&gt;0,N403&lt;$B403,DATE($B$1,12,1)&lt;=TODAY(),OR($O403="",$O403&gt;=DATE($B$1,12,1)),OR(COUNTIF($C403:N403,"&gt;0")&gt;0,DATE($B$1,12,1)=DATE(YEAR(TODAY()),MONTH(TODAY()),1))),1,0))</f>
        <v/>
      </c>
    </row>
    <row r="404">
      <c r="A404" s="13">
        <f>IF(원생!$A402="","",원생!$A402&amp;IF(원생!$G402="",""," ("&amp;원생!$G402&amp;")"))</f>
        <v/>
      </c>
      <c r="B404" s="8">
        <f>IF(원생!$A402="","",원생!$F402)</f>
        <v/>
      </c>
      <c r="C404" s="14">
        <f>IF(원생!$A402="","",SUMIFS(수납!$F:$F,수납!$C:$C,원생!$A402,수납!$D:$D,IF(원생!$G402="","",원생!$G402),수납!$B:$B,$B$1&amp;"-"&amp;TEXT(1,"00")&amp;"*",수납!$E:$E,"수강료")+SUMIFS(수납!$F:$F,수납!$C:$C,원생!$A402,수납!$D:$D,IF(원생!$G402="","",원생!$G402),수납!$B:$B,$B$1&amp;"-"&amp;TEXT(1,"00")&amp;"*",수납!$E:$E,""))</f>
        <v/>
      </c>
      <c r="D404" s="14">
        <f>IF(원생!$A402="","",SUMIFS(수납!$F:$F,수납!$C:$C,원생!$A402,수납!$D:$D,IF(원생!$G402="","",원생!$G402),수납!$B:$B,$B$1&amp;"-"&amp;TEXT(2,"00")&amp;"*",수납!$E:$E,"수강료")+SUMIFS(수납!$F:$F,수납!$C:$C,원생!$A402,수납!$D:$D,IF(원생!$G402="","",원생!$G402),수납!$B:$B,$B$1&amp;"-"&amp;TEXT(2,"00")&amp;"*",수납!$E:$E,""))</f>
        <v/>
      </c>
      <c r="E404" s="14">
        <f>IF(원생!$A402="","",SUMIFS(수납!$F:$F,수납!$C:$C,원생!$A402,수납!$D:$D,IF(원생!$G402="","",원생!$G402),수납!$B:$B,$B$1&amp;"-"&amp;TEXT(3,"00")&amp;"*",수납!$E:$E,"수강료")+SUMIFS(수납!$F:$F,수납!$C:$C,원생!$A402,수납!$D:$D,IF(원생!$G402="","",원생!$G402),수납!$B:$B,$B$1&amp;"-"&amp;TEXT(3,"00")&amp;"*",수납!$E:$E,""))</f>
        <v/>
      </c>
      <c r="F404" s="14">
        <f>IF(원생!$A402="","",SUMIFS(수납!$F:$F,수납!$C:$C,원생!$A402,수납!$D:$D,IF(원생!$G402="","",원생!$G402),수납!$B:$B,$B$1&amp;"-"&amp;TEXT(4,"00")&amp;"*",수납!$E:$E,"수강료")+SUMIFS(수납!$F:$F,수납!$C:$C,원생!$A402,수납!$D:$D,IF(원생!$G402="","",원생!$G402),수납!$B:$B,$B$1&amp;"-"&amp;TEXT(4,"00")&amp;"*",수납!$E:$E,""))</f>
        <v/>
      </c>
      <c r="G404" s="14">
        <f>IF(원생!$A402="","",SUMIFS(수납!$F:$F,수납!$C:$C,원생!$A402,수납!$D:$D,IF(원생!$G402="","",원생!$G402),수납!$B:$B,$B$1&amp;"-"&amp;TEXT(5,"00")&amp;"*",수납!$E:$E,"수강료")+SUMIFS(수납!$F:$F,수납!$C:$C,원생!$A402,수납!$D:$D,IF(원생!$G402="","",원생!$G402),수납!$B:$B,$B$1&amp;"-"&amp;TEXT(5,"00")&amp;"*",수납!$E:$E,""))</f>
        <v/>
      </c>
      <c r="H404" s="14">
        <f>IF(원생!$A402="","",SUMIFS(수납!$F:$F,수납!$C:$C,원생!$A402,수납!$D:$D,IF(원생!$G402="","",원생!$G402),수납!$B:$B,$B$1&amp;"-"&amp;TEXT(6,"00")&amp;"*",수납!$E:$E,"수강료")+SUMIFS(수납!$F:$F,수납!$C:$C,원생!$A402,수납!$D:$D,IF(원생!$G402="","",원생!$G402),수납!$B:$B,$B$1&amp;"-"&amp;TEXT(6,"00")&amp;"*",수납!$E:$E,""))</f>
        <v/>
      </c>
      <c r="I404" s="14">
        <f>IF(원생!$A402="","",SUMIFS(수납!$F:$F,수납!$C:$C,원생!$A402,수납!$D:$D,IF(원생!$G402="","",원생!$G402),수납!$B:$B,$B$1&amp;"-"&amp;TEXT(7,"00")&amp;"*",수납!$E:$E,"수강료")+SUMIFS(수납!$F:$F,수납!$C:$C,원생!$A402,수납!$D:$D,IF(원생!$G402="","",원생!$G402),수납!$B:$B,$B$1&amp;"-"&amp;TEXT(7,"00")&amp;"*",수납!$E:$E,""))</f>
        <v/>
      </c>
      <c r="J404" s="14">
        <f>IF(원생!$A402="","",SUMIFS(수납!$F:$F,수납!$C:$C,원생!$A402,수납!$D:$D,IF(원생!$G402="","",원생!$G402),수납!$B:$B,$B$1&amp;"-"&amp;TEXT(8,"00")&amp;"*",수납!$E:$E,"수강료")+SUMIFS(수납!$F:$F,수납!$C:$C,원생!$A402,수납!$D:$D,IF(원생!$G402="","",원생!$G402),수납!$B:$B,$B$1&amp;"-"&amp;TEXT(8,"00")&amp;"*",수납!$E:$E,""))</f>
        <v/>
      </c>
      <c r="K404" s="14">
        <f>IF(원생!$A402="","",SUMIFS(수납!$F:$F,수납!$C:$C,원생!$A402,수납!$D:$D,IF(원생!$G402="","",원생!$G402),수납!$B:$B,$B$1&amp;"-"&amp;TEXT(9,"00")&amp;"*",수납!$E:$E,"수강료")+SUMIFS(수납!$F:$F,수납!$C:$C,원생!$A402,수납!$D:$D,IF(원생!$G402="","",원생!$G402),수납!$B:$B,$B$1&amp;"-"&amp;TEXT(9,"00")&amp;"*",수납!$E:$E,""))</f>
        <v/>
      </c>
      <c r="L404" s="14">
        <f>IF(원생!$A402="","",SUMIFS(수납!$F:$F,수납!$C:$C,원생!$A402,수납!$D:$D,IF(원생!$G402="","",원생!$G402),수납!$B:$B,$B$1&amp;"-"&amp;TEXT(10,"00")&amp;"*",수납!$E:$E,"수강료")+SUMIFS(수납!$F:$F,수납!$C:$C,원생!$A402,수납!$D:$D,IF(원생!$G402="","",원생!$G402),수납!$B:$B,$B$1&amp;"-"&amp;TEXT(10,"00")&amp;"*",수납!$E:$E,""))</f>
        <v/>
      </c>
      <c r="M404" s="14">
        <f>IF(원생!$A402="","",SUMIFS(수납!$F:$F,수납!$C:$C,원생!$A402,수납!$D:$D,IF(원생!$G402="","",원생!$G402),수납!$B:$B,$B$1&amp;"-"&amp;TEXT(11,"00")&amp;"*",수납!$E:$E,"수강료")+SUMIFS(수납!$F:$F,수납!$C:$C,원생!$A402,수납!$D:$D,IF(원생!$G402="","",원생!$G402),수납!$B:$B,$B$1&amp;"-"&amp;TEXT(11,"00")&amp;"*",수납!$E:$E,""))</f>
        <v/>
      </c>
      <c r="N404" s="14">
        <f>IF(원생!$A402="","",SUMIFS(수납!$F:$F,수납!$C:$C,원생!$A402,수납!$D:$D,IF(원생!$G402="","",원생!$G402),수납!$B:$B,$B$1&amp;"-"&amp;TEXT(12,"00")&amp;"*",수납!$E:$E,"수강료")+SUMIFS(수납!$F:$F,수납!$C:$C,원생!$A402,수납!$D:$D,IF(원생!$G402="","",원생!$G402),수납!$B:$B,$B$1&amp;"-"&amp;TEXT(12,"00")&amp;"*",수납!$E:$E,""))</f>
        <v/>
      </c>
      <c r="O404">
        <f>IF(원생!$I402="","",원생!$I402)</f>
        <v/>
      </c>
      <c r="P404">
        <f>IF($A404="","",IF(AND($B404&gt;0,C404&lt;$B404,DATE($B$1,1,1)&lt;=TODAY(),OR($O404="",$O404&gt;=DATE($B$1,1,1)),OR(COUNTIF($C404:C404,"&gt;0")&gt;0,DATE($B$1,1,1)=DATE(YEAR(TODAY()),MONTH(TODAY()),1))),1,0))</f>
        <v/>
      </c>
      <c r="Q404">
        <f>IF($A404="","",IF(AND($B404&gt;0,D404&lt;$B404,DATE($B$1,2,1)&lt;=TODAY(),OR($O404="",$O404&gt;=DATE($B$1,2,1)),OR(COUNTIF($C404:D404,"&gt;0")&gt;0,DATE($B$1,2,1)=DATE(YEAR(TODAY()),MONTH(TODAY()),1))),1,0))</f>
        <v/>
      </c>
      <c r="R404">
        <f>IF($A404="","",IF(AND($B404&gt;0,E404&lt;$B404,DATE($B$1,3,1)&lt;=TODAY(),OR($O404="",$O404&gt;=DATE($B$1,3,1)),OR(COUNTIF($C404:E404,"&gt;0")&gt;0,DATE($B$1,3,1)=DATE(YEAR(TODAY()),MONTH(TODAY()),1))),1,0))</f>
        <v/>
      </c>
      <c r="S404">
        <f>IF($A404="","",IF(AND($B404&gt;0,F404&lt;$B404,DATE($B$1,4,1)&lt;=TODAY(),OR($O404="",$O404&gt;=DATE($B$1,4,1)),OR(COUNTIF($C404:F404,"&gt;0")&gt;0,DATE($B$1,4,1)=DATE(YEAR(TODAY()),MONTH(TODAY()),1))),1,0))</f>
        <v/>
      </c>
      <c r="T404">
        <f>IF($A404="","",IF(AND($B404&gt;0,G404&lt;$B404,DATE($B$1,5,1)&lt;=TODAY(),OR($O404="",$O404&gt;=DATE($B$1,5,1)),OR(COUNTIF($C404:G404,"&gt;0")&gt;0,DATE($B$1,5,1)=DATE(YEAR(TODAY()),MONTH(TODAY()),1))),1,0))</f>
        <v/>
      </c>
      <c r="U404">
        <f>IF($A404="","",IF(AND($B404&gt;0,H404&lt;$B404,DATE($B$1,6,1)&lt;=TODAY(),OR($O404="",$O404&gt;=DATE($B$1,6,1)),OR(COUNTIF($C404:H404,"&gt;0")&gt;0,DATE($B$1,6,1)=DATE(YEAR(TODAY()),MONTH(TODAY()),1))),1,0))</f>
        <v/>
      </c>
      <c r="V404">
        <f>IF($A404="","",IF(AND($B404&gt;0,I404&lt;$B404,DATE($B$1,7,1)&lt;=TODAY(),OR($O404="",$O404&gt;=DATE($B$1,7,1)),OR(COUNTIF($C404:I404,"&gt;0")&gt;0,DATE($B$1,7,1)=DATE(YEAR(TODAY()),MONTH(TODAY()),1))),1,0))</f>
        <v/>
      </c>
      <c r="W404">
        <f>IF($A404="","",IF(AND($B404&gt;0,J404&lt;$B404,DATE($B$1,8,1)&lt;=TODAY(),OR($O404="",$O404&gt;=DATE($B$1,8,1)),OR(COUNTIF($C404:J404,"&gt;0")&gt;0,DATE($B$1,8,1)=DATE(YEAR(TODAY()),MONTH(TODAY()),1))),1,0))</f>
        <v/>
      </c>
      <c r="X404">
        <f>IF($A404="","",IF(AND($B404&gt;0,K404&lt;$B404,DATE($B$1,9,1)&lt;=TODAY(),OR($O404="",$O404&gt;=DATE($B$1,9,1)),OR(COUNTIF($C404:K404,"&gt;0")&gt;0,DATE($B$1,9,1)=DATE(YEAR(TODAY()),MONTH(TODAY()),1))),1,0))</f>
        <v/>
      </c>
      <c r="Y404">
        <f>IF($A404="","",IF(AND($B404&gt;0,L404&lt;$B404,DATE($B$1,10,1)&lt;=TODAY(),OR($O404="",$O404&gt;=DATE($B$1,10,1)),OR(COUNTIF($C404:L404,"&gt;0")&gt;0,DATE($B$1,10,1)=DATE(YEAR(TODAY()),MONTH(TODAY()),1))),1,0))</f>
        <v/>
      </c>
      <c r="Z404">
        <f>IF($A404="","",IF(AND($B404&gt;0,M404&lt;$B404,DATE($B$1,11,1)&lt;=TODAY(),OR($O404="",$O404&gt;=DATE($B$1,11,1)),OR(COUNTIF($C404:M404,"&gt;0")&gt;0,DATE($B$1,11,1)=DATE(YEAR(TODAY()),MONTH(TODAY()),1))),1,0))</f>
        <v/>
      </c>
      <c r="AA404">
        <f>IF($A404="","",IF(AND($B404&gt;0,N404&lt;$B404,DATE($B$1,12,1)&lt;=TODAY(),OR($O404="",$O404&gt;=DATE($B$1,12,1)),OR(COUNTIF($C404:N404,"&gt;0")&gt;0,DATE($B$1,12,1)=DATE(YEAR(TODAY()),MONTH(TODAY()),1))),1,0))</f>
        <v/>
      </c>
    </row>
    <row r="405">
      <c r="A405" s="13">
        <f>IF(원생!$A403="","",원생!$A403&amp;IF(원생!$G403="",""," ("&amp;원생!$G403&amp;")"))</f>
        <v/>
      </c>
      <c r="B405" s="8">
        <f>IF(원생!$A403="","",원생!$F403)</f>
        <v/>
      </c>
      <c r="C405" s="14">
        <f>IF(원생!$A403="","",SUMIFS(수납!$F:$F,수납!$C:$C,원생!$A403,수납!$D:$D,IF(원생!$G403="","",원생!$G403),수납!$B:$B,$B$1&amp;"-"&amp;TEXT(1,"00")&amp;"*",수납!$E:$E,"수강료")+SUMIFS(수납!$F:$F,수납!$C:$C,원생!$A403,수납!$D:$D,IF(원생!$G403="","",원생!$G403),수납!$B:$B,$B$1&amp;"-"&amp;TEXT(1,"00")&amp;"*",수납!$E:$E,""))</f>
        <v/>
      </c>
      <c r="D405" s="14">
        <f>IF(원생!$A403="","",SUMIFS(수납!$F:$F,수납!$C:$C,원생!$A403,수납!$D:$D,IF(원생!$G403="","",원생!$G403),수납!$B:$B,$B$1&amp;"-"&amp;TEXT(2,"00")&amp;"*",수납!$E:$E,"수강료")+SUMIFS(수납!$F:$F,수납!$C:$C,원생!$A403,수납!$D:$D,IF(원생!$G403="","",원생!$G403),수납!$B:$B,$B$1&amp;"-"&amp;TEXT(2,"00")&amp;"*",수납!$E:$E,""))</f>
        <v/>
      </c>
      <c r="E405" s="14">
        <f>IF(원생!$A403="","",SUMIFS(수납!$F:$F,수납!$C:$C,원생!$A403,수납!$D:$D,IF(원생!$G403="","",원생!$G403),수납!$B:$B,$B$1&amp;"-"&amp;TEXT(3,"00")&amp;"*",수납!$E:$E,"수강료")+SUMIFS(수납!$F:$F,수납!$C:$C,원생!$A403,수납!$D:$D,IF(원생!$G403="","",원생!$G403),수납!$B:$B,$B$1&amp;"-"&amp;TEXT(3,"00")&amp;"*",수납!$E:$E,""))</f>
        <v/>
      </c>
      <c r="F405" s="14">
        <f>IF(원생!$A403="","",SUMIFS(수납!$F:$F,수납!$C:$C,원생!$A403,수납!$D:$D,IF(원생!$G403="","",원생!$G403),수납!$B:$B,$B$1&amp;"-"&amp;TEXT(4,"00")&amp;"*",수납!$E:$E,"수강료")+SUMIFS(수납!$F:$F,수납!$C:$C,원생!$A403,수납!$D:$D,IF(원생!$G403="","",원생!$G403),수납!$B:$B,$B$1&amp;"-"&amp;TEXT(4,"00")&amp;"*",수납!$E:$E,""))</f>
        <v/>
      </c>
      <c r="G405" s="14">
        <f>IF(원생!$A403="","",SUMIFS(수납!$F:$F,수납!$C:$C,원생!$A403,수납!$D:$D,IF(원생!$G403="","",원생!$G403),수납!$B:$B,$B$1&amp;"-"&amp;TEXT(5,"00")&amp;"*",수납!$E:$E,"수강료")+SUMIFS(수납!$F:$F,수납!$C:$C,원생!$A403,수납!$D:$D,IF(원생!$G403="","",원생!$G403),수납!$B:$B,$B$1&amp;"-"&amp;TEXT(5,"00")&amp;"*",수납!$E:$E,""))</f>
        <v/>
      </c>
      <c r="H405" s="14">
        <f>IF(원생!$A403="","",SUMIFS(수납!$F:$F,수납!$C:$C,원생!$A403,수납!$D:$D,IF(원생!$G403="","",원생!$G403),수납!$B:$B,$B$1&amp;"-"&amp;TEXT(6,"00")&amp;"*",수납!$E:$E,"수강료")+SUMIFS(수납!$F:$F,수납!$C:$C,원생!$A403,수납!$D:$D,IF(원생!$G403="","",원생!$G403),수납!$B:$B,$B$1&amp;"-"&amp;TEXT(6,"00")&amp;"*",수납!$E:$E,""))</f>
        <v/>
      </c>
      <c r="I405" s="14">
        <f>IF(원생!$A403="","",SUMIFS(수납!$F:$F,수납!$C:$C,원생!$A403,수납!$D:$D,IF(원생!$G403="","",원생!$G403),수납!$B:$B,$B$1&amp;"-"&amp;TEXT(7,"00")&amp;"*",수납!$E:$E,"수강료")+SUMIFS(수납!$F:$F,수납!$C:$C,원생!$A403,수납!$D:$D,IF(원생!$G403="","",원생!$G403),수납!$B:$B,$B$1&amp;"-"&amp;TEXT(7,"00")&amp;"*",수납!$E:$E,""))</f>
        <v/>
      </c>
      <c r="J405" s="14">
        <f>IF(원생!$A403="","",SUMIFS(수납!$F:$F,수납!$C:$C,원생!$A403,수납!$D:$D,IF(원생!$G403="","",원생!$G403),수납!$B:$B,$B$1&amp;"-"&amp;TEXT(8,"00")&amp;"*",수납!$E:$E,"수강료")+SUMIFS(수납!$F:$F,수납!$C:$C,원생!$A403,수납!$D:$D,IF(원생!$G403="","",원생!$G403),수납!$B:$B,$B$1&amp;"-"&amp;TEXT(8,"00")&amp;"*",수납!$E:$E,""))</f>
        <v/>
      </c>
      <c r="K405" s="14">
        <f>IF(원생!$A403="","",SUMIFS(수납!$F:$F,수납!$C:$C,원생!$A403,수납!$D:$D,IF(원생!$G403="","",원생!$G403),수납!$B:$B,$B$1&amp;"-"&amp;TEXT(9,"00")&amp;"*",수납!$E:$E,"수강료")+SUMIFS(수납!$F:$F,수납!$C:$C,원생!$A403,수납!$D:$D,IF(원생!$G403="","",원생!$G403),수납!$B:$B,$B$1&amp;"-"&amp;TEXT(9,"00")&amp;"*",수납!$E:$E,""))</f>
        <v/>
      </c>
      <c r="L405" s="14">
        <f>IF(원생!$A403="","",SUMIFS(수납!$F:$F,수납!$C:$C,원생!$A403,수납!$D:$D,IF(원생!$G403="","",원생!$G403),수납!$B:$B,$B$1&amp;"-"&amp;TEXT(10,"00")&amp;"*",수납!$E:$E,"수강료")+SUMIFS(수납!$F:$F,수납!$C:$C,원생!$A403,수납!$D:$D,IF(원생!$G403="","",원생!$G403),수납!$B:$B,$B$1&amp;"-"&amp;TEXT(10,"00")&amp;"*",수납!$E:$E,""))</f>
        <v/>
      </c>
      <c r="M405" s="14">
        <f>IF(원생!$A403="","",SUMIFS(수납!$F:$F,수납!$C:$C,원생!$A403,수납!$D:$D,IF(원생!$G403="","",원생!$G403),수납!$B:$B,$B$1&amp;"-"&amp;TEXT(11,"00")&amp;"*",수납!$E:$E,"수강료")+SUMIFS(수납!$F:$F,수납!$C:$C,원생!$A403,수납!$D:$D,IF(원생!$G403="","",원생!$G403),수납!$B:$B,$B$1&amp;"-"&amp;TEXT(11,"00")&amp;"*",수납!$E:$E,""))</f>
        <v/>
      </c>
      <c r="N405" s="14">
        <f>IF(원생!$A403="","",SUMIFS(수납!$F:$F,수납!$C:$C,원생!$A403,수납!$D:$D,IF(원생!$G403="","",원생!$G403),수납!$B:$B,$B$1&amp;"-"&amp;TEXT(12,"00")&amp;"*",수납!$E:$E,"수강료")+SUMIFS(수납!$F:$F,수납!$C:$C,원생!$A403,수납!$D:$D,IF(원생!$G403="","",원생!$G403),수납!$B:$B,$B$1&amp;"-"&amp;TEXT(12,"00")&amp;"*",수납!$E:$E,""))</f>
        <v/>
      </c>
      <c r="O405">
        <f>IF(원생!$I403="","",원생!$I403)</f>
        <v/>
      </c>
      <c r="P405">
        <f>IF($A405="","",IF(AND($B405&gt;0,C405&lt;$B405,DATE($B$1,1,1)&lt;=TODAY(),OR($O405="",$O405&gt;=DATE($B$1,1,1)),OR(COUNTIF($C405:C405,"&gt;0")&gt;0,DATE($B$1,1,1)=DATE(YEAR(TODAY()),MONTH(TODAY()),1))),1,0))</f>
        <v/>
      </c>
      <c r="Q405">
        <f>IF($A405="","",IF(AND($B405&gt;0,D405&lt;$B405,DATE($B$1,2,1)&lt;=TODAY(),OR($O405="",$O405&gt;=DATE($B$1,2,1)),OR(COUNTIF($C405:D405,"&gt;0")&gt;0,DATE($B$1,2,1)=DATE(YEAR(TODAY()),MONTH(TODAY()),1))),1,0))</f>
        <v/>
      </c>
      <c r="R405">
        <f>IF($A405="","",IF(AND($B405&gt;0,E405&lt;$B405,DATE($B$1,3,1)&lt;=TODAY(),OR($O405="",$O405&gt;=DATE($B$1,3,1)),OR(COUNTIF($C405:E405,"&gt;0")&gt;0,DATE($B$1,3,1)=DATE(YEAR(TODAY()),MONTH(TODAY()),1))),1,0))</f>
        <v/>
      </c>
      <c r="S405">
        <f>IF($A405="","",IF(AND($B405&gt;0,F405&lt;$B405,DATE($B$1,4,1)&lt;=TODAY(),OR($O405="",$O405&gt;=DATE($B$1,4,1)),OR(COUNTIF($C405:F405,"&gt;0")&gt;0,DATE($B$1,4,1)=DATE(YEAR(TODAY()),MONTH(TODAY()),1))),1,0))</f>
        <v/>
      </c>
      <c r="T405">
        <f>IF($A405="","",IF(AND($B405&gt;0,G405&lt;$B405,DATE($B$1,5,1)&lt;=TODAY(),OR($O405="",$O405&gt;=DATE($B$1,5,1)),OR(COUNTIF($C405:G405,"&gt;0")&gt;0,DATE($B$1,5,1)=DATE(YEAR(TODAY()),MONTH(TODAY()),1))),1,0))</f>
        <v/>
      </c>
      <c r="U405">
        <f>IF($A405="","",IF(AND($B405&gt;0,H405&lt;$B405,DATE($B$1,6,1)&lt;=TODAY(),OR($O405="",$O405&gt;=DATE($B$1,6,1)),OR(COUNTIF($C405:H405,"&gt;0")&gt;0,DATE($B$1,6,1)=DATE(YEAR(TODAY()),MONTH(TODAY()),1))),1,0))</f>
        <v/>
      </c>
      <c r="V405">
        <f>IF($A405="","",IF(AND($B405&gt;0,I405&lt;$B405,DATE($B$1,7,1)&lt;=TODAY(),OR($O405="",$O405&gt;=DATE($B$1,7,1)),OR(COUNTIF($C405:I405,"&gt;0")&gt;0,DATE($B$1,7,1)=DATE(YEAR(TODAY()),MONTH(TODAY()),1))),1,0))</f>
        <v/>
      </c>
      <c r="W405">
        <f>IF($A405="","",IF(AND($B405&gt;0,J405&lt;$B405,DATE($B$1,8,1)&lt;=TODAY(),OR($O405="",$O405&gt;=DATE($B$1,8,1)),OR(COUNTIF($C405:J405,"&gt;0")&gt;0,DATE($B$1,8,1)=DATE(YEAR(TODAY()),MONTH(TODAY()),1))),1,0))</f>
        <v/>
      </c>
      <c r="X405">
        <f>IF($A405="","",IF(AND($B405&gt;0,K405&lt;$B405,DATE($B$1,9,1)&lt;=TODAY(),OR($O405="",$O405&gt;=DATE($B$1,9,1)),OR(COUNTIF($C405:K405,"&gt;0")&gt;0,DATE($B$1,9,1)=DATE(YEAR(TODAY()),MONTH(TODAY()),1))),1,0))</f>
        <v/>
      </c>
      <c r="Y405">
        <f>IF($A405="","",IF(AND($B405&gt;0,L405&lt;$B405,DATE($B$1,10,1)&lt;=TODAY(),OR($O405="",$O405&gt;=DATE($B$1,10,1)),OR(COUNTIF($C405:L405,"&gt;0")&gt;0,DATE($B$1,10,1)=DATE(YEAR(TODAY()),MONTH(TODAY()),1))),1,0))</f>
        <v/>
      </c>
      <c r="Z405">
        <f>IF($A405="","",IF(AND($B405&gt;0,M405&lt;$B405,DATE($B$1,11,1)&lt;=TODAY(),OR($O405="",$O405&gt;=DATE($B$1,11,1)),OR(COUNTIF($C405:M405,"&gt;0")&gt;0,DATE($B$1,11,1)=DATE(YEAR(TODAY()),MONTH(TODAY()),1))),1,0))</f>
        <v/>
      </c>
      <c r="AA405">
        <f>IF($A405="","",IF(AND($B405&gt;0,N405&lt;$B405,DATE($B$1,12,1)&lt;=TODAY(),OR($O405="",$O405&gt;=DATE($B$1,12,1)),OR(COUNTIF($C405:N405,"&gt;0")&gt;0,DATE($B$1,12,1)=DATE(YEAR(TODAY()),MONTH(TODAY()),1))),1,0))</f>
        <v/>
      </c>
    </row>
    <row r="406">
      <c r="A406" s="13">
        <f>IF(원생!$A404="","",원생!$A404&amp;IF(원생!$G404="",""," ("&amp;원생!$G404&amp;")"))</f>
        <v/>
      </c>
      <c r="B406" s="8">
        <f>IF(원생!$A404="","",원생!$F404)</f>
        <v/>
      </c>
      <c r="C406" s="14">
        <f>IF(원생!$A404="","",SUMIFS(수납!$F:$F,수납!$C:$C,원생!$A404,수납!$D:$D,IF(원생!$G404="","",원생!$G404),수납!$B:$B,$B$1&amp;"-"&amp;TEXT(1,"00")&amp;"*",수납!$E:$E,"수강료")+SUMIFS(수납!$F:$F,수납!$C:$C,원생!$A404,수납!$D:$D,IF(원생!$G404="","",원생!$G404),수납!$B:$B,$B$1&amp;"-"&amp;TEXT(1,"00")&amp;"*",수납!$E:$E,""))</f>
        <v/>
      </c>
      <c r="D406" s="14">
        <f>IF(원생!$A404="","",SUMIFS(수납!$F:$F,수납!$C:$C,원생!$A404,수납!$D:$D,IF(원생!$G404="","",원생!$G404),수납!$B:$B,$B$1&amp;"-"&amp;TEXT(2,"00")&amp;"*",수납!$E:$E,"수강료")+SUMIFS(수납!$F:$F,수납!$C:$C,원생!$A404,수납!$D:$D,IF(원생!$G404="","",원생!$G404),수납!$B:$B,$B$1&amp;"-"&amp;TEXT(2,"00")&amp;"*",수납!$E:$E,""))</f>
        <v/>
      </c>
      <c r="E406" s="14">
        <f>IF(원생!$A404="","",SUMIFS(수납!$F:$F,수납!$C:$C,원생!$A404,수납!$D:$D,IF(원생!$G404="","",원생!$G404),수납!$B:$B,$B$1&amp;"-"&amp;TEXT(3,"00")&amp;"*",수납!$E:$E,"수강료")+SUMIFS(수납!$F:$F,수납!$C:$C,원생!$A404,수납!$D:$D,IF(원생!$G404="","",원생!$G404),수납!$B:$B,$B$1&amp;"-"&amp;TEXT(3,"00")&amp;"*",수납!$E:$E,""))</f>
        <v/>
      </c>
      <c r="F406" s="14">
        <f>IF(원생!$A404="","",SUMIFS(수납!$F:$F,수납!$C:$C,원생!$A404,수납!$D:$D,IF(원생!$G404="","",원생!$G404),수납!$B:$B,$B$1&amp;"-"&amp;TEXT(4,"00")&amp;"*",수납!$E:$E,"수강료")+SUMIFS(수납!$F:$F,수납!$C:$C,원생!$A404,수납!$D:$D,IF(원생!$G404="","",원생!$G404),수납!$B:$B,$B$1&amp;"-"&amp;TEXT(4,"00")&amp;"*",수납!$E:$E,""))</f>
        <v/>
      </c>
      <c r="G406" s="14">
        <f>IF(원생!$A404="","",SUMIFS(수납!$F:$F,수납!$C:$C,원생!$A404,수납!$D:$D,IF(원생!$G404="","",원생!$G404),수납!$B:$B,$B$1&amp;"-"&amp;TEXT(5,"00")&amp;"*",수납!$E:$E,"수강료")+SUMIFS(수납!$F:$F,수납!$C:$C,원생!$A404,수납!$D:$D,IF(원생!$G404="","",원생!$G404),수납!$B:$B,$B$1&amp;"-"&amp;TEXT(5,"00")&amp;"*",수납!$E:$E,""))</f>
        <v/>
      </c>
      <c r="H406" s="14">
        <f>IF(원생!$A404="","",SUMIFS(수납!$F:$F,수납!$C:$C,원생!$A404,수납!$D:$D,IF(원생!$G404="","",원생!$G404),수납!$B:$B,$B$1&amp;"-"&amp;TEXT(6,"00")&amp;"*",수납!$E:$E,"수강료")+SUMIFS(수납!$F:$F,수납!$C:$C,원생!$A404,수납!$D:$D,IF(원생!$G404="","",원생!$G404),수납!$B:$B,$B$1&amp;"-"&amp;TEXT(6,"00")&amp;"*",수납!$E:$E,""))</f>
        <v/>
      </c>
      <c r="I406" s="14">
        <f>IF(원생!$A404="","",SUMIFS(수납!$F:$F,수납!$C:$C,원생!$A404,수납!$D:$D,IF(원생!$G404="","",원생!$G404),수납!$B:$B,$B$1&amp;"-"&amp;TEXT(7,"00")&amp;"*",수납!$E:$E,"수강료")+SUMIFS(수납!$F:$F,수납!$C:$C,원생!$A404,수납!$D:$D,IF(원생!$G404="","",원생!$G404),수납!$B:$B,$B$1&amp;"-"&amp;TEXT(7,"00")&amp;"*",수납!$E:$E,""))</f>
        <v/>
      </c>
      <c r="J406" s="14">
        <f>IF(원생!$A404="","",SUMIFS(수납!$F:$F,수납!$C:$C,원생!$A404,수납!$D:$D,IF(원생!$G404="","",원생!$G404),수납!$B:$B,$B$1&amp;"-"&amp;TEXT(8,"00")&amp;"*",수납!$E:$E,"수강료")+SUMIFS(수납!$F:$F,수납!$C:$C,원생!$A404,수납!$D:$D,IF(원생!$G404="","",원생!$G404),수납!$B:$B,$B$1&amp;"-"&amp;TEXT(8,"00")&amp;"*",수납!$E:$E,""))</f>
        <v/>
      </c>
      <c r="K406" s="14">
        <f>IF(원생!$A404="","",SUMIFS(수납!$F:$F,수납!$C:$C,원생!$A404,수납!$D:$D,IF(원생!$G404="","",원생!$G404),수납!$B:$B,$B$1&amp;"-"&amp;TEXT(9,"00")&amp;"*",수납!$E:$E,"수강료")+SUMIFS(수납!$F:$F,수납!$C:$C,원생!$A404,수납!$D:$D,IF(원생!$G404="","",원생!$G404),수납!$B:$B,$B$1&amp;"-"&amp;TEXT(9,"00")&amp;"*",수납!$E:$E,""))</f>
        <v/>
      </c>
      <c r="L406" s="14">
        <f>IF(원생!$A404="","",SUMIFS(수납!$F:$F,수납!$C:$C,원생!$A404,수납!$D:$D,IF(원생!$G404="","",원생!$G404),수납!$B:$B,$B$1&amp;"-"&amp;TEXT(10,"00")&amp;"*",수납!$E:$E,"수강료")+SUMIFS(수납!$F:$F,수납!$C:$C,원생!$A404,수납!$D:$D,IF(원생!$G404="","",원생!$G404),수납!$B:$B,$B$1&amp;"-"&amp;TEXT(10,"00")&amp;"*",수납!$E:$E,""))</f>
        <v/>
      </c>
      <c r="M406" s="14">
        <f>IF(원생!$A404="","",SUMIFS(수납!$F:$F,수납!$C:$C,원생!$A404,수납!$D:$D,IF(원생!$G404="","",원생!$G404),수납!$B:$B,$B$1&amp;"-"&amp;TEXT(11,"00")&amp;"*",수납!$E:$E,"수강료")+SUMIFS(수납!$F:$F,수납!$C:$C,원생!$A404,수납!$D:$D,IF(원생!$G404="","",원생!$G404),수납!$B:$B,$B$1&amp;"-"&amp;TEXT(11,"00")&amp;"*",수납!$E:$E,""))</f>
        <v/>
      </c>
      <c r="N406" s="14">
        <f>IF(원생!$A404="","",SUMIFS(수납!$F:$F,수납!$C:$C,원생!$A404,수납!$D:$D,IF(원생!$G404="","",원생!$G404),수납!$B:$B,$B$1&amp;"-"&amp;TEXT(12,"00")&amp;"*",수납!$E:$E,"수강료")+SUMIFS(수납!$F:$F,수납!$C:$C,원생!$A404,수납!$D:$D,IF(원생!$G404="","",원생!$G404),수납!$B:$B,$B$1&amp;"-"&amp;TEXT(12,"00")&amp;"*",수납!$E:$E,""))</f>
        <v/>
      </c>
      <c r="O406">
        <f>IF(원생!$I404="","",원생!$I404)</f>
        <v/>
      </c>
      <c r="P406">
        <f>IF($A406="","",IF(AND($B406&gt;0,C406&lt;$B406,DATE($B$1,1,1)&lt;=TODAY(),OR($O406="",$O406&gt;=DATE($B$1,1,1)),OR(COUNTIF($C406:C406,"&gt;0")&gt;0,DATE($B$1,1,1)=DATE(YEAR(TODAY()),MONTH(TODAY()),1))),1,0))</f>
        <v/>
      </c>
      <c r="Q406">
        <f>IF($A406="","",IF(AND($B406&gt;0,D406&lt;$B406,DATE($B$1,2,1)&lt;=TODAY(),OR($O406="",$O406&gt;=DATE($B$1,2,1)),OR(COUNTIF($C406:D406,"&gt;0")&gt;0,DATE($B$1,2,1)=DATE(YEAR(TODAY()),MONTH(TODAY()),1))),1,0))</f>
        <v/>
      </c>
      <c r="R406">
        <f>IF($A406="","",IF(AND($B406&gt;0,E406&lt;$B406,DATE($B$1,3,1)&lt;=TODAY(),OR($O406="",$O406&gt;=DATE($B$1,3,1)),OR(COUNTIF($C406:E406,"&gt;0")&gt;0,DATE($B$1,3,1)=DATE(YEAR(TODAY()),MONTH(TODAY()),1))),1,0))</f>
        <v/>
      </c>
      <c r="S406">
        <f>IF($A406="","",IF(AND($B406&gt;0,F406&lt;$B406,DATE($B$1,4,1)&lt;=TODAY(),OR($O406="",$O406&gt;=DATE($B$1,4,1)),OR(COUNTIF($C406:F406,"&gt;0")&gt;0,DATE($B$1,4,1)=DATE(YEAR(TODAY()),MONTH(TODAY()),1))),1,0))</f>
        <v/>
      </c>
      <c r="T406">
        <f>IF($A406="","",IF(AND($B406&gt;0,G406&lt;$B406,DATE($B$1,5,1)&lt;=TODAY(),OR($O406="",$O406&gt;=DATE($B$1,5,1)),OR(COUNTIF($C406:G406,"&gt;0")&gt;0,DATE($B$1,5,1)=DATE(YEAR(TODAY()),MONTH(TODAY()),1))),1,0))</f>
        <v/>
      </c>
      <c r="U406">
        <f>IF($A406="","",IF(AND($B406&gt;0,H406&lt;$B406,DATE($B$1,6,1)&lt;=TODAY(),OR($O406="",$O406&gt;=DATE($B$1,6,1)),OR(COUNTIF($C406:H406,"&gt;0")&gt;0,DATE($B$1,6,1)=DATE(YEAR(TODAY()),MONTH(TODAY()),1))),1,0))</f>
        <v/>
      </c>
      <c r="V406">
        <f>IF($A406="","",IF(AND($B406&gt;0,I406&lt;$B406,DATE($B$1,7,1)&lt;=TODAY(),OR($O406="",$O406&gt;=DATE($B$1,7,1)),OR(COUNTIF($C406:I406,"&gt;0")&gt;0,DATE($B$1,7,1)=DATE(YEAR(TODAY()),MONTH(TODAY()),1))),1,0))</f>
        <v/>
      </c>
      <c r="W406">
        <f>IF($A406="","",IF(AND($B406&gt;0,J406&lt;$B406,DATE($B$1,8,1)&lt;=TODAY(),OR($O406="",$O406&gt;=DATE($B$1,8,1)),OR(COUNTIF($C406:J406,"&gt;0")&gt;0,DATE($B$1,8,1)=DATE(YEAR(TODAY()),MONTH(TODAY()),1))),1,0))</f>
        <v/>
      </c>
      <c r="X406">
        <f>IF($A406="","",IF(AND($B406&gt;0,K406&lt;$B406,DATE($B$1,9,1)&lt;=TODAY(),OR($O406="",$O406&gt;=DATE($B$1,9,1)),OR(COUNTIF($C406:K406,"&gt;0")&gt;0,DATE($B$1,9,1)=DATE(YEAR(TODAY()),MONTH(TODAY()),1))),1,0))</f>
        <v/>
      </c>
      <c r="Y406">
        <f>IF($A406="","",IF(AND($B406&gt;0,L406&lt;$B406,DATE($B$1,10,1)&lt;=TODAY(),OR($O406="",$O406&gt;=DATE($B$1,10,1)),OR(COUNTIF($C406:L406,"&gt;0")&gt;0,DATE($B$1,10,1)=DATE(YEAR(TODAY()),MONTH(TODAY()),1))),1,0))</f>
        <v/>
      </c>
      <c r="Z406">
        <f>IF($A406="","",IF(AND($B406&gt;0,M406&lt;$B406,DATE($B$1,11,1)&lt;=TODAY(),OR($O406="",$O406&gt;=DATE($B$1,11,1)),OR(COUNTIF($C406:M406,"&gt;0")&gt;0,DATE($B$1,11,1)=DATE(YEAR(TODAY()),MONTH(TODAY()),1))),1,0))</f>
        <v/>
      </c>
      <c r="AA406">
        <f>IF($A406="","",IF(AND($B406&gt;0,N406&lt;$B406,DATE($B$1,12,1)&lt;=TODAY(),OR($O406="",$O406&gt;=DATE($B$1,12,1)),OR(COUNTIF($C406:N406,"&gt;0")&gt;0,DATE($B$1,12,1)=DATE(YEAR(TODAY()),MONTH(TODAY()),1))),1,0))</f>
        <v/>
      </c>
    </row>
    <row r="407">
      <c r="A407" s="13">
        <f>IF(원생!$A405="","",원생!$A405&amp;IF(원생!$G405="",""," ("&amp;원생!$G405&amp;")"))</f>
        <v/>
      </c>
      <c r="B407" s="8">
        <f>IF(원생!$A405="","",원생!$F405)</f>
        <v/>
      </c>
      <c r="C407" s="14">
        <f>IF(원생!$A405="","",SUMIFS(수납!$F:$F,수납!$C:$C,원생!$A405,수납!$D:$D,IF(원생!$G405="","",원생!$G405),수납!$B:$B,$B$1&amp;"-"&amp;TEXT(1,"00")&amp;"*",수납!$E:$E,"수강료")+SUMIFS(수납!$F:$F,수납!$C:$C,원생!$A405,수납!$D:$D,IF(원생!$G405="","",원생!$G405),수납!$B:$B,$B$1&amp;"-"&amp;TEXT(1,"00")&amp;"*",수납!$E:$E,""))</f>
        <v/>
      </c>
      <c r="D407" s="14">
        <f>IF(원생!$A405="","",SUMIFS(수납!$F:$F,수납!$C:$C,원생!$A405,수납!$D:$D,IF(원생!$G405="","",원생!$G405),수납!$B:$B,$B$1&amp;"-"&amp;TEXT(2,"00")&amp;"*",수납!$E:$E,"수강료")+SUMIFS(수납!$F:$F,수납!$C:$C,원생!$A405,수납!$D:$D,IF(원생!$G405="","",원생!$G405),수납!$B:$B,$B$1&amp;"-"&amp;TEXT(2,"00")&amp;"*",수납!$E:$E,""))</f>
        <v/>
      </c>
      <c r="E407" s="14">
        <f>IF(원생!$A405="","",SUMIFS(수납!$F:$F,수납!$C:$C,원생!$A405,수납!$D:$D,IF(원생!$G405="","",원생!$G405),수납!$B:$B,$B$1&amp;"-"&amp;TEXT(3,"00")&amp;"*",수납!$E:$E,"수강료")+SUMIFS(수납!$F:$F,수납!$C:$C,원생!$A405,수납!$D:$D,IF(원생!$G405="","",원생!$G405),수납!$B:$B,$B$1&amp;"-"&amp;TEXT(3,"00")&amp;"*",수납!$E:$E,""))</f>
        <v/>
      </c>
      <c r="F407" s="14">
        <f>IF(원생!$A405="","",SUMIFS(수납!$F:$F,수납!$C:$C,원생!$A405,수납!$D:$D,IF(원생!$G405="","",원생!$G405),수납!$B:$B,$B$1&amp;"-"&amp;TEXT(4,"00")&amp;"*",수납!$E:$E,"수강료")+SUMIFS(수납!$F:$F,수납!$C:$C,원생!$A405,수납!$D:$D,IF(원생!$G405="","",원생!$G405),수납!$B:$B,$B$1&amp;"-"&amp;TEXT(4,"00")&amp;"*",수납!$E:$E,""))</f>
        <v/>
      </c>
      <c r="G407" s="14">
        <f>IF(원생!$A405="","",SUMIFS(수납!$F:$F,수납!$C:$C,원생!$A405,수납!$D:$D,IF(원생!$G405="","",원생!$G405),수납!$B:$B,$B$1&amp;"-"&amp;TEXT(5,"00")&amp;"*",수납!$E:$E,"수강료")+SUMIFS(수납!$F:$F,수납!$C:$C,원생!$A405,수납!$D:$D,IF(원생!$G405="","",원생!$G405),수납!$B:$B,$B$1&amp;"-"&amp;TEXT(5,"00")&amp;"*",수납!$E:$E,""))</f>
        <v/>
      </c>
      <c r="H407" s="14">
        <f>IF(원생!$A405="","",SUMIFS(수납!$F:$F,수납!$C:$C,원생!$A405,수납!$D:$D,IF(원생!$G405="","",원생!$G405),수납!$B:$B,$B$1&amp;"-"&amp;TEXT(6,"00")&amp;"*",수납!$E:$E,"수강료")+SUMIFS(수납!$F:$F,수납!$C:$C,원생!$A405,수납!$D:$D,IF(원생!$G405="","",원생!$G405),수납!$B:$B,$B$1&amp;"-"&amp;TEXT(6,"00")&amp;"*",수납!$E:$E,""))</f>
        <v/>
      </c>
      <c r="I407" s="14">
        <f>IF(원생!$A405="","",SUMIFS(수납!$F:$F,수납!$C:$C,원생!$A405,수납!$D:$D,IF(원생!$G405="","",원생!$G405),수납!$B:$B,$B$1&amp;"-"&amp;TEXT(7,"00")&amp;"*",수납!$E:$E,"수강료")+SUMIFS(수납!$F:$F,수납!$C:$C,원생!$A405,수납!$D:$D,IF(원생!$G405="","",원생!$G405),수납!$B:$B,$B$1&amp;"-"&amp;TEXT(7,"00")&amp;"*",수납!$E:$E,""))</f>
        <v/>
      </c>
      <c r="J407" s="14">
        <f>IF(원생!$A405="","",SUMIFS(수납!$F:$F,수납!$C:$C,원생!$A405,수납!$D:$D,IF(원생!$G405="","",원생!$G405),수납!$B:$B,$B$1&amp;"-"&amp;TEXT(8,"00")&amp;"*",수납!$E:$E,"수강료")+SUMIFS(수납!$F:$F,수납!$C:$C,원생!$A405,수납!$D:$D,IF(원생!$G405="","",원생!$G405),수납!$B:$B,$B$1&amp;"-"&amp;TEXT(8,"00")&amp;"*",수납!$E:$E,""))</f>
        <v/>
      </c>
      <c r="K407" s="14">
        <f>IF(원생!$A405="","",SUMIFS(수납!$F:$F,수납!$C:$C,원생!$A405,수납!$D:$D,IF(원생!$G405="","",원생!$G405),수납!$B:$B,$B$1&amp;"-"&amp;TEXT(9,"00")&amp;"*",수납!$E:$E,"수강료")+SUMIFS(수납!$F:$F,수납!$C:$C,원생!$A405,수납!$D:$D,IF(원생!$G405="","",원생!$G405),수납!$B:$B,$B$1&amp;"-"&amp;TEXT(9,"00")&amp;"*",수납!$E:$E,""))</f>
        <v/>
      </c>
      <c r="L407" s="14">
        <f>IF(원생!$A405="","",SUMIFS(수납!$F:$F,수납!$C:$C,원생!$A405,수납!$D:$D,IF(원생!$G405="","",원생!$G405),수납!$B:$B,$B$1&amp;"-"&amp;TEXT(10,"00")&amp;"*",수납!$E:$E,"수강료")+SUMIFS(수납!$F:$F,수납!$C:$C,원생!$A405,수납!$D:$D,IF(원생!$G405="","",원생!$G405),수납!$B:$B,$B$1&amp;"-"&amp;TEXT(10,"00")&amp;"*",수납!$E:$E,""))</f>
        <v/>
      </c>
      <c r="M407" s="14">
        <f>IF(원생!$A405="","",SUMIFS(수납!$F:$F,수납!$C:$C,원생!$A405,수납!$D:$D,IF(원생!$G405="","",원생!$G405),수납!$B:$B,$B$1&amp;"-"&amp;TEXT(11,"00")&amp;"*",수납!$E:$E,"수강료")+SUMIFS(수납!$F:$F,수납!$C:$C,원생!$A405,수납!$D:$D,IF(원생!$G405="","",원생!$G405),수납!$B:$B,$B$1&amp;"-"&amp;TEXT(11,"00")&amp;"*",수납!$E:$E,""))</f>
        <v/>
      </c>
      <c r="N407" s="14">
        <f>IF(원생!$A405="","",SUMIFS(수납!$F:$F,수납!$C:$C,원생!$A405,수납!$D:$D,IF(원생!$G405="","",원생!$G405),수납!$B:$B,$B$1&amp;"-"&amp;TEXT(12,"00")&amp;"*",수납!$E:$E,"수강료")+SUMIFS(수납!$F:$F,수납!$C:$C,원생!$A405,수납!$D:$D,IF(원생!$G405="","",원생!$G405),수납!$B:$B,$B$1&amp;"-"&amp;TEXT(12,"00")&amp;"*",수납!$E:$E,""))</f>
        <v/>
      </c>
      <c r="O407">
        <f>IF(원생!$I405="","",원생!$I405)</f>
        <v/>
      </c>
      <c r="P407">
        <f>IF($A407="","",IF(AND($B407&gt;0,C407&lt;$B407,DATE($B$1,1,1)&lt;=TODAY(),OR($O407="",$O407&gt;=DATE($B$1,1,1)),OR(COUNTIF($C407:C407,"&gt;0")&gt;0,DATE($B$1,1,1)=DATE(YEAR(TODAY()),MONTH(TODAY()),1))),1,0))</f>
        <v/>
      </c>
      <c r="Q407">
        <f>IF($A407="","",IF(AND($B407&gt;0,D407&lt;$B407,DATE($B$1,2,1)&lt;=TODAY(),OR($O407="",$O407&gt;=DATE($B$1,2,1)),OR(COUNTIF($C407:D407,"&gt;0")&gt;0,DATE($B$1,2,1)=DATE(YEAR(TODAY()),MONTH(TODAY()),1))),1,0))</f>
        <v/>
      </c>
      <c r="R407">
        <f>IF($A407="","",IF(AND($B407&gt;0,E407&lt;$B407,DATE($B$1,3,1)&lt;=TODAY(),OR($O407="",$O407&gt;=DATE($B$1,3,1)),OR(COUNTIF($C407:E407,"&gt;0")&gt;0,DATE($B$1,3,1)=DATE(YEAR(TODAY()),MONTH(TODAY()),1))),1,0))</f>
        <v/>
      </c>
      <c r="S407">
        <f>IF($A407="","",IF(AND($B407&gt;0,F407&lt;$B407,DATE($B$1,4,1)&lt;=TODAY(),OR($O407="",$O407&gt;=DATE($B$1,4,1)),OR(COUNTIF($C407:F407,"&gt;0")&gt;0,DATE($B$1,4,1)=DATE(YEAR(TODAY()),MONTH(TODAY()),1))),1,0))</f>
        <v/>
      </c>
      <c r="T407">
        <f>IF($A407="","",IF(AND($B407&gt;0,G407&lt;$B407,DATE($B$1,5,1)&lt;=TODAY(),OR($O407="",$O407&gt;=DATE($B$1,5,1)),OR(COUNTIF($C407:G407,"&gt;0")&gt;0,DATE($B$1,5,1)=DATE(YEAR(TODAY()),MONTH(TODAY()),1))),1,0))</f>
        <v/>
      </c>
      <c r="U407">
        <f>IF($A407="","",IF(AND($B407&gt;0,H407&lt;$B407,DATE($B$1,6,1)&lt;=TODAY(),OR($O407="",$O407&gt;=DATE($B$1,6,1)),OR(COUNTIF($C407:H407,"&gt;0")&gt;0,DATE($B$1,6,1)=DATE(YEAR(TODAY()),MONTH(TODAY()),1))),1,0))</f>
        <v/>
      </c>
      <c r="V407">
        <f>IF($A407="","",IF(AND($B407&gt;0,I407&lt;$B407,DATE($B$1,7,1)&lt;=TODAY(),OR($O407="",$O407&gt;=DATE($B$1,7,1)),OR(COUNTIF($C407:I407,"&gt;0")&gt;0,DATE($B$1,7,1)=DATE(YEAR(TODAY()),MONTH(TODAY()),1))),1,0))</f>
        <v/>
      </c>
      <c r="W407">
        <f>IF($A407="","",IF(AND($B407&gt;0,J407&lt;$B407,DATE($B$1,8,1)&lt;=TODAY(),OR($O407="",$O407&gt;=DATE($B$1,8,1)),OR(COUNTIF($C407:J407,"&gt;0")&gt;0,DATE($B$1,8,1)=DATE(YEAR(TODAY()),MONTH(TODAY()),1))),1,0))</f>
        <v/>
      </c>
      <c r="X407">
        <f>IF($A407="","",IF(AND($B407&gt;0,K407&lt;$B407,DATE($B$1,9,1)&lt;=TODAY(),OR($O407="",$O407&gt;=DATE($B$1,9,1)),OR(COUNTIF($C407:K407,"&gt;0")&gt;0,DATE($B$1,9,1)=DATE(YEAR(TODAY()),MONTH(TODAY()),1))),1,0))</f>
        <v/>
      </c>
      <c r="Y407">
        <f>IF($A407="","",IF(AND($B407&gt;0,L407&lt;$B407,DATE($B$1,10,1)&lt;=TODAY(),OR($O407="",$O407&gt;=DATE($B$1,10,1)),OR(COUNTIF($C407:L407,"&gt;0")&gt;0,DATE($B$1,10,1)=DATE(YEAR(TODAY()),MONTH(TODAY()),1))),1,0))</f>
        <v/>
      </c>
      <c r="Z407">
        <f>IF($A407="","",IF(AND($B407&gt;0,M407&lt;$B407,DATE($B$1,11,1)&lt;=TODAY(),OR($O407="",$O407&gt;=DATE($B$1,11,1)),OR(COUNTIF($C407:M407,"&gt;0")&gt;0,DATE($B$1,11,1)=DATE(YEAR(TODAY()),MONTH(TODAY()),1))),1,0))</f>
        <v/>
      </c>
      <c r="AA407">
        <f>IF($A407="","",IF(AND($B407&gt;0,N407&lt;$B407,DATE($B$1,12,1)&lt;=TODAY(),OR($O407="",$O407&gt;=DATE($B$1,12,1)),OR(COUNTIF($C407:N407,"&gt;0")&gt;0,DATE($B$1,12,1)=DATE(YEAR(TODAY()),MONTH(TODAY()),1))),1,0))</f>
        <v/>
      </c>
    </row>
    <row r="408">
      <c r="A408" s="13">
        <f>IF(원생!$A406="","",원생!$A406&amp;IF(원생!$G406="",""," ("&amp;원생!$G406&amp;")"))</f>
        <v/>
      </c>
      <c r="B408" s="8">
        <f>IF(원생!$A406="","",원생!$F406)</f>
        <v/>
      </c>
      <c r="C408" s="14">
        <f>IF(원생!$A406="","",SUMIFS(수납!$F:$F,수납!$C:$C,원생!$A406,수납!$D:$D,IF(원생!$G406="","",원생!$G406),수납!$B:$B,$B$1&amp;"-"&amp;TEXT(1,"00")&amp;"*",수납!$E:$E,"수강료")+SUMIFS(수납!$F:$F,수납!$C:$C,원생!$A406,수납!$D:$D,IF(원생!$G406="","",원생!$G406),수납!$B:$B,$B$1&amp;"-"&amp;TEXT(1,"00")&amp;"*",수납!$E:$E,""))</f>
        <v/>
      </c>
      <c r="D408" s="14">
        <f>IF(원생!$A406="","",SUMIFS(수납!$F:$F,수납!$C:$C,원생!$A406,수납!$D:$D,IF(원생!$G406="","",원생!$G406),수납!$B:$B,$B$1&amp;"-"&amp;TEXT(2,"00")&amp;"*",수납!$E:$E,"수강료")+SUMIFS(수납!$F:$F,수납!$C:$C,원생!$A406,수납!$D:$D,IF(원생!$G406="","",원생!$G406),수납!$B:$B,$B$1&amp;"-"&amp;TEXT(2,"00")&amp;"*",수납!$E:$E,""))</f>
        <v/>
      </c>
      <c r="E408" s="14">
        <f>IF(원생!$A406="","",SUMIFS(수납!$F:$F,수납!$C:$C,원생!$A406,수납!$D:$D,IF(원생!$G406="","",원생!$G406),수납!$B:$B,$B$1&amp;"-"&amp;TEXT(3,"00")&amp;"*",수납!$E:$E,"수강료")+SUMIFS(수납!$F:$F,수납!$C:$C,원생!$A406,수납!$D:$D,IF(원생!$G406="","",원생!$G406),수납!$B:$B,$B$1&amp;"-"&amp;TEXT(3,"00")&amp;"*",수납!$E:$E,""))</f>
        <v/>
      </c>
      <c r="F408" s="14">
        <f>IF(원생!$A406="","",SUMIFS(수납!$F:$F,수납!$C:$C,원생!$A406,수납!$D:$D,IF(원생!$G406="","",원생!$G406),수납!$B:$B,$B$1&amp;"-"&amp;TEXT(4,"00")&amp;"*",수납!$E:$E,"수강료")+SUMIFS(수납!$F:$F,수납!$C:$C,원생!$A406,수납!$D:$D,IF(원생!$G406="","",원생!$G406),수납!$B:$B,$B$1&amp;"-"&amp;TEXT(4,"00")&amp;"*",수납!$E:$E,""))</f>
        <v/>
      </c>
      <c r="G408" s="14">
        <f>IF(원생!$A406="","",SUMIFS(수납!$F:$F,수납!$C:$C,원생!$A406,수납!$D:$D,IF(원생!$G406="","",원생!$G406),수납!$B:$B,$B$1&amp;"-"&amp;TEXT(5,"00")&amp;"*",수납!$E:$E,"수강료")+SUMIFS(수납!$F:$F,수납!$C:$C,원생!$A406,수납!$D:$D,IF(원생!$G406="","",원생!$G406),수납!$B:$B,$B$1&amp;"-"&amp;TEXT(5,"00")&amp;"*",수납!$E:$E,""))</f>
        <v/>
      </c>
      <c r="H408" s="14">
        <f>IF(원생!$A406="","",SUMIFS(수납!$F:$F,수납!$C:$C,원생!$A406,수납!$D:$D,IF(원생!$G406="","",원생!$G406),수납!$B:$B,$B$1&amp;"-"&amp;TEXT(6,"00")&amp;"*",수납!$E:$E,"수강료")+SUMIFS(수납!$F:$F,수납!$C:$C,원생!$A406,수납!$D:$D,IF(원생!$G406="","",원생!$G406),수납!$B:$B,$B$1&amp;"-"&amp;TEXT(6,"00")&amp;"*",수납!$E:$E,""))</f>
        <v/>
      </c>
      <c r="I408" s="14">
        <f>IF(원생!$A406="","",SUMIFS(수납!$F:$F,수납!$C:$C,원생!$A406,수납!$D:$D,IF(원생!$G406="","",원생!$G406),수납!$B:$B,$B$1&amp;"-"&amp;TEXT(7,"00")&amp;"*",수납!$E:$E,"수강료")+SUMIFS(수납!$F:$F,수납!$C:$C,원생!$A406,수납!$D:$D,IF(원생!$G406="","",원생!$G406),수납!$B:$B,$B$1&amp;"-"&amp;TEXT(7,"00")&amp;"*",수납!$E:$E,""))</f>
        <v/>
      </c>
      <c r="J408" s="14">
        <f>IF(원생!$A406="","",SUMIFS(수납!$F:$F,수납!$C:$C,원생!$A406,수납!$D:$D,IF(원생!$G406="","",원생!$G406),수납!$B:$B,$B$1&amp;"-"&amp;TEXT(8,"00")&amp;"*",수납!$E:$E,"수강료")+SUMIFS(수납!$F:$F,수납!$C:$C,원생!$A406,수납!$D:$D,IF(원생!$G406="","",원생!$G406),수납!$B:$B,$B$1&amp;"-"&amp;TEXT(8,"00")&amp;"*",수납!$E:$E,""))</f>
        <v/>
      </c>
      <c r="K408" s="14">
        <f>IF(원생!$A406="","",SUMIFS(수납!$F:$F,수납!$C:$C,원생!$A406,수납!$D:$D,IF(원생!$G406="","",원생!$G406),수납!$B:$B,$B$1&amp;"-"&amp;TEXT(9,"00")&amp;"*",수납!$E:$E,"수강료")+SUMIFS(수납!$F:$F,수납!$C:$C,원생!$A406,수납!$D:$D,IF(원생!$G406="","",원생!$G406),수납!$B:$B,$B$1&amp;"-"&amp;TEXT(9,"00")&amp;"*",수납!$E:$E,""))</f>
        <v/>
      </c>
      <c r="L408" s="14">
        <f>IF(원생!$A406="","",SUMIFS(수납!$F:$F,수납!$C:$C,원생!$A406,수납!$D:$D,IF(원생!$G406="","",원생!$G406),수납!$B:$B,$B$1&amp;"-"&amp;TEXT(10,"00")&amp;"*",수납!$E:$E,"수강료")+SUMIFS(수납!$F:$F,수납!$C:$C,원생!$A406,수납!$D:$D,IF(원생!$G406="","",원생!$G406),수납!$B:$B,$B$1&amp;"-"&amp;TEXT(10,"00")&amp;"*",수납!$E:$E,""))</f>
        <v/>
      </c>
      <c r="M408" s="14">
        <f>IF(원생!$A406="","",SUMIFS(수납!$F:$F,수납!$C:$C,원생!$A406,수납!$D:$D,IF(원생!$G406="","",원생!$G406),수납!$B:$B,$B$1&amp;"-"&amp;TEXT(11,"00")&amp;"*",수납!$E:$E,"수강료")+SUMIFS(수납!$F:$F,수납!$C:$C,원생!$A406,수납!$D:$D,IF(원생!$G406="","",원생!$G406),수납!$B:$B,$B$1&amp;"-"&amp;TEXT(11,"00")&amp;"*",수납!$E:$E,""))</f>
        <v/>
      </c>
      <c r="N408" s="14">
        <f>IF(원생!$A406="","",SUMIFS(수납!$F:$F,수납!$C:$C,원생!$A406,수납!$D:$D,IF(원생!$G406="","",원생!$G406),수납!$B:$B,$B$1&amp;"-"&amp;TEXT(12,"00")&amp;"*",수납!$E:$E,"수강료")+SUMIFS(수납!$F:$F,수납!$C:$C,원생!$A406,수납!$D:$D,IF(원생!$G406="","",원생!$G406),수납!$B:$B,$B$1&amp;"-"&amp;TEXT(12,"00")&amp;"*",수납!$E:$E,""))</f>
        <v/>
      </c>
      <c r="O408">
        <f>IF(원생!$I406="","",원생!$I406)</f>
        <v/>
      </c>
      <c r="P408">
        <f>IF($A408="","",IF(AND($B408&gt;0,C408&lt;$B408,DATE($B$1,1,1)&lt;=TODAY(),OR($O408="",$O408&gt;=DATE($B$1,1,1)),OR(COUNTIF($C408:C408,"&gt;0")&gt;0,DATE($B$1,1,1)=DATE(YEAR(TODAY()),MONTH(TODAY()),1))),1,0))</f>
        <v/>
      </c>
      <c r="Q408">
        <f>IF($A408="","",IF(AND($B408&gt;0,D408&lt;$B408,DATE($B$1,2,1)&lt;=TODAY(),OR($O408="",$O408&gt;=DATE($B$1,2,1)),OR(COUNTIF($C408:D408,"&gt;0")&gt;0,DATE($B$1,2,1)=DATE(YEAR(TODAY()),MONTH(TODAY()),1))),1,0))</f>
        <v/>
      </c>
      <c r="R408">
        <f>IF($A408="","",IF(AND($B408&gt;0,E408&lt;$B408,DATE($B$1,3,1)&lt;=TODAY(),OR($O408="",$O408&gt;=DATE($B$1,3,1)),OR(COUNTIF($C408:E408,"&gt;0")&gt;0,DATE($B$1,3,1)=DATE(YEAR(TODAY()),MONTH(TODAY()),1))),1,0))</f>
        <v/>
      </c>
      <c r="S408">
        <f>IF($A408="","",IF(AND($B408&gt;0,F408&lt;$B408,DATE($B$1,4,1)&lt;=TODAY(),OR($O408="",$O408&gt;=DATE($B$1,4,1)),OR(COUNTIF($C408:F408,"&gt;0")&gt;0,DATE($B$1,4,1)=DATE(YEAR(TODAY()),MONTH(TODAY()),1))),1,0))</f>
        <v/>
      </c>
      <c r="T408">
        <f>IF($A408="","",IF(AND($B408&gt;0,G408&lt;$B408,DATE($B$1,5,1)&lt;=TODAY(),OR($O408="",$O408&gt;=DATE($B$1,5,1)),OR(COUNTIF($C408:G408,"&gt;0")&gt;0,DATE($B$1,5,1)=DATE(YEAR(TODAY()),MONTH(TODAY()),1))),1,0))</f>
        <v/>
      </c>
      <c r="U408">
        <f>IF($A408="","",IF(AND($B408&gt;0,H408&lt;$B408,DATE($B$1,6,1)&lt;=TODAY(),OR($O408="",$O408&gt;=DATE($B$1,6,1)),OR(COUNTIF($C408:H408,"&gt;0")&gt;0,DATE($B$1,6,1)=DATE(YEAR(TODAY()),MONTH(TODAY()),1))),1,0))</f>
        <v/>
      </c>
      <c r="V408">
        <f>IF($A408="","",IF(AND($B408&gt;0,I408&lt;$B408,DATE($B$1,7,1)&lt;=TODAY(),OR($O408="",$O408&gt;=DATE($B$1,7,1)),OR(COUNTIF($C408:I408,"&gt;0")&gt;0,DATE($B$1,7,1)=DATE(YEAR(TODAY()),MONTH(TODAY()),1))),1,0))</f>
        <v/>
      </c>
      <c r="W408">
        <f>IF($A408="","",IF(AND($B408&gt;0,J408&lt;$B408,DATE($B$1,8,1)&lt;=TODAY(),OR($O408="",$O408&gt;=DATE($B$1,8,1)),OR(COUNTIF($C408:J408,"&gt;0")&gt;0,DATE($B$1,8,1)=DATE(YEAR(TODAY()),MONTH(TODAY()),1))),1,0))</f>
        <v/>
      </c>
      <c r="X408">
        <f>IF($A408="","",IF(AND($B408&gt;0,K408&lt;$B408,DATE($B$1,9,1)&lt;=TODAY(),OR($O408="",$O408&gt;=DATE($B$1,9,1)),OR(COUNTIF($C408:K408,"&gt;0")&gt;0,DATE($B$1,9,1)=DATE(YEAR(TODAY()),MONTH(TODAY()),1))),1,0))</f>
        <v/>
      </c>
      <c r="Y408">
        <f>IF($A408="","",IF(AND($B408&gt;0,L408&lt;$B408,DATE($B$1,10,1)&lt;=TODAY(),OR($O408="",$O408&gt;=DATE($B$1,10,1)),OR(COUNTIF($C408:L408,"&gt;0")&gt;0,DATE($B$1,10,1)=DATE(YEAR(TODAY()),MONTH(TODAY()),1))),1,0))</f>
        <v/>
      </c>
      <c r="Z408">
        <f>IF($A408="","",IF(AND($B408&gt;0,M408&lt;$B408,DATE($B$1,11,1)&lt;=TODAY(),OR($O408="",$O408&gt;=DATE($B$1,11,1)),OR(COUNTIF($C408:M408,"&gt;0")&gt;0,DATE($B$1,11,1)=DATE(YEAR(TODAY()),MONTH(TODAY()),1))),1,0))</f>
        <v/>
      </c>
      <c r="AA408">
        <f>IF($A408="","",IF(AND($B408&gt;0,N408&lt;$B408,DATE($B$1,12,1)&lt;=TODAY(),OR($O408="",$O408&gt;=DATE($B$1,12,1)),OR(COUNTIF($C408:N408,"&gt;0")&gt;0,DATE($B$1,12,1)=DATE(YEAR(TODAY()),MONTH(TODAY()),1))),1,0))</f>
        <v/>
      </c>
    </row>
    <row r="409">
      <c r="A409" s="13">
        <f>IF(원생!$A407="","",원생!$A407&amp;IF(원생!$G407="",""," ("&amp;원생!$G407&amp;")"))</f>
        <v/>
      </c>
      <c r="B409" s="8">
        <f>IF(원생!$A407="","",원생!$F407)</f>
        <v/>
      </c>
      <c r="C409" s="14">
        <f>IF(원생!$A407="","",SUMIFS(수납!$F:$F,수납!$C:$C,원생!$A407,수납!$D:$D,IF(원생!$G407="","",원생!$G407),수납!$B:$B,$B$1&amp;"-"&amp;TEXT(1,"00")&amp;"*",수납!$E:$E,"수강료")+SUMIFS(수납!$F:$F,수납!$C:$C,원생!$A407,수납!$D:$D,IF(원생!$G407="","",원생!$G407),수납!$B:$B,$B$1&amp;"-"&amp;TEXT(1,"00")&amp;"*",수납!$E:$E,""))</f>
        <v/>
      </c>
      <c r="D409" s="14">
        <f>IF(원생!$A407="","",SUMIFS(수납!$F:$F,수납!$C:$C,원생!$A407,수납!$D:$D,IF(원생!$G407="","",원생!$G407),수납!$B:$B,$B$1&amp;"-"&amp;TEXT(2,"00")&amp;"*",수납!$E:$E,"수강료")+SUMIFS(수납!$F:$F,수납!$C:$C,원생!$A407,수납!$D:$D,IF(원생!$G407="","",원생!$G407),수납!$B:$B,$B$1&amp;"-"&amp;TEXT(2,"00")&amp;"*",수납!$E:$E,""))</f>
        <v/>
      </c>
      <c r="E409" s="14">
        <f>IF(원생!$A407="","",SUMIFS(수납!$F:$F,수납!$C:$C,원생!$A407,수납!$D:$D,IF(원생!$G407="","",원생!$G407),수납!$B:$B,$B$1&amp;"-"&amp;TEXT(3,"00")&amp;"*",수납!$E:$E,"수강료")+SUMIFS(수납!$F:$F,수납!$C:$C,원생!$A407,수납!$D:$D,IF(원생!$G407="","",원생!$G407),수납!$B:$B,$B$1&amp;"-"&amp;TEXT(3,"00")&amp;"*",수납!$E:$E,""))</f>
        <v/>
      </c>
      <c r="F409" s="14">
        <f>IF(원생!$A407="","",SUMIFS(수납!$F:$F,수납!$C:$C,원생!$A407,수납!$D:$D,IF(원생!$G407="","",원생!$G407),수납!$B:$B,$B$1&amp;"-"&amp;TEXT(4,"00")&amp;"*",수납!$E:$E,"수강료")+SUMIFS(수납!$F:$F,수납!$C:$C,원생!$A407,수납!$D:$D,IF(원생!$G407="","",원생!$G407),수납!$B:$B,$B$1&amp;"-"&amp;TEXT(4,"00")&amp;"*",수납!$E:$E,""))</f>
        <v/>
      </c>
      <c r="G409" s="14">
        <f>IF(원생!$A407="","",SUMIFS(수납!$F:$F,수납!$C:$C,원생!$A407,수납!$D:$D,IF(원생!$G407="","",원생!$G407),수납!$B:$B,$B$1&amp;"-"&amp;TEXT(5,"00")&amp;"*",수납!$E:$E,"수강료")+SUMIFS(수납!$F:$F,수납!$C:$C,원생!$A407,수납!$D:$D,IF(원생!$G407="","",원생!$G407),수납!$B:$B,$B$1&amp;"-"&amp;TEXT(5,"00")&amp;"*",수납!$E:$E,""))</f>
        <v/>
      </c>
      <c r="H409" s="14">
        <f>IF(원생!$A407="","",SUMIFS(수납!$F:$F,수납!$C:$C,원생!$A407,수납!$D:$D,IF(원생!$G407="","",원생!$G407),수납!$B:$B,$B$1&amp;"-"&amp;TEXT(6,"00")&amp;"*",수납!$E:$E,"수강료")+SUMIFS(수납!$F:$F,수납!$C:$C,원생!$A407,수납!$D:$D,IF(원생!$G407="","",원생!$G407),수납!$B:$B,$B$1&amp;"-"&amp;TEXT(6,"00")&amp;"*",수납!$E:$E,""))</f>
        <v/>
      </c>
      <c r="I409" s="14">
        <f>IF(원생!$A407="","",SUMIFS(수납!$F:$F,수납!$C:$C,원생!$A407,수납!$D:$D,IF(원생!$G407="","",원생!$G407),수납!$B:$B,$B$1&amp;"-"&amp;TEXT(7,"00")&amp;"*",수납!$E:$E,"수강료")+SUMIFS(수납!$F:$F,수납!$C:$C,원생!$A407,수납!$D:$D,IF(원생!$G407="","",원생!$G407),수납!$B:$B,$B$1&amp;"-"&amp;TEXT(7,"00")&amp;"*",수납!$E:$E,""))</f>
        <v/>
      </c>
      <c r="J409" s="14">
        <f>IF(원생!$A407="","",SUMIFS(수납!$F:$F,수납!$C:$C,원생!$A407,수납!$D:$D,IF(원생!$G407="","",원생!$G407),수납!$B:$B,$B$1&amp;"-"&amp;TEXT(8,"00")&amp;"*",수납!$E:$E,"수강료")+SUMIFS(수납!$F:$F,수납!$C:$C,원생!$A407,수납!$D:$D,IF(원생!$G407="","",원생!$G407),수납!$B:$B,$B$1&amp;"-"&amp;TEXT(8,"00")&amp;"*",수납!$E:$E,""))</f>
        <v/>
      </c>
      <c r="K409" s="14">
        <f>IF(원생!$A407="","",SUMIFS(수납!$F:$F,수납!$C:$C,원생!$A407,수납!$D:$D,IF(원생!$G407="","",원생!$G407),수납!$B:$B,$B$1&amp;"-"&amp;TEXT(9,"00")&amp;"*",수납!$E:$E,"수강료")+SUMIFS(수납!$F:$F,수납!$C:$C,원생!$A407,수납!$D:$D,IF(원생!$G407="","",원생!$G407),수납!$B:$B,$B$1&amp;"-"&amp;TEXT(9,"00")&amp;"*",수납!$E:$E,""))</f>
        <v/>
      </c>
      <c r="L409" s="14">
        <f>IF(원생!$A407="","",SUMIFS(수납!$F:$F,수납!$C:$C,원생!$A407,수납!$D:$D,IF(원생!$G407="","",원생!$G407),수납!$B:$B,$B$1&amp;"-"&amp;TEXT(10,"00")&amp;"*",수납!$E:$E,"수강료")+SUMIFS(수납!$F:$F,수납!$C:$C,원생!$A407,수납!$D:$D,IF(원생!$G407="","",원생!$G407),수납!$B:$B,$B$1&amp;"-"&amp;TEXT(10,"00")&amp;"*",수납!$E:$E,""))</f>
        <v/>
      </c>
      <c r="M409" s="14">
        <f>IF(원생!$A407="","",SUMIFS(수납!$F:$F,수납!$C:$C,원생!$A407,수납!$D:$D,IF(원생!$G407="","",원생!$G407),수납!$B:$B,$B$1&amp;"-"&amp;TEXT(11,"00")&amp;"*",수납!$E:$E,"수강료")+SUMIFS(수납!$F:$F,수납!$C:$C,원생!$A407,수납!$D:$D,IF(원생!$G407="","",원생!$G407),수납!$B:$B,$B$1&amp;"-"&amp;TEXT(11,"00")&amp;"*",수납!$E:$E,""))</f>
        <v/>
      </c>
      <c r="N409" s="14">
        <f>IF(원생!$A407="","",SUMIFS(수납!$F:$F,수납!$C:$C,원생!$A407,수납!$D:$D,IF(원생!$G407="","",원생!$G407),수납!$B:$B,$B$1&amp;"-"&amp;TEXT(12,"00")&amp;"*",수납!$E:$E,"수강료")+SUMIFS(수납!$F:$F,수납!$C:$C,원생!$A407,수납!$D:$D,IF(원생!$G407="","",원생!$G407),수납!$B:$B,$B$1&amp;"-"&amp;TEXT(12,"00")&amp;"*",수납!$E:$E,""))</f>
        <v/>
      </c>
      <c r="O409">
        <f>IF(원생!$I407="","",원생!$I407)</f>
        <v/>
      </c>
      <c r="P409">
        <f>IF($A409="","",IF(AND($B409&gt;0,C409&lt;$B409,DATE($B$1,1,1)&lt;=TODAY(),OR($O409="",$O409&gt;=DATE($B$1,1,1)),OR(COUNTIF($C409:C409,"&gt;0")&gt;0,DATE($B$1,1,1)=DATE(YEAR(TODAY()),MONTH(TODAY()),1))),1,0))</f>
        <v/>
      </c>
      <c r="Q409">
        <f>IF($A409="","",IF(AND($B409&gt;0,D409&lt;$B409,DATE($B$1,2,1)&lt;=TODAY(),OR($O409="",$O409&gt;=DATE($B$1,2,1)),OR(COUNTIF($C409:D409,"&gt;0")&gt;0,DATE($B$1,2,1)=DATE(YEAR(TODAY()),MONTH(TODAY()),1))),1,0))</f>
        <v/>
      </c>
      <c r="R409">
        <f>IF($A409="","",IF(AND($B409&gt;0,E409&lt;$B409,DATE($B$1,3,1)&lt;=TODAY(),OR($O409="",$O409&gt;=DATE($B$1,3,1)),OR(COUNTIF($C409:E409,"&gt;0")&gt;0,DATE($B$1,3,1)=DATE(YEAR(TODAY()),MONTH(TODAY()),1))),1,0))</f>
        <v/>
      </c>
      <c r="S409">
        <f>IF($A409="","",IF(AND($B409&gt;0,F409&lt;$B409,DATE($B$1,4,1)&lt;=TODAY(),OR($O409="",$O409&gt;=DATE($B$1,4,1)),OR(COUNTIF($C409:F409,"&gt;0")&gt;0,DATE($B$1,4,1)=DATE(YEAR(TODAY()),MONTH(TODAY()),1))),1,0))</f>
        <v/>
      </c>
      <c r="T409">
        <f>IF($A409="","",IF(AND($B409&gt;0,G409&lt;$B409,DATE($B$1,5,1)&lt;=TODAY(),OR($O409="",$O409&gt;=DATE($B$1,5,1)),OR(COUNTIF($C409:G409,"&gt;0")&gt;0,DATE($B$1,5,1)=DATE(YEAR(TODAY()),MONTH(TODAY()),1))),1,0))</f>
        <v/>
      </c>
      <c r="U409">
        <f>IF($A409="","",IF(AND($B409&gt;0,H409&lt;$B409,DATE($B$1,6,1)&lt;=TODAY(),OR($O409="",$O409&gt;=DATE($B$1,6,1)),OR(COUNTIF($C409:H409,"&gt;0")&gt;0,DATE($B$1,6,1)=DATE(YEAR(TODAY()),MONTH(TODAY()),1))),1,0))</f>
        <v/>
      </c>
      <c r="V409">
        <f>IF($A409="","",IF(AND($B409&gt;0,I409&lt;$B409,DATE($B$1,7,1)&lt;=TODAY(),OR($O409="",$O409&gt;=DATE($B$1,7,1)),OR(COUNTIF($C409:I409,"&gt;0")&gt;0,DATE($B$1,7,1)=DATE(YEAR(TODAY()),MONTH(TODAY()),1))),1,0))</f>
        <v/>
      </c>
      <c r="W409">
        <f>IF($A409="","",IF(AND($B409&gt;0,J409&lt;$B409,DATE($B$1,8,1)&lt;=TODAY(),OR($O409="",$O409&gt;=DATE($B$1,8,1)),OR(COUNTIF($C409:J409,"&gt;0")&gt;0,DATE($B$1,8,1)=DATE(YEAR(TODAY()),MONTH(TODAY()),1))),1,0))</f>
        <v/>
      </c>
      <c r="X409">
        <f>IF($A409="","",IF(AND($B409&gt;0,K409&lt;$B409,DATE($B$1,9,1)&lt;=TODAY(),OR($O409="",$O409&gt;=DATE($B$1,9,1)),OR(COUNTIF($C409:K409,"&gt;0")&gt;0,DATE($B$1,9,1)=DATE(YEAR(TODAY()),MONTH(TODAY()),1))),1,0))</f>
        <v/>
      </c>
      <c r="Y409">
        <f>IF($A409="","",IF(AND($B409&gt;0,L409&lt;$B409,DATE($B$1,10,1)&lt;=TODAY(),OR($O409="",$O409&gt;=DATE($B$1,10,1)),OR(COUNTIF($C409:L409,"&gt;0")&gt;0,DATE($B$1,10,1)=DATE(YEAR(TODAY()),MONTH(TODAY()),1))),1,0))</f>
        <v/>
      </c>
      <c r="Z409">
        <f>IF($A409="","",IF(AND($B409&gt;0,M409&lt;$B409,DATE($B$1,11,1)&lt;=TODAY(),OR($O409="",$O409&gt;=DATE($B$1,11,1)),OR(COUNTIF($C409:M409,"&gt;0")&gt;0,DATE($B$1,11,1)=DATE(YEAR(TODAY()),MONTH(TODAY()),1))),1,0))</f>
        <v/>
      </c>
      <c r="AA409">
        <f>IF($A409="","",IF(AND($B409&gt;0,N409&lt;$B409,DATE($B$1,12,1)&lt;=TODAY(),OR($O409="",$O409&gt;=DATE($B$1,12,1)),OR(COUNTIF($C409:N409,"&gt;0")&gt;0,DATE($B$1,12,1)=DATE(YEAR(TODAY()),MONTH(TODAY()),1))),1,0))</f>
        <v/>
      </c>
    </row>
    <row r="410">
      <c r="A410" s="13">
        <f>IF(원생!$A408="","",원생!$A408&amp;IF(원생!$G408="",""," ("&amp;원생!$G408&amp;")"))</f>
        <v/>
      </c>
      <c r="B410" s="8">
        <f>IF(원생!$A408="","",원생!$F408)</f>
        <v/>
      </c>
      <c r="C410" s="14">
        <f>IF(원생!$A408="","",SUMIFS(수납!$F:$F,수납!$C:$C,원생!$A408,수납!$D:$D,IF(원생!$G408="","",원생!$G408),수납!$B:$B,$B$1&amp;"-"&amp;TEXT(1,"00")&amp;"*",수납!$E:$E,"수강료")+SUMIFS(수납!$F:$F,수납!$C:$C,원생!$A408,수납!$D:$D,IF(원생!$G408="","",원생!$G408),수납!$B:$B,$B$1&amp;"-"&amp;TEXT(1,"00")&amp;"*",수납!$E:$E,""))</f>
        <v/>
      </c>
      <c r="D410" s="14">
        <f>IF(원생!$A408="","",SUMIFS(수납!$F:$F,수납!$C:$C,원생!$A408,수납!$D:$D,IF(원생!$G408="","",원생!$G408),수납!$B:$B,$B$1&amp;"-"&amp;TEXT(2,"00")&amp;"*",수납!$E:$E,"수강료")+SUMIFS(수납!$F:$F,수납!$C:$C,원생!$A408,수납!$D:$D,IF(원생!$G408="","",원생!$G408),수납!$B:$B,$B$1&amp;"-"&amp;TEXT(2,"00")&amp;"*",수납!$E:$E,""))</f>
        <v/>
      </c>
      <c r="E410" s="14">
        <f>IF(원생!$A408="","",SUMIFS(수납!$F:$F,수납!$C:$C,원생!$A408,수납!$D:$D,IF(원생!$G408="","",원생!$G408),수납!$B:$B,$B$1&amp;"-"&amp;TEXT(3,"00")&amp;"*",수납!$E:$E,"수강료")+SUMIFS(수납!$F:$F,수납!$C:$C,원생!$A408,수납!$D:$D,IF(원생!$G408="","",원생!$G408),수납!$B:$B,$B$1&amp;"-"&amp;TEXT(3,"00")&amp;"*",수납!$E:$E,""))</f>
        <v/>
      </c>
      <c r="F410" s="14">
        <f>IF(원생!$A408="","",SUMIFS(수납!$F:$F,수납!$C:$C,원생!$A408,수납!$D:$D,IF(원생!$G408="","",원생!$G408),수납!$B:$B,$B$1&amp;"-"&amp;TEXT(4,"00")&amp;"*",수납!$E:$E,"수강료")+SUMIFS(수납!$F:$F,수납!$C:$C,원생!$A408,수납!$D:$D,IF(원생!$G408="","",원생!$G408),수납!$B:$B,$B$1&amp;"-"&amp;TEXT(4,"00")&amp;"*",수납!$E:$E,""))</f>
        <v/>
      </c>
      <c r="G410" s="14">
        <f>IF(원생!$A408="","",SUMIFS(수납!$F:$F,수납!$C:$C,원생!$A408,수납!$D:$D,IF(원생!$G408="","",원생!$G408),수납!$B:$B,$B$1&amp;"-"&amp;TEXT(5,"00")&amp;"*",수납!$E:$E,"수강료")+SUMIFS(수납!$F:$F,수납!$C:$C,원생!$A408,수납!$D:$D,IF(원생!$G408="","",원생!$G408),수납!$B:$B,$B$1&amp;"-"&amp;TEXT(5,"00")&amp;"*",수납!$E:$E,""))</f>
        <v/>
      </c>
      <c r="H410" s="14">
        <f>IF(원생!$A408="","",SUMIFS(수납!$F:$F,수납!$C:$C,원생!$A408,수납!$D:$D,IF(원생!$G408="","",원생!$G408),수납!$B:$B,$B$1&amp;"-"&amp;TEXT(6,"00")&amp;"*",수납!$E:$E,"수강료")+SUMIFS(수납!$F:$F,수납!$C:$C,원생!$A408,수납!$D:$D,IF(원생!$G408="","",원생!$G408),수납!$B:$B,$B$1&amp;"-"&amp;TEXT(6,"00")&amp;"*",수납!$E:$E,""))</f>
        <v/>
      </c>
      <c r="I410" s="14">
        <f>IF(원생!$A408="","",SUMIFS(수납!$F:$F,수납!$C:$C,원생!$A408,수납!$D:$D,IF(원생!$G408="","",원생!$G408),수납!$B:$B,$B$1&amp;"-"&amp;TEXT(7,"00")&amp;"*",수납!$E:$E,"수강료")+SUMIFS(수납!$F:$F,수납!$C:$C,원생!$A408,수납!$D:$D,IF(원생!$G408="","",원생!$G408),수납!$B:$B,$B$1&amp;"-"&amp;TEXT(7,"00")&amp;"*",수납!$E:$E,""))</f>
        <v/>
      </c>
      <c r="J410" s="14">
        <f>IF(원생!$A408="","",SUMIFS(수납!$F:$F,수납!$C:$C,원생!$A408,수납!$D:$D,IF(원생!$G408="","",원생!$G408),수납!$B:$B,$B$1&amp;"-"&amp;TEXT(8,"00")&amp;"*",수납!$E:$E,"수강료")+SUMIFS(수납!$F:$F,수납!$C:$C,원생!$A408,수납!$D:$D,IF(원생!$G408="","",원생!$G408),수납!$B:$B,$B$1&amp;"-"&amp;TEXT(8,"00")&amp;"*",수납!$E:$E,""))</f>
        <v/>
      </c>
      <c r="K410" s="14">
        <f>IF(원생!$A408="","",SUMIFS(수납!$F:$F,수납!$C:$C,원생!$A408,수납!$D:$D,IF(원생!$G408="","",원생!$G408),수납!$B:$B,$B$1&amp;"-"&amp;TEXT(9,"00")&amp;"*",수납!$E:$E,"수강료")+SUMIFS(수납!$F:$F,수납!$C:$C,원생!$A408,수납!$D:$D,IF(원생!$G408="","",원생!$G408),수납!$B:$B,$B$1&amp;"-"&amp;TEXT(9,"00")&amp;"*",수납!$E:$E,""))</f>
        <v/>
      </c>
      <c r="L410" s="14">
        <f>IF(원생!$A408="","",SUMIFS(수납!$F:$F,수납!$C:$C,원생!$A408,수납!$D:$D,IF(원생!$G408="","",원생!$G408),수납!$B:$B,$B$1&amp;"-"&amp;TEXT(10,"00")&amp;"*",수납!$E:$E,"수강료")+SUMIFS(수납!$F:$F,수납!$C:$C,원생!$A408,수납!$D:$D,IF(원생!$G408="","",원생!$G408),수납!$B:$B,$B$1&amp;"-"&amp;TEXT(10,"00")&amp;"*",수납!$E:$E,""))</f>
        <v/>
      </c>
      <c r="M410" s="14">
        <f>IF(원생!$A408="","",SUMIFS(수납!$F:$F,수납!$C:$C,원생!$A408,수납!$D:$D,IF(원생!$G408="","",원생!$G408),수납!$B:$B,$B$1&amp;"-"&amp;TEXT(11,"00")&amp;"*",수납!$E:$E,"수강료")+SUMIFS(수납!$F:$F,수납!$C:$C,원생!$A408,수납!$D:$D,IF(원생!$G408="","",원생!$G408),수납!$B:$B,$B$1&amp;"-"&amp;TEXT(11,"00")&amp;"*",수납!$E:$E,""))</f>
        <v/>
      </c>
      <c r="N410" s="14">
        <f>IF(원생!$A408="","",SUMIFS(수납!$F:$F,수납!$C:$C,원생!$A408,수납!$D:$D,IF(원생!$G408="","",원생!$G408),수납!$B:$B,$B$1&amp;"-"&amp;TEXT(12,"00")&amp;"*",수납!$E:$E,"수강료")+SUMIFS(수납!$F:$F,수납!$C:$C,원생!$A408,수납!$D:$D,IF(원생!$G408="","",원생!$G408),수납!$B:$B,$B$1&amp;"-"&amp;TEXT(12,"00")&amp;"*",수납!$E:$E,""))</f>
        <v/>
      </c>
      <c r="O410">
        <f>IF(원생!$I408="","",원생!$I408)</f>
        <v/>
      </c>
      <c r="P410">
        <f>IF($A410="","",IF(AND($B410&gt;0,C410&lt;$B410,DATE($B$1,1,1)&lt;=TODAY(),OR($O410="",$O410&gt;=DATE($B$1,1,1)),OR(COUNTIF($C410:C410,"&gt;0")&gt;0,DATE($B$1,1,1)=DATE(YEAR(TODAY()),MONTH(TODAY()),1))),1,0))</f>
        <v/>
      </c>
      <c r="Q410">
        <f>IF($A410="","",IF(AND($B410&gt;0,D410&lt;$B410,DATE($B$1,2,1)&lt;=TODAY(),OR($O410="",$O410&gt;=DATE($B$1,2,1)),OR(COUNTIF($C410:D410,"&gt;0")&gt;0,DATE($B$1,2,1)=DATE(YEAR(TODAY()),MONTH(TODAY()),1))),1,0))</f>
        <v/>
      </c>
      <c r="R410">
        <f>IF($A410="","",IF(AND($B410&gt;0,E410&lt;$B410,DATE($B$1,3,1)&lt;=TODAY(),OR($O410="",$O410&gt;=DATE($B$1,3,1)),OR(COUNTIF($C410:E410,"&gt;0")&gt;0,DATE($B$1,3,1)=DATE(YEAR(TODAY()),MONTH(TODAY()),1))),1,0))</f>
        <v/>
      </c>
      <c r="S410">
        <f>IF($A410="","",IF(AND($B410&gt;0,F410&lt;$B410,DATE($B$1,4,1)&lt;=TODAY(),OR($O410="",$O410&gt;=DATE($B$1,4,1)),OR(COUNTIF($C410:F410,"&gt;0")&gt;0,DATE($B$1,4,1)=DATE(YEAR(TODAY()),MONTH(TODAY()),1))),1,0))</f>
        <v/>
      </c>
      <c r="T410">
        <f>IF($A410="","",IF(AND($B410&gt;0,G410&lt;$B410,DATE($B$1,5,1)&lt;=TODAY(),OR($O410="",$O410&gt;=DATE($B$1,5,1)),OR(COUNTIF($C410:G410,"&gt;0")&gt;0,DATE($B$1,5,1)=DATE(YEAR(TODAY()),MONTH(TODAY()),1))),1,0))</f>
        <v/>
      </c>
      <c r="U410">
        <f>IF($A410="","",IF(AND($B410&gt;0,H410&lt;$B410,DATE($B$1,6,1)&lt;=TODAY(),OR($O410="",$O410&gt;=DATE($B$1,6,1)),OR(COUNTIF($C410:H410,"&gt;0")&gt;0,DATE($B$1,6,1)=DATE(YEAR(TODAY()),MONTH(TODAY()),1))),1,0))</f>
        <v/>
      </c>
      <c r="V410">
        <f>IF($A410="","",IF(AND($B410&gt;0,I410&lt;$B410,DATE($B$1,7,1)&lt;=TODAY(),OR($O410="",$O410&gt;=DATE($B$1,7,1)),OR(COUNTIF($C410:I410,"&gt;0")&gt;0,DATE($B$1,7,1)=DATE(YEAR(TODAY()),MONTH(TODAY()),1))),1,0))</f>
        <v/>
      </c>
      <c r="W410">
        <f>IF($A410="","",IF(AND($B410&gt;0,J410&lt;$B410,DATE($B$1,8,1)&lt;=TODAY(),OR($O410="",$O410&gt;=DATE($B$1,8,1)),OR(COUNTIF($C410:J410,"&gt;0")&gt;0,DATE($B$1,8,1)=DATE(YEAR(TODAY()),MONTH(TODAY()),1))),1,0))</f>
        <v/>
      </c>
      <c r="X410">
        <f>IF($A410="","",IF(AND($B410&gt;0,K410&lt;$B410,DATE($B$1,9,1)&lt;=TODAY(),OR($O410="",$O410&gt;=DATE($B$1,9,1)),OR(COUNTIF($C410:K410,"&gt;0")&gt;0,DATE($B$1,9,1)=DATE(YEAR(TODAY()),MONTH(TODAY()),1))),1,0))</f>
        <v/>
      </c>
      <c r="Y410">
        <f>IF($A410="","",IF(AND($B410&gt;0,L410&lt;$B410,DATE($B$1,10,1)&lt;=TODAY(),OR($O410="",$O410&gt;=DATE($B$1,10,1)),OR(COUNTIF($C410:L410,"&gt;0")&gt;0,DATE($B$1,10,1)=DATE(YEAR(TODAY()),MONTH(TODAY()),1))),1,0))</f>
        <v/>
      </c>
      <c r="Z410">
        <f>IF($A410="","",IF(AND($B410&gt;0,M410&lt;$B410,DATE($B$1,11,1)&lt;=TODAY(),OR($O410="",$O410&gt;=DATE($B$1,11,1)),OR(COUNTIF($C410:M410,"&gt;0")&gt;0,DATE($B$1,11,1)=DATE(YEAR(TODAY()),MONTH(TODAY()),1))),1,0))</f>
        <v/>
      </c>
      <c r="AA410">
        <f>IF($A410="","",IF(AND($B410&gt;0,N410&lt;$B410,DATE($B$1,12,1)&lt;=TODAY(),OR($O410="",$O410&gt;=DATE($B$1,12,1)),OR(COUNTIF($C410:N410,"&gt;0")&gt;0,DATE($B$1,12,1)=DATE(YEAR(TODAY()),MONTH(TODAY()),1))),1,0))</f>
        <v/>
      </c>
    </row>
    <row r="411">
      <c r="A411" s="13">
        <f>IF(원생!$A409="","",원생!$A409&amp;IF(원생!$G409="",""," ("&amp;원생!$G409&amp;")"))</f>
        <v/>
      </c>
      <c r="B411" s="8">
        <f>IF(원생!$A409="","",원생!$F409)</f>
        <v/>
      </c>
      <c r="C411" s="14">
        <f>IF(원생!$A409="","",SUMIFS(수납!$F:$F,수납!$C:$C,원생!$A409,수납!$D:$D,IF(원생!$G409="","",원생!$G409),수납!$B:$B,$B$1&amp;"-"&amp;TEXT(1,"00")&amp;"*",수납!$E:$E,"수강료")+SUMIFS(수납!$F:$F,수납!$C:$C,원생!$A409,수납!$D:$D,IF(원생!$G409="","",원생!$G409),수납!$B:$B,$B$1&amp;"-"&amp;TEXT(1,"00")&amp;"*",수납!$E:$E,""))</f>
        <v/>
      </c>
      <c r="D411" s="14">
        <f>IF(원생!$A409="","",SUMIFS(수납!$F:$F,수납!$C:$C,원생!$A409,수납!$D:$D,IF(원생!$G409="","",원생!$G409),수납!$B:$B,$B$1&amp;"-"&amp;TEXT(2,"00")&amp;"*",수납!$E:$E,"수강료")+SUMIFS(수납!$F:$F,수납!$C:$C,원생!$A409,수납!$D:$D,IF(원생!$G409="","",원생!$G409),수납!$B:$B,$B$1&amp;"-"&amp;TEXT(2,"00")&amp;"*",수납!$E:$E,""))</f>
        <v/>
      </c>
      <c r="E411" s="14">
        <f>IF(원생!$A409="","",SUMIFS(수납!$F:$F,수납!$C:$C,원생!$A409,수납!$D:$D,IF(원생!$G409="","",원생!$G409),수납!$B:$B,$B$1&amp;"-"&amp;TEXT(3,"00")&amp;"*",수납!$E:$E,"수강료")+SUMIFS(수납!$F:$F,수납!$C:$C,원생!$A409,수납!$D:$D,IF(원생!$G409="","",원생!$G409),수납!$B:$B,$B$1&amp;"-"&amp;TEXT(3,"00")&amp;"*",수납!$E:$E,""))</f>
        <v/>
      </c>
      <c r="F411" s="14">
        <f>IF(원생!$A409="","",SUMIFS(수납!$F:$F,수납!$C:$C,원생!$A409,수납!$D:$D,IF(원생!$G409="","",원생!$G409),수납!$B:$B,$B$1&amp;"-"&amp;TEXT(4,"00")&amp;"*",수납!$E:$E,"수강료")+SUMIFS(수납!$F:$F,수납!$C:$C,원생!$A409,수납!$D:$D,IF(원생!$G409="","",원생!$G409),수납!$B:$B,$B$1&amp;"-"&amp;TEXT(4,"00")&amp;"*",수납!$E:$E,""))</f>
        <v/>
      </c>
      <c r="G411" s="14">
        <f>IF(원생!$A409="","",SUMIFS(수납!$F:$F,수납!$C:$C,원생!$A409,수납!$D:$D,IF(원생!$G409="","",원생!$G409),수납!$B:$B,$B$1&amp;"-"&amp;TEXT(5,"00")&amp;"*",수납!$E:$E,"수강료")+SUMIFS(수납!$F:$F,수납!$C:$C,원생!$A409,수납!$D:$D,IF(원생!$G409="","",원생!$G409),수납!$B:$B,$B$1&amp;"-"&amp;TEXT(5,"00")&amp;"*",수납!$E:$E,""))</f>
        <v/>
      </c>
      <c r="H411" s="14">
        <f>IF(원생!$A409="","",SUMIFS(수납!$F:$F,수납!$C:$C,원생!$A409,수납!$D:$D,IF(원생!$G409="","",원생!$G409),수납!$B:$B,$B$1&amp;"-"&amp;TEXT(6,"00")&amp;"*",수납!$E:$E,"수강료")+SUMIFS(수납!$F:$F,수납!$C:$C,원생!$A409,수납!$D:$D,IF(원생!$G409="","",원생!$G409),수납!$B:$B,$B$1&amp;"-"&amp;TEXT(6,"00")&amp;"*",수납!$E:$E,""))</f>
        <v/>
      </c>
      <c r="I411" s="14">
        <f>IF(원생!$A409="","",SUMIFS(수납!$F:$F,수납!$C:$C,원생!$A409,수납!$D:$D,IF(원생!$G409="","",원생!$G409),수납!$B:$B,$B$1&amp;"-"&amp;TEXT(7,"00")&amp;"*",수납!$E:$E,"수강료")+SUMIFS(수납!$F:$F,수납!$C:$C,원생!$A409,수납!$D:$D,IF(원생!$G409="","",원생!$G409),수납!$B:$B,$B$1&amp;"-"&amp;TEXT(7,"00")&amp;"*",수납!$E:$E,""))</f>
        <v/>
      </c>
      <c r="J411" s="14">
        <f>IF(원생!$A409="","",SUMIFS(수납!$F:$F,수납!$C:$C,원생!$A409,수납!$D:$D,IF(원생!$G409="","",원생!$G409),수납!$B:$B,$B$1&amp;"-"&amp;TEXT(8,"00")&amp;"*",수납!$E:$E,"수강료")+SUMIFS(수납!$F:$F,수납!$C:$C,원생!$A409,수납!$D:$D,IF(원생!$G409="","",원생!$G409),수납!$B:$B,$B$1&amp;"-"&amp;TEXT(8,"00")&amp;"*",수납!$E:$E,""))</f>
        <v/>
      </c>
      <c r="K411" s="14">
        <f>IF(원생!$A409="","",SUMIFS(수납!$F:$F,수납!$C:$C,원생!$A409,수납!$D:$D,IF(원생!$G409="","",원생!$G409),수납!$B:$B,$B$1&amp;"-"&amp;TEXT(9,"00")&amp;"*",수납!$E:$E,"수강료")+SUMIFS(수납!$F:$F,수납!$C:$C,원생!$A409,수납!$D:$D,IF(원생!$G409="","",원생!$G409),수납!$B:$B,$B$1&amp;"-"&amp;TEXT(9,"00")&amp;"*",수납!$E:$E,""))</f>
        <v/>
      </c>
      <c r="L411" s="14">
        <f>IF(원생!$A409="","",SUMIFS(수납!$F:$F,수납!$C:$C,원생!$A409,수납!$D:$D,IF(원생!$G409="","",원생!$G409),수납!$B:$B,$B$1&amp;"-"&amp;TEXT(10,"00")&amp;"*",수납!$E:$E,"수강료")+SUMIFS(수납!$F:$F,수납!$C:$C,원생!$A409,수납!$D:$D,IF(원생!$G409="","",원생!$G409),수납!$B:$B,$B$1&amp;"-"&amp;TEXT(10,"00")&amp;"*",수납!$E:$E,""))</f>
        <v/>
      </c>
      <c r="M411" s="14">
        <f>IF(원생!$A409="","",SUMIFS(수납!$F:$F,수납!$C:$C,원생!$A409,수납!$D:$D,IF(원생!$G409="","",원생!$G409),수납!$B:$B,$B$1&amp;"-"&amp;TEXT(11,"00")&amp;"*",수납!$E:$E,"수강료")+SUMIFS(수납!$F:$F,수납!$C:$C,원생!$A409,수납!$D:$D,IF(원생!$G409="","",원생!$G409),수납!$B:$B,$B$1&amp;"-"&amp;TEXT(11,"00")&amp;"*",수납!$E:$E,""))</f>
        <v/>
      </c>
      <c r="N411" s="14">
        <f>IF(원생!$A409="","",SUMIFS(수납!$F:$F,수납!$C:$C,원생!$A409,수납!$D:$D,IF(원생!$G409="","",원생!$G409),수납!$B:$B,$B$1&amp;"-"&amp;TEXT(12,"00")&amp;"*",수납!$E:$E,"수강료")+SUMIFS(수납!$F:$F,수납!$C:$C,원생!$A409,수납!$D:$D,IF(원생!$G409="","",원생!$G409),수납!$B:$B,$B$1&amp;"-"&amp;TEXT(12,"00")&amp;"*",수납!$E:$E,""))</f>
        <v/>
      </c>
      <c r="O411">
        <f>IF(원생!$I409="","",원생!$I409)</f>
        <v/>
      </c>
      <c r="P411">
        <f>IF($A411="","",IF(AND($B411&gt;0,C411&lt;$B411,DATE($B$1,1,1)&lt;=TODAY(),OR($O411="",$O411&gt;=DATE($B$1,1,1)),OR(COUNTIF($C411:C411,"&gt;0")&gt;0,DATE($B$1,1,1)=DATE(YEAR(TODAY()),MONTH(TODAY()),1))),1,0))</f>
        <v/>
      </c>
      <c r="Q411">
        <f>IF($A411="","",IF(AND($B411&gt;0,D411&lt;$B411,DATE($B$1,2,1)&lt;=TODAY(),OR($O411="",$O411&gt;=DATE($B$1,2,1)),OR(COUNTIF($C411:D411,"&gt;0")&gt;0,DATE($B$1,2,1)=DATE(YEAR(TODAY()),MONTH(TODAY()),1))),1,0))</f>
        <v/>
      </c>
      <c r="R411">
        <f>IF($A411="","",IF(AND($B411&gt;0,E411&lt;$B411,DATE($B$1,3,1)&lt;=TODAY(),OR($O411="",$O411&gt;=DATE($B$1,3,1)),OR(COUNTIF($C411:E411,"&gt;0")&gt;0,DATE($B$1,3,1)=DATE(YEAR(TODAY()),MONTH(TODAY()),1))),1,0))</f>
        <v/>
      </c>
      <c r="S411">
        <f>IF($A411="","",IF(AND($B411&gt;0,F411&lt;$B411,DATE($B$1,4,1)&lt;=TODAY(),OR($O411="",$O411&gt;=DATE($B$1,4,1)),OR(COUNTIF($C411:F411,"&gt;0")&gt;0,DATE($B$1,4,1)=DATE(YEAR(TODAY()),MONTH(TODAY()),1))),1,0))</f>
        <v/>
      </c>
      <c r="T411">
        <f>IF($A411="","",IF(AND($B411&gt;0,G411&lt;$B411,DATE($B$1,5,1)&lt;=TODAY(),OR($O411="",$O411&gt;=DATE($B$1,5,1)),OR(COUNTIF($C411:G411,"&gt;0")&gt;0,DATE($B$1,5,1)=DATE(YEAR(TODAY()),MONTH(TODAY()),1))),1,0))</f>
        <v/>
      </c>
      <c r="U411">
        <f>IF($A411="","",IF(AND($B411&gt;0,H411&lt;$B411,DATE($B$1,6,1)&lt;=TODAY(),OR($O411="",$O411&gt;=DATE($B$1,6,1)),OR(COUNTIF($C411:H411,"&gt;0")&gt;0,DATE($B$1,6,1)=DATE(YEAR(TODAY()),MONTH(TODAY()),1))),1,0))</f>
        <v/>
      </c>
      <c r="V411">
        <f>IF($A411="","",IF(AND($B411&gt;0,I411&lt;$B411,DATE($B$1,7,1)&lt;=TODAY(),OR($O411="",$O411&gt;=DATE($B$1,7,1)),OR(COUNTIF($C411:I411,"&gt;0")&gt;0,DATE($B$1,7,1)=DATE(YEAR(TODAY()),MONTH(TODAY()),1))),1,0))</f>
        <v/>
      </c>
      <c r="W411">
        <f>IF($A411="","",IF(AND($B411&gt;0,J411&lt;$B411,DATE($B$1,8,1)&lt;=TODAY(),OR($O411="",$O411&gt;=DATE($B$1,8,1)),OR(COUNTIF($C411:J411,"&gt;0")&gt;0,DATE($B$1,8,1)=DATE(YEAR(TODAY()),MONTH(TODAY()),1))),1,0))</f>
        <v/>
      </c>
      <c r="X411">
        <f>IF($A411="","",IF(AND($B411&gt;0,K411&lt;$B411,DATE($B$1,9,1)&lt;=TODAY(),OR($O411="",$O411&gt;=DATE($B$1,9,1)),OR(COUNTIF($C411:K411,"&gt;0")&gt;0,DATE($B$1,9,1)=DATE(YEAR(TODAY()),MONTH(TODAY()),1))),1,0))</f>
        <v/>
      </c>
      <c r="Y411">
        <f>IF($A411="","",IF(AND($B411&gt;0,L411&lt;$B411,DATE($B$1,10,1)&lt;=TODAY(),OR($O411="",$O411&gt;=DATE($B$1,10,1)),OR(COUNTIF($C411:L411,"&gt;0")&gt;0,DATE($B$1,10,1)=DATE(YEAR(TODAY()),MONTH(TODAY()),1))),1,0))</f>
        <v/>
      </c>
      <c r="Z411">
        <f>IF($A411="","",IF(AND($B411&gt;0,M411&lt;$B411,DATE($B$1,11,1)&lt;=TODAY(),OR($O411="",$O411&gt;=DATE($B$1,11,1)),OR(COUNTIF($C411:M411,"&gt;0")&gt;0,DATE($B$1,11,1)=DATE(YEAR(TODAY()),MONTH(TODAY()),1))),1,0))</f>
        <v/>
      </c>
      <c r="AA411">
        <f>IF($A411="","",IF(AND($B411&gt;0,N411&lt;$B411,DATE($B$1,12,1)&lt;=TODAY(),OR($O411="",$O411&gt;=DATE($B$1,12,1)),OR(COUNTIF($C411:N411,"&gt;0")&gt;0,DATE($B$1,12,1)=DATE(YEAR(TODAY()),MONTH(TODAY()),1))),1,0))</f>
        <v/>
      </c>
    </row>
    <row r="412">
      <c r="A412" s="13">
        <f>IF(원생!$A410="","",원생!$A410&amp;IF(원생!$G410="",""," ("&amp;원생!$G410&amp;")"))</f>
        <v/>
      </c>
      <c r="B412" s="8">
        <f>IF(원생!$A410="","",원생!$F410)</f>
        <v/>
      </c>
      <c r="C412" s="14">
        <f>IF(원생!$A410="","",SUMIFS(수납!$F:$F,수납!$C:$C,원생!$A410,수납!$D:$D,IF(원생!$G410="","",원생!$G410),수납!$B:$B,$B$1&amp;"-"&amp;TEXT(1,"00")&amp;"*",수납!$E:$E,"수강료")+SUMIFS(수납!$F:$F,수납!$C:$C,원생!$A410,수납!$D:$D,IF(원생!$G410="","",원생!$G410),수납!$B:$B,$B$1&amp;"-"&amp;TEXT(1,"00")&amp;"*",수납!$E:$E,""))</f>
        <v/>
      </c>
      <c r="D412" s="14">
        <f>IF(원생!$A410="","",SUMIFS(수납!$F:$F,수납!$C:$C,원생!$A410,수납!$D:$D,IF(원생!$G410="","",원생!$G410),수납!$B:$B,$B$1&amp;"-"&amp;TEXT(2,"00")&amp;"*",수납!$E:$E,"수강료")+SUMIFS(수납!$F:$F,수납!$C:$C,원생!$A410,수납!$D:$D,IF(원생!$G410="","",원생!$G410),수납!$B:$B,$B$1&amp;"-"&amp;TEXT(2,"00")&amp;"*",수납!$E:$E,""))</f>
        <v/>
      </c>
      <c r="E412" s="14">
        <f>IF(원생!$A410="","",SUMIFS(수납!$F:$F,수납!$C:$C,원생!$A410,수납!$D:$D,IF(원생!$G410="","",원생!$G410),수납!$B:$B,$B$1&amp;"-"&amp;TEXT(3,"00")&amp;"*",수납!$E:$E,"수강료")+SUMIFS(수납!$F:$F,수납!$C:$C,원생!$A410,수납!$D:$D,IF(원생!$G410="","",원생!$G410),수납!$B:$B,$B$1&amp;"-"&amp;TEXT(3,"00")&amp;"*",수납!$E:$E,""))</f>
        <v/>
      </c>
      <c r="F412" s="14">
        <f>IF(원생!$A410="","",SUMIFS(수납!$F:$F,수납!$C:$C,원생!$A410,수납!$D:$D,IF(원생!$G410="","",원생!$G410),수납!$B:$B,$B$1&amp;"-"&amp;TEXT(4,"00")&amp;"*",수납!$E:$E,"수강료")+SUMIFS(수납!$F:$F,수납!$C:$C,원생!$A410,수납!$D:$D,IF(원생!$G410="","",원생!$G410),수납!$B:$B,$B$1&amp;"-"&amp;TEXT(4,"00")&amp;"*",수납!$E:$E,""))</f>
        <v/>
      </c>
      <c r="G412" s="14">
        <f>IF(원생!$A410="","",SUMIFS(수납!$F:$F,수납!$C:$C,원생!$A410,수납!$D:$D,IF(원생!$G410="","",원생!$G410),수납!$B:$B,$B$1&amp;"-"&amp;TEXT(5,"00")&amp;"*",수납!$E:$E,"수강료")+SUMIFS(수납!$F:$F,수납!$C:$C,원생!$A410,수납!$D:$D,IF(원생!$G410="","",원생!$G410),수납!$B:$B,$B$1&amp;"-"&amp;TEXT(5,"00")&amp;"*",수납!$E:$E,""))</f>
        <v/>
      </c>
      <c r="H412" s="14">
        <f>IF(원생!$A410="","",SUMIFS(수납!$F:$F,수납!$C:$C,원생!$A410,수납!$D:$D,IF(원생!$G410="","",원생!$G410),수납!$B:$B,$B$1&amp;"-"&amp;TEXT(6,"00")&amp;"*",수납!$E:$E,"수강료")+SUMIFS(수납!$F:$F,수납!$C:$C,원생!$A410,수납!$D:$D,IF(원생!$G410="","",원생!$G410),수납!$B:$B,$B$1&amp;"-"&amp;TEXT(6,"00")&amp;"*",수납!$E:$E,""))</f>
        <v/>
      </c>
      <c r="I412" s="14">
        <f>IF(원생!$A410="","",SUMIFS(수납!$F:$F,수납!$C:$C,원생!$A410,수납!$D:$D,IF(원생!$G410="","",원생!$G410),수납!$B:$B,$B$1&amp;"-"&amp;TEXT(7,"00")&amp;"*",수납!$E:$E,"수강료")+SUMIFS(수납!$F:$F,수납!$C:$C,원생!$A410,수납!$D:$D,IF(원생!$G410="","",원생!$G410),수납!$B:$B,$B$1&amp;"-"&amp;TEXT(7,"00")&amp;"*",수납!$E:$E,""))</f>
        <v/>
      </c>
      <c r="J412" s="14">
        <f>IF(원생!$A410="","",SUMIFS(수납!$F:$F,수납!$C:$C,원생!$A410,수납!$D:$D,IF(원생!$G410="","",원생!$G410),수납!$B:$B,$B$1&amp;"-"&amp;TEXT(8,"00")&amp;"*",수납!$E:$E,"수강료")+SUMIFS(수납!$F:$F,수납!$C:$C,원생!$A410,수납!$D:$D,IF(원생!$G410="","",원생!$G410),수납!$B:$B,$B$1&amp;"-"&amp;TEXT(8,"00")&amp;"*",수납!$E:$E,""))</f>
        <v/>
      </c>
      <c r="K412" s="14">
        <f>IF(원생!$A410="","",SUMIFS(수납!$F:$F,수납!$C:$C,원생!$A410,수납!$D:$D,IF(원생!$G410="","",원생!$G410),수납!$B:$B,$B$1&amp;"-"&amp;TEXT(9,"00")&amp;"*",수납!$E:$E,"수강료")+SUMIFS(수납!$F:$F,수납!$C:$C,원생!$A410,수납!$D:$D,IF(원생!$G410="","",원생!$G410),수납!$B:$B,$B$1&amp;"-"&amp;TEXT(9,"00")&amp;"*",수납!$E:$E,""))</f>
        <v/>
      </c>
      <c r="L412" s="14">
        <f>IF(원생!$A410="","",SUMIFS(수납!$F:$F,수납!$C:$C,원생!$A410,수납!$D:$D,IF(원생!$G410="","",원생!$G410),수납!$B:$B,$B$1&amp;"-"&amp;TEXT(10,"00")&amp;"*",수납!$E:$E,"수강료")+SUMIFS(수납!$F:$F,수납!$C:$C,원생!$A410,수납!$D:$D,IF(원생!$G410="","",원생!$G410),수납!$B:$B,$B$1&amp;"-"&amp;TEXT(10,"00")&amp;"*",수납!$E:$E,""))</f>
        <v/>
      </c>
      <c r="M412" s="14">
        <f>IF(원생!$A410="","",SUMIFS(수납!$F:$F,수납!$C:$C,원생!$A410,수납!$D:$D,IF(원생!$G410="","",원생!$G410),수납!$B:$B,$B$1&amp;"-"&amp;TEXT(11,"00")&amp;"*",수납!$E:$E,"수강료")+SUMIFS(수납!$F:$F,수납!$C:$C,원생!$A410,수납!$D:$D,IF(원생!$G410="","",원생!$G410),수납!$B:$B,$B$1&amp;"-"&amp;TEXT(11,"00")&amp;"*",수납!$E:$E,""))</f>
        <v/>
      </c>
      <c r="N412" s="14">
        <f>IF(원생!$A410="","",SUMIFS(수납!$F:$F,수납!$C:$C,원생!$A410,수납!$D:$D,IF(원생!$G410="","",원생!$G410),수납!$B:$B,$B$1&amp;"-"&amp;TEXT(12,"00")&amp;"*",수납!$E:$E,"수강료")+SUMIFS(수납!$F:$F,수납!$C:$C,원생!$A410,수납!$D:$D,IF(원생!$G410="","",원생!$G410),수납!$B:$B,$B$1&amp;"-"&amp;TEXT(12,"00")&amp;"*",수납!$E:$E,""))</f>
        <v/>
      </c>
      <c r="O412">
        <f>IF(원생!$I410="","",원생!$I410)</f>
        <v/>
      </c>
      <c r="P412">
        <f>IF($A412="","",IF(AND($B412&gt;0,C412&lt;$B412,DATE($B$1,1,1)&lt;=TODAY(),OR($O412="",$O412&gt;=DATE($B$1,1,1)),OR(COUNTIF($C412:C412,"&gt;0")&gt;0,DATE($B$1,1,1)=DATE(YEAR(TODAY()),MONTH(TODAY()),1))),1,0))</f>
        <v/>
      </c>
      <c r="Q412">
        <f>IF($A412="","",IF(AND($B412&gt;0,D412&lt;$B412,DATE($B$1,2,1)&lt;=TODAY(),OR($O412="",$O412&gt;=DATE($B$1,2,1)),OR(COUNTIF($C412:D412,"&gt;0")&gt;0,DATE($B$1,2,1)=DATE(YEAR(TODAY()),MONTH(TODAY()),1))),1,0))</f>
        <v/>
      </c>
      <c r="R412">
        <f>IF($A412="","",IF(AND($B412&gt;0,E412&lt;$B412,DATE($B$1,3,1)&lt;=TODAY(),OR($O412="",$O412&gt;=DATE($B$1,3,1)),OR(COUNTIF($C412:E412,"&gt;0")&gt;0,DATE($B$1,3,1)=DATE(YEAR(TODAY()),MONTH(TODAY()),1))),1,0))</f>
        <v/>
      </c>
      <c r="S412">
        <f>IF($A412="","",IF(AND($B412&gt;0,F412&lt;$B412,DATE($B$1,4,1)&lt;=TODAY(),OR($O412="",$O412&gt;=DATE($B$1,4,1)),OR(COUNTIF($C412:F412,"&gt;0")&gt;0,DATE($B$1,4,1)=DATE(YEAR(TODAY()),MONTH(TODAY()),1))),1,0))</f>
        <v/>
      </c>
      <c r="T412">
        <f>IF($A412="","",IF(AND($B412&gt;0,G412&lt;$B412,DATE($B$1,5,1)&lt;=TODAY(),OR($O412="",$O412&gt;=DATE($B$1,5,1)),OR(COUNTIF($C412:G412,"&gt;0")&gt;0,DATE($B$1,5,1)=DATE(YEAR(TODAY()),MONTH(TODAY()),1))),1,0))</f>
        <v/>
      </c>
      <c r="U412">
        <f>IF($A412="","",IF(AND($B412&gt;0,H412&lt;$B412,DATE($B$1,6,1)&lt;=TODAY(),OR($O412="",$O412&gt;=DATE($B$1,6,1)),OR(COUNTIF($C412:H412,"&gt;0")&gt;0,DATE($B$1,6,1)=DATE(YEAR(TODAY()),MONTH(TODAY()),1))),1,0))</f>
        <v/>
      </c>
      <c r="V412">
        <f>IF($A412="","",IF(AND($B412&gt;0,I412&lt;$B412,DATE($B$1,7,1)&lt;=TODAY(),OR($O412="",$O412&gt;=DATE($B$1,7,1)),OR(COUNTIF($C412:I412,"&gt;0")&gt;0,DATE($B$1,7,1)=DATE(YEAR(TODAY()),MONTH(TODAY()),1))),1,0))</f>
        <v/>
      </c>
      <c r="W412">
        <f>IF($A412="","",IF(AND($B412&gt;0,J412&lt;$B412,DATE($B$1,8,1)&lt;=TODAY(),OR($O412="",$O412&gt;=DATE($B$1,8,1)),OR(COUNTIF($C412:J412,"&gt;0")&gt;0,DATE($B$1,8,1)=DATE(YEAR(TODAY()),MONTH(TODAY()),1))),1,0))</f>
        <v/>
      </c>
      <c r="X412">
        <f>IF($A412="","",IF(AND($B412&gt;0,K412&lt;$B412,DATE($B$1,9,1)&lt;=TODAY(),OR($O412="",$O412&gt;=DATE($B$1,9,1)),OR(COUNTIF($C412:K412,"&gt;0")&gt;0,DATE($B$1,9,1)=DATE(YEAR(TODAY()),MONTH(TODAY()),1))),1,0))</f>
        <v/>
      </c>
      <c r="Y412">
        <f>IF($A412="","",IF(AND($B412&gt;0,L412&lt;$B412,DATE($B$1,10,1)&lt;=TODAY(),OR($O412="",$O412&gt;=DATE($B$1,10,1)),OR(COUNTIF($C412:L412,"&gt;0")&gt;0,DATE($B$1,10,1)=DATE(YEAR(TODAY()),MONTH(TODAY()),1))),1,0))</f>
        <v/>
      </c>
      <c r="Z412">
        <f>IF($A412="","",IF(AND($B412&gt;0,M412&lt;$B412,DATE($B$1,11,1)&lt;=TODAY(),OR($O412="",$O412&gt;=DATE($B$1,11,1)),OR(COUNTIF($C412:M412,"&gt;0")&gt;0,DATE($B$1,11,1)=DATE(YEAR(TODAY()),MONTH(TODAY()),1))),1,0))</f>
        <v/>
      </c>
      <c r="AA412">
        <f>IF($A412="","",IF(AND($B412&gt;0,N412&lt;$B412,DATE($B$1,12,1)&lt;=TODAY(),OR($O412="",$O412&gt;=DATE($B$1,12,1)),OR(COUNTIF($C412:N412,"&gt;0")&gt;0,DATE($B$1,12,1)=DATE(YEAR(TODAY()),MONTH(TODAY()),1))),1,0))</f>
        <v/>
      </c>
    </row>
    <row r="413">
      <c r="A413" s="13">
        <f>IF(원생!$A411="","",원생!$A411&amp;IF(원생!$G411="",""," ("&amp;원생!$G411&amp;")"))</f>
        <v/>
      </c>
      <c r="B413" s="8">
        <f>IF(원생!$A411="","",원생!$F411)</f>
        <v/>
      </c>
      <c r="C413" s="14">
        <f>IF(원생!$A411="","",SUMIFS(수납!$F:$F,수납!$C:$C,원생!$A411,수납!$D:$D,IF(원생!$G411="","",원생!$G411),수납!$B:$B,$B$1&amp;"-"&amp;TEXT(1,"00")&amp;"*",수납!$E:$E,"수강료")+SUMIFS(수납!$F:$F,수납!$C:$C,원생!$A411,수납!$D:$D,IF(원생!$G411="","",원생!$G411),수납!$B:$B,$B$1&amp;"-"&amp;TEXT(1,"00")&amp;"*",수납!$E:$E,""))</f>
        <v/>
      </c>
      <c r="D413" s="14">
        <f>IF(원생!$A411="","",SUMIFS(수납!$F:$F,수납!$C:$C,원생!$A411,수납!$D:$D,IF(원생!$G411="","",원생!$G411),수납!$B:$B,$B$1&amp;"-"&amp;TEXT(2,"00")&amp;"*",수납!$E:$E,"수강료")+SUMIFS(수납!$F:$F,수납!$C:$C,원생!$A411,수납!$D:$D,IF(원생!$G411="","",원생!$G411),수납!$B:$B,$B$1&amp;"-"&amp;TEXT(2,"00")&amp;"*",수납!$E:$E,""))</f>
        <v/>
      </c>
      <c r="E413" s="14">
        <f>IF(원생!$A411="","",SUMIFS(수납!$F:$F,수납!$C:$C,원생!$A411,수납!$D:$D,IF(원생!$G411="","",원생!$G411),수납!$B:$B,$B$1&amp;"-"&amp;TEXT(3,"00")&amp;"*",수납!$E:$E,"수강료")+SUMIFS(수납!$F:$F,수납!$C:$C,원생!$A411,수납!$D:$D,IF(원생!$G411="","",원생!$G411),수납!$B:$B,$B$1&amp;"-"&amp;TEXT(3,"00")&amp;"*",수납!$E:$E,""))</f>
        <v/>
      </c>
      <c r="F413" s="14">
        <f>IF(원생!$A411="","",SUMIFS(수납!$F:$F,수납!$C:$C,원생!$A411,수납!$D:$D,IF(원생!$G411="","",원생!$G411),수납!$B:$B,$B$1&amp;"-"&amp;TEXT(4,"00")&amp;"*",수납!$E:$E,"수강료")+SUMIFS(수납!$F:$F,수납!$C:$C,원생!$A411,수납!$D:$D,IF(원생!$G411="","",원생!$G411),수납!$B:$B,$B$1&amp;"-"&amp;TEXT(4,"00")&amp;"*",수납!$E:$E,""))</f>
        <v/>
      </c>
      <c r="G413" s="14">
        <f>IF(원생!$A411="","",SUMIFS(수납!$F:$F,수납!$C:$C,원생!$A411,수납!$D:$D,IF(원생!$G411="","",원생!$G411),수납!$B:$B,$B$1&amp;"-"&amp;TEXT(5,"00")&amp;"*",수납!$E:$E,"수강료")+SUMIFS(수납!$F:$F,수납!$C:$C,원생!$A411,수납!$D:$D,IF(원생!$G411="","",원생!$G411),수납!$B:$B,$B$1&amp;"-"&amp;TEXT(5,"00")&amp;"*",수납!$E:$E,""))</f>
        <v/>
      </c>
      <c r="H413" s="14">
        <f>IF(원생!$A411="","",SUMIFS(수납!$F:$F,수납!$C:$C,원생!$A411,수납!$D:$D,IF(원생!$G411="","",원생!$G411),수납!$B:$B,$B$1&amp;"-"&amp;TEXT(6,"00")&amp;"*",수납!$E:$E,"수강료")+SUMIFS(수납!$F:$F,수납!$C:$C,원생!$A411,수납!$D:$D,IF(원생!$G411="","",원생!$G411),수납!$B:$B,$B$1&amp;"-"&amp;TEXT(6,"00")&amp;"*",수납!$E:$E,""))</f>
        <v/>
      </c>
      <c r="I413" s="14">
        <f>IF(원생!$A411="","",SUMIFS(수납!$F:$F,수납!$C:$C,원생!$A411,수납!$D:$D,IF(원생!$G411="","",원생!$G411),수납!$B:$B,$B$1&amp;"-"&amp;TEXT(7,"00")&amp;"*",수납!$E:$E,"수강료")+SUMIFS(수납!$F:$F,수납!$C:$C,원생!$A411,수납!$D:$D,IF(원생!$G411="","",원생!$G411),수납!$B:$B,$B$1&amp;"-"&amp;TEXT(7,"00")&amp;"*",수납!$E:$E,""))</f>
        <v/>
      </c>
      <c r="J413" s="14">
        <f>IF(원생!$A411="","",SUMIFS(수납!$F:$F,수납!$C:$C,원생!$A411,수납!$D:$D,IF(원생!$G411="","",원생!$G411),수납!$B:$B,$B$1&amp;"-"&amp;TEXT(8,"00")&amp;"*",수납!$E:$E,"수강료")+SUMIFS(수납!$F:$F,수납!$C:$C,원생!$A411,수납!$D:$D,IF(원생!$G411="","",원생!$G411),수납!$B:$B,$B$1&amp;"-"&amp;TEXT(8,"00")&amp;"*",수납!$E:$E,""))</f>
        <v/>
      </c>
      <c r="K413" s="14">
        <f>IF(원생!$A411="","",SUMIFS(수납!$F:$F,수납!$C:$C,원생!$A411,수납!$D:$D,IF(원생!$G411="","",원생!$G411),수납!$B:$B,$B$1&amp;"-"&amp;TEXT(9,"00")&amp;"*",수납!$E:$E,"수강료")+SUMIFS(수납!$F:$F,수납!$C:$C,원생!$A411,수납!$D:$D,IF(원생!$G411="","",원생!$G411),수납!$B:$B,$B$1&amp;"-"&amp;TEXT(9,"00")&amp;"*",수납!$E:$E,""))</f>
        <v/>
      </c>
      <c r="L413" s="14">
        <f>IF(원생!$A411="","",SUMIFS(수납!$F:$F,수납!$C:$C,원생!$A411,수납!$D:$D,IF(원생!$G411="","",원생!$G411),수납!$B:$B,$B$1&amp;"-"&amp;TEXT(10,"00")&amp;"*",수납!$E:$E,"수강료")+SUMIFS(수납!$F:$F,수납!$C:$C,원생!$A411,수납!$D:$D,IF(원생!$G411="","",원생!$G411),수납!$B:$B,$B$1&amp;"-"&amp;TEXT(10,"00")&amp;"*",수납!$E:$E,""))</f>
        <v/>
      </c>
      <c r="M413" s="14">
        <f>IF(원생!$A411="","",SUMIFS(수납!$F:$F,수납!$C:$C,원생!$A411,수납!$D:$D,IF(원생!$G411="","",원생!$G411),수납!$B:$B,$B$1&amp;"-"&amp;TEXT(11,"00")&amp;"*",수납!$E:$E,"수강료")+SUMIFS(수납!$F:$F,수납!$C:$C,원생!$A411,수납!$D:$D,IF(원생!$G411="","",원생!$G411),수납!$B:$B,$B$1&amp;"-"&amp;TEXT(11,"00")&amp;"*",수납!$E:$E,""))</f>
        <v/>
      </c>
      <c r="N413" s="14">
        <f>IF(원생!$A411="","",SUMIFS(수납!$F:$F,수납!$C:$C,원생!$A411,수납!$D:$D,IF(원생!$G411="","",원생!$G411),수납!$B:$B,$B$1&amp;"-"&amp;TEXT(12,"00")&amp;"*",수납!$E:$E,"수강료")+SUMIFS(수납!$F:$F,수납!$C:$C,원생!$A411,수납!$D:$D,IF(원생!$G411="","",원생!$G411),수납!$B:$B,$B$1&amp;"-"&amp;TEXT(12,"00")&amp;"*",수납!$E:$E,""))</f>
        <v/>
      </c>
      <c r="O413">
        <f>IF(원생!$I411="","",원생!$I411)</f>
        <v/>
      </c>
      <c r="P413">
        <f>IF($A413="","",IF(AND($B413&gt;0,C413&lt;$B413,DATE($B$1,1,1)&lt;=TODAY(),OR($O413="",$O413&gt;=DATE($B$1,1,1)),OR(COUNTIF($C413:C413,"&gt;0")&gt;0,DATE($B$1,1,1)=DATE(YEAR(TODAY()),MONTH(TODAY()),1))),1,0))</f>
        <v/>
      </c>
      <c r="Q413">
        <f>IF($A413="","",IF(AND($B413&gt;0,D413&lt;$B413,DATE($B$1,2,1)&lt;=TODAY(),OR($O413="",$O413&gt;=DATE($B$1,2,1)),OR(COUNTIF($C413:D413,"&gt;0")&gt;0,DATE($B$1,2,1)=DATE(YEAR(TODAY()),MONTH(TODAY()),1))),1,0))</f>
        <v/>
      </c>
      <c r="R413">
        <f>IF($A413="","",IF(AND($B413&gt;0,E413&lt;$B413,DATE($B$1,3,1)&lt;=TODAY(),OR($O413="",$O413&gt;=DATE($B$1,3,1)),OR(COUNTIF($C413:E413,"&gt;0")&gt;0,DATE($B$1,3,1)=DATE(YEAR(TODAY()),MONTH(TODAY()),1))),1,0))</f>
        <v/>
      </c>
      <c r="S413">
        <f>IF($A413="","",IF(AND($B413&gt;0,F413&lt;$B413,DATE($B$1,4,1)&lt;=TODAY(),OR($O413="",$O413&gt;=DATE($B$1,4,1)),OR(COUNTIF($C413:F413,"&gt;0")&gt;0,DATE($B$1,4,1)=DATE(YEAR(TODAY()),MONTH(TODAY()),1))),1,0))</f>
        <v/>
      </c>
      <c r="T413">
        <f>IF($A413="","",IF(AND($B413&gt;0,G413&lt;$B413,DATE($B$1,5,1)&lt;=TODAY(),OR($O413="",$O413&gt;=DATE($B$1,5,1)),OR(COUNTIF($C413:G413,"&gt;0")&gt;0,DATE($B$1,5,1)=DATE(YEAR(TODAY()),MONTH(TODAY()),1))),1,0))</f>
        <v/>
      </c>
      <c r="U413">
        <f>IF($A413="","",IF(AND($B413&gt;0,H413&lt;$B413,DATE($B$1,6,1)&lt;=TODAY(),OR($O413="",$O413&gt;=DATE($B$1,6,1)),OR(COUNTIF($C413:H413,"&gt;0")&gt;0,DATE($B$1,6,1)=DATE(YEAR(TODAY()),MONTH(TODAY()),1))),1,0))</f>
        <v/>
      </c>
      <c r="V413">
        <f>IF($A413="","",IF(AND($B413&gt;0,I413&lt;$B413,DATE($B$1,7,1)&lt;=TODAY(),OR($O413="",$O413&gt;=DATE($B$1,7,1)),OR(COUNTIF($C413:I413,"&gt;0")&gt;0,DATE($B$1,7,1)=DATE(YEAR(TODAY()),MONTH(TODAY()),1))),1,0))</f>
        <v/>
      </c>
      <c r="W413">
        <f>IF($A413="","",IF(AND($B413&gt;0,J413&lt;$B413,DATE($B$1,8,1)&lt;=TODAY(),OR($O413="",$O413&gt;=DATE($B$1,8,1)),OR(COUNTIF($C413:J413,"&gt;0")&gt;0,DATE($B$1,8,1)=DATE(YEAR(TODAY()),MONTH(TODAY()),1))),1,0))</f>
        <v/>
      </c>
      <c r="X413">
        <f>IF($A413="","",IF(AND($B413&gt;0,K413&lt;$B413,DATE($B$1,9,1)&lt;=TODAY(),OR($O413="",$O413&gt;=DATE($B$1,9,1)),OR(COUNTIF($C413:K413,"&gt;0")&gt;0,DATE($B$1,9,1)=DATE(YEAR(TODAY()),MONTH(TODAY()),1))),1,0))</f>
        <v/>
      </c>
      <c r="Y413">
        <f>IF($A413="","",IF(AND($B413&gt;0,L413&lt;$B413,DATE($B$1,10,1)&lt;=TODAY(),OR($O413="",$O413&gt;=DATE($B$1,10,1)),OR(COUNTIF($C413:L413,"&gt;0")&gt;0,DATE($B$1,10,1)=DATE(YEAR(TODAY()),MONTH(TODAY()),1))),1,0))</f>
        <v/>
      </c>
      <c r="Z413">
        <f>IF($A413="","",IF(AND($B413&gt;0,M413&lt;$B413,DATE($B$1,11,1)&lt;=TODAY(),OR($O413="",$O413&gt;=DATE($B$1,11,1)),OR(COUNTIF($C413:M413,"&gt;0")&gt;0,DATE($B$1,11,1)=DATE(YEAR(TODAY()),MONTH(TODAY()),1))),1,0))</f>
        <v/>
      </c>
      <c r="AA413">
        <f>IF($A413="","",IF(AND($B413&gt;0,N413&lt;$B413,DATE($B$1,12,1)&lt;=TODAY(),OR($O413="",$O413&gt;=DATE($B$1,12,1)),OR(COUNTIF($C413:N413,"&gt;0")&gt;0,DATE($B$1,12,1)=DATE(YEAR(TODAY()),MONTH(TODAY()),1))),1,0))</f>
        <v/>
      </c>
    </row>
    <row r="414">
      <c r="A414" s="13">
        <f>IF(원생!$A412="","",원생!$A412&amp;IF(원생!$G412="",""," ("&amp;원생!$G412&amp;")"))</f>
        <v/>
      </c>
      <c r="B414" s="8">
        <f>IF(원생!$A412="","",원생!$F412)</f>
        <v/>
      </c>
      <c r="C414" s="14">
        <f>IF(원생!$A412="","",SUMIFS(수납!$F:$F,수납!$C:$C,원생!$A412,수납!$D:$D,IF(원생!$G412="","",원생!$G412),수납!$B:$B,$B$1&amp;"-"&amp;TEXT(1,"00")&amp;"*",수납!$E:$E,"수강료")+SUMIFS(수납!$F:$F,수납!$C:$C,원생!$A412,수납!$D:$D,IF(원생!$G412="","",원생!$G412),수납!$B:$B,$B$1&amp;"-"&amp;TEXT(1,"00")&amp;"*",수납!$E:$E,""))</f>
        <v/>
      </c>
      <c r="D414" s="14">
        <f>IF(원생!$A412="","",SUMIFS(수납!$F:$F,수납!$C:$C,원생!$A412,수납!$D:$D,IF(원생!$G412="","",원생!$G412),수납!$B:$B,$B$1&amp;"-"&amp;TEXT(2,"00")&amp;"*",수납!$E:$E,"수강료")+SUMIFS(수납!$F:$F,수납!$C:$C,원생!$A412,수납!$D:$D,IF(원생!$G412="","",원생!$G412),수납!$B:$B,$B$1&amp;"-"&amp;TEXT(2,"00")&amp;"*",수납!$E:$E,""))</f>
        <v/>
      </c>
      <c r="E414" s="14">
        <f>IF(원생!$A412="","",SUMIFS(수납!$F:$F,수납!$C:$C,원생!$A412,수납!$D:$D,IF(원생!$G412="","",원생!$G412),수납!$B:$B,$B$1&amp;"-"&amp;TEXT(3,"00")&amp;"*",수납!$E:$E,"수강료")+SUMIFS(수납!$F:$F,수납!$C:$C,원생!$A412,수납!$D:$D,IF(원생!$G412="","",원생!$G412),수납!$B:$B,$B$1&amp;"-"&amp;TEXT(3,"00")&amp;"*",수납!$E:$E,""))</f>
        <v/>
      </c>
      <c r="F414" s="14">
        <f>IF(원생!$A412="","",SUMIFS(수납!$F:$F,수납!$C:$C,원생!$A412,수납!$D:$D,IF(원생!$G412="","",원생!$G412),수납!$B:$B,$B$1&amp;"-"&amp;TEXT(4,"00")&amp;"*",수납!$E:$E,"수강료")+SUMIFS(수납!$F:$F,수납!$C:$C,원생!$A412,수납!$D:$D,IF(원생!$G412="","",원생!$G412),수납!$B:$B,$B$1&amp;"-"&amp;TEXT(4,"00")&amp;"*",수납!$E:$E,""))</f>
        <v/>
      </c>
      <c r="G414" s="14">
        <f>IF(원생!$A412="","",SUMIFS(수납!$F:$F,수납!$C:$C,원생!$A412,수납!$D:$D,IF(원생!$G412="","",원생!$G412),수납!$B:$B,$B$1&amp;"-"&amp;TEXT(5,"00")&amp;"*",수납!$E:$E,"수강료")+SUMIFS(수납!$F:$F,수납!$C:$C,원생!$A412,수납!$D:$D,IF(원생!$G412="","",원생!$G412),수납!$B:$B,$B$1&amp;"-"&amp;TEXT(5,"00")&amp;"*",수납!$E:$E,""))</f>
        <v/>
      </c>
      <c r="H414" s="14">
        <f>IF(원생!$A412="","",SUMIFS(수납!$F:$F,수납!$C:$C,원생!$A412,수납!$D:$D,IF(원생!$G412="","",원생!$G412),수납!$B:$B,$B$1&amp;"-"&amp;TEXT(6,"00")&amp;"*",수납!$E:$E,"수강료")+SUMIFS(수납!$F:$F,수납!$C:$C,원생!$A412,수납!$D:$D,IF(원생!$G412="","",원생!$G412),수납!$B:$B,$B$1&amp;"-"&amp;TEXT(6,"00")&amp;"*",수납!$E:$E,""))</f>
        <v/>
      </c>
      <c r="I414" s="14">
        <f>IF(원생!$A412="","",SUMIFS(수납!$F:$F,수납!$C:$C,원생!$A412,수납!$D:$D,IF(원생!$G412="","",원생!$G412),수납!$B:$B,$B$1&amp;"-"&amp;TEXT(7,"00")&amp;"*",수납!$E:$E,"수강료")+SUMIFS(수납!$F:$F,수납!$C:$C,원생!$A412,수납!$D:$D,IF(원생!$G412="","",원생!$G412),수납!$B:$B,$B$1&amp;"-"&amp;TEXT(7,"00")&amp;"*",수납!$E:$E,""))</f>
        <v/>
      </c>
      <c r="J414" s="14">
        <f>IF(원생!$A412="","",SUMIFS(수납!$F:$F,수납!$C:$C,원생!$A412,수납!$D:$D,IF(원생!$G412="","",원생!$G412),수납!$B:$B,$B$1&amp;"-"&amp;TEXT(8,"00")&amp;"*",수납!$E:$E,"수강료")+SUMIFS(수납!$F:$F,수납!$C:$C,원생!$A412,수납!$D:$D,IF(원생!$G412="","",원생!$G412),수납!$B:$B,$B$1&amp;"-"&amp;TEXT(8,"00")&amp;"*",수납!$E:$E,""))</f>
        <v/>
      </c>
      <c r="K414" s="14">
        <f>IF(원생!$A412="","",SUMIFS(수납!$F:$F,수납!$C:$C,원생!$A412,수납!$D:$D,IF(원생!$G412="","",원생!$G412),수납!$B:$B,$B$1&amp;"-"&amp;TEXT(9,"00")&amp;"*",수납!$E:$E,"수강료")+SUMIFS(수납!$F:$F,수납!$C:$C,원생!$A412,수납!$D:$D,IF(원생!$G412="","",원생!$G412),수납!$B:$B,$B$1&amp;"-"&amp;TEXT(9,"00")&amp;"*",수납!$E:$E,""))</f>
        <v/>
      </c>
      <c r="L414" s="14">
        <f>IF(원생!$A412="","",SUMIFS(수납!$F:$F,수납!$C:$C,원생!$A412,수납!$D:$D,IF(원생!$G412="","",원생!$G412),수납!$B:$B,$B$1&amp;"-"&amp;TEXT(10,"00")&amp;"*",수납!$E:$E,"수강료")+SUMIFS(수납!$F:$F,수납!$C:$C,원생!$A412,수납!$D:$D,IF(원생!$G412="","",원생!$G412),수납!$B:$B,$B$1&amp;"-"&amp;TEXT(10,"00")&amp;"*",수납!$E:$E,""))</f>
        <v/>
      </c>
      <c r="M414" s="14">
        <f>IF(원생!$A412="","",SUMIFS(수납!$F:$F,수납!$C:$C,원생!$A412,수납!$D:$D,IF(원생!$G412="","",원생!$G412),수납!$B:$B,$B$1&amp;"-"&amp;TEXT(11,"00")&amp;"*",수납!$E:$E,"수강료")+SUMIFS(수납!$F:$F,수납!$C:$C,원생!$A412,수납!$D:$D,IF(원생!$G412="","",원생!$G412),수납!$B:$B,$B$1&amp;"-"&amp;TEXT(11,"00")&amp;"*",수납!$E:$E,""))</f>
        <v/>
      </c>
      <c r="N414" s="14">
        <f>IF(원생!$A412="","",SUMIFS(수납!$F:$F,수납!$C:$C,원생!$A412,수납!$D:$D,IF(원생!$G412="","",원생!$G412),수납!$B:$B,$B$1&amp;"-"&amp;TEXT(12,"00")&amp;"*",수납!$E:$E,"수강료")+SUMIFS(수납!$F:$F,수납!$C:$C,원생!$A412,수납!$D:$D,IF(원생!$G412="","",원생!$G412),수납!$B:$B,$B$1&amp;"-"&amp;TEXT(12,"00")&amp;"*",수납!$E:$E,""))</f>
        <v/>
      </c>
      <c r="O414">
        <f>IF(원생!$I412="","",원생!$I412)</f>
        <v/>
      </c>
      <c r="P414">
        <f>IF($A414="","",IF(AND($B414&gt;0,C414&lt;$B414,DATE($B$1,1,1)&lt;=TODAY(),OR($O414="",$O414&gt;=DATE($B$1,1,1)),OR(COUNTIF($C414:C414,"&gt;0")&gt;0,DATE($B$1,1,1)=DATE(YEAR(TODAY()),MONTH(TODAY()),1))),1,0))</f>
        <v/>
      </c>
      <c r="Q414">
        <f>IF($A414="","",IF(AND($B414&gt;0,D414&lt;$B414,DATE($B$1,2,1)&lt;=TODAY(),OR($O414="",$O414&gt;=DATE($B$1,2,1)),OR(COUNTIF($C414:D414,"&gt;0")&gt;0,DATE($B$1,2,1)=DATE(YEAR(TODAY()),MONTH(TODAY()),1))),1,0))</f>
        <v/>
      </c>
      <c r="R414">
        <f>IF($A414="","",IF(AND($B414&gt;0,E414&lt;$B414,DATE($B$1,3,1)&lt;=TODAY(),OR($O414="",$O414&gt;=DATE($B$1,3,1)),OR(COUNTIF($C414:E414,"&gt;0")&gt;0,DATE($B$1,3,1)=DATE(YEAR(TODAY()),MONTH(TODAY()),1))),1,0))</f>
        <v/>
      </c>
      <c r="S414">
        <f>IF($A414="","",IF(AND($B414&gt;0,F414&lt;$B414,DATE($B$1,4,1)&lt;=TODAY(),OR($O414="",$O414&gt;=DATE($B$1,4,1)),OR(COUNTIF($C414:F414,"&gt;0")&gt;0,DATE($B$1,4,1)=DATE(YEAR(TODAY()),MONTH(TODAY()),1))),1,0))</f>
        <v/>
      </c>
      <c r="T414">
        <f>IF($A414="","",IF(AND($B414&gt;0,G414&lt;$B414,DATE($B$1,5,1)&lt;=TODAY(),OR($O414="",$O414&gt;=DATE($B$1,5,1)),OR(COUNTIF($C414:G414,"&gt;0")&gt;0,DATE($B$1,5,1)=DATE(YEAR(TODAY()),MONTH(TODAY()),1))),1,0))</f>
        <v/>
      </c>
      <c r="U414">
        <f>IF($A414="","",IF(AND($B414&gt;0,H414&lt;$B414,DATE($B$1,6,1)&lt;=TODAY(),OR($O414="",$O414&gt;=DATE($B$1,6,1)),OR(COUNTIF($C414:H414,"&gt;0")&gt;0,DATE($B$1,6,1)=DATE(YEAR(TODAY()),MONTH(TODAY()),1))),1,0))</f>
        <v/>
      </c>
      <c r="V414">
        <f>IF($A414="","",IF(AND($B414&gt;0,I414&lt;$B414,DATE($B$1,7,1)&lt;=TODAY(),OR($O414="",$O414&gt;=DATE($B$1,7,1)),OR(COUNTIF($C414:I414,"&gt;0")&gt;0,DATE($B$1,7,1)=DATE(YEAR(TODAY()),MONTH(TODAY()),1))),1,0))</f>
        <v/>
      </c>
      <c r="W414">
        <f>IF($A414="","",IF(AND($B414&gt;0,J414&lt;$B414,DATE($B$1,8,1)&lt;=TODAY(),OR($O414="",$O414&gt;=DATE($B$1,8,1)),OR(COUNTIF($C414:J414,"&gt;0")&gt;0,DATE($B$1,8,1)=DATE(YEAR(TODAY()),MONTH(TODAY()),1))),1,0))</f>
        <v/>
      </c>
      <c r="X414">
        <f>IF($A414="","",IF(AND($B414&gt;0,K414&lt;$B414,DATE($B$1,9,1)&lt;=TODAY(),OR($O414="",$O414&gt;=DATE($B$1,9,1)),OR(COUNTIF($C414:K414,"&gt;0")&gt;0,DATE($B$1,9,1)=DATE(YEAR(TODAY()),MONTH(TODAY()),1))),1,0))</f>
        <v/>
      </c>
      <c r="Y414">
        <f>IF($A414="","",IF(AND($B414&gt;0,L414&lt;$B414,DATE($B$1,10,1)&lt;=TODAY(),OR($O414="",$O414&gt;=DATE($B$1,10,1)),OR(COUNTIF($C414:L414,"&gt;0")&gt;0,DATE($B$1,10,1)=DATE(YEAR(TODAY()),MONTH(TODAY()),1))),1,0))</f>
        <v/>
      </c>
      <c r="Z414">
        <f>IF($A414="","",IF(AND($B414&gt;0,M414&lt;$B414,DATE($B$1,11,1)&lt;=TODAY(),OR($O414="",$O414&gt;=DATE($B$1,11,1)),OR(COUNTIF($C414:M414,"&gt;0")&gt;0,DATE($B$1,11,1)=DATE(YEAR(TODAY()),MONTH(TODAY()),1))),1,0))</f>
        <v/>
      </c>
      <c r="AA414">
        <f>IF($A414="","",IF(AND($B414&gt;0,N414&lt;$B414,DATE($B$1,12,1)&lt;=TODAY(),OR($O414="",$O414&gt;=DATE($B$1,12,1)),OR(COUNTIF($C414:N414,"&gt;0")&gt;0,DATE($B$1,12,1)=DATE(YEAR(TODAY()),MONTH(TODAY()),1))),1,0))</f>
        <v/>
      </c>
    </row>
    <row r="415">
      <c r="A415" s="13">
        <f>IF(원생!$A413="","",원생!$A413&amp;IF(원생!$G413="",""," ("&amp;원생!$G413&amp;")"))</f>
        <v/>
      </c>
      <c r="B415" s="8">
        <f>IF(원생!$A413="","",원생!$F413)</f>
        <v/>
      </c>
      <c r="C415" s="14">
        <f>IF(원생!$A413="","",SUMIFS(수납!$F:$F,수납!$C:$C,원생!$A413,수납!$D:$D,IF(원생!$G413="","",원생!$G413),수납!$B:$B,$B$1&amp;"-"&amp;TEXT(1,"00")&amp;"*",수납!$E:$E,"수강료")+SUMIFS(수납!$F:$F,수납!$C:$C,원생!$A413,수납!$D:$D,IF(원생!$G413="","",원생!$G413),수납!$B:$B,$B$1&amp;"-"&amp;TEXT(1,"00")&amp;"*",수납!$E:$E,""))</f>
        <v/>
      </c>
      <c r="D415" s="14">
        <f>IF(원생!$A413="","",SUMIFS(수납!$F:$F,수납!$C:$C,원생!$A413,수납!$D:$D,IF(원생!$G413="","",원생!$G413),수납!$B:$B,$B$1&amp;"-"&amp;TEXT(2,"00")&amp;"*",수납!$E:$E,"수강료")+SUMIFS(수납!$F:$F,수납!$C:$C,원생!$A413,수납!$D:$D,IF(원생!$G413="","",원생!$G413),수납!$B:$B,$B$1&amp;"-"&amp;TEXT(2,"00")&amp;"*",수납!$E:$E,""))</f>
        <v/>
      </c>
      <c r="E415" s="14">
        <f>IF(원생!$A413="","",SUMIFS(수납!$F:$F,수납!$C:$C,원생!$A413,수납!$D:$D,IF(원생!$G413="","",원생!$G413),수납!$B:$B,$B$1&amp;"-"&amp;TEXT(3,"00")&amp;"*",수납!$E:$E,"수강료")+SUMIFS(수납!$F:$F,수납!$C:$C,원생!$A413,수납!$D:$D,IF(원생!$G413="","",원생!$G413),수납!$B:$B,$B$1&amp;"-"&amp;TEXT(3,"00")&amp;"*",수납!$E:$E,""))</f>
        <v/>
      </c>
      <c r="F415" s="14">
        <f>IF(원생!$A413="","",SUMIFS(수납!$F:$F,수납!$C:$C,원생!$A413,수납!$D:$D,IF(원생!$G413="","",원생!$G413),수납!$B:$B,$B$1&amp;"-"&amp;TEXT(4,"00")&amp;"*",수납!$E:$E,"수강료")+SUMIFS(수납!$F:$F,수납!$C:$C,원생!$A413,수납!$D:$D,IF(원생!$G413="","",원생!$G413),수납!$B:$B,$B$1&amp;"-"&amp;TEXT(4,"00")&amp;"*",수납!$E:$E,""))</f>
        <v/>
      </c>
      <c r="G415" s="14">
        <f>IF(원생!$A413="","",SUMIFS(수납!$F:$F,수납!$C:$C,원생!$A413,수납!$D:$D,IF(원생!$G413="","",원생!$G413),수납!$B:$B,$B$1&amp;"-"&amp;TEXT(5,"00")&amp;"*",수납!$E:$E,"수강료")+SUMIFS(수납!$F:$F,수납!$C:$C,원생!$A413,수납!$D:$D,IF(원생!$G413="","",원생!$G413),수납!$B:$B,$B$1&amp;"-"&amp;TEXT(5,"00")&amp;"*",수납!$E:$E,""))</f>
        <v/>
      </c>
      <c r="H415" s="14">
        <f>IF(원생!$A413="","",SUMIFS(수납!$F:$F,수납!$C:$C,원생!$A413,수납!$D:$D,IF(원생!$G413="","",원생!$G413),수납!$B:$B,$B$1&amp;"-"&amp;TEXT(6,"00")&amp;"*",수납!$E:$E,"수강료")+SUMIFS(수납!$F:$F,수납!$C:$C,원생!$A413,수납!$D:$D,IF(원생!$G413="","",원생!$G413),수납!$B:$B,$B$1&amp;"-"&amp;TEXT(6,"00")&amp;"*",수납!$E:$E,""))</f>
        <v/>
      </c>
      <c r="I415" s="14">
        <f>IF(원생!$A413="","",SUMIFS(수납!$F:$F,수납!$C:$C,원생!$A413,수납!$D:$D,IF(원생!$G413="","",원생!$G413),수납!$B:$B,$B$1&amp;"-"&amp;TEXT(7,"00")&amp;"*",수납!$E:$E,"수강료")+SUMIFS(수납!$F:$F,수납!$C:$C,원생!$A413,수납!$D:$D,IF(원생!$G413="","",원생!$G413),수납!$B:$B,$B$1&amp;"-"&amp;TEXT(7,"00")&amp;"*",수납!$E:$E,""))</f>
        <v/>
      </c>
      <c r="J415" s="14">
        <f>IF(원생!$A413="","",SUMIFS(수납!$F:$F,수납!$C:$C,원생!$A413,수납!$D:$D,IF(원생!$G413="","",원생!$G413),수납!$B:$B,$B$1&amp;"-"&amp;TEXT(8,"00")&amp;"*",수납!$E:$E,"수강료")+SUMIFS(수납!$F:$F,수납!$C:$C,원생!$A413,수납!$D:$D,IF(원생!$G413="","",원생!$G413),수납!$B:$B,$B$1&amp;"-"&amp;TEXT(8,"00")&amp;"*",수납!$E:$E,""))</f>
        <v/>
      </c>
      <c r="K415" s="14">
        <f>IF(원생!$A413="","",SUMIFS(수납!$F:$F,수납!$C:$C,원생!$A413,수납!$D:$D,IF(원생!$G413="","",원생!$G413),수납!$B:$B,$B$1&amp;"-"&amp;TEXT(9,"00")&amp;"*",수납!$E:$E,"수강료")+SUMIFS(수납!$F:$F,수납!$C:$C,원생!$A413,수납!$D:$D,IF(원생!$G413="","",원생!$G413),수납!$B:$B,$B$1&amp;"-"&amp;TEXT(9,"00")&amp;"*",수납!$E:$E,""))</f>
        <v/>
      </c>
      <c r="L415" s="14">
        <f>IF(원생!$A413="","",SUMIFS(수납!$F:$F,수납!$C:$C,원생!$A413,수납!$D:$D,IF(원생!$G413="","",원생!$G413),수납!$B:$B,$B$1&amp;"-"&amp;TEXT(10,"00")&amp;"*",수납!$E:$E,"수강료")+SUMIFS(수납!$F:$F,수납!$C:$C,원생!$A413,수납!$D:$D,IF(원생!$G413="","",원생!$G413),수납!$B:$B,$B$1&amp;"-"&amp;TEXT(10,"00")&amp;"*",수납!$E:$E,""))</f>
        <v/>
      </c>
      <c r="M415" s="14">
        <f>IF(원생!$A413="","",SUMIFS(수납!$F:$F,수납!$C:$C,원생!$A413,수납!$D:$D,IF(원생!$G413="","",원생!$G413),수납!$B:$B,$B$1&amp;"-"&amp;TEXT(11,"00")&amp;"*",수납!$E:$E,"수강료")+SUMIFS(수납!$F:$F,수납!$C:$C,원생!$A413,수납!$D:$D,IF(원생!$G413="","",원생!$G413),수납!$B:$B,$B$1&amp;"-"&amp;TEXT(11,"00")&amp;"*",수납!$E:$E,""))</f>
        <v/>
      </c>
      <c r="N415" s="14">
        <f>IF(원생!$A413="","",SUMIFS(수납!$F:$F,수납!$C:$C,원생!$A413,수납!$D:$D,IF(원생!$G413="","",원생!$G413),수납!$B:$B,$B$1&amp;"-"&amp;TEXT(12,"00")&amp;"*",수납!$E:$E,"수강료")+SUMIFS(수납!$F:$F,수납!$C:$C,원생!$A413,수납!$D:$D,IF(원생!$G413="","",원생!$G413),수납!$B:$B,$B$1&amp;"-"&amp;TEXT(12,"00")&amp;"*",수납!$E:$E,""))</f>
        <v/>
      </c>
      <c r="O415">
        <f>IF(원생!$I413="","",원생!$I413)</f>
        <v/>
      </c>
      <c r="P415">
        <f>IF($A415="","",IF(AND($B415&gt;0,C415&lt;$B415,DATE($B$1,1,1)&lt;=TODAY(),OR($O415="",$O415&gt;=DATE($B$1,1,1)),OR(COUNTIF($C415:C415,"&gt;0")&gt;0,DATE($B$1,1,1)=DATE(YEAR(TODAY()),MONTH(TODAY()),1))),1,0))</f>
        <v/>
      </c>
      <c r="Q415">
        <f>IF($A415="","",IF(AND($B415&gt;0,D415&lt;$B415,DATE($B$1,2,1)&lt;=TODAY(),OR($O415="",$O415&gt;=DATE($B$1,2,1)),OR(COUNTIF($C415:D415,"&gt;0")&gt;0,DATE($B$1,2,1)=DATE(YEAR(TODAY()),MONTH(TODAY()),1))),1,0))</f>
        <v/>
      </c>
      <c r="R415">
        <f>IF($A415="","",IF(AND($B415&gt;0,E415&lt;$B415,DATE($B$1,3,1)&lt;=TODAY(),OR($O415="",$O415&gt;=DATE($B$1,3,1)),OR(COUNTIF($C415:E415,"&gt;0")&gt;0,DATE($B$1,3,1)=DATE(YEAR(TODAY()),MONTH(TODAY()),1))),1,0))</f>
        <v/>
      </c>
      <c r="S415">
        <f>IF($A415="","",IF(AND($B415&gt;0,F415&lt;$B415,DATE($B$1,4,1)&lt;=TODAY(),OR($O415="",$O415&gt;=DATE($B$1,4,1)),OR(COUNTIF($C415:F415,"&gt;0")&gt;0,DATE($B$1,4,1)=DATE(YEAR(TODAY()),MONTH(TODAY()),1))),1,0))</f>
        <v/>
      </c>
      <c r="T415">
        <f>IF($A415="","",IF(AND($B415&gt;0,G415&lt;$B415,DATE($B$1,5,1)&lt;=TODAY(),OR($O415="",$O415&gt;=DATE($B$1,5,1)),OR(COUNTIF($C415:G415,"&gt;0")&gt;0,DATE($B$1,5,1)=DATE(YEAR(TODAY()),MONTH(TODAY()),1))),1,0))</f>
        <v/>
      </c>
      <c r="U415">
        <f>IF($A415="","",IF(AND($B415&gt;0,H415&lt;$B415,DATE($B$1,6,1)&lt;=TODAY(),OR($O415="",$O415&gt;=DATE($B$1,6,1)),OR(COUNTIF($C415:H415,"&gt;0")&gt;0,DATE($B$1,6,1)=DATE(YEAR(TODAY()),MONTH(TODAY()),1))),1,0))</f>
        <v/>
      </c>
      <c r="V415">
        <f>IF($A415="","",IF(AND($B415&gt;0,I415&lt;$B415,DATE($B$1,7,1)&lt;=TODAY(),OR($O415="",$O415&gt;=DATE($B$1,7,1)),OR(COUNTIF($C415:I415,"&gt;0")&gt;0,DATE($B$1,7,1)=DATE(YEAR(TODAY()),MONTH(TODAY()),1))),1,0))</f>
        <v/>
      </c>
      <c r="W415">
        <f>IF($A415="","",IF(AND($B415&gt;0,J415&lt;$B415,DATE($B$1,8,1)&lt;=TODAY(),OR($O415="",$O415&gt;=DATE($B$1,8,1)),OR(COUNTIF($C415:J415,"&gt;0")&gt;0,DATE($B$1,8,1)=DATE(YEAR(TODAY()),MONTH(TODAY()),1))),1,0))</f>
        <v/>
      </c>
      <c r="X415">
        <f>IF($A415="","",IF(AND($B415&gt;0,K415&lt;$B415,DATE($B$1,9,1)&lt;=TODAY(),OR($O415="",$O415&gt;=DATE($B$1,9,1)),OR(COUNTIF($C415:K415,"&gt;0")&gt;0,DATE($B$1,9,1)=DATE(YEAR(TODAY()),MONTH(TODAY()),1))),1,0))</f>
        <v/>
      </c>
      <c r="Y415">
        <f>IF($A415="","",IF(AND($B415&gt;0,L415&lt;$B415,DATE($B$1,10,1)&lt;=TODAY(),OR($O415="",$O415&gt;=DATE($B$1,10,1)),OR(COUNTIF($C415:L415,"&gt;0")&gt;0,DATE($B$1,10,1)=DATE(YEAR(TODAY()),MONTH(TODAY()),1))),1,0))</f>
        <v/>
      </c>
      <c r="Z415">
        <f>IF($A415="","",IF(AND($B415&gt;0,M415&lt;$B415,DATE($B$1,11,1)&lt;=TODAY(),OR($O415="",$O415&gt;=DATE($B$1,11,1)),OR(COUNTIF($C415:M415,"&gt;0")&gt;0,DATE($B$1,11,1)=DATE(YEAR(TODAY()),MONTH(TODAY()),1))),1,0))</f>
        <v/>
      </c>
      <c r="AA415">
        <f>IF($A415="","",IF(AND($B415&gt;0,N415&lt;$B415,DATE($B$1,12,1)&lt;=TODAY(),OR($O415="",$O415&gt;=DATE($B$1,12,1)),OR(COUNTIF($C415:N415,"&gt;0")&gt;0,DATE($B$1,12,1)=DATE(YEAR(TODAY()),MONTH(TODAY()),1))),1,0))</f>
        <v/>
      </c>
    </row>
    <row r="416">
      <c r="A416" s="13">
        <f>IF(원생!$A414="","",원생!$A414&amp;IF(원생!$G414="",""," ("&amp;원생!$G414&amp;")"))</f>
        <v/>
      </c>
      <c r="B416" s="8">
        <f>IF(원생!$A414="","",원생!$F414)</f>
        <v/>
      </c>
      <c r="C416" s="14">
        <f>IF(원생!$A414="","",SUMIFS(수납!$F:$F,수납!$C:$C,원생!$A414,수납!$D:$D,IF(원생!$G414="","",원생!$G414),수납!$B:$B,$B$1&amp;"-"&amp;TEXT(1,"00")&amp;"*",수납!$E:$E,"수강료")+SUMIFS(수납!$F:$F,수납!$C:$C,원생!$A414,수납!$D:$D,IF(원생!$G414="","",원생!$G414),수납!$B:$B,$B$1&amp;"-"&amp;TEXT(1,"00")&amp;"*",수납!$E:$E,""))</f>
        <v/>
      </c>
      <c r="D416" s="14">
        <f>IF(원생!$A414="","",SUMIFS(수납!$F:$F,수납!$C:$C,원생!$A414,수납!$D:$D,IF(원생!$G414="","",원생!$G414),수납!$B:$B,$B$1&amp;"-"&amp;TEXT(2,"00")&amp;"*",수납!$E:$E,"수강료")+SUMIFS(수납!$F:$F,수납!$C:$C,원생!$A414,수납!$D:$D,IF(원생!$G414="","",원생!$G414),수납!$B:$B,$B$1&amp;"-"&amp;TEXT(2,"00")&amp;"*",수납!$E:$E,""))</f>
        <v/>
      </c>
      <c r="E416" s="14">
        <f>IF(원생!$A414="","",SUMIFS(수납!$F:$F,수납!$C:$C,원생!$A414,수납!$D:$D,IF(원생!$G414="","",원생!$G414),수납!$B:$B,$B$1&amp;"-"&amp;TEXT(3,"00")&amp;"*",수납!$E:$E,"수강료")+SUMIFS(수납!$F:$F,수납!$C:$C,원생!$A414,수납!$D:$D,IF(원생!$G414="","",원생!$G414),수납!$B:$B,$B$1&amp;"-"&amp;TEXT(3,"00")&amp;"*",수납!$E:$E,""))</f>
        <v/>
      </c>
      <c r="F416" s="14">
        <f>IF(원생!$A414="","",SUMIFS(수납!$F:$F,수납!$C:$C,원생!$A414,수납!$D:$D,IF(원생!$G414="","",원생!$G414),수납!$B:$B,$B$1&amp;"-"&amp;TEXT(4,"00")&amp;"*",수납!$E:$E,"수강료")+SUMIFS(수납!$F:$F,수납!$C:$C,원생!$A414,수납!$D:$D,IF(원생!$G414="","",원생!$G414),수납!$B:$B,$B$1&amp;"-"&amp;TEXT(4,"00")&amp;"*",수납!$E:$E,""))</f>
        <v/>
      </c>
      <c r="G416" s="14">
        <f>IF(원생!$A414="","",SUMIFS(수납!$F:$F,수납!$C:$C,원생!$A414,수납!$D:$D,IF(원생!$G414="","",원생!$G414),수납!$B:$B,$B$1&amp;"-"&amp;TEXT(5,"00")&amp;"*",수납!$E:$E,"수강료")+SUMIFS(수납!$F:$F,수납!$C:$C,원생!$A414,수납!$D:$D,IF(원생!$G414="","",원생!$G414),수납!$B:$B,$B$1&amp;"-"&amp;TEXT(5,"00")&amp;"*",수납!$E:$E,""))</f>
        <v/>
      </c>
      <c r="H416" s="14">
        <f>IF(원생!$A414="","",SUMIFS(수납!$F:$F,수납!$C:$C,원생!$A414,수납!$D:$D,IF(원생!$G414="","",원생!$G414),수납!$B:$B,$B$1&amp;"-"&amp;TEXT(6,"00")&amp;"*",수납!$E:$E,"수강료")+SUMIFS(수납!$F:$F,수납!$C:$C,원생!$A414,수납!$D:$D,IF(원생!$G414="","",원생!$G414),수납!$B:$B,$B$1&amp;"-"&amp;TEXT(6,"00")&amp;"*",수납!$E:$E,""))</f>
        <v/>
      </c>
      <c r="I416" s="14">
        <f>IF(원생!$A414="","",SUMIFS(수납!$F:$F,수납!$C:$C,원생!$A414,수납!$D:$D,IF(원생!$G414="","",원생!$G414),수납!$B:$B,$B$1&amp;"-"&amp;TEXT(7,"00")&amp;"*",수납!$E:$E,"수강료")+SUMIFS(수납!$F:$F,수납!$C:$C,원생!$A414,수납!$D:$D,IF(원생!$G414="","",원생!$G414),수납!$B:$B,$B$1&amp;"-"&amp;TEXT(7,"00")&amp;"*",수납!$E:$E,""))</f>
        <v/>
      </c>
      <c r="J416" s="14">
        <f>IF(원생!$A414="","",SUMIFS(수납!$F:$F,수납!$C:$C,원생!$A414,수납!$D:$D,IF(원생!$G414="","",원생!$G414),수납!$B:$B,$B$1&amp;"-"&amp;TEXT(8,"00")&amp;"*",수납!$E:$E,"수강료")+SUMIFS(수납!$F:$F,수납!$C:$C,원생!$A414,수납!$D:$D,IF(원생!$G414="","",원생!$G414),수납!$B:$B,$B$1&amp;"-"&amp;TEXT(8,"00")&amp;"*",수납!$E:$E,""))</f>
        <v/>
      </c>
      <c r="K416" s="14">
        <f>IF(원생!$A414="","",SUMIFS(수납!$F:$F,수납!$C:$C,원생!$A414,수납!$D:$D,IF(원생!$G414="","",원생!$G414),수납!$B:$B,$B$1&amp;"-"&amp;TEXT(9,"00")&amp;"*",수납!$E:$E,"수강료")+SUMIFS(수납!$F:$F,수납!$C:$C,원생!$A414,수납!$D:$D,IF(원생!$G414="","",원생!$G414),수납!$B:$B,$B$1&amp;"-"&amp;TEXT(9,"00")&amp;"*",수납!$E:$E,""))</f>
        <v/>
      </c>
      <c r="L416" s="14">
        <f>IF(원생!$A414="","",SUMIFS(수납!$F:$F,수납!$C:$C,원생!$A414,수납!$D:$D,IF(원생!$G414="","",원생!$G414),수납!$B:$B,$B$1&amp;"-"&amp;TEXT(10,"00")&amp;"*",수납!$E:$E,"수강료")+SUMIFS(수납!$F:$F,수납!$C:$C,원생!$A414,수납!$D:$D,IF(원생!$G414="","",원생!$G414),수납!$B:$B,$B$1&amp;"-"&amp;TEXT(10,"00")&amp;"*",수납!$E:$E,""))</f>
        <v/>
      </c>
      <c r="M416" s="14">
        <f>IF(원생!$A414="","",SUMIFS(수납!$F:$F,수납!$C:$C,원생!$A414,수납!$D:$D,IF(원생!$G414="","",원생!$G414),수납!$B:$B,$B$1&amp;"-"&amp;TEXT(11,"00")&amp;"*",수납!$E:$E,"수강료")+SUMIFS(수납!$F:$F,수납!$C:$C,원생!$A414,수납!$D:$D,IF(원생!$G414="","",원생!$G414),수납!$B:$B,$B$1&amp;"-"&amp;TEXT(11,"00")&amp;"*",수납!$E:$E,""))</f>
        <v/>
      </c>
      <c r="N416" s="14">
        <f>IF(원생!$A414="","",SUMIFS(수납!$F:$F,수납!$C:$C,원생!$A414,수납!$D:$D,IF(원생!$G414="","",원생!$G414),수납!$B:$B,$B$1&amp;"-"&amp;TEXT(12,"00")&amp;"*",수납!$E:$E,"수강료")+SUMIFS(수납!$F:$F,수납!$C:$C,원생!$A414,수납!$D:$D,IF(원생!$G414="","",원생!$G414),수납!$B:$B,$B$1&amp;"-"&amp;TEXT(12,"00")&amp;"*",수납!$E:$E,""))</f>
        <v/>
      </c>
      <c r="O416">
        <f>IF(원생!$I414="","",원생!$I414)</f>
        <v/>
      </c>
      <c r="P416">
        <f>IF($A416="","",IF(AND($B416&gt;0,C416&lt;$B416,DATE($B$1,1,1)&lt;=TODAY(),OR($O416="",$O416&gt;=DATE($B$1,1,1)),OR(COUNTIF($C416:C416,"&gt;0")&gt;0,DATE($B$1,1,1)=DATE(YEAR(TODAY()),MONTH(TODAY()),1))),1,0))</f>
        <v/>
      </c>
      <c r="Q416">
        <f>IF($A416="","",IF(AND($B416&gt;0,D416&lt;$B416,DATE($B$1,2,1)&lt;=TODAY(),OR($O416="",$O416&gt;=DATE($B$1,2,1)),OR(COUNTIF($C416:D416,"&gt;0")&gt;0,DATE($B$1,2,1)=DATE(YEAR(TODAY()),MONTH(TODAY()),1))),1,0))</f>
        <v/>
      </c>
      <c r="R416">
        <f>IF($A416="","",IF(AND($B416&gt;0,E416&lt;$B416,DATE($B$1,3,1)&lt;=TODAY(),OR($O416="",$O416&gt;=DATE($B$1,3,1)),OR(COUNTIF($C416:E416,"&gt;0")&gt;0,DATE($B$1,3,1)=DATE(YEAR(TODAY()),MONTH(TODAY()),1))),1,0))</f>
        <v/>
      </c>
      <c r="S416">
        <f>IF($A416="","",IF(AND($B416&gt;0,F416&lt;$B416,DATE($B$1,4,1)&lt;=TODAY(),OR($O416="",$O416&gt;=DATE($B$1,4,1)),OR(COUNTIF($C416:F416,"&gt;0")&gt;0,DATE($B$1,4,1)=DATE(YEAR(TODAY()),MONTH(TODAY()),1))),1,0))</f>
        <v/>
      </c>
      <c r="T416">
        <f>IF($A416="","",IF(AND($B416&gt;0,G416&lt;$B416,DATE($B$1,5,1)&lt;=TODAY(),OR($O416="",$O416&gt;=DATE($B$1,5,1)),OR(COUNTIF($C416:G416,"&gt;0")&gt;0,DATE($B$1,5,1)=DATE(YEAR(TODAY()),MONTH(TODAY()),1))),1,0))</f>
        <v/>
      </c>
      <c r="U416">
        <f>IF($A416="","",IF(AND($B416&gt;0,H416&lt;$B416,DATE($B$1,6,1)&lt;=TODAY(),OR($O416="",$O416&gt;=DATE($B$1,6,1)),OR(COUNTIF($C416:H416,"&gt;0")&gt;0,DATE($B$1,6,1)=DATE(YEAR(TODAY()),MONTH(TODAY()),1))),1,0))</f>
        <v/>
      </c>
      <c r="V416">
        <f>IF($A416="","",IF(AND($B416&gt;0,I416&lt;$B416,DATE($B$1,7,1)&lt;=TODAY(),OR($O416="",$O416&gt;=DATE($B$1,7,1)),OR(COUNTIF($C416:I416,"&gt;0")&gt;0,DATE($B$1,7,1)=DATE(YEAR(TODAY()),MONTH(TODAY()),1))),1,0))</f>
        <v/>
      </c>
      <c r="W416">
        <f>IF($A416="","",IF(AND($B416&gt;0,J416&lt;$B416,DATE($B$1,8,1)&lt;=TODAY(),OR($O416="",$O416&gt;=DATE($B$1,8,1)),OR(COUNTIF($C416:J416,"&gt;0")&gt;0,DATE($B$1,8,1)=DATE(YEAR(TODAY()),MONTH(TODAY()),1))),1,0))</f>
        <v/>
      </c>
      <c r="X416">
        <f>IF($A416="","",IF(AND($B416&gt;0,K416&lt;$B416,DATE($B$1,9,1)&lt;=TODAY(),OR($O416="",$O416&gt;=DATE($B$1,9,1)),OR(COUNTIF($C416:K416,"&gt;0")&gt;0,DATE($B$1,9,1)=DATE(YEAR(TODAY()),MONTH(TODAY()),1))),1,0))</f>
        <v/>
      </c>
      <c r="Y416">
        <f>IF($A416="","",IF(AND($B416&gt;0,L416&lt;$B416,DATE($B$1,10,1)&lt;=TODAY(),OR($O416="",$O416&gt;=DATE($B$1,10,1)),OR(COUNTIF($C416:L416,"&gt;0")&gt;0,DATE($B$1,10,1)=DATE(YEAR(TODAY()),MONTH(TODAY()),1))),1,0))</f>
        <v/>
      </c>
      <c r="Z416">
        <f>IF($A416="","",IF(AND($B416&gt;0,M416&lt;$B416,DATE($B$1,11,1)&lt;=TODAY(),OR($O416="",$O416&gt;=DATE($B$1,11,1)),OR(COUNTIF($C416:M416,"&gt;0")&gt;0,DATE($B$1,11,1)=DATE(YEAR(TODAY()),MONTH(TODAY()),1))),1,0))</f>
        <v/>
      </c>
      <c r="AA416">
        <f>IF($A416="","",IF(AND($B416&gt;0,N416&lt;$B416,DATE($B$1,12,1)&lt;=TODAY(),OR($O416="",$O416&gt;=DATE($B$1,12,1)),OR(COUNTIF($C416:N416,"&gt;0")&gt;0,DATE($B$1,12,1)=DATE(YEAR(TODAY()),MONTH(TODAY()),1))),1,0))</f>
        <v/>
      </c>
    </row>
    <row r="417">
      <c r="A417" s="13">
        <f>IF(원생!$A415="","",원생!$A415&amp;IF(원생!$G415="",""," ("&amp;원생!$G415&amp;")"))</f>
        <v/>
      </c>
      <c r="B417" s="8">
        <f>IF(원생!$A415="","",원생!$F415)</f>
        <v/>
      </c>
      <c r="C417" s="14">
        <f>IF(원생!$A415="","",SUMIFS(수납!$F:$F,수납!$C:$C,원생!$A415,수납!$D:$D,IF(원생!$G415="","",원생!$G415),수납!$B:$B,$B$1&amp;"-"&amp;TEXT(1,"00")&amp;"*",수납!$E:$E,"수강료")+SUMIFS(수납!$F:$F,수납!$C:$C,원생!$A415,수납!$D:$D,IF(원생!$G415="","",원생!$G415),수납!$B:$B,$B$1&amp;"-"&amp;TEXT(1,"00")&amp;"*",수납!$E:$E,""))</f>
        <v/>
      </c>
      <c r="D417" s="14">
        <f>IF(원생!$A415="","",SUMIFS(수납!$F:$F,수납!$C:$C,원생!$A415,수납!$D:$D,IF(원생!$G415="","",원생!$G415),수납!$B:$B,$B$1&amp;"-"&amp;TEXT(2,"00")&amp;"*",수납!$E:$E,"수강료")+SUMIFS(수납!$F:$F,수납!$C:$C,원생!$A415,수납!$D:$D,IF(원생!$G415="","",원생!$G415),수납!$B:$B,$B$1&amp;"-"&amp;TEXT(2,"00")&amp;"*",수납!$E:$E,""))</f>
        <v/>
      </c>
      <c r="E417" s="14">
        <f>IF(원생!$A415="","",SUMIFS(수납!$F:$F,수납!$C:$C,원생!$A415,수납!$D:$D,IF(원생!$G415="","",원생!$G415),수납!$B:$B,$B$1&amp;"-"&amp;TEXT(3,"00")&amp;"*",수납!$E:$E,"수강료")+SUMIFS(수납!$F:$F,수납!$C:$C,원생!$A415,수납!$D:$D,IF(원생!$G415="","",원생!$G415),수납!$B:$B,$B$1&amp;"-"&amp;TEXT(3,"00")&amp;"*",수납!$E:$E,""))</f>
        <v/>
      </c>
      <c r="F417" s="14">
        <f>IF(원생!$A415="","",SUMIFS(수납!$F:$F,수납!$C:$C,원생!$A415,수납!$D:$D,IF(원생!$G415="","",원생!$G415),수납!$B:$B,$B$1&amp;"-"&amp;TEXT(4,"00")&amp;"*",수납!$E:$E,"수강료")+SUMIFS(수납!$F:$F,수납!$C:$C,원생!$A415,수납!$D:$D,IF(원생!$G415="","",원생!$G415),수납!$B:$B,$B$1&amp;"-"&amp;TEXT(4,"00")&amp;"*",수납!$E:$E,""))</f>
        <v/>
      </c>
      <c r="G417" s="14">
        <f>IF(원생!$A415="","",SUMIFS(수납!$F:$F,수납!$C:$C,원생!$A415,수납!$D:$D,IF(원생!$G415="","",원생!$G415),수납!$B:$B,$B$1&amp;"-"&amp;TEXT(5,"00")&amp;"*",수납!$E:$E,"수강료")+SUMIFS(수납!$F:$F,수납!$C:$C,원생!$A415,수납!$D:$D,IF(원생!$G415="","",원생!$G415),수납!$B:$B,$B$1&amp;"-"&amp;TEXT(5,"00")&amp;"*",수납!$E:$E,""))</f>
        <v/>
      </c>
      <c r="H417" s="14">
        <f>IF(원생!$A415="","",SUMIFS(수납!$F:$F,수납!$C:$C,원생!$A415,수납!$D:$D,IF(원생!$G415="","",원생!$G415),수납!$B:$B,$B$1&amp;"-"&amp;TEXT(6,"00")&amp;"*",수납!$E:$E,"수강료")+SUMIFS(수납!$F:$F,수납!$C:$C,원생!$A415,수납!$D:$D,IF(원생!$G415="","",원생!$G415),수납!$B:$B,$B$1&amp;"-"&amp;TEXT(6,"00")&amp;"*",수납!$E:$E,""))</f>
        <v/>
      </c>
      <c r="I417" s="14">
        <f>IF(원생!$A415="","",SUMIFS(수납!$F:$F,수납!$C:$C,원생!$A415,수납!$D:$D,IF(원생!$G415="","",원생!$G415),수납!$B:$B,$B$1&amp;"-"&amp;TEXT(7,"00")&amp;"*",수납!$E:$E,"수강료")+SUMIFS(수납!$F:$F,수납!$C:$C,원생!$A415,수납!$D:$D,IF(원생!$G415="","",원생!$G415),수납!$B:$B,$B$1&amp;"-"&amp;TEXT(7,"00")&amp;"*",수납!$E:$E,""))</f>
        <v/>
      </c>
      <c r="J417" s="14">
        <f>IF(원생!$A415="","",SUMIFS(수납!$F:$F,수납!$C:$C,원생!$A415,수납!$D:$D,IF(원생!$G415="","",원생!$G415),수납!$B:$B,$B$1&amp;"-"&amp;TEXT(8,"00")&amp;"*",수납!$E:$E,"수강료")+SUMIFS(수납!$F:$F,수납!$C:$C,원생!$A415,수납!$D:$D,IF(원생!$G415="","",원생!$G415),수납!$B:$B,$B$1&amp;"-"&amp;TEXT(8,"00")&amp;"*",수납!$E:$E,""))</f>
        <v/>
      </c>
      <c r="K417" s="14">
        <f>IF(원생!$A415="","",SUMIFS(수납!$F:$F,수납!$C:$C,원생!$A415,수납!$D:$D,IF(원생!$G415="","",원생!$G415),수납!$B:$B,$B$1&amp;"-"&amp;TEXT(9,"00")&amp;"*",수납!$E:$E,"수강료")+SUMIFS(수납!$F:$F,수납!$C:$C,원생!$A415,수납!$D:$D,IF(원생!$G415="","",원생!$G415),수납!$B:$B,$B$1&amp;"-"&amp;TEXT(9,"00")&amp;"*",수납!$E:$E,""))</f>
        <v/>
      </c>
      <c r="L417" s="14">
        <f>IF(원생!$A415="","",SUMIFS(수납!$F:$F,수납!$C:$C,원생!$A415,수납!$D:$D,IF(원생!$G415="","",원생!$G415),수납!$B:$B,$B$1&amp;"-"&amp;TEXT(10,"00")&amp;"*",수납!$E:$E,"수강료")+SUMIFS(수납!$F:$F,수납!$C:$C,원생!$A415,수납!$D:$D,IF(원생!$G415="","",원생!$G415),수납!$B:$B,$B$1&amp;"-"&amp;TEXT(10,"00")&amp;"*",수납!$E:$E,""))</f>
        <v/>
      </c>
      <c r="M417" s="14">
        <f>IF(원생!$A415="","",SUMIFS(수납!$F:$F,수납!$C:$C,원생!$A415,수납!$D:$D,IF(원생!$G415="","",원생!$G415),수납!$B:$B,$B$1&amp;"-"&amp;TEXT(11,"00")&amp;"*",수납!$E:$E,"수강료")+SUMIFS(수납!$F:$F,수납!$C:$C,원생!$A415,수납!$D:$D,IF(원생!$G415="","",원생!$G415),수납!$B:$B,$B$1&amp;"-"&amp;TEXT(11,"00")&amp;"*",수납!$E:$E,""))</f>
        <v/>
      </c>
      <c r="N417" s="14">
        <f>IF(원생!$A415="","",SUMIFS(수납!$F:$F,수납!$C:$C,원생!$A415,수납!$D:$D,IF(원생!$G415="","",원생!$G415),수납!$B:$B,$B$1&amp;"-"&amp;TEXT(12,"00")&amp;"*",수납!$E:$E,"수강료")+SUMIFS(수납!$F:$F,수납!$C:$C,원생!$A415,수납!$D:$D,IF(원생!$G415="","",원생!$G415),수납!$B:$B,$B$1&amp;"-"&amp;TEXT(12,"00")&amp;"*",수납!$E:$E,""))</f>
        <v/>
      </c>
      <c r="O417">
        <f>IF(원생!$I415="","",원생!$I415)</f>
        <v/>
      </c>
      <c r="P417">
        <f>IF($A417="","",IF(AND($B417&gt;0,C417&lt;$B417,DATE($B$1,1,1)&lt;=TODAY(),OR($O417="",$O417&gt;=DATE($B$1,1,1)),OR(COUNTIF($C417:C417,"&gt;0")&gt;0,DATE($B$1,1,1)=DATE(YEAR(TODAY()),MONTH(TODAY()),1))),1,0))</f>
        <v/>
      </c>
      <c r="Q417">
        <f>IF($A417="","",IF(AND($B417&gt;0,D417&lt;$B417,DATE($B$1,2,1)&lt;=TODAY(),OR($O417="",$O417&gt;=DATE($B$1,2,1)),OR(COUNTIF($C417:D417,"&gt;0")&gt;0,DATE($B$1,2,1)=DATE(YEAR(TODAY()),MONTH(TODAY()),1))),1,0))</f>
        <v/>
      </c>
      <c r="R417">
        <f>IF($A417="","",IF(AND($B417&gt;0,E417&lt;$B417,DATE($B$1,3,1)&lt;=TODAY(),OR($O417="",$O417&gt;=DATE($B$1,3,1)),OR(COUNTIF($C417:E417,"&gt;0")&gt;0,DATE($B$1,3,1)=DATE(YEAR(TODAY()),MONTH(TODAY()),1))),1,0))</f>
        <v/>
      </c>
      <c r="S417">
        <f>IF($A417="","",IF(AND($B417&gt;0,F417&lt;$B417,DATE($B$1,4,1)&lt;=TODAY(),OR($O417="",$O417&gt;=DATE($B$1,4,1)),OR(COUNTIF($C417:F417,"&gt;0")&gt;0,DATE($B$1,4,1)=DATE(YEAR(TODAY()),MONTH(TODAY()),1))),1,0))</f>
        <v/>
      </c>
      <c r="T417">
        <f>IF($A417="","",IF(AND($B417&gt;0,G417&lt;$B417,DATE($B$1,5,1)&lt;=TODAY(),OR($O417="",$O417&gt;=DATE($B$1,5,1)),OR(COUNTIF($C417:G417,"&gt;0")&gt;0,DATE($B$1,5,1)=DATE(YEAR(TODAY()),MONTH(TODAY()),1))),1,0))</f>
        <v/>
      </c>
      <c r="U417">
        <f>IF($A417="","",IF(AND($B417&gt;0,H417&lt;$B417,DATE($B$1,6,1)&lt;=TODAY(),OR($O417="",$O417&gt;=DATE($B$1,6,1)),OR(COUNTIF($C417:H417,"&gt;0")&gt;0,DATE($B$1,6,1)=DATE(YEAR(TODAY()),MONTH(TODAY()),1))),1,0))</f>
        <v/>
      </c>
      <c r="V417">
        <f>IF($A417="","",IF(AND($B417&gt;0,I417&lt;$B417,DATE($B$1,7,1)&lt;=TODAY(),OR($O417="",$O417&gt;=DATE($B$1,7,1)),OR(COUNTIF($C417:I417,"&gt;0")&gt;0,DATE($B$1,7,1)=DATE(YEAR(TODAY()),MONTH(TODAY()),1))),1,0))</f>
        <v/>
      </c>
      <c r="W417">
        <f>IF($A417="","",IF(AND($B417&gt;0,J417&lt;$B417,DATE($B$1,8,1)&lt;=TODAY(),OR($O417="",$O417&gt;=DATE($B$1,8,1)),OR(COUNTIF($C417:J417,"&gt;0")&gt;0,DATE($B$1,8,1)=DATE(YEAR(TODAY()),MONTH(TODAY()),1))),1,0))</f>
        <v/>
      </c>
      <c r="X417">
        <f>IF($A417="","",IF(AND($B417&gt;0,K417&lt;$B417,DATE($B$1,9,1)&lt;=TODAY(),OR($O417="",$O417&gt;=DATE($B$1,9,1)),OR(COUNTIF($C417:K417,"&gt;0")&gt;0,DATE($B$1,9,1)=DATE(YEAR(TODAY()),MONTH(TODAY()),1))),1,0))</f>
        <v/>
      </c>
      <c r="Y417">
        <f>IF($A417="","",IF(AND($B417&gt;0,L417&lt;$B417,DATE($B$1,10,1)&lt;=TODAY(),OR($O417="",$O417&gt;=DATE($B$1,10,1)),OR(COUNTIF($C417:L417,"&gt;0")&gt;0,DATE($B$1,10,1)=DATE(YEAR(TODAY()),MONTH(TODAY()),1))),1,0))</f>
        <v/>
      </c>
      <c r="Z417">
        <f>IF($A417="","",IF(AND($B417&gt;0,M417&lt;$B417,DATE($B$1,11,1)&lt;=TODAY(),OR($O417="",$O417&gt;=DATE($B$1,11,1)),OR(COUNTIF($C417:M417,"&gt;0")&gt;0,DATE($B$1,11,1)=DATE(YEAR(TODAY()),MONTH(TODAY()),1))),1,0))</f>
        <v/>
      </c>
      <c r="AA417">
        <f>IF($A417="","",IF(AND($B417&gt;0,N417&lt;$B417,DATE($B$1,12,1)&lt;=TODAY(),OR($O417="",$O417&gt;=DATE($B$1,12,1)),OR(COUNTIF($C417:N417,"&gt;0")&gt;0,DATE($B$1,12,1)=DATE(YEAR(TODAY()),MONTH(TODAY()),1))),1,0))</f>
        <v/>
      </c>
    </row>
    <row r="418">
      <c r="A418" s="13">
        <f>IF(원생!$A416="","",원생!$A416&amp;IF(원생!$G416="",""," ("&amp;원생!$G416&amp;")"))</f>
        <v/>
      </c>
      <c r="B418" s="8">
        <f>IF(원생!$A416="","",원생!$F416)</f>
        <v/>
      </c>
      <c r="C418" s="14">
        <f>IF(원생!$A416="","",SUMIFS(수납!$F:$F,수납!$C:$C,원생!$A416,수납!$D:$D,IF(원생!$G416="","",원생!$G416),수납!$B:$B,$B$1&amp;"-"&amp;TEXT(1,"00")&amp;"*",수납!$E:$E,"수강료")+SUMIFS(수납!$F:$F,수납!$C:$C,원생!$A416,수납!$D:$D,IF(원생!$G416="","",원생!$G416),수납!$B:$B,$B$1&amp;"-"&amp;TEXT(1,"00")&amp;"*",수납!$E:$E,""))</f>
        <v/>
      </c>
      <c r="D418" s="14">
        <f>IF(원생!$A416="","",SUMIFS(수납!$F:$F,수납!$C:$C,원생!$A416,수납!$D:$D,IF(원생!$G416="","",원생!$G416),수납!$B:$B,$B$1&amp;"-"&amp;TEXT(2,"00")&amp;"*",수납!$E:$E,"수강료")+SUMIFS(수납!$F:$F,수납!$C:$C,원생!$A416,수납!$D:$D,IF(원생!$G416="","",원생!$G416),수납!$B:$B,$B$1&amp;"-"&amp;TEXT(2,"00")&amp;"*",수납!$E:$E,""))</f>
        <v/>
      </c>
      <c r="E418" s="14">
        <f>IF(원생!$A416="","",SUMIFS(수납!$F:$F,수납!$C:$C,원생!$A416,수납!$D:$D,IF(원생!$G416="","",원생!$G416),수납!$B:$B,$B$1&amp;"-"&amp;TEXT(3,"00")&amp;"*",수납!$E:$E,"수강료")+SUMIFS(수납!$F:$F,수납!$C:$C,원생!$A416,수납!$D:$D,IF(원생!$G416="","",원생!$G416),수납!$B:$B,$B$1&amp;"-"&amp;TEXT(3,"00")&amp;"*",수납!$E:$E,""))</f>
        <v/>
      </c>
      <c r="F418" s="14">
        <f>IF(원생!$A416="","",SUMIFS(수납!$F:$F,수납!$C:$C,원생!$A416,수납!$D:$D,IF(원생!$G416="","",원생!$G416),수납!$B:$B,$B$1&amp;"-"&amp;TEXT(4,"00")&amp;"*",수납!$E:$E,"수강료")+SUMIFS(수납!$F:$F,수납!$C:$C,원생!$A416,수납!$D:$D,IF(원생!$G416="","",원생!$G416),수납!$B:$B,$B$1&amp;"-"&amp;TEXT(4,"00")&amp;"*",수납!$E:$E,""))</f>
        <v/>
      </c>
      <c r="G418" s="14">
        <f>IF(원생!$A416="","",SUMIFS(수납!$F:$F,수납!$C:$C,원생!$A416,수납!$D:$D,IF(원생!$G416="","",원생!$G416),수납!$B:$B,$B$1&amp;"-"&amp;TEXT(5,"00")&amp;"*",수납!$E:$E,"수강료")+SUMIFS(수납!$F:$F,수납!$C:$C,원생!$A416,수납!$D:$D,IF(원생!$G416="","",원생!$G416),수납!$B:$B,$B$1&amp;"-"&amp;TEXT(5,"00")&amp;"*",수납!$E:$E,""))</f>
        <v/>
      </c>
      <c r="H418" s="14">
        <f>IF(원생!$A416="","",SUMIFS(수납!$F:$F,수납!$C:$C,원생!$A416,수납!$D:$D,IF(원생!$G416="","",원생!$G416),수납!$B:$B,$B$1&amp;"-"&amp;TEXT(6,"00")&amp;"*",수납!$E:$E,"수강료")+SUMIFS(수납!$F:$F,수납!$C:$C,원생!$A416,수납!$D:$D,IF(원생!$G416="","",원생!$G416),수납!$B:$B,$B$1&amp;"-"&amp;TEXT(6,"00")&amp;"*",수납!$E:$E,""))</f>
        <v/>
      </c>
      <c r="I418" s="14">
        <f>IF(원생!$A416="","",SUMIFS(수납!$F:$F,수납!$C:$C,원생!$A416,수납!$D:$D,IF(원생!$G416="","",원생!$G416),수납!$B:$B,$B$1&amp;"-"&amp;TEXT(7,"00")&amp;"*",수납!$E:$E,"수강료")+SUMIFS(수납!$F:$F,수납!$C:$C,원생!$A416,수납!$D:$D,IF(원생!$G416="","",원생!$G416),수납!$B:$B,$B$1&amp;"-"&amp;TEXT(7,"00")&amp;"*",수납!$E:$E,""))</f>
        <v/>
      </c>
      <c r="J418" s="14">
        <f>IF(원생!$A416="","",SUMIFS(수납!$F:$F,수납!$C:$C,원생!$A416,수납!$D:$D,IF(원생!$G416="","",원생!$G416),수납!$B:$B,$B$1&amp;"-"&amp;TEXT(8,"00")&amp;"*",수납!$E:$E,"수강료")+SUMIFS(수납!$F:$F,수납!$C:$C,원생!$A416,수납!$D:$D,IF(원생!$G416="","",원생!$G416),수납!$B:$B,$B$1&amp;"-"&amp;TEXT(8,"00")&amp;"*",수납!$E:$E,""))</f>
        <v/>
      </c>
      <c r="K418" s="14">
        <f>IF(원생!$A416="","",SUMIFS(수납!$F:$F,수납!$C:$C,원생!$A416,수납!$D:$D,IF(원생!$G416="","",원생!$G416),수납!$B:$B,$B$1&amp;"-"&amp;TEXT(9,"00")&amp;"*",수납!$E:$E,"수강료")+SUMIFS(수납!$F:$F,수납!$C:$C,원생!$A416,수납!$D:$D,IF(원생!$G416="","",원생!$G416),수납!$B:$B,$B$1&amp;"-"&amp;TEXT(9,"00")&amp;"*",수납!$E:$E,""))</f>
        <v/>
      </c>
      <c r="L418" s="14">
        <f>IF(원생!$A416="","",SUMIFS(수납!$F:$F,수납!$C:$C,원생!$A416,수납!$D:$D,IF(원생!$G416="","",원생!$G416),수납!$B:$B,$B$1&amp;"-"&amp;TEXT(10,"00")&amp;"*",수납!$E:$E,"수강료")+SUMIFS(수납!$F:$F,수납!$C:$C,원생!$A416,수납!$D:$D,IF(원생!$G416="","",원생!$G416),수납!$B:$B,$B$1&amp;"-"&amp;TEXT(10,"00")&amp;"*",수납!$E:$E,""))</f>
        <v/>
      </c>
      <c r="M418" s="14">
        <f>IF(원생!$A416="","",SUMIFS(수납!$F:$F,수납!$C:$C,원생!$A416,수납!$D:$D,IF(원생!$G416="","",원생!$G416),수납!$B:$B,$B$1&amp;"-"&amp;TEXT(11,"00")&amp;"*",수납!$E:$E,"수강료")+SUMIFS(수납!$F:$F,수납!$C:$C,원생!$A416,수납!$D:$D,IF(원생!$G416="","",원생!$G416),수납!$B:$B,$B$1&amp;"-"&amp;TEXT(11,"00")&amp;"*",수납!$E:$E,""))</f>
        <v/>
      </c>
      <c r="N418" s="14">
        <f>IF(원생!$A416="","",SUMIFS(수납!$F:$F,수납!$C:$C,원생!$A416,수납!$D:$D,IF(원생!$G416="","",원생!$G416),수납!$B:$B,$B$1&amp;"-"&amp;TEXT(12,"00")&amp;"*",수납!$E:$E,"수강료")+SUMIFS(수납!$F:$F,수납!$C:$C,원생!$A416,수납!$D:$D,IF(원생!$G416="","",원생!$G416),수납!$B:$B,$B$1&amp;"-"&amp;TEXT(12,"00")&amp;"*",수납!$E:$E,""))</f>
        <v/>
      </c>
      <c r="O418">
        <f>IF(원생!$I416="","",원생!$I416)</f>
        <v/>
      </c>
      <c r="P418">
        <f>IF($A418="","",IF(AND($B418&gt;0,C418&lt;$B418,DATE($B$1,1,1)&lt;=TODAY(),OR($O418="",$O418&gt;=DATE($B$1,1,1)),OR(COUNTIF($C418:C418,"&gt;0")&gt;0,DATE($B$1,1,1)=DATE(YEAR(TODAY()),MONTH(TODAY()),1))),1,0))</f>
        <v/>
      </c>
      <c r="Q418">
        <f>IF($A418="","",IF(AND($B418&gt;0,D418&lt;$B418,DATE($B$1,2,1)&lt;=TODAY(),OR($O418="",$O418&gt;=DATE($B$1,2,1)),OR(COUNTIF($C418:D418,"&gt;0")&gt;0,DATE($B$1,2,1)=DATE(YEAR(TODAY()),MONTH(TODAY()),1))),1,0))</f>
        <v/>
      </c>
      <c r="R418">
        <f>IF($A418="","",IF(AND($B418&gt;0,E418&lt;$B418,DATE($B$1,3,1)&lt;=TODAY(),OR($O418="",$O418&gt;=DATE($B$1,3,1)),OR(COUNTIF($C418:E418,"&gt;0")&gt;0,DATE($B$1,3,1)=DATE(YEAR(TODAY()),MONTH(TODAY()),1))),1,0))</f>
        <v/>
      </c>
      <c r="S418">
        <f>IF($A418="","",IF(AND($B418&gt;0,F418&lt;$B418,DATE($B$1,4,1)&lt;=TODAY(),OR($O418="",$O418&gt;=DATE($B$1,4,1)),OR(COUNTIF($C418:F418,"&gt;0")&gt;0,DATE($B$1,4,1)=DATE(YEAR(TODAY()),MONTH(TODAY()),1))),1,0))</f>
        <v/>
      </c>
      <c r="T418">
        <f>IF($A418="","",IF(AND($B418&gt;0,G418&lt;$B418,DATE($B$1,5,1)&lt;=TODAY(),OR($O418="",$O418&gt;=DATE($B$1,5,1)),OR(COUNTIF($C418:G418,"&gt;0")&gt;0,DATE($B$1,5,1)=DATE(YEAR(TODAY()),MONTH(TODAY()),1))),1,0))</f>
        <v/>
      </c>
      <c r="U418">
        <f>IF($A418="","",IF(AND($B418&gt;0,H418&lt;$B418,DATE($B$1,6,1)&lt;=TODAY(),OR($O418="",$O418&gt;=DATE($B$1,6,1)),OR(COUNTIF($C418:H418,"&gt;0")&gt;0,DATE($B$1,6,1)=DATE(YEAR(TODAY()),MONTH(TODAY()),1))),1,0))</f>
        <v/>
      </c>
      <c r="V418">
        <f>IF($A418="","",IF(AND($B418&gt;0,I418&lt;$B418,DATE($B$1,7,1)&lt;=TODAY(),OR($O418="",$O418&gt;=DATE($B$1,7,1)),OR(COUNTIF($C418:I418,"&gt;0")&gt;0,DATE($B$1,7,1)=DATE(YEAR(TODAY()),MONTH(TODAY()),1))),1,0))</f>
        <v/>
      </c>
      <c r="W418">
        <f>IF($A418="","",IF(AND($B418&gt;0,J418&lt;$B418,DATE($B$1,8,1)&lt;=TODAY(),OR($O418="",$O418&gt;=DATE($B$1,8,1)),OR(COUNTIF($C418:J418,"&gt;0")&gt;0,DATE($B$1,8,1)=DATE(YEAR(TODAY()),MONTH(TODAY()),1))),1,0))</f>
        <v/>
      </c>
      <c r="X418">
        <f>IF($A418="","",IF(AND($B418&gt;0,K418&lt;$B418,DATE($B$1,9,1)&lt;=TODAY(),OR($O418="",$O418&gt;=DATE($B$1,9,1)),OR(COUNTIF($C418:K418,"&gt;0")&gt;0,DATE($B$1,9,1)=DATE(YEAR(TODAY()),MONTH(TODAY()),1))),1,0))</f>
        <v/>
      </c>
      <c r="Y418">
        <f>IF($A418="","",IF(AND($B418&gt;0,L418&lt;$B418,DATE($B$1,10,1)&lt;=TODAY(),OR($O418="",$O418&gt;=DATE($B$1,10,1)),OR(COUNTIF($C418:L418,"&gt;0")&gt;0,DATE($B$1,10,1)=DATE(YEAR(TODAY()),MONTH(TODAY()),1))),1,0))</f>
        <v/>
      </c>
      <c r="Z418">
        <f>IF($A418="","",IF(AND($B418&gt;0,M418&lt;$B418,DATE($B$1,11,1)&lt;=TODAY(),OR($O418="",$O418&gt;=DATE($B$1,11,1)),OR(COUNTIF($C418:M418,"&gt;0")&gt;0,DATE($B$1,11,1)=DATE(YEAR(TODAY()),MONTH(TODAY()),1))),1,0))</f>
        <v/>
      </c>
      <c r="AA418">
        <f>IF($A418="","",IF(AND($B418&gt;0,N418&lt;$B418,DATE($B$1,12,1)&lt;=TODAY(),OR($O418="",$O418&gt;=DATE($B$1,12,1)),OR(COUNTIF($C418:N418,"&gt;0")&gt;0,DATE($B$1,12,1)=DATE(YEAR(TODAY()),MONTH(TODAY()),1))),1,0))</f>
        <v/>
      </c>
    </row>
    <row r="419">
      <c r="A419" s="13">
        <f>IF(원생!$A417="","",원생!$A417&amp;IF(원생!$G417="",""," ("&amp;원생!$G417&amp;")"))</f>
        <v/>
      </c>
      <c r="B419" s="8">
        <f>IF(원생!$A417="","",원생!$F417)</f>
        <v/>
      </c>
      <c r="C419" s="14">
        <f>IF(원생!$A417="","",SUMIFS(수납!$F:$F,수납!$C:$C,원생!$A417,수납!$D:$D,IF(원생!$G417="","",원생!$G417),수납!$B:$B,$B$1&amp;"-"&amp;TEXT(1,"00")&amp;"*",수납!$E:$E,"수강료")+SUMIFS(수납!$F:$F,수납!$C:$C,원생!$A417,수납!$D:$D,IF(원생!$G417="","",원생!$G417),수납!$B:$B,$B$1&amp;"-"&amp;TEXT(1,"00")&amp;"*",수납!$E:$E,""))</f>
        <v/>
      </c>
      <c r="D419" s="14">
        <f>IF(원생!$A417="","",SUMIFS(수납!$F:$F,수납!$C:$C,원생!$A417,수납!$D:$D,IF(원생!$G417="","",원생!$G417),수납!$B:$B,$B$1&amp;"-"&amp;TEXT(2,"00")&amp;"*",수납!$E:$E,"수강료")+SUMIFS(수납!$F:$F,수납!$C:$C,원생!$A417,수납!$D:$D,IF(원생!$G417="","",원생!$G417),수납!$B:$B,$B$1&amp;"-"&amp;TEXT(2,"00")&amp;"*",수납!$E:$E,""))</f>
        <v/>
      </c>
      <c r="E419" s="14">
        <f>IF(원생!$A417="","",SUMIFS(수납!$F:$F,수납!$C:$C,원생!$A417,수납!$D:$D,IF(원생!$G417="","",원생!$G417),수납!$B:$B,$B$1&amp;"-"&amp;TEXT(3,"00")&amp;"*",수납!$E:$E,"수강료")+SUMIFS(수납!$F:$F,수납!$C:$C,원생!$A417,수납!$D:$D,IF(원생!$G417="","",원생!$G417),수납!$B:$B,$B$1&amp;"-"&amp;TEXT(3,"00")&amp;"*",수납!$E:$E,""))</f>
        <v/>
      </c>
      <c r="F419" s="14">
        <f>IF(원생!$A417="","",SUMIFS(수납!$F:$F,수납!$C:$C,원생!$A417,수납!$D:$D,IF(원생!$G417="","",원생!$G417),수납!$B:$B,$B$1&amp;"-"&amp;TEXT(4,"00")&amp;"*",수납!$E:$E,"수강료")+SUMIFS(수납!$F:$F,수납!$C:$C,원생!$A417,수납!$D:$D,IF(원생!$G417="","",원생!$G417),수납!$B:$B,$B$1&amp;"-"&amp;TEXT(4,"00")&amp;"*",수납!$E:$E,""))</f>
        <v/>
      </c>
      <c r="G419" s="14">
        <f>IF(원생!$A417="","",SUMIFS(수납!$F:$F,수납!$C:$C,원생!$A417,수납!$D:$D,IF(원생!$G417="","",원생!$G417),수납!$B:$B,$B$1&amp;"-"&amp;TEXT(5,"00")&amp;"*",수납!$E:$E,"수강료")+SUMIFS(수납!$F:$F,수납!$C:$C,원생!$A417,수납!$D:$D,IF(원생!$G417="","",원생!$G417),수납!$B:$B,$B$1&amp;"-"&amp;TEXT(5,"00")&amp;"*",수납!$E:$E,""))</f>
        <v/>
      </c>
      <c r="H419" s="14">
        <f>IF(원생!$A417="","",SUMIFS(수납!$F:$F,수납!$C:$C,원생!$A417,수납!$D:$D,IF(원생!$G417="","",원생!$G417),수납!$B:$B,$B$1&amp;"-"&amp;TEXT(6,"00")&amp;"*",수납!$E:$E,"수강료")+SUMIFS(수납!$F:$F,수납!$C:$C,원생!$A417,수납!$D:$D,IF(원생!$G417="","",원생!$G417),수납!$B:$B,$B$1&amp;"-"&amp;TEXT(6,"00")&amp;"*",수납!$E:$E,""))</f>
        <v/>
      </c>
      <c r="I419" s="14">
        <f>IF(원생!$A417="","",SUMIFS(수납!$F:$F,수납!$C:$C,원생!$A417,수납!$D:$D,IF(원생!$G417="","",원생!$G417),수납!$B:$B,$B$1&amp;"-"&amp;TEXT(7,"00")&amp;"*",수납!$E:$E,"수강료")+SUMIFS(수납!$F:$F,수납!$C:$C,원생!$A417,수납!$D:$D,IF(원생!$G417="","",원생!$G417),수납!$B:$B,$B$1&amp;"-"&amp;TEXT(7,"00")&amp;"*",수납!$E:$E,""))</f>
        <v/>
      </c>
      <c r="J419" s="14">
        <f>IF(원생!$A417="","",SUMIFS(수납!$F:$F,수납!$C:$C,원생!$A417,수납!$D:$D,IF(원생!$G417="","",원생!$G417),수납!$B:$B,$B$1&amp;"-"&amp;TEXT(8,"00")&amp;"*",수납!$E:$E,"수강료")+SUMIFS(수납!$F:$F,수납!$C:$C,원생!$A417,수납!$D:$D,IF(원생!$G417="","",원생!$G417),수납!$B:$B,$B$1&amp;"-"&amp;TEXT(8,"00")&amp;"*",수납!$E:$E,""))</f>
        <v/>
      </c>
      <c r="K419" s="14">
        <f>IF(원생!$A417="","",SUMIFS(수납!$F:$F,수납!$C:$C,원생!$A417,수납!$D:$D,IF(원생!$G417="","",원생!$G417),수납!$B:$B,$B$1&amp;"-"&amp;TEXT(9,"00")&amp;"*",수납!$E:$E,"수강료")+SUMIFS(수납!$F:$F,수납!$C:$C,원생!$A417,수납!$D:$D,IF(원생!$G417="","",원생!$G417),수납!$B:$B,$B$1&amp;"-"&amp;TEXT(9,"00")&amp;"*",수납!$E:$E,""))</f>
        <v/>
      </c>
      <c r="L419" s="14">
        <f>IF(원생!$A417="","",SUMIFS(수납!$F:$F,수납!$C:$C,원생!$A417,수납!$D:$D,IF(원생!$G417="","",원생!$G417),수납!$B:$B,$B$1&amp;"-"&amp;TEXT(10,"00")&amp;"*",수납!$E:$E,"수강료")+SUMIFS(수납!$F:$F,수납!$C:$C,원생!$A417,수납!$D:$D,IF(원생!$G417="","",원생!$G417),수납!$B:$B,$B$1&amp;"-"&amp;TEXT(10,"00")&amp;"*",수납!$E:$E,""))</f>
        <v/>
      </c>
      <c r="M419" s="14">
        <f>IF(원생!$A417="","",SUMIFS(수납!$F:$F,수납!$C:$C,원생!$A417,수납!$D:$D,IF(원생!$G417="","",원생!$G417),수납!$B:$B,$B$1&amp;"-"&amp;TEXT(11,"00")&amp;"*",수납!$E:$E,"수강료")+SUMIFS(수납!$F:$F,수납!$C:$C,원생!$A417,수납!$D:$D,IF(원생!$G417="","",원생!$G417),수납!$B:$B,$B$1&amp;"-"&amp;TEXT(11,"00")&amp;"*",수납!$E:$E,""))</f>
        <v/>
      </c>
      <c r="N419" s="14">
        <f>IF(원생!$A417="","",SUMIFS(수납!$F:$F,수납!$C:$C,원생!$A417,수납!$D:$D,IF(원생!$G417="","",원생!$G417),수납!$B:$B,$B$1&amp;"-"&amp;TEXT(12,"00")&amp;"*",수납!$E:$E,"수강료")+SUMIFS(수납!$F:$F,수납!$C:$C,원생!$A417,수납!$D:$D,IF(원생!$G417="","",원생!$G417),수납!$B:$B,$B$1&amp;"-"&amp;TEXT(12,"00")&amp;"*",수납!$E:$E,""))</f>
        <v/>
      </c>
      <c r="O419">
        <f>IF(원생!$I417="","",원생!$I417)</f>
        <v/>
      </c>
      <c r="P419">
        <f>IF($A419="","",IF(AND($B419&gt;0,C419&lt;$B419,DATE($B$1,1,1)&lt;=TODAY(),OR($O419="",$O419&gt;=DATE($B$1,1,1)),OR(COUNTIF($C419:C419,"&gt;0")&gt;0,DATE($B$1,1,1)=DATE(YEAR(TODAY()),MONTH(TODAY()),1))),1,0))</f>
        <v/>
      </c>
      <c r="Q419">
        <f>IF($A419="","",IF(AND($B419&gt;0,D419&lt;$B419,DATE($B$1,2,1)&lt;=TODAY(),OR($O419="",$O419&gt;=DATE($B$1,2,1)),OR(COUNTIF($C419:D419,"&gt;0")&gt;0,DATE($B$1,2,1)=DATE(YEAR(TODAY()),MONTH(TODAY()),1))),1,0))</f>
        <v/>
      </c>
      <c r="R419">
        <f>IF($A419="","",IF(AND($B419&gt;0,E419&lt;$B419,DATE($B$1,3,1)&lt;=TODAY(),OR($O419="",$O419&gt;=DATE($B$1,3,1)),OR(COUNTIF($C419:E419,"&gt;0")&gt;0,DATE($B$1,3,1)=DATE(YEAR(TODAY()),MONTH(TODAY()),1))),1,0))</f>
        <v/>
      </c>
      <c r="S419">
        <f>IF($A419="","",IF(AND($B419&gt;0,F419&lt;$B419,DATE($B$1,4,1)&lt;=TODAY(),OR($O419="",$O419&gt;=DATE($B$1,4,1)),OR(COUNTIF($C419:F419,"&gt;0")&gt;0,DATE($B$1,4,1)=DATE(YEAR(TODAY()),MONTH(TODAY()),1))),1,0))</f>
        <v/>
      </c>
      <c r="T419">
        <f>IF($A419="","",IF(AND($B419&gt;0,G419&lt;$B419,DATE($B$1,5,1)&lt;=TODAY(),OR($O419="",$O419&gt;=DATE($B$1,5,1)),OR(COUNTIF($C419:G419,"&gt;0")&gt;0,DATE($B$1,5,1)=DATE(YEAR(TODAY()),MONTH(TODAY()),1))),1,0))</f>
        <v/>
      </c>
      <c r="U419">
        <f>IF($A419="","",IF(AND($B419&gt;0,H419&lt;$B419,DATE($B$1,6,1)&lt;=TODAY(),OR($O419="",$O419&gt;=DATE($B$1,6,1)),OR(COUNTIF($C419:H419,"&gt;0")&gt;0,DATE($B$1,6,1)=DATE(YEAR(TODAY()),MONTH(TODAY()),1))),1,0))</f>
        <v/>
      </c>
      <c r="V419">
        <f>IF($A419="","",IF(AND($B419&gt;0,I419&lt;$B419,DATE($B$1,7,1)&lt;=TODAY(),OR($O419="",$O419&gt;=DATE($B$1,7,1)),OR(COUNTIF($C419:I419,"&gt;0")&gt;0,DATE($B$1,7,1)=DATE(YEAR(TODAY()),MONTH(TODAY()),1))),1,0))</f>
        <v/>
      </c>
      <c r="W419">
        <f>IF($A419="","",IF(AND($B419&gt;0,J419&lt;$B419,DATE($B$1,8,1)&lt;=TODAY(),OR($O419="",$O419&gt;=DATE($B$1,8,1)),OR(COUNTIF($C419:J419,"&gt;0")&gt;0,DATE($B$1,8,1)=DATE(YEAR(TODAY()),MONTH(TODAY()),1))),1,0))</f>
        <v/>
      </c>
      <c r="X419">
        <f>IF($A419="","",IF(AND($B419&gt;0,K419&lt;$B419,DATE($B$1,9,1)&lt;=TODAY(),OR($O419="",$O419&gt;=DATE($B$1,9,1)),OR(COUNTIF($C419:K419,"&gt;0")&gt;0,DATE($B$1,9,1)=DATE(YEAR(TODAY()),MONTH(TODAY()),1))),1,0))</f>
        <v/>
      </c>
      <c r="Y419">
        <f>IF($A419="","",IF(AND($B419&gt;0,L419&lt;$B419,DATE($B$1,10,1)&lt;=TODAY(),OR($O419="",$O419&gt;=DATE($B$1,10,1)),OR(COUNTIF($C419:L419,"&gt;0")&gt;0,DATE($B$1,10,1)=DATE(YEAR(TODAY()),MONTH(TODAY()),1))),1,0))</f>
        <v/>
      </c>
      <c r="Z419">
        <f>IF($A419="","",IF(AND($B419&gt;0,M419&lt;$B419,DATE($B$1,11,1)&lt;=TODAY(),OR($O419="",$O419&gt;=DATE($B$1,11,1)),OR(COUNTIF($C419:M419,"&gt;0")&gt;0,DATE($B$1,11,1)=DATE(YEAR(TODAY()),MONTH(TODAY()),1))),1,0))</f>
        <v/>
      </c>
      <c r="AA419">
        <f>IF($A419="","",IF(AND($B419&gt;0,N419&lt;$B419,DATE($B$1,12,1)&lt;=TODAY(),OR($O419="",$O419&gt;=DATE($B$1,12,1)),OR(COUNTIF($C419:N419,"&gt;0")&gt;0,DATE($B$1,12,1)=DATE(YEAR(TODAY()),MONTH(TODAY()),1))),1,0))</f>
        <v/>
      </c>
    </row>
    <row r="420">
      <c r="A420" s="13">
        <f>IF(원생!$A418="","",원생!$A418&amp;IF(원생!$G418="",""," ("&amp;원생!$G418&amp;")"))</f>
        <v/>
      </c>
      <c r="B420" s="8">
        <f>IF(원생!$A418="","",원생!$F418)</f>
        <v/>
      </c>
      <c r="C420" s="14">
        <f>IF(원생!$A418="","",SUMIFS(수납!$F:$F,수납!$C:$C,원생!$A418,수납!$D:$D,IF(원생!$G418="","",원생!$G418),수납!$B:$B,$B$1&amp;"-"&amp;TEXT(1,"00")&amp;"*",수납!$E:$E,"수강료")+SUMIFS(수납!$F:$F,수납!$C:$C,원생!$A418,수납!$D:$D,IF(원생!$G418="","",원생!$G418),수납!$B:$B,$B$1&amp;"-"&amp;TEXT(1,"00")&amp;"*",수납!$E:$E,""))</f>
        <v/>
      </c>
      <c r="D420" s="14">
        <f>IF(원생!$A418="","",SUMIFS(수납!$F:$F,수납!$C:$C,원생!$A418,수납!$D:$D,IF(원생!$G418="","",원생!$G418),수납!$B:$B,$B$1&amp;"-"&amp;TEXT(2,"00")&amp;"*",수납!$E:$E,"수강료")+SUMIFS(수납!$F:$F,수납!$C:$C,원생!$A418,수납!$D:$D,IF(원생!$G418="","",원생!$G418),수납!$B:$B,$B$1&amp;"-"&amp;TEXT(2,"00")&amp;"*",수납!$E:$E,""))</f>
        <v/>
      </c>
      <c r="E420" s="14">
        <f>IF(원생!$A418="","",SUMIFS(수납!$F:$F,수납!$C:$C,원생!$A418,수납!$D:$D,IF(원생!$G418="","",원생!$G418),수납!$B:$B,$B$1&amp;"-"&amp;TEXT(3,"00")&amp;"*",수납!$E:$E,"수강료")+SUMIFS(수납!$F:$F,수납!$C:$C,원생!$A418,수납!$D:$D,IF(원생!$G418="","",원생!$G418),수납!$B:$B,$B$1&amp;"-"&amp;TEXT(3,"00")&amp;"*",수납!$E:$E,""))</f>
        <v/>
      </c>
      <c r="F420" s="14">
        <f>IF(원생!$A418="","",SUMIFS(수납!$F:$F,수납!$C:$C,원생!$A418,수납!$D:$D,IF(원생!$G418="","",원생!$G418),수납!$B:$B,$B$1&amp;"-"&amp;TEXT(4,"00")&amp;"*",수납!$E:$E,"수강료")+SUMIFS(수납!$F:$F,수납!$C:$C,원생!$A418,수납!$D:$D,IF(원생!$G418="","",원생!$G418),수납!$B:$B,$B$1&amp;"-"&amp;TEXT(4,"00")&amp;"*",수납!$E:$E,""))</f>
        <v/>
      </c>
      <c r="G420" s="14">
        <f>IF(원생!$A418="","",SUMIFS(수납!$F:$F,수납!$C:$C,원생!$A418,수납!$D:$D,IF(원생!$G418="","",원생!$G418),수납!$B:$B,$B$1&amp;"-"&amp;TEXT(5,"00")&amp;"*",수납!$E:$E,"수강료")+SUMIFS(수납!$F:$F,수납!$C:$C,원생!$A418,수납!$D:$D,IF(원생!$G418="","",원생!$G418),수납!$B:$B,$B$1&amp;"-"&amp;TEXT(5,"00")&amp;"*",수납!$E:$E,""))</f>
        <v/>
      </c>
      <c r="H420" s="14">
        <f>IF(원생!$A418="","",SUMIFS(수납!$F:$F,수납!$C:$C,원생!$A418,수납!$D:$D,IF(원생!$G418="","",원생!$G418),수납!$B:$B,$B$1&amp;"-"&amp;TEXT(6,"00")&amp;"*",수납!$E:$E,"수강료")+SUMIFS(수납!$F:$F,수납!$C:$C,원생!$A418,수납!$D:$D,IF(원생!$G418="","",원생!$G418),수납!$B:$B,$B$1&amp;"-"&amp;TEXT(6,"00")&amp;"*",수납!$E:$E,""))</f>
        <v/>
      </c>
      <c r="I420" s="14">
        <f>IF(원생!$A418="","",SUMIFS(수납!$F:$F,수납!$C:$C,원생!$A418,수납!$D:$D,IF(원생!$G418="","",원생!$G418),수납!$B:$B,$B$1&amp;"-"&amp;TEXT(7,"00")&amp;"*",수납!$E:$E,"수강료")+SUMIFS(수납!$F:$F,수납!$C:$C,원생!$A418,수납!$D:$D,IF(원생!$G418="","",원생!$G418),수납!$B:$B,$B$1&amp;"-"&amp;TEXT(7,"00")&amp;"*",수납!$E:$E,""))</f>
        <v/>
      </c>
      <c r="J420" s="14">
        <f>IF(원생!$A418="","",SUMIFS(수납!$F:$F,수납!$C:$C,원생!$A418,수납!$D:$D,IF(원생!$G418="","",원생!$G418),수납!$B:$B,$B$1&amp;"-"&amp;TEXT(8,"00")&amp;"*",수납!$E:$E,"수강료")+SUMIFS(수납!$F:$F,수납!$C:$C,원생!$A418,수납!$D:$D,IF(원생!$G418="","",원생!$G418),수납!$B:$B,$B$1&amp;"-"&amp;TEXT(8,"00")&amp;"*",수납!$E:$E,""))</f>
        <v/>
      </c>
      <c r="K420" s="14">
        <f>IF(원생!$A418="","",SUMIFS(수납!$F:$F,수납!$C:$C,원생!$A418,수납!$D:$D,IF(원생!$G418="","",원생!$G418),수납!$B:$B,$B$1&amp;"-"&amp;TEXT(9,"00")&amp;"*",수납!$E:$E,"수강료")+SUMIFS(수납!$F:$F,수납!$C:$C,원생!$A418,수납!$D:$D,IF(원생!$G418="","",원생!$G418),수납!$B:$B,$B$1&amp;"-"&amp;TEXT(9,"00")&amp;"*",수납!$E:$E,""))</f>
        <v/>
      </c>
      <c r="L420" s="14">
        <f>IF(원생!$A418="","",SUMIFS(수납!$F:$F,수납!$C:$C,원생!$A418,수납!$D:$D,IF(원생!$G418="","",원생!$G418),수납!$B:$B,$B$1&amp;"-"&amp;TEXT(10,"00")&amp;"*",수납!$E:$E,"수강료")+SUMIFS(수납!$F:$F,수납!$C:$C,원생!$A418,수납!$D:$D,IF(원생!$G418="","",원생!$G418),수납!$B:$B,$B$1&amp;"-"&amp;TEXT(10,"00")&amp;"*",수납!$E:$E,""))</f>
        <v/>
      </c>
      <c r="M420" s="14">
        <f>IF(원생!$A418="","",SUMIFS(수납!$F:$F,수납!$C:$C,원생!$A418,수납!$D:$D,IF(원생!$G418="","",원생!$G418),수납!$B:$B,$B$1&amp;"-"&amp;TEXT(11,"00")&amp;"*",수납!$E:$E,"수강료")+SUMIFS(수납!$F:$F,수납!$C:$C,원생!$A418,수납!$D:$D,IF(원생!$G418="","",원생!$G418),수납!$B:$B,$B$1&amp;"-"&amp;TEXT(11,"00")&amp;"*",수납!$E:$E,""))</f>
        <v/>
      </c>
      <c r="N420" s="14">
        <f>IF(원생!$A418="","",SUMIFS(수납!$F:$F,수납!$C:$C,원생!$A418,수납!$D:$D,IF(원생!$G418="","",원생!$G418),수납!$B:$B,$B$1&amp;"-"&amp;TEXT(12,"00")&amp;"*",수납!$E:$E,"수강료")+SUMIFS(수납!$F:$F,수납!$C:$C,원생!$A418,수납!$D:$D,IF(원생!$G418="","",원생!$G418),수납!$B:$B,$B$1&amp;"-"&amp;TEXT(12,"00")&amp;"*",수납!$E:$E,""))</f>
        <v/>
      </c>
      <c r="O420">
        <f>IF(원생!$I418="","",원생!$I418)</f>
        <v/>
      </c>
      <c r="P420">
        <f>IF($A420="","",IF(AND($B420&gt;0,C420&lt;$B420,DATE($B$1,1,1)&lt;=TODAY(),OR($O420="",$O420&gt;=DATE($B$1,1,1)),OR(COUNTIF($C420:C420,"&gt;0")&gt;0,DATE($B$1,1,1)=DATE(YEAR(TODAY()),MONTH(TODAY()),1))),1,0))</f>
        <v/>
      </c>
      <c r="Q420">
        <f>IF($A420="","",IF(AND($B420&gt;0,D420&lt;$B420,DATE($B$1,2,1)&lt;=TODAY(),OR($O420="",$O420&gt;=DATE($B$1,2,1)),OR(COUNTIF($C420:D420,"&gt;0")&gt;0,DATE($B$1,2,1)=DATE(YEAR(TODAY()),MONTH(TODAY()),1))),1,0))</f>
        <v/>
      </c>
      <c r="R420">
        <f>IF($A420="","",IF(AND($B420&gt;0,E420&lt;$B420,DATE($B$1,3,1)&lt;=TODAY(),OR($O420="",$O420&gt;=DATE($B$1,3,1)),OR(COUNTIF($C420:E420,"&gt;0")&gt;0,DATE($B$1,3,1)=DATE(YEAR(TODAY()),MONTH(TODAY()),1))),1,0))</f>
        <v/>
      </c>
      <c r="S420">
        <f>IF($A420="","",IF(AND($B420&gt;0,F420&lt;$B420,DATE($B$1,4,1)&lt;=TODAY(),OR($O420="",$O420&gt;=DATE($B$1,4,1)),OR(COUNTIF($C420:F420,"&gt;0")&gt;0,DATE($B$1,4,1)=DATE(YEAR(TODAY()),MONTH(TODAY()),1))),1,0))</f>
        <v/>
      </c>
      <c r="T420">
        <f>IF($A420="","",IF(AND($B420&gt;0,G420&lt;$B420,DATE($B$1,5,1)&lt;=TODAY(),OR($O420="",$O420&gt;=DATE($B$1,5,1)),OR(COUNTIF($C420:G420,"&gt;0")&gt;0,DATE($B$1,5,1)=DATE(YEAR(TODAY()),MONTH(TODAY()),1))),1,0))</f>
        <v/>
      </c>
      <c r="U420">
        <f>IF($A420="","",IF(AND($B420&gt;0,H420&lt;$B420,DATE($B$1,6,1)&lt;=TODAY(),OR($O420="",$O420&gt;=DATE($B$1,6,1)),OR(COUNTIF($C420:H420,"&gt;0")&gt;0,DATE($B$1,6,1)=DATE(YEAR(TODAY()),MONTH(TODAY()),1))),1,0))</f>
        <v/>
      </c>
      <c r="V420">
        <f>IF($A420="","",IF(AND($B420&gt;0,I420&lt;$B420,DATE($B$1,7,1)&lt;=TODAY(),OR($O420="",$O420&gt;=DATE($B$1,7,1)),OR(COUNTIF($C420:I420,"&gt;0")&gt;0,DATE($B$1,7,1)=DATE(YEAR(TODAY()),MONTH(TODAY()),1))),1,0))</f>
        <v/>
      </c>
      <c r="W420">
        <f>IF($A420="","",IF(AND($B420&gt;0,J420&lt;$B420,DATE($B$1,8,1)&lt;=TODAY(),OR($O420="",$O420&gt;=DATE($B$1,8,1)),OR(COUNTIF($C420:J420,"&gt;0")&gt;0,DATE($B$1,8,1)=DATE(YEAR(TODAY()),MONTH(TODAY()),1))),1,0))</f>
        <v/>
      </c>
      <c r="X420">
        <f>IF($A420="","",IF(AND($B420&gt;0,K420&lt;$B420,DATE($B$1,9,1)&lt;=TODAY(),OR($O420="",$O420&gt;=DATE($B$1,9,1)),OR(COUNTIF($C420:K420,"&gt;0")&gt;0,DATE($B$1,9,1)=DATE(YEAR(TODAY()),MONTH(TODAY()),1))),1,0))</f>
        <v/>
      </c>
      <c r="Y420">
        <f>IF($A420="","",IF(AND($B420&gt;0,L420&lt;$B420,DATE($B$1,10,1)&lt;=TODAY(),OR($O420="",$O420&gt;=DATE($B$1,10,1)),OR(COUNTIF($C420:L420,"&gt;0")&gt;0,DATE($B$1,10,1)=DATE(YEAR(TODAY()),MONTH(TODAY()),1))),1,0))</f>
        <v/>
      </c>
      <c r="Z420">
        <f>IF($A420="","",IF(AND($B420&gt;0,M420&lt;$B420,DATE($B$1,11,1)&lt;=TODAY(),OR($O420="",$O420&gt;=DATE($B$1,11,1)),OR(COUNTIF($C420:M420,"&gt;0")&gt;0,DATE($B$1,11,1)=DATE(YEAR(TODAY()),MONTH(TODAY()),1))),1,0))</f>
        <v/>
      </c>
      <c r="AA420">
        <f>IF($A420="","",IF(AND($B420&gt;0,N420&lt;$B420,DATE($B$1,12,1)&lt;=TODAY(),OR($O420="",$O420&gt;=DATE($B$1,12,1)),OR(COUNTIF($C420:N420,"&gt;0")&gt;0,DATE($B$1,12,1)=DATE(YEAR(TODAY()),MONTH(TODAY()),1))),1,0))</f>
        <v/>
      </c>
    </row>
    <row r="421">
      <c r="A421" s="13">
        <f>IF(원생!$A419="","",원생!$A419&amp;IF(원생!$G419="",""," ("&amp;원생!$G419&amp;")"))</f>
        <v/>
      </c>
      <c r="B421" s="8">
        <f>IF(원생!$A419="","",원생!$F419)</f>
        <v/>
      </c>
      <c r="C421" s="14">
        <f>IF(원생!$A419="","",SUMIFS(수납!$F:$F,수납!$C:$C,원생!$A419,수납!$D:$D,IF(원생!$G419="","",원생!$G419),수납!$B:$B,$B$1&amp;"-"&amp;TEXT(1,"00")&amp;"*",수납!$E:$E,"수강료")+SUMIFS(수납!$F:$F,수납!$C:$C,원생!$A419,수납!$D:$D,IF(원생!$G419="","",원생!$G419),수납!$B:$B,$B$1&amp;"-"&amp;TEXT(1,"00")&amp;"*",수납!$E:$E,""))</f>
        <v/>
      </c>
      <c r="D421" s="14">
        <f>IF(원생!$A419="","",SUMIFS(수납!$F:$F,수납!$C:$C,원생!$A419,수납!$D:$D,IF(원생!$G419="","",원생!$G419),수납!$B:$B,$B$1&amp;"-"&amp;TEXT(2,"00")&amp;"*",수납!$E:$E,"수강료")+SUMIFS(수납!$F:$F,수납!$C:$C,원생!$A419,수납!$D:$D,IF(원생!$G419="","",원생!$G419),수납!$B:$B,$B$1&amp;"-"&amp;TEXT(2,"00")&amp;"*",수납!$E:$E,""))</f>
        <v/>
      </c>
      <c r="E421" s="14">
        <f>IF(원생!$A419="","",SUMIFS(수납!$F:$F,수납!$C:$C,원생!$A419,수납!$D:$D,IF(원생!$G419="","",원생!$G419),수납!$B:$B,$B$1&amp;"-"&amp;TEXT(3,"00")&amp;"*",수납!$E:$E,"수강료")+SUMIFS(수납!$F:$F,수납!$C:$C,원생!$A419,수납!$D:$D,IF(원생!$G419="","",원생!$G419),수납!$B:$B,$B$1&amp;"-"&amp;TEXT(3,"00")&amp;"*",수납!$E:$E,""))</f>
        <v/>
      </c>
      <c r="F421" s="14">
        <f>IF(원생!$A419="","",SUMIFS(수납!$F:$F,수납!$C:$C,원생!$A419,수납!$D:$D,IF(원생!$G419="","",원생!$G419),수납!$B:$B,$B$1&amp;"-"&amp;TEXT(4,"00")&amp;"*",수납!$E:$E,"수강료")+SUMIFS(수납!$F:$F,수납!$C:$C,원생!$A419,수납!$D:$D,IF(원생!$G419="","",원생!$G419),수납!$B:$B,$B$1&amp;"-"&amp;TEXT(4,"00")&amp;"*",수납!$E:$E,""))</f>
        <v/>
      </c>
      <c r="G421" s="14">
        <f>IF(원생!$A419="","",SUMIFS(수납!$F:$F,수납!$C:$C,원생!$A419,수납!$D:$D,IF(원생!$G419="","",원생!$G419),수납!$B:$B,$B$1&amp;"-"&amp;TEXT(5,"00")&amp;"*",수납!$E:$E,"수강료")+SUMIFS(수납!$F:$F,수납!$C:$C,원생!$A419,수납!$D:$D,IF(원생!$G419="","",원생!$G419),수납!$B:$B,$B$1&amp;"-"&amp;TEXT(5,"00")&amp;"*",수납!$E:$E,""))</f>
        <v/>
      </c>
      <c r="H421" s="14">
        <f>IF(원생!$A419="","",SUMIFS(수납!$F:$F,수납!$C:$C,원생!$A419,수납!$D:$D,IF(원생!$G419="","",원생!$G419),수납!$B:$B,$B$1&amp;"-"&amp;TEXT(6,"00")&amp;"*",수납!$E:$E,"수강료")+SUMIFS(수납!$F:$F,수납!$C:$C,원생!$A419,수납!$D:$D,IF(원생!$G419="","",원생!$G419),수납!$B:$B,$B$1&amp;"-"&amp;TEXT(6,"00")&amp;"*",수납!$E:$E,""))</f>
        <v/>
      </c>
      <c r="I421" s="14">
        <f>IF(원생!$A419="","",SUMIFS(수납!$F:$F,수납!$C:$C,원생!$A419,수납!$D:$D,IF(원생!$G419="","",원생!$G419),수납!$B:$B,$B$1&amp;"-"&amp;TEXT(7,"00")&amp;"*",수납!$E:$E,"수강료")+SUMIFS(수납!$F:$F,수납!$C:$C,원생!$A419,수납!$D:$D,IF(원생!$G419="","",원생!$G419),수납!$B:$B,$B$1&amp;"-"&amp;TEXT(7,"00")&amp;"*",수납!$E:$E,""))</f>
        <v/>
      </c>
      <c r="J421" s="14">
        <f>IF(원생!$A419="","",SUMIFS(수납!$F:$F,수납!$C:$C,원생!$A419,수납!$D:$D,IF(원생!$G419="","",원생!$G419),수납!$B:$B,$B$1&amp;"-"&amp;TEXT(8,"00")&amp;"*",수납!$E:$E,"수강료")+SUMIFS(수납!$F:$F,수납!$C:$C,원생!$A419,수납!$D:$D,IF(원생!$G419="","",원생!$G419),수납!$B:$B,$B$1&amp;"-"&amp;TEXT(8,"00")&amp;"*",수납!$E:$E,""))</f>
        <v/>
      </c>
      <c r="K421" s="14">
        <f>IF(원생!$A419="","",SUMIFS(수납!$F:$F,수납!$C:$C,원생!$A419,수납!$D:$D,IF(원생!$G419="","",원생!$G419),수납!$B:$B,$B$1&amp;"-"&amp;TEXT(9,"00")&amp;"*",수납!$E:$E,"수강료")+SUMIFS(수납!$F:$F,수납!$C:$C,원생!$A419,수납!$D:$D,IF(원생!$G419="","",원생!$G419),수납!$B:$B,$B$1&amp;"-"&amp;TEXT(9,"00")&amp;"*",수납!$E:$E,""))</f>
        <v/>
      </c>
      <c r="L421" s="14">
        <f>IF(원생!$A419="","",SUMIFS(수납!$F:$F,수납!$C:$C,원생!$A419,수납!$D:$D,IF(원생!$G419="","",원생!$G419),수납!$B:$B,$B$1&amp;"-"&amp;TEXT(10,"00")&amp;"*",수납!$E:$E,"수강료")+SUMIFS(수납!$F:$F,수납!$C:$C,원생!$A419,수납!$D:$D,IF(원생!$G419="","",원생!$G419),수납!$B:$B,$B$1&amp;"-"&amp;TEXT(10,"00")&amp;"*",수납!$E:$E,""))</f>
        <v/>
      </c>
      <c r="M421" s="14">
        <f>IF(원생!$A419="","",SUMIFS(수납!$F:$F,수납!$C:$C,원생!$A419,수납!$D:$D,IF(원생!$G419="","",원생!$G419),수납!$B:$B,$B$1&amp;"-"&amp;TEXT(11,"00")&amp;"*",수납!$E:$E,"수강료")+SUMIFS(수납!$F:$F,수납!$C:$C,원생!$A419,수납!$D:$D,IF(원생!$G419="","",원생!$G419),수납!$B:$B,$B$1&amp;"-"&amp;TEXT(11,"00")&amp;"*",수납!$E:$E,""))</f>
        <v/>
      </c>
      <c r="N421" s="14">
        <f>IF(원생!$A419="","",SUMIFS(수납!$F:$F,수납!$C:$C,원생!$A419,수납!$D:$D,IF(원생!$G419="","",원생!$G419),수납!$B:$B,$B$1&amp;"-"&amp;TEXT(12,"00")&amp;"*",수납!$E:$E,"수강료")+SUMIFS(수납!$F:$F,수납!$C:$C,원생!$A419,수납!$D:$D,IF(원생!$G419="","",원생!$G419),수납!$B:$B,$B$1&amp;"-"&amp;TEXT(12,"00")&amp;"*",수납!$E:$E,""))</f>
        <v/>
      </c>
      <c r="O421">
        <f>IF(원생!$I419="","",원생!$I419)</f>
        <v/>
      </c>
      <c r="P421">
        <f>IF($A421="","",IF(AND($B421&gt;0,C421&lt;$B421,DATE($B$1,1,1)&lt;=TODAY(),OR($O421="",$O421&gt;=DATE($B$1,1,1)),OR(COUNTIF($C421:C421,"&gt;0")&gt;0,DATE($B$1,1,1)=DATE(YEAR(TODAY()),MONTH(TODAY()),1))),1,0))</f>
        <v/>
      </c>
      <c r="Q421">
        <f>IF($A421="","",IF(AND($B421&gt;0,D421&lt;$B421,DATE($B$1,2,1)&lt;=TODAY(),OR($O421="",$O421&gt;=DATE($B$1,2,1)),OR(COUNTIF($C421:D421,"&gt;0")&gt;0,DATE($B$1,2,1)=DATE(YEAR(TODAY()),MONTH(TODAY()),1))),1,0))</f>
        <v/>
      </c>
      <c r="R421">
        <f>IF($A421="","",IF(AND($B421&gt;0,E421&lt;$B421,DATE($B$1,3,1)&lt;=TODAY(),OR($O421="",$O421&gt;=DATE($B$1,3,1)),OR(COUNTIF($C421:E421,"&gt;0")&gt;0,DATE($B$1,3,1)=DATE(YEAR(TODAY()),MONTH(TODAY()),1))),1,0))</f>
        <v/>
      </c>
      <c r="S421">
        <f>IF($A421="","",IF(AND($B421&gt;0,F421&lt;$B421,DATE($B$1,4,1)&lt;=TODAY(),OR($O421="",$O421&gt;=DATE($B$1,4,1)),OR(COUNTIF($C421:F421,"&gt;0")&gt;0,DATE($B$1,4,1)=DATE(YEAR(TODAY()),MONTH(TODAY()),1))),1,0))</f>
        <v/>
      </c>
      <c r="T421">
        <f>IF($A421="","",IF(AND($B421&gt;0,G421&lt;$B421,DATE($B$1,5,1)&lt;=TODAY(),OR($O421="",$O421&gt;=DATE($B$1,5,1)),OR(COUNTIF($C421:G421,"&gt;0")&gt;0,DATE($B$1,5,1)=DATE(YEAR(TODAY()),MONTH(TODAY()),1))),1,0))</f>
        <v/>
      </c>
      <c r="U421">
        <f>IF($A421="","",IF(AND($B421&gt;0,H421&lt;$B421,DATE($B$1,6,1)&lt;=TODAY(),OR($O421="",$O421&gt;=DATE($B$1,6,1)),OR(COUNTIF($C421:H421,"&gt;0")&gt;0,DATE($B$1,6,1)=DATE(YEAR(TODAY()),MONTH(TODAY()),1))),1,0))</f>
        <v/>
      </c>
      <c r="V421">
        <f>IF($A421="","",IF(AND($B421&gt;0,I421&lt;$B421,DATE($B$1,7,1)&lt;=TODAY(),OR($O421="",$O421&gt;=DATE($B$1,7,1)),OR(COUNTIF($C421:I421,"&gt;0")&gt;0,DATE($B$1,7,1)=DATE(YEAR(TODAY()),MONTH(TODAY()),1))),1,0))</f>
        <v/>
      </c>
      <c r="W421">
        <f>IF($A421="","",IF(AND($B421&gt;0,J421&lt;$B421,DATE($B$1,8,1)&lt;=TODAY(),OR($O421="",$O421&gt;=DATE($B$1,8,1)),OR(COUNTIF($C421:J421,"&gt;0")&gt;0,DATE($B$1,8,1)=DATE(YEAR(TODAY()),MONTH(TODAY()),1))),1,0))</f>
        <v/>
      </c>
      <c r="X421">
        <f>IF($A421="","",IF(AND($B421&gt;0,K421&lt;$B421,DATE($B$1,9,1)&lt;=TODAY(),OR($O421="",$O421&gt;=DATE($B$1,9,1)),OR(COUNTIF($C421:K421,"&gt;0")&gt;0,DATE($B$1,9,1)=DATE(YEAR(TODAY()),MONTH(TODAY()),1))),1,0))</f>
        <v/>
      </c>
      <c r="Y421">
        <f>IF($A421="","",IF(AND($B421&gt;0,L421&lt;$B421,DATE($B$1,10,1)&lt;=TODAY(),OR($O421="",$O421&gt;=DATE($B$1,10,1)),OR(COUNTIF($C421:L421,"&gt;0")&gt;0,DATE($B$1,10,1)=DATE(YEAR(TODAY()),MONTH(TODAY()),1))),1,0))</f>
        <v/>
      </c>
      <c r="Z421">
        <f>IF($A421="","",IF(AND($B421&gt;0,M421&lt;$B421,DATE($B$1,11,1)&lt;=TODAY(),OR($O421="",$O421&gt;=DATE($B$1,11,1)),OR(COUNTIF($C421:M421,"&gt;0")&gt;0,DATE($B$1,11,1)=DATE(YEAR(TODAY()),MONTH(TODAY()),1))),1,0))</f>
        <v/>
      </c>
      <c r="AA421">
        <f>IF($A421="","",IF(AND($B421&gt;0,N421&lt;$B421,DATE($B$1,12,1)&lt;=TODAY(),OR($O421="",$O421&gt;=DATE($B$1,12,1)),OR(COUNTIF($C421:N421,"&gt;0")&gt;0,DATE($B$1,12,1)=DATE(YEAR(TODAY()),MONTH(TODAY()),1))),1,0))</f>
        <v/>
      </c>
    </row>
    <row r="422">
      <c r="A422" s="13">
        <f>IF(원생!$A420="","",원생!$A420&amp;IF(원생!$G420="",""," ("&amp;원생!$G420&amp;")"))</f>
        <v/>
      </c>
      <c r="B422" s="8">
        <f>IF(원생!$A420="","",원생!$F420)</f>
        <v/>
      </c>
      <c r="C422" s="14">
        <f>IF(원생!$A420="","",SUMIFS(수납!$F:$F,수납!$C:$C,원생!$A420,수납!$D:$D,IF(원생!$G420="","",원생!$G420),수납!$B:$B,$B$1&amp;"-"&amp;TEXT(1,"00")&amp;"*",수납!$E:$E,"수강료")+SUMIFS(수납!$F:$F,수납!$C:$C,원생!$A420,수납!$D:$D,IF(원생!$G420="","",원생!$G420),수납!$B:$B,$B$1&amp;"-"&amp;TEXT(1,"00")&amp;"*",수납!$E:$E,""))</f>
        <v/>
      </c>
      <c r="D422" s="14">
        <f>IF(원생!$A420="","",SUMIFS(수납!$F:$F,수납!$C:$C,원생!$A420,수납!$D:$D,IF(원생!$G420="","",원생!$G420),수납!$B:$B,$B$1&amp;"-"&amp;TEXT(2,"00")&amp;"*",수납!$E:$E,"수강료")+SUMIFS(수납!$F:$F,수납!$C:$C,원생!$A420,수납!$D:$D,IF(원생!$G420="","",원생!$G420),수납!$B:$B,$B$1&amp;"-"&amp;TEXT(2,"00")&amp;"*",수납!$E:$E,""))</f>
        <v/>
      </c>
      <c r="E422" s="14">
        <f>IF(원생!$A420="","",SUMIFS(수납!$F:$F,수납!$C:$C,원생!$A420,수납!$D:$D,IF(원생!$G420="","",원생!$G420),수납!$B:$B,$B$1&amp;"-"&amp;TEXT(3,"00")&amp;"*",수납!$E:$E,"수강료")+SUMIFS(수납!$F:$F,수납!$C:$C,원생!$A420,수납!$D:$D,IF(원생!$G420="","",원생!$G420),수납!$B:$B,$B$1&amp;"-"&amp;TEXT(3,"00")&amp;"*",수납!$E:$E,""))</f>
        <v/>
      </c>
      <c r="F422" s="14">
        <f>IF(원생!$A420="","",SUMIFS(수납!$F:$F,수납!$C:$C,원생!$A420,수납!$D:$D,IF(원생!$G420="","",원생!$G420),수납!$B:$B,$B$1&amp;"-"&amp;TEXT(4,"00")&amp;"*",수납!$E:$E,"수강료")+SUMIFS(수납!$F:$F,수납!$C:$C,원생!$A420,수납!$D:$D,IF(원생!$G420="","",원생!$G420),수납!$B:$B,$B$1&amp;"-"&amp;TEXT(4,"00")&amp;"*",수납!$E:$E,""))</f>
        <v/>
      </c>
      <c r="G422" s="14">
        <f>IF(원생!$A420="","",SUMIFS(수납!$F:$F,수납!$C:$C,원생!$A420,수납!$D:$D,IF(원생!$G420="","",원생!$G420),수납!$B:$B,$B$1&amp;"-"&amp;TEXT(5,"00")&amp;"*",수납!$E:$E,"수강료")+SUMIFS(수납!$F:$F,수납!$C:$C,원생!$A420,수납!$D:$D,IF(원생!$G420="","",원생!$G420),수납!$B:$B,$B$1&amp;"-"&amp;TEXT(5,"00")&amp;"*",수납!$E:$E,""))</f>
        <v/>
      </c>
      <c r="H422" s="14">
        <f>IF(원생!$A420="","",SUMIFS(수납!$F:$F,수납!$C:$C,원생!$A420,수납!$D:$D,IF(원생!$G420="","",원생!$G420),수납!$B:$B,$B$1&amp;"-"&amp;TEXT(6,"00")&amp;"*",수납!$E:$E,"수강료")+SUMIFS(수납!$F:$F,수납!$C:$C,원생!$A420,수납!$D:$D,IF(원생!$G420="","",원생!$G420),수납!$B:$B,$B$1&amp;"-"&amp;TEXT(6,"00")&amp;"*",수납!$E:$E,""))</f>
        <v/>
      </c>
      <c r="I422" s="14">
        <f>IF(원생!$A420="","",SUMIFS(수납!$F:$F,수납!$C:$C,원생!$A420,수납!$D:$D,IF(원생!$G420="","",원생!$G420),수납!$B:$B,$B$1&amp;"-"&amp;TEXT(7,"00")&amp;"*",수납!$E:$E,"수강료")+SUMIFS(수납!$F:$F,수납!$C:$C,원생!$A420,수납!$D:$D,IF(원생!$G420="","",원생!$G420),수납!$B:$B,$B$1&amp;"-"&amp;TEXT(7,"00")&amp;"*",수납!$E:$E,""))</f>
        <v/>
      </c>
      <c r="J422" s="14">
        <f>IF(원생!$A420="","",SUMIFS(수납!$F:$F,수납!$C:$C,원생!$A420,수납!$D:$D,IF(원생!$G420="","",원생!$G420),수납!$B:$B,$B$1&amp;"-"&amp;TEXT(8,"00")&amp;"*",수납!$E:$E,"수강료")+SUMIFS(수납!$F:$F,수납!$C:$C,원생!$A420,수납!$D:$D,IF(원생!$G420="","",원생!$G420),수납!$B:$B,$B$1&amp;"-"&amp;TEXT(8,"00")&amp;"*",수납!$E:$E,""))</f>
        <v/>
      </c>
      <c r="K422" s="14">
        <f>IF(원생!$A420="","",SUMIFS(수납!$F:$F,수납!$C:$C,원생!$A420,수납!$D:$D,IF(원생!$G420="","",원생!$G420),수납!$B:$B,$B$1&amp;"-"&amp;TEXT(9,"00")&amp;"*",수납!$E:$E,"수강료")+SUMIFS(수납!$F:$F,수납!$C:$C,원생!$A420,수납!$D:$D,IF(원생!$G420="","",원생!$G420),수납!$B:$B,$B$1&amp;"-"&amp;TEXT(9,"00")&amp;"*",수납!$E:$E,""))</f>
        <v/>
      </c>
      <c r="L422" s="14">
        <f>IF(원생!$A420="","",SUMIFS(수납!$F:$F,수납!$C:$C,원생!$A420,수납!$D:$D,IF(원생!$G420="","",원생!$G420),수납!$B:$B,$B$1&amp;"-"&amp;TEXT(10,"00")&amp;"*",수납!$E:$E,"수강료")+SUMIFS(수납!$F:$F,수납!$C:$C,원생!$A420,수납!$D:$D,IF(원생!$G420="","",원생!$G420),수납!$B:$B,$B$1&amp;"-"&amp;TEXT(10,"00")&amp;"*",수납!$E:$E,""))</f>
        <v/>
      </c>
      <c r="M422" s="14">
        <f>IF(원생!$A420="","",SUMIFS(수납!$F:$F,수납!$C:$C,원생!$A420,수납!$D:$D,IF(원생!$G420="","",원생!$G420),수납!$B:$B,$B$1&amp;"-"&amp;TEXT(11,"00")&amp;"*",수납!$E:$E,"수강료")+SUMIFS(수납!$F:$F,수납!$C:$C,원생!$A420,수납!$D:$D,IF(원생!$G420="","",원생!$G420),수납!$B:$B,$B$1&amp;"-"&amp;TEXT(11,"00")&amp;"*",수납!$E:$E,""))</f>
        <v/>
      </c>
      <c r="N422" s="14">
        <f>IF(원생!$A420="","",SUMIFS(수납!$F:$F,수납!$C:$C,원생!$A420,수납!$D:$D,IF(원생!$G420="","",원생!$G420),수납!$B:$B,$B$1&amp;"-"&amp;TEXT(12,"00")&amp;"*",수납!$E:$E,"수강료")+SUMIFS(수납!$F:$F,수납!$C:$C,원생!$A420,수납!$D:$D,IF(원생!$G420="","",원생!$G420),수납!$B:$B,$B$1&amp;"-"&amp;TEXT(12,"00")&amp;"*",수납!$E:$E,""))</f>
        <v/>
      </c>
      <c r="O422">
        <f>IF(원생!$I420="","",원생!$I420)</f>
        <v/>
      </c>
      <c r="P422">
        <f>IF($A422="","",IF(AND($B422&gt;0,C422&lt;$B422,DATE($B$1,1,1)&lt;=TODAY(),OR($O422="",$O422&gt;=DATE($B$1,1,1)),OR(COUNTIF($C422:C422,"&gt;0")&gt;0,DATE($B$1,1,1)=DATE(YEAR(TODAY()),MONTH(TODAY()),1))),1,0))</f>
        <v/>
      </c>
      <c r="Q422">
        <f>IF($A422="","",IF(AND($B422&gt;0,D422&lt;$B422,DATE($B$1,2,1)&lt;=TODAY(),OR($O422="",$O422&gt;=DATE($B$1,2,1)),OR(COUNTIF($C422:D422,"&gt;0")&gt;0,DATE($B$1,2,1)=DATE(YEAR(TODAY()),MONTH(TODAY()),1))),1,0))</f>
        <v/>
      </c>
      <c r="R422">
        <f>IF($A422="","",IF(AND($B422&gt;0,E422&lt;$B422,DATE($B$1,3,1)&lt;=TODAY(),OR($O422="",$O422&gt;=DATE($B$1,3,1)),OR(COUNTIF($C422:E422,"&gt;0")&gt;0,DATE($B$1,3,1)=DATE(YEAR(TODAY()),MONTH(TODAY()),1))),1,0))</f>
        <v/>
      </c>
      <c r="S422">
        <f>IF($A422="","",IF(AND($B422&gt;0,F422&lt;$B422,DATE($B$1,4,1)&lt;=TODAY(),OR($O422="",$O422&gt;=DATE($B$1,4,1)),OR(COUNTIF($C422:F422,"&gt;0")&gt;0,DATE($B$1,4,1)=DATE(YEAR(TODAY()),MONTH(TODAY()),1))),1,0))</f>
        <v/>
      </c>
      <c r="T422">
        <f>IF($A422="","",IF(AND($B422&gt;0,G422&lt;$B422,DATE($B$1,5,1)&lt;=TODAY(),OR($O422="",$O422&gt;=DATE($B$1,5,1)),OR(COUNTIF($C422:G422,"&gt;0")&gt;0,DATE($B$1,5,1)=DATE(YEAR(TODAY()),MONTH(TODAY()),1))),1,0))</f>
        <v/>
      </c>
      <c r="U422">
        <f>IF($A422="","",IF(AND($B422&gt;0,H422&lt;$B422,DATE($B$1,6,1)&lt;=TODAY(),OR($O422="",$O422&gt;=DATE($B$1,6,1)),OR(COUNTIF($C422:H422,"&gt;0")&gt;0,DATE($B$1,6,1)=DATE(YEAR(TODAY()),MONTH(TODAY()),1))),1,0))</f>
        <v/>
      </c>
      <c r="V422">
        <f>IF($A422="","",IF(AND($B422&gt;0,I422&lt;$B422,DATE($B$1,7,1)&lt;=TODAY(),OR($O422="",$O422&gt;=DATE($B$1,7,1)),OR(COUNTIF($C422:I422,"&gt;0")&gt;0,DATE($B$1,7,1)=DATE(YEAR(TODAY()),MONTH(TODAY()),1))),1,0))</f>
        <v/>
      </c>
      <c r="W422">
        <f>IF($A422="","",IF(AND($B422&gt;0,J422&lt;$B422,DATE($B$1,8,1)&lt;=TODAY(),OR($O422="",$O422&gt;=DATE($B$1,8,1)),OR(COUNTIF($C422:J422,"&gt;0")&gt;0,DATE($B$1,8,1)=DATE(YEAR(TODAY()),MONTH(TODAY()),1))),1,0))</f>
        <v/>
      </c>
      <c r="X422">
        <f>IF($A422="","",IF(AND($B422&gt;0,K422&lt;$B422,DATE($B$1,9,1)&lt;=TODAY(),OR($O422="",$O422&gt;=DATE($B$1,9,1)),OR(COUNTIF($C422:K422,"&gt;0")&gt;0,DATE($B$1,9,1)=DATE(YEAR(TODAY()),MONTH(TODAY()),1))),1,0))</f>
        <v/>
      </c>
      <c r="Y422">
        <f>IF($A422="","",IF(AND($B422&gt;0,L422&lt;$B422,DATE($B$1,10,1)&lt;=TODAY(),OR($O422="",$O422&gt;=DATE($B$1,10,1)),OR(COUNTIF($C422:L422,"&gt;0")&gt;0,DATE($B$1,10,1)=DATE(YEAR(TODAY()),MONTH(TODAY()),1))),1,0))</f>
        <v/>
      </c>
      <c r="Z422">
        <f>IF($A422="","",IF(AND($B422&gt;0,M422&lt;$B422,DATE($B$1,11,1)&lt;=TODAY(),OR($O422="",$O422&gt;=DATE($B$1,11,1)),OR(COUNTIF($C422:M422,"&gt;0")&gt;0,DATE($B$1,11,1)=DATE(YEAR(TODAY()),MONTH(TODAY()),1))),1,0))</f>
        <v/>
      </c>
      <c r="AA422">
        <f>IF($A422="","",IF(AND($B422&gt;0,N422&lt;$B422,DATE($B$1,12,1)&lt;=TODAY(),OR($O422="",$O422&gt;=DATE($B$1,12,1)),OR(COUNTIF($C422:N422,"&gt;0")&gt;0,DATE($B$1,12,1)=DATE(YEAR(TODAY()),MONTH(TODAY()),1))),1,0))</f>
        <v/>
      </c>
    </row>
    <row r="423">
      <c r="A423" s="13">
        <f>IF(원생!$A421="","",원생!$A421&amp;IF(원생!$G421="",""," ("&amp;원생!$G421&amp;")"))</f>
        <v/>
      </c>
      <c r="B423" s="8">
        <f>IF(원생!$A421="","",원생!$F421)</f>
        <v/>
      </c>
      <c r="C423" s="14">
        <f>IF(원생!$A421="","",SUMIFS(수납!$F:$F,수납!$C:$C,원생!$A421,수납!$D:$D,IF(원생!$G421="","",원생!$G421),수납!$B:$B,$B$1&amp;"-"&amp;TEXT(1,"00")&amp;"*",수납!$E:$E,"수강료")+SUMIFS(수납!$F:$F,수납!$C:$C,원생!$A421,수납!$D:$D,IF(원생!$G421="","",원생!$G421),수납!$B:$B,$B$1&amp;"-"&amp;TEXT(1,"00")&amp;"*",수납!$E:$E,""))</f>
        <v/>
      </c>
      <c r="D423" s="14">
        <f>IF(원생!$A421="","",SUMIFS(수납!$F:$F,수납!$C:$C,원생!$A421,수납!$D:$D,IF(원생!$G421="","",원생!$G421),수납!$B:$B,$B$1&amp;"-"&amp;TEXT(2,"00")&amp;"*",수납!$E:$E,"수강료")+SUMIFS(수납!$F:$F,수납!$C:$C,원생!$A421,수납!$D:$D,IF(원생!$G421="","",원생!$G421),수납!$B:$B,$B$1&amp;"-"&amp;TEXT(2,"00")&amp;"*",수납!$E:$E,""))</f>
        <v/>
      </c>
      <c r="E423" s="14">
        <f>IF(원생!$A421="","",SUMIFS(수납!$F:$F,수납!$C:$C,원생!$A421,수납!$D:$D,IF(원생!$G421="","",원생!$G421),수납!$B:$B,$B$1&amp;"-"&amp;TEXT(3,"00")&amp;"*",수납!$E:$E,"수강료")+SUMIFS(수납!$F:$F,수납!$C:$C,원생!$A421,수납!$D:$D,IF(원생!$G421="","",원생!$G421),수납!$B:$B,$B$1&amp;"-"&amp;TEXT(3,"00")&amp;"*",수납!$E:$E,""))</f>
        <v/>
      </c>
      <c r="F423" s="14">
        <f>IF(원생!$A421="","",SUMIFS(수납!$F:$F,수납!$C:$C,원생!$A421,수납!$D:$D,IF(원생!$G421="","",원생!$G421),수납!$B:$B,$B$1&amp;"-"&amp;TEXT(4,"00")&amp;"*",수납!$E:$E,"수강료")+SUMIFS(수납!$F:$F,수납!$C:$C,원생!$A421,수납!$D:$D,IF(원생!$G421="","",원생!$G421),수납!$B:$B,$B$1&amp;"-"&amp;TEXT(4,"00")&amp;"*",수납!$E:$E,""))</f>
        <v/>
      </c>
      <c r="G423" s="14">
        <f>IF(원생!$A421="","",SUMIFS(수납!$F:$F,수납!$C:$C,원생!$A421,수납!$D:$D,IF(원생!$G421="","",원생!$G421),수납!$B:$B,$B$1&amp;"-"&amp;TEXT(5,"00")&amp;"*",수납!$E:$E,"수강료")+SUMIFS(수납!$F:$F,수납!$C:$C,원생!$A421,수납!$D:$D,IF(원생!$G421="","",원생!$G421),수납!$B:$B,$B$1&amp;"-"&amp;TEXT(5,"00")&amp;"*",수납!$E:$E,""))</f>
        <v/>
      </c>
      <c r="H423" s="14">
        <f>IF(원생!$A421="","",SUMIFS(수납!$F:$F,수납!$C:$C,원생!$A421,수납!$D:$D,IF(원생!$G421="","",원생!$G421),수납!$B:$B,$B$1&amp;"-"&amp;TEXT(6,"00")&amp;"*",수납!$E:$E,"수강료")+SUMIFS(수납!$F:$F,수납!$C:$C,원생!$A421,수납!$D:$D,IF(원생!$G421="","",원생!$G421),수납!$B:$B,$B$1&amp;"-"&amp;TEXT(6,"00")&amp;"*",수납!$E:$E,""))</f>
        <v/>
      </c>
      <c r="I423" s="14">
        <f>IF(원생!$A421="","",SUMIFS(수납!$F:$F,수납!$C:$C,원생!$A421,수납!$D:$D,IF(원생!$G421="","",원생!$G421),수납!$B:$B,$B$1&amp;"-"&amp;TEXT(7,"00")&amp;"*",수납!$E:$E,"수강료")+SUMIFS(수납!$F:$F,수납!$C:$C,원생!$A421,수납!$D:$D,IF(원생!$G421="","",원생!$G421),수납!$B:$B,$B$1&amp;"-"&amp;TEXT(7,"00")&amp;"*",수납!$E:$E,""))</f>
        <v/>
      </c>
      <c r="J423" s="14">
        <f>IF(원생!$A421="","",SUMIFS(수납!$F:$F,수납!$C:$C,원생!$A421,수납!$D:$D,IF(원생!$G421="","",원생!$G421),수납!$B:$B,$B$1&amp;"-"&amp;TEXT(8,"00")&amp;"*",수납!$E:$E,"수강료")+SUMIFS(수납!$F:$F,수납!$C:$C,원생!$A421,수납!$D:$D,IF(원생!$G421="","",원생!$G421),수납!$B:$B,$B$1&amp;"-"&amp;TEXT(8,"00")&amp;"*",수납!$E:$E,""))</f>
        <v/>
      </c>
      <c r="K423" s="14">
        <f>IF(원생!$A421="","",SUMIFS(수납!$F:$F,수납!$C:$C,원생!$A421,수납!$D:$D,IF(원생!$G421="","",원생!$G421),수납!$B:$B,$B$1&amp;"-"&amp;TEXT(9,"00")&amp;"*",수납!$E:$E,"수강료")+SUMIFS(수납!$F:$F,수납!$C:$C,원생!$A421,수납!$D:$D,IF(원생!$G421="","",원생!$G421),수납!$B:$B,$B$1&amp;"-"&amp;TEXT(9,"00")&amp;"*",수납!$E:$E,""))</f>
        <v/>
      </c>
      <c r="L423" s="14">
        <f>IF(원생!$A421="","",SUMIFS(수납!$F:$F,수납!$C:$C,원생!$A421,수납!$D:$D,IF(원생!$G421="","",원생!$G421),수납!$B:$B,$B$1&amp;"-"&amp;TEXT(10,"00")&amp;"*",수납!$E:$E,"수강료")+SUMIFS(수납!$F:$F,수납!$C:$C,원생!$A421,수납!$D:$D,IF(원생!$G421="","",원생!$G421),수납!$B:$B,$B$1&amp;"-"&amp;TEXT(10,"00")&amp;"*",수납!$E:$E,""))</f>
        <v/>
      </c>
      <c r="M423" s="14">
        <f>IF(원생!$A421="","",SUMIFS(수납!$F:$F,수납!$C:$C,원생!$A421,수납!$D:$D,IF(원생!$G421="","",원생!$G421),수납!$B:$B,$B$1&amp;"-"&amp;TEXT(11,"00")&amp;"*",수납!$E:$E,"수강료")+SUMIFS(수납!$F:$F,수납!$C:$C,원생!$A421,수납!$D:$D,IF(원생!$G421="","",원생!$G421),수납!$B:$B,$B$1&amp;"-"&amp;TEXT(11,"00")&amp;"*",수납!$E:$E,""))</f>
        <v/>
      </c>
      <c r="N423" s="14">
        <f>IF(원생!$A421="","",SUMIFS(수납!$F:$F,수납!$C:$C,원생!$A421,수납!$D:$D,IF(원생!$G421="","",원생!$G421),수납!$B:$B,$B$1&amp;"-"&amp;TEXT(12,"00")&amp;"*",수납!$E:$E,"수강료")+SUMIFS(수납!$F:$F,수납!$C:$C,원생!$A421,수납!$D:$D,IF(원생!$G421="","",원생!$G421),수납!$B:$B,$B$1&amp;"-"&amp;TEXT(12,"00")&amp;"*",수납!$E:$E,""))</f>
        <v/>
      </c>
      <c r="O423">
        <f>IF(원생!$I421="","",원생!$I421)</f>
        <v/>
      </c>
      <c r="P423">
        <f>IF($A423="","",IF(AND($B423&gt;0,C423&lt;$B423,DATE($B$1,1,1)&lt;=TODAY(),OR($O423="",$O423&gt;=DATE($B$1,1,1)),OR(COUNTIF($C423:C423,"&gt;0")&gt;0,DATE($B$1,1,1)=DATE(YEAR(TODAY()),MONTH(TODAY()),1))),1,0))</f>
        <v/>
      </c>
      <c r="Q423">
        <f>IF($A423="","",IF(AND($B423&gt;0,D423&lt;$B423,DATE($B$1,2,1)&lt;=TODAY(),OR($O423="",$O423&gt;=DATE($B$1,2,1)),OR(COUNTIF($C423:D423,"&gt;0")&gt;0,DATE($B$1,2,1)=DATE(YEAR(TODAY()),MONTH(TODAY()),1))),1,0))</f>
        <v/>
      </c>
      <c r="R423">
        <f>IF($A423="","",IF(AND($B423&gt;0,E423&lt;$B423,DATE($B$1,3,1)&lt;=TODAY(),OR($O423="",$O423&gt;=DATE($B$1,3,1)),OR(COUNTIF($C423:E423,"&gt;0")&gt;0,DATE($B$1,3,1)=DATE(YEAR(TODAY()),MONTH(TODAY()),1))),1,0))</f>
        <v/>
      </c>
      <c r="S423">
        <f>IF($A423="","",IF(AND($B423&gt;0,F423&lt;$B423,DATE($B$1,4,1)&lt;=TODAY(),OR($O423="",$O423&gt;=DATE($B$1,4,1)),OR(COUNTIF($C423:F423,"&gt;0")&gt;0,DATE($B$1,4,1)=DATE(YEAR(TODAY()),MONTH(TODAY()),1))),1,0))</f>
        <v/>
      </c>
      <c r="T423">
        <f>IF($A423="","",IF(AND($B423&gt;0,G423&lt;$B423,DATE($B$1,5,1)&lt;=TODAY(),OR($O423="",$O423&gt;=DATE($B$1,5,1)),OR(COUNTIF($C423:G423,"&gt;0")&gt;0,DATE($B$1,5,1)=DATE(YEAR(TODAY()),MONTH(TODAY()),1))),1,0))</f>
        <v/>
      </c>
      <c r="U423">
        <f>IF($A423="","",IF(AND($B423&gt;0,H423&lt;$B423,DATE($B$1,6,1)&lt;=TODAY(),OR($O423="",$O423&gt;=DATE($B$1,6,1)),OR(COUNTIF($C423:H423,"&gt;0")&gt;0,DATE($B$1,6,1)=DATE(YEAR(TODAY()),MONTH(TODAY()),1))),1,0))</f>
        <v/>
      </c>
      <c r="V423">
        <f>IF($A423="","",IF(AND($B423&gt;0,I423&lt;$B423,DATE($B$1,7,1)&lt;=TODAY(),OR($O423="",$O423&gt;=DATE($B$1,7,1)),OR(COUNTIF($C423:I423,"&gt;0")&gt;0,DATE($B$1,7,1)=DATE(YEAR(TODAY()),MONTH(TODAY()),1))),1,0))</f>
        <v/>
      </c>
      <c r="W423">
        <f>IF($A423="","",IF(AND($B423&gt;0,J423&lt;$B423,DATE($B$1,8,1)&lt;=TODAY(),OR($O423="",$O423&gt;=DATE($B$1,8,1)),OR(COUNTIF($C423:J423,"&gt;0")&gt;0,DATE($B$1,8,1)=DATE(YEAR(TODAY()),MONTH(TODAY()),1))),1,0))</f>
        <v/>
      </c>
      <c r="X423">
        <f>IF($A423="","",IF(AND($B423&gt;0,K423&lt;$B423,DATE($B$1,9,1)&lt;=TODAY(),OR($O423="",$O423&gt;=DATE($B$1,9,1)),OR(COUNTIF($C423:K423,"&gt;0")&gt;0,DATE($B$1,9,1)=DATE(YEAR(TODAY()),MONTH(TODAY()),1))),1,0))</f>
        <v/>
      </c>
      <c r="Y423">
        <f>IF($A423="","",IF(AND($B423&gt;0,L423&lt;$B423,DATE($B$1,10,1)&lt;=TODAY(),OR($O423="",$O423&gt;=DATE($B$1,10,1)),OR(COUNTIF($C423:L423,"&gt;0")&gt;0,DATE($B$1,10,1)=DATE(YEAR(TODAY()),MONTH(TODAY()),1))),1,0))</f>
        <v/>
      </c>
      <c r="Z423">
        <f>IF($A423="","",IF(AND($B423&gt;0,M423&lt;$B423,DATE($B$1,11,1)&lt;=TODAY(),OR($O423="",$O423&gt;=DATE($B$1,11,1)),OR(COUNTIF($C423:M423,"&gt;0")&gt;0,DATE($B$1,11,1)=DATE(YEAR(TODAY()),MONTH(TODAY()),1))),1,0))</f>
        <v/>
      </c>
      <c r="AA423">
        <f>IF($A423="","",IF(AND($B423&gt;0,N423&lt;$B423,DATE($B$1,12,1)&lt;=TODAY(),OR($O423="",$O423&gt;=DATE($B$1,12,1)),OR(COUNTIF($C423:N423,"&gt;0")&gt;0,DATE($B$1,12,1)=DATE(YEAR(TODAY()),MONTH(TODAY()),1))),1,0))</f>
        <v/>
      </c>
    </row>
    <row r="424">
      <c r="A424" s="13">
        <f>IF(원생!$A422="","",원생!$A422&amp;IF(원생!$G422="",""," ("&amp;원생!$G422&amp;")"))</f>
        <v/>
      </c>
      <c r="B424" s="8">
        <f>IF(원생!$A422="","",원생!$F422)</f>
        <v/>
      </c>
      <c r="C424" s="14">
        <f>IF(원생!$A422="","",SUMIFS(수납!$F:$F,수납!$C:$C,원생!$A422,수납!$D:$D,IF(원생!$G422="","",원생!$G422),수납!$B:$B,$B$1&amp;"-"&amp;TEXT(1,"00")&amp;"*",수납!$E:$E,"수강료")+SUMIFS(수납!$F:$F,수납!$C:$C,원생!$A422,수납!$D:$D,IF(원생!$G422="","",원생!$G422),수납!$B:$B,$B$1&amp;"-"&amp;TEXT(1,"00")&amp;"*",수납!$E:$E,""))</f>
        <v/>
      </c>
      <c r="D424" s="14">
        <f>IF(원생!$A422="","",SUMIFS(수납!$F:$F,수납!$C:$C,원생!$A422,수납!$D:$D,IF(원생!$G422="","",원생!$G422),수납!$B:$B,$B$1&amp;"-"&amp;TEXT(2,"00")&amp;"*",수납!$E:$E,"수강료")+SUMIFS(수납!$F:$F,수납!$C:$C,원생!$A422,수납!$D:$D,IF(원생!$G422="","",원생!$G422),수납!$B:$B,$B$1&amp;"-"&amp;TEXT(2,"00")&amp;"*",수납!$E:$E,""))</f>
        <v/>
      </c>
      <c r="E424" s="14">
        <f>IF(원생!$A422="","",SUMIFS(수납!$F:$F,수납!$C:$C,원생!$A422,수납!$D:$D,IF(원생!$G422="","",원생!$G422),수납!$B:$B,$B$1&amp;"-"&amp;TEXT(3,"00")&amp;"*",수납!$E:$E,"수강료")+SUMIFS(수납!$F:$F,수납!$C:$C,원생!$A422,수납!$D:$D,IF(원생!$G422="","",원생!$G422),수납!$B:$B,$B$1&amp;"-"&amp;TEXT(3,"00")&amp;"*",수납!$E:$E,""))</f>
        <v/>
      </c>
      <c r="F424" s="14">
        <f>IF(원생!$A422="","",SUMIFS(수납!$F:$F,수납!$C:$C,원생!$A422,수납!$D:$D,IF(원생!$G422="","",원생!$G422),수납!$B:$B,$B$1&amp;"-"&amp;TEXT(4,"00")&amp;"*",수납!$E:$E,"수강료")+SUMIFS(수납!$F:$F,수납!$C:$C,원생!$A422,수납!$D:$D,IF(원생!$G422="","",원생!$G422),수납!$B:$B,$B$1&amp;"-"&amp;TEXT(4,"00")&amp;"*",수납!$E:$E,""))</f>
        <v/>
      </c>
      <c r="G424" s="14">
        <f>IF(원생!$A422="","",SUMIFS(수납!$F:$F,수납!$C:$C,원생!$A422,수납!$D:$D,IF(원생!$G422="","",원생!$G422),수납!$B:$B,$B$1&amp;"-"&amp;TEXT(5,"00")&amp;"*",수납!$E:$E,"수강료")+SUMIFS(수납!$F:$F,수납!$C:$C,원생!$A422,수납!$D:$D,IF(원생!$G422="","",원생!$G422),수납!$B:$B,$B$1&amp;"-"&amp;TEXT(5,"00")&amp;"*",수납!$E:$E,""))</f>
        <v/>
      </c>
      <c r="H424" s="14">
        <f>IF(원생!$A422="","",SUMIFS(수납!$F:$F,수납!$C:$C,원생!$A422,수납!$D:$D,IF(원생!$G422="","",원생!$G422),수납!$B:$B,$B$1&amp;"-"&amp;TEXT(6,"00")&amp;"*",수납!$E:$E,"수강료")+SUMIFS(수납!$F:$F,수납!$C:$C,원생!$A422,수납!$D:$D,IF(원생!$G422="","",원생!$G422),수납!$B:$B,$B$1&amp;"-"&amp;TEXT(6,"00")&amp;"*",수납!$E:$E,""))</f>
        <v/>
      </c>
      <c r="I424" s="14">
        <f>IF(원생!$A422="","",SUMIFS(수납!$F:$F,수납!$C:$C,원생!$A422,수납!$D:$D,IF(원생!$G422="","",원생!$G422),수납!$B:$B,$B$1&amp;"-"&amp;TEXT(7,"00")&amp;"*",수납!$E:$E,"수강료")+SUMIFS(수납!$F:$F,수납!$C:$C,원생!$A422,수납!$D:$D,IF(원생!$G422="","",원생!$G422),수납!$B:$B,$B$1&amp;"-"&amp;TEXT(7,"00")&amp;"*",수납!$E:$E,""))</f>
        <v/>
      </c>
      <c r="J424" s="14">
        <f>IF(원생!$A422="","",SUMIFS(수납!$F:$F,수납!$C:$C,원생!$A422,수납!$D:$D,IF(원생!$G422="","",원생!$G422),수납!$B:$B,$B$1&amp;"-"&amp;TEXT(8,"00")&amp;"*",수납!$E:$E,"수강료")+SUMIFS(수납!$F:$F,수납!$C:$C,원생!$A422,수납!$D:$D,IF(원생!$G422="","",원생!$G422),수납!$B:$B,$B$1&amp;"-"&amp;TEXT(8,"00")&amp;"*",수납!$E:$E,""))</f>
        <v/>
      </c>
      <c r="K424" s="14">
        <f>IF(원생!$A422="","",SUMIFS(수납!$F:$F,수납!$C:$C,원생!$A422,수납!$D:$D,IF(원생!$G422="","",원생!$G422),수납!$B:$B,$B$1&amp;"-"&amp;TEXT(9,"00")&amp;"*",수납!$E:$E,"수강료")+SUMIFS(수납!$F:$F,수납!$C:$C,원생!$A422,수납!$D:$D,IF(원생!$G422="","",원생!$G422),수납!$B:$B,$B$1&amp;"-"&amp;TEXT(9,"00")&amp;"*",수납!$E:$E,""))</f>
        <v/>
      </c>
      <c r="L424" s="14">
        <f>IF(원생!$A422="","",SUMIFS(수납!$F:$F,수납!$C:$C,원생!$A422,수납!$D:$D,IF(원생!$G422="","",원생!$G422),수납!$B:$B,$B$1&amp;"-"&amp;TEXT(10,"00")&amp;"*",수납!$E:$E,"수강료")+SUMIFS(수납!$F:$F,수납!$C:$C,원생!$A422,수납!$D:$D,IF(원생!$G422="","",원생!$G422),수납!$B:$B,$B$1&amp;"-"&amp;TEXT(10,"00")&amp;"*",수납!$E:$E,""))</f>
        <v/>
      </c>
      <c r="M424" s="14">
        <f>IF(원생!$A422="","",SUMIFS(수납!$F:$F,수납!$C:$C,원생!$A422,수납!$D:$D,IF(원생!$G422="","",원생!$G422),수납!$B:$B,$B$1&amp;"-"&amp;TEXT(11,"00")&amp;"*",수납!$E:$E,"수강료")+SUMIFS(수납!$F:$F,수납!$C:$C,원생!$A422,수납!$D:$D,IF(원생!$G422="","",원생!$G422),수납!$B:$B,$B$1&amp;"-"&amp;TEXT(11,"00")&amp;"*",수납!$E:$E,""))</f>
        <v/>
      </c>
      <c r="N424" s="14">
        <f>IF(원생!$A422="","",SUMIFS(수납!$F:$F,수납!$C:$C,원생!$A422,수납!$D:$D,IF(원생!$G422="","",원생!$G422),수납!$B:$B,$B$1&amp;"-"&amp;TEXT(12,"00")&amp;"*",수납!$E:$E,"수강료")+SUMIFS(수납!$F:$F,수납!$C:$C,원생!$A422,수납!$D:$D,IF(원생!$G422="","",원생!$G422),수납!$B:$B,$B$1&amp;"-"&amp;TEXT(12,"00")&amp;"*",수납!$E:$E,""))</f>
        <v/>
      </c>
      <c r="O424">
        <f>IF(원생!$I422="","",원생!$I422)</f>
        <v/>
      </c>
      <c r="P424">
        <f>IF($A424="","",IF(AND($B424&gt;0,C424&lt;$B424,DATE($B$1,1,1)&lt;=TODAY(),OR($O424="",$O424&gt;=DATE($B$1,1,1)),OR(COUNTIF($C424:C424,"&gt;0")&gt;0,DATE($B$1,1,1)=DATE(YEAR(TODAY()),MONTH(TODAY()),1))),1,0))</f>
        <v/>
      </c>
      <c r="Q424">
        <f>IF($A424="","",IF(AND($B424&gt;0,D424&lt;$B424,DATE($B$1,2,1)&lt;=TODAY(),OR($O424="",$O424&gt;=DATE($B$1,2,1)),OR(COUNTIF($C424:D424,"&gt;0")&gt;0,DATE($B$1,2,1)=DATE(YEAR(TODAY()),MONTH(TODAY()),1))),1,0))</f>
        <v/>
      </c>
      <c r="R424">
        <f>IF($A424="","",IF(AND($B424&gt;0,E424&lt;$B424,DATE($B$1,3,1)&lt;=TODAY(),OR($O424="",$O424&gt;=DATE($B$1,3,1)),OR(COUNTIF($C424:E424,"&gt;0")&gt;0,DATE($B$1,3,1)=DATE(YEAR(TODAY()),MONTH(TODAY()),1))),1,0))</f>
        <v/>
      </c>
      <c r="S424">
        <f>IF($A424="","",IF(AND($B424&gt;0,F424&lt;$B424,DATE($B$1,4,1)&lt;=TODAY(),OR($O424="",$O424&gt;=DATE($B$1,4,1)),OR(COUNTIF($C424:F424,"&gt;0")&gt;0,DATE($B$1,4,1)=DATE(YEAR(TODAY()),MONTH(TODAY()),1))),1,0))</f>
        <v/>
      </c>
      <c r="T424">
        <f>IF($A424="","",IF(AND($B424&gt;0,G424&lt;$B424,DATE($B$1,5,1)&lt;=TODAY(),OR($O424="",$O424&gt;=DATE($B$1,5,1)),OR(COUNTIF($C424:G424,"&gt;0")&gt;0,DATE($B$1,5,1)=DATE(YEAR(TODAY()),MONTH(TODAY()),1))),1,0))</f>
        <v/>
      </c>
      <c r="U424">
        <f>IF($A424="","",IF(AND($B424&gt;0,H424&lt;$B424,DATE($B$1,6,1)&lt;=TODAY(),OR($O424="",$O424&gt;=DATE($B$1,6,1)),OR(COUNTIF($C424:H424,"&gt;0")&gt;0,DATE($B$1,6,1)=DATE(YEAR(TODAY()),MONTH(TODAY()),1))),1,0))</f>
        <v/>
      </c>
      <c r="V424">
        <f>IF($A424="","",IF(AND($B424&gt;0,I424&lt;$B424,DATE($B$1,7,1)&lt;=TODAY(),OR($O424="",$O424&gt;=DATE($B$1,7,1)),OR(COUNTIF($C424:I424,"&gt;0")&gt;0,DATE($B$1,7,1)=DATE(YEAR(TODAY()),MONTH(TODAY()),1))),1,0))</f>
        <v/>
      </c>
      <c r="W424">
        <f>IF($A424="","",IF(AND($B424&gt;0,J424&lt;$B424,DATE($B$1,8,1)&lt;=TODAY(),OR($O424="",$O424&gt;=DATE($B$1,8,1)),OR(COUNTIF($C424:J424,"&gt;0")&gt;0,DATE($B$1,8,1)=DATE(YEAR(TODAY()),MONTH(TODAY()),1))),1,0))</f>
        <v/>
      </c>
      <c r="X424">
        <f>IF($A424="","",IF(AND($B424&gt;0,K424&lt;$B424,DATE($B$1,9,1)&lt;=TODAY(),OR($O424="",$O424&gt;=DATE($B$1,9,1)),OR(COUNTIF($C424:K424,"&gt;0")&gt;0,DATE($B$1,9,1)=DATE(YEAR(TODAY()),MONTH(TODAY()),1))),1,0))</f>
        <v/>
      </c>
      <c r="Y424">
        <f>IF($A424="","",IF(AND($B424&gt;0,L424&lt;$B424,DATE($B$1,10,1)&lt;=TODAY(),OR($O424="",$O424&gt;=DATE($B$1,10,1)),OR(COUNTIF($C424:L424,"&gt;0")&gt;0,DATE($B$1,10,1)=DATE(YEAR(TODAY()),MONTH(TODAY()),1))),1,0))</f>
        <v/>
      </c>
      <c r="Z424">
        <f>IF($A424="","",IF(AND($B424&gt;0,M424&lt;$B424,DATE($B$1,11,1)&lt;=TODAY(),OR($O424="",$O424&gt;=DATE($B$1,11,1)),OR(COUNTIF($C424:M424,"&gt;0")&gt;0,DATE($B$1,11,1)=DATE(YEAR(TODAY()),MONTH(TODAY()),1))),1,0))</f>
        <v/>
      </c>
      <c r="AA424">
        <f>IF($A424="","",IF(AND($B424&gt;0,N424&lt;$B424,DATE($B$1,12,1)&lt;=TODAY(),OR($O424="",$O424&gt;=DATE($B$1,12,1)),OR(COUNTIF($C424:N424,"&gt;0")&gt;0,DATE($B$1,12,1)=DATE(YEAR(TODAY()),MONTH(TODAY()),1))),1,0))</f>
        <v/>
      </c>
    </row>
    <row r="425">
      <c r="A425" s="13">
        <f>IF(원생!$A423="","",원생!$A423&amp;IF(원생!$G423="",""," ("&amp;원생!$G423&amp;")"))</f>
        <v/>
      </c>
      <c r="B425" s="8">
        <f>IF(원생!$A423="","",원생!$F423)</f>
        <v/>
      </c>
      <c r="C425" s="14">
        <f>IF(원생!$A423="","",SUMIFS(수납!$F:$F,수납!$C:$C,원생!$A423,수납!$D:$D,IF(원생!$G423="","",원생!$G423),수납!$B:$B,$B$1&amp;"-"&amp;TEXT(1,"00")&amp;"*",수납!$E:$E,"수강료")+SUMIFS(수납!$F:$F,수납!$C:$C,원생!$A423,수납!$D:$D,IF(원생!$G423="","",원생!$G423),수납!$B:$B,$B$1&amp;"-"&amp;TEXT(1,"00")&amp;"*",수납!$E:$E,""))</f>
        <v/>
      </c>
      <c r="D425" s="14">
        <f>IF(원생!$A423="","",SUMIFS(수납!$F:$F,수납!$C:$C,원생!$A423,수납!$D:$D,IF(원생!$G423="","",원생!$G423),수납!$B:$B,$B$1&amp;"-"&amp;TEXT(2,"00")&amp;"*",수납!$E:$E,"수강료")+SUMIFS(수납!$F:$F,수납!$C:$C,원생!$A423,수납!$D:$D,IF(원생!$G423="","",원생!$G423),수납!$B:$B,$B$1&amp;"-"&amp;TEXT(2,"00")&amp;"*",수납!$E:$E,""))</f>
        <v/>
      </c>
      <c r="E425" s="14">
        <f>IF(원생!$A423="","",SUMIFS(수납!$F:$F,수납!$C:$C,원생!$A423,수납!$D:$D,IF(원생!$G423="","",원생!$G423),수납!$B:$B,$B$1&amp;"-"&amp;TEXT(3,"00")&amp;"*",수납!$E:$E,"수강료")+SUMIFS(수납!$F:$F,수납!$C:$C,원생!$A423,수납!$D:$D,IF(원생!$G423="","",원생!$G423),수납!$B:$B,$B$1&amp;"-"&amp;TEXT(3,"00")&amp;"*",수납!$E:$E,""))</f>
        <v/>
      </c>
      <c r="F425" s="14">
        <f>IF(원생!$A423="","",SUMIFS(수납!$F:$F,수납!$C:$C,원생!$A423,수납!$D:$D,IF(원생!$G423="","",원생!$G423),수납!$B:$B,$B$1&amp;"-"&amp;TEXT(4,"00")&amp;"*",수납!$E:$E,"수강료")+SUMIFS(수납!$F:$F,수납!$C:$C,원생!$A423,수납!$D:$D,IF(원생!$G423="","",원생!$G423),수납!$B:$B,$B$1&amp;"-"&amp;TEXT(4,"00")&amp;"*",수납!$E:$E,""))</f>
        <v/>
      </c>
      <c r="G425" s="14">
        <f>IF(원생!$A423="","",SUMIFS(수납!$F:$F,수납!$C:$C,원생!$A423,수납!$D:$D,IF(원생!$G423="","",원생!$G423),수납!$B:$B,$B$1&amp;"-"&amp;TEXT(5,"00")&amp;"*",수납!$E:$E,"수강료")+SUMIFS(수납!$F:$F,수납!$C:$C,원생!$A423,수납!$D:$D,IF(원생!$G423="","",원생!$G423),수납!$B:$B,$B$1&amp;"-"&amp;TEXT(5,"00")&amp;"*",수납!$E:$E,""))</f>
        <v/>
      </c>
      <c r="H425" s="14">
        <f>IF(원생!$A423="","",SUMIFS(수납!$F:$F,수납!$C:$C,원생!$A423,수납!$D:$D,IF(원생!$G423="","",원생!$G423),수납!$B:$B,$B$1&amp;"-"&amp;TEXT(6,"00")&amp;"*",수납!$E:$E,"수강료")+SUMIFS(수납!$F:$F,수납!$C:$C,원생!$A423,수납!$D:$D,IF(원생!$G423="","",원생!$G423),수납!$B:$B,$B$1&amp;"-"&amp;TEXT(6,"00")&amp;"*",수납!$E:$E,""))</f>
        <v/>
      </c>
      <c r="I425" s="14">
        <f>IF(원생!$A423="","",SUMIFS(수납!$F:$F,수납!$C:$C,원생!$A423,수납!$D:$D,IF(원생!$G423="","",원생!$G423),수납!$B:$B,$B$1&amp;"-"&amp;TEXT(7,"00")&amp;"*",수납!$E:$E,"수강료")+SUMIFS(수납!$F:$F,수납!$C:$C,원생!$A423,수납!$D:$D,IF(원생!$G423="","",원생!$G423),수납!$B:$B,$B$1&amp;"-"&amp;TEXT(7,"00")&amp;"*",수납!$E:$E,""))</f>
        <v/>
      </c>
      <c r="J425" s="14">
        <f>IF(원생!$A423="","",SUMIFS(수납!$F:$F,수납!$C:$C,원생!$A423,수납!$D:$D,IF(원생!$G423="","",원생!$G423),수납!$B:$B,$B$1&amp;"-"&amp;TEXT(8,"00")&amp;"*",수납!$E:$E,"수강료")+SUMIFS(수납!$F:$F,수납!$C:$C,원생!$A423,수납!$D:$D,IF(원생!$G423="","",원생!$G423),수납!$B:$B,$B$1&amp;"-"&amp;TEXT(8,"00")&amp;"*",수납!$E:$E,""))</f>
        <v/>
      </c>
      <c r="K425" s="14">
        <f>IF(원생!$A423="","",SUMIFS(수납!$F:$F,수납!$C:$C,원생!$A423,수납!$D:$D,IF(원생!$G423="","",원생!$G423),수납!$B:$B,$B$1&amp;"-"&amp;TEXT(9,"00")&amp;"*",수납!$E:$E,"수강료")+SUMIFS(수납!$F:$F,수납!$C:$C,원생!$A423,수납!$D:$D,IF(원생!$G423="","",원생!$G423),수납!$B:$B,$B$1&amp;"-"&amp;TEXT(9,"00")&amp;"*",수납!$E:$E,""))</f>
        <v/>
      </c>
      <c r="L425" s="14">
        <f>IF(원생!$A423="","",SUMIFS(수납!$F:$F,수납!$C:$C,원생!$A423,수납!$D:$D,IF(원생!$G423="","",원생!$G423),수납!$B:$B,$B$1&amp;"-"&amp;TEXT(10,"00")&amp;"*",수납!$E:$E,"수강료")+SUMIFS(수납!$F:$F,수납!$C:$C,원생!$A423,수납!$D:$D,IF(원생!$G423="","",원생!$G423),수납!$B:$B,$B$1&amp;"-"&amp;TEXT(10,"00")&amp;"*",수납!$E:$E,""))</f>
        <v/>
      </c>
      <c r="M425" s="14">
        <f>IF(원생!$A423="","",SUMIFS(수납!$F:$F,수납!$C:$C,원생!$A423,수납!$D:$D,IF(원생!$G423="","",원생!$G423),수납!$B:$B,$B$1&amp;"-"&amp;TEXT(11,"00")&amp;"*",수납!$E:$E,"수강료")+SUMIFS(수납!$F:$F,수납!$C:$C,원생!$A423,수납!$D:$D,IF(원생!$G423="","",원생!$G423),수납!$B:$B,$B$1&amp;"-"&amp;TEXT(11,"00")&amp;"*",수납!$E:$E,""))</f>
        <v/>
      </c>
      <c r="N425" s="14">
        <f>IF(원생!$A423="","",SUMIFS(수납!$F:$F,수납!$C:$C,원생!$A423,수납!$D:$D,IF(원생!$G423="","",원생!$G423),수납!$B:$B,$B$1&amp;"-"&amp;TEXT(12,"00")&amp;"*",수납!$E:$E,"수강료")+SUMIFS(수납!$F:$F,수납!$C:$C,원생!$A423,수납!$D:$D,IF(원생!$G423="","",원생!$G423),수납!$B:$B,$B$1&amp;"-"&amp;TEXT(12,"00")&amp;"*",수납!$E:$E,""))</f>
        <v/>
      </c>
      <c r="O425">
        <f>IF(원생!$I423="","",원생!$I423)</f>
        <v/>
      </c>
      <c r="P425">
        <f>IF($A425="","",IF(AND($B425&gt;0,C425&lt;$B425,DATE($B$1,1,1)&lt;=TODAY(),OR($O425="",$O425&gt;=DATE($B$1,1,1)),OR(COUNTIF($C425:C425,"&gt;0")&gt;0,DATE($B$1,1,1)=DATE(YEAR(TODAY()),MONTH(TODAY()),1))),1,0))</f>
        <v/>
      </c>
      <c r="Q425">
        <f>IF($A425="","",IF(AND($B425&gt;0,D425&lt;$B425,DATE($B$1,2,1)&lt;=TODAY(),OR($O425="",$O425&gt;=DATE($B$1,2,1)),OR(COUNTIF($C425:D425,"&gt;0")&gt;0,DATE($B$1,2,1)=DATE(YEAR(TODAY()),MONTH(TODAY()),1))),1,0))</f>
        <v/>
      </c>
      <c r="R425">
        <f>IF($A425="","",IF(AND($B425&gt;0,E425&lt;$B425,DATE($B$1,3,1)&lt;=TODAY(),OR($O425="",$O425&gt;=DATE($B$1,3,1)),OR(COUNTIF($C425:E425,"&gt;0")&gt;0,DATE($B$1,3,1)=DATE(YEAR(TODAY()),MONTH(TODAY()),1))),1,0))</f>
        <v/>
      </c>
      <c r="S425">
        <f>IF($A425="","",IF(AND($B425&gt;0,F425&lt;$B425,DATE($B$1,4,1)&lt;=TODAY(),OR($O425="",$O425&gt;=DATE($B$1,4,1)),OR(COUNTIF($C425:F425,"&gt;0")&gt;0,DATE($B$1,4,1)=DATE(YEAR(TODAY()),MONTH(TODAY()),1))),1,0))</f>
        <v/>
      </c>
      <c r="T425">
        <f>IF($A425="","",IF(AND($B425&gt;0,G425&lt;$B425,DATE($B$1,5,1)&lt;=TODAY(),OR($O425="",$O425&gt;=DATE($B$1,5,1)),OR(COUNTIF($C425:G425,"&gt;0")&gt;0,DATE($B$1,5,1)=DATE(YEAR(TODAY()),MONTH(TODAY()),1))),1,0))</f>
        <v/>
      </c>
      <c r="U425">
        <f>IF($A425="","",IF(AND($B425&gt;0,H425&lt;$B425,DATE($B$1,6,1)&lt;=TODAY(),OR($O425="",$O425&gt;=DATE($B$1,6,1)),OR(COUNTIF($C425:H425,"&gt;0")&gt;0,DATE($B$1,6,1)=DATE(YEAR(TODAY()),MONTH(TODAY()),1))),1,0))</f>
        <v/>
      </c>
      <c r="V425">
        <f>IF($A425="","",IF(AND($B425&gt;0,I425&lt;$B425,DATE($B$1,7,1)&lt;=TODAY(),OR($O425="",$O425&gt;=DATE($B$1,7,1)),OR(COUNTIF($C425:I425,"&gt;0")&gt;0,DATE($B$1,7,1)=DATE(YEAR(TODAY()),MONTH(TODAY()),1))),1,0))</f>
        <v/>
      </c>
      <c r="W425">
        <f>IF($A425="","",IF(AND($B425&gt;0,J425&lt;$B425,DATE($B$1,8,1)&lt;=TODAY(),OR($O425="",$O425&gt;=DATE($B$1,8,1)),OR(COUNTIF($C425:J425,"&gt;0")&gt;0,DATE($B$1,8,1)=DATE(YEAR(TODAY()),MONTH(TODAY()),1))),1,0))</f>
        <v/>
      </c>
      <c r="X425">
        <f>IF($A425="","",IF(AND($B425&gt;0,K425&lt;$B425,DATE($B$1,9,1)&lt;=TODAY(),OR($O425="",$O425&gt;=DATE($B$1,9,1)),OR(COUNTIF($C425:K425,"&gt;0")&gt;0,DATE($B$1,9,1)=DATE(YEAR(TODAY()),MONTH(TODAY()),1))),1,0))</f>
        <v/>
      </c>
      <c r="Y425">
        <f>IF($A425="","",IF(AND($B425&gt;0,L425&lt;$B425,DATE($B$1,10,1)&lt;=TODAY(),OR($O425="",$O425&gt;=DATE($B$1,10,1)),OR(COUNTIF($C425:L425,"&gt;0")&gt;0,DATE($B$1,10,1)=DATE(YEAR(TODAY()),MONTH(TODAY()),1))),1,0))</f>
        <v/>
      </c>
      <c r="Z425">
        <f>IF($A425="","",IF(AND($B425&gt;0,M425&lt;$B425,DATE($B$1,11,1)&lt;=TODAY(),OR($O425="",$O425&gt;=DATE($B$1,11,1)),OR(COUNTIF($C425:M425,"&gt;0")&gt;0,DATE($B$1,11,1)=DATE(YEAR(TODAY()),MONTH(TODAY()),1))),1,0))</f>
        <v/>
      </c>
      <c r="AA425">
        <f>IF($A425="","",IF(AND($B425&gt;0,N425&lt;$B425,DATE($B$1,12,1)&lt;=TODAY(),OR($O425="",$O425&gt;=DATE($B$1,12,1)),OR(COUNTIF($C425:N425,"&gt;0")&gt;0,DATE($B$1,12,1)=DATE(YEAR(TODAY()),MONTH(TODAY()),1))),1,0))</f>
        <v/>
      </c>
    </row>
    <row r="426">
      <c r="A426" s="13">
        <f>IF(원생!$A424="","",원생!$A424&amp;IF(원생!$G424="",""," ("&amp;원생!$G424&amp;")"))</f>
        <v/>
      </c>
      <c r="B426" s="8">
        <f>IF(원생!$A424="","",원생!$F424)</f>
        <v/>
      </c>
      <c r="C426" s="14">
        <f>IF(원생!$A424="","",SUMIFS(수납!$F:$F,수납!$C:$C,원생!$A424,수납!$D:$D,IF(원생!$G424="","",원생!$G424),수납!$B:$B,$B$1&amp;"-"&amp;TEXT(1,"00")&amp;"*",수납!$E:$E,"수강료")+SUMIFS(수납!$F:$F,수납!$C:$C,원생!$A424,수납!$D:$D,IF(원생!$G424="","",원생!$G424),수납!$B:$B,$B$1&amp;"-"&amp;TEXT(1,"00")&amp;"*",수납!$E:$E,""))</f>
        <v/>
      </c>
      <c r="D426" s="14">
        <f>IF(원생!$A424="","",SUMIFS(수납!$F:$F,수납!$C:$C,원생!$A424,수납!$D:$D,IF(원생!$G424="","",원생!$G424),수납!$B:$B,$B$1&amp;"-"&amp;TEXT(2,"00")&amp;"*",수납!$E:$E,"수강료")+SUMIFS(수납!$F:$F,수납!$C:$C,원생!$A424,수납!$D:$D,IF(원생!$G424="","",원생!$G424),수납!$B:$B,$B$1&amp;"-"&amp;TEXT(2,"00")&amp;"*",수납!$E:$E,""))</f>
        <v/>
      </c>
      <c r="E426" s="14">
        <f>IF(원생!$A424="","",SUMIFS(수납!$F:$F,수납!$C:$C,원생!$A424,수납!$D:$D,IF(원생!$G424="","",원생!$G424),수납!$B:$B,$B$1&amp;"-"&amp;TEXT(3,"00")&amp;"*",수납!$E:$E,"수강료")+SUMIFS(수납!$F:$F,수납!$C:$C,원생!$A424,수납!$D:$D,IF(원생!$G424="","",원생!$G424),수납!$B:$B,$B$1&amp;"-"&amp;TEXT(3,"00")&amp;"*",수납!$E:$E,""))</f>
        <v/>
      </c>
      <c r="F426" s="14">
        <f>IF(원생!$A424="","",SUMIFS(수납!$F:$F,수납!$C:$C,원생!$A424,수납!$D:$D,IF(원생!$G424="","",원생!$G424),수납!$B:$B,$B$1&amp;"-"&amp;TEXT(4,"00")&amp;"*",수납!$E:$E,"수강료")+SUMIFS(수납!$F:$F,수납!$C:$C,원생!$A424,수납!$D:$D,IF(원생!$G424="","",원생!$G424),수납!$B:$B,$B$1&amp;"-"&amp;TEXT(4,"00")&amp;"*",수납!$E:$E,""))</f>
        <v/>
      </c>
      <c r="G426" s="14">
        <f>IF(원생!$A424="","",SUMIFS(수납!$F:$F,수납!$C:$C,원생!$A424,수납!$D:$D,IF(원생!$G424="","",원생!$G424),수납!$B:$B,$B$1&amp;"-"&amp;TEXT(5,"00")&amp;"*",수납!$E:$E,"수강료")+SUMIFS(수납!$F:$F,수납!$C:$C,원생!$A424,수납!$D:$D,IF(원생!$G424="","",원생!$G424),수납!$B:$B,$B$1&amp;"-"&amp;TEXT(5,"00")&amp;"*",수납!$E:$E,""))</f>
        <v/>
      </c>
      <c r="H426" s="14">
        <f>IF(원생!$A424="","",SUMIFS(수납!$F:$F,수납!$C:$C,원생!$A424,수납!$D:$D,IF(원생!$G424="","",원생!$G424),수납!$B:$B,$B$1&amp;"-"&amp;TEXT(6,"00")&amp;"*",수납!$E:$E,"수강료")+SUMIFS(수납!$F:$F,수납!$C:$C,원생!$A424,수납!$D:$D,IF(원생!$G424="","",원생!$G424),수납!$B:$B,$B$1&amp;"-"&amp;TEXT(6,"00")&amp;"*",수납!$E:$E,""))</f>
        <v/>
      </c>
      <c r="I426" s="14">
        <f>IF(원생!$A424="","",SUMIFS(수납!$F:$F,수납!$C:$C,원생!$A424,수납!$D:$D,IF(원생!$G424="","",원생!$G424),수납!$B:$B,$B$1&amp;"-"&amp;TEXT(7,"00")&amp;"*",수납!$E:$E,"수강료")+SUMIFS(수납!$F:$F,수납!$C:$C,원생!$A424,수납!$D:$D,IF(원생!$G424="","",원생!$G424),수납!$B:$B,$B$1&amp;"-"&amp;TEXT(7,"00")&amp;"*",수납!$E:$E,""))</f>
        <v/>
      </c>
      <c r="J426" s="14">
        <f>IF(원생!$A424="","",SUMIFS(수납!$F:$F,수납!$C:$C,원생!$A424,수납!$D:$D,IF(원생!$G424="","",원생!$G424),수납!$B:$B,$B$1&amp;"-"&amp;TEXT(8,"00")&amp;"*",수납!$E:$E,"수강료")+SUMIFS(수납!$F:$F,수납!$C:$C,원생!$A424,수납!$D:$D,IF(원생!$G424="","",원생!$G424),수납!$B:$B,$B$1&amp;"-"&amp;TEXT(8,"00")&amp;"*",수납!$E:$E,""))</f>
        <v/>
      </c>
      <c r="K426" s="14">
        <f>IF(원생!$A424="","",SUMIFS(수납!$F:$F,수납!$C:$C,원생!$A424,수납!$D:$D,IF(원생!$G424="","",원생!$G424),수납!$B:$B,$B$1&amp;"-"&amp;TEXT(9,"00")&amp;"*",수납!$E:$E,"수강료")+SUMIFS(수납!$F:$F,수납!$C:$C,원생!$A424,수납!$D:$D,IF(원생!$G424="","",원생!$G424),수납!$B:$B,$B$1&amp;"-"&amp;TEXT(9,"00")&amp;"*",수납!$E:$E,""))</f>
        <v/>
      </c>
      <c r="L426" s="14">
        <f>IF(원생!$A424="","",SUMIFS(수납!$F:$F,수납!$C:$C,원생!$A424,수납!$D:$D,IF(원생!$G424="","",원생!$G424),수납!$B:$B,$B$1&amp;"-"&amp;TEXT(10,"00")&amp;"*",수납!$E:$E,"수강료")+SUMIFS(수납!$F:$F,수납!$C:$C,원생!$A424,수납!$D:$D,IF(원생!$G424="","",원생!$G424),수납!$B:$B,$B$1&amp;"-"&amp;TEXT(10,"00")&amp;"*",수납!$E:$E,""))</f>
        <v/>
      </c>
      <c r="M426" s="14">
        <f>IF(원생!$A424="","",SUMIFS(수납!$F:$F,수납!$C:$C,원생!$A424,수납!$D:$D,IF(원생!$G424="","",원생!$G424),수납!$B:$B,$B$1&amp;"-"&amp;TEXT(11,"00")&amp;"*",수납!$E:$E,"수강료")+SUMIFS(수납!$F:$F,수납!$C:$C,원생!$A424,수납!$D:$D,IF(원생!$G424="","",원생!$G424),수납!$B:$B,$B$1&amp;"-"&amp;TEXT(11,"00")&amp;"*",수납!$E:$E,""))</f>
        <v/>
      </c>
      <c r="N426" s="14">
        <f>IF(원생!$A424="","",SUMIFS(수납!$F:$F,수납!$C:$C,원생!$A424,수납!$D:$D,IF(원생!$G424="","",원생!$G424),수납!$B:$B,$B$1&amp;"-"&amp;TEXT(12,"00")&amp;"*",수납!$E:$E,"수강료")+SUMIFS(수납!$F:$F,수납!$C:$C,원생!$A424,수납!$D:$D,IF(원생!$G424="","",원생!$G424),수납!$B:$B,$B$1&amp;"-"&amp;TEXT(12,"00")&amp;"*",수납!$E:$E,""))</f>
        <v/>
      </c>
      <c r="O426">
        <f>IF(원생!$I424="","",원생!$I424)</f>
        <v/>
      </c>
      <c r="P426">
        <f>IF($A426="","",IF(AND($B426&gt;0,C426&lt;$B426,DATE($B$1,1,1)&lt;=TODAY(),OR($O426="",$O426&gt;=DATE($B$1,1,1)),OR(COUNTIF($C426:C426,"&gt;0")&gt;0,DATE($B$1,1,1)=DATE(YEAR(TODAY()),MONTH(TODAY()),1))),1,0))</f>
        <v/>
      </c>
      <c r="Q426">
        <f>IF($A426="","",IF(AND($B426&gt;0,D426&lt;$B426,DATE($B$1,2,1)&lt;=TODAY(),OR($O426="",$O426&gt;=DATE($B$1,2,1)),OR(COUNTIF($C426:D426,"&gt;0")&gt;0,DATE($B$1,2,1)=DATE(YEAR(TODAY()),MONTH(TODAY()),1))),1,0))</f>
        <v/>
      </c>
      <c r="R426">
        <f>IF($A426="","",IF(AND($B426&gt;0,E426&lt;$B426,DATE($B$1,3,1)&lt;=TODAY(),OR($O426="",$O426&gt;=DATE($B$1,3,1)),OR(COUNTIF($C426:E426,"&gt;0")&gt;0,DATE($B$1,3,1)=DATE(YEAR(TODAY()),MONTH(TODAY()),1))),1,0))</f>
        <v/>
      </c>
      <c r="S426">
        <f>IF($A426="","",IF(AND($B426&gt;0,F426&lt;$B426,DATE($B$1,4,1)&lt;=TODAY(),OR($O426="",$O426&gt;=DATE($B$1,4,1)),OR(COUNTIF($C426:F426,"&gt;0")&gt;0,DATE($B$1,4,1)=DATE(YEAR(TODAY()),MONTH(TODAY()),1))),1,0))</f>
        <v/>
      </c>
      <c r="T426">
        <f>IF($A426="","",IF(AND($B426&gt;0,G426&lt;$B426,DATE($B$1,5,1)&lt;=TODAY(),OR($O426="",$O426&gt;=DATE($B$1,5,1)),OR(COUNTIF($C426:G426,"&gt;0")&gt;0,DATE($B$1,5,1)=DATE(YEAR(TODAY()),MONTH(TODAY()),1))),1,0))</f>
        <v/>
      </c>
      <c r="U426">
        <f>IF($A426="","",IF(AND($B426&gt;0,H426&lt;$B426,DATE($B$1,6,1)&lt;=TODAY(),OR($O426="",$O426&gt;=DATE($B$1,6,1)),OR(COUNTIF($C426:H426,"&gt;0")&gt;0,DATE($B$1,6,1)=DATE(YEAR(TODAY()),MONTH(TODAY()),1))),1,0))</f>
        <v/>
      </c>
      <c r="V426">
        <f>IF($A426="","",IF(AND($B426&gt;0,I426&lt;$B426,DATE($B$1,7,1)&lt;=TODAY(),OR($O426="",$O426&gt;=DATE($B$1,7,1)),OR(COUNTIF($C426:I426,"&gt;0")&gt;0,DATE($B$1,7,1)=DATE(YEAR(TODAY()),MONTH(TODAY()),1))),1,0))</f>
        <v/>
      </c>
      <c r="W426">
        <f>IF($A426="","",IF(AND($B426&gt;0,J426&lt;$B426,DATE($B$1,8,1)&lt;=TODAY(),OR($O426="",$O426&gt;=DATE($B$1,8,1)),OR(COUNTIF($C426:J426,"&gt;0")&gt;0,DATE($B$1,8,1)=DATE(YEAR(TODAY()),MONTH(TODAY()),1))),1,0))</f>
        <v/>
      </c>
      <c r="X426">
        <f>IF($A426="","",IF(AND($B426&gt;0,K426&lt;$B426,DATE($B$1,9,1)&lt;=TODAY(),OR($O426="",$O426&gt;=DATE($B$1,9,1)),OR(COUNTIF($C426:K426,"&gt;0")&gt;0,DATE($B$1,9,1)=DATE(YEAR(TODAY()),MONTH(TODAY()),1))),1,0))</f>
        <v/>
      </c>
      <c r="Y426">
        <f>IF($A426="","",IF(AND($B426&gt;0,L426&lt;$B426,DATE($B$1,10,1)&lt;=TODAY(),OR($O426="",$O426&gt;=DATE($B$1,10,1)),OR(COUNTIF($C426:L426,"&gt;0")&gt;0,DATE($B$1,10,1)=DATE(YEAR(TODAY()),MONTH(TODAY()),1))),1,0))</f>
        <v/>
      </c>
      <c r="Z426">
        <f>IF($A426="","",IF(AND($B426&gt;0,M426&lt;$B426,DATE($B$1,11,1)&lt;=TODAY(),OR($O426="",$O426&gt;=DATE($B$1,11,1)),OR(COUNTIF($C426:M426,"&gt;0")&gt;0,DATE($B$1,11,1)=DATE(YEAR(TODAY()),MONTH(TODAY()),1))),1,0))</f>
        <v/>
      </c>
      <c r="AA426">
        <f>IF($A426="","",IF(AND($B426&gt;0,N426&lt;$B426,DATE($B$1,12,1)&lt;=TODAY(),OR($O426="",$O426&gt;=DATE($B$1,12,1)),OR(COUNTIF($C426:N426,"&gt;0")&gt;0,DATE($B$1,12,1)=DATE(YEAR(TODAY()),MONTH(TODAY()),1))),1,0))</f>
        <v/>
      </c>
    </row>
    <row r="427">
      <c r="A427" s="13">
        <f>IF(원생!$A425="","",원생!$A425&amp;IF(원생!$G425="",""," ("&amp;원생!$G425&amp;")"))</f>
        <v/>
      </c>
      <c r="B427" s="8">
        <f>IF(원생!$A425="","",원생!$F425)</f>
        <v/>
      </c>
      <c r="C427" s="14">
        <f>IF(원생!$A425="","",SUMIFS(수납!$F:$F,수납!$C:$C,원생!$A425,수납!$D:$D,IF(원생!$G425="","",원생!$G425),수납!$B:$B,$B$1&amp;"-"&amp;TEXT(1,"00")&amp;"*",수납!$E:$E,"수강료")+SUMIFS(수납!$F:$F,수납!$C:$C,원생!$A425,수납!$D:$D,IF(원생!$G425="","",원생!$G425),수납!$B:$B,$B$1&amp;"-"&amp;TEXT(1,"00")&amp;"*",수납!$E:$E,""))</f>
        <v/>
      </c>
      <c r="D427" s="14">
        <f>IF(원생!$A425="","",SUMIFS(수납!$F:$F,수납!$C:$C,원생!$A425,수납!$D:$D,IF(원생!$G425="","",원생!$G425),수납!$B:$B,$B$1&amp;"-"&amp;TEXT(2,"00")&amp;"*",수납!$E:$E,"수강료")+SUMIFS(수납!$F:$F,수납!$C:$C,원생!$A425,수납!$D:$D,IF(원생!$G425="","",원생!$G425),수납!$B:$B,$B$1&amp;"-"&amp;TEXT(2,"00")&amp;"*",수납!$E:$E,""))</f>
        <v/>
      </c>
      <c r="E427" s="14">
        <f>IF(원생!$A425="","",SUMIFS(수납!$F:$F,수납!$C:$C,원생!$A425,수납!$D:$D,IF(원생!$G425="","",원생!$G425),수납!$B:$B,$B$1&amp;"-"&amp;TEXT(3,"00")&amp;"*",수납!$E:$E,"수강료")+SUMIFS(수납!$F:$F,수납!$C:$C,원생!$A425,수납!$D:$D,IF(원생!$G425="","",원생!$G425),수납!$B:$B,$B$1&amp;"-"&amp;TEXT(3,"00")&amp;"*",수납!$E:$E,""))</f>
        <v/>
      </c>
      <c r="F427" s="14">
        <f>IF(원생!$A425="","",SUMIFS(수납!$F:$F,수납!$C:$C,원생!$A425,수납!$D:$D,IF(원생!$G425="","",원생!$G425),수납!$B:$B,$B$1&amp;"-"&amp;TEXT(4,"00")&amp;"*",수납!$E:$E,"수강료")+SUMIFS(수납!$F:$F,수납!$C:$C,원생!$A425,수납!$D:$D,IF(원생!$G425="","",원생!$G425),수납!$B:$B,$B$1&amp;"-"&amp;TEXT(4,"00")&amp;"*",수납!$E:$E,""))</f>
        <v/>
      </c>
      <c r="G427" s="14">
        <f>IF(원생!$A425="","",SUMIFS(수납!$F:$F,수납!$C:$C,원생!$A425,수납!$D:$D,IF(원생!$G425="","",원생!$G425),수납!$B:$B,$B$1&amp;"-"&amp;TEXT(5,"00")&amp;"*",수납!$E:$E,"수강료")+SUMIFS(수납!$F:$F,수납!$C:$C,원생!$A425,수납!$D:$D,IF(원생!$G425="","",원생!$G425),수납!$B:$B,$B$1&amp;"-"&amp;TEXT(5,"00")&amp;"*",수납!$E:$E,""))</f>
        <v/>
      </c>
      <c r="H427" s="14">
        <f>IF(원생!$A425="","",SUMIFS(수납!$F:$F,수납!$C:$C,원생!$A425,수납!$D:$D,IF(원생!$G425="","",원생!$G425),수납!$B:$B,$B$1&amp;"-"&amp;TEXT(6,"00")&amp;"*",수납!$E:$E,"수강료")+SUMIFS(수납!$F:$F,수납!$C:$C,원생!$A425,수납!$D:$D,IF(원생!$G425="","",원생!$G425),수납!$B:$B,$B$1&amp;"-"&amp;TEXT(6,"00")&amp;"*",수납!$E:$E,""))</f>
        <v/>
      </c>
      <c r="I427" s="14">
        <f>IF(원생!$A425="","",SUMIFS(수납!$F:$F,수납!$C:$C,원생!$A425,수납!$D:$D,IF(원생!$G425="","",원생!$G425),수납!$B:$B,$B$1&amp;"-"&amp;TEXT(7,"00")&amp;"*",수납!$E:$E,"수강료")+SUMIFS(수납!$F:$F,수납!$C:$C,원생!$A425,수납!$D:$D,IF(원생!$G425="","",원생!$G425),수납!$B:$B,$B$1&amp;"-"&amp;TEXT(7,"00")&amp;"*",수납!$E:$E,""))</f>
        <v/>
      </c>
      <c r="J427" s="14">
        <f>IF(원생!$A425="","",SUMIFS(수납!$F:$F,수납!$C:$C,원생!$A425,수납!$D:$D,IF(원생!$G425="","",원생!$G425),수납!$B:$B,$B$1&amp;"-"&amp;TEXT(8,"00")&amp;"*",수납!$E:$E,"수강료")+SUMIFS(수납!$F:$F,수납!$C:$C,원생!$A425,수납!$D:$D,IF(원생!$G425="","",원생!$G425),수납!$B:$B,$B$1&amp;"-"&amp;TEXT(8,"00")&amp;"*",수납!$E:$E,""))</f>
        <v/>
      </c>
      <c r="K427" s="14">
        <f>IF(원생!$A425="","",SUMIFS(수납!$F:$F,수납!$C:$C,원생!$A425,수납!$D:$D,IF(원생!$G425="","",원생!$G425),수납!$B:$B,$B$1&amp;"-"&amp;TEXT(9,"00")&amp;"*",수납!$E:$E,"수강료")+SUMIFS(수납!$F:$F,수납!$C:$C,원생!$A425,수납!$D:$D,IF(원생!$G425="","",원생!$G425),수납!$B:$B,$B$1&amp;"-"&amp;TEXT(9,"00")&amp;"*",수납!$E:$E,""))</f>
        <v/>
      </c>
      <c r="L427" s="14">
        <f>IF(원생!$A425="","",SUMIFS(수납!$F:$F,수납!$C:$C,원생!$A425,수납!$D:$D,IF(원생!$G425="","",원생!$G425),수납!$B:$B,$B$1&amp;"-"&amp;TEXT(10,"00")&amp;"*",수납!$E:$E,"수강료")+SUMIFS(수납!$F:$F,수납!$C:$C,원생!$A425,수납!$D:$D,IF(원생!$G425="","",원생!$G425),수납!$B:$B,$B$1&amp;"-"&amp;TEXT(10,"00")&amp;"*",수납!$E:$E,""))</f>
        <v/>
      </c>
      <c r="M427" s="14">
        <f>IF(원생!$A425="","",SUMIFS(수납!$F:$F,수납!$C:$C,원생!$A425,수납!$D:$D,IF(원생!$G425="","",원생!$G425),수납!$B:$B,$B$1&amp;"-"&amp;TEXT(11,"00")&amp;"*",수납!$E:$E,"수강료")+SUMIFS(수납!$F:$F,수납!$C:$C,원생!$A425,수납!$D:$D,IF(원생!$G425="","",원생!$G425),수납!$B:$B,$B$1&amp;"-"&amp;TEXT(11,"00")&amp;"*",수납!$E:$E,""))</f>
        <v/>
      </c>
      <c r="N427" s="14">
        <f>IF(원생!$A425="","",SUMIFS(수납!$F:$F,수납!$C:$C,원생!$A425,수납!$D:$D,IF(원생!$G425="","",원생!$G425),수납!$B:$B,$B$1&amp;"-"&amp;TEXT(12,"00")&amp;"*",수납!$E:$E,"수강료")+SUMIFS(수납!$F:$F,수납!$C:$C,원생!$A425,수납!$D:$D,IF(원생!$G425="","",원생!$G425),수납!$B:$B,$B$1&amp;"-"&amp;TEXT(12,"00")&amp;"*",수납!$E:$E,""))</f>
        <v/>
      </c>
      <c r="O427">
        <f>IF(원생!$I425="","",원생!$I425)</f>
        <v/>
      </c>
      <c r="P427">
        <f>IF($A427="","",IF(AND($B427&gt;0,C427&lt;$B427,DATE($B$1,1,1)&lt;=TODAY(),OR($O427="",$O427&gt;=DATE($B$1,1,1)),OR(COUNTIF($C427:C427,"&gt;0")&gt;0,DATE($B$1,1,1)=DATE(YEAR(TODAY()),MONTH(TODAY()),1))),1,0))</f>
        <v/>
      </c>
      <c r="Q427">
        <f>IF($A427="","",IF(AND($B427&gt;0,D427&lt;$B427,DATE($B$1,2,1)&lt;=TODAY(),OR($O427="",$O427&gt;=DATE($B$1,2,1)),OR(COUNTIF($C427:D427,"&gt;0")&gt;0,DATE($B$1,2,1)=DATE(YEAR(TODAY()),MONTH(TODAY()),1))),1,0))</f>
        <v/>
      </c>
      <c r="R427">
        <f>IF($A427="","",IF(AND($B427&gt;0,E427&lt;$B427,DATE($B$1,3,1)&lt;=TODAY(),OR($O427="",$O427&gt;=DATE($B$1,3,1)),OR(COUNTIF($C427:E427,"&gt;0")&gt;0,DATE($B$1,3,1)=DATE(YEAR(TODAY()),MONTH(TODAY()),1))),1,0))</f>
        <v/>
      </c>
      <c r="S427">
        <f>IF($A427="","",IF(AND($B427&gt;0,F427&lt;$B427,DATE($B$1,4,1)&lt;=TODAY(),OR($O427="",$O427&gt;=DATE($B$1,4,1)),OR(COUNTIF($C427:F427,"&gt;0")&gt;0,DATE($B$1,4,1)=DATE(YEAR(TODAY()),MONTH(TODAY()),1))),1,0))</f>
        <v/>
      </c>
      <c r="T427">
        <f>IF($A427="","",IF(AND($B427&gt;0,G427&lt;$B427,DATE($B$1,5,1)&lt;=TODAY(),OR($O427="",$O427&gt;=DATE($B$1,5,1)),OR(COUNTIF($C427:G427,"&gt;0")&gt;0,DATE($B$1,5,1)=DATE(YEAR(TODAY()),MONTH(TODAY()),1))),1,0))</f>
        <v/>
      </c>
      <c r="U427">
        <f>IF($A427="","",IF(AND($B427&gt;0,H427&lt;$B427,DATE($B$1,6,1)&lt;=TODAY(),OR($O427="",$O427&gt;=DATE($B$1,6,1)),OR(COUNTIF($C427:H427,"&gt;0")&gt;0,DATE($B$1,6,1)=DATE(YEAR(TODAY()),MONTH(TODAY()),1))),1,0))</f>
        <v/>
      </c>
      <c r="V427">
        <f>IF($A427="","",IF(AND($B427&gt;0,I427&lt;$B427,DATE($B$1,7,1)&lt;=TODAY(),OR($O427="",$O427&gt;=DATE($B$1,7,1)),OR(COUNTIF($C427:I427,"&gt;0")&gt;0,DATE($B$1,7,1)=DATE(YEAR(TODAY()),MONTH(TODAY()),1))),1,0))</f>
        <v/>
      </c>
      <c r="W427">
        <f>IF($A427="","",IF(AND($B427&gt;0,J427&lt;$B427,DATE($B$1,8,1)&lt;=TODAY(),OR($O427="",$O427&gt;=DATE($B$1,8,1)),OR(COUNTIF($C427:J427,"&gt;0")&gt;0,DATE($B$1,8,1)=DATE(YEAR(TODAY()),MONTH(TODAY()),1))),1,0))</f>
        <v/>
      </c>
      <c r="X427">
        <f>IF($A427="","",IF(AND($B427&gt;0,K427&lt;$B427,DATE($B$1,9,1)&lt;=TODAY(),OR($O427="",$O427&gt;=DATE($B$1,9,1)),OR(COUNTIF($C427:K427,"&gt;0")&gt;0,DATE($B$1,9,1)=DATE(YEAR(TODAY()),MONTH(TODAY()),1))),1,0))</f>
        <v/>
      </c>
      <c r="Y427">
        <f>IF($A427="","",IF(AND($B427&gt;0,L427&lt;$B427,DATE($B$1,10,1)&lt;=TODAY(),OR($O427="",$O427&gt;=DATE($B$1,10,1)),OR(COUNTIF($C427:L427,"&gt;0")&gt;0,DATE($B$1,10,1)=DATE(YEAR(TODAY()),MONTH(TODAY()),1))),1,0))</f>
        <v/>
      </c>
      <c r="Z427">
        <f>IF($A427="","",IF(AND($B427&gt;0,M427&lt;$B427,DATE($B$1,11,1)&lt;=TODAY(),OR($O427="",$O427&gt;=DATE($B$1,11,1)),OR(COUNTIF($C427:M427,"&gt;0")&gt;0,DATE($B$1,11,1)=DATE(YEAR(TODAY()),MONTH(TODAY()),1))),1,0))</f>
        <v/>
      </c>
      <c r="AA427">
        <f>IF($A427="","",IF(AND($B427&gt;0,N427&lt;$B427,DATE($B$1,12,1)&lt;=TODAY(),OR($O427="",$O427&gt;=DATE($B$1,12,1)),OR(COUNTIF($C427:N427,"&gt;0")&gt;0,DATE($B$1,12,1)=DATE(YEAR(TODAY()),MONTH(TODAY()),1))),1,0))</f>
        <v/>
      </c>
    </row>
    <row r="428">
      <c r="A428" s="13">
        <f>IF(원생!$A426="","",원생!$A426&amp;IF(원생!$G426="",""," ("&amp;원생!$G426&amp;")"))</f>
        <v/>
      </c>
      <c r="B428" s="8">
        <f>IF(원생!$A426="","",원생!$F426)</f>
        <v/>
      </c>
      <c r="C428" s="14">
        <f>IF(원생!$A426="","",SUMIFS(수납!$F:$F,수납!$C:$C,원생!$A426,수납!$D:$D,IF(원생!$G426="","",원생!$G426),수납!$B:$B,$B$1&amp;"-"&amp;TEXT(1,"00")&amp;"*",수납!$E:$E,"수강료")+SUMIFS(수납!$F:$F,수납!$C:$C,원생!$A426,수납!$D:$D,IF(원생!$G426="","",원생!$G426),수납!$B:$B,$B$1&amp;"-"&amp;TEXT(1,"00")&amp;"*",수납!$E:$E,""))</f>
        <v/>
      </c>
      <c r="D428" s="14">
        <f>IF(원생!$A426="","",SUMIFS(수납!$F:$F,수납!$C:$C,원생!$A426,수납!$D:$D,IF(원생!$G426="","",원생!$G426),수납!$B:$B,$B$1&amp;"-"&amp;TEXT(2,"00")&amp;"*",수납!$E:$E,"수강료")+SUMIFS(수납!$F:$F,수납!$C:$C,원생!$A426,수납!$D:$D,IF(원생!$G426="","",원생!$G426),수납!$B:$B,$B$1&amp;"-"&amp;TEXT(2,"00")&amp;"*",수납!$E:$E,""))</f>
        <v/>
      </c>
      <c r="E428" s="14">
        <f>IF(원생!$A426="","",SUMIFS(수납!$F:$F,수납!$C:$C,원생!$A426,수납!$D:$D,IF(원생!$G426="","",원생!$G426),수납!$B:$B,$B$1&amp;"-"&amp;TEXT(3,"00")&amp;"*",수납!$E:$E,"수강료")+SUMIFS(수납!$F:$F,수납!$C:$C,원생!$A426,수납!$D:$D,IF(원생!$G426="","",원생!$G426),수납!$B:$B,$B$1&amp;"-"&amp;TEXT(3,"00")&amp;"*",수납!$E:$E,""))</f>
        <v/>
      </c>
      <c r="F428" s="14">
        <f>IF(원생!$A426="","",SUMIFS(수납!$F:$F,수납!$C:$C,원생!$A426,수납!$D:$D,IF(원생!$G426="","",원생!$G426),수납!$B:$B,$B$1&amp;"-"&amp;TEXT(4,"00")&amp;"*",수납!$E:$E,"수강료")+SUMIFS(수납!$F:$F,수납!$C:$C,원생!$A426,수납!$D:$D,IF(원생!$G426="","",원생!$G426),수납!$B:$B,$B$1&amp;"-"&amp;TEXT(4,"00")&amp;"*",수납!$E:$E,""))</f>
        <v/>
      </c>
      <c r="G428" s="14">
        <f>IF(원생!$A426="","",SUMIFS(수납!$F:$F,수납!$C:$C,원생!$A426,수납!$D:$D,IF(원생!$G426="","",원생!$G426),수납!$B:$B,$B$1&amp;"-"&amp;TEXT(5,"00")&amp;"*",수납!$E:$E,"수강료")+SUMIFS(수납!$F:$F,수납!$C:$C,원생!$A426,수납!$D:$D,IF(원생!$G426="","",원생!$G426),수납!$B:$B,$B$1&amp;"-"&amp;TEXT(5,"00")&amp;"*",수납!$E:$E,""))</f>
        <v/>
      </c>
      <c r="H428" s="14">
        <f>IF(원생!$A426="","",SUMIFS(수납!$F:$F,수납!$C:$C,원생!$A426,수납!$D:$D,IF(원생!$G426="","",원생!$G426),수납!$B:$B,$B$1&amp;"-"&amp;TEXT(6,"00")&amp;"*",수납!$E:$E,"수강료")+SUMIFS(수납!$F:$F,수납!$C:$C,원생!$A426,수납!$D:$D,IF(원생!$G426="","",원생!$G426),수납!$B:$B,$B$1&amp;"-"&amp;TEXT(6,"00")&amp;"*",수납!$E:$E,""))</f>
        <v/>
      </c>
      <c r="I428" s="14">
        <f>IF(원생!$A426="","",SUMIFS(수납!$F:$F,수납!$C:$C,원생!$A426,수납!$D:$D,IF(원생!$G426="","",원생!$G426),수납!$B:$B,$B$1&amp;"-"&amp;TEXT(7,"00")&amp;"*",수납!$E:$E,"수강료")+SUMIFS(수납!$F:$F,수납!$C:$C,원생!$A426,수납!$D:$D,IF(원생!$G426="","",원생!$G426),수납!$B:$B,$B$1&amp;"-"&amp;TEXT(7,"00")&amp;"*",수납!$E:$E,""))</f>
        <v/>
      </c>
      <c r="J428" s="14">
        <f>IF(원생!$A426="","",SUMIFS(수납!$F:$F,수납!$C:$C,원생!$A426,수납!$D:$D,IF(원생!$G426="","",원생!$G426),수납!$B:$B,$B$1&amp;"-"&amp;TEXT(8,"00")&amp;"*",수납!$E:$E,"수강료")+SUMIFS(수납!$F:$F,수납!$C:$C,원생!$A426,수납!$D:$D,IF(원생!$G426="","",원생!$G426),수납!$B:$B,$B$1&amp;"-"&amp;TEXT(8,"00")&amp;"*",수납!$E:$E,""))</f>
        <v/>
      </c>
      <c r="K428" s="14">
        <f>IF(원생!$A426="","",SUMIFS(수납!$F:$F,수납!$C:$C,원생!$A426,수납!$D:$D,IF(원생!$G426="","",원생!$G426),수납!$B:$B,$B$1&amp;"-"&amp;TEXT(9,"00")&amp;"*",수납!$E:$E,"수강료")+SUMIFS(수납!$F:$F,수납!$C:$C,원생!$A426,수납!$D:$D,IF(원생!$G426="","",원생!$G426),수납!$B:$B,$B$1&amp;"-"&amp;TEXT(9,"00")&amp;"*",수납!$E:$E,""))</f>
        <v/>
      </c>
      <c r="L428" s="14">
        <f>IF(원생!$A426="","",SUMIFS(수납!$F:$F,수납!$C:$C,원생!$A426,수납!$D:$D,IF(원생!$G426="","",원생!$G426),수납!$B:$B,$B$1&amp;"-"&amp;TEXT(10,"00")&amp;"*",수납!$E:$E,"수강료")+SUMIFS(수납!$F:$F,수납!$C:$C,원생!$A426,수납!$D:$D,IF(원생!$G426="","",원생!$G426),수납!$B:$B,$B$1&amp;"-"&amp;TEXT(10,"00")&amp;"*",수납!$E:$E,""))</f>
        <v/>
      </c>
      <c r="M428" s="14">
        <f>IF(원생!$A426="","",SUMIFS(수납!$F:$F,수납!$C:$C,원생!$A426,수납!$D:$D,IF(원생!$G426="","",원생!$G426),수납!$B:$B,$B$1&amp;"-"&amp;TEXT(11,"00")&amp;"*",수납!$E:$E,"수강료")+SUMIFS(수납!$F:$F,수납!$C:$C,원생!$A426,수납!$D:$D,IF(원생!$G426="","",원생!$G426),수납!$B:$B,$B$1&amp;"-"&amp;TEXT(11,"00")&amp;"*",수납!$E:$E,""))</f>
        <v/>
      </c>
      <c r="N428" s="14">
        <f>IF(원생!$A426="","",SUMIFS(수납!$F:$F,수납!$C:$C,원생!$A426,수납!$D:$D,IF(원생!$G426="","",원생!$G426),수납!$B:$B,$B$1&amp;"-"&amp;TEXT(12,"00")&amp;"*",수납!$E:$E,"수강료")+SUMIFS(수납!$F:$F,수납!$C:$C,원생!$A426,수납!$D:$D,IF(원생!$G426="","",원생!$G426),수납!$B:$B,$B$1&amp;"-"&amp;TEXT(12,"00")&amp;"*",수납!$E:$E,""))</f>
        <v/>
      </c>
      <c r="O428">
        <f>IF(원생!$I426="","",원생!$I426)</f>
        <v/>
      </c>
      <c r="P428">
        <f>IF($A428="","",IF(AND($B428&gt;0,C428&lt;$B428,DATE($B$1,1,1)&lt;=TODAY(),OR($O428="",$O428&gt;=DATE($B$1,1,1)),OR(COUNTIF($C428:C428,"&gt;0")&gt;0,DATE($B$1,1,1)=DATE(YEAR(TODAY()),MONTH(TODAY()),1))),1,0))</f>
        <v/>
      </c>
      <c r="Q428">
        <f>IF($A428="","",IF(AND($B428&gt;0,D428&lt;$B428,DATE($B$1,2,1)&lt;=TODAY(),OR($O428="",$O428&gt;=DATE($B$1,2,1)),OR(COUNTIF($C428:D428,"&gt;0")&gt;0,DATE($B$1,2,1)=DATE(YEAR(TODAY()),MONTH(TODAY()),1))),1,0))</f>
        <v/>
      </c>
      <c r="R428">
        <f>IF($A428="","",IF(AND($B428&gt;0,E428&lt;$B428,DATE($B$1,3,1)&lt;=TODAY(),OR($O428="",$O428&gt;=DATE($B$1,3,1)),OR(COUNTIF($C428:E428,"&gt;0")&gt;0,DATE($B$1,3,1)=DATE(YEAR(TODAY()),MONTH(TODAY()),1))),1,0))</f>
        <v/>
      </c>
      <c r="S428">
        <f>IF($A428="","",IF(AND($B428&gt;0,F428&lt;$B428,DATE($B$1,4,1)&lt;=TODAY(),OR($O428="",$O428&gt;=DATE($B$1,4,1)),OR(COUNTIF($C428:F428,"&gt;0")&gt;0,DATE($B$1,4,1)=DATE(YEAR(TODAY()),MONTH(TODAY()),1))),1,0))</f>
        <v/>
      </c>
      <c r="T428">
        <f>IF($A428="","",IF(AND($B428&gt;0,G428&lt;$B428,DATE($B$1,5,1)&lt;=TODAY(),OR($O428="",$O428&gt;=DATE($B$1,5,1)),OR(COUNTIF($C428:G428,"&gt;0")&gt;0,DATE($B$1,5,1)=DATE(YEAR(TODAY()),MONTH(TODAY()),1))),1,0))</f>
        <v/>
      </c>
      <c r="U428">
        <f>IF($A428="","",IF(AND($B428&gt;0,H428&lt;$B428,DATE($B$1,6,1)&lt;=TODAY(),OR($O428="",$O428&gt;=DATE($B$1,6,1)),OR(COUNTIF($C428:H428,"&gt;0")&gt;0,DATE($B$1,6,1)=DATE(YEAR(TODAY()),MONTH(TODAY()),1))),1,0))</f>
        <v/>
      </c>
      <c r="V428">
        <f>IF($A428="","",IF(AND($B428&gt;0,I428&lt;$B428,DATE($B$1,7,1)&lt;=TODAY(),OR($O428="",$O428&gt;=DATE($B$1,7,1)),OR(COUNTIF($C428:I428,"&gt;0")&gt;0,DATE($B$1,7,1)=DATE(YEAR(TODAY()),MONTH(TODAY()),1))),1,0))</f>
        <v/>
      </c>
      <c r="W428">
        <f>IF($A428="","",IF(AND($B428&gt;0,J428&lt;$B428,DATE($B$1,8,1)&lt;=TODAY(),OR($O428="",$O428&gt;=DATE($B$1,8,1)),OR(COUNTIF($C428:J428,"&gt;0")&gt;0,DATE($B$1,8,1)=DATE(YEAR(TODAY()),MONTH(TODAY()),1))),1,0))</f>
        <v/>
      </c>
      <c r="X428">
        <f>IF($A428="","",IF(AND($B428&gt;0,K428&lt;$B428,DATE($B$1,9,1)&lt;=TODAY(),OR($O428="",$O428&gt;=DATE($B$1,9,1)),OR(COUNTIF($C428:K428,"&gt;0")&gt;0,DATE($B$1,9,1)=DATE(YEAR(TODAY()),MONTH(TODAY()),1))),1,0))</f>
        <v/>
      </c>
      <c r="Y428">
        <f>IF($A428="","",IF(AND($B428&gt;0,L428&lt;$B428,DATE($B$1,10,1)&lt;=TODAY(),OR($O428="",$O428&gt;=DATE($B$1,10,1)),OR(COUNTIF($C428:L428,"&gt;0")&gt;0,DATE($B$1,10,1)=DATE(YEAR(TODAY()),MONTH(TODAY()),1))),1,0))</f>
        <v/>
      </c>
      <c r="Z428">
        <f>IF($A428="","",IF(AND($B428&gt;0,M428&lt;$B428,DATE($B$1,11,1)&lt;=TODAY(),OR($O428="",$O428&gt;=DATE($B$1,11,1)),OR(COUNTIF($C428:M428,"&gt;0")&gt;0,DATE($B$1,11,1)=DATE(YEAR(TODAY()),MONTH(TODAY()),1))),1,0))</f>
        <v/>
      </c>
      <c r="AA428">
        <f>IF($A428="","",IF(AND($B428&gt;0,N428&lt;$B428,DATE($B$1,12,1)&lt;=TODAY(),OR($O428="",$O428&gt;=DATE($B$1,12,1)),OR(COUNTIF($C428:N428,"&gt;0")&gt;0,DATE($B$1,12,1)=DATE(YEAR(TODAY()),MONTH(TODAY()),1))),1,0))</f>
        <v/>
      </c>
    </row>
    <row r="429">
      <c r="A429" s="13">
        <f>IF(원생!$A427="","",원생!$A427&amp;IF(원생!$G427="",""," ("&amp;원생!$G427&amp;")"))</f>
        <v/>
      </c>
      <c r="B429" s="8">
        <f>IF(원생!$A427="","",원생!$F427)</f>
        <v/>
      </c>
      <c r="C429" s="14">
        <f>IF(원생!$A427="","",SUMIFS(수납!$F:$F,수납!$C:$C,원생!$A427,수납!$D:$D,IF(원생!$G427="","",원생!$G427),수납!$B:$B,$B$1&amp;"-"&amp;TEXT(1,"00")&amp;"*",수납!$E:$E,"수강료")+SUMIFS(수납!$F:$F,수납!$C:$C,원생!$A427,수납!$D:$D,IF(원생!$G427="","",원생!$G427),수납!$B:$B,$B$1&amp;"-"&amp;TEXT(1,"00")&amp;"*",수납!$E:$E,""))</f>
        <v/>
      </c>
      <c r="D429" s="14">
        <f>IF(원생!$A427="","",SUMIFS(수납!$F:$F,수납!$C:$C,원생!$A427,수납!$D:$D,IF(원생!$G427="","",원생!$G427),수납!$B:$B,$B$1&amp;"-"&amp;TEXT(2,"00")&amp;"*",수납!$E:$E,"수강료")+SUMIFS(수납!$F:$F,수납!$C:$C,원생!$A427,수납!$D:$D,IF(원생!$G427="","",원생!$G427),수납!$B:$B,$B$1&amp;"-"&amp;TEXT(2,"00")&amp;"*",수납!$E:$E,""))</f>
        <v/>
      </c>
      <c r="E429" s="14">
        <f>IF(원생!$A427="","",SUMIFS(수납!$F:$F,수납!$C:$C,원생!$A427,수납!$D:$D,IF(원생!$G427="","",원생!$G427),수납!$B:$B,$B$1&amp;"-"&amp;TEXT(3,"00")&amp;"*",수납!$E:$E,"수강료")+SUMIFS(수납!$F:$F,수납!$C:$C,원생!$A427,수납!$D:$D,IF(원생!$G427="","",원생!$G427),수납!$B:$B,$B$1&amp;"-"&amp;TEXT(3,"00")&amp;"*",수납!$E:$E,""))</f>
        <v/>
      </c>
      <c r="F429" s="14">
        <f>IF(원생!$A427="","",SUMIFS(수납!$F:$F,수납!$C:$C,원생!$A427,수납!$D:$D,IF(원생!$G427="","",원생!$G427),수납!$B:$B,$B$1&amp;"-"&amp;TEXT(4,"00")&amp;"*",수납!$E:$E,"수강료")+SUMIFS(수납!$F:$F,수납!$C:$C,원생!$A427,수납!$D:$D,IF(원생!$G427="","",원생!$G427),수납!$B:$B,$B$1&amp;"-"&amp;TEXT(4,"00")&amp;"*",수납!$E:$E,""))</f>
        <v/>
      </c>
      <c r="G429" s="14">
        <f>IF(원생!$A427="","",SUMIFS(수납!$F:$F,수납!$C:$C,원생!$A427,수납!$D:$D,IF(원생!$G427="","",원생!$G427),수납!$B:$B,$B$1&amp;"-"&amp;TEXT(5,"00")&amp;"*",수납!$E:$E,"수강료")+SUMIFS(수납!$F:$F,수납!$C:$C,원생!$A427,수납!$D:$D,IF(원생!$G427="","",원생!$G427),수납!$B:$B,$B$1&amp;"-"&amp;TEXT(5,"00")&amp;"*",수납!$E:$E,""))</f>
        <v/>
      </c>
      <c r="H429" s="14">
        <f>IF(원생!$A427="","",SUMIFS(수납!$F:$F,수납!$C:$C,원생!$A427,수납!$D:$D,IF(원생!$G427="","",원생!$G427),수납!$B:$B,$B$1&amp;"-"&amp;TEXT(6,"00")&amp;"*",수납!$E:$E,"수강료")+SUMIFS(수납!$F:$F,수납!$C:$C,원생!$A427,수납!$D:$D,IF(원생!$G427="","",원생!$G427),수납!$B:$B,$B$1&amp;"-"&amp;TEXT(6,"00")&amp;"*",수납!$E:$E,""))</f>
        <v/>
      </c>
      <c r="I429" s="14">
        <f>IF(원생!$A427="","",SUMIFS(수납!$F:$F,수납!$C:$C,원생!$A427,수납!$D:$D,IF(원생!$G427="","",원생!$G427),수납!$B:$B,$B$1&amp;"-"&amp;TEXT(7,"00")&amp;"*",수납!$E:$E,"수강료")+SUMIFS(수납!$F:$F,수납!$C:$C,원생!$A427,수납!$D:$D,IF(원생!$G427="","",원생!$G427),수납!$B:$B,$B$1&amp;"-"&amp;TEXT(7,"00")&amp;"*",수납!$E:$E,""))</f>
        <v/>
      </c>
      <c r="J429" s="14">
        <f>IF(원생!$A427="","",SUMIFS(수납!$F:$F,수납!$C:$C,원생!$A427,수납!$D:$D,IF(원생!$G427="","",원생!$G427),수납!$B:$B,$B$1&amp;"-"&amp;TEXT(8,"00")&amp;"*",수납!$E:$E,"수강료")+SUMIFS(수납!$F:$F,수납!$C:$C,원생!$A427,수납!$D:$D,IF(원생!$G427="","",원생!$G427),수납!$B:$B,$B$1&amp;"-"&amp;TEXT(8,"00")&amp;"*",수납!$E:$E,""))</f>
        <v/>
      </c>
      <c r="K429" s="14">
        <f>IF(원생!$A427="","",SUMIFS(수납!$F:$F,수납!$C:$C,원생!$A427,수납!$D:$D,IF(원생!$G427="","",원생!$G427),수납!$B:$B,$B$1&amp;"-"&amp;TEXT(9,"00")&amp;"*",수납!$E:$E,"수강료")+SUMIFS(수납!$F:$F,수납!$C:$C,원생!$A427,수납!$D:$D,IF(원생!$G427="","",원생!$G427),수납!$B:$B,$B$1&amp;"-"&amp;TEXT(9,"00")&amp;"*",수납!$E:$E,""))</f>
        <v/>
      </c>
      <c r="L429" s="14">
        <f>IF(원생!$A427="","",SUMIFS(수납!$F:$F,수납!$C:$C,원생!$A427,수납!$D:$D,IF(원생!$G427="","",원생!$G427),수납!$B:$B,$B$1&amp;"-"&amp;TEXT(10,"00")&amp;"*",수납!$E:$E,"수강료")+SUMIFS(수납!$F:$F,수납!$C:$C,원생!$A427,수납!$D:$D,IF(원생!$G427="","",원생!$G427),수납!$B:$B,$B$1&amp;"-"&amp;TEXT(10,"00")&amp;"*",수납!$E:$E,""))</f>
        <v/>
      </c>
      <c r="M429" s="14">
        <f>IF(원생!$A427="","",SUMIFS(수납!$F:$F,수납!$C:$C,원생!$A427,수납!$D:$D,IF(원생!$G427="","",원생!$G427),수납!$B:$B,$B$1&amp;"-"&amp;TEXT(11,"00")&amp;"*",수납!$E:$E,"수강료")+SUMIFS(수납!$F:$F,수납!$C:$C,원생!$A427,수납!$D:$D,IF(원생!$G427="","",원생!$G427),수납!$B:$B,$B$1&amp;"-"&amp;TEXT(11,"00")&amp;"*",수납!$E:$E,""))</f>
        <v/>
      </c>
      <c r="N429" s="14">
        <f>IF(원생!$A427="","",SUMIFS(수납!$F:$F,수납!$C:$C,원생!$A427,수납!$D:$D,IF(원생!$G427="","",원생!$G427),수납!$B:$B,$B$1&amp;"-"&amp;TEXT(12,"00")&amp;"*",수납!$E:$E,"수강료")+SUMIFS(수납!$F:$F,수납!$C:$C,원생!$A427,수납!$D:$D,IF(원생!$G427="","",원생!$G427),수납!$B:$B,$B$1&amp;"-"&amp;TEXT(12,"00")&amp;"*",수납!$E:$E,""))</f>
        <v/>
      </c>
      <c r="O429">
        <f>IF(원생!$I427="","",원생!$I427)</f>
        <v/>
      </c>
      <c r="P429">
        <f>IF($A429="","",IF(AND($B429&gt;0,C429&lt;$B429,DATE($B$1,1,1)&lt;=TODAY(),OR($O429="",$O429&gt;=DATE($B$1,1,1)),OR(COUNTIF($C429:C429,"&gt;0")&gt;0,DATE($B$1,1,1)=DATE(YEAR(TODAY()),MONTH(TODAY()),1))),1,0))</f>
        <v/>
      </c>
      <c r="Q429">
        <f>IF($A429="","",IF(AND($B429&gt;0,D429&lt;$B429,DATE($B$1,2,1)&lt;=TODAY(),OR($O429="",$O429&gt;=DATE($B$1,2,1)),OR(COUNTIF($C429:D429,"&gt;0")&gt;0,DATE($B$1,2,1)=DATE(YEAR(TODAY()),MONTH(TODAY()),1))),1,0))</f>
        <v/>
      </c>
      <c r="R429">
        <f>IF($A429="","",IF(AND($B429&gt;0,E429&lt;$B429,DATE($B$1,3,1)&lt;=TODAY(),OR($O429="",$O429&gt;=DATE($B$1,3,1)),OR(COUNTIF($C429:E429,"&gt;0")&gt;0,DATE($B$1,3,1)=DATE(YEAR(TODAY()),MONTH(TODAY()),1))),1,0))</f>
        <v/>
      </c>
      <c r="S429">
        <f>IF($A429="","",IF(AND($B429&gt;0,F429&lt;$B429,DATE($B$1,4,1)&lt;=TODAY(),OR($O429="",$O429&gt;=DATE($B$1,4,1)),OR(COUNTIF($C429:F429,"&gt;0")&gt;0,DATE($B$1,4,1)=DATE(YEAR(TODAY()),MONTH(TODAY()),1))),1,0))</f>
        <v/>
      </c>
      <c r="T429">
        <f>IF($A429="","",IF(AND($B429&gt;0,G429&lt;$B429,DATE($B$1,5,1)&lt;=TODAY(),OR($O429="",$O429&gt;=DATE($B$1,5,1)),OR(COUNTIF($C429:G429,"&gt;0")&gt;0,DATE($B$1,5,1)=DATE(YEAR(TODAY()),MONTH(TODAY()),1))),1,0))</f>
        <v/>
      </c>
      <c r="U429">
        <f>IF($A429="","",IF(AND($B429&gt;0,H429&lt;$B429,DATE($B$1,6,1)&lt;=TODAY(),OR($O429="",$O429&gt;=DATE($B$1,6,1)),OR(COUNTIF($C429:H429,"&gt;0")&gt;0,DATE($B$1,6,1)=DATE(YEAR(TODAY()),MONTH(TODAY()),1))),1,0))</f>
        <v/>
      </c>
      <c r="V429">
        <f>IF($A429="","",IF(AND($B429&gt;0,I429&lt;$B429,DATE($B$1,7,1)&lt;=TODAY(),OR($O429="",$O429&gt;=DATE($B$1,7,1)),OR(COUNTIF($C429:I429,"&gt;0")&gt;0,DATE($B$1,7,1)=DATE(YEAR(TODAY()),MONTH(TODAY()),1))),1,0))</f>
        <v/>
      </c>
      <c r="W429">
        <f>IF($A429="","",IF(AND($B429&gt;0,J429&lt;$B429,DATE($B$1,8,1)&lt;=TODAY(),OR($O429="",$O429&gt;=DATE($B$1,8,1)),OR(COUNTIF($C429:J429,"&gt;0")&gt;0,DATE($B$1,8,1)=DATE(YEAR(TODAY()),MONTH(TODAY()),1))),1,0))</f>
        <v/>
      </c>
      <c r="X429">
        <f>IF($A429="","",IF(AND($B429&gt;0,K429&lt;$B429,DATE($B$1,9,1)&lt;=TODAY(),OR($O429="",$O429&gt;=DATE($B$1,9,1)),OR(COUNTIF($C429:K429,"&gt;0")&gt;0,DATE($B$1,9,1)=DATE(YEAR(TODAY()),MONTH(TODAY()),1))),1,0))</f>
        <v/>
      </c>
      <c r="Y429">
        <f>IF($A429="","",IF(AND($B429&gt;0,L429&lt;$B429,DATE($B$1,10,1)&lt;=TODAY(),OR($O429="",$O429&gt;=DATE($B$1,10,1)),OR(COUNTIF($C429:L429,"&gt;0")&gt;0,DATE($B$1,10,1)=DATE(YEAR(TODAY()),MONTH(TODAY()),1))),1,0))</f>
        <v/>
      </c>
      <c r="Z429">
        <f>IF($A429="","",IF(AND($B429&gt;0,M429&lt;$B429,DATE($B$1,11,1)&lt;=TODAY(),OR($O429="",$O429&gt;=DATE($B$1,11,1)),OR(COUNTIF($C429:M429,"&gt;0")&gt;0,DATE($B$1,11,1)=DATE(YEAR(TODAY()),MONTH(TODAY()),1))),1,0))</f>
        <v/>
      </c>
      <c r="AA429">
        <f>IF($A429="","",IF(AND($B429&gt;0,N429&lt;$B429,DATE($B$1,12,1)&lt;=TODAY(),OR($O429="",$O429&gt;=DATE($B$1,12,1)),OR(COUNTIF($C429:N429,"&gt;0")&gt;0,DATE($B$1,12,1)=DATE(YEAR(TODAY()),MONTH(TODAY()),1))),1,0))</f>
        <v/>
      </c>
    </row>
    <row r="430">
      <c r="A430" s="13">
        <f>IF(원생!$A428="","",원생!$A428&amp;IF(원생!$G428="",""," ("&amp;원생!$G428&amp;")"))</f>
        <v/>
      </c>
      <c r="B430" s="8">
        <f>IF(원생!$A428="","",원생!$F428)</f>
        <v/>
      </c>
      <c r="C430" s="14">
        <f>IF(원생!$A428="","",SUMIFS(수납!$F:$F,수납!$C:$C,원생!$A428,수납!$D:$D,IF(원생!$G428="","",원생!$G428),수납!$B:$B,$B$1&amp;"-"&amp;TEXT(1,"00")&amp;"*",수납!$E:$E,"수강료")+SUMIFS(수납!$F:$F,수납!$C:$C,원생!$A428,수납!$D:$D,IF(원생!$G428="","",원생!$G428),수납!$B:$B,$B$1&amp;"-"&amp;TEXT(1,"00")&amp;"*",수납!$E:$E,""))</f>
        <v/>
      </c>
      <c r="D430" s="14">
        <f>IF(원생!$A428="","",SUMIFS(수납!$F:$F,수납!$C:$C,원생!$A428,수납!$D:$D,IF(원생!$G428="","",원생!$G428),수납!$B:$B,$B$1&amp;"-"&amp;TEXT(2,"00")&amp;"*",수납!$E:$E,"수강료")+SUMIFS(수납!$F:$F,수납!$C:$C,원생!$A428,수납!$D:$D,IF(원생!$G428="","",원생!$G428),수납!$B:$B,$B$1&amp;"-"&amp;TEXT(2,"00")&amp;"*",수납!$E:$E,""))</f>
        <v/>
      </c>
      <c r="E430" s="14">
        <f>IF(원생!$A428="","",SUMIFS(수납!$F:$F,수납!$C:$C,원생!$A428,수납!$D:$D,IF(원생!$G428="","",원생!$G428),수납!$B:$B,$B$1&amp;"-"&amp;TEXT(3,"00")&amp;"*",수납!$E:$E,"수강료")+SUMIFS(수납!$F:$F,수납!$C:$C,원생!$A428,수납!$D:$D,IF(원생!$G428="","",원생!$G428),수납!$B:$B,$B$1&amp;"-"&amp;TEXT(3,"00")&amp;"*",수납!$E:$E,""))</f>
        <v/>
      </c>
      <c r="F430" s="14">
        <f>IF(원생!$A428="","",SUMIFS(수납!$F:$F,수납!$C:$C,원생!$A428,수납!$D:$D,IF(원생!$G428="","",원생!$G428),수납!$B:$B,$B$1&amp;"-"&amp;TEXT(4,"00")&amp;"*",수납!$E:$E,"수강료")+SUMIFS(수납!$F:$F,수납!$C:$C,원생!$A428,수납!$D:$D,IF(원생!$G428="","",원생!$G428),수납!$B:$B,$B$1&amp;"-"&amp;TEXT(4,"00")&amp;"*",수납!$E:$E,""))</f>
        <v/>
      </c>
      <c r="G430" s="14">
        <f>IF(원생!$A428="","",SUMIFS(수납!$F:$F,수납!$C:$C,원생!$A428,수납!$D:$D,IF(원생!$G428="","",원생!$G428),수납!$B:$B,$B$1&amp;"-"&amp;TEXT(5,"00")&amp;"*",수납!$E:$E,"수강료")+SUMIFS(수납!$F:$F,수납!$C:$C,원생!$A428,수납!$D:$D,IF(원생!$G428="","",원생!$G428),수납!$B:$B,$B$1&amp;"-"&amp;TEXT(5,"00")&amp;"*",수납!$E:$E,""))</f>
        <v/>
      </c>
      <c r="H430" s="14">
        <f>IF(원생!$A428="","",SUMIFS(수납!$F:$F,수납!$C:$C,원생!$A428,수납!$D:$D,IF(원생!$G428="","",원생!$G428),수납!$B:$B,$B$1&amp;"-"&amp;TEXT(6,"00")&amp;"*",수납!$E:$E,"수강료")+SUMIFS(수납!$F:$F,수납!$C:$C,원생!$A428,수납!$D:$D,IF(원생!$G428="","",원생!$G428),수납!$B:$B,$B$1&amp;"-"&amp;TEXT(6,"00")&amp;"*",수납!$E:$E,""))</f>
        <v/>
      </c>
      <c r="I430" s="14">
        <f>IF(원생!$A428="","",SUMIFS(수납!$F:$F,수납!$C:$C,원생!$A428,수납!$D:$D,IF(원생!$G428="","",원생!$G428),수납!$B:$B,$B$1&amp;"-"&amp;TEXT(7,"00")&amp;"*",수납!$E:$E,"수강료")+SUMIFS(수납!$F:$F,수납!$C:$C,원생!$A428,수납!$D:$D,IF(원생!$G428="","",원생!$G428),수납!$B:$B,$B$1&amp;"-"&amp;TEXT(7,"00")&amp;"*",수납!$E:$E,""))</f>
        <v/>
      </c>
      <c r="J430" s="14">
        <f>IF(원생!$A428="","",SUMIFS(수납!$F:$F,수납!$C:$C,원생!$A428,수납!$D:$D,IF(원생!$G428="","",원생!$G428),수납!$B:$B,$B$1&amp;"-"&amp;TEXT(8,"00")&amp;"*",수납!$E:$E,"수강료")+SUMIFS(수납!$F:$F,수납!$C:$C,원생!$A428,수납!$D:$D,IF(원생!$G428="","",원생!$G428),수납!$B:$B,$B$1&amp;"-"&amp;TEXT(8,"00")&amp;"*",수납!$E:$E,""))</f>
        <v/>
      </c>
      <c r="K430" s="14">
        <f>IF(원생!$A428="","",SUMIFS(수납!$F:$F,수납!$C:$C,원생!$A428,수납!$D:$D,IF(원생!$G428="","",원생!$G428),수납!$B:$B,$B$1&amp;"-"&amp;TEXT(9,"00")&amp;"*",수납!$E:$E,"수강료")+SUMIFS(수납!$F:$F,수납!$C:$C,원생!$A428,수납!$D:$D,IF(원생!$G428="","",원생!$G428),수납!$B:$B,$B$1&amp;"-"&amp;TEXT(9,"00")&amp;"*",수납!$E:$E,""))</f>
        <v/>
      </c>
      <c r="L430" s="14">
        <f>IF(원생!$A428="","",SUMIFS(수납!$F:$F,수납!$C:$C,원생!$A428,수납!$D:$D,IF(원생!$G428="","",원생!$G428),수납!$B:$B,$B$1&amp;"-"&amp;TEXT(10,"00")&amp;"*",수납!$E:$E,"수강료")+SUMIFS(수납!$F:$F,수납!$C:$C,원생!$A428,수납!$D:$D,IF(원생!$G428="","",원생!$G428),수납!$B:$B,$B$1&amp;"-"&amp;TEXT(10,"00")&amp;"*",수납!$E:$E,""))</f>
        <v/>
      </c>
      <c r="M430" s="14">
        <f>IF(원생!$A428="","",SUMIFS(수납!$F:$F,수납!$C:$C,원생!$A428,수납!$D:$D,IF(원생!$G428="","",원생!$G428),수납!$B:$B,$B$1&amp;"-"&amp;TEXT(11,"00")&amp;"*",수납!$E:$E,"수강료")+SUMIFS(수납!$F:$F,수납!$C:$C,원생!$A428,수납!$D:$D,IF(원생!$G428="","",원생!$G428),수납!$B:$B,$B$1&amp;"-"&amp;TEXT(11,"00")&amp;"*",수납!$E:$E,""))</f>
        <v/>
      </c>
      <c r="N430" s="14">
        <f>IF(원생!$A428="","",SUMIFS(수납!$F:$F,수납!$C:$C,원생!$A428,수납!$D:$D,IF(원생!$G428="","",원생!$G428),수납!$B:$B,$B$1&amp;"-"&amp;TEXT(12,"00")&amp;"*",수납!$E:$E,"수강료")+SUMIFS(수납!$F:$F,수납!$C:$C,원생!$A428,수납!$D:$D,IF(원생!$G428="","",원생!$G428),수납!$B:$B,$B$1&amp;"-"&amp;TEXT(12,"00")&amp;"*",수납!$E:$E,""))</f>
        <v/>
      </c>
      <c r="O430">
        <f>IF(원생!$I428="","",원생!$I428)</f>
        <v/>
      </c>
      <c r="P430">
        <f>IF($A430="","",IF(AND($B430&gt;0,C430&lt;$B430,DATE($B$1,1,1)&lt;=TODAY(),OR($O430="",$O430&gt;=DATE($B$1,1,1)),OR(COUNTIF($C430:C430,"&gt;0")&gt;0,DATE($B$1,1,1)=DATE(YEAR(TODAY()),MONTH(TODAY()),1))),1,0))</f>
        <v/>
      </c>
      <c r="Q430">
        <f>IF($A430="","",IF(AND($B430&gt;0,D430&lt;$B430,DATE($B$1,2,1)&lt;=TODAY(),OR($O430="",$O430&gt;=DATE($B$1,2,1)),OR(COUNTIF($C430:D430,"&gt;0")&gt;0,DATE($B$1,2,1)=DATE(YEAR(TODAY()),MONTH(TODAY()),1))),1,0))</f>
        <v/>
      </c>
      <c r="R430">
        <f>IF($A430="","",IF(AND($B430&gt;0,E430&lt;$B430,DATE($B$1,3,1)&lt;=TODAY(),OR($O430="",$O430&gt;=DATE($B$1,3,1)),OR(COUNTIF($C430:E430,"&gt;0")&gt;0,DATE($B$1,3,1)=DATE(YEAR(TODAY()),MONTH(TODAY()),1))),1,0))</f>
        <v/>
      </c>
      <c r="S430">
        <f>IF($A430="","",IF(AND($B430&gt;0,F430&lt;$B430,DATE($B$1,4,1)&lt;=TODAY(),OR($O430="",$O430&gt;=DATE($B$1,4,1)),OR(COUNTIF($C430:F430,"&gt;0")&gt;0,DATE($B$1,4,1)=DATE(YEAR(TODAY()),MONTH(TODAY()),1))),1,0))</f>
        <v/>
      </c>
      <c r="T430">
        <f>IF($A430="","",IF(AND($B430&gt;0,G430&lt;$B430,DATE($B$1,5,1)&lt;=TODAY(),OR($O430="",$O430&gt;=DATE($B$1,5,1)),OR(COUNTIF($C430:G430,"&gt;0")&gt;0,DATE($B$1,5,1)=DATE(YEAR(TODAY()),MONTH(TODAY()),1))),1,0))</f>
        <v/>
      </c>
      <c r="U430">
        <f>IF($A430="","",IF(AND($B430&gt;0,H430&lt;$B430,DATE($B$1,6,1)&lt;=TODAY(),OR($O430="",$O430&gt;=DATE($B$1,6,1)),OR(COUNTIF($C430:H430,"&gt;0")&gt;0,DATE($B$1,6,1)=DATE(YEAR(TODAY()),MONTH(TODAY()),1))),1,0))</f>
        <v/>
      </c>
      <c r="V430">
        <f>IF($A430="","",IF(AND($B430&gt;0,I430&lt;$B430,DATE($B$1,7,1)&lt;=TODAY(),OR($O430="",$O430&gt;=DATE($B$1,7,1)),OR(COUNTIF($C430:I430,"&gt;0")&gt;0,DATE($B$1,7,1)=DATE(YEAR(TODAY()),MONTH(TODAY()),1))),1,0))</f>
        <v/>
      </c>
      <c r="W430">
        <f>IF($A430="","",IF(AND($B430&gt;0,J430&lt;$B430,DATE($B$1,8,1)&lt;=TODAY(),OR($O430="",$O430&gt;=DATE($B$1,8,1)),OR(COUNTIF($C430:J430,"&gt;0")&gt;0,DATE($B$1,8,1)=DATE(YEAR(TODAY()),MONTH(TODAY()),1))),1,0))</f>
        <v/>
      </c>
      <c r="X430">
        <f>IF($A430="","",IF(AND($B430&gt;0,K430&lt;$B430,DATE($B$1,9,1)&lt;=TODAY(),OR($O430="",$O430&gt;=DATE($B$1,9,1)),OR(COUNTIF($C430:K430,"&gt;0")&gt;0,DATE($B$1,9,1)=DATE(YEAR(TODAY()),MONTH(TODAY()),1))),1,0))</f>
        <v/>
      </c>
      <c r="Y430">
        <f>IF($A430="","",IF(AND($B430&gt;0,L430&lt;$B430,DATE($B$1,10,1)&lt;=TODAY(),OR($O430="",$O430&gt;=DATE($B$1,10,1)),OR(COUNTIF($C430:L430,"&gt;0")&gt;0,DATE($B$1,10,1)=DATE(YEAR(TODAY()),MONTH(TODAY()),1))),1,0))</f>
        <v/>
      </c>
      <c r="Z430">
        <f>IF($A430="","",IF(AND($B430&gt;0,M430&lt;$B430,DATE($B$1,11,1)&lt;=TODAY(),OR($O430="",$O430&gt;=DATE($B$1,11,1)),OR(COUNTIF($C430:M430,"&gt;0")&gt;0,DATE($B$1,11,1)=DATE(YEAR(TODAY()),MONTH(TODAY()),1))),1,0))</f>
        <v/>
      </c>
      <c r="AA430">
        <f>IF($A430="","",IF(AND($B430&gt;0,N430&lt;$B430,DATE($B$1,12,1)&lt;=TODAY(),OR($O430="",$O430&gt;=DATE($B$1,12,1)),OR(COUNTIF($C430:N430,"&gt;0")&gt;0,DATE($B$1,12,1)=DATE(YEAR(TODAY()),MONTH(TODAY()),1))),1,0))</f>
        <v/>
      </c>
    </row>
    <row r="431">
      <c r="A431" s="13">
        <f>IF(원생!$A429="","",원생!$A429&amp;IF(원생!$G429="",""," ("&amp;원생!$G429&amp;")"))</f>
        <v/>
      </c>
      <c r="B431" s="8">
        <f>IF(원생!$A429="","",원생!$F429)</f>
        <v/>
      </c>
      <c r="C431" s="14">
        <f>IF(원생!$A429="","",SUMIFS(수납!$F:$F,수납!$C:$C,원생!$A429,수납!$D:$D,IF(원생!$G429="","",원생!$G429),수납!$B:$B,$B$1&amp;"-"&amp;TEXT(1,"00")&amp;"*",수납!$E:$E,"수강료")+SUMIFS(수납!$F:$F,수납!$C:$C,원생!$A429,수납!$D:$D,IF(원생!$G429="","",원생!$G429),수납!$B:$B,$B$1&amp;"-"&amp;TEXT(1,"00")&amp;"*",수납!$E:$E,""))</f>
        <v/>
      </c>
      <c r="D431" s="14">
        <f>IF(원생!$A429="","",SUMIFS(수납!$F:$F,수납!$C:$C,원생!$A429,수납!$D:$D,IF(원생!$G429="","",원생!$G429),수납!$B:$B,$B$1&amp;"-"&amp;TEXT(2,"00")&amp;"*",수납!$E:$E,"수강료")+SUMIFS(수납!$F:$F,수납!$C:$C,원생!$A429,수납!$D:$D,IF(원생!$G429="","",원생!$G429),수납!$B:$B,$B$1&amp;"-"&amp;TEXT(2,"00")&amp;"*",수납!$E:$E,""))</f>
        <v/>
      </c>
      <c r="E431" s="14">
        <f>IF(원생!$A429="","",SUMIFS(수납!$F:$F,수납!$C:$C,원생!$A429,수납!$D:$D,IF(원생!$G429="","",원생!$G429),수납!$B:$B,$B$1&amp;"-"&amp;TEXT(3,"00")&amp;"*",수납!$E:$E,"수강료")+SUMIFS(수납!$F:$F,수납!$C:$C,원생!$A429,수납!$D:$D,IF(원생!$G429="","",원생!$G429),수납!$B:$B,$B$1&amp;"-"&amp;TEXT(3,"00")&amp;"*",수납!$E:$E,""))</f>
        <v/>
      </c>
      <c r="F431" s="14">
        <f>IF(원생!$A429="","",SUMIFS(수납!$F:$F,수납!$C:$C,원생!$A429,수납!$D:$D,IF(원생!$G429="","",원생!$G429),수납!$B:$B,$B$1&amp;"-"&amp;TEXT(4,"00")&amp;"*",수납!$E:$E,"수강료")+SUMIFS(수납!$F:$F,수납!$C:$C,원생!$A429,수납!$D:$D,IF(원생!$G429="","",원생!$G429),수납!$B:$B,$B$1&amp;"-"&amp;TEXT(4,"00")&amp;"*",수납!$E:$E,""))</f>
        <v/>
      </c>
      <c r="G431" s="14">
        <f>IF(원생!$A429="","",SUMIFS(수납!$F:$F,수납!$C:$C,원생!$A429,수납!$D:$D,IF(원생!$G429="","",원생!$G429),수납!$B:$B,$B$1&amp;"-"&amp;TEXT(5,"00")&amp;"*",수납!$E:$E,"수강료")+SUMIFS(수납!$F:$F,수납!$C:$C,원생!$A429,수납!$D:$D,IF(원생!$G429="","",원생!$G429),수납!$B:$B,$B$1&amp;"-"&amp;TEXT(5,"00")&amp;"*",수납!$E:$E,""))</f>
        <v/>
      </c>
      <c r="H431" s="14">
        <f>IF(원생!$A429="","",SUMIFS(수납!$F:$F,수납!$C:$C,원생!$A429,수납!$D:$D,IF(원생!$G429="","",원생!$G429),수납!$B:$B,$B$1&amp;"-"&amp;TEXT(6,"00")&amp;"*",수납!$E:$E,"수강료")+SUMIFS(수납!$F:$F,수납!$C:$C,원생!$A429,수납!$D:$D,IF(원생!$G429="","",원생!$G429),수납!$B:$B,$B$1&amp;"-"&amp;TEXT(6,"00")&amp;"*",수납!$E:$E,""))</f>
        <v/>
      </c>
      <c r="I431" s="14">
        <f>IF(원생!$A429="","",SUMIFS(수납!$F:$F,수납!$C:$C,원생!$A429,수납!$D:$D,IF(원생!$G429="","",원생!$G429),수납!$B:$B,$B$1&amp;"-"&amp;TEXT(7,"00")&amp;"*",수납!$E:$E,"수강료")+SUMIFS(수납!$F:$F,수납!$C:$C,원생!$A429,수납!$D:$D,IF(원생!$G429="","",원생!$G429),수납!$B:$B,$B$1&amp;"-"&amp;TEXT(7,"00")&amp;"*",수납!$E:$E,""))</f>
        <v/>
      </c>
      <c r="J431" s="14">
        <f>IF(원생!$A429="","",SUMIFS(수납!$F:$F,수납!$C:$C,원생!$A429,수납!$D:$D,IF(원생!$G429="","",원생!$G429),수납!$B:$B,$B$1&amp;"-"&amp;TEXT(8,"00")&amp;"*",수납!$E:$E,"수강료")+SUMIFS(수납!$F:$F,수납!$C:$C,원생!$A429,수납!$D:$D,IF(원생!$G429="","",원생!$G429),수납!$B:$B,$B$1&amp;"-"&amp;TEXT(8,"00")&amp;"*",수납!$E:$E,""))</f>
        <v/>
      </c>
      <c r="K431" s="14">
        <f>IF(원생!$A429="","",SUMIFS(수납!$F:$F,수납!$C:$C,원생!$A429,수납!$D:$D,IF(원생!$G429="","",원생!$G429),수납!$B:$B,$B$1&amp;"-"&amp;TEXT(9,"00")&amp;"*",수납!$E:$E,"수강료")+SUMIFS(수납!$F:$F,수납!$C:$C,원생!$A429,수납!$D:$D,IF(원생!$G429="","",원생!$G429),수납!$B:$B,$B$1&amp;"-"&amp;TEXT(9,"00")&amp;"*",수납!$E:$E,""))</f>
        <v/>
      </c>
      <c r="L431" s="14">
        <f>IF(원생!$A429="","",SUMIFS(수납!$F:$F,수납!$C:$C,원생!$A429,수납!$D:$D,IF(원생!$G429="","",원생!$G429),수납!$B:$B,$B$1&amp;"-"&amp;TEXT(10,"00")&amp;"*",수납!$E:$E,"수강료")+SUMIFS(수납!$F:$F,수납!$C:$C,원생!$A429,수납!$D:$D,IF(원생!$G429="","",원생!$G429),수납!$B:$B,$B$1&amp;"-"&amp;TEXT(10,"00")&amp;"*",수납!$E:$E,""))</f>
        <v/>
      </c>
      <c r="M431" s="14">
        <f>IF(원생!$A429="","",SUMIFS(수납!$F:$F,수납!$C:$C,원생!$A429,수납!$D:$D,IF(원생!$G429="","",원생!$G429),수납!$B:$B,$B$1&amp;"-"&amp;TEXT(11,"00")&amp;"*",수납!$E:$E,"수강료")+SUMIFS(수납!$F:$F,수납!$C:$C,원생!$A429,수납!$D:$D,IF(원생!$G429="","",원생!$G429),수납!$B:$B,$B$1&amp;"-"&amp;TEXT(11,"00")&amp;"*",수납!$E:$E,""))</f>
        <v/>
      </c>
      <c r="N431" s="14">
        <f>IF(원생!$A429="","",SUMIFS(수납!$F:$F,수납!$C:$C,원생!$A429,수납!$D:$D,IF(원생!$G429="","",원생!$G429),수납!$B:$B,$B$1&amp;"-"&amp;TEXT(12,"00")&amp;"*",수납!$E:$E,"수강료")+SUMIFS(수납!$F:$F,수납!$C:$C,원생!$A429,수납!$D:$D,IF(원생!$G429="","",원생!$G429),수납!$B:$B,$B$1&amp;"-"&amp;TEXT(12,"00")&amp;"*",수납!$E:$E,""))</f>
        <v/>
      </c>
      <c r="O431">
        <f>IF(원생!$I429="","",원생!$I429)</f>
        <v/>
      </c>
      <c r="P431">
        <f>IF($A431="","",IF(AND($B431&gt;0,C431&lt;$B431,DATE($B$1,1,1)&lt;=TODAY(),OR($O431="",$O431&gt;=DATE($B$1,1,1)),OR(COUNTIF($C431:C431,"&gt;0")&gt;0,DATE($B$1,1,1)=DATE(YEAR(TODAY()),MONTH(TODAY()),1))),1,0))</f>
        <v/>
      </c>
      <c r="Q431">
        <f>IF($A431="","",IF(AND($B431&gt;0,D431&lt;$B431,DATE($B$1,2,1)&lt;=TODAY(),OR($O431="",$O431&gt;=DATE($B$1,2,1)),OR(COUNTIF($C431:D431,"&gt;0")&gt;0,DATE($B$1,2,1)=DATE(YEAR(TODAY()),MONTH(TODAY()),1))),1,0))</f>
        <v/>
      </c>
      <c r="R431">
        <f>IF($A431="","",IF(AND($B431&gt;0,E431&lt;$B431,DATE($B$1,3,1)&lt;=TODAY(),OR($O431="",$O431&gt;=DATE($B$1,3,1)),OR(COUNTIF($C431:E431,"&gt;0")&gt;0,DATE($B$1,3,1)=DATE(YEAR(TODAY()),MONTH(TODAY()),1))),1,0))</f>
        <v/>
      </c>
      <c r="S431">
        <f>IF($A431="","",IF(AND($B431&gt;0,F431&lt;$B431,DATE($B$1,4,1)&lt;=TODAY(),OR($O431="",$O431&gt;=DATE($B$1,4,1)),OR(COUNTIF($C431:F431,"&gt;0")&gt;0,DATE($B$1,4,1)=DATE(YEAR(TODAY()),MONTH(TODAY()),1))),1,0))</f>
        <v/>
      </c>
      <c r="T431">
        <f>IF($A431="","",IF(AND($B431&gt;0,G431&lt;$B431,DATE($B$1,5,1)&lt;=TODAY(),OR($O431="",$O431&gt;=DATE($B$1,5,1)),OR(COUNTIF($C431:G431,"&gt;0")&gt;0,DATE($B$1,5,1)=DATE(YEAR(TODAY()),MONTH(TODAY()),1))),1,0))</f>
        <v/>
      </c>
      <c r="U431">
        <f>IF($A431="","",IF(AND($B431&gt;0,H431&lt;$B431,DATE($B$1,6,1)&lt;=TODAY(),OR($O431="",$O431&gt;=DATE($B$1,6,1)),OR(COUNTIF($C431:H431,"&gt;0")&gt;0,DATE($B$1,6,1)=DATE(YEAR(TODAY()),MONTH(TODAY()),1))),1,0))</f>
        <v/>
      </c>
      <c r="V431">
        <f>IF($A431="","",IF(AND($B431&gt;0,I431&lt;$B431,DATE($B$1,7,1)&lt;=TODAY(),OR($O431="",$O431&gt;=DATE($B$1,7,1)),OR(COUNTIF($C431:I431,"&gt;0")&gt;0,DATE($B$1,7,1)=DATE(YEAR(TODAY()),MONTH(TODAY()),1))),1,0))</f>
        <v/>
      </c>
      <c r="W431">
        <f>IF($A431="","",IF(AND($B431&gt;0,J431&lt;$B431,DATE($B$1,8,1)&lt;=TODAY(),OR($O431="",$O431&gt;=DATE($B$1,8,1)),OR(COUNTIF($C431:J431,"&gt;0")&gt;0,DATE($B$1,8,1)=DATE(YEAR(TODAY()),MONTH(TODAY()),1))),1,0))</f>
        <v/>
      </c>
      <c r="X431">
        <f>IF($A431="","",IF(AND($B431&gt;0,K431&lt;$B431,DATE($B$1,9,1)&lt;=TODAY(),OR($O431="",$O431&gt;=DATE($B$1,9,1)),OR(COUNTIF($C431:K431,"&gt;0")&gt;0,DATE($B$1,9,1)=DATE(YEAR(TODAY()),MONTH(TODAY()),1))),1,0))</f>
        <v/>
      </c>
      <c r="Y431">
        <f>IF($A431="","",IF(AND($B431&gt;0,L431&lt;$B431,DATE($B$1,10,1)&lt;=TODAY(),OR($O431="",$O431&gt;=DATE($B$1,10,1)),OR(COUNTIF($C431:L431,"&gt;0")&gt;0,DATE($B$1,10,1)=DATE(YEAR(TODAY()),MONTH(TODAY()),1))),1,0))</f>
        <v/>
      </c>
      <c r="Z431">
        <f>IF($A431="","",IF(AND($B431&gt;0,M431&lt;$B431,DATE($B$1,11,1)&lt;=TODAY(),OR($O431="",$O431&gt;=DATE($B$1,11,1)),OR(COUNTIF($C431:M431,"&gt;0")&gt;0,DATE($B$1,11,1)=DATE(YEAR(TODAY()),MONTH(TODAY()),1))),1,0))</f>
        <v/>
      </c>
      <c r="AA431">
        <f>IF($A431="","",IF(AND($B431&gt;0,N431&lt;$B431,DATE($B$1,12,1)&lt;=TODAY(),OR($O431="",$O431&gt;=DATE($B$1,12,1)),OR(COUNTIF($C431:N431,"&gt;0")&gt;0,DATE($B$1,12,1)=DATE(YEAR(TODAY()),MONTH(TODAY()),1))),1,0))</f>
        <v/>
      </c>
    </row>
    <row r="432">
      <c r="A432" s="13">
        <f>IF(원생!$A430="","",원생!$A430&amp;IF(원생!$G430="",""," ("&amp;원생!$G430&amp;")"))</f>
        <v/>
      </c>
      <c r="B432" s="8">
        <f>IF(원생!$A430="","",원생!$F430)</f>
        <v/>
      </c>
      <c r="C432" s="14">
        <f>IF(원생!$A430="","",SUMIFS(수납!$F:$F,수납!$C:$C,원생!$A430,수납!$D:$D,IF(원생!$G430="","",원생!$G430),수납!$B:$B,$B$1&amp;"-"&amp;TEXT(1,"00")&amp;"*",수납!$E:$E,"수강료")+SUMIFS(수납!$F:$F,수납!$C:$C,원생!$A430,수납!$D:$D,IF(원생!$G430="","",원생!$G430),수납!$B:$B,$B$1&amp;"-"&amp;TEXT(1,"00")&amp;"*",수납!$E:$E,""))</f>
        <v/>
      </c>
      <c r="D432" s="14">
        <f>IF(원생!$A430="","",SUMIFS(수납!$F:$F,수납!$C:$C,원생!$A430,수납!$D:$D,IF(원생!$G430="","",원생!$G430),수납!$B:$B,$B$1&amp;"-"&amp;TEXT(2,"00")&amp;"*",수납!$E:$E,"수강료")+SUMIFS(수납!$F:$F,수납!$C:$C,원생!$A430,수납!$D:$D,IF(원생!$G430="","",원생!$G430),수납!$B:$B,$B$1&amp;"-"&amp;TEXT(2,"00")&amp;"*",수납!$E:$E,""))</f>
        <v/>
      </c>
      <c r="E432" s="14">
        <f>IF(원생!$A430="","",SUMIFS(수납!$F:$F,수납!$C:$C,원생!$A430,수납!$D:$D,IF(원생!$G430="","",원생!$G430),수납!$B:$B,$B$1&amp;"-"&amp;TEXT(3,"00")&amp;"*",수납!$E:$E,"수강료")+SUMIFS(수납!$F:$F,수납!$C:$C,원생!$A430,수납!$D:$D,IF(원생!$G430="","",원생!$G430),수납!$B:$B,$B$1&amp;"-"&amp;TEXT(3,"00")&amp;"*",수납!$E:$E,""))</f>
        <v/>
      </c>
      <c r="F432" s="14">
        <f>IF(원생!$A430="","",SUMIFS(수납!$F:$F,수납!$C:$C,원생!$A430,수납!$D:$D,IF(원생!$G430="","",원생!$G430),수납!$B:$B,$B$1&amp;"-"&amp;TEXT(4,"00")&amp;"*",수납!$E:$E,"수강료")+SUMIFS(수납!$F:$F,수납!$C:$C,원생!$A430,수납!$D:$D,IF(원생!$G430="","",원생!$G430),수납!$B:$B,$B$1&amp;"-"&amp;TEXT(4,"00")&amp;"*",수납!$E:$E,""))</f>
        <v/>
      </c>
      <c r="G432" s="14">
        <f>IF(원생!$A430="","",SUMIFS(수납!$F:$F,수납!$C:$C,원생!$A430,수납!$D:$D,IF(원생!$G430="","",원생!$G430),수납!$B:$B,$B$1&amp;"-"&amp;TEXT(5,"00")&amp;"*",수납!$E:$E,"수강료")+SUMIFS(수납!$F:$F,수납!$C:$C,원생!$A430,수납!$D:$D,IF(원생!$G430="","",원생!$G430),수납!$B:$B,$B$1&amp;"-"&amp;TEXT(5,"00")&amp;"*",수납!$E:$E,""))</f>
        <v/>
      </c>
      <c r="H432" s="14">
        <f>IF(원생!$A430="","",SUMIFS(수납!$F:$F,수납!$C:$C,원생!$A430,수납!$D:$D,IF(원생!$G430="","",원생!$G430),수납!$B:$B,$B$1&amp;"-"&amp;TEXT(6,"00")&amp;"*",수납!$E:$E,"수강료")+SUMIFS(수납!$F:$F,수납!$C:$C,원생!$A430,수납!$D:$D,IF(원생!$G430="","",원생!$G430),수납!$B:$B,$B$1&amp;"-"&amp;TEXT(6,"00")&amp;"*",수납!$E:$E,""))</f>
        <v/>
      </c>
      <c r="I432" s="14">
        <f>IF(원생!$A430="","",SUMIFS(수납!$F:$F,수납!$C:$C,원생!$A430,수납!$D:$D,IF(원생!$G430="","",원생!$G430),수납!$B:$B,$B$1&amp;"-"&amp;TEXT(7,"00")&amp;"*",수납!$E:$E,"수강료")+SUMIFS(수납!$F:$F,수납!$C:$C,원생!$A430,수납!$D:$D,IF(원생!$G430="","",원생!$G430),수납!$B:$B,$B$1&amp;"-"&amp;TEXT(7,"00")&amp;"*",수납!$E:$E,""))</f>
        <v/>
      </c>
      <c r="J432" s="14">
        <f>IF(원생!$A430="","",SUMIFS(수납!$F:$F,수납!$C:$C,원생!$A430,수납!$D:$D,IF(원생!$G430="","",원생!$G430),수납!$B:$B,$B$1&amp;"-"&amp;TEXT(8,"00")&amp;"*",수납!$E:$E,"수강료")+SUMIFS(수납!$F:$F,수납!$C:$C,원생!$A430,수납!$D:$D,IF(원생!$G430="","",원생!$G430),수납!$B:$B,$B$1&amp;"-"&amp;TEXT(8,"00")&amp;"*",수납!$E:$E,""))</f>
        <v/>
      </c>
      <c r="K432" s="14">
        <f>IF(원생!$A430="","",SUMIFS(수납!$F:$F,수납!$C:$C,원생!$A430,수납!$D:$D,IF(원생!$G430="","",원생!$G430),수납!$B:$B,$B$1&amp;"-"&amp;TEXT(9,"00")&amp;"*",수납!$E:$E,"수강료")+SUMIFS(수납!$F:$F,수납!$C:$C,원생!$A430,수납!$D:$D,IF(원생!$G430="","",원생!$G430),수납!$B:$B,$B$1&amp;"-"&amp;TEXT(9,"00")&amp;"*",수납!$E:$E,""))</f>
        <v/>
      </c>
      <c r="L432" s="14">
        <f>IF(원생!$A430="","",SUMIFS(수납!$F:$F,수납!$C:$C,원생!$A430,수납!$D:$D,IF(원생!$G430="","",원생!$G430),수납!$B:$B,$B$1&amp;"-"&amp;TEXT(10,"00")&amp;"*",수납!$E:$E,"수강료")+SUMIFS(수납!$F:$F,수납!$C:$C,원생!$A430,수납!$D:$D,IF(원생!$G430="","",원생!$G430),수납!$B:$B,$B$1&amp;"-"&amp;TEXT(10,"00")&amp;"*",수납!$E:$E,""))</f>
        <v/>
      </c>
      <c r="M432" s="14">
        <f>IF(원생!$A430="","",SUMIFS(수납!$F:$F,수납!$C:$C,원생!$A430,수납!$D:$D,IF(원생!$G430="","",원생!$G430),수납!$B:$B,$B$1&amp;"-"&amp;TEXT(11,"00")&amp;"*",수납!$E:$E,"수강료")+SUMIFS(수납!$F:$F,수납!$C:$C,원생!$A430,수납!$D:$D,IF(원생!$G430="","",원생!$G430),수납!$B:$B,$B$1&amp;"-"&amp;TEXT(11,"00")&amp;"*",수납!$E:$E,""))</f>
        <v/>
      </c>
      <c r="N432" s="14">
        <f>IF(원생!$A430="","",SUMIFS(수납!$F:$F,수납!$C:$C,원생!$A430,수납!$D:$D,IF(원생!$G430="","",원생!$G430),수납!$B:$B,$B$1&amp;"-"&amp;TEXT(12,"00")&amp;"*",수납!$E:$E,"수강료")+SUMIFS(수납!$F:$F,수납!$C:$C,원생!$A430,수납!$D:$D,IF(원생!$G430="","",원생!$G430),수납!$B:$B,$B$1&amp;"-"&amp;TEXT(12,"00")&amp;"*",수납!$E:$E,""))</f>
        <v/>
      </c>
      <c r="O432">
        <f>IF(원생!$I430="","",원생!$I430)</f>
        <v/>
      </c>
      <c r="P432">
        <f>IF($A432="","",IF(AND($B432&gt;0,C432&lt;$B432,DATE($B$1,1,1)&lt;=TODAY(),OR($O432="",$O432&gt;=DATE($B$1,1,1)),OR(COUNTIF($C432:C432,"&gt;0")&gt;0,DATE($B$1,1,1)=DATE(YEAR(TODAY()),MONTH(TODAY()),1))),1,0))</f>
        <v/>
      </c>
      <c r="Q432">
        <f>IF($A432="","",IF(AND($B432&gt;0,D432&lt;$B432,DATE($B$1,2,1)&lt;=TODAY(),OR($O432="",$O432&gt;=DATE($B$1,2,1)),OR(COUNTIF($C432:D432,"&gt;0")&gt;0,DATE($B$1,2,1)=DATE(YEAR(TODAY()),MONTH(TODAY()),1))),1,0))</f>
        <v/>
      </c>
      <c r="R432">
        <f>IF($A432="","",IF(AND($B432&gt;0,E432&lt;$B432,DATE($B$1,3,1)&lt;=TODAY(),OR($O432="",$O432&gt;=DATE($B$1,3,1)),OR(COUNTIF($C432:E432,"&gt;0")&gt;0,DATE($B$1,3,1)=DATE(YEAR(TODAY()),MONTH(TODAY()),1))),1,0))</f>
        <v/>
      </c>
      <c r="S432">
        <f>IF($A432="","",IF(AND($B432&gt;0,F432&lt;$B432,DATE($B$1,4,1)&lt;=TODAY(),OR($O432="",$O432&gt;=DATE($B$1,4,1)),OR(COUNTIF($C432:F432,"&gt;0")&gt;0,DATE($B$1,4,1)=DATE(YEAR(TODAY()),MONTH(TODAY()),1))),1,0))</f>
        <v/>
      </c>
      <c r="T432">
        <f>IF($A432="","",IF(AND($B432&gt;0,G432&lt;$B432,DATE($B$1,5,1)&lt;=TODAY(),OR($O432="",$O432&gt;=DATE($B$1,5,1)),OR(COUNTIF($C432:G432,"&gt;0")&gt;0,DATE($B$1,5,1)=DATE(YEAR(TODAY()),MONTH(TODAY()),1))),1,0))</f>
        <v/>
      </c>
      <c r="U432">
        <f>IF($A432="","",IF(AND($B432&gt;0,H432&lt;$B432,DATE($B$1,6,1)&lt;=TODAY(),OR($O432="",$O432&gt;=DATE($B$1,6,1)),OR(COUNTIF($C432:H432,"&gt;0")&gt;0,DATE($B$1,6,1)=DATE(YEAR(TODAY()),MONTH(TODAY()),1))),1,0))</f>
        <v/>
      </c>
      <c r="V432">
        <f>IF($A432="","",IF(AND($B432&gt;0,I432&lt;$B432,DATE($B$1,7,1)&lt;=TODAY(),OR($O432="",$O432&gt;=DATE($B$1,7,1)),OR(COUNTIF($C432:I432,"&gt;0")&gt;0,DATE($B$1,7,1)=DATE(YEAR(TODAY()),MONTH(TODAY()),1))),1,0))</f>
        <v/>
      </c>
      <c r="W432">
        <f>IF($A432="","",IF(AND($B432&gt;0,J432&lt;$B432,DATE($B$1,8,1)&lt;=TODAY(),OR($O432="",$O432&gt;=DATE($B$1,8,1)),OR(COUNTIF($C432:J432,"&gt;0")&gt;0,DATE($B$1,8,1)=DATE(YEAR(TODAY()),MONTH(TODAY()),1))),1,0))</f>
        <v/>
      </c>
      <c r="X432">
        <f>IF($A432="","",IF(AND($B432&gt;0,K432&lt;$B432,DATE($B$1,9,1)&lt;=TODAY(),OR($O432="",$O432&gt;=DATE($B$1,9,1)),OR(COUNTIF($C432:K432,"&gt;0")&gt;0,DATE($B$1,9,1)=DATE(YEAR(TODAY()),MONTH(TODAY()),1))),1,0))</f>
        <v/>
      </c>
      <c r="Y432">
        <f>IF($A432="","",IF(AND($B432&gt;0,L432&lt;$B432,DATE($B$1,10,1)&lt;=TODAY(),OR($O432="",$O432&gt;=DATE($B$1,10,1)),OR(COUNTIF($C432:L432,"&gt;0")&gt;0,DATE($B$1,10,1)=DATE(YEAR(TODAY()),MONTH(TODAY()),1))),1,0))</f>
        <v/>
      </c>
      <c r="Z432">
        <f>IF($A432="","",IF(AND($B432&gt;0,M432&lt;$B432,DATE($B$1,11,1)&lt;=TODAY(),OR($O432="",$O432&gt;=DATE($B$1,11,1)),OR(COUNTIF($C432:M432,"&gt;0")&gt;0,DATE($B$1,11,1)=DATE(YEAR(TODAY()),MONTH(TODAY()),1))),1,0))</f>
        <v/>
      </c>
      <c r="AA432">
        <f>IF($A432="","",IF(AND($B432&gt;0,N432&lt;$B432,DATE($B$1,12,1)&lt;=TODAY(),OR($O432="",$O432&gt;=DATE($B$1,12,1)),OR(COUNTIF($C432:N432,"&gt;0")&gt;0,DATE($B$1,12,1)=DATE(YEAR(TODAY()),MONTH(TODAY()),1))),1,0))</f>
        <v/>
      </c>
    </row>
    <row r="433">
      <c r="A433" s="13">
        <f>IF(원생!$A431="","",원생!$A431&amp;IF(원생!$G431="",""," ("&amp;원생!$G431&amp;")"))</f>
        <v/>
      </c>
      <c r="B433" s="8">
        <f>IF(원생!$A431="","",원생!$F431)</f>
        <v/>
      </c>
      <c r="C433" s="14">
        <f>IF(원생!$A431="","",SUMIFS(수납!$F:$F,수납!$C:$C,원생!$A431,수납!$D:$D,IF(원생!$G431="","",원생!$G431),수납!$B:$B,$B$1&amp;"-"&amp;TEXT(1,"00")&amp;"*",수납!$E:$E,"수강료")+SUMIFS(수납!$F:$F,수납!$C:$C,원생!$A431,수납!$D:$D,IF(원생!$G431="","",원생!$G431),수납!$B:$B,$B$1&amp;"-"&amp;TEXT(1,"00")&amp;"*",수납!$E:$E,""))</f>
        <v/>
      </c>
      <c r="D433" s="14">
        <f>IF(원생!$A431="","",SUMIFS(수납!$F:$F,수납!$C:$C,원생!$A431,수납!$D:$D,IF(원생!$G431="","",원생!$G431),수납!$B:$B,$B$1&amp;"-"&amp;TEXT(2,"00")&amp;"*",수납!$E:$E,"수강료")+SUMIFS(수납!$F:$F,수납!$C:$C,원생!$A431,수납!$D:$D,IF(원생!$G431="","",원생!$G431),수납!$B:$B,$B$1&amp;"-"&amp;TEXT(2,"00")&amp;"*",수납!$E:$E,""))</f>
        <v/>
      </c>
      <c r="E433" s="14">
        <f>IF(원생!$A431="","",SUMIFS(수납!$F:$F,수납!$C:$C,원생!$A431,수납!$D:$D,IF(원생!$G431="","",원생!$G431),수납!$B:$B,$B$1&amp;"-"&amp;TEXT(3,"00")&amp;"*",수납!$E:$E,"수강료")+SUMIFS(수납!$F:$F,수납!$C:$C,원생!$A431,수납!$D:$D,IF(원생!$G431="","",원생!$G431),수납!$B:$B,$B$1&amp;"-"&amp;TEXT(3,"00")&amp;"*",수납!$E:$E,""))</f>
        <v/>
      </c>
      <c r="F433" s="14">
        <f>IF(원생!$A431="","",SUMIFS(수납!$F:$F,수납!$C:$C,원생!$A431,수납!$D:$D,IF(원생!$G431="","",원생!$G431),수납!$B:$B,$B$1&amp;"-"&amp;TEXT(4,"00")&amp;"*",수납!$E:$E,"수강료")+SUMIFS(수납!$F:$F,수납!$C:$C,원생!$A431,수납!$D:$D,IF(원생!$G431="","",원생!$G431),수납!$B:$B,$B$1&amp;"-"&amp;TEXT(4,"00")&amp;"*",수납!$E:$E,""))</f>
        <v/>
      </c>
      <c r="G433" s="14">
        <f>IF(원생!$A431="","",SUMIFS(수납!$F:$F,수납!$C:$C,원생!$A431,수납!$D:$D,IF(원생!$G431="","",원생!$G431),수납!$B:$B,$B$1&amp;"-"&amp;TEXT(5,"00")&amp;"*",수납!$E:$E,"수강료")+SUMIFS(수납!$F:$F,수납!$C:$C,원생!$A431,수납!$D:$D,IF(원생!$G431="","",원생!$G431),수납!$B:$B,$B$1&amp;"-"&amp;TEXT(5,"00")&amp;"*",수납!$E:$E,""))</f>
        <v/>
      </c>
      <c r="H433" s="14">
        <f>IF(원생!$A431="","",SUMIFS(수납!$F:$F,수납!$C:$C,원생!$A431,수납!$D:$D,IF(원생!$G431="","",원생!$G431),수납!$B:$B,$B$1&amp;"-"&amp;TEXT(6,"00")&amp;"*",수납!$E:$E,"수강료")+SUMIFS(수납!$F:$F,수납!$C:$C,원생!$A431,수납!$D:$D,IF(원생!$G431="","",원생!$G431),수납!$B:$B,$B$1&amp;"-"&amp;TEXT(6,"00")&amp;"*",수납!$E:$E,""))</f>
        <v/>
      </c>
      <c r="I433" s="14">
        <f>IF(원생!$A431="","",SUMIFS(수납!$F:$F,수납!$C:$C,원생!$A431,수납!$D:$D,IF(원생!$G431="","",원생!$G431),수납!$B:$B,$B$1&amp;"-"&amp;TEXT(7,"00")&amp;"*",수납!$E:$E,"수강료")+SUMIFS(수납!$F:$F,수납!$C:$C,원생!$A431,수납!$D:$D,IF(원생!$G431="","",원생!$G431),수납!$B:$B,$B$1&amp;"-"&amp;TEXT(7,"00")&amp;"*",수납!$E:$E,""))</f>
        <v/>
      </c>
      <c r="J433" s="14">
        <f>IF(원생!$A431="","",SUMIFS(수납!$F:$F,수납!$C:$C,원생!$A431,수납!$D:$D,IF(원생!$G431="","",원생!$G431),수납!$B:$B,$B$1&amp;"-"&amp;TEXT(8,"00")&amp;"*",수납!$E:$E,"수강료")+SUMIFS(수납!$F:$F,수납!$C:$C,원생!$A431,수납!$D:$D,IF(원생!$G431="","",원생!$G431),수납!$B:$B,$B$1&amp;"-"&amp;TEXT(8,"00")&amp;"*",수납!$E:$E,""))</f>
        <v/>
      </c>
      <c r="K433" s="14">
        <f>IF(원생!$A431="","",SUMIFS(수납!$F:$F,수납!$C:$C,원생!$A431,수납!$D:$D,IF(원생!$G431="","",원생!$G431),수납!$B:$B,$B$1&amp;"-"&amp;TEXT(9,"00")&amp;"*",수납!$E:$E,"수강료")+SUMIFS(수납!$F:$F,수납!$C:$C,원생!$A431,수납!$D:$D,IF(원생!$G431="","",원생!$G431),수납!$B:$B,$B$1&amp;"-"&amp;TEXT(9,"00")&amp;"*",수납!$E:$E,""))</f>
        <v/>
      </c>
      <c r="L433" s="14">
        <f>IF(원생!$A431="","",SUMIFS(수납!$F:$F,수납!$C:$C,원생!$A431,수납!$D:$D,IF(원생!$G431="","",원생!$G431),수납!$B:$B,$B$1&amp;"-"&amp;TEXT(10,"00")&amp;"*",수납!$E:$E,"수강료")+SUMIFS(수납!$F:$F,수납!$C:$C,원생!$A431,수납!$D:$D,IF(원생!$G431="","",원생!$G431),수납!$B:$B,$B$1&amp;"-"&amp;TEXT(10,"00")&amp;"*",수납!$E:$E,""))</f>
        <v/>
      </c>
      <c r="M433" s="14">
        <f>IF(원생!$A431="","",SUMIFS(수납!$F:$F,수납!$C:$C,원생!$A431,수납!$D:$D,IF(원생!$G431="","",원생!$G431),수납!$B:$B,$B$1&amp;"-"&amp;TEXT(11,"00")&amp;"*",수납!$E:$E,"수강료")+SUMIFS(수납!$F:$F,수납!$C:$C,원생!$A431,수납!$D:$D,IF(원생!$G431="","",원생!$G431),수납!$B:$B,$B$1&amp;"-"&amp;TEXT(11,"00")&amp;"*",수납!$E:$E,""))</f>
        <v/>
      </c>
      <c r="N433" s="14">
        <f>IF(원생!$A431="","",SUMIFS(수납!$F:$F,수납!$C:$C,원생!$A431,수납!$D:$D,IF(원생!$G431="","",원생!$G431),수납!$B:$B,$B$1&amp;"-"&amp;TEXT(12,"00")&amp;"*",수납!$E:$E,"수강료")+SUMIFS(수납!$F:$F,수납!$C:$C,원생!$A431,수납!$D:$D,IF(원생!$G431="","",원생!$G431),수납!$B:$B,$B$1&amp;"-"&amp;TEXT(12,"00")&amp;"*",수납!$E:$E,""))</f>
        <v/>
      </c>
      <c r="O433">
        <f>IF(원생!$I431="","",원생!$I431)</f>
        <v/>
      </c>
      <c r="P433">
        <f>IF($A433="","",IF(AND($B433&gt;0,C433&lt;$B433,DATE($B$1,1,1)&lt;=TODAY(),OR($O433="",$O433&gt;=DATE($B$1,1,1)),OR(COUNTIF($C433:C433,"&gt;0")&gt;0,DATE($B$1,1,1)=DATE(YEAR(TODAY()),MONTH(TODAY()),1))),1,0))</f>
        <v/>
      </c>
      <c r="Q433">
        <f>IF($A433="","",IF(AND($B433&gt;0,D433&lt;$B433,DATE($B$1,2,1)&lt;=TODAY(),OR($O433="",$O433&gt;=DATE($B$1,2,1)),OR(COUNTIF($C433:D433,"&gt;0")&gt;0,DATE($B$1,2,1)=DATE(YEAR(TODAY()),MONTH(TODAY()),1))),1,0))</f>
        <v/>
      </c>
      <c r="R433">
        <f>IF($A433="","",IF(AND($B433&gt;0,E433&lt;$B433,DATE($B$1,3,1)&lt;=TODAY(),OR($O433="",$O433&gt;=DATE($B$1,3,1)),OR(COUNTIF($C433:E433,"&gt;0")&gt;0,DATE($B$1,3,1)=DATE(YEAR(TODAY()),MONTH(TODAY()),1))),1,0))</f>
        <v/>
      </c>
      <c r="S433">
        <f>IF($A433="","",IF(AND($B433&gt;0,F433&lt;$B433,DATE($B$1,4,1)&lt;=TODAY(),OR($O433="",$O433&gt;=DATE($B$1,4,1)),OR(COUNTIF($C433:F433,"&gt;0")&gt;0,DATE($B$1,4,1)=DATE(YEAR(TODAY()),MONTH(TODAY()),1))),1,0))</f>
        <v/>
      </c>
      <c r="T433">
        <f>IF($A433="","",IF(AND($B433&gt;0,G433&lt;$B433,DATE($B$1,5,1)&lt;=TODAY(),OR($O433="",$O433&gt;=DATE($B$1,5,1)),OR(COUNTIF($C433:G433,"&gt;0")&gt;0,DATE($B$1,5,1)=DATE(YEAR(TODAY()),MONTH(TODAY()),1))),1,0))</f>
        <v/>
      </c>
      <c r="U433">
        <f>IF($A433="","",IF(AND($B433&gt;0,H433&lt;$B433,DATE($B$1,6,1)&lt;=TODAY(),OR($O433="",$O433&gt;=DATE($B$1,6,1)),OR(COUNTIF($C433:H433,"&gt;0")&gt;0,DATE($B$1,6,1)=DATE(YEAR(TODAY()),MONTH(TODAY()),1))),1,0))</f>
        <v/>
      </c>
      <c r="V433">
        <f>IF($A433="","",IF(AND($B433&gt;0,I433&lt;$B433,DATE($B$1,7,1)&lt;=TODAY(),OR($O433="",$O433&gt;=DATE($B$1,7,1)),OR(COUNTIF($C433:I433,"&gt;0")&gt;0,DATE($B$1,7,1)=DATE(YEAR(TODAY()),MONTH(TODAY()),1))),1,0))</f>
        <v/>
      </c>
      <c r="W433">
        <f>IF($A433="","",IF(AND($B433&gt;0,J433&lt;$B433,DATE($B$1,8,1)&lt;=TODAY(),OR($O433="",$O433&gt;=DATE($B$1,8,1)),OR(COUNTIF($C433:J433,"&gt;0")&gt;0,DATE($B$1,8,1)=DATE(YEAR(TODAY()),MONTH(TODAY()),1))),1,0))</f>
        <v/>
      </c>
      <c r="X433">
        <f>IF($A433="","",IF(AND($B433&gt;0,K433&lt;$B433,DATE($B$1,9,1)&lt;=TODAY(),OR($O433="",$O433&gt;=DATE($B$1,9,1)),OR(COUNTIF($C433:K433,"&gt;0")&gt;0,DATE($B$1,9,1)=DATE(YEAR(TODAY()),MONTH(TODAY()),1))),1,0))</f>
        <v/>
      </c>
      <c r="Y433">
        <f>IF($A433="","",IF(AND($B433&gt;0,L433&lt;$B433,DATE($B$1,10,1)&lt;=TODAY(),OR($O433="",$O433&gt;=DATE($B$1,10,1)),OR(COUNTIF($C433:L433,"&gt;0")&gt;0,DATE($B$1,10,1)=DATE(YEAR(TODAY()),MONTH(TODAY()),1))),1,0))</f>
        <v/>
      </c>
      <c r="Z433">
        <f>IF($A433="","",IF(AND($B433&gt;0,M433&lt;$B433,DATE($B$1,11,1)&lt;=TODAY(),OR($O433="",$O433&gt;=DATE($B$1,11,1)),OR(COUNTIF($C433:M433,"&gt;0")&gt;0,DATE($B$1,11,1)=DATE(YEAR(TODAY()),MONTH(TODAY()),1))),1,0))</f>
        <v/>
      </c>
      <c r="AA433">
        <f>IF($A433="","",IF(AND($B433&gt;0,N433&lt;$B433,DATE($B$1,12,1)&lt;=TODAY(),OR($O433="",$O433&gt;=DATE($B$1,12,1)),OR(COUNTIF($C433:N433,"&gt;0")&gt;0,DATE($B$1,12,1)=DATE(YEAR(TODAY()),MONTH(TODAY()),1))),1,0))</f>
        <v/>
      </c>
    </row>
    <row r="434">
      <c r="A434" s="13">
        <f>IF(원생!$A432="","",원생!$A432&amp;IF(원생!$G432="",""," ("&amp;원생!$G432&amp;")"))</f>
        <v/>
      </c>
      <c r="B434" s="8">
        <f>IF(원생!$A432="","",원생!$F432)</f>
        <v/>
      </c>
      <c r="C434" s="14">
        <f>IF(원생!$A432="","",SUMIFS(수납!$F:$F,수납!$C:$C,원생!$A432,수납!$D:$D,IF(원생!$G432="","",원생!$G432),수납!$B:$B,$B$1&amp;"-"&amp;TEXT(1,"00")&amp;"*",수납!$E:$E,"수강료")+SUMIFS(수납!$F:$F,수납!$C:$C,원생!$A432,수납!$D:$D,IF(원생!$G432="","",원생!$G432),수납!$B:$B,$B$1&amp;"-"&amp;TEXT(1,"00")&amp;"*",수납!$E:$E,""))</f>
        <v/>
      </c>
      <c r="D434" s="14">
        <f>IF(원생!$A432="","",SUMIFS(수납!$F:$F,수납!$C:$C,원생!$A432,수납!$D:$D,IF(원생!$G432="","",원생!$G432),수납!$B:$B,$B$1&amp;"-"&amp;TEXT(2,"00")&amp;"*",수납!$E:$E,"수강료")+SUMIFS(수납!$F:$F,수납!$C:$C,원생!$A432,수납!$D:$D,IF(원생!$G432="","",원생!$G432),수납!$B:$B,$B$1&amp;"-"&amp;TEXT(2,"00")&amp;"*",수납!$E:$E,""))</f>
        <v/>
      </c>
      <c r="E434" s="14">
        <f>IF(원생!$A432="","",SUMIFS(수납!$F:$F,수납!$C:$C,원생!$A432,수납!$D:$D,IF(원생!$G432="","",원생!$G432),수납!$B:$B,$B$1&amp;"-"&amp;TEXT(3,"00")&amp;"*",수납!$E:$E,"수강료")+SUMIFS(수납!$F:$F,수납!$C:$C,원생!$A432,수납!$D:$D,IF(원생!$G432="","",원생!$G432),수납!$B:$B,$B$1&amp;"-"&amp;TEXT(3,"00")&amp;"*",수납!$E:$E,""))</f>
        <v/>
      </c>
      <c r="F434" s="14">
        <f>IF(원생!$A432="","",SUMIFS(수납!$F:$F,수납!$C:$C,원생!$A432,수납!$D:$D,IF(원생!$G432="","",원생!$G432),수납!$B:$B,$B$1&amp;"-"&amp;TEXT(4,"00")&amp;"*",수납!$E:$E,"수강료")+SUMIFS(수납!$F:$F,수납!$C:$C,원생!$A432,수납!$D:$D,IF(원생!$G432="","",원생!$G432),수납!$B:$B,$B$1&amp;"-"&amp;TEXT(4,"00")&amp;"*",수납!$E:$E,""))</f>
        <v/>
      </c>
      <c r="G434" s="14">
        <f>IF(원생!$A432="","",SUMIFS(수납!$F:$F,수납!$C:$C,원생!$A432,수납!$D:$D,IF(원생!$G432="","",원생!$G432),수납!$B:$B,$B$1&amp;"-"&amp;TEXT(5,"00")&amp;"*",수납!$E:$E,"수강료")+SUMIFS(수납!$F:$F,수납!$C:$C,원생!$A432,수납!$D:$D,IF(원생!$G432="","",원생!$G432),수납!$B:$B,$B$1&amp;"-"&amp;TEXT(5,"00")&amp;"*",수납!$E:$E,""))</f>
        <v/>
      </c>
      <c r="H434" s="14">
        <f>IF(원생!$A432="","",SUMIFS(수납!$F:$F,수납!$C:$C,원생!$A432,수납!$D:$D,IF(원생!$G432="","",원생!$G432),수납!$B:$B,$B$1&amp;"-"&amp;TEXT(6,"00")&amp;"*",수납!$E:$E,"수강료")+SUMIFS(수납!$F:$F,수납!$C:$C,원생!$A432,수납!$D:$D,IF(원생!$G432="","",원생!$G432),수납!$B:$B,$B$1&amp;"-"&amp;TEXT(6,"00")&amp;"*",수납!$E:$E,""))</f>
        <v/>
      </c>
      <c r="I434" s="14">
        <f>IF(원생!$A432="","",SUMIFS(수납!$F:$F,수납!$C:$C,원생!$A432,수납!$D:$D,IF(원생!$G432="","",원생!$G432),수납!$B:$B,$B$1&amp;"-"&amp;TEXT(7,"00")&amp;"*",수납!$E:$E,"수강료")+SUMIFS(수납!$F:$F,수납!$C:$C,원생!$A432,수납!$D:$D,IF(원생!$G432="","",원생!$G432),수납!$B:$B,$B$1&amp;"-"&amp;TEXT(7,"00")&amp;"*",수납!$E:$E,""))</f>
        <v/>
      </c>
      <c r="J434" s="14">
        <f>IF(원생!$A432="","",SUMIFS(수납!$F:$F,수납!$C:$C,원생!$A432,수납!$D:$D,IF(원생!$G432="","",원생!$G432),수납!$B:$B,$B$1&amp;"-"&amp;TEXT(8,"00")&amp;"*",수납!$E:$E,"수강료")+SUMIFS(수납!$F:$F,수납!$C:$C,원생!$A432,수납!$D:$D,IF(원생!$G432="","",원생!$G432),수납!$B:$B,$B$1&amp;"-"&amp;TEXT(8,"00")&amp;"*",수납!$E:$E,""))</f>
        <v/>
      </c>
      <c r="K434" s="14">
        <f>IF(원생!$A432="","",SUMIFS(수납!$F:$F,수납!$C:$C,원생!$A432,수납!$D:$D,IF(원생!$G432="","",원생!$G432),수납!$B:$B,$B$1&amp;"-"&amp;TEXT(9,"00")&amp;"*",수납!$E:$E,"수강료")+SUMIFS(수납!$F:$F,수납!$C:$C,원생!$A432,수납!$D:$D,IF(원생!$G432="","",원생!$G432),수납!$B:$B,$B$1&amp;"-"&amp;TEXT(9,"00")&amp;"*",수납!$E:$E,""))</f>
        <v/>
      </c>
      <c r="L434" s="14">
        <f>IF(원생!$A432="","",SUMIFS(수납!$F:$F,수납!$C:$C,원생!$A432,수납!$D:$D,IF(원생!$G432="","",원생!$G432),수납!$B:$B,$B$1&amp;"-"&amp;TEXT(10,"00")&amp;"*",수납!$E:$E,"수강료")+SUMIFS(수납!$F:$F,수납!$C:$C,원생!$A432,수납!$D:$D,IF(원생!$G432="","",원생!$G432),수납!$B:$B,$B$1&amp;"-"&amp;TEXT(10,"00")&amp;"*",수납!$E:$E,""))</f>
        <v/>
      </c>
      <c r="M434" s="14">
        <f>IF(원생!$A432="","",SUMIFS(수납!$F:$F,수납!$C:$C,원생!$A432,수납!$D:$D,IF(원생!$G432="","",원생!$G432),수납!$B:$B,$B$1&amp;"-"&amp;TEXT(11,"00")&amp;"*",수납!$E:$E,"수강료")+SUMIFS(수납!$F:$F,수납!$C:$C,원생!$A432,수납!$D:$D,IF(원생!$G432="","",원생!$G432),수납!$B:$B,$B$1&amp;"-"&amp;TEXT(11,"00")&amp;"*",수납!$E:$E,""))</f>
        <v/>
      </c>
      <c r="N434" s="14">
        <f>IF(원생!$A432="","",SUMIFS(수납!$F:$F,수납!$C:$C,원생!$A432,수납!$D:$D,IF(원생!$G432="","",원생!$G432),수납!$B:$B,$B$1&amp;"-"&amp;TEXT(12,"00")&amp;"*",수납!$E:$E,"수강료")+SUMIFS(수납!$F:$F,수납!$C:$C,원생!$A432,수납!$D:$D,IF(원생!$G432="","",원생!$G432),수납!$B:$B,$B$1&amp;"-"&amp;TEXT(12,"00")&amp;"*",수납!$E:$E,""))</f>
        <v/>
      </c>
      <c r="O434">
        <f>IF(원생!$I432="","",원생!$I432)</f>
        <v/>
      </c>
      <c r="P434">
        <f>IF($A434="","",IF(AND($B434&gt;0,C434&lt;$B434,DATE($B$1,1,1)&lt;=TODAY(),OR($O434="",$O434&gt;=DATE($B$1,1,1)),OR(COUNTIF($C434:C434,"&gt;0")&gt;0,DATE($B$1,1,1)=DATE(YEAR(TODAY()),MONTH(TODAY()),1))),1,0))</f>
        <v/>
      </c>
      <c r="Q434">
        <f>IF($A434="","",IF(AND($B434&gt;0,D434&lt;$B434,DATE($B$1,2,1)&lt;=TODAY(),OR($O434="",$O434&gt;=DATE($B$1,2,1)),OR(COUNTIF($C434:D434,"&gt;0")&gt;0,DATE($B$1,2,1)=DATE(YEAR(TODAY()),MONTH(TODAY()),1))),1,0))</f>
        <v/>
      </c>
      <c r="R434">
        <f>IF($A434="","",IF(AND($B434&gt;0,E434&lt;$B434,DATE($B$1,3,1)&lt;=TODAY(),OR($O434="",$O434&gt;=DATE($B$1,3,1)),OR(COUNTIF($C434:E434,"&gt;0")&gt;0,DATE($B$1,3,1)=DATE(YEAR(TODAY()),MONTH(TODAY()),1))),1,0))</f>
        <v/>
      </c>
      <c r="S434">
        <f>IF($A434="","",IF(AND($B434&gt;0,F434&lt;$B434,DATE($B$1,4,1)&lt;=TODAY(),OR($O434="",$O434&gt;=DATE($B$1,4,1)),OR(COUNTIF($C434:F434,"&gt;0")&gt;0,DATE($B$1,4,1)=DATE(YEAR(TODAY()),MONTH(TODAY()),1))),1,0))</f>
        <v/>
      </c>
      <c r="T434">
        <f>IF($A434="","",IF(AND($B434&gt;0,G434&lt;$B434,DATE($B$1,5,1)&lt;=TODAY(),OR($O434="",$O434&gt;=DATE($B$1,5,1)),OR(COUNTIF($C434:G434,"&gt;0")&gt;0,DATE($B$1,5,1)=DATE(YEAR(TODAY()),MONTH(TODAY()),1))),1,0))</f>
        <v/>
      </c>
      <c r="U434">
        <f>IF($A434="","",IF(AND($B434&gt;0,H434&lt;$B434,DATE($B$1,6,1)&lt;=TODAY(),OR($O434="",$O434&gt;=DATE($B$1,6,1)),OR(COUNTIF($C434:H434,"&gt;0")&gt;0,DATE($B$1,6,1)=DATE(YEAR(TODAY()),MONTH(TODAY()),1))),1,0))</f>
        <v/>
      </c>
      <c r="V434">
        <f>IF($A434="","",IF(AND($B434&gt;0,I434&lt;$B434,DATE($B$1,7,1)&lt;=TODAY(),OR($O434="",$O434&gt;=DATE($B$1,7,1)),OR(COUNTIF($C434:I434,"&gt;0")&gt;0,DATE($B$1,7,1)=DATE(YEAR(TODAY()),MONTH(TODAY()),1))),1,0))</f>
        <v/>
      </c>
      <c r="W434">
        <f>IF($A434="","",IF(AND($B434&gt;0,J434&lt;$B434,DATE($B$1,8,1)&lt;=TODAY(),OR($O434="",$O434&gt;=DATE($B$1,8,1)),OR(COUNTIF($C434:J434,"&gt;0")&gt;0,DATE($B$1,8,1)=DATE(YEAR(TODAY()),MONTH(TODAY()),1))),1,0))</f>
        <v/>
      </c>
      <c r="X434">
        <f>IF($A434="","",IF(AND($B434&gt;0,K434&lt;$B434,DATE($B$1,9,1)&lt;=TODAY(),OR($O434="",$O434&gt;=DATE($B$1,9,1)),OR(COUNTIF($C434:K434,"&gt;0")&gt;0,DATE($B$1,9,1)=DATE(YEAR(TODAY()),MONTH(TODAY()),1))),1,0))</f>
        <v/>
      </c>
      <c r="Y434">
        <f>IF($A434="","",IF(AND($B434&gt;0,L434&lt;$B434,DATE($B$1,10,1)&lt;=TODAY(),OR($O434="",$O434&gt;=DATE($B$1,10,1)),OR(COUNTIF($C434:L434,"&gt;0")&gt;0,DATE($B$1,10,1)=DATE(YEAR(TODAY()),MONTH(TODAY()),1))),1,0))</f>
        <v/>
      </c>
      <c r="Z434">
        <f>IF($A434="","",IF(AND($B434&gt;0,M434&lt;$B434,DATE($B$1,11,1)&lt;=TODAY(),OR($O434="",$O434&gt;=DATE($B$1,11,1)),OR(COUNTIF($C434:M434,"&gt;0")&gt;0,DATE($B$1,11,1)=DATE(YEAR(TODAY()),MONTH(TODAY()),1))),1,0))</f>
        <v/>
      </c>
      <c r="AA434">
        <f>IF($A434="","",IF(AND($B434&gt;0,N434&lt;$B434,DATE($B$1,12,1)&lt;=TODAY(),OR($O434="",$O434&gt;=DATE($B$1,12,1)),OR(COUNTIF($C434:N434,"&gt;0")&gt;0,DATE($B$1,12,1)=DATE(YEAR(TODAY()),MONTH(TODAY()),1))),1,0))</f>
        <v/>
      </c>
    </row>
    <row r="435">
      <c r="A435" s="13">
        <f>IF(원생!$A433="","",원생!$A433&amp;IF(원생!$G433="",""," ("&amp;원생!$G433&amp;")"))</f>
        <v/>
      </c>
      <c r="B435" s="8">
        <f>IF(원생!$A433="","",원생!$F433)</f>
        <v/>
      </c>
      <c r="C435" s="14">
        <f>IF(원생!$A433="","",SUMIFS(수납!$F:$F,수납!$C:$C,원생!$A433,수납!$D:$D,IF(원생!$G433="","",원생!$G433),수납!$B:$B,$B$1&amp;"-"&amp;TEXT(1,"00")&amp;"*",수납!$E:$E,"수강료")+SUMIFS(수납!$F:$F,수납!$C:$C,원생!$A433,수납!$D:$D,IF(원생!$G433="","",원생!$G433),수납!$B:$B,$B$1&amp;"-"&amp;TEXT(1,"00")&amp;"*",수납!$E:$E,""))</f>
        <v/>
      </c>
      <c r="D435" s="14">
        <f>IF(원생!$A433="","",SUMIFS(수납!$F:$F,수납!$C:$C,원생!$A433,수납!$D:$D,IF(원생!$G433="","",원생!$G433),수납!$B:$B,$B$1&amp;"-"&amp;TEXT(2,"00")&amp;"*",수납!$E:$E,"수강료")+SUMIFS(수납!$F:$F,수납!$C:$C,원생!$A433,수납!$D:$D,IF(원생!$G433="","",원생!$G433),수납!$B:$B,$B$1&amp;"-"&amp;TEXT(2,"00")&amp;"*",수납!$E:$E,""))</f>
        <v/>
      </c>
      <c r="E435" s="14">
        <f>IF(원생!$A433="","",SUMIFS(수납!$F:$F,수납!$C:$C,원생!$A433,수납!$D:$D,IF(원생!$G433="","",원생!$G433),수납!$B:$B,$B$1&amp;"-"&amp;TEXT(3,"00")&amp;"*",수납!$E:$E,"수강료")+SUMIFS(수납!$F:$F,수납!$C:$C,원생!$A433,수납!$D:$D,IF(원생!$G433="","",원생!$G433),수납!$B:$B,$B$1&amp;"-"&amp;TEXT(3,"00")&amp;"*",수납!$E:$E,""))</f>
        <v/>
      </c>
      <c r="F435" s="14">
        <f>IF(원생!$A433="","",SUMIFS(수납!$F:$F,수납!$C:$C,원생!$A433,수납!$D:$D,IF(원생!$G433="","",원생!$G433),수납!$B:$B,$B$1&amp;"-"&amp;TEXT(4,"00")&amp;"*",수납!$E:$E,"수강료")+SUMIFS(수납!$F:$F,수납!$C:$C,원생!$A433,수납!$D:$D,IF(원생!$G433="","",원생!$G433),수납!$B:$B,$B$1&amp;"-"&amp;TEXT(4,"00")&amp;"*",수납!$E:$E,""))</f>
        <v/>
      </c>
      <c r="G435" s="14">
        <f>IF(원생!$A433="","",SUMIFS(수납!$F:$F,수납!$C:$C,원생!$A433,수납!$D:$D,IF(원생!$G433="","",원생!$G433),수납!$B:$B,$B$1&amp;"-"&amp;TEXT(5,"00")&amp;"*",수납!$E:$E,"수강료")+SUMIFS(수납!$F:$F,수납!$C:$C,원생!$A433,수납!$D:$D,IF(원생!$G433="","",원생!$G433),수납!$B:$B,$B$1&amp;"-"&amp;TEXT(5,"00")&amp;"*",수납!$E:$E,""))</f>
        <v/>
      </c>
      <c r="H435" s="14">
        <f>IF(원생!$A433="","",SUMIFS(수납!$F:$F,수납!$C:$C,원생!$A433,수납!$D:$D,IF(원생!$G433="","",원생!$G433),수납!$B:$B,$B$1&amp;"-"&amp;TEXT(6,"00")&amp;"*",수납!$E:$E,"수강료")+SUMIFS(수납!$F:$F,수납!$C:$C,원생!$A433,수납!$D:$D,IF(원생!$G433="","",원생!$G433),수납!$B:$B,$B$1&amp;"-"&amp;TEXT(6,"00")&amp;"*",수납!$E:$E,""))</f>
        <v/>
      </c>
      <c r="I435" s="14">
        <f>IF(원생!$A433="","",SUMIFS(수납!$F:$F,수납!$C:$C,원생!$A433,수납!$D:$D,IF(원생!$G433="","",원생!$G433),수납!$B:$B,$B$1&amp;"-"&amp;TEXT(7,"00")&amp;"*",수납!$E:$E,"수강료")+SUMIFS(수납!$F:$F,수납!$C:$C,원생!$A433,수납!$D:$D,IF(원생!$G433="","",원생!$G433),수납!$B:$B,$B$1&amp;"-"&amp;TEXT(7,"00")&amp;"*",수납!$E:$E,""))</f>
        <v/>
      </c>
      <c r="J435" s="14">
        <f>IF(원생!$A433="","",SUMIFS(수납!$F:$F,수납!$C:$C,원생!$A433,수납!$D:$D,IF(원생!$G433="","",원생!$G433),수납!$B:$B,$B$1&amp;"-"&amp;TEXT(8,"00")&amp;"*",수납!$E:$E,"수강료")+SUMIFS(수납!$F:$F,수납!$C:$C,원생!$A433,수납!$D:$D,IF(원생!$G433="","",원생!$G433),수납!$B:$B,$B$1&amp;"-"&amp;TEXT(8,"00")&amp;"*",수납!$E:$E,""))</f>
        <v/>
      </c>
      <c r="K435" s="14">
        <f>IF(원생!$A433="","",SUMIFS(수납!$F:$F,수납!$C:$C,원생!$A433,수납!$D:$D,IF(원생!$G433="","",원생!$G433),수납!$B:$B,$B$1&amp;"-"&amp;TEXT(9,"00")&amp;"*",수납!$E:$E,"수강료")+SUMIFS(수납!$F:$F,수납!$C:$C,원생!$A433,수납!$D:$D,IF(원생!$G433="","",원생!$G433),수납!$B:$B,$B$1&amp;"-"&amp;TEXT(9,"00")&amp;"*",수납!$E:$E,""))</f>
        <v/>
      </c>
      <c r="L435" s="14">
        <f>IF(원생!$A433="","",SUMIFS(수납!$F:$F,수납!$C:$C,원생!$A433,수납!$D:$D,IF(원생!$G433="","",원생!$G433),수납!$B:$B,$B$1&amp;"-"&amp;TEXT(10,"00")&amp;"*",수납!$E:$E,"수강료")+SUMIFS(수납!$F:$F,수납!$C:$C,원생!$A433,수납!$D:$D,IF(원생!$G433="","",원생!$G433),수납!$B:$B,$B$1&amp;"-"&amp;TEXT(10,"00")&amp;"*",수납!$E:$E,""))</f>
        <v/>
      </c>
      <c r="M435" s="14">
        <f>IF(원생!$A433="","",SUMIFS(수납!$F:$F,수납!$C:$C,원생!$A433,수납!$D:$D,IF(원생!$G433="","",원생!$G433),수납!$B:$B,$B$1&amp;"-"&amp;TEXT(11,"00")&amp;"*",수납!$E:$E,"수강료")+SUMIFS(수납!$F:$F,수납!$C:$C,원생!$A433,수납!$D:$D,IF(원생!$G433="","",원생!$G433),수납!$B:$B,$B$1&amp;"-"&amp;TEXT(11,"00")&amp;"*",수납!$E:$E,""))</f>
        <v/>
      </c>
      <c r="N435" s="14">
        <f>IF(원생!$A433="","",SUMIFS(수납!$F:$F,수납!$C:$C,원생!$A433,수납!$D:$D,IF(원생!$G433="","",원생!$G433),수납!$B:$B,$B$1&amp;"-"&amp;TEXT(12,"00")&amp;"*",수납!$E:$E,"수강료")+SUMIFS(수납!$F:$F,수납!$C:$C,원생!$A433,수납!$D:$D,IF(원생!$G433="","",원생!$G433),수납!$B:$B,$B$1&amp;"-"&amp;TEXT(12,"00")&amp;"*",수납!$E:$E,""))</f>
        <v/>
      </c>
      <c r="O435">
        <f>IF(원생!$I433="","",원생!$I433)</f>
        <v/>
      </c>
      <c r="P435">
        <f>IF($A435="","",IF(AND($B435&gt;0,C435&lt;$B435,DATE($B$1,1,1)&lt;=TODAY(),OR($O435="",$O435&gt;=DATE($B$1,1,1)),OR(COUNTIF($C435:C435,"&gt;0")&gt;0,DATE($B$1,1,1)=DATE(YEAR(TODAY()),MONTH(TODAY()),1))),1,0))</f>
        <v/>
      </c>
      <c r="Q435">
        <f>IF($A435="","",IF(AND($B435&gt;0,D435&lt;$B435,DATE($B$1,2,1)&lt;=TODAY(),OR($O435="",$O435&gt;=DATE($B$1,2,1)),OR(COUNTIF($C435:D435,"&gt;0")&gt;0,DATE($B$1,2,1)=DATE(YEAR(TODAY()),MONTH(TODAY()),1))),1,0))</f>
        <v/>
      </c>
      <c r="R435">
        <f>IF($A435="","",IF(AND($B435&gt;0,E435&lt;$B435,DATE($B$1,3,1)&lt;=TODAY(),OR($O435="",$O435&gt;=DATE($B$1,3,1)),OR(COUNTIF($C435:E435,"&gt;0")&gt;0,DATE($B$1,3,1)=DATE(YEAR(TODAY()),MONTH(TODAY()),1))),1,0))</f>
        <v/>
      </c>
      <c r="S435">
        <f>IF($A435="","",IF(AND($B435&gt;0,F435&lt;$B435,DATE($B$1,4,1)&lt;=TODAY(),OR($O435="",$O435&gt;=DATE($B$1,4,1)),OR(COUNTIF($C435:F435,"&gt;0")&gt;0,DATE($B$1,4,1)=DATE(YEAR(TODAY()),MONTH(TODAY()),1))),1,0))</f>
        <v/>
      </c>
      <c r="T435">
        <f>IF($A435="","",IF(AND($B435&gt;0,G435&lt;$B435,DATE($B$1,5,1)&lt;=TODAY(),OR($O435="",$O435&gt;=DATE($B$1,5,1)),OR(COUNTIF($C435:G435,"&gt;0")&gt;0,DATE($B$1,5,1)=DATE(YEAR(TODAY()),MONTH(TODAY()),1))),1,0))</f>
        <v/>
      </c>
      <c r="U435">
        <f>IF($A435="","",IF(AND($B435&gt;0,H435&lt;$B435,DATE($B$1,6,1)&lt;=TODAY(),OR($O435="",$O435&gt;=DATE($B$1,6,1)),OR(COUNTIF($C435:H435,"&gt;0")&gt;0,DATE($B$1,6,1)=DATE(YEAR(TODAY()),MONTH(TODAY()),1))),1,0))</f>
        <v/>
      </c>
      <c r="V435">
        <f>IF($A435="","",IF(AND($B435&gt;0,I435&lt;$B435,DATE($B$1,7,1)&lt;=TODAY(),OR($O435="",$O435&gt;=DATE($B$1,7,1)),OR(COUNTIF($C435:I435,"&gt;0")&gt;0,DATE($B$1,7,1)=DATE(YEAR(TODAY()),MONTH(TODAY()),1))),1,0))</f>
        <v/>
      </c>
      <c r="W435">
        <f>IF($A435="","",IF(AND($B435&gt;0,J435&lt;$B435,DATE($B$1,8,1)&lt;=TODAY(),OR($O435="",$O435&gt;=DATE($B$1,8,1)),OR(COUNTIF($C435:J435,"&gt;0")&gt;0,DATE($B$1,8,1)=DATE(YEAR(TODAY()),MONTH(TODAY()),1))),1,0))</f>
        <v/>
      </c>
      <c r="X435">
        <f>IF($A435="","",IF(AND($B435&gt;0,K435&lt;$B435,DATE($B$1,9,1)&lt;=TODAY(),OR($O435="",$O435&gt;=DATE($B$1,9,1)),OR(COUNTIF($C435:K435,"&gt;0")&gt;0,DATE($B$1,9,1)=DATE(YEAR(TODAY()),MONTH(TODAY()),1))),1,0))</f>
        <v/>
      </c>
      <c r="Y435">
        <f>IF($A435="","",IF(AND($B435&gt;0,L435&lt;$B435,DATE($B$1,10,1)&lt;=TODAY(),OR($O435="",$O435&gt;=DATE($B$1,10,1)),OR(COUNTIF($C435:L435,"&gt;0")&gt;0,DATE($B$1,10,1)=DATE(YEAR(TODAY()),MONTH(TODAY()),1))),1,0))</f>
        <v/>
      </c>
      <c r="Z435">
        <f>IF($A435="","",IF(AND($B435&gt;0,M435&lt;$B435,DATE($B$1,11,1)&lt;=TODAY(),OR($O435="",$O435&gt;=DATE($B$1,11,1)),OR(COUNTIF($C435:M435,"&gt;0")&gt;0,DATE($B$1,11,1)=DATE(YEAR(TODAY()),MONTH(TODAY()),1))),1,0))</f>
        <v/>
      </c>
      <c r="AA435">
        <f>IF($A435="","",IF(AND($B435&gt;0,N435&lt;$B435,DATE($B$1,12,1)&lt;=TODAY(),OR($O435="",$O435&gt;=DATE($B$1,12,1)),OR(COUNTIF($C435:N435,"&gt;0")&gt;0,DATE($B$1,12,1)=DATE(YEAR(TODAY()),MONTH(TODAY()),1))),1,0))</f>
        <v/>
      </c>
    </row>
    <row r="436">
      <c r="A436" s="13">
        <f>IF(원생!$A434="","",원생!$A434&amp;IF(원생!$G434="",""," ("&amp;원생!$G434&amp;")"))</f>
        <v/>
      </c>
      <c r="B436" s="8">
        <f>IF(원생!$A434="","",원생!$F434)</f>
        <v/>
      </c>
      <c r="C436" s="14">
        <f>IF(원생!$A434="","",SUMIFS(수납!$F:$F,수납!$C:$C,원생!$A434,수납!$D:$D,IF(원생!$G434="","",원생!$G434),수납!$B:$B,$B$1&amp;"-"&amp;TEXT(1,"00")&amp;"*",수납!$E:$E,"수강료")+SUMIFS(수납!$F:$F,수납!$C:$C,원생!$A434,수납!$D:$D,IF(원생!$G434="","",원생!$G434),수납!$B:$B,$B$1&amp;"-"&amp;TEXT(1,"00")&amp;"*",수납!$E:$E,""))</f>
        <v/>
      </c>
      <c r="D436" s="14">
        <f>IF(원생!$A434="","",SUMIFS(수납!$F:$F,수납!$C:$C,원생!$A434,수납!$D:$D,IF(원생!$G434="","",원생!$G434),수납!$B:$B,$B$1&amp;"-"&amp;TEXT(2,"00")&amp;"*",수납!$E:$E,"수강료")+SUMIFS(수납!$F:$F,수납!$C:$C,원생!$A434,수납!$D:$D,IF(원생!$G434="","",원생!$G434),수납!$B:$B,$B$1&amp;"-"&amp;TEXT(2,"00")&amp;"*",수납!$E:$E,""))</f>
        <v/>
      </c>
      <c r="E436" s="14">
        <f>IF(원생!$A434="","",SUMIFS(수납!$F:$F,수납!$C:$C,원생!$A434,수납!$D:$D,IF(원생!$G434="","",원생!$G434),수납!$B:$B,$B$1&amp;"-"&amp;TEXT(3,"00")&amp;"*",수납!$E:$E,"수강료")+SUMIFS(수납!$F:$F,수납!$C:$C,원생!$A434,수납!$D:$D,IF(원생!$G434="","",원생!$G434),수납!$B:$B,$B$1&amp;"-"&amp;TEXT(3,"00")&amp;"*",수납!$E:$E,""))</f>
        <v/>
      </c>
      <c r="F436" s="14">
        <f>IF(원생!$A434="","",SUMIFS(수납!$F:$F,수납!$C:$C,원생!$A434,수납!$D:$D,IF(원생!$G434="","",원생!$G434),수납!$B:$B,$B$1&amp;"-"&amp;TEXT(4,"00")&amp;"*",수납!$E:$E,"수강료")+SUMIFS(수납!$F:$F,수납!$C:$C,원생!$A434,수납!$D:$D,IF(원생!$G434="","",원생!$G434),수납!$B:$B,$B$1&amp;"-"&amp;TEXT(4,"00")&amp;"*",수납!$E:$E,""))</f>
        <v/>
      </c>
      <c r="G436" s="14">
        <f>IF(원생!$A434="","",SUMIFS(수납!$F:$F,수납!$C:$C,원생!$A434,수납!$D:$D,IF(원생!$G434="","",원생!$G434),수납!$B:$B,$B$1&amp;"-"&amp;TEXT(5,"00")&amp;"*",수납!$E:$E,"수강료")+SUMIFS(수납!$F:$F,수납!$C:$C,원생!$A434,수납!$D:$D,IF(원생!$G434="","",원생!$G434),수납!$B:$B,$B$1&amp;"-"&amp;TEXT(5,"00")&amp;"*",수납!$E:$E,""))</f>
        <v/>
      </c>
      <c r="H436" s="14">
        <f>IF(원생!$A434="","",SUMIFS(수납!$F:$F,수납!$C:$C,원생!$A434,수납!$D:$D,IF(원생!$G434="","",원생!$G434),수납!$B:$B,$B$1&amp;"-"&amp;TEXT(6,"00")&amp;"*",수납!$E:$E,"수강료")+SUMIFS(수납!$F:$F,수납!$C:$C,원생!$A434,수납!$D:$D,IF(원생!$G434="","",원생!$G434),수납!$B:$B,$B$1&amp;"-"&amp;TEXT(6,"00")&amp;"*",수납!$E:$E,""))</f>
        <v/>
      </c>
      <c r="I436" s="14">
        <f>IF(원생!$A434="","",SUMIFS(수납!$F:$F,수납!$C:$C,원생!$A434,수납!$D:$D,IF(원생!$G434="","",원생!$G434),수납!$B:$B,$B$1&amp;"-"&amp;TEXT(7,"00")&amp;"*",수납!$E:$E,"수강료")+SUMIFS(수납!$F:$F,수납!$C:$C,원생!$A434,수납!$D:$D,IF(원생!$G434="","",원생!$G434),수납!$B:$B,$B$1&amp;"-"&amp;TEXT(7,"00")&amp;"*",수납!$E:$E,""))</f>
        <v/>
      </c>
      <c r="J436" s="14">
        <f>IF(원생!$A434="","",SUMIFS(수납!$F:$F,수납!$C:$C,원생!$A434,수납!$D:$D,IF(원생!$G434="","",원생!$G434),수납!$B:$B,$B$1&amp;"-"&amp;TEXT(8,"00")&amp;"*",수납!$E:$E,"수강료")+SUMIFS(수납!$F:$F,수납!$C:$C,원생!$A434,수납!$D:$D,IF(원생!$G434="","",원생!$G434),수납!$B:$B,$B$1&amp;"-"&amp;TEXT(8,"00")&amp;"*",수납!$E:$E,""))</f>
        <v/>
      </c>
      <c r="K436" s="14">
        <f>IF(원생!$A434="","",SUMIFS(수납!$F:$F,수납!$C:$C,원생!$A434,수납!$D:$D,IF(원생!$G434="","",원생!$G434),수납!$B:$B,$B$1&amp;"-"&amp;TEXT(9,"00")&amp;"*",수납!$E:$E,"수강료")+SUMIFS(수납!$F:$F,수납!$C:$C,원생!$A434,수납!$D:$D,IF(원생!$G434="","",원생!$G434),수납!$B:$B,$B$1&amp;"-"&amp;TEXT(9,"00")&amp;"*",수납!$E:$E,""))</f>
        <v/>
      </c>
      <c r="L436" s="14">
        <f>IF(원생!$A434="","",SUMIFS(수납!$F:$F,수납!$C:$C,원생!$A434,수납!$D:$D,IF(원생!$G434="","",원생!$G434),수납!$B:$B,$B$1&amp;"-"&amp;TEXT(10,"00")&amp;"*",수납!$E:$E,"수강료")+SUMIFS(수납!$F:$F,수납!$C:$C,원생!$A434,수납!$D:$D,IF(원생!$G434="","",원생!$G434),수납!$B:$B,$B$1&amp;"-"&amp;TEXT(10,"00")&amp;"*",수납!$E:$E,""))</f>
        <v/>
      </c>
      <c r="M436" s="14">
        <f>IF(원생!$A434="","",SUMIFS(수납!$F:$F,수납!$C:$C,원생!$A434,수납!$D:$D,IF(원생!$G434="","",원생!$G434),수납!$B:$B,$B$1&amp;"-"&amp;TEXT(11,"00")&amp;"*",수납!$E:$E,"수강료")+SUMIFS(수납!$F:$F,수납!$C:$C,원생!$A434,수납!$D:$D,IF(원생!$G434="","",원생!$G434),수납!$B:$B,$B$1&amp;"-"&amp;TEXT(11,"00")&amp;"*",수납!$E:$E,""))</f>
        <v/>
      </c>
      <c r="N436" s="14">
        <f>IF(원생!$A434="","",SUMIFS(수납!$F:$F,수납!$C:$C,원생!$A434,수납!$D:$D,IF(원생!$G434="","",원생!$G434),수납!$B:$B,$B$1&amp;"-"&amp;TEXT(12,"00")&amp;"*",수납!$E:$E,"수강료")+SUMIFS(수납!$F:$F,수납!$C:$C,원생!$A434,수납!$D:$D,IF(원생!$G434="","",원생!$G434),수납!$B:$B,$B$1&amp;"-"&amp;TEXT(12,"00")&amp;"*",수납!$E:$E,""))</f>
        <v/>
      </c>
      <c r="O436">
        <f>IF(원생!$I434="","",원생!$I434)</f>
        <v/>
      </c>
      <c r="P436">
        <f>IF($A436="","",IF(AND($B436&gt;0,C436&lt;$B436,DATE($B$1,1,1)&lt;=TODAY(),OR($O436="",$O436&gt;=DATE($B$1,1,1)),OR(COUNTIF($C436:C436,"&gt;0")&gt;0,DATE($B$1,1,1)=DATE(YEAR(TODAY()),MONTH(TODAY()),1))),1,0))</f>
        <v/>
      </c>
      <c r="Q436">
        <f>IF($A436="","",IF(AND($B436&gt;0,D436&lt;$B436,DATE($B$1,2,1)&lt;=TODAY(),OR($O436="",$O436&gt;=DATE($B$1,2,1)),OR(COUNTIF($C436:D436,"&gt;0")&gt;0,DATE($B$1,2,1)=DATE(YEAR(TODAY()),MONTH(TODAY()),1))),1,0))</f>
        <v/>
      </c>
      <c r="R436">
        <f>IF($A436="","",IF(AND($B436&gt;0,E436&lt;$B436,DATE($B$1,3,1)&lt;=TODAY(),OR($O436="",$O436&gt;=DATE($B$1,3,1)),OR(COUNTIF($C436:E436,"&gt;0")&gt;0,DATE($B$1,3,1)=DATE(YEAR(TODAY()),MONTH(TODAY()),1))),1,0))</f>
        <v/>
      </c>
      <c r="S436">
        <f>IF($A436="","",IF(AND($B436&gt;0,F436&lt;$B436,DATE($B$1,4,1)&lt;=TODAY(),OR($O436="",$O436&gt;=DATE($B$1,4,1)),OR(COUNTIF($C436:F436,"&gt;0")&gt;0,DATE($B$1,4,1)=DATE(YEAR(TODAY()),MONTH(TODAY()),1))),1,0))</f>
        <v/>
      </c>
      <c r="T436">
        <f>IF($A436="","",IF(AND($B436&gt;0,G436&lt;$B436,DATE($B$1,5,1)&lt;=TODAY(),OR($O436="",$O436&gt;=DATE($B$1,5,1)),OR(COUNTIF($C436:G436,"&gt;0")&gt;0,DATE($B$1,5,1)=DATE(YEAR(TODAY()),MONTH(TODAY()),1))),1,0))</f>
        <v/>
      </c>
      <c r="U436">
        <f>IF($A436="","",IF(AND($B436&gt;0,H436&lt;$B436,DATE($B$1,6,1)&lt;=TODAY(),OR($O436="",$O436&gt;=DATE($B$1,6,1)),OR(COUNTIF($C436:H436,"&gt;0")&gt;0,DATE($B$1,6,1)=DATE(YEAR(TODAY()),MONTH(TODAY()),1))),1,0))</f>
        <v/>
      </c>
      <c r="V436">
        <f>IF($A436="","",IF(AND($B436&gt;0,I436&lt;$B436,DATE($B$1,7,1)&lt;=TODAY(),OR($O436="",$O436&gt;=DATE($B$1,7,1)),OR(COUNTIF($C436:I436,"&gt;0")&gt;0,DATE($B$1,7,1)=DATE(YEAR(TODAY()),MONTH(TODAY()),1))),1,0))</f>
        <v/>
      </c>
      <c r="W436">
        <f>IF($A436="","",IF(AND($B436&gt;0,J436&lt;$B436,DATE($B$1,8,1)&lt;=TODAY(),OR($O436="",$O436&gt;=DATE($B$1,8,1)),OR(COUNTIF($C436:J436,"&gt;0")&gt;0,DATE($B$1,8,1)=DATE(YEAR(TODAY()),MONTH(TODAY()),1))),1,0))</f>
        <v/>
      </c>
      <c r="X436">
        <f>IF($A436="","",IF(AND($B436&gt;0,K436&lt;$B436,DATE($B$1,9,1)&lt;=TODAY(),OR($O436="",$O436&gt;=DATE($B$1,9,1)),OR(COUNTIF($C436:K436,"&gt;0")&gt;0,DATE($B$1,9,1)=DATE(YEAR(TODAY()),MONTH(TODAY()),1))),1,0))</f>
        <v/>
      </c>
      <c r="Y436">
        <f>IF($A436="","",IF(AND($B436&gt;0,L436&lt;$B436,DATE($B$1,10,1)&lt;=TODAY(),OR($O436="",$O436&gt;=DATE($B$1,10,1)),OR(COUNTIF($C436:L436,"&gt;0")&gt;0,DATE($B$1,10,1)=DATE(YEAR(TODAY()),MONTH(TODAY()),1))),1,0))</f>
        <v/>
      </c>
      <c r="Z436">
        <f>IF($A436="","",IF(AND($B436&gt;0,M436&lt;$B436,DATE($B$1,11,1)&lt;=TODAY(),OR($O436="",$O436&gt;=DATE($B$1,11,1)),OR(COUNTIF($C436:M436,"&gt;0")&gt;0,DATE($B$1,11,1)=DATE(YEAR(TODAY()),MONTH(TODAY()),1))),1,0))</f>
        <v/>
      </c>
      <c r="AA436">
        <f>IF($A436="","",IF(AND($B436&gt;0,N436&lt;$B436,DATE($B$1,12,1)&lt;=TODAY(),OR($O436="",$O436&gt;=DATE($B$1,12,1)),OR(COUNTIF($C436:N436,"&gt;0")&gt;0,DATE($B$1,12,1)=DATE(YEAR(TODAY()),MONTH(TODAY()),1))),1,0))</f>
        <v/>
      </c>
    </row>
    <row r="437">
      <c r="A437" s="13">
        <f>IF(원생!$A435="","",원생!$A435&amp;IF(원생!$G435="",""," ("&amp;원생!$G435&amp;")"))</f>
        <v/>
      </c>
      <c r="B437" s="8">
        <f>IF(원생!$A435="","",원생!$F435)</f>
        <v/>
      </c>
      <c r="C437" s="14">
        <f>IF(원생!$A435="","",SUMIFS(수납!$F:$F,수납!$C:$C,원생!$A435,수납!$D:$D,IF(원생!$G435="","",원생!$G435),수납!$B:$B,$B$1&amp;"-"&amp;TEXT(1,"00")&amp;"*",수납!$E:$E,"수강료")+SUMIFS(수납!$F:$F,수납!$C:$C,원생!$A435,수납!$D:$D,IF(원생!$G435="","",원생!$G435),수납!$B:$B,$B$1&amp;"-"&amp;TEXT(1,"00")&amp;"*",수납!$E:$E,""))</f>
        <v/>
      </c>
      <c r="D437" s="14">
        <f>IF(원생!$A435="","",SUMIFS(수납!$F:$F,수납!$C:$C,원생!$A435,수납!$D:$D,IF(원생!$G435="","",원생!$G435),수납!$B:$B,$B$1&amp;"-"&amp;TEXT(2,"00")&amp;"*",수납!$E:$E,"수강료")+SUMIFS(수납!$F:$F,수납!$C:$C,원생!$A435,수납!$D:$D,IF(원생!$G435="","",원생!$G435),수납!$B:$B,$B$1&amp;"-"&amp;TEXT(2,"00")&amp;"*",수납!$E:$E,""))</f>
        <v/>
      </c>
      <c r="E437" s="14">
        <f>IF(원생!$A435="","",SUMIFS(수납!$F:$F,수납!$C:$C,원생!$A435,수납!$D:$D,IF(원생!$G435="","",원생!$G435),수납!$B:$B,$B$1&amp;"-"&amp;TEXT(3,"00")&amp;"*",수납!$E:$E,"수강료")+SUMIFS(수납!$F:$F,수납!$C:$C,원생!$A435,수납!$D:$D,IF(원생!$G435="","",원생!$G435),수납!$B:$B,$B$1&amp;"-"&amp;TEXT(3,"00")&amp;"*",수납!$E:$E,""))</f>
        <v/>
      </c>
      <c r="F437" s="14">
        <f>IF(원생!$A435="","",SUMIFS(수납!$F:$F,수납!$C:$C,원생!$A435,수납!$D:$D,IF(원생!$G435="","",원생!$G435),수납!$B:$B,$B$1&amp;"-"&amp;TEXT(4,"00")&amp;"*",수납!$E:$E,"수강료")+SUMIFS(수납!$F:$F,수납!$C:$C,원생!$A435,수납!$D:$D,IF(원생!$G435="","",원생!$G435),수납!$B:$B,$B$1&amp;"-"&amp;TEXT(4,"00")&amp;"*",수납!$E:$E,""))</f>
        <v/>
      </c>
      <c r="G437" s="14">
        <f>IF(원생!$A435="","",SUMIFS(수납!$F:$F,수납!$C:$C,원생!$A435,수납!$D:$D,IF(원생!$G435="","",원생!$G435),수납!$B:$B,$B$1&amp;"-"&amp;TEXT(5,"00")&amp;"*",수납!$E:$E,"수강료")+SUMIFS(수납!$F:$F,수납!$C:$C,원생!$A435,수납!$D:$D,IF(원생!$G435="","",원생!$G435),수납!$B:$B,$B$1&amp;"-"&amp;TEXT(5,"00")&amp;"*",수납!$E:$E,""))</f>
        <v/>
      </c>
      <c r="H437" s="14">
        <f>IF(원생!$A435="","",SUMIFS(수납!$F:$F,수납!$C:$C,원생!$A435,수납!$D:$D,IF(원생!$G435="","",원생!$G435),수납!$B:$B,$B$1&amp;"-"&amp;TEXT(6,"00")&amp;"*",수납!$E:$E,"수강료")+SUMIFS(수납!$F:$F,수납!$C:$C,원생!$A435,수납!$D:$D,IF(원생!$G435="","",원생!$G435),수납!$B:$B,$B$1&amp;"-"&amp;TEXT(6,"00")&amp;"*",수납!$E:$E,""))</f>
        <v/>
      </c>
      <c r="I437" s="14">
        <f>IF(원생!$A435="","",SUMIFS(수납!$F:$F,수납!$C:$C,원생!$A435,수납!$D:$D,IF(원생!$G435="","",원생!$G435),수납!$B:$B,$B$1&amp;"-"&amp;TEXT(7,"00")&amp;"*",수납!$E:$E,"수강료")+SUMIFS(수납!$F:$F,수납!$C:$C,원생!$A435,수납!$D:$D,IF(원생!$G435="","",원생!$G435),수납!$B:$B,$B$1&amp;"-"&amp;TEXT(7,"00")&amp;"*",수납!$E:$E,""))</f>
        <v/>
      </c>
      <c r="J437" s="14">
        <f>IF(원생!$A435="","",SUMIFS(수납!$F:$F,수납!$C:$C,원생!$A435,수납!$D:$D,IF(원생!$G435="","",원생!$G435),수납!$B:$B,$B$1&amp;"-"&amp;TEXT(8,"00")&amp;"*",수납!$E:$E,"수강료")+SUMIFS(수납!$F:$F,수납!$C:$C,원생!$A435,수납!$D:$D,IF(원생!$G435="","",원생!$G435),수납!$B:$B,$B$1&amp;"-"&amp;TEXT(8,"00")&amp;"*",수납!$E:$E,""))</f>
        <v/>
      </c>
      <c r="K437" s="14">
        <f>IF(원생!$A435="","",SUMIFS(수납!$F:$F,수납!$C:$C,원생!$A435,수납!$D:$D,IF(원생!$G435="","",원생!$G435),수납!$B:$B,$B$1&amp;"-"&amp;TEXT(9,"00")&amp;"*",수납!$E:$E,"수강료")+SUMIFS(수납!$F:$F,수납!$C:$C,원생!$A435,수납!$D:$D,IF(원생!$G435="","",원생!$G435),수납!$B:$B,$B$1&amp;"-"&amp;TEXT(9,"00")&amp;"*",수납!$E:$E,""))</f>
        <v/>
      </c>
      <c r="L437" s="14">
        <f>IF(원생!$A435="","",SUMIFS(수납!$F:$F,수납!$C:$C,원생!$A435,수납!$D:$D,IF(원생!$G435="","",원생!$G435),수납!$B:$B,$B$1&amp;"-"&amp;TEXT(10,"00")&amp;"*",수납!$E:$E,"수강료")+SUMIFS(수납!$F:$F,수납!$C:$C,원생!$A435,수납!$D:$D,IF(원생!$G435="","",원생!$G435),수납!$B:$B,$B$1&amp;"-"&amp;TEXT(10,"00")&amp;"*",수납!$E:$E,""))</f>
        <v/>
      </c>
      <c r="M437" s="14">
        <f>IF(원생!$A435="","",SUMIFS(수납!$F:$F,수납!$C:$C,원생!$A435,수납!$D:$D,IF(원생!$G435="","",원생!$G435),수납!$B:$B,$B$1&amp;"-"&amp;TEXT(11,"00")&amp;"*",수납!$E:$E,"수강료")+SUMIFS(수납!$F:$F,수납!$C:$C,원생!$A435,수납!$D:$D,IF(원생!$G435="","",원생!$G435),수납!$B:$B,$B$1&amp;"-"&amp;TEXT(11,"00")&amp;"*",수납!$E:$E,""))</f>
        <v/>
      </c>
      <c r="N437" s="14">
        <f>IF(원생!$A435="","",SUMIFS(수납!$F:$F,수납!$C:$C,원생!$A435,수납!$D:$D,IF(원생!$G435="","",원생!$G435),수납!$B:$B,$B$1&amp;"-"&amp;TEXT(12,"00")&amp;"*",수납!$E:$E,"수강료")+SUMIFS(수납!$F:$F,수납!$C:$C,원생!$A435,수납!$D:$D,IF(원생!$G435="","",원생!$G435),수납!$B:$B,$B$1&amp;"-"&amp;TEXT(12,"00")&amp;"*",수납!$E:$E,""))</f>
        <v/>
      </c>
      <c r="O437">
        <f>IF(원생!$I435="","",원생!$I435)</f>
        <v/>
      </c>
      <c r="P437">
        <f>IF($A437="","",IF(AND($B437&gt;0,C437&lt;$B437,DATE($B$1,1,1)&lt;=TODAY(),OR($O437="",$O437&gt;=DATE($B$1,1,1)),OR(COUNTIF($C437:C437,"&gt;0")&gt;0,DATE($B$1,1,1)=DATE(YEAR(TODAY()),MONTH(TODAY()),1))),1,0))</f>
        <v/>
      </c>
      <c r="Q437">
        <f>IF($A437="","",IF(AND($B437&gt;0,D437&lt;$B437,DATE($B$1,2,1)&lt;=TODAY(),OR($O437="",$O437&gt;=DATE($B$1,2,1)),OR(COUNTIF($C437:D437,"&gt;0")&gt;0,DATE($B$1,2,1)=DATE(YEAR(TODAY()),MONTH(TODAY()),1))),1,0))</f>
        <v/>
      </c>
      <c r="R437">
        <f>IF($A437="","",IF(AND($B437&gt;0,E437&lt;$B437,DATE($B$1,3,1)&lt;=TODAY(),OR($O437="",$O437&gt;=DATE($B$1,3,1)),OR(COUNTIF($C437:E437,"&gt;0")&gt;0,DATE($B$1,3,1)=DATE(YEAR(TODAY()),MONTH(TODAY()),1))),1,0))</f>
        <v/>
      </c>
      <c r="S437">
        <f>IF($A437="","",IF(AND($B437&gt;0,F437&lt;$B437,DATE($B$1,4,1)&lt;=TODAY(),OR($O437="",$O437&gt;=DATE($B$1,4,1)),OR(COUNTIF($C437:F437,"&gt;0")&gt;0,DATE($B$1,4,1)=DATE(YEAR(TODAY()),MONTH(TODAY()),1))),1,0))</f>
        <v/>
      </c>
      <c r="T437">
        <f>IF($A437="","",IF(AND($B437&gt;0,G437&lt;$B437,DATE($B$1,5,1)&lt;=TODAY(),OR($O437="",$O437&gt;=DATE($B$1,5,1)),OR(COUNTIF($C437:G437,"&gt;0")&gt;0,DATE($B$1,5,1)=DATE(YEAR(TODAY()),MONTH(TODAY()),1))),1,0))</f>
        <v/>
      </c>
      <c r="U437">
        <f>IF($A437="","",IF(AND($B437&gt;0,H437&lt;$B437,DATE($B$1,6,1)&lt;=TODAY(),OR($O437="",$O437&gt;=DATE($B$1,6,1)),OR(COUNTIF($C437:H437,"&gt;0")&gt;0,DATE($B$1,6,1)=DATE(YEAR(TODAY()),MONTH(TODAY()),1))),1,0))</f>
        <v/>
      </c>
      <c r="V437">
        <f>IF($A437="","",IF(AND($B437&gt;0,I437&lt;$B437,DATE($B$1,7,1)&lt;=TODAY(),OR($O437="",$O437&gt;=DATE($B$1,7,1)),OR(COUNTIF($C437:I437,"&gt;0")&gt;0,DATE($B$1,7,1)=DATE(YEAR(TODAY()),MONTH(TODAY()),1))),1,0))</f>
        <v/>
      </c>
      <c r="W437">
        <f>IF($A437="","",IF(AND($B437&gt;0,J437&lt;$B437,DATE($B$1,8,1)&lt;=TODAY(),OR($O437="",$O437&gt;=DATE($B$1,8,1)),OR(COUNTIF($C437:J437,"&gt;0")&gt;0,DATE($B$1,8,1)=DATE(YEAR(TODAY()),MONTH(TODAY()),1))),1,0))</f>
        <v/>
      </c>
      <c r="X437">
        <f>IF($A437="","",IF(AND($B437&gt;0,K437&lt;$B437,DATE($B$1,9,1)&lt;=TODAY(),OR($O437="",$O437&gt;=DATE($B$1,9,1)),OR(COUNTIF($C437:K437,"&gt;0")&gt;0,DATE($B$1,9,1)=DATE(YEAR(TODAY()),MONTH(TODAY()),1))),1,0))</f>
        <v/>
      </c>
      <c r="Y437">
        <f>IF($A437="","",IF(AND($B437&gt;0,L437&lt;$B437,DATE($B$1,10,1)&lt;=TODAY(),OR($O437="",$O437&gt;=DATE($B$1,10,1)),OR(COUNTIF($C437:L437,"&gt;0")&gt;0,DATE($B$1,10,1)=DATE(YEAR(TODAY()),MONTH(TODAY()),1))),1,0))</f>
        <v/>
      </c>
      <c r="Z437">
        <f>IF($A437="","",IF(AND($B437&gt;0,M437&lt;$B437,DATE($B$1,11,1)&lt;=TODAY(),OR($O437="",$O437&gt;=DATE($B$1,11,1)),OR(COUNTIF($C437:M437,"&gt;0")&gt;0,DATE($B$1,11,1)=DATE(YEAR(TODAY()),MONTH(TODAY()),1))),1,0))</f>
        <v/>
      </c>
      <c r="AA437">
        <f>IF($A437="","",IF(AND($B437&gt;0,N437&lt;$B437,DATE($B$1,12,1)&lt;=TODAY(),OR($O437="",$O437&gt;=DATE($B$1,12,1)),OR(COUNTIF($C437:N437,"&gt;0")&gt;0,DATE($B$1,12,1)=DATE(YEAR(TODAY()),MONTH(TODAY()),1))),1,0))</f>
        <v/>
      </c>
    </row>
    <row r="438">
      <c r="A438" s="13">
        <f>IF(원생!$A436="","",원생!$A436&amp;IF(원생!$G436="",""," ("&amp;원생!$G436&amp;")"))</f>
        <v/>
      </c>
      <c r="B438" s="8">
        <f>IF(원생!$A436="","",원생!$F436)</f>
        <v/>
      </c>
      <c r="C438" s="14">
        <f>IF(원생!$A436="","",SUMIFS(수납!$F:$F,수납!$C:$C,원생!$A436,수납!$D:$D,IF(원생!$G436="","",원생!$G436),수납!$B:$B,$B$1&amp;"-"&amp;TEXT(1,"00")&amp;"*",수납!$E:$E,"수강료")+SUMIFS(수납!$F:$F,수납!$C:$C,원생!$A436,수납!$D:$D,IF(원생!$G436="","",원생!$G436),수납!$B:$B,$B$1&amp;"-"&amp;TEXT(1,"00")&amp;"*",수납!$E:$E,""))</f>
        <v/>
      </c>
      <c r="D438" s="14">
        <f>IF(원생!$A436="","",SUMIFS(수납!$F:$F,수납!$C:$C,원생!$A436,수납!$D:$D,IF(원생!$G436="","",원생!$G436),수납!$B:$B,$B$1&amp;"-"&amp;TEXT(2,"00")&amp;"*",수납!$E:$E,"수강료")+SUMIFS(수납!$F:$F,수납!$C:$C,원생!$A436,수납!$D:$D,IF(원생!$G436="","",원생!$G436),수납!$B:$B,$B$1&amp;"-"&amp;TEXT(2,"00")&amp;"*",수납!$E:$E,""))</f>
        <v/>
      </c>
      <c r="E438" s="14">
        <f>IF(원생!$A436="","",SUMIFS(수납!$F:$F,수납!$C:$C,원생!$A436,수납!$D:$D,IF(원생!$G436="","",원생!$G436),수납!$B:$B,$B$1&amp;"-"&amp;TEXT(3,"00")&amp;"*",수납!$E:$E,"수강료")+SUMIFS(수납!$F:$F,수납!$C:$C,원생!$A436,수납!$D:$D,IF(원생!$G436="","",원생!$G436),수납!$B:$B,$B$1&amp;"-"&amp;TEXT(3,"00")&amp;"*",수납!$E:$E,""))</f>
        <v/>
      </c>
      <c r="F438" s="14">
        <f>IF(원생!$A436="","",SUMIFS(수납!$F:$F,수납!$C:$C,원생!$A436,수납!$D:$D,IF(원생!$G436="","",원생!$G436),수납!$B:$B,$B$1&amp;"-"&amp;TEXT(4,"00")&amp;"*",수납!$E:$E,"수강료")+SUMIFS(수납!$F:$F,수납!$C:$C,원생!$A436,수납!$D:$D,IF(원생!$G436="","",원생!$G436),수납!$B:$B,$B$1&amp;"-"&amp;TEXT(4,"00")&amp;"*",수납!$E:$E,""))</f>
        <v/>
      </c>
      <c r="G438" s="14">
        <f>IF(원생!$A436="","",SUMIFS(수납!$F:$F,수납!$C:$C,원생!$A436,수납!$D:$D,IF(원생!$G436="","",원생!$G436),수납!$B:$B,$B$1&amp;"-"&amp;TEXT(5,"00")&amp;"*",수납!$E:$E,"수강료")+SUMIFS(수납!$F:$F,수납!$C:$C,원생!$A436,수납!$D:$D,IF(원생!$G436="","",원생!$G436),수납!$B:$B,$B$1&amp;"-"&amp;TEXT(5,"00")&amp;"*",수납!$E:$E,""))</f>
        <v/>
      </c>
      <c r="H438" s="14">
        <f>IF(원생!$A436="","",SUMIFS(수납!$F:$F,수납!$C:$C,원생!$A436,수납!$D:$D,IF(원생!$G436="","",원생!$G436),수납!$B:$B,$B$1&amp;"-"&amp;TEXT(6,"00")&amp;"*",수납!$E:$E,"수강료")+SUMIFS(수납!$F:$F,수납!$C:$C,원생!$A436,수납!$D:$D,IF(원생!$G436="","",원생!$G436),수납!$B:$B,$B$1&amp;"-"&amp;TEXT(6,"00")&amp;"*",수납!$E:$E,""))</f>
        <v/>
      </c>
      <c r="I438" s="14">
        <f>IF(원생!$A436="","",SUMIFS(수납!$F:$F,수납!$C:$C,원생!$A436,수납!$D:$D,IF(원생!$G436="","",원생!$G436),수납!$B:$B,$B$1&amp;"-"&amp;TEXT(7,"00")&amp;"*",수납!$E:$E,"수강료")+SUMIFS(수납!$F:$F,수납!$C:$C,원생!$A436,수납!$D:$D,IF(원생!$G436="","",원생!$G436),수납!$B:$B,$B$1&amp;"-"&amp;TEXT(7,"00")&amp;"*",수납!$E:$E,""))</f>
        <v/>
      </c>
      <c r="J438" s="14">
        <f>IF(원생!$A436="","",SUMIFS(수납!$F:$F,수납!$C:$C,원생!$A436,수납!$D:$D,IF(원생!$G436="","",원생!$G436),수납!$B:$B,$B$1&amp;"-"&amp;TEXT(8,"00")&amp;"*",수납!$E:$E,"수강료")+SUMIFS(수납!$F:$F,수납!$C:$C,원생!$A436,수납!$D:$D,IF(원생!$G436="","",원생!$G436),수납!$B:$B,$B$1&amp;"-"&amp;TEXT(8,"00")&amp;"*",수납!$E:$E,""))</f>
        <v/>
      </c>
      <c r="K438" s="14">
        <f>IF(원생!$A436="","",SUMIFS(수납!$F:$F,수납!$C:$C,원생!$A436,수납!$D:$D,IF(원생!$G436="","",원생!$G436),수납!$B:$B,$B$1&amp;"-"&amp;TEXT(9,"00")&amp;"*",수납!$E:$E,"수강료")+SUMIFS(수납!$F:$F,수납!$C:$C,원생!$A436,수납!$D:$D,IF(원생!$G436="","",원생!$G436),수납!$B:$B,$B$1&amp;"-"&amp;TEXT(9,"00")&amp;"*",수납!$E:$E,""))</f>
        <v/>
      </c>
      <c r="L438" s="14">
        <f>IF(원생!$A436="","",SUMIFS(수납!$F:$F,수납!$C:$C,원생!$A436,수납!$D:$D,IF(원생!$G436="","",원생!$G436),수납!$B:$B,$B$1&amp;"-"&amp;TEXT(10,"00")&amp;"*",수납!$E:$E,"수강료")+SUMIFS(수납!$F:$F,수납!$C:$C,원생!$A436,수납!$D:$D,IF(원생!$G436="","",원생!$G436),수납!$B:$B,$B$1&amp;"-"&amp;TEXT(10,"00")&amp;"*",수납!$E:$E,""))</f>
        <v/>
      </c>
      <c r="M438" s="14">
        <f>IF(원생!$A436="","",SUMIFS(수납!$F:$F,수납!$C:$C,원생!$A436,수납!$D:$D,IF(원생!$G436="","",원생!$G436),수납!$B:$B,$B$1&amp;"-"&amp;TEXT(11,"00")&amp;"*",수납!$E:$E,"수강료")+SUMIFS(수납!$F:$F,수납!$C:$C,원생!$A436,수납!$D:$D,IF(원생!$G436="","",원생!$G436),수납!$B:$B,$B$1&amp;"-"&amp;TEXT(11,"00")&amp;"*",수납!$E:$E,""))</f>
        <v/>
      </c>
      <c r="N438" s="14">
        <f>IF(원생!$A436="","",SUMIFS(수납!$F:$F,수납!$C:$C,원생!$A436,수납!$D:$D,IF(원생!$G436="","",원생!$G436),수납!$B:$B,$B$1&amp;"-"&amp;TEXT(12,"00")&amp;"*",수납!$E:$E,"수강료")+SUMIFS(수납!$F:$F,수납!$C:$C,원생!$A436,수납!$D:$D,IF(원생!$G436="","",원생!$G436),수납!$B:$B,$B$1&amp;"-"&amp;TEXT(12,"00")&amp;"*",수납!$E:$E,""))</f>
        <v/>
      </c>
      <c r="O438">
        <f>IF(원생!$I436="","",원생!$I436)</f>
        <v/>
      </c>
      <c r="P438">
        <f>IF($A438="","",IF(AND($B438&gt;0,C438&lt;$B438,DATE($B$1,1,1)&lt;=TODAY(),OR($O438="",$O438&gt;=DATE($B$1,1,1)),OR(COUNTIF($C438:C438,"&gt;0")&gt;0,DATE($B$1,1,1)=DATE(YEAR(TODAY()),MONTH(TODAY()),1))),1,0))</f>
        <v/>
      </c>
      <c r="Q438">
        <f>IF($A438="","",IF(AND($B438&gt;0,D438&lt;$B438,DATE($B$1,2,1)&lt;=TODAY(),OR($O438="",$O438&gt;=DATE($B$1,2,1)),OR(COUNTIF($C438:D438,"&gt;0")&gt;0,DATE($B$1,2,1)=DATE(YEAR(TODAY()),MONTH(TODAY()),1))),1,0))</f>
        <v/>
      </c>
      <c r="R438">
        <f>IF($A438="","",IF(AND($B438&gt;0,E438&lt;$B438,DATE($B$1,3,1)&lt;=TODAY(),OR($O438="",$O438&gt;=DATE($B$1,3,1)),OR(COUNTIF($C438:E438,"&gt;0")&gt;0,DATE($B$1,3,1)=DATE(YEAR(TODAY()),MONTH(TODAY()),1))),1,0))</f>
        <v/>
      </c>
      <c r="S438">
        <f>IF($A438="","",IF(AND($B438&gt;0,F438&lt;$B438,DATE($B$1,4,1)&lt;=TODAY(),OR($O438="",$O438&gt;=DATE($B$1,4,1)),OR(COUNTIF($C438:F438,"&gt;0")&gt;0,DATE($B$1,4,1)=DATE(YEAR(TODAY()),MONTH(TODAY()),1))),1,0))</f>
        <v/>
      </c>
      <c r="T438">
        <f>IF($A438="","",IF(AND($B438&gt;0,G438&lt;$B438,DATE($B$1,5,1)&lt;=TODAY(),OR($O438="",$O438&gt;=DATE($B$1,5,1)),OR(COUNTIF($C438:G438,"&gt;0")&gt;0,DATE($B$1,5,1)=DATE(YEAR(TODAY()),MONTH(TODAY()),1))),1,0))</f>
        <v/>
      </c>
      <c r="U438">
        <f>IF($A438="","",IF(AND($B438&gt;0,H438&lt;$B438,DATE($B$1,6,1)&lt;=TODAY(),OR($O438="",$O438&gt;=DATE($B$1,6,1)),OR(COUNTIF($C438:H438,"&gt;0")&gt;0,DATE($B$1,6,1)=DATE(YEAR(TODAY()),MONTH(TODAY()),1))),1,0))</f>
        <v/>
      </c>
      <c r="V438">
        <f>IF($A438="","",IF(AND($B438&gt;0,I438&lt;$B438,DATE($B$1,7,1)&lt;=TODAY(),OR($O438="",$O438&gt;=DATE($B$1,7,1)),OR(COUNTIF($C438:I438,"&gt;0")&gt;0,DATE($B$1,7,1)=DATE(YEAR(TODAY()),MONTH(TODAY()),1))),1,0))</f>
        <v/>
      </c>
      <c r="W438">
        <f>IF($A438="","",IF(AND($B438&gt;0,J438&lt;$B438,DATE($B$1,8,1)&lt;=TODAY(),OR($O438="",$O438&gt;=DATE($B$1,8,1)),OR(COUNTIF($C438:J438,"&gt;0")&gt;0,DATE($B$1,8,1)=DATE(YEAR(TODAY()),MONTH(TODAY()),1))),1,0))</f>
        <v/>
      </c>
      <c r="X438">
        <f>IF($A438="","",IF(AND($B438&gt;0,K438&lt;$B438,DATE($B$1,9,1)&lt;=TODAY(),OR($O438="",$O438&gt;=DATE($B$1,9,1)),OR(COUNTIF($C438:K438,"&gt;0")&gt;0,DATE($B$1,9,1)=DATE(YEAR(TODAY()),MONTH(TODAY()),1))),1,0))</f>
        <v/>
      </c>
      <c r="Y438">
        <f>IF($A438="","",IF(AND($B438&gt;0,L438&lt;$B438,DATE($B$1,10,1)&lt;=TODAY(),OR($O438="",$O438&gt;=DATE($B$1,10,1)),OR(COUNTIF($C438:L438,"&gt;0")&gt;0,DATE($B$1,10,1)=DATE(YEAR(TODAY()),MONTH(TODAY()),1))),1,0))</f>
        <v/>
      </c>
      <c r="Z438">
        <f>IF($A438="","",IF(AND($B438&gt;0,M438&lt;$B438,DATE($B$1,11,1)&lt;=TODAY(),OR($O438="",$O438&gt;=DATE($B$1,11,1)),OR(COUNTIF($C438:M438,"&gt;0")&gt;0,DATE($B$1,11,1)=DATE(YEAR(TODAY()),MONTH(TODAY()),1))),1,0))</f>
        <v/>
      </c>
      <c r="AA438">
        <f>IF($A438="","",IF(AND($B438&gt;0,N438&lt;$B438,DATE($B$1,12,1)&lt;=TODAY(),OR($O438="",$O438&gt;=DATE($B$1,12,1)),OR(COUNTIF($C438:N438,"&gt;0")&gt;0,DATE($B$1,12,1)=DATE(YEAR(TODAY()),MONTH(TODAY()),1))),1,0))</f>
        <v/>
      </c>
    </row>
    <row r="439">
      <c r="A439" s="13">
        <f>IF(원생!$A437="","",원생!$A437&amp;IF(원생!$G437="",""," ("&amp;원생!$G437&amp;")"))</f>
        <v/>
      </c>
      <c r="B439" s="8">
        <f>IF(원생!$A437="","",원생!$F437)</f>
        <v/>
      </c>
      <c r="C439" s="14">
        <f>IF(원생!$A437="","",SUMIFS(수납!$F:$F,수납!$C:$C,원생!$A437,수납!$D:$D,IF(원생!$G437="","",원생!$G437),수납!$B:$B,$B$1&amp;"-"&amp;TEXT(1,"00")&amp;"*",수납!$E:$E,"수강료")+SUMIFS(수납!$F:$F,수납!$C:$C,원생!$A437,수납!$D:$D,IF(원생!$G437="","",원생!$G437),수납!$B:$B,$B$1&amp;"-"&amp;TEXT(1,"00")&amp;"*",수납!$E:$E,""))</f>
        <v/>
      </c>
      <c r="D439" s="14">
        <f>IF(원생!$A437="","",SUMIFS(수납!$F:$F,수납!$C:$C,원생!$A437,수납!$D:$D,IF(원생!$G437="","",원생!$G437),수납!$B:$B,$B$1&amp;"-"&amp;TEXT(2,"00")&amp;"*",수납!$E:$E,"수강료")+SUMIFS(수납!$F:$F,수납!$C:$C,원생!$A437,수납!$D:$D,IF(원생!$G437="","",원생!$G437),수납!$B:$B,$B$1&amp;"-"&amp;TEXT(2,"00")&amp;"*",수납!$E:$E,""))</f>
        <v/>
      </c>
      <c r="E439" s="14">
        <f>IF(원생!$A437="","",SUMIFS(수납!$F:$F,수납!$C:$C,원생!$A437,수납!$D:$D,IF(원생!$G437="","",원생!$G437),수납!$B:$B,$B$1&amp;"-"&amp;TEXT(3,"00")&amp;"*",수납!$E:$E,"수강료")+SUMIFS(수납!$F:$F,수납!$C:$C,원생!$A437,수납!$D:$D,IF(원생!$G437="","",원생!$G437),수납!$B:$B,$B$1&amp;"-"&amp;TEXT(3,"00")&amp;"*",수납!$E:$E,""))</f>
        <v/>
      </c>
      <c r="F439" s="14">
        <f>IF(원생!$A437="","",SUMIFS(수납!$F:$F,수납!$C:$C,원생!$A437,수납!$D:$D,IF(원생!$G437="","",원생!$G437),수납!$B:$B,$B$1&amp;"-"&amp;TEXT(4,"00")&amp;"*",수납!$E:$E,"수강료")+SUMIFS(수납!$F:$F,수납!$C:$C,원생!$A437,수납!$D:$D,IF(원생!$G437="","",원생!$G437),수납!$B:$B,$B$1&amp;"-"&amp;TEXT(4,"00")&amp;"*",수납!$E:$E,""))</f>
        <v/>
      </c>
      <c r="G439" s="14">
        <f>IF(원생!$A437="","",SUMIFS(수납!$F:$F,수납!$C:$C,원생!$A437,수납!$D:$D,IF(원생!$G437="","",원생!$G437),수납!$B:$B,$B$1&amp;"-"&amp;TEXT(5,"00")&amp;"*",수납!$E:$E,"수강료")+SUMIFS(수납!$F:$F,수납!$C:$C,원생!$A437,수납!$D:$D,IF(원생!$G437="","",원생!$G437),수납!$B:$B,$B$1&amp;"-"&amp;TEXT(5,"00")&amp;"*",수납!$E:$E,""))</f>
        <v/>
      </c>
      <c r="H439" s="14">
        <f>IF(원생!$A437="","",SUMIFS(수납!$F:$F,수납!$C:$C,원생!$A437,수납!$D:$D,IF(원생!$G437="","",원생!$G437),수납!$B:$B,$B$1&amp;"-"&amp;TEXT(6,"00")&amp;"*",수납!$E:$E,"수강료")+SUMIFS(수납!$F:$F,수납!$C:$C,원생!$A437,수납!$D:$D,IF(원생!$G437="","",원생!$G437),수납!$B:$B,$B$1&amp;"-"&amp;TEXT(6,"00")&amp;"*",수납!$E:$E,""))</f>
        <v/>
      </c>
      <c r="I439" s="14">
        <f>IF(원생!$A437="","",SUMIFS(수납!$F:$F,수납!$C:$C,원생!$A437,수납!$D:$D,IF(원생!$G437="","",원생!$G437),수납!$B:$B,$B$1&amp;"-"&amp;TEXT(7,"00")&amp;"*",수납!$E:$E,"수강료")+SUMIFS(수납!$F:$F,수납!$C:$C,원생!$A437,수납!$D:$D,IF(원생!$G437="","",원생!$G437),수납!$B:$B,$B$1&amp;"-"&amp;TEXT(7,"00")&amp;"*",수납!$E:$E,""))</f>
        <v/>
      </c>
      <c r="J439" s="14">
        <f>IF(원생!$A437="","",SUMIFS(수납!$F:$F,수납!$C:$C,원생!$A437,수납!$D:$D,IF(원생!$G437="","",원생!$G437),수납!$B:$B,$B$1&amp;"-"&amp;TEXT(8,"00")&amp;"*",수납!$E:$E,"수강료")+SUMIFS(수납!$F:$F,수납!$C:$C,원생!$A437,수납!$D:$D,IF(원생!$G437="","",원생!$G437),수납!$B:$B,$B$1&amp;"-"&amp;TEXT(8,"00")&amp;"*",수납!$E:$E,""))</f>
        <v/>
      </c>
      <c r="K439" s="14">
        <f>IF(원생!$A437="","",SUMIFS(수납!$F:$F,수납!$C:$C,원생!$A437,수납!$D:$D,IF(원생!$G437="","",원생!$G437),수납!$B:$B,$B$1&amp;"-"&amp;TEXT(9,"00")&amp;"*",수납!$E:$E,"수강료")+SUMIFS(수납!$F:$F,수납!$C:$C,원생!$A437,수납!$D:$D,IF(원생!$G437="","",원생!$G437),수납!$B:$B,$B$1&amp;"-"&amp;TEXT(9,"00")&amp;"*",수납!$E:$E,""))</f>
        <v/>
      </c>
      <c r="L439" s="14">
        <f>IF(원생!$A437="","",SUMIFS(수납!$F:$F,수납!$C:$C,원생!$A437,수납!$D:$D,IF(원생!$G437="","",원생!$G437),수납!$B:$B,$B$1&amp;"-"&amp;TEXT(10,"00")&amp;"*",수납!$E:$E,"수강료")+SUMIFS(수납!$F:$F,수납!$C:$C,원생!$A437,수납!$D:$D,IF(원생!$G437="","",원생!$G437),수납!$B:$B,$B$1&amp;"-"&amp;TEXT(10,"00")&amp;"*",수납!$E:$E,""))</f>
        <v/>
      </c>
      <c r="M439" s="14">
        <f>IF(원생!$A437="","",SUMIFS(수납!$F:$F,수납!$C:$C,원생!$A437,수납!$D:$D,IF(원생!$G437="","",원생!$G437),수납!$B:$B,$B$1&amp;"-"&amp;TEXT(11,"00")&amp;"*",수납!$E:$E,"수강료")+SUMIFS(수납!$F:$F,수납!$C:$C,원생!$A437,수납!$D:$D,IF(원생!$G437="","",원생!$G437),수납!$B:$B,$B$1&amp;"-"&amp;TEXT(11,"00")&amp;"*",수납!$E:$E,""))</f>
        <v/>
      </c>
      <c r="N439" s="14">
        <f>IF(원생!$A437="","",SUMIFS(수납!$F:$F,수납!$C:$C,원생!$A437,수납!$D:$D,IF(원생!$G437="","",원생!$G437),수납!$B:$B,$B$1&amp;"-"&amp;TEXT(12,"00")&amp;"*",수납!$E:$E,"수강료")+SUMIFS(수납!$F:$F,수납!$C:$C,원생!$A437,수납!$D:$D,IF(원생!$G437="","",원생!$G437),수납!$B:$B,$B$1&amp;"-"&amp;TEXT(12,"00")&amp;"*",수납!$E:$E,""))</f>
        <v/>
      </c>
      <c r="O439">
        <f>IF(원생!$I437="","",원생!$I437)</f>
        <v/>
      </c>
      <c r="P439">
        <f>IF($A439="","",IF(AND($B439&gt;0,C439&lt;$B439,DATE($B$1,1,1)&lt;=TODAY(),OR($O439="",$O439&gt;=DATE($B$1,1,1)),OR(COUNTIF($C439:C439,"&gt;0")&gt;0,DATE($B$1,1,1)=DATE(YEAR(TODAY()),MONTH(TODAY()),1))),1,0))</f>
        <v/>
      </c>
      <c r="Q439">
        <f>IF($A439="","",IF(AND($B439&gt;0,D439&lt;$B439,DATE($B$1,2,1)&lt;=TODAY(),OR($O439="",$O439&gt;=DATE($B$1,2,1)),OR(COUNTIF($C439:D439,"&gt;0")&gt;0,DATE($B$1,2,1)=DATE(YEAR(TODAY()),MONTH(TODAY()),1))),1,0))</f>
        <v/>
      </c>
      <c r="R439">
        <f>IF($A439="","",IF(AND($B439&gt;0,E439&lt;$B439,DATE($B$1,3,1)&lt;=TODAY(),OR($O439="",$O439&gt;=DATE($B$1,3,1)),OR(COUNTIF($C439:E439,"&gt;0")&gt;0,DATE($B$1,3,1)=DATE(YEAR(TODAY()),MONTH(TODAY()),1))),1,0))</f>
        <v/>
      </c>
      <c r="S439">
        <f>IF($A439="","",IF(AND($B439&gt;0,F439&lt;$B439,DATE($B$1,4,1)&lt;=TODAY(),OR($O439="",$O439&gt;=DATE($B$1,4,1)),OR(COUNTIF($C439:F439,"&gt;0")&gt;0,DATE($B$1,4,1)=DATE(YEAR(TODAY()),MONTH(TODAY()),1))),1,0))</f>
        <v/>
      </c>
      <c r="T439">
        <f>IF($A439="","",IF(AND($B439&gt;0,G439&lt;$B439,DATE($B$1,5,1)&lt;=TODAY(),OR($O439="",$O439&gt;=DATE($B$1,5,1)),OR(COUNTIF($C439:G439,"&gt;0")&gt;0,DATE($B$1,5,1)=DATE(YEAR(TODAY()),MONTH(TODAY()),1))),1,0))</f>
        <v/>
      </c>
      <c r="U439">
        <f>IF($A439="","",IF(AND($B439&gt;0,H439&lt;$B439,DATE($B$1,6,1)&lt;=TODAY(),OR($O439="",$O439&gt;=DATE($B$1,6,1)),OR(COUNTIF($C439:H439,"&gt;0")&gt;0,DATE($B$1,6,1)=DATE(YEAR(TODAY()),MONTH(TODAY()),1))),1,0))</f>
        <v/>
      </c>
      <c r="V439">
        <f>IF($A439="","",IF(AND($B439&gt;0,I439&lt;$B439,DATE($B$1,7,1)&lt;=TODAY(),OR($O439="",$O439&gt;=DATE($B$1,7,1)),OR(COUNTIF($C439:I439,"&gt;0")&gt;0,DATE($B$1,7,1)=DATE(YEAR(TODAY()),MONTH(TODAY()),1))),1,0))</f>
        <v/>
      </c>
      <c r="W439">
        <f>IF($A439="","",IF(AND($B439&gt;0,J439&lt;$B439,DATE($B$1,8,1)&lt;=TODAY(),OR($O439="",$O439&gt;=DATE($B$1,8,1)),OR(COUNTIF($C439:J439,"&gt;0")&gt;0,DATE($B$1,8,1)=DATE(YEAR(TODAY()),MONTH(TODAY()),1))),1,0))</f>
        <v/>
      </c>
      <c r="X439">
        <f>IF($A439="","",IF(AND($B439&gt;0,K439&lt;$B439,DATE($B$1,9,1)&lt;=TODAY(),OR($O439="",$O439&gt;=DATE($B$1,9,1)),OR(COUNTIF($C439:K439,"&gt;0")&gt;0,DATE($B$1,9,1)=DATE(YEAR(TODAY()),MONTH(TODAY()),1))),1,0))</f>
        <v/>
      </c>
      <c r="Y439">
        <f>IF($A439="","",IF(AND($B439&gt;0,L439&lt;$B439,DATE($B$1,10,1)&lt;=TODAY(),OR($O439="",$O439&gt;=DATE($B$1,10,1)),OR(COUNTIF($C439:L439,"&gt;0")&gt;0,DATE($B$1,10,1)=DATE(YEAR(TODAY()),MONTH(TODAY()),1))),1,0))</f>
        <v/>
      </c>
      <c r="Z439">
        <f>IF($A439="","",IF(AND($B439&gt;0,M439&lt;$B439,DATE($B$1,11,1)&lt;=TODAY(),OR($O439="",$O439&gt;=DATE($B$1,11,1)),OR(COUNTIF($C439:M439,"&gt;0")&gt;0,DATE($B$1,11,1)=DATE(YEAR(TODAY()),MONTH(TODAY()),1))),1,0))</f>
        <v/>
      </c>
      <c r="AA439">
        <f>IF($A439="","",IF(AND($B439&gt;0,N439&lt;$B439,DATE($B$1,12,1)&lt;=TODAY(),OR($O439="",$O439&gt;=DATE($B$1,12,1)),OR(COUNTIF($C439:N439,"&gt;0")&gt;0,DATE($B$1,12,1)=DATE(YEAR(TODAY()),MONTH(TODAY()),1))),1,0))</f>
        <v/>
      </c>
    </row>
    <row r="440">
      <c r="A440" s="13">
        <f>IF(원생!$A438="","",원생!$A438&amp;IF(원생!$G438="",""," ("&amp;원생!$G438&amp;")"))</f>
        <v/>
      </c>
      <c r="B440" s="8">
        <f>IF(원생!$A438="","",원생!$F438)</f>
        <v/>
      </c>
      <c r="C440" s="14">
        <f>IF(원생!$A438="","",SUMIFS(수납!$F:$F,수납!$C:$C,원생!$A438,수납!$D:$D,IF(원생!$G438="","",원생!$G438),수납!$B:$B,$B$1&amp;"-"&amp;TEXT(1,"00")&amp;"*",수납!$E:$E,"수강료")+SUMIFS(수납!$F:$F,수납!$C:$C,원생!$A438,수납!$D:$D,IF(원생!$G438="","",원생!$G438),수납!$B:$B,$B$1&amp;"-"&amp;TEXT(1,"00")&amp;"*",수납!$E:$E,""))</f>
        <v/>
      </c>
      <c r="D440" s="14">
        <f>IF(원생!$A438="","",SUMIFS(수납!$F:$F,수납!$C:$C,원생!$A438,수납!$D:$D,IF(원생!$G438="","",원생!$G438),수납!$B:$B,$B$1&amp;"-"&amp;TEXT(2,"00")&amp;"*",수납!$E:$E,"수강료")+SUMIFS(수납!$F:$F,수납!$C:$C,원생!$A438,수납!$D:$D,IF(원생!$G438="","",원생!$G438),수납!$B:$B,$B$1&amp;"-"&amp;TEXT(2,"00")&amp;"*",수납!$E:$E,""))</f>
        <v/>
      </c>
      <c r="E440" s="14">
        <f>IF(원생!$A438="","",SUMIFS(수납!$F:$F,수납!$C:$C,원생!$A438,수납!$D:$D,IF(원생!$G438="","",원생!$G438),수납!$B:$B,$B$1&amp;"-"&amp;TEXT(3,"00")&amp;"*",수납!$E:$E,"수강료")+SUMIFS(수납!$F:$F,수납!$C:$C,원생!$A438,수납!$D:$D,IF(원생!$G438="","",원생!$G438),수납!$B:$B,$B$1&amp;"-"&amp;TEXT(3,"00")&amp;"*",수납!$E:$E,""))</f>
        <v/>
      </c>
      <c r="F440" s="14">
        <f>IF(원생!$A438="","",SUMIFS(수납!$F:$F,수납!$C:$C,원생!$A438,수납!$D:$D,IF(원생!$G438="","",원생!$G438),수납!$B:$B,$B$1&amp;"-"&amp;TEXT(4,"00")&amp;"*",수납!$E:$E,"수강료")+SUMIFS(수납!$F:$F,수납!$C:$C,원생!$A438,수납!$D:$D,IF(원생!$G438="","",원생!$G438),수납!$B:$B,$B$1&amp;"-"&amp;TEXT(4,"00")&amp;"*",수납!$E:$E,""))</f>
        <v/>
      </c>
      <c r="G440" s="14">
        <f>IF(원생!$A438="","",SUMIFS(수납!$F:$F,수납!$C:$C,원생!$A438,수납!$D:$D,IF(원생!$G438="","",원생!$G438),수납!$B:$B,$B$1&amp;"-"&amp;TEXT(5,"00")&amp;"*",수납!$E:$E,"수강료")+SUMIFS(수납!$F:$F,수납!$C:$C,원생!$A438,수납!$D:$D,IF(원생!$G438="","",원생!$G438),수납!$B:$B,$B$1&amp;"-"&amp;TEXT(5,"00")&amp;"*",수납!$E:$E,""))</f>
        <v/>
      </c>
      <c r="H440" s="14">
        <f>IF(원생!$A438="","",SUMIFS(수납!$F:$F,수납!$C:$C,원생!$A438,수납!$D:$D,IF(원생!$G438="","",원생!$G438),수납!$B:$B,$B$1&amp;"-"&amp;TEXT(6,"00")&amp;"*",수납!$E:$E,"수강료")+SUMIFS(수납!$F:$F,수납!$C:$C,원생!$A438,수납!$D:$D,IF(원생!$G438="","",원생!$G438),수납!$B:$B,$B$1&amp;"-"&amp;TEXT(6,"00")&amp;"*",수납!$E:$E,""))</f>
        <v/>
      </c>
      <c r="I440" s="14">
        <f>IF(원생!$A438="","",SUMIFS(수납!$F:$F,수납!$C:$C,원생!$A438,수납!$D:$D,IF(원생!$G438="","",원생!$G438),수납!$B:$B,$B$1&amp;"-"&amp;TEXT(7,"00")&amp;"*",수납!$E:$E,"수강료")+SUMIFS(수납!$F:$F,수납!$C:$C,원생!$A438,수납!$D:$D,IF(원생!$G438="","",원생!$G438),수납!$B:$B,$B$1&amp;"-"&amp;TEXT(7,"00")&amp;"*",수납!$E:$E,""))</f>
        <v/>
      </c>
      <c r="J440" s="14">
        <f>IF(원생!$A438="","",SUMIFS(수납!$F:$F,수납!$C:$C,원생!$A438,수납!$D:$D,IF(원생!$G438="","",원생!$G438),수납!$B:$B,$B$1&amp;"-"&amp;TEXT(8,"00")&amp;"*",수납!$E:$E,"수강료")+SUMIFS(수납!$F:$F,수납!$C:$C,원생!$A438,수납!$D:$D,IF(원생!$G438="","",원생!$G438),수납!$B:$B,$B$1&amp;"-"&amp;TEXT(8,"00")&amp;"*",수납!$E:$E,""))</f>
        <v/>
      </c>
      <c r="K440" s="14">
        <f>IF(원생!$A438="","",SUMIFS(수납!$F:$F,수납!$C:$C,원생!$A438,수납!$D:$D,IF(원생!$G438="","",원생!$G438),수납!$B:$B,$B$1&amp;"-"&amp;TEXT(9,"00")&amp;"*",수납!$E:$E,"수강료")+SUMIFS(수납!$F:$F,수납!$C:$C,원생!$A438,수납!$D:$D,IF(원생!$G438="","",원생!$G438),수납!$B:$B,$B$1&amp;"-"&amp;TEXT(9,"00")&amp;"*",수납!$E:$E,""))</f>
        <v/>
      </c>
      <c r="L440" s="14">
        <f>IF(원생!$A438="","",SUMIFS(수납!$F:$F,수납!$C:$C,원생!$A438,수납!$D:$D,IF(원생!$G438="","",원생!$G438),수납!$B:$B,$B$1&amp;"-"&amp;TEXT(10,"00")&amp;"*",수납!$E:$E,"수강료")+SUMIFS(수납!$F:$F,수납!$C:$C,원생!$A438,수납!$D:$D,IF(원생!$G438="","",원생!$G438),수납!$B:$B,$B$1&amp;"-"&amp;TEXT(10,"00")&amp;"*",수납!$E:$E,""))</f>
        <v/>
      </c>
      <c r="M440" s="14">
        <f>IF(원생!$A438="","",SUMIFS(수납!$F:$F,수납!$C:$C,원생!$A438,수납!$D:$D,IF(원생!$G438="","",원생!$G438),수납!$B:$B,$B$1&amp;"-"&amp;TEXT(11,"00")&amp;"*",수납!$E:$E,"수강료")+SUMIFS(수납!$F:$F,수납!$C:$C,원생!$A438,수납!$D:$D,IF(원생!$G438="","",원생!$G438),수납!$B:$B,$B$1&amp;"-"&amp;TEXT(11,"00")&amp;"*",수납!$E:$E,""))</f>
        <v/>
      </c>
      <c r="N440" s="14">
        <f>IF(원생!$A438="","",SUMIFS(수납!$F:$F,수납!$C:$C,원생!$A438,수납!$D:$D,IF(원생!$G438="","",원생!$G438),수납!$B:$B,$B$1&amp;"-"&amp;TEXT(12,"00")&amp;"*",수납!$E:$E,"수강료")+SUMIFS(수납!$F:$F,수납!$C:$C,원생!$A438,수납!$D:$D,IF(원생!$G438="","",원생!$G438),수납!$B:$B,$B$1&amp;"-"&amp;TEXT(12,"00")&amp;"*",수납!$E:$E,""))</f>
        <v/>
      </c>
      <c r="O440">
        <f>IF(원생!$I438="","",원생!$I438)</f>
        <v/>
      </c>
      <c r="P440">
        <f>IF($A440="","",IF(AND($B440&gt;0,C440&lt;$B440,DATE($B$1,1,1)&lt;=TODAY(),OR($O440="",$O440&gt;=DATE($B$1,1,1)),OR(COUNTIF($C440:C440,"&gt;0")&gt;0,DATE($B$1,1,1)=DATE(YEAR(TODAY()),MONTH(TODAY()),1))),1,0))</f>
        <v/>
      </c>
      <c r="Q440">
        <f>IF($A440="","",IF(AND($B440&gt;0,D440&lt;$B440,DATE($B$1,2,1)&lt;=TODAY(),OR($O440="",$O440&gt;=DATE($B$1,2,1)),OR(COUNTIF($C440:D440,"&gt;0")&gt;0,DATE($B$1,2,1)=DATE(YEAR(TODAY()),MONTH(TODAY()),1))),1,0))</f>
        <v/>
      </c>
      <c r="R440">
        <f>IF($A440="","",IF(AND($B440&gt;0,E440&lt;$B440,DATE($B$1,3,1)&lt;=TODAY(),OR($O440="",$O440&gt;=DATE($B$1,3,1)),OR(COUNTIF($C440:E440,"&gt;0")&gt;0,DATE($B$1,3,1)=DATE(YEAR(TODAY()),MONTH(TODAY()),1))),1,0))</f>
        <v/>
      </c>
      <c r="S440">
        <f>IF($A440="","",IF(AND($B440&gt;0,F440&lt;$B440,DATE($B$1,4,1)&lt;=TODAY(),OR($O440="",$O440&gt;=DATE($B$1,4,1)),OR(COUNTIF($C440:F440,"&gt;0")&gt;0,DATE($B$1,4,1)=DATE(YEAR(TODAY()),MONTH(TODAY()),1))),1,0))</f>
        <v/>
      </c>
      <c r="T440">
        <f>IF($A440="","",IF(AND($B440&gt;0,G440&lt;$B440,DATE($B$1,5,1)&lt;=TODAY(),OR($O440="",$O440&gt;=DATE($B$1,5,1)),OR(COUNTIF($C440:G440,"&gt;0")&gt;0,DATE($B$1,5,1)=DATE(YEAR(TODAY()),MONTH(TODAY()),1))),1,0))</f>
        <v/>
      </c>
      <c r="U440">
        <f>IF($A440="","",IF(AND($B440&gt;0,H440&lt;$B440,DATE($B$1,6,1)&lt;=TODAY(),OR($O440="",$O440&gt;=DATE($B$1,6,1)),OR(COUNTIF($C440:H440,"&gt;0")&gt;0,DATE($B$1,6,1)=DATE(YEAR(TODAY()),MONTH(TODAY()),1))),1,0))</f>
        <v/>
      </c>
      <c r="V440">
        <f>IF($A440="","",IF(AND($B440&gt;0,I440&lt;$B440,DATE($B$1,7,1)&lt;=TODAY(),OR($O440="",$O440&gt;=DATE($B$1,7,1)),OR(COUNTIF($C440:I440,"&gt;0")&gt;0,DATE($B$1,7,1)=DATE(YEAR(TODAY()),MONTH(TODAY()),1))),1,0))</f>
        <v/>
      </c>
      <c r="W440">
        <f>IF($A440="","",IF(AND($B440&gt;0,J440&lt;$B440,DATE($B$1,8,1)&lt;=TODAY(),OR($O440="",$O440&gt;=DATE($B$1,8,1)),OR(COUNTIF($C440:J440,"&gt;0")&gt;0,DATE($B$1,8,1)=DATE(YEAR(TODAY()),MONTH(TODAY()),1))),1,0))</f>
        <v/>
      </c>
      <c r="X440">
        <f>IF($A440="","",IF(AND($B440&gt;0,K440&lt;$B440,DATE($B$1,9,1)&lt;=TODAY(),OR($O440="",$O440&gt;=DATE($B$1,9,1)),OR(COUNTIF($C440:K440,"&gt;0")&gt;0,DATE($B$1,9,1)=DATE(YEAR(TODAY()),MONTH(TODAY()),1))),1,0))</f>
        <v/>
      </c>
      <c r="Y440">
        <f>IF($A440="","",IF(AND($B440&gt;0,L440&lt;$B440,DATE($B$1,10,1)&lt;=TODAY(),OR($O440="",$O440&gt;=DATE($B$1,10,1)),OR(COUNTIF($C440:L440,"&gt;0")&gt;0,DATE($B$1,10,1)=DATE(YEAR(TODAY()),MONTH(TODAY()),1))),1,0))</f>
        <v/>
      </c>
      <c r="Z440">
        <f>IF($A440="","",IF(AND($B440&gt;0,M440&lt;$B440,DATE($B$1,11,1)&lt;=TODAY(),OR($O440="",$O440&gt;=DATE($B$1,11,1)),OR(COUNTIF($C440:M440,"&gt;0")&gt;0,DATE($B$1,11,1)=DATE(YEAR(TODAY()),MONTH(TODAY()),1))),1,0))</f>
        <v/>
      </c>
      <c r="AA440">
        <f>IF($A440="","",IF(AND($B440&gt;0,N440&lt;$B440,DATE($B$1,12,1)&lt;=TODAY(),OR($O440="",$O440&gt;=DATE($B$1,12,1)),OR(COUNTIF($C440:N440,"&gt;0")&gt;0,DATE($B$1,12,1)=DATE(YEAR(TODAY()),MONTH(TODAY()),1))),1,0))</f>
        <v/>
      </c>
    </row>
    <row r="441">
      <c r="A441" s="13">
        <f>IF(원생!$A439="","",원생!$A439&amp;IF(원생!$G439="",""," ("&amp;원생!$G439&amp;")"))</f>
        <v/>
      </c>
      <c r="B441" s="8">
        <f>IF(원생!$A439="","",원생!$F439)</f>
        <v/>
      </c>
      <c r="C441" s="14">
        <f>IF(원생!$A439="","",SUMIFS(수납!$F:$F,수납!$C:$C,원생!$A439,수납!$D:$D,IF(원생!$G439="","",원생!$G439),수납!$B:$B,$B$1&amp;"-"&amp;TEXT(1,"00")&amp;"*",수납!$E:$E,"수강료")+SUMIFS(수납!$F:$F,수납!$C:$C,원생!$A439,수납!$D:$D,IF(원생!$G439="","",원생!$G439),수납!$B:$B,$B$1&amp;"-"&amp;TEXT(1,"00")&amp;"*",수납!$E:$E,""))</f>
        <v/>
      </c>
      <c r="D441" s="14">
        <f>IF(원생!$A439="","",SUMIFS(수납!$F:$F,수납!$C:$C,원생!$A439,수납!$D:$D,IF(원생!$G439="","",원생!$G439),수납!$B:$B,$B$1&amp;"-"&amp;TEXT(2,"00")&amp;"*",수납!$E:$E,"수강료")+SUMIFS(수납!$F:$F,수납!$C:$C,원생!$A439,수납!$D:$D,IF(원생!$G439="","",원생!$G439),수납!$B:$B,$B$1&amp;"-"&amp;TEXT(2,"00")&amp;"*",수납!$E:$E,""))</f>
        <v/>
      </c>
      <c r="E441" s="14">
        <f>IF(원생!$A439="","",SUMIFS(수납!$F:$F,수납!$C:$C,원생!$A439,수납!$D:$D,IF(원생!$G439="","",원생!$G439),수납!$B:$B,$B$1&amp;"-"&amp;TEXT(3,"00")&amp;"*",수납!$E:$E,"수강료")+SUMIFS(수납!$F:$F,수납!$C:$C,원생!$A439,수납!$D:$D,IF(원생!$G439="","",원생!$G439),수납!$B:$B,$B$1&amp;"-"&amp;TEXT(3,"00")&amp;"*",수납!$E:$E,""))</f>
        <v/>
      </c>
      <c r="F441" s="14">
        <f>IF(원생!$A439="","",SUMIFS(수납!$F:$F,수납!$C:$C,원생!$A439,수납!$D:$D,IF(원생!$G439="","",원생!$G439),수납!$B:$B,$B$1&amp;"-"&amp;TEXT(4,"00")&amp;"*",수납!$E:$E,"수강료")+SUMIFS(수납!$F:$F,수납!$C:$C,원생!$A439,수납!$D:$D,IF(원생!$G439="","",원생!$G439),수납!$B:$B,$B$1&amp;"-"&amp;TEXT(4,"00")&amp;"*",수납!$E:$E,""))</f>
        <v/>
      </c>
      <c r="G441" s="14">
        <f>IF(원생!$A439="","",SUMIFS(수납!$F:$F,수납!$C:$C,원생!$A439,수납!$D:$D,IF(원생!$G439="","",원생!$G439),수납!$B:$B,$B$1&amp;"-"&amp;TEXT(5,"00")&amp;"*",수납!$E:$E,"수강료")+SUMIFS(수납!$F:$F,수납!$C:$C,원생!$A439,수납!$D:$D,IF(원생!$G439="","",원생!$G439),수납!$B:$B,$B$1&amp;"-"&amp;TEXT(5,"00")&amp;"*",수납!$E:$E,""))</f>
        <v/>
      </c>
      <c r="H441" s="14">
        <f>IF(원생!$A439="","",SUMIFS(수납!$F:$F,수납!$C:$C,원생!$A439,수납!$D:$D,IF(원생!$G439="","",원생!$G439),수납!$B:$B,$B$1&amp;"-"&amp;TEXT(6,"00")&amp;"*",수납!$E:$E,"수강료")+SUMIFS(수납!$F:$F,수납!$C:$C,원생!$A439,수납!$D:$D,IF(원생!$G439="","",원생!$G439),수납!$B:$B,$B$1&amp;"-"&amp;TEXT(6,"00")&amp;"*",수납!$E:$E,""))</f>
        <v/>
      </c>
      <c r="I441" s="14">
        <f>IF(원생!$A439="","",SUMIFS(수납!$F:$F,수납!$C:$C,원생!$A439,수납!$D:$D,IF(원생!$G439="","",원생!$G439),수납!$B:$B,$B$1&amp;"-"&amp;TEXT(7,"00")&amp;"*",수납!$E:$E,"수강료")+SUMIFS(수납!$F:$F,수납!$C:$C,원생!$A439,수납!$D:$D,IF(원생!$G439="","",원생!$G439),수납!$B:$B,$B$1&amp;"-"&amp;TEXT(7,"00")&amp;"*",수납!$E:$E,""))</f>
        <v/>
      </c>
      <c r="J441" s="14">
        <f>IF(원생!$A439="","",SUMIFS(수납!$F:$F,수납!$C:$C,원생!$A439,수납!$D:$D,IF(원생!$G439="","",원생!$G439),수납!$B:$B,$B$1&amp;"-"&amp;TEXT(8,"00")&amp;"*",수납!$E:$E,"수강료")+SUMIFS(수납!$F:$F,수납!$C:$C,원생!$A439,수납!$D:$D,IF(원생!$G439="","",원생!$G439),수납!$B:$B,$B$1&amp;"-"&amp;TEXT(8,"00")&amp;"*",수납!$E:$E,""))</f>
        <v/>
      </c>
      <c r="K441" s="14">
        <f>IF(원생!$A439="","",SUMIFS(수납!$F:$F,수납!$C:$C,원생!$A439,수납!$D:$D,IF(원생!$G439="","",원생!$G439),수납!$B:$B,$B$1&amp;"-"&amp;TEXT(9,"00")&amp;"*",수납!$E:$E,"수강료")+SUMIFS(수납!$F:$F,수납!$C:$C,원생!$A439,수납!$D:$D,IF(원생!$G439="","",원생!$G439),수납!$B:$B,$B$1&amp;"-"&amp;TEXT(9,"00")&amp;"*",수납!$E:$E,""))</f>
        <v/>
      </c>
      <c r="L441" s="14">
        <f>IF(원생!$A439="","",SUMIFS(수납!$F:$F,수납!$C:$C,원생!$A439,수납!$D:$D,IF(원생!$G439="","",원생!$G439),수납!$B:$B,$B$1&amp;"-"&amp;TEXT(10,"00")&amp;"*",수납!$E:$E,"수강료")+SUMIFS(수납!$F:$F,수납!$C:$C,원생!$A439,수납!$D:$D,IF(원생!$G439="","",원생!$G439),수납!$B:$B,$B$1&amp;"-"&amp;TEXT(10,"00")&amp;"*",수납!$E:$E,""))</f>
        <v/>
      </c>
      <c r="M441" s="14">
        <f>IF(원생!$A439="","",SUMIFS(수납!$F:$F,수납!$C:$C,원생!$A439,수납!$D:$D,IF(원생!$G439="","",원생!$G439),수납!$B:$B,$B$1&amp;"-"&amp;TEXT(11,"00")&amp;"*",수납!$E:$E,"수강료")+SUMIFS(수납!$F:$F,수납!$C:$C,원생!$A439,수납!$D:$D,IF(원생!$G439="","",원생!$G439),수납!$B:$B,$B$1&amp;"-"&amp;TEXT(11,"00")&amp;"*",수납!$E:$E,""))</f>
        <v/>
      </c>
      <c r="N441" s="14">
        <f>IF(원생!$A439="","",SUMIFS(수납!$F:$F,수납!$C:$C,원생!$A439,수납!$D:$D,IF(원생!$G439="","",원생!$G439),수납!$B:$B,$B$1&amp;"-"&amp;TEXT(12,"00")&amp;"*",수납!$E:$E,"수강료")+SUMIFS(수납!$F:$F,수납!$C:$C,원생!$A439,수납!$D:$D,IF(원생!$G439="","",원생!$G439),수납!$B:$B,$B$1&amp;"-"&amp;TEXT(12,"00")&amp;"*",수납!$E:$E,""))</f>
        <v/>
      </c>
      <c r="O441">
        <f>IF(원생!$I439="","",원생!$I439)</f>
        <v/>
      </c>
      <c r="P441">
        <f>IF($A441="","",IF(AND($B441&gt;0,C441&lt;$B441,DATE($B$1,1,1)&lt;=TODAY(),OR($O441="",$O441&gt;=DATE($B$1,1,1)),OR(COUNTIF($C441:C441,"&gt;0")&gt;0,DATE($B$1,1,1)=DATE(YEAR(TODAY()),MONTH(TODAY()),1))),1,0))</f>
        <v/>
      </c>
      <c r="Q441">
        <f>IF($A441="","",IF(AND($B441&gt;0,D441&lt;$B441,DATE($B$1,2,1)&lt;=TODAY(),OR($O441="",$O441&gt;=DATE($B$1,2,1)),OR(COUNTIF($C441:D441,"&gt;0")&gt;0,DATE($B$1,2,1)=DATE(YEAR(TODAY()),MONTH(TODAY()),1))),1,0))</f>
        <v/>
      </c>
      <c r="R441">
        <f>IF($A441="","",IF(AND($B441&gt;0,E441&lt;$B441,DATE($B$1,3,1)&lt;=TODAY(),OR($O441="",$O441&gt;=DATE($B$1,3,1)),OR(COUNTIF($C441:E441,"&gt;0")&gt;0,DATE($B$1,3,1)=DATE(YEAR(TODAY()),MONTH(TODAY()),1))),1,0))</f>
        <v/>
      </c>
      <c r="S441">
        <f>IF($A441="","",IF(AND($B441&gt;0,F441&lt;$B441,DATE($B$1,4,1)&lt;=TODAY(),OR($O441="",$O441&gt;=DATE($B$1,4,1)),OR(COUNTIF($C441:F441,"&gt;0")&gt;0,DATE($B$1,4,1)=DATE(YEAR(TODAY()),MONTH(TODAY()),1))),1,0))</f>
        <v/>
      </c>
      <c r="T441">
        <f>IF($A441="","",IF(AND($B441&gt;0,G441&lt;$B441,DATE($B$1,5,1)&lt;=TODAY(),OR($O441="",$O441&gt;=DATE($B$1,5,1)),OR(COUNTIF($C441:G441,"&gt;0")&gt;0,DATE($B$1,5,1)=DATE(YEAR(TODAY()),MONTH(TODAY()),1))),1,0))</f>
        <v/>
      </c>
      <c r="U441">
        <f>IF($A441="","",IF(AND($B441&gt;0,H441&lt;$B441,DATE($B$1,6,1)&lt;=TODAY(),OR($O441="",$O441&gt;=DATE($B$1,6,1)),OR(COUNTIF($C441:H441,"&gt;0")&gt;0,DATE($B$1,6,1)=DATE(YEAR(TODAY()),MONTH(TODAY()),1))),1,0))</f>
        <v/>
      </c>
      <c r="V441">
        <f>IF($A441="","",IF(AND($B441&gt;0,I441&lt;$B441,DATE($B$1,7,1)&lt;=TODAY(),OR($O441="",$O441&gt;=DATE($B$1,7,1)),OR(COUNTIF($C441:I441,"&gt;0")&gt;0,DATE($B$1,7,1)=DATE(YEAR(TODAY()),MONTH(TODAY()),1))),1,0))</f>
        <v/>
      </c>
      <c r="W441">
        <f>IF($A441="","",IF(AND($B441&gt;0,J441&lt;$B441,DATE($B$1,8,1)&lt;=TODAY(),OR($O441="",$O441&gt;=DATE($B$1,8,1)),OR(COUNTIF($C441:J441,"&gt;0")&gt;0,DATE($B$1,8,1)=DATE(YEAR(TODAY()),MONTH(TODAY()),1))),1,0))</f>
        <v/>
      </c>
      <c r="X441">
        <f>IF($A441="","",IF(AND($B441&gt;0,K441&lt;$B441,DATE($B$1,9,1)&lt;=TODAY(),OR($O441="",$O441&gt;=DATE($B$1,9,1)),OR(COUNTIF($C441:K441,"&gt;0")&gt;0,DATE($B$1,9,1)=DATE(YEAR(TODAY()),MONTH(TODAY()),1))),1,0))</f>
        <v/>
      </c>
      <c r="Y441">
        <f>IF($A441="","",IF(AND($B441&gt;0,L441&lt;$B441,DATE($B$1,10,1)&lt;=TODAY(),OR($O441="",$O441&gt;=DATE($B$1,10,1)),OR(COUNTIF($C441:L441,"&gt;0")&gt;0,DATE($B$1,10,1)=DATE(YEAR(TODAY()),MONTH(TODAY()),1))),1,0))</f>
        <v/>
      </c>
      <c r="Z441">
        <f>IF($A441="","",IF(AND($B441&gt;0,M441&lt;$B441,DATE($B$1,11,1)&lt;=TODAY(),OR($O441="",$O441&gt;=DATE($B$1,11,1)),OR(COUNTIF($C441:M441,"&gt;0")&gt;0,DATE($B$1,11,1)=DATE(YEAR(TODAY()),MONTH(TODAY()),1))),1,0))</f>
        <v/>
      </c>
      <c r="AA441">
        <f>IF($A441="","",IF(AND($B441&gt;0,N441&lt;$B441,DATE($B$1,12,1)&lt;=TODAY(),OR($O441="",$O441&gt;=DATE($B$1,12,1)),OR(COUNTIF($C441:N441,"&gt;0")&gt;0,DATE($B$1,12,1)=DATE(YEAR(TODAY()),MONTH(TODAY()),1))),1,0))</f>
        <v/>
      </c>
    </row>
    <row r="442">
      <c r="A442" s="13">
        <f>IF(원생!$A440="","",원생!$A440&amp;IF(원생!$G440="",""," ("&amp;원생!$G440&amp;")"))</f>
        <v/>
      </c>
      <c r="B442" s="8">
        <f>IF(원생!$A440="","",원생!$F440)</f>
        <v/>
      </c>
      <c r="C442" s="14">
        <f>IF(원생!$A440="","",SUMIFS(수납!$F:$F,수납!$C:$C,원생!$A440,수납!$D:$D,IF(원생!$G440="","",원생!$G440),수납!$B:$B,$B$1&amp;"-"&amp;TEXT(1,"00")&amp;"*",수납!$E:$E,"수강료")+SUMIFS(수납!$F:$F,수납!$C:$C,원생!$A440,수납!$D:$D,IF(원생!$G440="","",원생!$G440),수납!$B:$B,$B$1&amp;"-"&amp;TEXT(1,"00")&amp;"*",수납!$E:$E,""))</f>
        <v/>
      </c>
      <c r="D442" s="14">
        <f>IF(원생!$A440="","",SUMIFS(수납!$F:$F,수납!$C:$C,원생!$A440,수납!$D:$D,IF(원생!$G440="","",원생!$G440),수납!$B:$B,$B$1&amp;"-"&amp;TEXT(2,"00")&amp;"*",수납!$E:$E,"수강료")+SUMIFS(수납!$F:$F,수납!$C:$C,원생!$A440,수납!$D:$D,IF(원생!$G440="","",원생!$G440),수납!$B:$B,$B$1&amp;"-"&amp;TEXT(2,"00")&amp;"*",수납!$E:$E,""))</f>
        <v/>
      </c>
      <c r="E442" s="14">
        <f>IF(원생!$A440="","",SUMIFS(수납!$F:$F,수납!$C:$C,원생!$A440,수납!$D:$D,IF(원생!$G440="","",원생!$G440),수납!$B:$B,$B$1&amp;"-"&amp;TEXT(3,"00")&amp;"*",수납!$E:$E,"수강료")+SUMIFS(수납!$F:$F,수납!$C:$C,원생!$A440,수납!$D:$D,IF(원생!$G440="","",원생!$G440),수납!$B:$B,$B$1&amp;"-"&amp;TEXT(3,"00")&amp;"*",수납!$E:$E,""))</f>
        <v/>
      </c>
      <c r="F442" s="14">
        <f>IF(원생!$A440="","",SUMIFS(수납!$F:$F,수납!$C:$C,원생!$A440,수납!$D:$D,IF(원생!$G440="","",원생!$G440),수납!$B:$B,$B$1&amp;"-"&amp;TEXT(4,"00")&amp;"*",수납!$E:$E,"수강료")+SUMIFS(수납!$F:$F,수납!$C:$C,원생!$A440,수납!$D:$D,IF(원생!$G440="","",원생!$G440),수납!$B:$B,$B$1&amp;"-"&amp;TEXT(4,"00")&amp;"*",수납!$E:$E,""))</f>
        <v/>
      </c>
      <c r="G442" s="14">
        <f>IF(원생!$A440="","",SUMIFS(수납!$F:$F,수납!$C:$C,원생!$A440,수납!$D:$D,IF(원생!$G440="","",원생!$G440),수납!$B:$B,$B$1&amp;"-"&amp;TEXT(5,"00")&amp;"*",수납!$E:$E,"수강료")+SUMIFS(수납!$F:$F,수납!$C:$C,원생!$A440,수납!$D:$D,IF(원생!$G440="","",원생!$G440),수납!$B:$B,$B$1&amp;"-"&amp;TEXT(5,"00")&amp;"*",수납!$E:$E,""))</f>
        <v/>
      </c>
      <c r="H442" s="14">
        <f>IF(원생!$A440="","",SUMIFS(수납!$F:$F,수납!$C:$C,원생!$A440,수납!$D:$D,IF(원생!$G440="","",원생!$G440),수납!$B:$B,$B$1&amp;"-"&amp;TEXT(6,"00")&amp;"*",수납!$E:$E,"수강료")+SUMIFS(수납!$F:$F,수납!$C:$C,원생!$A440,수납!$D:$D,IF(원생!$G440="","",원생!$G440),수납!$B:$B,$B$1&amp;"-"&amp;TEXT(6,"00")&amp;"*",수납!$E:$E,""))</f>
        <v/>
      </c>
      <c r="I442" s="14">
        <f>IF(원생!$A440="","",SUMIFS(수납!$F:$F,수납!$C:$C,원생!$A440,수납!$D:$D,IF(원생!$G440="","",원생!$G440),수납!$B:$B,$B$1&amp;"-"&amp;TEXT(7,"00")&amp;"*",수납!$E:$E,"수강료")+SUMIFS(수납!$F:$F,수납!$C:$C,원생!$A440,수납!$D:$D,IF(원생!$G440="","",원생!$G440),수납!$B:$B,$B$1&amp;"-"&amp;TEXT(7,"00")&amp;"*",수납!$E:$E,""))</f>
        <v/>
      </c>
      <c r="J442" s="14">
        <f>IF(원생!$A440="","",SUMIFS(수납!$F:$F,수납!$C:$C,원생!$A440,수납!$D:$D,IF(원생!$G440="","",원생!$G440),수납!$B:$B,$B$1&amp;"-"&amp;TEXT(8,"00")&amp;"*",수납!$E:$E,"수강료")+SUMIFS(수납!$F:$F,수납!$C:$C,원생!$A440,수납!$D:$D,IF(원생!$G440="","",원생!$G440),수납!$B:$B,$B$1&amp;"-"&amp;TEXT(8,"00")&amp;"*",수납!$E:$E,""))</f>
        <v/>
      </c>
      <c r="K442" s="14">
        <f>IF(원생!$A440="","",SUMIFS(수납!$F:$F,수납!$C:$C,원생!$A440,수납!$D:$D,IF(원생!$G440="","",원생!$G440),수납!$B:$B,$B$1&amp;"-"&amp;TEXT(9,"00")&amp;"*",수납!$E:$E,"수강료")+SUMIFS(수납!$F:$F,수납!$C:$C,원생!$A440,수납!$D:$D,IF(원생!$G440="","",원생!$G440),수납!$B:$B,$B$1&amp;"-"&amp;TEXT(9,"00")&amp;"*",수납!$E:$E,""))</f>
        <v/>
      </c>
      <c r="L442" s="14">
        <f>IF(원생!$A440="","",SUMIFS(수납!$F:$F,수납!$C:$C,원생!$A440,수납!$D:$D,IF(원생!$G440="","",원생!$G440),수납!$B:$B,$B$1&amp;"-"&amp;TEXT(10,"00")&amp;"*",수납!$E:$E,"수강료")+SUMIFS(수납!$F:$F,수납!$C:$C,원생!$A440,수납!$D:$D,IF(원생!$G440="","",원생!$G440),수납!$B:$B,$B$1&amp;"-"&amp;TEXT(10,"00")&amp;"*",수납!$E:$E,""))</f>
        <v/>
      </c>
      <c r="M442" s="14">
        <f>IF(원생!$A440="","",SUMIFS(수납!$F:$F,수납!$C:$C,원생!$A440,수납!$D:$D,IF(원생!$G440="","",원생!$G440),수납!$B:$B,$B$1&amp;"-"&amp;TEXT(11,"00")&amp;"*",수납!$E:$E,"수강료")+SUMIFS(수납!$F:$F,수납!$C:$C,원생!$A440,수납!$D:$D,IF(원생!$G440="","",원생!$G440),수납!$B:$B,$B$1&amp;"-"&amp;TEXT(11,"00")&amp;"*",수납!$E:$E,""))</f>
        <v/>
      </c>
      <c r="N442" s="14">
        <f>IF(원생!$A440="","",SUMIFS(수납!$F:$F,수납!$C:$C,원생!$A440,수납!$D:$D,IF(원생!$G440="","",원생!$G440),수납!$B:$B,$B$1&amp;"-"&amp;TEXT(12,"00")&amp;"*",수납!$E:$E,"수강료")+SUMIFS(수납!$F:$F,수납!$C:$C,원생!$A440,수납!$D:$D,IF(원생!$G440="","",원생!$G440),수납!$B:$B,$B$1&amp;"-"&amp;TEXT(12,"00")&amp;"*",수납!$E:$E,""))</f>
        <v/>
      </c>
      <c r="O442">
        <f>IF(원생!$I440="","",원생!$I440)</f>
        <v/>
      </c>
      <c r="P442">
        <f>IF($A442="","",IF(AND($B442&gt;0,C442&lt;$B442,DATE($B$1,1,1)&lt;=TODAY(),OR($O442="",$O442&gt;=DATE($B$1,1,1)),OR(COUNTIF($C442:C442,"&gt;0")&gt;0,DATE($B$1,1,1)=DATE(YEAR(TODAY()),MONTH(TODAY()),1))),1,0))</f>
        <v/>
      </c>
      <c r="Q442">
        <f>IF($A442="","",IF(AND($B442&gt;0,D442&lt;$B442,DATE($B$1,2,1)&lt;=TODAY(),OR($O442="",$O442&gt;=DATE($B$1,2,1)),OR(COUNTIF($C442:D442,"&gt;0")&gt;0,DATE($B$1,2,1)=DATE(YEAR(TODAY()),MONTH(TODAY()),1))),1,0))</f>
        <v/>
      </c>
      <c r="R442">
        <f>IF($A442="","",IF(AND($B442&gt;0,E442&lt;$B442,DATE($B$1,3,1)&lt;=TODAY(),OR($O442="",$O442&gt;=DATE($B$1,3,1)),OR(COUNTIF($C442:E442,"&gt;0")&gt;0,DATE($B$1,3,1)=DATE(YEAR(TODAY()),MONTH(TODAY()),1))),1,0))</f>
        <v/>
      </c>
      <c r="S442">
        <f>IF($A442="","",IF(AND($B442&gt;0,F442&lt;$B442,DATE($B$1,4,1)&lt;=TODAY(),OR($O442="",$O442&gt;=DATE($B$1,4,1)),OR(COUNTIF($C442:F442,"&gt;0")&gt;0,DATE($B$1,4,1)=DATE(YEAR(TODAY()),MONTH(TODAY()),1))),1,0))</f>
        <v/>
      </c>
      <c r="T442">
        <f>IF($A442="","",IF(AND($B442&gt;0,G442&lt;$B442,DATE($B$1,5,1)&lt;=TODAY(),OR($O442="",$O442&gt;=DATE($B$1,5,1)),OR(COUNTIF($C442:G442,"&gt;0")&gt;0,DATE($B$1,5,1)=DATE(YEAR(TODAY()),MONTH(TODAY()),1))),1,0))</f>
        <v/>
      </c>
      <c r="U442">
        <f>IF($A442="","",IF(AND($B442&gt;0,H442&lt;$B442,DATE($B$1,6,1)&lt;=TODAY(),OR($O442="",$O442&gt;=DATE($B$1,6,1)),OR(COUNTIF($C442:H442,"&gt;0")&gt;0,DATE($B$1,6,1)=DATE(YEAR(TODAY()),MONTH(TODAY()),1))),1,0))</f>
        <v/>
      </c>
      <c r="V442">
        <f>IF($A442="","",IF(AND($B442&gt;0,I442&lt;$B442,DATE($B$1,7,1)&lt;=TODAY(),OR($O442="",$O442&gt;=DATE($B$1,7,1)),OR(COUNTIF($C442:I442,"&gt;0")&gt;0,DATE($B$1,7,1)=DATE(YEAR(TODAY()),MONTH(TODAY()),1))),1,0))</f>
        <v/>
      </c>
      <c r="W442">
        <f>IF($A442="","",IF(AND($B442&gt;0,J442&lt;$B442,DATE($B$1,8,1)&lt;=TODAY(),OR($O442="",$O442&gt;=DATE($B$1,8,1)),OR(COUNTIF($C442:J442,"&gt;0")&gt;0,DATE($B$1,8,1)=DATE(YEAR(TODAY()),MONTH(TODAY()),1))),1,0))</f>
        <v/>
      </c>
      <c r="X442">
        <f>IF($A442="","",IF(AND($B442&gt;0,K442&lt;$B442,DATE($B$1,9,1)&lt;=TODAY(),OR($O442="",$O442&gt;=DATE($B$1,9,1)),OR(COUNTIF($C442:K442,"&gt;0")&gt;0,DATE($B$1,9,1)=DATE(YEAR(TODAY()),MONTH(TODAY()),1))),1,0))</f>
        <v/>
      </c>
      <c r="Y442">
        <f>IF($A442="","",IF(AND($B442&gt;0,L442&lt;$B442,DATE($B$1,10,1)&lt;=TODAY(),OR($O442="",$O442&gt;=DATE($B$1,10,1)),OR(COUNTIF($C442:L442,"&gt;0")&gt;0,DATE($B$1,10,1)=DATE(YEAR(TODAY()),MONTH(TODAY()),1))),1,0))</f>
        <v/>
      </c>
      <c r="Z442">
        <f>IF($A442="","",IF(AND($B442&gt;0,M442&lt;$B442,DATE($B$1,11,1)&lt;=TODAY(),OR($O442="",$O442&gt;=DATE($B$1,11,1)),OR(COUNTIF($C442:M442,"&gt;0")&gt;0,DATE($B$1,11,1)=DATE(YEAR(TODAY()),MONTH(TODAY()),1))),1,0))</f>
        <v/>
      </c>
      <c r="AA442">
        <f>IF($A442="","",IF(AND($B442&gt;0,N442&lt;$B442,DATE($B$1,12,1)&lt;=TODAY(),OR($O442="",$O442&gt;=DATE($B$1,12,1)),OR(COUNTIF($C442:N442,"&gt;0")&gt;0,DATE($B$1,12,1)=DATE(YEAR(TODAY()),MONTH(TODAY()),1))),1,0))</f>
        <v/>
      </c>
    </row>
    <row r="443">
      <c r="A443" s="13">
        <f>IF(원생!$A441="","",원생!$A441&amp;IF(원생!$G441="",""," ("&amp;원생!$G441&amp;")"))</f>
        <v/>
      </c>
      <c r="B443" s="8">
        <f>IF(원생!$A441="","",원생!$F441)</f>
        <v/>
      </c>
      <c r="C443" s="14">
        <f>IF(원생!$A441="","",SUMIFS(수납!$F:$F,수납!$C:$C,원생!$A441,수납!$D:$D,IF(원생!$G441="","",원생!$G441),수납!$B:$B,$B$1&amp;"-"&amp;TEXT(1,"00")&amp;"*",수납!$E:$E,"수강료")+SUMIFS(수납!$F:$F,수납!$C:$C,원생!$A441,수납!$D:$D,IF(원생!$G441="","",원생!$G441),수납!$B:$B,$B$1&amp;"-"&amp;TEXT(1,"00")&amp;"*",수납!$E:$E,""))</f>
        <v/>
      </c>
      <c r="D443" s="14">
        <f>IF(원생!$A441="","",SUMIFS(수납!$F:$F,수납!$C:$C,원생!$A441,수납!$D:$D,IF(원생!$G441="","",원생!$G441),수납!$B:$B,$B$1&amp;"-"&amp;TEXT(2,"00")&amp;"*",수납!$E:$E,"수강료")+SUMIFS(수납!$F:$F,수납!$C:$C,원생!$A441,수납!$D:$D,IF(원생!$G441="","",원생!$G441),수납!$B:$B,$B$1&amp;"-"&amp;TEXT(2,"00")&amp;"*",수납!$E:$E,""))</f>
        <v/>
      </c>
      <c r="E443" s="14">
        <f>IF(원생!$A441="","",SUMIFS(수납!$F:$F,수납!$C:$C,원생!$A441,수납!$D:$D,IF(원생!$G441="","",원생!$G441),수납!$B:$B,$B$1&amp;"-"&amp;TEXT(3,"00")&amp;"*",수납!$E:$E,"수강료")+SUMIFS(수납!$F:$F,수납!$C:$C,원생!$A441,수납!$D:$D,IF(원생!$G441="","",원생!$G441),수납!$B:$B,$B$1&amp;"-"&amp;TEXT(3,"00")&amp;"*",수납!$E:$E,""))</f>
        <v/>
      </c>
      <c r="F443" s="14">
        <f>IF(원생!$A441="","",SUMIFS(수납!$F:$F,수납!$C:$C,원생!$A441,수납!$D:$D,IF(원생!$G441="","",원생!$G441),수납!$B:$B,$B$1&amp;"-"&amp;TEXT(4,"00")&amp;"*",수납!$E:$E,"수강료")+SUMIFS(수납!$F:$F,수납!$C:$C,원생!$A441,수납!$D:$D,IF(원생!$G441="","",원생!$G441),수납!$B:$B,$B$1&amp;"-"&amp;TEXT(4,"00")&amp;"*",수납!$E:$E,""))</f>
        <v/>
      </c>
      <c r="G443" s="14">
        <f>IF(원생!$A441="","",SUMIFS(수납!$F:$F,수납!$C:$C,원생!$A441,수납!$D:$D,IF(원생!$G441="","",원생!$G441),수납!$B:$B,$B$1&amp;"-"&amp;TEXT(5,"00")&amp;"*",수납!$E:$E,"수강료")+SUMIFS(수납!$F:$F,수납!$C:$C,원생!$A441,수납!$D:$D,IF(원생!$G441="","",원생!$G441),수납!$B:$B,$B$1&amp;"-"&amp;TEXT(5,"00")&amp;"*",수납!$E:$E,""))</f>
        <v/>
      </c>
      <c r="H443" s="14">
        <f>IF(원생!$A441="","",SUMIFS(수납!$F:$F,수납!$C:$C,원생!$A441,수납!$D:$D,IF(원생!$G441="","",원생!$G441),수납!$B:$B,$B$1&amp;"-"&amp;TEXT(6,"00")&amp;"*",수납!$E:$E,"수강료")+SUMIFS(수납!$F:$F,수납!$C:$C,원생!$A441,수납!$D:$D,IF(원생!$G441="","",원생!$G441),수납!$B:$B,$B$1&amp;"-"&amp;TEXT(6,"00")&amp;"*",수납!$E:$E,""))</f>
        <v/>
      </c>
      <c r="I443" s="14">
        <f>IF(원생!$A441="","",SUMIFS(수납!$F:$F,수납!$C:$C,원생!$A441,수납!$D:$D,IF(원생!$G441="","",원생!$G441),수납!$B:$B,$B$1&amp;"-"&amp;TEXT(7,"00")&amp;"*",수납!$E:$E,"수강료")+SUMIFS(수납!$F:$F,수납!$C:$C,원생!$A441,수납!$D:$D,IF(원생!$G441="","",원생!$G441),수납!$B:$B,$B$1&amp;"-"&amp;TEXT(7,"00")&amp;"*",수납!$E:$E,""))</f>
        <v/>
      </c>
      <c r="J443" s="14">
        <f>IF(원생!$A441="","",SUMIFS(수납!$F:$F,수납!$C:$C,원생!$A441,수납!$D:$D,IF(원생!$G441="","",원생!$G441),수납!$B:$B,$B$1&amp;"-"&amp;TEXT(8,"00")&amp;"*",수납!$E:$E,"수강료")+SUMIFS(수납!$F:$F,수납!$C:$C,원생!$A441,수납!$D:$D,IF(원생!$G441="","",원생!$G441),수납!$B:$B,$B$1&amp;"-"&amp;TEXT(8,"00")&amp;"*",수납!$E:$E,""))</f>
        <v/>
      </c>
      <c r="K443" s="14">
        <f>IF(원생!$A441="","",SUMIFS(수납!$F:$F,수납!$C:$C,원생!$A441,수납!$D:$D,IF(원생!$G441="","",원생!$G441),수납!$B:$B,$B$1&amp;"-"&amp;TEXT(9,"00")&amp;"*",수납!$E:$E,"수강료")+SUMIFS(수납!$F:$F,수납!$C:$C,원생!$A441,수납!$D:$D,IF(원생!$G441="","",원생!$G441),수납!$B:$B,$B$1&amp;"-"&amp;TEXT(9,"00")&amp;"*",수납!$E:$E,""))</f>
        <v/>
      </c>
      <c r="L443" s="14">
        <f>IF(원생!$A441="","",SUMIFS(수납!$F:$F,수납!$C:$C,원생!$A441,수납!$D:$D,IF(원생!$G441="","",원생!$G441),수납!$B:$B,$B$1&amp;"-"&amp;TEXT(10,"00")&amp;"*",수납!$E:$E,"수강료")+SUMIFS(수납!$F:$F,수납!$C:$C,원생!$A441,수납!$D:$D,IF(원생!$G441="","",원생!$G441),수납!$B:$B,$B$1&amp;"-"&amp;TEXT(10,"00")&amp;"*",수납!$E:$E,""))</f>
        <v/>
      </c>
      <c r="M443" s="14">
        <f>IF(원생!$A441="","",SUMIFS(수납!$F:$F,수납!$C:$C,원생!$A441,수납!$D:$D,IF(원생!$G441="","",원생!$G441),수납!$B:$B,$B$1&amp;"-"&amp;TEXT(11,"00")&amp;"*",수납!$E:$E,"수강료")+SUMIFS(수납!$F:$F,수납!$C:$C,원생!$A441,수납!$D:$D,IF(원생!$G441="","",원생!$G441),수납!$B:$B,$B$1&amp;"-"&amp;TEXT(11,"00")&amp;"*",수납!$E:$E,""))</f>
        <v/>
      </c>
      <c r="N443" s="14">
        <f>IF(원생!$A441="","",SUMIFS(수납!$F:$F,수납!$C:$C,원생!$A441,수납!$D:$D,IF(원생!$G441="","",원생!$G441),수납!$B:$B,$B$1&amp;"-"&amp;TEXT(12,"00")&amp;"*",수납!$E:$E,"수강료")+SUMIFS(수납!$F:$F,수납!$C:$C,원생!$A441,수납!$D:$D,IF(원생!$G441="","",원생!$G441),수납!$B:$B,$B$1&amp;"-"&amp;TEXT(12,"00")&amp;"*",수납!$E:$E,""))</f>
        <v/>
      </c>
      <c r="O443">
        <f>IF(원생!$I441="","",원생!$I441)</f>
        <v/>
      </c>
      <c r="P443">
        <f>IF($A443="","",IF(AND($B443&gt;0,C443&lt;$B443,DATE($B$1,1,1)&lt;=TODAY(),OR($O443="",$O443&gt;=DATE($B$1,1,1)),OR(COUNTIF($C443:C443,"&gt;0")&gt;0,DATE($B$1,1,1)=DATE(YEAR(TODAY()),MONTH(TODAY()),1))),1,0))</f>
        <v/>
      </c>
      <c r="Q443">
        <f>IF($A443="","",IF(AND($B443&gt;0,D443&lt;$B443,DATE($B$1,2,1)&lt;=TODAY(),OR($O443="",$O443&gt;=DATE($B$1,2,1)),OR(COUNTIF($C443:D443,"&gt;0")&gt;0,DATE($B$1,2,1)=DATE(YEAR(TODAY()),MONTH(TODAY()),1))),1,0))</f>
        <v/>
      </c>
      <c r="R443">
        <f>IF($A443="","",IF(AND($B443&gt;0,E443&lt;$B443,DATE($B$1,3,1)&lt;=TODAY(),OR($O443="",$O443&gt;=DATE($B$1,3,1)),OR(COUNTIF($C443:E443,"&gt;0")&gt;0,DATE($B$1,3,1)=DATE(YEAR(TODAY()),MONTH(TODAY()),1))),1,0))</f>
        <v/>
      </c>
      <c r="S443">
        <f>IF($A443="","",IF(AND($B443&gt;0,F443&lt;$B443,DATE($B$1,4,1)&lt;=TODAY(),OR($O443="",$O443&gt;=DATE($B$1,4,1)),OR(COUNTIF($C443:F443,"&gt;0")&gt;0,DATE($B$1,4,1)=DATE(YEAR(TODAY()),MONTH(TODAY()),1))),1,0))</f>
        <v/>
      </c>
      <c r="T443">
        <f>IF($A443="","",IF(AND($B443&gt;0,G443&lt;$B443,DATE($B$1,5,1)&lt;=TODAY(),OR($O443="",$O443&gt;=DATE($B$1,5,1)),OR(COUNTIF($C443:G443,"&gt;0")&gt;0,DATE($B$1,5,1)=DATE(YEAR(TODAY()),MONTH(TODAY()),1))),1,0))</f>
        <v/>
      </c>
      <c r="U443">
        <f>IF($A443="","",IF(AND($B443&gt;0,H443&lt;$B443,DATE($B$1,6,1)&lt;=TODAY(),OR($O443="",$O443&gt;=DATE($B$1,6,1)),OR(COUNTIF($C443:H443,"&gt;0")&gt;0,DATE($B$1,6,1)=DATE(YEAR(TODAY()),MONTH(TODAY()),1))),1,0))</f>
        <v/>
      </c>
      <c r="V443">
        <f>IF($A443="","",IF(AND($B443&gt;0,I443&lt;$B443,DATE($B$1,7,1)&lt;=TODAY(),OR($O443="",$O443&gt;=DATE($B$1,7,1)),OR(COUNTIF($C443:I443,"&gt;0")&gt;0,DATE($B$1,7,1)=DATE(YEAR(TODAY()),MONTH(TODAY()),1))),1,0))</f>
        <v/>
      </c>
      <c r="W443">
        <f>IF($A443="","",IF(AND($B443&gt;0,J443&lt;$B443,DATE($B$1,8,1)&lt;=TODAY(),OR($O443="",$O443&gt;=DATE($B$1,8,1)),OR(COUNTIF($C443:J443,"&gt;0")&gt;0,DATE($B$1,8,1)=DATE(YEAR(TODAY()),MONTH(TODAY()),1))),1,0))</f>
        <v/>
      </c>
      <c r="X443">
        <f>IF($A443="","",IF(AND($B443&gt;0,K443&lt;$B443,DATE($B$1,9,1)&lt;=TODAY(),OR($O443="",$O443&gt;=DATE($B$1,9,1)),OR(COUNTIF($C443:K443,"&gt;0")&gt;0,DATE($B$1,9,1)=DATE(YEAR(TODAY()),MONTH(TODAY()),1))),1,0))</f>
        <v/>
      </c>
      <c r="Y443">
        <f>IF($A443="","",IF(AND($B443&gt;0,L443&lt;$B443,DATE($B$1,10,1)&lt;=TODAY(),OR($O443="",$O443&gt;=DATE($B$1,10,1)),OR(COUNTIF($C443:L443,"&gt;0")&gt;0,DATE($B$1,10,1)=DATE(YEAR(TODAY()),MONTH(TODAY()),1))),1,0))</f>
        <v/>
      </c>
      <c r="Z443">
        <f>IF($A443="","",IF(AND($B443&gt;0,M443&lt;$B443,DATE($B$1,11,1)&lt;=TODAY(),OR($O443="",$O443&gt;=DATE($B$1,11,1)),OR(COUNTIF($C443:M443,"&gt;0")&gt;0,DATE($B$1,11,1)=DATE(YEAR(TODAY()),MONTH(TODAY()),1))),1,0))</f>
        <v/>
      </c>
      <c r="AA443">
        <f>IF($A443="","",IF(AND($B443&gt;0,N443&lt;$B443,DATE($B$1,12,1)&lt;=TODAY(),OR($O443="",$O443&gt;=DATE($B$1,12,1)),OR(COUNTIF($C443:N443,"&gt;0")&gt;0,DATE($B$1,12,1)=DATE(YEAR(TODAY()),MONTH(TODAY()),1))),1,0))</f>
        <v/>
      </c>
    </row>
    <row r="444">
      <c r="A444" s="13">
        <f>IF(원생!$A442="","",원생!$A442&amp;IF(원생!$G442="",""," ("&amp;원생!$G442&amp;")"))</f>
        <v/>
      </c>
      <c r="B444" s="8">
        <f>IF(원생!$A442="","",원생!$F442)</f>
        <v/>
      </c>
      <c r="C444" s="14">
        <f>IF(원생!$A442="","",SUMIFS(수납!$F:$F,수납!$C:$C,원생!$A442,수납!$D:$D,IF(원생!$G442="","",원생!$G442),수납!$B:$B,$B$1&amp;"-"&amp;TEXT(1,"00")&amp;"*",수납!$E:$E,"수강료")+SUMIFS(수납!$F:$F,수납!$C:$C,원생!$A442,수납!$D:$D,IF(원생!$G442="","",원생!$G442),수납!$B:$B,$B$1&amp;"-"&amp;TEXT(1,"00")&amp;"*",수납!$E:$E,""))</f>
        <v/>
      </c>
      <c r="D444" s="14">
        <f>IF(원생!$A442="","",SUMIFS(수납!$F:$F,수납!$C:$C,원생!$A442,수납!$D:$D,IF(원생!$G442="","",원생!$G442),수납!$B:$B,$B$1&amp;"-"&amp;TEXT(2,"00")&amp;"*",수납!$E:$E,"수강료")+SUMIFS(수납!$F:$F,수납!$C:$C,원생!$A442,수납!$D:$D,IF(원생!$G442="","",원생!$G442),수납!$B:$B,$B$1&amp;"-"&amp;TEXT(2,"00")&amp;"*",수납!$E:$E,""))</f>
        <v/>
      </c>
      <c r="E444" s="14">
        <f>IF(원생!$A442="","",SUMIFS(수납!$F:$F,수납!$C:$C,원생!$A442,수납!$D:$D,IF(원생!$G442="","",원생!$G442),수납!$B:$B,$B$1&amp;"-"&amp;TEXT(3,"00")&amp;"*",수납!$E:$E,"수강료")+SUMIFS(수납!$F:$F,수납!$C:$C,원생!$A442,수납!$D:$D,IF(원생!$G442="","",원생!$G442),수납!$B:$B,$B$1&amp;"-"&amp;TEXT(3,"00")&amp;"*",수납!$E:$E,""))</f>
        <v/>
      </c>
      <c r="F444" s="14">
        <f>IF(원생!$A442="","",SUMIFS(수납!$F:$F,수납!$C:$C,원생!$A442,수납!$D:$D,IF(원생!$G442="","",원생!$G442),수납!$B:$B,$B$1&amp;"-"&amp;TEXT(4,"00")&amp;"*",수납!$E:$E,"수강료")+SUMIFS(수납!$F:$F,수납!$C:$C,원생!$A442,수납!$D:$D,IF(원생!$G442="","",원생!$G442),수납!$B:$B,$B$1&amp;"-"&amp;TEXT(4,"00")&amp;"*",수납!$E:$E,""))</f>
        <v/>
      </c>
      <c r="G444" s="14">
        <f>IF(원생!$A442="","",SUMIFS(수납!$F:$F,수납!$C:$C,원생!$A442,수납!$D:$D,IF(원생!$G442="","",원생!$G442),수납!$B:$B,$B$1&amp;"-"&amp;TEXT(5,"00")&amp;"*",수납!$E:$E,"수강료")+SUMIFS(수납!$F:$F,수납!$C:$C,원생!$A442,수납!$D:$D,IF(원생!$G442="","",원생!$G442),수납!$B:$B,$B$1&amp;"-"&amp;TEXT(5,"00")&amp;"*",수납!$E:$E,""))</f>
        <v/>
      </c>
      <c r="H444" s="14">
        <f>IF(원생!$A442="","",SUMIFS(수납!$F:$F,수납!$C:$C,원생!$A442,수납!$D:$D,IF(원생!$G442="","",원생!$G442),수납!$B:$B,$B$1&amp;"-"&amp;TEXT(6,"00")&amp;"*",수납!$E:$E,"수강료")+SUMIFS(수납!$F:$F,수납!$C:$C,원생!$A442,수납!$D:$D,IF(원생!$G442="","",원생!$G442),수납!$B:$B,$B$1&amp;"-"&amp;TEXT(6,"00")&amp;"*",수납!$E:$E,""))</f>
        <v/>
      </c>
      <c r="I444" s="14">
        <f>IF(원생!$A442="","",SUMIFS(수납!$F:$F,수납!$C:$C,원생!$A442,수납!$D:$D,IF(원생!$G442="","",원생!$G442),수납!$B:$B,$B$1&amp;"-"&amp;TEXT(7,"00")&amp;"*",수납!$E:$E,"수강료")+SUMIFS(수납!$F:$F,수납!$C:$C,원생!$A442,수납!$D:$D,IF(원생!$G442="","",원생!$G442),수납!$B:$B,$B$1&amp;"-"&amp;TEXT(7,"00")&amp;"*",수납!$E:$E,""))</f>
        <v/>
      </c>
      <c r="J444" s="14">
        <f>IF(원생!$A442="","",SUMIFS(수납!$F:$F,수납!$C:$C,원생!$A442,수납!$D:$D,IF(원생!$G442="","",원생!$G442),수납!$B:$B,$B$1&amp;"-"&amp;TEXT(8,"00")&amp;"*",수납!$E:$E,"수강료")+SUMIFS(수납!$F:$F,수납!$C:$C,원생!$A442,수납!$D:$D,IF(원생!$G442="","",원생!$G442),수납!$B:$B,$B$1&amp;"-"&amp;TEXT(8,"00")&amp;"*",수납!$E:$E,""))</f>
        <v/>
      </c>
      <c r="K444" s="14">
        <f>IF(원생!$A442="","",SUMIFS(수납!$F:$F,수납!$C:$C,원생!$A442,수납!$D:$D,IF(원생!$G442="","",원생!$G442),수납!$B:$B,$B$1&amp;"-"&amp;TEXT(9,"00")&amp;"*",수납!$E:$E,"수강료")+SUMIFS(수납!$F:$F,수납!$C:$C,원생!$A442,수납!$D:$D,IF(원생!$G442="","",원생!$G442),수납!$B:$B,$B$1&amp;"-"&amp;TEXT(9,"00")&amp;"*",수납!$E:$E,""))</f>
        <v/>
      </c>
      <c r="L444" s="14">
        <f>IF(원생!$A442="","",SUMIFS(수납!$F:$F,수납!$C:$C,원생!$A442,수납!$D:$D,IF(원생!$G442="","",원생!$G442),수납!$B:$B,$B$1&amp;"-"&amp;TEXT(10,"00")&amp;"*",수납!$E:$E,"수강료")+SUMIFS(수납!$F:$F,수납!$C:$C,원생!$A442,수납!$D:$D,IF(원생!$G442="","",원생!$G442),수납!$B:$B,$B$1&amp;"-"&amp;TEXT(10,"00")&amp;"*",수납!$E:$E,""))</f>
        <v/>
      </c>
      <c r="M444" s="14">
        <f>IF(원생!$A442="","",SUMIFS(수납!$F:$F,수납!$C:$C,원생!$A442,수납!$D:$D,IF(원생!$G442="","",원생!$G442),수납!$B:$B,$B$1&amp;"-"&amp;TEXT(11,"00")&amp;"*",수납!$E:$E,"수강료")+SUMIFS(수납!$F:$F,수납!$C:$C,원생!$A442,수납!$D:$D,IF(원생!$G442="","",원생!$G442),수납!$B:$B,$B$1&amp;"-"&amp;TEXT(11,"00")&amp;"*",수납!$E:$E,""))</f>
        <v/>
      </c>
      <c r="N444" s="14">
        <f>IF(원생!$A442="","",SUMIFS(수납!$F:$F,수납!$C:$C,원생!$A442,수납!$D:$D,IF(원생!$G442="","",원생!$G442),수납!$B:$B,$B$1&amp;"-"&amp;TEXT(12,"00")&amp;"*",수납!$E:$E,"수강료")+SUMIFS(수납!$F:$F,수납!$C:$C,원생!$A442,수납!$D:$D,IF(원생!$G442="","",원생!$G442),수납!$B:$B,$B$1&amp;"-"&amp;TEXT(12,"00")&amp;"*",수납!$E:$E,""))</f>
        <v/>
      </c>
      <c r="O444">
        <f>IF(원생!$I442="","",원생!$I442)</f>
        <v/>
      </c>
      <c r="P444">
        <f>IF($A444="","",IF(AND($B444&gt;0,C444&lt;$B444,DATE($B$1,1,1)&lt;=TODAY(),OR($O444="",$O444&gt;=DATE($B$1,1,1)),OR(COUNTIF($C444:C444,"&gt;0")&gt;0,DATE($B$1,1,1)=DATE(YEAR(TODAY()),MONTH(TODAY()),1))),1,0))</f>
        <v/>
      </c>
      <c r="Q444">
        <f>IF($A444="","",IF(AND($B444&gt;0,D444&lt;$B444,DATE($B$1,2,1)&lt;=TODAY(),OR($O444="",$O444&gt;=DATE($B$1,2,1)),OR(COUNTIF($C444:D444,"&gt;0")&gt;0,DATE($B$1,2,1)=DATE(YEAR(TODAY()),MONTH(TODAY()),1))),1,0))</f>
        <v/>
      </c>
      <c r="R444">
        <f>IF($A444="","",IF(AND($B444&gt;0,E444&lt;$B444,DATE($B$1,3,1)&lt;=TODAY(),OR($O444="",$O444&gt;=DATE($B$1,3,1)),OR(COUNTIF($C444:E444,"&gt;0")&gt;0,DATE($B$1,3,1)=DATE(YEAR(TODAY()),MONTH(TODAY()),1))),1,0))</f>
        <v/>
      </c>
      <c r="S444">
        <f>IF($A444="","",IF(AND($B444&gt;0,F444&lt;$B444,DATE($B$1,4,1)&lt;=TODAY(),OR($O444="",$O444&gt;=DATE($B$1,4,1)),OR(COUNTIF($C444:F444,"&gt;0")&gt;0,DATE($B$1,4,1)=DATE(YEAR(TODAY()),MONTH(TODAY()),1))),1,0))</f>
        <v/>
      </c>
      <c r="T444">
        <f>IF($A444="","",IF(AND($B444&gt;0,G444&lt;$B444,DATE($B$1,5,1)&lt;=TODAY(),OR($O444="",$O444&gt;=DATE($B$1,5,1)),OR(COUNTIF($C444:G444,"&gt;0")&gt;0,DATE($B$1,5,1)=DATE(YEAR(TODAY()),MONTH(TODAY()),1))),1,0))</f>
        <v/>
      </c>
      <c r="U444">
        <f>IF($A444="","",IF(AND($B444&gt;0,H444&lt;$B444,DATE($B$1,6,1)&lt;=TODAY(),OR($O444="",$O444&gt;=DATE($B$1,6,1)),OR(COUNTIF($C444:H444,"&gt;0")&gt;0,DATE($B$1,6,1)=DATE(YEAR(TODAY()),MONTH(TODAY()),1))),1,0))</f>
        <v/>
      </c>
      <c r="V444">
        <f>IF($A444="","",IF(AND($B444&gt;0,I444&lt;$B444,DATE($B$1,7,1)&lt;=TODAY(),OR($O444="",$O444&gt;=DATE($B$1,7,1)),OR(COUNTIF($C444:I444,"&gt;0")&gt;0,DATE($B$1,7,1)=DATE(YEAR(TODAY()),MONTH(TODAY()),1))),1,0))</f>
        <v/>
      </c>
      <c r="W444">
        <f>IF($A444="","",IF(AND($B444&gt;0,J444&lt;$B444,DATE($B$1,8,1)&lt;=TODAY(),OR($O444="",$O444&gt;=DATE($B$1,8,1)),OR(COUNTIF($C444:J444,"&gt;0")&gt;0,DATE($B$1,8,1)=DATE(YEAR(TODAY()),MONTH(TODAY()),1))),1,0))</f>
        <v/>
      </c>
      <c r="X444">
        <f>IF($A444="","",IF(AND($B444&gt;0,K444&lt;$B444,DATE($B$1,9,1)&lt;=TODAY(),OR($O444="",$O444&gt;=DATE($B$1,9,1)),OR(COUNTIF($C444:K444,"&gt;0")&gt;0,DATE($B$1,9,1)=DATE(YEAR(TODAY()),MONTH(TODAY()),1))),1,0))</f>
        <v/>
      </c>
      <c r="Y444">
        <f>IF($A444="","",IF(AND($B444&gt;0,L444&lt;$B444,DATE($B$1,10,1)&lt;=TODAY(),OR($O444="",$O444&gt;=DATE($B$1,10,1)),OR(COUNTIF($C444:L444,"&gt;0")&gt;0,DATE($B$1,10,1)=DATE(YEAR(TODAY()),MONTH(TODAY()),1))),1,0))</f>
        <v/>
      </c>
      <c r="Z444">
        <f>IF($A444="","",IF(AND($B444&gt;0,M444&lt;$B444,DATE($B$1,11,1)&lt;=TODAY(),OR($O444="",$O444&gt;=DATE($B$1,11,1)),OR(COUNTIF($C444:M444,"&gt;0")&gt;0,DATE($B$1,11,1)=DATE(YEAR(TODAY()),MONTH(TODAY()),1))),1,0))</f>
        <v/>
      </c>
      <c r="AA444">
        <f>IF($A444="","",IF(AND($B444&gt;0,N444&lt;$B444,DATE($B$1,12,1)&lt;=TODAY(),OR($O444="",$O444&gt;=DATE($B$1,12,1)),OR(COUNTIF($C444:N444,"&gt;0")&gt;0,DATE($B$1,12,1)=DATE(YEAR(TODAY()),MONTH(TODAY()),1))),1,0))</f>
        <v/>
      </c>
    </row>
    <row r="445">
      <c r="A445" s="13">
        <f>IF(원생!$A443="","",원생!$A443&amp;IF(원생!$G443="",""," ("&amp;원생!$G443&amp;")"))</f>
        <v/>
      </c>
      <c r="B445" s="8">
        <f>IF(원생!$A443="","",원생!$F443)</f>
        <v/>
      </c>
      <c r="C445" s="14">
        <f>IF(원생!$A443="","",SUMIFS(수납!$F:$F,수납!$C:$C,원생!$A443,수납!$D:$D,IF(원생!$G443="","",원생!$G443),수납!$B:$B,$B$1&amp;"-"&amp;TEXT(1,"00")&amp;"*",수납!$E:$E,"수강료")+SUMIFS(수납!$F:$F,수납!$C:$C,원생!$A443,수납!$D:$D,IF(원생!$G443="","",원생!$G443),수납!$B:$B,$B$1&amp;"-"&amp;TEXT(1,"00")&amp;"*",수납!$E:$E,""))</f>
        <v/>
      </c>
      <c r="D445" s="14">
        <f>IF(원생!$A443="","",SUMIFS(수납!$F:$F,수납!$C:$C,원생!$A443,수납!$D:$D,IF(원생!$G443="","",원생!$G443),수납!$B:$B,$B$1&amp;"-"&amp;TEXT(2,"00")&amp;"*",수납!$E:$E,"수강료")+SUMIFS(수납!$F:$F,수납!$C:$C,원생!$A443,수납!$D:$D,IF(원생!$G443="","",원생!$G443),수납!$B:$B,$B$1&amp;"-"&amp;TEXT(2,"00")&amp;"*",수납!$E:$E,""))</f>
        <v/>
      </c>
      <c r="E445" s="14">
        <f>IF(원생!$A443="","",SUMIFS(수납!$F:$F,수납!$C:$C,원생!$A443,수납!$D:$D,IF(원생!$G443="","",원생!$G443),수납!$B:$B,$B$1&amp;"-"&amp;TEXT(3,"00")&amp;"*",수납!$E:$E,"수강료")+SUMIFS(수납!$F:$F,수납!$C:$C,원생!$A443,수납!$D:$D,IF(원생!$G443="","",원생!$G443),수납!$B:$B,$B$1&amp;"-"&amp;TEXT(3,"00")&amp;"*",수납!$E:$E,""))</f>
        <v/>
      </c>
      <c r="F445" s="14">
        <f>IF(원생!$A443="","",SUMIFS(수납!$F:$F,수납!$C:$C,원생!$A443,수납!$D:$D,IF(원생!$G443="","",원생!$G443),수납!$B:$B,$B$1&amp;"-"&amp;TEXT(4,"00")&amp;"*",수납!$E:$E,"수강료")+SUMIFS(수납!$F:$F,수납!$C:$C,원생!$A443,수납!$D:$D,IF(원생!$G443="","",원생!$G443),수납!$B:$B,$B$1&amp;"-"&amp;TEXT(4,"00")&amp;"*",수납!$E:$E,""))</f>
        <v/>
      </c>
      <c r="G445" s="14">
        <f>IF(원생!$A443="","",SUMIFS(수납!$F:$F,수납!$C:$C,원생!$A443,수납!$D:$D,IF(원생!$G443="","",원생!$G443),수납!$B:$B,$B$1&amp;"-"&amp;TEXT(5,"00")&amp;"*",수납!$E:$E,"수강료")+SUMIFS(수납!$F:$F,수납!$C:$C,원생!$A443,수납!$D:$D,IF(원생!$G443="","",원생!$G443),수납!$B:$B,$B$1&amp;"-"&amp;TEXT(5,"00")&amp;"*",수납!$E:$E,""))</f>
        <v/>
      </c>
      <c r="H445" s="14">
        <f>IF(원생!$A443="","",SUMIFS(수납!$F:$F,수납!$C:$C,원생!$A443,수납!$D:$D,IF(원생!$G443="","",원생!$G443),수납!$B:$B,$B$1&amp;"-"&amp;TEXT(6,"00")&amp;"*",수납!$E:$E,"수강료")+SUMIFS(수납!$F:$F,수납!$C:$C,원생!$A443,수납!$D:$D,IF(원생!$G443="","",원생!$G443),수납!$B:$B,$B$1&amp;"-"&amp;TEXT(6,"00")&amp;"*",수납!$E:$E,""))</f>
        <v/>
      </c>
      <c r="I445" s="14">
        <f>IF(원생!$A443="","",SUMIFS(수납!$F:$F,수납!$C:$C,원생!$A443,수납!$D:$D,IF(원생!$G443="","",원생!$G443),수납!$B:$B,$B$1&amp;"-"&amp;TEXT(7,"00")&amp;"*",수납!$E:$E,"수강료")+SUMIFS(수납!$F:$F,수납!$C:$C,원생!$A443,수납!$D:$D,IF(원생!$G443="","",원생!$G443),수납!$B:$B,$B$1&amp;"-"&amp;TEXT(7,"00")&amp;"*",수납!$E:$E,""))</f>
        <v/>
      </c>
      <c r="J445" s="14">
        <f>IF(원생!$A443="","",SUMIFS(수납!$F:$F,수납!$C:$C,원생!$A443,수납!$D:$D,IF(원생!$G443="","",원생!$G443),수납!$B:$B,$B$1&amp;"-"&amp;TEXT(8,"00")&amp;"*",수납!$E:$E,"수강료")+SUMIFS(수납!$F:$F,수납!$C:$C,원생!$A443,수납!$D:$D,IF(원생!$G443="","",원생!$G443),수납!$B:$B,$B$1&amp;"-"&amp;TEXT(8,"00")&amp;"*",수납!$E:$E,""))</f>
        <v/>
      </c>
      <c r="K445" s="14">
        <f>IF(원생!$A443="","",SUMIFS(수납!$F:$F,수납!$C:$C,원생!$A443,수납!$D:$D,IF(원생!$G443="","",원생!$G443),수납!$B:$B,$B$1&amp;"-"&amp;TEXT(9,"00")&amp;"*",수납!$E:$E,"수강료")+SUMIFS(수납!$F:$F,수납!$C:$C,원생!$A443,수납!$D:$D,IF(원생!$G443="","",원생!$G443),수납!$B:$B,$B$1&amp;"-"&amp;TEXT(9,"00")&amp;"*",수납!$E:$E,""))</f>
        <v/>
      </c>
      <c r="L445" s="14">
        <f>IF(원생!$A443="","",SUMIFS(수납!$F:$F,수납!$C:$C,원생!$A443,수납!$D:$D,IF(원생!$G443="","",원생!$G443),수납!$B:$B,$B$1&amp;"-"&amp;TEXT(10,"00")&amp;"*",수납!$E:$E,"수강료")+SUMIFS(수납!$F:$F,수납!$C:$C,원생!$A443,수납!$D:$D,IF(원생!$G443="","",원생!$G443),수납!$B:$B,$B$1&amp;"-"&amp;TEXT(10,"00")&amp;"*",수납!$E:$E,""))</f>
        <v/>
      </c>
      <c r="M445" s="14">
        <f>IF(원생!$A443="","",SUMIFS(수납!$F:$F,수납!$C:$C,원생!$A443,수납!$D:$D,IF(원생!$G443="","",원생!$G443),수납!$B:$B,$B$1&amp;"-"&amp;TEXT(11,"00")&amp;"*",수납!$E:$E,"수강료")+SUMIFS(수납!$F:$F,수납!$C:$C,원생!$A443,수납!$D:$D,IF(원생!$G443="","",원생!$G443),수납!$B:$B,$B$1&amp;"-"&amp;TEXT(11,"00")&amp;"*",수납!$E:$E,""))</f>
        <v/>
      </c>
      <c r="N445" s="14">
        <f>IF(원생!$A443="","",SUMIFS(수납!$F:$F,수납!$C:$C,원생!$A443,수납!$D:$D,IF(원생!$G443="","",원생!$G443),수납!$B:$B,$B$1&amp;"-"&amp;TEXT(12,"00")&amp;"*",수납!$E:$E,"수강료")+SUMIFS(수납!$F:$F,수납!$C:$C,원생!$A443,수납!$D:$D,IF(원생!$G443="","",원생!$G443),수납!$B:$B,$B$1&amp;"-"&amp;TEXT(12,"00")&amp;"*",수납!$E:$E,""))</f>
        <v/>
      </c>
      <c r="O445">
        <f>IF(원생!$I443="","",원생!$I443)</f>
        <v/>
      </c>
      <c r="P445">
        <f>IF($A445="","",IF(AND($B445&gt;0,C445&lt;$B445,DATE($B$1,1,1)&lt;=TODAY(),OR($O445="",$O445&gt;=DATE($B$1,1,1)),OR(COUNTIF($C445:C445,"&gt;0")&gt;0,DATE($B$1,1,1)=DATE(YEAR(TODAY()),MONTH(TODAY()),1))),1,0))</f>
        <v/>
      </c>
      <c r="Q445">
        <f>IF($A445="","",IF(AND($B445&gt;0,D445&lt;$B445,DATE($B$1,2,1)&lt;=TODAY(),OR($O445="",$O445&gt;=DATE($B$1,2,1)),OR(COUNTIF($C445:D445,"&gt;0")&gt;0,DATE($B$1,2,1)=DATE(YEAR(TODAY()),MONTH(TODAY()),1))),1,0))</f>
        <v/>
      </c>
      <c r="R445">
        <f>IF($A445="","",IF(AND($B445&gt;0,E445&lt;$B445,DATE($B$1,3,1)&lt;=TODAY(),OR($O445="",$O445&gt;=DATE($B$1,3,1)),OR(COUNTIF($C445:E445,"&gt;0")&gt;0,DATE($B$1,3,1)=DATE(YEAR(TODAY()),MONTH(TODAY()),1))),1,0))</f>
        <v/>
      </c>
      <c r="S445">
        <f>IF($A445="","",IF(AND($B445&gt;0,F445&lt;$B445,DATE($B$1,4,1)&lt;=TODAY(),OR($O445="",$O445&gt;=DATE($B$1,4,1)),OR(COUNTIF($C445:F445,"&gt;0")&gt;0,DATE($B$1,4,1)=DATE(YEAR(TODAY()),MONTH(TODAY()),1))),1,0))</f>
        <v/>
      </c>
      <c r="T445">
        <f>IF($A445="","",IF(AND($B445&gt;0,G445&lt;$B445,DATE($B$1,5,1)&lt;=TODAY(),OR($O445="",$O445&gt;=DATE($B$1,5,1)),OR(COUNTIF($C445:G445,"&gt;0")&gt;0,DATE($B$1,5,1)=DATE(YEAR(TODAY()),MONTH(TODAY()),1))),1,0))</f>
        <v/>
      </c>
      <c r="U445">
        <f>IF($A445="","",IF(AND($B445&gt;0,H445&lt;$B445,DATE($B$1,6,1)&lt;=TODAY(),OR($O445="",$O445&gt;=DATE($B$1,6,1)),OR(COUNTIF($C445:H445,"&gt;0")&gt;0,DATE($B$1,6,1)=DATE(YEAR(TODAY()),MONTH(TODAY()),1))),1,0))</f>
        <v/>
      </c>
      <c r="V445">
        <f>IF($A445="","",IF(AND($B445&gt;0,I445&lt;$B445,DATE($B$1,7,1)&lt;=TODAY(),OR($O445="",$O445&gt;=DATE($B$1,7,1)),OR(COUNTIF($C445:I445,"&gt;0")&gt;0,DATE($B$1,7,1)=DATE(YEAR(TODAY()),MONTH(TODAY()),1))),1,0))</f>
        <v/>
      </c>
      <c r="W445">
        <f>IF($A445="","",IF(AND($B445&gt;0,J445&lt;$B445,DATE($B$1,8,1)&lt;=TODAY(),OR($O445="",$O445&gt;=DATE($B$1,8,1)),OR(COUNTIF($C445:J445,"&gt;0")&gt;0,DATE($B$1,8,1)=DATE(YEAR(TODAY()),MONTH(TODAY()),1))),1,0))</f>
        <v/>
      </c>
      <c r="X445">
        <f>IF($A445="","",IF(AND($B445&gt;0,K445&lt;$B445,DATE($B$1,9,1)&lt;=TODAY(),OR($O445="",$O445&gt;=DATE($B$1,9,1)),OR(COUNTIF($C445:K445,"&gt;0")&gt;0,DATE($B$1,9,1)=DATE(YEAR(TODAY()),MONTH(TODAY()),1))),1,0))</f>
        <v/>
      </c>
      <c r="Y445">
        <f>IF($A445="","",IF(AND($B445&gt;0,L445&lt;$B445,DATE($B$1,10,1)&lt;=TODAY(),OR($O445="",$O445&gt;=DATE($B$1,10,1)),OR(COUNTIF($C445:L445,"&gt;0")&gt;0,DATE($B$1,10,1)=DATE(YEAR(TODAY()),MONTH(TODAY()),1))),1,0))</f>
        <v/>
      </c>
      <c r="Z445">
        <f>IF($A445="","",IF(AND($B445&gt;0,M445&lt;$B445,DATE($B$1,11,1)&lt;=TODAY(),OR($O445="",$O445&gt;=DATE($B$1,11,1)),OR(COUNTIF($C445:M445,"&gt;0")&gt;0,DATE($B$1,11,1)=DATE(YEAR(TODAY()),MONTH(TODAY()),1))),1,0))</f>
        <v/>
      </c>
      <c r="AA445">
        <f>IF($A445="","",IF(AND($B445&gt;0,N445&lt;$B445,DATE($B$1,12,1)&lt;=TODAY(),OR($O445="",$O445&gt;=DATE($B$1,12,1)),OR(COUNTIF($C445:N445,"&gt;0")&gt;0,DATE($B$1,12,1)=DATE(YEAR(TODAY()),MONTH(TODAY()),1))),1,0))</f>
        <v/>
      </c>
    </row>
    <row r="446">
      <c r="A446" s="13">
        <f>IF(원생!$A444="","",원생!$A444&amp;IF(원생!$G444="",""," ("&amp;원생!$G444&amp;")"))</f>
        <v/>
      </c>
      <c r="B446" s="8">
        <f>IF(원생!$A444="","",원생!$F444)</f>
        <v/>
      </c>
      <c r="C446" s="14">
        <f>IF(원생!$A444="","",SUMIFS(수납!$F:$F,수납!$C:$C,원생!$A444,수납!$D:$D,IF(원생!$G444="","",원생!$G444),수납!$B:$B,$B$1&amp;"-"&amp;TEXT(1,"00")&amp;"*",수납!$E:$E,"수강료")+SUMIFS(수납!$F:$F,수납!$C:$C,원생!$A444,수납!$D:$D,IF(원생!$G444="","",원생!$G444),수납!$B:$B,$B$1&amp;"-"&amp;TEXT(1,"00")&amp;"*",수납!$E:$E,""))</f>
        <v/>
      </c>
      <c r="D446" s="14">
        <f>IF(원생!$A444="","",SUMIFS(수납!$F:$F,수납!$C:$C,원생!$A444,수납!$D:$D,IF(원생!$G444="","",원생!$G444),수납!$B:$B,$B$1&amp;"-"&amp;TEXT(2,"00")&amp;"*",수납!$E:$E,"수강료")+SUMIFS(수납!$F:$F,수납!$C:$C,원생!$A444,수납!$D:$D,IF(원생!$G444="","",원생!$G444),수납!$B:$B,$B$1&amp;"-"&amp;TEXT(2,"00")&amp;"*",수납!$E:$E,""))</f>
        <v/>
      </c>
      <c r="E446" s="14">
        <f>IF(원생!$A444="","",SUMIFS(수납!$F:$F,수납!$C:$C,원생!$A444,수납!$D:$D,IF(원생!$G444="","",원생!$G444),수납!$B:$B,$B$1&amp;"-"&amp;TEXT(3,"00")&amp;"*",수납!$E:$E,"수강료")+SUMIFS(수납!$F:$F,수납!$C:$C,원생!$A444,수납!$D:$D,IF(원생!$G444="","",원생!$G444),수납!$B:$B,$B$1&amp;"-"&amp;TEXT(3,"00")&amp;"*",수납!$E:$E,""))</f>
        <v/>
      </c>
      <c r="F446" s="14">
        <f>IF(원생!$A444="","",SUMIFS(수납!$F:$F,수납!$C:$C,원생!$A444,수납!$D:$D,IF(원생!$G444="","",원생!$G444),수납!$B:$B,$B$1&amp;"-"&amp;TEXT(4,"00")&amp;"*",수납!$E:$E,"수강료")+SUMIFS(수납!$F:$F,수납!$C:$C,원생!$A444,수납!$D:$D,IF(원생!$G444="","",원생!$G444),수납!$B:$B,$B$1&amp;"-"&amp;TEXT(4,"00")&amp;"*",수납!$E:$E,""))</f>
        <v/>
      </c>
      <c r="G446" s="14">
        <f>IF(원생!$A444="","",SUMIFS(수납!$F:$F,수납!$C:$C,원생!$A444,수납!$D:$D,IF(원생!$G444="","",원생!$G444),수납!$B:$B,$B$1&amp;"-"&amp;TEXT(5,"00")&amp;"*",수납!$E:$E,"수강료")+SUMIFS(수납!$F:$F,수납!$C:$C,원생!$A444,수납!$D:$D,IF(원생!$G444="","",원생!$G444),수납!$B:$B,$B$1&amp;"-"&amp;TEXT(5,"00")&amp;"*",수납!$E:$E,""))</f>
        <v/>
      </c>
      <c r="H446" s="14">
        <f>IF(원생!$A444="","",SUMIFS(수납!$F:$F,수납!$C:$C,원생!$A444,수납!$D:$D,IF(원생!$G444="","",원생!$G444),수납!$B:$B,$B$1&amp;"-"&amp;TEXT(6,"00")&amp;"*",수납!$E:$E,"수강료")+SUMIFS(수납!$F:$F,수납!$C:$C,원생!$A444,수납!$D:$D,IF(원생!$G444="","",원생!$G444),수납!$B:$B,$B$1&amp;"-"&amp;TEXT(6,"00")&amp;"*",수납!$E:$E,""))</f>
        <v/>
      </c>
      <c r="I446" s="14">
        <f>IF(원생!$A444="","",SUMIFS(수납!$F:$F,수납!$C:$C,원생!$A444,수납!$D:$D,IF(원생!$G444="","",원생!$G444),수납!$B:$B,$B$1&amp;"-"&amp;TEXT(7,"00")&amp;"*",수납!$E:$E,"수강료")+SUMIFS(수납!$F:$F,수납!$C:$C,원생!$A444,수납!$D:$D,IF(원생!$G444="","",원생!$G444),수납!$B:$B,$B$1&amp;"-"&amp;TEXT(7,"00")&amp;"*",수납!$E:$E,""))</f>
        <v/>
      </c>
      <c r="J446" s="14">
        <f>IF(원생!$A444="","",SUMIFS(수납!$F:$F,수납!$C:$C,원생!$A444,수납!$D:$D,IF(원생!$G444="","",원생!$G444),수납!$B:$B,$B$1&amp;"-"&amp;TEXT(8,"00")&amp;"*",수납!$E:$E,"수강료")+SUMIFS(수납!$F:$F,수납!$C:$C,원생!$A444,수납!$D:$D,IF(원생!$G444="","",원생!$G444),수납!$B:$B,$B$1&amp;"-"&amp;TEXT(8,"00")&amp;"*",수납!$E:$E,""))</f>
        <v/>
      </c>
      <c r="K446" s="14">
        <f>IF(원생!$A444="","",SUMIFS(수납!$F:$F,수납!$C:$C,원생!$A444,수납!$D:$D,IF(원생!$G444="","",원생!$G444),수납!$B:$B,$B$1&amp;"-"&amp;TEXT(9,"00")&amp;"*",수납!$E:$E,"수강료")+SUMIFS(수납!$F:$F,수납!$C:$C,원생!$A444,수납!$D:$D,IF(원생!$G444="","",원생!$G444),수납!$B:$B,$B$1&amp;"-"&amp;TEXT(9,"00")&amp;"*",수납!$E:$E,""))</f>
        <v/>
      </c>
      <c r="L446" s="14">
        <f>IF(원생!$A444="","",SUMIFS(수납!$F:$F,수납!$C:$C,원생!$A444,수납!$D:$D,IF(원생!$G444="","",원생!$G444),수납!$B:$B,$B$1&amp;"-"&amp;TEXT(10,"00")&amp;"*",수납!$E:$E,"수강료")+SUMIFS(수납!$F:$F,수납!$C:$C,원생!$A444,수납!$D:$D,IF(원생!$G444="","",원생!$G444),수납!$B:$B,$B$1&amp;"-"&amp;TEXT(10,"00")&amp;"*",수납!$E:$E,""))</f>
        <v/>
      </c>
      <c r="M446" s="14">
        <f>IF(원생!$A444="","",SUMIFS(수납!$F:$F,수납!$C:$C,원생!$A444,수납!$D:$D,IF(원생!$G444="","",원생!$G444),수납!$B:$B,$B$1&amp;"-"&amp;TEXT(11,"00")&amp;"*",수납!$E:$E,"수강료")+SUMIFS(수납!$F:$F,수납!$C:$C,원생!$A444,수납!$D:$D,IF(원생!$G444="","",원생!$G444),수납!$B:$B,$B$1&amp;"-"&amp;TEXT(11,"00")&amp;"*",수납!$E:$E,""))</f>
        <v/>
      </c>
      <c r="N446" s="14">
        <f>IF(원생!$A444="","",SUMIFS(수납!$F:$F,수납!$C:$C,원생!$A444,수납!$D:$D,IF(원생!$G444="","",원생!$G444),수납!$B:$B,$B$1&amp;"-"&amp;TEXT(12,"00")&amp;"*",수납!$E:$E,"수강료")+SUMIFS(수납!$F:$F,수납!$C:$C,원생!$A444,수납!$D:$D,IF(원생!$G444="","",원생!$G444),수납!$B:$B,$B$1&amp;"-"&amp;TEXT(12,"00")&amp;"*",수납!$E:$E,""))</f>
        <v/>
      </c>
      <c r="O446">
        <f>IF(원생!$I444="","",원생!$I444)</f>
        <v/>
      </c>
      <c r="P446">
        <f>IF($A446="","",IF(AND($B446&gt;0,C446&lt;$B446,DATE($B$1,1,1)&lt;=TODAY(),OR($O446="",$O446&gt;=DATE($B$1,1,1)),OR(COUNTIF($C446:C446,"&gt;0")&gt;0,DATE($B$1,1,1)=DATE(YEAR(TODAY()),MONTH(TODAY()),1))),1,0))</f>
        <v/>
      </c>
      <c r="Q446">
        <f>IF($A446="","",IF(AND($B446&gt;0,D446&lt;$B446,DATE($B$1,2,1)&lt;=TODAY(),OR($O446="",$O446&gt;=DATE($B$1,2,1)),OR(COUNTIF($C446:D446,"&gt;0")&gt;0,DATE($B$1,2,1)=DATE(YEAR(TODAY()),MONTH(TODAY()),1))),1,0))</f>
        <v/>
      </c>
      <c r="R446">
        <f>IF($A446="","",IF(AND($B446&gt;0,E446&lt;$B446,DATE($B$1,3,1)&lt;=TODAY(),OR($O446="",$O446&gt;=DATE($B$1,3,1)),OR(COUNTIF($C446:E446,"&gt;0")&gt;0,DATE($B$1,3,1)=DATE(YEAR(TODAY()),MONTH(TODAY()),1))),1,0))</f>
        <v/>
      </c>
      <c r="S446">
        <f>IF($A446="","",IF(AND($B446&gt;0,F446&lt;$B446,DATE($B$1,4,1)&lt;=TODAY(),OR($O446="",$O446&gt;=DATE($B$1,4,1)),OR(COUNTIF($C446:F446,"&gt;0")&gt;0,DATE($B$1,4,1)=DATE(YEAR(TODAY()),MONTH(TODAY()),1))),1,0))</f>
        <v/>
      </c>
      <c r="T446">
        <f>IF($A446="","",IF(AND($B446&gt;0,G446&lt;$B446,DATE($B$1,5,1)&lt;=TODAY(),OR($O446="",$O446&gt;=DATE($B$1,5,1)),OR(COUNTIF($C446:G446,"&gt;0")&gt;0,DATE($B$1,5,1)=DATE(YEAR(TODAY()),MONTH(TODAY()),1))),1,0))</f>
        <v/>
      </c>
      <c r="U446">
        <f>IF($A446="","",IF(AND($B446&gt;0,H446&lt;$B446,DATE($B$1,6,1)&lt;=TODAY(),OR($O446="",$O446&gt;=DATE($B$1,6,1)),OR(COUNTIF($C446:H446,"&gt;0")&gt;0,DATE($B$1,6,1)=DATE(YEAR(TODAY()),MONTH(TODAY()),1))),1,0))</f>
        <v/>
      </c>
      <c r="V446">
        <f>IF($A446="","",IF(AND($B446&gt;0,I446&lt;$B446,DATE($B$1,7,1)&lt;=TODAY(),OR($O446="",$O446&gt;=DATE($B$1,7,1)),OR(COUNTIF($C446:I446,"&gt;0")&gt;0,DATE($B$1,7,1)=DATE(YEAR(TODAY()),MONTH(TODAY()),1))),1,0))</f>
        <v/>
      </c>
      <c r="W446">
        <f>IF($A446="","",IF(AND($B446&gt;0,J446&lt;$B446,DATE($B$1,8,1)&lt;=TODAY(),OR($O446="",$O446&gt;=DATE($B$1,8,1)),OR(COUNTIF($C446:J446,"&gt;0")&gt;0,DATE($B$1,8,1)=DATE(YEAR(TODAY()),MONTH(TODAY()),1))),1,0))</f>
        <v/>
      </c>
      <c r="X446">
        <f>IF($A446="","",IF(AND($B446&gt;0,K446&lt;$B446,DATE($B$1,9,1)&lt;=TODAY(),OR($O446="",$O446&gt;=DATE($B$1,9,1)),OR(COUNTIF($C446:K446,"&gt;0")&gt;0,DATE($B$1,9,1)=DATE(YEAR(TODAY()),MONTH(TODAY()),1))),1,0))</f>
        <v/>
      </c>
      <c r="Y446">
        <f>IF($A446="","",IF(AND($B446&gt;0,L446&lt;$B446,DATE($B$1,10,1)&lt;=TODAY(),OR($O446="",$O446&gt;=DATE($B$1,10,1)),OR(COUNTIF($C446:L446,"&gt;0")&gt;0,DATE($B$1,10,1)=DATE(YEAR(TODAY()),MONTH(TODAY()),1))),1,0))</f>
        <v/>
      </c>
      <c r="Z446">
        <f>IF($A446="","",IF(AND($B446&gt;0,M446&lt;$B446,DATE($B$1,11,1)&lt;=TODAY(),OR($O446="",$O446&gt;=DATE($B$1,11,1)),OR(COUNTIF($C446:M446,"&gt;0")&gt;0,DATE($B$1,11,1)=DATE(YEAR(TODAY()),MONTH(TODAY()),1))),1,0))</f>
        <v/>
      </c>
      <c r="AA446">
        <f>IF($A446="","",IF(AND($B446&gt;0,N446&lt;$B446,DATE($B$1,12,1)&lt;=TODAY(),OR($O446="",$O446&gt;=DATE($B$1,12,1)),OR(COUNTIF($C446:N446,"&gt;0")&gt;0,DATE($B$1,12,1)=DATE(YEAR(TODAY()),MONTH(TODAY()),1))),1,0))</f>
        <v/>
      </c>
    </row>
    <row r="447">
      <c r="A447" s="13">
        <f>IF(원생!$A445="","",원생!$A445&amp;IF(원생!$G445="",""," ("&amp;원생!$G445&amp;")"))</f>
        <v/>
      </c>
      <c r="B447" s="8">
        <f>IF(원생!$A445="","",원생!$F445)</f>
        <v/>
      </c>
      <c r="C447" s="14">
        <f>IF(원생!$A445="","",SUMIFS(수납!$F:$F,수납!$C:$C,원생!$A445,수납!$D:$D,IF(원생!$G445="","",원생!$G445),수납!$B:$B,$B$1&amp;"-"&amp;TEXT(1,"00")&amp;"*",수납!$E:$E,"수강료")+SUMIFS(수납!$F:$F,수납!$C:$C,원생!$A445,수납!$D:$D,IF(원생!$G445="","",원생!$G445),수납!$B:$B,$B$1&amp;"-"&amp;TEXT(1,"00")&amp;"*",수납!$E:$E,""))</f>
        <v/>
      </c>
      <c r="D447" s="14">
        <f>IF(원생!$A445="","",SUMIFS(수납!$F:$F,수납!$C:$C,원생!$A445,수납!$D:$D,IF(원생!$G445="","",원생!$G445),수납!$B:$B,$B$1&amp;"-"&amp;TEXT(2,"00")&amp;"*",수납!$E:$E,"수강료")+SUMIFS(수납!$F:$F,수납!$C:$C,원생!$A445,수납!$D:$D,IF(원생!$G445="","",원생!$G445),수납!$B:$B,$B$1&amp;"-"&amp;TEXT(2,"00")&amp;"*",수납!$E:$E,""))</f>
        <v/>
      </c>
      <c r="E447" s="14">
        <f>IF(원생!$A445="","",SUMIFS(수납!$F:$F,수납!$C:$C,원생!$A445,수납!$D:$D,IF(원생!$G445="","",원생!$G445),수납!$B:$B,$B$1&amp;"-"&amp;TEXT(3,"00")&amp;"*",수납!$E:$E,"수강료")+SUMIFS(수납!$F:$F,수납!$C:$C,원생!$A445,수납!$D:$D,IF(원생!$G445="","",원생!$G445),수납!$B:$B,$B$1&amp;"-"&amp;TEXT(3,"00")&amp;"*",수납!$E:$E,""))</f>
        <v/>
      </c>
      <c r="F447" s="14">
        <f>IF(원생!$A445="","",SUMIFS(수납!$F:$F,수납!$C:$C,원생!$A445,수납!$D:$D,IF(원생!$G445="","",원생!$G445),수납!$B:$B,$B$1&amp;"-"&amp;TEXT(4,"00")&amp;"*",수납!$E:$E,"수강료")+SUMIFS(수납!$F:$F,수납!$C:$C,원생!$A445,수납!$D:$D,IF(원생!$G445="","",원생!$G445),수납!$B:$B,$B$1&amp;"-"&amp;TEXT(4,"00")&amp;"*",수납!$E:$E,""))</f>
        <v/>
      </c>
      <c r="G447" s="14">
        <f>IF(원생!$A445="","",SUMIFS(수납!$F:$F,수납!$C:$C,원생!$A445,수납!$D:$D,IF(원생!$G445="","",원생!$G445),수납!$B:$B,$B$1&amp;"-"&amp;TEXT(5,"00")&amp;"*",수납!$E:$E,"수강료")+SUMIFS(수납!$F:$F,수납!$C:$C,원생!$A445,수납!$D:$D,IF(원생!$G445="","",원생!$G445),수납!$B:$B,$B$1&amp;"-"&amp;TEXT(5,"00")&amp;"*",수납!$E:$E,""))</f>
        <v/>
      </c>
      <c r="H447" s="14">
        <f>IF(원생!$A445="","",SUMIFS(수납!$F:$F,수납!$C:$C,원생!$A445,수납!$D:$D,IF(원생!$G445="","",원생!$G445),수납!$B:$B,$B$1&amp;"-"&amp;TEXT(6,"00")&amp;"*",수납!$E:$E,"수강료")+SUMIFS(수납!$F:$F,수납!$C:$C,원생!$A445,수납!$D:$D,IF(원생!$G445="","",원생!$G445),수납!$B:$B,$B$1&amp;"-"&amp;TEXT(6,"00")&amp;"*",수납!$E:$E,""))</f>
        <v/>
      </c>
      <c r="I447" s="14">
        <f>IF(원생!$A445="","",SUMIFS(수납!$F:$F,수납!$C:$C,원생!$A445,수납!$D:$D,IF(원생!$G445="","",원생!$G445),수납!$B:$B,$B$1&amp;"-"&amp;TEXT(7,"00")&amp;"*",수납!$E:$E,"수강료")+SUMIFS(수납!$F:$F,수납!$C:$C,원생!$A445,수납!$D:$D,IF(원생!$G445="","",원생!$G445),수납!$B:$B,$B$1&amp;"-"&amp;TEXT(7,"00")&amp;"*",수납!$E:$E,""))</f>
        <v/>
      </c>
      <c r="J447" s="14">
        <f>IF(원생!$A445="","",SUMIFS(수납!$F:$F,수납!$C:$C,원생!$A445,수납!$D:$D,IF(원생!$G445="","",원생!$G445),수납!$B:$B,$B$1&amp;"-"&amp;TEXT(8,"00")&amp;"*",수납!$E:$E,"수강료")+SUMIFS(수납!$F:$F,수납!$C:$C,원생!$A445,수납!$D:$D,IF(원생!$G445="","",원생!$G445),수납!$B:$B,$B$1&amp;"-"&amp;TEXT(8,"00")&amp;"*",수납!$E:$E,""))</f>
        <v/>
      </c>
      <c r="K447" s="14">
        <f>IF(원생!$A445="","",SUMIFS(수납!$F:$F,수납!$C:$C,원생!$A445,수납!$D:$D,IF(원생!$G445="","",원생!$G445),수납!$B:$B,$B$1&amp;"-"&amp;TEXT(9,"00")&amp;"*",수납!$E:$E,"수강료")+SUMIFS(수납!$F:$F,수납!$C:$C,원생!$A445,수납!$D:$D,IF(원생!$G445="","",원생!$G445),수납!$B:$B,$B$1&amp;"-"&amp;TEXT(9,"00")&amp;"*",수납!$E:$E,""))</f>
        <v/>
      </c>
      <c r="L447" s="14">
        <f>IF(원생!$A445="","",SUMIFS(수납!$F:$F,수납!$C:$C,원생!$A445,수납!$D:$D,IF(원생!$G445="","",원생!$G445),수납!$B:$B,$B$1&amp;"-"&amp;TEXT(10,"00")&amp;"*",수납!$E:$E,"수강료")+SUMIFS(수납!$F:$F,수납!$C:$C,원생!$A445,수납!$D:$D,IF(원생!$G445="","",원생!$G445),수납!$B:$B,$B$1&amp;"-"&amp;TEXT(10,"00")&amp;"*",수납!$E:$E,""))</f>
        <v/>
      </c>
      <c r="M447" s="14">
        <f>IF(원생!$A445="","",SUMIFS(수납!$F:$F,수납!$C:$C,원생!$A445,수납!$D:$D,IF(원생!$G445="","",원생!$G445),수납!$B:$B,$B$1&amp;"-"&amp;TEXT(11,"00")&amp;"*",수납!$E:$E,"수강료")+SUMIFS(수납!$F:$F,수납!$C:$C,원생!$A445,수납!$D:$D,IF(원생!$G445="","",원생!$G445),수납!$B:$B,$B$1&amp;"-"&amp;TEXT(11,"00")&amp;"*",수납!$E:$E,""))</f>
        <v/>
      </c>
      <c r="N447" s="14">
        <f>IF(원생!$A445="","",SUMIFS(수납!$F:$F,수납!$C:$C,원생!$A445,수납!$D:$D,IF(원생!$G445="","",원생!$G445),수납!$B:$B,$B$1&amp;"-"&amp;TEXT(12,"00")&amp;"*",수납!$E:$E,"수강료")+SUMIFS(수납!$F:$F,수납!$C:$C,원생!$A445,수납!$D:$D,IF(원생!$G445="","",원생!$G445),수납!$B:$B,$B$1&amp;"-"&amp;TEXT(12,"00")&amp;"*",수납!$E:$E,""))</f>
        <v/>
      </c>
      <c r="O447">
        <f>IF(원생!$I445="","",원생!$I445)</f>
        <v/>
      </c>
      <c r="P447">
        <f>IF($A447="","",IF(AND($B447&gt;0,C447&lt;$B447,DATE($B$1,1,1)&lt;=TODAY(),OR($O447="",$O447&gt;=DATE($B$1,1,1)),OR(COUNTIF($C447:C447,"&gt;0")&gt;0,DATE($B$1,1,1)=DATE(YEAR(TODAY()),MONTH(TODAY()),1))),1,0))</f>
        <v/>
      </c>
      <c r="Q447">
        <f>IF($A447="","",IF(AND($B447&gt;0,D447&lt;$B447,DATE($B$1,2,1)&lt;=TODAY(),OR($O447="",$O447&gt;=DATE($B$1,2,1)),OR(COUNTIF($C447:D447,"&gt;0")&gt;0,DATE($B$1,2,1)=DATE(YEAR(TODAY()),MONTH(TODAY()),1))),1,0))</f>
        <v/>
      </c>
      <c r="R447">
        <f>IF($A447="","",IF(AND($B447&gt;0,E447&lt;$B447,DATE($B$1,3,1)&lt;=TODAY(),OR($O447="",$O447&gt;=DATE($B$1,3,1)),OR(COUNTIF($C447:E447,"&gt;0")&gt;0,DATE($B$1,3,1)=DATE(YEAR(TODAY()),MONTH(TODAY()),1))),1,0))</f>
        <v/>
      </c>
      <c r="S447">
        <f>IF($A447="","",IF(AND($B447&gt;0,F447&lt;$B447,DATE($B$1,4,1)&lt;=TODAY(),OR($O447="",$O447&gt;=DATE($B$1,4,1)),OR(COUNTIF($C447:F447,"&gt;0")&gt;0,DATE($B$1,4,1)=DATE(YEAR(TODAY()),MONTH(TODAY()),1))),1,0))</f>
        <v/>
      </c>
      <c r="T447">
        <f>IF($A447="","",IF(AND($B447&gt;0,G447&lt;$B447,DATE($B$1,5,1)&lt;=TODAY(),OR($O447="",$O447&gt;=DATE($B$1,5,1)),OR(COUNTIF($C447:G447,"&gt;0")&gt;0,DATE($B$1,5,1)=DATE(YEAR(TODAY()),MONTH(TODAY()),1))),1,0))</f>
        <v/>
      </c>
      <c r="U447">
        <f>IF($A447="","",IF(AND($B447&gt;0,H447&lt;$B447,DATE($B$1,6,1)&lt;=TODAY(),OR($O447="",$O447&gt;=DATE($B$1,6,1)),OR(COUNTIF($C447:H447,"&gt;0")&gt;0,DATE($B$1,6,1)=DATE(YEAR(TODAY()),MONTH(TODAY()),1))),1,0))</f>
        <v/>
      </c>
      <c r="V447">
        <f>IF($A447="","",IF(AND($B447&gt;0,I447&lt;$B447,DATE($B$1,7,1)&lt;=TODAY(),OR($O447="",$O447&gt;=DATE($B$1,7,1)),OR(COUNTIF($C447:I447,"&gt;0")&gt;0,DATE($B$1,7,1)=DATE(YEAR(TODAY()),MONTH(TODAY()),1))),1,0))</f>
        <v/>
      </c>
      <c r="W447">
        <f>IF($A447="","",IF(AND($B447&gt;0,J447&lt;$B447,DATE($B$1,8,1)&lt;=TODAY(),OR($O447="",$O447&gt;=DATE($B$1,8,1)),OR(COUNTIF($C447:J447,"&gt;0")&gt;0,DATE($B$1,8,1)=DATE(YEAR(TODAY()),MONTH(TODAY()),1))),1,0))</f>
        <v/>
      </c>
      <c r="X447">
        <f>IF($A447="","",IF(AND($B447&gt;0,K447&lt;$B447,DATE($B$1,9,1)&lt;=TODAY(),OR($O447="",$O447&gt;=DATE($B$1,9,1)),OR(COUNTIF($C447:K447,"&gt;0")&gt;0,DATE($B$1,9,1)=DATE(YEAR(TODAY()),MONTH(TODAY()),1))),1,0))</f>
        <v/>
      </c>
      <c r="Y447">
        <f>IF($A447="","",IF(AND($B447&gt;0,L447&lt;$B447,DATE($B$1,10,1)&lt;=TODAY(),OR($O447="",$O447&gt;=DATE($B$1,10,1)),OR(COUNTIF($C447:L447,"&gt;0")&gt;0,DATE($B$1,10,1)=DATE(YEAR(TODAY()),MONTH(TODAY()),1))),1,0))</f>
        <v/>
      </c>
      <c r="Z447">
        <f>IF($A447="","",IF(AND($B447&gt;0,M447&lt;$B447,DATE($B$1,11,1)&lt;=TODAY(),OR($O447="",$O447&gt;=DATE($B$1,11,1)),OR(COUNTIF($C447:M447,"&gt;0")&gt;0,DATE($B$1,11,1)=DATE(YEAR(TODAY()),MONTH(TODAY()),1))),1,0))</f>
        <v/>
      </c>
      <c r="AA447">
        <f>IF($A447="","",IF(AND($B447&gt;0,N447&lt;$B447,DATE($B$1,12,1)&lt;=TODAY(),OR($O447="",$O447&gt;=DATE($B$1,12,1)),OR(COUNTIF($C447:N447,"&gt;0")&gt;0,DATE($B$1,12,1)=DATE(YEAR(TODAY()),MONTH(TODAY()),1))),1,0))</f>
        <v/>
      </c>
    </row>
    <row r="448">
      <c r="A448" s="13">
        <f>IF(원생!$A446="","",원생!$A446&amp;IF(원생!$G446="",""," ("&amp;원생!$G446&amp;")"))</f>
        <v/>
      </c>
      <c r="B448" s="8">
        <f>IF(원생!$A446="","",원생!$F446)</f>
        <v/>
      </c>
      <c r="C448" s="14">
        <f>IF(원생!$A446="","",SUMIFS(수납!$F:$F,수납!$C:$C,원생!$A446,수납!$D:$D,IF(원생!$G446="","",원생!$G446),수납!$B:$B,$B$1&amp;"-"&amp;TEXT(1,"00")&amp;"*",수납!$E:$E,"수강료")+SUMIFS(수납!$F:$F,수납!$C:$C,원생!$A446,수납!$D:$D,IF(원생!$G446="","",원생!$G446),수납!$B:$B,$B$1&amp;"-"&amp;TEXT(1,"00")&amp;"*",수납!$E:$E,""))</f>
        <v/>
      </c>
      <c r="D448" s="14">
        <f>IF(원생!$A446="","",SUMIFS(수납!$F:$F,수납!$C:$C,원생!$A446,수납!$D:$D,IF(원생!$G446="","",원생!$G446),수납!$B:$B,$B$1&amp;"-"&amp;TEXT(2,"00")&amp;"*",수납!$E:$E,"수강료")+SUMIFS(수납!$F:$F,수납!$C:$C,원생!$A446,수납!$D:$D,IF(원생!$G446="","",원생!$G446),수납!$B:$B,$B$1&amp;"-"&amp;TEXT(2,"00")&amp;"*",수납!$E:$E,""))</f>
        <v/>
      </c>
      <c r="E448" s="14">
        <f>IF(원생!$A446="","",SUMIFS(수납!$F:$F,수납!$C:$C,원생!$A446,수납!$D:$D,IF(원생!$G446="","",원생!$G446),수납!$B:$B,$B$1&amp;"-"&amp;TEXT(3,"00")&amp;"*",수납!$E:$E,"수강료")+SUMIFS(수납!$F:$F,수납!$C:$C,원생!$A446,수납!$D:$D,IF(원생!$G446="","",원생!$G446),수납!$B:$B,$B$1&amp;"-"&amp;TEXT(3,"00")&amp;"*",수납!$E:$E,""))</f>
        <v/>
      </c>
      <c r="F448" s="14">
        <f>IF(원생!$A446="","",SUMIFS(수납!$F:$F,수납!$C:$C,원생!$A446,수납!$D:$D,IF(원생!$G446="","",원생!$G446),수납!$B:$B,$B$1&amp;"-"&amp;TEXT(4,"00")&amp;"*",수납!$E:$E,"수강료")+SUMIFS(수납!$F:$F,수납!$C:$C,원생!$A446,수납!$D:$D,IF(원생!$G446="","",원생!$G446),수납!$B:$B,$B$1&amp;"-"&amp;TEXT(4,"00")&amp;"*",수납!$E:$E,""))</f>
        <v/>
      </c>
      <c r="G448" s="14">
        <f>IF(원생!$A446="","",SUMIFS(수납!$F:$F,수납!$C:$C,원생!$A446,수납!$D:$D,IF(원생!$G446="","",원생!$G446),수납!$B:$B,$B$1&amp;"-"&amp;TEXT(5,"00")&amp;"*",수납!$E:$E,"수강료")+SUMIFS(수납!$F:$F,수납!$C:$C,원생!$A446,수납!$D:$D,IF(원생!$G446="","",원생!$G446),수납!$B:$B,$B$1&amp;"-"&amp;TEXT(5,"00")&amp;"*",수납!$E:$E,""))</f>
        <v/>
      </c>
      <c r="H448" s="14">
        <f>IF(원생!$A446="","",SUMIFS(수납!$F:$F,수납!$C:$C,원생!$A446,수납!$D:$D,IF(원생!$G446="","",원생!$G446),수납!$B:$B,$B$1&amp;"-"&amp;TEXT(6,"00")&amp;"*",수납!$E:$E,"수강료")+SUMIFS(수납!$F:$F,수납!$C:$C,원생!$A446,수납!$D:$D,IF(원생!$G446="","",원생!$G446),수납!$B:$B,$B$1&amp;"-"&amp;TEXT(6,"00")&amp;"*",수납!$E:$E,""))</f>
        <v/>
      </c>
      <c r="I448" s="14">
        <f>IF(원생!$A446="","",SUMIFS(수납!$F:$F,수납!$C:$C,원생!$A446,수납!$D:$D,IF(원생!$G446="","",원생!$G446),수납!$B:$B,$B$1&amp;"-"&amp;TEXT(7,"00")&amp;"*",수납!$E:$E,"수강료")+SUMIFS(수납!$F:$F,수납!$C:$C,원생!$A446,수납!$D:$D,IF(원생!$G446="","",원생!$G446),수납!$B:$B,$B$1&amp;"-"&amp;TEXT(7,"00")&amp;"*",수납!$E:$E,""))</f>
        <v/>
      </c>
      <c r="J448" s="14">
        <f>IF(원생!$A446="","",SUMIFS(수납!$F:$F,수납!$C:$C,원생!$A446,수납!$D:$D,IF(원생!$G446="","",원생!$G446),수납!$B:$B,$B$1&amp;"-"&amp;TEXT(8,"00")&amp;"*",수납!$E:$E,"수강료")+SUMIFS(수납!$F:$F,수납!$C:$C,원생!$A446,수납!$D:$D,IF(원생!$G446="","",원생!$G446),수납!$B:$B,$B$1&amp;"-"&amp;TEXT(8,"00")&amp;"*",수납!$E:$E,""))</f>
        <v/>
      </c>
      <c r="K448" s="14">
        <f>IF(원생!$A446="","",SUMIFS(수납!$F:$F,수납!$C:$C,원생!$A446,수납!$D:$D,IF(원생!$G446="","",원생!$G446),수납!$B:$B,$B$1&amp;"-"&amp;TEXT(9,"00")&amp;"*",수납!$E:$E,"수강료")+SUMIFS(수납!$F:$F,수납!$C:$C,원생!$A446,수납!$D:$D,IF(원생!$G446="","",원생!$G446),수납!$B:$B,$B$1&amp;"-"&amp;TEXT(9,"00")&amp;"*",수납!$E:$E,""))</f>
        <v/>
      </c>
      <c r="L448" s="14">
        <f>IF(원생!$A446="","",SUMIFS(수납!$F:$F,수납!$C:$C,원생!$A446,수납!$D:$D,IF(원생!$G446="","",원생!$G446),수납!$B:$B,$B$1&amp;"-"&amp;TEXT(10,"00")&amp;"*",수납!$E:$E,"수강료")+SUMIFS(수납!$F:$F,수납!$C:$C,원생!$A446,수납!$D:$D,IF(원생!$G446="","",원생!$G446),수납!$B:$B,$B$1&amp;"-"&amp;TEXT(10,"00")&amp;"*",수납!$E:$E,""))</f>
        <v/>
      </c>
      <c r="M448" s="14">
        <f>IF(원생!$A446="","",SUMIFS(수납!$F:$F,수납!$C:$C,원생!$A446,수납!$D:$D,IF(원생!$G446="","",원생!$G446),수납!$B:$B,$B$1&amp;"-"&amp;TEXT(11,"00")&amp;"*",수납!$E:$E,"수강료")+SUMIFS(수납!$F:$F,수납!$C:$C,원생!$A446,수납!$D:$D,IF(원생!$G446="","",원생!$G446),수납!$B:$B,$B$1&amp;"-"&amp;TEXT(11,"00")&amp;"*",수납!$E:$E,""))</f>
        <v/>
      </c>
      <c r="N448" s="14">
        <f>IF(원생!$A446="","",SUMIFS(수납!$F:$F,수납!$C:$C,원생!$A446,수납!$D:$D,IF(원생!$G446="","",원생!$G446),수납!$B:$B,$B$1&amp;"-"&amp;TEXT(12,"00")&amp;"*",수납!$E:$E,"수강료")+SUMIFS(수납!$F:$F,수납!$C:$C,원생!$A446,수납!$D:$D,IF(원생!$G446="","",원생!$G446),수납!$B:$B,$B$1&amp;"-"&amp;TEXT(12,"00")&amp;"*",수납!$E:$E,""))</f>
        <v/>
      </c>
      <c r="O448">
        <f>IF(원생!$I446="","",원생!$I446)</f>
        <v/>
      </c>
      <c r="P448">
        <f>IF($A448="","",IF(AND($B448&gt;0,C448&lt;$B448,DATE($B$1,1,1)&lt;=TODAY(),OR($O448="",$O448&gt;=DATE($B$1,1,1)),OR(COUNTIF($C448:C448,"&gt;0")&gt;0,DATE($B$1,1,1)=DATE(YEAR(TODAY()),MONTH(TODAY()),1))),1,0))</f>
        <v/>
      </c>
      <c r="Q448">
        <f>IF($A448="","",IF(AND($B448&gt;0,D448&lt;$B448,DATE($B$1,2,1)&lt;=TODAY(),OR($O448="",$O448&gt;=DATE($B$1,2,1)),OR(COUNTIF($C448:D448,"&gt;0")&gt;0,DATE($B$1,2,1)=DATE(YEAR(TODAY()),MONTH(TODAY()),1))),1,0))</f>
        <v/>
      </c>
      <c r="R448">
        <f>IF($A448="","",IF(AND($B448&gt;0,E448&lt;$B448,DATE($B$1,3,1)&lt;=TODAY(),OR($O448="",$O448&gt;=DATE($B$1,3,1)),OR(COUNTIF($C448:E448,"&gt;0")&gt;0,DATE($B$1,3,1)=DATE(YEAR(TODAY()),MONTH(TODAY()),1))),1,0))</f>
        <v/>
      </c>
      <c r="S448">
        <f>IF($A448="","",IF(AND($B448&gt;0,F448&lt;$B448,DATE($B$1,4,1)&lt;=TODAY(),OR($O448="",$O448&gt;=DATE($B$1,4,1)),OR(COUNTIF($C448:F448,"&gt;0")&gt;0,DATE($B$1,4,1)=DATE(YEAR(TODAY()),MONTH(TODAY()),1))),1,0))</f>
        <v/>
      </c>
      <c r="T448">
        <f>IF($A448="","",IF(AND($B448&gt;0,G448&lt;$B448,DATE($B$1,5,1)&lt;=TODAY(),OR($O448="",$O448&gt;=DATE($B$1,5,1)),OR(COUNTIF($C448:G448,"&gt;0")&gt;0,DATE($B$1,5,1)=DATE(YEAR(TODAY()),MONTH(TODAY()),1))),1,0))</f>
        <v/>
      </c>
      <c r="U448">
        <f>IF($A448="","",IF(AND($B448&gt;0,H448&lt;$B448,DATE($B$1,6,1)&lt;=TODAY(),OR($O448="",$O448&gt;=DATE($B$1,6,1)),OR(COUNTIF($C448:H448,"&gt;0")&gt;0,DATE($B$1,6,1)=DATE(YEAR(TODAY()),MONTH(TODAY()),1))),1,0))</f>
        <v/>
      </c>
      <c r="V448">
        <f>IF($A448="","",IF(AND($B448&gt;0,I448&lt;$B448,DATE($B$1,7,1)&lt;=TODAY(),OR($O448="",$O448&gt;=DATE($B$1,7,1)),OR(COUNTIF($C448:I448,"&gt;0")&gt;0,DATE($B$1,7,1)=DATE(YEAR(TODAY()),MONTH(TODAY()),1))),1,0))</f>
        <v/>
      </c>
      <c r="W448">
        <f>IF($A448="","",IF(AND($B448&gt;0,J448&lt;$B448,DATE($B$1,8,1)&lt;=TODAY(),OR($O448="",$O448&gt;=DATE($B$1,8,1)),OR(COUNTIF($C448:J448,"&gt;0")&gt;0,DATE($B$1,8,1)=DATE(YEAR(TODAY()),MONTH(TODAY()),1))),1,0))</f>
        <v/>
      </c>
      <c r="X448">
        <f>IF($A448="","",IF(AND($B448&gt;0,K448&lt;$B448,DATE($B$1,9,1)&lt;=TODAY(),OR($O448="",$O448&gt;=DATE($B$1,9,1)),OR(COUNTIF($C448:K448,"&gt;0")&gt;0,DATE($B$1,9,1)=DATE(YEAR(TODAY()),MONTH(TODAY()),1))),1,0))</f>
        <v/>
      </c>
      <c r="Y448">
        <f>IF($A448="","",IF(AND($B448&gt;0,L448&lt;$B448,DATE($B$1,10,1)&lt;=TODAY(),OR($O448="",$O448&gt;=DATE($B$1,10,1)),OR(COUNTIF($C448:L448,"&gt;0")&gt;0,DATE($B$1,10,1)=DATE(YEAR(TODAY()),MONTH(TODAY()),1))),1,0))</f>
        <v/>
      </c>
      <c r="Z448">
        <f>IF($A448="","",IF(AND($B448&gt;0,M448&lt;$B448,DATE($B$1,11,1)&lt;=TODAY(),OR($O448="",$O448&gt;=DATE($B$1,11,1)),OR(COUNTIF($C448:M448,"&gt;0")&gt;0,DATE($B$1,11,1)=DATE(YEAR(TODAY()),MONTH(TODAY()),1))),1,0))</f>
        <v/>
      </c>
      <c r="AA448">
        <f>IF($A448="","",IF(AND($B448&gt;0,N448&lt;$B448,DATE($B$1,12,1)&lt;=TODAY(),OR($O448="",$O448&gt;=DATE($B$1,12,1)),OR(COUNTIF($C448:N448,"&gt;0")&gt;0,DATE($B$1,12,1)=DATE(YEAR(TODAY()),MONTH(TODAY()),1))),1,0))</f>
        <v/>
      </c>
    </row>
    <row r="449">
      <c r="A449" s="13">
        <f>IF(원생!$A447="","",원생!$A447&amp;IF(원생!$G447="",""," ("&amp;원생!$G447&amp;")"))</f>
        <v/>
      </c>
      <c r="B449" s="8">
        <f>IF(원생!$A447="","",원생!$F447)</f>
        <v/>
      </c>
      <c r="C449" s="14">
        <f>IF(원생!$A447="","",SUMIFS(수납!$F:$F,수납!$C:$C,원생!$A447,수납!$D:$D,IF(원생!$G447="","",원생!$G447),수납!$B:$B,$B$1&amp;"-"&amp;TEXT(1,"00")&amp;"*",수납!$E:$E,"수강료")+SUMIFS(수납!$F:$F,수납!$C:$C,원생!$A447,수납!$D:$D,IF(원생!$G447="","",원생!$G447),수납!$B:$B,$B$1&amp;"-"&amp;TEXT(1,"00")&amp;"*",수납!$E:$E,""))</f>
        <v/>
      </c>
      <c r="D449" s="14">
        <f>IF(원생!$A447="","",SUMIFS(수납!$F:$F,수납!$C:$C,원생!$A447,수납!$D:$D,IF(원생!$G447="","",원생!$G447),수납!$B:$B,$B$1&amp;"-"&amp;TEXT(2,"00")&amp;"*",수납!$E:$E,"수강료")+SUMIFS(수납!$F:$F,수납!$C:$C,원생!$A447,수납!$D:$D,IF(원생!$G447="","",원생!$G447),수납!$B:$B,$B$1&amp;"-"&amp;TEXT(2,"00")&amp;"*",수납!$E:$E,""))</f>
        <v/>
      </c>
      <c r="E449" s="14">
        <f>IF(원생!$A447="","",SUMIFS(수납!$F:$F,수납!$C:$C,원생!$A447,수납!$D:$D,IF(원생!$G447="","",원생!$G447),수납!$B:$B,$B$1&amp;"-"&amp;TEXT(3,"00")&amp;"*",수납!$E:$E,"수강료")+SUMIFS(수납!$F:$F,수납!$C:$C,원생!$A447,수납!$D:$D,IF(원생!$G447="","",원생!$G447),수납!$B:$B,$B$1&amp;"-"&amp;TEXT(3,"00")&amp;"*",수납!$E:$E,""))</f>
        <v/>
      </c>
      <c r="F449" s="14">
        <f>IF(원생!$A447="","",SUMIFS(수납!$F:$F,수납!$C:$C,원생!$A447,수납!$D:$D,IF(원생!$G447="","",원생!$G447),수납!$B:$B,$B$1&amp;"-"&amp;TEXT(4,"00")&amp;"*",수납!$E:$E,"수강료")+SUMIFS(수납!$F:$F,수납!$C:$C,원생!$A447,수납!$D:$D,IF(원생!$G447="","",원생!$G447),수납!$B:$B,$B$1&amp;"-"&amp;TEXT(4,"00")&amp;"*",수납!$E:$E,""))</f>
        <v/>
      </c>
      <c r="G449" s="14">
        <f>IF(원생!$A447="","",SUMIFS(수납!$F:$F,수납!$C:$C,원생!$A447,수납!$D:$D,IF(원생!$G447="","",원생!$G447),수납!$B:$B,$B$1&amp;"-"&amp;TEXT(5,"00")&amp;"*",수납!$E:$E,"수강료")+SUMIFS(수납!$F:$F,수납!$C:$C,원생!$A447,수납!$D:$D,IF(원생!$G447="","",원생!$G447),수납!$B:$B,$B$1&amp;"-"&amp;TEXT(5,"00")&amp;"*",수납!$E:$E,""))</f>
        <v/>
      </c>
      <c r="H449" s="14">
        <f>IF(원생!$A447="","",SUMIFS(수납!$F:$F,수납!$C:$C,원생!$A447,수납!$D:$D,IF(원생!$G447="","",원생!$G447),수납!$B:$B,$B$1&amp;"-"&amp;TEXT(6,"00")&amp;"*",수납!$E:$E,"수강료")+SUMIFS(수납!$F:$F,수납!$C:$C,원생!$A447,수납!$D:$D,IF(원생!$G447="","",원생!$G447),수납!$B:$B,$B$1&amp;"-"&amp;TEXT(6,"00")&amp;"*",수납!$E:$E,""))</f>
        <v/>
      </c>
      <c r="I449" s="14">
        <f>IF(원생!$A447="","",SUMIFS(수납!$F:$F,수납!$C:$C,원생!$A447,수납!$D:$D,IF(원생!$G447="","",원생!$G447),수납!$B:$B,$B$1&amp;"-"&amp;TEXT(7,"00")&amp;"*",수납!$E:$E,"수강료")+SUMIFS(수납!$F:$F,수납!$C:$C,원생!$A447,수납!$D:$D,IF(원생!$G447="","",원생!$G447),수납!$B:$B,$B$1&amp;"-"&amp;TEXT(7,"00")&amp;"*",수납!$E:$E,""))</f>
        <v/>
      </c>
      <c r="J449" s="14">
        <f>IF(원생!$A447="","",SUMIFS(수납!$F:$F,수납!$C:$C,원생!$A447,수납!$D:$D,IF(원생!$G447="","",원생!$G447),수납!$B:$B,$B$1&amp;"-"&amp;TEXT(8,"00")&amp;"*",수납!$E:$E,"수강료")+SUMIFS(수납!$F:$F,수납!$C:$C,원생!$A447,수납!$D:$D,IF(원생!$G447="","",원생!$G447),수납!$B:$B,$B$1&amp;"-"&amp;TEXT(8,"00")&amp;"*",수납!$E:$E,""))</f>
        <v/>
      </c>
      <c r="K449" s="14">
        <f>IF(원생!$A447="","",SUMIFS(수납!$F:$F,수납!$C:$C,원생!$A447,수납!$D:$D,IF(원생!$G447="","",원생!$G447),수납!$B:$B,$B$1&amp;"-"&amp;TEXT(9,"00")&amp;"*",수납!$E:$E,"수강료")+SUMIFS(수납!$F:$F,수납!$C:$C,원생!$A447,수납!$D:$D,IF(원생!$G447="","",원생!$G447),수납!$B:$B,$B$1&amp;"-"&amp;TEXT(9,"00")&amp;"*",수납!$E:$E,""))</f>
        <v/>
      </c>
      <c r="L449" s="14">
        <f>IF(원생!$A447="","",SUMIFS(수납!$F:$F,수납!$C:$C,원생!$A447,수납!$D:$D,IF(원생!$G447="","",원생!$G447),수납!$B:$B,$B$1&amp;"-"&amp;TEXT(10,"00")&amp;"*",수납!$E:$E,"수강료")+SUMIFS(수납!$F:$F,수납!$C:$C,원생!$A447,수납!$D:$D,IF(원생!$G447="","",원생!$G447),수납!$B:$B,$B$1&amp;"-"&amp;TEXT(10,"00")&amp;"*",수납!$E:$E,""))</f>
        <v/>
      </c>
      <c r="M449" s="14">
        <f>IF(원생!$A447="","",SUMIFS(수납!$F:$F,수납!$C:$C,원생!$A447,수납!$D:$D,IF(원생!$G447="","",원생!$G447),수납!$B:$B,$B$1&amp;"-"&amp;TEXT(11,"00")&amp;"*",수납!$E:$E,"수강료")+SUMIFS(수납!$F:$F,수납!$C:$C,원생!$A447,수납!$D:$D,IF(원생!$G447="","",원생!$G447),수납!$B:$B,$B$1&amp;"-"&amp;TEXT(11,"00")&amp;"*",수납!$E:$E,""))</f>
        <v/>
      </c>
      <c r="N449" s="14">
        <f>IF(원생!$A447="","",SUMIFS(수납!$F:$F,수납!$C:$C,원생!$A447,수납!$D:$D,IF(원생!$G447="","",원생!$G447),수납!$B:$B,$B$1&amp;"-"&amp;TEXT(12,"00")&amp;"*",수납!$E:$E,"수강료")+SUMIFS(수납!$F:$F,수납!$C:$C,원생!$A447,수납!$D:$D,IF(원생!$G447="","",원생!$G447),수납!$B:$B,$B$1&amp;"-"&amp;TEXT(12,"00")&amp;"*",수납!$E:$E,""))</f>
        <v/>
      </c>
      <c r="O449">
        <f>IF(원생!$I447="","",원생!$I447)</f>
        <v/>
      </c>
      <c r="P449">
        <f>IF($A449="","",IF(AND($B449&gt;0,C449&lt;$B449,DATE($B$1,1,1)&lt;=TODAY(),OR($O449="",$O449&gt;=DATE($B$1,1,1)),OR(COUNTIF($C449:C449,"&gt;0")&gt;0,DATE($B$1,1,1)=DATE(YEAR(TODAY()),MONTH(TODAY()),1))),1,0))</f>
        <v/>
      </c>
      <c r="Q449">
        <f>IF($A449="","",IF(AND($B449&gt;0,D449&lt;$B449,DATE($B$1,2,1)&lt;=TODAY(),OR($O449="",$O449&gt;=DATE($B$1,2,1)),OR(COUNTIF($C449:D449,"&gt;0")&gt;0,DATE($B$1,2,1)=DATE(YEAR(TODAY()),MONTH(TODAY()),1))),1,0))</f>
        <v/>
      </c>
      <c r="R449">
        <f>IF($A449="","",IF(AND($B449&gt;0,E449&lt;$B449,DATE($B$1,3,1)&lt;=TODAY(),OR($O449="",$O449&gt;=DATE($B$1,3,1)),OR(COUNTIF($C449:E449,"&gt;0")&gt;0,DATE($B$1,3,1)=DATE(YEAR(TODAY()),MONTH(TODAY()),1))),1,0))</f>
        <v/>
      </c>
      <c r="S449">
        <f>IF($A449="","",IF(AND($B449&gt;0,F449&lt;$B449,DATE($B$1,4,1)&lt;=TODAY(),OR($O449="",$O449&gt;=DATE($B$1,4,1)),OR(COUNTIF($C449:F449,"&gt;0")&gt;0,DATE($B$1,4,1)=DATE(YEAR(TODAY()),MONTH(TODAY()),1))),1,0))</f>
        <v/>
      </c>
      <c r="T449">
        <f>IF($A449="","",IF(AND($B449&gt;0,G449&lt;$B449,DATE($B$1,5,1)&lt;=TODAY(),OR($O449="",$O449&gt;=DATE($B$1,5,1)),OR(COUNTIF($C449:G449,"&gt;0")&gt;0,DATE($B$1,5,1)=DATE(YEAR(TODAY()),MONTH(TODAY()),1))),1,0))</f>
        <v/>
      </c>
      <c r="U449">
        <f>IF($A449="","",IF(AND($B449&gt;0,H449&lt;$B449,DATE($B$1,6,1)&lt;=TODAY(),OR($O449="",$O449&gt;=DATE($B$1,6,1)),OR(COUNTIF($C449:H449,"&gt;0")&gt;0,DATE($B$1,6,1)=DATE(YEAR(TODAY()),MONTH(TODAY()),1))),1,0))</f>
        <v/>
      </c>
      <c r="V449">
        <f>IF($A449="","",IF(AND($B449&gt;0,I449&lt;$B449,DATE($B$1,7,1)&lt;=TODAY(),OR($O449="",$O449&gt;=DATE($B$1,7,1)),OR(COUNTIF($C449:I449,"&gt;0")&gt;0,DATE($B$1,7,1)=DATE(YEAR(TODAY()),MONTH(TODAY()),1))),1,0))</f>
        <v/>
      </c>
      <c r="W449">
        <f>IF($A449="","",IF(AND($B449&gt;0,J449&lt;$B449,DATE($B$1,8,1)&lt;=TODAY(),OR($O449="",$O449&gt;=DATE($B$1,8,1)),OR(COUNTIF($C449:J449,"&gt;0")&gt;0,DATE($B$1,8,1)=DATE(YEAR(TODAY()),MONTH(TODAY()),1))),1,0))</f>
        <v/>
      </c>
      <c r="X449">
        <f>IF($A449="","",IF(AND($B449&gt;0,K449&lt;$B449,DATE($B$1,9,1)&lt;=TODAY(),OR($O449="",$O449&gt;=DATE($B$1,9,1)),OR(COUNTIF($C449:K449,"&gt;0")&gt;0,DATE($B$1,9,1)=DATE(YEAR(TODAY()),MONTH(TODAY()),1))),1,0))</f>
        <v/>
      </c>
      <c r="Y449">
        <f>IF($A449="","",IF(AND($B449&gt;0,L449&lt;$B449,DATE($B$1,10,1)&lt;=TODAY(),OR($O449="",$O449&gt;=DATE($B$1,10,1)),OR(COUNTIF($C449:L449,"&gt;0")&gt;0,DATE($B$1,10,1)=DATE(YEAR(TODAY()),MONTH(TODAY()),1))),1,0))</f>
        <v/>
      </c>
      <c r="Z449">
        <f>IF($A449="","",IF(AND($B449&gt;0,M449&lt;$B449,DATE($B$1,11,1)&lt;=TODAY(),OR($O449="",$O449&gt;=DATE($B$1,11,1)),OR(COUNTIF($C449:M449,"&gt;0")&gt;0,DATE($B$1,11,1)=DATE(YEAR(TODAY()),MONTH(TODAY()),1))),1,0))</f>
        <v/>
      </c>
      <c r="AA449">
        <f>IF($A449="","",IF(AND($B449&gt;0,N449&lt;$B449,DATE($B$1,12,1)&lt;=TODAY(),OR($O449="",$O449&gt;=DATE($B$1,12,1)),OR(COUNTIF($C449:N449,"&gt;0")&gt;0,DATE($B$1,12,1)=DATE(YEAR(TODAY()),MONTH(TODAY()),1))),1,0))</f>
        <v/>
      </c>
    </row>
    <row r="450">
      <c r="A450" s="13">
        <f>IF(원생!$A448="","",원생!$A448&amp;IF(원생!$G448="",""," ("&amp;원생!$G448&amp;")"))</f>
        <v/>
      </c>
      <c r="B450" s="8">
        <f>IF(원생!$A448="","",원생!$F448)</f>
        <v/>
      </c>
      <c r="C450" s="14">
        <f>IF(원생!$A448="","",SUMIFS(수납!$F:$F,수납!$C:$C,원생!$A448,수납!$D:$D,IF(원생!$G448="","",원생!$G448),수납!$B:$B,$B$1&amp;"-"&amp;TEXT(1,"00")&amp;"*",수납!$E:$E,"수강료")+SUMIFS(수납!$F:$F,수납!$C:$C,원생!$A448,수납!$D:$D,IF(원생!$G448="","",원생!$G448),수납!$B:$B,$B$1&amp;"-"&amp;TEXT(1,"00")&amp;"*",수납!$E:$E,""))</f>
        <v/>
      </c>
      <c r="D450" s="14">
        <f>IF(원생!$A448="","",SUMIFS(수납!$F:$F,수납!$C:$C,원생!$A448,수납!$D:$D,IF(원생!$G448="","",원생!$G448),수납!$B:$B,$B$1&amp;"-"&amp;TEXT(2,"00")&amp;"*",수납!$E:$E,"수강료")+SUMIFS(수납!$F:$F,수납!$C:$C,원생!$A448,수납!$D:$D,IF(원생!$G448="","",원생!$G448),수납!$B:$B,$B$1&amp;"-"&amp;TEXT(2,"00")&amp;"*",수납!$E:$E,""))</f>
        <v/>
      </c>
      <c r="E450" s="14">
        <f>IF(원생!$A448="","",SUMIFS(수납!$F:$F,수납!$C:$C,원생!$A448,수납!$D:$D,IF(원생!$G448="","",원생!$G448),수납!$B:$B,$B$1&amp;"-"&amp;TEXT(3,"00")&amp;"*",수납!$E:$E,"수강료")+SUMIFS(수납!$F:$F,수납!$C:$C,원생!$A448,수납!$D:$D,IF(원생!$G448="","",원생!$G448),수납!$B:$B,$B$1&amp;"-"&amp;TEXT(3,"00")&amp;"*",수납!$E:$E,""))</f>
        <v/>
      </c>
      <c r="F450" s="14">
        <f>IF(원생!$A448="","",SUMIFS(수납!$F:$F,수납!$C:$C,원생!$A448,수납!$D:$D,IF(원생!$G448="","",원생!$G448),수납!$B:$B,$B$1&amp;"-"&amp;TEXT(4,"00")&amp;"*",수납!$E:$E,"수강료")+SUMIFS(수납!$F:$F,수납!$C:$C,원생!$A448,수납!$D:$D,IF(원생!$G448="","",원생!$G448),수납!$B:$B,$B$1&amp;"-"&amp;TEXT(4,"00")&amp;"*",수납!$E:$E,""))</f>
        <v/>
      </c>
      <c r="G450" s="14">
        <f>IF(원생!$A448="","",SUMIFS(수납!$F:$F,수납!$C:$C,원생!$A448,수납!$D:$D,IF(원생!$G448="","",원생!$G448),수납!$B:$B,$B$1&amp;"-"&amp;TEXT(5,"00")&amp;"*",수납!$E:$E,"수강료")+SUMIFS(수납!$F:$F,수납!$C:$C,원생!$A448,수납!$D:$D,IF(원생!$G448="","",원생!$G448),수납!$B:$B,$B$1&amp;"-"&amp;TEXT(5,"00")&amp;"*",수납!$E:$E,""))</f>
        <v/>
      </c>
      <c r="H450" s="14">
        <f>IF(원생!$A448="","",SUMIFS(수납!$F:$F,수납!$C:$C,원생!$A448,수납!$D:$D,IF(원생!$G448="","",원생!$G448),수납!$B:$B,$B$1&amp;"-"&amp;TEXT(6,"00")&amp;"*",수납!$E:$E,"수강료")+SUMIFS(수납!$F:$F,수납!$C:$C,원생!$A448,수납!$D:$D,IF(원생!$G448="","",원생!$G448),수납!$B:$B,$B$1&amp;"-"&amp;TEXT(6,"00")&amp;"*",수납!$E:$E,""))</f>
        <v/>
      </c>
      <c r="I450" s="14">
        <f>IF(원생!$A448="","",SUMIFS(수납!$F:$F,수납!$C:$C,원생!$A448,수납!$D:$D,IF(원생!$G448="","",원생!$G448),수납!$B:$B,$B$1&amp;"-"&amp;TEXT(7,"00")&amp;"*",수납!$E:$E,"수강료")+SUMIFS(수납!$F:$F,수납!$C:$C,원생!$A448,수납!$D:$D,IF(원생!$G448="","",원생!$G448),수납!$B:$B,$B$1&amp;"-"&amp;TEXT(7,"00")&amp;"*",수납!$E:$E,""))</f>
        <v/>
      </c>
      <c r="J450" s="14">
        <f>IF(원생!$A448="","",SUMIFS(수납!$F:$F,수납!$C:$C,원생!$A448,수납!$D:$D,IF(원생!$G448="","",원생!$G448),수납!$B:$B,$B$1&amp;"-"&amp;TEXT(8,"00")&amp;"*",수납!$E:$E,"수강료")+SUMIFS(수납!$F:$F,수납!$C:$C,원생!$A448,수납!$D:$D,IF(원생!$G448="","",원생!$G448),수납!$B:$B,$B$1&amp;"-"&amp;TEXT(8,"00")&amp;"*",수납!$E:$E,""))</f>
        <v/>
      </c>
      <c r="K450" s="14">
        <f>IF(원생!$A448="","",SUMIFS(수납!$F:$F,수납!$C:$C,원생!$A448,수납!$D:$D,IF(원생!$G448="","",원생!$G448),수납!$B:$B,$B$1&amp;"-"&amp;TEXT(9,"00")&amp;"*",수납!$E:$E,"수강료")+SUMIFS(수납!$F:$F,수납!$C:$C,원생!$A448,수납!$D:$D,IF(원생!$G448="","",원생!$G448),수납!$B:$B,$B$1&amp;"-"&amp;TEXT(9,"00")&amp;"*",수납!$E:$E,""))</f>
        <v/>
      </c>
      <c r="L450" s="14">
        <f>IF(원생!$A448="","",SUMIFS(수납!$F:$F,수납!$C:$C,원생!$A448,수납!$D:$D,IF(원생!$G448="","",원생!$G448),수납!$B:$B,$B$1&amp;"-"&amp;TEXT(10,"00")&amp;"*",수납!$E:$E,"수강료")+SUMIFS(수납!$F:$F,수납!$C:$C,원생!$A448,수납!$D:$D,IF(원생!$G448="","",원생!$G448),수납!$B:$B,$B$1&amp;"-"&amp;TEXT(10,"00")&amp;"*",수납!$E:$E,""))</f>
        <v/>
      </c>
      <c r="M450" s="14">
        <f>IF(원생!$A448="","",SUMIFS(수납!$F:$F,수납!$C:$C,원생!$A448,수납!$D:$D,IF(원생!$G448="","",원생!$G448),수납!$B:$B,$B$1&amp;"-"&amp;TEXT(11,"00")&amp;"*",수납!$E:$E,"수강료")+SUMIFS(수납!$F:$F,수납!$C:$C,원생!$A448,수납!$D:$D,IF(원생!$G448="","",원생!$G448),수납!$B:$B,$B$1&amp;"-"&amp;TEXT(11,"00")&amp;"*",수납!$E:$E,""))</f>
        <v/>
      </c>
      <c r="N450" s="14">
        <f>IF(원생!$A448="","",SUMIFS(수납!$F:$F,수납!$C:$C,원생!$A448,수납!$D:$D,IF(원생!$G448="","",원생!$G448),수납!$B:$B,$B$1&amp;"-"&amp;TEXT(12,"00")&amp;"*",수납!$E:$E,"수강료")+SUMIFS(수납!$F:$F,수납!$C:$C,원생!$A448,수납!$D:$D,IF(원생!$G448="","",원생!$G448),수납!$B:$B,$B$1&amp;"-"&amp;TEXT(12,"00")&amp;"*",수납!$E:$E,""))</f>
        <v/>
      </c>
      <c r="O450">
        <f>IF(원생!$I448="","",원생!$I448)</f>
        <v/>
      </c>
      <c r="P450">
        <f>IF($A450="","",IF(AND($B450&gt;0,C450&lt;$B450,DATE($B$1,1,1)&lt;=TODAY(),OR($O450="",$O450&gt;=DATE($B$1,1,1)),OR(COUNTIF($C450:C450,"&gt;0")&gt;0,DATE($B$1,1,1)=DATE(YEAR(TODAY()),MONTH(TODAY()),1))),1,0))</f>
        <v/>
      </c>
      <c r="Q450">
        <f>IF($A450="","",IF(AND($B450&gt;0,D450&lt;$B450,DATE($B$1,2,1)&lt;=TODAY(),OR($O450="",$O450&gt;=DATE($B$1,2,1)),OR(COUNTIF($C450:D450,"&gt;0")&gt;0,DATE($B$1,2,1)=DATE(YEAR(TODAY()),MONTH(TODAY()),1))),1,0))</f>
        <v/>
      </c>
      <c r="R450">
        <f>IF($A450="","",IF(AND($B450&gt;0,E450&lt;$B450,DATE($B$1,3,1)&lt;=TODAY(),OR($O450="",$O450&gt;=DATE($B$1,3,1)),OR(COUNTIF($C450:E450,"&gt;0")&gt;0,DATE($B$1,3,1)=DATE(YEAR(TODAY()),MONTH(TODAY()),1))),1,0))</f>
        <v/>
      </c>
      <c r="S450">
        <f>IF($A450="","",IF(AND($B450&gt;0,F450&lt;$B450,DATE($B$1,4,1)&lt;=TODAY(),OR($O450="",$O450&gt;=DATE($B$1,4,1)),OR(COUNTIF($C450:F450,"&gt;0")&gt;0,DATE($B$1,4,1)=DATE(YEAR(TODAY()),MONTH(TODAY()),1))),1,0))</f>
        <v/>
      </c>
      <c r="T450">
        <f>IF($A450="","",IF(AND($B450&gt;0,G450&lt;$B450,DATE($B$1,5,1)&lt;=TODAY(),OR($O450="",$O450&gt;=DATE($B$1,5,1)),OR(COUNTIF($C450:G450,"&gt;0")&gt;0,DATE($B$1,5,1)=DATE(YEAR(TODAY()),MONTH(TODAY()),1))),1,0))</f>
        <v/>
      </c>
      <c r="U450">
        <f>IF($A450="","",IF(AND($B450&gt;0,H450&lt;$B450,DATE($B$1,6,1)&lt;=TODAY(),OR($O450="",$O450&gt;=DATE($B$1,6,1)),OR(COUNTIF($C450:H450,"&gt;0")&gt;0,DATE($B$1,6,1)=DATE(YEAR(TODAY()),MONTH(TODAY()),1))),1,0))</f>
        <v/>
      </c>
      <c r="V450">
        <f>IF($A450="","",IF(AND($B450&gt;0,I450&lt;$B450,DATE($B$1,7,1)&lt;=TODAY(),OR($O450="",$O450&gt;=DATE($B$1,7,1)),OR(COUNTIF($C450:I450,"&gt;0")&gt;0,DATE($B$1,7,1)=DATE(YEAR(TODAY()),MONTH(TODAY()),1))),1,0))</f>
        <v/>
      </c>
      <c r="W450">
        <f>IF($A450="","",IF(AND($B450&gt;0,J450&lt;$B450,DATE($B$1,8,1)&lt;=TODAY(),OR($O450="",$O450&gt;=DATE($B$1,8,1)),OR(COUNTIF($C450:J450,"&gt;0")&gt;0,DATE($B$1,8,1)=DATE(YEAR(TODAY()),MONTH(TODAY()),1))),1,0))</f>
        <v/>
      </c>
      <c r="X450">
        <f>IF($A450="","",IF(AND($B450&gt;0,K450&lt;$B450,DATE($B$1,9,1)&lt;=TODAY(),OR($O450="",$O450&gt;=DATE($B$1,9,1)),OR(COUNTIF($C450:K450,"&gt;0")&gt;0,DATE($B$1,9,1)=DATE(YEAR(TODAY()),MONTH(TODAY()),1))),1,0))</f>
        <v/>
      </c>
      <c r="Y450">
        <f>IF($A450="","",IF(AND($B450&gt;0,L450&lt;$B450,DATE($B$1,10,1)&lt;=TODAY(),OR($O450="",$O450&gt;=DATE($B$1,10,1)),OR(COUNTIF($C450:L450,"&gt;0")&gt;0,DATE($B$1,10,1)=DATE(YEAR(TODAY()),MONTH(TODAY()),1))),1,0))</f>
        <v/>
      </c>
      <c r="Z450">
        <f>IF($A450="","",IF(AND($B450&gt;0,M450&lt;$B450,DATE($B$1,11,1)&lt;=TODAY(),OR($O450="",$O450&gt;=DATE($B$1,11,1)),OR(COUNTIF($C450:M450,"&gt;0")&gt;0,DATE($B$1,11,1)=DATE(YEAR(TODAY()),MONTH(TODAY()),1))),1,0))</f>
        <v/>
      </c>
      <c r="AA450">
        <f>IF($A450="","",IF(AND($B450&gt;0,N450&lt;$B450,DATE($B$1,12,1)&lt;=TODAY(),OR($O450="",$O450&gt;=DATE($B$1,12,1)),OR(COUNTIF($C450:N450,"&gt;0")&gt;0,DATE($B$1,12,1)=DATE(YEAR(TODAY()),MONTH(TODAY()),1))),1,0))</f>
        <v/>
      </c>
    </row>
    <row r="451">
      <c r="A451" s="13">
        <f>IF(원생!$A449="","",원생!$A449&amp;IF(원생!$G449="",""," ("&amp;원생!$G449&amp;")"))</f>
        <v/>
      </c>
      <c r="B451" s="8">
        <f>IF(원생!$A449="","",원생!$F449)</f>
        <v/>
      </c>
      <c r="C451" s="14">
        <f>IF(원생!$A449="","",SUMIFS(수납!$F:$F,수납!$C:$C,원생!$A449,수납!$D:$D,IF(원생!$G449="","",원생!$G449),수납!$B:$B,$B$1&amp;"-"&amp;TEXT(1,"00")&amp;"*",수납!$E:$E,"수강료")+SUMIFS(수납!$F:$F,수납!$C:$C,원생!$A449,수납!$D:$D,IF(원생!$G449="","",원생!$G449),수납!$B:$B,$B$1&amp;"-"&amp;TEXT(1,"00")&amp;"*",수납!$E:$E,""))</f>
        <v/>
      </c>
      <c r="D451" s="14">
        <f>IF(원생!$A449="","",SUMIFS(수납!$F:$F,수납!$C:$C,원생!$A449,수납!$D:$D,IF(원생!$G449="","",원생!$G449),수납!$B:$B,$B$1&amp;"-"&amp;TEXT(2,"00")&amp;"*",수납!$E:$E,"수강료")+SUMIFS(수납!$F:$F,수납!$C:$C,원생!$A449,수납!$D:$D,IF(원생!$G449="","",원생!$G449),수납!$B:$B,$B$1&amp;"-"&amp;TEXT(2,"00")&amp;"*",수납!$E:$E,""))</f>
        <v/>
      </c>
      <c r="E451" s="14">
        <f>IF(원생!$A449="","",SUMIFS(수납!$F:$F,수납!$C:$C,원생!$A449,수납!$D:$D,IF(원생!$G449="","",원생!$G449),수납!$B:$B,$B$1&amp;"-"&amp;TEXT(3,"00")&amp;"*",수납!$E:$E,"수강료")+SUMIFS(수납!$F:$F,수납!$C:$C,원생!$A449,수납!$D:$D,IF(원생!$G449="","",원생!$G449),수납!$B:$B,$B$1&amp;"-"&amp;TEXT(3,"00")&amp;"*",수납!$E:$E,""))</f>
        <v/>
      </c>
      <c r="F451" s="14">
        <f>IF(원생!$A449="","",SUMIFS(수납!$F:$F,수납!$C:$C,원생!$A449,수납!$D:$D,IF(원생!$G449="","",원생!$G449),수납!$B:$B,$B$1&amp;"-"&amp;TEXT(4,"00")&amp;"*",수납!$E:$E,"수강료")+SUMIFS(수납!$F:$F,수납!$C:$C,원생!$A449,수납!$D:$D,IF(원생!$G449="","",원생!$G449),수납!$B:$B,$B$1&amp;"-"&amp;TEXT(4,"00")&amp;"*",수납!$E:$E,""))</f>
        <v/>
      </c>
      <c r="G451" s="14">
        <f>IF(원생!$A449="","",SUMIFS(수납!$F:$F,수납!$C:$C,원생!$A449,수납!$D:$D,IF(원생!$G449="","",원생!$G449),수납!$B:$B,$B$1&amp;"-"&amp;TEXT(5,"00")&amp;"*",수납!$E:$E,"수강료")+SUMIFS(수납!$F:$F,수납!$C:$C,원생!$A449,수납!$D:$D,IF(원생!$G449="","",원생!$G449),수납!$B:$B,$B$1&amp;"-"&amp;TEXT(5,"00")&amp;"*",수납!$E:$E,""))</f>
        <v/>
      </c>
      <c r="H451" s="14">
        <f>IF(원생!$A449="","",SUMIFS(수납!$F:$F,수납!$C:$C,원생!$A449,수납!$D:$D,IF(원생!$G449="","",원생!$G449),수납!$B:$B,$B$1&amp;"-"&amp;TEXT(6,"00")&amp;"*",수납!$E:$E,"수강료")+SUMIFS(수납!$F:$F,수납!$C:$C,원생!$A449,수납!$D:$D,IF(원생!$G449="","",원생!$G449),수납!$B:$B,$B$1&amp;"-"&amp;TEXT(6,"00")&amp;"*",수납!$E:$E,""))</f>
        <v/>
      </c>
      <c r="I451" s="14">
        <f>IF(원생!$A449="","",SUMIFS(수납!$F:$F,수납!$C:$C,원생!$A449,수납!$D:$D,IF(원생!$G449="","",원생!$G449),수납!$B:$B,$B$1&amp;"-"&amp;TEXT(7,"00")&amp;"*",수납!$E:$E,"수강료")+SUMIFS(수납!$F:$F,수납!$C:$C,원생!$A449,수납!$D:$D,IF(원생!$G449="","",원생!$G449),수납!$B:$B,$B$1&amp;"-"&amp;TEXT(7,"00")&amp;"*",수납!$E:$E,""))</f>
        <v/>
      </c>
      <c r="J451" s="14">
        <f>IF(원생!$A449="","",SUMIFS(수납!$F:$F,수납!$C:$C,원생!$A449,수납!$D:$D,IF(원생!$G449="","",원생!$G449),수납!$B:$B,$B$1&amp;"-"&amp;TEXT(8,"00")&amp;"*",수납!$E:$E,"수강료")+SUMIFS(수납!$F:$F,수납!$C:$C,원생!$A449,수납!$D:$D,IF(원생!$G449="","",원생!$G449),수납!$B:$B,$B$1&amp;"-"&amp;TEXT(8,"00")&amp;"*",수납!$E:$E,""))</f>
        <v/>
      </c>
      <c r="K451" s="14">
        <f>IF(원생!$A449="","",SUMIFS(수납!$F:$F,수납!$C:$C,원생!$A449,수납!$D:$D,IF(원생!$G449="","",원생!$G449),수납!$B:$B,$B$1&amp;"-"&amp;TEXT(9,"00")&amp;"*",수납!$E:$E,"수강료")+SUMIFS(수납!$F:$F,수납!$C:$C,원생!$A449,수납!$D:$D,IF(원생!$G449="","",원생!$G449),수납!$B:$B,$B$1&amp;"-"&amp;TEXT(9,"00")&amp;"*",수납!$E:$E,""))</f>
        <v/>
      </c>
      <c r="L451" s="14">
        <f>IF(원생!$A449="","",SUMIFS(수납!$F:$F,수납!$C:$C,원생!$A449,수납!$D:$D,IF(원생!$G449="","",원생!$G449),수납!$B:$B,$B$1&amp;"-"&amp;TEXT(10,"00")&amp;"*",수납!$E:$E,"수강료")+SUMIFS(수납!$F:$F,수납!$C:$C,원생!$A449,수납!$D:$D,IF(원생!$G449="","",원생!$G449),수납!$B:$B,$B$1&amp;"-"&amp;TEXT(10,"00")&amp;"*",수납!$E:$E,""))</f>
        <v/>
      </c>
      <c r="M451" s="14">
        <f>IF(원생!$A449="","",SUMIFS(수납!$F:$F,수납!$C:$C,원생!$A449,수납!$D:$D,IF(원생!$G449="","",원생!$G449),수납!$B:$B,$B$1&amp;"-"&amp;TEXT(11,"00")&amp;"*",수납!$E:$E,"수강료")+SUMIFS(수납!$F:$F,수납!$C:$C,원생!$A449,수납!$D:$D,IF(원생!$G449="","",원생!$G449),수납!$B:$B,$B$1&amp;"-"&amp;TEXT(11,"00")&amp;"*",수납!$E:$E,""))</f>
        <v/>
      </c>
      <c r="N451" s="14">
        <f>IF(원생!$A449="","",SUMIFS(수납!$F:$F,수납!$C:$C,원생!$A449,수납!$D:$D,IF(원생!$G449="","",원생!$G449),수납!$B:$B,$B$1&amp;"-"&amp;TEXT(12,"00")&amp;"*",수납!$E:$E,"수강료")+SUMIFS(수납!$F:$F,수납!$C:$C,원생!$A449,수납!$D:$D,IF(원생!$G449="","",원생!$G449),수납!$B:$B,$B$1&amp;"-"&amp;TEXT(12,"00")&amp;"*",수납!$E:$E,""))</f>
        <v/>
      </c>
      <c r="O451">
        <f>IF(원생!$I449="","",원생!$I449)</f>
        <v/>
      </c>
      <c r="P451">
        <f>IF($A451="","",IF(AND($B451&gt;0,C451&lt;$B451,DATE($B$1,1,1)&lt;=TODAY(),OR($O451="",$O451&gt;=DATE($B$1,1,1)),OR(COUNTIF($C451:C451,"&gt;0")&gt;0,DATE($B$1,1,1)=DATE(YEAR(TODAY()),MONTH(TODAY()),1))),1,0))</f>
        <v/>
      </c>
      <c r="Q451">
        <f>IF($A451="","",IF(AND($B451&gt;0,D451&lt;$B451,DATE($B$1,2,1)&lt;=TODAY(),OR($O451="",$O451&gt;=DATE($B$1,2,1)),OR(COUNTIF($C451:D451,"&gt;0")&gt;0,DATE($B$1,2,1)=DATE(YEAR(TODAY()),MONTH(TODAY()),1))),1,0))</f>
        <v/>
      </c>
      <c r="R451">
        <f>IF($A451="","",IF(AND($B451&gt;0,E451&lt;$B451,DATE($B$1,3,1)&lt;=TODAY(),OR($O451="",$O451&gt;=DATE($B$1,3,1)),OR(COUNTIF($C451:E451,"&gt;0")&gt;0,DATE($B$1,3,1)=DATE(YEAR(TODAY()),MONTH(TODAY()),1))),1,0))</f>
        <v/>
      </c>
      <c r="S451">
        <f>IF($A451="","",IF(AND($B451&gt;0,F451&lt;$B451,DATE($B$1,4,1)&lt;=TODAY(),OR($O451="",$O451&gt;=DATE($B$1,4,1)),OR(COUNTIF($C451:F451,"&gt;0")&gt;0,DATE($B$1,4,1)=DATE(YEAR(TODAY()),MONTH(TODAY()),1))),1,0))</f>
        <v/>
      </c>
      <c r="T451">
        <f>IF($A451="","",IF(AND($B451&gt;0,G451&lt;$B451,DATE($B$1,5,1)&lt;=TODAY(),OR($O451="",$O451&gt;=DATE($B$1,5,1)),OR(COUNTIF($C451:G451,"&gt;0")&gt;0,DATE($B$1,5,1)=DATE(YEAR(TODAY()),MONTH(TODAY()),1))),1,0))</f>
        <v/>
      </c>
      <c r="U451">
        <f>IF($A451="","",IF(AND($B451&gt;0,H451&lt;$B451,DATE($B$1,6,1)&lt;=TODAY(),OR($O451="",$O451&gt;=DATE($B$1,6,1)),OR(COUNTIF($C451:H451,"&gt;0")&gt;0,DATE($B$1,6,1)=DATE(YEAR(TODAY()),MONTH(TODAY()),1))),1,0))</f>
        <v/>
      </c>
      <c r="V451">
        <f>IF($A451="","",IF(AND($B451&gt;0,I451&lt;$B451,DATE($B$1,7,1)&lt;=TODAY(),OR($O451="",$O451&gt;=DATE($B$1,7,1)),OR(COUNTIF($C451:I451,"&gt;0")&gt;0,DATE($B$1,7,1)=DATE(YEAR(TODAY()),MONTH(TODAY()),1))),1,0))</f>
        <v/>
      </c>
      <c r="W451">
        <f>IF($A451="","",IF(AND($B451&gt;0,J451&lt;$B451,DATE($B$1,8,1)&lt;=TODAY(),OR($O451="",$O451&gt;=DATE($B$1,8,1)),OR(COUNTIF($C451:J451,"&gt;0")&gt;0,DATE($B$1,8,1)=DATE(YEAR(TODAY()),MONTH(TODAY()),1))),1,0))</f>
        <v/>
      </c>
      <c r="X451">
        <f>IF($A451="","",IF(AND($B451&gt;0,K451&lt;$B451,DATE($B$1,9,1)&lt;=TODAY(),OR($O451="",$O451&gt;=DATE($B$1,9,1)),OR(COUNTIF($C451:K451,"&gt;0")&gt;0,DATE($B$1,9,1)=DATE(YEAR(TODAY()),MONTH(TODAY()),1))),1,0))</f>
        <v/>
      </c>
      <c r="Y451">
        <f>IF($A451="","",IF(AND($B451&gt;0,L451&lt;$B451,DATE($B$1,10,1)&lt;=TODAY(),OR($O451="",$O451&gt;=DATE($B$1,10,1)),OR(COUNTIF($C451:L451,"&gt;0")&gt;0,DATE($B$1,10,1)=DATE(YEAR(TODAY()),MONTH(TODAY()),1))),1,0))</f>
        <v/>
      </c>
      <c r="Z451">
        <f>IF($A451="","",IF(AND($B451&gt;0,M451&lt;$B451,DATE($B$1,11,1)&lt;=TODAY(),OR($O451="",$O451&gt;=DATE($B$1,11,1)),OR(COUNTIF($C451:M451,"&gt;0")&gt;0,DATE($B$1,11,1)=DATE(YEAR(TODAY()),MONTH(TODAY()),1))),1,0))</f>
        <v/>
      </c>
      <c r="AA451">
        <f>IF($A451="","",IF(AND($B451&gt;0,N451&lt;$B451,DATE($B$1,12,1)&lt;=TODAY(),OR($O451="",$O451&gt;=DATE($B$1,12,1)),OR(COUNTIF($C451:N451,"&gt;0")&gt;0,DATE($B$1,12,1)=DATE(YEAR(TODAY()),MONTH(TODAY()),1))),1,0))</f>
        <v/>
      </c>
    </row>
    <row r="452">
      <c r="A452" s="13">
        <f>IF(원생!$A450="","",원생!$A450&amp;IF(원생!$G450="",""," ("&amp;원생!$G450&amp;")"))</f>
        <v/>
      </c>
      <c r="B452" s="8">
        <f>IF(원생!$A450="","",원생!$F450)</f>
        <v/>
      </c>
      <c r="C452" s="14">
        <f>IF(원생!$A450="","",SUMIFS(수납!$F:$F,수납!$C:$C,원생!$A450,수납!$D:$D,IF(원생!$G450="","",원생!$G450),수납!$B:$B,$B$1&amp;"-"&amp;TEXT(1,"00")&amp;"*",수납!$E:$E,"수강료")+SUMIFS(수납!$F:$F,수납!$C:$C,원생!$A450,수납!$D:$D,IF(원생!$G450="","",원생!$G450),수납!$B:$B,$B$1&amp;"-"&amp;TEXT(1,"00")&amp;"*",수납!$E:$E,""))</f>
        <v/>
      </c>
      <c r="D452" s="14">
        <f>IF(원생!$A450="","",SUMIFS(수납!$F:$F,수납!$C:$C,원생!$A450,수납!$D:$D,IF(원생!$G450="","",원생!$G450),수납!$B:$B,$B$1&amp;"-"&amp;TEXT(2,"00")&amp;"*",수납!$E:$E,"수강료")+SUMIFS(수납!$F:$F,수납!$C:$C,원생!$A450,수납!$D:$D,IF(원생!$G450="","",원생!$G450),수납!$B:$B,$B$1&amp;"-"&amp;TEXT(2,"00")&amp;"*",수납!$E:$E,""))</f>
        <v/>
      </c>
      <c r="E452" s="14">
        <f>IF(원생!$A450="","",SUMIFS(수납!$F:$F,수납!$C:$C,원생!$A450,수납!$D:$D,IF(원생!$G450="","",원생!$G450),수납!$B:$B,$B$1&amp;"-"&amp;TEXT(3,"00")&amp;"*",수납!$E:$E,"수강료")+SUMIFS(수납!$F:$F,수납!$C:$C,원생!$A450,수납!$D:$D,IF(원생!$G450="","",원생!$G450),수납!$B:$B,$B$1&amp;"-"&amp;TEXT(3,"00")&amp;"*",수납!$E:$E,""))</f>
        <v/>
      </c>
      <c r="F452" s="14">
        <f>IF(원생!$A450="","",SUMIFS(수납!$F:$F,수납!$C:$C,원생!$A450,수납!$D:$D,IF(원생!$G450="","",원생!$G450),수납!$B:$B,$B$1&amp;"-"&amp;TEXT(4,"00")&amp;"*",수납!$E:$E,"수강료")+SUMIFS(수납!$F:$F,수납!$C:$C,원생!$A450,수납!$D:$D,IF(원생!$G450="","",원생!$G450),수납!$B:$B,$B$1&amp;"-"&amp;TEXT(4,"00")&amp;"*",수납!$E:$E,""))</f>
        <v/>
      </c>
      <c r="G452" s="14">
        <f>IF(원생!$A450="","",SUMIFS(수납!$F:$F,수납!$C:$C,원생!$A450,수납!$D:$D,IF(원생!$G450="","",원생!$G450),수납!$B:$B,$B$1&amp;"-"&amp;TEXT(5,"00")&amp;"*",수납!$E:$E,"수강료")+SUMIFS(수납!$F:$F,수납!$C:$C,원생!$A450,수납!$D:$D,IF(원생!$G450="","",원생!$G450),수납!$B:$B,$B$1&amp;"-"&amp;TEXT(5,"00")&amp;"*",수납!$E:$E,""))</f>
        <v/>
      </c>
      <c r="H452" s="14">
        <f>IF(원생!$A450="","",SUMIFS(수납!$F:$F,수납!$C:$C,원생!$A450,수납!$D:$D,IF(원생!$G450="","",원생!$G450),수납!$B:$B,$B$1&amp;"-"&amp;TEXT(6,"00")&amp;"*",수납!$E:$E,"수강료")+SUMIFS(수납!$F:$F,수납!$C:$C,원생!$A450,수납!$D:$D,IF(원생!$G450="","",원생!$G450),수납!$B:$B,$B$1&amp;"-"&amp;TEXT(6,"00")&amp;"*",수납!$E:$E,""))</f>
        <v/>
      </c>
      <c r="I452" s="14">
        <f>IF(원생!$A450="","",SUMIFS(수납!$F:$F,수납!$C:$C,원생!$A450,수납!$D:$D,IF(원생!$G450="","",원생!$G450),수납!$B:$B,$B$1&amp;"-"&amp;TEXT(7,"00")&amp;"*",수납!$E:$E,"수강료")+SUMIFS(수납!$F:$F,수납!$C:$C,원생!$A450,수납!$D:$D,IF(원생!$G450="","",원생!$G450),수납!$B:$B,$B$1&amp;"-"&amp;TEXT(7,"00")&amp;"*",수납!$E:$E,""))</f>
        <v/>
      </c>
      <c r="J452" s="14">
        <f>IF(원생!$A450="","",SUMIFS(수납!$F:$F,수납!$C:$C,원생!$A450,수납!$D:$D,IF(원생!$G450="","",원생!$G450),수납!$B:$B,$B$1&amp;"-"&amp;TEXT(8,"00")&amp;"*",수납!$E:$E,"수강료")+SUMIFS(수납!$F:$F,수납!$C:$C,원생!$A450,수납!$D:$D,IF(원생!$G450="","",원생!$G450),수납!$B:$B,$B$1&amp;"-"&amp;TEXT(8,"00")&amp;"*",수납!$E:$E,""))</f>
        <v/>
      </c>
      <c r="K452" s="14">
        <f>IF(원생!$A450="","",SUMIFS(수납!$F:$F,수납!$C:$C,원생!$A450,수납!$D:$D,IF(원생!$G450="","",원생!$G450),수납!$B:$B,$B$1&amp;"-"&amp;TEXT(9,"00")&amp;"*",수납!$E:$E,"수강료")+SUMIFS(수납!$F:$F,수납!$C:$C,원생!$A450,수납!$D:$D,IF(원생!$G450="","",원생!$G450),수납!$B:$B,$B$1&amp;"-"&amp;TEXT(9,"00")&amp;"*",수납!$E:$E,""))</f>
        <v/>
      </c>
      <c r="L452" s="14">
        <f>IF(원생!$A450="","",SUMIFS(수납!$F:$F,수납!$C:$C,원생!$A450,수납!$D:$D,IF(원생!$G450="","",원생!$G450),수납!$B:$B,$B$1&amp;"-"&amp;TEXT(10,"00")&amp;"*",수납!$E:$E,"수강료")+SUMIFS(수납!$F:$F,수납!$C:$C,원생!$A450,수납!$D:$D,IF(원생!$G450="","",원생!$G450),수납!$B:$B,$B$1&amp;"-"&amp;TEXT(10,"00")&amp;"*",수납!$E:$E,""))</f>
        <v/>
      </c>
      <c r="M452" s="14">
        <f>IF(원생!$A450="","",SUMIFS(수납!$F:$F,수납!$C:$C,원생!$A450,수납!$D:$D,IF(원생!$G450="","",원생!$G450),수납!$B:$B,$B$1&amp;"-"&amp;TEXT(11,"00")&amp;"*",수납!$E:$E,"수강료")+SUMIFS(수납!$F:$F,수납!$C:$C,원생!$A450,수납!$D:$D,IF(원생!$G450="","",원생!$G450),수납!$B:$B,$B$1&amp;"-"&amp;TEXT(11,"00")&amp;"*",수납!$E:$E,""))</f>
        <v/>
      </c>
      <c r="N452" s="14">
        <f>IF(원생!$A450="","",SUMIFS(수납!$F:$F,수납!$C:$C,원생!$A450,수납!$D:$D,IF(원생!$G450="","",원생!$G450),수납!$B:$B,$B$1&amp;"-"&amp;TEXT(12,"00")&amp;"*",수납!$E:$E,"수강료")+SUMIFS(수납!$F:$F,수납!$C:$C,원생!$A450,수납!$D:$D,IF(원생!$G450="","",원생!$G450),수납!$B:$B,$B$1&amp;"-"&amp;TEXT(12,"00")&amp;"*",수납!$E:$E,""))</f>
        <v/>
      </c>
      <c r="O452">
        <f>IF(원생!$I450="","",원생!$I450)</f>
        <v/>
      </c>
      <c r="P452">
        <f>IF($A452="","",IF(AND($B452&gt;0,C452&lt;$B452,DATE($B$1,1,1)&lt;=TODAY(),OR($O452="",$O452&gt;=DATE($B$1,1,1)),OR(COUNTIF($C452:C452,"&gt;0")&gt;0,DATE($B$1,1,1)=DATE(YEAR(TODAY()),MONTH(TODAY()),1))),1,0))</f>
        <v/>
      </c>
      <c r="Q452">
        <f>IF($A452="","",IF(AND($B452&gt;0,D452&lt;$B452,DATE($B$1,2,1)&lt;=TODAY(),OR($O452="",$O452&gt;=DATE($B$1,2,1)),OR(COUNTIF($C452:D452,"&gt;0")&gt;0,DATE($B$1,2,1)=DATE(YEAR(TODAY()),MONTH(TODAY()),1))),1,0))</f>
        <v/>
      </c>
      <c r="R452">
        <f>IF($A452="","",IF(AND($B452&gt;0,E452&lt;$B452,DATE($B$1,3,1)&lt;=TODAY(),OR($O452="",$O452&gt;=DATE($B$1,3,1)),OR(COUNTIF($C452:E452,"&gt;0")&gt;0,DATE($B$1,3,1)=DATE(YEAR(TODAY()),MONTH(TODAY()),1))),1,0))</f>
        <v/>
      </c>
      <c r="S452">
        <f>IF($A452="","",IF(AND($B452&gt;0,F452&lt;$B452,DATE($B$1,4,1)&lt;=TODAY(),OR($O452="",$O452&gt;=DATE($B$1,4,1)),OR(COUNTIF($C452:F452,"&gt;0")&gt;0,DATE($B$1,4,1)=DATE(YEAR(TODAY()),MONTH(TODAY()),1))),1,0))</f>
        <v/>
      </c>
      <c r="T452">
        <f>IF($A452="","",IF(AND($B452&gt;0,G452&lt;$B452,DATE($B$1,5,1)&lt;=TODAY(),OR($O452="",$O452&gt;=DATE($B$1,5,1)),OR(COUNTIF($C452:G452,"&gt;0")&gt;0,DATE($B$1,5,1)=DATE(YEAR(TODAY()),MONTH(TODAY()),1))),1,0))</f>
        <v/>
      </c>
      <c r="U452">
        <f>IF($A452="","",IF(AND($B452&gt;0,H452&lt;$B452,DATE($B$1,6,1)&lt;=TODAY(),OR($O452="",$O452&gt;=DATE($B$1,6,1)),OR(COUNTIF($C452:H452,"&gt;0")&gt;0,DATE($B$1,6,1)=DATE(YEAR(TODAY()),MONTH(TODAY()),1))),1,0))</f>
        <v/>
      </c>
      <c r="V452">
        <f>IF($A452="","",IF(AND($B452&gt;0,I452&lt;$B452,DATE($B$1,7,1)&lt;=TODAY(),OR($O452="",$O452&gt;=DATE($B$1,7,1)),OR(COUNTIF($C452:I452,"&gt;0")&gt;0,DATE($B$1,7,1)=DATE(YEAR(TODAY()),MONTH(TODAY()),1))),1,0))</f>
        <v/>
      </c>
      <c r="W452">
        <f>IF($A452="","",IF(AND($B452&gt;0,J452&lt;$B452,DATE($B$1,8,1)&lt;=TODAY(),OR($O452="",$O452&gt;=DATE($B$1,8,1)),OR(COUNTIF($C452:J452,"&gt;0")&gt;0,DATE($B$1,8,1)=DATE(YEAR(TODAY()),MONTH(TODAY()),1))),1,0))</f>
        <v/>
      </c>
      <c r="X452">
        <f>IF($A452="","",IF(AND($B452&gt;0,K452&lt;$B452,DATE($B$1,9,1)&lt;=TODAY(),OR($O452="",$O452&gt;=DATE($B$1,9,1)),OR(COUNTIF($C452:K452,"&gt;0")&gt;0,DATE($B$1,9,1)=DATE(YEAR(TODAY()),MONTH(TODAY()),1))),1,0))</f>
        <v/>
      </c>
      <c r="Y452">
        <f>IF($A452="","",IF(AND($B452&gt;0,L452&lt;$B452,DATE($B$1,10,1)&lt;=TODAY(),OR($O452="",$O452&gt;=DATE($B$1,10,1)),OR(COUNTIF($C452:L452,"&gt;0")&gt;0,DATE($B$1,10,1)=DATE(YEAR(TODAY()),MONTH(TODAY()),1))),1,0))</f>
        <v/>
      </c>
      <c r="Z452">
        <f>IF($A452="","",IF(AND($B452&gt;0,M452&lt;$B452,DATE($B$1,11,1)&lt;=TODAY(),OR($O452="",$O452&gt;=DATE($B$1,11,1)),OR(COUNTIF($C452:M452,"&gt;0")&gt;0,DATE($B$1,11,1)=DATE(YEAR(TODAY()),MONTH(TODAY()),1))),1,0))</f>
        <v/>
      </c>
      <c r="AA452">
        <f>IF($A452="","",IF(AND($B452&gt;0,N452&lt;$B452,DATE($B$1,12,1)&lt;=TODAY(),OR($O452="",$O452&gt;=DATE($B$1,12,1)),OR(COUNTIF($C452:N452,"&gt;0")&gt;0,DATE($B$1,12,1)=DATE(YEAR(TODAY()),MONTH(TODAY()),1))),1,0))</f>
        <v/>
      </c>
    </row>
    <row r="453">
      <c r="A453" s="13">
        <f>IF(원생!$A451="","",원생!$A451&amp;IF(원생!$G451="",""," ("&amp;원생!$G451&amp;")"))</f>
        <v/>
      </c>
      <c r="B453" s="8">
        <f>IF(원생!$A451="","",원생!$F451)</f>
        <v/>
      </c>
      <c r="C453" s="14">
        <f>IF(원생!$A451="","",SUMIFS(수납!$F:$F,수납!$C:$C,원생!$A451,수납!$D:$D,IF(원생!$G451="","",원생!$G451),수납!$B:$B,$B$1&amp;"-"&amp;TEXT(1,"00")&amp;"*",수납!$E:$E,"수강료")+SUMIFS(수납!$F:$F,수납!$C:$C,원생!$A451,수납!$D:$D,IF(원생!$G451="","",원생!$G451),수납!$B:$B,$B$1&amp;"-"&amp;TEXT(1,"00")&amp;"*",수납!$E:$E,""))</f>
        <v/>
      </c>
      <c r="D453" s="14">
        <f>IF(원생!$A451="","",SUMIFS(수납!$F:$F,수납!$C:$C,원생!$A451,수납!$D:$D,IF(원생!$G451="","",원생!$G451),수납!$B:$B,$B$1&amp;"-"&amp;TEXT(2,"00")&amp;"*",수납!$E:$E,"수강료")+SUMIFS(수납!$F:$F,수납!$C:$C,원생!$A451,수납!$D:$D,IF(원생!$G451="","",원생!$G451),수납!$B:$B,$B$1&amp;"-"&amp;TEXT(2,"00")&amp;"*",수납!$E:$E,""))</f>
        <v/>
      </c>
      <c r="E453" s="14">
        <f>IF(원생!$A451="","",SUMIFS(수납!$F:$F,수납!$C:$C,원생!$A451,수납!$D:$D,IF(원생!$G451="","",원생!$G451),수납!$B:$B,$B$1&amp;"-"&amp;TEXT(3,"00")&amp;"*",수납!$E:$E,"수강료")+SUMIFS(수납!$F:$F,수납!$C:$C,원생!$A451,수납!$D:$D,IF(원생!$G451="","",원생!$G451),수납!$B:$B,$B$1&amp;"-"&amp;TEXT(3,"00")&amp;"*",수납!$E:$E,""))</f>
        <v/>
      </c>
      <c r="F453" s="14">
        <f>IF(원생!$A451="","",SUMIFS(수납!$F:$F,수납!$C:$C,원생!$A451,수납!$D:$D,IF(원생!$G451="","",원생!$G451),수납!$B:$B,$B$1&amp;"-"&amp;TEXT(4,"00")&amp;"*",수납!$E:$E,"수강료")+SUMIFS(수납!$F:$F,수납!$C:$C,원생!$A451,수납!$D:$D,IF(원생!$G451="","",원생!$G451),수납!$B:$B,$B$1&amp;"-"&amp;TEXT(4,"00")&amp;"*",수납!$E:$E,""))</f>
        <v/>
      </c>
      <c r="G453" s="14">
        <f>IF(원생!$A451="","",SUMIFS(수납!$F:$F,수납!$C:$C,원생!$A451,수납!$D:$D,IF(원생!$G451="","",원생!$G451),수납!$B:$B,$B$1&amp;"-"&amp;TEXT(5,"00")&amp;"*",수납!$E:$E,"수강료")+SUMIFS(수납!$F:$F,수납!$C:$C,원생!$A451,수납!$D:$D,IF(원생!$G451="","",원생!$G451),수납!$B:$B,$B$1&amp;"-"&amp;TEXT(5,"00")&amp;"*",수납!$E:$E,""))</f>
        <v/>
      </c>
      <c r="H453" s="14">
        <f>IF(원생!$A451="","",SUMIFS(수납!$F:$F,수납!$C:$C,원생!$A451,수납!$D:$D,IF(원생!$G451="","",원생!$G451),수납!$B:$B,$B$1&amp;"-"&amp;TEXT(6,"00")&amp;"*",수납!$E:$E,"수강료")+SUMIFS(수납!$F:$F,수납!$C:$C,원생!$A451,수납!$D:$D,IF(원생!$G451="","",원생!$G451),수납!$B:$B,$B$1&amp;"-"&amp;TEXT(6,"00")&amp;"*",수납!$E:$E,""))</f>
        <v/>
      </c>
      <c r="I453" s="14">
        <f>IF(원생!$A451="","",SUMIFS(수납!$F:$F,수납!$C:$C,원생!$A451,수납!$D:$D,IF(원생!$G451="","",원생!$G451),수납!$B:$B,$B$1&amp;"-"&amp;TEXT(7,"00")&amp;"*",수납!$E:$E,"수강료")+SUMIFS(수납!$F:$F,수납!$C:$C,원생!$A451,수납!$D:$D,IF(원생!$G451="","",원생!$G451),수납!$B:$B,$B$1&amp;"-"&amp;TEXT(7,"00")&amp;"*",수납!$E:$E,""))</f>
        <v/>
      </c>
      <c r="J453" s="14">
        <f>IF(원생!$A451="","",SUMIFS(수납!$F:$F,수납!$C:$C,원생!$A451,수납!$D:$D,IF(원생!$G451="","",원생!$G451),수납!$B:$B,$B$1&amp;"-"&amp;TEXT(8,"00")&amp;"*",수납!$E:$E,"수강료")+SUMIFS(수납!$F:$F,수납!$C:$C,원생!$A451,수납!$D:$D,IF(원생!$G451="","",원생!$G451),수납!$B:$B,$B$1&amp;"-"&amp;TEXT(8,"00")&amp;"*",수납!$E:$E,""))</f>
        <v/>
      </c>
      <c r="K453" s="14">
        <f>IF(원생!$A451="","",SUMIFS(수납!$F:$F,수납!$C:$C,원생!$A451,수납!$D:$D,IF(원생!$G451="","",원생!$G451),수납!$B:$B,$B$1&amp;"-"&amp;TEXT(9,"00")&amp;"*",수납!$E:$E,"수강료")+SUMIFS(수납!$F:$F,수납!$C:$C,원생!$A451,수납!$D:$D,IF(원생!$G451="","",원생!$G451),수납!$B:$B,$B$1&amp;"-"&amp;TEXT(9,"00")&amp;"*",수납!$E:$E,""))</f>
        <v/>
      </c>
      <c r="L453" s="14">
        <f>IF(원생!$A451="","",SUMIFS(수납!$F:$F,수납!$C:$C,원생!$A451,수납!$D:$D,IF(원생!$G451="","",원생!$G451),수납!$B:$B,$B$1&amp;"-"&amp;TEXT(10,"00")&amp;"*",수납!$E:$E,"수강료")+SUMIFS(수납!$F:$F,수납!$C:$C,원생!$A451,수납!$D:$D,IF(원생!$G451="","",원생!$G451),수납!$B:$B,$B$1&amp;"-"&amp;TEXT(10,"00")&amp;"*",수납!$E:$E,""))</f>
        <v/>
      </c>
      <c r="M453" s="14">
        <f>IF(원생!$A451="","",SUMIFS(수납!$F:$F,수납!$C:$C,원생!$A451,수납!$D:$D,IF(원생!$G451="","",원생!$G451),수납!$B:$B,$B$1&amp;"-"&amp;TEXT(11,"00")&amp;"*",수납!$E:$E,"수강료")+SUMIFS(수납!$F:$F,수납!$C:$C,원생!$A451,수납!$D:$D,IF(원생!$G451="","",원생!$G451),수납!$B:$B,$B$1&amp;"-"&amp;TEXT(11,"00")&amp;"*",수납!$E:$E,""))</f>
        <v/>
      </c>
      <c r="N453" s="14">
        <f>IF(원생!$A451="","",SUMIFS(수납!$F:$F,수납!$C:$C,원생!$A451,수납!$D:$D,IF(원생!$G451="","",원생!$G451),수납!$B:$B,$B$1&amp;"-"&amp;TEXT(12,"00")&amp;"*",수납!$E:$E,"수강료")+SUMIFS(수납!$F:$F,수납!$C:$C,원생!$A451,수납!$D:$D,IF(원생!$G451="","",원생!$G451),수납!$B:$B,$B$1&amp;"-"&amp;TEXT(12,"00")&amp;"*",수납!$E:$E,""))</f>
        <v/>
      </c>
      <c r="O453">
        <f>IF(원생!$I451="","",원생!$I451)</f>
        <v/>
      </c>
      <c r="P453">
        <f>IF($A453="","",IF(AND($B453&gt;0,C453&lt;$B453,DATE($B$1,1,1)&lt;=TODAY(),OR($O453="",$O453&gt;=DATE($B$1,1,1)),OR(COUNTIF($C453:C453,"&gt;0")&gt;0,DATE($B$1,1,1)=DATE(YEAR(TODAY()),MONTH(TODAY()),1))),1,0))</f>
        <v/>
      </c>
      <c r="Q453">
        <f>IF($A453="","",IF(AND($B453&gt;0,D453&lt;$B453,DATE($B$1,2,1)&lt;=TODAY(),OR($O453="",$O453&gt;=DATE($B$1,2,1)),OR(COUNTIF($C453:D453,"&gt;0")&gt;0,DATE($B$1,2,1)=DATE(YEAR(TODAY()),MONTH(TODAY()),1))),1,0))</f>
        <v/>
      </c>
      <c r="R453">
        <f>IF($A453="","",IF(AND($B453&gt;0,E453&lt;$B453,DATE($B$1,3,1)&lt;=TODAY(),OR($O453="",$O453&gt;=DATE($B$1,3,1)),OR(COUNTIF($C453:E453,"&gt;0")&gt;0,DATE($B$1,3,1)=DATE(YEAR(TODAY()),MONTH(TODAY()),1))),1,0))</f>
        <v/>
      </c>
      <c r="S453">
        <f>IF($A453="","",IF(AND($B453&gt;0,F453&lt;$B453,DATE($B$1,4,1)&lt;=TODAY(),OR($O453="",$O453&gt;=DATE($B$1,4,1)),OR(COUNTIF($C453:F453,"&gt;0")&gt;0,DATE($B$1,4,1)=DATE(YEAR(TODAY()),MONTH(TODAY()),1))),1,0))</f>
        <v/>
      </c>
      <c r="T453">
        <f>IF($A453="","",IF(AND($B453&gt;0,G453&lt;$B453,DATE($B$1,5,1)&lt;=TODAY(),OR($O453="",$O453&gt;=DATE($B$1,5,1)),OR(COUNTIF($C453:G453,"&gt;0")&gt;0,DATE($B$1,5,1)=DATE(YEAR(TODAY()),MONTH(TODAY()),1))),1,0))</f>
        <v/>
      </c>
      <c r="U453">
        <f>IF($A453="","",IF(AND($B453&gt;0,H453&lt;$B453,DATE($B$1,6,1)&lt;=TODAY(),OR($O453="",$O453&gt;=DATE($B$1,6,1)),OR(COUNTIF($C453:H453,"&gt;0")&gt;0,DATE($B$1,6,1)=DATE(YEAR(TODAY()),MONTH(TODAY()),1))),1,0))</f>
        <v/>
      </c>
      <c r="V453">
        <f>IF($A453="","",IF(AND($B453&gt;0,I453&lt;$B453,DATE($B$1,7,1)&lt;=TODAY(),OR($O453="",$O453&gt;=DATE($B$1,7,1)),OR(COUNTIF($C453:I453,"&gt;0")&gt;0,DATE($B$1,7,1)=DATE(YEAR(TODAY()),MONTH(TODAY()),1))),1,0))</f>
        <v/>
      </c>
      <c r="W453">
        <f>IF($A453="","",IF(AND($B453&gt;0,J453&lt;$B453,DATE($B$1,8,1)&lt;=TODAY(),OR($O453="",$O453&gt;=DATE($B$1,8,1)),OR(COUNTIF($C453:J453,"&gt;0")&gt;0,DATE($B$1,8,1)=DATE(YEAR(TODAY()),MONTH(TODAY()),1))),1,0))</f>
        <v/>
      </c>
      <c r="X453">
        <f>IF($A453="","",IF(AND($B453&gt;0,K453&lt;$B453,DATE($B$1,9,1)&lt;=TODAY(),OR($O453="",$O453&gt;=DATE($B$1,9,1)),OR(COUNTIF($C453:K453,"&gt;0")&gt;0,DATE($B$1,9,1)=DATE(YEAR(TODAY()),MONTH(TODAY()),1))),1,0))</f>
        <v/>
      </c>
      <c r="Y453">
        <f>IF($A453="","",IF(AND($B453&gt;0,L453&lt;$B453,DATE($B$1,10,1)&lt;=TODAY(),OR($O453="",$O453&gt;=DATE($B$1,10,1)),OR(COUNTIF($C453:L453,"&gt;0")&gt;0,DATE($B$1,10,1)=DATE(YEAR(TODAY()),MONTH(TODAY()),1))),1,0))</f>
        <v/>
      </c>
      <c r="Z453">
        <f>IF($A453="","",IF(AND($B453&gt;0,M453&lt;$B453,DATE($B$1,11,1)&lt;=TODAY(),OR($O453="",$O453&gt;=DATE($B$1,11,1)),OR(COUNTIF($C453:M453,"&gt;0")&gt;0,DATE($B$1,11,1)=DATE(YEAR(TODAY()),MONTH(TODAY()),1))),1,0))</f>
        <v/>
      </c>
      <c r="AA453">
        <f>IF($A453="","",IF(AND($B453&gt;0,N453&lt;$B453,DATE($B$1,12,1)&lt;=TODAY(),OR($O453="",$O453&gt;=DATE($B$1,12,1)),OR(COUNTIF($C453:N453,"&gt;0")&gt;0,DATE($B$1,12,1)=DATE(YEAR(TODAY()),MONTH(TODAY()),1))),1,0))</f>
        <v/>
      </c>
    </row>
    <row r="454">
      <c r="A454" s="13">
        <f>IF(원생!$A452="","",원생!$A452&amp;IF(원생!$G452="",""," ("&amp;원생!$G452&amp;")"))</f>
        <v/>
      </c>
      <c r="B454" s="8">
        <f>IF(원생!$A452="","",원생!$F452)</f>
        <v/>
      </c>
      <c r="C454" s="14">
        <f>IF(원생!$A452="","",SUMIFS(수납!$F:$F,수납!$C:$C,원생!$A452,수납!$D:$D,IF(원생!$G452="","",원생!$G452),수납!$B:$B,$B$1&amp;"-"&amp;TEXT(1,"00")&amp;"*",수납!$E:$E,"수강료")+SUMIFS(수납!$F:$F,수납!$C:$C,원생!$A452,수납!$D:$D,IF(원생!$G452="","",원생!$G452),수납!$B:$B,$B$1&amp;"-"&amp;TEXT(1,"00")&amp;"*",수납!$E:$E,""))</f>
        <v/>
      </c>
      <c r="D454" s="14">
        <f>IF(원생!$A452="","",SUMIFS(수납!$F:$F,수납!$C:$C,원생!$A452,수납!$D:$D,IF(원생!$G452="","",원생!$G452),수납!$B:$B,$B$1&amp;"-"&amp;TEXT(2,"00")&amp;"*",수납!$E:$E,"수강료")+SUMIFS(수납!$F:$F,수납!$C:$C,원생!$A452,수납!$D:$D,IF(원생!$G452="","",원생!$G452),수납!$B:$B,$B$1&amp;"-"&amp;TEXT(2,"00")&amp;"*",수납!$E:$E,""))</f>
        <v/>
      </c>
      <c r="E454" s="14">
        <f>IF(원생!$A452="","",SUMIFS(수납!$F:$F,수납!$C:$C,원생!$A452,수납!$D:$D,IF(원생!$G452="","",원생!$G452),수납!$B:$B,$B$1&amp;"-"&amp;TEXT(3,"00")&amp;"*",수납!$E:$E,"수강료")+SUMIFS(수납!$F:$F,수납!$C:$C,원생!$A452,수납!$D:$D,IF(원생!$G452="","",원생!$G452),수납!$B:$B,$B$1&amp;"-"&amp;TEXT(3,"00")&amp;"*",수납!$E:$E,""))</f>
        <v/>
      </c>
      <c r="F454" s="14">
        <f>IF(원생!$A452="","",SUMIFS(수납!$F:$F,수납!$C:$C,원생!$A452,수납!$D:$D,IF(원생!$G452="","",원생!$G452),수납!$B:$B,$B$1&amp;"-"&amp;TEXT(4,"00")&amp;"*",수납!$E:$E,"수강료")+SUMIFS(수납!$F:$F,수납!$C:$C,원생!$A452,수납!$D:$D,IF(원생!$G452="","",원생!$G452),수납!$B:$B,$B$1&amp;"-"&amp;TEXT(4,"00")&amp;"*",수납!$E:$E,""))</f>
        <v/>
      </c>
      <c r="G454" s="14">
        <f>IF(원생!$A452="","",SUMIFS(수납!$F:$F,수납!$C:$C,원생!$A452,수납!$D:$D,IF(원생!$G452="","",원생!$G452),수납!$B:$B,$B$1&amp;"-"&amp;TEXT(5,"00")&amp;"*",수납!$E:$E,"수강료")+SUMIFS(수납!$F:$F,수납!$C:$C,원생!$A452,수납!$D:$D,IF(원생!$G452="","",원생!$G452),수납!$B:$B,$B$1&amp;"-"&amp;TEXT(5,"00")&amp;"*",수납!$E:$E,""))</f>
        <v/>
      </c>
      <c r="H454" s="14">
        <f>IF(원생!$A452="","",SUMIFS(수납!$F:$F,수납!$C:$C,원생!$A452,수납!$D:$D,IF(원생!$G452="","",원생!$G452),수납!$B:$B,$B$1&amp;"-"&amp;TEXT(6,"00")&amp;"*",수납!$E:$E,"수강료")+SUMIFS(수납!$F:$F,수납!$C:$C,원생!$A452,수납!$D:$D,IF(원생!$G452="","",원생!$G452),수납!$B:$B,$B$1&amp;"-"&amp;TEXT(6,"00")&amp;"*",수납!$E:$E,""))</f>
        <v/>
      </c>
      <c r="I454" s="14">
        <f>IF(원생!$A452="","",SUMIFS(수납!$F:$F,수납!$C:$C,원생!$A452,수납!$D:$D,IF(원생!$G452="","",원생!$G452),수납!$B:$B,$B$1&amp;"-"&amp;TEXT(7,"00")&amp;"*",수납!$E:$E,"수강료")+SUMIFS(수납!$F:$F,수납!$C:$C,원생!$A452,수납!$D:$D,IF(원생!$G452="","",원생!$G452),수납!$B:$B,$B$1&amp;"-"&amp;TEXT(7,"00")&amp;"*",수납!$E:$E,""))</f>
        <v/>
      </c>
      <c r="J454" s="14">
        <f>IF(원생!$A452="","",SUMIFS(수납!$F:$F,수납!$C:$C,원생!$A452,수납!$D:$D,IF(원생!$G452="","",원생!$G452),수납!$B:$B,$B$1&amp;"-"&amp;TEXT(8,"00")&amp;"*",수납!$E:$E,"수강료")+SUMIFS(수납!$F:$F,수납!$C:$C,원생!$A452,수납!$D:$D,IF(원생!$G452="","",원생!$G452),수납!$B:$B,$B$1&amp;"-"&amp;TEXT(8,"00")&amp;"*",수납!$E:$E,""))</f>
        <v/>
      </c>
      <c r="K454" s="14">
        <f>IF(원생!$A452="","",SUMIFS(수납!$F:$F,수납!$C:$C,원생!$A452,수납!$D:$D,IF(원생!$G452="","",원생!$G452),수납!$B:$B,$B$1&amp;"-"&amp;TEXT(9,"00")&amp;"*",수납!$E:$E,"수강료")+SUMIFS(수납!$F:$F,수납!$C:$C,원생!$A452,수납!$D:$D,IF(원생!$G452="","",원생!$G452),수납!$B:$B,$B$1&amp;"-"&amp;TEXT(9,"00")&amp;"*",수납!$E:$E,""))</f>
        <v/>
      </c>
      <c r="L454" s="14">
        <f>IF(원생!$A452="","",SUMIFS(수납!$F:$F,수납!$C:$C,원생!$A452,수납!$D:$D,IF(원생!$G452="","",원생!$G452),수납!$B:$B,$B$1&amp;"-"&amp;TEXT(10,"00")&amp;"*",수납!$E:$E,"수강료")+SUMIFS(수납!$F:$F,수납!$C:$C,원생!$A452,수납!$D:$D,IF(원생!$G452="","",원생!$G452),수납!$B:$B,$B$1&amp;"-"&amp;TEXT(10,"00")&amp;"*",수납!$E:$E,""))</f>
        <v/>
      </c>
      <c r="M454" s="14">
        <f>IF(원생!$A452="","",SUMIFS(수납!$F:$F,수납!$C:$C,원생!$A452,수납!$D:$D,IF(원생!$G452="","",원생!$G452),수납!$B:$B,$B$1&amp;"-"&amp;TEXT(11,"00")&amp;"*",수납!$E:$E,"수강료")+SUMIFS(수납!$F:$F,수납!$C:$C,원생!$A452,수납!$D:$D,IF(원생!$G452="","",원생!$G452),수납!$B:$B,$B$1&amp;"-"&amp;TEXT(11,"00")&amp;"*",수납!$E:$E,""))</f>
        <v/>
      </c>
      <c r="N454" s="14">
        <f>IF(원생!$A452="","",SUMIFS(수납!$F:$F,수납!$C:$C,원생!$A452,수납!$D:$D,IF(원생!$G452="","",원생!$G452),수납!$B:$B,$B$1&amp;"-"&amp;TEXT(12,"00")&amp;"*",수납!$E:$E,"수강료")+SUMIFS(수납!$F:$F,수납!$C:$C,원생!$A452,수납!$D:$D,IF(원생!$G452="","",원생!$G452),수납!$B:$B,$B$1&amp;"-"&amp;TEXT(12,"00")&amp;"*",수납!$E:$E,""))</f>
        <v/>
      </c>
      <c r="O454">
        <f>IF(원생!$I452="","",원생!$I452)</f>
        <v/>
      </c>
      <c r="P454">
        <f>IF($A454="","",IF(AND($B454&gt;0,C454&lt;$B454,DATE($B$1,1,1)&lt;=TODAY(),OR($O454="",$O454&gt;=DATE($B$1,1,1)),OR(COUNTIF($C454:C454,"&gt;0")&gt;0,DATE($B$1,1,1)=DATE(YEAR(TODAY()),MONTH(TODAY()),1))),1,0))</f>
        <v/>
      </c>
      <c r="Q454">
        <f>IF($A454="","",IF(AND($B454&gt;0,D454&lt;$B454,DATE($B$1,2,1)&lt;=TODAY(),OR($O454="",$O454&gt;=DATE($B$1,2,1)),OR(COUNTIF($C454:D454,"&gt;0")&gt;0,DATE($B$1,2,1)=DATE(YEAR(TODAY()),MONTH(TODAY()),1))),1,0))</f>
        <v/>
      </c>
      <c r="R454">
        <f>IF($A454="","",IF(AND($B454&gt;0,E454&lt;$B454,DATE($B$1,3,1)&lt;=TODAY(),OR($O454="",$O454&gt;=DATE($B$1,3,1)),OR(COUNTIF($C454:E454,"&gt;0")&gt;0,DATE($B$1,3,1)=DATE(YEAR(TODAY()),MONTH(TODAY()),1))),1,0))</f>
        <v/>
      </c>
      <c r="S454">
        <f>IF($A454="","",IF(AND($B454&gt;0,F454&lt;$B454,DATE($B$1,4,1)&lt;=TODAY(),OR($O454="",$O454&gt;=DATE($B$1,4,1)),OR(COUNTIF($C454:F454,"&gt;0")&gt;0,DATE($B$1,4,1)=DATE(YEAR(TODAY()),MONTH(TODAY()),1))),1,0))</f>
        <v/>
      </c>
      <c r="T454">
        <f>IF($A454="","",IF(AND($B454&gt;0,G454&lt;$B454,DATE($B$1,5,1)&lt;=TODAY(),OR($O454="",$O454&gt;=DATE($B$1,5,1)),OR(COUNTIF($C454:G454,"&gt;0")&gt;0,DATE($B$1,5,1)=DATE(YEAR(TODAY()),MONTH(TODAY()),1))),1,0))</f>
        <v/>
      </c>
      <c r="U454">
        <f>IF($A454="","",IF(AND($B454&gt;0,H454&lt;$B454,DATE($B$1,6,1)&lt;=TODAY(),OR($O454="",$O454&gt;=DATE($B$1,6,1)),OR(COUNTIF($C454:H454,"&gt;0")&gt;0,DATE($B$1,6,1)=DATE(YEAR(TODAY()),MONTH(TODAY()),1))),1,0))</f>
        <v/>
      </c>
      <c r="V454">
        <f>IF($A454="","",IF(AND($B454&gt;0,I454&lt;$B454,DATE($B$1,7,1)&lt;=TODAY(),OR($O454="",$O454&gt;=DATE($B$1,7,1)),OR(COUNTIF($C454:I454,"&gt;0")&gt;0,DATE($B$1,7,1)=DATE(YEAR(TODAY()),MONTH(TODAY()),1))),1,0))</f>
        <v/>
      </c>
      <c r="W454">
        <f>IF($A454="","",IF(AND($B454&gt;0,J454&lt;$B454,DATE($B$1,8,1)&lt;=TODAY(),OR($O454="",$O454&gt;=DATE($B$1,8,1)),OR(COUNTIF($C454:J454,"&gt;0")&gt;0,DATE($B$1,8,1)=DATE(YEAR(TODAY()),MONTH(TODAY()),1))),1,0))</f>
        <v/>
      </c>
      <c r="X454">
        <f>IF($A454="","",IF(AND($B454&gt;0,K454&lt;$B454,DATE($B$1,9,1)&lt;=TODAY(),OR($O454="",$O454&gt;=DATE($B$1,9,1)),OR(COUNTIF($C454:K454,"&gt;0")&gt;0,DATE($B$1,9,1)=DATE(YEAR(TODAY()),MONTH(TODAY()),1))),1,0))</f>
        <v/>
      </c>
      <c r="Y454">
        <f>IF($A454="","",IF(AND($B454&gt;0,L454&lt;$B454,DATE($B$1,10,1)&lt;=TODAY(),OR($O454="",$O454&gt;=DATE($B$1,10,1)),OR(COUNTIF($C454:L454,"&gt;0")&gt;0,DATE($B$1,10,1)=DATE(YEAR(TODAY()),MONTH(TODAY()),1))),1,0))</f>
        <v/>
      </c>
      <c r="Z454">
        <f>IF($A454="","",IF(AND($B454&gt;0,M454&lt;$B454,DATE($B$1,11,1)&lt;=TODAY(),OR($O454="",$O454&gt;=DATE($B$1,11,1)),OR(COUNTIF($C454:M454,"&gt;0")&gt;0,DATE($B$1,11,1)=DATE(YEAR(TODAY()),MONTH(TODAY()),1))),1,0))</f>
        <v/>
      </c>
      <c r="AA454">
        <f>IF($A454="","",IF(AND($B454&gt;0,N454&lt;$B454,DATE($B$1,12,1)&lt;=TODAY(),OR($O454="",$O454&gt;=DATE($B$1,12,1)),OR(COUNTIF($C454:N454,"&gt;0")&gt;0,DATE($B$1,12,1)=DATE(YEAR(TODAY()),MONTH(TODAY()),1))),1,0))</f>
        <v/>
      </c>
    </row>
    <row r="455">
      <c r="A455" s="13">
        <f>IF(원생!$A453="","",원생!$A453&amp;IF(원생!$G453="",""," ("&amp;원생!$G453&amp;")"))</f>
        <v/>
      </c>
      <c r="B455" s="8">
        <f>IF(원생!$A453="","",원생!$F453)</f>
        <v/>
      </c>
      <c r="C455" s="14">
        <f>IF(원생!$A453="","",SUMIFS(수납!$F:$F,수납!$C:$C,원생!$A453,수납!$D:$D,IF(원생!$G453="","",원생!$G453),수납!$B:$B,$B$1&amp;"-"&amp;TEXT(1,"00")&amp;"*",수납!$E:$E,"수강료")+SUMIFS(수납!$F:$F,수납!$C:$C,원생!$A453,수납!$D:$D,IF(원생!$G453="","",원생!$G453),수납!$B:$B,$B$1&amp;"-"&amp;TEXT(1,"00")&amp;"*",수납!$E:$E,""))</f>
        <v/>
      </c>
      <c r="D455" s="14">
        <f>IF(원생!$A453="","",SUMIFS(수납!$F:$F,수납!$C:$C,원생!$A453,수납!$D:$D,IF(원생!$G453="","",원생!$G453),수납!$B:$B,$B$1&amp;"-"&amp;TEXT(2,"00")&amp;"*",수납!$E:$E,"수강료")+SUMIFS(수납!$F:$F,수납!$C:$C,원생!$A453,수납!$D:$D,IF(원생!$G453="","",원생!$G453),수납!$B:$B,$B$1&amp;"-"&amp;TEXT(2,"00")&amp;"*",수납!$E:$E,""))</f>
        <v/>
      </c>
      <c r="E455" s="14">
        <f>IF(원생!$A453="","",SUMIFS(수납!$F:$F,수납!$C:$C,원생!$A453,수납!$D:$D,IF(원생!$G453="","",원생!$G453),수납!$B:$B,$B$1&amp;"-"&amp;TEXT(3,"00")&amp;"*",수납!$E:$E,"수강료")+SUMIFS(수납!$F:$F,수납!$C:$C,원생!$A453,수납!$D:$D,IF(원생!$G453="","",원생!$G453),수납!$B:$B,$B$1&amp;"-"&amp;TEXT(3,"00")&amp;"*",수납!$E:$E,""))</f>
        <v/>
      </c>
      <c r="F455" s="14">
        <f>IF(원생!$A453="","",SUMIFS(수납!$F:$F,수납!$C:$C,원생!$A453,수납!$D:$D,IF(원생!$G453="","",원생!$G453),수납!$B:$B,$B$1&amp;"-"&amp;TEXT(4,"00")&amp;"*",수납!$E:$E,"수강료")+SUMIFS(수납!$F:$F,수납!$C:$C,원생!$A453,수납!$D:$D,IF(원생!$G453="","",원생!$G453),수납!$B:$B,$B$1&amp;"-"&amp;TEXT(4,"00")&amp;"*",수납!$E:$E,""))</f>
        <v/>
      </c>
      <c r="G455" s="14">
        <f>IF(원생!$A453="","",SUMIFS(수납!$F:$F,수납!$C:$C,원생!$A453,수납!$D:$D,IF(원생!$G453="","",원생!$G453),수납!$B:$B,$B$1&amp;"-"&amp;TEXT(5,"00")&amp;"*",수납!$E:$E,"수강료")+SUMIFS(수납!$F:$F,수납!$C:$C,원생!$A453,수납!$D:$D,IF(원생!$G453="","",원생!$G453),수납!$B:$B,$B$1&amp;"-"&amp;TEXT(5,"00")&amp;"*",수납!$E:$E,""))</f>
        <v/>
      </c>
      <c r="H455" s="14">
        <f>IF(원생!$A453="","",SUMIFS(수납!$F:$F,수납!$C:$C,원생!$A453,수납!$D:$D,IF(원생!$G453="","",원생!$G453),수납!$B:$B,$B$1&amp;"-"&amp;TEXT(6,"00")&amp;"*",수납!$E:$E,"수강료")+SUMIFS(수납!$F:$F,수납!$C:$C,원생!$A453,수납!$D:$D,IF(원생!$G453="","",원생!$G453),수납!$B:$B,$B$1&amp;"-"&amp;TEXT(6,"00")&amp;"*",수납!$E:$E,""))</f>
        <v/>
      </c>
      <c r="I455" s="14">
        <f>IF(원생!$A453="","",SUMIFS(수납!$F:$F,수납!$C:$C,원생!$A453,수납!$D:$D,IF(원생!$G453="","",원생!$G453),수납!$B:$B,$B$1&amp;"-"&amp;TEXT(7,"00")&amp;"*",수납!$E:$E,"수강료")+SUMIFS(수납!$F:$F,수납!$C:$C,원생!$A453,수납!$D:$D,IF(원생!$G453="","",원생!$G453),수납!$B:$B,$B$1&amp;"-"&amp;TEXT(7,"00")&amp;"*",수납!$E:$E,""))</f>
        <v/>
      </c>
      <c r="J455" s="14">
        <f>IF(원생!$A453="","",SUMIFS(수납!$F:$F,수납!$C:$C,원생!$A453,수납!$D:$D,IF(원생!$G453="","",원생!$G453),수납!$B:$B,$B$1&amp;"-"&amp;TEXT(8,"00")&amp;"*",수납!$E:$E,"수강료")+SUMIFS(수납!$F:$F,수납!$C:$C,원생!$A453,수납!$D:$D,IF(원생!$G453="","",원생!$G453),수납!$B:$B,$B$1&amp;"-"&amp;TEXT(8,"00")&amp;"*",수납!$E:$E,""))</f>
        <v/>
      </c>
      <c r="K455" s="14">
        <f>IF(원생!$A453="","",SUMIFS(수납!$F:$F,수납!$C:$C,원생!$A453,수납!$D:$D,IF(원생!$G453="","",원생!$G453),수납!$B:$B,$B$1&amp;"-"&amp;TEXT(9,"00")&amp;"*",수납!$E:$E,"수강료")+SUMIFS(수납!$F:$F,수납!$C:$C,원생!$A453,수납!$D:$D,IF(원생!$G453="","",원생!$G453),수납!$B:$B,$B$1&amp;"-"&amp;TEXT(9,"00")&amp;"*",수납!$E:$E,""))</f>
        <v/>
      </c>
      <c r="L455" s="14">
        <f>IF(원생!$A453="","",SUMIFS(수납!$F:$F,수납!$C:$C,원생!$A453,수납!$D:$D,IF(원생!$G453="","",원생!$G453),수납!$B:$B,$B$1&amp;"-"&amp;TEXT(10,"00")&amp;"*",수납!$E:$E,"수강료")+SUMIFS(수납!$F:$F,수납!$C:$C,원생!$A453,수납!$D:$D,IF(원생!$G453="","",원생!$G453),수납!$B:$B,$B$1&amp;"-"&amp;TEXT(10,"00")&amp;"*",수납!$E:$E,""))</f>
        <v/>
      </c>
      <c r="M455" s="14">
        <f>IF(원생!$A453="","",SUMIFS(수납!$F:$F,수납!$C:$C,원생!$A453,수납!$D:$D,IF(원생!$G453="","",원생!$G453),수납!$B:$B,$B$1&amp;"-"&amp;TEXT(11,"00")&amp;"*",수납!$E:$E,"수강료")+SUMIFS(수납!$F:$F,수납!$C:$C,원생!$A453,수납!$D:$D,IF(원생!$G453="","",원생!$G453),수납!$B:$B,$B$1&amp;"-"&amp;TEXT(11,"00")&amp;"*",수납!$E:$E,""))</f>
        <v/>
      </c>
      <c r="N455" s="14">
        <f>IF(원생!$A453="","",SUMIFS(수납!$F:$F,수납!$C:$C,원생!$A453,수납!$D:$D,IF(원생!$G453="","",원생!$G453),수납!$B:$B,$B$1&amp;"-"&amp;TEXT(12,"00")&amp;"*",수납!$E:$E,"수강료")+SUMIFS(수납!$F:$F,수납!$C:$C,원생!$A453,수납!$D:$D,IF(원생!$G453="","",원생!$G453),수납!$B:$B,$B$1&amp;"-"&amp;TEXT(12,"00")&amp;"*",수납!$E:$E,""))</f>
        <v/>
      </c>
      <c r="O455">
        <f>IF(원생!$I453="","",원생!$I453)</f>
        <v/>
      </c>
      <c r="P455">
        <f>IF($A455="","",IF(AND($B455&gt;0,C455&lt;$B455,DATE($B$1,1,1)&lt;=TODAY(),OR($O455="",$O455&gt;=DATE($B$1,1,1)),OR(COUNTIF($C455:C455,"&gt;0")&gt;0,DATE($B$1,1,1)=DATE(YEAR(TODAY()),MONTH(TODAY()),1))),1,0))</f>
        <v/>
      </c>
      <c r="Q455">
        <f>IF($A455="","",IF(AND($B455&gt;0,D455&lt;$B455,DATE($B$1,2,1)&lt;=TODAY(),OR($O455="",$O455&gt;=DATE($B$1,2,1)),OR(COUNTIF($C455:D455,"&gt;0")&gt;0,DATE($B$1,2,1)=DATE(YEAR(TODAY()),MONTH(TODAY()),1))),1,0))</f>
        <v/>
      </c>
      <c r="R455">
        <f>IF($A455="","",IF(AND($B455&gt;0,E455&lt;$B455,DATE($B$1,3,1)&lt;=TODAY(),OR($O455="",$O455&gt;=DATE($B$1,3,1)),OR(COUNTIF($C455:E455,"&gt;0")&gt;0,DATE($B$1,3,1)=DATE(YEAR(TODAY()),MONTH(TODAY()),1))),1,0))</f>
        <v/>
      </c>
      <c r="S455">
        <f>IF($A455="","",IF(AND($B455&gt;0,F455&lt;$B455,DATE($B$1,4,1)&lt;=TODAY(),OR($O455="",$O455&gt;=DATE($B$1,4,1)),OR(COUNTIF($C455:F455,"&gt;0")&gt;0,DATE($B$1,4,1)=DATE(YEAR(TODAY()),MONTH(TODAY()),1))),1,0))</f>
        <v/>
      </c>
      <c r="T455">
        <f>IF($A455="","",IF(AND($B455&gt;0,G455&lt;$B455,DATE($B$1,5,1)&lt;=TODAY(),OR($O455="",$O455&gt;=DATE($B$1,5,1)),OR(COUNTIF($C455:G455,"&gt;0")&gt;0,DATE($B$1,5,1)=DATE(YEAR(TODAY()),MONTH(TODAY()),1))),1,0))</f>
        <v/>
      </c>
      <c r="U455">
        <f>IF($A455="","",IF(AND($B455&gt;0,H455&lt;$B455,DATE($B$1,6,1)&lt;=TODAY(),OR($O455="",$O455&gt;=DATE($B$1,6,1)),OR(COUNTIF($C455:H455,"&gt;0")&gt;0,DATE($B$1,6,1)=DATE(YEAR(TODAY()),MONTH(TODAY()),1))),1,0))</f>
        <v/>
      </c>
      <c r="V455">
        <f>IF($A455="","",IF(AND($B455&gt;0,I455&lt;$B455,DATE($B$1,7,1)&lt;=TODAY(),OR($O455="",$O455&gt;=DATE($B$1,7,1)),OR(COUNTIF($C455:I455,"&gt;0")&gt;0,DATE($B$1,7,1)=DATE(YEAR(TODAY()),MONTH(TODAY()),1))),1,0))</f>
        <v/>
      </c>
      <c r="W455">
        <f>IF($A455="","",IF(AND($B455&gt;0,J455&lt;$B455,DATE($B$1,8,1)&lt;=TODAY(),OR($O455="",$O455&gt;=DATE($B$1,8,1)),OR(COUNTIF($C455:J455,"&gt;0")&gt;0,DATE($B$1,8,1)=DATE(YEAR(TODAY()),MONTH(TODAY()),1))),1,0))</f>
        <v/>
      </c>
      <c r="X455">
        <f>IF($A455="","",IF(AND($B455&gt;0,K455&lt;$B455,DATE($B$1,9,1)&lt;=TODAY(),OR($O455="",$O455&gt;=DATE($B$1,9,1)),OR(COUNTIF($C455:K455,"&gt;0")&gt;0,DATE($B$1,9,1)=DATE(YEAR(TODAY()),MONTH(TODAY()),1))),1,0))</f>
        <v/>
      </c>
      <c r="Y455">
        <f>IF($A455="","",IF(AND($B455&gt;0,L455&lt;$B455,DATE($B$1,10,1)&lt;=TODAY(),OR($O455="",$O455&gt;=DATE($B$1,10,1)),OR(COUNTIF($C455:L455,"&gt;0")&gt;0,DATE($B$1,10,1)=DATE(YEAR(TODAY()),MONTH(TODAY()),1))),1,0))</f>
        <v/>
      </c>
      <c r="Z455">
        <f>IF($A455="","",IF(AND($B455&gt;0,M455&lt;$B455,DATE($B$1,11,1)&lt;=TODAY(),OR($O455="",$O455&gt;=DATE($B$1,11,1)),OR(COUNTIF($C455:M455,"&gt;0")&gt;0,DATE($B$1,11,1)=DATE(YEAR(TODAY()),MONTH(TODAY()),1))),1,0))</f>
        <v/>
      </c>
      <c r="AA455">
        <f>IF($A455="","",IF(AND($B455&gt;0,N455&lt;$B455,DATE($B$1,12,1)&lt;=TODAY(),OR($O455="",$O455&gt;=DATE($B$1,12,1)),OR(COUNTIF($C455:N455,"&gt;0")&gt;0,DATE($B$1,12,1)=DATE(YEAR(TODAY()),MONTH(TODAY()),1))),1,0))</f>
        <v/>
      </c>
    </row>
    <row r="456">
      <c r="A456" s="13">
        <f>IF(원생!$A454="","",원생!$A454&amp;IF(원생!$G454="",""," ("&amp;원생!$G454&amp;")"))</f>
        <v/>
      </c>
      <c r="B456" s="8">
        <f>IF(원생!$A454="","",원생!$F454)</f>
        <v/>
      </c>
      <c r="C456" s="14">
        <f>IF(원생!$A454="","",SUMIFS(수납!$F:$F,수납!$C:$C,원생!$A454,수납!$D:$D,IF(원생!$G454="","",원생!$G454),수납!$B:$B,$B$1&amp;"-"&amp;TEXT(1,"00")&amp;"*",수납!$E:$E,"수강료")+SUMIFS(수납!$F:$F,수납!$C:$C,원생!$A454,수납!$D:$D,IF(원생!$G454="","",원생!$G454),수납!$B:$B,$B$1&amp;"-"&amp;TEXT(1,"00")&amp;"*",수납!$E:$E,""))</f>
        <v/>
      </c>
      <c r="D456" s="14">
        <f>IF(원생!$A454="","",SUMIFS(수납!$F:$F,수납!$C:$C,원생!$A454,수납!$D:$D,IF(원생!$G454="","",원생!$G454),수납!$B:$B,$B$1&amp;"-"&amp;TEXT(2,"00")&amp;"*",수납!$E:$E,"수강료")+SUMIFS(수납!$F:$F,수납!$C:$C,원생!$A454,수납!$D:$D,IF(원생!$G454="","",원생!$G454),수납!$B:$B,$B$1&amp;"-"&amp;TEXT(2,"00")&amp;"*",수납!$E:$E,""))</f>
        <v/>
      </c>
      <c r="E456" s="14">
        <f>IF(원생!$A454="","",SUMIFS(수납!$F:$F,수납!$C:$C,원생!$A454,수납!$D:$D,IF(원생!$G454="","",원생!$G454),수납!$B:$B,$B$1&amp;"-"&amp;TEXT(3,"00")&amp;"*",수납!$E:$E,"수강료")+SUMIFS(수납!$F:$F,수납!$C:$C,원생!$A454,수납!$D:$D,IF(원생!$G454="","",원생!$G454),수납!$B:$B,$B$1&amp;"-"&amp;TEXT(3,"00")&amp;"*",수납!$E:$E,""))</f>
        <v/>
      </c>
      <c r="F456" s="14">
        <f>IF(원생!$A454="","",SUMIFS(수납!$F:$F,수납!$C:$C,원생!$A454,수납!$D:$D,IF(원생!$G454="","",원생!$G454),수납!$B:$B,$B$1&amp;"-"&amp;TEXT(4,"00")&amp;"*",수납!$E:$E,"수강료")+SUMIFS(수납!$F:$F,수납!$C:$C,원생!$A454,수납!$D:$D,IF(원생!$G454="","",원생!$G454),수납!$B:$B,$B$1&amp;"-"&amp;TEXT(4,"00")&amp;"*",수납!$E:$E,""))</f>
        <v/>
      </c>
      <c r="G456" s="14">
        <f>IF(원생!$A454="","",SUMIFS(수납!$F:$F,수납!$C:$C,원생!$A454,수납!$D:$D,IF(원생!$G454="","",원생!$G454),수납!$B:$B,$B$1&amp;"-"&amp;TEXT(5,"00")&amp;"*",수납!$E:$E,"수강료")+SUMIFS(수납!$F:$F,수납!$C:$C,원생!$A454,수납!$D:$D,IF(원생!$G454="","",원생!$G454),수납!$B:$B,$B$1&amp;"-"&amp;TEXT(5,"00")&amp;"*",수납!$E:$E,""))</f>
        <v/>
      </c>
      <c r="H456" s="14">
        <f>IF(원생!$A454="","",SUMIFS(수납!$F:$F,수납!$C:$C,원생!$A454,수납!$D:$D,IF(원생!$G454="","",원생!$G454),수납!$B:$B,$B$1&amp;"-"&amp;TEXT(6,"00")&amp;"*",수납!$E:$E,"수강료")+SUMIFS(수납!$F:$F,수납!$C:$C,원생!$A454,수납!$D:$D,IF(원생!$G454="","",원생!$G454),수납!$B:$B,$B$1&amp;"-"&amp;TEXT(6,"00")&amp;"*",수납!$E:$E,""))</f>
        <v/>
      </c>
      <c r="I456" s="14">
        <f>IF(원생!$A454="","",SUMIFS(수납!$F:$F,수납!$C:$C,원생!$A454,수납!$D:$D,IF(원생!$G454="","",원생!$G454),수납!$B:$B,$B$1&amp;"-"&amp;TEXT(7,"00")&amp;"*",수납!$E:$E,"수강료")+SUMIFS(수납!$F:$F,수납!$C:$C,원생!$A454,수납!$D:$D,IF(원생!$G454="","",원생!$G454),수납!$B:$B,$B$1&amp;"-"&amp;TEXT(7,"00")&amp;"*",수납!$E:$E,""))</f>
        <v/>
      </c>
      <c r="J456" s="14">
        <f>IF(원생!$A454="","",SUMIFS(수납!$F:$F,수납!$C:$C,원생!$A454,수납!$D:$D,IF(원생!$G454="","",원생!$G454),수납!$B:$B,$B$1&amp;"-"&amp;TEXT(8,"00")&amp;"*",수납!$E:$E,"수강료")+SUMIFS(수납!$F:$F,수납!$C:$C,원생!$A454,수납!$D:$D,IF(원생!$G454="","",원생!$G454),수납!$B:$B,$B$1&amp;"-"&amp;TEXT(8,"00")&amp;"*",수납!$E:$E,""))</f>
        <v/>
      </c>
      <c r="K456" s="14">
        <f>IF(원생!$A454="","",SUMIFS(수납!$F:$F,수납!$C:$C,원생!$A454,수납!$D:$D,IF(원생!$G454="","",원생!$G454),수납!$B:$B,$B$1&amp;"-"&amp;TEXT(9,"00")&amp;"*",수납!$E:$E,"수강료")+SUMIFS(수납!$F:$F,수납!$C:$C,원생!$A454,수납!$D:$D,IF(원생!$G454="","",원생!$G454),수납!$B:$B,$B$1&amp;"-"&amp;TEXT(9,"00")&amp;"*",수납!$E:$E,""))</f>
        <v/>
      </c>
      <c r="L456" s="14">
        <f>IF(원생!$A454="","",SUMIFS(수납!$F:$F,수납!$C:$C,원생!$A454,수납!$D:$D,IF(원생!$G454="","",원생!$G454),수납!$B:$B,$B$1&amp;"-"&amp;TEXT(10,"00")&amp;"*",수납!$E:$E,"수강료")+SUMIFS(수납!$F:$F,수납!$C:$C,원생!$A454,수납!$D:$D,IF(원생!$G454="","",원생!$G454),수납!$B:$B,$B$1&amp;"-"&amp;TEXT(10,"00")&amp;"*",수납!$E:$E,""))</f>
        <v/>
      </c>
      <c r="M456" s="14">
        <f>IF(원생!$A454="","",SUMIFS(수납!$F:$F,수납!$C:$C,원생!$A454,수납!$D:$D,IF(원생!$G454="","",원생!$G454),수납!$B:$B,$B$1&amp;"-"&amp;TEXT(11,"00")&amp;"*",수납!$E:$E,"수강료")+SUMIFS(수납!$F:$F,수납!$C:$C,원생!$A454,수납!$D:$D,IF(원생!$G454="","",원생!$G454),수납!$B:$B,$B$1&amp;"-"&amp;TEXT(11,"00")&amp;"*",수납!$E:$E,""))</f>
        <v/>
      </c>
      <c r="N456" s="14">
        <f>IF(원생!$A454="","",SUMIFS(수납!$F:$F,수납!$C:$C,원생!$A454,수납!$D:$D,IF(원생!$G454="","",원생!$G454),수납!$B:$B,$B$1&amp;"-"&amp;TEXT(12,"00")&amp;"*",수납!$E:$E,"수강료")+SUMIFS(수납!$F:$F,수납!$C:$C,원생!$A454,수납!$D:$D,IF(원생!$G454="","",원생!$G454),수납!$B:$B,$B$1&amp;"-"&amp;TEXT(12,"00")&amp;"*",수납!$E:$E,""))</f>
        <v/>
      </c>
      <c r="O456">
        <f>IF(원생!$I454="","",원생!$I454)</f>
        <v/>
      </c>
      <c r="P456">
        <f>IF($A456="","",IF(AND($B456&gt;0,C456&lt;$B456,DATE($B$1,1,1)&lt;=TODAY(),OR($O456="",$O456&gt;=DATE($B$1,1,1)),OR(COUNTIF($C456:C456,"&gt;0")&gt;0,DATE($B$1,1,1)=DATE(YEAR(TODAY()),MONTH(TODAY()),1))),1,0))</f>
        <v/>
      </c>
      <c r="Q456">
        <f>IF($A456="","",IF(AND($B456&gt;0,D456&lt;$B456,DATE($B$1,2,1)&lt;=TODAY(),OR($O456="",$O456&gt;=DATE($B$1,2,1)),OR(COUNTIF($C456:D456,"&gt;0")&gt;0,DATE($B$1,2,1)=DATE(YEAR(TODAY()),MONTH(TODAY()),1))),1,0))</f>
        <v/>
      </c>
      <c r="R456">
        <f>IF($A456="","",IF(AND($B456&gt;0,E456&lt;$B456,DATE($B$1,3,1)&lt;=TODAY(),OR($O456="",$O456&gt;=DATE($B$1,3,1)),OR(COUNTIF($C456:E456,"&gt;0")&gt;0,DATE($B$1,3,1)=DATE(YEAR(TODAY()),MONTH(TODAY()),1))),1,0))</f>
        <v/>
      </c>
      <c r="S456">
        <f>IF($A456="","",IF(AND($B456&gt;0,F456&lt;$B456,DATE($B$1,4,1)&lt;=TODAY(),OR($O456="",$O456&gt;=DATE($B$1,4,1)),OR(COUNTIF($C456:F456,"&gt;0")&gt;0,DATE($B$1,4,1)=DATE(YEAR(TODAY()),MONTH(TODAY()),1))),1,0))</f>
        <v/>
      </c>
      <c r="T456">
        <f>IF($A456="","",IF(AND($B456&gt;0,G456&lt;$B456,DATE($B$1,5,1)&lt;=TODAY(),OR($O456="",$O456&gt;=DATE($B$1,5,1)),OR(COUNTIF($C456:G456,"&gt;0")&gt;0,DATE($B$1,5,1)=DATE(YEAR(TODAY()),MONTH(TODAY()),1))),1,0))</f>
        <v/>
      </c>
      <c r="U456">
        <f>IF($A456="","",IF(AND($B456&gt;0,H456&lt;$B456,DATE($B$1,6,1)&lt;=TODAY(),OR($O456="",$O456&gt;=DATE($B$1,6,1)),OR(COUNTIF($C456:H456,"&gt;0")&gt;0,DATE($B$1,6,1)=DATE(YEAR(TODAY()),MONTH(TODAY()),1))),1,0))</f>
        <v/>
      </c>
      <c r="V456">
        <f>IF($A456="","",IF(AND($B456&gt;0,I456&lt;$B456,DATE($B$1,7,1)&lt;=TODAY(),OR($O456="",$O456&gt;=DATE($B$1,7,1)),OR(COUNTIF($C456:I456,"&gt;0")&gt;0,DATE($B$1,7,1)=DATE(YEAR(TODAY()),MONTH(TODAY()),1))),1,0))</f>
        <v/>
      </c>
      <c r="W456">
        <f>IF($A456="","",IF(AND($B456&gt;0,J456&lt;$B456,DATE($B$1,8,1)&lt;=TODAY(),OR($O456="",$O456&gt;=DATE($B$1,8,1)),OR(COUNTIF($C456:J456,"&gt;0")&gt;0,DATE($B$1,8,1)=DATE(YEAR(TODAY()),MONTH(TODAY()),1))),1,0))</f>
        <v/>
      </c>
      <c r="X456">
        <f>IF($A456="","",IF(AND($B456&gt;0,K456&lt;$B456,DATE($B$1,9,1)&lt;=TODAY(),OR($O456="",$O456&gt;=DATE($B$1,9,1)),OR(COUNTIF($C456:K456,"&gt;0")&gt;0,DATE($B$1,9,1)=DATE(YEAR(TODAY()),MONTH(TODAY()),1))),1,0))</f>
        <v/>
      </c>
      <c r="Y456">
        <f>IF($A456="","",IF(AND($B456&gt;0,L456&lt;$B456,DATE($B$1,10,1)&lt;=TODAY(),OR($O456="",$O456&gt;=DATE($B$1,10,1)),OR(COUNTIF($C456:L456,"&gt;0")&gt;0,DATE($B$1,10,1)=DATE(YEAR(TODAY()),MONTH(TODAY()),1))),1,0))</f>
        <v/>
      </c>
      <c r="Z456">
        <f>IF($A456="","",IF(AND($B456&gt;0,M456&lt;$B456,DATE($B$1,11,1)&lt;=TODAY(),OR($O456="",$O456&gt;=DATE($B$1,11,1)),OR(COUNTIF($C456:M456,"&gt;0")&gt;0,DATE($B$1,11,1)=DATE(YEAR(TODAY()),MONTH(TODAY()),1))),1,0))</f>
        <v/>
      </c>
      <c r="AA456">
        <f>IF($A456="","",IF(AND($B456&gt;0,N456&lt;$B456,DATE($B$1,12,1)&lt;=TODAY(),OR($O456="",$O456&gt;=DATE($B$1,12,1)),OR(COUNTIF($C456:N456,"&gt;0")&gt;0,DATE($B$1,12,1)=DATE(YEAR(TODAY()),MONTH(TODAY()),1))),1,0))</f>
        <v/>
      </c>
    </row>
    <row r="457">
      <c r="A457" s="13">
        <f>IF(원생!$A455="","",원생!$A455&amp;IF(원생!$G455="",""," ("&amp;원생!$G455&amp;")"))</f>
        <v/>
      </c>
      <c r="B457" s="8">
        <f>IF(원생!$A455="","",원생!$F455)</f>
        <v/>
      </c>
      <c r="C457" s="14">
        <f>IF(원생!$A455="","",SUMIFS(수납!$F:$F,수납!$C:$C,원생!$A455,수납!$D:$D,IF(원생!$G455="","",원생!$G455),수납!$B:$B,$B$1&amp;"-"&amp;TEXT(1,"00")&amp;"*",수납!$E:$E,"수강료")+SUMIFS(수납!$F:$F,수납!$C:$C,원생!$A455,수납!$D:$D,IF(원생!$G455="","",원생!$G455),수납!$B:$B,$B$1&amp;"-"&amp;TEXT(1,"00")&amp;"*",수납!$E:$E,""))</f>
        <v/>
      </c>
      <c r="D457" s="14">
        <f>IF(원생!$A455="","",SUMIFS(수납!$F:$F,수납!$C:$C,원생!$A455,수납!$D:$D,IF(원생!$G455="","",원생!$G455),수납!$B:$B,$B$1&amp;"-"&amp;TEXT(2,"00")&amp;"*",수납!$E:$E,"수강료")+SUMIFS(수납!$F:$F,수납!$C:$C,원생!$A455,수납!$D:$D,IF(원생!$G455="","",원생!$G455),수납!$B:$B,$B$1&amp;"-"&amp;TEXT(2,"00")&amp;"*",수납!$E:$E,""))</f>
        <v/>
      </c>
      <c r="E457" s="14">
        <f>IF(원생!$A455="","",SUMIFS(수납!$F:$F,수납!$C:$C,원생!$A455,수납!$D:$D,IF(원생!$G455="","",원생!$G455),수납!$B:$B,$B$1&amp;"-"&amp;TEXT(3,"00")&amp;"*",수납!$E:$E,"수강료")+SUMIFS(수납!$F:$F,수납!$C:$C,원생!$A455,수납!$D:$D,IF(원생!$G455="","",원생!$G455),수납!$B:$B,$B$1&amp;"-"&amp;TEXT(3,"00")&amp;"*",수납!$E:$E,""))</f>
        <v/>
      </c>
      <c r="F457" s="14">
        <f>IF(원생!$A455="","",SUMIFS(수납!$F:$F,수납!$C:$C,원생!$A455,수납!$D:$D,IF(원생!$G455="","",원생!$G455),수납!$B:$B,$B$1&amp;"-"&amp;TEXT(4,"00")&amp;"*",수납!$E:$E,"수강료")+SUMIFS(수납!$F:$F,수납!$C:$C,원생!$A455,수납!$D:$D,IF(원생!$G455="","",원생!$G455),수납!$B:$B,$B$1&amp;"-"&amp;TEXT(4,"00")&amp;"*",수납!$E:$E,""))</f>
        <v/>
      </c>
      <c r="G457" s="14">
        <f>IF(원생!$A455="","",SUMIFS(수납!$F:$F,수납!$C:$C,원생!$A455,수납!$D:$D,IF(원생!$G455="","",원생!$G455),수납!$B:$B,$B$1&amp;"-"&amp;TEXT(5,"00")&amp;"*",수납!$E:$E,"수강료")+SUMIFS(수납!$F:$F,수납!$C:$C,원생!$A455,수납!$D:$D,IF(원생!$G455="","",원생!$G455),수납!$B:$B,$B$1&amp;"-"&amp;TEXT(5,"00")&amp;"*",수납!$E:$E,""))</f>
        <v/>
      </c>
      <c r="H457" s="14">
        <f>IF(원생!$A455="","",SUMIFS(수납!$F:$F,수납!$C:$C,원생!$A455,수납!$D:$D,IF(원생!$G455="","",원생!$G455),수납!$B:$B,$B$1&amp;"-"&amp;TEXT(6,"00")&amp;"*",수납!$E:$E,"수강료")+SUMIFS(수납!$F:$F,수납!$C:$C,원생!$A455,수납!$D:$D,IF(원생!$G455="","",원생!$G455),수납!$B:$B,$B$1&amp;"-"&amp;TEXT(6,"00")&amp;"*",수납!$E:$E,""))</f>
        <v/>
      </c>
      <c r="I457" s="14">
        <f>IF(원생!$A455="","",SUMIFS(수납!$F:$F,수납!$C:$C,원생!$A455,수납!$D:$D,IF(원생!$G455="","",원생!$G455),수납!$B:$B,$B$1&amp;"-"&amp;TEXT(7,"00")&amp;"*",수납!$E:$E,"수강료")+SUMIFS(수납!$F:$F,수납!$C:$C,원생!$A455,수납!$D:$D,IF(원생!$G455="","",원생!$G455),수납!$B:$B,$B$1&amp;"-"&amp;TEXT(7,"00")&amp;"*",수납!$E:$E,""))</f>
        <v/>
      </c>
      <c r="J457" s="14">
        <f>IF(원생!$A455="","",SUMIFS(수납!$F:$F,수납!$C:$C,원생!$A455,수납!$D:$D,IF(원생!$G455="","",원생!$G455),수납!$B:$B,$B$1&amp;"-"&amp;TEXT(8,"00")&amp;"*",수납!$E:$E,"수강료")+SUMIFS(수납!$F:$F,수납!$C:$C,원생!$A455,수납!$D:$D,IF(원생!$G455="","",원생!$G455),수납!$B:$B,$B$1&amp;"-"&amp;TEXT(8,"00")&amp;"*",수납!$E:$E,""))</f>
        <v/>
      </c>
      <c r="K457" s="14">
        <f>IF(원생!$A455="","",SUMIFS(수납!$F:$F,수납!$C:$C,원생!$A455,수납!$D:$D,IF(원생!$G455="","",원생!$G455),수납!$B:$B,$B$1&amp;"-"&amp;TEXT(9,"00")&amp;"*",수납!$E:$E,"수강료")+SUMIFS(수납!$F:$F,수납!$C:$C,원생!$A455,수납!$D:$D,IF(원생!$G455="","",원생!$G455),수납!$B:$B,$B$1&amp;"-"&amp;TEXT(9,"00")&amp;"*",수납!$E:$E,""))</f>
        <v/>
      </c>
      <c r="L457" s="14">
        <f>IF(원생!$A455="","",SUMIFS(수납!$F:$F,수납!$C:$C,원생!$A455,수납!$D:$D,IF(원생!$G455="","",원생!$G455),수납!$B:$B,$B$1&amp;"-"&amp;TEXT(10,"00")&amp;"*",수납!$E:$E,"수강료")+SUMIFS(수납!$F:$F,수납!$C:$C,원생!$A455,수납!$D:$D,IF(원생!$G455="","",원생!$G455),수납!$B:$B,$B$1&amp;"-"&amp;TEXT(10,"00")&amp;"*",수납!$E:$E,""))</f>
        <v/>
      </c>
      <c r="M457" s="14">
        <f>IF(원생!$A455="","",SUMIFS(수납!$F:$F,수납!$C:$C,원생!$A455,수납!$D:$D,IF(원생!$G455="","",원생!$G455),수납!$B:$B,$B$1&amp;"-"&amp;TEXT(11,"00")&amp;"*",수납!$E:$E,"수강료")+SUMIFS(수납!$F:$F,수납!$C:$C,원생!$A455,수납!$D:$D,IF(원생!$G455="","",원생!$G455),수납!$B:$B,$B$1&amp;"-"&amp;TEXT(11,"00")&amp;"*",수납!$E:$E,""))</f>
        <v/>
      </c>
      <c r="N457" s="14">
        <f>IF(원생!$A455="","",SUMIFS(수납!$F:$F,수납!$C:$C,원생!$A455,수납!$D:$D,IF(원생!$G455="","",원생!$G455),수납!$B:$B,$B$1&amp;"-"&amp;TEXT(12,"00")&amp;"*",수납!$E:$E,"수강료")+SUMIFS(수납!$F:$F,수납!$C:$C,원생!$A455,수납!$D:$D,IF(원생!$G455="","",원생!$G455),수납!$B:$B,$B$1&amp;"-"&amp;TEXT(12,"00")&amp;"*",수납!$E:$E,""))</f>
        <v/>
      </c>
      <c r="O457">
        <f>IF(원생!$I455="","",원생!$I455)</f>
        <v/>
      </c>
      <c r="P457">
        <f>IF($A457="","",IF(AND($B457&gt;0,C457&lt;$B457,DATE($B$1,1,1)&lt;=TODAY(),OR($O457="",$O457&gt;=DATE($B$1,1,1)),OR(COUNTIF($C457:C457,"&gt;0")&gt;0,DATE($B$1,1,1)=DATE(YEAR(TODAY()),MONTH(TODAY()),1))),1,0))</f>
        <v/>
      </c>
      <c r="Q457">
        <f>IF($A457="","",IF(AND($B457&gt;0,D457&lt;$B457,DATE($B$1,2,1)&lt;=TODAY(),OR($O457="",$O457&gt;=DATE($B$1,2,1)),OR(COUNTIF($C457:D457,"&gt;0")&gt;0,DATE($B$1,2,1)=DATE(YEAR(TODAY()),MONTH(TODAY()),1))),1,0))</f>
        <v/>
      </c>
      <c r="R457">
        <f>IF($A457="","",IF(AND($B457&gt;0,E457&lt;$B457,DATE($B$1,3,1)&lt;=TODAY(),OR($O457="",$O457&gt;=DATE($B$1,3,1)),OR(COUNTIF($C457:E457,"&gt;0")&gt;0,DATE($B$1,3,1)=DATE(YEAR(TODAY()),MONTH(TODAY()),1))),1,0))</f>
        <v/>
      </c>
      <c r="S457">
        <f>IF($A457="","",IF(AND($B457&gt;0,F457&lt;$B457,DATE($B$1,4,1)&lt;=TODAY(),OR($O457="",$O457&gt;=DATE($B$1,4,1)),OR(COUNTIF($C457:F457,"&gt;0")&gt;0,DATE($B$1,4,1)=DATE(YEAR(TODAY()),MONTH(TODAY()),1))),1,0))</f>
        <v/>
      </c>
      <c r="T457">
        <f>IF($A457="","",IF(AND($B457&gt;0,G457&lt;$B457,DATE($B$1,5,1)&lt;=TODAY(),OR($O457="",$O457&gt;=DATE($B$1,5,1)),OR(COUNTIF($C457:G457,"&gt;0")&gt;0,DATE($B$1,5,1)=DATE(YEAR(TODAY()),MONTH(TODAY()),1))),1,0))</f>
        <v/>
      </c>
      <c r="U457">
        <f>IF($A457="","",IF(AND($B457&gt;0,H457&lt;$B457,DATE($B$1,6,1)&lt;=TODAY(),OR($O457="",$O457&gt;=DATE($B$1,6,1)),OR(COUNTIF($C457:H457,"&gt;0")&gt;0,DATE($B$1,6,1)=DATE(YEAR(TODAY()),MONTH(TODAY()),1))),1,0))</f>
        <v/>
      </c>
      <c r="V457">
        <f>IF($A457="","",IF(AND($B457&gt;0,I457&lt;$B457,DATE($B$1,7,1)&lt;=TODAY(),OR($O457="",$O457&gt;=DATE($B$1,7,1)),OR(COUNTIF($C457:I457,"&gt;0")&gt;0,DATE($B$1,7,1)=DATE(YEAR(TODAY()),MONTH(TODAY()),1))),1,0))</f>
        <v/>
      </c>
      <c r="W457">
        <f>IF($A457="","",IF(AND($B457&gt;0,J457&lt;$B457,DATE($B$1,8,1)&lt;=TODAY(),OR($O457="",$O457&gt;=DATE($B$1,8,1)),OR(COUNTIF($C457:J457,"&gt;0")&gt;0,DATE($B$1,8,1)=DATE(YEAR(TODAY()),MONTH(TODAY()),1))),1,0))</f>
        <v/>
      </c>
      <c r="X457">
        <f>IF($A457="","",IF(AND($B457&gt;0,K457&lt;$B457,DATE($B$1,9,1)&lt;=TODAY(),OR($O457="",$O457&gt;=DATE($B$1,9,1)),OR(COUNTIF($C457:K457,"&gt;0")&gt;0,DATE($B$1,9,1)=DATE(YEAR(TODAY()),MONTH(TODAY()),1))),1,0))</f>
        <v/>
      </c>
      <c r="Y457">
        <f>IF($A457="","",IF(AND($B457&gt;0,L457&lt;$B457,DATE($B$1,10,1)&lt;=TODAY(),OR($O457="",$O457&gt;=DATE($B$1,10,1)),OR(COUNTIF($C457:L457,"&gt;0")&gt;0,DATE($B$1,10,1)=DATE(YEAR(TODAY()),MONTH(TODAY()),1))),1,0))</f>
        <v/>
      </c>
      <c r="Z457">
        <f>IF($A457="","",IF(AND($B457&gt;0,M457&lt;$B457,DATE($B$1,11,1)&lt;=TODAY(),OR($O457="",$O457&gt;=DATE($B$1,11,1)),OR(COUNTIF($C457:M457,"&gt;0")&gt;0,DATE($B$1,11,1)=DATE(YEAR(TODAY()),MONTH(TODAY()),1))),1,0))</f>
        <v/>
      </c>
      <c r="AA457">
        <f>IF($A457="","",IF(AND($B457&gt;0,N457&lt;$B457,DATE($B$1,12,1)&lt;=TODAY(),OR($O457="",$O457&gt;=DATE($B$1,12,1)),OR(COUNTIF($C457:N457,"&gt;0")&gt;0,DATE($B$1,12,1)=DATE(YEAR(TODAY()),MONTH(TODAY()),1))),1,0))</f>
        <v/>
      </c>
    </row>
    <row r="458">
      <c r="A458" s="13">
        <f>IF(원생!$A456="","",원생!$A456&amp;IF(원생!$G456="",""," ("&amp;원생!$G456&amp;")"))</f>
        <v/>
      </c>
      <c r="B458" s="8">
        <f>IF(원생!$A456="","",원생!$F456)</f>
        <v/>
      </c>
      <c r="C458" s="14">
        <f>IF(원생!$A456="","",SUMIFS(수납!$F:$F,수납!$C:$C,원생!$A456,수납!$D:$D,IF(원생!$G456="","",원생!$G456),수납!$B:$B,$B$1&amp;"-"&amp;TEXT(1,"00")&amp;"*",수납!$E:$E,"수강료")+SUMIFS(수납!$F:$F,수납!$C:$C,원생!$A456,수납!$D:$D,IF(원생!$G456="","",원생!$G456),수납!$B:$B,$B$1&amp;"-"&amp;TEXT(1,"00")&amp;"*",수납!$E:$E,""))</f>
        <v/>
      </c>
      <c r="D458" s="14">
        <f>IF(원생!$A456="","",SUMIFS(수납!$F:$F,수납!$C:$C,원생!$A456,수납!$D:$D,IF(원생!$G456="","",원생!$G456),수납!$B:$B,$B$1&amp;"-"&amp;TEXT(2,"00")&amp;"*",수납!$E:$E,"수강료")+SUMIFS(수납!$F:$F,수납!$C:$C,원생!$A456,수납!$D:$D,IF(원생!$G456="","",원생!$G456),수납!$B:$B,$B$1&amp;"-"&amp;TEXT(2,"00")&amp;"*",수납!$E:$E,""))</f>
        <v/>
      </c>
      <c r="E458" s="14">
        <f>IF(원생!$A456="","",SUMIFS(수납!$F:$F,수납!$C:$C,원생!$A456,수납!$D:$D,IF(원생!$G456="","",원생!$G456),수납!$B:$B,$B$1&amp;"-"&amp;TEXT(3,"00")&amp;"*",수납!$E:$E,"수강료")+SUMIFS(수납!$F:$F,수납!$C:$C,원생!$A456,수납!$D:$D,IF(원생!$G456="","",원생!$G456),수납!$B:$B,$B$1&amp;"-"&amp;TEXT(3,"00")&amp;"*",수납!$E:$E,""))</f>
        <v/>
      </c>
      <c r="F458" s="14">
        <f>IF(원생!$A456="","",SUMIFS(수납!$F:$F,수납!$C:$C,원생!$A456,수납!$D:$D,IF(원생!$G456="","",원생!$G456),수납!$B:$B,$B$1&amp;"-"&amp;TEXT(4,"00")&amp;"*",수납!$E:$E,"수강료")+SUMIFS(수납!$F:$F,수납!$C:$C,원생!$A456,수납!$D:$D,IF(원생!$G456="","",원생!$G456),수납!$B:$B,$B$1&amp;"-"&amp;TEXT(4,"00")&amp;"*",수납!$E:$E,""))</f>
        <v/>
      </c>
      <c r="G458" s="14">
        <f>IF(원생!$A456="","",SUMIFS(수납!$F:$F,수납!$C:$C,원생!$A456,수납!$D:$D,IF(원생!$G456="","",원생!$G456),수납!$B:$B,$B$1&amp;"-"&amp;TEXT(5,"00")&amp;"*",수납!$E:$E,"수강료")+SUMIFS(수납!$F:$F,수납!$C:$C,원생!$A456,수납!$D:$D,IF(원생!$G456="","",원생!$G456),수납!$B:$B,$B$1&amp;"-"&amp;TEXT(5,"00")&amp;"*",수납!$E:$E,""))</f>
        <v/>
      </c>
      <c r="H458" s="14">
        <f>IF(원생!$A456="","",SUMIFS(수납!$F:$F,수납!$C:$C,원생!$A456,수납!$D:$D,IF(원생!$G456="","",원생!$G456),수납!$B:$B,$B$1&amp;"-"&amp;TEXT(6,"00")&amp;"*",수납!$E:$E,"수강료")+SUMIFS(수납!$F:$F,수납!$C:$C,원생!$A456,수납!$D:$D,IF(원생!$G456="","",원생!$G456),수납!$B:$B,$B$1&amp;"-"&amp;TEXT(6,"00")&amp;"*",수납!$E:$E,""))</f>
        <v/>
      </c>
      <c r="I458" s="14">
        <f>IF(원생!$A456="","",SUMIFS(수납!$F:$F,수납!$C:$C,원생!$A456,수납!$D:$D,IF(원생!$G456="","",원생!$G456),수납!$B:$B,$B$1&amp;"-"&amp;TEXT(7,"00")&amp;"*",수납!$E:$E,"수강료")+SUMIFS(수납!$F:$F,수납!$C:$C,원생!$A456,수납!$D:$D,IF(원생!$G456="","",원생!$G456),수납!$B:$B,$B$1&amp;"-"&amp;TEXT(7,"00")&amp;"*",수납!$E:$E,""))</f>
        <v/>
      </c>
      <c r="J458" s="14">
        <f>IF(원생!$A456="","",SUMIFS(수납!$F:$F,수납!$C:$C,원생!$A456,수납!$D:$D,IF(원생!$G456="","",원생!$G456),수납!$B:$B,$B$1&amp;"-"&amp;TEXT(8,"00")&amp;"*",수납!$E:$E,"수강료")+SUMIFS(수납!$F:$F,수납!$C:$C,원생!$A456,수납!$D:$D,IF(원생!$G456="","",원생!$G456),수납!$B:$B,$B$1&amp;"-"&amp;TEXT(8,"00")&amp;"*",수납!$E:$E,""))</f>
        <v/>
      </c>
      <c r="K458" s="14">
        <f>IF(원생!$A456="","",SUMIFS(수납!$F:$F,수납!$C:$C,원생!$A456,수납!$D:$D,IF(원생!$G456="","",원생!$G456),수납!$B:$B,$B$1&amp;"-"&amp;TEXT(9,"00")&amp;"*",수납!$E:$E,"수강료")+SUMIFS(수납!$F:$F,수납!$C:$C,원생!$A456,수납!$D:$D,IF(원생!$G456="","",원생!$G456),수납!$B:$B,$B$1&amp;"-"&amp;TEXT(9,"00")&amp;"*",수납!$E:$E,""))</f>
        <v/>
      </c>
      <c r="L458" s="14">
        <f>IF(원생!$A456="","",SUMIFS(수납!$F:$F,수납!$C:$C,원생!$A456,수납!$D:$D,IF(원생!$G456="","",원생!$G456),수납!$B:$B,$B$1&amp;"-"&amp;TEXT(10,"00")&amp;"*",수납!$E:$E,"수강료")+SUMIFS(수납!$F:$F,수납!$C:$C,원생!$A456,수납!$D:$D,IF(원생!$G456="","",원생!$G456),수납!$B:$B,$B$1&amp;"-"&amp;TEXT(10,"00")&amp;"*",수납!$E:$E,""))</f>
        <v/>
      </c>
      <c r="M458" s="14">
        <f>IF(원생!$A456="","",SUMIFS(수납!$F:$F,수납!$C:$C,원생!$A456,수납!$D:$D,IF(원생!$G456="","",원생!$G456),수납!$B:$B,$B$1&amp;"-"&amp;TEXT(11,"00")&amp;"*",수납!$E:$E,"수강료")+SUMIFS(수납!$F:$F,수납!$C:$C,원생!$A456,수납!$D:$D,IF(원생!$G456="","",원생!$G456),수납!$B:$B,$B$1&amp;"-"&amp;TEXT(11,"00")&amp;"*",수납!$E:$E,""))</f>
        <v/>
      </c>
      <c r="N458" s="14">
        <f>IF(원생!$A456="","",SUMIFS(수납!$F:$F,수납!$C:$C,원생!$A456,수납!$D:$D,IF(원생!$G456="","",원생!$G456),수납!$B:$B,$B$1&amp;"-"&amp;TEXT(12,"00")&amp;"*",수납!$E:$E,"수강료")+SUMIFS(수납!$F:$F,수납!$C:$C,원생!$A456,수납!$D:$D,IF(원생!$G456="","",원생!$G456),수납!$B:$B,$B$1&amp;"-"&amp;TEXT(12,"00")&amp;"*",수납!$E:$E,""))</f>
        <v/>
      </c>
      <c r="O458">
        <f>IF(원생!$I456="","",원생!$I456)</f>
        <v/>
      </c>
      <c r="P458">
        <f>IF($A458="","",IF(AND($B458&gt;0,C458&lt;$B458,DATE($B$1,1,1)&lt;=TODAY(),OR($O458="",$O458&gt;=DATE($B$1,1,1)),OR(COUNTIF($C458:C458,"&gt;0")&gt;0,DATE($B$1,1,1)=DATE(YEAR(TODAY()),MONTH(TODAY()),1))),1,0))</f>
        <v/>
      </c>
      <c r="Q458">
        <f>IF($A458="","",IF(AND($B458&gt;0,D458&lt;$B458,DATE($B$1,2,1)&lt;=TODAY(),OR($O458="",$O458&gt;=DATE($B$1,2,1)),OR(COUNTIF($C458:D458,"&gt;0")&gt;0,DATE($B$1,2,1)=DATE(YEAR(TODAY()),MONTH(TODAY()),1))),1,0))</f>
        <v/>
      </c>
      <c r="R458">
        <f>IF($A458="","",IF(AND($B458&gt;0,E458&lt;$B458,DATE($B$1,3,1)&lt;=TODAY(),OR($O458="",$O458&gt;=DATE($B$1,3,1)),OR(COUNTIF($C458:E458,"&gt;0")&gt;0,DATE($B$1,3,1)=DATE(YEAR(TODAY()),MONTH(TODAY()),1))),1,0))</f>
        <v/>
      </c>
      <c r="S458">
        <f>IF($A458="","",IF(AND($B458&gt;0,F458&lt;$B458,DATE($B$1,4,1)&lt;=TODAY(),OR($O458="",$O458&gt;=DATE($B$1,4,1)),OR(COUNTIF($C458:F458,"&gt;0")&gt;0,DATE($B$1,4,1)=DATE(YEAR(TODAY()),MONTH(TODAY()),1))),1,0))</f>
        <v/>
      </c>
      <c r="T458">
        <f>IF($A458="","",IF(AND($B458&gt;0,G458&lt;$B458,DATE($B$1,5,1)&lt;=TODAY(),OR($O458="",$O458&gt;=DATE($B$1,5,1)),OR(COUNTIF($C458:G458,"&gt;0")&gt;0,DATE($B$1,5,1)=DATE(YEAR(TODAY()),MONTH(TODAY()),1))),1,0))</f>
        <v/>
      </c>
      <c r="U458">
        <f>IF($A458="","",IF(AND($B458&gt;0,H458&lt;$B458,DATE($B$1,6,1)&lt;=TODAY(),OR($O458="",$O458&gt;=DATE($B$1,6,1)),OR(COUNTIF($C458:H458,"&gt;0")&gt;0,DATE($B$1,6,1)=DATE(YEAR(TODAY()),MONTH(TODAY()),1))),1,0))</f>
        <v/>
      </c>
      <c r="V458">
        <f>IF($A458="","",IF(AND($B458&gt;0,I458&lt;$B458,DATE($B$1,7,1)&lt;=TODAY(),OR($O458="",$O458&gt;=DATE($B$1,7,1)),OR(COUNTIF($C458:I458,"&gt;0")&gt;0,DATE($B$1,7,1)=DATE(YEAR(TODAY()),MONTH(TODAY()),1))),1,0))</f>
        <v/>
      </c>
      <c r="W458">
        <f>IF($A458="","",IF(AND($B458&gt;0,J458&lt;$B458,DATE($B$1,8,1)&lt;=TODAY(),OR($O458="",$O458&gt;=DATE($B$1,8,1)),OR(COUNTIF($C458:J458,"&gt;0")&gt;0,DATE($B$1,8,1)=DATE(YEAR(TODAY()),MONTH(TODAY()),1))),1,0))</f>
        <v/>
      </c>
      <c r="X458">
        <f>IF($A458="","",IF(AND($B458&gt;0,K458&lt;$B458,DATE($B$1,9,1)&lt;=TODAY(),OR($O458="",$O458&gt;=DATE($B$1,9,1)),OR(COUNTIF($C458:K458,"&gt;0")&gt;0,DATE($B$1,9,1)=DATE(YEAR(TODAY()),MONTH(TODAY()),1))),1,0))</f>
        <v/>
      </c>
      <c r="Y458">
        <f>IF($A458="","",IF(AND($B458&gt;0,L458&lt;$B458,DATE($B$1,10,1)&lt;=TODAY(),OR($O458="",$O458&gt;=DATE($B$1,10,1)),OR(COUNTIF($C458:L458,"&gt;0")&gt;0,DATE($B$1,10,1)=DATE(YEAR(TODAY()),MONTH(TODAY()),1))),1,0))</f>
        <v/>
      </c>
      <c r="Z458">
        <f>IF($A458="","",IF(AND($B458&gt;0,M458&lt;$B458,DATE($B$1,11,1)&lt;=TODAY(),OR($O458="",$O458&gt;=DATE($B$1,11,1)),OR(COUNTIF($C458:M458,"&gt;0")&gt;0,DATE($B$1,11,1)=DATE(YEAR(TODAY()),MONTH(TODAY()),1))),1,0))</f>
        <v/>
      </c>
      <c r="AA458">
        <f>IF($A458="","",IF(AND($B458&gt;0,N458&lt;$B458,DATE($B$1,12,1)&lt;=TODAY(),OR($O458="",$O458&gt;=DATE($B$1,12,1)),OR(COUNTIF($C458:N458,"&gt;0")&gt;0,DATE($B$1,12,1)=DATE(YEAR(TODAY()),MONTH(TODAY()),1))),1,0))</f>
        <v/>
      </c>
    </row>
    <row r="459">
      <c r="A459" s="13">
        <f>IF(원생!$A457="","",원생!$A457&amp;IF(원생!$G457="",""," ("&amp;원생!$G457&amp;")"))</f>
        <v/>
      </c>
      <c r="B459" s="8">
        <f>IF(원생!$A457="","",원생!$F457)</f>
        <v/>
      </c>
      <c r="C459" s="14">
        <f>IF(원생!$A457="","",SUMIFS(수납!$F:$F,수납!$C:$C,원생!$A457,수납!$D:$D,IF(원생!$G457="","",원생!$G457),수납!$B:$B,$B$1&amp;"-"&amp;TEXT(1,"00")&amp;"*",수납!$E:$E,"수강료")+SUMIFS(수납!$F:$F,수납!$C:$C,원생!$A457,수납!$D:$D,IF(원생!$G457="","",원생!$G457),수납!$B:$B,$B$1&amp;"-"&amp;TEXT(1,"00")&amp;"*",수납!$E:$E,""))</f>
        <v/>
      </c>
      <c r="D459" s="14">
        <f>IF(원생!$A457="","",SUMIFS(수납!$F:$F,수납!$C:$C,원생!$A457,수납!$D:$D,IF(원생!$G457="","",원생!$G457),수납!$B:$B,$B$1&amp;"-"&amp;TEXT(2,"00")&amp;"*",수납!$E:$E,"수강료")+SUMIFS(수납!$F:$F,수납!$C:$C,원생!$A457,수납!$D:$D,IF(원생!$G457="","",원생!$G457),수납!$B:$B,$B$1&amp;"-"&amp;TEXT(2,"00")&amp;"*",수납!$E:$E,""))</f>
        <v/>
      </c>
      <c r="E459" s="14">
        <f>IF(원생!$A457="","",SUMIFS(수납!$F:$F,수납!$C:$C,원생!$A457,수납!$D:$D,IF(원생!$G457="","",원생!$G457),수납!$B:$B,$B$1&amp;"-"&amp;TEXT(3,"00")&amp;"*",수납!$E:$E,"수강료")+SUMIFS(수납!$F:$F,수납!$C:$C,원생!$A457,수납!$D:$D,IF(원생!$G457="","",원생!$G457),수납!$B:$B,$B$1&amp;"-"&amp;TEXT(3,"00")&amp;"*",수납!$E:$E,""))</f>
        <v/>
      </c>
      <c r="F459" s="14">
        <f>IF(원생!$A457="","",SUMIFS(수납!$F:$F,수납!$C:$C,원생!$A457,수납!$D:$D,IF(원생!$G457="","",원생!$G457),수납!$B:$B,$B$1&amp;"-"&amp;TEXT(4,"00")&amp;"*",수납!$E:$E,"수강료")+SUMIFS(수납!$F:$F,수납!$C:$C,원생!$A457,수납!$D:$D,IF(원생!$G457="","",원생!$G457),수납!$B:$B,$B$1&amp;"-"&amp;TEXT(4,"00")&amp;"*",수납!$E:$E,""))</f>
        <v/>
      </c>
      <c r="G459" s="14">
        <f>IF(원생!$A457="","",SUMIFS(수납!$F:$F,수납!$C:$C,원생!$A457,수납!$D:$D,IF(원생!$G457="","",원생!$G457),수납!$B:$B,$B$1&amp;"-"&amp;TEXT(5,"00")&amp;"*",수납!$E:$E,"수강료")+SUMIFS(수납!$F:$F,수납!$C:$C,원생!$A457,수납!$D:$D,IF(원생!$G457="","",원생!$G457),수납!$B:$B,$B$1&amp;"-"&amp;TEXT(5,"00")&amp;"*",수납!$E:$E,""))</f>
        <v/>
      </c>
      <c r="H459" s="14">
        <f>IF(원생!$A457="","",SUMIFS(수납!$F:$F,수납!$C:$C,원생!$A457,수납!$D:$D,IF(원생!$G457="","",원생!$G457),수납!$B:$B,$B$1&amp;"-"&amp;TEXT(6,"00")&amp;"*",수납!$E:$E,"수강료")+SUMIFS(수납!$F:$F,수납!$C:$C,원생!$A457,수납!$D:$D,IF(원생!$G457="","",원생!$G457),수납!$B:$B,$B$1&amp;"-"&amp;TEXT(6,"00")&amp;"*",수납!$E:$E,""))</f>
        <v/>
      </c>
      <c r="I459" s="14">
        <f>IF(원생!$A457="","",SUMIFS(수납!$F:$F,수납!$C:$C,원생!$A457,수납!$D:$D,IF(원생!$G457="","",원생!$G457),수납!$B:$B,$B$1&amp;"-"&amp;TEXT(7,"00")&amp;"*",수납!$E:$E,"수강료")+SUMIFS(수납!$F:$F,수납!$C:$C,원생!$A457,수납!$D:$D,IF(원생!$G457="","",원생!$G457),수납!$B:$B,$B$1&amp;"-"&amp;TEXT(7,"00")&amp;"*",수납!$E:$E,""))</f>
        <v/>
      </c>
      <c r="J459" s="14">
        <f>IF(원생!$A457="","",SUMIFS(수납!$F:$F,수납!$C:$C,원생!$A457,수납!$D:$D,IF(원생!$G457="","",원생!$G457),수납!$B:$B,$B$1&amp;"-"&amp;TEXT(8,"00")&amp;"*",수납!$E:$E,"수강료")+SUMIFS(수납!$F:$F,수납!$C:$C,원생!$A457,수납!$D:$D,IF(원생!$G457="","",원생!$G457),수납!$B:$B,$B$1&amp;"-"&amp;TEXT(8,"00")&amp;"*",수납!$E:$E,""))</f>
        <v/>
      </c>
      <c r="K459" s="14">
        <f>IF(원생!$A457="","",SUMIFS(수납!$F:$F,수납!$C:$C,원생!$A457,수납!$D:$D,IF(원생!$G457="","",원생!$G457),수납!$B:$B,$B$1&amp;"-"&amp;TEXT(9,"00")&amp;"*",수납!$E:$E,"수강료")+SUMIFS(수납!$F:$F,수납!$C:$C,원생!$A457,수납!$D:$D,IF(원생!$G457="","",원생!$G457),수납!$B:$B,$B$1&amp;"-"&amp;TEXT(9,"00")&amp;"*",수납!$E:$E,""))</f>
        <v/>
      </c>
      <c r="L459" s="14">
        <f>IF(원생!$A457="","",SUMIFS(수납!$F:$F,수납!$C:$C,원생!$A457,수납!$D:$D,IF(원생!$G457="","",원생!$G457),수납!$B:$B,$B$1&amp;"-"&amp;TEXT(10,"00")&amp;"*",수납!$E:$E,"수강료")+SUMIFS(수납!$F:$F,수납!$C:$C,원생!$A457,수납!$D:$D,IF(원생!$G457="","",원생!$G457),수납!$B:$B,$B$1&amp;"-"&amp;TEXT(10,"00")&amp;"*",수납!$E:$E,""))</f>
        <v/>
      </c>
      <c r="M459" s="14">
        <f>IF(원생!$A457="","",SUMIFS(수납!$F:$F,수납!$C:$C,원생!$A457,수납!$D:$D,IF(원생!$G457="","",원생!$G457),수납!$B:$B,$B$1&amp;"-"&amp;TEXT(11,"00")&amp;"*",수납!$E:$E,"수강료")+SUMIFS(수납!$F:$F,수납!$C:$C,원생!$A457,수납!$D:$D,IF(원생!$G457="","",원생!$G457),수납!$B:$B,$B$1&amp;"-"&amp;TEXT(11,"00")&amp;"*",수납!$E:$E,""))</f>
        <v/>
      </c>
      <c r="N459" s="14">
        <f>IF(원생!$A457="","",SUMIFS(수납!$F:$F,수납!$C:$C,원생!$A457,수납!$D:$D,IF(원생!$G457="","",원생!$G457),수납!$B:$B,$B$1&amp;"-"&amp;TEXT(12,"00")&amp;"*",수납!$E:$E,"수강료")+SUMIFS(수납!$F:$F,수납!$C:$C,원생!$A457,수납!$D:$D,IF(원생!$G457="","",원생!$G457),수납!$B:$B,$B$1&amp;"-"&amp;TEXT(12,"00")&amp;"*",수납!$E:$E,""))</f>
        <v/>
      </c>
      <c r="O459">
        <f>IF(원생!$I457="","",원생!$I457)</f>
        <v/>
      </c>
      <c r="P459">
        <f>IF($A459="","",IF(AND($B459&gt;0,C459&lt;$B459,DATE($B$1,1,1)&lt;=TODAY(),OR($O459="",$O459&gt;=DATE($B$1,1,1)),OR(COUNTIF($C459:C459,"&gt;0")&gt;0,DATE($B$1,1,1)=DATE(YEAR(TODAY()),MONTH(TODAY()),1))),1,0))</f>
        <v/>
      </c>
      <c r="Q459">
        <f>IF($A459="","",IF(AND($B459&gt;0,D459&lt;$B459,DATE($B$1,2,1)&lt;=TODAY(),OR($O459="",$O459&gt;=DATE($B$1,2,1)),OR(COUNTIF($C459:D459,"&gt;0")&gt;0,DATE($B$1,2,1)=DATE(YEAR(TODAY()),MONTH(TODAY()),1))),1,0))</f>
        <v/>
      </c>
      <c r="R459">
        <f>IF($A459="","",IF(AND($B459&gt;0,E459&lt;$B459,DATE($B$1,3,1)&lt;=TODAY(),OR($O459="",$O459&gt;=DATE($B$1,3,1)),OR(COUNTIF($C459:E459,"&gt;0")&gt;0,DATE($B$1,3,1)=DATE(YEAR(TODAY()),MONTH(TODAY()),1))),1,0))</f>
        <v/>
      </c>
      <c r="S459">
        <f>IF($A459="","",IF(AND($B459&gt;0,F459&lt;$B459,DATE($B$1,4,1)&lt;=TODAY(),OR($O459="",$O459&gt;=DATE($B$1,4,1)),OR(COUNTIF($C459:F459,"&gt;0")&gt;0,DATE($B$1,4,1)=DATE(YEAR(TODAY()),MONTH(TODAY()),1))),1,0))</f>
        <v/>
      </c>
      <c r="T459">
        <f>IF($A459="","",IF(AND($B459&gt;0,G459&lt;$B459,DATE($B$1,5,1)&lt;=TODAY(),OR($O459="",$O459&gt;=DATE($B$1,5,1)),OR(COUNTIF($C459:G459,"&gt;0")&gt;0,DATE($B$1,5,1)=DATE(YEAR(TODAY()),MONTH(TODAY()),1))),1,0))</f>
        <v/>
      </c>
      <c r="U459">
        <f>IF($A459="","",IF(AND($B459&gt;0,H459&lt;$B459,DATE($B$1,6,1)&lt;=TODAY(),OR($O459="",$O459&gt;=DATE($B$1,6,1)),OR(COUNTIF($C459:H459,"&gt;0")&gt;0,DATE($B$1,6,1)=DATE(YEAR(TODAY()),MONTH(TODAY()),1))),1,0))</f>
        <v/>
      </c>
      <c r="V459">
        <f>IF($A459="","",IF(AND($B459&gt;0,I459&lt;$B459,DATE($B$1,7,1)&lt;=TODAY(),OR($O459="",$O459&gt;=DATE($B$1,7,1)),OR(COUNTIF($C459:I459,"&gt;0")&gt;0,DATE($B$1,7,1)=DATE(YEAR(TODAY()),MONTH(TODAY()),1))),1,0))</f>
        <v/>
      </c>
      <c r="W459">
        <f>IF($A459="","",IF(AND($B459&gt;0,J459&lt;$B459,DATE($B$1,8,1)&lt;=TODAY(),OR($O459="",$O459&gt;=DATE($B$1,8,1)),OR(COUNTIF($C459:J459,"&gt;0")&gt;0,DATE($B$1,8,1)=DATE(YEAR(TODAY()),MONTH(TODAY()),1))),1,0))</f>
        <v/>
      </c>
      <c r="X459">
        <f>IF($A459="","",IF(AND($B459&gt;0,K459&lt;$B459,DATE($B$1,9,1)&lt;=TODAY(),OR($O459="",$O459&gt;=DATE($B$1,9,1)),OR(COUNTIF($C459:K459,"&gt;0")&gt;0,DATE($B$1,9,1)=DATE(YEAR(TODAY()),MONTH(TODAY()),1))),1,0))</f>
        <v/>
      </c>
      <c r="Y459">
        <f>IF($A459="","",IF(AND($B459&gt;0,L459&lt;$B459,DATE($B$1,10,1)&lt;=TODAY(),OR($O459="",$O459&gt;=DATE($B$1,10,1)),OR(COUNTIF($C459:L459,"&gt;0")&gt;0,DATE($B$1,10,1)=DATE(YEAR(TODAY()),MONTH(TODAY()),1))),1,0))</f>
        <v/>
      </c>
      <c r="Z459">
        <f>IF($A459="","",IF(AND($B459&gt;0,M459&lt;$B459,DATE($B$1,11,1)&lt;=TODAY(),OR($O459="",$O459&gt;=DATE($B$1,11,1)),OR(COUNTIF($C459:M459,"&gt;0")&gt;0,DATE($B$1,11,1)=DATE(YEAR(TODAY()),MONTH(TODAY()),1))),1,0))</f>
        <v/>
      </c>
      <c r="AA459">
        <f>IF($A459="","",IF(AND($B459&gt;0,N459&lt;$B459,DATE($B$1,12,1)&lt;=TODAY(),OR($O459="",$O459&gt;=DATE($B$1,12,1)),OR(COUNTIF($C459:N459,"&gt;0")&gt;0,DATE($B$1,12,1)=DATE(YEAR(TODAY()),MONTH(TODAY()),1))),1,0))</f>
        <v/>
      </c>
    </row>
    <row r="460">
      <c r="A460" s="13">
        <f>IF(원생!$A458="","",원생!$A458&amp;IF(원생!$G458="",""," ("&amp;원생!$G458&amp;")"))</f>
        <v/>
      </c>
      <c r="B460" s="8">
        <f>IF(원생!$A458="","",원생!$F458)</f>
        <v/>
      </c>
      <c r="C460" s="14">
        <f>IF(원생!$A458="","",SUMIFS(수납!$F:$F,수납!$C:$C,원생!$A458,수납!$D:$D,IF(원생!$G458="","",원생!$G458),수납!$B:$B,$B$1&amp;"-"&amp;TEXT(1,"00")&amp;"*",수납!$E:$E,"수강료")+SUMIFS(수납!$F:$F,수납!$C:$C,원생!$A458,수납!$D:$D,IF(원생!$G458="","",원생!$G458),수납!$B:$B,$B$1&amp;"-"&amp;TEXT(1,"00")&amp;"*",수납!$E:$E,""))</f>
        <v/>
      </c>
      <c r="D460" s="14">
        <f>IF(원생!$A458="","",SUMIFS(수납!$F:$F,수납!$C:$C,원생!$A458,수납!$D:$D,IF(원생!$G458="","",원생!$G458),수납!$B:$B,$B$1&amp;"-"&amp;TEXT(2,"00")&amp;"*",수납!$E:$E,"수강료")+SUMIFS(수납!$F:$F,수납!$C:$C,원생!$A458,수납!$D:$D,IF(원생!$G458="","",원생!$G458),수납!$B:$B,$B$1&amp;"-"&amp;TEXT(2,"00")&amp;"*",수납!$E:$E,""))</f>
        <v/>
      </c>
      <c r="E460" s="14">
        <f>IF(원생!$A458="","",SUMIFS(수납!$F:$F,수납!$C:$C,원생!$A458,수납!$D:$D,IF(원생!$G458="","",원생!$G458),수납!$B:$B,$B$1&amp;"-"&amp;TEXT(3,"00")&amp;"*",수납!$E:$E,"수강료")+SUMIFS(수납!$F:$F,수납!$C:$C,원생!$A458,수납!$D:$D,IF(원생!$G458="","",원생!$G458),수납!$B:$B,$B$1&amp;"-"&amp;TEXT(3,"00")&amp;"*",수납!$E:$E,""))</f>
        <v/>
      </c>
      <c r="F460" s="14">
        <f>IF(원생!$A458="","",SUMIFS(수납!$F:$F,수납!$C:$C,원생!$A458,수납!$D:$D,IF(원생!$G458="","",원생!$G458),수납!$B:$B,$B$1&amp;"-"&amp;TEXT(4,"00")&amp;"*",수납!$E:$E,"수강료")+SUMIFS(수납!$F:$F,수납!$C:$C,원생!$A458,수납!$D:$D,IF(원생!$G458="","",원생!$G458),수납!$B:$B,$B$1&amp;"-"&amp;TEXT(4,"00")&amp;"*",수납!$E:$E,""))</f>
        <v/>
      </c>
      <c r="G460" s="14">
        <f>IF(원생!$A458="","",SUMIFS(수납!$F:$F,수납!$C:$C,원생!$A458,수납!$D:$D,IF(원생!$G458="","",원생!$G458),수납!$B:$B,$B$1&amp;"-"&amp;TEXT(5,"00")&amp;"*",수납!$E:$E,"수강료")+SUMIFS(수납!$F:$F,수납!$C:$C,원생!$A458,수납!$D:$D,IF(원생!$G458="","",원생!$G458),수납!$B:$B,$B$1&amp;"-"&amp;TEXT(5,"00")&amp;"*",수납!$E:$E,""))</f>
        <v/>
      </c>
      <c r="H460" s="14">
        <f>IF(원생!$A458="","",SUMIFS(수납!$F:$F,수납!$C:$C,원생!$A458,수납!$D:$D,IF(원생!$G458="","",원생!$G458),수납!$B:$B,$B$1&amp;"-"&amp;TEXT(6,"00")&amp;"*",수납!$E:$E,"수강료")+SUMIFS(수납!$F:$F,수납!$C:$C,원생!$A458,수납!$D:$D,IF(원생!$G458="","",원생!$G458),수납!$B:$B,$B$1&amp;"-"&amp;TEXT(6,"00")&amp;"*",수납!$E:$E,""))</f>
        <v/>
      </c>
      <c r="I460" s="14">
        <f>IF(원생!$A458="","",SUMIFS(수납!$F:$F,수납!$C:$C,원생!$A458,수납!$D:$D,IF(원생!$G458="","",원생!$G458),수납!$B:$B,$B$1&amp;"-"&amp;TEXT(7,"00")&amp;"*",수납!$E:$E,"수강료")+SUMIFS(수납!$F:$F,수납!$C:$C,원생!$A458,수납!$D:$D,IF(원생!$G458="","",원생!$G458),수납!$B:$B,$B$1&amp;"-"&amp;TEXT(7,"00")&amp;"*",수납!$E:$E,""))</f>
        <v/>
      </c>
      <c r="J460" s="14">
        <f>IF(원생!$A458="","",SUMIFS(수납!$F:$F,수납!$C:$C,원생!$A458,수납!$D:$D,IF(원생!$G458="","",원생!$G458),수납!$B:$B,$B$1&amp;"-"&amp;TEXT(8,"00")&amp;"*",수납!$E:$E,"수강료")+SUMIFS(수납!$F:$F,수납!$C:$C,원생!$A458,수납!$D:$D,IF(원생!$G458="","",원생!$G458),수납!$B:$B,$B$1&amp;"-"&amp;TEXT(8,"00")&amp;"*",수납!$E:$E,""))</f>
        <v/>
      </c>
      <c r="K460" s="14">
        <f>IF(원생!$A458="","",SUMIFS(수납!$F:$F,수납!$C:$C,원생!$A458,수납!$D:$D,IF(원생!$G458="","",원생!$G458),수납!$B:$B,$B$1&amp;"-"&amp;TEXT(9,"00")&amp;"*",수납!$E:$E,"수강료")+SUMIFS(수납!$F:$F,수납!$C:$C,원생!$A458,수납!$D:$D,IF(원생!$G458="","",원생!$G458),수납!$B:$B,$B$1&amp;"-"&amp;TEXT(9,"00")&amp;"*",수납!$E:$E,""))</f>
        <v/>
      </c>
      <c r="L460" s="14">
        <f>IF(원생!$A458="","",SUMIFS(수납!$F:$F,수납!$C:$C,원생!$A458,수납!$D:$D,IF(원생!$G458="","",원생!$G458),수납!$B:$B,$B$1&amp;"-"&amp;TEXT(10,"00")&amp;"*",수납!$E:$E,"수강료")+SUMIFS(수납!$F:$F,수납!$C:$C,원생!$A458,수납!$D:$D,IF(원생!$G458="","",원생!$G458),수납!$B:$B,$B$1&amp;"-"&amp;TEXT(10,"00")&amp;"*",수납!$E:$E,""))</f>
        <v/>
      </c>
      <c r="M460" s="14">
        <f>IF(원생!$A458="","",SUMIFS(수납!$F:$F,수납!$C:$C,원생!$A458,수납!$D:$D,IF(원생!$G458="","",원생!$G458),수납!$B:$B,$B$1&amp;"-"&amp;TEXT(11,"00")&amp;"*",수납!$E:$E,"수강료")+SUMIFS(수납!$F:$F,수납!$C:$C,원생!$A458,수납!$D:$D,IF(원생!$G458="","",원생!$G458),수납!$B:$B,$B$1&amp;"-"&amp;TEXT(11,"00")&amp;"*",수납!$E:$E,""))</f>
        <v/>
      </c>
      <c r="N460" s="14">
        <f>IF(원생!$A458="","",SUMIFS(수납!$F:$F,수납!$C:$C,원생!$A458,수납!$D:$D,IF(원생!$G458="","",원생!$G458),수납!$B:$B,$B$1&amp;"-"&amp;TEXT(12,"00")&amp;"*",수납!$E:$E,"수강료")+SUMIFS(수납!$F:$F,수납!$C:$C,원생!$A458,수납!$D:$D,IF(원생!$G458="","",원생!$G458),수납!$B:$B,$B$1&amp;"-"&amp;TEXT(12,"00")&amp;"*",수납!$E:$E,""))</f>
        <v/>
      </c>
      <c r="O460">
        <f>IF(원생!$I458="","",원생!$I458)</f>
        <v/>
      </c>
      <c r="P460">
        <f>IF($A460="","",IF(AND($B460&gt;0,C460&lt;$B460,DATE($B$1,1,1)&lt;=TODAY(),OR($O460="",$O460&gt;=DATE($B$1,1,1)),OR(COUNTIF($C460:C460,"&gt;0")&gt;0,DATE($B$1,1,1)=DATE(YEAR(TODAY()),MONTH(TODAY()),1))),1,0))</f>
        <v/>
      </c>
      <c r="Q460">
        <f>IF($A460="","",IF(AND($B460&gt;0,D460&lt;$B460,DATE($B$1,2,1)&lt;=TODAY(),OR($O460="",$O460&gt;=DATE($B$1,2,1)),OR(COUNTIF($C460:D460,"&gt;0")&gt;0,DATE($B$1,2,1)=DATE(YEAR(TODAY()),MONTH(TODAY()),1))),1,0))</f>
        <v/>
      </c>
      <c r="R460">
        <f>IF($A460="","",IF(AND($B460&gt;0,E460&lt;$B460,DATE($B$1,3,1)&lt;=TODAY(),OR($O460="",$O460&gt;=DATE($B$1,3,1)),OR(COUNTIF($C460:E460,"&gt;0")&gt;0,DATE($B$1,3,1)=DATE(YEAR(TODAY()),MONTH(TODAY()),1))),1,0))</f>
        <v/>
      </c>
      <c r="S460">
        <f>IF($A460="","",IF(AND($B460&gt;0,F460&lt;$B460,DATE($B$1,4,1)&lt;=TODAY(),OR($O460="",$O460&gt;=DATE($B$1,4,1)),OR(COUNTIF($C460:F460,"&gt;0")&gt;0,DATE($B$1,4,1)=DATE(YEAR(TODAY()),MONTH(TODAY()),1))),1,0))</f>
        <v/>
      </c>
      <c r="T460">
        <f>IF($A460="","",IF(AND($B460&gt;0,G460&lt;$B460,DATE($B$1,5,1)&lt;=TODAY(),OR($O460="",$O460&gt;=DATE($B$1,5,1)),OR(COUNTIF($C460:G460,"&gt;0")&gt;0,DATE($B$1,5,1)=DATE(YEAR(TODAY()),MONTH(TODAY()),1))),1,0))</f>
        <v/>
      </c>
      <c r="U460">
        <f>IF($A460="","",IF(AND($B460&gt;0,H460&lt;$B460,DATE($B$1,6,1)&lt;=TODAY(),OR($O460="",$O460&gt;=DATE($B$1,6,1)),OR(COUNTIF($C460:H460,"&gt;0")&gt;0,DATE($B$1,6,1)=DATE(YEAR(TODAY()),MONTH(TODAY()),1))),1,0))</f>
        <v/>
      </c>
      <c r="V460">
        <f>IF($A460="","",IF(AND($B460&gt;0,I460&lt;$B460,DATE($B$1,7,1)&lt;=TODAY(),OR($O460="",$O460&gt;=DATE($B$1,7,1)),OR(COUNTIF($C460:I460,"&gt;0")&gt;0,DATE($B$1,7,1)=DATE(YEAR(TODAY()),MONTH(TODAY()),1))),1,0))</f>
        <v/>
      </c>
      <c r="W460">
        <f>IF($A460="","",IF(AND($B460&gt;0,J460&lt;$B460,DATE($B$1,8,1)&lt;=TODAY(),OR($O460="",$O460&gt;=DATE($B$1,8,1)),OR(COUNTIF($C460:J460,"&gt;0")&gt;0,DATE($B$1,8,1)=DATE(YEAR(TODAY()),MONTH(TODAY()),1))),1,0))</f>
        <v/>
      </c>
      <c r="X460">
        <f>IF($A460="","",IF(AND($B460&gt;0,K460&lt;$B460,DATE($B$1,9,1)&lt;=TODAY(),OR($O460="",$O460&gt;=DATE($B$1,9,1)),OR(COUNTIF($C460:K460,"&gt;0")&gt;0,DATE($B$1,9,1)=DATE(YEAR(TODAY()),MONTH(TODAY()),1))),1,0))</f>
        <v/>
      </c>
      <c r="Y460">
        <f>IF($A460="","",IF(AND($B460&gt;0,L460&lt;$B460,DATE($B$1,10,1)&lt;=TODAY(),OR($O460="",$O460&gt;=DATE($B$1,10,1)),OR(COUNTIF($C460:L460,"&gt;0")&gt;0,DATE($B$1,10,1)=DATE(YEAR(TODAY()),MONTH(TODAY()),1))),1,0))</f>
        <v/>
      </c>
      <c r="Z460">
        <f>IF($A460="","",IF(AND($B460&gt;0,M460&lt;$B460,DATE($B$1,11,1)&lt;=TODAY(),OR($O460="",$O460&gt;=DATE($B$1,11,1)),OR(COUNTIF($C460:M460,"&gt;0")&gt;0,DATE($B$1,11,1)=DATE(YEAR(TODAY()),MONTH(TODAY()),1))),1,0))</f>
        <v/>
      </c>
      <c r="AA460">
        <f>IF($A460="","",IF(AND($B460&gt;0,N460&lt;$B460,DATE($B$1,12,1)&lt;=TODAY(),OR($O460="",$O460&gt;=DATE($B$1,12,1)),OR(COUNTIF($C460:N460,"&gt;0")&gt;0,DATE($B$1,12,1)=DATE(YEAR(TODAY()),MONTH(TODAY()),1))),1,0))</f>
        <v/>
      </c>
    </row>
    <row r="461">
      <c r="A461" s="13">
        <f>IF(원생!$A459="","",원생!$A459&amp;IF(원생!$G459="",""," ("&amp;원생!$G459&amp;")"))</f>
        <v/>
      </c>
      <c r="B461" s="8">
        <f>IF(원생!$A459="","",원생!$F459)</f>
        <v/>
      </c>
      <c r="C461" s="14">
        <f>IF(원생!$A459="","",SUMIFS(수납!$F:$F,수납!$C:$C,원생!$A459,수납!$D:$D,IF(원생!$G459="","",원생!$G459),수납!$B:$B,$B$1&amp;"-"&amp;TEXT(1,"00")&amp;"*",수납!$E:$E,"수강료")+SUMIFS(수납!$F:$F,수납!$C:$C,원생!$A459,수납!$D:$D,IF(원생!$G459="","",원생!$G459),수납!$B:$B,$B$1&amp;"-"&amp;TEXT(1,"00")&amp;"*",수납!$E:$E,""))</f>
        <v/>
      </c>
      <c r="D461" s="14">
        <f>IF(원생!$A459="","",SUMIFS(수납!$F:$F,수납!$C:$C,원생!$A459,수납!$D:$D,IF(원생!$G459="","",원생!$G459),수납!$B:$B,$B$1&amp;"-"&amp;TEXT(2,"00")&amp;"*",수납!$E:$E,"수강료")+SUMIFS(수납!$F:$F,수납!$C:$C,원생!$A459,수납!$D:$D,IF(원생!$G459="","",원생!$G459),수납!$B:$B,$B$1&amp;"-"&amp;TEXT(2,"00")&amp;"*",수납!$E:$E,""))</f>
        <v/>
      </c>
      <c r="E461" s="14">
        <f>IF(원생!$A459="","",SUMIFS(수납!$F:$F,수납!$C:$C,원생!$A459,수납!$D:$D,IF(원생!$G459="","",원생!$G459),수납!$B:$B,$B$1&amp;"-"&amp;TEXT(3,"00")&amp;"*",수납!$E:$E,"수강료")+SUMIFS(수납!$F:$F,수납!$C:$C,원생!$A459,수납!$D:$D,IF(원생!$G459="","",원생!$G459),수납!$B:$B,$B$1&amp;"-"&amp;TEXT(3,"00")&amp;"*",수납!$E:$E,""))</f>
        <v/>
      </c>
      <c r="F461" s="14">
        <f>IF(원생!$A459="","",SUMIFS(수납!$F:$F,수납!$C:$C,원생!$A459,수납!$D:$D,IF(원생!$G459="","",원생!$G459),수납!$B:$B,$B$1&amp;"-"&amp;TEXT(4,"00")&amp;"*",수납!$E:$E,"수강료")+SUMIFS(수납!$F:$F,수납!$C:$C,원생!$A459,수납!$D:$D,IF(원생!$G459="","",원생!$G459),수납!$B:$B,$B$1&amp;"-"&amp;TEXT(4,"00")&amp;"*",수납!$E:$E,""))</f>
        <v/>
      </c>
      <c r="G461" s="14">
        <f>IF(원생!$A459="","",SUMIFS(수납!$F:$F,수납!$C:$C,원생!$A459,수납!$D:$D,IF(원생!$G459="","",원생!$G459),수납!$B:$B,$B$1&amp;"-"&amp;TEXT(5,"00")&amp;"*",수납!$E:$E,"수강료")+SUMIFS(수납!$F:$F,수납!$C:$C,원생!$A459,수납!$D:$D,IF(원생!$G459="","",원생!$G459),수납!$B:$B,$B$1&amp;"-"&amp;TEXT(5,"00")&amp;"*",수납!$E:$E,""))</f>
        <v/>
      </c>
      <c r="H461" s="14">
        <f>IF(원생!$A459="","",SUMIFS(수납!$F:$F,수납!$C:$C,원생!$A459,수납!$D:$D,IF(원생!$G459="","",원생!$G459),수납!$B:$B,$B$1&amp;"-"&amp;TEXT(6,"00")&amp;"*",수납!$E:$E,"수강료")+SUMIFS(수납!$F:$F,수납!$C:$C,원생!$A459,수납!$D:$D,IF(원생!$G459="","",원생!$G459),수납!$B:$B,$B$1&amp;"-"&amp;TEXT(6,"00")&amp;"*",수납!$E:$E,""))</f>
        <v/>
      </c>
      <c r="I461" s="14">
        <f>IF(원생!$A459="","",SUMIFS(수납!$F:$F,수납!$C:$C,원생!$A459,수납!$D:$D,IF(원생!$G459="","",원생!$G459),수납!$B:$B,$B$1&amp;"-"&amp;TEXT(7,"00")&amp;"*",수납!$E:$E,"수강료")+SUMIFS(수납!$F:$F,수납!$C:$C,원생!$A459,수납!$D:$D,IF(원생!$G459="","",원생!$G459),수납!$B:$B,$B$1&amp;"-"&amp;TEXT(7,"00")&amp;"*",수납!$E:$E,""))</f>
        <v/>
      </c>
      <c r="J461" s="14">
        <f>IF(원생!$A459="","",SUMIFS(수납!$F:$F,수납!$C:$C,원생!$A459,수납!$D:$D,IF(원생!$G459="","",원생!$G459),수납!$B:$B,$B$1&amp;"-"&amp;TEXT(8,"00")&amp;"*",수납!$E:$E,"수강료")+SUMIFS(수납!$F:$F,수납!$C:$C,원생!$A459,수납!$D:$D,IF(원생!$G459="","",원생!$G459),수납!$B:$B,$B$1&amp;"-"&amp;TEXT(8,"00")&amp;"*",수납!$E:$E,""))</f>
        <v/>
      </c>
      <c r="K461" s="14">
        <f>IF(원생!$A459="","",SUMIFS(수납!$F:$F,수납!$C:$C,원생!$A459,수납!$D:$D,IF(원생!$G459="","",원생!$G459),수납!$B:$B,$B$1&amp;"-"&amp;TEXT(9,"00")&amp;"*",수납!$E:$E,"수강료")+SUMIFS(수납!$F:$F,수납!$C:$C,원생!$A459,수납!$D:$D,IF(원생!$G459="","",원생!$G459),수납!$B:$B,$B$1&amp;"-"&amp;TEXT(9,"00")&amp;"*",수납!$E:$E,""))</f>
        <v/>
      </c>
      <c r="L461" s="14">
        <f>IF(원생!$A459="","",SUMIFS(수납!$F:$F,수납!$C:$C,원생!$A459,수납!$D:$D,IF(원생!$G459="","",원생!$G459),수납!$B:$B,$B$1&amp;"-"&amp;TEXT(10,"00")&amp;"*",수납!$E:$E,"수강료")+SUMIFS(수납!$F:$F,수납!$C:$C,원생!$A459,수납!$D:$D,IF(원생!$G459="","",원생!$G459),수납!$B:$B,$B$1&amp;"-"&amp;TEXT(10,"00")&amp;"*",수납!$E:$E,""))</f>
        <v/>
      </c>
      <c r="M461" s="14">
        <f>IF(원생!$A459="","",SUMIFS(수납!$F:$F,수납!$C:$C,원생!$A459,수납!$D:$D,IF(원생!$G459="","",원생!$G459),수납!$B:$B,$B$1&amp;"-"&amp;TEXT(11,"00")&amp;"*",수납!$E:$E,"수강료")+SUMIFS(수납!$F:$F,수납!$C:$C,원생!$A459,수납!$D:$D,IF(원생!$G459="","",원생!$G459),수납!$B:$B,$B$1&amp;"-"&amp;TEXT(11,"00")&amp;"*",수납!$E:$E,""))</f>
        <v/>
      </c>
      <c r="N461" s="14">
        <f>IF(원생!$A459="","",SUMIFS(수납!$F:$F,수납!$C:$C,원생!$A459,수납!$D:$D,IF(원생!$G459="","",원생!$G459),수납!$B:$B,$B$1&amp;"-"&amp;TEXT(12,"00")&amp;"*",수납!$E:$E,"수강료")+SUMIFS(수납!$F:$F,수납!$C:$C,원생!$A459,수납!$D:$D,IF(원생!$G459="","",원생!$G459),수납!$B:$B,$B$1&amp;"-"&amp;TEXT(12,"00")&amp;"*",수납!$E:$E,""))</f>
        <v/>
      </c>
      <c r="O461">
        <f>IF(원생!$I459="","",원생!$I459)</f>
        <v/>
      </c>
      <c r="P461">
        <f>IF($A461="","",IF(AND($B461&gt;0,C461&lt;$B461,DATE($B$1,1,1)&lt;=TODAY(),OR($O461="",$O461&gt;=DATE($B$1,1,1)),OR(COUNTIF($C461:C461,"&gt;0")&gt;0,DATE($B$1,1,1)=DATE(YEAR(TODAY()),MONTH(TODAY()),1))),1,0))</f>
        <v/>
      </c>
      <c r="Q461">
        <f>IF($A461="","",IF(AND($B461&gt;0,D461&lt;$B461,DATE($B$1,2,1)&lt;=TODAY(),OR($O461="",$O461&gt;=DATE($B$1,2,1)),OR(COUNTIF($C461:D461,"&gt;0")&gt;0,DATE($B$1,2,1)=DATE(YEAR(TODAY()),MONTH(TODAY()),1))),1,0))</f>
        <v/>
      </c>
      <c r="R461">
        <f>IF($A461="","",IF(AND($B461&gt;0,E461&lt;$B461,DATE($B$1,3,1)&lt;=TODAY(),OR($O461="",$O461&gt;=DATE($B$1,3,1)),OR(COUNTIF($C461:E461,"&gt;0")&gt;0,DATE($B$1,3,1)=DATE(YEAR(TODAY()),MONTH(TODAY()),1))),1,0))</f>
        <v/>
      </c>
      <c r="S461">
        <f>IF($A461="","",IF(AND($B461&gt;0,F461&lt;$B461,DATE($B$1,4,1)&lt;=TODAY(),OR($O461="",$O461&gt;=DATE($B$1,4,1)),OR(COUNTIF($C461:F461,"&gt;0")&gt;0,DATE($B$1,4,1)=DATE(YEAR(TODAY()),MONTH(TODAY()),1))),1,0))</f>
        <v/>
      </c>
      <c r="T461">
        <f>IF($A461="","",IF(AND($B461&gt;0,G461&lt;$B461,DATE($B$1,5,1)&lt;=TODAY(),OR($O461="",$O461&gt;=DATE($B$1,5,1)),OR(COUNTIF($C461:G461,"&gt;0")&gt;0,DATE($B$1,5,1)=DATE(YEAR(TODAY()),MONTH(TODAY()),1))),1,0))</f>
        <v/>
      </c>
      <c r="U461">
        <f>IF($A461="","",IF(AND($B461&gt;0,H461&lt;$B461,DATE($B$1,6,1)&lt;=TODAY(),OR($O461="",$O461&gt;=DATE($B$1,6,1)),OR(COUNTIF($C461:H461,"&gt;0")&gt;0,DATE($B$1,6,1)=DATE(YEAR(TODAY()),MONTH(TODAY()),1))),1,0))</f>
        <v/>
      </c>
      <c r="V461">
        <f>IF($A461="","",IF(AND($B461&gt;0,I461&lt;$B461,DATE($B$1,7,1)&lt;=TODAY(),OR($O461="",$O461&gt;=DATE($B$1,7,1)),OR(COUNTIF($C461:I461,"&gt;0")&gt;0,DATE($B$1,7,1)=DATE(YEAR(TODAY()),MONTH(TODAY()),1))),1,0))</f>
        <v/>
      </c>
      <c r="W461">
        <f>IF($A461="","",IF(AND($B461&gt;0,J461&lt;$B461,DATE($B$1,8,1)&lt;=TODAY(),OR($O461="",$O461&gt;=DATE($B$1,8,1)),OR(COUNTIF($C461:J461,"&gt;0")&gt;0,DATE($B$1,8,1)=DATE(YEAR(TODAY()),MONTH(TODAY()),1))),1,0))</f>
        <v/>
      </c>
      <c r="X461">
        <f>IF($A461="","",IF(AND($B461&gt;0,K461&lt;$B461,DATE($B$1,9,1)&lt;=TODAY(),OR($O461="",$O461&gt;=DATE($B$1,9,1)),OR(COUNTIF($C461:K461,"&gt;0")&gt;0,DATE($B$1,9,1)=DATE(YEAR(TODAY()),MONTH(TODAY()),1))),1,0))</f>
        <v/>
      </c>
      <c r="Y461">
        <f>IF($A461="","",IF(AND($B461&gt;0,L461&lt;$B461,DATE($B$1,10,1)&lt;=TODAY(),OR($O461="",$O461&gt;=DATE($B$1,10,1)),OR(COUNTIF($C461:L461,"&gt;0")&gt;0,DATE($B$1,10,1)=DATE(YEAR(TODAY()),MONTH(TODAY()),1))),1,0))</f>
        <v/>
      </c>
      <c r="Z461">
        <f>IF($A461="","",IF(AND($B461&gt;0,M461&lt;$B461,DATE($B$1,11,1)&lt;=TODAY(),OR($O461="",$O461&gt;=DATE($B$1,11,1)),OR(COUNTIF($C461:M461,"&gt;0")&gt;0,DATE($B$1,11,1)=DATE(YEAR(TODAY()),MONTH(TODAY()),1))),1,0))</f>
        <v/>
      </c>
      <c r="AA461">
        <f>IF($A461="","",IF(AND($B461&gt;0,N461&lt;$B461,DATE($B$1,12,1)&lt;=TODAY(),OR($O461="",$O461&gt;=DATE($B$1,12,1)),OR(COUNTIF($C461:N461,"&gt;0")&gt;0,DATE($B$1,12,1)=DATE(YEAR(TODAY()),MONTH(TODAY()),1))),1,0))</f>
        <v/>
      </c>
    </row>
    <row r="462">
      <c r="A462" s="13">
        <f>IF(원생!$A460="","",원생!$A460&amp;IF(원생!$G460="",""," ("&amp;원생!$G460&amp;")"))</f>
        <v/>
      </c>
      <c r="B462" s="8">
        <f>IF(원생!$A460="","",원생!$F460)</f>
        <v/>
      </c>
      <c r="C462" s="14">
        <f>IF(원생!$A460="","",SUMIFS(수납!$F:$F,수납!$C:$C,원생!$A460,수납!$D:$D,IF(원생!$G460="","",원생!$G460),수납!$B:$B,$B$1&amp;"-"&amp;TEXT(1,"00")&amp;"*",수납!$E:$E,"수강료")+SUMIFS(수납!$F:$F,수납!$C:$C,원생!$A460,수납!$D:$D,IF(원생!$G460="","",원생!$G460),수납!$B:$B,$B$1&amp;"-"&amp;TEXT(1,"00")&amp;"*",수납!$E:$E,""))</f>
        <v/>
      </c>
      <c r="D462" s="14">
        <f>IF(원생!$A460="","",SUMIFS(수납!$F:$F,수납!$C:$C,원생!$A460,수납!$D:$D,IF(원생!$G460="","",원생!$G460),수납!$B:$B,$B$1&amp;"-"&amp;TEXT(2,"00")&amp;"*",수납!$E:$E,"수강료")+SUMIFS(수납!$F:$F,수납!$C:$C,원생!$A460,수납!$D:$D,IF(원생!$G460="","",원생!$G460),수납!$B:$B,$B$1&amp;"-"&amp;TEXT(2,"00")&amp;"*",수납!$E:$E,""))</f>
        <v/>
      </c>
      <c r="E462" s="14">
        <f>IF(원생!$A460="","",SUMIFS(수납!$F:$F,수납!$C:$C,원생!$A460,수납!$D:$D,IF(원생!$G460="","",원생!$G460),수납!$B:$B,$B$1&amp;"-"&amp;TEXT(3,"00")&amp;"*",수납!$E:$E,"수강료")+SUMIFS(수납!$F:$F,수납!$C:$C,원생!$A460,수납!$D:$D,IF(원생!$G460="","",원생!$G460),수납!$B:$B,$B$1&amp;"-"&amp;TEXT(3,"00")&amp;"*",수납!$E:$E,""))</f>
        <v/>
      </c>
      <c r="F462" s="14">
        <f>IF(원생!$A460="","",SUMIFS(수납!$F:$F,수납!$C:$C,원생!$A460,수납!$D:$D,IF(원생!$G460="","",원생!$G460),수납!$B:$B,$B$1&amp;"-"&amp;TEXT(4,"00")&amp;"*",수납!$E:$E,"수강료")+SUMIFS(수납!$F:$F,수납!$C:$C,원생!$A460,수납!$D:$D,IF(원생!$G460="","",원생!$G460),수납!$B:$B,$B$1&amp;"-"&amp;TEXT(4,"00")&amp;"*",수납!$E:$E,""))</f>
        <v/>
      </c>
      <c r="G462" s="14">
        <f>IF(원생!$A460="","",SUMIFS(수납!$F:$F,수납!$C:$C,원생!$A460,수납!$D:$D,IF(원생!$G460="","",원생!$G460),수납!$B:$B,$B$1&amp;"-"&amp;TEXT(5,"00")&amp;"*",수납!$E:$E,"수강료")+SUMIFS(수납!$F:$F,수납!$C:$C,원생!$A460,수납!$D:$D,IF(원생!$G460="","",원생!$G460),수납!$B:$B,$B$1&amp;"-"&amp;TEXT(5,"00")&amp;"*",수납!$E:$E,""))</f>
        <v/>
      </c>
      <c r="H462" s="14">
        <f>IF(원생!$A460="","",SUMIFS(수납!$F:$F,수납!$C:$C,원생!$A460,수납!$D:$D,IF(원생!$G460="","",원생!$G460),수납!$B:$B,$B$1&amp;"-"&amp;TEXT(6,"00")&amp;"*",수납!$E:$E,"수강료")+SUMIFS(수납!$F:$F,수납!$C:$C,원생!$A460,수납!$D:$D,IF(원생!$G460="","",원생!$G460),수납!$B:$B,$B$1&amp;"-"&amp;TEXT(6,"00")&amp;"*",수납!$E:$E,""))</f>
        <v/>
      </c>
      <c r="I462" s="14">
        <f>IF(원생!$A460="","",SUMIFS(수납!$F:$F,수납!$C:$C,원생!$A460,수납!$D:$D,IF(원생!$G460="","",원생!$G460),수납!$B:$B,$B$1&amp;"-"&amp;TEXT(7,"00")&amp;"*",수납!$E:$E,"수강료")+SUMIFS(수납!$F:$F,수납!$C:$C,원생!$A460,수납!$D:$D,IF(원생!$G460="","",원생!$G460),수납!$B:$B,$B$1&amp;"-"&amp;TEXT(7,"00")&amp;"*",수납!$E:$E,""))</f>
        <v/>
      </c>
      <c r="J462" s="14">
        <f>IF(원생!$A460="","",SUMIFS(수납!$F:$F,수납!$C:$C,원생!$A460,수납!$D:$D,IF(원생!$G460="","",원생!$G460),수납!$B:$B,$B$1&amp;"-"&amp;TEXT(8,"00")&amp;"*",수납!$E:$E,"수강료")+SUMIFS(수납!$F:$F,수납!$C:$C,원생!$A460,수납!$D:$D,IF(원생!$G460="","",원생!$G460),수납!$B:$B,$B$1&amp;"-"&amp;TEXT(8,"00")&amp;"*",수납!$E:$E,""))</f>
        <v/>
      </c>
      <c r="K462" s="14">
        <f>IF(원생!$A460="","",SUMIFS(수납!$F:$F,수납!$C:$C,원생!$A460,수납!$D:$D,IF(원생!$G460="","",원생!$G460),수납!$B:$B,$B$1&amp;"-"&amp;TEXT(9,"00")&amp;"*",수납!$E:$E,"수강료")+SUMIFS(수납!$F:$F,수납!$C:$C,원생!$A460,수납!$D:$D,IF(원생!$G460="","",원생!$G460),수납!$B:$B,$B$1&amp;"-"&amp;TEXT(9,"00")&amp;"*",수납!$E:$E,""))</f>
        <v/>
      </c>
      <c r="L462" s="14">
        <f>IF(원생!$A460="","",SUMIFS(수납!$F:$F,수납!$C:$C,원생!$A460,수납!$D:$D,IF(원생!$G460="","",원생!$G460),수납!$B:$B,$B$1&amp;"-"&amp;TEXT(10,"00")&amp;"*",수납!$E:$E,"수강료")+SUMIFS(수납!$F:$F,수납!$C:$C,원생!$A460,수납!$D:$D,IF(원생!$G460="","",원생!$G460),수납!$B:$B,$B$1&amp;"-"&amp;TEXT(10,"00")&amp;"*",수납!$E:$E,""))</f>
        <v/>
      </c>
      <c r="M462" s="14">
        <f>IF(원생!$A460="","",SUMIFS(수납!$F:$F,수납!$C:$C,원생!$A460,수납!$D:$D,IF(원생!$G460="","",원생!$G460),수납!$B:$B,$B$1&amp;"-"&amp;TEXT(11,"00")&amp;"*",수납!$E:$E,"수강료")+SUMIFS(수납!$F:$F,수납!$C:$C,원생!$A460,수납!$D:$D,IF(원생!$G460="","",원생!$G460),수납!$B:$B,$B$1&amp;"-"&amp;TEXT(11,"00")&amp;"*",수납!$E:$E,""))</f>
        <v/>
      </c>
      <c r="N462" s="14">
        <f>IF(원생!$A460="","",SUMIFS(수납!$F:$F,수납!$C:$C,원생!$A460,수납!$D:$D,IF(원생!$G460="","",원생!$G460),수납!$B:$B,$B$1&amp;"-"&amp;TEXT(12,"00")&amp;"*",수납!$E:$E,"수강료")+SUMIFS(수납!$F:$F,수납!$C:$C,원생!$A460,수납!$D:$D,IF(원생!$G460="","",원생!$G460),수납!$B:$B,$B$1&amp;"-"&amp;TEXT(12,"00")&amp;"*",수납!$E:$E,""))</f>
        <v/>
      </c>
      <c r="O462">
        <f>IF(원생!$I460="","",원생!$I460)</f>
        <v/>
      </c>
      <c r="P462">
        <f>IF($A462="","",IF(AND($B462&gt;0,C462&lt;$B462,DATE($B$1,1,1)&lt;=TODAY(),OR($O462="",$O462&gt;=DATE($B$1,1,1)),OR(COUNTIF($C462:C462,"&gt;0")&gt;0,DATE($B$1,1,1)=DATE(YEAR(TODAY()),MONTH(TODAY()),1))),1,0))</f>
        <v/>
      </c>
      <c r="Q462">
        <f>IF($A462="","",IF(AND($B462&gt;0,D462&lt;$B462,DATE($B$1,2,1)&lt;=TODAY(),OR($O462="",$O462&gt;=DATE($B$1,2,1)),OR(COUNTIF($C462:D462,"&gt;0")&gt;0,DATE($B$1,2,1)=DATE(YEAR(TODAY()),MONTH(TODAY()),1))),1,0))</f>
        <v/>
      </c>
      <c r="R462">
        <f>IF($A462="","",IF(AND($B462&gt;0,E462&lt;$B462,DATE($B$1,3,1)&lt;=TODAY(),OR($O462="",$O462&gt;=DATE($B$1,3,1)),OR(COUNTIF($C462:E462,"&gt;0")&gt;0,DATE($B$1,3,1)=DATE(YEAR(TODAY()),MONTH(TODAY()),1))),1,0))</f>
        <v/>
      </c>
      <c r="S462">
        <f>IF($A462="","",IF(AND($B462&gt;0,F462&lt;$B462,DATE($B$1,4,1)&lt;=TODAY(),OR($O462="",$O462&gt;=DATE($B$1,4,1)),OR(COUNTIF($C462:F462,"&gt;0")&gt;0,DATE($B$1,4,1)=DATE(YEAR(TODAY()),MONTH(TODAY()),1))),1,0))</f>
        <v/>
      </c>
      <c r="T462">
        <f>IF($A462="","",IF(AND($B462&gt;0,G462&lt;$B462,DATE($B$1,5,1)&lt;=TODAY(),OR($O462="",$O462&gt;=DATE($B$1,5,1)),OR(COUNTIF($C462:G462,"&gt;0")&gt;0,DATE($B$1,5,1)=DATE(YEAR(TODAY()),MONTH(TODAY()),1))),1,0))</f>
        <v/>
      </c>
      <c r="U462">
        <f>IF($A462="","",IF(AND($B462&gt;0,H462&lt;$B462,DATE($B$1,6,1)&lt;=TODAY(),OR($O462="",$O462&gt;=DATE($B$1,6,1)),OR(COUNTIF($C462:H462,"&gt;0")&gt;0,DATE($B$1,6,1)=DATE(YEAR(TODAY()),MONTH(TODAY()),1))),1,0))</f>
        <v/>
      </c>
      <c r="V462">
        <f>IF($A462="","",IF(AND($B462&gt;0,I462&lt;$B462,DATE($B$1,7,1)&lt;=TODAY(),OR($O462="",$O462&gt;=DATE($B$1,7,1)),OR(COUNTIF($C462:I462,"&gt;0")&gt;0,DATE($B$1,7,1)=DATE(YEAR(TODAY()),MONTH(TODAY()),1))),1,0))</f>
        <v/>
      </c>
      <c r="W462">
        <f>IF($A462="","",IF(AND($B462&gt;0,J462&lt;$B462,DATE($B$1,8,1)&lt;=TODAY(),OR($O462="",$O462&gt;=DATE($B$1,8,1)),OR(COUNTIF($C462:J462,"&gt;0")&gt;0,DATE($B$1,8,1)=DATE(YEAR(TODAY()),MONTH(TODAY()),1))),1,0))</f>
        <v/>
      </c>
      <c r="X462">
        <f>IF($A462="","",IF(AND($B462&gt;0,K462&lt;$B462,DATE($B$1,9,1)&lt;=TODAY(),OR($O462="",$O462&gt;=DATE($B$1,9,1)),OR(COUNTIF($C462:K462,"&gt;0")&gt;0,DATE($B$1,9,1)=DATE(YEAR(TODAY()),MONTH(TODAY()),1))),1,0))</f>
        <v/>
      </c>
      <c r="Y462">
        <f>IF($A462="","",IF(AND($B462&gt;0,L462&lt;$B462,DATE($B$1,10,1)&lt;=TODAY(),OR($O462="",$O462&gt;=DATE($B$1,10,1)),OR(COUNTIF($C462:L462,"&gt;0")&gt;0,DATE($B$1,10,1)=DATE(YEAR(TODAY()),MONTH(TODAY()),1))),1,0))</f>
        <v/>
      </c>
      <c r="Z462">
        <f>IF($A462="","",IF(AND($B462&gt;0,M462&lt;$B462,DATE($B$1,11,1)&lt;=TODAY(),OR($O462="",$O462&gt;=DATE($B$1,11,1)),OR(COUNTIF($C462:M462,"&gt;0")&gt;0,DATE($B$1,11,1)=DATE(YEAR(TODAY()),MONTH(TODAY()),1))),1,0))</f>
        <v/>
      </c>
      <c r="AA462">
        <f>IF($A462="","",IF(AND($B462&gt;0,N462&lt;$B462,DATE($B$1,12,1)&lt;=TODAY(),OR($O462="",$O462&gt;=DATE($B$1,12,1)),OR(COUNTIF($C462:N462,"&gt;0")&gt;0,DATE($B$1,12,1)=DATE(YEAR(TODAY()),MONTH(TODAY()),1))),1,0))</f>
        <v/>
      </c>
    </row>
    <row r="463">
      <c r="A463" s="13">
        <f>IF(원생!$A461="","",원생!$A461&amp;IF(원생!$G461="",""," ("&amp;원생!$G461&amp;")"))</f>
        <v/>
      </c>
      <c r="B463" s="8">
        <f>IF(원생!$A461="","",원생!$F461)</f>
        <v/>
      </c>
      <c r="C463" s="14">
        <f>IF(원생!$A461="","",SUMIFS(수납!$F:$F,수납!$C:$C,원생!$A461,수납!$D:$D,IF(원생!$G461="","",원생!$G461),수납!$B:$B,$B$1&amp;"-"&amp;TEXT(1,"00")&amp;"*",수납!$E:$E,"수강료")+SUMIFS(수납!$F:$F,수납!$C:$C,원생!$A461,수납!$D:$D,IF(원생!$G461="","",원생!$G461),수납!$B:$B,$B$1&amp;"-"&amp;TEXT(1,"00")&amp;"*",수납!$E:$E,""))</f>
        <v/>
      </c>
      <c r="D463" s="14">
        <f>IF(원생!$A461="","",SUMIFS(수납!$F:$F,수납!$C:$C,원생!$A461,수납!$D:$D,IF(원생!$G461="","",원생!$G461),수납!$B:$B,$B$1&amp;"-"&amp;TEXT(2,"00")&amp;"*",수납!$E:$E,"수강료")+SUMIFS(수납!$F:$F,수납!$C:$C,원생!$A461,수납!$D:$D,IF(원생!$G461="","",원생!$G461),수납!$B:$B,$B$1&amp;"-"&amp;TEXT(2,"00")&amp;"*",수납!$E:$E,""))</f>
        <v/>
      </c>
      <c r="E463" s="14">
        <f>IF(원생!$A461="","",SUMIFS(수납!$F:$F,수납!$C:$C,원생!$A461,수납!$D:$D,IF(원생!$G461="","",원생!$G461),수납!$B:$B,$B$1&amp;"-"&amp;TEXT(3,"00")&amp;"*",수납!$E:$E,"수강료")+SUMIFS(수납!$F:$F,수납!$C:$C,원생!$A461,수납!$D:$D,IF(원생!$G461="","",원생!$G461),수납!$B:$B,$B$1&amp;"-"&amp;TEXT(3,"00")&amp;"*",수납!$E:$E,""))</f>
        <v/>
      </c>
      <c r="F463" s="14">
        <f>IF(원생!$A461="","",SUMIFS(수납!$F:$F,수납!$C:$C,원생!$A461,수납!$D:$D,IF(원생!$G461="","",원생!$G461),수납!$B:$B,$B$1&amp;"-"&amp;TEXT(4,"00")&amp;"*",수납!$E:$E,"수강료")+SUMIFS(수납!$F:$F,수납!$C:$C,원생!$A461,수납!$D:$D,IF(원생!$G461="","",원생!$G461),수납!$B:$B,$B$1&amp;"-"&amp;TEXT(4,"00")&amp;"*",수납!$E:$E,""))</f>
        <v/>
      </c>
      <c r="G463" s="14">
        <f>IF(원생!$A461="","",SUMIFS(수납!$F:$F,수납!$C:$C,원생!$A461,수납!$D:$D,IF(원생!$G461="","",원생!$G461),수납!$B:$B,$B$1&amp;"-"&amp;TEXT(5,"00")&amp;"*",수납!$E:$E,"수강료")+SUMIFS(수납!$F:$F,수납!$C:$C,원생!$A461,수납!$D:$D,IF(원생!$G461="","",원생!$G461),수납!$B:$B,$B$1&amp;"-"&amp;TEXT(5,"00")&amp;"*",수납!$E:$E,""))</f>
        <v/>
      </c>
      <c r="H463" s="14">
        <f>IF(원생!$A461="","",SUMIFS(수납!$F:$F,수납!$C:$C,원생!$A461,수납!$D:$D,IF(원생!$G461="","",원생!$G461),수납!$B:$B,$B$1&amp;"-"&amp;TEXT(6,"00")&amp;"*",수납!$E:$E,"수강료")+SUMIFS(수납!$F:$F,수납!$C:$C,원생!$A461,수납!$D:$D,IF(원생!$G461="","",원생!$G461),수납!$B:$B,$B$1&amp;"-"&amp;TEXT(6,"00")&amp;"*",수납!$E:$E,""))</f>
        <v/>
      </c>
      <c r="I463" s="14">
        <f>IF(원생!$A461="","",SUMIFS(수납!$F:$F,수납!$C:$C,원생!$A461,수납!$D:$D,IF(원생!$G461="","",원생!$G461),수납!$B:$B,$B$1&amp;"-"&amp;TEXT(7,"00")&amp;"*",수납!$E:$E,"수강료")+SUMIFS(수납!$F:$F,수납!$C:$C,원생!$A461,수납!$D:$D,IF(원생!$G461="","",원생!$G461),수납!$B:$B,$B$1&amp;"-"&amp;TEXT(7,"00")&amp;"*",수납!$E:$E,""))</f>
        <v/>
      </c>
      <c r="J463" s="14">
        <f>IF(원생!$A461="","",SUMIFS(수납!$F:$F,수납!$C:$C,원생!$A461,수납!$D:$D,IF(원생!$G461="","",원생!$G461),수납!$B:$B,$B$1&amp;"-"&amp;TEXT(8,"00")&amp;"*",수납!$E:$E,"수강료")+SUMIFS(수납!$F:$F,수납!$C:$C,원생!$A461,수납!$D:$D,IF(원생!$G461="","",원생!$G461),수납!$B:$B,$B$1&amp;"-"&amp;TEXT(8,"00")&amp;"*",수납!$E:$E,""))</f>
        <v/>
      </c>
      <c r="K463" s="14">
        <f>IF(원생!$A461="","",SUMIFS(수납!$F:$F,수납!$C:$C,원생!$A461,수납!$D:$D,IF(원생!$G461="","",원생!$G461),수납!$B:$B,$B$1&amp;"-"&amp;TEXT(9,"00")&amp;"*",수납!$E:$E,"수강료")+SUMIFS(수납!$F:$F,수납!$C:$C,원생!$A461,수납!$D:$D,IF(원생!$G461="","",원생!$G461),수납!$B:$B,$B$1&amp;"-"&amp;TEXT(9,"00")&amp;"*",수납!$E:$E,""))</f>
        <v/>
      </c>
      <c r="L463" s="14">
        <f>IF(원생!$A461="","",SUMIFS(수납!$F:$F,수납!$C:$C,원생!$A461,수납!$D:$D,IF(원생!$G461="","",원생!$G461),수납!$B:$B,$B$1&amp;"-"&amp;TEXT(10,"00")&amp;"*",수납!$E:$E,"수강료")+SUMIFS(수납!$F:$F,수납!$C:$C,원생!$A461,수납!$D:$D,IF(원생!$G461="","",원생!$G461),수납!$B:$B,$B$1&amp;"-"&amp;TEXT(10,"00")&amp;"*",수납!$E:$E,""))</f>
        <v/>
      </c>
      <c r="M463" s="14">
        <f>IF(원생!$A461="","",SUMIFS(수납!$F:$F,수납!$C:$C,원생!$A461,수납!$D:$D,IF(원생!$G461="","",원생!$G461),수납!$B:$B,$B$1&amp;"-"&amp;TEXT(11,"00")&amp;"*",수납!$E:$E,"수강료")+SUMIFS(수납!$F:$F,수납!$C:$C,원생!$A461,수납!$D:$D,IF(원생!$G461="","",원생!$G461),수납!$B:$B,$B$1&amp;"-"&amp;TEXT(11,"00")&amp;"*",수납!$E:$E,""))</f>
        <v/>
      </c>
      <c r="N463" s="14">
        <f>IF(원생!$A461="","",SUMIFS(수납!$F:$F,수납!$C:$C,원생!$A461,수납!$D:$D,IF(원생!$G461="","",원생!$G461),수납!$B:$B,$B$1&amp;"-"&amp;TEXT(12,"00")&amp;"*",수납!$E:$E,"수강료")+SUMIFS(수납!$F:$F,수납!$C:$C,원생!$A461,수납!$D:$D,IF(원생!$G461="","",원생!$G461),수납!$B:$B,$B$1&amp;"-"&amp;TEXT(12,"00")&amp;"*",수납!$E:$E,""))</f>
        <v/>
      </c>
      <c r="O463">
        <f>IF(원생!$I461="","",원생!$I461)</f>
        <v/>
      </c>
      <c r="P463">
        <f>IF($A463="","",IF(AND($B463&gt;0,C463&lt;$B463,DATE($B$1,1,1)&lt;=TODAY(),OR($O463="",$O463&gt;=DATE($B$1,1,1)),OR(COUNTIF($C463:C463,"&gt;0")&gt;0,DATE($B$1,1,1)=DATE(YEAR(TODAY()),MONTH(TODAY()),1))),1,0))</f>
        <v/>
      </c>
      <c r="Q463">
        <f>IF($A463="","",IF(AND($B463&gt;0,D463&lt;$B463,DATE($B$1,2,1)&lt;=TODAY(),OR($O463="",$O463&gt;=DATE($B$1,2,1)),OR(COUNTIF($C463:D463,"&gt;0")&gt;0,DATE($B$1,2,1)=DATE(YEAR(TODAY()),MONTH(TODAY()),1))),1,0))</f>
        <v/>
      </c>
      <c r="R463">
        <f>IF($A463="","",IF(AND($B463&gt;0,E463&lt;$B463,DATE($B$1,3,1)&lt;=TODAY(),OR($O463="",$O463&gt;=DATE($B$1,3,1)),OR(COUNTIF($C463:E463,"&gt;0")&gt;0,DATE($B$1,3,1)=DATE(YEAR(TODAY()),MONTH(TODAY()),1))),1,0))</f>
        <v/>
      </c>
      <c r="S463">
        <f>IF($A463="","",IF(AND($B463&gt;0,F463&lt;$B463,DATE($B$1,4,1)&lt;=TODAY(),OR($O463="",$O463&gt;=DATE($B$1,4,1)),OR(COUNTIF($C463:F463,"&gt;0")&gt;0,DATE($B$1,4,1)=DATE(YEAR(TODAY()),MONTH(TODAY()),1))),1,0))</f>
        <v/>
      </c>
      <c r="T463">
        <f>IF($A463="","",IF(AND($B463&gt;0,G463&lt;$B463,DATE($B$1,5,1)&lt;=TODAY(),OR($O463="",$O463&gt;=DATE($B$1,5,1)),OR(COUNTIF($C463:G463,"&gt;0")&gt;0,DATE($B$1,5,1)=DATE(YEAR(TODAY()),MONTH(TODAY()),1))),1,0))</f>
        <v/>
      </c>
      <c r="U463">
        <f>IF($A463="","",IF(AND($B463&gt;0,H463&lt;$B463,DATE($B$1,6,1)&lt;=TODAY(),OR($O463="",$O463&gt;=DATE($B$1,6,1)),OR(COUNTIF($C463:H463,"&gt;0")&gt;0,DATE($B$1,6,1)=DATE(YEAR(TODAY()),MONTH(TODAY()),1))),1,0))</f>
        <v/>
      </c>
      <c r="V463">
        <f>IF($A463="","",IF(AND($B463&gt;0,I463&lt;$B463,DATE($B$1,7,1)&lt;=TODAY(),OR($O463="",$O463&gt;=DATE($B$1,7,1)),OR(COUNTIF($C463:I463,"&gt;0")&gt;0,DATE($B$1,7,1)=DATE(YEAR(TODAY()),MONTH(TODAY()),1))),1,0))</f>
        <v/>
      </c>
      <c r="W463">
        <f>IF($A463="","",IF(AND($B463&gt;0,J463&lt;$B463,DATE($B$1,8,1)&lt;=TODAY(),OR($O463="",$O463&gt;=DATE($B$1,8,1)),OR(COUNTIF($C463:J463,"&gt;0")&gt;0,DATE($B$1,8,1)=DATE(YEAR(TODAY()),MONTH(TODAY()),1))),1,0))</f>
        <v/>
      </c>
      <c r="X463">
        <f>IF($A463="","",IF(AND($B463&gt;0,K463&lt;$B463,DATE($B$1,9,1)&lt;=TODAY(),OR($O463="",$O463&gt;=DATE($B$1,9,1)),OR(COUNTIF($C463:K463,"&gt;0")&gt;0,DATE($B$1,9,1)=DATE(YEAR(TODAY()),MONTH(TODAY()),1))),1,0))</f>
        <v/>
      </c>
      <c r="Y463">
        <f>IF($A463="","",IF(AND($B463&gt;0,L463&lt;$B463,DATE($B$1,10,1)&lt;=TODAY(),OR($O463="",$O463&gt;=DATE($B$1,10,1)),OR(COUNTIF($C463:L463,"&gt;0")&gt;0,DATE($B$1,10,1)=DATE(YEAR(TODAY()),MONTH(TODAY()),1))),1,0))</f>
        <v/>
      </c>
      <c r="Z463">
        <f>IF($A463="","",IF(AND($B463&gt;0,M463&lt;$B463,DATE($B$1,11,1)&lt;=TODAY(),OR($O463="",$O463&gt;=DATE($B$1,11,1)),OR(COUNTIF($C463:M463,"&gt;0")&gt;0,DATE($B$1,11,1)=DATE(YEAR(TODAY()),MONTH(TODAY()),1))),1,0))</f>
        <v/>
      </c>
      <c r="AA463">
        <f>IF($A463="","",IF(AND($B463&gt;0,N463&lt;$B463,DATE($B$1,12,1)&lt;=TODAY(),OR($O463="",$O463&gt;=DATE($B$1,12,1)),OR(COUNTIF($C463:N463,"&gt;0")&gt;0,DATE($B$1,12,1)=DATE(YEAR(TODAY()),MONTH(TODAY()),1))),1,0))</f>
        <v/>
      </c>
    </row>
    <row r="464">
      <c r="A464" s="13">
        <f>IF(원생!$A462="","",원생!$A462&amp;IF(원생!$G462="",""," ("&amp;원생!$G462&amp;")"))</f>
        <v/>
      </c>
      <c r="B464" s="8">
        <f>IF(원생!$A462="","",원생!$F462)</f>
        <v/>
      </c>
      <c r="C464" s="14">
        <f>IF(원생!$A462="","",SUMIFS(수납!$F:$F,수납!$C:$C,원생!$A462,수납!$D:$D,IF(원생!$G462="","",원생!$G462),수납!$B:$B,$B$1&amp;"-"&amp;TEXT(1,"00")&amp;"*",수납!$E:$E,"수강료")+SUMIFS(수납!$F:$F,수납!$C:$C,원생!$A462,수납!$D:$D,IF(원생!$G462="","",원생!$G462),수납!$B:$B,$B$1&amp;"-"&amp;TEXT(1,"00")&amp;"*",수납!$E:$E,""))</f>
        <v/>
      </c>
      <c r="D464" s="14">
        <f>IF(원생!$A462="","",SUMIFS(수납!$F:$F,수납!$C:$C,원생!$A462,수납!$D:$D,IF(원생!$G462="","",원생!$G462),수납!$B:$B,$B$1&amp;"-"&amp;TEXT(2,"00")&amp;"*",수납!$E:$E,"수강료")+SUMIFS(수납!$F:$F,수납!$C:$C,원생!$A462,수납!$D:$D,IF(원생!$G462="","",원생!$G462),수납!$B:$B,$B$1&amp;"-"&amp;TEXT(2,"00")&amp;"*",수납!$E:$E,""))</f>
        <v/>
      </c>
      <c r="E464" s="14">
        <f>IF(원생!$A462="","",SUMIFS(수납!$F:$F,수납!$C:$C,원생!$A462,수납!$D:$D,IF(원생!$G462="","",원생!$G462),수납!$B:$B,$B$1&amp;"-"&amp;TEXT(3,"00")&amp;"*",수납!$E:$E,"수강료")+SUMIFS(수납!$F:$F,수납!$C:$C,원생!$A462,수납!$D:$D,IF(원생!$G462="","",원생!$G462),수납!$B:$B,$B$1&amp;"-"&amp;TEXT(3,"00")&amp;"*",수납!$E:$E,""))</f>
        <v/>
      </c>
      <c r="F464" s="14">
        <f>IF(원생!$A462="","",SUMIFS(수납!$F:$F,수납!$C:$C,원생!$A462,수납!$D:$D,IF(원생!$G462="","",원생!$G462),수납!$B:$B,$B$1&amp;"-"&amp;TEXT(4,"00")&amp;"*",수납!$E:$E,"수강료")+SUMIFS(수납!$F:$F,수납!$C:$C,원생!$A462,수납!$D:$D,IF(원생!$G462="","",원생!$G462),수납!$B:$B,$B$1&amp;"-"&amp;TEXT(4,"00")&amp;"*",수납!$E:$E,""))</f>
        <v/>
      </c>
      <c r="G464" s="14">
        <f>IF(원생!$A462="","",SUMIFS(수납!$F:$F,수납!$C:$C,원생!$A462,수납!$D:$D,IF(원생!$G462="","",원생!$G462),수납!$B:$B,$B$1&amp;"-"&amp;TEXT(5,"00")&amp;"*",수납!$E:$E,"수강료")+SUMIFS(수납!$F:$F,수납!$C:$C,원생!$A462,수납!$D:$D,IF(원생!$G462="","",원생!$G462),수납!$B:$B,$B$1&amp;"-"&amp;TEXT(5,"00")&amp;"*",수납!$E:$E,""))</f>
        <v/>
      </c>
      <c r="H464" s="14">
        <f>IF(원생!$A462="","",SUMIFS(수납!$F:$F,수납!$C:$C,원생!$A462,수납!$D:$D,IF(원생!$G462="","",원생!$G462),수납!$B:$B,$B$1&amp;"-"&amp;TEXT(6,"00")&amp;"*",수납!$E:$E,"수강료")+SUMIFS(수납!$F:$F,수납!$C:$C,원생!$A462,수납!$D:$D,IF(원생!$G462="","",원생!$G462),수납!$B:$B,$B$1&amp;"-"&amp;TEXT(6,"00")&amp;"*",수납!$E:$E,""))</f>
        <v/>
      </c>
      <c r="I464" s="14">
        <f>IF(원생!$A462="","",SUMIFS(수납!$F:$F,수납!$C:$C,원생!$A462,수납!$D:$D,IF(원생!$G462="","",원생!$G462),수납!$B:$B,$B$1&amp;"-"&amp;TEXT(7,"00")&amp;"*",수납!$E:$E,"수강료")+SUMIFS(수납!$F:$F,수납!$C:$C,원생!$A462,수납!$D:$D,IF(원생!$G462="","",원생!$G462),수납!$B:$B,$B$1&amp;"-"&amp;TEXT(7,"00")&amp;"*",수납!$E:$E,""))</f>
        <v/>
      </c>
      <c r="J464" s="14">
        <f>IF(원생!$A462="","",SUMIFS(수납!$F:$F,수납!$C:$C,원생!$A462,수납!$D:$D,IF(원생!$G462="","",원생!$G462),수납!$B:$B,$B$1&amp;"-"&amp;TEXT(8,"00")&amp;"*",수납!$E:$E,"수강료")+SUMIFS(수납!$F:$F,수납!$C:$C,원생!$A462,수납!$D:$D,IF(원생!$G462="","",원생!$G462),수납!$B:$B,$B$1&amp;"-"&amp;TEXT(8,"00")&amp;"*",수납!$E:$E,""))</f>
        <v/>
      </c>
      <c r="K464" s="14">
        <f>IF(원생!$A462="","",SUMIFS(수납!$F:$F,수납!$C:$C,원생!$A462,수납!$D:$D,IF(원생!$G462="","",원생!$G462),수납!$B:$B,$B$1&amp;"-"&amp;TEXT(9,"00")&amp;"*",수납!$E:$E,"수강료")+SUMIFS(수납!$F:$F,수납!$C:$C,원생!$A462,수납!$D:$D,IF(원생!$G462="","",원생!$G462),수납!$B:$B,$B$1&amp;"-"&amp;TEXT(9,"00")&amp;"*",수납!$E:$E,""))</f>
        <v/>
      </c>
      <c r="L464" s="14">
        <f>IF(원생!$A462="","",SUMIFS(수납!$F:$F,수납!$C:$C,원생!$A462,수납!$D:$D,IF(원생!$G462="","",원생!$G462),수납!$B:$B,$B$1&amp;"-"&amp;TEXT(10,"00")&amp;"*",수납!$E:$E,"수강료")+SUMIFS(수납!$F:$F,수납!$C:$C,원생!$A462,수납!$D:$D,IF(원생!$G462="","",원생!$G462),수납!$B:$B,$B$1&amp;"-"&amp;TEXT(10,"00")&amp;"*",수납!$E:$E,""))</f>
        <v/>
      </c>
      <c r="M464" s="14">
        <f>IF(원생!$A462="","",SUMIFS(수납!$F:$F,수납!$C:$C,원생!$A462,수납!$D:$D,IF(원생!$G462="","",원생!$G462),수납!$B:$B,$B$1&amp;"-"&amp;TEXT(11,"00")&amp;"*",수납!$E:$E,"수강료")+SUMIFS(수납!$F:$F,수납!$C:$C,원생!$A462,수납!$D:$D,IF(원생!$G462="","",원생!$G462),수납!$B:$B,$B$1&amp;"-"&amp;TEXT(11,"00")&amp;"*",수납!$E:$E,""))</f>
        <v/>
      </c>
      <c r="N464" s="14">
        <f>IF(원생!$A462="","",SUMIFS(수납!$F:$F,수납!$C:$C,원생!$A462,수납!$D:$D,IF(원생!$G462="","",원생!$G462),수납!$B:$B,$B$1&amp;"-"&amp;TEXT(12,"00")&amp;"*",수납!$E:$E,"수강료")+SUMIFS(수납!$F:$F,수납!$C:$C,원생!$A462,수납!$D:$D,IF(원생!$G462="","",원생!$G462),수납!$B:$B,$B$1&amp;"-"&amp;TEXT(12,"00")&amp;"*",수납!$E:$E,""))</f>
        <v/>
      </c>
      <c r="O464">
        <f>IF(원생!$I462="","",원생!$I462)</f>
        <v/>
      </c>
      <c r="P464">
        <f>IF($A464="","",IF(AND($B464&gt;0,C464&lt;$B464,DATE($B$1,1,1)&lt;=TODAY(),OR($O464="",$O464&gt;=DATE($B$1,1,1)),OR(COUNTIF($C464:C464,"&gt;0")&gt;0,DATE($B$1,1,1)=DATE(YEAR(TODAY()),MONTH(TODAY()),1))),1,0))</f>
        <v/>
      </c>
      <c r="Q464">
        <f>IF($A464="","",IF(AND($B464&gt;0,D464&lt;$B464,DATE($B$1,2,1)&lt;=TODAY(),OR($O464="",$O464&gt;=DATE($B$1,2,1)),OR(COUNTIF($C464:D464,"&gt;0")&gt;0,DATE($B$1,2,1)=DATE(YEAR(TODAY()),MONTH(TODAY()),1))),1,0))</f>
        <v/>
      </c>
      <c r="R464">
        <f>IF($A464="","",IF(AND($B464&gt;0,E464&lt;$B464,DATE($B$1,3,1)&lt;=TODAY(),OR($O464="",$O464&gt;=DATE($B$1,3,1)),OR(COUNTIF($C464:E464,"&gt;0")&gt;0,DATE($B$1,3,1)=DATE(YEAR(TODAY()),MONTH(TODAY()),1))),1,0))</f>
        <v/>
      </c>
      <c r="S464">
        <f>IF($A464="","",IF(AND($B464&gt;0,F464&lt;$B464,DATE($B$1,4,1)&lt;=TODAY(),OR($O464="",$O464&gt;=DATE($B$1,4,1)),OR(COUNTIF($C464:F464,"&gt;0")&gt;0,DATE($B$1,4,1)=DATE(YEAR(TODAY()),MONTH(TODAY()),1))),1,0))</f>
        <v/>
      </c>
      <c r="T464">
        <f>IF($A464="","",IF(AND($B464&gt;0,G464&lt;$B464,DATE($B$1,5,1)&lt;=TODAY(),OR($O464="",$O464&gt;=DATE($B$1,5,1)),OR(COUNTIF($C464:G464,"&gt;0")&gt;0,DATE($B$1,5,1)=DATE(YEAR(TODAY()),MONTH(TODAY()),1))),1,0))</f>
        <v/>
      </c>
      <c r="U464">
        <f>IF($A464="","",IF(AND($B464&gt;0,H464&lt;$B464,DATE($B$1,6,1)&lt;=TODAY(),OR($O464="",$O464&gt;=DATE($B$1,6,1)),OR(COUNTIF($C464:H464,"&gt;0")&gt;0,DATE($B$1,6,1)=DATE(YEAR(TODAY()),MONTH(TODAY()),1))),1,0))</f>
        <v/>
      </c>
      <c r="V464">
        <f>IF($A464="","",IF(AND($B464&gt;0,I464&lt;$B464,DATE($B$1,7,1)&lt;=TODAY(),OR($O464="",$O464&gt;=DATE($B$1,7,1)),OR(COUNTIF($C464:I464,"&gt;0")&gt;0,DATE($B$1,7,1)=DATE(YEAR(TODAY()),MONTH(TODAY()),1))),1,0))</f>
        <v/>
      </c>
      <c r="W464">
        <f>IF($A464="","",IF(AND($B464&gt;0,J464&lt;$B464,DATE($B$1,8,1)&lt;=TODAY(),OR($O464="",$O464&gt;=DATE($B$1,8,1)),OR(COUNTIF($C464:J464,"&gt;0")&gt;0,DATE($B$1,8,1)=DATE(YEAR(TODAY()),MONTH(TODAY()),1))),1,0))</f>
        <v/>
      </c>
      <c r="X464">
        <f>IF($A464="","",IF(AND($B464&gt;0,K464&lt;$B464,DATE($B$1,9,1)&lt;=TODAY(),OR($O464="",$O464&gt;=DATE($B$1,9,1)),OR(COUNTIF($C464:K464,"&gt;0")&gt;0,DATE($B$1,9,1)=DATE(YEAR(TODAY()),MONTH(TODAY()),1))),1,0))</f>
        <v/>
      </c>
      <c r="Y464">
        <f>IF($A464="","",IF(AND($B464&gt;0,L464&lt;$B464,DATE($B$1,10,1)&lt;=TODAY(),OR($O464="",$O464&gt;=DATE($B$1,10,1)),OR(COUNTIF($C464:L464,"&gt;0")&gt;0,DATE($B$1,10,1)=DATE(YEAR(TODAY()),MONTH(TODAY()),1))),1,0))</f>
        <v/>
      </c>
      <c r="Z464">
        <f>IF($A464="","",IF(AND($B464&gt;0,M464&lt;$B464,DATE($B$1,11,1)&lt;=TODAY(),OR($O464="",$O464&gt;=DATE($B$1,11,1)),OR(COUNTIF($C464:M464,"&gt;0")&gt;0,DATE($B$1,11,1)=DATE(YEAR(TODAY()),MONTH(TODAY()),1))),1,0))</f>
        <v/>
      </c>
      <c r="AA464">
        <f>IF($A464="","",IF(AND($B464&gt;0,N464&lt;$B464,DATE($B$1,12,1)&lt;=TODAY(),OR($O464="",$O464&gt;=DATE($B$1,12,1)),OR(COUNTIF($C464:N464,"&gt;0")&gt;0,DATE($B$1,12,1)=DATE(YEAR(TODAY()),MONTH(TODAY()),1))),1,0))</f>
        <v/>
      </c>
    </row>
    <row r="465">
      <c r="A465" s="13">
        <f>IF(원생!$A463="","",원생!$A463&amp;IF(원생!$G463="",""," ("&amp;원생!$G463&amp;")"))</f>
        <v/>
      </c>
      <c r="B465" s="8">
        <f>IF(원생!$A463="","",원생!$F463)</f>
        <v/>
      </c>
      <c r="C465" s="14">
        <f>IF(원생!$A463="","",SUMIFS(수납!$F:$F,수납!$C:$C,원생!$A463,수납!$D:$D,IF(원생!$G463="","",원생!$G463),수납!$B:$B,$B$1&amp;"-"&amp;TEXT(1,"00")&amp;"*",수납!$E:$E,"수강료")+SUMIFS(수납!$F:$F,수납!$C:$C,원생!$A463,수납!$D:$D,IF(원생!$G463="","",원생!$G463),수납!$B:$B,$B$1&amp;"-"&amp;TEXT(1,"00")&amp;"*",수납!$E:$E,""))</f>
        <v/>
      </c>
      <c r="D465" s="14">
        <f>IF(원생!$A463="","",SUMIFS(수납!$F:$F,수납!$C:$C,원생!$A463,수납!$D:$D,IF(원생!$G463="","",원생!$G463),수납!$B:$B,$B$1&amp;"-"&amp;TEXT(2,"00")&amp;"*",수납!$E:$E,"수강료")+SUMIFS(수납!$F:$F,수납!$C:$C,원생!$A463,수납!$D:$D,IF(원생!$G463="","",원생!$G463),수납!$B:$B,$B$1&amp;"-"&amp;TEXT(2,"00")&amp;"*",수납!$E:$E,""))</f>
        <v/>
      </c>
      <c r="E465" s="14">
        <f>IF(원생!$A463="","",SUMIFS(수납!$F:$F,수납!$C:$C,원생!$A463,수납!$D:$D,IF(원생!$G463="","",원생!$G463),수납!$B:$B,$B$1&amp;"-"&amp;TEXT(3,"00")&amp;"*",수납!$E:$E,"수강료")+SUMIFS(수납!$F:$F,수납!$C:$C,원생!$A463,수납!$D:$D,IF(원생!$G463="","",원생!$G463),수납!$B:$B,$B$1&amp;"-"&amp;TEXT(3,"00")&amp;"*",수납!$E:$E,""))</f>
        <v/>
      </c>
      <c r="F465" s="14">
        <f>IF(원생!$A463="","",SUMIFS(수납!$F:$F,수납!$C:$C,원생!$A463,수납!$D:$D,IF(원생!$G463="","",원생!$G463),수납!$B:$B,$B$1&amp;"-"&amp;TEXT(4,"00")&amp;"*",수납!$E:$E,"수강료")+SUMIFS(수납!$F:$F,수납!$C:$C,원생!$A463,수납!$D:$D,IF(원생!$G463="","",원생!$G463),수납!$B:$B,$B$1&amp;"-"&amp;TEXT(4,"00")&amp;"*",수납!$E:$E,""))</f>
        <v/>
      </c>
      <c r="G465" s="14">
        <f>IF(원생!$A463="","",SUMIFS(수납!$F:$F,수납!$C:$C,원생!$A463,수납!$D:$D,IF(원생!$G463="","",원생!$G463),수납!$B:$B,$B$1&amp;"-"&amp;TEXT(5,"00")&amp;"*",수납!$E:$E,"수강료")+SUMIFS(수납!$F:$F,수납!$C:$C,원생!$A463,수납!$D:$D,IF(원생!$G463="","",원생!$G463),수납!$B:$B,$B$1&amp;"-"&amp;TEXT(5,"00")&amp;"*",수납!$E:$E,""))</f>
        <v/>
      </c>
      <c r="H465" s="14">
        <f>IF(원생!$A463="","",SUMIFS(수납!$F:$F,수납!$C:$C,원생!$A463,수납!$D:$D,IF(원생!$G463="","",원생!$G463),수납!$B:$B,$B$1&amp;"-"&amp;TEXT(6,"00")&amp;"*",수납!$E:$E,"수강료")+SUMIFS(수납!$F:$F,수납!$C:$C,원생!$A463,수납!$D:$D,IF(원생!$G463="","",원생!$G463),수납!$B:$B,$B$1&amp;"-"&amp;TEXT(6,"00")&amp;"*",수납!$E:$E,""))</f>
        <v/>
      </c>
      <c r="I465" s="14">
        <f>IF(원생!$A463="","",SUMIFS(수납!$F:$F,수납!$C:$C,원생!$A463,수납!$D:$D,IF(원생!$G463="","",원생!$G463),수납!$B:$B,$B$1&amp;"-"&amp;TEXT(7,"00")&amp;"*",수납!$E:$E,"수강료")+SUMIFS(수납!$F:$F,수납!$C:$C,원생!$A463,수납!$D:$D,IF(원생!$G463="","",원생!$G463),수납!$B:$B,$B$1&amp;"-"&amp;TEXT(7,"00")&amp;"*",수납!$E:$E,""))</f>
        <v/>
      </c>
      <c r="J465" s="14">
        <f>IF(원생!$A463="","",SUMIFS(수납!$F:$F,수납!$C:$C,원생!$A463,수납!$D:$D,IF(원생!$G463="","",원생!$G463),수납!$B:$B,$B$1&amp;"-"&amp;TEXT(8,"00")&amp;"*",수납!$E:$E,"수강료")+SUMIFS(수납!$F:$F,수납!$C:$C,원생!$A463,수납!$D:$D,IF(원생!$G463="","",원생!$G463),수납!$B:$B,$B$1&amp;"-"&amp;TEXT(8,"00")&amp;"*",수납!$E:$E,""))</f>
        <v/>
      </c>
      <c r="K465" s="14">
        <f>IF(원생!$A463="","",SUMIFS(수납!$F:$F,수납!$C:$C,원생!$A463,수납!$D:$D,IF(원생!$G463="","",원생!$G463),수납!$B:$B,$B$1&amp;"-"&amp;TEXT(9,"00")&amp;"*",수납!$E:$E,"수강료")+SUMIFS(수납!$F:$F,수납!$C:$C,원생!$A463,수납!$D:$D,IF(원생!$G463="","",원생!$G463),수납!$B:$B,$B$1&amp;"-"&amp;TEXT(9,"00")&amp;"*",수납!$E:$E,""))</f>
        <v/>
      </c>
      <c r="L465" s="14">
        <f>IF(원생!$A463="","",SUMIFS(수납!$F:$F,수납!$C:$C,원생!$A463,수납!$D:$D,IF(원생!$G463="","",원생!$G463),수납!$B:$B,$B$1&amp;"-"&amp;TEXT(10,"00")&amp;"*",수납!$E:$E,"수강료")+SUMIFS(수납!$F:$F,수납!$C:$C,원생!$A463,수납!$D:$D,IF(원생!$G463="","",원생!$G463),수납!$B:$B,$B$1&amp;"-"&amp;TEXT(10,"00")&amp;"*",수납!$E:$E,""))</f>
        <v/>
      </c>
      <c r="M465" s="14">
        <f>IF(원생!$A463="","",SUMIFS(수납!$F:$F,수납!$C:$C,원생!$A463,수납!$D:$D,IF(원생!$G463="","",원생!$G463),수납!$B:$B,$B$1&amp;"-"&amp;TEXT(11,"00")&amp;"*",수납!$E:$E,"수강료")+SUMIFS(수납!$F:$F,수납!$C:$C,원생!$A463,수납!$D:$D,IF(원생!$G463="","",원생!$G463),수납!$B:$B,$B$1&amp;"-"&amp;TEXT(11,"00")&amp;"*",수납!$E:$E,""))</f>
        <v/>
      </c>
      <c r="N465" s="14">
        <f>IF(원생!$A463="","",SUMIFS(수납!$F:$F,수납!$C:$C,원생!$A463,수납!$D:$D,IF(원생!$G463="","",원생!$G463),수납!$B:$B,$B$1&amp;"-"&amp;TEXT(12,"00")&amp;"*",수납!$E:$E,"수강료")+SUMIFS(수납!$F:$F,수납!$C:$C,원생!$A463,수납!$D:$D,IF(원생!$G463="","",원생!$G463),수납!$B:$B,$B$1&amp;"-"&amp;TEXT(12,"00")&amp;"*",수납!$E:$E,""))</f>
        <v/>
      </c>
      <c r="O465">
        <f>IF(원생!$I463="","",원생!$I463)</f>
        <v/>
      </c>
      <c r="P465">
        <f>IF($A465="","",IF(AND($B465&gt;0,C465&lt;$B465,DATE($B$1,1,1)&lt;=TODAY(),OR($O465="",$O465&gt;=DATE($B$1,1,1)),OR(COUNTIF($C465:C465,"&gt;0")&gt;0,DATE($B$1,1,1)=DATE(YEAR(TODAY()),MONTH(TODAY()),1))),1,0))</f>
        <v/>
      </c>
      <c r="Q465">
        <f>IF($A465="","",IF(AND($B465&gt;0,D465&lt;$B465,DATE($B$1,2,1)&lt;=TODAY(),OR($O465="",$O465&gt;=DATE($B$1,2,1)),OR(COUNTIF($C465:D465,"&gt;0")&gt;0,DATE($B$1,2,1)=DATE(YEAR(TODAY()),MONTH(TODAY()),1))),1,0))</f>
        <v/>
      </c>
      <c r="R465">
        <f>IF($A465="","",IF(AND($B465&gt;0,E465&lt;$B465,DATE($B$1,3,1)&lt;=TODAY(),OR($O465="",$O465&gt;=DATE($B$1,3,1)),OR(COUNTIF($C465:E465,"&gt;0")&gt;0,DATE($B$1,3,1)=DATE(YEAR(TODAY()),MONTH(TODAY()),1))),1,0))</f>
        <v/>
      </c>
      <c r="S465">
        <f>IF($A465="","",IF(AND($B465&gt;0,F465&lt;$B465,DATE($B$1,4,1)&lt;=TODAY(),OR($O465="",$O465&gt;=DATE($B$1,4,1)),OR(COUNTIF($C465:F465,"&gt;0")&gt;0,DATE($B$1,4,1)=DATE(YEAR(TODAY()),MONTH(TODAY()),1))),1,0))</f>
        <v/>
      </c>
      <c r="T465">
        <f>IF($A465="","",IF(AND($B465&gt;0,G465&lt;$B465,DATE($B$1,5,1)&lt;=TODAY(),OR($O465="",$O465&gt;=DATE($B$1,5,1)),OR(COUNTIF($C465:G465,"&gt;0")&gt;0,DATE($B$1,5,1)=DATE(YEAR(TODAY()),MONTH(TODAY()),1))),1,0))</f>
        <v/>
      </c>
      <c r="U465">
        <f>IF($A465="","",IF(AND($B465&gt;0,H465&lt;$B465,DATE($B$1,6,1)&lt;=TODAY(),OR($O465="",$O465&gt;=DATE($B$1,6,1)),OR(COUNTIF($C465:H465,"&gt;0")&gt;0,DATE($B$1,6,1)=DATE(YEAR(TODAY()),MONTH(TODAY()),1))),1,0))</f>
        <v/>
      </c>
      <c r="V465">
        <f>IF($A465="","",IF(AND($B465&gt;0,I465&lt;$B465,DATE($B$1,7,1)&lt;=TODAY(),OR($O465="",$O465&gt;=DATE($B$1,7,1)),OR(COUNTIF($C465:I465,"&gt;0")&gt;0,DATE($B$1,7,1)=DATE(YEAR(TODAY()),MONTH(TODAY()),1))),1,0))</f>
        <v/>
      </c>
      <c r="W465">
        <f>IF($A465="","",IF(AND($B465&gt;0,J465&lt;$B465,DATE($B$1,8,1)&lt;=TODAY(),OR($O465="",$O465&gt;=DATE($B$1,8,1)),OR(COUNTIF($C465:J465,"&gt;0")&gt;0,DATE($B$1,8,1)=DATE(YEAR(TODAY()),MONTH(TODAY()),1))),1,0))</f>
        <v/>
      </c>
      <c r="X465">
        <f>IF($A465="","",IF(AND($B465&gt;0,K465&lt;$B465,DATE($B$1,9,1)&lt;=TODAY(),OR($O465="",$O465&gt;=DATE($B$1,9,1)),OR(COUNTIF($C465:K465,"&gt;0")&gt;0,DATE($B$1,9,1)=DATE(YEAR(TODAY()),MONTH(TODAY()),1))),1,0))</f>
        <v/>
      </c>
      <c r="Y465">
        <f>IF($A465="","",IF(AND($B465&gt;0,L465&lt;$B465,DATE($B$1,10,1)&lt;=TODAY(),OR($O465="",$O465&gt;=DATE($B$1,10,1)),OR(COUNTIF($C465:L465,"&gt;0")&gt;0,DATE($B$1,10,1)=DATE(YEAR(TODAY()),MONTH(TODAY()),1))),1,0))</f>
        <v/>
      </c>
      <c r="Z465">
        <f>IF($A465="","",IF(AND($B465&gt;0,M465&lt;$B465,DATE($B$1,11,1)&lt;=TODAY(),OR($O465="",$O465&gt;=DATE($B$1,11,1)),OR(COUNTIF($C465:M465,"&gt;0")&gt;0,DATE($B$1,11,1)=DATE(YEAR(TODAY()),MONTH(TODAY()),1))),1,0))</f>
        <v/>
      </c>
      <c r="AA465">
        <f>IF($A465="","",IF(AND($B465&gt;0,N465&lt;$B465,DATE($B$1,12,1)&lt;=TODAY(),OR($O465="",$O465&gt;=DATE($B$1,12,1)),OR(COUNTIF($C465:N465,"&gt;0")&gt;0,DATE($B$1,12,1)=DATE(YEAR(TODAY()),MONTH(TODAY()),1))),1,0))</f>
        <v/>
      </c>
    </row>
    <row r="466">
      <c r="A466" s="13">
        <f>IF(원생!$A464="","",원생!$A464&amp;IF(원생!$G464="",""," ("&amp;원생!$G464&amp;")"))</f>
        <v/>
      </c>
      <c r="B466" s="8">
        <f>IF(원생!$A464="","",원생!$F464)</f>
        <v/>
      </c>
      <c r="C466" s="14">
        <f>IF(원생!$A464="","",SUMIFS(수납!$F:$F,수납!$C:$C,원생!$A464,수납!$D:$D,IF(원생!$G464="","",원생!$G464),수납!$B:$B,$B$1&amp;"-"&amp;TEXT(1,"00")&amp;"*",수납!$E:$E,"수강료")+SUMIFS(수납!$F:$F,수납!$C:$C,원생!$A464,수납!$D:$D,IF(원생!$G464="","",원생!$G464),수납!$B:$B,$B$1&amp;"-"&amp;TEXT(1,"00")&amp;"*",수납!$E:$E,""))</f>
        <v/>
      </c>
      <c r="D466" s="14">
        <f>IF(원생!$A464="","",SUMIFS(수납!$F:$F,수납!$C:$C,원생!$A464,수납!$D:$D,IF(원생!$G464="","",원생!$G464),수납!$B:$B,$B$1&amp;"-"&amp;TEXT(2,"00")&amp;"*",수납!$E:$E,"수강료")+SUMIFS(수납!$F:$F,수납!$C:$C,원생!$A464,수납!$D:$D,IF(원생!$G464="","",원생!$G464),수납!$B:$B,$B$1&amp;"-"&amp;TEXT(2,"00")&amp;"*",수납!$E:$E,""))</f>
        <v/>
      </c>
      <c r="E466" s="14">
        <f>IF(원생!$A464="","",SUMIFS(수납!$F:$F,수납!$C:$C,원생!$A464,수납!$D:$D,IF(원생!$G464="","",원생!$G464),수납!$B:$B,$B$1&amp;"-"&amp;TEXT(3,"00")&amp;"*",수납!$E:$E,"수강료")+SUMIFS(수납!$F:$F,수납!$C:$C,원생!$A464,수납!$D:$D,IF(원생!$G464="","",원생!$G464),수납!$B:$B,$B$1&amp;"-"&amp;TEXT(3,"00")&amp;"*",수납!$E:$E,""))</f>
        <v/>
      </c>
      <c r="F466" s="14">
        <f>IF(원생!$A464="","",SUMIFS(수납!$F:$F,수납!$C:$C,원생!$A464,수납!$D:$D,IF(원생!$G464="","",원생!$G464),수납!$B:$B,$B$1&amp;"-"&amp;TEXT(4,"00")&amp;"*",수납!$E:$E,"수강료")+SUMIFS(수납!$F:$F,수납!$C:$C,원생!$A464,수납!$D:$D,IF(원생!$G464="","",원생!$G464),수납!$B:$B,$B$1&amp;"-"&amp;TEXT(4,"00")&amp;"*",수납!$E:$E,""))</f>
        <v/>
      </c>
      <c r="G466" s="14">
        <f>IF(원생!$A464="","",SUMIFS(수납!$F:$F,수납!$C:$C,원생!$A464,수납!$D:$D,IF(원생!$G464="","",원생!$G464),수납!$B:$B,$B$1&amp;"-"&amp;TEXT(5,"00")&amp;"*",수납!$E:$E,"수강료")+SUMIFS(수납!$F:$F,수납!$C:$C,원생!$A464,수납!$D:$D,IF(원생!$G464="","",원생!$G464),수납!$B:$B,$B$1&amp;"-"&amp;TEXT(5,"00")&amp;"*",수납!$E:$E,""))</f>
        <v/>
      </c>
      <c r="H466" s="14">
        <f>IF(원생!$A464="","",SUMIFS(수납!$F:$F,수납!$C:$C,원생!$A464,수납!$D:$D,IF(원생!$G464="","",원생!$G464),수납!$B:$B,$B$1&amp;"-"&amp;TEXT(6,"00")&amp;"*",수납!$E:$E,"수강료")+SUMIFS(수납!$F:$F,수납!$C:$C,원생!$A464,수납!$D:$D,IF(원생!$G464="","",원생!$G464),수납!$B:$B,$B$1&amp;"-"&amp;TEXT(6,"00")&amp;"*",수납!$E:$E,""))</f>
        <v/>
      </c>
      <c r="I466" s="14">
        <f>IF(원생!$A464="","",SUMIFS(수납!$F:$F,수납!$C:$C,원생!$A464,수납!$D:$D,IF(원생!$G464="","",원생!$G464),수납!$B:$B,$B$1&amp;"-"&amp;TEXT(7,"00")&amp;"*",수납!$E:$E,"수강료")+SUMIFS(수납!$F:$F,수납!$C:$C,원생!$A464,수납!$D:$D,IF(원생!$G464="","",원생!$G464),수납!$B:$B,$B$1&amp;"-"&amp;TEXT(7,"00")&amp;"*",수납!$E:$E,""))</f>
        <v/>
      </c>
      <c r="J466" s="14">
        <f>IF(원생!$A464="","",SUMIFS(수납!$F:$F,수납!$C:$C,원생!$A464,수납!$D:$D,IF(원생!$G464="","",원생!$G464),수납!$B:$B,$B$1&amp;"-"&amp;TEXT(8,"00")&amp;"*",수납!$E:$E,"수강료")+SUMIFS(수납!$F:$F,수납!$C:$C,원생!$A464,수납!$D:$D,IF(원생!$G464="","",원생!$G464),수납!$B:$B,$B$1&amp;"-"&amp;TEXT(8,"00")&amp;"*",수납!$E:$E,""))</f>
        <v/>
      </c>
      <c r="K466" s="14">
        <f>IF(원생!$A464="","",SUMIFS(수납!$F:$F,수납!$C:$C,원생!$A464,수납!$D:$D,IF(원생!$G464="","",원생!$G464),수납!$B:$B,$B$1&amp;"-"&amp;TEXT(9,"00")&amp;"*",수납!$E:$E,"수강료")+SUMIFS(수납!$F:$F,수납!$C:$C,원생!$A464,수납!$D:$D,IF(원생!$G464="","",원생!$G464),수납!$B:$B,$B$1&amp;"-"&amp;TEXT(9,"00")&amp;"*",수납!$E:$E,""))</f>
        <v/>
      </c>
      <c r="L466" s="14">
        <f>IF(원생!$A464="","",SUMIFS(수납!$F:$F,수납!$C:$C,원생!$A464,수납!$D:$D,IF(원생!$G464="","",원생!$G464),수납!$B:$B,$B$1&amp;"-"&amp;TEXT(10,"00")&amp;"*",수납!$E:$E,"수강료")+SUMIFS(수납!$F:$F,수납!$C:$C,원생!$A464,수납!$D:$D,IF(원생!$G464="","",원생!$G464),수납!$B:$B,$B$1&amp;"-"&amp;TEXT(10,"00")&amp;"*",수납!$E:$E,""))</f>
        <v/>
      </c>
      <c r="M466" s="14">
        <f>IF(원생!$A464="","",SUMIFS(수납!$F:$F,수납!$C:$C,원생!$A464,수납!$D:$D,IF(원생!$G464="","",원생!$G464),수납!$B:$B,$B$1&amp;"-"&amp;TEXT(11,"00")&amp;"*",수납!$E:$E,"수강료")+SUMIFS(수납!$F:$F,수납!$C:$C,원생!$A464,수납!$D:$D,IF(원생!$G464="","",원생!$G464),수납!$B:$B,$B$1&amp;"-"&amp;TEXT(11,"00")&amp;"*",수납!$E:$E,""))</f>
        <v/>
      </c>
      <c r="N466" s="14">
        <f>IF(원생!$A464="","",SUMIFS(수납!$F:$F,수납!$C:$C,원생!$A464,수납!$D:$D,IF(원생!$G464="","",원생!$G464),수납!$B:$B,$B$1&amp;"-"&amp;TEXT(12,"00")&amp;"*",수납!$E:$E,"수강료")+SUMIFS(수납!$F:$F,수납!$C:$C,원생!$A464,수납!$D:$D,IF(원생!$G464="","",원생!$G464),수납!$B:$B,$B$1&amp;"-"&amp;TEXT(12,"00")&amp;"*",수납!$E:$E,""))</f>
        <v/>
      </c>
      <c r="O466">
        <f>IF(원생!$I464="","",원생!$I464)</f>
        <v/>
      </c>
      <c r="P466">
        <f>IF($A466="","",IF(AND($B466&gt;0,C466&lt;$B466,DATE($B$1,1,1)&lt;=TODAY(),OR($O466="",$O466&gt;=DATE($B$1,1,1)),OR(COUNTIF($C466:C466,"&gt;0")&gt;0,DATE($B$1,1,1)=DATE(YEAR(TODAY()),MONTH(TODAY()),1))),1,0))</f>
        <v/>
      </c>
      <c r="Q466">
        <f>IF($A466="","",IF(AND($B466&gt;0,D466&lt;$B466,DATE($B$1,2,1)&lt;=TODAY(),OR($O466="",$O466&gt;=DATE($B$1,2,1)),OR(COUNTIF($C466:D466,"&gt;0")&gt;0,DATE($B$1,2,1)=DATE(YEAR(TODAY()),MONTH(TODAY()),1))),1,0))</f>
        <v/>
      </c>
      <c r="R466">
        <f>IF($A466="","",IF(AND($B466&gt;0,E466&lt;$B466,DATE($B$1,3,1)&lt;=TODAY(),OR($O466="",$O466&gt;=DATE($B$1,3,1)),OR(COUNTIF($C466:E466,"&gt;0")&gt;0,DATE($B$1,3,1)=DATE(YEAR(TODAY()),MONTH(TODAY()),1))),1,0))</f>
        <v/>
      </c>
      <c r="S466">
        <f>IF($A466="","",IF(AND($B466&gt;0,F466&lt;$B466,DATE($B$1,4,1)&lt;=TODAY(),OR($O466="",$O466&gt;=DATE($B$1,4,1)),OR(COUNTIF($C466:F466,"&gt;0")&gt;0,DATE($B$1,4,1)=DATE(YEAR(TODAY()),MONTH(TODAY()),1))),1,0))</f>
        <v/>
      </c>
      <c r="T466">
        <f>IF($A466="","",IF(AND($B466&gt;0,G466&lt;$B466,DATE($B$1,5,1)&lt;=TODAY(),OR($O466="",$O466&gt;=DATE($B$1,5,1)),OR(COUNTIF($C466:G466,"&gt;0")&gt;0,DATE($B$1,5,1)=DATE(YEAR(TODAY()),MONTH(TODAY()),1))),1,0))</f>
        <v/>
      </c>
      <c r="U466">
        <f>IF($A466="","",IF(AND($B466&gt;0,H466&lt;$B466,DATE($B$1,6,1)&lt;=TODAY(),OR($O466="",$O466&gt;=DATE($B$1,6,1)),OR(COUNTIF($C466:H466,"&gt;0")&gt;0,DATE($B$1,6,1)=DATE(YEAR(TODAY()),MONTH(TODAY()),1))),1,0))</f>
        <v/>
      </c>
      <c r="V466">
        <f>IF($A466="","",IF(AND($B466&gt;0,I466&lt;$B466,DATE($B$1,7,1)&lt;=TODAY(),OR($O466="",$O466&gt;=DATE($B$1,7,1)),OR(COUNTIF($C466:I466,"&gt;0")&gt;0,DATE($B$1,7,1)=DATE(YEAR(TODAY()),MONTH(TODAY()),1))),1,0))</f>
        <v/>
      </c>
      <c r="W466">
        <f>IF($A466="","",IF(AND($B466&gt;0,J466&lt;$B466,DATE($B$1,8,1)&lt;=TODAY(),OR($O466="",$O466&gt;=DATE($B$1,8,1)),OR(COUNTIF($C466:J466,"&gt;0")&gt;0,DATE($B$1,8,1)=DATE(YEAR(TODAY()),MONTH(TODAY()),1))),1,0))</f>
        <v/>
      </c>
      <c r="X466">
        <f>IF($A466="","",IF(AND($B466&gt;0,K466&lt;$B466,DATE($B$1,9,1)&lt;=TODAY(),OR($O466="",$O466&gt;=DATE($B$1,9,1)),OR(COUNTIF($C466:K466,"&gt;0")&gt;0,DATE($B$1,9,1)=DATE(YEAR(TODAY()),MONTH(TODAY()),1))),1,0))</f>
        <v/>
      </c>
      <c r="Y466">
        <f>IF($A466="","",IF(AND($B466&gt;0,L466&lt;$B466,DATE($B$1,10,1)&lt;=TODAY(),OR($O466="",$O466&gt;=DATE($B$1,10,1)),OR(COUNTIF($C466:L466,"&gt;0")&gt;0,DATE($B$1,10,1)=DATE(YEAR(TODAY()),MONTH(TODAY()),1))),1,0))</f>
        <v/>
      </c>
      <c r="Z466">
        <f>IF($A466="","",IF(AND($B466&gt;0,M466&lt;$B466,DATE($B$1,11,1)&lt;=TODAY(),OR($O466="",$O466&gt;=DATE($B$1,11,1)),OR(COUNTIF($C466:M466,"&gt;0")&gt;0,DATE($B$1,11,1)=DATE(YEAR(TODAY()),MONTH(TODAY()),1))),1,0))</f>
        <v/>
      </c>
      <c r="AA466">
        <f>IF($A466="","",IF(AND($B466&gt;0,N466&lt;$B466,DATE($B$1,12,1)&lt;=TODAY(),OR($O466="",$O466&gt;=DATE($B$1,12,1)),OR(COUNTIF($C466:N466,"&gt;0")&gt;0,DATE($B$1,12,1)=DATE(YEAR(TODAY()),MONTH(TODAY()),1))),1,0))</f>
        <v/>
      </c>
    </row>
    <row r="467">
      <c r="A467" s="13">
        <f>IF(원생!$A465="","",원생!$A465&amp;IF(원생!$G465="",""," ("&amp;원생!$G465&amp;")"))</f>
        <v/>
      </c>
      <c r="B467" s="8">
        <f>IF(원생!$A465="","",원생!$F465)</f>
        <v/>
      </c>
      <c r="C467" s="14">
        <f>IF(원생!$A465="","",SUMIFS(수납!$F:$F,수납!$C:$C,원생!$A465,수납!$D:$D,IF(원생!$G465="","",원생!$G465),수납!$B:$B,$B$1&amp;"-"&amp;TEXT(1,"00")&amp;"*",수납!$E:$E,"수강료")+SUMIFS(수납!$F:$F,수납!$C:$C,원생!$A465,수납!$D:$D,IF(원생!$G465="","",원생!$G465),수납!$B:$B,$B$1&amp;"-"&amp;TEXT(1,"00")&amp;"*",수납!$E:$E,""))</f>
        <v/>
      </c>
      <c r="D467" s="14">
        <f>IF(원생!$A465="","",SUMIFS(수납!$F:$F,수납!$C:$C,원생!$A465,수납!$D:$D,IF(원생!$G465="","",원생!$G465),수납!$B:$B,$B$1&amp;"-"&amp;TEXT(2,"00")&amp;"*",수납!$E:$E,"수강료")+SUMIFS(수납!$F:$F,수납!$C:$C,원생!$A465,수납!$D:$D,IF(원생!$G465="","",원생!$G465),수납!$B:$B,$B$1&amp;"-"&amp;TEXT(2,"00")&amp;"*",수납!$E:$E,""))</f>
        <v/>
      </c>
      <c r="E467" s="14">
        <f>IF(원생!$A465="","",SUMIFS(수납!$F:$F,수납!$C:$C,원생!$A465,수납!$D:$D,IF(원생!$G465="","",원생!$G465),수납!$B:$B,$B$1&amp;"-"&amp;TEXT(3,"00")&amp;"*",수납!$E:$E,"수강료")+SUMIFS(수납!$F:$F,수납!$C:$C,원생!$A465,수납!$D:$D,IF(원생!$G465="","",원생!$G465),수납!$B:$B,$B$1&amp;"-"&amp;TEXT(3,"00")&amp;"*",수납!$E:$E,""))</f>
        <v/>
      </c>
      <c r="F467" s="14">
        <f>IF(원생!$A465="","",SUMIFS(수납!$F:$F,수납!$C:$C,원생!$A465,수납!$D:$D,IF(원생!$G465="","",원생!$G465),수납!$B:$B,$B$1&amp;"-"&amp;TEXT(4,"00")&amp;"*",수납!$E:$E,"수강료")+SUMIFS(수납!$F:$F,수납!$C:$C,원생!$A465,수납!$D:$D,IF(원생!$G465="","",원생!$G465),수납!$B:$B,$B$1&amp;"-"&amp;TEXT(4,"00")&amp;"*",수납!$E:$E,""))</f>
        <v/>
      </c>
      <c r="G467" s="14">
        <f>IF(원생!$A465="","",SUMIFS(수납!$F:$F,수납!$C:$C,원생!$A465,수납!$D:$D,IF(원생!$G465="","",원생!$G465),수납!$B:$B,$B$1&amp;"-"&amp;TEXT(5,"00")&amp;"*",수납!$E:$E,"수강료")+SUMIFS(수납!$F:$F,수납!$C:$C,원생!$A465,수납!$D:$D,IF(원생!$G465="","",원생!$G465),수납!$B:$B,$B$1&amp;"-"&amp;TEXT(5,"00")&amp;"*",수납!$E:$E,""))</f>
        <v/>
      </c>
      <c r="H467" s="14">
        <f>IF(원생!$A465="","",SUMIFS(수납!$F:$F,수납!$C:$C,원생!$A465,수납!$D:$D,IF(원생!$G465="","",원생!$G465),수납!$B:$B,$B$1&amp;"-"&amp;TEXT(6,"00")&amp;"*",수납!$E:$E,"수강료")+SUMIFS(수납!$F:$F,수납!$C:$C,원생!$A465,수납!$D:$D,IF(원생!$G465="","",원생!$G465),수납!$B:$B,$B$1&amp;"-"&amp;TEXT(6,"00")&amp;"*",수납!$E:$E,""))</f>
        <v/>
      </c>
      <c r="I467" s="14">
        <f>IF(원생!$A465="","",SUMIFS(수납!$F:$F,수납!$C:$C,원생!$A465,수납!$D:$D,IF(원생!$G465="","",원생!$G465),수납!$B:$B,$B$1&amp;"-"&amp;TEXT(7,"00")&amp;"*",수납!$E:$E,"수강료")+SUMIFS(수납!$F:$F,수납!$C:$C,원생!$A465,수납!$D:$D,IF(원생!$G465="","",원생!$G465),수납!$B:$B,$B$1&amp;"-"&amp;TEXT(7,"00")&amp;"*",수납!$E:$E,""))</f>
        <v/>
      </c>
      <c r="J467" s="14">
        <f>IF(원생!$A465="","",SUMIFS(수납!$F:$F,수납!$C:$C,원생!$A465,수납!$D:$D,IF(원생!$G465="","",원생!$G465),수납!$B:$B,$B$1&amp;"-"&amp;TEXT(8,"00")&amp;"*",수납!$E:$E,"수강료")+SUMIFS(수납!$F:$F,수납!$C:$C,원생!$A465,수납!$D:$D,IF(원생!$G465="","",원생!$G465),수납!$B:$B,$B$1&amp;"-"&amp;TEXT(8,"00")&amp;"*",수납!$E:$E,""))</f>
        <v/>
      </c>
      <c r="K467" s="14">
        <f>IF(원생!$A465="","",SUMIFS(수납!$F:$F,수납!$C:$C,원생!$A465,수납!$D:$D,IF(원생!$G465="","",원생!$G465),수납!$B:$B,$B$1&amp;"-"&amp;TEXT(9,"00")&amp;"*",수납!$E:$E,"수강료")+SUMIFS(수납!$F:$F,수납!$C:$C,원생!$A465,수납!$D:$D,IF(원생!$G465="","",원생!$G465),수납!$B:$B,$B$1&amp;"-"&amp;TEXT(9,"00")&amp;"*",수납!$E:$E,""))</f>
        <v/>
      </c>
      <c r="L467" s="14">
        <f>IF(원생!$A465="","",SUMIFS(수납!$F:$F,수납!$C:$C,원생!$A465,수납!$D:$D,IF(원생!$G465="","",원생!$G465),수납!$B:$B,$B$1&amp;"-"&amp;TEXT(10,"00")&amp;"*",수납!$E:$E,"수강료")+SUMIFS(수납!$F:$F,수납!$C:$C,원생!$A465,수납!$D:$D,IF(원생!$G465="","",원생!$G465),수납!$B:$B,$B$1&amp;"-"&amp;TEXT(10,"00")&amp;"*",수납!$E:$E,""))</f>
        <v/>
      </c>
      <c r="M467" s="14">
        <f>IF(원생!$A465="","",SUMIFS(수납!$F:$F,수납!$C:$C,원생!$A465,수납!$D:$D,IF(원생!$G465="","",원생!$G465),수납!$B:$B,$B$1&amp;"-"&amp;TEXT(11,"00")&amp;"*",수납!$E:$E,"수강료")+SUMIFS(수납!$F:$F,수납!$C:$C,원생!$A465,수납!$D:$D,IF(원생!$G465="","",원생!$G465),수납!$B:$B,$B$1&amp;"-"&amp;TEXT(11,"00")&amp;"*",수납!$E:$E,""))</f>
        <v/>
      </c>
      <c r="N467" s="14">
        <f>IF(원생!$A465="","",SUMIFS(수납!$F:$F,수납!$C:$C,원생!$A465,수납!$D:$D,IF(원생!$G465="","",원생!$G465),수납!$B:$B,$B$1&amp;"-"&amp;TEXT(12,"00")&amp;"*",수납!$E:$E,"수강료")+SUMIFS(수납!$F:$F,수납!$C:$C,원생!$A465,수납!$D:$D,IF(원생!$G465="","",원생!$G465),수납!$B:$B,$B$1&amp;"-"&amp;TEXT(12,"00")&amp;"*",수납!$E:$E,""))</f>
        <v/>
      </c>
      <c r="O467">
        <f>IF(원생!$I465="","",원생!$I465)</f>
        <v/>
      </c>
      <c r="P467">
        <f>IF($A467="","",IF(AND($B467&gt;0,C467&lt;$B467,DATE($B$1,1,1)&lt;=TODAY(),OR($O467="",$O467&gt;=DATE($B$1,1,1)),OR(COUNTIF($C467:C467,"&gt;0")&gt;0,DATE($B$1,1,1)=DATE(YEAR(TODAY()),MONTH(TODAY()),1))),1,0))</f>
        <v/>
      </c>
      <c r="Q467">
        <f>IF($A467="","",IF(AND($B467&gt;0,D467&lt;$B467,DATE($B$1,2,1)&lt;=TODAY(),OR($O467="",$O467&gt;=DATE($B$1,2,1)),OR(COUNTIF($C467:D467,"&gt;0")&gt;0,DATE($B$1,2,1)=DATE(YEAR(TODAY()),MONTH(TODAY()),1))),1,0))</f>
        <v/>
      </c>
      <c r="R467">
        <f>IF($A467="","",IF(AND($B467&gt;0,E467&lt;$B467,DATE($B$1,3,1)&lt;=TODAY(),OR($O467="",$O467&gt;=DATE($B$1,3,1)),OR(COUNTIF($C467:E467,"&gt;0")&gt;0,DATE($B$1,3,1)=DATE(YEAR(TODAY()),MONTH(TODAY()),1))),1,0))</f>
        <v/>
      </c>
      <c r="S467">
        <f>IF($A467="","",IF(AND($B467&gt;0,F467&lt;$B467,DATE($B$1,4,1)&lt;=TODAY(),OR($O467="",$O467&gt;=DATE($B$1,4,1)),OR(COUNTIF($C467:F467,"&gt;0")&gt;0,DATE($B$1,4,1)=DATE(YEAR(TODAY()),MONTH(TODAY()),1))),1,0))</f>
        <v/>
      </c>
      <c r="T467">
        <f>IF($A467="","",IF(AND($B467&gt;0,G467&lt;$B467,DATE($B$1,5,1)&lt;=TODAY(),OR($O467="",$O467&gt;=DATE($B$1,5,1)),OR(COUNTIF($C467:G467,"&gt;0")&gt;0,DATE($B$1,5,1)=DATE(YEAR(TODAY()),MONTH(TODAY()),1))),1,0))</f>
        <v/>
      </c>
      <c r="U467">
        <f>IF($A467="","",IF(AND($B467&gt;0,H467&lt;$B467,DATE($B$1,6,1)&lt;=TODAY(),OR($O467="",$O467&gt;=DATE($B$1,6,1)),OR(COUNTIF($C467:H467,"&gt;0")&gt;0,DATE($B$1,6,1)=DATE(YEAR(TODAY()),MONTH(TODAY()),1))),1,0))</f>
        <v/>
      </c>
      <c r="V467">
        <f>IF($A467="","",IF(AND($B467&gt;0,I467&lt;$B467,DATE($B$1,7,1)&lt;=TODAY(),OR($O467="",$O467&gt;=DATE($B$1,7,1)),OR(COUNTIF($C467:I467,"&gt;0")&gt;0,DATE($B$1,7,1)=DATE(YEAR(TODAY()),MONTH(TODAY()),1))),1,0))</f>
        <v/>
      </c>
      <c r="W467">
        <f>IF($A467="","",IF(AND($B467&gt;0,J467&lt;$B467,DATE($B$1,8,1)&lt;=TODAY(),OR($O467="",$O467&gt;=DATE($B$1,8,1)),OR(COUNTIF($C467:J467,"&gt;0")&gt;0,DATE($B$1,8,1)=DATE(YEAR(TODAY()),MONTH(TODAY()),1))),1,0))</f>
        <v/>
      </c>
      <c r="X467">
        <f>IF($A467="","",IF(AND($B467&gt;0,K467&lt;$B467,DATE($B$1,9,1)&lt;=TODAY(),OR($O467="",$O467&gt;=DATE($B$1,9,1)),OR(COUNTIF($C467:K467,"&gt;0")&gt;0,DATE($B$1,9,1)=DATE(YEAR(TODAY()),MONTH(TODAY()),1))),1,0))</f>
        <v/>
      </c>
      <c r="Y467">
        <f>IF($A467="","",IF(AND($B467&gt;0,L467&lt;$B467,DATE($B$1,10,1)&lt;=TODAY(),OR($O467="",$O467&gt;=DATE($B$1,10,1)),OR(COUNTIF($C467:L467,"&gt;0")&gt;0,DATE($B$1,10,1)=DATE(YEAR(TODAY()),MONTH(TODAY()),1))),1,0))</f>
        <v/>
      </c>
      <c r="Z467">
        <f>IF($A467="","",IF(AND($B467&gt;0,M467&lt;$B467,DATE($B$1,11,1)&lt;=TODAY(),OR($O467="",$O467&gt;=DATE($B$1,11,1)),OR(COUNTIF($C467:M467,"&gt;0")&gt;0,DATE($B$1,11,1)=DATE(YEAR(TODAY()),MONTH(TODAY()),1))),1,0))</f>
        <v/>
      </c>
      <c r="AA467">
        <f>IF($A467="","",IF(AND($B467&gt;0,N467&lt;$B467,DATE($B$1,12,1)&lt;=TODAY(),OR($O467="",$O467&gt;=DATE($B$1,12,1)),OR(COUNTIF($C467:N467,"&gt;0")&gt;0,DATE($B$1,12,1)=DATE(YEAR(TODAY()),MONTH(TODAY()),1))),1,0))</f>
        <v/>
      </c>
    </row>
    <row r="468">
      <c r="A468" s="13">
        <f>IF(원생!$A466="","",원생!$A466&amp;IF(원생!$G466="",""," ("&amp;원생!$G466&amp;")"))</f>
        <v/>
      </c>
      <c r="B468" s="8">
        <f>IF(원생!$A466="","",원생!$F466)</f>
        <v/>
      </c>
      <c r="C468" s="14">
        <f>IF(원생!$A466="","",SUMIFS(수납!$F:$F,수납!$C:$C,원생!$A466,수납!$D:$D,IF(원생!$G466="","",원생!$G466),수납!$B:$B,$B$1&amp;"-"&amp;TEXT(1,"00")&amp;"*",수납!$E:$E,"수강료")+SUMIFS(수납!$F:$F,수납!$C:$C,원생!$A466,수납!$D:$D,IF(원생!$G466="","",원생!$G466),수납!$B:$B,$B$1&amp;"-"&amp;TEXT(1,"00")&amp;"*",수납!$E:$E,""))</f>
        <v/>
      </c>
      <c r="D468" s="14">
        <f>IF(원생!$A466="","",SUMIFS(수납!$F:$F,수납!$C:$C,원생!$A466,수납!$D:$D,IF(원생!$G466="","",원생!$G466),수납!$B:$B,$B$1&amp;"-"&amp;TEXT(2,"00")&amp;"*",수납!$E:$E,"수강료")+SUMIFS(수납!$F:$F,수납!$C:$C,원생!$A466,수납!$D:$D,IF(원생!$G466="","",원생!$G466),수납!$B:$B,$B$1&amp;"-"&amp;TEXT(2,"00")&amp;"*",수납!$E:$E,""))</f>
        <v/>
      </c>
      <c r="E468" s="14">
        <f>IF(원생!$A466="","",SUMIFS(수납!$F:$F,수납!$C:$C,원생!$A466,수납!$D:$D,IF(원생!$G466="","",원생!$G466),수납!$B:$B,$B$1&amp;"-"&amp;TEXT(3,"00")&amp;"*",수납!$E:$E,"수강료")+SUMIFS(수납!$F:$F,수납!$C:$C,원생!$A466,수납!$D:$D,IF(원생!$G466="","",원생!$G466),수납!$B:$B,$B$1&amp;"-"&amp;TEXT(3,"00")&amp;"*",수납!$E:$E,""))</f>
        <v/>
      </c>
      <c r="F468" s="14">
        <f>IF(원생!$A466="","",SUMIFS(수납!$F:$F,수납!$C:$C,원생!$A466,수납!$D:$D,IF(원생!$G466="","",원생!$G466),수납!$B:$B,$B$1&amp;"-"&amp;TEXT(4,"00")&amp;"*",수납!$E:$E,"수강료")+SUMIFS(수납!$F:$F,수납!$C:$C,원생!$A466,수납!$D:$D,IF(원생!$G466="","",원생!$G466),수납!$B:$B,$B$1&amp;"-"&amp;TEXT(4,"00")&amp;"*",수납!$E:$E,""))</f>
        <v/>
      </c>
      <c r="G468" s="14">
        <f>IF(원생!$A466="","",SUMIFS(수납!$F:$F,수납!$C:$C,원생!$A466,수납!$D:$D,IF(원생!$G466="","",원생!$G466),수납!$B:$B,$B$1&amp;"-"&amp;TEXT(5,"00")&amp;"*",수납!$E:$E,"수강료")+SUMIFS(수납!$F:$F,수납!$C:$C,원생!$A466,수납!$D:$D,IF(원생!$G466="","",원생!$G466),수납!$B:$B,$B$1&amp;"-"&amp;TEXT(5,"00")&amp;"*",수납!$E:$E,""))</f>
        <v/>
      </c>
      <c r="H468" s="14">
        <f>IF(원생!$A466="","",SUMIFS(수납!$F:$F,수납!$C:$C,원생!$A466,수납!$D:$D,IF(원생!$G466="","",원생!$G466),수납!$B:$B,$B$1&amp;"-"&amp;TEXT(6,"00")&amp;"*",수납!$E:$E,"수강료")+SUMIFS(수납!$F:$F,수납!$C:$C,원생!$A466,수납!$D:$D,IF(원생!$G466="","",원생!$G466),수납!$B:$B,$B$1&amp;"-"&amp;TEXT(6,"00")&amp;"*",수납!$E:$E,""))</f>
        <v/>
      </c>
      <c r="I468" s="14">
        <f>IF(원생!$A466="","",SUMIFS(수납!$F:$F,수납!$C:$C,원생!$A466,수납!$D:$D,IF(원생!$G466="","",원생!$G466),수납!$B:$B,$B$1&amp;"-"&amp;TEXT(7,"00")&amp;"*",수납!$E:$E,"수강료")+SUMIFS(수납!$F:$F,수납!$C:$C,원생!$A466,수납!$D:$D,IF(원생!$G466="","",원생!$G466),수납!$B:$B,$B$1&amp;"-"&amp;TEXT(7,"00")&amp;"*",수납!$E:$E,""))</f>
        <v/>
      </c>
      <c r="J468" s="14">
        <f>IF(원생!$A466="","",SUMIFS(수납!$F:$F,수납!$C:$C,원생!$A466,수납!$D:$D,IF(원생!$G466="","",원생!$G466),수납!$B:$B,$B$1&amp;"-"&amp;TEXT(8,"00")&amp;"*",수납!$E:$E,"수강료")+SUMIFS(수납!$F:$F,수납!$C:$C,원생!$A466,수납!$D:$D,IF(원생!$G466="","",원생!$G466),수납!$B:$B,$B$1&amp;"-"&amp;TEXT(8,"00")&amp;"*",수납!$E:$E,""))</f>
        <v/>
      </c>
      <c r="K468" s="14">
        <f>IF(원생!$A466="","",SUMIFS(수납!$F:$F,수납!$C:$C,원생!$A466,수납!$D:$D,IF(원생!$G466="","",원생!$G466),수납!$B:$B,$B$1&amp;"-"&amp;TEXT(9,"00")&amp;"*",수납!$E:$E,"수강료")+SUMIFS(수납!$F:$F,수납!$C:$C,원생!$A466,수납!$D:$D,IF(원생!$G466="","",원생!$G466),수납!$B:$B,$B$1&amp;"-"&amp;TEXT(9,"00")&amp;"*",수납!$E:$E,""))</f>
        <v/>
      </c>
      <c r="L468" s="14">
        <f>IF(원생!$A466="","",SUMIFS(수납!$F:$F,수납!$C:$C,원생!$A466,수납!$D:$D,IF(원생!$G466="","",원생!$G466),수납!$B:$B,$B$1&amp;"-"&amp;TEXT(10,"00")&amp;"*",수납!$E:$E,"수강료")+SUMIFS(수납!$F:$F,수납!$C:$C,원생!$A466,수납!$D:$D,IF(원생!$G466="","",원생!$G466),수납!$B:$B,$B$1&amp;"-"&amp;TEXT(10,"00")&amp;"*",수납!$E:$E,""))</f>
        <v/>
      </c>
      <c r="M468" s="14">
        <f>IF(원생!$A466="","",SUMIFS(수납!$F:$F,수납!$C:$C,원생!$A466,수납!$D:$D,IF(원생!$G466="","",원생!$G466),수납!$B:$B,$B$1&amp;"-"&amp;TEXT(11,"00")&amp;"*",수납!$E:$E,"수강료")+SUMIFS(수납!$F:$F,수납!$C:$C,원생!$A466,수납!$D:$D,IF(원생!$G466="","",원생!$G466),수납!$B:$B,$B$1&amp;"-"&amp;TEXT(11,"00")&amp;"*",수납!$E:$E,""))</f>
        <v/>
      </c>
      <c r="N468" s="14">
        <f>IF(원생!$A466="","",SUMIFS(수납!$F:$F,수납!$C:$C,원생!$A466,수납!$D:$D,IF(원생!$G466="","",원생!$G466),수납!$B:$B,$B$1&amp;"-"&amp;TEXT(12,"00")&amp;"*",수납!$E:$E,"수강료")+SUMIFS(수납!$F:$F,수납!$C:$C,원생!$A466,수납!$D:$D,IF(원생!$G466="","",원생!$G466),수납!$B:$B,$B$1&amp;"-"&amp;TEXT(12,"00")&amp;"*",수납!$E:$E,""))</f>
        <v/>
      </c>
      <c r="O468">
        <f>IF(원생!$I466="","",원생!$I466)</f>
        <v/>
      </c>
      <c r="P468">
        <f>IF($A468="","",IF(AND($B468&gt;0,C468&lt;$B468,DATE($B$1,1,1)&lt;=TODAY(),OR($O468="",$O468&gt;=DATE($B$1,1,1)),OR(COUNTIF($C468:C468,"&gt;0")&gt;0,DATE($B$1,1,1)=DATE(YEAR(TODAY()),MONTH(TODAY()),1))),1,0))</f>
        <v/>
      </c>
      <c r="Q468">
        <f>IF($A468="","",IF(AND($B468&gt;0,D468&lt;$B468,DATE($B$1,2,1)&lt;=TODAY(),OR($O468="",$O468&gt;=DATE($B$1,2,1)),OR(COUNTIF($C468:D468,"&gt;0")&gt;0,DATE($B$1,2,1)=DATE(YEAR(TODAY()),MONTH(TODAY()),1))),1,0))</f>
        <v/>
      </c>
      <c r="R468">
        <f>IF($A468="","",IF(AND($B468&gt;0,E468&lt;$B468,DATE($B$1,3,1)&lt;=TODAY(),OR($O468="",$O468&gt;=DATE($B$1,3,1)),OR(COUNTIF($C468:E468,"&gt;0")&gt;0,DATE($B$1,3,1)=DATE(YEAR(TODAY()),MONTH(TODAY()),1))),1,0))</f>
        <v/>
      </c>
      <c r="S468">
        <f>IF($A468="","",IF(AND($B468&gt;0,F468&lt;$B468,DATE($B$1,4,1)&lt;=TODAY(),OR($O468="",$O468&gt;=DATE($B$1,4,1)),OR(COUNTIF($C468:F468,"&gt;0")&gt;0,DATE($B$1,4,1)=DATE(YEAR(TODAY()),MONTH(TODAY()),1))),1,0))</f>
        <v/>
      </c>
      <c r="T468">
        <f>IF($A468="","",IF(AND($B468&gt;0,G468&lt;$B468,DATE($B$1,5,1)&lt;=TODAY(),OR($O468="",$O468&gt;=DATE($B$1,5,1)),OR(COUNTIF($C468:G468,"&gt;0")&gt;0,DATE($B$1,5,1)=DATE(YEAR(TODAY()),MONTH(TODAY()),1))),1,0))</f>
        <v/>
      </c>
      <c r="U468">
        <f>IF($A468="","",IF(AND($B468&gt;0,H468&lt;$B468,DATE($B$1,6,1)&lt;=TODAY(),OR($O468="",$O468&gt;=DATE($B$1,6,1)),OR(COUNTIF($C468:H468,"&gt;0")&gt;0,DATE($B$1,6,1)=DATE(YEAR(TODAY()),MONTH(TODAY()),1))),1,0))</f>
        <v/>
      </c>
      <c r="V468">
        <f>IF($A468="","",IF(AND($B468&gt;0,I468&lt;$B468,DATE($B$1,7,1)&lt;=TODAY(),OR($O468="",$O468&gt;=DATE($B$1,7,1)),OR(COUNTIF($C468:I468,"&gt;0")&gt;0,DATE($B$1,7,1)=DATE(YEAR(TODAY()),MONTH(TODAY()),1))),1,0))</f>
        <v/>
      </c>
      <c r="W468">
        <f>IF($A468="","",IF(AND($B468&gt;0,J468&lt;$B468,DATE($B$1,8,1)&lt;=TODAY(),OR($O468="",$O468&gt;=DATE($B$1,8,1)),OR(COUNTIF($C468:J468,"&gt;0")&gt;0,DATE($B$1,8,1)=DATE(YEAR(TODAY()),MONTH(TODAY()),1))),1,0))</f>
        <v/>
      </c>
      <c r="X468">
        <f>IF($A468="","",IF(AND($B468&gt;0,K468&lt;$B468,DATE($B$1,9,1)&lt;=TODAY(),OR($O468="",$O468&gt;=DATE($B$1,9,1)),OR(COUNTIF($C468:K468,"&gt;0")&gt;0,DATE($B$1,9,1)=DATE(YEAR(TODAY()),MONTH(TODAY()),1))),1,0))</f>
        <v/>
      </c>
      <c r="Y468">
        <f>IF($A468="","",IF(AND($B468&gt;0,L468&lt;$B468,DATE($B$1,10,1)&lt;=TODAY(),OR($O468="",$O468&gt;=DATE($B$1,10,1)),OR(COUNTIF($C468:L468,"&gt;0")&gt;0,DATE($B$1,10,1)=DATE(YEAR(TODAY()),MONTH(TODAY()),1))),1,0))</f>
        <v/>
      </c>
      <c r="Z468">
        <f>IF($A468="","",IF(AND($B468&gt;0,M468&lt;$B468,DATE($B$1,11,1)&lt;=TODAY(),OR($O468="",$O468&gt;=DATE($B$1,11,1)),OR(COUNTIF($C468:M468,"&gt;0")&gt;0,DATE($B$1,11,1)=DATE(YEAR(TODAY()),MONTH(TODAY()),1))),1,0))</f>
        <v/>
      </c>
      <c r="AA468">
        <f>IF($A468="","",IF(AND($B468&gt;0,N468&lt;$B468,DATE($B$1,12,1)&lt;=TODAY(),OR($O468="",$O468&gt;=DATE($B$1,12,1)),OR(COUNTIF($C468:N468,"&gt;0")&gt;0,DATE($B$1,12,1)=DATE(YEAR(TODAY()),MONTH(TODAY()),1))),1,0))</f>
        <v/>
      </c>
    </row>
    <row r="469">
      <c r="A469" s="13">
        <f>IF(원생!$A467="","",원생!$A467&amp;IF(원생!$G467="",""," ("&amp;원생!$G467&amp;")"))</f>
        <v/>
      </c>
      <c r="B469" s="8">
        <f>IF(원생!$A467="","",원생!$F467)</f>
        <v/>
      </c>
      <c r="C469" s="14">
        <f>IF(원생!$A467="","",SUMIFS(수납!$F:$F,수납!$C:$C,원생!$A467,수납!$D:$D,IF(원생!$G467="","",원생!$G467),수납!$B:$B,$B$1&amp;"-"&amp;TEXT(1,"00")&amp;"*",수납!$E:$E,"수강료")+SUMIFS(수납!$F:$F,수납!$C:$C,원생!$A467,수납!$D:$D,IF(원생!$G467="","",원생!$G467),수납!$B:$B,$B$1&amp;"-"&amp;TEXT(1,"00")&amp;"*",수납!$E:$E,""))</f>
        <v/>
      </c>
      <c r="D469" s="14">
        <f>IF(원생!$A467="","",SUMIFS(수납!$F:$F,수납!$C:$C,원생!$A467,수납!$D:$D,IF(원생!$G467="","",원생!$G467),수납!$B:$B,$B$1&amp;"-"&amp;TEXT(2,"00")&amp;"*",수납!$E:$E,"수강료")+SUMIFS(수납!$F:$F,수납!$C:$C,원생!$A467,수납!$D:$D,IF(원생!$G467="","",원생!$G467),수납!$B:$B,$B$1&amp;"-"&amp;TEXT(2,"00")&amp;"*",수납!$E:$E,""))</f>
        <v/>
      </c>
      <c r="E469" s="14">
        <f>IF(원생!$A467="","",SUMIFS(수납!$F:$F,수납!$C:$C,원생!$A467,수납!$D:$D,IF(원생!$G467="","",원생!$G467),수납!$B:$B,$B$1&amp;"-"&amp;TEXT(3,"00")&amp;"*",수납!$E:$E,"수강료")+SUMIFS(수납!$F:$F,수납!$C:$C,원생!$A467,수납!$D:$D,IF(원생!$G467="","",원생!$G467),수납!$B:$B,$B$1&amp;"-"&amp;TEXT(3,"00")&amp;"*",수납!$E:$E,""))</f>
        <v/>
      </c>
      <c r="F469" s="14">
        <f>IF(원생!$A467="","",SUMIFS(수납!$F:$F,수납!$C:$C,원생!$A467,수납!$D:$D,IF(원생!$G467="","",원생!$G467),수납!$B:$B,$B$1&amp;"-"&amp;TEXT(4,"00")&amp;"*",수납!$E:$E,"수강료")+SUMIFS(수납!$F:$F,수납!$C:$C,원생!$A467,수납!$D:$D,IF(원생!$G467="","",원생!$G467),수납!$B:$B,$B$1&amp;"-"&amp;TEXT(4,"00")&amp;"*",수납!$E:$E,""))</f>
        <v/>
      </c>
      <c r="G469" s="14">
        <f>IF(원생!$A467="","",SUMIFS(수납!$F:$F,수납!$C:$C,원생!$A467,수납!$D:$D,IF(원생!$G467="","",원생!$G467),수납!$B:$B,$B$1&amp;"-"&amp;TEXT(5,"00")&amp;"*",수납!$E:$E,"수강료")+SUMIFS(수납!$F:$F,수납!$C:$C,원생!$A467,수납!$D:$D,IF(원생!$G467="","",원생!$G467),수납!$B:$B,$B$1&amp;"-"&amp;TEXT(5,"00")&amp;"*",수납!$E:$E,""))</f>
        <v/>
      </c>
      <c r="H469" s="14">
        <f>IF(원생!$A467="","",SUMIFS(수납!$F:$F,수납!$C:$C,원생!$A467,수납!$D:$D,IF(원생!$G467="","",원생!$G467),수납!$B:$B,$B$1&amp;"-"&amp;TEXT(6,"00")&amp;"*",수납!$E:$E,"수강료")+SUMIFS(수납!$F:$F,수납!$C:$C,원생!$A467,수납!$D:$D,IF(원생!$G467="","",원생!$G467),수납!$B:$B,$B$1&amp;"-"&amp;TEXT(6,"00")&amp;"*",수납!$E:$E,""))</f>
        <v/>
      </c>
      <c r="I469" s="14">
        <f>IF(원생!$A467="","",SUMIFS(수납!$F:$F,수납!$C:$C,원생!$A467,수납!$D:$D,IF(원생!$G467="","",원생!$G467),수납!$B:$B,$B$1&amp;"-"&amp;TEXT(7,"00")&amp;"*",수납!$E:$E,"수강료")+SUMIFS(수납!$F:$F,수납!$C:$C,원생!$A467,수납!$D:$D,IF(원생!$G467="","",원생!$G467),수납!$B:$B,$B$1&amp;"-"&amp;TEXT(7,"00")&amp;"*",수납!$E:$E,""))</f>
        <v/>
      </c>
      <c r="J469" s="14">
        <f>IF(원생!$A467="","",SUMIFS(수납!$F:$F,수납!$C:$C,원생!$A467,수납!$D:$D,IF(원생!$G467="","",원생!$G467),수납!$B:$B,$B$1&amp;"-"&amp;TEXT(8,"00")&amp;"*",수납!$E:$E,"수강료")+SUMIFS(수납!$F:$F,수납!$C:$C,원생!$A467,수납!$D:$D,IF(원생!$G467="","",원생!$G467),수납!$B:$B,$B$1&amp;"-"&amp;TEXT(8,"00")&amp;"*",수납!$E:$E,""))</f>
        <v/>
      </c>
      <c r="K469" s="14">
        <f>IF(원생!$A467="","",SUMIFS(수납!$F:$F,수납!$C:$C,원생!$A467,수납!$D:$D,IF(원생!$G467="","",원생!$G467),수납!$B:$B,$B$1&amp;"-"&amp;TEXT(9,"00")&amp;"*",수납!$E:$E,"수강료")+SUMIFS(수납!$F:$F,수납!$C:$C,원생!$A467,수납!$D:$D,IF(원생!$G467="","",원생!$G467),수납!$B:$B,$B$1&amp;"-"&amp;TEXT(9,"00")&amp;"*",수납!$E:$E,""))</f>
        <v/>
      </c>
      <c r="L469" s="14">
        <f>IF(원생!$A467="","",SUMIFS(수납!$F:$F,수납!$C:$C,원생!$A467,수납!$D:$D,IF(원생!$G467="","",원생!$G467),수납!$B:$B,$B$1&amp;"-"&amp;TEXT(10,"00")&amp;"*",수납!$E:$E,"수강료")+SUMIFS(수납!$F:$F,수납!$C:$C,원생!$A467,수납!$D:$D,IF(원생!$G467="","",원생!$G467),수납!$B:$B,$B$1&amp;"-"&amp;TEXT(10,"00")&amp;"*",수납!$E:$E,""))</f>
        <v/>
      </c>
      <c r="M469" s="14">
        <f>IF(원생!$A467="","",SUMIFS(수납!$F:$F,수납!$C:$C,원생!$A467,수납!$D:$D,IF(원생!$G467="","",원생!$G467),수납!$B:$B,$B$1&amp;"-"&amp;TEXT(11,"00")&amp;"*",수납!$E:$E,"수강료")+SUMIFS(수납!$F:$F,수납!$C:$C,원생!$A467,수납!$D:$D,IF(원생!$G467="","",원생!$G467),수납!$B:$B,$B$1&amp;"-"&amp;TEXT(11,"00")&amp;"*",수납!$E:$E,""))</f>
        <v/>
      </c>
      <c r="N469" s="14">
        <f>IF(원생!$A467="","",SUMIFS(수납!$F:$F,수납!$C:$C,원생!$A467,수납!$D:$D,IF(원생!$G467="","",원생!$G467),수납!$B:$B,$B$1&amp;"-"&amp;TEXT(12,"00")&amp;"*",수납!$E:$E,"수강료")+SUMIFS(수납!$F:$F,수납!$C:$C,원생!$A467,수납!$D:$D,IF(원생!$G467="","",원생!$G467),수납!$B:$B,$B$1&amp;"-"&amp;TEXT(12,"00")&amp;"*",수납!$E:$E,""))</f>
        <v/>
      </c>
      <c r="O469">
        <f>IF(원생!$I467="","",원생!$I467)</f>
        <v/>
      </c>
      <c r="P469">
        <f>IF($A469="","",IF(AND($B469&gt;0,C469&lt;$B469,DATE($B$1,1,1)&lt;=TODAY(),OR($O469="",$O469&gt;=DATE($B$1,1,1)),OR(COUNTIF($C469:C469,"&gt;0")&gt;0,DATE($B$1,1,1)=DATE(YEAR(TODAY()),MONTH(TODAY()),1))),1,0))</f>
        <v/>
      </c>
      <c r="Q469">
        <f>IF($A469="","",IF(AND($B469&gt;0,D469&lt;$B469,DATE($B$1,2,1)&lt;=TODAY(),OR($O469="",$O469&gt;=DATE($B$1,2,1)),OR(COUNTIF($C469:D469,"&gt;0")&gt;0,DATE($B$1,2,1)=DATE(YEAR(TODAY()),MONTH(TODAY()),1))),1,0))</f>
        <v/>
      </c>
      <c r="R469">
        <f>IF($A469="","",IF(AND($B469&gt;0,E469&lt;$B469,DATE($B$1,3,1)&lt;=TODAY(),OR($O469="",$O469&gt;=DATE($B$1,3,1)),OR(COUNTIF($C469:E469,"&gt;0")&gt;0,DATE($B$1,3,1)=DATE(YEAR(TODAY()),MONTH(TODAY()),1))),1,0))</f>
        <v/>
      </c>
      <c r="S469">
        <f>IF($A469="","",IF(AND($B469&gt;0,F469&lt;$B469,DATE($B$1,4,1)&lt;=TODAY(),OR($O469="",$O469&gt;=DATE($B$1,4,1)),OR(COUNTIF($C469:F469,"&gt;0")&gt;0,DATE($B$1,4,1)=DATE(YEAR(TODAY()),MONTH(TODAY()),1))),1,0))</f>
        <v/>
      </c>
      <c r="T469">
        <f>IF($A469="","",IF(AND($B469&gt;0,G469&lt;$B469,DATE($B$1,5,1)&lt;=TODAY(),OR($O469="",$O469&gt;=DATE($B$1,5,1)),OR(COUNTIF($C469:G469,"&gt;0")&gt;0,DATE($B$1,5,1)=DATE(YEAR(TODAY()),MONTH(TODAY()),1))),1,0))</f>
        <v/>
      </c>
      <c r="U469">
        <f>IF($A469="","",IF(AND($B469&gt;0,H469&lt;$B469,DATE($B$1,6,1)&lt;=TODAY(),OR($O469="",$O469&gt;=DATE($B$1,6,1)),OR(COUNTIF($C469:H469,"&gt;0")&gt;0,DATE($B$1,6,1)=DATE(YEAR(TODAY()),MONTH(TODAY()),1))),1,0))</f>
        <v/>
      </c>
      <c r="V469">
        <f>IF($A469="","",IF(AND($B469&gt;0,I469&lt;$B469,DATE($B$1,7,1)&lt;=TODAY(),OR($O469="",$O469&gt;=DATE($B$1,7,1)),OR(COUNTIF($C469:I469,"&gt;0")&gt;0,DATE($B$1,7,1)=DATE(YEAR(TODAY()),MONTH(TODAY()),1))),1,0))</f>
        <v/>
      </c>
      <c r="W469">
        <f>IF($A469="","",IF(AND($B469&gt;0,J469&lt;$B469,DATE($B$1,8,1)&lt;=TODAY(),OR($O469="",$O469&gt;=DATE($B$1,8,1)),OR(COUNTIF($C469:J469,"&gt;0")&gt;0,DATE($B$1,8,1)=DATE(YEAR(TODAY()),MONTH(TODAY()),1))),1,0))</f>
        <v/>
      </c>
      <c r="X469">
        <f>IF($A469="","",IF(AND($B469&gt;0,K469&lt;$B469,DATE($B$1,9,1)&lt;=TODAY(),OR($O469="",$O469&gt;=DATE($B$1,9,1)),OR(COUNTIF($C469:K469,"&gt;0")&gt;0,DATE($B$1,9,1)=DATE(YEAR(TODAY()),MONTH(TODAY()),1))),1,0))</f>
        <v/>
      </c>
      <c r="Y469">
        <f>IF($A469="","",IF(AND($B469&gt;0,L469&lt;$B469,DATE($B$1,10,1)&lt;=TODAY(),OR($O469="",$O469&gt;=DATE($B$1,10,1)),OR(COUNTIF($C469:L469,"&gt;0")&gt;0,DATE($B$1,10,1)=DATE(YEAR(TODAY()),MONTH(TODAY()),1))),1,0))</f>
        <v/>
      </c>
      <c r="Z469">
        <f>IF($A469="","",IF(AND($B469&gt;0,M469&lt;$B469,DATE($B$1,11,1)&lt;=TODAY(),OR($O469="",$O469&gt;=DATE($B$1,11,1)),OR(COUNTIF($C469:M469,"&gt;0")&gt;0,DATE($B$1,11,1)=DATE(YEAR(TODAY()),MONTH(TODAY()),1))),1,0))</f>
        <v/>
      </c>
      <c r="AA469">
        <f>IF($A469="","",IF(AND($B469&gt;0,N469&lt;$B469,DATE($B$1,12,1)&lt;=TODAY(),OR($O469="",$O469&gt;=DATE($B$1,12,1)),OR(COUNTIF($C469:N469,"&gt;0")&gt;0,DATE($B$1,12,1)=DATE(YEAR(TODAY()),MONTH(TODAY()),1))),1,0))</f>
        <v/>
      </c>
    </row>
    <row r="470">
      <c r="A470" s="13">
        <f>IF(원생!$A468="","",원생!$A468&amp;IF(원생!$G468="",""," ("&amp;원생!$G468&amp;")"))</f>
        <v/>
      </c>
      <c r="B470" s="8">
        <f>IF(원생!$A468="","",원생!$F468)</f>
        <v/>
      </c>
      <c r="C470" s="14">
        <f>IF(원생!$A468="","",SUMIFS(수납!$F:$F,수납!$C:$C,원생!$A468,수납!$D:$D,IF(원생!$G468="","",원생!$G468),수납!$B:$B,$B$1&amp;"-"&amp;TEXT(1,"00")&amp;"*",수납!$E:$E,"수강료")+SUMIFS(수납!$F:$F,수납!$C:$C,원생!$A468,수납!$D:$D,IF(원생!$G468="","",원생!$G468),수납!$B:$B,$B$1&amp;"-"&amp;TEXT(1,"00")&amp;"*",수납!$E:$E,""))</f>
        <v/>
      </c>
      <c r="D470" s="14">
        <f>IF(원생!$A468="","",SUMIFS(수납!$F:$F,수납!$C:$C,원생!$A468,수납!$D:$D,IF(원생!$G468="","",원생!$G468),수납!$B:$B,$B$1&amp;"-"&amp;TEXT(2,"00")&amp;"*",수납!$E:$E,"수강료")+SUMIFS(수납!$F:$F,수납!$C:$C,원생!$A468,수납!$D:$D,IF(원생!$G468="","",원생!$G468),수납!$B:$B,$B$1&amp;"-"&amp;TEXT(2,"00")&amp;"*",수납!$E:$E,""))</f>
        <v/>
      </c>
      <c r="E470" s="14">
        <f>IF(원생!$A468="","",SUMIFS(수납!$F:$F,수납!$C:$C,원생!$A468,수납!$D:$D,IF(원생!$G468="","",원생!$G468),수납!$B:$B,$B$1&amp;"-"&amp;TEXT(3,"00")&amp;"*",수납!$E:$E,"수강료")+SUMIFS(수납!$F:$F,수납!$C:$C,원생!$A468,수납!$D:$D,IF(원생!$G468="","",원생!$G468),수납!$B:$B,$B$1&amp;"-"&amp;TEXT(3,"00")&amp;"*",수납!$E:$E,""))</f>
        <v/>
      </c>
      <c r="F470" s="14">
        <f>IF(원생!$A468="","",SUMIFS(수납!$F:$F,수납!$C:$C,원생!$A468,수납!$D:$D,IF(원생!$G468="","",원생!$G468),수납!$B:$B,$B$1&amp;"-"&amp;TEXT(4,"00")&amp;"*",수납!$E:$E,"수강료")+SUMIFS(수납!$F:$F,수납!$C:$C,원생!$A468,수납!$D:$D,IF(원생!$G468="","",원생!$G468),수납!$B:$B,$B$1&amp;"-"&amp;TEXT(4,"00")&amp;"*",수납!$E:$E,""))</f>
        <v/>
      </c>
      <c r="G470" s="14">
        <f>IF(원생!$A468="","",SUMIFS(수납!$F:$F,수납!$C:$C,원생!$A468,수납!$D:$D,IF(원생!$G468="","",원생!$G468),수납!$B:$B,$B$1&amp;"-"&amp;TEXT(5,"00")&amp;"*",수납!$E:$E,"수강료")+SUMIFS(수납!$F:$F,수납!$C:$C,원생!$A468,수납!$D:$D,IF(원생!$G468="","",원생!$G468),수납!$B:$B,$B$1&amp;"-"&amp;TEXT(5,"00")&amp;"*",수납!$E:$E,""))</f>
        <v/>
      </c>
      <c r="H470" s="14">
        <f>IF(원생!$A468="","",SUMIFS(수납!$F:$F,수납!$C:$C,원생!$A468,수납!$D:$D,IF(원생!$G468="","",원생!$G468),수납!$B:$B,$B$1&amp;"-"&amp;TEXT(6,"00")&amp;"*",수납!$E:$E,"수강료")+SUMIFS(수납!$F:$F,수납!$C:$C,원생!$A468,수납!$D:$D,IF(원생!$G468="","",원생!$G468),수납!$B:$B,$B$1&amp;"-"&amp;TEXT(6,"00")&amp;"*",수납!$E:$E,""))</f>
        <v/>
      </c>
      <c r="I470" s="14">
        <f>IF(원생!$A468="","",SUMIFS(수납!$F:$F,수납!$C:$C,원생!$A468,수납!$D:$D,IF(원생!$G468="","",원생!$G468),수납!$B:$B,$B$1&amp;"-"&amp;TEXT(7,"00")&amp;"*",수납!$E:$E,"수강료")+SUMIFS(수납!$F:$F,수납!$C:$C,원생!$A468,수납!$D:$D,IF(원생!$G468="","",원생!$G468),수납!$B:$B,$B$1&amp;"-"&amp;TEXT(7,"00")&amp;"*",수납!$E:$E,""))</f>
        <v/>
      </c>
      <c r="J470" s="14">
        <f>IF(원생!$A468="","",SUMIFS(수납!$F:$F,수납!$C:$C,원생!$A468,수납!$D:$D,IF(원생!$G468="","",원생!$G468),수납!$B:$B,$B$1&amp;"-"&amp;TEXT(8,"00")&amp;"*",수납!$E:$E,"수강료")+SUMIFS(수납!$F:$F,수납!$C:$C,원생!$A468,수납!$D:$D,IF(원생!$G468="","",원생!$G468),수납!$B:$B,$B$1&amp;"-"&amp;TEXT(8,"00")&amp;"*",수납!$E:$E,""))</f>
        <v/>
      </c>
      <c r="K470" s="14">
        <f>IF(원생!$A468="","",SUMIFS(수납!$F:$F,수납!$C:$C,원생!$A468,수납!$D:$D,IF(원생!$G468="","",원생!$G468),수납!$B:$B,$B$1&amp;"-"&amp;TEXT(9,"00")&amp;"*",수납!$E:$E,"수강료")+SUMIFS(수납!$F:$F,수납!$C:$C,원생!$A468,수납!$D:$D,IF(원생!$G468="","",원생!$G468),수납!$B:$B,$B$1&amp;"-"&amp;TEXT(9,"00")&amp;"*",수납!$E:$E,""))</f>
        <v/>
      </c>
      <c r="L470" s="14">
        <f>IF(원생!$A468="","",SUMIFS(수납!$F:$F,수납!$C:$C,원생!$A468,수납!$D:$D,IF(원생!$G468="","",원생!$G468),수납!$B:$B,$B$1&amp;"-"&amp;TEXT(10,"00")&amp;"*",수납!$E:$E,"수강료")+SUMIFS(수납!$F:$F,수납!$C:$C,원생!$A468,수납!$D:$D,IF(원생!$G468="","",원생!$G468),수납!$B:$B,$B$1&amp;"-"&amp;TEXT(10,"00")&amp;"*",수납!$E:$E,""))</f>
        <v/>
      </c>
      <c r="M470" s="14">
        <f>IF(원생!$A468="","",SUMIFS(수납!$F:$F,수납!$C:$C,원생!$A468,수납!$D:$D,IF(원생!$G468="","",원생!$G468),수납!$B:$B,$B$1&amp;"-"&amp;TEXT(11,"00")&amp;"*",수납!$E:$E,"수강료")+SUMIFS(수납!$F:$F,수납!$C:$C,원생!$A468,수납!$D:$D,IF(원생!$G468="","",원생!$G468),수납!$B:$B,$B$1&amp;"-"&amp;TEXT(11,"00")&amp;"*",수납!$E:$E,""))</f>
        <v/>
      </c>
      <c r="N470" s="14">
        <f>IF(원생!$A468="","",SUMIFS(수납!$F:$F,수납!$C:$C,원생!$A468,수납!$D:$D,IF(원생!$G468="","",원생!$G468),수납!$B:$B,$B$1&amp;"-"&amp;TEXT(12,"00")&amp;"*",수납!$E:$E,"수강료")+SUMIFS(수납!$F:$F,수납!$C:$C,원생!$A468,수납!$D:$D,IF(원생!$G468="","",원생!$G468),수납!$B:$B,$B$1&amp;"-"&amp;TEXT(12,"00")&amp;"*",수납!$E:$E,""))</f>
        <v/>
      </c>
      <c r="O470">
        <f>IF(원생!$I468="","",원생!$I468)</f>
        <v/>
      </c>
      <c r="P470">
        <f>IF($A470="","",IF(AND($B470&gt;0,C470&lt;$B470,DATE($B$1,1,1)&lt;=TODAY(),OR($O470="",$O470&gt;=DATE($B$1,1,1)),OR(COUNTIF($C470:C470,"&gt;0")&gt;0,DATE($B$1,1,1)=DATE(YEAR(TODAY()),MONTH(TODAY()),1))),1,0))</f>
        <v/>
      </c>
      <c r="Q470">
        <f>IF($A470="","",IF(AND($B470&gt;0,D470&lt;$B470,DATE($B$1,2,1)&lt;=TODAY(),OR($O470="",$O470&gt;=DATE($B$1,2,1)),OR(COUNTIF($C470:D470,"&gt;0")&gt;0,DATE($B$1,2,1)=DATE(YEAR(TODAY()),MONTH(TODAY()),1))),1,0))</f>
        <v/>
      </c>
      <c r="R470">
        <f>IF($A470="","",IF(AND($B470&gt;0,E470&lt;$B470,DATE($B$1,3,1)&lt;=TODAY(),OR($O470="",$O470&gt;=DATE($B$1,3,1)),OR(COUNTIF($C470:E470,"&gt;0")&gt;0,DATE($B$1,3,1)=DATE(YEAR(TODAY()),MONTH(TODAY()),1))),1,0))</f>
        <v/>
      </c>
      <c r="S470">
        <f>IF($A470="","",IF(AND($B470&gt;0,F470&lt;$B470,DATE($B$1,4,1)&lt;=TODAY(),OR($O470="",$O470&gt;=DATE($B$1,4,1)),OR(COUNTIF($C470:F470,"&gt;0")&gt;0,DATE($B$1,4,1)=DATE(YEAR(TODAY()),MONTH(TODAY()),1))),1,0))</f>
        <v/>
      </c>
      <c r="T470">
        <f>IF($A470="","",IF(AND($B470&gt;0,G470&lt;$B470,DATE($B$1,5,1)&lt;=TODAY(),OR($O470="",$O470&gt;=DATE($B$1,5,1)),OR(COUNTIF($C470:G470,"&gt;0")&gt;0,DATE($B$1,5,1)=DATE(YEAR(TODAY()),MONTH(TODAY()),1))),1,0))</f>
        <v/>
      </c>
      <c r="U470">
        <f>IF($A470="","",IF(AND($B470&gt;0,H470&lt;$B470,DATE($B$1,6,1)&lt;=TODAY(),OR($O470="",$O470&gt;=DATE($B$1,6,1)),OR(COUNTIF($C470:H470,"&gt;0")&gt;0,DATE($B$1,6,1)=DATE(YEAR(TODAY()),MONTH(TODAY()),1))),1,0))</f>
        <v/>
      </c>
      <c r="V470">
        <f>IF($A470="","",IF(AND($B470&gt;0,I470&lt;$B470,DATE($B$1,7,1)&lt;=TODAY(),OR($O470="",$O470&gt;=DATE($B$1,7,1)),OR(COUNTIF($C470:I470,"&gt;0")&gt;0,DATE($B$1,7,1)=DATE(YEAR(TODAY()),MONTH(TODAY()),1))),1,0))</f>
        <v/>
      </c>
      <c r="W470">
        <f>IF($A470="","",IF(AND($B470&gt;0,J470&lt;$B470,DATE($B$1,8,1)&lt;=TODAY(),OR($O470="",$O470&gt;=DATE($B$1,8,1)),OR(COUNTIF($C470:J470,"&gt;0")&gt;0,DATE($B$1,8,1)=DATE(YEAR(TODAY()),MONTH(TODAY()),1))),1,0))</f>
        <v/>
      </c>
      <c r="X470">
        <f>IF($A470="","",IF(AND($B470&gt;0,K470&lt;$B470,DATE($B$1,9,1)&lt;=TODAY(),OR($O470="",$O470&gt;=DATE($B$1,9,1)),OR(COUNTIF($C470:K470,"&gt;0")&gt;0,DATE($B$1,9,1)=DATE(YEAR(TODAY()),MONTH(TODAY()),1))),1,0))</f>
        <v/>
      </c>
      <c r="Y470">
        <f>IF($A470="","",IF(AND($B470&gt;0,L470&lt;$B470,DATE($B$1,10,1)&lt;=TODAY(),OR($O470="",$O470&gt;=DATE($B$1,10,1)),OR(COUNTIF($C470:L470,"&gt;0")&gt;0,DATE($B$1,10,1)=DATE(YEAR(TODAY()),MONTH(TODAY()),1))),1,0))</f>
        <v/>
      </c>
      <c r="Z470">
        <f>IF($A470="","",IF(AND($B470&gt;0,M470&lt;$B470,DATE($B$1,11,1)&lt;=TODAY(),OR($O470="",$O470&gt;=DATE($B$1,11,1)),OR(COUNTIF($C470:M470,"&gt;0")&gt;0,DATE($B$1,11,1)=DATE(YEAR(TODAY()),MONTH(TODAY()),1))),1,0))</f>
        <v/>
      </c>
      <c r="AA470">
        <f>IF($A470="","",IF(AND($B470&gt;0,N470&lt;$B470,DATE($B$1,12,1)&lt;=TODAY(),OR($O470="",$O470&gt;=DATE($B$1,12,1)),OR(COUNTIF($C470:N470,"&gt;0")&gt;0,DATE($B$1,12,1)=DATE(YEAR(TODAY()),MONTH(TODAY()),1))),1,0))</f>
        <v/>
      </c>
    </row>
    <row r="471">
      <c r="A471" s="13">
        <f>IF(원생!$A469="","",원생!$A469&amp;IF(원생!$G469="",""," ("&amp;원생!$G469&amp;")"))</f>
        <v/>
      </c>
      <c r="B471" s="8">
        <f>IF(원생!$A469="","",원생!$F469)</f>
        <v/>
      </c>
      <c r="C471" s="14">
        <f>IF(원생!$A469="","",SUMIFS(수납!$F:$F,수납!$C:$C,원생!$A469,수납!$D:$D,IF(원생!$G469="","",원생!$G469),수납!$B:$B,$B$1&amp;"-"&amp;TEXT(1,"00")&amp;"*",수납!$E:$E,"수강료")+SUMIFS(수납!$F:$F,수납!$C:$C,원생!$A469,수납!$D:$D,IF(원생!$G469="","",원생!$G469),수납!$B:$B,$B$1&amp;"-"&amp;TEXT(1,"00")&amp;"*",수납!$E:$E,""))</f>
        <v/>
      </c>
      <c r="D471" s="14">
        <f>IF(원생!$A469="","",SUMIFS(수납!$F:$F,수납!$C:$C,원생!$A469,수납!$D:$D,IF(원생!$G469="","",원생!$G469),수납!$B:$B,$B$1&amp;"-"&amp;TEXT(2,"00")&amp;"*",수납!$E:$E,"수강료")+SUMIFS(수납!$F:$F,수납!$C:$C,원생!$A469,수납!$D:$D,IF(원생!$G469="","",원생!$G469),수납!$B:$B,$B$1&amp;"-"&amp;TEXT(2,"00")&amp;"*",수납!$E:$E,""))</f>
        <v/>
      </c>
      <c r="E471" s="14">
        <f>IF(원생!$A469="","",SUMIFS(수납!$F:$F,수납!$C:$C,원생!$A469,수납!$D:$D,IF(원생!$G469="","",원생!$G469),수납!$B:$B,$B$1&amp;"-"&amp;TEXT(3,"00")&amp;"*",수납!$E:$E,"수강료")+SUMIFS(수납!$F:$F,수납!$C:$C,원생!$A469,수납!$D:$D,IF(원생!$G469="","",원생!$G469),수납!$B:$B,$B$1&amp;"-"&amp;TEXT(3,"00")&amp;"*",수납!$E:$E,""))</f>
        <v/>
      </c>
      <c r="F471" s="14">
        <f>IF(원생!$A469="","",SUMIFS(수납!$F:$F,수납!$C:$C,원생!$A469,수납!$D:$D,IF(원생!$G469="","",원생!$G469),수납!$B:$B,$B$1&amp;"-"&amp;TEXT(4,"00")&amp;"*",수납!$E:$E,"수강료")+SUMIFS(수납!$F:$F,수납!$C:$C,원생!$A469,수납!$D:$D,IF(원생!$G469="","",원생!$G469),수납!$B:$B,$B$1&amp;"-"&amp;TEXT(4,"00")&amp;"*",수납!$E:$E,""))</f>
        <v/>
      </c>
      <c r="G471" s="14">
        <f>IF(원생!$A469="","",SUMIFS(수납!$F:$F,수납!$C:$C,원생!$A469,수납!$D:$D,IF(원생!$G469="","",원생!$G469),수납!$B:$B,$B$1&amp;"-"&amp;TEXT(5,"00")&amp;"*",수납!$E:$E,"수강료")+SUMIFS(수납!$F:$F,수납!$C:$C,원생!$A469,수납!$D:$D,IF(원생!$G469="","",원생!$G469),수납!$B:$B,$B$1&amp;"-"&amp;TEXT(5,"00")&amp;"*",수납!$E:$E,""))</f>
        <v/>
      </c>
      <c r="H471" s="14">
        <f>IF(원생!$A469="","",SUMIFS(수납!$F:$F,수납!$C:$C,원생!$A469,수납!$D:$D,IF(원생!$G469="","",원생!$G469),수납!$B:$B,$B$1&amp;"-"&amp;TEXT(6,"00")&amp;"*",수납!$E:$E,"수강료")+SUMIFS(수납!$F:$F,수납!$C:$C,원생!$A469,수납!$D:$D,IF(원생!$G469="","",원생!$G469),수납!$B:$B,$B$1&amp;"-"&amp;TEXT(6,"00")&amp;"*",수납!$E:$E,""))</f>
        <v/>
      </c>
      <c r="I471" s="14">
        <f>IF(원생!$A469="","",SUMIFS(수납!$F:$F,수납!$C:$C,원생!$A469,수납!$D:$D,IF(원생!$G469="","",원생!$G469),수납!$B:$B,$B$1&amp;"-"&amp;TEXT(7,"00")&amp;"*",수납!$E:$E,"수강료")+SUMIFS(수납!$F:$F,수납!$C:$C,원생!$A469,수납!$D:$D,IF(원생!$G469="","",원생!$G469),수납!$B:$B,$B$1&amp;"-"&amp;TEXT(7,"00")&amp;"*",수납!$E:$E,""))</f>
        <v/>
      </c>
      <c r="J471" s="14">
        <f>IF(원생!$A469="","",SUMIFS(수납!$F:$F,수납!$C:$C,원생!$A469,수납!$D:$D,IF(원생!$G469="","",원생!$G469),수납!$B:$B,$B$1&amp;"-"&amp;TEXT(8,"00")&amp;"*",수납!$E:$E,"수강료")+SUMIFS(수납!$F:$F,수납!$C:$C,원생!$A469,수납!$D:$D,IF(원생!$G469="","",원생!$G469),수납!$B:$B,$B$1&amp;"-"&amp;TEXT(8,"00")&amp;"*",수납!$E:$E,""))</f>
        <v/>
      </c>
      <c r="K471" s="14">
        <f>IF(원생!$A469="","",SUMIFS(수납!$F:$F,수납!$C:$C,원생!$A469,수납!$D:$D,IF(원생!$G469="","",원생!$G469),수납!$B:$B,$B$1&amp;"-"&amp;TEXT(9,"00")&amp;"*",수납!$E:$E,"수강료")+SUMIFS(수납!$F:$F,수납!$C:$C,원생!$A469,수납!$D:$D,IF(원생!$G469="","",원생!$G469),수납!$B:$B,$B$1&amp;"-"&amp;TEXT(9,"00")&amp;"*",수납!$E:$E,""))</f>
        <v/>
      </c>
      <c r="L471" s="14">
        <f>IF(원생!$A469="","",SUMIFS(수납!$F:$F,수납!$C:$C,원생!$A469,수납!$D:$D,IF(원생!$G469="","",원생!$G469),수납!$B:$B,$B$1&amp;"-"&amp;TEXT(10,"00")&amp;"*",수납!$E:$E,"수강료")+SUMIFS(수납!$F:$F,수납!$C:$C,원생!$A469,수납!$D:$D,IF(원생!$G469="","",원생!$G469),수납!$B:$B,$B$1&amp;"-"&amp;TEXT(10,"00")&amp;"*",수납!$E:$E,""))</f>
        <v/>
      </c>
      <c r="M471" s="14">
        <f>IF(원생!$A469="","",SUMIFS(수납!$F:$F,수납!$C:$C,원생!$A469,수납!$D:$D,IF(원생!$G469="","",원생!$G469),수납!$B:$B,$B$1&amp;"-"&amp;TEXT(11,"00")&amp;"*",수납!$E:$E,"수강료")+SUMIFS(수납!$F:$F,수납!$C:$C,원생!$A469,수납!$D:$D,IF(원생!$G469="","",원생!$G469),수납!$B:$B,$B$1&amp;"-"&amp;TEXT(11,"00")&amp;"*",수납!$E:$E,""))</f>
        <v/>
      </c>
      <c r="N471" s="14">
        <f>IF(원생!$A469="","",SUMIFS(수납!$F:$F,수납!$C:$C,원생!$A469,수납!$D:$D,IF(원생!$G469="","",원생!$G469),수납!$B:$B,$B$1&amp;"-"&amp;TEXT(12,"00")&amp;"*",수납!$E:$E,"수강료")+SUMIFS(수납!$F:$F,수납!$C:$C,원생!$A469,수납!$D:$D,IF(원생!$G469="","",원생!$G469),수납!$B:$B,$B$1&amp;"-"&amp;TEXT(12,"00")&amp;"*",수납!$E:$E,""))</f>
        <v/>
      </c>
      <c r="O471">
        <f>IF(원생!$I469="","",원생!$I469)</f>
        <v/>
      </c>
      <c r="P471">
        <f>IF($A471="","",IF(AND($B471&gt;0,C471&lt;$B471,DATE($B$1,1,1)&lt;=TODAY(),OR($O471="",$O471&gt;=DATE($B$1,1,1)),OR(COUNTIF($C471:C471,"&gt;0")&gt;0,DATE($B$1,1,1)=DATE(YEAR(TODAY()),MONTH(TODAY()),1))),1,0))</f>
        <v/>
      </c>
      <c r="Q471">
        <f>IF($A471="","",IF(AND($B471&gt;0,D471&lt;$B471,DATE($B$1,2,1)&lt;=TODAY(),OR($O471="",$O471&gt;=DATE($B$1,2,1)),OR(COUNTIF($C471:D471,"&gt;0")&gt;0,DATE($B$1,2,1)=DATE(YEAR(TODAY()),MONTH(TODAY()),1))),1,0))</f>
        <v/>
      </c>
      <c r="R471">
        <f>IF($A471="","",IF(AND($B471&gt;0,E471&lt;$B471,DATE($B$1,3,1)&lt;=TODAY(),OR($O471="",$O471&gt;=DATE($B$1,3,1)),OR(COUNTIF($C471:E471,"&gt;0")&gt;0,DATE($B$1,3,1)=DATE(YEAR(TODAY()),MONTH(TODAY()),1))),1,0))</f>
        <v/>
      </c>
      <c r="S471">
        <f>IF($A471="","",IF(AND($B471&gt;0,F471&lt;$B471,DATE($B$1,4,1)&lt;=TODAY(),OR($O471="",$O471&gt;=DATE($B$1,4,1)),OR(COUNTIF($C471:F471,"&gt;0")&gt;0,DATE($B$1,4,1)=DATE(YEAR(TODAY()),MONTH(TODAY()),1))),1,0))</f>
        <v/>
      </c>
      <c r="T471">
        <f>IF($A471="","",IF(AND($B471&gt;0,G471&lt;$B471,DATE($B$1,5,1)&lt;=TODAY(),OR($O471="",$O471&gt;=DATE($B$1,5,1)),OR(COUNTIF($C471:G471,"&gt;0")&gt;0,DATE($B$1,5,1)=DATE(YEAR(TODAY()),MONTH(TODAY()),1))),1,0))</f>
        <v/>
      </c>
      <c r="U471">
        <f>IF($A471="","",IF(AND($B471&gt;0,H471&lt;$B471,DATE($B$1,6,1)&lt;=TODAY(),OR($O471="",$O471&gt;=DATE($B$1,6,1)),OR(COUNTIF($C471:H471,"&gt;0")&gt;0,DATE($B$1,6,1)=DATE(YEAR(TODAY()),MONTH(TODAY()),1))),1,0))</f>
        <v/>
      </c>
      <c r="V471">
        <f>IF($A471="","",IF(AND($B471&gt;0,I471&lt;$B471,DATE($B$1,7,1)&lt;=TODAY(),OR($O471="",$O471&gt;=DATE($B$1,7,1)),OR(COUNTIF($C471:I471,"&gt;0")&gt;0,DATE($B$1,7,1)=DATE(YEAR(TODAY()),MONTH(TODAY()),1))),1,0))</f>
        <v/>
      </c>
      <c r="W471">
        <f>IF($A471="","",IF(AND($B471&gt;0,J471&lt;$B471,DATE($B$1,8,1)&lt;=TODAY(),OR($O471="",$O471&gt;=DATE($B$1,8,1)),OR(COUNTIF($C471:J471,"&gt;0")&gt;0,DATE($B$1,8,1)=DATE(YEAR(TODAY()),MONTH(TODAY()),1))),1,0))</f>
        <v/>
      </c>
      <c r="X471">
        <f>IF($A471="","",IF(AND($B471&gt;0,K471&lt;$B471,DATE($B$1,9,1)&lt;=TODAY(),OR($O471="",$O471&gt;=DATE($B$1,9,1)),OR(COUNTIF($C471:K471,"&gt;0")&gt;0,DATE($B$1,9,1)=DATE(YEAR(TODAY()),MONTH(TODAY()),1))),1,0))</f>
        <v/>
      </c>
      <c r="Y471">
        <f>IF($A471="","",IF(AND($B471&gt;0,L471&lt;$B471,DATE($B$1,10,1)&lt;=TODAY(),OR($O471="",$O471&gt;=DATE($B$1,10,1)),OR(COUNTIF($C471:L471,"&gt;0")&gt;0,DATE($B$1,10,1)=DATE(YEAR(TODAY()),MONTH(TODAY()),1))),1,0))</f>
        <v/>
      </c>
      <c r="Z471">
        <f>IF($A471="","",IF(AND($B471&gt;0,M471&lt;$B471,DATE($B$1,11,1)&lt;=TODAY(),OR($O471="",$O471&gt;=DATE($B$1,11,1)),OR(COUNTIF($C471:M471,"&gt;0")&gt;0,DATE($B$1,11,1)=DATE(YEAR(TODAY()),MONTH(TODAY()),1))),1,0))</f>
        <v/>
      </c>
      <c r="AA471">
        <f>IF($A471="","",IF(AND($B471&gt;0,N471&lt;$B471,DATE($B$1,12,1)&lt;=TODAY(),OR($O471="",$O471&gt;=DATE($B$1,12,1)),OR(COUNTIF($C471:N471,"&gt;0")&gt;0,DATE($B$1,12,1)=DATE(YEAR(TODAY()),MONTH(TODAY()),1))),1,0))</f>
        <v/>
      </c>
    </row>
    <row r="472">
      <c r="A472" s="13">
        <f>IF(원생!$A470="","",원생!$A470&amp;IF(원생!$G470="",""," ("&amp;원생!$G470&amp;")"))</f>
        <v/>
      </c>
      <c r="B472" s="8">
        <f>IF(원생!$A470="","",원생!$F470)</f>
        <v/>
      </c>
      <c r="C472" s="14">
        <f>IF(원생!$A470="","",SUMIFS(수납!$F:$F,수납!$C:$C,원생!$A470,수납!$D:$D,IF(원생!$G470="","",원생!$G470),수납!$B:$B,$B$1&amp;"-"&amp;TEXT(1,"00")&amp;"*",수납!$E:$E,"수강료")+SUMIFS(수납!$F:$F,수납!$C:$C,원생!$A470,수납!$D:$D,IF(원생!$G470="","",원생!$G470),수납!$B:$B,$B$1&amp;"-"&amp;TEXT(1,"00")&amp;"*",수납!$E:$E,""))</f>
        <v/>
      </c>
      <c r="D472" s="14">
        <f>IF(원생!$A470="","",SUMIFS(수납!$F:$F,수납!$C:$C,원생!$A470,수납!$D:$D,IF(원생!$G470="","",원생!$G470),수납!$B:$B,$B$1&amp;"-"&amp;TEXT(2,"00")&amp;"*",수납!$E:$E,"수강료")+SUMIFS(수납!$F:$F,수납!$C:$C,원생!$A470,수납!$D:$D,IF(원생!$G470="","",원생!$G470),수납!$B:$B,$B$1&amp;"-"&amp;TEXT(2,"00")&amp;"*",수납!$E:$E,""))</f>
        <v/>
      </c>
      <c r="E472" s="14">
        <f>IF(원생!$A470="","",SUMIFS(수납!$F:$F,수납!$C:$C,원생!$A470,수납!$D:$D,IF(원생!$G470="","",원생!$G470),수납!$B:$B,$B$1&amp;"-"&amp;TEXT(3,"00")&amp;"*",수납!$E:$E,"수강료")+SUMIFS(수납!$F:$F,수납!$C:$C,원생!$A470,수납!$D:$D,IF(원생!$G470="","",원생!$G470),수납!$B:$B,$B$1&amp;"-"&amp;TEXT(3,"00")&amp;"*",수납!$E:$E,""))</f>
        <v/>
      </c>
      <c r="F472" s="14">
        <f>IF(원생!$A470="","",SUMIFS(수납!$F:$F,수납!$C:$C,원생!$A470,수납!$D:$D,IF(원생!$G470="","",원생!$G470),수납!$B:$B,$B$1&amp;"-"&amp;TEXT(4,"00")&amp;"*",수납!$E:$E,"수강료")+SUMIFS(수납!$F:$F,수납!$C:$C,원생!$A470,수납!$D:$D,IF(원생!$G470="","",원생!$G470),수납!$B:$B,$B$1&amp;"-"&amp;TEXT(4,"00")&amp;"*",수납!$E:$E,""))</f>
        <v/>
      </c>
      <c r="G472" s="14">
        <f>IF(원생!$A470="","",SUMIFS(수납!$F:$F,수납!$C:$C,원생!$A470,수납!$D:$D,IF(원생!$G470="","",원생!$G470),수납!$B:$B,$B$1&amp;"-"&amp;TEXT(5,"00")&amp;"*",수납!$E:$E,"수강료")+SUMIFS(수납!$F:$F,수납!$C:$C,원생!$A470,수납!$D:$D,IF(원생!$G470="","",원생!$G470),수납!$B:$B,$B$1&amp;"-"&amp;TEXT(5,"00")&amp;"*",수납!$E:$E,""))</f>
        <v/>
      </c>
      <c r="H472" s="14">
        <f>IF(원생!$A470="","",SUMIFS(수납!$F:$F,수납!$C:$C,원생!$A470,수납!$D:$D,IF(원생!$G470="","",원생!$G470),수납!$B:$B,$B$1&amp;"-"&amp;TEXT(6,"00")&amp;"*",수납!$E:$E,"수강료")+SUMIFS(수납!$F:$F,수납!$C:$C,원생!$A470,수납!$D:$D,IF(원생!$G470="","",원생!$G470),수납!$B:$B,$B$1&amp;"-"&amp;TEXT(6,"00")&amp;"*",수납!$E:$E,""))</f>
        <v/>
      </c>
      <c r="I472" s="14">
        <f>IF(원생!$A470="","",SUMIFS(수납!$F:$F,수납!$C:$C,원생!$A470,수납!$D:$D,IF(원생!$G470="","",원생!$G470),수납!$B:$B,$B$1&amp;"-"&amp;TEXT(7,"00")&amp;"*",수납!$E:$E,"수강료")+SUMIFS(수납!$F:$F,수납!$C:$C,원생!$A470,수납!$D:$D,IF(원생!$G470="","",원생!$G470),수납!$B:$B,$B$1&amp;"-"&amp;TEXT(7,"00")&amp;"*",수납!$E:$E,""))</f>
        <v/>
      </c>
      <c r="J472" s="14">
        <f>IF(원생!$A470="","",SUMIFS(수납!$F:$F,수납!$C:$C,원생!$A470,수납!$D:$D,IF(원생!$G470="","",원생!$G470),수납!$B:$B,$B$1&amp;"-"&amp;TEXT(8,"00")&amp;"*",수납!$E:$E,"수강료")+SUMIFS(수납!$F:$F,수납!$C:$C,원생!$A470,수납!$D:$D,IF(원생!$G470="","",원생!$G470),수납!$B:$B,$B$1&amp;"-"&amp;TEXT(8,"00")&amp;"*",수납!$E:$E,""))</f>
        <v/>
      </c>
      <c r="K472" s="14">
        <f>IF(원생!$A470="","",SUMIFS(수납!$F:$F,수납!$C:$C,원생!$A470,수납!$D:$D,IF(원생!$G470="","",원생!$G470),수납!$B:$B,$B$1&amp;"-"&amp;TEXT(9,"00")&amp;"*",수납!$E:$E,"수강료")+SUMIFS(수납!$F:$F,수납!$C:$C,원생!$A470,수납!$D:$D,IF(원생!$G470="","",원생!$G470),수납!$B:$B,$B$1&amp;"-"&amp;TEXT(9,"00")&amp;"*",수납!$E:$E,""))</f>
        <v/>
      </c>
      <c r="L472" s="14">
        <f>IF(원생!$A470="","",SUMIFS(수납!$F:$F,수납!$C:$C,원생!$A470,수납!$D:$D,IF(원생!$G470="","",원생!$G470),수납!$B:$B,$B$1&amp;"-"&amp;TEXT(10,"00")&amp;"*",수납!$E:$E,"수강료")+SUMIFS(수납!$F:$F,수납!$C:$C,원생!$A470,수납!$D:$D,IF(원생!$G470="","",원생!$G470),수납!$B:$B,$B$1&amp;"-"&amp;TEXT(10,"00")&amp;"*",수납!$E:$E,""))</f>
        <v/>
      </c>
      <c r="M472" s="14">
        <f>IF(원생!$A470="","",SUMIFS(수납!$F:$F,수납!$C:$C,원생!$A470,수납!$D:$D,IF(원생!$G470="","",원생!$G470),수납!$B:$B,$B$1&amp;"-"&amp;TEXT(11,"00")&amp;"*",수납!$E:$E,"수강료")+SUMIFS(수납!$F:$F,수납!$C:$C,원생!$A470,수납!$D:$D,IF(원생!$G470="","",원생!$G470),수납!$B:$B,$B$1&amp;"-"&amp;TEXT(11,"00")&amp;"*",수납!$E:$E,""))</f>
        <v/>
      </c>
      <c r="N472" s="14">
        <f>IF(원생!$A470="","",SUMIFS(수납!$F:$F,수납!$C:$C,원생!$A470,수납!$D:$D,IF(원생!$G470="","",원생!$G470),수납!$B:$B,$B$1&amp;"-"&amp;TEXT(12,"00")&amp;"*",수납!$E:$E,"수강료")+SUMIFS(수납!$F:$F,수납!$C:$C,원생!$A470,수납!$D:$D,IF(원생!$G470="","",원생!$G470),수납!$B:$B,$B$1&amp;"-"&amp;TEXT(12,"00")&amp;"*",수납!$E:$E,""))</f>
        <v/>
      </c>
      <c r="O472">
        <f>IF(원생!$I470="","",원생!$I470)</f>
        <v/>
      </c>
      <c r="P472">
        <f>IF($A472="","",IF(AND($B472&gt;0,C472&lt;$B472,DATE($B$1,1,1)&lt;=TODAY(),OR($O472="",$O472&gt;=DATE($B$1,1,1)),OR(COUNTIF($C472:C472,"&gt;0")&gt;0,DATE($B$1,1,1)=DATE(YEAR(TODAY()),MONTH(TODAY()),1))),1,0))</f>
        <v/>
      </c>
      <c r="Q472">
        <f>IF($A472="","",IF(AND($B472&gt;0,D472&lt;$B472,DATE($B$1,2,1)&lt;=TODAY(),OR($O472="",$O472&gt;=DATE($B$1,2,1)),OR(COUNTIF($C472:D472,"&gt;0")&gt;0,DATE($B$1,2,1)=DATE(YEAR(TODAY()),MONTH(TODAY()),1))),1,0))</f>
        <v/>
      </c>
      <c r="R472">
        <f>IF($A472="","",IF(AND($B472&gt;0,E472&lt;$B472,DATE($B$1,3,1)&lt;=TODAY(),OR($O472="",$O472&gt;=DATE($B$1,3,1)),OR(COUNTIF($C472:E472,"&gt;0")&gt;0,DATE($B$1,3,1)=DATE(YEAR(TODAY()),MONTH(TODAY()),1))),1,0))</f>
        <v/>
      </c>
      <c r="S472">
        <f>IF($A472="","",IF(AND($B472&gt;0,F472&lt;$B472,DATE($B$1,4,1)&lt;=TODAY(),OR($O472="",$O472&gt;=DATE($B$1,4,1)),OR(COUNTIF($C472:F472,"&gt;0")&gt;0,DATE($B$1,4,1)=DATE(YEAR(TODAY()),MONTH(TODAY()),1))),1,0))</f>
        <v/>
      </c>
      <c r="T472">
        <f>IF($A472="","",IF(AND($B472&gt;0,G472&lt;$B472,DATE($B$1,5,1)&lt;=TODAY(),OR($O472="",$O472&gt;=DATE($B$1,5,1)),OR(COUNTIF($C472:G472,"&gt;0")&gt;0,DATE($B$1,5,1)=DATE(YEAR(TODAY()),MONTH(TODAY()),1))),1,0))</f>
        <v/>
      </c>
      <c r="U472">
        <f>IF($A472="","",IF(AND($B472&gt;0,H472&lt;$B472,DATE($B$1,6,1)&lt;=TODAY(),OR($O472="",$O472&gt;=DATE($B$1,6,1)),OR(COUNTIF($C472:H472,"&gt;0")&gt;0,DATE($B$1,6,1)=DATE(YEAR(TODAY()),MONTH(TODAY()),1))),1,0))</f>
        <v/>
      </c>
      <c r="V472">
        <f>IF($A472="","",IF(AND($B472&gt;0,I472&lt;$B472,DATE($B$1,7,1)&lt;=TODAY(),OR($O472="",$O472&gt;=DATE($B$1,7,1)),OR(COUNTIF($C472:I472,"&gt;0")&gt;0,DATE($B$1,7,1)=DATE(YEAR(TODAY()),MONTH(TODAY()),1))),1,0))</f>
        <v/>
      </c>
      <c r="W472">
        <f>IF($A472="","",IF(AND($B472&gt;0,J472&lt;$B472,DATE($B$1,8,1)&lt;=TODAY(),OR($O472="",$O472&gt;=DATE($B$1,8,1)),OR(COUNTIF($C472:J472,"&gt;0")&gt;0,DATE($B$1,8,1)=DATE(YEAR(TODAY()),MONTH(TODAY()),1))),1,0))</f>
        <v/>
      </c>
      <c r="X472">
        <f>IF($A472="","",IF(AND($B472&gt;0,K472&lt;$B472,DATE($B$1,9,1)&lt;=TODAY(),OR($O472="",$O472&gt;=DATE($B$1,9,1)),OR(COUNTIF($C472:K472,"&gt;0")&gt;0,DATE($B$1,9,1)=DATE(YEAR(TODAY()),MONTH(TODAY()),1))),1,0))</f>
        <v/>
      </c>
      <c r="Y472">
        <f>IF($A472="","",IF(AND($B472&gt;0,L472&lt;$B472,DATE($B$1,10,1)&lt;=TODAY(),OR($O472="",$O472&gt;=DATE($B$1,10,1)),OR(COUNTIF($C472:L472,"&gt;0")&gt;0,DATE($B$1,10,1)=DATE(YEAR(TODAY()),MONTH(TODAY()),1))),1,0))</f>
        <v/>
      </c>
      <c r="Z472">
        <f>IF($A472="","",IF(AND($B472&gt;0,M472&lt;$B472,DATE($B$1,11,1)&lt;=TODAY(),OR($O472="",$O472&gt;=DATE($B$1,11,1)),OR(COUNTIF($C472:M472,"&gt;0")&gt;0,DATE($B$1,11,1)=DATE(YEAR(TODAY()),MONTH(TODAY()),1))),1,0))</f>
        <v/>
      </c>
      <c r="AA472">
        <f>IF($A472="","",IF(AND($B472&gt;0,N472&lt;$B472,DATE($B$1,12,1)&lt;=TODAY(),OR($O472="",$O472&gt;=DATE($B$1,12,1)),OR(COUNTIF($C472:N472,"&gt;0")&gt;0,DATE($B$1,12,1)=DATE(YEAR(TODAY()),MONTH(TODAY()),1))),1,0))</f>
        <v/>
      </c>
    </row>
    <row r="473">
      <c r="A473" s="13">
        <f>IF(원생!$A471="","",원생!$A471&amp;IF(원생!$G471="",""," ("&amp;원생!$G471&amp;")"))</f>
        <v/>
      </c>
      <c r="B473" s="8">
        <f>IF(원생!$A471="","",원생!$F471)</f>
        <v/>
      </c>
      <c r="C473" s="14">
        <f>IF(원생!$A471="","",SUMIFS(수납!$F:$F,수납!$C:$C,원생!$A471,수납!$D:$D,IF(원생!$G471="","",원생!$G471),수납!$B:$B,$B$1&amp;"-"&amp;TEXT(1,"00")&amp;"*",수납!$E:$E,"수강료")+SUMIFS(수납!$F:$F,수납!$C:$C,원생!$A471,수납!$D:$D,IF(원생!$G471="","",원생!$G471),수납!$B:$B,$B$1&amp;"-"&amp;TEXT(1,"00")&amp;"*",수납!$E:$E,""))</f>
        <v/>
      </c>
      <c r="D473" s="14">
        <f>IF(원생!$A471="","",SUMIFS(수납!$F:$F,수납!$C:$C,원생!$A471,수납!$D:$D,IF(원생!$G471="","",원생!$G471),수납!$B:$B,$B$1&amp;"-"&amp;TEXT(2,"00")&amp;"*",수납!$E:$E,"수강료")+SUMIFS(수납!$F:$F,수납!$C:$C,원생!$A471,수납!$D:$D,IF(원생!$G471="","",원생!$G471),수납!$B:$B,$B$1&amp;"-"&amp;TEXT(2,"00")&amp;"*",수납!$E:$E,""))</f>
        <v/>
      </c>
      <c r="E473" s="14">
        <f>IF(원생!$A471="","",SUMIFS(수납!$F:$F,수납!$C:$C,원생!$A471,수납!$D:$D,IF(원생!$G471="","",원생!$G471),수납!$B:$B,$B$1&amp;"-"&amp;TEXT(3,"00")&amp;"*",수납!$E:$E,"수강료")+SUMIFS(수납!$F:$F,수납!$C:$C,원생!$A471,수납!$D:$D,IF(원생!$G471="","",원생!$G471),수납!$B:$B,$B$1&amp;"-"&amp;TEXT(3,"00")&amp;"*",수납!$E:$E,""))</f>
        <v/>
      </c>
      <c r="F473" s="14">
        <f>IF(원생!$A471="","",SUMIFS(수납!$F:$F,수납!$C:$C,원생!$A471,수납!$D:$D,IF(원생!$G471="","",원생!$G471),수납!$B:$B,$B$1&amp;"-"&amp;TEXT(4,"00")&amp;"*",수납!$E:$E,"수강료")+SUMIFS(수납!$F:$F,수납!$C:$C,원생!$A471,수납!$D:$D,IF(원생!$G471="","",원생!$G471),수납!$B:$B,$B$1&amp;"-"&amp;TEXT(4,"00")&amp;"*",수납!$E:$E,""))</f>
        <v/>
      </c>
      <c r="G473" s="14">
        <f>IF(원생!$A471="","",SUMIFS(수납!$F:$F,수납!$C:$C,원생!$A471,수납!$D:$D,IF(원생!$G471="","",원생!$G471),수납!$B:$B,$B$1&amp;"-"&amp;TEXT(5,"00")&amp;"*",수납!$E:$E,"수강료")+SUMIFS(수납!$F:$F,수납!$C:$C,원생!$A471,수납!$D:$D,IF(원생!$G471="","",원생!$G471),수납!$B:$B,$B$1&amp;"-"&amp;TEXT(5,"00")&amp;"*",수납!$E:$E,""))</f>
        <v/>
      </c>
      <c r="H473" s="14">
        <f>IF(원생!$A471="","",SUMIFS(수납!$F:$F,수납!$C:$C,원생!$A471,수납!$D:$D,IF(원생!$G471="","",원생!$G471),수납!$B:$B,$B$1&amp;"-"&amp;TEXT(6,"00")&amp;"*",수납!$E:$E,"수강료")+SUMIFS(수납!$F:$F,수납!$C:$C,원생!$A471,수납!$D:$D,IF(원생!$G471="","",원생!$G471),수납!$B:$B,$B$1&amp;"-"&amp;TEXT(6,"00")&amp;"*",수납!$E:$E,""))</f>
        <v/>
      </c>
      <c r="I473" s="14">
        <f>IF(원생!$A471="","",SUMIFS(수납!$F:$F,수납!$C:$C,원생!$A471,수납!$D:$D,IF(원생!$G471="","",원생!$G471),수납!$B:$B,$B$1&amp;"-"&amp;TEXT(7,"00")&amp;"*",수납!$E:$E,"수강료")+SUMIFS(수납!$F:$F,수납!$C:$C,원생!$A471,수납!$D:$D,IF(원생!$G471="","",원생!$G471),수납!$B:$B,$B$1&amp;"-"&amp;TEXT(7,"00")&amp;"*",수납!$E:$E,""))</f>
        <v/>
      </c>
      <c r="J473" s="14">
        <f>IF(원생!$A471="","",SUMIFS(수납!$F:$F,수납!$C:$C,원생!$A471,수납!$D:$D,IF(원생!$G471="","",원생!$G471),수납!$B:$B,$B$1&amp;"-"&amp;TEXT(8,"00")&amp;"*",수납!$E:$E,"수강료")+SUMIFS(수납!$F:$F,수납!$C:$C,원생!$A471,수납!$D:$D,IF(원생!$G471="","",원생!$G471),수납!$B:$B,$B$1&amp;"-"&amp;TEXT(8,"00")&amp;"*",수납!$E:$E,""))</f>
        <v/>
      </c>
      <c r="K473" s="14">
        <f>IF(원생!$A471="","",SUMIFS(수납!$F:$F,수납!$C:$C,원생!$A471,수납!$D:$D,IF(원생!$G471="","",원생!$G471),수납!$B:$B,$B$1&amp;"-"&amp;TEXT(9,"00")&amp;"*",수납!$E:$E,"수강료")+SUMIFS(수납!$F:$F,수납!$C:$C,원생!$A471,수납!$D:$D,IF(원생!$G471="","",원생!$G471),수납!$B:$B,$B$1&amp;"-"&amp;TEXT(9,"00")&amp;"*",수납!$E:$E,""))</f>
        <v/>
      </c>
      <c r="L473" s="14">
        <f>IF(원생!$A471="","",SUMIFS(수납!$F:$F,수납!$C:$C,원생!$A471,수납!$D:$D,IF(원생!$G471="","",원생!$G471),수납!$B:$B,$B$1&amp;"-"&amp;TEXT(10,"00")&amp;"*",수납!$E:$E,"수강료")+SUMIFS(수납!$F:$F,수납!$C:$C,원생!$A471,수납!$D:$D,IF(원생!$G471="","",원생!$G471),수납!$B:$B,$B$1&amp;"-"&amp;TEXT(10,"00")&amp;"*",수납!$E:$E,""))</f>
        <v/>
      </c>
      <c r="M473" s="14">
        <f>IF(원생!$A471="","",SUMIFS(수납!$F:$F,수납!$C:$C,원생!$A471,수납!$D:$D,IF(원생!$G471="","",원생!$G471),수납!$B:$B,$B$1&amp;"-"&amp;TEXT(11,"00")&amp;"*",수납!$E:$E,"수강료")+SUMIFS(수납!$F:$F,수납!$C:$C,원생!$A471,수납!$D:$D,IF(원생!$G471="","",원생!$G471),수납!$B:$B,$B$1&amp;"-"&amp;TEXT(11,"00")&amp;"*",수납!$E:$E,""))</f>
        <v/>
      </c>
      <c r="N473" s="14">
        <f>IF(원생!$A471="","",SUMIFS(수납!$F:$F,수납!$C:$C,원생!$A471,수납!$D:$D,IF(원생!$G471="","",원생!$G471),수납!$B:$B,$B$1&amp;"-"&amp;TEXT(12,"00")&amp;"*",수납!$E:$E,"수강료")+SUMIFS(수납!$F:$F,수납!$C:$C,원생!$A471,수납!$D:$D,IF(원생!$G471="","",원생!$G471),수납!$B:$B,$B$1&amp;"-"&amp;TEXT(12,"00")&amp;"*",수납!$E:$E,""))</f>
        <v/>
      </c>
      <c r="O473">
        <f>IF(원생!$I471="","",원생!$I471)</f>
        <v/>
      </c>
      <c r="P473">
        <f>IF($A473="","",IF(AND($B473&gt;0,C473&lt;$B473,DATE($B$1,1,1)&lt;=TODAY(),OR($O473="",$O473&gt;=DATE($B$1,1,1)),OR(COUNTIF($C473:C473,"&gt;0")&gt;0,DATE($B$1,1,1)=DATE(YEAR(TODAY()),MONTH(TODAY()),1))),1,0))</f>
        <v/>
      </c>
      <c r="Q473">
        <f>IF($A473="","",IF(AND($B473&gt;0,D473&lt;$B473,DATE($B$1,2,1)&lt;=TODAY(),OR($O473="",$O473&gt;=DATE($B$1,2,1)),OR(COUNTIF($C473:D473,"&gt;0")&gt;0,DATE($B$1,2,1)=DATE(YEAR(TODAY()),MONTH(TODAY()),1))),1,0))</f>
        <v/>
      </c>
      <c r="R473">
        <f>IF($A473="","",IF(AND($B473&gt;0,E473&lt;$B473,DATE($B$1,3,1)&lt;=TODAY(),OR($O473="",$O473&gt;=DATE($B$1,3,1)),OR(COUNTIF($C473:E473,"&gt;0")&gt;0,DATE($B$1,3,1)=DATE(YEAR(TODAY()),MONTH(TODAY()),1))),1,0))</f>
        <v/>
      </c>
      <c r="S473">
        <f>IF($A473="","",IF(AND($B473&gt;0,F473&lt;$B473,DATE($B$1,4,1)&lt;=TODAY(),OR($O473="",$O473&gt;=DATE($B$1,4,1)),OR(COUNTIF($C473:F473,"&gt;0")&gt;0,DATE($B$1,4,1)=DATE(YEAR(TODAY()),MONTH(TODAY()),1))),1,0))</f>
        <v/>
      </c>
      <c r="T473">
        <f>IF($A473="","",IF(AND($B473&gt;0,G473&lt;$B473,DATE($B$1,5,1)&lt;=TODAY(),OR($O473="",$O473&gt;=DATE($B$1,5,1)),OR(COUNTIF($C473:G473,"&gt;0")&gt;0,DATE($B$1,5,1)=DATE(YEAR(TODAY()),MONTH(TODAY()),1))),1,0))</f>
        <v/>
      </c>
      <c r="U473">
        <f>IF($A473="","",IF(AND($B473&gt;0,H473&lt;$B473,DATE($B$1,6,1)&lt;=TODAY(),OR($O473="",$O473&gt;=DATE($B$1,6,1)),OR(COUNTIF($C473:H473,"&gt;0")&gt;0,DATE($B$1,6,1)=DATE(YEAR(TODAY()),MONTH(TODAY()),1))),1,0))</f>
        <v/>
      </c>
      <c r="V473">
        <f>IF($A473="","",IF(AND($B473&gt;0,I473&lt;$B473,DATE($B$1,7,1)&lt;=TODAY(),OR($O473="",$O473&gt;=DATE($B$1,7,1)),OR(COUNTIF($C473:I473,"&gt;0")&gt;0,DATE($B$1,7,1)=DATE(YEAR(TODAY()),MONTH(TODAY()),1))),1,0))</f>
        <v/>
      </c>
      <c r="W473">
        <f>IF($A473="","",IF(AND($B473&gt;0,J473&lt;$B473,DATE($B$1,8,1)&lt;=TODAY(),OR($O473="",$O473&gt;=DATE($B$1,8,1)),OR(COUNTIF($C473:J473,"&gt;0")&gt;0,DATE($B$1,8,1)=DATE(YEAR(TODAY()),MONTH(TODAY()),1))),1,0))</f>
        <v/>
      </c>
      <c r="X473">
        <f>IF($A473="","",IF(AND($B473&gt;0,K473&lt;$B473,DATE($B$1,9,1)&lt;=TODAY(),OR($O473="",$O473&gt;=DATE($B$1,9,1)),OR(COUNTIF($C473:K473,"&gt;0")&gt;0,DATE($B$1,9,1)=DATE(YEAR(TODAY()),MONTH(TODAY()),1))),1,0))</f>
        <v/>
      </c>
      <c r="Y473">
        <f>IF($A473="","",IF(AND($B473&gt;0,L473&lt;$B473,DATE($B$1,10,1)&lt;=TODAY(),OR($O473="",$O473&gt;=DATE($B$1,10,1)),OR(COUNTIF($C473:L473,"&gt;0")&gt;0,DATE($B$1,10,1)=DATE(YEAR(TODAY()),MONTH(TODAY()),1))),1,0))</f>
        <v/>
      </c>
      <c r="Z473">
        <f>IF($A473="","",IF(AND($B473&gt;0,M473&lt;$B473,DATE($B$1,11,1)&lt;=TODAY(),OR($O473="",$O473&gt;=DATE($B$1,11,1)),OR(COUNTIF($C473:M473,"&gt;0")&gt;0,DATE($B$1,11,1)=DATE(YEAR(TODAY()),MONTH(TODAY()),1))),1,0))</f>
        <v/>
      </c>
      <c r="AA473">
        <f>IF($A473="","",IF(AND($B473&gt;0,N473&lt;$B473,DATE($B$1,12,1)&lt;=TODAY(),OR($O473="",$O473&gt;=DATE($B$1,12,1)),OR(COUNTIF($C473:N473,"&gt;0")&gt;0,DATE($B$1,12,1)=DATE(YEAR(TODAY()),MONTH(TODAY()),1))),1,0))</f>
        <v/>
      </c>
    </row>
    <row r="474">
      <c r="A474" s="13">
        <f>IF(원생!$A472="","",원생!$A472&amp;IF(원생!$G472="",""," ("&amp;원생!$G472&amp;")"))</f>
        <v/>
      </c>
      <c r="B474" s="8">
        <f>IF(원생!$A472="","",원생!$F472)</f>
        <v/>
      </c>
      <c r="C474" s="14">
        <f>IF(원생!$A472="","",SUMIFS(수납!$F:$F,수납!$C:$C,원생!$A472,수납!$D:$D,IF(원생!$G472="","",원생!$G472),수납!$B:$B,$B$1&amp;"-"&amp;TEXT(1,"00")&amp;"*",수납!$E:$E,"수강료")+SUMIFS(수납!$F:$F,수납!$C:$C,원생!$A472,수납!$D:$D,IF(원생!$G472="","",원생!$G472),수납!$B:$B,$B$1&amp;"-"&amp;TEXT(1,"00")&amp;"*",수납!$E:$E,""))</f>
        <v/>
      </c>
      <c r="D474" s="14">
        <f>IF(원생!$A472="","",SUMIFS(수납!$F:$F,수납!$C:$C,원생!$A472,수납!$D:$D,IF(원생!$G472="","",원생!$G472),수납!$B:$B,$B$1&amp;"-"&amp;TEXT(2,"00")&amp;"*",수납!$E:$E,"수강료")+SUMIFS(수납!$F:$F,수납!$C:$C,원생!$A472,수납!$D:$D,IF(원생!$G472="","",원생!$G472),수납!$B:$B,$B$1&amp;"-"&amp;TEXT(2,"00")&amp;"*",수납!$E:$E,""))</f>
        <v/>
      </c>
      <c r="E474" s="14">
        <f>IF(원생!$A472="","",SUMIFS(수납!$F:$F,수납!$C:$C,원생!$A472,수납!$D:$D,IF(원생!$G472="","",원생!$G472),수납!$B:$B,$B$1&amp;"-"&amp;TEXT(3,"00")&amp;"*",수납!$E:$E,"수강료")+SUMIFS(수납!$F:$F,수납!$C:$C,원생!$A472,수납!$D:$D,IF(원생!$G472="","",원생!$G472),수납!$B:$B,$B$1&amp;"-"&amp;TEXT(3,"00")&amp;"*",수납!$E:$E,""))</f>
        <v/>
      </c>
      <c r="F474" s="14">
        <f>IF(원생!$A472="","",SUMIFS(수납!$F:$F,수납!$C:$C,원생!$A472,수납!$D:$D,IF(원생!$G472="","",원생!$G472),수납!$B:$B,$B$1&amp;"-"&amp;TEXT(4,"00")&amp;"*",수납!$E:$E,"수강료")+SUMIFS(수납!$F:$F,수납!$C:$C,원생!$A472,수납!$D:$D,IF(원생!$G472="","",원생!$G472),수납!$B:$B,$B$1&amp;"-"&amp;TEXT(4,"00")&amp;"*",수납!$E:$E,""))</f>
        <v/>
      </c>
      <c r="G474" s="14">
        <f>IF(원생!$A472="","",SUMIFS(수납!$F:$F,수납!$C:$C,원생!$A472,수납!$D:$D,IF(원생!$G472="","",원생!$G472),수납!$B:$B,$B$1&amp;"-"&amp;TEXT(5,"00")&amp;"*",수납!$E:$E,"수강료")+SUMIFS(수납!$F:$F,수납!$C:$C,원생!$A472,수납!$D:$D,IF(원생!$G472="","",원생!$G472),수납!$B:$B,$B$1&amp;"-"&amp;TEXT(5,"00")&amp;"*",수납!$E:$E,""))</f>
        <v/>
      </c>
      <c r="H474" s="14">
        <f>IF(원생!$A472="","",SUMIFS(수납!$F:$F,수납!$C:$C,원생!$A472,수납!$D:$D,IF(원생!$G472="","",원생!$G472),수납!$B:$B,$B$1&amp;"-"&amp;TEXT(6,"00")&amp;"*",수납!$E:$E,"수강료")+SUMIFS(수납!$F:$F,수납!$C:$C,원생!$A472,수납!$D:$D,IF(원생!$G472="","",원생!$G472),수납!$B:$B,$B$1&amp;"-"&amp;TEXT(6,"00")&amp;"*",수납!$E:$E,""))</f>
        <v/>
      </c>
      <c r="I474" s="14">
        <f>IF(원생!$A472="","",SUMIFS(수납!$F:$F,수납!$C:$C,원생!$A472,수납!$D:$D,IF(원생!$G472="","",원생!$G472),수납!$B:$B,$B$1&amp;"-"&amp;TEXT(7,"00")&amp;"*",수납!$E:$E,"수강료")+SUMIFS(수납!$F:$F,수납!$C:$C,원생!$A472,수납!$D:$D,IF(원생!$G472="","",원생!$G472),수납!$B:$B,$B$1&amp;"-"&amp;TEXT(7,"00")&amp;"*",수납!$E:$E,""))</f>
        <v/>
      </c>
      <c r="J474" s="14">
        <f>IF(원생!$A472="","",SUMIFS(수납!$F:$F,수납!$C:$C,원생!$A472,수납!$D:$D,IF(원생!$G472="","",원생!$G472),수납!$B:$B,$B$1&amp;"-"&amp;TEXT(8,"00")&amp;"*",수납!$E:$E,"수강료")+SUMIFS(수납!$F:$F,수납!$C:$C,원생!$A472,수납!$D:$D,IF(원생!$G472="","",원생!$G472),수납!$B:$B,$B$1&amp;"-"&amp;TEXT(8,"00")&amp;"*",수납!$E:$E,""))</f>
        <v/>
      </c>
      <c r="K474" s="14">
        <f>IF(원생!$A472="","",SUMIFS(수납!$F:$F,수납!$C:$C,원생!$A472,수납!$D:$D,IF(원생!$G472="","",원생!$G472),수납!$B:$B,$B$1&amp;"-"&amp;TEXT(9,"00")&amp;"*",수납!$E:$E,"수강료")+SUMIFS(수납!$F:$F,수납!$C:$C,원생!$A472,수납!$D:$D,IF(원생!$G472="","",원생!$G472),수납!$B:$B,$B$1&amp;"-"&amp;TEXT(9,"00")&amp;"*",수납!$E:$E,""))</f>
        <v/>
      </c>
      <c r="L474" s="14">
        <f>IF(원생!$A472="","",SUMIFS(수납!$F:$F,수납!$C:$C,원생!$A472,수납!$D:$D,IF(원생!$G472="","",원생!$G472),수납!$B:$B,$B$1&amp;"-"&amp;TEXT(10,"00")&amp;"*",수납!$E:$E,"수강료")+SUMIFS(수납!$F:$F,수납!$C:$C,원생!$A472,수납!$D:$D,IF(원생!$G472="","",원생!$G472),수납!$B:$B,$B$1&amp;"-"&amp;TEXT(10,"00")&amp;"*",수납!$E:$E,""))</f>
        <v/>
      </c>
      <c r="M474" s="14">
        <f>IF(원생!$A472="","",SUMIFS(수납!$F:$F,수납!$C:$C,원생!$A472,수납!$D:$D,IF(원생!$G472="","",원생!$G472),수납!$B:$B,$B$1&amp;"-"&amp;TEXT(11,"00")&amp;"*",수납!$E:$E,"수강료")+SUMIFS(수납!$F:$F,수납!$C:$C,원생!$A472,수납!$D:$D,IF(원생!$G472="","",원생!$G472),수납!$B:$B,$B$1&amp;"-"&amp;TEXT(11,"00")&amp;"*",수납!$E:$E,""))</f>
        <v/>
      </c>
      <c r="N474" s="14">
        <f>IF(원생!$A472="","",SUMIFS(수납!$F:$F,수납!$C:$C,원생!$A472,수납!$D:$D,IF(원생!$G472="","",원생!$G472),수납!$B:$B,$B$1&amp;"-"&amp;TEXT(12,"00")&amp;"*",수납!$E:$E,"수강료")+SUMIFS(수납!$F:$F,수납!$C:$C,원생!$A472,수납!$D:$D,IF(원생!$G472="","",원생!$G472),수납!$B:$B,$B$1&amp;"-"&amp;TEXT(12,"00")&amp;"*",수납!$E:$E,""))</f>
        <v/>
      </c>
      <c r="O474">
        <f>IF(원생!$I472="","",원생!$I472)</f>
        <v/>
      </c>
      <c r="P474">
        <f>IF($A474="","",IF(AND($B474&gt;0,C474&lt;$B474,DATE($B$1,1,1)&lt;=TODAY(),OR($O474="",$O474&gt;=DATE($B$1,1,1)),OR(COUNTIF($C474:C474,"&gt;0")&gt;0,DATE($B$1,1,1)=DATE(YEAR(TODAY()),MONTH(TODAY()),1))),1,0))</f>
        <v/>
      </c>
      <c r="Q474">
        <f>IF($A474="","",IF(AND($B474&gt;0,D474&lt;$B474,DATE($B$1,2,1)&lt;=TODAY(),OR($O474="",$O474&gt;=DATE($B$1,2,1)),OR(COUNTIF($C474:D474,"&gt;0")&gt;0,DATE($B$1,2,1)=DATE(YEAR(TODAY()),MONTH(TODAY()),1))),1,0))</f>
        <v/>
      </c>
      <c r="R474">
        <f>IF($A474="","",IF(AND($B474&gt;0,E474&lt;$B474,DATE($B$1,3,1)&lt;=TODAY(),OR($O474="",$O474&gt;=DATE($B$1,3,1)),OR(COUNTIF($C474:E474,"&gt;0")&gt;0,DATE($B$1,3,1)=DATE(YEAR(TODAY()),MONTH(TODAY()),1))),1,0))</f>
        <v/>
      </c>
      <c r="S474">
        <f>IF($A474="","",IF(AND($B474&gt;0,F474&lt;$B474,DATE($B$1,4,1)&lt;=TODAY(),OR($O474="",$O474&gt;=DATE($B$1,4,1)),OR(COUNTIF($C474:F474,"&gt;0")&gt;0,DATE($B$1,4,1)=DATE(YEAR(TODAY()),MONTH(TODAY()),1))),1,0))</f>
        <v/>
      </c>
      <c r="T474">
        <f>IF($A474="","",IF(AND($B474&gt;0,G474&lt;$B474,DATE($B$1,5,1)&lt;=TODAY(),OR($O474="",$O474&gt;=DATE($B$1,5,1)),OR(COUNTIF($C474:G474,"&gt;0")&gt;0,DATE($B$1,5,1)=DATE(YEAR(TODAY()),MONTH(TODAY()),1))),1,0))</f>
        <v/>
      </c>
      <c r="U474">
        <f>IF($A474="","",IF(AND($B474&gt;0,H474&lt;$B474,DATE($B$1,6,1)&lt;=TODAY(),OR($O474="",$O474&gt;=DATE($B$1,6,1)),OR(COUNTIF($C474:H474,"&gt;0")&gt;0,DATE($B$1,6,1)=DATE(YEAR(TODAY()),MONTH(TODAY()),1))),1,0))</f>
        <v/>
      </c>
      <c r="V474">
        <f>IF($A474="","",IF(AND($B474&gt;0,I474&lt;$B474,DATE($B$1,7,1)&lt;=TODAY(),OR($O474="",$O474&gt;=DATE($B$1,7,1)),OR(COUNTIF($C474:I474,"&gt;0")&gt;0,DATE($B$1,7,1)=DATE(YEAR(TODAY()),MONTH(TODAY()),1))),1,0))</f>
        <v/>
      </c>
      <c r="W474">
        <f>IF($A474="","",IF(AND($B474&gt;0,J474&lt;$B474,DATE($B$1,8,1)&lt;=TODAY(),OR($O474="",$O474&gt;=DATE($B$1,8,1)),OR(COUNTIF($C474:J474,"&gt;0")&gt;0,DATE($B$1,8,1)=DATE(YEAR(TODAY()),MONTH(TODAY()),1))),1,0))</f>
        <v/>
      </c>
      <c r="X474">
        <f>IF($A474="","",IF(AND($B474&gt;0,K474&lt;$B474,DATE($B$1,9,1)&lt;=TODAY(),OR($O474="",$O474&gt;=DATE($B$1,9,1)),OR(COUNTIF($C474:K474,"&gt;0")&gt;0,DATE($B$1,9,1)=DATE(YEAR(TODAY()),MONTH(TODAY()),1))),1,0))</f>
        <v/>
      </c>
      <c r="Y474">
        <f>IF($A474="","",IF(AND($B474&gt;0,L474&lt;$B474,DATE($B$1,10,1)&lt;=TODAY(),OR($O474="",$O474&gt;=DATE($B$1,10,1)),OR(COUNTIF($C474:L474,"&gt;0")&gt;0,DATE($B$1,10,1)=DATE(YEAR(TODAY()),MONTH(TODAY()),1))),1,0))</f>
        <v/>
      </c>
      <c r="Z474">
        <f>IF($A474="","",IF(AND($B474&gt;0,M474&lt;$B474,DATE($B$1,11,1)&lt;=TODAY(),OR($O474="",$O474&gt;=DATE($B$1,11,1)),OR(COUNTIF($C474:M474,"&gt;0")&gt;0,DATE($B$1,11,1)=DATE(YEAR(TODAY()),MONTH(TODAY()),1))),1,0))</f>
        <v/>
      </c>
      <c r="AA474">
        <f>IF($A474="","",IF(AND($B474&gt;0,N474&lt;$B474,DATE($B$1,12,1)&lt;=TODAY(),OR($O474="",$O474&gt;=DATE($B$1,12,1)),OR(COUNTIF($C474:N474,"&gt;0")&gt;0,DATE($B$1,12,1)=DATE(YEAR(TODAY()),MONTH(TODAY()),1))),1,0))</f>
        <v/>
      </c>
    </row>
    <row r="475">
      <c r="A475" s="13">
        <f>IF(원생!$A473="","",원생!$A473&amp;IF(원생!$G473="",""," ("&amp;원생!$G473&amp;")"))</f>
        <v/>
      </c>
      <c r="B475" s="8">
        <f>IF(원생!$A473="","",원생!$F473)</f>
        <v/>
      </c>
      <c r="C475" s="14">
        <f>IF(원생!$A473="","",SUMIFS(수납!$F:$F,수납!$C:$C,원생!$A473,수납!$D:$D,IF(원생!$G473="","",원생!$G473),수납!$B:$B,$B$1&amp;"-"&amp;TEXT(1,"00")&amp;"*",수납!$E:$E,"수강료")+SUMIFS(수납!$F:$F,수납!$C:$C,원생!$A473,수납!$D:$D,IF(원생!$G473="","",원생!$G473),수납!$B:$B,$B$1&amp;"-"&amp;TEXT(1,"00")&amp;"*",수납!$E:$E,""))</f>
        <v/>
      </c>
      <c r="D475" s="14">
        <f>IF(원생!$A473="","",SUMIFS(수납!$F:$F,수납!$C:$C,원생!$A473,수납!$D:$D,IF(원생!$G473="","",원생!$G473),수납!$B:$B,$B$1&amp;"-"&amp;TEXT(2,"00")&amp;"*",수납!$E:$E,"수강료")+SUMIFS(수납!$F:$F,수납!$C:$C,원생!$A473,수납!$D:$D,IF(원생!$G473="","",원생!$G473),수납!$B:$B,$B$1&amp;"-"&amp;TEXT(2,"00")&amp;"*",수납!$E:$E,""))</f>
        <v/>
      </c>
      <c r="E475" s="14">
        <f>IF(원생!$A473="","",SUMIFS(수납!$F:$F,수납!$C:$C,원생!$A473,수납!$D:$D,IF(원생!$G473="","",원생!$G473),수납!$B:$B,$B$1&amp;"-"&amp;TEXT(3,"00")&amp;"*",수납!$E:$E,"수강료")+SUMIFS(수납!$F:$F,수납!$C:$C,원생!$A473,수납!$D:$D,IF(원생!$G473="","",원생!$G473),수납!$B:$B,$B$1&amp;"-"&amp;TEXT(3,"00")&amp;"*",수납!$E:$E,""))</f>
        <v/>
      </c>
      <c r="F475" s="14">
        <f>IF(원생!$A473="","",SUMIFS(수납!$F:$F,수납!$C:$C,원생!$A473,수납!$D:$D,IF(원생!$G473="","",원생!$G473),수납!$B:$B,$B$1&amp;"-"&amp;TEXT(4,"00")&amp;"*",수납!$E:$E,"수강료")+SUMIFS(수납!$F:$F,수납!$C:$C,원생!$A473,수납!$D:$D,IF(원생!$G473="","",원생!$G473),수납!$B:$B,$B$1&amp;"-"&amp;TEXT(4,"00")&amp;"*",수납!$E:$E,""))</f>
        <v/>
      </c>
      <c r="G475" s="14">
        <f>IF(원생!$A473="","",SUMIFS(수납!$F:$F,수납!$C:$C,원생!$A473,수납!$D:$D,IF(원생!$G473="","",원생!$G473),수납!$B:$B,$B$1&amp;"-"&amp;TEXT(5,"00")&amp;"*",수납!$E:$E,"수강료")+SUMIFS(수납!$F:$F,수납!$C:$C,원생!$A473,수납!$D:$D,IF(원생!$G473="","",원생!$G473),수납!$B:$B,$B$1&amp;"-"&amp;TEXT(5,"00")&amp;"*",수납!$E:$E,""))</f>
        <v/>
      </c>
      <c r="H475" s="14">
        <f>IF(원생!$A473="","",SUMIFS(수납!$F:$F,수납!$C:$C,원생!$A473,수납!$D:$D,IF(원생!$G473="","",원생!$G473),수납!$B:$B,$B$1&amp;"-"&amp;TEXT(6,"00")&amp;"*",수납!$E:$E,"수강료")+SUMIFS(수납!$F:$F,수납!$C:$C,원생!$A473,수납!$D:$D,IF(원생!$G473="","",원생!$G473),수납!$B:$B,$B$1&amp;"-"&amp;TEXT(6,"00")&amp;"*",수납!$E:$E,""))</f>
        <v/>
      </c>
      <c r="I475" s="14">
        <f>IF(원생!$A473="","",SUMIFS(수납!$F:$F,수납!$C:$C,원생!$A473,수납!$D:$D,IF(원생!$G473="","",원생!$G473),수납!$B:$B,$B$1&amp;"-"&amp;TEXT(7,"00")&amp;"*",수납!$E:$E,"수강료")+SUMIFS(수납!$F:$F,수납!$C:$C,원생!$A473,수납!$D:$D,IF(원생!$G473="","",원생!$G473),수납!$B:$B,$B$1&amp;"-"&amp;TEXT(7,"00")&amp;"*",수납!$E:$E,""))</f>
        <v/>
      </c>
      <c r="J475" s="14">
        <f>IF(원생!$A473="","",SUMIFS(수납!$F:$F,수납!$C:$C,원생!$A473,수납!$D:$D,IF(원생!$G473="","",원생!$G473),수납!$B:$B,$B$1&amp;"-"&amp;TEXT(8,"00")&amp;"*",수납!$E:$E,"수강료")+SUMIFS(수납!$F:$F,수납!$C:$C,원생!$A473,수납!$D:$D,IF(원생!$G473="","",원생!$G473),수납!$B:$B,$B$1&amp;"-"&amp;TEXT(8,"00")&amp;"*",수납!$E:$E,""))</f>
        <v/>
      </c>
      <c r="K475" s="14">
        <f>IF(원생!$A473="","",SUMIFS(수납!$F:$F,수납!$C:$C,원생!$A473,수납!$D:$D,IF(원생!$G473="","",원생!$G473),수납!$B:$B,$B$1&amp;"-"&amp;TEXT(9,"00")&amp;"*",수납!$E:$E,"수강료")+SUMIFS(수납!$F:$F,수납!$C:$C,원생!$A473,수납!$D:$D,IF(원생!$G473="","",원생!$G473),수납!$B:$B,$B$1&amp;"-"&amp;TEXT(9,"00")&amp;"*",수납!$E:$E,""))</f>
        <v/>
      </c>
      <c r="L475" s="14">
        <f>IF(원생!$A473="","",SUMIFS(수납!$F:$F,수납!$C:$C,원생!$A473,수납!$D:$D,IF(원생!$G473="","",원생!$G473),수납!$B:$B,$B$1&amp;"-"&amp;TEXT(10,"00")&amp;"*",수납!$E:$E,"수강료")+SUMIFS(수납!$F:$F,수납!$C:$C,원생!$A473,수납!$D:$D,IF(원생!$G473="","",원생!$G473),수납!$B:$B,$B$1&amp;"-"&amp;TEXT(10,"00")&amp;"*",수납!$E:$E,""))</f>
        <v/>
      </c>
      <c r="M475" s="14">
        <f>IF(원생!$A473="","",SUMIFS(수납!$F:$F,수납!$C:$C,원생!$A473,수납!$D:$D,IF(원생!$G473="","",원생!$G473),수납!$B:$B,$B$1&amp;"-"&amp;TEXT(11,"00")&amp;"*",수납!$E:$E,"수강료")+SUMIFS(수납!$F:$F,수납!$C:$C,원생!$A473,수납!$D:$D,IF(원생!$G473="","",원생!$G473),수납!$B:$B,$B$1&amp;"-"&amp;TEXT(11,"00")&amp;"*",수납!$E:$E,""))</f>
        <v/>
      </c>
      <c r="N475" s="14">
        <f>IF(원생!$A473="","",SUMIFS(수납!$F:$F,수납!$C:$C,원생!$A473,수납!$D:$D,IF(원생!$G473="","",원생!$G473),수납!$B:$B,$B$1&amp;"-"&amp;TEXT(12,"00")&amp;"*",수납!$E:$E,"수강료")+SUMIFS(수납!$F:$F,수납!$C:$C,원생!$A473,수납!$D:$D,IF(원생!$G473="","",원생!$G473),수납!$B:$B,$B$1&amp;"-"&amp;TEXT(12,"00")&amp;"*",수납!$E:$E,""))</f>
        <v/>
      </c>
      <c r="O475">
        <f>IF(원생!$I473="","",원생!$I473)</f>
        <v/>
      </c>
      <c r="P475">
        <f>IF($A475="","",IF(AND($B475&gt;0,C475&lt;$B475,DATE($B$1,1,1)&lt;=TODAY(),OR($O475="",$O475&gt;=DATE($B$1,1,1)),OR(COUNTIF($C475:C475,"&gt;0")&gt;0,DATE($B$1,1,1)=DATE(YEAR(TODAY()),MONTH(TODAY()),1))),1,0))</f>
        <v/>
      </c>
      <c r="Q475">
        <f>IF($A475="","",IF(AND($B475&gt;0,D475&lt;$B475,DATE($B$1,2,1)&lt;=TODAY(),OR($O475="",$O475&gt;=DATE($B$1,2,1)),OR(COUNTIF($C475:D475,"&gt;0")&gt;0,DATE($B$1,2,1)=DATE(YEAR(TODAY()),MONTH(TODAY()),1))),1,0))</f>
        <v/>
      </c>
      <c r="R475">
        <f>IF($A475="","",IF(AND($B475&gt;0,E475&lt;$B475,DATE($B$1,3,1)&lt;=TODAY(),OR($O475="",$O475&gt;=DATE($B$1,3,1)),OR(COUNTIF($C475:E475,"&gt;0")&gt;0,DATE($B$1,3,1)=DATE(YEAR(TODAY()),MONTH(TODAY()),1))),1,0))</f>
        <v/>
      </c>
      <c r="S475">
        <f>IF($A475="","",IF(AND($B475&gt;0,F475&lt;$B475,DATE($B$1,4,1)&lt;=TODAY(),OR($O475="",$O475&gt;=DATE($B$1,4,1)),OR(COUNTIF($C475:F475,"&gt;0")&gt;0,DATE($B$1,4,1)=DATE(YEAR(TODAY()),MONTH(TODAY()),1))),1,0))</f>
        <v/>
      </c>
      <c r="T475">
        <f>IF($A475="","",IF(AND($B475&gt;0,G475&lt;$B475,DATE($B$1,5,1)&lt;=TODAY(),OR($O475="",$O475&gt;=DATE($B$1,5,1)),OR(COUNTIF($C475:G475,"&gt;0")&gt;0,DATE($B$1,5,1)=DATE(YEAR(TODAY()),MONTH(TODAY()),1))),1,0))</f>
        <v/>
      </c>
      <c r="U475">
        <f>IF($A475="","",IF(AND($B475&gt;0,H475&lt;$B475,DATE($B$1,6,1)&lt;=TODAY(),OR($O475="",$O475&gt;=DATE($B$1,6,1)),OR(COUNTIF($C475:H475,"&gt;0")&gt;0,DATE($B$1,6,1)=DATE(YEAR(TODAY()),MONTH(TODAY()),1))),1,0))</f>
        <v/>
      </c>
      <c r="V475">
        <f>IF($A475="","",IF(AND($B475&gt;0,I475&lt;$B475,DATE($B$1,7,1)&lt;=TODAY(),OR($O475="",$O475&gt;=DATE($B$1,7,1)),OR(COUNTIF($C475:I475,"&gt;0")&gt;0,DATE($B$1,7,1)=DATE(YEAR(TODAY()),MONTH(TODAY()),1))),1,0))</f>
        <v/>
      </c>
      <c r="W475">
        <f>IF($A475="","",IF(AND($B475&gt;0,J475&lt;$B475,DATE($B$1,8,1)&lt;=TODAY(),OR($O475="",$O475&gt;=DATE($B$1,8,1)),OR(COUNTIF($C475:J475,"&gt;0")&gt;0,DATE($B$1,8,1)=DATE(YEAR(TODAY()),MONTH(TODAY()),1))),1,0))</f>
        <v/>
      </c>
      <c r="X475">
        <f>IF($A475="","",IF(AND($B475&gt;0,K475&lt;$B475,DATE($B$1,9,1)&lt;=TODAY(),OR($O475="",$O475&gt;=DATE($B$1,9,1)),OR(COUNTIF($C475:K475,"&gt;0")&gt;0,DATE($B$1,9,1)=DATE(YEAR(TODAY()),MONTH(TODAY()),1))),1,0))</f>
        <v/>
      </c>
      <c r="Y475">
        <f>IF($A475="","",IF(AND($B475&gt;0,L475&lt;$B475,DATE($B$1,10,1)&lt;=TODAY(),OR($O475="",$O475&gt;=DATE($B$1,10,1)),OR(COUNTIF($C475:L475,"&gt;0")&gt;0,DATE($B$1,10,1)=DATE(YEAR(TODAY()),MONTH(TODAY()),1))),1,0))</f>
        <v/>
      </c>
      <c r="Z475">
        <f>IF($A475="","",IF(AND($B475&gt;0,M475&lt;$B475,DATE($B$1,11,1)&lt;=TODAY(),OR($O475="",$O475&gt;=DATE($B$1,11,1)),OR(COUNTIF($C475:M475,"&gt;0")&gt;0,DATE($B$1,11,1)=DATE(YEAR(TODAY()),MONTH(TODAY()),1))),1,0))</f>
        <v/>
      </c>
      <c r="AA475">
        <f>IF($A475="","",IF(AND($B475&gt;0,N475&lt;$B475,DATE($B$1,12,1)&lt;=TODAY(),OR($O475="",$O475&gt;=DATE($B$1,12,1)),OR(COUNTIF($C475:N475,"&gt;0")&gt;0,DATE($B$1,12,1)=DATE(YEAR(TODAY()),MONTH(TODAY()),1))),1,0))</f>
        <v/>
      </c>
    </row>
    <row r="476">
      <c r="A476" s="13">
        <f>IF(원생!$A474="","",원생!$A474&amp;IF(원생!$G474="",""," ("&amp;원생!$G474&amp;")"))</f>
        <v/>
      </c>
      <c r="B476" s="8">
        <f>IF(원생!$A474="","",원생!$F474)</f>
        <v/>
      </c>
      <c r="C476" s="14">
        <f>IF(원생!$A474="","",SUMIFS(수납!$F:$F,수납!$C:$C,원생!$A474,수납!$D:$D,IF(원생!$G474="","",원생!$G474),수납!$B:$B,$B$1&amp;"-"&amp;TEXT(1,"00")&amp;"*",수납!$E:$E,"수강료")+SUMIFS(수납!$F:$F,수납!$C:$C,원생!$A474,수납!$D:$D,IF(원생!$G474="","",원생!$G474),수납!$B:$B,$B$1&amp;"-"&amp;TEXT(1,"00")&amp;"*",수납!$E:$E,""))</f>
        <v/>
      </c>
      <c r="D476" s="14">
        <f>IF(원생!$A474="","",SUMIFS(수납!$F:$F,수납!$C:$C,원생!$A474,수납!$D:$D,IF(원생!$G474="","",원생!$G474),수납!$B:$B,$B$1&amp;"-"&amp;TEXT(2,"00")&amp;"*",수납!$E:$E,"수강료")+SUMIFS(수납!$F:$F,수납!$C:$C,원생!$A474,수납!$D:$D,IF(원생!$G474="","",원생!$G474),수납!$B:$B,$B$1&amp;"-"&amp;TEXT(2,"00")&amp;"*",수납!$E:$E,""))</f>
        <v/>
      </c>
      <c r="E476" s="14">
        <f>IF(원생!$A474="","",SUMIFS(수납!$F:$F,수납!$C:$C,원생!$A474,수납!$D:$D,IF(원생!$G474="","",원생!$G474),수납!$B:$B,$B$1&amp;"-"&amp;TEXT(3,"00")&amp;"*",수납!$E:$E,"수강료")+SUMIFS(수납!$F:$F,수납!$C:$C,원생!$A474,수납!$D:$D,IF(원생!$G474="","",원생!$G474),수납!$B:$B,$B$1&amp;"-"&amp;TEXT(3,"00")&amp;"*",수납!$E:$E,""))</f>
        <v/>
      </c>
      <c r="F476" s="14">
        <f>IF(원생!$A474="","",SUMIFS(수납!$F:$F,수납!$C:$C,원생!$A474,수납!$D:$D,IF(원생!$G474="","",원생!$G474),수납!$B:$B,$B$1&amp;"-"&amp;TEXT(4,"00")&amp;"*",수납!$E:$E,"수강료")+SUMIFS(수납!$F:$F,수납!$C:$C,원생!$A474,수납!$D:$D,IF(원생!$G474="","",원생!$G474),수납!$B:$B,$B$1&amp;"-"&amp;TEXT(4,"00")&amp;"*",수납!$E:$E,""))</f>
        <v/>
      </c>
      <c r="G476" s="14">
        <f>IF(원생!$A474="","",SUMIFS(수납!$F:$F,수납!$C:$C,원생!$A474,수납!$D:$D,IF(원생!$G474="","",원생!$G474),수납!$B:$B,$B$1&amp;"-"&amp;TEXT(5,"00")&amp;"*",수납!$E:$E,"수강료")+SUMIFS(수납!$F:$F,수납!$C:$C,원생!$A474,수납!$D:$D,IF(원생!$G474="","",원생!$G474),수납!$B:$B,$B$1&amp;"-"&amp;TEXT(5,"00")&amp;"*",수납!$E:$E,""))</f>
        <v/>
      </c>
      <c r="H476" s="14">
        <f>IF(원생!$A474="","",SUMIFS(수납!$F:$F,수납!$C:$C,원생!$A474,수납!$D:$D,IF(원생!$G474="","",원생!$G474),수납!$B:$B,$B$1&amp;"-"&amp;TEXT(6,"00")&amp;"*",수납!$E:$E,"수강료")+SUMIFS(수납!$F:$F,수납!$C:$C,원생!$A474,수납!$D:$D,IF(원생!$G474="","",원생!$G474),수납!$B:$B,$B$1&amp;"-"&amp;TEXT(6,"00")&amp;"*",수납!$E:$E,""))</f>
        <v/>
      </c>
      <c r="I476" s="14">
        <f>IF(원생!$A474="","",SUMIFS(수납!$F:$F,수납!$C:$C,원생!$A474,수납!$D:$D,IF(원생!$G474="","",원생!$G474),수납!$B:$B,$B$1&amp;"-"&amp;TEXT(7,"00")&amp;"*",수납!$E:$E,"수강료")+SUMIFS(수납!$F:$F,수납!$C:$C,원생!$A474,수납!$D:$D,IF(원생!$G474="","",원생!$G474),수납!$B:$B,$B$1&amp;"-"&amp;TEXT(7,"00")&amp;"*",수납!$E:$E,""))</f>
        <v/>
      </c>
      <c r="J476" s="14">
        <f>IF(원생!$A474="","",SUMIFS(수납!$F:$F,수납!$C:$C,원생!$A474,수납!$D:$D,IF(원생!$G474="","",원생!$G474),수납!$B:$B,$B$1&amp;"-"&amp;TEXT(8,"00")&amp;"*",수납!$E:$E,"수강료")+SUMIFS(수납!$F:$F,수납!$C:$C,원생!$A474,수납!$D:$D,IF(원생!$G474="","",원생!$G474),수납!$B:$B,$B$1&amp;"-"&amp;TEXT(8,"00")&amp;"*",수납!$E:$E,""))</f>
        <v/>
      </c>
      <c r="K476" s="14">
        <f>IF(원생!$A474="","",SUMIFS(수납!$F:$F,수납!$C:$C,원생!$A474,수납!$D:$D,IF(원생!$G474="","",원생!$G474),수납!$B:$B,$B$1&amp;"-"&amp;TEXT(9,"00")&amp;"*",수납!$E:$E,"수강료")+SUMIFS(수납!$F:$F,수납!$C:$C,원생!$A474,수납!$D:$D,IF(원생!$G474="","",원생!$G474),수납!$B:$B,$B$1&amp;"-"&amp;TEXT(9,"00")&amp;"*",수납!$E:$E,""))</f>
        <v/>
      </c>
      <c r="L476" s="14">
        <f>IF(원생!$A474="","",SUMIFS(수납!$F:$F,수납!$C:$C,원생!$A474,수납!$D:$D,IF(원생!$G474="","",원생!$G474),수납!$B:$B,$B$1&amp;"-"&amp;TEXT(10,"00")&amp;"*",수납!$E:$E,"수강료")+SUMIFS(수납!$F:$F,수납!$C:$C,원생!$A474,수납!$D:$D,IF(원생!$G474="","",원생!$G474),수납!$B:$B,$B$1&amp;"-"&amp;TEXT(10,"00")&amp;"*",수납!$E:$E,""))</f>
        <v/>
      </c>
      <c r="M476" s="14">
        <f>IF(원생!$A474="","",SUMIFS(수납!$F:$F,수납!$C:$C,원생!$A474,수납!$D:$D,IF(원생!$G474="","",원생!$G474),수납!$B:$B,$B$1&amp;"-"&amp;TEXT(11,"00")&amp;"*",수납!$E:$E,"수강료")+SUMIFS(수납!$F:$F,수납!$C:$C,원생!$A474,수납!$D:$D,IF(원생!$G474="","",원생!$G474),수납!$B:$B,$B$1&amp;"-"&amp;TEXT(11,"00")&amp;"*",수납!$E:$E,""))</f>
        <v/>
      </c>
      <c r="N476" s="14">
        <f>IF(원생!$A474="","",SUMIFS(수납!$F:$F,수납!$C:$C,원생!$A474,수납!$D:$D,IF(원생!$G474="","",원생!$G474),수납!$B:$B,$B$1&amp;"-"&amp;TEXT(12,"00")&amp;"*",수납!$E:$E,"수강료")+SUMIFS(수납!$F:$F,수납!$C:$C,원생!$A474,수납!$D:$D,IF(원생!$G474="","",원생!$G474),수납!$B:$B,$B$1&amp;"-"&amp;TEXT(12,"00")&amp;"*",수납!$E:$E,""))</f>
        <v/>
      </c>
      <c r="O476">
        <f>IF(원생!$I474="","",원생!$I474)</f>
        <v/>
      </c>
      <c r="P476">
        <f>IF($A476="","",IF(AND($B476&gt;0,C476&lt;$B476,DATE($B$1,1,1)&lt;=TODAY(),OR($O476="",$O476&gt;=DATE($B$1,1,1)),OR(COUNTIF($C476:C476,"&gt;0")&gt;0,DATE($B$1,1,1)=DATE(YEAR(TODAY()),MONTH(TODAY()),1))),1,0))</f>
        <v/>
      </c>
      <c r="Q476">
        <f>IF($A476="","",IF(AND($B476&gt;0,D476&lt;$B476,DATE($B$1,2,1)&lt;=TODAY(),OR($O476="",$O476&gt;=DATE($B$1,2,1)),OR(COUNTIF($C476:D476,"&gt;0")&gt;0,DATE($B$1,2,1)=DATE(YEAR(TODAY()),MONTH(TODAY()),1))),1,0))</f>
        <v/>
      </c>
      <c r="R476">
        <f>IF($A476="","",IF(AND($B476&gt;0,E476&lt;$B476,DATE($B$1,3,1)&lt;=TODAY(),OR($O476="",$O476&gt;=DATE($B$1,3,1)),OR(COUNTIF($C476:E476,"&gt;0")&gt;0,DATE($B$1,3,1)=DATE(YEAR(TODAY()),MONTH(TODAY()),1))),1,0))</f>
        <v/>
      </c>
      <c r="S476">
        <f>IF($A476="","",IF(AND($B476&gt;0,F476&lt;$B476,DATE($B$1,4,1)&lt;=TODAY(),OR($O476="",$O476&gt;=DATE($B$1,4,1)),OR(COUNTIF($C476:F476,"&gt;0")&gt;0,DATE($B$1,4,1)=DATE(YEAR(TODAY()),MONTH(TODAY()),1))),1,0))</f>
        <v/>
      </c>
      <c r="T476">
        <f>IF($A476="","",IF(AND($B476&gt;0,G476&lt;$B476,DATE($B$1,5,1)&lt;=TODAY(),OR($O476="",$O476&gt;=DATE($B$1,5,1)),OR(COUNTIF($C476:G476,"&gt;0")&gt;0,DATE($B$1,5,1)=DATE(YEAR(TODAY()),MONTH(TODAY()),1))),1,0))</f>
        <v/>
      </c>
      <c r="U476">
        <f>IF($A476="","",IF(AND($B476&gt;0,H476&lt;$B476,DATE($B$1,6,1)&lt;=TODAY(),OR($O476="",$O476&gt;=DATE($B$1,6,1)),OR(COUNTIF($C476:H476,"&gt;0")&gt;0,DATE($B$1,6,1)=DATE(YEAR(TODAY()),MONTH(TODAY()),1))),1,0))</f>
        <v/>
      </c>
      <c r="V476">
        <f>IF($A476="","",IF(AND($B476&gt;0,I476&lt;$B476,DATE($B$1,7,1)&lt;=TODAY(),OR($O476="",$O476&gt;=DATE($B$1,7,1)),OR(COUNTIF($C476:I476,"&gt;0")&gt;0,DATE($B$1,7,1)=DATE(YEAR(TODAY()),MONTH(TODAY()),1))),1,0))</f>
        <v/>
      </c>
      <c r="W476">
        <f>IF($A476="","",IF(AND($B476&gt;0,J476&lt;$B476,DATE($B$1,8,1)&lt;=TODAY(),OR($O476="",$O476&gt;=DATE($B$1,8,1)),OR(COUNTIF($C476:J476,"&gt;0")&gt;0,DATE($B$1,8,1)=DATE(YEAR(TODAY()),MONTH(TODAY()),1))),1,0))</f>
        <v/>
      </c>
      <c r="X476">
        <f>IF($A476="","",IF(AND($B476&gt;0,K476&lt;$B476,DATE($B$1,9,1)&lt;=TODAY(),OR($O476="",$O476&gt;=DATE($B$1,9,1)),OR(COUNTIF($C476:K476,"&gt;0")&gt;0,DATE($B$1,9,1)=DATE(YEAR(TODAY()),MONTH(TODAY()),1))),1,0))</f>
        <v/>
      </c>
      <c r="Y476">
        <f>IF($A476="","",IF(AND($B476&gt;0,L476&lt;$B476,DATE($B$1,10,1)&lt;=TODAY(),OR($O476="",$O476&gt;=DATE($B$1,10,1)),OR(COUNTIF($C476:L476,"&gt;0")&gt;0,DATE($B$1,10,1)=DATE(YEAR(TODAY()),MONTH(TODAY()),1))),1,0))</f>
        <v/>
      </c>
      <c r="Z476">
        <f>IF($A476="","",IF(AND($B476&gt;0,M476&lt;$B476,DATE($B$1,11,1)&lt;=TODAY(),OR($O476="",$O476&gt;=DATE($B$1,11,1)),OR(COUNTIF($C476:M476,"&gt;0")&gt;0,DATE($B$1,11,1)=DATE(YEAR(TODAY()),MONTH(TODAY()),1))),1,0))</f>
        <v/>
      </c>
      <c r="AA476">
        <f>IF($A476="","",IF(AND($B476&gt;0,N476&lt;$B476,DATE($B$1,12,1)&lt;=TODAY(),OR($O476="",$O476&gt;=DATE($B$1,12,1)),OR(COUNTIF($C476:N476,"&gt;0")&gt;0,DATE($B$1,12,1)=DATE(YEAR(TODAY()),MONTH(TODAY()),1))),1,0))</f>
        <v/>
      </c>
    </row>
    <row r="477">
      <c r="A477" s="13">
        <f>IF(원생!$A475="","",원생!$A475&amp;IF(원생!$G475="",""," ("&amp;원생!$G475&amp;")"))</f>
        <v/>
      </c>
      <c r="B477" s="8">
        <f>IF(원생!$A475="","",원생!$F475)</f>
        <v/>
      </c>
      <c r="C477" s="14">
        <f>IF(원생!$A475="","",SUMIFS(수납!$F:$F,수납!$C:$C,원생!$A475,수납!$D:$D,IF(원생!$G475="","",원생!$G475),수납!$B:$B,$B$1&amp;"-"&amp;TEXT(1,"00")&amp;"*",수납!$E:$E,"수강료")+SUMIFS(수납!$F:$F,수납!$C:$C,원생!$A475,수납!$D:$D,IF(원생!$G475="","",원생!$G475),수납!$B:$B,$B$1&amp;"-"&amp;TEXT(1,"00")&amp;"*",수납!$E:$E,""))</f>
        <v/>
      </c>
      <c r="D477" s="14">
        <f>IF(원생!$A475="","",SUMIFS(수납!$F:$F,수납!$C:$C,원생!$A475,수납!$D:$D,IF(원생!$G475="","",원생!$G475),수납!$B:$B,$B$1&amp;"-"&amp;TEXT(2,"00")&amp;"*",수납!$E:$E,"수강료")+SUMIFS(수납!$F:$F,수납!$C:$C,원생!$A475,수납!$D:$D,IF(원생!$G475="","",원생!$G475),수납!$B:$B,$B$1&amp;"-"&amp;TEXT(2,"00")&amp;"*",수납!$E:$E,""))</f>
        <v/>
      </c>
      <c r="E477" s="14">
        <f>IF(원생!$A475="","",SUMIFS(수납!$F:$F,수납!$C:$C,원생!$A475,수납!$D:$D,IF(원생!$G475="","",원생!$G475),수납!$B:$B,$B$1&amp;"-"&amp;TEXT(3,"00")&amp;"*",수납!$E:$E,"수강료")+SUMIFS(수납!$F:$F,수납!$C:$C,원생!$A475,수납!$D:$D,IF(원생!$G475="","",원생!$G475),수납!$B:$B,$B$1&amp;"-"&amp;TEXT(3,"00")&amp;"*",수납!$E:$E,""))</f>
        <v/>
      </c>
      <c r="F477" s="14">
        <f>IF(원생!$A475="","",SUMIFS(수납!$F:$F,수납!$C:$C,원생!$A475,수납!$D:$D,IF(원생!$G475="","",원생!$G475),수납!$B:$B,$B$1&amp;"-"&amp;TEXT(4,"00")&amp;"*",수납!$E:$E,"수강료")+SUMIFS(수납!$F:$F,수납!$C:$C,원생!$A475,수납!$D:$D,IF(원생!$G475="","",원생!$G475),수납!$B:$B,$B$1&amp;"-"&amp;TEXT(4,"00")&amp;"*",수납!$E:$E,""))</f>
        <v/>
      </c>
      <c r="G477" s="14">
        <f>IF(원생!$A475="","",SUMIFS(수납!$F:$F,수납!$C:$C,원생!$A475,수납!$D:$D,IF(원생!$G475="","",원생!$G475),수납!$B:$B,$B$1&amp;"-"&amp;TEXT(5,"00")&amp;"*",수납!$E:$E,"수강료")+SUMIFS(수납!$F:$F,수납!$C:$C,원생!$A475,수납!$D:$D,IF(원생!$G475="","",원생!$G475),수납!$B:$B,$B$1&amp;"-"&amp;TEXT(5,"00")&amp;"*",수납!$E:$E,""))</f>
        <v/>
      </c>
      <c r="H477" s="14">
        <f>IF(원생!$A475="","",SUMIFS(수납!$F:$F,수납!$C:$C,원생!$A475,수납!$D:$D,IF(원생!$G475="","",원생!$G475),수납!$B:$B,$B$1&amp;"-"&amp;TEXT(6,"00")&amp;"*",수납!$E:$E,"수강료")+SUMIFS(수납!$F:$F,수납!$C:$C,원생!$A475,수납!$D:$D,IF(원생!$G475="","",원생!$G475),수납!$B:$B,$B$1&amp;"-"&amp;TEXT(6,"00")&amp;"*",수납!$E:$E,""))</f>
        <v/>
      </c>
      <c r="I477" s="14">
        <f>IF(원생!$A475="","",SUMIFS(수납!$F:$F,수납!$C:$C,원생!$A475,수납!$D:$D,IF(원생!$G475="","",원생!$G475),수납!$B:$B,$B$1&amp;"-"&amp;TEXT(7,"00")&amp;"*",수납!$E:$E,"수강료")+SUMIFS(수납!$F:$F,수납!$C:$C,원생!$A475,수납!$D:$D,IF(원생!$G475="","",원생!$G475),수납!$B:$B,$B$1&amp;"-"&amp;TEXT(7,"00")&amp;"*",수납!$E:$E,""))</f>
        <v/>
      </c>
      <c r="J477" s="14">
        <f>IF(원생!$A475="","",SUMIFS(수납!$F:$F,수납!$C:$C,원생!$A475,수납!$D:$D,IF(원생!$G475="","",원생!$G475),수납!$B:$B,$B$1&amp;"-"&amp;TEXT(8,"00")&amp;"*",수납!$E:$E,"수강료")+SUMIFS(수납!$F:$F,수납!$C:$C,원생!$A475,수납!$D:$D,IF(원생!$G475="","",원생!$G475),수납!$B:$B,$B$1&amp;"-"&amp;TEXT(8,"00")&amp;"*",수납!$E:$E,""))</f>
        <v/>
      </c>
      <c r="K477" s="14">
        <f>IF(원생!$A475="","",SUMIFS(수납!$F:$F,수납!$C:$C,원생!$A475,수납!$D:$D,IF(원생!$G475="","",원생!$G475),수납!$B:$B,$B$1&amp;"-"&amp;TEXT(9,"00")&amp;"*",수납!$E:$E,"수강료")+SUMIFS(수납!$F:$F,수납!$C:$C,원생!$A475,수납!$D:$D,IF(원생!$G475="","",원생!$G475),수납!$B:$B,$B$1&amp;"-"&amp;TEXT(9,"00")&amp;"*",수납!$E:$E,""))</f>
        <v/>
      </c>
      <c r="L477" s="14">
        <f>IF(원생!$A475="","",SUMIFS(수납!$F:$F,수납!$C:$C,원생!$A475,수납!$D:$D,IF(원생!$G475="","",원생!$G475),수납!$B:$B,$B$1&amp;"-"&amp;TEXT(10,"00")&amp;"*",수납!$E:$E,"수강료")+SUMIFS(수납!$F:$F,수납!$C:$C,원생!$A475,수납!$D:$D,IF(원생!$G475="","",원생!$G475),수납!$B:$B,$B$1&amp;"-"&amp;TEXT(10,"00")&amp;"*",수납!$E:$E,""))</f>
        <v/>
      </c>
      <c r="M477" s="14">
        <f>IF(원생!$A475="","",SUMIFS(수납!$F:$F,수납!$C:$C,원생!$A475,수납!$D:$D,IF(원생!$G475="","",원생!$G475),수납!$B:$B,$B$1&amp;"-"&amp;TEXT(11,"00")&amp;"*",수납!$E:$E,"수강료")+SUMIFS(수납!$F:$F,수납!$C:$C,원생!$A475,수납!$D:$D,IF(원생!$G475="","",원생!$G475),수납!$B:$B,$B$1&amp;"-"&amp;TEXT(11,"00")&amp;"*",수납!$E:$E,""))</f>
        <v/>
      </c>
      <c r="N477" s="14">
        <f>IF(원생!$A475="","",SUMIFS(수납!$F:$F,수납!$C:$C,원생!$A475,수납!$D:$D,IF(원생!$G475="","",원생!$G475),수납!$B:$B,$B$1&amp;"-"&amp;TEXT(12,"00")&amp;"*",수납!$E:$E,"수강료")+SUMIFS(수납!$F:$F,수납!$C:$C,원생!$A475,수납!$D:$D,IF(원생!$G475="","",원생!$G475),수납!$B:$B,$B$1&amp;"-"&amp;TEXT(12,"00")&amp;"*",수납!$E:$E,""))</f>
        <v/>
      </c>
      <c r="O477">
        <f>IF(원생!$I475="","",원생!$I475)</f>
        <v/>
      </c>
      <c r="P477">
        <f>IF($A477="","",IF(AND($B477&gt;0,C477&lt;$B477,DATE($B$1,1,1)&lt;=TODAY(),OR($O477="",$O477&gt;=DATE($B$1,1,1)),OR(COUNTIF($C477:C477,"&gt;0")&gt;0,DATE($B$1,1,1)=DATE(YEAR(TODAY()),MONTH(TODAY()),1))),1,0))</f>
        <v/>
      </c>
      <c r="Q477">
        <f>IF($A477="","",IF(AND($B477&gt;0,D477&lt;$B477,DATE($B$1,2,1)&lt;=TODAY(),OR($O477="",$O477&gt;=DATE($B$1,2,1)),OR(COUNTIF($C477:D477,"&gt;0")&gt;0,DATE($B$1,2,1)=DATE(YEAR(TODAY()),MONTH(TODAY()),1))),1,0))</f>
        <v/>
      </c>
      <c r="R477">
        <f>IF($A477="","",IF(AND($B477&gt;0,E477&lt;$B477,DATE($B$1,3,1)&lt;=TODAY(),OR($O477="",$O477&gt;=DATE($B$1,3,1)),OR(COUNTIF($C477:E477,"&gt;0")&gt;0,DATE($B$1,3,1)=DATE(YEAR(TODAY()),MONTH(TODAY()),1))),1,0))</f>
        <v/>
      </c>
      <c r="S477">
        <f>IF($A477="","",IF(AND($B477&gt;0,F477&lt;$B477,DATE($B$1,4,1)&lt;=TODAY(),OR($O477="",$O477&gt;=DATE($B$1,4,1)),OR(COUNTIF($C477:F477,"&gt;0")&gt;0,DATE($B$1,4,1)=DATE(YEAR(TODAY()),MONTH(TODAY()),1))),1,0))</f>
        <v/>
      </c>
      <c r="T477">
        <f>IF($A477="","",IF(AND($B477&gt;0,G477&lt;$B477,DATE($B$1,5,1)&lt;=TODAY(),OR($O477="",$O477&gt;=DATE($B$1,5,1)),OR(COUNTIF($C477:G477,"&gt;0")&gt;0,DATE($B$1,5,1)=DATE(YEAR(TODAY()),MONTH(TODAY()),1))),1,0))</f>
        <v/>
      </c>
      <c r="U477">
        <f>IF($A477="","",IF(AND($B477&gt;0,H477&lt;$B477,DATE($B$1,6,1)&lt;=TODAY(),OR($O477="",$O477&gt;=DATE($B$1,6,1)),OR(COUNTIF($C477:H477,"&gt;0")&gt;0,DATE($B$1,6,1)=DATE(YEAR(TODAY()),MONTH(TODAY()),1))),1,0))</f>
        <v/>
      </c>
      <c r="V477">
        <f>IF($A477="","",IF(AND($B477&gt;0,I477&lt;$B477,DATE($B$1,7,1)&lt;=TODAY(),OR($O477="",$O477&gt;=DATE($B$1,7,1)),OR(COUNTIF($C477:I477,"&gt;0")&gt;0,DATE($B$1,7,1)=DATE(YEAR(TODAY()),MONTH(TODAY()),1))),1,0))</f>
        <v/>
      </c>
      <c r="W477">
        <f>IF($A477="","",IF(AND($B477&gt;0,J477&lt;$B477,DATE($B$1,8,1)&lt;=TODAY(),OR($O477="",$O477&gt;=DATE($B$1,8,1)),OR(COUNTIF($C477:J477,"&gt;0")&gt;0,DATE($B$1,8,1)=DATE(YEAR(TODAY()),MONTH(TODAY()),1))),1,0))</f>
        <v/>
      </c>
      <c r="X477">
        <f>IF($A477="","",IF(AND($B477&gt;0,K477&lt;$B477,DATE($B$1,9,1)&lt;=TODAY(),OR($O477="",$O477&gt;=DATE($B$1,9,1)),OR(COUNTIF($C477:K477,"&gt;0")&gt;0,DATE($B$1,9,1)=DATE(YEAR(TODAY()),MONTH(TODAY()),1))),1,0))</f>
        <v/>
      </c>
      <c r="Y477">
        <f>IF($A477="","",IF(AND($B477&gt;0,L477&lt;$B477,DATE($B$1,10,1)&lt;=TODAY(),OR($O477="",$O477&gt;=DATE($B$1,10,1)),OR(COUNTIF($C477:L477,"&gt;0")&gt;0,DATE($B$1,10,1)=DATE(YEAR(TODAY()),MONTH(TODAY()),1))),1,0))</f>
        <v/>
      </c>
      <c r="Z477">
        <f>IF($A477="","",IF(AND($B477&gt;0,M477&lt;$B477,DATE($B$1,11,1)&lt;=TODAY(),OR($O477="",$O477&gt;=DATE($B$1,11,1)),OR(COUNTIF($C477:M477,"&gt;0")&gt;0,DATE($B$1,11,1)=DATE(YEAR(TODAY()),MONTH(TODAY()),1))),1,0))</f>
        <v/>
      </c>
      <c r="AA477">
        <f>IF($A477="","",IF(AND($B477&gt;0,N477&lt;$B477,DATE($B$1,12,1)&lt;=TODAY(),OR($O477="",$O477&gt;=DATE($B$1,12,1)),OR(COUNTIF($C477:N477,"&gt;0")&gt;0,DATE($B$1,12,1)=DATE(YEAR(TODAY()),MONTH(TODAY()),1))),1,0))</f>
        <v/>
      </c>
    </row>
    <row r="478">
      <c r="A478" s="13">
        <f>IF(원생!$A476="","",원생!$A476&amp;IF(원생!$G476="",""," ("&amp;원생!$G476&amp;")"))</f>
        <v/>
      </c>
      <c r="B478" s="8">
        <f>IF(원생!$A476="","",원생!$F476)</f>
        <v/>
      </c>
      <c r="C478" s="14">
        <f>IF(원생!$A476="","",SUMIFS(수납!$F:$F,수납!$C:$C,원생!$A476,수납!$D:$D,IF(원생!$G476="","",원생!$G476),수납!$B:$B,$B$1&amp;"-"&amp;TEXT(1,"00")&amp;"*",수납!$E:$E,"수강료")+SUMIFS(수납!$F:$F,수납!$C:$C,원생!$A476,수납!$D:$D,IF(원생!$G476="","",원생!$G476),수납!$B:$B,$B$1&amp;"-"&amp;TEXT(1,"00")&amp;"*",수납!$E:$E,""))</f>
        <v/>
      </c>
      <c r="D478" s="14">
        <f>IF(원생!$A476="","",SUMIFS(수납!$F:$F,수납!$C:$C,원생!$A476,수납!$D:$D,IF(원생!$G476="","",원생!$G476),수납!$B:$B,$B$1&amp;"-"&amp;TEXT(2,"00")&amp;"*",수납!$E:$E,"수강료")+SUMIFS(수납!$F:$F,수납!$C:$C,원생!$A476,수납!$D:$D,IF(원생!$G476="","",원생!$G476),수납!$B:$B,$B$1&amp;"-"&amp;TEXT(2,"00")&amp;"*",수납!$E:$E,""))</f>
        <v/>
      </c>
      <c r="E478" s="14">
        <f>IF(원생!$A476="","",SUMIFS(수납!$F:$F,수납!$C:$C,원생!$A476,수납!$D:$D,IF(원생!$G476="","",원생!$G476),수납!$B:$B,$B$1&amp;"-"&amp;TEXT(3,"00")&amp;"*",수납!$E:$E,"수강료")+SUMIFS(수납!$F:$F,수납!$C:$C,원생!$A476,수납!$D:$D,IF(원생!$G476="","",원생!$G476),수납!$B:$B,$B$1&amp;"-"&amp;TEXT(3,"00")&amp;"*",수납!$E:$E,""))</f>
        <v/>
      </c>
      <c r="F478" s="14">
        <f>IF(원생!$A476="","",SUMIFS(수납!$F:$F,수납!$C:$C,원생!$A476,수납!$D:$D,IF(원생!$G476="","",원생!$G476),수납!$B:$B,$B$1&amp;"-"&amp;TEXT(4,"00")&amp;"*",수납!$E:$E,"수강료")+SUMIFS(수납!$F:$F,수납!$C:$C,원생!$A476,수납!$D:$D,IF(원생!$G476="","",원생!$G476),수납!$B:$B,$B$1&amp;"-"&amp;TEXT(4,"00")&amp;"*",수납!$E:$E,""))</f>
        <v/>
      </c>
      <c r="G478" s="14">
        <f>IF(원생!$A476="","",SUMIFS(수납!$F:$F,수납!$C:$C,원생!$A476,수납!$D:$D,IF(원생!$G476="","",원생!$G476),수납!$B:$B,$B$1&amp;"-"&amp;TEXT(5,"00")&amp;"*",수납!$E:$E,"수강료")+SUMIFS(수납!$F:$F,수납!$C:$C,원생!$A476,수납!$D:$D,IF(원생!$G476="","",원생!$G476),수납!$B:$B,$B$1&amp;"-"&amp;TEXT(5,"00")&amp;"*",수납!$E:$E,""))</f>
        <v/>
      </c>
      <c r="H478" s="14">
        <f>IF(원생!$A476="","",SUMIFS(수납!$F:$F,수납!$C:$C,원생!$A476,수납!$D:$D,IF(원생!$G476="","",원생!$G476),수납!$B:$B,$B$1&amp;"-"&amp;TEXT(6,"00")&amp;"*",수납!$E:$E,"수강료")+SUMIFS(수납!$F:$F,수납!$C:$C,원생!$A476,수납!$D:$D,IF(원생!$G476="","",원생!$G476),수납!$B:$B,$B$1&amp;"-"&amp;TEXT(6,"00")&amp;"*",수납!$E:$E,""))</f>
        <v/>
      </c>
      <c r="I478" s="14">
        <f>IF(원생!$A476="","",SUMIFS(수납!$F:$F,수납!$C:$C,원생!$A476,수납!$D:$D,IF(원생!$G476="","",원생!$G476),수납!$B:$B,$B$1&amp;"-"&amp;TEXT(7,"00")&amp;"*",수납!$E:$E,"수강료")+SUMIFS(수납!$F:$F,수납!$C:$C,원생!$A476,수납!$D:$D,IF(원생!$G476="","",원생!$G476),수납!$B:$B,$B$1&amp;"-"&amp;TEXT(7,"00")&amp;"*",수납!$E:$E,""))</f>
        <v/>
      </c>
      <c r="J478" s="14">
        <f>IF(원생!$A476="","",SUMIFS(수납!$F:$F,수납!$C:$C,원생!$A476,수납!$D:$D,IF(원생!$G476="","",원생!$G476),수납!$B:$B,$B$1&amp;"-"&amp;TEXT(8,"00")&amp;"*",수납!$E:$E,"수강료")+SUMIFS(수납!$F:$F,수납!$C:$C,원생!$A476,수납!$D:$D,IF(원생!$G476="","",원생!$G476),수납!$B:$B,$B$1&amp;"-"&amp;TEXT(8,"00")&amp;"*",수납!$E:$E,""))</f>
        <v/>
      </c>
      <c r="K478" s="14">
        <f>IF(원생!$A476="","",SUMIFS(수납!$F:$F,수납!$C:$C,원생!$A476,수납!$D:$D,IF(원생!$G476="","",원생!$G476),수납!$B:$B,$B$1&amp;"-"&amp;TEXT(9,"00")&amp;"*",수납!$E:$E,"수강료")+SUMIFS(수납!$F:$F,수납!$C:$C,원생!$A476,수납!$D:$D,IF(원생!$G476="","",원생!$G476),수납!$B:$B,$B$1&amp;"-"&amp;TEXT(9,"00")&amp;"*",수납!$E:$E,""))</f>
        <v/>
      </c>
      <c r="L478" s="14">
        <f>IF(원생!$A476="","",SUMIFS(수납!$F:$F,수납!$C:$C,원생!$A476,수납!$D:$D,IF(원생!$G476="","",원생!$G476),수납!$B:$B,$B$1&amp;"-"&amp;TEXT(10,"00")&amp;"*",수납!$E:$E,"수강료")+SUMIFS(수납!$F:$F,수납!$C:$C,원생!$A476,수납!$D:$D,IF(원생!$G476="","",원생!$G476),수납!$B:$B,$B$1&amp;"-"&amp;TEXT(10,"00")&amp;"*",수납!$E:$E,""))</f>
        <v/>
      </c>
      <c r="M478" s="14">
        <f>IF(원생!$A476="","",SUMIFS(수납!$F:$F,수납!$C:$C,원생!$A476,수납!$D:$D,IF(원생!$G476="","",원생!$G476),수납!$B:$B,$B$1&amp;"-"&amp;TEXT(11,"00")&amp;"*",수납!$E:$E,"수강료")+SUMIFS(수납!$F:$F,수납!$C:$C,원생!$A476,수납!$D:$D,IF(원생!$G476="","",원생!$G476),수납!$B:$B,$B$1&amp;"-"&amp;TEXT(11,"00")&amp;"*",수납!$E:$E,""))</f>
        <v/>
      </c>
      <c r="N478" s="14">
        <f>IF(원생!$A476="","",SUMIFS(수납!$F:$F,수납!$C:$C,원생!$A476,수납!$D:$D,IF(원생!$G476="","",원생!$G476),수납!$B:$B,$B$1&amp;"-"&amp;TEXT(12,"00")&amp;"*",수납!$E:$E,"수강료")+SUMIFS(수납!$F:$F,수납!$C:$C,원생!$A476,수납!$D:$D,IF(원생!$G476="","",원생!$G476),수납!$B:$B,$B$1&amp;"-"&amp;TEXT(12,"00")&amp;"*",수납!$E:$E,""))</f>
        <v/>
      </c>
      <c r="O478">
        <f>IF(원생!$I476="","",원생!$I476)</f>
        <v/>
      </c>
      <c r="P478">
        <f>IF($A478="","",IF(AND($B478&gt;0,C478&lt;$B478,DATE($B$1,1,1)&lt;=TODAY(),OR($O478="",$O478&gt;=DATE($B$1,1,1)),OR(COUNTIF($C478:C478,"&gt;0")&gt;0,DATE($B$1,1,1)=DATE(YEAR(TODAY()),MONTH(TODAY()),1))),1,0))</f>
        <v/>
      </c>
      <c r="Q478">
        <f>IF($A478="","",IF(AND($B478&gt;0,D478&lt;$B478,DATE($B$1,2,1)&lt;=TODAY(),OR($O478="",$O478&gt;=DATE($B$1,2,1)),OR(COUNTIF($C478:D478,"&gt;0")&gt;0,DATE($B$1,2,1)=DATE(YEAR(TODAY()),MONTH(TODAY()),1))),1,0))</f>
        <v/>
      </c>
      <c r="R478">
        <f>IF($A478="","",IF(AND($B478&gt;0,E478&lt;$B478,DATE($B$1,3,1)&lt;=TODAY(),OR($O478="",$O478&gt;=DATE($B$1,3,1)),OR(COUNTIF($C478:E478,"&gt;0")&gt;0,DATE($B$1,3,1)=DATE(YEAR(TODAY()),MONTH(TODAY()),1))),1,0))</f>
        <v/>
      </c>
      <c r="S478">
        <f>IF($A478="","",IF(AND($B478&gt;0,F478&lt;$B478,DATE($B$1,4,1)&lt;=TODAY(),OR($O478="",$O478&gt;=DATE($B$1,4,1)),OR(COUNTIF($C478:F478,"&gt;0")&gt;0,DATE($B$1,4,1)=DATE(YEAR(TODAY()),MONTH(TODAY()),1))),1,0))</f>
        <v/>
      </c>
      <c r="T478">
        <f>IF($A478="","",IF(AND($B478&gt;0,G478&lt;$B478,DATE($B$1,5,1)&lt;=TODAY(),OR($O478="",$O478&gt;=DATE($B$1,5,1)),OR(COUNTIF($C478:G478,"&gt;0")&gt;0,DATE($B$1,5,1)=DATE(YEAR(TODAY()),MONTH(TODAY()),1))),1,0))</f>
        <v/>
      </c>
      <c r="U478">
        <f>IF($A478="","",IF(AND($B478&gt;0,H478&lt;$B478,DATE($B$1,6,1)&lt;=TODAY(),OR($O478="",$O478&gt;=DATE($B$1,6,1)),OR(COUNTIF($C478:H478,"&gt;0")&gt;0,DATE($B$1,6,1)=DATE(YEAR(TODAY()),MONTH(TODAY()),1))),1,0))</f>
        <v/>
      </c>
      <c r="V478">
        <f>IF($A478="","",IF(AND($B478&gt;0,I478&lt;$B478,DATE($B$1,7,1)&lt;=TODAY(),OR($O478="",$O478&gt;=DATE($B$1,7,1)),OR(COUNTIF($C478:I478,"&gt;0")&gt;0,DATE($B$1,7,1)=DATE(YEAR(TODAY()),MONTH(TODAY()),1))),1,0))</f>
        <v/>
      </c>
      <c r="W478">
        <f>IF($A478="","",IF(AND($B478&gt;0,J478&lt;$B478,DATE($B$1,8,1)&lt;=TODAY(),OR($O478="",$O478&gt;=DATE($B$1,8,1)),OR(COUNTIF($C478:J478,"&gt;0")&gt;0,DATE($B$1,8,1)=DATE(YEAR(TODAY()),MONTH(TODAY()),1))),1,0))</f>
        <v/>
      </c>
      <c r="X478">
        <f>IF($A478="","",IF(AND($B478&gt;0,K478&lt;$B478,DATE($B$1,9,1)&lt;=TODAY(),OR($O478="",$O478&gt;=DATE($B$1,9,1)),OR(COUNTIF($C478:K478,"&gt;0")&gt;0,DATE($B$1,9,1)=DATE(YEAR(TODAY()),MONTH(TODAY()),1))),1,0))</f>
        <v/>
      </c>
      <c r="Y478">
        <f>IF($A478="","",IF(AND($B478&gt;0,L478&lt;$B478,DATE($B$1,10,1)&lt;=TODAY(),OR($O478="",$O478&gt;=DATE($B$1,10,1)),OR(COUNTIF($C478:L478,"&gt;0")&gt;0,DATE($B$1,10,1)=DATE(YEAR(TODAY()),MONTH(TODAY()),1))),1,0))</f>
        <v/>
      </c>
      <c r="Z478">
        <f>IF($A478="","",IF(AND($B478&gt;0,M478&lt;$B478,DATE($B$1,11,1)&lt;=TODAY(),OR($O478="",$O478&gt;=DATE($B$1,11,1)),OR(COUNTIF($C478:M478,"&gt;0")&gt;0,DATE($B$1,11,1)=DATE(YEAR(TODAY()),MONTH(TODAY()),1))),1,0))</f>
        <v/>
      </c>
      <c r="AA478">
        <f>IF($A478="","",IF(AND($B478&gt;0,N478&lt;$B478,DATE($B$1,12,1)&lt;=TODAY(),OR($O478="",$O478&gt;=DATE($B$1,12,1)),OR(COUNTIF($C478:N478,"&gt;0")&gt;0,DATE($B$1,12,1)=DATE(YEAR(TODAY()),MONTH(TODAY()),1))),1,0))</f>
        <v/>
      </c>
    </row>
    <row r="479">
      <c r="A479" s="13">
        <f>IF(원생!$A477="","",원생!$A477&amp;IF(원생!$G477="",""," ("&amp;원생!$G477&amp;")"))</f>
        <v/>
      </c>
      <c r="B479" s="8">
        <f>IF(원생!$A477="","",원생!$F477)</f>
        <v/>
      </c>
      <c r="C479" s="14">
        <f>IF(원생!$A477="","",SUMIFS(수납!$F:$F,수납!$C:$C,원생!$A477,수납!$D:$D,IF(원생!$G477="","",원생!$G477),수납!$B:$B,$B$1&amp;"-"&amp;TEXT(1,"00")&amp;"*",수납!$E:$E,"수강료")+SUMIFS(수납!$F:$F,수납!$C:$C,원생!$A477,수납!$D:$D,IF(원생!$G477="","",원생!$G477),수납!$B:$B,$B$1&amp;"-"&amp;TEXT(1,"00")&amp;"*",수납!$E:$E,""))</f>
        <v/>
      </c>
      <c r="D479" s="14">
        <f>IF(원생!$A477="","",SUMIFS(수납!$F:$F,수납!$C:$C,원생!$A477,수납!$D:$D,IF(원생!$G477="","",원생!$G477),수납!$B:$B,$B$1&amp;"-"&amp;TEXT(2,"00")&amp;"*",수납!$E:$E,"수강료")+SUMIFS(수납!$F:$F,수납!$C:$C,원생!$A477,수납!$D:$D,IF(원생!$G477="","",원생!$G477),수납!$B:$B,$B$1&amp;"-"&amp;TEXT(2,"00")&amp;"*",수납!$E:$E,""))</f>
        <v/>
      </c>
      <c r="E479" s="14">
        <f>IF(원생!$A477="","",SUMIFS(수납!$F:$F,수납!$C:$C,원생!$A477,수납!$D:$D,IF(원생!$G477="","",원생!$G477),수납!$B:$B,$B$1&amp;"-"&amp;TEXT(3,"00")&amp;"*",수납!$E:$E,"수강료")+SUMIFS(수납!$F:$F,수납!$C:$C,원생!$A477,수납!$D:$D,IF(원생!$G477="","",원생!$G477),수납!$B:$B,$B$1&amp;"-"&amp;TEXT(3,"00")&amp;"*",수납!$E:$E,""))</f>
        <v/>
      </c>
      <c r="F479" s="14">
        <f>IF(원생!$A477="","",SUMIFS(수납!$F:$F,수납!$C:$C,원생!$A477,수납!$D:$D,IF(원생!$G477="","",원생!$G477),수납!$B:$B,$B$1&amp;"-"&amp;TEXT(4,"00")&amp;"*",수납!$E:$E,"수강료")+SUMIFS(수납!$F:$F,수납!$C:$C,원생!$A477,수납!$D:$D,IF(원생!$G477="","",원생!$G477),수납!$B:$B,$B$1&amp;"-"&amp;TEXT(4,"00")&amp;"*",수납!$E:$E,""))</f>
        <v/>
      </c>
      <c r="G479" s="14">
        <f>IF(원생!$A477="","",SUMIFS(수납!$F:$F,수납!$C:$C,원생!$A477,수납!$D:$D,IF(원생!$G477="","",원생!$G477),수납!$B:$B,$B$1&amp;"-"&amp;TEXT(5,"00")&amp;"*",수납!$E:$E,"수강료")+SUMIFS(수납!$F:$F,수납!$C:$C,원생!$A477,수납!$D:$D,IF(원생!$G477="","",원생!$G477),수납!$B:$B,$B$1&amp;"-"&amp;TEXT(5,"00")&amp;"*",수납!$E:$E,""))</f>
        <v/>
      </c>
      <c r="H479" s="14">
        <f>IF(원생!$A477="","",SUMIFS(수납!$F:$F,수납!$C:$C,원생!$A477,수납!$D:$D,IF(원생!$G477="","",원생!$G477),수납!$B:$B,$B$1&amp;"-"&amp;TEXT(6,"00")&amp;"*",수납!$E:$E,"수강료")+SUMIFS(수납!$F:$F,수납!$C:$C,원생!$A477,수납!$D:$D,IF(원생!$G477="","",원생!$G477),수납!$B:$B,$B$1&amp;"-"&amp;TEXT(6,"00")&amp;"*",수납!$E:$E,""))</f>
        <v/>
      </c>
      <c r="I479" s="14">
        <f>IF(원생!$A477="","",SUMIFS(수납!$F:$F,수납!$C:$C,원생!$A477,수납!$D:$D,IF(원생!$G477="","",원생!$G477),수납!$B:$B,$B$1&amp;"-"&amp;TEXT(7,"00")&amp;"*",수납!$E:$E,"수강료")+SUMIFS(수납!$F:$F,수납!$C:$C,원생!$A477,수납!$D:$D,IF(원생!$G477="","",원생!$G477),수납!$B:$B,$B$1&amp;"-"&amp;TEXT(7,"00")&amp;"*",수납!$E:$E,""))</f>
        <v/>
      </c>
      <c r="J479" s="14">
        <f>IF(원생!$A477="","",SUMIFS(수납!$F:$F,수납!$C:$C,원생!$A477,수납!$D:$D,IF(원생!$G477="","",원생!$G477),수납!$B:$B,$B$1&amp;"-"&amp;TEXT(8,"00")&amp;"*",수납!$E:$E,"수강료")+SUMIFS(수납!$F:$F,수납!$C:$C,원생!$A477,수납!$D:$D,IF(원생!$G477="","",원생!$G477),수납!$B:$B,$B$1&amp;"-"&amp;TEXT(8,"00")&amp;"*",수납!$E:$E,""))</f>
        <v/>
      </c>
      <c r="K479" s="14">
        <f>IF(원생!$A477="","",SUMIFS(수납!$F:$F,수납!$C:$C,원생!$A477,수납!$D:$D,IF(원생!$G477="","",원생!$G477),수납!$B:$B,$B$1&amp;"-"&amp;TEXT(9,"00")&amp;"*",수납!$E:$E,"수강료")+SUMIFS(수납!$F:$F,수납!$C:$C,원생!$A477,수납!$D:$D,IF(원생!$G477="","",원생!$G477),수납!$B:$B,$B$1&amp;"-"&amp;TEXT(9,"00")&amp;"*",수납!$E:$E,""))</f>
        <v/>
      </c>
      <c r="L479" s="14">
        <f>IF(원생!$A477="","",SUMIFS(수납!$F:$F,수납!$C:$C,원생!$A477,수납!$D:$D,IF(원생!$G477="","",원생!$G477),수납!$B:$B,$B$1&amp;"-"&amp;TEXT(10,"00")&amp;"*",수납!$E:$E,"수강료")+SUMIFS(수납!$F:$F,수납!$C:$C,원생!$A477,수납!$D:$D,IF(원생!$G477="","",원생!$G477),수납!$B:$B,$B$1&amp;"-"&amp;TEXT(10,"00")&amp;"*",수납!$E:$E,""))</f>
        <v/>
      </c>
      <c r="M479" s="14">
        <f>IF(원생!$A477="","",SUMIFS(수납!$F:$F,수납!$C:$C,원생!$A477,수납!$D:$D,IF(원생!$G477="","",원생!$G477),수납!$B:$B,$B$1&amp;"-"&amp;TEXT(11,"00")&amp;"*",수납!$E:$E,"수강료")+SUMIFS(수납!$F:$F,수납!$C:$C,원생!$A477,수납!$D:$D,IF(원생!$G477="","",원생!$G477),수납!$B:$B,$B$1&amp;"-"&amp;TEXT(11,"00")&amp;"*",수납!$E:$E,""))</f>
        <v/>
      </c>
      <c r="N479" s="14">
        <f>IF(원생!$A477="","",SUMIFS(수납!$F:$F,수납!$C:$C,원생!$A477,수납!$D:$D,IF(원생!$G477="","",원생!$G477),수납!$B:$B,$B$1&amp;"-"&amp;TEXT(12,"00")&amp;"*",수납!$E:$E,"수강료")+SUMIFS(수납!$F:$F,수납!$C:$C,원생!$A477,수납!$D:$D,IF(원생!$G477="","",원생!$G477),수납!$B:$B,$B$1&amp;"-"&amp;TEXT(12,"00")&amp;"*",수납!$E:$E,""))</f>
        <v/>
      </c>
      <c r="O479">
        <f>IF(원생!$I477="","",원생!$I477)</f>
        <v/>
      </c>
      <c r="P479">
        <f>IF($A479="","",IF(AND($B479&gt;0,C479&lt;$B479,DATE($B$1,1,1)&lt;=TODAY(),OR($O479="",$O479&gt;=DATE($B$1,1,1)),OR(COUNTIF($C479:C479,"&gt;0")&gt;0,DATE($B$1,1,1)=DATE(YEAR(TODAY()),MONTH(TODAY()),1))),1,0))</f>
        <v/>
      </c>
      <c r="Q479">
        <f>IF($A479="","",IF(AND($B479&gt;0,D479&lt;$B479,DATE($B$1,2,1)&lt;=TODAY(),OR($O479="",$O479&gt;=DATE($B$1,2,1)),OR(COUNTIF($C479:D479,"&gt;0")&gt;0,DATE($B$1,2,1)=DATE(YEAR(TODAY()),MONTH(TODAY()),1))),1,0))</f>
        <v/>
      </c>
      <c r="R479">
        <f>IF($A479="","",IF(AND($B479&gt;0,E479&lt;$B479,DATE($B$1,3,1)&lt;=TODAY(),OR($O479="",$O479&gt;=DATE($B$1,3,1)),OR(COUNTIF($C479:E479,"&gt;0")&gt;0,DATE($B$1,3,1)=DATE(YEAR(TODAY()),MONTH(TODAY()),1))),1,0))</f>
        <v/>
      </c>
      <c r="S479">
        <f>IF($A479="","",IF(AND($B479&gt;0,F479&lt;$B479,DATE($B$1,4,1)&lt;=TODAY(),OR($O479="",$O479&gt;=DATE($B$1,4,1)),OR(COUNTIF($C479:F479,"&gt;0")&gt;0,DATE($B$1,4,1)=DATE(YEAR(TODAY()),MONTH(TODAY()),1))),1,0))</f>
        <v/>
      </c>
      <c r="T479">
        <f>IF($A479="","",IF(AND($B479&gt;0,G479&lt;$B479,DATE($B$1,5,1)&lt;=TODAY(),OR($O479="",$O479&gt;=DATE($B$1,5,1)),OR(COUNTIF($C479:G479,"&gt;0")&gt;0,DATE($B$1,5,1)=DATE(YEAR(TODAY()),MONTH(TODAY()),1))),1,0))</f>
        <v/>
      </c>
      <c r="U479">
        <f>IF($A479="","",IF(AND($B479&gt;0,H479&lt;$B479,DATE($B$1,6,1)&lt;=TODAY(),OR($O479="",$O479&gt;=DATE($B$1,6,1)),OR(COUNTIF($C479:H479,"&gt;0")&gt;0,DATE($B$1,6,1)=DATE(YEAR(TODAY()),MONTH(TODAY()),1))),1,0))</f>
        <v/>
      </c>
      <c r="V479">
        <f>IF($A479="","",IF(AND($B479&gt;0,I479&lt;$B479,DATE($B$1,7,1)&lt;=TODAY(),OR($O479="",$O479&gt;=DATE($B$1,7,1)),OR(COUNTIF($C479:I479,"&gt;0")&gt;0,DATE($B$1,7,1)=DATE(YEAR(TODAY()),MONTH(TODAY()),1))),1,0))</f>
        <v/>
      </c>
      <c r="W479">
        <f>IF($A479="","",IF(AND($B479&gt;0,J479&lt;$B479,DATE($B$1,8,1)&lt;=TODAY(),OR($O479="",$O479&gt;=DATE($B$1,8,1)),OR(COUNTIF($C479:J479,"&gt;0")&gt;0,DATE($B$1,8,1)=DATE(YEAR(TODAY()),MONTH(TODAY()),1))),1,0))</f>
        <v/>
      </c>
      <c r="X479">
        <f>IF($A479="","",IF(AND($B479&gt;0,K479&lt;$B479,DATE($B$1,9,1)&lt;=TODAY(),OR($O479="",$O479&gt;=DATE($B$1,9,1)),OR(COUNTIF($C479:K479,"&gt;0")&gt;0,DATE($B$1,9,1)=DATE(YEAR(TODAY()),MONTH(TODAY()),1))),1,0))</f>
        <v/>
      </c>
      <c r="Y479">
        <f>IF($A479="","",IF(AND($B479&gt;0,L479&lt;$B479,DATE($B$1,10,1)&lt;=TODAY(),OR($O479="",$O479&gt;=DATE($B$1,10,1)),OR(COUNTIF($C479:L479,"&gt;0")&gt;0,DATE($B$1,10,1)=DATE(YEAR(TODAY()),MONTH(TODAY()),1))),1,0))</f>
        <v/>
      </c>
      <c r="Z479">
        <f>IF($A479="","",IF(AND($B479&gt;0,M479&lt;$B479,DATE($B$1,11,1)&lt;=TODAY(),OR($O479="",$O479&gt;=DATE($B$1,11,1)),OR(COUNTIF($C479:M479,"&gt;0")&gt;0,DATE($B$1,11,1)=DATE(YEAR(TODAY()),MONTH(TODAY()),1))),1,0))</f>
        <v/>
      </c>
      <c r="AA479">
        <f>IF($A479="","",IF(AND($B479&gt;0,N479&lt;$B479,DATE($B$1,12,1)&lt;=TODAY(),OR($O479="",$O479&gt;=DATE($B$1,12,1)),OR(COUNTIF($C479:N479,"&gt;0")&gt;0,DATE($B$1,12,1)=DATE(YEAR(TODAY()),MONTH(TODAY()),1))),1,0))</f>
        <v/>
      </c>
    </row>
    <row r="480">
      <c r="A480" s="13">
        <f>IF(원생!$A478="","",원생!$A478&amp;IF(원생!$G478="",""," ("&amp;원생!$G478&amp;")"))</f>
        <v/>
      </c>
      <c r="B480" s="8">
        <f>IF(원생!$A478="","",원생!$F478)</f>
        <v/>
      </c>
      <c r="C480" s="14">
        <f>IF(원생!$A478="","",SUMIFS(수납!$F:$F,수납!$C:$C,원생!$A478,수납!$D:$D,IF(원생!$G478="","",원생!$G478),수납!$B:$B,$B$1&amp;"-"&amp;TEXT(1,"00")&amp;"*",수납!$E:$E,"수강료")+SUMIFS(수납!$F:$F,수납!$C:$C,원생!$A478,수납!$D:$D,IF(원생!$G478="","",원생!$G478),수납!$B:$B,$B$1&amp;"-"&amp;TEXT(1,"00")&amp;"*",수납!$E:$E,""))</f>
        <v/>
      </c>
      <c r="D480" s="14">
        <f>IF(원생!$A478="","",SUMIFS(수납!$F:$F,수납!$C:$C,원생!$A478,수납!$D:$D,IF(원생!$G478="","",원생!$G478),수납!$B:$B,$B$1&amp;"-"&amp;TEXT(2,"00")&amp;"*",수납!$E:$E,"수강료")+SUMIFS(수납!$F:$F,수납!$C:$C,원생!$A478,수납!$D:$D,IF(원생!$G478="","",원생!$G478),수납!$B:$B,$B$1&amp;"-"&amp;TEXT(2,"00")&amp;"*",수납!$E:$E,""))</f>
        <v/>
      </c>
      <c r="E480" s="14">
        <f>IF(원생!$A478="","",SUMIFS(수납!$F:$F,수납!$C:$C,원생!$A478,수납!$D:$D,IF(원생!$G478="","",원생!$G478),수납!$B:$B,$B$1&amp;"-"&amp;TEXT(3,"00")&amp;"*",수납!$E:$E,"수강료")+SUMIFS(수납!$F:$F,수납!$C:$C,원생!$A478,수납!$D:$D,IF(원생!$G478="","",원생!$G478),수납!$B:$B,$B$1&amp;"-"&amp;TEXT(3,"00")&amp;"*",수납!$E:$E,""))</f>
        <v/>
      </c>
      <c r="F480" s="14">
        <f>IF(원생!$A478="","",SUMIFS(수납!$F:$F,수납!$C:$C,원생!$A478,수납!$D:$D,IF(원생!$G478="","",원생!$G478),수납!$B:$B,$B$1&amp;"-"&amp;TEXT(4,"00")&amp;"*",수납!$E:$E,"수강료")+SUMIFS(수납!$F:$F,수납!$C:$C,원생!$A478,수납!$D:$D,IF(원생!$G478="","",원생!$G478),수납!$B:$B,$B$1&amp;"-"&amp;TEXT(4,"00")&amp;"*",수납!$E:$E,""))</f>
        <v/>
      </c>
      <c r="G480" s="14">
        <f>IF(원생!$A478="","",SUMIFS(수납!$F:$F,수납!$C:$C,원생!$A478,수납!$D:$D,IF(원생!$G478="","",원생!$G478),수납!$B:$B,$B$1&amp;"-"&amp;TEXT(5,"00")&amp;"*",수납!$E:$E,"수강료")+SUMIFS(수납!$F:$F,수납!$C:$C,원생!$A478,수납!$D:$D,IF(원생!$G478="","",원생!$G478),수납!$B:$B,$B$1&amp;"-"&amp;TEXT(5,"00")&amp;"*",수납!$E:$E,""))</f>
        <v/>
      </c>
      <c r="H480" s="14">
        <f>IF(원생!$A478="","",SUMIFS(수납!$F:$F,수납!$C:$C,원생!$A478,수납!$D:$D,IF(원생!$G478="","",원생!$G478),수납!$B:$B,$B$1&amp;"-"&amp;TEXT(6,"00")&amp;"*",수납!$E:$E,"수강료")+SUMIFS(수납!$F:$F,수납!$C:$C,원생!$A478,수납!$D:$D,IF(원생!$G478="","",원생!$G478),수납!$B:$B,$B$1&amp;"-"&amp;TEXT(6,"00")&amp;"*",수납!$E:$E,""))</f>
        <v/>
      </c>
      <c r="I480" s="14">
        <f>IF(원생!$A478="","",SUMIFS(수납!$F:$F,수납!$C:$C,원생!$A478,수납!$D:$D,IF(원생!$G478="","",원생!$G478),수납!$B:$B,$B$1&amp;"-"&amp;TEXT(7,"00")&amp;"*",수납!$E:$E,"수강료")+SUMIFS(수납!$F:$F,수납!$C:$C,원생!$A478,수납!$D:$D,IF(원생!$G478="","",원생!$G478),수납!$B:$B,$B$1&amp;"-"&amp;TEXT(7,"00")&amp;"*",수납!$E:$E,""))</f>
        <v/>
      </c>
      <c r="J480" s="14">
        <f>IF(원생!$A478="","",SUMIFS(수납!$F:$F,수납!$C:$C,원생!$A478,수납!$D:$D,IF(원생!$G478="","",원생!$G478),수납!$B:$B,$B$1&amp;"-"&amp;TEXT(8,"00")&amp;"*",수납!$E:$E,"수강료")+SUMIFS(수납!$F:$F,수납!$C:$C,원생!$A478,수납!$D:$D,IF(원생!$G478="","",원생!$G478),수납!$B:$B,$B$1&amp;"-"&amp;TEXT(8,"00")&amp;"*",수납!$E:$E,""))</f>
        <v/>
      </c>
      <c r="K480" s="14">
        <f>IF(원생!$A478="","",SUMIFS(수납!$F:$F,수납!$C:$C,원생!$A478,수납!$D:$D,IF(원생!$G478="","",원생!$G478),수납!$B:$B,$B$1&amp;"-"&amp;TEXT(9,"00")&amp;"*",수납!$E:$E,"수강료")+SUMIFS(수납!$F:$F,수납!$C:$C,원생!$A478,수납!$D:$D,IF(원생!$G478="","",원생!$G478),수납!$B:$B,$B$1&amp;"-"&amp;TEXT(9,"00")&amp;"*",수납!$E:$E,""))</f>
        <v/>
      </c>
      <c r="L480" s="14">
        <f>IF(원생!$A478="","",SUMIFS(수납!$F:$F,수납!$C:$C,원생!$A478,수납!$D:$D,IF(원생!$G478="","",원생!$G478),수납!$B:$B,$B$1&amp;"-"&amp;TEXT(10,"00")&amp;"*",수납!$E:$E,"수강료")+SUMIFS(수납!$F:$F,수납!$C:$C,원생!$A478,수납!$D:$D,IF(원생!$G478="","",원생!$G478),수납!$B:$B,$B$1&amp;"-"&amp;TEXT(10,"00")&amp;"*",수납!$E:$E,""))</f>
        <v/>
      </c>
      <c r="M480" s="14">
        <f>IF(원생!$A478="","",SUMIFS(수납!$F:$F,수납!$C:$C,원생!$A478,수납!$D:$D,IF(원생!$G478="","",원생!$G478),수납!$B:$B,$B$1&amp;"-"&amp;TEXT(11,"00")&amp;"*",수납!$E:$E,"수강료")+SUMIFS(수납!$F:$F,수납!$C:$C,원생!$A478,수납!$D:$D,IF(원생!$G478="","",원생!$G478),수납!$B:$B,$B$1&amp;"-"&amp;TEXT(11,"00")&amp;"*",수납!$E:$E,""))</f>
        <v/>
      </c>
      <c r="N480" s="14">
        <f>IF(원생!$A478="","",SUMIFS(수납!$F:$F,수납!$C:$C,원생!$A478,수납!$D:$D,IF(원생!$G478="","",원생!$G478),수납!$B:$B,$B$1&amp;"-"&amp;TEXT(12,"00")&amp;"*",수납!$E:$E,"수강료")+SUMIFS(수납!$F:$F,수납!$C:$C,원생!$A478,수납!$D:$D,IF(원생!$G478="","",원생!$G478),수납!$B:$B,$B$1&amp;"-"&amp;TEXT(12,"00")&amp;"*",수납!$E:$E,""))</f>
        <v/>
      </c>
      <c r="O480">
        <f>IF(원생!$I478="","",원생!$I478)</f>
        <v/>
      </c>
      <c r="P480">
        <f>IF($A480="","",IF(AND($B480&gt;0,C480&lt;$B480,DATE($B$1,1,1)&lt;=TODAY(),OR($O480="",$O480&gt;=DATE($B$1,1,1)),OR(COUNTIF($C480:C480,"&gt;0")&gt;0,DATE($B$1,1,1)=DATE(YEAR(TODAY()),MONTH(TODAY()),1))),1,0))</f>
        <v/>
      </c>
      <c r="Q480">
        <f>IF($A480="","",IF(AND($B480&gt;0,D480&lt;$B480,DATE($B$1,2,1)&lt;=TODAY(),OR($O480="",$O480&gt;=DATE($B$1,2,1)),OR(COUNTIF($C480:D480,"&gt;0")&gt;0,DATE($B$1,2,1)=DATE(YEAR(TODAY()),MONTH(TODAY()),1))),1,0))</f>
        <v/>
      </c>
      <c r="R480">
        <f>IF($A480="","",IF(AND($B480&gt;0,E480&lt;$B480,DATE($B$1,3,1)&lt;=TODAY(),OR($O480="",$O480&gt;=DATE($B$1,3,1)),OR(COUNTIF($C480:E480,"&gt;0")&gt;0,DATE($B$1,3,1)=DATE(YEAR(TODAY()),MONTH(TODAY()),1))),1,0))</f>
        <v/>
      </c>
      <c r="S480">
        <f>IF($A480="","",IF(AND($B480&gt;0,F480&lt;$B480,DATE($B$1,4,1)&lt;=TODAY(),OR($O480="",$O480&gt;=DATE($B$1,4,1)),OR(COUNTIF($C480:F480,"&gt;0")&gt;0,DATE($B$1,4,1)=DATE(YEAR(TODAY()),MONTH(TODAY()),1))),1,0))</f>
        <v/>
      </c>
      <c r="T480">
        <f>IF($A480="","",IF(AND($B480&gt;0,G480&lt;$B480,DATE($B$1,5,1)&lt;=TODAY(),OR($O480="",$O480&gt;=DATE($B$1,5,1)),OR(COUNTIF($C480:G480,"&gt;0")&gt;0,DATE($B$1,5,1)=DATE(YEAR(TODAY()),MONTH(TODAY()),1))),1,0))</f>
        <v/>
      </c>
      <c r="U480">
        <f>IF($A480="","",IF(AND($B480&gt;0,H480&lt;$B480,DATE($B$1,6,1)&lt;=TODAY(),OR($O480="",$O480&gt;=DATE($B$1,6,1)),OR(COUNTIF($C480:H480,"&gt;0")&gt;0,DATE($B$1,6,1)=DATE(YEAR(TODAY()),MONTH(TODAY()),1))),1,0))</f>
        <v/>
      </c>
      <c r="V480">
        <f>IF($A480="","",IF(AND($B480&gt;0,I480&lt;$B480,DATE($B$1,7,1)&lt;=TODAY(),OR($O480="",$O480&gt;=DATE($B$1,7,1)),OR(COUNTIF($C480:I480,"&gt;0")&gt;0,DATE($B$1,7,1)=DATE(YEAR(TODAY()),MONTH(TODAY()),1))),1,0))</f>
        <v/>
      </c>
      <c r="W480">
        <f>IF($A480="","",IF(AND($B480&gt;0,J480&lt;$B480,DATE($B$1,8,1)&lt;=TODAY(),OR($O480="",$O480&gt;=DATE($B$1,8,1)),OR(COUNTIF($C480:J480,"&gt;0")&gt;0,DATE($B$1,8,1)=DATE(YEAR(TODAY()),MONTH(TODAY()),1))),1,0))</f>
        <v/>
      </c>
      <c r="X480">
        <f>IF($A480="","",IF(AND($B480&gt;0,K480&lt;$B480,DATE($B$1,9,1)&lt;=TODAY(),OR($O480="",$O480&gt;=DATE($B$1,9,1)),OR(COUNTIF($C480:K480,"&gt;0")&gt;0,DATE($B$1,9,1)=DATE(YEAR(TODAY()),MONTH(TODAY()),1))),1,0))</f>
        <v/>
      </c>
      <c r="Y480">
        <f>IF($A480="","",IF(AND($B480&gt;0,L480&lt;$B480,DATE($B$1,10,1)&lt;=TODAY(),OR($O480="",$O480&gt;=DATE($B$1,10,1)),OR(COUNTIF($C480:L480,"&gt;0")&gt;0,DATE($B$1,10,1)=DATE(YEAR(TODAY()),MONTH(TODAY()),1))),1,0))</f>
        <v/>
      </c>
      <c r="Z480">
        <f>IF($A480="","",IF(AND($B480&gt;0,M480&lt;$B480,DATE($B$1,11,1)&lt;=TODAY(),OR($O480="",$O480&gt;=DATE($B$1,11,1)),OR(COUNTIF($C480:M480,"&gt;0")&gt;0,DATE($B$1,11,1)=DATE(YEAR(TODAY()),MONTH(TODAY()),1))),1,0))</f>
        <v/>
      </c>
      <c r="AA480">
        <f>IF($A480="","",IF(AND($B480&gt;0,N480&lt;$B480,DATE($B$1,12,1)&lt;=TODAY(),OR($O480="",$O480&gt;=DATE($B$1,12,1)),OR(COUNTIF($C480:N480,"&gt;0")&gt;0,DATE($B$1,12,1)=DATE(YEAR(TODAY()),MONTH(TODAY()),1))),1,0))</f>
        <v/>
      </c>
    </row>
    <row r="481">
      <c r="A481" s="13">
        <f>IF(원생!$A479="","",원생!$A479&amp;IF(원생!$G479="",""," ("&amp;원생!$G479&amp;")"))</f>
        <v/>
      </c>
      <c r="B481" s="8">
        <f>IF(원생!$A479="","",원생!$F479)</f>
        <v/>
      </c>
      <c r="C481" s="14">
        <f>IF(원생!$A479="","",SUMIFS(수납!$F:$F,수납!$C:$C,원생!$A479,수납!$D:$D,IF(원생!$G479="","",원생!$G479),수납!$B:$B,$B$1&amp;"-"&amp;TEXT(1,"00")&amp;"*",수납!$E:$E,"수강료")+SUMIFS(수납!$F:$F,수납!$C:$C,원생!$A479,수납!$D:$D,IF(원생!$G479="","",원생!$G479),수납!$B:$B,$B$1&amp;"-"&amp;TEXT(1,"00")&amp;"*",수납!$E:$E,""))</f>
        <v/>
      </c>
      <c r="D481" s="14">
        <f>IF(원생!$A479="","",SUMIFS(수납!$F:$F,수납!$C:$C,원생!$A479,수납!$D:$D,IF(원생!$G479="","",원생!$G479),수납!$B:$B,$B$1&amp;"-"&amp;TEXT(2,"00")&amp;"*",수납!$E:$E,"수강료")+SUMIFS(수납!$F:$F,수납!$C:$C,원생!$A479,수납!$D:$D,IF(원생!$G479="","",원생!$G479),수납!$B:$B,$B$1&amp;"-"&amp;TEXT(2,"00")&amp;"*",수납!$E:$E,""))</f>
        <v/>
      </c>
      <c r="E481" s="14">
        <f>IF(원생!$A479="","",SUMIFS(수납!$F:$F,수납!$C:$C,원생!$A479,수납!$D:$D,IF(원생!$G479="","",원생!$G479),수납!$B:$B,$B$1&amp;"-"&amp;TEXT(3,"00")&amp;"*",수납!$E:$E,"수강료")+SUMIFS(수납!$F:$F,수납!$C:$C,원생!$A479,수납!$D:$D,IF(원생!$G479="","",원생!$G479),수납!$B:$B,$B$1&amp;"-"&amp;TEXT(3,"00")&amp;"*",수납!$E:$E,""))</f>
        <v/>
      </c>
      <c r="F481" s="14">
        <f>IF(원생!$A479="","",SUMIFS(수납!$F:$F,수납!$C:$C,원생!$A479,수납!$D:$D,IF(원생!$G479="","",원생!$G479),수납!$B:$B,$B$1&amp;"-"&amp;TEXT(4,"00")&amp;"*",수납!$E:$E,"수강료")+SUMIFS(수납!$F:$F,수납!$C:$C,원생!$A479,수납!$D:$D,IF(원생!$G479="","",원생!$G479),수납!$B:$B,$B$1&amp;"-"&amp;TEXT(4,"00")&amp;"*",수납!$E:$E,""))</f>
        <v/>
      </c>
      <c r="G481" s="14">
        <f>IF(원생!$A479="","",SUMIFS(수납!$F:$F,수납!$C:$C,원생!$A479,수납!$D:$D,IF(원생!$G479="","",원생!$G479),수납!$B:$B,$B$1&amp;"-"&amp;TEXT(5,"00")&amp;"*",수납!$E:$E,"수강료")+SUMIFS(수납!$F:$F,수납!$C:$C,원생!$A479,수납!$D:$D,IF(원생!$G479="","",원생!$G479),수납!$B:$B,$B$1&amp;"-"&amp;TEXT(5,"00")&amp;"*",수납!$E:$E,""))</f>
        <v/>
      </c>
      <c r="H481" s="14">
        <f>IF(원생!$A479="","",SUMIFS(수납!$F:$F,수납!$C:$C,원생!$A479,수납!$D:$D,IF(원생!$G479="","",원생!$G479),수납!$B:$B,$B$1&amp;"-"&amp;TEXT(6,"00")&amp;"*",수납!$E:$E,"수강료")+SUMIFS(수납!$F:$F,수납!$C:$C,원생!$A479,수납!$D:$D,IF(원생!$G479="","",원생!$G479),수납!$B:$B,$B$1&amp;"-"&amp;TEXT(6,"00")&amp;"*",수납!$E:$E,""))</f>
        <v/>
      </c>
      <c r="I481" s="14">
        <f>IF(원생!$A479="","",SUMIFS(수납!$F:$F,수납!$C:$C,원생!$A479,수납!$D:$D,IF(원생!$G479="","",원생!$G479),수납!$B:$B,$B$1&amp;"-"&amp;TEXT(7,"00")&amp;"*",수납!$E:$E,"수강료")+SUMIFS(수납!$F:$F,수납!$C:$C,원생!$A479,수납!$D:$D,IF(원생!$G479="","",원생!$G479),수납!$B:$B,$B$1&amp;"-"&amp;TEXT(7,"00")&amp;"*",수납!$E:$E,""))</f>
        <v/>
      </c>
      <c r="J481" s="14">
        <f>IF(원생!$A479="","",SUMIFS(수납!$F:$F,수납!$C:$C,원생!$A479,수납!$D:$D,IF(원생!$G479="","",원생!$G479),수납!$B:$B,$B$1&amp;"-"&amp;TEXT(8,"00")&amp;"*",수납!$E:$E,"수강료")+SUMIFS(수납!$F:$F,수납!$C:$C,원생!$A479,수납!$D:$D,IF(원생!$G479="","",원생!$G479),수납!$B:$B,$B$1&amp;"-"&amp;TEXT(8,"00")&amp;"*",수납!$E:$E,""))</f>
        <v/>
      </c>
      <c r="K481" s="14">
        <f>IF(원생!$A479="","",SUMIFS(수납!$F:$F,수납!$C:$C,원생!$A479,수납!$D:$D,IF(원생!$G479="","",원생!$G479),수납!$B:$B,$B$1&amp;"-"&amp;TEXT(9,"00")&amp;"*",수납!$E:$E,"수강료")+SUMIFS(수납!$F:$F,수납!$C:$C,원생!$A479,수납!$D:$D,IF(원생!$G479="","",원생!$G479),수납!$B:$B,$B$1&amp;"-"&amp;TEXT(9,"00")&amp;"*",수납!$E:$E,""))</f>
        <v/>
      </c>
      <c r="L481" s="14">
        <f>IF(원생!$A479="","",SUMIFS(수납!$F:$F,수납!$C:$C,원생!$A479,수납!$D:$D,IF(원생!$G479="","",원생!$G479),수납!$B:$B,$B$1&amp;"-"&amp;TEXT(10,"00")&amp;"*",수납!$E:$E,"수강료")+SUMIFS(수납!$F:$F,수납!$C:$C,원생!$A479,수납!$D:$D,IF(원생!$G479="","",원생!$G479),수납!$B:$B,$B$1&amp;"-"&amp;TEXT(10,"00")&amp;"*",수납!$E:$E,""))</f>
        <v/>
      </c>
      <c r="M481" s="14">
        <f>IF(원생!$A479="","",SUMIFS(수납!$F:$F,수납!$C:$C,원생!$A479,수납!$D:$D,IF(원생!$G479="","",원생!$G479),수납!$B:$B,$B$1&amp;"-"&amp;TEXT(11,"00")&amp;"*",수납!$E:$E,"수강료")+SUMIFS(수납!$F:$F,수납!$C:$C,원생!$A479,수납!$D:$D,IF(원생!$G479="","",원생!$G479),수납!$B:$B,$B$1&amp;"-"&amp;TEXT(11,"00")&amp;"*",수납!$E:$E,""))</f>
        <v/>
      </c>
      <c r="N481" s="14">
        <f>IF(원생!$A479="","",SUMIFS(수납!$F:$F,수납!$C:$C,원생!$A479,수납!$D:$D,IF(원생!$G479="","",원생!$G479),수납!$B:$B,$B$1&amp;"-"&amp;TEXT(12,"00")&amp;"*",수납!$E:$E,"수강료")+SUMIFS(수납!$F:$F,수납!$C:$C,원생!$A479,수납!$D:$D,IF(원생!$G479="","",원생!$G479),수납!$B:$B,$B$1&amp;"-"&amp;TEXT(12,"00")&amp;"*",수납!$E:$E,""))</f>
        <v/>
      </c>
      <c r="O481">
        <f>IF(원생!$I479="","",원생!$I479)</f>
        <v/>
      </c>
      <c r="P481">
        <f>IF($A481="","",IF(AND($B481&gt;0,C481&lt;$B481,DATE($B$1,1,1)&lt;=TODAY(),OR($O481="",$O481&gt;=DATE($B$1,1,1)),OR(COUNTIF($C481:C481,"&gt;0")&gt;0,DATE($B$1,1,1)=DATE(YEAR(TODAY()),MONTH(TODAY()),1))),1,0))</f>
        <v/>
      </c>
      <c r="Q481">
        <f>IF($A481="","",IF(AND($B481&gt;0,D481&lt;$B481,DATE($B$1,2,1)&lt;=TODAY(),OR($O481="",$O481&gt;=DATE($B$1,2,1)),OR(COUNTIF($C481:D481,"&gt;0")&gt;0,DATE($B$1,2,1)=DATE(YEAR(TODAY()),MONTH(TODAY()),1))),1,0))</f>
        <v/>
      </c>
      <c r="R481">
        <f>IF($A481="","",IF(AND($B481&gt;0,E481&lt;$B481,DATE($B$1,3,1)&lt;=TODAY(),OR($O481="",$O481&gt;=DATE($B$1,3,1)),OR(COUNTIF($C481:E481,"&gt;0")&gt;0,DATE($B$1,3,1)=DATE(YEAR(TODAY()),MONTH(TODAY()),1))),1,0))</f>
        <v/>
      </c>
      <c r="S481">
        <f>IF($A481="","",IF(AND($B481&gt;0,F481&lt;$B481,DATE($B$1,4,1)&lt;=TODAY(),OR($O481="",$O481&gt;=DATE($B$1,4,1)),OR(COUNTIF($C481:F481,"&gt;0")&gt;0,DATE($B$1,4,1)=DATE(YEAR(TODAY()),MONTH(TODAY()),1))),1,0))</f>
        <v/>
      </c>
      <c r="T481">
        <f>IF($A481="","",IF(AND($B481&gt;0,G481&lt;$B481,DATE($B$1,5,1)&lt;=TODAY(),OR($O481="",$O481&gt;=DATE($B$1,5,1)),OR(COUNTIF($C481:G481,"&gt;0")&gt;0,DATE($B$1,5,1)=DATE(YEAR(TODAY()),MONTH(TODAY()),1))),1,0))</f>
        <v/>
      </c>
      <c r="U481">
        <f>IF($A481="","",IF(AND($B481&gt;0,H481&lt;$B481,DATE($B$1,6,1)&lt;=TODAY(),OR($O481="",$O481&gt;=DATE($B$1,6,1)),OR(COUNTIF($C481:H481,"&gt;0")&gt;0,DATE($B$1,6,1)=DATE(YEAR(TODAY()),MONTH(TODAY()),1))),1,0))</f>
        <v/>
      </c>
      <c r="V481">
        <f>IF($A481="","",IF(AND($B481&gt;0,I481&lt;$B481,DATE($B$1,7,1)&lt;=TODAY(),OR($O481="",$O481&gt;=DATE($B$1,7,1)),OR(COUNTIF($C481:I481,"&gt;0")&gt;0,DATE($B$1,7,1)=DATE(YEAR(TODAY()),MONTH(TODAY()),1))),1,0))</f>
        <v/>
      </c>
      <c r="W481">
        <f>IF($A481="","",IF(AND($B481&gt;0,J481&lt;$B481,DATE($B$1,8,1)&lt;=TODAY(),OR($O481="",$O481&gt;=DATE($B$1,8,1)),OR(COUNTIF($C481:J481,"&gt;0")&gt;0,DATE($B$1,8,1)=DATE(YEAR(TODAY()),MONTH(TODAY()),1))),1,0))</f>
        <v/>
      </c>
      <c r="X481">
        <f>IF($A481="","",IF(AND($B481&gt;0,K481&lt;$B481,DATE($B$1,9,1)&lt;=TODAY(),OR($O481="",$O481&gt;=DATE($B$1,9,1)),OR(COUNTIF($C481:K481,"&gt;0")&gt;0,DATE($B$1,9,1)=DATE(YEAR(TODAY()),MONTH(TODAY()),1))),1,0))</f>
        <v/>
      </c>
      <c r="Y481">
        <f>IF($A481="","",IF(AND($B481&gt;0,L481&lt;$B481,DATE($B$1,10,1)&lt;=TODAY(),OR($O481="",$O481&gt;=DATE($B$1,10,1)),OR(COUNTIF($C481:L481,"&gt;0")&gt;0,DATE($B$1,10,1)=DATE(YEAR(TODAY()),MONTH(TODAY()),1))),1,0))</f>
        <v/>
      </c>
      <c r="Z481">
        <f>IF($A481="","",IF(AND($B481&gt;0,M481&lt;$B481,DATE($B$1,11,1)&lt;=TODAY(),OR($O481="",$O481&gt;=DATE($B$1,11,1)),OR(COUNTIF($C481:M481,"&gt;0")&gt;0,DATE($B$1,11,1)=DATE(YEAR(TODAY()),MONTH(TODAY()),1))),1,0))</f>
        <v/>
      </c>
      <c r="AA481">
        <f>IF($A481="","",IF(AND($B481&gt;0,N481&lt;$B481,DATE($B$1,12,1)&lt;=TODAY(),OR($O481="",$O481&gt;=DATE($B$1,12,1)),OR(COUNTIF($C481:N481,"&gt;0")&gt;0,DATE($B$1,12,1)=DATE(YEAR(TODAY()),MONTH(TODAY()),1))),1,0))</f>
        <v/>
      </c>
    </row>
    <row r="482">
      <c r="A482" s="13">
        <f>IF(원생!$A480="","",원생!$A480&amp;IF(원생!$G480="",""," ("&amp;원생!$G480&amp;")"))</f>
        <v/>
      </c>
      <c r="B482" s="8">
        <f>IF(원생!$A480="","",원생!$F480)</f>
        <v/>
      </c>
      <c r="C482" s="14">
        <f>IF(원생!$A480="","",SUMIFS(수납!$F:$F,수납!$C:$C,원생!$A480,수납!$D:$D,IF(원생!$G480="","",원생!$G480),수납!$B:$B,$B$1&amp;"-"&amp;TEXT(1,"00")&amp;"*",수납!$E:$E,"수강료")+SUMIFS(수납!$F:$F,수납!$C:$C,원생!$A480,수납!$D:$D,IF(원생!$G480="","",원생!$G480),수납!$B:$B,$B$1&amp;"-"&amp;TEXT(1,"00")&amp;"*",수납!$E:$E,""))</f>
        <v/>
      </c>
      <c r="D482" s="14">
        <f>IF(원생!$A480="","",SUMIFS(수납!$F:$F,수납!$C:$C,원생!$A480,수납!$D:$D,IF(원생!$G480="","",원생!$G480),수납!$B:$B,$B$1&amp;"-"&amp;TEXT(2,"00")&amp;"*",수납!$E:$E,"수강료")+SUMIFS(수납!$F:$F,수납!$C:$C,원생!$A480,수납!$D:$D,IF(원생!$G480="","",원생!$G480),수납!$B:$B,$B$1&amp;"-"&amp;TEXT(2,"00")&amp;"*",수납!$E:$E,""))</f>
        <v/>
      </c>
      <c r="E482" s="14">
        <f>IF(원생!$A480="","",SUMIFS(수납!$F:$F,수납!$C:$C,원생!$A480,수납!$D:$D,IF(원생!$G480="","",원생!$G480),수납!$B:$B,$B$1&amp;"-"&amp;TEXT(3,"00")&amp;"*",수납!$E:$E,"수강료")+SUMIFS(수납!$F:$F,수납!$C:$C,원생!$A480,수납!$D:$D,IF(원생!$G480="","",원생!$G480),수납!$B:$B,$B$1&amp;"-"&amp;TEXT(3,"00")&amp;"*",수납!$E:$E,""))</f>
        <v/>
      </c>
      <c r="F482" s="14">
        <f>IF(원생!$A480="","",SUMIFS(수납!$F:$F,수납!$C:$C,원생!$A480,수납!$D:$D,IF(원생!$G480="","",원생!$G480),수납!$B:$B,$B$1&amp;"-"&amp;TEXT(4,"00")&amp;"*",수납!$E:$E,"수강료")+SUMIFS(수납!$F:$F,수납!$C:$C,원생!$A480,수납!$D:$D,IF(원생!$G480="","",원생!$G480),수납!$B:$B,$B$1&amp;"-"&amp;TEXT(4,"00")&amp;"*",수납!$E:$E,""))</f>
        <v/>
      </c>
      <c r="G482" s="14">
        <f>IF(원생!$A480="","",SUMIFS(수납!$F:$F,수납!$C:$C,원생!$A480,수납!$D:$D,IF(원생!$G480="","",원생!$G480),수납!$B:$B,$B$1&amp;"-"&amp;TEXT(5,"00")&amp;"*",수납!$E:$E,"수강료")+SUMIFS(수납!$F:$F,수납!$C:$C,원생!$A480,수납!$D:$D,IF(원생!$G480="","",원생!$G480),수납!$B:$B,$B$1&amp;"-"&amp;TEXT(5,"00")&amp;"*",수납!$E:$E,""))</f>
        <v/>
      </c>
      <c r="H482" s="14">
        <f>IF(원생!$A480="","",SUMIFS(수납!$F:$F,수납!$C:$C,원생!$A480,수납!$D:$D,IF(원생!$G480="","",원생!$G480),수납!$B:$B,$B$1&amp;"-"&amp;TEXT(6,"00")&amp;"*",수납!$E:$E,"수강료")+SUMIFS(수납!$F:$F,수납!$C:$C,원생!$A480,수납!$D:$D,IF(원생!$G480="","",원생!$G480),수납!$B:$B,$B$1&amp;"-"&amp;TEXT(6,"00")&amp;"*",수납!$E:$E,""))</f>
        <v/>
      </c>
      <c r="I482" s="14">
        <f>IF(원생!$A480="","",SUMIFS(수납!$F:$F,수납!$C:$C,원생!$A480,수납!$D:$D,IF(원생!$G480="","",원생!$G480),수납!$B:$B,$B$1&amp;"-"&amp;TEXT(7,"00")&amp;"*",수납!$E:$E,"수강료")+SUMIFS(수납!$F:$F,수납!$C:$C,원생!$A480,수납!$D:$D,IF(원생!$G480="","",원생!$G480),수납!$B:$B,$B$1&amp;"-"&amp;TEXT(7,"00")&amp;"*",수납!$E:$E,""))</f>
        <v/>
      </c>
      <c r="J482" s="14">
        <f>IF(원생!$A480="","",SUMIFS(수납!$F:$F,수납!$C:$C,원생!$A480,수납!$D:$D,IF(원생!$G480="","",원생!$G480),수납!$B:$B,$B$1&amp;"-"&amp;TEXT(8,"00")&amp;"*",수납!$E:$E,"수강료")+SUMIFS(수납!$F:$F,수납!$C:$C,원생!$A480,수납!$D:$D,IF(원생!$G480="","",원생!$G480),수납!$B:$B,$B$1&amp;"-"&amp;TEXT(8,"00")&amp;"*",수납!$E:$E,""))</f>
        <v/>
      </c>
      <c r="K482" s="14">
        <f>IF(원생!$A480="","",SUMIFS(수납!$F:$F,수납!$C:$C,원생!$A480,수납!$D:$D,IF(원생!$G480="","",원생!$G480),수납!$B:$B,$B$1&amp;"-"&amp;TEXT(9,"00")&amp;"*",수납!$E:$E,"수강료")+SUMIFS(수납!$F:$F,수납!$C:$C,원생!$A480,수납!$D:$D,IF(원생!$G480="","",원생!$G480),수납!$B:$B,$B$1&amp;"-"&amp;TEXT(9,"00")&amp;"*",수납!$E:$E,""))</f>
        <v/>
      </c>
      <c r="L482" s="14">
        <f>IF(원생!$A480="","",SUMIFS(수납!$F:$F,수납!$C:$C,원생!$A480,수납!$D:$D,IF(원생!$G480="","",원생!$G480),수납!$B:$B,$B$1&amp;"-"&amp;TEXT(10,"00")&amp;"*",수납!$E:$E,"수강료")+SUMIFS(수납!$F:$F,수납!$C:$C,원생!$A480,수납!$D:$D,IF(원생!$G480="","",원생!$G480),수납!$B:$B,$B$1&amp;"-"&amp;TEXT(10,"00")&amp;"*",수납!$E:$E,""))</f>
        <v/>
      </c>
      <c r="M482" s="14">
        <f>IF(원생!$A480="","",SUMIFS(수납!$F:$F,수납!$C:$C,원생!$A480,수납!$D:$D,IF(원생!$G480="","",원생!$G480),수납!$B:$B,$B$1&amp;"-"&amp;TEXT(11,"00")&amp;"*",수납!$E:$E,"수강료")+SUMIFS(수납!$F:$F,수납!$C:$C,원생!$A480,수납!$D:$D,IF(원생!$G480="","",원생!$G480),수납!$B:$B,$B$1&amp;"-"&amp;TEXT(11,"00")&amp;"*",수납!$E:$E,""))</f>
        <v/>
      </c>
      <c r="N482" s="14">
        <f>IF(원생!$A480="","",SUMIFS(수납!$F:$F,수납!$C:$C,원생!$A480,수납!$D:$D,IF(원생!$G480="","",원생!$G480),수납!$B:$B,$B$1&amp;"-"&amp;TEXT(12,"00")&amp;"*",수납!$E:$E,"수강료")+SUMIFS(수납!$F:$F,수납!$C:$C,원생!$A480,수납!$D:$D,IF(원생!$G480="","",원생!$G480),수납!$B:$B,$B$1&amp;"-"&amp;TEXT(12,"00")&amp;"*",수납!$E:$E,""))</f>
        <v/>
      </c>
      <c r="O482">
        <f>IF(원생!$I480="","",원생!$I480)</f>
        <v/>
      </c>
      <c r="P482">
        <f>IF($A482="","",IF(AND($B482&gt;0,C482&lt;$B482,DATE($B$1,1,1)&lt;=TODAY(),OR($O482="",$O482&gt;=DATE($B$1,1,1)),OR(COUNTIF($C482:C482,"&gt;0")&gt;0,DATE($B$1,1,1)=DATE(YEAR(TODAY()),MONTH(TODAY()),1))),1,0))</f>
        <v/>
      </c>
      <c r="Q482">
        <f>IF($A482="","",IF(AND($B482&gt;0,D482&lt;$B482,DATE($B$1,2,1)&lt;=TODAY(),OR($O482="",$O482&gt;=DATE($B$1,2,1)),OR(COUNTIF($C482:D482,"&gt;0")&gt;0,DATE($B$1,2,1)=DATE(YEAR(TODAY()),MONTH(TODAY()),1))),1,0))</f>
        <v/>
      </c>
      <c r="R482">
        <f>IF($A482="","",IF(AND($B482&gt;0,E482&lt;$B482,DATE($B$1,3,1)&lt;=TODAY(),OR($O482="",$O482&gt;=DATE($B$1,3,1)),OR(COUNTIF($C482:E482,"&gt;0")&gt;0,DATE($B$1,3,1)=DATE(YEAR(TODAY()),MONTH(TODAY()),1))),1,0))</f>
        <v/>
      </c>
      <c r="S482">
        <f>IF($A482="","",IF(AND($B482&gt;0,F482&lt;$B482,DATE($B$1,4,1)&lt;=TODAY(),OR($O482="",$O482&gt;=DATE($B$1,4,1)),OR(COUNTIF($C482:F482,"&gt;0")&gt;0,DATE($B$1,4,1)=DATE(YEAR(TODAY()),MONTH(TODAY()),1))),1,0))</f>
        <v/>
      </c>
      <c r="T482">
        <f>IF($A482="","",IF(AND($B482&gt;0,G482&lt;$B482,DATE($B$1,5,1)&lt;=TODAY(),OR($O482="",$O482&gt;=DATE($B$1,5,1)),OR(COUNTIF($C482:G482,"&gt;0")&gt;0,DATE($B$1,5,1)=DATE(YEAR(TODAY()),MONTH(TODAY()),1))),1,0))</f>
        <v/>
      </c>
      <c r="U482">
        <f>IF($A482="","",IF(AND($B482&gt;0,H482&lt;$B482,DATE($B$1,6,1)&lt;=TODAY(),OR($O482="",$O482&gt;=DATE($B$1,6,1)),OR(COUNTIF($C482:H482,"&gt;0")&gt;0,DATE($B$1,6,1)=DATE(YEAR(TODAY()),MONTH(TODAY()),1))),1,0))</f>
        <v/>
      </c>
      <c r="V482">
        <f>IF($A482="","",IF(AND($B482&gt;0,I482&lt;$B482,DATE($B$1,7,1)&lt;=TODAY(),OR($O482="",$O482&gt;=DATE($B$1,7,1)),OR(COUNTIF($C482:I482,"&gt;0")&gt;0,DATE($B$1,7,1)=DATE(YEAR(TODAY()),MONTH(TODAY()),1))),1,0))</f>
        <v/>
      </c>
      <c r="W482">
        <f>IF($A482="","",IF(AND($B482&gt;0,J482&lt;$B482,DATE($B$1,8,1)&lt;=TODAY(),OR($O482="",$O482&gt;=DATE($B$1,8,1)),OR(COUNTIF($C482:J482,"&gt;0")&gt;0,DATE($B$1,8,1)=DATE(YEAR(TODAY()),MONTH(TODAY()),1))),1,0))</f>
        <v/>
      </c>
      <c r="X482">
        <f>IF($A482="","",IF(AND($B482&gt;0,K482&lt;$B482,DATE($B$1,9,1)&lt;=TODAY(),OR($O482="",$O482&gt;=DATE($B$1,9,1)),OR(COUNTIF($C482:K482,"&gt;0")&gt;0,DATE($B$1,9,1)=DATE(YEAR(TODAY()),MONTH(TODAY()),1))),1,0))</f>
        <v/>
      </c>
      <c r="Y482">
        <f>IF($A482="","",IF(AND($B482&gt;0,L482&lt;$B482,DATE($B$1,10,1)&lt;=TODAY(),OR($O482="",$O482&gt;=DATE($B$1,10,1)),OR(COUNTIF($C482:L482,"&gt;0")&gt;0,DATE($B$1,10,1)=DATE(YEAR(TODAY()),MONTH(TODAY()),1))),1,0))</f>
        <v/>
      </c>
      <c r="Z482">
        <f>IF($A482="","",IF(AND($B482&gt;0,M482&lt;$B482,DATE($B$1,11,1)&lt;=TODAY(),OR($O482="",$O482&gt;=DATE($B$1,11,1)),OR(COUNTIF($C482:M482,"&gt;0")&gt;0,DATE($B$1,11,1)=DATE(YEAR(TODAY()),MONTH(TODAY()),1))),1,0))</f>
        <v/>
      </c>
      <c r="AA482">
        <f>IF($A482="","",IF(AND($B482&gt;0,N482&lt;$B482,DATE($B$1,12,1)&lt;=TODAY(),OR($O482="",$O482&gt;=DATE($B$1,12,1)),OR(COUNTIF($C482:N482,"&gt;0")&gt;0,DATE($B$1,12,1)=DATE(YEAR(TODAY()),MONTH(TODAY()),1))),1,0))</f>
        <v/>
      </c>
    </row>
    <row r="483">
      <c r="A483" s="13">
        <f>IF(원생!$A481="","",원생!$A481&amp;IF(원생!$G481="",""," ("&amp;원생!$G481&amp;")"))</f>
        <v/>
      </c>
      <c r="B483" s="8">
        <f>IF(원생!$A481="","",원생!$F481)</f>
        <v/>
      </c>
      <c r="C483" s="14">
        <f>IF(원생!$A481="","",SUMIFS(수납!$F:$F,수납!$C:$C,원생!$A481,수납!$D:$D,IF(원생!$G481="","",원생!$G481),수납!$B:$B,$B$1&amp;"-"&amp;TEXT(1,"00")&amp;"*",수납!$E:$E,"수강료")+SUMIFS(수납!$F:$F,수납!$C:$C,원생!$A481,수납!$D:$D,IF(원생!$G481="","",원생!$G481),수납!$B:$B,$B$1&amp;"-"&amp;TEXT(1,"00")&amp;"*",수납!$E:$E,""))</f>
        <v/>
      </c>
      <c r="D483" s="14">
        <f>IF(원생!$A481="","",SUMIFS(수납!$F:$F,수납!$C:$C,원생!$A481,수납!$D:$D,IF(원생!$G481="","",원생!$G481),수납!$B:$B,$B$1&amp;"-"&amp;TEXT(2,"00")&amp;"*",수납!$E:$E,"수강료")+SUMIFS(수납!$F:$F,수납!$C:$C,원생!$A481,수납!$D:$D,IF(원생!$G481="","",원생!$G481),수납!$B:$B,$B$1&amp;"-"&amp;TEXT(2,"00")&amp;"*",수납!$E:$E,""))</f>
        <v/>
      </c>
      <c r="E483" s="14">
        <f>IF(원생!$A481="","",SUMIFS(수납!$F:$F,수납!$C:$C,원생!$A481,수납!$D:$D,IF(원생!$G481="","",원생!$G481),수납!$B:$B,$B$1&amp;"-"&amp;TEXT(3,"00")&amp;"*",수납!$E:$E,"수강료")+SUMIFS(수납!$F:$F,수납!$C:$C,원생!$A481,수납!$D:$D,IF(원생!$G481="","",원생!$G481),수납!$B:$B,$B$1&amp;"-"&amp;TEXT(3,"00")&amp;"*",수납!$E:$E,""))</f>
        <v/>
      </c>
      <c r="F483" s="14">
        <f>IF(원생!$A481="","",SUMIFS(수납!$F:$F,수납!$C:$C,원생!$A481,수납!$D:$D,IF(원생!$G481="","",원생!$G481),수납!$B:$B,$B$1&amp;"-"&amp;TEXT(4,"00")&amp;"*",수납!$E:$E,"수강료")+SUMIFS(수납!$F:$F,수납!$C:$C,원생!$A481,수납!$D:$D,IF(원생!$G481="","",원생!$G481),수납!$B:$B,$B$1&amp;"-"&amp;TEXT(4,"00")&amp;"*",수납!$E:$E,""))</f>
        <v/>
      </c>
      <c r="G483" s="14">
        <f>IF(원생!$A481="","",SUMIFS(수납!$F:$F,수납!$C:$C,원생!$A481,수납!$D:$D,IF(원생!$G481="","",원생!$G481),수납!$B:$B,$B$1&amp;"-"&amp;TEXT(5,"00")&amp;"*",수납!$E:$E,"수강료")+SUMIFS(수납!$F:$F,수납!$C:$C,원생!$A481,수납!$D:$D,IF(원생!$G481="","",원생!$G481),수납!$B:$B,$B$1&amp;"-"&amp;TEXT(5,"00")&amp;"*",수납!$E:$E,""))</f>
        <v/>
      </c>
      <c r="H483" s="14">
        <f>IF(원생!$A481="","",SUMIFS(수납!$F:$F,수납!$C:$C,원생!$A481,수납!$D:$D,IF(원생!$G481="","",원생!$G481),수납!$B:$B,$B$1&amp;"-"&amp;TEXT(6,"00")&amp;"*",수납!$E:$E,"수강료")+SUMIFS(수납!$F:$F,수납!$C:$C,원생!$A481,수납!$D:$D,IF(원생!$G481="","",원생!$G481),수납!$B:$B,$B$1&amp;"-"&amp;TEXT(6,"00")&amp;"*",수납!$E:$E,""))</f>
        <v/>
      </c>
      <c r="I483" s="14">
        <f>IF(원생!$A481="","",SUMIFS(수납!$F:$F,수납!$C:$C,원생!$A481,수납!$D:$D,IF(원생!$G481="","",원생!$G481),수납!$B:$B,$B$1&amp;"-"&amp;TEXT(7,"00")&amp;"*",수납!$E:$E,"수강료")+SUMIFS(수납!$F:$F,수납!$C:$C,원생!$A481,수납!$D:$D,IF(원생!$G481="","",원생!$G481),수납!$B:$B,$B$1&amp;"-"&amp;TEXT(7,"00")&amp;"*",수납!$E:$E,""))</f>
        <v/>
      </c>
      <c r="J483" s="14">
        <f>IF(원생!$A481="","",SUMIFS(수납!$F:$F,수납!$C:$C,원생!$A481,수납!$D:$D,IF(원생!$G481="","",원생!$G481),수납!$B:$B,$B$1&amp;"-"&amp;TEXT(8,"00")&amp;"*",수납!$E:$E,"수강료")+SUMIFS(수납!$F:$F,수납!$C:$C,원생!$A481,수납!$D:$D,IF(원생!$G481="","",원생!$G481),수납!$B:$B,$B$1&amp;"-"&amp;TEXT(8,"00")&amp;"*",수납!$E:$E,""))</f>
        <v/>
      </c>
      <c r="K483" s="14">
        <f>IF(원생!$A481="","",SUMIFS(수납!$F:$F,수납!$C:$C,원생!$A481,수납!$D:$D,IF(원생!$G481="","",원생!$G481),수납!$B:$B,$B$1&amp;"-"&amp;TEXT(9,"00")&amp;"*",수납!$E:$E,"수강료")+SUMIFS(수납!$F:$F,수납!$C:$C,원생!$A481,수납!$D:$D,IF(원생!$G481="","",원생!$G481),수납!$B:$B,$B$1&amp;"-"&amp;TEXT(9,"00")&amp;"*",수납!$E:$E,""))</f>
        <v/>
      </c>
      <c r="L483" s="14">
        <f>IF(원생!$A481="","",SUMIFS(수납!$F:$F,수납!$C:$C,원생!$A481,수납!$D:$D,IF(원생!$G481="","",원생!$G481),수납!$B:$B,$B$1&amp;"-"&amp;TEXT(10,"00")&amp;"*",수납!$E:$E,"수강료")+SUMIFS(수납!$F:$F,수납!$C:$C,원생!$A481,수납!$D:$D,IF(원생!$G481="","",원생!$G481),수납!$B:$B,$B$1&amp;"-"&amp;TEXT(10,"00")&amp;"*",수납!$E:$E,""))</f>
        <v/>
      </c>
      <c r="M483" s="14">
        <f>IF(원생!$A481="","",SUMIFS(수납!$F:$F,수납!$C:$C,원생!$A481,수납!$D:$D,IF(원생!$G481="","",원생!$G481),수납!$B:$B,$B$1&amp;"-"&amp;TEXT(11,"00")&amp;"*",수납!$E:$E,"수강료")+SUMIFS(수납!$F:$F,수납!$C:$C,원생!$A481,수납!$D:$D,IF(원생!$G481="","",원생!$G481),수납!$B:$B,$B$1&amp;"-"&amp;TEXT(11,"00")&amp;"*",수납!$E:$E,""))</f>
        <v/>
      </c>
      <c r="N483" s="14">
        <f>IF(원생!$A481="","",SUMIFS(수납!$F:$F,수납!$C:$C,원생!$A481,수납!$D:$D,IF(원생!$G481="","",원생!$G481),수납!$B:$B,$B$1&amp;"-"&amp;TEXT(12,"00")&amp;"*",수납!$E:$E,"수강료")+SUMIFS(수납!$F:$F,수납!$C:$C,원생!$A481,수납!$D:$D,IF(원생!$G481="","",원생!$G481),수납!$B:$B,$B$1&amp;"-"&amp;TEXT(12,"00")&amp;"*",수납!$E:$E,""))</f>
        <v/>
      </c>
      <c r="O483">
        <f>IF(원생!$I481="","",원생!$I481)</f>
        <v/>
      </c>
      <c r="P483">
        <f>IF($A483="","",IF(AND($B483&gt;0,C483&lt;$B483,DATE($B$1,1,1)&lt;=TODAY(),OR($O483="",$O483&gt;=DATE($B$1,1,1)),OR(COUNTIF($C483:C483,"&gt;0")&gt;0,DATE($B$1,1,1)=DATE(YEAR(TODAY()),MONTH(TODAY()),1))),1,0))</f>
        <v/>
      </c>
      <c r="Q483">
        <f>IF($A483="","",IF(AND($B483&gt;0,D483&lt;$B483,DATE($B$1,2,1)&lt;=TODAY(),OR($O483="",$O483&gt;=DATE($B$1,2,1)),OR(COUNTIF($C483:D483,"&gt;0")&gt;0,DATE($B$1,2,1)=DATE(YEAR(TODAY()),MONTH(TODAY()),1))),1,0))</f>
        <v/>
      </c>
      <c r="R483">
        <f>IF($A483="","",IF(AND($B483&gt;0,E483&lt;$B483,DATE($B$1,3,1)&lt;=TODAY(),OR($O483="",$O483&gt;=DATE($B$1,3,1)),OR(COUNTIF($C483:E483,"&gt;0")&gt;0,DATE($B$1,3,1)=DATE(YEAR(TODAY()),MONTH(TODAY()),1))),1,0))</f>
        <v/>
      </c>
      <c r="S483">
        <f>IF($A483="","",IF(AND($B483&gt;0,F483&lt;$B483,DATE($B$1,4,1)&lt;=TODAY(),OR($O483="",$O483&gt;=DATE($B$1,4,1)),OR(COUNTIF($C483:F483,"&gt;0")&gt;0,DATE($B$1,4,1)=DATE(YEAR(TODAY()),MONTH(TODAY()),1))),1,0))</f>
        <v/>
      </c>
      <c r="T483">
        <f>IF($A483="","",IF(AND($B483&gt;0,G483&lt;$B483,DATE($B$1,5,1)&lt;=TODAY(),OR($O483="",$O483&gt;=DATE($B$1,5,1)),OR(COUNTIF($C483:G483,"&gt;0")&gt;0,DATE($B$1,5,1)=DATE(YEAR(TODAY()),MONTH(TODAY()),1))),1,0))</f>
        <v/>
      </c>
      <c r="U483">
        <f>IF($A483="","",IF(AND($B483&gt;0,H483&lt;$B483,DATE($B$1,6,1)&lt;=TODAY(),OR($O483="",$O483&gt;=DATE($B$1,6,1)),OR(COUNTIF($C483:H483,"&gt;0")&gt;0,DATE($B$1,6,1)=DATE(YEAR(TODAY()),MONTH(TODAY()),1))),1,0))</f>
        <v/>
      </c>
      <c r="V483">
        <f>IF($A483="","",IF(AND($B483&gt;0,I483&lt;$B483,DATE($B$1,7,1)&lt;=TODAY(),OR($O483="",$O483&gt;=DATE($B$1,7,1)),OR(COUNTIF($C483:I483,"&gt;0")&gt;0,DATE($B$1,7,1)=DATE(YEAR(TODAY()),MONTH(TODAY()),1))),1,0))</f>
        <v/>
      </c>
      <c r="W483">
        <f>IF($A483="","",IF(AND($B483&gt;0,J483&lt;$B483,DATE($B$1,8,1)&lt;=TODAY(),OR($O483="",$O483&gt;=DATE($B$1,8,1)),OR(COUNTIF($C483:J483,"&gt;0")&gt;0,DATE($B$1,8,1)=DATE(YEAR(TODAY()),MONTH(TODAY()),1))),1,0))</f>
        <v/>
      </c>
      <c r="X483">
        <f>IF($A483="","",IF(AND($B483&gt;0,K483&lt;$B483,DATE($B$1,9,1)&lt;=TODAY(),OR($O483="",$O483&gt;=DATE($B$1,9,1)),OR(COUNTIF($C483:K483,"&gt;0")&gt;0,DATE($B$1,9,1)=DATE(YEAR(TODAY()),MONTH(TODAY()),1))),1,0))</f>
        <v/>
      </c>
      <c r="Y483">
        <f>IF($A483="","",IF(AND($B483&gt;0,L483&lt;$B483,DATE($B$1,10,1)&lt;=TODAY(),OR($O483="",$O483&gt;=DATE($B$1,10,1)),OR(COUNTIF($C483:L483,"&gt;0")&gt;0,DATE($B$1,10,1)=DATE(YEAR(TODAY()),MONTH(TODAY()),1))),1,0))</f>
        <v/>
      </c>
      <c r="Z483">
        <f>IF($A483="","",IF(AND($B483&gt;0,M483&lt;$B483,DATE($B$1,11,1)&lt;=TODAY(),OR($O483="",$O483&gt;=DATE($B$1,11,1)),OR(COUNTIF($C483:M483,"&gt;0")&gt;0,DATE($B$1,11,1)=DATE(YEAR(TODAY()),MONTH(TODAY()),1))),1,0))</f>
        <v/>
      </c>
      <c r="AA483">
        <f>IF($A483="","",IF(AND($B483&gt;0,N483&lt;$B483,DATE($B$1,12,1)&lt;=TODAY(),OR($O483="",$O483&gt;=DATE($B$1,12,1)),OR(COUNTIF($C483:N483,"&gt;0")&gt;0,DATE($B$1,12,1)=DATE(YEAR(TODAY()),MONTH(TODAY()),1))),1,0))</f>
        <v/>
      </c>
    </row>
    <row r="484">
      <c r="A484" s="13">
        <f>IF(원생!$A482="","",원생!$A482&amp;IF(원생!$G482="",""," ("&amp;원생!$G482&amp;")"))</f>
        <v/>
      </c>
      <c r="B484" s="8">
        <f>IF(원생!$A482="","",원생!$F482)</f>
        <v/>
      </c>
      <c r="C484" s="14">
        <f>IF(원생!$A482="","",SUMIFS(수납!$F:$F,수납!$C:$C,원생!$A482,수납!$D:$D,IF(원생!$G482="","",원생!$G482),수납!$B:$B,$B$1&amp;"-"&amp;TEXT(1,"00")&amp;"*",수납!$E:$E,"수강료")+SUMIFS(수납!$F:$F,수납!$C:$C,원생!$A482,수납!$D:$D,IF(원생!$G482="","",원생!$G482),수납!$B:$B,$B$1&amp;"-"&amp;TEXT(1,"00")&amp;"*",수납!$E:$E,""))</f>
        <v/>
      </c>
      <c r="D484" s="14">
        <f>IF(원생!$A482="","",SUMIFS(수납!$F:$F,수납!$C:$C,원생!$A482,수납!$D:$D,IF(원생!$G482="","",원생!$G482),수납!$B:$B,$B$1&amp;"-"&amp;TEXT(2,"00")&amp;"*",수납!$E:$E,"수강료")+SUMIFS(수납!$F:$F,수납!$C:$C,원생!$A482,수납!$D:$D,IF(원생!$G482="","",원생!$G482),수납!$B:$B,$B$1&amp;"-"&amp;TEXT(2,"00")&amp;"*",수납!$E:$E,""))</f>
        <v/>
      </c>
      <c r="E484" s="14">
        <f>IF(원생!$A482="","",SUMIFS(수납!$F:$F,수납!$C:$C,원생!$A482,수납!$D:$D,IF(원생!$G482="","",원생!$G482),수납!$B:$B,$B$1&amp;"-"&amp;TEXT(3,"00")&amp;"*",수납!$E:$E,"수강료")+SUMIFS(수납!$F:$F,수납!$C:$C,원생!$A482,수납!$D:$D,IF(원생!$G482="","",원생!$G482),수납!$B:$B,$B$1&amp;"-"&amp;TEXT(3,"00")&amp;"*",수납!$E:$E,""))</f>
        <v/>
      </c>
      <c r="F484" s="14">
        <f>IF(원생!$A482="","",SUMIFS(수납!$F:$F,수납!$C:$C,원생!$A482,수납!$D:$D,IF(원생!$G482="","",원생!$G482),수납!$B:$B,$B$1&amp;"-"&amp;TEXT(4,"00")&amp;"*",수납!$E:$E,"수강료")+SUMIFS(수납!$F:$F,수납!$C:$C,원생!$A482,수납!$D:$D,IF(원생!$G482="","",원생!$G482),수납!$B:$B,$B$1&amp;"-"&amp;TEXT(4,"00")&amp;"*",수납!$E:$E,""))</f>
        <v/>
      </c>
      <c r="G484" s="14">
        <f>IF(원생!$A482="","",SUMIFS(수납!$F:$F,수납!$C:$C,원생!$A482,수납!$D:$D,IF(원생!$G482="","",원생!$G482),수납!$B:$B,$B$1&amp;"-"&amp;TEXT(5,"00")&amp;"*",수납!$E:$E,"수강료")+SUMIFS(수납!$F:$F,수납!$C:$C,원생!$A482,수납!$D:$D,IF(원생!$G482="","",원생!$G482),수납!$B:$B,$B$1&amp;"-"&amp;TEXT(5,"00")&amp;"*",수납!$E:$E,""))</f>
        <v/>
      </c>
      <c r="H484" s="14">
        <f>IF(원생!$A482="","",SUMIFS(수납!$F:$F,수납!$C:$C,원생!$A482,수납!$D:$D,IF(원생!$G482="","",원생!$G482),수납!$B:$B,$B$1&amp;"-"&amp;TEXT(6,"00")&amp;"*",수납!$E:$E,"수강료")+SUMIFS(수납!$F:$F,수납!$C:$C,원생!$A482,수납!$D:$D,IF(원생!$G482="","",원생!$G482),수납!$B:$B,$B$1&amp;"-"&amp;TEXT(6,"00")&amp;"*",수납!$E:$E,""))</f>
        <v/>
      </c>
      <c r="I484" s="14">
        <f>IF(원생!$A482="","",SUMIFS(수납!$F:$F,수납!$C:$C,원생!$A482,수납!$D:$D,IF(원생!$G482="","",원생!$G482),수납!$B:$B,$B$1&amp;"-"&amp;TEXT(7,"00")&amp;"*",수납!$E:$E,"수강료")+SUMIFS(수납!$F:$F,수납!$C:$C,원생!$A482,수납!$D:$D,IF(원생!$G482="","",원생!$G482),수납!$B:$B,$B$1&amp;"-"&amp;TEXT(7,"00")&amp;"*",수납!$E:$E,""))</f>
        <v/>
      </c>
      <c r="J484" s="14">
        <f>IF(원생!$A482="","",SUMIFS(수납!$F:$F,수납!$C:$C,원생!$A482,수납!$D:$D,IF(원생!$G482="","",원생!$G482),수납!$B:$B,$B$1&amp;"-"&amp;TEXT(8,"00")&amp;"*",수납!$E:$E,"수강료")+SUMIFS(수납!$F:$F,수납!$C:$C,원생!$A482,수납!$D:$D,IF(원생!$G482="","",원생!$G482),수납!$B:$B,$B$1&amp;"-"&amp;TEXT(8,"00")&amp;"*",수납!$E:$E,""))</f>
        <v/>
      </c>
      <c r="K484" s="14">
        <f>IF(원생!$A482="","",SUMIFS(수납!$F:$F,수납!$C:$C,원생!$A482,수납!$D:$D,IF(원생!$G482="","",원생!$G482),수납!$B:$B,$B$1&amp;"-"&amp;TEXT(9,"00")&amp;"*",수납!$E:$E,"수강료")+SUMIFS(수납!$F:$F,수납!$C:$C,원생!$A482,수납!$D:$D,IF(원생!$G482="","",원생!$G482),수납!$B:$B,$B$1&amp;"-"&amp;TEXT(9,"00")&amp;"*",수납!$E:$E,""))</f>
        <v/>
      </c>
      <c r="L484" s="14">
        <f>IF(원생!$A482="","",SUMIFS(수납!$F:$F,수납!$C:$C,원생!$A482,수납!$D:$D,IF(원생!$G482="","",원생!$G482),수납!$B:$B,$B$1&amp;"-"&amp;TEXT(10,"00")&amp;"*",수납!$E:$E,"수강료")+SUMIFS(수납!$F:$F,수납!$C:$C,원생!$A482,수납!$D:$D,IF(원생!$G482="","",원생!$G482),수납!$B:$B,$B$1&amp;"-"&amp;TEXT(10,"00")&amp;"*",수납!$E:$E,""))</f>
        <v/>
      </c>
      <c r="M484" s="14">
        <f>IF(원생!$A482="","",SUMIFS(수납!$F:$F,수납!$C:$C,원생!$A482,수납!$D:$D,IF(원생!$G482="","",원생!$G482),수납!$B:$B,$B$1&amp;"-"&amp;TEXT(11,"00")&amp;"*",수납!$E:$E,"수강료")+SUMIFS(수납!$F:$F,수납!$C:$C,원생!$A482,수납!$D:$D,IF(원생!$G482="","",원생!$G482),수납!$B:$B,$B$1&amp;"-"&amp;TEXT(11,"00")&amp;"*",수납!$E:$E,""))</f>
        <v/>
      </c>
      <c r="N484" s="14">
        <f>IF(원생!$A482="","",SUMIFS(수납!$F:$F,수납!$C:$C,원생!$A482,수납!$D:$D,IF(원생!$G482="","",원생!$G482),수납!$B:$B,$B$1&amp;"-"&amp;TEXT(12,"00")&amp;"*",수납!$E:$E,"수강료")+SUMIFS(수납!$F:$F,수납!$C:$C,원생!$A482,수납!$D:$D,IF(원생!$G482="","",원생!$G482),수납!$B:$B,$B$1&amp;"-"&amp;TEXT(12,"00")&amp;"*",수납!$E:$E,""))</f>
        <v/>
      </c>
      <c r="O484">
        <f>IF(원생!$I482="","",원생!$I482)</f>
        <v/>
      </c>
      <c r="P484">
        <f>IF($A484="","",IF(AND($B484&gt;0,C484&lt;$B484,DATE($B$1,1,1)&lt;=TODAY(),OR($O484="",$O484&gt;=DATE($B$1,1,1)),OR(COUNTIF($C484:C484,"&gt;0")&gt;0,DATE($B$1,1,1)=DATE(YEAR(TODAY()),MONTH(TODAY()),1))),1,0))</f>
        <v/>
      </c>
      <c r="Q484">
        <f>IF($A484="","",IF(AND($B484&gt;0,D484&lt;$B484,DATE($B$1,2,1)&lt;=TODAY(),OR($O484="",$O484&gt;=DATE($B$1,2,1)),OR(COUNTIF($C484:D484,"&gt;0")&gt;0,DATE($B$1,2,1)=DATE(YEAR(TODAY()),MONTH(TODAY()),1))),1,0))</f>
        <v/>
      </c>
      <c r="R484">
        <f>IF($A484="","",IF(AND($B484&gt;0,E484&lt;$B484,DATE($B$1,3,1)&lt;=TODAY(),OR($O484="",$O484&gt;=DATE($B$1,3,1)),OR(COUNTIF($C484:E484,"&gt;0")&gt;0,DATE($B$1,3,1)=DATE(YEAR(TODAY()),MONTH(TODAY()),1))),1,0))</f>
        <v/>
      </c>
      <c r="S484">
        <f>IF($A484="","",IF(AND($B484&gt;0,F484&lt;$B484,DATE($B$1,4,1)&lt;=TODAY(),OR($O484="",$O484&gt;=DATE($B$1,4,1)),OR(COUNTIF($C484:F484,"&gt;0")&gt;0,DATE($B$1,4,1)=DATE(YEAR(TODAY()),MONTH(TODAY()),1))),1,0))</f>
        <v/>
      </c>
      <c r="T484">
        <f>IF($A484="","",IF(AND($B484&gt;0,G484&lt;$B484,DATE($B$1,5,1)&lt;=TODAY(),OR($O484="",$O484&gt;=DATE($B$1,5,1)),OR(COUNTIF($C484:G484,"&gt;0")&gt;0,DATE($B$1,5,1)=DATE(YEAR(TODAY()),MONTH(TODAY()),1))),1,0))</f>
        <v/>
      </c>
      <c r="U484">
        <f>IF($A484="","",IF(AND($B484&gt;0,H484&lt;$B484,DATE($B$1,6,1)&lt;=TODAY(),OR($O484="",$O484&gt;=DATE($B$1,6,1)),OR(COUNTIF($C484:H484,"&gt;0")&gt;0,DATE($B$1,6,1)=DATE(YEAR(TODAY()),MONTH(TODAY()),1))),1,0))</f>
        <v/>
      </c>
      <c r="V484">
        <f>IF($A484="","",IF(AND($B484&gt;0,I484&lt;$B484,DATE($B$1,7,1)&lt;=TODAY(),OR($O484="",$O484&gt;=DATE($B$1,7,1)),OR(COUNTIF($C484:I484,"&gt;0")&gt;0,DATE($B$1,7,1)=DATE(YEAR(TODAY()),MONTH(TODAY()),1))),1,0))</f>
        <v/>
      </c>
      <c r="W484">
        <f>IF($A484="","",IF(AND($B484&gt;0,J484&lt;$B484,DATE($B$1,8,1)&lt;=TODAY(),OR($O484="",$O484&gt;=DATE($B$1,8,1)),OR(COUNTIF($C484:J484,"&gt;0")&gt;0,DATE($B$1,8,1)=DATE(YEAR(TODAY()),MONTH(TODAY()),1))),1,0))</f>
        <v/>
      </c>
      <c r="X484">
        <f>IF($A484="","",IF(AND($B484&gt;0,K484&lt;$B484,DATE($B$1,9,1)&lt;=TODAY(),OR($O484="",$O484&gt;=DATE($B$1,9,1)),OR(COUNTIF($C484:K484,"&gt;0")&gt;0,DATE($B$1,9,1)=DATE(YEAR(TODAY()),MONTH(TODAY()),1))),1,0))</f>
        <v/>
      </c>
      <c r="Y484">
        <f>IF($A484="","",IF(AND($B484&gt;0,L484&lt;$B484,DATE($B$1,10,1)&lt;=TODAY(),OR($O484="",$O484&gt;=DATE($B$1,10,1)),OR(COUNTIF($C484:L484,"&gt;0")&gt;0,DATE($B$1,10,1)=DATE(YEAR(TODAY()),MONTH(TODAY()),1))),1,0))</f>
        <v/>
      </c>
      <c r="Z484">
        <f>IF($A484="","",IF(AND($B484&gt;0,M484&lt;$B484,DATE($B$1,11,1)&lt;=TODAY(),OR($O484="",$O484&gt;=DATE($B$1,11,1)),OR(COUNTIF($C484:M484,"&gt;0")&gt;0,DATE($B$1,11,1)=DATE(YEAR(TODAY()),MONTH(TODAY()),1))),1,0))</f>
        <v/>
      </c>
      <c r="AA484">
        <f>IF($A484="","",IF(AND($B484&gt;0,N484&lt;$B484,DATE($B$1,12,1)&lt;=TODAY(),OR($O484="",$O484&gt;=DATE($B$1,12,1)),OR(COUNTIF($C484:N484,"&gt;0")&gt;0,DATE($B$1,12,1)=DATE(YEAR(TODAY()),MONTH(TODAY()),1))),1,0))</f>
        <v/>
      </c>
    </row>
    <row r="485">
      <c r="A485" s="13">
        <f>IF(원생!$A483="","",원생!$A483&amp;IF(원생!$G483="",""," ("&amp;원생!$G483&amp;")"))</f>
        <v/>
      </c>
      <c r="B485" s="8">
        <f>IF(원생!$A483="","",원생!$F483)</f>
        <v/>
      </c>
      <c r="C485" s="14">
        <f>IF(원생!$A483="","",SUMIFS(수납!$F:$F,수납!$C:$C,원생!$A483,수납!$D:$D,IF(원생!$G483="","",원생!$G483),수납!$B:$B,$B$1&amp;"-"&amp;TEXT(1,"00")&amp;"*",수납!$E:$E,"수강료")+SUMIFS(수납!$F:$F,수납!$C:$C,원생!$A483,수납!$D:$D,IF(원생!$G483="","",원생!$G483),수납!$B:$B,$B$1&amp;"-"&amp;TEXT(1,"00")&amp;"*",수납!$E:$E,""))</f>
        <v/>
      </c>
      <c r="D485" s="14">
        <f>IF(원생!$A483="","",SUMIFS(수납!$F:$F,수납!$C:$C,원생!$A483,수납!$D:$D,IF(원생!$G483="","",원생!$G483),수납!$B:$B,$B$1&amp;"-"&amp;TEXT(2,"00")&amp;"*",수납!$E:$E,"수강료")+SUMIFS(수납!$F:$F,수납!$C:$C,원생!$A483,수납!$D:$D,IF(원생!$G483="","",원생!$G483),수납!$B:$B,$B$1&amp;"-"&amp;TEXT(2,"00")&amp;"*",수납!$E:$E,""))</f>
        <v/>
      </c>
      <c r="E485" s="14">
        <f>IF(원생!$A483="","",SUMIFS(수납!$F:$F,수납!$C:$C,원생!$A483,수납!$D:$D,IF(원생!$G483="","",원생!$G483),수납!$B:$B,$B$1&amp;"-"&amp;TEXT(3,"00")&amp;"*",수납!$E:$E,"수강료")+SUMIFS(수납!$F:$F,수납!$C:$C,원생!$A483,수납!$D:$D,IF(원생!$G483="","",원생!$G483),수납!$B:$B,$B$1&amp;"-"&amp;TEXT(3,"00")&amp;"*",수납!$E:$E,""))</f>
        <v/>
      </c>
      <c r="F485" s="14">
        <f>IF(원생!$A483="","",SUMIFS(수납!$F:$F,수납!$C:$C,원생!$A483,수납!$D:$D,IF(원생!$G483="","",원생!$G483),수납!$B:$B,$B$1&amp;"-"&amp;TEXT(4,"00")&amp;"*",수납!$E:$E,"수강료")+SUMIFS(수납!$F:$F,수납!$C:$C,원생!$A483,수납!$D:$D,IF(원생!$G483="","",원생!$G483),수납!$B:$B,$B$1&amp;"-"&amp;TEXT(4,"00")&amp;"*",수납!$E:$E,""))</f>
        <v/>
      </c>
      <c r="G485" s="14">
        <f>IF(원생!$A483="","",SUMIFS(수납!$F:$F,수납!$C:$C,원생!$A483,수납!$D:$D,IF(원생!$G483="","",원생!$G483),수납!$B:$B,$B$1&amp;"-"&amp;TEXT(5,"00")&amp;"*",수납!$E:$E,"수강료")+SUMIFS(수납!$F:$F,수납!$C:$C,원생!$A483,수납!$D:$D,IF(원생!$G483="","",원생!$G483),수납!$B:$B,$B$1&amp;"-"&amp;TEXT(5,"00")&amp;"*",수납!$E:$E,""))</f>
        <v/>
      </c>
      <c r="H485" s="14">
        <f>IF(원생!$A483="","",SUMIFS(수납!$F:$F,수납!$C:$C,원생!$A483,수납!$D:$D,IF(원생!$G483="","",원생!$G483),수납!$B:$B,$B$1&amp;"-"&amp;TEXT(6,"00")&amp;"*",수납!$E:$E,"수강료")+SUMIFS(수납!$F:$F,수납!$C:$C,원생!$A483,수납!$D:$D,IF(원생!$G483="","",원생!$G483),수납!$B:$B,$B$1&amp;"-"&amp;TEXT(6,"00")&amp;"*",수납!$E:$E,""))</f>
        <v/>
      </c>
      <c r="I485" s="14">
        <f>IF(원생!$A483="","",SUMIFS(수납!$F:$F,수납!$C:$C,원생!$A483,수납!$D:$D,IF(원생!$G483="","",원생!$G483),수납!$B:$B,$B$1&amp;"-"&amp;TEXT(7,"00")&amp;"*",수납!$E:$E,"수강료")+SUMIFS(수납!$F:$F,수납!$C:$C,원생!$A483,수납!$D:$D,IF(원생!$G483="","",원생!$G483),수납!$B:$B,$B$1&amp;"-"&amp;TEXT(7,"00")&amp;"*",수납!$E:$E,""))</f>
        <v/>
      </c>
      <c r="J485" s="14">
        <f>IF(원생!$A483="","",SUMIFS(수납!$F:$F,수납!$C:$C,원생!$A483,수납!$D:$D,IF(원생!$G483="","",원생!$G483),수납!$B:$B,$B$1&amp;"-"&amp;TEXT(8,"00")&amp;"*",수납!$E:$E,"수강료")+SUMIFS(수납!$F:$F,수납!$C:$C,원생!$A483,수납!$D:$D,IF(원생!$G483="","",원생!$G483),수납!$B:$B,$B$1&amp;"-"&amp;TEXT(8,"00")&amp;"*",수납!$E:$E,""))</f>
        <v/>
      </c>
      <c r="K485" s="14">
        <f>IF(원생!$A483="","",SUMIFS(수납!$F:$F,수납!$C:$C,원생!$A483,수납!$D:$D,IF(원생!$G483="","",원생!$G483),수납!$B:$B,$B$1&amp;"-"&amp;TEXT(9,"00")&amp;"*",수납!$E:$E,"수강료")+SUMIFS(수납!$F:$F,수납!$C:$C,원생!$A483,수납!$D:$D,IF(원생!$G483="","",원생!$G483),수납!$B:$B,$B$1&amp;"-"&amp;TEXT(9,"00")&amp;"*",수납!$E:$E,""))</f>
        <v/>
      </c>
      <c r="L485" s="14">
        <f>IF(원생!$A483="","",SUMIFS(수납!$F:$F,수납!$C:$C,원생!$A483,수납!$D:$D,IF(원생!$G483="","",원생!$G483),수납!$B:$B,$B$1&amp;"-"&amp;TEXT(10,"00")&amp;"*",수납!$E:$E,"수강료")+SUMIFS(수납!$F:$F,수납!$C:$C,원생!$A483,수납!$D:$D,IF(원생!$G483="","",원생!$G483),수납!$B:$B,$B$1&amp;"-"&amp;TEXT(10,"00")&amp;"*",수납!$E:$E,""))</f>
        <v/>
      </c>
      <c r="M485" s="14">
        <f>IF(원생!$A483="","",SUMIFS(수납!$F:$F,수납!$C:$C,원생!$A483,수납!$D:$D,IF(원생!$G483="","",원생!$G483),수납!$B:$B,$B$1&amp;"-"&amp;TEXT(11,"00")&amp;"*",수납!$E:$E,"수강료")+SUMIFS(수납!$F:$F,수납!$C:$C,원생!$A483,수납!$D:$D,IF(원생!$G483="","",원생!$G483),수납!$B:$B,$B$1&amp;"-"&amp;TEXT(11,"00")&amp;"*",수납!$E:$E,""))</f>
        <v/>
      </c>
      <c r="N485" s="14">
        <f>IF(원생!$A483="","",SUMIFS(수납!$F:$F,수납!$C:$C,원생!$A483,수납!$D:$D,IF(원생!$G483="","",원생!$G483),수납!$B:$B,$B$1&amp;"-"&amp;TEXT(12,"00")&amp;"*",수납!$E:$E,"수강료")+SUMIFS(수납!$F:$F,수납!$C:$C,원생!$A483,수납!$D:$D,IF(원생!$G483="","",원생!$G483),수납!$B:$B,$B$1&amp;"-"&amp;TEXT(12,"00")&amp;"*",수납!$E:$E,""))</f>
        <v/>
      </c>
      <c r="O485">
        <f>IF(원생!$I483="","",원생!$I483)</f>
        <v/>
      </c>
      <c r="P485">
        <f>IF($A485="","",IF(AND($B485&gt;0,C485&lt;$B485,DATE($B$1,1,1)&lt;=TODAY(),OR($O485="",$O485&gt;=DATE($B$1,1,1)),OR(COUNTIF($C485:C485,"&gt;0")&gt;0,DATE($B$1,1,1)=DATE(YEAR(TODAY()),MONTH(TODAY()),1))),1,0))</f>
        <v/>
      </c>
      <c r="Q485">
        <f>IF($A485="","",IF(AND($B485&gt;0,D485&lt;$B485,DATE($B$1,2,1)&lt;=TODAY(),OR($O485="",$O485&gt;=DATE($B$1,2,1)),OR(COUNTIF($C485:D485,"&gt;0")&gt;0,DATE($B$1,2,1)=DATE(YEAR(TODAY()),MONTH(TODAY()),1))),1,0))</f>
        <v/>
      </c>
      <c r="R485">
        <f>IF($A485="","",IF(AND($B485&gt;0,E485&lt;$B485,DATE($B$1,3,1)&lt;=TODAY(),OR($O485="",$O485&gt;=DATE($B$1,3,1)),OR(COUNTIF($C485:E485,"&gt;0")&gt;0,DATE($B$1,3,1)=DATE(YEAR(TODAY()),MONTH(TODAY()),1))),1,0))</f>
        <v/>
      </c>
      <c r="S485">
        <f>IF($A485="","",IF(AND($B485&gt;0,F485&lt;$B485,DATE($B$1,4,1)&lt;=TODAY(),OR($O485="",$O485&gt;=DATE($B$1,4,1)),OR(COUNTIF($C485:F485,"&gt;0")&gt;0,DATE($B$1,4,1)=DATE(YEAR(TODAY()),MONTH(TODAY()),1))),1,0))</f>
        <v/>
      </c>
      <c r="T485">
        <f>IF($A485="","",IF(AND($B485&gt;0,G485&lt;$B485,DATE($B$1,5,1)&lt;=TODAY(),OR($O485="",$O485&gt;=DATE($B$1,5,1)),OR(COUNTIF($C485:G485,"&gt;0")&gt;0,DATE($B$1,5,1)=DATE(YEAR(TODAY()),MONTH(TODAY()),1))),1,0))</f>
        <v/>
      </c>
      <c r="U485">
        <f>IF($A485="","",IF(AND($B485&gt;0,H485&lt;$B485,DATE($B$1,6,1)&lt;=TODAY(),OR($O485="",$O485&gt;=DATE($B$1,6,1)),OR(COUNTIF($C485:H485,"&gt;0")&gt;0,DATE($B$1,6,1)=DATE(YEAR(TODAY()),MONTH(TODAY()),1))),1,0))</f>
        <v/>
      </c>
      <c r="V485">
        <f>IF($A485="","",IF(AND($B485&gt;0,I485&lt;$B485,DATE($B$1,7,1)&lt;=TODAY(),OR($O485="",$O485&gt;=DATE($B$1,7,1)),OR(COUNTIF($C485:I485,"&gt;0")&gt;0,DATE($B$1,7,1)=DATE(YEAR(TODAY()),MONTH(TODAY()),1))),1,0))</f>
        <v/>
      </c>
      <c r="W485">
        <f>IF($A485="","",IF(AND($B485&gt;0,J485&lt;$B485,DATE($B$1,8,1)&lt;=TODAY(),OR($O485="",$O485&gt;=DATE($B$1,8,1)),OR(COUNTIF($C485:J485,"&gt;0")&gt;0,DATE($B$1,8,1)=DATE(YEAR(TODAY()),MONTH(TODAY()),1))),1,0))</f>
        <v/>
      </c>
      <c r="X485">
        <f>IF($A485="","",IF(AND($B485&gt;0,K485&lt;$B485,DATE($B$1,9,1)&lt;=TODAY(),OR($O485="",$O485&gt;=DATE($B$1,9,1)),OR(COUNTIF($C485:K485,"&gt;0")&gt;0,DATE($B$1,9,1)=DATE(YEAR(TODAY()),MONTH(TODAY()),1))),1,0))</f>
        <v/>
      </c>
      <c r="Y485">
        <f>IF($A485="","",IF(AND($B485&gt;0,L485&lt;$B485,DATE($B$1,10,1)&lt;=TODAY(),OR($O485="",$O485&gt;=DATE($B$1,10,1)),OR(COUNTIF($C485:L485,"&gt;0")&gt;0,DATE($B$1,10,1)=DATE(YEAR(TODAY()),MONTH(TODAY()),1))),1,0))</f>
        <v/>
      </c>
      <c r="Z485">
        <f>IF($A485="","",IF(AND($B485&gt;0,M485&lt;$B485,DATE($B$1,11,1)&lt;=TODAY(),OR($O485="",$O485&gt;=DATE($B$1,11,1)),OR(COUNTIF($C485:M485,"&gt;0")&gt;0,DATE($B$1,11,1)=DATE(YEAR(TODAY()),MONTH(TODAY()),1))),1,0))</f>
        <v/>
      </c>
      <c r="AA485">
        <f>IF($A485="","",IF(AND($B485&gt;0,N485&lt;$B485,DATE($B$1,12,1)&lt;=TODAY(),OR($O485="",$O485&gt;=DATE($B$1,12,1)),OR(COUNTIF($C485:N485,"&gt;0")&gt;0,DATE($B$1,12,1)=DATE(YEAR(TODAY()),MONTH(TODAY()),1))),1,0))</f>
        <v/>
      </c>
    </row>
    <row r="486">
      <c r="A486" s="13">
        <f>IF(원생!$A484="","",원생!$A484&amp;IF(원생!$G484="",""," ("&amp;원생!$G484&amp;")"))</f>
        <v/>
      </c>
      <c r="B486" s="8">
        <f>IF(원생!$A484="","",원생!$F484)</f>
        <v/>
      </c>
      <c r="C486" s="14">
        <f>IF(원생!$A484="","",SUMIFS(수납!$F:$F,수납!$C:$C,원생!$A484,수납!$D:$D,IF(원생!$G484="","",원생!$G484),수납!$B:$B,$B$1&amp;"-"&amp;TEXT(1,"00")&amp;"*",수납!$E:$E,"수강료")+SUMIFS(수납!$F:$F,수납!$C:$C,원생!$A484,수납!$D:$D,IF(원생!$G484="","",원생!$G484),수납!$B:$B,$B$1&amp;"-"&amp;TEXT(1,"00")&amp;"*",수납!$E:$E,""))</f>
        <v/>
      </c>
      <c r="D486" s="14">
        <f>IF(원생!$A484="","",SUMIFS(수납!$F:$F,수납!$C:$C,원생!$A484,수납!$D:$D,IF(원생!$G484="","",원생!$G484),수납!$B:$B,$B$1&amp;"-"&amp;TEXT(2,"00")&amp;"*",수납!$E:$E,"수강료")+SUMIFS(수납!$F:$F,수납!$C:$C,원생!$A484,수납!$D:$D,IF(원생!$G484="","",원생!$G484),수납!$B:$B,$B$1&amp;"-"&amp;TEXT(2,"00")&amp;"*",수납!$E:$E,""))</f>
        <v/>
      </c>
      <c r="E486" s="14">
        <f>IF(원생!$A484="","",SUMIFS(수납!$F:$F,수납!$C:$C,원생!$A484,수납!$D:$D,IF(원생!$G484="","",원생!$G484),수납!$B:$B,$B$1&amp;"-"&amp;TEXT(3,"00")&amp;"*",수납!$E:$E,"수강료")+SUMIFS(수납!$F:$F,수납!$C:$C,원생!$A484,수납!$D:$D,IF(원생!$G484="","",원생!$G484),수납!$B:$B,$B$1&amp;"-"&amp;TEXT(3,"00")&amp;"*",수납!$E:$E,""))</f>
        <v/>
      </c>
      <c r="F486" s="14">
        <f>IF(원생!$A484="","",SUMIFS(수납!$F:$F,수납!$C:$C,원생!$A484,수납!$D:$D,IF(원생!$G484="","",원생!$G484),수납!$B:$B,$B$1&amp;"-"&amp;TEXT(4,"00")&amp;"*",수납!$E:$E,"수강료")+SUMIFS(수납!$F:$F,수납!$C:$C,원생!$A484,수납!$D:$D,IF(원생!$G484="","",원생!$G484),수납!$B:$B,$B$1&amp;"-"&amp;TEXT(4,"00")&amp;"*",수납!$E:$E,""))</f>
        <v/>
      </c>
      <c r="G486" s="14">
        <f>IF(원생!$A484="","",SUMIFS(수납!$F:$F,수납!$C:$C,원생!$A484,수납!$D:$D,IF(원생!$G484="","",원생!$G484),수납!$B:$B,$B$1&amp;"-"&amp;TEXT(5,"00")&amp;"*",수납!$E:$E,"수강료")+SUMIFS(수납!$F:$F,수납!$C:$C,원생!$A484,수납!$D:$D,IF(원생!$G484="","",원생!$G484),수납!$B:$B,$B$1&amp;"-"&amp;TEXT(5,"00")&amp;"*",수납!$E:$E,""))</f>
        <v/>
      </c>
      <c r="H486" s="14">
        <f>IF(원생!$A484="","",SUMIFS(수납!$F:$F,수납!$C:$C,원생!$A484,수납!$D:$D,IF(원생!$G484="","",원생!$G484),수납!$B:$B,$B$1&amp;"-"&amp;TEXT(6,"00")&amp;"*",수납!$E:$E,"수강료")+SUMIFS(수납!$F:$F,수납!$C:$C,원생!$A484,수납!$D:$D,IF(원생!$G484="","",원생!$G484),수납!$B:$B,$B$1&amp;"-"&amp;TEXT(6,"00")&amp;"*",수납!$E:$E,""))</f>
        <v/>
      </c>
      <c r="I486" s="14">
        <f>IF(원생!$A484="","",SUMIFS(수납!$F:$F,수납!$C:$C,원생!$A484,수납!$D:$D,IF(원생!$G484="","",원생!$G484),수납!$B:$B,$B$1&amp;"-"&amp;TEXT(7,"00")&amp;"*",수납!$E:$E,"수강료")+SUMIFS(수납!$F:$F,수납!$C:$C,원생!$A484,수납!$D:$D,IF(원생!$G484="","",원생!$G484),수납!$B:$B,$B$1&amp;"-"&amp;TEXT(7,"00")&amp;"*",수납!$E:$E,""))</f>
        <v/>
      </c>
      <c r="J486" s="14">
        <f>IF(원생!$A484="","",SUMIFS(수납!$F:$F,수납!$C:$C,원생!$A484,수납!$D:$D,IF(원생!$G484="","",원생!$G484),수납!$B:$B,$B$1&amp;"-"&amp;TEXT(8,"00")&amp;"*",수납!$E:$E,"수강료")+SUMIFS(수납!$F:$F,수납!$C:$C,원생!$A484,수납!$D:$D,IF(원생!$G484="","",원생!$G484),수납!$B:$B,$B$1&amp;"-"&amp;TEXT(8,"00")&amp;"*",수납!$E:$E,""))</f>
        <v/>
      </c>
      <c r="K486" s="14">
        <f>IF(원생!$A484="","",SUMIFS(수납!$F:$F,수납!$C:$C,원생!$A484,수납!$D:$D,IF(원생!$G484="","",원생!$G484),수납!$B:$B,$B$1&amp;"-"&amp;TEXT(9,"00")&amp;"*",수납!$E:$E,"수강료")+SUMIFS(수납!$F:$F,수납!$C:$C,원생!$A484,수납!$D:$D,IF(원생!$G484="","",원생!$G484),수납!$B:$B,$B$1&amp;"-"&amp;TEXT(9,"00")&amp;"*",수납!$E:$E,""))</f>
        <v/>
      </c>
      <c r="L486" s="14">
        <f>IF(원생!$A484="","",SUMIFS(수납!$F:$F,수납!$C:$C,원생!$A484,수납!$D:$D,IF(원생!$G484="","",원생!$G484),수납!$B:$B,$B$1&amp;"-"&amp;TEXT(10,"00")&amp;"*",수납!$E:$E,"수강료")+SUMIFS(수납!$F:$F,수납!$C:$C,원생!$A484,수납!$D:$D,IF(원생!$G484="","",원생!$G484),수납!$B:$B,$B$1&amp;"-"&amp;TEXT(10,"00")&amp;"*",수납!$E:$E,""))</f>
        <v/>
      </c>
      <c r="M486" s="14">
        <f>IF(원생!$A484="","",SUMIFS(수납!$F:$F,수납!$C:$C,원생!$A484,수납!$D:$D,IF(원생!$G484="","",원생!$G484),수납!$B:$B,$B$1&amp;"-"&amp;TEXT(11,"00")&amp;"*",수납!$E:$E,"수강료")+SUMIFS(수납!$F:$F,수납!$C:$C,원생!$A484,수납!$D:$D,IF(원생!$G484="","",원생!$G484),수납!$B:$B,$B$1&amp;"-"&amp;TEXT(11,"00")&amp;"*",수납!$E:$E,""))</f>
        <v/>
      </c>
      <c r="N486" s="14">
        <f>IF(원생!$A484="","",SUMIFS(수납!$F:$F,수납!$C:$C,원생!$A484,수납!$D:$D,IF(원생!$G484="","",원생!$G484),수납!$B:$B,$B$1&amp;"-"&amp;TEXT(12,"00")&amp;"*",수납!$E:$E,"수강료")+SUMIFS(수납!$F:$F,수납!$C:$C,원생!$A484,수납!$D:$D,IF(원생!$G484="","",원생!$G484),수납!$B:$B,$B$1&amp;"-"&amp;TEXT(12,"00")&amp;"*",수납!$E:$E,""))</f>
        <v/>
      </c>
      <c r="O486">
        <f>IF(원생!$I484="","",원생!$I484)</f>
        <v/>
      </c>
      <c r="P486">
        <f>IF($A486="","",IF(AND($B486&gt;0,C486&lt;$B486,DATE($B$1,1,1)&lt;=TODAY(),OR($O486="",$O486&gt;=DATE($B$1,1,1)),OR(COUNTIF($C486:C486,"&gt;0")&gt;0,DATE($B$1,1,1)=DATE(YEAR(TODAY()),MONTH(TODAY()),1))),1,0))</f>
        <v/>
      </c>
      <c r="Q486">
        <f>IF($A486="","",IF(AND($B486&gt;0,D486&lt;$B486,DATE($B$1,2,1)&lt;=TODAY(),OR($O486="",$O486&gt;=DATE($B$1,2,1)),OR(COUNTIF($C486:D486,"&gt;0")&gt;0,DATE($B$1,2,1)=DATE(YEAR(TODAY()),MONTH(TODAY()),1))),1,0))</f>
        <v/>
      </c>
      <c r="R486">
        <f>IF($A486="","",IF(AND($B486&gt;0,E486&lt;$B486,DATE($B$1,3,1)&lt;=TODAY(),OR($O486="",$O486&gt;=DATE($B$1,3,1)),OR(COUNTIF($C486:E486,"&gt;0")&gt;0,DATE($B$1,3,1)=DATE(YEAR(TODAY()),MONTH(TODAY()),1))),1,0))</f>
        <v/>
      </c>
      <c r="S486">
        <f>IF($A486="","",IF(AND($B486&gt;0,F486&lt;$B486,DATE($B$1,4,1)&lt;=TODAY(),OR($O486="",$O486&gt;=DATE($B$1,4,1)),OR(COUNTIF($C486:F486,"&gt;0")&gt;0,DATE($B$1,4,1)=DATE(YEAR(TODAY()),MONTH(TODAY()),1))),1,0))</f>
        <v/>
      </c>
      <c r="T486">
        <f>IF($A486="","",IF(AND($B486&gt;0,G486&lt;$B486,DATE($B$1,5,1)&lt;=TODAY(),OR($O486="",$O486&gt;=DATE($B$1,5,1)),OR(COUNTIF($C486:G486,"&gt;0")&gt;0,DATE($B$1,5,1)=DATE(YEAR(TODAY()),MONTH(TODAY()),1))),1,0))</f>
        <v/>
      </c>
      <c r="U486">
        <f>IF($A486="","",IF(AND($B486&gt;0,H486&lt;$B486,DATE($B$1,6,1)&lt;=TODAY(),OR($O486="",$O486&gt;=DATE($B$1,6,1)),OR(COUNTIF($C486:H486,"&gt;0")&gt;0,DATE($B$1,6,1)=DATE(YEAR(TODAY()),MONTH(TODAY()),1))),1,0))</f>
        <v/>
      </c>
      <c r="V486">
        <f>IF($A486="","",IF(AND($B486&gt;0,I486&lt;$B486,DATE($B$1,7,1)&lt;=TODAY(),OR($O486="",$O486&gt;=DATE($B$1,7,1)),OR(COUNTIF($C486:I486,"&gt;0")&gt;0,DATE($B$1,7,1)=DATE(YEAR(TODAY()),MONTH(TODAY()),1))),1,0))</f>
        <v/>
      </c>
      <c r="W486">
        <f>IF($A486="","",IF(AND($B486&gt;0,J486&lt;$B486,DATE($B$1,8,1)&lt;=TODAY(),OR($O486="",$O486&gt;=DATE($B$1,8,1)),OR(COUNTIF($C486:J486,"&gt;0")&gt;0,DATE($B$1,8,1)=DATE(YEAR(TODAY()),MONTH(TODAY()),1))),1,0))</f>
        <v/>
      </c>
      <c r="X486">
        <f>IF($A486="","",IF(AND($B486&gt;0,K486&lt;$B486,DATE($B$1,9,1)&lt;=TODAY(),OR($O486="",$O486&gt;=DATE($B$1,9,1)),OR(COUNTIF($C486:K486,"&gt;0")&gt;0,DATE($B$1,9,1)=DATE(YEAR(TODAY()),MONTH(TODAY()),1))),1,0))</f>
        <v/>
      </c>
      <c r="Y486">
        <f>IF($A486="","",IF(AND($B486&gt;0,L486&lt;$B486,DATE($B$1,10,1)&lt;=TODAY(),OR($O486="",$O486&gt;=DATE($B$1,10,1)),OR(COUNTIF($C486:L486,"&gt;0")&gt;0,DATE($B$1,10,1)=DATE(YEAR(TODAY()),MONTH(TODAY()),1))),1,0))</f>
        <v/>
      </c>
      <c r="Z486">
        <f>IF($A486="","",IF(AND($B486&gt;0,M486&lt;$B486,DATE($B$1,11,1)&lt;=TODAY(),OR($O486="",$O486&gt;=DATE($B$1,11,1)),OR(COUNTIF($C486:M486,"&gt;0")&gt;0,DATE($B$1,11,1)=DATE(YEAR(TODAY()),MONTH(TODAY()),1))),1,0))</f>
        <v/>
      </c>
      <c r="AA486">
        <f>IF($A486="","",IF(AND($B486&gt;0,N486&lt;$B486,DATE($B$1,12,1)&lt;=TODAY(),OR($O486="",$O486&gt;=DATE($B$1,12,1)),OR(COUNTIF($C486:N486,"&gt;0")&gt;0,DATE($B$1,12,1)=DATE(YEAR(TODAY()),MONTH(TODAY()),1))),1,0))</f>
        <v/>
      </c>
    </row>
    <row r="487">
      <c r="A487" s="13">
        <f>IF(원생!$A485="","",원생!$A485&amp;IF(원생!$G485="",""," ("&amp;원생!$G485&amp;")"))</f>
        <v/>
      </c>
      <c r="B487" s="8">
        <f>IF(원생!$A485="","",원생!$F485)</f>
        <v/>
      </c>
      <c r="C487" s="14">
        <f>IF(원생!$A485="","",SUMIFS(수납!$F:$F,수납!$C:$C,원생!$A485,수납!$D:$D,IF(원생!$G485="","",원생!$G485),수납!$B:$B,$B$1&amp;"-"&amp;TEXT(1,"00")&amp;"*",수납!$E:$E,"수강료")+SUMIFS(수납!$F:$F,수납!$C:$C,원생!$A485,수납!$D:$D,IF(원생!$G485="","",원생!$G485),수납!$B:$B,$B$1&amp;"-"&amp;TEXT(1,"00")&amp;"*",수납!$E:$E,""))</f>
        <v/>
      </c>
      <c r="D487" s="14">
        <f>IF(원생!$A485="","",SUMIFS(수납!$F:$F,수납!$C:$C,원생!$A485,수납!$D:$D,IF(원생!$G485="","",원생!$G485),수납!$B:$B,$B$1&amp;"-"&amp;TEXT(2,"00")&amp;"*",수납!$E:$E,"수강료")+SUMIFS(수납!$F:$F,수납!$C:$C,원생!$A485,수납!$D:$D,IF(원생!$G485="","",원생!$G485),수납!$B:$B,$B$1&amp;"-"&amp;TEXT(2,"00")&amp;"*",수납!$E:$E,""))</f>
        <v/>
      </c>
      <c r="E487" s="14">
        <f>IF(원생!$A485="","",SUMIFS(수납!$F:$F,수납!$C:$C,원생!$A485,수납!$D:$D,IF(원생!$G485="","",원생!$G485),수납!$B:$B,$B$1&amp;"-"&amp;TEXT(3,"00")&amp;"*",수납!$E:$E,"수강료")+SUMIFS(수납!$F:$F,수납!$C:$C,원생!$A485,수납!$D:$D,IF(원생!$G485="","",원생!$G485),수납!$B:$B,$B$1&amp;"-"&amp;TEXT(3,"00")&amp;"*",수납!$E:$E,""))</f>
        <v/>
      </c>
      <c r="F487" s="14">
        <f>IF(원생!$A485="","",SUMIFS(수납!$F:$F,수납!$C:$C,원생!$A485,수납!$D:$D,IF(원생!$G485="","",원생!$G485),수납!$B:$B,$B$1&amp;"-"&amp;TEXT(4,"00")&amp;"*",수납!$E:$E,"수강료")+SUMIFS(수납!$F:$F,수납!$C:$C,원생!$A485,수납!$D:$D,IF(원생!$G485="","",원생!$G485),수납!$B:$B,$B$1&amp;"-"&amp;TEXT(4,"00")&amp;"*",수납!$E:$E,""))</f>
        <v/>
      </c>
      <c r="G487" s="14">
        <f>IF(원생!$A485="","",SUMIFS(수납!$F:$F,수납!$C:$C,원생!$A485,수납!$D:$D,IF(원생!$G485="","",원생!$G485),수납!$B:$B,$B$1&amp;"-"&amp;TEXT(5,"00")&amp;"*",수납!$E:$E,"수강료")+SUMIFS(수납!$F:$F,수납!$C:$C,원생!$A485,수납!$D:$D,IF(원생!$G485="","",원생!$G485),수납!$B:$B,$B$1&amp;"-"&amp;TEXT(5,"00")&amp;"*",수납!$E:$E,""))</f>
        <v/>
      </c>
      <c r="H487" s="14">
        <f>IF(원생!$A485="","",SUMIFS(수납!$F:$F,수납!$C:$C,원생!$A485,수납!$D:$D,IF(원생!$G485="","",원생!$G485),수납!$B:$B,$B$1&amp;"-"&amp;TEXT(6,"00")&amp;"*",수납!$E:$E,"수강료")+SUMIFS(수납!$F:$F,수납!$C:$C,원생!$A485,수납!$D:$D,IF(원생!$G485="","",원생!$G485),수납!$B:$B,$B$1&amp;"-"&amp;TEXT(6,"00")&amp;"*",수납!$E:$E,""))</f>
        <v/>
      </c>
      <c r="I487" s="14">
        <f>IF(원생!$A485="","",SUMIFS(수납!$F:$F,수납!$C:$C,원생!$A485,수납!$D:$D,IF(원생!$G485="","",원생!$G485),수납!$B:$B,$B$1&amp;"-"&amp;TEXT(7,"00")&amp;"*",수납!$E:$E,"수강료")+SUMIFS(수납!$F:$F,수납!$C:$C,원생!$A485,수납!$D:$D,IF(원생!$G485="","",원생!$G485),수납!$B:$B,$B$1&amp;"-"&amp;TEXT(7,"00")&amp;"*",수납!$E:$E,""))</f>
        <v/>
      </c>
      <c r="J487" s="14">
        <f>IF(원생!$A485="","",SUMIFS(수납!$F:$F,수납!$C:$C,원생!$A485,수납!$D:$D,IF(원생!$G485="","",원생!$G485),수납!$B:$B,$B$1&amp;"-"&amp;TEXT(8,"00")&amp;"*",수납!$E:$E,"수강료")+SUMIFS(수납!$F:$F,수납!$C:$C,원생!$A485,수납!$D:$D,IF(원생!$G485="","",원생!$G485),수납!$B:$B,$B$1&amp;"-"&amp;TEXT(8,"00")&amp;"*",수납!$E:$E,""))</f>
        <v/>
      </c>
      <c r="K487" s="14">
        <f>IF(원생!$A485="","",SUMIFS(수납!$F:$F,수납!$C:$C,원생!$A485,수납!$D:$D,IF(원생!$G485="","",원생!$G485),수납!$B:$B,$B$1&amp;"-"&amp;TEXT(9,"00")&amp;"*",수납!$E:$E,"수강료")+SUMIFS(수납!$F:$F,수납!$C:$C,원생!$A485,수납!$D:$D,IF(원생!$G485="","",원생!$G485),수납!$B:$B,$B$1&amp;"-"&amp;TEXT(9,"00")&amp;"*",수납!$E:$E,""))</f>
        <v/>
      </c>
      <c r="L487" s="14">
        <f>IF(원생!$A485="","",SUMIFS(수납!$F:$F,수납!$C:$C,원생!$A485,수납!$D:$D,IF(원생!$G485="","",원생!$G485),수납!$B:$B,$B$1&amp;"-"&amp;TEXT(10,"00")&amp;"*",수납!$E:$E,"수강료")+SUMIFS(수납!$F:$F,수납!$C:$C,원생!$A485,수납!$D:$D,IF(원생!$G485="","",원생!$G485),수납!$B:$B,$B$1&amp;"-"&amp;TEXT(10,"00")&amp;"*",수납!$E:$E,""))</f>
        <v/>
      </c>
      <c r="M487" s="14">
        <f>IF(원생!$A485="","",SUMIFS(수납!$F:$F,수납!$C:$C,원생!$A485,수납!$D:$D,IF(원생!$G485="","",원생!$G485),수납!$B:$B,$B$1&amp;"-"&amp;TEXT(11,"00")&amp;"*",수납!$E:$E,"수강료")+SUMIFS(수납!$F:$F,수납!$C:$C,원생!$A485,수납!$D:$D,IF(원생!$G485="","",원생!$G485),수납!$B:$B,$B$1&amp;"-"&amp;TEXT(11,"00")&amp;"*",수납!$E:$E,""))</f>
        <v/>
      </c>
      <c r="N487" s="14">
        <f>IF(원생!$A485="","",SUMIFS(수납!$F:$F,수납!$C:$C,원생!$A485,수납!$D:$D,IF(원생!$G485="","",원생!$G485),수납!$B:$B,$B$1&amp;"-"&amp;TEXT(12,"00")&amp;"*",수납!$E:$E,"수강료")+SUMIFS(수납!$F:$F,수납!$C:$C,원생!$A485,수납!$D:$D,IF(원생!$G485="","",원생!$G485),수납!$B:$B,$B$1&amp;"-"&amp;TEXT(12,"00")&amp;"*",수납!$E:$E,""))</f>
        <v/>
      </c>
      <c r="O487">
        <f>IF(원생!$I485="","",원생!$I485)</f>
        <v/>
      </c>
      <c r="P487">
        <f>IF($A487="","",IF(AND($B487&gt;0,C487&lt;$B487,DATE($B$1,1,1)&lt;=TODAY(),OR($O487="",$O487&gt;=DATE($B$1,1,1)),OR(COUNTIF($C487:C487,"&gt;0")&gt;0,DATE($B$1,1,1)=DATE(YEAR(TODAY()),MONTH(TODAY()),1))),1,0))</f>
        <v/>
      </c>
      <c r="Q487">
        <f>IF($A487="","",IF(AND($B487&gt;0,D487&lt;$B487,DATE($B$1,2,1)&lt;=TODAY(),OR($O487="",$O487&gt;=DATE($B$1,2,1)),OR(COUNTIF($C487:D487,"&gt;0")&gt;0,DATE($B$1,2,1)=DATE(YEAR(TODAY()),MONTH(TODAY()),1))),1,0))</f>
        <v/>
      </c>
      <c r="R487">
        <f>IF($A487="","",IF(AND($B487&gt;0,E487&lt;$B487,DATE($B$1,3,1)&lt;=TODAY(),OR($O487="",$O487&gt;=DATE($B$1,3,1)),OR(COUNTIF($C487:E487,"&gt;0")&gt;0,DATE($B$1,3,1)=DATE(YEAR(TODAY()),MONTH(TODAY()),1))),1,0))</f>
        <v/>
      </c>
      <c r="S487">
        <f>IF($A487="","",IF(AND($B487&gt;0,F487&lt;$B487,DATE($B$1,4,1)&lt;=TODAY(),OR($O487="",$O487&gt;=DATE($B$1,4,1)),OR(COUNTIF($C487:F487,"&gt;0")&gt;0,DATE($B$1,4,1)=DATE(YEAR(TODAY()),MONTH(TODAY()),1))),1,0))</f>
        <v/>
      </c>
      <c r="T487">
        <f>IF($A487="","",IF(AND($B487&gt;0,G487&lt;$B487,DATE($B$1,5,1)&lt;=TODAY(),OR($O487="",$O487&gt;=DATE($B$1,5,1)),OR(COUNTIF($C487:G487,"&gt;0")&gt;0,DATE($B$1,5,1)=DATE(YEAR(TODAY()),MONTH(TODAY()),1))),1,0))</f>
        <v/>
      </c>
      <c r="U487">
        <f>IF($A487="","",IF(AND($B487&gt;0,H487&lt;$B487,DATE($B$1,6,1)&lt;=TODAY(),OR($O487="",$O487&gt;=DATE($B$1,6,1)),OR(COUNTIF($C487:H487,"&gt;0")&gt;0,DATE($B$1,6,1)=DATE(YEAR(TODAY()),MONTH(TODAY()),1))),1,0))</f>
        <v/>
      </c>
      <c r="V487">
        <f>IF($A487="","",IF(AND($B487&gt;0,I487&lt;$B487,DATE($B$1,7,1)&lt;=TODAY(),OR($O487="",$O487&gt;=DATE($B$1,7,1)),OR(COUNTIF($C487:I487,"&gt;0")&gt;0,DATE($B$1,7,1)=DATE(YEAR(TODAY()),MONTH(TODAY()),1))),1,0))</f>
        <v/>
      </c>
      <c r="W487">
        <f>IF($A487="","",IF(AND($B487&gt;0,J487&lt;$B487,DATE($B$1,8,1)&lt;=TODAY(),OR($O487="",$O487&gt;=DATE($B$1,8,1)),OR(COUNTIF($C487:J487,"&gt;0")&gt;0,DATE($B$1,8,1)=DATE(YEAR(TODAY()),MONTH(TODAY()),1))),1,0))</f>
        <v/>
      </c>
      <c r="X487">
        <f>IF($A487="","",IF(AND($B487&gt;0,K487&lt;$B487,DATE($B$1,9,1)&lt;=TODAY(),OR($O487="",$O487&gt;=DATE($B$1,9,1)),OR(COUNTIF($C487:K487,"&gt;0")&gt;0,DATE($B$1,9,1)=DATE(YEAR(TODAY()),MONTH(TODAY()),1))),1,0))</f>
        <v/>
      </c>
      <c r="Y487">
        <f>IF($A487="","",IF(AND($B487&gt;0,L487&lt;$B487,DATE($B$1,10,1)&lt;=TODAY(),OR($O487="",$O487&gt;=DATE($B$1,10,1)),OR(COUNTIF($C487:L487,"&gt;0")&gt;0,DATE($B$1,10,1)=DATE(YEAR(TODAY()),MONTH(TODAY()),1))),1,0))</f>
        <v/>
      </c>
      <c r="Z487">
        <f>IF($A487="","",IF(AND($B487&gt;0,M487&lt;$B487,DATE($B$1,11,1)&lt;=TODAY(),OR($O487="",$O487&gt;=DATE($B$1,11,1)),OR(COUNTIF($C487:M487,"&gt;0")&gt;0,DATE($B$1,11,1)=DATE(YEAR(TODAY()),MONTH(TODAY()),1))),1,0))</f>
        <v/>
      </c>
      <c r="AA487">
        <f>IF($A487="","",IF(AND($B487&gt;0,N487&lt;$B487,DATE($B$1,12,1)&lt;=TODAY(),OR($O487="",$O487&gt;=DATE($B$1,12,1)),OR(COUNTIF($C487:N487,"&gt;0")&gt;0,DATE($B$1,12,1)=DATE(YEAR(TODAY()),MONTH(TODAY()),1))),1,0))</f>
        <v/>
      </c>
    </row>
    <row r="488">
      <c r="A488" s="13">
        <f>IF(원생!$A486="","",원생!$A486&amp;IF(원생!$G486="",""," ("&amp;원생!$G486&amp;")"))</f>
        <v/>
      </c>
      <c r="B488" s="8">
        <f>IF(원생!$A486="","",원생!$F486)</f>
        <v/>
      </c>
      <c r="C488" s="14">
        <f>IF(원생!$A486="","",SUMIFS(수납!$F:$F,수납!$C:$C,원생!$A486,수납!$D:$D,IF(원생!$G486="","",원생!$G486),수납!$B:$B,$B$1&amp;"-"&amp;TEXT(1,"00")&amp;"*",수납!$E:$E,"수강료")+SUMIFS(수납!$F:$F,수납!$C:$C,원생!$A486,수납!$D:$D,IF(원생!$G486="","",원생!$G486),수납!$B:$B,$B$1&amp;"-"&amp;TEXT(1,"00")&amp;"*",수납!$E:$E,""))</f>
        <v/>
      </c>
      <c r="D488" s="14">
        <f>IF(원생!$A486="","",SUMIFS(수납!$F:$F,수납!$C:$C,원생!$A486,수납!$D:$D,IF(원생!$G486="","",원생!$G486),수납!$B:$B,$B$1&amp;"-"&amp;TEXT(2,"00")&amp;"*",수납!$E:$E,"수강료")+SUMIFS(수납!$F:$F,수납!$C:$C,원생!$A486,수납!$D:$D,IF(원생!$G486="","",원생!$G486),수납!$B:$B,$B$1&amp;"-"&amp;TEXT(2,"00")&amp;"*",수납!$E:$E,""))</f>
        <v/>
      </c>
      <c r="E488" s="14">
        <f>IF(원생!$A486="","",SUMIFS(수납!$F:$F,수납!$C:$C,원생!$A486,수납!$D:$D,IF(원생!$G486="","",원생!$G486),수납!$B:$B,$B$1&amp;"-"&amp;TEXT(3,"00")&amp;"*",수납!$E:$E,"수강료")+SUMIFS(수납!$F:$F,수납!$C:$C,원생!$A486,수납!$D:$D,IF(원생!$G486="","",원생!$G486),수납!$B:$B,$B$1&amp;"-"&amp;TEXT(3,"00")&amp;"*",수납!$E:$E,""))</f>
        <v/>
      </c>
      <c r="F488" s="14">
        <f>IF(원생!$A486="","",SUMIFS(수납!$F:$F,수납!$C:$C,원생!$A486,수납!$D:$D,IF(원생!$G486="","",원생!$G486),수납!$B:$B,$B$1&amp;"-"&amp;TEXT(4,"00")&amp;"*",수납!$E:$E,"수강료")+SUMIFS(수납!$F:$F,수납!$C:$C,원생!$A486,수납!$D:$D,IF(원생!$G486="","",원생!$G486),수납!$B:$B,$B$1&amp;"-"&amp;TEXT(4,"00")&amp;"*",수납!$E:$E,""))</f>
        <v/>
      </c>
      <c r="G488" s="14">
        <f>IF(원생!$A486="","",SUMIFS(수납!$F:$F,수납!$C:$C,원생!$A486,수납!$D:$D,IF(원생!$G486="","",원생!$G486),수납!$B:$B,$B$1&amp;"-"&amp;TEXT(5,"00")&amp;"*",수납!$E:$E,"수강료")+SUMIFS(수납!$F:$F,수납!$C:$C,원생!$A486,수납!$D:$D,IF(원생!$G486="","",원생!$G486),수납!$B:$B,$B$1&amp;"-"&amp;TEXT(5,"00")&amp;"*",수납!$E:$E,""))</f>
        <v/>
      </c>
      <c r="H488" s="14">
        <f>IF(원생!$A486="","",SUMIFS(수납!$F:$F,수납!$C:$C,원생!$A486,수납!$D:$D,IF(원생!$G486="","",원생!$G486),수납!$B:$B,$B$1&amp;"-"&amp;TEXT(6,"00")&amp;"*",수납!$E:$E,"수강료")+SUMIFS(수납!$F:$F,수납!$C:$C,원생!$A486,수납!$D:$D,IF(원생!$G486="","",원생!$G486),수납!$B:$B,$B$1&amp;"-"&amp;TEXT(6,"00")&amp;"*",수납!$E:$E,""))</f>
        <v/>
      </c>
      <c r="I488" s="14">
        <f>IF(원생!$A486="","",SUMIFS(수납!$F:$F,수납!$C:$C,원생!$A486,수납!$D:$D,IF(원생!$G486="","",원생!$G486),수납!$B:$B,$B$1&amp;"-"&amp;TEXT(7,"00")&amp;"*",수납!$E:$E,"수강료")+SUMIFS(수납!$F:$F,수납!$C:$C,원생!$A486,수납!$D:$D,IF(원생!$G486="","",원생!$G486),수납!$B:$B,$B$1&amp;"-"&amp;TEXT(7,"00")&amp;"*",수납!$E:$E,""))</f>
        <v/>
      </c>
      <c r="J488" s="14">
        <f>IF(원생!$A486="","",SUMIFS(수납!$F:$F,수납!$C:$C,원생!$A486,수납!$D:$D,IF(원생!$G486="","",원생!$G486),수납!$B:$B,$B$1&amp;"-"&amp;TEXT(8,"00")&amp;"*",수납!$E:$E,"수강료")+SUMIFS(수납!$F:$F,수납!$C:$C,원생!$A486,수납!$D:$D,IF(원생!$G486="","",원생!$G486),수납!$B:$B,$B$1&amp;"-"&amp;TEXT(8,"00")&amp;"*",수납!$E:$E,""))</f>
        <v/>
      </c>
      <c r="K488" s="14">
        <f>IF(원생!$A486="","",SUMIFS(수납!$F:$F,수납!$C:$C,원생!$A486,수납!$D:$D,IF(원생!$G486="","",원생!$G486),수납!$B:$B,$B$1&amp;"-"&amp;TEXT(9,"00")&amp;"*",수납!$E:$E,"수강료")+SUMIFS(수납!$F:$F,수납!$C:$C,원생!$A486,수납!$D:$D,IF(원생!$G486="","",원생!$G486),수납!$B:$B,$B$1&amp;"-"&amp;TEXT(9,"00")&amp;"*",수납!$E:$E,""))</f>
        <v/>
      </c>
      <c r="L488" s="14">
        <f>IF(원생!$A486="","",SUMIFS(수납!$F:$F,수납!$C:$C,원생!$A486,수납!$D:$D,IF(원생!$G486="","",원생!$G486),수납!$B:$B,$B$1&amp;"-"&amp;TEXT(10,"00")&amp;"*",수납!$E:$E,"수강료")+SUMIFS(수납!$F:$F,수납!$C:$C,원생!$A486,수납!$D:$D,IF(원생!$G486="","",원생!$G486),수납!$B:$B,$B$1&amp;"-"&amp;TEXT(10,"00")&amp;"*",수납!$E:$E,""))</f>
        <v/>
      </c>
      <c r="M488" s="14">
        <f>IF(원생!$A486="","",SUMIFS(수납!$F:$F,수납!$C:$C,원생!$A486,수납!$D:$D,IF(원생!$G486="","",원생!$G486),수납!$B:$B,$B$1&amp;"-"&amp;TEXT(11,"00")&amp;"*",수납!$E:$E,"수강료")+SUMIFS(수납!$F:$F,수납!$C:$C,원생!$A486,수납!$D:$D,IF(원생!$G486="","",원생!$G486),수납!$B:$B,$B$1&amp;"-"&amp;TEXT(11,"00")&amp;"*",수납!$E:$E,""))</f>
        <v/>
      </c>
      <c r="N488" s="14">
        <f>IF(원생!$A486="","",SUMIFS(수납!$F:$F,수납!$C:$C,원생!$A486,수납!$D:$D,IF(원생!$G486="","",원생!$G486),수납!$B:$B,$B$1&amp;"-"&amp;TEXT(12,"00")&amp;"*",수납!$E:$E,"수강료")+SUMIFS(수납!$F:$F,수납!$C:$C,원생!$A486,수납!$D:$D,IF(원생!$G486="","",원생!$G486),수납!$B:$B,$B$1&amp;"-"&amp;TEXT(12,"00")&amp;"*",수납!$E:$E,""))</f>
        <v/>
      </c>
      <c r="O488">
        <f>IF(원생!$I486="","",원생!$I486)</f>
        <v/>
      </c>
      <c r="P488">
        <f>IF($A488="","",IF(AND($B488&gt;0,C488&lt;$B488,DATE($B$1,1,1)&lt;=TODAY(),OR($O488="",$O488&gt;=DATE($B$1,1,1)),OR(COUNTIF($C488:C488,"&gt;0")&gt;0,DATE($B$1,1,1)=DATE(YEAR(TODAY()),MONTH(TODAY()),1))),1,0))</f>
        <v/>
      </c>
      <c r="Q488">
        <f>IF($A488="","",IF(AND($B488&gt;0,D488&lt;$B488,DATE($B$1,2,1)&lt;=TODAY(),OR($O488="",$O488&gt;=DATE($B$1,2,1)),OR(COUNTIF($C488:D488,"&gt;0")&gt;0,DATE($B$1,2,1)=DATE(YEAR(TODAY()),MONTH(TODAY()),1))),1,0))</f>
        <v/>
      </c>
      <c r="R488">
        <f>IF($A488="","",IF(AND($B488&gt;0,E488&lt;$B488,DATE($B$1,3,1)&lt;=TODAY(),OR($O488="",$O488&gt;=DATE($B$1,3,1)),OR(COUNTIF($C488:E488,"&gt;0")&gt;0,DATE($B$1,3,1)=DATE(YEAR(TODAY()),MONTH(TODAY()),1))),1,0))</f>
        <v/>
      </c>
      <c r="S488">
        <f>IF($A488="","",IF(AND($B488&gt;0,F488&lt;$B488,DATE($B$1,4,1)&lt;=TODAY(),OR($O488="",$O488&gt;=DATE($B$1,4,1)),OR(COUNTIF($C488:F488,"&gt;0")&gt;0,DATE($B$1,4,1)=DATE(YEAR(TODAY()),MONTH(TODAY()),1))),1,0))</f>
        <v/>
      </c>
      <c r="T488">
        <f>IF($A488="","",IF(AND($B488&gt;0,G488&lt;$B488,DATE($B$1,5,1)&lt;=TODAY(),OR($O488="",$O488&gt;=DATE($B$1,5,1)),OR(COUNTIF($C488:G488,"&gt;0")&gt;0,DATE($B$1,5,1)=DATE(YEAR(TODAY()),MONTH(TODAY()),1))),1,0))</f>
        <v/>
      </c>
      <c r="U488">
        <f>IF($A488="","",IF(AND($B488&gt;0,H488&lt;$B488,DATE($B$1,6,1)&lt;=TODAY(),OR($O488="",$O488&gt;=DATE($B$1,6,1)),OR(COUNTIF($C488:H488,"&gt;0")&gt;0,DATE($B$1,6,1)=DATE(YEAR(TODAY()),MONTH(TODAY()),1))),1,0))</f>
        <v/>
      </c>
      <c r="V488">
        <f>IF($A488="","",IF(AND($B488&gt;0,I488&lt;$B488,DATE($B$1,7,1)&lt;=TODAY(),OR($O488="",$O488&gt;=DATE($B$1,7,1)),OR(COUNTIF($C488:I488,"&gt;0")&gt;0,DATE($B$1,7,1)=DATE(YEAR(TODAY()),MONTH(TODAY()),1))),1,0))</f>
        <v/>
      </c>
      <c r="W488">
        <f>IF($A488="","",IF(AND($B488&gt;0,J488&lt;$B488,DATE($B$1,8,1)&lt;=TODAY(),OR($O488="",$O488&gt;=DATE($B$1,8,1)),OR(COUNTIF($C488:J488,"&gt;0")&gt;0,DATE($B$1,8,1)=DATE(YEAR(TODAY()),MONTH(TODAY()),1))),1,0))</f>
        <v/>
      </c>
      <c r="X488">
        <f>IF($A488="","",IF(AND($B488&gt;0,K488&lt;$B488,DATE($B$1,9,1)&lt;=TODAY(),OR($O488="",$O488&gt;=DATE($B$1,9,1)),OR(COUNTIF($C488:K488,"&gt;0")&gt;0,DATE($B$1,9,1)=DATE(YEAR(TODAY()),MONTH(TODAY()),1))),1,0))</f>
        <v/>
      </c>
      <c r="Y488">
        <f>IF($A488="","",IF(AND($B488&gt;0,L488&lt;$B488,DATE($B$1,10,1)&lt;=TODAY(),OR($O488="",$O488&gt;=DATE($B$1,10,1)),OR(COUNTIF($C488:L488,"&gt;0")&gt;0,DATE($B$1,10,1)=DATE(YEAR(TODAY()),MONTH(TODAY()),1))),1,0))</f>
        <v/>
      </c>
      <c r="Z488">
        <f>IF($A488="","",IF(AND($B488&gt;0,M488&lt;$B488,DATE($B$1,11,1)&lt;=TODAY(),OR($O488="",$O488&gt;=DATE($B$1,11,1)),OR(COUNTIF($C488:M488,"&gt;0")&gt;0,DATE($B$1,11,1)=DATE(YEAR(TODAY()),MONTH(TODAY()),1))),1,0))</f>
        <v/>
      </c>
      <c r="AA488">
        <f>IF($A488="","",IF(AND($B488&gt;0,N488&lt;$B488,DATE($B$1,12,1)&lt;=TODAY(),OR($O488="",$O488&gt;=DATE($B$1,12,1)),OR(COUNTIF($C488:N488,"&gt;0")&gt;0,DATE($B$1,12,1)=DATE(YEAR(TODAY()),MONTH(TODAY()),1))),1,0))</f>
        <v/>
      </c>
    </row>
    <row r="489">
      <c r="A489" s="13">
        <f>IF(원생!$A487="","",원생!$A487&amp;IF(원생!$G487="",""," ("&amp;원생!$G487&amp;")"))</f>
        <v/>
      </c>
      <c r="B489" s="8">
        <f>IF(원생!$A487="","",원생!$F487)</f>
        <v/>
      </c>
      <c r="C489" s="14">
        <f>IF(원생!$A487="","",SUMIFS(수납!$F:$F,수납!$C:$C,원생!$A487,수납!$D:$D,IF(원생!$G487="","",원생!$G487),수납!$B:$B,$B$1&amp;"-"&amp;TEXT(1,"00")&amp;"*",수납!$E:$E,"수강료")+SUMIFS(수납!$F:$F,수납!$C:$C,원생!$A487,수납!$D:$D,IF(원생!$G487="","",원생!$G487),수납!$B:$B,$B$1&amp;"-"&amp;TEXT(1,"00")&amp;"*",수납!$E:$E,""))</f>
        <v/>
      </c>
      <c r="D489" s="14">
        <f>IF(원생!$A487="","",SUMIFS(수납!$F:$F,수납!$C:$C,원생!$A487,수납!$D:$D,IF(원생!$G487="","",원생!$G487),수납!$B:$B,$B$1&amp;"-"&amp;TEXT(2,"00")&amp;"*",수납!$E:$E,"수강료")+SUMIFS(수납!$F:$F,수납!$C:$C,원생!$A487,수납!$D:$D,IF(원생!$G487="","",원생!$G487),수납!$B:$B,$B$1&amp;"-"&amp;TEXT(2,"00")&amp;"*",수납!$E:$E,""))</f>
        <v/>
      </c>
      <c r="E489" s="14">
        <f>IF(원생!$A487="","",SUMIFS(수납!$F:$F,수납!$C:$C,원생!$A487,수납!$D:$D,IF(원생!$G487="","",원생!$G487),수납!$B:$B,$B$1&amp;"-"&amp;TEXT(3,"00")&amp;"*",수납!$E:$E,"수강료")+SUMIFS(수납!$F:$F,수납!$C:$C,원생!$A487,수납!$D:$D,IF(원생!$G487="","",원생!$G487),수납!$B:$B,$B$1&amp;"-"&amp;TEXT(3,"00")&amp;"*",수납!$E:$E,""))</f>
        <v/>
      </c>
      <c r="F489" s="14">
        <f>IF(원생!$A487="","",SUMIFS(수납!$F:$F,수납!$C:$C,원생!$A487,수납!$D:$D,IF(원생!$G487="","",원생!$G487),수납!$B:$B,$B$1&amp;"-"&amp;TEXT(4,"00")&amp;"*",수납!$E:$E,"수강료")+SUMIFS(수납!$F:$F,수납!$C:$C,원생!$A487,수납!$D:$D,IF(원생!$G487="","",원생!$G487),수납!$B:$B,$B$1&amp;"-"&amp;TEXT(4,"00")&amp;"*",수납!$E:$E,""))</f>
        <v/>
      </c>
      <c r="G489" s="14">
        <f>IF(원생!$A487="","",SUMIFS(수납!$F:$F,수납!$C:$C,원생!$A487,수납!$D:$D,IF(원생!$G487="","",원생!$G487),수납!$B:$B,$B$1&amp;"-"&amp;TEXT(5,"00")&amp;"*",수납!$E:$E,"수강료")+SUMIFS(수납!$F:$F,수납!$C:$C,원생!$A487,수납!$D:$D,IF(원생!$G487="","",원생!$G487),수납!$B:$B,$B$1&amp;"-"&amp;TEXT(5,"00")&amp;"*",수납!$E:$E,""))</f>
        <v/>
      </c>
      <c r="H489" s="14">
        <f>IF(원생!$A487="","",SUMIFS(수납!$F:$F,수납!$C:$C,원생!$A487,수납!$D:$D,IF(원생!$G487="","",원생!$G487),수납!$B:$B,$B$1&amp;"-"&amp;TEXT(6,"00")&amp;"*",수납!$E:$E,"수강료")+SUMIFS(수납!$F:$F,수납!$C:$C,원생!$A487,수납!$D:$D,IF(원생!$G487="","",원생!$G487),수납!$B:$B,$B$1&amp;"-"&amp;TEXT(6,"00")&amp;"*",수납!$E:$E,""))</f>
        <v/>
      </c>
      <c r="I489" s="14">
        <f>IF(원생!$A487="","",SUMIFS(수납!$F:$F,수납!$C:$C,원생!$A487,수납!$D:$D,IF(원생!$G487="","",원생!$G487),수납!$B:$B,$B$1&amp;"-"&amp;TEXT(7,"00")&amp;"*",수납!$E:$E,"수강료")+SUMIFS(수납!$F:$F,수납!$C:$C,원생!$A487,수납!$D:$D,IF(원생!$G487="","",원생!$G487),수납!$B:$B,$B$1&amp;"-"&amp;TEXT(7,"00")&amp;"*",수납!$E:$E,""))</f>
        <v/>
      </c>
      <c r="J489" s="14">
        <f>IF(원생!$A487="","",SUMIFS(수납!$F:$F,수납!$C:$C,원생!$A487,수납!$D:$D,IF(원생!$G487="","",원생!$G487),수납!$B:$B,$B$1&amp;"-"&amp;TEXT(8,"00")&amp;"*",수납!$E:$E,"수강료")+SUMIFS(수납!$F:$F,수납!$C:$C,원생!$A487,수납!$D:$D,IF(원생!$G487="","",원생!$G487),수납!$B:$B,$B$1&amp;"-"&amp;TEXT(8,"00")&amp;"*",수납!$E:$E,""))</f>
        <v/>
      </c>
      <c r="K489" s="14">
        <f>IF(원생!$A487="","",SUMIFS(수납!$F:$F,수납!$C:$C,원생!$A487,수납!$D:$D,IF(원생!$G487="","",원생!$G487),수납!$B:$B,$B$1&amp;"-"&amp;TEXT(9,"00")&amp;"*",수납!$E:$E,"수강료")+SUMIFS(수납!$F:$F,수납!$C:$C,원생!$A487,수납!$D:$D,IF(원생!$G487="","",원생!$G487),수납!$B:$B,$B$1&amp;"-"&amp;TEXT(9,"00")&amp;"*",수납!$E:$E,""))</f>
        <v/>
      </c>
      <c r="L489" s="14">
        <f>IF(원생!$A487="","",SUMIFS(수납!$F:$F,수납!$C:$C,원생!$A487,수납!$D:$D,IF(원생!$G487="","",원생!$G487),수납!$B:$B,$B$1&amp;"-"&amp;TEXT(10,"00")&amp;"*",수납!$E:$E,"수강료")+SUMIFS(수납!$F:$F,수납!$C:$C,원생!$A487,수납!$D:$D,IF(원생!$G487="","",원생!$G487),수납!$B:$B,$B$1&amp;"-"&amp;TEXT(10,"00")&amp;"*",수납!$E:$E,""))</f>
        <v/>
      </c>
      <c r="M489" s="14">
        <f>IF(원생!$A487="","",SUMIFS(수납!$F:$F,수납!$C:$C,원생!$A487,수납!$D:$D,IF(원생!$G487="","",원생!$G487),수납!$B:$B,$B$1&amp;"-"&amp;TEXT(11,"00")&amp;"*",수납!$E:$E,"수강료")+SUMIFS(수납!$F:$F,수납!$C:$C,원생!$A487,수납!$D:$D,IF(원생!$G487="","",원생!$G487),수납!$B:$B,$B$1&amp;"-"&amp;TEXT(11,"00")&amp;"*",수납!$E:$E,""))</f>
        <v/>
      </c>
      <c r="N489" s="14">
        <f>IF(원생!$A487="","",SUMIFS(수납!$F:$F,수납!$C:$C,원생!$A487,수납!$D:$D,IF(원생!$G487="","",원생!$G487),수납!$B:$B,$B$1&amp;"-"&amp;TEXT(12,"00")&amp;"*",수납!$E:$E,"수강료")+SUMIFS(수납!$F:$F,수납!$C:$C,원생!$A487,수납!$D:$D,IF(원생!$G487="","",원생!$G487),수납!$B:$B,$B$1&amp;"-"&amp;TEXT(12,"00")&amp;"*",수납!$E:$E,""))</f>
        <v/>
      </c>
      <c r="O489">
        <f>IF(원생!$I487="","",원생!$I487)</f>
        <v/>
      </c>
      <c r="P489">
        <f>IF($A489="","",IF(AND($B489&gt;0,C489&lt;$B489,DATE($B$1,1,1)&lt;=TODAY(),OR($O489="",$O489&gt;=DATE($B$1,1,1)),OR(COUNTIF($C489:C489,"&gt;0")&gt;0,DATE($B$1,1,1)=DATE(YEAR(TODAY()),MONTH(TODAY()),1))),1,0))</f>
        <v/>
      </c>
      <c r="Q489">
        <f>IF($A489="","",IF(AND($B489&gt;0,D489&lt;$B489,DATE($B$1,2,1)&lt;=TODAY(),OR($O489="",$O489&gt;=DATE($B$1,2,1)),OR(COUNTIF($C489:D489,"&gt;0")&gt;0,DATE($B$1,2,1)=DATE(YEAR(TODAY()),MONTH(TODAY()),1))),1,0))</f>
        <v/>
      </c>
      <c r="R489">
        <f>IF($A489="","",IF(AND($B489&gt;0,E489&lt;$B489,DATE($B$1,3,1)&lt;=TODAY(),OR($O489="",$O489&gt;=DATE($B$1,3,1)),OR(COUNTIF($C489:E489,"&gt;0")&gt;0,DATE($B$1,3,1)=DATE(YEAR(TODAY()),MONTH(TODAY()),1))),1,0))</f>
        <v/>
      </c>
      <c r="S489">
        <f>IF($A489="","",IF(AND($B489&gt;0,F489&lt;$B489,DATE($B$1,4,1)&lt;=TODAY(),OR($O489="",$O489&gt;=DATE($B$1,4,1)),OR(COUNTIF($C489:F489,"&gt;0")&gt;0,DATE($B$1,4,1)=DATE(YEAR(TODAY()),MONTH(TODAY()),1))),1,0))</f>
        <v/>
      </c>
      <c r="T489">
        <f>IF($A489="","",IF(AND($B489&gt;0,G489&lt;$B489,DATE($B$1,5,1)&lt;=TODAY(),OR($O489="",$O489&gt;=DATE($B$1,5,1)),OR(COUNTIF($C489:G489,"&gt;0")&gt;0,DATE($B$1,5,1)=DATE(YEAR(TODAY()),MONTH(TODAY()),1))),1,0))</f>
        <v/>
      </c>
      <c r="U489">
        <f>IF($A489="","",IF(AND($B489&gt;0,H489&lt;$B489,DATE($B$1,6,1)&lt;=TODAY(),OR($O489="",$O489&gt;=DATE($B$1,6,1)),OR(COUNTIF($C489:H489,"&gt;0")&gt;0,DATE($B$1,6,1)=DATE(YEAR(TODAY()),MONTH(TODAY()),1))),1,0))</f>
        <v/>
      </c>
      <c r="V489">
        <f>IF($A489="","",IF(AND($B489&gt;0,I489&lt;$B489,DATE($B$1,7,1)&lt;=TODAY(),OR($O489="",$O489&gt;=DATE($B$1,7,1)),OR(COUNTIF($C489:I489,"&gt;0")&gt;0,DATE($B$1,7,1)=DATE(YEAR(TODAY()),MONTH(TODAY()),1))),1,0))</f>
        <v/>
      </c>
      <c r="W489">
        <f>IF($A489="","",IF(AND($B489&gt;0,J489&lt;$B489,DATE($B$1,8,1)&lt;=TODAY(),OR($O489="",$O489&gt;=DATE($B$1,8,1)),OR(COUNTIF($C489:J489,"&gt;0")&gt;0,DATE($B$1,8,1)=DATE(YEAR(TODAY()),MONTH(TODAY()),1))),1,0))</f>
        <v/>
      </c>
      <c r="X489">
        <f>IF($A489="","",IF(AND($B489&gt;0,K489&lt;$B489,DATE($B$1,9,1)&lt;=TODAY(),OR($O489="",$O489&gt;=DATE($B$1,9,1)),OR(COUNTIF($C489:K489,"&gt;0")&gt;0,DATE($B$1,9,1)=DATE(YEAR(TODAY()),MONTH(TODAY()),1))),1,0))</f>
        <v/>
      </c>
      <c r="Y489">
        <f>IF($A489="","",IF(AND($B489&gt;0,L489&lt;$B489,DATE($B$1,10,1)&lt;=TODAY(),OR($O489="",$O489&gt;=DATE($B$1,10,1)),OR(COUNTIF($C489:L489,"&gt;0")&gt;0,DATE($B$1,10,1)=DATE(YEAR(TODAY()),MONTH(TODAY()),1))),1,0))</f>
        <v/>
      </c>
      <c r="Z489">
        <f>IF($A489="","",IF(AND($B489&gt;0,M489&lt;$B489,DATE($B$1,11,1)&lt;=TODAY(),OR($O489="",$O489&gt;=DATE($B$1,11,1)),OR(COUNTIF($C489:M489,"&gt;0")&gt;0,DATE($B$1,11,1)=DATE(YEAR(TODAY()),MONTH(TODAY()),1))),1,0))</f>
        <v/>
      </c>
      <c r="AA489">
        <f>IF($A489="","",IF(AND($B489&gt;0,N489&lt;$B489,DATE($B$1,12,1)&lt;=TODAY(),OR($O489="",$O489&gt;=DATE($B$1,12,1)),OR(COUNTIF($C489:N489,"&gt;0")&gt;0,DATE($B$1,12,1)=DATE(YEAR(TODAY()),MONTH(TODAY()),1))),1,0))</f>
        <v/>
      </c>
    </row>
    <row r="490">
      <c r="A490" s="13">
        <f>IF(원생!$A488="","",원생!$A488&amp;IF(원생!$G488="",""," ("&amp;원생!$G488&amp;")"))</f>
        <v/>
      </c>
      <c r="B490" s="8">
        <f>IF(원생!$A488="","",원생!$F488)</f>
        <v/>
      </c>
      <c r="C490" s="14">
        <f>IF(원생!$A488="","",SUMIFS(수납!$F:$F,수납!$C:$C,원생!$A488,수납!$D:$D,IF(원생!$G488="","",원생!$G488),수납!$B:$B,$B$1&amp;"-"&amp;TEXT(1,"00")&amp;"*",수납!$E:$E,"수강료")+SUMIFS(수납!$F:$F,수납!$C:$C,원생!$A488,수납!$D:$D,IF(원생!$G488="","",원생!$G488),수납!$B:$B,$B$1&amp;"-"&amp;TEXT(1,"00")&amp;"*",수납!$E:$E,""))</f>
        <v/>
      </c>
      <c r="D490" s="14">
        <f>IF(원생!$A488="","",SUMIFS(수납!$F:$F,수납!$C:$C,원생!$A488,수납!$D:$D,IF(원생!$G488="","",원생!$G488),수납!$B:$B,$B$1&amp;"-"&amp;TEXT(2,"00")&amp;"*",수납!$E:$E,"수강료")+SUMIFS(수납!$F:$F,수납!$C:$C,원생!$A488,수납!$D:$D,IF(원생!$G488="","",원생!$G488),수납!$B:$B,$B$1&amp;"-"&amp;TEXT(2,"00")&amp;"*",수납!$E:$E,""))</f>
        <v/>
      </c>
      <c r="E490" s="14">
        <f>IF(원생!$A488="","",SUMIFS(수납!$F:$F,수납!$C:$C,원생!$A488,수납!$D:$D,IF(원생!$G488="","",원생!$G488),수납!$B:$B,$B$1&amp;"-"&amp;TEXT(3,"00")&amp;"*",수납!$E:$E,"수강료")+SUMIFS(수납!$F:$F,수납!$C:$C,원생!$A488,수납!$D:$D,IF(원생!$G488="","",원생!$G488),수납!$B:$B,$B$1&amp;"-"&amp;TEXT(3,"00")&amp;"*",수납!$E:$E,""))</f>
        <v/>
      </c>
      <c r="F490" s="14">
        <f>IF(원생!$A488="","",SUMIFS(수납!$F:$F,수납!$C:$C,원생!$A488,수납!$D:$D,IF(원생!$G488="","",원생!$G488),수납!$B:$B,$B$1&amp;"-"&amp;TEXT(4,"00")&amp;"*",수납!$E:$E,"수강료")+SUMIFS(수납!$F:$F,수납!$C:$C,원생!$A488,수납!$D:$D,IF(원생!$G488="","",원생!$G488),수납!$B:$B,$B$1&amp;"-"&amp;TEXT(4,"00")&amp;"*",수납!$E:$E,""))</f>
        <v/>
      </c>
      <c r="G490" s="14">
        <f>IF(원생!$A488="","",SUMIFS(수납!$F:$F,수납!$C:$C,원생!$A488,수납!$D:$D,IF(원생!$G488="","",원생!$G488),수납!$B:$B,$B$1&amp;"-"&amp;TEXT(5,"00")&amp;"*",수납!$E:$E,"수강료")+SUMIFS(수납!$F:$F,수납!$C:$C,원생!$A488,수납!$D:$D,IF(원생!$G488="","",원생!$G488),수납!$B:$B,$B$1&amp;"-"&amp;TEXT(5,"00")&amp;"*",수납!$E:$E,""))</f>
        <v/>
      </c>
      <c r="H490" s="14">
        <f>IF(원생!$A488="","",SUMIFS(수납!$F:$F,수납!$C:$C,원생!$A488,수납!$D:$D,IF(원생!$G488="","",원생!$G488),수납!$B:$B,$B$1&amp;"-"&amp;TEXT(6,"00")&amp;"*",수납!$E:$E,"수강료")+SUMIFS(수납!$F:$F,수납!$C:$C,원생!$A488,수납!$D:$D,IF(원생!$G488="","",원생!$G488),수납!$B:$B,$B$1&amp;"-"&amp;TEXT(6,"00")&amp;"*",수납!$E:$E,""))</f>
        <v/>
      </c>
      <c r="I490" s="14">
        <f>IF(원생!$A488="","",SUMIFS(수납!$F:$F,수납!$C:$C,원생!$A488,수납!$D:$D,IF(원생!$G488="","",원생!$G488),수납!$B:$B,$B$1&amp;"-"&amp;TEXT(7,"00")&amp;"*",수납!$E:$E,"수강료")+SUMIFS(수납!$F:$F,수납!$C:$C,원생!$A488,수납!$D:$D,IF(원생!$G488="","",원생!$G488),수납!$B:$B,$B$1&amp;"-"&amp;TEXT(7,"00")&amp;"*",수납!$E:$E,""))</f>
        <v/>
      </c>
      <c r="J490" s="14">
        <f>IF(원생!$A488="","",SUMIFS(수납!$F:$F,수납!$C:$C,원생!$A488,수납!$D:$D,IF(원생!$G488="","",원생!$G488),수납!$B:$B,$B$1&amp;"-"&amp;TEXT(8,"00")&amp;"*",수납!$E:$E,"수강료")+SUMIFS(수납!$F:$F,수납!$C:$C,원생!$A488,수납!$D:$D,IF(원생!$G488="","",원생!$G488),수납!$B:$B,$B$1&amp;"-"&amp;TEXT(8,"00")&amp;"*",수납!$E:$E,""))</f>
        <v/>
      </c>
      <c r="K490" s="14">
        <f>IF(원생!$A488="","",SUMIFS(수납!$F:$F,수납!$C:$C,원생!$A488,수납!$D:$D,IF(원생!$G488="","",원생!$G488),수납!$B:$B,$B$1&amp;"-"&amp;TEXT(9,"00")&amp;"*",수납!$E:$E,"수강료")+SUMIFS(수납!$F:$F,수납!$C:$C,원생!$A488,수납!$D:$D,IF(원생!$G488="","",원생!$G488),수납!$B:$B,$B$1&amp;"-"&amp;TEXT(9,"00")&amp;"*",수납!$E:$E,""))</f>
        <v/>
      </c>
      <c r="L490" s="14">
        <f>IF(원생!$A488="","",SUMIFS(수납!$F:$F,수납!$C:$C,원생!$A488,수납!$D:$D,IF(원생!$G488="","",원생!$G488),수납!$B:$B,$B$1&amp;"-"&amp;TEXT(10,"00")&amp;"*",수납!$E:$E,"수강료")+SUMIFS(수납!$F:$F,수납!$C:$C,원생!$A488,수납!$D:$D,IF(원생!$G488="","",원생!$G488),수납!$B:$B,$B$1&amp;"-"&amp;TEXT(10,"00")&amp;"*",수납!$E:$E,""))</f>
        <v/>
      </c>
      <c r="M490" s="14">
        <f>IF(원생!$A488="","",SUMIFS(수납!$F:$F,수납!$C:$C,원생!$A488,수납!$D:$D,IF(원생!$G488="","",원생!$G488),수납!$B:$B,$B$1&amp;"-"&amp;TEXT(11,"00")&amp;"*",수납!$E:$E,"수강료")+SUMIFS(수납!$F:$F,수납!$C:$C,원생!$A488,수납!$D:$D,IF(원생!$G488="","",원생!$G488),수납!$B:$B,$B$1&amp;"-"&amp;TEXT(11,"00")&amp;"*",수납!$E:$E,""))</f>
        <v/>
      </c>
      <c r="N490" s="14">
        <f>IF(원생!$A488="","",SUMIFS(수납!$F:$F,수납!$C:$C,원생!$A488,수납!$D:$D,IF(원생!$G488="","",원생!$G488),수납!$B:$B,$B$1&amp;"-"&amp;TEXT(12,"00")&amp;"*",수납!$E:$E,"수강료")+SUMIFS(수납!$F:$F,수납!$C:$C,원생!$A488,수납!$D:$D,IF(원생!$G488="","",원생!$G488),수납!$B:$B,$B$1&amp;"-"&amp;TEXT(12,"00")&amp;"*",수납!$E:$E,""))</f>
        <v/>
      </c>
      <c r="O490">
        <f>IF(원생!$I488="","",원생!$I488)</f>
        <v/>
      </c>
      <c r="P490">
        <f>IF($A490="","",IF(AND($B490&gt;0,C490&lt;$B490,DATE($B$1,1,1)&lt;=TODAY(),OR($O490="",$O490&gt;=DATE($B$1,1,1)),OR(COUNTIF($C490:C490,"&gt;0")&gt;0,DATE($B$1,1,1)=DATE(YEAR(TODAY()),MONTH(TODAY()),1))),1,0))</f>
        <v/>
      </c>
      <c r="Q490">
        <f>IF($A490="","",IF(AND($B490&gt;0,D490&lt;$B490,DATE($B$1,2,1)&lt;=TODAY(),OR($O490="",$O490&gt;=DATE($B$1,2,1)),OR(COUNTIF($C490:D490,"&gt;0")&gt;0,DATE($B$1,2,1)=DATE(YEAR(TODAY()),MONTH(TODAY()),1))),1,0))</f>
        <v/>
      </c>
      <c r="R490">
        <f>IF($A490="","",IF(AND($B490&gt;0,E490&lt;$B490,DATE($B$1,3,1)&lt;=TODAY(),OR($O490="",$O490&gt;=DATE($B$1,3,1)),OR(COUNTIF($C490:E490,"&gt;0")&gt;0,DATE($B$1,3,1)=DATE(YEAR(TODAY()),MONTH(TODAY()),1))),1,0))</f>
        <v/>
      </c>
      <c r="S490">
        <f>IF($A490="","",IF(AND($B490&gt;0,F490&lt;$B490,DATE($B$1,4,1)&lt;=TODAY(),OR($O490="",$O490&gt;=DATE($B$1,4,1)),OR(COUNTIF($C490:F490,"&gt;0")&gt;0,DATE($B$1,4,1)=DATE(YEAR(TODAY()),MONTH(TODAY()),1))),1,0))</f>
        <v/>
      </c>
      <c r="T490">
        <f>IF($A490="","",IF(AND($B490&gt;0,G490&lt;$B490,DATE($B$1,5,1)&lt;=TODAY(),OR($O490="",$O490&gt;=DATE($B$1,5,1)),OR(COUNTIF($C490:G490,"&gt;0")&gt;0,DATE($B$1,5,1)=DATE(YEAR(TODAY()),MONTH(TODAY()),1))),1,0))</f>
        <v/>
      </c>
      <c r="U490">
        <f>IF($A490="","",IF(AND($B490&gt;0,H490&lt;$B490,DATE($B$1,6,1)&lt;=TODAY(),OR($O490="",$O490&gt;=DATE($B$1,6,1)),OR(COUNTIF($C490:H490,"&gt;0")&gt;0,DATE($B$1,6,1)=DATE(YEAR(TODAY()),MONTH(TODAY()),1))),1,0))</f>
        <v/>
      </c>
      <c r="V490">
        <f>IF($A490="","",IF(AND($B490&gt;0,I490&lt;$B490,DATE($B$1,7,1)&lt;=TODAY(),OR($O490="",$O490&gt;=DATE($B$1,7,1)),OR(COUNTIF($C490:I490,"&gt;0")&gt;0,DATE($B$1,7,1)=DATE(YEAR(TODAY()),MONTH(TODAY()),1))),1,0))</f>
        <v/>
      </c>
      <c r="W490">
        <f>IF($A490="","",IF(AND($B490&gt;0,J490&lt;$B490,DATE($B$1,8,1)&lt;=TODAY(),OR($O490="",$O490&gt;=DATE($B$1,8,1)),OR(COUNTIF($C490:J490,"&gt;0")&gt;0,DATE($B$1,8,1)=DATE(YEAR(TODAY()),MONTH(TODAY()),1))),1,0))</f>
        <v/>
      </c>
      <c r="X490">
        <f>IF($A490="","",IF(AND($B490&gt;0,K490&lt;$B490,DATE($B$1,9,1)&lt;=TODAY(),OR($O490="",$O490&gt;=DATE($B$1,9,1)),OR(COUNTIF($C490:K490,"&gt;0")&gt;0,DATE($B$1,9,1)=DATE(YEAR(TODAY()),MONTH(TODAY()),1))),1,0))</f>
        <v/>
      </c>
      <c r="Y490">
        <f>IF($A490="","",IF(AND($B490&gt;0,L490&lt;$B490,DATE($B$1,10,1)&lt;=TODAY(),OR($O490="",$O490&gt;=DATE($B$1,10,1)),OR(COUNTIF($C490:L490,"&gt;0")&gt;0,DATE($B$1,10,1)=DATE(YEAR(TODAY()),MONTH(TODAY()),1))),1,0))</f>
        <v/>
      </c>
      <c r="Z490">
        <f>IF($A490="","",IF(AND($B490&gt;0,M490&lt;$B490,DATE($B$1,11,1)&lt;=TODAY(),OR($O490="",$O490&gt;=DATE($B$1,11,1)),OR(COUNTIF($C490:M490,"&gt;0")&gt;0,DATE($B$1,11,1)=DATE(YEAR(TODAY()),MONTH(TODAY()),1))),1,0))</f>
        <v/>
      </c>
      <c r="AA490">
        <f>IF($A490="","",IF(AND($B490&gt;0,N490&lt;$B490,DATE($B$1,12,1)&lt;=TODAY(),OR($O490="",$O490&gt;=DATE($B$1,12,1)),OR(COUNTIF($C490:N490,"&gt;0")&gt;0,DATE($B$1,12,1)=DATE(YEAR(TODAY()),MONTH(TODAY()),1))),1,0))</f>
        <v/>
      </c>
    </row>
    <row r="491">
      <c r="A491" s="13">
        <f>IF(원생!$A489="","",원생!$A489&amp;IF(원생!$G489="",""," ("&amp;원생!$G489&amp;")"))</f>
        <v/>
      </c>
      <c r="B491" s="8">
        <f>IF(원생!$A489="","",원생!$F489)</f>
        <v/>
      </c>
      <c r="C491" s="14">
        <f>IF(원생!$A489="","",SUMIFS(수납!$F:$F,수납!$C:$C,원생!$A489,수납!$D:$D,IF(원생!$G489="","",원생!$G489),수납!$B:$B,$B$1&amp;"-"&amp;TEXT(1,"00")&amp;"*",수납!$E:$E,"수강료")+SUMIFS(수납!$F:$F,수납!$C:$C,원생!$A489,수납!$D:$D,IF(원생!$G489="","",원생!$G489),수납!$B:$B,$B$1&amp;"-"&amp;TEXT(1,"00")&amp;"*",수납!$E:$E,""))</f>
        <v/>
      </c>
      <c r="D491" s="14">
        <f>IF(원생!$A489="","",SUMIFS(수납!$F:$F,수납!$C:$C,원생!$A489,수납!$D:$D,IF(원생!$G489="","",원생!$G489),수납!$B:$B,$B$1&amp;"-"&amp;TEXT(2,"00")&amp;"*",수납!$E:$E,"수강료")+SUMIFS(수납!$F:$F,수납!$C:$C,원생!$A489,수납!$D:$D,IF(원생!$G489="","",원생!$G489),수납!$B:$B,$B$1&amp;"-"&amp;TEXT(2,"00")&amp;"*",수납!$E:$E,""))</f>
        <v/>
      </c>
      <c r="E491" s="14">
        <f>IF(원생!$A489="","",SUMIFS(수납!$F:$F,수납!$C:$C,원생!$A489,수납!$D:$D,IF(원생!$G489="","",원생!$G489),수납!$B:$B,$B$1&amp;"-"&amp;TEXT(3,"00")&amp;"*",수납!$E:$E,"수강료")+SUMIFS(수납!$F:$F,수납!$C:$C,원생!$A489,수납!$D:$D,IF(원생!$G489="","",원생!$G489),수납!$B:$B,$B$1&amp;"-"&amp;TEXT(3,"00")&amp;"*",수납!$E:$E,""))</f>
        <v/>
      </c>
      <c r="F491" s="14">
        <f>IF(원생!$A489="","",SUMIFS(수납!$F:$F,수납!$C:$C,원생!$A489,수납!$D:$D,IF(원생!$G489="","",원생!$G489),수납!$B:$B,$B$1&amp;"-"&amp;TEXT(4,"00")&amp;"*",수납!$E:$E,"수강료")+SUMIFS(수납!$F:$F,수납!$C:$C,원생!$A489,수납!$D:$D,IF(원생!$G489="","",원생!$G489),수납!$B:$B,$B$1&amp;"-"&amp;TEXT(4,"00")&amp;"*",수납!$E:$E,""))</f>
        <v/>
      </c>
      <c r="G491" s="14">
        <f>IF(원생!$A489="","",SUMIFS(수납!$F:$F,수납!$C:$C,원생!$A489,수납!$D:$D,IF(원생!$G489="","",원생!$G489),수납!$B:$B,$B$1&amp;"-"&amp;TEXT(5,"00")&amp;"*",수납!$E:$E,"수강료")+SUMIFS(수납!$F:$F,수납!$C:$C,원생!$A489,수납!$D:$D,IF(원생!$G489="","",원생!$G489),수납!$B:$B,$B$1&amp;"-"&amp;TEXT(5,"00")&amp;"*",수납!$E:$E,""))</f>
        <v/>
      </c>
      <c r="H491" s="14">
        <f>IF(원생!$A489="","",SUMIFS(수납!$F:$F,수납!$C:$C,원생!$A489,수납!$D:$D,IF(원생!$G489="","",원생!$G489),수납!$B:$B,$B$1&amp;"-"&amp;TEXT(6,"00")&amp;"*",수납!$E:$E,"수강료")+SUMIFS(수납!$F:$F,수납!$C:$C,원생!$A489,수납!$D:$D,IF(원생!$G489="","",원생!$G489),수납!$B:$B,$B$1&amp;"-"&amp;TEXT(6,"00")&amp;"*",수납!$E:$E,""))</f>
        <v/>
      </c>
      <c r="I491" s="14">
        <f>IF(원생!$A489="","",SUMIFS(수납!$F:$F,수납!$C:$C,원생!$A489,수납!$D:$D,IF(원생!$G489="","",원생!$G489),수납!$B:$B,$B$1&amp;"-"&amp;TEXT(7,"00")&amp;"*",수납!$E:$E,"수강료")+SUMIFS(수납!$F:$F,수납!$C:$C,원생!$A489,수납!$D:$D,IF(원생!$G489="","",원생!$G489),수납!$B:$B,$B$1&amp;"-"&amp;TEXT(7,"00")&amp;"*",수납!$E:$E,""))</f>
        <v/>
      </c>
      <c r="J491" s="14">
        <f>IF(원생!$A489="","",SUMIFS(수납!$F:$F,수납!$C:$C,원생!$A489,수납!$D:$D,IF(원생!$G489="","",원생!$G489),수납!$B:$B,$B$1&amp;"-"&amp;TEXT(8,"00")&amp;"*",수납!$E:$E,"수강료")+SUMIFS(수납!$F:$F,수납!$C:$C,원생!$A489,수납!$D:$D,IF(원생!$G489="","",원생!$G489),수납!$B:$B,$B$1&amp;"-"&amp;TEXT(8,"00")&amp;"*",수납!$E:$E,""))</f>
        <v/>
      </c>
      <c r="K491" s="14">
        <f>IF(원생!$A489="","",SUMIFS(수납!$F:$F,수납!$C:$C,원생!$A489,수납!$D:$D,IF(원생!$G489="","",원생!$G489),수납!$B:$B,$B$1&amp;"-"&amp;TEXT(9,"00")&amp;"*",수납!$E:$E,"수강료")+SUMIFS(수납!$F:$F,수납!$C:$C,원생!$A489,수납!$D:$D,IF(원생!$G489="","",원생!$G489),수납!$B:$B,$B$1&amp;"-"&amp;TEXT(9,"00")&amp;"*",수납!$E:$E,""))</f>
        <v/>
      </c>
      <c r="L491" s="14">
        <f>IF(원생!$A489="","",SUMIFS(수납!$F:$F,수납!$C:$C,원생!$A489,수납!$D:$D,IF(원생!$G489="","",원생!$G489),수납!$B:$B,$B$1&amp;"-"&amp;TEXT(10,"00")&amp;"*",수납!$E:$E,"수강료")+SUMIFS(수납!$F:$F,수납!$C:$C,원생!$A489,수납!$D:$D,IF(원생!$G489="","",원생!$G489),수납!$B:$B,$B$1&amp;"-"&amp;TEXT(10,"00")&amp;"*",수납!$E:$E,""))</f>
        <v/>
      </c>
      <c r="M491" s="14">
        <f>IF(원생!$A489="","",SUMIFS(수납!$F:$F,수납!$C:$C,원생!$A489,수납!$D:$D,IF(원생!$G489="","",원생!$G489),수납!$B:$B,$B$1&amp;"-"&amp;TEXT(11,"00")&amp;"*",수납!$E:$E,"수강료")+SUMIFS(수납!$F:$F,수납!$C:$C,원생!$A489,수납!$D:$D,IF(원생!$G489="","",원생!$G489),수납!$B:$B,$B$1&amp;"-"&amp;TEXT(11,"00")&amp;"*",수납!$E:$E,""))</f>
        <v/>
      </c>
      <c r="N491" s="14">
        <f>IF(원생!$A489="","",SUMIFS(수납!$F:$F,수납!$C:$C,원생!$A489,수납!$D:$D,IF(원생!$G489="","",원생!$G489),수납!$B:$B,$B$1&amp;"-"&amp;TEXT(12,"00")&amp;"*",수납!$E:$E,"수강료")+SUMIFS(수납!$F:$F,수납!$C:$C,원생!$A489,수납!$D:$D,IF(원생!$G489="","",원생!$G489),수납!$B:$B,$B$1&amp;"-"&amp;TEXT(12,"00")&amp;"*",수납!$E:$E,""))</f>
        <v/>
      </c>
      <c r="O491">
        <f>IF(원생!$I489="","",원생!$I489)</f>
        <v/>
      </c>
      <c r="P491">
        <f>IF($A491="","",IF(AND($B491&gt;0,C491&lt;$B491,DATE($B$1,1,1)&lt;=TODAY(),OR($O491="",$O491&gt;=DATE($B$1,1,1)),OR(COUNTIF($C491:C491,"&gt;0")&gt;0,DATE($B$1,1,1)=DATE(YEAR(TODAY()),MONTH(TODAY()),1))),1,0))</f>
        <v/>
      </c>
      <c r="Q491">
        <f>IF($A491="","",IF(AND($B491&gt;0,D491&lt;$B491,DATE($B$1,2,1)&lt;=TODAY(),OR($O491="",$O491&gt;=DATE($B$1,2,1)),OR(COUNTIF($C491:D491,"&gt;0")&gt;0,DATE($B$1,2,1)=DATE(YEAR(TODAY()),MONTH(TODAY()),1))),1,0))</f>
        <v/>
      </c>
      <c r="R491">
        <f>IF($A491="","",IF(AND($B491&gt;0,E491&lt;$B491,DATE($B$1,3,1)&lt;=TODAY(),OR($O491="",$O491&gt;=DATE($B$1,3,1)),OR(COUNTIF($C491:E491,"&gt;0")&gt;0,DATE($B$1,3,1)=DATE(YEAR(TODAY()),MONTH(TODAY()),1))),1,0))</f>
        <v/>
      </c>
      <c r="S491">
        <f>IF($A491="","",IF(AND($B491&gt;0,F491&lt;$B491,DATE($B$1,4,1)&lt;=TODAY(),OR($O491="",$O491&gt;=DATE($B$1,4,1)),OR(COUNTIF($C491:F491,"&gt;0")&gt;0,DATE($B$1,4,1)=DATE(YEAR(TODAY()),MONTH(TODAY()),1))),1,0))</f>
        <v/>
      </c>
      <c r="T491">
        <f>IF($A491="","",IF(AND($B491&gt;0,G491&lt;$B491,DATE($B$1,5,1)&lt;=TODAY(),OR($O491="",$O491&gt;=DATE($B$1,5,1)),OR(COUNTIF($C491:G491,"&gt;0")&gt;0,DATE($B$1,5,1)=DATE(YEAR(TODAY()),MONTH(TODAY()),1))),1,0))</f>
        <v/>
      </c>
      <c r="U491">
        <f>IF($A491="","",IF(AND($B491&gt;0,H491&lt;$B491,DATE($B$1,6,1)&lt;=TODAY(),OR($O491="",$O491&gt;=DATE($B$1,6,1)),OR(COUNTIF($C491:H491,"&gt;0")&gt;0,DATE($B$1,6,1)=DATE(YEAR(TODAY()),MONTH(TODAY()),1))),1,0))</f>
        <v/>
      </c>
      <c r="V491">
        <f>IF($A491="","",IF(AND($B491&gt;0,I491&lt;$B491,DATE($B$1,7,1)&lt;=TODAY(),OR($O491="",$O491&gt;=DATE($B$1,7,1)),OR(COUNTIF($C491:I491,"&gt;0")&gt;0,DATE($B$1,7,1)=DATE(YEAR(TODAY()),MONTH(TODAY()),1))),1,0))</f>
        <v/>
      </c>
      <c r="W491">
        <f>IF($A491="","",IF(AND($B491&gt;0,J491&lt;$B491,DATE($B$1,8,1)&lt;=TODAY(),OR($O491="",$O491&gt;=DATE($B$1,8,1)),OR(COUNTIF($C491:J491,"&gt;0")&gt;0,DATE($B$1,8,1)=DATE(YEAR(TODAY()),MONTH(TODAY()),1))),1,0))</f>
        <v/>
      </c>
      <c r="X491">
        <f>IF($A491="","",IF(AND($B491&gt;0,K491&lt;$B491,DATE($B$1,9,1)&lt;=TODAY(),OR($O491="",$O491&gt;=DATE($B$1,9,1)),OR(COUNTIF($C491:K491,"&gt;0")&gt;0,DATE($B$1,9,1)=DATE(YEAR(TODAY()),MONTH(TODAY()),1))),1,0))</f>
        <v/>
      </c>
      <c r="Y491">
        <f>IF($A491="","",IF(AND($B491&gt;0,L491&lt;$B491,DATE($B$1,10,1)&lt;=TODAY(),OR($O491="",$O491&gt;=DATE($B$1,10,1)),OR(COUNTIF($C491:L491,"&gt;0")&gt;0,DATE($B$1,10,1)=DATE(YEAR(TODAY()),MONTH(TODAY()),1))),1,0))</f>
        <v/>
      </c>
      <c r="Z491">
        <f>IF($A491="","",IF(AND($B491&gt;0,M491&lt;$B491,DATE($B$1,11,1)&lt;=TODAY(),OR($O491="",$O491&gt;=DATE($B$1,11,1)),OR(COUNTIF($C491:M491,"&gt;0")&gt;0,DATE($B$1,11,1)=DATE(YEAR(TODAY()),MONTH(TODAY()),1))),1,0))</f>
        <v/>
      </c>
      <c r="AA491">
        <f>IF($A491="","",IF(AND($B491&gt;0,N491&lt;$B491,DATE($B$1,12,1)&lt;=TODAY(),OR($O491="",$O491&gt;=DATE($B$1,12,1)),OR(COUNTIF($C491:N491,"&gt;0")&gt;0,DATE($B$1,12,1)=DATE(YEAR(TODAY()),MONTH(TODAY()),1))),1,0))</f>
        <v/>
      </c>
    </row>
    <row r="492">
      <c r="A492" s="13">
        <f>IF(원생!$A490="","",원생!$A490&amp;IF(원생!$G490="",""," ("&amp;원생!$G490&amp;")"))</f>
        <v/>
      </c>
      <c r="B492" s="8">
        <f>IF(원생!$A490="","",원생!$F490)</f>
        <v/>
      </c>
      <c r="C492" s="14">
        <f>IF(원생!$A490="","",SUMIFS(수납!$F:$F,수납!$C:$C,원생!$A490,수납!$D:$D,IF(원생!$G490="","",원생!$G490),수납!$B:$B,$B$1&amp;"-"&amp;TEXT(1,"00")&amp;"*",수납!$E:$E,"수강료")+SUMIFS(수납!$F:$F,수납!$C:$C,원생!$A490,수납!$D:$D,IF(원생!$G490="","",원생!$G490),수납!$B:$B,$B$1&amp;"-"&amp;TEXT(1,"00")&amp;"*",수납!$E:$E,""))</f>
        <v/>
      </c>
      <c r="D492" s="14">
        <f>IF(원생!$A490="","",SUMIFS(수납!$F:$F,수납!$C:$C,원생!$A490,수납!$D:$D,IF(원생!$G490="","",원생!$G490),수납!$B:$B,$B$1&amp;"-"&amp;TEXT(2,"00")&amp;"*",수납!$E:$E,"수강료")+SUMIFS(수납!$F:$F,수납!$C:$C,원생!$A490,수납!$D:$D,IF(원생!$G490="","",원생!$G490),수납!$B:$B,$B$1&amp;"-"&amp;TEXT(2,"00")&amp;"*",수납!$E:$E,""))</f>
        <v/>
      </c>
      <c r="E492" s="14">
        <f>IF(원생!$A490="","",SUMIFS(수납!$F:$F,수납!$C:$C,원생!$A490,수납!$D:$D,IF(원생!$G490="","",원생!$G490),수납!$B:$B,$B$1&amp;"-"&amp;TEXT(3,"00")&amp;"*",수납!$E:$E,"수강료")+SUMIFS(수납!$F:$F,수납!$C:$C,원생!$A490,수납!$D:$D,IF(원생!$G490="","",원생!$G490),수납!$B:$B,$B$1&amp;"-"&amp;TEXT(3,"00")&amp;"*",수납!$E:$E,""))</f>
        <v/>
      </c>
      <c r="F492" s="14">
        <f>IF(원생!$A490="","",SUMIFS(수납!$F:$F,수납!$C:$C,원생!$A490,수납!$D:$D,IF(원생!$G490="","",원생!$G490),수납!$B:$B,$B$1&amp;"-"&amp;TEXT(4,"00")&amp;"*",수납!$E:$E,"수강료")+SUMIFS(수납!$F:$F,수납!$C:$C,원생!$A490,수납!$D:$D,IF(원생!$G490="","",원생!$G490),수납!$B:$B,$B$1&amp;"-"&amp;TEXT(4,"00")&amp;"*",수납!$E:$E,""))</f>
        <v/>
      </c>
      <c r="G492" s="14">
        <f>IF(원생!$A490="","",SUMIFS(수납!$F:$F,수납!$C:$C,원생!$A490,수납!$D:$D,IF(원생!$G490="","",원생!$G490),수납!$B:$B,$B$1&amp;"-"&amp;TEXT(5,"00")&amp;"*",수납!$E:$E,"수강료")+SUMIFS(수납!$F:$F,수납!$C:$C,원생!$A490,수납!$D:$D,IF(원생!$G490="","",원생!$G490),수납!$B:$B,$B$1&amp;"-"&amp;TEXT(5,"00")&amp;"*",수납!$E:$E,""))</f>
        <v/>
      </c>
      <c r="H492" s="14">
        <f>IF(원생!$A490="","",SUMIFS(수납!$F:$F,수납!$C:$C,원생!$A490,수납!$D:$D,IF(원생!$G490="","",원생!$G490),수납!$B:$B,$B$1&amp;"-"&amp;TEXT(6,"00")&amp;"*",수납!$E:$E,"수강료")+SUMIFS(수납!$F:$F,수납!$C:$C,원생!$A490,수납!$D:$D,IF(원생!$G490="","",원생!$G490),수납!$B:$B,$B$1&amp;"-"&amp;TEXT(6,"00")&amp;"*",수납!$E:$E,""))</f>
        <v/>
      </c>
      <c r="I492" s="14">
        <f>IF(원생!$A490="","",SUMIFS(수납!$F:$F,수납!$C:$C,원생!$A490,수납!$D:$D,IF(원생!$G490="","",원생!$G490),수납!$B:$B,$B$1&amp;"-"&amp;TEXT(7,"00")&amp;"*",수납!$E:$E,"수강료")+SUMIFS(수납!$F:$F,수납!$C:$C,원생!$A490,수납!$D:$D,IF(원생!$G490="","",원생!$G490),수납!$B:$B,$B$1&amp;"-"&amp;TEXT(7,"00")&amp;"*",수납!$E:$E,""))</f>
        <v/>
      </c>
      <c r="J492" s="14">
        <f>IF(원생!$A490="","",SUMIFS(수납!$F:$F,수납!$C:$C,원생!$A490,수납!$D:$D,IF(원생!$G490="","",원생!$G490),수납!$B:$B,$B$1&amp;"-"&amp;TEXT(8,"00")&amp;"*",수납!$E:$E,"수강료")+SUMIFS(수납!$F:$F,수납!$C:$C,원생!$A490,수납!$D:$D,IF(원생!$G490="","",원생!$G490),수납!$B:$B,$B$1&amp;"-"&amp;TEXT(8,"00")&amp;"*",수납!$E:$E,""))</f>
        <v/>
      </c>
      <c r="K492" s="14">
        <f>IF(원생!$A490="","",SUMIFS(수납!$F:$F,수납!$C:$C,원생!$A490,수납!$D:$D,IF(원생!$G490="","",원생!$G490),수납!$B:$B,$B$1&amp;"-"&amp;TEXT(9,"00")&amp;"*",수납!$E:$E,"수강료")+SUMIFS(수납!$F:$F,수납!$C:$C,원생!$A490,수납!$D:$D,IF(원생!$G490="","",원생!$G490),수납!$B:$B,$B$1&amp;"-"&amp;TEXT(9,"00")&amp;"*",수납!$E:$E,""))</f>
        <v/>
      </c>
      <c r="L492" s="14">
        <f>IF(원생!$A490="","",SUMIFS(수납!$F:$F,수납!$C:$C,원생!$A490,수납!$D:$D,IF(원생!$G490="","",원생!$G490),수납!$B:$B,$B$1&amp;"-"&amp;TEXT(10,"00")&amp;"*",수납!$E:$E,"수강료")+SUMIFS(수납!$F:$F,수납!$C:$C,원생!$A490,수납!$D:$D,IF(원생!$G490="","",원생!$G490),수납!$B:$B,$B$1&amp;"-"&amp;TEXT(10,"00")&amp;"*",수납!$E:$E,""))</f>
        <v/>
      </c>
      <c r="M492" s="14">
        <f>IF(원생!$A490="","",SUMIFS(수납!$F:$F,수납!$C:$C,원생!$A490,수납!$D:$D,IF(원생!$G490="","",원생!$G490),수납!$B:$B,$B$1&amp;"-"&amp;TEXT(11,"00")&amp;"*",수납!$E:$E,"수강료")+SUMIFS(수납!$F:$F,수납!$C:$C,원생!$A490,수납!$D:$D,IF(원생!$G490="","",원생!$G490),수납!$B:$B,$B$1&amp;"-"&amp;TEXT(11,"00")&amp;"*",수납!$E:$E,""))</f>
        <v/>
      </c>
      <c r="N492" s="14">
        <f>IF(원생!$A490="","",SUMIFS(수납!$F:$F,수납!$C:$C,원생!$A490,수납!$D:$D,IF(원생!$G490="","",원생!$G490),수납!$B:$B,$B$1&amp;"-"&amp;TEXT(12,"00")&amp;"*",수납!$E:$E,"수강료")+SUMIFS(수납!$F:$F,수납!$C:$C,원생!$A490,수납!$D:$D,IF(원생!$G490="","",원생!$G490),수납!$B:$B,$B$1&amp;"-"&amp;TEXT(12,"00")&amp;"*",수납!$E:$E,""))</f>
        <v/>
      </c>
      <c r="O492">
        <f>IF(원생!$I490="","",원생!$I490)</f>
        <v/>
      </c>
      <c r="P492">
        <f>IF($A492="","",IF(AND($B492&gt;0,C492&lt;$B492,DATE($B$1,1,1)&lt;=TODAY(),OR($O492="",$O492&gt;=DATE($B$1,1,1)),OR(COUNTIF($C492:C492,"&gt;0")&gt;0,DATE($B$1,1,1)=DATE(YEAR(TODAY()),MONTH(TODAY()),1))),1,0))</f>
        <v/>
      </c>
      <c r="Q492">
        <f>IF($A492="","",IF(AND($B492&gt;0,D492&lt;$B492,DATE($B$1,2,1)&lt;=TODAY(),OR($O492="",$O492&gt;=DATE($B$1,2,1)),OR(COUNTIF($C492:D492,"&gt;0")&gt;0,DATE($B$1,2,1)=DATE(YEAR(TODAY()),MONTH(TODAY()),1))),1,0))</f>
        <v/>
      </c>
      <c r="R492">
        <f>IF($A492="","",IF(AND($B492&gt;0,E492&lt;$B492,DATE($B$1,3,1)&lt;=TODAY(),OR($O492="",$O492&gt;=DATE($B$1,3,1)),OR(COUNTIF($C492:E492,"&gt;0")&gt;0,DATE($B$1,3,1)=DATE(YEAR(TODAY()),MONTH(TODAY()),1))),1,0))</f>
        <v/>
      </c>
      <c r="S492">
        <f>IF($A492="","",IF(AND($B492&gt;0,F492&lt;$B492,DATE($B$1,4,1)&lt;=TODAY(),OR($O492="",$O492&gt;=DATE($B$1,4,1)),OR(COUNTIF($C492:F492,"&gt;0")&gt;0,DATE($B$1,4,1)=DATE(YEAR(TODAY()),MONTH(TODAY()),1))),1,0))</f>
        <v/>
      </c>
      <c r="T492">
        <f>IF($A492="","",IF(AND($B492&gt;0,G492&lt;$B492,DATE($B$1,5,1)&lt;=TODAY(),OR($O492="",$O492&gt;=DATE($B$1,5,1)),OR(COUNTIF($C492:G492,"&gt;0")&gt;0,DATE($B$1,5,1)=DATE(YEAR(TODAY()),MONTH(TODAY()),1))),1,0))</f>
        <v/>
      </c>
      <c r="U492">
        <f>IF($A492="","",IF(AND($B492&gt;0,H492&lt;$B492,DATE($B$1,6,1)&lt;=TODAY(),OR($O492="",$O492&gt;=DATE($B$1,6,1)),OR(COUNTIF($C492:H492,"&gt;0")&gt;0,DATE($B$1,6,1)=DATE(YEAR(TODAY()),MONTH(TODAY()),1))),1,0))</f>
        <v/>
      </c>
      <c r="V492">
        <f>IF($A492="","",IF(AND($B492&gt;0,I492&lt;$B492,DATE($B$1,7,1)&lt;=TODAY(),OR($O492="",$O492&gt;=DATE($B$1,7,1)),OR(COUNTIF($C492:I492,"&gt;0")&gt;0,DATE($B$1,7,1)=DATE(YEAR(TODAY()),MONTH(TODAY()),1))),1,0))</f>
        <v/>
      </c>
      <c r="W492">
        <f>IF($A492="","",IF(AND($B492&gt;0,J492&lt;$B492,DATE($B$1,8,1)&lt;=TODAY(),OR($O492="",$O492&gt;=DATE($B$1,8,1)),OR(COUNTIF($C492:J492,"&gt;0")&gt;0,DATE($B$1,8,1)=DATE(YEAR(TODAY()),MONTH(TODAY()),1))),1,0))</f>
        <v/>
      </c>
      <c r="X492">
        <f>IF($A492="","",IF(AND($B492&gt;0,K492&lt;$B492,DATE($B$1,9,1)&lt;=TODAY(),OR($O492="",$O492&gt;=DATE($B$1,9,1)),OR(COUNTIF($C492:K492,"&gt;0")&gt;0,DATE($B$1,9,1)=DATE(YEAR(TODAY()),MONTH(TODAY()),1))),1,0))</f>
        <v/>
      </c>
      <c r="Y492">
        <f>IF($A492="","",IF(AND($B492&gt;0,L492&lt;$B492,DATE($B$1,10,1)&lt;=TODAY(),OR($O492="",$O492&gt;=DATE($B$1,10,1)),OR(COUNTIF($C492:L492,"&gt;0")&gt;0,DATE($B$1,10,1)=DATE(YEAR(TODAY()),MONTH(TODAY()),1))),1,0))</f>
        <v/>
      </c>
      <c r="Z492">
        <f>IF($A492="","",IF(AND($B492&gt;0,M492&lt;$B492,DATE($B$1,11,1)&lt;=TODAY(),OR($O492="",$O492&gt;=DATE($B$1,11,1)),OR(COUNTIF($C492:M492,"&gt;0")&gt;0,DATE($B$1,11,1)=DATE(YEAR(TODAY()),MONTH(TODAY()),1))),1,0))</f>
        <v/>
      </c>
      <c r="AA492">
        <f>IF($A492="","",IF(AND($B492&gt;0,N492&lt;$B492,DATE($B$1,12,1)&lt;=TODAY(),OR($O492="",$O492&gt;=DATE($B$1,12,1)),OR(COUNTIF($C492:N492,"&gt;0")&gt;0,DATE($B$1,12,1)=DATE(YEAR(TODAY()),MONTH(TODAY()),1))),1,0))</f>
        <v/>
      </c>
    </row>
    <row r="493">
      <c r="A493" s="13">
        <f>IF(원생!$A491="","",원생!$A491&amp;IF(원생!$G491="",""," ("&amp;원생!$G491&amp;")"))</f>
        <v/>
      </c>
      <c r="B493" s="8">
        <f>IF(원생!$A491="","",원생!$F491)</f>
        <v/>
      </c>
      <c r="C493" s="14">
        <f>IF(원생!$A491="","",SUMIFS(수납!$F:$F,수납!$C:$C,원생!$A491,수납!$D:$D,IF(원생!$G491="","",원생!$G491),수납!$B:$B,$B$1&amp;"-"&amp;TEXT(1,"00")&amp;"*",수납!$E:$E,"수강료")+SUMIFS(수납!$F:$F,수납!$C:$C,원생!$A491,수납!$D:$D,IF(원생!$G491="","",원생!$G491),수납!$B:$B,$B$1&amp;"-"&amp;TEXT(1,"00")&amp;"*",수납!$E:$E,""))</f>
        <v/>
      </c>
      <c r="D493" s="14">
        <f>IF(원생!$A491="","",SUMIFS(수납!$F:$F,수납!$C:$C,원생!$A491,수납!$D:$D,IF(원생!$G491="","",원생!$G491),수납!$B:$B,$B$1&amp;"-"&amp;TEXT(2,"00")&amp;"*",수납!$E:$E,"수강료")+SUMIFS(수납!$F:$F,수납!$C:$C,원생!$A491,수납!$D:$D,IF(원생!$G491="","",원생!$G491),수납!$B:$B,$B$1&amp;"-"&amp;TEXT(2,"00")&amp;"*",수납!$E:$E,""))</f>
        <v/>
      </c>
      <c r="E493" s="14">
        <f>IF(원생!$A491="","",SUMIFS(수납!$F:$F,수납!$C:$C,원생!$A491,수납!$D:$D,IF(원생!$G491="","",원생!$G491),수납!$B:$B,$B$1&amp;"-"&amp;TEXT(3,"00")&amp;"*",수납!$E:$E,"수강료")+SUMIFS(수납!$F:$F,수납!$C:$C,원생!$A491,수납!$D:$D,IF(원생!$G491="","",원생!$G491),수납!$B:$B,$B$1&amp;"-"&amp;TEXT(3,"00")&amp;"*",수납!$E:$E,""))</f>
        <v/>
      </c>
      <c r="F493" s="14">
        <f>IF(원생!$A491="","",SUMIFS(수납!$F:$F,수납!$C:$C,원생!$A491,수납!$D:$D,IF(원생!$G491="","",원생!$G491),수납!$B:$B,$B$1&amp;"-"&amp;TEXT(4,"00")&amp;"*",수납!$E:$E,"수강료")+SUMIFS(수납!$F:$F,수납!$C:$C,원생!$A491,수납!$D:$D,IF(원생!$G491="","",원생!$G491),수납!$B:$B,$B$1&amp;"-"&amp;TEXT(4,"00")&amp;"*",수납!$E:$E,""))</f>
        <v/>
      </c>
      <c r="G493" s="14">
        <f>IF(원생!$A491="","",SUMIFS(수납!$F:$F,수납!$C:$C,원생!$A491,수납!$D:$D,IF(원생!$G491="","",원생!$G491),수납!$B:$B,$B$1&amp;"-"&amp;TEXT(5,"00")&amp;"*",수납!$E:$E,"수강료")+SUMIFS(수납!$F:$F,수납!$C:$C,원생!$A491,수납!$D:$D,IF(원생!$G491="","",원생!$G491),수납!$B:$B,$B$1&amp;"-"&amp;TEXT(5,"00")&amp;"*",수납!$E:$E,""))</f>
        <v/>
      </c>
      <c r="H493" s="14">
        <f>IF(원생!$A491="","",SUMIFS(수납!$F:$F,수납!$C:$C,원생!$A491,수납!$D:$D,IF(원생!$G491="","",원생!$G491),수납!$B:$B,$B$1&amp;"-"&amp;TEXT(6,"00")&amp;"*",수납!$E:$E,"수강료")+SUMIFS(수납!$F:$F,수납!$C:$C,원생!$A491,수납!$D:$D,IF(원생!$G491="","",원생!$G491),수납!$B:$B,$B$1&amp;"-"&amp;TEXT(6,"00")&amp;"*",수납!$E:$E,""))</f>
        <v/>
      </c>
      <c r="I493" s="14">
        <f>IF(원생!$A491="","",SUMIFS(수납!$F:$F,수납!$C:$C,원생!$A491,수납!$D:$D,IF(원생!$G491="","",원생!$G491),수납!$B:$B,$B$1&amp;"-"&amp;TEXT(7,"00")&amp;"*",수납!$E:$E,"수강료")+SUMIFS(수납!$F:$F,수납!$C:$C,원생!$A491,수납!$D:$D,IF(원생!$G491="","",원생!$G491),수납!$B:$B,$B$1&amp;"-"&amp;TEXT(7,"00")&amp;"*",수납!$E:$E,""))</f>
        <v/>
      </c>
      <c r="J493" s="14">
        <f>IF(원생!$A491="","",SUMIFS(수납!$F:$F,수납!$C:$C,원생!$A491,수납!$D:$D,IF(원생!$G491="","",원생!$G491),수납!$B:$B,$B$1&amp;"-"&amp;TEXT(8,"00")&amp;"*",수납!$E:$E,"수강료")+SUMIFS(수납!$F:$F,수납!$C:$C,원생!$A491,수납!$D:$D,IF(원생!$G491="","",원생!$G491),수납!$B:$B,$B$1&amp;"-"&amp;TEXT(8,"00")&amp;"*",수납!$E:$E,""))</f>
        <v/>
      </c>
      <c r="K493" s="14">
        <f>IF(원생!$A491="","",SUMIFS(수납!$F:$F,수납!$C:$C,원생!$A491,수납!$D:$D,IF(원생!$G491="","",원생!$G491),수납!$B:$B,$B$1&amp;"-"&amp;TEXT(9,"00")&amp;"*",수납!$E:$E,"수강료")+SUMIFS(수납!$F:$F,수납!$C:$C,원생!$A491,수납!$D:$D,IF(원생!$G491="","",원생!$G491),수납!$B:$B,$B$1&amp;"-"&amp;TEXT(9,"00")&amp;"*",수납!$E:$E,""))</f>
        <v/>
      </c>
      <c r="L493" s="14">
        <f>IF(원생!$A491="","",SUMIFS(수납!$F:$F,수납!$C:$C,원생!$A491,수납!$D:$D,IF(원생!$G491="","",원생!$G491),수납!$B:$B,$B$1&amp;"-"&amp;TEXT(10,"00")&amp;"*",수납!$E:$E,"수강료")+SUMIFS(수납!$F:$F,수납!$C:$C,원생!$A491,수납!$D:$D,IF(원생!$G491="","",원생!$G491),수납!$B:$B,$B$1&amp;"-"&amp;TEXT(10,"00")&amp;"*",수납!$E:$E,""))</f>
        <v/>
      </c>
      <c r="M493" s="14">
        <f>IF(원생!$A491="","",SUMIFS(수납!$F:$F,수납!$C:$C,원생!$A491,수납!$D:$D,IF(원생!$G491="","",원생!$G491),수납!$B:$B,$B$1&amp;"-"&amp;TEXT(11,"00")&amp;"*",수납!$E:$E,"수강료")+SUMIFS(수납!$F:$F,수납!$C:$C,원생!$A491,수납!$D:$D,IF(원생!$G491="","",원생!$G491),수납!$B:$B,$B$1&amp;"-"&amp;TEXT(11,"00")&amp;"*",수납!$E:$E,""))</f>
        <v/>
      </c>
      <c r="N493" s="14">
        <f>IF(원생!$A491="","",SUMIFS(수납!$F:$F,수납!$C:$C,원생!$A491,수납!$D:$D,IF(원생!$G491="","",원생!$G491),수납!$B:$B,$B$1&amp;"-"&amp;TEXT(12,"00")&amp;"*",수납!$E:$E,"수강료")+SUMIFS(수납!$F:$F,수납!$C:$C,원생!$A491,수납!$D:$D,IF(원생!$G491="","",원생!$G491),수납!$B:$B,$B$1&amp;"-"&amp;TEXT(12,"00")&amp;"*",수납!$E:$E,""))</f>
        <v/>
      </c>
      <c r="O493">
        <f>IF(원생!$I491="","",원생!$I491)</f>
        <v/>
      </c>
      <c r="P493">
        <f>IF($A493="","",IF(AND($B493&gt;0,C493&lt;$B493,DATE($B$1,1,1)&lt;=TODAY(),OR($O493="",$O493&gt;=DATE($B$1,1,1)),OR(COUNTIF($C493:C493,"&gt;0")&gt;0,DATE($B$1,1,1)=DATE(YEAR(TODAY()),MONTH(TODAY()),1))),1,0))</f>
        <v/>
      </c>
      <c r="Q493">
        <f>IF($A493="","",IF(AND($B493&gt;0,D493&lt;$B493,DATE($B$1,2,1)&lt;=TODAY(),OR($O493="",$O493&gt;=DATE($B$1,2,1)),OR(COUNTIF($C493:D493,"&gt;0")&gt;0,DATE($B$1,2,1)=DATE(YEAR(TODAY()),MONTH(TODAY()),1))),1,0))</f>
        <v/>
      </c>
      <c r="R493">
        <f>IF($A493="","",IF(AND($B493&gt;0,E493&lt;$B493,DATE($B$1,3,1)&lt;=TODAY(),OR($O493="",$O493&gt;=DATE($B$1,3,1)),OR(COUNTIF($C493:E493,"&gt;0")&gt;0,DATE($B$1,3,1)=DATE(YEAR(TODAY()),MONTH(TODAY()),1))),1,0))</f>
        <v/>
      </c>
      <c r="S493">
        <f>IF($A493="","",IF(AND($B493&gt;0,F493&lt;$B493,DATE($B$1,4,1)&lt;=TODAY(),OR($O493="",$O493&gt;=DATE($B$1,4,1)),OR(COUNTIF($C493:F493,"&gt;0")&gt;0,DATE($B$1,4,1)=DATE(YEAR(TODAY()),MONTH(TODAY()),1))),1,0))</f>
        <v/>
      </c>
      <c r="T493">
        <f>IF($A493="","",IF(AND($B493&gt;0,G493&lt;$B493,DATE($B$1,5,1)&lt;=TODAY(),OR($O493="",$O493&gt;=DATE($B$1,5,1)),OR(COUNTIF($C493:G493,"&gt;0")&gt;0,DATE($B$1,5,1)=DATE(YEAR(TODAY()),MONTH(TODAY()),1))),1,0))</f>
        <v/>
      </c>
      <c r="U493">
        <f>IF($A493="","",IF(AND($B493&gt;0,H493&lt;$B493,DATE($B$1,6,1)&lt;=TODAY(),OR($O493="",$O493&gt;=DATE($B$1,6,1)),OR(COUNTIF($C493:H493,"&gt;0")&gt;0,DATE($B$1,6,1)=DATE(YEAR(TODAY()),MONTH(TODAY()),1))),1,0))</f>
        <v/>
      </c>
      <c r="V493">
        <f>IF($A493="","",IF(AND($B493&gt;0,I493&lt;$B493,DATE($B$1,7,1)&lt;=TODAY(),OR($O493="",$O493&gt;=DATE($B$1,7,1)),OR(COUNTIF($C493:I493,"&gt;0")&gt;0,DATE($B$1,7,1)=DATE(YEAR(TODAY()),MONTH(TODAY()),1))),1,0))</f>
        <v/>
      </c>
      <c r="W493">
        <f>IF($A493="","",IF(AND($B493&gt;0,J493&lt;$B493,DATE($B$1,8,1)&lt;=TODAY(),OR($O493="",$O493&gt;=DATE($B$1,8,1)),OR(COUNTIF($C493:J493,"&gt;0")&gt;0,DATE($B$1,8,1)=DATE(YEAR(TODAY()),MONTH(TODAY()),1))),1,0))</f>
        <v/>
      </c>
      <c r="X493">
        <f>IF($A493="","",IF(AND($B493&gt;0,K493&lt;$B493,DATE($B$1,9,1)&lt;=TODAY(),OR($O493="",$O493&gt;=DATE($B$1,9,1)),OR(COUNTIF($C493:K493,"&gt;0")&gt;0,DATE($B$1,9,1)=DATE(YEAR(TODAY()),MONTH(TODAY()),1))),1,0))</f>
        <v/>
      </c>
      <c r="Y493">
        <f>IF($A493="","",IF(AND($B493&gt;0,L493&lt;$B493,DATE($B$1,10,1)&lt;=TODAY(),OR($O493="",$O493&gt;=DATE($B$1,10,1)),OR(COUNTIF($C493:L493,"&gt;0")&gt;0,DATE($B$1,10,1)=DATE(YEAR(TODAY()),MONTH(TODAY()),1))),1,0))</f>
        <v/>
      </c>
      <c r="Z493">
        <f>IF($A493="","",IF(AND($B493&gt;0,M493&lt;$B493,DATE($B$1,11,1)&lt;=TODAY(),OR($O493="",$O493&gt;=DATE($B$1,11,1)),OR(COUNTIF($C493:M493,"&gt;0")&gt;0,DATE($B$1,11,1)=DATE(YEAR(TODAY()),MONTH(TODAY()),1))),1,0))</f>
        <v/>
      </c>
      <c r="AA493">
        <f>IF($A493="","",IF(AND($B493&gt;0,N493&lt;$B493,DATE($B$1,12,1)&lt;=TODAY(),OR($O493="",$O493&gt;=DATE($B$1,12,1)),OR(COUNTIF($C493:N493,"&gt;0")&gt;0,DATE($B$1,12,1)=DATE(YEAR(TODAY()),MONTH(TODAY()),1))),1,0))</f>
        <v/>
      </c>
    </row>
    <row r="494">
      <c r="A494" s="13">
        <f>IF(원생!$A492="","",원생!$A492&amp;IF(원생!$G492="",""," ("&amp;원생!$G492&amp;")"))</f>
        <v/>
      </c>
      <c r="B494" s="8">
        <f>IF(원생!$A492="","",원생!$F492)</f>
        <v/>
      </c>
      <c r="C494" s="14">
        <f>IF(원생!$A492="","",SUMIFS(수납!$F:$F,수납!$C:$C,원생!$A492,수납!$D:$D,IF(원생!$G492="","",원생!$G492),수납!$B:$B,$B$1&amp;"-"&amp;TEXT(1,"00")&amp;"*",수납!$E:$E,"수강료")+SUMIFS(수납!$F:$F,수납!$C:$C,원생!$A492,수납!$D:$D,IF(원생!$G492="","",원생!$G492),수납!$B:$B,$B$1&amp;"-"&amp;TEXT(1,"00")&amp;"*",수납!$E:$E,""))</f>
        <v/>
      </c>
      <c r="D494" s="14">
        <f>IF(원생!$A492="","",SUMIFS(수납!$F:$F,수납!$C:$C,원생!$A492,수납!$D:$D,IF(원생!$G492="","",원생!$G492),수납!$B:$B,$B$1&amp;"-"&amp;TEXT(2,"00")&amp;"*",수납!$E:$E,"수강료")+SUMIFS(수납!$F:$F,수납!$C:$C,원생!$A492,수납!$D:$D,IF(원생!$G492="","",원생!$G492),수납!$B:$B,$B$1&amp;"-"&amp;TEXT(2,"00")&amp;"*",수납!$E:$E,""))</f>
        <v/>
      </c>
      <c r="E494" s="14">
        <f>IF(원생!$A492="","",SUMIFS(수납!$F:$F,수납!$C:$C,원생!$A492,수납!$D:$D,IF(원생!$G492="","",원생!$G492),수납!$B:$B,$B$1&amp;"-"&amp;TEXT(3,"00")&amp;"*",수납!$E:$E,"수강료")+SUMIFS(수납!$F:$F,수납!$C:$C,원생!$A492,수납!$D:$D,IF(원생!$G492="","",원생!$G492),수납!$B:$B,$B$1&amp;"-"&amp;TEXT(3,"00")&amp;"*",수납!$E:$E,""))</f>
        <v/>
      </c>
      <c r="F494" s="14">
        <f>IF(원생!$A492="","",SUMIFS(수납!$F:$F,수납!$C:$C,원생!$A492,수납!$D:$D,IF(원생!$G492="","",원생!$G492),수납!$B:$B,$B$1&amp;"-"&amp;TEXT(4,"00")&amp;"*",수납!$E:$E,"수강료")+SUMIFS(수납!$F:$F,수납!$C:$C,원생!$A492,수납!$D:$D,IF(원생!$G492="","",원생!$G492),수납!$B:$B,$B$1&amp;"-"&amp;TEXT(4,"00")&amp;"*",수납!$E:$E,""))</f>
        <v/>
      </c>
      <c r="G494" s="14">
        <f>IF(원생!$A492="","",SUMIFS(수납!$F:$F,수납!$C:$C,원생!$A492,수납!$D:$D,IF(원생!$G492="","",원생!$G492),수납!$B:$B,$B$1&amp;"-"&amp;TEXT(5,"00")&amp;"*",수납!$E:$E,"수강료")+SUMIFS(수납!$F:$F,수납!$C:$C,원생!$A492,수납!$D:$D,IF(원생!$G492="","",원생!$G492),수납!$B:$B,$B$1&amp;"-"&amp;TEXT(5,"00")&amp;"*",수납!$E:$E,""))</f>
        <v/>
      </c>
      <c r="H494" s="14">
        <f>IF(원생!$A492="","",SUMIFS(수납!$F:$F,수납!$C:$C,원생!$A492,수납!$D:$D,IF(원생!$G492="","",원생!$G492),수납!$B:$B,$B$1&amp;"-"&amp;TEXT(6,"00")&amp;"*",수납!$E:$E,"수강료")+SUMIFS(수납!$F:$F,수납!$C:$C,원생!$A492,수납!$D:$D,IF(원생!$G492="","",원생!$G492),수납!$B:$B,$B$1&amp;"-"&amp;TEXT(6,"00")&amp;"*",수납!$E:$E,""))</f>
        <v/>
      </c>
      <c r="I494" s="14">
        <f>IF(원생!$A492="","",SUMIFS(수납!$F:$F,수납!$C:$C,원생!$A492,수납!$D:$D,IF(원생!$G492="","",원생!$G492),수납!$B:$B,$B$1&amp;"-"&amp;TEXT(7,"00")&amp;"*",수납!$E:$E,"수강료")+SUMIFS(수납!$F:$F,수납!$C:$C,원생!$A492,수납!$D:$D,IF(원생!$G492="","",원생!$G492),수납!$B:$B,$B$1&amp;"-"&amp;TEXT(7,"00")&amp;"*",수납!$E:$E,""))</f>
        <v/>
      </c>
      <c r="J494" s="14">
        <f>IF(원생!$A492="","",SUMIFS(수납!$F:$F,수납!$C:$C,원생!$A492,수납!$D:$D,IF(원생!$G492="","",원생!$G492),수납!$B:$B,$B$1&amp;"-"&amp;TEXT(8,"00")&amp;"*",수납!$E:$E,"수강료")+SUMIFS(수납!$F:$F,수납!$C:$C,원생!$A492,수납!$D:$D,IF(원생!$G492="","",원생!$G492),수납!$B:$B,$B$1&amp;"-"&amp;TEXT(8,"00")&amp;"*",수납!$E:$E,""))</f>
        <v/>
      </c>
      <c r="K494" s="14">
        <f>IF(원생!$A492="","",SUMIFS(수납!$F:$F,수납!$C:$C,원생!$A492,수납!$D:$D,IF(원생!$G492="","",원생!$G492),수납!$B:$B,$B$1&amp;"-"&amp;TEXT(9,"00")&amp;"*",수납!$E:$E,"수강료")+SUMIFS(수납!$F:$F,수납!$C:$C,원생!$A492,수납!$D:$D,IF(원생!$G492="","",원생!$G492),수납!$B:$B,$B$1&amp;"-"&amp;TEXT(9,"00")&amp;"*",수납!$E:$E,""))</f>
        <v/>
      </c>
      <c r="L494" s="14">
        <f>IF(원생!$A492="","",SUMIFS(수납!$F:$F,수납!$C:$C,원생!$A492,수납!$D:$D,IF(원생!$G492="","",원생!$G492),수납!$B:$B,$B$1&amp;"-"&amp;TEXT(10,"00")&amp;"*",수납!$E:$E,"수강료")+SUMIFS(수납!$F:$F,수납!$C:$C,원생!$A492,수납!$D:$D,IF(원생!$G492="","",원생!$G492),수납!$B:$B,$B$1&amp;"-"&amp;TEXT(10,"00")&amp;"*",수납!$E:$E,""))</f>
        <v/>
      </c>
      <c r="M494" s="14">
        <f>IF(원생!$A492="","",SUMIFS(수납!$F:$F,수납!$C:$C,원생!$A492,수납!$D:$D,IF(원생!$G492="","",원생!$G492),수납!$B:$B,$B$1&amp;"-"&amp;TEXT(11,"00")&amp;"*",수납!$E:$E,"수강료")+SUMIFS(수납!$F:$F,수납!$C:$C,원생!$A492,수납!$D:$D,IF(원생!$G492="","",원생!$G492),수납!$B:$B,$B$1&amp;"-"&amp;TEXT(11,"00")&amp;"*",수납!$E:$E,""))</f>
        <v/>
      </c>
      <c r="N494" s="14">
        <f>IF(원생!$A492="","",SUMIFS(수납!$F:$F,수납!$C:$C,원생!$A492,수납!$D:$D,IF(원생!$G492="","",원생!$G492),수납!$B:$B,$B$1&amp;"-"&amp;TEXT(12,"00")&amp;"*",수납!$E:$E,"수강료")+SUMIFS(수납!$F:$F,수납!$C:$C,원생!$A492,수납!$D:$D,IF(원생!$G492="","",원생!$G492),수납!$B:$B,$B$1&amp;"-"&amp;TEXT(12,"00")&amp;"*",수납!$E:$E,""))</f>
        <v/>
      </c>
      <c r="O494">
        <f>IF(원생!$I492="","",원생!$I492)</f>
        <v/>
      </c>
      <c r="P494">
        <f>IF($A494="","",IF(AND($B494&gt;0,C494&lt;$B494,DATE($B$1,1,1)&lt;=TODAY(),OR($O494="",$O494&gt;=DATE($B$1,1,1)),OR(COUNTIF($C494:C494,"&gt;0")&gt;0,DATE($B$1,1,1)=DATE(YEAR(TODAY()),MONTH(TODAY()),1))),1,0))</f>
        <v/>
      </c>
      <c r="Q494">
        <f>IF($A494="","",IF(AND($B494&gt;0,D494&lt;$B494,DATE($B$1,2,1)&lt;=TODAY(),OR($O494="",$O494&gt;=DATE($B$1,2,1)),OR(COUNTIF($C494:D494,"&gt;0")&gt;0,DATE($B$1,2,1)=DATE(YEAR(TODAY()),MONTH(TODAY()),1))),1,0))</f>
        <v/>
      </c>
      <c r="R494">
        <f>IF($A494="","",IF(AND($B494&gt;0,E494&lt;$B494,DATE($B$1,3,1)&lt;=TODAY(),OR($O494="",$O494&gt;=DATE($B$1,3,1)),OR(COUNTIF($C494:E494,"&gt;0")&gt;0,DATE($B$1,3,1)=DATE(YEAR(TODAY()),MONTH(TODAY()),1))),1,0))</f>
        <v/>
      </c>
      <c r="S494">
        <f>IF($A494="","",IF(AND($B494&gt;0,F494&lt;$B494,DATE($B$1,4,1)&lt;=TODAY(),OR($O494="",$O494&gt;=DATE($B$1,4,1)),OR(COUNTIF($C494:F494,"&gt;0")&gt;0,DATE($B$1,4,1)=DATE(YEAR(TODAY()),MONTH(TODAY()),1))),1,0))</f>
        <v/>
      </c>
      <c r="T494">
        <f>IF($A494="","",IF(AND($B494&gt;0,G494&lt;$B494,DATE($B$1,5,1)&lt;=TODAY(),OR($O494="",$O494&gt;=DATE($B$1,5,1)),OR(COUNTIF($C494:G494,"&gt;0")&gt;0,DATE($B$1,5,1)=DATE(YEAR(TODAY()),MONTH(TODAY()),1))),1,0))</f>
        <v/>
      </c>
      <c r="U494">
        <f>IF($A494="","",IF(AND($B494&gt;0,H494&lt;$B494,DATE($B$1,6,1)&lt;=TODAY(),OR($O494="",$O494&gt;=DATE($B$1,6,1)),OR(COUNTIF($C494:H494,"&gt;0")&gt;0,DATE($B$1,6,1)=DATE(YEAR(TODAY()),MONTH(TODAY()),1))),1,0))</f>
        <v/>
      </c>
      <c r="V494">
        <f>IF($A494="","",IF(AND($B494&gt;0,I494&lt;$B494,DATE($B$1,7,1)&lt;=TODAY(),OR($O494="",$O494&gt;=DATE($B$1,7,1)),OR(COUNTIF($C494:I494,"&gt;0")&gt;0,DATE($B$1,7,1)=DATE(YEAR(TODAY()),MONTH(TODAY()),1))),1,0))</f>
        <v/>
      </c>
      <c r="W494">
        <f>IF($A494="","",IF(AND($B494&gt;0,J494&lt;$B494,DATE($B$1,8,1)&lt;=TODAY(),OR($O494="",$O494&gt;=DATE($B$1,8,1)),OR(COUNTIF($C494:J494,"&gt;0")&gt;0,DATE($B$1,8,1)=DATE(YEAR(TODAY()),MONTH(TODAY()),1))),1,0))</f>
        <v/>
      </c>
      <c r="X494">
        <f>IF($A494="","",IF(AND($B494&gt;0,K494&lt;$B494,DATE($B$1,9,1)&lt;=TODAY(),OR($O494="",$O494&gt;=DATE($B$1,9,1)),OR(COUNTIF($C494:K494,"&gt;0")&gt;0,DATE($B$1,9,1)=DATE(YEAR(TODAY()),MONTH(TODAY()),1))),1,0))</f>
        <v/>
      </c>
      <c r="Y494">
        <f>IF($A494="","",IF(AND($B494&gt;0,L494&lt;$B494,DATE($B$1,10,1)&lt;=TODAY(),OR($O494="",$O494&gt;=DATE($B$1,10,1)),OR(COUNTIF($C494:L494,"&gt;0")&gt;0,DATE($B$1,10,1)=DATE(YEAR(TODAY()),MONTH(TODAY()),1))),1,0))</f>
        <v/>
      </c>
      <c r="Z494">
        <f>IF($A494="","",IF(AND($B494&gt;0,M494&lt;$B494,DATE($B$1,11,1)&lt;=TODAY(),OR($O494="",$O494&gt;=DATE($B$1,11,1)),OR(COUNTIF($C494:M494,"&gt;0")&gt;0,DATE($B$1,11,1)=DATE(YEAR(TODAY()),MONTH(TODAY()),1))),1,0))</f>
        <v/>
      </c>
      <c r="AA494">
        <f>IF($A494="","",IF(AND($B494&gt;0,N494&lt;$B494,DATE($B$1,12,1)&lt;=TODAY(),OR($O494="",$O494&gt;=DATE($B$1,12,1)),OR(COUNTIF($C494:N494,"&gt;0")&gt;0,DATE($B$1,12,1)=DATE(YEAR(TODAY()),MONTH(TODAY()),1))),1,0))</f>
        <v/>
      </c>
    </row>
    <row r="495">
      <c r="A495" s="13">
        <f>IF(원생!$A493="","",원생!$A493&amp;IF(원생!$G493="",""," ("&amp;원생!$G493&amp;")"))</f>
        <v/>
      </c>
      <c r="B495" s="8">
        <f>IF(원생!$A493="","",원생!$F493)</f>
        <v/>
      </c>
      <c r="C495" s="14">
        <f>IF(원생!$A493="","",SUMIFS(수납!$F:$F,수납!$C:$C,원생!$A493,수납!$D:$D,IF(원생!$G493="","",원생!$G493),수납!$B:$B,$B$1&amp;"-"&amp;TEXT(1,"00")&amp;"*",수납!$E:$E,"수강료")+SUMIFS(수납!$F:$F,수납!$C:$C,원생!$A493,수납!$D:$D,IF(원생!$G493="","",원생!$G493),수납!$B:$B,$B$1&amp;"-"&amp;TEXT(1,"00")&amp;"*",수납!$E:$E,""))</f>
        <v/>
      </c>
      <c r="D495" s="14">
        <f>IF(원생!$A493="","",SUMIFS(수납!$F:$F,수납!$C:$C,원생!$A493,수납!$D:$D,IF(원생!$G493="","",원생!$G493),수납!$B:$B,$B$1&amp;"-"&amp;TEXT(2,"00")&amp;"*",수납!$E:$E,"수강료")+SUMIFS(수납!$F:$F,수납!$C:$C,원생!$A493,수납!$D:$D,IF(원생!$G493="","",원생!$G493),수납!$B:$B,$B$1&amp;"-"&amp;TEXT(2,"00")&amp;"*",수납!$E:$E,""))</f>
        <v/>
      </c>
      <c r="E495" s="14">
        <f>IF(원생!$A493="","",SUMIFS(수납!$F:$F,수납!$C:$C,원생!$A493,수납!$D:$D,IF(원생!$G493="","",원생!$G493),수납!$B:$B,$B$1&amp;"-"&amp;TEXT(3,"00")&amp;"*",수납!$E:$E,"수강료")+SUMIFS(수납!$F:$F,수납!$C:$C,원생!$A493,수납!$D:$D,IF(원생!$G493="","",원생!$G493),수납!$B:$B,$B$1&amp;"-"&amp;TEXT(3,"00")&amp;"*",수납!$E:$E,""))</f>
        <v/>
      </c>
      <c r="F495" s="14">
        <f>IF(원생!$A493="","",SUMIFS(수납!$F:$F,수납!$C:$C,원생!$A493,수납!$D:$D,IF(원생!$G493="","",원생!$G493),수납!$B:$B,$B$1&amp;"-"&amp;TEXT(4,"00")&amp;"*",수납!$E:$E,"수강료")+SUMIFS(수납!$F:$F,수납!$C:$C,원생!$A493,수납!$D:$D,IF(원생!$G493="","",원생!$G493),수납!$B:$B,$B$1&amp;"-"&amp;TEXT(4,"00")&amp;"*",수납!$E:$E,""))</f>
        <v/>
      </c>
      <c r="G495" s="14">
        <f>IF(원생!$A493="","",SUMIFS(수납!$F:$F,수납!$C:$C,원생!$A493,수납!$D:$D,IF(원생!$G493="","",원생!$G493),수납!$B:$B,$B$1&amp;"-"&amp;TEXT(5,"00")&amp;"*",수납!$E:$E,"수강료")+SUMIFS(수납!$F:$F,수납!$C:$C,원생!$A493,수납!$D:$D,IF(원생!$G493="","",원생!$G493),수납!$B:$B,$B$1&amp;"-"&amp;TEXT(5,"00")&amp;"*",수납!$E:$E,""))</f>
        <v/>
      </c>
      <c r="H495" s="14">
        <f>IF(원생!$A493="","",SUMIFS(수납!$F:$F,수납!$C:$C,원생!$A493,수납!$D:$D,IF(원생!$G493="","",원생!$G493),수납!$B:$B,$B$1&amp;"-"&amp;TEXT(6,"00")&amp;"*",수납!$E:$E,"수강료")+SUMIFS(수납!$F:$F,수납!$C:$C,원생!$A493,수납!$D:$D,IF(원생!$G493="","",원생!$G493),수납!$B:$B,$B$1&amp;"-"&amp;TEXT(6,"00")&amp;"*",수납!$E:$E,""))</f>
        <v/>
      </c>
      <c r="I495" s="14">
        <f>IF(원생!$A493="","",SUMIFS(수납!$F:$F,수납!$C:$C,원생!$A493,수납!$D:$D,IF(원생!$G493="","",원생!$G493),수납!$B:$B,$B$1&amp;"-"&amp;TEXT(7,"00")&amp;"*",수납!$E:$E,"수강료")+SUMIFS(수납!$F:$F,수납!$C:$C,원생!$A493,수납!$D:$D,IF(원생!$G493="","",원생!$G493),수납!$B:$B,$B$1&amp;"-"&amp;TEXT(7,"00")&amp;"*",수납!$E:$E,""))</f>
        <v/>
      </c>
      <c r="J495" s="14">
        <f>IF(원생!$A493="","",SUMIFS(수납!$F:$F,수납!$C:$C,원생!$A493,수납!$D:$D,IF(원생!$G493="","",원생!$G493),수납!$B:$B,$B$1&amp;"-"&amp;TEXT(8,"00")&amp;"*",수납!$E:$E,"수강료")+SUMIFS(수납!$F:$F,수납!$C:$C,원생!$A493,수납!$D:$D,IF(원생!$G493="","",원생!$G493),수납!$B:$B,$B$1&amp;"-"&amp;TEXT(8,"00")&amp;"*",수납!$E:$E,""))</f>
        <v/>
      </c>
      <c r="K495" s="14">
        <f>IF(원생!$A493="","",SUMIFS(수납!$F:$F,수납!$C:$C,원생!$A493,수납!$D:$D,IF(원생!$G493="","",원생!$G493),수납!$B:$B,$B$1&amp;"-"&amp;TEXT(9,"00")&amp;"*",수납!$E:$E,"수강료")+SUMIFS(수납!$F:$F,수납!$C:$C,원생!$A493,수납!$D:$D,IF(원생!$G493="","",원생!$G493),수납!$B:$B,$B$1&amp;"-"&amp;TEXT(9,"00")&amp;"*",수납!$E:$E,""))</f>
        <v/>
      </c>
      <c r="L495" s="14">
        <f>IF(원생!$A493="","",SUMIFS(수납!$F:$F,수납!$C:$C,원생!$A493,수납!$D:$D,IF(원생!$G493="","",원생!$G493),수납!$B:$B,$B$1&amp;"-"&amp;TEXT(10,"00")&amp;"*",수납!$E:$E,"수강료")+SUMIFS(수납!$F:$F,수납!$C:$C,원생!$A493,수납!$D:$D,IF(원생!$G493="","",원생!$G493),수납!$B:$B,$B$1&amp;"-"&amp;TEXT(10,"00")&amp;"*",수납!$E:$E,""))</f>
        <v/>
      </c>
      <c r="M495" s="14">
        <f>IF(원생!$A493="","",SUMIFS(수납!$F:$F,수납!$C:$C,원생!$A493,수납!$D:$D,IF(원생!$G493="","",원생!$G493),수납!$B:$B,$B$1&amp;"-"&amp;TEXT(11,"00")&amp;"*",수납!$E:$E,"수강료")+SUMIFS(수납!$F:$F,수납!$C:$C,원생!$A493,수납!$D:$D,IF(원생!$G493="","",원생!$G493),수납!$B:$B,$B$1&amp;"-"&amp;TEXT(11,"00")&amp;"*",수납!$E:$E,""))</f>
        <v/>
      </c>
      <c r="N495" s="14">
        <f>IF(원생!$A493="","",SUMIFS(수납!$F:$F,수납!$C:$C,원생!$A493,수납!$D:$D,IF(원생!$G493="","",원생!$G493),수납!$B:$B,$B$1&amp;"-"&amp;TEXT(12,"00")&amp;"*",수납!$E:$E,"수강료")+SUMIFS(수납!$F:$F,수납!$C:$C,원생!$A493,수납!$D:$D,IF(원생!$G493="","",원생!$G493),수납!$B:$B,$B$1&amp;"-"&amp;TEXT(12,"00")&amp;"*",수납!$E:$E,""))</f>
        <v/>
      </c>
      <c r="O495">
        <f>IF(원생!$I493="","",원생!$I493)</f>
        <v/>
      </c>
      <c r="P495">
        <f>IF($A495="","",IF(AND($B495&gt;0,C495&lt;$B495,DATE($B$1,1,1)&lt;=TODAY(),OR($O495="",$O495&gt;=DATE($B$1,1,1)),OR(COUNTIF($C495:C495,"&gt;0")&gt;0,DATE($B$1,1,1)=DATE(YEAR(TODAY()),MONTH(TODAY()),1))),1,0))</f>
        <v/>
      </c>
      <c r="Q495">
        <f>IF($A495="","",IF(AND($B495&gt;0,D495&lt;$B495,DATE($B$1,2,1)&lt;=TODAY(),OR($O495="",$O495&gt;=DATE($B$1,2,1)),OR(COUNTIF($C495:D495,"&gt;0")&gt;0,DATE($B$1,2,1)=DATE(YEAR(TODAY()),MONTH(TODAY()),1))),1,0))</f>
        <v/>
      </c>
      <c r="R495">
        <f>IF($A495="","",IF(AND($B495&gt;0,E495&lt;$B495,DATE($B$1,3,1)&lt;=TODAY(),OR($O495="",$O495&gt;=DATE($B$1,3,1)),OR(COUNTIF($C495:E495,"&gt;0")&gt;0,DATE($B$1,3,1)=DATE(YEAR(TODAY()),MONTH(TODAY()),1))),1,0))</f>
        <v/>
      </c>
      <c r="S495">
        <f>IF($A495="","",IF(AND($B495&gt;0,F495&lt;$B495,DATE($B$1,4,1)&lt;=TODAY(),OR($O495="",$O495&gt;=DATE($B$1,4,1)),OR(COUNTIF($C495:F495,"&gt;0")&gt;0,DATE($B$1,4,1)=DATE(YEAR(TODAY()),MONTH(TODAY()),1))),1,0))</f>
        <v/>
      </c>
      <c r="T495">
        <f>IF($A495="","",IF(AND($B495&gt;0,G495&lt;$B495,DATE($B$1,5,1)&lt;=TODAY(),OR($O495="",$O495&gt;=DATE($B$1,5,1)),OR(COUNTIF($C495:G495,"&gt;0")&gt;0,DATE($B$1,5,1)=DATE(YEAR(TODAY()),MONTH(TODAY()),1))),1,0))</f>
        <v/>
      </c>
      <c r="U495">
        <f>IF($A495="","",IF(AND($B495&gt;0,H495&lt;$B495,DATE($B$1,6,1)&lt;=TODAY(),OR($O495="",$O495&gt;=DATE($B$1,6,1)),OR(COUNTIF($C495:H495,"&gt;0")&gt;0,DATE($B$1,6,1)=DATE(YEAR(TODAY()),MONTH(TODAY()),1))),1,0))</f>
        <v/>
      </c>
      <c r="V495">
        <f>IF($A495="","",IF(AND($B495&gt;0,I495&lt;$B495,DATE($B$1,7,1)&lt;=TODAY(),OR($O495="",$O495&gt;=DATE($B$1,7,1)),OR(COUNTIF($C495:I495,"&gt;0")&gt;0,DATE($B$1,7,1)=DATE(YEAR(TODAY()),MONTH(TODAY()),1))),1,0))</f>
        <v/>
      </c>
      <c r="W495">
        <f>IF($A495="","",IF(AND($B495&gt;0,J495&lt;$B495,DATE($B$1,8,1)&lt;=TODAY(),OR($O495="",$O495&gt;=DATE($B$1,8,1)),OR(COUNTIF($C495:J495,"&gt;0")&gt;0,DATE($B$1,8,1)=DATE(YEAR(TODAY()),MONTH(TODAY()),1))),1,0))</f>
        <v/>
      </c>
      <c r="X495">
        <f>IF($A495="","",IF(AND($B495&gt;0,K495&lt;$B495,DATE($B$1,9,1)&lt;=TODAY(),OR($O495="",$O495&gt;=DATE($B$1,9,1)),OR(COUNTIF($C495:K495,"&gt;0")&gt;0,DATE($B$1,9,1)=DATE(YEAR(TODAY()),MONTH(TODAY()),1))),1,0))</f>
        <v/>
      </c>
      <c r="Y495">
        <f>IF($A495="","",IF(AND($B495&gt;0,L495&lt;$B495,DATE($B$1,10,1)&lt;=TODAY(),OR($O495="",$O495&gt;=DATE($B$1,10,1)),OR(COUNTIF($C495:L495,"&gt;0")&gt;0,DATE($B$1,10,1)=DATE(YEAR(TODAY()),MONTH(TODAY()),1))),1,0))</f>
        <v/>
      </c>
      <c r="Z495">
        <f>IF($A495="","",IF(AND($B495&gt;0,M495&lt;$B495,DATE($B$1,11,1)&lt;=TODAY(),OR($O495="",$O495&gt;=DATE($B$1,11,1)),OR(COUNTIF($C495:M495,"&gt;0")&gt;0,DATE($B$1,11,1)=DATE(YEAR(TODAY()),MONTH(TODAY()),1))),1,0))</f>
        <v/>
      </c>
      <c r="AA495">
        <f>IF($A495="","",IF(AND($B495&gt;0,N495&lt;$B495,DATE($B$1,12,1)&lt;=TODAY(),OR($O495="",$O495&gt;=DATE($B$1,12,1)),OR(COUNTIF($C495:N495,"&gt;0")&gt;0,DATE($B$1,12,1)=DATE(YEAR(TODAY()),MONTH(TODAY()),1))),1,0))</f>
        <v/>
      </c>
    </row>
    <row r="496">
      <c r="A496" s="13">
        <f>IF(원생!$A494="","",원생!$A494&amp;IF(원생!$G494="",""," ("&amp;원생!$G494&amp;")"))</f>
        <v/>
      </c>
      <c r="B496" s="8">
        <f>IF(원생!$A494="","",원생!$F494)</f>
        <v/>
      </c>
      <c r="C496" s="14">
        <f>IF(원생!$A494="","",SUMIFS(수납!$F:$F,수납!$C:$C,원생!$A494,수납!$D:$D,IF(원생!$G494="","",원생!$G494),수납!$B:$B,$B$1&amp;"-"&amp;TEXT(1,"00")&amp;"*",수납!$E:$E,"수강료")+SUMIFS(수납!$F:$F,수납!$C:$C,원생!$A494,수납!$D:$D,IF(원생!$G494="","",원생!$G494),수납!$B:$B,$B$1&amp;"-"&amp;TEXT(1,"00")&amp;"*",수납!$E:$E,""))</f>
        <v/>
      </c>
      <c r="D496" s="14">
        <f>IF(원생!$A494="","",SUMIFS(수납!$F:$F,수납!$C:$C,원생!$A494,수납!$D:$D,IF(원생!$G494="","",원생!$G494),수납!$B:$B,$B$1&amp;"-"&amp;TEXT(2,"00")&amp;"*",수납!$E:$E,"수강료")+SUMIFS(수납!$F:$F,수납!$C:$C,원생!$A494,수납!$D:$D,IF(원생!$G494="","",원생!$G494),수납!$B:$B,$B$1&amp;"-"&amp;TEXT(2,"00")&amp;"*",수납!$E:$E,""))</f>
        <v/>
      </c>
      <c r="E496" s="14">
        <f>IF(원생!$A494="","",SUMIFS(수납!$F:$F,수납!$C:$C,원생!$A494,수납!$D:$D,IF(원생!$G494="","",원생!$G494),수납!$B:$B,$B$1&amp;"-"&amp;TEXT(3,"00")&amp;"*",수납!$E:$E,"수강료")+SUMIFS(수납!$F:$F,수납!$C:$C,원생!$A494,수납!$D:$D,IF(원생!$G494="","",원생!$G494),수납!$B:$B,$B$1&amp;"-"&amp;TEXT(3,"00")&amp;"*",수납!$E:$E,""))</f>
        <v/>
      </c>
      <c r="F496" s="14">
        <f>IF(원생!$A494="","",SUMIFS(수납!$F:$F,수납!$C:$C,원생!$A494,수납!$D:$D,IF(원생!$G494="","",원생!$G494),수납!$B:$B,$B$1&amp;"-"&amp;TEXT(4,"00")&amp;"*",수납!$E:$E,"수강료")+SUMIFS(수납!$F:$F,수납!$C:$C,원생!$A494,수납!$D:$D,IF(원생!$G494="","",원생!$G494),수납!$B:$B,$B$1&amp;"-"&amp;TEXT(4,"00")&amp;"*",수납!$E:$E,""))</f>
        <v/>
      </c>
      <c r="G496" s="14">
        <f>IF(원생!$A494="","",SUMIFS(수납!$F:$F,수납!$C:$C,원생!$A494,수납!$D:$D,IF(원생!$G494="","",원생!$G494),수납!$B:$B,$B$1&amp;"-"&amp;TEXT(5,"00")&amp;"*",수납!$E:$E,"수강료")+SUMIFS(수납!$F:$F,수납!$C:$C,원생!$A494,수납!$D:$D,IF(원생!$G494="","",원생!$G494),수납!$B:$B,$B$1&amp;"-"&amp;TEXT(5,"00")&amp;"*",수납!$E:$E,""))</f>
        <v/>
      </c>
      <c r="H496" s="14">
        <f>IF(원생!$A494="","",SUMIFS(수납!$F:$F,수납!$C:$C,원생!$A494,수납!$D:$D,IF(원생!$G494="","",원생!$G494),수납!$B:$B,$B$1&amp;"-"&amp;TEXT(6,"00")&amp;"*",수납!$E:$E,"수강료")+SUMIFS(수납!$F:$F,수납!$C:$C,원생!$A494,수납!$D:$D,IF(원생!$G494="","",원생!$G494),수납!$B:$B,$B$1&amp;"-"&amp;TEXT(6,"00")&amp;"*",수납!$E:$E,""))</f>
        <v/>
      </c>
      <c r="I496" s="14">
        <f>IF(원생!$A494="","",SUMIFS(수납!$F:$F,수납!$C:$C,원생!$A494,수납!$D:$D,IF(원생!$G494="","",원생!$G494),수납!$B:$B,$B$1&amp;"-"&amp;TEXT(7,"00")&amp;"*",수납!$E:$E,"수강료")+SUMIFS(수납!$F:$F,수납!$C:$C,원생!$A494,수납!$D:$D,IF(원생!$G494="","",원생!$G494),수납!$B:$B,$B$1&amp;"-"&amp;TEXT(7,"00")&amp;"*",수납!$E:$E,""))</f>
        <v/>
      </c>
      <c r="J496" s="14">
        <f>IF(원생!$A494="","",SUMIFS(수납!$F:$F,수납!$C:$C,원생!$A494,수납!$D:$D,IF(원생!$G494="","",원생!$G494),수납!$B:$B,$B$1&amp;"-"&amp;TEXT(8,"00")&amp;"*",수납!$E:$E,"수강료")+SUMIFS(수납!$F:$F,수납!$C:$C,원생!$A494,수납!$D:$D,IF(원생!$G494="","",원생!$G494),수납!$B:$B,$B$1&amp;"-"&amp;TEXT(8,"00")&amp;"*",수납!$E:$E,""))</f>
        <v/>
      </c>
      <c r="K496" s="14">
        <f>IF(원생!$A494="","",SUMIFS(수납!$F:$F,수납!$C:$C,원생!$A494,수납!$D:$D,IF(원생!$G494="","",원생!$G494),수납!$B:$B,$B$1&amp;"-"&amp;TEXT(9,"00")&amp;"*",수납!$E:$E,"수강료")+SUMIFS(수납!$F:$F,수납!$C:$C,원생!$A494,수납!$D:$D,IF(원생!$G494="","",원생!$G494),수납!$B:$B,$B$1&amp;"-"&amp;TEXT(9,"00")&amp;"*",수납!$E:$E,""))</f>
        <v/>
      </c>
      <c r="L496" s="14">
        <f>IF(원생!$A494="","",SUMIFS(수납!$F:$F,수납!$C:$C,원생!$A494,수납!$D:$D,IF(원생!$G494="","",원생!$G494),수납!$B:$B,$B$1&amp;"-"&amp;TEXT(10,"00")&amp;"*",수납!$E:$E,"수강료")+SUMIFS(수납!$F:$F,수납!$C:$C,원생!$A494,수납!$D:$D,IF(원생!$G494="","",원생!$G494),수납!$B:$B,$B$1&amp;"-"&amp;TEXT(10,"00")&amp;"*",수납!$E:$E,""))</f>
        <v/>
      </c>
      <c r="M496" s="14">
        <f>IF(원생!$A494="","",SUMIFS(수납!$F:$F,수납!$C:$C,원생!$A494,수납!$D:$D,IF(원생!$G494="","",원생!$G494),수납!$B:$B,$B$1&amp;"-"&amp;TEXT(11,"00")&amp;"*",수납!$E:$E,"수강료")+SUMIFS(수납!$F:$F,수납!$C:$C,원생!$A494,수납!$D:$D,IF(원생!$G494="","",원생!$G494),수납!$B:$B,$B$1&amp;"-"&amp;TEXT(11,"00")&amp;"*",수납!$E:$E,""))</f>
        <v/>
      </c>
      <c r="N496" s="14">
        <f>IF(원생!$A494="","",SUMIFS(수납!$F:$F,수납!$C:$C,원생!$A494,수납!$D:$D,IF(원생!$G494="","",원생!$G494),수납!$B:$B,$B$1&amp;"-"&amp;TEXT(12,"00")&amp;"*",수납!$E:$E,"수강료")+SUMIFS(수납!$F:$F,수납!$C:$C,원생!$A494,수납!$D:$D,IF(원생!$G494="","",원생!$G494),수납!$B:$B,$B$1&amp;"-"&amp;TEXT(12,"00")&amp;"*",수납!$E:$E,""))</f>
        <v/>
      </c>
      <c r="O496">
        <f>IF(원생!$I494="","",원생!$I494)</f>
        <v/>
      </c>
      <c r="P496">
        <f>IF($A496="","",IF(AND($B496&gt;0,C496&lt;$B496,DATE($B$1,1,1)&lt;=TODAY(),OR($O496="",$O496&gt;=DATE($B$1,1,1)),OR(COUNTIF($C496:C496,"&gt;0")&gt;0,DATE($B$1,1,1)=DATE(YEAR(TODAY()),MONTH(TODAY()),1))),1,0))</f>
        <v/>
      </c>
      <c r="Q496">
        <f>IF($A496="","",IF(AND($B496&gt;0,D496&lt;$B496,DATE($B$1,2,1)&lt;=TODAY(),OR($O496="",$O496&gt;=DATE($B$1,2,1)),OR(COUNTIF($C496:D496,"&gt;0")&gt;0,DATE($B$1,2,1)=DATE(YEAR(TODAY()),MONTH(TODAY()),1))),1,0))</f>
        <v/>
      </c>
      <c r="R496">
        <f>IF($A496="","",IF(AND($B496&gt;0,E496&lt;$B496,DATE($B$1,3,1)&lt;=TODAY(),OR($O496="",$O496&gt;=DATE($B$1,3,1)),OR(COUNTIF($C496:E496,"&gt;0")&gt;0,DATE($B$1,3,1)=DATE(YEAR(TODAY()),MONTH(TODAY()),1))),1,0))</f>
        <v/>
      </c>
      <c r="S496">
        <f>IF($A496="","",IF(AND($B496&gt;0,F496&lt;$B496,DATE($B$1,4,1)&lt;=TODAY(),OR($O496="",$O496&gt;=DATE($B$1,4,1)),OR(COUNTIF($C496:F496,"&gt;0")&gt;0,DATE($B$1,4,1)=DATE(YEAR(TODAY()),MONTH(TODAY()),1))),1,0))</f>
        <v/>
      </c>
      <c r="T496">
        <f>IF($A496="","",IF(AND($B496&gt;0,G496&lt;$B496,DATE($B$1,5,1)&lt;=TODAY(),OR($O496="",$O496&gt;=DATE($B$1,5,1)),OR(COUNTIF($C496:G496,"&gt;0")&gt;0,DATE($B$1,5,1)=DATE(YEAR(TODAY()),MONTH(TODAY()),1))),1,0))</f>
        <v/>
      </c>
      <c r="U496">
        <f>IF($A496="","",IF(AND($B496&gt;0,H496&lt;$B496,DATE($B$1,6,1)&lt;=TODAY(),OR($O496="",$O496&gt;=DATE($B$1,6,1)),OR(COUNTIF($C496:H496,"&gt;0")&gt;0,DATE($B$1,6,1)=DATE(YEAR(TODAY()),MONTH(TODAY()),1))),1,0))</f>
        <v/>
      </c>
      <c r="V496">
        <f>IF($A496="","",IF(AND($B496&gt;0,I496&lt;$B496,DATE($B$1,7,1)&lt;=TODAY(),OR($O496="",$O496&gt;=DATE($B$1,7,1)),OR(COUNTIF($C496:I496,"&gt;0")&gt;0,DATE($B$1,7,1)=DATE(YEAR(TODAY()),MONTH(TODAY()),1))),1,0))</f>
        <v/>
      </c>
      <c r="W496">
        <f>IF($A496="","",IF(AND($B496&gt;0,J496&lt;$B496,DATE($B$1,8,1)&lt;=TODAY(),OR($O496="",$O496&gt;=DATE($B$1,8,1)),OR(COUNTIF($C496:J496,"&gt;0")&gt;0,DATE($B$1,8,1)=DATE(YEAR(TODAY()),MONTH(TODAY()),1))),1,0))</f>
        <v/>
      </c>
      <c r="X496">
        <f>IF($A496="","",IF(AND($B496&gt;0,K496&lt;$B496,DATE($B$1,9,1)&lt;=TODAY(),OR($O496="",$O496&gt;=DATE($B$1,9,1)),OR(COUNTIF($C496:K496,"&gt;0")&gt;0,DATE($B$1,9,1)=DATE(YEAR(TODAY()),MONTH(TODAY()),1))),1,0))</f>
        <v/>
      </c>
      <c r="Y496">
        <f>IF($A496="","",IF(AND($B496&gt;0,L496&lt;$B496,DATE($B$1,10,1)&lt;=TODAY(),OR($O496="",$O496&gt;=DATE($B$1,10,1)),OR(COUNTIF($C496:L496,"&gt;0")&gt;0,DATE($B$1,10,1)=DATE(YEAR(TODAY()),MONTH(TODAY()),1))),1,0))</f>
        <v/>
      </c>
      <c r="Z496">
        <f>IF($A496="","",IF(AND($B496&gt;0,M496&lt;$B496,DATE($B$1,11,1)&lt;=TODAY(),OR($O496="",$O496&gt;=DATE($B$1,11,1)),OR(COUNTIF($C496:M496,"&gt;0")&gt;0,DATE($B$1,11,1)=DATE(YEAR(TODAY()),MONTH(TODAY()),1))),1,0))</f>
        <v/>
      </c>
      <c r="AA496">
        <f>IF($A496="","",IF(AND($B496&gt;0,N496&lt;$B496,DATE($B$1,12,1)&lt;=TODAY(),OR($O496="",$O496&gt;=DATE($B$1,12,1)),OR(COUNTIF($C496:N496,"&gt;0")&gt;0,DATE($B$1,12,1)=DATE(YEAR(TODAY()),MONTH(TODAY()),1))),1,0))</f>
        <v/>
      </c>
    </row>
    <row r="497">
      <c r="A497" s="13">
        <f>IF(원생!$A495="","",원생!$A495&amp;IF(원생!$G495="",""," ("&amp;원생!$G495&amp;")"))</f>
        <v/>
      </c>
      <c r="B497" s="8">
        <f>IF(원생!$A495="","",원생!$F495)</f>
        <v/>
      </c>
      <c r="C497" s="14">
        <f>IF(원생!$A495="","",SUMIFS(수납!$F:$F,수납!$C:$C,원생!$A495,수납!$D:$D,IF(원생!$G495="","",원생!$G495),수납!$B:$B,$B$1&amp;"-"&amp;TEXT(1,"00")&amp;"*",수납!$E:$E,"수강료")+SUMIFS(수납!$F:$F,수납!$C:$C,원생!$A495,수납!$D:$D,IF(원생!$G495="","",원생!$G495),수납!$B:$B,$B$1&amp;"-"&amp;TEXT(1,"00")&amp;"*",수납!$E:$E,""))</f>
        <v/>
      </c>
      <c r="D497" s="14">
        <f>IF(원생!$A495="","",SUMIFS(수납!$F:$F,수납!$C:$C,원생!$A495,수납!$D:$D,IF(원생!$G495="","",원생!$G495),수납!$B:$B,$B$1&amp;"-"&amp;TEXT(2,"00")&amp;"*",수납!$E:$E,"수강료")+SUMIFS(수납!$F:$F,수납!$C:$C,원생!$A495,수납!$D:$D,IF(원생!$G495="","",원생!$G495),수납!$B:$B,$B$1&amp;"-"&amp;TEXT(2,"00")&amp;"*",수납!$E:$E,""))</f>
        <v/>
      </c>
      <c r="E497" s="14">
        <f>IF(원생!$A495="","",SUMIFS(수납!$F:$F,수납!$C:$C,원생!$A495,수납!$D:$D,IF(원생!$G495="","",원생!$G495),수납!$B:$B,$B$1&amp;"-"&amp;TEXT(3,"00")&amp;"*",수납!$E:$E,"수강료")+SUMIFS(수납!$F:$F,수납!$C:$C,원생!$A495,수납!$D:$D,IF(원생!$G495="","",원생!$G495),수납!$B:$B,$B$1&amp;"-"&amp;TEXT(3,"00")&amp;"*",수납!$E:$E,""))</f>
        <v/>
      </c>
      <c r="F497" s="14">
        <f>IF(원생!$A495="","",SUMIFS(수납!$F:$F,수납!$C:$C,원생!$A495,수납!$D:$D,IF(원생!$G495="","",원생!$G495),수납!$B:$B,$B$1&amp;"-"&amp;TEXT(4,"00")&amp;"*",수납!$E:$E,"수강료")+SUMIFS(수납!$F:$F,수납!$C:$C,원생!$A495,수납!$D:$D,IF(원생!$G495="","",원생!$G495),수납!$B:$B,$B$1&amp;"-"&amp;TEXT(4,"00")&amp;"*",수납!$E:$E,""))</f>
        <v/>
      </c>
      <c r="G497" s="14">
        <f>IF(원생!$A495="","",SUMIFS(수납!$F:$F,수납!$C:$C,원생!$A495,수납!$D:$D,IF(원생!$G495="","",원생!$G495),수납!$B:$B,$B$1&amp;"-"&amp;TEXT(5,"00")&amp;"*",수납!$E:$E,"수강료")+SUMIFS(수납!$F:$F,수납!$C:$C,원생!$A495,수납!$D:$D,IF(원생!$G495="","",원생!$G495),수납!$B:$B,$B$1&amp;"-"&amp;TEXT(5,"00")&amp;"*",수납!$E:$E,""))</f>
        <v/>
      </c>
      <c r="H497" s="14">
        <f>IF(원생!$A495="","",SUMIFS(수납!$F:$F,수납!$C:$C,원생!$A495,수납!$D:$D,IF(원생!$G495="","",원생!$G495),수납!$B:$B,$B$1&amp;"-"&amp;TEXT(6,"00")&amp;"*",수납!$E:$E,"수강료")+SUMIFS(수납!$F:$F,수납!$C:$C,원생!$A495,수납!$D:$D,IF(원생!$G495="","",원생!$G495),수납!$B:$B,$B$1&amp;"-"&amp;TEXT(6,"00")&amp;"*",수납!$E:$E,""))</f>
        <v/>
      </c>
      <c r="I497" s="14">
        <f>IF(원생!$A495="","",SUMIFS(수납!$F:$F,수납!$C:$C,원생!$A495,수납!$D:$D,IF(원생!$G495="","",원생!$G495),수납!$B:$B,$B$1&amp;"-"&amp;TEXT(7,"00")&amp;"*",수납!$E:$E,"수강료")+SUMIFS(수납!$F:$F,수납!$C:$C,원생!$A495,수납!$D:$D,IF(원생!$G495="","",원생!$G495),수납!$B:$B,$B$1&amp;"-"&amp;TEXT(7,"00")&amp;"*",수납!$E:$E,""))</f>
        <v/>
      </c>
      <c r="J497" s="14">
        <f>IF(원생!$A495="","",SUMIFS(수납!$F:$F,수납!$C:$C,원생!$A495,수납!$D:$D,IF(원생!$G495="","",원생!$G495),수납!$B:$B,$B$1&amp;"-"&amp;TEXT(8,"00")&amp;"*",수납!$E:$E,"수강료")+SUMIFS(수납!$F:$F,수납!$C:$C,원생!$A495,수납!$D:$D,IF(원생!$G495="","",원생!$G495),수납!$B:$B,$B$1&amp;"-"&amp;TEXT(8,"00")&amp;"*",수납!$E:$E,""))</f>
        <v/>
      </c>
      <c r="K497" s="14">
        <f>IF(원생!$A495="","",SUMIFS(수납!$F:$F,수납!$C:$C,원생!$A495,수납!$D:$D,IF(원생!$G495="","",원생!$G495),수납!$B:$B,$B$1&amp;"-"&amp;TEXT(9,"00")&amp;"*",수납!$E:$E,"수강료")+SUMIFS(수납!$F:$F,수납!$C:$C,원생!$A495,수납!$D:$D,IF(원생!$G495="","",원생!$G495),수납!$B:$B,$B$1&amp;"-"&amp;TEXT(9,"00")&amp;"*",수납!$E:$E,""))</f>
        <v/>
      </c>
      <c r="L497" s="14">
        <f>IF(원생!$A495="","",SUMIFS(수납!$F:$F,수납!$C:$C,원생!$A495,수납!$D:$D,IF(원생!$G495="","",원생!$G495),수납!$B:$B,$B$1&amp;"-"&amp;TEXT(10,"00")&amp;"*",수납!$E:$E,"수강료")+SUMIFS(수납!$F:$F,수납!$C:$C,원생!$A495,수납!$D:$D,IF(원생!$G495="","",원생!$G495),수납!$B:$B,$B$1&amp;"-"&amp;TEXT(10,"00")&amp;"*",수납!$E:$E,""))</f>
        <v/>
      </c>
      <c r="M497" s="14">
        <f>IF(원생!$A495="","",SUMIFS(수납!$F:$F,수납!$C:$C,원생!$A495,수납!$D:$D,IF(원생!$G495="","",원생!$G495),수납!$B:$B,$B$1&amp;"-"&amp;TEXT(11,"00")&amp;"*",수납!$E:$E,"수강료")+SUMIFS(수납!$F:$F,수납!$C:$C,원생!$A495,수납!$D:$D,IF(원생!$G495="","",원생!$G495),수납!$B:$B,$B$1&amp;"-"&amp;TEXT(11,"00")&amp;"*",수납!$E:$E,""))</f>
        <v/>
      </c>
      <c r="N497" s="14">
        <f>IF(원생!$A495="","",SUMIFS(수납!$F:$F,수납!$C:$C,원생!$A495,수납!$D:$D,IF(원생!$G495="","",원생!$G495),수납!$B:$B,$B$1&amp;"-"&amp;TEXT(12,"00")&amp;"*",수납!$E:$E,"수강료")+SUMIFS(수납!$F:$F,수납!$C:$C,원생!$A495,수납!$D:$D,IF(원생!$G495="","",원생!$G495),수납!$B:$B,$B$1&amp;"-"&amp;TEXT(12,"00")&amp;"*",수납!$E:$E,""))</f>
        <v/>
      </c>
      <c r="O497">
        <f>IF(원생!$I495="","",원생!$I495)</f>
        <v/>
      </c>
      <c r="P497">
        <f>IF($A497="","",IF(AND($B497&gt;0,C497&lt;$B497,DATE($B$1,1,1)&lt;=TODAY(),OR($O497="",$O497&gt;=DATE($B$1,1,1)),OR(COUNTIF($C497:C497,"&gt;0")&gt;0,DATE($B$1,1,1)=DATE(YEAR(TODAY()),MONTH(TODAY()),1))),1,0))</f>
        <v/>
      </c>
      <c r="Q497">
        <f>IF($A497="","",IF(AND($B497&gt;0,D497&lt;$B497,DATE($B$1,2,1)&lt;=TODAY(),OR($O497="",$O497&gt;=DATE($B$1,2,1)),OR(COUNTIF($C497:D497,"&gt;0")&gt;0,DATE($B$1,2,1)=DATE(YEAR(TODAY()),MONTH(TODAY()),1))),1,0))</f>
        <v/>
      </c>
      <c r="R497">
        <f>IF($A497="","",IF(AND($B497&gt;0,E497&lt;$B497,DATE($B$1,3,1)&lt;=TODAY(),OR($O497="",$O497&gt;=DATE($B$1,3,1)),OR(COUNTIF($C497:E497,"&gt;0")&gt;0,DATE($B$1,3,1)=DATE(YEAR(TODAY()),MONTH(TODAY()),1))),1,0))</f>
        <v/>
      </c>
      <c r="S497">
        <f>IF($A497="","",IF(AND($B497&gt;0,F497&lt;$B497,DATE($B$1,4,1)&lt;=TODAY(),OR($O497="",$O497&gt;=DATE($B$1,4,1)),OR(COUNTIF($C497:F497,"&gt;0")&gt;0,DATE($B$1,4,1)=DATE(YEAR(TODAY()),MONTH(TODAY()),1))),1,0))</f>
        <v/>
      </c>
      <c r="T497">
        <f>IF($A497="","",IF(AND($B497&gt;0,G497&lt;$B497,DATE($B$1,5,1)&lt;=TODAY(),OR($O497="",$O497&gt;=DATE($B$1,5,1)),OR(COUNTIF($C497:G497,"&gt;0")&gt;0,DATE($B$1,5,1)=DATE(YEAR(TODAY()),MONTH(TODAY()),1))),1,0))</f>
        <v/>
      </c>
      <c r="U497">
        <f>IF($A497="","",IF(AND($B497&gt;0,H497&lt;$B497,DATE($B$1,6,1)&lt;=TODAY(),OR($O497="",$O497&gt;=DATE($B$1,6,1)),OR(COUNTIF($C497:H497,"&gt;0")&gt;0,DATE($B$1,6,1)=DATE(YEAR(TODAY()),MONTH(TODAY()),1))),1,0))</f>
        <v/>
      </c>
      <c r="V497">
        <f>IF($A497="","",IF(AND($B497&gt;0,I497&lt;$B497,DATE($B$1,7,1)&lt;=TODAY(),OR($O497="",$O497&gt;=DATE($B$1,7,1)),OR(COUNTIF($C497:I497,"&gt;0")&gt;0,DATE($B$1,7,1)=DATE(YEAR(TODAY()),MONTH(TODAY()),1))),1,0))</f>
        <v/>
      </c>
      <c r="W497">
        <f>IF($A497="","",IF(AND($B497&gt;0,J497&lt;$B497,DATE($B$1,8,1)&lt;=TODAY(),OR($O497="",$O497&gt;=DATE($B$1,8,1)),OR(COUNTIF($C497:J497,"&gt;0")&gt;0,DATE($B$1,8,1)=DATE(YEAR(TODAY()),MONTH(TODAY()),1))),1,0))</f>
        <v/>
      </c>
      <c r="X497">
        <f>IF($A497="","",IF(AND($B497&gt;0,K497&lt;$B497,DATE($B$1,9,1)&lt;=TODAY(),OR($O497="",$O497&gt;=DATE($B$1,9,1)),OR(COUNTIF($C497:K497,"&gt;0")&gt;0,DATE($B$1,9,1)=DATE(YEAR(TODAY()),MONTH(TODAY()),1))),1,0))</f>
        <v/>
      </c>
      <c r="Y497">
        <f>IF($A497="","",IF(AND($B497&gt;0,L497&lt;$B497,DATE($B$1,10,1)&lt;=TODAY(),OR($O497="",$O497&gt;=DATE($B$1,10,1)),OR(COUNTIF($C497:L497,"&gt;0")&gt;0,DATE($B$1,10,1)=DATE(YEAR(TODAY()),MONTH(TODAY()),1))),1,0))</f>
        <v/>
      </c>
      <c r="Z497">
        <f>IF($A497="","",IF(AND($B497&gt;0,M497&lt;$B497,DATE($B$1,11,1)&lt;=TODAY(),OR($O497="",$O497&gt;=DATE($B$1,11,1)),OR(COUNTIF($C497:M497,"&gt;0")&gt;0,DATE($B$1,11,1)=DATE(YEAR(TODAY()),MONTH(TODAY()),1))),1,0))</f>
        <v/>
      </c>
      <c r="AA497">
        <f>IF($A497="","",IF(AND($B497&gt;0,N497&lt;$B497,DATE($B$1,12,1)&lt;=TODAY(),OR($O497="",$O497&gt;=DATE($B$1,12,1)),OR(COUNTIF($C497:N497,"&gt;0")&gt;0,DATE($B$1,12,1)=DATE(YEAR(TODAY()),MONTH(TODAY()),1))),1,0))</f>
        <v/>
      </c>
    </row>
    <row r="498">
      <c r="A498" s="13">
        <f>IF(원생!$A496="","",원생!$A496&amp;IF(원생!$G496="",""," ("&amp;원생!$G496&amp;")"))</f>
        <v/>
      </c>
      <c r="B498" s="8">
        <f>IF(원생!$A496="","",원생!$F496)</f>
        <v/>
      </c>
      <c r="C498" s="14">
        <f>IF(원생!$A496="","",SUMIFS(수납!$F:$F,수납!$C:$C,원생!$A496,수납!$D:$D,IF(원생!$G496="","",원생!$G496),수납!$B:$B,$B$1&amp;"-"&amp;TEXT(1,"00")&amp;"*",수납!$E:$E,"수강료")+SUMIFS(수납!$F:$F,수납!$C:$C,원생!$A496,수납!$D:$D,IF(원생!$G496="","",원생!$G496),수납!$B:$B,$B$1&amp;"-"&amp;TEXT(1,"00")&amp;"*",수납!$E:$E,""))</f>
        <v/>
      </c>
      <c r="D498" s="14">
        <f>IF(원생!$A496="","",SUMIFS(수납!$F:$F,수납!$C:$C,원생!$A496,수납!$D:$D,IF(원생!$G496="","",원생!$G496),수납!$B:$B,$B$1&amp;"-"&amp;TEXT(2,"00")&amp;"*",수납!$E:$E,"수강료")+SUMIFS(수납!$F:$F,수납!$C:$C,원생!$A496,수납!$D:$D,IF(원생!$G496="","",원생!$G496),수납!$B:$B,$B$1&amp;"-"&amp;TEXT(2,"00")&amp;"*",수납!$E:$E,""))</f>
        <v/>
      </c>
      <c r="E498" s="14">
        <f>IF(원생!$A496="","",SUMIFS(수납!$F:$F,수납!$C:$C,원생!$A496,수납!$D:$D,IF(원생!$G496="","",원생!$G496),수납!$B:$B,$B$1&amp;"-"&amp;TEXT(3,"00")&amp;"*",수납!$E:$E,"수강료")+SUMIFS(수납!$F:$F,수납!$C:$C,원생!$A496,수납!$D:$D,IF(원생!$G496="","",원생!$G496),수납!$B:$B,$B$1&amp;"-"&amp;TEXT(3,"00")&amp;"*",수납!$E:$E,""))</f>
        <v/>
      </c>
      <c r="F498" s="14">
        <f>IF(원생!$A496="","",SUMIFS(수납!$F:$F,수납!$C:$C,원생!$A496,수납!$D:$D,IF(원생!$G496="","",원생!$G496),수납!$B:$B,$B$1&amp;"-"&amp;TEXT(4,"00")&amp;"*",수납!$E:$E,"수강료")+SUMIFS(수납!$F:$F,수납!$C:$C,원생!$A496,수납!$D:$D,IF(원생!$G496="","",원생!$G496),수납!$B:$B,$B$1&amp;"-"&amp;TEXT(4,"00")&amp;"*",수납!$E:$E,""))</f>
        <v/>
      </c>
      <c r="G498" s="14">
        <f>IF(원생!$A496="","",SUMIFS(수납!$F:$F,수납!$C:$C,원생!$A496,수납!$D:$D,IF(원생!$G496="","",원생!$G496),수납!$B:$B,$B$1&amp;"-"&amp;TEXT(5,"00")&amp;"*",수납!$E:$E,"수강료")+SUMIFS(수납!$F:$F,수납!$C:$C,원생!$A496,수납!$D:$D,IF(원생!$G496="","",원생!$G496),수납!$B:$B,$B$1&amp;"-"&amp;TEXT(5,"00")&amp;"*",수납!$E:$E,""))</f>
        <v/>
      </c>
      <c r="H498" s="14">
        <f>IF(원생!$A496="","",SUMIFS(수납!$F:$F,수납!$C:$C,원생!$A496,수납!$D:$D,IF(원생!$G496="","",원생!$G496),수납!$B:$B,$B$1&amp;"-"&amp;TEXT(6,"00")&amp;"*",수납!$E:$E,"수강료")+SUMIFS(수납!$F:$F,수납!$C:$C,원생!$A496,수납!$D:$D,IF(원생!$G496="","",원생!$G496),수납!$B:$B,$B$1&amp;"-"&amp;TEXT(6,"00")&amp;"*",수납!$E:$E,""))</f>
        <v/>
      </c>
      <c r="I498" s="14">
        <f>IF(원생!$A496="","",SUMIFS(수납!$F:$F,수납!$C:$C,원생!$A496,수납!$D:$D,IF(원생!$G496="","",원생!$G496),수납!$B:$B,$B$1&amp;"-"&amp;TEXT(7,"00")&amp;"*",수납!$E:$E,"수강료")+SUMIFS(수납!$F:$F,수납!$C:$C,원생!$A496,수납!$D:$D,IF(원생!$G496="","",원생!$G496),수납!$B:$B,$B$1&amp;"-"&amp;TEXT(7,"00")&amp;"*",수납!$E:$E,""))</f>
        <v/>
      </c>
      <c r="J498" s="14">
        <f>IF(원생!$A496="","",SUMIFS(수납!$F:$F,수납!$C:$C,원생!$A496,수납!$D:$D,IF(원생!$G496="","",원생!$G496),수납!$B:$B,$B$1&amp;"-"&amp;TEXT(8,"00")&amp;"*",수납!$E:$E,"수강료")+SUMIFS(수납!$F:$F,수납!$C:$C,원생!$A496,수납!$D:$D,IF(원생!$G496="","",원생!$G496),수납!$B:$B,$B$1&amp;"-"&amp;TEXT(8,"00")&amp;"*",수납!$E:$E,""))</f>
        <v/>
      </c>
      <c r="K498" s="14">
        <f>IF(원생!$A496="","",SUMIFS(수납!$F:$F,수납!$C:$C,원생!$A496,수납!$D:$D,IF(원생!$G496="","",원생!$G496),수납!$B:$B,$B$1&amp;"-"&amp;TEXT(9,"00")&amp;"*",수납!$E:$E,"수강료")+SUMIFS(수납!$F:$F,수납!$C:$C,원생!$A496,수납!$D:$D,IF(원생!$G496="","",원생!$G496),수납!$B:$B,$B$1&amp;"-"&amp;TEXT(9,"00")&amp;"*",수납!$E:$E,""))</f>
        <v/>
      </c>
      <c r="L498" s="14">
        <f>IF(원생!$A496="","",SUMIFS(수납!$F:$F,수납!$C:$C,원생!$A496,수납!$D:$D,IF(원생!$G496="","",원생!$G496),수납!$B:$B,$B$1&amp;"-"&amp;TEXT(10,"00")&amp;"*",수납!$E:$E,"수강료")+SUMIFS(수납!$F:$F,수납!$C:$C,원생!$A496,수납!$D:$D,IF(원생!$G496="","",원생!$G496),수납!$B:$B,$B$1&amp;"-"&amp;TEXT(10,"00")&amp;"*",수납!$E:$E,""))</f>
        <v/>
      </c>
      <c r="M498" s="14">
        <f>IF(원생!$A496="","",SUMIFS(수납!$F:$F,수납!$C:$C,원생!$A496,수납!$D:$D,IF(원생!$G496="","",원생!$G496),수납!$B:$B,$B$1&amp;"-"&amp;TEXT(11,"00")&amp;"*",수납!$E:$E,"수강료")+SUMIFS(수납!$F:$F,수납!$C:$C,원생!$A496,수납!$D:$D,IF(원생!$G496="","",원생!$G496),수납!$B:$B,$B$1&amp;"-"&amp;TEXT(11,"00")&amp;"*",수납!$E:$E,""))</f>
        <v/>
      </c>
      <c r="N498" s="14">
        <f>IF(원생!$A496="","",SUMIFS(수납!$F:$F,수납!$C:$C,원생!$A496,수납!$D:$D,IF(원생!$G496="","",원생!$G496),수납!$B:$B,$B$1&amp;"-"&amp;TEXT(12,"00")&amp;"*",수납!$E:$E,"수강료")+SUMIFS(수납!$F:$F,수납!$C:$C,원생!$A496,수납!$D:$D,IF(원생!$G496="","",원생!$G496),수납!$B:$B,$B$1&amp;"-"&amp;TEXT(12,"00")&amp;"*",수납!$E:$E,""))</f>
        <v/>
      </c>
      <c r="O498">
        <f>IF(원생!$I496="","",원생!$I496)</f>
        <v/>
      </c>
      <c r="P498">
        <f>IF($A498="","",IF(AND($B498&gt;0,C498&lt;$B498,DATE($B$1,1,1)&lt;=TODAY(),OR($O498="",$O498&gt;=DATE($B$1,1,1)),OR(COUNTIF($C498:C498,"&gt;0")&gt;0,DATE($B$1,1,1)=DATE(YEAR(TODAY()),MONTH(TODAY()),1))),1,0))</f>
        <v/>
      </c>
      <c r="Q498">
        <f>IF($A498="","",IF(AND($B498&gt;0,D498&lt;$B498,DATE($B$1,2,1)&lt;=TODAY(),OR($O498="",$O498&gt;=DATE($B$1,2,1)),OR(COUNTIF($C498:D498,"&gt;0")&gt;0,DATE($B$1,2,1)=DATE(YEAR(TODAY()),MONTH(TODAY()),1))),1,0))</f>
        <v/>
      </c>
      <c r="R498">
        <f>IF($A498="","",IF(AND($B498&gt;0,E498&lt;$B498,DATE($B$1,3,1)&lt;=TODAY(),OR($O498="",$O498&gt;=DATE($B$1,3,1)),OR(COUNTIF($C498:E498,"&gt;0")&gt;0,DATE($B$1,3,1)=DATE(YEAR(TODAY()),MONTH(TODAY()),1))),1,0))</f>
        <v/>
      </c>
      <c r="S498">
        <f>IF($A498="","",IF(AND($B498&gt;0,F498&lt;$B498,DATE($B$1,4,1)&lt;=TODAY(),OR($O498="",$O498&gt;=DATE($B$1,4,1)),OR(COUNTIF($C498:F498,"&gt;0")&gt;0,DATE($B$1,4,1)=DATE(YEAR(TODAY()),MONTH(TODAY()),1))),1,0))</f>
        <v/>
      </c>
      <c r="T498">
        <f>IF($A498="","",IF(AND($B498&gt;0,G498&lt;$B498,DATE($B$1,5,1)&lt;=TODAY(),OR($O498="",$O498&gt;=DATE($B$1,5,1)),OR(COUNTIF($C498:G498,"&gt;0")&gt;0,DATE($B$1,5,1)=DATE(YEAR(TODAY()),MONTH(TODAY()),1))),1,0))</f>
        <v/>
      </c>
      <c r="U498">
        <f>IF($A498="","",IF(AND($B498&gt;0,H498&lt;$B498,DATE($B$1,6,1)&lt;=TODAY(),OR($O498="",$O498&gt;=DATE($B$1,6,1)),OR(COUNTIF($C498:H498,"&gt;0")&gt;0,DATE($B$1,6,1)=DATE(YEAR(TODAY()),MONTH(TODAY()),1))),1,0))</f>
        <v/>
      </c>
      <c r="V498">
        <f>IF($A498="","",IF(AND($B498&gt;0,I498&lt;$B498,DATE($B$1,7,1)&lt;=TODAY(),OR($O498="",$O498&gt;=DATE($B$1,7,1)),OR(COUNTIF($C498:I498,"&gt;0")&gt;0,DATE($B$1,7,1)=DATE(YEAR(TODAY()),MONTH(TODAY()),1))),1,0))</f>
        <v/>
      </c>
      <c r="W498">
        <f>IF($A498="","",IF(AND($B498&gt;0,J498&lt;$B498,DATE($B$1,8,1)&lt;=TODAY(),OR($O498="",$O498&gt;=DATE($B$1,8,1)),OR(COUNTIF($C498:J498,"&gt;0")&gt;0,DATE($B$1,8,1)=DATE(YEAR(TODAY()),MONTH(TODAY()),1))),1,0))</f>
        <v/>
      </c>
      <c r="X498">
        <f>IF($A498="","",IF(AND($B498&gt;0,K498&lt;$B498,DATE($B$1,9,1)&lt;=TODAY(),OR($O498="",$O498&gt;=DATE($B$1,9,1)),OR(COUNTIF($C498:K498,"&gt;0")&gt;0,DATE($B$1,9,1)=DATE(YEAR(TODAY()),MONTH(TODAY()),1))),1,0))</f>
        <v/>
      </c>
      <c r="Y498">
        <f>IF($A498="","",IF(AND($B498&gt;0,L498&lt;$B498,DATE($B$1,10,1)&lt;=TODAY(),OR($O498="",$O498&gt;=DATE($B$1,10,1)),OR(COUNTIF($C498:L498,"&gt;0")&gt;0,DATE($B$1,10,1)=DATE(YEAR(TODAY()),MONTH(TODAY()),1))),1,0))</f>
        <v/>
      </c>
      <c r="Z498">
        <f>IF($A498="","",IF(AND($B498&gt;0,M498&lt;$B498,DATE($B$1,11,1)&lt;=TODAY(),OR($O498="",$O498&gt;=DATE($B$1,11,1)),OR(COUNTIF($C498:M498,"&gt;0")&gt;0,DATE($B$1,11,1)=DATE(YEAR(TODAY()),MONTH(TODAY()),1))),1,0))</f>
        <v/>
      </c>
      <c r="AA498">
        <f>IF($A498="","",IF(AND($B498&gt;0,N498&lt;$B498,DATE($B$1,12,1)&lt;=TODAY(),OR($O498="",$O498&gt;=DATE($B$1,12,1)),OR(COUNTIF($C498:N498,"&gt;0")&gt;0,DATE($B$1,12,1)=DATE(YEAR(TODAY()),MONTH(TODAY()),1))),1,0))</f>
        <v/>
      </c>
    </row>
    <row r="499">
      <c r="A499" s="13">
        <f>IF(원생!$A497="","",원생!$A497&amp;IF(원생!$G497="",""," ("&amp;원생!$G497&amp;")"))</f>
        <v/>
      </c>
      <c r="B499" s="8">
        <f>IF(원생!$A497="","",원생!$F497)</f>
        <v/>
      </c>
      <c r="C499" s="14">
        <f>IF(원생!$A497="","",SUMIFS(수납!$F:$F,수납!$C:$C,원생!$A497,수납!$D:$D,IF(원생!$G497="","",원생!$G497),수납!$B:$B,$B$1&amp;"-"&amp;TEXT(1,"00")&amp;"*",수납!$E:$E,"수강료")+SUMIFS(수납!$F:$F,수납!$C:$C,원생!$A497,수납!$D:$D,IF(원생!$G497="","",원생!$G497),수납!$B:$B,$B$1&amp;"-"&amp;TEXT(1,"00")&amp;"*",수납!$E:$E,""))</f>
        <v/>
      </c>
      <c r="D499" s="14">
        <f>IF(원생!$A497="","",SUMIFS(수납!$F:$F,수납!$C:$C,원생!$A497,수납!$D:$D,IF(원생!$G497="","",원생!$G497),수납!$B:$B,$B$1&amp;"-"&amp;TEXT(2,"00")&amp;"*",수납!$E:$E,"수강료")+SUMIFS(수납!$F:$F,수납!$C:$C,원생!$A497,수납!$D:$D,IF(원생!$G497="","",원생!$G497),수납!$B:$B,$B$1&amp;"-"&amp;TEXT(2,"00")&amp;"*",수납!$E:$E,""))</f>
        <v/>
      </c>
      <c r="E499" s="14">
        <f>IF(원생!$A497="","",SUMIFS(수납!$F:$F,수납!$C:$C,원생!$A497,수납!$D:$D,IF(원생!$G497="","",원생!$G497),수납!$B:$B,$B$1&amp;"-"&amp;TEXT(3,"00")&amp;"*",수납!$E:$E,"수강료")+SUMIFS(수납!$F:$F,수납!$C:$C,원생!$A497,수납!$D:$D,IF(원생!$G497="","",원생!$G497),수납!$B:$B,$B$1&amp;"-"&amp;TEXT(3,"00")&amp;"*",수납!$E:$E,""))</f>
        <v/>
      </c>
      <c r="F499" s="14">
        <f>IF(원생!$A497="","",SUMIFS(수납!$F:$F,수납!$C:$C,원생!$A497,수납!$D:$D,IF(원생!$G497="","",원생!$G497),수납!$B:$B,$B$1&amp;"-"&amp;TEXT(4,"00")&amp;"*",수납!$E:$E,"수강료")+SUMIFS(수납!$F:$F,수납!$C:$C,원생!$A497,수납!$D:$D,IF(원생!$G497="","",원생!$G497),수납!$B:$B,$B$1&amp;"-"&amp;TEXT(4,"00")&amp;"*",수납!$E:$E,""))</f>
        <v/>
      </c>
      <c r="G499" s="14">
        <f>IF(원생!$A497="","",SUMIFS(수납!$F:$F,수납!$C:$C,원생!$A497,수납!$D:$D,IF(원생!$G497="","",원생!$G497),수납!$B:$B,$B$1&amp;"-"&amp;TEXT(5,"00")&amp;"*",수납!$E:$E,"수강료")+SUMIFS(수납!$F:$F,수납!$C:$C,원생!$A497,수납!$D:$D,IF(원생!$G497="","",원생!$G497),수납!$B:$B,$B$1&amp;"-"&amp;TEXT(5,"00")&amp;"*",수납!$E:$E,""))</f>
        <v/>
      </c>
      <c r="H499" s="14">
        <f>IF(원생!$A497="","",SUMIFS(수납!$F:$F,수납!$C:$C,원생!$A497,수납!$D:$D,IF(원생!$G497="","",원생!$G497),수납!$B:$B,$B$1&amp;"-"&amp;TEXT(6,"00")&amp;"*",수납!$E:$E,"수강료")+SUMIFS(수납!$F:$F,수납!$C:$C,원생!$A497,수납!$D:$D,IF(원생!$G497="","",원생!$G497),수납!$B:$B,$B$1&amp;"-"&amp;TEXT(6,"00")&amp;"*",수납!$E:$E,""))</f>
        <v/>
      </c>
      <c r="I499" s="14">
        <f>IF(원생!$A497="","",SUMIFS(수납!$F:$F,수납!$C:$C,원생!$A497,수납!$D:$D,IF(원생!$G497="","",원생!$G497),수납!$B:$B,$B$1&amp;"-"&amp;TEXT(7,"00")&amp;"*",수납!$E:$E,"수강료")+SUMIFS(수납!$F:$F,수납!$C:$C,원생!$A497,수납!$D:$D,IF(원생!$G497="","",원생!$G497),수납!$B:$B,$B$1&amp;"-"&amp;TEXT(7,"00")&amp;"*",수납!$E:$E,""))</f>
        <v/>
      </c>
      <c r="J499" s="14">
        <f>IF(원생!$A497="","",SUMIFS(수납!$F:$F,수납!$C:$C,원생!$A497,수납!$D:$D,IF(원생!$G497="","",원생!$G497),수납!$B:$B,$B$1&amp;"-"&amp;TEXT(8,"00")&amp;"*",수납!$E:$E,"수강료")+SUMIFS(수납!$F:$F,수납!$C:$C,원생!$A497,수납!$D:$D,IF(원생!$G497="","",원생!$G497),수납!$B:$B,$B$1&amp;"-"&amp;TEXT(8,"00")&amp;"*",수납!$E:$E,""))</f>
        <v/>
      </c>
      <c r="K499" s="14">
        <f>IF(원생!$A497="","",SUMIFS(수납!$F:$F,수납!$C:$C,원생!$A497,수납!$D:$D,IF(원생!$G497="","",원생!$G497),수납!$B:$B,$B$1&amp;"-"&amp;TEXT(9,"00")&amp;"*",수납!$E:$E,"수강료")+SUMIFS(수납!$F:$F,수납!$C:$C,원생!$A497,수납!$D:$D,IF(원생!$G497="","",원생!$G497),수납!$B:$B,$B$1&amp;"-"&amp;TEXT(9,"00")&amp;"*",수납!$E:$E,""))</f>
        <v/>
      </c>
      <c r="L499" s="14">
        <f>IF(원생!$A497="","",SUMIFS(수납!$F:$F,수납!$C:$C,원생!$A497,수납!$D:$D,IF(원생!$G497="","",원생!$G497),수납!$B:$B,$B$1&amp;"-"&amp;TEXT(10,"00")&amp;"*",수납!$E:$E,"수강료")+SUMIFS(수납!$F:$F,수납!$C:$C,원생!$A497,수납!$D:$D,IF(원생!$G497="","",원생!$G497),수납!$B:$B,$B$1&amp;"-"&amp;TEXT(10,"00")&amp;"*",수납!$E:$E,""))</f>
        <v/>
      </c>
      <c r="M499" s="14">
        <f>IF(원생!$A497="","",SUMIFS(수납!$F:$F,수납!$C:$C,원생!$A497,수납!$D:$D,IF(원생!$G497="","",원생!$G497),수납!$B:$B,$B$1&amp;"-"&amp;TEXT(11,"00")&amp;"*",수납!$E:$E,"수강료")+SUMIFS(수납!$F:$F,수납!$C:$C,원생!$A497,수납!$D:$D,IF(원생!$G497="","",원생!$G497),수납!$B:$B,$B$1&amp;"-"&amp;TEXT(11,"00")&amp;"*",수납!$E:$E,""))</f>
        <v/>
      </c>
      <c r="N499" s="14">
        <f>IF(원생!$A497="","",SUMIFS(수납!$F:$F,수납!$C:$C,원생!$A497,수납!$D:$D,IF(원생!$G497="","",원생!$G497),수납!$B:$B,$B$1&amp;"-"&amp;TEXT(12,"00")&amp;"*",수납!$E:$E,"수강료")+SUMIFS(수납!$F:$F,수납!$C:$C,원생!$A497,수납!$D:$D,IF(원생!$G497="","",원생!$G497),수납!$B:$B,$B$1&amp;"-"&amp;TEXT(12,"00")&amp;"*",수납!$E:$E,""))</f>
        <v/>
      </c>
      <c r="O499">
        <f>IF(원생!$I497="","",원생!$I497)</f>
        <v/>
      </c>
      <c r="P499">
        <f>IF($A499="","",IF(AND($B499&gt;0,C499&lt;$B499,DATE($B$1,1,1)&lt;=TODAY(),OR($O499="",$O499&gt;=DATE($B$1,1,1)),OR(COUNTIF($C499:C499,"&gt;0")&gt;0,DATE($B$1,1,1)=DATE(YEAR(TODAY()),MONTH(TODAY()),1))),1,0))</f>
        <v/>
      </c>
      <c r="Q499">
        <f>IF($A499="","",IF(AND($B499&gt;0,D499&lt;$B499,DATE($B$1,2,1)&lt;=TODAY(),OR($O499="",$O499&gt;=DATE($B$1,2,1)),OR(COUNTIF($C499:D499,"&gt;0")&gt;0,DATE($B$1,2,1)=DATE(YEAR(TODAY()),MONTH(TODAY()),1))),1,0))</f>
        <v/>
      </c>
      <c r="R499">
        <f>IF($A499="","",IF(AND($B499&gt;0,E499&lt;$B499,DATE($B$1,3,1)&lt;=TODAY(),OR($O499="",$O499&gt;=DATE($B$1,3,1)),OR(COUNTIF($C499:E499,"&gt;0")&gt;0,DATE($B$1,3,1)=DATE(YEAR(TODAY()),MONTH(TODAY()),1))),1,0))</f>
        <v/>
      </c>
      <c r="S499">
        <f>IF($A499="","",IF(AND($B499&gt;0,F499&lt;$B499,DATE($B$1,4,1)&lt;=TODAY(),OR($O499="",$O499&gt;=DATE($B$1,4,1)),OR(COUNTIF($C499:F499,"&gt;0")&gt;0,DATE($B$1,4,1)=DATE(YEAR(TODAY()),MONTH(TODAY()),1))),1,0))</f>
        <v/>
      </c>
      <c r="T499">
        <f>IF($A499="","",IF(AND($B499&gt;0,G499&lt;$B499,DATE($B$1,5,1)&lt;=TODAY(),OR($O499="",$O499&gt;=DATE($B$1,5,1)),OR(COUNTIF($C499:G499,"&gt;0")&gt;0,DATE($B$1,5,1)=DATE(YEAR(TODAY()),MONTH(TODAY()),1))),1,0))</f>
        <v/>
      </c>
      <c r="U499">
        <f>IF($A499="","",IF(AND($B499&gt;0,H499&lt;$B499,DATE($B$1,6,1)&lt;=TODAY(),OR($O499="",$O499&gt;=DATE($B$1,6,1)),OR(COUNTIF($C499:H499,"&gt;0")&gt;0,DATE($B$1,6,1)=DATE(YEAR(TODAY()),MONTH(TODAY()),1))),1,0))</f>
        <v/>
      </c>
      <c r="V499">
        <f>IF($A499="","",IF(AND($B499&gt;0,I499&lt;$B499,DATE($B$1,7,1)&lt;=TODAY(),OR($O499="",$O499&gt;=DATE($B$1,7,1)),OR(COUNTIF($C499:I499,"&gt;0")&gt;0,DATE($B$1,7,1)=DATE(YEAR(TODAY()),MONTH(TODAY()),1))),1,0))</f>
        <v/>
      </c>
      <c r="W499">
        <f>IF($A499="","",IF(AND($B499&gt;0,J499&lt;$B499,DATE($B$1,8,1)&lt;=TODAY(),OR($O499="",$O499&gt;=DATE($B$1,8,1)),OR(COUNTIF($C499:J499,"&gt;0")&gt;0,DATE($B$1,8,1)=DATE(YEAR(TODAY()),MONTH(TODAY()),1))),1,0))</f>
        <v/>
      </c>
      <c r="X499">
        <f>IF($A499="","",IF(AND($B499&gt;0,K499&lt;$B499,DATE($B$1,9,1)&lt;=TODAY(),OR($O499="",$O499&gt;=DATE($B$1,9,1)),OR(COUNTIF($C499:K499,"&gt;0")&gt;0,DATE($B$1,9,1)=DATE(YEAR(TODAY()),MONTH(TODAY()),1))),1,0))</f>
        <v/>
      </c>
      <c r="Y499">
        <f>IF($A499="","",IF(AND($B499&gt;0,L499&lt;$B499,DATE($B$1,10,1)&lt;=TODAY(),OR($O499="",$O499&gt;=DATE($B$1,10,1)),OR(COUNTIF($C499:L499,"&gt;0")&gt;0,DATE($B$1,10,1)=DATE(YEAR(TODAY()),MONTH(TODAY()),1))),1,0))</f>
        <v/>
      </c>
      <c r="Z499">
        <f>IF($A499="","",IF(AND($B499&gt;0,M499&lt;$B499,DATE($B$1,11,1)&lt;=TODAY(),OR($O499="",$O499&gt;=DATE($B$1,11,1)),OR(COUNTIF($C499:M499,"&gt;0")&gt;0,DATE($B$1,11,1)=DATE(YEAR(TODAY()),MONTH(TODAY()),1))),1,0))</f>
        <v/>
      </c>
      <c r="AA499">
        <f>IF($A499="","",IF(AND($B499&gt;0,N499&lt;$B499,DATE($B$1,12,1)&lt;=TODAY(),OR($O499="",$O499&gt;=DATE($B$1,12,1)),OR(COUNTIF($C499:N499,"&gt;0")&gt;0,DATE($B$1,12,1)=DATE(YEAR(TODAY()),MONTH(TODAY()),1))),1,0))</f>
        <v/>
      </c>
    </row>
    <row r="500">
      <c r="A500" s="13">
        <f>IF(원생!$A498="","",원생!$A498&amp;IF(원생!$G498="",""," ("&amp;원생!$G498&amp;")"))</f>
        <v/>
      </c>
      <c r="B500" s="8">
        <f>IF(원생!$A498="","",원생!$F498)</f>
        <v/>
      </c>
      <c r="C500" s="14">
        <f>IF(원생!$A498="","",SUMIFS(수납!$F:$F,수납!$C:$C,원생!$A498,수납!$D:$D,IF(원생!$G498="","",원생!$G498),수납!$B:$B,$B$1&amp;"-"&amp;TEXT(1,"00")&amp;"*",수납!$E:$E,"수강료")+SUMIFS(수납!$F:$F,수납!$C:$C,원생!$A498,수납!$D:$D,IF(원생!$G498="","",원생!$G498),수납!$B:$B,$B$1&amp;"-"&amp;TEXT(1,"00")&amp;"*",수납!$E:$E,""))</f>
        <v/>
      </c>
      <c r="D500" s="14">
        <f>IF(원생!$A498="","",SUMIFS(수납!$F:$F,수납!$C:$C,원생!$A498,수납!$D:$D,IF(원생!$G498="","",원생!$G498),수납!$B:$B,$B$1&amp;"-"&amp;TEXT(2,"00")&amp;"*",수납!$E:$E,"수강료")+SUMIFS(수납!$F:$F,수납!$C:$C,원생!$A498,수납!$D:$D,IF(원생!$G498="","",원생!$G498),수납!$B:$B,$B$1&amp;"-"&amp;TEXT(2,"00")&amp;"*",수납!$E:$E,""))</f>
        <v/>
      </c>
      <c r="E500" s="14">
        <f>IF(원생!$A498="","",SUMIFS(수납!$F:$F,수납!$C:$C,원생!$A498,수납!$D:$D,IF(원생!$G498="","",원생!$G498),수납!$B:$B,$B$1&amp;"-"&amp;TEXT(3,"00")&amp;"*",수납!$E:$E,"수강료")+SUMIFS(수납!$F:$F,수납!$C:$C,원생!$A498,수납!$D:$D,IF(원생!$G498="","",원생!$G498),수납!$B:$B,$B$1&amp;"-"&amp;TEXT(3,"00")&amp;"*",수납!$E:$E,""))</f>
        <v/>
      </c>
      <c r="F500" s="14">
        <f>IF(원생!$A498="","",SUMIFS(수납!$F:$F,수납!$C:$C,원생!$A498,수납!$D:$D,IF(원생!$G498="","",원생!$G498),수납!$B:$B,$B$1&amp;"-"&amp;TEXT(4,"00")&amp;"*",수납!$E:$E,"수강료")+SUMIFS(수납!$F:$F,수납!$C:$C,원생!$A498,수납!$D:$D,IF(원생!$G498="","",원생!$G498),수납!$B:$B,$B$1&amp;"-"&amp;TEXT(4,"00")&amp;"*",수납!$E:$E,""))</f>
        <v/>
      </c>
      <c r="G500" s="14">
        <f>IF(원생!$A498="","",SUMIFS(수납!$F:$F,수납!$C:$C,원생!$A498,수납!$D:$D,IF(원생!$G498="","",원생!$G498),수납!$B:$B,$B$1&amp;"-"&amp;TEXT(5,"00")&amp;"*",수납!$E:$E,"수강료")+SUMIFS(수납!$F:$F,수납!$C:$C,원생!$A498,수납!$D:$D,IF(원생!$G498="","",원생!$G498),수납!$B:$B,$B$1&amp;"-"&amp;TEXT(5,"00")&amp;"*",수납!$E:$E,""))</f>
        <v/>
      </c>
      <c r="H500" s="14">
        <f>IF(원생!$A498="","",SUMIFS(수납!$F:$F,수납!$C:$C,원생!$A498,수납!$D:$D,IF(원생!$G498="","",원생!$G498),수납!$B:$B,$B$1&amp;"-"&amp;TEXT(6,"00")&amp;"*",수납!$E:$E,"수강료")+SUMIFS(수납!$F:$F,수납!$C:$C,원생!$A498,수납!$D:$D,IF(원생!$G498="","",원생!$G498),수납!$B:$B,$B$1&amp;"-"&amp;TEXT(6,"00")&amp;"*",수납!$E:$E,""))</f>
        <v/>
      </c>
      <c r="I500" s="14">
        <f>IF(원생!$A498="","",SUMIFS(수납!$F:$F,수납!$C:$C,원생!$A498,수납!$D:$D,IF(원생!$G498="","",원생!$G498),수납!$B:$B,$B$1&amp;"-"&amp;TEXT(7,"00")&amp;"*",수납!$E:$E,"수강료")+SUMIFS(수납!$F:$F,수납!$C:$C,원생!$A498,수납!$D:$D,IF(원생!$G498="","",원생!$G498),수납!$B:$B,$B$1&amp;"-"&amp;TEXT(7,"00")&amp;"*",수납!$E:$E,""))</f>
        <v/>
      </c>
      <c r="J500" s="14">
        <f>IF(원생!$A498="","",SUMIFS(수납!$F:$F,수납!$C:$C,원생!$A498,수납!$D:$D,IF(원생!$G498="","",원생!$G498),수납!$B:$B,$B$1&amp;"-"&amp;TEXT(8,"00")&amp;"*",수납!$E:$E,"수강료")+SUMIFS(수납!$F:$F,수납!$C:$C,원생!$A498,수납!$D:$D,IF(원생!$G498="","",원생!$G498),수납!$B:$B,$B$1&amp;"-"&amp;TEXT(8,"00")&amp;"*",수납!$E:$E,""))</f>
        <v/>
      </c>
      <c r="K500" s="14">
        <f>IF(원생!$A498="","",SUMIFS(수납!$F:$F,수납!$C:$C,원생!$A498,수납!$D:$D,IF(원생!$G498="","",원생!$G498),수납!$B:$B,$B$1&amp;"-"&amp;TEXT(9,"00")&amp;"*",수납!$E:$E,"수강료")+SUMIFS(수납!$F:$F,수납!$C:$C,원생!$A498,수납!$D:$D,IF(원생!$G498="","",원생!$G498),수납!$B:$B,$B$1&amp;"-"&amp;TEXT(9,"00")&amp;"*",수납!$E:$E,""))</f>
        <v/>
      </c>
      <c r="L500" s="14">
        <f>IF(원생!$A498="","",SUMIFS(수납!$F:$F,수납!$C:$C,원생!$A498,수납!$D:$D,IF(원생!$G498="","",원생!$G498),수납!$B:$B,$B$1&amp;"-"&amp;TEXT(10,"00")&amp;"*",수납!$E:$E,"수강료")+SUMIFS(수납!$F:$F,수납!$C:$C,원생!$A498,수납!$D:$D,IF(원생!$G498="","",원생!$G498),수납!$B:$B,$B$1&amp;"-"&amp;TEXT(10,"00")&amp;"*",수납!$E:$E,""))</f>
        <v/>
      </c>
      <c r="M500" s="14">
        <f>IF(원생!$A498="","",SUMIFS(수납!$F:$F,수납!$C:$C,원생!$A498,수납!$D:$D,IF(원생!$G498="","",원생!$G498),수납!$B:$B,$B$1&amp;"-"&amp;TEXT(11,"00")&amp;"*",수납!$E:$E,"수강료")+SUMIFS(수납!$F:$F,수납!$C:$C,원생!$A498,수납!$D:$D,IF(원생!$G498="","",원생!$G498),수납!$B:$B,$B$1&amp;"-"&amp;TEXT(11,"00")&amp;"*",수납!$E:$E,""))</f>
        <v/>
      </c>
      <c r="N500" s="14">
        <f>IF(원생!$A498="","",SUMIFS(수납!$F:$F,수납!$C:$C,원생!$A498,수납!$D:$D,IF(원생!$G498="","",원생!$G498),수납!$B:$B,$B$1&amp;"-"&amp;TEXT(12,"00")&amp;"*",수납!$E:$E,"수강료")+SUMIFS(수납!$F:$F,수납!$C:$C,원생!$A498,수납!$D:$D,IF(원생!$G498="","",원생!$G498),수납!$B:$B,$B$1&amp;"-"&amp;TEXT(12,"00")&amp;"*",수납!$E:$E,""))</f>
        <v/>
      </c>
      <c r="O500">
        <f>IF(원생!$I498="","",원생!$I498)</f>
        <v/>
      </c>
      <c r="P500">
        <f>IF($A500="","",IF(AND($B500&gt;0,C500&lt;$B500,DATE($B$1,1,1)&lt;=TODAY(),OR($O500="",$O500&gt;=DATE($B$1,1,1)),OR(COUNTIF($C500:C500,"&gt;0")&gt;0,DATE($B$1,1,1)=DATE(YEAR(TODAY()),MONTH(TODAY()),1))),1,0))</f>
        <v/>
      </c>
      <c r="Q500">
        <f>IF($A500="","",IF(AND($B500&gt;0,D500&lt;$B500,DATE($B$1,2,1)&lt;=TODAY(),OR($O500="",$O500&gt;=DATE($B$1,2,1)),OR(COUNTIF($C500:D500,"&gt;0")&gt;0,DATE($B$1,2,1)=DATE(YEAR(TODAY()),MONTH(TODAY()),1))),1,0))</f>
        <v/>
      </c>
      <c r="R500">
        <f>IF($A500="","",IF(AND($B500&gt;0,E500&lt;$B500,DATE($B$1,3,1)&lt;=TODAY(),OR($O500="",$O500&gt;=DATE($B$1,3,1)),OR(COUNTIF($C500:E500,"&gt;0")&gt;0,DATE($B$1,3,1)=DATE(YEAR(TODAY()),MONTH(TODAY()),1))),1,0))</f>
        <v/>
      </c>
      <c r="S500">
        <f>IF($A500="","",IF(AND($B500&gt;0,F500&lt;$B500,DATE($B$1,4,1)&lt;=TODAY(),OR($O500="",$O500&gt;=DATE($B$1,4,1)),OR(COUNTIF($C500:F500,"&gt;0")&gt;0,DATE($B$1,4,1)=DATE(YEAR(TODAY()),MONTH(TODAY()),1))),1,0))</f>
        <v/>
      </c>
      <c r="T500">
        <f>IF($A500="","",IF(AND($B500&gt;0,G500&lt;$B500,DATE($B$1,5,1)&lt;=TODAY(),OR($O500="",$O500&gt;=DATE($B$1,5,1)),OR(COUNTIF($C500:G500,"&gt;0")&gt;0,DATE($B$1,5,1)=DATE(YEAR(TODAY()),MONTH(TODAY()),1))),1,0))</f>
        <v/>
      </c>
      <c r="U500">
        <f>IF($A500="","",IF(AND($B500&gt;0,H500&lt;$B500,DATE($B$1,6,1)&lt;=TODAY(),OR($O500="",$O500&gt;=DATE($B$1,6,1)),OR(COUNTIF($C500:H500,"&gt;0")&gt;0,DATE($B$1,6,1)=DATE(YEAR(TODAY()),MONTH(TODAY()),1))),1,0))</f>
        <v/>
      </c>
      <c r="V500">
        <f>IF($A500="","",IF(AND($B500&gt;0,I500&lt;$B500,DATE($B$1,7,1)&lt;=TODAY(),OR($O500="",$O500&gt;=DATE($B$1,7,1)),OR(COUNTIF($C500:I500,"&gt;0")&gt;0,DATE($B$1,7,1)=DATE(YEAR(TODAY()),MONTH(TODAY()),1))),1,0))</f>
        <v/>
      </c>
      <c r="W500">
        <f>IF($A500="","",IF(AND($B500&gt;0,J500&lt;$B500,DATE($B$1,8,1)&lt;=TODAY(),OR($O500="",$O500&gt;=DATE($B$1,8,1)),OR(COUNTIF($C500:J500,"&gt;0")&gt;0,DATE($B$1,8,1)=DATE(YEAR(TODAY()),MONTH(TODAY()),1))),1,0))</f>
        <v/>
      </c>
      <c r="X500">
        <f>IF($A500="","",IF(AND($B500&gt;0,K500&lt;$B500,DATE($B$1,9,1)&lt;=TODAY(),OR($O500="",$O500&gt;=DATE($B$1,9,1)),OR(COUNTIF($C500:K500,"&gt;0")&gt;0,DATE($B$1,9,1)=DATE(YEAR(TODAY()),MONTH(TODAY()),1))),1,0))</f>
        <v/>
      </c>
      <c r="Y500">
        <f>IF($A500="","",IF(AND($B500&gt;0,L500&lt;$B500,DATE($B$1,10,1)&lt;=TODAY(),OR($O500="",$O500&gt;=DATE($B$1,10,1)),OR(COUNTIF($C500:L500,"&gt;0")&gt;0,DATE($B$1,10,1)=DATE(YEAR(TODAY()),MONTH(TODAY()),1))),1,0))</f>
        <v/>
      </c>
      <c r="Z500">
        <f>IF($A500="","",IF(AND($B500&gt;0,M500&lt;$B500,DATE($B$1,11,1)&lt;=TODAY(),OR($O500="",$O500&gt;=DATE($B$1,11,1)),OR(COUNTIF($C500:M500,"&gt;0")&gt;0,DATE($B$1,11,1)=DATE(YEAR(TODAY()),MONTH(TODAY()),1))),1,0))</f>
        <v/>
      </c>
      <c r="AA500">
        <f>IF($A500="","",IF(AND($B500&gt;0,N500&lt;$B500,DATE($B$1,12,1)&lt;=TODAY(),OR($O500="",$O500&gt;=DATE($B$1,12,1)),OR(COUNTIF($C500:N500,"&gt;0")&gt;0,DATE($B$1,12,1)=DATE(YEAR(TODAY()),MONTH(TODAY()),1))),1,0))</f>
        <v/>
      </c>
    </row>
    <row r="501">
      <c r="A501" s="13">
        <f>IF(원생!$A499="","",원생!$A499&amp;IF(원생!$G499="",""," ("&amp;원생!$G499&amp;")"))</f>
        <v/>
      </c>
      <c r="B501" s="8">
        <f>IF(원생!$A499="","",원생!$F499)</f>
        <v/>
      </c>
      <c r="C501" s="14">
        <f>IF(원생!$A499="","",SUMIFS(수납!$F:$F,수납!$C:$C,원생!$A499,수납!$D:$D,IF(원생!$G499="","",원생!$G499),수납!$B:$B,$B$1&amp;"-"&amp;TEXT(1,"00")&amp;"*",수납!$E:$E,"수강료")+SUMIFS(수납!$F:$F,수납!$C:$C,원생!$A499,수납!$D:$D,IF(원생!$G499="","",원생!$G499),수납!$B:$B,$B$1&amp;"-"&amp;TEXT(1,"00")&amp;"*",수납!$E:$E,""))</f>
        <v/>
      </c>
      <c r="D501" s="14">
        <f>IF(원생!$A499="","",SUMIFS(수납!$F:$F,수납!$C:$C,원생!$A499,수납!$D:$D,IF(원생!$G499="","",원생!$G499),수납!$B:$B,$B$1&amp;"-"&amp;TEXT(2,"00")&amp;"*",수납!$E:$E,"수강료")+SUMIFS(수납!$F:$F,수납!$C:$C,원생!$A499,수납!$D:$D,IF(원생!$G499="","",원생!$G499),수납!$B:$B,$B$1&amp;"-"&amp;TEXT(2,"00")&amp;"*",수납!$E:$E,""))</f>
        <v/>
      </c>
      <c r="E501" s="14">
        <f>IF(원생!$A499="","",SUMIFS(수납!$F:$F,수납!$C:$C,원생!$A499,수납!$D:$D,IF(원생!$G499="","",원생!$G499),수납!$B:$B,$B$1&amp;"-"&amp;TEXT(3,"00")&amp;"*",수납!$E:$E,"수강료")+SUMIFS(수납!$F:$F,수납!$C:$C,원생!$A499,수납!$D:$D,IF(원생!$G499="","",원생!$G499),수납!$B:$B,$B$1&amp;"-"&amp;TEXT(3,"00")&amp;"*",수납!$E:$E,""))</f>
        <v/>
      </c>
      <c r="F501" s="14">
        <f>IF(원생!$A499="","",SUMIFS(수납!$F:$F,수납!$C:$C,원생!$A499,수납!$D:$D,IF(원생!$G499="","",원생!$G499),수납!$B:$B,$B$1&amp;"-"&amp;TEXT(4,"00")&amp;"*",수납!$E:$E,"수강료")+SUMIFS(수납!$F:$F,수납!$C:$C,원생!$A499,수납!$D:$D,IF(원생!$G499="","",원생!$G499),수납!$B:$B,$B$1&amp;"-"&amp;TEXT(4,"00")&amp;"*",수납!$E:$E,""))</f>
        <v/>
      </c>
      <c r="G501" s="14">
        <f>IF(원생!$A499="","",SUMIFS(수납!$F:$F,수납!$C:$C,원생!$A499,수납!$D:$D,IF(원생!$G499="","",원생!$G499),수납!$B:$B,$B$1&amp;"-"&amp;TEXT(5,"00")&amp;"*",수납!$E:$E,"수강료")+SUMIFS(수납!$F:$F,수납!$C:$C,원생!$A499,수납!$D:$D,IF(원생!$G499="","",원생!$G499),수납!$B:$B,$B$1&amp;"-"&amp;TEXT(5,"00")&amp;"*",수납!$E:$E,""))</f>
        <v/>
      </c>
      <c r="H501" s="14">
        <f>IF(원생!$A499="","",SUMIFS(수납!$F:$F,수납!$C:$C,원생!$A499,수납!$D:$D,IF(원생!$G499="","",원생!$G499),수납!$B:$B,$B$1&amp;"-"&amp;TEXT(6,"00")&amp;"*",수납!$E:$E,"수강료")+SUMIFS(수납!$F:$F,수납!$C:$C,원생!$A499,수납!$D:$D,IF(원생!$G499="","",원생!$G499),수납!$B:$B,$B$1&amp;"-"&amp;TEXT(6,"00")&amp;"*",수납!$E:$E,""))</f>
        <v/>
      </c>
      <c r="I501" s="14">
        <f>IF(원생!$A499="","",SUMIFS(수납!$F:$F,수납!$C:$C,원생!$A499,수납!$D:$D,IF(원생!$G499="","",원생!$G499),수납!$B:$B,$B$1&amp;"-"&amp;TEXT(7,"00")&amp;"*",수납!$E:$E,"수강료")+SUMIFS(수납!$F:$F,수납!$C:$C,원생!$A499,수납!$D:$D,IF(원생!$G499="","",원생!$G499),수납!$B:$B,$B$1&amp;"-"&amp;TEXT(7,"00")&amp;"*",수납!$E:$E,""))</f>
        <v/>
      </c>
      <c r="J501" s="14">
        <f>IF(원생!$A499="","",SUMIFS(수납!$F:$F,수납!$C:$C,원생!$A499,수납!$D:$D,IF(원생!$G499="","",원생!$G499),수납!$B:$B,$B$1&amp;"-"&amp;TEXT(8,"00")&amp;"*",수납!$E:$E,"수강료")+SUMIFS(수납!$F:$F,수납!$C:$C,원생!$A499,수납!$D:$D,IF(원생!$G499="","",원생!$G499),수납!$B:$B,$B$1&amp;"-"&amp;TEXT(8,"00")&amp;"*",수납!$E:$E,""))</f>
        <v/>
      </c>
      <c r="K501" s="14">
        <f>IF(원생!$A499="","",SUMIFS(수납!$F:$F,수납!$C:$C,원생!$A499,수납!$D:$D,IF(원생!$G499="","",원생!$G499),수납!$B:$B,$B$1&amp;"-"&amp;TEXT(9,"00")&amp;"*",수납!$E:$E,"수강료")+SUMIFS(수납!$F:$F,수납!$C:$C,원생!$A499,수납!$D:$D,IF(원생!$G499="","",원생!$G499),수납!$B:$B,$B$1&amp;"-"&amp;TEXT(9,"00")&amp;"*",수납!$E:$E,""))</f>
        <v/>
      </c>
      <c r="L501" s="14">
        <f>IF(원생!$A499="","",SUMIFS(수납!$F:$F,수납!$C:$C,원생!$A499,수납!$D:$D,IF(원생!$G499="","",원생!$G499),수납!$B:$B,$B$1&amp;"-"&amp;TEXT(10,"00")&amp;"*",수납!$E:$E,"수강료")+SUMIFS(수납!$F:$F,수납!$C:$C,원생!$A499,수납!$D:$D,IF(원생!$G499="","",원생!$G499),수납!$B:$B,$B$1&amp;"-"&amp;TEXT(10,"00")&amp;"*",수납!$E:$E,""))</f>
        <v/>
      </c>
      <c r="M501" s="14">
        <f>IF(원생!$A499="","",SUMIFS(수납!$F:$F,수납!$C:$C,원생!$A499,수납!$D:$D,IF(원생!$G499="","",원생!$G499),수납!$B:$B,$B$1&amp;"-"&amp;TEXT(11,"00")&amp;"*",수납!$E:$E,"수강료")+SUMIFS(수납!$F:$F,수납!$C:$C,원생!$A499,수납!$D:$D,IF(원생!$G499="","",원생!$G499),수납!$B:$B,$B$1&amp;"-"&amp;TEXT(11,"00")&amp;"*",수납!$E:$E,""))</f>
        <v/>
      </c>
      <c r="N501" s="14">
        <f>IF(원생!$A499="","",SUMIFS(수납!$F:$F,수납!$C:$C,원생!$A499,수납!$D:$D,IF(원생!$G499="","",원생!$G499),수납!$B:$B,$B$1&amp;"-"&amp;TEXT(12,"00")&amp;"*",수납!$E:$E,"수강료")+SUMIFS(수납!$F:$F,수납!$C:$C,원생!$A499,수납!$D:$D,IF(원생!$G499="","",원생!$G499),수납!$B:$B,$B$1&amp;"-"&amp;TEXT(12,"00")&amp;"*",수납!$E:$E,""))</f>
        <v/>
      </c>
      <c r="O501">
        <f>IF(원생!$I499="","",원생!$I499)</f>
        <v/>
      </c>
      <c r="P501">
        <f>IF($A501="","",IF(AND($B501&gt;0,C501&lt;$B501,DATE($B$1,1,1)&lt;=TODAY(),OR($O501="",$O501&gt;=DATE($B$1,1,1)),OR(COUNTIF($C501:C501,"&gt;0")&gt;0,DATE($B$1,1,1)=DATE(YEAR(TODAY()),MONTH(TODAY()),1))),1,0))</f>
        <v/>
      </c>
      <c r="Q501">
        <f>IF($A501="","",IF(AND($B501&gt;0,D501&lt;$B501,DATE($B$1,2,1)&lt;=TODAY(),OR($O501="",$O501&gt;=DATE($B$1,2,1)),OR(COUNTIF($C501:D501,"&gt;0")&gt;0,DATE($B$1,2,1)=DATE(YEAR(TODAY()),MONTH(TODAY()),1))),1,0))</f>
        <v/>
      </c>
      <c r="R501">
        <f>IF($A501="","",IF(AND($B501&gt;0,E501&lt;$B501,DATE($B$1,3,1)&lt;=TODAY(),OR($O501="",$O501&gt;=DATE($B$1,3,1)),OR(COUNTIF($C501:E501,"&gt;0")&gt;0,DATE($B$1,3,1)=DATE(YEAR(TODAY()),MONTH(TODAY()),1))),1,0))</f>
        <v/>
      </c>
      <c r="S501">
        <f>IF($A501="","",IF(AND($B501&gt;0,F501&lt;$B501,DATE($B$1,4,1)&lt;=TODAY(),OR($O501="",$O501&gt;=DATE($B$1,4,1)),OR(COUNTIF($C501:F501,"&gt;0")&gt;0,DATE($B$1,4,1)=DATE(YEAR(TODAY()),MONTH(TODAY()),1))),1,0))</f>
        <v/>
      </c>
      <c r="T501">
        <f>IF($A501="","",IF(AND($B501&gt;0,G501&lt;$B501,DATE($B$1,5,1)&lt;=TODAY(),OR($O501="",$O501&gt;=DATE($B$1,5,1)),OR(COUNTIF($C501:G501,"&gt;0")&gt;0,DATE($B$1,5,1)=DATE(YEAR(TODAY()),MONTH(TODAY()),1))),1,0))</f>
        <v/>
      </c>
      <c r="U501">
        <f>IF($A501="","",IF(AND($B501&gt;0,H501&lt;$B501,DATE($B$1,6,1)&lt;=TODAY(),OR($O501="",$O501&gt;=DATE($B$1,6,1)),OR(COUNTIF($C501:H501,"&gt;0")&gt;0,DATE($B$1,6,1)=DATE(YEAR(TODAY()),MONTH(TODAY()),1))),1,0))</f>
        <v/>
      </c>
      <c r="V501">
        <f>IF($A501="","",IF(AND($B501&gt;0,I501&lt;$B501,DATE($B$1,7,1)&lt;=TODAY(),OR($O501="",$O501&gt;=DATE($B$1,7,1)),OR(COUNTIF($C501:I501,"&gt;0")&gt;0,DATE($B$1,7,1)=DATE(YEAR(TODAY()),MONTH(TODAY()),1))),1,0))</f>
        <v/>
      </c>
      <c r="W501">
        <f>IF($A501="","",IF(AND($B501&gt;0,J501&lt;$B501,DATE($B$1,8,1)&lt;=TODAY(),OR($O501="",$O501&gt;=DATE($B$1,8,1)),OR(COUNTIF($C501:J501,"&gt;0")&gt;0,DATE($B$1,8,1)=DATE(YEAR(TODAY()),MONTH(TODAY()),1))),1,0))</f>
        <v/>
      </c>
      <c r="X501">
        <f>IF($A501="","",IF(AND($B501&gt;0,K501&lt;$B501,DATE($B$1,9,1)&lt;=TODAY(),OR($O501="",$O501&gt;=DATE($B$1,9,1)),OR(COUNTIF($C501:K501,"&gt;0")&gt;0,DATE($B$1,9,1)=DATE(YEAR(TODAY()),MONTH(TODAY()),1))),1,0))</f>
        <v/>
      </c>
      <c r="Y501">
        <f>IF($A501="","",IF(AND($B501&gt;0,L501&lt;$B501,DATE($B$1,10,1)&lt;=TODAY(),OR($O501="",$O501&gt;=DATE($B$1,10,1)),OR(COUNTIF($C501:L501,"&gt;0")&gt;0,DATE($B$1,10,1)=DATE(YEAR(TODAY()),MONTH(TODAY()),1))),1,0))</f>
        <v/>
      </c>
      <c r="Z501">
        <f>IF($A501="","",IF(AND($B501&gt;0,M501&lt;$B501,DATE($B$1,11,1)&lt;=TODAY(),OR($O501="",$O501&gt;=DATE($B$1,11,1)),OR(COUNTIF($C501:M501,"&gt;0")&gt;0,DATE($B$1,11,1)=DATE(YEAR(TODAY()),MONTH(TODAY()),1))),1,0))</f>
        <v/>
      </c>
      <c r="AA501">
        <f>IF($A501="","",IF(AND($B501&gt;0,N501&lt;$B501,DATE($B$1,12,1)&lt;=TODAY(),OR($O501="",$O501&gt;=DATE($B$1,12,1)),OR(COUNTIF($C501:N501,"&gt;0")&gt;0,DATE($B$1,12,1)=DATE(YEAR(TODAY()),MONTH(TODAY()),1))),1,0))</f>
        <v/>
      </c>
    </row>
    <row r="502">
      <c r="A502" s="13">
        <f>IF(원생!$A500="","",원생!$A500&amp;IF(원생!$G500="",""," ("&amp;원생!$G500&amp;")"))</f>
        <v/>
      </c>
      <c r="B502" s="8">
        <f>IF(원생!$A500="","",원생!$F500)</f>
        <v/>
      </c>
      <c r="C502" s="14">
        <f>IF(원생!$A500="","",SUMIFS(수납!$F:$F,수납!$C:$C,원생!$A500,수납!$D:$D,IF(원생!$G500="","",원생!$G500),수납!$B:$B,$B$1&amp;"-"&amp;TEXT(1,"00")&amp;"*",수납!$E:$E,"수강료")+SUMIFS(수납!$F:$F,수납!$C:$C,원생!$A500,수납!$D:$D,IF(원생!$G500="","",원생!$G500),수납!$B:$B,$B$1&amp;"-"&amp;TEXT(1,"00")&amp;"*",수납!$E:$E,""))</f>
        <v/>
      </c>
      <c r="D502" s="14">
        <f>IF(원생!$A500="","",SUMIFS(수납!$F:$F,수납!$C:$C,원생!$A500,수납!$D:$D,IF(원생!$G500="","",원생!$G500),수납!$B:$B,$B$1&amp;"-"&amp;TEXT(2,"00")&amp;"*",수납!$E:$E,"수강료")+SUMIFS(수납!$F:$F,수납!$C:$C,원생!$A500,수납!$D:$D,IF(원생!$G500="","",원생!$G500),수납!$B:$B,$B$1&amp;"-"&amp;TEXT(2,"00")&amp;"*",수납!$E:$E,""))</f>
        <v/>
      </c>
      <c r="E502" s="14">
        <f>IF(원생!$A500="","",SUMIFS(수납!$F:$F,수납!$C:$C,원생!$A500,수납!$D:$D,IF(원생!$G500="","",원생!$G500),수납!$B:$B,$B$1&amp;"-"&amp;TEXT(3,"00")&amp;"*",수납!$E:$E,"수강료")+SUMIFS(수납!$F:$F,수납!$C:$C,원생!$A500,수납!$D:$D,IF(원생!$G500="","",원생!$G500),수납!$B:$B,$B$1&amp;"-"&amp;TEXT(3,"00")&amp;"*",수납!$E:$E,""))</f>
        <v/>
      </c>
      <c r="F502" s="14">
        <f>IF(원생!$A500="","",SUMIFS(수납!$F:$F,수납!$C:$C,원생!$A500,수납!$D:$D,IF(원생!$G500="","",원생!$G500),수납!$B:$B,$B$1&amp;"-"&amp;TEXT(4,"00")&amp;"*",수납!$E:$E,"수강료")+SUMIFS(수납!$F:$F,수납!$C:$C,원생!$A500,수납!$D:$D,IF(원생!$G500="","",원생!$G500),수납!$B:$B,$B$1&amp;"-"&amp;TEXT(4,"00")&amp;"*",수납!$E:$E,""))</f>
        <v/>
      </c>
      <c r="G502" s="14">
        <f>IF(원생!$A500="","",SUMIFS(수납!$F:$F,수납!$C:$C,원생!$A500,수납!$D:$D,IF(원생!$G500="","",원생!$G500),수납!$B:$B,$B$1&amp;"-"&amp;TEXT(5,"00")&amp;"*",수납!$E:$E,"수강료")+SUMIFS(수납!$F:$F,수납!$C:$C,원생!$A500,수납!$D:$D,IF(원생!$G500="","",원생!$G500),수납!$B:$B,$B$1&amp;"-"&amp;TEXT(5,"00")&amp;"*",수납!$E:$E,""))</f>
        <v/>
      </c>
      <c r="H502" s="14">
        <f>IF(원생!$A500="","",SUMIFS(수납!$F:$F,수납!$C:$C,원생!$A500,수납!$D:$D,IF(원생!$G500="","",원생!$G500),수납!$B:$B,$B$1&amp;"-"&amp;TEXT(6,"00")&amp;"*",수납!$E:$E,"수강료")+SUMIFS(수납!$F:$F,수납!$C:$C,원생!$A500,수납!$D:$D,IF(원생!$G500="","",원생!$G500),수납!$B:$B,$B$1&amp;"-"&amp;TEXT(6,"00")&amp;"*",수납!$E:$E,""))</f>
        <v/>
      </c>
      <c r="I502" s="14">
        <f>IF(원생!$A500="","",SUMIFS(수납!$F:$F,수납!$C:$C,원생!$A500,수납!$D:$D,IF(원생!$G500="","",원생!$G500),수납!$B:$B,$B$1&amp;"-"&amp;TEXT(7,"00")&amp;"*",수납!$E:$E,"수강료")+SUMIFS(수납!$F:$F,수납!$C:$C,원생!$A500,수납!$D:$D,IF(원생!$G500="","",원생!$G500),수납!$B:$B,$B$1&amp;"-"&amp;TEXT(7,"00")&amp;"*",수납!$E:$E,""))</f>
        <v/>
      </c>
      <c r="J502" s="14">
        <f>IF(원생!$A500="","",SUMIFS(수납!$F:$F,수납!$C:$C,원생!$A500,수납!$D:$D,IF(원생!$G500="","",원생!$G500),수납!$B:$B,$B$1&amp;"-"&amp;TEXT(8,"00")&amp;"*",수납!$E:$E,"수강료")+SUMIFS(수납!$F:$F,수납!$C:$C,원생!$A500,수납!$D:$D,IF(원생!$G500="","",원생!$G500),수납!$B:$B,$B$1&amp;"-"&amp;TEXT(8,"00")&amp;"*",수납!$E:$E,""))</f>
        <v/>
      </c>
      <c r="K502" s="14">
        <f>IF(원생!$A500="","",SUMIFS(수납!$F:$F,수납!$C:$C,원생!$A500,수납!$D:$D,IF(원생!$G500="","",원생!$G500),수납!$B:$B,$B$1&amp;"-"&amp;TEXT(9,"00")&amp;"*",수납!$E:$E,"수강료")+SUMIFS(수납!$F:$F,수납!$C:$C,원생!$A500,수납!$D:$D,IF(원생!$G500="","",원생!$G500),수납!$B:$B,$B$1&amp;"-"&amp;TEXT(9,"00")&amp;"*",수납!$E:$E,""))</f>
        <v/>
      </c>
      <c r="L502" s="14">
        <f>IF(원생!$A500="","",SUMIFS(수납!$F:$F,수납!$C:$C,원생!$A500,수납!$D:$D,IF(원생!$G500="","",원생!$G500),수납!$B:$B,$B$1&amp;"-"&amp;TEXT(10,"00")&amp;"*",수납!$E:$E,"수강료")+SUMIFS(수납!$F:$F,수납!$C:$C,원생!$A500,수납!$D:$D,IF(원생!$G500="","",원생!$G500),수납!$B:$B,$B$1&amp;"-"&amp;TEXT(10,"00")&amp;"*",수납!$E:$E,""))</f>
        <v/>
      </c>
      <c r="M502" s="14">
        <f>IF(원생!$A500="","",SUMIFS(수납!$F:$F,수납!$C:$C,원생!$A500,수납!$D:$D,IF(원생!$G500="","",원생!$G500),수납!$B:$B,$B$1&amp;"-"&amp;TEXT(11,"00")&amp;"*",수납!$E:$E,"수강료")+SUMIFS(수납!$F:$F,수납!$C:$C,원생!$A500,수납!$D:$D,IF(원생!$G500="","",원생!$G500),수납!$B:$B,$B$1&amp;"-"&amp;TEXT(11,"00")&amp;"*",수납!$E:$E,""))</f>
        <v/>
      </c>
      <c r="N502" s="14">
        <f>IF(원생!$A500="","",SUMIFS(수납!$F:$F,수납!$C:$C,원생!$A500,수납!$D:$D,IF(원생!$G500="","",원생!$G500),수납!$B:$B,$B$1&amp;"-"&amp;TEXT(12,"00")&amp;"*",수납!$E:$E,"수강료")+SUMIFS(수납!$F:$F,수납!$C:$C,원생!$A500,수납!$D:$D,IF(원생!$G500="","",원생!$G500),수납!$B:$B,$B$1&amp;"-"&amp;TEXT(12,"00")&amp;"*",수납!$E:$E,""))</f>
        <v/>
      </c>
      <c r="O502">
        <f>IF(원생!$I500="","",원생!$I500)</f>
        <v/>
      </c>
      <c r="P502">
        <f>IF($A502="","",IF(AND($B502&gt;0,C502&lt;$B502,DATE($B$1,1,1)&lt;=TODAY(),OR($O502="",$O502&gt;=DATE($B$1,1,1)),OR(COUNTIF($C502:C502,"&gt;0")&gt;0,DATE($B$1,1,1)=DATE(YEAR(TODAY()),MONTH(TODAY()),1))),1,0))</f>
        <v/>
      </c>
      <c r="Q502">
        <f>IF($A502="","",IF(AND($B502&gt;0,D502&lt;$B502,DATE($B$1,2,1)&lt;=TODAY(),OR($O502="",$O502&gt;=DATE($B$1,2,1)),OR(COUNTIF($C502:D502,"&gt;0")&gt;0,DATE($B$1,2,1)=DATE(YEAR(TODAY()),MONTH(TODAY()),1))),1,0))</f>
        <v/>
      </c>
      <c r="R502">
        <f>IF($A502="","",IF(AND($B502&gt;0,E502&lt;$B502,DATE($B$1,3,1)&lt;=TODAY(),OR($O502="",$O502&gt;=DATE($B$1,3,1)),OR(COUNTIF($C502:E502,"&gt;0")&gt;0,DATE($B$1,3,1)=DATE(YEAR(TODAY()),MONTH(TODAY()),1))),1,0))</f>
        <v/>
      </c>
      <c r="S502">
        <f>IF($A502="","",IF(AND($B502&gt;0,F502&lt;$B502,DATE($B$1,4,1)&lt;=TODAY(),OR($O502="",$O502&gt;=DATE($B$1,4,1)),OR(COUNTIF($C502:F502,"&gt;0")&gt;0,DATE($B$1,4,1)=DATE(YEAR(TODAY()),MONTH(TODAY()),1))),1,0))</f>
        <v/>
      </c>
      <c r="T502">
        <f>IF($A502="","",IF(AND($B502&gt;0,G502&lt;$B502,DATE($B$1,5,1)&lt;=TODAY(),OR($O502="",$O502&gt;=DATE($B$1,5,1)),OR(COUNTIF($C502:G502,"&gt;0")&gt;0,DATE($B$1,5,1)=DATE(YEAR(TODAY()),MONTH(TODAY()),1))),1,0))</f>
        <v/>
      </c>
      <c r="U502">
        <f>IF($A502="","",IF(AND($B502&gt;0,H502&lt;$B502,DATE($B$1,6,1)&lt;=TODAY(),OR($O502="",$O502&gt;=DATE($B$1,6,1)),OR(COUNTIF($C502:H502,"&gt;0")&gt;0,DATE($B$1,6,1)=DATE(YEAR(TODAY()),MONTH(TODAY()),1))),1,0))</f>
        <v/>
      </c>
      <c r="V502">
        <f>IF($A502="","",IF(AND($B502&gt;0,I502&lt;$B502,DATE($B$1,7,1)&lt;=TODAY(),OR($O502="",$O502&gt;=DATE($B$1,7,1)),OR(COUNTIF($C502:I502,"&gt;0")&gt;0,DATE($B$1,7,1)=DATE(YEAR(TODAY()),MONTH(TODAY()),1))),1,0))</f>
        <v/>
      </c>
      <c r="W502">
        <f>IF($A502="","",IF(AND($B502&gt;0,J502&lt;$B502,DATE($B$1,8,1)&lt;=TODAY(),OR($O502="",$O502&gt;=DATE($B$1,8,1)),OR(COUNTIF($C502:J502,"&gt;0")&gt;0,DATE($B$1,8,1)=DATE(YEAR(TODAY()),MONTH(TODAY()),1))),1,0))</f>
        <v/>
      </c>
      <c r="X502">
        <f>IF($A502="","",IF(AND($B502&gt;0,K502&lt;$B502,DATE($B$1,9,1)&lt;=TODAY(),OR($O502="",$O502&gt;=DATE($B$1,9,1)),OR(COUNTIF($C502:K502,"&gt;0")&gt;0,DATE($B$1,9,1)=DATE(YEAR(TODAY()),MONTH(TODAY()),1))),1,0))</f>
        <v/>
      </c>
      <c r="Y502">
        <f>IF($A502="","",IF(AND($B502&gt;0,L502&lt;$B502,DATE($B$1,10,1)&lt;=TODAY(),OR($O502="",$O502&gt;=DATE($B$1,10,1)),OR(COUNTIF($C502:L502,"&gt;0")&gt;0,DATE($B$1,10,1)=DATE(YEAR(TODAY()),MONTH(TODAY()),1))),1,0))</f>
        <v/>
      </c>
      <c r="Z502">
        <f>IF($A502="","",IF(AND($B502&gt;0,M502&lt;$B502,DATE($B$1,11,1)&lt;=TODAY(),OR($O502="",$O502&gt;=DATE($B$1,11,1)),OR(COUNTIF($C502:M502,"&gt;0")&gt;0,DATE($B$1,11,1)=DATE(YEAR(TODAY()),MONTH(TODAY()),1))),1,0))</f>
        <v/>
      </c>
      <c r="AA502">
        <f>IF($A502="","",IF(AND($B502&gt;0,N502&lt;$B502,DATE($B$1,12,1)&lt;=TODAY(),OR($O502="",$O502&gt;=DATE($B$1,12,1)),OR(COUNTIF($C502:N502,"&gt;0")&gt;0,DATE($B$1,12,1)=DATE(YEAR(TODAY()),MONTH(TODAY()),1))),1,0))</f>
        <v/>
      </c>
    </row>
    <row r="503">
      <c r="A503" s="13">
        <f>IF(원생!$A501="","",원생!$A501&amp;IF(원생!$G501="",""," ("&amp;원생!$G501&amp;")"))</f>
        <v/>
      </c>
      <c r="B503" s="8">
        <f>IF(원생!$A501="","",원생!$F501)</f>
        <v/>
      </c>
      <c r="C503" s="14">
        <f>IF(원생!$A501="","",SUMIFS(수납!$F:$F,수납!$C:$C,원생!$A501,수납!$D:$D,IF(원생!$G501="","",원생!$G501),수납!$B:$B,$B$1&amp;"-"&amp;TEXT(1,"00")&amp;"*",수납!$E:$E,"수강료")+SUMIFS(수납!$F:$F,수납!$C:$C,원생!$A501,수납!$D:$D,IF(원생!$G501="","",원생!$G501),수납!$B:$B,$B$1&amp;"-"&amp;TEXT(1,"00")&amp;"*",수납!$E:$E,""))</f>
        <v/>
      </c>
      <c r="D503" s="14">
        <f>IF(원생!$A501="","",SUMIFS(수납!$F:$F,수납!$C:$C,원생!$A501,수납!$D:$D,IF(원생!$G501="","",원생!$G501),수납!$B:$B,$B$1&amp;"-"&amp;TEXT(2,"00")&amp;"*",수납!$E:$E,"수강료")+SUMIFS(수납!$F:$F,수납!$C:$C,원생!$A501,수납!$D:$D,IF(원생!$G501="","",원생!$G501),수납!$B:$B,$B$1&amp;"-"&amp;TEXT(2,"00")&amp;"*",수납!$E:$E,""))</f>
        <v/>
      </c>
      <c r="E503" s="14">
        <f>IF(원생!$A501="","",SUMIFS(수납!$F:$F,수납!$C:$C,원생!$A501,수납!$D:$D,IF(원생!$G501="","",원생!$G501),수납!$B:$B,$B$1&amp;"-"&amp;TEXT(3,"00")&amp;"*",수납!$E:$E,"수강료")+SUMIFS(수납!$F:$F,수납!$C:$C,원생!$A501,수납!$D:$D,IF(원생!$G501="","",원생!$G501),수납!$B:$B,$B$1&amp;"-"&amp;TEXT(3,"00")&amp;"*",수납!$E:$E,""))</f>
        <v/>
      </c>
      <c r="F503" s="14">
        <f>IF(원생!$A501="","",SUMIFS(수납!$F:$F,수납!$C:$C,원생!$A501,수납!$D:$D,IF(원생!$G501="","",원생!$G501),수납!$B:$B,$B$1&amp;"-"&amp;TEXT(4,"00")&amp;"*",수납!$E:$E,"수강료")+SUMIFS(수납!$F:$F,수납!$C:$C,원생!$A501,수납!$D:$D,IF(원생!$G501="","",원생!$G501),수납!$B:$B,$B$1&amp;"-"&amp;TEXT(4,"00")&amp;"*",수납!$E:$E,""))</f>
        <v/>
      </c>
      <c r="G503" s="14">
        <f>IF(원생!$A501="","",SUMIFS(수납!$F:$F,수납!$C:$C,원생!$A501,수납!$D:$D,IF(원생!$G501="","",원생!$G501),수납!$B:$B,$B$1&amp;"-"&amp;TEXT(5,"00")&amp;"*",수납!$E:$E,"수강료")+SUMIFS(수납!$F:$F,수납!$C:$C,원생!$A501,수납!$D:$D,IF(원생!$G501="","",원생!$G501),수납!$B:$B,$B$1&amp;"-"&amp;TEXT(5,"00")&amp;"*",수납!$E:$E,""))</f>
        <v/>
      </c>
      <c r="H503" s="14">
        <f>IF(원생!$A501="","",SUMIFS(수납!$F:$F,수납!$C:$C,원생!$A501,수납!$D:$D,IF(원생!$G501="","",원생!$G501),수납!$B:$B,$B$1&amp;"-"&amp;TEXT(6,"00")&amp;"*",수납!$E:$E,"수강료")+SUMIFS(수납!$F:$F,수납!$C:$C,원생!$A501,수납!$D:$D,IF(원생!$G501="","",원생!$G501),수납!$B:$B,$B$1&amp;"-"&amp;TEXT(6,"00")&amp;"*",수납!$E:$E,""))</f>
        <v/>
      </c>
      <c r="I503" s="14">
        <f>IF(원생!$A501="","",SUMIFS(수납!$F:$F,수납!$C:$C,원생!$A501,수납!$D:$D,IF(원생!$G501="","",원생!$G501),수납!$B:$B,$B$1&amp;"-"&amp;TEXT(7,"00")&amp;"*",수납!$E:$E,"수강료")+SUMIFS(수납!$F:$F,수납!$C:$C,원생!$A501,수납!$D:$D,IF(원생!$G501="","",원생!$G501),수납!$B:$B,$B$1&amp;"-"&amp;TEXT(7,"00")&amp;"*",수납!$E:$E,""))</f>
        <v/>
      </c>
      <c r="J503" s="14">
        <f>IF(원생!$A501="","",SUMIFS(수납!$F:$F,수납!$C:$C,원생!$A501,수납!$D:$D,IF(원생!$G501="","",원생!$G501),수납!$B:$B,$B$1&amp;"-"&amp;TEXT(8,"00")&amp;"*",수납!$E:$E,"수강료")+SUMIFS(수납!$F:$F,수납!$C:$C,원생!$A501,수납!$D:$D,IF(원생!$G501="","",원생!$G501),수납!$B:$B,$B$1&amp;"-"&amp;TEXT(8,"00")&amp;"*",수납!$E:$E,""))</f>
        <v/>
      </c>
      <c r="K503" s="14">
        <f>IF(원생!$A501="","",SUMIFS(수납!$F:$F,수납!$C:$C,원생!$A501,수납!$D:$D,IF(원생!$G501="","",원생!$G501),수납!$B:$B,$B$1&amp;"-"&amp;TEXT(9,"00")&amp;"*",수납!$E:$E,"수강료")+SUMIFS(수납!$F:$F,수납!$C:$C,원생!$A501,수납!$D:$D,IF(원생!$G501="","",원생!$G501),수납!$B:$B,$B$1&amp;"-"&amp;TEXT(9,"00")&amp;"*",수납!$E:$E,""))</f>
        <v/>
      </c>
      <c r="L503" s="14">
        <f>IF(원생!$A501="","",SUMIFS(수납!$F:$F,수납!$C:$C,원생!$A501,수납!$D:$D,IF(원생!$G501="","",원생!$G501),수납!$B:$B,$B$1&amp;"-"&amp;TEXT(10,"00")&amp;"*",수납!$E:$E,"수강료")+SUMIFS(수납!$F:$F,수납!$C:$C,원생!$A501,수납!$D:$D,IF(원생!$G501="","",원생!$G501),수납!$B:$B,$B$1&amp;"-"&amp;TEXT(10,"00")&amp;"*",수납!$E:$E,""))</f>
        <v/>
      </c>
      <c r="M503" s="14">
        <f>IF(원생!$A501="","",SUMIFS(수납!$F:$F,수납!$C:$C,원생!$A501,수납!$D:$D,IF(원생!$G501="","",원생!$G501),수납!$B:$B,$B$1&amp;"-"&amp;TEXT(11,"00")&amp;"*",수납!$E:$E,"수강료")+SUMIFS(수납!$F:$F,수납!$C:$C,원생!$A501,수납!$D:$D,IF(원생!$G501="","",원생!$G501),수납!$B:$B,$B$1&amp;"-"&amp;TEXT(11,"00")&amp;"*",수납!$E:$E,""))</f>
        <v/>
      </c>
      <c r="N503" s="14">
        <f>IF(원생!$A501="","",SUMIFS(수납!$F:$F,수납!$C:$C,원생!$A501,수납!$D:$D,IF(원생!$G501="","",원생!$G501),수납!$B:$B,$B$1&amp;"-"&amp;TEXT(12,"00")&amp;"*",수납!$E:$E,"수강료")+SUMIFS(수납!$F:$F,수납!$C:$C,원생!$A501,수납!$D:$D,IF(원생!$G501="","",원생!$G501),수납!$B:$B,$B$1&amp;"-"&amp;TEXT(12,"00")&amp;"*",수납!$E:$E,""))</f>
        <v/>
      </c>
      <c r="O503">
        <f>IF(원생!$I501="","",원생!$I501)</f>
        <v/>
      </c>
      <c r="P503">
        <f>IF($A503="","",IF(AND($B503&gt;0,C503&lt;$B503,DATE($B$1,1,1)&lt;=TODAY(),OR($O503="",$O503&gt;=DATE($B$1,1,1)),OR(COUNTIF($C503:C503,"&gt;0")&gt;0,DATE($B$1,1,1)=DATE(YEAR(TODAY()),MONTH(TODAY()),1))),1,0))</f>
        <v/>
      </c>
      <c r="Q503">
        <f>IF($A503="","",IF(AND($B503&gt;0,D503&lt;$B503,DATE($B$1,2,1)&lt;=TODAY(),OR($O503="",$O503&gt;=DATE($B$1,2,1)),OR(COUNTIF($C503:D503,"&gt;0")&gt;0,DATE($B$1,2,1)=DATE(YEAR(TODAY()),MONTH(TODAY()),1))),1,0))</f>
        <v/>
      </c>
      <c r="R503">
        <f>IF($A503="","",IF(AND($B503&gt;0,E503&lt;$B503,DATE($B$1,3,1)&lt;=TODAY(),OR($O503="",$O503&gt;=DATE($B$1,3,1)),OR(COUNTIF($C503:E503,"&gt;0")&gt;0,DATE($B$1,3,1)=DATE(YEAR(TODAY()),MONTH(TODAY()),1))),1,0))</f>
        <v/>
      </c>
      <c r="S503">
        <f>IF($A503="","",IF(AND($B503&gt;0,F503&lt;$B503,DATE($B$1,4,1)&lt;=TODAY(),OR($O503="",$O503&gt;=DATE($B$1,4,1)),OR(COUNTIF($C503:F503,"&gt;0")&gt;0,DATE($B$1,4,1)=DATE(YEAR(TODAY()),MONTH(TODAY()),1))),1,0))</f>
        <v/>
      </c>
      <c r="T503">
        <f>IF($A503="","",IF(AND($B503&gt;0,G503&lt;$B503,DATE($B$1,5,1)&lt;=TODAY(),OR($O503="",$O503&gt;=DATE($B$1,5,1)),OR(COUNTIF($C503:G503,"&gt;0")&gt;0,DATE($B$1,5,1)=DATE(YEAR(TODAY()),MONTH(TODAY()),1))),1,0))</f>
        <v/>
      </c>
      <c r="U503">
        <f>IF($A503="","",IF(AND($B503&gt;0,H503&lt;$B503,DATE($B$1,6,1)&lt;=TODAY(),OR($O503="",$O503&gt;=DATE($B$1,6,1)),OR(COUNTIF($C503:H503,"&gt;0")&gt;0,DATE($B$1,6,1)=DATE(YEAR(TODAY()),MONTH(TODAY()),1))),1,0))</f>
        <v/>
      </c>
      <c r="V503">
        <f>IF($A503="","",IF(AND($B503&gt;0,I503&lt;$B503,DATE($B$1,7,1)&lt;=TODAY(),OR($O503="",$O503&gt;=DATE($B$1,7,1)),OR(COUNTIF($C503:I503,"&gt;0")&gt;0,DATE($B$1,7,1)=DATE(YEAR(TODAY()),MONTH(TODAY()),1))),1,0))</f>
        <v/>
      </c>
      <c r="W503">
        <f>IF($A503="","",IF(AND($B503&gt;0,J503&lt;$B503,DATE($B$1,8,1)&lt;=TODAY(),OR($O503="",$O503&gt;=DATE($B$1,8,1)),OR(COUNTIF($C503:J503,"&gt;0")&gt;0,DATE($B$1,8,1)=DATE(YEAR(TODAY()),MONTH(TODAY()),1))),1,0))</f>
        <v/>
      </c>
      <c r="X503">
        <f>IF($A503="","",IF(AND($B503&gt;0,K503&lt;$B503,DATE($B$1,9,1)&lt;=TODAY(),OR($O503="",$O503&gt;=DATE($B$1,9,1)),OR(COUNTIF($C503:K503,"&gt;0")&gt;0,DATE($B$1,9,1)=DATE(YEAR(TODAY()),MONTH(TODAY()),1))),1,0))</f>
        <v/>
      </c>
      <c r="Y503">
        <f>IF($A503="","",IF(AND($B503&gt;0,L503&lt;$B503,DATE($B$1,10,1)&lt;=TODAY(),OR($O503="",$O503&gt;=DATE($B$1,10,1)),OR(COUNTIF($C503:L503,"&gt;0")&gt;0,DATE($B$1,10,1)=DATE(YEAR(TODAY()),MONTH(TODAY()),1))),1,0))</f>
        <v/>
      </c>
      <c r="Z503">
        <f>IF($A503="","",IF(AND($B503&gt;0,M503&lt;$B503,DATE($B$1,11,1)&lt;=TODAY(),OR($O503="",$O503&gt;=DATE($B$1,11,1)),OR(COUNTIF($C503:M503,"&gt;0")&gt;0,DATE($B$1,11,1)=DATE(YEAR(TODAY()),MONTH(TODAY()),1))),1,0))</f>
        <v/>
      </c>
      <c r="AA503">
        <f>IF($A503="","",IF(AND($B503&gt;0,N503&lt;$B503,DATE($B$1,12,1)&lt;=TODAY(),OR($O503="",$O503&gt;=DATE($B$1,12,1)),OR(COUNTIF($C503:N503,"&gt;0")&gt;0,DATE($B$1,12,1)=DATE(YEAR(TODAY()),MONTH(TODAY()),1))),1,0))</f>
        <v/>
      </c>
    </row>
    <row r="506">
      <c r="A506" s="10" t="inlineStr">
        <is>
          <t>월별 받은 돈 (받은 날 기준, 수입구분 전체)</t>
        </is>
      </c>
    </row>
    <row r="507">
      <c r="C507" s="15" t="inlineStr">
        <is>
          <t>1월</t>
        </is>
      </c>
      <c r="D507" s="15" t="inlineStr">
        <is>
          <t>2월</t>
        </is>
      </c>
      <c r="E507" s="15" t="inlineStr">
        <is>
          <t>3월</t>
        </is>
      </c>
      <c r="F507" s="15" t="inlineStr">
        <is>
          <t>4월</t>
        </is>
      </c>
      <c r="G507" s="15" t="inlineStr">
        <is>
          <t>5월</t>
        </is>
      </c>
      <c r="H507" s="15" t="inlineStr">
        <is>
          <t>6월</t>
        </is>
      </c>
      <c r="I507" s="15" t="inlineStr">
        <is>
          <t>7월</t>
        </is>
      </c>
      <c r="J507" s="15" t="inlineStr">
        <is>
          <t>8월</t>
        </is>
      </c>
      <c r="K507" s="15" t="inlineStr">
        <is>
          <t>9월</t>
        </is>
      </c>
      <c r="L507" s="15" t="inlineStr">
        <is>
          <t>10월</t>
        </is>
      </c>
      <c r="M507" s="15" t="inlineStr">
        <is>
          <t>11월</t>
        </is>
      </c>
      <c r="N507" s="15" t="inlineStr">
        <is>
          <t>12월</t>
        </is>
      </c>
    </row>
    <row r="508">
      <c r="A508" s="10" t="inlineStr">
        <is>
          <t>카드</t>
        </is>
      </c>
      <c r="C508" s="14">
        <f>SUMIFS(수납!$F:$F,수납!$A:$A,"&gt;="&amp;DATE($B$1,1,1),수납!$A:$A,"&lt;"&amp;DATE($B$1,2,1),수납!$G:$G,"카드")</f>
        <v/>
      </c>
      <c r="D508" s="14">
        <f>SUMIFS(수납!$F:$F,수납!$A:$A,"&gt;="&amp;DATE($B$1,2,1),수납!$A:$A,"&lt;"&amp;DATE($B$1,3,1),수납!$G:$G,"카드")</f>
        <v/>
      </c>
      <c r="E508" s="14">
        <f>SUMIFS(수납!$F:$F,수납!$A:$A,"&gt;="&amp;DATE($B$1,3,1),수납!$A:$A,"&lt;"&amp;DATE($B$1,4,1),수납!$G:$G,"카드")</f>
        <v/>
      </c>
      <c r="F508" s="14">
        <f>SUMIFS(수납!$F:$F,수납!$A:$A,"&gt;="&amp;DATE($B$1,4,1),수납!$A:$A,"&lt;"&amp;DATE($B$1,5,1),수납!$G:$G,"카드")</f>
        <v/>
      </c>
      <c r="G508" s="14">
        <f>SUMIFS(수납!$F:$F,수납!$A:$A,"&gt;="&amp;DATE($B$1,5,1),수납!$A:$A,"&lt;"&amp;DATE($B$1,6,1),수납!$G:$G,"카드")</f>
        <v/>
      </c>
      <c r="H508" s="14">
        <f>SUMIFS(수납!$F:$F,수납!$A:$A,"&gt;="&amp;DATE($B$1,6,1),수납!$A:$A,"&lt;"&amp;DATE($B$1,7,1),수납!$G:$G,"카드")</f>
        <v/>
      </c>
      <c r="I508" s="14">
        <f>SUMIFS(수납!$F:$F,수납!$A:$A,"&gt;="&amp;DATE($B$1,7,1),수납!$A:$A,"&lt;"&amp;DATE($B$1,8,1),수납!$G:$G,"카드")</f>
        <v/>
      </c>
      <c r="J508" s="14">
        <f>SUMIFS(수납!$F:$F,수납!$A:$A,"&gt;="&amp;DATE($B$1,8,1),수납!$A:$A,"&lt;"&amp;DATE($B$1,9,1),수납!$G:$G,"카드")</f>
        <v/>
      </c>
      <c r="K508" s="14">
        <f>SUMIFS(수납!$F:$F,수납!$A:$A,"&gt;="&amp;DATE($B$1,9,1),수납!$A:$A,"&lt;"&amp;DATE($B$1,10,1),수납!$G:$G,"카드")</f>
        <v/>
      </c>
      <c r="L508" s="14">
        <f>SUMIFS(수납!$F:$F,수납!$A:$A,"&gt;="&amp;DATE($B$1,10,1),수납!$A:$A,"&lt;"&amp;DATE($B$1,11,1),수납!$G:$G,"카드")</f>
        <v/>
      </c>
      <c r="M508" s="14">
        <f>SUMIFS(수납!$F:$F,수납!$A:$A,"&gt;="&amp;DATE($B$1,11,1),수납!$A:$A,"&lt;"&amp;DATE($B$1,12,1),수납!$G:$G,"카드")</f>
        <v/>
      </c>
      <c r="N508" s="14">
        <f>SUMIFS(수납!$F:$F,수납!$A:$A,"&gt;="&amp;DATE($B$1,12,1),수납!$A:$A,"&lt;"&amp;DATE($B$1+1,1,1),수납!$G:$G,"카드")</f>
        <v/>
      </c>
    </row>
    <row r="509">
      <c r="A509" s="10" t="inlineStr">
        <is>
          <t>계좌이체</t>
        </is>
      </c>
      <c r="C509" s="14">
        <f>SUMIFS(수납!$F:$F,수납!$A:$A,"&gt;="&amp;DATE($B$1,1,1),수납!$A:$A,"&lt;"&amp;DATE($B$1,2,1),수납!$G:$G,"계좌이체")</f>
        <v/>
      </c>
      <c r="D509" s="14">
        <f>SUMIFS(수납!$F:$F,수납!$A:$A,"&gt;="&amp;DATE($B$1,2,1),수납!$A:$A,"&lt;"&amp;DATE($B$1,3,1),수납!$G:$G,"계좌이체")</f>
        <v/>
      </c>
      <c r="E509" s="14">
        <f>SUMIFS(수납!$F:$F,수납!$A:$A,"&gt;="&amp;DATE($B$1,3,1),수납!$A:$A,"&lt;"&amp;DATE($B$1,4,1),수납!$G:$G,"계좌이체")</f>
        <v/>
      </c>
      <c r="F509" s="14">
        <f>SUMIFS(수납!$F:$F,수납!$A:$A,"&gt;="&amp;DATE($B$1,4,1),수납!$A:$A,"&lt;"&amp;DATE($B$1,5,1),수납!$G:$G,"계좌이체")</f>
        <v/>
      </c>
      <c r="G509" s="14">
        <f>SUMIFS(수납!$F:$F,수납!$A:$A,"&gt;="&amp;DATE($B$1,5,1),수납!$A:$A,"&lt;"&amp;DATE($B$1,6,1),수납!$G:$G,"계좌이체")</f>
        <v/>
      </c>
      <c r="H509" s="14">
        <f>SUMIFS(수납!$F:$F,수납!$A:$A,"&gt;="&amp;DATE($B$1,6,1),수납!$A:$A,"&lt;"&amp;DATE($B$1,7,1),수납!$G:$G,"계좌이체")</f>
        <v/>
      </c>
      <c r="I509" s="14">
        <f>SUMIFS(수납!$F:$F,수납!$A:$A,"&gt;="&amp;DATE($B$1,7,1),수납!$A:$A,"&lt;"&amp;DATE($B$1,8,1),수납!$G:$G,"계좌이체")</f>
        <v/>
      </c>
      <c r="J509" s="14">
        <f>SUMIFS(수납!$F:$F,수납!$A:$A,"&gt;="&amp;DATE($B$1,8,1),수납!$A:$A,"&lt;"&amp;DATE($B$1,9,1),수납!$G:$G,"계좌이체")</f>
        <v/>
      </c>
      <c r="K509" s="14">
        <f>SUMIFS(수납!$F:$F,수납!$A:$A,"&gt;="&amp;DATE($B$1,9,1),수납!$A:$A,"&lt;"&amp;DATE($B$1,10,1),수납!$G:$G,"계좌이체")</f>
        <v/>
      </c>
      <c r="L509" s="14">
        <f>SUMIFS(수납!$F:$F,수납!$A:$A,"&gt;="&amp;DATE($B$1,10,1),수납!$A:$A,"&lt;"&amp;DATE($B$1,11,1),수납!$G:$G,"계좌이체")</f>
        <v/>
      </c>
      <c r="M509" s="14">
        <f>SUMIFS(수납!$F:$F,수납!$A:$A,"&gt;="&amp;DATE($B$1,11,1),수납!$A:$A,"&lt;"&amp;DATE($B$1,12,1),수납!$G:$G,"계좌이체")</f>
        <v/>
      </c>
      <c r="N509" s="14">
        <f>SUMIFS(수납!$F:$F,수납!$A:$A,"&gt;="&amp;DATE($B$1,12,1),수납!$A:$A,"&lt;"&amp;DATE($B$1+1,1,1),수납!$G:$G,"계좌이체")</f>
        <v/>
      </c>
    </row>
    <row r="510">
      <c r="A510" s="10" t="inlineStr">
        <is>
          <t>현금</t>
        </is>
      </c>
      <c r="C510" s="14">
        <f>SUMIFS(수납!$F:$F,수납!$A:$A,"&gt;="&amp;DATE($B$1,1,1),수납!$A:$A,"&lt;"&amp;DATE($B$1,2,1),수납!$G:$G,"현금")</f>
        <v/>
      </c>
      <c r="D510" s="14">
        <f>SUMIFS(수납!$F:$F,수납!$A:$A,"&gt;="&amp;DATE($B$1,2,1),수납!$A:$A,"&lt;"&amp;DATE($B$1,3,1),수납!$G:$G,"현금")</f>
        <v/>
      </c>
      <c r="E510" s="14">
        <f>SUMIFS(수납!$F:$F,수납!$A:$A,"&gt;="&amp;DATE($B$1,3,1),수납!$A:$A,"&lt;"&amp;DATE($B$1,4,1),수납!$G:$G,"현금")</f>
        <v/>
      </c>
      <c r="F510" s="14">
        <f>SUMIFS(수납!$F:$F,수납!$A:$A,"&gt;="&amp;DATE($B$1,4,1),수납!$A:$A,"&lt;"&amp;DATE($B$1,5,1),수납!$G:$G,"현금")</f>
        <v/>
      </c>
      <c r="G510" s="14">
        <f>SUMIFS(수납!$F:$F,수납!$A:$A,"&gt;="&amp;DATE($B$1,5,1),수납!$A:$A,"&lt;"&amp;DATE($B$1,6,1),수납!$G:$G,"현금")</f>
        <v/>
      </c>
      <c r="H510" s="14">
        <f>SUMIFS(수납!$F:$F,수납!$A:$A,"&gt;="&amp;DATE($B$1,6,1),수납!$A:$A,"&lt;"&amp;DATE($B$1,7,1),수납!$G:$G,"현금")</f>
        <v/>
      </c>
      <c r="I510" s="14">
        <f>SUMIFS(수납!$F:$F,수납!$A:$A,"&gt;="&amp;DATE($B$1,7,1),수납!$A:$A,"&lt;"&amp;DATE($B$1,8,1),수납!$G:$G,"현금")</f>
        <v/>
      </c>
      <c r="J510" s="14">
        <f>SUMIFS(수납!$F:$F,수납!$A:$A,"&gt;="&amp;DATE($B$1,8,1),수납!$A:$A,"&lt;"&amp;DATE($B$1,9,1),수납!$G:$G,"현금")</f>
        <v/>
      </c>
      <c r="K510" s="14">
        <f>SUMIFS(수납!$F:$F,수납!$A:$A,"&gt;="&amp;DATE($B$1,9,1),수납!$A:$A,"&lt;"&amp;DATE($B$1,10,1),수납!$G:$G,"현금")</f>
        <v/>
      </c>
      <c r="L510" s="14">
        <f>SUMIFS(수납!$F:$F,수납!$A:$A,"&gt;="&amp;DATE($B$1,10,1),수납!$A:$A,"&lt;"&amp;DATE($B$1,11,1),수납!$G:$G,"현금")</f>
        <v/>
      </c>
      <c r="M510" s="14">
        <f>SUMIFS(수납!$F:$F,수납!$A:$A,"&gt;="&amp;DATE($B$1,11,1),수납!$A:$A,"&lt;"&amp;DATE($B$1,12,1),수납!$G:$G,"현금")</f>
        <v/>
      </c>
      <c r="N510" s="14">
        <f>SUMIFS(수납!$F:$F,수납!$A:$A,"&gt;="&amp;DATE($B$1,12,1),수납!$A:$A,"&lt;"&amp;DATE($B$1+1,1,1),수납!$G:$G,"현금")</f>
        <v/>
      </c>
    </row>
    <row r="511">
      <c r="A511" s="10" t="inlineStr">
        <is>
          <t>합계</t>
        </is>
      </c>
      <c r="C511" s="14">
        <f>SUM(C508:C510)</f>
        <v/>
      </c>
      <c r="D511" s="14">
        <f>SUM(D508:D510)</f>
        <v/>
      </c>
      <c r="E511" s="14">
        <f>SUM(E508:E510)</f>
        <v/>
      </c>
      <c r="F511" s="14">
        <f>SUM(F508:F510)</f>
        <v/>
      </c>
      <c r="G511" s="14">
        <f>SUM(G508:G510)</f>
        <v/>
      </c>
      <c r="H511" s="14">
        <f>SUM(H508:H510)</f>
        <v/>
      </c>
      <c r="I511" s="14">
        <f>SUM(I508:I510)</f>
        <v/>
      </c>
      <c r="J511" s="14">
        <f>SUM(J508:J510)</f>
        <v/>
      </c>
      <c r="K511" s="14">
        <f>SUM(K508:K510)</f>
        <v/>
      </c>
      <c r="L511" s="14">
        <f>SUM(L508:L510)</f>
        <v/>
      </c>
      <c r="M511" s="14">
        <f>SUM(M508:M510)</f>
        <v/>
      </c>
      <c r="N511" s="14">
        <f>SUM(N508:N510)</f>
        <v/>
      </c>
    </row>
    <row r="512">
      <c r="A512" s="10" t="inlineStr">
        <is>
          <t>덜 받은 원생 수</t>
        </is>
      </c>
      <c r="C512" s="14">
        <f>IF(DATE($B$1,1,1)&gt;TODAY(),"",SUM(P4:P503))</f>
        <v/>
      </c>
      <c r="D512" s="14">
        <f>IF(DATE($B$1,2,1)&gt;TODAY(),"",SUM(Q4:Q503))</f>
        <v/>
      </c>
      <c r="E512" s="14">
        <f>IF(DATE($B$1,3,1)&gt;TODAY(),"",SUM(R4:R503))</f>
        <v/>
      </c>
      <c r="F512" s="14">
        <f>IF(DATE($B$1,4,1)&gt;TODAY(),"",SUM(S4:S503))</f>
        <v/>
      </c>
      <c r="G512" s="14">
        <f>IF(DATE($B$1,5,1)&gt;TODAY(),"",SUM(T4:T503))</f>
        <v/>
      </c>
      <c r="H512" s="14">
        <f>IF(DATE($B$1,6,1)&gt;TODAY(),"",SUM(U4:U503))</f>
        <v/>
      </c>
      <c r="I512" s="14">
        <f>IF(DATE($B$1,7,1)&gt;TODAY(),"",SUM(V4:V503))</f>
        <v/>
      </c>
      <c r="J512" s="14">
        <f>IF(DATE($B$1,8,1)&gt;TODAY(),"",SUM(W4:W503))</f>
        <v/>
      </c>
      <c r="K512" s="14">
        <f>IF(DATE($B$1,9,1)&gt;TODAY(),"",SUM(X4:X503))</f>
        <v/>
      </c>
      <c r="L512" s="14">
        <f>IF(DATE($B$1,10,1)&gt;TODAY(),"",SUM(Y4:Y503))</f>
        <v/>
      </c>
      <c r="M512" s="14">
        <f>IF(DATE($B$1,11,1)&gt;TODAY(),"",SUM(Z4:Z503))</f>
        <v/>
      </c>
      <c r="N512" s="14">
        <f>IF(DATE($B$1,12,1)&gt;TODAY(),"",SUM(AA4:AA503))</f>
        <v/>
      </c>
    </row>
  </sheetData>
  <conditionalFormatting sqref="C4:N503">
    <cfRule type="expression" priority="1" dxfId="0">
      <formula>P4=1</formula>
    </cfRule>
    <cfRule type="expression" priority="2" dxfId="1">
      <formula>AND($A4&lt;&gt;"",$B4&gt;0,C4&gt;=$B4)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2026-10-26T06:31:19Z</dcterms:created>
  <dcterms:modified xmlns:dcterms="http://purl.org/dc/terms/" xmlns:xsi="http://www.w3.org/2001/XMLSchema-instance" xsi:type="dcterms:W3CDTF">2026-10-26T06:31:19Z</dcterms:modified>
</cp:coreProperties>
</file>